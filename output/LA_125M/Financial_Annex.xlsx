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Combined_Position" sheetId="11" state="visible" r:id="rId13"/>
    <sheet name="Reconciliation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<sst xmlns="http://schemas.openxmlformats.org/spreadsheetml/2006/main" count="1277" uniqueCount="443">
  <si>
    <t xml:space="preserve">L'avenir - Financial Annex</t>
  </si>
  <si>
    <t xml:space="preserve">Investor ticket EGP 125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</si>
  <si>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</si>
  <si>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</si>
  <si>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</si>
  <si>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Combined_Position,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</si>
  <si>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</si>
  <si>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</si>
  <si>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</si>
  <si>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125m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</si>
  <si>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</si>
  <si>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</si>
  <si>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</si>
  <si>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</si>
  <si>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</si>
  <si>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</si>
  <si>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</si>
  <si>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</si>
  <si>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</si>
  <si>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</si>
  <si>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</si>
  <si>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</si>
  <si>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</si>
  <si>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</si>
  <si>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</si>
  <si>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</si>
  <si>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</si>
  <si>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</si>
  <si>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</si>
  <si>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</si>
  <si>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</si>
  <si>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</si>
  <si>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</si>
  <si>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</si>
  <si>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</si>
  <si>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</si>
  <si>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</si>
  <si>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</si>
  <si>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</si>
  <si>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</si>
  <si>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</si>
  <si>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</si>
  <si>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</si>
  <si>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</si>
  <si>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</si>
  <si>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</si>
  <si>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</si>
  <si>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</si>
  <si>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</si>
  <si>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</si>
  <si>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</si>
  <si>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</si>
  <si>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</si>
  <si>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</si>
  <si>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</si>
  <si>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</si>
  <si>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</si>
  <si>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</si>
  <si>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Combined view with the other Jalour project (125M packs only)</t>
  </si>
  <si>
    <t xml:space="preserve">Combined lowest cumulative position, shown as a shortage (EGP m)</t>
  </si>
  <si>
    <t xml:space="preserve">Combined_Position</t>
  </si>
  <si>
    <t xml:space="preserve">Month of the combined low</t>
  </si>
  <si>
    <t xml:space="preserve">First month the combined position is positive after the low</t>
  </si>
  <si>
    <t xml:space="preserve">Combined peak shortage, downside (EGP m)</t>
  </si>
  <si>
    <t xml:space="preserve">Combined peak shortage, delivery payments at handover (EGP m)</t>
  </si>
  <si>
    <t xml:space="preserve">Other project net cash flow, nominal (EGP m)</t>
  </si>
  <si>
    <t xml:space="preserve">Other project NPV at 14% (EGP m)</t>
  </si>
  <si>
    <t xml:space="preserve">Other project peak shortage (EGP m)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</si>
  <si>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</si>
  <si>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</si>
  <si>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</si>
  <si>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</si>
  <si>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</si>
  <si>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</si>
  <si>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</si>
  <si>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</si>
  <si>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</si>
  <si>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</si>
  <si>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</si>
  <si>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</si>
  <si>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</si>
  <si>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</si>
  <si>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</si>
  <si>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</si>
  <si>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</si>
  <si>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</si>
  <si>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</si>
  <si>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</si>
  <si>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</si>
  <si>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</si>
  <si>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</si>
  <si>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125m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</si>
  <si>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</si>
  <si>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</si>
  <si>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</si>
  <si>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</si>
  <si>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</si>
  <si>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</si>
  <si>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</si>
  <si>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</si>
  <si>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</si>
  <si>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</si>
  <si>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</si>
  <si>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</si>
  <si>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</si>
  <si>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</si>
  <si>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</si>
  <si>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</si>
  <si>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</si>
  <si>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</si>
  <si>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</si>
  <si>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</si>
  <si>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</si>
  <si>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</si>
  <si>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</si>
  <si>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</si>
  <si>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</si>
  <si>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</si>
  <si>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</si>
  <si>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</si>
  <si>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</si>
  <si>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</si>
  <si>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</si>
  <si>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</si>
  <si>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</si>
  <si>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</si>
  <si>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</si>
  <si>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</si>
  <si>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</si>
  <si>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</si>
  <si>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</si>
  <si>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</si>
  <si>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</si>
  <si>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</si>
  <si>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</si>
  <si>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</si>
  <si>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</si>
  <si>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</si>
  <si>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</si>
  <si>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</si>
  <si>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</si>
  <si>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</si>
  <si>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</si>
  <si>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</si>
  <si>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</si>
  <si>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</si>
  <si>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</si>
  <si>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</si>
  <si>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</si>
  <si>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</si>
  <si>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</si>
  <si>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</si>
  <si>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</si>
  <si>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</si>
  <si>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</si>
  <si>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</si>
  <si>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</si>
  <si>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</si>
  <si>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</si>
  <si>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</si>
  <si>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</si>
  <si>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</si>
  <si>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</si>
  <si>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</si>
  <si>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</si>
  <si>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</si>
  <si>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</si>
  <si>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</si>
  <si>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</si>
  <si>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</si>
  <si>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</si>
  <si>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</si>
  <si>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</si>
  <si>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</si>
  <si>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</si>
  <si>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</si>
  <si>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</si>
  <si>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</si>
  <si>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</si>
  <si>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</si>
  <si>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</si>
  <si>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</si>
  <si>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</si>
  <si>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</si>
  <si>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</si>
  <si>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</si>
  <si>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</si>
  <si>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</si>
  <si>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</si>
  <si>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</si>
  <si>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</si>
  <si>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</si>
  <si>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</si>
  <si>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</si>
  <si>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</si>
  <si>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</si>
  <si>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</si>
  <si>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</si>
  <si>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</si>
  <si>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</si>
  <si>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</si>
  <si>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</si>
  <si>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</si>
  <si>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</si>
  <si>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</si>
  <si>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</si>
  <si>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</si>
  <si>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</si>
  <si>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</si>
  <si>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</si>
  <si>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</si>
  <si>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</si>
  <si>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</si>
  <si>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</si>
  <si>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</si>
  <si>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</si>
  <si>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</si>
  <si>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</si>
  <si>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</si>
  <si>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</si>
  <si>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</si>
  <si>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</si>
  <si>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</si>
  <si>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</si>
  <si>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</si>
  <si>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</si>
  <si>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</si>
  <si>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</si>
  <si>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</si>
  <si>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</si>
  <si>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</si>
  <si>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125m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</si>
  <si>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</si>
  <si>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</si>
  <si>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</si>
  <si>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</si>
  <si>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</si>
  <si>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</si>
  <si>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</si>
  <si>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</si>
  <si>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</si>
  <si>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</si>
  <si>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</si>
  <si>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</si>
  <si>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</si>
  <si>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</si>
  <si>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</si>
  <si>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</si>
  <si>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</si>
  <si>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</si>
  <si>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</si>
  <si>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</si>
  <si>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</si>
  <si>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125m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</si>
  <si>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</si>
  <si>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</si>
  <si>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</si>
  <si>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</si>
  <si>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</si>
  <si>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</si>
  <si>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</si>
  <si>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</si>
  <si>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</si>
  <si>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</si>
  <si>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</si>
  <si>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</si>
  <si>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</si>
  <si>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</si>
  <si>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</si>
  <si>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</si>
  <si>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</si>
  <si>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</si>
  <si>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</si>
  <si>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</si>
  <si>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</si>
  <si>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</si>
  <si>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</si>
  <si>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</si>
  <si>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</si>
  <si>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</si>
  <si>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</si>
  <si>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</si>
  <si>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</si>
  <si>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</si>
  <si>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</si>
  <si>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</si>
  <si>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</si>
  <si>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</si>
  <si>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</si>
  <si>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</si>
  <si>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</si>
  <si>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</si>
  <si>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</si>
  <si>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</si>
  <si>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</si>
  <si>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</si>
  <si>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</si>
  <si>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</si>
  <si>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125m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</si>
  <si>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</si>
  <si>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</si>
  <si>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</si>
  <si>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</si>
  <si>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</si>
  <si>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</si>
  <si>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</si>
  <si>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</si>
  <si>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</si>
  <si>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</si>
  <si>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</si>
  <si>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</si>
  <si>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</si>
  <si>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</si>
  <si>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</si>
  <si>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</si>
  <si>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</si>
  <si>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</si>
  <si>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</si>
  <si>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</si>
  <si>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</si>
  <si>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</si>
  <si>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</si>
  <si>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</si>
  <si>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</si>
  <si>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</si>
  <si>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</si>
  <si>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</si>
  <si>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</si>
  <si>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</si>
  <si>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</si>
  <si>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</si>
  <si>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</si>
  <si>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</si>
  <si>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</si>
  <si>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</si>
  <si>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</si>
  <si>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</si>
  <si>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</si>
  <si>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</si>
  <si>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</si>
  <si>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</si>
  <si>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</si>
  <si>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</si>
  <si>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</si>
  <si>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</si>
  <si>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</si>
  <si>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</si>
  <si>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</si>
  <si>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</si>
  <si>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</si>
  <si>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</si>
  <si>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</si>
  <si>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</si>
  <si>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</si>
  <si>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</si>
  <si>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</si>
  <si>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</si>
  <si>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</si>
  <si>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</si>
  <si>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</si>
  <si>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</si>
  <si>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</si>
  <si>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</si>
  <si>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</si>
  <si>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</si>
  <si>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</si>
  <si>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</si>
  <si>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</si>
  <si>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</si>
  <si>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</si>
  <si>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</si>
  <si>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</si>
  <si>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</si>
  <si>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</si>
  <si>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</si>
  <si>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</si>
  <si>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</si>
  <si>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</si>
  <si>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</si>
  <si>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</si>
  <si>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 and Green Square: combined cash position (EGP million)</t>
  </si>
  <si>
    <t xml:space="preserve">Both projects before any investor instrument. Other-project series are blue inputs taken from the source model; everything else is a formula.</t>
  </si>
  <si>
    <t xml:space="preserve">Source / value</t>
  </si>
  <si>
    <t xml:space="preserve">L'avenir cumulative net cash flow (base)</t>
  </si>
  <si>
    <t xml:space="preserve">Green Square net cash flow (base)</t>
  </si>
  <si>
    <t xml:space="preserve">Source model, 'Net Cash Flow -With DP' row 40</t>
  </si>
  <si>
    <t xml:space="preserve">Green Square cumulative net cash flow (base)</t>
  </si>
  <si>
    <t xml:space="preserve">Combined cumulative net cash flow (base)</t>
  </si>
  <si>
    <t xml:space="preserve">Combined positive after the low (1/0)</t>
  </si>
  <si>
    <t xml:space="preserve">Lowest combined cumulative position</t>
  </si>
  <si>
    <t xml:space="preserve">Month of the lowest combined position</t>
  </si>
  <si>
    <t xml:space="preserve">First month combined position is positive after the low</t>
  </si>
  <si>
    <t xml:space="preserve">Green Square: facts and totals</t>
  </si>
  <si>
    <t xml:space="preserve">Handover (project month)</t>
  </si>
  <si>
    <t xml:space="preserve">Source model, Offers DP</t>
  </si>
  <si>
    <t xml:space="preserve">Sales plan, 80% of units</t>
  </si>
  <si>
    <t xml:space="preserve">Source model, 'Net Cash Flow -With DP'</t>
  </si>
  <si>
    <t xml:space="preserve">Construction, commission and SG&amp;A</t>
  </si>
  <si>
    <t xml:space="preserve">Calculated</t>
  </si>
  <si>
    <t xml:space="preserve">NPV at discount rate</t>
  </si>
  <si>
    <t xml:space="preserve">Calculated, same discount factors</t>
  </si>
  <si>
    <t xml:space="preserve">Peak cumulative shortage</t>
  </si>
  <si>
    <t xml:space="preserve">L'avenir own cumulative net cash flow</t>
  </si>
  <si>
    <t xml:space="preserve">Green Square other net cash flow</t>
  </si>
  <si>
    <t xml:space="preserve">Same scenario run on the source model cash flows</t>
  </si>
  <si>
    <t xml:space="preserve">Green Square other cumulative</t>
  </si>
  <si>
    <t xml:space="preserve">Combined cumulative</t>
  </si>
  <si>
    <t xml:space="preserve">Own peak shortage</t>
  </si>
  <si>
    <t xml:space="preserve">Other project peak shortage</t>
  </si>
  <si>
    <t xml:space="preserve">Combined peak shortage</t>
  </si>
  <si>
    <t xml:space="preserve">Month of combined peak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</si>
  <si>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</si>
  <si>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</si>
  <si>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</si>
  <si>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</si>
  <si>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</si>
  <si>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</si>
  <si>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</si>
  <si>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</si>
  <si>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Total collections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</si>
  <si>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</si>
  <si>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</si>
  <si>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</si>
  <si>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</si>
  <si>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</si>
  <si>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</si>
  <si>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</si>
  <si>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</si>
  <si>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</si>
  <si>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</si>
  <si>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</si>
  <si>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</si>
  <si>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</si>
  <si>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</si>
  <si>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</si>
  <si>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</si>
  <si>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Combined: other project net cash flow vs source model</t>
  </si>
  <si>
    <t xml:space="preserve">Combined: other project NPV vs source model</t>
  </si>
  <si>
    <t xml:space="preserve">Combined: other project peak shortage vs source model</t>
  </si>
  <si>
    <t xml:space="preserve">Python recomputation: combined lowest position</t>
  </si>
  <si>
    <t xml:space="preserve">Python recomputation: combined downside peak shortage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</si>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</sst>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Reconciliation!D30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0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12.5245375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1.22527322061228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22.9819375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250</v>
      </c>
      <c r="C20" s="10" t="n">
        <f aca="false">B20/Inputs!$B$52</f>
        <v>5.20833333333333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0.345005561489651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370.37037037037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-26.0031383441458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-115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-48.1941063637315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-5.39410340869566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5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3.8442727826087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0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0.286576617962057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9" t="n">
        <f aca="false">-Combined_Position!B11</f>
        <v>167.95463125</v>
      </c>
      <c r="D48" s="6" t="s">
        <v>60</v>
      </c>
    </row>
    <row r="49" customFormat="false" ht="15" hidden="false" customHeight="false" outlineLevel="0" collapsed="false">
      <c r="A49" s="3" t="s">
        <v>61</v>
      </c>
      <c r="B49" s="11" t="n">
        <f aca="false">Combined_Position!B12</f>
        <v>15</v>
      </c>
      <c r="D49" s="6" t="s">
        <v>60</v>
      </c>
    </row>
    <row r="50" customFormat="false" ht="15" hidden="false" customHeight="false" outlineLevel="0" collapsed="false">
      <c r="A50" s="3" t="s">
        <v>62</v>
      </c>
      <c r="B50" s="11" t="n">
        <f aca="false">Combined_Position!B13</f>
        <v>30</v>
      </c>
      <c r="D50" s="6" t="s">
        <v>60</v>
      </c>
    </row>
    <row r="51" customFormat="false" ht="15" hidden="false" customHeight="false" outlineLevel="0" collapsed="false">
      <c r="A51" s="3" t="s">
        <v>63</v>
      </c>
      <c r="B51" s="9" t="n">
        <f aca="false">Combined_Position!B46</f>
        <v>1088.97352459375</v>
      </c>
      <c r="D51" s="6" t="s">
        <v>60</v>
      </c>
    </row>
    <row r="52" customFormat="false" ht="15" hidden="false" customHeight="false" outlineLevel="0" collapsed="false">
      <c r="A52" s="3" t="s">
        <v>64</v>
      </c>
      <c r="B52" s="9" t="n">
        <f aca="false">Combined_Position!B90</f>
        <v>318.3332621875</v>
      </c>
      <c r="D52" s="6" t="s">
        <v>60</v>
      </c>
    </row>
    <row r="53" customFormat="false" ht="15" hidden="false" customHeight="false" outlineLevel="0" collapsed="false">
      <c r="A53" s="3" t="s">
        <v>65</v>
      </c>
      <c r="B53" s="9" t="n">
        <f aca="false">Combined_Position!B22</f>
        <v>375.4475275</v>
      </c>
      <c r="D53" s="6" t="s">
        <v>60</v>
      </c>
    </row>
    <row r="54" customFormat="false" ht="15" hidden="false" customHeight="false" outlineLevel="0" collapsed="false">
      <c r="A54" s="3" t="s">
        <v>66</v>
      </c>
      <c r="B54" s="9" t="n">
        <f aca="false">Combined_Position!B23</f>
        <v>215.311392548924</v>
      </c>
      <c r="D54" s="6" t="s">
        <v>60</v>
      </c>
    </row>
    <row r="55" customFormat="false" ht="15" hidden="false" customHeight="false" outlineLevel="0" collapsed="false">
      <c r="A55" s="3" t="s">
        <v>67</v>
      </c>
      <c r="B55" s="9" t="n">
        <f aca="false">-Combined_Position!B24</f>
        <v>102.5</v>
      </c>
      <c r="D55" s="6" t="s">
        <v>60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-Scenarios!$B$28</f>
        <v>102.0180625</v>
      </c>
      <c r="C57" s="15" t="n">
        <f aca="false">Scenarios!$B$27</f>
        <v>307.532371091529</v>
      </c>
      <c r="D57" s="15" t="n">
        <f aca="false">Scenarios!$B$33</f>
        <v>0</v>
      </c>
    </row>
    <row r="58" customFormat="false" ht="15" hidden="false" customHeight="false" outlineLevel="0" collapsed="false">
      <c r="A58" s="3" t="s">
        <v>70</v>
      </c>
      <c r="B58" s="15" t="n">
        <f aca="false">-Scenarios!$B$64</f>
        <v>848.604283875</v>
      </c>
      <c r="C58" s="15" t="n">
        <f aca="false">Scenarios!$B$63</f>
        <v>39.8977448934632</v>
      </c>
      <c r="D58" s="15" t="n">
        <f aca="false">Scenarios!$B$69</f>
        <v>-867.354283875</v>
      </c>
    </row>
    <row r="59" customFormat="false" ht="15" hidden="false" customHeight="false" outlineLevel="0" collapsed="false">
      <c r="A59" s="3" t="s">
        <v>71</v>
      </c>
      <c r="B59" s="15" t="n">
        <f aca="false">-Scenarios!$B$100</f>
        <v>87.572785</v>
      </c>
      <c r="C59" s="15" t="n">
        <f aca="false">Scenarios!$B$99</f>
        <v>411.548156086808</v>
      </c>
      <c r="D59" s="15" t="n">
        <f aca="false">Scenarios!$B$105</f>
        <v>0</v>
      </c>
    </row>
    <row r="60" customFormat="false" ht="15" hidden="false" customHeight="false" outlineLevel="0" collapsed="false">
      <c r="A60" s="3" t="s">
        <v>72</v>
      </c>
      <c r="B60" s="15" t="n">
        <f aca="false">-Scenarios!$B$136</f>
        <v>116.9499475</v>
      </c>
      <c r="C60" s="15" t="n">
        <f aca="false">Scenarios!$B$135</f>
        <v>257.925437188775</v>
      </c>
      <c r="D60" s="15" t="n">
        <f aca="false">Scenarios!$B$141</f>
        <v>0</v>
      </c>
    </row>
    <row r="61" customFormat="false" ht="15" hidden="false" customHeight="false" outlineLevel="0" collapsed="false">
      <c r="A61" s="3" t="s">
        <v>73</v>
      </c>
      <c r="B61" s="15" t="n">
        <f aca="false">-Scenarios!$B$172</f>
        <v>381.30656875</v>
      </c>
      <c r="C61" s="15" t="n">
        <f aca="false">Scenarios!$B$171</f>
        <v>209.278659469093</v>
      </c>
      <c r="D61" s="15" t="n">
        <f aca="false">Scenarios!$B$177</f>
        <v>-352.139902083333</v>
      </c>
    </row>
    <row r="62" customFormat="false" ht="15" hidden="false" customHeight="false" outlineLevel="0" collapsed="false">
      <c r="A62" s="3" t="s">
        <v>74</v>
      </c>
      <c r="B62" s="15" t="n">
        <f aca="false">-Scenarios!$B$208</f>
        <v>244.30733625</v>
      </c>
      <c r="C62" s="15" t="n">
        <f aca="false">Scenarios!$B$207</f>
        <v>274.539179907696</v>
      </c>
      <c r="D62" s="15" t="n">
        <f aca="false">Scenarios!$B$213</f>
        <v>-239.099002916667</v>
      </c>
    </row>
    <row r="63" customFormat="false" ht="15" hidden="false" customHeight="false" outlineLevel="0" collapsed="false">
      <c r="A63" s="3" t="s">
        <v>75</v>
      </c>
      <c r="B63" s="15" t="n">
        <f aca="false">-Scenarios!$B$244</f>
        <v>848.604283875</v>
      </c>
      <c r="C63" s="15" t="n">
        <f aca="false">Scenarios!$B$243</f>
        <v>13.8504886957</v>
      </c>
      <c r="D63" s="15" t="n">
        <f aca="false">Scenarios!$B$249</f>
        <v>-867.354283875</v>
      </c>
    </row>
    <row r="64" customFormat="false" ht="15" hidden="false" customHeight="false" outlineLevel="0" collapsed="false">
      <c r="A64" s="6" t="s">
        <v>76</v>
      </c>
    </row>
    <row r="65" customFormat="false" ht="15" hidden="false" customHeight="false" outlineLevel="0" collapsed="false">
      <c r="A65" s="8" t="s">
        <v>77</v>
      </c>
    </row>
    <row r="66" customFormat="false" ht="15" hidden="false" customHeight="false" outlineLevel="0" collapsed="false">
      <c r="A66" s="3" t="s">
        <v>78</v>
      </c>
      <c r="B66" s="15" t="n">
        <f aca="false">-Sensitivity!$B$28</f>
        <v>174.769558</v>
      </c>
      <c r="C66" s="15" t="n">
        <f aca="false">Sensitivity!$B$27</f>
        <v>99.5008011009726</v>
      </c>
      <c r="D66" s="16" t="n">
        <f aca="false">Sensitivity!$B$30</f>
        <v>0.224125122520929</v>
      </c>
    </row>
    <row r="67" customFormat="false" ht="15" hidden="false" customHeight="false" outlineLevel="0" collapsed="false">
      <c r="A67" s="3" t="s">
        <v>79</v>
      </c>
      <c r="B67" s="15" t="n">
        <f aca="false">-Sensitivity!$B$64</f>
        <v>137.85575275</v>
      </c>
      <c r="C67" s="15" t="n">
        <f aca="false">Sensitivity!$B$63</f>
        <v>203.516586096251</v>
      </c>
      <c r="D67" s="16" t="n">
        <f aca="false">Sensitivity!$B$66</f>
        <v>0.259729938867581</v>
      </c>
    </row>
    <row r="68" customFormat="false" ht="15" hidden="false" customHeight="false" outlineLevel="0" collapsed="false">
      <c r="A68" s="3" t="s">
        <v>80</v>
      </c>
      <c r="B68" s="15" t="n">
        <f aca="false">-Sensitivity!$B$100</f>
        <v>87.572785</v>
      </c>
      <c r="C68" s="15" t="n">
        <f aca="false">Sensitivity!$B$99</f>
        <v>411.548156086808</v>
      </c>
      <c r="D68" s="16" t="n">
        <f aca="false">Sensitivity!$B$102</f>
        <v>0.32283998534566</v>
      </c>
    </row>
    <row r="69" customFormat="false" ht="15" hidden="false" customHeight="false" outlineLevel="0" collapsed="false">
      <c r="A69" s="3" t="s">
        <v>81</v>
      </c>
      <c r="B69" s="15" t="n">
        <f aca="false">-Sensitivity!$B$136</f>
        <v>85.76122</v>
      </c>
      <c r="C69" s="15" t="n">
        <f aca="false">Sensitivity!$B$135</f>
        <v>515.563941082086</v>
      </c>
      <c r="D69" s="16" t="n">
        <f aca="false">Sensitivity!$B$138</f>
        <v>0.351197278973157</v>
      </c>
    </row>
    <row r="70" customFormat="false" ht="15" hidden="false" customHeight="false" outlineLevel="0" collapsed="false">
      <c r="A70" s="3" t="s">
        <v>82</v>
      </c>
      <c r="B70" s="15" t="n">
        <f aca="false">-Sensitivity!$B$172</f>
        <v>366.21764875</v>
      </c>
      <c r="C70" s="15" t="n">
        <f aca="false">Sensitivity!$B$171</f>
        <v>213.656483247934</v>
      </c>
      <c r="D70" s="16" t="n">
        <f aca="false">Sensitivity!$B$174</f>
        <v>0.256974504424673</v>
      </c>
    </row>
    <row r="71" customFormat="false" ht="15" hidden="false" customHeight="false" outlineLevel="0" collapsed="false">
      <c r="A71" s="3" t="s">
        <v>83</v>
      </c>
      <c r="B71" s="15" t="n">
        <f aca="false">-Sensitivity!$B$208</f>
        <v>779.36764875</v>
      </c>
      <c r="C71" s="15" t="n">
        <f aca="false">Sensitivity!$B$207</f>
        <v>125.733658643987</v>
      </c>
      <c r="D71" s="16" t="n">
        <f aca="false">Sensitivity!$B$210</f>
        <v>0.229147128391764</v>
      </c>
    </row>
    <row r="72" customFormat="false" ht="15" hidden="false" customHeight="false" outlineLevel="0" collapsed="false">
      <c r="A72" s="3" t="s">
        <v>84</v>
      </c>
      <c r="B72" s="15" t="n">
        <f aca="false">-Sensitivity!$B$244</f>
        <v>1004.1899475</v>
      </c>
      <c r="C72" s="15" t="n">
        <f aca="false">Sensitivity!$B$243</f>
        <v>43.3863886057456</v>
      </c>
      <c r="D72" s="16" t="n">
        <f aca="false">Sensitivity!$B$246</f>
        <v>0.206749787860622</v>
      </c>
    </row>
    <row r="73" customFormat="false" ht="15" hidden="false" customHeight="false" outlineLevel="0" collapsed="false">
      <c r="A73" s="3" t="s">
        <v>85</v>
      </c>
      <c r="B73" s="15" t="n">
        <f aca="false">-Sensitivity!$B$280</f>
        <v>1179.0320625</v>
      </c>
      <c r="C73" s="15" t="n">
        <f aca="false">Sensitivity!$B$279</f>
        <v>-33.7388961345581</v>
      </c>
      <c r="D73" s="16" t="n">
        <f aca="false">Sensitivity!$B$282</f>
        <v>0.188336005761225</v>
      </c>
    </row>
    <row r="74" customFormat="false" ht="15" hidden="false" customHeight="false" outlineLevel="0" collapsed="false">
      <c r="A74" s="3" t="s">
        <v>86</v>
      </c>
      <c r="B74" s="15" t="n">
        <f aca="false">-Sensitivity!$B$316</f>
        <v>116.9499475</v>
      </c>
      <c r="C74" s="15" t="n">
        <f aca="false">Sensitivity!$B$315</f>
        <v>257.925437188775</v>
      </c>
      <c r="D74" s="16" t="n">
        <f aca="false">Sensitivity!$B$318</f>
        <v>0.292473250549915</v>
      </c>
    </row>
    <row r="75" customFormat="false" ht="15" hidden="false" customHeight="false" outlineLevel="0" collapsed="false">
      <c r="A75" s="3" t="s">
        <v>87</v>
      </c>
      <c r="B75" s="15" t="n">
        <f aca="false">-Sensitivity!$B$352</f>
        <v>132.9579475</v>
      </c>
      <c r="C75" s="15" t="n">
        <f aca="false">Sensitivity!$B$351</f>
        <v>208.31850328602</v>
      </c>
      <c r="D75" s="16" t="n">
        <f aca="false">Sensitivity!$B$354</f>
        <v>0.292473250549915</v>
      </c>
    </row>
    <row r="76" customFormat="false" ht="15" hidden="false" customHeight="false" outlineLevel="0" collapsed="false">
      <c r="A76" s="3" t="s">
        <v>88</v>
      </c>
      <c r="B76" s="15" t="n">
        <f aca="false">-Sensitivity!$B$388</f>
        <v>189.8130025</v>
      </c>
      <c r="C76" s="15" t="n">
        <f aca="false">Sensitivity!$B$387</f>
        <v>257.600961401946</v>
      </c>
      <c r="D76" s="16" t="n">
        <f aca="false">Sensitivity!$B$390</f>
        <v>0.292473250549915</v>
      </c>
    </row>
    <row r="77" customFormat="false" ht="15" hidden="false" customHeight="false" outlineLevel="0" collapsed="false">
      <c r="A77" s="3" t="s">
        <v>89</v>
      </c>
      <c r="B77" s="15" t="n">
        <f aca="false">-Sensitivity!$B$424</f>
        <v>381.30656875</v>
      </c>
      <c r="C77" s="15" t="n">
        <f aca="false">Sensitivity!$B$423</f>
        <v>209.278659469093</v>
      </c>
      <c r="D77" s="16" t="n">
        <f aca="false">Sensitivity!$B$426</f>
        <v>0.292473250549915</v>
      </c>
    </row>
    <row r="78" customFormat="false" ht="15" hidden="false" customHeight="false" outlineLevel="0" collapsed="false">
      <c r="A78" s="3" t="s">
        <v>90</v>
      </c>
      <c r="B78" s="15" t="n">
        <f aca="false">-Sensitivity!$B$460</f>
        <v>810.91720875</v>
      </c>
      <c r="C78" s="15" t="n">
        <f aca="false">Sensitivity!$B$459</f>
        <v>117.255627228281</v>
      </c>
      <c r="D78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91</v>
      </c>
    </row>
    <row r="2" customFormat="false" ht="15" hidden="false" customHeight="false" outlineLevel="0" collapsed="false">
      <c r="A2" s="6" t="s">
        <v>92</v>
      </c>
    </row>
    <row r="4" customFormat="false" ht="15" hidden="false" customHeight="false" outlineLevel="0" collapsed="false">
      <c r="A4" s="7" t="s">
        <v>93</v>
      </c>
      <c r="B4" s="7" t="s">
        <v>12</v>
      </c>
      <c r="C4" s="7" t="s">
        <v>94</v>
      </c>
      <c r="D4" s="7" t="s">
        <v>95</v>
      </c>
    </row>
    <row r="6" customFormat="false" ht="15" hidden="false" customHeight="false" outlineLevel="0" collapsed="false">
      <c r="A6" s="8" t="s">
        <v>96</v>
      </c>
    </row>
    <row r="7" customFormat="false" ht="15" hidden="false" customHeight="false" outlineLevel="0" collapsed="false">
      <c r="A7" s="3" t="s">
        <v>97</v>
      </c>
      <c r="B7" s="17" t="n">
        <v>125</v>
      </c>
      <c r="C7" s="3" t="s">
        <v>98</v>
      </c>
      <c r="D7" s="6" t="s">
        <v>99</v>
      </c>
    </row>
    <row r="8" customFormat="false" ht="15" hidden="false" customHeight="false" outlineLevel="0" collapsed="false">
      <c r="A8" s="3" t="s">
        <v>100</v>
      </c>
      <c r="B8" s="18" t="n">
        <v>2</v>
      </c>
      <c r="C8" s="3" t="s">
        <v>101</v>
      </c>
      <c r="D8" s="6" t="s">
        <v>102</v>
      </c>
    </row>
    <row r="9" customFormat="false" ht="15" hidden="false" customHeight="false" outlineLevel="0" collapsed="false">
      <c r="A9" s="3" t="s">
        <v>103</v>
      </c>
      <c r="B9" s="18" t="n">
        <v>2.3</v>
      </c>
      <c r="C9" s="3" t="s">
        <v>101</v>
      </c>
      <c r="D9" s="6" t="s">
        <v>104</v>
      </c>
    </row>
    <row r="10" customFormat="false" ht="15" hidden="false" customHeight="false" outlineLevel="0" collapsed="false">
      <c r="A10" s="3" t="s">
        <v>105</v>
      </c>
      <c r="B10" s="19" t="n">
        <v>24</v>
      </c>
      <c r="C10" s="3" t="s">
        <v>106</v>
      </c>
      <c r="D10" s="6" t="s">
        <v>99</v>
      </c>
    </row>
    <row r="11" customFormat="false" ht="15" hidden="false" customHeight="false" outlineLevel="0" collapsed="false">
      <c r="A11" s="3" t="s">
        <v>107</v>
      </c>
      <c r="B11" s="19" t="n">
        <v>12</v>
      </c>
      <c r="C11" s="3" t="s">
        <v>108</v>
      </c>
      <c r="D11" s="6" t="s">
        <v>109</v>
      </c>
    </row>
    <row r="12" customFormat="false" ht="15" hidden="false" customHeight="false" outlineLevel="0" collapsed="false">
      <c r="A12" s="3" t="s">
        <v>110</v>
      </c>
      <c r="B12" s="19" t="n">
        <v>12</v>
      </c>
      <c r="C12" s="3" t="s">
        <v>111</v>
      </c>
      <c r="D12" s="6" t="s">
        <v>112</v>
      </c>
    </row>
    <row r="13" customFormat="false" ht="15" hidden="false" customHeight="false" outlineLevel="0" collapsed="false">
      <c r="A13" s="3" t="s">
        <v>113</v>
      </c>
      <c r="B13" s="19" t="n">
        <v>54</v>
      </c>
      <c r="C13" s="3" t="s">
        <v>111</v>
      </c>
      <c r="D13" s="6" t="s">
        <v>114</v>
      </c>
    </row>
    <row r="14" customFormat="false" ht="15" hidden="false" customHeight="false" outlineLevel="0" collapsed="false">
      <c r="A14" s="3" t="s">
        <v>115</v>
      </c>
      <c r="B14" s="20" t="n">
        <v>0.14</v>
      </c>
      <c r="C14" s="3" t="s">
        <v>116</v>
      </c>
      <c r="D14" s="6" t="s">
        <v>117</v>
      </c>
    </row>
    <row r="15" customFormat="false" ht="15" hidden="false" customHeight="false" outlineLevel="0" collapsed="false">
      <c r="A15" s="3" t="s">
        <v>118</v>
      </c>
      <c r="B15" s="20" t="n">
        <v>0.03</v>
      </c>
      <c r="C15" s="3" t="s">
        <v>119</v>
      </c>
      <c r="D15" s="6" t="s">
        <v>120</v>
      </c>
    </row>
    <row r="16" customFormat="false" ht="15" hidden="false" customHeight="false" outlineLevel="0" collapsed="false">
      <c r="A16" s="3" t="s">
        <v>121</v>
      </c>
      <c r="B16" s="19" t="n">
        <v>4</v>
      </c>
      <c r="C16" s="3" t="s">
        <v>108</v>
      </c>
      <c r="D16" s="6" t="s">
        <v>122</v>
      </c>
    </row>
    <row r="18" customFormat="false" ht="15" hidden="false" customHeight="false" outlineLevel="0" collapsed="false">
      <c r="A18" s="8" t="s">
        <v>123</v>
      </c>
    </row>
    <row r="19" customFormat="false" ht="15" hidden="false" customHeight="false" outlineLevel="0" collapsed="false">
      <c r="A19" s="3" t="s">
        <v>124</v>
      </c>
      <c r="B19" s="20" t="n">
        <v>0.35</v>
      </c>
      <c r="C19" s="3" t="s">
        <v>119</v>
      </c>
      <c r="D19" s="6" t="s">
        <v>125</v>
      </c>
    </row>
    <row r="20" customFormat="false" ht="15" hidden="false" customHeight="false" outlineLevel="0" collapsed="false">
      <c r="A20" s="3" t="s">
        <v>126</v>
      </c>
      <c r="B20" s="17" t="n">
        <v>850</v>
      </c>
      <c r="C20" s="3" t="s">
        <v>98</v>
      </c>
      <c r="D20" s="6" t="s">
        <v>127</v>
      </c>
    </row>
    <row r="21" customFormat="false" ht="15" hidden="false" customHeight="false" outlineLevel="0" collapsed="false">
      <c r="A21" s="3" t="s">
        <v>128</v>
      </c>
      <c r="B21" s="17" t="n">
        <v>85</v>
      </c>
      <c r="C21" s="3" t="s">
        <v>98</v>
      </c>
      <c r="D21" s="6" t="s">
        <v>129</v>
      </c>
    </row>
    <row r="22" customFormat="false" ht="15" hidden="false" customHeight="false" outlineLevel="0" collapsed="false">
      <c r="A22" s="3" t="s">
        <v>130</v>
      </c>
      <c r="B22" s="17" t="n">
        <v>3342.1696875</v>
      </c>
      <c r="C22" s="3" t="s">
        <v>98</v>
      </c>
      <c r="D22" s="6" t="s">
        <v>131</v>
      </c>
    </row>
    <row r="23" customFormat="false" ht="15" hidden="false" customHeight="false" outlineLevel="0" collapsed="false">
      <c r="A23" s="3" t="s">
        <v>132</v>
      </c>
      <c r="B23" s="20" t="n">
        <v>0.04</v>
      </c>
      <c r="C23" s="3" t="s">
        <v>119</v>
      </c>
      <c r="D23" s="6" t="s">
        <v>133</v>
      </c>
    </row>
    <row r="24" customFormat="false" ht="15" hidden="false" customHeight="false" outlineLevel="0" collapsed="false">
      <c r="A24" s="3" t="s">
        <v>134</v>
      </c>
      <c r="B24" s="20" t="n">
        <v>0.05</v>
      </c>
      <c r="C24" s="3" t="s">
        <v>119</v>
      </c>
      <c r="D24" s="6" t="s">
        <v>135</v>
      </c>
    </row>
    <row r="25" customFormat="false" ht="15" hidden="false" customHeight="false" outlineLevel="0" collapsed="false">
      <c r="A25" s="3" t="s">
        <v>136</v>
      </c>
      <c r="B25" s="20" t="n">
        <v>0.3</v>
      </c>
      <c r="C25" s="3" t="s">
        <v>119</v>
      </c>
      <c r="D25" s="6" t="s">
        <v>137</v>
      </c>
    </row>
    <row r="27" customFormat="false" ht="15" hidden="false" customHeight="false" outlineLevel="0" collapsed="false">
      <c r="A27" s="8" t="s">
        <v>138</v>
      </c>
    </row>
    <row r="28" customFormat="false" ht="15" hidden="false" customHeight="false" outlineLevel="0" collapsed="false">
      <c r="A28" s="3" t="s">
        <v>139</v>
      </c>
      <c r="B28" s="21" t="n">
        <v>250</v>
      </c>
      <c r="C28" s="3" t="s">
        <v>140</v>
      </c>
      <c r="D28" s="6" t="s">
        <v>141</v>
      </c>
    </row>
    <row r="29" customFormat="false" ht="15" hidden="false" customHeight="false" outlineLevel="0" collapsed="false">
      <c r="A29" s="3" t="s">
        <v>142</v>
      </c>
      <c r="B29" s="21" t="n">
        <v>160</v>
      </c>
      <c r="C29" s="3" t="s">
        <v>140</v>
      </c>
      <c r="D29" s="6" t="s">
        <v>143</v>
      </c>
    </row>
    <row r="30" customFormat="false" ht="15" hidden="false" customHeight="false" outlineLevel="0" collapsed="false">
      <c r="A30" s="3" t="s">
        <v>144</v>
      </c>
      <c r="B30" s="21" t="n">
        <v>360</v>
      </c>
      <c r="C30" s="3" t="s">
        <v>140</v>
      </c>
      <c r="D30" s="6" t="s">
        <v>145</v>
      </c>
    </row>
    <row r="31" customFormat="false" ht="15" hidden="false" customHeight="false" outlineLevel="0" collapsed="false">
      <c r="A31" s="3" t="s">
        <v>146</v>
      </c>
      <c r="B31" s="21" t="n">
        <v>240</v>
      </c>
      <c r="C31" s="3" t="s">
        <v>140</v>
      </c>
      <c r="D31" s="6" t="s">
        <v>147</v>
      </c>
    </row>
    <row r="32" customFormat="false" ht="15" hidden="false" customHeight="false" outlineLevel="0" collapsed="false">
      <c r="A32" s="3" t="s">
        <v>148</v>
      </c>
      <c r="B32" s="17" t="n">
        <v>223.65</v>
      </c>
      <c r="C32" s="3" t="s">
        <v>98</v>
      </c>
      <c r="D32" s="6" t="s">
        <v>149</v>
      </c>
    </row>
    <row r="33" customFormat="false" ht="15" hidden="false" customHeight="false" outlineLevel="0" collapsed="false">
      <c r="A33" s="3" t="s">
        <v>150</v>
      </c>
      <c r="B33" s="17" t="n">
        <v>500.976</v>
      </c>
      <c r="C33" s="3" t="s">
        <v>98</v>
      </c>
      <c r="D33" s="6" t="s">
        <v>151</v>
      </c>
    </row>
    <row r="34" customFormat="false" ht="15" hidden="false" customHeight="false" outlineLevel="0" collapsed="false">
      <c r="A34" s="3" t="s">
        <v>152</v>
      </c>
      <c r="B34" s="22" t="n">
        <f aca="false">($B$32/($B$32+$B$33))*($B$30/$B$28)+($B$33/($B$32+$B$33))*($B$31/$B$29)</f>
        <v>1.48148148148148</v>
      </c>
      <c r="C34" s="3" t="s">
        <v>101</v>
      </c>
      <c r="D34" s="6" t="s">
        <v>153</v>
      </c>
    </row>
    <row r="36" customFormat="false" ht="15" hidden="false" customHeight="false" outlineLevel="0" collapsed="false">
      <c r="A36" s="8" t="s">
        <v>154</v>
      </c>
    </row>
    <row r="37" customFormat="false" ht="15" hidden="false" customHeight="false" outlineLevel="0" collapsed="false">
      <c r="A37" s="3" t="s">
        <v>155</v>
      </c>
      <c r="B37" s="23" t="n">
        <v>0.246389245330213</v>
      </c>
      <c r="C37" s="3" t="s">
        <v>119</v>
      </c>
      <c r="D37" s="6" t="s">
        <v>156</v>
      </c>
    </row>
    <row r="38" customFormat="false" ht="15" hidden="false" customHeight="false" outlineLevel="0" collapsed="false">
      <c r="A38" s="3" t="s">
        <v>157</v>
      </c>
      <c r="B38" s="24" t="n">
        <v>0.4</v>
      </c>
      <c r="C38" s="3" t="s">
        <v>101</v>
      </c>
      <c r="D38" s="6" t="s">
        <v>158</v>
      </c>
    </row>
    <row r="39" customFormat="false" ht="15" hidden="false" customHeight="false" outlineLevel="0" collapsed="false">
      <c r="A39" s="3" t="s">
        <v>159</v>
      </c>
      <c r="B39" s="24" t="n">
        <v>1.5</v>
      </c>
      <c r="C39" s="3" t="s">
        <v>101</v>
      </c>
      <c r="D39" s="6" t="s">
        <v>158</v>
      </c>
    </row>
    <row r="40" customFormat="false" ht="15" hidden="false" customHeight="false" outlineLevel="0" collapsed="false">
      <c r="A40" s="3" t="s">
        <v>160</v>
      </c>
      <c r="B40" s="18" t="n">
        <v>1.8</v>
      </c>
      <c r="C40" s="3" t="s">
        <v>101</v>
      </c>
      <c r="D40" s="6" t="s">
        <v>158</v>
      </c>
    </row>
    <row r="41" customFormat="false" ht="15" hidden="false" customHeight="false" outlineLevel="0" collapsed="false">
      <c r="A41" s="3" t="s">
        <v>161</v>
      </c>
      <c r="B41" s="18" t="n">
        <v>2.8</v>
      </c>
      <c r="C41" s="3" t="s">
        <v>101</v>
      </c>
      <c r="D41" s="6" t="s">
        <v>158</v>
      </c>
    </row>
    <row r="42" customFormat="false" ht="15" hidden="false" customHeight="false" outlineLevel="0" collapsed="false">
      <c r="A42" s="3" t="s">
        <v>162</v>
      </c>
      <c r="B42" s="23" t="n">
        <v>0.0361298760263316</v>
      </c>
      <c r="C42" s="3" t="s">
        <v>119</v>
      </c>
      <c r="D42" s="6" t="s">
        <v>163</v>
      </c>
    </row>
    <row r="43" customFormat="false" ht="15" hidden="false" customHeight="false" outlineLevel="0" collapsed="false">
      <c r="A43" s="3" t="s">
        <v>164</v>
      </c>
      <c r="B43" s="18" t="n">
        <v>1.5</v>
      </c>
      <c r="C43" s="3" t="s">
        <v>101</v>
      </c>
      <c r="D43" s="6" t="s">
        <v>165</v>
      </c>
    </row>
    <row r="45" customFormat="false" ht="15" hidden="false" customHeight="false" outlineLevel="0" collapsed="false">
      <c r="A45" s="8" t="s">
        <v>166</v>
      </c>
    </row>
    <row r="46" customFormat="false" ht="15" hidden="false" customHeight="false" outlineLevel="0" collapsed="false">
      <c r="A46" s="3" t="s">
        <v>167</v>
      </c>
      <c r="B46" s="25" t="n">
        <v>595.292929375</v>
      </c>
      <c r="C46" s="3" t="s">
        <v>98</v>
      </c>
      <c r="D46" s="6" t="s">
        <v>168</v>
      </c>
    </row>
    <row r="47" customFormat="false" ht="15" hidden="false" customHeight="false" outlineLevel="0" collapsed="false">
      <c r="A47" s="3" t="s">
        <v>169</v>
      </c>
      <c r="B47" s="25" t="n">
        <v>307.532371091529</v>
      </c>
      <c r="C47" s="3" t="s">
        <v>98</v>
      </c>
      <c r="D47" s="6" t="s">
        <v>170</v>
      </c>
    </row>
    <row r="48" customFormat="false" ht="15" hidden="false" customHeight="false" outlineLevel="0" collapsed="false">
      <c r="A48" s="3" t="s">
        <v>171</v>
      </c>
      <c r="B48" s="25" t="n">
        <v>-102.0180625</v>
      </c>
      <c r="C48" s="3" t="s">
        <v>98</v>
      </c>
      <c r="D48" s="6" t="s">
        <v>172</v>
      </c>
    </row>
    <row r="49" customFormat="false" ht="15" hidden="false" customHeight="false" outlineLevel="0" collapsed="false">
      <c r="A49" s="3" t="s">
        <v>173</v>
      </c>
      <c r="B49" s="25" t="n">
        <v>2673.73575</v>
      </c>
      <c r="C49" s="3" t="s">
        <v>98</v>
      </c>
      <c r="D49" s="6" t="s">
        <v>174</v>
      </c>
    </row>
    <row r="50" customFormat="false" ht="15" hidden="false" customHeight="false" outlineLevel="0" collapsed="false">
      <c r="A50" s="3" t="s">
        <v>175</v>
      </c>
      <c r="B50" s="25" t="n">
        <v>1169.759390625</v>
      </c>
      <c r="C50" s="3" t="s">
        <v>98</v>
      </c>
      <c r="D50" s="6" t="s">
        <v>176</v>
      </c>
    </row>
    <row r="51" customFormat="false" ht="15" hidden="false" customHeight="false" outlineLevel="0" collapsed="false">
      <c r="A51" s="3" t="s">
        <v>177</v>
      </c>
      <c r="B51" s="25" t="n">
        <v>908.68343</v>
      </c>
      <c r="C51" s="3" t="s">
        <v>98</v>
      </c>
      <c r="D51" s="6" t="s">
        <v>178</v>
      </c>
    </row>
    <row r="52" customFormat="false" ht="15" hidden="false" customHeight="false" outlineLevel="0" collapsed="false">
      <c r="A52" s="3" t="s">
        <v>179</v>
      </c>
      <c r="B52" s="24" t="n">
        <v>48</v>
      </c>
      <c r="C52" s="3" t="s">
        <v>180</v>
      </c>
      <c r="D52" s="6" t="s">
        <v>181</v>
      </c>
    </row>
    <row r="54" customFormat="false" ht="15" hidden="false" customHeight="false" outlineLevel="0" collapsed="false">
      <c r="A54" s="3" t="s">
        <v>182</v>
      </c>
      <c r="B54" s="3" t="n">
        <f aca="false">Inputs!$B$12+Inputs!$B$10+3</f>
        <v>39</v>
      </c>
      <c r="C54" s="26" t="s">
        <v>111</v>
      </c>
      <c r="D54" s="6" t="s">
        <v>183</v>
      </c>
    </row>
    <row r="55" customFormat="false" ht="15" hidden="false" customHeight="false" outlineLevel="0" collapsed="false">
      <c r="A55" s="3" t="s">
        <v>184</v>
      </c>
      <c r="B55" s="27" t="n">
        <f aca="false">Inputs!$B$32+Inputs!$B$33</f>
        <v>724.626</v>
      </c>
      <c r="C55" s="26" t="s">
        <v>98</v>
      </c>
      <c r="D55" s="6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186</v>
      </c>
    </row>
    <row r="2" customFormat="false" ht="15" hidden="false" customHeight="false" outlineLevel="0" collapsed="false">
      <c r="A2" s="6" t="s">
        <v>187</v>
      </c>
    </row>
    <row r="4" customFormat="false" ht="15" hidden="false" customHeight="false" outlineLevel="0" collapsed="false">
      <c r="A4" s="7" t="s">
        <v>188</v>
      </c>
      <c r="B4" s="7" t="s">
        <v>189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191</v>
      </c>
      <c r="B5" s="6" t="s">
        <v>192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193</v>
      </c>
      <c r="B6" s="6" t="s">
        <v>194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195</v>
      </c>
      <c r="B7" s="6" t="s">
        <v>196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197</v>
      </c>
      <c r="B8" s="6" t="s">
        <v>198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199</v>
      </c>
      <c r="B9" s="6" t="s">
        <v>200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201</v>
      </c>
      <c r="B10" s="6" t="s">
        <v>202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203</v>
      </c>
      <c r="B11" s="6" t="s">
        <v>204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205</v>
      </c>
      <c r="B12" s="6" t="s">
        <v>206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207</v>
      </c>
      <c r="B13" s="6" t="s">
        <v>208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209</v>
      </c>
      <c r="B14" s="6" t="s">
        <v>210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211</v>
      </c>
      <c r="B15" s="6" t="s">
        <v>212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213</v>
      </c>
      <c r="B16" s="6" t="s">
        <v>214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215</v>
      </c>
      <c r="B17" s="6" t="s">
        <v>216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217</v>
      </c>
    </row>
    <row r="2" customFormat="false" ht="15" hidden="false" customHeight="false" outlineLevel="0" collapsed="false">
      <c r="A2" s="6" t="s">
        <v>218</v>
      </c>
    </row>
    <row r="4" customFormat="false" ht="15" hidden="false" customHeight="false" outlineLevel="0" collapsed="false">
      <c r="A4" s="7" t="s">
        <v>219</v>
      </c>
      <c r="B4" s="7" t="s">
        <v>94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220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193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221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222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223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203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205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224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225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226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227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228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230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171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231</v>
      </c>
    </row>
    <row r="2" customFormat="false" ht="15" hidden="false" customHeight="false" outlineLevel="0" collapsed="false">
      <c r="A2" s="6" t="s">
        <v>232</v>
      </c>
    </row>
    <row r="4" customFormat="false" ht="15" hidden="false" customHeight="false" outlineLevel="0" collapsed="false">
      <c r="A4" s="7" t="s">
        <v>233</v>
      </c>
      <c r="B4" s="7" t="s">
        <v>234</v>
      </c>
      <c r="C4" s="7" t="s">
        <v>235</v>
      </c>
    </row>
    <row r="5" customFormat="false" ht="15" hidden="false" customHeight="false" outlineLevel="0" collapsed="false">
      <c r="A5" s="3" t="s">
        <v>236</v>
      </c>
      <c r="B5" s="27" t="n">
        <f aca="false">Inputs!$B$21</f>
        <v>85</v>
      </c>
      <c r="C5" s="6" t="s">
        <v>237</v>
      </c>
    </row>
    <row r="6" customFormat="false" ht="15" hidden="false" customHeight="false" outlineLevel="0" collapsed="false">
      <c r="A6" s="3" t="s">
        <v>238</v>
      </c>
      <c r="B6" s="27" t="n">
        <f aca="false">-Project_CF!$B$20-Inputs!$B$21</f>
        <v>17.0180625</v>
      </c>
      <c r="C6" s="6" t="s">
        <v>239</v>
      </c>
    </row>
    <row r="7" customFormat="false" ht="15" hidden="false" customHeight="false" outlineLevel="0" collapsed="false">
      <c r="A7" s="3" t="s">
        <v>240</v>
      </c>
      <c r="B7" s="27" t="n">
        <f aca="false">Inputs!$B$24*Project_CF!$C$10*Inputs!$B$25</f>
        <v>10.4574</v>
      </c>
      <c r="C7" s="6" t="s">
        <v>241</v>
      </c>
    </row>
    <row r="8" customFormat="false" ht="15" hidden="false" customHeight="false" outlineLevel="0" collapsed="false">
      <c r="A8" s="2" t="s">
        <v>242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243</v>
      </c>
      <c r="B11" s="7" t="s">
        <v>234</v>
      </c>
      <c r="C11" s="7" t="s">
        <v>235</v>
      </c>
    </row>
    <row r="12" customFormat="false" ht="15" hidden="false" customHeight="false" outlineLevel="0" collapsed="false">
      <c r="A12" s="3" t="s">
        <v>97</v>
      </c>
      <c r="B12" s="27" t="n">
        <f aca="false">Inputs!$B$7</f>
        <v>125</v>
      </c>
      <c r="C12" s="6" t="s">
        <v>244</v>
      </c>
    </row>
    <row r="13" customFormat="false" ht="15" hidden="false" customHeight="false" outlineLevel="0" collapsed="false">
      <c r="A13" s="3" t="s">
        <v>245</v>
      </c>
      <c r="B13" s="27" t="n">
        <f aca="false">MAX(0,B8-B12)</f>
        <v>0</v>
      </c>
      <c r="C13" s="6" t="s">
        <v>6</v>
      </c>
    </row>
    <row r="14" customFormat="false" ht="15" hidden="false" customHeight="false" outlineLevel="0" collapsed="false">
      <c r="A14" s="3" t="s">
        <v>246</v>
      </c>
      <c r="B14" s="27" t="n">
        <f aca="false">B12+B13</f>
        <v>125</v>
      </c>
      <c r="C14" s="6"/>
    </row>
    <row r="15" customFormat="false" ht="15" hidden="false" customHeight="false" outlineLevel="0" collapsed="false">
      <c r="A15" s="3" t="s">
        <v>247</v>
      </c>
      <c r="B15" s="27" t="n">
        <f aca="false">MAX(0,B12-B8)</f>
        <v>12.5245375</v>
      </c>
      <c r="C15" s="6" t="s">
        <v>248</v>
      </c>
    </row>
    <row r="16" customFormat="false" ht="15" hidden="false" customHeight="false" outlineLevel="0" collapsed="false">
      <c r="A16" s="3" t="s">
        <v>249</v>
      </c>
      <c r="B16" s="36" t="n">
        <f aca="false">B12/-Project_CF!$B$20</f>
        <v>1.22527322061228</v>
      </c>
      <c r="C16" s="6"/>
    </row>
    <row r="17" customFormat="false" ht="15" hidden="false" customHeight="false" outlineLevel="0" collapsed="false">
      <c r="A17" s="3" t="s">
        <v>250</v>
      </c>
      <c r="B17" s="36" t="n">
        <f aca="false">MIN(B12,B8)/B8</f>
        <v>1</v>
      </c>
      <c r="C17" s="6"/>
    </row>
    <row r="18" customFormat="false" ht="15" hidden="false" customHeight="false" outlineLevel="0" collapsed="false">
      <c r="A18" s="3" t="s">
        <v>251</v>
      </c>
      <c r="B18" s="27" t="n">
        <f aca="false">MAX(0,B12+Project_CF!$B$20)</f>
        <v>22.9819375</v>
      </c>
      <c r="C18" s="6" t="s">
        <v>248</v>
      </c>
    </row>
    <row r="20" customFormat="false" ht="15" hidden="false" customHeight="false" outlineLevel="0" collapsed="false">
      <c r="A20" s="2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253</v>
      </c>
    </row>
    <row r="2" customFormat="false" ht="15" hidden="false" customHeight="false" outlineLevel="0" collapsed="false">
      <c r="A2" s="6" t="s">
        <v>254</v>
      </c>
    </row>
    <row r="4" customFormat="false" ht="15" hidden="false" customHeight="false" outlineLevel="0" collapsed="false">
      <c r="A4" s="7" t="s">
        <v>255</v>
      </c>
      <c r="B4" s="7" t="s">
        <v>12</v>
      </c>
      <c r="C4" s="7" t="s">
        <v>94</v>
      </c>
    </row>
    <row r="5" customFormat="false" ht="15" hidden="false" customHeight="false" outlineLevel="0" collapsed="false">
      <c r="A5" s="3" t="s">
        <v>256</v>
      </c>
      <c r="B5" s="27" t="n">
        <f aca="false">Inputs!$B$8*Inputs!$B$7</f>
        <v>250</v>
      </c>
      <c r="C5" s="26" t="s">
        <v>98</v>
      </c>
    </row>
    <row r="6" customFormat="false" ht="15" hidden="false" customHeight="false" outlineLevel="0" collapsed="false">
      <c r="A6" s="3" t="s">
        <v>257</v>
      </c>
      <c r="B6" s="36" t="n">
        <f aca="false">B5/Inputs!$B$55</f>
        <v>0.345005561489651</v>
      </c>
    </row>
    <row r="7" customFormat="false" ht="15" hidden="false" customHeight="false" outlineLevel="0" collapsed="false">
      <c r="A7" s="3" t="s">
        <v>258</v>
      </c>
      <c r="B7" s="27" t="n">
        <f aca="false">B5*Inputs!$B$32/Inputs!$B$55</f>
        <v>77.1604938271605</v>
      </c>
      <c r="C7" s="26" t="s">
        <v>98</v>
      </c>
    </row>
    <row r="8" customFormat="false" ht="15" hidden="false" customHeight="false" outlineLevel="0" collapsed="false">
      <c r="A8" s="3" t="s">
        <v>259</v>
      </c>
      <c r="B8" s="27" t="n">
        <f aca="false">B5*Inputs!$B$33/Inputs!$B$55</f>
        <v>172.83950617284</v>
      </c>
      <c r="C8" s="26" t="s">
        <v>98</v>
      </c>
    </row>
    <row r="9" customFormat="false" ht="15" hidden="false" customHeight="false" outlineLevel="0" collapsed="false">
      <c r="A9" s="3" t="s">
        <v>260</v>
      </c>
      <c r="B9" s="37" t="n">
        <f aca="false">B7*1000/Inputs!$B$28</f>
        <v>308.641975308642</v>
      </c>
      <c r="C9" s="26" t="s">
        <v>261</v>
      </c>
    </row>
    <row r="10" customFormat="false" ht="15" hidden="false" customHeight="false" outlineLevel="0" collapsed="false">
      <c r="A10" s="3" t="s">
        <v>262</v>
      </c>
      <c r="B10" s="37" t="n">
        <f aca="false">B8*1000/Inputs!$B$29</f>
        <v>1080.24691358025</v>
      </c>
      <c r="C10" s="26" t="s">
        <v>261</v>
      </c>
    </row>
    <row r="11" customFormat="false" ht="15" hidden="false" customHeight="false" outlineLevel="0" collapsed="false">
      <c r="A11" s="3" t="s">
        <v>263</v>
      </c>
      <c r="B11" s="27" t="n">
        <f aca="false">B5*Inputs!$B$34</f>
        <v>370.37037037037</v>
      </c>
      <c r="C11" s="26" t="s">
        <v>98</v>
      </c>
    </row>
    <row r="12" customFormat="false" ht="15" hidden="false" customHeight="false" outlineLevel="0" collapsed="false">
      <c r="A12" s="3" t="s">
        <v>264</v>
      </c>
      <c r="B12" s="27" t="n">
        <f aca="false">Inputs!$B$19*B5</f>
        <v>87.5</v>
      </c>
      <c r="C12" s="26" t="s">
        <v>98</v>
      </c>
    </row>
    <row r="15" customFormat="false" ht="15" hidden="false" customHeight="false" outlineLevel="0" collapsed="false">
      <c r="A15" s="7" t="s">
        <v>265</v>
      </c>
      <c r="B15" s="7" t="s">
        <v>190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193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266</v>
      </c>
      <c r="B17" s="38" t="n">
        <f aca="false">SUM(D17:BK17)</f>
        <v>234.259259259259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-125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89.8148148148148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89.8148148148148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89.8148148148148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89.8148148148148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267</v>
      </c>
      <c r="B18" s="38" t="n">
        <f aca="false">SUM(D18:BK18)</f>
        <v>125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125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268</v>
      </c>
      <c r="B19" s="38" t="n">
        <f aca="false">SUM(D19:BK19)</f>
        <v>-250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-6.25</v>
      </c>
      <c r="I19" s="33" t="n">
        <f aca="false">-$B$6*Source_Data!I$14</f>
        <v>-12.5</v>
      </c>
      <c r="J19" s="33" t="n">
        <f aca="false">-$B$6*Source_Data!J$14</f>
        <v>-9.375</v>
      </c>
      <c r="K19" s="33" t="n">
        <f aca="false">-$B$6*Source_Data!K$14</f>
        <v>-6.875</v>
      </c>
      <c r="L19" s="33" t="n">
        <f aca="false">-$B$6*Source_Data!L$14</f>
        <v>-6.875</v>
      </c>
      <c r="M19" s="33" t="n">
        <f aca="false">-$B$6*Source_Data!M$14</f>
        <v>-6.875</v>
      </c>
      <c r="N19" s="33" t="n">
        <f aca="false">-$B$6*Source_Data!N$14</f>
        <v>-6.875</v>
      </c>
      <c r="O19" s="33" t="n">
        <f aca="false">-$B$6*Source_Data!O$14</f>
        <v>-6.875</v>
      </c>
      <c r="P19" s="33" t="n">
        <f aca="false">-$B$6*Source_Data!P$14</f>
        <v>-6.875</v>
      </c>
      <c r="Q19" s="33" t="n">
        <f aca="false">-$B$6*Source_Data!Q$14</f>
        <v>-6.875</v>
      </c>
      <c r="R19" s="33" t="n">
        <f aca="false">-$B$6*Source_Data!R$14</f>
        <v>-56.875</v>
      </c>
      <c r="S19" s="33" t="n">
        <f aca="false">-$B$6*Source_Data!S$14</f>
        <v>-6.875</v>
      </c>
      <c r="T19" s="33" t="n">
        <f aca="false">-$B$6*Source_Data!T$14</f>
        <v>-6.875</v>
      </c>
      <c r="U19" s="33" t="n">
        <f aca="false">-$B$6*Source_Data!U$14</f>
        <v>-6.875</v>
      </c>
      <c r="V19" s="33" t="n">
        <f aca="false">-$B$6*Source_Data!V$14</f>
        <v>-6.25</v>
      </c>
      <c r="W19" s="33" t="n">
        <f aca="false">-$B$6*Source_Data!W$14</f>
        <v>-5.625</v>
      </c>
      <c r="X19" s="33" t="n">
        <f aca="false">-$B$6*Source_Data!X$14</f>
        <v>-5.625</v>
      </c>
      <c r="Y19" s="33" t="n">
        <f aca="false">-$B$6*Source_Data!Y$14</f>
        <v>-5.625</v>
      </c>
      <c r="Z19" s="33" t="n">
        <f aca="false">-$B$6*Source_Data!Z$14</f>
        <v>-5.625</v>
      </c>
      <c r="AA19" s="33" t="n">
        <f aca="false">-$B$6*Source_Data!AA$14</f>
        <v>-5</v>
      </c>
      <c r="AB19" s="33" t="n">
        <f aca="false">-$B$6*Source_Data!AB$14</f>
        <v>-5</v>
      </c>
      <c r="AC19" s="33" t="n">
        <f aca="false">-$B$6*Source_Data!AC$14</f>
        <v>-5</v>
      </c>
      <c r="AD19" s="33" t="n">
        <f aca="false">-$B$6*Source_Data!AD$14</f>
        <v>-5</v>
      </c>
      <c r="AE19" s="33" t="n">
        <f aca="false">-$B$6*Source_Data!AE$14</f>
        <v>-5</v>
      </c>
      <c r="AF19" s="33" t="n">
        <f aca="false">-$B$6*Source_Data!AF$14</f>
        <v>-5</v>
      </c>
      <c r="AG19" s="33" t="n">
        <f aca="false">-$B$6*Source_Data!AG$14</f>
        <v>-5</v>
      </c>
      <c r="AH19" s="33" t="n">
        <f aca="false">-$B$6*Source_Data!AH$14</f>
        <v>-5</v>
      </c>
      <c r="AI19" s="33" t="n">
        <f aca="false">-$B$6*Source_Data!AI$14</f>
        <v>-5</v>
      </c>
      <c r="AJ19" s="33" t="n">
        <f aca="false">-$B$6*Source_Data!AJ$14</f>
        <v>-5</v>
      </c>
      <c r="AK19" s="33" t="n">
        <f aca="false">-$B$6*Source_Data!AK$14</f>
        <v>-5</v>
      </c>
      <c r="AL19" s="33" t="n">
        <f aca="false">-$B$6*Source_Data!AL$14</f>
        <v>-5</v>
      </c>
      <c r="AM19" s="33" t="n">
        <f aca="false">-$B$6*Source_Data!AM$14</f>
        <v>-2.5</v>
      </c>
      <c r="AN19" s="33" t="n">
        <f aca="false">-$B$6*Source_Data!AN$14</f>
        <v>-2.5</v>
      </c>
      <c r="AO19" s="33" t="n">
        <f aca="false">-$B$6*Source_Data!AO$14</f>
        <v>-2.5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269</v>
      </c>
      <c r="B20" s="38" t="n">
        <f aca="false">SUM(D20:BK20)</f>
        <v>10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5</v>
      </c>
      <c r="M20" s="33" t="n">
        <f aca="false">$B$6*Source_Data!M$17*Inputs!$B$23</f>
        <v>5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270</v>
      </c>
      <c r="B21" s="38" t="n">
        <f aca="false">SUM(D21:BK21)</f>
        <v>-115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125</v>
      </c>
      <c r="H21" s="33" t="n">
        <f aca="false">H18+H19+H20</f>
        <v>-6.25</v>
      </c>
      <c r="I21" s="33" t="n">
        <f aca="false">I18+I19+I20</f>
        <v>-12.5</v>
      </c>
      <c r="J21" s="33" t="n">
        <f aca="false">J18+J19+J20</f>
        <v>-9.375</v>
      </c>
      <c r="K21" s="33" t="n">
        <f aca="false">K18+K19+K20</f>
        <v>-6.875</v>
      </c>
      <c r="L21" s="33" t="n">
        <f aca="false">L18+L19+L20</f>
        <v>-1.875</v>
      </c>
      <c r="M21" s="33" t="n">
        <f aca="false">M18+M19+M20</f>
        <v>-1.875</v>
      </c>
      <c r="N21" s="33" t="n">
        <f aca="false">N18+N19+N20</f>
        <v>-6.875</v>
      </c>
      <c r="O21" s="33" t="n">
        <f aca="false">O18+O19+O20</f>
        <v>-6.875</v>
      </c>
      <c r="P21" s="33" t="n">
        <f aca="false">P18+P19+P20</f>
        <v>-6.875</v>
      </c>
      <c r="Q21" s="33" t="n">
        <f aca="false">Q18+Q19+Q20</f>
        <v>-6.875</v>
      </c>
      <c r="R21" s="33" t="n">
        <f aca="false">R18+R19+R20</f>
        <v>-56.875</v>
      </c>
      <c r="S21" s="33" t="n">
        <f aca="false">S18+S19+S20</f>
        <v>-6.875</v>
      </c>
      <c r="T21" s="33" t="n">
        <f aca="false">T18+T19+T20</f>
        <v>-6.875</v>
      </c>
      <c r="U21" s="33" t="n">
        <f aca="false">U18+U19+U20</f>
        <v>-6.875</v>
      </c>
      <c r="V21" s="33" t="n">
        <f aca="false">V18+V19+V20</f>
        <v>-6.25</v>
      </c>
      <c r="W21" s="33" t="n">
        <f aca="false">W18+W19+W20</f>
        <v>-5.625</v>
      </c>
      <c r="X21" s="33" t="n">
        <f aca="false">X18+X19+X20</f>
        <v>-5.625</v>
      </c>
      <c r="Y21" s="33" t="n">
        <f aca="false">Y18+Y19+Y20</f>
        <v>-5.625</v>
      </c>
      <c r="Z21" s="33" t="n">
        <f aca="false">Z18+Z19+Z20</f>
        <v>-5.625</v>
      </c>
      <c r="AA21" s="33" t="n">
        <f aca="false">AA18+AA19+AA20</f>
        <v>-5</v>
      </c>
      <c r="AB21" s="33" t="n">
        <f aca="false">AB18+AB19+AB20</f>
        <v>-5</v>
      </c>
      <c r="AC21" s="33" t="n">
        <f aca="false">AC18+AC19+AC20</f>
        <v>-5</v>
      </c>
      <c r="AD21" s="33" t="n">
        <f aca="false">AD18+AD19+AD20</f>
        <v>-5</v>
      </c>
      <c r="AE21" s="33" t="n">
        <f aca="false">AE18+AE19+AE20</f>
        <v>-5</v>
      </c>
      <c r="AF21" s="33" t="n">
        <f aca="false">AF18+AF19+AF20</f>
        <v>-5</v>
      </c>
      <c r="AG21" s="33" t="n">
        <f aca="false">AG18+AG19+AG20</f>
        <v>-5</v>
      </c>
      <c r="AH21" s="33" t="n">
        <f aca="false">AH18+AH19+AH20</f>
        <v>-5</v>
      </c>
      <c r="AI21" s="33" t="n">
        <f aca="false">AI18+AI19+AI20</f>
        <v>-5</v>
      </c>
      <c r="AJ21" s="33" t="n">
        <f aca="false">AJ18+AJ19+AJ20</f>
        <v>-5</v>
      </c>
      <c r="AK21" s="33" t="n">
        <f aca="false">AK18+AK19+AK20</f>
        <v>-5</v>
      </c>
      <c r="AL21" s="33" t="n">
        <f aca="false">AL18+AL19+AL20</f>
        <v>-5</v>
      </c>
      <c r="AM21" s="33" t="n">
        <f aca="false">AM18+AM19+AM20</f>
        <v>-2.5</v>
      </c>
      <c r="AN21" s="33" t="n">
        <f aca="false">AN18+AN19+AN20</f>
        <v>-2.5</v>
      </c>
      <c r="AO21" s="33" t="n">
        <f aca="false">AO18+AO19+AO20</f>
        <v>-2.5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271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125</v>
      </c>
      <c r="H22" s="33" t="n">
        <f aca="false">G22+H21</f>
        <v>118.75</v>
      </c>
      <c r="I22" s="33" t="n">
        <f aca="false">H22+I21</f>
        <v>106.25</v>
      </c>
      <c r="J22" s="33" t="n">
        <f aca="false">I22+J21</f>
        <v>96.875</v>
      </c>
      <c r="K22" s="33" t="n">
        <f aca="false">J22+K21</f>
        <v>90</v>
      </c>
      <c r="L22" s="33" t="n">
        <f aca="false">K22+L21</f>
        <v>88.125</v>
      </c>
      <c r="M22" s="33" t="n">
        <f aca="false">L22+M21</f>
        <v>86.25</v>
      </c>
      <c r="N22" s="33" t="n">
        <f aca="false">M22+N21</f>
        <v>79.375</v>
      </c>
      <c r="O22" s="33" t="n">
        <f aca="false">N22+O21</f>
        <v>72.5</v>
      </c>
      <c r="P22" s="33" t="n">
        <f aca="false">O22+P21</f>
        <v>65.625</v>
      </c>
      <c r="Q22" s="33" t="n">
        <f aca="false">P22+Q21</f>
        <v>58.75</v>
      </c>
      <c r="R22" s="33" t="n">
        <f aca="false">Q22+R21</f>
        <v>1.87499999999999</v>
      </c>
      <c r="S22" s="33" t="n">
        <f aca="false">R22+S21</f>
        <v>-5.00000000000001</v>
      </c>
      <c r="T22" s="33" t="n">
        <f aca="false">S22+T21</f>
        <v>-11.875</v>
      </c>
      <c r="U22" s="33" t="n">
        <f aca="false">T22+U21</f>
        <v>-18.75</v>
      </c>
      <c r="V22" s="33" t="n">
        <f aca="false">U22+V21</f>
        <v>-25</v>
      </c>
      <c r="W22" s="33" t="n">
        <f aca="false">V22+W21</f>
        <v>-30.625</v>
      </c>
      <c r="X22" s="33" t="n">
        <f aca="false">W22+X21</f>
        <v>-36.25</v>
      </c>
      <c r="Y22" s="33" t="n">
        <f aca="false">X22+Y21</f>
        <v>-41.875</v>
      </c>
      <c r="Z22" s="33" t="n">
        <f aca="false">Y22+Z21</f>
        <v>-47.5</v>
      </c>
      <c r="AA22" s="33" t="n">
        <f aca="false">Z22+AA21</f>
        <v>-52.5</v>
      </c>
      <c r="AB22" s="33" t="n">
        <f aca="false">AA22+AB21</f>
        <v>-57.5</v>
      </c>
      <c r="AC22" s="33" t="n">
        <f aca="false">AB22+AC21</f>
        <v>-62.5</v>
      </c>
      <c r="AD22" s="33" t="n">
        <f aca="false">AC22+AD21</f>
        <v>-67.5</v>
      </c>
      <c r="AE22" s="33" t="n">
        <f aca="false">AD22+AE21</f>
        <v>-72.5</v>
      </c>
      <c r="AF22" s="33" t="n">
        <f aca="false">AE22+AF21</f>
        <v>-77.5</v>
      </c>
      <c r="AG22" s="33" t="n">
        <f aca="false">AF22+AG21</f>
        <v>-82.5</v>
      </c>
      <c r="AH22" s="33" t="n">
        <f aca="false">AG22+AH21</f>
        <v>-87.5</v>
      </c>
      <c r="AI22" s="33" t="n">
        <f aca="false">AH22+AI21</f>
        <v>-92.5</v>
      </c>
      <c r="AJ22" s="33" t="n">
        <f aca="false">AI22+AJ21</f>
        <v>-97.5</v>
      </c>
      <c r="AK22" s="33" t="n">
        <f aca="false">AJ22+AK21</f>
        <v>-102.5</v>
      </c>
      <c r="AL22" s="33" t="n">
        <f aca="false">AK22+AL21</f>
        <v>-107.5</v>
      </c>
      <c r="AM22" s="33" t="n">
        <f aca="false">AL22+AM21</f>
        <v>-110</v>
      </c>
      <c r="AN22" s="33" t="n">
        <f aca="false">AM22+AN21</f>
        <v>-112.5</v>
      </c>
      <c r="AO22" s="33" t="n">
        <f aca="false">AN22+AO21</f>
        <v>-115</v>
      </c>
      <c r="AP22" s="33" t="n">
        <f aca="false">AO22+AP21</f>
        <v>-115</v>
      </c>
      <c r="AQ22" s="33" t="n">
        <f aca="false">AP22+AQ21</f>
        <v>-115</v>
      </c>
      <c r="AR22" s="33" t="n">
        <f aca="false">AQ22+AR21</f>
        <v>-115</v>
      </c>
      <c r="AS22" s="33" t="n">
        <f aca="false">AR22+AS21</f>
        <v>-115</v>
      </c>
      <c r="AT22" s="33" t="n">
        <f aca="false">AS22+AT21</f>
        <v>-115</v>
      </c>
      <c r="AU22" s="33" t="n">
        <f aca="false">AT22+AU21</f>
        <v>-115</v>
      </c>
      <c r="AV22" s="33" t="n">
        <f aca="false">AU22+AV21</f>
        <v>-115</v>
      </c>
      <c r="AW22" s="33" t="n">
        <f aca="false">AV22+AW21</f>
        <v>-115</v>
      </c>
      <c r="AX22" s="33" t="n">
        <f aca="false">AW22+AX21</f>
        <v>-115</v>
      </c>
      <c r="AY22" s="33" t="n">
        <f aca="false">AX22+AY21</f>
        <v>-115</v>
      </c>
      <c r="AZ22" s="33" t="n">
        <f aca="false">AY22+AZ21</f>
        <v>-115</v>
      </c>
      <c r="BA22" s="33" t="n">
        <f aca="false">AZ22+BA21</f>
        <v>-115</v>
      </c>
      <c r="BB22" s="33" t="n">
        <f aca="false">BA22+BB21</f>
        <v>-115</v>
      </c>
      <c r="BC22" s="33" t="n">
        <f aca="false">BB22+BC21</f>
        <v>-115</v>
      </c>
      <c r="BD22" s="33" t="n">
        <f aca="false">BC22+BD21</f>
        <v>-115</v>
      </c>
      <c r="BE22" s="33" t="n">
        <f aca="false">BD22+BE21</f>
        <v>-115</v>
      </c>
      <c r="BF22" s="33" t="n">
        <f aca="false">BE22+BF21</f>
        <v>-115</v>
      </c>
      <c r="BG22" s="33" t="n">
        <f aca="false">BF22+BG21</f>
        <v>-115</v>
      </c>
      <c r="BH22" s="33" t="n">
        <f aca="false">BG22+BH21</f>
        <v>-115</v>
      </c>
      <c r="BI22" s="33" t="n">
        <f aca="false">BH22+BI21</f>
        <v>-115</v>
      </c>
      <c r="BJ22" s="33" t="n">
        <f aca="false">BI22+BJ21</f>
        <v>-115</v>
      </c>
      <c r="BK22" s="33" t="n">
        <f aca="false">BJ22+BK21</f>
        <v>-115</v>
      </c>
    </row>
    <row r="25" customFormat="false" ht="15" hidden="false" customHeight="false" outlineLevel="0" collapsed="false">
      <c r="A25" s="7" t="s">
        <v>272</v>
      </c>
      <c r="B25" s="7" t="s">
        <v>12</v>
      </c>
      <c r="C25" s="7" t="s">
        <v>273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274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275</v>
      </c>
    </row>
    <row r="29" customFormat="false" ht="15" hidden="false" customHeight="false" outlineLevel="0" collapsed="false">
      <c r="A29" s="3" t="s">
        <v>276</v>
      </c>
      <c r="B29" s="39" t="n">
        <f aca="false">(1+IRR(D21:BK21,0.05))^4-1</f>
        <v>0.225573897725612</v>
      </c>
      <c r="C29" s="6" t="s">
        <v>277</v>
      </c>
    </row>
    <row r="30" customFormat="false" ht="15" hidden="false" customHeight="false" outlineLevel="0" collapsed="false">
      <c r="A30" s="3" t="s">
        <v>278</v>
      </c>
      <c r="B30" s="41" t="n">
        <f aca="false">SUMPRODUCT(D21:BK21,Project_CF!$D$15:$BK$15)</f>
        <v>-26.0031383441458</v>
      </c>
      <c r="C30" s="6"/>
    </row>
    <row r="31" customFormat="false" ht="15" hidden="false" customHeight="false" outlineLevel="0" collapsed="false">
      <c r="A31" s="3" t="s">
        <v>279</v>
      </c>
      <c r="B31" s="41" t="n">
        <f aca="false">B21</f>
        <v>-115</v>
      </c>
      <c r="C31" s="6"/>
    </row>
    <row r="32" customFormat="false" ht="15" hidden="false" customHeight="false" outlineLevel="0" collapsed="false">
      <c r="A32" s="3" t="s">
        <v>280</v>
      </c>
      <c r="B32" s="41" t="n">
        <f aca="false">Project_CF!$B$19+B30</f>
        <v>281.529232747383</v>
      </c>
      <c r="C32" s="6" t="s">
        <v>281</v>
      </c>
    </row>
    <row r="33" customFormat="false" ht="15" hidden="false" customHeight="false" outlineLevel="0" collapsed="false">
      <c r="A33" s="3" t="s">
        <v>282</v>
      </c>
      <c r="B33" s="41" t="n">
        <f aca="false">MIN(D38:BK38)</f>
        <v>-146.5669475</v>
      </c>
      <c r="C33" s="6" t="s">
        <v>283</v>
      </c>
    </row>
    <row r="35" customFormat="false" ht="15" hidden="false" customHeight="false" outlineLevel="0" collapsed="false">
      <c r="A35" s="3" t="s">
        <v>284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-125</v>
      </c>
      <c r="H35" s="33" t="n">
        <f aca="false">G35+H17</f>
        <v>-125</v>
      </c>
      <c r="I35" s="33" t="n">
        <f aca="false">H35+I17</f>
        <v>-125</v>
      </c>
      <c r="J35" s="33" t="n">
        <f aca="false">I35+J17</f>
        <v>-125</v>
      </c>
      <c r="K35" s="33" t="n">
        <f aca="false">J35+K17</f>
        <v>-125</v>
      </c>
      <c r="L35" s="33" t="n">
        <f aca="false">K35+L17</f>
        <v>-125</v>
      </c>
      <c r="M35" s="33" t="n">
        <f aca="false">L35+M17</f>
        <v>-125</v>
      </c>
      <c r="N35" s="33" t="n">
        <f aca="false">M35+N17</f>
        <v>-125</v>
      </c>
      <c r="O35" s="33" t="n">
        <f aca="false">N35+O17</f>
        <v>-125</v>
      </c>
      <c r="P35" s="33" t="n">
        <f aca="false">O35+P17</f>
        <v>-125</v>
      </c>
      <c r="Q35" s="33" t="n">
        <f aca="false">P35+Q17</f>
        <v>-125</v>
      </c>
      <c r="R35" s="33" t="n">
        <f aca="false">Q35+R17</f>
        <v>-125</v>
      </c>
      <c r="S35" s="33" t="n">
        <f aca="false">R35+S17</f>
        <v>-125</v>
      </c>
      <c r="T35" s="33" t="n">
        <f aca="false">S35+T17</f>
        <v>-125</v>
      </c>
      <c r="U35" s="33" t="n">
        <f aca="false">T35+U17</f>
        <v>-125</v>
      </c>
      <c r="V35" s="33" t="n">
        <f aca="false">U35+V17</f>
        <v>-35.1851851851852</v>
      </c>
      <c r="W35" s="33" t="n">
        <f aca="false">V35+W17</f>
        <v>54.6296296296296</v>
      </c>
      <c r="X35" s="33" t="n">
        <f aca="false">W35+X17</f>
        <v>144.444444444444</v>
      </c>
      <c r="Y35" s="33" t="n">
        <f aca="false">X35+Y17</f>
        <v>234.259259259259</v>
      </c>
      <c r="Z35" s="33" t="n">
        <f aca="false">Y35+Z17</f>
        <v>234.259259259259</v>
      </c>
      <c r="AA35" s="33" t="n">
        <f aca="false">Z35+AA17</f>
        <v>234.259259259259</v>
      </c>
      <c r="AB35" s="33" t="n">
        <f aca="false">AA35+AB17</f>
        <v>234.259259259259</v>
      </c>
      <c r="AC35" s="33" t="n">
        <f aca="false">AB35+AC17</f>
        <v>234.259259259259</v>
      </c>
      <c r="AD35" s="33" t="n">
        <f aca="false">AC35+AD17</f>
        <v>234.259259259259</v>
      </c>
      <c r="AE35" s="33" t="n">
        <f aca="false">AD35+AE17</f>
        <v>234.259259259259</v>
      </c>
      <c r="AF35" s="33" t="n">
        <f aca="false">AE35+AF17</f>
        <v>234.259259259259</v>
      </c>
      <c r="AG35" s="33" t="n">
        <f aca="false">AF35+AG17</f>
        <v>234.259259259259</v>
      </c>
      <c r="AH35" s="33" t="n">
        <f aca="false">AG35+AH17</f>
        <v>234.259259259259</v>
      </c>
      <c r="AI35" s="33" t="n">
        <f aca="false">AH35+AI17</f>
        <v>234.259259259259</v>
      </c>
      <c r="AJ35" s="33" t="n">
        <f aca="false">AI35+AJ17</f>
        <v>234.259259259259</v>
      </c>
      <c r="AK35" s="33" t="n">
        <f aca="false">AJ35+AK17</f>
        <v>234.259259259259</v>
      </c>
      <c r="AL35" s="33" t="n">
        <f aca="false">AK35+AL17</f>
        <v>234.259259259259</v>
      </c>
      <c r="AM35" s="33" t="n">
        <f aca="false">AL35+AM17</f>
        <v>234.259259259259</v>
      </c>
      <c r="AN35" s="33" t="n">
        <f aca="false">AM35+AN17</f>
        <v>234.259259259259</v>
      </c>
      <c r="AO35" s="33" t="n">
        <f aca="false">AN35+AO17</f>
        <v>234.259259259259</v>
      </c>
      <c r="AP35" s="33" t="n">
        <f aca="false">AO35+AP17</f>
        <v>234.259259259259</v>
      </c>
      <c r="AQ35" s="33" t="n">
        <f aca="false">AP35+AQ17</f>
        <v>234.259259259259</v>
      </c>
      <c r="AR35" s="33" t="n">
        <f aca="false">AQ35+AR17</f>
        <v>234.259259259259</v>
      </c>
      <c r="AS35" s="33" t="n">
        <f aca="false">AR35+AS17</f>
        <v>234.259259259259</v>
      </c>
      <c r="AT35" s="33" t="n">
        <f aca="false">AS35+AT17</f>
        <v>234.259259259259</v>
      </c>
      <c r="AU35" s="33" t="n">
        <f aca="false">AT35+AU17</f>
        <v>234.259259259259</v>
      </c>
      <c r="AV35" s="33" t="n">
        <f aca="false">AU35+AV17</f>
        <v>234.259259259259</v>
      </c>
      <c r="AW35" s="33" t="n">
        <f aca="false">AV35+AW17</f>
        <v>234.259259259259</v>
      </c>
      <c r="AX35" s="33" t="n">
        <f aca="false">AW35+AX17</f>
        <v>234.259259259259</v>
      </c>
      <c r="AY35" s="33" t="n">
        <f aca="false">AX35+AY17</f>
        <v>234.259259259259</v>
      </c>
      <c r="AZ35" s="33" t="n">
        <f aca="false">AY35+AZ17</f>
        <v>234.259259259259</v>
      </c>
      <c r="BA35" s="33" t="n">
        <f aca="false">AZ35+BA17</f>
        <v>234.259259259259</v>
      </c>
      <c r="BB35" s="33" t="n">
        <f aca="false">BA35+BB17</f>
        <v>234.259259259259</v>
      </c>
      <c r="BC35" s="33" t="n">
        <f aca="false">BB35+BC17</f>
        <v>234.259259259259</v>
      </c>
      <c r="BD35" s="33" t="n">
        <f aca="false">BC35+BD17</f>
        <v>234.259259259259</v>
      </c>
      <c r="BE35" s="33" t="n">
        <f aca="false">BD35+BE17</f>
        <v>234.259259259259</v>
      </c>
      <c r="BF35" s="33" t="n">
        <f aca="false">BE35+BF17</f>
        <v>234.259259259259</v>
      </c>
      <c r="BG35" s="33" t="n">
        <f aca="false">BF35+BG17</f>
        <v>234.259259259259</v>
      </c>
      <c r="BH35" s="33" t="n">
        <f aca="false">BG35+BH17</f>
        <v>234.259259259259</v>
      </c>
      <c r="BI35" s="33" t="n">
        <f aca="false">BH35+BI17</f>
        <v>234.259259259259</v>
      </c>
      <c r="BJ35" s="33" t="n">
        <f aca="false">BI35+BJ17</f>
        <v>234.259259259259</v>
      </c>
      <c r="BK35" s="33" t="n">
        <f aca="false">BJ35+BK17</f>
        <v>234.259259259259</v>
      </c>
    </row>
    <row r="36" customFormat="false" ht="15" hidden="false" customHeight="false" outlineLevel="0" collapsed="false">
      <c r="A36" s="3" t="s">
        <v>285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286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125</v>
      </c>
      <c r="H37" s="27" t="n">
        <f aca="false">IF(H16&gt;=Inputs!$B$12,Inputs!$B$7,0)</f>
        <v>125</v>
      </c>
      <c r="I37" s="27" t="n">
        <f aca="false">IF(I16&gt;=Inputs!$B$12,Inputs!$B$7,0)</f>
        <v>125</v>
      </c>
      <c r="J37" s="27" t="n">
        <f aca="false">IF(J16&gt;=Inputs!$B$12,Inputs!$B$7,0)</f>
        <v>125</v>
      </c>
      <c r="K37" s="27" t="n">
        <f aca="false">IF(K16&gt;=Inputs!$B$12,Inputs!$B$7,0)</f>
        <v>125</v>
      </c>
      <c r="L37" s="27" t="n">
        <f aca="false">IF(L16&gt;=Inputs!$B$12,Inputs!$B$7,0)</f>
        <v>125</v>
      </c>
      <c r="M37" s="27" t="n">
        <f aca="false">IF(M16&gt;=Inputs!$B$12,Inputs!$B$7,0)</f>
        <v>125</v>
      </c>
      <c r="N37" s="27" t="n">
        <f aca="false">IF(N16&gt;=Inputs!$B$12,Inputs!$B$7,0)</f>
        <v>125</v>
      </c>
      <c r="O37" s="27" t="n">
        <f aca="false">IF(O16&gt;=Inputs!$B$12,Inputs!$B$7,0)</f>
        <v>125</v>
      </c>
      <c r="P37" s="27" t="n">
        <f aca="false">IF(P16&gt;=Inputs!$B$12,Inputs!$B$7,0)</f>
        <v>125</v>
      </c>
      <c r="Q37" s="27" t="n">
        <f aca="false">IF(Q16&gt;=Inputs!$B$12,Inputs!$B$7,0)</f>
        <v>125</v>
      </c>
      <c r="R37" s="27" t="n">
        <f aca="false">IF(R16&gt;=Inputs!$B$12,Inputs!$B$7,0)</f>
        <v>125</v>
      </c>
      <c r="S37" s="27" t="n">
        <f aca="false">IF(S16&gt;=Inputs!$B$12,Inputs!$B$7,0)</f>
        <v>125</v>
      </c>
      <c r="T37" s="27" t="n">
        <f aca="false">IF(T16&gt;=Inputs!$B$12,Inputs!$B$7,0)</f>
        <v>125</v>
      </c>
      <c r="U37" s="27" t="n">
        <f aca="false">IF(U16&gt;=Inputs!$B$12,Inputs!$B$7,0)</f>
        <v>125</v>
      </c>
      <c r="V37" s="27" t="n">
        <f aca="false">IF(V16&gt;=Inputs!$B$12,Inputs!$B$7,0)</f>
        <v>125</v>
      </c>
      <c r="W37" s="27" t="n">
        <f aca="false">IF(W16&gt;=Inputs!$B$12,Inputs!$B$7,0)</f>
        <v>125</v>
      </c>
      <c r="X37" s="27" t="n">
        <f aca="false">IF(X16&gt;=Inputs!$B$12,Inputs!$B$7,0)</f>
        <v>125</v>
      </c>
      <c r="Y37" s="27" t="n">
        <f aca="false">IF(Y16&gt;=Inputs!$B$12,Inputs!$B$7,0)</f>
        <v>125</v>
      </c>
      <c r="Z37" s="27" t="n">
        <f aca="false">IF(Z16&gt;=Inputs!$B$12,Inputs!$B$7,0)</f>
        <v>125</v>
      </c>
      <c r="AA37" s="27" t="n">
        <f aca="false">IF(AA16&gt;=Inputs!$B$12,Inputs!$B$7,0)</f>
        <v>125</v>
      </c>
      <c r="AB37" s="27" t="n">
        <f aca="false">IF(AB16&gt;=Inputs!$B$12,Inputs!$B$7,0)</f>
        <v>125</v>
      </c>
      <c r="AC37" s="27" t="n">
        <f aca="false">IF(AC16&gt;=Inputs!$B$12,Inputs!$B$7,0)</f>
        <v>125</v>
      </c>
      <c r="AD37" s="27" t="n">
        <f aca="false">IF(AD16&gt;=Inputs!$B$12,Inputs!$B$7,0)</f>
        <v>125</v>
      </c>
      <c r="AE37" s="27" t="n">
        <f aca="false">IF(AE16&gt;=Inputs!$B$12,Inputs!$B$7,0)</f>
        <v>125</v>
      </c>
      <c r="AF37" s="27" t="n">
        <f aca="false">IF(AF16&gt;=Inputs!$B$12,Inputs!$B$7,0)</f>
        <v>125</v>
      </c>
      <c r="AG37" s="27" t="n">
        <f aca="false">IF(AG16&gt;=Inputs!$B$12,Inputs!$B$7,0)</f>
        <v>125</v>
      </c>
      <c r="AH37" s="27" t="n">
        <f aca="false">IF(AH16&gt;=Inputs!$B$12,Inputs!$B$7,0)</f>
        <v>125</v>
      </c>
      <c r="AI37" s="27" t="n">
        <f aca="false">IF(AI16&gt;=Inputs!$B$12,Inputs!$B$7,0)</f>
        <v>125</v>
      </c>
      <c r="AJ37" s="27" t="n">
        <f aca="false">IF(AJ16&gt;=Inputs!$B$12,Inputs!$B$7,0)</f>
        <v>125</v>
      </c>
      <c r="AK37" s="27" t="n">
        <f aca="false">IF(AK16&gt;=Inputs!$B$12,Inputs!$B$7,0)</f>
        <v>125</v>
      </c>
      <c r="AL37" s="27" t="n">
        <f aca="false">IF(AL16&gt;=Inputs!$B$12,Inputs!$B$7,0)</f>
        <v>125</v>
      </c>
      <c r="AM37" s="27" t="n">
        <f aca="false">IF(AM16&gt;=Inputs!$B$12,Inputs!$B$7,0)</f>
        <v>125</v>
      </c>
      <c r="AN37" s="27" t="n">
        <f aca="false">IF(AN16&gt;=Inputs!$B$12,Inputs!$B$7,0)</f>
        <v>125</v>
      </c>
      <c r="AO37" s="27" t="n">
        <f aca="false">IF(AO16&gt;=Inputs!$B$12,Inputs!$B$7,0)</f>
        <v>125</v>
      </c>
      <c r="AP37" s="27" t="n">
        <f aca="false">IF(AP16&gt;=Inputs!$B$12,Inputs!$B$7,0)</f>
        <v>125</v>
      </c>
      <c r="AQ37" s="27" t="n">
        <f aca="false">IF(AQ16&gt;=Inputs!$B$12,Inputs!$B$7,0)</f>
        <v>125</v>
      </c>
      <c r="AR37" s="27" t="n">
        <f aca="false">IF(AR16&gt;=Inputs!$B$12,Inputs!$B$7,0)</f>
        <v>125</v>
      </c>
      <c r="AS37" s="27" t="n">
        <f aca="false">IF(AS16&gt;=Inputs!$B$12,Inputs!$B$7,0)</f>
        <v>125</v>
      </c>
      <c r="AT37" s="27" t="n">
        <f aca="false">IF(AT16&gt;=Inputs!$B$12,Inputs!$B$7,0)</f>
        <v>125</v>
      </c>
      <c r="AU37" s="27" t="n">
        <f aca="false">IF(AU16&gt;=Inputs!$B$12,Inputs!$B$7,0)</f>
        <v>125</v>
      </c>
      <c r="AV37" s="27" t="n">
        <f aca="false">IF(AV16&gt;=Inputs!$B$12,Inputs!$B$7,0)</f>
        <v>125</v>
      </c>
      <c r="AW37" s="27" t="n">
        <f aca="false">IF(AW16&gt;=Inputs!$B$12,Inputs!$B$7,0)</f>
        <v>125</v>
      </c>
      <c r="AX37" s="27" t="n">
        <f aca="false">IF(AX16&gt;=Inputs!$B$12,Inputs!$B$7,0)</f>
        <v>125</v>
      </c>
      <c r="AY37" s="27" t="n">
        <f aca="false">IF(AY16&gt;=Inputs!$B$12,Inputs!$B$7,0)</f>
        <v>125</v>
      </c>
      <c r="AZ37" s="27" t="n">
        <f aca="false">IF(AZ16&gt;=Inputs!$B$12,Inputs!$B$7,0)</f>
        <v>125</v>
      </c>
      <c r="BA37" s="27" t="n">
        <f aca="false">IF(BA16&gt;=Inputs!$B$12,Inputs!$B$7,0)</f>
        <v>125</v>
      </c>
      <c r="BB37" s="27" t="n">
        <f aca="false">IF(BB16&gt;=Inputs!$B$12,Inputs!$B$7,0)</f>
        <v>125</v>
      </c>
      <c r="BC37" s="27" t="n">
        <f aca="false">IF(BC16&gt;=Inputs!$B$12,Inputs!$B$7,0)</f>
        <v>125</v>
      </c>
      <c r="BD37" s="27" t="n">
        <f aca="false">IF(BD16&gt;=Inputs!$B$12,Inputs!$B$7,0)</f>
        <v>125</v>
      </c>
      <c r="BE37" s="27" t="n">
        <f aca="false">IF(BE16&gt;=Inputs!$B$12,Inputs!$B$7,0)</f>
        <v>125</v>
      </c>
      <c r="BF37" s="27" t="n">
        <f aca="false">IF(BF16&gt;=Inputs!$B$12,Inputs!$B$7,0)</f>
        <v>125</v>
      </c>
      <c r="BG37" s="27" t="n">
        <f aca="false">IF(BG16&gt;=Inputs!$B$12,Inputs!$B$7,0)</f>
        <v>125</v>
      </c>
      <c r="BH37" s="27" t="n">
        <f aca="false">IF(BH16&gt;=Inputs!$B$12,Inputs!$B$7,0)</f>
        <v>125</v>
      </c>
      <c r="BI37" s="27" t="n">
        <f aca="false">IF(BI16&gt;=Inputs!$B$12,Inputs!$B$7,0)</f>
        <v>125</v>
      </c>
      <c r="BJ37" s="27" t="n">
        <f aca="false">IF(BJ16&gt;=Inputs!$B$12,Inputs!$B$7,0)</f>
        <v>125</v>
      </c>
      <c r="BK37" s="27" t="n">
        <f aca="false">IF(BK16&gt;=Inputs!$B$12,Inputs!$B$7,0)</f>
        <v>125</v>
      </c>
    </row>
    <row r="38" customFormat="false" ht="15" hidden="false" customHeight="false" outlineLevel="0" collapsed="false">
      <c r="A38" s="3" t="s">
        <v>287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-95.63435</v>
      </c>
      <c r="I38" s="33" t="n">
        <f aca="false">Project_CF!I14+I22-I37</f>
        <v>-94.40305</v>
      </c>
      <c r="J38" s="33" t="n">
        <f aca="false">Project_CF!J14+J22-J37</f>
        <v>-91.017225</v>
      </c>
      <c r="K38" s="33" t="n">
        <f aca="false">Project_CF!K14+K22-K37</f>
        <v>-81.733835</v>
      </c>
      <c r="L38" s="33" t="n">
        <f aca="false">Project_CF!L14+L22-L37</f>
        <v>-122.01381</v>
      </c>
      <c r="M38" s="33" t="n">
        <f aca="false">Project_CF!M14+M22-M37</f>
        <v>-140.7680625</v>
      </c>
      <c r="N38" s="33" t="n">
        <f aca="false">Project_CF!N14+N22-N37</f>
        <v>-146.5669475</v>
      </c>
      <c r="O38" s="33" t="n">
        <f aca="false">Project_CF!O14+O22-O37</f>
        <v>-130.3959475</v>
      </c>
      <c r="P38" s="33" t="n">
        <f aca="false">Project_CF!P14+P22-P37</f>
        <v>-92.27263125</v>
      </c>
      <c r="Q38" s="33" t="n">
        <f aca="false">Project_CF!Q14+Q22-Q37</f>
        <v>-43.96764875</v>
      </c>
      <c r="R38" s="33" t="n">
        <f aca="false">Project_CF!R14+R22-R37</f>
        <v>380.45335875</v>
      </c>
      <c r="S38" s="33" t="n">
        <f aca="false">Project_CF!S14+S22-S37</f>
        <v>343.42409125</v>
      </c>
      <c r="T38" s="33" t="n">
        <f aca="false">Project_CF!T14+T22-T37</f>
        <v>207.31536375</v>
      </c>
      <c r="U38" s="33" t="n">
        <f aca="false">Project_CF!U14+U22-U37</f>
        <v>101.99703625</v>
      </c>
      <c r="V38" s="33" t="n">
        <f aca="false">Project_CF!V14+V22-V37</f>
        <v>132.54702375</v>
      </c>
      <c r="W38" s="33" t="n">
        <f aca="false">Project_CF!W14+W22-W37</f>
        <v>161.91044625</v>
      </c>
      <c r="X38" s="33" t="n">
        <f aca="false">Project_CF!X14+X22-X37</f>
        <v>211.064908125</v>
      </c>
      <c r="Y38" s="33" t="n">
        <f aca="false">Project_CF!Y14+Y22-Y37</f>
        <v>253.093321875</v>
      </c>
      <c r="Z38" s="33" t="n">
        <f aca="false">Project_CF!Z14+Z22-Z37</f>
        <v>286.306198125</v>
      </c>
      <c r="AA38" s="33" t="n">
        <f aca="false">Project_CF!AA14+AA22-AA37</f>
        <v>309.852446875</v>
      </c>
      <c r="AB38" s="33" t="n">
        <f aca="false">Project_CF!AB14+AB22-AB37</f>
        <v>355.898695625</v>
      </c>
      <c r="AC38" s="33" t="n">
        <f aca="false">Project_CF!AC14+AC22-AC37</f>
        <v>401.944944375</v>
      </c>
      <c r="AD38" s="33" t="n">
        <f aca="false">Project_CF!AD14+AD22-AD37</f>
        <v>447.991193125</v>
      </c>
      <c r="AE38" s="33" t="n">
        <f aca="false">Project_CF!AE14+AE22-AE37</f>
        <v>494.037441875</v>
      </c>
      <c r="AF38" s="33" t="n">
        <f aca="false">Project_CF!AF14+AF22-AF37</f>
        <v>291.7772134375</v>
      </c>
      <c r="AG38" s="33" t="n">
        <f aca="false">Project_CF!AG14+AG22-AG37</f>
        <v>307.48650453125</v>
      </c>
      <c r="AH38" s="33" t="n">
        <f aca="false">Project_CF!AH14+AH22-AH37</f>
        <v>321.02569171875</v>
      </c>
      <c r="AI38" s="33" t="n">
        <f aca="false">Project_CF!AI14+AI22-AI37</f>
        <v>332.394775</v>
      </c>
      <c r="AJ38" s="33" t="n">
        <f aca="false">Project_CF!AJ14+AJ22-AJ37</f>
        <v>340.26653140625</v>
      </c>
      <c r="AK38" s="33" t="n">
        <f aca="false">Project_CF!AK14+AK22-AK37</f>
        <v>346.1128575</v>
      </c>
      <c r="AL38" s="33" t="n">
        <f aca="false">Project_CF!AL14+AL22-AL37</f>
        <v>350.564865625</v>
      </c>
      <c r="AM38" s="33" t="n">
        <f aca="false">Project_CF!AM14+AM22-AM37</f>
        <v>352.140886875</v>
      </c>
      <c r="AN38" s="33" t="n">
        <f aca="false">Project_CF!AN14+AN22-AN37</f>
        <v>353.716908125</v>
      </c>
      <c r="AO38" s="33" t="n">
        <f aca="false">Project_CF!AO14+AO22-AO37</f>
        <v>355.292929375</v>
      </c>
      <c r="AP38" s="33" t="n">
        <f aca="false">Project_CF!AP14+AP22-AP37</f>
        <v>355.292929375</v>
      </c>
      <c r="AQ38" s="33" t="n">
        <f aca="false">Project_CF!AQ14+AQ22-AQ37</f>
        <v>355.292929375</v>
      </c>
      <c r="AR38" s="33" t="n">
        <f aca="false">Project_CF!AR14+AR22-AR37</f>
        <v>355.292929375</v>
      </c>
      <c r="AS38" s="33" t="n">
        <f aca="false">Project_CF!AS14+AS22-AS37</f>
        <v>355.292929375</v>
      </c>
      <c r="AT38" s="33" t="n">
        <f aca="false">Project_CF!AT14+AT22-AT37</f>
        <v>355.292929375</v>
      </c>
      <c r="AU38" s="33" t="n">
        <f aca="false">Project_CF!AU14+AU22-AU37</f>
        <v>355.292929375</v>
      </c>
      <c r="AV38" s="33" t="n">
        <f aca="false">Project_CF!AV14+AV22-AV37</f>
        <v>355.292929375</v>
      </c>
      <c r="AW38" s="33" t="n">
        <f aca="false">Project_CF!AW14+AW22-AW37</f>
        <v>355.292929375</v>
      </c>
      <c r="AX38" s="33" t="n">
        <f aca="false">Project_CF!AX14+AX22-AX37</f>
        <v>355.292929375</v>
      </c>
      <c r="AY38" s="33" t="n">
        <f aca="false">Project_CF!AY14+AY22-AY37</f>
        <v>355.292929375</v>
      </c>
      <c r="AZ38" s="33" t="n">
        <f aca="false">Project_CF!AZ14+AZ22-AZ37</f>
        <v>355.292929375</v>
      </c>
      <c r="BA38" s="33" t="n">
        <f aca="false">Project_CF!BA14+BA22-BA37</f>
        <v>355.292929375</v>
      </c>
      <c r="BB38" s="33" t="n">
        <f aca="false">Project_CF!BB14+BB22-BB37</f>
        <v>355.292929375</v>
      </c>
      <c r="BC38" s="33" t="n">
        <f aca="false">Project_CF!BC14+BC22-BC37</f>
        <v>355.292929375</v>
      </c>
      <c r="BD38" s="33" t="n">
        <f aca="false">Project_CF!BD14+BD22-BD37</f>
        <v>355.292929375</v>
      </c>
      <c r="BE38" s="33" t="n">
        <f aca="false">Project_CF!BE14+BE22-BE37</f>
        <v>355.292929375</v>
      </c>
      <c r="BF38" s="33" t="n">
        <f aca="false">Project_CF!BF14+BF22-BF37</f>
        <v>355.292929375</v>
      </c>
      <c r="BG38" s="33" t="n">
        <f aca="false">Project_CF!BG14+BG22-BG37</f>
        <v>355.292929375</v>
      </c>
      <c r="BH38" s="33" t="n">
        <f aca="false">Project_CF!BH14+BH22-BH37</f>
        <v>355.292929375</v>
      </c>
      <c r="BI38" s="33" t="n">
        <f aca="false">Project_CF!BI14+BI22-BI37</f>
        <v>355.292929375</v>
      </c>
      <c r="BJ38" s="33" t="n">
        <f aca="false">Project_CF!BJ14+BJ22-BJ37</f>
        <v>355.292929375</v>
      </c>
      <c r="BK38" s="33" t="n">
        <f aca="false">Project_CF!BK14+BK22-BK37</f>
        <v>355.292929375</v>
      </c>
    </row>
    <row r="40" customFormat="false" ht="23.85" hidden="false" customHeight="false" outlineLevel="0" collapsed="false">
      <c r="A40" s="7" t="s">
        <v>288</v>
      </c>
      <c r="B40" s="7" t="s">
        <v>289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0.364714022415789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290</v>
      </c>
      <c r="B47" s="7" t="s">
        <v>289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0.392838827718413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-125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67.3611111111111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67.3611111111111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67.3611111111111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67.3611111111111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-125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78.587962962963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78.587962962963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78.587962962963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78.587962962963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291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-125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89.8148148148148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89.8148148148148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89.8148148148148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89.8148148148148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292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-125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101.041666666667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101.041666666667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101.041666666667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101.041666666667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293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-125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112.268518518519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112.268518518519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112.268518518519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112.268518518519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294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-125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242.5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295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-125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218.25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296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-125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194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297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-125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169.75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298</v>
      </c>
    </row>
    <row r="2" customFormat="false" ht="15" hidden="false" customHeight="false" outlineLevel="0" collapsed="false">
      <c r="A2" s="6" t="s">
        <v>299</v>
      </c>
    </row>
    <row r="4" customFormat="false" ht="15" hidden="false" customHeight="false" outlineLevel="0" collapsed="false">
      <c r="A4" s="7" t="s">
        <v>265</v>
      </c>
      <c r="B4" s="7" t="s">
        <v>190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193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300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301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302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303</v>
      </c>
      <c r="B9" s="38" t="n">
        <f aca="false">SUM(D9:BK9)</f>
        <v>287.5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23.9583333333333</v>
      </c>
      <c r="Q9" s="33" t="n">
        <f aca="false">Q6*(Inputs!$B$9*Inputs!$B$7/Inputs!$B$11)</f>
        <v>23.9583333333333</v>
      </c>
      <c r="R9" s="33" t="n">
        <f aca="false">R6*(Inputs!$B$9*Inputs!$B$7/Inputs!$B$11)</f>
        <v>23.9583333333333</v>
      </c>
      <c r="S9" s="33" t="n">
        <f aca="false">S6*(Inputs!$B$9*Inputs!$B$7/Inputs!$B$11)</f>
        <v>23.9583333333333</v>
      </c>
      <c r="T9" s="33" t="n">
        <f aca="false">T6*(Inputs!$B$9*Inputs!$B$7/Inputs!$B$11)</f>
        <v>23.9583333333333</v>
      </c>
      <c r="U9" s="33" t="n">
        <f aca="false">U6*(Inputs!$B$9*Inputs!$B$7/Inputs!$B$11)</f>
        <v>23.9583333333333</v>
      </c>
      <c r="V9" s="33" t="n">
        <f aca="false">V6*(Inputs!$B$9*Inputs!$B$7/Inputs!$B$11)</f>
        <v>23.9583333333333</v>
      </c>
      <c r="W9" s="33" t="n">
        <f aca="false">W6*(Inputs!$B$9*Inputs!$B$7/Inputs!$B$11)</f>
        <v>23.9583333333333</v>
      </c>
      <c r="X9" s="33" t="n">
        <f aca="false">X6*(Inputs!$B$9*Inputs!$B$7/Inputs!$B$11)</f>
        <v>23.9583333333333</v>
      </c>
      <c r="Y9" s="33" t="n">
        <f aca="false">Y6*(Inputs!$B$9*Inputs!$B$7/Inputs!$B$11)</f>
        <v>23.9583333333333</v>
      </c>
      <c r="Z9" s="33" t="n">
        <f aca="false">Z6*(Inputs!$B$9*Inputs!$B$7/Inputs!$B$11)</f>
        <v>23.9583333333333</v>
      </c>
      <c r="AA9" s="33" t="n">
        <f aca="false">AA6*(Inputs!$B$9*Inputs!$B$7/Inputs!$B$11)</f>
        <v>23.9583333333333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304</v>
      </c>
      <c r="B10" s="38" t="n">
        <f aca="false">SUM(D10:BK10)</f>
        <v>287.5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28.396960790106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30.7733619623242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35.9375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35.9375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27.7425894528285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22.0116741621459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21.5653240289293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21.1189738957127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19.0408282909062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17.2850466712007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15.1129930393955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12.5772467064508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9.99999997475243E-007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305</v>
      </c>
      <c r="B11" s="38" t="n">
        <f aca="false">SUM(D11:BK11)</f>
        <v>225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18.75</v>
      </c>
      <c r="Q11" s="33" t="n">
        <f aca="false">Q6*Inputs!$B$40*Inputs!$B$7/Inputs!$B$11</f>
        <v>18.75</v>
      </c>
      <c r="R11" s="33" t="n">
        <f aca="false">R6*Inputs!$B$40*Inputs!$B$7/Inputs!$B$11</f>
        <v>18.75</v>
      </c>
      <c r="S11" s="33" t="n">
        <f aca="false">S6*Inputs!$B$40*Inputs!$B$7/Inputs!$B$11</f>
        <v>18.75</v>
      </c>
      <c r="T11" s="33" t="n">
        <f aca="false">T6*Inputs!$B$40*Inputs!$B$7/Inputs!$B$11</f>
        <v>18.75</v>
      </c>
      <c r="U11" s="33" t="n">
        <f aca="false">U6*Inputs!$B$40*Inputs!$B$7/Inputs!$B$11</f>
        <v>18.75</v>
      </c>
      <c r="V11" s="33" t="n">
        <f aca="false">V6*Inputs!$B$40*Inputs!$B$7/Inputs!$B$11</f>
        <v>18.75</v>
      </c>
      <c r="W11" s="33" t="n">
        <f aca="false">W6*Inputs!$B$40*Inputs!$B$7/Inputs!$B$11</f>
        <v>18.75</v>
      </c>
      <c r="X11" s="33" t="n">
        <f aca="false">X6*Inputs!$B$40*Inputs!$B$7/Inputs!$B$11</f>
        <v>18.75</v>
      </c>
      <c r="Y11" s="33" t="n">
        <f aca="false">Y6*Inputs!$B$40*Inputs!$B$7/Inputs!$B$11</f>
        <v>18.75</v>
      </c>
      <c r="Z11" s="33" t="n">
        <f aca="false">Z6*Inputs!$B$40*Inputs!$B$7/Inputs!$B$11</f>
        <v>18.75</v>
      </c>
      <c r="AA11" s="33" t="n">
        <f aca="false">AA6*Inputs!$B$40*Inputs!$B$7/Inputs!$B$11</f>
        <v>18.75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306</v>
      </c>
      <c r="B12" s="38" t="n">
        <f aca="false">SUM(D12:BK12)</f>
        <v>62.5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4.16405623344518</v>
      </c>
      <c r="Q12" s="33" t="n">
        <f aca="false">IF(Q6=1,MAX(0,MIN(Inputs!$B$42*Q8,Inputs!$B$41*Inputs!$B$7-Inputs!$B$40*Inputs!$B$7-SUM($D$12:P12))),0)</f>
        <v>4.51252550054328</v>
      </c>
      <c r="R12" s="33" t="n">
        <f aca="false">IF(R6=1,MAX(0,MIN(Inputs!$B$42*R8,Inputs!$B$41*Inputs!$B$7-Inputs!$B$40*Inputs!$B$7-SUM($D$12:Q12))),0)</f>
        <v>24.6799739055439</v>
      </c>
      <c r="S12" s="33" t="n">
        <f aca="false">IF(S6=1,MAX(0,MIN(Inputs!$B$42*S8,Inputs!$B$41*Inputs!$B$7-Inputs!$B$40*Inputs!$B$7-SUM($D$12:R12))),0)</f>
        <v>6.20133887616069</v>
      </c>
      <c r="T12" s="33" t="n">
        <f aca="false">IF(T6=1,MAX(0,MIN(Inputs!$B$42*T8,Inputs!$B$41*Inputs!$B$7-Inputs!$B$40*Inputs!$B$7-SUM($D$12:S12))),0)</f>
        <v>4.06810092801237</v>
      </c>
      <c r="U12" s="33" t="n">
        <f aca="false">IF(U6=1,MAX(0,MIN(Inputs!$B$42*U8,Inputs!$B$41*Inputs!$B$7-Inputs!$B$40*Inputs!$B$7-SUM($D$12:T12))),0)</f>
        <v>3.22773446359031</v>
      </c>
      <c r="V12" s="33" t="n">
        <f aca="false">IF(V6=1,MAX(0,MIN(Inputs!$B$42*V8,Inputs!$B$41*Inputs!$B$7-Inputs!$B$40*Inputs!$B$7-SUM($D$12:U12))),0)</f>
        <v>3.16228284472667</v>
      </c>
      <c r="W12" s="33" t="n">
        <f aca="false">IF(W6=1,MAX(0,MIN(Inputs!$B$42*W8,Inputs!$B$41*Inputs!$B$7-Inputs!$B$40*Inputs!$B$7-SUM($D$12:V12))),0)</f>
        <v>3.09683122586303</v>
      </c>
      <c r="X12" s="33" t="n">
        <f aca="false">IF(X6=1,MAX(0,MIN(Inputs!$B$42*X8,Inputs!$B$41*Inputs!$B$7-Inputs!$B$40*Inputs!$B$7-SUM($D$12:W12))),0)</f>
        <v>2.79209737692537</v>
      </c>
      <c r="Y12" s="33" t="n">
        <f aca="false">IF(Y6=1,MAX(0,MIN(Inputs!$B$42*Y8,Inputs!$B$41*Inputs!$B$7-Inputs!$B$40*Inputs!$B$7-SUM($D$12:X12))),0)</f>
        <v>2.53463414161145</v>
      </c>
      <c r="Z12" s="33" t="n">
        <f aca="false">IF(Z6=1,MAX(0,MIN(Inputs!$B$42*Z8,Inputs!$B$41*Inputs!$B$7-Inputs!$B$40*Inputs!$B$7-SUM($D$12:Y12))),0)</f>
        <v>2.21612986463097</v>
      </c>
      <c r="AA12" s="33" t="n">
        <f aca="false">IF(AA6=1,MAX(0,MIN(Inputs!$B$42*AA8,Inputs!$B$41*Inputs!$B$7-Inputs!$B$40*Inputs!$B$7-SUM($D$12:Z12))),0)</f>
        <v>1.84429463894678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307</v>
      </c>
      <c r="B13" s="38" t="n">
        <f aca="false">SUM(D13:BK13)</f>
        <v>287.5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22.9140562334452</v>
      </c>
      <c r="Q13" s="33" t="n">
        <f aca="false">Q11+Q12</f>
        <v>23.2625255005433</v>
      </c>
      <c r="R13" s="33" t="n">
        <f aca="false">R11+R12</f>
        <v>43.4299739055439</v>
      </c>
      <c r="S13" s="33" t="n">
        <f aca="false">S11+S12</f>
        <v>24.9513388761607</v>
      </c>
      <c r="T13" s="33" t="n">
        <f aca="false">T11+T12</f>
        <v>22.8181009280124</v>
      </c>
      <c r="U13" s="33" t="n">
        <f aca="false">U11+U12</f>
        <v>21.9777344635903</v>
      </c>
      <c r="V13" s="33" t="n">
        <f aca="false">V11+V12</f>
        <v>21.9122828447267</v>
      </c>
      <c r="W13" s="33" t="n">
        <f aca="false">W11+W12</f>
        <v>21.846831225863</v>
      </c>
      <c r="X13" s="33" t="n">
        <f aca="false">X11+X12</f>
        <v>21.5420973769254</v>
      </c>
      <c r="Y13" s="33" t="n">
        <f aca="false">Y11+Y12</f>
        <v>21.2846341416114</v>
      </c>
      <c r="Z13" s="33" t="n">
        <f aca="false">Z11+Z12</f>
        <v>20.966129864631</v>
      </c>
      <c r="AA13" s="33" t="n">
        <f aca="false">AA11+AA12</f>
        <v>20.5942946389468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308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-125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23.9583333333333</v>
      </c>
      <c r="Q14" s="33" t="n">
        <f aca="false">-IF(Source_Data!Q$6=Inputs!$B$12,Inputs!$B$7,0)+Q9</f>
        <v>23.9583333333333</v>
      </c>
      <c r="R14" s="33" t="n">
        <f aca="false">-IF(Source_Data!R$6=Inputs!$B$12,Inputs!$B$7,0)+R9</f>
        <v>23.9583333333333</v>
      </c>
      <c r="S14" s="33" t="n">
        <f aca="false">-IF(Source_Data!S$6=Inputs!$B$12,Inputs!$B$7,0)+S9</f>
        <v>23.9583333333333</v>
      </c>
      <c r="T14" s="33" t="n">
        <f aca="false">-IF(Source_Data!T$6=Inputs!$B$12,Inputs!$B$7,0)+T9</f>
        <v>23.9583333333333</v>
      </c>
      <c r="U14" s="33" t="n">
        <f aca="false">-IF(Source_Data!U$6=Inputs!$B$12,Inputs!$B$7,0)+U9</f>
        <v>23.9583333333333</v>
      </c>
      <c r="V14" s="33" t="n">
        <f aca="false">-IF(Source_Data!V$6=Inputs!$B$12,Inputs!$B$7,0)+V9</f>
        <v>23.9583333333333</v>
      </c>
      <c r="W14" s="33" t="n">
        <f aca="false">-IF(Source_Data!W$6=Inputs!$B$12,Inputs!$B$7,0)+W9</f>
        <v>23.9583333333333</v>
      </c>
      <c r="X14" s="33" t="n">
        <f aca="false">-IF(Source_Data!X$6=Inputs!$B$12,Inputs!$B$7,0)+X9</f>
        <v>23.9583333333333</v>
      </c>
      <c r="Y14" s="33" t="n">
        <f aca="false">-IF(Source_Data!Y$6=Inputs!$B$12,Inputs!$B$7,0)+Y9</f>
        <v>23.9583333333333</v>
      </c>
      <c r="Z14" s="33" t="n">
        <f aca="false">-IF(Source_Data!Z$6=Inputs!$B$12,Inputs!$B$7,0)+Z9</f>
        <v>23.9583333333333</v>
      </c>
      <c r="AA14" s="33" t="n">
        <f aca="false">-IF(Source_Data!AA$6=Inputs!$B$12,Inputs!$B$7,0)+AA9</f>
        <v>23.9583333333333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-125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28.396960790106</v>
      </c>
      <c r="Q15" s="33" t="n">
        <f aca="false">-IF(Source_Data!Q$6=Inputs!$B$12,Inputs!$B$7,0)+Q10</f>
        <v>30.7733619623242</v>
      </c>
      <c r="R15" s="33" t="n">
        <f aca="false">-IF(Source_Data!R$6=Inputs!$B$12,Inputs!$B$7,0)+R10</f>
        <v>35.9375</v>
      </c>
      <c r="S15" s="33" t="n">
        <f aca="false">-IF(Source_Data!S$6=Inputs!$B$12,Inputs!$B$7,0)+S10</f>
        <v>35.9375</v>
      </c>
      <c r="T15" s="33" t="n">
        <f aca="false">-IF(Source_Data!T$6=Inputs!$B$12,Inputs!$B$7,0)+T10</f>
        <v>27.7425894528285</v>
      </c>
      <c r="U15" s="33" t="n">
        <f aca="false">-IF(Source_Data!U$6=Inputs!$B$12,Inputs!$B$7,0)+U10</f>
        <v>22.0116741621459</v>
      </c>
      <c r="V15" s="33" t="n">
        <f aca="false">-IF(Source_Data!V$6=Inputs!$B$12,Inputs!$B$7,0)+V10</f>
        <v>21.5653240289293</v>
      </c>
      <c r="W15" s="33" t="n">
        <f aca="false">-IF(Source_Data!W$6=Inputs!$B$12,Inputs!$B$7,0)+W10</f>
        <v>21.1189738957127</v>
      </c>
      <c r="X15" s="33" t="n">
        <f aca="false">-IF(Source_Data!X$6=Inputs!$B$12,Inputs!$B$7,0)+X10</f>
        <v>19.0408282909062</v>
      </c>
      <c r="Y15" s="33" t="n">
        <f aca="false">-IF(Source_Data!Y$6=Inputs!$B$12,Inputs!$B$7,0)+Y10</f>
        <v>17.2850466712007</v>
      </c>
      <c r="Z15" s="33" t="n">
        <f aca="false">-IF(Source_Data!Z$6=Inputs!$B$12,Inputs!$B$7,0)+Z10</f>
        <v>15.1129930393955</v>
      </c>
      <c r="AA15" s="33" t="n">
        <f aca="false">-IF(Source_Data!AA$6=Inputs!$B$12,Inputs!$B$7,0)+AA10</f>
        <v>12.5772467064508</v>
      </c>
      <c r="AB15" s="33" t="n">
        <f aca="false">-IF(Source_Data!AB$6=Inputs!$B$12,Inputs!$B$7,0)+AB10</f>
        <v>9.99999997475243E-007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310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-125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22.9140562334452</v>
      </c>
      <c r="Q16" s="33" t="n">
        <f aca="false">-IF(Source_Data!Q$6=Inputs!$B$12,Inputs!$B$7,0)+Q13</f>
        <v>23.2625255005433</v>
      </c>
      <c r="R16" s="33" t="n">
        <f aca="false">-IF(Source_Data!R$6=Inputs!$B$12,Inputs!$B$7,0)+R13</f>
        <v>43.4299739055439</v>
      </c>
      <c r="S16" s="33" t="n">
        <f aca="false">-IF(Source_Data!S$6=Inputs!$B$12,Inputs!$B$7,0)+S13</f>
        <v>24.9513388761607</v>
      </c>
      <c r="T16" s="33" t="n">
        <f aca="false">-IF(Source_Data!T$6=Inputs!$B$12,Inputs!$B$7,0)+T13</f>
        <v>22.8181009280124</v>
      </c>
      <c r="U16" s="33" t="n">
        <f aca="false">-IF(Source_Data!U$6=Inputs!$B$12,Inputs!$B$7,0)+U13</f>
        <v>21.9777344635903</v>
      </c>
      <c r="V16" s="33" t="n">
        <f aca="false">-IF(Source_Data!V$6=Inputs!$B$12,Inputs!$B$7,0)+V13</f>
        <v>21.9122828447267</v>
      </c>
      <c r="W16" s="33" t="n">
        <f aca="false">-IF(Source_Data!W$6=Inputs!$B$12,Inputs!$B$7,0)+W13</f>
        <v>21.846831225863</v>
      </c>
      <c r="X16" s="33" t="n">
        <f aca="false">-IF(Source_Data!X$6=Inputs!$B$12,Inputs!$B$7,0)+X13</f>
        <v>21.5420973769254</v>
      </c>
      <c r="Y16" s="33" t="n">
        <f aca="false">-IF(Source_Data!Y$6=Inputs!$B$12,Inputs!$B$7,0)+Y13</f>
        <v>21.2846341416114</v>
      </c>
      <c r="Z16" s="33" t="n">
        <f aca="false">-IF(Source_Data!Z$6=Inputs!$B$12,Inputs!$B$7,0)+Z13</f>
        <v>20.966129864631</v>
      </c>
      <c r="AA16" s="33" t="n">
        <f aca="false">-IF(Source_Data!AA$6=Inputs!$B$12,Inputs!$B$7,0)+AA13</f>
        <v>20.5942946389468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311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125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-23.9583333333333</v>
      </c>
      <c r="Q17" s="33" t="n">
        <f aca="false">IF(Source_Data!Q$6=Inputs!$B$12,Inputs!$B$7,0)-Q9</f>
        <v>-23.9583333333333</v>
      </c>
      <c r="R17" s="33" t="n">
        <f aca="false">IF(Source_Data!R$6=Inputs!$B$12,Inputs!$B$7,0)-R9</f>
        <v>-23.9583333333333</v>
      </c>
      <c r="S17" s="33" t="n">
        <f aca="false">IF(Source_Data!S$6=Inputs!$B$12,Inputs!$B$7,0)-S9</f>
        <v>-23.9583333333333</v>
      </c>
      <c r="T17" s="33" t="n">
        <f aca="false">IF(Source_Data!T$6=Inputs!$B$12,Inputs!$B$7,0)-T9</f>
        <v>-23.9583333333333</v>
      </c>
      <c r="U17" s="33" t="n">
        <f aca="false">IF(Source_Data!U$6=Inputs!$B$12,Inputs!$B$7,0)-U9</f>
        <v>-23.9583333333333</v>
      </c>
      <c r="V17" s="33" t="n">
        <f aca="false">IF(Source_Data!V$6=Inputs!$B$12,Inputs!$B$7,0)-V9</f>
        <v>-23.9583333333333</v>
      </c>
      <c r="W17" s="33" t="n">
        <f aca="false">IF(Source_Data!W$6=Inputs!$B$12,Inputs!$B$7,0)-W9</f>
        <v>-23.9583333333333</v>
      </c>
      <c r="X17" s="33" t="n">
        <f aca="false">IF(Source_Data!X$6=Inputs!$B$12,Inputs!$B$7,0)-X9</f>
        <v>-23.9583333333333</v>
      </c>
      <c r="Y17" s="33" t="n">
        <f aca="false">IF(Source_Data!Y$6=Inputs!$B$12,Inputs!$B$7,0)-Y9</f>
        <v>-23.9583333333333</v>
      </c>
      <c r="Z17" s="33" t="n">
        <f aca="false">IF(Source_Data!Z$6=Inputs!$B$12,Inputs!$B$7,0)-Z9</f>
        <v>-23.9583333333333</v>
      </c>
      <c r="AA17" s="33" t="n">
        <f aca="false">IF(Source_Data!AA$6=Inputs!$B$12,Inputs!$B$7,0)-AA9</f>
        <v>-23.9583333333333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312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125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-28.396960790106</v>
      </c>
      <c r="Q18" s="33" t="n">
        <f aca="false">IF(Source_Data!Q$6=Inputs!$B$12,Inputs!$B$7,0)-Q10</f>
        <v>-30.7733619623242</v>
      </c>
      <c r="R18" s="33" t="n">
        <f aca="false">IF(Source_Data!R$6=Inputs!$B$12,Inputs!$B$7,0)-R10</f>
        <v>-35.9375</v>
      </c>
      <c r="S18" s="33" t="n">
        <f aca="false">IF(Source_Data!S$6=Inputs!$B$12,Inputs!$B$7,0)-S10</f>
        <v>-35.9375</v>
      </c>
      <c r="T18" s="33" t="n">
        <f aca="false">IF(Source_Data!T$6=Inputs!$B$12,Inputs!$B$7,0)-T10</f>
        <v>-27.7425894528285</v>
      </c>
      <c r="U18" s="33" t="n">
        <f aca="false">IF(Source_Data!U$6=Inputs!$B$12,Inputs!$B$7,0)-U10</f>
        <v>-22.0116741621459</v>
      </c>
      <c r="V18" s="33" t="n">
        <f aca="false">IF(Source_Data!V$6=Inputs!$B$12,Inputs!$B$7,0)-V10</f>
        <v>-21.5653240289293</v>
      </c>
      <c r="W18" s="33" t="n">
        <f aca="false">IF(Source_Data!W$6=Inputs!$B$12,Inputs!$B$7,0)-W10</f>
        <v>-21.1189738957127</v>
      </c>
      <c r="X18" s="33" t="n">
        <f aca="false">IF(Source_Data!X$6=Inputs!$B$12,Inputs!$B$7,0)-X10</f>
        <v>-19.0408282909062</v>
      </c>
      <c r="Y18" s="33" t="n">
        <f aca="false">IF(Source_Data!Y$6=Inputs!$B$12,Inputs!$B$7,0)-Y10</f>
        <v>-17.2850466712007</v>
      </c>
      <c r="Z18" s="33" t="n">
        <f aca="false">IF(Source_Data!Z$6=Inputs!$B$12,Inputs!$B$7,0)-Z10</f>
        <v>-15.1129930393955</v>
      </c>
      <c r="AA18" s="33" t="n">
        <f aca="false">IF(Source_Data!AA$6=Inputs!$B$12,Inputs!$B$7,0)-AA10</f>
        <v>-12.5772467064508</v>
      </c>
      <c r="AB18" s="33" t="n">
        <f aca="false">IF(Source_Data!AB$6=Inputs!$B$12,Inputs!$B$7,0)-AB10</f>
        <v>-9.99999997475243E-007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313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125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-22.9140562334452</v>
      </c>
      <c r="Q19" s="33" t="n">
        <f aca="false">IF(Source_Data!Q$6=Inputs!$B$12,Inputs!$B$7,0)-Q13</f>
        <v>-23.2625255005433</v>
      </c>
      <c r="R19" s="33" t="n">
        <f aca="false">IF(Source_Data!R$6=Inputs!$B$12,Inputs!$B$7,0)-R13</f>
        <v>-43.4299739055439</v>
      </c>
      <c r="S19" s="33" t="n">
        <f aca="false">IF(Source_Data!S$6=Inputs!$B$12,Inputs!$B$7,0)-S13</f>
        <v>-24.9513388761607</v>
      </c>
      <c r="T19" s="33" t="n">
        <f aca="false">IF(Source_Data!T$6=Inputs!$B$12,Inputs!$B$7,0)-T13</f>
        <v>-22.8181009280124</v>
      </c>
      <c r="U19" s="33" t="n">
        <f aca="false">IF(Source_Data!U$6=Inputs!$B$12,Inputs!$B$7,0)-U13</f>
        <v>-21.9777344635903</v>
      </c>
      <c r="V19" s="33" t="n">
        <f aca="false">IF(Source_Data!V$6=Inputs!$B$12,Inputs!$B$7,0)-V13</f>
        <v>-21.9122828447267</v>
      </c>
      <c r="W19" s="33" t="n">
        <f aca="false">IF(Source_Data!W$6=Inputs!$B$12,Inputs!$B$7,0)-W13</f>
        <v>-21.846831225863</v>
      </c>
      <c r="X19" s="33" t="n">
        <f aca="false">IF(Source_Data!X$6=Inputs!$B$12,Inputs!$B$7,0)-X13</f>
        <v>-21.5420973769254</v>
      </c>
      <c r="Y19" s="33" t="n">
        <f aca="false">IF(Source_Data!Y$6=Inputs!$B$12,Inputs!$B$7,0)-Y13</f>
        <v>-21.2846341416114</v>
      </c>
      <c r="Z19" s="33" t="n">
        <f aca="false">IF(Source_Data!Z$6=Inputs!$B$12,Inputs!$B$7,0)-Z13</f>
        <v>-20.966129864631</v>
      </c>
      <c r="AA19" s="33" t="n">
        <f aca="false">IF(Source_Data!AA$6=Inputs!$B$12,Inputs!$B$7,0)-AA13</f>
        <v>-20.5942946389468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314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40</v>
      </c>
      <c r="H20" s="33" t="n">
        <f aca="false">G20+IF(Source_Data!H$6=Inputs!$B$12,Inputs!$B$7,0)+H7-H9</f>
        <v>35.61565</v>
      </c>
      <c r="I20" s="33" t="n">
        <f aca="false">H20+IF(Source_Data!I$6=Inputs!$B$12,Inputs!$B$7,0)+I7-I9</f>
        <v>49.34695</v>
      </c>
      <c r="J20" s="33" t="n">
        <f aca="false">I20+IF(Source_Data!J$6=Inputs!$B$12,Inputs!$B$7,0)+J7-J9</f>
        <v>62.107775</v>
      </c>
      <c r="K20" s="33" t="n">
        <f aca="false">J20+IF(Source_Data!K$6=Inputs!$B$12,Inputs!$B$7,0)+K7-K9</f>
        <v>78.266165</v>
      </c>
      <c r="L20" s="33" t="n">
        <f aca="false">K20+IF(Source_Data!L$6=Inputs!$B$12,Inputs!$B$7,0)+L7-L9</f>
        <v>39.86119</v>
      </c>
      <c r="M20" s="33" t="n">
        <f aca="false">L20+IF(Source_Data!M$6=Inputs!$B$12,Inputs!$B$7,0)+M7-M9</f>
        <v>22.9819375</v>
      </c>
      <c r="N20" s="33" t="n">
        <f aca="false">M20+IF(Source_Data!N$6=Inputs!$B$12,Inputs!$B$7,0)+N7-N9</f>
        <v>24.0580525</v>
      </c>
      <c r="O20" s="33" t="n">
        <f aca="false">N20+IF(Source_Data!O$6=Inputs!$B$12,Inputs!$B$7,0)+O7-O9</f>
        <v>47.1040525</v>
      </c>
      <c r="P20" s="33" t="n">
        <f aca="false">O20+IF(Source_Data!P$6=Inputs!$B$12,Inputs!$B$7,0)+P7-P9</f>
        <v>68.1440354166667</v>
      </c>
      <c r="Q20" s="33" t="n">
        <f aca="false">P20+IF(Source_Data!Q$6=Inputs!$B$12,Inputs!$B$7,0)+Q7-Q9</f>
        <v>99.3656845833334</v>
      </c>
      <c r="R20" s="33" t="n">
        <f aca="false">Q20+IF(Source_Data!R$6=Inputs!$B$12,Inputs!$B$7,0)+R7-R9</f>
        <v>556.70335875</v>
      </c>
      <c r="S20" s="33" t="n">
        <f aca="false">R20+IF(Source_Data!S$6=Inputs!$B$12,Inputs!$B$7,0)+S7-S9</f>
        <v>502.590757916666</v>
      </c>
      <c r="T20" s="33" t="n">
        <f aca="false">S20+IF(Source_Data!T$6=Inputs!$B$12,Inputs!$B$7,0)+T7-T9</f>
        <v>349.398697083333</v>
      </c>
      <c r="U20" s="33" t="n">
        <f aca="false">T20+IF(Source_Data!U$6=Inputs!$B$12,Inputs!$B$7,0)+U7-U9</f>
        <v>226.99703625</v>
      </c>
      <c r="V20" s="33" t="n">
        <f aca="false">U20+IF(Source_Data!V$6=Inputs!$B$12,Inputs!$B$7,0)+V7-V9</f>
        <v>239.838690416666</v>
      </c>
      <c r="W20" s="33" t="n">
        <f aca="false">V20+IF(Source_Data!W$6=Inputs!$B$12,Inputs!$B$7,0)+W7-W9</f>
        <v>250.868779583333</v>
      </c>
      <c r="X20" s="33" t="n">
        <f aca="false">W20+IF(Source_Data!X$6=Inputs!$B$12,Inputs!$B$7,0)+X7-X9</f>
        <v>281.689908125</v>
      </c>
      <c r="Y20" s="33" t="n">
        <f aca="false">X20+IF(Source_Data!Y$6=Inputs!$B$12,Inputs!$B$7,0)+Y7-Y9</f>
        <v>305.384988541666</v>
      </c>
      <c r="Z20" s="33" t="n">
        <f aca="false">Y20+IF(Source_Data!Z$6=Inputs!$B$12,Inputs!$B$7,0)+Z7-Z9</f>
        <v>320.264531458333</v>
      </c>
      <c r="AA20" s="33" t="n">
        <f aca="false">Z20+IF(Source_Data!AA$6=Inputs!$B$12,Inputs!$B$7,0)+AA7-AA9</f>
        <v>324.852446875</v>
      </c>
      <c r="AB20" s="33" t="n">
        <f aca="false">AA20+IF(Source_Data!AB$6=Inputs!$B$12,Inputs!$B$7,0)+AB7-AB9</f>
        <v>375.898695625</v>
      </c>
      <c r="AC20" s="33" t="n">
        <f aca="false">AB20+IF(Source_Data!AC$6=Inputs!$B$12,Inputs!$B$7,0)+AC7-AC9</f>
        <v>426.944944374999</v>
      </c>
      <c r="AD20" s="33" t="n">
        <f aca="false">AC20+IF(Source_Data!AD$6=Inputs!$B$12,Inputs!$B$7,0)+AD7-AD9</f>
        <v>477.991193124999</v>
      </c>
      <c r="AE20" s="33" t="n">
        <f aca="false">AD20+IF(Source_Data!AE$6=Inputs!$B$12,Inputs!$B$7,0)+AE7-AE9</f>
        <v>529.037441874999</v>
      </c>
      <c r="AF20" s="33" t="n">
        <f aca="false">AE20+IF(Source_Data!AF$6=Inputs!$B$12,Inputs!$B$7,0)+AF7-AF9</f>
        <v>331.7772134375</v>
      </c>
      <c r="AG20" s="33" t="n">
        <f aca="false">AF20+IF(Source_Data!AG$6=Inputs!$B$12,Inputs!$B$7,0)+AG7-AG9</f>
        <v>352.48650453125</v>
      </c>
      <c r="AH20" s="33" t="n">
        <f aca="false">AG20+IF(Source_Data!AH$6=Inputs!$B$12,Inputs!$B$7,0)+AH7-AH9</f>
        <v>371.02569171875</v>
      </c>
      <c r="AI20" s="33" t="n">
        <f aca="false">AH20+IF(Source_Data!AI$6=Inputs!$B$12,Inputs!$B$7,0)+AI7-AI9</f>
        <v>387.394775</v>
      </c>
      <c r="AJ20" s="33" t="n">
        <f aca="false">AI20+IF(Source_Data!AJ$6=Inputs!$B$12,Inputs!$B$7,0)+AJ7-AJ9</f>
        <v>400.26653140625</v>
      </c>
      <c r="AK20" s="33" t="n">
        <f aca="false">AJ20+IF(Source_Data!AK$6=Inputs!$B$12,Inputs!$B$7,0)+AK7-AK9</f>
        <v>411.1128575</v>
      </c>
      <c r="AL20" s="33" t="n">
        <f aca="false">AK20+IF(Source_Data!AL$6=Inputs!$B$12,Inputs!$B$7,0)+AL7-AL9</f>
        <v>420.564865625</v>
      </c>
      <c r="AM20" s="33" t="n">
        <f aca="false">AL20+IF(Source_Data!AM$6=Inputs!$B$12,Inputs!$B$7,0)+AM7-AM9</f>
        <v>424.640886875</v>
      </c>
      <c r="AN20" s="33" t="n">
        <f aca="false">AM20+IF(Source_Data!AN$6=Inputs!$B$12,Inputs!$B$7,0)+AN7-AN9</f>
        <v>428.716908125</v>
      </c>
      <c r="AO20" s="33" t="n">
        <f aca="false">AN20+IF(Source_Data!AO$6=Inputs!$B$12,Inputs!$B$7,0)+AO7-AO9</f>
        <v>432.792929375</v>
      </c>
      <c r="AP20" s="33" t="n">
        <f aca="false">AO20+IF(Source_Data!AP$6=Inputs!$B$12,Inputs!$B$7,0)+AP7-AP9</f>
        <v>432.792929375</v>
      </c>
      <c r="AQ20" s="33" t="n">
        <f aca="false">AP20+IF(Source_Data!AQ$6=Inputs!$B$12,Inputs!$B$7,0)+AQ7-AQ9</f>
        <v>432.792929375</v>
      </c>
      <c r="AR20" s="33" t="n">
        <f aca="false">AQ20+IF(Source_Data!AR$6=Inputs!$B$12,Inputs!$B$7,0)+AR7-AR9</f>
        <v>432.792929375</v>
      </c>
      <c r="AS20" s="33" t="n">
        <f aca="false">AR20+IF(Source_Data!AS$6=Inputs!$B$12,Inputs!$B$7,0)+AS7-AS9</f>
        <v>432.792929375</v>
      </c>
      <c r="AT20" s="33" t="n">
        <f aca="false">AS20+IF(Source_Data!AT$6=Inputs!$B$12,Inputs!$B$7,0)+AT7-AT9</f>
        <v>432.792929375</v>
      </c>
      <c r="AU20" s="33" t="n">
        <f aca="false">AT20+IF(Source_Data!AU$6=Inputs!$B$12,Inputs!$B$7,0)+AU7-AU9</f>
        <v>432.792929375</v>
      </c>
      <c r="AV20" s="33" t="n">
        <f aca="false">AU20+IF(Source_Data!AV$6=Inputs!$B$12,Inputs!$B$7,0)+AV7-AV9</f>
        <v>432.792929375</v>
      </c>
      <c r="AW20" s="33" t="n">
        <f aca="false">AV20+IF(Source_Data!AW$6=Inputs!$B$12,Inputs!$B$7,0)+AW7-AW9</f>
        <v>432.792929375</v>
      </c>
      <c r="AX20" s="33" t="n">
        <f aca="false">AW20+IF(Source_Data!AX$6=Inputs!$B$12,Inputs!$B$7,0)+AX7-AX9</f>
        <v>432.792929375</v>
      </c>
      <c r="AY20" s="33" t="n">
        <f aca="false">AX20+IF(Source_Data!AY$6=Inputs!$B$12,Inputs!$B$7,0)+AY7-AY9</f>
        <v>432.792929375</v>
      </c>
      <c r="AZ20" s="33" t="n">
        <f aca="false">AY20+IF(Source_Data!AZ$6=Inputs!$B$12,Inputs!$B$7,0)+AZ7-AZ9</f>
        <v>432.792929375</v>
      </c>
      <c r="BA20" s="33" t="n">
        <f aca="false">AZ20+IF(Source_Data!BA$6=Inputs!$B$12,Inputs!$B$7,0)+BA7-BA9</f>
        <v>432.792929375</v>
      </c>
      <c r="BB20" s="33" t="n">
        <f aca="false">BA20+IF(Source_Data!BB$6=Inputs!$B$12,Inputs!$B$7,0)+BB7-BB9</f>
        <v>432.792929375</v>
      </c>
      <c r="BC20" s="33" t="n">
        <f aca="false">BB20+IF(Source_Data!BC$6=Inputs!$B$12,Inputs!$B$7,0)+BC7-BC9</f>
        <v>432.792929375</v>
      </c>
      <c r="BD20" s="33" t="n">
        <f aca="false">BC20+IF(Source_Data!BD$6=Inputs!$B$12,Inputs!$B$7,0)+BD7-BD9</f>
        <v>432.792929375</v>
      </c>
      <c r="BE20" s="33" t="n">
        <f aca="false">BD20+IF(Source_Data!BE$6=Inputs!$B$12,Inputs!$B$7,0)+BE7-BE9</f>
        <v>432.792929375</v>
      </c>
      <c r="BF20" s="33" t="n">
        <f aca="false">BE20+IF(Source_Data!BF$6=Inputs!$B$12,Inputs!$B$7,0)+BF7-BF9</f>
        <v>432.792929375</v>
      </c>
      <c r="BG20" s="33" t="n">
        <f aca="false">BF20+IF(Source_Data!BG$6=Inputs!$B$12,Inputs!$B$7,0)+BG7-BG9</f>
        <v>432.792929375</v>
      </c>
      <c r="BH20" s="33" t="n">
        <f aca="false">BG20+IF(Source_Data!BH$6=Inputs!$B$12,Inputs!$B$7,0)+BH7-BH9</f>
        <v>432.792929375</v>
      </c>
      <c r="BI20" s="33" t="n">
        <f aca="false">BH20+IF(Source_Data!BI$6=Inputs!$B$12,Inputs!$B$7,0)+BI7-BI9</f>
        <v>432.792929375</v>
      </c>
      <c r="BJ20" s="33" t="n">
        <f aca="false">BI20+IF(Source_Data!BJ$6=Inputs!$B$12,Inputs!$B$7,0)+BJ7-BJ9</f>
        <v>432.792929375</v>
      </c>
      <c r="BK20" s="33" t="n">
        <f aca="false">BJ20+IF(Source_Data!BK$6=Inputs!$B$12,Inputs!$B$7,0)+BK7-BK9</f>
        <v>432.792929375</v>
      </c>
    </row>
    <row r="21" customFormat="false" ht="15" hidden="false" customHeight="false" outlineLevel="0" collapsed="false">
      <c r="A21" s="3" t="s">
        <v>315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40</v>
      </c>
      <c r="H21" s="33" t="n">
        <f aca="false">G21+IF(Source_Data!H$6=Inputs!$B$12,Inputs!$B$7,0)+H7-H10</f>
        <v>35.61565</v>
      </c>
      <c r="I21" s="33" t="n">
        <f aca="false">H21+IF(Source_Data!I$6=Inputs!$B$12,Inputs!$B$7,0)+I7-I10</f>
        <v>49.34695</v>
      </c>
      <c r="J21" s="33" t="n">
        <f aca="false">I21+IF(Source_Data!J$6=Inputs!$B$12,Inputs!$B$7,0)+J7-J10</f>
        <v>62.107775</v>
      </c>
      <c r="K21" s="33" t="n">
        <f aca="false">J21+IF(Source_Data!K$6=Inputs!$B$12,Inputs!$B$7,0)+K7-K10</f>
        <v>78.266165</v>
      </c>
      <c r="L21" s="33" t="n">
        <f aca="false">K21+IF(Source_Data!L$6=Inputs!$B$12,Inputs!$B$7,0)+L7-L10</f>
        <v>39.86119</v>
      </c>
      <c r="M21" s="33" t="n">
        <f aca="false">L21+IF(Source_Data!M$6=Inputs!$B$12,Inputs!$B$7,0)+M7-M10</f>
        <v>22.9819375</v>
      </c>
      <c r="N21" s="33" t="n">
        <f aca="false">M21+IF(Source_Data!N$6=Inputs!$B$12,Inputs!$B$7,0)+N7-N10</f>
        <v>24.0580525</v>
      </c>
      <c r="O21" s="33" t="n">
        <f aca="false">N21+IF(Source_Data!O$6=Inputs!$B$12,Inputs!$B$7,0)+O7-O10</f>
        <v>47.1040525</v>
      </c>
      <c r="P21" s="33" t="n">
        <f aca="false">O21+IF(Source_Data!P$6=Inputs!$B$12,Inputs!$B$7,0)+P7-P10</f>
        <v>63.705407959894</v>
      </c>
      <c r="Q21" s="33" t="n">
        <f aca="false">P21+IF(Source_Data!Q$6=Inputs!$B$12,Inputs!$B$7,0)+Q7-Q10</f>
        <v>88.1120284975698</v>
      </c>
      <c r="R21" s="33" t="n">
        <f aca="false">Q21+IF(Source_Data!R$6=Inputs!$B$12,Inputs!$B$7,0)+R7-R10</f>
        <v>533.47053599757</v>
      </c>
      <c r="S21" s="33" t="n">
        <f aca="false">R21+IF(Source_Data!S$6=Inputs!$B$12,Inputs!$B$7,0)+S7-S10</f>
        <v>467.37876849757</v>
      </c>
      <c r="T21" s="33" t="n">
        <f aca="false">S21+IF(Source_Data!T$6=Inputs!$B$12,Inputs!$B$7,0)+T7-T10</f>
        <v>310.402451544741</v>
      </c>
      <c r="U21" s="33" t="n">
        <f aca="false">T21+IF(Source_Data!U$6=Inputs!$B$12,Inputs!$B$7,0)+U7-U10</f>
        <v>189.947449882595</v>
      </c>
      <c r="V21" s="33" t="n">
        <f aca="false">U21+IF(Source_Data!V$6=Inputs!$B$12,Inputs!$B$7,0)+V7-V10</f>
        <v>205.182113353666</v>
      </c>
      <c r="W21" s="33" t="n">
        <f aca="false">V21+IF(Source_Data!W$6=Inputs!$B$12,Inputs!$B$7,0)+W7-W10</f>
        <v>219.051561957953</v>
      </c>
      <c r="X21" s="33" t="n">
        <f aca="false">W21+IF(Source_Data!X$6=Inputs!$B$12,Inputs!$B$7,0)+X7-X10</f>
        <v>254.790195542047</v>
      </c>
      <c r="Y21" s="33" t="n">
        <f aca="false">X21+IF(Source_Data!Y$6=Inputs!$B$12,Inputs!$B$7,0)+Y7-Y10</f>
        <v>285.158562620846</v>
      </c>
      <c r="Z21" s="33" t="n">
        <f aca="false">Y21+IF(Source_Data!Z$6=Inputs!$B$12,Inputs!$B$7,0)+Z7-Z10</f>
        <v>308.883445831451</v>
      </c>
      <c r="AA21" s="33" t="n">
        <f aca="false">Z21+IF(Source_Data!AA$6=Inputs!$B$12,Inputs!$B$7,0)+AA7-AA10</f>
        <v>324.852447875</v>
      </c>
      <c r="AB21" s="33" t="n">
        <f aca="false">AA21+IF(Source_Data!AB$6=Inputs!$B$12,Inputs!$B$7,0)+AB7-AB10</f>
        <v>375.898695625</v>
      </c>
      <c r="AC21" s="33" t="n">
        <f aca="false">AB21+IF(Source_Data!AC$6=Inputs!$B$12,Inputs!$B$7,0)+AC7-AC10</f>
        <v>426.944944375</v>
      </c>
      <c r="AD21" s="33" t="n">
        <f aca="false">AC21+IF(Source_Data!AD$6=Inputs!$B$12,Inputs!$B$7,0)+AD7-AD10</f>
        <v>477.991193125</v>
      </c>
      <c r="AE21" s="33" t="n">
        <f aca="false">AD21+IF(Source_Data!AE$6=Inputs!$B$12,Inputs!$B$7,0)+AE7-AE10</f>
        <v>529.037441874999</v>
      </c>
      <c r="AF21" s="33" t="n">
        <f aca="false">AE21+IF(Source_Data!AF$6=Inputs!$B$12,Inputs!$B$7,0)+AF7-AF10</f>
        <v>331.7772134375</v>
      </c>
      <c r="AG21" s="33" t="n">
        <f aca="false">AF21+IF(Source_Data!AG$6=Inputs!$B$12,Inputs!$B$7,0)+AG7-AG10</f>
        <v>352.48650453125</v>
      </c>
      <c r="AH21" s="33" t="n">
        <f aca="false">AG21+IF(Source_Data!AH$6=Inputs!$B$12,Inputs!$B$7,0)+AH7-AH10</f>
        <v>371.02569171875</v>
      </c>
      <c r="AI21" s="33" t="n">
        <f aca="false">AH21+IF(Source_Data!AI$6=Inputs!$B$12,Inputs!$B$7,0)+AI7-AI10</f>
        <v>387.394775</v>
      </c>
      <c r="AJ21" s="33" t="n">
        <f aca="false">AI21+IF(Source_Data!AJ$6=Inputs!$B$12,Inputs!$B$7,0)+AJ7-AJ10</f>
        <v>400.26653140625</v>
      </c>
      <c r="AK21" s="33" t="n">
        <f aca="false">AJ21+IF(Source_Data!AK$6=Inputs!$B$12,Inputs!$B$7,0)+AK7-AK10</f>
        <v>411.1128575</v>
      </c>
      <c r="AL21" s="33" t="n">
        <f aca="false">AK21+IF(Source_Data!AL$6=Inputs!$B$12,Inputs!$B$7,0)+AL7-AL10</f>
        <v>420.564865625</v>
      </c>
      <c r="AM21" s="33" t="n">
        <f aca="false">AL21+IF(Source_Data!AM$6=Inputs!$B$12,Inputs!$B$7,0)+AM7-AM10</f>
        <v>424.640886875</v>
      </c>
      <c r="AN21" s="33" t="n">
        <f aca="false">AM21+IF(Source_Data!AN$6=Inputs!$B$12,Inputs!$B$7,0)+AN7-AN10</f>
        <v>428.716908125</v>
      </c>
      <c r="AO21" s="33" t="n">
        <f aca="false">AN21+IF(Source_Data!AO$6=Inputs!$B$12,Inputs!$B$7,0)+AO7-AO10</f>
        <v>432.792929375</v>
      </c>
      <c r="AP21" s="33" t="n">
        <f aca="false">AO21+IF(Source_Data!AP$6=Inputs!$B$12,Inputs!$B$7,0)+AP7-AP10</f>
        <v>432.792929375</v>
      </c>
      <c r="AQ21" s="33" t="n">
        <f aca="false">AP21+IF(Source_Data!AQ$6=Inputs!$B$12,Inputs!$B$7,0)+AQ7-AQ10</f>
        <v>432.792929375</v>
      </c>
      <c r="AR21" s="33" t="n">
        <f aca="false">AQ21+IF(Source_Data!AR$6=Inputs!$B$12,Inputs!$B$7,0)+AR7-AR10</f>
        <v>432.792929375</v>
      </c>
      <c r="AS21" s="33" t="n">
        <f aca="false">AR21+IF(Source_Data!AS$6=Inputs!$B$12,Inputs!$B$7,0)+AS7-AS10</f>
        <v>432.792929375</v>
      </c>
      <c r="AT21" s="33" t="n">
        <f aca="false">AS21+IF(Source_Data!AT$6=Inputs!$B$12,Inputs!$B$7,0)+AT7-AT10</f>
        <v>432.792929375</v>
      </c>
      <c r="AU21" s="33" t="n">
        <f aca="false">AT21+IF(Source_Data!AU$6=Inputs!$B$12,Inputs!$B$7,0)+AU7-AU10</f>
        <v>432.792929375</v>
      </c>
      <c r="AV21" s="33" t="n">
        <f aca="false">AU21+IF(Source_Data!AV$6=Inputs!$B$12,Inputs!$B$7,0)+AV7-AV10</f>
        <v>432.792929375</v>
      </c>
      <c r="AW21" s="33" t="n">
        <f aca="false">AV21+IF(Source_Data!AW$6=Inputs!$B$12,Inputs!$B$7,0)+AW7-AW10</f>
        <v>432.792929375</v>
      </c>
      <c r="AX21" s="33" t="n">
        <f aca="false">AW21+IF(Source_Data!AX$6=Inputs!$B$12,Inputs!$B$7,0)+AX7-AX10</f>
        <v>432.792929375</v>
      </c>
      <c r="AY21" s="33" t="n">
        <f aca="false">AX21+IF(Source_Data!AY$6=Inputs!$B$12,Inputs!$B$7,0)+AY7-AY10</f>
        <v>432.792929375</v>
      </c>
      <c r="AZ21" s="33" t="n">
        <f aca="false">AY21+IF(Source_Data!AZ$6=Inputs!$B$12,Inputs!$B$7,0)+AZ7-AZ10</f>
        <v>432.792929375</v>
      </c>
      <c r="BA21" s="33" t="n">
        <f aca="false">AZ21+IF(Source_Data!BA$6=Inputs!$B$12,Inputs!$B$7,0)+BA7-BA10</f>
        <v>432.792929375</v>
      </c>
      <c r="BB21" s="33" t="n">
        <f aca="false">BA21+IF(Source_Data!BB$6=Inputs!$B$12,Inputs!$B$7,0)+BB7-BB10</f>
        <v>432.792929375</v>
      </c>
      <c r="BC21" s="33" t="n">
        <f aca="false">BB21+IF(Source_Data!BC$6=Inputs!$B$12,Inputs!$B$7,0)+BC7-BC10</f>
        <v>432.792929375</v>
      </c>
      <c r="BD21" s="33" t="n">
        <f aca="false">BC21+IF(Source_Data!BD$6=Inputs!$B$12,Inputs!$B$7,0)+BD7-BD10</f>
        <v>432.792929375</v>
      </c>
      <c r="BE21" s="33" t="n">
        <f aca="false">BD21+IF(Source_Data!BE$6=Inputs!$B$12,Inputs!$B$7,0)+BE7-BE10</f>
        <v>432.792929375</v>
      </c>
      <c r="BF21" s="33" t="n">
        <f aca="false">BE21+IF(Source_Data!BF$6=Inputs!$B$12,Inputs!$B$7,0)+BF7-BF10</f>
        <v>432.792929375</v>
      </c>
      <c r="BG21" s="33" t="n">
        <f aca="false">BF21+IF(Source_Data!BG$6=Inputs!$B$12,Inputs!$B$7,0)+BG7-BG10</f>
        <v>432.792929375</v>
      </c>
      <c r="BH21" s="33" t="n">
        <f aca="false">BG21+IF(Source_Data!BH$6=Inputs!$B$12,Inputs!$B$7,0)+BH7-BH10</f>
        <v>432.792929375</v>
      </c>
      <c r="BI21" s="33" t="n">
        <f aca="false">BH21+IF(Source_Data!BI$6=Inputs!$B$12,Inputs!$B$7,0)+BI7-BI10</f>
        <v>432.792929375</v>
      </c>
      <c r="BJ21" s="33" t="n">
        <f aca="false">BI21+IF(Source_Data!BJ$6=Inputs!$B$12,Inputs!$B$7,0)+BJ7-BJ10</f>
        <v>432.792929375</v>
      </c>
      <c r="BK21" s="33" t="n">
        <f aca="false">BJ21+IF(Source_Data!BK$6=Inputs!$B$12,Inputs!$B$7,0)+BK7-BK10</f>
        <v>432.792929375</v>
      </c>
    </row>
    <row r="22" customFormat="false" ht="15" hidden="false" customHeight="false" outlineLevel="0" collapsed="false">
      <c r="A22" s="3" t="s">
        <v>316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40</v>
      </c>
      <c r="H22" s="33" t="n">
        <f aca="false">G22+IF(Source_Data!H$6=Inputs!$B$12,Inputs!$B$7,0)+H7-H13</f>
        <v>35.61565</v>
      </c>
      <c r="I22" s="33" t="n">
        <f aca="false">H22+IF(Source_Data!I$6=Inputs!$B$12,Inputs!$B$7,0)+I7-I13</f>
        <v>49.34695</v>
      </c>
      <c r="J22" s="33" t="n">
        <f aca="false">I22+IF(Source_Data!J$6=Inputs!$B$12,Inputs!$B$7,0)+J7-J13</f>
        <v>62.107775</v>
      </c>
      <c r="K22" s="33" t="n">
        <f aca="false">J22+IF(Source_Data!K$6=Inputs!$B$12,Inputs!$B$7,0)+K7-K13</f>
        <v>78.266165</v>
      </c>
      <c r="L22" s="33" t="n">
        <f aca="false">K22+IF(Source_Data!L$6=Inputs!$B$12,Inputs!$B$7,0)+L7-L13</f>
        <v>39.86119</v>
      </c>
      <c r="M22" s="33" t="n">
        <f aca="false">L22+IF(Source_Data!M$6=Inputs!$B$12,Inputs!$B$7,0)+M7-M13</f>
        <v>22.9819375</v>
      </c>
      <c r="N22" s="33" t="n">
        <f aca="false">M22+IF(Source_Data!N$6=Inputs!$B$12,Inputs!$B$7,0)+N7-N13</f>
        <v>24.0580525</v>
      </c>
      <c r="O22" s="33" t="n">
        <f aca="false">N22+IF(Source_Data!O$6=Inputs!$B$12,Inputs!$B$7,0)+O7-O13</f>
        <v>47.1040525</v>
      </c>
      <c r="P22" s="33" t="n">
        <f aca="false">O22+IF(Source_Data!P$6=Inputs!$B$12,Inputs!$B$7,0)+P7-P13</f>
        <v>69.1883125165548</v>
      </c>
      <c r="Q22" s="33" t="n">
        <f aca="false">P22+IF(Source_Data!Q$6=Inputs!$B$12,Inputs!$B$7,0)+Q7-Q13</f>
        <v>101.105769516012</v>
      </c>
      <c r="R22" s="33" t="n">
        <f aca="false">Q22+IF(Source_Data!R$6=Inputs!$B$12,Inputs!$B$7,0)+R7-R13</f>
        <v>538.971803110468</v>
      </c>
      <c r="S22" s="33" t="n">
        <f aca="false">R22+IF(Source_Data!S$6=Inputs!$B$12,Inputs!$B$7,0)+S7-S13</f>
        <v>483.866196734307</v>
      </c>
      <c r="T22" s="33" t="n">
        <f aca="false">S22+IF(Source_Data!T$6=Inputs!$B$12,Inputs!$B$7,0)+T7-T13</f>
        <v>331.814368306294</v>
      </c>
      <c r="U22" s="33" t="n">
        <f aca="false">T22+IF(Source_Data!U$6=Inputs!$B$12,Inputs!$B$7,0)+U7-U13</f>
        <v>211.393306342704</v>
      </c>
      <c r="V22" s="33" t="n">
        <f aca="false">U22+IF(Source_Data!V$6=Inputs!$B$12,Inputs!$B$7,0)+V7-V13</f>
        <v>226.281010997977</v>
      </c>
      <c r="W22" s="33" t="n">
        <f aca="false">V22+IF(Source_Data!W$6=Inputs!$B$12,Inputs!$B$7,0)+W7-W13</f>
        <v>239.422602272114</v>
      </c>
      <c r="X22" s="33" t="n">
        <f aca="false">W22+IF(Source_Data!X$6=Inputs!$B$12,Inputs!$B$7,0)+X7-X13</f>
        <v>272.659966770189</v>
      </c>
      <c r="Y22" s="33" t="n">
        <f aca="false">X22+IF(Source_Data!Y$6=Inputs!$B$12,Inputs!$B$7,0)+Y7-Y13</f>
        <v>299.028746378577</v>
      </c>
      <c r="Z22" s="33" t="n">
        <f aca="false">Y22+IF(Source_Data!Z$6=Inputs!$B$12,Inputs!$B$7,0)+Z7-Z13</f>
        <v>316.900492763946</v>
      </c>
      <c r="AA22" s="33" t="n">
        <f aca="false">Z22+IF(Source_Data!AA$6=Inputs!$B$12,Inputs!$B$7,0)+AA7-AA13</f>
        <v>324.852446875</v>
      </c>
      <c r="AB22" s="33" t="n">
        <f aca="false">AA22+IF(Source_Data!AB$6=Inputs!$B$12,Inputs!$B$7,0)+AB7-AB13</f>
        <v>375.898695625</v>
      </c>
      <c r="AC22" s="33" t="n">
        <f aca="false">AB22+IF(Source_Data!AC$6=Inputs!$B$12,Inputs!$B$7,0)+AC7-AC13</f>
        <v>426.944944375</v>
      </c>
      <c r="AD22" s="33" t="n">
        <f aca="false">AC22+IF(Source_Data!AD$6=Inputs!$B$12,Inputs!$B$7,0)+AD7-AD13</f>
        <v>477.991193125</v>
      </c>
      <c r="AE22" s="33" t="n">
        <f aca="false">AD22+IF(Source_Data!AE$6=Inputs!$B$12,Inputs!$B$7,0)+AE7-AE13</f>
        <v>529.037441874999</v>
      </c>
      <c r="AF22" s="33" t="n">
        <f aca="false">AE22+IF(Source_Data!AF$6=Inputs!$B$12,Inputs!$B$7,0)+AF7-AF13</f>
        <v>331.7772134375</v>
      </c>
      <c r="AG22" s="33" t="n">
        <f aca="false">AF22+IF(Source_Data!AG$6=Inputs!$B$12,Inputs!$B$7,0)+AG7-AG13</f>
        <v>352.48650453125</v>
      </c>
      <c r="AH22" s="33" t="n">
        <f aca="false">AG22+IF(Source_Data!AH$6=Inputs!$B$12,Inputs!$B$7,0)+AH7-AH13</f>
        <v>371.02569171875</v>
      </c>
      <c r="AI22" s="33" t="n">
        <f aca="false">AH22+IF(Source_Data!AI$6=Inputs!$B$12,Inputs!$B$7,0)+AI7-AI13</f>
        <v>387.394775</v>
      </c>
      <c r="AJ22" s="33" t="n">
        <f aca="false">AI22+IF(Source_Data!AJ$6=Inputs!$B$12,Inputs!$B$7,0)+AJ7-AJ13</f>
        <v>400.26653140625</v>
      </c>
      <c r="AK22" s="33" t="n">
        <f aca="false">AJ22+IF(Source_Data!AK$6=Inputs!$B$12,Inputs!$B$7,0)+AK7-AK13</f>
        <v>411.1128575</v>
      </c>
      <c r="AL22" s="33" t="n">
        <f aca="false">AK22+IF(Source_Data!AL$6=Inputs!$B$12,Inputs!$B$7,0)+AL7-AL13</f>
        <v>420.564865625</v>
      </c>
      <c r="AM22" s="33" t="n">
        <f aca="false">AL22+IF(Source_Data!AM$6=Inputs!$B$12,Inputs!$B$7,0)+AM7-AM13</f>
        <v>424.640886875</v>
      </c>
      <c r="AN22" s="33" t="n">
        <f aca="false">AM22+IF(Source_Data!AN$6=Inputs!$B$12,Inputs!$B$7,0)+AN7-AN13</f>
        <v>428.716908125</v>
      </c>
      <c r="AO22" s="33" t="n">
        <f aca="false">AN22+IF(Source_Data!AO$6=Inputs!$B$12,Inputs!$B$7,0)+AO7-AO13</f>
        <v>432.792929375</v>
      </c>
      <c r="AP22" s="33" t="n">
        <f aca="false">AO22+IF(Source_Data!AP$6=Inputs!$B$12,Inputs!$B$7,0)+AP7-AP13</f>
        <v>432.792929375</v>
      </c>
      <c r="AQ22" s="33" t="n">
        <f aca="false">AP22+IF(Source_Data!AQ$6=Inputs!$B$12,Inputs!$B$7,0)+AQ7-AQ13</f>
        <v>432.792929375</v>
      </c>
      <c r="AR22" s="33" t="n">
        <f aca="false">AQ22+IF(Source_Data!AR$6=Inputs!$B$12,Inputs!$B$7,0)+AR7-AR13</f>
        <v>432.792929375</v>
      </c>
      <c r="AS22" s="33" t="n">
        <f aca="false">AR22+IF(Source_Data!AS$6=Inputs!$B$12,Inputs!$B$7,0)+AS7-AS13</f>
        <v>432.792929375</v>
      </c>
      <c r="AT22" s="33" t="n">
        <f aca="false">AS22+IF(Source_Data!AT$6=Inputs!$B$12,Inputs!$B$7,0)+AT7-AT13</f>
        <v>432.792929375</v>
      </c>
      <c r="AU22" s="33" t="n">
        <f aca="false">AT22+IF(Source_Data!AU$6=Inputs!$B$12,Inputs!$B$7,0)+AU7-AU13</f>
        <v>432.792929375</v>
      </c>
      <c r="AV22" s="33" t="n">
        <f aca="false">AU22+IF(Source_Data!AV$6=Inputs!$B$12,Inputs!$B$7,0)+AV7-AV13</f>
        <v>432.792929375</v>
      </c>
      <c r="AW22" s="33" t="n">
        <f aca="false">AV22+IF(Source_Data!AW$6=Inputs!$B$12,Inputs!$B$7,0)+AW7-AW13</f>
        <v>432.792929375</v>
      </c>
      <c r="AX22" s="33" t="n">
        <f aca="false">AW22+IF(Source_Data!AX$6=Inputs!$B$12,Inputs!$B$7,0)+AX7-AX13</f>
        <v>432.792929375</v>
      </c>
      <c r="AY22" s="33" t="n">
        <f aca="false">AX22+IF(Source_Data!AY$6=Inputs!$B$12,Inputs!$B$7,0)+AY7-AY13</f>
        <v>432.792929375</v>
      </c>
      <c r="AZ22" s="33" t="n">
        <f aca="false">AY22+IF(Source_Data!AZ$6=Inputs!$B$12,Inputs!$B$7,0)+AZ7-AZ13</f>
        <v>432.792929375</v>
      </c>
      <c r="BA22" s="33" t="n">
        <f aca="false">AZ22+IF(Source_Data!BA$6=Inputs!$B$12,Inputs!$B$7,0)+BA7-BA13</f>
        <v>432.792929375</v>
      </c>
      <c r="BB22" s="33" t="n">
        <f aca="false">BA22+IF(Source_Data!BB$6=Inputs!$B$12,Inputs!$B$7,0)+BB7-BB13</f>
        <v>432.792929375</v>
      </c>
      <c r="BC22" s="33" t="n">
        <f aca="false">BB22+IF(Source_Data!BC$6=Inputs!$B$12,Inputs!$B$7,0)+BC7-BC13</f>
        <v>432.792929375</v>
      </c>
      <c r="BD22" s="33" t="n">
        <f aca="false">BC22+IF(Source_Data!BD$6=Inputs!$B$12,Inputs!$B$7,0)+BD7-BD13</f>
        <v>432.792929375</v>
      </c>
      <c r="BE22" s="33" t="n">
        <f aca="false">BD22+IF(Source_Data!BE$6=Inputs!$B$12,Inputs!$B$7,0)+BE7-BE13</f>
        <v>432.792929375</v>
      </c>
      <c r="BF22" s="33" t="n">
        <f aca="false">BE22+IF(Source_Data!BF$6=Inputs!$B$12,Inputs!$B$7,0)+BF7-BF13</f>
        <v>432.792929375</v>
      </c>
      <c r="BG22" s="33" t="n">
        <f aca="false">BF22+IF(Source_Data!BG$6=Inputs!$B$12,Inputs!$B$7,0)+BG7-BG13</f>
        <v>432.792929375</v>
      </c>
      <c r="BH22" s="33" t="n">
        <f aca="false">BG22+IF(Source_Data!BH$6=Inputs!$B$12,Inputs!$B$7,0)+BH7-BH13</f>
        <v>432.792929375</v>
      </c>
      <c r="BI22" s="33" t="n">
        <f aca="false">BH22+IF(Source_Data!BI$6=Inputs!$B$12,Inputs!$B$7,0)+BI7-BI13</f>
        <v>432.792929375</v>
      </c>
      <c r="BJ22" s="33" t="n">
        <f aca="false">BI22+IF(Source_Data!BJ$6=Inputs!$B$12,Inputs!$B$7,0)+BJ7-BJ13</f>
        <v>432.792929375</v>
      </c>
      <c r="BK22" s="33" t="n">
        <f aca="false">BJ22+IF(Source_Data!BK$6=Inputs!$B$12,Inputs!$B$7,0)+BK7-BK13</f>
        <v>432.792929375</v>
      </c>
    </row>
    <row r="23" customFormat="false" ht="15" hidden="false" customHeight="false" outlineLevel="0" collapsed="false">
      <c r="A23" s="3" t="s">
        <v>317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1.87819059130435</v>
      </c>
      <c r="Q23" s="31" t="n">
        <f aca="false">IF(Q9&gt;0,Q7/Q9,"")</f>
        <v>2.30316448695652</v>
      </c>
      <c r="R23" s="31" t="n">
        <f aca="false">IF(R9&gt;0,R7/R9,"")</f>
        <v>20.0888768347826</v>
      </c>
      <c r="S23" s="31" t="n">
        <f aca="false">IF(S9&gt;0,S7/S9,"")</f>
        <v>-1.25861290434783</v>
      </c>
      <c r="T23" s="31" t="n">
        <f aca="false">IF(T9&gt;0,T7/T9,"")</f>
        <v>-5.39410340869566</v>
      </c>
      <c r="U23" s="31" t="n">
        <f aca="false">IF(U9&gt;0,U7/U9,"")</f>
        <v>-4.10893888695652</v>
      </c>
      <c r="V23" s="31" t="n">
        <f aca="false">IF(V9&gt;0,V7/V9,"")</f>
        <v>1.53599947826087</v>
      </c>
      <c r="W23" s="31" t="n">
        <f aca="false">IF(W9&gt;0,W7/W9,"")</f>
        <v>1.46038633043478</v>
      </c>
      <c r="X23" s="31" t="n">
        <f aca="false">IF(X9&gt;0,X7/X9,"")</f>
        <v>2.28644710434783</v>
      </c>
      <c r="Y23" s="31" t="n">
        <f aca="false">IF(Y9&gt;0,Y7/Y9,"")</f>
        <v>1.98901205217391</v>
      </c>
      <c r="Z23" s="31" t="n">
        <f aca="false">IF(Z9&gt;0,Z7/Z9,"")</f>
        <v>1.6210591826087</v>
      </c>
      <c r="AA23" s="31" t="n">
        <f aca="false">IF(AA9&gt;0,AA7/AA9,"")</f>
        <v>1.1914956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318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3.8442727826087</v>
      </c>
      <c r="Q24" s="31" t="n">
        <f aca="false">IF(Q9&gt;0,(P20+IF(Source_Data!Q$6=Inputs!$B$12,Inputs!$B$7,0)+Q7)/Q9,"")</f>
        <v>5.14743726956522</v>
      </c>
      <c r="R24" s="31" t="n">
        <f aca="false">IF(R9&gt;0,(Q20+IF(Source_Data!R$6=Inputs!$B$12,Inputs!$B$7,0)+R7)/R9,"")</f>
        <v>24.2363141043478</v>
      </c>
      <c r="S24" s="31" t="n">
        <f aca="false">IF(S9&gt;0,(R20+IF(Source_Data!S$6=Inputs!$B$12,Inputs!$B$7,0)+S7)/S9,"")</f>
        <v>21.9777012</v>
      </c>
      <c r="T24" s="31" t="n">
        <f aca="false">IF(T9&gt;0,(S20+IF(Source_Data!T$6=Inputs!$B$12,Inputs!$B$7,0)+T7)/T9,"")</f>
        <v>15.5835977913043</v>
      </c>
      <c r="U24" s="31" t="n">
        <f aca="false">IF(U9&gt;0,(T20+IF(Source_Data!U$6=Inputs!$B$12,Inputs!$B$7,0)+U7)/U9,"")</f>
        <v>10.4746589043478</v>
      </c>
      <c r="V24" s="31" t="n">
        <f aca="false">IF(V9&gt;0,(U20+IF(Source_Data!V$6=Inputs!$B$12,Inputs!$B$7,0)+V7)/V9,"")</f>
        <v>11.0106583826087</v>
      </c>
      <c r="W24" s="31" t="n">
        <f aca="false">IF(W9&gt;0,(V20+IF(Source_Data!W$6=Inputs!$B$12,Inputs!$B$7,0)+W7)/W9,"")</f>
        <v>11.4710447130435</v>
      </c>
      <c r="X24" s="31" t="n">
        <f aca="false">IF(X9&gt;0,(W20+IF(Source_Data!X$6=Inputs!$B$12,Inputs!$B$7,0)+X7)/X9,"")</f>
        <v>12.7574918173913</v>
      </c>
      <c r="Y24" s="31" t="n">
        <f aca="false">IF(Y9&gt;0,(X20+IF(Source_Data!Y$6=Inputs!$B$12,Inputs!$B$7,0)+Y7)/Y9,"")</f>
        <v>13.7465038695652</v>
      </c>
      <c r="Z24" s="31" t="n">
        <f aca="false">IF(Z9&gt;0,(Y20+IF(Source_Data!Z$6=Inputs!$B$12,Inputs!$B$7,0)+Z7)/Z9,"")</f>
        <v>14.3675630521739</v>
      </c>
      <c r="AA24" s="31" t="n">
        <f aca="false">IF(AA9&gt;0,(Z20+IF(Source_Data!AA$6=Inputs!$B$12,Inputs!$B$7,0)+AA7)/AA9,"")</f>
        <v>14.5590586521739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1.58461733220684</v>
      </c>
      <c r="Q25" s="31" t="n">
        <f aca="false">IF(Q10&gt;0,Q7/Q10,"")</f>
        <v>1.79310868170845</v>
      </c>
      <c r="R25" s="31" t="n">
        <f aca="false">IF(R10&gt;0,R7/R10,"")</f>
        <v>13.3925845565217</v>
      </c>
      <c r="S25" s="31" t="n">
        <f aca="false">IF(S10&gt;0,S7/S10,"")</f>
        <v>-0.839075269565218</v>
      </c>
      <c r="T25" s="31" t="n">
        <f aca="false">IF(T10&gt;0,T7/T10,"")</f>
        <v>-4.65831524918536</v>
      </c>
      <c r="U25" s="31" t="n">
        <f aca="false">IF(U10&gt;0,U7/U10,"")</f>
        <v>-4.47232349410731</v>
      </c>
      <c r="V25" s="31" t="n">
        <f aca="false">IF(V10&gt;0,V7/V10,"")</f>
        <v>1.70644259509543</v>
      </c>
      <c r="W25" s="31" t="n">
        <f aca="false">IF(W10&gt;0,W7/W10,"")</f>
        <v>1.65672928394987</v>
      </c>
      <c r="X25" s="31" t="n">
        <f aca="false">IF(X10&gt;0,X7/X10,"")</f>
        <v>2.87694742256366</v>
      </c>
      <c r="Y25" s="31" t="n">
        <f aca="false">IF(Y10&gt;0,Y7/Y10,"")</f>
        <v>2.75691553841143</v>
      </c>
      <c r="Z25" s="31" t="n">
        <f aca="false">IF(Z10&gt;0,Z7/Z10,"")</f>
        <v>2.5698335299143</v>
      </c>
      <c r="AA25" s="31" t="n">
        <f aca="false">IF(AA10&gt;0,AA7/AA10,"")</f>
        <v>2.26967391323879</v>
      </c>
      <c r="AB25" s="31" t="n">
        <f aca="false">IF(AB10&gt;0,AB7/AB10,"")</f>
        <v>51046248.8788794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320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3.24338824252242</v>
      </c>
      <c r="Q26" s="31" t="n">
        <f aca="false">IF(Q10&gt;0,(P21+IF(Source_Data!Q$6=Inputs!$B$12,Inputs!$B$7,0)+Q7)/Q10,"")</f>
        <v>3.86325649454373</v>
      </c>
      <c r="R26" s="31" t="n">
        <f aca="false">IF(R10&gt;0,(Q21+IF(Source_Data!R$6=Inputs!$B$12,Inputs!$B$7,0)+R7)/R10,"")</f>
        <v>15.8443975234106</v>
      </c>
      <c r="S26" s="31" t="n">
        <f aca="false">IF(S10&gt;0,(R21+IF(Source_Data!S$6=Inputs!$B$12,Inputs!$B$7,0)+S7)/S10,"")</f>
        <v>14.0053222538454</v>
      </c>
      <c r="T26" s="31" t="n">
        <f aca="false">IF(T10&gt;0,(S21+IF(Source_Data!T$6=Inputs!$B$12,Inputs!$B$7,0)+T7)/T10,"")</f>
        <v>12.1886618252606</v>
      </c>
      <c r="U26" s="31" t="n">
        <f aca="false">IF(U10&gt;0,(T21+IF(Source_Data!U$6=Inputs!$B$12,Inputs!$B$7,0)+U7)/U10,"")</f>
        <v>9.629395859823</v>
      </c>
      <c r="V26" s="31" t="n">
        <f aca="false">IF(V10&gt;0,(U21+IF(Source_Data!V$6=Inputs!$B$12,Inputs!$B$7,0)+V7)/V10,"")</f>
        <v>10.5144461116568</v>
      </c>
      <c r="W26" s="31" t="n">
        <f aca="false">IF(W10&gt;0,(V21+IF(Source_Data!W$6=Inputs!$B$12,Inputs!$B$7,0)+W7)/W10,"")</f>
        <v>11.3722634934656</v>
      </c>
      <c r="X26" s="31" t="n">
        <f aca="false">IF(X10&gt;0,(W21+IF(Source_Data!X$6=Inputs!$B$12,Inputs!$B$7,0)+X7)/X10,"")</f>
        <v>14.3812558807503</v>
      </c>
      <c r="Y26" s="31" t="n">
        <f aca="false">IF(Y10&gt;0,(X21+IF(Source_Data!Y$6=Inputs!$B$12,Inputs!$B$7,0)+Y7)/Y10,"")</f>
        <v>17.4974135184697</v>
      </c>
      <c r="Z26" s="31" t="n">
        <f aca="false">IF(Z10&gt;0,(Y21+IF(Source_Data!Z$6=Inputs!$B$12,Inputs!$B$7,0)+Z7)/Z10,"")</f>
        <v>21.4382708988401</v>
      </c>
      <c r="AA26" s="31" t="n">
        <f aca="false">IF(AA10&gt;0,(Z21+IF(Source_Data!AA$6=Inputs!$B$12,Inputs!$B$7,0)+AA7)/AA10,"")</f>
        <v>26.8285819986646</v>
      </c>
      <c r="AB26" s="31" t="n">
        <f aca="false">IF(AB10&gt;0,(AA21+IF(Source_Data!AB$6=Inputs!$B$12,Inputs!$B$7,0)+AB7)/AB10,"")</f>
        <v>375898697.574053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321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1.96378658547241</v>
      </c>
      <c r="Q27" s="31" t="n">
        <f aca="false">IF(Q13&gt;0,Q7/Q13,"")</f>
        <v>2.37205468076591</v>
      </c>
      <c r="R27" s="31" t="n">
        <f aca="false">IF(R13&gt;0,R7/R13,"")</f>
        <v>11.0821159724105</v>
      </c>
      <c r="S27" s="31" t="n">
        <f aca="false">IF(S13&gt;0,S7/S13,"")</f>
        <v>-1.20852302354045</v>
      </c>
      <c r="T27" s="31" t="n">
        <f aca="false">IF(T13&gt;0,T7/T13,"")</f>
        <v>-5.66364956959884</v>
      </c>
      <c r="U27" s="31" t="n">
        <f aca="false">IF(U13&gt;0,U7/U13,"")</f>
        <v>-4.47922999811866</v>
      </c>
      <c r="V27" s="31" t="n">
        <f aca="false">IF(V13&gt;0,V7/V13,"")</f>
        <v>1.67942280413089</v>
      </c>
      <c r="W27" s="31" t="n">
        <f aca="false">IF(W13&gt;0,W7/W13,"")</f>
        <v>1.60153306162678</v>
      </c>
      <c r="X27" s="31" t="n">
        <f aca="false">IF(X13&gt;0,X7/X13,"")</f>
        <v>2.54290289921707</v>
      </c>
      <c r="Y27" s="31" t="n">
        <f aca="false">IF(Y13&gt;0,Y7/Y13,"")</f>
        <v>2.23886459278328</v>
      </c>
      <c r="Z27" s="31" t="n">
        <f aca="false">IF(Z13&gt;0,Z7/Z13,"")</f>
        <v>1.85241036379909</v>
      </c>
      <c r="AA27" s="31" t="n">
        <f aca="false">IF(AA13&gt;0,AA7/AA13,"")</f>
        <v>1.38612413051598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322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4.01947031165823</v>
      </c>
      <c r="Q28" s="31" t="n">
        <f aca="false">IF(Q13&gt;0,(P22+IF(Source_Data!Q$6=Inputs!$B$12,Inputs!$B$7,0)+Q7)/Q13,"")</f>
        <v>5.34629376391873</v>
      </c>
      <c r="R28" s="31" t="n">
        <f aca="false">IF(R13&gt;0,(Q22+IF(Source_Data!R$6=Inputs!$B$12,Inputs!$B$7,0)+R7)/R13,"")</f>
        <v>13.4101341686891</v>
      </c>
      <c r="S28" s="31" t="n">
        <f aca="false">IF(S13&gt;0,(R22+IF(Source_Data!S$6=Inputs!$B$12,Inputs!$B$7,0)+S7)/S13,"")</f>
        <v>20.3923940970001</v>
      </c>
      <c r="T28" s="31" t="n">
        <f aca="false">IF(T13&gt;0,(S22+IF(Source_Data!T$6=Inputs!$B$12,Inputs!$B$7,0)+T7)/T13,"")</f>
        <v>15.5417170935091</v>
      </c>
      <c r="U28" s="31" t="n">
        <f aca="false">IF(U13&gt;0,(T22+IF(Source_Data!U$6=Inputs!$B$12,Inputs!$B$7,0)+U7)/U13,"")</f>
        <v>10.6185212671903</v>
      </c>
      <c r="V28" s="31" t="n">
        <f aca="false">IF(V13&gt;0,(U22+IF(Source_Data!V$6=Inputs!$B$12,Inputs!$B$7,0)+V7)/V13,"")</f>
        <v>11.3266744319355</v>
      </c>
      <c r="W28" s="31" t="n">
        <f aca="false">IF(W13&gt;0,(V22+IF(Source_Data!W$6=Inputs!$B$12,Inputs!$B$7,0)+W7)/W13,"")</f>
        <v>11.9591455070462</v>
      </c>
      <c r="X28" s="31" t="n">
        <f aca="false">IF(X13&gt;0,(W22+IF(Source_Data!X$6=Inputs!$B$12,Inputs!$B$7,0)+X7)/X13,"")</f>
        <v>13.6570761425601</v>
      </c>
      <c r="Y28" s="31" t="n">
        <f aca="false">IF(Y13&gt;0,(X22+IF(Source_Data!Y$6=Inputs!$B$12,Inputs!$B$7,0)+Y7)/Y13,"")</f>
        <v>15.0490432858311</v>
      </c>
      <c r="Z28" s="31" t="n">
        <f aca="false">IF(Z13&gt;0,(Y22+IF(Source_Data!Z$6=Inputs!$B$12,Inputs!$B$7,0)+Z7)/Z13,"")</f>
        <v>16.1148778916296</v>
      </c>
      <c r="AA28" s="31" t="n">
        <f aca="false">IF(AA13&gt;0,(Z22+IF(Source_Data!AA$6=Inputs!$B$12,Inputs!$B$7,0)+AA7)/AA13,"")</f>
        <v>16.7739049853476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323</v>
      </c>
      <c r="B31" s="7" t="s">
        <v>324</v>
      </c>
      <c r="C31" s="7" t="s">
        <v>325</v>
      </c>
      <c r="D31" s="7" t="s">
        <v>326</v>
      </c>
    </row>
    <row r="32" customFormat="false" ht="15" hidden="false" customHeight="false" outlineLevel="0" collapsed="false">
      <c r="A32" s="3" t="s">
        <v>327</v>
      </c>
      <c r="B32" s="41" t="n">
        <f aca="false">SUM(D9:BK9)</f>
        <v>287.5</v>
      </c>
      <c r="C32" s="41" t="n">
        <f aca="false">SUM(D10:BK10)</f>
        <v>287.5</v>
      </c>
      <c r="D32" s="41" t="n">
        <f aca="false">SUM(D13:BK13)</f>
        <v>287.5</v>
      </c>
    </row>
    <row r="33" customFormat="false" ht="15" hidden="false" customHeight="false" outlineLevel="0" collapsed="false">
      <c r="A33" s="3" t="s">
        <v>328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289</v>
      </c>
      <c r="B34" s="39" t="n">
        <f aca="false">(1+IRR(D14:BK14,0.05))^4-1</f>
        <v>0.265463994839995</v>
      </c>
      <c r="C34" s="39" t="n">
        <f aca="false">(1+IRR(D15:BK15,0.05))^4-1</f>
        <v>0.286576617962057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0.286576617962057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278</v>
      </c>
      <c r="B36" s="41" t="n">
        <f aca="false">SUMPRODUCT(D17:BK17,Project_CF!$D$15:$BK$15)</f>
        <v>-48.1941063637315</v>
      </c>
      <c r="C36" s="41" t="n">
        <f aca="false">SUMPRODUCT(D18:BK18,Project_CF!$D$15:$BK$15)</f>
        <v>-53.0862853271121</v>
      </c>
      <c r="D36" s="41" t="n">
        <f aca="false">SUMPRODUCT(D19:BK19,Project_CF!$D$15:$BK$15)</f>
        <v>-50.17009636358</v>
      </c>
    </row>
    <row r="37" customFormat="false" ht="15" hidden="false" customHeight="false" outlineLevel="0" collapsed="false">
      <c r="A37" s="3" t="s">
        <v>329</v>
      </c>
      <c r="B37" s="43" t="n">
        <f aca="false">MIN(D23:BK23)</f>
        <v>-5.39410340869566</v>
      </c>
      <c r="C37" s="43" t="n">
        <f aca="false">MIN(D25:BK25)</f>
        <v>-4.65831524918536</v>
      </c>
      <c r="D37" s="43" t="n">
        <f aca="false">MIN(D27:BK27)</f>
        <v>-5.66364956959884</v>
      </c>
    </row>
    <row r="38" customFormat="false" ht="15" hidden="false" customHeight="false" outlineLevel="0" collapsed="false">
      <c r="A38" s="3" t="s">
        <v>330</v>
      </c>
      <c r="B38" s="35" t="n">
        <f aca="false">COUNTIF(D23:BK23,"&lt;"&amp;Inputs!$B$43)</f>
        <v>5</v>
      </c>
      <c r="C38" s="35" t="n">
        <f aca="false">COUNTIF(D25:BK25,"&lt;"&amp;Inputs!$B$43)</f>
        <v>3</v>
      </c>
      <c r="D38" s="35" t="n">
        <f aca="false">COUNTIF(D27:BK27,"&lt;"&amp;Inputs!$B$43)</f>
        <v>4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331</v>
      </c>
      <c r="B40" s="43" t="n">
        <f aca="false">MIN(D24:BK24)</f>
        <v>3.8442727826087</v>
      </c>
      <c r="C40" s="43" t="n">
        <f aca="false">MIN(D26:BK26)</f>
        <v>3.24338824252242</v>
      </c>
      <c r="D40" s="43" t="n">
        <f aca="false">MIN(D28:BK28)</f>
        <v>4.01947031165823</v>
      </c>
    </row>
    <row r="41" customFormat="false" ht="15" hidden="false" customHeight="false" outlineLevel="0" collapsed="false">
      <c r="A41" s="3" t="s">
        <v>332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333</v>
      </c>
      <c r="B42" s="41" t="n">
        <f aca="false">MIN(D20:BK20)</f>
        <v>0</v>
      </c>
      <c r="C42" s="41" t="n">
        <f aca="false">MIN(D21:BK21)</f>
        <v>0</v>
      </c>
      <c r="D42" s="41" t="n">
        <f aca="false">MIN(D22:BK22)</f>
        <v>0</v>
      </c>
    </row>
    <row r="43" customFormat="false" ht="15" hidden="false" customHeight="false" outlineLevel="0" collapsed="false">
      <c r="A43" s="3" t="s">
        <v>334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335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336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-125</v>
      </c>
      <c r="H47" s="33" t="n">
        <f aca="false">G47+H14</f>
        <v>-125</v>
      </c>
      <c r="I47" s="33" t="n">
        <f aca="false">H47+I14</f>
        <v>-125</v>
      </c>
      <c r="J47" s="33" t="n">
        <f aca="false">I47+J14</f>
        <v>-125</v>
      </c>
      <c r="K47" s="33" t="n">
        <f aca="false">J47+K14</f>
        <v>-125</v>
      </c>
      <c r="L47" s="33" t="n">
        <f aca="false">K47+L14</f>
        <v>-125</v>
      </c>
      <c r="M47" s="33" t="n">
        <f aca="false">L47+M14</f>
        <v>-125</v>
      </c>
      <c r="N47" s="33" t="n">
        <f aca="false">M47+N14</f>
        <v>-125</v>
      </c>
      <c r="O47" s="33" t="n">
        <f aca="false">N47+O14</f>
        <v>-125</v>
      </c>
      <c r="P47" s="33" t="n">
        <f aca="false">O47+P14</f>
        <v>-101.041666666667</v>
      </c>
      <c r="Q47" s="33" t="n">
        <f aca="false">P47+Q14</f>
        <v>-77.0833333333333</v>
      </c>
      <c r="R47" s="33" t="n">
        <f aca="false">Q47+R14</f>
        <v>-53.125</v>
      </c>
      <c r="S47" s="33" t="n">
        <f aca="false">R47+S14</f>
        <v>-29.1666666666667</v>
      </c>
      <c r="T47" s="33" t="n">
        <f aca="false">S47+T14</f>
        <v>-5.20833333333335</v>
      </c>
      <c r="U47" s="33" t="n">
        <f aca="false">T47+U14</f>
        <v>18.75</v>
      </c>
      <c r="V47" s="33" t="n">
        <f aca="false">U47+V14</f>
        <v>42.7083333333333</v>
      </c>
      <c r="W47" s="33" t="n">
        <f aca="false">V47+W14</f>
        <v>66.6666666666666</v>
      </c>
      <c r="X47" s="33" t="n">
        <f aca="false">W47+X14</f>
        <v>90.625</v>
      </c>
      <c r="Y47" s="33" t="n">
        <f aca="false">X47+Y14</f>
        <v>114.583333333333</v>
      </c>
      <c r="Z47" s="33" t="n">
        <f aca="false">Y47+Z14</f>
        <v>138.541666666667</v>
      </c>
      <c r="AA47" s="33" t="n">
        <f aca="false">Z47+AA14</f>
        <v>162.5</v>
      </c>
      <c r="AB47" s="33" t="n">
        <f aca="false">AA47+AB14</f>
        <v>162.5</v>
      </c>
      <c r="AC47" s="33" t="n">
        <f aca="false">AB47+AC14</f>
        <v>162.5</v>
      </c>
      <c r="AD47" s="33" t="n">
        <f aca="false">AC47+AD14</f>
        <v>162.5</v>
      </c>
      <c r="AE47" s="33" t="n">
        <f aca="false">AD47+AE14</f>
        <v>162.5</v>
      </c>
      <c r="AF47" s="33" t="n">
        <f aca="false">AE47+AF14</f>
        <v>162.5</v>
      </c>
      <c r="AG47" s="33" t="n">
        <f aca="false">AF47+AG14</f>
        <v>162.5</v>
      </c>
      <c r="AH47" s="33" t="n">
        <f aca="false">AG47+AH14</f>
        <v>162.5</v>
      </c>
      <c r="AI47" s="33" t="n">
        <f aca="false">AH47+AI14</f>
        <v>162.5</v>
      </c>
      <c r="AJ47" s="33" t="n">
        <f aca="false">AI47+AJ14</f>
        <v>162.5</v>
      </c>
      <c r="AK47" s="33" t="n">
        <f aca="false">AJ47+AK14</f>
        <v>162.5</v>
      </c>
      <c r="AL47" s="33" t="n">
        <f aca="false">AK47+AL14</f>
        <v>162.5</v>
      </c>
      <c r="AM47" s="33" t="n">
        <f aca="false">AL47+AM14</f>
        <v>162.5</v>
      </c>
      <c r="AN47" s="33" t="n">
        <f aca="false">AM47+AN14</f>
        <v>162.5</v>
      </c>
      <c r="AO47" s="33" t="n">
        <f aca="false">AN47+AO14</f>
        <v>162.5</v>
      </c>
      <c r="AP47" s="33" t="n">
        <f aca="false">AO47+AP14</f>
        <v>162.5</v>
      </c>
      <c r="AQ47" s="33" t="n">
        <f aca="false">AP47+AQ14</f>
        <v>162.5</v>
      </c>
      <c r="AR47" s="33" t="n">
        <f aca="false">AQ47+AR14</f>
        <v>162.5</v>
      </c>
      <c r="AS47" s="33" t="n">
        <f aca="false">AR47+AS14</f>
        <v>162.5</v>
      </c>
      <c r="AT47" s="33" t="n">
        <f aca="false">AS47+AT14</f>
        <v>162.5</v>
      </c>
      <c r="AU47" s="33" t="n">
        <f aca="false">AT47+AU14</f>
        <v>162.5</v>
      </c>
      <c r="AV47" s="33" t="n">
        <f aca="false">AU47+AV14</f>
        <v>162.5</v>
      </c>
      <c r="AW47" s="33" t="n">
        <f aca="false">AV47+AW14</f>
        <v>162.5</v>
      </c>
      <c r="AX47" s="33" t="n">
        <f aca="false">AW47+AX14</f>
        <v>162.5</v>
      </c>
      <c r="AY47" s="33" t="n">
        <f aca="false">AX47+AY14</f>
        <v>162.5</v>
      </c>
      <c r="AZ47" s="33" t="n">
        <f aca="false">AY47+AZ14</f>
        <v>162.5</v>
      </c>
      <c r="BA47" s="33" t="n">
        <f aca="false">AZ47+BA14</f>
        <v>162.5</v>
      </c>
      <c r="BB47" s="33" t="n">
        <f aca="false">BA47+BB14</f>
        <v>162.5</v>
      </c>
      <c r="BC47" s="33" t="n">
        <f aca="false">BB47+BC14</f>
        <v>162.5</v>
      </c>
      <c r="BD47" s="33" t="n">
        <f aca="false">BC47+BD14</f>
        <v>162.5</v>
      </c>
      <c r="BE47" s="33" t="n">
        <f aca="false">BD47+BE14</f>
        <v>162.5</v>
      </c>
      <c r="BF47" s="33" t="n">
        <f aca="false">BE47+BF14</f>
        <v>162.5</v>
      </c>
      <c r="BG47" s="33" t="n">
        <f aca="false">BF47+BG14</f>
        <v>162.5</v>
      </c>
      <c r="BH47" s="33" t="n">
        <f aca="false">BG47+BH14</f>
        <v>162.5</v>
      </c>
      <c r="BI47" s="33" t="n">
        <f aca="false">BH47+BI14</f>
        <v>162.5</v>
      </c>
      <c r="BJ47" s="33" t="n">
        <f aca="false">BI47+BJ14</f>
        <v>162.5</v>
      </c>
      <c r="BK47" s="33" t="n">
        <f aca="false">BJ47+BK14</f>
        <v>162.5</v>
      </c>
    </row>
    <row r="48" customFormat="false" ht="15" hidden="false" customHeight="false" outlineLevel="0" collapsed="false">
      <c r="A48" s="3" t="s">
        <v>337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338</v>
      </c>
    </row>
    <row r="2" customFormat="false" ht="15" hidden="false" customHeight="false" outlineLevel="0" collapsed="false">
      <c r="A2" s="6" t="s">
        <v>339</v>
      </c>
    </row>
    <row r="4" customFormat="false" ht="15" hidden="false" customHeight="false" outlineLevel="0" collapsed="false">
      <c r="A4" s="8" t="s">
        <v>69</v>
      </c>
    </row>
    <row r="5" customFormat="false" ht="15" hidden="false" customHeight="false" outlineLevel="0" collapsed="false">
      <c r="A5" s="3" t="s">
        <v>340</v>
      </c>
      <c r="B5" s="45" t="n">
        <v>1</v>
      </c>
    </row>
    <row r="6" customFormat="false" ht="15" hidden="false" customHeight="false" outlineLevel="0" collapsed="false">
      <c r="A6" s="3" t="s">
        <v>341</v>
      </c>
      <c r="B6" s="45" t="n">
        <v>0</v>
      </c>
    </row>
    <row r="7" customFormat="false" ht="15" hidden="false" customHeight="false" outlineLevel="0" collapsed="false">
      <c r="A7" s="3" t="s">
        <v>342</v>
      </c>
      <c r="B7" s="45" t="n">
        <v>1</v>
      </c>
    </row>
    <row r="8" customFormat="false" ht="15" hidden="false" customHeight="false" outlineLevel="0" collapsed="false">
      <c r="A8" s="3" t="s">
        <v>343</v>
      </c>
      <c r="B8" s="45" t="n">
        <v>0</v>
      </c>
    </row>
    <row r="9" customFormat="false" ht="15" hidden="false" customHeight="false" outlineLevel="0" collapsed="false">
      <c r="A9" s="3" t="s">
        <v>344</v>
      </c>
      <c r="B9" s="45" t="n">
        <v>0</v>
      </c>
    </row>
    <row r="10" customFormat="false" ht="15" hidden="false" customHeight="false" outlineLevel="0" collapsed="false">
      <c r="A10" s="3" t="s">
        <v>345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346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347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203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205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224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225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349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89.8148148148148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89.8148148148148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89.8148148148148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89.8148148148148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350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351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352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35.61565</v>
      </c>
      <c r="I22" s="33" t="n">
        <f aca="false">H22+IF(Source_Data!I$6=Inputs!$B$12,Inputs!$B$7,0)+I17-I20</f>
        <v>49.34695</v>
      </c>
      <c r="J22" s="33" t="n">
        <f aca="false">I22+IF(Source_Data!J$6=Inputs!$B$12,Inputs!$B$7,0)+J17-J20</f>
        <v>62.107775</v>
      </c>
      <c r="K22" s="33" t="n">
        <f aca="false">J22+IF(Source_Data!K$6=Inputs!$B$12,Inputs!$B$7,0)+K17-K20</f>
        <v>78.266165</v>
      </c>
      <c r="L22" s="33" t="n">
        <f aca="false">K22+IF(Source_Data!L$6=Inputs!$B$12,Inputs!$B$7,0)+L17-L20</f>
        <v>39.86119</v>
      </c>
      <c r="M22" s="33" t="n">
        <f aca="false">L22+IF(Source_Data!M$6=Inputs!$B$12,Inputs!$B$7,0)+M17-M20</f>
        <v>22.9819375</v>
      </c>
      <c r="N22" s="33" t="n">
        <f aca="false">M22+IF(Source_Data!N$6=Inputs!$B$12,Inputs!$B$7,0)+N17-N20</f>
        <v>24.0580525</v>
      </c>
      <c r="O22" s="33" t="n">
        <f aca="false">N22+IF(Source_Data!O$6=Inputs!$B$12,Inputs!$B$7,0)+O17-O20</f>
        <v>47.1040525</v>
      </c>
      <c r="P22" s="33" t="n">
        <f aca="false">O22+IF(Source_Data!P$6=Inputs!$B$12,Inputs!$B$7,0)+P17-P20</f>
        <v>68.1440354166667</v>
      </c>
      <c r="Q22" s="33" t="n">
        <f aca="false">P22+IF(Source_Data!Q$6=Inputs!$B$12,Inputs!$B$7,0)+Q17-Q20</f>
        <v>99.3656845833334</v>
      </c>
      <c r="R22" s="33" t="n">
        <f aca="false">Q22+IF(Source_Data!R$6=Inputs!$B$12,Inputs!$B$7,0)+R17-R20</f>
        <v>556.70335875</v>
      </c>
      <c r="S22" s="33" t="n">
        <f aca="false">R22+IF(Source_Data!S$6=Inputs!$B$12,Inputs!$B$7,0)+S17-S20</f>
        <v>502.590757916666</v>
      </c>
      <c r="T22" s="33" t="n">
        <f aca="false">S22+IF(Source_Data!T$6=Inputs!$B$12,Inputs!$B$7,0)+T17-T20</f>
        <v>349.398697083333</v>
      </c>
      <c r="U22" s="33" t="n">
        <f aca="false">T22+IF(Source_Data!U$6=Inputs!$B$12,Inputs!$B$7,0)+U17-U20</f>
        <v>226.99703625</v>
      </c>
      <c r="V22" s="33" t="n">
        <f aca="false">U22+IF(Source_Data!V$6=Inputs!$B$12,Inputs!$B$7,0)+V17-V20</f>
        <v>239.838690416666</v>
      </c>
      <c r="W22" s="33" t="n">
        <f aca="false">V22+IF(Source_Data!W$6=Inputs!$B$12,Inputs!$B$7,0)+W17-W20</f>
        <v>250.868779583333</v>
      </c>
      <c r="X22" s="33" t="n">
        <f aca="false">W22+IF(Source_Data!X$6=Inputs!$B$12,Inputs!$B$7,0)+X17-X20</f>
        <v>281.689908125</v>
      </c>
      <c r="Y22" s="33" t="n">
        <f aca="false">X22+IF(Source_Data!Y$6=Inputs!$B$12,Inputs!$B$7,0)+Y17-Y20</f>
        <v>305.384988541666</v>
      </c>
      <c r="Z22" s="33" t="n">
        <f aca="false">Y22+IF(Source_Data!Z$6=Inputs!$B$12,Inputs!$B$7,0)+Z17-Z20</f>
        <v>320.264531458333</v>
      </c>
      <c r="AA22" s="33" t="n">
        <f aca="false">Z22+IF(Source_Data!AA$6=Inputs!$B$12,Inputs!$B$7,0)+AA17-AA20</f>
        <v>324.852446875</v>
      </c>
      <c r="AB22" s="33" t="n">
        <f aca="false">AA22+IF(Source_Data!AB$6=Inputs!$B$12,Inputs!$B$7,0)+AB17-AB20</f>
        <v>375.898695625</v>
      </c>
      <c r="AC22" s="33" t="n">
        <f aca="false">AB22+IF(Source_Data!AC$6=Inputs!$B$12,Inputs!$B$7,0)+AC17-AC20</f>
        <v>426.944944374999</v>
      </c>
      <c r="AD22" s="33" t="n">
        <f aca="false">AC22+IF(Source_Data!AD$6=Inputs!$B$12,Inputs!$B$7,0)+AD17-AD20</f>
        <v>477.991193124999</v>
      </c>
      <c r="AE22" s="33" t="n">
        <f aca="false">AD22+IF(Source_Data!AE$6=Inputs!$B$12,Inputs!$B$7,0)+AE17-AE20</f>
        <v>529.037441874999</v>
      </c>
      <c r="AF22" s="33" t="n">
        <f aca="false">AE22+IF(Source_Data!AF$6=Inputs!$B$12,Inputs!$B$7,0)+AF17-AF20</f>
        <v>331.7772134375</v>
      </c>
      <c r="AG22" s="33" t="n">
        <f aca="false">AF22+IF(Source_Data!AG$6=Inputs!$B$12,Inputs!$B$7,0)+AG17-AG20</f>
        <v>352.48650453125</v>
      </c>
      <c r="AH22" s="33" t="n">
        <f aca="false">AG22+IF(Source_Data!AH$6=Inputs!$B$12,Inputs!$B$7,0)+AH17-AH20</f>
        <v>371.02569171875</v>
      </c>
      <c r="AI22" s="33" t="n">
        <f aca="false">AH22+IF(Source_Data!AI$6=Inputs!$B$12,Inputs!$B$7,0)+AI17-AI20</f>
        <v>387.394775</v>
      </c>
      <c r="AJ22" s="33" t="n">
        <f aca="false">AI22+IF(Source_Data!AJ$6=Inputs!$B$12,Inputs!$B$7,0)+AJ17-AJ20</f>
        <v>400.26653140625</v>
      </c>
      <c r="AK22" s="33" t="n">
        <f aca="false">AJ22+IF(Source_Data!AK$6=Inputs!$B$12,Inputs!$B$7,0)+AK17-AK20</f>
        <v>411.1128575</v>
      </c>
      <c r="AL22" s="33" t="n">
        <f aca="false">AK22+IF(Source_Data!AL$6=Inputs!$B$12,Inputs!$B$7,0)+AL17-AL20</f>
        <v>420.564865625</v>
      </c>
      <c r="AM22" s="33" t="n">
        <f aca="false">AL22+IF(Source_Data!AM$6=Inputs!$B$12,Inputs!$B$7,0)+AM17-AM20</f>
        <v>424.640886875</v>
      </c>
      <c r="AN22" s="33" t="n">
        <f aca="false">AM22+IF(Source_Data!AN$6=Inputs!$B$12,Inputs!$B$7,0)+AN17-AN20</f>
        <v>428.716908125</v>
      </c>
      <c r="AO22" s="33" t="n">
        <f aca="false">AN22+IF(Source_Data!AO$6=Inputs!$B$12,Inputs!$B$7,0)+AO17-AO20</f>
        <v>432.792929375</v>
      </c>
      <c r="AP22" s="33" t="n">
        <f aca="false">AO22+IF(Source_Data!AP$6=Inputs!$B$12,Inputs!$B$7,0)+AP17-AP20</f>
        <v>432.792929375</v>
      </c>
      <c r="AQ22" s="33" t="n">
        <f aca="false">AP22+IF(Source_Data!AQ$6=Inputs!$B$12,Inputs!$B$7,0)+AQ17-AQ20</f>
        <v>432.792929375</v>
      </c>
      <c r="AR22" s="33" t="n">
        <f aca="false">AQ22+IF(Source_Data!AR$6=Inputs!$B$12,Inputs!$B$7,0)+AR17-AR20</f>
        <v>432.792929375</v>
      </c>
      <c r="AS22" s="33" t="n">
        <f aca="false">AR22+IF(Source_Data!AS$6=Inputs!$B$12,Inputs!$B$7,0)+AS17-AS20</f>
        <v>432.792929375</v>
      </c>
      <c r="AT22" s="33" t="n">
        <f aca="false">AS22+IF(Source_Data!AT$6=Inputs!$B$12,Inputs!$B$7,0)+AT17-AT20</f>
        <v>432.792929375</v>
      </c>
      <c r="AU22" s="33" t="n">
        <f aca="false">AT22+IF(Source_Data!AU$6=Inputs!$B$12,Inputs!$B$7,0)+AU17-AU20</f>
        <v>432.792929375</v>
      </c>
      <c r="AV22" s="33" t="n">
        <f aca="false">AU22+IF(Source_Data!AV$6=Inputs!$B$12,Inputs!$B$7,0)+AV17-AV20</f>
        <v>432.792929375</v>
      </c>
      <c r="AW22" s="33" t="n">
        <f aca="false">AV22+IF(Source_Data!AW$6=Inputs!$B$12,Inputs!$B$7,0)+AW17-AW20</f>
        <v>432.792929375</v>
      </c>
      <c r="AX22" s="33" t="n">
        <f aca="false">AW22+IF(Source_Data!AX$6=Inputs!$B$12,Inputs!$B$7,0)+AX17-AX20</f>
        <v>432.792929375</v>
      </c>
      <c r="AY22" s="33" t="n">
        <f aca="false">AX22+IF(Source_Data!AY$6=Inputs!$B$12,Inputs!$B$7,0)+AY17-AY20</f>
        <v>432.792929375</v>
      </c>
      <c r="AZ22" s="33" t="n">
        <f aca="false">AY22+IF(Source_Data!AZ$6=Inputs!$B$12,Inputs!$B$7,0)+AZ17-AZ20</f>
        <v>432.792929375</v>
      </c>
      <c r="BA22" s="33" t="n">
        <f aca="false">AZ22+IF(Source_Data!BA$6=Inputs!$B$12,Inputs!$B$7,0)+BA17-BA20</f>
        <v>432.792929375</v>
      </c>
      <c r="BB22" s="33" t="n">
        <f aca="false">BA22+IF(Source_Data!BB$6=Inputs!$B$12,Inputs!$B$7,0)+BB17-BB20</f>
        <v>432.792929375</v>
      </c>
      <c r="BC22" s="33" t="n">
        <f aca="false">BB22+IF(Source_Data!BC$6=Inputs!$B$12,Inputs!$B$7,0)+BC17-BC20</f>
        <v>432.792929375</v>
      </c>
      <c r="BD22" s="33" t="n">
        <f aca="false">BC22+IF(Source_Data!BD$6=Inputs!$B$12,Inputs!$B$7,0)+BD17-BD20</f>
        <v>432.792929375</v>
      </c>
      <c r="BE22" s="33" t="n">
        <f aca="false">BD22+IF(Source_Data!BE$6=Inputs!$B$12,Inputs!$B$7,0)+BE17-BE20</f>
        <v>432.792929375</v>
      </c>
      <c r="BF22" s="33" t="n">
        <f aca="false">BE22+IF(Source_Data!BF$6=Inputs!$B$12,Inputs!$B$7,0)+BF17-BF20</f>
        <v>432.792929375</v>
      </c>
      <c r="BG22" s="33" t="n">
        <f aca="false">BF22+IF(Source_Data!BG$6=Inputs!$B$12,Inputs!$B$7,0)+BG17-BG20</f>
        <v>432.792929375</v>
      </c>
      <c r="BH22" s="33" t="n">
        <f aca="false">BG22+IF(Source_Data!BH$6=Inputs!$B$12,Inputs!$B$7,0)+BH17-BH20</f>
        <v>432.792929375</v>
      </c>
      <c r="BI22" s="33" t="n">
        <f aca="false">BH22+IF(Source_Data!BI$6=Inputs!$B$12,Inputs!$B$7,0)+BI17-BI20</f>
        <v>432.792929375</v>
      </c>
      <c r="BJ22" s="33" t="n">
        <f aca="false">BI22+IF(Source_Data!BJ$6=Inputs!$B$12,Inputs!$B$7,0)+BJ17-BJ20</f>
        <v>432.792929375</v>
      </c>
      <c r="BK22" s="33" t="n">
        <f aca="false">BJ22+IF(Source_Data!BK$6=Inputs!$B$12,Inputs!$B$7,0)+BK17-BK20</f>
        <v>432.792929375</v>
      </c>
    </row>
    <row r="23" customFormat="false" ht="15" hidden="false" customHeight="false" outlineLevel="0" collapsed="false">
      <c r="A23" s="3" t="s">
        <v>353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1.87819059130435</v>
      </c>
      <c r="Q23" s="31" t="n">
        <f aca="false">IF(Q20&gt;0,Q17/Q20,"")</f>
        <v>2.30316448695652</v>
      </c>
      <c r="R23" s="31" t="n">
        <f aca="false">IF(R20&gt;0,R17/R20,"")</f>
        <v>20.0888768347826</v>
      </c>
      <c r="S23" s="31" t="n">
        <f aca="false">IF(S20&gt;0,S17/S20,"")</f>
        <v>-1.25861290434783</v>
      </c>
      <c r="T23" s="31" t="n">
        <f aca="false">IF(T20&gt;0,T17/T20,"")</f>
        <v>-5.39410340869566</v>
      </c>
      <c r="U23" s="31" t="n">
        <f aca="false">IF(U20&gt;0,U17/U20,"")</f>
        <v>-4.10893888695652</v>
      </c>
      <c r="V23" s="31" t="n">
        <f aca="false">IF(V20&gt;0,V17/V20,"")</f>
        <v>1.53599947826087</v>
      </c>
      <c r="W23" s="31" t="n">
        <f aca="false">IF(W20&gt;0,W17/W20,"")</f>
        <v>1.46038633043478</v>
      </c>
      <c r="X23" s="31" t="n">
        <f aca="false">IF(X20&gt;0,X17/X20,"")</f>
        <v>2.28644710434783</v>
      </c>
      <c r="Y23" s="31" t="n">
        <f aca="false">IF(Y20&gt;0,Y17/Y20,"")</f>
        <v>1.98901205217391</v>
      </c>
      <c r="Z23" s="31" t="n">
        <f aca="false">IF(Z20&gt;0,Z17/Z20,"")</f>
        <v>1.6210591826087</v>
      </c>
      <c r="AA23" s="31" t="n">
        <f aca="false">IF(AA20&gt;0,AA17/AA20,"")</f>
        <v>1.1914956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354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3.8442727826087</v>
      </c>
      <c r="Q24" s="31" t="n">
        <f aca="false">IF(Q20&gt;0,(P22+Q17+IF(Source_Data!Q$6=Inputs!$B$12,Inputs!$B$7,0))/Q20,"")</f>
        <v>5.14743726956522</v>
      </c>
      <c r="R24" s="31" t="n">
        <f aca="false">IF(R20&gt;0,(Q22+R17+IF(Source_Data!R$6=Inputs!$B$12,Inputs!$B$7,0))/R20,"")</f>
        <v>24.2363141043478</v>
      </c>
      <c r="S24" s="31" t="n">
        <f aca="false">IF(S20&gt;0,(R22+S17+IF(Source_Data!S$6=Inputs!$B$12,Inputs!$B$7,0))/S20,"")</f>
        <v>21.9777012</v>
      </c>
      <c r="T24" s="31" t="n">
        <f aca="false">IF(T20&gt;0,(S22+T17+IF(Source_Data!T$6=Inputs!$B$12,Inputs!$B$7,0))/T20,"")</f>
        <v>15.5835977913043</v>
      </c>
      <c r="U24" s="31" t="n">
        <f aca="false">IF(U20&gt;0,(T22+U17+IF(Source_Data!U$6=Inputs!$B$12,Inputs!$B$7,0))/U20,"")</f>
        <v>10.4746589043478</v>
      </c>
      <c r="V24" s="31" t="n">
        <f aca="false">IF(V20&gt;0,(U22+V17+IF(Source_Data!V$6=Inputs!$B$12,Inputs!$B$7,0))/V20,"")</f>
        <v>11.0106583826087</v>
      </c>
      <c r="W24" s="31" t="n">
        <f aca="false">IF(W20&gt;0,(V22+W17+IF(Source_Data!W$6=Inputs!$B$12,Inputs!$B$7,0))/W20,"")</f>
        <v>11.4710447130435</v>
      </c>
      <c r="X24" s="31" t="n">
        <f aca="false">IF(X20&gt;0,(W22+X17+IF(Source_Data!X$6=Inputs!$B$12,Inputs!$B$7,0))/X20,"")</f>
        <v>12.7574918173913</v>
      </c>
      <c r="Y24" s="31" t="n">
        <f aca="false">IF(Y20&gt;0,(X22+Y17+IF(Source_Data!Y$6=Inputs!$B$12,Inputs!$B$7,0))/Y20,"")</f>
        <v>13.7465038695652</v>
      </c>
      <c r="Z24" s="31" t="n">
        <f aca="false">IF(Z20&gt;0,(Y22+Z17+IF(Source_Data!Z$6=Inputs!$B$12,Inputs!$B$7,0))/Z20,"")</f>
        <v>14.3675630521739</v>
      </c>
      <c r="AA24" s="31" t="n">
        <f aca="false">IF(AA20&gt;0,(Z22+AA17+IF(Source_Data!AA$6=Inputs!$B$12,Inputs!$B$7,0))/AA20,"")</f>
        <v>14.5590586521739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355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171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356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357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358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359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360</v>
      </c>
      <c r="B33" s="41" t="n">
        <f aca="false">MIN(D22:BK22)</f>
        <v>0</v>
      </c>
    </row>
    <row r="34" customFormat="false" ht="15" hidden="false" customHeight="false" outlineLevel="0" collapsed="false">
      <c r="A34" s="2" t="s">
        <v>361</v>
      </c>
      <c r="B34" s="43" t="n">
        <f aca="false">MIN(D23:BK23)</f>
        <v>-5.39410340869566</v>
      </c>
    </row>
    <row r="35" customFormat="false" ht="15" hidden="false" customHeight="false" outlineLevel="0" collapsed="false">
      <c r="A35" s="2" t="s">
        <v>362</v>
      </c>
      <c r="B35" s="35" t="n">
        <f aca="false">COUNTIF(D23:BK23,"&lt;"&amp;Inputs!$B$43)</f>
        <v>5</v>
      </c>
    </row>
    <row r="36" customFormat="false" ht="15" hidden="false" customHeight="false" outlineLevel="0" collapsed="false">
      <c r="A36" s="2" t="s">
        <v>363</v>
      </c>
      <c r="B36" s="43" t="n">
        <f aca="false">MIN(D24:BK24)</f>
        <v>3.8442727826087</v>
      </c>
    </row>
    <row r="37" customFormat="false" ht="15" hidden="false" customHeight="false" outlineLevel="0" collapsed="false">
      <c r="A37" s="2" t="s">
        <v>364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70</v>
      </c>
    </row>
    <row r="41" customFormat="false" ht="15" hidden="false" customHeight="false" outlineLevel="0" collapsed="false">
      <c r="A41" s="3" t="s">
        <v>340</v>
      </c>
      <c r="B41" s="45" t="n">
        <v>0.9</v>
      </c>
    </row>
    <row r="42" customFormat="false" ht="15" hidden="false" customHeight="false" outlineLevel="0" collapsed="false">
      <c r="A42" s="3" t="s">
        <v>341</v>
      </c>
      <c r="B42" s="45" t="n">
        <v>4</v>
      </c>
    </row>
    <row r="43" customFormat="false" ht="15" hidden="false" customHeight="false" outlineLevel="0" collapsed="false">
      <c r="A43" s="3" t="s">
        <v>342</v>
      </c>
      <c r="B43" s="45" t="n">
        <v>1</v>
      </c>
    </row>
    <row r="44" customFormat="false" ht="15" hidden="false" customHeight="false" outlineLevel="0" collapsed="false">
      <c r="A44" s="3" t="s">
        <v>343</v>
      </c>
      <c r="B44" s="45" t="n">
        <v>0</v>
      </c>
    </row>
    <row r="45" customFormat="false" ht="15" hidden="false" customHeight="false" outlineLevel="0" collapsed="false">
      <c r="A45" s="3" t="s">
        <v>344</v>
      </c>
      <c r="B45" s="45" t="n">
        <v>0</v>
      </c>
    </row>
    <row r="46" customFormat="false" ht="15" hidden="false" customHeight="false" outlineLevel="0" collapsed="false">
      <c r="A46" s="3" t="s">
        <v>345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346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347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203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205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224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225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349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80.8333333333333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80.8333333333333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80.8333333333333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80.8333333333333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350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351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352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17.5</v>
      </c>
      <c r="I58" s="33" t="n">
        <f aca="false">H58+IF(Source_Data!I$6=Inputs!$B$12,Inputs!$B$7,0)+I53-I56</f>
        <v>-5</v>
      </c>
      <c r="J58" s="33" t="n">
        <f aca="false">I58+IF(Source_Data!J$6=Inputs!$B$12,Inputs!$B$7,0)+J53-J56</f>
        <v>-50.5</v>
      </c>
      <c r="K58" s="33" t="n">
        <f aca="false">J58+IF(Source_Data!K$6=Inputs!$B$12,Inputs!$B$7,0)+K53-K56</f>
        <v>-103.36</v>
      </c>
      <c r="L58" s="33" t="n">
        <f aca="false">K58+IF(Source_Data!L$6=Inputs!$B$12,Inputs!$B$7,0)+L53-L56</f>
        <v>-178.055915</v>
      </c>
      <c r="M58" s="33" t="n">
        <f aca="false">L58+IF(Source_Data!M$6=Inputs!$B$12,Inputs!$B$7,0)+M53-M56</f>
        <v>-220.807745</v>
      </c>
      <c r="N58" s="33" t="n">
        <f aca="false">M58+IF(Source_Data!N$6=Inputs!$B$12,Inputs!$B$7,0)+N53-N56</f>
        <v>-243.7330025</v>
      </c>
      <c r="O58" s="33" t="n">
        <f aca="false">N58+IF(Source_Data!O$6=Inputs!$B$12,Inputs!$B$7,0)+O53-O56</f>
        <v>-256.9764515</v>
      </c>
      <c r="P58" s="33" t="n">
        <f aca="false">O58+IF(Source_Data!P$6=Inputs!$B$12,Inputs!$B$7,0)+P53-P56</f>
        <v>-295.921262333333</v>
      </c>
      <c r="Q58" s="33" t="n">
        <f aca="false">P58+IF(Source_Data!Q$6=Inputs!$B$12,Inputs!$B$7,0)+Q53-Q56</f>
        <v>-329.568922916667</v>
      </c>
      <c r="R58" s="33" t="n">
        <f aca="false">Q58+IF(Source_Data!R$6=Inputs!$B$12,Inputs!$B$7,0)+R53-R56</f>
        <v>-478.98475275</v>
      </c>
      <c r="S58" s="33" t="n">
        <f aca="false">R58+IF(Source_Data!S$6=Inputs!$B$12,Inputs!$B$7,0)+S53-S56</f>
        <v>-608.627686083333</v>
      </c>
      <c r="T58" s="33" t="n">
        <f aca="false">S58+IF(Source_Data!T$6=Inputs!$B$12,Inputs!$B$7,0)+T53-T56</f>
        <v>-769.597734791667</v>
      </c>
      <c r="U58" s="33" t="n">
        <f aca="false">T58+IF(Source_Data!U$6=Inputs!$B$12,Inputs!$B$7,0)+U53-U56</f>
        <v>-867.354283875</v>
      </c>
      <c r="V58" s="33" t="n">
        <f aca="false">U58+IF(Source_Data!V$6=Inputs!$B$12,Inputs!$B$7,0)+V53-V56</f>
        <v>-328.321210458334</v>
      </c>
      <c r="W58" s="33" t="n">
        <f aca="false">V58+IF(Source_Data!W$6=Inputs!$B$12,Inputs!$B$7,0)+W53-W56</f>
        <v>-249.593384541667</v>
      </c>
      <c r="X58" s="33" t="n">
        <f aca="false">W58+IF(Source_Data!X$6=Inputs!$B$12,Inputs!$B$7,0)+X53-X56</f>
        <v>-202.122072625</v>
      </c>
      <c r="Y58" s="33" t="n">
        <f aca="false">X58+IF(Source_Data!Y$6=Inputs!$B$12,Inputs!$B$7,0)+Y53-Y56</f>
        <v>-175.584400708334</v>
      </c>
      <c r="Z58" s="33" t="n">
        <f aca="false">Y58+IF(Source_Data!Z$6=Inputs!$B$12,Inputs!$B$7,0)+Z53-Z56</f>
        <v>-148.422745291667</v>
      </c>
      <c r="AA58" s="33" t="n">
        <f aca="false">Z58+IF(Source_Data!AA$6=Inputs!$B$12,Inputs!$B$7,0)+AA53-AA56</f>
        <v>-122.891498375</v>
      </c>
      <c r="AB58" s="33" t="n">
        <f aca="false">AA58+IF(Source_Data!AB$6=Inputs!$B$12,Inputs!$B$7,0)+AB53-AB56</f>
        <v>-53.3399826875005</v>
      </c>
      <c r="AC58" s="33" t="n">
        <f aca="false">AB58+IF(Source_Data!AC$6=Inputs!$B$12,Inputs!$B$7,0)+AC53-AC56</f>
        <v>9.79808968749953</v>
      </c>
      <c r="AD58" s="33" t="n">
        <f aca="false">AC58+IF(Source_Data!AD$6=Inputs!$B$12,Inputs!$B$7,0)+AD53-AD56</f>
        <v>65.0021783124995</v>
      </c>
      <c r="AE58" s="33" t="n">
        <f aca="false">AD58+IF(Source_Data!AE$6=Inputs!$B$12,Inputs!$B$7,0)+AE53-AE56</f>
        <v>110.9438021875</v>
      </c>
      <c r="AF58" s="33" t="n">
        <f aca="false">AE58+IF(Source_Data!AF$6=Inputs!$B$12,Inputs!$B$7,0)+AF53-AF56</f>
        <v>3.92770561849025</v>
      </c>
      <c r="AG58" s="33" t="n">
        <f aca="false">AF58+IF(Source_Data!AG$6=Inputs!$B$12,Inputs!$B$7,0)+AG53-AG56</f>
        <v>39.654527171739</v>
      </c>
      <c r="AH58" s="33" t="n">
        <f aca="false">AG58+IF(Source_Data!AH$6=Inputs!$B$12,Inputs!$B$7,0)+AH53-AH56</f>
        <v>76.4517466598882</v>
      </c>
      <c r="AI58" s="33" t="n">
        <f aca="false">AH58+IF(Source_Data!AI$6=Inputs!$B$12,Inputs!$B$7,0)+AI53-AI56</f>
        <v>114.319364082938</v>
      </c>
      <c r="AJ58" s="33" t="n">
        <f aca="false">AI58+IF(Source_Data!AJ$6=Inputs!$B$12,Inputs!$B$7,0)+AJ53-AJ56</f>
        <v>147.508649550168</v>
      </c>
      <c r="AK58" s="33" t="n">
        <f aca="false">AJ58+IF(Source_Data!AK$6=Inputs!$B$12,Inputs!$B$7,0)+AK53-AK56</f>
        <v>175.293594027472</v>
      </c>
      <c r="AL58" s="33" t="n">
        <f aca="false">AK58+IF(Source_Data!AL$6=Inputs!$B$12,Inputs!$B$7,0)+AL53-AL56</f>
        <v>200.294115855461</v>
      </c>
      <c r="AM58" s="33" t="n">
        <f aca="false">AL58+IF(Source_Data!AM$6=Inputs!$B$12,Inputs!$B$7,0)+AM53-AM56</f>
        <v>224.474162549474</v>
      </c>
      <c r="AN58" s="33" t="n">
        <f aca="false">AM58+IF(Source_Data!AN$6=Inputs!$B$12,Inputs!$B$7,0)+AN53-AN56</f>
        <v>243.058486243487</v>
      </c>
      <c r="AO58" s="33" t="n">
        <f aca="false">AN58+IF(Source_Data!AO$6=Inputs!$B$12,Inputs!$B$7,0)+AO53-AO56</f>
        <v>258.402121437499</v>
      </c>
      <c r="AP58" s="33" t="n">
        <f aca="false">AO58+IF(Source_Data!AP$6=Inputs!$B$12,Inputs!$B$7,0)+AP53-AP56</f>
        <v>273.525334437499</v>
      </c>
      <c r="AQ58" s="33" t="n">
        <f aca="false">AP58+IF(Source_Data!AQ$6=Inputs!$B$12,Inputs!$B$7,0)+AQ53-AQ56</f>
        <v>280.046968437499</v>
      </c>
      <c r="AR58" s="33" t="n">
        <f aca="false">AQ58+IF(Source_Data!AR$6=Inputs!$B$12,Inputs!$B$7,0)+AR53-AR56</f>
        <v>286.568602437499</v>
      </c>
      <c r="AS58" s="33" t="n">
        <f aca="false">AR58+IF(Source_Data!AS$6=Inputs!$B$12,Inputs!$B$7,0)+AS53-AS56</f>
        <v>293.090236437499</v>
      </c>
      <c r="AT58" s="33" t="n">
        <f aca="false">AS58+IF(Source_Data!AT$6=Inputs!$B$12,Inputs!$B$7,0)+AT53-AT56</f>
        <v>293.090236437499</v>
      </c>
      <c r="AU58" s="33" t="n">
        <f aca="false">AT58+IF(Source_Data!AU$6=Inputs!$B$12,Inputs!$B$7,0)+AU53-AU56</f>
        <v>293.090236437499</v>
      </c>
      <c r="AV58" s="33" t="n">
        <f aca="false">AU58+IF(Source_Data!AV$6=Inputs!$B$12,Inputs!$B$7,0)+AV53-AV56</f>
        <v>293.090236437499</v>
      </c>
      <c r="AW58" s="33" t="n">
        <f aca="false">AV58+IF(Source_Data!AW$6=Inputs!$B$12,Inputs!$B$7,0)+AW53-AW56</f>
        <v>293.090236437499</v>
      </c>
      <c r="AX58" s="33" t="n">
        <f aca="false">AW58+IF(Source_Data!AX$6=Inputs!$B$12,Inputs!$B$7,0)+AX53-AX56</f>
        <v>293.090236437499</v>
      </c>
      <c r="AY58" s="33" t="n">
        <f aca="false">AX58+IF(Source_Data!AY$6=Inputs!$B$12,Inputs!$B$7,0)+AY53-AY56</f>
        <v>293.090236437499</v>
      </c>
      <c r="AZ58" s="33" t="n">
        <f aca="false">AY58+IF(Source_Data!AZ$6=Inputs!$B$12,Inputs!$B$7,0)+AZ53-AZ56</f>
        <v>293.090236437499</v>
      </c>
      <c r="BA58" s="33" t="n">
        <f aca="false">AZ58+IF(Source_Data!BA$6=Inputs!$B$12,Inputs!$B$7,0)+BA53-BA56</f>
        <v>293.090236437499</v>
      </c>
      <c r="BB58" s="33" t="n">
        <f aca="false">BA58+IF(Source_Data!BB$6=Inputs!$B$12,Inputs!$B$7,0)+BB53-BB56</f>
        <v>293.090236437499</v>
      </c>
      <c r="BC58" s="33" t="n">
        <f aca="false">BB58+IF(Source_Data!BC$6=Inputs!$B$12,Inputs!$B$7,0)+BC53-BC56</f>
        <v>293.090236437499</v>
      </c>
      <c r="BD58" s="33" t="n">
        <f aca="false">BC58+IF(Source_Data!BD$6=Inputs!$B$12,Inputs!$B$7,0)+BD53-BD56</f>
        <v>293.090236437499</v>
      </c>
      <c r="BE58" s="33" t="n">
        <f aca="false">BD58+IF(Source_Data!BE$6=Inputs!$B$12,Inputs!$B$7,0)+BE53-BE56</f>
        <v>293.090236437499</v>
      </c>
      <c r="BF58" s="33" t="n">
        <f aca="false">BE58+IF(Source_Data!BF$6=Inputs!$B$12,Inputs!$B$7,0)+BF53-BF56</f>
        <v>293.090236437499</v>
      </c>
      <c r="BG58" s="33" t="n">
        <f aca="false">BF58+IF(Source_Data!BG$6=Inputs!$B$12,Inputs!$B$7,0)+BG53-BG56</f>
        <v>293.090236437499</v>
      </c>
      <c r="BH58" s="33" t="n">
        <f aca="false">BG58+IF(Source_Data!BH$6=Inputs!$B$12,Inputs!$B$7,0)+BH53-BH56</f>
        <v>293.090236437499</v>
      </c>
      <c r="BI58" s="33" t="n">
        <f aca="false">BH58+IF(Source_Data!BI$6=Inputs!$B$12,Inputs!$B$7,0)+BI53-BI56</f>
        <v>293.090236437499</v>
      </c>
      <c r="BJ58" s="33" t="n">
        <f aca="false">BI58+IF(Source_Data!BJ$6=Inputs!$B$12,Inputs!$B$7,0)+BJ53-BJ56</f>
        <v>293.090236437499</v>
      </c>
      <c r="BK58" s="33" t="n">
        <f aca="false">BJ58+IF(Source_Data!BK$6=Inputs!$B$12,Inputs!$B$7,0)+BK53-BK56</f>
        <v>293.090236437499</v>
      </c>
    </row>
    <row r="59" customFormat="false" ht="15" hidden="false" customHeight="false" outlineLevel="0" collapsed="false">
      <c r="A59" s="3" t="s">
        <v>353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-0.625522539130435</v>
      </c>
      <c r="Q59" s="31" t="n">
        <f aca="false">IF(Q56&gt;0,Q53/Q56,"")</f>
        <v>-0.404424093913043</v>
      </c>
      <c r="R59" s="31" t="n">
        <f aca="false">IF(R56&gt;0,R53/R56,"")</f>
        <v>-5.23648681043478</v>
      </c>
      <c r="S59" s="31" t="n">
        <f aca="false">IF(S56&gt;0,S53/S56,"")</f>
        <v>-4.41118330434783</v>
      </c>
      <c r="T59" s="31" t="n">
        <f aca="false">IF(T56&gt;0,T53/T56,"")</f>
        <v>-5.71874985913044</v>
      </c>
      <c r="U59" s="31" t="n">
        <f aca="false">IF(U56&gt;0,U53/U56,"")</f>
        <v>-3.08027335304348</v>
      </c>
      <c r="V59" s="31" t="n">
        <f aca="false">IF(V56&gt;0,V53/V56,"")</f>
        <v>23.49877176</v>
      </c>
      <c r="W59" s="31" t="n">
        <f aca="false">IF(W56&gt;0,W53/W56,"")</f>
        <v>4.28603099478261</v>
      </c>
      <c r="X59" s="31" t="n">
        <f aca="false">IF(X56&gt;0,X53/X56,"")</f>
        <v>2.98141128</v>
      </c>
      <c r="Y59" s="31" t="n">
        <f aca="false">IF(Y56&gt;0,Y53/Y56,"")</f>
        <v>2.10765934956522</v>
      </c>
      <c r="Z59" s="31" t="n">
        <f aca="false">IF(Z56&gt;0,Z53/Z56,"")</f>
        <v>2.13370387826087</v>
      </c>
      <c r="AA59" s="31" t="n">
        <f aca="false">IF(AA56&gt;0,AA53/AA56,"")</f>
        <v>2.06565204521739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354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-11.3514961669565</v>
      </c>
      <c r="Q60" s="31" t="n">
        <f aca="false">IF(Q56&gt;0,(P58+Q53+IF(Source_Data!Q$6=Inputs!$B$12,Inputs!$B$7,0))/Q56,"")</f>
        <v>-12.7559202608696</v>
      </c>
      <c r="R60" s="31" t="n">
        <f aca="false">IF(R56&gt;0,(Q58+R53+IF(Source_Data!R$6=Inputs!$B$12,Inputs!$B$7,0))/R56,"")</f>
        <v>-18.9924070713044</v>
      </c>
      <c r="S60" s="31" t="n">
        <f aca="false">IF(S56&gt;0,(R58+S53+IF(Source_Data!S$6=Inputs!$B$12,Inputs!$B$7,0))/S56,"")</f>
        <v>-24.4035903756522</v>
      </c>
      <c r="T60" s="31" t="n">
        <f aca="false">IF(T56&gt;0,(S58+T53+IF(Source_Data!T$6=Inputs!$B$12,Inputs!$B$7,0))/T56,"")</f>
        <v>-31.1223402347826</v>
      </c>
      <c r="U60" s="31" t="n">
        <f aca="false">IF(U56&gt;0,(T58+U53+IF(Source_Data!U$6=Inputs!$B$12,Inputs!$B$7,0))/U56,"")</f>
        <v>-35.2026135878261</v>
      </c>
      <c r="V60" s="31" t="n">
        <f aca="false">IF(V56&gt;0,(U58+V53+IF(Source_Data!V$6=Inputs!$B$12,Inputs!$B$7,0))/V56,"")</f>
        <v>-12.7038418278261</v>
      </c>
      <c r="W60" s="31" t="n">
        <f aca="false">IF(W56&gt;0,(V58+W53+IF(Source_Data!W$6=Inputs!$B$12,Inputs!$B$7,0))/W56,"")</f>
        <v>-9.41781083304349</v>
      </c>
      <c r="X60" s="31" t="n">
        <f aca="false">IF(X56&gt;0,(W58+X53+IF(Source_Data!X$6=Inputs!$B$12,Inputs!$B$7,0))/X56,"")</f>
        <v>-7.43639955304349</v>
      </c>
      <c r="Y60" s="31" t="n">
        <f aca="false">IF(Y56&gt;0,(X58+Y53+IF(Source_Data!Y$6=Inputs!$B$12,Inputs!$B$7,0))/Y56,"")</f>
        <v>-6.32874020347828</v>
      </c>
      <c r="Z60" s="31" t="n">
        <f aca="false">IF(Z56&gt;0,(Y58+Z53+IF(Source_Data!Z$6=Inputs!$B$12,Inputs!$B$7,0))/Z56,"")</f>
        <v>-5.19503632521741</v>
      </c>
      <c r="AA60" s="31" t="n">
        <f aca="false">IF(AA56&gt;0,(Z58+AA53+IF(Source_Data!AA$6=Inputs!$B$12,Inputs!$B$7,0))/AA56,"")</f>
        <v>-4.12938428000002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355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171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356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357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358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360</v>
      </c>
      <c r="B69" s="41" t="n">
        <f aca="false">MIN(D58:BK58)</f>
        <v>-867.354283875</v>
      </c>
    </row>
    <row r="70" customFormat="false" ht="15" hidden="false" customHeight="false" outlineLevel="0" collapsed="false">
      <c r="A70" s="2" t="s">
        <v>361</v>
      </c>
      <c r="B70" s="43" t="n">
        <f aca="false">MIN(D59:BK59)</f>
        <v>-5.71874985913044</v>
      </c>
    </row>
    <row r="71" customFormat="false" ht="15" hidden="false" customHeight="false" outlineLevel="0" collapsed="false">
      <c r="A71" s="2" t="s">
        <v>362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363</v>
      </c>
      <c r="B72" s="43" t="n">
        <f aca="false">MIN(D60:BK60)</f>
        <v>-35.2026135878261</v>
      </c>
    </row>
    <row r="73" customFormat="false" ht="15" hidden="false" customHeight="false" outlineLevel="0" collapsed="false">
      <c r="A73" s="2" t="s">
        <v>364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71</v>
      </c>
    </row>
    <row r="77" customFormat="false" ht="15" hidden="false" customHeight="false" outlineLevel="0" collapsed="false">
      <c r="A77" s="3" t="s">
        <v>340</v>
      </c>
      <c r="B77" s="45" t="n">
        <v>1.1</v>
      </c>
    </row>
    <row r="78" customFormat="false" ht="15" hidden="false" customHeight="false" outlineLevel="0" collapsed="false">
      <c r="A78" s="3" t="s">
        <v>341</v>
      </c>
      <c r="B78" s="45" t="n">
        <v>0</v>
      </c>
    </row>
    <row r="79" customFormat="false" ht="15" hidden="false" customHeight="false" outlineLevel="0" collapsed="false">
      <c r="A79" s="3" t="s">
        <v>342</v>
      </c>
      <c r="B79" s="45" t="n">
        <v>1</v>
      </c>
    </row>
    <row r="80" customFormat="false" ht="15" hidden="false" customHeight="false" outlineLevel="0" collapsed="false">
      <c r="A80" s="3" t="s">
        <v>343</v>
      </c>
      <c r="B80" s="45" t="n">
        <v>0</v>
      </c>
    </row>
    <row r="81" customFormat="false" ht="15" hidden="false" customHeight="false" outlineLevel="0" collapsed="false">
      <c r="A81" s="3" t="s">
        <v>344</v>
      </c>
      <c r="B81" s="45" t="n">
        <v>0</v>
      </c>
    </row>
    <row r="82" customFormat="false" ht="15" hidden="false" customHeight="false" outlineLevel="0" collapsed="false">
      <c r="A82" s="3" t="s">
        <v>345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346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347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203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205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224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225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350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351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352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353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354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355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171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356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357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358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361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362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363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364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72</v>
      </c>
    </row>
    <row r="113" customFormat="false" ht="15" hidden="false" customHeight="false" outlineLevel="0" collapsed="false">
      <c r="A113" s="3" t="s">
        <v>340</v>
      </c>
      <c r="B113" s="45" t="n">
        <v>1</v>
      </c>
    </row>
    <row r="114" customFormat="false" ht="15" hidden="false" customHeight="false" outlineLevel="0" collapsed="false">
      <c r="A114" s="3" t="s">
        <v>341</v>
      </c>
      <c r="B114" s="45" t="n">
        <v>0</v>
      </c>
    </row>
    <row r="115" customFormat="false" ht="15" hidden="false" customHeight="false" outlineLevel="0" collapsed="false">
      <c r="A115" s="3" t="s">
        <v>342</v>
      </c>
      <c r="B115" s="45" t="n">
        <v>1.1</v>
      </c>
    </row>
    <row r="116" customFormat="false" ht="15" hidden="false" customHeight="false" outlineLevel="0" collapsed="false">
      <c r="A116" s="3" t="s">
        <v>343</v>
      </c>
      <c r="B116" s="45" t="n">
        <v>0</v>
      </c>
    </row>
    <row r="117" customFormat="false" ht="15" hidden="false" customHeight="false" outlineLevel="0" collapsed="false">
      <c r="A117" s="3" t="s">
        <v>344</v>
      </c>
      <c r="B117" s="45" t="n">
        <v>0</v>
      </c>
    </row>
    <row r="118" customFormat="false" ht="15" hidden="false" customHeight="false" outlineLevel="0" collapsed="false">
      <c r="A118" s="3" t="s">
        <v>345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346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347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203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205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224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225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349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89.8148148148148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89.8148148148148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89.8148148148148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89.8148148148148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350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351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352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35.61565</v>
      </c>
      <c r="I130" s="33" t="n">
        <f aca="false">H130+IF(Source_Data!I$6=Inputs!$B$12,Inputs!$B$7,0)+I125-I128</f>
        <v>49.34695</v>
      </c>
      <c r="J130" s="33" t="n">
        <f aca="false">I130+IF(Source_Data!J$6=Inputs!$B$12,Inputs!$B$7,0)+J125-J128</f>
        <v>59.807775</v>
      </c>
      <c r="K130" s="33" t="n">
        <f aca="false">J130+IF(Source_Data!K$6=Inputs!$B$12,Inputs!$B$7,0)+K125-K128</f>
        <v>72.930165</v>
      </c>
      <c r="L130" s="33" t="n">
        <f aca="false">K130+IF(Source_Data!L$6=Inputs!$B$12,Inputs!$B$7,0)+L125-L128</f>
        <v>29.92519</v>
      </c>
      <c r="M130" s="33" t="n">
        <f aca="false">L130+IF(Source_Data!M$6=Inputs!$B$12,Inputs!$B$7,0)+M125-M128</f>
        <v>10.0099375</v>
      </c>
      <c r="N130" s="33" t="n">
        <f aca="false">M130+IF(Source_Data!N$6=Inputs!$B$12,Inputs!$B$7,0)+N125-N128</f>
        <v>8.0500525</v>
      </c>
      <c r="O130" s="33" t="n">
        <f aca="false">N130+IF(Source_Data!O$6=Inputs!$B$12,Inputs!$B$7,0)+O125-O128</f>
        <v>28.0600525</v>
      </c>
      <c r="P130" s="33" t="n">
        <f aca="false">O130+IF(Source_Data!P$6=Inputs!$B$12,Inputs!$B$7,0)+P125-P128</f>
        <v>48.4928354166667</v>
      </c>
      <c r="Q130" s="33" t="n">
        <f aca="false">P130+IF(Source_Data!Q$6=Inputs!$B$12,Inputs!$B$7,0)+Q125-Q128</f>
        <v>79.1072845833333</v>
      </c>
      <c r="R130" s="33" t="n">
        <f aca="false">Q130+IF(Source_Data!R$6=Inputs!$B$12,Inputs!$B$7,0)+R125-R128</f>
        <v>522.64495875</v>
      </c>
      <c r="S130" s="33" t="n">
        <f aca="false">R130+IF(Source_Data!S$6=Inputs!$B$12,Inputs!$B$7,0)+S125-S128</f>
        <v>454.732357916666</v>
      </c>
      <c r="T130" s="33" t="n">
        <f aca="false">S130+IF(Source_Data!T$6=Inputs!$B$12,Inputs!$B$7,0)+T125-T128</f>
        <v>282.680297083333</v>
      </c>
      <c r="U130" s="33" t="n">
        <f aca="false">T130+IF(Source_Data!U$6=Inputs!$B$12,Inputs!$B$7,0)+U125-U128</f>
        <v>146.82363625</v>
      </c>
      <c r="V130" s="33" t="n">
        <f aca="false">U130+IF(Source_Data!V$6=Inputs!$B$12,Inputs!$B$7,0)+V125-V128</f>
        <v>159.665290416666</v>
      </c>
      <c r="W130" s="33" t="n">
        <f aca="false">V130+IF(Source_Data!W$6=Inputs!$B$12,Inputs!$B$7,0)+W125-W128</f>
        <v>170.695379583333</v>
      </c>
      <c r="X130" s="33" t="n">
        <f aca="false">W130+IF(Source_Data!X$6=Inputs!$B$12,Inputs!$B$7,0)+X125-X128</f>
        <v>201.516508125</v>
      </c>
      <c r="Y130" s="33" t="n">
        <f aca="false">X130+IF(Source_Data!Y$6=Inputs!$B$12,Inputs!$B$7,0)+Y125-Y128</f>
        <v>225.211588541666</v>
      </c>
      <c r="Z130" s="33" t="n">
        <f aca="false">Y130+IF(Source_Data!Z$6=Inputs!$B$12,Inputs!$B$7,0)+Z125-Z128</f>
        <v>240.091131458333</v>
      </c>
      <c r="AA130" s="33" t="n">
        <f aca="false">Z130+IF(Source_Data!AA$6=Inputs!$B$12,Inputs!$B$7,0)+AA125-AA128</f>
        <v>244.679046874999</v>
      </c>
      <c r="AB130" s="33" t="n">
        <f aca="false">AA130+IF(Source_Data!AB$6=Inputs!$B$12,Inputs!$B$7,0)+AB125-AB128</f>
        <v>295.725295624999</v>
      </c>
      <c r="AC130" s="33" t="n">
        <f aca="false">AB130+IF(Source_Data!AC$6=Inputs!$B$12,Inputs!$B$7,0)+AC125-AC128</f>
        <v>346.771544374999</v>
      </c>
      <c r="AD130" s="33" t="n">
        <f aca="false">AC130+IF(Source_Data!AD$6=Inputs!$B$12,Inputs!$B$7,0)+AD125-AD128</f>
        <v>397.817793124999</v>
      </c>
      <c r="AE130" s="33" t="n">
        <f aca="false">AD130+IF(Source_Data!AE$6=Inputs!$B$12,Inputs!$B$7,0)+AE125-AE128</f>
        <v>448.864041874999</v>
      </c>
      <c r="AF130" s="33" t="n">
        <f aca="false">AE130+IF(Source_Data!AF$6=Inputs!$B$12,Inputs!$B$7,0)+AF125-AF128</f>
        <v>251.6038134375</v>
      </c>
      <c r="AG130" s="33" t="n">
        <f aca="false">AF130+IF(Source_Data!AG$6=Inputs!$B$12,Inputs!$B$7,0)+AG125-AG128</f>
        <v>272.31310453125</v>
      </c>
      <c r="AH130" s="33" t="n">
        <f aca="false">AG130+IF(Source_Data!AH$6=Inputs!$B$12,Inputs!$B$7,0)+AH125-AH128</f>
        <v>290.85229171875</v>
      </c>
      <c r="AI130" s="33" t="n">
        <f aca="false">AH130+IF(Source_Data!AI$6=Inputs!$B$12,Inputs!$B$7,0)+AI125-AI128</f>
        <v>307.221374999999</v>
      </c>
      <c r="AJ130" s="33" t="n">
        <f aca="false">AI130+IF(Source_Data!AJ$6=Inputs!$B$12,Inputs!$B$7,0)+AJ125-AJ128</f>
        <v>320.093131406249</v>
      </c>
      <c r="AK130" s="33" t="n">
        <f aca="false">AJ130+IF(Source_Data!AK$6=Inputs!$B$12,Inputs!$B$7,0)+AK125-AK128</f>
        <v>330.939457499999</v>
      </c>
      <c r="AL130" s="33" t="n">
        <f aca="false">AK130+IF(Source_Data!AL$6=Inputs!$B$12,Inputs!$B$7,0)+AL125-AL128</f>
        <v>340.391465624999</v>
      </c>
      <c r="AM130" s="33" t="n">
        <f aca="false">AL130+IF(Source_Data!AM$6=Inputs!$B$12,Inputs!$B$7,0)+AM125-AM128</f>
        <v>344.467486874999</v>
      </c>
      <c r="AN130" s="33" t="n">
        <f aca="false">AM130+IF(Source_Data!AN$6=Inputs!$B$12,Inputs!$B$7,0)+AN125-AN128</f>
        <v>348.543508124999</v>
      </c>
      <c r="AO130" s="33" t="n">
        <f aca="false">AN130+IF(Source_Data!AO$6=Inputs!$B$12,Inputs!$B$7,0)+AO125-AO128</f>
        <v>352.619529374999</v>
      </c>
      <c r="AP130" s="33" t="n">
        <f aca="false">AO130+IF(Source_Data!AP$6=Inputs!$B$12,Inputs!$B$7,0)+AP125-AP128</f>
        <v>352.619529374999</v>
      </c>
      <c r="AQ130" s="33" t="n">
        <f aca="false">AP130+IF(Source_Data!AQ$6=Inputs!$B$12,Inputs!$B$7,0)+AQ125-AQ128</f>
        <v>352.619529374999</v>
      </c>
      <c r="AR130" s="33" t="n">
        <f aca="false">AQ130+IF(Source_Data!AR$6=Inputs!$B$12,Inputs!$B$7,0)+AR125-AR128</f>
        <v>352.619529374999</v>
      </c>
      <c r="AS130" s="33" t="n">
        <f aca="false">AR130+IF(Source_Data!AS$6=Inputs!$B$12,Inputs!$B$7,0)+AS125-AS128</f>
        <v>352.619529374999</v>
      </c>
      <c r="AT130" s="33" t="n">
        <f aca="false">AS130+IF(Source_Data!AT$6=Inputs!$B$12,Inputs!$B$7,0)+AT125-AT128</f>
        <v>352.619529374999</v>
      </c>
      <c r="AU130" s="33" t="n">
        <f aca="false">AT130+IF(Source_Data!AU$6=Inputs!$B$12,Inputs!$B$7,0)+AU125-AU128</f>
        <v>352.619529374999</v>
      </c>
      <c r="AV130" s="33" t="n">
        <f aca="false">AU130+IF(Source_Data!AV$6=Inputs!$B$12,Inputs!$B$7,0)+AV125-AV128</f>
        <v>352.619529374999</v>
      </c>
      <c r="AW130" s="33" t="n">
        <f aca="false">AV130+IF(Source_Data!AW$6=Inputs!$B$12,Inputs!$B$7,0)+AW125-AW128</f>
        <v>352.619529374999</v>
      </c>
      <c r="AX130" s="33" t="n">
        <f aca="false">AW130+IF(Source_Data!AX$6=Inputs!$B$12,Inputs!$B$7,0)+AX125-AX128</f>
        <v>352.619529374999</v>
      </c>
      <c r="AY130" s="33" t="n">
        <f aca="false">AX130+IF(Source_Data!AY$6=Inputs!$B$12,Inputs!$B$7,0)+AY125-AY128</f>
        <v>352.619529374999</v>
      </c>
      <c r="AZ130" s="33" t="n">
        <f aca="false">AY130+IF(Source_Data!AZ$6=Inputs!$B$12,Inputs!$B$7,0)+AZ125-AZ128</f>
        <v>352.619529374999</v>
      </c>
      <c r="BA130" s="33" t="n">
        <f aca="false">AZ130+IF(Source_Data!BA$6=Inputs!$B$12,Inputs!$B$7,0)+BA125-BA128</f>
        <v>352.619529374999</v>
      </c>
      <c r="BB130" s="33" t="n">
        <f aca="false">BA130+IF(Source_Data!BB$6=Inputs!$B$12,Inputs!$B$7,0)+BB125-BB128</f>
        <v>352.619529374999</v>
      </c>
      <c r="BC130" s="33" t="n">
        <f aca="false">BB130+IF(Source_Data!BC$6=Inputs!$B$12,Inputs!$B$7,0)+BC125-BC128</f>
        <v>352.619529374999</v>
      </c>
      <c r="BD130" s="33" t="n">
        <f aca="false">BC130+IF(Source_Data!BD$6=Inputs!$B$12,Inputs!$B$7,0)+BD125-BD128</f>
        <v>352.619529374999</v>
      </c>
      <c r="BE130" s="33" t="n">
        <f aca="false">BD130+IF(Source_Data!BE$6=Inputs!$B$12,Inputs!$B$7,0)+BE125-BE128</f>
        <v>352.619529374999</v>
      </c>
      <c r="BF130" s="33" t="n">
        <f aca="false">BE130+IF(Source_Data!BF$6=Inputs!$B$12,Inputs!$B$7,0)+BF125-BF128</f>
        <v>352.619529374999</v>
      </c>
      <c r="BG130" s="33" t="n">
        <f aca="false">BF130+IF(Source_Data!BG$6=Inputs!$B$12,Inputs!$B$7,0)+BG125-BG128</f>
        <v>352.619529374999</v>
      </c>
      <c r="BH130" s="33" t="n">
        <f aca="false">BG130+IF(Source_Data!BH$6=Inputs!$B$12,Inputs!$B$7,0)+BH125-BH128</f>
        <v>352.619529374999</v>
      </c>
      <c r="BI130" s="33" t="n">
        <f aca="false">BH130+IF(Source_Data!BI$6=Inputs!$B$12,Inputs!$B$7,0)+BI125-BI128</f>
        <v>352.619529374999</v>
      </c>
      <c r="BJ130" s="33" t="n">
        <f aca="false">BI130+IF(Source_Data!BJ$6=Inputs!$B$12,Inputs!$B$7,0)+BJ125-BJ128</f>
        <v>352.619529374999</v>
      </c>
      <c r="BK130" s="33" t="n">
        <f aca="false">BJ130+IF(Source_Data!BK$6=Inputs!$B$12,Inputs!$B$7,0)+BK125-BK128</f>
        <v>352.619529374999</v>
      </c>
    </row>
    <row r="131" customFormat="false" ht="15" hidden="false" customHeight="false" outlineLevel="0" collapsed="false">
      <c r="A131" s="3" t="s">
        <v>353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1.85284659130435</v>
      </c>
      <c r="Q131" s="31" t="n">
        <f aca="false">IF(Q128&gt;0,Q125/Q128,"")</f>
        <v>2.27782048695652</v>
      </c>
      <c r="R131" s="31" t="n">
        <f aca="false">IF(R128&gt;0,R125/R128,"")</f>
        <v>19.5128768347826</v>
      </c>
      <c r="S131" s="31" t="n">
        <f aca="false">IF(S128&gt;0,S125/S128,"")</f>
        <v>-1.83461290434783</v>
      </c>
      <c r="T131" s="31" t="n">
        <f aca="false">IF(T128&gt;0,T125/T128,"")</f>
        <v>-6.18130340869566</v>
      </c>
      <c r="U131" s="31" t="n">
        <f aca="false">IF(U128&gt;0,U125/U128,"")</f>
        <v>-4.67053888695653</v>
      </c>
      <c r="V131" s="31" t="n">
        <f aca="false">IF(V128&gt;0,V125/V128,"")</f>
        <v>1.53599947826087</v>
      </c>
      <c r="W131" s="31" t="n">
        <f aca="false">IF(W128&gt;0,W125/W128,"")</f>
        <v>1.46038633043478</v>
      </c>
      <c r="X131" s="31" t="n">
        <f aca="false">IF(X128&gt;0,X125/X128,"")</f>
        <v>2.28644710434783</v>
      </c>
      <c r="Y131" s="31" t="n">
        <f aca="false">IF(Y128&gt;0,Y125/Y128,"")</f>
        <v>1.98901205217391</v>
      </c>
      <c r="Z131" s="31" t="n">
        <f aca="false">IF(Z128&gt;0,Z125/Z128,"")</f>
        <v>1.6210591826087</v>
      </c>
      <c r="AA131" s="31" t="n">
        <f aca="false">IF(AA128&gt;0,AA125/AA128,"")</f>
        <v>1.1914956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354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3.0240487826087</v>
      </c>
      <c r="Q132" s="31" t="n">
        <f aca="false">IF(Q128&gt;0,(P130+Q125+IF(Source_Data!Q$6=Inputs!$B$12,Inputs!$B$7,0))/Q128,"")</f>
        <v>4.30186926956522</v>
      </c>
      <c r="R132" s="31" t="n">
        <f aca="false">IF(R128&gt;0,(Q130+R125+IF(Source_Data!R$6=Inputs!$B$12,Inputs!$B$7,0))/R128,"")</f>
        <v>22.8147461043478</v>
      </c>
      <c r="S132" s="31" t="n">
        <f aca="false">IF(S128&gt;0,(R130+S125+IF(Source_Data!S$6=Inputs!$B$12,Inputs!$B$7,0))/S128,"")</f>
        <v>19.9801332</v>
      </c>
      <c r="T132" s="31" t="n">
        <f aca="false">IF(T128&gt;0,(S130+T125+IF(Source_Data!T$6=Inputs!$B$12,Inputs!$B$7,0))/T128,"")</f>
        <v>12.7988297913043</v>
      </c>
      <c r="U132" s="31" t="n">
        <f aca="false">IF(U128&gt;0,(T130+U125+IF(Source_Data!U$6=Inputs!$B$12,Inputs!$B$7,0))/U128,"")</f>
        <v>7.12829090434781</v>
      </c>
      <c r="V132" s="31" t="n">
        <f aca="false">IF(V128&gt;0,(U130+V125+IF(Source_Data!V$6=Inputs!$B$12,Inputs!$B$7,0))/V128,"")</f>
        <v>7.66429038260868</v>
      </c>
      <c r="W132" s="31" t="n">
        <f aca="false">IF(W128&gt;0,(V130+W125+IF(Source_Data!W$6=Inputs!$B$12,Inputs!$B$7,0))/W128,"")</f>
        <v>8.12467671304346</v>
      </c>
      <c r="X132" s="31" t="n">
        <f aca="false">IF(X128&gt;0,(W130+X125+IF(Source_Data!X$6=Inputs!$B$12,Inputs!$B$7,0))/X128,"")</f>
        <v>9.41112381739128</v>
      </c>
      <c r="Y132" s="31" t="n">
        <f aca="false">IF(Y128&gt;0,(X130+Y125+IF(Source_Data!Y$6=Inputs!$B$12,Inputs!$B$7,0))/Y128,"")</f>
        <v>10.4001358695652</v>
      </c>
      <c r="Z132" s="31" t="n">
        <f aca="false">IF(Z128&gt;0,(Y130+Z125+IF(Source_Data!Z$6=Inputs!$B$12,Inputs!$B$7,0))/Z128,"")</f>
        <v>11.0211950521739</v>
      </c>
      <c r="AA132" s="31" t="n">
        <f aca="false">IF(AA128&gt;0,(Z130+AA125+IF(Source_Data!AA$6=Inputs!$B$12,Inputs!$B$7,0))/AA128,"")</f>
        <v>11.2126906521739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355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171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356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357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358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359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361</v>
      </c>
      <c r="B142" s="43" t="n">
        <f aca="false">MIN(D131:BK131)</f>
        <v>-6.18130340869566</v>
      </c>
    </row>
    <row r="143" customFormat="false" ht="15" hidden="false" customHeight="false" outlineLevel="0" collapsed="false">
      <c r="A143" s="2" t="s">
        <v>362</v>
      </c>
      <c r="B143" s="35" t="n">
        <f aca="false">COUNTIF(D131:BK131,"&lt;"&amp;Inputs!$B$43)</f>
        <v>5</v>
      </c>
    </row>
    <row r="144" customFormat="false" ht="15" hidden="false" customHeight="false" outlineLevel="0" collapsed="false">
      <c r="A144" s="2" t="s">
        <v>363</v>
      </c>
      <c r="B144" s="43" t="n">
        <f aca="false">MIN(D132:BK132)</f>
        <v>3.0240487826087</v>
      </c>
    </row>
    <row r="145" customFormat="false" ht="15" hidden="false" customHeight="false" outlineLevel="0" collapsed="false">
      <c r="A145" s="2" t="s">
        <v>364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73</v>
      </c>
    </row>
    <row r="149" customFormat="false" ht="15" hidden="false" customHeight="false" outlineLevel="0" collapsed="false">
      <c r="A149" s="3" t="s">
        <v>340</v>
      </c>
      <c r="B149" s="45" t="n">
        <v>1</v>
      </c>
    </row>
    <row r="150" customFormat="false" ht="15" hidden="false" customHeight="false" outlineLevel="0" collapsed="false">
      <c r="A150" s="3" t="s">
        <v>341</v>
      </c>
      <c r="B150" s="45" t="n">
        <v>0</v>
      </c>
    </row>
    <row r="151" customFormat="false" ht="15" hidden="false" customHeight="false" outlineLevel="0" collapsed="false">
      <c r="A151" s="3" t="s">
        <v>342</v>
      </c>
      <c r="B151" s="45" t="n">
        <v>1</v>
      </c>
    </row>
    <row r="152" customFormat="false" ht="15" hidden="false" customHeight="false" outlineLevel="0" collapsed="false">
      <c r="A152" s="3" t="s">
        <v>343</v>
      </c>
      <c r="B152" s="45" t="n">
        <v>2</v>
      </c>
    </row>
    <row r="153" customFormat="false" ht="15" hidden="false" customHeight="false" outlineLevel="0" collapsed="false">
      <c r="A153" s="3" t="s">
        <v>344</v>
      </c>
      <c r="B153" s="45" t="n">
        <v>0</v>
      </c>
    </row>
    <row r="154" customFormat="false" ht="15" hidden="false" customHeight="false" outlineLevel="0" collapsed="false">
      <c r="A154" s="3" t="s">
        <v>345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346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347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203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205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224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225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89.8148148148148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89.8148148148148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350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351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352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-96.244745</v>
      </c>
      <c r="M166" s="33" t="n">
        <f aca="false">L166+IF(Source_Data!M$6=Inputs!$B$12,Inputs!$B$7,0)+M161-M164</f>
        <v>-117.078875</v>
      </c>
      <c r="N166" s="33" t="n">
        <f aca="false">M166+IF(Source_Data!N$6=Inputs!$B$12,Inputs!$B$7,0)+N161-N164</f>
        <v>-137.78627</v>
      </c>
      <c r="O166" s="33" t="n">
        <f aca="false">N166+IF(Source_Data!O$6=Inputs!$B$12,Inputs!$B$7,0)+O161-O164</f>
        <v>-147.3745325</v>
      </c>
      <c r="P166" s="33" t="n">
        <f aca="false">O166+IF(Source_Data!P$6=Inputs!$B$12,Inputs!$B$7,0)+P161-P164</f>
        <v>-152.715930833333</v>
      </c>
      <c r="Q166" s="33" t="n">
        <f aca="false">P166+IF(Source_Data!Q$6=Inputs!$B$12,Inputs!$B$7,0)+Q161-Q164</f>
        <v>-140.784094166667</v>
      </c>
      <c r="R166" s="33" t="n">
        <f aca="false">Q166+IF(Source_Data!R$6=Inputs!$B$12,Inputs!$B$7,0)+R161-R164</f>
        <v>-251.28445125</v>
      </c>
      <c r="S166" s="33" t="n">
        <f aca="false">R166+IF(Source_Data!S$6=Inputs!$B$12,Inputs!$B$7,0)+S161-S164</f>
        <v>-352.139902083333</v>
      </c>
      <c r="T166" s="33" t="n">
        <f aca="false">S166+IF(Source_Data!T$6=Inputs!$B$12,Inputs!$B$7,0)+T161-T164</f>
        <v>65.1619120833332</v>
      </c>
      <c r="U166" s="33" t="n">
        <f aca="false">T166+IF(Source_Data!U$6=Inputs!$B$12,Inputs!$B$7,0)+U161-U164</f>
        <v>25.0634512499998</v>
      </c>
      <c r="V166" s="33" t="n">
        <f aca="false">U166+IF(Source_Data!V$6=Inputs!$B$12,Inputs!$B$7,0)+V161-V164</f>
        <v>62.9762704166664</v>
      </c>
      <c r="W166" s="33" t="n">
        <f aca="false">V166+IF(Source_Data!W$6=Inputs!$B$12,Inputs!$B$7,0)+W161-W164</f>
        <v>77.629489583333</v>
      </c>
      <c r="X166" s="33" t="n">
        <f aca="false">W166+IF(Source_Data!X$6=Inputs!$B$12,Inputs!$B$7,0)+X161-X164</f>
        <v>118.69658375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375.898695624999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414.224388124999</v>
      </c>
      <c r="AO166" s="33" t="n">
        <f aca="false">AN166+IF(Source_Data!AO$6=Inputs!$B$12,Inputs!$B$7,0)+AO161-AO164</f>
        <v>418.300409374999</v>
      </c>
      <c r="AP166" s="33" t="n">
        <f aca="false">AO166+IF(Source_Data!AP$6=Inputs!$B$12,Inputs!$B$7,0)+AP161-AP164</f>
        <v>425.546669374999</v>
      </c>
      <c r="AQ166" s="33" t="n">
        <f aca="false">AP166+IF(Source_Data!AQ$6=Inputs!$B$12,Inputs!$B$7,0)+AQ161-AQ164</f>
        <v>432.792929374999</v>
      </c>
      <c r="AR166" s="33" t="n">
        <f aca="false">AQ166+IF(Source_Data!AR$6=Inputs!$B$12,Inputs!$B$7,0)+AR161-AR164</f>
        <v>432.792929374999</v>
      </c>
      <c r="AS166" s="33" t="n">
        <f aca="false">AR166+IF(Source_Data!AS$6=Inputs!$B$12,Inputs!$B$7,0)+AS161-AS164</f>
        <v>432.792929374999</v>
      </c>
      <c r="AT166" s="33" t="n">
        <f aca="false">AS166+IF(Source_Data!AT$6=Inputs!$B$12,Inputs!$B$7,0)+AT161-AT164</f>
        <v>432.792929374999</v>
      </c>
      <c r="AU166" s="33" t="n">
        <f aca="false">AT166+IF(Source_Data!AU$6=Inputs!$B$12,Inputs!$B$7,0)+AU161-AU164</f>
        <v>432.792929374999</v>
      </c>
      <c r="AV166" s="33" t="n">
        <f aca="false">AU166+IF(Source_Data!AV$6=Inputs!$B$12,Inputs!$B$7,0)+AV161-AV164</f>
        <v>432.792929374999</v>
      </c>
      <c r="AW166" s="33" t="n">
        <f aca="false">AV166+IF(Source_Data!AW$6=Inputs!$B$12,Inputs!$B$7,0)+AW161-AW164</f>
        <v>432.792929374999</v>
      </c>
      <c r="AX166" s="33" t="n">
        <f aca="false">AW166+IF(Source_Data!AX$6=Inputs!$B$12,Inputs!$B$7,0)+AX161-AX164</f>
        <v>432.792929374999</v>
      </c>
      <c r="AY166" s="33" t="n">
        <f aca="false">AX166+IF(Source_Data!AY$6=Inputs!$B$12,Inputs!$B$7,0)+AY161-AY164</f>
        <v>432.792929374999</v>
      </c>
      <c r="AZ166" s="33" t="n">
        <f aca="false">AY166+IF(Source_Data!AZ$6=Inputs!$B$12,Inputs!$B$7,0)+AZ161-AZ164</f>
        <v>432.792929374999</v>
      </c>
      <c r="BA166" s="33" t="n">
        <f aca="false">AZ166+IF(Source_Data!BA$6=Inputs!$B$12,Inputs!$B$7,0)+BA161-BA164</f>
        <v>432.792929374999</v>
      </c>
      <c r="BB166" s="33" t="n">
        <f aca="false">BA166+IF(Source_Data!BB$6=Inputs!$B$12,Inputs!$B$7,0)+BB161-BB164</f>
        <v>432.792929374999</v>
      </c>
      <c r="BC166" s="33" t="n">
        <f aca="false">BB166+IF(Source_Data!BC$6=Inputs!$B$12,Inputs!$B$7,0)+BC161-BC164</f>
        <v>432.792929374999</v>
      </c>
      <c r="BD166" s="33" t="n">
        <f aca="false">BC166+IF(Source_Data!BD$6=Inputs!$B$12,Inputs!$B$7,0)+BD161-BD164</f>
        <v>432.792929374999</v>
      </c>
      <c r="BE166" s="33" t="n">
        <f aca="false">BD166+IF(Source_Data!BE$6=Inputs!$B$12,Inputs!$B$7,0)+BE161-BE164</f>
        <v>432.792929374999</v>
      </c>
      <c r="BF166" s="33" t="n">
        <f aca="false">BE166+IF(Source_Data!BF$6=Inputs!$B$12,Inputs!$B$7,0)+BF161-BF164</f>
        <v>432.792929374999</v>
      </c>
      <c r="BG166" s="33" t="n">
        <f aca="false">BF166+IF(Source_Data!BG$6=Inputs!$B$12,Inputs!$B$7,0)+BG161-BG164</f>
        <v>432.792929374999</v>
      </c>
      <c r="BH166" s="33" t="n">
        <f aca="false">BG166+IF(Source_Data!BH$6=Inputs!$B$12,Inputs!$B$7,0)+BH161-BH164</f>
        <v>432.792929374999</v>
      </c>
      <c r="BI166" s="33" t="n">
        <f aca="false">BH166+IF(Source_Data!BI$6=Inputs!$B$12,Inputs!$B$7,0)+BI161-BI164</f>
        <v>432.792929374999</v>
      </c>
      <c r="BJ166" s="33" t="n">
        <f aca="false">BI166+IF(Source_Data!BJ$6=Inputs!$B$12,Inputs!$B$7,0)+BJ161-BJ164</f>
        <v>432.792929374999</v>
      </c>
      <c r="BK166" s="33" t="n">
        <f aca="false">BJ166+IF(Source_Data!BK$6=Inputs!$B$12,Inputs!$B$7,0)+BK161-BK164</f>
        <v>432.792929374999</v>
      </c>
    </row>
    <row r="167" customFormat="false" ht="15" hidden="false" customHeight="false" outlineLevel="0" collapsed="false">
      <c r="A167" s="3" t="s">
        <v>353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0.77705467826087</v>
      </c>
      <c r="Q167" s="31" t="n">
        <f aca="false">IF(Q164&gt;0,Q161/Q164,"")</f>
        <v>1.49802448695652</v>
      </c>
      <c r="R167" s="31" t="n">
        <f aca="false">IF(R164&gt;0,R161/R164,"")</f>
        <v>-3.6121888173913</v>
      </c>
      <c r="S167" s="31" t="n">
        <f aca="false">IF(S164&gt;0,S161/S164,"")</f>
        <v>-3.2096188173913</v>
      </c>
      <c r="T167" s="31" t="n">
        <f aca="false">IF(T164&gt;0,T161/T164,"")</f>
        <v>18.4178148521739</v>
      </c>
      <c r="U167" s="31" t="n">
        <f aca="false">IF(U164&gt;0,U161/U164,"")</f>
        <v>-0.673674886956523</v>
      </c>
      <c r="V167" s="31" t="n">
        <f aca="false">IF(V164&gt;0,V161/V164,"")</f>
        <v>2.58244810434782</v>
      </c>
      <c r="W167" s="31" t="n">
        <f aca="false">IF(W164&gt;0,W161/W164,"")</f>
        <v>1.61161262608695</v>
      </c>
      <c r="X167" s="31" t="n">
        <f aca="false">IF(X164&gt;0,X161/X164,"")</f>
        <v>2.7141048</v>
      </c>
      <c r="Y167" s="31" t="n">
        <f aca="false">IF(Y164&gt;0,Y161/Y164,"")</f>
        <v>2.63849165217391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354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-5.37423015652174</v>
      </c>
      <c r="Q168" s="31" t="n">
        <f aca="false">IF(Q164&gt;0,(P166+Q161+IF(Source_Data!Q$6=Inputs!$B$12,Inputs!$B$7,0))/Q164,"")</f>
        <v>-4.87620566956522</v>
      </c>
      <c r="R168" s="31" t="n">
        <f aca="false">IF(R164&gt;0,(Q166+R161+IF(Source_Data!R$6=Inputs!$B$12,Inputs!$B$7,0))/R164,"")</f>
        <v>-9.48839448695652</v>
      </c>
      <c r="S168" s="31" t="n">
        <f aca="false">IF(S164&gt;0,(R166+S161+IF(Source_Data!S$6=Inputs!$B$12,Inputs!$B$7,0))/S164,"")</f>
        <v>-13.6980133043478</v>
      </c>
      <c r="T168" s="31" t="n">
        <f aca="false">IF(T164&gt;0,(S166+T161+IF(Source_Data!T$6=Inputs!$B$12,Inputs!$B$7,0))/T164,"")</f>
        <v>3.71980154782608</v>
      </c>
      <c r="U168" s="31" t="n">
        <f aca="false">IF(U164&gt;0,(T166+U161+IF(Source_Data!U$6=Inputs!$B$12,Inputs!$B$7,0))/U164,"")</f>
        <v>2.04612666086956</v>
      </c>
      <c r="V168" s="31" t="n">
        <f aca="false">IF(V164&gt;0,(U166+V161+IF(Source_Data!V$6=Inputs!$B$12,Inputs!$B$7,0))/V164,"")</f>
        <v>3.62857476521738</v>
      </c>
      <c r="W168" s="31" t="n">
        <f aca="false">IF(W164&gt;0,(V166+W161+IF(Source_Data!W$6=Inputs!$B$12,Inputs!$B$7,0))/W164,"")</f>
        <v>4.24018739130433</v>
      </c>
      <c r="X168" s="31" t="n">
        <f aca="false">IF(X164&gt;0,(W166+X161+IF(Source_Data!X$6=Inputs!$B$12,Inputs!$B$7,0))/X164,"")</f>
        <v>5.95429219130433</v>
      </c>
      <c r="Y168" s="31" t="n">
        <f aca="false">IF(Y164&gt;0,(X166+Y161+IF(Source_Data!Y$6=Inputs!$B$12,Inputs!$B$7,0))/Y164,"")</f>
        <v>7.59278384347824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355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171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356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357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358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360</v>
      </c>
      <c r="B177" s="41" t="n">
        <f aca="false">MIN(D166:BK166)</f>
        <v>-352.139902083333</v>
      </c>
    </row>
    <row r="178" customFormat="false" ht="15" hidden="false" customHeight="false" outlineLevel="0" collapsed="false">
      <c r="A178" s="2" t="s">
        <v>361</v>
      </c>
      <c r="B178" s="43" t="n">
        <f aca="false">MIN(D167:BK167)</f>
        <v>-3.6121888173913</v>
      </c>
    </row>
    <row r="179" customFormat="false" ht="15" hidden="false" customHeight="false" outlineLevel="0" collapsed="false">
      <c r="A179" s="2" t="s">
        <v>362</v>
      </c>
      <c r="B179" s="35" t="n">
        <f aca="false">COUNTIF(D167:BK167,"&lt;"&amp;Inputs!$B$43)</f>
        <v>5</v>
      </c>
    </row>
    <row r="180" customFormat="false" ht="15" hidden="false" customHeight="false" outlineLevel="0" collapsed="false">
      <c r="A180" s="2" t="s">
        <v>363</v>
      </c>
      <c r="B180" s="43" t="n">
        <f aca="false">MIN(D168:BK168)</f>
        <v>-13.6980133043478</v>
      </c>
    </row>
    <row r="181" customFormat="false" ht="15" hidden="false" customHeight="false" outlineLevel="0" collapsed="false">
      <c r="A181" s="2" t="s">
        <v>364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74</v>
      </c>
    </row>
    <row r="185" customFormat="false" ht="15" hidden="false" customHeight="false" outlineLevel="0" collapsed="false">
      <c r="A185" s="3" t="s">
        <v>340</v>
      </c>
      <c r="B185" s="45" t="n">
        <v>1</v>
      </c>
    </row>
    <row r="186" customFormat="false" ht="15" hidden="false" customHeight="false" outlineLevel="0" collapsed="false">
      <c r="A186" s="3" t="s">
        <v>341</v>
      </c>
      <c r="B186" s="45" t="n">
        <v>0</v>
      </c>
    </row>
    <row r="187" customFormat="false" ht="15" hidden="false" customHeight="false" outlineLevel="0" collapsed="false">
      <c r="A187" s="3" t="s">
        <v>342</v>
      </c>
      <c r="B187" s="45" t="n">
        <v>1</v>
      </c>
    </row>
    <row r="188" customFormat="false" ht="15" hidden="false" customHeight="false" outlineLevel="0" collapsed="false">
      <c r="A188" s="3" t="s">
        <v>343</v>
      </c>
      <c r="B188" s="45" t="n">
        <v>0</v>
      </c>
    </row>
    <row r="189" customFormat="false" ht="15" hidden="false" customHeight="false" outlineLevel="0" collapsed="false">
      <c r="A189" s="3" t="s">
        <v>344</v>
      </c>
      <c r="B189" s="45" t="n">
        <v>1</v>
      </c>
    </row>
    <row r="190" customFormat="false" ht="15" hidden="false" customHeight="false" outlineLevel="0" collapsed="false">
      <c r="A190" s="3" t="s">
        <v>345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346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347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203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205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224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225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89.8148148148148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89.8148148148148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89.8148148148148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89.8148148148148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350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351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352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35.61565</v>
      </c>
      <c r="I202" s="33" t="n">
        <f aca="false">H202+IF(Source_Data!I$6=Inputs!$B$12,Inputs!$B$7,0)+I197-I200</f>
        <v>49.34695</v>
      </c>
      <c r="J202" s="33" t="n">
        <f aca="false">I202+IF(Source_Data!J$6=Inputs!$B$12,Inputs!$B$7,0)+J197-J200</f>
        <v>62.107775</v>
      </c>
      <c r="K202" s="33" t="n">
        <f aca="false">J202+IF(Source_Data!K$6=Inputs!$B$12,Inputs!$B$7,0)+K197-K200</f>
        <v>78.266165</v>
      </c>
      <c r="L202" s="33" t="n">
        <f aca="false">K202+IF(Source_Data!L$6=Inputs!$B$12,Inputs!$B$7,0)+L197-L200</f>
        <v>39.86119</v>
      </c>
      <c r="M202" s="33" t="n">
        <f aca="false">L202+IF(Source_Data!M$6=Inputs!$B$12,Inputs!$B$7,0)+M197-M200</f>
        <v>22.9819375</v>
      </c>
      <c r="N202" s="33" t="n">
        <f aca="false">M202+IF(Source_Data!N$6=Inputs!$B$12,Inputs!$B$7,0)+N197-N200</f>
        <v>24.0580525</v>
      </c>
      <c r="O202" s="33" t="n">
        <f aca="false">N202+IF(Source_Data!O$6=Inputs!$B$12,Inputs!$B$7,0)+O197-O200</f>
        <v>47.1040525</v>
      </c>
      <c r="P202" s="33" t="n">
        <f aca="false">O202+IF(Source_Data!P$6=Inputs!$B$12,Inputs!$B$7,0)+P197-P200</f>
        <v>68.1440354166667</v>
      </c>
      <c r="Q202" s="33" t="n">
        <f aca="false">P202+IF(Source_Data!Q$6=Inputs!$B$12,Inputs!$B$7,0)+Q197-Q200</f>
        <v>99.3656845833334</v>
      </c>
      <c r="R202" s="33" t="n">
        <f aca="false">Q202+IF(Source_Data!R$6=Inputs!$B$12,Inputs!$B$7,0)+R197-R200</f>
        <v>3.9896587499999</v>
      </c>
      <c r="S202" s="33" t="n">
        <f aca="false">R202+IF(Source_Data!S$6=Inputs!$B$12,Inputs!$B$7,0)+S197-S200</f>
        <v>-85.9069420833334</v>
      </c>
      <c r="T202" s="33" t="n">
        <f aca="false">S202+IF(Source_Data!T$6=Inputs!$B$12,Inputs!$B$7,0)+T197-T200</f>
        <v>-239.099002916667</v>
      </c>
      <c r="U202" s="33" t="n">
        <f aca="false">T202+IF(Source_Data!U$6=Inputs!$B$12,Inputs!$B$7,0)+U197-U200</f>
        <v>226.99703625</v>
      </c>
      <c r="V202" s="33" t="n">
        <f aca="false">U202+IF(Source_Data!V$6=Inputs!$B$12,Inputs!$B$7,0)+V197-V200</f>
        <v>239.838690416666</v>
      </c>
      <c r="W202" s="33" t="n">
        <f aca="false">V202+IF(Source_Data!W$6=Inputs!$B$12,Inputs!$B$7,0)+W197-W200</f>
        <v>250.868779583333</v>
      </c>
      <c r="X202" s="33" t="n">
        <f aca="false">W202+IF(Source_Data!X$6=Inputs!$B$12,Inputs!$B$7,0)+X197-X200</f>
        <v>281.689908125</v>
      </c>
      <c r="Y202" s="33" t="n">
        <f aca="false">X202+IF(Source_Data!Y$6=Inputs!$B$12,Inputs!$B$7,0)+Y197-Y200</f>
        <v>305.384988541666</v>
      </c>
      <c r="Z202" s="33" t="n">
        <f aca="false">Y202+IF(Source_Data!Z$6=Inputs!$B$12,Inputs!$B$7,0)+Z197-Z200</f>
        <v>320.264531458333</v>
      </c>
      <c r="AA202" s="33" t="n">
        <f aca="false">Z202+IF(Source_Data!AA$6=Inputs!$B$12,Inputs!$B$7,0)+AA197-AA200</f>
        <v>324.852446875</v>
      </c>
      <c r="AB202" s="33" t="n">
        <f aca="false">AA202+IF(Source_Data!AB$6=Inputs!$B$12,Inputs!$B$7,0)+AB197-AB200</f>
        <v>375.898695625</v>
      </c>
      <c r="AC202" s="33" t="n">
        <f aca="false">AB202+IF(Source_Data!AC$6=Inputs!$B$12,Inputs!$B$7,0)+AC197-AC200</f>
        <v>426.944944375</v>
      </c>
      <c r="AD202" s="33" t="n">
        <f aca="false">AC202+IF(Source_Data!AD$6=Inputs!$B$12,Inputs!$B$7,0)+AD197-AD200</f>
        <v>477.991193125</v>
      </c>
      <c r="AE202" s="33" t="n">
        <f aca="false">AD202+IF(Source_Data!AE$6=Inputs!$B$12,Inputs!$B$7,0)+AE197-AE200</f>
        <v>529.037441874999</v>
      </c>
      <c r="AF202" s="33" t="n">
        <f aca="false">AE202+IF(Source_Data!AF$6=Inputs!$B$12,Inputs!$B$7,0)+AF197-AF200</f>
        <v>331.7772134375</v>
      </c>
      <c r="AG202" s="33" t="n">
        <f aca="false">AF202+IF(Source_Data!AG$6=Inputs!$B$12,Inputs!$B$7,0)+AG197-AG200</f>
        <v>352.48650453125</v>
      </c>
      <c r="AH202" s="33" t="n">
        <f aca="false">AG202+IF(Source_Data!AH$6=Inputs!$B$12,Inputs!$B$7,0)+AH197-AH200</f>
        <v>371.02569171875</v>
      </c>
      <c r="AI202" s="33" t="n">
        <f aca="false">AH202+IF(Source_Data!AI$6=Inputs!$B$12,Inputs!$B$7,0)+AI197-AI200</f>
        <v>387.394775</v>
      </c>
      <c r="AJ202" s="33" t="n">
        <f aca="false">AI202+IF(Source_Data!AJ$6=Inputs!$B$12,Inputs!$B$7,0)+AJ197-AJ200</f>
        <v>400.26653140625</v>
      </c>
      <c r="AK202" s="33" t="n">
        <f aca="false">AJ202+IF(Source_Data!AK$6=Inputs!$B$12,Inputs!$B$7,0)+AK197-AK200</f>
        <v>411.1128575</v>
      </c>
      <c r="AL202" s="33" t="n">
        <f aca="false">AK202+IF(Source_Data!AL$6=Inputs!$B$12,Inputs!$B$7,0)+AL197-AL200</f>
        <v>420.564865625</v>
      </c>
      <c r="AM202" s="33" t="n">
        <f aca="false">AL202+IF(Source_Data!AM$6=Inputs!$B$12,Inputs!$B$7,0)+AM197-AM200</f>
        <v>424.640886875</v>
      </c>
      <c r="AN202" s="33" t="n">
        <f aca="false">AM202+IF(Source_Data!AN$6=Inputs!$B$12,Inputs!$B$7,0)+AN197-AN200</f>
        <v>428.716908125</v>
      </c>
      <c r="AO202" s="33" t="n">
        <f aca="false">AN202+IF(Source_Data!AO$6=Inputs!$B$12,Inputs!$B$7,0)+AO197-AO200</f>
        <v>432.792929375</v>
      </c>
      <c r="AP202" s="33" t="n">
        <f aca="false">AO202+IF(Source_Data!AP$6=Inputs!$B$12,Inputs!$B$7,0)+AP197-AP200</f>
        <v>432.792929375</v>
      </c>
      <c r="AQ202" s="33" t="n">
        <f aca="false">AP202+IF(Source_Data!AQ$6=Inputs!$B$12,Inputs!$B$7,0)+AQ197-AQ200</f>
        <v>432.792929375</v>
      </c>
      <c r="AR202" s="33" t="n">
        <f aca="false">AQ202+IF(Source_Data!AR$6=Inputs!$B$12,Inputs!$B$7,0)+AR197-AR200</f>
        <v>432.792929375</v>
      </c>
      <c r="AS202" s="33" t="n">
        <f aca="false">AR202+IF(Source_Data!AS$6=Inputs!$B$12,Inputs!$B$7,0)+AS197-AS200</f>
        <v>432.792929375</v>
      </c>
      <c r="AT202" s="33" t="n">
        <f aca="false">AS202+IF(Source_Data!AT$6=Inputs!$B$12,Inputs!$B$7,0)+AT197-AT200</f>
        <v>432.792929375</v>
      </c>
      <c r="AU202" s="33" t="n">
        <f aca="false">AT202+IF(Source_Data!AU$6=Inputs!$B$12,Inputs!$B$7,0)+AU197-AU200</f>
        <v>432.792929375</v>
      </c>
      <c r="AV202" s="33" t="n">
        <f aca="false">AU202+IF(Source_Data!AV$6=Inputs!$B$12,Inputs!$B$7,0)+AV197-AV200</f>
        <v>432.792929375</v>
      </c>
      <c r="AW202" s="33" t="n">
        <f aca="false">AV202+IF(Source_Data!AW$6=Inputs!$B$12,Inputs!$B$7,0)+AW197-AW200</f>
        <v>432.792929375</v>
      </c>
      <c r="AX202" s="33" t="n">
        <f aca="false">AW202+IF(Source_Data!AX$6=Inputs!$B$12,Inputs!$B$7,0)+AX197-AX200</f>
        <v>432.792929375</v>
      </c>
      <c r="AY202" s="33" t="n">
        <f aca="false">AX202+IF(Source_Data!AY$6=Inputs!$B$12,Inputs!$B$7,0)+AY197-AY200</f>
        <v>432.792929375</v>
      </c>
      <c r="AZ202" s="33" t="n">
        <f aca="false">AY202+IF(Source_Data!AZ$6=Inputs!$B$12,Inputs!$B$7,0)+AZ197-AZ200</f>
        <v>432.792929375</v>
      </c>
      <c r="BA202" s="33" t="n">
        <f aca="false">AZ202+IF(Source_Data!BA$6=Inputs!$B$12,Inputs!$B$7,0)+BA197-BA200</f>
        <v>432.792929375</v>
      </c>
      <c r="BB202" s="33" t="n">
        <f aca="false">BA202+IF(Source_Data!BB$6=Inputs!$B$12,Inputs!$B$7,0)+BB197-BB200</f>
        <v>432.792929375</v>
      </c>
      <c r="BC202" s="33" t="n">
        <f aca="false">BB202+IF(Source_Data!BC$6=Inputs!$B$12,Inputs!$B$7,0)+BC197-BC200</f>
        <v>432.792929375</v>
      </c>
      <c r="BD202" s="33" t="n">
        <f aca="false">BC202+IF(Source_Data!BD$6=Inputs!$B$12,Inputs!$B$7,0)+BD197-BD200</f>
        <v>432.792929375</v>
      </c>
      <c r="BE202" s="33" t="n">
        <f aca="false">BD202+IF(Source_Data!BE$6=Inputs!$B$12,Inputs!$B$7,0)+BE197-BE200</f>
        <v>432.792929375</v>
      </c>
      <c r="BF202" s="33" t="n">
        <f aca="false">BE202+IF(Source_Data!BF$6=Inputs!$B$12,Inputs!$B$7,0)+BF197-BF200</f>
        <v>432.792929375</v>
      </c>
      <c r="BG202" s="33" t="n">
        <f aca="false">BF202+IF(Source_Data!BG$6=Inputs!$B$12,Inputs!$B$7,0)+BG197-BG200</f>
        <v>432.792929375</v>
      </c>
      <c r="BH202" s="33" t="n">
        <f aca="false">BG202+IF(Source_Data!BH$6=Inputs!$B$12,Inputs!$B$7,0)+BH197-BH200</f>
        <v>432.792929375</v>
      </c>
      <c r="BI202" s="33" t="n">
        <f aca="false">BH202+IF(Source_Data!BI$6=Inputs!$B$12,Inputs!$B$7,0)+BI197-BI200</f>
        <v>432.792929375</v>
      </c>
      <c r="BJ202" s="33" t="n">
        <f aca="false">BI202+IF(Source_Data!BJ$6=Inputs!$B$12,Inputs!$B$7,0)+BJ197-BJ200</f>
        <v>432.792929375</v>
      </c>
      <c r="BK202" s="33" t="n">
        <f aca="false">BJ202+IF(Source_Data!BK$6=Inputs!$B$12,Inputs!$B$7,0)+BK197-BK200</f>
        <v>432.792929375</v>
      </c>
    </row>
    <row r="203" customFormat="false" ht="15" hidden="false" customHeight="false" outlineLevel="0" collapsed="false">
      <c r="A203" s="3" t="s">
        <v>353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1.87819059130435</v>
      </c>
      <c r="Q203" s="31" t="n">
        <f aca="false">IF(Q200&gt;0,Q197/Q200,"")</f>
        <v>2.30316448695652</v>
      </c>
      <c r="R203" s="31" t="n">
        <f aca="false">IF(R200&gt;0,R197/R200,"")</f>
        <v>-2.9809123826087</v>
      </c>
      <c r="S203" s="31" t="n">
        <f aca="false">IF(S200&gt;0,S197/S200,"")</f>
        <v>-2.75220594782609</v>
      </c>
      <c r="T203" s="31" t="n">
        <f aca="false">IF(T200&gt;0,T197/T200,"")</f>
        <v>-5.39410340869566</v>
      </c>
      <c r="U203" s="31" t="n">
        <f aca="false">IF(U200&gt;0,U197/U200,"")</f>
        <v>20.454443373913</v>
      </c>
      <c r="V203" s="31" t="n">
        <f aca="false">IF(V200&gt;0,V197/V200,"")</f>
        <v>1.53599947826087</v>
      </c>
      <c r="W203" s="31" t="n">
        <f aca="false">IF(W200&gt;0,W197/W200,"")</f>
        <v>1.46038633043478</v>
      </c>
      <c r="X203" s="31" t="n">
        <f aca="false">IF(X200&gt;0,X197/X200,"")</f>
        <v>2.28644710434783</v>
      </c>
      <c r="Y203" s="31" t="n">
        <f aca="false">IF(Y200&gt;0,Y197/Y200,"")</f>
        <v>1.98901205217391</v>
      </c>
      <c r="Z203" s="31" t="n">
        <f aca="false">IF(Z200&gt;0,Z197/Z200,"")</f>
        <v>1.6210591826087</v>
      </c>
      <c r="AA203" s="31" t="n">
        <f aca="false">IF(AA200&gt;0,AA197/AA200,"")</f>
        <v>1.1914956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354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3.8442727826087</v>
      </c>
      <c r="Q204" s="31" t="n">
        <f aca="false">IF(Q200&gt;0,(P202+Q197+IF(Source_Data!Q$6=Inputs!$B$12,Inputs!$B$7,0))/Q200,"")</f>
        <v>5.14743726956522</v>
      </c>
      <c r="R204" s="31" t="n">
        <f aca="false">IF(R200&gt;0,(Q202+R197+IF(Source_Data!R$6=Inputs!$B$12,Inputs!$B$7,0))/R200,"")</f>
        <v>1.16652488695652</v>
      </c>
      <c r="S204" s="31" t="n">
        <f aca="false">IF(S200&gt;0,(R202+S197+IF(Source_Data!S$6=Inputs!$B$12,Inputs!$B$7,0))/S200,"")</f>
        <v>-2.58568106086957</v>
      </c>
      <c r="T204" s="31" t="n">
        <f aca="false">IF(T200&gt;0,(S202+T197+IF(Source_Data!T$6=Inputs!$B$12,Inputs!$B$7,0))/T200,"")</f>
        <v>-8.97978446956523</v>
      </c>
      <c r="U204" s="31" t="n">
        <f aca="false">IF(U200&gt;0,(T202+U197+IF(Source_Data!U$6=Inputs!$B$12,Inputs!$B$7,0))/U200,"")</f>
        <v>10.4746589043478</v>
      </c>
      <c r="V204" s="31" t="n">
        <f aca="false">IF(V200&gt;0,(U202+V197+IF(Source_Data!V$6=Inputs!$B$12,Inputs!$B$7,0))/V200,"")</f>
        <v>11.0106583826087</v>
      </c>
      <c r="W204" s="31" t="n">
        <f aca="false">IF(W200&gt;0,(V202+W197+IF(Source_Data!W$6=Inputs!$B$12,Inputs!$B$7,0))/W200,"")</f>
        <v>11.4710447130435</v>
      </c>
      <c r="X204" s="31" t="n">
        <f aca="false">IF(X200&gt;0,(W202+X197+IF(Source_Data!X$6=Inputs!$B$12,Inputs!$B$7,0))/X200,"")</f>
        <v>12.7574918173913</v>
      </c>
      <c r="Y204" s="31" t="n">
        <f aca="false">IF(Y200&gt;0,(X202+Y197+IF(Source_Data!Y$6=Inputs!$B$12,Inputs!$B$7,0))/Y200,"")</f>
        <v>13.7465038695652</v>
      </c>
      <c r="Z204" s="31" t="n">
        <f aca="false">IF(Z200&gt;0,(Y202+Z197+IF(Source_Data!Z$6=Inputs!$B$12,Inputs!$B$7,0))/Z200,"")</f>
        <v>14.3675630521739</v>
      </c>
      <c r="AA204" s="31" t="n">
        <f aca="false">IF(AA200&gt;0,(Z202+AA197+IF(Source_Data!AA$6=Inputs!$B$12,Inputs!$B$7,0))/AA200,"")</f>
        <v>14.5590586521739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355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171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356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357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358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360</v>
      </c>
      <c r="B213" s="41" t="n">
        <f aca="false">MIN(D202:BK202)</f>
        <v>-239.099002916667</v>
      </c>
    </row>
    <row r="214" customFormat="false" ht="15" hidden="false" customHeight="false" outlineLevel="0" collapsed="false">
      <c r="A214" s="2" t="s">
        <v>361</v>
      </c>
      <c r="B214" s="43" t="n">
        <f aca="false">MIN(D203:BK203)</f>
        <v>-5.39410340869566</v>
      </c>
    </row>
    <row r="215" customFormat="false" ht="15" hidden="false" customHeight="false" outlineLevel="0" collapsed="false">
      <c r="A215" s="2" t="s">
        <v>362</v>
      </c>
      <c r="B215" s="35" t="n">
        <f aca="false">COUNTIF(D203:BK203,"&lt;"&amp;Inputs!$B$43)</f>
        <v>5</v>
      </c>
    </row>
    <row r="216" customFormat="false" ht="15" hidden="false" customHeight="false" outlineLevel="0" collapsed="false">
      <c r="A216" s="2" t="s">
        <v>363</v>
      </c>
      <c r="B216" s="43" t="n">
        <f aca="false">MIN(D204:BK204)</f>
        <v>-8.97978446956523</v>
      </c>
    </row>
    <row r="217" customFormat="false" ht="15" hidden="false" customHeight="false" outlineLevel="0" collapsed="false">
      <c r="A217" s="2" t="s">
        <v>364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75</v>
      </c>
    </row>
    <row r="221" customFormat="false" ht="15" hidden="false" customHeight="false" outlineLevel="0" collapsed="false">
      <c r="A221" s="3" t="s">
        <v>340</v>
      </c>
      <c r="B221" s="45" t="n">
        <v>0.9</v>
      </c>
    </row>
    <row r="222" customFormat="false" ht="15" hidden="false" customHeight="false" outlineLevel="0" collapsed="false">
      <c r="A222" s="3" t="s">
        <v>341</v>
      </c>
      <c r="B222" s="45" t="n">
        <v>4</v>
      </c>
    </row>
    <row r="223" customFormat="false" ht="15" hidden="false" customHeight="false" outlineLevel="0" collapsed="false">
      <c r="A223" s="3" t="s">
        <v>342</v>
      </c>
      <c r="B223" s="45" t="n">
        <v>1</v>
      </c>
    </row>
    <row r="224" customFormat="false" ht="15" hidden="false" customHeight="false" outlineLevel="0" collapsed="false">
      <c r="A224" s="3" t="s">
        <v>343</v>
      </c>
      <c r="B224" s="45" t="n">
        <v>0</v>
      </c>
    </row>
    <row r="225" customFormat="false" ht="15" hidden="false" customHeight="false" outlineLevel="0" collapsed="false">
      <c r="A225" s="3" t="s">
        <v>344</v>
      </c>
      <c r="B225" s="45" t="n">
        <v>1</v>
      </c>
    </row>
    <row r="226" customFormat="false" ht="15" hidden="false" customHeight="false" outlineLevel="0" collapsed="false">
      <c r="A226" s="3" t="s">
        <v>345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346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347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203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205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224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225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349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80.8333333333333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80.8333333333333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80.8333333333333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80.8333333333333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350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351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352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-178.055915</v>
      </c>
      <c r="M238" s="33" t="n">
        <f aca="false">L238+IF(Source_Data!M$6=Inputs!$B$12,Inputs!$B$7,0)+M233-M236</f>
        <v>-220.807745</v>
      </c>
      <c r="N238" s="33" t="n">
        <f aca="false">M238+IF(Source_Data!N$6=Inputs!$B$12,Inputs!$B$7,0)+N233-N236</f>
        <v>-243.7330025</v>
      </c>
      <c r="O238" s="33" t="n">
        <f aca="false">N238+IF(Source_Data!O$6=Inputs!$B$12,Inputs!$B$7,0)+O233-O236</f>
        <v>-256.9764515</v>
      </c>
      <c r="P238" s="33" t="n">
        <f aca="false">O238+IF(Source_Data!P$6=Inputs!$B$12,Inputs!$B$7,0)+P233-P236</f>
        <v>-295.921262333333</v>
      </c>
      <c r="Q238" s="33" t="n">
        <f aca="false">P238+IF(Source_Data!Q$6=Inputs!$B$12,Inputs!$B$7,0)+Q233-Q236</f>
        <v>-329.568922916667</v>
      </c>
      <c r="R238" s="33" t="n">
        <f aca="false">Q238+IF(Source_Data!R$6=Inputs!$B$12,Inputs!$B$7,0)+R233-R236</f>
        <v>-478.98475275</v>
      </c>
      <c r="S238" s="33" t="n">
        <f aca="false">R238+IF(Source_Data!S$6=Inputs!$B$12,Inputs!$B$7,0)+S233-S236</f>
        <v>-608.627686083333</v>
      </c>
      <c r="T238" s="33" t="n">
        <f aca="false">S238+IF(Source_Data!T$6=Inputs!$B$12,Inputs!$B$7,0)+T233-T236</f>
        <v>-769.597734791667</v>
      </c>
      <c r="U238" s="33" t="n">
        <f aca="false">T238+IF(Source_Data!U$6=Inputs!$B$12,Inputs!$B$7,0)+U233-U236</f>
        <v>-867.354283875</v>
      </c>
      <c r="V238" s="33" t="n">
        <f aca="false">U238+IF(Source_Data!V$6=Inputs!$B$12,Inputs!$B$7,0)+V233-V236</f>
        <v>-825.763540458334</v>
      </c>
      <c r="W238" s="33" t="n">
        <f aca="false">V238+IF(Source_Data!W$6=Inputs!$B$12,Inputs!$B$7,0)+W233-W236</f>
        <v>-779.241314541667</v>
      </c>
      <c r="X238" s="33" t="n">
        <f aca="false">W238+IF(Source_Data!X$6=Inputs!$B$12,Inputs!$B$7,0)+X233-X236</f>
        <v>-731.770002625</v>
      </c>
      <c r="Y238" s="33" t="n">
        <f aca="false">X238+IF(Source_Data!Y$6=Inputs!$B$12,Inputs!$B$7,0)+Y233-Y236</f>
        <v>-175.584400708334</v>
      </c>
      <c r="Z238" s="33" t="n">
        <f aca="false">Y238+IF(Source_Data!Z$6=Inputs!$B$12,Inputs!$B$7,0)+Z233-Z236</f>
        <v>-148.422745291667</v>
      </c>
      <c r="AA238" s="33" t="n">
        <f aca="false">Z238+IF(Source_Data!AA$6=Inputs!$B$12,Inputs!$B$7,0)+AA233-AA236</f>
        <v>-122.891498375</v>
      </c>
      <c r="AB238" s="33" t="n">
        <f aca="false">AA238+IF(Source_Data!AB$6=Inputs!$B$12,Inputs!$B$7,0)+AB233-AB236</f>
        <v>-53.3399826875005</v>
      </c>
      <c r="AC238" s="33" t="n">
        <f aca="false">AB238+IF(Source_Data!AC$6=Inputs!$B$12,Inputs!$B$7,0)+AC233-AC236</f>
        <v>9.79808968749956</v>
      </c>
      <c r="AD238" s="33" t="n">
        <f aca="false">AC238+IF(Source_Data!AD$6=Inputs!$B$12,Inputs!$B$7,0)+AD233-AD236</f>
        <v>65.0021783124996</v>
      </c>
      <c r="AE238" s="33" t="n">
        <f aca="false">AD238+IF(Source_Data!AE$6=Inputs!$B$12,Inputs!$B$7,0)+AE233-AE236</f>
        <v>110.9438021875</v>
      </c>
      <c r="AF238" s="33" t="n">
        <f aca="false">AE238+IF(Source_Data!AF$6=Inputs!$B$12,Inputs!$B$7,0)+AF233-AF236</f>
        <v>3.92770561849028</v>
      </c>
      <c r="AG238" s="33" t="n">
        <f aca="false">AF238+IF(Source_Data!AG$6=Inputs!$B$12,Inputs!$B$7,0)+AG233-AG236</f>
        <v>39.654527171739</v>
      </c>
      <c r="AH238" s="33" t="n">
        <f aca="false">AG238+IF(Source_Data!AH$6=Inputs!$B$12,Inputs!$B$7,0)+AH233-AH236</f>
        <v>76.4517466598882</v>
      </c>
      <c r="AI238" s="33" t="n">
        <f aca="false">AH238+IF(Source_Data!AI$6=Inputs!$B$12,Inputs!$B$7,0)+AI233-AI236</f>
        <v>114.319364082938</v>
      </c>
      <c r="AJ238" s="33" t="n">
        <f aca="false">AI238+IF(Source_Data!AJ$6=Inputs!$B$12,Inputs!$B$7,0)+AJ233-AJ236</f>
        <v>147.508649550168</v>
      </c>
      <c r="AK238" s="33" t="n">
        <f aca="false">AJ238+IF(Source_Data!AK$6=Inputs!$B$12,Inputs!$B$7,0)+AK233-AK236</f>
        <v>175.293594027472</v>
      </c>
      <c r="AL238" s="33" t="n">
        <f aca="false">AK238+IF(Source_Data!AL$6=Inputs!$B$12,Inputs!$B$7,0)+AL233-AL236</f>
        <v>200.294115855461</v>
      </c>
      <c r="AM238" s="33" t="n">
        <f aca="false">AL238+IF(Source_Data!AM$6=Inputs!$B$12,Inputs!$B$7,0)+AM233-AM236</f>
        <v>224.474162549474</v>
      </c>
      <c r="AN238" s="33" t="n">
        <f aca="false">AM238+IF(Source_Data!AN$6=Inputs!$B$12,Inputs!$B$7,0)+AN233-AN236</f>
        <v>243.058486243487</v>
      </c>
      <c r="AO238" s="33" t="n">
        <f aca="false">AN238+IF(Source_Data!AO$6=Inputs!$B$12,Inputs!$B$7,0)+AO233-AO236</f>
        <v>258.4021214375</v>
      </c>
      <c r="AP238" s="33" t="n">
        <f aca="false">AO238+IF(Source_Data!AP$6=Inputs!$B$12,Inputs!$B$7,0)+AP233-AP236</f>
        <v>273.5253344375</v>
      </c>
      <c r="AQ238" s="33" t="n">
        <f aca="false">AP238+IF(Source_Data!AQ$6=Inputs!$B$12,Inputs!$B$7,0)+AQ233-AQ236</f>
        <v>280.0469684375</v>
      </c>
      <c r="AR238" s="33" t="n">
        <f aca="false">AQ238+IF(Source_Data!AR$6=Inputs!$B$12,Inputs!$B$7,0)+AR233-AR236</f>
        <v>286.5686024375</v>
      </c>
      <c r="AS238" s="33" t="n">
        <f aca="false">AR238+IF(Source_Data!AS$6=Inputs!$B$12,Inputs!$B$7,0)+AS233-AS236</f>
        <v>293.0902364375</v>
      </c>
      <c r="AT238" s="33" t="n">
        <f aca="false">AS238+IF(Source_Data!AT$6=Inputs!$B$12,Inputs!$B$7,0)+AT233-AT236</f>
        <v>293.0902364375</v>
      </c>
      <c r="AU238" s="33" t="n">
        <f aca="false">AT238+IF(Source_Data!AU$6=Inputs!$B$12,Inputs!$B$7,0)+AU233-AU236</f>
        <v>293.0902364375</v>
      </c>
      <c r="AV238" s="33" t="n">
        <f aca="false">AU238+IF(Source_Data!AV$6=Inputs!$B$12,Inputs!$B$7,0)+AV233-AV236</f>
        <v>293.0902364375</v>
      </c>
      <c r="AW238" s="33" t="n">
        <f aca="false">AV238+IF(Source_Data!AW$6=Inputs!$B$12,Inputs!$B$7,0)+AW233-AW236</f>
        <v>293.0902364375</v>
      </c>
      <c r="AX238" s="33" t="n">
        <f aca="false">AW238+IF(Source_Data!AX$6=Inputs!$B$12,Inputs!$B$7,0)+AX233-AX236</f>
        <v>293.0902364375</v>
      </c>
      <c r="AY238" s="33" t="n">
        <f aca="false">AX238+IF(Source_Data!AY$6=Inputs!$B$12,Inputs!$B$7,0)+AY233-AY236</f>
        <v>293.0902364375</v>
      </c>
      <c r="AZ238" s="33" t="n">
        <f aca="false">AY238+IF(Source_Data!AZ$6=Inputs!$B$12,Inputs!$B$7,0)+AZ233-AZ236</f>
        <v>293.0902364375</v>
      </c>
      <c r="BA238" s="33" t="n">
        <f aca="false">AZ238+IF(Source_Data!BA$6=Inputs!$B$12,Inputs!$B$7,0)+BA233-BA236</f>
        <v>293.0902364375</v>
      </c>
      <c r="BB238" s="33" t="n">
        <f aca="false">BA238+IF(Source_Data!BB$6=Inputs!$B$12,Inputs!$B$7,0)+BB233-BB236</f>
        <v>293.0902364375</v>
      </c>
      <c r="BC238" s="33" t="n">
        <f aca="false">BB238+IF(Source_Data!BC$6=Inputs!$B$12,Inputs!$B$7,0)+BC233-BC236</f>
        <v>293.0902364375</v>
      </c>
      <c r="BD238" s="33" t="n">
        <f aca="false">BC238+IF(Source_Data!BD$6=Inputs!$B$12,Inputs!$B$7,0)+BD233-BD236</f>
        <v>293.0902364375</v>
      </c>
      <c r="BE238" s="33" t="n">
        <f aca="false">BD238+IF(Source_Data!BE$6=Inputs!$B$12,Inputs!$B$7,0)+BE233-BE236</f>
        <v>293.0902364375</v>
      </c>
      <c r="BF238" s="33" t="n">
        <f aca="false">BE238+IF(Source_Data!BF$6=Inputs!$B$12,Inputs!$B$7,0)+BF233-BF236</f>
        <v>293.0902364375</v>
      </c>
      <c r="BG238" s="33" t="n">
        <f aca="false">BF238+IF(Source_Data!BG$6=Inputs!$B$12,Inputs!$B$7,0)+BG233-BG236</f>
        <v>293.0902364375</v>
      </c>
      <c r="BH238" s="33" t="n">
        <f aca="false">BG238+IF(Source_Data!BH$6=Inputs!$B$12,Inputs!$B$7,0)+BH233-BH236</f>
        <v>293.0902364375</v>
      </c>
      <c r="BI238" s="33" t="n">
        <f aca="false">BH238+IF(Source_Data!BI$6=Inputs!$B$12,Inputs!$B$7,0)+BI233-BI236</f>
        <v>293.0902364375</v>
      </c>
      <c r="BJ238" s="33" t="n">
        <f aca="false">BI238+IF(Source_Data!BJ$6=Inputs!$B$12,Inputs!$B$7,0)+BJ233-BJ236</f>
        <v>293.0902364375</v>
      </c>
      <c r="BK238" s="33" t="n">
        <f aca="false">BJ238+IF(Source_Data!BK$6=Inputs!$B$12,Inputs!$B$7,0)+BK233-BK236</f>
        <v>293.0902364375</v>
      </c>
    </row>
    <row r="239" customFormat="false" ht="15" hidden="false" customHeight="false" outlineLevel="0" collapsed="false">
      <c r="A239" s="3" t="s">
        <v>353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-0.625522539130435</v>
      </c>
      <c r="Q239" s="31" t="n">
        <f aca="false">IF(Q236&gt;0,Q233/Q236,"")</f>
        <v>-0.404424093913043</v>
      </c>
      <c r="R239" s="31" t="n">
        <f aca="false">IF(R236&gt;0,R233/R236,"")</f>
        <v>-5.23648681043478</v>
      </c>
      <c r="S239" s="31" t="n">
        <f aca="false">IF(S236&gt;0,S233/S236,"")</f>
        <v>-4.41118330434783</v>
      </c>
      <c r="T239" s="31" t="n">
        <f aca="false">IF(T236&gt;0,T233/T236,"")</f>
        <v>-5.71874985913044</v>
      </c>
      <c r="U239" s="31" t="n">
        <f aca="false">IF(U236&gt;0,U233/U236,"")</f>
        <v>-3.08027335304348</v>
      </c>
      <c r="V239" s="31" t="n">
        <f aca="false">IF(V236&gt;0,V233/V236,"")</f>
        <v>2.73596146434782</v>
      </c>
      <c r="W239" s="31" t="n">
        <f aca="false">IF(W236&gt;0,W233/W236,"")</f>
        <v>2.94179725565217</v>
      </c>
      <c r="X239" s="31" t="n">
        <f aca="false">IF(X236&gt;0,X233/X236,"")</f>
        <v>2.98141128</v>
      </c>
      <c r="Y239" s="31" t="n">
        <f aca="false">IF(Y236&gt;0,Y233/Y236,"")</f>
        <v>24.2147033843478</v>
      </c>
      <c r="Z239" s="31" t="n">
        <f aca="false">IF(Z236&gt;0,Z233/Z236,"")</f>
        <v>2.13370387826087</v>
      </c>
      <c r="AA239" s="31" t="n">
        <f aca="false">IF(AA236&gt;0,AA233/AA236,"")</f>
        <v>2.06565204521739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354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-11.3514961669565</v>
      </c>
      <c r="Q240" s="31" t="n">
        <f aca="false">IF(Q236&gt;0,(P238+Q233+IF(Source_Data!Q$6=Inputs!$B$12,Inputs!$B$7,0))/Q236,"")</f>
        <v>-12.7559202608696</v>
      </c>
      <c r="R240" s="31" t="n">
        <f aca="false">IF(R236&gt;0,(Q238+R233+IF(Source_Data!R$6=Inputs!$B$12,Inputs!$B$7,0))/R236,"")</f>
        <v>-18.9924070713044</v>
      </c>
      <c r="S240" s="31" t="n">
        <f aca="false">IF(S236&gt;0,(R238+S233+IF(Source_Data!S$6=Inputs!$B$12,Inputs!$B$7,0))/S236,"")</f>
        <v>-24.4035903756522</v>
      </c>
      <c r="T240" s="31" t="n">
        <f aca="false">IF(T236&gt;0,(S238+T233+IF(Source_Data!T$6=Inputs!$B$12,Inputs!$B$7,0))/T236,"")</f>
        <v>-31.1223402347826</v>
      </c>
      <c r="U240" s="31" t="n">
        <f aca="false">IF(U236&gt;0,(T238+U233+IF(Source_Data!U$6=Inputs!$B$12,Inputs!$B$7,0))/U236,"")</f>
        <v>-35.2026135878261</v>
      </c>
      <c r="V240" s="31" t="n">
        <f aca="false">IF(V236&gt;0,(U238+V233+IF(Source_Data!V$6=Inputs!$B$12,Inputs!$B$7,0))/V236,"")</f>
        <v>-33.4666521234783</v>
      </c>
      <c r="W240" s="31" t="n">
        <f aca="false">IF(W236&gt;0,(V238+W233+IF(Source_Data!W$6=Inputs!$B$12,Inputs!$B$7,0))/W236,"")</f>
        <v>-31.5248548678261</v>
      </c>
      <c r="X240" s="31" t="n">
        <f aca="false">IF(X236&gt;0,(W238+X233+IF(Source_Data!X$6=Inputs!$B$12,Inputs!$B$7,0))/X236,"")</f>
        <v>-29.5434435878261</v>
      </c>
      <c r="Y240" s="31" t="n">
        <f aca="false">IF(Y236&gt;0,(X238+Y233+IF(Source_Data!Y$6=Inputs!$B$12,Inputs!$B$7,0))/Y236,"")</f>
        <v>-6.32874020347828</v>
      </c>
      <c r="Z240" s="31" t="n">
        <f aca="false">IF(Z236&gt;0,(Y238+Z233+IF(Source_Data!Z$6=Inputs!$B$12,Inputs!$B$7,0))/Z236,"")</f>
        <v>-5.19503632521741</v>
      </c>
      <c r="AA240" s="31" t="n">
        <f aca="false">IF(AA236&gt;0,(Z238+AA233+IF(Source_Data!AA$6=Inputs!$B$12,Inputs!$B$7,0))/AA236,"")</f>
        <v>-4.12938428000002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355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171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356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357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358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359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360</v>
      </c>
      <c r="B249" s="41" t="n">
        <f aca="false">MIN(D238:BK238)</f>
        <v>-867.354283875</v>
      </c>
    </row>
    <row r="250" customFormat="false" ht="15" hidden="false" customHeight="false" outlineLevel="0" collapsed="false">
      <c r="A250" s="2" t="s">
        <v>361</v>
      </c>
      <c r="B250" s="43" t="n">
        <f aca="false">MIN(D239:BK239)</f>
        <v>-5.71874985913044</v>
      </c>
    </row>
    <row r="251" customFormat="false" ht="15" hidden="false" customHeight="false" outlineLevel="0" collapsed="false">
      <c r="A251" s="2" t="s">
        <v>362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363</v>
      </c>
      <c r="B252" s="43" t="n">
        <f aca="false">MIN(D240:BK240)</f>
        <v>-35.2026135878261</v>
      </c>
    </row>
    <row r="253" customFormat="false" ht="15" hidden="false" customHeight="false" outlineLevel="0" collapsed="false">
      <c r="A253" s="2" t="s">
        <v>364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365</v>
      </c>
    </row>
    <row r="2" customFormat="false" ht="15" hidden="false" customHeight="false" outlineLevel="0" collapsed="false">
      <c r="A2" s="6" t="s">
        <v>366</v>
      </c>
    </row>
    <row r="4" customFormat="false" ht="15" hidden="false" customHeight="false" outlineLevel="0" collapsed="false">
      <c r="A4" s="8" t="s">
        <v>367</v>
      </c>
    </row>
    <row r="5" customFormat="false" ht="15" hidden="false" customHeight="false" outlineLevel="0" collapsed="false">
      <c r="A5" s="3" t="s">
        <v>340</v>
      </c>
      <c r="B5" s="45" t="n">
        <v>0.8</v>
      </c>
    </row>
    <row r="6" customFormat="false" ht="15" hidden="false" customHeight="false" outlineLevel="0" collapsed="false">
      <c r="A6" s="3" t="s">
        <v>341</v>
      </c>
      <c r="B6" s="45" t="n">
        <v>0</v>
      </c>
    </row>
    <row r="7" customFormat="false" ht="15" hidden="false" customHeight="false" outlineLevel="0" collapsed="false">
      <c r="A7" s="3" t="s">
        <v>342</v>
      </c>
      <c r="B7" s="45" t="n">
        <v>1</v>
      </c>
    </row>
    <row r="8" customFormat="false" ht="15" hidden="false" customHeight="false" outlineLevel="0" collapsed="false">
      <c r="A8" s="3" t="s">
        <v>343</v>
      </c>
      <c r="B8" s="45" t="n">
        <v>0</v>
      </c>
    </row>
    <row r="9" customFormat="false" ht="15" hidden="false" customHeight="false" outlineLevel="0" collapsed="false">
      <c r="A9" s="3" t="s">
        <v>344</v>
      </c>
      <c r="B9" s="45" t="n">
        <v>0</v>
      </c>
    </row>
    <row r="10" customFormat="false" ht="15" hidden="false" customHeight="false" outlineLevel="0" collapsed="false">
      <c r="A10" s="3" t="s">
        <v>345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346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347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348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203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205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224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225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226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349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-125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350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23.9583333333333</v>
      </c>
      <c r="Q20" s="33" t="n">
        <f aca="false">IF(AND(Source_Data!Q$6&gt;=Inputs!$B$54,Source_Data!Q$6&lt;Inputs!$B$54+3*Inputs!$B$11),Inputs!$B$9*Inputs!$B$7/Inputs!$B$11,0)</f>
        <v>23.9583333333333</v>
      </c>
      <c r="R20" s="33" t="n">
        <f aca="false">IF(AND(Source_Data!R$6&gt;=Inputs!$B$54,Source_Data!R$6&lt;Inputs!$B$54+3*Inputs!$B$11),Inputs!$B$9*Inputs!$B$7/Inputs!$B$11,0)</f>
        <v>23.9583333333333</v>
      </c>
      <c r="S20" s="33" t="n">
        <f aca="false">IF(AND(Source_Data!S$6&gt;=Inputs!$B$54,Source_Data!S$6&lt;Inputs!$B$54+3*Inputs!$B$11),Inputs!$B$9*Inputs!$B$7/Inputs!$B$11,0)</f>
        <v>23.9583333333333</v>
      </c>
      <c r="T20" s="33" t="n">
        <f aca="false">IF(AND(Source_Data!T$6&gt;=Inputs!$B$54,Source_Data!T$6&lt;Inputs!$B$54+3*Inputs!$B$11),Inputs!$B$9*Inputs!$B$7/Inputs!$B$11,0)</f>
        <v>23.9583333333333</v>
      </c>
      <c r="U20" s="33" t="n">
        <f aca="false">IF(AND(Source_Data!U$6&gt;=Inputs!$B$54,Source_Data!U$6&lt;Inputs!$B$54+3*Inputs!$B$11),Inputs!$B$9*Inputs!$B$7/Inputs!$B$11,0)</f>
        <v>23.9583333333333</v>
      </c>
      <c r="V20" s="33" t="n">
        <f aca="false">IF(AND(Source_Data!V$6&gt;=Inputs!$B$54,Source_Data!V$6&lt;Inputs!$B$54+3*Inputs!$B$11),Inputs!$B$9*Inputs!$B$7/Inputs!$B$11,0)</f>
        <v>23.9583333333333</v>
      </c>
      <c r="W20" s="33" t="n">
        <f aca="false">IF(AND(Source_Data!W$6&gt;=Inputs!$B$54,Source_Data!W$6&lt;Inputs!$B$54+3*Inputs!$B$11),Inputs!$B$9*Inputs!$B$7/Inputs!$B$11,0)</f>
        <v>23.9583333333333</v>
      </c>
      <c r="X20" s="33" t="n">
        <f aca="false">IF(AND(Source_Data!X$6&gt;=Inputs!$B$54,Source_Data!X$6&lt;Inputs!$B$54+3*Inputs!$B$11),Inputs!$B$9*Inputs!$B$7/Inputs!$B$11,0)</f>
        <v>23.9583333333333</v>
      </c>
      <c r="Y20" s="33" t="n">
        <f aca="false">IF(AND(Source_Data!Y$6&gt;=Inputs!$B$54,Source_Data!Y$6&lt;Inputs!$B$54+3*Inputs!$B$11),Inputs!$B$9*Inputs!$B$7/Inputs!$B$11,0)</f>
        <v>23.9583333333333</v>
      </c>
      <c r="Z20" s="33" t="n">
        <f aca="false">IF(AND(Source_Data!Z$6&gt;=Inputs!$B$54,Source_Data!Z$6&lt;Inputs!$B$54+3*Inputs!$B$11),Inputs!$B$9*Inputs!$B$7/Inputs!$B$11,0)</f>
        <v>23.9583333333333</v>
      </c>
      <c r="AA20" s="33" t="n">
        <f aca="false">IF(AND(Source_Data!AA$6&gt;=Inputs!$B$54,Source_Data!AA$6&lt;Inputs!$B$54+3*Inputs!$B$11),Inputs!$B$9*Inputs!$B$7/Inputs!$B$11,0)</f>
        <v>23.9583333333333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351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-125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23.9583333333333</v>
      </c>
      <c r="Q21" s="33" t="n">
        <f aca="false">IF(Source_Data!Q$6=Inputs!$B$12,-Inputs!$B$7,0)+Q20</f>
        <v>23.9583333333333</v>
      </c>
      <c r="R21" s="33" t="n">
        <f aca="false">IF(Source_Data!R$6=Inputs!$B$12,-Inputs!$B$7,0)+R20</f>
        <v>23.9583333333333</v>
      </c>
      <c r="S21" s="33" t="n">
        <f aca="false">IF(Source_Data!S$6=Inputs!$B$12,-Inputs!$B$7,0)+S20</f>
        <v>23.9583333333333</v>
      </c>
      <c r="T21" s="33" t="n">
        <f aca="false">IF(Source_Data!T$6=Inputs!$B$12,-Inputs!$B$7,0)+T20</f>
        <v>23.9583333333333</v>
      </c>
      <c r="U21" s="33" t="n">
        <f aca="false">IF(Source_Data!U$6=Inputs!$B$12,-Inputs!$B$7,0)+U20</f>
        <v>23.9583333333333</v>
      </c>
      <c r="V21" s="33" t="n">
        <f aca="false">IF(Source_Data!V$6=Inputs!$B$12,-Inputs!$B$7,0)+V20</f>
        <v>23.9583333333333</v>
      </c>
      <c r="W21" s="33" t="n">
        <f aca="false">IF(Source_Data!W$6=Inputs!$B$12,-Inputs!$B$7,0)+W20</f>
        <v>23.9583333333333</v>
      </c>
      <c r="X21" s="33" t="n">
        <f aca="false">IF(Source_Data!X$6=Inputs!$B$12,-Inputs!$B$7,0)+X20</f>
        <v>23.9583333333333</v>
      </c>
      <c r="Y21" s="33" t="n">
        <f aca="false">IF(Source_Data!Y$6=Inputs!$B$12,-Inputs!$B$7,0)+Y20</f>
        <v>23.9583333333333</v>
      </c>
      <c r="Z21" s="33" t="n">
        <f aca="false">IF(Source_Data!Z$6=Inputs!$B$12,-Inputs!$B$7,0)+Z20</f>
        <v>23.9583333333333</v>
      </c>
      <c r="AA21" s="33" t="n">
        <f aca="false">IF(Source_Data!AA$6=Inputs!$B$12,-Inputs!$B$7,0)+AA20</f>
        <v>23.9583333333333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352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40</v>
      </c>
      <c r="H22" s="33" t="n">
        <f aca="false">G22+IF(Source_Data!H$6=Inputs!$B$12,Inputs!$B$7,0)+H17-H20</f>
        <v>31.99252</v>
      </c>
      <c r="I22" s="33" t="n">
        <f aca="false">H22+IF(Source_Data!I$6=Inputs!$B$12,Inputs!$B$7,0)+I17-I20</f>
        <v>38.47756</v>
      </c>
      <c r="J22" s="33" t="n">
        <f aca="false">I22+IF(Source_Data!J$6=Inputs!$B$12,Inputs!$B$7,0)+J17-J20</f>
        <v>39.58622</v>
      </c>
      <c r="K22" s="33" t="n">
        <f aca="false">J22+IF(Source_Data!K$6=Inputs!$B$12,Inputs!$B$7,0)+K17-K20</f>
        <v>41.940932</v>
      </c>
      <c r="L22" s="33" t="n">
        <f aca="false">K22+IF(Source_Data!L$6=Inputs!$B$12,Inputs!$B$7,0)+L17-L20</f>
        <v>-6.98304800000001</v>
      </c>
      <c r="M22" s="33" t="n">
        <f aca="false">L22+IF(Source_Data!M$6=Inputs!$B$12,Inputs!$B$7,0)+M17-M20</f>
        <v>-35.55845</v>
      </c>
      <c r="N22" s="33" t="n">
        <f aca="false">M22+IF(Source_Data!N$6=Inputs!$B$12,Inputs!$B$7,0)+N17-N20</f>
        <v>-49.769558</v>
      </c>
      <c r="O22" s="33" t="n">
        <f aca="false">N22+IF(Source_Data!O$6=Inputs!$B$12,Inputs!$B$7,0)+O17-O20</f>
        <v>-46.404758</v>
      </c>
      <c r="P22" s="33" t="n">
        <f aca="false">O22+IF(Source_Data!P$6=Inputs!$B$12,Inputs!$B$7,0)+P17-P20</f>
        <v>-46.8288383333333</v>
      </c>
      <c r="Q22" s="33" t="n">
        <f aca="false">P22+IF(Source_Data!Q$6=Inputs!$B$12,Inputs!$B$7,0)+Q17-Q20</f>
        <v>-39.1075856666667</v>
      </c>
      <c r="R22" s="33" t="n">
        <f aca="false">Q22+IF(Source_Data!R$6=Inputs!$B$12,Inputs!$B$7,0)+R17-R20</f>
        <v>283.120887</v>
      </c>
      <c r="S22" s="33" t="n">
        <f aca="false">R22+IF(Source_Data!S$6=Inputs!$B$12,Inputs!$B$7,0)+S17-S20</f>
        <v>196.189139666667</v>
      </c>
      <c r="T22" s="33" t="n">
        <f aca="false">S22+IF(Source_Data!T$6=Inputs!$B$12,Inputs!$B$7,0)+T17-T20</f>
        <v>22.1238243333331</v>
      </c>
      <c r="U22" s="33" t="n">
        <f aca="false">T22+IF(Source_Data!U$6=Inputs!$B$12,Inputs!$B$7,0)+U17-U20</f>
        <v>-116.499171</v>
      </c>
      <c r="V22" s="33" t="n">
        <f aca="false">U22+IF(Source_Data!V$6=Inputs!$B$12,Inputs!$B$7,0)+V17-V20</f>
        <v>-120.017514333334</v>
      </c>
      <c r="W22" s="33" t="n">
        <f aca="false">V22+IF(Source_Data!W$6=Inputs!$B$12,Inputs!$B$7,0)+W17-W20</f>
        <v>-124.985109666667</v>
      </c>
      <c r="X22" s="33" t="n">
        <f aca="false">W22+IF(Source_Data!X$6=Inputs!$B$12,Inputs!$B$7,0)+X17-X20</f>
        <v>-109.6198735</v>
      </c>
      <c r="Y22" s="33" t="n">
        <f aca="false">X22+IF(Source_Data!Y$6=Inputs!$B$12,Inputs!$B$7,0)+Y17-Y20</f>
        <v>-99.9554758333336</v>
      </c>
      <c r="Z22" s="33" t="n">
        <f aca="false">Y22+IF(Source_Data!Z$6=Inputs!$B$12,Inputs!$B$7,0)+Z17-Z20</f>
        <v>-97.3435081666669</v>
      </c>
      <c r="AA22" s="33" t="n">
        <f aca="false">Z22+IF(Source_Data!AA$6=Inputs!$B$12,Inputs!$B$7,0)+AA17-AA20</f>
        <v>-102.9648425</v>
      </c>
      <c r="AB22" s="33" t="n">
        <f aca="false">AA22+IF(Source_Data!AB$6=Inputs!$B$12,Inputs!$B$7,0)+AB17-AB20</f>
        <v>-62.1278435000003</v>
      </c>
      <c r="AC22" s="33" t="n">
        <f aca="false">AB22+IF(Source_Data!AC$6=Inputs!$B$12,Inputs!$B$7,0)+AC17-AC20</f>
        <v>-21.2908445000003</v>
      </c>
      <c r="AD22" s="33" t="n">
        <f aca="false">AC22+IF(Source_Data!AD$6=Inputs!$B$12,Inputs!$B$7,0)+AD17-AD20</f>
        <v>19.5461544999997</v>
      </c>
      <c r="AE22" s="33" t="n">
        <f aca="false">AD22+IF(Source_Data!AE$6=Inputs!$B$12,Inputs!$B$7,0)+AE17-AE20</f>
        <v>60.3831534999997</v>
      </c>
      <c r="AF22" s="33" t="n">
        <f aca="false">AE22+IF(Source_Data!AF$6=Inputs!$B$12,Inputs!$B$7,0)+AF17-AF20</f>
        <v>30.804430674481</v>
      </c>
      <c r="AG22" s="33" t="n">
        <f aca="false">AF22+IF(Source_Data!AG$6=Inputs!$B$12,Inputs!$B$7,0)+AG17-AG20</f>
        <v>55.9352664372285</v>
      </c>
      <c r="AH22" s="33" t="n">
        <f aca="false">AG22+IF(Source_Data!AH$6=Inputs!$B$12,Inputs!$B$7,0)+AH17-AH20</f>
        <v>78.432669476027</v>
      </c>
      <c r="AI22" s="33" t="n">
        <f aca="false">AH22+IF(Source_Data!AI$6=Inputs!$B$12,Inputs!$B$7,0)+AI17-AI20</f>
        <v>98.2966397908766</v>
      </c>
      <c r="AJ22" s="33" t="n">
        <f aca="false">AI22+IF(Source_Data!AJ$6=Inputs!$B$12,Inputs!$B$7,0)+AJ17-AJ20</f>
        <v>113.916585194087</v>
      </c>
      <c r="AK22" s="33" t="n">
        <f aca="false">AJ22+IF(Source_Data!AK$6=Inputs!$B$12,Inputs!$B$7,0)+AK17-AK20</f>
        <v>127.078660054945</v>
      </c>
      <c r="AL22" s="33" t="n">
        <f aca="false">AK22+IF(Source_Data!AL$6=Inputs!$B$12,Inputs!$B$7,0)+AL17-AL20</f>
        <v>138.548722585922</v>
      </c>
      <c r="AM22" s="33" t="n">
        <f aca="false">AL22+IF(Source_Data!AM$6=Inputs!$B$12,Inputs!$B$7,0)+AM17-AM20</f>
        <v>143.494996223948</v>
      </c>
      <c r="AN22" s="33" t="n">
        <f aca="false">AM22+IF(Source_Data!AN$6=Inputs!$B$12,Inputs!$B$7,0)+AN17-AN20</f>
        <v>148.441269861974</v>
      </c>
      <c r="AO22" s="33" t="n">
        <f aca="false">AN22+IF(Source_Data!AO$6=Inputs!$B$12,Inputs!$B$7,0)+AO17-AO20</f>
        <v>153.3875435</v>
      </c>
      <c r="AP22" s="33" t="n">
        <f aca="false">AO22+IF(Source_Data!AP$6=Inputs!$B$12,Inputs!$B$7,0)+AP17-AP20</f>
        <v>153.3875435</v>
      </c>
      <c r="AQ22" s="33" t="n">
        <f aca="false">AP22+IF(Source_Data!AQ$6=Inputs!$B$12,Inputs!$B$7,0)+AQ17-AQ20</f>
        <v>153.3875435</v>
      </c>
      <c r="AR22" s="33" t="n">
        <f aca="false">AQ22+IF(Source_Data!AR$6=Inputs!$B$12,Inputs!$B$7,0)+AR17-AR20</f>
        <v>153.3875435</v>
      </c>
      <c r="AS22" s="33" t="n">
        <f aca="false">AR22+IF(Source_Data!AS$6=Inputs!$B$12,Inputs!$B$7,0)+AS17-AS20</f>
        <v>153.3875435</v>
      </c>
      <c r="AT22" s="33" t="n">
        <f aca="false">AS22+IF(Source_Data!AT$6=Inputs!$B$12,Inputs!$B$7,0)+AT17-AT20</f>
        <v>153.3875435</v>
      </c>
      <c r="AU22" s="33" t="n">
        <f aca="false">AT22+IF(Source_Data!AU$6=Inputs!$B$12,Inputs!$B$7,0)+AU17-AU20</f>
        <v>153.3875435</v>
      </c>
      <c r="AV22" s="33" t="n">
        <f aca="false">AU22+IF(Source_Data!AV$6=Inputs!$B$12,Inputs!$B$7,0)+AV17-AV20</f>
        <v>153.3875435</v>
      </c>
      <c r="AW22" s="33" t="n">
        <f aca="false">AV22+IF(Source_Data!AW$6=Inputs!$B$12,Inputs!$B$7,0)+AW17-AW20</f>
        <v>153.3875435</v>
      </c>
      <c r="AX22" s="33" t="n">
        <f aca="false">AW22+IF(Source_Data!AX$6=Inputs!$B$12,Inputs!$B$7,0)+AX17-AX20</f>
        <v>153.3875435</v>
      </c>
      <c r="AY22" s="33" t="n">
        <f aca="false">AX22+IF(Source_Data!AY$6=Inputs!$B$12,Inputs!$B$7,0)+AY17-AY20</f>
        <v>153.3875435</v>
      </c>
      <c r="AZ22" s="33" t="n">
        <f aca="false">AY22+IF(Source_Data!AZ$6=Inputs!$B$12,Inputs!$B$7,0)+AZ17-AZ20</f>
        <v>153.3875435</v>
      </c>
      <c r="BA22" s="33" t="n">
        <f aca="false">AZ22+IF(Source_Data!BA$6=Inputs!$B$12,Inputs!$B$7,0)+BA17-BA20</f>
        <v>153.3875435</v>
      </c>
      <c r="BB22" s="33" t="n">
        <f aca="false">BA22+IF(Source_Data!BB$6=Inputs!$B$12,Inputs!$B$7,0)+BB17-BB20</f>
        <v>153.3875435</v>
      </c>
      <c r="BC22" s="33" t="n">
        <f aca="false">BB22+IF(Source_Data!BC$6=Inputs!$B$12,Inputs!$B$7,0)+BC17-BC20</f>
        <v>153.3875435</v>
      </c>
      <c r="BD22" s="33" t="n">
        <f aca="false">BC22+IF(Source_Data!BD$6=Inputs!$B$12,Inputs!$B$7,0)+BD17-BD20</f>
        <v>153.3875435</v>
      </c>
      <c r="BE22" s="33" t="n">
        <f aca="false">BD22+IF(Source_Data!BE$6=Inputs!$B$12,Inputs!$B$7,0)+BE17-BE20</f>
        <v>153.3875435</v>
      </c>
      <c r="BF22" s="33" t="n">
        <f aca="false">BE22+IF(Source_Data!BF$6=Inputs!$B$12,Inputs!$B$7,0)+BF17-BF20</f>
        <v>153.3875435</v>
      </c>
      <c r="BG22" s="33" t="n">
        <f aca="false">BF22+IF(Source_Data!BG$6=Inputs!$B$12,Inputs!$B$7,0)+BG17-BG20</f>
        <v>153.3875435</v>
      </c>
      <c r="BH22" s="33" t="n">
        <f aca="false">BG22+IF(Source_Data!BH$6=Inputs!$B$12,Inputs!$B$7,0)+BH17-BH20</f>
        <v>153.3875435</v>
      </c>
      <c r="BI22" s="33" t="n">
        <f aca="false">BH22+IF(Source_Data!BI$6=Inputs!$B$12,Inputs!$B$7,0)+BI17-BI20</f>
        <v>153.3875435</v>
      </c>
      <c r="BJ22" s="33" t="n">
        <f aca="false">BI22+IF(Source_Data!BJ$6=Inputs!$B$12,Inputs!$B$7,0)+BJ17-BJ20</f>
        <v>153.3875435</v>
      </c>
      <c r="BK22" s="33" t="n">
        <f aca="false">BJ22+IF(Source_Data!BK$6=Inputs!$B$12,Inputs!$B$7,0)+BK17-BK20</f>
        <v>153.3875435</v>
      </c>
    </row>
    <row r="23" customFormat="false" ht="15" hidden="false" customHeight="false" outlineLevel="0" collapsed="false">
      <c r="A23" s="3" t="s">
        <v>353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0.982299255652174</v>
      </c>
      <c r="Q23" s="31" t="n">
        <f aca="false">IF(Q20&gt;0,Q17/Q20,"")</f>
        <v>1.32227837217391</v>
      </c>
      <c r="R23" s="31" t="n">
        <f aca="false">IF(R20&gt;0,R17/R20,"")</f>
        <v>14.4495362504348</v>
      </c>
      <c r="S23" s="31" t="n">
        <f aca="false">IF(S20&gt;0,S17/S20,"")</f>
        <v>-2.62845554086957</v>
      </c>
      <c r="T23" s="31" t="n">
        <f aca="false">IF(T20&gt;0,T17/T20,"")</f>
        <v>-6.26533490086957</v>
      </c>
      <c r="U23" s="31" t="n">
        <f aca="false">IF(U20&gt;0,U17/U20,"")</f>
        <v>-4.78600328347826</v>
      </c>
      <c r="V23" s="31" t="n">
        <f aca="false">IF(V20&gt;0,V17/V20,"")</f>
        <v>0.853147408695651</v>
      </c>
      <c r="W23" s="31" t="n">
        <f aca="false">IF(W20&gt;0,W17/W20,"")</f>
        <v>0.792656890434781</v>
      </c>
      <c r="X23" s="31" t="n">
        <f aca="false">IF(X20&gt;0,X17/X20,"")</f>
        <v>1.64133159652174</v>
      </c>
      <c r="Y23" s="31" t="n">
        <f aca="false">IF(Y20&gt;0,Y17/Y20,"")</f>
        <v>1.40338355478261</v>
      </c>
      <c r="Z23" s="31" t="n">
        <f aca="false">IF(Z20&gt;0,Z17/Z20,"")</f>
        <v>1.10902125913043</v>
      </c>
      <c r="AA23" s="31" t="n">
        <f aca="false">IF(AA20&gt;0,AA17/AA20,"")</f>
        <v>0.765370393043478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354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-0.954594991304347</v>
      </c>
      <c r="Q24" s="31" t="n">
        <f aca="false">IF(Q20&gt;0,(P22+Q17+IF(Source_Data!Q$6=Inputs!$B$12,Inputs!$B$7,0))/Q20,"")</f>
        <v>-0.632316619130434</v>
      </c>
      <c r="R24" s="31" t="n">
        <f aca="false">IF(R20&gt;0,(Q22+R17+IF(Source_Data!R$6=Inputs!$B$12,Inputs!$B$7,0))/R20,"")</f>
        <v>12.8172196313043</v>
      </c>
      <c r="S24" s="31" t="n">
        <f aca="false">IF(S20&gt;0,(R22+S17+IF(Source_Data!S$6=Inputs!$B$12,Inputs!$B$7,0))/S20,"")</f>
        <v>9.18876409043478</v>
      </c>
      <c r="T24" s="31" t="n">
        <f aca="false">IF(T20&gt;0,(S22+T17+IF(Source_Data!T$6=Inputs!$B$12,Inputs!$B$7,0))/T20,"")</f>
        <v>1.92342918956521</v>
      </c>
      <c r="U24" s="31" t="n">
        <f aca="false">IF(U20&gt;0,(T22+U17+IF(Source_Data!U$6=Inputs!$B$12,Inputs!$B$7,0))/U20,"")</f>
        <v>-3.86257409391305</v>
      </c>
      <c r="V24" s="31" t="n">
        <f aca="false">IF(V20&gt;0,(U22+V17+IF(Source_Data!V$6=Inputs!$B$12,Inputs!$B$7,0))/V20,"")</f>
        <v>-4.0094266852174</v>
      </c>
      <c r="W24" s="31" t="n">
        <f aca="false">IF(W20&gt;0,(V22+W17+IF(Source_Data!W$6=Inputs!$B$12,Inputs!$B$7,0))/W20,"")</f>
        <v>-4.21676979478262</v>
      </c>
      <c r="X24" s="31" t="n">
        <f aca="false">IF(X20&gt;0,(W22+X17+IF(Source_Data!X$6=Inputs!$B$12,Inputs!$B$7,0))/X20,"")</f>
        <v>-3.57543819826088</v>
      </c>
      <c r="Y24" s="31" t="n">
        <f aca="false">IF(Y20&gt;0,(X22+Y17+IF(Source_Data!Y$6=Inputs!$B$12,Inputs!$B$7,0))/Y20,"")</f>
        <v>-3.17205464347827</v>
      </c>
      <c r="Z24" s="31" t="n">
        <f aca="false">IF(Z20&gt;0,(Y22+Z17+IF(Source_Data!Z$6=Inputs!$B$12,Inputs!$B$7,0))/Z20,"")</f>
        <v>-3.06303338434784</v>
      </c>
      <c r="AA24" s="31" t="n">
        <f aca="false">IF(AA20&gt;0,(Z22+AA17+IF(Source_Data!AA$6=Inputs!$B$12,Inputs!$B$7,0))/AA20,"")</f>
        <v>-3.29766299130436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355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171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356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357</v>
      </c>
      <c r="B30" s="39" t="n">
        <f aca="false">(1+IRR(D19:BK19,0.05))^4-1</f>
        <v>0.224125122520929</v>
      </c>
    </row>
    <row r="31" customFormat="false" ht="15" hidden="false" customHeight="false" outlineLevel="0" collapsed="false">
      <c r="A31" s="2" t="s">
        <v>358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359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360</v>
      </c>
      <c r="B33" s="41" t="n">
        <f aca="false">MIN(D22:BK22)</f>
        <v>-124.985109666667</v>
      </c>
    </row>
    <row r="34" customFormat="false" ht="15" hidden="false" customHeight="false" outlineLevel="0" collapsed="false">
      <c r="A34" s="2" t="s">
        <v>361</v>
      </c>
      <c r="B34" s="43" t="n">
        <f aca="false">MIN(D23:BK23)</f>
        <v>-6.26533490086957</v>
      </c>
    </row>
    <row r="35" customFormat="false" ht="15" hidden="false" customHeight="false" outlineLevel="0" collapsed="false">
      <c r="A35" s="2" t="s">
        <v>362</v>
      </c>
      <c r="B35" s="35" t="n">
        <f aca="false">COUNTIF(D23:BK23,"&lt;"&amp;Inputs!$B$43)</f>
        <v>10</v>
      </c>
    </row>
    <row r="36" customFormat="false" ht="15" hidden="false" customHeight="false" outlineLevel="0" collapsed="false">
      <c r="A36" s="2" t="s">
        <v>363</v>
      </c>
      <c r="B36" s="43" t="n">
        <f aca="false">MIN(D24:BK24)</f>
        <v>-4.21676979478262</v>
      </c>
    </row>
    <row r="37" customFormat="false" ht="15" hidden="false" customHeight="false" outlineLevel="0" collapsed="false">
      <c r="A37" s="2" t="s">
        <v>364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368</v>
      </c>
    </row>
    <row r="41" customFormat="false" ht="15" hidden="false" customHeight="false" outlineLevel="0" collapsed="false">
      <c r="A41" s="3" t="s">
        <v>340</v>
      </c>
      <c r="B41" s="45" t="n">
        <v>0.9</v>
      </c>
    </row>
    <row r="42" customFormat="false" ht="15" hidden="false" customHeight="false" outlineLevel="0" collapsed="false">
      <c r="A42" s="3" t="s">
        <v>341</v>
      </c>
      <c r="B42" s="45" t="n">
        <v>0</v>
      </c>
    </row>
    <row r="43" customFormat="false" ht="15" hidden="false" customHeight="false" outlineLevel="0" collapsed="false">
      <c r="A43" s="3" t="s">
        <v>342</v>
      </c>
      <c r="B43" s="45" t="n">
        <v>1</v>
      </c>
    </row>
    <row r="44" customFormat="false" ht="15" hidden="false" customHeight="false" outlineLevel="0" collapsed="false">
      <c r="A44" s="3" t="s">
        <v>343</v>
      </c>
      <c r="B44" s="45" t="n">
        <v>0</v>
      </c>
    </row>
    <row r="45" customFormat="false" ht="15" hidden="false" customHeight="false" outlineLevel="0" collapsed="false">
      <c r="A45" s="3" t="s">
        <v>344</v>
      </c>
      <c r="B45" s="45" t="n">
        <v>0</v>
      </c>
    </row>
    <row r="46" customFormat="false" ht="15" hidden="false" customHeight="false" outlineLevel="0" collapsed="false">
      <c r="A46" s="3" t="s">
        <v>345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346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347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348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203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205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224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225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226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349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-125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80.8333333333333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80.8333333333333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80.8333333333333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80.8333333333333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350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23.9583333333333</v>
      </c>
      <c r="Q56" s="33" t="n">
        <f aca="false">IF(AND(Source_Data!Q$6&gt;=Inputs!$B$54,Source_Data!Q$6&lt;Inputs!$B$54+3*Inputs!$B$11),Inputs!$B$9*Inputs!$B$7/Inputs!$B$11,0)</f>
        <v>23.9583333333333</v>
      </c>
      <c r="R56" s="33" t="n">
        <f aca="false">IF(AND(Source_Data!R$6&gt;=Inputs!$B$54,Source_Data!R$6&lt;Inputs!$B$54+3*Inputs!$B$11),Inputs!$B$9*Inputs!$B$7/Inputs!$B$11,0)</f>
        <v>23.9583333333333</v>
      </c>
      <c r="S56" s="33" t="n">
        <f aca="false">IF(AND(Source_Data!S$6&gt;=Inputs!$B$54,Source_Data!S$6&lt;Inputs!$B$54+3*Inputs!$B$11),Inputs!$B$9*Inputs!$B$7/Inputs!$B$11,0)</f>
        <v>23.9583333333333</v>
      </c>
      <c r="T56" s="33" t="n">
        <f aca="false">IF(AND(Source_Data!T$6&gt;=Inputs!$B$54,Source_Data!T$6&lt;Inputs!$B$54+3*Inputs!$B$11),Inputs!$B$9*Inputs!$B$7/Inputs!$B$11,0)</f>
        <v>23.9583333333333</v>
      </c>
      <c r="U56" s="33" t="n">
        <f aca="false">IF(AND(Source_Data!U$6&gt;=Inputs!$B$54,Source_Data!U$6&lt;Inputs!$B$54+3*Inputs!$B$11),Inputs!$B$9*Inputs!$B$7/Inputs!$B$11,0)</f>
        <v>23.9583333333333</v>
      </c>
      <c r="V56" s="33" t="n">
        <f aca="false">IF(AND(Source_Data!V$6&gt;=Inputs!$B$54,Source_Data!V$6&lt;Inputs!$B$54+3*Inputs!$B$11),Inputs!$B$9*Inputs!$B$7/Inputs!$B$11,0)</f>
        <v>23.9583333333333</v>
      </c>
      <c r="W56" s="33" t="n">
        <f aca="false">IF(AND(Source_Data!W$6&gt;=Inputs!$B$54,Source_Data!W$6&lt;Inputs!$B$54+3*Inputs!$B$11),Inputs!$B$9*Inputs!$B$7/Inputs!$B$11,0)</f>
        <v>23.9583333333333</v>
      </c>
      <c r="X56" s="33" t="n">
        <f aca="false">IF(AND(Source_Data!X$6&gt;=Inputs!$B$54,Source_Data!X$6&lt;Inputs!$B$54+3*Inputs!$B$11),Inputs!$B$9*Inputs!$B$7/Inputs!$B$11,0)</f>
        <v>23.9583333333333</v>
      </c>
      <c r="Y56" s="33" t="n">
        <f aca="false">IF(AND(Source_Data!Y$6&gt;=Inputs!$B$54,Source_Data!Y$6&lt;Inputs!$B$54+3*Inputs!$B$11),Inputs!$B$9*Inputs!$B$7/Inputs!$B$11,0)</f>
        <v>23.9583333333333</v>
      </c>
      <c r="Z56" s="33" t="n">
        <f aca="false">IF(AND(Source_Data!Z$6&gt;=Inputs!$B$54,Source_Data!Z$6&lt;Inputs!$B$54+3*Inputs!$B$11),Inputs!$B$9*Inputs!$B$7/Inputs!$B$11,0)</f>
        <v>23.9583333333333</v>
      </c>
      <c r="AA56" s="33" t="n">
        <f aca="false">IF(AND(Source_Data!AA$6&gt;=Inputs!$B$54,Source_Data!AA$6&lt;Inputs!$B$54+3*Inputs!$B$11),Inputs!$B$9*Inputs!$B$7/Inputs!$B$11,0)</f>
        <v>23.9583333333333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351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-125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23.9583333333333</v>
      </c>
      <c r="Q57" s="33" t="n">
        <f aca="false">IF(Source_Data!Q$6=Inputs!$B$12,-Inputs!$B$7,0)+Q56</f>
        <v>23.9583333333333</v>
      </c>
      <c r="R57" s="33" t="n">
        <f aca="false">IF(Source_Data!R$6=Inputs!$B$12,-Inputs!$B$7,0)+R56</f>
        <v>23.9583333333333</v>
      </c>
      <c r="S57" s="33" t="n">
        <f aca="false">IF(Source_Data!S$6=Inputs!$B$12,-Inputs!$B$7,0)+S56</f>
        <v>23.9583333333333</v>
      </c>
      <c r="T57" s="33" t="n">
        <f aca="false">IF(Source_Data!T$6=Inputs!$B$12,-Inputs!$B$7,0)+T56</f>
        <v>23.9583333333333</v>
      </c>
      <c r="U57" s="33" t="n">
        <f aca="false">IF(Source_Data!U$6=Inputs!$B$12,-Inputs!$B$7,0)+U56</f>
        <v>23.9583333333333</v>
      </c>
      <c r="V57" s="33" t="n">
        <f aca="false">IF(Source_Data!V$6=Inputs!$B$12,-Inputs!$B$7,0)+V56</f>
        <v>23.9583333333333</v>
      </c>
      <c r="W57" s="33" t="n">
        <f aca="false">IF(Source_Data!W$6=Inputs!$B$12,-Inputs!$B$7,0)+W56</f>
        <v>23.9583333333333</v>
      </c>
      <c r="X57" s="33" t="n">
        <f aca="false">IF(Source_Data!X$6=Inputs!$B$12,-Inputs!$B$7,0)+X56</f>
        <v>23.9583333333333</v>
      </c>
      <c r="Y57" s="33" t="n">
        <f aca="false">IF(Source_Data!Y$6=Inputs!$B$12,-Inputs!$B$7,0)+Y56</f>
        <v>23.9583333333333</v>
      </c>
      <c r="Z57" s="33" t="n">
        <f aca="false">IF(Source_Data!Z$6=Inputs!$B$12,-Inputs!$B$7,0)+Z56</f>
        <v>23.9583333333333</v>
      </c>
      <c r="AA57" s="33" t="n">
        <f aca="false">IF(Source_Data!AA$6=Inputs!$B$12,-Inputs!$B$7,0)+AA56</f>
        <v>23.9583333333333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352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40</v>
      </c>
      <c r="H58" s="33" t="n">
        <f aca="false">G58+IF(Source_Data!H$6=Inputs!$B$12,Inputs!$B$7,0)+H53-H56</f>
        <v>33.804085</v>
      </c>
      <c r="I58" s="33" t="n">
        <f aca="false">H58+IF(Source_Data!I$6=Inputs!$B$12,Inputs!$B$7,0)+I53-I56</f>
        <v>43.912255</v>
      </c>
      <c r="J58" s="33" t="n">
        <f aca="false">I58+IF(Source_Data!J$6=Inputs!$B$12,Inputs!$B$7,0)+J53-J56</f>
        <v>50.8469975</v>
      </c>
      <c r="K58" s="33" t="n">
        <f aca="false">J58+IF(Source_Data!K$6=Inputs!$B$12,Inputs!$B$7,0)+K53-K56</f>
        <v>60.1035485</v>
      </c>
      <c r="L58" s="33" t="n">
        <f aca="false">K58+IF(Source_Data!L$6=Inputs!$B$12,Inputs!$B$7,0)+L53-L56</f>
        <v>16.439071</v>
      </c>
      <c r="M58" s="33" t="n">
        <f aca="false">L58+IF(Source_Data!M$6=Inputs!$B$12,Inputs!$B$7,0)+M53-M56</f>
        <v>-6.28825624999999</v>
      </c>
      <c r="N58" s="33" t="n">
        <f aca="false">M58+IF(Source_Data!N$6=Inputs!$B$12,Inputs!$B$7,0)+N53-N56</f>
        <v>-12.85575275</v>
      </c>
      <c r="O58" s="33" t="n">
        <f aca="false">N58+IF(Source_Data!O$6=Inputs!$B$12,Inputs!$B$7,0)+O53-O56</f>
        <v>0.349647250000022</v>
      </c>
      <c r="P58" s="33" t="n">
        <f aca="false">O58+IF(Source_Data!P$6=Inputs!$B$12,Inputs!$B$7,0)+P53-P56</f>
        <v>10.6575985416667</v>
      </c>
      <c r="Q58" s="33" t="n">
        <f aca="false">P58+IF(Source_Data!Q$6=Inputs!$B$12,Inputs!$B$7,0)+Q53-Q56</f>
        <v>30.1290494583333</v>
      </c>
      <c r="R58" s="33" t="n">
        <f aca="false">Q58+IF(Source_Data!R$6=Inputs!$B$12,Inputs!$B$7,0)+R53-R56</f>
        <v>419.912122875</v>
      </c>
      <c r="S58" s="33" t="n">
        <f aca="false">R58+IF(Source_Data!S$6=Inputs!$B$12,Inputs!$B$7,0)+S53-S56</f>
        <v>349.389948791667</v>
      </c>
      <c r="T58" s="33" t="n">
        <f aca="false">S58+IF(Source_Data!T$6=Inputs!$B$12,Inputs!$B$7,0)+T53-T56</f>
        <v>185.761260708333</v>
      </c>
      <c r="U58" s="33" t="n">
        <f aca="false">T58+IF(Source_Data!U$6=Inputs!$B$12,Inputs!$B$7,0)+U53-U56</f>
        <v>55.2489326249998</v>
      </c>
      <c r="V58" s="33" t="n">
        <f aca="false">U58+IF(Source_Data!V$6=Inputs!$B$12,Inputs!$B$7,0)+V53-V56</f>
        <v>59.9105880416664</v>
      </c>
      <c r="W58" s="33" t="n">
        <f aca="false">V58+IF(Source_Data!W$6=Inputs!$B$12,Inputs!$B$7,0)+W53-W56</f>
        <v>62.9418349583331</v>
      </c>
      <c r="X58" s="33" t="n">
        <f aca="false">W58+IF(Source_Data!X$6=Inputs!$B$12,Inputs!$B$7,0)+X53-X56</f>
        <v>86.0350173124997</v>
      </c>
      <c r="Y58" s="33" t="n">
        <f aca="false">X58+IF(Source_Data!Y$6=Inputs!$B$12,Inputs!$B$7,0)+Y53-Y56</f>
        <v>102.714756354166</v>
      </c>
      <c r="Z58" s="33" t="n">
        <f aca="false">Y58+IF(Source_Data!Z$6=Inputs!$B$12,Inputs!$B$7,0)+Z53-Z56</f>
        <v>111.460511645833</v>
      </c>
      <c r="AA58" s="33" t="n">
        <f aca="false">Z58+IF(Source_Data!AA$6=Inputs!$B$12,Inputs!$B$7,0)+AA53-AA56</f>
        <v>110.9438021875</v>
      </c>
      <c r="AB58" s="33" t="n">
        <f aca="false">AA58+IF(Source_Data!AB$6=Inputs!$B$12,Inputs!$B$7,0)+AB53-AB56</f>
        <v>156.8854260625</v>
      </c>
      <c r="AC58" s="33" t="n">
        <f aca="false">AB58+IF(Source_Data!AC$6=Inputs!$B$12,Inputs!$B$7,0)+AC53-AC56</f>
        <v>202.8270499375</v>
      </c>
      <c r="AD58" s="33" t="n">
        <f aca="false">AC58+IF(Source_Data!AD$6=Inputs!$B$12,Inputs!$B$7,0)+AD53-AD56</f>
        <v>248.7686738125</v>
      </c>
      <c r="AE58" s="33" t="n">
        <f aca="false">AD58+IF(Source_Data!AE$6=Inputs!$B$12,Inputs!$B$7,0)+AE53-AE56</f>
        <v>294.7102976875</v>
      </c>
      <c r="AF58" s="33" t="n">
        <f aca="false">AE58+IF(Source_Data!AF$6=Inputs!$B$12,Inputs!$B$7,0)+AF53-AF56</f>
        <v>181.29082205599</v>
      </c>
      <c r="AG58" s="33" t="n">
        <f aca="false">AF58+IF(Source_Data!AG$6=Inputs!$B$12,Inputs!$B$7,0)+AG53-AG56</f>
        <v>204.210885484239</v>
      </c>
      <c r="AH58" s="33" t="n">
        <f aca="false">AG58+IF(Source_Data!AH$6=Inputs!$B$12,Inputs!$B$7,0)+AH53-AH56</f>
        <v>224.729180597388</v>
      </c>
      <c r="AI58" s="33" t="n">
        <f aca="false">AH58+IF(Source_Data!AI$6=Inputs!$B$12,Inputs!$B$7,0)+AI53-AI56</f>
        <v>242.845707395438</v>
      </c>
      <c r="AJ58" s="33" t="n">
        <f aca="false">AI58+IF(Source_Data!AJ$6=Inputs!$B$12,Inputs!$B$7,0)+AJ53-AJ56</f>
        <v>257.091558300168</v>
      </c>
      <c r="AK58" s="33" t="n">
        <f aca="false">AJ58+IF(Source_Data!AK$6=Inputs!$B$12,Inputs!$B$7,0)+AK53-AK56</f>
        <v>269.095758777472</v>
      </c>
      <c r="AL58" s="33" t="n">
        <f aca="false">AK58+IF(Source_Data!AL$6=Inputs!$B$12,Inputs!$B$7,0)+AL53-AL56</f>
        <v>279.556794105461</v>
      </c>
      <c r="AM58" s="33" t="n">
        <f aca="false">AL58+IF(Source_Data!AM$6=Inputs!$B$12,Inputs!$B$7,0)+AM53-AM56</f>
        <v>284.067941549474</v>
      </c>
      <c r="AN58" s="33" t="n">
        <f aca="false">AM58+IF(Source_Data!AN$6=Inputs!$B$12,Inputs!$B$7,0)+AN53-AN56</f>
        <v>288.579088993487</v>
      </c>
      <c r="AO58" s="33" t="n">
        <f aca="false">AN58+IF(Source_Data!AO$6=Inputs!$B$12,Inputs!$B$7,0)+AO53-AO56</f>
        <v>293.0902364375</v>
      </c>
      <c r="AP58" s="33" t="n">
        <f aca="false">AO58+IF(Source_Data!AP$6=Inputs!$B$12,Inputs!$B$7,0)+AP53-AP56</f>
        <v>293.0902364375</v>
      </c>
      <c r="AQ58" s="33" t="n">
        <f aca="false">AP58+IF(Source_Data!AQ$6=Inputs!$B$12,Inputs!$B$7,0)+AQ53-AQ56</f>
        <v>293.0902364375</v>
      </c>
      <c r="AR58" s="33" t="n">
        <f aca="false">AQ58+IF(Source_Data!AR$6=Inputs!$B$12,Inputs!$B$7,0)+AR53-AR56</f>
        <v>293.0902364375</v>
      </c>
      <c r="AS58" s="33" t="n">
        <f aca="false">AR58+IF(Source_Data!AS$6=Inputs!$B$12,Inputs!$B$7,0)+AS53-AS56</f>
        <v>293.0902364375</v>
      </c>
      <c r="AT58" s="33" t="n">
        <f aca="false">AS58+IF(Source_Data!AT$6=Inputs!$B$12,Inputs!$B$7,0)+AT53-AT56</f>
        <v>293.0902364375</v>
      </c>
      <c r="AU58" s="33" t="n">
        <f aca="false">AT58+IF(Source_Data!AU$6=Inputs!$B$12,Inputs!$B$7,0)+AU53-AU56</f>
        <v>293.0902364375</v>
      </c>
      <c r="AV58" s="33" t="n">
        <f aca="false">AU58+IF(Source_Data!AV$6=Inputs!$B$12,Inputs!$B$7,0)+AV53-AV56</f>
        <v>293.0902364375</v>
      </c>
      <c r="AW58" s="33" t="n">
        <f aca="false">AV58+IF(Source_Data!AW$6=Inputs!$B$12,Inputs!$B$7,0)+AW53-AW56</f>
        <v>293.0902364375</v>
      </c>
      <c r="AX58" s="33" t="n">
        <f aca="false">AW58+IF(Source_Data!AX$6=Inputs!$B$12,Inputs!$B$7,0)+AX53-AX56</f>
        <v>293.0902364375</v>
      </c>
      <c r="AY58" s="33" t="n">
        <f aca="false">AX58+IF(Source_Data!AY$6=Inputs!$B$12,Inputs!$B$7,0)+AY53-AY56</f>
        <v>293.0902364375</v>
      </c>
      <c r="AZ58" s="33" t="n">
        <f aca="false">AY58+IF(Source_Data!AZ$6=Inputs!$B$12,Inputs!$B$7,0)+AZ53-AZ56</f>
        <v>293.0902364375</v>
      </c>
      <c r="BA58" s="33" t="n">
        <f aca="false">AZ58+IF(Source_Data!BA$6=Inputs!$B$12,Inputs!$B$7,0)+BA53-BA56</f>
        <v>293.0902364375</v>
      </c>
      <c r="BB58" s="33" t="n">
        <f aca="false">BA58+IF(Source_Data!BB$6=Inputs!$B$12,Inputs!$B$7,0)+BB53-BB56</f>
        <v>293.0902364375</v>
      </c>
      <c r="BC58" s="33" t="n">
        <f aca="false">BB58+IF(Source_Data!BC$6=Inputs!$B$12,Inputs!$B$7,0)+BC53-BC56</f>
        <v>293.0902364375</v>
      </c>
      <c r="BD58" s="33" t="n">
        <f aca="false">BC58+IF(Source_Data!BD$6=Inputs!$B$12,Inputs!$B$7,0)+BD53-BD56</f>
        <v>293.0902364375</v>
      </c>
      <c r="BE58" s="33" t="n">
        <f aca="false">BD58+IF(Source_Data!BE$6=Inputs!$B$12,Inputs!$B$7,0)+BE53-BE56</f>
        <v>293.0902364375</v>
      </c>
      <c r="BF58" s="33" t="n">
        <f aca="false">BE58+IF(Source_Data!BF$6=Inputs!$B$12,Inputs!$B$7,0)+BF53-BF56</f>
        <v>293.0902364375</v>
      </c>
      <c r="BG58" s="33" t="n">
        <f aca="false">BF58+IF(Source_Data!BG$6=Inputs!$B$12,Inputs!$B$7,0)+BG53-BG56</f>
        <v>293.0902364375</v>
      </c>
      <c r="BH58" s="33" t="n">
        <f aca="false">BG58+IF(Source_Data!BH$6=Inputs!$B$12,Inputs!$B$7,0)+BH53-BH56</f>
        <v>293.0902364375</v>
      </c>
      <c r="BI58" s="33" t="n">
        <f aca="false">BH58+IF(Source_Data!BI$6=Inputs!$B$12,Inputs!$B$7,0)+BI53-BI56</f>
        <v>293.0902364375</v>
      </c>
      <c r="BJ58" s="33" t="n">
        <f aca="false">BI58+IF(Source_Data!BJ$6=Inputs!$B$12,Inputs!$B$7,0)+BJ53-BJ56</f>
        <v>293.0902364375</v>
      </c>
      <c r="BK58" s="33" t="n">
        <f aca="false">BJ58+IF(Source_Data!BK$6=Inputs!$B$12,Inputs!$B$7,0)+BK53-BK56</f>
        <v>293.0902364375</v>
      </c>
    </row>
    <row r="59" customFormat="false" ht="15" hidden="false" customHeight="false" outlineLevel="0" collapsed="false">
      <c r="A59" s="3" t="s">
        <v>353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1.43024492347826</v>
      </c>
      <c r="Q59" s="31" t="n">
        <f aca="false">IF(Q56&gt;0,Q53/Q56,"")</f>
        <v>1.81272142956522</v>
      </c>
      <c r="R59" s="31" t="n">
        <f aca="false">IF(R56&gt;0,R53/R56,"")</f>
        <v>17.2692065426087</v>
      </c>
      <c r="S59" s="31" t="n">
        <f aca="false">IF(S56&gt;0,S53/S56,"")</f>
        <v>-1.9435342226087</v>
      </c>
      <c r="T59" s="31" t="n">
        <f aca="false">IF(T56&gt;0,T53/T56,"")</f>
        <v>-5.82971915478261</v>
      </c>
      <c r="U59" s="31" t="n">
        <f aca="false">IF(U56&gt;0,U53/U56,"")</f>
        <v>-4.44747108521739</v>
      </c>
      <c r="V59" s="31" t="n">
        <f aca="false">IF(V56&gt;0,V53/V56,"")</f>
        <v>1.19457344347826</v>
      </c>
      <c r="W59" s="31" t="n">
        <f aca="false">IF(W56&gt;0,W53/W56,"")</f>
        <v>1.12652161043478</v>
      </c>
      <c r="X59" s="31" t="n">
        <f aca="false">IF(X56&gt;0,X53/X56,"")</f>
        <v>1.96388935043478</v>
      </c>
      <c r="Y59" s="31" t="n">
        <f aca="false">IF(Y56&gt;0,Y53/Y56,"")</f>
        <v>1.69619780347826</v>
      </c>
      <c r="Z59" s="31" t="n">
        <f aca="false">IF(Z56&gt;0,Z53/Z56,"")</f>
        <v>1.36504022086957</v>
      </c>
      <c r="AA59" s="31" t="n">
        <f aca="false">IF(AA56&gt;0,AA53/AA56,"")</f>
        <v>0.978432996521739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354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1.44483889565217</v>
      </c>
      <c r="Q60" s="31" t="n">
        <f aca="false">IF(Q56&gt;0,(P58+Q53+IF(Source_Data!Q$6=Inputs!$B$12,Inputs!$B$7,0))/Q56,"")</f>
        <v>2.25756032521739</v>
      </c>
      <c r="R60" s="31" t="n">
        <f aca="false">IF(R56&gt;0,(Q58+R53+IF(Source_Data!R$6=Inputs!$B$12,Inputs!$B$7,0))/R56,"")</f>
        <v>18.5267668678261</v>
      </c>
      <c r="S60" s="31" t="n">
        <f aca="false">IF(S56&gt;0,(R58+S53+IF(Source_Data!S$6=Inputs!$B$12,Inputs!$B$7,0))/S56,"")</f>
        <v>15.5832326452174</v>
      </c>
      <c r="T60" s="31" t="n">
        <f aca="false">IF(T56&gt;0,(S58+T53+IF(Source_Data!T$6=Inputs!$B$12,Inputs!$B$7,0))/T56,"")</f>
        <v>8.75351349043477</v>
      </c>
      <c r="U60" s="31" t="n">
        <f aca="false">IF(U56&gt;0,(T58+U53+IF(Source_Data!U$6=Inputs!$B$12,Inputs!$B$7,0))/U56,"")</f>
        <v>3.30604240521738</v>
      </c>
      <c r="V60" s="31" t="n">
        <f aca="false">IF(V56&gt;0,(U58+V53+IF(Source_Data!V$6=Inputs!$B$12,Inputs!$B$7,0))/V56,"")</f>
        <v>3.50061584869564</v>
      </c>
      <c r="W60" s="31" t="n">
        <f aca="false">IF(W56&gt;0,(V58+W53+IF(Source_Data!W$6=Inputs!$B$12,Inputs!$B$7,0))/W56,"")</f>
        <v>3.62713745913042</v>
      </c>
      <c r="X60" s="31" t="n">
        <f aca="false">IF(X56&gt;0,(W58+X53+IF(Source_Data!X$6=Inputs!$B$12,Inputs!$B$7,0))/X56,"")</f>
        <v>4.59102680956521</v>
      </c>
      <c r="Y60" s="31" t="n">
        <f aca="false">IF(Y56&gt;0,(X58+Y53+IF(Source_Data!Y$6=Inputs!$B$12,Inputs!$B$7,0))/Y56,"")</f>
        <v>5.28722461304347</v>
      </c>
      <c r="Z60" s="31" t="n">
        <f aca="false">IF(Z56&gt;0,(Y58+Z53+IF(Source_Data!Z$6=Inputs!$B$12,Inputs!$B$7,0))/Z56,"")</f>
        <v>5.65226483391303</v>
      </c>
      <c r="AA60" s="31" t="n">
        <f aca="false">IF(AA56&gt;0,(Z58+AA53+IF(Source_Data!AA$6=Inputs!$B$12,Inputs!$B$7,0))/AA56,"")</f>
        <v>5.63069783043477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355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171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356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357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358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360</v>
      </c>
      <c r="B69" s="41" t="n">
        <f aca="false">MIN(D58:BK58)</f>
        <v>-12.85575275</v>
      </c>
    </row>
    <row r="70" customFormat="false" ht="15" hidden="false" customHeight="false" outlineLevel="0" collapsed="false">
      <c r="A70" s="2" t="s">
        <v>361</v>
      </c>
      <c r="B70" s="43" t="n">
        <f aca="false">MIN(D59:BK59)</f>
        <v>-5.82971915478261</v>
      </c>
    </row>
    <row r="71" customFormat="false" ht="15" hidden="false" customHeight="false" outlineLevel="0" collapsed="false">
      <c r="A71" s="2" t="s">
        <v>362</v>
      </c>
      <c r="B71" s="35" t="n">
        <f aca="false">COUNTIF(D59:BK59,"&lt;"&amp;Inputs!$B$43)</f>
        <v>8</v>
      </c>
    </row>
    <row r="72" customFormat="false" ht="15" hidden="false" customHeight="false" outlineLevel="0" collapsed="false">
      <c r="A72" s="2" t="s">
        <v>363</v>
      </c>
      <c r="B72" s="43" t="n">
        <f aca="false">MIN(D60:BK60)</f>
        <v>1.44483889565217</v>
      </c>
    </row>
    <row r="73" customFormat="false" ht="15" hidden="false" customHeight="false" outlineLevel="0" collapsed="false">
      <c r="A73" s="2" t="s">
        <v>364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369</v>
      </c>
    </row>
    <row r="77" customFormat="false" ht="15" hidden="false" customHeight="false" outlineLevel="0" collapsed="false">
      <c r="A77" s="3" t="s">
        <v>340</v>
      </c>
      <c r="B77" s="45" t="n">
        <v>1.1</v>
      </c>
    </row>
    <row r="78" customFormat="false" ht="15" hidden="false" customHeight="false" outlineLevel="0" collapsed="false">
      <c r="A78" s="3" t="s">
        <v>341</v>
      </c>
      <c r="B78" s="45" t="n">
        <v>0</v>
      </c>
    </row>
    <row r="79" customFormat="false" ht="15" hidden="false" customHeight="false" outlineLevel="0" collapsed="false">
      <c r="A79" s="3" t="s">
        <v>342</v>
      </c>
      <c r="B79" s="45" t="n">
        <v>1</v>
      </c>
    </row>
    <row r="80" customFormat="false" ht="15" hidden="false" customHeight="false" outlineLevel="0" collapsed="false">
      <c r="A80" s="3" t="s">
        <v>343</v>
      </c>
      <c r="B80" s="45" t="n">
        <v>0</v>
      </c>
    </row>
    <row r="81" customFormat="false" ht="15" hidden="false" customHeight="false" outlineLevel="0" collapsed="false">
      <c r="A81" s="3" t="s">
        <v>344</v>
      </c>
      <c r="B81" s="45" t="n">
        <v>0</v>
      </c>
    </row>
    <row r="82" customFormat="false" ht="15" hidden="false" customHeight="false" outlineLevel="0" collapsed="false">
      <c r="A82" s="3" t="s">
        <v>345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346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347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348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203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205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224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225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226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-125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98.7962962962963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98.7962962962963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98.7962962962963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98.7962962962963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350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23.9583333333333</v>
      </c>
      <c r="Q92" s="33" t="n">
        <f aca="false">IF(AND(Source_Data!Q$6&gt;=Inputs!$B$54,Source_Data!Q$6&lt;Inputs!$B$54+3*Inputs!$B$11),Inputs!$B$9*Inputs!$B$7/Inputs!$B$11,0)</f>
        <v>23.9583333333333</v>
      </c>
      <c r="R92" s="33" t="n">
        <f aca="false">IF(AND(Source_Data!R$6&gt;=Inputs!$B$54,Source_Data!R$6&lt;Inputs!$B$54+3*Inputs!$B$11),Inputs!$B$9*Inputs!$B$7/Inputs!$B$11,0)</f>
        <v>23.9583333333333</v>
      </c>
      <c r="S92" s="33" t="n">
        <f aca="false">IF(AND(Source_Data!S$6&gt;=Inputs!$B$54,Source_Data!S$6&lt;Inputs!$B$54+3*Inputs!$B$11),Inputs!$B$9*Inputs!$B$7/Inputs!$B$11,0)</f>
        <v>23.9583333333333</v>
      </c>
      <c r="T92" s="33" t="n">
        <f aca="false">IF(AND(Source_Data!T$6&gt;=Inputs!$B$54,Source_Data!T$6&lt;Inputs!$B$54+3*Inputs!$B$11),Inputs!$B$9*Inputs!$B$7/Inputs!$B$11,0)</f>
        <v>23.9583333333333</v>
      </c>
      <c r="U92" s="33" t="n">
        <f aca="false">IF(AND(Source_Data!U$6&gt;=Inputs!$B$54,Source_Data!U$6&lt;Inputs!$B$54+3*Inputs!$B$11),Inputs!$B$9*Inputs!$B$7/Inputs!$B$11,0)</f>
        <v>23.9583333333333</v>
      </c>
      <c r="V92" s="33" t="n">
        <f aca="false">IF(AND(Source_Data!V$6&gt;=Inputs!$B$54,Source_Data!V$6&lt;Inputs!$B$54+3*Inputs!$B$11),Inputs!$B$9*Inputs!$B$7/Inputs!$B$11,0)</f>
        <v>23.9583333333333</v>
      </c>
      <c r="W92" s="33" t="n">
        <f aca="false">IF(AND(Source_Data!W$6&gt;=Inputs!$B$54,Source_Data!W$6&lt;Inputs!$B$54+3*Inputs!$B$11),Inputs!$B$9*Inputs!$B$7/Inputs!$B$11,0)</f>
        <v>23.9583333333333</v>
      </c>
      <c r="X92" s="33" t="n">
        <f aca="false">IF(AND(Source_Data!X$6&gt;=Inputs!$B$54,Source_Data!X$6&lt;Inputs!$B$54+3*Inputs!$B$11),Inputs!$B$9*Inputs!$B$7/Inputs!$B$11,0)</f>
        <v>23.9583333333333</v>
      </c>
      <c r="Y92" s="33" t="n">
        <f aca="false">IF(AND(Source_Data!Y$6&gt;=Inputs!$B$54,Source_Data!Y$6&lt;Inputs!$B$54+3*Inputs!$B$11),Inputs!$B$9*Inputs!$B$7/Inputs!$B$11,0)</f>
        <v>23.9583333333333</v>
      </c>
      <c r="Z92" s="33" t="n">
        <f aca="false">IF(AND(Source_Data!Z$6&gt;=Inputs!$B$54,Source_Data!Z$6&lt;Inputs!$B$54+3*Inputs!$B$11),Inputs!$B$9*Inputs!$B$7/Inputs!$B$11,0)</f>
        <v>23.9583333333333</v>
      </c>
      <c r="AA92" s="33" t="n">
        <f aca="false">IF(AND(Source_Data!AA$6&gt;=Inputs!$B$54,Source_Data!AA$6&lt;Inputs!$B$54+3*Inputs!$B$11),Inputs!$B$9*Inputs!$B$7/Inputs!$B$11,0)</f>
        <v>23.9583333333333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351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-125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23.9583333333333</v>
      </c>
      <c r="Q93" s="33" t="n">
        <f aca="false">IF(Source_Data!Q$6=Inputs!$B$12,-Inputs!$B$7,0)+Q92</f>
        <v>23.9583333333333</v>
      </c>
      <c r="R93" s="33" t="n">
        <f aca="false">IF(Source_Data!R$6=Inputs!$B$12,-Inputs!$B$7,0)+R92</f>
        <v>23.9583333333333</v>
      </c>
      <c r="S93" s="33" t="n">
        <f aca="false">IF(Source_Data!S$6=Inputs!$B$12,-Inputs!$B$7,0)+S92</f>
        <v>23.9583333333333</v>
      </c>
      <c r="T93" s="33" t="n">
        <f aca="false">IF(Source_Data!T$6=Inputs!$B$12,-Inputs!$B$7,0)+T92</f>
        <v>23.9583333333333</v>
      </c>
      <c r="U93" s="33" t="n">
        <f aca="false">IF(Source_Data!U$6=Inputs!$B$12,-Inputs!$B$7,0)+U92</f>
        <v>23.9583333333333</v>
      </c>
      <c r="V93" s="33" t="n">
        <f aca="false">IF(Source_Data!V$6=Inputs!$B$12,-Inputs!$B$7,0)+V92</f>
        <v>23.9583333333333</v>
      </c>
      <c r="W93" s="33" t="n">
        <f aca="false">IF(Source_Data!W$6=Inputs!$B$12,-Inputs!$B$7,0)+W92</f>
        <v>23.9583333333333</v>
      </c>
      <c r="X93" s="33" t="n">
        <f aca="false">IF(Source_Data!X$6=Inputs!$B$12,-Inputs!$B$7,0)+X92</f>
        <v>23.9583333333333</v>
      </c>
      <c r="Y93" s="33" t="n">
        <f aca="false">IF(Source_Data!Y$6=Inputs!$B$12,-Inputs!$B$7,0)+Y92</f>
        <v>23.9583333333333</v>
      </c>
      <c r="Z93" s="33" t="n">
        <f aca="false">IF(Source_Data!Z$6=Inputs!$B$12,-Inputs!$B$7,0)+Z92</f>
        <v>23.9583333333333</v>
      </c>
      <c r="AA93" s="33" t="n">
        <f aca="false">IF(Source_Data!AA$6=Inputs!$B$12,-Inputs!$B$7,0)+AA92</f>
        <v>23.9583333333333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352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40</v>
      </c>
      <c r="H94" s="33" t="n">
        <f aca="false">G94+IF(Source_Data!H$6=Inputs!$B$12,Inputs!$B$7,0)+H89-H92</f>
        <v>37.427215</v>
      </c>
      <c r="I94" s="33" t="n">
        <f aca="false">H94+IF(Source_Data!I$6=Inputs!$B$12,Inputs!$B$7,0)+I89-I92</f>
        <v>54.781645</v>
      </c>
      <c r="J94" s="33" t="n">
        <f aca="false">I94+IF(Source_Data!J$6=Inputs!$B$12,Inputs!$B$7,0)+J89-J92</f>
        <v>73.3685525</v>
      </c>
      <c r="K94" s="33" t="n">
        <f aca="false">J94+IF(Source_Data!K$6=Inputs!$B$12,Inputs!$B$7,0)+K89-K92</f>
        <v>96.4287815</v>
      </c>
      <c r="L94" s="33" t="n">
        <f aca="false">K94+IF(Source_Data!L$6=Inputs!$B$12,Inputs!$B$7,0)+L89-L92</f>
        <v>63.283309</v>
      </c>
      <c r="M94" s="33" t="n">
        <f aca="false">L94+IF(Source_Data!M$6=Inputs!$B$12,Inputs!$B$7,0)+M89-M92</f>
        <v>52.25213125</v>
      </c>
      <c r="N94" s="33" t="n">
        <f aca="false">M94+IF(Source_Data!N$6=Inputs!$B$12,Inputs!$B$7,0)+N89-N92</f>
        <v>60.97185775</v>
      </c>
      <c r="O94" s="33" t="n">
        <f aca="false">N94+IF(Source_Data!O$6=Inputs!$B$12,Inputs!$B$7,0)+O89-O92</f>
        <v>93.85845775</v>
      </c>
      <c r="P94" s="33" t="n">
        <f aca="false">O94+IF(Source_Data!P$6=Inputs!$B$12,Inputs!$B$7,0)+P89-P92</f>
        <v>125.630472291667</v>
      </c>
      <c r="Q94" s="33" t="n">
        <f aca="false">P94+IF(Source_Data!Q$6=Inputs!$B$12,Inputs!$B$7,0)+Q89-Q92</f>
        <v>168.602319708333</v>
      </c>
      <c r="R94" s="33" t="n">
        <f aca="false">Q94+IF(Source_Data!R$6=Inputs!$B$12,Inputs!$B$7,0)+R89-R92</f>
        <v>693.494594625</v>
      </c>
      <c r="S94" s="33" t="n">
        <f aca="false">R94+IF(Source_Data!S$6=Inputs!$B$12,Inputs!$B$7,0)+S89-S92</f>
        <v>655.791567041667</v>
      </c>
      <c r="T94" s="33" t="n">
        <f aca="false">S94+IF(Source_Data!T$6=Inputs!$B$12,Inputs!$B$7,0)+T89-T92</f>
        <v>513.036133458333</v>
      </c>
      <c r="U94" s="33" t="n">
        <f aca="false">T94+IF(Source_Data!U$6=Inputs!$B$12,Inputs!$B$7,0)+U89-U92</f>
        <v>398.745139875</v>
      </c>
      <c r="V94" s="33" t="n">
        <f aca="false">U94+IF(Source_Data!V$6=Inputs!$B$12,Inputs!$B$7,0)+V89-V92</f>
        <v>419.766792791666</v>
      </c>
      <c r="W94" s="33" t="n">
        <f aca="false">V94+IF(Source_Data!W$6=Inputs!$B$12,Inputs!$B$7,0)+W89-W92</f>
        <v>438.795724208333</v>
      </c>
      <c r="X94" s="33" t="n">
        <f aca="false">W94+IF(Source_Data!X$6=Inputs!$B$12,Inputs!$B$7,0)+X89-X92</f>
        <v>477.3447989375</v>
      </c>
      <c r="Y94" s="33" t="n">
        <f aca="false">X94+IF(Source_Data!Y$6=Inputs!$B$12,Inputs!$B$7,0)+Y89-Y92</f>
        <v>508.055220729166</v>
      </c>
      <c r="Z94" s="33" t="n">
        <f aca="false">Y94+IF(Source_Data!Z$6=Inputs!$B$12,Inputs!$B$7,0)+Z89-Z92</f>
        <v>529.068551270833</v>
      </c>
      <c r="AA94" s="33" t="n">
        <f aca="false">Z94+IF(Source_Data!AA$6=Inputs!$B$12,Inputs!$B$7,0)+AA89-AA92</f>
        <v>538.7610915625</v>
      </c>
      <c r="AB94" s="33" t="n">
        <f aca="false">AA94+IF(Source_Data!AB$6=Inputs!$B$12,Inputs!$B$7,0)+AB89-AB92</f>
        <v>594.9119651875</v>
      </c>
      <c r="AC94" s="33" t="n">
        <f aca="false">AB94+IF(Source_Data!AC$6=Inputs!$B$12,Inputs!$B$7,0)+AC89-AC92</f>
        <v>651.0628388125</v>
      </c>
      <c r="AD94" s="33" t="n">
        <f aca="false">AC94+IF(Source_Data!AD$6=Inputs!$B$12,Inputs!$B$7,0)+AD89-AD92</f>
        <v>707.2137124375</v>
      </c>
      <c r="AE94" s="33" t="n">
        <f aca="false">AD94+IF(Source_Data!AE$6=Inputs!$B$12,Inputs!$B$7,0)+AE89-AE92</f>
        <v>763.3645860625</v>
      </c>
      <c r="AF94" s="33" t="n">
        <f aca="false">AE94+IF(Source_Data!AF$6=Inputs!$B$12,Inputs!$B$7,0)+AF89-AF92</f>
        <v>482.263604819009</v>
      </c>
      <c r="AG94" s="33" t="n">
        <f aca="false">AF94+IF(Source_Data!AG$6=Inputs!$B$12,Inputs!$B$7,0)+AG89-AG92</f>
        <v>500.76212357826</v>
      </c>
      <c r="AH94" s="33" t="n">
        <f aca="false">AG94+IF(Source_Data!AH$6=Inputs!$B$12,Inputs!$B$7,0)+AH89-AH92</f>
        <v>517.322202840111</v>
      </c>
      <c r="AI94" s="33" t="n">
        <f aca="false">AH94+IF(Source_Data!AI$6=Inputs!$B$12,Inputs!$B$7,0)+AI89-AI92</f>
        <v>531.943842604561</v>
      </c>
      <c r="AJ94" s="33" t="n">
        <f aca="false">AI94+IF(Source_Data!AJ$6=Inputs!$B$12,Inputs!$B$7,0)+AJ89-AJ92</f>
        <v>543.441504512331</v>
      </c>
      <c r="AK94" s="33" t="n">
        <f aca="false">AJ94+IF(Source_Data!AK$6=Inputs!$B$12,Inputs!$B$7,0)+AK89-AK92</f>
        <v>553.129956222527</v>
      </c>
      <c r="AL94" s="33" t="n">
        <f aca="false">AK94+IF(Source_Data!AL$6=Inputs!$B$12,Inputs!$B$7,0)+AL89-AL92</f>
        <v>561.572937144539</v>
      </c>
      <c r="AM94" s="33" t="n">
        <f aca="false">AL94+IF(Source_Data!AM$6=Inputs!$B$12,Inputs!$B$7,0)+AM89-AM92</f>
        <v>565.213832200526</v>
      </c>
      <c r="AN94" s="33" t="n">
        <f aca="false">AM94+IF(Source_Data!AN$6=Inputs!$B$12,Inputs!$B$7,0)+AN89-AN92</f>
        <v>568.854727256513</v>
      </c>
      <c r="AO94" s="33" t="n">
        <f aca="false">AN94+IF(Source_Data!AO$6=Inputs!$B$12,Inputs!$B$7,0)+AO89-AO92</f>
        <v>572.4956223125</v>
      </c>
      <c r="AP94" s="33" t="n">
        <f aca="false">AO94+IF(Source_Data!AP$6=Inputs!$B$12,Inputs!$B$7,0)+AP89-AP92</f>
        <v>572.4956223125</v>
      </c>
      <c r="AQ94" s="33" t="n">
        <f aca="false">AP94+IF(Source_Data!AQ$6=Inputs!$B$12,Inputs!$B$7,0)+AQ89-AQ92</f>
        <v>572.4956223125</v>
      </c>
      <c r="AR94" s="33" t="n">
        <f aca="false">AQ94+IF(Source_Data!AR$6=Inputs!$B$12,Inputs!$B$7,0)+AR89-AR92</f>
        <v>572.4956223125</v>
      </c>
      <c r="AS94" s="33" t="n">
        <f aca="false">AR94+IF(Source_Data!AS$6=Inputs!$B$12,Inputs!$B$7,0)+AS89-AS92</f>
        <v>572.4956223125</v>
      </c>
      <c r="AT94" s="33" t="n">
        <f aca="false">AS94+IF(Source_Data!AT$6=Inputs!$B$12,Inputs!$B$7,0)+AT89-AT92</f>
        <v>572.4956223125</v>
      </c>
      <c r="AU94" s="33" t="n">
        <f aca="false">AT94+IF(Source_Data!AU$6=Inputs!$B$12,Inputs!$B$7,0)+AU89-AU92</f>
        <v>572.4956223125</v>
      </c>
      <c r="AV94" s="33" t="n">
        <f aca="false">AU94+IF(Source_Data!AV$6=Inputs!$B$12,Inputs!$B$7,0)+AV89-AV92</f>
        <v>572.4956223125</v>
      </c>
      <c r="AW94" s="33" t="n">
        <f aca="false">AV94+IF(Source_Data!AW$6=Inputs!$B$12,Inputs!$B$7,0)+AW89-AW92</f>
        <v>572.4956223125</v>
      </c>
      <c r="AX94" s="33" t="n">
        <f aca="false">AW94+IF(Source_Data!AX$6=Inputs!$B$12,Inputs!$B$7,0)+AX89-AX92</f>
        <v>572.4956223125</v>
      </c>
      <c r="AY94" s="33" t="n">
        <f aca="false">AX94+IF(Source_Data!AY$6=Inputs!$B$12,Inputs!$B$7,0)+AY89-AY92</f>
        <v>572.4956223125</v>
      </c>
      <c r="AZ94" s="33" t="n">
        <f aca="false">AY94+IF(Source_Data!AZ$6=Inputs!$B$12,Inputs!$B$7,0)+AZ89-AZ92</f>
        <v>572.4956223125</v>
      </c>
      <c r="BA94" s="33" t="n">
        <f aca="false">AZ94+IF(Source_Data!BA$6=Inputs!$B$12,Inputs!$B$7,0)+BA89-BA92</f>
        <v>572.4956223125</v>
      </c>
      <c r="BB94" s="33" t="n">
        <f aca="false">BA94+IF(Source_Data!BB$6=Inputs!$B$12,Inputs!$B$7,0)+BB89-BB92</f>
        <v>572.4956223125</v>
      </c>
      <c r="BC94" s="33" t="n">
        <f aca="false">BB94+IF(Source_Data!BC$6=Inputs!$B$12,Inputs!$B$7,0)+BC89-BC92</f>
        <v>572.4956223125</v>
      </c>
      <c r="BD94" s="33" t="n">
        <f aca="false">BC94+IF(Source_Data!BD$6=Inputs!$B$12,Inputs!$B$7,0)+BD89-BD92</f>
        <v>572.4956223125</v>
      </c>
      <c r="BE94" s="33" t="n">
        <f aca="false">BD94+IF(Source_Data!BE$6=Inputs!$B$12,Inputs!$B$7,0)+BE89-BE92</f>
        <v>572.4956223125</v>
      </c>
      <c r="BF94" s="33" t="n">
        <f aca="false">BE94+IF(Source_Data!BF$6=Inputs!$B$12,Inputs!$B$7,0)+BF89-BF92</f>
        <v>572.4956223125</v>
      </c>
      <c r="BG94" s="33" t="n">
        <f aca="false">BF94+IF(Source_Data!BG$6=Inputs!$B$12,Inputs!$B$7,0)+BG89-BG92</f>
        <v>572.4956223125</v>
      </c>
      <c r="BH94" s="33" t="n">
        <f aca="false">BG94+IF(Source_Data!BH$6=Inputs!$B$12,Inputs!$B$7,0)+BH89-BH92</f>
        <v>572.4956223125</v>
      </c>
      <c r="BI94" s="33" t="n">
        <f aca="false">BH94+IF(Source_Data!BI$6=Inputs!$B$12,Inputs!$B$7,0)+BI89-BI92</f>
        <v>572.4956223125</v>
      </c>
      <c r="BJ94" s="33" t="n">
        <f aca="false">BI94+IF(Source_Data!BJ$6=Inputs!$B$12,Inputs!$B$7,0)+BJ89-BJ92</f>
        <v>572.4956223125</v>
      </c>
      <c r="BK94" s="33" t="n">
        <f aca="false">BJ94+IF(Source_Data!BK$6=Inputs!$B$12,Inputs!$B$7,0)+BK89-BK92</f>
        <v>572.4956223125</v>
      </c>
    </row>
    <row r="95" customFormat="false" ht="15" hidden="false" customHeight="false" outlineLevel="0" collapsed="false">
      <c r="A95" s="3" t="s">
        <v>353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2.32613625913044</v>
      </c>
      <c r="Q95" s="31" t="n">
        <f aca="false">IF(Q92&gt;0,Q89/Q92,"")</f>
        <v>2.79360754434783</v>
      </c>
      <c r="R95" s="31" t="n">
        <f aca="false">IF(R92&gt;0,R89/R92,"")</f>
        <v>22.9085471269565</v>
      </c>
      <c r="S95" s="31" t="n">
        <f aca="false">IF(S92&gt;0,S89/S92,"")</f>
        <v>-0.573691586086956</v>
      </c>
      <c r="T95" s="31" t="n">
        <f aca="false">IF(T92&gt;0,T89/T92,"")</f>
        <v>-4.9584876626087</v>
      </c>
      <c r="U95" s="31" t="n">
        <f aca="false">IF(U92&gt;0,U89/U92,"")</f>
        <v>-3.77040668869565</v>
      </c>
      <c r="V95" s="31" t="n">
        <f aca="false">IF(V92&gt;0,V89/V92,"")</f>
        <v>1.87742551304348</v>
      </c>
      <c r="W95" s="31" t="n">
        <f aca="false">IF(W92&gt;0,W89/W92,"")</f>
        <v>1.79425105043478</v>
      </c>
      <c r="X95" s="31" t="n">
        <f aca="false">IF(X92&gt;0,X89/X92,"")</f>
        <v>2.60900485826087</v>
      </c>
      <c r="Y95" s="31" t="n">
        <f aca="false">IF(Y92&gt;0,Y89/Y92,"")</f>
        <v>2.28182630086957</v>
      </c>
      <c r="Z95" s="31" t="n">
        <f aca="false">IF(Z92&gt;0,Z89/Z92,"")</f>
        <v>1.87707814434783</v>
      </c>
      <c r="AA95" s="31" t="n">
        <f aca="false">IF(AA92&gt;0,AA89/AA92,"")</f>
        <v>1.40455820347826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354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6.24370666956522</v>
      </c>
      <c r="Q96" s="31" t="n">
        <f aca="false">IF(Q92&gt;0,(P94+Q89+IF(Source_Data!Q$6=Inputs!$B$12,Inputs!$B$7,0))/Q92,"")</f>
        <v>8.03731421391305</v>
      </c>
      <c r="R96" s="31" t="n">
        <f aca="false">IF(R92&gt;0,(Q94+R89+IF(Source_Data!R$6=Inputs!$B$12,Inputs!$B$7,0))/R92,"")</f>
        <v>29.9458613408696</v>
      </c>
      <c r="S96" s="31" t="n">
        <f aca="false">IF(S92&gt;0,(R94+S89+IF(Source_Data!S$6=Inputs!$B$12,Inputs!$B$7,0))/S92,"")</f>
        <v>28.3721697547826</v>
      </c>
      <c r="T96" s="31" t="n">
        <f aca="false">IF(T92&gt;0,(S94+T89+IF(Source_Data!T$6=Inputs!$B$12,Inputs!$B$7,0))/T92,"")</f>
        <v>22.4136820921739</v>
      </c>
      <c r="U96" s="31" t="n">
        <f aca="false">IF(U92&gt;0,(T94+U89+IF(Source_Data!U$6=Inputs!$B$12,Inputs!$B$7,0))/U92,"")</f>
        <v>17.6432754034783</v>
      </c>
      <c r="V96" s="31" t="n">
        <f aca="false">IF(V92&gt;0,(U94+V89+IF(Source_Data!V$6=Inputs!$B$12,Inputs!$B$7,0))/V92,"")</f>
        <v>18.5207009165217</v>
      </c>
      <c r="W96" s="31" t="n">
        <f aca="false">IF(W92&gt;0,(V94+W89+IF(Source_Data!W$6=Inputs!$B$12,Inputs!$B$7,0))/W92,"")</f>
        <v>19.3149519669565</v>
      </c>
      <c r="X96" s="31" t="n">
        <f aca="false">IF(X92&gt;0,(W94+X89+IF(Source_Data!X$6=Inputs!$B$12,Inputs!$B$7,0))/X92,"")</f>
        <v>20.9239568252174</v>
      </c>
      <c r="Y96" s="31" t="n">
        <f aca="false">IF(Y92&gt;0,(X94+Y89+IF(Source_Data!Y$6=Inputs!$B$12,Inputs!$B$7,0))/Y92,"")</f>
        <v>22.2057831260869</v>
      </c>
      <c r="Z96" s="31" t="n">
        <f aca="false">IF(Z92&gt;0,(Y94+Z89+IF(Source_Data!Z$6=Inputs!$B$12,Inputs!$B$7,0))/Z92,"")</f>
        <v>23.0828612704348</v>
      </c>
      <c r="AA96" s="31" t="n">
        <f aca="false">IF(AA92&gt;0,(Z94+AA89+IF(Source_Data!AA$6=Inputs!$B$12,Inputs!$B$7,0))/AA92,"")</f>
        <v>23.487419473913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355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171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356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357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358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360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361</v>
      </c>
      <c r="B106" s="43" t="n">
        <f aca="false">MIN(D95:BK95)</f>
        <v>-4.9584876626087</v>
      </c>
    </row>
    <row r="107" customFormat="false" ht="15" hidden="false" customHeight="false" outlineLevel="0" collapsed="false">
      <c r="A107" s="2" t="s">
        <v>362</v>
      </c>
      <c r="B107" s="35" t="n">
        <f aca="false">COUNTIF(D95:BK95,"&lt;"&amp;Inputs!$B$43)</f>
        <v>4</v>
      </c>
    </row>
    <row r="108" customFormat="false" ht="15" hidden="false" customHeight="false" outlineLevel="0" collapsed="false">
      <c r="A108" s="2" t="s">
        <v>363</v>
      </c>
      <c r="B108" s="43" t="n">
        <f aca="false">MIN(D96:BK96)</f>
        <v>6.24370666956522</v>
      </c>
    </row>
    <row r="109" customFormat="false" ht="15" hidden="false" customHeight="false" outlineLevel="0" collapsed="false">
      <c r="A109" s="2" t="s">
        <v>364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370</v>
      </c>
    </row>
    <row r="113" customFormat="false" ht="15" hidden="false" customHeight="false" outlineLevel="0" collapsed="false">
      <c r="A113" s="3" t="s">
        <v>340</v>
      </c>
      <c r="B113" s="45" t="n">
        <v>1.2</v>
      </c>
    </row>
    <row r="114" customFormat="false" ht="15" hidden="false" customHeight="false" outlineLevel="0" collapsed="false">
      <c r="A114" s="3" t="s">
        <v>341</v>
      </c>
      <c r="B114" s="45" t="n">
        <v>0</v>
      </c>
    </row>
    <row r="115" customFormat="false" ht="15" hidden="false" customHeight="false" outlineLevel="0" collapsed="false">
      <c r="A115" s="3" t="s">
        <v>342</v>
      </c>
      <c r="B115" s="45" t="n">
        <v>1</v>
      </c>
    </row>
    <row r="116" customFormat="false" ht="15" hidden="false" customHeight="false" outlineLevel="0" collapsed="false">
      <c r="A116" s="3" t="s">
        <v>343</v>
      </c>
      <c r="B116" s="45" t="n">
        <v>0</v>
      </c>
    </row>
    <row r="117" customFormat="false" ht="15" hidden="false" customHeight="false" outlineLevel="0" collapsed="false">
      <c r="A117" s="3" t="s">
        <v>344</v>
      </c>
      <c r="B117" s="45" t="n">
        <v>0</v>
      </c>
    </row>
    <row r="118" customFormat="false" ht="15" hidden="false" customHeight="false" outlineLevel="0" collapsed="false">
      <c r="A118" s="3" t="s">
        <v>345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346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347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348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203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205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224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225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226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349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-125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107.777777777778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107.777777777778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107.777777777778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107.777777777778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350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23.9583333333333</v>
      </c>
      <c r="Q128" s="33" t="n">
        <f aca="false">IF(AND(Source_Data!Q$6&gt;=Inputs!$B$54,Source_Data!Q$6&lt;Inputs!$B$54+3*Inputs!$B$11),Inputs!$B$9*Inputs!$B$7/Inputs!$B$11,0)</f>
        <v>23.9583333333333</v>
      </c>
      <c r="R128" s="33" t="n">
        <f aca="false">IF(AND(Source_Data!R$6&gt;=Inputs!$B$54,Source_Data!R$6&lt;Inputs!$B$54+3*Inputs!$B$11),Inputs!$B$9*Inputs!$B$7/Inputs!$B$11,0)</f>
        <v>23.9583333333333</v>
      </c>
      <c r="S128" s="33" t="n">
        <f aca="false">IF(AND(Source_Data!S$6&gt;=Inputs!$B$54,Source_Data!S$6&lt;Inputs!$B$54+3*Inputs!$B$11),Inputs!$B$9*Inputs!$B$7/Inputs!$B$11,0)</f>
        <v>23.9583333333333</v>
      </c>
      <c r="T128" s="33" t="n">
        <f aca="false">IF(AND(Source_Data!T$6&gt;=Inputs!$B$54,Source_Data!T$6&lt;Inputs!$B$54+3*Inputs!$B$11),Inputs!$B$9*Inputs!$B$7/Inputs!$B$11,0)</f>
        <v>23.9583333333333</v>
      </c>
      <c r="U128" s="33" t="n">
        <f aca="false">IF(AND(Source_Data!U$6&gt;=Inputs!$B$54,Source_Data!U$6&lt;Inputs!$B$54+3*Inputs!$B$11),Inputs!$B$9*Inputs!$B$7/Inputs!$B$11,0)</f>
        <v>23.9583333333333</v>
      </c>
      <c r="V128" s="33" t="n">
        <f aca="false">IF(AND(Source_Data!V$6&gt;=Inputs!$B$54,Source_Data!V$6&lt;Inputs!$B$54+3*Inputs!$B$11),Inputs!$B$9*Inputs!$B$7/Inputs!$B$11,0)</f>
        <v>23.9583333333333</v>
      </c>
      <c r="W128" s="33" t="n">
        <f aca="false">IF(AND(Source_Data!W$6&gt;=Inputs!$B$54,Source_Data!W$6&lt;Inputs!$B$54+3*Inputs!$B$11),Inputs!$B$9*Inputs!$B$7/Inputs!$B$11,0)</f>
        <v>23.9583333333333</v>
      </c>
      <c r="X128" s="33" t="n">
        <f aca="false">IF(AND(Source_Data!X$6&gt;=Inputs!$B$54,Source_Data!X$6&lt;Inputs!$B$54+3*Inputs!$B$11),Inputs!$B$9*Inputs!$B$7/Inputs!$B$11,0)</f>
        <v>23.9583333333333</v>
      </c>
      <c r="Y128" s="33" t="n">
        <f aca="false">IF(AND(Source_Data!Y$6&gt;=Inputs!$B$54,Source_Data!Y$6&lt;Inputs!$B$54+3*Inputs!$B$11),Inputs!$B$9*Inputs!$B$7/Inputs!$B$11,0)</f>
        <v>23.9583333333333</v>
      </c>
      <c r="Z128" s="33" t="n">
        <f aca="false">IF(AND(Source_Data!Z$6&gt;=Inputs!$B$54,Source_Data!Z$6&lt;Inputs!$B$54+3*Inputs!$B$11),Inputs!$B$9*Inputs!$B$7/Inputs!$B$11,0)</f>
        <v>23.9583333333333</v>
      </c>
      <c r="AA128" s="33" t="n">
        <f aca="false">IF(AND(Source_Data!AA$6&gt;=Inputs!$B$54,Source_Data!AA$6&lt;Inputs!$B$54+3*Inputs!$B$11),Inputs!$B$9*Inputs!$B$7/Inputs!$B$11,0)</f>
        <v>23.9583333333333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351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-125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23.9583333333333</v>
      </c>
      <c r="Q129" s="33" t="n">
        <f aca="false">IF(Source_Data!Q$6=Inputs!$B$12,-Inputs!$B$7,0)+Q128</f>
        <v>23.9583333333333</v>
      </c>
      <c r="R129" s="33" t="n">
        <f aca="false">IF(Source_Data!R$6=Inputs!$B$12,-Inputs!$B$7,0)+R128</f>
        <v>23.9583333333333</v>
      </c>
      <c r="S129" s="33" t="n">
        <f aca="false">IF(Source_Data!S$6=Inputs!$B$12,-Inputs!$B$7,0)+S128</f>
        <v>23.9583333333333</v>
      </c>
      <c r="T129" s="33" t="n">
        <f aca="false">IF(Source_Data!T$6=Inputs!$B$12,-Inputs!$B$7,0)+T128</f>
        <v>23.9583333333333</v>
      </c>
      <c r="U129" s="33" t="n">
        <f aca="false">IF(Source_Data!U$6=Inputs!$B$12,-Inputs!$B$7,0)+U128</f>
        <v>23.9583333333333</v>
      </c>
      <c r="V129" s="33" t="n">
        <f aca="false">IF(Source_Data!V$6=Inputs!$B$12,-Inputs!$B$7,0)+V128</f>
        <v>23.9583333333333</v>
      </c>
      <c r="W129" s="33" t="n">
        <f aca="false">IF(Source_Data!W$6=Inputs!$B$12,-Inputs!$B$7,0)+W128</f>
        <v>23.9583333333333</v>
      </c>
      <c r="X129" s="33" t="n">
        <f aca="false">IF(Source_Data!X$6=Inputs!$B$12,-Inputs!$B$7,0)+X128</f>
        <v>23.9583333333333</v>
      </c>
      <c r="Y129" s="33" t="n">
        <f aca="false">IF(Source_Data!Y$6=Inputs!$B$12,-Inputs!$B$7,0)+Y128</f>
        <v>23.9583333333333</v>
      </c>
      <c r="Z129" s="33" t="n">
        <f aca="false">IF(Source_Data!Z$6=Inputs!$B$12,-Inputs!$B$7,0)+Z128</f>
        <v>23.9583333333333</v>
      </c>
      <c r="AA129" s="33" t="n">
        <f aca="false">IF(Source_Data!AA$6=Inputs!$B$12,-Inputs!$B$7,0)+AA128</f>
        <v>23.9583333333333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352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40</v>
      </c>
      <c r="H130" s="33" t="n">
        <f aca="false">G130+IF(Source_Data!H$6=Inputs!$B$12,Inputs!$B$7,0)+H125-H128</f>
        <v>39.23878</v>
      </c>
      <c r="I130" s="33" t="n">
        <f aca="false">H130+IF(Source_Data!I$6=Inputs!$B$12,Inputs!$B$7,0)+I125-I128</f>
        <v>60.21634</v>
      </c>
      <c r="J130" s="33" t="n">
        <f aca="false">I130+IF(Source_Data!J$6=Inputs!$B$12,Inputs!$B$7,0)+J125-J128</f>
        <v>84.62933</v>
      </c>
      <c r="K130" s="33" t="n">
        <f aca="false">J130+IF(Source_Data!K$6=Inputs!$B$12,Inputs!$B$7,0)+K125-K128</f>
        <v>114.591398</v>
      </c>
      <c r="L130" s="33" t="n">
        <f aca="false">K130+IF(Source_Data!L$6=Inputs!$B$12,Inputs!$B$7,0)+L125-L128</f>
        <v>86.705428</v>
      </c>
      <c r="M130" s="33" t="n">
        <f aca="false">L130+IF(Source_Data!M$6=Inputs!$B$12,Inputs!$B$7,0)+M125-M128</f>
        <v>81.522325</v>
      </c>
      <c r="N130" s="33" t="n">
        <f aca="false">M130+IF(Source_Data!N$6=Inputs!$B$12,Inputs!$B$7,0)+N125-N128</f>
        <v>97.885663</v>
      </c>
      <c r="O130" s="33" t="n">
        <f aca="false">N130+IF(Source_Data!O$6=Inputs!$B$12,Inputs!$B$7,0)+O125-O128</f>
        <v>140.612863</v>
      </c>
      <c r="P130" s="33" t="n">
        <f aca="false">O130+IF(Source_Data!P$6=Inputs!$B$12,Inputs!$B$7,0)+P125-P128</f>
        <v>183.116909166667</v>
      </c>
      <c r="Q130" s="33" t="n">
        <f aca="false">P130+IF(Source_Data!Q$6=Inputs!$B$12,Inputs!$B$7,0)+Q125-Q128</f>
        <v>237.838954833333</v>
      </c>
      <c r="R130" s="33" t="n">
        <f aca="false">Q130+IF(Source_Data!R$6=Inputs!$B$12,Inputs!$B$7,0)+R125-R128</f>
        <v>830.2858305</v>
      </c>
      <c r="S130" s="33" t="n">
        <f aca="false">R130+IF(Source_Data!S$6=Inputs!$B$12,Inputs!$B$7,0)+S125-S128</f>
        <v>808.992376166666</v>
      </c>
      <c r="T130" s="33" t="n">
        <f aca="false">S130+IF(Source_Data!T$6=Inputs!$B$12,Inputs!$B$7,0)+T125-T128</f>
        <v>676.673569833333</v>
      </c>
      <c r="U130" s="33" t="n">
        <f aca="false">T130+IF(Source_Data!U$6=Inputs!$B$12,Inputs!$B$7,0)+U125-U128</f>
        <v>570.493243499999</v>
      </c>
      <c r="V130" s="33" t="n">
        <f aca="false">U130+IF(Source_Data!V$6=Inputs!$B$12,Inputs!$B$7,0)+V125-V128</f>
        <v>599.694895166666</v>
      </c>
      <c r="W130" s="33" t="n">
        <f aca="false">V130+IF(Source_Data!W$6=Inputs!$B$12,Inputs!$B$7,0)+W125-W128</f>
        <v>626.722668833333</v>
      </c>
      <c r="X130" s="33" t="n">
        <f aca="false">W130+IF(Source_Data!X$6=Inputs!$B$12,Inputs!$B$7,0)+X125-X128</f>
        <v>672.999689749999</v>
      </c>
      <c r="Y130" s="33" t="n">
        <f aca="false">X130+IF(Source_Data!Y$6=Inputs!$B$12,Inputs!$B$7,0)+Y125-Y128</f>
        <v>710.725452916666</v>
      </c>
      <c r="Z130" s="33" t="n">
        <f aca="false">Y130+IF(Source_Data!Z$6=Inputs!$B$12,Inputs!$B$7,0)+Z125-Z128</f>
        <v>737.872571083332</v>
      </c>
      <c r="AA130" s="33" t="n">
        <f aca="false">Z130+IF(Source_Data!AA$6=Inputs!$B$12,Inputs!$B$7,0)+AA125-AA128</f>
        <v>752.669736249999</v>
      </c>
      <c r="AB130" s="33" t="n">
        <f aca="false">AA130+IF(Source_Data!AB$6=Inputs!$B$12,Inputs!$B$7,0)+AB125-AB128</f>
        <v>813.925234749999</v>
      </c>
      <c r="AC130" s="33" t="n">
        <f aca="false">AB130+IF(Source_Data!AC$6=Inputs!$B$12,Inputs!$B$7,0)+AC125-AC128</f>
        <v>875.180733249999</v>
      </c>
      <c r="AD130" s="33" t="n">
        <f aca="false">AC130+IF(Source_Data!AD$6=Inputs!$B$12,Inputs!$B$7,0)+AD125-AD128</f>
        <v>936.436231749999</v>
      </c>
      <c r="AE130" s="33" t="n">
        <f aca="false">AD130+IF(Source_Data!AE$6=Inputs!$B$12,Inputs!$B$7,0)+AE125-AE128</f>
        <v>997.691730249999</v>
      </c>
      <c r="AF130" s="33" t="n">
        <f aca="false">AE130+IF(Source_Data!AF$6=Inputs!$B$12,Inputs!$B$7,0)+AF125-AF128</f>
        <v>632.749996200518</v>
      </c>
      <c r="AG130" s="33" t="n">
        <f aca="false">AF130+IF(Source_Data!AG$6=Inputs!$B$12,Inputs!$B$7,0)+AG125-AG128</f>
        <v>649.03774262527</v>
      </c>
      <c r="AH130" s="33" t="n">
        <f aca="false">AG130+IF(Source_Data!AH$6=Inputs!$B$12,Inputs!$B$7,0)+AH125-AH128</f>
        <v>663.618713961472</v>
      </c>
      <c r="AI130" s="33" t="n">
        <f aca="false">AH130+IF(Source_Data!AI$6=Inputs!$B$12,Inputs!$B$7,0)+AI125-AI128</f>
        <v>676.492910209122</v>
      </c>
      <c r="AJ130" s="33" t="n">
        <f aca="false">AI130+IF(Source_Data!AJ$6=Inputs!$B$12,Inputs!$B$7,0)+AJ125-AJ128</f>
        <v>686.616477618412</v>
      </c>
      <c r="AK130" s="33" t="n">
        <f aca="false">AJ130+IF(Source_Data!AK$6=Inputs!$B$12,Inputs!$B$7,0)+AK125-AK128</f>
        <v>695.147054945054</v>
      </c>
      <c r="AL130" s="33" t="n">
        <f aca="false">AK130+IF(Source_Data!AL$6=Inputs!$B$12,Inputs!$B$7,0)+AL125-AL128</f>
        <v>702.581008664076</v>
      </c>
      <c r="AM130" s="33" t="n">
        <f aca="false">AL130+IF(Source_Data!AM$6=Inputs!$B$12,Inputs!$B$7,0)+AM125-AM128</f>
        <v>705.786777526051</v>
      </c>
      <c r="AN130" s="33" t="n">
        <f aca="false">AM130+IF(Source_Data!AN$6=Inputs!$B$12,Inputs!$B$7,0)+AN125-AN128</f>
        <v>708.992546388025</v>
      </c>
      <c r="AO130" s="33" t="n">
        <f aca="false">AN130+IF(Source_Data!AO$6=Inputs!$B$12,Inputs!$B$7,0)+AO125-AO128</f>
        <v>712.198315249999</v>
      </c>
      <c r="AP130" s="33" t="n">
        <f aca="false">AO130+IF(Source_Data!AP$6=Inputs!$B$12,Inputs!$B$7,0)+AP125-AP128</f>
        <v>712.198315249999</v>
      </c>
      <c r="AQ130" s="33" t="n">
        <f aca="false">AP130+IF(Source_Data!AQ$6=Inputs!$B$12,Inputs!$B$7,0)+AQ125-AQ128</f>
        <v>712.198315249999</v>
      </c>
      <c r="AR130" s="33" t="n">
        <f aca="false">AQ130+IF(Source_Data!AR$6=Inputs!$B$12,Inputs!$B$7,0)+AR125-AR128</f>
        <v>712.198315249999</v>
      </c>
      <c r="AS130" s="33" t="n">
        <f aca="false">AR130+IF(Source_Data!AS$6=Inputs!$B$12,Inputs!$B$7,0)+AS125-AS128</f>
        <v>712.198315249999</v>
      </c>
      <c r="AT130" s="33" t="n">
        <f aca="false">AS130+IF(Source_Data!AT$6=Inputs!$B$12,Inputs!$B$7,0)+AT125-AT128</f>
        <v>712.198315249999</v>
      </c>
      <c r="AU130" s="33" t="n">
        <f aca="false">AT130+IF(Source_Data!AU$6=Inputs!$B$12,Inputs!$B$7,0)+AU125-AU128</f>
        <v>712.198315249999</v>
      </c>
      <c r="AV130" s="33" t="n">
        <f aca="false">AU130+IF(Source_Data!AV$6=Inputs!$B$12,Inputs!$B$7,0)+AV125-AV128</f>
        <v>712.198315249999</v>
      </c>
      <c r="AW130" s="33" t="n">
        <f aca="false">AV130+IF(Source_Data!AW$6=Inputs!$B$12,Inputs!$B$7,0)+AW125-AW128</f>
        <v>712.198315249999</v>
      </c>
      <c r="AX130" s="33" t="n">
        <f aca="false">AW130+IF(Source_Data!AX$6=Inputs!$B$12,Inputs!$B$7,0)+AX125-AX128</f>
        <v>712.198315249999</v>
      </c>
      <c r="AY130" s="33" t="n">
        <f aca="false">AX130+IF(Source_Data!AY$6=Inputs!$B$12,Inputs!$B$7,0)+AY125-AY128</f>
        <v>712.198315249999</v>
      </c>
      <c r="AZ130" s="33" t="n">
        <f aca="false">AY130+IF(Source_Data!AZ$6=Inputs!$B$12,Inputs!$B$7,0)+AZ125-AZ128</f>
        <v>712.198315249999</v>
      </c>
      <c r="BA130" s="33" t="n">
        <f aca="false">AZ130+IF(Source_Data!BA$6=Inputs!$B$12,Inputs!$B$7,0)+BA125-BA128</f>
        <v>712.198315249999</v>
      </c>
      <c r="BB130" s="33" t="n">
        <f aca="false">BA130+IF(Source_Data!BB$6=Inputs!$B$12,Inputs!$B$7,0)+BB125-BB128</f>
        <v>712.198315249999</v>
      </c>
      <c r="BC130" s="33" t="n">
        <f aca="false">BB130+IF(Source_Data!BC$6=Inputs!$B$12,Inputs!$B$7,0)+BC125-BC128</f>
        <v>712.198315249999</v>
      </c>
      <c r="BD130" s="33" t="n">
        <f aca="false">BC130+IF(Source_Data!BD$6=Inputs!$B$12,Inputs!$B$7,0)+BD125-BD128</f>
        <v>712.198315249999</v>
      </c>
      <c r="BE130" s="33" t="n">
        <f aca="false">BD130+IF(Source_Data!BE$6=Inputs!$B$12,Inputs!$B$7,0)+BE125-BE128</f>
        <v>712.198315249999</v>
      </c>
      <c r="BF130" s="33" t="n">
        <f aca="false">BE130+IF(Source_Data!BF$6=Inputs!$B$12,Inputs!$B$7,0)+BF125-BF128</f>
        <v>712.198315249999</v>
      </c>
      <c r="BG130" s="33" t="n">
        <f aca="false">BF130+IF(Source_Data!BG$6=Inputs!$B$12,Inputs!$B$7,0)+BG125-BG128</f>
        <v>712.198315249999</v>
      </c>
      <c r="BH130" s="33" t="n">
        <f aca="false">BG130+IF(Source_Data!BH$6=Inputs!$B$12,Inputs!$B$7,0)+BH125-BH128</f>
        <v>712.198315249999</v>
      </c>
      <c r="BI130" s="33" t="n">
        <f aca="false">BH130+IF(Source_Data!BI$6=Inputs!$B$12,Inputs!$B$7,0)+BI125-BI128</f>
        <v>712.198315249999</v>
      </c>
      <c r="BJ130" s="33" t="n">
        <f aca="false">BI130+IF(Source_Data!BJ$6=Inputs!$B$12,Inputs!$B$7,0)+BJ125-BJ128</f>
        <v>712.198315249999</v>
      </c>
      <c r="BK130" s="33" t="n">
        <f aca="false">BJ130+IF(Source_Data!BK$6=Inputs!$B$12,Inputs!$B$7,0)+BK125-BK128</f>
        <v>712.198315249999</v>
      </c>
    </row>
    <row r="131" customFormat="false" ht="15" hidden="false" customHeight="false" outlineLevel="0" collapsed="false">
      <c r="A131" s="3" t="s">
        <v>353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2.77408192695652</v>
      </c>
      <c r="Q131" s="31" t="n">
        <f aca="false">IF(Q128&gt;0,Q125/Q128,"")</f>
        <v>3.28405060173913</v>
      </c>
      <c r="R131" s="31" t="n">
        <f aca="false">IF(R128&gt;0,R125/R128,"")</f>
        <v>25.7282174191304</v>
      </c>
      <c r="S131" s="31" t="n">
        <f aca="false">IF(S128&gt;0,S125/S128,"")</f>
        <v>0.111229732173912</v>
      </c>
      <c r="T131" s="31" t="n">
        <f aca="false">IF(T128&gt;0,T125/T128,"")</f>
        <v>-4.52287191652175</v>
      </c>
      <c r="U131" s="31" t="n">
        <f aca="false">IF(U128&gt;0,U125/U128,"")</f>
        <v>-3.43187449043479</v>
      </c>
      <c r="V131" s="31" t="n">
        <f aca="false">IF(V128&gt;0,V125/V128,"")</f>
        <v>2.21885154782609</v>
      </c>
      <c r="W131" s="31" t="n">
        <f aca="false">IF(W128&gt;0,W125/W128,"")</f>
        <v>2.12811577043478</v>
      </c>
      <c r="X131" s="31" t="n">
        <f aca="false">IF(X128&gt;0,X125/X128,"")</f>
        <v>2.93156261217391</v>
      </c>
      <c r="Y131" s="31" t="n">
        <f aca="false">IF(Y128&gt;0,Y125/Y128,"")</f>
        <v>2.57464054956522</v>
      </c>
      <c r="Z131" s="31" t="n">
        <f aca="false">IF(Z128&gt;0,Z125/Z128,"")</f>
        <v>2.13309710608696</v>
      </c>
      <c r="AA131" s="31" t="n">
        <f aca="false">IF(AA128&gt;0,AA125/AA128,"")</f>
        <v>1.61762080695652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354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8.64314055652174</v>
      </c>
      <c r="Q132" s="31" t="n">
        <f aca="false">IF(Q128&gt;0,(P130+Q125+IF(Source_Data!Q$6=Inputs!$B$12,Inputs!$B$7,0))/Q128,"")</f>
        <v>10.9271911582609</v>
      </c>
      <c r="R132" s="31" t="n">
        <f aca="false">IF(R128&gt;0,(Q130+R125+IF(Source_Data!R$6=Inputs!$B$12,Inputs!$B$7,0))/R128,"")</f>
        <v>35.6554085773913</v>
      </c>
      <c r="S132" s="31" t="n">
        <f aca="false">IF(S128&gt;0,(R130+S125+IF(Source_Data!S$6=Inputs!$B$12,Inputs!$B$7,0))/S128,"")</f>
        <v>34.7666383095652</v>
      </c>
      <c r="T132" s="31" t="n">
        <f aca="false">IF(T128&gt;0,(S130+T125+IF(Source_Data!T$6=Inputs!$B$12,Inputs!$B$7,0))/T128,"")</f>
        <v>29.2437663930435</v>
      </c>
      <c r="U132" s="31" t="n">
        <f aca="false">IF(U128&gt;0,(T130+U125+IF(Source_Data!U$6=Inputs!$B$12,Inputs!$B$7,0))/U128,"")</f>
        <v>24.8118919026087</v>
      </c>
      <c r="V132" s="31" t="n">
        <f aca="false">IF(V128&gt;0,(U130+V125+IF(Source_Data!V$6=Inputs!$B$12,Inputs!$B$7,0))/V128,"")</f>
        <v>26.0307434504348</v>
      </c>
      <c r="W132" s="31" t="n">
        <f aca="false">IF(W128&gt;0,(V130+W125+IF(Source_Data!W$6=Inputs!$B$12,Inputs!$B$7,0))/W128,"")</f>
        <v>27.1588592208695</v>
      </c>
      <c r="X132" s="31" t="n">
        <f aca="false">IF(X128&gt;0,(W130+X125+IF(Source_Data!X$6=Inputs!$B$12,Inputs!$B$7,0))/X128,"")</f>
        <v>29.0904218330434</v>
      </c>
      <c r="Y132" s="31" t="n">
        <f aca="false">IF(Y128&gt;0,(X130+Y125+IF(Source_Data!Y$6=Inputs!$B$12,Inputs!$B$7,0))/Y128,"")</f>
        <v>30.6650623826087</v>
      </c>
      <c r="Z132" s="31" t="n">
        <f aca="false">IF(Z128&gt;0,(Y130+Z125+IF(Source_Data!Z$6=Inputs!$B$12,Inputs!$B$7,0))/Z128,"")</f>
        <v>31.7981594886956</v>
      </c>
      <c r="AA132" s="31" t="n">
        <f aca="false">IF(AA128&gt;0,(Z130+AA125+IF(Source_Data!AA$6=Inputs!$B$12,Inputs!$B$7,0))/AA128,"")</f>
        <v>32.4157802956521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355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171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356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357</v>
      </c>
      <c r="B138" s="39" t="n">
        <f aca="false">(1+IRR(D127:BK127,0.05))^4-1</f>
        <v>0.351197278973157</v>
      </c>
    </row>
    <row r="139" customFormat="false" ht="15" hidden="false" customHeight="false" outlineLevel="0" collapsed="false">
      <c r="A139" s="2" t="s">
        <v>358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359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360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361</v>
      </c>
      <c r="B142" s="43" t="n">
        <f aca="false">MIN(D131:BK131)</f>
        <v>-4.52287191652175</v>
      </c>
    </row>
    <row r="143" customFormat="false" ht="15" hidden="false" customHeight="false" outlineLevel="0" collapsed="false">
      <c r="A143" s="2" t="s">
        <v>362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363</v>
      </c>
      <c r="B144" s="43" t="n">
        <f aca="false">MIN(D132:BK132)</f>
        <v>8.64314055652174</v>
      </c>
    </row>
    <row r="145" customFormat="false" ht="15" hidden="false" customHeight="false" outlineLevel="0" collapsed="false">
      <c r="A145" s="2" t="s">
        <v>364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371</v>
      </c>
    </row>
    <row r="149" customFormat="false" ht="15" hidden="false" customHeight="false" outlineLevel="0" collapsed="false">
      <c r="A149" s="3" t="s">
        <v>340</v>
      </c>
      <c r="B149" s="45" t="n">
        <v>1</v>
      </c>
    </row>
    <row r="150" customFormat="false" ht="15" hidden="false" customHeight="false" outlineLevel="0" collapsed="false">
      <c r="A150" s="3" t="s">
        <v>341</v>
      </c>
      <c r="B150" s="45" t="n">
        <v>2</v>
      </c>
    </row>
    <row r="151" customFormat="false" ht="15" hidden="false" customHeight="false" outlineLevel="0" collapsed="false">
      <c r="A151" s="3" t="s">
        <v>342</v>
      </c>
      <c r="B151" s="45" t="n">
        <v>1</v>
      </c>
    </row>
    <row r="152" customFormat="false" ht="15" hidden="false" customHeight="false" outlineLevel="0" collapsed="false">
      <c r="A152" s="3" t="s">
        <v>343</v>
      </c>
      <c r="B152" s="45" t="n">
        <v>0</v>
      </c>
    </row>
    <row r="153" customFormat="false" ht="15" hidden="false" customHeight="false" outlineLevel="0" collapsed="false">
      <c r="A153" s="3" t="s">
        <v>344</v>
      </c>
      <c r="B153" s="45" t="n">
        <v>0</v>
      </c>
    </row>
    <row r="154" customFormat="false" ht="15" hidden="false" customHeight="false" outlineLevel="0" collapsed="false">
      <c r="A154" s="3" t="s">
        <v>345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346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347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348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203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205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224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225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226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-125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89.8148148148148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89.8148148148148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89.8148148148148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89.8148148148148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350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23.9583333333333</v>
      </c>
      <c r="Q164" s="33" t="n">
        <f aca="false">IF(AND(Source_Data!Q$6&gt;=Inputs!$B$54,Source_Data!Q$6&lt;Inputs!$B$54+3*Inputs!$B$11),Inputs!$B$9*Inputs!$B$7/Inputs!$B$11,0)</f>
        <v>23.9583333333333</v>
      </c>
      <c r="R164" s="33" t="n">
        <f aca="false">IF(AND(Source_Data!R$6&gt;=Inputs!$B$54,Source_Data!R$6&lt;Inputs!$B$54+3*Inputs!$B$11),Inputs!$B$9*Inputs!$B$7/Inputs!$B$11,0)</f>
        <v>23.9583333333333</v>
      </c>
      <c r="S164" s="33" t="n">
        <f aca="false">IF(AND(Source_Data!S$6&gt;=Inputs!$B$54,Source_Data!S$6&lt;Inputs!$B$54+3*Inputs!$B$11),Inputs!$B$9*Inputs!$B$7/Inputs!$B$11,0)</f>
        <v>23.9583333333333</v>
      </c>
      <c r="T164" s="33" t="n">
        <f aca="false">IF(AND(Source_Data!T$6&gt;=Inputs!$B$54,Source_Data!T$6&lt;Inputs!$B$54+3*Inputs!$B$11),Inputs!$B$9*Inputs!$B$7/Inputs!$B$11,0)</f>
        <v>23.9583333333333</v>
      </c>
      <c r="U164" s="33" t="n">
        <f aca="false">IF(AND(Source_Data!U$6&gt;=Inputs!$B$54,Source_Data!U$6&lt;Inputs!$B$54+3*Inputs!$B$11),Inputs!$B$9*Inputs!$B$7/Inputs!$B$11,0)</f>
        <v>23.9583333333333</v>
      </c>
      <c r="V164" s="33" t="n">
        <f aca="false">IF(AND(Source_Data!V$6&gt;=Inputs!$B$54,Source_Data!V$6&lt;Inputs!$B$54+3*Inputs!$B$11),Inputs!$B$9*Inputs!$B$7/Inputs!$B$11,0)</f>
        <v>23.9583333333333</v>
      </c>
      <c r="W164" s="33" t="n">
        <f aca="false">IF(AND(Source_Data!W$6&gt;=Inputs!$B$54,Source_Data!W$6&lt;Inputs!$B$54+3*Inputs!$B$11),Inputs!$B$9*Inputs!$B$7/Inputs!$B$11,0)</f>
        <v>23.9583333333333</v>
      </c>
      <c r="X164" s="33" t="n">
        <f aca="false">IF(AND(Source_Data!X$6&gt;=Inputs!$B$54,Source_Data!X$6&lt;Inputs!$B$54+3*Inputs!$B$11),Inputs!$B$9*Inputs!$B$7/Inputs!$B$11,0)</f>
        <v>23.9583333333333</v>
      </c>
      <c r="Y164" s="33" t="n">
        <f aca="false">IF(AND(Source_Data!Y$6&gt;=Inputs!$B$54,Source_Data!Y$6&lt;Inputs!$B$54+3*Inputs!$B$11),Inputs!$B$9*Inputs!$B$7/Inputs!$B$11,0)</f>
        <v>23.9583333333333</v>
      </c>
      <c r="Z164" s="33" t="n">
        <f aca="false">IF(AND(Source_Data!Z$6&gt;=Inputs!$B$54,Source_Data!Z$6&lt;Inputs!$B$54+3*Inputs!$B$11),Inputs!$B$9*Inputs!$B$7/Inputs!$B$11,0)</f>
        <v>23.9583333333333</v>
      </c>
      <c r="AA164" s="33" t="n">
        <f aca="false">IF(AND(Source_Data!AA$6&gt;=Inputs!$B$54,Source_Data!AA$6&lt;Inputs!$B$54+3*Inputs!$B$11),Inputs!$B$9*Inputs!$B$7/Inputs!$B$11,0)</f>
        <v>23.9583333333333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351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-125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23.9583333333333</v>
      </c>
      <c r="Q165" s="33" t="n">
        <f aca="false">IF(Source_Data!Q$6=Inputs!$B$12,-Inputs!$B$7,0)+Q164</f>
        <v>23.9583333333333</v>
      </c>
      <c r="R165" s="33" t="n">
        <f aca="false">IF(Source_Data!R$6=Inputs!$B$12,-Inputs!$B$7,0)+R164</f>
        <v>23.9583333333333</v>
      </c>
      <c r="S165" s="33" t="n">
        <f aca="false">IF(Source_Data!S$6=Inputs!$B$12,-Inputs!$B$7,0)+S164</f>
        <v>23.9583333333333</v>
      </c>
      <c r="T165" s="33" t="n">
        <f aca="false">IF(Source_Data!T$6=Inputs!$B$12,-Inputs!$B$7,0)+T164</f>
        <v>23.9583333333333</v>
      </c>
      <c r="U165" s="33" t="n">
        <f aca="false">IF(Source_Data!U$6=Inputs!$B$12,-Inputs!$B$7,0)+U164</f>
        <v>23.9583333333333</v>
      </c>
      <c r="V165" s="33" t="n">
        <f aca="false">IF(Source_Data!V$6=Inputs!$B$12,-Inputs!$B$7,0)+V164</f>
        <v>23.9583333333333</v>
      </c>
      <c r="W165" s="33" t="n">
        <f aca="false">IF(Source_Data!W$6=Inputs!$B$12,-Inputs!$B$7,0)+W164</f>
        <v>23.9583333333333</v>
      </c>
      <c r="X165" s="33" t="n">
        <f aca="false">IF(Source_Data!X$6=Inputs!$B$12,-Inputs!$B$7,0)+X164</f>
        <v>23.9583333333333</v>
      </c>
      <c r="Y165" s="33" t="n">
        <f aca="false">IF(Source_Data!Y$6=Inputs!$B$12,-Inputs!$B$7,0)+Y164</f>
        <v>23.9583333333333</v>
      </c>
      <c r="Z165" s="33" t="n">
        <f aca="false">IF(Source_Data!Z$6=Inputs!$B$12,-Inputs!$B$7,0)+Z164</f>
        <v>23.9583333333333</v>
      </c>
      <c r="AA165" s="33" t="n">
        <f aca="false">IF(Source_Data!AA$6=Inputs!$B$12,-Inputs!$B$7,0)+AA164</f>
        <v>23.9583333333333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352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40</v>
      </c>
      <c r="H166" s="33" t="n">
        <f aca="false">G166+IF(Source_Data!H$6=Inputs!$B$12,Inputs!$B$7,0)+H161-H164</f>
        <v>17.5</v>
      </c>
      <c r="I166" s="33" t="n">
        <f aca="false">H166+IF(Source_Data!I$6=Inputs!$B$12,Inputs!$B$7,0)+I161-I164</f>
        <v>-5</v>
      </c>
      <c r="J166" s="33" t="n">
        <f aca="false">I166+IF(Source_Data!J$6=Inputs!$B$12,Inputs!$B$7,0)+J161-J164</f>
        <v>-32.38435</v>
      </c>
      <c r="K166" s="33" t="n">
        <f aca="false">J166+IF(Source_Data!K$6=Inputs!$B$12,Inputs!$B$7,0)+K161-K164</f>
        <v>-49.01305</v>
      </c>
      <c r="L166" s="33" t="n">
        <f aca="false">K166+IF(Source_Data!L$6=Inputs!$B$12,Inputs!$B$7,0)+L161-L164</f>
        <v>-81.752225</v>
      </c>
      <c r="M166" s="33" t="n">
        <f aca="false">L166+IF(Source_Data!M$6=Inputs!$B$12,Inputs!$B$7,0)+M161-M164</f>
        <v>-88.093835</v>
      </c>
      <c r="N166" s="33" t="n">
        <f aca="false">M166+IF(Source_Data!N$6=Inputs!$B$12,Inputs!$B$7,0)+N161-N164</f>
        <v>-110.85881</v>
      </c>
      <c r="O166" s="33" t="n">
        <f aca="false">N166+IF(Source_Data!O$6=Inputs!$B$12,Inputs!$B$7,0)+O161-O164</f>
        <v>-127.7380625</v>
      </c>
      <c r="P166" s="33" t="n">
        <f aca="false">O166+IF(Source_Data!P$6=Inputs!$B$12,Inputs!$B$7,0)+P161-P164</f>
        <v>-137.582280833333</v>
      </c>
      <c r="Q166" s="33" t="n">
        <f aca="false">P166+IF(Source_Data!Q$6=Inputs!$B$12,Inputs!$B$7,0)+Q161-Q164</f>
        <v>-125.456614166667</v>
      </c>
      <c r="R166" s="33" t="n">
        <f aca="false">Q166+IF(Source_Data!R$6=Inputs!$B$12,Inputs!$B$7,0)+R161-R164</f>
        <v>-236.34463125</v>
      </c>
      <c r="S166" s="33" t="n">
        <f aca="false">R166+IF(Source_Data!S$6=Inputs!$B$12,Inputs!$B$7,0)+S161-S164</f>
        <v>-337.050982083333</v>
      </c>
      <c r="T166" s="33" t="n">
        <f aca="false">S166+IF(Source_Data!T$6=Inputs!$B$12,Inputs!$B$7,0)+T161-T164</f>
        <v>80.9366920833332</v>
      </c>
      <c r="U166" s="33" t="n">
        <f aca="false">T166+IF(Source_Data!U$6=Inputs!$B$12,Inputs!$B$7,0)+U161-U164</f>
        <v>41.5240912499998</v>
      </c>
      <c r="V166" s="33" t="n">
        <f aca="false">U166+IF(Source_Data!V$6=Inputs!$B$12,Inputs!$B$7,0)+V161-V164</f>
        <v>76.9320304166664</v>
      </c>
      <c r="W166" s="33" t="n">
        <f aca="false">V166+IF(Source_Data!W$6=Inputs!$B$12,Inputs!$B$7,0)+W161-W164</f>
        <v>89.080369583333</v>
      </c>
      <c r="X166" s="33" t="n">
        <f aca="false">W166+IF(Source_Data!X$6=Inputs!$B$12,Inputs!$B$7,0)+X161-X164</f>
        <v>124.42202375</v>
      </c>
      <c r="Y166" s="33" t="n">
        <f aca="false">X166+IF(Source_Data!Y$6=Inputs!$B$12,Inputs!$B$7,0)+Y161-Y164</f>
        <v>157.952112916666</v>
      </c>
      <c r="Z166" s="33" t="n">
        <f aca="false">Y166+IF(Source_Data!Z$6=Inputs!$B$12,Inputs!$B$7,0)+Z161-Z164</f>
        <v>188.773241458333</v>
      </c>
      <c r="AA166" s="33" t="n">
        <f aca="false">Z166+IF(Source_Data!AA$6=Inputs!$B$12,Inputs!$B$7,0)+AA161-AA164</f>
        <v>212.468321875</v>
      </c>
      <c r="AB166" s="33" t="n">
        <f aca="false">AA166+IF(Source_Data!AB$6=Inputs!$B$12,Inputs!$B$7,0)+AB161-AB164</f>
        <v>273.806198125</v>
      </c>
      <c r="AC166" s="33" t="n">
        <f aca="false">AB166+IF(Source_Data!AC$6=Inputs!$B$12,Inputs!$B$7,0)+AC161-AC164</f>
        <v>324.852446875</v>
      </c>
      <c r="AD166" s="33" t="n">
        <f aca="false">AC166+IF(Source_Data!AD$6=Inputs!$B$12,Inputs!$B$7,0)+AD161-AD164</f>
        <v>375.898695625</v>
      </c>
      <c r="AE166" s="33" t="n">
        <f aca="false">AD166+IF(Source_Data!AE$6=Inputs!$B$12,Inputs!$B$7,0)+AE161-AE164</f>
        <v>426.944944374999</v>
      </c>
      <c r="AF166" s="33" t="n">
        <f aca="false">AE166+IF(Source_Data!AF$6=Inputs!$B$12,Inputs!$B$7,0)+AF161-AF164</f>
        <v>236.7995815625</v>
      </c>
      <c r="AG166" s="33" t="n">
        <f aca="false">AF166+IF(Source_Data!AG$6=Inputs!$B$12,Inputs!$B$7,0)+AG161-AG164</f>
        <v>271.73860390625</v>
      </c>
      <c r="AH166" s="33" t="n">
        <f aca="false">AG166+IF(Source_Data!AH$6=Inputs!$B$12,Inputs!$B$7,0)+AH161-AH164</f>
        <v>301.25061921875</v>
      </c>
      <c r="AI166" s="33" t="n">
        <f aca="false">AH166+IF(Source_Data!AI$6=Inputs!$B$12,Inputs!$B$7,0)+AI161-AI164</f>
        <v>325.3356275</v>
      </c>
      <c r="AJ166" s="33" t="n">
        <f aca="false">AI166+IF(Source_Data!AJ$6=Inputs!$B$12,Inputs!$B$7,0)+AJ161-AJ164</f>
        <v>348.28281640625</v>
      </c>
      <c r="AK166" s="33" t="n">
        <f aca="false">AJ166+IF(Source_Data!AK$6=Inputs!$B$12,Inputs!$B$7,0)+AK161-AK164</f>
        <v>368.9473775</v>
      </c>
      <c r="AL166" s="33" t="n">
        <f aca="false">AK166+IF(Source_Data!AL$6=Inputs!$B$12,Inputs!$B$7,0)+AL161-AL164</f>
        <v>384.478938125</v>
      </c>
      <c r="AM166" s="33" t="n">
        <f aca="false">AL166+IF(Source_Data!AM$6=Inputs!$B$12,Inputs!$B$7,0)+AM161-AM164</f>
        <v>400.591056875</v>
      </c>
      <c r="AN166" s="33" t="n">
        <f aca="false">AM166+IF(Source_Data!AN$6=Inputs!$B$12,Inputs!$B$7,0)+AN161-AN164</f>
        <v>414.224388125</v>
      </c>
      <c r="AO166" s="33" t="n">
        <f aca="false">AN166+IF(Source_Data!AO$6=Inputs!$B$12,Inputs!$B$7,0)+AO161-AO164</f>
        <v>418.300409375</v>
      </c>
      <c r="AP166" s="33" t="n">
        <f aca="false">AO166+IF(Source_Data!AP$6=Inputs!$B$12,Inputs!$B$7,0)+AP161-AP164</f>
        <v>425.546669375</v>
      </c>
      <c r="AQ166" s="33" t="n">
        <f aca="false">AP166+IF(Source_Data!AQ$6=Inputs!$B$12,Inputs!$B$7,0)+AQ161-AQ164</f>
        <v>432.792929375</v>
      </c>
      <c r="AR166" s="33" t="n">
        <f aca="false">AQ166+IF(Source_Data!AR$6=Inputs!$B$12,Inputs!$B$7,0)+AR161-AR164</f>
        <v>432.792929375</v>
      </c>
      <c r="AS166" s="33" t="n">
        <f aca="false">AR166+IF(Source_Data!AS$6=Inputs!$B$12,Inputs!$B$7,0)+AS161-AS164</f>
        <v>432.792929375</v>
      </c>
      <c r="AT166" s="33" t="n">
        <f aca="false">AS166+IF(Source_Data!AT$6=Inputs!$B$12,Inputs!$B$7,0)+AT161-AT164</f>
        <v>432.792929375</v>
      </c>
      <c r="AU166" s="33" t="n">
        <f aca="false">AT166+IF(Source_Data!AU$6=Inputs!$B$12,Inputs!$B$7,0)+AU161-AU164</f>
        <v>432.792929375</v>
      </c>
      <c r="AV166" s="33" t="n">
        <f aca="false">AU166+IF(Source_Data!AV$6=Inputs!$B$12,Inputs!$B$7,0)+AV161-AV164</f>
        <v>432.792929375</v>
      </c>
      <c r="AW166" s="33" t="n">
        <f aca="false">AV166+IF(Source_Data!AW$6=Inputs!$B$12,Inputs!$B$7,0)+AW161-AW164</f>
        <v>432.792929375</v>
      </c>
      <c r="AX166" s="33" t="n">
        <f aca="false">AW166+IF(Source_Data!AX$6=Inputs!$B$12,Inputs!$B$7,0)+AX161-AX164</f>
        <v>432.792929375</v>
      </c>
      <c r="AY166" s="33" t="n">
        <f aca="false">AX166+IF(Source_Data!AY$6=Inputs!$B$12,Inputs!$B$7,0)+AY161-AY164</f>
        <v>432.792929375</v>
      </c>
      <c r="AZ166" s="33" t="n">
        <f aca="false">AY166+IF(Source_Data!AZ$6=Inputs!$B$12,Inputs!$B$7,0)+AZ161-AZ164</f>
        <v>432.792929375</v>
      </c>
      <c r="BA166" s="33" t="n">
        <f aca="false">AZ166+IF(Source_Data!BA$6=Inputs!$B$12,Inputs!$B$7,0)+BA161-BA164</f>
        <v>432.792929375</v>
      </c>
      <c r="BB166" s="33" t="n">
        <f aca="false">BA166+IF(Source_Data!BB$6=Inputs!$B$12,Inputs!$B$7,0)+BB161-BB164</f>
        <v>432.792929375</v>
      </c>
      <c r="BC166" s="33" t="n">
        <f aca="false">BB166+IF(Source_Data!BC$6=Inputs!$B$12,Inputs!$B$7,0)+BC161-BC164</f>
        <v>432.792929375</v>
      </c>
      <c r="BD166" s="33" t="n">
        <f aca="false">BC166+IF(Source_Data!BD$6=Inputs!$B$12,Inputs!$B$7,0)+BD161-BD164</f>
        <v>432.792929375</v>
      </c>
      <c r="BE166" s="33" t="n">
        <f aca="false">BD166+IF(Source_Data!BE$6=Inputs!$B$12,Inputs!$B$7,0)+BE161-BE164</f>
        <v>432.792929375</v>
      </c>
      <c r="BF166" s="33" t="n">
        <f aca="false">BE166+IF(Source_Data!BF$6=Inputs!$B$12,Inputs!$B$7,0)+BF161-BF164</f>
        <v>432.792929375</v>
      </c>
      <c r="BG166" s="33" t="n">
        <f aca="false">BF166+IF(Source_Data!BG$6=Inputs!$B$12,Inputs!$B$7,0)+BG161-BG164</f>
        <v>432.792929375</v>
      </c>
      <c r="BH166" s="33" t="n">
        <f aca="false">BG166+IF(Source_Data!BH$6=Inputs!$B$12,Inputs!$B$7,0)+BH161-BH164</f>
        <v>432.792929375</v>
      </c>
      <c r="BI166" s="33" t="n">
        <f aca="false">BH166+IF(Source_Data!BI$6=Inputs!$B$12,Inputs!$B$7,0)+BI161-BI164</f>
        <v>432.792929375</v>
      </c>
      <c r="BJ166" s="33" t="n">
        <f aca="false">BI166+IF(Source_Data!BJ$6=Inputs!$B$12,Inputs!$B$7,0)+BJ161-BJ164</f>
        <v>432.792929375</v>
      </c>
      <c r="BK166" s="33" t="n">
        <f aca="false">BJ166+IF(Source_Data!BK$6=Inputs!$B$12,Inputs!$B$7,0)+BK161-BK164</f>
        <v>432.792929375</v>
      </c>
    </row>
    <row r="167" customFormat="false" ht="15" hidden="false" customHeight="false" outlineLevel="0" collapsed="false">
      <c r="A167" s="3" t="s">
        <v>353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0.589110886956522</v>
      </c>
      <c r="Q167" s="31" t="n">
        <f aca="false">IF(Q164&gt;0,Q161/Q164,"")</f>
        <v>1.5061147826087</v>
      </c>
      <c r="R167" s="31" t="n">
        <f aca="false">IF(R164&gt;0,R161/R164,"")</f>
        <v>-3.62836940869565</v>
      </c>
      <c r="S167" s="31" t="n">
        <f aca="false">IF(S164&gt;0,S161/S164,"")</f>
        <v>-3.20339551304348</v>
      </c>
      <c r="T167" s="31" t="n">
        <f aca="false">IF(T164&gt;0,T161/T164,"")</f>
        <v>18.4464420521739</v>
      </c>
      <c r="U167" s="31" t="n">
        <f aca="false">IF(U164&gt;0,U161/U164,"")</f>
        <v>-0.645047686956523</v>
      </c>
      <c r="V167" s="31" t="n">
        <f aca="false">IF(V164&gt;0,V161/V164,"")</f>
        <v>2.47789659130434</v>
      </c>
      <c r="W167" s="31" t="n">
        <f aca="false">IF(W164&gt;0,W161/W164,"")</f>
        <v>1.50706111304348</v>
      </c>
      <c r="X167" s="31" t="n">
        <f aca="false">IF(X164&gt;0,X161/X164,"")</f>
        <v>2.47512991304348</v>
      </c>
      <c r="Y167" s="31" t="n">
        <f aca="false">IF(Y164&gt;0,Y161/Y164,"")</f>
        <v>2.39951676521739</v>
      </c>
      <c r="Z167" s="31" t="n">
        <f aca="false">IF(Z164&gt;0,Z161/Z164,"")</f>
        <v>2.28644710434783</v>
      </c>
      <c r="AA167" s="31" t="n">
        <f aca="false">IF(AA164&gt;0,AA161/AA164,"")</f>
        <v>1.98901205217391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354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-4.74256476521739</v>
      </c>
      <c r="Q168" s="31" t="n">
        <f aca="false">IF(Q164&gt;0,(P166+Q161+IF(Source_Data!Q$6=Inputs!$B$12,Inputs!$B$7,0))/Q164,"")</f>
        <v>-4.2364499826087</v>
      </c>
      <c r="R168" s="31" t="n">
        <f aca="false">IF(R164&gt;0,(Q166+R161+IF(Source_Data!R$6=Inputs!$B$12,Inputs!$B$7,0))/R164,"")</f>
        <v>-8.86481939130435</v>
      </c>
      <c r="S168" s="31" t="n">
        <f aca="false">IF(S164&gt;0,(R166+S161+IF(Source_Data!S$6=Inputs!$B$12,Inputs!$B$7,0))/S164,"")</f>
        <v>-13.0682149043478</v>
      </c>
      <c r="T168" s="31" t="n">
        <f aca="false">IF(T164&gt;0,(S166+T161+IF(Source_Data!T$6=Inputs!$B$12,Inputs!$B$7,0))/T164,"")</f>
        <v>4.37822714782608</v>
      </c>
      <c r="U168" s="31" t="n">
        <f aca="false">IF(U164&gt;0,(T166+U161+IF(Source_Data!U$6=Inputs!$B$12,Inputs!$B$7,0))/U164,"")</f>
        <v>2.73317946086956</v>
      </c>
      <c r="V168" s="31" t="n">
        <f aca="false">IF(V164&gt;0,(U166+V161+IF(Source_Data!V$6=Inputs!$B$12,Inputs!$B$7,0))/V164,"")</f>
        <v>4.2110760521739</v>
      </c>
      <c r="W168" s="31" t="n">
        <f aca="false">IF(W164&gt;0,(V166+W161+IF(Source_Data!W$6=Inputs!$B$12,Inputs!$B$7,0))/W164,"")</f>
        <v>4.71813716521738</v>
      </c>
      <c r="X168" s="31" t="n">
        <f aca="false">IF(X164&gt;0,(W166+X161+IF(Source_Data!X$6=Inputs!$B$12,Inputs!$B$7,0))/X164,"")</f>
        <v>6.19326707826086</v>
      </c>
      <c r="Y168" s="31" t="n">
        <f aca="false">IF(Y164&gt;0,(X166+Y161+IF(Source_Data!Y$6=Inputs!$B$12,Inputs!$B$7,0))/Y164,"")</f>
        <v>7.59278384347825</v>
      </c>
      <c r="Z168" s="31" t="n">
        <f aca="false">IF(Z164&gt;0,(Y166+Z161+IF(Source_Data!Z$6=Inputs!$B$12,Inputs!$B$7,0))/Z164,"")</f>
        <v>8.87923094782607</v>
      </c>
      <c r="AA168" s="31" t="n">
        <f aca="false">IF(AA164&gt;0,(Z166+AA161+IF(Source_Data!AA$6=Inputs!$B$12,Inputs!$B$7,0))/AA164,"")</f>
        <v>9.86824299999998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355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171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356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357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358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360</v>
      </c>
      <c r="B177" s="41" t="n">
        <f aca="false">MIN(D166:BK166)</f>
        <v>-337.050982083333</v>
      </c>
    </row>
    <row r="178" customFormat="false" ht="15" hidden="false" customHeight="false" outlineLevel="0" collapsed="false">
      <c r="A178" s="2" t="s">
        <v>361</v>
      </c>
      <c r="B178" s="43" t="n">
        <f aca="false">MIN(D167:BK167)</f>
        <v>-3.62836940869565</v>
      </c>
    </row>
    <row r="179" customFormat="false" ht="15" hidden="false" customHeight="false" outlineLevel="0" collapsed="false">
      <c r="A179" s="2" t="s">
        <v>362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363</v>
      </c>
      <c r="B180" s="43" t="n">
        <f aca="false">MIN(D168:BK168)</f>
        <v>-13.0682149043478</v>
      </c>
    </row>
    <row r="181" customFormat="false" ht="15" hidden="false" customHeight="false" outlineLevel="0" collapsed="false">
      <c r="A181" s="2" t="s">
        <v>364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372</v>
      </c>
    </row>
    <row r="185" customFormat="false" ht="15" hidden="false" customHeight="false" outlineLevel="0" collapsed="false">
      <c r="A185" s="3" t="s">
        <v>340</v>
      </c>
      <c r="B185" s="45" t="n">
        <v>1</v>
      </c>
    </row>
    <row r="186" customFormat="false" ht="15" hidden="false" customHeight="false" outlineLevel="0" collapsed="false">
      <c r="A186" s="3" t="s">
        <v>341</v>
      </c>
      <c r="B186" s="45" t="n">
        <v>4</v>
      </c>
    </row>
    <row r="187" customFormat="false" ht="15" hidden="false" customHeight="false" outlineLevel="0" collapsed="false">
      <c r="A187" s="3" t="s">
        <v>342</v>
      </c>
      <c r="B187" s="45" t="n">
        <v>1</v>
      </c>
    </row>
    <row r="188" customFormat="false" ht="15" hidden="false" customHeight="false" outlineLevel="0" collapsed="false">
      <c r="A188" s="3" t="s">
        <v>343</v>
      </c>
      <c r="B188" s="45" t="n">
        <v>0</v>
      </c>
    </row>
    <row r="189" customFormat="false" ht="15" hidden="false" customHeight="false" outlineLevel="0" collapsed="false">
      <c r="A189" s="3" t="s">
        <v>344</v>
      </c>
      <c r="B189" s="45" t="n">
        <v>0</v>
      </c>
    </row>
    <row r="190" customFormat="false" ht="15" hidden="false" customHeight="false" outlineLevel="0" collapsed="false">
      <c r="A190" s="3" t="s">
        <v>345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346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347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348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203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205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224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225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226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-125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89.8148148148148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89.8148148148148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89.8148148148148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89.8148148148148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350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23.9583333333333</v>
      </c>
      <c r="Q200" s="33" t="n">
        <f aca="false">IF(AND(Source_Data!Q$6&gt;=Inputs!$B$54,Source_Data!Q$6&lt;Inputs!$B$54+3*Inputs!$B$11),Inputs!$B$9*Inputs!$B$7/Inputs!$B$11,0)</f>
        <v>23.9583333333333</v>
      </c>
      <c r="R200" s="33" t="n">
        <f aca="false">IF(AND(Source_Data!R$6&gt;=Inputs!$B$54,Source_Data!R$6&lt;Inputs!$B$54+3*Inputs!$B$11),Inputs!$B$9*Inputs!$B$7/Inputs!$B$11,0)</f>
        <v>23.9583333333333</v>
      </c>
      <c r="S200" s="33" t="n">
        <f aca="false">IF(AND(Source_Data!S$6&gt;=Inputs!$B$54,Source_Data!S$6&lt;Inputs!$B$54+3*Inputs!$B$11),Inputs!$B$9*Inputs!$B$7/Inputs!$B$11,0)</f>
        <v>23.9583333333333</v>
      </c>
      <c r="T200" s="33" t="n">
        <f aca="false">IF(AND(Source_Data!T$6&gt;=Inputs!$B$54,Source_Data!T$6&lt;Inputs!$B$54+3*Inputs!$B$11),Inputs!$B$9*Inputs!$B$7/Inputs!$B$11,0)</f>
        <v>23.9583333333333</v>
      </c>
      <c r="U200" s="33" t="n">
        <f aca="false">IF(AND(Source_Data!U$6&gt;=Inputs!$B$54,Source_Data!U$6&lt;Inputs!$B$54+3*Inputs!$B$11),Inputs!$B$9*Inputs!$B$7/Inputs!$B$11,0)</f>
        <v>23.9583333333333</v>
      </c>
      <c r="V200" s="33" t="n">
        <f aca="false">IF(AND(Source_Data!V$6&gt;=Inputs!$B$54,Source_Data!V$6&lt;Inputs!$B$54+3*Inputs!$B$11),Inputs!$B$9*Inputs!$B$7/Inputs!$B$11,0)</f>
        <v>23.9583333333333</v>
      </c>
      <c r="W200" s="33" t="n">
        <f aca="false">IF(AND(Source_Data!W$6&gt;=Inputs!$B$54,Source_Data!W$6&lt;Inputs!$B$54+3*Inputs!$B$11),Inputs!$B$9*Inputs!$B$7/Inputs!$B$11,0)</f>
        <v>23.9583333333333</v>
      </c>
      <c r="X200" s="33" t="n">
        <f aca="false">IF(AND(Source_Data!X$6&gt;=Inputs!$B$54,Source_Data!X$6&lt;Inputs!$B$54+3*Inputs!$B$11),Inputs!$B$9*Inputs!$B$7/Inputs!$B$11,0)</f>
        <v>23.9583333333333</v>
      </c>
      <c r="Y200" s="33" t="n">
        <f aca="false">IF(AND(Source_Data!Y$6&gt;=Inputs!$B$54,Source_Data!Y$6&lt;Inputs!$B$54+3*Inputs!$B$11),Inputs!$B$9*Inputs!$B$7/Inputs!$B$11,0)</f>
        <v>23.9583333333333</v>
      </c>
      <c r="Z200" s="33" t="n">
        <f aca="false">IF(AND(Source_Data!Z$6&gt;=Inputs!$B$54,Source_Data!Z$6&lt;Inputs!$B$54+3*Inputs!$B$11),Inputs!$B$9*Inputs!$B$7/Inputs!$B$11,0)</f>
        <v>23.9583333333333</v>
      </c>
      <c r="AA200" s="33" t="n">
        <f aca="false">IF(AND(Source_Data!AA$6&gt;=Inputs!$B$54,Source_Data!AA$6&lt;Inputs!$B$54+3*Inputs!$B$11),Inputs!$B$9*Inputs!$B$7/Inputs!$B$11,0)</f>
        <v>23.9583333333333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351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-125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23.9583333333333</v>
      </c>
      <c r="Q201" s="33" t="n">
        <f aca="false">IF(Source_Data!Q$6=Inputs!$B$12,-Inputs!$B$7,0)+Q200</f>
        <v>23.9583333333333</v>
      </c>
      <c r="R201" s="33" t="n">
        <f aca="false">IF(Source_Data!R$6=Inputs!$B$12,-Inputs!$B$7,0)+R200</f>
        <v>23.9583333333333</v>
      </c>
      <c r="S201" s="33" t="n">
        <f aca="false">IF(Source_Data!S$6=Inputs!$B$12,-Inputs!$B$7,0)+S200</f>
        <v>23.9583333333333</v>
      </c>
      <c r="T201" s="33" t="n">
        <f aca="false">IF(Source_Data!T$6=Inputs!$B$12,-Inputs!$B$7,0)+T200</f>
        <v>23.9583333333333</v>
      </c>
      <c r="U201" s="33" t="n">
        <f aca="false">IF(Source_Data!U$6=Inputs!$B$12,-Inputs!$B$7,0)+U200</f>
        <v>23.9583333333333</v>
      </c>
      <c r="V201" s="33" t="n">
        <f aca="false">IF(Source_Data!V$6=Inputs!$B$12,-Inputs!$B$7,0)+V200</f>
        <v>23.9583333333333</v>
      </c>
      <c r="W201" s="33" t="n">
        <f aca="false">IF(Source_Data!W$6=Inputs!$B$12,-Inputs!$B$7,0)+W200</f>
        <v>23.9583333333333</v>
      </c>
      <c r="X201" s="33" t="n">
        <f aca="false">IF(Source_Data!X$6=Inputs!$B$12,-Inputs!$B$7,0)+X200</f>
        <v>23.9583333333333</v>
      </c>
      <c r="Y201" s="33" t="n">
        <f aca="false">IF(Source_Data!Y$6=Inputs!$B$12,-Inputs!$B$7,0)+Y200</f>
        <v>23.9583333333333</v>
      </c>
      <c r="Z201" s="33" t="n">
        <f aca="false">IF(Source_Data!Z$6=Inputs!$B$12,-Inputs!$B$7,0)+Z200</f>
        <v>23.9583333333333</v>
      </c>
      <c r="AA201" s="33" t="n">
        <f aca="false">IF(Source_Data!AA$6=Inputs!$B$12,-Inputs!$B$7,0)+AA200</f>
        <v>23.9583333333333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352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40</v>
      </c>
      <c r="H202" s="33" t="n">
        <f aca="false">G202+IF(Source_Data!H$6=Inputs!$B$12,Inputs!$B$7,0)+H197-H200</f>
        <v>17.5</v>
      </c>
      <c r="I202" s="33" t="n">
        <f aca="false">H202+IF(Source_Data!I$6=Inputs!$B$12,Inputs!$B$7,0)+I197-I200</f>
        <v>-5</v>
      </c>
      <c r="J202" s="33" t="n">
        <f aca="false">I202+IF(Source_Data!J$6=Inputs!$B$12,Inputs!$B$7,0)+J197-J200</f>
        <v>-50.5</v>
      </c>
      <c r="K202" s="33" t="n">
        <f aca="false">J202+IF(Source_Data!K$6=Inputs!$B$12,Inputs!$B$7,0)+K197-K200</f>
        <v>-103.36</v>
      </c>
      <c r="L202" s="33" t="n">
        <f aca="false">K202+IF(Source_Data!L$6=Inputs!$B$12,Inputs!$B$7,0)+L197-L200</f>
        <v>-176.24435</v>
      </c>
      <c r="M202" s="33" t="n">
        <f aca="false">L202+IF(Source_Data!M$6=Inputs!$B$12,Inputs!$B$7,0)+M197-M200</f>
        <v>-215.37305</v>
      </c>
      <c r="N202" s="33" t="n">
        <f aca="false">M202+IF(Source_Data!N$6=Inputs!$B$12,Inputs!$B$7,0)+N197-N200</f>
        <v>-232.472225</v>
      </c>
      <c r="O202" s="33" t="n">
        <f aca="false">N202+IF(Source_Data!O$6=Inputs!$B$12,Inputs!$B$7,0)+O197-O200</f>
        <v>-238.813835</v>
      </c>
      <c r="P202" s="33" t="n">
        <f aca="false">O202+IF(Source_Data!P$6=Inputs!$B$12,Inputs!$B$7,0)+P197-P200</f>
        <v>-272.499143333333</v>
      </c>
      <c r="Q202" s="33" t="n">
        <f aca="false">P202+IF(Source_Data!Q$6=Inputs!$B$12,Inputs!$B$7,0)+Q197-Q200</f>
        <v>-300.298729166667</v>
      </c>
      <c r="R202" s="33" t="n">
        <f aca="false">Q202+IF(Source_Data!R$6=Inputs!$B$12,Inputs!$B$7,0)+R197-R200</f>
        <v>-442.0709475</v>
      </c>
      <c r="S202" s="33" t="n">
        <f aca="false">R202+IF(Source_Data!S$6=Inputs!$B$12,Inputs!$B$7,0)+S197-S200</f>
        <v>-561.873280833333</v>
      </c>
      <c r="T202" s="33" t="n">
        <f aca="false">S202+IF(Source_Data!T$6=Inputs!$B$12,Inputs!$B$7,0)+T197-T200</f>
        <v>-712.111297916667</v>
      </c>
      <c r="U202" s="33" t="n">
        <f aca="false">T202+IF(Source_Data!U$6=Inputs!$B$12,Inputs!$B$7,0)+U197-U200</f>
        <v>-798.11764875</v>
      </c>
      <c r="V202" s="33" t="n">
        <f aca="false">U202+IF(Source_Data!V$6=Inputs!$B$12,Inputs!$B$7,0)+V197-V200</f>
        <v>-191.529974583334</v>
      </c>
      <c r="W202" s="33" t="n">
        <f aca="false">V202+IF(Source_Data!W$6=Inputs!$B$12,Inputs!$B$7,0)+W197-W200</f>
        <v>-96.3925754166669</v>
      </c>
      <c r="X202" s="33" t="n">
        <f aca="false">W202+IF(Source_Data!X$6=Inputs!$B$12,Inputs!$B$7,0)+X197-X200</f>
        <v>-38.4846362500003</v>
      </c>
      <c r="Y202" s="33" t="n">
        <f aca="false">X202+IF(Source_Data!Y$6=Inputs!$B$12,Inputs!$B$7,0)+Y197-Y200</f>
        <v>-3.8362970833337</v>
      </c>
      <c r="Z202" s="33" t="n">
        <f aca="false">Y202+IF(Source_Data!Z$6=Inputs!$B$12,Inputs!$B$7,0)+Z197-Z200</f>
        <v>31.5053570833329</v>
      </c>
      <c r="AA202" s="33" t="n">
        <f aca="false">Z202+IF(Source_Data!AA$6=Inputs!$B$12,Inputs!$B$7,0)+AA197-AA200</f>
        <v>65.0354462499996</v>
      </c>
      <c r="AB202" s="33" t="n">
        <f aca="false">AA202+IF(Source_Data!AB$6=Inputs!$B$12,Inputs!$B$7,0)+AB197-AB200</f>
        <v>142.314908125</v>
      </c>
      <c r="AC202" s="33" t="n">
        <f aca="false">AB202+IF(Source_Data!AC$6=Inputs!$B$12,Inputs!$B$7,0)+AC197-AC200</f>
        <v>212.468321875</v>
      </c>
      <c r="AD202" s="33" t="n">
        <f aca="false">AC202+IF(Source_Data!AD$6=Inputs!$B$12,Inputs!$B$7,0)+AD197-AD200</f>
        <v>273.806198125</v>
      </c>
      <c r="AE202" s="33" t="n">
        <f aca="false">AD202+IF(Source_Data!AE$6=Inputs!$B$12,Inputs!$B$7,0)+AE197-AE200</f>
        <v>324.852446875</v>
      </c>
      <c r="AF202" s="33" t="n">
        <f aca="false">AE202+IF(Source_Data!AF$6=Inputs!$B$12,Inputs!$B$7,0)+AF197-AF200</f>
        <v>134.7070840625</v>
      </c>
      <c r="AG202" s="33" t="n">
        <f aca="false">AF202+IF(Source_Data!AG$6=Inputs!$B$12,Inputs!$B$7,0)+AG197-AG200</f>
        <v>169.64610640625</v>
      </c>
      <c r="AH202" s="33" t="n">
        <f aca="false">AG202+IF(Source_Data!AH$6=Inputs!$B$12,Inputs!$B$7,0)+AH197-AH200</f>
        <v>206.27298734375</v>
      </c>
      <c r="AI202" s="33" t="n">
        <f aca="false">AH202+IF(Source_Data!AI$6=Inputs!$B$12,Inputs!$B$7,0)+AI197-AI200</f>
        <v>244.587726875</v>
      </c>
      <c r="AJ202" s="33" t="n">
        <f aca="false">AI202+IF(Source_Data!AJ$6=Inputs!$B$12,Inputs!$B$7,0)+AJ197-AJ200</f>
        <v>278.50774390625</v>
      </c>
      <c r="AK202" s="33" t="n">
        <f aca="false">AJ202+IF(Source_Data!AK$6=Inputs!$B$12,Inputs!$B$7,0)+AK197-AK200</f>
        <v>306.88823</v>
      </c>
      <c r="AL202" s="33" t="n">
        <f aca="false">AK202+IF(Source_Data!AL$6=Inputs!$B$12,Inputs!$B$7,0)+AL197-AL200</f>
        <v>332.495223125</v>
      </c>
      <c r="AM202" s="33" t="n">
        <f aca="false">AL202+IF(Source_Data!AM$6=Inputs!$B$12,Inputs!$B$7,0)+AM197-AM200</f>
        <v>358.425576875</v>
      </c>
      <c r="AN202" s="33" t="n">
        <f aca="false">AM202+IF(Source_Data!AN$6=Inputs!$B$12,Inputs!$B$7,0)+AN197-AN200</f>
        <v>378.138460625</v>
      </c>
      <c r="AO202" s="33" t="n">
        <f aca="false">AN202+IF(Source_Data!AO$6=Inputs!$B$12,Inputs!$B$7,0)+AO197-AO200</f>
        <v>394.250579374999</v>
      </c>
      <c r="AP202" s="33" t="n">
        <f aca="false">AO202+IF(Source_Data!AP$6=Inputs!$B$12,Inputs!$B$7,0)+AP197-AP200</f>
        <v>411.054149374999</v>
      </c>
      <c r="AQ202" s="33" t="n">
        <f aca="false">AP202+IF(Source_Data!AQ$6=Inputs!$B$12,Inputs!$B$7,0)+AQ197-AQ200</f>
        <v>418.300409374999</v>
      </c>
      <c r="AR202" s="33" t="n">
        <f aca="false">AQ202+IF(Source_Data!AR$6=Inputs!$B$12,Inputs!$B$7,0)+AR197-AR200</f>
        <v>425.546669374999</v>
      </c>
      <c r="AS202" s="33" t="n">
        <f aca="false">AR202+IF(Source_Data!AS$6=Inputs!$B$12,Inputs!$B$7,0)+AS197-AS200</f>
        <v>432.792929374999</v>
      </c>
      <c r="AT202" s="33" t="n">
        <f aca="false">AS202+IF(Source_Data!AT$6=Inputs!$B$12,Inputs!$B$7,0)+AT197-AT200</f>
        <v>432.792929374999</v>
      </c>
      <c r="AU202" s="33" t="n">
        <f aca="false">AT202+IF(Source_Data!AU$6=Inputs!$B$12,Inputs!$B$7,0)+AU197-AU200</f>
        <v>432.792929374999</v>
      </c>
      <c r="AV202" s="33" t="n">
        <f aca="false">AU202+IF(Source_Data!AV$6=Inputs!$B$12,Inputs!$B$7,0)+AV197-AV200</f>
        <v>432.792929374999</v>
      </c>
      <c r="AW202" s="33" t="n">
        <f aca="false">AV202+IF(Source_Data!AW$6=Inputs!$B$12,Inputs!$B$7,0)+AW197-AW200</f>
        <v>432.792929374999</v>
      </c>
      <c r="AX202" s="33" t="n">
        <f aca="false">AW202+IF(Source_Data!AX$6=Inputs!$B$12,Inputs!$B$7,0)+AX197-AX200</f>
        <v>432.792929374999</v>
      </c>
      <c r="AY202" s="33" t="n">
        <f aca="false">AX202+IF(Source_Data!AY$6=Inputs!$B$12,Inputs!$B$7,0)+AY197-AY200</f>
        <v>432.792929374999</v>
      </c>
      <c r="AZ202" s="33" t="n">
        <f aca="false">AY202+IF(Source_Data!AZ$6=Inputs!$B$12,Inputs!$B$7,0)+AZ197-AZ200</f>
        <v>432.792929374999</v>
      </c>
      <c r="BA202" s="33" t="n">
        <f aca="false">AZ202+IF(Source_Data!BA$6=Inputs!$B$12,Inputs!$B$7,0)+BA197-BA200</f>
        <v>432.792929374999</v>
      </c>
      <c r="BB202" s="33" t="n">
        <f aca="false">BA202+IF(Source_Data!BB$6=Inputs!$B$12,Inputs!$B$7,0)+BB197-BB200</f>
        <v>432.792929374999</v>
      </c>
      <c r="BC202" s="33" t="n">
        <f aca="false">BB202+IF(Source_Data!BC$6=Inputs!$B$12,Inputs!$B$7,0)+BC197-BC200</f>
        <v>432.792929374999</v>
      </c>
      <c r="BD202" s="33" t="n">
        <f aca="false">BC202+IF(Source_Data!BD$6=Inputs!$B$12,Inputs!$B$7,0)+BD197-BD200</f>
        <v>432.792929374999</v>
      </c>
      <c r="BE202" s="33" t="n">
        <f aca="false">BD202+IF(Source_Data!BE$6=Inputs!$B$12,Inputs!$B$7,0)+BE197-BE200</f>
        <v>432.792929374999</v>
      </c>
      <c r="BF202" s="33" t="n">
        <f aca="false">BE202+IF(Source_Data!BF$6=Inputs!$B$12,Inputs!$B$7,0)+BF197-BF200</f>
        <v>432.792929374999</v>
      </c>
      <c r="BG202" s="33" t="n">
        <f aca="false">BF202+IF(Source_Data!BG$6=Inputs!$B$12,Inputs!$B$7,0)+BG197-BG200</f>
        <v>432.792929374999</v>
      </c>
      <c r="BH202" s="33" t="n">
        <f aca="false">BG202+IF(Source_Data!BH$6=Inputs!$B$12,Inputs!$B$7,0)+BH197-BH200</f>
        <v>432.792929374999</v>
      </c>
      <c r="BI202" s="33" t="n">
        <f aca="false">BH202+IF(Source_Data!BI$6=Inputs!$B$12,Inputs!$B$7,0)+BI197-BI200</f>
        <v>432.792929374999</v>
      </c>
      <c r="BJ202" s="33" t="n">
        <f aca="false">BI202+IF(Source_Data!BJ$6=Inputs!$B$12,Inputs!$B$7,0)+BJ197-BJ200</f>
        <v>432.792929374999</v>
      </c>
      <c r="BK202" s="33" t="n">
        <f aca="false">BJ202+IF(Source_Data!BK$6=Inputs!$B$12,Inputs!$B$7,0)+BK197-BK200</f>
        <v>432.792929374999</v>
      </c>
    </row>
    <row r="203" customFormat="false" ht="15" hidden="false" customHeight="false" outlineLevel="0" collapsed="false">
      <c r="A203" s="3" t="s">
        <v>353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-0.40599547826087</v>
      </c>
      <c r="Q203" s="31" t="n">
        <f aca="false">IF(Q200&gt;0,Q197/Q200,"")</f>
        <v>-0.160330539130435</v>
      </c>
      <c r="R203" s="31" t="n">
        <f aca="false">IF(R200&gt;0,R197/R200,"")</f>
        <v>-4.91744911304348</v>
      </c>
      <c r="S203" s="31" t="n">
        <f aca="false">IF(S200&gt;0,S197/S200,"")</f>
        <v>-4.00044521739131</v>
      </c>
      <c r="T203" s="31" t="n">
        <f aca="false">IF(T200&gt;0,T197/T200,"")</f>
        <v>-5.27080419130435</v>
      </c>
      <c r="U203" s="31" t="n">
        <f aca="false">IF(U200&gt;0,U197/U200,"")</f>
        <v>-2.58983029565217</v>
      </c>
      <c r="V203" s="31" t="n">
        <f aca="false">IF(V200&gt;0,V197/V200,"")</f>
        <v>26.3184420521739</v>
      </c>
      <c r="W203" s="31" t="n">
        <f aca="false">IF(W200&gt;0,W197/W200,"")</f>
        <v>4.97095231304348</v>
      </c>
      <c r="X203" s="31" t="n">
        <f aca="false">IF(X200&gt;0,X197/X200,"")</f>
        <v>3.41702702608695</v>
      </c>
      <c r="Y203" s="31" t="n">
        <f aca="false">IF(Y200&gt;0,Y197/Y200,"")</f>
        <v>2.44619154782609</v>
      </c>
      <c r="Z203" s="31" t="n">
        <f aca="false">IF(Z200&gt;0,Z197/Z200,"")</f>
        <v>2.47512991304348</v>
      </c>
      <c r="AA203" s="31" t="n">
        <f aca="false">IF(AA200&gt;0,AA197/AA200,"")</f>
        <v>2.39951676521739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354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-10.3738772869565</v>
      </c>
      <c r="Q204" s="31" t="n">
        <f aca="false">IF(Q200&gt;0,(P202+Q197+IF(Source_Data!Q$6=Inputs!$B$12,Inputs!$B$7,0))/Q200,"")</f>
        <v>-11.534207826087</v>
      </c>
      <c r="R204" s="31" t="n">
        <f aca="false">IF(R200&gt;0,(Q202+R197+IF(Source_Data!R$6=Inputs!$B$12,Inputs!$B$7,0))/R200,"")</f>
        <v>-17.4516569391304</v>
      </c>
      <c r="S204" s="31" t="n">
        <f aca="false">IF(S200&gt;0,(R202+S197+IF(Source_Data!S$6=Inputs!$B$12,Inputs!$B$7,0))/S200,"")</f>
        <v>-22.4521021565217</v>
      </c>
      <c r="T204" s="31" t="n">
        <f aca="false">IF(T200&gt;0,(S202+T197+IF(Source_Data!T$6=Inputs!$B$12,Inputs!$B$7,0))/T200,"")</f>
        <v>-28.7229063478261</v>
      </c>
      <c r="U204" s="31" t="n">
        <f aca="false">IF(U200&gt;0,(T202+U197+IF(Source_Data!U$6=Inputs!$B$12,Inputs!$B$7,0))/U200,"")</f>
        <v>-32.3127366434783</v>
      </c>
      <c r="V204" s="31" t="n">
        <f aca="false">IF(V200&gt;0,(U202+V197+IF(Source_Data!V$6=Inputs!$B$12,Inputs!$B$7,0))/V200,"")</f>
        <v>-6.99429459130436</v>
      </c>
      <c r="W204" s="31" t="n">
        <f aca="false">IF(W200&gt;0,(V202+W197+IF(Source_Data!W$6=Inputs!$B$12,Inputs!$B$7,0))/W200,"")</f>
        <v>-3.02334227826088</v>
      </c>
      <c r="X204" s="31" t="n">
        <f aca="false">IF(X200&gt;0,(W202+X197+IF(Source_Data!X$6=Inputs!$B$12,Inputs!$B$7,0))/X200,"")</f>
        <v>-0.606315252173927</v>
      </c>
      <c r="Y204" s="31" t="n">
        <f aca="false">IF(Y200&gt;0,(X202+Y197+IF(Source_Data!Y$6=Inputs!$B$12,Inputs!$B$7,0))/Y200,"")</f>
        <v>0.839876295652159</v>
      </c>
      <c r="Z204" s="31" t="n">
        <f aca="false">IF(Z200&gt;0,(Y202+Z197+IF(Source_Data!Z$6=Inputs!$B$12,Inputs!$B$7,0))/Z200,"")</f>
        <v>2.31500620869564</v>
      </c>
      <c r="AA204" s="31" t="n">
        <f aca="false">IF(AA200&gt;0,(Z202+AA197+IF(Source_Data!AA$6=Inputs!$B$12,Inputs!$B$7,0))/AA200,"")</f>
        <v>3.71452297391303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355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171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356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357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358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360</v>
      </c>
      <c r="B213" s="41" t="n">
        <f aca="false">MIN(D202:BK202)</f>
        <v>-798.11764875</v>
      </c>
    </row>
    <row r="214" customFormat="false" ht="15" hidden="false" customHeight="false" outlineLevel="0" collapsed="false">
      <c r="A214" s="2" t="s">
        <v>361</v>
      </c>
      <c r="B214" s="43" t="n">
        <f aca="false">MIN(D203:BK203)</f>
        <v>-5.27080419130435</v>
      </c>
    </row>
    <row r="215" customFormat="false" ht="15" hidden="false" customHeight="false" outlineLevel="0" collapsed="false">
      <c r="A215" s="2" t="s">
        <v>362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363</v>
      </c>
      <c r="B216" s="43" t="n">
        <f aca="false">MIN(D204:BK204)</f>
        <v>-32.3127366434783</v>
      </c>
    </row>
    <row r="217" customFormat="false" ht="15" hidden="false" customHeight="false" outlineLevel="0" collapsed="false">
      <c r="A217" s="2" t="s">
        <v>364</v>
      </c>
      <c r="B217" s="35" t="n">
        <f aca="false">COUNTIF(D204:BK204,"&lt;"&amp;Inputs!$B$43)</f>
        <v>10</v>
      </c>
    </row>
    <row r="220" customFormat="false" ht="15" hidden="false" customHeight="false" outlineLevel="0" collapsed="false">
      <c r="A220" s="8" t="s">
        <v>373</v>
      </c>
    </row>
    <row r="221" customFormat="false" ht="15" hidden="false" customHeight="false" outlineLevel="0" collapsed="false">
      <c r="A221" s="3" t="s">
        <v>340</v>
      </c>
      <c r="B221" s="45" t="n">
        <v>1</v>
      </c>
    </row>
    <row r="222" customFormat="false" ht="15" hidden="false" customHeight="false" outlineLevel="0" collapsed="false">
      <c r="A222" s="3" t="s">
        <v>341</v>
      </c>
      <c r="B222" s="45" t="n">
        <v>6</v>
      </c>
    </row>
    <row r="223" customFormat="false" ht="15" hidden="false" customHeight="false" outlineLevel="0" collapsed="false">
      <c r="A223" s="3" t="s">
        <v>342</v>
      </c>
      <c r="B223" s="45" t="n">
        <v>1</v>
      </c>
    </row>
    <row r="224" customFormat="false" ht="15" hidden="false" customHeight="false" outlineLevel="0" collapsed="false">
      <c r="A224" s="3" t="s">
        <v>343</v>
      </c>
      <c r="B224" s="45" t="n">
        <v>0</v>
      </c>
    </row>
    <row r="225" customFormat="false" ht="15" hidden="false" customHeight="false" outlineLevel="0" collapsed="false">
      <c r="A225" s="3" t="s">
        <v>344</v>
      </c>
      <c r="B225" s="45" t="n">
        <v>0</v>
      </c>
    </row>
    <row r="226" customFormat="false" ht="15" hidden="false" customHeight="false" outlineLevel="0" collapsed="false">
      <c r="A226" s="3" t="s">
        <v>345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346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347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348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203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205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224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225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226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349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-125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89.8148148148148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89.8148148148148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89.8148148148148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89.8148148148148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350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23.9583333333333</v>
      </c>
      <c r="Q236" s="33" t="n">
        <f aca="false">IF(AND(Source_Data!Q$6&gt;=Inputs!$B$54,Source_Data!Q$6&lt;Inputs!$B$54+3*Inputs!$B$11),Inputs!$B$9*Inputs!$B$7/Inputs!$B$11,0)</f>
        <v>23.9583333333333</v>
      </c>
      <c r="R236" s="33" t="n">
        <f aca="false">IF(AND(Source_Data!R$6&gt;=Inputs!$B$54,Source_Data!R$6&lt;Inputs!$B$54+3*Inputs!$B$11),Inputs!$B$9*Inputs!$B$7/Inputs!$B$11,0)</f>
        <v>23.9583333333333</v>
      </c>
      <c r="S236" s="33" t="n">
        <f aca="false">IF(AND(Source_Data!S$6&gt;=Inputs!$B$54,Source_Data!S$6&lt;Inputs!$B$54+3*Inputs!$B$11),Inputs!$B$9*Inputs!$B$7/Inputs!$B$11,0)</f>
        <v>23.9583333333333</v>
      </c>
      <c r="T236" s="33" t="n">
        <f aca="false">IF(AND(Source_Data!T$6&gt;=Inputs!$B$54,Source_Data!T$6&lt;Inputs!$B$54+3*Inputs!$B$11),Inputs!$B$9*Inputs!$B$7/Inputs!$B$11,0)</f>
        <v>23.9583333333333</v>
      </c>
      <c r="U236" s="33" t="n">
        <f aca="false">IF(AND(Source_Data!U$6&gt;=Inputs!$B$54,Source_Data!U$6&lt;Inputs!$B$54+3*Inputs!$B$11),Inputs!$B$9*Inputs!$B$7/Inputs!$B$11,0)</f>
        <v>23.9583333333333</v>
      </c>
      <c r="V236" s="33" t="n">
        <f aca="false">IF(AND(Source_Data!V$6&gt;=Inputs!$B$54,Source_Data!V$6&lt;Inputs!$B$54+3*Inputs!$B$11),Inputs!$B$9*Inputs!$B$7/Inputs!$B$11,0)</f>
        <v>23.9583333333333</v>
      </c>
      <c r="W236" s="33" t="n">
        <f aca="false">IF(AND(Source_Data!W$6&gt;=Inputs!$B$54,Source_Data!W$6&lt;Inputs!$B$54+3*Inputs!$B$11),Inputs!$B$9*Inputs!$B$7/Inputs!$B$11,0)</f>
        <v>23.9583333333333</v>
      </c>
      <c r="X236" s="33" t="n">
        <f aca="false">IF(AND(Source_Data!X$6&gt;=Inputs!$B$54,Source_Data!X$6&lt;Inputs!$B$54+3*Inputs!$B$11),Inputs!$B$9*Inputs!$B$7/Inputs!$B$11,0)</f>
        <v>23.9583333333333</v>
      </c>
      <c r="Y236" s="33" t="n">
        <f aca="false">IF(AND(Source_Data!Y$6&gt;=Inputs!$B$54,Source_Data!Y$6&lt;Inputs!$B$54+3*Inputs!$B$11),Inputs!$B$9*Inputs!$B$7/Inputs!$B$11,0)</f>
        <v>23.9583333333333</v>
      </c>
      <c r="Z236" s="33" t="n">
        <f aca="false">IF(AND(Source_Data!Z$6&gt;=Inputs!$B$54,Source_Data!Z$6&lt;Inputs!$B$54+3*Inputs!$B$11),Inputs!$B$9*Inputs!$B$7/Inputs!$B$11,0)</f>
        <v>23.9583333333333</v>
      </c>
      <c r="AA236" s="33" t="n">
        <f aca="false">IF(AND(Source_Data!AA$6&gt;=Inputs!$B$54,Source_Data!AA$6&lt;Inputs!$B$54+3*Inputs!$B$11),Inputs!$B$9*Inputs!$B$7/Inputs!$B$11,0)</f>
        <v>23.9583333333333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351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-125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23.9583333333333</v>
      </c>
      <c r="Q237" s="33" t="n">
        <f aca="false">IF(Source_Data!Q$6=Inputs!$B$12,-Inputs!$B$7,0)+Q236</f>
        <v>23.9583333333333</v>
      </c>
      <c r="R237" s="33" t="n">
        <f aca="false">IF(Source_Data!R$6=Inputs!$B$12,-Inputs!$B$7,0)+R236</f>
        <v>23.9583333333333</v>
      </c>
      <c r="S237" s="33" t="n">
        <f aca="false">IF(Source_Data!S$6=Inputs!$B$12,-Inputs!$B$7,0)+S236</f>
        <v>23.9583333333333</v>
      </c>
      <c r="T237" s="33" t="n">
        <f aca="false">IF(Source_Data!T$6=Inputs!$B$12,-Inputs!$B$7,0)+T236</f>
        <v>23.9583333333333</v>
      </c>
      <c r="U237" s="33" t="n">
        <f aca="false">IF(Source_Data!U$6=Inputs!$B$12,-Inputs!$B$7,0)+U236</f>
        <v>23.9583333333333</v>
      </c>
      <c r="V237" s="33" t="n">
        <f aca="false">IF(Source_Data!V$6=Inputs!$B$12,-Inputs!$B$7,0)+V236</f>
        <v>23.9583333333333</v>
      </c>
      <c r="W237" s="33" t="n">
        <f aca="false">IF(Source_Data!W$6=Inputs!$B$12,-Inputs!$B$7,0)+W236</f>
        <v>23.9583333333333</v>
      </c>
      <c r="X237" s="33" t="n">
        <f aca="false">IF(Source_Data!X$6=Inputs!$B$12,-Inputs!$B$7,0)+X236</f>
        <v>23.9583333333333</v>
      </c>
      <c r="Y237" s="33" t="n">
        <f aca="false">IF(Source_Data!Y$6=Inputs!$B$12,-Inputs!$B$7,0)+Y236</f>
        <v>23.9583333333333</v>
      </c>
      <c r="Z237" s="33" t="n">
        <f aca="false">IF(Source_Data!Z$6=Inputs!$B$12,-Inputs!$B$7,0)+Z236</f>
        <v>23.9583333333333</v>
      </c>
      <c r="AA237" s="33" t="n">
        <f aca="false">IF(Source_Data!AA$6=Inputs!$B$12,-Inputs!$B$7,0)+AA236</f>
        <v>23.9583333333333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352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40</v>
      </c>
      <c r="H238" s="33" t="n">
        <f aca="false">G238+IF(Source_Data!H$6=Inputs!$B$12,Inputs!$B$7,0)+H233-H236</f>
        <v>17.5</v>
      </c>
      <c r="I238" s="33" t="n">
        <f aca="false">H238+IF(Source_Data!I$6=Inputs!$B$12,Inputs!$B$7,0)+I233-I236</f>
        <v>-5</v>
      </c>
      <c r="J238" s="33" t="n">
        <f aca="false">I238+IF(Source_Data!J$6=Inputs!$B$12,Inputs!$B$7,0)+J233-J236</f>
        <v>-50.5</v>
      </c>
      <c r="K238" s="33" t="n">
        <f aca="false">J238+IF(Source_Data!K$6=Inputs!$B$12,Inputs!$B$7,0)+K233-K236</f>
        <v>-103.36</v>
      </c>
      <c r="L238" s="33" t="n">
        <f aca="false">K238+IF(Source_Data!L$6=Inputs!$B$12,Inputs!$B$7,0)+L233-L236</f>
        <v>-194.36</v>
      </c>
      <c r="M238" s="33" t="n">
        <f aca="false">L238+IF(Source_Data!M$6=Inputs!$B$12,Inputs!$B$7,0)+M233-M236</f>
        <v>-269.72</v>
      </c>
      <c r="N238" s="33" t="n">
        <f aca="false">M238+IF(Source_Data!N$6=Inputs!$B$12,Inputs!$B$7,0)+N233-N236</f>
        <v>-326.96435</v>
      </c>
      <c r="O238" s="33" t="n">
        <f aca="false">N238+IF(Source_Data!O$6=Inputs!$B$12,Inputs!$B$7,0)+O233-O236</f>
        <v>-366.09305</v>
      </c>
      <c r="P238" s="33" t="n">
        <f aca="false">O238+IF(Source_Data!P$6=Inputs!$B$12,Inputs!$B$7,0)+P233-P236</f>
        <v>-394.112558333333</v>
      </c>
      <c r="Q238" s="33" t="n">
        <f aca="false">P238+IF(Source_Data!Q$6=Inputs!$B$12,Inputs!$B$7,0)+Q233-Q236</f>
        <v>-411.374501666667</v>
      </c>
      <c r="R238" s="33" t="n">
        <f aca="false">Q238+IF(Source_Data!R$6=Inputs!$B$12,Inputs!$B$7,0)+R233-R236</f>
        <v>-576.98781</v>
      </c>
      <c r="S238" s="33" t="n">
        <f aca="false">R238+IF(Source_Data!S$6=Inputs!$B$12,Inputs!$B$7,0)+S233-S236</f>
        <v>-736.715395833333</v>
      </c>
      <c r="T238" s="33" t="n">
        <f aca="false">S238+IF(Source_Data!T$6=Inputs!$B$12,Inputs!$B$7,0)+T233-T236</f>
        <v>-917.837614166667</v>
      </c>
      <c r="U238" s="33" t="n">
        <f aca="false">T238+IF(Source_Data!U$6=Inputs!$B$12,Inputs!$B$7,0)+U233-U236</f>
        <v>-1022.9399475</v>
      </c>
      <c r="V238" s="33" t="n">
        <f aca="false">U238+IF(Source_Data!V$6=Inputs!$B$12,Inputs!$B$7,0)+V233-V236</f>
        <v>-984.577964583333</v>
      </c>
      <c r="W238" s="33" t="n">
        <f aca="false">V238+IF(Source_Data!W$6=Inputs!$B$12,Inputs!$B$7,0)+W233-W236</f>
        <v>-936.034315416667</v>
      </c>
      <c r="X238" s="33" t="n">
        <f aca="false">W238+IF(Source_Data!X$6=Inputs!$B$12,Inputs!$B$7,0)+X233-X236</f>
        <v>-306.94664125</v>
      </c>
      <c r="Y238" s="33" t="n">
        <f aca="false">X238+IF(Source_Data!Y$6=Inputs!$B$12,Inputs!$B$7,0)+Y233-Y236</f>
        <v>-189.309242083334</v>
      </c>
      <c r="Z238" s="33" t="n">
        <f aca="false">Y238+IF(Source_Data!Z$6=Inputs!$B$12,Inputs!$B$7,0)+Z233-Z236</f>
        <v>-131.401302916667</v>
      </c>
      <c r="AA238" s="33" t="n">
        <f aca="false">Z238+IF(Source_Data!AA$6=Inputs!$B$12,Inputs!$B$7,0)+AA233-AA236</f>
        <v>-96.7529637500004</v>
      </c>
      <c r="AB238" s="33" t="n">
        <f aca="false">AA238+IF(Source_Data!AB$6=Inputs!$B$12,Inputs!$B$7,0)+AB233-AB236</f>
        <v>-14.9529762500005</v>
      </c>
      <c r="AC238" s="33" t="n">
        <f aca="false">AB238+IF(Source_Data!AC$6=Inputs!$B$12,Inputs!$B$7,0)+AC233-AC236</f>
        <v>65.0354462499995</v>
      </c>
      <c r="AD238" s="33" t="n">
        <f aca="false">AC238+IF(Source_Data!AD$6=Inputs!$B$12,Inputs!$B$7,0)+AD233-AD236</f>
        <v>142.314908124999</v>
      </c>
      <c r="AE238" s="33" t="n">
        <f aca="false">AD238+IF(Source_Data!AE$6=Inputs!$B$12,Inputs!$B$7,0)+AE233-AE236</f>
        <v>212.468321875</v>
      </c>
      <c r="AF238" s="33" t="n">
        <f aca="false">AE238+IF(Source_Data!AF$6=Inputs!$B$12,Inputs!$B$7,0)+AF233-AF236</f>
        <v>32.6145865624997</v>
      </c>
      <c r="AG238" s="33" t="n">
        <f aca="false">AF238+IF(Source_Data!AG$6=Inputs!$B$12,Inputs!$B$7,0)+AG233-AG236</f>
        <v>67.5536089062497</v>
      </c>
      <c r="AH238" s="33" t="n">
        <f aca="false">AG238+IF(Source_Data!AH$6=Inputs!$B$12,Inputs!$B$7,0)+AH233-AH236</f>
        <v>104.18048984375</v>
      </c>
      <c r="AI238" s="33" t="n">
        <f aca="false">AH238+IF(Source_Data!AI$6=Inputs!$B$12,Inputs!$B$7,0)+AI233-AI236</f>
        <v>142.495229375</v>
      </c>
      <c r="AJ238" s="33" t="n">
        <f aca="false">AI238+IF(Source_Data!AJ$6=Inputs!$B$12,Inputs!$B$7,0)+AJ233-AJ236</f>
        <v>183.53011203125</v>
      </c>
      <c r="AK238" s="33" t="n">
        <f aca="false">AJ238+IF(Source_Data!AK$6=Inputs!$B$12,Inputs!$B$7,0)+AK233-AK236</f>
        <v>226.140329375</v>
      </c>
      <c r="AL238" s="33" t="n">
        <f aca="false">AK238+IF(Source_Data!AL$6=Inputs!$B$12,Inputs!$B$7,0)+AL233-AL236</f>
        <v>262.720150625</v>
      </c>
      <c r="AM238" s="33" t="n">
        <f aca="false">AL238+IF(Source_Data!AM$6=Inputs!$B$12,Inputs!$B$7,0)+AM233-AM236</f>
        <v>296.366429375</v>
      </c>
      <c r="AN238" s="33" t="n">
        <f aca="false">AM238+IF(Source_Data!AN$6=Inputs!$B$12,Inputs!$B$7,0)+AN233-AN236</f>
        <v>326.154745625</v>
      </c>
      <c r="AO238" s="33" t="n">
        <f aca="false">AN238+IF(Source_Data!AO$6=Inputs!$B$12,Inputs!$B$7,0)+AO233-AO236</f>
        <v>352.085099375</v>
      </c>
      <c r="AP238" s="33" t="n">
        <f aca="false">AO238+IF(Source_Data!AP$6=Inputs!$B$12,Inputs!$B$7,0)+AP233-AP236</f>
        <v>374.968221875</v>
      </c>
      <c r="AQ238" s="33" t="n">
        <f aca="false">AP238+IF(Source_Data!AQ$6=Inputs!$B$12,Inputs!$B$7,0)+AQ233-AQ236</f>
        <v>394.250579375</v>
      </c>
      <c r="AR238" s="33" t="n">
        <f aca="false">AQ238+IF(Source_Data!AR$6=Inputs!$B$12,Inputs!$B$7,0)+AR233-AR236</f>
        <v>411.054149375</v>
      </c>
      <c r="AS238" s="33" t="n">
        <f aca="false">AR238+IF(Source_Data!AS$6=Inputs!$B$12,Inputs!$B$7,0)+AS233-AS236</f>
        <v>418.300409375</v>
      </c>
      <c r="AT238" s="33" t="n">
        <f aca="false">AS238+IF(Source_Data!AT$6=Inputs!$B$12,Inputs!$B$7,0)+AT233-AT236</f>
        <v>425.546669375</v>
      </c>
      <c r="AU238" s="33" t="n">
        <f aca="false">AT238+IF(Source_Data!AU$6=Inputs!$B$12,Inputs!$B$7,0)+AU233-AU236</f>
        <v>432.792929375</v>
      </c>
      <c r="AV238" s="33" t="n">
        <f aca="false">AU238+IF(Source_Data!AV$6=Inputs!$B$12,Inputs!$B$7,0)+AV233-AV236</f>
        <v>432.792929375</v>
      </c>
      <c r="AW238" s="33" t="n">
        <f aca="false">AV238+IF(Source_Data!AW$6=Inputs!$B$12,Inputs!$B$7,0)+AW233-AW236</f>
        <v>432.792929375</v>
      </c>
      <c r="AX238" s="33" t="n">
        <f aca="false">AW238+IF(Source_Data!AX$6=Inputs!$B$12,Inputs!$B$7,0)+AX233-AX236</f>
        <v>432.792929375</v>
      </c>
      <c r="AY238" s="33" t="n">
        <f aca="false">AX238+IF(Source_Data!AY$6=Inputs!$B$12,Inputs!$B$7,0)+AY233-AY236</f>
        <v>432.792929375</v>
      </c>
      <c r="AZ238" s="33" t="n">
        <f aca="false">AY238+IF(Source_Data!AZ$6=Inputs!$B$12,Inputs!$B$7,0)+AZ233-AZ236</f>
        <v>432.792929375</v>
      </c>
      <c r="BA238" s="33" t="n">
        <f aca="false">AZ238+IF(Source_Data!BA$6=Inputs!$B$12,Inputs!$B$7,0)+BA233-BA236</f>
        <v>432.792929375</v>
      </c>
      <c r="BB238" s="33" t="n">
        <f aca="false">BA238+IF(Source_Data!BB$6=Inputs!$B$12,Inputs!$B$7,0)+BB233-BB236</f>
        <v>432.792929375</v>
      </c>
      <c r="BC238" s="33" t="n">
        <f aca="false">BB238+IF(Source_Data!BC$6=Inputs!$B$12,Inputs!$B$7,0)+BC233-BC236</f>
        <v>432.792929375</v>
      </c>
      <c r="BD238" s="33" t="n">
        <f aca="false">BC238+IF(Source_Data!BD$6=Inputs!$B$12,Inputs!$B$7,0)+BD233-BD236</f>
        <v>432.792929375</v>
      </c>
      <c r="BE238" s="33" t="n">
        <f aca="false">BD238+IF(Source_Data!BE$6=Inputs!$B$12,Inputs!$B$7,0)+BE233-BE236</f>
        <v>432.792929375</v>
      </c>
      <c r="BF238" s="33" t="n">
        <f aca="false">BE238+IF(Source_Data!BF$6=Inputs!$B$12,Inputs!$B$7,0)+BF233-BF236</f>
        <v>432.792929375</v>
      </c>
      <c r="BG238" s="33" t="n">
        <f aca="false">BF238+IF(Source_Data!BG$6=Inputs!$B$12,Inputs!$B$7,0)+BG233-BG236</f>
        <v>432.792929375</v>
      </c>
      <c r="BH238" s="33" t="n">
        <f aca="false">BG238+IF(Source_Data!BH$6=Inputs!$B$12,Inputs!$B$7,0)+BH233-BH236</f>
        <v>432.792929375</v>
      </c>
      <c r="BI238" s="33" t="n">
        <f aca="false">BH238+IF(Source_Data!BI$6=Inputs!$B$12,Inputs!$B$7,0)+BI233-BI236</f>
        <v>432.792929375</v>
      </c>
      <c r="BJ238" s="33" t="n">
        <f aca="false">BI238+IF(Source_Data!BJ$6=Inputs!$B$12,Inputs!$B$7,0)+BJ233-BJ236</f>
        <v>432.792929375</v>
      </c>
      <c r="BK238" s="33" t="n">
        <f aca="false">BJ238+IF(Source_Data!BK$6=Inputs!$B$12,Inputs!$B$7,0)+BK233-BK236</f>
        <v>432.792929375</v>
      </c>
    </row>
    <row r="239" customFormat="false" ht="15" hidden="false" customHeight="false" outlineLevel="0" collapsed="false">
      <c r="A239" s="3" t="s">
        <v>353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-0.169509913043478</v>
      </c>
      <c r="Q239" s="31" t="n">
        <f aca="false">IF(Q236&gt;0,Q233/Q236,"")</f>
        <v>0.279501495652174</v>
      </c>
      <c r="R239" s="31" t="n">
        <f aca="false">IF(R236&gt;0,R233/R236,"")</f>
        <v>-5.91255547826087</v>
      </c>
      <c r="S239" s="31" t="n">
        <f aca="false">IF(S236&gt;0,S233/S236,"")</f>
        <v>-5.66689053913044</v>
      </c>
      <c r="T239" s="31" t="n">
        <f aca="false">IF(T236&gt;0,T233/T236,"")</f>
        <v>-6.55988389565217</v>
      </c>
      <c r="U239" s="31" t="n">
        <f aca="false">IF(U236&gt;0,U233/U236,"")</f>
        <v>-3.38688</v>
      </c>
      <c r="V239" s="31" t="n">
        <f aca="false">IF(V236&gt;0,V233/V236,"")</f>
        <v>2.60119580869565</v>
      </c>
      <c r="W239" s="31" t="n">
        <f aca="false">IF(W236&gt;0,W233/W236,"")</f>
        <v>3.02616970434783</v>
      </c>
      <c r="X239" s="31" t="n">
        <f aca="false">IF(X236&gt;0,X233/X236,"")</f>
        <v>27.2575724869565</v>
      </c>
      <c r="Y239" s="31" t="n">
        <f aca="false">IF(Y236&gt;0,Y233/Y236,"")</f>
        <v>5.91008274782609</v>
      </c>
      <c r="Z239" s="31" t="n">
        <f aca="false">IF(Z236&gt;0,Z233/Z236,"")</f>
        <v>3.41702702608695</v>
      </c>
      <c r="AA239" s="31" t="n">
        <f aca="false">IF(AA236&gt;0,AA233/AA236,"")</f>
        <v>2.44619154782609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354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-15.4499154782609</v>
      </c>
      <c r="Q240" s="31" t="n">
        <f aca="false">IF(Q236&gt;0,(P238+Q233+IF(Source_Data!Q$6=Inputs!$B$12,Inputs!$B$7,0))/Q236,"")</f>
        <v>-16.1704139826087</v>
      </c>
      <c r="R240" s="31" t="n">
        <f aca="false">IF(R236&gt;0,(Q238+R233+IF(Source_Data!R$6=Inputs!$B$12,Inputs!$B$7,0))/R236,"")</f>
        <v>-23.0829694608696</v>
      </c>
      <c r="S240" s="31" t="n">
        <f aca="false">IF(S236&gt;0,(R238+S233+IF(Source_Data!S$6=Inputs!$B$12,Inputs!$B$7,0))/S236,"")</f>
        <v>-29.74986</v>
      </c>
      <c r="T240" s="31" t="n">
        <f aca="false">IF(T236&gt;0,(S238+T233+IF(Source_Data!T$6=Inputs!$B$12,Inputs!$B$7,0))/T236,"")</f>
        <v>-37.3097438956522</v>
      </c>
      <c r="U240" s="31" t="n">
        <f aca="false">IF(U236&gt;0,(T238+U233+IF(Source_Data!U$6=Inputs!$B$12,Inputs!$B$7,0))/U236,"")</f>
        <v>-41.6966238956522</v>
      </c>
      <c r="V240" s="31" t="n">
        <f aca="false">IF(V236&gt;0,(U238+V233+IF(Source_Data!V$6=Inputs!$B$12,Inputs!$B$7,0))/V236,"")</f>
        <v>-40.0954280869565</v>
      </c>
      <c r="W240" s="31" t="n">
        <f aca="false">IF(W236&gt;0,(V238+W233+IF(Source_Data!W$6=Inputs!$B$12,Inputs!$B$7,0))/W236,"")</f>
        <v>-38.0692583826087</v>
      </c>
      <c r="X240" s="31" t="n">
        <f aca="false">IF(X236&gt;0,(W238+X233+IF(Source_Data!X$6=Inputs!$B$12,Inputs!$B$7,0))/X236,"")</f>
        <v>-11.8116858956522</v>
      </c>
      <c r="Y240" s="31" t="n">
        <f aca="false">IF(Y236&gt;0,(X238+Y233+IF(Source_Data!Y$6=Inputs!$B$12,Inputs!$B$7,0))/Y236,"")</f>
        <v>-6.9016031478261</v>
      </c>
      <c r="Z240" s="31" t="n">
        <f aca="false">IF(Z236&gt;0,(Y238+Z233+IF(Source_Data!Z$6=Inputs!$B$12,Inputs!$B$7,0))/Z236,"")</f>
        <v>-4.48457612173915</v>
      </c>
      <c r="AA240" s="31" t="n">
        <f aca="false">IF(AA236&gt;0,(Z238+AA233+IF(Source_Data!AA$6=Inputs!$B$12,Inputs!$B$7,0))/AA236,"")</f>
        <v>-3.03838457391306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355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171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356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357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358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359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360</v>
      </c>
      <c r="B249" s="41" t="n">
        <f aca="false">MIN(D238:BK238)</f>
        <v>-1022.9399475</v>
      </c>
    </row>
    <row r="250" customFormat="false" ht="15" hidden="false" customHeight="false" outlineLevel="0" collapsed="false">
      <c r="A250" s="2" t="s">
        <v>361</v>
      </c>
      <c r="B250" s="43" t="n">
        <f aca="false">MIN(D239:BK239)</f>
        <v>-6.55988389565217</v>
      </c>
    </row>
    <row r="251" customFormat="false" ht="15" hidden="false" customHeight="false" outlineLevel="0" collapsed="false">
      <c r="A251" s="2" t="s">
        <v>362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363</v>
      </c>
      <c r="B252" s="43" t="n">
        <f aca="false">MIN(D240:BK240)</f>
        <v>-41.6966238956522</v>
      </c>
    </row>
    <row r="253" customFormat="false" ht="15" hidden="false" customHeight="false" outlineLevel="0" collapsed="false">
      <c r="A253" s="2" t="s">
        <v>364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374</v>
      </c>
    </row>
    <row r="257" customFormat="false" ht="15" hidden="false" customHeight="false" outlineLevel="0" collapsed="false">
      <c r="A257" s="3" t="s">
        <v>340</v>
      </c>
      <c r="B257" s="45" t="n">
        <v>1</v>
      </c>
    </row>
    <row r="258" customFormat="false" ht="15" hidden="false" customHeight="false" outlineLevel="0" collapsed="false">
      <c r="A258" s="3" t="s">
        <v>341</v>
      </c>
      <c r="B258" s="45" t="n">
        <v>8</v>
      </c>
    </row>
    <row r="259" customFormat="false" ht="15" hidden="false" customHeight="false" outlineLevel="0" collapsed="false">
      <c r="A259" s="3" t="s">
        <v>342</v>
      </c>
      <c r="B259" s="45" t="n">
        <v>1</v>
      </c>
    </row>
    <row r="260" customFormat="false" ht="15" hidden="false" customHeight="false" outlineLevel="0" collapsed="false">
      <c r="A260" s="3" t="s">
        <v>343</v>
      </c>
      <c r="B260" s="45" t="n">
        <v>0</v>
      </c>
    </row>
    <row r="261" customFormat="false" ht="15" hidden="false" customHeight="false" outlineLevel="0" collapsed="false">
      <c r="A261" s="3" t="s">
        <v>344</v>
      </c>
      <c r="B261" s="45" t="n">
        <v>0</v>
      </c>
    </row>
    <row r="262" customFormat="false" ht="15" hidden="false" customHeight="false" outlineLevel="0" collapsed="false">
      <c r="A262" s="3" t="s">
        <v>345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346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347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348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203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205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224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225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226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349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-125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89.8148148148148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89.8148148148148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89.8148148148148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89.8148148148148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350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23.9583333333333</v>
      </c>
      <c r="Q272" s="33" t="n">
        <f aca="false">IF(AND(Source_Data!Q$6&gt;=Inputs!$B$54,Source_Data!Q$6&lt;Inputs!$B$54+3*Inputs!$B$11),Inputs!$B$9*Inputs!$B$7/Inputs!$B$11,0)</f>
        <v>23.9583333333333</v>
      </c>
      <c r="R272" s="33" t="n">
        <f aca="false">IF(AND(Source_Data!R$6&gt;=Inputs!$B$54,Source_Data!R$6&lt;Inputs!$B$54+3*Inputs!$B$11),Inputs!$B$9*Inputs!$B$7/Inputs!$B$11,0)</f>
        <v>23.9583333333333</v>
      </c>
      <c r="S272" s="33" t="n">
        <f aca="false">IF(AND(Source_Data!S$6&gt;=Inputs!$B$54,Source_Data!S$6&lt;Inputs!$B$54+3*Inputs!$B$11),Inputs!$B$9*Inputs!$B$7/Inputs!$B$11,0)</f>
        <v>23.9583333333333</v>
      </c>
      <c r="T272" s="33" t="n">
        <f aca="false">IF(AND(Source_Data!T$6&gt;=Inputs!$B$54,Source_Data!T$6&lt;Inputs!$B$54+3*Inputs!$B$11),Inputs!$B$9*Inputs!$B$7/Inputs!$B$11,0)</f>
        <v>23.9583333333333</v>
      </c>
      <c r="U272" s="33" t="n">
        <f aca="false">IF(AND(Source_Data!U$6&gt;=Inputs!$B$54,Source_Data!U$6&lt;Inputs!$B$54+3*Inputs!$B$11),Inputs!$B$9*Inputs!$B$7/Inputs!$B$11,0)</f>
        <v>23.9583333333333</v>
      </c>
      <c r="V272" s="33" t="n">
        <f aca="false">IF(AND(Source_Data!V$6&gt;=Inputs!$B$54,Source_Data!V$6&lt;Inputs!$B$54+3*Inputs!$B$11),Inputs!$B$9*Inputs!$B$7/Inputs!$B$11,0)</f>
        <v>23.9583333333333</v>
      </c>
      <c r="W272" s="33" t="n">
        <f aca="false">IF(AND(Source_Data!W$6&gt;=Inputs!$B$54,Source_Data!W$6&lt;Inputs!$B$54+3*Inputs!$B$11),Inputs!$B$9*Inputs!$B$7/Inputs!$B$11,0)</f>
        <v>23.9583333333333</v>
      </c>
      <c r="X272" s="33" t="n">
        <f aca="false">IF(AND(Source_Data!X$6&gt;=Inputs!$B$54,Source_Data!X$6&lt;Inputs!$B$54+3*Inputs!$B$11),Inputs!$B$9*Inputs!$B$7/Inputs!$B$11,0)</f>
        <v>23.9583333333333</v>
      </c>
      <c r="Y272" s="33" t="n">
        <f aca="false">IF(AND(Source_Data!Y$6&gt;=Inputs!$B$54,Source_Data!Y$6&lt;Inputs!$B$54+3*Inputs!$B$11),Inputs!$B$9*Inputs!$B$7/Inputs!$B$11,0)</f>
        <v>23.9583333333333</v>
      </c>
      <c r="Z272" s="33" t="n">
        <f aca="false">IF(AND(Source_Data!Z$6&gt;=Inputs!$B$54,Source_Data!Z$6&lt;Inputs!$B$54+3*Inputs!$B$11),Inputs!$B$9*Inputs!$B$7/Inputs!$B$11,0)</f>
        <v>23.9583333333333</v>
      </c>
      <c r="AA272" s="33" t="n">
        <f aca="false">IF(AND(Source_Data!AA$6&gt;=Inputs!$B$54,Source_Data!AA$6&lt;Inputs!$B$54+3*Inputs!$B$11),Inputs!$B$9*Inputs!$B$7/Inputs!$B$11,0)</f>
        <v>23.9583333333333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351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-125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23.9583333333333</v>
      </c>
      <c r="Q273" s="33" t="n">
        <f aca="false">IF(Source_Data!Q$6=Inputs!$B$12,-Inputs!$B$7,0)+Q272</f>
        <v>23.9583333333333</v>
      </c>
      <c r="R273" s="33" t="n">
        <f aca="false">IF(Source_Data!R$6=Inputs!$B$12,-Inputs!$B$7,0)+R272</f>
        <v>23.9583333333333</v>
      </c>
      <c r="S273" s="33" t="n">
        <f aca="false">IF(Source_Data!S$6=Inputs!$B$12,-Inputs!$B$7,0)+S272</f>
        <v>23.9583333333333</v>
      </c>
      <c r="T273" s="33" t="n">
        <f aca="false">IF(Source_Data!T$6=Inputs!$B$12,-Inputs!$B$7,0)+T272</f>
        <v>23.9583333333333</v>
      </c>
      <c r="U273" s="33" t="n">
        <f aca="false">IF(Source_Data!U$6=Inputs!$B$12,-Inputs!$B$7,0)+U272</f>
        <v>23.9583333333333</v>
      </c>
      <c r="V273" s="33" t="n">
        <f aca="false">IF(Source_Data!V$6=Inputs!$B$12,-Inputs!$B$7,0)+V272</f>
        <v>23.9583333333333</v>
      </c>
      <c r="W273" s="33" t="n">
        <f aca="false">IF(Source_Data!W$6=Inputs!$B$12,-Inputs!$B$7,0)+W272</f>
        <v>23.9583333333333</v>
      </c>
      <c r="X273" s="33" t="n">
        <f aca="false">IF(Source_Data!X$6=Inputs!$B$12,-Inputs!$B$7,0)+X272</f>
        <v>23.9583333333333</v>
      </c>
      <c r="Y273" s="33" t="n">
        <f aca="false">IF(Source_Data!Y$6=Inputs!$B$12,-Inputs!$B$7,0)+Y272</f>
        <v>23.9583333333333</v>
      </c>
      <c r="Z273" s="33" t="n">
        <f aca="false">IF(Source_Data!Z$6=Inputs!$B$12,-Inputs!$B$7,0)+Z272</f>
        <v>23.9583333333333</v>
      </c>
      <c r="AA273" s="33" t="n">
        <f aca="false">IF(Source_Data!AA$6=Inputs!$B$12,-Inputs!$B$7,0)+AA272</f>
        <v>23.9583333333333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352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40</v>
      </c>
      <c r="H274" s="33" t="n">
        <f aca="false">G274+IF(Source_Data!H$6=Inputs!$B$12,Inputs!$B$7,0)+H269-H272</f>
        <v>17.5</v>
      </c>
      <c r="I274" s="33" t="n">
        <f aca="false">H274+IF(Source_Data!I$6=Inputs!$B$12,Inputs!$B$7,0)+I269-I272</f>
        <v>-5</v>
      </c>
      <c r="J274" s="33" t="n">
        <f aca="false">I274+IF(Source_Data!J$6=Inputs!$B$12,Inputs!$B$7,0)+J269-J272</f>
        <v>-50.5</v>
      </c>
      <c r="K274" s="33" t="n">
        <f aca="false">J274+IF(Source_Data!K$6=Inputs!$B$12,Inputs!$B$7,0)+K269-K272</f>
        <v>-103.36</v>
      </c>
      <c r="L274" s="33" t="n">
        <f aca="false">K274+IF(Source_Data!L$6=Inputs!$B$12,Inputs!$B$7,0)+L269-L272</f>
        <v>-194.36</v>
      </c>
      <c r="M274" s="33" t="n">
        <f aca="false">L274+IF(Source_Data!M$6=Inputs!$B$12,Inputs!$B$7,0)+M269-M272</f>
        <v>-269.72</v>
      </c>
      <c r="N274" s="33" t="n">
        <f aca="false">M274+IF(Source_Data!N$6=Inputs!$B$12,Inputs!$B$7,0)+N269-N272</f>
        <v>-345.08</v>
      </c>
      <c r="O274" s="33" t="n">
        <f aca="false">N274+IF(Source_Data!O$6=Inputs!$B$12,Inputs!$B$7,0)+O269-O272</f>
        <v>-420.44</v>
      </c>
      <c r="P274" s="33" t="n">
        <f aca="false">O274+IF(Source_Data!P$6=Inputs!$B$12,Inputs!$B$7,0)+P269-P272</f>
        <v>-488.604683333333</v>
      </c>
      <c r="Q274" s="33" t="n">
        <f aca="false">P274+IF(Source_Data!Q$6=Inputs!$B$12,Inputs!$B$7,0)+Q269-Q272</f>
        <v>-538.653716666667</v>
      </c>
      <c r="R274" s="33" t="n">
        <f aca="false">Q274+IF(Source_Data!R$6=Inputs!$B$12,Inputs!$B$7,0)+R269-R272</f>
        <v>-698.601225</v>
      </c>
      <c r="S274" s="33" t="n">
        <f aca="false">R274+IF(Source_Data!S$6=Inputs!$B$12,Inputs!$B$7,0)+S269-S272</f>
        <v>-847.791168333333</v>
      </c>
      <c r="T274" s="33" t="n">
        <f aca="false">S274+IF(Source_Data!T$6=Inputs!$B$12,Inputs!$B$7,0)+T269-T272</f>
        <v>-1052.75447666667</v>
      </c>
      <c r="U274" s="33" t="n">
        <f aca="false">T274+IF(Source_Data!U$6=Inputs!$B$12,Inputs!$B$7,0)+U269-U272</f>
        <v>-1197.7820625</v>
      </c>
      <c r="V274" s="33" t="n">
        <f aca="false">U274+IF(Source_Data!V$6=Inputs!$B$12,Inputs!$B$7,0)+V269-V272</f>
        <v>-1190.30428083333</v>
      </c>
      <c r="W274" s="33" t="n">
        <f aca="false">V274+IF(Source_Data!W$6=Inputs!$B$12,Inputs!$B$7,0)+W269-W272</f>
        <v>-1160.85661416667</v>
      </c>
      <c r="X274" s="33" t="n">
        <f aca="false">W274+IF(Source_Data!X$6=Inputs!$B$12,Inputs!$B$7,0)+X269-X272</f>
        <v>-1099.99463125</v>
      </c>
      <c r="Y274" s="33" t="n">
        <f aca="false">X274+IF(Source_Data!Y$6=Inputs!$B$12,Inputs!$B$7,0)+Y269-Y272</f>
        <v>-1028.95098208333</v>
      </c>
      <c r="Z274" s="33" t="n">
        <f aca="false">Y274+IF(Source_Data!Z$6=Inputs!$B$12,Inputs!$B$7,0)+Z269-Z272</f>
        <v>-399.863307916667</v>
      </c>
      <c r="AA274" s="33" t="n">
        <f aca="false">Z274+IF(Source_Data!AA$6=Inputs!$B$12,Inputs!$B$7,0)+AA269-AA272</f>
        <v>-282.22590875</v>
      </c>
      <c r="AB274" s="33" t="n">
        <f aca="false">AA274+IF(Source_Data!AB$6=Inputs!$B$12,Inputs!$B$7,0)+AB269-AB272</f>
        <v>-177.85963625</v>
      </c>
      <c r="AC274" s="33" t="n">
        <f aca="false">AB274+IF(Source_Data!AC$6=Inputs!$B$12,Inputs!$B$7,0)+AC269-AC272</f>
        <v>-96.7529637500001</v>
      </c>
      <c r="AD274" s="33" t="n">
        <f aca="false">AC274+IF(Source_Data!AD$6=Inputs!$B$12,Inputs!$B$7,0)+AD269-AD272</f>
        <v>-14.9529762500002</v>
      </c>
      <c r="AE274" s="33" t="n">
        <f aca="false">AD274+IF(Source_Data!AE$6=Inputs!$B$12,Inputs!$B$7,0)+AE269-AE272</f>
        <v>65.0354462499998</v>
      </c>
      <c r="AF274" s="33" t="n">
        <f aca="false">AE274+IF(Source_Data!AF$6=Inputs!$B$12,Inputs!$B$7,0)+AF269-AF272</f>
        <v>-98.8767034375</v>
      </c>
      <c r="AG274" s="33" t="n">
        <f aca="false">AF274+IF(Source_Data!AG$6=Inputs!$B$12,Inputs!$B$7,0)+AG269-AG272</f>
        <v>-44.83051609375</v>
      </c>
      <c r="AH274" s="33" t="n">
        <f aca="false">AG274+IF(Source_Data!AH$6=Inputs!$B$12,Inputs!$B$7,0)+AH269-AH272</f>
        <v>2.08799234374996</v>
      </c>
      <c r="AI274" s="33" t="n">
        <f aca="false">AH274+IF(Source_Data!AI$6=Inputs!$B$12,Inputs!$B$7,0)+AI269-AI272</f>
        <v>40.4027318749999</v>
      </c>
      <c r="AJ274" s="33" t="n">
        <f aca="false">AI274+IF(Source_Data!AJ$6=Inputs!$B$12,Inputs!$B$7,0)+AJ269-AJ272</f>
        <v>81.4376145312499</v>
      </c>
      <c r="AK274" s="33" t="n">
        <f aca="false">AJ274+IF(Source_Data!AK$6=Inputs!$B$12,Inputs!$B$7,0)+AK269-AK272</f>
        <v>124.047831875</v>
      </c>
      <c r="AL274" s="33" t="n">
        <f aca="false">AK274+IF(Source_Data!AL$6=Inputs!$B$12,Inputs!$B$7,0)+AL269-AL272</f>
        <v>167.74251875</v>
      </c>
      <c r="AM274" s="33" t="n">
        <f aca="false">AL274+IF(Source_Data!AM$6=Inputs!$B$12,Inputs!$B$7,0)+AM269-AM272</f>
        <v>215.61852875</v>
      </c>
      <c r="AN274" s="33" t="n">
        <f aca="false">AM274+IF(Source_Data!AN$6=Inputs!$B$12,Inputs!$B$7,0)+AN269-AN272</f>
        <v>256.379673125</v>
      </c>
      <c r="AO274" s="33" t="n">
        <f aca="false">AN274+IF(Source_Data!AO$6=Inputs!$B$12,Inputs!$B$7,0)+AO269-AO272</f>
        <v>290.025951875</v>
      </c>
      <c r="AP274" s="33" t="n">
        <f aca="false">AO274+IF(Source_Data!AP$6=Inputs!$B$12,Inputs!$B$7,0)+AP269-AP272</f>
        <v>322.984506875</v>
      </c>
      <c r="AQ274" s="33" t="n">
        <f aca="false">AP274+IF(Source_Data!AQ$6=Inputs!$B$12,Inputs!$B$7,0)+AQ269-AQ272</f>
        <v>352.085099375</v>
      </c>
      <c r="AR274" s="33" t="n">
        <f aca="false">AQ274+IF(Source_Data!AR$6=Inputs!$B$12,Inputs!$B$7,0)+AR269-AR272</f>
        <v>374.968221875</v>
      </c>
      <c r="AS274" s="33" t="n">
        <f aca="false">AR274+IF(Source_Data!AS$6=Inputs!$B$12,Inputs!$B$7,0)+AS269-AS272</f>
        <v>394.250579375</v>
      </c>
      <c r="AT274" s="33" t="n">
        <f aca="false">AS274+IF(Source_Data!AT$6=Inputs!$B$12,Inputs!$B$7,0)+AT269-AT272</f>
        <v>411.054149375</v>
      </c>
      <c r="AU274" s="33" t="n">
        <f aca="false">AT274+IF(Source_Data!AU$6=Inputs!$B$12,Inputs!$B$7,0)+AU269-AU272</f>
        <v>418.300409375</v>
      </c>
      <c r="AV274" s="33" t="n">
        <f aca="false">AU274+IF(Source_Data!AV$6=Inputs!$B$12,Inputs!$B$7,0)+AV269-AV272</f>
        <v>425.546669375</v>
      </c>
      <c r="AW274" s="33" t="n">
        <f aca="false">AV274+IF(Source_Data!AW$6=Inputs!$B$12,Inputs!$B$7,0)+AW269-AW272</f>
        <v>432.792929375</v>
      </c>
      <c r="AX274" s="33" t="n">
        <f aca="false">AW274+IF(Source_Data!AX$6=Inputs!$B$12,Inputs!$B$7,0)+AX269-AX272</f>
        <v>432.792929375</v>
      </c>
      <c r="AY274" s="33" t="n">
        <f aca="false">AX274+IF(Source_Data!AY$6=Inputs!$B$12,Inputs!$B$7,0)+AY269-AY272</f>
        <v>432.792929375</v>
      </c>
      <c r="AZ274" s="33" t="n">
        <f aca="false">AY274+IF(Source_Data!AZ$6=Inputs!$B$12,Inputs!$B$7,0)+AZ269-AZ272</f>
        <v>432.792929375</v>
      </c>
      <c r="BA274" s="33" t="n">
        <f aca="false">AZ274+IF(Source_Data!BA$6=Inputs!$B$12,Inputs!$B$7,0)+BA269-BA272</f>
        <v>432.792929375</v>
      </c>
      <c r="BB274" s="33" t="n">
        <f aca="false">BA274+IF(Source_Data!BB$6=Inputs!$B$12,Inputs!$B$7,0)+BB269-BB272</f>
        <v>432.792929375</v>
      </c>
      <c r="BC274" s="33" t="n">
        <f aca="false">BB274+IF(Source_Data!BC$6=Inputs!$B$12,Inputs!$B$7,0)+BC269-BC272</f>
        <v>432.792929375</v>
      </c>
      <c r="BD274" s="33" t="n">
        <f aca="false">BC274+IF(Source_Data!BD$6=Inputs!$B$12,Inputs!$B$7,0)+BD269-BD272</f>
        <v>432.792929375</v>
      </c>
      <c r="BE274" s="33" t="n">
        <f aca="false">BD274+IF(Source_Data!BE$6=Inputs!$B$12,Inputs!$B$7,0)+BE269-BE272</f>
        <v>432.792929375</v>
      </c>
      <c r="BF274" s="33" t="n">
        <f aca="false">BE274+IF(Source_Data!BF$6=Inputs!$B$12,Inputs!$B$7,0)+BF269-BF272</f>
        <v>432.792929375</v>
      </c>
      <c r="BG274" s="33" t="n">
        <f aca="false">BF274+IF(Source_Data!BG$6=Inputs!$B$12,Inputs!$B$7,0)+BG269-BG272</f>
        <v>432.792929375</v>
      </c>
      <c r="BH274" s="33" t="n">
        <f aca="false">BG274+IF(Source_Data!BH$6=Inputs!$B$12,Inputs!$B$7,0)+BH269-BH272</f>
        <v>432.792929375</v>
      </c>
      <c r="BI274" s="33" t="n">
        <f aca="false">BH274+IF(Source_Data!BI$6=Inputs!$B$12,Inputs!$B$7,0)+BI269-BI272</f>
        <v>432.792929375</v>
      </c>
      <c r="BJ274" s="33" t="n">
        <f aca="false">BI274+IF(Source_Data!BJ$6=Inputs!$B$12,Inputs!$B$7,0)+BJ269-BJ272</f>
        <v>432.792929375</v>
      </c>
      <c r="BK274" s="33" t="n">
        <f aca="false">BJ274+IF(Source_Data!BK$6=Inputs!$B$12,Inputs!$B$7,0)+BK269-BK272</f>
        <v>432.792929375</v>
      </c>
    </row>
    <row r="275" customFormat="false" ht="15" hidden="false" customHeight="false" outlineLevel="0" collapsed="false">
      <c r="A275" s="3" t="s">
        <v>353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-1.84513460869565</v>
      </c>
      <c r="Q275" s="31" t="n">
        <f aca="false">IF(Q272&gt;0,Q269/Q272,"")</f>
        <v>-1.08900313043478</v>
      </c>
      <c r="R275" s="31" t="n">
        <f aca="false">IF(R272&gt;0,R269/R272,"")</f>
        <v>-5.67606991304348</v>
      </c>
      <c r="S275" s="31" t="n">
        <f aca="false">IF(S272&gt;0,S269/S272,"")</f>
        <v>-5.22705850434783</v>
      </c>
      <c r="T275" s="31" t="n">
        <f aca="false">IF(T272&gt;0,T269/T272,"")</f>
        <v>-7.55499026086957</v>
      </c>
      <c r="U275" s="31" t="n">
        <f aca="false">IF(U272&gt;0,U269/U272,"")</f>
        <v>-5.05332532173913</v>
      </c>
      <c r="V275" s="31" t="n">
        <f aca="false">IF(V272&gt;0,V269/V272,"")</f>
        <v>1.31211610434783</v>
      </c>
      <c r="W275" s="31" t="n">
        <f aca="false">IF(W272&gt;0,W269/W272,"")</f>
        <v>2.22912</v>
      </c>
      <c r="X275" s="31" t="n">
        <f aca="false">IF(X272&gt;0,X269/X272,"")</f>
        <v>3.54032624347826</v>
      </c>
      <c r="Y275" s="31" t="n">
        <f aca="false">IF(Y272&gt;0,Y269/Y272,"")</f>
        <v>3.96530013913043</v>
      </c>
      <c r="Z275" s="31" t="n">
        <f aca="false">IF(Z272&gt;0,Z269/Z272,"")</f>
        <v>27.2575724869565</v>
      </c>
      <c r="AA275" s="31" t="n">
        <f aca="false">IF(AA272&gt;0,AA269/AA272,"")</f>
        <v>5.91008274782609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354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-19.3939346086957</v>
      </c>
      <c r="Q276" s="31" t="n">
        <f aca="false">IF(Q272&gt;0,(P274+Q269+IF(Source_Data!Q$6=Inputs!$B$12,Inputs!$B$7,0))/Q272,"")</f>
        <v>-21.4829377391304</v>
      </c>
      <c r="R276" s="31" t="n">
        <f aca="false">IF(R272&gt;0,(Q274+R269+IF(Source_Data!R$6=Inputs!$B$12,Inputs!$B$7,0))/R272,"")</f>
        <v>-28.1590076521739</v>
      </c>
      <c r="S276" s="31" t="n">
        <f aca="false">IF(S272&gt;0,(R274+S269+IF(Source_Data!S$6=Inputs!$B$12,Inputs!$B$7,0))/S272,"")</f>
        <v>-34.3860661565217</v>
      </c>
      <c r="T276" s="31" t="n">
        <f aca="false">IF(T272&gt;0,(S274+T269+IF(Source_Data!T$6=Inputs!$B$12,Inputs!$B$7,0))/T272,"")</f>
        <v>-42.9410564173913</v>
      </c>
      <c r="U276" s="31" t="n">
        <f aca="false">IF(U272&gt;0,(T274+U269+IF(Source_Data!U$6=Inputs!$B$12,Inputs!$B$7,0))/U272,"")</f>
        <v>-48.9943817391304</v>
      </c>
      <c r="V276" s="31" t="n">
        <f aca="false">IF(V272&gt;0,(U274+V269+IF(Source_Data!V$6=Inputs!$B$12,Inputs!$B$7,0))/V272,"")</f>
        <v>-48.6822656347826</v>
      </c>
      <c r="W276" s="31" t="n">
        <f aca="false">IF(W272&gt;0,(V274+W269+IF(Source_Data!W$6=Inputs!$B$12,Inputs!$B$7,0))/W272,"")</f>
        <v>-47.4531456347826</v>
      </c>
      <c r="X276" s="31" t="n">
        <f aca="false">IF(X272&gt;0,(W274+X269+IF(Source_Data!X$6=Inputs!$B$12,Inputs!$B$7,0))/X272,"")</f>
        <v>-44.9128193913043</v>
      </c>
      <c r="Y276" s="31" t="n">
        <f aca="false">IF(Y272&gt;0,(X274+Y269+IF(Source_Data!Y$6=Inputs!$B$12,Inputs!$B$7,0))/Y272,"")</f>
        <v>-41.9475192521739</v>
      </c>
      <c r="Z276" s="31" t="n">
        <f aca="false">IF(Z272&gt;0,(Y274+Z269+IF(Source_Data!Z$6=Inputs!$B$12,Inputs!$B$7,0))/Z272,"")</f>
        <v>-15.6899467652174</v>
      </c>
      <c r="AA276" s="31" t="n">
        <f aca="false">IF(AA272&gt;0,(Z274+AA269+IF(Source_Data!AA$6=Inputs!$B$12,Inputs!$B$7,0))/AA272,"")</f>
        <v>-10.7798640173913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355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171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356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357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358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359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360</v>
      </c>
      <c r="B285" s="41" t="n">
        <f aca="false">MIN(D274:BK274)</f>
        <v>-1197.7820625</v>
      </c>
    </row>
    <row r="286" customFormat="false" ht="15" hidden="false" customHeight="false" outlineLevel="0" collapsed="false">
      <c r="A286" s="2" t="s">
        <v>361</v>
      </c>
      <c r="B286" s="43" t="n">
        <f aca="false">MIN(D275:BK275)</f>
        <v>-7.55499026086957</v>
      </c>
    </row>
    <row r="287" customFormat="false" ht="15" hidden="false" customHeight="false" outlineLevel="0" collapsed="false">
      <c r="A287" s="2" t="s">
        <v>362</v>
      </c>
      <c r="B287" s="35" t="n">
        <f aca="false">COUNTIF(D275:BK275,"&lt;"&amp;Inputs!$B$43)</f>
        <v>7</v>
      </c>
    </row>
    <row r="288" customFormat="false" ht="15" hidden="false" customHeight="false" outlineLevel="0" collapsed="false">
      <c r="A288" s="2" t="s">
        <v>363</v>
      </c>
      <c r="B288" s="43" t="n">
        <f aca="false">MIN(D276:BK276)</f>
        <v>-48.9943817391304</v>
      </c>
    </row>
    <row r="289" customFormat="false" ht="15" hidden="false" customHeight="false" outlineLevel="0" collapsed="false">
      <c r="A289" s="2" t="s">
        <v>364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375</v>
      </c>
    </row>
    <row r="293" customFormat="false" ht="15" hidden="false" customHeight="false" outlineLevel="0" collapsed="false">
      <c r="A293" s="3" t="s">
        <v>340</v>
      </c>
      <c r="B293" s="45" t="n">
        <v>1</v>
      </c>
    </row>
    <row r="294" customFormat="false" ht="15" hidden="false" customHeight="false" outlineLevel="0" collapsed="false">
      <c r="A294" s="3" t="s">
        <v>341</v>
      </c>
      <c r="B294" s="45" t="n">
        <v>0</v>
      </c>
    </row>
    <row r="295" customFormat="false" ht="15" hidden="false" customHeight="false" outlineLevel="0" collapsed="false">
      <c r="A295" s="3" t="s">
        <v>342</v>
      </c>
      <c r="B295" s="45" t="n">
        <v>1.1</v>
      </c>
    </row>
    <row r="296" customFormat="false" ht="15" hidden="false" customHeight="false" outlineLevel="0" collapsed="false">
      <c r="A296" s="3" t="s">
        <v>343</v>
      </c>
      <c r="B296" s="45" t="n">
        <v>0</v>
      </c>
    </row>
    <row r="297" customFormat="false" ht="15" hidden="false" customHeight="false" outlineLevel="0" collapsed="false">
      <c r="A297" s="3" t="s">
        <v>344</v>
      </c>
      <c r="B297" s="45" t="n">
        <v>0</v>
      </c>
    </row>
    <row r="298" customFormat="false" ht="15" hidden="false" customHeight="false" outlineLevel="0" collapsed="false">
      <c r="A298" s="3" t="s">
        <v>345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346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347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348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203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205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224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225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226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349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-125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89.8148148148148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89.8148148148148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89.8148148148148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89.8148148148148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350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23.9583333333333</v>
      </c>
      <c r="Q308" s="33" t="n">
        <f aca="false">IF(AND(Source_Data!Q$6&gt;=Inputs!$B$54,Source_Data!Q$6&lt;Inputs!$B$54+3*Inputs!$B$11),Inputs!$B$9*Inputs!$B$7/Inputs!$B$11,0)</f>
        <v>23.9583333333333</v>
      </c>
      <c r="R308" s="33" t="n">
        <f aca="false">IF(AND(Source_Data!R$6&gt;=Inputs!$B$54,Source_Data!R$6&lt;Inputs!$B$54+3*Inputs!$B$11),Inputs!$B$9*Inputs!$B$7/Inputs!$B$11,0)</f>
        <v>23.9583333333333</v>
      </c>
      <c r="S308" s="33" t="n">
        <f aca="false">IF(AND(Source_Data!S$6&gt;=Inputs!$B$54,Source_Data!S$6&lt;Inputs!$B$54+3*Inputs!$B$11),Inputs!$B$9*Inputs!$B$7/Inputs!$B$11,0)</f>
        <v>23.9583333333333</v>
      </c>
      <c r="T308" s="33" t="n">
        <f aca="false">IF(AND(Source_Data!T$6&gt;=Inputs!$B$54,Source_Data!T$6&lt;Inputs!$B$54+3*Inputs!$B$11),Inputs!$B$9*Inputs!$B$7/Inputs!$B$11,0)</f>
        <v>23.9583333333333</v>
      </c>
      <c r="U308" s="33" t="n">
        <f aca="false">IF(AND(Source_Data!U$6&gt;=Inputs!$B$54,Source_Data!U$6&lt;Inputs!$B$54+3*Inputs!$B$11),Inputs!$B$9*Inputs!$B$7/Inputs!$B$11,0)</f>
        <v>23.9583333333333</v>
      </c>
      <c r="V308" s="33" t="n">
        <f aca="false">IF(AND(Source_Data!V$6&gt;=Inputs!$B$54,Source_Data!V$6&lt;Inputs!$B$54+3*Inputs!$B$11),Inputs!$B$9*Inputs!$B$7/Inputs!$B$11,0)</f>
        <v>23.9583333333333</v>
      </c>
      <c r="W308" s="33" t="n">
        <f aca="false">IF(AND(Source_Data!W$6&gt;=Inputs!$B$54,Source_Data!W$6&lt;Inputs!$B$54+3*Inputs!$B$11),Inputs!$B$9*Inputs!$B$7/Inputs!$B$11,0)</f>
        <v>23.9583333333333</v>
      </c>
      <c r="X308" s="33" t="n">
        <f aca="false">IF(AND(Source_Data!X$6&gt;=Inputs!$B$54,Source_Data!X$6&lt;Inputs!$B$54+3*Inputs!$B$11),Inputs!$B$9*Inputs!$B$7/Inputs!$B$11,0)</f>
        <v>23.9583333333333</v>
      </c>
      <c r="Y308" s="33" t="n">
        <f aca="false">IF(AND(Source_Data!Y$6&gt;=Inputs!$B$54,Source_Data!Y$6&lt;Inputs!$B$54+3*Inputs!$B$11),Inputs!$B$9*Inputs!$B$7/Inputs!$B$11,0)</f>
        <v>23.9583333333333</v>
      </c>
      <c r="Z308" s="33" t="n">
        <f aca="false">IF(AND(Source_Data!Z$6&gt;=Inputs!$B$54,Source_Data!Z$6&lt;Inputs!$B$54+3*Inputs!$B$11),Inputs!$B$9*Inputs!$B$7/Inputs!$B$11,0)</f>
        <v>23.9583333333333</v>
      </c>
      <c r="AA308" s="33" t="n">
        <f aca="false">IF(AND(Source_Data!AA$6&gt;=Inputs!$B$54,Source_Data!AA$6&lt;Inputs!$B$54+3*Inputs!$B$11),Inputs!$B$9*Inputs!$B$7/Inputs!$B$11,0)</f>
        <v>23.9583333333333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351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-125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23.9583333333333</v>
      </c>
      <c r="Q309" s="33" t="n">
        <f aca="false">IF(Source_Data!Q$6=Inputs!$B$12,-Inputs!$B$7,0)+Q308</f>
        <v>23.9583333333333</v>
      </c>
      <c r="R309" s="33" t="n">
        <f aca="false">IF(Source_Data!R$6=Inputs!$B$12,-Inputs!$B$7,0)+R308</f>
        <v>23.9583333333333</v>
      </c>
      <c r="S309" s="33" t="n">
        <f aca="false">IF(Source_Data!S$6=Inputs!$B$12,-Inputs!$B$7,0)+S308</f>
        <v>23.9583333333333</v>
      </c>
      <c r="T309" s="33" t="n">
        <f aca="false">IF(Source_Data!T$6=Inputs!$B$12,-Inputs!$B$7,0)+T308</f>
        <v>23.9583333333333</v>
      </c>
      <c r="U309" s="33" t="n">
        <f aca="false">IF(Source_Data!U$6=Inputs!$B$12,-Inputs!$B$7,0)+U308</f>
        <v>23.9583333333333</v>
      </c>
      <c r="V309" s="33" t="n">
        <f aca="false">IF(Source_Data!V$6=Inputs!$B$12,-Inputs!$B$7,0)+V308</f>
        <v>23.9583333333333</v>
      </c>
      <c r="W309" s="33" t="n">
        <f aca="false">IF(Source_Data!W$6=Inputs!$B$12,-Inputs!$B$7,0)+W308</f>
        <v>23.9583333333333</v>
      </c>
      <c r="X309" s="33" t="n">
        <f aca="false">IF(Source_Data!X$6=Inputs!$B$12,-Inputs!$B$7,0)+X308</f>
        <v>23.9583333333333</v>
      </c>
      <c r="Y309" s="33" t="n">
        <f aca="false">IF(Source_Data!Y$6=Inputs!$B$12,-Inputs!$B$7,0)+Y308</f>
        <v>23.9583333333333</v>
      </c>
      <c r="Z309" s="33" t="n">
        <f aca="false">IF(Source_Data!Z$6=Inputs!$B$12,-Inputs!$B$7,0)+Z308</f>
        <v>23.9583333333333</v>
      </c>
      <c r="AA309" s="33" t="n">
        <f aca="false">IF(Source_Data!AA$6=Inputs!$B$12,-Inputs!$B$7,0)+AA308</f>
        <v>23.9583333333333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352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40</v>
      </c>
      <c r="H310" s="33" t="n">
        <f aca="false">G310+IF(Source_Data!H$6=Inputs!$B$12,Inputs!$B$7,0)+H305-H308</f>
        <v>35.61565</v>
      </c>
      <c r="I310" s="33" t="n">
        <f aca="false">H310+IF(Source_Data!I$6=Inputs!$B$12,Inputs!$B$7,0)+I305-I308</f>
        <v>49.34695</v>
      </c>
      <c r="J310" s="33" t="n">
        <f aca="false">I310+IF(Source_Data!J$6=Inputs!$B$12,Inputs!$B$7,0)+J305-J308</f>
        <v>59.807775</v>
      </c>
      <c r="K310" s="33" t="n">
        <f aca="false">J310+IF(Source_Data!K$6=Inputs!$B$12,Inputs!$B$7,0)+K305-K308</f>
        <v>72.930165</v>
      </c>
      <c r="L310" s="33" t="n">
        <f aca="false">K310+IF(Source_Data!L$6=Inputs!$B$12,Inputs!$B$7,0)+L305-L308</f>
        <v>29.92519</v>
      </c>
      <c r="M310" s="33" t="n">
        <f aca="false">L310+IF(Source_Data!M$6=Inputs!$B$12,Inputs!$B$7,0)+M305-M308</f>
        <v>10.0099375</v>
      </c>
      <c r="N310" s="33" t="n">
        <f aca="false">M310+IF(Source_Data!N$6=Inputs!$B$12,Inputs!$B$7,0)+N305-N308</f>
        <v>8.0500525</v>
      </c>
      <c r="O310" s="33" t="n">
        <f aca="false">N310+IF(Source_Data!O$6=Inputs!$B$12,Inputs!$B$7,0)+O305-O308</f>
        <v>28.0600525</v>
      </c>
      <c r="P310" s="33" t="n">
        <f aca="false">O310+IF(Source_Data!P$6=Inputs!$B$12,Inputs!$B$7,0)+P305-P308</f>
        <v>48.4928354166667</v>
      </c>
      <c r="Q310" s="33" t="n">
        <f aca="false">P310+IF(Source_Data!Q$6=Inputs!$B$12,Inputs!$B$7,0)+Q305-Q308</f>
        <v>79.1072845833333</v>
      </c>
      <c r="R310" s="33" t="n">
        <f aca="false">Q310+IF(Source_Data!R$6=Inputs!$B$12,Inputs!$B$7,0)+R305-R308</f>
        <v>522.64495875</v>
      </c>
      <c r="S310" s="33" t="n">
        <f aca="false">R310+IF(Source_Data!S$6=Inputs!$B$12,Inputs!$B$7,0)+S305-S308</f>
        <v>454.732357916666</v>
      </c>
      <c r="T310" s="33" t="n">
        <f aca="false">S310+IF(Source_Data!T$6=Inputs!$B$12,Inputs!$B$7,0)+T305-T308</f>
        <v>282.680297083333</v>
      </c>
      <c r="U310" s="33" t="n">
        <f aca="false">T310+IF(Source_Data!U$6=Inputs!$B$12,Inputs!$B$7,0)+U305-U308</f>
        <v>146.82363625</v>
      </c>
      <c r="V310" s="33" t="n">
        <f aca="false">U310+IF(Source_Data!V$6=Inputs!$B$12,Inputs!$B$7,0)+V305-V308</f>
        <v>159.665290416666</v>
      </c>
      <c r="W310" s="33" t="n">
        <f aca="false">V310+IF(Source_Data!W$6=Inputs!$B$12,Inputs!$B$7,0)+W305-W308</f>
        <v>170.695379583333</v>
      </c>
      <c r="X310" s="33" t="n">
        <f aca="false">W310+IF(Source_Data!X$6=Inputs!$B$12,Inputs!$B$7,0)+X305-X308</f>
        <v>201.516508125</v>
      </c>
      <c r="Y310" s="33" t="n">
        <f aca="false">X310+IF(Source_Data!Y$6=Inputs!$B$12,Inputs!$B$7,0)+Y305-Y308</f>
        <v>225.211588541666</v>
      </c>
      <c r="Z310" s="33" t="n">
        <f aca="false">Y310+IF(Source_Data!Z$6=Inputs!$B$12,Inputs!$B$7,0)+Z305-Z308</f>
        <v>240.091131458333</v>
      </c>
      <c r="AA310" s="33" t="n">
        <f aca="false">Z310+IF(Source_Data!AA$6=Inputs!$B$12,Inputs!$B$7,0)+AA305-AA308</f>
        <v>244.679046874999</v>
      </c>
      <c r="AB310" s="33" t="n">
        <f aca="false">AA310+IF(Source_Data!AB$6=Inputs!$B$12,Inputs!$B$7,0)+AB305-AB308</f>
        <v>295.725295624999</v>
      </c>
      <c r="AC310" s="33" t="n">
        <f aca="false">AB310+IF(Source_Data!AC$6=Inputs!$B$12,Inputs!$B$7,0)+AC305-AC308</f>
        <v>346.771544374999</v>
      </c>
      <c r="AD310" s="33" t="n">
        <f aca="false">AC310+IF(Source_Data!AD$6=Inputs!$B$12,Inputs!$B$7,0)+AD305-AD308</f>
        <v>397.817793124999</v>
      </c>
      <c r="AE310" s="33" t="n">
        <f aca="false">AD310+IF(Source_Data!AE$6=Inputs!$B$12,Inputs!$B$7,0)+AE305-AE308</f>
        <v>448.864041874999</v>
      </c>
      <c r="AF310" s="33" t="n">
        <f aca="false">AE310+IF(Source_Data!AF$6=Inputs!$B$12,Inputs!$B$7,0)+AF305-AF308</f>
        <v>251.6038134375</v>
      </c>
      <c r="AG310" s="33" t="n">
        <f aca="false">AF310+IF(Source_Data!AG$6=Inputs!$B$12,Inputs!$B$7,0)+AG305-AG308</f>
        <v>272.31310453125</v>
      </c>
      <c r="AH310" s="33" t="n">
        <f aca="false">AG310+IF(Source_Data!AH$6=Inputs!$B$12,Inputs!$B$7,0)+AH305-AH308</f>
        <v>290.85229171875</v>
      </c>
      <c r="AI310" s="33" t="n">
        <f aca="false">AH310+IF(Source_Data!AI$6=Inputs!$B$12,Inputs!$B$7,0)+AI305-AI308</f>
        <v>307.221374999999</v>
      </c>
      <c r="AJ310" s="33" t="n">
        <f aca="false">AI310+IF(Source_Data!AJ$6=Inputs!$B$12,Inputs!$B$7,0)+AJ305-AJ308</f>
        <v>320.093131406249</v>
      </c>
      <c r="AK310" s="33" t="n">
        <f aca="false">AJ310+IF(Source_Data!AK$6=Inputs!$B$12,Inputs!$B$7,0)+AK305-AK308</f>
        <v>330.939457499999</v>
      </c>
      <c r="AL310" s="33" t="n">
        <f aca="false">AK310+IF(Source_Data!AL$6=Inputs!$B$12,Inputs!$B$7,0)+AL305-AL308</f>
        <v>340.391465624999</v>
      </c>
      <c r="AM310" s="33" t="n">
        <f aca="false">AL310+IF(Source_Data!AM$6=Inputs!$B$12,Inputs!$B$7,0)+AM305-AM308</f>
        <v>344.467486874999</v>
      </c>
      <c r="AN310" s="33" t="n">
        <f aca="false">AM310+IF(Source_Data!AN$6=Inputs!$B$12,Inputs!$B$7,0)+AN305-AN308</f>
        <v>348.543508124999</v>
      </c>
      <c r="AO310" s="33" t="n">
        <f aca="false">AN310+IF(Source_Data!AO$6=Inputs!$B$12,Inputs!$B$7,0)+AO305-AO308</f>
        <v>352.619529374999</v>
      </c>
      <c r="AP310" s="33" t="n">
        <f aca="false">AO310+IF(Source_Data!AP$6=Inputs!$B$12,Inputs!$B$7,0)+AP305-AP308</f>
        <v>352.619529374999</v>
      </c>
      <c r="AQ310" s="33" t="n">
        <f aca="false">AP310+IF(Source_Data!AQ$6=Inputs!$B$12,Inputs!$B$7,0)+AQ305-AQ308</f>
        <v>352.619529374999</v>
      </c>
      <c r="AR310" s="33" t="n">
        <f aca="false">AQ310+IF(Source_Data!AR$6=Inputs!$B$12,Inputs!$B$7,0)+AR305-AR308</f>
        <v>352.619529374999</v>
      </c>
      <c r="AS310" s="33" t="n">
        <f aca="false">AR310+IF(Source_Data!AS$6=Inputs!$B$12,Inputs!$B$7,0)+AS305-AS308</f>
        <v>352.619529374999</v>
      </c>
      <c r="AT310" s="33" t="n">
        <f aca="false">AS310+IF(Source_Data!AT$6=Inputs!$B$12,Inputs!$B$7,0)+AT305-AT308</f>
        <v>352.619529374999</v>
      </c>
      <c r="AU310" s="33" t="n">
        <f aca="false">AT310+IF(Source_Data!AU$6=Inputs!$B$12,Inputs!$B$7,0)+AU305-AU308</f>
        <v>352.619529374999</v>
      </c>
      <c r="AV310" s="33" t="n">
        <f aca="false">AU310+IF(Source_Data!AV$6=Inputs!$B$12,Inputs!$B$7,0)+AV305-AV308</f>
        <v>352.619529374999</v>
      </c>
      <c r="AW310" s="33" t="n">
        <f aca="false">AV310+IF(Source_Data!AW$6=Inputs!$B$12,Inputs!$B$7,0)+AW305-AW308</f>
        <v>352.619529374999</v>
      </c>
      <c r="AX310" s="33" t="n">
        <f aca="false">AW310+IF(Source_Data!AX$6=Inputs!$B$12,Inputs!$B$7,0)+AX305-AX308</f>
        <v>352.619529374999</v>
      </c>
      <c r="AY310" s="33" t="n">
        <f aca="false">AX310+IF(Source_Data!AY$6=Inputs!$B$12,Inputs!$B$7,0)+AY305-AY308</f>
        <v>352.619529374999</v>
      </c>
      <c r="AZ310" s="33" t="n">
        <f aca="false">AY310+IF(Source_Data!AZ$6=Inputs!$B$12,Inputs!$B$7,0)+AZ305-AZ308</f>
        <v>352.619529374999</v>
      </c>
      <c r="BA310" s="33" t="n">
        <f aca="false">AZ310+IF(Source_Data!BA$6=Inputs!$B$12,Inputs!$B$7,0)+BA305-BA308</f>
        <v>352.619529374999</v>
      </c>
      <c r="BB310" s="33" t="n">
        <f aca="false">BA310+IF(Source_Data!BB$6=Inputs!$B$12,Inputs!$B$7,0)+BB305-BB308</f>
        <v>352.619529374999</v>
      </c>
      <c r="BC310" s="33" t="n">
        <f aca="false">BB310+IF(Source_Data!BC$6=Inputs!$B$12,Inputs!$B$7,0)+BC305-BC308</f>
        <v>352.619529374999</v>
      </c>
      <c r="BD310" s="33" t="n">
        <f aca="false">BC310+IF(Source_Data!BD$6=Inputs!$B$12,Inputs!$B$7,0)+BD305-BD308</f>
        <v>352.619529374999</v>
      </c>
      <c r="BE310" s="33" t="n">
        <f aca="false">BD310+IF(Source_Data!BE$6=Inputs!$B$12,Inputs!$B$7,0)+BE305-BE308</f>
        <v>352.619529374999</v>
      </c>
      <c r="BF310" s="33" t="n">
        <f aca="false">BE310+IF(Source_Data!BF$6=Inputs!$B$12,Inputs!$B$7,0)+BF305-BF308</f>
        <v>352.619529374999</v>
      </c>
      <c r="BG310" s="33" t="n">
        <f aca="false">BF310+IF(Source_Data!BG$6=Inputs!$B$12,Inputs!$B$7,0)+BG305-BG308</f>
        <v>352.619529374999</v>
      </c>
      <c r="BH310" s="33" t="n">
        <f aca="false">BG310+IF(Source_Data!BH$6=Inputs!$B$12,Inputs!$B$7,0)+BH305-BH308</f>
        <v>352.619529374999</v>
      </c>
      <c r="BI310" s="33" t="n">
        <f aca="false">BH310+IF(Source_Data!BI$6=Inputs!$B$12,Inputs!$B$7,0)+BI305-BI308</f>
        <v>352.619529374999</v>
      </c>
      <c r="BJ310" s="33" t="n">
        <f aca="false">BI310+IF(Source_Data!BJ$6=Inputs!$B$12,Inputs!$B$7,0)+BJ305-BJ308</f>
        <v>352.619529374999</v>
      </c>
      <c r="BK310" s="33" t="n">
        <f aca="false">BJ310+IF(Source_Data!BK$6=Inputs!$B$12,Inputs!$B$7,0)+BK305-BK308</f>
        <v>352.619529374999</v>
      </c>
    </row>
    <row r="311" customFormat="false" ht="15" hidden="false" customHeight="false" outlineLevel="0" collapsed="false">
      <c r="A311" s="3" t="s">
        <v>353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1.85284659130435</v>
      </c>
      <c r="Q311" s="31" t="n">
        <f aca="false">IF(Q308&gt;0,Q305/Q308,"")</f>
        <v>2.27782048695652</v>
      </c>
      <c r="R311" s="31" t="n">
        <f aca="false">IF(R308&gt;0,R305/R308,"")</f>
        <v>19.5128768347826</v>
      </c>
      <c r="S311" s="31" t="n">
        <f aca="false">IF(S308&gt;0,S305/S308,"")</f>
        <v>-1.83461290434783</v>
      </c>
      <c r="T311" s="31" t="n">
        <f aca="false">IF(T308&gt;0,T305/T308,"")</f>
        <v>-6.18130340869566</v>
      </c>
      <c r="U311" s="31" t="n">
        <f aca="false">IF(U308&gt;0,U305/U308,"")</f>
        <v>-4.67053888695653</v>
      </c>
      <c r="V311" s="31" t="n">
        <f aca="false">IF(V308&gt;0,V305/V308,"")</f>
        <v>1.53599947826087</v>
      </c>
      <c r="W311" s="31" t="n">
        <f aca="false">IF(W308&gt;0,W305/W308,"")</f>
        <v>1.46038633043478</v>
      </c>
      <c r="X311" s="31" t="n">
        <f aca="false">IF(X308&gt;0,X305/X308,"")</f>
        <v>2.28644710434783</v>
      </c>
      <c r="Y311" s="31" t="n">
        <f aca="false">IF(Y308&gt;0,Y305/Y308,"")</f>
        <v>1.98901205217391</v>
      </c>
      <c r="Z311" s="31" t="n">
        <f aca="false">IF(Z308&gt;0,Z305/Z308,"")</f>
        <v>1.6210591826087</v>
      </c>
      <c r="AA311" s="31" t="n">
        <f aca="false">IF(AA308&gt;0,AA305/AA308,"")</f>
        <v>1.1914956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354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3.0240487826087</v>
      </c>
      <c r="Q312" s="31" t="n">
        <f aca="false">IF(Q308&gt;0,(P310+Q305+IF(Source_Data!Q$6=Inputs!$B$12,Inputs!$B$7,0))/Q308,"")</f>
        <v>4.30186926956522</v>
      </c>
      <c r="R312" s="31" t="n">
        <f aca="false">IF(R308&gt;0,(Q310+R305+IF(Source_Data!R$6=Inputs!$B$12,Inputs!$B$7,0))/R308,"")</f>
        <v>22.8147461043478</v>
      </c>
      <c r="S312" s="31" t="n">
        <f aca="false">IF(S308&gt;0,(R310+S305+IF(Source_Data!S$6=Inputs!$B$12,Inputs!$B$7,0))/S308,"")</f>
        <v>19.9801332</v>
      </c>
      <c r="T312" s="31" t="n">
        <f aca="false">IF(T308&gt;0,(S310+T305+IF(Source_Data!T$6=Inputs!$B$12,Inputs!$B$7,0))/T308,"")</f>
        <v>12.7988297913043</v>
      </c>
      <c r="U312" s="31" t="n">
        <f aca="false">IF(U308&gt;0,(T310+U305+IF(Source_Data!U$6=Inputs!$B$12,Inputs!$B$7,0))/U308,"")</f>
        <v>7.12829090434781</v>
      </c>
      <c r="V312" s="31" t="n">
        <f aca="false">IF(V308&gt;0,(U310+V305+IF(Source_Data!V$6=Inputs!$B$12,Inputs!$B$7,0))/V308,"")</f>
        <v>7.66429038260868</v>
      </c>
      <c r="W312" s="31" t="n">
        <f aca="false">IF(W308&gt;0,(V310+W305+IF(Source_Data!W$6=Inputs!$B$12,Inputs!$B$7,0))/W308,"")</f>
        <v>8.12467671304346</v>
      </c>
      <c r="X312" s="31" t="n">
        <f aca="false">IF(X308&gt;0,(W310+X305+IF(Source_Data!X$6=Inputs!$B$12,Inputs!$B$7,0))/X308,"")</f>
        <v>9.41112381739128</v>
      </c>
      <c r="Y312" s="31" t="n">
        <f aca="false">IF(Y308&gt;0,(X310+Y305+IF(Source_Data!Y$6=Inputs!$B$12,Inputs!$B$7,0))/Y308,"")</f>
        <v>10.4001358695652</v>
      </c>
      <c r="Z312" s="31" t="n">
        <f aca="false">IF(Z308&gt;0,(Y310+Z305+IF(Source_Data!Z$6=Inputs!$B$12,Inputs!$B$7,0))/Z308,"")</f>
        <v>11.0211950521739</v>
      </c>
      <c r="AA312" s="31" t="n">
        <f aca="false">IF(AA308&gt;0,(Z310+AA305+IF(Source_Data!AA$6=Inputs!$B$12,Inputs!$B$7,0))/AA308,"")</f>
        <v>11.2126906521739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355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171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356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357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358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359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360</v>
      </c>
      <c r="B321" s="41" t="n">
        <f aca="false">MIN(D310:BK310)</f>
        <v>0</v>
      </c>
    </row>
    <row r="322" customFormat="false" ht="15" hidden="false" customHeight="false" outlineLevel="0" collapsed="false">
      <c r="A322" s="2" t="s">
        <v>361</v>
      </c>
      <c r="B322" s="43" t="n">
        <f aca="false">MIN(D311:BK311)</f>
        <v>-6.18130340869566</v>
      </c>
    </row>
    <row r="323" customFormat="false" ht="15" hidden="false" customHeight="false" outlineLevel="0" collapsed="false">
      <c r="A323" s="2" t="s">
        <v>362</v>
      </c>
      <c r="B323" s="35" t="n">
        <f aca="false">COUNTIF(D311:BK311,"&lt;"&amp;Inputs!$B$43)</f>
        <v>5</v>
      </c>
    </row>
    <row r="324" customFormat="false" ht="15" hidden="false" customHeight="false" outlineLevel="0" collapsed="false">
      <c r="A324" s="2" t="s">
        <v>363</v>
      </c>
      <c r="B324" s="43" t="n">
        <f aca="false">MIN(D312:BK312)</f>
        <v>3.0240487826087</v>
      </c>
    </row>
    <row r="325" customFormat="false" ht="15" hidden="false" customHeight="false" outlineLevel="0" collapsed="false">
      <c r="A325" s="2" t="s">
        <v>364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376</v>
      </c>
    </row>
    <row r="329" customFormat="false" ht="15" hidden="false" customHeight="false" outlineLevel="0" collapsed="false">
      <c r="A329" s="3" t="s">
        <v>340</v>
      </c>
      <c r="B329" s="45" t="n">
        <v>1</v>
      </c>
    </row>
    <row r="330" customFormat="false" ht="15" hidden="false" customHeight="false" outlineLevel="0" collapsed="false">
      <c r="A330" s="3" t="s">
        <v>341</v>
      </c>
      <c r="B330" s="45" t="n">
        <v>0</v>
      </c>
    </row>
    <row r="331" customFormat="false" ht="15" hidden="false" customHeight="false" outlineLevel="0" collapsed="false">
      <c r="A331" s="3" t="s">
        <v>342</v>
      </c>
      <c r="B331" s="45" t="n">
        <v>1.2</v>
      </c>
    </row>
    <row r="332" customFormat="false" ht="15" hidden="false" customHeight="false" outlineLevel="0" collapsed="false">
      <c r="A332" s="3" t="s">
        <v>343</v>
      </c>
      <c r="B332" s="45" t="n">
        <v>0</v>
      </c>
    </row>
    <row r="333" customFormat="false" ht="15" hidden="false" customHeight="false" outlineLevel="0" collapsed="false">
      <c r="A333" s="3" t="s">
        <v>344</v>
      </c>
      <c r="B333" s="45" t="n">
        <v>0</v>
      </c>
    </row>
    <row r="334" customFormat="false" ht="15" hidden="false" customHeight="false" outlineLevel="0" collapsed="false">
      <c r="A334" s="3" t="s">
        <v>345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346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347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348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203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205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224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225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226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349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-125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89.8148148148148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89.8148148148148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89.8148148148148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89.8148148148148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350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23.9583333333333</v>
      </c>
      <c r="Q344" s="33" t="n">
        <f aca="false">IF(AND(Source_Data!Q$6&gt;=Inputs!$B$54,Source_Data!Q$6&lt;Inputs!$B$54+3*Inputs!$B$11),Inputs!$B$9*Inputs!$B$7/Inputs!$B$11,0)</f>
        <v>23.9583333333333</v>
      </c>
      <c r="R344" s="33" t="n">
        <f aca="false">IF(AND(Source_Data!R$6&gt;=Inputs!$B$54,Source_Data!R$6&lt;Inputs!$B$54+3*Inputs!$B$11),Inputs!$B$9*Inputs!$B$7/Inputs!$B$11,0)</f>
        <v>23.9583333333333</v>
      </c>
      <c r="S344" s="33" t="n">
        <f aca="false">IF(AND(Source_Data!S$6&gt;=Inputs!$B$54,Source_Data!S$6&lt;Inputs!$B$54+3*Inputs!$B$11),Inputs!$B$9*Inputs!$B$7/Inputs!$B$11,0)</f>
        <v>23.9583333333333</v>
      </c>
      <c r="T344" s="33" t="n">
        <f aca="false">IF(AND(Source_Data!T$6&gt;=Inputs!$B$54,Source_Data!T$6&lt;Inputs!$B$54+3*Inputs!$B$11),Inputs!$B$9*Inputs!$B$7/Inputs!$B$11,0)</f>
        <v>23.9583333333333</v>
      </c>
      <c r="U344" s="33" t="n">
        <f aca="false">IF(AND(Source_Data!U$6&gt;=Inputs!$B$54,Source_Data!U$6&lt;Inputs!$B$54+3*Inputs!$B$11),Inputs!$B$9*Inputs!$B$7/Inputs!$B$11,0)</f>
        <v>23.9583333333333</v>
      </c>
      <c r="V344" s="33" t="n">
        <f aca="false">IF(AND(Source_Data!V$6&gt;=Inputs!$B$54,Source_Data!V$6&lt;Inputs!$B$54+3*Inputs!$B$11),Inputs!$B$9*Inputs!$B$7/Inputs!$B$11,0)</f>
        <v>23.9583333333333</v>
      </c>
      <c r="W344" s="33" t="n">
        <f aca="false">IF(AND(Source_Data!W$6&gt;=Inputs!$B$54,Source_Data!W$6&lt;Inputs!$B$54+3*Inputs!$B$11),Inputs!$B$9*Inputs!$B$7/Inputs!$B$11,0)</f>
        <v>23.9583333333333</v>
      </c>
      <c r="X344" s="33" t="n">
        <f aca="false">IF(AND(Source_Data!X$6&gt;=Inputs!$B$54,Source_Data!X$6&lt;Inputs!$B$54+3*Inputs!$B$11),Inputs!$B$9*Inputs!$B$7/Inputs!$B$11,0)</f>
        <v>23.9583333333333</v>
      </c>
      <c r="Y344" s="33" t="n">
        <f aca="false">IF(AND(Source_Data!Y$6&gt;=Inputs!$B$54,Source_Data!Y$6&lt;Inputs!$B$54+3*Inputs!$B$11),Inputs!$B$9*Inputs!$B$7/Inputs!$B$11,0)</f>
        <v>23.9583333333333</v>
      </c>
      <c r="Z344" s="33" t="n">
        <f aca="false">IF(AND(Source_Data!Z$6&gt;=Inputs!$B$54,Source_Data!Z$6&lt;Inputs!$B$54+3*Inputs!$B$11),Inputs!$B$9*Inputs!$B$7/Inputs!$B$11,0)</f>
        <v>23.9583333333333</v>
      </c>
      <c r="AA344" s="33" t="n">
        <f aca="false">IF(AND(Source_Data!AA$6&gt;=Inputs!$B$54,Source_Data!AA$6&lt;Inputs!$B$54+3*Inputs!$B$11),Inputs!$B$9*Inputs!$B$7/Inputs!$B$11,0)</f>
        <v>23.9583333333333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351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-125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23.9583333333333</v>
      </c>
      <c r="Q345" s="33" t="n">
        <f aca="false">IF(Source_Data!Q$6=Inputs!$B$12,-Inputs!$B$7,0)+Q344</f>
        <v>23.9583333333333</v>
      </c>
      <c r="R345" s="33" t="n">
        <f aca="false">IF(Source_Data!R$6=Inputs!$B$12,-Inputs!$B$7,0)+R344</f>
        <v>23.9583333333333</v>
      </c>
      <c r="S345" s="33" t="n">
        <f aca="false">IF(Source_Data!S$6=Inputs!$B$12,-Inputs!$B$7,0)+S344</f>
        <v>23.9583333333333</v>
      </c>
      <c r="T345" s="33" t="n">
        <f aca="false">IF(Source_Data!T$6=Inputs!$B$12,-Inputs!$B$7,0)+T344</f>
        <v>23.9583333333333</v>
      </c>
      <c r="U345" s="33" t="n">
        <f aca="false">IF(Source_Data!U$6=Inputs!$B$12,-Inputs!$B$7,0)+U344</f>
        <v>23.9583333333333</v>
      </c>
      <c r="V345" s="33" t="n">
        <f aca="false">IF(Source_Data!V$6=Inputs!$B$12,-Inputs!$B$7,0)+V344</f>
        <v>23.9583333333333</v>
      </c>
      <c r="W345" s="33" t="n">
        <f aca="false">IF(Source_Data!W$6=Inputs!$B$12,-Inputs!$B$7,0)+W344</f>
        <v>23.9583333333333</v>
      </c>
      <c r="X345" s="33" t="n">
        <f aca="false">IF(Source_Data!X$6=Inputs!$B$12,-Inputs!$B$7,0)+X344</f>
        <v>23.9583333333333</v>
      </c>
      <c r="Y345" s="33" t="n">
        <f aca="false">IF(Source_Data!Y$6=Inputs!$B$12,-Inputs!$B$7,0)+Y344</f>
        <v>23.9583333333333</v>
      </c>
      <c r="Z345" s="33" t="n">
        <f aca="false">IF(Source_Data!Z$6=Inputs!$B$12,-Inputs!$B$7,0)+Z344</f>
        <v>23.9583333333333</v>
      </c>
      <c r="AA345" s="33" t="n">
        <f aca="false">IF(Source_Data!AA$6=Inputs!$B$12,-Inputs!$B$7,0)+AA344</f>
        <v>23.9583333333333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352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40</v>
      </c>
      <c r="H346" s="33" t="n">
        <f aca="false">G346+IF(Source_Data!H$6=Inputs!$B$12,Inputs!$B$7,0)+H341-H344</f>
        <v>35.61565</v>
      </c>
      <c r="I346" s="33" t="n">
        <f aca="false">H346+IF(Source_Data!I$6=Inputs!$B$12,Inputs!$B$7,0)+I341-I344</f>
        <v>49.34695</v>
      </c>
      <c r="J346" s="33" t="n">
        <f aca="false">I346+IF(Source_Data!J$6=Inputs!$B$12,Inputs!$B$7,0)+J341-J344</f>
        <v>57.507775</v>
      </c>
      <c r="K346" s="33" t="n">
        <f aca="false">J346+IF(Source_Data!K$6=Inputs!$B$12,Inputs!$B$7,0)+K341-K344</f>
        <v>67.594165</v>
      </c>
      <c r="L346" s="33" t="n">
        <f aca="false">K346+IF(Source_Data!L$6=Inputs!$B$12,Inputs!$B$7,0)+L341-L344</f>
        <v>19.98919</v>
      </c>
      <c r="M346" s="33" t="n">
        <f aca="false">L346+IF(Source_Data!M$6=Inputs!$B$12,Inputs!$B$7,0)+M341-M344</f>
        <v>-2.96206250000002</v>
      </c>
      <c r="N346" s="33" t="n">
        <f aca="false">M346+IF(Source_Data!N$6=Inputs!$B$12,Inputs!$B$7,0)+N341-N344</f>
        <v>-7.9579475</v>
      </c>
      <c r="O346" s="33" t="n">
        <f aca="false">N346+IF(Source_Data!O$6=Inputs!$B$12,Inputs!$B$7,0)+O341-O344</f>
        <v>9.0160525</v>
      </c>
      <c r="P346" s="33" t="n">
        <f aca="false">O346+IF(Source_Data!P$6=Inputs!$B$12,Inputs!$B$7,0)+P341-P344</f>
        <v>28.8416354166667</v>
      </c>
      <c r="Q346" s="33" t="n">
        <f aca="false">P346+IF(Source_Data!Q$6=Inputs!$B$12,Inputs!$B$7,0)+Q341-Q344</f>
        <v>58.8488845833333</v>
      </c>
      <c r="R346" s="33" t="n">
        <f aca="false">Q346+IF(Source_Data!R$6=Inputs!$B$12,Inputs!$B$7,0)+R341-R344</f>
        <v>488.58655875</v>
      </c>
      <c r="S346" s="33" t="n">
        <f aca="false">R346+IF(Source_Data!S$6=Inputs!$B$12,Inputs!$B$7,0)+S341-S344</f>
        <v>406.873957916667</v>
      </c>
      <c r="T346" s="33" t="n">
        <f aca="false">S346+IF(Source_Data!T$6=Inputs!$B$12,Inputs!$B$7,0)+T341-T344</f>
        <v>215.961897083333</v>
      </c>
      <c r="U346" s="33" t="n">
        <f aca="false">T346+IF(Source_Data!U$6=Inputs!$B$12,Inputs!$B$7,0)+U341-U344</f>
        <v>66.6502362499997</v>
      </c>
      <c r="V346" s="33" t="n">
        <f aca="false">U346+IF(Source_Data!V$6=Inputs!$B$12,Inputs!$B$7,0)+V341-V344</f>
        <v>79.4918904166663</v>
      </c>
      <c r="W346" s="33" t="n">
        <f aca="false">V346+IF(Source_Data!W$6=Inputs!$B$12,Inputs!$B$7,0)+W341-W344</f>
        <v>90.5219795833329</v>
      </c>
      <c r="X346" s="33" t="n">
        <f aca="false">W346+IF(Source_Data!X$6=Inputs!$B$12,Inputs!$B$7,0)+X341-X344</f>
        <v>121.343108125</v>
      </c>
      <c r="Y346" s="33" t="n">
        <f aca="false">X346+IF(Source_Data!Y$6=Inputs!$B$12,Inputs!$B$7,0)+Y341-Y344</f>
        <v>145.038188541666</v>
      </c>
      <c r="Z346" s="33" t="n">
        <f aca="false">Y346+IF(Source_Data!Z$6=Inputs!$B$12,Inputs!$B$7,0)+Z341-Z344</f>
        <v>159.917731458333</v>
      </c>
      <c r="AA346" s="33" t="n">
        <f aca="false">Z346+IF(Source_Data!AA$6=Inputs!$B$12,Inputs!$B$7,0)+AA341-AA344</f>
        <v>164.505646875</v>
      </c>
      <c r="AB346" s="33" t="n">
        <f aca="false">AA346+IF(Source_Data!AB$6=Inputs!$B$12,Inputs!$B$7,0)+AB341-AB344</f>
        <v>215.551895625</v>
      </c>
      <c r="AC346" s="33" t="n">
        <f aca="false">AB346+IF(Source_Data!AC$6=Inputs!$B$12,Inputs!$B$7,0)+AC341-AC344</f>
        <v>266.598144375</v>
      </c>
      <c r="AD346" s="33" t="n">
        <f aca="false">AC346+IF(Source_Data!AD$6=Inputs!$B$12,Inputs!$B$7,0)+AD341-AD344</f>
        <v>317.644393125</v>
      </c>
      <c r="AE346" s="33" t="n">
        <f aca="false">AD346+IF(Source_Data!AE$6=Inputs!$B$12,Inputs!$B$7,0)+AE341-AE344</f>
        <v>368.690641874999</v>
      </c>
      <c r="AF346" s="33" t="n">
        <f aca="false">AE346+IF(Source_Data!AF$6=Inputs!$B$12,Inputs!$B$7,0)+AF341-AF344</f>
        <v>171.4304134375</v>
      </c>
      <c r="AG346" s="33" t="n">
        <f aca="false">AF346+IF(Source_Data!AG$6=Inputs!$B$12,Inputs!$B$7,0)+AG341-AG344</f>
        <v>192.13970453125</v>
      </c>
      <c r="AH346" s="33" t="n">
        <f aca="false">AG346+IF(Source_Data!AH$6=Inputs!$B$12,Inputs!$B$7,0)+AH341-AH344</f>
        <v>210.67889171875</v>
      </c>
      <c r="AI346" s="33" t="n">
        <f aca="false">AH346+IF(Source_Data!AI$6=Inputs!$B$12,Inputs!$B$7,0)+AI341-AI344</f>
        <v>227.047975</v>
      </c>
      <c r="AJ346" s="33" t="n">
        <f aca="false">AI346+IF(Source_Data!AJ$6=Inputs!$B$12,Inputs!$B$7,0)+AJ341-AJ344</f>
        <v>239.91973140625</v>
      </c>
      <c r="AK346" s="33" t="n">
        <f aca="false">AJ346+IF(Source_Data!AK$6=Inputs!$B$12,Inputs!$B$7,0)+AK341-AK344</f>
        <v>250.7660575</v>
      </c>
      <c r="AL346" s="33" t="n">
        <f aca="false">AK346+IF(Source_Data!AL$6=Inputs!$B$12,Inputs!$B$7,0)+AL341-AL344</f>
        <v>260.218065625</v>
      </c>
      <c r="AM346" s="33" t="n">
        <f aca="false">AL346+IF(Source_Data!AM$6=Inputs!$B$12,Inputs!$B$7,0)+AM341-AM344</f>
        <v>264.294086875</v>
      </c>
      <c r="AN346" s="33" t="n">
        <f aca="false">AM346+IF(Source_Data!AN$6=Inputs!$B$12,Inputs!$B$7,0)+AN341-AN344</f>
        <v>268.370108125</v>
      </c>
      <c r="AO346" s="33" t="n">
        <f aca="false">AN346+IF(Source_Data!AO$6=Inputs!$B$12,Inputs!$B$7,0)+AO341-AO344</f>
        <v>272.446129375</v>
      </c>
      <c r="AP346" s="33" t="n">
        <f aca="false">AO346+IF(Source_Data!AP$6=Inputs!$B$12,Inputs!$B$7,0)+AP341-AP344</f>
        <v>272.446129375</v>
      </c>
      <c r="AQ346" s="33" t="n">
        <f aca="false">AP346+IF(Source_Data!AQ$6=Inputs!$B$12,Inputs!$B$7,0)+AQ341-AQ344</f>
        <v>272.446129375</v>
      </c>
      <c r="AR346" s="33" t="n">
        <f aca="false">AQ346+IF(Source_Data!AR$6=Inputs!$B$12,Inputs!$B$7,0)+AR341-AR344</f>
        <v>272.446129375</v>
      </c>
      <c r="AS346" s="33" t="n">
        <f aca="false">AR346+IF(Source_Data!AS$6=Inputs!$B$12,Inputs!$B$7,0)+AS341-AS344</f>
        <v>272.446129375</v>
      </c>
      <c r="AT346" s="33" t="n">
        <f aca="false">AS346+IF(Source_Data!AT$6=Inputs!$B$12,Inputs!$B$7,0)+AT341-AT344</f>
        <v>272.446129375</v>
      </c>
      <c r="AU346" s="33" t="n">
        <f aca="false">AT346+IF(Source_Data!AU$6=Inputs!$B$12,Inputs!$B$7,0)+AU341-AU344</f>
        <v>272.446129375</v>
      </c>
      <c r="AV346" s="33" t="n">
        <f aca="false">AU346+IF(Source_Data!AV$6=Inputs!$B$12,Inputs!$B$7,0)+AV341-AV344</f>
        <v>272.446129375</v>
      </c>
      <c r="AW346" s="33" t="n">
        <f aca="false">AV346+IF(Source_Data!AW$6=Inputs!$B$12,Inputs!$B$7,0)+AW341-AW344</f>
        <v>272.446129375</v>
      </c>
      <c r="AX346" s="33" t="n">
        <f aca="false">AW346+IF(Source_Data!AX$6=Inputs!$B$12,Inputs!$B$7,0)+AX341-AX344</f>
        <v>272.446129375</v>
      </c>
      <c r="AY346" s="33" t="n">
        <f aca="false">AX346+IF(Source_Data!AY$6=Inputs!$B$12,Inputs!$B$7,0)+AY341-AY344</f>
        <v>272.446129375</v>
      </c>
      <c r="AZ346" s="33" t="n">
        <f aca="false">AY346+IF(Source_Data!AZ$6=Inputs!$B$12,Inputs!$B$7,0)+AZ341-AZ344</f>
        <v>272.446129375</v>
      </c>
      <c r="BA346" s="33" t="n">
        <f aca="false">AZ346+IF(Source_Data!BA$6=Inputs!$B$12,Inputs!$B$7,0)+BA341-BA344</f>
        <v>272.446129375</v>
      </c>
      <c r="BB346" s="33" t="n">
        <f aca="false">BA346+IF(Source_Data!BB$6=Inputs!$B$12,Inputs!$B$7,0)+BB341-BB344</f>
        <v>272.446129375</v>
      </c>
      <c r="BC346" s="33" t="n">
        <f aca="false">BB346+IF(Source_Data!BC$6=Inputs!$B$12,Inputs!$B$7,0)+BC341-BC344</f>
        <v>272.446129375</v>
      </c>
      <c r="BD346" s="33" t="n">
        <f aca="false">BC346+IF(Source_Data!BD$6=Inputs!$B$12,Inputs!$B$7,0)+BD341-BD344</f>
        <v>272.446129375</v>
      </c>
      <c r="BE346" s="33" t="n">
        <f aca="false">BD346+IF(Source_Data!BE$6=Inputs!$B$12,Inputs!$B$7,0)+BE341-BE344</f>
        <v>272.446129375</v>
      </c>
      <c r="BF346" s="33" t="n">
        <f aca="false">BE346+IF(Source_Data!BF$6=Inputs!$B$12,Inputs!$B$7,0)+BF341-BF344</f>
        <v>272.446129375</v>
      </c>
      <c r="BG346" s="33" t="n">
        <f aca="false">BF346+IF(Source_Data!BG$6=Inputs!$B$12,Inputs!$B$7,0)+BG341-BG344</f>
        <v>272.446129375</v>
      </c>
      <c r="BH346" s="33" t="n">
        <f aca="false">BG346+IF(Source_Data!BH$6=Inputs!$B$12,Inputs!$B$7,0)+BH341-BH344</f>
        <v>272.446129375</v>
      </c>
      <c r="BI346" s="33" t="n">
        <f aca="false">BH346+IF(Source_Data!BI$6=Inputs!$B$12,Inputs!$B$7,0)+BI341-BI344</f>
        <v>272.446129375</v>
      </c>
      <c r="BJ346" s="33" t="n">
        <f aca="false">BI346+IF(Source_Data!BJ$6=Inputs!$B$12,Inputs!$B$7,0)+BJ341-BJ344</f>
        <v>272.446129375</v>
      </c>
      <c r="BK346" s="33" t="n">
        <f aca="false">BJ346+IF(Source_Data!BK$6=Inputs!$B$12,Inputs!$B$7,0)+BK341-BK344</f>
        <v>272.446129375</v>
      </c>
    </row>
    <row r="347" customFormat="false" ht="15" hidden="false" customHeight="false" outlineLevel="0" collapsed="false">
      <c r="A347" s="3" t="s">
        <v>353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1.82750259130435</v>
      </c>
      <c r="Q347" s="31" t="n">
        <f aca="false">IF(Q344&gt;0,Q341/Q344,"")</f>
        <v>2.25247648695652</v>
      </c>
      <c r="R347" s="31" t="n">
        <f aca="false">IF(R344&gt;0,R341/R344,"")</f>
        <v>18.9368768347826</v>
      </c>
      <c r="S347" s="31" t="n">
        <f aca="false">IF(S344&gt;0,S341/S344,"")</f>
        <v>-2.41061290434783</v>
      </c>
      <c r="T347" s="31" t="n">
        <f aca="false">IF(T344&gt;0,T341/T344,"")</f>
        <v>-6.96850340869566</v>
      </c>
      <c r="U347" s="31" t="n">
        <f aca="false">IF(U344&gt;0,U341/U344,"")</f>
        <v>-5.23213888695652</v>
      </c>
      <c r="V347" s="31" t="n">
        <f aca="false">IF(V344&gt;0,V341/V344,"")</f>
        <v>1.53599947826087</v>
      </c>
      <c r="W347" s="31" t="n">
        <f aca="false">IF(W344&gt;0,W341/W344,"")</f>
        <v>1.46038633043478</v>
      </c>
      <c r="X347" s="31" t="n">
        <f aca="false">IF(X344&gt;0,X341/X344,"")</f>
        <v>2.28644710434783</v>
      </c>
      <c r="Y347" s="31" t="n">
        <f aca="false">IF(Y344&gt;0,Y341/Y344,"")</f>
        <v>1.98901205217391</v>
      </c>
      <c r="Z347" s="31" t="n">
        <f aca="false">IF(Z344&gt;0,Z341/Z344,"")</f>
        <v>1.6210591826087</v>
      </c>
      <c r="AA347" s="31" t="n">
        <f aca="false">IF(AA344&gt;0,AA341/AA344,"")</f>
        <v>1.1914956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354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2.2038247826087</v>
      </c>
      <c r="Q348" s="31" t="n">
        <f aca="false">IF(Q344&gt;0,(P346+Q341+IF(Source_Data!Q$6=Inputs!$B$12,Inputs!$B$7,0))/Q344,"")</f>
        <v>3.45630126956522</v>
      </c>
      <c r="R348" s="31" t="n">
        <f aca="false">IF(R344&gt;0,(Q346+R341+IF(Source_Data!R$6=Inputs!$B$12,Inputs!$B$7,0))/R344,"")</f>
        <v>21.3931781043478</v>
      </c>
      <c r="S348" s="31" t="n">
        <f aca="false">IF(S344&gt;0,(R346+S341+IF(Source_Data!S$6=Inputs!$B$12,Inputs!$B$7,0))/S344,"")</f>
        <v>17.9825652</v>
      </c>
      <c r="T348" s="31" t="n">
        <f aca="false">IF(T344&gt;0,(S346+T341+IF(Source_Data!T$6=Inputs!$B$12,Inputs!$B$7,0))/T344,"")</f>
        <v>10.0140617913043</v>
      </c>
      <c r="U348" s="31" t="n">
        <f aca="false">IF(U344&gt;0,(T346+U341+IF(Source_Data!U$6=Inputs!$B$12,Inputs!$B$7,0))/U344,"")</f>
        <v>3.78192290434781</v>
      </c>
      <c r="V348" s="31" t="n">
        <f aca="false">IF(V344&gt;0,(U346+V341+IF(Source_Data!V$6=Inputs!$B$12,Inputs!$B$7,0))/V344,"")</f>
        <v>4.31792238260868</v>
      </c>
      <c r="W348" s="31" t="n">
        <f aca="false">IF(W344&gt;0,(V346+W341+IF(Source_Data!W$6=Inputs!$B$12,Inputs!$B$7,0))/W344,"")</f>
        <v>4.77830871304346</v>
      </c>
      <c r="X348" s="31" t="n">
        <f aca="false">IF(X344&gt;0,(W346+X341+IF(Source_Data!X$6=Inputs!$B$12,Inputs!$B$7,0))/X344,"")</f>
        <v>6.06475581739129</v>
      </c>
      <c r="Y348" s="31" t="n">
        <f aca="false">IF(Y344&gt;0,(X346+Y341+IF(Source_Data!Y$6=Inputs!$B$12,Inputs!$B$7,0))/Y344,"")</f>
        <v>7.0537678695652</v>
      </c>
      <c r="Z348" s="31" t="n">
        <f aca="false">IF(Z344&gt;0,(Y346+Z341+IF(Source_Data!Z$6=Inputs!$B$12,Inputs!$B$7,0))/Z344,"")</f>
        <v>7.6748270521739</v>
      </c>
      <c r="AA348" s="31" t="n">
        <f aca="false">IF(AA344&gt;0,(Z346+AA341+IF(Source_Data!AA$6=Inputs!$B$12,Inputs!$B$7,0))/AA344,"")</f>
        <v>7.8663226521739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355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171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356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357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358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359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360</v>
      </c>
      <c r="B357" s="41" t="n">
        <f aca="false">MIN(D346:BK346)</f>
        <v>-7.9579475</v>
      </c>
    </row>
    <row r="358" customFormat="false" ht="15" hidden="false" customHeight="false" outlineLevel="0" collapsed="false">
      <c r="A358" s="2" t="s">
        <v>361</v>
      </c>
      <c r="B358" s="43" t="n">
        <f aca="false">MIN(D347:BK347)</f>
        <v>-6.96850340869566</v>
      </c>
    </row>
    <row r="359" customFormat="false" ht="15" hidden="false" customHeight="false" outlineLevel="0" collapsed="false">
      <c r="A359" s="2" t="s">
        <v>362</v>
      </c>
      <c r="B359" s="35" t="n">
        <f aca="false">COUNTIF(D347:BK347,"&lt;"&amp;Inputs!$B$43)</f>
        <v>5</v>
      </c>
    </row>
    <row r="360" customFormat="false" ht="15" hidden="false" customHeight="false" outlineLevel="0" collapsed="false">
      <c r="A360" s="2" t="s">
        <v>363</v>
      </c>
      <c r="B360" s="43" t="n">
        <f aca="false">MIN(D348:BK348)</f>
        <v>2.2038247826087</v>
      </c>
    </row>
    <row r="361" customFormat="false" ht="15" hidden="false" customHeight="false" outlineLevel="0" collapsed="false">
      <c r="A361" s="2" t="s">
        <v>364</v>
      </c>
      <c r="B361" s="35" t="n">
        <f aca="false">COUNTIF(D348:BK348,"&lt;"&amp;Inputs!$B$43)</f>
        <v>0</v>
      </c>
    </row>
    <row r="364" customFormat="false" ht="15" hidden="false" customHeight="false" outlineLevel="0" collapsed="false">
      <c r="A364" s="8" t="s">
        <v>377</v>
      </c>
    </row>
    <row r="365" customFormat="false" ht="15" hidden="false" customHeight="false" outlineLevel="0" collapsed="false">
      <c r="A365" s="3" t="s">
        <v>340</v>
      </c>
      <c r="B365" s="45" t="n">
        <v>1</v>
      </c>
    </row>
    <row r="366" customFormat="false" ht="15" hidden="false" customHeight="false" outlineLevel="0" collapsed="false">
      <c r="A366" s="3" t="s">
        <v>341</v>
      </c>
      <c r="B366" s="45" t="n">
        <v>0</v>
      </c>
    </row>
    <row r="367" customFormat="false" ht="15" hidden="false" customHeight="false" outlineLevel="0" collapsed="false">
      <c r="A367" s="3" t="s">
        <v>342</v>
      </c>
      <c r="B367" s="45" t="n">
        <v>1</v>
      </c>
    </row>
    <row r="368" customFormat="false" ht="15" hidden="false" customHeight="false" outlineLevel="0" collapsed="false">
      <c r="A368" s="3" t="s">
        <v>343</v>
      </c>
      <c r="B368" s="45" t="n">
        <v>1</v>
      </c>
    </row>
    <row r="369" customFormat="false" ht="15" hidden="false" customHeight="false" outlineLevel="0" collapsed="false">
      <c r="A369" s="3" t="s">
        <v>344</v>
      </c>
      <c r="B369" s="45" t="n">
        <v>0</v>
      </c>
    </row>
    <row r="370" customFormat="false" ht="15" hidden="false" customHeight="false" outlineLevel="0" collapsed="false">
      <c r="A370" s="3" t="s">
        <v>345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346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347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348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203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205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224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225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226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349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-125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89.8148148148148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89.8148148148148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89.8148148148148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89.8148148148148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350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23.9583333333333</v>
      </c>
      <c r="Q380" s="33" t="n">
        <f aca="false">IF(AND(Source_Data!Q$6&gt;=Inputs!$B$54,Source_Data!Q$6&lt;Inputs!$B$54+3*Inputs!$B$11),Inputs!$B$9*Inputs!$B$7/Inputs!$B$11,0)</f>
        <v>23.9583333333333</v>
      </c>
      <c r="R380" s="33" t="n">
        <f aca="false">IF(AND(Source_Data!R$6&gt;=Inputs!$B$54,Source_Data!R$6&lt;Inputs!$B$54+3*Inputs!$B$11),Inputs!$B$9*Inputs!$B$7/Inputs!$B$11,0)</f>
        <v>23.9583333333333</v>
      </c>
      <c r="S380" s="33" t="n">
        <f aca="false">IF(AND(Source_Data!S$6&gt;=Inputs!$B$54,Source_Data!S$6&lt;Inputs!$B$54+3*Inputs!$B$11),Inputs!$B$9*Inputs!$B$7/Inputs!$B$11,0)</f>
        <v>23.9583333333333</v>
      </c>
      <c r="T380" s="33" t="n">
        <f aca="false">IF(AND(Source_Data!T$6&gt;=Inputs!$B$54,Source_Data!T$6&lt;Inputs!$B$54+3*Inputs!$B$11),Inputs!$B$9*Inputs!$B$7/Inputs!$B$11,0)</f>
        <v>23.9583333333333</v>
      </c>
      <c r="U380" s="33" t="n">
        <f aca="false">IF(AND(Source_Data!U$6&gt;=Inputs!$B$54,Source_Data!U$6&lt;Inputs!$B$54+3*Inputs!$B$11),Inputs!$B$9*Inputs!$B$7/Inputs!$B$11,0)</f>
        <v>23.9583333333333</v>
      </c>
      <c r="V380" s="33" t="n">
        <f aca="false">IF(AND(Source_Data!V$6&gt;=Inputs!$B$54,Source_Data!V$6&lt;Inputs!$B$54+3*Inputs!$B$11),Inputs!$B$9*Inputs!$B$7/Inputs!$B$11,0)</f>
        <v>23.9583333333333</v>
      </c>
      <c r="W380" s="33" t="n">
        <f aca="false">IF(AND(Source_Data!W$6&gt;=Inputs!$B$54,Source_Data!W$6&lt;Inputs!$B$54+3*Inputs!$B$11),Inputs!$B$9*Inputs!$B$7/Inputs!$B$11,0)</f>
        <v>23.9583333333333</v>
      </c>
      <c r="X380" s="33" t="n">
        <f aca="false">IF(AND(Source_Data!X$6&gt;=Inputs!$B$54,Source_Data!X$6&lt;Inputs!$B$54+3*Inputs!$B$11),Inputs!$B$9*Inputs!$B$7/Inputs!$B$11,0)</f>
        <v>23.9583333333333</v>
      </c>
      <c r="Y380" s="33" t="n">
        <f aca="false">IF(AND(Source_Data!Y$6&gt;=Inputs!$B$54,Source_Data!Y$6&lt;Inputs!$B$54+3*Inputs!$B$11),Inputs!$B$9*Inputs!$B$7/Inputs!$B$11,0)</f>
        <v>23.9583333333333</v>
      </c>
      <c r="Z380" s="33" t="n">
        <f aca="false">IF(AND(Source_Data!Z$6&gt;=Inputs!$B$54,Source_Data!Z$6&lt;Inputs!$B$54+3*Inputs!$B$11),Inputs!$B$9*Inputs!$B$7/Inputs!$B$11,0)</f>
        <v>23.9583333333333</v>
      </c>
      <c r="AA380" s="33" t="n">
        <f aca="false">IF(AND(Source_Data!AA$6&gt;=Inputs!$B$54,Source_Data!AA$6&lt;Inputs!$B$54+3*Inputs!$B$11),Inputs!$B$9*Inputs!$B$7/Inputs!$B$11,0)</f>
        <v>23.9583333333333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351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-125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23.9583333333333</v>
      </c>
      <c r="Q381" s="33" t="n">
        <f aca="false">IF(Source_Data!Q$6=Inputs!$B$12,-Inputs!$B$7,0)+Q380</f>
        <v>23.9583333333333</v>
      </c>
      <c r="R381" s="33" t="n">
        <f aca="false">IF(Source_Data!R$6=Inputs!$B$12,-Inputs!$B$7,0)+R380</f>
        <v>23.9583333333333</v>
      </c>
      <c r="S381" s="33" t="n">
        <f aca="false">IF(Source_Data!S$6=Inputs!$B$12,-Inputs!$B$7,0)+S380</f>
        <v>23.9583333333333</v>
      </c>
      <c r="T381" s="33" t="n">
        <f aca="false">IF(Source_Data!T$6=Inputs!$B$12,-Inputs!$B$7,0)+T380</f>
        <v>23.9583333333333</v>
      </c>
      <c r="U381" s="33" t="n">
        <f aca="false">IF(Source_Data!U$6=Inputs!$B$12,-Inputs!$B$7,0)+U380</f>
        <v>23.9583333333333</v>
      </c>
      <c r="V381" s="33" t="n">
        <f aca="false">IF(Source_Data!V$6=Inputs!$B$12,-Inputs!$B$7,0)+V380</f>
        <v>23.9583333333333</v>
      </c>
      <c r="W381" s="33" t="n">
        <f aca="false">IF(Source_Data!W$6=Inputs!$B$12,-Inputs!$B$7,0)+W380</f>
        <v>23.9583333333333</v>
      </c>
      <c r="X381" s="33" t="n">
        <f aca="false">IF(Source_Data!X$6=Inputs!$B$12,-Inputs!$B$7,0)+X380</f>
        <v>23.9583333333333</v>
      </c>
      <c r="Y381" s="33" t="n">
        <f aca="false">IF(Source_Data!Y$6=Inputs!$B$12,-Inputs!$B$7,0)+Y380</f>
        <v>23.9583333333333</v>
      </c>
      <c r="Z381" s="33" t="n">
        <f aca="false">IF(Source_Data!Z$6=Inputs!$B$12,-Inputs!$B$7,0)+Z380</f>
        <v>23.9583333333333</v>
      </c>
      <c r="AA381" s="33" t="n">
        <f aca="false">IF(Source_Data!AA$6=Inputs!$B$12,-Inputs!$B$7,0)+AA380</f>
        <v>23.9583333333333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352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40</v>
      </c>
      <c r="H382" s="33" t="n">
        <f aca="false">G382+IF(Source_Data!H$6=Inputs!$B$12,Inputs!$B$7,0)+H377-H380</f>
        <v>17.5</v>
      </c>
      <c r="I382" s="33" t="n">
        <f aca="false">H382+IF(Source_Data!I$6=Inputs!$B$12,Inputs!$B$7,0)+I377-I380</f>
        <v>13.11565</v>
      </c>
      <c r="J382" s="33" t="n">
        <f aca="false">I382+IF(Source_Data!J$6=Inputs!$B$12,Inputs!$B$7,0)+J377-J380</f>
        <v>3.84695</v>
      </c>
      <c r="K382" s="33" t="n">
        <f aca="false">J382+IF(Source_Data!K$6=Inputs!$B$12,Inputs!$B$7,0)+K377-K380</f>
        <v>9.24777499999999</v>
      </c>
      <c r="L382" s="33" t="n">
        <f aca="false">K382+IF(Source_Data!L$6=Inputs!$B$12,Inputs!$B$7,0)+L377-L380</f>
        <v>-27.226355</v>
      </c>
      <c r="M382" s="33" t="n">
        <f aca="false">L382+IF(Source_Data!M$6=Inputs!$B$12,Inputs!$B$7,0)+M377-M380</f>
        <v>-49.99133</v>
      </c>
      <c r="N382" s="33" t="n">
        <f aca="false">M382+IF(Source_Data!N$6=Inputs!$B$12,Inputs!$B$7,0)+N377-N380</f>
        <v>-64.8130025</v>
      </c>
      <c r="O382" s="33" t="n">
        <f aca="false">N382+IF(Source_Data!O$6=Inputs!$B$12,Inputs!$B$7,0)+O377-O380</f>
        <v>-58.5034775</v>
      </c>
      <c r="P382" s="33" t="n">
        <f aca="false">O382+IF(Source_Data!P$6=Inputs!$B$12,Inputs!$B$7,0)+P377-P380</f>
        <v>-47.1084008333333</v>
      </c>
      <c r="Q382" s="33" t="n">
        <f aca="false">P382+IF(Source_Data!Q$6=Inputs!$B$12,Inputs!$B$7,0)+Q377-Q380</f>
        <v>-25.5316579166667</v>
      </c>
      <c r="R382" s="33" t="n">
        <f aca="false">Q382+IF(Source_Data!R$6=Inputs!$B$12,Inputs!$B$7,0)+R377-R380</f>
        <v>-126.38710875</v>
      </c>
      <c r="S382" s="33" t="n">
        <f aca="false">R382+IF(Source_Data!S$6=Inputs!$B$12,Inputs!$B$7,0)+S377-S380</f>
        <v>330.950565416667</v>
      </c>
      <c r="T382" s="33" t="n">
        <f aca="false">S382+IF(Source_Data!T$6=Inputs!$B$12,Inputs!$B$7,0)+T377-T380</f>
        <v>236.802104583333</v>
      </c>
      <c r="U382" s="33" t="n">
        <f aca="false">T382+IF(Source_Data!U$6=Inputs!$B$12,Inputs!$B$7,0)+U377-U380</f>
        <v>137.66004375</v>
      </c>
      <c r="V382" s="33" t="n">
        <f aca="false">U382+IF(Source_Data!V$6=Inputs!$B$12,Inputs!$B$7,0)+V377-V380</f>
        <v>152.313262916666</v>
      </c>
      <c r="W382" s="33" t="n">
        <f aca="false">V382+IF(Source_Data!W$6=Inputs!$B$12,Inputs!$B$7,0)+W377-W380</f>
        <v>165.154917083333</v>
      </c>
      <c r="X382" s="33" t="n">
        <f aca="false">W382+IF(Source_Data!X$6=Inputs!$B$12,Inputs!$B$7,0)+X377-X380</f>
        <v>204.41044625</v>
      </c>
      <c r="Y382" s="33" t="n">
        <f aca="false">X382+IF(Source_Data!Y$6=Inputs!$B$12,Inputs!$B$7,0)+Y377-Y380</f>
        <v>235.231574791666</v>
      </c>
      <c r="Z382" s="33" t="n">
        <f aca="false">Y382+IF(Source_Data!Z$6=Inputs!$B$12,Inputs!$B$7,0)+Z377-Z380</f>
        <v>258.926655208333</v>
      </c>
      <c r="AA382" s="33" t="n">
        <f aca="false">Z382+IF(Source_Data!AA$6=Inputs!$B$12,Inputs!$B$7,0)+AA377-AA380</f>
        <v>273.806198125</v>
      </c>
      <c r="AB382" s="33" t="n">
        <f aca="false">AA382+IF(Source_Data!AB$6=Inputs!$B$12,Inputs!$B$7,0)+AB377-AB380</f>
        <v>324.852446875</v>
      </c>
      <c r="AC382" s="33" t="n">
        <f aca="false">AB382+IF(Source_Data!AC$6=Inputs!$B$12,Inputs!$B$7,0)+AC377-AC380</f>
        <v>375.898695624999</v>
      </c>
      <c r="AD382" s="33" t="n">
        <f aca="false">AC382+IF(Source_Data!AD$6=Inputs!$B$12,Inputs!$B$7,0)+AD377-AD380</f>
        <v>426.944944374999</v>
      </c>
      <c r="AE382" s="33" t="n">
        <f aca="false">AD382+IF(Source_Data!AE$6=Inputs!$B$12,Inputs!$B$7,0)+AE377-AE380</f>
        <v>477.991193124999</v>
      </c>
      <c r="AF382" s="33" t="n">
        <f aca="false">AE382+IF(Source_Data!AF$6=Inputs!$B$12,Inputs!$B$7,0)+AF377-AF380</f>
        <v>287.8458303125</v>
      </c>
      <c r="AG382" s="33" t="n">
        <f aca="false">AF382+IF(Source_Data!AG$6=Inputs!$B$12,Inputs!$B$7,0)+AG377-AG380</f>
        <v>315.66998703125</v>
      </c>
      <c r="AH382" s="33" t="n">
        <f aca="false">AG382+IF(Source_Data!AH$6=Inputs!$B$12,Inputs!$B$7,0)+AH377-AH380</f>
        <v>338.06713671875</v>
      </c>
      <c r="AI382" s="33" t="n">
        <f aca="false">AH382+IF(Source_Data!AI$6=Inputs!$B$12,Inputs!$B$7,0)+AI377-AI380</f>
        <v>358.294182499999</v>
      </c>
      <c r="AJ382" s="33" t="n">
        <f aca="false">AI382+IF(Source_Data!AJ$6=Inputs!$B$12,Inputs!$B$7,0)+AJ377-AJ380</f>
        <v>377.383408906249</v>
      </c>
      <c r="AK382" s="33" t="n">
        <f aca="false">AJ382+IF(Source_Data!AK$6=Inputs!$B$12,Inputs!$B$7,0)+AK377-AK380</f>
        <v>391.830499999999</v>
      </c>
      <c r="AL382" s="33" t="n">
        <f aca="false">AK382+IF(Source_Data!AL$6=Inputs!$B$12,Inputs!$B$7,0)+AL377-AL380</f>
        <v>403.761295624999</v>
      </c>
      <c r="AM382" s="33" t="n">
        <f aca="false">AL382+IF(Source_Data!AM$6=Inputs!$B$12,Inputs!$B$7,0)+AM377-AM380</f>
        <v>417.394626874999</v>
      </c>
      <c r="AN382" s="33" t="n">
        <f aca="false">AM382+IF(Source_Data!AN$6=Inputs!$B$12,Inputs!$B$7,0)+AN377-AN380</f>
        <v>421.470648124999</v>
      </c>
      <c r="AO382" s="33" t="n">
        <f aca="false">AN382+IF(Source_Data!AO$6=Inputs!$B$12,Inputs!$B$7,0)+AO377-AO380</f>
        <v>425.546669374999</v>
      </c>
      <c r="AP382" s="33" t="n">
        <f aca="false">AO382+IF(Source_Data!AP$6=Inputs!$B$12,Inputs!$B$7,0)+AP377-AP380</f>
        <v>432.792929374999</v>
      </c>
      <c r="AQ382" s="33" t="n">
        <f aca="false">AP382+IF(Source_Data!AQ$6=Inputs!$B$12,Inputs!$B$7,0)+AQ377-AQ380</f>
        <v>432.792929374999</v>
      </c>
      <c r="AR382" s="33" t="n">
        <f aca="false">AQ382+IF(Source_Data!AR$6=Inputs!$B$12,Inputs!$B$7,0)+AR377-AR380</f>
        <v>432.792929374999</v>
      </c>
      <c r="AS382" s="33" t="n">
        <f aca="false">AR382+IF(Source_Data!AS$6=Inputs!$B$12,Inputs!$B$7,0)+AS377-AS380</f>
        <v>432.792929374999</v>
      </c>
      <c r="AT382" s="33" t="n">
        <f aca="false">AS382+IF(Source_Data!AT$6=Inputs!$B$12,Inputs!$B$7,0)+AT377-AT380</f>
        <v>432.792929374999</v>
      </c>
      <c r="AU382" s="33" t="n">
        <f aca="false">AT382+IF(Source_Data!AU$6=Inputs!$B$12,Inputs!$B$7,0)+AU377-AU380</f>
        <v>432.792929374999</v>
      </c>
      <c r="AV382" s="33" t="n">
        <f aca="false">AU382+IF(Source_Data!AV$6=Inputs!$B$12,Inputs!$B$7,0)+AV377-AV380</f>
        <v>432.792929374999</v>
      </c>
      <c r="AW382" s="33" t="n">
        <f aca="false">AV382+IF(Source_Data!AW$6=Inputs!$B$12,Inputs!$B$7,0)+AW377-AW380</f>
        <v>432.792929374999</v>
      </c>
      <c r="AX382" s="33" t="n">
        <f aca="false">AW382+IF(Source_Data!AX$6=Inputs!$B$12,Inputs!$B$7,0)+AX377-AX380</f>
        <v>432.792929374999</v>
      </c>
      <c r="AY382" s="33" t="n">
        <f aca="false">AX382+IF(Source_Data!AY$6=Inputs!$B$12,Inputs!$B$7,0)+AY377-AY380</f>
        <v>432.792929374999</v>
      </c>
      <c r="AZ382" s="33" t="n">
        <f aca="false">AY382+IF(Source_Data!AZ$6=Inputs!$B$12,Inputs!$B$7,0)+AZ377-AZ380</f>
        <v>432.792929374999</v>
      </c>
      <c r="BA382" s="33" t="n">
        <f aca="false">AZ382+IF(Source_Data!BA$6=Inputs!$B$12,Inputs!$B$7,0)+BA377-BA380</f>
        <v>432.792929374999</v>
      </c>
      <c r="BB382" s="33" t="n">
        <f aca="false">BA382+IF(Source_Data!BB$6=Inputs!$B$12,Inputs!$B$7,0)+BB377-BB380</f>
        <v>432.792929374999</v>
      </c>
      <c r="BC382" s="33" t="n">
        <f aca="false">BB382+IF(Source_Data!BC$6=Inputs!$B$12,Inputs!$B$7,0)+BC377-BC380</f>
        <v>432.792929374999</v>
      </c>
      <c r="BD382" s="33" t="n">
        <f aca="false">BC382+IF(Source_Data!BD$6=Inputs!$B$12,Inputs!$B$7,0)+BD377-BD380</f>
        <v>432.792929374999</v>
      </c>
      <c r="BE382" s="33" t="n">
        <f aca="false">BD382+IF(Source_Data!BE$6=Inputs!$B$12,Inputs!$B$7,0)+BE377-BE380</f>
        <v>432.792929374999</v>
      </c>
      <c r="BF382" s="33" t="n">
        <f aca="false">BE382+IF(Source_Data!BF$6=Inputs!$B$12,Inputs!$B$7,0)+BF377-BF380</f>
        <v>432.792929374999</v>
      </c>
      <c r="BG382" s="33" t="n">
        <f aca="false">BF382+IF(Source_Data!BG$6=Inputs!$B$12,Inputs!$B$7,0)+BG377-BG380</f>
        <v>432.792929374999</v>
      </c>
      <c r="BH382" s="33" t="n">
        <f aca="false">BG382+IF(Source_Data!BH$6=Inputs!$B$12,Inputs!$B$7,0)+BH377-BH380</f>
        <v>432.792929374999</v>
      </c>
      <c r="BI382" s="33" t="n">
        <f aca="false">BH382+IF(Source_Data!BI$6=Inputs!$B$12,Inputs!$B$7,0)+BI377-BI380</f>
        <v>432.792929374999</v>
      </c>
      <c r="BJ382" s="33" t="n">
        <f aca="false">BI382+IF(Source_Data!BJ$6=Inputs!$B$12,Inputs!$B$7,0)+BJ377-BJ380</f>
        <v>432.792929374999</v>
      </c>
      <c r="BK382" s="33" t="n">
        <f aca="false">BJ382+IF(Source_Data!BK$6=Inputs!$B$12,Inputs!$B$7,0)+BK377-BK380</f>
        <v>432.792929374999</v>
      </c>
    </row>
    <row r="383" customFormat="false" ht="15" hidden="false" customHeight="false" outlineLevel="0" collapsed="false">
      <c r="A383" s="3" t="s">
        <v>353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1.47562059130435</v>
      </c>
      <c r="Q383" s="31" t="n">
        <f aca="false">IF(Q380&gt;0,Q377/Q380,"")</f>
        <v>1.90059448695652</v>
      </c>
      <c r="R383" s="31" t="n">
        <f aca="false">IF(R380&gt;0,R377/R380,"")</f>
        <v>-3.2096188173913</v>
      </c>
      <c r="S383" s="31" t="n">
        <f aca="false">IF(S380&gt;0,S377/S380,"")</f>
        <v>20.0888768347826</v>
      </c>
      <c r="T383" s="31" t="n">
        <f aca="false">IF(T380&gt;0,T377/T380,"")</f>
        <v>-2.92967488695652</v>
      </c>
      <c r="U383" s="31" t="n">
        <f aca="false">IF(U380&gt;0,U377/U380,"")</f>
        <v>-3.13810340869566</v>
      </c>
      <c r="V383" s="31" t="n">
        <f aca="false">IF(V380&gt;0,V377/V380,"")</f>
        <v>1.61161262608695</v>
      </c>
      <c r="W383" s="31" t="n">
        <f aca="false">IF(W380&gt;0,W377/W380,"")</f>
        <v>1.53599947826087</v>
      </c>
      <c r="X383" s="31" t="n">
        <f aca="false">IF(X380&gt;0,X377/X380,"")</f>
        <v>2.63849165217391</v>
      </c>
      <c r="Y383" s="31" t="n">
        <f aca="false">IF(Y380&gt;0,Y377/Y380,"")</f>
        <v>2.28644710434783</v>
      </c>
      <c r="Z383" s="31" t="n">
        <f aca="false">IF(Z380&gt;0,Z377/Z380,"")</f>
        <v>1.98901205217391</v>
      </c>
      <c r="AA383" s="31" t="n">
        <f aca="false">IF(AA380&gt;0,AA377/AA380,"")</f>
        <v>1.6210591826087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354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-0.966263686956522</v>
      </c>
      <c r="Q384" s="31" t="n">
        <f aca="false">IF(Q380&gt;0,(P382+Q377+IF(Source_Data!Q$6=Inputs!$B$12,Inputs!$B$7,0))/Q380,"")</f>
        <v>-0.0656691999999999</v>
      </c>
      <c r="R384" s="31" t="n">
        <f aca="false">IF(R380&gt;0,(Q382+R377+IF(Source_Data!R$6=Inputs!$B$12,Inputs!$B$7,0))/R380,"")</f>
        <v>-4.2752880173913</v>
      </c>
      <c r="S384" s="31" t="n">
        <f aca="false">IF(S380&gt;0,(R382+S377+IF(Source_Data!S$6=Inputs!$B$12,Inputs!$B$7,0))/S380,"")</f>
        <v>14.8135888173913</v>
      </c>
      <c r="T384" s="31" t="n">
        <f aca="false">IF(T380&gt;0,(S382+T377+IF(Source_Data!T$6=Inputs!$B$12,Inputs!$B$7,0))/T380,"")</f>
        <v>10.8839139304348</v>
      </c>
      <c r="U384" s="31" t="n">
        <f aca="false">IF(U380&gt;0,(T382+U377+IF(Source_Data!U$6=Inputs!$B$12,Inputs!$B$7,0))/U380,"")</f>
        <v>6.74581052173912</v>
      </c>
      <c r="V384" s="31" t="n">
        <f aca="false">IF(V380&gt;0,(U382+V377+IF(Source_Data!V$6=Inputs!$B$12,Inputs!$B$7,0))/V380,"")</f>
        <v>7.35742314782607</v>
      </c>
      <c r="W384" s="31" t="n">
        <f aca="false">IF(W380&gt;0,(V382+W377+IF(Source_Data!W$6=Inputs!$B$12,Inputs!$B$7,0))/W380,"")</f>
        <v>7.89342262608694</v>
      </c>
      <c r="X384" s="31" t="n">
        <f aca="false">IF(X380&gt;0,(W382+X377+IF(Source_Data!X$6=Inputs!$B$12,Inputs!$B$7,0))/X380,"")</f>
        <v>9.53191427826085</v>
      </c>
      <c r="Y384" s="31" t="n">
        <f aca="false">IF(Y380&gt;0,(X382+Y377+IF(Source_Data!Y$6=Inputs!$B$12,Inputs!$B$7,0))/Y380,"")</f>
        <v>10.8183613826087</v>
      </c>
      <c r="Z384" s="31" t="n">
        <f aca="false">IF(Z380&gt;0,(Y382+Z377+IF(Source_Data!Z$6=Inputs!$B$12,Inputs!$B$7,0))/Z380,"")</f>
        <v>11.8073734347826</v>
      </c>
      <c r="AA384" s="31" t="n">
        <f aca="false">IF(AA380&gt;0,(Z382+AA377+IF(Source_Data!AA$6=Inputs!$B$12,Inputs!$B$7,0))/AA380,"")</f>
        <v>12.4284326173913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355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171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356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357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358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359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360</v>
      </c>
      <c r="B393" s="41" t="n">
        <f aca="false">MIN(D382:BK382)</f>
        <v>-126.38710875</v>
      </c>
    </row>
    <row r="394" customFormat="false" ht="15" hidden="false" customHeight="false" outlineLevel="0" collapsed="false">
      <c r="A394" s="2" t="s">
        <v>361</v>
      </c>
      <c r="B394" s="43" t="n">
        <f aca="false">MIN(D383:BK383)</f>
        <v>-3.2096188173913</v>
      </c>
    </row>
    <row r="395" customFormat="false" ht="15" hidden="false" customHeight="false" outlineLevel="0" collapsed="false">
      <c r="A395" s="2" t="s">
        <v>362</v>
      </c>
      <c r="B395" s="35" t="n">
        <f aca="false">COUNTIF(D383:BK383,"&lt;"&amp;Inputs!$B$43)</f>
        <v>4</v>
      </c>
    </row>
    <row r="396" customFormat="false" ht="15" hidden="false" customHeight="false" outlineLevel="0" collapsed="false">
      <c r="A396" s="2" t="s">
        <v>363</v>
      </c>
      <c r="B396" s="43" t="n">
        <f aca="false">MIN(D384:BK384)</f>
        <v>-4.2752880173913</v>
      </c>
    </row>
    <row r="397" customFormat="false" ht="15" hidden="false" customHeight="false" outlineLevel="0" collapsed="false">
      <c r="A397" s="2" t="s">
        <v>364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378</v>
      </c>
    </row>
    <row r="401" customFormat="false" ht="15" hidden="false" customHeight="false" outlineLevel="0" collapsed="false">
      <c r="A401" s="3" t="s">
        <v>340</v>
      </c>
      <c r="B401" s="45" t="n">
        <v>1</v>
      </c>
    </row>
    <row r="402" customFormat="false" ht="15" hidden="false" customHeight="false" outlineLevel="0" collapsed="false">
      <c r="A402" s="3" t="s">
        <v>341</v>
      </c>
      <c r="B402" s="45" t="n">
        <v>0</v>
      </c>
    </row>
    <row r="403" customFormat="false" ht="15" hidden="false" customHeight="false" outlineLevel="0" collapsed="false">
      <c r="A403" s="3" t="s">
        <v>342</v>
      </c>
      <c r="B403" s="45" t="n">
        <v>1</v>
      </c>
    </row>
    <row r="404" customFormat="false" ht="15" hidden="false" customHeight="false" outlineLevel="0" collapsed="false">
      <c r="A404" s="3" t="s">
        <v>343</v>
      </c>
      <c r="B404" s="45" t="n">
        <v>2</v>
      </c>
    </row>
    <row r="405" customFormat="false" ht="15" hidden="false" customHeight="false" outlineLevel="0" collapsed="false">
      <c r="A405" s="3" t="s">
        <v>344</v>
      </c>
      <c r="B405" s="45" t="n">
        <v>0</v>
      </c>
    </row>
    <row r="406" customFormat="false" ht="15" hidden="false" customHeight="false" outlineLevel="0" collapsed="false">
      <c r="A406" s="3" t="s">
        <v>345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346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347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348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203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205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224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225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226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349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-125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89.8148148148148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89.8148148148148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89.8148148148148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89.8148148148148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350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23.9583333333333</v>
      </c>
      <c r="Q416" s="33" t="n">
        <f aca="false">IF(AND(Source_Data!Q$6&gt;=Inputs!$B$54,Source_Data!Q$6&lt;Inputs!$B$54+3*Inputs!$B$11),Inputs!$B$9*Inputs!$B$7/Inputs!$B$11,0)</f>
        <v>23.9583333333333</v>
      </c>
      <c r="R416" s="33" t="n">
        <f aca="false">IF(AND(Source_Data!R$6&gt;=Inputs!$B$54,Source_Data!R$6&lt;Inputs!$B$54+3*Inputs!$B$11),Inputs!$B$9*Inputs!$B$7/Inputs!$B$11,0)</f>
        <v>23.9583333333333</v>
      </c>
      <c r="S416" s="33" t="n">
        <f aca="false">IF(AND(Source_Data!S$6&gt;=Inputs!$B$54,Source_Data!S$6&lt;Inputs!$B$54+3*Inputs!$B$11),Inputs!$B$9*Inputs!$B$7/Inputs!$B$11,0)</f>
        <v>23.9583333333333</v>
      </c>
      <c r="T416" s="33" t="n">
        <f aca="false">IF(AND(Source_Data!T$6&gt;=Inputs!$B$54,Source_Data!T$6&lt;Inputs!$B$54+3*Inputs!$B$11),Inputs!$B$9*Inputs!$B$7/Inputs!$B$11,0)</f>
        <v>23.9583333333333</v>
      </c>
      <c r="U416" s="33" t="n">
        <f aca="false">IF(AND(Source_Data!U$6&gt;=Inputs!$B$54,Source_Data!U$6&lt;Inputs!$B$54+3*Inputs!$B$11),Inputs!$B$9*Inputs!$B$7/Inputs!$B$11,0)</f>
        <v>23.9583333333333</v>
      </c>
      <c r="V416" s="33" t="n">
        <f aca="false">IF(AND(Source_Data!V$6&gt;=Inputs!$B$54,Source_Data!V$6&lt;Inputs!$B$54+3*Inputs!$B$11),Inputs!$B$9*Inputs!$B$7/Inputs!$B$11,0)</f>
        <v>23.9583333333333</v>
      </c>
      <c r="W416" s="33" t="n">
        <f aca="false">IF(AND(Source_Data!W$6&gt;=Inputs!$B$54,Source_Data!W$6&lt;Inputs!$B$54+3*Inputs!$B$11),Inputs!$B$9*Inputs!$B$7/Inputs!$B$11,0)</f>
        <v>23.9583333333333</v>
      </c>
      <c r="X416" s="33" t="n">
        <f aca="false">IF(AND(Source_Data!X$6&gt;=Inputs!$B$54,Source_Data!X$6&lt;Inputs!$B$54+3*Inputs!$B$11),Inputs!$B$9*Inputs!$B$7/Inputs!$B$11,0)</f>
        <v>23.9583333333333</v>
      </c>
      <c r="Y416" s="33" t="n">
        <f aca="false">IF(AND(Source_Data!Y$6&gt;=Inputs!$B$54,Source_Data!Y$6&lt;Inputs!$B$54+3*Inputs!$B$11),Inputs!$B$9*Inputs!$B$7/Inputs!$B$11,0)</f>
        <v>23.9583333333333</v>
      </c>
      <c r="Z416" s="33" t="n">
        <f aca="false">IF(AND(Source_Data!Z$6&gt;=Inputs!$B$54,Source_Data!Z$6&lt;Inputs!$B$54+3*Inputs!$B$11),Inputs!$B$9*Inputs!$B$7/Inputs!$B$11,0)</f>
        <v>23.9583333333333</v>
      </c>
      <c r="AA416" s="33" t="n">
        <f aca="false">IF(AND(Source_Data!AA$6&gt;=Inputs!$B$54,Source_Data!AA$6&lt;Inputs!$B$54+3*Inputs!$B$11),Inputs!$B$9*Inputs!$B$7/Inputs!$B$11,0)</f>
        <v>23.9583333333333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351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-125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23.9583333333333</v>
      </c>
      <c r="Q417" s="33" t="n">
        <f aca="false">IF(Source_Data!Q$6=Inputs!$B$12,-Inputs!$B$7,0)+Q416</f>
        <v>23.9583333333333</v>
      </c>
      <c r="R417" s="33" t="n">
        <f aca="false">IF(Source_Data!R$6=Inputs!$B$12,-Inputs!$B$7,0)+R416</f>
        <v>23.9583333333333</v>
      </c>
      <c r="S417" s="33" t="n">
        <f aca="false">IF(Source_Data!S$6=Inputs!$B$12,-Inputs!$B$7,0)+S416</f>
        <v>23.9583333333333</v>
      </c>
      <c r="T417" s="33" t="n">
        <f aca="false">IF(Source_Data!T$6=Inputs!$B$12,-Inputs!$B$7,0)+T416</f>
        <v>23.9583333333333</v>
      </c>
      <c r="U417" s="33" t="n">
        <f aca="false">IF(Source_Data!U$6=Inputs!$B$12,-Inputs!$B$7,0)+U416</f>
        <v>23.9583333333333</v>
      </c>
      <c r="V417" s="33" t="n">
        <f aca="false">IF(Source_Data!V$6=Inputs!$B$12,-Inputs!$B$7,0)+V416</f>
        <v>23.9583333333333</v>
      </c>
      <c r="W417" s="33" t="n">
        <f aca="false">IF(Source_Data!W$6=Inputs!$B$12,-Inputs!$B$7,0)+W416</f>
        <v>23.9583333333333</v>
      </c>
      <c r="X417" s="33" t="n">
        <f aca="false">IF(Source_Data!X$6=Inputs!$B$12,-Inputs!$B$7,0)+X416</f>
        <v>23.9583333333333</v>
      </c>
      <c r="Y417" s="33" t="n">
        <f aca="false">IF(Source_Data!Y$6=Inputs!$B$12,-Inputs!$B$7,0)+Y416</f>
        <v>23.9583333333333</v>
      </c>
      <c r="Z417" s="33" t="n">
        <f aca="false">IF(Source_Data!Z$6=Inputs!$B$12,-Inputs!$B$7,0)+Z416</f>
        <v>23.9583333333333</v>
      </c>
      <c r="AA417" s="33" t="n">
        <f aca="false">IF(Source_Data!AA$6=Inputs!$B$12,-Inputs!$B$7,0)+AA416</f>
        <v>23.9583333333333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352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40</v>
      </c>
      <c r="H418" s="33" t="n">
        <f aca="false">G418+IF(Source_Data!H$6=Inputs!$B$12,Inputs!$B$7,0)+H413-H416</f>
        <v>17.5</v>
      </c>
      <c r="I418" s="33" t="n">
        <f aca="false">H418+IF(Source_Data!I$6=Inputs!$B$12,Inputs!$B$7,0)+I413-I416</f>
        <v>-5</v>
      </c>
      <c r="J418" s="33" t="n">
        <f aca="false">I418+IF(Source_Data!J$6=Inputs!$B$12,Inputs!$B$7,0)+J413-J416</f>
        <v>-32.38435</v>
      </c>
      <c r="K418" s="33" t="n">
        <f aca="false">J418+IF(Source_Data!K$6=Inputs!$B$12,Inputs!$B$7,0)+K413-K416</f>
        <v>-49.01305</v>
      </c>
      <c r="L418" s="33" t="n">
        <f aca="false">K418+IF(Source_Data!L$6=Inputs!$B$12,Inputs!$B$7,0)+L413-L416</f>
        <v>-96.244745</v>
      </c>
      <c r="M418" s="33" t="n">
        <f aca="false">L418+IF(Source_Data!M$6=Inputs!$B$12,Inputs!$B$7,0)+M413-M416</f>
        <v>-117.078875</v>
      </c>
      <c r="N418" s="33" t="n">
        <f aca="false">M418+IF(Source_Data!N$6=Inputs!$B$12,Inputs!$B$7,0)+N413-N416</f>
        <v>-137.78627</v>
      </c>
      <c r="O418" s="33" t="n">
        <f aca="false">N418+IF(Source_Data!O$6=Inputs!$B$12,Inputs!$B$7,0)+O413-O416</f>
        <v>-147.3745325</v>
      </c>
      <c r="P418" s="33" t="n">
        <f aca="false">O418+IF(Source_Data!P$6=Inputs!$B$12,Inputs!$B$7,0)+P413-P416</f>
        <v>-152.715930833333</v>
      </c>
      <c r="Q418" s="33" t="n">
        <f aca="false">P418+IF(Source_Data!Q$6=Inputs!$B$12,Inputs!$B$7,0)+Q413-Q416</f>
        <v>-140.784094166667</v>
      </c>
      <c r="R418" s="33" t="n">
        <f aca="false">Q418+IF(Source_Data!R$6=Inputs!$B$12,Inputs!$B$7,0)+R413-R416</f>
        <v>-251.28445125</v>
      </c>
      <c r="S418" s="33" t="n">
        <f aca="false">R418+IF(Source_Data!S$6=Inputs!$B$12,Inputs!$B$7,0)+S413-S416</f>
        <v>-352.139902083333</v>
      </c>
      <c r="T418" s="33" t="n">
        <f aca="false">S418+IF(Source_Data!T$6=Inputs!$B$12,Inputs!$B$7,0)+T413-T416</f>
        <v>65.1619120833332</v>
      </c>
      <c r="U418" s="33" t="n">
        <f aca="false">T418+IF(Source_Data!U$6=Inputs!$B$12,Inputs!$B$7,0)+U413-U416</f>
        <v>25.0634512499998</v>
      </c>
      <c r="V418" s="33" t="n">
        <f aca="false">U418+IF(Source_Data!V$6=Inputs!$B$12,Inputs!$B$7,0)+V413-V416</f>
        <v>62.9762704166664</v>
      </c>
      <c r="W418" s="33" t="n">
        <f aca="false">V418+IF(Source_Data!W$6=Inputs!$B$12,Inputs!$B$7,0)+W413-W416</f>
        <v>77.629489583333</v>
      </c>
      <c r="X418" s="33" t="n">
        <f aca="false">W418+IF(Source_Data!X$6=Inputs!$B$12,Inputs!$B$7,0)+X413-X416</f>
        <v>118.69658375</v>
      </c>
      <c r="Y418" s="33" t="n">
        <f aca="false">X418+IF(Source_Data!Y$6=Inputs!$B$12,Inputs!$B$7,0)+Y413-Y416</f>
        <v>157.952112916666</v>
      </c>
      <c r="Z418" s="33" t="n">
        <f aca="false">Y418+IF(Source_Data!Z$6=Inputs!$B$12,Inputs!$B$7,0)+Z413-Z416</f>
        <v>188.773241458333</v>
      </c>
      <c r="AA418" s="33" t="n">
        <f aca="false">Z418+IF(Source_Data!AA$6=Inputs!$B$12,Inputs!$B$7,0)+AA413-AA416</f>
        <v>212.468321875</v>
      </c>
      <c r="AB418" s="33" t="n">
        <f aca="false">AA418+IF(Source_Data!AB$6=Inputs!$B$12,Inputs!$B$7,0)+AB413-AB416</f>
        <v>273.806198125</v>
      </c>
      <c r="AC418" s="33" t="n">
        <f aca="false">AB418+IF(Source_Data!AC$6=Inputs!$B$12,Inputs!$B$7,0)+AC413-AC416</f>
        <v>324.852446875</v>
      </c>
      <c r="AD418" s="33" t="n">
        <f aca="false">AC418+IF(Source_Data!AD$6=Inputs!$B$12,Inputs!$B$7,0)+AD413-AD416</f>
        <v>375.898695624999</v>
      </c>
      <c r="AE418" s="33" t="n">
        <f aca="false">AD418+IF(Source_Data!AE$6=Inputs!$B$12,Inputs!$B$7,0)+AE413-AE416</f>
        <v>426.944944374999</v>
      </c>
      <c r="AF418" s="33" t="n">
        <f aca="false">AE418+IF(Source_Data!AF$6=Inputs!$B$12,Inputs!$B$7,0)+AF413-AF416</f>
        <v>236.7995815625</v>
      </c>
      <c r="AG418" s="33" t="n">
        <f aca="false">AF418+IF(Source_Data!AG$6=Inputs!$B$12,Inputs!$B$7,0)+AG413-AG416</f>
        <v>271.73860390625</v>
      </c>
      <c r="AH418" s="33" t="n">
        <f aca="false">AG418+IF(Source_Data!AH$6=Inputs!$B$12,Inputs!$B$7,0)+AH413-AH416</f>
        <v>301.25061921875</v>
      </c>
      <c r="AI418" s="33" t="n">
        <f aca="false">AH418+IF(Source_Data!AI$6=Inputs!$B$12,Inputs!$B$7,0)+AI413-AI416</f>
        <v>325.3356275</v>
      </c>
      <c r="AJ418" s="33" t="n">
        <f aca="false">AI418+IF(Source_Data!AJ$6=Inputs!$B$12,Inputs!$B$7,0)+AJ413-AJ416</f>
        <v>348.28281640625</v>
      </c>
      <c r="AK418" s="33" t="n">
        <f aca="false">AJ418+IF(Source_Data!AK$6=Inputs!$B$12,Inputs!$B$7,0)+AK413-AK416</f>
        <v>368.9473775</v>
      </c>
      <c r="AL418" s="33" t="n">
        <f aca="false">AK418+IF(Source_Data!AL$6=Inputs!$B$12,Inputs!$B$7,0)+AL413-AL416</f>
        <v>384.478938125</v>
      </c>
      <c r="AM418" s="33" t="n">
        <f aca="false">AL418+IF(Source_Data!AM$6=Inputs!$B$12,Inputs!$B$7,0)+AM413-AM416</f>
        <v>400.591056875</v>
      </c>
      <c r="AN418" s="33" t="n">
        <f aca="false">AM418+IF(Source_Data!AN$6=Inputs!$B$12,Inputs!$B$7,0)+AN413-AN416</f>
        <v>414.224388124999</v>
      </c>
      <c r="AO418" s="33" t="n">
        <f aca="false">AN418+IF(Source_Data!AO$6=Inputs!$B$12,Inputs!$B$7,0)+AO413-AO416</f>
        <v>418.300409374999</v>
      </c>
      <c r="AP418" s="33" t="n">
        <f aca="false">AO418+IF(Source_Data!AP$6=Inputs!$B$12,Inputs!$B$7,0)+AP413-AP416</f>
        <v>425.546669374999</v>
      </c>
      <c r="AQ418" s="33" t="n">
        <f aca="false">AP418+IF(Source_Data!AQ$6=Inputs!$B$12,Inputs!$B$7,0)+AQ413-AQ416</f>
        <v>432.792929374999</v>
      </c>
      <c r="AR418" s="33" t="n">
        <f aca="false">AQ418+IF(Source_Data!AR$6=Inputs!$B$12,Inputs!$B$7,0)+AR413-AR416</f>
        <v>432.792929374999</v>
      </c>
      <c r="AS418" s="33" t="n">
        <f aca="false">AR418+IF(Source_Data!AS$6=Inputs!$B$12,Inputs!$B$7,0)+AS413-AS416</f>
        <v>432.792929374999</v>
      </c>
      <c r="AT418" s="33" t="n">
        <f aca="false">AS418+IF(Source_Data!AT$6=Inputs!$B$12,Inputs!$B$7,0)+AT413-AT416</f>
        <v>432.792929374999</v>
      </c>
      <c r="AU418" s="33" t="n">
        <f aca="false">AT418+IF(Source_Data!AU$6=Inputs!$B$12,Inputs!$B$7,0)+AU413-AU416</f>
        <v>432.792929374999</v>
      </c>
      <c r="AV418" s="33" t="n">
        <f aca="false">AU418+IF(Source_Data!AV$6=Inputs!$B$12,Inputs!$B$7,0)+AV413-AV416</f>
        <v>432.792929374999</v>
      </c>
      <c r="AW418" s="33" t="n">
        <f aca="false">AV418+IF(Source_Data!AW$6=Inputs!$B$12,Inputs!$B$7,0)+AW413-AW416</f>
        <v>432.792929374999</v>
      </c>
      <c r="AX418" s="33" t="n">
        <f aca="false">AW418+IF(Source_Data!AX$6=Inputs!$B$12,Inputs!$B$7,0)+AX413-AX416</f>
        <v>432.792929374999</v>
      </c>
      <c r="AY418" s="33" t="n">
        <f aca="false">AX418+IF(Source_Data!AY$6=Inputs!$B$12,Inputs!$B$7,0)+AY413-AY416</f>
        <v>432.792929374999</v>
      </c>
      <c r="AZ418" s="33" t="n">
        <f aca="false">AY418+IF(Source_Data!AZ$6=Inputs!$B$12,Inputs!$B$7,0)+AZ413-AZ416</f>
        <v>432.792929374999</v>
      </c>
      <c r="BA418" s="33" t="n">
        <f aca="false">AZ418+IF(Source_Data!BA$6=Inputs!$B$12,Inputs!$B$7,0)+BA413-BA416</f>
        <v>432.792929374999</v>
      </c>
      <c r="BB418" s="33" t="n">
        <f aca="false">BA418+IF(Source_Data!BB$6=Inputs!$B$12,Inputs!$B$7,0)+BB413-BB416</f>
        <v>432.792929374999</v>
      </c>
      <c r="BC418" s="33" t="n">
        <f aca="false">BB418+IF(Source_Data!BC$6=Inputs!$B$12,Inputs!$B$7,0)+BC413-BC416</f>
        <v>432.792929374999</v>
      </c>
      <c r="BD418" s="33" t="n">
        <f aca="false">BC418+IF(Source_Data!BD$6=Inputs!$B$12,Inputs!$B$7,0)+BD413-BD416</f>
        <v>432.792929374999</v>
      </c>
      <c r="BE418" s="33" t="n">
        <f aca="false">BD418+IF(Source_Data!BE$6=Inputs!$B$12,Inputs!$B$7,0)+BE413-BE416</f>
        <v>432.792929374999</v>
      </c>
      <c r="BF418" s="33" t="n">
        <f aca="false">BE418+IF(Source_Data!BF$6=Inputs!$B$12,Inputs!$B$7,0)+BF413-BF416</f>
        <v>432.792929374999</v>
      </c>
      <c r="BG418" s="33" t="n">
        <f aca="false">BF418+IF(Source_Data!BG$6=Inputs!$B$12,Inputs!$B$7,0)+BG413-BG416</f>
        <v>432.792929374999</v>
      </c>
      <c r="BH418" s="33" t="n">
        <f aca="false">BG418+IF(Source_Data!BH$6=Inputs!$B$12,Inputs!$B$7,0)+BH413-BH416</f>
        <v>432.792929374999</v>
      </c>
      <c r="BI418" s="33" t="n">
        <f aca="false">BH418+IF(Source_Data!BI$6=Inputs!$B$12,Inputs!$B$7,0)+BI413-BI416</f>
        <v>432.792929374999</v>
      </c>
      <c r="BJ418" s="33" t="n">
        <f aca="false">BI418+IF(Source_Data!BJ$6=Inputs!$B$12,Inputs!$B$7,0)+BJ413-BJ416</f>
        <v>432.792929374999</v>
      </c>
      <c r="BK418" s="33" t="n">
        <f aca="false">BJ418+IF(Source_Data!BK$6=Inputs!$B$12,Inputs!$B$7,0)+BK413-BK416</f>
        <v>432.792929374999</v>
      </c>
    </row>
    <row r="419" customFormat="false" ht="15" hidden="false" customHeight="false" outlineLevel="0" collapsed="false">
      <c r="A419" s="3" t="s">
        <v>353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0.77705467826087</v>
      </c>
      <c r="Q419" s="31" t="n">
        <f aca="false">IF(Q416&gt;0,Q413/Q416,"")</f>
        <v>1.49802448695652</v>
      </c>
      <c r="R419" s="31" t="n">
        <f aca="false">IF(R416&gt;0,R413/R416,"")</f>
        <v>-3.6121888173913</v>
      </c>
      <c r="S419" s="31" t="n">
        <f aca="false">IF(S416&gt;0,S413/S416,"")</f>
        <v>-3.2096188173913</v>
      </c>
      <c r="T419" s="31" t="n">
        <f aca="false">IF(T416&gt;0,T413/T416,"")</f>
        <v>18.4178148521739</v>
      </c>
      <c r="U419" s="31" t="n">
        <f aca="false">IF(U416&gt;0,U413/U416,"")</f>
        <v>-0.673674886956523</v>
      </c>
      <c r="V419" s="31" t="n">
        <f aca="false">IF(V416&gt;0,V413/V416,"")</f>
        <v>2.58244810434782</v>
      </c>
      <c r="W419" s="31" t="n">
        <f aca="false">IF(W416&gt;0,W413/W416,"")</f>
        <v>1.61161262608695</v>
      </c>
      <c r="X419" s="31" t="n">
        <f aca="false">IF(X416&gt;0,X413/X416,"")</f>
        <v>2.7141048</v>
      </c>
      <c r="Y419" s="31" t="n">
        <f aca="false">IF(Y416&gt;0,Y413/Y416,"")</f>
        <v>2.63849165217391</v>
      </c>
      <c r="Z419" s="31" t="n">
        <f aca="false">IF(Z416&gt;0,Z413/Z416,"")</f>
        <v>2.28644710434783</v>
      </c>
      <c r="AA419" s="31" t="n">
        <f aca="false">IF(AA416&gt;0,AA413/AA416,"")</f>
        <v>1.98901205217391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354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-5.37423015652174</v>
      </c>
      <c r="Q420" s="31" t="n">
        <f aca="false">IF(Q416&gt;0,(P418+Q413+IF(Source_Data!Q$6=Inputs!$B$12,Inputs!$B$7,0))/Q416,"")</f>
        <v>-4.87620566956522</v>
      </c>
      <c r="R420" s="31" t="n">
        <f aca="false">IF(R416&gt;0,(Q418+R413+IF(Source_Data!R$6=Inputs!$B$12,Inputs!$B$7,0))/R416,"")</f>
        <v>-9.48839448695652</v>
      </c>
      <c r="S420" s="31" t="n">
        <f aca="false">IF(S416&gt;0,(R418+S413+IF(Source_Data!S$6=Inputs!$B$12,Inputs!$B$7,0))/S416,"")</f>
        <v>-13.6980133043478</v>
      </c>
      <c r="T420" s="31" t="n">
        <f aca="false">IF(T416&gt;0,(S418+T413+IF(Source_Data!T$6=Inputs!$B$12,Inputs!$B$7,0))/T416,"")</f>
        <v>3.71980154782608</v>
      </c>
      <c r="U420" s="31" t="n">
        <f aca="false">IF(U416&gt;0,(T418+U413+IF(Source_Data!U$6=Inputs!$B$12,Inputs!$B$7,0))/U416,"")</f>
        <v>2.04612666086956</v>
      </c>
      <c r="V420" s="31" t="n">
        <f aca="false">IF(V416&gt;0,(U418+V413+IF(Source_Data!V$6=Inputs!$B$12,Inputs!$B$7,0))/V416,"")</f>
        <v>3.62857476521738</v>
      </c>
      <c r="W420" s="31" t="n">
        <f aca="false">IF(W416&gt;0,(V418+W413+IF(Source_Data!W$6=Inputs!$B$12,Inputs!$B$7,0))/W416,"")</f>
        <v>4.24018739130433</v>
      </c>
      <c r="X420" s="31" t="n">
        <f aca="false">IF(X416&gt;0,(W418+X413+IF(Source_Data!X$6=Inputs!$B$12,Inputs!$B$7,0))/X416,"")</f>
        <v>5.95429219130433</v>
      </c>
      <c r="Y420" s="31" t="n">
        <f aca="false">IF(Y416&gt;0,(X418+Y413+IF(Source_Data!Y$6=Inputs!$B$12,Inputs!$B$7,0))/Y416,"")</f>
        <v>7.59278384347824</v>
      </c>
      <c r="Z420" s="31" t="n">
        <f aca="false">IF(Z416&gt;0,(Y418+Z413+IF(Source_Data!Z$6=Inputs!$B$12,Inputs!$B$7,0))/Z416,"")</f>
        <v>8.87923094782607</v>
      </c>
      <c r="AA420" s="31" t="n">
        <f aca="false">IF(AA416&gt;0,(Z418+AA413+IF(Source_Data!AA$6=Inputs!$B$12,Inputs!$B$7,0))/AA416,"")</f>
        <v>9.86824299999998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355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171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356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357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358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359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360</v>
      </c>
      <c r="B429" s="41" t="n">
        <f aca="false">MIN(D418:BK418)</f>
        <v>-352.139902083333</v>
      </c>
    </row>
    <row r="430" customFormat="false" ht="15" hidden="false" customHeight="false" outlineLevel="0" collapsed="false">
      <c r="A430" s="2" t="s">
        <v>361</v>
      </c>
      <c r="B430" s="43" t="n">
        <f aca="false">MIN(D419:BK419)</f>
        <v>-3.6121888173913</v>
      </c>
    </row>
    <row r="431" customFormat="false" ht="15" hidden="false" customHeight="false" outlineLevel="0" collapsed="false">
      <c r="A431" s="2" t="s">
        <v>362</v>
      </c>
      <c r="B431" s="35" t="n">
        <f aca="false">COUNTIF(D419:BK419,"&lt;"&amp;Inputs!$B$43)</f>
        <v>5</v>
      </c>
    </row>
    <row r="432" customFormat="false" ht="15" hidden="false" customHeight="false" outlineLevel="0" collapsed="false">
      <c r="A432" s="2" t="s">
        <v>363</v>
      </c>
      <c r="B432" s="43" t="n">
        <f aca="false">MIN(D420:BK420)</f>
        <v>-13.6980133043478</v>
      </c>
    </row>
    <row r="433" customFormat="false" ht="15" hidden="false" customHeight="false" outlineLevel="0" collapsed="false">
      <c r="A433" s="2" t="s">
        <v>364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379</v>
      </c>
    </row>
    <row r="437" customFormat="false" ht="15" hidden="false" customHeight="false" outlineLevel="0" collapsed="false">
      <c r="A437" s="3" t="s">
        <v>340</v>
      </c>
      <c r="B437" s="45" t="n">
        <v>1</v>
      </c>
    </row>
    <row r="438" customFormat="false" ht="15" hidden="false" customHeight="false" outlineLevel="0" collapsed="false">
      <c r="A438" s="3" t="s">
        <v>341</v>
      </c>
      <c r="B438" s="45" t="n">
        <v>0</v>
      </c>
    </row>
    <row r="439" customFormat="false" ht="15" hidden="false" customHeight="false" outlineLevel="0" collapsed="false">
      <c r="A439" s="3" t="s">
        <v>342</v>
      </c>
      <c r="B439" s="45" t="n">
        <v>1</v>
      </c>
    </row>
    <row r="440" customFormat="false" ht="15" hidden="false" customHeight="false" outlineLevel="0" collapsed="false">
      <c r="A440" s="3" t="s">
        <v>343</v>
      </c>
      <c r="B440" s="45" t="n">
        <v>4</v>
      </c>
    </row>
    <row r="441" customFormat="false" ht="15" hidden="false" customHeight="false" outlineLevel="0" collapsed="false">
      <c r="A441" s="3" t="s">
        <v>344</v>
      </c>
      <c r="B441" s="45" t="n">
        <v>0</v>
      </c>
    </row>
    <row r="442" customFormat="false" ht="15" hidden="false" customHeight="false" outlineLevel="0" collapsed="false">
      <c r="A442" s="3" t="s">
        <v>345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346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347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348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203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205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224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225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226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349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-125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89.8148148148148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89.8148148148148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89.8148148148148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89.8148148148148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350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23.9583333333333</v>
      </c>
      <c r="Q452" s="33" t="n">
        <f aca="false">IF(AND(Source_Data!Q$6&gt;=Inputs!$B$54,Source_Data!Q$6&lt;Inputs!$B$54+3*Inputs!$B$11),Inputs!$B$9*Inputs!$B$7/Inputs!$B$11,0)</f>
        <v>23.9583333333333</v>
      </c>
      <c r="R452" s="33" t="n">
        <f aca="false">IF(AND(Source_Data!R$6&gt;=Inputs!$B$54,Source_Data!R$6&lt;Inputs!$B$54+3*Inputs!$B$11),Inputs!$B$9*Inputs!$B$7/Inputs!$B$11,0)</f>
        <v>23.9583333333333</v>
      </c>
      <c r="S452" s="33" t="n">
        <f aca="false">IF(AND(Source_Data!S$6&gt;=Inputs!$B$54,Source_Data!S$6&lt;Inputs!$B$54+3*Inputs!$B$11),Inputs!$B$9*Inputs!$B$7/Inputs!$B$11,0)</f>
        <v>23.9583333333333</v>
      </c>
      <c r="T452" s="33" t="n">
        <f aca="false">IF(AND(Source_Data!T$6&gt;=Inputs!$B$54,Source_Data!T$6&lt;Inputs!$B$54+3*Inputs!$B$11),Inputs!$B$9*Inputs!$B$7/Inputs!$B$11,0)</f>
        <v>23.9583333333333</v>
      </c>
      <c r="U452" s="33" t="n">
        <f aca="false">IF(AND(Source_Data!U$6&gt;=Inputs!$B$54,Source_Data!U$6&lt;Inputs!$B$54+3*Inputs!$B$11),Inputs!$B$9*Inputs!$B$7/Inputs!$B$11,0)</f>
        <v>23.9583333333333</v>
      </c>
      <c r="V452" s="33" t="n">
        <f aca="false">IF(AND(Source_Data!V$6&gt;=Inputs!$B$54,Source_Data!V$6&lt;Inputs!$B$54+3*Inputs!$B$11),Inputs!$B$9*Inputs!$B$7/Inputs!$B$11,0)</f>
        <v>23.9583333333333</v>
      </c>
      <c r="W452" s="33" t="n">
        <f aca="false">IF(AND(Source_Data!W$6&gt;=Inputs!$B$54,Source_Data!W$6&lt;Inputs!$B$54+3*Inputs!$B$11),Inputs!$B$9*Inputs!$B$7/Inputs!$B$11,0)</f>
        <v>23.9583333333333</v>
      </c>
      <c r="X452" s="33" t="n">
        <f aca="false">IF(AND(Source_Data!X$6&gt;=Inputs!$B$54,Source_Data!X$6&lt;Inputs!$B$54+3*Inputs!$B$11),Inputs!$B$9*Inputs!$B$7/Inputs!$B$11,0)</f>
        <v>23.9583333333333</v>
      </c>
      <c r="Y452" s="33" t="n">
        <f aca="false">IF(AND(Source_Data!Y$6&gt;=Inputs!$B$54,Source_Data!Y$6&lt;Inputs!$B$54+3*Inputs!$B$11),Inputs!$B$9*Inputs!$B$7/Inputs!$B$11,0)</f>
        <v>23.9583333333333</v>
      </c>
      <c r="Z452" s="33" t="n">
        <f aca="false">IF(AND(Source_Data!Z$6&gt;=Inputs!$B$54,Source_Data!Z$6&lt;Inputs!$B$54+3*Inputs!$B$11),Inputs!$B$9*Inputs!$B$7/Inputs!$B$11,0)</f>
        <v>23.9583333333333</v>
      </c>
      <c r="AA452" s="33" t="n">
        <f aca="false">IF(AND(Source_Data!AA$6&gt;=Inputs!$B$54,Source_Data!AA$6&lt;Inputs!$B$54+3*Inputs!$B$11),Inputs!$B$9*Inputs!$B$7/Inputs!$B$11,0)</f>
        <v>23.9583333333333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351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-125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23.9583333333333</v>
      </c>
      <c r="Q453" s="33" t="n">
        <f aca="false">IF(Source_Data!Q$6=Inputs!$B$12,-Inputs!$B$7,0)+Q452</f>
        <v>23.9583333333333</v>
      </c>
      <c r="R453" s="33" t="n">
        <f aca="false">IF(Source_Data!R$6=Inputs!$B$12,-Inputs!$B$7,0)+R452</f>
        <v>23.9583333333333</v>
      </c>
      <c r="S453" s="33" t="n">
        <f aca="false">IF(Source_Data!S$6=Inputs!$B$12,-Inputs!$B$7,0)+S452</f>
        <v>23.9583333333333</v>
      </c>
      <c r="T453" s="33" t="n">
        <f aca="false">IF(Source_Data!T$6=Inputs!$B$12,-Inputs!$B$7,0)+T452</f>
        <v>23.9583333333333</v>
      </c>
      <c r="U453" s="33" t="n">
        <f aca="false">IF(Source_Data!U$6=Inputs!$B$12,-Inputs!$B$7,0)+U452</f>
        <v>23.9583333333333</v>
      </c>
      <c r="V453" s="33" t="n">
        <f aca="false">IF(Source_Data!V$6=Inputs!$B$12,-Inputs!$B$7,0)+V452</f>
        <v>23.9583333333333</v>
      </c>
      <c r="W453" s="33" t="n">
        <f aca="false">IF(Source_Data!W$6=Inputs!$B$12,-Inputs!$B$7,0)+W452</f>
        <v>23.9583333333333</v>
      </c>
      <c r="X453" s="33" t="n">
        <f aca="false">IF(Source_Data!X$6=Inputs!$B$12,-Inputs!$B$7,0)+X452</f>
        <v>23.9583333333333</v>
      </c>
      <c r="Y453" s="33" t="n">
        <f aca="false">IF(Source_Data!Y$6=Inputs!$B$12,-Inputs!$B$7,0)+Y452</f>
        <v>23.9583333333333</v>
      </c>
      <c r="Z453" s="33" t="n">
        <f aca="false">IF(Source_Data!Z$6=Inputs!$B$12,-Inputs!$B$7,0)+Z452</f>
        <v>23.9583333333333</v>
      </c>
      <c r="AA453" s="33" t="n">
        <f aca="false">IF(Source_Data!AA$6=Inputs!$B$12,-Inputs!$B$7,0)+AA452</f>
        <v>23.9583333333333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352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40</v>
      </c>
      <c r="H454" s="33" t="n">
        <f aca="false">G454+IF(Source_Data!H$6=Inputs!$B$12,Inputs!$B$7,0)+H449-H452</f>
        <v>17.5</v>
      </c>
      <c r="I454" s="33" t="n">
        <f aca="false">H454+IF(Source_Data!I$6=Inputs!$B$12,Inputs!$B$7,0)+I449-I452</f>
        <v>-5</v>
      </c>
      <c r="J454" s="33" t="n">
        <f aca="false">I454+IF(Source_Data!J$6=Inputs!$B$12,Inputs!$B$7,0)+J449-J452</f>
        <v>-50.5</v>
      </c>
      <c r="K454" s="33" t="n">
        <f aca="false">J454+IF(Source_Data!K$6=Inputs!$B$12,Inputs!$B$7,0)+K449-K452</f>
        <v>-103.36</v>
      </c>
      <c r="L454" s="33" t="n">
        <f aca="false">K454+IF(Source_Data!L$6=Inputs!$B$12,Inputs!$B$7,0)+L449-L452</f>
        <v>-190.73687</v>
      </c>
      <c r="M454" s="33" t="n">
        <f aca="false">L454+IF(Source_Data!M$6=Inputs!$B$12,Inputs!$B$7,0)+M449-M452</f>
        <v>-244.35809</v>
      </c>
      <c r="N454" s="33" t="n">
        <f aca="false">M454+IF(Source_Data!N$6=Inputs!$B$12,Inputs!$B$7,0)+N449-N452</f>
        <v>-273.892205</v>
      </c>
      <c r="O454" s="33" t="n">
        <f aca="false">N454+IF(Source_Data!O$6=Inputs!$B$12,Inputs!$B$7,0)+O449-O452</f>
        <v>-287.435345</v>
      </c>
      <c r="P454" s="33" t="n">
        <f aca="false">O454+IF(Source_Data!P$6=Inputs!$B$12,Inputs!$B$7,0)+P449-P452</f>
        <v>-314.560253333333</v>
      </c>
      <c r="Q454" s="33" t="n">
        <f aca="false">P454+IF(Source_Data!Q$6=Inputs!$B$12,Inputs!$B$7,0)+Q449-Q452</f>
        <v>-335.262679166667</v>
      </c>
      <c r="R454" s="33" t="n">
        <f aca="false">Q454+IF(Source_Data!R$6=Inputs!$B$12,Inputs!$B$7,0)+R449-R452</f>
        <v>-472.1444175</v>
      </c>
      <c r="S454" s="33" t="n">
        <f aca="false">R454+IF(Source_Data!S$6=Inputs!$B$12,Inputs!$B$7,0)+S449-S452</f>
        <v>-592.289680833333</v>
      </c>
      <c r="T454" s="33" t="n">
        <f aca="false">S454+IF(Source_Data!T$6=Inputs!$B$12,Inputs!$B$7,0)+T449-T452</f>
        <v>-742.825897916667</v>
      </c>
      <c r="U454" s="33" t="n">
        <f aca="false">T454+IF(Source_Data!U$6=Inputs!$B$12,Inputs!$B$7,0)+U449-U452</f>
        <v>-829.66720875</v>
      </c>
      <c r="V454" s="33" t="n">
        <f aca="false">U454+IF(Source_Data!V$6=Inputs!$B$12,Inputs!$B$7,0)+V449-V452</f>
        <v>-221.260514583334</v>
      </c>
      <c r="W454" s="33" t="n">
        <f aca="false">V454+IF(Source_Data!W$6=Inputs!$B$12,Inputs!$B$7,0)+W449-W452</f>
        <v>-124.304095416667</v>
      </c>
      <c r="X454" s="33" t="n">
        <f aca="false">W454+IF(Source_Data!X$6=Inputs!$B$12,Inputs!$B$7,0)+X449-X452</f>
        <v>-58.1658362500006</v>
      </c>
      <c r="Y454" s="33" t="n">
        <f aca="false">X454+IF(Source_Data!Y$6=Inputs!$B$12,Inputs!$B$7,0)+Y449-Y452</f>
        <v>-15.2871770833339</v>
      </c>
      <c r="Z454" s="33" t="n">
        <f aca="false">Y454+IF(Source_Data!Z$6=Inputs!$B$12,Inputs!$B$7,0)+Z449-Z452</f>
        <v>25.7799170833327</v>
      </c>
      <c r="AA454" s="33" t="n">
        <f aca="false">Z454+IF(Source_Data!AA$6=Inputs!$B$12,Inputs!$B$7,0)+AA449-AA452</f>
        <v>65.0354462499993</v>
      </c>
      <c r="AB454" s="33" t="n">
        <f aca="false">AA454+IF(Source_Data!AB$6=Inputs!$B$12,Inputs!$B$7,0)+AB449-AB452</f>
        <v>142.314908124999</v>
      </c>
      <c r="AC454" s="33" t="n">
        <f aca="false">AB454+IF(Source_Data!AC$6=Inputs!$B$12,Inputs!$B$7,0)+AC449-AC452</f>
        <v>212.468321874999</v>
      </c>
      <c r="AD454" s="33" t="n">
        <f aca="false">AC454+IF(Source_Data!AD$6=Inputs!$B$12,Inputs!$B$7,0)+AD449-AD452</f>
        <v>273.806198124999</v>
      </c>
      <c r="AE454" s="33" t="n">
        <f aca="false">AD454+IF(Source_Data!AE$6=Inputs!$B$12,Inputs!$B$7,0)+AE449-AE452</f>
        <v>324.852446874999</v>
      </c>
      <c r="AF454" s="33" t="n">
        <f aca="false">AE454+IF(Source_Data!AF$6=Inputs!$B$12,Inputs!$B$7,0)+AF449-AF452</f>
        <v>134.707084062499</v>
      </c>
      <c r="AG454" s="33" t="n">
        <f aca="false">AF454+IF(Source_Data!AG$6=Inputs!$B$12,Inputs!$B$7,0)+AG449-AG452</f>
        <v>169.646106406249</v>
      </c>
      <c r="AH454" s="33" t="n">
        <f aca="false">AG454+IF(Source_Data!AH$6=Inputs!$B$12,Inputs!$B$7,0)+AH449-AH452</f>
        <v>206.272987343749</v>
      </c>
      <c r="AI454" s="33" t="n">
        <f aca="false">AH454+IF(Source_Data!AI$6=Inputs!$B$12,Inputs!$B$7,0)+AI449-AI452</f>
        <v>244.587726874999</v>
      </c>
      <c r="AJ454" s="33" t="n">
        <f aca="false">AI454+IF(Source_Data!AJ$6=Inputs!$B$12,Inputs!$B$7,0)+AJ449-AJ452</f>
        <v>278.507743906249</v>
      </c>
      <c r="AK454" s="33" t="n">
        <f aca="false">AJ454+IF(Source_Data!AK$6=Inputs!$B$12,Inputs!$B$7,0)+AK449-AK452</f>
        <v>306.888229999999</v>
      </c>
      <c r="AL454" s="33" t="n">
        <f aca="false">AK454+IF(Source_Data!AL$6=Inputs!$B$12,Inputs!$B$7,0)+AL449-AL452</f>
        <v>332.495223124999</v>
      </c>
      <c r="AM454" s="33" t="n">
        <f aca="false">AL454+IF(Source_Data!AM$6=Inputs!$B$12,Inputs!$B$7,0)+AM449-AM452</f>
        <v>358.425576874999</v>
      </c>
      <c r="AN454" s="33" t="n">
        <f aca="false">AM454+IF(Source_Data!AN$6=Inputs!$B$12,Inputs!$B$7,0)+AN449-AN452</f>
        <v>378.138460624999</v>
      </c>
      <c r="AO454" s="33" t="n">
        <f aca="false">AN454+IF(Source_Data!AO$6=Inputs!$B$12,Inputs!$B$7,0)+AO449-AO452</f>
        <v>394.250579374999</v>
      </c>
      <c r="AP454" s="33" t="n">
        <f aca="false">AO454+IF(Source_Data!AP$6=Inputs!$B$12,Inputs!$B$7,0)+AP449-AP452</f>
        <v>411.054149374999</v>
      </c>
      <c r="AQ454" s="33" t="n">
        <f aca="false">AP454+IF(Source_Data!AQ$6=Inputs!$B$12,Inputs!$B$7,0)+AQ449-AQ452</f>
        <v>418.300409374999</v>
      </c>
      <c r="AR454" s="33" t="n">
        <f aca="false">AQ454+IF(Source_Data!AR$6=Inputs!$B$12,Inputs!$B$7,0)+AR449-AR452</f>
        <v>425.546669374999</v>
      </c>
      <c r="AS454" s="33" t="n">
        <f aca="false">AR454+IF(Source_Data!AS$6=Inputs!$B$12,Inputs!$B$7,0)+AS449-AS452</f>
        <v>432.792929374999</v>
      </c>
      <c r="AT454" s="33" t="n">
        <f aca="false">AS454+IF(Source_Data!AT$6=Inputs!$B$12,Inputs!$B$7,0)+AT449-AT452</f>
        <v>432.792929374999</v>
      </c>
      <c r="AU454" s="33" t="n">
        <f aca="false">AT454+IF(Source_Data!AU$6=Inputs!$B$12,Inputs!$B$7,0)+AU449-AU452</f>
        <v>432.792929374999</v>
      </c>
      <c r="AV454" s="33" t="n">
        <f aca="false">AU454+IF(Source_Data!AV$6=Inputs!$B$12,Inputs!$B$7,0)+AV449-AV452</f>
        <v>432.792929374999</v>
      </c>
      <c r="AW454" s="33" t="n">
        <f aca="false">AV454+IF(Source_Data!AW$6=Inputs!$B$12,Inputs!$B$7,0)+AW449-AW452</f>
        <v>432.792929374999</v>
      </c>
      <c r="AX454" s="33" t="n">
        <f aca="false">AW454+IF(Source_Data!AX$6=Inputs!$B$12,Inputs!$B$7,0)+AX449-AX452</f>
        <v>432.792929374999</v>
      </c>
      <c r="AY454" s="33" t="n">
        <f aca="false">AX454+IF(Source_Data!AY$6=Inputs!$B$12,Inputs!$B$7,0)+AY449-AY452</f>
        <v>432.792929374999</v>
      </c>
      <c r="AZ454" s="33" t="n">
        <f aca="false">AY454+IF(Source_Data!AZ$6=Inputs!$B$12,Inputs!$B$7,0)+AZ449-AZ452</f>
        <v>432.792929374999</v>
      </c>
      <c r="BA454" s="33" t="n">
        <f aca="false">AZ454+IF(Source_Data!BA$6=Inputs!$B$12,Inputs!$B$7,0)+BA449-BA452</f>
        <v>432.792929374999</v>
      </c>
      <c r="BB454" s="33" t="n">
        <f aca="false">BA454+IF(Source_Data!BB$6=Inputs!$B$12,Inputs!$B$7,0)+BB449-BB452</f>
        <v>432.792929374999</v>
      </c>
      <c r="BC454" s="33" t="n">
        <f aca="false">BB454+IF(Source_Data!BC$6=Inputs!$B$12,Inputs!$B$7,0)+BC449-BC452</f>
        <v>432.792929374999</v>
      </c>
      <c r="BD454" s="33" t="n">
        <f aca="false">BC454+IF(Source_Data!BD$6=Inputs!$B$12,Inputs!$B$7,0)+BD449-BD452</f>
        <v>432.792929374999</v>
      </c>
      <c r="BE454" s="33" t="n">
        <f aca="false">BD454+IF(Source_Data!BE$6=Inputs!$B$12,Inputs!$B$7,0)+BE449-BE452</f>
        <v>432.792929374999</v>
      </c>
      <c r="BF454" s="33" t="n">
        <f aca="false">BE454+IF(Source_Data!BF$6=Inputs!$B$12,Inputs!$B$7,0)+BF449-BF452</f>
        <v>432.792929374999</v>
      </c>
      <c r="BG454" s="33" t="n">
        <f aca="false">BF454+IF(Source_Data!BG$6=Inputs!$B$12,Inputs!$B$7,0)+BG449-BG452</f>
        <v>432.792929374999</v>
      </c>
      <c r="BH454" s="33" t="n">
        <f aca="false">BG454+IF(Source_Data!BH$6=Inputs!$B$12,Inputs!$B$7,0)+BH449-BH452</f>
        <v>432.792929374999</v>
      </c>
      <c r="BI454" s="33" t="n">
        <f aca="false">BH454+IF(Source_Data!BI$6=Inputs!$B$12,Inputs!$B$7,0)+BI449-BI452</f>
        <v>432.792929374999</v>
      </c>
      <c r="BJ454" s="33" t="n">
        <f aca="false">BI454+IF(Source_Data!BJ$6=Inputs!$B$12,Inputs!$B$7,0)+BJ449-BJ452</f>
        <v>432.792929374999</v>
      </c>
      <c r="BK454" s="33" t="n">
        <f aca="false">BJ454+IF(Source_Data!BK$6=Inputs!$B$12,Inputs!$B$7,0)+BK449-BK452</f>
        <v>432.792929374999</v>
      </c>
    </row>
    <row r="455" customFormat="false" ht="15" hidden="false" customHeight="false" outlineLevel="0" collapsed="false">
      <c r="A455" s="3" t="s">
        <v>353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-0.132170086956522</v>
      </c>
      <c r="Q455" s="31" t="n">
        <f aca="false">IF(Q452&gt;0,Q449/Q452,"")</f>
        <v>0.135898747826087</v>
      </c>
      <c r="R455" s="31" t="n">
        <f aca="false">IF(R452&gt;0,R449/R452,"")</f>
        <v>-4.71332473043478</v>
      </c>
      <c r="S455" s="31" t="n">
        <f aca="false">IF(S452&gt;0,S449/S452,"")</f>
        <v>-4.0147588173913</v>
      </c>
      <c r="T455" s="31" t="n">
        <f aca="false">IF(T452&gt;0,T449/T452,"")</f>
        <v>-5.2832508</v>
      </c>
      <c r="U455" s="31" t="n">
        <f aca="false">IF(U452&gt;0,U449/U452,"")</f>
        <v>-2.6246808</v>
      </c>
      <c r="V455" s="31" t="n">
        <f aca="false">IF(V452&gt;0,V449/V452,"")</f>
        <v>26.3943663652174</v>
      </c>
      <c r="W455" s="31" t="n">
        <f aca="false">IF(W452&gt;0,W449/W452,"")</f>
        <v>5.04687662608696</v>
      </c>
      <c r="X455" s="31" t="n">
        <f aca="false">IF(X452&gt;0,X449/X452,"")</f>
        <v>3.76055342608695</v>
      </c>
      <c r="Y455" s="31" t="n">
        <f aca="false">IF(Y452&gt;0,Y449/Y452,"")</f>
        <v>2.78971794782609</v>
      </c>
      <c r="Z455" s="31" t="n">
        <f aca="false">IF(Z452&gt;0,Z449/Z452,"")</f>
        <v>2.7141048</v>
      </c>
      <c r="AA455" s="31" t="n">
        <f aca="false">IF(AA452&gt;0,AA449/AA452,"")</f>
        <v>2.63849165217391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354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-12.1294714434783</v>
      </c>
      <c r="Q456" s="31" t="n">
        <f aca="false">IF(Q452&gt;0,(P454+Q449+IF(Source_Data!Q$6=Inputs!$B$12,Inputs!$B$7,0))/Q452,"")</f>
        <v>-12.9935726956522</v>
      </c>
      <c r="R456" s="31" t="n">
        <f aca="false">IF(R452&gt;0,(Q454+R449+IF(Source_Data!R$6=Inputs!$B$12,Inputs!$B$7,0))/R452,"")</f>
        <v>-18.706897426087</v>
      </c>
      <c r="S456" s="31" t="n">
        <f aca="false">IF(S452&gt;0,(R454+S449+IF(Source_Data!S$6=Inputs!$B$12,Inputs!$B$7,0))/S452,"")</f>
        <v>-23.7216562434783</v>
      </c>
      <c r="T456" s="31" t="n">
        <f aca="false">IF(T452&gt;0,(S454+T449+IF(Source_Data!T$6=Inputs!$B$12,Inputs!$B$7,0))/T452,"")</f>
        <v>-30.0049070434783</v>
      </c>
      <c r="U456" s="31" t="n">
        <f aca="false">IF(U452&gt;0,(T454+U449+IF(Source_Data!U$6=Inputs!$B$12,Inputs!$B$7,0))/U452,"")</f>
        <v>-33.6295878434783</v>
      </c>
      <c r="V456" s="31" t="n">
        <f aca="false">IF(V452&gt;0,(U454+V449+IF(Source_Data!V$6=Inputs!$B$12,Inputs!$B$7,0))/V452,"")</f>
        <v>-8.23522147826089</v>
      </c>
      <c r="W456" s="31" t="n">
        <f aca="false">IF(W452&gt;0,(V454+W449+IF(Source_Data!W$6=Inputs!$B$12,Inputs!$B$7,0))/W452,"")</f>
        <v>-4.18834485217393</v>
      </c>
      <c r="X456" s="31" t="n">
        <f aca="false">IF(X452&gt;0,(W454+X449+IF(Source_Data!X$6=Inputs!$B$12,Inputs!$B$7,0))/X452,"")</f>
        <v>-1.42779142608698</v>
      </c>
      <c r="Y456" s="31" t="n">
        <f aca="false">IF(Y452&gt;0,(X454+Y449+IF(Source_Data!Y$6=Inputs!$B$12,Inputs!$B$7,0))/Y452,"")</f>
        <v>0.361926521739105</v>
      </c>
      <c r="Z456" s="31" t="n">
        <f aca="false">IF(Z452&gt;0,(Y454+Z449+IF(Source_Data!Z$6=Inputs!$B$12,Inputs!$B$7,0))/Z452,"")</f>
        <v>2.0760313217391</v>
      </c>
      <c r="AA456" s="31" t="n">
        <f aca="false">IF(AA452&gt;0,(Z454+AA449+IF(Source_Data!AA$6=Inputs!$B$12,Inputs!$B$7,0))/AA452,"")</f>
        <v>3.71452297391302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355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171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356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357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358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359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360</v>
      </c>
      <c r="B465" s="41" t="n">
        <f aca="false">MIN(D454:BK454)</f>
        <v>-829.66720875</v>
      </c>
    </row>
    <row r="466" customFormat="false" ht="15" hidden="false" customHeight="false" outlineLevel="0" collapsed="false">
      <c r="A466" s="2" t="s">
        <v>361</v>
      </c>
      <c r="B466" s="43" t="n">
        <f aca="false">MIN(D455:BK455)</f>
        <v>-5.2832508</v>
      </c>
    </row>
    <row r="467" customFormat="false" ht="15" hidden="false" customHeight="false" outlineLevel="0" collapsed="false">
      <c r="A467" s="2" t="s">
        <v>362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363</v>
      </c>
      <c r="B468" s="43" t="n">
        <f aca="false">MIN(D456:BK456)</f>
        <v>-33.6295878434783</v>
      </c>
    </row>
    <row r="469" customFormat="false" ht="15" hidden="false" customHeight="false" outlineLevel="0" collapsed="false">
      <c r="A469" s="2" t="s">
        <v>364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380</v>
      </c>
    </row>
    <row r="2" customFormat="false" ht="15" hidden="false" customHeight="false" outlineLevel="0" collapsed="false">
      <c r="A2" s="6" t="s">
        <v>381</v>
      </c>
    </row>
    <row r="4" customFormat="false" ht="15" hidden="false" customHeight="false" outlineLevel="0" collapsed="false">
      <c r="A4" s="7" t="s">
        <v>188</v>
      </c>
      <c r="B4" s="7" t="s">
        <v>382</v>
      </c>
      <c r="C4" s="7" t="s">
        <v>190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2" t="s">
        <v>193</v>
      </c>
      <c r="D5" s="3" t="n">
        <f aca="false">Source_Data!D$6</f>
        <v>3</v>
      </c>
      <c r="E5" s="3" t="n">
        <f aca="false">Source_Data!E$6</f>
        <v>6</v>
      </c>
      <c r="F5" s="3" t="n">
        <f aca="false">Source_Data!F$6</f>
        <v>9</v>
      </c>
      <c r="G5" s="3" t="n">
        <f aca="false">Source_Data!G$6</f>
        <v>12</v>
      </c>
      <c r="H5" s="3" t="n">
        <f aca="false">Source_Data!H$6</f>
        <v>15</v>
      </c>
      <c r="I5" s="3" t="n">
        <f aca="false">Source_Data!I$6</f>
        <v>18</v>
      </c>
      <c r="J5" s="3" t="n">
        <f aca="false">Source_Data!J$6</f>
        <v>21</v>
      </c>
      <c r="K5" s="3" t="n">
        <f aca="false">Source_Data!K$6</f>
        <v>24</v>
      </c>
      <c r="L5" s="3" t="n">
        <f aca="false">Source_Data!L$6</f>
        <v>27</v>
      </c>
      <c r="M5" s="3" t="n">
        <f aca="false">Source_Data!M$6</f>
        <v>30</v>
      </c>
      <c r="N5" s="3" t="n">
        <f aca="false">Source_Data!N$6</f>
        <v>33</v>
      </c>
      <c r="O5" s="3" t="n">
        <f aca="false">Source_Data!O$6</f>
        <v>36</v>
      </c>
      <c r="P5" s="3" t="n">
        <f aca="false">Source_Data!P$6</f>
        <v>39</v>
      </c>
      <c r="Q5" s="3" t="n">
        <f aca="false">Source_Data!Q$6</f>
        <v>42</v>
      </c>
      <c r="R5" s="3" t="n">
        <f aca="false">Source_Data!R$6</f>
        <v>45</v>
      </c>
      <c r="S5" s="3" t="n">
        <f aca="false">Source_Data!S$6</f>
        <v>48</v>
      </c>
      <c r="T5" s="3" t="n">
        <f aca="false">Source_Data!T$6</f>
        <v>51</v>
      </c>
      <c r="U5" s="3" t="n">
        <f aca="false">Source_Data!U$6</f>
        <v>54</v>
      </c>
      <c r="V5" s="3" t="n">
        <f aca="false">Source_Data!V$6</f>
        <v>57</v>
      </c>
      <c r="W5" s="3" t="n">
        <f aca="false">Source_Data!W$6</f>
        <v>60</v>
      </c>
      <c r="X5" s="3" t="n">
        <f aca="false">Source_Data!X$6</f>
        <v>63</v>
      </c>
      <c r="Y5" s="3" t="n">
        <f aca="false">Source_Data!Y$6</f>
        <v>66</v>
      </c>
      <c r="Z5" s="3" t="n">
        <f aca="false">Source_Data!Z$6</f>
        <v>69</v>
      </c>
      <c r="AA5" s="3" t="n">
        <f aca="false">Source_Data!AA$6</f>
        <v>72</v>
      </c>
      <c r="AB5" s="3" t="n">
        <f aca="false">Source_Data!AB$6</f>
        <v>75</v>
      </c>
      <c r="AC5" s="3" t="n">
        <f aca="false">Source_Data!AC$6</f>
        <v>78</v>
      </c>
      <c r="AD5" s="3" t="n">
        <f aca="false">Source_Data!AD$6</f>
        <v>81</v>
      </c>
      <c r="AE5" s="3" t="n">
        <f aca="false">Source_Data!AE$6</f>
        <v>84</v>
      </c>
      <c r="AF5" s="3" t="n">
        <f aca="false">Source_Data!AF$6</f>
        <v>87</v>
      </c>
      <c r="AG5" s="3" t="n">
        <f aca="false">Source_Data!AG$6</f>
        <v>90</v>
      </c>
      <c r="AH5" s="3" t="n">
        <f aca="false">Source_Data!AH$6</f>
        <v>93</v>
      </c>
      <c r="AI5" s="3" t="n">
        <f aca="false">Source_Data!AI$6</f>
        <v>96</v>
      </c>
      <c r="AJ5" s="3" t="n">
        <f aca="false">Source_Data!AJ$6</f>
        <v>99</v>
      </c>
      <c r="AK5" s="3" t="n">
        <f aca="false">Source_Data!AK$6</f>
        <v>102</v>
      </c>
      <c r="AL5" s="3" t="n">
        <f aca="false">Source_Data!AL$6</f>
        <v>105</v>
      </c>
      <c r="AM5" s="3" t="n">
        <f aca="false">Source_Data!AM$6</f>
        <v>108</v>
      </c>
      <c r="AN5" s="3" t="n">
        <f aca="false">Source_Data!AN$6</f>
        <v>111</v>
      </c>
      <c r="AO5" s="3" t="n">
        <f aca="false">Source_Data!AO$6</f>
        <v>114</v>
      </c>
      <c r="AP5" s="3" t="n">
        <f aca="false">Source_Data!AP$6</f>
        <v>117</v>
      </c>
      <c r="AQ5" s="3" t="n">
        <f aca="false">Source_Data!AQ$6</f>
        <v>120</v>
      </c>
      <c r="AR5" s="3" t="n">
        <f aca="false">Source_Data!AR$6</f>
        <v>123</v>
      </c>
      <c r="AS5" s="3" t="n">
        <f aca="false">Source_Data!AS$6</f>
        <v>126</v>
      </c>
      <c r="AT5" s="3" t="n">
        <f aca="false">Source_Data!AT$6</f>
        <v>129</v>
      </c>
      <c r="AU5" s="3" t="n">
        <f aca="false">Source_Data!AU$6</f>
        <v>132</v>
      </c>
      <c r="AV5" s="3" t="n">
        <f aca="false">Source_Data!AV$6</f>
        <v>135</v>
      </c>
      <c r="AW5" s="3" t="n">
        <f aca="false">Source_Data!AW$6</f>
        <v>138</v>
      </c>
      <c r="AX5" s="3" t="n">
        <f aca="false">Source_Data!AX$6</f>
        <v>141</v>
      </c>
      <c r="AY5" s="3" t="n">
        <f aca="false">Source_Data!AY$6</f>
        <v>144</v>
      </c>
      <c r="AZ5" s="3" t="n">
        <f aca="false">Source_Data!AZ$6</f>
        <v>147</v>
      </c>
      <c r="BA5" s="3" t="n">
        <f aca="false">Source_Data!BA$6</f>
        <v>150</v>
      </c>
      <c r="BB5" s="3" t="n">
        <f aca="false">Source_Data!BB$6</f>
        <v>153</v>
      </c>
      <c r="BC5" s="3" t="n">
        <f aca="false">Source_Data!BC$6</f>
        <v>156</v>
      </c>
      <c r="BD5" s="3" t="n">
        <f aca="false">Source_Data!BD$6</f>
        <v>159</v>
      </c>
      <c r="BE5" s="3" t="n">
        <f aca="false">Source_Data!BE$6</f>
        <v>162</v>
      </c>
      <c r="BF5" s="3" t="n">
        <f aca="false">Source_Data!BF$6</f>
        <v>165</v>
      </c>
      <c r="BG5" s="3" t="n">
        <f aca="false">Source_Data!BG$6</f>
        <v>168</v>
      </c>
      <c r="BH5" s="3" t="n">
        <f aca="false">Source_Data!BH$6</f>
        <v>171</v>
      </c>
      <c r="BI5" s="3" t="n">
        <f aca="false">Source_Data!BI$6</f>
        <v>174</v>
      </c>
      <c r="BJ5" s="3" t="n">
        <f aca="false">Source_Data!BJ$6</f>
        <v>177</v>
      </c>
      <c r="BK5" s="3" t="n">
        <f aca="false">Source_Data!BK$6</f>
        <v>180</v>
      </c>
    </row>
    <row r="6" customFormat="false" ht="15" hidden="false" customHeight="false" outlineLevel="0" collapsed="false">
      <c r="A6" s="3" t="s">
        <v>383</v>
      </c>
      <c r="D6" s="33" t="n">
        <f aca="false">Project_CF!D14</f>
        <v>0</v>
      </c>
      <c r="E6" s="33" t="n">
        <f aca="false">Project_CF!E14</f>
        <v>0</v>
      </c>
      <c r="F6" s="33" t="n">
        <f aca="false">Project_CF!F14</f>
        <v>0</v>
      </c>
      <c r="G6" s="33" t="n">
        <f aca="false">Project_CF!G14</f>
        <v>-85</v>
      </c>
      <c r="H6" s="33" t="n">
        <f aca="false">Project_CF!H14</f>
        <v>-89.38435</v>
      </c>
      <c r="I6" s="33" t="n">
        <f aca="false">Project_CF!I14</f>
        <v>-75.65305</v>
      </c>
      <c r="J6" s="33" t="n">
        <f aca="false">Project_CF!J14</f>
        <v>-62.892225</v>
      </c>
      <c r="K6" s="33" t="n">
        <f aca="false">Project_CF!K14</f>
        <v>-46.733835</v>
      </c>
      <c r="L6" s="33" t="n">
        <f aca="false">Project_CF!L14</f>
        <v>-85.13881</v>
      </c>
      <c r="M6" s="33" t="n">
        <f aca="false">Project_CF!M14</f>
        <v>-102.0180625</v>
      </c>
      <c r="N6" s="33" t="n">
        <f aca="false">Project_CF!N14</f>
        <v>-100.9419475</v>
      </c>
      <c r="O6" s="33" t="n">
        <f aca="false">Project_CF!O14</f>
        <v>-77.8959475</v>
      </c>
      <c r="P6" s="33" t="n">
        <f aca="false">Project_CF!P14</f>
        <v>-32.89763125</v>
      </c>
      <c r="Q6" s="33" t="n">
        <f aca="false">Project_CF!Q14</f>
        <v>22.28235125</v>
      </c>
      <c r="R6" s="33" t="n">
        <f aca="false">Project_CF!R14</f>
        <v>503.57835875</v>
      </c>
      <c r="S6" s="33" t="n">
        <f aca="false">Project_CF!S14</f>
        <v>473.42409125</v>
      </c>
      <c r="T6" s="33" t="n">
        <f aca="false">Project_CF!T14</f>
        <v>344.19036375</v>
      </c>
      <c r="U6" s="33" t="n">
        <f aca="false">Project_CF!U14</f>
        <v>245.74703625</v>
      </c>
      <c r="V6" s="33" t="n">
        <f aca="false">Project_CF!V14</f>
        <v>282.54702375</v>
      </c>
      <c r="W6" s="33" t="n">
        <f aca="false">Project_CF!W14</f>
        <v>317.53544625</v>
      </c>
      <c r="X6" s="33" t="n">
        <f aca="false">Project_CF!X14</f>
        <v>372.314908125</v>
      </c>
      <c r="Y6" s="33" t="n">
        <f aca="false">Project_CF!Y14</f>
        <v>419.968321875</v>
      </c>
      <c r="Z6" s="33" t="n">
        <f aca="false">Project_CF!Z14</f>
        <v>458.806198125</v>
      </c>
      <c r="AA6" s="33" t="n">
        <f aca="false">Project_CF!AA14</f>
        <v>487.352446875</v>
      </c>
      <c r="AB6" s="33" t="n">
        <f aca="false">Project_CF!AB14</f>
        <v>538.398695625</v>
      </c>
      <c r="AC6" s="33" t="n">
        <f aca="false">Project_CF!AC14</f>
        <v>589.444944375</v>
      </c>
      <c r="AD6" s="33" t="n">
        <f aca="false">Project_CF!AD14</f>
        <v>640.491193125</v>
      </c>
      <c r="AE6" s="33" t="n">
        <f aca="false">Project_CF!AE14</f>
        <v>691.537441875</v>
      </c>
      <c r="AF6" s="33" t="n">
        <f aca="false">Project_CF!AF14</f>
        <v>494.2772134375</v>
      </c>
      <c r="AG6" s="33" t="n">
        <f aca="false">Project_CF!AG14</f>
        <v>514.98650453125</v>
      </c>
      <c r="AH6" s="33" t="n">
        <f aca="false">Project_CF!AH14</f>
        <v>533.52569171875</v>
      </c>
      <c r="AI6" s="33" t="n">
        <f aca="false">Project_CF!AI14</f>
        <v>549.894775</v>
      </c>
      <c r="AJ6" s="33" t="n">
        <f aca="false">Project_CF!AJ14</f>
        <v>562.76653140625</v>
      </c>
      <c r="AK6" s="33" t="n">
        <f aca="false">Project_CF!AK14</f>
        <v>573.6128575</v>
      </c>
      <c r="AL6" s="33" t="n">
        <f aca="false">Project_CF!AL14</f>
        <v>583.064865625</v>
      </c>
      <c r="AM6" s="33" t="n">
        <f aca="false">Project_CF!AM14</f>
        <v>587.140886875</v>
      </c>
      <c r="AN6" s="33" t="n">
        <f aca="false">Project_CF!AN14</f>
        <v>591.216908125</v>
      </c>
      <c r="AO6" s="33" t="n">
        <f aca="false">Project_CF!AO14</f>
        <v>595.292929375</v>
      </c>
      <c r="AP6" s="33" t="n">
        <f aca="false">Project_CF!AP14</f>
        <v>595.292929375</v>
      </c>
      <c r="AQ6" s="33" t="n">
        <f aca="false">Project_CF!AQ14</f>
        <v>595.292929375</v>
      </c>
      <c r="AR6" s="33" t="n">
        <f aca="false">Project_CF!AR14</f>
        <v>595.292929375</v>
      </c>
      <c r="AS6" s="33" t="n">
        <f aca="false">Project_CF!AS14</f>
        <v>595.292929375</v>
      </c>
      <c r="AT6" s="33" t="n">
        <f aca="false">Project_CF!AT14</f>
        <v>595.292929375</v>
      </c>
      <c r="AU6" s="33" t="n">
        <f aca="false">Project_CF!AU14</f>
        <v>595.292929375</v>
      </c>
      <c r="AV6" s="33" t="n">
        <f aca="false">Project_CF!AV14</f>
        <v>595.292929375</v>
      </c>
      <c r="AW6" s="33" t="n">
        <f aca="false">Project_CF!AW14</f>
        <v>595.292929375</v>
      </c>
      <c r="AX6" s="33" t="n">
        <f aca="false">Project_CF!AX14</f>
        <v>595.292929375</v>
      </c>
      <c r="AY6" s="33" t="n">
        <f aca="false">Project_CF!AY14</f>
        <v>595.292929375</v>
      </c>
      <c r="AZ6" s="33" t="n">
        <f aca="false">Project_CF!AZ14</f>
        <v>595.292929375</v>
      </c>
      <c r="BA6" s="33" t="n">
        <f aca="false">Project_CF!BA14</f>
        <v>595.292929375</v>
      </c>
      <c r="BB6" s="33" t="n">
        <f aca="false">Project_CF!BB14</f>
        <v>595.292929375</v>
      </c>
      <c r="BC6" s="33" t="n">
        <f aca="false">Project_CF!BC14</f>
        <v>595.292929375</v>
      </c>
      <c r="BD6" s="33" t="n">
        <f aca="false">Project_CF!BD14</f>
        <v>595.292929375</v>
      </c>
      <c r="BE6" s="33" t="n">
        <f aca="false">Project_CF!BE14</f>
        <v>595.292929375</v>
      </c>
      <c r="BF6" s="33" t="n">
        <f aca="false">Project_CF!BF14</f>
        <v>595.292929375</v>
      </c>
      <c r="BG6" s="33" t="n">
        <f aca="false">Project_CF!BG14</f>
        <v>595.292929375</v>
      </c>
      <c r="BH6" s="33" t="n">
        <f aca="false">Project_CF!BH14</f>
        <v>595.292929375</v>
      </c>
      <c r="BI6" s="33" t="n">
        <f aca="false">Project_CF!BI14</f>
        <v>595.292929375</v>
      </c>
      <c r="BJ6" s="33" t="n">
        <f aca="false">Project_CF!BJ14</f>
        <v>595.292929375</v>
      </c>
      <c r="BK6" s="33" t="n">
        <f aca="false">Project_CF!BK14</f>
        <v>595.292929375</v>
      </c>
    </row>
    <row r="7" customFormat="false" ht="15" hidden="false" customHeight="false" outlineLevel="0" collapsed="false">
      <c r="A7" s="3" t="s">
        <v>384</v>
      </c>
      <c r="B7" s="6" t="s">
        <v>385</v>
      </c>
      <c r="C7" s="38" t="n">
        <f aca="false">SUM(D7:BK7)</f>
        <v>375.4475275</v>
      </c>
      <c r="D7" s="29" t="n">
        <v>-91.25</v>
      </c>
      <c r="E7" s="29" t="n">
        <v>-11.25</v>
      </c>
      <c r="F7" s="29" t="n">
        <v>3.8892375</v>
      </c>
      <c r="G7" s="29" t="n">
        <v>19.028475</v>
      </c>
      <c r="H7" s="29" t="n">
        <v>1.01200625</v>
      </c>
      <c r="I7" s="29" t="n">
        <v>9.88553750000001</v>
      </c>
      <c r="J7" s="29" t="n">
        <v>-18.24569</v>
      </c>
      <c r="K7" s="29" t="n">
        <v>-1.49783062499999</v>
      </c>
      <c r="L7" s="29" t="n">
        <v>6.69758843750002</v>
      </c>
      <c r="M7" s="29" t="n">
        <v>421.6225775</v>
      </c>
      <c r="N7" s="29" t="n">
        <v>138.76674</v>
      </c>
      <c r="O7" s="29" t="n">
        <v>129.72299</v>
      </c>
      <c r="P7" s="29" t="n">
        <v>-93.38729</v>
      </c>
      <c r="Q7" s="29" t="n">
        <v>-120.95083125</v>
      </c>
      <c r="R7" s="29" t="n">
        <v>-171.55083125</v>
      </c>
      <c r="S7" s="29" t="n">
        <v>-118.169164375</v>
      </c>
      <c r="T7" s="29" t="n">
        <v>16.2266396875</v>
      </c>
      <c r="U7" s="29" t="n">
        <v>14.7127159375</v>
      </c>
      <c r="V7" s="29" t="n">
        <v>8.7239446875</v>
      </c>
      <c r="W7" s="29" t="n">
        <v>4.3829446875</v>
      </c>
      <c r="X7" s="29" t="n">
        <v>26.8829446875</v>
      </c>
      <c r="Y7" s="29" t="n">
        <v>19.6027259375</v>
      </c>
      <c r="Z7" s="29" t="n">
        <v>19.6027259375</v>
      </c>
      <c r="AA7" s="29" t="n">
        <v>19.6027259375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-82.6690391015625</v>
      </c>
      <c r="AG7" s="29" t="n">
        <v>14.112658828125</v>
      </c>
      <c r="AH7" s="29" t="n">
        <v>14.112658828125</v>
      </c>
      <c r="AI7" s="29" t="n">
        <v>14.112658828125</v>
      </c>
      <c r="AJ7" s="29" t="n">
        <v>14.112658828125</v>
      </c>
      <c r="AK7" s="29" t="n">
        <v>12.8841219140625</v>
      </c>
      <c r="AL7" s="29" t="n">
        <v>12.8841219140625</v>
      </c>
      <c r="AM7" s="29" t="n">
        <v>10.5409993359375</v>
      </c>
      <c r="AN7" s="29" t="n">
        <v>5.41471921875001</v>
      </c>
      <c r="AO7" s="29" t="n">
        <v>2.00839078125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386</v>
      </c>
      <c r="D8" s="33" t="n">
        <f aca="false">D7</f>
        <v>-91.25</v>
      </c>
      <c r="E8" s="33" t="n">
        <f aca="false">D8+E7</f>
        <v>-102.5</v>
      </c>
      <c r="F8" s="33" t="n">
        <f aca="false">E8+F7</f>
        <v>-98.6107625</v>
      </c>
      <c r="G8" s="33" t="n">
        <f aca="false">F8+G7</f>
        <v>-79.5822875</v>
      </c>
      <c r="H8" s="33" t="n">
        <f aca="false">G8+H7</f>
        <v>-78.57028125</v>
      </c>
      <c r="I8" s="33" t="n">
        <f aca="false">H8+I7</f>
        <v>-68.68474375</v>
      </c>
      <c r="J8" s="33" t="n">
        <f aca="false">I8+J7</f>
        <v>-86.93043375</v>
      </c>
      <c r="K8" s="33" t="n">
        <f aca="false">J8+K7</f>
        <v>-88.428264375</v>
      </c>
      <c r="L8" s="33" t="n">
        <f aca="false">K8+L7</f>
        <v>-81.7306759375</v>
      </c>
      <c r="M8" s="33" t="n">
        <f aca="false">L8+M7</f>
        <v>339.8919015625</v>
      </c>
      <c r="N8" s="33" t="n">
        <f aca="false">M8+N7</f>
        <v>478.6586415625</v>
      </c>
      <c r="O8" s="33" t="n">
        <f aca="false">N8+O7</f>
        <v>608.3816315625</v>
      </c>
      <c r="P8" s="33" t="n">
        <f aca="false">O8+P7</f>
        <v>514.9943415625</v>
      </c>
      <c r="Q8" s="33" t="n">
        <f aca="false">P8+Q7</f>
        <v>394.0435103125</v>
      </c>
      <c r="R8" s="33" t="n">
        <f aca="false">Q8+R7</f>
        <v>222.4926790625</v>
      </c>
      <c r="S8" s="33" t="n">
        <f aca="false">R8+S7</f>
        <v>104.3235146875</v>
      </c>
      <c r="T8" s="33" t="n">
        <f aca="false">S8+T7</f>
        <v>120.550154375</v>
      </c>
      <c r="U8" s="33" t="n">
        <f aca="false">T8+U7</f>
        <v>135.2628703125</v>
      </c>
      <c r="V8" s="33" t="n">
        <f aca="false">U8+V7</f>
        <v>143.986815</v>
      </c>
      <c r="W8" s="33" t="n">
        <f aca="false">V8+W7</f>
        <v>148.3697596875</v>
      </c>
      <c r="X8" s="33" t="n">
        <f aca="false">W8+X7</f>
        <v>175.252704375</v>
      </c>
      <c r="Y8" s="33" t="n">
        <f aca="false">X8+Y7</f>
        <v>194.8554303125</v>
      </c>
      <c r="Z8" s="33" t="n">
        <f aca="false">Y8+Z7</f>
        <v>214.45815625</v>
      </c>
      <c r="AA8" s="33" t="n">
        <f aca="false">Z8+AA7</f>
        <v>234.0608821875</v>
      </c>
      <c r="AB8" s="33" t="n">
        <f aca="false">AA8+AB7</f>
        <v>270.375608125</v>
      </c>
      <c r="AC8" s="33" t="n">
        <f aca="false">AB8+AC7</f>
        <v>303.414235625</v>
      </c>
      <c r="AD8" s="33" t="n">
        <f aca="false">AC8+AD7</f>
        <v>332.844406875</v>
      </c>
      <c r="AE8" s="33" t="n">
        <f aca="false">AD8+AE7</f>
        <v>357.933578125</v>
      </c>
      <c r="AF8" s="33" t="n">
        <f aca="false">AE8+AF7</f>
        <v>275.264539023438</v>
      </c>
      <c r="AG8" s="33" t="n">
        <f aca="false">AF8+AG7</f>
        <v>289.377197851563</v>
      </c>
      <c r="AH8" s="33" t="n">
        <f aca="false">AG8+AH7</f>
        <v>303.489856679688</v>
      </c>
      <c r="AI8" s="33" t="n">
        <f aca="false">AH8+AI7</f>
        <v>317.602515507813</v>
      </c>
      <c r="AJ8" s="33" t="n">
        <f aca="false">AI8+AJ7</f>
        <v>331.715174335938</v>
      </c>
      <c r="AK8" s="33" t="n">
        <f aca="false">AJ8+AK7</f>
        <v>344.59929625</v>
      </c>
      <c r="AL8" s="33" t="n">
        <f aca="false">AK8+AL7</f>
        <v>357.483418164063</v>
      </c>
      <c r="AM8" s="33" t="n">
        <f aca="false">AL8+AM7</f>
        <v>368.0244175</v>
      </c>
      <c r="AN8" s="33" t="n">
        <f aca="false">AM8+AN7</f>
        <v>373.43913671875</v>
      </c>
      <c r="AO8" s="33" t="n">
        <f aca="false">AN8+AO7</f>
        <v>375.4475275</v>
      </c>
      <c r="AP8" s="33" t="n">
        <f aca="false">AO8+AP7</f>
        <v>375.4475275</v>
      </c>
      <c r="AQ8" s="33" t="n">
        <f aca="false">AP8+AQ7</f>
        <v>375.4475275</v>
      </c>
      <c r="AR8" s="33" t="n">
        <f aca="false">AQ8+AR7</f>
        <v>375.4475275</v>
      </c>
      <c r="AS8" s="33" t="n">
        <f aca="false">AR8+AS7</f>
        <v>375.4475275</v>
      </c>
      <c r="AT8" s="33" t="n">
        <f aca="false">AS8+AT7</f>
        <v>375.4475275</v>
      </c>
      <c r="AU8" s="33" t="n">
        <f aca="false">AT8+AU7</f>
        <v>375.4475275</v>
      </c>
      <c r="AV8" s="33" t="n">
        <f aca="false">AU8+AV7</f>
        <v>375.4475275</v>
      </c>
      <c r="AW8" s="33" t="n">
        <f aca="false">AV8+AW7</f>
        <v>375.4475275</v>
      </c>
      <c r="AX8" s="33" t="n">
        <f aca="false">AW8+AX7</f>
        <v>375.4475275</v>
      </c>
      <c r="AY8" s="33" t="n">
        <f aca="false">AX8+AY7</f>
        <v>375.4475275</v>
      </c>
      <c r="AZ8" s="33" t="n">
        <f aca="false">AY8+AZ7</f>
        <v>375.4475275</v>
      </c>
      <c r="BA8" s="33" t="n">
        <f aca="false">AZ8+BA7</f>
        <v>375.4475275</v>
      </c>
      <c r="BB8" s="33" t="n">
        <f aca="false">BA8+BB7</f>
        <v>375.4475275</v>
      </c>
      <c r="BC8" s="33" t="n">
        <f aca="false">BB8+BC7</f>
        <v>375.4475275</v>
      </c>
      <c r="BD8" s="33" t="n">
        <f aca="false">BC8+BD7</f>
        <v>375.4475275</v>
      </c>
      <c r="BE8" s="33" t="n">
        <f aca="false">BD8+BE7</f>
        <v>375.4475275</v>
      </c>
      <c r="BF8" s="33" t="n">
        <f aca="false">BE8+BF7</f>
        <v>375.4475275</v>
      </c>
      <c r="BG8" s="33" t="n">
        <f aca="false">BF8+BG7</f>
        <v>375.4475275</v>
      </c>
      <c r="BH8" s="33" t="n">
        <f aca="false">BG8+BH7</f>
        <v>375.4475275</v>
      </c>
      <c r="BI8" s="33" t="n">
        <f aca="false">BH8+BI7</f>
        <v>375.4475275</v>
      </c>
      <c r="BJ8" s="33" t="n">
        <f aca="false">BI8+BJ7</f>
        <v>375.4475275</v>
      </c>
      <c r="BK8" s="33" t="n">
        <f aca="false">BJ8+BK7</f>
        <v>375.4475275</v>
      </c>
    </row>
    <row r="9" customFormat="false" ht="15" hidden="false" customHeight="false" outlineLevel="0" collapsed="false">
      <c r="A9" s="2" t="s">
        <v>387</v>
      </c>
      <c r="D9" s="33" t="n">
        <f aca="false">D6+D8</f>
        <v>-91.25</v>
      </c>
      <c r="E9" s="33" t="n">
        <f aca="false">E6+E8</f>
        <v>-102.5</v>
      </c>
      <c r="F9" s="33" t="n">
        <f aca="false">F6+F8</f>
        <v>-98.6107625</v>
      </c>
      <c r="G9" s="33" t="n">
        <f aca="false">G6+G8</f>
        <v>-164.5822875</v>
      </c>
      <c r="H9" s="33" t="n">
        <f aca="false">H6+H8</f>
        <v>-167.95463125</v>
      </c>
      <c r="I9" s="33" t="n">
        <f aca="false">I6+I8</f>
        <v>-144.33779375</v>
      </c>
      <c r="J9" s="33" t="n">
        <f aca="false">J6+J8</f>
        <v>-149.82265875</v>
      </c>
      <c r="K9" s="33" t="n">
        <f aca="false">K6+K8</f>
        <v>-135.162099375</v>
      </c>
      <c r="L9" s="33" t="n">
        <f aca="false">L6+L8</f>
        <v>-166.8694859375</v>
      </c>
      <c r="M9" s="33" t="n">
        <f aca="false">M6+M8</f>
        <v>237.8738390625</v>
      </c>
      <c r="N9" s="33" t="n">
        <f aca="false">N6+N8</f>
        <v>377.7166940625</v>
      </c>
      <c r="O9" s="33" t="n">
        <f aca="false">O6+O8</f>
        <v>530.4856840625</v>
      </c>
      <c r="P9" s="33" t="n">
        <f aca="false">P6+P8</f>
        <v>482.0967103125</v>
      </c>
      <c r="Q9" s="33" t="n">
        <f aca="false">Q6+Q8</f>
        <v>416.3258615625</v>
      </c>
      <c r="R9" s="33" t="n">
        <f aca="false">R6+R8</f>
        <v>726.0710378125</v>
      </c>
      <c r="S9" s="33" t="n">
        <f aca="false">S6+S8</f>
        <v>577.7476059375</v>
      </c>
      <c r="T9" s="33" t="n">
        <f aca="false">T6+T8</f>
        <v>464.740518125</v>
      </c>
      <c r="U9" s="33" t="n">
        <f aca="false">U6+U8</f>
        <v>381.0099065625</v>
      </c>
      <c r="V9" s="33" t="n">
        <f aca="false">V6+V8</f>
        <v>426.53383875</v>
      </c>
      <c r="W9" s="33" t="n">
        <f aca="false">W6+W8</f>
        <v>465.9052059375</v>
      </c>
      <c r="X9" s="33" t="n">
        <f aca="false">X6+X8</f>
        <v>547.5676125</v>
      </c>
      <c r="Y9" s="33" t="n">
        <f aca="false">Y6+Y8</f>
        <v>614.8237521875</v>
      </c>
      <c r="Z9" s="33" t="n">
        <f aca="false">Z6+Z8</f>
        <v>673.264354375</v>
      </c>
      <c r="AA9" s="33" t="n">
        <f aca="false">AA6+AA8</f>
        <v>721.4133290625</v>
      </c>
      <c r="AB9" s="33" t="n">
        <f aca="false">AB6+AB8</f>
        <v>808.77430375</v>
      </c>
      <c r="AC9" s="33" t="n">
        <f aca="false">AC6+AC8</f>
        <v>892.85918</v>
      </c>
      <c r="AD9" s="33" t="n">
        <f aca="false">AD6+AD8</f>
        <v>973.3356</v>
      </c>
      <c r="AE9" s="33" t="n">
        <f aca="false">AE6+AE8</f>
        <v>1049.47102</v>
      </c>
      <c r="AF9" s="33" t="n">
        <f aca="false">AF6+AF8</f>
        <v>769.541752460938</v>
      </c>
      <c r="AG9" s="33" t="n">
        <f aca="false">AG6+AG8</f>
        <v>804.363702382812</v>
      </c>
      <c r="AH9" s="33" t="n">
        <f aca="false">AH6+AH8</f>
        <v>837.015548398437</v>
      </c>
      <c r="AI9" s="33" t="n">
        <f aca="false">AI6+AI8</f>
        <v>867.497290507812</v>
      </c>
      <c r="AJ9" s="33" t="n">
        <f aca="false">AJ6+AJ8</f>
        <v>894.481705742187</v>
      </c>
      <c r="AK9" s="33" t="n">
        <f aca="false">AK6+AK8</f>
        <v>918.21215375</v>
      </c>
      <c r="AL9" s="33" t="n">
        <f aca="false">AL6+AL8</f>
        <v>940.548283789063</v>
      </c>
      <c r="AM9" s="33" t="n">
        <f aca="false">AM6+AM8</f>
        <v>955.165304375</v>
      </c>
      <c r="AN9" s="33" t="n">
        <f aca="false">AN6+AN8</f>
        <v>964.65604484375</v>
      </c>
      <c r="AO9" s="33" t="n">
        <f aca="false">AO6+AO8</f>
        <v>970.740456875</v>
      </c>
      <c r="AP9" s="33" t="n">
        <f aca="false">AP6+AP8</f>
        <v>970.740456875</v>
      </c>
      <c r="AQ9" s="33" t="n">
        <f aca="false">AQ6+AQ8</f>
        <v>970.740456875</v>
      </c>
      <c r="AR9" s="33" t="n">
        <f aca="false">AR6+AR8</f>
        <v>970.740456875</v>
      </c>
      <c r="AS9" s="33" t="n">
        <f aca="false">AS6+AS8</f>
        <v>970.740456875</v>
      </c>
      <c r="AT9" s="33" t="n">
        <f aca="false">AT6+AT8</f>
        <v>970.740456875</v>
      </c>
      <c r="AU9" s="33" t="n">
        <f aca="false">AU6+AU8</f>
        <v>970.740456875</v>
      </c>
      <c r="AV9" s="33" t="n">
        <f aca="false">AV6+AV8</f>
        <v>970.740456875</v>
      </c>
      <c r="AW9" s="33" t="n">
        <f aca="false">AW6+AW8</f>
        <v>970.740456875</v>
      </c>
      <c r="AX9" s="33" t="n">
        <f aca="false">AX6+AX8</f>
        <v>970.740456875</v>
      </c>
      <c r="AY9" s="33" t="n">
        <f aca="false">AY6+AY8</f>
        <v>970.740456875</v>
      </c>
      <c r="AZ9" s="33" t="n">
        <f aca="false">AZ6+AZ8</f>
        <v>970.740456875</v>
      </c>
      <c r="BA9" s="33" t="n">
        <f aca="false">BA6+BA8</f>
        <v>970.740456875</v>
      </c>
      <c r="BB9" s="33" t="n">
        <f aca="false">BB6+BB8</f>
        <v>970.740456875</v>
      </c>
      <c r="BC9" s="33" t="n">
        <f aca="false">BC6+BC8</f>
        <v>970.740456875</v>
      </c>
      <c r="BD9" s="33" t="n">
        <f aca="false">BD6+BD8</f>
        <v>970.740456875</v>
      </c>
      <c r="BE9" s="33" t="n">
        <f aca="false">BE6+BE8</f>
        <v>970.740456875</v>
      </c>
      <c r="BF9" s="33" t="n">
        <f aca="false">BF6+BF8</f>
        <v>970.740456875</v>
      </c>
      <c r="BG9" s="33" t="n">
        <f aca="false">BG6+BG8</f>
        <v>970.740456875</v>
      </c>
      <c r="BH9" s="33" t="n">
        <f aca="false">BH6+BH8</f>
        <v>970.740456875</v>
      </c>
      <c r="BI9" s="33" t="n">
        <f aca="false">BI6+BI8</f>
        <v>970.740456875</v>
      </c>
      <c r="BJ9" s="33" t="n">
        <f aca="false">BJ6+BJ8</f>
        <v>970.740456875</v>
      </c>
      <c r="BK9" s="33" t="n">
        <f aca="false">BK6+BK8</f>
        <v>970.740456875</v>
      </c>
    </row>
    <row r="10" customFormat="false" ht="15" hidden="false" customHeight="false" outlineLevel="0" collapsed="false">
      <c r="A10" s="3" t="s">
        <v>388</v>
      </c>
      <c r="D10" s="3" t="n">
        <f aca="false">IF(AND(D9&gt;0,D5&gt;$B$12),1,0)</f>
        <v>0</v>
      </c>
      <c r="E10" s="3" t="n">
        <f aca="false">IF(AND(E9&gt;0,E5&gt;$B$12),1,0)</f>
        <v>0</v>
      </c>
      <c r="F10" s="3" t="n">
        <f aca="false">IF(AND(F9&gt;0,F5&gt;$B$12),1,0)</f>
        <v>0</v>
      </c>
      <c r="G10" s="3" t="n">
        <f aca="false">IF(AND(G9&gt;0,G5&gt;$B$12),1,0)</f>
        <v>0</v>
      </c>
      <c r="H10" s="3" t="n">
        <f aca="false">IF(AND(H9&gt;0,H5&gt;$B$12),1,0)</f>
        <v>0</v>
      </c>
      <c r="I10" s="3" t="n">
        <f aca="false">IF(AND(I9&gt;0,I5&gt;$B$12),1,0)</f>
        <v>0</v>
      </c>
      <c r="J10" s="3" t="n">
        <f aca="false">IF(AND(J9&gt;0,J5&gt;$B$12),1,0)</f>
        <v>0</v>
      </c>
      <c r="K10" s="3" t="n">
        <f aca="false">IF(AND(K9&gt;0,K5&gt;$B$12),1,0)</f>
        <v>0</v>
      </c>
      <c r="L10" s="3" t="n">
        <f aca="false">IF(AND(L9&gt;0,L5&gt;$B$12),1,0)</f>
        <v>0</v>
      </c>
      <c r="M10" s="3" t="n">
        <f aca="false">IF(AND(M9&gt;0,M5&gt;$B$12),1,0)</f>
        <v>1</v>
      </c>
      <c r="N10" s="3" t="n">
        <f aca="false">IF(AND(N9&gt;0,N5&gt;$B$12),1,0)</f>
        <v>1</v>
      </c>
      <c r="O10" s="3" t="n">
        <f aca="false">IF(AND(O9&gt;0,O5&gt;$B$12),1,0)</f>
        <v>1</v>
      </c>
      <c r="P10" s="3" t="n">
        <f aca="false">IF(AND(P9&gt;0,P5&gt;$B$12),1,0)</f>
        <v>1</v>
      </c>
      <c r="Q10" s="3" t="n">
        <f aca="false">IF(AND(Q9&gt;0,Q5&gt;$B$12),1,0)</f>
        <v>1</v>
      </c>
      <c r="R10" s="3" t="n">
        <f aca="false">IF(AND(R9&gt;0,R5&gt;$B$12),1,0)</f>
        <v>1</v>
      </c>
      <c r="S10" s="3" t="n">
        <f aca="false">IF(AND(S9&gt;0,S5&gt;$B$12),1,0)</f>
        <v>1</v>
      </c>
      <c r="T10" s="3" t="n">
        <f aca="false">IF(AND(T9&gt;0,T5&gt;$B$12),1,0)</f>
        <v>1</v>
      </c>
      <c r="U10" s="3" t="n">
        <f aca="false">IF(AND(U9&gt;0,U5&gt;$B$12),1,0)</f>
        <v>1</v>
      </c>
      <c r="V10" s="3" t="n">
        <f aca="false">IF(AND(V9&gt;0,V5&gt;$B$12),1,0)</f>
        <v>1</v>
      </c>
      <c r="W10" s="3" t="n">
        <f aca="false">IF(AND(W9&gt;0,W5&gt;$B$12),1,0)</f>
        <v>1</v>
      </c>
      <c r="X10" s="3" t="n">
        <f aca="false">IF(AND(X9&gt;0,X5&gt;$B$12),1,0)</f>
        <v>1</v>
      </c>
      <c r="Y10" s="3" t="n">
        <f aca="false">IF(AND(Y9&gt;0,Y5&gt;$B$12),1,0)</f>
        <v>1</v>
      </c>
      <c r="Z10" s="3" t="n">
        <f aca="false">IF(AND(Z9&gt;0,Z5&gt;$B$12),1,0)</f>
        <v>1</v>
      </c>
      <c r="AA10" s="3" t="n">
        <f aca="false">IF(AND(AA9&gt;0,AA5&gt;$B$12),1,0)</f>
        <v>1</v>
      </c>
      <c r="AB10" s="3" t="n">
        <f aca="false">IF(AND(AB9&gt;0,AB5&gt;$B$12),1,0)</f>
        <v>1</v>
      </c>
      <c r="AC10" s="3" t="n">
        <f aca="false">IF(AND(AC9&gt;0,AC5&gt;$B$12),1,0)</f>
        <v>1</v>
      </c>
      <c r="AD10" s="3" t="n">
        <f aca="false">IF(AND(AD9&gt;0,AD5&gt;$B$12),1,0)</f>
        <v>1</v>
      </c>
      <c r="AE10" s="3" t="n">
        <f aca="false">IF(AND(AE9&gt;0,AE5&gt;$B$12),1,0)</f>
        <v>1</v>
      </c>
      <c r="AF10" s="3" t="n">
        <f aca="false">IF(AND(AF9&gt;0,AF5&gt;$B$12),1,0)</f>
        <v>1</v>
      </c>
      <c r="AG10" s="3" t="n">
        <f aca="false">IF(AND(AG9&gt;0,AG5&gt;$B$12),1,0)</f>
        <v>1</v>
      </c>
      <c r="AH10" s="3" t="n">
        <f aca="false">IF(AND(AH9&gt;0,AH5&gt;$B$12),1,0)</f>
        <v>1</v>
      </c>
      <c r="AI10" s="3" t="n">
        <f aca="false">IF(AND(AI9&gt;0,AI5&gt;$B$12),1,0)</f>
        <v>1</v>
      </c>
      <c r="AJ10" s="3" t="n">
        <f aca="false">IF(AND(AJ9&gt;0,AJ5&gt;$B$12),1,0)</f>
        <v>1</v>
      </c>
      <c r="AK10" s="3" t="n">
        <f aca="false">IF(AND(AK9&gt;0,AK5&gt;$B$12),1,0)</f>
        <v>1</v>
      </c>
      <c r="AL10" s="3" t="n">
        <f aca="false">IF(AND(AL9&gt;0,AL5&gt;$B$12),1,0)</f>
        <v>1</v>
      </c>
      <c r="AM10" s="3" t="n">
        <f aca="false">IF(AND(AM9&gt;0,AM5&gt;$B$12),1,0)</f>
        <v>1</v>
      </c>
      <c r="AN10" s="3" t="n">
        <f aca="false">IF(AND(AN9&gt;0,AN5&gt;$B$12),1,0)</f>
        <v>1</v>
      </c>
      <c r="AO10" s="3" t="n">
        <f aca="false">IF(AND(AO9&gt;0,AO5&gt;$B$12),1,0)</f>
        <v>1</v>
      </c>
      <c r="AP10" s="3" t="n">
        <f aca="false">IF(AND(AP9&gt;0,AP5&gt;$B$12),1,0)</f>
        <v>1</v>
      </c>
      <c r="AQ10" s="3" t="n">
        <f aca="false">IF(AND(AQ9&gt;0,AQ5&gt;$B$12),1,0)</f>
        <v>1</v>
      </c>
      <c r="AR10" s="3" t="n">
        <f aca="false">IF(AND(AR9&gt;0,AR5&gt;$B$12),1,0)</f>
        <v>1</v>
      </c>
      <c r="AS10" s="3" t="n">
        <f aca="false">IF(AND(AS9&gt;0,AS5&gt;$B$12),1,0)</f>
        <v>1</v>
      </c>
      <c r="AT10" s="3" t="n">
        <f aca="false">IF(AND(AT9&gt;0,AT5&gt;$B$12),1,0)</f>
        <v>1</v>
      </c>
      <c r="AU10" s="3" t="n">
        <f aca="false">IF(AND(AU9&gt;0,AU5&gt;$B$12),1,0)</f>
        <v>1</v>
      </c>
      <c r="AV10" s="3" t="n">
        <f aca="false">IF(AND(AV9&gt;0,AV5&gt;$B$12),1,0)</f>
        <v>1</v>
      </c>
      <c r="AW10" s="3" t="n">
        <f aca="false">IF(AND(AW9&gt;0,AW5&gt;$B$12),1,0)</f>
        <v>1</v>
      </c>
      <c r="AX10" s="3" t="n">
        <f aca="false">IF(AND(AX9&gt;0,AX5&gt;$B$12),1,0)</f>
        <v>1</v>
      </c>
      <c r="AY10" s="3" t="n">
        <f aca="false">IF(AND(AY9&gt;0,AY5&gt;$B$12),1,0)</f>
        <v>1</v>
      </c>
      <c r="AZ10" s="3" t="n">
        <f aca="false">IF(AND(AZ9&gt;0,AZ5&gt;$B$12),1,0)</f>
        <v>1</v>
      </c>
      <c r="BA10" s="3" t="n">
        <f aca="false">IF(AND(BA9&gt;0,BA5&gt;$B$12),1,0)</f>
        <v>1</v>
      </c>
      <c r="BB10" s="3" t="n">
        <f aca="false">IF(AND(BB9&gt;0,BB5&gt;$B$12),1,0)</f>
        <v>1</v>
      </c>
      <c r="BC10" s="3" t="n">
        <f aca="false">IF(AND(BC9&gt;0,BC5&gt;$B$12),1,0)</f>
        <v>1</v>
      </c>
      <c r="BD10" s="3" t="n">
        <f aca="false">IF(AND(BD9&gt;0,BD5&gt;$B$12),1,0)</f>
        <v>1</v>
      </c>
      <c r="BE10" s="3" t="n">
        <f aca="false">IF(AND(BE9&gt;0,BE5&gt;$B$12),1,0)</f>
        <v>1</v>
      </c>
      <c r="BF10" s="3" t="n">
        <f aca="false">IF(AND(BF9&gt;0,BF5&gt;$B$12),1,0)</f>
        <v>1</v>
      </c>
      <c r="BG10" s="3" t="n">
        <f aca="false">IF(AND(BG9&gt;0,BG5&gt;$B$12),1,0)</f>
        <v>1</v>
      </c>
      <c r="BH10" s="3" t="n">
        <f aca="false">IF(AND(BH9&gt;0,BH5&gt;$B$12),1,0)</f>
        <v>1</v>
      </c>
      <c r="BI10" s="3" t="n">
        <f aca="false">IF(AND(BI9&gt;0,BI5&gt;$B$12),1,0)</f>
        <v>1</v>
      </c>
      <c r="BJ10" s="3" t="n">
        <f aca="false">IF(AND(BJ9&gt;0,BJ5&gt;$B$12),1,0)</f>
        <v>1</v>
      </c>
      <c r="BK10" s="3" t="n">
        <f aca="false">IF(AND(BK9&gt;0,BK5&gt;$B$12),1,0)</f>
        <v>1</v>
      </c>
    </row>
    <row r="11" customFormat="false" ht="15" hidden="false" customHeight="false" outlineLevel="0" collapsed="false">
      <c r="A11" s="2" t="s">
        <v>389</v>
      </c>
      <c r="B11" s="41" t="n">
        <f aca="false">MIN(D9:BK9)</f>
        <v>-167.95463125</v>
      </c>
    </row>
    <row r="12" customFormat="false" ht="15" hidden="false" customHeight="false" outlineLevel="0" collapsed="false">
      <c r="A12" s="2" t="s">
        <v>390</v>
      </c>
      <c r="B12" s="35" t="n">
        <f aca="false">INDEX(D5:BK5,MATCH(B11,D9:BK9,0))</f>
        <v>15</v>
      </c>
    </row>
    <row r="13" customFormat="false" ht="15" hidden="false" customHeight="false" outlineLevel="0" collapsed="false">
      <c r="A13" s="2" t="s">
        <v>391</v>
      </c>
      <c r="B13" s="35" t="n">
        <f aca="false">INDEX(D5:BK5,MATCH(1,D10:BK10,0))</f>
        <v>30</v>
      </c>
    </row>
    <row r="15" customFormat="false" ht="15" hidden="false" customHeight="false" outlineLevel="0" collapsed="false">
      <c r="A15" s="2" t="s">
        <v>392</v>
      </c>
    </row>
    <row r="16" customFormat="false" ht="15" hidden="false" customHeight="false" outlineLevel="0" collapsed="false">
      <c r="A16" s="3" t="s">
        <v>393</v>
      </c>
      <c r="B16" s="19" t="n">
        <v>48</v>
      </c>
      <c r="C16" s="6" t="s">
        <v>237</v>
      </c>
    </row>
    <row r="17" customFormat="false" ht="15" hidden="false" customHeight="false" outlineLevel="0" collapsed="false">
      <c r="A17" s="3" t="s">
        <v>126</v>
      </c>
      <c r="B17" s="17" t="n">
        <v>800</v>
      </c>
      <c r="C17" s="6" t="s">
        <v>394</v>
      </c>
    </row>
    <row r="18" customFormat="false" ht="15" hidden="false" customHeight="false" outlineLevel="0" collapsed="false">
      <c r="A18" s="3" t="s">
        <v>395</v>
      </c>
      <c r="B18" s="17" t="n">
        <v>2252.979</v>
      </c>
      <c r="C18" s="6" t="s">
        <v>237</v>
      </c>
    </row>
    <row r="19" customFormat="false" ht="15" hidden="false" customHeight="false" outlineLevel="0" collapsed="false">
      <c r="A19" s="3" t="s">
        <v>347</v>
      </c>
      <c r="B19" s="17" t="n">
        <v>2252.979</v>
      </c>
      <c r="C19" s="6" t="s">
        <v>396</v>
      </c>
    </row>
    <row r="20" customFormat="false" ht="15" hidden="false" customHeight="false" outlineLevel="0" collapsed="false">
      <c r="A20" s="3" t="s">
        <v>348</v>
      </c>
      <c r="B20" s="17" t="n">
        <v>985.6783125</v>
      </c>
      <c r="C20" s="6" t="s">
        <v>396</v>
      </c>
    </row>
    <row r="21" customFormat="false" ht="15" hidden="false" customHeight="false" outlineLevel="0" collapsed="false">
      <c r="A21" s="3" t="s">
        <v>397</v>
      </c>
      <c r="B21" s="17" t="n">
        <v>891.85316</v>
      </c>
      <c r="C21" s="6" t="s">
        <v>396</v>
      </c>
    </row>
    <row r="22" customFormat="false" ht="15" hidden="false" customHeight="false" outlineLevel="0" collapsed="false">
      <c r="A22" s="3" t="s">
        <v>229</v>
      </c>
      <c r="B22" s="9" t="n">
        <f aca="false">C7</f>
        <v>375.4475275</v>
      </c>
      <c r="C22" s="6" t="s">
        <v>398</v>
      </c>
    </row>
    <row r="23" customFormat="false" ht="15" hidden="false" customHeight="false" outlineLevel="0" collapsed="false">
      <c r="A23" s="3" t="s">
        <v>399</v>
      </c>
      <c r="B23" s="9" t="n">
        <f aca="false">SUMPRODUCT(D7:BK7,Project_CF!$D$15:$BK$15)</f>
        <v>215.311392548924</v>
      </c>
      <c r="C23" s="6" t="s">
        <v>400</v>
      </c>
    </row>
    <row r="24" customFormat="false" ht="15" hidden="false" customHeight="false" outlineLevel="0" collapsed="false">
      <c r="A24" s="3" t="s">
        <v>401</v>
      </c>
      <c r="B24" s="9" t="n">
        <f aca="false">MIN(D8:BK8)</f>
        <v>-102.5</v>
      </c>
      <c r="C24" s="6" t="s">
        <v>398</v>
      </c>
    </row>
    <row r="28" customFormat="false" ht="15" hidden="false" customHeight="false" outlineLevel="0" collapsed="false">
      <c r="A28" s="8" t="s">
        <v>69</v>
      </c>
    </row>
    <row r="29" customFormat="false" ht="15" hidden="false" customHeight="false" outlineLevel="0" collapsed="false">
      <c r="A29" s="3" t="s">
        <v>402</v>
      </c>
      <c r="D29" s="33" t="n">
        <f aca="false">Scenarios!D18</f>
        <v>0</v>
      </c>
      <c r="E29" s="33" t="n">
        <f aca="false">Scenarios!E18</f>
        <v>0</v>
      </c>
      <c r="F29" s="33" t="n">
        <f aca="false">Scenarios!F18</f>
        <v>0</v>
      </c>
      <c r="G29" s="33" t="n">
        <f aca="false">Scenarios!G18</f>
        <v>-85</v>
      </c>
      <c r="H29" s="33" t="n">
        <f aca="false">Scenarios!H18</f>
        <v>-89.38435</v>
      </c>
      <c r="I29" s="33" t="n">
        <f aca="false">Scenarios!I18</f>
        <v>-75.65305</v>
      </c>
      <c r="J29" s="33" t="n">
        <f aca="false">Scenarios!J18</f>
        <v>-62.892225</v>
      </c>
      <c r="K29" s="33" t="n">
        <f aca="false">Scenarios!K18</f>
        <v>-46.733835</v>
      </c>
      <c r="L29" s="33" t="n">
        <f aca="false">Scenarios!L18</f>
        <v>-85.13881</v>
      </c>
      <c r="M29" s="33" t="n">
        <f aca="false">Scenarios!M18</f>
        <v>-102.0180625</v>
      </c>
      <c r="N29" s="33" t="n">
        <f aca="false">Scenarios!N18</f>
        <v>-100.9419475</v>
      </c>
      <c r="O29" s="33" t="n">
        <f aca="false">Scenarios!O18</f>
        <v>-77.8959475</v>
      </c>
      <c r="P29" s="33" t="n">
        <f aca="false">Scenarios!P18</f>
        <v>-32.89763125</v>
      </c>
      <c r="Q29" s="33" t="n">
        <f aca="false">Scenarios!Q18</f>
        <v>22.28235125</v>
      </c>
      <c r="R29" s="33" t="n">
        <f aca="false">Scenarios!R18</f>
        <v>503.57835875</v>
      </c>
      <c r="S29" s="33" t="n">
        <f aca="false">Scenarios!S18</f>
        <v>473.42409125</v>
      </c>
      <c r="T29" s="33" t="n">
        <f aca="false">Scenarios!T18</f>
        <v>344.19036375</v>
      </c>
      <c r="U29" s="33" t="n">
        <f aca="false">Scenarios!U18</f>
        <v>245.74703625</v>
      </c>
      <c r="V29" s="33" t="n">
        <f aca="false">Scenarios!V18</f>
        <v>282.54702375</v>
      </c>
      <c r="W29" s="33" t="n">
        <f aca="false">Scenarios!W18</f>
        <v>317.53544625</v>
      </c>
      <c r="X29" s="33" t="n">
        <f aca="false">Scenarios!X18</f>
        <v>372.314908125</v>
      </c>
      <c r="Y29" s="33" t="n">
        <f aca="false">Scenarios!Y18</f>
        <v>419.968321875</v>
      </c>
      <c r="Z29" s="33" t="n">
        <f aca="false">Scenarios!Z18</f>
        <v>458.806198125</v>
      </c>
      <c r="AA29" s="33" t="n">
        <f aca="false">Scenarios!AA18</f>
        <v>487.352446875</v>
      </c>
      <c r="AB29" s="33" t="n">
        <f aca="false">Scenarios!AB18</f>
        <v>538.398695625</v>
      </c>
      <c r="AC29" s="33" t="n">
        <f aca="false">Scenarios!AC18</f>
        <v>589.444944375</v>
      </c>
      <c r="AD29" s="33" t="n">
        <f aca="false">Scenarios!AD18</f>
        <v>640.491193125</v>
      </c>
      <c r="AE29" s="33" t="n">
        <f aca="false">Scenarios!AE18</f>
        <v>691.537441875</v>
      </c>
      <c r="AF29" s="33" t="n">
        <f aca="false">Scenarios!AF18</f>
        <v>494.2772134375</v>
      </c>
      <c r="AG29" s="33" t="n">
        <f aca="false">Scenarios!AG18</f>
        <v>514.98650453125</v>
      </c>
      <c r="AH29" s="33" t="n">
        <f aca="false">Scenarios!AH18</f>
        <v>533.52569171875</v>
      </c>
      <c r="AI29" s="33" t="n">
        <f aca="false">Scenarios!AI18</f>
        <v>549.894775</v>
      </c>
      <c r="AJ29" s="33" t="n">
        <f aca="false">Scenarios!AJ18</f>
        <v>562.76653140625</v>
      </c>
      <c r="AK29" s="33" t="n">
        <f aca="false">Scenarios!AK18</f>
        <v>573.6128575</v>
      </c>
      <c r="AL29" s="33" t="n">
        <f aca="false">Scenarios!AL18</f>
        <v>583.064865625</v>
      </c>
      <c r="AM29" s="33" t="n">
        <f aca="false">Scenarios!AM18</f>
        <v>587.140886875</v>
      </c>
      <c r="AN29" s="33" t="n">
        <f aca="false">Scenarios!AN18</f>
        <v>591.216908125</v>
      </c>
      <c r="AO29" s="33" t="n">
        <f aca="false">Scenarios!AO18</f>
        <v>595.292929375</v>
      </c>
      <c r="AP29" s="33" t="n">
        <f aca="false">Scenarios!AP18</f>
        <v>595.292929375</v>
      </c>
      <c r="AQ29" s="33" t="n">
        <f aca="false">Scenarios!AQ18</f>
        <v>595.292929375</v>
      </c>
      <c r="AR29" s="33" t="n">
        <f aca="false">Scenarios!AR18</f>
        <v>595.292929375</v>
      </c>
      <c r="AS29" s="33" t="n">
        <f aca="false">Scenarios!AS18</f>
        <v>595.292929375</v>
      </c>
      <c r="AT29" s="33" t="n">
        <f aca="false">Scenarios!AT18</f>
        <v>595.292929375</v>
      </c>
      <c r="AU29" s="33" t="n">
        <f aca="false">Scenarios!AU18</f>
        <v>595.292929375</v>
      </c>
      <c r="AV29" s="33" t="n">
        <f aca="false">Scenarios!AV18</f>
        <v>595.292929375</v>
      </c>
      <c r="AW29" s="33" t="n">
        <f aca="false">Scenarios!AW18</f>
        <v>595.292929375</v>
      </c>
      <c r="AX29" s="33" t="n">
        <f aca="false">Scenarios!AX18</f>
        <v>595.292929375</v>
      </c>
      <c r="AY29" s="33" t="n">
        <f aca="false">Scenarios!AY18</f>
        <v>595.292929375</v>
      </c>
      <c r="AZ29" s="33" t="n">
        <f aca="false">Scenarios!AZ18</f>
        <v>595.292929375</v>
      </c>
      <c r="BA29" s="33" t="n">
        <f aca="false">Scenarios!BA18</f>
        <v>595.292929375</v>
      </c>
      <c r="BB29" s="33" t="n">
        <f aca="false">Scenarios!BB18</f>
        <v>595.292929375</v>
      </c>
      <c r="BC29" s="33" t="n">
        <f aca="false">Scenarios!BC18</f>
        <v>595.292929375</v>
      </c>
      <c r="BD29" s="33" t="n">
        <f aca="false">Scenarios!BD18</f>
        <v>595.292929375</v>
      </c>
      <c r="BE29" s="33" t="n">
        <f aca="false">Scenarios!BE18</f>
        <v>595.292929375</v>
      </c>
      <c r="BF29" s="33" t="n">
        <f aca="false">Scenarios!BF18</f>
        <v>595.292929375</v>
      </c>
      <c r="BG29" s="33" t="n">
        <f aca="false">Scenarios!BG18</f>
        <v>595.292929375</v>
      </c>
      <c r="BH29" s="33" t="n">
        <f aca="false">Scenarios!BH18</f>
        <v>595.292929375</v>
      </c>
      <c r="BI29" s="33" t="n">
        <f aca="false">Scenarios!BI18</f>
        <v>595.292929375</v>
      </c>
      <c r="BJ29" s="33" t="n">
        <f aca="false">Scenarios!BJ18</f>
        <v>595.292929375</v>
      </c>
      <c r="BK29" s="33" t="n">
        <f aca="false">Scenarios!BK18</f>
        <v>595.292929375</v>
      </c>
    </row>
    <row r="30" customFormat="false" ht="15" hidden="false" customHeight="false" outlineLevel="0" collapsed="false">
      <c r="A30" s="3" t="s">
        <v>403</v>
      </c>
      <c r="B30" s="6" t="s">
        <v>404</v>
      </c>
      <c r="D30" s="29" t="n">
        <v>-91.25</v>
      </c>
      <c r="E30" s="29" t="n">
        <v>-11.25</v>
      </c>
      <c r="F30" s="29" t="n">
        <v>3.8892375</v>
      </c>
      <c r="G30" s="29" t="n">
        <v>19.028475</v>
      </c>
      <c r="H30" s="29" t="n">
        <v>1.01200625</v>
      </c>
      <c r="I30" s="29" t="n">
        <v>9.88553750000001</v>
      </c>
      <c r="J30" s="29" t="n">
        <v>-18.24569</v>
      </c>
      <c r="K30" s="29" t="n">
        <v>-1.49783062499999</v>
      </c>
      <c r="L30" s="29" t="n">
        <v>6.69758843750002</v>
      </c>
      <c r="M30" s="29" t="n">
        <v>421.6225775</v>
      </c>
      <c r="N30" s="29" t="n">
        <v>138.76674</v>
      </c>
      <c r="O30" s="29" t="n">
        <v>129.72299</v>
      </c>
      <c r="P30" s="29" t="n">
        <v>-93.38729</v>
      </c>
      <c r="Q30" s="29" t="n">
        <v>-120.95083125</v>
      </c>
      <c r="R30" s="29" t="n">
        <v>-171.55083125</v>
      </c>
      <c r="S30" s="29" t="n">
        <v>-118.169164375</v>
      </c>
      <c r="T30" s="29" t="n">
        <v>16.2266396875</v>
      </c>
      <c r="U30" s="29" t="n">
        <v>14.7127159375</v>
      </c>
      <c r="V30" s="29" t="n">
        <v>8.7239446875</v>
      </c>
      <c r="W30" s="29" t="n">
        <v>4.3829446875</v>
      </c>
      <c r="X30" s="29" t="n">
        <v>26.8829446875</v>
      </c>
      <c r="Y30" s="29" t="n">
        <v>19.6027259375</v>
      </c>
      <c r="Z30" s="29" t="n">
        <v>19.6027259375</v>
      </c>
      <c r="AA30" s="29" t="n">
        <v>19.6027259375</v>
      </c>
      <c r="AB30" s="29" t="n">
        <v>36.3147259375</v>
      </c>
      <c r="AC30" s="29" t="n">
        <v>33.0386275</v>
      </c>
      <c r="AD30" s="29" t="n">
        <v>29.43017125</v>
      </c>
      <c r="AE30" s="29" t="n">
        <v>25.08917125</v>
      </c>
      <c r="AF30" s="29" t="n">
        <v>-82.6690391015625</v>
      </c>
      <c r="AG30" s="29" t="n">
        <v>14.112658828125</v>
      </c>
      <c r="AH30" s="29" t="n">
        <v>14.112658828125</v>
      </c>
      <c r="AI30" s="29" t="n">
        <v>14.112658828125</v>
      </c>
      <c r="AJ30" s="29" t="n">
        <v>14.112658828125</v>
      </c>
      <c r="AK30" s="29" t="n">
        <v>12.8841219140625</v>
      </c>
      <c r="AL30" s="29" t="n">
        <v>12.8841219140625</v>
      </c>
      <c r="AM30" s="29" t="n">
        <v>10.5409993359375</v>
      </c>
      <c r="AN30" s="29" t="n">
        <v>5.41471921875001</v>
      </c>
      <c r="AO30" s="29" t="n">
        <v>2.00839078125</v>
      </c>
      <c r="AP30" s="29" t="n">
        <v>0</v>
      </c>
      <c r="AQ30" s="29" t="n">
        <v>0</v>
      </c>
      <c r="AR30" s="29" t="n">
        <v>0</v>
      </c>
      <c r="AS30" s="29" t="n">
        <v>0</v>
      </c>
      <c r="AT30" s="29" t="n">
        <v>0</v>
      </c>
      <c r="AU30" s="29" t="n">
        <v>0</v>
      </c>
      <c r="AV30" s="29" t="n">
        <v>0</v>
      </c>
      <c r="AW30" s="29" t="n">
        <v>0</v>
      </c>
      <c r="AX30" s="29" t="n">
        <v>0</v>
      </c>
      <c r="AY30" s="29" t="n">
        <v>0</v>
      </c>
      <c r="AZ30" s="29" t="n">
        <v>0</v>
      </c>
      <c r="BA30" s="29" t="n">
        <v>0</v>
      </c>
      <c r="BB30" s="29" t="n">
        <v>0</v>
      </c>
      <c r="BC30" s="29" t="n">
        <v>0</v>
      </c>
      <c r="BD30" s="29" t="n">
        <v>0</v>
      </c>
      <c r="BE30" s="29" t="n">
        <v>0</v>
      </c>
      <c r="BF30" s="29" t="n">
        <v>0</v>
      </c>
      <c r="BG30" s="29" t="n">
        <v>0</v>
      </c>
      <c r="BH30" s="29" t="n">
        <v>0</v>
      </c>
      <c r="BI30" s="29" t="n">
        <v>0</v>
      </c>
      <c r="BJ30" s="29" t="n">
        <v>0</v>
      </c>
      <c r="BK30" s="29" t="n">
        <v>0</v>
      </c>
    </row>
    <row r="31" customFormat="false" ht="15" hidden="false" customHeight="false" outlineLevel="0" collapsed="false">
      <c r="A31" s="3" t="s">
        <v>405</v>
      </c>
      <c r="D31" s="33" t="n">
        <f aca="false">D30</f>
        <v>-91.25</v>
      </c>
      <c r="E31" s="33" t="n">
        <f aca="false">D31+E30</f>
        <v>-102.5</v>
      </c>
      <c r="F31" s="33" t="n">
        <f aca="false">E31+F30</f>
        <v>-98.6107625</v>
      </c>
      <c r="G31" s="33" t="n">
        <f aca="false">F31+G30</f>
        <v>-79.5822875</v>
      </c>
      <c r="H31" s="33" t="n">
        <f aca="false">G31+H30</f>
        <v>-78.57028125</v>
      </c>
      <c r="I31" s="33" t="n">
        <f aca="false">H31+I30</f>
        <v>-68.68474375</v>
      </c>
      <c r="J31" s="33" t="n">
        <f aca="false">I31+J30</f>
        <v>-86.93043375</v>
      </c>
      <c r="K31" s="33" t="n">
        <f aca="false">J31+K30</f>
        <v>-88.428264375</v>
      </c>
      <c r="L31" s="33" t="n">
        <f aca="false">K31+L30</f>
        <v>-81.7306759375</v>
      </c>
      <c r="M31" s="33" t="n">
        <f aca="false">L31+M30</f>
        <v>339.8919015625</v>
      </c>
      <c r="N31" s="33" t="n">
        <f aca="false">M31+N30</f>
        <v>478.6586415625</v>
      </c>
      <c r="O31" s="33" t="n">
        <f aca="false">N31+O30</f>
        <v>608.3816315625</v>
      </c>
      <c r="P31" s="33" t="n">
        <f aca="false">O31+P30</f>
        <v>514.9943415625</v>
      </c>
      <c r="Q31" s="33" t="n">
        <f aca="false">P31+Q30</f>
        <v>394.0435103125</v>
      </c>
      <c r="R31" s="33" t="n">
        <f aca="false">Q31+R30</f>
        <v>222.4926790625</v>
      </c>
      <c r="S31" s="33" t="n">
        <f aca="false">R31+S30</f>
        <v>104.3235146875</v>
      </c>
      <c r="T31" s="33" t="n">
        <f aca="false">S31+T30</f>
        <v>120.550154375</v>
      </c>
      <c r="U31" s="33" t="n">
        <f aca="false">T31+U30</f>
        <v>135.2628703125</v>
      </c>
      <c r="V31" s="33" t="n">
        <f aca="false">U31+V30</f>
        <v>143.986815</v>
      </c>
      <c r="W31" s="33" t="n">
        <f aca="false">V31+W30</f>
        <v>148.3697596875</v>
      </c>
      <c r="X31" s="33" t="n">
        <f aca="false">W31+X30</f>
        <v>175.252704375</v>
      </c>
      <c r="Y31" s="33" t="n">
        <f aca="false">X31+Y30</f>
        <v>194.8554303125</v>
      </c>
      <c r="Z31" s="33" t="n">
        <f aca="false">Y31+Z30</f>
        <v>214.45815625</v>
      </c>
      <c r="AA31" s="33" t="n">
        <f aca="false">Z31+AA30</f>
        <v>234.0608821875</v>
      </c>
      <c r="AB31" s="33" t="n">
        <f aca="false">AA31+AB30</f>
        <v>270.375608125</v>
      </c>
      <c r="AC31" s="33" t="n">
        <f aca="false">AB31+AC30</f>
        <v>303.414235625</v>
      </c>
      <c r="AD31" s="33" t="n">
        <f aca="false">AC31+AD30</f>
        <v>332.844406875</v>
      </c>
      <c r="AE31" s="33" t="n">
        <f aca="false">AD31+AE30</f>
        <v>357.933578125</v>
      </c>
      <c r="AF31" s="33" t="n">
        <f aca="false">AE31+AF30</f>
        <v>275.264539023438</v>
      </c>
      <c r="AG31" s="33" t="n">
        <f aca="false">AF31+AG30</f>
        <v>289.377197851563</v>
      </c>
      <c r="AH31" s="33" t="n">
        <f aca="false">AG31+AH30</f>
        <v>303.489856679688</v>
      </c>
      <c r="AI31" s="33" t="n">
        <f aca="false">AH31+AI30</f>
        <v>317.602515507813</v>
      </c>
      <c r="AJ31" s="33" t="n">
        <f aca="false">AI31+AJ30</f>
        <v>331.715174335938</v>
      </c>
      <c r="AK31" s="33" t="n">
        <f aca="false">AJ31+AK30</f>
        <v>344.59929625</v>
      </c>
      <c r="AL31" s="33" t="n">
        <f aca="false">AK31+AL30</f>
        <v>357.483418164063</v>
      </c>
      <c r="AM31" s="33" t="n">
        <f aca="false">AL31+AM30</f>
        <v>368.0244175</v>
      </c>
      <c r="AN31" s="33" t="n">
        <f aca="false">AM31+AN30</f>
        <v>373.43913671875</v>
      </c>
      <c r="AO31" s="33" t="n">
        <f aca="false">AN31+AO30</f>
        <v>375.4475275</v>
      </c>
      <c r="AP31" s="33" t="n">
        <f aca="false">AO31+AP30</f>
        <v>375.4475275</v>
      </c>
      <c r="AQ31" s="33" t="n">
        <f aca="false">AP31+AQ30</f>
        <v>375.4475275</v>
      </c>
      <c r="AR31" s="33" t="n">
        <f aca="false">AQ31+AR30</f>
        <v>375.4475275</v>
      </c>
      <c r="AS31" s="33" t="n">
        <f aca="false">AR31+AS30</f>
        <v>375.4475275</v>
      </c>
      <c r="AT31" s="33" t="n">
        <f aca="false">AS31+AT30</f>
        <v>375.4475275</v>
      </c>
      <c r="AU31" s="33" t="n">
        <f aca="false">AT31+AU30</f>
        <v>375.4475275</v>
      </c>
      <c r="AV31" s="33" t="n">
        <f aca="false">AU31+AV30</f>
        <v>375.4475275</v>
      </c>
      <c r="AW31" s="33" t="n">
        <f aca="false">AV31+AW30</f>
        <v>375.4475275</v>
      </c>
      <c r="AX31" s="33" t="n">
        <f aca="false">AW31+AX30</f>
        <v>375.4475275</v>
      </c>
      <c r="AY31" s="33" t="n">
        <f aca="false">AX31+AY30</f>
        <v>375.4475275</v>
      </c>
      <c r="AZ31" s="33" t="n">
        <f aca="false">AY31+AZ30</f>
        <v>375.4475275</v>
      </c>
      <c r="BA31" s="33" t="n">
        <f aca="false">AZ31+BA30</f>
        <v>375.4475275</v>
      </c>
      <c r="BB31" s="33" t="n">
        <f aca="false">BA31+BB30</f>
        <v>375.4475275</v>
      </c>
      <c r="BC31" s="33" t="n">
        <f aca="false">BB31+BC30</f>
        <v>375.4475275</v>
      </c>
      <c r="BD31" s="33" t="n">
        <f aca="false">BC31+BD30</f>
        <v>375.4475275</v>
      </c>
      <c r="BE31" s="33" t="n">
        <f aca="false">BD31+BE30</f>
        <v>375.4475275</v>
      </c>
      <c r="BF31" s="33" t="n">
        <f aca="false">BE31+BF30</f>
        <v>375.4475275</v>
      </c>
      <c r="BG31" s="33" t="n">
        <f aca="false">BF31+BG30</f>
        <v>375.4475275</v>
      </c>
      <c r="BH31" s="33" t="n">
        <f aca="false">BG31+BH30</f>
        <v>375.4475275</v>
      </c>
      <c r="BI31" s="33" t="n">
        <f aca="false">BH31+BI30</f>
        <v>375.4475275</v>
      </c>
      <c r="BJ31" s="33" t="n">
        <f aca="false">BI31+BJ30</f>
        <v>375.4475275</v>
      </c>
      <c r="BK31" s="33" t="n">
        <f aca="false">BJ31+BK30</f>
        <v>375.4475275</v>
      </c>
    </row>
    <row r="32" customFormat="false" ht="15" hidden="false" customHeight="false" outlineLevel="0" collapsed="false">
      <c r="A32" s="3" t="s">
        <v>406</v>
      </c>
      <c r="D32" s="33" t="n">
        <f aca="false">D29+D31</f>
        <v>-91.25</v>
      </c>
      <c r="E32" s="33" t="n">
        <f aca="false">E29+E31</f>
        <v>-102.5</v>
      </c>
      <c r="F32" s="33" t="n">
        <f aca="false">F29+F31</f>
        <v>-98.6107625</v>
      </c>
      <c r="G32" s="33" t="n">
        <f aca="false">G29+G31</f>
        <v>-164.5822875</v>
      </c>
      <c r="H32" s="33" t="n">
        <f aca="false">H29+H31</f>
        <v>-167.95463125</v>
      </c>
      <c r="I32" s="33" t="n">
        <f aca="false">I29+I31</f>
        <v>-144.33779375</v>
      </c>
      <c r="J32" s="33" t="n">
        <f aca="false">J29+J31</f>
        <v>-149.82265875</v>
      </c>
      <c r="K32" s="33" t="n">
        <f aca="false">K29+K31</f>
        <v>-135.162099375</v>
      </c>
      <c r="L32" s="33" t="n">
        <f aca="false">L29+L31</f>
        <v>-166.8694859375</v>
      </c>
      <c r="M32" s="33" t="n">
        <f aca="false">M29+M31</f>
        <v>237.8738390625</v>
      </c>
      <c r="N32" s="33" t="n">
        <f aca="false">N29+N31</f>
        <v>377.7166940625</v>
      </c>
      <c r="O32" s="33" t="n">
        <f aca="false">O29+O31</f>
        <v>530.4856840625</v>
      </c>
      <c r="P32" s="33" t="n">
        <f aca="false">P29+P31</f>
        <v>482.0967103125</v>
      </c>
      <c r="Q32" s="33" t="n">
        <f aca="false">Q29+Q31</f>
        <v>416.3258615625</v>
      </c>
      <c r="R32" s="33" t="n">
        <f aca="false">R29+R31</f>
        <v>726.0710378125</v>
      </c>
      <c r="S32" s="33" t="n">
        <f aca="false">S29+S31</f>
        <v>577.7476059375</v>
      </c>
      <c r="T32" s="33" t="n">
        <f aca="false">T29+T31</f>
        <v>464.740518125</v>
      </c>
      <c r="U32" s="33" t="n">
        <f aca="false">U29+U31</f>
        <v>381.0099065625</v>
      </c>
      <c r="V32" s="33" t="n">
        <f aca="false">V29+V31</f>
        <v>426.53383875</v>
      </c>
      <c r="W32" s="33" t="n">
        <f aca="false">W29+W31</f>
        <v>465.9052059375</v>
      </c>
      <c r="X32" s="33" t="n">
        <f aca="false">X29+X31</f>
        <v>547.5676125</v>
      </c>
      <c r="Y32" s="33" t="n">
        <f aca="false">Y29+Y31</f>
        <v>614.8237521875</v>
      </c>
      <c r="Z32" s="33" t="n">
        <f aca="false">Z29+Z31</f>
        <v>673.264354375</v>
      </c>
      <c r="AA32" s="33" t="n">
        <f aca="false">AA29+AA31</f>
        <v>721.4133290625</v>
      </c>
      <c r="AB32" s="33" t="n">
        <f aca="false">AB29+AB31</f>
        <v>808.77430375</v>
      </c>
      <c r="AC32" s="33" t="n">
        <f aca="false">AC29+AC31</f>
        <v>892.85918</v>
      </c>
      <c r="AD32" s="33" t="n">
        <f aca="false">AD29+AD31</f>
        <v>973.3356</v>
      </c>
      <c r="AE32" s="33" t="n">
        <f aca="false">AE29+AE31</f>
        <v>1049.47102</v>
      </c>
      <c r="AF32" s="33" t="n">
        <f aca="false">AF29+AF31</f>
        <v>769.541752460938</v>
      </c>
      <c r="AG32" s="33" t="n">
        <f aca="false">AG29+AG31</f>
        <v>804.363702382812</v>
      </c>
      <c r="AH32" s="33" t="n">
        <f aca="false">AH29+AH31</f>
        <v>837.015548398437</v>
      </c>
      <c r="AI32" s="33" t="n">
        <f aca="false">AI29+AI31</f>
        <v>867.497290507812</v>
      </c>
      <c r="AJ32" s="33" t="n">
        <f aca="false">AJ29+AJ31</f>
        <v>894.481705742187</v>
      </c>
      <c r="AK32" s="33" t="n">
        <f aca="false">AK29+AK31</f>
        <v>918.21215375</v>
      </c>
      <c r="AL32" s="33" t="n">
        <f aca="false">AL29+AL31</f>
        <v>940.548283789063</v>
      </c>
      <c r="AM32" s="33" t="n">
        <f aca="false">AM29+AM31</f>
        <v>955.165304375</v>
      </c>
      <c r="AN32" s="33" t="n">
        <f aca="false">AN29+AN31</f>
        <v>964.65604484375</v>
      </c>
      <c r="AO32" s="33" t="n">
        <f aca="false">AO29+AO31</f>
        <v>970.740456875</v>
      </c>
      <c r="AP32" s="33" t="n">
        <f aca="false">AP29+AP31</f>
        <v>970.740456875</v>
      </c>
      <c r="AQ32" s="33" t="n">
        <f aca="false">AQ29+AQ31</f>
        <v>970.740456875</v>
      </c>
      <c r="AR32" s="33" t="n">
        <f aca="false">AR29+AR31</f>
        <v>970.740456875</v>
      </c>
      <c r="AS32" s="33" t="n">
        <f aca="false">AS29+AS31</f>
        <v>970.740456875</v>
      </c>
      <c r="AT32" s="33" t="n">
        <f aca="false">AT29+AT31</f>
        <v>970.740456875</v>
      </c>
      <c r="AU32" s="33" t="n">
        <f aca="false">AU29+AU31</f>
        <v>970.740456875</v>
      </c>
      <c r="AV32" s="33" t="n">
        <f aca="false">AV29+AV31</f>
        <v>970.740456875</v>
      </c>
      <c r="AW32" s="33" t="n">
        <f aca="false">AW29+AW31</f>
        <v>970.740456875</v>
      </c>
      <c r="AX32" s="33" t="n">
        <f aca="false">AX29+AX31</f>
        <v>970.740456875</v>
      </c>
      <c r="AY32" s="33" t="n">
        <f aca="false">AY29+AY31</f>
        <v>970.740456875</v>
      </c>
      <c r="AZ32" s="33" t="n">
        <f aca="false">AZ29+AZ31</f>
        <v>970.740456875</v>
      </c>
      <c r="BA32" s="33" t="n">
        <f aca="false">BA29+BA31</f>
        <v>970.740456875</v>
      </c>
      <c r="BB32" s="33" t="n">
        <f aca="false">BB29+BB31</f>
        <v>970.740456875</v>
      </c>
      <c r="BC32" s="33" t="n">
        <f aca="false">BC29+BC31</f>
        <v>970.740456875</v>
      </c>
      <c r="BD32" s="33" t="n">
        <f aca="false">BD29+BD31</f>
        <v>970.740456875</v>
      </c>
      <c r="BE32" s="33" t="n">
        <f aca="false">BE29+BE31</f>
        <v>970.740456875</v>
      </c>
      <c r="BF32" s="33" t="n">
        <f aca="false">BF29+BF31</f>
        <v>970.740456875</v>
      </c>
      <c r="BG32" s="33" t="n">
        <f aca="false">BG29+BG31</f>
        <v>970.740456875</v>
      </c>
      <c r="BH32" s="33" t="n">
        <f aca="false">BH29+BH31</f>
        <v>970.740456875</v>
      </c>
      <c r="BI32" s="33" t="n">
        <f aca="false">BI29+BI31</f>
        <v>970.740456875</v>
      </c>
      <c r="BJ32" s="33" t="n">
        <f aca="false">BJ29+BJ31</f>
        <v>970.740456875</v>
      </c>
      <c r="BK32" s="33" t="n">
        <f aca="false">BK29+BK31</f>
        <v>970.740456875</v>
      </c>
    </row>
    <row r="33" customFormat="false" ht="15" hidden="false" customHeight="false" outlineLevel="0" collapsed="false">
      <c r="A33" s="2" t="s">
        <v>407</v>
      </c>
      <c r="B33" s="41" t="n">
        <f aca="false">-MIN(D29:BK29)</f>
        <v>102.0180625</v>
      </c>
    </row>
    <row r="34" customFormat="false" ht="15" hidden="false" customHeight="false" outlineLevel="0" collapsed="false">
      <c r="A34" s="2" t="s">
        <v>408</v>
      </c>
      <c r="B34" s="41" t="n">
        <f aca="false">-MIN(D31:BK31)</f>
        <v>102.5</v>
      </c>
    </row>
    <row r="35" customFormat="false" ht="15" hidden="false" customHeight="false" outlineLevel="0" collapsed="false">
      <c r="A35" s="2" t="s">
        <v>409</v>
      </c>
      <c r="B35" s="41" t="n">
        <f aca="false">-MIN(D32:BK32)</f>
        <v>167.95463125</v>
      </c>
    </row>
    <row r="36" customFormat="false" ht="15" hidden="false" customHeight="false" outlineLevel="0" collapsed="false">
      <c r="A36" s="2" t="s">
        <v>410</v>
      </c>
      <c r="B36" s="35" t="n">
        <f aca="false">INDEX(D$5:BK$5,MATCH(MIN(D32:BK32),D32:BK32,0))</f>
        <v>15</v>
      </c>
    </row>
    <row r="39" customFormat="false" ht="15" hidden="false" customHeight="false" outlineLevel="0" collapsed="false">
      <c r="A39" s="8" t="s">
        <v>70</v>
      </c>
    </row>
    <row r="40" customFormat="false" ht="15" hidden="false" customHeight="false" outlineLevel="0" collapsed="false">
      <c r="A40" s="3" t="s">
        <v>402</v>
      </c>
      <c r="D40" s="33" t="n">
        <f aca="false">Scenarios!D54</f>
        <v>0</v>
      </c>
      <c r="E40" s="33" t="n">
        <f aca="false">Scenarios!E54</f>
        <v>0</v>
      </c>
      <c r="F40" s="33" t="n">
        <f aca="false">Scenarios!F54</f>
        <v>0</v>
      </c>
      <c r="G40" s="33" t="n">
        <f aca="false">Scenarios!G54</f>
        <v>-85</v>
      </c>
      <c r="H40" s="33" t="n">
        <f aca="false">Scenarios!H54</f>
        <v>-107.5</v>
      </c>
      <c r="I40" s="33" t="n">
        <f aca="false">Scenarios!I54</f>
        <v>-130</v>
      </c>
      <c r="J40" s="33" t="n">
        <f aca="false">Scenarios!J54</f>
        <v>-175.5</v>
      </c>
      <c r="K40" s="33" t="n">
        <f aca="false">Scenarios!K54</f>
        <v>-228.36</v>
      </c>
      <c r="L40" s="33" t="n">
        <f aca="false">Scenarios!L54</f>
        <v>-303.055915</v>
      </c>
      <c r="M40" s="33" t="n">
        <f aca="false">Scenarios!M54</f>
        <v>-345.807745</v>
      </c>
      <c r="N40" s="33" t="n">
        <f aca="false">Scenarios!N54</f>
        <v>-368.7330025</v>
      </c>
      <c r="O40" s="33" t="n">
        <f aca="false">Scenarios!O54</f>
        <v>-381.9764515</v>
      </c>
      <c r="P40" s="33" t="n">
        <f aca="false">Scenarios!P54</f>
        <v>-396.962929</v>
      </c>
      <c r="Q40" s="33" t="n">
        <f aca="false">Scenarios!Q54</f>
        <v>-406.65225625</v>
      </c>
      <c r="R40" s="33" t="n">
        <f aca="false">Scenarios!R54</f>
        <v>-532.10975275</v>
      </c>
      <c r="S40" s="33" t="n">
        <f aca="false">Scenarios!S54</f>
        <v>-637.79435275</v>
      </c>
      <c r="T40" s="33" t="n">
        <f aca="false">Scenarios!T54</f>
        <v>-774.806068125</v>
      </c>
      <c r="U40" s="33" t="n">
        <f aca="false">Scenarios!U54</f>
        <v>-848.604283875</v>
      </c>
      <c r="V40" s="33" t="n">
        <f aca="false">Scenarios!V54</f>
        <v>-285.612877125</v>
      </c>
      <c r="W40" s="33" t="n">
        <f aca="false">Scenarios!W54</f>
        <v>-182.926717875</v>
      </c>
      <c r="X40" s="33" t="n">
        <f aca="false">Scenarios!X54</f>
        <v>-111.497072625001</v>
      </c>
      <c r="Y40" s="33" t="n">
        <f aca="false">Scenarios!Y54</f>
        <v>-61.0010673750005</v>
      </c>
      <c r="Z40" s="33" t="n">
        <f aca="false">Scenarios!Z54</f>
        <v>-9.88107862500056</v>
      </c>
      <c r="AA40" s="33" t="n">
        <f aca="false">Scenarios!AA54</f>
        <v>39.6085016249994</v>
      </c>
      <c r="AB40" s="33" t="n">
        <f aca="false">Scenarios!AB54</f>
        <v>109.160017312499</v>
      </c>
      <c r="AC40" s="33" t="n">
        <f aca="false">Scenarios!AC54</f>
        <v>172.298089687499</v>
      </c>
      <c r="AD40" s="33" t="n">
        <f aca="false">Scenarios!AD54</f>
        <v>227.502178312499</v>
      </c>
      <c r="AE40" s="33" t="n">
        <f aca="false">Scenarios!AE54</f>
        <v>273.443802187499</v>
      </c>
      <c r="AF40" s="33" t="n">
        <f aca="false">Scenarios!AF54</f>
        <v>166.42770561849</v>
      </c>
      <c r="AG40" s="33" t="n">
        <f aca="false">Scenarios!AG54</f>
        <v>202.154527171739</v>
      </c>
      <c r="AH40" s="33" t="n">
        <f aca="false">Scenarios!AH54</f>
        <v>238.951746659888</v>
      </c>
      <c r="AI40" s="33" t="n">
        <f aca="false">Scenarios!AI54</f>
        <v>276.819364082938</v>
      </c>
      <c r="AJ40" s="33" t="n">
        <f aca="false">Scenarios!AJ54</f>
        <v>310.008649550168</v>
      </c>
      <c r="AK40" s="33" t="n">
        <f aca="false">Scenarios!AK54</f>
        <v>337.793594027472</v>
      </c>
      <c r="AL40" s="33" t="n">
        <f aca="false">Scenarios!AL54</f>
        <v>362.794115855461</v>
      </c>
      <c r="AM40" s="33" t="n">
        <f aca="false">Scenarios!AM54</f>
        <v>386.974162549474</v>
      </c>
      <c r="AN40" s="33" t="n">
        <f aca="false">Scenarios!AN54</f>
        <v>405.558486243486</v>
      </c>
      <c r="AO40" s="33" t="n">
        <f aca="false">Scenarios!AO54</f>
        <v>420.902121437499</v>
      </c>
      <c r="AP40" s="33" t="n">
        <f aca="false">Scenarios!AP54</f>
        <v>436.025334437499</v>
      </c>
      <c r="AQ40" s="33" t="n">
        <f aca="false">Scenarios!AQ54</f>
        <v>442.546968437499</v>
      </c>
      <c r="AR40" s="33" t="n">
        <f aca="false">Scenarios!AR54</f>
        <v>449.068602437499</v>
      </c>
      <c r="AS40" s="33" t="n">
        <f aca="false">Scenarios!AS54</f>
        <v>455.590236437499</v>
      </c>
      <c r="AT40" s="33" t="n">
        <f aca="false">Scenarios!AT54</f>
        <v>455.590236437499</v>
      </c>
      <c r="AU40" s="33" t="n">
        <f aca="false">Scenarios!AU54</f>
        <v>455.590236437499</v>
      </c>
      <c r="AV40" s="33" t="n">
        <f aca="false">Scenarios!AV54</f>
        <v>455.590236437499</v>
      </c>
      <c r="AW40" s="33" t="n">
        <f aca="false">Scenarios!AW54</f>
        <v>455.590236437499</v>
      </c>
      <c r="AX40" s="33" t="n">
        <f aca="false">Scenarios!AX54</f>
        <v>455.590236437499</v>
      </c>
      <c r="AY40" s="33" t="n">
        <f aca="false">Scenarios!AY54</f>
        <v>455.590236437499</v>
      </c>
      <c r="AZ40" s="33" t="n">
        <f aca="false">Scenarios!AZ54</f>
        <v>455.590236437499</v>
      </c>
      <c r="BA40" s="33" t="n">
        <f aca="false">Scenarios!BA54</f>
        <v>455.590236437499</v>
      </c>
      <c r="BB40" s="33" t="n">
        <f aca="false">Scenarios!BB54</f>
        <v>455.590236437499</v>
      </c>
      <c r="BC40" s="33" t="n">
        <f aca="false">Scenarios!BC54</f>
        <v>455.590236437499</v>
      </c>
      <c r="BD40" s="33" t="n">
        <f aca="false">Scenarios!BD54</f>
        <v>455.590236437499</v>
      </c>
      <c r="BE40" s="33" t="n">
        <f aca="false">Scenarios!BE54</f>
        <v>455.590236437499</v>
      </c>
      <c r="BF40" s="33" t="n">
        <f aca="false">Scenarios!BF54</f>
        <v>455.590236437499</v>
      </c>
      <c r="BG40" s="33" t="n">
        <f aca="false">Scenarios!BG54</f>
        <v>455.590236437499</v>
      </c>
      <c r="BH40" s="33" t="n">
        <f aca="false">Scenarios!BH54</f>
        <v>455.590236437499</v>
      </c>
      <c r="BI40" s="33" t="n">
        <f aca="false">Scenarios!BI54</f>
        <v>455.590236437499</v>
      </c>
      <c r="BJ40" s="33" t="n">
        <f aca="false">Scenarios!BJ54</f>
        <v>455.590236437499</v>
      </c>
      <c r="BK40" s="33" t="n">
        <f aca="false">Scenarios!BK54</f>
        <v>455.590236437499</v>
      </c>
    </row>
    <row r="41" customFormat="false" ht="15" hidden="false" customHeight="false" outlineLevel="0" collapsed="false">
      <c r="A41" s="3" t="s">
        <v>403</v>
      </c>
      <c r="B41" s="6" t="s">
        <v>404</v>
      </c>
      <c r="D41" s="29" t="n">
        <v>-91.25</v>
      </c>
      <c r="E41" s="29" t="n">
        <v>-11.25</v>
      </c>
      <c r="F41" s="29" t="n">
        <v>-11.25</v>
      </c>
      <c r="G41" s="29" t="n">
        <v>-11.25</v>
      </c>
      <c r="H41" s="29" t="n">
        <v>-45.5</v>
      </c>
      <c r="I41" s="29" t="n">
        <v>-52.86</v>
      </c>
      <c r="J41" s="29" t="n">
        <v>-54.87468625</v>
      </c>
      <c r="K41" s="29" t="n">
        <v>-25.6093725</v>
      </c>
      <c r="L41" s="29" t="n">
        <v>-22.249194375</v>
      </c>
      <c r="M41" s="29" t="n">
        <v>-7.63901625</v>
      </c>
      <c r="N41" s="29" t="n">
        <v>5.406879</v>
      </c>
      <c r="O41" s="29" t="n">
        <v>6.40395243750001</v>
      </c>
      <c r="P41" s="29" t="n">
        <v>-119.27317040625</v>
      </c>
      <c r="Q41" s="29" t="n">
        <v>254.15931975</v>
      </c>
      <c r="R41" s="29" t="n">
        <v>-72.870134</v>
      </c>
      <c r="S41" s="29" t="n">
        <v>-26.959509</v>
      </c>
      <c r="T41" s="29" t="n">
        <v>35.651439</v>
      </c>
      <c r="U41" s="29" t="n">
        <v>10.844251875</v>
      </c>
      <c r="V41" s="29" t="n">
        <v>10.844251875</v>
      </c>
      <c r="W41" s="29" t="n">
        <v>10.2427520625</v>
      </c>
      <c r="X41" s="29" t="n">
        <v>32.60397571875</v>
      </c>
      <c r="Y41" s="29" t="n">
        <v>31.24144434375</v>
      </c>
      <c r="Z41" s="29" t="n">
        <v>25.85155021875</v>
      </c>
      <c r="AA41" s="29" t="n">
        <v>21.94465021875</v>
      </c>
      <c r="AB41" s="29" t="n">
        <v>44.44465021875</v>
      </c>
      <c r="AC41" s="29" t="n">
        <v>37.89245334375</v>
      </c>
      <c r="AD41" s="29" t="n">
        <v>37.89245334375</v>
      </c>
      <c r="AE41" s="29" t="n">
        <v>37.89245334375</v>
      </c>
      <c r="AF41" s="29" t="n">
        <v>-17.8712214141103</v>
      </c>
      <c r="AG41" s="29" t="n">
        <v>24.5851634495459</v>
      </c>
      <c r="AH41" s="29" t="n">
        <v>21.3375528245458</v>
      </c>
      <c r="AI41" s="29" t="n">
        <v>17.4306528245458</v>
      </c>
      <c r="AJ41" s="29" t="n">
        <v>17.4306528245458</v>
      </c>
      <c r="AK41" s="29" t="n">
        <v>17.8789365510471</v>
      </c>
      <c r="AL41" s="29" t="n">
        <v>17.8789365510471</v>
      </c>
      <c r="AM41" s="29" t="n">
        <v>18.7339240642001</v>
      </c>
      <c r="AN41" s="29" t="n">
        <v>20.6044644832282</v>
      </c>
      <c r="AO41" s="29" t="n">
        <v>19.8817486226545</v>
      </c>
      <c r="AP41" s="29" t="n">
        <v>20.6145950625</v>
      </c>
      <c r="AQ41" s="29" t="n">
        <v>16.8655989375</v>
      </c>
      <c r="AR41" s="29" t="n">
        <v>8.66355075</v>
      </c>
      <c r="AS41" s="29" t="n">
        <v>3.21342525</v>
      </c>
      <c r="AT41" s="29" t="n">
        <v>0</v>
      </c>
      <c r="AU41" s="29" t="n">
        <v>0</v>
      </c>
      <c r="AV41" s="29" t="n">
        <v>0</v>
      </c>
      <c r="AW41" s="29" t="n">
        <v>0</v>
      </c>
      <c r="AX41" s="29" t="n">
        <v>0</v>
      </c>
      <c r="AY41" s="29" t="n">
        <v>0</v>
      </c>
      <c r="AZ41" s="29" t="n">
        <v>0</v>
      </c>
      <c r="BA41" s="29" t="n">
        <v>0</v>
      </c>
      <c r="BB41" s="29" t="n">
        <v>0</v>
      </c>
      <c r="BC41" s="29" t="n">
        <v>0</v>
      </c>
      <c r="BD41" s="29" t="n">
        <v>0</v>
      </c>
      <c r="BE41" s="29" t="n">
        <v>0</v>
      </c>
      <c r="BF41" s="29" t="n">
        <v>0</v>
      </c>
      <c r="BG41" s="29" t="n">
        <v>0</v>
      </c>
      <c r="BH41" s="29" t="n">
        <v>0</v>
      </c>
      <c r="BI41" s="29" t="n">
        <v>0</v>
      </c>
      <c r="BJ41" s="29" t="n">
        <v>0</v>
      </c>
      <c r="BK41" s="29" t="n">
        <v>0</v>
      </c>
    </row>
    <row r="42" customFormat="false" ht="15" hidden="false" customHeight="false" outlineLevel="0" collapsed="false">
      <c r="A42" s="3" t="s">
        <v>405</v>
      </c>
      <c r="D42" s="33" t="n">
        <f aca="false">D41</f>
        <v>-91.25</v>
      </c>
      <c r="E42" s="33" t="n">
        <f aca="false">D42+E41</f>
        <v>-102.5</v>
      </c>
      <c r="F42" s="33" t="n">
        <f aca="false">E42+F41</f>
        <v>-113.75</v>
      </c>
      <c r="G42" s="33" t="n">
        <f aca="false">F42+G41</f>
        <v>-125</v>
      </c>
      <c r="H42" s="33" t="n">
        <f aca="false">G42+H41</f>
        <v>-170.5</v>
      </c>
      <c r="I42" s="33" t="n">
        <f aca="false">H42+I41</f>
        <v>-223.36</v>
      </c>
      <c r="J42" s="33" t="n">
        <f aca="false">I42+J41</f>
        <v>-278.23468625</v>
      </c>
      <c r="K42" s="33" t="n">
        <f aca="false">J42+K41</f>
        <v>-303.84405875</v>
      </c>
      <c r="L42" s="33" t="n">
        <f aca="false">K42+L41</f>
        <v>-326.093253125</v>
      </c>
      <c r="M42" s="33" t="n">
        <f aca="false">L42+M41</f>
        <v>-333.732269375</v>
      </c>
      <c r="N42" s="33" t="n">
        <f aca="false">M42+N41</f>
        <v>-328.325390375</v>
      </c>
      <c r="O42" s="33" t="n">
        <f aca="false">N42+O41</f>
        <v>-321.9214379375</v>
      </c>
      <c r="P42" s="33" t="n">
        <f aca="false">O42+P41</f>
        <v>-441.19460834375</v>
      </c>
      <c r="Q42" s="33" t="n">
        <f aca="false">P42+Q41</f>
        <v>-187.03528859375</v>
      </c>
      <c r="R42" s="33" t="n">
        <f aca="false">Q42+R41</f>
        <v>-259.90542259375</v>
      </c>
      <c r="S42" s="33" t="n">
        <f aca="false">R42+S41</f>
        <v>-286.86493159375</v>
      </c>
      <c r="T42" s="33" t="n">
        <f aca="false">S42+T41</f>
        <v>-251.21349259375</v>
      </c>
      <c r="U42" s="33" t="n">
        <f aca="false">T42+U41</f>
        <v>-240.36924071875</v>
      </c>
      <c r="V42" s="33" t="n">
        <f aca="false">U42+V41</f>
        <v>-229.52498884375</v>
      </c>
      <c r="W42" s="33" t="n">
        <f aca="false">V42+W41</f>
        <v>-219.28223678125</v>
      </c>
      <c r="X42" s="33" t="n">
        <f aca="false">W42+X41</f>
        <v>-186.6782610625</v>
      </c>
      <c r="Y42" s="33" t="n">
        <f aca="false">X42+Y41</f>
        <v>-155.43681671875</v>
      </c>
      <c r="Z42" s="33" t="n">
        <f aca="false">Y42+Z41</f>
        <v>-129.5852665</v>
      </c>
      <c r="AA42" s="33" t="n">
        <f aca="false">Z42+AA41</f>
        <v>-107.64061628125</v>
      </c>
      <c r="AB42" s="33" t="n">
        <f aca="false">AA42+AB41</f>
        <v>-63.1959660625001</v>
      </c>
      <c r="AC42" s="33" t="n">
        <f aca="false">AB42+AC41</f>
        <v>-25.3035127187501</v>
      </c>
      <c r="AD42" s="33" t="n">
        <f aca="false">AC42+AD41</f>
        <v>12.5889406249999</v>
      </c>
      <c r="AE42" s="33" t="n">
        <f aca="false">AD42+AE41</f>
        <v>50.4813939687499</v>
      </c>
      <c r="AF42" s="33" t="n">
        <f aca="false">AE42+AF41</f>
        <v>32.6101725546396</v>
      </c>
      <c r="AG42" s="33" t="n">
        <f aca="false">AF42+AG41</f>
        <v>57.1953360041854</v>
      </c>
      <c r="AH42" s="33" t="n">
        <f aca="false">AG42+AH41</f>
        <v>78.5328888287313</v>
      </c>
      <c r="AI42" s="33" t="n">
        <f aca="false">AH42+AI41</f>
        <v>95.9635416532771</v>
      </c>
      <c r="AJ42" s="33" t="n">
        <f aca="false">AI42+AJ41</f>
        <v>113.394194477823</v>
      </c>
      <c r="AK42" s="33" t="n">
        <f aca="false">AJ42+AK41</f>
        <v>131.27313102887</v>
      </c>
      <c r="AL42" s="33" t="n">
        <f aca="false">AK42+AL41</f>
        <v>149.152067579917</v>
      </c>
      <c r="AM42" s="33" t="n">
        <f aca="false">AL42+AM41</f>
        <v>167.885991644117</v>
      </c>
      <c r="AN42" s="33" t="n">
        <f aca="false">AM42+AN41</f>
        <v>188.490456127345</v>
      </c>
      <c r="AO42" s="33" t="n">
        <f aca="false">AN42+AO41</f>
        <v>208.37220475</v>
      </c>
      <c r="AP42" s="33" t="n">
        <f aca="false">AO42+AP41</f>
        <v>228.9867998125</v>
      </c>
      <c r="AQ42" s="33" t="n">
        <f aca="false">AP42+AQ41</f>
        <v>245.85239875</v>
      </c>
      <c r="AR42" s="33" t="n">
        <f aca="false">AQ42+AR41</f>
        <v>254.5159495</v>
      </c>
      <c r="AS42" s="33" t="n">
        <f aca="false">AR42+AS41</f>
        <v>257.72937475</v>
      </c>
      <c r="AT42" s="33" t="n">
        <f aca="false">AS42+AT41</f>
        <v>257.72937475</v>
      </c>
      <c r="AU42" s="33" t="n">
        <f aca="false">AT42+AU41</f>
        <v>257.72937475</v>
      </c>
      <c r="AV42" s="33" t="n">
        <f aca="false">AU42+AV41</f>
        <v>257.72937475</v>
      </c>
      <c r="AW42" s="33" t="n">
        <f aca="false">AV42+AW41</f>
        <v>257.72937475</v>
      </c>
      <c r="AX42" s="33" t="n">
        <f aca="false">AW42+AX41</f>
        <v>257.72937475</v>
      </c>
      <c r="AY42" s="33" t="n">
        <f aca="false">AX42+AY41</f>
        <v>257.72937475</v>
      </c>
      <c r="AZ42" s="33" t="n">
        <f aca="false">AY42+AZ41</f>
        <v>257.72937475</v>
      </c>
      <c r="BA42" s="33" t="n">
        <f aca="false">AZ42+BA41</f>
        <v>257.72937475</v>
      </c>
      <c r="BB42" s="33" t="n">
        <f aca="false">BA42+BB41</f>
        <v>257.72937475</v>
      </c>
      <c r="BC42" s="33" t="n">
        <f aca="false">BB42+BC41</f>
        <v>257.72937475</v>
      </c>
      <c r="BD42" s="33" t="n">
        <f aca="false">BC42+BD41</f>
        <v>257.72937475</v>
      </c>
      <c r="BE42" s="33" t="n">
        <f aca="false">BD42+BE41</f>
        <v>257.72937475</v>
      </c>
      <c r="BF42" s="33" t="n">
        <f aca="false">BE42+BF41</f>
        <v>257.72937475</v>
      </c>
      <c r="BG42" s="33" t="n">
        <f aca="false">BF42+BG41</f>
        <v>257.72937475</v>
      </c>
      <c r="BH42" s="33" t="n">
        <f aca="false">BG42+BH41</f>
        <v>257.72937475</v>
      </c>
      <c r="BI42" s="33" t="n">
        <f aca="false">BH42+BI41</f>
        <v>257.72937475</v>
      </c>
      <c r="BJ42" s="33" t="n">
        <f aca="false">BI42+BJ41</f>
        <v>257.72937475</v>
      </c>
      <c r="BK42" s="33" t="n">
        <f aca="false">BJ42+BK41</f>
        <v>257.72937475</v>
      </c>
    </row>
    <row r="43" customFormat="false" ht="15" hidden="false" customHeight="false" outlineLevel="0" collapsed="false">
      <c r="A43" s="3" t="s">
        <v>406</v>
      </c>
      <c r="D43" s="33" t="n">
        <f aca="false">D40+D42</f>
        <v>-91.25</v>
      </c>
      <c r="E43" s="33" t="n">
        <f aca="false">E40+E42</f>
        <v>-102.5</v>
      </c>
      <c r="F43" s="33" t="n">
        <f aca="false">F40+F42</f>
        <v>-113.75</v>
      </c>
      <c r="G43" s="33" t="n">
        <f aca="false">G40+G42</f>
        <v>-210</v>
      </c>
      <c r="H43" s="33" t="n">
        <f aca="false">H40+H42</f>
        <v>-278</v>
      </c>
      <c r="I43" s="33" t="n">
        <f aca="false">I40+I42</f>
        <v>-353.36</v>
      </c>
      <c r="J43" s="33" t="n">
        <f aca="false">J40+J42</f>
        <v>-453.73468625</v>
      </c>
      <c r="K43" s="33" t="n">
        <f aca="false">K40+K42</f>
        <v>-532.20405875</v>
      </c>
      <c r="L43" s="33" t="n">
        <f aca="false">L40+L42</f>
        <v>-629.149168125</v>
      </c>
      <c r="M43" s="33" t="n">
        <f aca="false">M40+M42</f>
        <v>-679.540014375</v>
      </c>
      <c r="N43" s="33" t="n">
        <f aca="false">N40+N42</f>
        <v>-697.058392875</v>
      </c>
      <c r="O43" s="33" t="n">
        <f aca="false">O40+O42</f>
        <v>-703.8978894375</v>
      </c>
      <c r="P43" s="33" t="n">
        <f aca="false">P40+P42</f>
        <v>-838.15753734375</v>
      </c>
      <c r="Q43" s="33" t="n">
        <f aca="false">Q40+Q42</f>
        <v>-593.68754484375</v>
      </c>
      <c r="R43" s="33" t="n">
        <f aca="false">R40+R42</f>
        <v>-792.01517534375</v>
      </c>
      <c r="S43" s="33" t="n">
        <f aca="false">S40+S42</f>
        <v>-924.65928434375</v>
      </c>
      <c r="T43" s="33" t="n">
        <f aca="false">T40+T42</f>
        <v>-1026.01956071875</v>
      </c>
      <c r="U43" s="33" t="n">
        <f aca="false">U40+U42</f>
        <v>-1088.97352459375</v>
      </c>
      <c r="V43" s="33" t="n">
        <f aca="false">V40+V42</f>
        <v>-515.137865968751</v>
      </c>
      <c r="W43" s="33" t="n">
        <f aca="false">W40+W42</f>
        <v>-402.208954656251</v>
      </c>
      <c r="X43" s="33" t="n">
        <f aca="false">X40+X42</f>
        <v>-298.175333687501</v>
      </c>
      <c r="Y43" s="33" t="n">
        <f aca="false">Y40+Y42</f>
        <v>-216.437884093751</v>
      </c>
      <c r="Z43" s="33" t="n">
        <f aca="false">Z40+Z42</f>
        <v>-139.466345125001</v>
      </c>
      <c r="AA43" s="33" t="n">
        <f aca="false">AA40+AA42</f>
        <v>-68.0321146562507</v>
      </c>
      <c r="AB43" s="33" t="n">
        <f aca="false">AB40+AB42</f>
        <v>45.9640512499993</v>
      </c>
      <c r="AC43" s="33" t="n">
        <f aca="false">AC40+AC42</f>
        <v>146.994576968749</v>
      </c>
      <c r="AD43" s="33" t="n">
        <f aca="false">AD40+AD42</f>
        <v>240.091118937499</v>
      </c>
      <c r="AE43" s="33" t="n">
        <f aca="false">AE40+AE42</f>
        <v>323.925196156249</v>
      </c>
      <c r="AF43" s="33" t="n">
        <f aca="false">AF40+AF42</f>
        <v>199.03787817313</v>
      </c>
      <c r="AG43" s="33" t="n">
        <f aca="false">AG40+AG42</f>
        <v>259.349863175924</v>
      </c>
      <c r="AH43" s="33" t="n">
        <f aca="false">AH40+AH42</f>
        <v>317.484635488619</v>
      </c>
      <c r="AI43" s="33" t="n">
        <f aca="false">AI40+AI42</f>
        <v>372.782905736215</v>
      </c>
      <c r="AJ43" s="33" t="n">
        <f aca="false">AJ40+AJ42</f>
        <v>423.402844027991</v>
      </c>
      <c r="AK43" s="33" t="n">
        <f aca="false">AK40+AK42</f>
        <v>469.066725056342</v>
      </c>
      <c r="AL43" s="33" t="n">
        <f aca="false">AL40+AL42</f>
        <v>511.946183435378</v>
      </c>
      <c r="AM43" s="33" t="n">
        <f aca="false">AM40+AM42</f>
        <v>554.860154193591</v>
      </c>
      <c r="AN43" s="33" t="n">
        <f aca="false">AN40+AN42</f>
        <v>594.048942370832</v>
      </c>
      <c r="AO43" s="33" t="n">
        <f aca="false">AO40+AO42</f>
        <v>629.274326187499</v>
      </c>
      <c r="AP43" s="33" t="n">
        <f aca="false">AP40+AP42</f>
        <v>665.012134249999</v>
      </c>
      <c r="AQ43" s="33" t="n">
        <f aca="false">AQ40+AQ42</f>
        <v>688.399367187499</v>
      </c>
      <c r="AR43" s="33" t="n">
        <f aca="false">AR40+AR42</f>
        <v>703.584551937499</v>
      </c>
      <c r="AS43" s="33" t="n">
        <f aca="false">AS40+AS42</f>
        <v>713.319611187499</v>
      </c>
      <c r="AT43" s="33" t="n">
        <f aca="false">AT40+AT42</f>
        <v>713.319611187499</v>
      </c>
      <c r="AU43" s="33" t="n">
        <f aca="false">AU40+AU42</f>
        <v>713.319611187499</v>
      </c>
      <c r="AV43" s="33" t="n">
        <f aca="false">AV40+AV42</f>
        <v>713.319611187499</v>
      </c>
      <c r="AW43" s="33" t="n">
        <f aca="false">AW40+AW42</f>
        <v>713.319611187499</v>
      </c>
      <c r="AX43" s="33" t="n">
        <f aca="false">AX40+AX42</f>
        <v>713.319611187499</v>
      </c>
      <c r="AY43" s="33" t="n">
        <f aca="false">AY40+AY42</f>
        <v>713.319611187499</v>
      </c>
      <c r="AZ43" s="33" t="n">
        <f aca="false">AZ40+AZ42</f>
        <v>713.319611187499</v>
      </c>
      <c r="BA43" s="33" t="n">
        <f aca="false">BA40+BA42</f>
        <v>713.319611187499</v>
      </c>
      <c r="BB43" s="33" t="n">
        <f aca="false">BB40+BB42</f>
        <v>713.319611187499</v>
      </c>
      <c r="BC43" s="33" t="n">
        <f aca="false">BC40+BC42</f>
        <v>713.319611187499</v>
      </c>
      <c r="BD43" s="33" t="n">
        <f aca="false">BD40+BD42</f>
        <v>713.319611187499</v>
      </c>
      <c r="BE43" s="33" t="n">
        <f aca="false">BE40+BE42</f>
        <v>713.319611187499</v>
      </c>
      <c r="BF43" s="33" t="n">
        <f aca="false">BF40+BF42</f>
        <v>713.319611187499</v>
      </c>
      <c r="BG43" s="33" t="n">
        <f aca="false">BG40+BG42</f>
        <v>713.319611187499</v>
      </c>
      <c r="BH43" s="33" t="n">
        <f aca="false">BH40+BH42</f>
        <v>713.319611187499</v>
      </c>
      <c r="BI43" s="33" t="n">
        <f aca="false">BI40+BI42</f>
        <v>713.319611187499</v>
      </c>
      <c r="BJ43" s="33" t="n">
        <f aca="false">BJ40+BJ42</f>
        <v>713.319611187499</v>
      </c>
      <c r="BK43" s="33" t="n">
        <f aca="false">BK40+BK42</f>
        <v>713.319611187499</v>
      </c>
    </row>
    <row r="44" customFormat="false" ht="15" hidden="false" customHeight="false" outlineLevel="0" collapsed="false">
      <c r="A44" s="2" t="s">
        <v>407</v>
      </c>
      <c r="B44" s="41" t="n">
        <f aca="false">-MIN(D40:BK40)</f>
        <v>848.604283875</v>
      </c>
    </row>
    <row r="45" customFormat="false" ht="15" hidden="false" customHeight="false" outlineLevel="0" collapsed="false">
      <c r="A45" s="2" t="s">
        <v>408</v>
      </c>
      <c r="B45" s="41" t="n">
        <f aca="false">-MIN(D42:BK42)</f>
        <v>441.19460834375</v>
      </c>
    </row>
    <row r="46" customFormat="false" ht="15" hidden="false" customHeight="false" outlineLevel="0" collapsed="false">
      <c r="A46" s="2" t="s">
        <v>409</v>
      </c>
      <c r="B46" s="41" t="n">
        <f aca="false">-MIN(D43:BK43)</f>
        <v>1088.97352459375</v>
      </c>
    </row>
    <row r="47" customFormat="false" ht="15" hidden="false" customHeight="false" outlineLevel="0" collapsed="false">
      <c r="A47" s="2" t="s">
        <v>410</v>
      </c>
      <c r="B47" s="35" t="n">
        <f aca="false">INDEX(D$5:BK$5,MATCH(MIN(D43:BK43),D43:BK43,0))</f>
        <v>54</v>
      </c>
    </row>
    <row r="50" customFormat="false" ht="15" hidden="false" customHeight="false" outlineLevel="0" collapsed="false">
      <c r="A50" s="8" t="s">
        <v>71</v>
      </c>
    </row>
    <row r="51" customFormat="false" ht="15" hidden="false" customHeight="false" outlineLevel="0" collapsed="false">
      <c r="A51" s="3" t="s">
        <v>402</v>
      </c>
      <c r="D51" s="33" t="n">
        <f aca="false">Scenarios!D90</f>
        <v>0</v>
      </c>
      <c r="E51" s="33" t="n">
        <f aca="false">Scenarios!E90</f>
        <v>0</v>
      </c>
      <c r="F51" s="33" t="n">
        <f aca="false">Scenarios!F90</f>
        <v>0</v>
      </c>
      <c r="G51" s="33" t="n">
        <f aca="false">Scenarios!G90</f>
        <v>-85</v>
      </c>
      <c r="H51" s="33" t="n">
        <f aca="false">Scenarios!H90</f>
        <v>-87.572785</v>
      </c>
      <c r="I51" s="33" t="n">
        <f aca="false">Scenarios!I90</f>
        <v>-70.218355</v>
      </c>
      <c r="J51" s="33" t="n">
        <f aca="false">Scenarios!J90</f>
        <v>-51.6314475</v>
      </c>
      <c r="K51" s="33" t="n">
        <f aca="false">Scenarios!K90</f>
        <v>-28.5712185</v>
      </c>
      <c r="L51" s="33" t="n">
        <f aca="false">Scenarios!L90</f>
        <v>-61.716691</v>
      </c>
      <c r="M51" s="33" t="n">
        <f aca="false">Scenarios!M90</f>
        <v>-72.74786875</v>
      </c>
      <c r="N51" s="33" t="n">
        <f aca="false">Scenarios!N90</f>
        <v>-64.02814225</v>
      </c>
      <c r="O51" s="33" t="n">
        <f aca="false">Scenarios!O90</f>
        <v>-31.14154225</v>
      </c>
      <c r="P51" s="33" t="n">
        <f aca="false">Scenarios!P90</f>
        <v>24.5888056250001</v>
      </c>
      <c r="Q51" s="33" t="n">
        <f aca="false">Scenarios!Q90</f>
        <v>91.5189863750001</v>
      </c>
      <c r="R51" s="33" t="n">
        <f aca="false">Scenarios!R90</f>
        <v>640.369594625</v>
      </c>
      <c r="S51" s="33" t="n">
        <f aca="false">Scenarios!S90</f>
        <v>626.624900375</v>
      </c>
      <c r="T51" s="33" t="n">
        <f aca="false">Scenarios!T90</f>
        <v>507.827800125</v>
      </c>
      <c r="U51" s="33" t="n">
        <f aca="false">Scenarios!U90</f>
        <v>417.495139875</v>
      </c>
      <c r="V51" s="33" t="n">
        <f aca="false">Scenarios!V90</f>
        <v>462.475126125</v>
      </c>
      <c r="W51" s="33" t="n">
        <f aca="false">Scenarios!W90</f>
        <v>505.462390875</v>
      </c>
      <c r="X51" s="33" t="n">
        <f aca="false">Scenarios!X90</f>
        <v>567.9697989375</v>
      </c>
      <c r="Y51" s="33" t="n">
        <f aca="false">Scenarios!Y90</f>
        <v>622.6385540625</v>
      </c>
      <c r="Z51" s="33" t="n">
        <f aca="false">Scenarios!Z90</f>
        <v>667.6102179375</v>
      </c>
      <c r="AA51" s="33" t="n">
        <f aca="false">Scenarios!AA90</f>
        <v>701.2610915625</v>
      </c>
      <c r="AB51" s="33" t="n">
        <f aca="false">Scenarios!AB90</f>
        <v>757.4119651875</v>
      </c>
      <c r="AC51" s="33" t="n">
        <f aca="false">Scenarios!AC90</f>
        <v>813.5628388125</v>
      </c>
      <c r="AD51" s="33" t="n">
        <f aca="false">Scenarios!AD90</f>
        <v>869.7137124375</v>
      </c>
      <c r="AE51" s="33" t="n">
        <f aca="false">Scenarios!AE90</f>
        <v>925.8645860625</v>
      </c>
      <c r="AF51" s="33" t="n">
        <f aca="false">Scenarios!AF90</f>
        <v>644.763604819009</v>
      </c>
      <c r="AG51" s="33" t="n">
        <f aca="false">Scenarios!AG90</f>
        <v>663.262123578261</v>
      </c>
      <c r="AH51" s="33" t="n">
        <f aca="false">Scenarios!AH90</f>
        <v>679.822202840111</v>
      </c>
      <c r="AI51" s="33" t="n">
        <f aca="false">Scenarios!AI90</f>
        <v>694.443842604561</v>
      </c>
      <c r="AJ51" s="33" t="n">
        <f aca="false">Scenarios!AJ90</f>
        <v>705.941504512331</v>
      </c>
      <c r="AK51" s="33" t="n">
        <f aca="false">Scenarios!AK90</f>
        <v>715.629956222527</v>
      </c>
      <c r="AL51" s="33" t="n">
        <f aca="false">Scenarios!AL90</f>
        <v>724.072937144539</v>
      </c>
      <c r="AM51" s="33" t="n">
        <f aca="false">Scenarios!AM90</f>
        <v>727.713832200526</v>
      </c>
      <c r="AN51" s="33" t="n">
        <f aca="false">Scenarios!AN90</f>
        <v>731.354727256513</v>
      </c>
      <c r="AO51" s="33" t="n">
        <f aca="false">Scenarios!AO90</f>
        <v>734.9956223125</v>
      </c>
      <c r="AP51" s="33" t="n">
        <f aca="false">Scenarios!AP90</f>
        <v>734.9956223125</v>
      </c>
      <c r="AQ51" s="33" t="n">
        <f aca="false">Scenarios!AQ90</f>
        <v>734.9956223125</v>
      </c>
      <c r="AR51" s="33" t="n">
        <f aca="false">Scenarios!AR90</f>
        <v>734.9956223125</v>
      </c>
      <c r="AS51" s="33" t="n">
        <f aca="false">Scenarios!AS90</f>
        <v>734.9956223125</v>
      </c>
      <c r="AT51" s="33" t="n">
        <f aca="false">Scenarios!AT90</f>
        <v>734.9956223125</v>
      </c>
      <c r="AU51" s="33" t="n">
        <f aca="false">Scenarios!AU90</f>
        <v>734.9956223125</v>
      </c>
      <c r="AV51" s="33" t="n">
        <f aca="false">Scenarios!AV90</f>
        <v>734.9956223125</v>
      </c>
      <c r="AW51" s="33" t="n">
        <f aca="false">Scenarios!AW90</f>
        <v>734.9956223125</v>
      </c>
      <c r="AX51" s="33" t="n">
        <f aca="false">Scenarios!AX90</f>
        <v>734.9956223125</v>
      </c>
      <c r="AY51" s="33" t="n">
        <f aca="false">Scenarios!AY90</f>
        <v>734.9956223125</v>
      </c>
      <c r="AZ51" s="33" t="n">
        <f aca="false">Scenarios!AZ90</f>
        <v>734.9956223125</v>
      </c>
      <c r="BA51" s="33" t="n">
        <f aca="false">Scenarios!BA90</f>
        <v>734.9956223125</v>
      </c>
      <c r="BB51" s="33" t="n">
        <f aca="false">Scenarios!BB90</f>
        <v>734.9956223125</v>
      </c>
      <c r="BC51" s="33" t="n">
        <f aca="false">Scenarios!BC90</f>
        <v>734.9956223125</v>
      </c>
      <c r="BD51" s="33" t="n">
        <f aca="false">Scenarios!BD90</f>
        <v>734.9956223125</v>
      </c>
      <c r="BE51" s="33" t="n">
        <f aca="false">Scenarios!BE90</f>
        <v>734.9956223125</v>
      </c>
      <c r="BF51" s="33" t="n">
        <f aca="false">Scenarios!BF90</f>
        <v>734.9956223125</v>
      </c>
      <c r="BG51" s="33" t="n">
        <f aca="false">Scenarios!BG90</f>
        <v>734.9956223125</v>
      </c>
      <c r="BH51" s="33" t="n">
        <f aca="false">Scenarios!BH90</f>
        <v>734.9956223125</v>
      </c>
      <c r="BI51" s="33" t="n">
        <f aca="false">Scenarios!BI90</f>
        <v>734.9956223125</v>
      </c>
      <c r="BJ51" s="33" t="n">
        <f aca="false">Scenarios!BJ90</f>
        <v>734.9956223125</v>
      </c>
      <c r="BK51" s="33" t="n">
        <f aca="false">Scenarios!BK90</f>
        <v>734.9956223125</v>
      </c>
    </row>
    <row r="52" customFormat="false" ht="15" hidden="false" customHeight="false" outlineLevel="0" collapsed="false">
      <c r="A52" s="3" t="s">
        <v>403</v>
      </c>
      <c r="B52" s="6" t="s">
        <v>404</v>
      </c>
      <c r="D52" s="29" t="n">
        <v>-91.25</v>
      </c>
      <c r="E52" s="29" t="n">
        <v>-11.25</v>
      </c>
      <c r="F52" s="29" t="n">
        <v>5.40316125</v>
      </c>
      <c r="G52" s="29" t="n">
        <v>22.0563225</v>
      </c>
      <c r="H52" s="29" t="n">
        <v>5.663206875</v>
      </c>
      <c r="I52" s="29" t="n">
        <v>16.16009125</v>
      </c>
      <c r="J52" s="29" t="n">
        <v>-13.220259</v>
      </c>
      <c r="K52" s="29" t="n">
        <v>3.63838631250002</v>
      </c>
      <c r="L52" s="29" t="n">
        <v>13.77834728125</v>
      </c>
      <c r="M52" s="29" t="n">
        <v>470.19583525</v>
      </c>
      <c r="N52" s="29" t="n">
        <v>156.625614</v>
      </c>
      <c r="O52" s="29" t="n">
        <v>146.677489</v>
      </c>
      <c r="P52" s="29" t="n">
        <v>-84.426019</v>
      </c>
      <c r="Q52" s="29" t="n">
        <v>-114.745914375</v>
      </c>
      <c r="R52" s="29" t="n">
        <v>-165.345914375</v>
      </c>
      <c r="S52" s="29" t="n">
        <v>-112.0310808125</v>
      </c>
      <c r="T52" s="29" t="n">
        <v>22.34930365625</v>
      </c>
      <c r="U52" s="29" t="n">
        <v>20.68398753125</v>
      </c>
      <c r="V52" s="29" t="n">
        <v>14.09633915625</v>
      </c>
      <c r="W52" s="29" t="n">
        <v>9.32123915625</v>
      </c>
      <c r="X52" s="29" t="n">
        <v>31.82123915625</v>
      </c>
      <c r="Y52" s="29" t="n">
        <v>23.81299853125</v>
      </c>
      <c r="Z52" s="29" t="n">
        <v>23.81299853125</v>
      </c>
      <c r="AA52" s="29" t="n">
        <v>23.81299853125</v>
      </c>
      <c r="AB52" s="29" t="n">
        <v>39.94619853125</v>
      </c>
      <c r="AC52" s="29" t="n">
        <v>36.34249025</v>
      </c>
      <c r="AD52" s="29" t="n">
        <v>32.373188375</v>
      </c>
      <c r="AE52" s="29" t="n">
        <v>27.598088375</v>
      </c>
      <c r="AF52" s="29" t="n">
        <v>-137.363857570265</v>
      </c>
      <c r="AG52" s="29" t="n">
        <v>10.7946648317042</v>
      </c>
      <c r="AH52" s="29" t="n">
        <v>10.7946648317042</v>
      </c>
      <c r="AI52" s="29" t="n">
        <v>10.7946648317042</v>
      </c>
      <c r="AJ52" s="29" t="n">
        <v>10.7946648317042</v>
      </c>
      <c r="AK52" s="29" t="n">
        <v>9.85496633957795</v>
      </c>
      <c r="AL52" s="29" t="n">
        <v>9.85496633957795</v>
      </c>
      <c r="AM52" s="29" t="n">
        <v>8.0627297951749</v>
      </c>
      <c r="AN52" s="29" t="n">
        <v>4.14167732927183</v>
      </c>
      <c r="AO52" s="29" t="n">
        <v>1.53620275234547</v>
      </c>
      <c r="AP52" s="29" t="n">
        <v>0</v>
      </c>
      <c r="AQ52" s="29" t="n">
        <v>0</v>
      </c>
      <c r="AR52" s="29" t="n">
        <v>0</v>
      </c>
      <c r="AS52" s="29" t="n">
        <v>0</v>
      </c>
      <c r="AT52" s="29" t="n">
        <v>0</v>
      </c>
      <c r="AU52" s="29" t="n">
        <v>0</v>
      </c>
      <c r="AV52" s="29" t="n">
        <v>0</v>
      </c>
      <c r="AW52" s="29" t="n">
        <v>0</v>
      </c>
      <c r="AX52" s="29" t="n">
        <v>0</v>
      </c>
      <c r="AY52" s="29" t="n">
        <v>0</v>
      </c>
      <c r="AZ52" s="29" t="n">
        <v>0</v>
      </c>
      <c r="BA52" s="29" t="n">
        <v>0</v>
      </c>
      <c r="BB52" s="29" t="n">
        <v>0</v>
      </c>
      <c r="BC52" s="29" t="n">
        <v>0</v>
      </c>
      <c r="BD52" s="29" t="n">
        <v>0</v>
      </c>
      <c r="BE52" s="29" t="n">
        <v>0</v>
      </c>
      <c r="BF52" s="29" t="n">
        <v>0</v>
      </c>
      <c r="BG52" s="29" t="n">
        <v>0</v>
      </c>
      <c r="BH52" s="29" t="n">
        <v>0</v>
      </c>
      <c r="BI52" s="29" t="n">
        <v>0</v>
      </c>
      <c r="BJ52" s="29" t="n">
        <v>0</v>
      </c>
      <c r="BK52" s="29" t="n">
        <v>0</v>
      </c>
    </row>
    <row r="53" customFormat="false" ht="15" hidden="false" customHeight="false" outlineLevel="0" collapsed="false">
      <c r="A53" s="3" t="s">
        <v>405</v>
      </c>
      <c r="D53" s="33" t="n">
        <f aca="false">D52</f>
        <v>-91.25</v>
      </c>
      <c r="E53" s="33" t="n">
        <f aca="false">D53+E52</f>
        <v>-102.5</v>
      </c>
      <c r="F53" s="33" t="n">
        <f aca="false">E53+F52</f>
        <v>-97.09683875</v>
      </c>
      <c r="G53" s="33" t="n">
        <f aca="false">F53+G52</f>
        <v>-75.04051625</v>
      </c>
      <c r="H53" s="33" t="n">
        <f aca="false">G53+H52</f>
        <v>-69.377309375</v>
      </c>
      <c r="I53" s="33" t="n">
        <f aca="false">H53+I52</f>
        <v>-53.217218125</v>
      </c>
      <c r="J53" s="33" t="n">
        <f aca="false">I53+J52</f>
        <v>-66.437477125</v>
      </c>
      <c r="K53" s="33" t="n">
        <f aca="false">J53+K52</f>
        <v>-62.7990908125</v>
      </c>
      <c r="L53" s="33" t="n">
        <f aca="false">K53+L52</f>
        <v>-49.02074353125</v>
      </c>
      <c r="M53" s="33" t="n">
        <f aca="false">L53+M52</f>
        <v>421.17509171875</v>
      </c>
      <c r="N53" s="33" t="n">
        <f aca="false">M53+N52</f>
        <v>577.80070571875</v>
      </c>
      <c r="O53" s="33" t="n">
        <f aca="false">N53+O52</f>
        <v>724.47819471875</v>
      </c>
      <c r="P53" s="33" t="n">
        <f aca="false">O53+P52</f>
        <v>640.05217571875</v>
      </c>
      <c r="Q53" s="33" t="n">
        <f aca="false">P53+Q52</f>
        <v>525.30626134375</v>
      </c>
      <c r="R53" s="33" t="n">
        <f aca="false">Q53+R52</f>
        <v>359.96034696875</v>
      </c>
      <c r="S53" s="33" t="n">
        <f aca="false">R53+S52</f>
        <v>247.92926615625</v>
      </c>
      <c r="T53" s="33" t="n">
        <f aca="false">S53+T52</f>
        <v>270.2785698125</v>
      </c>
      <c r="U53" s="33" t="n">
        <f aca="false">T53+U52</f>
        <v>290.96255734375</v>
      </c>
      <c r="V53" s="33" t="n">
        <f aca="false">U53+V52</f>
        <v>305.0588965</v>
      </c>
      <c r="W53" s="33" t="n">
        <f aca="false">V53+W52</f>
        <v>314.38013565625</v>
      </c>
      <c r="X53" s="33" t="n">
        <f aca="false">W53+X52</f>
        <v>346.2013748125</v>
      </c>
      <c r="Y53" s="33" t="n">
        <f aca="false">X53+Y52</f>
        <v>370.01437334375</v>
      </c>
      <c r="Z53" s="33" t="n">
        <f aca="false">Y53+Z52</f>
        <v>393.827371875</v>
      </c>
      <c r="AA53" s="33" t="n">
        <f aca="false">Z53+AA52</f>
        <v>417.64037040625</v>
      </c>
      <c r="AB53" s="33" t="n">
        <f aca="false">AA53+AB52</f>
        <v>457.5865689375</v>
      </c>
      <c r="AC53" s="33" t="n">
        <f aca="false">AB53+AC52</f>
        <v>493.9290591875</v>
      </c>
      <c r="AD53" s="33" t="n">
        <f aca="false">AC53+AD52</f>
        <v>526.3022475625</v>
      </c>
      <c r="AE53" s="33" t="n">
        <f aca="false">AD53+AE52</f>
        <v>553.9003359375</v>
      </c>
      <c r="AF53" s="33" t="n">
        <f aca="false">AE53+AF52</f>
        <v>416.536478367235</v>
      </c>
      <c r="AG53" s="33" t="n">
        <f aca="false">AF53+AG52</f>
        <v>427.331143198939</v>
      </c>
      <c r="AH53" s="33" t="n">
        <f aca="false">AG53+AH52</f>
        <v>438.125808030644</v>
      </c>
      <c r="AI53" s="33" t="n">
        <f aca="false">AH53+AI52</f>
        <v>448.920472862348</v>
      </c>
      <c r="AJ53" s="33" t="n">
        <f aca="false">AI53+AJ52</f>
        <v>459.715137694052</v>
      </c>
      <c r="AK53" s="33" t="n">
        <f aca="false">AJ53+AK52</f>
        <v>469.57010403363</v>
      </c>
      <c r="AL53" s="33" t="n">
        <f aca="false">AK53+AL52</f>
        <v>479.425070373208</v>
      </c>
      <c r="AM53" s="33" t="n">
        <f aca="false">AL53+AM52</f>
        <v>487.487800168383</v>
      </c>
      <c r="AN53" s="33" t="n">
        <f aca="false">AM53+AN52</f>
        <v>491.629477497655</v>
      </c>
      <c r="AO53" s="33" t="n">
        <f aca="false">AN53+AO52</f>
        <v>493.16568025</v>
      </c>
      <c r="AP53" s="33" t="n">
        <f aca="false">AO53+AP52</f>
        <v>493.16568025</v>
      </c>
      <c r="AQ53" s="33" t="n">
        <f aca="false">AP53+AQ52</f>
        <v>493.16568025</v>
      </c>
      <c r="AR53" s="33" t="n">
        <f aca="false">AQ53+AR52</f>
        <v>493.16568025</v>
      </c>
      <c r="AS53" s="33" t="n">
        <f aca="false">AR53+AS52</f>
        <v>493.16568025</v>
      </c>
      <c r="AT53" s="33" t="n">
        <f aca="false">AS53+AT52</f>
        <v>493.16568025</v>
      </c>
      <c r="AU53" s="33" t="n">
        <f aca="false">AT53+AU52</f>
        <v>493.16568025</v>
      </c>
      <c r="AV53" s="33" t="n">
        <f aca="false">AU53+AV52</f>
        <v>493.16568025</v>
      </c>
      <c r="AW53" s="33" t="n">
        <f aca="false">AV53+AW52</f>
        <v>493.16568025</v>
      </c>
      <c r="AX53" s="33" t="n">
        <f aca="false">AW53+AX52</f>
        <v>493.16568025</v>
      </c>
      <c r="AY53" s="33" t="n">
        <f aca="false">AX53+AY52</f>
        <v>493.16568025</v>
      </c>
      <c r="AZ53" s="33" t="n">
        <f aca="false">AY53+AZ52</f>
        <v>493.16568025</v>
      </c>
      <c r="BA53" s="33" t="n">
        <f aca="false">AZ53+BA52</f>
        <v>493.16568025</v>
      </c>
      <c r="BB53" s="33" t="n">
        <f aca="false">BA53+BB52</f>
        <v>493.16568025</v>
      </c>
      <c r="BC53" s="33" t="n">
        <f aca="false">BB53+BC52</f>
        <v>493.16568025</v>
      </c>
      <c r="BD53" s="33" t="n">
        <f aca="false">BC53+BD52</f>
        <v>493.16568025</v>
      </c>
      <c r="BE53" s="33" t="n">
        <f aca="false">BD53+BE52</f>
        <v>493.16568025</v>
      </c>
      <c r="BF53" s="33" t="n">
        <f aca="false">BE53+BF52</f>
        <v>493.16568025</v>
      </c>
      <c r="BG53" s="33" t="n">
        <f aca="false">BF53+BG52</f>
        <v>493.16568025</v>
      </c>
      <c r="BH53" s="33" t="n">
        <f aca="false">BG53+BH52</f>
        <v>493.16568025</v>
      </c>
      <c r="BI53" s="33" t="n">
        <f aca="false">BH53+BI52</f>
        <v>493.16568025</v>
      </c>
      <c r="BJ53" s="33" t="n">
        <f aca="false">BI53+BJ52</f>
        <v>493.16568025</v>
      </c>
      <c r="BK53" s="33" t="n">
        <f aca="false">BJ53+BK52</f>
        <v>493.16568025</v>
      </c>
    </row>
    <row r="54" customFormat="false" ht="15" hidden="false" customHeight="false" outlineLevel="0" collapsed="false">
      <c r="A54" s="3" t="s">
        <v>406</v>
      </c>
      <c r="D54" s="33" t="n">
        <f aca="false">D51+D53</f>
        <v>-91.25</v>
      </c>
      <c r="E54" s="33" t="n">
        <f aca="false">E51+E53</f>
        <v>-102.5</v>
      </c>
      <c r="F54" s="33" t="n">
        <f aca="false">F51+F53</f>
        <v>-97.09683875</v>
      </c>
      <c r="G54" s="33" t="n">
        <f aca="false">G51+G53</f>
        <v>-160.04051625</v>
      </c>
      <c r="H54" s="33" t="n">
        <f aca="false">H51+H53</f>
        <v>-156.950094375</v>
      </c>
      <c r="I54" s="33" t="n">
        <f aca="false">I51+I53</f>
        <v>-123.435573125</v>
      </c>
      <c r="J54" s="33" t="n">
        <f aca="false">J51+J53</f>
        <v>-118.068924625</v>
      </c>
      <c r="K54" s="33" t="n">
        <f aca="false">K51+K53</f>
        <v>-91.3703093125</v>
      </c>
      <c r="L54" s="33" t="n">
        <f aca="false">L51+L53</f>
        <v>-110.73743453125</v>
      </c>
      <c r="M54" s="33" t="n">
        <f aca="false">M51+M53</f>
        <v>348.42722296875</v>
      </c>
      <c r="N54" s="33" t="n">
        <f aca="false">N51+N53</f>
        <v>513.77256346875</v>
      </c>
      <c r="O54" s="33" t="n">
        <f aca="false">O51+O53</f>
        <v>693.33665246875</v>
      </c>
      <c r="P54" s="33" t="n">
        <f aca="false">P51+P53</f>
        <v>664.64098134375</v>
      </c>
      <c r="Q54" s="33" t="n">
        <f aca="false">Q51+Q53</f>
        <v>616.82524771875</v>
      </c>
      <c r="R54" s="33" t="n">
        <f aca="false">R51+R53</f>
        <v>1000.32994159375</v>
      </c>
      <c r="S54" s="33" t="n">
        <f aca="false">S51+S53</f>
        <v>874.55416653125</v>
      </c>
      <c r="T54" s="33" t="n">
        <f aca="false">T51+T53</f>
        <v>778.1063699375</v>
      </c>
      <c r="U54" s="33" t="n">
        <f aca="false">U51+U53</f>
        <v>708.45769721875</v>
      </c>
      <c r="V54" s="33" t="n">
        <f aca="false">V51+V53</f>
        <v>767.534022625</v>
      </c>
      <c r="W54" s="33" t="n">
        <f aca="false">W51+W53</f>
        <v>819.84252653125</v>
      </c>
      <c r="X54" s="33" t="n">
        <f aca="false">X51+X53</f>
        <v>914.17117375</v>
      </c>
      <c r="Y54" s="33" t="n">
        <f aca="false">Y51+Y53</f>
        <v>992.65292740625</v>
      </c>
      <c r="Z54" s="33" t="n">
        <f aca="false">Z51+Z53</f>
        <v>1061.4375898125</v>
      </c>
      <c r="AA54" s="33" t="n">
        <f aca="false">AA51+AA53</f>
        <v>1118.90146196875</v>
      </c>
      <c r="AB54" s="33" t="n">
        <f aca="false">AB51+AB53</f>
        <v>1214.998534125</v>
      </c>
      <c r="AC54" s="33" t="n">
        <f aca="false">AC51+AC53</f>
        <v>1307.491898</v>
      </c>
      <c r="AD54" s="33" t="n">
        <f aca="false">AD51+AD53</f>
        <v>1396.01596</v>
      </c>
      <c r="AE54" s="33" t="n">
        <f aca="false">AE51+AE53</f>
        <v>1479.764922</v>
      </c>
      <c r="AF54" s="33" t="n">
        <f aca="false">AF51+AF53</f>
        <v>1061.30008318624</v>
      </c>
      <c r="AG54" s="33" t="n">
        <f aca="false">AG51+AG53</f>
        <v>1090.5932667772</v>
      </c>
      <c r="AH54" s="33" t="n">
        <f aca="false">AH51+AH53</f>
        <v>1117.94801087075</v>
      </c>
      <c r="AI54" s="33" t="n">
        <f aca="false">AI51+AI53</f>
        <v>1143.36431546691</v>
      </c>
      <c r="AJ54" s="33" t="n">
        <f aca="false">AJ51+AJ53</f>
        <v>1165.65664220638</v>
      </c>
      <c r="AK54" s="33" t="n">
        <f aca="false">AK51+AK53</f>
        <v>1185.20006025616</v>
      </c>
      <c r="AL54" s="33" t="n">
        <f aca="false">AL51+AL53</f>
        <v>1203.49800751775</v>
      </c>
      <c r="AM54" s="33" t="n">
        <f aca="false">AM51+AM53</f>
        <v>1215.20163236891</v>
      </c>
      <c r="AN54" s="33" t="n">
        <f aca="false">AN51+AN53</f>
        <v>1222.98420475417</v>
      </c>
      <c r="AO54" s="33" t="n">
        <f aca="false">AO51+AO53</f>
        <v>1228.1613025625</v>
      </c>
      <c r="AP54" s="33" t="n">
        <f aca="false">AP51+AP53</f>
        <v>1228.1613025625</v>
      </c>
      <c r="AQ54" s="33" t="n">
        <f aca="false">AQ51+AQ53</f>
        <v>1228.1613025625</v>
      </c>
      <c r="AR54" s="33" t="n">
        <f aca="false">AR51+AR53</f>
        <v>1228.1613025625</v>
      </c>
      <c r="AS54" s="33" t="n">
        <f aca="false">AS51+AS53</f>
        <v>1228.1613025625</v>
      </c>
      <c r="AT54" s="33" t="n">
        <f aca="false">AT51+AT53</f>
        <v>1228.1613025625</v>
      </c>
      <c r="AU54" s="33" t="n">
        <f aca="false">AU51+AU53</f>
        <v>1228.1613025625</v>
      </c>
      <c r="AV54" s="33" t="n">
        <f aca="false">AV51+AV53</f>
        <v>1228.1613025625</v>
      </c>
      <c r="AW54" s="33" t="n">
        <f aca="false">AW51+AW53</f>
        <v>1228.1613025625</v>
      </c>
      <c r="AX54" s="33" t="n">
        <f aca="false">AX51+AX53</f>
        <v>1228.1613025625</v>
      </c>
      <c r="AY54" s="33" t="n">
        <f aca="false">AY51+AY53</f>
        <v>1228.1613025625</v>
      </c>
      <c r="AZ54" s="33" t="n">
        <f aca="false">AZ51+AZ53</f>
        <v>1228.1613025625</v>
      </c>
      <c r="BA54" s="33" t="n">
        <f aca="false">BA51+BA53</f>
        <v>1228.1613025625</v>
      </c>
      <c r="BB54" s="33" t="n">
        <f aca="false">BB51+BB53</f>
        <v>1228.1613025625</v>
      </c>
      <c r="BC54" s="33" t="n">
        <f aca="false">BC51+BC53</f>
        <v>1228.1613025625</v>
      </c>
      <c r="BD54" s="33" t="n">
        <f aca="false">BD51+BD53</f>
        <v>1228.1613025625</v>
      </c>
      <c r="BE54" s="33" t="n">
        <f aca="false">BE51+BE53</f>
        <v>1228.1613025625</v>
      </c>
      <c r="BF54" s="33" t="n">
        <f aca="false">BF51+BF53</f>
        <v>1228.1613025625</v>
      </c>
      <c r="BG54" s="33" t="n">
        <f aca="false">BG51+BG53</f>
        <v>1228.1613025625</v>
      </c>
      <c r="BH54" s="33" t="n">
        <f aca="false">BH51+BH53</f>
        <v>1228.1613025625</v>
      </c>
      <c r="BI54" s="33" t="n">
        <f aca="false">BI51+BI53</f>
        <v>1228.1613025625</v>
      </c>
      <c r="BJ54" s="33" t="n">
        <f aca="false">BJ51+BJ53</f>
        <v>1228.1613025625</v>
      </c>
      <c r="BK54" s="33" t="n">
        <f aca="false">BK51+BK53</f>
        <v>1228.1613025625</v>
      </c>
    </row>
    <row r="55" customFormat="false" ht="15" hidden="false" customHeight="false" outlineLevel="0" collapsed="false">
      <c r="A55" s="2" t="s">
        <v>407</v>
      </c>
      <c r="B55" s="41" t="n">
        <f aca="false">-MIN(D51:BK51)</f>
        <v>87.572785</v>
      </c>
    </row>
    <row r="56" customFormat="false" ht="15" hidden="false" customHeight="false" outlineLevel="0" collapsed="false">
      <c r="A56" s="2" t="s">
        <v>408</v>
      </c>
      <c r="B56" s="41" t="n">
        <f aca="false">-MIN(D53:BK53)</f>
        <v>102.5</v>
      </c>
    </row>
    <row r="57" customFormat="false" ht="15" hidden="false" customHeight="false" outlineLevel="0" collapsed="false">
      <c r="A57" s="2" t="s">
        <v>409</v>
      </c>
      <c r="B57" s="41" t="n">
        <f aca="false">-MIN(D54:BK54)</f>
        <v>160.04051625</v>
      </c>
    </row>
    <row r="58" customFormat="false" ht="15" hidden="false" customHeight="false" outlineLevel="0" collapsed="false">
      <c r="A58" s="2" t="s">
        <v>410</v>
      </c>
      <c r="B58" s="35" t="n">
        <f aca="false">INDEX(D$5:BK$5,MATCH(MIN(D54:BK54),D54:BK54,0))</f>
        <v>12</v>
      </c>
    </row>
    <row r="61" customFormat="false" ht="15" hidden="false" customHeight="false" outlineLevel="0" collapsed="false">
      <c r="A61" s="8" t="s">
        <v>72</v>
      </c>
    </row>
    <row r="62" customFormat="false" ht="15" hidden="false" customHeight="false" outlineLevel="0" collapsed="false">
      <c r="A62" s="3" t="s">
        <v>402</v>
      </c>
      <c r="D62" s="33" t="n">
        <f aca="false">Scenarios!D126</f>
        <v>0</v>
      </c>
      <c r="E62" s="33" t="n">
        <f aca="false">Scenarios!E126</f>
        <v>0</v>
      </c>
      <c r="F62" s="33" t="n">
        <f aca="false">Scenarios!F126</f>
        <v>0</v>
      </c>
      <c r="G62" s="33" t="n">
        <f aca="false">Scenarios!G126</f>
        <v>-85</v>
      </c>
      <c r="H62" s="33" t="n">
        <f aca="false">Scenarios!H126</f>
        <v>-89.38435</v>
      </c>
      <c r="I62" s="33" t="n">
        <f aca="false">Scenarios!I126</f>
        <v>-75.65305</v>
      </c>
      <c r="J62" s="33" t="n">
        <f aca="false">Scenarios!J126</f>
        <v>-65.192225</v>
      </c>
      <c r="K62" s="33" t="n">
        <f aca="false">Scenarios!K126</f>
        <v>-52.069835</v>
      </c>
      <c r="L62" s="33" t="n">
        <f aca="false">Scenarios!L126</f>
        <v>-95.07481</v>
      </c>
      <c r="M62" s="33" t="n">
        <f aca="false">Scenarios!M126</f>
        <v>-114.9900625</v>
      </c>
      <c r="N62" s="33" t="n">
        <f aca="false">Scenarios!N126</f>
        <v>-116.9499475</v>
      </c>
      <c r="O62" s="33" t="n">
        <f aca="false">Scenarios!O126</f>
        <v>-96.9399475</v>
      </c>
      <c r="P62" s="33" t="n">
        <f aca="false">Scenarios!P126</f>
        <v>-52.54883125</v>
      </c>
      <c r="Q62" s="33" t="n">
        <f aca="false">Scenarios!Q126</f>
        <v>2.02395125</v>
      </c>
      <c r="R62" s="33" t="n">
        <f aca="false">Scenarios!R126</f>
        <v>469.51995875</v>
      </c>
      <c r="S62" s="33" t="n">
        <f aca="false">Scenarios!S126</f>
        <v>425.56569125</v>
      </c>
      <c r="T62" s="33" t="n">
        <f aca="false">Scenarios!T126</f>
        <v>277.47196375</v>
      </c>
      <c r="U62" s="33" t="n">
        <f aca="false">Scenarios!U126</f>
        <v>165.57363625</v>
      </c>
      <c r="V62" s="33" t="n">
        <f aca="false">Scenarios!V126</f>
        <v>202.37362375</v>
      </c>
      <c r="W62" s="33" t="n">
        <f aca="false">Scenarios!W126</f>
        <v>237.362046249999</v>
      </c>
      <c r="X62" s="33" t="n">
        <f aca="false">Scenarios!X126</f>
        <v>292.141508124999</v>
      </c>
      <c r="Y62" s="33" t="n">
        <f aca="false">Scenarios!Y126</f>
        <v>339.794921875</v>
      </c>
      <c r="Z62" s="33" t="n">
        <f aca="false">Scenarios!Z126</f>
        <v>378.632798124999</v>
      </c>
      <c r="AA62" s="33" t="n">
        <f aca="false">Scenarios!AA126</f>
        <v>407.179046874999</v>
      </c>
      <c r="AB62" s="33" t="n">
        <f aca="false">Scenarios!AB126</f>
        <v>458.225295624999</v>
      </c>
      <c r="AC62" s="33" t="n">
        <f aca="false">Scenarios!AC126</f>
        <v>509.271544374999</v>
      </c>
      <c r="AD62" s="33" t="n">
        <f aca="false">Scenarios!AD126</f>
        <v>560.317793124999</v>
      </c>
      <c r="AE62" s="33" t="n">
        <f aca="false">Scenarios!AE126</f>
        <v>611.364041874999</v>
      </c>
      <c r="AF62" s="33" t="n">
        <f aca="false">Scenarios!AF126</f>
        <v>414.1038134375</v>
      </c>
      <c r="AG62" s="33" t="n">
        <f aca="false">Scenarios!AG126</f>
        <v>434.81310453125</v>
      </c>
      <c r="AH62" s="33" t="n">
        <f aca="false">Scenarios!AH126</f>
        <v>453.35229171875</v>
      </c>
      <c r="AI62" s="33" t="n">
        <f aca="false">Scenarios!AI126</f>
        <v>469.721374999999</v>
      </c>
      <c r="AJ62" s="33" t="n">
        <f aca="false">Scenarios!AJ126</f>
        <v>482.593131406249</v>
      </c>
      <c r="AK62" s="33" t="n">
        <f aca="false">Scenarios!AK126</f>
        <v>493.439457499999</v>
      </c>
      <c r="AL62" s="33" t="n">
        <f aca="false">Scenarios!AL126</f>
        <v>502.891465624999</v>
      </c>
      <c r="AM62" s="33" t="n">
        <f aca="false">Scenarios!AM126</f>
        <v>506.967486874999</v>
      </c>
      <c r="AN62" s="33" t="n">
        <f aca="false">Scenarios!AN126</f>
        <v>511.043508124999</v>
      </c>
      <c r="AO62" s="33" t="n">
        <f aca="false">Scenarios!AO126</f>
        <v>515.119529374999</v>
      </c>
      <c r="AP62" s="33" t="n">
        <f aca="false">Scenarios!AP126</f>
        <v>515.119529374999</v>
      </c>
      <c r="AQ62" s="33" t="n">
        <f aca="false">Scenarios!AQ126</f>
        <v>515.119529374999</v>
      </c>
      <c r="AR62" s="33" t="n">
        <f aca="false">Scenarios!AR126</f>
        <v>515.119529374999</v>
      </c>
      <c r="AS62" s="33" t="n">
        <f aca="false">Scenarios!AS126</f>
        <v>515.119529374999</v>
      </c>
      <c r="AT62" s="33" t="n">
        <f aca="false">Scenarios!AT126</f>
        <v>515.119529374999</v>
      </c>
      <c r="AU62" s="33" t="n">
        <f aca="false">Scenarios!AU126</f>
        <v>515.119529374999</v>
      </c>
      <c r="AV62" s="33" t="n">
        <f aca="false">Scenarios!AV126</f>
        <v>515.119529374999</v>
      </c>
      <c r="AW62" s="33" t="n">
        <f aca="false">Scenarios!AW126</f>
        <v>515.119529374999</v>
      </c>
      <c r="AX62" s="33" t="n">
        <f aca="false">Scenarios!AX126</f>
        <v>515.119529374999</v>
      </c>
      <c r="AY62" s="33" t="n">
        <f aca="false">Scenarios!AY126</f>
        <v>515.119529374999</v>
      </c>
      <c r="AZ62" s="33" t="n">
        <f aca="false">Scenarios!AZ126</f>
        <v>515.119529374999</v>
      </c>
      <c r="BA62" s="33" t="n">
        <f aca="false">Scenarios!BA126</f>
        <v>515.119529374999</v>
      </c>
      <c r="BB62" s="33" t="n">
        <f aca="false">Scenarios!BB126</f>
        <v>515.119529374999</v>
      </c>
      <c r="BC62" s="33" t="n">
        <f aca="false">Scenarios!BC126</f>
        <v>515.119529374999</v>
      </c>
      <c r="BD62" s="33" t="n">
        <f aca="false">Scenarios!BD126</f>
        <v>515.119529374999</v>
      </c>
      <c r="BE62" s="33" t="n">
        <f aca="false">Scenarios!BE126</f>
        <v>515.119529374999</v>
      </c>
      <c r="BF62" s="33" t="n">
        <f aca="false">Scenarios!BF126</f>
        <v>515.119529374999</v>
      </c>
      <c r="BG62" s="33" t="n">
        <f aca="false">Scenarios!BG126</f>
        <v>515.119529374999</v>
      </c>
      <c r="BH62" s="33" t="n">
        <f aca="false">Scenarios!BH126</f>
        <v>515.119529374999</v>
      </c>
      <c r="BI62" s="33" t="n">
        <f aca="false">Scenarios!BI126</f>
        <v>515.119529374999</v>
      </c>
      <c r="BJ62" s="33" t="n">
        <f aca="false">Scenarios!BJ126</f>
        <v>515.119529374999</v>
      </c>
      <c r="BK62" s="33" t="n">
        <f aca="false">Scenarios!BK126</f>
        <v>515.119529374999</v>
      </c>
    </row>
    <row r="63" customFormat="false" ht="15" hidden="false" customHeight="false" outlineLevel="0" collapsed="false">
      <c r="A63" s="3" t="s">
        <v>403</v>
      </c>
      <c r="B63" s="6" t="s">
        <v>404</v>
      </c>
      <c r="D63" s="29" t="n">
        <v>-91.25</v>
      </c>
      <c r="E63" s="29" t="n">
        <v>-11.25</v>
      </c>
      <c r="F63" s="29" t="n">
        <v>3.8892375</v>
      </c>
      <c r="G63" s="29" t="n">
        <v>19.028475</v>
      </c>
      <c r="H63" s="29" t="n">
        <v>-1.28799375</v>
      </c>
      <c r="I63" s="29" t="n">
        <v>6.8495375</v>
      </c>
      <c r="J63" s="29" t="n">
        <v>-22.84569</v>
      </c>
      <c r="K63" s="29" t="n">
        <v>-4.53383062499999</v>
      </c>
      <c r="L63" s="29" t="n">
        <v>3.66158843750001</v>
      </c>
      <c r="M63" s="29" t="n">
        <v>418.5865775</v>
      </c>
      <c r="N63" s="29" t="n">
        <v>138.15954</v>
      </c>
      <c r="O63" s="29" t="n">
        <v>129.11579</v>
      </c>
      <c r="P63" s="29" t="n">
        <v>-107.18729</v>
      </c>
      <c r="Q63" s="29" t="n">
        <v>-134.75083125</v>
      </c>
      <c r="R63" s="29" t="n">
        <v>-190.41083125</v>
      </c>
      <c r="S63" s="29" t="n">
        <v>-131.624164375</v>
      </c>
      <c r="T63" s="29" t="n">
        <v>16.2266396875</v>
      </c>
      <c r="U63" s="29" t="n">
        <v>14.7127159375</v>
      </c>
      <c r="V63" s="29" t="n">
        <v>8.7239446875</v>
      </c>
      <c r="W63" s="29" t="n">
        <v>4.3829446875</v>
      </c>
      <c r="X63" s="29" t="n">
        <v>26.8829446875</v>
      </c>
      <c r="Y63" s="29" t="n">
        <v>19.6027259375</v>
      </c>
      <c r="Z63" s="29" t="n">
        <v>19.6027259375</v>
      </c>
      <c r="AA63" s="29" t="n">
        <v>19.6027259375</v>
      </c>
      <c r="AB63" s="29" t="n">
        <v>36.3147259375</v>
      </c>
      <c r="AC63" s="29" t="n">
        <v>33.0386275</v>
      </c>
      <c r="AD63" s="29" t="n">
        <v>29.43017125</v>
      </c>
      <c r="AE63" s="29" t="n">
        <v>25.08917125</v>
      </c>
      <c r="AF63" s="29" t="n">
        <v>-82.6690391015625</v>
      </c>
      <c r="AG63" s="29" t="n">
        <v>14.112658828125</v>
      </c>
      <c r="AH63" s="29" t="n">
        <v>14.112658828125</v>
      </c>
      <c r="AI63" s="29" t="n">
        <v>14.112658828125</v>
      </c>
      <c r="AJ63" s="29" t="n">
        <v>14.112658828125</v>
      </c>
      <c r="AK63" s="29" t="n">
        <v>12.8841219140625</v>
      </c>
      <c r="AL63" s="29" t="n">
        <v>12.8841219140625</v>
      </c>
      <c r="AM63" s="29" t="n">
        <v>10.5409993359375</v>
      </c>
      <c r="AN63" s="29" t="n">
        <v>5.41471921875001</v>
      </c>
      <c r="AO63" s="29" t="n">
        <v>2.00839078125</v>
      </c>
      <c r="AP63" s="29" t="n">
        <v>0</v>
      </c>
      <c r="AQ63" s="29" t="n">
        <v>0</v>
      </c>
      <c r="AR63" s="29" t="n">
        <v>0</v>
      </c>
      <c r="AS63" s="29" t="n">
        <v>0</v>
      </c>
      <c r="AT63" s="29" t="n">
        <v>0</v>
      </c>
      <c r="AU63" s="29" t="n">
        <v>0</v>
      </c>
      <c r="AV63" s="29" t="n">
        <v>0</v>
      </c>
      <c r="AW63" s="29" t="n">
        <v>0</v>
      </c>
      <c r="AX63" s="29" t="n">
        <v>0</v>
      </c>
      <c r="AY63" s="29" t="n">
        <v>0</v>
      </c>
      <c r="AZ63" s="29" t="n">
        <v>0</v>
      </c>
      <c r="BA63" s="29" t="n">
        <v>0</v>
      </c>
      <c r="BB63" s="29" t="n">
        <v>0</v>
      </c>
      <c r="BC63" s="29" t="n">
        <v>0</v>
      </c>
      <c r="BD63" s="29" t="n">
        <v>0</v>
      </c>
      <c r="BE63" s="29" t="n">
        <v>0</v>
      </c>
      <c r="BF63" s="29" t="n">
        <v>0</v>
      </c>
      <c r="BG63" s="29" t="n">
        <v>0</v>
      </c>
      <c r="BH63" s="29" t="n">
        <v>0</v>
      </c>
      <c r="BI63" s="29" t="n">
        <v>0</v>
      </c>
      <c r="BJ63" s="29" t="n">
        <v>0</v>
      </c>
      <c r="BK63" s="29" t="n">
        <v>0</v>
      </c>
    </row>
    <row r="64" customFormat="false" ht="15" hidden="false" customHeight="false" outlineLevel="0" collapsed="false">
      <c r="A64" s="3" t="s">
        <v>405</v>
      </c>
      <c r="D64" s="33" t="n">
        <f aca="false">D63</f>
        <v>-91.25</v>
      </c>
      <c r="E64" s="33" t="n">
        <f aca="false">D64+E63</f>
        <v>-102.5</v>
      </c>
      <c r="F64" s="33" t="n">
        <f aca="false">E64+F63</f>
        <v>-98.6107625</v>
      </c>
      <c r="G64" s="33" t="n">
        <f aca="false">F64+G63</f>
        <v>-79.5822875</v>
      </c>
      <c r="H64" s="33" t="n">
        <f aca="false">G64+H63</f>
        <v>-80.87028125</v>
      </c>
      <c r="I64" s="33" t="n">
        <f aca="false">H64+I63</f>
        <v>-74.02074375</v>
      </c>
      <c r="J64" s="33" t="n">
        <f aca="false">I64+J63</f>
        <v>-96.86643375</v>
      </c>
      <c r="K64" s="33" t="n">
        <f aca="false">J64+K63</f>
        <v>-101.400264375</v>
      </c>
      <c r="L64" s="33" t="n">
        <f aca="false">K64+L63</f>
        <v>-97.7386759375</v>
      </c>
      <c r="M64" s="33" t="n">
        <f aca="false">L64+M63</f>
        <v>320.8479015625</v>
      </c>
      <c r="N64" s="33" t="n">
        <f aca="false">M64+N63</f>
        <v>459.0074415625</v>
      </c>
      <c r="O64" s="33" t="n">
        <f aca="false">N64+O63</f>
        <v>588.1232315625</v>
      </c>
      <c r="P64" s="33" t="n">
        <f aca="false">O64+P63</f>
        <v>480.9359415625</v>
      </c>
      <c r="Q64" s="33" t="n">
        <f aca="false">P64+Q63</f>
        <v>346.1851103125</v>
      </c>
      <c r="R64" s="33" t="n">
        <f aca="false">Q64+R63</f>
        <v>155.7742790625</v>
      </c>
      <c r="S64" s="33" t="n">
        <f aca="false">R64+S63</f>
        <v>24.1501146875</v>
      </c>
      <c r="T64" s="33" t="n">
        <f aca="false">S64+T63</f>
        <v>40.376754375</v>
      </c>
      <c r="U64" s="33" t="n">
        <f aca="false">T64+U63</f>
        <v>55.0894703125</v>
      </c>
      <c r="V64" s="33" t="n">
        <f aca="false">U64+V63</f>
        <v>63.813415</v>
      </c>
      <c r="W64" s="33" t="n">
        <f aca="false">V64+W63</f>
        <v>68.1963596875</v>
      </c>
      <c r="X64" s="33" t="n">
        <f aca="false">W64+X63</f>
        <v>95.079304375</v>
      </c>
      <c r="Y64" s="33" t="n">
        <f aca="false">X64+Y63</f>
        <v>114.6820303125</v>
      </c>
      <c r="Z64" s="33" t="n">
        <f aca="false">Y64+Z63</f>
        <v>134.28475625</v>
      </c>
      <c r="AA64" s="33" t="n">
        <f aca="false">Z64+AA63</f>
        <v>153.8874821875</v>
      </c>
      <c r="AB64" s="33" t="n">
        <f aca="false">AA64+AB63</f>
        <v>190.202208125</v>
      </c>
      <c r="AC64" s="33" t="n">
        <f aca="false">AB64+AC63</f>
        <v>223.240835625</v>
      </c>
      <c r="AD64" s="33" t="n">
        <f aca="false">AC64+AD63</f>
        <v>252.671006875</v>
      </c>
      <c r="AE64" s="33" t="n">
        <f aca="false">AD64+AE63</f>
        <v>277.760178125</v>
      </c>
      <c r="AF64" s="33" t="n">
        <f aca="false">AE64+AF63</f>
        <v>195.091139023438</v>
      </c>
      <c r="AG64" s="33" t="n">
        <f aca="false">AF64+AG63</f>
        <v>209.203797851563</v>
      </c>
      <c r="AH64" s="33" t="n">
        <f aca="false">AG64+AH63</f>
        <v>223.316456679688</v>
      </c>
      <c r="AI64" s="33" t="n">
        <f aca="false">AH64+AI63</f>
        <v>237.429115507813</v>
      </c>
      <c r="AJ64" s="33" t="n">
        <f aca="false">AI64+AJ63</f>
        <v>251.541774335938</v>
      </c>
      <c r="AK64" s="33" t="n">
        <f aca="false">AJ64+AK63</f>
        <v>264.42589625</v>
      </c>
      <c r="AL64" s="33" t="n">
        <f aca="false">AK64+AL63</f>
        <v>277.310018164063</v>
      </c>
      <c r="AM64" s="33" t="n">
        <f aca="false">AL64+AM63</f>
        <v>287.8510175</v>
      </c>
      <c r="AN64" s="33" t="n">
        <f aca="false">AM64+AN63</f>
        <v>293.26573671875</v>
      </c>
      <c r="AO64" s="33" t="n">
        <f aca="false">AN64+AO63</f>
        <v>295.2741275</v>
      </c>
      <c r="AP64" s="33" t="n">
        <f aca="false">AO64+AP63</f>
        <v>295.2741275</v>
      </c>
      <c r="AQ64" s="33" t="n">
        <f aca="false">AP64+AQ63</f>
        <v>295.2741275</v>
      </c>
      <c r="AR64" s="33" t="n">
        <f aca="false">AQ64+AR63</f>
        <v>295.2741275</v>
      </c>
      <c r="AS64" s="33" t="n">
        <f aca="false">AR64+AS63</f>
        <v>295.2741275</v>
      </c>
      <c r="AT64" s="33" t="n">
        <f aca="false">AS64+AT63</f>
        <v>295.2741275</v>
      </c>
      <c r="AU64" s="33" t="n">
        <f aca="false">AT64+AU63</f>
        <v>295.2741275</v>
      </c>
      <c r="AV64" s="33" t="n">
        <f aca="false">AU64+AV63</f>
        <v>295.2741275</v>
      </c>
      <c r="AW64" s="33" t="n">
        <f aca="false">AV64+AW63</f>
        <v>295.2741275</v>
      </c>
      <c r="AX64" s="33" t="n">
        <f aca="false">AW64+AX63</f>
        <v>295.2741275</v>
      </c>
      <c r="AY64" s="33" t="n">
        <f aca="false">AX64+AY63</f>
        <v>295.2741275</v>
      </c>
      <c r="AZ64" s="33" t="n">
        <f aca="false">AY64+AZ63</f>
        <v>295.2741275</v>
      </c>
      <c r="BA64" s="33" t="n">
        <f aca="false">AZ64+BA63</f>
        <v>295.2741275</v>
      </c>
      <c r="BB64" s="33" t="n">
        <f aca="false">BA64+BB63</f>
        <v>295.2741275</v>
      </c>
      <c r="BC64" s="33" t="n">
        <f aca="false">BB64+BC63</f>
        <v>295.2741275</v>
      </c>
      <c r="BD64" s="33" t="n">
        <f aca="false">BC64+BD63</f>
        <v>295.2741275</v>
      </c>
      <c r="BE64" s="33" t="n">
        <f aca="false">BD64+BE63</f>
        <v>295.2741275</v>
      </c>
      <c r="BF64" s="33" t="n">
        <f aca="false">BE64+BF63</f>
        <v>295.2741275</v>
      </c>
      <c r="BG64" s="33" t="n">
        <f aca="false">BF64+BG63</f>
        <v>295.2741275</v>
      </c>
      <c r="BH64" s="33" t="n">
        <f aca="false">BG64+BH63</f>
        <v>295.2741275</v>
      </c>
      <c r="BI64" s="33" t="n">
        <f aca="false">BH64+BI63</f>
        <v>295.2741275</v>
      </c>
      <c r="BJ64" s="33" t="n">
        <f aca="false">BI64+BJ63</f>
        <v>295.2741275</v>
      </c>
      <c r="BK64" s="33" t="n">
        <f aca="false">BJ64+BK63</f>
        <v>295.2741275</v>
      </c>
    </row>
    <row r="65" customFormat="false" ht="15" hidden="false" customHeight="false" outlineLevel="0" collapsed="false">
      <c r="A65" s="3" t="s">
        <v>406</v>
      </c>
      <c r="D65" s="33" t="n">
        <f aca="false">D62+D64</f>
        <v>-91.25</v>
      </c>
      <c r="E65" s="33" t="n">
        <f aca="false">E62+E64</f>
        <v>-102.5</v>
      </c>
      <c r="F65" s="33" t="n">
        <f aca="false">F62+F64</f>
        <v>-98.6107625</v>
      </c>
      <c r="G65" s="33" t="n">
        <f aca="false">G62+G64</f>
        <v>-164.5822875</v>
      </c>
      <c r="H65" s="33" t="n">
        <f aca="false">H62+H64</f>
        <v>-170.25463125</v>
      </c>
      <c r="I65" s="33" t="n">
        <f aca="false">I62+I64</f>
        <v>-149.67379375</v>
      </c>
      <c r="J65" s="33" t="n">
        <f aca="false">J62+J64</f>
        <v>-162.05865875</v>
      </c>
      <c r="K65" s="33" t="n">
        <f aca="false">K62+K64</f>
        <v>-153.470099375</v>
      </c>
      <c r="L65" s="33" t="n">
        <f aca="false">L62+L64</f>
        <v>-192.8134859375</v>
      </c>
      <c r="M65" s="33" t="n">
        <f aca="false">M62+M64</f>
        <v>205.8578390625</v>
      </c>
      <c r="N65" s="33" t="n">
        <f aca="false">N62+N64</f>
        <v>342.0574940625</v>
      </c>
      <c r="O65" s="33" t="n">
        <f aca="false">O62+O64</f>
        <v>491.1832840625</v>
      </c>
      <c r="P65" s="33" t="n">
        <f aca="false">P62+P64</f>
        <v>428.3871103125</v>
      </c>
      <c r="Q65" s="33" t="n">
        <f aca="false">Q62+Q64</f>
        <v>348.2090615625</v>
      </c>
      <c r="R65" s="33" t="n">
        <f aca="false">R62+R64</f>
        <v>625.2942378125</v>
      </c>
      <c r="S65" s="33" t="n">
        <f aca="false">S62+S64</f>
        <v>449.7158059375</v>
      </c>
      <c r="T65" s="33" t="n">
        <f aca="false">T62+T64</f>
        <v>317.848718125</v>
      </c>
      <c r="U65" s="33" t="n">
        <f aca="false">U62+U64</f>
        <v>220.6631065625</v>
      </c>
      <c r="V65" s="33" t="n">
        <f aca="false">V62+V64</f>
        <v>266.18703875</v>
      </c>
      <c r="W65" s="33" t="n">
        <f aca="false">W62+W64</f>
        <v>305.5584059375</v>
      </c>
      <c r="X65" s="33" t="n">
        <f aca="false">X62+X64</f>
        <v>387.220812499999</v>
      </c>
      <c r="Y65" s="33" t="n">
        <f aca="false">Y62+Y64</f>
        <v>454.4769521875</v>
      </c>
      <c r="Z65" s="33" t="n">
        <f aca="false">Z62+Z64</f>
        <v>512.917554374999</v>
      </c>
      <c r="AA65" s="33" t="n">
        <f aca="false">AA62+AA64</f>
        <v>561.066529062499</v>
      </c>
      <c r="AB65" s="33" t="n">
        <f aca="false">AB62+AB64</f>
        <v>648.42750375</v>
      </c>
      <c r="AC65" s="33" t="n">
        <f aca="false">AC62+AC64</f>
        <v>732.512379999999</v>
      </c>
      <c r="AD65" s="33" t="n">
        <f aca="false">AD62+AD64</f>
        <v>812.988799999999</v>
      </c>
      <c r="AE65" s="33" t="n">
        <f aca="false">AE62+AE64</f>
        <v>889.124219999999</v>
      </c>
      <c r="AF65" s="33" t="n">
        <f aca="false">AF62+AF64</f>
        <v>609.194952460937</v>
      </c>
      <c r="AG65" s="33" t="n">
        <f aca="false">AG62+AG64</f>
        <v>644.016902382812</v>
      </c>
      <c r="AH65" s="33" t="n">
        <f aca="false">AH62+AH64</f>
        <v>676.668748398437</v>
      </c>
      <c r="AI65" s="33" t="n">
        <f aca="false">AI62+AI64</f>
        <v>707.150490507812</v>
      </c>
      <c r="AJ65" s="33" t="n">
        <f aca="false">AJ62+AJ64</f>
        <v>734.134905742187</v>
      </c>
      <c r="AK65" s="33" t="n">
        <f aca="false">AK62+AK64</f>
        <v>757.86535375</v>
      </c>
      <c r="AL65" s="33" t="n">
        <f aca="false">AL62+AL64</f>
        <v>780.201483789062</v>
      </c>
      <c r="AM65" s="33" t="n">
        <f aca="false">AM62+AM64</f>
        <v>794.818504375</v>
      </c>
      <c r="AN65" s="33" t="n">
        <f aca="false">AN62+AN64</f>
        <v>804.30924484375</v>
      </c>
      <c r="AO65" s="33" t="n">
        <f aca="false">AO62+AO64</f>
        <v>810.393656875</v>
      </c>
      <c r="AP65" s="33" t="n">
        <f aca="false">AP62+AP64</f>
        <v>810.393656875</v>
      </c>
      <c r="AQ65" s="33" t="n">
        <f aca="false">AQ62+AQ64</f>
        <v>810.393656875</v>
      </c>
      <c r="AR65" s="33" t="n">
        <f aca="false">AR62+AR64</f>
        <v>810.393656875</v>
      </c>
      <c r="AS65" s="33" t="n">
        <f aca="false">AS62+AS64</f>
        <v>810.393656875</v>
      </c>
      <c r="AT65" s="33" t="n">
        <f aca="false">AT62+AT64</f>
        <v>810.393656875</v>
      </c>
      <c r="AU65" s="33" t="n">
        <f aca="false">AU62+AU64</f>
        <v>810.393656875</v>
      </c>
      <c r="AV65" s="33" t="n">
        <f aca="false">AV62+AV64</f>
        <v>810.393656875</v>
      </c>
      <c r="AW65" s="33" t="n">
        <f aca="false">AW62+AW64</f>
        <v>810.393656875</v>
      </c>
      <c r="AX65" s="33" t="n">
        <f aca="false">AX62+AX64</f>
        <v>810.393656875</v>
      </c>
      <c r="AY65" s="33" t="n">
        <f aca="false">AY62+AY64</f>
        <v>810.393656875</v>
      </c>
      <c r="AZ65" s="33" t="n">
        <f aca="false">AZ62+AZ64</f>
        <v>810.393656875</v>
      </c>
      <c r="BA65" s="33" t="n">
        <f aca="false">BA62+BA64</f>
        <v>810.393656875</v>
      </c>
      <c r="BB65" s="33" t="n">
        <f aca="false">BB62+BB64</f>
        <v>810.393656875</v>
      </c>
      <c r="BC65" s="33" t="n">
        <f aca="false">BC62+BC64</f>
        <v>810.393656875</v>
      </c>
      <c r="BD65" s="33" t="n">
        <f aca="false">BD62+BD64</f>
        <v>810.393656875</v>
      </c>
      <c r="BE65" s="33" t="n">
        <f aca="false">BE62+BE64</f>
        <v>810.393656875</v>
      </c>
      <c r="BF65" s="33" t="n">
        <f aca="false">BF62+BF64</f>
        <v>810.393656875</v>
      </c>
      <c r="BG65" s="33" t="n">
        <f aca="false">BG62+BG64</f>
        <v>810.393656875</v>
      </c>
      <c r="BH65" s="33" t="n">
        <f aca="false">BH62+BH64</f>
        <v>810.393656875</v>
      </c>
      <c r="BI65" s="33" t="n">
        <f aca="false">BI62+BI64</f>
        <v>810.393656875</v>
      </c>
      <c r="BJ65" s="33" t="n">
        <f aca="false">BJ62+BJ64</f>
        <v>810.393656875</v>
      </c>
      <c r="BK65" s="33" t="n">
        <f aca="false">BK62+BK64</f>
        <v>810.393656875</v>
      </c>
    </row>
    <row r="66" customFormat="false" ht="15" hidden="false" customHeight="false" outlineLevel="0" collapsed="false">
      <c r="A66" s="2" t="s">
        <v>407</v>
      </c>
      <c r="B66" s="41" t="n">
        <f aca="false">-MIN(D62:BK62)</f>
        <v>116.9499475</v>
      </c>
    </row>
    <row r="67" customFormat="false" ht="15" hidden="false" customHeight="false" outlineLevel="0" collapsed="false">
      <c r="A67" s="2" t="s">
        <v>408</v>
      </c>
      <c r="B67" s="41" t="n">
        <f aca="false">-MIN(D64:BK64)</f>
        <v>102.5</v>
      </c>
    </row>
    <row r="68" customFormat="false" ht="15" hidden="false" customHeight="false" outlineLevel="0" collapsed="false">
      <c r="A68" s="2" t="s">
        <v>409</v>
      </c>
      <c r="B68" s="41" t="n">
        <f aca="false">-MIN(D65:BK65)</f>
        <v>192.8134859375</v>
      </c>
    </row>
    <row r="69" customFormat="false" ht="15" hidden="false" customHeight="false" outlineLevel="0" collapsed="false">
      <c r="A69" s="2" t="s">
        <v>410</v>
      </c>
      <c r="B69" s="35" t="n">
        <f aca="false">INDEX(D$5:BK$5,MATCH(MIN(D65:BK65),D65:BK65,0))</f>
        <v>27</v>
      </c>
    </row>
    <row r="72" customFormat="false" ht="15" hidden="false" customHeight="false" outlineLevel="0" collapsed="false">
      <c r="A72" s="8" t="s">
        <v>73</v>
      </c>
    </row>
    <row r="73" customFormat="false" ht="15" hidden="false" customHeight="false" outlineLevel="0" collapsed="false">
      <c r="A73" s="3" t="s">
        <v>402</v>
      </c>
      <c r="D73" s="33" t="n">
        <f aca="false">Scenarios!D162</f>
        <v>0</v>
      </c>
      <c r="E73" s="33" t="n">
        <f aca="false">Scenarios!E162</f>
        <v>0</v>
      </c>
      <c r="F73" s="33" t="n">
        <f aca="false">Scenarios!F162</f>
        <v>0</v>
      </c>
      <c r="G73" s="33" t="n">
        <f aca="false">Scenarios!G162</f>
        <v>-85</v>
      </c>
      <c r="H73" s="33" t="n">
        <f aca="false">Scenarios!H162</f>
        <v>-107.5</v>
      </c>
      <c r="I73" s="33" t="n">
        <f aca="false">Scenarios!I162</f>
        <v>-130</v>
      </c>
      <c r="J73" s="33" t="n">
        <f aca="false">Scenarios!J162</f>
        <v>-157.38435</v>
      </c>
      <c r="K73" s="33" t="n">
        <f aca="false">Scenarios!K162</f>
        <v>-174.01305</v>
      </c>
      <c r="L73" s="33" t="n">
        <f aca="false">Scenarios!L162</f>
        <v>-221.244745</v>
      </c>
      <c r="M73" s="33" t="n">
        <f aca="false">Scenarios!M162</f>
        <v>-242.078875</v>
      </c>
      <c r="N73" s="33" t="n">
        <f aca="false">Scenarios!N162</f>
        <v>-262.78627</v>
      </c>
      <c r="O73" s="33" t="n">
        <f aca="false">Scenarios!O162</f>
        <v>-272.3745325</v>
      </c>
      <c r="P73" s="33" t="n">
        <f aca="false">Scenarios!P162</f>
        <v>-253.7575975</v>
      </c>
      <c r="Q73" s="33" t="n">
        <f aca="false">Scenarios!Q162</f>
        <v>-217.8674275</v>
      </c>
      <c r="R73" s="33" t="n">
        <f aca="false">Scenarios!R162</f>
        <v>-304.40945125</v>
      </c>
      <c r="S73" s="33" t="n">
        <f aca="false">Scenarios!S162</f>
        <v>-381.30656875</v>
      </c>
      <c r="T73" s="33" t="n">
        <f aca="false">Scenarios!T162</f>
        <v>59.9535787499998</v>
      </c>
      <c r="U73" s="33" t="n">
        <f aca="false">Scenarios!U162</f>
        <v>43.8134512499998</v>
      </c>
      <c r="V73" s="33" t="n">
        <f aca="false">Scenarios!V162</f>
        <v>105.68460375</v>
      </c>
      <c r="W73" s="33" t="n">
        <f aca="false">Scenarios!W162</f>
        <v>144.29615625</v>
      </c>
      <c r="X73" s="33" t="n">
        <f aca="false">Scenarios!X162</f>
        <v>209.32158375</v>
      </c>
      <c r="Y73" s="33" t="n">
        <f aca="false">Scenarios!Y162</f>
        <v>272.53544625</v>
      </c>
      <c r="Z73" s="33" t="n">
        <f aca="false">Scenarios!Z162</f>
        <v>327.314908125</v>
      </c>
      <c r="AA73" s="33" t="n">
        <f aca="false">Scenarios!AA162</f>
        <v>374.968321875</v>
      </c>
      <c r="AB73" s="33" t="n">
        <f aca="false">Scenarios!AB162</f>
        <v>436.306198125</v>
      </c>
      <c r="AC73" s="33" t="n">
        <f aca="false">Scenarios!AC162</f>
        <v>487.352446875</v>
      </c>
      <c r="AD73" s="33" t="n">
        <f aca="false">Scenarios!AD162</f>
        <v>538.398695625</v>
      </c>
      <c r="AE73" s="33" t="n">
        <f aca="false">Scenarios!AE162</f>
        <v>589.444944375</v>
      </c>
      <c r="AF73" s="33" t="n">
        <f aca="false">Scenarios!AF162</f>
        <v>399.2995815625</v>
      </c>
      <c r="AG73" s="33" t="n">
        <f aca="false">Scenarios!AG162</f>
        <v>434.23860390625</v>
      </c>
      <c r="AH73" s="33" t="n">
        <f aca="false">Scenarios!AH162</f>
        <v>463.75061921875</v>
      </c>
      <c r="AI73" s="33" t="n">
        <f aca="false">Scenarios!AI162</f>
        <v>487.8356275</v>
      </c>
      <c r="AJ73" s="33" t="n">
        <f aca="false">Scenarios!AJ162</f>
        <v>510.78281640625</v>
      </c>
      <c r="AK73" s="33" t="n">
        <f aca="false">Scenarios!AK162</f>
        <v>531.4473775</v>
      </c>
      <c r="AL73" s="33" t="n">
        <f aca="false">Scenarios!AL162</f>
        <v>546.978938125</v>
      </c>
      <c r="AM73" s="33" t="n">
        <f aca="false">Scenarios!AM162</f>
        <v>563.091056875</v>
      </c>
      <c r="AN73" s="33" t="n">
        <f aca="false">Scenarios!AN162</f>
        <v>576.724388125</v>
      </c>
      <c r="AO73" s="33" t="n">
        <f aca="false">Scenarios!AO162</f>
        <v>580.800409375</v>
      </c>
      <c r="AP73" s="33" t="n">
        <f aca="false">Scenarios!AP162</f>
        <v>588.046669375</v>
      </c>
      <c r="AQ73" s="33" t="n">
        <f aca="false">Scenarios!AQ162</f>
        <v>595.292929375</v>
      </c>
      <c r="AR73" s="33" t="n">
        <f aca="false">Scenarios!AR162</f>
        <v>595.292929375</v>
      </c>
      <c r="AS73" s="33" t="n">
        <f aca="false">Scenarios!AS162</f>
        <v>595.292929375</v>
      </c>
      <c r="AT73" s="33" t="n">
        <f aca="false">Scenarios!AT162</f>
        <v>595.292929375</v>
      </c>
      <c r="AU73" s="33" t="n">
        <f aca="false">Scenarios!AU162</f>
        <v>595.292929375</v>
      </c>
      <c r="AV73" s="33" t="n">
        <f aca="false">Scenarios!AV162</f>
        <v>595.292929375</v>
      </c>
      <c r="AW73" s="33" t="n">
        <f aca="false">Scenarios!AW162</f>
        <v>595.292929375</v>
      </c>
      <c r="AX73" s="33" t="n">
        <f aca="false">Scenarios!AX162</f>
        <v>595.292929375</v>
      </c>
      <c r="AY73" s="33" t="n">
        <f aca="false">Scenarios!AY162</f>
        <v>595.292929375</v>
      </c>
      <c r="AZ73" s="33" t="n">
        <f aca="false">Scenarios!AZ162</f>
        <v>595.292929375</v>
      </c>
      <c r="BA73" s="33" t="n">
        <f aca="false">Scenarios!BA162</f>
        <v>595.292929375</v>
      </c>
      <c r="BB73" s="33" t="n">
        <f aca="false">Scenarios!BB162</f>
        <v>595.292929375</v>
      </c>
      <c r="BC73" s="33" t="n">
        <f aca="false">Scenarios!BC162</f>
        <v>595.292929375</v>
      </c>
      <c r="BD73" s="33" t="n">
        <f aca="false">Scenarios!BD162</f>
        <v>595.292929375</v>
      </c>
      <c r="BE73" s="33" t="n">
        <f aca="false">Scenarios!BE162</f>
        <v>595.292929375</v>
      </c>
      <c r="BF73" s="33" t="n">
        <f aca="false">Scenarios!BF162</f>
        <v>595.292929375</v>
      </c>
      <c r="BG73" s="33" t="n">
        <f aca="false">Scenarios!BG162</f>
        <v>595.292929375</v>
      </c>
      <c r="BH73" s="33" t="n">
        <f aca="false">Scenarios!BH162</f>
        <v>595.292929375</v>
      </c>
      <c r="BI73" s="33" t="n">
        <f aca="false">Scenarios!BI162</f>
        <v>595.292929375</v>
      </c>
      <c r="BJ73" s="33" t="n">
        <f aca="false">Scenarios!BJ162</f>
        <v>595.292929375</v>
      </c>
      <c r="BK73" s="33" t="n">
        <f aca="false">Scenarios!BK162</f>
        <v>595.292929375</v>
      </c>
    </row>
    <row r="74" customFormat="false" ht="15" hidden="false" customHeight="false" outlineLevel="0" collapsed="false">
      <c r="A74" s="3" t="s">
        <v>403</v>
      </c>
      <c r="B74" s="6" t="s">
        <v>404</v>
      </c>
      <c r="D74" s="29" t="n">
        <v>-91.25</v>
      </c>
      <c r="E74" s="29" t="n">
        <v>-11.25</v>
      </c>
      <c r="F74" s="29" t="n">
        <v>-11.25</v>
      </c>
      <c r="G74" s="29" t="n">
        <v>-11.25</v>
      </c>
      <c r="H74" s="29" t="n">
        <v>-30.3607625</v>
      </c>
      <c r="I74" s="29" t="n">
        <v>-22.581525</v>
      </c>
      <c r="J74" s="29" t="n">
        <v>-34.09938375</v>
      </c>
      <c r="K74" s="29" t="n">
        <v>-2.2258525</v>
      </c>
      <c r="L74" s="29" t="n">
        <v>-11.26556</v>
      </c>
      <c r="M74" s="29" t="n">
        <v>-10.157700625</v>
      </c>
      <c r="N74" s="29" t="n">
        <v>33.5178384375</v>
      </c>
      <c r="O74" s="29" t="n">
        <v>448.4428275</v>
      </c>
      <c r="P74" s="29" t="n">
        <v>-5.12028999999999</v>
      </c>
      <c r="Q74" s="29" t="n">
        <v>-15.7268</v>
      </c>
      <c r="R74" s="29" t="n">
        <v>-145.55005</v>
      </c>
      <c r="S74" s="29" t="n">
        <v>-114.89623125</v>
      </c>
      <c r="T74" s="29" t="n">
        <v>26.30996875</v>
      </c>
      <c r="U74" s="29" t="n">
        <v>23.037035625</v>
      </c>
      <c r="V74" s="29" t="n">
        <v>16.2266396875</v>
      </c>
      <c r="W74" s="29" t="n">
        <v>14.7127159375</v>
      </c>
      <c r="X74" s="29" t="n">
        <v>31.2239446875</v>
      </c>
      <c r="Y74" s="29" t="n">
        <v>26.8829446875</v>
      </c>
      <c r="Z74" s="29" t="n">
        <v>26.8829446875</v>
      </c>
      <c r="AA74" s="29" t="n">
        <v>19.6027259375</v>
      </c>
      <c r="AB74" s="29" t="n">
        <v>42.1027259375</v>
      </c>
      <c r="AC74" s="29" t="n">
        <v>42.1027259375</v>
      </c>
      <c r="AD74" s="29" t="n">
        <v>36.3147259375</v>
      </c>
      <c r="AE74" s="29" t="n">
        <v>33.0386275</v>
      </c>
      <c r="AF74" s="29" t="n">
        <v>-78.3280391015625</v>
      </c>
      <c r="AG74" s="29" t="n">
        <v>14.112658828125</v>
      </c>
      <c r="AH74" s="29" t="n">
        <v>14.112658828125</v>
      </c>
      <c r="AI74" s="29" t="n">
        <v>14.112658828125</v>
      </c>
      <c r="AJ74" s="29" t="n">
        <v>14.112658828125</v>
      </c>
      <c r="AK74" s="29" t="n">
        <v>15.0681875390625</v>
      </c>
      <c r="AL74" s="29" t="n">
        <v>15.0681875390625</v>
      </c>
      <c r="AM74" s="29" t="n">
        <v>14.7065505859375</v>
      </c>
      <c r="AN74" s="29" t="n">
        <v>18.69365734375</v>
      </c>
      <c r="AO74" s="29" t="n">
        <v>17.17747265625</v>
      </c>
      <c r="AP74" s="29" t="n">
        <v>9.6261675</v>
      </c>
      <c r="AQ74" s="29" t="n">
        <v>3.5704725</v>
      </c>
      <c r="AR74" s="29" t="n">
        <v>0</v>
      </c>
      <c r="AS74" s="29" t="n">
        <v>0</v>
      </c>
      <c r="AT74" s="29" t="n">
        <v>0</v>
      </c>
      <c r="AU74" s="29" t="n">
        <v>0</v>
      </c>
      <c r="AV74" s="29" t="n">
        <v>0</v>
      </c>
      <c r="AW74" s="29" t="n">
        <v>0</v>
      </c>
      <c r="AX74" s="29" t="n">
        <v>0</v>
      </c>
      <c r="AY74" s="29" t="n">
        <v>0</v>
      </c>
      <c r="AZ74" s="29" t="n">
        <v>0</v>
      </c>
      <c r="BA74" s="29" t="n">
        <v>0</v>
      </c>
      <c r="BB74" s="29" t="n">
        <v>0</v>
      </c>
      <c r="BC74" s="29" t="n">
        <v>0</v>
      </c>
      <c r="BD74" s="29" t="n">
        <v>0</v>
      </c>
      <c r="BE74" s="29" t="n">
        <v>0</v>
      </c>
      <c r="BF74" s="29" t="n">
        <v>0</v>
      </c>
      <c r="BG74" s="29" t="n">
        <v>0</v>
      </c>
      <c r="BH74" s="29" t="n">
        <v>0</v>
      </c>
      <c r="BI74" s="29" t="n">
        <v>0</v>
      </c>
      <c r="BJ74" s="29" t="n">
        <v>0</v>
      </c>
      <c r="BK74" s="29" t="n">
        <v>0</v>
      </c>
    </row>
    <row r="75" customFormat="false" ht="15" hidden="false" customHeight="false" outlineLevel="0" collapsed="false">
      <c r="A75" s="3" t="s">
        <v>405</v>
      </c>
      <c r="D75" s="33" t="n">
        <f aca="false">D74</f>
        <v>-91.25</v>
      </c>
      <c r="E75" s="33" t="n">
        <f aca="false">D75+E74</f>
        <v>-102.5</v>
      </c>
      <c r="F75" s="33" t="n">
        <f aca="false">E75+F74</f>
        <v>-113.75</v>
      </c>
      <c r="G75" s="33" t="n">
        <f aca="false">F75+G74</f>
        <v>-125</v>
      </c>
      <c r="H75" s="33" t="n">
        <f aca="false">G75+H74</f>
        <v>-155.3607625</v>
      </c>
      <c r="I75" s="33" t="n">
        <f aca="false">H75+I74</f>
        <v>-177.9422875</v>
      </c>
      <c r="J75" s="33" t="n">
        <f aca="false">I75+J74</f>
        <v>-212.04167125</v>
      </c>
      <c r="K75" s="33" t="n">
        <f aca="false">J75+K74</f>
        <v>-214.26752375</v>
      </c>
      <c r="L75" s="33" t="n">
        <f aca="false">K75+L74</f>
        <v>-225.53308375</v>
      </c>
      <c r="M75" s="33" t="n">
        <f aca="false">L75+M74</f>
        <v>-235.690784375</v>
      </c>
      <c r="N75" s="33" t="n">
        <f aca="false">M75+N74</f>
        <v>-202.1729459375</v>
      </c>
      <c r="O75" s="33" t="n">
        <f aca="false">N75+O74</f>
        <v>246.2698815625</v>
      </c>
      <c r="P75" s="33" t="n">
        <f aca="false">O75+P74</f>
        <v>241.1495915625</v>
      </c>
      <c r="Q75" s="33" t="n">
        <f aca="false">P75+Q74</f>
        <v>225.4227915625</v>
      </c>
      <c r="R75" s="33" t="n">
        <f aca="false">Q75+R74</f>
        <v>79.8727415625002</v>
      </c>
      <c r="S75" s="33" t="n">
        <f aca="false">R75+S74</f>
        <v>-35.0234896874999</v>
      </c>
      <c r="T75" s="33" t="n">
        <f aca="false">S75+T74</f>
        <v>-8.71352093749985</v>
      </c>
      <c r="U75" s="33" t="n">
        <f aca="false">T75+U74</f>
        <v>14.3235146875001</v>
      </c>
      <c r="V75" s="33" t="n">
        <f aca="false">U75+V74</f>
        <v>30.5501543750001</v>
      </c>
      <c r="W75" s="33" t="n">
        <f aca="false">V75+W74</f>
        <v>45.2628703125001</v>
      </c>
      <c r="X75" s="33" t="n">
        <f aca="false">W75+X74</f>
        <v>76.4868150000002</v>
      </c>
      <c r="Y75" s="33" t="n">
        <f aca="false">X75+Y74</f>
        <v>103.3697596875</v>
      </c>
      <c r="Z75" s="33" t="n">
        <f aca="false">Y75+Z74</f>
        <v>130.252704375</v>
      </c>
      <c r="AA75" s="33" t="n">
        <f aca="false">Z75+AA74</f>
        <v>149.8554303125</v>
      </c>
      <c r="AB75" s="33" t="n">
        <f aca="false">AA75+AB74</f>
        <v>191.95815625</v>
      </c>
      <c r="AC75" s="33" t="n">
        <f aca="false">AB75+AC74</f>
        <v>234.0608821875</v>
      </c>
      <c r="AD75" s="33" t="n">
        <f aca="false">AC75+AD74</f>
        <v>270.375608125</v>
      </c>
      <c r="AE75" s="33" t="n">
        <f aca="false">AD75+AE74</f>
        <v>303.414235625</v>
      </c>
      <c r="AF75" s="33" t="n">
        <f aca="false">AE75+AF74</f>
        <v>225.086196523438</v>
      </c>
      <c r="AG75" s="33" t="n">
        <f aca="false">AF75+AG74</f>
        <v>239.198855351563</v>
      </c>
      <c r="AH75" s="33" t="n">
        <f aca="false">AG75+AH74</f>
        <v>253.311514179688</v>
      </c>
      <c r="AI75" s="33" t="n">
        <f aca="false">AH75+AI74</f>
        <v>267.424173007813</v>
      </c>
      <c r="AJ75" s="33" t="n">
        <f aca="false">AI75+AJ74</f>
        <v>281.536831835938</v>
      </c>
      <c r="AK75" s="33" t="n">
        <f aca="false">AJ75+AK74</f>
        <v>296.605019375</v>
      </c>
      <c r="AL75" s="33" t="n">
        <f aca="false">AK75+AL74</f>
        <v>311.673206914063</v>
      </c>
      <c r="AM75" s="33" t="n">
        <f aca="false">AL75+AM74</f>
        <v>326.3797575</v>
      </c>
      <c r="AN75" s="33" t="n">
        <f aca="false">AM75+AN74</f>
        <v>345.07341484375</v>
      </c>
      <c r="AO75" s="33" t="n">
        <f aca="false">AN75+AO74</f>
        <v>362.2508875</v>
      </c>
      <c r="AP75" s="33" t="n">
        <f aca="false">AO75+AP74</f>
        <v>371.877055</v>
      </c>
      <c r="AQ75" s="33" t="n">
        <f aca="false">AP75+AQ74</f>
        <v>375.4475275</v>
      </c>
      <c r="AR75" s="33" t="n">
        <f aca="false">AQ75+AR74</f>
        <v>375.4475275</v>
      </c>
      <c r="AS75" s="33" t="n">
        <f aca="false">AR75+AS74</f>
        <v>375.4475275</v>
      </c>
      <c r="AT75" s="33" t="n">
        <f aca="false">AS75+AT74</f>
        <v>375.4475275</v>
      </c>
      <c r="AU75" s="33" t="n">
        <f aca="false">AT75+AU74</f>
        <v>375.4475275</v>
      </c>
      <c r="AV75" s="33" t="n">
        <f aca="false">AU75+AV74</f>
        <v>375.4475275</v>
      </c>
      <c r="AW75" s="33" t="n">
        <f aca="false">AV75+AW74</f>
        <v>375.4475275</v>
      </c>
      <c r="AX75" s="33" t="n">
        <f aca="false">AW75+AX74</f>
        <v>375.4475275</v>
      </c>
      <c r="AY75" s="33" t="n">
        <f aca="false">AX75+AY74</f>
        <v>375.4475275</v>
      </c>
      <c r="AZ75" s="33" t="n">
        <f aca="false">AY75+AZ74</f>
        <v>375.4475275</v>
      </c>
      <c r="BA75" s="33" t="n">
        <f aca="false">AZ75+BA74</f>
        <v>375.4475275</v>
      </c>
      <c r="BB75" s="33" t="n">
        <f aca="false">BA75+BB74</f>
        <v>375.4475275</v>
      </c>
      <c r="BC75" s="33" t="n">
        <f aca="false">BB75+BC74</f>
        <v>375.4475275</v>
      </c>
      <c r="BD75" s="33" t="n">
        <f aca="false">BC75+BD74</f>
        <v>375.4475275</v>
      </c>
      <c r="BE75" s="33" t="n">
        <f aca="false">BD75+BE74</f>
        <v>375.4475275</v>
      </c>
      <c r="BF75" s="33" t="n">
        <f aca="false">BE75+BF74</f>
        <v>375.4475275</v>
      </c>
      <c r="BG75" s="33" t="n">
        <f aca="false">BF75+BG74</f>
        <v>375.4475275</v>
      </c>
      <c r="BH75" s="33" t="n">
        <f aca="false">BG75+BH74</f>
        <v>375.4475275</v>
      </c>
      <c r="BI75" s="33" t="n">
        <f aca="false">BH75+BI74</f>
        <v>375.4475275</v>
      </c>
      <c r="BJ75" s="33" t="n">
        <f aca="false">BI75+BJ74</f>
        <v>375.4475275</v>
      </c>
      <c r="BK75" s="33" t="n">
        <f aca="false">BJ75+BK74</f>
        <v>375.4475275</v>
      </c>
    </row>
    <row r="76" customFormat="false" ht="15" hidden="false" customHeight="false" outlineLevel="0" collapsed="false">
      <c r="A76" s="3" t="s">
        <v>406</v>
      </c>
      <c r="D76" s="33" t="n">
        <f aca="false">D73+D75</f>
        <v>-91.25</v>
      </c>
      <c r="E76" s="33" t="n">
        <f aca="false">E73+E75</f>
        <v>-102.5</v>
      </c>
      <c r="F76" s="33" t="n">
        <f aca="false">F73+F75</f>
        <v>-113.75</v>
      </c>
      <c r="G76" s="33" t="n">
        <f aca="false">G73+G75</f>
        <v>-210</v>
      </c>
      <c r="H76" s="33" t="n">
        <f aca="false">H73+H75</f>
        <v>-262.8607625</v>
      </c>
      <c r="I76" s="33" t="n">
        <f aca="false">I73+I75</f>
        <v>-307.9422875</v>
      </c>
      <c r="J76" s="33" t="n">
        <f aca="false">J73+J75</f>
        <v>-369.42602125</v>
      </c>
      <c r="K76" s="33" t="n">
        <f aca="false">K73+K75</f>
        <v>-388.28057375</v>
      </c>
      <c r="L76" s="33" t="n">
        <f aca="false">L73+L75</f>
        <v>-446.77782875</v>
      </c>
      <c r="M76" s="33" t="n">
        <f aca="false">M73+M75</f>
        <v>-477.769659375</v>
      </c>
      <c r="N76" s="33" t="n">
        <f aca="false">N73+N75</f>
        <v>-464.9592159375</v>
      </c>
      <c r="O76" s="33" t="n">
        <f aca="false">O73+O75</f>
        <v>-26.1046509374999</v>
      </c>
      <c r="P76" s="33" t="n">
        <f aca="false">P73+P75</f>
        <v>-12.6080059374999</v>
      </c>
      <c r="Q76" s="33" t="n">
        <f aca="false">Q73+Q75</f>
        <v>7.55536406250013</v>
      </c>
      <c r="R76" s="33" t="n">
        <f aca="false">R73+R75</f>
        <v>-224.5367096875</v>
      </c>
      <c r="S76" s="33" t="n">
        <f aca="false">S73+S75</f>
        <v>-416.3300584375</v>
      </c>
      <c r="T76" s="33" t="n">
        <f aca="false">T73+T75</f>
        <v>51.2400578124999</v>
      </c>
      <c r="U76" s="33" t="n">
        <f aca="false">U73+U75</f>
        <v>58.1369659374999</v>
      </c>
      <c r="V76" s="33" t="n">
        <f aca="false">V73+V75</f>
        <v>136.234758125</v>
      </c>
      <c r="W76" s="33" t="n">
        <f aca="false">W73+W75</f>
        <v>189.5590265625</v>
      </c>
      <c r="X76" s="33" t="n">
        <f aca="false">X73+X75</f>
        <v>285.80839875</v>
      </c>
      <c r="Y76" s="33" t="n">
        <f aca="false">Y73+Y75</f>
        <v>375.9052059375</v>
      </c>
      <c r="Z76" s="33" t="n">
        <f aca="false">Z73+Z75</f>
        <v>457.5676125</v>
      </c>
      <c r="AA76" s="33" t="n">
        <f aca="false">AA73+AA75</f>
        <v>524.8237521875</v>
      </c>
      <c r="AB76" s="33" t="n">
        <f aca="false">AB73+AB75</f>
        <v>628.264354375</v>
      </c>
      <c r="AC76" s="33" t="n">
        <f aca="false">AC73+AC75</f>
        <v>721.4133290625</v>
      </c>
      <c r="AD76" s="33" t="n">
        <f aca="false">AD73+AD75</f>
        <v>808.77430375</v>
      </c>
      <c r="AE76" s="33" t="n">
        <f aca="false">AE73+AE75</f>
        <v>892.85918</v>
      </c>
      <c r="AF76" s="33" t="n">
        <f aca="false">AF73+AF75</f>
        <v>624.385778085937</v>
      </c>
      <c r="AG76" s="33" t="n">
        <f aca="false">AG73+AG75</f>
        <v>673.437459257812</v>
      </c>
      <c r="AH76" s="33" t="n">
        <f aca="false">AH73+AH75</f>
        <v>717.062133398437</v>
      </c>
      <c r="AI76" s="33" t="n">
        <f aca="false">AI73+AI75</f>
        <v>755.259800507812</v>
      </c>
      <c r="AJ76" s="33" t="n">
        <f aca="false">AJ73+AJ75</f>
        <v>792.319648242187</v>
      </c>
      <c r="AK76" s="33" t="n">
        <f aca="false">AK73+AK75</f>
        <v>828.052396875</v>
      </c>
      <c r="AL76" s="33" t="n">
        <f aca="false">AL73+AL75</f>
        <v>858.652145039062</v>
      </c>
      <c r="AM76" s="33" t="n">
        <f aca="false">AM73+AM75</f>
        <v>889.470814375</v>
      </c>
      <c r="AN76" s="33" t="n">
        <f aca="false">AN73+AN75</f>
        <v>921.79780296875</v>
      </c>
      <c r="AO76" s="33" t="n">
        <f aca="false">AO73+AO75</f>
        <v>943.051296875</v>
      </c>
      <c r="AP76" s="33" t="n">
        <f aca="false">AP73+AP75</f>
        <v>959.923724375</v>
      </c>
      <c r="AQ76" s="33" t="n">
        <f aca="false">AQ73+AQ75</f>
        <v>970.740456875</v>
      </c>
      <c r="AR76" s="33" t="n">
        <f aca="false">AR73+AR75</f>
        <v>970.740456875</v>
      </c>
      <c r="AS76" s="33" t="n">
        <f aca="false">AS73+AS75</f>
        <v>970.740456875</v>
      </c>
      <c r="AT76" s="33" t="n">
        <f aca="false">AT73+AT75</f>
        <v>970.740456875</v>
      </c>
      <c r="AU76" s="33" t="n">
        <f aca="false">AU73+AU75</f>
        <v>970.740456875</v>
      </c>
      <c r="AV76" s="33" t="n">
        <f aca="false">AV73+AV75</f>
        <v>970.740456875</v>
      </c>
      <c r="AW76" s="33" t="n">
        <f aca="false">AW73+AW75</f>
        <v>970.740456875</v>
      </c>
      <c r="AX76" s="33" t="n">
        <f aca="false">AX73+AX75</f>
        <v>970.740456875</v>
      </c>
      <c r="AY76" s="33" t="n">
        <f aca="false">AY73+AY75</f>
        <v>970.740456875</v>
      </c>
      <c r="AZ76" s="33" t="n">
        <f aca="false">AZ73+AZ75</f>
        <v>970.740456875</v>
      </c>
      <c r="BA76" s="33" t="n">
        <f aca="false">BA73+BA75</f>
        <v>970.740456875</v>
      </c>
      <c r="BB76" s="33" t="n">
        <f aca="false">BB73+BB75</f>
        <v>970.740456875</v>
      </c>
      <c r="BC76" s="33" t="n">
        <f aca="false">BC73+BC75</f>
        <v>970.740456875</v>
      </c>
      <c r="BD76" s="33" t="n">
        <f aca="false">BD73+BD75</f>
        <v>970.740456875</v>
      </c>
      <c r="BE76" s="33" t="n">
        <f aca="false">BE73+BE75</f>
        <v>970.740456875</v>
      </c>
      <c r="BF76" s="33" t="n">
        <f aca="false">BF73+BF75</f>
        <v>970.740456875</v>
      </c>
      <c r="BG76" s="33" t="n">
        <f aca="false">BG73+BG75</f>
        <v>970.740456875</v>
      </c>
      <c r="BH76" s="33" t="n">
        <f aca="false">BH73+BH75</f>
        <v>970.740456875</v>
      </c>
      <c r="BI76" s="33" t="n">
        <f aca="false">BI73+BI75</f>
        <v>970.740456875</v>
      </c>
      <c r="BJ76" s="33" t="n">
        <f aca="false">BJ73+BJ75</f>
        <v>970.740456875</v>
      </c>
      <c r="BK76" s="33" t="n">
        <f aca="false">BK73+BK75</f>
        <v>970.740456875</v>
      </c>
    </row>
    <row r="77" customFormat="false" ht="15" hidden="false" customHeight="false" outlineLevel="0" collapsed="false">
      <c r="A77" s="2" t="s">
        <v>407</v>
      </c>
      <c r="B77" s="41" t="n">
        <f aca="false">-MIN(D73:BK73)</f>
        <v>381.30656875</v>
      </c>
    </row>
    <row r="78" customFormat="false" ht="15" hidden="false" customHeight="false" outlineLevel="0" collapsed="false">
      <c r="A78" s="2" t="s">
        <v>408</v>
      </c>
      <c r="B78" s="41" t="n">
        <f aca="false">-MIN(D75:BK75)</f>
        <v>235.690784375</v>
      </c>
    </row>
    <row r="79" customFormat="false" ht="15" hidden="false" customHeight="false" outlineLevel="0" collapsed="false">
      <c r="A79" s="2" t="s">
        <v>409</v>
      </c>
      <c r="B79" s="41" t="n">
        <f aca="false">-MIN(D76:BK76)</f>
        <v>477.769659375</v>
      </c>
    </row>
    <row r="80" customFormat="false" ht="15" hidden="false" customHeight="false" outlineLevel="0" collapsed="false">
      <c r="A80" s="2" t="s">
        <v>410</v>
      </c>
      <c r="B80" s="35" t="n">
        <f aca="false">INDEX(D$5:BK$5,MATCH(MIN(D76:BK76),D76:BK76,0))</f>
        <v>30</v>
      </c>
    </row>
    <row r="83" customFormat="false" ht="15" hidden="false" customHeight="false" outlineLevel="0" collapsed="false">
      <c r="A83" s="8" t="s">
        <v>74</v>
      </c>
    </row>
    <row r="84" customFormat="false" ht="15" hidden="false" customHeight="false" outlineLevel="0" collapsed="false">
      <c r="A84" s="3" t="s">
        <v>402</v>
      </c>
      <c r="D84" s="33" t="n">
        <f aca="false">Scenarios!D198</f>
        <v>0</v>
      </c>
      <c r="E84" s="33" t="n">
        <f aca="false">Scenarios!E198</f>
        <v>0</v>
      </c>
      <c r="F84" s="33" t="n">
        <f aca="false">Scenarios!F198</f>
        <v>0</v>
      </c>
      <c r="G84" s="33" t="n">
        <f aca="false">Scenarios!G198</f>
        <v>-85</v>
      </c>
      <c r="H84" s="33" t="n">
        <f aca="false">Scenarios!H198</f>
        <v>-89.38435</v>
      </c>
      <c r="I84" s="33" t="n">
        <f aca="false">Scenarios!I198</f>
        <v>-75.65305</v>
      </c>
      <c r="J84" s="33" t="n">
        <f aca="false">Scenarios!J198</f>
        <v>-62.892225</v>
      </c>
      <c r="K84" s="33" t="n">
        <f aca="false">Scenarios!K198</f>
        <v>-46.733835</v>
      </c>
      <c r="L84" s="33" t="n">
        <f aca="false">Scenarios!L198</f>
        <v>-85.13881</v>
      </c>
      <c r="M84" s="33" t="n">
        <f aca="false">Scenarios!M198</f>
        <v>-102.0180625</v>
      </c>
      <c r="N84" s="33" t="n">
        <f aca="false">Scenarios!N198</f>
        <v>-100.9419475</v>
      </c>
      <c r="O84" s="33" t="n">
        <f aca="false">Scenarios!O198</f>
        <v>-77.8959475</v>
      </c>
      <c r="P84" s="33" t="n">
        <f aca="false">Scenarios!P198</f>
        <v>-32.89763125</v>
      </c>
      <c r="Q84" s="33" t="n">
        <f aca="false">Scenarios!Q198</f>
        <v>22.28235125</v>
      </c>
      <c r="R84" s="33" t="n">
        <f aca="false">Scenarios!R198</f>
        <v>-49.1353412500001</v>
      </c>
      <c r="S84" s="33" t="n">
        <f aca="false">Scenarios!S198</f>
        <v>-115.07360875</v>
      </c>
      <c r="T84" s="33" t="n">
        <f aca="false">Scenarios!T198</f>
        <v>-244.30733625</v>
      </c>
      <c r="U84" s="33" t="n">
        <f aca="false">Scenarios!U198</f>
        <v>245.74703625</v>
      </c>
      <c r="V84" s="33" t="n">
        <f aca="false">Scenarios!V198</f>
        <v>282.54702375</v>
      </c>
      <c r="W84" s="33" t="n">
        <f aca="false">Scenarios!W198</f>
        <v>317.53544625</v>
      </c>
      <c r="X84" s="33" t="n">
        <f aca="false">Scenarios!X198</f>
        <v>372.314908125</v>
      </c>
      <c r="Y84" s="33" t="n">
        <f aca="false">Scenarios!Y198</f>
        <v>419.968321875</v>
      </c>
      <c r="Z84" s="33" t="n">
        <f aca="false">Scenarios!Z198</f>
        <v>458.806198125</v>
      </c>
      <c r="AA84" s="33" t="n">
        <f aca="false">Scenarios!AA198</f>
        <v>487.352446875</v>
      </c>
      <c r="AB84" s="33" t="n">
        <f aca="false">Scenarios!AB198</f>
        <v>538.398695625</v>
      </c>
      <c r="AC84" s="33" t="n">
        <f aca="false">Scenarios!AC198</f>
        <v>589.444944375</v>
      </c>
      <c r="AD84" s="33" t="n">
        <f aca="false">Scenarios!AD198</f>
        <v>640.491193125</v>
      </c>
      <c r="AE84" s="33" t="n">
        <f aca="false">Scenarios!AE198</f>
        <v>691.537441875</v>
      </c>
      <c r="AF84" s="33" t="n">
        <f aca="false">Scenarios!AF198</f>
        <v>494.2772134375</v>
      </c>
      <c r="AG84" s="33" t="n">
        <f aca="false">Scenarios!AG198</f>
        <v>514.98650453125</v>
      </c>
      <c r="AH84" s="33" t="n">
        <f aca="false">Scenarios!AH198</f>
        <v>533.52569171875</v>
      </c>
      <c r="AI84" s="33" t="n">
        <f aca="false">Scenarios!AI198</f>
        <v>549.894775</v>
      </c>
      <c r="AJ84" s="33" t="n">
        <f aca="false">Scenarios!AJ198</f>
        <v>562.76653140625</v>
      </c>
      <c r="AK84" s="33" t="n">
        <f aca="false">Scenarios!AK198</f>
        <v>573.6128575</v>
      </c>
      <c r="AL84" s="33" t="n">
        <f aca="false">Scenarios!AL198</f>
        <v>583.064865625</v>
      </c>
      <c r="AM84" s="33" t="n">
        <f aca="false">Scenarios!AM198</f>
        <v>587.140886875</v>
      </c>
      <c r="AN84" s="33" t="n">
        <f aca="false">Scenarios!AN198</f>
        <v>591.216908125</v>
      </c>
      <c r="AO84" s="33" t="n">
        <f aca="false">Scenarios!AO198</f>
        <v>595.292929375</v>
      </c>
      <c r="AP84" s="33" t="n">
        <f aca="false">Scenarios!AP198</f>
        <v>595.292929375</v>
      </c>
      <c r="AQ84" s="33" t="n">
        <f aca="false">Scenarios!AQ198</f>
        <v>595.292929375</v>
      </c>
      <c r="AR84" s="33" t="n">
        <f aca="false">Scenarios!AR198</f>
        <v>595.292929375</v>
      </c>
      <c r="AS84" s="33" t="n">
        <f aca="false">Scenarios!AS198</f>
        <v>595.292929375</v>
      </c>
      <c r="AT84" s="33" t="n">
        <f aca="false">Scenarios!AT198</f>
        <v>595.292929375</v>
      </c>
      <c r="AU84" s="33" t="n">
        <f aca="false">Scenarios!AU198</f>
        <v>595.292929375</v>
      </c>
      <c r="AV84" s="33" t="n">
        <f aca="false">Scenarios!AV198</f>
        <v>595.292929375</v>
      </c>
      <c r="AW84" s="33" t="n">
        <f aca="false">Scenarios!AW198</f>
        <v>595.292929375</v>
      </c>
      <c r="AX84" s="33" t="n">
        <f aca="false">Scenarios!AX198</f>
        <v>595.292929375</v>
      </c>
      <c r="AY84" s="33" t="n">
        <f aca="false">Scenarios!AY198</f>
        <v>595.292929375</v>
      </c>
      <c r="AZ84" s="33" t="n">
        <f aca="false">Scenarios!AZ198</f>
        <v>595.292929375</v>
      </c>
      <c r="BA84" s="33" t="n">
        <f aca="false">Scenarios!BA198</f>
        <v>595.292929375</v>
      </c>
      <c r="BB84" s="33" t="n">
        <f aca="false">Scenarios!BB198</f>
        <v>595.292929375</v>
      </c>
      <c r="BC84" s="33" t="n">
        <f aca="false">Scenarios!BC198</f>
        <v>595.292929375</v>
      </c>
      <c r="BD84" s="33" t="n">
        <f aca="false">Scenarios!BD198</f>
        <v>595.292929375</v>
      </c>
      <c r="BE84" s="33" t="n">
        <f aca="false">Scenarios!BE198</f>
        <v>595.292929375</v>
      </c>
      <c r="BF84" s="33" t="n">
        <f aca="false">Scenarios!BF198</f>
        <v>595.292929375</v>
      </c>
      <c r="BG84" s="33" t="n">
        <f aca="false">Scenarios!BG198</f>
        <v>595.292929375</v>
      </c>
      <c r="BH84" s="33" t="n">
        <f aca="false">Scenarios!BH198</f>
        <v>595.292929375</v>
      </c>
      <c r="BI84" s="33" t="n">
        <f aca="false">Scenarios!BI198</f>
        <v>595.292929375</v>
      </c>
      <c r="BJ84" s="33" t="n">
        <f aca="false">Scenarios!BJ198</f>
        <v>595.292929375</v>
      </c>
      <c r="BK84" s="33" t="n">
        <f aca="false">Scenarios!BK198</f>
        <v>595.292929375</v>
      </c>
    </row>
    <row r="85" customFormat="false" ht="15" hidden="false" customHeight="false" outlineLevel="0" collapsed="false">
      <c r="A85" s="3" t="s">
        <v>403</v>
      </c>
      <c r="B85" s="6" t="s">
        <v>404</v>
      </c>
      <c r="D85" s="29" t="n">
        <v>-91.25</v>
      </c>
      <c r="E85" s="29" t="n">
        <v>-11.25</v>
      </c>
      <c r="F85" s="29" t="n">
        <v>3.8892375</v>
      </c>
      <c r="G85" s="29" t="n">
        <v>19.028475</v>
      </c>
      <c r="H85" s="29" t="n">
        <v>1.01200625</v>
      </c>
      <c r="I85" s="29" t="n">
        <v>9.88553750000001</v>
      </c>
      <c r="J85" s="29" t="n">
        <v>-18.24569</v>
      </c>
      <c r="K85" s="29" t="n">
        <v>-1.49783062499999</v>
      </c>
      <c r="L85" s="29" t="n">
        <v>6.69758843750002</v>
      </c>
      <c r="M85" s="29" t="n">
        <v>29.4132275</v>
      </c>
      <c r="N85" s="29" t="n">
        <v>80.88674</v>
      </c>
      <c r="O85" s="29" t="n">
        <v>88.12174</v>
      </c>
      <c r="P85" s="29" t="n">
        <v>-93.38729</v>
      </c>
      <c r="Q85" s="29" t="n">
        <v>-120.95083125</v>
      </c>
      <c r="R85" s="29" t="n">
        <v>-171.55083125</v>
      </c>
      <c r="S85" s="29" t="n">
        <v>373.521435625</v>
      </c>
      <c r="T85" s="29" t="n">
        <v>16.2266396875</v>
      </c>
      <c r="U85" s="29" t="n">
        <v>14.7127159375</v>
      </c>
      <c r="V85" s="29" t="n">
        <v>8.7239446875</v>
      </c>
      <c r="W85" s="29" t="n">
        <v>4.3829446875</v>
      </c>
      <c r="X85" s="29" t="n">
        <v>26.8829446875</v>
      </c>
      <c r="Y85" s="29" t="n">
        <v>19.6027259375</v>
      </c>
      <c r="Z85" s="29" t="n">
        <v>19.6027259375</v>
      </c>
      <c r="AA85" s="29" t="n">
        <v>19.6027259375</v>
      </c>
      <c r="AB85" s="29" t="n">
        <v>36.3147259375</v>
      </c>
      <c r="AC85" s="29" t="n">
        <v>33.0386275</v>
      </c>
      <c r="AD85" s="29" t="n">
        <v>29.43017125</v>
      </c>
      <c r="AE85" s="29" t="n">
        <v>25.08917125</v>
      </c>
      <c r="AF85" s="29" t="n">
        <v>-82.6690391015625</v>
      </c>
      <c r="AG85" s="29" t="n">
        <v>14.112658828125</v>
      </c>
      <c r="AH85" s="29" t="n">
        <v>14.112658828125</v>
      </c>
      <c r="AI85" s="29" t="n">
        <v>14.112658828125</v>
      </c>
      <c r="AJ85" s="29" t="n">
        <v>14.112658828125</v>
      </c>
      <c r="AK85" s="29" t="n">
        <v>12.8841219140625</v>
      </c>
      <c r="AL85" s="29" t="n">
        <v>12.8841219140625</v>
      </c>
      <c r="AM85" s="29" t="n">
        <v>10.5409993359375</v>
      </c>
      <c r="AN85" s="29" t="n">
        <v>5.41471921875001</v>
      </c>
      <c r="AO85" s="29" t="n">
        <v>2.00839078125</v>
      </c>
      <c r="AP85" s="29" t="n">
        <v>0</v>
      </c>
      <c r="AQ85" s="29" t="n">
        <v>0</v>
      </c>
      <c r="AR85" s="29" t="n">
        <v>0</v>
      </c>
      <c r="AS85" s="29" t="n">
        <v>0</v>
      </c>
      <c r="AT85" s="29" t="n">
        <v>0</v>
      </c>
      <c r="AU85" s="29" t="n">
        <v>0</v>
      </c>
      <c r="AV85" s="29" t="n">
        <v>0</v>
      </c>
      <c r="AW85" s="29" t="n">
        <v>0</v>
      </c>
      <c r="AX85" s="29" t="n">
        <v>0</v>
      </c>
      <c r="AY85" s="29" t="n">
        <v>0</v>
      </c>
      <c r="AZ85" s="29" t="n">
        <v>0</v>
      </c>
      <c r="BA85" s="29" t="n">
        <v>0</v>
      </c>
      <c r="BB85" s="29" t="n">
        <v>0</v>
      </c>
      <c r="BC85" s="29" t="n">
        <v>0</v>
      </c>
      <c r="BD85" s="29" t="n">
        <v>0</v>
      </c>
      <c r="BE85" s="29" t="n">
        <v>0</v>
      </c>
      <c r="BF85" s="29" t="n">
        <v>0</v>
      </c>
      <c r="BG85" s="29" t="n">
        <v>0</v>
      </c>
      <c r="BH85" s="29" t="n">
        <v>0</v>
      </c>
      <c r="BI85" s="29" t="n">
        <v>0</v>
      </c>
      <c r="BJ85" s="29" t="n">
        <v>0</v>
      </c>
      <c r="BK85" s="29" t="n">
        <v>0</v>
      </c>
    </row>
    <row r="86" customFormat="false" ht="15" hidden="false" customHeight="false" outlineLevel="0" collapsed="false">
      <c r="A86" s="3" t="s">
        <v>405</v>
      </c>
      <c r="D86" s="33" t="n">
        <f aca="false">D85</f>
        <v>-91.25</v>
      </c>
      <c r="E86" s="33" t="n">
        <f aca="false">D86+E85</f>
        <v>-102.5</v>
      </c>
      <c r="F86" s="33" t="n">
        <f aca="false">E86+F85</f>
        <v>-98.6107625</v>
      </c>
      <c r="G86" s="33" t="n">
        <f aca="false">F86+G85</f>
        <v>-79.5822875</v>
      </c>
      <c r="H86" s="33" t="n">
        <f aca="false">G86+H85</f>
        <v>-78.57028125</v>
      </c>
      <c r="I86" s="33" t="n">
        <f aca="false">H86+I85</f>
        <v>-68.68474375</v>
      </c>
      <c r="J86" s="33" t="n">
        <f aca="false">I86+J85</f>
        <v>-86.93043375</v>
      </c>
      <c r="K86" s="33" t="n">
        <f aca="false">J86+K85</f>
        <v>-88.428264375</v>
      </c>
      <c r="L86" s="33" t="n">
        <f aca="false">K86+L85</f>
        <v>-81.7306759375</v>
      </c>
      <c r="M86" s="33" t="n">
        <f aca="false">L86+M85</f>
        <v>-52.3174484375</v>
      </c>
      <c r="N86" s="33" t="n">
        <f aca="false">M86+N85</f>
        <v>28.5692915625</v>
      </c>
      <c r="O86" s="33" t="n">
        <f aca="false">N86+O85</f>
        <v>116.6910315625</v>
      </c>
      <c r="P86" s="33" t="n">
        <f aca="false">O86+P85</f>
        <v>23.3037415625</v>
      </c>
      <c r="Q86" s="33" t="n">
        <f aca="false">P86+Q85</f>
        <v>-97.6470896875</v>
      </c>
      <c r="R86" s="33" t="n">
        <f aca="false">Q86+R85</f>
        <v>-269.1979209375</v>
      </c>
      <c r="S86" s="33" t="n">
        <f aca="false">R86+S85</f>
        <v>104.3235146875</v>
      </c>
      <c r="T86" s="33" t="n">
        <f aca="false">S86+T85</f>
        <v>120.550154375</v>
      </c>
      <c r="U86" s="33" t="n">
        <f aca="false">T86+U85</f>
        <v>135.2628703125</v>
      </c>
      <c r="V86" s="33" t="n">
        <f aca="false">U86+V85</f>
        <v>143.986815</v>
      </c>
      <c r="W86" s="33" t="n">
        <f aca="false">V86+W85</f>
        <v>148.3697596875</v>
      </c>
      <c r="X86" s="33" t="n">
        <f aca="false">W86+X85</f>
        <v>175.252704375</v>
      </c>
      <c r="Y86" s="33" t="n">
        <f aca="false">X86+Y85</f>
        <v>194.8554303125</v>
      </c>
      <c r="Z86" s="33" t="n">
        <f aca="false">Y86+Z85</f>
        <v>214.45815625</v>
      </c>
      <c r="AA86" s="33" t="n">
        <f aca="false">Z86+AA85</f>
        <v>234.0608821875</v>
      </c>
      <c r="AB86" s="33" t="n">
        <f aca="false">AA86+AB85</f>
        <v>270.375608125</v>
      </c>
      <c r="AC86" s="33" t="n">
        <f aca="false">AB86+AC85</f>
        <v>303.414235625</v>
      </c>
      <c r="AD86" s="33" t="n">
        <f aca="false">AC86+AD85</f>
        <v>332.844406875</v>
      </c>
      <c r="AE86" s="33" t="n">
        <f aca="false">AD86+AE85</f>
        <v>357.933578125</v>
      </c>
      <c r="AF86" s="33" t="n">
        <f aca="false">AE86+AF85</f>
        <v>275.264539023437</v>
      </c>
      <c r="AG86" s="33" t="n">
        <f aca="false">AF86+AG85</f>
        <v>289.377197851562</v>
      </c>
      <c r="AH86" s="33" t="n">
        <f aca="false">AG86+AH85</f>
        <v>303.489856679688</v>
      </c>
      <c r="AI86" s="33" t="n">
        <f aca="false">AH86+AI85</f>
        <v>317.602515507813</v>
      </c>
      <c r="AJ86" s="33" t="n">
        <f aca="false">AI86+AJ85</f>
        <v>331.715174335938</v>
      </c>
      <c r="AK86" s="33" t="n">
        <f aca="false">AJ86+AK85</f>
        <v>344.59929625</v>
      </c>
      <c r="AL86" s="33" t="n">
        <f aca="false">AK86+AL85</f>
        <v>357.483418164063</v>
      </c>
      <c r="AM86" s="33" t="n">
        <f aca="false">AL86+AM85</f>
        <v>368.0244175</v>
      </c>
      <c r="AN86" s="33" t="n">
        <f aca="false">AM86+AN85</f>
        <v>373.43913671875</v>
      </c>
      <c r="AO86" s="33" t="n">
        <f aca="false">AN86+AO85</f>
        <v>375.4475275</v>
      </c>
      <c r="AP86" s="33" t="n">
        <f aca="false">AO86+AP85</f>
        <v>375.4475275</v>
      </c>
      <c r="AQ86" s="33" t="n">
        <f aca="false">AP86+AQ85</f>
        <v>375.4475275</v>
      </c>
      <c r="AR86" s="33" t="n">
        <f aca="false">AQ86+AR85</f>
        <v>375.4475275</v>
      </c>
      <c r="AS86" s="33" t="n">
        <f aca="false">AR86+AS85</f>
        <v>375.4475275</v>
      </c>
      <c r="AT86" s="33" t="n">
        <f aca="false">AS86+AT85</f>
        <v>375.4475275</v>
      </c>
      <c r="AU86" s="33" t="n">
        <f aca="false">AT86+AU85</f>
        <v>375.4475275</v>
      </c>
      <c r="AV86" s="33" t="n">
        <f aca="false">AU86+AV85</f>
        <v>375.4475275</v>
      </c>
      <c r="AW86" s="33" t="n">
        <f aca="false">AV86+AW85</f>
        <v>375.4475275</v>
      </c>
      <c r="AX86" s="33" t="n">
        <f aca="false">AW86+AX85</f>
        <v>375.4475275</v>
      </c>
      <c r="AY86" s="33" t="n">
        <f aca="false">AX86+AY85</f>
        <v>375.4475275</v>
      </c>
      <c r="AZ86" s="33" t="n">
        <f aca="false">AY86+AZ85</f>
        <v>375.4475275</v>
      </c>
      <c r="BA86" s="33" t="n">
        <f aca="false">AZ86+BA85</f>
        <v>375.4475275</v>
      </c>
      <c r="BB86" s="33" t="n">
        <f aca="false">BA86+BB85</f>
        <v>375.4475275</v>
      </c>
      <c r="BC86" s="33" t="n">
        <f aca="false">BB86+BC85</f>
        <v>375.4475275</v>
      </c>
      <c r="BD86" s="33" t="n">
        <f aca="false">BC86+BD85</f>
        <v>375.4475275</v>
      </c>
      <c r="BE86" s="33" t="n">
        <f aca="false">BD86+BE85</f>
        <v>375.4475275</v>
      </c>
      <c r="BF86" s="33" t="n">
        <f aca="false">BE86+BF85</f>
        <v>375.4475275</v>
      </c>
      <c r="BG86" s="33" t="n">
        <f aca="false">BF86+BG85</f>
        <v>375.4475275</v>
      </c>
      <c r="BH86" s="33" t="n">
        <f aca="false">BG86+BH85</f>
        <v>375.4475275</v>
      </c>
      <c r="BI86" s="33" t="n">
        <f aca="false">BH86+BI85</f>
        <v>375.4475275</v>
      </c>
      <c r="BJ86" s="33" t="n">
        <f aca="false">BI86+BJ85</f>
        <v>375.4475275</v>
      </c>
      <c r="BK86" s="33" t="n">
        <f aca="false">BJ86+BK85</f>
        <v>375.4475275</v>
      </c>
    </row>
    <row r="87" customFormat="false" ht="15" hidden="false" customHeight="false" outlineLevel="0" collapsed="false">
      <c r="A87" s="3" t="s">
        <v>406</v>
      </c>
      <c r="D87" s="33" t="n">
        <f aca="false">D84+D86</f>
        <v>-91.25</v>
      </c>
      <c r="E87" s="33" t="n">
        <f aca="false">E84+E86</f>
        <v>-102.5</v>
      </c>
      <c r="F87" s="33" t="n">
        <f aca="false">F84+F86</f>
        <v>-98.6107625</v>
      </c>
      <c r="G87" s="33" t="n">
        <f aca="false">G84+G86</f>
        <v>-164.5822875</v>
      </c>
      <c r="H87" s="33" t="n">
        <f aca="false">H84+H86</f>
        <v>-167.95463125</v>
      </c>
      <c r="I87" s="33" t="n">
        <f aca="false">I84+I86</f>
        <v>-144.33779375</v>
      </c>
      <c r="J87" s="33" t="n">
        <f aca="false">J84+J86</f>
        <v>-149.82265875</v>
      </c>
      <c r="K87" s="33" t="n">
        <f aca="false">K84+K86</f>
        <v>-135.162099375</v>
      </c>
      <c r="L87" s="33" t="n">
        <f aca="false">L84+L86</f>
        <v>-166.8694859375</v>
      </c>
      <c r="M87" s="33" t="n">
        <f aca="false">M84+M86</f>
        <v>-154.3355109375</v>
      </c>
      <c r="N87" s="33" t="n">
        <f aca="false">N84+N86</f>
        <v>-72.3726559375</v>
      </c>
      <c r="O87" s="33" t="n">
        <f aca="false">O84+O86</f>
        <v>38.7950840625</v>
      </c>
      <c r="P87" s="33" t="n">
        <f aca="false">P84+P86</f>
        <v>-9.59388968749998</v>
      </c>
      <c r="Q87" s="33" t="n">
        <f aca="false">Q84+Q86</f>
        <v>-75.3647384375</v>
      </c>
      <c r="R87" s="33" t="n">
        <f aca="false">R84+R86</f>
        <v>-318.3332621875</v>
      </c>
      <c r="S87" s="33" t="n">
        <f aca="false">S84+S86</f>
        <v>-10.7500940625001</v>
      </c>
      <c r="T87" s="33" t="n">
        <f aca="false">T84+T86</f>
        <v>-123.757181875</v>
      </c>
      <c r="U87" s="33" t="n">
        <f aca="false">U84+U86</f>
        <v>381.0099065625</v>
      </c>
      <c r="V87" s="33" t="n">
        <f aca="false">V84+V86</f>
        <v>426.53383875</v>
      </c>
      <c r="W87" s="33" t="n">
        <f aca="false">W84+W86</f>
        <v>465.9052059375</v>
      </c>
      <c r="X87" s="33" t="n">
        <f aca="false">X84+X86</f>
        <v>547.5676125</v>
      </c>
      <c r="Y87" s="33" t="n">
        <f aca="false">Y84+Y86</f>
        <v>614.8237521875</v>
      </c>
      <c r="Z87" s="33" t="n">
        <f aca="false">Z84+Z86</f>
        <v>673.264354375</v>
      </c>
      <c r="AA87" s="33" t="n">
        <f aca="false">AA84+AA86</f>
        <v>721.4133290625</v>
      </c>
      <c r="AB87" s="33" t="n">
        <f aca="false">AB84+AB86</f>
        <v>808.77430375</v>
      </c>
      <c r="AC87" s="33" t="n">
        <f aca="false">AC84+AC86</f>
        <v>892.85918</v>
      </c>
      <c r="AD87" s="33" t="n">
        <f aca="false">AD84+AD86</f>
        <v>973.3356</v>
      </c>
      <c r="AE87" s="33" t="n">
        <f aca="false">AE84+AE86</f>
        <v>1049.47102</v>
      </c>
      <c r="AF87" s="33" t="n">
        <f aca="false">AF84+AF86</f>
        <v>769.541752460937</v>
      </c>
      <c r="AG87" s="33" t="n">
        <f aca="false">AG84+AG86</f>
        <v>804.363702382812</v>
      </c>
      <c r="AH87" s="33" t="n">
        <f aca="false">AH84+AH86</f>
        <v>837.015548398437</v>
      </c>
      <c r="AI87" s="33" t="n">
        <f aca="false">AI84+AI86</f>
        <v>867.497290507812</v>
      </c>
      <c r="AJ87" s="33" t="n">
        <f aca="false">AJ84+AJ86</f>
        <v>894.481705742187</v>
      </c>
      <c r="AK87" s="33" t="n">
        <f aca="false">AK84+AK86</f>
        <v>918.21215375</v>
      </c>
      <c r="AL87" s="33" t="n">
        <f aca="false">AL84+AL86</f>
        <v>940.548283789062</v>
      </c>
      <c r="AM87" s="33" t="n">
        <f aca="false">AM84+AM86</f>
        <v>955.165304375</v>
      </c>
      <c r="AN87" s="33" t="n">
        <f aca="false">AN84+AN86</f>
        <v>964.65604484375</v>
      </c>
      <c r="AO87" s="33" t="n">
        <f aca="false">AO84+AO86</f>
        <v>970.740456875</v>
      </c>
      <c r="AP87" s="33" t="n">
        <f aca="false">AP84+AP86</f>
        <v>970.740456875</v>
      </c>
      <c r="AQ87" s="33" t="n">
        <f aca="false">AQ84+AQ86</f>
        <v>970.740456875</v>
      </c>
      <c r="AR87" s="33" t="n">
        <f aca="false">AR84+AR86</f>
        <v>970.740456875</v>
      </c>
      <c r="AS87" s="33" t="n">
        <f aca="false">AS84+AS86</f>
        <v>970.740456875</v>
      </c>
      <c r="AT87" s="33" t="n">
        <f aca="false">AT84+AT86</f>
        <v>970.740456875</v>
      </c>
      <c r="AU87" s="33" t="n">
        <f aca="false">AU84+AU86</f>
        <v>970.740456875</v>
      </c>
      <c r="AV87" s="33" t="n">
        <f aca="false">AV84+AV86</f>
        <v>970.740456875</v>
      </c>
      <c r="AW87" s="33" t="n">
        <f aca="false">AW84+AW86</f>
        <v>970.740456875</v>
      </c>
      <c r="AX87" s="33" t="n">
        <f aca="false">AX84+AX86</f>
        <v>970.740456875</v>
      </c>
      <c r="AY87" s="33" t="n">
        <f aca="false">AY84+AY86</f>
        <v>970.740456875</v>
      </c>
      <c r="AZ87" s="33" t="n">
        <f aca="false">AZ84+AZ86</f>
        <v>970.740456875</v>
      </c>
      <c r="BA87" s="33" t="n">
        <f aca="false">BA84+BA86</f>
        <v>970.740456875</v>
      </c>
      <c r="BB87" s="33" t="n">
        <f aca="false">BB84+BB86</f>
        <v>970.740456875</v>
      </c>
      <c r="BC87" s="33" t="n">
        <f aca="false">BC84+BC86</f>
        <v>970.740456875</v>
      </c>
      <c r="BD87" s="33" t="n">
        <f aca="false">BD84+BD86</f>
        <v>970.740456875</v>
      </c>
      <c r="BE87" s="33" t="n">
        <f aca="false">BE84+BE86</f>
        <v>970.740456875</v>
      </c>
      <c r="BF87" s="33" t="n">
        <f aca="false">BF84+BF86</f>
        <v>970.740456875</v>
      </c>
      <c r="BG87" s="33" t="n">
        <f aca="false">BG84+BG86</f>
        <v>970.740456875</v>
      </c>
      <c r="BH87" s="33" t="n">
        <f aca="false">BH84+BH86</f>
        <v>970.740456875</v>
      </c>
      <c r="BI87" s="33" t="n">
        <f aca="false">BI84+BI86</f>
        <v>970.740456875</v>
      </c>
      <c r="BJ87" s="33" t="n">
        <f aca="false">BJ84+BJ86</f>
        <v>970.740456875</v>
      </c>
      <c r="BK87" s="33" t="n">
        <f aca="false">BK84+BK86</f>
        <v>970.740456875</v>
      </c>
    </row>
    <row r="88" customFormat="false" ht="15" hidden="false" customHeight="false" outlineLevel="0" collapsed="false">
      <c r="A88" s="2" t="s">
        <v>407</v>
      </c>
      <c r="B88" s="41" t="n">
        <f aca="false">-MIN(D84:BK84)</f>
        <v>244.30733625</v>
      </c>
    </row>
    <row r="89" customFormat="false" ht="15" hidden="false" customHeight="false" outlineLevel="0" collapsed="false">
      <c r="A89" s="2" t="s">
        <v>408</v>
      </c>
      <c r="B89" s="41" t="n">
        <f aca="false">-MIN(D86:BK86)</f>
        <v>269.1979209375</v>
      </c>
    </row>
    <row r="90" customFormat="false" ht="15" hidden="false" customHeight="false" outlineLevel="0" collapsed="false">
      <c r="A90" s="2" t="s">
        <v>409</v>
      </c>
      <c r="B90" s="41" t="n">
        <f aca="false">-MIN(D87:BK87)</f>
        <v>318.3332621875</v>
      </c>
    </row>
    <row r="91" customFormat="false" ht="15" hidden="false" customHeight="false" outlineLevel="0" collapsed="false">
      <c r="A91" s="2" t="s">
        <v>410</v>
      </c>
      <c r="B91" s="35" t="n">
        <f aca="false">INDEX(D$5:BK$5,MATCH(MIN(D87:BK87),D87:BK87,0))</f>
        <v>45</v>
      </c>
    </row>
    <row r="94" customFormat="false" ht="15" hidden="false" customHeight="false" outlineLevel="0" collapsed="false">
      <c r="A94" s="8" t="s">
        <v>75</v>
      </c>
    </row>
    <row r="95" customFormat="false" ht="15" hidden="false" customHeight="false" outlineLevel="0" collapsed="false">
      <c r="A95" s="3" t="s">
        <v>402</v>
      </c>
      <c r="D95" s="33" t="n">
        <f aca="false">Scenarios!D234</f>
        <v>0</v>
      </c>
      <c r="E95" s="33" t="n">
        <f aca="false">Scenarios!E234</f>
        <v>0</v>
      </c>
      <c r="F95" s="33" t="n">
        <f aca="false">Scenarios!F234</f>
        <v>0</v>
      </c>
      <c r="G95" s="33" t="n">
        <f aca="false">Scenarios!G234</f>
        <v>-85</v>
      </c>
      <c r="H95" s="33" t="n">
        <f aca="false">Scenarios!H234</f>
        <v>-107.5</v>
      </c>
      <c r="I95" s="33" t="n">
        <f aca="false">Scenarios!I234</f>
        <v>-130</v>
      </c>
      <c r="J95" s="33" t="n">
        <f aca="false">Scenarios!J234</f>
        <v>-175.5</v>
      </c>
      <c r="K95" s="33" t="n">
        <f aca="false">Scenarios!K234</f>
        <v>-228.36</v>
      </c>
      <c r="L95" s="33" t="n">
        <f aca="false">Scenarios!L234</f>
        <v>-303.055915</v>
      </c>
      <c r="M95" s="33" t="n">
        <f aca="false">Scenarios!M234</f>
        <v>-345.807745</v>
      </c>
      <c r="N95" s="33" t="n">
        <f aca="false">Scenarios!N234</f>
        <v>-368.7330025</v>
      </c>
      <c r="O95" s="33" t="n">
        <f aca="false">Scenarios!O234</f>
        <v>-381.9764515</v>
      </c>
      <c r="P95" s="33" t="n">
        <f aca="false">Scenarios!P234</f>
        <v>-396.962929</v>
      </c>
      <c r="Q95" s="33" t="n">
        <f aca="false">Scenarios!Q234</f>
        <v>-406.65225625</v>
      </c>
      <c r="R95" s="33" t="n">
        <f aca="false">Scenarios!R234</f>
        <v>-532.10975275</v>
      </c>
      <c r="S95" s="33" t="n">
        <f aca="false">Scenarios!S234</f>
        <v>-637.79435275</v>
      </c>
      <c r="T95" s="33" t="n">
        <f aca="false">Scenarios!T234</f>
        <v>-774.806068125</v>
      </c>
      <c r="U95" s="33" t="n">
        <f aca="false">Scenarios!U234</f>
        <v>-848.604283875</v>
      </c>
      <c r="V95" s="33" t="n">
        <f aca="false">Scenarios!V234</f>
        <v>-783.055207125</v>
      </c>
      <c r="W95" s="33" t="n">
        <f aca="false">Scenarios!W234</f>
        <v>-712.574647875</v>
      </c>
      <c r="X95" s="33" t="n">
        <f aca="false">Scenarios!X234</f>
        <v>-641.145002625</v>
      </c>
      <c r="Y95" s="33" t="n">
        <f aca="false">Scenarios!Y234</f>
        <v>-61.0010673750004</v>
      </c>
      <c r="Z95" s="33" t="n">
        <f aca="false">Scenarios!Z234</f>
        <v>-9.88107862500041</v>
      </c>
      <c r="AA95" s="33" t="n">
        <f aca="false">Scenarios!AA234</f>
        <v>39.6085016249996</v>
      </c>
      <c r="AB95" s="33" t="n">
        <f aca="false">Scenarios!AB234</f>
        <v>109.1600173125</v>
      </c>
      <c r="AC95" s="33" t="n">
        <f aca="false">Scenarios!AC234</f>
        <v>172.2980896875</v>
      </c>
      <c r="AD95" s="33" t="n">
        <f aca="false">Scenarios!AD234</f>
        <v>227.5021783125</v>
      </c>
      <c r="AE95" s="33" t="n">
        <f aca="false">Scenarios!AE234</f>
        <v>273.4438021875</v>
      </c>
      <c r="AF95" s="33" t="n">
        <f aca="false">Scenarios!AF234</f>
        <v>166.42770561849</v>
      </c>
      <c r="AG95" s="33" t="n">
        <f aca="false">Scenarios!AG234</f>
        <v>202.154527171739</v>
      </c>
      <c r="AH95" s="33" t="n">
        <f aca="false">Scenarios!AH234</f>
        <v>238.951746659888</v>
      </c>
      <c r="AI95" s="33" t="n">
        <f aca="false">Scenarios!AI234</f>
        <v>276.819364082938</v>
      </c>
      <c r="AJ95" s="33" t="n">
        <f aca="false">Scenarios!AJ234</f>
        <v>310.008649550168</v>
      </c>
      <c r="AK95" s="33" t="n">
        <f aca="false">Scenarios!AK234</f>
        <v>337.793594027472</v>
      </c>
      <c r="AL95" s="33" t="n">
        <f aca="false">Scenarios!AL234</f>
        <v>362.794115855461</v>
      </c>
      <c r="AM95" s="33" t="n">
        <f aca="false">Scenarios!AM234</f>
        <v>386.974162549474</v>
      </c>
      <c r="AN95" s="33" t="n">
        <f aca="false">Scenarios!AN234</f>
        <v>405.558486243487</v>
      </c>
      <c r="AO95" s="33" t="n">
        <f aca="false">Scenarios!AO234</f>
        <v>420.902121437499</v>
      </c>
      <c r="AP95" s="33" t="n">
        <f aca="false">Scenarios!AP234</f>
        <v>436.025334437499</v>
      </c>
      <c r="AQ95" s="33" t="n">
        <f aca="false">Scenarios!AQ234</f>
        <v>442.546968437499</v>
      </c>
      <c r="AR95" s="33" t="n">
        <f aca="false">Scenarios!AR234</f>
        <v>449.068602437499</v>
      </c>
      <c r="AS95" s="33" t="n">
        <f aca="false">Scenarios!AS234</f>
        <v>455.590236437499</v>
      </c>
      <c r="AT95" s="33" t="n">
        <f aca="false">Scenarios!AT234</f>
        <v>455.590236437499</v>
      </c>
      <c r="AU95" s="33" t="n">
        <f aca="false">Scenarios!AU234</f>
        <v>455.590236437499</v>
      </c>
      <c r="AV95" s="33" t="n">
        <f aca="false">Scenarios!AV234</f>
        <v>455.590236437499</v>
      </c>
      <c r="AW95" s="33" t="n">
        <f aca="false">Scenarios!AW234</f>
        <v>455.590236437499</v>
      </c>
      <c r="AX95" s="33" t="n">
        <f aca="false">Scenarios!AX234</f>
        <v>455.590236437499</v>
      </c>
      <c r="AY95" s="33" t="n">
        <f aca="false">Scenarios!AY234</f>
        <v>455.590236437499</v>
      </c>
      <c r="AZ95" s="33" t="n">
        <f aca="false">Scenarios!AZ234</f>
        <v>455.590236437499</v>
      </c>
      <c r="BA95" s="33" t="n">
        <f aca="false">Scenarios!BA234</f>
        <v>455.590236437499</v>
      </c>
      <c r="BB95" s="33" t="n">
        <f aca="false">Scenarios!BB234</f>
        <v>455.590236437499</v>
      </c>
      <c r="BC95" s="33" t="n">
        <f aca="false">Scenarios!BC234</f>
        <v>455.590236437499</v>
      </c>
      <c r="BD95" s="33" t="n">
        <f aca="false">Scenarios!BD234</f>
        <v>455.590236437499</v>
      </c>
      <c r="BE95" s="33" t="n">
        <f aca="false">Scenarios!BE234</f>
        <v>455.590236437499</v>
      </c>
      <c r="BF95" s="33" t="n">
        <f aca="false">Scenarios!BF234</f>
        <v>455.590236437499</v>
      </c>
      <c r="BG95" s="33" t="n">
        <f aca="false">Scenarios!BG234</f>
        <v>455.590236437499</v>
      </c>
      <c r="BH95" s="33" t="n">
        <f aca="false">Scenarios!BH234</f>
        <v>455.590236437499</v>
      </c>
      <c r="BI95" s="33" t="n">
        <f aca="false">Scenarios!BI234</f>
        <v>455.590236437499</v>
      </c>
      <c r="BJ95" s="33" t="n">
        <f aca="false">Scenarios!BJ234</f>
        <v>455.590236437499</v>
      </c>
      <c r="BK95" s="33" t="n">
        <f aca="false">Scenarios!BK234</f>
        <v>455.590236437499</v>
      </c>
    </row>
    <row r="96" customFormat="false" ht="15" hidden="false" customHeight="false" outlineLevel="0" collapsed="false">
      <c r="A96" s="3" t="s">
        <v>403</v>
      </c>
      <c r="B96" s="6" t="s">
        <v>404</v>
      </c>
      <c r="D96" s="29" t="n">
        <v>-91.25</v>
      </c>
      <c r="E96" s="29" t="n">
        <v>-11.25</v>
      </c>
      <c r="F96" s="29" t="n">
        <v>-11.25</v>
      </c>
      <c r="G96" s="29" t="n">
        <v>-11.25</v>
      </c>
      <c r="H96" s="29" t="n">
        <v>-45.5</v>
      </c>
      <c r="I96" s="29" t="n">
        <v>-52.86</v>
      </c>
      <c r="J96" s="29" t="n">
        <v>-54.87468625</v>
      </c>
      <c r="K96" s="29" t="n">
        <v>-25.6093725</v>
      </c>
      <c r="L96" s="29" t="n">
        <v>-22.249194375</v>
      </c>
      <c r="M96" s="29" t="n">
        <v>-7.63901625</v>
      </c>
      <c r="N96" s="29" t="n">
        <v>5.406879</v>
      </c>
      <c r="O96" s="29" t="n">
        <v>6.40395243750001</v>
      </c>
      <c r="P96" s="29" t="n">
        <v>-119.27317040625</v>
      </c>
      <c r="Q96" s="29" t="n">
        <v>-98.82909525</v>
      </c>
      <c r="R96" s="29" t="n">
        <v>-124.962134</v>
      </c>
      <c r="S96" s="29" t="n">
        <v>-64.400634</v>
      </c>
      <c r="T96" s="29" t="n">
        <v>35.651439</v>
      </c>
      <c r="U96" s="29" t="n">
        <v>10.844251875</v>
      </c>
      <c r="V96" s="29" t="n">
        <v>10.844251875</v>
      </c>
      <c r="W96" s="29" t="n">
        <v>452.7642920625</v>
      </c>
      <c r="X96" s="29" t="n">
        <v>32.60397571875</v>
      </c>
      <c r="Y96" s="29" t="n">
        <v>31.24144434375</v>
      </c>
      <c r="Z96" s="29" t="n">
        <v>25.85155021875</v>
      </c>
      <c r="AA96" s="29" t="n">
        <v>21.94465021875</v>
      </c>
      <c r="AB96" s="29" t="n">
        <v>44.44465021875</v>
      </c>
      <c r="AC96" s="29" t="n">
        <v>37.89245334375</v>
      </c>
      <c r="AD96" s="29" t="n">
        <v>37.89245334375</v>
      </c>
      <c r="AE96" s="29" t="n">
        <v>37.89245334375</v>
      </c>
      <c r="AF96" s="29" t="n">
        <v>-17.8712214141103</v>
      </c>
      <c r="AG96" s="29" t="n">
        <v>24.5851634495459</v>
      </c>
      <c r="AH96" s="29" t="n">
        <v>21.3375528245458</v>
      </c>
      <c r="AI96" s="29" t="n">
        <v>17.4306528245458</v>
      </c>
      <c r="AJ96" s="29" t="n">
        <v>17.4306528245458</v>
      </c>
      <c r="AK96" s="29" t="n">
        <v>17.8789365510471</v>
      </c>
      <c r="AL96" s="29" t="n">
        <v>17.8789365510471</v>
      </c>
      <c r="AM96" s="29" t="n">
        <v>18.7339240642001</v>
      </c>
      <c r="AN96" s="29" t="n">
        <v>20.6044644832282</v>
      </c>
      <c r="AO96" s="29" t="n">
        <v>19.8817486226545</v>
      </c>
      <c r="AP96" s="29" t="n">
        <v>20.6145950625</v>
      </c>
      <c r="AQ96" s="29" t="n">
        <v>16.8655989375</v>
      </c>
      <c r="AR96" s="29" t="n">
        <v>8.66355075</v>
      </c>
      <c r="AS96" s="29" t="n">
        <v>3.21342525</v>
      </c>
      <c r="AT96" s="29" t="n">
        <v>0</v>
      </c>
      <c r="AU96" s="29" t="n">
        <v>0</v>
      </c>
      <c r="AV96" s="29" t="n">
        <v>0</v>
      </c>
      <c r="AW96" s="29" t="n">
        <v>0</v>
      </c>
      <c r="AX96" s="29" t="n">
        <v>0</v>
      </c>
      <c r="AY96" s="29" t="n">
        <v>0</v>
      </c>
      <c r="AZ96" s="29" t="n">
        <v>0</v>
      </c>
      <c r="BA96" s="29" t="n">
        <v>0</v>
      </c>
      <c r="BB96" s="29" t="n">
        <v>0</v>
      </c>
      <c r="BC96" s="29" t="n">
        <v>0</v>
      </c>
      <c r="BD96" s="29" t="n">
        <v>0</v>
      </c>
      <c r="BE96" s="29" t="n">
        <v>0</v>
      </c>
      <c r="BF96" s="29" t="n">
        <v>0</v>
      </c>
      <c r="BG96" s="29" t="n">
        <v>0</v>
      </c>
      <c r="BH96" s="29" t="n">
        <v>0</v>
      </c>
      <c r="BI96" s="29" t="n">
        <v>0</v>
      </c>
      <c r="BJ96" s="29" t="n">
        <v>0</v>
      </c>
      <c r="BK96" s="29" t="n">
        <v>0</v>
      </c>
    </row>
    <row r="97" customFormat="false" ht="15" hidden="false" customHeight="false" outlineLevel="0" collapsed="false">
      <c r="A97" s="3" t="s">
        <v>405</v>
      </c>
      <c r="D97" s="33" t="n">
        <f aca="false">D96</f>
        <v>-91.25</v>
      </c>
      <c r="E97" s="33" t="n">
        <f aca="false">D97+E96</f>
        <v>-102.5</v>
      </c>
      <c r="F97" s="33" t="n">
        <f aca="false">E97+F96</f>
        <v>-113.75</v>
      </c>
      <c r="G97" s="33" t="n">
        <f aca="false">F97+G96</f>
        <v>-125</v>
      </c>
      <c r="H97" s="33" t="n">
        <f aca="false">G97+H96</f>
        <v>-170.5</v>
      </c>
      <c r="I97" s="33" t="n">
        <f aca="false">H97+I96</f>
        <v>-223.36</v>
      </c>
      <c r="J97" s="33" t="n">
        <f aca="false">I97+J96</f>
        <v>-278.23468625</v>
      </c>
      <c r="K97" s="33" t="n">
        <f aca="false">J97+K96</f>
        <v>-303.84405875</v>
      </c>
      <c r="L97" s="33" t="n">
        <f aca="false">K97+L96</f>
        <v>-326.093253125</v>
      </c>
      <c r="M97" s="33" t="n">
        <f aca="false">L97+M96</f>
        <v>-333.732269375</v>
      </c>
      <c r="N97" s="33" t="n">
        <f aca="false">M97+N96</f>
        <v>-328.325390375</v>
      </c>
      <c r="O97" s="33" t="n">
        <f aca="false">N97+O96</f>
        <v>-321.9214379375</v>
      </c>
      <c r="P97" s="33" t="n">
        <f aca="false">O97+P96</f>
        <v>-441.19460834375</v>
      </c>
      <c r="Q97" s="33" t="n">
        <f aca="false">P97+Q96</f>
        <v>-540.02370359375</v>
      </c>
      <c r="R97" s="33" t="n">
        <f aca="false">Q97+R96</f>
        <v>-664.98583759375</v>
      </c>
      <c r="S97" s="33" t="n">
        <f aca="false">R97+S96</f>
        <v>-729.38647159375</v>
      </c>
      <c r="T97" s="33" t="n">
        <f aca="false">S97+T96</f>
        <v>-693.73503259375</v>
      </c>
      <c r="U97" s="33" t="n">
        <f aca="false">T97+U96</f>
        <v>-682.89078071875</v>
      </c>
      <c r="V97" s="33" t="n">
        <f aca="false">U97+V96</f>
        <v>-672.04652884375</v>
      </c>
      <c r="W97" s="33" t="n">
        <f aca="false">V97+W96</f>
        <v>-219.28223678125</v>
      </c>
      <c r="X97" s="33" t="n">
        <f aca="false">W97+X96</f>
        <v>-186.6782610625</v>
      </c>
      <c r="Y97" s="33" t="n">
        <f aca="false">X97+Y96</f>
        <v>-155.43681671875</v>
      </c>
      <c r="Z97" s="33" t="n">
        <f aca="false">Y97+Z96</f>
        <v>-129.5852665</v>
      </c>
      <c r="AA97" s="33" t="n">
        <f aca="false">Z97+AA96</f>
        <v>-107.64061628125</v>
      </c>
      <c r="AB97" s="33" t="n">
        <f aca="false">AA97+AB96</f>
        <v>-63.1959660625</v>
      </c>
      <c r="AC97" s="33" t="n">
        <f aca="false">AB97+AC96</f>
        <v>-25.30351271875</v>
      </c>
      <c r="AD97" s="33" t="n">
        <f aca="false">AC97+AD96</f>
        <v>12.588940625</v>
      </c>
      <c r="AE97" s="33" t="n">
        <f aca="false">AD97+AE96</f>
        <v>50.48139396875</v>
      </c>
      <c r="AF97" s="33" t="n">
        <f aca="false">AE97+AF96</f>
        <v>32.6101725546397</v>
      </c>
      <c r="AG97" s="33" t="n">
        <f aca="false">AF97+AG96</f>
        <v>57.1953360041856</v>
      </c>
      <c r="AH97" s="33" t="n">
        <f aca="false">AG97+AH96</f>
        <v>78.5328888287314</v>
      </c>
      <c r="AI97" s="33" t="n">
        <f aca="false">AH97+AI96</f>
        <v>95.9635416532772</v>
      </c>
      <c r="AJ97" s="33" t="n">
        <f aca="false">AI97+AJ96</f>
        <v>113.394194477823</v>
      </c>
      <c r="AK97" s="33" t="n">
        <f aca="false">AJ97+AK96</f>
        <v>131.27313102887</v>
      </c>
      <c r="AL97" s="33" t="n">
        <f aca="false">AK97+AL96</f>
        <v>149.152067579917</v>
      </c>
      <c r="AM97" s="33" t="n">
        <f aca="false">AL97+AM96</f>
        <v>167.885991644117</v>
      </c>
      <c r="AN97" s="33" t="n">
        <f aca="false">AM97+AN96</f>
        <v>188.490456127345</v>
      </c>
      <c r="AO97" s="33" t="n">
        <f aca="false">AN97+AO96</f>
        <v>208.37220475</v>
      </c>
      <c r="AP97" s="33" t="n">
        <f aca="false">AO97+AP96</f>
        <v>228.9867998125</v>
      </c>
      <c r="AQ97" s="33" t="n">
        <f aca="false">AP97+AQ96</f>
        <v>245.85239875</v>
      </c>
      <c r="AR97" s="33" t="n">
        <f aca="false">AQ97+AR96</f>
        <v>254.5159495</v>
      </c>
      <c r="AS97" s="33" t="n">
        <f aca="false">AR97+AS96</f>
        <v>257.72937475</v>
      </c>
      <c r="AT97" s="33" t="n">
        <f aca="false">AS97+AT96</f>
        <v>257.72937475</v>
      </c>
      <c r="AU97" s="33" t="n">
        <f aca="false">AT97+AU96</f>
        <v>257.72937475</v>
      </c>
      <c r="AV97" s="33" t="n">
        <f aca="false">AU97+AV96</f>
        <v>257.72937475</v>
      </c>
      <c r="AW97" s="33" t="n">
        <f aca="false">AV97+AW96</f>
        <v>257.72937475</v>
      </c>
      <c r="AX97" s="33" t="n">
        <f aca="false">AW97+AX96</f>
        <v>257.72937475</v>
      </c>
      <c r="AY97" s="33" t="n">
        <f aca="false">AX97+AY96</f>
        <v>257.72937475</v>
      </c>
      <c r="AZ97" s="33" t="n">
        <f aca="false">AY97+AZ96</f>
        <v>257.72937475</v>
      </c>
      <c r="BA97" s="33" t="n">
        <f aca="false">AZ97+BA96</f>
        <v>257.72937475</v>
      </c>
      <c r="BB97" s="33" t="n">
        <f aca="false">BA97+BB96</f>
        <v>257.72937475</v>
      </c>
      <c r="BC97" s="33" t="n">
        <f aca="false">BB97+BC96</f>
        <v>257.72937475</v>
      </c>
      <c r="BD97" s="33" t="n">
        <f aca="false">BC97+BD96</f>
        <v>257.72937475</v>
      </c>
      <c r="BE97" s="33" t="n">
        <f aca="false">BD97+BE96</f>
        <v>257.72937475</v>
      </c>
      <c r="BF97" s="33" t="n">
        <f aca="false">BE97+BF96</f>
        <v>257.72937475</v>
      </c>
      <c r="BG97" s="33" t="n">
        <f aca="false">BF97+BG96</f>
        <v>257.72937475</v>
      </c>
      <c r="BH97" s="33" t="n">
        <f aca="false">BG97+BH96</f>
        <v>257.72937475</v>
      </c>
      <c r="BI97" s="33" t="n">
        <f aca="false">BH97+BI96</f>
        <v>257.72937475</v>
      </c>
      <c r="BJ97" s="33" t="n">
        <f aca="false">BI97+BJ96</f>
        <v>257.72937475</v>
      </c>
      <c r="BK97" s="33" t="n">
        <f aca="false">BJ97+BK96</f>
        <v>257.72937475</v>
      </c>
    </row>
    <row r="98" customFormat="false" ht="15" hidden="false" customHeight="false" outlineLevel="0" collapsed="false">
      <c r="A98" s="3" t="s">
        <v>406</v>
      </c>
      <c r="D98" s="33" t="n">
        <f aca="false">D95+D97</f>
        <v>-91.25</v>
      </c>
      <c r="E98" s="33" t="n">
        <f aca="false">E95+E97</f>
        <v>-102.5</v>
      </c>
      <c r="F98" s="33" t="n">
        <f aca="false">F95+F97</f>
        <v>-113.75</v>
      </c>
      <c r="G98" s="33" t="n">
        <f aca="false">G95+G97</f>
        <v>-210</v>
      </c>
      <c r="H98" s="33" t="n">
        <f aca="false">H95+H97</f>
        <v>-278</v>
      </c>
      <c r="I98" s="33" t="n">
        <f aca="false">I95+I97</f>
        <v>-353.36</v>
      </c>
      <c r="J98" s="33" t="n">
        <f aca="false">J95+J97</f>
        <v>-453.73468625</v>
      </c>
      <c r="K98" s="33" t="n">
        <f aca="false">K95+K97</f>
        <v>-532.20405875</v>
      </c>
      <c r="L98" s="33" t="n">
        <f aca="false">L95+L97</f>
        <v>-629.149168125</v>
      </c>
      <c r="M98" s="33" t="n">
        <f aca="false">M95+M97</f>
        <v>-679.540014375</v>
      </c>
      <c r="N98" s="33" t="n">
        <f aca="false">N95+N97</f>
        <v>-697.058392875</v>
      </c>
      <c r="O98" s="33" t="n">
        <f aca="false">O95+O97</f>
        <v>-703.8978894375</v>
      </c>
      <c r="P98" s="33" t="n">
        <f aca="false">P95+P97</f>
        <v>-838.15753734375</v>
      </c>
      <c r="Q98" s="33" t="n">
        <f aca="false">Q95+Q97</f>
        <v>-946.67595984375</v>
      </c>
      <c r="R98" s="33" t="n">
        <f aca="false">R95+R97</f>
        <v>-1197.09559034375</v>
      </c>
      <c r="S98" s="33" t="n">
        <f aca="false">S95+S97</f>
        <v>-1367.18082434375</v>
      </c>
      <c r="T98" s="33" t="n">
        <f aca="false">T95+T97</f>
        <v>-1468.54110071875</v>
      </c>
      <c r="U98" s="33" t="n">
        <f aca="false">U95+U97</f>
        <v>-1531.49506459375</v>
      </c>
      <c r="V98" s="33" t="n">
        <f aca="false">V95+V97</f>
        <v>-1455.10173596875</v>
      </c>
      <c r="W98" s="33" t="n">
        <f aca="false">W95+W97</f>
        <v>-931.85688465625</v>
      </c>
      <c r="X98" s="33" t="n">
        <f aca="false">X95+X97</f>
        <v>-827.8232636875</v>
      </c>
      <c r="Y98" s="33" t="n">
        <f aca="false">Y95+Y97</f>
        <v>-216.43788409375</v>
      </c>
      <c r="Z98" s="33" t="n">
        <f aca="false">Z95+Z97</f>
        <v>-139.466345125</v>
      </c>
      <c r="AA98" s="33" t="n">
        <f aca="false">AA95+AA97</f>
        <v>-68.0321146562504</v>
      </c>
      <c r="AB98" s="33" t="n">
        <f aca="false">AB95+AB97</f>
        <v>45.9640512499996</v>
      </c>
      <c r="AC98" s="33" t="n">
        <f aca="false">AC95+AC97</f>
        <v>146.99457696875</v>
      </c>
      <c r="AD98" s="33" t="n">
        <f aca="false">AD95+AD97</f>
        <v>240.0911189375</v>
      </c>
      <c r="AE98" s="33" t="n">
        <f aca="false">AE95+AE97</f>
        <v>323.92519615625</v>
      </c>
      <c r="AF98" s="33" t="n">
        <f aca="false">AF95+AF97</f>
        <v>199.03787817313</v>
      </c>
      <c r="AG98" s="33" t="n">
        <f aca="false">AG95+AG97</f>
        <v>259.349863175925</v>
      </c>
      <c r="AH98" s="33" t="n">
        <f aca="false">AH95+AH97</f>
        <v>317.48463548862</v>
      </c>
      <c r="AI98" s="33" t="n">
        <f aca="false">AI95+AI97</f>
        <v>372.782905736215</v>
      </c>
      <c r="AJ98" s="33" t="n">
        <f aca="false">AJ95+AJ97</f>
        <v>423.402844027991</v>
      </c>
      <c r="AK98" s="33" t="n">
        <f aca="false">AK95+AK97</f>
        <v>469.066725056342</v>
      </c>
      <c r="AL98" s="33" t="n">
        <f aca="false">AL95+AL97</f>
        <v>511.946183435378</v>
      </c>
      <c r="AM98" s="33" t="n">
        <f aca="false">AM95+AM97</f>
        <v>554.860154193591</v>
      </c>
      <c r="AN98" s="33" t="n">
        <f aca="false">AN95+AN97</f>
        <v>594.048942370832</v>
      </c>
      <c r="AO98" s="33" t="n">
        <f aca="false">AO95+AO97</f>
        <v>629.274326187499</v>
      </c>
      <c r="AP98" s="33" t="n">
        <f aca="false">AP95+AP97</f>
        <v>665.01213425</v>
      </c>
      <c r="AQ98" s="33" t="n">
        <f aca="false">AQ95+AQ97</f>
        <v>688.3993671875</v>
      </c>
      <c r="AR98" s="33" t="n">
        <f aca="false">AR95+AR97</f>
        <v>703.584551937499</v>
      </c>
      <c r="AS98" s="33" t="n">
        <f aca="false">AS95+AS97</f>
        <v>713.3196111875</v>
      </c>
      <c r="AT98" s="33" t="n">
        <f aca="false">AT95+AT97</f>
        <v>713.3196111875</v>
      </c>
      <c r="AU98" s="33" t="n">
        <f aca="false">AU95+AU97</f>
        <v>713.3196111875</v>
      </c>
      <c r="AV98" s="33" t="n">
        <f aca="false">AV95+AV97</f>
        <v>713.3196111875</v>
      </c>
      <c r="AW98" s="33" t="n">
        <f aca="false">AW95+AW97</f>
        <v>713.3196111875</v>
      </c>
      <c r="AX98" s="33" t="n">
        <f aca="false">AX95+AX97</f>
        <v>713.3196111875</v>
      </c>
      <c r="AY98" s="33" t="n">
        <f aca="false">AY95+AY97</f>
        <v>713.3196111875</v>
      </c>
      <c r="AZ98" s="33" t="n">
        <f aca="false">AZ95+AZ97</f>
        <v>713.3196111875</v>
      </c>
      <c r="BA98" s="33" t="n">
        <f aca="false">BA95+BA97</f>
        <v>713.3196111875</v>
      </c>
      <c r="BB98" s="33" t="n">
        <f aca="false">BB95+BB97</f>
        <v>713.3196111875</v>
      </c>
      <c r="BC98" s="33" t="n">
        <f aca="false">BC95+BC97</f>
        <v>713.3196111875</v>
      </c>
      <c r="BD98" s="33" t="n">
        <f aca="false">BD95+BD97</f>
        <v>713.3196111875</v>
      </c>
      <c r="BE98" s="33" t="n">
        <f aca="false">BE95+BE97</f>
        <v>713.3196111875</v>
      </c>
      <c r="BF98" s="33" t="n">
        <f aca="false">BF95+BF97</f>
        <v>713.3196111875</v>
      </c>
      <c r="BG98" s="33" t="n">
        <f aca="false">BG95+BG97</f>
        <v>713.3196111875</v>
      </c>
      <c r="BH98" s="33" t="n">
        <f aca="false">BH95+BH97</f>
        <v>713.3196111875</v>
      </c>
      <c r="BI98" s="33" t="n">
        <f aca="false">BI95+BI97</f>
        <v>713.3196111875</v>
      </c>
      <c r="BJ98" s="33" t="n">
        <f aca="false">BJ95+BJ97</f>
        <v>713.3196111875</v>
      </c>
      <c r="BK98" s="33" t="n">
        <f aca="false">BK95+BK97</f>
        <v>713.3196111875</v>
      </c>
    </row>
    <row r="99" customFormat="false" ht="15" hidden="false" customHeight="false" outlineLevel="0" collapsed="false">
      <c r="A99" s="2" t="s">
        <v>407</v>
      </c>
      <c r="B99" s="41" t="n">
        <f aca="false">-MIN(D95:BK95)</f>
        <v>848.604283875</v>
      </c>
    </row>
    <row r="100" customFormat="false" ht="15" hidden="false" customHeight="false" outlineLevel="0" collapsed="false">
      <c r="A100" s="2" t="s">
        <v>408</v>
      </c>
      <c r="B100" s="41" t="n">
        <f aca="false">-MIN(D97:BK97)</f>
        <v>729.38647159375</v>
      </c>
    </row>
    <row r="101" customFormat="false" ht="15" hidden="false" customHeight="false" outlineLevel="0" collapsed="false">
      <c r="A101" s="2" t="s">
        <v>409</v>
      </c>
      <c r="B101" s="41" t="n">
        <f aca="false">-MIN(D98:BK98)</f>
        <v>1531.49506459375</v>
      </c>
    </row>
    <row r="102" customFormat="false" ht="15" hidden="false" customHeight="false" outlineLevel="0" collapsed="false">
      <c r="A102" s="2" t="s">
        <v>410</v>
      </c>
      <c r="B102" s="35" t="n">
        <f aca="false">INDEX(D$5:BK$5,MATCH(MIN(D98:BK98),D98:BK98,0))</f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411</v>
      </c>
    </row>
    <row r="2" customFormat="false" ht="15" hidden="false" customHeight="false" outlineLevel="0" collapsed="false">
      <c r="A2" s="6" t="s">
        <v>412</v>
      </c>
    </row>
    <row r="4" customFormat="false" ht="15" hidden="false" customHeight="false" outlineLevel="0" collapsed="false">
      <c r="A4" s="7" t="s">
        <v>413</v>
      </c>
      <c r="B4" s="7" t="s">
        <v>414</v>
      </c>
      <c r="C4" s="7" t="s">
        <v>415</v>
      </c>
      <c r="D4" s="7" t="s">
        <v>416</v>
      </c>
      <c r="E4" s="7" t="s">
        <v>417</v>
      </c>
    </row>
    <row r="5" customFormat="false" ht="15" hidden="false" customHeight="false" outlineLevel="0" collapsed="false">
      <c r="A5" s="3" t="s">
        <v>229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237</v>
      </c>
    </row>
    <row r="6" customFormat="false" ht="15" hidden="false" customHeight="false" outlineLevel="0" collapsed="false">
      <c r="A6" s="3" t="s">
        <v>418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237</v>
      </c>
    </row>
    <row r="7" customFormat="false" ht="15" hidden="false" customHeight="false" outlineLevel="0" collapsed="false">
      <c r="A7" s="3" t="s">
        <v>401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237</v>
      </c>
    </row>
    <row r="8" customFormat="false" ht="15" hidden="false" customHeight="false" outlineLevel="0" collapsed="false">
      <c r="A8" s="3" t="s">
        <v>419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237</v>
      </c>
    </row>
    <row r="9" customFormat="false" ht="15" hidden="false" customHeight="false" outlineLevel="0" collapsed="false">
      <c r="A9" s="3" t="s">
        <v>175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237</v>
      </c>
    </row>
    <row r="10" customFormat="false" ht="15" hidden="false" customHeight="false" outlineLevel="0" collapsed="false">
      <c r="A10" s="3" t="s">
        <v>397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237</v>
      </c>
    </row>
    <row r="11" customFormat="false" ht="15" hidden="false" customHeight="false" outlineLevel="0" collapsed="false">
      <c r="A11" s="3" t="s">
        <v>420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421</v>
      </c>
    </row>
    <row r="12" customFormat="false" ht="15" hidden="false" customHeight="false" outlineLevel="0" collapsed="false">
      <c r="A12" s="3" t="s">
        <v>422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421</v>
      </c>
    </row>
    <row r="13" customFormat="false" ht="15" hidden="false" customHeight="false" outlineLevel="0" collapsed="false">
      <c r="A13" s="3" t="s">
        <v>423</v>
      </c>
      <c r="B13" s="46" t="n">
        <f aca="false">Option_A!B17</f>
        <v>234.259259259259</v>
      </c>
      <c r="C13" s="46" t="n">
        <f aca="false">Option_A!B5*Inputs!$B$34*(1-Inputs!$B$15)-Inputs!$B$7</f>
        <v>234.259259259259</v>
      </c>
      <c r="D13" s="47" t="n">
        <f aca="false">ROUND(B13-C13,5)</f>
        <v>0</v>
      </c>
      <c r="E13" s="6" t="s">
        <v>424</v>
      </c>
    </row>
    <row r="14" customFormat="false" ht="15" hidden="false" customHeight="false" outlineLevel="0" collapsed="false">
      <c r="A14" s="3" t="s">
        <v>425</v>
      </c>
      <c r="B14" s="46" t="n">
        <f aca="false">Option_B!B9</f>
        <v>287.5</v>
      </c>
      <c r="C14" s="46" t="n">
        <f aca="false">Inputs!$B$9*Inputs!$B$7</f>
        <v>287.5</v>
      </c>
      <c r="D14" s="47" t="n">
        <f aca="false">ROUND(B14-C14,5)</f>
        <v>0</v>
      </c>
      <c r="E14" s="6" t="s">
        <v>424</v>
      </c>
    </row>
    <row r="15" customFormat="false" ht="15" hidden="false" customHeight="false" outlineLevel="0" collapsed="false">
      <c r="A15" s="3" t="s">
        <v>426</v>
      </c>
      <c r="B15" s="46" t="n">
        <f aca="false">Sources_Uses!B14</f>
        <v>125</v>
      </c>
      <c r="C15" s="46" t="n">
        <f aca="false">MAX(Sources_Uses!B8,Sources_Uses!B12)</f>
        <v>125</v>
      </c>
      <c r="D15" s="47" t="n">
        <f aca="false">ROUND(B15-C15,5)</f>
        <v>0</v>
      </c>
      <c r="E15" s="6" t="s">
        <v>421</v>
      </c>
    </row>
    <row r="16" customFormat="false" ht="15" hidden="false" customHeight="false" outlineLevel="0" collapsed="false">
      <c r="A16" s="3" t="s">
        <v>427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428</v>
      </c>
    </row>
    <row r="17" customFormat="false" ht="15" hidden="false" customHeight="false" outlineLevel="0" collapsed="false">
      <c r="A17" s="3" t="s">
        <v>429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430</v>
      </c>
    </row>
    <row r="18" customFormat="false" ht="15" hidden="false" customHeight="false" outlineLevel="0" collapsed="false">
      <c r="A18" s="3" t="s">
        <v>431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430</v>
      </c>
    </row>
    <row r="19" customFormat="false" ht="15" hidden="false" customHeight="false" outlineLevel="0" collapsed="false">
      <c r="A19" s="3" t="s">
        <v>432</v>
      </c>
      <c r="B19" s="46" t="n">
        <f aca="false">Option_B!C34</f>
        <v>0.286576617962057</v>
      </c>
      <c r="C19" s="25" t="n">
        <v>0.286576617962057</v>
      </c>
      <c r="D19" s="47" t="n">
        <f aca="false">ROUND(B19-C19,5)</f>
        <v>0</v>
      </c>
      <c r="E19" s="6" t="s">
        <v>430</v>
      </c>
    </row>
    <row r="20" customFormat="false" ht="15" hidden="false" customHeight="false" outlineLevel="0" collapsed="false">
      <c r="A20" s="3" t="s">
        <v>433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430</v>
      </c>
    </row>
    <row r="21" customFormat="false" ht="15" hidden="false" customHeight="false" outlineLevel="0" collapsed="false">
      <c r="A21" s="3" t="s">
        <v>434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430</v>
      </c>
    </row>
    <row r="22" customFormat="false" ht="15" hidden="false" customHeight="false" outlineLevel="0" collapsed="false">
      <c r="A22" s="3" t="s">
        <v>435</v>
      </c>
      <c r="B22" s="46" t="n">
        <f aca="false">Option_B!B42</f>
        <v>0</v>
      </c>
      <c r="C22" s="25" t="n">
        <v>0</v>
      </c>
      <c r="D22" s="47" t="n">
        <f aca="false">ROUND(B22-C22,5)</f>
        <v>0</v>
      </c>
      <c r="E22" s="6" t="s">
        <v>430</v>
      </c>
    </row>
    <row r="23" customFormat="false" ht="15" hidden="false" customHeight="false" outlineLevel="0" collapsed="false">
      <c r="A23" s="3" t="s">
        <v>436</v>
      </c>
      <c r="B23" s="46" t="n">
        <f aca="false">Combined_Position!B22</f>
        <v>375.4475275</v>
      </c>
      <c r="C23" s="25" t="n">
        <v>375.4475275</v>
      </c>
      <c r="D23" s="47" t="n">
        <f aca="false">ROUND(B23-C23,5)</f>
        <v>0</v>
      </c>
      <c r="E23" s="6" t="s">
        <v>237</v>
      </c>
    </row>
    <row r="24" customFormat="false" ht="15" hidden="false" customHeight="false" outlineLevel="0" collapsed="false">
      <c r="A24" s="3" t="s">
        <v>437</v>
      </c>
      <c r="B24" s="46" t="n">
        <f aca="false">Combined_Position!B23</f>
        <v>215.311392548924</v>
      </c>
      <c r="C24" s="25" t="n">
        <v>215.311392548924</v>
      </c>
      <c r="D24" s="47" t="n">
        <f aca="false">ROUND(B24-C24,5)</f>
        <v>0</v>
      </c>
      <c r="E24" s="6" t="s">
        <v>237</v>
      </c>
    </row>
    <row r="25" customFormat="false" ht="15" hidden="false" customHeight="false" outlineLevel="0" collapsed="false">
      <c r="A25" s="3" t="s">
        <v>438</v>
      </c>
      <c r="B25" s="46" t="n">
        <f aca="false">Combined_Position!B24</f>
        <v>-102.5</v>
      </c>
      <c r="C25" s="25" t="n">
        <v>-102.5</v>
      </c>
      <c r="D25" s="47" t="n">
        <f aca="false">ROUND(B25-C25,5)</f>
        <v>0</v>
      </c>
      <c r="E25" s="6" t="s">
        <v>237</v>
      </c>
    </row>
    <row r="26" customFormat="false" ht="15" hidden="false" customHeight="false" outlineLevel="0" collapsed="false">
      <c r="A26" s="3" t="s">
        <v>439</v>
      </c>
      <c r="B26" s="46" t="n">
        <f aca="false">Combined_Position!B11</f>
        <v>-167.95463125</v>
      </c>
      <c r="C26" s="25" t="n">
        <v>-167.95463125</v>
      </c>
      <c r="D26" s="47" t="n">
        <f aca="false">ROUND(B26-C26,5)</f>
        <v>0</v>
      </c>
      <c r="E26" s="6" t="s">
        <v>430</v>
      </c>
    </row>
    <row r="27" customFormat="false" ht="15" hidden="false" customHeight="false" outlineLevel="0" collapsed="false">
      <c r="A27" s="3" t="s">
        <v>440</v>
      </c>
      <c r="B27" s="46" t="n">
        <f aca="false">Combined_Position!B46</f>
        <v>1088.97352459375</v>
      </c>
      <c r="C27" s="25" t="n">
        <v>1088.97352459375</v>
      </c>
      <c r="D27" s="47" t="n">
        <f aca="false">ROUND(B27-C27,5)</f>
        <v>0</v>
      </c>
      <c r="E27" s="6" t="s">
        <v>430</v>
      </c>
    </row>
    <row r="29" customFormat="false" ht="15" hidden="false" customHeight="false" outlineLevel="0" collapsed="false">
      <c r="A29" s="2" t="s">
        <v>441</v>
      </c>
      <c r="D29" s="48" t="n">
        <f aca="false">SUMPRODUCT(ABS(D5:D27))</f>
        <v>0</v>
      </c>
    </row>
    <row r="30" customFormat="false" ht="15" hidden="false" customHeight="false" outlineLevel="0" collapsed="false">
      <c r="A30" s="2" t="s">
        <v>442</v>
      </c>
      <c r="D30" s="2" t="str">
        <f aca="false">IF(D29=0,"ALL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2026-10-08T08:36:22Z</dcterms:created>
  <dc:creator>Jalour Developments</dc:creator>
  <dc:description/>
  <dc:language>en-US</dc:language>
  <cp:lastModifiedBy/>
  <dcterms:modified xsi:type="dcterms:W3CDTF">2026-10-08T08:36:24Z</dcterms:modified>
  <cp:revision>0</cp:revision>
  <dc:subject>Confidential</dc:subject>
  <dc:title>Financial Annex - L'avenir - Ticket 125m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