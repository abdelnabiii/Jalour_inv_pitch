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Inputs" sheetId="3" state="visible" r:id="rId5"/>
    <sheet name="Source_Data" sheetId="4" state="visible" r:id="rId6"/>
    <sheet name="Project_CF" sheetId="5" state="visible" r:id="rId7"/>
    <sheet name="Sources_Uses" sheetId="6" state="visible" r:id="rId8"/>
    <sheet name="Option_A" sheetId="7" state="visible" r:id="rId9"/>
    <sheet name="Option_B" sheetId="8" state="visible" r:id="rId10"/>
    <sheet name="Scenarios" sheetId="9" state="visible" r:id="rId11"/>
    <sheet name="Sensitivity" sheetId="10" state="visible" r:id="rId12"/>
    <sheet name="Reconcili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<sst xmlns="http://schemas.openxmlformats.org/spreadsheetml/2006/main" count="1147" uniqueCount="400">
  <si>
    <t xml:space="preserve">Green Square - Financial Annex</t>
  </si>
  <si>
    <t xml:space="preserve">Investor ticket EGP 100 million  |  Strictly private and confidential  |  Projections only, not guarantees</t>
  </si>
  <si>
    <t xml:space="preserve">ALL INFORMATION IN THIS WORKBOOK IS CONFIDENTIAL AND SUBJECT TO THE NON-DISCLOSURE AGREEMENT. Do not copy, forward or disclose it.</t>
  </si>
  <si>
    <t xml:space="preserve">Purpose: supports the Investment Memorandum, Pitch Deck and Due Diligence Memorandum. Every figure in those documents traces to the Summary sheet.</t>
  </si>
  <si>
    <t xml:space="preserve">Colour code: blue = input or value transcribed from the source model; black = formula; green = link to another sheet.</t>
  </si>
  <si>
    <t xml:space="preserve">Units: EGP million unless stated. Quarter-end months. NPV at 14% p.a. (end-of-quarter discounting). IRRs are annualised from quarterly flows.</t>
  </si>
  <si>
    <t xml:space="preserve">Sheets: Inputs, Source_Data, Project_CF, Sources_Uses, Option_A, Option_B, Scenarios, Sensitivity, Summary, Reconciliation.</t>
  </si>
  <si>
    <t xml:space="preserve">The balance of project funding is provided by Jalour sponsor equity, project collections and other capital sources.</t>
  </si>
  <si>
    <t xml:space="preserve">Jalour may raise further capital at project or holding level, subject to the investor's stated rights.</t>
  </si>
  <si>
    <t xml:space="preserve">Reconciliation status:</t>
  </si>
  <si>
    <t xml:space="preserve">Green Square: key outputs, ticket EGP 100m (all cells are live links)</t>
  </si>
  <si>
    <t xml:space="preserve">USD equivalents at 48 EGP per USD.</t>
  </si>
  <si>
    <t xml:space="preserve">Metric</t>
  </si>
  <si>
    <t xml:space="preserve">Value</t>
  </si>
  <si>
    <t xml:space="preserve">USD m</t>
  </si>
  <si>
    <t xml:space="preserve">Source sheet</t>
  </si>
  <si>
    <t xml:space="preserve">Project (base case)</t>
  </si>
  <si>
    <t xml:space="preserve">Jalour net cash flow, nominal (EGP m)</t>
  </si>
  <si>
    <t xml:space="preserve">Project_CF</t>
  </si>
  <si>
    <t xml:space="preserve">NPV of net cash flow @ 14% (EGP m)</t>
  </si>
  <si>
    <t xml:space="preserve">Peak cumulative cash shortage (EGP m)</t>
  </si>
  <si>
    <t xml:space="preserve">Month of peak shortage</t>
  </si>
  <si>
    <t xml:space="preserve">Total collections, 80% of units sold (EGP m)</t>
  </si>
  <si>
    <t xml:space="preserve">Landlord payments (EGP m)</t>
  </si>
  <si>
    <t xml:space="preserve">Construction, commission and SG&amp;A (EGP m)</t>
  </si>
  <si>
    <t xml:space="preserve">Funding plan</t>
  </si>
  <si>
    <t xml:space="preserve">Total uses at peak (EGP m)</t>
  </si>
  <si>
    <t xml:space="preserve">Sources_Uses</t>
  </si>
  <si>
    <t xml:space="preserve">Balance of project funding (EGP m)</t>
  </si>
  <si>
    <t xml:space="preserve">Ticket in excess of modelled uses (EGP m)</t>
  </si>
  <si>
    <t xml:space="preserve">Ticket as % of modelled peak</t>
  </si>
  <si>
    <t xml:space="preserve">Ticket above modelled peak (EGP m)</t>
  </si>
  <si>
    <t xml:space="preserve">Option A (units)</t>
  </si>
  <si>
    <t xml:space="preserve">Units face value at launch list (EGP m)</t>
  </si>
  <si>
    <t xml:space="preserve">Option_A</t>
  </si>
  <si>
    <t xml:space="preserve">Share of launch-tranche inventory</t>
  </si>
  <si>
    <t xml:space="preserve">Units value at final list price (EGP m)</t>
  </si>
  <si>
    <t xml:space="preserve">Investor IRR, base</t>
  </si>
  <si>
    <t xml:space="preserve">Investor MOIC, base</t>
  </si>
  <si>
    <t xml:space="preserve">Investor payback month</t>
  </si>
  <si>
    <t xml:space="preserve">Investor IRR, downside</t>
  </si>
  <si>
    <t xml:space="preserve">Scenarios</t>
  </si>
  <si>
    <t xml:space="preserve">Investor MOIC, downside</t>
  </si>
  <si>
    <t xml:space="preserve">Investor IRR, upside</t>
  </si>
  <si>
    <t xml:space="preserve">Investor MOIC, upside</t>
  </si>
  <si>
    <t xml:space="preserve">Jalour cost of capital</t>
  </si>
  <si>
    <t xml:space="preserve">NPV cost to Jalour @ 14% (EGP m)</t>
  </si>
  <si>
    <t xml:space="preserve">Nominal net cost to Jalour (EGP m)</t>
  </si>
  <si>
    <t xml:space="preserve">Option B (cash), recommended structure S1</t>
  </si>
  <si>
    <t xml:space="preserve">Option_B</t>
  </si>
  <si>
    <t xml:space="preserve">Investor MOIC</t>
  </si>
  <si>
    <t xml:space="preserve">Lowest quarterly coverage (net cash flow / payout)</t>
  </si>
  <si>
    <t xml:space="preserve">Quarters below 1.5x (net cash flow basis)</t>
  </si>
  <si>
    <t xml:space="preserve">Payout quarters</t>
  </si>
  <si>
    <t xml:space="preserve">Lowest coverage (cash available / payout)</t>
  </si>
  <si>
    <t xml:space="preserve">Quarters below 1.5x (cash available basis)</t>
  </si>
  <si>
    <t xml:space="preserve">Lowest pooled cash after ticket and payouts (EGP m)</t>
  </si>
  <si>
    <t xml:space="preserve">Investor IRR if S2 (alternative)</t>
  </si>
  <si>
    <t xml:space="preserve">Investor IRR if S3 (alternative)</t>
  </si>
  <si>
    <t xml:space="preserve">Scenario results: peak cumulative shortage / NPV / Option B lowest pooled cash (EGP m)</t>
  </si>
  <si>
    <t xml:space="preserve">Base case</t>
  </si>
  <si>
    <t xml:space="preserve">Downside: sales +12 months, prices -10%</t>
  </si>
  <si>
    <t xml:space="preserve">Upside: prices +10%</t>
  </si>
  <si>
    <t xml:space="preserve">Construction cost +10%</t>
  </si>
  <si>
    <t xml:space="preserve">Collections slip 2 quarters</t>
  </si>
  <si>
    <t xml:space="preserve">Delivery payments at handover</t>
  </si>
  <si>
    <t xml:space="preserve">Handover payments and downside combined</t>
  </si>
  <si>
    <t xml:space="preserve">(columns: peak shortage | NPV | Option B lowest pooled cash)</t>
  </si>
  <si>
    <t xml:space="preserve">Sensitivities: NPV (EGP m) and peak shortage (EGP m)</t>
  </si>
  <si>
    <t xml:space="preserve">price 0.8</t>
  </si>
  <si>
    <t xml:space="preserve">price 0.9</t>
  </si>
  <si>
    <t xml:space="preserve">price 1.1</t>
  </si>
  <si>
    <t xml:space="preserve">price 1.2</t>
  </si>
  <si>
    <t xml:space="preserve">delay 2</t>
  </si>
  <si>
    <t xml:space="preserve">delay 4</t>
  </si>
  <si>
    <t xml:space="preserve">delay 6</t>
  </si>
  <si>
    <t xml:space="preserve">delay 8</t>
  </si>
  <si>
    <t xml:space="preserve">cost 1.1</t>
  </si>
  <si>
    <t xml:space="preserve">cost 1.2</t>
  </si>
  <si>
    <t xml:space="preserve">slip 1</t>
  </si>
  <si>
    <t xml:space="preserve">slip 2</t>
  </si>
  <si>
    <t xml:space="preserve">slip 4</t>
  </si>
  <si>
    <t xml:space="preserve">Inputs - Green Square, ticket EGP 100m (EGP million unless stated)</t>
  </si>
  <si>
    <t xml:space="preserve">Blue = input. Series from the source model are on Source_Data. Every figure traces to a source cell or is labelled ASSUMPTION.</t>
  </si>
  <si>
    <t xml:space="preserve">Parameter</t>
  </si>
  <si>
    <t xml:space="preserve">Unit</t>
  </si>
  <si>
    <t xml:space="preserve">Source / basis</t>
  </si>
  <si>
    <t xml:space="preserve">Transaction</t>
  </si>
  <si>
    <t xml:space="preserve">Investor ticket</t>
  </si>
  <si>
    <t xml:space="preserve">EGP m</t>
  </si>
  <si>
    <t xml:space="preserve">Offer term</t>
  </si>
  <si>
    <t xml:space="preserve">Option A: face value multiple of ticket (units at launch list price)</t>
  </si>
  <si>
    <t xml:space="preserve">x</t>
  </si>
  <si>
    <t xml:space="preserve">Offer term (Option A)</t>
  </si>
  <si>
    <t xml:space="preserve">Option B: total cash return multiple</t>
  </si>
  <si>
    <t xml:space="preserve">Offer term (Option B)</t>
  </si>
  <si>
    <t xml:space="preserve">Option B: grace period</t>
  </si>
  <si>
    <t xml:space="preserve">months</t>
  </si>
  <si>
    <t xml:space="preserve">Option B: number of quarterly payouts</t>
  </si>
  <si>
    <t xml:space="preserve">quarters</t>
  </si>
  <si>
    <t xml:space="preserve">Offer term (3 years)</t>
  </si>
  <si>
    <t xml:space="preserve">Investor funding month (t0)</t>
  </si>
  <si>
    <t xml:space="preserve">month</t>
  </si>
  <si>
    <t xml:space="preserve">ASSUMPTION: month the down payment falls due in the model ('Net Cash Flow -With DP' row 10)</t>
  </si>
  <si>
    <t xml:space="preserve">Project handover month</t>
  </si>
  <si>
    <t xml:space="preserve">Source model, Green Square Summary!E4</t>
  </si>
  <si>
    <t xml:space="preserve">Discount rate</t>
  </si>
  <si>
    <t xml:space="preserve">% p.a.</t>
  </si>
  <si>
    <t xml:space="preserve">Source model, sales sheet cell C72 (labelled Cost Of Capital); kept at 14% by Jalour</t>
  </si>
  <si>
    <t xml:space="preserve">Option A: investor resale friction</t>
  </si>
  <si>
    <t xml:space="preserve">%</t>
  </si>
  <si>
    <t xml:space="preserve">ASSUMPTION: broker plus developer transfer fee</t>
  </si>
  <si>
    <t xml:space="preserve">Option A: resale spread (quarters from handover + 3 months)</t>
  </si>
  <si>
    <t xml:space="preserve">ASSUMPTION</t>
  </si>
  <si>
    <t xml:space="preserve">Project and landlord terms (source model)</t>
  </si>
  <si>
    <t xml:space="preserve">Landlord share of collections</t>
  </si>
  <si>
    <t xml:space="preserve">Offers DP!C5</t>
  </si>
  <si>
    <t xml:space="preserve">Landlord minimum guarantee</t>
  </si>
  <si>
    <t xml:space="preserve">Offers DP!C3</t>
  </si>
  <si>
    <t xml:space="preserve">Down payment to landlord (10% of guarantee)</t>
  </si>
  <si>
    <t xml:space="preserve">Offers DP!C9</t>
  </si>
  <si>
    <t xml:space="preserve">Total sales value at 100% of units</t>
  </si>
  <si>
    <t xml:space="preserve">Summary C27 (sold 80% plus retained 20% at modelled prices)</t>
  </si>
  <si>
    <t xml:space="preserve">Sales commission rate</t>
  </si>
  <si>
    <t xml:space="preserve">Summary B19</t>
  </si>
  <si>
    <t xml:space="preserve">Professional fees (% of construction cost)</t>
  </si>
  <si>
    <t xml:space="preserve">Cash Out Detail!C49</t>
  </si>
  <si>
    <t xml:space="preserve">Share of professional fees incurred before construction start</t>
  </si>
  <si>
    <t xml:space="preserve">ASSUMPTION: the model has no pre-construction cost; to be confirmed</t>
  </si>
  <si>
    <t xml:space="preserve">Launch price list and tranche values (source model sales sheet)</t>
  </si>
  <si>
    <t xml:space="preserve">Launch list price, retail</t>
  </si>
  <si>
    <t xml:space="preserve">EGP k / m2</t>
  </si>
  <si>
    <t xml:space="preserve">First sales column, row 3</t>
  </si>
  <si>
    <t xml:space="preserve">Launch list price, offices</t>
  </si>
  <si>
    <t xml:space="preserve">First sales column, row 4</t>
  </si>
  <si>
    <t xml:space="preserve">Delivery list price, retail (last list price in the plan)</t>
  </si>
  <si>
    <t xml:space="preserve">Last sales column, row 3</t>
  </si>
  <si>
    <t xml:space="preserve">Delivery list price, offices (last list price in the plan)</t>
  </si>
  <si>
    <t xml:space="preserve">Last sales column, row 4</t>
  </si>
  <si>
    <t xml:space="preserve">Launch tranches: retail sales value at list</t>
  </si>
  <si>
    <t xml:space="preserve">First two sales tranches (months 9 and 12), row 24</t>
  </si>
  <si>
    <t xml:space="preserve">Launch tranches: office sales value at list</t>
  </si>
  <si>
    <t xml:space="preserve">Same tranches, row 25</t>
  </si>
  <si>
    <t xml:space="preserve">Price appreciation launch to delivery list (value-weighted)</t>
  </si>
  <si>
    <t xml:space="preserve">Calculated. Investor resale value = face x this factor (base)</t>
  </si>
  <si>
    <t xml:space="preserve">Option B alternatives (considered, not recommended)</t>
  </si>
  <si>
    <t xml:space="preserve">S2: share of collections</t>
  </si>
  <si>
    <t xml:space="preserve">Calibrated (Python) so the base case reaches the target multiple by the end of the payout window</t>
  </si>
  <si>
    <t xml:space="preserve">S2: floor per quarter as multiple of equal instalment</t>
  </si>
  <si>
    <t xml:space="preserve">Design</t>
  </si>
  <si>
    <t xml:space="preserve">S2: cap per quarter as multiple of equal instalment</t>
  </si>
  <si>
    <t xml:space="preserve">S3: fixed minimum multiple</t>
  </si>
  <si>
    <t xml:space="preserve">S3: total cap multiple</t>
  </si>
  <si>
    <t xml:space="preserve">S3: share of collections</t>
  </si>
  <si>
    <t xml:space="preserve">Calibrated (Python)</t>
  </si>
  <si>
    <t xml:space="preserve">Coverage test threshold</t>
  </si>
  <si>
    <t xml:space="preserve">Brief</t>
  </si>
  <si>
    <t xml:space="preserve">Reference values from the source model (for reconciliation only)</t>
  </si>
  <si>
    <t xml:space="preserve">Jalour net cash flow, nominal</t>
  </si>
  <si>
    <t xml:space="preserve">'Net Cash Flow -With DP'!C40</t>
  </si>
  <si>
    <t xml:space="preserve">NPV of net cash flow with down payment</t>
  </si>
  <si>
    <t xml:space="preserve">Summary!D9</t>
  </si>
  <si>
    <t xml:space="preserve">Peak cumulative cash shortage</t>
  </si>
  <si>
    <t xml:space="preserve">Green Square Summary!E7</t>
  </si>
  <si>
    <t xml:space="preserve">Total collections (80% of units sold)</t>
  </si>
  <si>
    <t xml:space="preserve">'Net Cash Flow -With DP'!C4</t>
  </si>
  <si>
    <t xml:space="preserve">Total landlord payments</t>
  </si>
  <si>
    <t xml:space="preserve">'Net Cash Flow -With DP'!C10</t>
  </si>
  <si>
    <t xml:space="preserve">Total construction, commission and SG&amp;A</t>
  </si>
  <si>
    <t xml:space="preserve">'Net Cash Flow -With DP'!C28</t>
  </si>
  <si>
    <t xml:space="preserve">USD exchange rate (executive summary only)</t>
  </si>
  <si>
    <t xml:space="preserve">EGP per USD</t>
  </si>
  <si>
    <t xml:space="preserve">Brief / model</t>
  </si>
  <si>
    <t xml:space="preserve">First payout month</t>
  </si>
  <si>
    <t xml:space="preserve">Calculated: funding month + grace + 3</t>
  </si>
  <si>
    <t xml:space="preserve">Launch tranche face capacity (value at launch list)</t>
  </si>
  <si>
    <t xml:space="preserve">Calculated: retail plus office value of the launch tranches</t>
  </si>
  <si>
    <t xml:space="preserve">Source model series - Green Square (EGP million, quarter-end months)</t>
  </si>
  <si>
    <t xml:space="preserve">Blue = values transcribed from the source model cells named in column B. Columns D onward = quarters 1..60 (month = 3 x quarter).</t>
  </si>
  <si>
    <t xml:space="preserve">Series</t>
  </si>
  <si>
    <t xml:space="preserve">Source cell / basis</t>
  </si>
  <si>
    <t xml:space="preserve">Total</t>
  </si>
  <si>
    <t xml:space="preserve">Quarter index</t>
  </si>
  <si>
    <t xml:space="preserve">structural</t>
  </si>
  <si>
    <t xml:space="preserve">Month</t>
  </si>
  <si>
    <t xml:space="preserve">3 x index</t>
  </si>
  <si>
    <t xml:space="preserve">Collections excluding delivery payments</t>
  </si>
  <si>
    <t xml:space="preserve">Net Cash Flow -With DP row 4 less delivery component</t>
  </si>
  <si>
    <t xml:space="preserve">Delivery payments (within collections)</t>
  </si>
  <si>
    <t xml:space="preserve">Green Square sheet rows 35-36</t>
  </si>
  <si>
    <t xml:space="preserve">Landlord payments: down payment and guarantee schedule</t>
  </si>
  <si>
    <t xml:space="preserve">Net Cash Flow -With DP row 10, schedule part</t>
  </si>
  <si>
    <t xml:space="preserve">Landlord payments: excess over guarantee (years 8+)</t>
  </si>
  <si>
    <t xml:space="preserve">Same row, excess settlement</t>
  </si>
  <si>
    <t xml:space="preserve">Construction cost</t>
  </si>
  <si>
    <t xml:space="preserve">Cash Out Detail row 28</t>
  </si>
  <si>
    <t xml:space="preserve">Sales commission</t>
  </si>
  <si>
    <t xml:space="preserve">Cash Out Detail row 33</t>
  </si>
  <si>
    <t xml:space="preserve">SG&amp;A and others (15% of construction)</t>
  </si>
  <si>
    <t xml:space="preserve">Cash Out Detail row 38</t>
  </si>
  <si>
    <t xml:space="preserve">Launch tranches: collections, retail and offices</t>
  </si>
  <si>
    <t xml:space="preserve">Green Square sheet rows 31-36, 38-69 for the first two sales tranches</t>
  </si>
  <si>
    <t xml:space="preserve">Launch tranches: collections, retail</t>
  </si>
  <si>
    <t xml:space="preserve">same, commercial rows</t>
  </si>
  <si>
    <t xml:space="preserve">Launch tranches: collections, offices</t>
  </si>
  <si>
    <t xml:space="preserve">same, admin rows</t>
  </si>
  <si>
    <t xml:space="preserve">Launch tranches: sales value at the quarter commission is paid (12 months after sale)</t>
  </si>
  <si>
    <t xml:space="preserve">Cash Out Detail row 33 timing</t>
  </si>
  <si>
    <t xml:space="preserve">Green Square: project cash flow to Jalour, base case (quarterly, as per the source model)</t>
  </si>
  <si>
    <t xml:space="preserve">Net cash flow = collections less landlord payments, construction, commission and SG&amp;A. Positive = cash in.</t>
  </si>
  <si>
    <t xml:space="preserve">Line (EGP m)</t>
  </si>
  <si>
    <t xml:space="preserve">Quarter</t>
  </si>
  <si>
    <t xml:space="preserve">Years from month 0</t>
  </si>
  <si>
    <t xml:space="preserve">Collections (80% of units sold)</t>
  </si>
  <si>
    <t xml:space="preserve">Landlord payments (35% share, guarantee, down payment)</t>
  </si>
  <si>
    <t xml:space="preserve">SG&amp;A and others</t>
  </si>
  <si>
    <t xml:space="preserve">Net cash flow</t>
  </si>
  <si>
    <t xml:space="preserve">Cumulative net cash flow</t>
  </si>
  <si>
    <t xml:space="preserve">Discount factor</t>
  </si>
  <si>
    <t xml:space="preserve">Present value of net cash flow</t>
  </si>
  <si>
    <t xml:space="preserve">Net cash flow, nominal</t>
  </si>
  <si>
    <t xml:space="preserve">NPV of net cash flow @ discount rate</t>
  </si>
  <si>
    <t xml:space="preserve">Green Square: sources and uses of funds at the modelled peak, ticket EGP 100m</t>
  </si>
  <si>
    <t xml:space="preserve">Nothing is ring-fenced: the ticket is project funding, not a restricted account.</t>
  </si>
  <si>
    <t xml:space="preserve">Uses (EGP m)</t>
  </si>
  <si>
    <t xml:space="preserve">Amount</t>
  </si>
  <si>
    <t xml:space="preserve">Basis</t>
  </si>
  <si>
    <t xml:space="preserve">Down payment to landlord</t>
  </si>
  <si>
    <t xml:space="preserve">Source model</t>
  </si>
  <si>
    <t xml:space="preserve">Landlord guarantee instalments and working capital to modelled peak, net of collections</t>
  </si>
  <si>
    <t xml:space="preserve">Peak shortage less down payment</t>
  </si>
  <si>
    <t xml:space="preserve">Design, permits and pre-construction (ASSUMPTION)</t>
  </si>
  <si>
    <t xml:space="preserve">30% of the 5% professional-fee line, incurred ahead of construction start</t>
  </si>
  <si>
    <t xml:space="preserve">Total uses at peak</t>
  </si>
  <si>
    <t xml:space="preserve">Sources (EGP m)</t>
  </si>
  <si>
    <t xml:space="preserve">This offer</t>
  </si>
  <si>
    <t xml:space="preserve">Balance of project funding</t>
  </si>
  <si>
    <t xml:space="preserve">Total sources</t>
  </si>
  <si>
    <t xml:space="preserve">Ticket in excess of modelled uses (general project liquidity, not ring-fenced)</t>
  </si>
  <si>
    <t xml:space="preserve">Flag if above zero</t>
  </si>
  <si>
    <t xml:space="preserve">Ticket as % of modelled peak shortage</t>
  </si>
  <si>
    <t xml:space="preserve">Ticket applied to uses as % of total uses</t>
  </si>
  <si>
    <t xml:space="preserve">Ticket above modelled peak shortage</t>
  </si>
  <si>
    <t xml:space="preserve">Funding-gap exposure (sponsor covers gaps in excess of project cash)</t>
  </si>
  <si>
    <t xml:space="preserve">Green Square: Option A (units), ticket EGP 100m</t>
  </si>
  <si>
    <t xml:space="preserve">Units priced at launch list; allocated from the first two sales tranches; Jalour bears the landlord 35% on those units (landlord payments unchanged).</t>
  </si>
  <si>
    <t xml:space="preserve">Allocation</t>
  </si>
  <si>
    <t xml:space="preserve">Face value of units at launch list</t>
  </si>
  <si>
    <t xml:space="preserve">Share of launch-tranche inventory allocated</t>
  </si>
  <si>
    <t xml:space="preserve">of which retail</t>
  </si>
  <si>
    <t xml:space="preserve">of which offices</t>
  </si>
  <si>
    <t xml:space="preserve">Retail area allocated</t>
  </si>
  <si>
    <t xml:space="preserve">m2</t>
  </si>
  <si>
    <t xml:space="preserve">Office area allocated</t>
  </si>
  <si>
    <t xml:space="preserve">Value at delivery list price (before resale friction)</t>
  </si>
  <si>
    <t xml:space="preserve">Landlord 35% on the allocated units, borne by Jalour</t>
  </si>
  <si>
    <t xml:space="preserve">Quarterly flows (EGP m)</t>
  </si>
  <si>
    <t xml:space="preserve">Investor cash flow (base)</t>
  </si>
  <si>
    <t xml:space="preserve">Jalour: ticket received</t>
  </si>
  <si>
    <t xml:space="preserve">Jalour: collections forgone on allocated units</t>
  </si>
  <si>
    <t xml:space="preserve">Jalour: commission saved</t>
  </si>
  <si>
    <t xml:space="preserve">Jalour: net incremental cash flow</t>
  </si>
  <si>
    <t xml:space="preserve">Jalour: pooled position effect (cumulative)</t>
  </si>
  <si>
    <t xml:space="preserve">Returns</t>
  </si>
  <si>
    <t xml:space="preserve">Note</t>
  </si>
  <si>
    <t xml:space="preserve">Appreciation to delivery list price in the model</t>
  </si>
  <si>
    <t xml:space="preserve">First quarter cumulative cash is not negative</t>
  </si>
  <si>
    <t xml:space="preserve">Jalour cost of capital (IRR of ticket vs forgone collections)</t>
  </si>
  <si>
    <t xml:space="preserve">Jalour bears landlord share</t>
  </si>
  <si>
    <t xml:space="preserve">NPV to Jalour @ discount rate</t>
  </si>
  <si>
    <t xml:space="preserve">Nominal net cost to Jalour</t>
  </si>
  <si>
    <t xml:space="preserve">Project NPV after the deal</t>
  </si>
  <si>
    <t xml:space="preserve">Project NPV before the deal plus deal NPV</t>
  </si>
  <si>
    <t xml:space="preserve">Peak cumulative shortage excluding ticket cash (after forgone collections)</t>
  </si>
  <si>
    <t xml:space="preserve">Project cumulative plus deal effect, ticket cash excluded</t>
  </si>
  <si>
    <t xml:space="preserve">Investor cumulative cash flow</t>
  </si>
  <si>
    <t xml:space="preserve">Cumulative not negative (1/0)</t>
  </si>
  <si>
    <t xml:space="preserve">Ticket cash received (cumulative)</t>
  </si>
  <si>
    <t xml:space="preserve">Project cumulative cash plus deal effect, ticket cash excluded</t>
  </si>
  <si>
    <t xml:space="preserve">Face multiple sensitivity</t>
  </si>
  <si>
    <t xml:space="preserve">Investor IRR</t>
  </si>
  <si>
    <t xml:space="preserve">Early assignment 24 months after funding (units at face, no appreciation)</t>
  </si>
  <si>
    <t xml:space="preserve">Investor flow at face multiple row 43</t>
  </si>
  <si>
    <t xml:space="preserve">Investor flow at face multiple row 44</t>
  </si>
  <si>
    <t xml:space="preserve">Investor flow at face multiple row 45</t>
  </si>
  <si>
    <t xml:space="preserve">Early assignment flow row 48</t>
  </si>
  <si>
    <t xml:space="preserve">Early assignment flow row 49</t>
  </si>
  <si>
    <t xml:space="preserve">Early assignment flow row 50</t>
  </si>
  <si>
    <t xml:space="preserve">Early assignment flow row 51</t>
  </si>
  <si>
    <t xml:space="preserve">Green Square: Option B (cash), ticket EGP 100m</t>
  </si>
  <si>
    <t xml:space="preserve">S1 is the recommended structure. S2 and S3 are alternatives considered. Payouts after a grace period; nothing is held in a restricted account.</t>
  </si>
  <si>
    <t xml:space="preserve">Payout window flag</t>
  </si>
  <si>
    <t xml:space="preserve">Net cash flow before payouts (Project_CF)</t>
  </si>
  <si>
    <t xml:space="preserve">Collections (Project_CF)</t>
  </si>
  <si>
    <t xml:space="preserve">S1 payouts: fixed multiple, equal instalments</t>
  </si>
  <si>
    <t xml:space="preserve">S2 payouts: share of collections with floor and cap</t>
  </si>
  <si>
    <t xml:space="preserve">S3 fixed part</t>
  </si>
  <si>
    <t xml:space="preserve">S3 collections share</t>
  </si>
  <si>
    <t xml:space="preserve">S3 payouts: hybrid</t>
  </si>
  <si>
    <t xml:space="preserve">S1 investor cash flow</t>
  </si>
  <si>
    <t xml:space="preserve">S2 investor cash flow</t>
  </si>
  <si>
    <t xml:space="preserve">S3 investor cash flow</t>
  </si>
  <si>
    <t xml:space="preserve">S1 Jalour cash flow (ticket less payouts)</t>
  </si>
  <si>
    <t xml:space="preserve">S2 Jalour cash flow</t>
  </si>
  <si>
    <t xml:space="preserve">S3 Jalour cash flow</t>
  </si>
  <si>
    <t xml:space="preserve">S1 pooled cash after ticket and payouts</t>
  </si>
  <si>
    <t xml:space="preserve">S2 pooled cash</t>
  </si>
  <si>
    <t xml:space="preserve">S3 pooled cash</t>
  </si>
  <si>
    <t xml:space="preserve">S1 coverage: net cash flow / payout</t>
  </si>
  <si>
    <t xml:space="preserve">S1 coverage: cash available / payout</t>
  </si>
  <si>
    <t xml:space="preserve">S2 coverage: net cash flow / payout</t>
  </si>
  <si>
    <t xml:space="preserve">S2 coverage: cash available / payout</t>
  </si>
  <si>
    <t xml:space="preserve">S3 coverage: net cash flow / payout</t>
  </si>
  <si>
    <t xml:space="preserve">S3 coverage: cash available / payout</t>
  </si>
  <si>
    <t xml:space="preserve">Structure comparison (base case)</t>
  </si>
  <si>
    <t xml:space="preserve">S1 Fixed multiple</t>
  </si>
  <si>
    <t xml:space="preserve">S2 % of collections</t>
  </si>
  <si>
    <t xml:space="preserve">S3 Hybrid</t>
  </si>
  <si>
    <t xml:space="preserve">Total paid (EGP m)</t>
  </si>
  <si>
    <t xml:space="preserve">Total multiple</t>
  </si>
  <si>
    <t xml:space="preserve">Lowest quarterly coverage: net cash flow / payout</t>
  </si>
  <si>
    <t xml:space="preserve">Quarters below threshold (net cash flow basis)</t>
  </si>
  <si>
    <t xml:space="preserve">Lowest coverage: cash available / payout</t>
  </si>
  <si>
    <t xml:space="preserve">Quarters below threshold (cash available basis)</t>
  </si>
  <si>
    <t xml:space="preserve">Lowest pooled cash after ticket and payouts</t>
  </si>
  <si>
    <t xml:space="preserve">Last payout month</t>
  </si>
  <si>
    <t xml:space="preserve">Payback month (S1): first quarter cumulative investor cash flow is not negative</t>
  </si>
  <si>
    <t xml:space="preserve">S1 investor cumulative cash flow</t>
  </si>
  <si>
    <t xml:space="preserve">Not negative (1/0)</t>
  </si>
  <si>
    <t xml:space="preserve">Green Square: scenario analysis (live blocks; edit the blue parameters)</t>
  </si>
  <si>
    <t xml:space="preserve">Each block recalculates the project, Option A (investor resale at the scenario price and delay) and Option B (fixed payouts) from Source_Data.</t>
  </si>
  <si>
    <t xml:space="preserve">Price factor</t>
  </si>
  <si>
    <t xml:space="preserve">Sales delay (quarters)</t>
  </si>
  <si>
    <t xml:space="preserve">Cost factor</t>
  </si>
  <si>
    <t xml:space="preserve">Collections slip (quarters)</t>
  </si>
  <si>
    <t xml:space="preserve">Delivery payments at handover (1 = yes)</t>
  </si>
  <si>
    <t xml:space="preserve">Resale start month (Option A)</t>
  </si>
  <si>
    <t xml:space="preserve">Collections before delay and price</t>
  </si>
  <si>
    <t xml:space="preserve">Collections</t>
  </si>
  <si>
    <t xml:space="preserve">Landlord payments</t>
  </si>
  <si>
    <t xml:space="preserve">Option A investor cash flow</t>
  </si>
  <si>
    <t xml:space="preserve">Option B payouts (fixed schedule)</t>
  </si>
  <si>
    <t xml:space="preserve">Option B investor cash flow</t>
  </si>
  <si>
    <t xml:space="preserve">Pooled project cash after ticket and payouts</t>
  </si>
  <si>
    <t xml:space="preserve">Coverage: net cash flow / payout</t>
  </si>
  <si>
    <t xml:space="preserve">Coverage: cash available / payout</t>
  </si>
  <si>
    <t xml:space="preserve">NPV @ discount rate</t>
  </si>
  <si>
    <t xml:space="preserve">Month of peak</t>
  </si>
  <si>
    <t xml:space="preserve">Option A investor IRR</t>
  </si>
  <si>
    <t xml:space="preserve">Option A investor MOIC</t>
  </si>
  <si>
    <t xml:space="preserve">Option B investor IRR</t>
  </si>
  <si>
    <t xml:space="preserve">Option B lowest pooled cash (negative = sponsor support needed)</t>
  </si>
  <si>
    <t xml:space="preserve">Option B lowest quarterly coverage (net cash flow / payout)</t>
  </si>
  <si>
    <t xml:space="preserve">Quarters below threshold (strict)</t>
  </si>
  <si>
    <t xml:space="preserve">Option B lowest cash-available coverage</t>
  </si>
  <si>
    <t xml:space="preserve">Quarters below threshold (cash available)</t>
  </si>
  <si>
    <t xml:space="preserve">Green Square: one-factor sensitivities (live blocks)</t>
  </si>
  <si>
    <t xml:space="preserve">Sales delay, price change, cost overrun and collections slippage.</t>
  </si>
  <si>
    <t xml:space="preserve">price: 0.8</t>
  </si>
  <si>
    <t xml:space="preserve">price: 0.9</t>
  </si>
  <si>
    <t xml:space="preserve">price: 1.1</t>
  </si>
  <si>
    <t xml:space="preserve">price: 1.2</t>
  </si>
  <si>
    <t xml:space="preserve">delay: 2</t>
  </si>
  <si>
    <t xml:space="preserve">delay: 4</t>
  </si>
  <si>
    <t xml:space="preserve">delay: 6</t>
  </si>
  <si>
    <t xml:space="preserve">delay: 8</t>
  </si>
  <si>
    <t xml:space="preserve">cost: 1.1</t>
  </si>
  <si>
    <t xml:space="preserve">cost: 1.2</t>
  </si>
  <si>
    <t xml:space="preserve">slip: 1</t>
  </si>
  <si>
    <t xml:space="preserve">slip: 2</t>
  </si>
  <si>
    <t xml:space="preserve">slip: 4</t>
  </si>
  <si>
    <t xml:space="preserve">Green Square: reconciliation to the source model and independent recomputation (all checks must read zero)</t>
  </si>
  <si>
    <t xml:space="preserve">Differences are rounded to 5 decimals.</t>
  </si>
  <si>
    <t xml:space="preserve">Check</t>
  </si>
  <si>
    <t xml:space="preserve">This annex</t>
  </si>
  <si>
    <t xml:space="preserve">Reference</t>
  </si>
  <si>
    <t xml:space="preserve">Difference</t>
  </si>
  <si>
    <t xml:space="preserve">Reference basis</t>
  </si>
  <si>
    <t xml:space="preserve">NPV with down payment</t>
  </si>
  <si>
    <t xml:space="preserve">Peak cumulative shortage</t>
  </si>
  <si>
    <t xml:space="preserve">Total collections</t>
  </si>
  <si>
    <t xml:space="preserve">Construction, commission and SG&amp;A</t>
  </si>
  <si>
    <t xml:space="preserve">Scenario base block equals Project_CF (net)</t>
  </si>
  <si>
    <t xml:space="preserve">Internal</t>
  </si>
  <si>
    <t xml:space="preserve">Scenario base block equals Project_CF (NPV)</t>
  </si>
  <si>
    <t xml:space="preserve">Option A investor total = face x appreciation x (1-friction) - ticket</t>
  </si>
  <si>
    <t xml:space="preserve">Closed form</t>
  </si>
  <si>
    <t xml:space="preserve">Option B S1 total payouts = multiple x ticket</t>
  </si>
  <si>
    <t xml:space="preserve">Total sources equal the larger of total uses and the ticket</t>
  </si>
  <si>
    <t xml:space="preserve">Python recomputation: Option A investor IRR</t>
  </si>
  <si>
    <t xml:space="preserve">Independent Python (engine2.py)</t>
  </si>
  <si>
    <t xml:space="preserve">Python recomputation: Option A Jalour cost of capital</t>
  </si>
  <si>
    <t xml:space="preserve">Independent Python</t>
  </si>
  <si>
    <t xml:space="preserve">Python recomputation: Option B S1 investor IRR</t>
  </si>
  <si>
    <t xml:space="preserve">Python recomputation: Option B S2 investor IRR</t>
  </si>
  <si>
    <t xml:space="preserve">Python recomputation: Option B S3 investor IRR</t>
  </si>
  <si>
    <t xml:space="preserve">Python recomputation: downside peak shortage</t>
  </si>
  <si>
    <t xml:space="preserve">Python recomputation: Option B S1 lowest pooled cash</t>
  </si>
  <si>
    <t xml:space="preserve">Sum of absolute differences</t>
  </si>
  <si>
    <t xml:space="preserve">Status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</si>
</sst>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#,##0.0"/>
    <numFmt numFmtId="167" formatCode="0"/>
    <numFmt numFmtId="168" formatCode="0.0%"/>
    <numFmt numFmtId="169" formatCode="0.00\x"/>
    <numFmt numFmtId="170" formatCode="0.00"/>
    <numFmt numFmtId="171" formatCode="#,##0"/>
    <numFmt numFmtId="172" formatCode="0.0000"/>
    <numFmt numFmtId="173" formatCode="0.0000%"/>
    <numFmt numFmtId="174" formatCode="#,##0.000000"/>
    <numFmt numFmtId="175" formatCode="#,##0.00;\(#,##0.00\);\-"/>
    <numFmt numFmtId="176" formatCode="0.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7A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8EEF7"/>
      </patternFill>
    </fill>
    <fill>
      <patternFill patternType="solid">
        <fgColor rgb="FF1F3864"/>
        <bgColor rgb="FF333333"/>
      </patternFill>
    </fill>
    <fill>
      <patternFill patternType="solid">
        <fgColor rgb="FFE8EEF7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  <c r="B11" s="4" t="str">
        <f aca="false">Reconciliation!D25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6" t="s">
        <v>11</v>
      </c>
    </row>
    <row r="4" customFormat="false" ht="15" hidden="false" customHeight="false" outlineLevel="0" collapsed="false">
      <c r="A4" s="7" t="s">
        <v>12</v>
      </c>
      <c r="B4" s="7" t="s">
        <v>13</v>
      </c>
      <c r="C4" s="7" t="s">
        <v>14</v>
      </c>
      <c r="D4" s="7" t="s">
        <v>15</v>
      </c>
    </row>
    <row r="5" customFormat="false" ht="15" hidden="false" customHeight="false" outlineLevel="0" collapsed="false">
      <c r="A5" s="8" t="s">
        <v>16</v>
      </c>
    </row>
    <row r="6" customFormat="false" ht="15" hidden="false" customHeight="false" outlineLevel="0" collapsed="false">
      <c r="A6" s="3" t="s">
        <v>17</v>
      </c>
      <c r="B6" s="9" t="n">
        <f aca="false">Project_CF!$B$18</f>
        <v>375.4475275</v>
      </c>
      <c r="C6" s="10" t="n">
        <f aca="false">B6/Inputs!$B$52</f>
        <v>7.82182348958334</v>
      </c>
      <c r="D6" s="6" t="s">
        <v>18</v>
      </c>
    </row>
    <row r="7" customFormat="false" ht="15" hidden="false" customHeight="false" outlineLevel="0" collapsed="false">
      <c r="A7" s="3" t="s">
        <v>19</v>
      </c>
      <c r="B7" s="9" t="n">
        <f aca="false">Project_CF!$B$19</f>
        <v>215.311392548924</v>
      </c>
      <c r="C7" s="10" t="n">
        <f aca="false">B7/Inputs!$B$52</f>
        <v>4.48565401143592</v>
      </c>
      <c r="D7" s="6" t="s">
        <v>18</v>
      </c>
    </row>
    <row r="8" customFormat="false" ht="15" hidden="false" customHeight="false" outlineLevel="0" collapsed="false">
      <c r="A8" s="3" t="s">
        <v>20</v>
      </c>
      <c r="B8" s="9" t="n">
        <f aca="false">-Project_CF!$B$20</f>
        <v>102.5</v>
      </c>
      <c r="C8" s="10" t="n">
        <f aca="false">B8/Inputs!$B$52</f>
        <v>2.13541666666667</v>
      </c>
      <c r="D8" s="6" t="s">
        <v>18</v>
      </c>
    </row>
    <row r="9" customFormat="false" ht="15" hidden="false" customHeight="false" outlineLevel="0" collapsed="false">
      <c r="A9" s="3" t="s">
        <v>21</v>
      </c>
      <c r="B9" s="11" t="n">
        <f aca="false">Project_CF!$B$21</f>
        <v>6</v>
      </c>
      <c r="D9" s="6" t="s">
        <v>18</v>
      </c>
    </row>
    <row r="10" customFormat="false" ht="15" hidden="false" customHeight="false" outlineLevel="0" collapsed="false">
      <c r="A10" s="3" t="s">
        <v>22</v>
      </c>
      <c r="B10" s="9" t="n">
        <f aca="false">Project_CF!$C$8</f>
        <v>2252.979</v>
      </c>
      <c r="C10" s="10" t="n">
        <f aca="false">B10/Inputs!$B$52</f>
        <v>46.9370625</v>
      </c>
      <c r="D10" s="6" t="s">
        <v>18</v>
      </c>
    </row>
    <row r="11" customFormat="false" ht="15" hidden="false" customHeight="false" outlineLevel="0" collapsed="false">
      <c r="A11" s="3" t="s">
        <v>23</v>
      </c>
      <c r="B11" s="9" t="n">
        <f aca="false">Project_CF!$C$9</f>
        <v>985.6783125</v>
      </c>
      <c r="D11" s="6" t="s">
        <v>18</v>
      </c>
    </row>
    <row r="12" customFormat="false" ht="15" hidden="false" customHeight="false" outlineLevel="0" collapsed="false">
      <c r="A12" s="3" t="s">
        <v>24</v>
      </c>
      <c r="B12" s="9" t="n">
        <f aca="false">Project_CF!$C$10+Project_CF!$C$11+Project_CF!$C$12</f>
        <v>891.85316</v>
      </c>
      <c r="D12" s="6" t="s">
        <v>18</v>
      </c>
    </row>
    <row r="13" customFormat="false" ht="15" hidden="false" customHeight="false" outlineLevel="0" collapsed="false">
      <c r="A13" s="8" t="s">
        <v>25</v>
      </c>
    </row>
    <row r="14" customFormat="false" ht="15" hidden="false" customHeight="false" outlineLevel="0" collapsed="false">
      <c r="A14" s="3" t="s">
        <v>26</v>
      </c>
      <c r="B14" s="9" t="n">
        <f aca="false">Sources_Uses!B8</f>
        <v>112.9574</v>
      </c>
      <c r="C14" s="10" t="n">
        <f aca="false">B14/Inputs!$B$52</f>
        <v>2.35327916666667</v>
      </c>
      <c r="D14" s="6" t="s">
        <v>27</v>
      </c>
    </row>
    <row r="15" customFormat="false" ht="15" hidden="false" customHeight="false" outlineLevel="0" collapsed="false">
      <c r="A15" s="3" t="s">
        <v>28</v>
      </c>
      <c r="B15" s="9" t="n">
        <f aca="false">Sources_Uses!B13</f>
        <v>12.9574</v>
      </c>
      <c r="D15" s="6" t="s">
        <v>27</v>
      </c>
    </row>
    <row r="16" customFormat="false" ht="15" hidden="false" customHeight="false" outlineLevel="0" collapsed="false">
      <c r="A16" s="3" t="s">
        <v>29</v>
      </c>
      <c r="B16" s="9" t="n">
        <f aca="false">Sources_Uses!B15</f>
        <v>0</v>
      </c>
      <c r="D16" s="6" t="s">
        <v>27</v>
      </c>
    </row>
    <row r="17" customFormat="false" ht="15" hidden="false" customHeight="false" outlineLevel="0" collapsed="false">
      <c r="A17" s="3" t="s">
        <v>30</v>
      </c>
      <c r="B17" s="12" t="n">
        <f aca="false">Sources_Uses!B16</f>
        <v>0.975609756097561</v>
      </c>
      <c r="D17" s="6" t="s">
        <v>27</v>
      </c>
    </row>
    <row r="18" customFormat="false" ht="15" hidden="false" customHeight="false" outlineLevel="0" collapsed="false">
      <c r="A18" s="3" t="s">
        <v>31</v>
      </c>
      <c r="B18" s="9" t="n">
        <f aca="false">Sources_Uses!B18</f>
        <v>0</v>
      </c>
      <c r="D18" s="6" t="s">
        <v>27</v>
      </c>
    </row>
    <row r="19" customFormat="false" ht="15" hidden="false" customHeight="false" outlineLevel="0" collapsed="false">
      <c r="A19" s="8" t="s">
        <v>32</v>
      </c>
    </row>
    <row r="20" customFormat="false" ht="15" hidden="false" customHeight="false" outlineLevel="0" collapsed="false">
      <c r="A20" s="3" t="s">
        <v>33</v>
      </c>
      <c r="B20" s="9" t="n">
        <f aca="false">Option_A!B5</f>
        <v>200</v>
      </c>
      <c r="C20" s="10" t="n">
        <f aca="false">B20/Inputs!$B$52</f>
        <v>4.16666666666667</v>
      </c>
      <c r="D20" s="6" t="s">
        <v>34</v>
      </c>
    </row>
    <row r="21" customFormat="false" ht="15" hidden="false" customHeight="false" outlineLevel="0" collapsed="false">
      <c r="A21" s="3" t="s">
        <v>35</v>
      </c>
      <c r="B21" s="12" t="n">
        <f aca="false">Option_A!B6</f>
        <v>0.330267624112509</v>
      </c>
      <c r="D21" s="6" t="s">
        <v>34</v>
      </c>
    </row>
    <row r="22" customFormat="false" ht="15" hidden="false" customHeight="false" outlineLevel="0" collapsed="false">
      <c r="A22" s="3" t="s">
        <v>36</v>
      </c>
      <c r="B22" s="9" t="n">
        <f aca="false">Option_A!B11</f>
        <v>286.73835125448</v>
      </c>
      <c r="D22" s="6" t="s">
        <v>34</v>
      </c>
    </row>
    <row r="23" customFormat="false" ht="15" hidden="false" customHeight="false" outlineLevel="0" collapsed="false">
      <c r="A23" s="3" t="s">
        <v>37</v>
      </c>
      <c r="B23" s="12" t="n">
        <f aca="false">Option_A!B26</f>
        <v>0.264029906719608</v>
      </c>
      <c r="D23" s="6" t="s">
        <v>34</v>
      </c>
    </row>
    <row r="24" customFormat="false" ht="15" hidden="false" customHeight="false" outlineLevel="0" collapsed="false">
      <c r="A24" s="3" t="s">
        <v>38</v>
      </c>
      <c r="B24" s="13" t="n">
        <f aca="false">Option_A!B27</f>
        <v>2.78136200716846</v>
      </c>
      <c r="D24" s="6" t="s">
        <v>34</v>
      </c>
    </row>
    <row r="25" customFormat="false" ht="15" hidden="false" customHeight="false" outlineLevel="0" collapsed="false">
      <c r="A25" s="3" t="s">
        <v>39</v>
      </c>
      <c r="B25" s="11" t="n">
        <f aca="false">Option_A!B28</f>
        <v>54</v>
      </c>
      <c r="D25" s="6" t="s">
        <v>34</v>
      </c>
    </row>
    <row r="26" customFormat="false" ht="15" hidden="false" customHeight="false" outlineLevel="0" collapsed="false">
      <c r="A26" s="3" t="s">
        <v>40</v>
      </c>
      <c r="B26" s="12" t="n">
        <f aca="false">Scenarios!$B$66</f>
        <v>0.18640160567242</v>
      </c>
      <c r="D26" s="6" t="s">
        <v>41</v>
      </c>
    </row>
    <row r="27" customFormat="false" ht="15" hidden="false" customHeight="false" outlineLevel="0" collapsed="false">
      <c r="A27" s="3" t="s">
        <v>42</v>
      </c>
      <c r="B27" s="13" t="n">
        <f aca="false">Scenarios!$B$67</f>
        <v>2.50322580645161</v>
      </c>
      <c r="D27" s="6" t="s">
        <v>41</v>
      </c>
    </row>
    <row r="28" customFormat="false" ht="15" hidden="false" customHeight="false" outlineLevel="0" collapsed="false">
      <c r="A28" s="3" t="s">
        <v>43</v>
      </c>
      <c r="B28" s="12" t="n">
        <f aca="false">Scenarios!$B$102</f>
        <v>0.291992838668679</v>
      </c>
      <c r="D28" s="6" t="s">
        <v>41</v>
      </c>
    </row>
    <row r="29" customFormat="false" ht="15" hidden="false" customHeight="false" outlineLevel="0" collapsed="false">
      <c r="A29" s="3" t="s">
        <v>44</v>
      </c>
      <c r="B29" s="13" t="n">
        <f aca="false">Scenarios!$B$103</f>
        <v>3.05949820788531</v>
      </c>
      <c r="D29" s="6" t="s">
        <v>41</v>
      </c>
    </row>
    <row r="30" customFormat="false" ht="15" hidden="false" customHeight="false" outlineLevel="0" collapsed="false">
      <c r="A30" s="3" t="s">
        <v>45</v>
      </c>
      <c r="B30" s="12" t="n">
        <f aca="false">Option_A!B29</f>
        <v>0.20741957336111</v>
      </c>
      <c r="D30" s="6" t="s">
        <v>34</v>
      </c>
    </row>
    <row r="31" customFormat="false" ht="15" hidden="false" customHeight="false" outlineLevel="0" collapsed="false">
      <c r="A31" s="3" t="s">
        <v>46</v>
      </c>
      <c r="B31" s="9" t="n">
        <f aca="false">Option_A!B30</f>
        <v>-19.0930209170933</v>
      </c>
      <c r="D31" s="6" t="s">
        <v>34</v>
      </c>
    </row>
    <row r="32" customFormat="false" ht="15" hidden="false" customHeight="false" outlineLevel="0" collapsed="false">
      <c r="A32" s="3" t="s">
        <v>47</v>
      </c>
      <c r="B32" s="9" t="n">
        <f aca="false">Option_A!B31</f>
        <v>-92</v>
      </c>
      <c r="D32" s="6" t="s">
        <v>34</v>
      </c>
    </row>
    <row r="33" customFormat="false" ht="15" hidden="false" customHeight="false" outlineLevel="0" collapsed="false">
      <c r="A33" s="8" t="s">
        <v>48</v>
      </c>
    </row>
    <row r="34" customFormat="false" ht="15" hidden="false" customHeight="false" outlineLevel="0" collapsed="false">
      <c r="A34" s="3" t="s">
        <v>37</v>
      </c>
      <c r="B34" s="12" t="n">
        <f aca="false">Option_B!B34</f>
        <v>0.265463994839995</v>
      </c>
      <c r="D34" s="6" t="s">
        <v>49</v>
      </c>
    </row>
    <row r="35" customFormat="false" ht="15" hidden="false" customHeight="false" outlineLevel="0" collapsed="false">
      <c r="A35" s="3" t="s">
        <v>50</v>
      </c>
      <c r="B35" s="13" t="n">
        <f aca="false">Option_B!B33</f>
        <v>2.3</v>
      </c>
      <c r="D35" s="6" t="s">
        <v>49</v>
      </c>
    </row>
    <row r="36" customFormat="false" ht="15" hidden="false" customHeight="false" outlineLevel="0" collapsed="false">
      <c r="A36" s="3" t="s">
        <v>39</v>
      </c>
      <c r="B36" s="11" t="n">
        <f aca="false">Option_B!B46</f>
        <v>45</v>
      </c>
      <c r="D36" s="6" t="s">
        <v>49</v>
      </c>
    </row>
    <row r="37" customFormat="false" ht="15" hidden="false" customHeight="false" outlineLevel="0" collapsed="false">
      <c r="A37" s="3" t="s">
        <v>45</v>
      </c>
      <c r="B37" s="12" t="n">
        <f aca="false">Option_B!B35</f>
        <v>0.265463994839995</v>
      </c>
      <c r="D37" s="6" t="s">
        <v>49</v>
      </c>
    </row>
    <row r="38" customFormat="false" ht="15" hidden="false" customHeight="false" outlineLevel="0" collapsed="false">
      <c r="A38" s="3" t="s">
        <v>46</v>
      </c>
      <c r="B38" s="9" t="n">
        <f aca="false">Option_B!B36</f>
        <v>-42.536578844783</v>
      </c>
      <c r="D38" s="6" t="s">
        <v>49</v>
      </c>
    </row>
    <row r="39" customFormat="false" ht="15" hidden="false" customHeight="false" outlineLevel="0" collapsed="false">
      <c r="A39" s="3" t="s">
        <v>51</v>
      </c>
      <c r="B39" s="14" t="n">
        <f aca="false">Option_B!B37</f>
        <v>-8.95047815217391</v>
      </c>
      <c r="D39" s="6" t="s">
        <v>49</v>
      </c>
    </row>
    <row r="40" customFormat="false" ht="15" hidden="false" customHeight="false" outlineLevel="0" collapsed="false">
      <c r="A40" s="3" t="s">
        <v>52</v>
      </c>
      <c r="B40" s="11" t="n">
        <f aca="false">Option_B!B38</f>
        <v>9</v>
      </c>
      <c r="D40" s="6" t="s">
        <v>49</v>
      </c>
    </row>
    <row r="41" customFormat="false" ht="15" hidden="false" customHeight="false" outlineLevel="0" collapsed="false">
      <c r="A41" s="3" t="s">
        <v>53</v>
      </c>
      <c r="B41" s="11" t="n">
        <f aca="false">Option_B!B39</f>
        <v>12</v>
      </c>
      <c r="D41" s="6" t="s">
        <v>49</v>
      </c>
    </row>
    <row r="42" customFormat="false" ht="15" hidden="false" customHeight="false" outlineLevel="0" collapsed="false">
      <c r="A42" s="3" t="s">
        <v>54</v>
      </c>
      <c r="B42" s="14" t="n">
        <f aca="false">Option_B!B40</f>
        <v>2.95842224456522</v>
      </c>
      <c r="D42" s="6" t="s">
        <v>49</v>
      </c>
    </row>
    <row r="43" customFormat="false" ht="15" hidden="false" customHeight="false" outlineLevel="0" collapsed="false">
      <c r="A43" s="3" t="s">
        <v>55</v>
      </c>
      <c r="B43" s="11" t="n">
        <f aca="false">Option_B!B41</f>
        <v>0</v>
      </c>
      <c r="D43" s="6" t="s">
        <v>49</v>
      </c>
    </row>
    <row r="44" customFormat="false" ht="15" hidden="false" customHeight="false" outlineLevel="0" collapsed="false">
      <c r="A44" s="3" t="s">
        <v>56</v>
      </c>
      <c r="B44" s="9" t="n">
        <f aca="false">Option_B!B42</f>
        <v>-2.5</v>
      </c>
      <c r="D44" s="6" t="s">
        <v>49</v>
      </c>
    </row>
    <row r="45" customFormat="false" ht="15" hidden="false" customHeight="false" outlineLevel="0" collapsed="false">
      <c r="A45" s="3" t="s">
        <v>57</v>
      </c>
      <c r="B45" s="12" t="n">
        <f aca="false">Option_B!C34</f>
        <v>0.290276628628477</v>
      </c>
      <c r="D45" s="6" t="s">
        <v>49</v>
      </c>
    </row>
    <row r="46" customFormat="false" ht="15" hidden="false" customHeight="false" outlineLevel="0" collapsed="false">
      <c r="A46" s="3" t="s">
        <v>58</v>
      </c>
      <c r="B46" s="12" t="n">
        <f aca="false">Option_B!D34</f>
        <v>0.27835276492556</v>
      </c>
      <c r="D46" s="6" t="s">
        <v>49</v>
      </c>
    </row>
    <row r="47" customFormat="false" ht="15" hidden="false" customHeight="false" outlineLevel="0" collapsed="false">
      <c r="A47" s="8" t="s">
        <v>59</v>
      </c>
    </row>
    <row r="48" customFormat="false" ht="15" hidden="false" customHeight="false" outlineLevel="0" collapsed="false">
      <c r="A48" s="3" t="s">
        <v>60</v>
      </c>
      <c r="B48" s="15" t="n">
        <f aca="false">-Scenarios!$B$28</f>
        <v>102.5</v>
      </c>
      <c r="C48" s="15" t="n">
        <f aca="false">Scenarios!$B$27</f>
        <v>215.311392548924</v>
      </c>
      <c r="D48" s="15" t="n">
        <f aca="false">Scenarios!$B$33</f>
        <v>-2.5</v>
      </c>
    </row>
    <row r="49" customFormat="false" ht="15" hidden="false" customHeight="false" outlineLevel="0" collapsed="false">
      <c r="A49" s="3" t="s">
        <v>61</v>
      </c>
      <c r="B49" s="15" t="n">
        <f aca="false">-Scenarios!$B$64</f>
        <v>441.19460834375</v>
      </c>
      <c r="C49" s="15" t="n">
        <f aca="false">Scenarios!$B$63</f>
        <v>-33.5946846074615</v>
      </c>
      <c r="D49" s="15" t="n">
        <f aca="false">Scenarios!$B$69</f>
        <v>-417.861275010417</v>
      </c>
    </row>
    <row r="50" customFormat="false" ht="15" hidden="false" customHeight="false" outlineLevel="0" collapsed="false">
      <c r="A50" s="3" t="s">
        <v>62</v>
      </c>
      <c r="B50" s="15" t="n">
        <f aca="false">-Scenarios!$B$100</f>
        <v>102.5</v>
      </c>
      <c r="C50" s="15" t="n">
        <f aca="false">Scenarios!$B$99</f>
        <v>314.581592958412</v>
      </c>
      <c r="D50" s="15" t="n">
        <f aca="false">Scenarios!$B$105</f>
        <v>-2.5</v>
      </c>
    </row>
    <row r="51" customFormat="false" ht="15" hidden="false" customHeight="false" outlineLevel="0" collapsed="false">
      <c r="A51" s="3" t="s">
        <v>63</v>
      </c>
      <c r="B51" s="15" t="n">
        <f aca="false">-Scenarios!$B$136</f>
        <v>102.5</v>
      </c>
      <c r="C51" s="15" t="n">
        <f aca="false">Scenarios!$B$135</f>
        <v>162.345681036619</v>
      </c>
      <c r="D51" s="15" t="n">
        <f aca="false">Scenarios!$B$141</f>
        <v>-42.6369736458332</v>
      </c>
    </row>
    <row r="52" customFormat="false" ht="15" hidden="false" customHeight="false" outlineLevel="0" collapsed="false">
      <c r="A52" s="3" t="s">
        <v>64</v>
      </c>
      <c r="B52" s="15" t="n">
        <f aca="false">-Scenarios!$B$172</f>
        <v>235.690784375</v>
      </c>
      <c r="C52" s="15" t="n">
        <f aca="false">Scenarios!$B$171</f>
        <v>125.464219288503</v>
      </c>
      <c r="D52" s="15" t="n">
        <f aca="false">Scenarios!$B$177</f>
        <v>-154.857451041667</v>
      </c>
    </row>
    <row r="53" customFormat="false" ht="15" hidden="false" customHeight="false" outlineLevel="0" collapsed="false">
      <c r="A53" s="3" t="s">
        <v>65</v>
      </c>
      <c r="B53" s="15" t="n">
        <f aca="false">-Scenarios!$B$208</f>
        <v>269.1979209375</v>
      </c>
      <c r="C53" s="15" t="n">
        <f aca="false">Scenarios!$B$207</f>
        <v>155.329324901231</v>
      </c>
      <c r="D53" s="15" t="n">
        <f aca="false">Scenarios!$B$213</f>
        <v>-284.1979209375</v>
      </c>
    </row>
    <row r="54" customFormat="false" ht="15" hidden="false" customHeight="false" outlineLevel="0" collapsed="false">
      <c r="A54" s="3" t="s">
        <v>66</v>
      </c>
      <c r="B54" s="15" t="n">
        <f aca="false">-Scenarios!$B$244</f>
        <v>729.38647159375</v>
      </c>
      <c r="C54" s="15" t="n">
        <f aca="false">Scenarios!$B$243</f>
        <v>-80.9489485398505</v>
      </c>
      <c r="D54" s="15" t="n">
        <f aca="false">Scenarios!$B$249</f>
        <v>-763.713195510416</v>
      </c>
    </row>
    <row r="55" customFormat="false" ht="15" hidden="false" customHeight="false" outlineLevel="0" collapsed="false">
      <c r="A55" s="6" t="s">
        <v>67</v>
      </c>
    </row>
    <row r="56" customFormat="false" ht="15" hidden="false" customHeight="false" outlineLevel="0" collapsed="false">
      <c r="A56" s="8" t="s">
        <v>68</v>
      </c>
    </row>
    <row r="57" customFormat="false" ht="15" hidden="false" customHeight="false" outlineLevel="0" collapsed="false">
      <c r="A57" s="3" t="s">
        <v>69</v>
      </c>
      <c r="B57" s="15" t="n">
        <f aca="false">-Sensitivity!$B$28</f>
        <v>183.65099225</v>
      </c>
      <c r="C57" s="15" t="n">
        <f aca="false">Sensitivity!$B$27</f>
        <v>12.5730899338982</v>
      </c>
      <c r="D57" s="16" t="n">
        <f aca="false">Sensitivity!$B$30</f>
        <v>0.200946583591044</v>
      </c>
    </row>
    <row r="58" customFormat="false" ht="15" hidden="false" customHeight="false" outlineLevel="0" collapsed="false">
      <c r="A58" s="3" t="s">
        <v>70</v>
      </c>
      <c r="B58" s="15" t="n">
        <f aca="false">-Sensitivity!$B$64</f>
        <v>114.44060834375</v>
      </c>
      <c r="C58" s="15" t="n">
        <f aca="false">Sensitivity!$B$63</f>
        <v>116.041192139436</v>
      </c>
      <c r="D58" s="16" t="n">
        <f aca="false">Sensitivity!$B$66</f>
        <v>0.233834368931446</v>
      </c>
    </row>
    <row r="59" customFormat="false" ht="15" hidden="false" customHeight="false" outlineLevel="0" collapsed="false">
      <c r="A59" s="3" t="s">
        <v>71</v>
      </c>
      <c r="B59" s="15" t="n">
        <f aca="false">-Sensitivity!$B$100</f>
        <v>102.5</v>
      </c>
      <c r="C59" s="15" t="n">
        <f aca="false">Sensitivity!$B$99</f>
        <v>314.581592958412</v>
      </c>
      <c r="D59" s="16" t="n">
        <f aca="false">Sensitivity!$B$102</f>
        <v>0.291992838668679</v>
      </c>
    </row>
    <row r="60" customFormat="false" ht="15" hidden="false" customHeight="false" outlineLevel="0" collapsed="false">
      <c r="A60" s="3" t="s">
        <v>72</v>
      </c>
      <c r="B60" s="15" t="n">
        <f aca="false">-Sensitivity!$B$136</f>
        <v>102.5</v>
      </c>
      <c r="C60" s="15" t="n">
        <f aca="false">Sensitivity!$B$135</f>
        <v>413.851793367899</v>
      </c>
      <c r="D60" s="16" t="n">
        <f aca="false">Sensitivity!$B$138</f>
        <v>0.31807065389798</v>
      </c>
    </row>
    <row r="61" customFormat="false" ht="15" hidden="false" customHeight="false" outlineLevel="0" collapsed="false">
      <c r="A61" s="3" t="s">
        <v>73</v>
      </c>
      <c r="B61" s="15" t="n">
        <f aca="false">-Sensitivity!$B$172</f>
        <v>216.648264375</v>
      </c>
      <c r="C61" s="15" t="n">
        <f aca="false">Sensitivity!$B$171</f>
        <v>129.458194472182</v>
      </c>
      <c r="D61" s="16" t="n">
        <f aca="false">Sensitivity!$B$174</f>
        <v>0.233909836929433</v>
      </c>
    </row>
    <row r="62" customFormat="false" ht="15" hidden="false" customHeight="false" outlineLevel="0" collapsed="false">
      <c r="A62" s="3" t="s">
        <v>74</v>
      </c>
      <c r="B62" s="15" t="n">
        <f aca="false">-Sensitivity!$B$208</f>
        <v>408.4846759375</v>
      </c>
      <c r="C62" s="15" t="n">
        <f aca="false">Sensitivity!$B$207</f>
        <v>49.0493072745931</v>
      </c>
      <c r="D62" s="16" t="n">
        <f aca="false">Sensitivity!$B$210</f>
        <v>0.209949260936023</v>
      </c>
    </row>
    <row r="63" customFormat="false" ht="15" hidden="false" customHeight="false" outlineLevel="0" collapsed="false">
      <c r="A63" s="3" t="s">
        <v>75</v>
      </c>
      <c r="B63" s="15" t="n">
        <f aca="false">-Sensitivity!$B$244</f>
        <v>825.0846759375</v>
      </c>
      <c r="C63" s="15" t="n">
        <f aca="false">Sensitivity!$B$243</f>
        <v>-26.2605155997418</v>
      </c>
      <c r="D63" s="16" t="n">
        <f aca="false">Sensitivity!$B$246</f>
        <v>0.190435922453996</v>
      </c>
    </row>
    <row r="64" customFormat="false" ht="15" hidden="false" customHeight="false" outlineLevel="0" collapsed="false">
      <c r="A64" s="3" t="s">
        <v>76</v>
      </c>
      <c r="B64" s="15" t="n">
        <f aca="false">-Sensitivity!$B$280</f>
        <v>1075.442264375</v>
      </c>
      <c r="C64" s="15" t="n">
        <f aca="false">Sensitivity!$B$279</f>
        <v>-96.7946271765743</v>
      </c>
      <c r="D64" s="16" t="n">
        <f aca="false">Sensitivity!$B$282</f>
        <v>0.174237893253424</v>
      </c>
    </row>
    <row r="65" customFormat="false" ht="15" hidden="false" customHeight="false" outlineLevel="0" collapsed="false">
      <c r="A65" s="3" t="s">
        <v>77</v>
      </c>
      <c r="B65" s="15" t="n">
        <f aca="false">-Sensitivity!$B$316</f>
        <v>102.5</v>
      </c>
      <c r="C65" s="15" t="n">
        <f aca="false">Sensitivity!$B$315</f>
        <v>162.345681036619</v>
      </c>
      <c r="D65" s="16" t="n">
        <f aca="false">Sensitivity!$B$318</f>
        <v>0.264029906719608</v>
      </c>
    </row>
    <row r="66" customFormat="false" ht="15" hidden="false" customHeight="false" outlineLevel="0" collapsed="false">
      <c r="A66" s="3" t="s">
        <v>78</v>
      </c>
      <c r="B66" s="15" t="n">
        <f aca="false">-Sensitivity!$B$352</f>
        <v>114.372264375</v>
      </c>
      <c r="C66" s="15" t="n">
        <f aca="false">Sensitivity!$B$351</f>
        <v>109.379969524313</v>
      </c>
      <c r="D66" s="16" t="n">
        <f aca="false">Sensitivity!$B$354</f>
        <v>0.264029906719608</v>
      </c>
    </row>
    <row r="67" customFormat="false" ht="15" hidden="false" customHeight="false" outlineLevel="0" collapsed="false">
      <c r="A67" s="3" t="s">
        <v>79</v>
      </c>
      <c r="B67" s="15" t="n">
        <f aca="false">-Sensitivity!$B$388</f>
        <v>162.059524375</v>
      </c>
      <c r="C67" s="15" t="n">
        <f aca="false">Sensitivity!$B$387</f>
        <v>169.652089267269</v>
      </c>
      <c r="D67" s="16" t="n">
        <f aca="false">Sensitivity!$B$390</f>
        <v>0.264029906719608</v>
      </c>
    </row>
    <row r="68" customFormat="false" ht="15" hidden="false" customHeight="false" outlineLevel="0" collapsed="false">
      <c r="A68" s="3" t="s">
        <v>80</v>
      </c>
      <c r="B68" s="15" t="n">
        <f aca="false">-Sensitivity!$B$424</f>
        <v>235.690784375</v>
      </c>
      <c r="C68" s="15" t="n">
        <f aca="false">Sensitivity!$B$423</f>
        <v>125.464219288503</v>
      </c>
      <c r="D68" s="16" t="n">
        <f aca="false">Sensitivity!$B$426</f>
        <v>0.264029906719608</v>
      </c>
    </row>
    <row r="69" customFormat="false" ht="15" hidden="false" customHeight="false" outlineLevel="0" collapsed="false">
      <c r="A69" s="3" t="s">
        <v>81</v>
      </c>
      <c r="B69" s="15" t="n">
        <f aca="false">-Sensitivity!$B$460</f>
        <v>439.6819959375</v>
      </c>
      <c r="C69" s="15" t="n">
        <f aca="false">Sensitivity!$B$459</f>
        <v>41.314631602071</v>
      </c>
      <c r="D69" s="16" t="n">
        <f aca="false">Sensitivity!$B$462</f>
        <v>0.264029906719608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5" t="s">
        <v>82</v>
      </c>
    </row>
    <row r="2" customFormat="false" ht="15" hidden="false" customHeight="false" outlineLevel="0" collapsed="false">
      <c r="A2" s="6" t="s">
        <v>83</v>
      </c>
    </row>
    <row r="4" customFormat="false" ht="15" hidden="false" customHeight="false" outlineLevel="0" collapsed="false">
      <c r="A4" s="7" t="s">
        <v>84</v>
      </c>
      <c r="B4" s="7" t="s">
        <v>13</v>
      </c>
      <c r="C4" s="7" t="s">
        <v>85</v>
      </c>
      <c r="D4" s="7" t="s">
        <v>86</v>
      </c>
    </row>
    <row r="6" customFormat="false" ht="15" hidden="false" customHeight="false" outlineLevel="0" collapsed="false">
      <c r="A6" s="8" t="s">
        <v>87</v>
      </c>
    </row>
    <row r="7" customFormat="false" ht="15" hidden="false" customHeight="false" outlineLevel="0" collapsed="false">
      <c r="A7" s="3" t="s">
        <v>88</v>
      </c>
      <c r="B7" s="17" t="n">
        <v>100</v>
      </c>
      <c r="C7" s="3" t="s">
        <v>89</v>
      </c>
      <c r="D7" s="6" t="s">
        <v>90</v>
      </c>
    </row>
    <row r="8" customFormat="false" ht="15" hidden="false" customHeight="false" outlineLevel="0" collapsed="false">
      <c r="A8" s="3" t="s">
        <v>91</v>
      </c>
      <c r="B8" s="18" t="n">
        <v>2</v>
      </c>
      <c r="C8" s="3" t="s">
        <v>92</v>
      </c>
      <c r="D8" s="6" t="s">
        <v>93</v>
      </c>
    </row>
    <row r="9" customFormat="false" ht="15" hidden="false" customHeight="false" outlineLevel="0" collapsed="false">
      <c r="A9" s="3" t="s">
        <v>94</v>
      </c>
      <c r="B9" s="18" t="n">
        <v>2.3</v>
      </c>
      <c r="C9" s="3" t="s">
        <v>92</v>
      </c>
      <c r="D9" s="6" t="s">
        <v>95</v>
      </c>
    </row>
    <row r="10" customFormat="false" ht="15" hidden="false" customHeight="false" outlineLevel="0" collapsed="false">
      <c r="A10" s="3" t="s">
        <v>96</v>
      </c>
      <c r="B10" s="19" t="n">
        <v>24</v>
      </c>
      <c r="C10" s="3" t="s">
        <v>97</v>
      </c>
      <c r="D10" s="6" t="s">
        <v>90</v>
      </c>
    </row>
    <row r="11" customFormat="false" ht="15" hidden="false" customHeight="false" outlineLevel="0" collapsed="false">
      <c r="A11" s="3" t="s">
        <v>98</v>
      </c>
      <c r="B11" s="19" t="n">
        <v>12</v>
      </c>
      <c r="C11" s="3" t="s">
        <v>99</v>
      </c>
      <c r="D11" s="6" t="s">
        <v>100</v>
      </c>
    </row>
    <row r="12" customFormat="false" ht="15" hidden="false" customHeight="false" outlineLevel="0" collapsed="false">
      <c r="A12" s="3" t="s">
        <v>101</v>
      </c>
      <c r="B12" s="19" t="n">
        <v>3</v>
      </c>
      <c r="C12" s="3" t="s">
        <v>102</v>
      </c>
      <c r="D12" s="6" t="s">
        <v>103</v>
      </c>
    </row>
    <row r="13" customFormat="false" ht="15" hidden="false" customHeight="false" outlineLevel="0" collapsed="false">
      <c r="A13" s="3" t="s">
        <v>104</v>
      </c>
      <c r="B13" s="19" t="n">
        <v>48</v>
      </c>
      <c r="C13" s="3" t="s">
        <v>102</v>
      </c>
      <c r="D13" s="6" t="s">
        <v>105</v>
      </c>
    </row>
    <row r="14" customFormat="false" ht="15" hidden="false" customHeight="false" outlineLevel="0" collapsed="false">
      <c r="A14" s="3" t="s">
        <v>106</v>
      </c>
      <c r="B14" s="20" t="n">
        <v>0.14</v>
      </c>
      <c r="C14" s="3" t="s">
        <v>107</v>
      </c>
      <c r="D14" s="6" t="s">
        <v>108</v>
      </c>
    </row>
    <row r="15" customFormat="false" ht="15" hidden="false" customHeight="false" outlineLevel="0" collapsed="false">
      <c r="A15" s="3" t="s">
        <v>109</v>
      </c>
      <c r="B15" s="20" t="n">
        <v>0.03</v>
      </c>
      <c r="C15" s="3" t="s">
        <v>110</v>
      </c>
      <c r="D15" s="6" t="s">
        <v>111</v>
      </c>
    </row>
    <row r="16" customFormat="false" ht="15" hidden="false" customHeight="false" outlineLevel="0" collapsed="false">
      <c r="A16" s="3" t="s">
        <v>112</v>
      </c>
      <c r="B16" s="19" t="n">
        <v>4</v>
      </c>
      <c r="C16" s="3" t="s">
        <v>99</v>
      </c>
      <c r="D16" s="6" t="s">
        <v>113</v>
      </c>
    </row>
    <row r="18" customFormat="false" ht="15" hidden="false" customHeight="false" outlineLevel="0" collapsed="false">
      <c r="A18" s="8" t="s">
        <v>114</v>
      </c>
    </row>
    <row r="19" customFormat="false" ht="15" hidden="false" customHeight="false" outlineLevel="0" collapsed="false">
      <c r="A19" s="3" t="s">
        <v>115</v>
      </c>
      <c r="B19" s="20" t="n">
        <v>0.35</v>
      </c>
      <c r="C19" s="3" t="s">
        <v>110</v>
      </c>
      <c r="D19" s="6" t="s">
        <v>116</v>
      </c>
    </row>
    <row r="20" customFormat="false" ht="15" hidden="false" customHeight="false" outlineLevel="0" collapsed="false">
      <c r="A20" s="3" t="s">
        <v>117</v>
      </c>
      <c r="B20" s="17" t="n">
        <v>800</v>
      </c>
      <c r="C20" s="3" t="s">
        <v>89</v>
      </c>
      <c r="D20" s="6" t="s">
        <v>118</v>
      </c>
    </row>
    <row r="21" customFormat="false" ht="15" hidden="false" customHeight="false" outlineLevel="0" collapsed="false">
      <c r="A21" s="3" t="s">
        <v>119</v>
      </c>
      <c r="B21" s="17" t="n">
        <v>80</v>
      </c>
      <c r="C21" s="3" t="s">
        <v>89</v>
      </c>
      <c r="D21" s="6" t="s">
        <v>120</v>
      </c>
    </row>
    <row r="22" customFormat="false" ht="15" hidden="false" customHeight="false" outlineLevel="0" collapsed="false">
      <c r="A22" s="3" t="s">
        <v>121</v>
      </c>
      <c r="B22" s="17" t="n">
        <v>2816.22375</v>
      </c>
      <c r="C22" s="3" t="s">
        <v>89</v>
      </c>
      <c r="D22" s="6" t="s">
        <v>122</v>
      </c>
    </row>
    <row r="23" customFormat="false" ht="15" hidden="false" customHeight="false" outlineLevel="0" collapsed="false">
      <c r="A23" s="3" t="s">
        <v>123</v>
      </c>
      <c r="B23" s="20" t="n">
        <v>0.04</v>
      </c>
      <c r="C23" s="3" t="s">
        <v>110</v>
      </c>
      <c r="D23" s="6" t="s">
        <v>124</v>
      </c>
    </row>
    <row r="24" customFormat="false" ht="15" hidden="false" customHeight="false" outlineLevel="0" collapsed="false">
      <c r="A24" s="3" t="s">
        <v>125</v>
      </c>
      <c r="B24" s="20" t="n">
        <v>0.05</v>
      </c>
      <c r="C24" s="3" t="s">
        <v>110</v>
      </c>
      <c r="D24" s="6" t="s">
        <v>126</v>
      </c>
    </row>
    <row r="25" customFormat="false" ht="15" hidden="false" customHeight="false" outlineLevel="0" collapsed="false">
      <c r="A25" s="3" t="s">
        <v>127</v>
      </c>
      <c r="B25" s="20" t="n">
        <v>0.3</v>
      </c>
      <c r="C25" s="3" t="s">
        <v>110</v>
      </c>
      <c r="D25" s="6" t="s">
        <v>128</v>
      </c>
    </row>
    <row r="27" customFormat="false" ht="15" hidden="false" customHeight="false" outlineLevel="0" collapsed="false">
      <c r="A27" s="8" t="s">
        <v>129</v>
      </c>
    </row>
    <row r="28" customFormat="false" ht="15" hidden="false" customHeight="false" outlineLevel="0" collapsed="false">
      <c r="A28" s="3" t="s">
        <v>130</v>
      </c>
      <c r="B28" s="21" t="n">
        <v>225</v>
      </c>
      <c r="C28" s="3" t="s">
        <v>131</v>
      </c>
      <c r="D28" s="6" t="s">
        <v>132</v>
      </c>
    </row>
    <row r="29" customFormat="false" ht="15" hidden="false" customHeight="false" outlineLevel="0" collapsed="false">
      <c r="A29" s="3" t="s">
        <v>133</v>
      </c>
      <c r="B29" s="21" t="n">
        <v>135</v>
      </c>
      <c r="C29" s="3" t="s">
        <v>131</v>
      </c>
      <c r="D29" s="6" t="s">
        <v>134</v>
      </c>
    </row>
    <row r="30" customFormat="false" ht="15" hidden="false" customHeight="false" outlineLevel="0" collapsed="false">
      <c r="A30" s="3" t="s">
        <v>135</v>
      </c>
      <c r="B30" s="21" t="n">
        <v>300</v>
      </c>
      <c r="C30" s="3" t="s">
        <v>131</v>
      </c>
      <c r="D30" s="6" t="s">
        <v>136</v>
      </c>
    </row>
    <row r="31" customFormat="false" ht="15" hidden="false" customHeight="false" outlineLevel="0" collapsed="false">
      <c r="A31" s="3" t="s">
        <v>137</v>
      </c>
      <c r="B31" s="21" t="n">
        <v>200</v>
      </c>
      <c r="C31" s="3" t="s">
        <v>131</v>
      </c>
      <c r="D31" s="6" t="s">
        <v>138</v>
      </c>
    </row>
    <row r="32" customFormat="false" ht="15" hidden="false" customHeight="false" outlineLevel="0" collapsed="false">
      <c r="A32" s="3" t="s">
        <v>139</v>
      </c>
      <c r="B32" s="17" t="n">
        <v>195.345</v>
      </c>
      <c r="C32" s="3" t="s">
        <v>89</v>
      </c>
      <c r="D32" s="6" t="s">
        <v>140</v>
      </c>
    </row>
    <row r="33" customFormat="false" ht="15" hidden="false" customHeight="false" outlineLevel="0" collapsed="false">
      <c r="A33" s="3" t="s">
        <v>141</v>
      </c>
      <c r="B33" s="17" t="n">
        <v>410.2245</v>
      </c>
      <c r="C33" s="3" t="s">
        <v>89</v>
      </c>
      <c r="D33" s="6" t="s">
        <v>142</v>
      </c>
    </row>
    <row r="34" customFormat="false" ht="15" hidden="false" customHeight="false" outlineLevel="0" collapsed="false">
      <c r="A34" s="3" t="s">
        <v>143</v>
      </c>
      <c r="B34" s="22" t="n">
        <f aca="false">($B$32/($B$32+$B$33))*($B$30/$B$28)+($B$33/($B$32+$B$33))*($B$31/$B$29)</f>
        <v>1.4336917562724</v>
      </c>
      <c r="C34" s="3" t="s">
        <v>92</v>
      </c>
      <c r="D34" s="6" t="s">
        <v>144</v>
      </c>
    </row>
    <row r="36" customFormat="false" ht="15" hidden="false" customHeight="false" outlineLevel="0" collapsed="false">
      <c r="A36" s="8" t="s">
        <v>145</v>
      </c>
    </row>
    <row r="37" customFormat="false" ht="15" hidden="false" customHeight="false" outlineLevel="0" collapsed="false">
      <c r="A37" s="3" t="s">
        <v>146</v>
      </c>
      <c r="B37" s="23" t="n">
        <v>0.247249333170022</v>
      </c>
      <c r="C37" s="3" t="s">
        <v>110</v>
      </c>
      <c r="D37" s="6" t="s">
        <v>147</v>
      </c>
    </row>
    <row r="38" customFormat="false" ht="15" hidden="false" customHeight="false" outlineLevel="0" collapsed="false">
      <c r="A38" s="3" t="s">
        <v>148</v>
      </c>
      <c r="B38" s="24" t="n">
        <v>0.4</v>
      </c>
      <c r="C38" s="3" t="s">
        <v>92</v>
      </c>
      <c r="D38" s="6" t="s">
        <v>149</v>
      </c>
    </row>
    <row r="39" customFormat="false" ht="15" hidden="false" customHeight="false" outlineLevel="0" collapsed="false">
      <c r="A39" s="3" t="s">
        <v>150</v>
      </c>
      <c r="B39" s="24" t="n">
        <v>1.5</v>
      </c>
      <c r="C39" s="3" t="s">
        <v>92</v>
      </c>
      <c r="D39" s="6" t="s">
        <v>149</v>
      </c>
    </row>
    <row r="40" customFormat="false" ht="15" hidden="false" customHeight="false" outlineLevel="0" collapsed="false">
      <c r="A40" s="3" t="s">
        <v>151</v>
      </c>
      <c r="B40" s="18" t="n">
        <v>1.8</v>
      </c>
      <c r="C40" s="3" t="s">
        <v>92</v>
      </c>
      <c r="D40" s="6" t="s">
        <v>149</v>
      </c>
    </row>
    <row r="41" customFormat="false" ht="15" hidden="false" customHeight="false" outlineLevel="0" collapsed="false">
      <c r="A41" s="3" t="s">
        <v>152</v>
      </c>
      <c r="B41" s="18" t="n">
        <v>2.8</v>
      </c>
      <c r="C41" s="3" t="s">
        <v>92</v>
      </c>
      <c r="D41" s="6" t="s">
        <v>149</v>
      </c>
    </row>
    <row r="42" customFormat="false" ht="15" hidden="false" customHeight="false" outlineLevel="0" collapsed="false">
      <c r="A42" s="3" t="s">
        <v>153</v>
      </c>
      <c r="B42" s="23" t="n">
        <v>0.0347520872896951</v>
      </c>
      <c r="C42" s="3" t="s">
        <v>110</v>
      </c>
      <c r="D42" s="6" t="s">
        <v>154</v>
      </c>
    </row>
    <row r="43" customFormat="false" ht="15" hidden="false" customHeight="false" outlineLevel="0" collapsed="false">
      <c r="A43" s="3" t="s">
        <v>155</v>
      </c>
      <c r="B43" s="18" t="n">
        <v>1.5</v>
      </c>
      <c r="C43" s="3" t="s">
        <v>92</v>
      </c>
      <c r="D43" s="6" t="s">
        <v>156</v>
      </c>
    </row>
    <row r="45" customFormat="false" ht="15" hidden="false" customHeight="false" outlineLevel="0" collapsed="false">
      <c r="A45" s="8" t="s">
        <v>157</v>
      </c>
    </row>
    <row r="46" customFormat="false" ht="15" hidden="false" customHeight="false" outlineLevel="0" collapsed="false">
      <c r="A46" s="3" t="s">
        <v>158</v>
      </c>
      <c r="B46" s="25" t="n">
        <v>375.4475275</v>
      </c>
      <c r="C46" s="3" t="s">
        <v>89</v>
      </c>
      <c r="D46" s="6" t="s">
        <v>159</v>
      </c>
    </row>
    <row r="47" customFormat="false" ht="15" hidden="false" customHeight="false" outlineLevel="0" collapsed="false">
      <c r="A47" s="3" t="s">
        <v>160</v>
      </c>
      <c r="B47" s="25" t="n">
        <v>215.311392548924</v>
      </c>
      <c r="C47" s="3" t="s">
        <v>89</v>
      </c>
      <c r="D47" s="6" t="s">
        <v>161</v>
      </c>
    </row>
    <row r="48" customFormat="false" ht="15" hidden="false" customHeight="false" outlineLevel="0" collapsed="false">
      <c r="A48" s="3" t="s">
        <v>162</v>
      </c>
      <c r="B48" s="25" t="n">
        <v>-102.5</v>
      </c>
      <c r="C48" s="3" t="s">
        <v>89</v>
      </c>
      <c r="D48" s="6" t="s">
        <v>163</v>
      </c>
    </row>
    <row r="49" customFormat="false" ht="15" hidden="false" customHeight="false" outlineLevel="0" collapsed="false">
      <c r="A49" s="3" t="s">
        <v>164</v>
      </c>
      <c r="B49" s="25" t="n">
        <v>2252.979</v>
      </c>
      <c r="C49" s="3" t="s">
        <v>89</v>
      </c>
      <c r="D49" s="6" t="s">
        <v>165</v>
      </c>
    </row>
    <row r="50" customFormat="false" ht="15" hidden="false" customHeight="false" outlineLevel="0" collapsed="false">
      <c r="A50" s="3" t="s">
        <v>166</v>
      </c>
      <c r="B50" s="25" t="n">
        <v>985.6783125</v>
      </c>
      <c r="C50" s="3" t="s">
        <v>89</v>
      </c>
      <c r="D50" s="6" t="s">
        <v>167</v>
      </c>
    </row>
    <row r="51" customFormat="false" ht="15" hidden="false" customHeight="false" outlineLevel="0" collapsed="false">
      <c r="A51" s="3" t="s">
        <v>168</v>
      </c>
      <c r="B51" s="25" t="n">
        <v>891.85316</v>
      </c>
      <c r="C51" s="3" t="s">
        <v>89</v>
      </c>
      <c r="D51" s="6" t="s">
        <v>169</v>
      </c>
    </row>
    <row r="52" customFormat="false" ht="15" hidden="false" customHeight="false" outlineLevel="0" collapsed="false">
      <c r="A52" s="3" t="s">
        <v>170</v>
      </c>
      <c r="B52" s="24" t="n">
        <v>48</v>
      </c>
      <c r="C52" s="3" t="s">
        <v>171</v>
      </c>
      <c r="D52" s="6" t="s">
        <v>172</v>
      </c>
    </row>
    <row r="54" customFormat="false" ht="15" hidden="false" customHeight="false" outlineLevel="0" collapsed="false">
      <c r="A54" s="3" t="s">
        <v>173</v>
      </c>
      <c r="B54" s="3" t="n">
        <f aca="false">Inputs!$B$12+Inputs!$B$10+3</f>
        <v>30</v>
      </c>
      <c r="C54" s="26" t="s">
        <v>102</v>
      </c>
      <c r="D54" s="6" t="s">
        <v>174</v>
      </c>
    </row>
    <row r="55" customFormat="false" ht="15" hidden="false" customHeight="false" outlineLevel="0" collapsed="false">
      <c r="A55" s="3" t="s">
        <v>175</v>
      </c>
      <c r="B55" s="27" t="n">
        <f aca="false">Inputs!$B$32+Inputs!$B$33</f>
        <v>605.5695</v>
      </c>
      <c r="C55" s="26" t="s">
        <v>89</v>
      </c>
      <c r="D55" s="6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177</v>
      </c>
    </row>
    <row r="2" customFormat="false" ht="15" hidden="false" customHeight="false" outlineLevel="0" collapsed="false">
      <c r="A2" s="6" t="s">
        <v>178</v>
      </c>
    </row>
    <row r="4" customFormat="false" ht="15" hidden="false" customHeight="false" outlineLevel="0" collapsed="false">
      <c r="A4" s="7" t="s">
        <v>179</v>
      </c>
      <c r="B4" s="7" t="s">
        <v>180</v>
      </c>
      <c r="C4" s="7" t="s">
        <v>181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182</v>
      </c>
      <c r="B5" s="6" t="s">
        <v>183</v>
      </c>
      <c r="D5" s="3" t="n">
        <v>1</v>
      </c>
      <c r="E5" s="3" t="n">
        <v>2</v>
      </c>
      <c r="F5" s="3" t="n">
        <v>3</v>
      </c>
      <c r="G5" s="3" t="n">
        <v>4</v>
      </c>
      <c r="H5" s="3" t="n">
        <v>5</v>
      </c>
      <c r="I5" s="3" t="n">
        <v>6</v>
      </c>
      <c r="J5" s="3" t="n">
        <v>7</v>
      </c>
      <c r="K5" s="3" t="n">
        <v>8</v>
      </c>
      <c r="L5" s="3" t="n">
        <v>9</v>
      </c>
      <c r="M5" s="3" t="n">
        <v>10</v>
      </c>
      <c r="N5" s="3" t="n">
        <v>11</v>
      </c>
      <c r="O5" s="3" t="n">
        <v>12</v>
      </c>
      <c r="P5" s="3" t="n">
        <v>13</v>
      </c>
      <c r="Q5" s="3" t="n">
        <v>14</v>
      </c>
      <c r="R5" s="3" t="n">
        <v>15</v>
      </c>
      <c r="S5" s="3" t="n">
        <v>16</v>
      </c>
      <c r="T5" s="3" t="n">
        <v>17</v>
      </c>
      <c r="U5" s="3" t="n">
        <v>18</v>
      </c>
      <c r="V5" s="3" t="n">
        <v>19</v>
      </c>
      <c r="W5" s="3" t="n">
        <v>20</v>
      </c>
      <c r="X5" s="3" t="n">
        <v>21</v>
      </c>
      <c r="Y5" s="3" t="n">
        <v>22</v>
      </c>
      <c r="Z5" s="3" t="n">
        <v>23</v>
      </c>
      <c r="AA5" s="3" t="n">
        <v>24</v>
      </c>
      <c r="AB5" s="3" t="n">
        <v>25</v>
      </c>
      <c r="AC5" s="3" t="n">
        <v>26</v>
      </c>
      <c r="AD5" s="3" t="n">
        <v>27</v>
      </c>
      <c r="AE5" s="3" t="n">
        <v>28</v>
      </c>
      <c r="AF5" s="3" t="n">
        <v>29</v>
      </c>
      <c r="AG5" s="3" t="n">
        <v>30</v>
      </c>
      <c r="AH5" s="3" t="n">
        <v>31</v>
      </c>
      <c r="AI5" s="3" t="n">
        <v>32</v>
      </c>
      <c r="AJ5" s="3" t="n">
        <v>33</v>
      </c>
      <c r="AK5" s="3" t="n">
        <v>34</v>
      </c>
      <c r="AL5" s="3" t="n">
        <v>35</v>
      </c>
      <c r="AM5" s="3" t="n">
        <v>36</v>
      </c>
      <c r="AN5" s="3" t="n">
        <v>37</v>
      </c>
      <c r="AO5" s="3" t="n">
        <v>38</v>
      </c>
      <c r="AP5" s="3" t="n">
        <v>39</v>
      </c>
      <c r="AQ5" s="3" t="n">
        <v>40</v>
      </c>
      <c r="AR5" s="3" t="n">
        <v>41</v>
      </c>
      <c r="AS5" s="3" t="n">
        <v>42</v>
      </c>
      <c r="AT5" s="3" t="n">
        <v>43</v>
      </c>
      <c r="AU5" s="3" t="n">
        <v>44</v>
      </c>
      <c r="AV5" s="3" t="n">
        <v>45</v>
      </c>
      <c r="AW5" s="3" t="n">
        <v>46</v>
      </c>
      <c r="AX5" s="3" t="n">
        <v>47</v>
      </c>
      <c r="AY5" s="3" t="n">
        <v>48</v>
      </c>
      <c r="AZ5" s="3" t="n">
        <v>49</v>
      </c>
      <c r="BA5" s="3" t="n">
        <v>50</v>
      </c>
      <c r="BB5" s="3" t="n">
        <v>51</v>
      </c>
      <c r="BC5" s="3" t="n">
        <v>52</v>
      </c>
      <c r="BD5" s="3" t="n">
        <v>53</v>
      </c>
      <c r="BE5" s="3" t="n">
        <v>54</v>
      </c>
      <c r="BF5" s="3" t="n">
        <v>55</v>
      </c>
      <c r="BG5" s="3" t="n">
        <v>56</v>
      </c>
      <c r="BH5" s="3" t="n">
        <v>57</v>
      </c>
      <c r="BI5" s="3" t="n">
        <v>58</v>
      </c>
      <c r="BJ5" s="3" t="n">
        <v>59</v>
      </c>
      <c r="BK5" s="3" t="n">
        <v>60</v>
      </c>
    </row>
    <row r="6" customFormat="false" ht="15" hidden="false" customHeight="false" outlineLevel="0" collapsed="false">
      <c r="A6" s="3" t="s">
        <v>184</v>
      </c>
      <c r="B6" s="6" t="s">
        <v>185</v>
      </c>
      <c r="D6" s="3" t="n">
        <f aca="false">D5*3</f>
        <v>3</v>
      </c>
      <c r="E6" s="3" t="n">
        <f aca="false">E5*3</f>
        <v>6</v>
      </c>
      <c r="F6" s="3" t="n">
        <f aca="false">F5*3</f>
        <v>9</v>
      </c>
      <c r="G6" s="3" t="n">
        <f aca="false">G5*3</f>
        <v>12</v>
      </c>
      <c r="H6" s="3" t="n">
        <f aca="false">H5*3</f>
        <v>15</v>
      </c>
      <c r="I6" s="3" t="n">
        <f aca="false">I5*3</f>
        <v>18</v>
      </c>
      <c r="J6" s="3" t="n">
        <f aca="false">J5*3</f>
        <v>21</v>
      </c>
      <c r="K6" s="3" t="n">
        <f aca="false">K5*3</f>
        <v>24</v>
      </c>
      <c r="L6" s="3" t="n">
        <f aca="false">L5*3</f>
        <v>27</v>
      </c>
      <c r="M6" s="3" t="n">
        <f aca="false">M5*3</f>
        <v>30</v>
      </c>
      <c r="N6" s="3" t="n">
        <f aca="false">N5*3</f>
        <v>33</v>
      </c>
      <c r="O6" s="3" t="n">
        <f aca="false">O5*3</f>
        <v>36</v>
      </c>
      <c r="P6" s="3" t="n">
        <f aca="false">P5*3</f>
        <v>39</v>
      </c>
      <c r="Q6" s="3" t="n">
        <f aca="false">Q5*3</f>
        <v>42</v>
      </c>
      <c r="R6" s="3" t="n">
        <f aca="false">R5*3</f>
        <v>45</v>
      </c>
      <c r="S6" s="3" t="n">
        <f aca="false">S5*3</f>
        <v>48</v>
      </c>
      <c r="T6" s="3" t="n">
        <f aca="false">T5*3</f>
        <v>51</v>
      </c>
      <c r="U6" s="3" t="n">
        <f aca="false">U5*3</f>
        <v>54</v>
      </c>
      <c r="V6" s="3" t="n">
        <f aca="false">V5*3</f>
        <v>57</v>
      </c>
      <c r="W6" s="3" t="n">
        <f aca="false">W5*3</f>
        <v>60</v>
      </c>
      <c r="X6" s="3" t="n">
        <f aca="false">X5*3</f>
        <v>63</v>
      </c>
      <c r="Y6" s="3" t="n">
        <f aca="false">Y5*3</f>
        <v>66</v>
      </c>
      <c r="Z6" s="3" t="n">
        <f aca="false">Z5*3</f>
        <v>69</v>
      </c>
      <c r="AA6" s="3" t="n">
        <f aca="false">AA5*3</f>
        <v>72</v>
      </c>
      <c r="AB6" s="3" t="n">
        <f aca="false">AB5*3</f>
        <v>75</v>
      </c>
      <c r="AC6" s="3" t="n">
        <f aca="false">AC5*3</f>
        <v>78</v>
      </c>
      <c r="AD6" s="3" t="n">
        <f aca="false">AD5*3</f>
        <v>81</v>
      </c>
      <c r="AE6" s="3" t="n">
        <f aca="false">AE5*3</f>
        <v>84</v>
      </c>
      <c r="AF6" s="3" t="n">
        <f aca="false">AF5*3</f>
        <v>87</v>
      </c>
      <c r="AG6" s="3" t="n">
        <f aca="false">AG5*3</f>
        <v>90</v>
      </c>
      <c r="AH6" s="3" t="n">
        <f aca="false">AH5*3</f>
        <v>93</v>
      </c>
      <c r="AI6" s="3" t="n">
        <f aca="false">AI5*3</f>
        <v>96</v>
      </c>
      <c r="AJ6" s="3" t="n">
        <f aca="false">AJ5*3</f>
        <v>99</v>
      </c>
      <c r="AK6" s="3" t="n">
        <f aca="false">AK5*3</f>
        <v>102</v>
      </c>
      <c r="AL6" s="3" t="n">
        <f aca="false">AL5*3</f>
        <v>105</v>
      </c>
      <c r="AM6" s="3" t="n">
        <f aca="false">AM5*3</f>
        <v>108</v>
      </c>
      <c r="AN6" s="3" t="n">
        <f aca="false">AN5*3</f>
        <v>111</v>
      </c>
      <c r="AO6" s="3" t="n">
        <f aca="false">AO5*3</f>
        <v>114</v>
      </c>
      <c r="AP6" s="3" t="n">
        <f aca="false">AP5*3</f>
        <v>117</v>
      </c>
      <c r="AQ6" s="3" t="n">
        <f aca="false">AQ5*3</f>
        <v>120</v>
      </c>
      <c r="AR6" s="3" t="n">
        <f aca="false">AR5*3</f>
        <v>123</v>
      </c>
      <c r="AS6" s="3" t="n">
        <f aca="false">AS5*3</f>
        <v>126</v>
      </c>
      <c r="AT6" s="3" t="n">
        <f aca="false">AT5*3</f>
        <v>129</v>
      </c>
      <c r="AU6" s="3" t="n">
        <f aca="false">AU5*3</f>
        <v>132</v>
      </c>
      <c r="AV6" s="3" t="n">
        <f aca="false">AV5*3</f>
        <v>135</v>
      </c>
      <c r="AW6" s="3" t="n">
        <f aca="false">AW5*3</f>
        <v>138</v>
      </c>
      <c r="AX6" s="3" t="n">
        <f aca="false">AX5*3</f>
        <v>141</v>
      </c>
      <c r="AY6" s="3" t="n">
        <f aca="false">AY5*3</f>
        <v>144</v>
      </c>
      <c r="AZ6" s="3" t="n">
        <f aca="false">AZ5*3</f>
        <v>147</v>
      </c>
      <c r="BA6" s="3" t="n">
        <f aca="false">BA5*3</f>
        <v>150</v>
      </c>
      <c r="BB6" s="3" t="n">
        <f aca="false">BB5*3</f>
        <v>153</v>
      </c>
      <c r="BC6" s="3" t="n">
        <f aca="false">BC5*3</f>
        <v>156</v>
      </c>
      <c r="BD6" s="3" t="n">
        <f aca="false">BD5*3</f>
        <v>159</v>
      </c>
      <c r="BE6" s="3" t="n">
        <f aca="false">BE5*3</f>
        <v>162</v>
      </c>
      <c r="BF6" s="3" t="n">
        <f aca="false">BF5*3</f>
        <v>165</v>
      </c>
      <c r="BG6" s="3" t="n">
        <f aca="false">BG5*3</f>
        <v>168</v>
      </c>
      <c r="BH6" s="3" t="n">
        <f aca="false">BH5*3</f>
        <v>171</v>
      </c>
      <c r="BI6" s="3" t="n">
        <f aca="false">BI5*3</f>
        <v>174</v>
      </c>
      <c r="BJ6" s="3" t="n">
        <f aca="false">BJ5*3</f>
        <v>177</v>
      </c>
      <c r="BK6" s="3" t="n">
        <f aca="false">BK5*3</f>
        <v>180</v>
      </c>
    </row>
    <row r="7" customFormat="false" ht="15" hidden="false" customHeight="false" outlineLevel="0" collapsed="false">
      <c r="A7" s="3" t="s">
        <v>186</v>
      </c>
      <c r="B7" s="6" t="s">
        <v>187</v>
      </c>
      <c r="C7" s="28" t="n">
        <f aca="false">SUM(D7:BK7)</f>
        <v>1761.2884</v>
      </c>
      <c r="D7" s="29" t="n">
        <v>0</v>
      </c>
      <c r="E7" s="29" t="n">
        <v>0</v>
      </c>
      <c r="F7" s="29" t="n">
        <v>15.1392375</v>
      </c>
      <c r="G7" s="29" t="n">
        <v>30.278475</v>
      </c>
      <c r="H7" s="29" t="n">
        <v>46.51200625</v>
      </c>
      <c r="I7" s="29" t="n">
        <v>62.7455375</v>
      </c>
      <c r="J7" s="29" t="n">
        <v>62.3657</v>
      </c>
      <c r="K7" s="29" t="n">
        <v>63.473559375</v>
      </c>
      <c r="L7" s="29" t="n">
        <v>80.3288484375</v>
      </c>
      <c r="M7" s="29" t="n">
        <v>103.0444875</v>
      </c>
      <c r="N7" s="29" t="n">
        <v>127.69775</v>
      </c>
      <c r="O7" s="29" t="n">
        <v>134.93275</v>
      </c>
      <c r="P7" s="29" t="n">
        <v>97.31075</v>
      </c>
      <c r="Q7" s="29" t="n">
        <v>71.30996875</v>
      </c>
      <c r="R7" s="29" t="n">
        <v>71.30996875</v>
      </c>
      <c r="S7" s="29" t="n">
        <v>68.037035625</v>
      </c>
      <c r="T7" s="29" t="n">
        <v>61.2266396875</v>
      </c>
      <c r="U7" s="29" t="n">
        <v>59.7127159375</v>
      </c>
      <c r="V7" s="29" t="n">
        <v>53.7239446875</v>
      </c>
      <c r="W7" s="29" t="n">
        <v>49.3829446875</v>
      </c>
      <c r="X7" s="29" t="n">
        <v>49.3829446875</v>
      </c>
      <c r="Y7" s="29" t="n">
        <v>42.1027259375</v>
      </c>
      <c r="Z7" s="29" t="n">
        <v>42.1027259375</v>
      </c>
      <c r="AA7" s="29" t="n">
        <v>42.1027259375</v>
      </c>
      <c r="AB7" s="29" t="n">
        <v>36.3147259375</v>
      </c>
      <c r="AC7" s="29" t="n">
        <v>33.0386275</v>
      </c>
      <c r="AD7" s="29" t="n">
        <v>29.43017125</v>
      </c>
      <c r="AE7" s="29" t="n">
        <v>25.08917125</v>
      </c>
      <c r="AF7" s="29" t="n">
        <v>25.08917125</v>
      </c>
      <c r="AG7" s="29" t="n">
        <v>25.08917125</v>
      </c>
      <c r="AH7" s="29" t="n">
        <v>25.08917125</v>
      </c>
      <c r="AI7" s="29" t="n">
        <v>25.08917125</v>
      </c>
      <c r="AJ7" s="29" t="n">
        <v>25.08917125</v>
      </c>
      <c r="AK7" s="29" t="n">
        <v>22.905105625</v>
      </c>
      <c r="AL7" s="29" t="n">
        <v>22.905105625</v>
      </c>
      <c r="AM7" s="29" t="n">
        <v>18.739554375</v>
      </c>
      <c r="AN7" s="29" t="n">
        <v>9.6261675</v>
      </c>
      <c r="AO7" s="29" t="n">
        <v>3.5704725</v>
      </c>
      <c r="AP7" s="29" t="n">
        <v>0</v>
      </c>
      <c r="AQ7" s="29" t="n">
        <v>0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9" t="n">
        <v>0</v>
      </c>
      <c r="BE7" s="29" t="n">
        <v>0</v>
      </c>
      <c r="BF7" s="29" t="n">
        <v>0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</row>
    <row r="8" customFormat="false" ht="15" hidden="false" customHeight="false" outlineLevel="0" collapsed="false">
      <c r="A8" s="3" t="s">
        <v>188</v>
      </c>
      <c r="B8" s="6" t="s">
        <v>189</v>
      </c>
      <c r="C8" s="28" t="n">
        <f aca="false">SUM(D8:BK8)</f>
        <v>491.6906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392.20935</v>
      </c>
      <c r="N8" s="29" t="n">
        <v>57.88</v>
      </c>
      <c r="O8" s="29" t="n">
        <v>41.60125</v>
      </c>
      <c r="P8" s="29" t="n">
        <v>0</v>
      </c>
      <c r="Q8" s="29" t="n">
        <v>0</v>
      </c>
      <c r="R8" s="29" t="n">
        <v>0</v>
      </c>
      <c r="S8" s="29" t="n">
        <v>0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9" t="n">
        <v>0</v>
      </c>
      <c r="AF8" s="29" t="n">
        <v>0</v>
      </c>
      <c r="AG8" s="29" t="n">
        <v>0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9" t="n">
        <v>0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9" t="n">
        <v>0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</row>
    <row r="9" customFormat="false" ht="15" hidden="false" customHeight="false" outlineLevel="0" collapsed="false">
      <c r="A9" s="3" t="s">
        <v>190</v>
      </c>
      <c r="B9" s="6" t="s">
        <v>191</v>
      </c>
      <c r="C9" s="28" t="n">
        <f aca="false">SUM(D9:BK9)</f>
        <v>800</v>
      </c>
      <c r="D9" s="29" t="n">
        <v>91.25</v>
      </c>
      <c r="E9" s="29" t="n">
        <v>11.25</v>
      </c>
      <c r="F9" s="29" t="n">
        <v>11.25</v>
      </c>
      <c r="G9" s="29" t="n">
        <v>11.25</v>
      </c>
      <c r="H9" s="29" t="n">
        <v>22.5</v>
      </c>
      <c r="I9" s="29" t="n">
        <v>22.5</v>
      </c>
      <c r="J9" s="29" t="n">
        <v>22.5</v>
      </c>
      <c r="K9" s="29" t="n">
        <v>22.5</v>
      </c>
      <c r="L9" s="29" t="n">
        <v>33.75</v>
      </c>
      <c r="M9" s="29" t="n">
        <v>33.75</v>
      </c>
      <c r="N9" s="29" t="n">
        <v>33.75</v>
      </c>
      <c r="O9" s="29" t="n">
        <v>33.75</v>
      </c>
      <c r="P9" s="29" t="n">
        <v>45</v>
      </c>
      <c r="Q9" s="29" t="n">
        <v>45</v>
      </c>
      <c r="R9" s="29" t="n">
        <v>45</v>
      </c>
      <c r="S9" s="29" t="n">
        <v>45</v>
      </c>
      <c r="T9" s="29" t="n">
        <v>45</v>
      </c>
      <c r="U9" s="29" t="n">
        <v>45</v>
      </c>
      <c r="V9" s="29" t="n">
        <v>45</v>
      </c>
      <c r="W9" s="29" t="n">
        <v>45</v>
      </c>
      <c r="X9" s="29" t="n">
        <v>22.5</v>
      </c>
      <c r="Y9" s="29" t="n">
        <v>22.5</v>
      </c>
      <c r="Z9" s="29" t="n">
        <v>22.5</v>
      </c>
      <c r="AA9" s="29" t="n">
        <v>22.5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</row>
    <row r="10" customFormat="false" ht="15" hidden="false" customHeight="false" outlineLevel="0" collapsed="false">
      <c r="A10" s="3" t="s">
        <v>192</v>
      </c>
      <c r="B10" s="6" t="s">
        <v>193</v>
      </c>
      <c r="C10" s="28" t="n">
        <f aca="false">SUM(D10:BK10)</f>
        <v>185.6783125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9" t="n">
        <v>0</v>
      </c>
      <c r="Z10" s="29" t="n">
        <v>0</v>
      </c>
      <c r="AA10" s="29" t="n">
        <v>0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107.758210351563</v>
      </c>
      <c r="AG10" s="29" t="n">
        <v>10.976512421875</v>
      </c>
      <c r="AH10" s="29" t="n">
        <v>10.976512421875</v>
      </c>
      <c r="AI10" s="29" t="n">
        <v>10.976512421875</v>
      </c>
      <c r="AJ10" s="29" t="n">
        <v>10.976512421875</v>
      </c>
      <c r="AK10" s="29" t="n">
        <v>10.0209837109375</v>
      </c>
      <c r="AL10" s="29" t="n">
        <v>10.0209837109375</v>
      </c>
      <c r="AM10" s="29" t="n">
        <v>8.19855503906249</v>
      </c>
      <c r="AN10" s="29" t="n">
        <v>4.21144828125</v>
      </c>
      <c r="AO10" s="29" t="n">
        <v>1.56208171875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0</v>
      </c>
      <c r="AV10" s="29" t="n">
        <v>0</v>
      </c>
      <c r="AW10" s="29" t="n">
        <v>0</v>
      </c>
      <c r="AX10" s="29" t="n">
        <v>0</v>
      </c>
      <c r="AY10" s="29" t="n">
        <v>0</v>
      </c>
      <c r="AZ10" s="29" t="n">
        <v>0</v>
      </c>
      <c r="BA10" s="29" t="n">
        <v>0</v>
      </c>
      <c r="BB10" s="29" t="n">
        <v>0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9" t="n">
        <v>0</v>
      </c>
      <c r="BK10" s="29" t="n">
        <v>0</v>
      </c>
    </row>
    <row r="11" customFormat="false" ht="15" hidden="false" customHeight="false" outlineLevel="0" collapsed="false">
      <c r="A11" s="3" t="s">
        <v>194</v>
      </c>
      <c r="B11" s="6" t="s">
        <v>195</v>
      </c>
      <c r="C11" s="28" t="n">
        <f aca="false">SUM(D11:BK11)</f>
        <v>697.16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20</v>
      </c>
      <c r="I11" s="29" t="n">
        <v>26.4</v>
      </c>
      <c r="J11" s="29" t="n">
        <v>40</v>
      </c>
      <c r="K11" s="29" t="n">
        <v>26.4</v>
      </c>
      <c r="L11" s="29" t="n">
        <v>26.4</v>
      </c>
      <c r="M11" s="29" t="n">
        <v>26.4</v>
      </c>
      <c r="N11" s="29" t="n">
        <v>5.28</v>
      </c>
      <c r="O11" s="29" t="n">
        <v>5.28</v>
      </c>
      <c r="P11" s="29" t="n">
        <v>120</v>
      </c>
      <c r="Q11" s="29" t="n">
        <v>120</v>
      </c>
      <c r="R11" s="29" t="n">
        <v>164</v>
      </c>
      <c r="S11" s="29" t="n">
        <v>117</v>
      </c>
      <c r="T11" s="29" t="n">
        <v>0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9" t="n">
        <v>0</v>
      </c>
      <c r="AR11" s="29" t="n">
        <v>0</v>
      </c>
      <c r="AS11" s="29" t="n">
        <v>0</v>
      </c>
      <c r="AT11" s="29" t="n">
        <v>0</v>
      </c>
      <c r="AU11" s="29" t="n">
        <v>0</v>
      </c>
      <c r="AV11" s="29" t="n">
        <v>0</v>
      </c>
      <c r="AW11" s="29" t="n">
        <v>0</v>
      </c>
      <c r="AX11" s="29" t="n">
        <v>0</v>
      </c>
      <c r="AY11" s="29" t="n">
        <v>0</v>
      </c>
      <c r="AZ11" s="29" t="n">
        <v>0</v>
      </c>
      <c r="BA11" s="29" t="n">
        <v>0</v>
      </c>
      <c r="BB11" s="29" t="n">
        <v>0</v>
      </c>
      <c r="BC11" s="29" t="n">
        <v>0</v>
      </c>
      <c r="BD11" s="29" t="n">
        <v>0</v>
      </c>
      <c r="BE11" s="29" t="n">
        <v>0</v>
      </c>
      <c r="BF11" s="29" t="n">
        <v>0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</row>
    <row r="12" customFormat="false" ht="15" hidden="false" customHeight="false" outlineLevel="0" collapsed="false">
      <c r="A12" s="3" t="s">
        <v>196</v>
      </c>
      <c r="B12" s="6" t="s">
        <v>197</v>
      </c>
      <c r="C12" s="28" t="n">
        <f aca="false">SUM(D12:BK12)</f>
        <v>90.11916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12.11139</v>
      </c>
      <c r="K12" s="29" t="n">
        <v>12.11139</v>
      </c>
      <c r="L12" s="29" t="n">
        <v>9.52126</v>
      </c>
      <c r="M12" s="29" t="n">
        <v>9.52126</v>
      </c>
      <c r="N12" s="29" t="n">
        <v>6.98901</v>
      </c>
      <c r="O12" s="29" t="n">
        <v>6.98901</v>
      </c>
      <c r="P12" s="29" t="n">
        <v>7.69804</v>
      </c>
      <c r="Q12" s="29" t="n">
        <v>9.2608</v>
      </c>
      <c r="R12" s="29" t="n">
        <v>9.2608</v>
      </c>
      <c r="S12" s="29" t="n">
        <v>6.6562</v>
      </c>
      <c r="T12" s="29" t="n">
        <v>0</v>
      </c>
      <c r="U12" s="29" t="n">
        <v>0</v>
      </c>
      <c r="V12" s="29" t="n">
        <v>0</v>
      </c>
      <c r="W12" s="29" t="n">
        <v>0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9" t="n">
        <v>0</v>
      </c>
      <c r="AW12" s="29" t="n">
        <v>0</v>
      </c>
      <c r="AX12" s="29" t="n">
        <v>0</v>
      </c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</row>
    <row r="13" customFormat="false" ht="15" hidden="false" customHeight="false" outlineLevel="0" collapsed="false">
      <c r="A13" s="3" t="s">
        <v>198</v>
      </c>
      <c r="B13" s="6" t="s">
        <v>199</v>
      </c>
      <c r="C13" s="28" t="n">
        <f aca="false">SUM(D13:BK13)</f>
        <v>104.574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3</v>
      </c>
      <c r="I13" s="29" t="n">
        <v>3.96</v>
      </c>
      <c r="J13" s="29" t="n">
        <v>6</v>
      </c>
      <c r="K13" s="29" t="n">
        <v>3.96</v>
      </c>
      <c r="L13" s="29" t="n">
        <v>3.96</v>
      </c>
      <c r="M13" s="29" t="n">
        <v>3.96</v>
      </c>
      <c r="N13" s="29" t="n">
        <v>0.792</v>
      </c>
      <c r="O13" s="29" t="n">
        <v>0.792</v>
      </c>
      <c r="P13" s="29" t="n">
        <v>18</v>
      </c>
      <c r="Q13" s="29" t="n">
        <v>18</v>
      </c>
      <c r="R13" s="29" t="n">
        <v>24.6</v>
      </c>
      <c r="S13" s="29" t="n">
        <v>17.55</v>
      </c>
      <c r="T13" s="29" t="n">
        <v>0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29" t="n">
        <v>0</v>
      </c>
      <c r="AC13" s="29" t="n">
        <v>0</v>
      </c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29" t="n">
        <v>0</v>
      </c>
      <c r="AP13" s="29" t="n">
        <v>0</v>
      </c>
      <c r="AQ13" s="29" t="n">
        <v>0</v>
      </c>
      <c r="AR13" s="29" t="n">
        <v>0</v>
      </c>
      <c r="AS13" s="29" t="n">
        <v>0</v>
      </c>
      <c r="AT13" s="29" t="n">
        <v>0</v>
      </c>
      <c r="AU13" s="29" t="n">
        <v>0</v>
      </c>
      <c r="AV13" s="29" t="n">
        <v>0</v>
      </c>
      <c r="AW13" s="29" t="n">
        <v>0</v>
      </c>
      <c r="AX13" s="29" t="n">
        <v>0</v>
      </c>
      <c r="AY13" s="29" t="n">
        <v>0</v>
      </c>
      <c r="AZ13" s="29" t="n">
        <v>0</v>
      </c>
      <c r="BA13" s="29" t="n">
        <v>0</v>
      </c>
      <c r="BB13" s="29" t="n">
        <v>0</v>
      </c>
      <c r="BC13" s="29" t="n">
        <v>0</v>
      </c>
      <c r="BD13" s="29" t="n">
        <v>0</v>
      </c>
      <c r="BE13" s="29" t="n">
        <v>0</v>
      </c>
      <c r="BF13" s="29" t="n">
        <v>0</v>
      </c>
      <c r="BG13" s="29" t="n">
        <v>0</v>
      </c>
      <c r="BH13" s="29" t="n">
        <v>0</v>
      </c>
      <c r="BI13" s="29" t="n">
        <v>0</v>
      </c>
      <c r="BJ13" s="29" t="n">
        <v>0</v>
      </c>
      <c r="BK13" s="29" t="n">
        <v>0</v>
      </c>
    </row>
    <row r="14" customFormat="false" ht="15" hidden="false" customHeight="false" outlineLevel="0" collapsed="false">
      <c r="A14" s="3" t="s">
        <v>200</v>
      </c>
      <c r="B14" s="6" t="s">
        <v>201</v>
      </c>
      <c r="C14" s="28" t="n">
        <f aca="false">SUM(D14:BK14)</f>
        <v>605.5695</v>
      </c>
      <c r="D14" s="29" t="n">
        <v>0</v>
      </c>
      <c r="E14" s="29" t="n">
        <v>0</v>
      </c>
      <c r="F14" s="29" t="n">
        <v>15.1392375</v>
      </c>
      <c r="G14" s="29" t="n">
        <v>30.278475</v>
      </c>
      <c r="H14" s="29" t="n">
        <v>22.70885625</v>
      </c>
      <c r="I14" s="29" t="n">
        <v>15.1392375</v>
      </c>
      <c r="J14" s="29" t="n">
        <v>15.1392375</v>
      </c>
      <c r="K14" s="29" t="n">
        <v>15.1392375</v>
      </c>
      <c r="L14" s="29" t="n">
        <v>15.1392375</v>
      </c>
      <c r="M14" s="29" t="n">
        <v>136.2531375</v>
      </c>
      <c r="N14" s="29" t="n">
        <v>15.1392375</v>
      </c>
      <c r="O14" s="29" t="n">
        <v>15.1392375</v>
      </c>
      <c r="P14" s="29" t="n">
        <v>15.1392375</v>
      </c>
      <c r="Q14" s="29" t="n">
        <v>15.1392375</v>
      </c>
      <c r="R14" s="29" t="n">
        <v>15.1392375</v>
      </c>
      <c r="S14" s="29" t="n">
        <v>15.1392375</v>
      </c>
      <c r="T14" s="29" t="n">
        <v>13.62531375</v>
      </c>
      <c r="U14" s="29" t="n">
        <v>12.11139</v>
      </c>
      <c r="V14" s="29" t="n">
        <v>12.11139</v>
      </c>
      <c r="W14" s="29" t="n">
        <v>12.11139</v>
      </c>
      <c r="X14" s="29" t="n">
        <v>12.11139</v>
      </c>
      <c r="Y14" s="29" t="n">
        <v>12.11139</v>
      </c>
      <c r="Z14" s="29" t="n">
        <v>12.11139</v>
      </c>
      <c r="AA14" s="29" t="n">
        <v>12.11139</v>
      </c>
      <c r="AB14" s="29" t="n">
        <v>12.11139</v>
      </c>
      <c r="AC14" s="29" t="n">
        <v>12.11139</v>
      </c>
      <c r="AD14" s="29" t="n">
        <v>12.11139</v>
      </c>
      <c r="AE14" s="29" t="n">
        <v>12.11139</v>
      </c>
      <c r="AF14" s="29" t="n">
        <v>12.11139</v>
      </c>
      <c r="AG14" s="29" t="n">
        <v>12.11139</v>
      </c>
      <c r="AH14" s="29" t="n">
        <v>12.11139</v>
      </c>
      <c r="AI14" s="29" t="n">
        <v>12.11139</v>
      </c>
      <c r="AJ14" s="29" t="n">
        <v>12.11139</v>
      </c>
      <c r="AK14" s="29" t="n">
        <v>12.11139</v>
      </c>
      <c r="AL14" s="29" t="n">
        <v>12.11139</v>
      </c>
      <c r="AM14" s="29" t="n">
        <v>12.11139</v>
      </c>
      <c r="AN14" s="29" t="n">
        <v>6.055695</v>
      </c>
      <c r="AO14" s="29" t="n">
        <v>0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</row>
    <row r="15" customFormat="false" ht="15" hidden="false" customHeight="false" outlineLevel="0" collapsed="false">
      <c r="A15" s="3" t="s">
        <v>202</v>
      </c>
      <c r="B15" s="6" t="s">
        <v>203</v>
      </c>
      <c r="C15" s="28" t="n">
        <f aca="false">SUM(D15:BK15)</f>
        <v>195.345</v>
      </c>
      <c r="D15" s="29" t="n">
        <v>0</v>
      </c>
      <c r="E15" s="29" t="n">
        <v>0</v>
      </c>
      <c r="F15" s="29" t="n">
        <v>4.883625</v>
      </c>
      <c r="G15" s="29" t="n">
        <v>9.76725</v>
      </c>
      <c r="H15" s="29" t="n">
        <v>7.3254375</v>
      </c>
      <c r="I15" s="29" t="n">
        <v>4.883625</v>
      </c>
      <c r="J15" s="29" t="n">
        <v>4.883625</v>
      </c>
      <c r="K15" s="29" t="n">
        <v>4.883625</v>
      </c>
      <c r="L15" s="29" t="n">
        <v>4.883625</v>
      </c>
      <c r="M15" s="29" t="n">
        <v>43.952625</v>
      </c>
      <c r="N15" s="29" t="n">
        <v>4.883625</v>
      </c>
      <c r="O15" s="29" t="n">
        <v>4.883625</v>
      </c>
      <c r="P15" s="29" t="n">
        <v>4.883625</v>
      </c>
      <c r="Q15" s="29" t="n">
        <v>4.883625</v>
      </c>
      <c r="R15" s="29" t="n">
        <v>4.883625</v>
      </c>
      <c r="S15" s="29" t="n">
        <v>4.883625</v>
      </c>
      <c r="T15" s="29" t="n">
        <v>4.3952625</v>
      </c>
      <c r="U15" s="29" t="n">
        <v>3.9069</v>
      </c>
      <c r="V15" s="29" t="n">
        <v>3.9069</v>
      </c>
      <c r="W15" s="29" t="n">
        <v>3.9069</v>
      </c>
      <c r="X15" s="29" t="n">
        <v>3.9069</v>
      </c>
      <c r="Y15" s="29" t="n">
        <v>3.9069</v>
      </c>
      <c r="Z15" s="29" t="n">
        <v>3.9069</v>
      </c>
      <c r="AA15" s="29" t="n">
        <v>3.9069</v>
      </c>
      <c r="AB15" s="29" t="n">
        <v>3.9069</v>
      </c>
      <c r="AC15" s="29" t="n">
        <v>3.9069</v>
      </c>
      <c r="AD15" s="29" t="n">
        <v>3.9069</v>
      </c>
      <c r="AE15" s="29" t="n">
        <v>3.9069</v>
      </c>
      <c r="AF15" s="29" t="n">
        <v>3.9069</v>
      </c>
      <c r="AG15" s="29" t="n">
        <v>3.9069</v>
      </c>
      <c r="AH15" s="29" t="n">
        <v>3.9069</v>
      </c>
      <c r="AI15" s="29" t="n">
        <v>3.9069</v>
      </c>
      <c r="AJ15" s="29" t="n">
        <v>3.9069</v>
      </c>
      <c r="AK15" s="29" t="n">
        <v>3.9069</v>
      </c>
      <c r="AL15" s="29" t="n">
        <v>3.9069</v>
      </c>
      <c r="AM15" s="29" t="n">
        <v>3.9069</v>
      </c>
      <c r="AN15" s="29" t="n">
        <v>1.95345</v>
      </c>
      <c r="AO15" s="29" t="n">
        <v>0</v>
      </c>
      <c r="AP15" s="29" t="n">
        <v>0</v>
      </c>
      <c r="AQ15" s="29" t="n">
        <v>0</v>
      </c>
      <c r="AR15" s="29" t="n">
        <v>0</v>
      </c>
      <c r="AS15" s="29" t="n">
        <v>0</v>
      </c>
      <c r="AT15" s="29" t="n">
        <v>0</v>
      </c>
      <c r="AU15" s="29" t="n">
        <v>0</v>
      </c>
      <c r="AV15" s="29" t="n">
        <v>0</v>
      </c>
      <c r="AW15" s="29" t="n">
        <v>0</v>
      </c>
      <c r="AX15" s="29" t="n">
        <v>0</v>
      </c>
      <c r="AY15" s="29" t="n">
        <v>0</v>
      </c>
      <c r="AZ15" s="29" t="n">
        <v>0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</row>
    <row r="16" customFormat="false" ht="15" hidden="false" customHeight="false" outlineLevel="0" collapsed="false">
      <c r="A16" s="3" t="s">
        <v>204</v>
      </c>
      <c r="B16" s="6" t="s">
        <v>205</v>
      </c>
      <c r="C16" s="28" t="n">
        <f aca="false">SUM(D16:BK16)</f>
        <v>410.2245</v>
      </c>
      <c r="D16" s="29" t="n">
        <v>0</v>
      </c>
      <c r="E16" s="29" t="n">
        <v>0</v>
      </c>
      <c r="F16" s="29" t="n">
        <v>10.2556125</v>
      </c>
      <c r="G16" s="29" t="n">
        <v>20.511225</v>
      </c>
      <c r="H16" s="29" t="n">
        <v>15.38341875</v>
      </c>
      <c r="I16" s="29" t="n">
        <v>10.2556125</v>
      </c>
      <c r="J16" s="29" t="n">
        <v>10.2556125</v>
      </c>
      <c r="K16" s="29" t="n">
        <v>10.2556125</v>
      </c>
      <c r="L16" s="29" t="n">
        <v>10.2556125</v>
      </c>
      <c r="M16" s="29" t="n">
        <v>92.3005125</v>
      </c>
      <c r="N16" s="29" t="n">
        <v>10.2556125</v>
      </c>
      <c r="O16" s="29" t="n">
        <v>10.2556125</v>
      </c>
      <c r="P16" s="29" t="n">
        <v>10.2556125</v>
      </c>
      <c r="Q16" s="29" t="n">
        <v>10.2556125</v>
      </c>
      <c r="R16" s="29" t="n">
        <v>10.2556125</v>
      </c>
      <c r="S16" s="29" t="n">
        <v>10.2556125</v>
      </c>
      <c r="T16" s="29" t="n">
        <v>9.23005125</v>
      </c>
      <c r="U16" s="29" t="n">
        <v>8.20449</v>
      </c>
      <c r="V16" s="29" t="n">
        <v>8.20449</v>
      </c>
      <c r="W16" s="29" t="n">
        <v>8.20449</v>
      </c>
      <c r="X16" s="29" t="n">
        <v>8.20449</v>
      </c>
      <c r="Y16" s="29" t="n">
        <v>8.20449</v>
      </c>
      <c r="Z16" s="29" t="n">
        <v>8.20449</v>
      </c>
      <c r="AA16" s="29" t="n">
        <v>8.20449</v>
      </c>
      <c r="AB16" s="29" t="n">
        <v>8.20449</v>
      </c>
      <c r="AC16" s="29" t="n">
        <v>8.20449</v>
      </c>
      <c r="AD16" s="29" t="n">
        <v>8.20449</v>
      </c>
      <c r="AE16" s="29" t="n">
        <v>8.20449</v>
      </c>
      <c r="AF16" s="29" t="n">
        <v>8.20449</v>
      </c>
      <c r="AG16" s="29" t="n">
        <v>8.20449</v>
      </c>
      <c r="AH16" s="29" t="n">
        <v>8.20449</v>
      </c>
      <c r="AI16" s="29" t="n">
        <v>8.20449</v>
      </c>
      <c r="AJ16" s="29" t="n">
        <v>8.20449</v>
      </c>
      <c r="AK16" s="29" t="n">
        <v>8.20449</v>
      </c>
      <c r="AL16" s="29" t="n">
        <v>8.20449</v>
      </c>
      <c r="AM16" s="29" t="n">
        <v>8.20449</v>
      </c>
      <c r="AN16" s="29" t="n">
        <v>4.102245</v>
      </c>
      <c r="AO16" s="29" t="n">
        <v>0</v>
      </c>
      <c r="AP16" s="29" t="n">
        <v>0</v>
      </c>
      <c r="AQ16" s="29" t="n">
        <v>0</v>
      </c>
      <c r="AR16" s="29" t="n">
        <v>0</v>
      </c>
      <c r="AS16" s="29" t="n">
        <v>0</v>
      </c>
      <c r="AT16" s="29" t="n">
        <v>0</v>
      </c>
      <c r="AU16" s="29" t="n">
        <v>0</v>
      </c>
      <c r="AV16" s="29" t="n">
        <v>0</v>
      </c>
      <c r="AW16" s="29" t="n">
        <v>0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</row>
    <row r="17" customFormat="false" ht="15" hidden="false" customHeight="false" outlineLevel="0" collapsed="false">
      <c r="A17" s="3" t="s">
        <v>206</v>
      </c>
      <c r="B17" s="6" t="s">
        <v>207</v>
      </c>
      <c r="C17" s="28" t="n">
        <f aca="false">SUM(D17:BK17)</f>
        <v>605.5695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302.78475</v>
      </c>
      <c r="K17" s="29" t="n">
        <v>302.78475</v>
      </c>
      <c r="L17" s="29" t="n">
        <v>0</v>
      </c>
      <c r="M17" s="29" t="n">
        <v>0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29" t="n">
        <v>0</v>
      </c>
      <c r="AC17" s="29" t="n">
        <v>0</v>
      </c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29" t="n">
        <v>0</v>
      </c>
      <c r="AP17" s="29" t="n">
        <v>0</v>
      </c>
      <c r="AQ17" s="29" t="n">
        <v>0</v>
      </c>
      <c r="AR17" s="29" t="n">
        <v>0</v>
      </c>
      <c r="AS17" s="29" t="n">
        <v>0</v>
      </c>
      <c r="AT17" s="29" t="n">
        <v>0</v>
      </c>
      <c r="AU17" s="29" t="n">
        <v>0</v>
      </c>
      <c r="AV17" s="29" t="n">
        <v>0</v>
      </c>
      <c r="AW17" s="29" t="n">
        <v>0</v>
      </c>
      <c r="AX17" s="29" t="n">
        <v>0</v>
      </c>
      <c r="AY17" s="29" t="n">
        <v>0</v>
      </c>
      <c r="AZ17" s="29" t="n">
        <v>0</v>
      </c>
      <c r="BA17" s="29" t="n">
        <v>0</v>
      </c>
      <c r="BB17" s="29" t="n">
        <v>0</v>
      </c>
      <c r="BC17" s="29" t="n">
        <v>0</v>
      </c>
      <c r="BD17" s="29" t="n">
        <v>0</v>
      </c>
      <c r="BE17" s="29" t="n">
        <v>0</v>
      </c>
      <c r="BF17" s="29" t="n">
        <v>0</v>
      </c>
      <c r="BG17" s="29" t="n">
        <v>0</v>
      </c>
      <c r="BH17" s="29" t="n">
        <v>0</v>
      </c>
      <c r="BI17" s="29" t="n">
        <v>0</v>
      </c>
      <c r="BJ17" s="29" t="n">
        <v>0</v>
      </c>
      <c r="BK17" s="2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208</v>
      </c>
    </row>
    <row r="2" customFormat="false" ht="15" hidden="false" customHeight="false" outlineLevel="0" collapsed="false">
      <c r="A2" s="6" t="s">
        <v>209</v>
      </c>
    </row>
    <row r="4" customFormat="false" ht="15" hidden="false" customHeight="false" outlineLevel="0" collapsed="false">
      <c r="A4" s="7" t="s">
        <v>210</v>
      </c>
      <c r="B4" s="7" t="s">
        <v>85</v>
      </c>
      <c r="C4" s="7" t="s">
        <v>181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211</v>
      </c>
      <c r="D5" s="30" t="n">
        <f aca="false">Source_Data!D$5</f>
        <v>1</v>
      </c>
      <c r="E5" s="30" t="n">
        <f aca="false">Source_Data!E$5</f>
        <v>2</v>
      </c>
      <c r="F5" s="30" t="n">
        <f aca="false">Source_Data!F$5</f>
        <v>3</v>
      </c>
      <c r="G5" s="30" t="n">
        <f aca="false">Source_Data!G$5</f>
        <v>4</v>
      </c>
      <c r="H5" s="30" t="n">
        <f aca="false">Source_Data!H$5</f>
        <v>5</v>
      </c>
      <c r="I5" s="30" t="n">
        <f aca="false">Source_Data!I$5</f>
        <v>6</v>
      </c>
      <c r="J5" s="30" t="n">
        <f aca="false">Source_Data!J$5</f>
        <v>7</v>
      </c>
      <c r="K5" s="30" t="n">
        <f aca="false">Source_Data!K$5</f>
        <v>8</v>
      </c>
      <c r="L5" s="30" t="n">
        <f aca="false">Source_Data!L$5</f>
        <v>9</v>
      </c>
      <c r="M5" s="30" t="n">
        <f aca="false">Source_Data!M$5</f>
        <v>10</v>
      </c>
      <c r="N5" s="30" t="n">
        <f aca="false">Source_Data!N$5</f>
        <v>11</v>
      </c>
      <c r="O5" s="30" t="n">
        <f aca="false">Source_Data!O$5</f>
        <v>12</v>
      </c>
      <c r="P5" s="30" t="n">
        <f aca="false">Source_Data!P$5</f>
        <v>13</v>
      </c>
      <c r="Q5" s="30" t="n">
        <f aca="false">Source_Data!Q$5</f>
        <v>14</v>
      </c>
      <c r="R5" s="30" t="n">
        <f aca="false">Source_Data!R$5</f>
        <v>15</v>
      </c>
      <c r="S5" s="30" t="n">
        <f aca="false">Source_Data!S$5</f>
        <v>16</v>
      </c>
      <c r="T5" s="30" t="n">
        <f aca="false">Source_Data!T$5</f>
        <v>17</v>
      </c>
      <c r="U5" s="30" t="n">
        <f aca="false">Source_Data!U$5</f>
        <v>18</v>
      </c>
      <c r="V5" s="30" t="n">
        <f aca="false">Source_Data!V$5</f>
        <v>19</v>
      </c>
      <c r="W5" s="30" t="n">
        <f aca="false">Source_Data!W$5</f>
        <v>20</v>
      </c>
      <c r="X5" s="30" t="n">
        <f aca="false">Source_Data!X$5</f>
        <v>21</v>
      </c>
      <c r="Y5" s="30" t="n">
        <f aca="false">Source_Data!Y$5</f>
        <v>22</v>
      </c>
      <c r="Z5" s="30" t="n">
        <f aca="false">Source_Data!Z$5</f>
        <v>23</v>
      </c>
      <c r="AA5" s="30" t="n">
        <f aca="false">Source_Data!AA$5</f>
        <v>24</v>
      </c>
      <c r="AB5" s="30" t="n">
        <f aca="false">Source_Data!AB$5</f>
        <v>25</v>
      </c>
      <c r="AC5" s="30" t="n">
        <f aca="false">Source_Data!AC$5</f>
        <v>26</v>
      </c>
      <c r="AD5" s="30" t="n">
        <f aca="false">Source_Data!AD$5</f>
        <v>27</v>
      </c>
      <c r="AE5" s="30" t="n">
        <f aca="false">Source_Data!AE$5</f>
        <v>28</v>
      </c>
      <c r="AF5" s="30" t="n">
        <f aca="false">Source_Data!AF$5</f>
        <v>29</v>
      </c>
      <c r="AG5" s="30" t="n">
        <f aca="false">Source_Data!AG$5</f>
        <v>30</v>
      </c>
      <c r="AH5" s="30" t="n">
        <f aca="false">Source_Data!AH$5</f>
        <v>31</v>
      </c>
      <c r="AI5" s="30" t="n">
        <f aca="false">Source_Data!AI$5</f>
        <v>32</v>
      </c>
      <c r="AJ5" s="30" t="n">
        <f aca="false">Source_Data!AJ$5</f>
        <v>33</v>
      </c>
      <c r="AK5" s="30" t="n">
        <f aca="false">Source_Data!AK$5</f>
        <v>34</v>
      </c>
      <c r="AL5" s="30" t="n">
        <f aca="false">Source_Data!AL$5</f>
        <v>35</v>
      </c>
      <c r="AM5" s="30" t="n">
        <f aca="false">Source_Data!AM$5</f>
        <v>36</v>
      </c>
      <c r="AN5" s="30" t="n">
        <f aca="false">Source_Data!AN$5</f>
        <v>37</v>
      </c>
      <c r="AO5" s="30" t="n">
        <f aca="false">Source_Data!AO$5</f>
        <v>38</v>
      </c>
      <c r="AP5" s="30" t="n">
        <f aca="false">Source_Data!AP$5</f>
        <v>39</v>
      </c>
      <c r="AQ5" s="30" t="n">
        <f aca="false">Source_Data!AQ$5</f>
        <v>40</v>
      </c>
      <c r="AR5" s="30" t="n">
        <f aca="false">Source_Data!AR$5</f>
        <v>41</v>
      </c>
      <c r="AS5" s="30" t="n">
        <f aca="false">Source_Data!AS$5</f>
        <v>42</v>
      </c>
      <c r="AT5" s="30" t="n">
        <f aca="false">Source_Data!AT$5</f>
        <v>43</v>
      </c>
      <c r="AU5" s="30" t="n">
        <f aca="false">Source_Data!AU$5</f>
        <v>44</v>
      </c>
      <c r="AV5" s="30" t="n">
        <f aca="false">Source_Data!AV$5</f>
        <v>45</v>
      </c>
      <c r="AW5" s="30" t="n">
        <f aca="false">Source_Data!AW$5</f>
        <v>46</v>
      </c>
      <c r="AX5" s="30" t="n">
        <f aca="false">Source_Data!AX$5</f>
        <v>47</v>
      </c>
      <c r="AY5" s="30" t="n">
        <f aca="false">Source_Data!AY$5</f>
        <v>48</v>
      </c>
      <c r="AZ5" s="30" t="n">
        <f aca="false">Source_Data!AZ$5</f>
        <v>49</v>
      </c>
      <c r="BA5" s="30" t="n">
        <f aca="false">Source_Data!BA$5</f>
        <v>50</v>
      </c>
      <c r="BB5" s="30" t="n">
        <f aca="false">Source_Data!BB$5</f>
        <v>51</v>
      </c>
      <c r="BC5" s="30" t="n">
        <f aca="false">Source_Data!BC$5</f>
        <v>52</v>
      </c>
      <c r="BD5" s="30" t="n">
        <f aca="false">Source_Data!BD$5</f>
        <v>53</v>
      </c>
      <c r="BE5" s="30" t="n">
        <f aca="false">Source_Data!BE$5</f>
        <v>54</v>
      </c>
      <c r="BF5" s="30" t="n">
        <f aca="false">Source_Data!BF$5</f>
        <v>55</v>
      </c>
      <c r="BG5" s="30" t="n">
        <f aca="false">Source_Data!BG$5</f>
        <v>56</v>
      </c>
      <c r="BH5" s="30" t="n">
        <f aca="false">Source_Data!BH$5</f>
        <v>57</v>
      </c>
      <c r="BI5" s="30" t="n">
        <f aca="false">Source_Data!BI$5</f>
        <v>58</v>
      </c>
      <c r="BJ5" s="30" t="n">
        <f aca="false">Source_Data!BJ$5</f>
        <v>59</v>
      </c>
      <c r="BK5" s="30" t="n">
        <f aca="false">Source_Data!BK$5</f>
        <v>60</v>
      </c>
    </row>
    <row r="6" customFormat="false" ht="15" hidden="false" customHeight="false" outlineLevel="0" collapsed="false">
      <c r="A6" s="3" t="s">
        <v>184</v>
      </c>
      <c r="D6" s="30" t="n">
        <f aca="false">Source_Data!D$6</f>
        <v>3</v>
      </c>
      <c r="E6" s="30" t="n">
        <f aca="false">Source_Data!E$6</f>
        <v>6</v>
      </c>
      <c r="F6" s="30" t="n">
        <f aca="false">Source_Data!F$6</f>
        <v>9</v>
      </c>
      <c r="G6" s="30" t="n">
        <f aca="false">Source_Data!G$6</f>
        <v>12</v>
      </c>
      <c r="H6" s="30" t="n">
        <f aca="false">Source_Data!H$6</f>
        <v>15</v>
      </c>
      <c r="I6" s="30" t="n">
        <f aca="false">Source_Data!I$6</f>
        <v>18</v>
      </c>
      <c r="J6" s="30" t="n">
        <f aca="false">Source_Data!J$6</f>
        <v>21</v>
      </c>
      <c r="K6" s="30" t="n">
        <f aca="false">Source_Data!K$6</f>
        <v>24</v>
      </c>
      <c r="L6" s="30" t="n">
        <f aca="false">Source_Data!L$6</f>
        <v>27</v>
      </c>
      <c r="M6" s="30" t="n">
        <f aca="false">Source_Data!M$6</f>
        <v>30</v>
      </c>
      <c r="N6" s="30" t="n">
        <f aca="false">Source_Data!N$6</f>
        <v>33</v>
      </c>
      <c r="O6" s="30" t="n">
        <f aca="false">Source_Data!O$6</f>
        <v>36</v>
      </c>
      <c r="P6" s="30" t="n">
        <f aca="false">Source_Data!P$6</f>
        <v>39</v>
      </c>
      <c r="Q6" s="30" t="n">
        <f aca="false">Source_Data!Q$6</f>
        <v>42</v>
      </c>
      <c r="R6" s="30" t="n">
        <f aca="false">Source_Data!R$6</f>
        <v>45</v>
      </c>
      <c r="S6" s="30" t="n">
        <f aca="false">Source_Data!S$6</f>
        <v>48</v>
      </c>
      <c r="T6" s="30" t="n">
        <f aca="false">Source_Data!T$6</f>
        <v>51</v>
      </c>
      <c r="U6" s="30" t="n">
        <f aca="false">Source_Data!U$6</f>
        <v>54</v>
      </c>
      <c r="V6" s="30" t="n">
        <f aca="false">Source_Data!V$6</f>
        <v>57</v>
      </c>
      <c r="W6" s="30" t="n">
        <f aca="false">Source_Data!W$6</f>
        <v>60</v>
      </c>
      <c r="X6" s="30" t="n">
        <f aca="false">Source_Data!X$6</f>
        <v>63</v>
      </c>
      <c r="Y6" s="30" t="n">
        <f aca="false">Source_Data!Y$6</f>
        <v>66</v>
      </c>
      <c r="Z6" s="30" t="n">
        <f aca="false">Source_Data!Z$6</f>
        <v>69</v>
      </c>
      <c r="AA6" s="30" t="n">
        <f aca="false">Source_Data!AA$6</f>
        <v>72</v>
      </c>
      <c r="AB6" s="30" t="n">
        <f aca="false">Source_Data!AB$6</f>
        <v>75</v>
      </c>
      <c r="AC6" s="30" t="n">
        <f aca="false">Source_Data!AC$6</f>
        <v>78</v>
      </c>
      <c r="AD6" s="30" t="n">
        <f aca="false">Source_Data!AD$6</f>
        <v>81</v>
      </c>
      <c r="AE6" s="30" t="n">
        <f aca="false">Source_Data!AE$6</f>
        <v>84</v>
      </c>
      <c r="AF6" s="30" t="n">
        <f aca="false">Source_Data!AF$6</f>
        <v>87</v>
      </c>
      <c r="AG6" s="30" t="n">
        <f aca="false">Source_Data!AG$6</f>
        <v>90</v>
      </c>
      <c r="AH6" s="30" t="n">
        <f aca="false">Source_Data!AH$6</f>
        <v>93</v>
      </c>
      <c r="AI6" s="30" t="n">
        <f aca="false">Source_Data!AI$6</f>
        <v>96</v>
      </c>
      <c r="AJ6" s="30" t="n">
        <f aca="false">Source_Data!AJ$6</f>
        <v>99</v>
      </c>
      <c r="AK6" s="30" t="n">
        <f aca="false">Source_Data!AK$6</f>
        <v>102</v>
      </c>
      <c r="AL6" s="30" t="n">
        <f aca="false">Source_Data!AL$6</f>
        <v>105</v>
      </c>
      <c r="AM6" s="30" t="n">
        <f aca="false">Source_Data!AM$6</f>
        <v>108</v>
      </c>
      <c r="AN6" s="30" t="n">
        <f aca="false">Source_Data!AN$6</f>
        <v>111</v>
      </c>
      <c r="AO6" s="30" t="n">
        <f aca="false">Source_Data!AO$6</f>
        <v>114</v>
      </c>
      <c r="AP6" s="30" t="n">
        <f aca="false">Source_Data!AP$6</f>
        <v>117</v>
      </c>
      <c r="AQ6" s="30" t="n">
        <f aca="false">Source_Data!AQ$6</f>
        <v>120</v>
      </c>
      <c r="AR6" s="30" t="n">
        <f aca="false">Source_Data!AR$6</f>
        <v>123</v>
      </c>
      <c r="AS6" s="30" t="n">
        <f aca="false">Source_Data!AS$6</f>
        <v>126</v>
      </c>
      <c r="AT6" s="30" t="n">
        <f aca="false">Source_Data!AT$6</f>
        <v>129</v>
      </c>
      <c r="AU6" s="30" t="n">
        <f aca="false">Source_Data!AU$6</f>
        <v>132</v>
      </c>
      <c r="AV6" s="30" t="n">
        <f aca="false">Source_Data!AV$6</f>
        <v>135</v>
      </c>
      <c r="AW6" s="30" t="n">
        <f aca="false">Source_Data!AW$6</f>
        <v>138</v>
      </c>
      <c r="AX6" s="30" t="n">
        <f aca="false">Source_Data!AX$6</f>
        <v>141</v>
      </c>
      <c r="AY6" s="30" t="n">
        <f aca="false">Source_Data!AY$6</f>
        <v>144</v>
      </c>
      <c r="AZ6" s="30" t="n">
        <f aca="false">Source_Data!AZ$6</f>
        <v>147</v>
      </c>
      <c r="BA6" s="30" t="n">
        <f aca="false">Source_Data!BA$6</f>
        <v>150</v>
      </c>
      <c r="BB6" s="30" t="n">
        <f aca="false">Source_Data!BB$6</f>
        <v>153</v>
      </c>
      <c r="BC6" s="30" t="n">
        <f aca="false">Source_Data!BC$6</f>
        <v>156</v>
      </c>
      <c r="BD6" s="30" t="n">
        <f aca="false">Source_Data!BD$6</f>
        <v>159</v>
      </c>
      <c r="BE6" s="30" t="n">
        <f aca="false">Source_Data!BE$6</f>
        <v>162</v>
      </c>
      <c r="BF6" s="30" t="n">
        <f aca="false">Source_Data!BF$6</f>
        <v>165</v>
      </c>
      <c r="BG6" s="30" t="n">
        <f aca="false">Source_Data!BG$6</f>
        <v>168</v>
      </c>
      <c r="BH6" s="30" t="n">
        <f aca="false">Source_Data!BH$6</f>
        <v>171</v>
      </c>
      <c r="BI6" s="30" t="n">
        <f aca="false">Source_Data!BI$6</f>
        <v>174</v>
      </c>
      <c r="BJ6" s="30" t="n">
        <f aca="false">Source_Data!BJ$6</f>
        <v>177</v>
      </c>
      <c r="BK6" s="30" t="n">
        <f aca="false">Source_Data!BK$6</f>
        <v>180</v>
      </c>
    </row>
    <row r="7" customFormat="false" ht="15" hidden="false" customHeight="false" outlineLevel="0" collapsed="false">
      <c r="A7" s="3" t="s">
        <v>212</v>
      </c>
      <c r="D7" s="31" t="n">
        <f aca="false">D6/12</f>
        <v>0.25</v>
      </c>
      <c r="E7" s="31" t="n">
        <f aca="false">E6/12</f>
        <v>0.5</v>
      </c>
      <c r="F7" s="31" t="n">
        <f aca="false">F6/12</f>
        <v>0.75</v>
      </c>
      <c r="G7" s="31" t="n">
        <f aca="false">G6/12</f>
        <v>1</v>
      </c>
      <c r="H7" s="31" t="n">
        <f aca="false">H6/12</f>
        <v>1.25</v>
      </c>
      <c r="I7" s="31" t="n">
        <f aca="false">I6/12</f>
        <v>1.5</v>
      </c>
      <c r="J7" s="31" t="n">
        <f aca="false">J6/12</f>
        <v>1.75</v>
      </c>
      <c r="K7" s="31" t="n">
        <f aca="false">K6/12</f>
        <v>2</v>
      </c>
      <c r="L7" s="31" t="n">
        <f aca="false">L6/12</f>
        <v>2.25</v>
      </c>
      <c r="M7" s="31" t="n">
        <f aca="false">M6/12</f>
        <v>2.5</v>
      </c>
      <c r="N7" s="31" t="n">
        <f aca="false">N6/12</f>
        <v>2.75</v>
      </c>
      <c r="O7" s="31" t="n">
        <f aca="false">O6/12</f>
        <v>3</v>
      </c>
      <c r="P7" s="31" t="n">
        <f aca="false">P6/12</f>
        <v>3.25</v>
      </c>
      <c r="Q7" s="31" t="n">
        <f aca="false">Q6/12</f>
        <v>3.5</v>
      </c>
      <c r="R7" s="31" t="n">
        <f aca="false">R6/12</f>
        <v>3.75</v>
      </c>
      <c r="S7" s="31" t="n">
        <f aca="false">S6/12</f>
        <v>4</v>
      </c>
      <c r="T7" s="31" t="n">
        <f aca="false">T6/12</f>
        <v>4.25</v>
      </c>
      <c r="U7" s="31" t="n">
        <f aca="false">U6/12</f>
        <v>4.5</v>
      </c>
      <c r="V7" s="31" t="n">
        <f aca="false">V6/12</f>
        <v>4.75</v>
      </c>
      <c r="W7" s="31" t="n">
        <f aca="false">W6/12</f>
        <v>5</v>
      </c>
      <c r="X7" s="31" t="n">
        <f aca="false">X6/12</f>
        <v>5.25</v>
      </c>
      <c r="Y7" s="31" t="n">
        <f aca="false">Y6/12</f>
        <v>5.5</v>
      </c>
      <c r="Z7" s="31" t="n">
        <f aca="false">Z6/12</f>
        <v>5.75</v>
      </c>
      <c r="AA7" s="31" t="n">
        <f aca="false">AA6/12</f>
        <v>6</v>
      </c>
      <c r="AB7" s="31" t="n">
        <f aca="false">AB6/12</f>
        <v>6.25</v>
      </c>
      <c r="AC7" s="31" t="n">
        <f aca="false">AC6/12</f>
        <v>6.5</v>
      </c>
      <c r="AD7" s="31" t="n">
        <f aca="false">AD6/12</f>
        <v>6.75</v>
      </c>
      <c r="AE7" s="31" t="n">
        <f aca="false">AE6/12</f>
        <v>7</v>
      </c>
      <c r="AF7" s="31" t="n">
        <f aca="false">AF6/12</f>
        <v>7.25</v>
      </c>
      <c r="AG7" s="31" t="n">
        <f aca="false">AG6/12</f>
        <v>7.5</v>
      </c>
      <c r="AH7" s="31" t="n">
        <f aca="false">AH6/12</f>
        <v>7.75</v>
      </c>
      <c r="AI7" s="31" t="n">
        <f aca="false">AI6/12</f>
        <v>8</v>
      </c>
      <c r="AJ7" s="31" t="n">
        <f aca="false">AJ6/12</f>
        <v>8.25</v>
      </c>
      <c r="AK7" s="31" t="n">
        <f aca="false">AK6/12</f>
        <v>8.5</v>
      </c>
      <c r="AL7" s="31" t="n">
        <f aca="false">AL6/12</f>
        <v>8.75</v>
      </c>
      <c r="AM7" s="31" t="n">
        <f aca="false">AM6/12</f>
        <v>9</v>
      </c>
      <c r="AN7" s="31" t="n">
        <f aca="false">AN6/12</f>
        <v>9.25</v>
      </c>
      <c r="AO7" s="31" t="n">
        <f aca="false">AO6/12</f>
        <v>9.5</v>
      </c>
      <c r="AP7" s="31" t="n">
        <f aca="false">AP6/12</f>
        <v>9.75</v>
      </c>
      <c r="AQ7" s="31" t="n">
        <f aca="false">AQ6/12</f>
        <v>10</v>
      </c>
      <c r="AR7" s="31" t="n">
        <f aca="false">AR6/12</f>
        <v>10.25</v>
      </c>
      <c r="AS7" s="31" t="n">
        <f aca="false">AS6/12</f>
        <v>10.5</v>
      </c>
      <c r="AT7" s="31" t="n">
        <f aca="false">AT6/12</f>
        <v>10.75</v>
      </c>
      <c r="AU7" s="31" t="n">
        <f aca="false">AU6/12</f>
        <v>11</v>
      </c>
      <c r="AV7" s="31" t="n">
        <f aca="false">AV6/12</f>
        <v>11.25</v>
      </c>
      <c r="AW7" s="31" t="n">
        <f aca="false">AW6/12</f>
        <v>11.5</v>
      </c>
      <c r="AX7" s="31" t="n">
        <f aca="false">AX6/12</f>
        <v>11.75</v>
      </c>
      <c r="AY7" s="31" t="n">
        <f aca="false">AY6/12</f>
        <v>12</v>
      </c>
      <c r="AZ7" s="31" t="n">
        <f aca="false">AZ6/12</f>
        <v>12.25</v>
      </c>
      <c r="BA7" s="31" t="n">
        <f aca="false">BA6/12</f>
        <v>12.5</v>
      </c>
      <c r="BB7" s="31" t="n">
        <f aca="false">BB6/12</f>
        <v>12.75</v>
      </c>
      <c r="BC7" s="31" t="n">
        <f aca="false">BC6/12</f>
        <v>13</v>
      </c>
      <c r="BD7" s="31" t="n">
        <f aca="false">BD6/12</f>
        <v>13.25</v>
      </c>
      <c r="BE7" s="31" t="n">
        <f aca="false">BE6/12</f>
        <v>13.5</v>
      </c>
      <c r="BF7" s="31" t="n">
        <f aca="false">BF6/12</f>
        <v>13.75</v>
      </c>
      <c r="BG7" s="31" t="n">
        <f aca="false">BG6/12</f>
        <v>14</v>
      </c>
      <c r="BH7" s="31" t="n">
        <f aca="false">BH6/12</f>
        <v>14.25</v>
      </c>
      <c r="BI7" s="31" t="n">
        <f aca="false">BI6/12</f>
        <v>14.5</v>
      </c>
      <c r="BJ7" s="31" t="n">
        <f aca="false">BJ6/12</f>
        <v>14.75</v>
      </c>
      <c r="BK7" s="31" t="n">
        <f aca="false">BK6/12</f>
        <v>15</v>
      </c>
    </row>
    <row r="8" customFormat="false" ht="15" hidden="false" customHeight="false" outlineLevel="0" collapsed="false">
      <c r="A8" s="3" t="s">
        <v>213</v>
      </c>
      <c r="C8" s="28" t="n">
        <f aca="false">SUM(D8:BK8)</f>
        <v>2252.979</v>
      </c>
      <c r="D8" s="32" t="n">
        <f aca="false">Source_Data!D$7+Source_Data!D$8</f>
        <v>0</v>
      </c>
      <c r="E8" s="32" t="n">
        <f aca="false">Source_Data!E$7+Source_Data!E$8</f>
        <v>0</v>
      </c>
      <c r="F8" s="32" t="n">
        <f aca="false">Source_Data!F$7+Source_Data!F$8</f>
        <v>15.1392375</v>
      </c>
      <c r="G8" s="32" t="n">
        <f aca="false">Source_Data!G$7+Source_Data!G$8</f>
        <v>30.278475</v>
      </c>
      <c r="H8" s="32" t="n">
        <f aca="false">Source_Data!H$7+Source_Data!H$8</f>
        <v>46.51200625</v>
      </c>
      <c r="I8" s="32" t="n">
        <f aca="false">Source_Data!I$7+Source_Data!I$8</f>
        <v>62.7455375</v>
      </c>
      <c r="J8" s="32" t="n">
        <f aca="false">Source_Data!J$7+Source_Data!J$8</f>
        <v>62.3657</v>
      </c>
      <c r="K8" s="32" t="n">
        <f aca="false">Source_Data!K$7+Source_Data!K$8</f>
        <v>63.473559375</v>
      </c>
      <c r="L8" s="32" t="n">
        <f aca="false">Source_Data!L$7+Source_Data!L$8</f>
        <v>80.3288484375</v>
      </c>
      <c r="M8" s="32" t="n">
        <f aca="false">Source_Data!M$7+Source_Data!M$8</f>
        <v>495.2538375</v>
      </c>
      <c r="N8" s="32" t="n">
        <f aca="false">Source_Data!N$7+Source_Data!N$8</f>
        <v>185.57775</v>
      </c>
      <c r="O8" s="32" t="n">
        <f aca="false">Source_Data!O$7+Source_Data!O$8</f>
        <v>176.534</v>
      </c>
      <c r="P8" s="32" t="n">
        <f aca="false">Source_Data!P$7+Source_Data!P$8</f>
        <v>97.31075</v>
      </c>
      <c r="Q8" s="32" t="n">
        <f aca="false">Source_Data!Q$7+Source_Data!Q$8</f>
        <v>71.30996875</v>
      </c>
      <c r="R8" s="32" t="n">
        <f aca="false">Source_Data!R$7+Source_Data!R$8</f>
        <v>71.30996875</v>
      </c>
      <c r="S8" s="32" t="n">
        <f aca="false">Source_Data!S$7+Source_Data!S$8</f>
        <v>68.037035625</v>
      </c>
      <c r="T8" s="32" t="n">
        <f aca="false">Source_Data!T$7+Source_Data!T$8</f>
        <v>61.2266396875</v>
      </c>
      <c r="U8" s="32" t="n">
        <f aca="false">Source_Data!U$7+Source_Data!U$8</f>
        <v>59.7127159375</v>
      </c>
      <c r="V8" s="32" t="n">
        <f aca="false">Source_Data!V$7+Source_Data!V$8</f>
        <v>53.7239446875</v>
      </c>
      <c r="W8" s="32" t="n">
        <f aca="false">Source_Data!W$7+Source_Data!W$8</f>
        <v>49.3829446875</v>
      </c>
      <c r="X8" s="32" t="n">
        <f aca="false">Source_Data!X$7+Source_Data!X$8</f>
        <v>49.3829446875</v>
      </c>
      <c r="Y8" s="32" t="n">
        <f aca="false">Source_Data!Y$7+Source_Data!Y$8</f>
        <v>42.1027259375</v>
      </c>
      <c r="Z8" s="32" t="n">
        <f aca="false">Source_Data!Z$7+Source_Data!Z$8</f>
        <v>42.1027259375</v>
      </c>
      <c r="AA8" s="32" t="n">
        <f aca="false">Source_Data!AA$7+Source_Data!AA$8</f>
        <v>42.1027259375</v>
      </c>
      <c r="AB8" s="32" t="n">
        <f aca="false">Source_Data!AB$7+Source_Data!AB$8</f>
        <v>36.3147259375</v>
      </c>
      <c r="AC8" s="32" t="n">
        <f aca="false">Source_Data!AC$7+Source_Data!AC$8</f>
        <v>33.0386275</v>
      </c>
      <c r="AD8" s="32" t="n">
        <f aca="false">Source_Data!AD$7+Source_Data!AD$8</f>
        <v>29.43017125</v>
      </c>
      <c r="AE8" s="32" t="n">
        <f aca="false">Source_Data!AE$7+Source_Data!AE$8</f>
        <v>25.08917125</v>
      </c>
      <c r="AF8" s="32" t="n">
        <f aca="false">Source_Data!AF$7+Source_Data!AF$8</f>
        <v>25.08917125</v>
      </c>
      <c r="AG8" s="32" t="n">
        <f aca="false">Source_Data!AG$7+Source_Data!AG$8</f>
        <v>25.08917125</v>
      </c>
      <c r="AH8" s="32" t="n">
        <f aca="false">Source_Data!AH$7+Source_Data!AH$8</f>
        <v>25.08917125</v>
      </c>
      <c r="AI8" s="32" t="n">
        <f aca="false">Source_Data!AI$7+Source_Data!AI$8</f>
        <v>25.08917125</v>
      </c>
      <c r="AJ8" s="32" t="n">
        <f aca="false">Source_Data!AJ$7+Source_Data!AJ$8</f>
        <v>25.08917125</v>
      </c>
      <c r="AK8" s="32" t="n">
        <f aca="false">Source_Data!AK$7+Source_Data!AK$8</f>
        <v>22.905105625</v>
      </c>
      <c r="AL8" s="32" t="n">
        <f aca="false">Source_Data!AL$7+Source_Data!AL$8</f>
        <v>22.905105625</v>
      </c>
      <c r="AM8" s="32" t="n">
        <f aca="false">Source_Data!AM$7+Source_Data!AM$8</f>
        <v>18.739554375</v>
      </c>
      <c r="AN8" s="32" t="n">
        <f aca="false">Source_Data!AN$7+Source_Data!AN$8</f>
        <v>9.6261675</v>
      </c>
      <c r="AO8" s="32" t="n">
        <f aca="false">Source_Data!AO$7+Source_Data!AO$8</f>
        <v>3.5704725</v>
      </c>
      <c r="AP8" s="32" t="n">
        <f aca="false">Source_Data!AP$7+Source_Data!AP$8</f>
        <v>0</v>
      </c>
      <c r="AQ8" s="32" t="n">
        <f aca="false">Source_Data!AQ$7+Source_Data!AQ$8</f>
        <v>0</v>
      </c>
      <c r="AR8" s="32" t="n">
        <f aca="false">Source_Data!AR$7+Source_Data!AR$8</f>
        <v>0</v>
      </c>
      <c r="AS8" s="32" t="n">
        <f aca="false">Source_Data!AS$7+Source_Data!AS$8</f>
        <v>0</v>
      </c>
      <c r="AT8" s="32" t="n">
        <f aca="false">Source_Data!AT$7+Source_Data!AT$8</f>
        <v>0</v>
      </c>
      <c r="AU8" s="32" t="n">
        <f aca="false">Source_Data!AU$7+Source_Data!AU$8</f>
        <v>0</v>
      </c>
      <c r="AV8" s="32" t="n">
        <f aca="false">Source_Data!AV$7+Source_Data!AV$8</f>
        <v>0</v>
      </c>
      <c r="AW8" s="32" t="n">
        <f aca="false">Source_Data!AW$7+Source_Data!AW$8</f>
        <v>0</v>
      </c>
      <c r="AX8" s="32" t="n">
        <f aca="false">Source_Data!AX$7+Source_Data!AX$8</f>
        <v>0</v>
      </c>
      <c r="AY8" s="32" t="n">
        <f aca="false">Source_Data!AY$7+Source_Data!AY$8</f>
        <v>0</v>
      </c>
      <c r="AZ8" s="32" t="n">
        <f aca="false">Source_Data!AZ$7+Source_Data!AZ$8</f>
        <v>0</v>
      </c>
      <c r="BA8" s="32" t="n">
        <f aca="false">Source_Data!BA$7+Source_Data!BA$8</f>
        <v>0</v>
      </c>
      <c r="BB8" s="32" t="n">
        <f aca="false">Source_Data!BB$7+Source_Data!BB$8</f>
        <v>0</v>
      </c>
      <c r="BC8" s="32" t="n">
        <f aca="false">Source_Data!BC$7+Source_Data!BC$8</f>
        <v>0</v>
      </c>
      <c r="BD8" s="32" t="n">
        <f aca="false">Source_Data!BD$7+Source_Data!BD$8</f>
        <v>0</v>
      </c>
      <c r="BE8" s="32" t="n">
        <f aca="false">Source_Data!BE$7+Source_Data!BE$8</f>
        <v>0</v>
      </c>
      <c r="BF8" s="32" t="n">
        <f aca="false">Source_Data!BF$7+Source_Data!BF$8</f>
        <v>0</v>
      </c>
      <c r="BG8" s="32" t="n">
        <f aca="false">Source_Data!BG$7+Source_Data!BG$8</f>
        <v>0</v>
      </c>
      <c r="BH8" s="32" t="n">
        <f aca="false">Source_Data!BH$7+Source_Data!BH$8</f>
        <v>0</v>
      </c>
      <c r="BI8" s="32" t="n">
        <f aca="false">Source_Data!BI$7+Source_Data!BI$8</f>
        <v>0</v>
      </c>
      <c r="BJ8" s="32" t="n">
        <f aca="false">Source_Data!BJ$7+Source_Data!BJ$8</f>
        <v>0</v>
      </c>
      <c r="BK8" s="32" t="n">
        <f aca="false">Source_Data!BK$7+Source_Data!BK$8</f>
        <v>0</v>
      </c>
    </row>
    <row r="9" customFormat="false" ht="15" hidden="false" customHeight="false" outlineLevel="0" collapsed="false">
      <c r="A9" s="3" t="s">
        <v>214</v>
      </c>
      <c r="C9" s="28" t="n">
        <f aca="false">SUM(D9:BK9)</f>
        <v>985.6783125</v>
      </c>
      <c r="D9" s="32" t="n">
        <f aca="false">Source_Data!D$9+Source_Data!D$10</f>
        <v>91.25</v>
      </c>
      <c r="E9" s="32" t="n">
        <f aca="false">Source_Data!E$9+Source_Data!E$10</f>
        <v>11.25</v>
      </c>
      <c r="F9" s="32" t="n">
        <f aca="false">Source_Data!F$9+Source_Data!F$10</f>
        <v>11.25</v>
      </c>
      <c r="G9" s="32" t="n">
        <f aca="false">Source_Data!G$9+Source_Data!G$10</f>
        <v>11.25</v>
      </c>
      <c r="H9" s="32" t="n">
        <f aca="false">Source_Data!H$9+Source_Data!H$10</f>
        <v>22.5</v>
      </c>
      <c r="I9" s="32" t="n">
        <f aca="false">Source_Data!I$9+Source_Data!I$10</f>
        <v>22.5</v>
      </c>
      <c r="J9" s="32" t="n">
        <f aca="false">Source_Data!J$9+Source_Data!J$10</f>
        <v>22.5</v>
      </c>
      <c r="K9" s="32" t="n">
        <f aca="false">Source_Data!K$9+Source_Data!K$10</f>
        <v>22.5</v>
      </c>
      <c r="L9" s="32" t="n">
        <f aca="false">Source_Data!L$9+Source_Data!L$10</f>
        <v>33.75</v>
      </c>
      <c r="M9" s="32" t="n">
        <f aca="false">Source_Data!M$9+Source_Data!M$10</f>
        <v>33.75</v>
      </c>
      <c r="N9" s="32" t="n">
        <f aca="false">Source_Data!N$9+Source_Data!N$10</f>
        <v>33.75</v>
      </c>
      <c r="O9" s="32" t="n">
        <f aca="false">Source_Data!O$9+Source_Data!O$10</f>
        <v>33.75</v>
      </c>
      <c r="P9" s="32" t="n">
        <f aca="false">Source_Data!P$9+Source_Data!P$10</f>
        <v>45</v>
      </c>
      <c r="Q9" s="32" t="n">
        <f aca="false">Source_Data!Q$9+Source_Data!Q$10</f>
        <v>45</v>
      </c>
      <c r="R9" s="32" t="n">
        <f aca="false">Source_Data!R$9+Source_Data!R$10</f>
        <v>45</v>
      </c>
      <c r="S9" s="32" t="n">
        <f aca="false">Source_Data!S$9+Source_Data!S$10</f>
        <v>45</v>
      </c>
      <c r="T9" s="32" t="n">
        <f aca="false">Source_Data!T$9+Source_Data!T$10</f>
        <v>45</v>
      </c>
      <c r="U9" s="32" t="n">
        <f aca="false">Source_Data!U$9+Source_Data!U$10</f>
        <v>45</v>
      </c>
      <c r="V9" s="32" t="n">
        <f aca="false">Source_Data!V$9+Source_Data!V$10</f>
        <v>45</v>
      </c>
      <c r="W9" s="32" t="n">
        <f aca="false">Source_Data!W$9+Source_Data!W$10</f>
        <v>45</v>
      </c>
      <c r="X9" s="32" t="n">
        <f aca="false">Source_Data!X$9+Source_Data!X$10</f>
        <v>22.5</v>
      </c>
      <c r="Y9" s="32" t="n">
        <f aca="false">Source_Data!Y$9+Source_Data!Y$10</f>
        <v>22.5</v>
      </c>
      <c r="Z9" s="32" t="n">
        <f aca="false">Source_Data!Z$9+Source_Data!Z$10</f>
        <v>22.5</v>
      </c>
      <c r="AA9" s="32" t="n">
        <f aca="false">Source_Data!AA$9+Source_Data!AA$10</f>
        <v>22.5</v>
      </c>
      <c r="AB9" s="32" t="n">
        <f aca="false">Source_Data!AB$9+Source_Data!AB$10</f>
        <v>0</v>
      </c>
      <c r="AC9" s="32" t="n">
        <f aca="false">Source_Data!AC$9+Source_Data!AC$10</f>
        <v>0</v>
      </c>
      <c r="AD9" s="32" t="n">
        <f aca="false">Source_Data!AD$9+Source_Data!AD$10</f>
        <v>0</v>
      </c>
      <c r="AE9" s="32" t="n">
        <f aca="false">Source_Data!AE$9+Source_Data!AE$10</f>
        <v>0</v>
      </c>
      <c r="AF9" s="32" t="n">
        <f aca="false">Source_Data!AF$9+Source_Data!AF$10</f>
        <v>107.758210351563</v>
      </c>
      <c r="AG9" s="32" t="n">
        <f aca="false">Source_Data!AG$9+Source_Data!AG$10</f>
        <v>10.976512421875</v>
      </c>
      <c r="AH9" s="32" t="n">
        <f aca="false">Source_Data!AH$9+Source_Data!AH$10</f>
        <v>10.976512421875</v>
      </c>
      <c r="AI9" s="32" t="n">
        <f aca="false">Source_Data!AI$9+Source_Data!AI$10</f>
        <v>10.976512421875</v>
      </c>
      <c r="AJ9" s="32" t="n">
        <f aca="false">Source_Data!AJ$9+Source_Data!AJ$10</f>
        <v>10.976512421875</v>
      </c>
      <c r="AK9" s="32" t="n">
        <f aca="false">Source_Data!AK$9+Source_Data!AK$10</f>
        <v>10.0209837109375</v>
      </c>
      <c r="AL9" s="32" t="n">
        <f aca="false">Source_Data!AL$9+Source_Data!AL$10</f>
        <v>10.0209837109375</v>
      </c>
      <c r="AM9" s="32" t="n">
        <f aca="false">Source_Data!AM$9+Source_Data!AM$10</f>
        <v>8.19855503906249</v>
      </c>
      <c r="AN9" s="32" t="n">
        <f aca="false">Source_Data!AN$9+Source_Data!AN$10</f>
        <v>4.21144828125</v>
      </c>
      <c r="AO9" s="32" t="n">
        <f aca="false">Source_Data!AO$9+Source_Data!AO$10</f>
        <v>1.56208171875</v>
      </c>
      <c r="AP9" s="32" t="n">
        <f aca="false">Source_Data!AP$9+Source_Data!AP$10</f>
        <v>0</v>
      </c>
      <c r="AQ9" s="32" t="n">
        <f aca="false">Source_Data!AQ$9+Source_Data!AQ$10</f>
        <v>0</v>
      </c>
      <c r="AR9" s="32" t="n">
        <f aca="false">Source_Data!AR$9+Source_Data!AR$10</f>
        <v>0</v>
      </c>
      <c r="AS9" s="32" t="n">
        <f aca="false">Source_Data!AS$9+Source_Data!AS$10</f>
        <v>0</v>
      </c>
      <c r="AT9" s="32" t="n">
        <f aca="false">Source_Data!AT$9+Source_Data!AT$10</f>
        <v>0</v>
      </c>
      <c r="AU9" s="32" t="n">
        <f aca="false">Source_Data!AU$9+Source_Data!AU$10</f>
        <v>0</v>
      </c>
      <c r="AV9" s="32" t="n">
        <f aca="false">Source_Data!AV$9+Source_Data!AV$10</f>
        <v>0</v>
      </c>
      <c r="AW9" s="32" t="n">
        <f aca="false">Source_Data!AW$9+Source_Data!AW$10</f>
        <v>0</v>
      </c>
      <c r="AX9" s="32" t="n">
        <f aca="false">Source_Data!AX$9+Source_Data!AX$10</f>
        <v>0</v>
      </c>
      <c r="AY9" s="32" t="n">
        <f aca="false">Source_Data!AY$9+Source_Data!AY$10</f>
        <v>0</v>
      </c>
      <c r="AZ9" s="32" t="n">
        <f aca="false">Source_Data!AZ$9+Source_Data!AZ$10</f>
        <v>0</v>
      </c>
      <c r="BA9" s="32" t="n">
        <f aca="false">Source_Data!BA$9+Source_Data!BA$10</f>
        <v>0</v>
      </c>
      <c r="BB9" s="32" t="n">
        <f aca="false">Source_Data!BB$9+Source_Data!BB$10</f>
        <v>0</v>
      </c>
      <c r="BC9" s="32" t="n">
        <f aca="false">Source_Data!BC$9+Source_Data!BC$10</f>
        <v>0</v>
      </c>
      <c r="BD9" s="32" t="n">
        <f aca="false">Source_Data!BD$9+Source_Data!BD$10</f>
        <v>0</v>
      </c>
      <c r="BE9" s="32" t="n">
        <f aca="false">Source_Data!BE$9+Source_Data!BE$10</f>
        <v>0</v>
      </c>
      <c r="BF9" s="32" t="n">
        <f aca="false">Source_Data!BF$9+Source_Data!BF$10</f>
        <v>0</v>
      </c>
      <c r="BG9" s="32" t="n">
        <f aca="false">Source_Data!BG$9+Source_Data!BG$10</f>
        <v>0</v>
      </c>
      <c r="BH9" s="32" t="n">
        <f aca="false">Source_Data!BH$9+Source_Data!BH$10</f>
        <v>0</v>
      </c>
      <c r="BI9" s="32" t="n">
        <f aca="false">Source_Data!BI$9+Source_Data!BI$10</f>
        <v>0</v>
      </c>
      <c r="BJ9" s="32" t="n">
        <f aca="false">Source_Data!BJ$9+Source_Data!BJ$10</f>
        <v>0</v>
      </c>
      <c r="BK9" s="32" t="n">
        <f aca="false">Source_Data!BK$9+Source_Data!BK$10</f>
        <v>0</v>
      </c>
    </row>
    <row r="10" customFormat="false" ht="15" hidden="false" customHeight="false" outlineLevel="0" collapsed="false">
      <c r="A10" s="3" t="s">
        <v>194</v>
      </c>
      <c r="C10" s="28" t="n">
        <f aca="false">SUM(D10:BK10)</f>
        <v>697.16</v>
      </c>
      <c r="D10" s="32" t="n">
        <f aca="false">Source_Data!D$11</f>
        <v>0</v>
      </c>
      <c r="E10" s="32" t="n">
        <f aca="false">Source_Data!E$11</f>
        <v>0</v>
      </c>
      <c r="F10" s="32" t="n">
        <f aca="false">Source_Data!F$11</f>
        <v>0</v>
      </c>
      <c r="G10" s="32" t="n">
        <f aca="false">Source_Data!G$11</f>
        <v>0</v>
      </c>
      <c r="H10" s="32" t="n">
        <f aca="false">Source_Data!H$11</f>
        <v>20</v>
      </c>
      <c r="I10" s="32" t="n">
        <f aca="false">Source_Data!I$11</f>
        <v>26.4</v>
      </c>
      <c r="J10" s="32" t="n">
        <f aca="false">Source_Data!J$11</f>
        <v>40</v>
      </c>
      <c r="K10" s="32" t="n">
        <f aca="false">Source_Data!K$11</f>
        <v>26.4</v>
      </c>
      <c r="L10" s="32" t="n">
        <f aca="false">Source_Data!L$11</f>
        <v>26.4</v>
      </c>
      <c r="M10" s="32" t="n">
        <f aca="false">Source_Data!M$11</f>
        <v>26.4</v>
      </c>
      <c r="N10" s="32" t="n">
        <f aca="false">Source_Data!N$11</f>
        <v>5.28</v>
      </c>
      <c r="O10" s="32" t="n">
        <f aca="false">Source_Data!O$11</f>
        <v>5.28</v>
      </c>
      <c r="P10" s="32" t="n">
        <f aca="false">Source_Data!P$11</f>
        <v>120</v>
      </c>
      <c r="Q10" s="32" t="n">
        <f aca="false">Source_Data!Q$11</f>
        <v>120</v>
      </c>
      <c r="R10" s="32" t="n">
        <f aca="false">Source_Data!R$11</f>
        <v>164</v>
      </c>
      <c r="S10" s="32" t="n">
        <f aca="false">Source_Data!S$11</f>
        <v>117</v>
      </c>
      <c r="T10" s="32" t="n">
        <f aca="false">Source_Data!T$11</f>
        <v>0</v>
      </c>
      <c r="U10" s="32" t="n">
        <f aca="false">Source_Data!U$11</f>
        <v>0</v>
      </c>
      <c r="V10" s="32" t="n">
        <f aca="false">Source_Data!V$11</f>
        <v>0</v>
      </c>
      <c r="W10" s="32" t="n">
        <f aca="false">Source_Data!W$11</f>
        <v>0</v>
      </c>
      <c r="X10" s="32" t="n">
        <f aca="false">Source_Data!X$11</f>
        <v>0</v>
      </c>
      <c r="Y10" s="32" t="n">
        <f aca="false">Source_Data!Y$11</f>
        <v>0</v>
      </c>
      <c r="Z10" s="32" t="n">
        <f aca="false">Source_Data!Z$11</f>
        <v>0</v>
      </c>
      <c r="AA10" s="32" t="n">
        <f aca="false">Source_Data!AA$11</f>
        <v>0</v>
      </c>
      <c r="AB10" s="32" t="n">
        <f aca="false">Source_Data!AB$11</f>
        <v>0</v>
      </c>
      <c r="AC10" s="32" t="n">
        <f aca="false">Source_Data!AC$11</f>
        <v>0</v>
      </c>
      <c r="AD10" s="32" t="n">
        <f aca="false">Source_Data!AD$11</f>
        <v>0</v>
      </c>
      <c r="AE10" s="32" t="n">
        <f aca="false">Source_Data!AE$11</f>
        <v>0</v>
      </c>
      <c r="AF10" s="32" t="n">
        <f aca="false">Source_Data!AF$11</f>
        <v>0</v>
      </c>
      <c r="AG10" s="32" t="n">
        <f aca="false">Source_Data!AG$11</f>
        <v>0</v>
      </c>
      <c r="AH10" s="32" t="n">
        <f aca="false">Source_Data!AH$11</f>
        <v>0</v>
      </c>
      <c r="AI10" s="32" t="n">
        <f aca="false">Source_Data!AI$11</f>
        <v>0</v>
      </c>
      <c r="AJ10" s="32" t="n">
        <f aca="false">Source_Data!AJ$11</f>
        <v>0</v>
      </c>
      <c r="AK10" s="32" t="n">
        <f aca="false">Source_Data!AK$11</f>
        <v>0</v>
      </c>
      <c r="AL10" s="32" t="n">
        <f aca="false">Source_Data!AL$11</f>
        <v>0</v>
      </c>
      <c r="AM10" s="32" t="n">
        <f aca="false">Source_Data!AM$11</f>
        <v>0</v>
      </c>
      <c r="AN10" s="32" t="n">
        <f aca="false">Source_Data!AN$11</f>
        <v>0</v>
      </c>
      <c r="AO10" s="32" t="n">
        <f aca="false">Source_Data!AO$11</f>
        <v>0</v>
      </c>
      <c r="AP10" s="32" t="n">
        <f aca="false">Source_Data!AP$11</f>
        <v>0</v>
      </c>
      <c r="AQ10" s="32" t="n">
        <f aca="false">Source_Data!AQ$11</f>
        <v>0</v>
      </c>
      <c r="AR10" s="32" t="n">
        <f aca="false">Source_Data!AR$11</f>
        <v>0</v>
      </c>
      <c r="AS10" s="32" t="n">
        <f aca="false">Source_Data!AS$11</f>
        <v>0</v>
      </c>
      <c r="AT10" s="32" t="n">
        <f aca="false">Source_Data!AT$11</f>
        <v>0</v>
      </c>
      <c r="AU10" s="32" t="n">
        <f aca="false">Source_Data!AU$11</f>
        <v>0</v>
      </c>
      <c r="AV10" s="32" t="n">
        <f aca="false">Source_Data!AV$11</f>
        <v>0</v>
      </c>
      <c r="AW10" s="32" t="n">
        <f aca="false">Source_Data!AW$11</f>
        <v>0</v>
      </c>
      <c r="AX10" s="32" t="n">
        <f aca="false">Source_Data!AX$11</f>
        <v>0</v>
      </c>
      <c r="AY10" s="32" t="n">
        <f aca="false">Source_Data!AY$11</f>
        <v>0</v>
      </c>
      <c r="AZ10" s="32" t="n">
        <f aca="false">Source_Data!AZ$11</f>
        <v>0</v>
      </c>
      <c r="BA10" s="32" t="n">
        <f aca="false">Source_Data!BA$11</f>
        <v>0</v>
      </c>
      <c r="BB10" s="32" t="n">
        <f aca="false">Source_Data!BB$11</f>
        <v>0</v>
      </c>
      <c r="BC10" s="32" t="n">
        <f aca="false">Source_Data!BC$11</f>
        <v>0</v>
      </c>
      <c r="BD10" s="32" t="n">
        <f aca="false">Source_Data!BD$11</f>
        <v>0</v>
      </c>
      <c r="BE10" s="32" t="n">
        <f aca="false">Source_Data!BE$11</f>
        <v>0</v>
      </c>
      <c r="BF10" s="32" t="n">
        <f aca="false">Source_Data!BF$11</f>
        <v>0</v>
      </c>
      <c r="BG10" s="32" t="n">
        <f aca="false">Source_Data!BG$11</f>
        <v>0</v>
      </c>
      <c r="BH10" s="32" t="n">
        <f aca="false">Source_Data!BH$11</f>
        <v>0</v>
      </c>
      <c r="BI10" s="32" t="n">
        <f aca="false">Source_Data!BI$11</f>
        <v>0</v>
      </c>
      <c r="BJ10" s="32" t="n">
        <f aca="false">Source_Data!BJ$11</f>
        <v>0</v>
      </c>
      <c r="BK10" s="32" t="n">
        <f aca="false">Source_Data!BK$11</f>
        <v>0</v>
      </c>
    </row>
    <row r="11" customFormat="false" ht="15" hidden="false" customHeight="false" outlineLevel="0" collapsed="false">
      <c r="A11" s="3" t="s">
        <v>196</v>
      </c>
      <c r="C11" s="28" t="n">
        <f aca="false">SUM(D11:BK11)</f>
        <v>90.11916</v>
      </c>
      <c r="D11" s="32" t="n">
        <f aca="false">Source_Data!D$12</f>
        <v>0</v>
      </c>
      <c r="E11" s="32" t="n">
        <f aca="false">Source_Data!E$12</f>
        <v>0</v>
      </c>
      <c r="F11" s="32" t="n">
        <f aca="false">Source_Data!F$12</f>
        <v>0</v>
      </c>
      <c r="G11" s="32" t="n">
        <f aca="false">Source_Data!G$12</f>
        <v>0</v>
      </c>
      <c r="H11" s="32" t="n">
        <f aca="false">Source_Data!H$12</f>
        <v>0</v>
      </c>
      <c r="I11" s="32" t="n">
        <f aca="false">Source_Data!I$12</f>
        <v>0</v>
      </c>
      <c r="J11" s="32" t="n">
        <f aca="false">Source_Data!J$12</f>
        <v>12.11139</v>
      </c>
      <c r="K11" s="32" t="n">
        <f aca="false">Source_Data!K$12</f>
        <v>12.11139</v>
      </c>
      <c r="L11" s="32" t="n">
        <f aca="false">Source_Data!L$12</f>
        <v>9.52126</v>
      </c>
      <c r="M11" s="32" t="n">
        <f aca="false">Source_Data!M$12</f>
        <v>9.52126</v>
      </c>
      <c r="N11" s="32" t="n">
        <f aca="false">Source_Data!N$12</f>
        <v>6.98901</v>
      </c>
      <c r="O11" s="32" t="n">
        <f aca="false">Source_Data!O$12</f>
        <v>6.98901</v>
      </c>
      <c r="P11" s="32" t="n">
        <f aca="false">Source_Data!P$12</f>
        <v>7.69804</v>
      </c>
      <c r="Q11" s="32" t="n">
        <f aca="false">Source_Data!Q$12</f>
        <v>9.2608</v>
      </c>
      <c r="R11" s="32" t="n">
        <f aca="false">Source_Data!R$12</f>
        <v>9.2608</v>
      </c>
      <c r="S11" s="32" t="n">
        <f aca="false">Source_Data!S$12</f>
        <v>6.6562</v>
      </c>
      <c r="T11" s="32" t="n">
        <f aca="false">Source_Data!T$12</f>
        <v>0</v>
      </c>
      <c r="U11" s="32" t="n">
        <f aca="false">Source_Data!U$12</f>
        <v>0</v>
      </c>
      <c r="V11" s="32" t="n">
        <f aca="false">Source_Data!V$12</f>
        <v>0</v>
      </c>
      <c r="W11" s="32" t="n">
        <f aca="false">Source_Data!W$12</f>
        <v>0</v>
      </c>
      <c r="X11" s="32" t="n">
        <f aca="false">Source_Data!X$12</f>
        <v>0</v>
      </c>
      <c r="Y11" s="32" t="n">
        <f aca="false">Source_Data!Y$12</f>
        <v>0</v>
      </c>
      <c r="Z11" s="32" t="n">
        <f aca="false">Source_Data!Z$12</f>
        <v>0</v>
      </c>
      <c r="AA11" s="32" t="n">
        <f aca="false">Source_Data!AA$12</f>
        <v>0</v>
      </c>
      <c r="AB11" s="32" t="n">
        <f aca="false">Source_Data!AB$12</f>
        <v>0</v>
      </c>
      <c r="AC11" s="32" t="n">
        <f aca="false">Source_Data!AC$12</f>
        <v>0</v>
      </c>
      <c r="AD11" s="32" t="n">
        <f aca="false">Source_Data!AD$12</f>
        <v>0</v>
      </c>
      <c r="AE11" s="32" t="n">
        <f aca="false">Source_Data!AE$12</f>
        <v>0</v>
      </c>
      <c r="AF11" s="32" t="n">
        <f aca="false">Source_Data!AF$12</f>
        <v>0</v>
      </c>
      <c r="AG11" s="32" t="n">
        <f aca="false">Source_Data!AG$12</f>
        <v>0</v>
      </c>
      <c r="AH11" s="32" t="n">
        <f aca="false">Source_Data!AH$12</f>
        <v>0</v>
      </c>
      <c r="AI11" s="32" t="n">
        <f aca="false">Source_Data!AI$12</f>
        <v>0</v>
      </c>
      <c r="AJ11" s="32" t="n">
        <f aca="false">Source_Data!AJ$12</f>
        <v>0</v>
      </c>
      <c r="AK11" s="32" t="n">
        <f aca="false">Source_Data!AK$12</f>
        <v>0</v>
      </c>
      <c r="AL11" s="32" t="n">
        <f aca="false">Source_Data!AL$12</f>
        <v>0</v>
      </c>
      <c r="AM11" s="32" t="n">
        <f aca="false">Source_Data!AM$12</f>
        <v>0</v>
      </c>
      <c r="AN11" s="32" t="n">
        <f aca="false">Source_Data!AN$12</f>
        <v>0</v>
      </c>
      <c r="AO11" s="32" t="n">
        <f aca="false">Source_Data!AO$12</f>
        <v>0</v>
      </c>
      <c r="AP11" s="32" t="n">
        <f aca="false">Source_Data!AP$12</f>
        <v>0</v>
      </c>
      <c r="AQ11" s="32" t="n">
        <f aca="false">Source_Data!AQ$12</f>
        <v>0</v>
      </c>
      <c r="AR11" s="32" t="n">
        <f aca="false">Source_Data!AR$12</f>
        <v>0</v>
      </c>
      <c r="AS11" s="32" t="n">
        <f aca="false">Source_Data!AS$12</f>
        <v>0</v>
      </c>
      <c r="AT11" s="32" t="n">
        <f aca="false">Source_Data!AT$12</f>
        <v>0</v>
      </c>
      <c r="AU11" s="32" t="n">
        <f aca="false">Source_Data!AU$12</f>
        <v>0</v>
      </c>
      <c r="AV11" s="32" t="n">
        <f aca="false">Source_Data!AV$12</f>
        <v>0</v>
      </c>
      <c r="AW11" s="32" t="n">
        <f aca="false">Source_Data!AW$12</f>
        <v>0</v>
      </c>
      <c r="AX11" s="32" t="n">
        <f aca="false">Source_Data!AX$12</f>
        <v>0</v>
      </c>
      <c r="AY11" s="32" t="n">
        <f aca="false">Source_Data!AY$12</f>
        <v>0</v>
      </c>
      <c r="AZ11" s="32" t="n">
        <f aca="false">Source_Data!AZ$12</f>
        <v>0</v>
      </c>
      <c r="BA11" s="32" t="n">
        <f aca="false">Source_Data!BA$12</f>
        <v>0</v>
      </c>
      <c r="BB11" s="32" t="n">
        <f aca="false">Source_Data!BB$12</f>
        <v>0</v>
      </c>
      <c r="BC11" s="32" t="n">
        <f aca="false">Source_Data!BC$12</f>
        <v>0</v>
      </c>
      <c r="BD11" s="32" t="n">
        <f aca="false">Source_Data!BD$12</f>
        <v>0</v>
      </c>
      <c r="BE11" s="32" t="n">
        <f aca="false">Source_Data!BE$12</f>
        <v>0</v>
      </c>
      <c r="BF11" s="32" t="n">
        <f aca="false">Source_Data!BF$12</f>
        <v>0</v>
      </c>
      <c r="BG11" s="32" t="n">
        <f aca="false">Source_Data!BG$12</f>
        <v>0</v>
      </c>
      <c r="BH11" s="32" t="n">
        <f aca="false">Source_Data!BH$12</f>
        <v>0</v>
      </c>
      <c r="BI11" s="32" t="n">
        <f aca="false">Source_Data!BI$12</f>
        <v>0</v>
      </c>
      <c r="BJ11" s="32" t="n">
        <f aca="false">Source_Data!BJ$12</f>
        <v>0</v>
      </c>
      <c r="BK11" s="32" t="n">
        <f aca="false">Source_Data!BK$12</f>
        <v>0</v>
      </c>
    </row>
    <row r="12" customFormat="false" ht="15" hidden="false" customHeight="false" outlineLevel="0" collapsed="false">
      <c r="A12" s="3" t="s">
        <v>215</v>
      </c>
      <c r="C12" s="28" t="n">
        <f aca="false">SUM(D12:BK12)</f>
        <v>104.574</v>
      </c>
      <c r="D12" s="32" t="n">
        <f aca="false">Source_Data!D$13</f>
        <v>0</v>
      </c>
      <c r="E12" s="32" t="n">
        <f aca="false">Source_Data!E$13</f>
        <v>0</v>
      </c>
      <c r="F12" s="32" t="n">
        <f aca="false">Source_Data!F$13</f>
        <v>0</v>
      </c>
      <c r="G12" s="32" t="n">
        <f aca="false">Source_Data!G$13</f>
        <v>0</v>
      </c>
      <c r="H12" s="32" t="n">
        <f aca="false">Source_Data!H$13</f>
        <v>3</v>
      </c>
      <c r="I12" s="32" t="n">
        <f aca="false">Source_Data!I$13</f>
        <v>3.96</v>
      </c>
      <c r="J12" s="32" t="n">
        <f aca="false">Source_Data!J$13</f>
        <v>6</v>
      </c>
      <c r="K12" s="32" t="n">
        <f aca="false">Source_Data!K$13</f>
        <v>3.96</v>
      </c>
      <c r="L12" s="32" t="n">
        <f aca="false">Source_Data!L$13</f>
        <v>3.96</v>
      </c>
      <c r="M12" s="32" t="n">
        <f aca="false">Source_Data!M$13</f>
        <v>3.96</v>
      </c>
      <c r="N12" s="32" t="n">
        <f aca="false">Source_Data!N$13</f>
        <v>0.792</v>
      </c>
      <c r="O12" s="32" t="n">
        <f aca="false">Source_Data!O$13</f>
        <v>0.792</v>
      </c>
      <c r="P12" s="32" t="n">
        <f aca="false">Source_Data!P$13</f>
        <v>18</v>
      </c>
      <c r="Q12" s="32" t="n">
        <f aca="false">Source_Data!Q$13</f>
        <v>18</v>
      </c>
      <c r="R12" s="32" t="n">
        <f aca="false">Source_Data!R$13</f>
        <v>24.6</v>
      </c>
      <c r="S12" s="32" t="n">
        <f aca="false">Source_Data!S$13</f>
        <v>17.55</v>
      </c>
      <c r="T12" s="32" t="n">
        <f aca="false">Source_Data!T$13</f>
        <v>0</v>
      </c>
      <c r="U12" s="32" t="n">
        <f aca="false">Source_Data!U$13</f>
        <v>0</v>
      </c>
      <c r="V12" s="32" t="n">
        <f aca="false">Source_Data!V$13</f>
        <v>0</v>
      </c>
      <c r="W12" s="32" t="n">
        <f aca="false">Source_Data!W$13</f>
        <v>0</v>
      </c>
      <c r="X12" s="32" t="n">
        <f aca="false">Source_Data!X$13</f>
        <v>0</v>
      </c>
      <c r="Y12" s="32" t="n">
        <f aca="false">Source_Data!Y$13</f>
        <v>0</v>
      </c>
      <c r="Z12" s="32" t="n">
        <f aca="false">Source_Data!Z$13</f>
        <v>0</v>
      </c>
      <c r="AA12" s="32" t="n">
        <f aca="false">Source_Data!AA$13</f>
        <v>0</v>
      </c>
      <c r="AB12" s="32" t="n">
        <f aca="false">Source_Data!AB$13</f>
        <v>0</v>
      </c>
      <c r="AC12" s="32" t="n">
        <f aca="false">Source_Data!AC$13</f>
        <v>0</v>
      </c>
      <c r="AD12" s="32" t="n">
        <f aca="false">Source_Data!AD$13</f>
        <v>0</v>
      </c>
      <c r="AE12" s="32" t="n">
        <f aca="false">Source_Data!AE$13</f>
        <v>0</v>
      </c>
      <c r="AF12" s="32" t="n">
        <f aca="false">Source_Data!AF$13</f>
        <v>0</v>
      </c>
      <c r="AG12" s="32" t="n">
        <f aca="false">Source_Data!AG$13</f>
        <v>0</v>
      </c>
      <c r="AH12" s="32" t="n">
        <f aca="false">Source_Data!AH$13</f>
        <v>0</v>
      </c>
      <c r="AI12" s="32" t="n">
        <f aca="false">Source_Data!AI$13</f>
        <v>0</v>
      </c>
      <c r="AJ12" s="32" t="n">
        <f aca="false">Source_Data!AJ$13</f>
        <v>0</v>
      </c>
      <c r="AK12" s="32" t="n">
        <f aca="false">Source_Data!AK$13</f>
        <v>0</v>
      </c>
      <c r="AL12" s="32" t="n">
        <f aca="false">Source_Data!AL$13</f>
        <v>0</v>
      </c>
      <c r="AM12" s="32" t="n">
        <f aca="false">Source_Data!AM$13</f>
        <v>0</v>
      </c>
      <c r="AN12" s="32" t="n">
        <f aca="false">Source_Data!AN$13</f>
        <v>0</v>
      </c>
      <c r="AO12" s="32" t="n">
        <f aca="false">Source_Data!AO$13</f>
        <v>0</v>
      </c>
      <c r="AP12" s="32" t="n">
        <f aca="false">Source_Data!AP$13</f>
        <v>0</v>
      </c>
      <c r="AQ12" s="32" t="n">
        <f aca="false">Source_Data!AQ$13</f>
        <v>0</v>
      </c>
      <c r="AR12" s="32" t="n">
        <f aca="false">Source_Data!AR$13</f>
        <v>0</v>
      </c>
      <c r="AS12" s="32" t="n">
        <f aca="false">Source_Data!AS$13</f>
        <v>0</v>
      </c>
      <c r="AT12" s="32" t="n">
        <f aca="false">Source_Data!AT$13</f>
        <v>0</v>
      </c>
      <c r="AU12" s="32" t="n">
        <f aca="false">Source_Data!AU$13</f>
        <v>0</v>
      </c>
      <c r="AV12" s="32" t="n">
        <f aca="false">Source_Data!AV$13</f>
        <v>0</v>
      </c>
      <c r="AW12" s="32" t="n">
        <f aca="false">Source_Data!AW$13</f>
        <v>0</v>
      </c>
      <c r="AX12" s="32" t="n">
        <f aca="false">Source_Data!AX$13</f>
        <v>0</v>
      </c>
      <c r="AY12" s="32" t="n">
        <f aca="false">Source_Data!AY$13</f>
        <v>0</v>
      </c>
      <c r="AZ12" s="32" t="n">
        <f aca="false">Source_Data!AZ$13</f>
        <v>0</v>
      </c>
      <c r="BA12" s="32" t="n">
        <f aca="false">Source_Data!BA$13</f>
        <v>0</v>
      </c>
      <c r="BB12" s="32" t="n">
        <f aca="false">Source_Data!BB$13</f>
        <v>0</v>
      </c>
      <c r="BC12" s="32" t="n">
        <f aca="false">Source_Data!BC$13</f>
        <v>0</v>
      </c>
      <c r="BD12" s="32" t="n">
        <f aca="false">Source_Data!BD$13</f>
        <v>0</v>
      </c>
      <c r="BE12" s="32" t="n">
        <f aca="false">Source_Data!BE$13</f>
        <v>0</v>
      </c>
      <c r="BF12" s="32" t="n">
        <f aca="false">Source_Data!BF$13</f>
        <v>0</v>
      </c>
      <c r="BG12" s="32" t="n">
        <f aca="false">Source_Data!BG$13</f>
        <v>0</v>
      </c>
      <c r="BH12" s="32" t="n">
        <f aca="false">Source_Data!BH$13</f>
        <v>0</v>
      </c>
      <c r="BI12" s="32" t="n">
        <f aca="false">Source_Data!BI$13</f>
        <v>0</v>
      </c>
      <c r="BJ12" s="32" t="n">
        <f aca="false">Source_Data!BJ$13</f>
        <v>0</v>
      </c>
      <c r="BK12" s="32" t="n">
        <f aca="false">Source_Data!BK$13</f>
        <v>0</v>
      </c>
    </row>
    <row r="13" customFormat="false" ht="15" hidden="false" customHeight="false" outlineLevel="0" collapsed="false">
      <c r="A13" s="2" t="s">
        <v>216</v>
      </c>
      <c r="C13" s="28" t="n">
        <f aca="false">SUM(D13:BK13)</f>
        <v>375.4475275</v>
      </c>
      <c r="D13" s="33" t="n">
        <f aca="false">D8-D9-D10-D11-D12</f>
        <v>-91.25</v>
      </c>
      <c r="E13" s="33" t="n">
        <f aca="false">E8-E9-E10-E11-E12</f>
        <v>-11.25</v>
      </c>
      <c r="F13" s="33" t="n">
        <f aca="false">F8-F9-F10-F11-F12</f>
        <v>3.8892375</v>
      </c>
      <c r="G13" s="33" t="n">
        <f aca="false">G8-G9-G10-G11-G12</f>
        <v>19.028475</v>
      </c>
      <c r="H13" s="33" t="n">
        <f aca="false">H8-H9-H10-H11-H12</f>
        <v>1.01200625</v>
      </c>
      <c r="I13" s="33" t="n">
        <f aca="false">I8-I9-I10-I11-I12</f>
        <v>9.8855375</v>
      </c>
      <c r="J13" s="33" t="n">
        <f aca="false">J8-J9-J10-J11-J12</f>
        <v>-18.24569</v>
      </c>
      <c r="K13" s="33" t="n">
        <f aca="false">K8-K9-K10-K11-K12</f>
        <v>-1.49783062499999</v>
      </c>
      <c r="L13" s="33" t="n">
        <f aca="false">L8-L9-L10-L11-L12</f>
        <v>6.69758843750001</v>
      </c>
      <c r="M13" s="33" t="n">
        <f aca="false">M8-M9-M10-M11-M12</f>
        <v>421.6225775</v>
      </c>
      <c r="N13" s="33" t="n">
        <f aca="false">N8-N9-N10-N11-N12</f>
        <v>138.76674</v>
      </c>
      <c r="O13" s="33" t="n">
        <f aca="false">O8-O9-O10-O11-O12</f>
        <v>129.72299</v>
      </c>
      <c r="P13" s="33" t="n">
        <f aca="false">P8-P9-P10-P11-P12</f>
        <v>-93.38729</v>
      </c>
      <c r="Q13" s="33" t="n">
        <f aca="false">Q8-Q9-Q10-Q11-Q12</f>
        <v>-120.95083125</v>
      </c>
      <c r="R13" s="33" t="n">
        <f aca="false">R8-R9-R10-R11-R12</f>
        <v>-171.55083125</v>
      </c>
      <c r="S13" s="33" t="n">
        <f aca="false">S8-S9-S10-S11-S12</f>
        <v>-118.169164375</v>
      </c>
      <c r="T13" s="33" t="n">
        <f aca="false">T8-T9-T10-T11-T12</f>
        <v>16.2266396875</v>
      </c>
      <c r="U13" s="33" t="n">
        <f aca="false">U8-U9-U10-U11-U12</f>
        <v>14.7127159375</v>
      </c>
      <c r="V13" s="33" t="n">
        <f aca="false">V8-V9-V10-V11-V12</f>
        <v>8.7239446875</v>
      </c>
      <c r="W13" s="33" t="n">
        <f aca="false">W8-W9-W10-W11-W12</f>
        <v>4.3829446875</v>
      </c>
      <c r="X13" s="33" t="n">
        <f aca="false">X8-X9-X10-X11-X12</f>
        <v>26.8829446875</v>
      </c>
      <c r="Y13" s="33" t="n">
        <f aca="false">Y8-Y9-Y10-Y11-Y12</f>
        <v>19.6027259375</v>
      </c>
      <c r="Z13" s="33" t="n">
        <f aca="false">Z8-Z9-Z10-Z11-Z12</f>
        <v>19.6027259375</v>
      </c>
      <c r="AA13" s="33" t="n">
        <f aca="false">AA8-AA9-AA10-AA11-AA12</f>
        <v>19.6027259375</v>
      </c>
      <c r="AB13" s="33" t="n">
        <f aca="false">AB8-AB9-AB10-AB11-AB12</f>
        <v>36.3147259375</v>
      </c>
      <c r="AC13" s="33" t="n">
        <f aca="false">AC8-AC9-AC10-AC11-AC12</f>
        <v>33.0386275</v>
      </c>
      <c r="AD13" s="33" t="n">
        <f aca="false">AD8-AD9-AD10-AD11-AD12</f>
        <v>29.43017125</v>
      </c>
      <c r="AE13" s="33" t="n">
        <f aca="false">AE8-AE9-AE10-AE11-AE12</f>
        <v>25.08917125</v>
      </c>
      <c r="AF13" s="33" t="n">
        <f aca="false">AF8-AF9-AF10-AF11-AF12</f>
        <v>-82.6690391015625</v>
      </c>
      <c r="AG13" s="33" t="n">
        <f aca="false">AG8-AG9-AG10-AG11-AG12</f>
        <v>14.112658828125</v>
      </c>
      <c r="AH13" s="33" t="n">
        <f aca="false">AH8-AH9-AH10-AH11-AH12</f>
        <v>14.112658828125</v>
      </c>
      <c r="AI13" s="33" t="n">
        <f aca="false">AI8-AI9-AI10-AI11-AI12</f>
        <v>14.112658828125</v>
      </c>
      <c r="AJ13" s="33" t="n">
        <f aca="false">AJ8-AJ9-AJ10-AJ11-AJ12</f>
        <v>14.112658828125</v>
      </c>
      <c r="AK13" s="33" t="n">
        <f aca="false">AK8-AK9-AK10-AK11-AK12</f>
        <v>12.8841219140625</v>
      </c>
      <c r="AL13" s="33" t="n">
        <f aca="false">AL8-AL9-AL10-AL11-AL12</f>
        <v>12.8841219140625</v>
      </c>
      <c r="AM13" s="33" t="n">
        <f aca="false">AM8-AM9-AM10-AM11-AM12</f>
        <v>10.5409993359375</v>
      </c>
      <c r="AN13" s="33" t="n">
        <f aca="false">AN8-AN9-AN10-AN11-AN12</f>
        <v>5.41471921875001</v>
      </c>
      <c r="AO13" s="33" t="n">
        <f aca="false">AO8-AO9-AO10-AO11-AO12</f>
        <v>2.00839078125</v>
      </c>
      <c r="AP13" s="33" t="n">
        <f aca="false">AP8-AP9-AP10-AP11-AP12</f>
        <v>0</v>
      </c>
      <c r="AQ13" s="33" t="n">
        <f aca="false">AQ8-AQ9-AQ10-AQ11-AQ12</f>
        <v>0</v>
      </c>
      <c r="AR13" s="33" t="n">
        <f aca="false">AR8-AR9-AR10-AR11-AR12</f>
        <v>0</v>
      </c>
      <c r="AS13" s="33" t="n">
        <f aca="false">AS8-AS9-AS10-AS11-AS12</f>
        <v>0</v>
      </c>
      <c r="AT13" s="33" t="n">
        <f aca="false">AT8-AT9-AT10-AT11-AT12</f>
        <v>0</v>
      </c>
      <c r="AU13" s="33" t="n">
        <f aca="false">AU8-AU9-AU10-AU11-AU12</f>
        <v>0</v>
      </c>
      <c r="AV13" s="33" t="n">
        <f aca="false">AV8-AV9-AV10-AV11-AV12</f>
        <v>0</v>
      </c>
      <c r="AW13" s="33" t="n">
        <f aca="false">AW8-AW9-AW10-AW11-AW12</f>
        <v>0</v>
      </c>
      <c r="AX13" s="33" t="n">
        <f aca="false">AX8-AX9-AX10-AX11-AX12</f>
        <v>0</v>
      </c>
      <c r="AY13" s="33" t="n">
        <f aca="false">AY8-AY9-AY10-AY11-AY12</f>
        <v>0</v>
      </c>
      <c r="AZ13" s="33" t="n">
        <f aca="false">AZ8-AZ9-AZ10-AZ11-AZ12</f>
        <v>0</v>
      </c>
      <c r="BA13" s="33" t="n">
        <f aca="false">BA8-BA9-BA10-BA11-BA12</f>
        <v>0</v>
      </c>
      <c r="BB13" s="33" t="n">
        <f aca="false">BB8-BB9-BB10-BB11-BB12</f>
        <v>0</v>
      </c>
      <c r="BC13" s="33" t="n">
        <f aca="false">BC8-BC9-BC10-BC11-BC12</f>
        <v>0</v>
      </c>
      <c r="BD13" s="33" t="n">
        <f aca="false">BD8-BD9-BD10-BD11-BD12</f>
        <v>0</v>
      </c>
      <c r="BE13" s="33" t="n">
        <f aca="false">BE8-BE9-BE10-BE11-BE12</f>
        <v>0</v>
      </c>
      <c r="BF13" s="33" t="n">
        <f aca="false">BF8-BF9-BF10-BF11-BF12</f>
        <v>0</v>
      </c>
      <c r="BG13" s="33" t="n">
        <f aca="false">BG8-BG9-BG10-BG11-BG12</f>
        <v>0</v>
      </c>
      <c r="BH13" s="33" t="n">
        <f aca="false">BH8-BH9-BH10-BH11-BH12</f>
        <v>0</v>
      </c>
      <c r="BI13" s="33" t="n">
        <f aca="false">BI8-BI9-BI10-BI11-BI12</f>
        <v>0</v>
      </c>
      <c r="BJ13" s="33" t="n">
        <f aca="false">BJ8-BJ9-BJ10-BJ11-BJ12</f>
        <v>0</v>
      </c>
      <c r="BK13" s="33" t="n">
        <f aca="false">BK8-BK9-BK10-BK11-BK12</f>
        <v>0</v>
      </c>
    </row>
    <row r="14" customFormat="false" ht="15" hidden="false" customHeight="false" outlineLevel="0" collapsed="false">
      <c r="A14" s="2" t="s">
        <v>217</v>
      </c>
      <c r="D14" s="33" t="n">
        <f aca="false">D13</f>
        <v>-91.25</v>
      </c>
      <c r="E14" s="33" t="n">
        <f aca="false">D14+E13</f>
        <v>-102.5</v>
      </c>
      <c r="F14" s="33" t="n">
        <f aca="false">E14+F13</f>
        <v>-98.6107625</v>
      </c>
      <c r="G14" s="33" t="n">
        <f aca="false">F14+G13</f>
        <v>-79.5822875</v>
      </c>
      <c r="H14" s="33" t="n">
        <f aca="false">G14+H13</f>
        <v>-78.57028125</v>
      </c>
      <c r="I14" s="33" t="n">
        <f aca="false">H14+I13</f>
        <v>-68.68474375</v>
      </c>
      <c r="J14" s="33" t="n">
        <f aca="false">I14+J13</f>
        <v>-86.93043375</v>
      </c>
      <c r="K14" s="33" t="n">
        <f aca="false">J14+K13</f>
        <v>-88.428264375</v>
      </c>
      <c r="L14" s="33" t="n">
        <f aca="false">K14+L13</f>
        <v>-81.7306759375</v>
      </c>
      <c r="M14" s="33" t="n">
        <f aca="false">L14+M13</f>
        <v>339.8919015625</v>
      </c>
      <c r="N14" s="33" t="n">
        <f aca="false">M14+N13</f>
        <v>478.6586415625</v>
      </c>
      <c r="O14" s="33" t="n">
        <f aca="false">N14+O13</f>
        <v>608.3816315625</v>
      </c>
      <c r="P14" s="33" t="n">
        <f aca="false">O14+P13</f>
        <v>514.9943415625</v>
      </c>
      <c r="Q14" s="33" t="n">
        <f aca="false">P14+Q13</f>
        <v>394.0435103125</v>
      </c>
      <c r="R14" s="33" t="n">
        <f aca="false">Q14+R13</f>
        <v>222.4926790625</v>
      </c>
      <c r="S14" s="33" t="n">
        <f aca="false">R14+S13</f>
        <v>104.3235146875</v>
      </c>
      <c r="T14" s="33" t="n">
        <f aca="false">S14+T13</f>
        <v>120.550154375</v>
      </c>
      <c r="U14" s="33" t="n">
        <f aca="false">T14+U13</f>
        <v>135.2628703125</v>
      </c>
      <c r="V14" s="33" t="n">
        <f aca="false">U14+V13</f>
        <v>143.986815</v>
      </c>
      <c r="W14" s="33" t="n">
        <f aca="false">V14+W13</f>
        <v>148.3697596875</v>
      </c>
      <c r="X14" s="33" t="n">
        <f aca="false">W14+X13</f>
        <v>175.252704375</v>
      </c>
      <c r="Y14" s="33" t="n">
        <f aca="false">X14+Y13</f>
        <v>194.8554303125</v>
      </c>
      <c r="Z14" s="33" t="n">
        <f aca="false">Y14+Z13</f>
        <v>214.45815625</v>
      </c>
      <c r="AA14" s="33" t="n">
        <f aca="false">Z14+AA13</f>
        <v>234.0608821875</v>
      </c>
      <c r="AB14" s="33" t="n">
        <f aca="false">AA14+AB13</f>
        <v>270.375608125</v>
      </c>
      <c r="AC14" s="33" t="n">
        <f aca="false">AB14+AC13</f>
        <v>303.414235625</v>
      </c>
      <c r="AD14" s="33" t="n">
        <f aca="false">AC14+AD13</f>
        <v>332.844406875</v>
      </c>
      <c r="AE14" s="33" t="n">
        <f aca="false">AD14+AE13</f>
        <v>357.933578125</v>
      </c>
      <c r="AF14" s="33" t="n">
        <f aca="false">AE14+AF13</f>
        <v>275.264539023437</v>
      </c>
      <c r="AG14" s="33" t="n">
        <f aca="false">AF14+AG13</f>
        <v>289.377197851562</v>
      </c>
      <c r="AH14" s="33" t="n">
        <f aca="false">AG14+AH13</f>
        <v>303.489856679688</v>
      </c>
      <c r="AI14" s="33" t="n">
        <f aca="false">AH14+AI13</f>
        <v>317.602515507813</v>
      </c>
      <c r="AJ14" s="33" t="n">
        <f aca="false">AI14+AJ13</f>
        <v>331.715174335938</v>
      </c>
      <c r="AK14" s="33" t="n">
        <f aca="false">AJ14+AK13</f>
        <v>344.59929625</v>
      </c>
      <c r="AL14" s="33" t="n">
        <f aca="false">AK14+AL13</f>
        <v>357.483418164063</v>
      </c>
      <c r="AM14" s="33" t="n">
        <f aca="false">AL14+AM13</f>
        <v>368.0244175</v>
      </c>
      <c r="AN14" s="33" t="n">
        <f aca="false">AM14+AN13</f>
        <v>373.43913671875</v>
      </c>
      <c r="AO14" s="33" t="n">
        <f aca="false">AN14+AO13</f>
        <v>375.4475275</v>
      </c>
      <c r="AP14" s="33" t="n">
        <f aca="false">AO14+AP13</f>
        <v>375.4475275</v>
      </c>
      <c r="AQ14" s="33" t="n">
        <f aca="false">AP14+AQ13</f>
        <v>375.4475275</v>
      </c>
      <c r="AR14" s="33" t="n">
        <f aca="false">AQ14+AR13</f>
        <v>375.4475275</v>
      </c>
      <c r="AS14" s="33" t="n">
        <f aca="false">AR14+AS13</f>
        <v>375.4475275</v>
      </c>
      <c r="AT14" s="33" t="n">
        <f aca="false">AS14+AT13</f>
        <v>375.4475275</v>
      </c>
      <c r="AU14" s="33" t="n">
        <f aca="false">AT14+AU13</f>
        <v>375.4475275</v>
      </c>
      <c r="AV14" s="33" t="n">
        <f aca="false">AU14+AV13</f>
        <v>375.4475275</v>
      </c>
      <c r="AW14" s="33" t="n">
        <f aca="false">AV14+AW13</f>
        <v>375.4475275</v>
      </c>
      <c r="AX14" s="33" t="n">
        <f aca="false">AW14+AX13</f>
        <v>375.4475275</v>
      </c>
      <c r="AY14" s="33" t="n">
        <f aca="false">AX14+AY13</f>
        <v>375.4475275</v>
      </c>
      <c r="AZ14" s="33" t="n">
        <f aca="false">AY14+AZ13</f>
        <v>375.4475275</v>
      </c>
      <c r="BA14" s="33" t="n">
        <f aca="false">AZ14+BA13</f>
        <v>375.4475275</v>
      </c>
      <c r="BB14" s="33" t="n">
        <f aca="false">BA14+BB13</f>
        <v>375.4475275</v>
      </c>
      <c r="BC14" s="33" t="n">
        <f aca="false">BB14+BC13</f>
        <v>375.4475275</v>
      </c>
      <c r="BD14" s="33" t="n">
        <f aca="false">BC14+BD13</f>
        <v>375.4475275</v>
      </c>
      <c r="BE14" s="33" t="n">
        <f aca="false">BD14+BE13</f>
        <v>375.4475275</v>
      </c>
      <c r="BF14" s="33" t="n">
        <f aca="false">BE14+BF13</f>
        <v>375.4475275</v>
      </c>
      <c r="BG14" s="33" t="n">
        <f aca="false">BF14+BG13</f>
        <v>375.4475275</v>
      </c>
      <c r="BH14" s="33" t="n">
        <f aca="false">BG14+BH13</f>
        <v>375.4475275</v>
      </c>
      <c r="BI14" s="33" t="n">
        <f aca="false">BH14+BI13</f>
        <v>375.4475275</v>
      </c>
      <c r="BJ14" s="33" t="n">
        <f aca="false">BI14+BJ13</f>
        <v>375.4475275</v>
      </c>
      <c r="BK14" s="33" t="n">
        <f aca="false">BJ14+BK13</f>
        <v>375.4475275</v>
      </c>
    </row>
    <row r="15" customFormat="false" ht="15" hidden="false" customHeight="false" outlineLevel="0" collapsed="false">
      <c r="A15" s="3" t="s">
        <v>218</v>
      </c>
      <c r="D15" s="22" t="n">
        <f aca="false">1/(1+Inputs!$B$14)^D7</f>
        <v>0.967773636539916</v>
      </c>
      <c r="E15" s="22" t="n">
        <f aca="false">1/(1+Inputs!$B$14)^E7</f>
        <v>0.936585811581694</v>
      </c>
      <c r="F15" s="22" t="n">
        <f aca="false">1/(1+Inputs!$B$14)^F7</f>
        <v>0.906403056806105</v>
      </c>
      <c r="G15" s="22" t="n">
        <f aca="false">1/(1+Inputs!$B$14)^G7</f>
        <v>0.87719298245614</v>
      </c>
      <c r="H15" s="22" t="n">
        <f aca="false">1/(1+Inputs!$B$14)^H7</f>
        <v>0.848924242578874</v>
      </c>
      <c r="I15" s="22" t="n">
        <f aca="false">1/(1+Inputs!$B$14)^I7</f>
        <v>0.821566501387451</v>
      </c>
      <c r="J15" s="22" t="n">
        <f aca="false">1/(1+Inputs!$B$14)^J7</f>
        <v>0.795090400707109</v>
      </c>
      <c r="K15" s="22" t="n">
        <f aca="false">1/(1+Inputs!$B$14)^K7</f>
        <v>0.769467528470298</v>
      </c>
      <c r="L15" s="22" t="n">
        <f aca="false">1/(1+Inputs!$B$14)^L7</f>
        <v>0.744670388227082</v>
      </c>
      <c r="M15" s="22" t="n">
        <f aca="false">1/(1+Inputs!$B$14)^M7</f>
        <v>0.720672369638115</v>
      </c>
      <c r="N15" s="22" t="n">
        <f aca="false">1/(1+Inputs!$B$14)^N7</f>
        <v>0.697447719918517</v>
      </c>
      <c r="O15" s="22" t="n">
        <f aca="false">1/(1+Inputs!$B$14)^O7</f>
        <v>0.674971516202016</v>
      </c>
      <c r="P15" s="22" t="n">
        <f aca="false">1/(1+Inputs!$B$14)^P7</f>
        <v>0.653219638795686</v>
      </c>
      <c r="Q15" s="22" t="n">
        <f aca="false">1/(1+Inputs!$B$14)^Q7</f>
        <v>0.632168745296592</v>
      </c>
      <c r="R15" s="22" t="n">
        <f aca="false">1/(1+Inputs!$B$14)^R7</f>
        <v>0.611796245542559</v>
      </c>
      <c r="S15" s="22" t="n">
        <f aca="false">1/(1+Inputs!$B$14)^S7</f>
        <v>0.592080277370189</v>
      </c>
      <c r="T15" s="22" t="n">
        <f aca="false">1/(1+Inputs!$B$14)^T7</f>
        <v>0.572999683154111</v>
      </c>
      <c r="U15" s="22" t="n">
        <f aca="false">1/(1+Inputs!$B$14)^U7</f>
        <v>0.554533987102273</v>
      </c>
      <c r="V15" s="22" t="n">
        <f aca="false">1/(1+Inputs!$B$14)^V7</f>
        <v>0.536663373282946</v>
      </c>
      <c r="W15" s="22" t="n">
        <f aca="false">1/(1+Inputs!$B$14)^W7</f>
        <v>0.519368664359815</v>
      </c>
      <c r="X15" s="22" t="n">
        <f aca="false">1/(1+Inputs!$B$14)^X7</f>
        <v>0.502631301012378</v>
      </c>
      <c r="Y15" s="22" t="n">
        <f aca="false">1/(1+Inputs!$B$14)^Y7</f>
        <v>0.486433322019538</v>
      </c>
      <c r="Z15" s="22" t="n">
        <f aca="false">1/(1+Inputs!$B$14)^Z7</f>
        <v>0.47075734498504</v>
      </c>
      <c r="AA15" s="22" t="n">
        <f aca="false">1/(1+Inputs!$B$14)^AA7</f>
        <v>0.455586547684048</v>
      </c>
      <c r="AB15" s="22" t="n">
        <f aca="false">1/(1+Inputs!$B$14)^AB7</f>
        <v>0.440904650010858</v>
      </c>
      <c r="AC15" s="22" t="n">
        <f aca="false">1/(1+Inputs!$B$14)^AC7</f>
        <v>0.426695896508367</v>
      </c>
      <c r="AD15" s="22" t="n">
        <f aca="false">1/(1+Inputs!$B$14)^AD7</f>
        <v>0.412945039460562</v>
      </c>
      <c r="AE15" s="22" t="n">
        <f aca="false">1/(1+Inputs!$B$14)^AE7</f>
        <v>0.399637322529867</v>
      </c>
      <c r="AF15" s="22" t="n">
        <f aca="false">1/(1+Inputs!$B$14)^AF7</f>
        <v>0.386758464921805</v>
      </c>
      <c r="AG15" s="22" t="n">
        <f aca="false">1/(1+Inputs!$B$14)^AG7</f>
        <v>0.374294646059971</v>
      </c>
      <c r="AH15" s="22" t="n">
        <f aca="false">1/(1+Inputs!$B$14)^AH7</f>
        <v>0.362232490754879</v>
      </c>
      <c r="AI15" s="22" t="n">
        <f aca="false">1/(1+Inputs!$B$14)^AI7</f>
        <v>0.350559054850761</v>
      </c>
      <c r="AJ15" s="22" t="n">
        <f aca="false">1/(1+Inputs!$B$14)^AJ7</f>
        <v>0.339261811334916</v>
      </c>
      <c r="AK15" s="22" t="n">
        <f aca="false">1/(1+Inputs!$B$14)^AK7</f>
        <v>0.328328636894711</v>
      </c>
      <c r="AL15" s="22" t="n">
        <f aca="false">1/(1+Inputs!$B$14)^AL7</f>
        <v>0.317747798907788</v>
      </c>
      <c r="AM15" s="22" t="n">
        <f aca="false">1/(1+Inputs!$B$14)^AM7</f>
        <v>0.307507942851544</v>
      </c>
      <c r="AN15" s="22" t="n">
        <f aca="false">1/(1+Inputs!$B$14)^AN7</f>
        <v>0.297598080118348</v>
      </c>
      <c r="AO15" s="22" t="n">
        <f aca="false">1/(1+Inputs!$B$14)^AO7</f>
        <v>0.288007576223431</v>
      </c>
      <c r="AP15" s="22" t="n">
        <f aca="false">1/(1+Inputs!$B$14)^AP7</f>
        <v>0.278726139392797</v>
      </c>
      <c r="AQ15" s="22" t="n">
        <f aca="false">1/(1+Inputs!$B$14)^AQ7</f>
        <v>0.269743809518898</v>
      </c>
      <c r="AR15" s="22" t="n">
        <f aca="false">1/(1+Inputs!$B$14)^AR7</f>
        <v>0.261050947472235</v>
      </c>
      <c r="AS15" s="22" t="n">
        <f aca="false">1/(1+Inputs!$B$14)^AS7</f>
        <v>0.252638224757395</v>
      </c>
      <c r="AT15" s="22" t="n">
        <f aca="false">1/(1+Inputs!$B$14)^AT7</f>
        <v>0.244496613502453</v>
      </c>
      <c r="AU15" s="22" t="n">
        <f aca="false">1/(1+Inputs!$B$14)^AU7</f>
        <v>0.236617376770964</v>
      </c>
      <c r="AV15" s="22" t="n">
        <f aca="false">1/(1+Inputs!$B$14)^AV7</f>
        <v>0.228992059186171</v>
      </c>
      <c r="AW15" s="22" t="n">
        <f aca="false">1/(1+Inputs!$B$14)^AW7</f>
        <v>0.221612477857364</v>
      </c>
      <c r="AX15" s="22" t="n">
        <f aca="false">1/(1+Inputs!$B$14)^AX7</f>
        <v>0.214470713598643</v>
      </c>
      <c r="AY15" s="22" t="n">
        <f aca="false">1/(1+Inputs!$B$14)^AY7</f>
        <v>0.20755910243067</v>
      </c>
      <c r="AZ15" s="22" t="n">
        <f aca="false">1/(1+Inputs!$B$14)^AZ7</f>
        <v>0.20087022735629</v>
      </c>
      <c r="BA15" s="22" t="n">
        <f aca="false">1/(1+Inputs!$B$14)^BA7</f>
        <v>0.194396910401197</v>
      </c>
      <c r="BB15" s="22" t="n">
        <f aca="false">1/(1+Inputs!$B$14)^BB7</f>
        <v>0.18813220491109</v>
      </c>
      <c r="BC15" s="22" t="n">
        <f aca="false">1/(1+Inputs!$B$14)^BC7</f>
        <v>0.182069388097079</v>
      </c>
      <c r="BD15" s="22" t="n">
        <f aca="false">1/(1+Inputs!$B$14)^BD7</f>
        <v>0.176201953821307</v>
      </c>
      <c r="BE15" s="22" t="n">
        <f aca="false">1/(1+Inputs!$B$14)^BE7</f>
        <v>0.170523605615085</v>
      </c>
      <c r="BF15" s="22" t="n">
        <f aca="false">1/(1+Inputs!$B$14)^BF7</f>
        <v>0.165028249922009</v>
      </c>
      <c r="BG15" s="22" t="n">
        <f aca="false">1/(1+Inputs!$B$14)^BG7</f>
        <v>0.159709989558841</v>
      </c>
      <c r="BH15" s="22" t="n">
        <f aca="false">1/(1+Inputs!$B$14)^BH7</f>
        <v>0.154563117387112</v>
      </c>
      <c r="BI15" s="22" t="n">
        <f aca="false">1/(1+Inputs!$B$14)^BI7</f>
        <v>0.149582110188671</v>
      </c>
      <c r="BJ15" s="22" t="n">
        <f aca="false">1/(1+Inputs!$B$14)^BJ7</f>
        <v>0.144761622738605</v>
      </c>
      <c r="BK15" s="22" t="n">
        <f aca="false">1/(1+Inputs!$B$14)^BK7</f>
        <v>0.140096482069159</v>
      </c>
    </row>
    <row r="16" customFormat="false" ht="15" hidden="false" customHeight="false" outlineLevel="0" collapsed="false">
      <c r="A16" s="3" t="s">
        <v>219</v>
      </c>
      <c r="C16" s="28" t="n">
        <f aca="false">SUM(D16:BK16)</f>
        <v>215.311392548924</v>
      </c>
      <c r="D16" s="33" t="n">
        <f aca="false">D13*D15</f>
        <v>-88.3093443342674</v>
      </c>
      <c r="E16" s="33" t="n">
        <f aca="false">E13*E15</f>
        <v>-10.5365903802941</v>
      </c>
      <c r="F16" s="33" t="n">
        <f aca="false">F13*F15</f>
        <v>3.52521675864493</v>
      </c>
      <c r="G16" s="33" t="n">
        <f aca="false">G13*G15</f>
        <v>16.6916447368421</v>
      </c>
      <c r="H16" s="33" t="n">
        <f aca="false">H13*H15</f>
        <v>0.859116639266335</v>
      </c>
      <c r="I16" s="33" t="n">
        <f aca="false">I13*I15</f>
        <v>8.12162645820945</v>
      </c>
      <c r="J16" s="33" t="n">
        <f aca="false">J13*J15</f>
        <v>-14.5069729732777</v>
      </c>
      <c r="K16" s="33" t="n">
        <f aca="false">K13*K15</f>
        <v>-1.15253202908587</v>
      </c>
      <c r="L16" s="33" t="n">
        <f aca="false">L13*L15</f>
        <v>4.98749578193835</v>
      </c>
      <c r="M16" s="33" t="n">
        <f aca="false">M13*M15</f>
        <v>303.851742019855</v>
      </c>
      <c r="N16" s="33" t="n">
        <f aca="false">N13*N15</f>
        <v>96.7825464135257</v>
      </c>
      <c r="O16" s="33" t="n">
        <f aca="false">O13*O15</f>
        <v>87.559323246559</v>
      </c>
      <c r="P16" s="33" t="n">
        <f aca="false">P13*P15</f>
        <v>-61.002411841908</v>
      </c>
      <c r="Q16" s="33" t="n">
        <f aca="false">Q13*Q15</f>
        <v>-76.4613352338923</v>
      </c>
      <c r="R16" s="33" t="n">
        <f aca="false">R13*R15</f>
        <v>-104.954154478455</v>
      </c>
      <c r="S16" s="33" t="n">
        <f aca="false">S13*S15</f>
        <v>-69.9656316197535</v>
      </c>
      <c r="T16" s="33" t="n">
        <f aca="false">T13*T15</f>
        <v>9.29785939959341</v>
      </c>
      <c r="U16" s="33" t="n">
        <f aca="false">U13*U15</f>
        <v>8.15870102992504</v>
      </c>
      <c r="V16" s="33" t="n">
        <f aca="false">V13*V15</f>
        <v>4.68182158432759</v>
      </c>
      <c r="W16" s="33" t="n">
        <f aca="false">W13*W15</f>
        <v>2.27636412830982</v>
      </c>
      <c r="X16" s="33" t="n">
        <f aca="false">X13*X15</f>
        <v>13.5122094633219</v>
      </c>
      <c r="Y16" s="33" t="n">
        <f aca="false">Y13*Y15</f>
        <v>9.53541909841668</v>
      </c>
      <c r="Z16" s="33" t="n">
        <f aca="false">Z13*Z15</f>
        <v>9.22812721680689</v>
      </c>
      <c r="AA16" s="33" t="n">
        <f aca="false">AA13*AA15</f>
        <v>8.93073823506218</v>
      </c>
      <c r="AB16" s="33" t="n">
        <f aca="false">AB13*AB15</f>
        <v>16.0113315297136</v>
      </c>
      <c r="AC16" s="33" t="n">
        <f aca="false">AC13*AC15</f>
        <v>14.0974467805185</v>
      </c>
      <c r="AD16" s="33" t="n">
        <f aca="false">AD13*AD15</f>
        <v>12.1530432281623</v>
      </c>
      <c r="AE16" s="33" t="n">
        <f aca="false">AE13*AE15</f>
        <v>10.0265692228433</v>
      </c>
      <c r="AF16" s="33" t="n">
        <f aca="false">AF13*AF15</f>
        <v>-31.972950659481</v>
      </c>
      <c r="AG16" s="33" t="n">
        <f aca="false">AG13*AG15</f>
        <v>5.28229264103817</v>
      </c>
      <c r="AH16" s="33" t="n">
        <f aca="false">AH13*AH15</f>
        <v>5.11206355848555</v>
      </c>
      <c r="AI16" s="33" t="n">
        <f aca="false">AI13*AI15</f>
        <v>4.94732034021875</v>
      </c>
      <c r="AJ16" s="33" t="n">
        <f aca="false">AJ13*AJ15</f>
        <v>4.78788619678139</v>
      </c>
      <c r="AK16" s="33" t="n">
        <f aca="false">AK13*AK15</f>
        <v>4.23022618562942</v>
      </c>
      <c r="AL16" s="33" t="n">
        <f aca="false">AL13*AL15</f>
        <v>4.09390137905296</v>
      </c>
      <c r="AM16" s="33" t="n">
        <f aca="false">AM13*AM15</f>
        <v>3.24144102139364</v>
      </c>
      <c r="AN16" s="33" t="n">
        <f aca="false">AN13*AN15</f>
        <v>1.61141004387992</v>
      </c>
      <c r="AO16" s="33" t="n">
        <f aca="false">AO13*AO15</f>
        <v>0.578431761017295</v>
      </c>
      <c r="AP16" s="33" t="n">
        <f aca="false">AP13*AP15</f>
        <v>0</v>
      </c>
      <c r="AQ16" s="33" t="n">
        <f aca="false">AQ13*AQ15</f>
        <v>0</v>
      </c>
      <c r="AR16" s="33" t="n">
        <f aca="false">AR13*AR15</f>
        <v>0</v>
      </c>
      <c r="AS16" s="33" t="n">
        <f aca="false">AS13*AS15</f>
        <v>0</v>
      </c>
      <c r="AT16" s="33" t="n">
        <f aca="false">AT13*AT15</f>
        <v>0</v>
      </c>
      <c r="AU16" s="33" t="n">
        <f aca="false">AU13*AU15</f>
        <v>0</v>
      </c>
      <c r="AV16" s="33" t="n">
        <f aca="false">AV13*AV15</f>
        <v>0</v>
      </c>
      <c r="AW16" s="33" t="n">
        <f aca="false">AW13*AW15</f>
        <v>0</v>
      </c>
      <c r="AX16" s="33" t="n">
        <f aca="false">AX13*AX15</f>
        <v>0</v>
      </c>
      <c r="AY16" s="33" t="n">
        <f aca="false">AY13*AY15</f>
        <v>0</v>
      </c>
      <c r="AZ16" s="33" t="n">
        <f aca="false">AZ13*AZ15</f>
        <v>0</v>
      </c>
      <c r="BA16" s="33" t="n">
        <f aca="false">BA13*BA15</f>
        <v>0</v>
      </c>
      <c r="BB16" s="33" t="n">
        <f aca="false">BB13*BB15</f>
        <v>0</v>
      </c>
      <c r="BC16" s="33" t="n">
        <f aca="false">BC13*BC15</f>
        <v>0</v>
      </c>
      <c r="BD16" s="33" t="n">
        <f aca="false">BD13*BD15</f>
        <v>0</v>
      </c>
      <c r="BE16" s="33" t="n">
        <f aca="false">BE13*BE15</f>
        <v>0</v>
      </c>
      <c r="BF16" s="33" t="n">
        <f aca="false">BF13*BF15</f>
        <v>0</v>
      </c>
      <c r="BG16" s="33" t="n">
        <f aca="false">BG13*BG15</f>
        <v>0</v>
      </c>
      <c r="BH16" s="33" t="n">
        <f aca="false">BH13*BH15</f>
        <v>0</v>
      </c>
      <c r="BI16" s="33" t="n">
        <f aca="false">BI13*BI15</f>
        <v>0</v>
      </c>
      <c r="BJ16" s="33" t="n">
        <f aca="false">BJ13*BJ15</f>
        <v>0</v>
      </c>
      <c r="BK16" s="33" t="n">
        <f aca="false">BK13*BK15</f>
        <v>0</v>
      </c>
    </row>
    <row r="18" customFormat="false" ht="15" hidden="false" customHeight="false" outlineLevel="0" collapsed="false">
      <c r="A18" s="2" t="s">
        <v>220</v>
      </c>
      <c r="B18" s="34" t="n">
        <f aca="false">C13</f>
        <v>375.4475275</v>
      </c>
    </row>
    <row r="19" customFormat="false" ht="15" hidden="false" customHeight="false" outlineLevel="0" collapsed="false">
      <c r="A19" s="2" t="s">
        <v>221</v>
      </c>
      <c r="B19" s="34" t="n">
        <f aca="false">C16</f>
        <v>215.311392548924</v>
      </c>
    </row>
    <row r="20" customFormat="false" ht="15" hidden="false" customHeight="false" outlineLevel="0" collapsed="false">
      <c r="A20" s="2" t="s">
        <v>162</v>
      </c>
      <c r="B20" s="34" t="n">
        <f aca="false">MIN(D14:BK14)</f>
        <v>-102.5</v>
      </c>
    </row>
    <row r="21" customFormat="false" ht="15" hidden="false" customHeight="false" outlineLevel="0" collapsed="false">
      <c r="A21" s="2" t="s">
        <v>21</v>
      </c>
      <c r="B21" s="35" t="n">
        <f aca="false">INDEX(D6:BK6,MATCH(B20,D14:BK14,0))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5" t="s">
        <v>222</v>
      </c>
    </row>
    <row r="2" customFormat="false" ht="15" hidden="false" customHeight="false" outlineLevel="0" collapsed="false">
      <c r="A2" s="6" t="s">
        <v>223</v>
      </c>
    </row>
    <row r="4" customFormat="false" ht="15" hidden="false" customHeight="false" outlineLevel="0" collapsed="false">
      <c r="A4" s="7" t="s">
        <v>224</v>
      </c>
      <c r="B4" s="7" t="s">
        <v>225</v>
      </c>
      <c r="C4" s="7" t="s">
        <v>226</v>
      </c>
    </row>
    <row r="5" customFormat="false" ht="15" hidden="false" customHeight="false" outlineLevel="0" collapsed="false">
      <c r="A5" s="3" t="s">
        <v>227</v>
      </c>
      <c r="B5" s="27" t="n">
        <f aca="false">Inputs!$B$21</f>
        <v>80</v>
      </c>
      <c r="C5" s="6" t="s">
        <v>228</v>
      </c>
    </row>
    <row r="6" customFormat="false" ht="15" hidden="false" customHeight="false" outlineLevel="0" collapsed="false">
      <c r="A6" s="3" t="s">
        <v>229</v>
      </c>
      <c r="B6" s="27" t="n">
        <f aca="false">-Project_CF!$B$20-Inputs!$B$21</f>
        <v>22.5</v>
      </c>
      <c r="C6" s="6" t="s">
        <v>230</v>
      </c>
    </row>
    <row r="7" customFormat="false" ht="15" hidden="false" customHeight="false" outlineLevel="0" collapsed="false">
      <c r="A7" s="3" t="s">
        <v>231</v>
      </c>
      <c r="B7" s="27" t="n">
        <f aca="false">Inputs!$B$24*Project_CF!$C$10*Inputs!$B$25</f>
        <v>10.4574</v>
      </c>
      <c r="C7" s="6" t="s">
        <v>232</v>
      </c>
    </row>
    <row r="8" customFormat="false" ht="15" hidden="false" customHeight="false" outlineLevel="0" collapsed="false">
      <c r="A8" s="2" t="s">
        <v>233</v>
      </c>
      <c r="B8" s="9" t="n">
        <f aca="false">SUM(B5:B7)</f>
        <v>112.9574</v>
      </c>
      <c r="C8" s="6"/>
    </row>
    <row r="11" customFormat="false" ht="15" hidden="false" customHeight="false" outlineLevel="0" collapsed="false">
      <c r="A11" s="7" t="s">
        <v>234</v>
      </c>
      <c r="B11" s="7" t="s">
        <v>225</v>
      </c>
      <c r="C11" s="7" t="s">
        <v>226</v>
      </c>
    </row>
    <row r="12" customFormat="false" ht="15" hidden="false" customHeight="false" outlineLevel="0" collapsed="false">
      <c r="A12" s="3" t="s">
        <v>88</v>
      </c>
      <c r="B12" s="27" t="n">
        <f aca="false">Inputs!$B$7</f>
        <v>100</v>
      </c>
      <c r="C12" s="6" t="s">
        <v>235</v>
      </c>
    </row>
    <row r="13" customFormat="false" ht="15" hidden="false" customHeight="false" outlineLevel="0" collapsed="false">
      <c r="A13" s="3" t="s">
        <v>236</v>
      </c>
      <c r="B13" s="27" t="n">
        <f aca="false">MAX(0,B8-B12)</f>
        <v>12.9574</v>
      </c>
      <c r="C13" s="6" t="s">
        <v>7</v>
      </c>
    </row>
    <row r="14" customFormat="false" ht="15" hidden="false" customHeight="false" outlineLevel="0" collapsed="false">
      <c r="A14" s="3" t="s">
        <v>237</v>
      </c>
      <c r="B14" s="27" t="n">
        <f aca="false">B12+B13</f>
        <v>112.9574</v>
      </c>
      <c r="C14" s="6"/>
    </row>
    <row r="15" customFormat="false" ht="15" hidden="false" customHeight="false" outlineLevel="0" collapsed="false">
      <c r="A15" s="3" t="s">
        <v>238</v>
      </c>
      <c r="B15" s="27" t="n">
        <f aca="false">MAX(0,B12-B8)</f>
        <v>0</v>
      </c>
      <c r="C15" s="6" t="s">
        <v>239</v>
      </c>
    </row>
    <row r="16" customFormat="false" ht="15" hidden="false" customHeight="false" outlineLevel="0" collapsed="false">
      <c r="A16" s="3" t="s">
        <v>240</v>
      </c>
      <c r="B16" s="36" t="n">
        <f aca="false">B12/-Project_CF!$B$20</f>
        <v>0.975609756097561</v>
      </c>
      <c r="C16" s="6"/>
    </row>
    <row r="17" customFormat="false" ht="15" hidden="false" customHeight="false" outlineLevel="0" collapsed="false">
      <c r="A17" s="3" t="s">
        <v>241</v>
      </c>
      <c r="B17" s="36" t="n">
        <f aca="false">MIN(B12,B8)/B8</f>
        <v>0.885289498518911</v>
      </c>
      <c r="C17" s="6"/>
    </row>
    <row r="18" customFormat="false" ht="15" hidden="false" customHeight="false" outlineLevel="0" collapsed="false">
      <c r="A18" s="3" t="s">
        <v>242</v>
      </c>
      <c r="B18" s="27" t="n">
        <f aca="false">MAX(0,B12+Project_CF!$B$20)</f>
        <v>0</v>
      </c>
      <c r="C18" s="6" t="s">
        <v>239</v>
      </c>
    </row>
    <row r="20" customFormat="false" ht="15" hidden="false" customHeight="false" outlineLevel="0" collapsed="false">
      <c r="A20" s="2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244</v>
      </c>
    </row>
    <row r="2" customFormat="false" ht="15" hidden="false" customHeight="false" outlineLevel="0" collapsed="false">
      <c r="A2" s="6" t="s">
        <v>245</v>
      </c>
    </row>
    <row r="4" customFormat="false" ht="15" hidden="false" customHeight="false" outlineLevel="0" collapsed="false">
      <c r="A4" s="7" t="s">
        <v>246</v>
      </c>
      <c r="B4" s="7" t="s">
        <v>13</v>
      </c>
      <c r="C4" s="7" t="s">
        <v>85</v>
      </c>
    </row>
    <row r="5" customFormat="false" ht="15" hidden="false" customHeight="false" outlineLevel="0" collapsed="false">
      <c r="A5" s="3" t="s">
        <v>247</v>
      </c>
      <c r="B5" s="27" t="n">
        <f aca="false">Inputs!$B$8*Inputs!$B$7</f>
        <v>200</v>
      </c>
      <c r="C5" s="26" t="s">
        <v>89</v>
      </c>
    </row>
    <row r="6" customFormat="false" ht="15" hidden="false" customHeight="false" outlineLevel="0" collapsed="false">
      <c r="A6" s="3" t="s">
        <v>248</v>
      </c>
      <c r="B6" s="36" t="n">
        <f aca="false">B5/Inputs!$B$55</f>
        <v>0.330267624112509</v>
      </c>
    </row>
    <row r="7" customFormat="false" ht="15" hidden="false" customHeight="false" outlineLevel="0" collapsed="false">
      <c r="A7" s="3" t="s">
        <v>249</v>
      </c>
      <c r="B7" s="27" t="n">
        <f aca="false">B5*Inputs!$B$32/Inputs!$B$55</f>
        <v>64.5161290322581</v>
      </c>
      <c r="C7" s="26" t="s">
        <v>89</v>
      </c>
    </row>
    <row r="8" customFormat="false" ht="15" hidden="false" customHeight="false" outlineLevel="0" collapsed="false">
      <c r="A8" s="3" t="s">
        <v>250</v>
      </c>
      <c r="B8" s="27" t="n">
        <f aca="false">B5*Inputs!$B$33/Inputs!$B$55</f>
        <v>135.483870967742</v>
      </c>
      <c r="C8" s="26" t="s">
        <v>89</v>
      </c>
    </row>
    <row r="9" customFormat="false" ht="15" hidden="false" customHeight="false" outlineLevel="0" collapsed="false">
      <c r="A9" s="3" t="s">
        <v>251</v>
      </c>
      <c r="B9" s="37" t="n">
        <f aca="false">B7*1000/Inputs!$B$28</f>
        <v>286.73835125448</v>
      </c>
      <c r="C9" s="26" t="s">
        <v>252</v>
      </c>
    </row>
    <row r="10" customFormat="false" ht="15" hidden="false" customHeight="false" outlineLevel="0" collapsed="false">
      <c r="A10" s="3" t="s">
        <v>253</v>
      </c>
      <c r="B10" s="37" t="n">
        <f aca="false">B8*1000/Inputs!$B$29</f>
        <v>1003.58422939068</v>
      </c>
      <c r="C10" s="26" t="s">
        <v>252</v>
      </c>
    </row>
    <row r="11" customFormat="false" ht="15" hidden="false" customHeight="false" outlineLevel="0" collapsed="false">
      <c r="A11" s="3" t="s">
        <v>254</v>
      </c>
      <c r="B11" s="27" t="n">
        <f aca="false">B5*Inputs!$B$34</f>
        <v>286.73835125448</v>
      </c>
      <c r="C11" s="26" t="s">
        <v>89</v>
      </c>
    </row>
    <row r="12" customFormat="false" ht="15" hidden="false" customHeight="false" outlineLevel="0" collapsed="false">
      <c r="A12" s="3" t="s">
        <v>255</v>
      </c>
      <c r="B12" s="27" t="n">
        <f aca="false">Inputs!$B$19*B5</f>
        <v>70</v>
      </c>
      <c r="C12" s="26" t="s">
        <v>89</v>
      </c>
    </row>
    <row r="15" customFormat="false" ht="15" hidden="false" customHeight="false" outlineLevel="0" collapsed="false">
      <c r="A15" s="7" t="s">
        <v>256</v>
      </c>
      <c r="B15" s="7" t="s">
        <v>181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 customFormat="false" ht="15" hidden="false" customHeight="false" outlineLevel="0" collapsed="false">
      <c r="A16" s="3" t="s">
        <v>184</v>
      </c>
      <c r="D16" s="30" t="n">
        <f aca="false">Source_Data!D$6</f>
        <v>3</v>
      </c>
      <c r="E16" s="30" t="n">
        <f aca="false">Source_Data!E$6</f>
        <v>6</v>
      </c>
      <c r="F16" s="30" t="n">
        <f aca="false">Source_Data!F$6</f>
        <v>9</v>
      </c>
      <c r="G16" s="30" t="n">
        <f aca="false">Source_Data!G$6</f>
        <v>12</v>
      </c>
      <c r="H16" s="30" t="n">
        <f aca="false">Source_Data!H$6</f>
        <v>15</v>
      </c>
      <c r="I16" s="30" t="n">
        <f aca="false">Source_Data!I$6</f>
        <v>18</v>
      </c>
      <c r="J16" s="30" t="n">
        <f aca="false">Source_Data!J$6</f>
        <v>21</v>
      </c>
      <c r="K16" s="30" t="n">
        <f aca="false">Source_Data!K$6</f>
        <v>24</v>
      </c>
      <c r="L16" s="30" t="n">
        <f aca="false">Source_Data!L$6</f>
        <v>27</v>
      </c>
      <c r="M16" s="30" t="n">
        <f aca="false">Source_Data!M$6</f>
        <v>30</v>
      </c>
      <c r="N16" s="30" t="n">
        <f aca="false">Source_Data!N$6</f>
        <v>33</v>
      </c>
      <c r="O16" s="30" t="n">
        <f aca="false">Source_Data!O$6</f>
        <v>36</v>
      </c>
      <c r="P16" s="30" t="n">
        <f aca="false">Source_Data!P$6</f>
        <v>39</v>
      </c>
      <c r="Q16" s="30" t="n">
        <f aca="false">Source_Data!Q$6</f>
        <v>42</v>
      </c>
      <c r="R16" s="30" t="n">
        <f aca="false">Source_Data!R$6</f>
        <v>45</v>
      </c>
      <c r="S16" s="30" t="n">
        <f aca="false">Source_Data!S$6</f>
        <v>48</v>
      </c>
      <c r="T16" s="30" t="n">
        <f aca="false">Source_Data!T$6</f>
        <v>51</v>
      </c>
      <c r="U16" s="30" t="n">
        <f aca="false">Source_Data!U$6</f>
        <v>54</v>
      </c>
      <c r="V16" s="30" t="n">
        <f aca="false">Source_Data!V$6</f>
        <v>57</v>
      </c>
      <c r="W16" s="30" t="n">
        <f aca="false">Source_Data!W$6</f>
        <v>60</v>
      </c>
      <c r="X16" s="30" t="n">
        <f aca="false">Source_Data!X$6</f>
        <v>63</v>
      </c>
      <c r="Y16" s="30" t="n">
        <f aca="false">Source_Data!Y$6</f>
        <v>66</v>
      </c>
      <c r="Z16" s="30" t="n">
        <f aca="false">Source_Data!Z$6</f>
        <v>69</v>
      </c>
      <c r="AA16" s="30" t="n">
        <f aca="false">Source_Data!AA$6</f>
        <v>72</v>
      </c>
      <c r="AB16" s="30" t="n">
        <f aca="false">Source_Data!AB$6</f>
        <v>75</v>
      </c>
      <c r="AC16" s="30" t="n">
        <f aca="false">Source_Data!AC$6</f>
        <v>78</v>
      </c>
      <c r="AD16" s="30" t="n">
        <f aca="false">Source_Data!AD$6</f>
        <v>81</v>
      </c>
      <c r="AE16" s="30" t="n">
        <f aca="false">Source_Data!AE$6</f>
        <v>84</v>
      </c>
      <c r="AF16" s="30" t="n">
        <f aca="false">Source_Data!AF$6</f>
        <v>87</v>
      </c>
      <c r="AG16" s="30" t="n">
        <f aca="false">Source_Data!AG$6</f>
        <v>90</v>
      </c>
      <c r="AH16" s="30" t="n">
        <f aca="false">Source_Data!AH$6</f>
        <v>93</v>
      </c>
      <c r="AI16" s="30" t="n">
        <f aca="false">Source_Data!AI$6</f>
        <v>96</v>
      </c>
      <c r="AJ16" s="30" t="n">
        <f aca="false">Source_Data!AJ$6</f>
        <v>99</v>
      </c>
      <c r="AK16" s="30" t="n">
        <f aca="false">Source_Data!AK$6</f>
        <v>102</v>
      </c>
      <c r="AL16" s="30" t="n">
        <f aca="false">Source_Data!AL$6</f>
        <v>105</v>
      </c>
      <c r="AM16" s="30" t="n">
        <f aca="false">Source_Data!AM$6</f>
        <v>108</v>
      </c>
      <c r="AN16" s="30" t="n">
        <f aca="false">Source_Data!AN$6</f>
        <v>111</v>
      </c>
      <c r="AO16" s="30" t="n">
        <f aca="false">Source_Data!AO$6</f>
        <v>114</v>
      </c>
      <c r="AP16" s="30" t="n">
        <f aca="false">Source_Data!AP$6</f>
        <v>117</v>
      </c>
      <c r="AQ16" s="30" t="n">
        <f aca="false">Source_Data!AQ$6</f>
        <v>120</v>
      </c>
      <c r="AR16" s="30" t="n">
        <f aca="false">Source_Data!AR$6</f>
        <v>123</v>
      </c>
      <c r="AS16" s="30" t="n">
        <f aca="false">Source_Data!AS$6</f>
        <v>126</v>
      </c>
      <c r="AT16" s="30" t="n">
        <f aca="false">Source_Data!AT$6</f>
        <v>129</v>
      </c>
      <c r="AU16" s="30" t="n">
        <f aca="false">Source_Data!AU$6</f>
        <v>132</v>
      </c>
      <c r="AV16" s="30" t="n">
        <f aca="false">Source_Data!AV$6</f>
        <v>135</v>
      </c>
      <c r="AW16" s="30" t="n">
        <f aca="false">Source_Data!AW$6</f>
        <v>138</v>
      </c>
      <c r="AX16" s="30" t="n">
        <f aca="false">Source_Data!AX$6</f>
        <v>141</v>
      </c>
      <c r="AY16" s="30" t="n">
        <f aca="false">Source_Data!AY$6</f>
        <v>144</v>
      </c>
      <c r="AZ16" s="30" t="n">
        <f aca="false">Source_Data!AZ$6</f>
        <v>147</v>
      </c>
      <c r="BA16" s="30" t="n">
        <f aca="false">Source_Data!BA$6</f>
        <v>150</v>
      </c>
      <c r="BB16" s="30" t="n">
        <f aca="false">Source_Data!BB$6</f>
        <v>153</v>
      </c>
      <c r="BC16" s="30" t="n">
        <f aca="false">Source_Data!BC$6</f>
        <v>156</v>
      </c>
      <c r="BD16" s="30" t="n">
        <f aca="false">Source_Data!BD$6</f>
        <v>159</v>
      </c>
      <c r="BE16" s="30" t="n">
        <f aca="false">Source_Data!BE$6</f>
        <v>162</v>
      </c>
      <c r="BF16" s="30" t="n">
        <f aca="false">Source_Data!BF$6</f>
        <v>165</v>
      </c>
      <c r="BG16" s="30" t="n">
        <f aca="false">Source_Data!BG$6</f>
        <v>168</v>
      </c>
      <c r="BH16" s="30" t="n">
        <f aca="false">Source_Data!BH$6</f>
        <v>171</v>
      </c>
      <c r="BI16" s="30" t="n">
        <f aca="false">Source_Data!BI$6</f>
        <v>174</v>
      </c>
      <c r="BJ16" s="30" t="n">
        <f aca="false">Source_Data!BJ$6</f>
        <v>177</v>
      </c>
      <c r="BK16" s="30" t="n">
        <f aca="false">Source_Data!BK$6</f>
        <v>180</v>
      </c>
    </row>
    <row r="17" customFormat="false" ht="15" hidden="false" customHeight="false" outlineLevel="0" collapsed="false">
      <c r="A17" s="3" t="s">
        <v>257</v>
      </c>
      <c r="B17" s="38" t="n">
        <f aca="false">SUM(D17:BK17)</f>
        <v>178.136200716846</v>
      </c>
      <c r="D17" s="33" t="n">
        <f aca="false">IF(Source_Data!D$6=Inputs!$B$12,-Inputs!$B$7,0)+IF(AND(Source_Data!D$6&gt;=Inputs!$B$13+3,Source_Data!D$6&lt;Inputs!$B$13+3+3*Inputs!$B$16,MOD(Source_Data!D$6-(Inputs!$B$13+3),3)=0),$B$5*Inputs!$B$34*(1-Inputs!$B$15)/Inputs!$B$16,0)</f>
        <v>-100</v>
      </c>
      <c r="E17" s="33" t="n">
        <f aca="false">IF(Source_Data!E$6=Inputs!$B$12,-Inputs!$B$7,0)+IF(AND(Source_Data!E$6&gt;=Inputs!$B$13+3,Source_Data!E$6&lt;Inputs!$B$13+3+3*Inputs!$B$16,MOD(Source_Data!E$6-(Inputs!$B$13+3),3)=0),$B$5*Inputs!$B$34*(1-Inputs!$B$15)/Inputs!$B$16,0)</f>
        <v>0</v>
      </c>
      <c r="F17" s="33" t="n">
        <f aca="false">IF(Source_Data!F$6=Inputs!$B$12,-Inputs!$B$7,0)+IF(AND(Source_Data!F$6&gt;=Inputs!$B$13+3,Source_Data!F$6&lt;Inputs!$B$13+3+3*Inputs!$B$16,MOD(Source_Data!F$6-(Inputs!$B$13+3),3)=0),$B$5*Inputs!$B$34*(1-Inputs!$B$15)/Inputs!$B$16,0)</f>
        <v>0</v>
      </c>
      <c r="G17" s="33" t="n">
        <f aca="false">IF(Source_Data!G$6=Inputs!$B$12,-Inputs!$B$7,0)+IF(AND(Source_Data!G$6&gt;=Inputs!$B$13+3,Source_Data!G$6&lt;Inputs!$B$13+3+3*Inputs!$B$16,MOD(Source_Data!G$6-(Inputs!$B$13+3),3)=0),$B$5*Inputs!$B$34*(1-Inputs!$B$15)/Inputs!$B$16,0)</f>
        <v>0</v>
      </c>
      <c r="H17" s="33" t="n">
        <f aca="false">IF(Source_Data!H$6=Inputs!$B$12,-Inputs!$B$7,0)+IF(AND(Source_Data!H$6&gt;=Inputs!$B$13+3,Source_Data!H$6&lt;Inputs!$B$13+3+3*Inputs!$B$16,MOD(Source_Data!H$6-(Inputs!$B$13+3),3)=0),$B$5*Inputs!$B$34*(1-Inputs!$B$15)/Inputs!$B$16,0)</f>
        <v>0</v>
      </c>
      <c r="I17" s="33" t="n">
        <f aca="false">IF(Source_Data!I$6=Inputs!$B$12,-Inputs!$B$7,0)+IF(AND(Source_Data!I$6&gt;=Inputs!$B$13+3,Source_Data!I$6&lt;Inputs!$B$13+3+3*Inputs!$B$16,MOD(Source_Data!I$6-(Inputs!$B$13+3),3)=0),$B$5*Inputs!$B$34*(1-Inputs!$B$15)/Inputs!$B$16,0)</f>
        <v>0</v>
      </c>
      <c r="J17" s="33" t="n">
        <f aca="false">IF(Source_Data!J$6=Inputs!$B$12,-Inputs!$B$7,0)+IF(AND(Source_Data!J$6&gt;=Inputs!$B$13+3,Source_Data!J$6&lt;Inputs!$B$13+3+3*Inputs!$B$16,MOD(Source_Data!J$6-(Inputs!$B$13+3),3)=0),$B$5*Inputs!$B$34*(1-Inputs!$B$15)/Inputs!$B$16,0)</f>
        <v>0</v>
      </c>
      <c r="K17" s="33" t="n">
        <f aca="false">IF(Source_Data!K$6=Inputs!$B$12,-Inputs!$B$7,0)+IF(AND(Source_Data!K$6&gt;=Inputs!$B$13+3,Source_Data!K$6&lt;Inputs!$B$13+3+3*Inputs!$B$16,MOD(Source_Data!K$6-(Inputs!$B$13+3),3)=0),$B$5*Inputs!$B$34*(1-Inputs!$B$15)/Inputs!$B$16,0)</f>
        <v>0</v>
      </c>
      <c r="L17" s="33" t="n">
        <f aca="false">IF(Source_Data!L$6=Inputs!$B$12,-Inputs!$B$7,0)+IF(AND(Source_Data!L$6&gt;=Inputs!$B$13+3,Source_Data!L$6&lt;Inputs!$B$13+3+3*Inputs!$B$16,MOD(Source_Data!L$6-(Inputs!$B$13+3),3)=0),$B$5*Inputs!$B$34*(1-Inputs!$B$15)/Inputs!$B$16,0)</f>
        <v>0</v>
      </c>
      <c r="M17" s="33" t="n">
        <f aca="false">IF(Source_Data!M$6=Inputs!$B$12,-Inputs!$B$7,0)+IF(AND(Source_Data!M$6&gt;=Inputs!$B$13+3,Source_Data!M$6&lt;Inputs!$B$13+3+3*Inputs!$B$16,MOD(Source_Data!M$6-(Inputs!$B$13+3),3)=0),$B$5*Inputs!$B$34*(1-Inputs!$B$15)/Inputs!$B$16,0)</f>
        <v>0</v>
      </c>
      <c r="N17" s="33" t="n">
        <f aca="false">IF(Source_Data!N$6=Inputs!$B$12,-Inputs!$B$7,0)+IF(AND(Source_Data!N$6&gt;=Inputs!$B$13+3,Source_Data!N$6&lt;Inputs!$B$13+3+3*Inputs!$B$16,MOD(Source_Data!N$6-(Inputs!$B$13+3),3)=0),$B$5*Inputs!$B$34*(1-Inputs!$B$15)/Inputs!$B$16,0)</f>
        <v>0</v>
      </c>
      <c r="O17" s="33" t="n">
        <f aca="false">IF(Source_Data!O$6=Inputs!$B$12,-Inputs!$B$7,0)+IF(AND(Source_Data!O$6&gt;=Inputs!$B$13+3,Source_Data!O$6&lt;Inputs!$B$13+3+3*Inputs!$B$16,MOD(Source_Data!O$6-(Inputs!$B$13+3),3)=0),$B$5*Inputs!$B$34*(1-Inputs!$B$15)/Inputs!$B$16,0)</f>
        <v>0</v>
      </c>
      <c r="P17" s="33" t="n">
        <f aca="false">IF(Source_Data!P$6=Inputs!$B$12,-Inputs!$B$7,0)+IF(AND(Source_Data!P$6&gt;=Inputs!$B$13+3,Source_Data!P$6&lt;Inputs!$B$13+3+3*Inputs!$B$16,MOD(Source_Data!P$6-(Inputs!$B$13+3),3)=0),$B$5*Inputs!$B$34*(1-Inputs!$B$15)/Inputs!$B$16,0)</f>
        <v>0</v>
      </c>
      <c r="Q17" s="33" t="n">
        <f aca="false">IF(Source_Data!Q$6=Inputs!$B$12,-Inputs!$B$7,0)+IF(AND(Source_Data!Q$6&gt;=Inputs!$B$13+3,Source_Data!Q$6&lt;Inputs!$B$13+3+3*Inputs!$B$16,MOD(Source_Data!Q$6-(Inputs!$B$13+3),3)=0),$B$5*Inputs!$B$34*(1-Inputs!$B$15)/Inputs!$B$16,0)</f>
        <v>0</v>
      </c>
      <c r="R17" s="33" t="n">
        <f aca="false">IF(Source_Data!R$6=Inputs!$B$12,-Inputs!$B$7,0)+IF(AND(Source_Data!R$6&gt;=Inputs!$B$13+3,Source_Data!R$6&lt;Inputs!$B$13+3+3*Inputs!$B$16,MOD(Source_Data!R$6-(Inputs!$B$13+3),3)=0),$B$5*Inputs!$B$34*(1-Inputs!$B$15)/Inputs!$B$16,0)</f>
        <v>0</v>
      </c>
      <c r="S17" s="33" t="n">
        <f aca="false">IF(Source_Data!S$6=Inputs!$B$12,-Inputs!$B$7,0)+IF(AND(Source_Data!S$6&gt;=Inputs!$B$13+3,Source_Data!S$6&lt;Inputs!$B$13+3+3*Inputs!$B$16,MOD(Source_Data!S$6-(Inputs!$B$13+3),3)=0),$B$5*Inputs!$B$34*(1-Inputs!$B$15)/Inputs!$B$16,0)</f>
        <v>0</v>
      </c>
      <c r="T17" s="33" t="n">
        <f aca="false">IF(Source_Data!T$6=Inputs!$B$12,-Inputs!$B$7,0)+IF(AND(Source_Data!T$6&gt;=Inputs!$B$13+3,Source_Data!T$6&lt;Inputs!$B$13+3+3*Inputs!$B$16,MOD(Source_Data!T$6-(Inputs!$B$13+3),3)=0),$B$5*Inputs!$B$34*(1-Inputs!$B$15)/Inputs!$B$16,0)</f>
        <v>69.5340501792115</v>
      </c>
      <c r="U17" s="33" t="n">
        <f aca="false">IF(Source_Data!U$6=Inputs!$B$12,-Inputs!$B$7,0)+IF(AND(Source_Data!U$6&gt;=Inputs!$B$13+3,Source_Data!U$6&lt;Inputs!$B$13+3+3*Inputs!$B$16,MOD(Source_Data!U$6-(Inputs!$B$13+3),3)=0),$B$5*Inputs!$B$34*(1-Inputs!$B$15)/Inputs!$B$16,0)</f>
        <v>69.5340501792115</v>
      </c>
      <c r="V17" s="33" t="n">
        <f aca="false">IF(Source_Data!V$6=Inputs!$B$12,-Inputs!$B$7,0)+IF(AND(Source_Data!V$6&gt;=Inputs!$B$13+3,Source_Data!V$6&lt;Inputs!$B$13+3+3*Inputs!$B$16,MOD(Source_Data!V$6-(Inputs!$B$13+3),3)=0),$B$5*Inputs!$B$34*(1-Inputs!$B$15)/Inputs!$B$16,0)</f>
        <v>69.5340501792115</v>
      </c>
      <c r="W17" s="33" t="n">
        <f aca="false">IF(Source_Data!W$6=Inputs!$B$12,-Inputs!$B$7,0)+IF(AND(Source_Data!W$6&gt;=Inputs!$B$13+3,Source_Data!W$6&lt;Inputs!$B$13+3+3*Inputs!$B$16,MOD(Source_Data!W$6-(Inputs!$B$13+3),3)=0),$B$5*Inputs!$B$34*(1-Inputs!$B$15)/Inputs!$B$16,0)</f>
        <v>69.5340501792115</v>
      </c>
      <c r="X17" s="33" t="n">
        <f aca="false">IF(Source_Data!X$6=Inputs!$B$12,-Inputs!$B$7,0)+IF(AND(Source_Data!X$6&gt;=Inputs!$B$13+3,Source_Data!X$6&lt;Inputs!$B$13+3+3*Inputs!$B$16,MOD(Source_Data!X$6-(Inputs!$B$13+3),3)=0),$B$5*Inputs!$B$34*(1-Inputs!$B$15)/Inputs!$B$16,0)</f>
        <v>0</v>
      </c>
      <c r="Y17" s="33" t="n">
        <f aca="false">IF(Source_Data!Y$6=Inputs!$B$12,-Inputs!$B$7,0)+IF(AND(Source_Data!Y$6&gt;=Inputs!$B$13+3,Source_Data!Y$6&lt;Inputs!$B$13+3+3*Inputs!$B$16,MOD(Source_Data!Y$6-(Inputs!$B$13+3),3)=0),$B$5*Inputs!$B$34*(1-Inputs!$B$15)/Inputs!$B$16,0)</f>
        <v>0</v>
      </c>
      <c r="Z17" s="33" t="n">
        <f aca="false">IF(Source_Data!Z$6=Inputs!$B$12,-Inputs!$B$7,0)+IF(AND(Source_Data!Z$6&gt;=Inputs!$B$13+3,Source_Data!Z$6&lt;Inputs!$B$13+3+3*Inputs!$B$16,MOD(Source_Data!Z$6-(Inputs!$B$13+3),3)=0),$B$5*Inputs!$B$34*(1-Inputs!$B$15)/Inputs!$B$16,0)</f>
        <v>0</v>
      </c>
      <c r="AA17" s="33" t="n">
        <f aca="false">IF(Source_Data!AA$6=Inputs!$B$12,-Inputs!$B$7,0)+IF(AND(Source_Data!AA$6&gt;=Inputs!$B$13+3,Source_Data!AA$6&lt;Inputs!$B$13+3+3*Inputs!$B$16,MOD(Source_Data!AA$6-(Inputs!$B$13+3),3)=0),$B$5*Inputs!$B$34*(1-Inputs!$B$15)/Inputs!$B$16,0)</f>
        <v>0</v>
      </c>
      <c r="AB17" s="33" t="n">
        <f aca="false">IF(Source_Data!AB$6=Inputs!$B$12,-Inputs!$B$7,0)+IF(AND(Source_Data!AB$6&gt;=Inputs!$B$13+3,Source_Data!AB$6&lt;Inputs!$B$13+3+3*Inputs!$B$16,MOD(Source_Data!AB$6-(Inputs!$B$13+3),3)=0),$B$5*Inputs!$B$34*(1-Inputs!$B$15)/Inputs!$B$16,0)</f>
        <v>0</v>
      </c>
      <c r="AC17" s="33" t="n">
        <f aca="false">IF(Source_Data!AC$6=Inputs!$B$12,-Inputs!$B$7,0)+IF(AND(Source_Data!AC$6&gt;=Inputs!$B$13+3,Source_Data!AC$6&lt;Inputs!$B$13+3+3*Inputs!$B$16,MOD(Source_Data!AC$6-(Inputs!$B$13+3),3)=0),$B$5*Inputs!$B$34*(1-Inputs!$B$15)/Inputs!$B$16,0)</f>
        <v>0</v>
      </c>
      <c r="AD17" s="33" t="n">
        <f aca="false">IF(Source_Data!AD$6=Inputs!$B$12,-Inputs!$B$7,0)+IF(AND(Source_Data!AD$6&gt;=Inputs!$B$13+3,Source_Data!AD$6&lt;Inputs!$B$13+3+3*Inputs!$B$16,MOD(Source_Data!AD$6-(Inputs!$B$13+3),3)=0),$B$5*Inputs!$B$34*(1-Inputs!$B$15)/Inputs!$B$16,0)</f>
        <v>0</v>
      </c>
      <c r="AE17" s="33" t="n">
        <f aca="false">IF(Source_Data!AE$6=Inputs!$B$12,-Inputs!$B$7,0)+IF(AND(Source_Data!AE$6&gt;=Inputs!$B$13+3,Source_Data!AE$6&lt;Inputs!$B$13+3+3*Inputs!$B$16,MOD(Source_Data!AE$6-(Inputs!$B$13+3),3)=0),$B$5*Inputs!$B$34*(1-Inputs!$B$15)/Inputs!$B$16,0)</f>
        <v>0</v>
      </c>
      <c r="AF17" s="33" t="n">
        <f aca="false">IF(Source_Data!AF$6=Inputs!$B$12,-Inputs!$B$7,0)+IF(AND(Source_Data!AF$6&gt;=Inputs!$B$13+3,Source_Data!AF$6&lt;Inputs!$B$13+3+3*Inputs!$B$16,MOD(Source_Data!AF$6-(Inputs!$B$13+3),3)=0),$B$5*Inputs!$B$34*(1-Inputs!$B$15)/Inputs!$B$16,0)</f>
        <v>0</v>
      </c>
      <c r="AG17" s="33" t="n">
        <f aca="false">IF(Source_Data!AG$6=Inputs!$B$12,-Inputs!$B$7,0)+IF(AND(Source_Data!AG$6&gt;=Inputs!$B$13+3,Source_Data!AG$6&lt;Inputs!$B$13+3+3*Inputs!$B$16,MOD(Source_Data!AG$6-(Inputs!$B$13+3),3)=0),$B$5*Inputs!$B$34*(1-Inputs!$B$15)/Inputs!$B$16,0)</f>
        <v>0</v>
      </c>
      <c r="AH17" s="33" t="n">
        <f aca="false">IF(Source_Data!AH$6=Inputs!$B$12,-Inputs!$B$7,0)+IF(AND(Source_Data!AH$6&gt;=Inputs!$B$13+3,Source_Data!AH$6&lt;Inputs!$B$13+3+3*Inputs!$B$16,MOD(Source_Data!AH$6-(Inputs!$B$13+3),3)=0),$B$5*Inputs!$B$34*(1-Inputs!$B$15)/Inputs!$B$16,0)</f>
        <v>0</v>
      </c>
      <c r="AI17" s="33" t="n">
        <f aca="false">IF(Source_Data!AI$6=Inputs!$B$12,-Inputs!$B$7,0)+IF(AND(Source_Data!AI$6&gt;=Inputs!$B$13+3,Source_Data!AI$6&lt;Inputs!$B$13+3+3*Inputs!$B$16,MOD(Source_Data!AI$6-(Inputs!$B$13+3),3)=0),$B$5*Inputs!$B$34*(1-Inputs!$B$15)/Inputs!$B$16,0)</f>
        <v>0</v>
      </c>
      <c r="AJ17" s="33" t="n">
        <f aca="false">IF(Source_Data!AJ$6=Inputs!$B$12,-Inputs!$B$7,0)+IF(AND(Source_Data!AJ$6&gt;=Inputs!$B$13+3,Source_Data!AJ$6&lt;Inputs!$B$13+3+3*Inputs!$B$16,MOD(Source_Data!AJ$6-(Inputs!$B$13+3),3)=0),$B$5*Inputs!$B$34*(1-Inputs!$B$15)/Inputs!$B$16,0)</f>
        <v>0</v>
      </c>
      <c r="AK17" s="33" t="n">
        <f aca="false">IF(Source_Data!AK$6=Inputs!$B$12,-Inputs!$B$7,0)+IF(AND(Source_Data!AK$6&gt;=Inputs!$B$13+3,Source_Data!AK$6&lt;Inputs!$B$13+3+3*Inputs!$B$16,MOD(Source_Data!AK$6-(Inputs!$B$13+3),3)=0),$B$5*Inputs!$B$34*(1-Inputs!$B$15)/Inputs!$B$16,0)</f>
        <v>0</v>
      </c>
      <c r="AL17" s="33" t="n">
        <f aca="false">IF(Source_Data!AL$6=Inputs!$B$12,-Inputs!$B$7,0)+IF(AND(Source_Data!AL$6&gt;=Inputs!$B$13+3,Source_Data!AL$6&lt;Inputs!$B$13+3+3*Inputs!$B$16,MOD(Source_Data!AL$6-(Inputs!$B$13+3),3)=0),$B$5*Inputs!$B$34*(1-Inputs!$B$15)/Inputs!$B$16,0)</f>
        <v>0</v>
      </c>
      <c r="AM17" s="33" t="n">
        <f aca="false">IF(Source_Data!AM$6=Inputs!$B$12,-Inputs!$B$7,0)+IF(AND(Source_Data!AM$6&gt;=Inputs!$B$13+3,Source_Data!AM$6&lt;Inputs!$B$13+3+3*Inputs!$B$16,MOD(Source_Data!AM$6-(Inputs!$B$13+3),3)=0),$B$5*Inputs!$B$34*(1-Inputs!$B$15)/Inputs!$B$16,0)</f>
        <v>0</v>
      </c>
      <c r="AN17" s="33" t="n">
        <f aca="false">IF(Source_Data!AN$6=Inputs!$B$12,-Inputs!$B$7,0)+IF(AND(Source_Data!AN$6&gt;=Inputs!$B$13+3,Source_Data!AN$6&lt;Inputs!$B$13+3+3*Inputs!$B$16,MOD(Source_Data!AN$6-(Inputs!$B$13+3),3)=0),$B$5*Inputs!$B$34*(1-Inputs!$B$15)/Inputs!$B$16,0)</f>
        <v>0</v>
      </c>
      <c r="AO17" s="33" t="n">
        <f aca="false">IF(Source_Data!AO$6=Inputs!$B$12,-Inputs!$B$7,0)+IF(AND(Source_Data!AO$6&gt;=Inputs!$B$13+3,Source_Data!AO$6&lt;Inputs!$B$13+3+3*Inputs!$B$16,MOD(Source_Data!AO$6-(Inputs!$B$13+3),3)=0),$B$5*Inputs!$B$34*(1-Inputs!$B$15)/Inputs!$B$16,0)</f>
        <v>0</v>
      </c>
      <c r="AP17" s="33" t="n">
        <f aca="false">IF(Source_Data!AP$6=Inputs!$B$12,-Inputs!$B$7,0)+IF(AND(Source_Data!AP$6&gt;=Inputs!$B$13+3,Source_Data!AP$6&lt;Inputs!$B$13+3+3*Inputs!$B$16,MOD(Source_Data!AP$6-(Inputs!$B$13+3),3)=0),$B$5*Inputs!$B$34*(1-Inputs!$B$15)/Inputs!$B$16,0)</f>
        <v>0</v>
      </c>
      <c r="AQ17" s="33" t="n">
        <f aca="false">IF(Source_Data!AQ$6=Inputs!$B$12,-Inputs!$B$7,0)+IF(AND(Source_Data!AQ$6&gt;=Inputs!$B$13+3,Source_Data!AQ$6&lt;Inputs!$B$13+3+3*Inputs!$B$16,MOD(Source_Data!AQ$6-(Inputs!$B$13+3),3)=0),$B$5*Inputs!$B$34*(1-Inputs!$B$15)/Inputs!$B$16,0)</f>
        <v>0</v>
      </c>
      <c r="AR17" s="33" t="n">
        <f aca="false">IF(Source_Data!AR$6=Inputs!$B$12,-Inputs!$B$7,0)+IF(AND(Source_Data!AR$6&gt;=Inputs!$B$13+3,Source_Data!AR$6&lt;Inputs!$B$13+3+3*Inputs!$B$16,MOD(Source_Data!AR$6-(Inputs!$B$13+3),3)=0),$B$5*Inputs!$B$34*(1-Inputs!$B$15)/Inputs!$B$16,0)</f>
        <v>0</v>
      </c>
      <c r="AS17" s="33" t="n">
        <f aca="false">IF(Source_Data!AS$6=Inputs!$B$12,-Inputs!$B$7,0)+IF(AND(Source_Data!AS$6&gt;=Inputs!$B$13+3,Source_Data!AS$6&lt;Inputs!$B$13+3+3*Inputs!$B$16,MOD(Source_Data!AS$6-(Inputs!$B$13+3),3)=0),$B$5*Inputs!$B$34*(1-Inputs!$B$15)/Inputs!$B$16,0)</f>
        <v>0</v>
      </c>
      <c r="AT17" s="33" t="n">
        <f aca="false">IF(Source_Data!AT$6=Inputs!$B$12,-Inputs!$B$7,0)+IF(AND(Source_Data!AT$6&gt;=Inputs!$B$13+3,Source_Data!AT$6&lt;Inputs!$B$13+3+3*Inputs!$B$16,MOD(Source_Data!AT$6-(Inputs!$B$13+3),3)=0),$B$5*Inputs!$B$34*(1-Inputs!$B$15)/Inputs!$B$16,0)</f>
        <v>0</v>
      </c>
      <c r="AU17" s="33" t="n">
        <f aca="false">IF(Source_Data!AU$6=Inputs!$B$12,-Inputs!$B$7,0)+IF(AND(Source_Data!AU$6&gt;=Inputs!$B$13+3,Source_Data!AU$6&lt;Inputs!$B$13+3+3*Inputs!$B$16,MOD(Source_Data!AU$6-(Inputs!$B$13+3),3)=0),$B$5*Inputs!$B$34*(1-Inputs!$B$15)/Inputs!$B$16,0)</f>
        <v>0</v>
      </c>
      <c r="AV17" s="33" t="n">
        <f aca="false">IF(Source_Data!AV$6=Inputs!$B$12,-Inputs!$B$7,0)+IF(AND(Source_Data!AV$6&gt;=Inputs!$B$13+3,Source_Data!AV$6&lt;Inputs!$B$13+3+3*Inputs!$B$16,MOD(Source_Data!AV$6-(Inputs!$B$13+3),3)=0),$B$5*Inputs!$B$34*(1-Inputs!$B$15)/Inputs!$B$16,0)</f>
        <v>0</v>
      </c>
      <c r="AW17" s="33" t="n">
        <f aca="false">IF(Source_Data!AW$6=Inputs!$B$12,-Inputs!$B$7,0)+IF(AND(Source_Data!AW$6&gt;=Inputs!$B$13+3,Source_Data!AW$6&lt;Inputs!$B$13+3+3*Inputs!$B$16,MOD(Source_Data!AW$6-(Inputs!$B$13+3),3)=0),$B$5*Inputs!$B$34*(1-Inputs!$B$15)/Inputs!$B$16,0)</f>
        <v>0</v>
      </c>
      <c r="AX17" s="33" t="n">
        <f aca="false">IF(Source_Data!AX$6=Inputs!$B$12,-Inputs!$B$7,0)+IF(AND(Source_Data!AX$6&gt;=Inputs!$B$13+3,Source_Data!AX$6&lt;Inputs!$B$13+3+3*Inputs!$B$16,MOD(Source_Data!AX$6-(Inputs!$B$13+3),3)=0),$B$5*Inputs!$B$34*(1-Inputs!$B$15)/Inputs!$B$16,0)</f>
        <v>0</v>
      </c>
      <c r="AY17" s="33" t="n">
        <f aca="false">IF(Source_Data!AY$6=Inputs!$B$12,-Inputs!$B$7,0)+IF(AND(Source_Data!AY$6&gt;=Inputs!$B$13+3,Source_Data!AY$6&lt;Inputs!$B$13+3+3*Inputs!$B$16,MOD(Source_Data!AY$6-(Inputs!$B$13+3),3)=0),$B$5*Inputs!$B$34*(1-Inputs!$B$15)/Inputs!$B$16,0)</f>
        <v>0</v>
      </c>
      <c r="AZ17" s="33" t="n">
        <f aca="false">IF(Source_Data!AZ$6=Inputs!$B$12,-Inputs!$B$7,0)+IF(AND(Source_Data!AZ$6&gt;=Inputs!$B$13+3,Source_Data!AZ$6&lt;Inputs!$B$13+3+3*Inputs!$B$16,MOD(Source_Data!AZ$6-(Inputs!$B$13+3),3)=0),$B$5*Inputs!$B$34*(1-Inputs!$B$15)/Inputs!$B$16,0)</f>
        <v>0</v>
      </c>
      <c r="BA17" s="33" t="n">
        <f aca="false">IF(Source_Data!BA$6=Inputs!$B$12,-Inputs!$B$7,0)+IF(AND(Source_Data!BA$6&gt;=Inputs!$B$13+3,Source_Data!BA$6&lt;Inputs!$B$13+3+3*Inputs!$B$16,MOD(Source_Data!BA$6-(Inputs!$B$13+3),3)=0),$B$5*Inputs!$B$34*(1-Inputs!$B$15)/Inputs!$B$16,0)</f>
        <v>0</v>
      </c>
      <c r="BB17" s="33" t="n">
        <f aca="false">IF(Source_Data!BB$6=Inputs!$B$12,-Inputs!$B$7,0)+IF(AND(Source_Data!BB$6&gt;=Inputs!$B$13+3,Source_Data!BB$6&lt;Inputs!$B$13+3+3*Inputs!$B$16,MOD(Source_Data!BB$6-(Inputs!$B$13+3),3)=0),$B$5*Inputs!$B$34*(1-Inputs!$B$15)/Inputs!$B$16,0)</f>
        <v>0</v>
      </c>
      <c r="BC17" s="33" t="n">
        <f aca="false">IF(Source_Data!BC$6=Inputs!$B$12,-Inputs!$B$7,0)+IF(AND(Source_Data!BC$6&gt;=Inputs!$B$13+3,Source_Data!BC$6&lt;Inputs!$B$13+3+3*Inputs!$B$16,MOD(Source_Data!BC$6-(Inputs!$B$13+3),3)=0),$B$5*Inputs!$B$34*(1-Inputs!$B$15)/Inputs!$B$16,0)</f>
        <v>0</v>
      </c>
      <c r="BD17" s="33" t="n">
        <f aca="false">IF(Source_Data!BD$6=Inputs!$B$12,-Inputs!$B$7,0)+IF(AND(Source_Data!BD$6&gt;=Inputs!$B$13+3,Source_Data!BD$6&lt;Inputs!$B$13+3+3*Inputs!$B$16,MOD(Source_Data!BD$6-(Inputs!$B$13+3),3)=0),$B$5*Inputs!$B$34*(1-Inputs!$B$15)/Inputs!$B$16,0)</f>
        <v>0</v>
      </c>
      <c r="BE17" s="33" t="n">
        <f aca="false">IF(Source_Data!BE$6=Inputs!$B$12,-Inputs!$B$7,0)+IF(AND(Source_Data!BE$6&gt;=Inputs!$B$13+3,Source_Data!BE$6&lt;Inputs!$B$13+3+3*Inputs!$B$16,MOD(Source_Data!BE$6-(Inputs!$B$13+3),3)=0),$B$5*Inputs!$B$34*(1-Inputs!$B$15)/Inputs!$B$16,0)</f>
        <v>0</v>
      </c>
      <c r="BF17" s="33" t="n">
        <f aca="false">IF(Source_Data!BF$6=Inputs!$B$12,-Inputs!$B$7,0)+IF(AND(Source_Data!BF$6&gt;=Inputs!$B$13+3,Source_Data!BF$6&lt;Inputs!$B$13+3+3*Inputs!$B$16,MOD(Source_Data!BF$6-(Inputs!$B$13+3),3)=0),$B$5*Inputs!$B$34*(1-Inputs!$B$15)/Inputs!$B$16,0)</f>
        <v>0</v>
      </c>
      <c r="BG17" s="33" t="n">
        <f aca="false">IF(Source_Data!BG$6=Inputs!$B$12,-Inputs!$B$7,0)+IF(AND(Source_Data!BG$6&gt;=Inputs!$B$13+3,Source_Data!BG$6&lt;Inputs!$B$13+3+3*Inputs!$B$16,MOD(Source_Data!BG$6-(Inputs!$B$13+3),3)=0),$B$5*Inputs!$B$34*(1-Inputs!$B$15)/Inputs!$B$16,0)</f>
        <v>0</v>
      </c>
      <c r="BH17" s="33" t="n">
        <f aca="false">IF(Source_Data!BH$6=Inputs!$B$12,-Inputs!$B$7,0)+IF(AND(Source_Data!BH$6&gt;=Inputs!$B$13+3,Source_Data!BH$6&lt;Inputs!$B$13+3+3*Inputs!$B$16,MOD(Source_Data!BH$6-(Inputs!$B$13+3),3)=0),$B$5*Inputs!$B$34*(1-Inputs!$B$15)/Inputs!$B$16,0)</f>
        <v>0</v>
      </c>
      <c r="BI17" s="33" t="n">
        <f aca="false">IF(Source_Data!BI$6=Inputs!$B$12,-Inputs!$B$7,0)+IF(AND(Source_Data!BI$6&gt;=Inputs!$B$13+3,Source_Data!BI$6&lt;Inputs!$B$13+3+3*Inputs!$B$16,MOD(Source_Data!BI$6-(Inputs!$B$13+3),3)=0),$B$5*Inputs!$B$34*(1-Inputs!$B$15)/Inputs!$B$16,0)</f>
        <v>0</v>
      </c>
      <c r="BJ17" s="33" t="n">
        <f aca="false">IF(Source_Data!BJ$6=Inputs!$B$12,-Inputs!$B$7,0)+IF(AND(Source_Data!BJ$6&gt;=Inputs!$B$13+3,Source_Data!BJ$6&lt;Inputs!$B$13+3+3*Inputs!$B$16,MOD(Source_Data!BJ$6-(Inputs!$B$13+3),3)=0),$B$5*Inputs!$B$34*(1-Inputs!$B$15)/Inputs!$B$16,0)</f>
        <v>0</v>
      </c>
      <c r="BK17" s="33" t="n">
        <f aca="false">IF(Source_Data!BK$6=Inputs!$B$12,-Inputs!$B$7,0)+IF(AND(Source_Data!BK$6&gt;=Inputs!$B$13+3,Source_Data!BK$6&lt;Inputs!$B$13+3+3*Inputs!$B$16,MOD(Source_Data!BK$6-(Inputs!$B$13+3),3)=0),$B$5*Inputs!$B$34*(1-Inputs!$B$15)/Inputs!$B$16,0)</f>
        <v>0</v>
      </c>
    </row>
    <row r="18" customFormat="false" ht="15" hidden="false" customHeight="false" outlineLevel="0" collapsed="false">
      <c r="A18" s="3" t="s">
        <v>258</v>
      </c>
      <c r="B18" s="38" t="n">
        <f aca="false">SUM(D18:BK18)</f>
        <v>100</v>
      </c>
      <c r="D18" s="33" t="n">
        <f aca="false">IF(Source_Data!D$6=Inputs!$B$12,Inputs!$B$7,0)</f>
        <v>100</v>
      </c>
      <c r="E18" s="33" t="n">
        <f aca="false">IF(Source_Data!E$6=Inputs!$B$12,Inputs!$B$7,0)</f>
        <v>0</v>
      </c>
      <c r="F18" s="33" t="n">
        <f aca="false">IF(Source_Data!F$6=Inputs!$B$12,Inputs!$B$7,0)</f>
        <v>0</v>
      </c>
      <c r="G18" s="33" t="n">
        <f aca="false">IF(Source_Data!G$6=Inputs!$B$12,Inputs!$B$7,0)</f>
        <v>0</v>
      </c>
      <c r="H18" s="33" t="n">
        <f aca="false">IF(Source_Data!H$6=Inputs!$B$12,Inputs!$B$7,0)</f>
        <v>0</v>
      </c>
      <c r="I18" s="33" t="n">
        <f aca="false">IF(Source_Data!I$6=Inputs!$B$12,Inputs!$B$7,0)</f>
        <v>0</v>
      </c>
      <c r="J18" s="33" t="n">
        <f aca="false">IF(Source_Data!J$6=Inputs!$B$12,Inputs!$B$7,0)</f>
        <v>0</v>
      </c>
      <c r="K18" s="33" t="n">
        <f aca="false">IF(Source_Data!K$6=Inputs!$B$12,Inputs!$B$7,0)</f>
        <v>0</v>
      </c>
      <c r="L18" s="33" t="n">
        <f aca="false">IF(Source_Data!L$6=Inputs!$B$12,Inputs!$B$7,0)</f>
        <v>0</v>
      </c>
      <c r="M18" s="33" t="n">
        <f aca="false">IF(Source_Data!M$6=Inputs!$B$12,Inputs!$B$7,0)</f>
        <v>0</v>
      </c>
      <c r="N18" s="33" t="n">
        <f aca="false">IF(Source_Data!N$6=Inputs!$B$12,Inputs!$B$7,0)</f>
        <v>0</v>
      </c>
      <c r="O18" s="33" t="n">
        <f aca="false">IF(Source_Data!O$6=Inputs!$B$12,Inputs!$B$7,0)</f>
        <v>0</v>
      </c>
      <c r="P18" s="33" t="n">
        <f aca="false">IF(Source_Data!P$6=Inputs!$B$12,Inputs!$B$7,0)</f>
        <v>0</v>
      </c>
      <c r="Q18" s="33" t="n">
        <f aca="false">IF(Source_Data!Q$6=Inputs!$B$12,Inputs!$B$7,0)</f>
        <v>0</v>
      </c>
      <c r="R18" s="33" t="n">
        <f aca="false">IF(Source_Data!R$6=Inputs!$B$12,Inputs!$B$7,0)</f>
        <v>0</v>
      </c>
      <c r="S18" s="33" t="n">
        <f aca="false">IF(Source_Data!S$6=Inputs!$B$12,Inputs!$B$7,0)</f>
        <v>0</v>
      </c>
      <c r="T18" s="33" t="n">
        <f aca="false">IF(Source_Data!T$6=Inputs!$B$12,Inputs!$B$7,0)</f>
        <v>0</v>
      </c>
      <c r="U18" s="33" t="n">
        <f aca="false">IF(Source_Data!U$6=Inputs!$B$12,Inputs!$B$7,0)</f>
        <v>0</v>
      </c>
      <c r="V18" s="33" t="n">
        <f aca="false">IF(Source_Data!V$6=Inputs!$B$12,Inputs!$B$7,0)</f>
        <v>0</v>
      </c>
      <c r="W18" s="33" t="n">
        <f aca="false">IF(Source_Data!W$6=Inputs!$B$12,Inputs!$B$7,0)</f>
        <v>0</v>
      </c>
      <c r="X18" s="33" t="n">
        <f aca="false">IF(Source_Data!X$6=Inputs!$B$12,Inputs!$B$7,0)</f>
        <v>0</v>
      </c>
      <c r="Y18" s="33" t="n">
        <f aca="false">IF(Source_Data!Y$6=Inputs!$B$12,Inputs!$B$7,0)</f>
        <v>0</v>
      </c>
      <c r="Z18" s="33" t="n">
        <f aca="false">IF(Source_Data!Z$6=Inputs!$B$12,Inputs!$B$7,0)</f>
        <v>0</v>
      </c>
      <c r="AA18" s="33" t="n">
        <f aca="false">IF(Source_Data!AA$6=Inputs!$B$12,Inputs!$B$7,0)</f>
        <v>0</v>
      </c>
      <c r="AB18" s="33" t="n">
        <f aca="false">IF(Source_Data!AB$6=Inputs!$B$12,Inputs!$B$7,0)</f>
        <v>0</v>
      </c>
      <c r="AC18" s="33" t="n">
        <f aca="false">IF(Source_Data!AC$6=Inputs!$B$12,Inputs!$B$7,0)</f>
        <v>0</v>
      </c>
      <c r="AD18" s="33" t="n">
        <f aca="false">IF(Source_Data!AD$6=Inputs!$B$12,Inputs!$B$7,0)</f>
        <v>0</v>
      </c>
      <c r="AE18" s="33" t="n">
        <f aca="false">IF(Source_Data!AE$6=Inputs!$B$12,Inputs!$B$7,0)</f>
        <v>0</v>
      </c>
      <c r="AF18" s="33" t="n">
        <f aca="false">IF(Source_Data!AF$6=Inputs!$B$12,Inputs!$B$7,0)</f>
        <v>0</v>
      </c>
      <c r="AG18" s="33" t="n">
        <f aca="false">IF(Source_Data!AG$6=Inputs!$B$12,Inputs!$B$7,0)</f>
        <v>0</v>
      </c>
      <c r="AH18" s="33" t="n">
        <f aca="false">IF(Source_Data!AH$6=Inputs!$B$12,Inputs!$B$7,0)</f>
        <v>0</v>
      </c>
      <c r="AI18" s="33" t="n">
        <f aca="false">IF(Source_Data!AI$6=Inputs!$B$12,Inputs!$B$7,0)</f>
        <v>0</v>
      </c>
      <c r="AJ18" s="33" t="n">
        <f aca="false">IF(Source_Data!AJ$6=Inputs!$B$12,Inputs!$B$7,0)</f>
        <v>0</v>
      </c>
      <c r="AK18" s="33" t="n">
        <f aca="false">IF(Source_Data!AK$6=Inputs!$B$12,Inputs!$B$7,0)</f>
        <v>0</v>
      </c>
      <c r="AL18" s="33" t="n">
        <f aca="false">IF(Source_Data!AL$6=Inputs!$B$12,Inputs!$B$7,0)</f>
        <v>0</v>
      </c>
      <c r="AM18" s="33" t="n">
        <f aca="false">IF(Source_Data!AM$6=Inputs!$B$12,Inputs!$B$7,0)</f>
        <v>0</v>
      </c>
      <c r="AN18" s="33" t="n">
        <f aca="false">IF(Source_Data!AN$6=Inputs!$B$12,Inputs!$B$7,0)</f>
        <v>0</v>
      </c>
      <c r="AO18" s="33" t="n">
        <f aca="false">IF(Source_Data!AO$6=Inputs!$B$12,Inputs!$B$7,0)</f>
        <v>0</v>
      </c>
      <c r="AP18" s="33" t="n">
        <f aca="false">IF(Source_Data!AP$6=Inputs!$B$12,Inputs!$B$7,0)</f>
        <v>0</v>
      </c>
      <c r="AQ18" s="33" t="n">
        <f aca="false">IF(Source_Data!AQ$6=Inputs!$B$12,Inputs!$B$7,0)</f>
        <v>0</v>
      </c>
      <c r="AR18" s="33" t="n">
        <f aca="false">IF(Source_Data!AR$6=Inputs!$B$12,Inputs!$B$7,0)</f>
        <v>0</v>
      </c>
      <c r="AS18" s="33" t="n">
        <f aca="false">IF(Source_Data!AS$6=Inputs!$B$12,Inputs!$B$7,0)</f>
        <v>0</v>
      </c>
      <c r="AT18" s="33" t="n">
        <f aca="false">IF(Source_Data!AT$6=Inputs!$B$12,Inputs!$B$7,0)</f>
        <v>0</v>
      </c>
      <c r="AU18" s="33" t="n">
        <f aca="false">IF(Source_Data!AU$6=Inputs!$B$12,Inputs!$B$7,0)</f>
        <v>0</v>
      </c>
      <c r="AV18" s="33" t="n">
        <f aca="false">IF(Source_Data!AV$6=Inputs!$B$12,Inputs!$B$7,0)</f>
        <v>0</v>
      </c>
      <c r="AW18" s="33" t="n">
        <f aca="false">IF(Source_Data!AW$6=Inputs!$B$12,Inputs!$B$7,0)</f>
        <v>0</v>
      </c>
      <c r="AX18" s="33" t="n">
        <f aca="false">IF(Source_Data!AX$6=Inputs!$B$12,Inputs!$B$7,0)</f>
        <v>0</v>
      </c>
      <c r="AY18" s="33" t="n">
        <f aca="false">IF(Source_Data!AY$6=Inputs!$B$12,Inputs!$B$7,0)</f>
        <v>0</v>
      </c>
      <c r="AZ18" s="33" t="n">
        <f aca="false">IF(Source_Data!AZ$6=Inputs!$B$12,Inputs!$B$7,0)</f>
        <v>0</v>
      </c>
      <c r="BA18" s="33" t="n">
        <f aca="false">IF(Source_Data!BA$6=Inputs!$B$12,Inputs!$B$7,0)</f>
        <v>0</v>
      </c>
      <c r="BB18" s="33" t="n">
        <f aca="false">IF(Source_Data!BB$6=Inputs!$B$12,Inputs!$B$7,0)</f>
        <v>0</v>
      </c>
      <c r="BC18" s="33" t="n">
        <f aca="false">IF(Source_Data!BC$6=Inputs!$B$12,Inputs!$B$7,0)</f>
        <v>0</v>
      </c>
      <c r="BD18" s="33" t="n">
        <f aca="false">IF(Source_Data!BD$6=Inputs!$B$12,Inputs!$B$7,0)</f>
        <v>0</v>
      </c>
      <c r="BE18" s="33" t="n">
        <f aca="false">IF(Source_Data!BE$6=Inputs!$B$12,Inputs!$B$7,0)</f>
        <v>0</v>
      </c>
      <c r="BF18" s="33" t="n">
        <f aca="false">IF(Source_Data!BF$6=Inputs!$B$12,Inputs!$B$7,0)</f>
        <v>0</v>
      </c>
      <c r="BG18" s="33" t="n">
        <f aca="false">IF(Source_Data!BG$6=Inputs!$B$12,Inputs!$B$7,0)</f>
        <v>0</v>
      </c>
      <c r="BH18" s="33" t="n">
        <f aca="false">IF(Source_Data!BH$6=Inputs!$B$12,Inputs!$B$7,0)</f>
        <v>0</v>
      </c>
      <c r="BI18" s="33" t="n">
        <f aca="false">IF(Source_Data!BI$6=Inputs!$B$12,Inputs!$B$7,0)</f>
        <v>0</v>
      </c>
      <c r="BJ18" s="33" t="n">
        <f aca="false">IF(Source_Data!BJ$6=Inputs!$B$12,Inputs!$B$7,0)</f>
        <v>0</v>
      </c>
      <c r="BK18" s="33" t="n">
        <f aca="false">IF(Source_Data!BK$6=Inputs!$B$12,Inputs!$B$7,0)</f>
        <v>0</v>
      </c>
    </row>
    <row r="19" customFormat="false" ht="15" hidden="false" customHeight="false" outlineLevel="0" collapsed="false">
      <c r="A19" s="3" t="s">
        <v>259</v>
      </c>
      <c r="B19" s="38" t="n">
        <f aca="false">SUM(D19:BK19)</f>
        <v>-200</v>
      </c>
      <c r="D19" s="33" t="n">
        <f aca="false">-$B$6*Source_Data!D$14</f>
        <v>-0</v>
      </c>
      <c r="E19" s="33" t="n">
        <f aca="false">-$B$6*Source_Data!E$14</f>
        <v>-0</v>
      </c>
      <c r="F19" s="33" t="n">
        <f aca="false">-$B$6*Source_Data!F$14</f>
        <v>-5</v>
      </c>
      <c r="G19" s="33" t="n">
        <f aca="false">-$B$6*Source_Data!G$14</f>
        <v>-10</v>
      </c>
      <c r="H19" s="33" t="n">
        <f aca="false">-$B$6*Source_Data!H$14</f>
        <v>-7.5</v>
      </c>
      <c r="I19" s="33" t="n">
        <f aca="false">-$B$6*Source_Data!I$14</f>
        <v>-5</v>
      </c>
      <c r="J19" s="33" t="n">
        <f aca="false">-$B$6*Source_Data!J$14</f>
        <v>-5</v>
      </c>
      <c r="K19" s="33" t="n">
        <f aca="false">-$B$6*Source_Data!K$14</f>
        <v>-5</v>
      </c>
      <c r="L19" s="33" t="n">
        <f aca="false">-$B$6*Source_Data!L$14</f>
        <v>-5</v>
      </c>
      <c r="M19" s="33" t="n">
        <f aca="false">-$B$6*Source_Data!M$14</f>
        <v>-45</v>
      </c>
      <c r="N19" s="33" t="n">
        <f aca="false">-$B$6*Source_Data!N$14</f>
        <v>-5</v>
      </c>
      <c r="O19" s="33" t="n">
        <f aca="false">-$B$6*Source_Data!O$14</f>
        <v>-5</v>
      </c>
      <c r="P19" s="33" t="n">
        <f aca="false">-$B$6*Source_Data!P$14</f>
        <v>-5</v>
      </c>
      <c r="Q19" s="33" t="n">
        <f aca="false">-$B$6*Source_Data!Q$14</f>
        <v>-5</v>
      </c>
      <c r="R19" s="33" t="n">
        <f aca="false">-$B$6*Source_Data!R$14</f>
        <v>-5</v>
      </c>
      <c r="S19" s="33" t="n">
        <f aca="false">-$B$6*Source_Data!S$14</f>
        <v>-5</v>
      </c>
      <c r="T19" s="33" t="n">
        <f aca="false">-$B$6*Source_Data!T$14</f>
        <v>-4.5</v>
      </c>
      <c r="U19" s="33" t="n">
        <f aca="false">-$B$6*Source_Data!U$14</f>
        <v>-4</v>
      </c>
      <c r="V19" s="33" t="n">
        <f aca="false">-$B$6*Source_Data!V$14</f>
        <v>-4</v>
      </c>
      <c r="W19" s="33" t="n">
        <f aca="false">-$B$6*Source_Data!W$14</f>
        <v>-4</v>
      </c>
      <c r="X19" s="33" t="n">
        <f aca="false">-$B$6*Source_Data!X$14</f>
        <v>-4</v>
      </c>
      <c r="Y19" s="33" t="n">
        <f aca="false">-$B$6*Source_Data!Y$14</f>
        <v>-4</v>
      </c>
      <c r="Z19" s="33" t="n">
        <f aca="false">-$B$6*Source_Data!Z$14</f>
        <v>-4</v>
      </c>
      <c r="AA19" s="33" t="n">
        <f aca="false">-$B$6*Source_Data!AA$14</f>
        <v>-4</v>
      </c>
      <c r="AB19" s="33" t="n">
        <f aca="false">-$B$6*Source_Data!AB$14</f>
        <v>-4</v>
      </c>
      <c r="AC19" s="33" t="n">
        <f aca="false">-$B$6*Source_Data!AC$14</f>
        <v>-4</v>
      </c>
      <c r="AD19" s="33" t="n">
        <f aca="false">-$B$6*Source_Data!AD$14</f>
        <v>-4</v>
      </c>
      <c r="AE19" s="33" t="n">
        <f aca="false">-$B$6*Source_Data!AE$14</f>
        <v>-4</v>
      </c>
      <c r="AF19" s="33" t="n">
        <f aca="false">-$B$6*Source_Data!AF$14</f>
        <v>-4</v>
      </c>
      <c r="AG19" s="33" t="n">
        <f aca="false">-$B$6*Source_Data!AG$14</f>
        <v>-4</v>
      </c>
      <c r="AH19" s="33" t="n">
        <f aca="false">-$B$6*Source_Data!AH$14</f>
        <v>-4</v>
      </c>
      <c r="AI19" s="33" t="n">
        <f aca="false">-$B$6*Source_Data!AI$14</f>
        <v>-4</v>
      </c>
      <c r="AJ19" s="33" t="n">
        <f aca="false">-$B$6*Source_Data!AJ$14</f>
        <v>-4</v>
      </c>
      <c r="AK19" s="33" t="n">
        <f aca="false">-$B$6*Source_Data!AK$14</f>
        <v>-4</v>
      </c>
      <c r="AL19" s="33" t="n">
        <f aca="false">-$B$6*Source_Data!AL$14</f>
        <v>-4</v>
      </c>
      <c r="AM19" s="33" t="n">
        <f aca="false">-$B$6*Source_Data!AM$14</f>
        <v>-4</v>
      </c>
      <c r="AN19" s="33" t="n">
        <f aca="false">-$B$6*Source_Data!AN$14</f>
        <v>-2</v>
      </c>
      <c r="AO19" s="33" t="n">
        <f aca="false">-$B$6*Source_Data!AO$14</f>
        <v>-0</v>
      </c>
      <c r="AP19" s="33" t="n">
        <f aca="false">-$B$6*Source_Data!AP$14</f>
        <v>-0</v>
      </c>
      <c r="AQ19" s="33" t="n">
        <f aca="false">-$B$6*Source_Data!AQ$14</f>
        <v>-0</v>
      </c>
      <c r="AR19" s="33" t="n">
        <f aca="false">-$B$6*Source_Data!AR$14</f>
        <v>-0</v>
      </c>
      <c r="AS19" s="33" t="n">
        <f aca="false">-$B$6*Source_Data!AS$14</f>
        <v>-0</v>
      </c>
      <c r="AT19" s="33" t="n">
        <f aca="false">-$B$6*Source_Data!AT$14</f>
        <v>-0</v>
      </c>
      <c r="AU19" s="33" t="n">
        <f aca="false">-$B$6*Source_Data!AU$14</f>
        <v>-0</v>
      </c>
      <c r="AV19" s="33" t="n">
        <f aca="false">-$B$6*Source_Data!AV$14</f>
        <v>-0</v>
      </c>
      <c r="AW19" s="33" t="n">
        <f aca="false">-$B$6*Source_Data!AW$14</f>
        <v>-0</v>
      </c>
      <c r="AX19" s="33" t="n">
        <f aca="false">-$B$6*Source_Data!AX$14</f>
        <v>-0</v>
      </c>
      <c r="AY19" s="33" t="n">
        <f aca="false">-$B$6*Source_Data!AY$14</f>
        <v>-0</v>
      </c>
      <c r="AZ19" s="33" t="n">
        <f aca="false">-$B$6*Source_Data!AZ$14</f>
        <v>-0</v>
      </c>
      <c r="BA19" s="33" t="n">
        <f aca="false">-$B$6*Source_Data!BA$14</f>
        <v>-0</v>
      </c>
      <c r="BB19" s="33" t="n">
        <f aca="false">-$B$6*Source_Data!BB$14</f>
        <v>-0</v>
      </c>
      <c r="BC19" s="33" t="n">
        <f aca="false">-$B$6*Source_Data!BC$14</f>
        <v>-0</v>
      </c>
      <c r="BD19" s="33" t="n">
        <f aca="false">-$B$6*Source_Data!BD$14</f>
        <v>-0</v>
      </c>
      <c r="BE19" s="33" t="n">
        <f aca="false">-$B$6*Source_Data!BE$14</f>
        <v>-0</v>
      </c>
      <c r="BF19" s="33" t="n">
        <f aca="false">-$B$6*Source_Data!BF$14</f>
        <v>-0</v>
      </c>
      <c r="BG19" s="33" t="n">
        <f aca="false">-$B$6*Source_Data!BG$14</f>
        <v>-0</v>
      </c>
      <c r="BH19" s="33" t="n">
        <f aca="false">-$B$6*Source_Data!BH$14</f>
        <v>-0</v>
      </c>
      <c r="BI19" s="33" t="n">
        <f aca="false">-$B$6*Source_Data!BI$14</f>
        <v>-0</v>
      </c>
      <c r="BJ19" s="33" t="n">
        <f aca="false">-$B$6*Source_Data!BJ$14</f>
        <v>-0</v>
      </c>
      <c r="BK19" s="33" t="n">
        <f aca="false">-$B$6*Source_Data!BK$14</f>
        <v>-0</v>
      </c>
    </row>
    <row r="20" customFormat="false" ht="15" hidden="false" customHeight="false" outlineLevel="0" collapsed="false">
      <c r="A20" s="3" t="s">
        <v>260</v>
      </c>
      <c r="B20" s="38" t="n">
        <f aca="false">SUM(D20:BK20)</f>
        <v>8</v>
      </c>
      <c r="D20" s="33" t="n">
        <f aca="false">$B$6*Source_Data!D$17*Inputs!$B$23</f>
        <v>0</v>
      </c>
      <c r="E20" s="33" t="n">
        <f aca="false">$B$6*Source_Data!E$17*Inputs!$B$23</f>
        <v>0</v>
      </c>
      <c r="F20" s="33" t="n">
        <f aca="false">$B$6*Source_Data!F$17*Inputs!$B$23</f>
        <v>0</v>
      </c>
      <c r="G20" s="33" t="n">
        <f aca="false">$B$6*Source_Data!G$17*Inputs!$B$23</f>
        <v>0</v>
      </c>
      <c r="H20" s="33" t="n">
        <f aca="false">$B$6*Source_Data!H$17*Inputs!$B$23</f>
        <v>0</v>
      </c>
      <c r="I20" s="33" t="n">
        <f aca="false">$B$6*Source_Data!I$17*Inputs!$B$23</f>
        <v>0</v>
      </c>
      <c r="J20" s="33" t="n">
        <f aca="false">$B$6*Source_Data!J$17*Inputs!$B$23</f>
        <v>4</v>
      </c>
      <c r="K20" s="33" t="n">
        <f aca="false">$B$6*Source_Data!K$17*Inputs!$B$23</f>
        <v>4</v>
      </c>
      <c r="L20" s="33" t="n">
        <f aca="false">$B$6*Source_Data!L$17*Inputs!$B$23</f>
        <v>0</v>
      </c>
      <c r="M20" s="33" t="n">
        <f aca="false">$B$6*Source_Data!M$17*Inputs!$B$23</f>
        <v>0</v>
      </c>
      <c r="N20" s="33" t="n">
        <f aca="false">$B$6*Source_Data!N$17*Inputs!$B$23</f>
        <v>0</v>
      </c>
      <c r="O20" s="33" t="n">
        <f aca="false">$B$6*Source_Data!O$17*Inputs!$B$23</f>
        <v>0</v>
      </c>
      <c r="P20" s="33" t="n">
        <f aca="false">$B$6*Source_Data!P$17*Inputs!$B$23</f>
        <v>0</v>
      </c>
      <c r="Q20" s="33" t="n">
        <f aca="false">$B$6*Source_Data!Q$17*Inputs!$B$23</f>
        <v>0</v>
      </c>
      <c r="R20" s="33" t="n">
        <f aca="false">$B$6*Source_Data!R$17*Inputs!$B$23</f>
        <v>0</v>
      </c>
      <c r="S20" s="33" t="n">
        <f aca="false">$B$6*Source_Data!S$17*Inputs!$B$23</f>
        <v>0</v>
      </c>
      <c r="T20" s="33" t="n">
        <f aca="false">$B$6*Source_Data!T$17*Inputs!$B$23</f>
        <v>0</v>
      </c>
      <c r="U20" s="33" t="n">
        <f aca="false">$B$6*Source_Data!U$17*Inputs!$B$23</f>
        <v>0</v>
      </c>
      <c r="V20" s="33" t="n">
        <f aca="false">$B$6*Source_Data!V$17*Inputs!$B$23</f>
        <v>0</v>
      </c>
      <c r="W20" s="33" t="n">
        <f aca="false">$B$6*Source_Data!W$17*Inputs!$B$23</f>
        <v>0</v>
      </c>
      <c r="X20" s="33" t="n">
        <f aca="false">$B$6*Source_Data!X$17*Inputs!$B$23</f>
        <v>0</v>
      </c>
      <c r="Y20" s="33" t="n">
        <f aca="false">$B$6*Source_Data!Y$17*Inputs!$B$23</f>
        <v>0</v>
      </c>
      <c r="Z20" s="33" t="n">
        <f aca="false">$B$6*Source_Data!Z$17*Inputs!$B$23</f>
        <v>0</v>
      </c>
      <c r="AA20" s="33" t="n">
        <f aca="false">$B$6*Source_Data!AA$17*Inputs!$B$23</f>
        <v>0</v>
      </c>
      <c r="AB20" s="33" t="n">
        <f aca="false">$B$6*Source_Data!AB$17*Inputs!$B$23</f>
        <v>0</v>
      </c>
      <c r="AC20" s="33" t="n">
        <f aca="false">$B$6*Source_Data!AC$17*Inputs!$B$23</f>
        <v>0</v>
      </c>
      <c r="AD20" s="33" t="n">
        <f aca="false">$B$6*Source_Data!AD$17*Inputs!$B$23</f>
        <v>0</v>
      </c>
      <c r="AE20" s="33" t="n">
        <f aca="false">$B$6*Source_Data!AE$17*Inputs!$B$23</f>
        <v>0</v>
      </c>
      <c r="AF20" s="33" t="n">
        <f aca="false">$B$6*Source_Data!AF$17*Inputs!$B$23</f>
        <v>0</v>
      </c>
      <c r="AG20" s="33" t="n">
        <f aca="false">$B$6*Source_Data!AG$17*Inputs!$B$23</f>
        <v>0</v>
      </c>
      <c r="AH20" s="33" t="n">
        <f aca="false">$B$6*Source_Data!AH$17*Inputs!$B$23</f>
        <v>0</v>
      </c>
      <c r="AI20" s="33" t="n">
        <f aca="false">$B$6*Source_Data!AI$17*Inputs!$B$23</f>
        <v>0</v>
      </c>
      <c r="AJ20" s="33" t="n">
        <f aca="false">$B$6*Source_Data!AJ$17*Inputs!$B$23</f>
        <v>0</v>
      </c>
      <c r="AK20" s="33" t="n">
        <f aca="false">$B$6*Source_Data!AK$17*Inputs!$B$23</f>
        <v>0</v>
      </c>
      <c r="AL20" s="33" t="n">
        <f aca="false">$B$6*Source_Data!AL$17*Inputs!$B$23</f>
        <v>0</v>
      </c>
      <c r="AM20" s="33" t="n">
        <f aca="false">$B$6*Source_Data!AM$17*Inputs!$B$23</f>
        <v>0</v>
      </c>
      <c r="AN20" s="33" t="n">
        <f aca="false">$B$6*Source_Data!AN$17*Inputs!$B$23</f>
        <v>0</v>
      </c>
      <c r="AO20" s="33" t="n">
        <f aca="false">$B$6*Source_Data!AO$17*Inputs!$B$23</f>
        <v>0</v>
      </c>
      <c r="AP20" s="33" t="n">
        <f aca="false">$B$6*Source_Data!AP$17*Inputs!$B$23</f>
        <v>0</v>
      </c>
      <c r="AQ20" s="33" t="n">
        <f aca="false">$B$6*Source_Data!AQ$17*Inputs!$B$23</f>
        <v>0</v>
      </c>
      <c r="AR20" s="33" t="n">
        <f aca="false">$B$6*Source_Data!AR$17*Inputs!$B$23</f>
        <v>0</v>
      </c>
      <c r="AS20" s="33" t="n">
        <f aca="false">$B$6*Source_Data!AS$17*Inputs!$B$23</f>
        <v>0</v>
      </c>
      <c r="AT20" s="33" t="n">
        <f aca="false">$B$6*Source_Data!AT$17*Inputs!$B$23</f>
        <v>0</v>
      </c>
      <c r="AU20" s="33" t="n">
        <f aca="false">$B$6*Source_Data!AU$17*Inputs!$B$23</f>
        <v>0</v>
      </c>
      <c r="AV20" s="33" t="n">
        <f aca="false">$B$6*Source_Data!AV$17*Inputs!$B$23</f>
        <v>0</v>
      </c>
      <c r="AW20" s="33" t="n">
        <f aca="false">$B$6*Source_Data!AW$17*Inputs!$B$23</f>
        <v>0</v>
      </c>
      <c r="AX20" s="33" t="n">
        <f aca="false">$B$6*Source_Data!AX$17*Inputs!$B$23</f>
        <v>0</v>
      </c>
      <c r="AY20" s="33" t="n">
        <f aca="false">$B$6*Source_Data!AY$17*Inputs!$B$23</f>
        <v>0</v>
      </c>
      <c r="AZ20" s="33" t="n">
        <f aca="false">$B$6*Source_Data!AZ$17*Inputs!$B$23</f>
        <v>0</v>
      </c>
      <c r="BA20" s="33" t="n">
        <f aca="false">$B$6*Source_Data!BA$17*Inputs!$B$23</f>
        <v>0</v>
      </c>
      <c r="BB20" s="33" t="n">
        <f aca="false">$B$6*Source_Data!BB$17*Inputs!$B$23</f>
        <v>0</v>
      </c>
      <c r="BC20" s="33" t="n">
        <f aca="false">$B$6*Source_Data!BC$17*Inputs!$B$23</f>
        <v>0</v>
      </c>
      <c r="BD20" s="33" t="n">
        <f aca="false">$B$6*Source_Data!BD$17*Inputs!$B$23</f>
        <v>0</v>
      </c>
      <c r="BE20" s="33" t="n">
        <f aca="false">$B$6*Source_Data!BE$17*Inputs!$B$23</f>
        <v>0</v>
      </c>
      <c r="BF20" s="33" t="n">
        <f aca="false">$B$6*Source_Data!BF$17*Inputs!$B$23</f>
        <v>0</v>
      </c>
      <c r="BG20" s="33" t="n">
        <f aca="false">$B$6*Source_Data!BG$17*Inputs!$B$23</f>
        <v>0</v>
      </c>
      <c r="BH20" s="33" t="n">
        <f aca="false">$B$6*Source_Data!BH$17*Inputs!$B$23</f>
        <v>0</v>
      </c>
      <c r="BI20" s="33" t="n">
        <f aca="false">$B$6*Source_Data!BI$17*Inputs!$B$23</f>
        <v>0</v>
      </c>
      <c r="BJ20" s="33" t="n">
        <f aca="false">$B$6*Source_Data!BJ$17*Inputs!$B$23</f>
        <v>0</v>
      </c>
      <c r="BK20" s="33" t="n">
        <f aca="false">$B$6*Source_Data!BK$17*Inputs!$B$23</f>
        <v>0</v>
      </c>
    </row>
    <row r="21" customFormat="false" ht="15" hidden="false" customHeight="false" outlineLevel="0" collapsed="false">
      <c r="A21" s="3" t="s">
        <v>261</v>
      </c>
      <c r="B21" s="38" t="n">
        <f aca="false">SUM(D21:BK21)</f>
        <v>-92</v>
      </c>
      <c r="D21" s="33" t="n">
        <f aca="false">D18+D19+D20</f>
        <v>100</v>
      </c>
      <c r="E21" s="33" t="n">
        <f aca="false">E18+E19+E20</f>
        <v>0</v>
      </c>
      <c r="F21" s="33" t="n">
        <f aca="false">F18+F19+F20</f>
        <v>-5</v>
      </c>
      <c r="G21" s="33" t="n">
        <f aca="false">G18+G19+G20</f>
        <v>-10</v>
      </c>
      <c r="H21" s="33" t="n">
        <f aca="false">H18+H19+H20</f>
        <v>-7.5</v>
      </c>
      <c r="I21" s="33" t="n">
        <f aca="false">I18+I19+I20</f>
        <v>-5</v>
      </c>
      <c r="J21" s="33" t="n">
        <f aca="false">J18+J19+J20</f>
        <v>-1</v>
      </c>
      <c r="K21" s="33" t="n">
        <f aca="false">K18+K19+K20</f>
        <v>-1</v>
      </c>
      <c r="L21" s="33" t="n">
        <f aca="false">L18+L19+L20</f>
        <v>-5</v>
      </c>
      <c r="M21" s="33" t="n">
        <f aca="false">M18+M19+M20</f>
        <v>-45</v>
      </c>
      <c r="N21" s="33" t="n">
        <f aca="false">N18+N19+N20</f>
        <v>-5</v>
      </c>
      <c r="O21" s="33" t="n">
        <f aca="false">O18+O19+O20</f>
        <v>-5</v>
      </c>
      <c r="P21" s="33" t="n">
        <f aca="false">P18+P19+P20</f>
        <v>-5</v>
      </c>
      <c r="Q21" s="33" t="n">
        <f aca="false">Q18+Q19+Q20</f>
        <v>-5</v>
      </c>
      <c r="R21" s="33" t="n">
        <f aca="false">R18+R19+R20</f>
        <v>-5</v>
      </c>
      <c r="S21" s="33" t="n">
        <f aca="false">S18+S19+S20</f>
        <v>-5</v>
      </c>
      <c r="T21" s="33" t="n">
        <f aca="false">T18+T19+T20</f>
        <v>-4.5</v>
      </c>
      <c r="U21" s="33" t="n">
        <f aca="false">U18+U19+U20</f>
        <v>-4</v>
      </c>
      <c r="V21" s="33" t="n">
        <f aca="false">V18+V19+V20</f>
        <v>-4</v>
      </c>
      <c r="W21" s="33" t="n">
        <f aca="false">W18+W19+W20</f>
        <v>-4</v>
      </c>
      <c r="X21" s="33" t="n">
        <f aca="false">X18+X19+X20</f>
        <v>-4</v>
      </c>
      <c r="Y21" s="33" t="n">
        <f aca="false">Y18+Y19+Y20</f>
        <v>-4</v>
      </c>
      <c r="Z21" s="33" t="n">
        <f aca="false">Z18+Z19+Z20</f>
        <v>-4</v>
      </c>
      <c r="AA21" s="33" t="n">
        <f aca="false">AA18+AA19+AA20</f>
        <v>-4</v>
      </c>
      <c r="AB21" s="33" t="n">
        <f aca="false">AB18+AB19+AB20</f>
        <v>-4</v>
      </c>
      <c r="AC21" s="33" t="n">
        <f aca="false">AC18+AC19+AC20</f>
        <v>-4</v>
      </c>
      <c r="AD21" s="33" t="n">
        <f aca="false">AD18+AD19+AD20</f>
        <v>-4</v>
      </c>
      <c r="AE21" s="33" t="n">
        <f aca="false">AE18+AE19+AE20</f>
        <v>-4</v>
      </c>
      <c r="AF21" s="33" t="n">
        <f aca="false">AF18+AF19+AF20</f>
        <v>-4</v>
      </c>
      <c r="AG21" s="33" t="n">
        <f aca="false">AG18+AG19+AG20</f>
        <v>-4</v>
      </c>
      <c r="AH21" s="33" t="n">
        <f aca="false">AH18+AH19+AH20</f>
        <v>-4</v>
      </c>
      <c r="AI21" s="33" t="n">
        <f aca="false">AI18+AI19+AI20</f>
        <v>-4</v>
      </c>
      <c r="AJ21" s="33" t="n">
        <f aca="false">AJ18+AJ19+AJ20</f>
        <v>-4</v>
      </c>
      <c r="AK21" s="33" t="n">
        <f aca="false">AK18+AK19+AK20</f>
        <v>-4</v>
      </c>
      <c r="AL21" s="33" t="n">
        <f aca="false">AL18+AL19+AL20</f>
        <v>-4</v>
      </c>
      <c r="AM21" s="33" t="n">
        <f aca="false">AM18+AM19+AM20</f>
        <v>-4</v>
      </c>
      <c r="AN21" s="33" t="n">
        <f aca="false">AN18+AN19+AN20</f>
        <v>-2</v>
      </c>
      <c r="AO21" s="33" t="n">
        <f aca="false">AO18+AO19+AO20</f>
        <v>0</v>
      </c>
      <c r="AP21" s="33" t="n">
        <f aca="false">AP18+AP19+AP20</f>
        <v>0</v>
      </c>
      <c r="AQ21" s="33" t="n">
        <f aca="false">AQ18+AQ19+AQ20</f>
        <v>0</v>
      </c>
      <c r="AR21" s="33" t="n">
        <f aca="false">AR18+AR19+AR20</f>
        <v>0</v>
      </c>
      <c r="AS21" s="33" t="n">
        <f aca="false">AS18+AS19+AS20</f>
        <v>0</v>
      </c>
      <c r="AT21" s="33" t="n">
        <f aca="false">AT18+AT19+AT20</f>
        <v>0</v>
      </c>
      <c r="AU21" s="33" t="n">
        <f aca="false">AU18+AU19+AU20</f>
        <v>0</v>
      </c>
      <c r="AV21" s="33" t="n">
        <f aca="false">AV18+AV19+AV20</f>
        <v>0</v>
      </c>
      <c r="AW21" s="33" t="n">
        <f aca="false">AW18+AW19+AW20</f>
        <v>0</v>
      </c>
      <c r="AX21" s="33" t="n">
        <f aca="false">AX18+AX19+AX20</f>
        <v>0</v>
      </c>
      <c r="AY21" s="33" t="n">
        <f aca="false">AY18+AY19+AY20</f>
        <v>0</v>
      </c>
      <c r="AZ21" s="33" t="n">
        <f aca="false">AZ18+AZ19+AZ20</f>
        <v>0</v>
      </c>
      <c r="BA21" s="33" t="n">
        <f aca="false">BA18+BA19+BA20</f>
        <v>0</v>
      </c>
      <c r="BB21" s="33" t="n">
        <f aca="false">BB18+BB19+BB20</f>
        <v>0</v>
      </c>
      <c r="BC21" s="33" t="n">
        <f aca="false">BC18+BC19+BC20</f>
        <v>0</v>
      </c>
      <c r="BD21" s="33" t="n">
        <f aca="false">BD18+BD19+BD20</f>
        <v>0</v>
      </c>
      <c r="BE21" s="33" t="n">
        <f aca="false">BE18+BE19+BE20</f>
        <v>0</v>
      </c>
      <c r="BF21" s="33" t="n">
        <f aca="false">BF18+BF19+BF20</f>
        <v>0</v>
      </c>
      <c r="BG21" s="33" t="n">
        <f aca="false">BG18+BG19+BG20</f>
        <v>0</v>
      </c>
      <c r="BH21" s="33" t="n">
        <f aca="false">BH18+BH19+BH20</f>
        <v>0</v>
      </c>
      <c r="BI21" s="33" t="n">
        <f aca="false">BI18+BI19+BI20</f>
        <v>0</v>
      </c>
      <c r="BJ21" s="33" t="n">
        <f aca="false">BJ18+BJ19+BJ20</f>
        <v>0</v>
      </c>
      <c r="BK21" s="33" t="n">
        <f aca="false">BK18+BK19+BK20</f>
        <v>0</v>
      </c>
    </row>
    <row r="22" customFormat="false" ht="15" hidden="false" customHeight="false" outlineLevel="0" collapsed="false">
      <c r="A22" s="3" t="s">
        <v>262</v>
      </c>
      <c r="D22" s="33" t="n">
        <f aca="false">D21</f>
        <v>100</v>
      </c>
      <c r="E22" s="33" t="n">
        <f aca="false">D22+E21</f>
        <v>100</v>
      </c>
      <c r="F22" s="33" t="n">
        <f aca="false">E22+F21</f>
        <v>95</v>
      </c>
      <c r="G22" s="33" t="n">
        <f aca="false">F22+G21</f>
        <v>85</v>
      </c>
      <c r="H22" s="33" t="n">
        <f aca="false">G22+H21</f>
        <v>77.5</v>
      </c>
      <c r="I22" s="33" t="n">
        <f aca="false">H22+I21</f>
        <v>72.5</v>
      </c>
      <c r="J22" s="33" t="n">
        <f aca="false">I22+J21</f>
        <v>71.5</v>
      </c>
      <c r="K22" s="33" t="n">
        <f aca="false">J22+K21</f>
        <v>70.5</v>
      </c>
      <c r="L22" s="33" t="n">
        <f aca="false">K22+L21</f>
        <v>65.5</v>
      </c>
      <c r="M22" s="33" t="n">
        <f aca="false">L22+M21</f>
        <v>20.5</v>
      </c>
      <c r="N22" s="33" t="n">
        <f aca="false">M22+N21</f>
        <v>15.5</v>
      </c>
      <c r="O22" s="33" t="n">
        <f aca="false">N22+O21</f>
        <v>10.5</v>
      </c>
      <c r="P22" s="33" t="n">
        <f aca="false">O22+P21</f>
        <v>5.49999999999999</v>
      </c>
      <c r="Q22" s="33" t="n">
        <f aca="false">P22+Q21</f>
        <v>0.499999999999993</v>
      </c>
      <c r="R22" s="33" t="n">
        <f aca="false">Q22+R21</f>
        <v>-4.50000000000001</v>
      </c>
      <c r="S22" s="33" t="n">
        <f aca="false">R22+S21</f>
        <v>-9.50000000000001</v>
      </c>
      <c r="T22" s="33" t="n">
        <f aca="false">S22+T21</f>
        <v>-14</v>
      </c>
      <c r="U22" s="33" t="n">
        <f aca="false">T22+U21</f>
        <v>-18</v>
      </c>
      <c r="V22" s="33" t="n">
        <f aca="false">U22+V21</f>
        <v>-22</v>
      </c>
      <c r="W22" s="33" t="n">
        <f aca="false">V22+W21</f>
        <v>-26</v>
      </c>
      <c r="X22" s="33" t="n">
        <f aca="false">W22+X21</f>
        <v>-30</v>
      </c>
      <c r="Y22" s="33" t="n">
        <f aca="false">X22+Y21</f>
        <v>-34</v>
      </c>
      <c r="Z22" s="33" t="n">
        <f aca="false">Y22+Z21</f>
        <v>-38</v>
      </c>
      <c r="AA22" s="33" t="n">
        <f aca="false">Z22+AA21</f>
        <v>-42</v>
      </c>
      <c r="AB22" s="33" t="n">
        <f aca="false">AA22+AB21</f>
        <v>-46</v>
      </c>
      <c r="AC22" s="33" t="n">
        <f aca="false">AB22+AC21</f>
        <v>-50</v>
      </c>
      <c r="AD22" s="33" t="n">
        <f aca="false">AC22+AD21</f>
        <v>-54</v>
      </c>
      <c r="AE22" s="33" t="n">
        <f aca="false">AD22+AE21</f>
        <v>-58</v>
      </c>
      <c r="AF22" s="33" t="n">
        <f aca="false">AE22+AF21</f>
        <v>-62</v>
      </c>
      <c r="AG22" s="33" t="n">
        <f aca="false">AF22+AG21</f>
        <v>-66</v>
      </c>
      <c r="AH22" s="33" t="n">
        <f aca="false">AG22+AH21</f>
        <v>-70</v>
      </c>
      <c r="AI22" s="33" t="n">
        <f aca="false">AH22+AI21</f>
        <v>-74</v>
      </c>
      <c r="AJ22" s="33" t="n">
        <f aca="false">AI22+AJ21</f>
        <v>-78</v>
      </c>
      <c r="AK22" s="33" t="n">
        <f aca="false">AJ22+AK21</f>
        <v>-82</v>
      </c>
      <c r="AL22" s="33" t="n">
        <f aca="false">AK22+AL21</f>
        <v>-86</v>
      </c>
      <c r="AM22" s="33" t="n">
        <f aca="false">AL22+AM21</f>
        <v>-90</v>
      </c>
      <c r="AN22" s="33" t="n">
        <f aca="false">AM22+AN21</f>
        <v>-92</v>
      </c>
      <c r="AO22" s="33" t="n">
        <f aca="false">AN22+AO21</f>
        <v>-92</v>
      </c>
      <c r="AP22" s="33" t="n">
        <f aca="false">AO22+AP21</f>
        <v>-92</v>
      </c>
      <c r="AQ22" s="33" t="n">
        <f aca="false">AP22+AQ21</f>
        <v>-92</v>
      </c>
      <c r="AR22" s="33" t="n">
        <f aca="false">AQ22+AR21</f>
        <v>-92</v>
      </c>
      <c r="AS22" s="33" t="n">
        <f aca="false">AR22+AS21</f>
        <v>-92</v>
      </c>
      <c r="AT22" s="33" t="n">
        <f aca="false">AS22+AT21</f>
        <v>-92</v>
      </c>
      <c r="AU22" s="33" t="n">
        <f aca="false">AT22+AU21</f>
        <v>-92</v>
      </c>
      <c r="AV22" s="33" t="n">
        <f aca="false">AU22+AV21</f>
        <v>-92</v>
      </c>
      <c r="AW22" s="33" t="n">
        <f aca="false">AV22+AW21</f>
        <v>-92</v>
      </c>
      <c r="AX22" s="33" t="n">
        <f aca="false">AW22+AX21</f>
        <v>-92</v>
      </c>
      <c r="AY22" s="33" t="n">
        <f aca="false">AX22+AY21</f>
        <v>-92</v>
      </c>
      <c r="AZ22" s="33" t="n">
        <f aca="false">AY22+AZ21</f>
        <v>-92</v>
      </c>
      <c r="BA22" s="33" t="n">
        <f aca="false">AZ22+BA21</f>
        <v>-92</v>
      </c>
      <c r="BB22" s="33" t="n">
        <f aca="false">BA22+BB21</f>
        <v>-92</v>
      </c>
      <c r="BC22" s="33" t="n">
        <f aca="false">BB22+BC21</f>
        <v>-92</v>
      </c>
      <c r="BD22" s="33" t="n">
        <f aca="false">BC22+BD21</f>
        <v>-92</v>
      </c>
      <c r="BE22" s="33" t="n">
        <f aca="false">BD22+BE21</f>
        <v>-92</v>
      </c>
      <c r="BF22" s="33" t="n">
        <f aca="false">BE22+BF21</f>
        <v>-92</v>
      </c>
      <c r="BG22" s="33" t="n">
        <f aca="false">BF22+BG21</f>
        <v>-92</v>
      </c>
      <c r="BH22" s="33" t="n">
        <f aca="false">BG22+BH21</f>
        <v>-92</v>
      </c>
      <c r="BI22" s="33" t="n">
        <f aca="false">BH22+BI21</f>
        <v>-92</v>
      </c>
      <c r="BJ22" s="33" t="n">
        <f aca="false">BI22+BJ21</f>
        <v>-92</v>
      </c>
      <c r="BK22" s="33" t="n">
        <f aca="false">BJ22+BK21</f>
        <v>-92</v>
      </c>
    </row>
    <row r="25" customFormat="false" ht="15" hidden="false" customHeight="false" outlineLevel="0" collapsed="false">
      <c r="A25" s="7" t="s">
        <v>263</v>
      </c>
      <c r="B25" s="7" t="s">
        <v>13</v>
      </c>
      <c r="C25" s="7" t="s">
        <v>264</v>
      </c>
    </row>
    <row r="26" customFormat="false" ht="15" hidden="false" customHeight="false" outlineLevel="0" collapsed="false">
      <c r="A26" s="3" t="s">
        <v>37</v>
      </c>
      <c r="B26" s="39" t="n">
        <f aca="false">(1+IRR(D17:BK17,0.05))^4-1</f>
        <v>0.264029906719608</v>
      </c>
      <c r="C26" s="6" t="s">
        <v>265</v>
      </c>
    </row>
    <row r="27" customFormat="false" ht="15" hidden="false" customHeight="false" outlineLevel="0" collapsed="false">
      <c r="A27" s="3" t="s">
        <v>38</v>
      </c>
      <c r="B27" s="40" t="n">
        <f aca="false">SUMIF(D17:BK17,"&gt;0")/-SUMIF(D17:BK17,"&lt;0")</f>
        <v>2.78136200716846</v>
      </c>
      <c r="C27" s="6"/>
    </row>
    <row r="28" customFormat="false" ht="15" hidden="false" customHeight="false" outlineLevel="0" collapsed="false">
      <c r="A28" s="3" t="s">
        <v>39</v>
      </c>
      <c r="B28" s="35" t="n">
        <f aca="false">INDEX(D16:BK16,MATCH(1,D36:BK36,0))</f>
        <v>54</v>
      </c>
      <c r="C28" s="6" t="s">
        <v>266</v>
      </c>
    </row>
    <row r="29" customFormat="false" ht="15" hidden="false" customHeight="false" outlineLevel="0" collapsed="false">
      <c r="A29" s="3" t="s">
        <v>267</v>
      </c>
      <c r="B29" s="39" t="n">
        <f aca="false">(1+IRR(D21:BK21,0.05))^4-1</f>
        <v>0.20741957336111</v>
      </c>
      <c r="C29" s="6" t="s">
        <v>268</v>
      </c>
    </row>
    <row r="30" customFormat="false" ht="15" hidden="false" customHeight="false" outlineLevel="0" collapsed="false">
      <c r="A30" s="3" t="s">
        <v>269</v>
      </c>
      <c r="B30" s="41" t="n">
        <f aca="false">SUMPRODUCT(D21:BK21,Project_CF!$D$15:$BK$15)</f>
        <v>-19.0930209170933</v>
      </c>
      <c r="C30" s="6"/>
    </row>
    <row r="31" customFormat="false" ht="15" hidden="false" customHeight="false" outlineLevel="0" collapsed="false">
      <c r="A31" s="3" t="s">
        <v>270</v>
      </c>
      <c r="B31" s="41" t="n">
        <f aca="false">B21</f>
        <v>-92</v>
      </c>
      <c r="C31" s="6"/>
    </row>
    <row r="32" customFormat="false" ht="15" hidden="false" customHeight="false" outlineLevel="0" collapsed="false">
      <c r="A32" s="3" t="s">
        <v>271</v>
      </c>
      <c r="B32" s="41" t="n">
        <f aca="false">Project_CF!$B$19+B30</f>
        <v>196.218371631831</v>
      </c>
      <c r="C32" s="6" t="s">
        <v>272</v>
      </c>
    </row>
    <row r="33" customFormat="false" ht="15" hidden="false" customHeight="false" outlineLevel="0" collapsed="false">
      <c r="A33" s="3" t="s">
        <v>273</v>
      </c>
      <c r="B33" s="41" t="n">
        <f aca="false">MIN(D38:BK38)</f>
        <v>-117.928264375</v>
      </c>
      <c r="C33" s="6" t="s">
        <v>274</v>
      </c>
    </row>
    <row r="35" customFormat="false" ht="15" hidden="false" customHeight="false" outlineLevel="0" collapsed="false">
      <c r="A35" s="3" t="s">
        <v>275</v>
      </c>
      <c r="D35" s="33" t="n">
        <f aca="false">D17</f>
        <v>-100</v>
      </c>
      <c r="E35" s="33" t="n">
        <f aca="false">D35+E17</f>
        <v>-100</v>
      </c>
      <c r="F35" s="33" t="n">
        <f aca="false">E35+F17</f>
        <v>-100</v>
      </c>
      <c r="G35" s="33" t="n">
        <f aca="false">F35+G17</f>
        <v>-100</v>
      </c>
      <c r="H35" s="33" t="n">
        <f aca="false">G35+H17</f>
        <v>-100</v>
      </c>
      <c r="I35" s="33" t="n">
        <f aca="false">H35+I17</f>
        <v>-100</v>
      </c>
      <c r="J35" s="33" t="n">
        <f aca="false">I35+J17</f>
        <v>-100</v>
      </c>
      <c r="K35" s="33" t="n">
        <f aca="false">J35+K17</f>
        <v>-100</v>
      </c>
      <c r="L35" s="33" t="n">
        <f aca="false">K35+L17</f>
        <v>-100</v>
      </c>
      <c r="M35" s="33" t="n">
        <f aca="false">L35+M17</f>
        <v>-100</v>
      </c>
      <c r="N35" s="33" t="n">
        <f aca="false">M35+N17</f>
        <v>-100</v>
      </c>
      <c r="O35" s="33" t="n">
        <f aca="false">N35+O17</f>
        <v>-100</v>
      </c>
      <c r="P35" s="33" t="n">
        <f aca="false">O35+P17</f>
        <v>-100</v>
      </c>
      <c r="Q35" s="33" t="n">
        <f aca="false">P35+Q17</f>
        <v>-100</v>
      </c>
      <c r="R35" s="33" t="n">
        <f aca="false">Q35+R17</f>
        <v>-100</v>
      </c>
      <c r="S35" s="33" t="n">
        <f aca="false">R35+S17</f>
        <v>-100</v>
      </c>
      <c r="T35" s="33" t="n">
        <f aca="false">S35+T17</f>
        <v>-30.4659498207885</v>
      </c>
      <c r="U35" s="33" t="n">
        <f aca="false">T35+U17</f>
        <v>39.068100358423</v>
      </c>
      <c r="V35" s="33" t="n">
        <f aca="false">U35+V17</f>
        <v>108.602150537634</v>
      </c>
      <c r="W35" s="33" t="n">
        <f aca="false">V35+W17</f>
        <v>178.136200716846</v>
      </c>
      <c r="X35" s="33" t="n">
        <f aca="false">W35+X17</f>
        <v>178.136200716846</v>
      </c>
      <c r="Y35" s="33" t="n">
        <f aca="false">X35+Y17</f>
        <v>178.136200716846</v>
      </c>
      <c r="Z35" s="33" t="n">
        <f aca="false">Y35+Z17</f>
        <v>178.136200716846</v>
      </c>
      <c r="AA35" s="33" t="n">
        <f aca="false">Z35+AA17</f>
        <v>178.136200716846</v>
      </c>
      <c r="AB35" s="33" t="n">
        <f aca="false">AA35+AB17</f>
        <v>178.136200716846</v>
      </c>
      <c r="AC35" s="33" t="n">
        <f aca="false">AB35+AC17</f>
        <v>178.136200716846</v>
      </c>
      <c r="AD35" s="33" t="n">
        <f aca="false">AC35+AD17</f>
        <v>178.136200716846</v>
      </c>
      <c r="AE35" s="33" t="n">
        <f aca="false">AD35+AE17</f>
        <v>178.136200716846</v>
      </c>
      <c r="AF35" s="33" t="n">
        <f aca="false">AE35+AF17</f>
        <v>178.136200716846</v>
      </c>
      <c r="AG35" s="33" t="n">
        <f aca="false">AF35+AG17</f>
        <v>178.136200716846</v>
      </c>
      <c r="AH35" s="33" t="n">
        <f aca="false">AG35+AH17</f>
        <v>178.136200716846</v>
      </c>
      <c r="AI35" s="33" t="n">
        <f aca="false">AH35+AI17</f>
        <v>178.136200716846</v>
      </c>
      <c r="AJ35" s="33" t="n">
        <f aca="false">AI35+AJ17</f>
        <v>178.136200716846</v>
      </c>
      <c r="AK35" s="33" t="n">
        <f aca="false">AJ35+AK17</f>
        <v>178.136200716846</v>
      </c>
      <c r="AL35" s="33" t="n">
        <f aca="false">AK35+AL17</f>
        <v>178.136200716846</v>
      </c>
      <c r="AM35" s="33" t="n">
        <f aca="false">AL35+AM17</f>
        <v>178.136200716846</v>
      </c>
      <c r="AN35" s="33" t="n">
        <f aca="false">AM35+AN17</f>
        <v>178.136200716846</v>
      </c>
      <c r="AO35" s="33" t="n">
        <f aca="false">AN35+AO17</f>
        <v>178.136200716846</v>
      </c>
      <c r="AP35" s="33" t="n">
        <f aca="false">AO35+AP17</f>
        <v>178.136200716846</v>
      </c>
      <c r="AQ35" s="33" t="n">
        <f aca="false">AP35+AQ17</f>
        <v>178.136200716846</v>
      </c>
      <c r="AR35" s="33" t="n">
        <f aca="false">AQ35+AR17</f>
        <v>178.136200716846</v>
      </c>
      <c r="AS35" s="33" t="n">
        <f aca="false">AR35+AS17</f>
        <v>178.136200716846</v>
      </c>
      <c r="AT35" s="33" t="n">
        <f aca="false">AS35+AT17</f>
        <v>178.136200716846</v>
      </c>
      <c r="AU35" s="33" t="n">
        <f aca="false">AT35+AU17</f>
        <v>178.136200716846</v>
      </c>
      <c r="AV35" s="33" t="n">
        <f aca="false">AU35+AV17</f>
        <v>178.136200716846</v>
      </c>
      <c r="AW35" s="33" t="n">
        <f aca="false">AV35+AW17</f>
        <v>178.136200716846</v>
      </c>
      <c r="AX35" s="33" t="n">
        <f aca="false">AW35+AX17</f>
        <v>178.136200716846</v>
      </c>
      <c r="AY35" s="33" t="n">
        <f aca="false">AX35+AY17</f>
        <v>178.136200716846</v>
      </c>
      <c r="AZ35" s="33" t="n">
        <f aca="false">AY35+AZ17</f>
        <v>178.136200716846</v>
      </c>
      <c r="BA35" s="33" t="n">
        <f aca="false">AZ35+BA17</f>
        <v>178.136200716846</v>
      </c>
      <c r="BB35" s="33" t="n">
        <f aca="false">BA35+BB17</f>
        <v>178.136200716846</v>
      </c>
      <c r="BC35" s="33" t="n">
        <f aca="false">BB35+BC17</f>
        <v>178.136200716846</v>
      </c>
      <c r="BD35" s="33" t="n">
        <f aca="false">BC35+BD17</f>
        <v>178.136200716846</v>
      </c>
      <c r="BE35" s="33" t="n">
        <f aca="false">BD35+BE17</f>
        <v>178.136200716846</v>
      </c>
      <c r="BF35" s="33" t="n">
        <f aca="false">BE35+BF17</f>
        <v>178.136200716846</v>
      </c>
      <c r="BG35" s="33" t="n">
        <f aca="false">BF35+BG17</f>
        <v>178.136200716846</v>
      </c>
      <c r="BH35" s="33" t="n">
        <f aca="false">BG35+BH17</f>
        <v>178.136200716846</v>
      </c>
      <c r="BI35" s="33" t="n">
        <f aca="false">BH35+BI17</f>
        <v>178.136200716846</v>
      </c>
      <c r="BJ35" s="33" t="n">
        <f aca="false">BI35+BJ17</f>
        <v>178.136200716846</v>
      </c>
      <c r="BK35" s="33" t="n">
        <f aca="false">BJ35+BK17</f>
        <v>178.136200716846</v>
      </c>
    </row>
    <row r="36" customFormat="false" ht="15" hidden="false" customHeight="false" outlineLevel="0" collapsed="false">
      <c r="A36" s="3" t="s">
        <v>276</v>
      </c>
      <c r="D36" s="3" t="n">
        <f aca="false">IF(AND(D35&gt;=0,D16&gt;Inputs!$B$12),1,0)</f>
        <v>0</v>
      </c>
      <c r="E36" s="3" t="n">
        <f aca="false">IF(AND(E35&gt;=0,E16&gt;Inputs!$B$12),1,0)</f>
        <v>0</v>
      </c>
      <c r="F36" s="3" t="n">
        <f aca="false">IF(AND(F35&gt;=0,F16&gt;Inputs!$B$12),1,0)</f>
        <v>0</v>
      </c>
      <c r="G36" s="3" t="n">
        <f aca="false">IF(AND(G35&gt;=0,G16&gt;Inputs!$B$12),1,0)</f>
        <v>0</v>
      </c>
      <c r="H36" s="3" t="n">
        <f aca="false">IF(AND(H35&gt;=0,H16&gt;Inputs!$B$12),1,0)</f>
        <v>0</v>
      </c>
      <c r="I36" s="3" t="n">
        <f aca="false">IF(AND(I35&gt;=0,I16&gt;Inputs!$B$12),1,0)</f>
        <v>0</v>
      </c>
      <c r="J36" s="3" t="n">
        <f aca="false">IF(AND(J35&gt;=0,J16&gt;Inputs!$B$12),1,0)</f>
        <v>0</v>
      </c>
      <c r="K36" s="3" t="n">
        <f aca="false">IF(AND(K35&gt;=0,K16&gt;Inputs!$B$12),1,0)</f>
        <v>0</v>
      </c>
      <c r="L36" s="3" t="n">
        <f aca="false">IF(AND(L35&gt;=0,L16&gt;Inputs!$B$12),1,0)</f>
        <v>0</v>
      </c>
      <c r="M36" s="3" t="n">
        <f aca="false">IF(AND(M35&gt;=0,M16&gt;Inputs!$B$12),1,0)</f>
        <v>0</v>
      </c>
      <c r="N36" s="3" t="n">
        <f aca="false">IF(AND(N35&gt;=0,N16&gt;Inputs!$B$12),1,0)</f>
        <v>0</v>
      </c>
      <c r="O36" s="3" t="n">
        <f aca="false">IF(AND(O35&gt;=0,O16&gt;Inputs!$B$12),1,0)</f>
        <v>0</v>
      </c>
      <c r="P36" s="3" t="n">
        <f aca="false">IF(AND(P35&gt;=0,P16&gt;Inputs!$B$12),1,0)</f>
        <v>0</v>
      </c>
      <c r="Q36" s="3" t="n">
        <f aca="false">IF(AND(Q35&gt;=0,Q16&gt;Inputs!$B$12),1,0)</f>
        <v>0</v>
      </c>
      <c r="R36" s="3" t="n">
        <f aca="false">IF(AND(R35&gt;=0,R16&gt;Inputs!$B$12),1,0)</f>
        <v>0</v>
      </c>
      <c r="S36" s="3" t="n">
        <f aca="false">IF(AND(S35&gt;=0,S16&gt;Inputs!$B$12),1,0)</f>
        <v>0</v>
      </c>
      <c r="T36" s="3" t="n">
        <f aca="false">IF(AND(T35&gt;=0,T16&gt;Inputs!$B$12),1,0)</f>
        <v>0</v>
      </c>
      <c r="U36" s="3" t="n">
        <f aca="false">IF(AND(U35&gt;=0,U16&gt;Inputs!$B$12),1,0)</f>
        <v>1</v>
      </c>
      <c r="V36" s="3" t="n">
        <f aca="false">IF(AND(V35&gt;=0,V16&gt;Inputs!$B$12),1,0)</f>
        <v>1</v>
      </c>
      <c r="W36" s="3" t="n">
        <f aca="false">IF(AND(W35&gt;=0,W16&gt;Inputs!$B$12),1,0)</f>
        <v>1</v>
      </c>
      <c r="X36" s="3" t="n">
        <f aca="false">IF(AND(X35&gt;=0,X16&gt;Inputs!$B$12),1,0)</f>
        <v>1</v>
      </c>
      <c r="Y36" s="3" t="n">
        <f aca="false">IF(AND(Y35&gt;=0,Y16&gt;Inputs!$B$12),1,0)</f>
        <v>1</v>
      </c>
      <c r="Z36" s="3" t="n">
        <f aca="false">IF(AND(Z35&gt;=0,Z16&gt;Inputs!$B$12),1,0)</f>
        <v>1</v>
      </c>
      <c r="AA36" s="3" t="n">
        <f aca="false">IF(AND(AA35&gt;=0,AA16&gt;Inputs!$B$12),1,0)</f>
        <v>1</v>
      </c>
      <c r="AB36" s="3" t="n">
        <f aca="false">IF(AND(AB35&gt;=0,AB16&gt;Inputs!$B$12),1,0)</f>
        <v>1</v>
      </c>
      <c r="AC36" s="3" t="n">
        <f aca="false">IF(AND(AC35&gt;=0,AC16&gt;Inputs!$B$12),1,0)</f>
        <v>1</v>
      </c>
      <c r="AD36" s="3" t="n">
        <f aca="false">IF(AND(AD35&gt;=0,AD16&gt;Inputs!$B$12),1,0)</f>
        <v>1</v>
      </c>
      <c r="AE36" s="3" t="n">
        <f aca="false">IF(AND(AE35&gt;=0,AE16&gt;Inputs!$B$12),1,0)</f>
        <v>1</v>
      </c>
      <c r="AF36" s="3" t="n">
        <f aca="false">IF(AND(AF35&gt;=0,AF16&gt;Inputs!$B$12),1,0)</f>
        <v>1</v>
      </c>
      <c r="AG36" s="3" t="n">
        <f aca="false">IF(AND(AG35&gt;=0,AG16&gt;Inputs!$B$12),1,0)</f>
        <v>1</v>
      </c>
      <c r="AH36" s="3" t="n">
        <f aca="false">IF(AND(AH35&gt;=0,AH16&gt;Inputs!$B$12),1,0)</f>
        <v>1</v>
      </c>
      <c r="AI36" s="3" t="n">
        <f aca="false">IF(AND(AI35&gt;=0,AI16&gt;Inputs!$B$12),1,0)</f>
        <v>1</v>
      </c>
      <c r="AJ36" s="3" t="n">
        <f aca="false">IF(AND(AJ35&gt;=0,AJ16&gt;Inputs!$B$12),1,0)</f>
        <v>1</v>
      </c>
      <c r="AK36" s="3" t="n">
        <f aca="false">IF(AND(AK35&gt;=0,AK16&gt;Inputs!$B$12),1,0)</f>
        <v>1</v>
      </c>
      <c r="AL36" s="3" t="n">
        <f aca="false">IF(AND(AL35&gt;=0,AL16&gt;Inputs!$B$12),1,0)</f>
        <v>1</v>
      </c>
      <c r="AM36" s="3" t="n">
        <f aca="false">IF(AND(AM35&gt;=0,AM16&gt;Inputs!$B$12),1,0)</f>
        <v>1</v>
      </c>
      <c r="AN36" s="3" t="n">
        <f aca="false">IF(AND(AN35&gt;=0,AN16&gt;Inputs!$B$12),1,0)</f>
        <v>1</v>
      </c>
      <c r="AO36" s="3" t="n">
        <f aca="false">IF(AND(AO35&gt;=0,AO16&gt;Inputs!$B$12),1,0)</f>
        <v>1</v>
      </c>
      <c r="AP36" s="3" t="n">
        <f aca="false">IF(AND(AP35&gt;=0,AP16&gt;Inputs!$B$12),1,0)</f>
        <v>1</v>
      </c>
      <c r="AQ36" s="3" t="n">
        <f aca="false">IF(AND(AQ35&gt;=0,AQ16&gt;Inputs!$B$12),1,0)</f>
        <v>1</v>
      </c>
      <c r="AR36" s="3" t="n">
        <f aca="false">IF(AND(AR35&gt;=0,AR16&gt;Inputs!$B$12),1,0)</f>
        <v>1</v>
      </c>
      <c r="AS36" s="3" t="n">
        <f aca="false">IF(AND(AS35&gt;=0,AS16&gt;Inputs!$B$12),1,0)</f>
        <v>1</v>
      </c>
      <c r="AT36" s="3" t="n">
        <f aca="false">IF(AND(AT35&gt;=0,AT16&gt;Inputs!$B$12),1,0)</f>
        <v>1</v>
      </c>
      <c r="AU36" s="3" t="n">
        <f aca="false">IF(AND(AU35&gt;=0,AU16&gt;Inputs!$B$12),1,0)</f>
        <v>1</v>
      </c>
      <c r="AV36" s="3" t="n">
        <f aca="false">IF(AND(AV35&gt;=0,AV16&gt;Inputs!$B$12),1,0)</f>
        <v>1</v>
      </c>
      <c r="AW36" s="3" t="n">
        <f aca="false">IF(AND(AW35&gt;=0,AW16&gt;Inputs!$B$12),1,0)</f>
        <v>1</v>
      </c>
      <c r="AX36" s="3" t="n">
        <f aca="false">IF(AND(AX35&gt;=0,AX16&gt;Inputs!$B$12),1,0)</f>
        <v>1</v>
      </c>
      <c r="AY36" s="3" t="n">
        <f aca="false">IF(AND(AY35&gt;=0,AY16&gt;Inputs!$B$12),1,0)</f>
        <v>1</v>
      </c>
      <c r="AZ36" s="3" t="n">
        <f aca="false">IF(AND(AZ35&gt;=0,AZ16&gt;Inputs!$B$12),1,0)</f>
        <v>1</v>
      </c>
      <c r="BA36" s="3" t="n">
        <f aca="false">IF(AND(BA35&gt;=0,BA16&gt;Inputs!$B$12),1,0)</f>
        <v>1</v>
      </c>
      <c r="BB36" s="3" t="n">
        <f aca="false">IF(AND(BB35&gt;=0,BB16&gt;Inputs!$B$12),1,0)</f>
        <v>1</v>
      </c>
      <c r="BC36" s="3" t="n">
        <f aca="false">IF(AND(BC35&gt;=0,BC16&gt;Inputs!$B$12),1,0)</f>
        <v>1</v>
      </c>
      <c r="BD36" s="3" t="n">
        <f aca="false">IF(AND(BD35&gt;=0,BD16&gt;Inputs!$B$12),1,0)</f>
        <v>1</v>
      </c>
      <c r="BE36" s="3" t="n">
        <f aca="false">IF(AND(BE35&gt;=0,BE16&gt;Inputs!$B$12),1,0)</f>
        <v>1</v>
      </c>
      <c r="BF36" s="3" t="n">
        <f aca="false">IF(AND(BF35&gt;=0,BF16&gt;Inputs!$B$12),1,0)</f>
        <v>1</v>
      </c>
      <c r="BG36" s="3" t="n">
        <f aca="false">IF(AND(BG35&gt;=0,BG16&gt;Inputs!$B$12),1,0)</f>
        <v>1</v>
      </c>
      <c r="BH36" s="3" t="n">
        <f aca="false">IF(AND(BH35&gt;=0,BH16&gt;Inputs!$B$12),1,0)</f>
        <v>1</v>
      </c>
      <c r="BI36" s="3" t="n">
        <f aca="false">IF(AND(BI35&gt;=0,BI16&gt;Inputs!$B$12),1,0)</f>
        <v>1</v>
      </c>
      <c r="BJ36" s="3" t="n">
        <f aca="false">IF(AND(BJ35&gt;=0,BJ16&gt;Inputs!$B$12),1,0)</f>
        <v>1</v>
      </c>
      <c r="BK36" s="3" t="n">
        <f aca="false">IF(AND(BK35&gt;=0,BK16&gt;Inputs!$B$12),1,0)</f>
        <v>1</v>
      </c>
    </row>
    <row r="37" customFormat="false" ht="15" hidden="false" customHeight="false" outlineLevel="0" collapsed="false">
      <c r="A37" s="3" t="s">
        <v>277</v>
      </c>
      <c r="D37" s="27" t="n">
        <f aca="false">IF(D16&gt;=Inputs!$B$12,Inputs!$B$7,0)</f>
        <v>100</v>
      </c>
      <c r="E37" s="27" t="n">
        <f aca="false">IF(E16&gt;=Inputs!$B$12,Inputs!$B$7,0)</f>
        <v>100</v>
      </c>
      <c r="F37" s="27" t="n">
        <f aca="false">IF(F16&gt;=Inputs!$B$12,Inputs!$B$7,0)</f>
        <v>100</v>
      </c>
      <c r="G37" s="27" t="n">
        <f aca="false">IF(G16&gt;=Inputs!$B$12,Inputs!$B$7,0)</f>
        <v>100</v>
      </c>
      <c r="H37" s="27" t="n">
        <f aca="false">IF(H16&gt;=Inputs!$B$12,Inputs!$B$7,0)</f>
        <v>100</v>
      </c>
      <c r="I37" s="27" t="n">
        <f aca="false">IF(I16&gt;=Inputs!$B$12,Inputs!$B$7,0)</f>
        <v>100</v>
      </c>
      <c r="J37" s="27" t="n">
        <f aca="false">IF(J16&gt;=Inputs!$B$12,Inputs!$B$7,0)</f>
        <v>100</v>
      </c>
      <c r="K37" s="27" t="n">
        <f aca="false">IF(K16&gt;=Inputs!$B$12,Inputs!$B$7,0)</f>
        <v>100</v>
      </c>
      <c r="L37" s="27" t="n">
        <f aca="false">IF(L16&gt;=Inputs!$B$12,Inputs!$B$7,0)</f>
        <v>100</v>
      </c>
      <c r="M37" s="27" t="n">
        <f aca="false">IF(M16&gt;=Inputs!$B$12,Inputs!$B$7,0)</f>
        <v>100</v>
      </c>
      <c r="N37" s="27" t="n">
        <f aca="false">IF(N16&gt;=Inputs!$B$12,Inputs!$B$7,0)</f>
        <v>100</v>
      </c>
      <c r="O37" s="27" t="n">
        <f aca="false">IF(O16&gt;=Inputs!$B$12,Inputs!$B$7,0)</f>
        <v>100</v>
      </c>
      <c r="P37" s="27" t="n">
        <f aca="false">IF(P16&gt;=Inputs!$B$12,Inputs!$B$7,0)</f>
        <v>100</v>
      </c>
      <c r="Q37" s="27" t="n">
        <f aca="false">IF(Q16&gt;=Inputs!$B$12,Inputs!$B$7,0)</f>
        <v>100</v>
      </c>
      <c r="R37" s="27" t="n">
        <f aca="false">IF(R16&gt;=Inputs!$B$12,Inputs!$B$7,0)</f>
        <v>100</v>
      </c>
      <c r="S37" s="27" t="n">
        <f aca="false">IF(S16&gt;=Inputs!$B$12,Inputs!$B$7,0)</f>
        <v>100</v>
      </c>
      <c r="T37" s="27" t="n">
        <f aca="false">IF(T16&gt;=Inputs!$B$12,Inputs!$B$7,0)</f>
        <v>100</v>
      </c>
      <c r="U37" s="27" t="n">
        <f aca="false">IF(U16&gt;=Inputs!$B$12,Inputs!$B$7,0)</f>
        <v>100</v>
      </c>
      <c r="V37" s="27" t="n">
        <f aca="false">IF(V16&gt;=Inputs!$B$12,Inputs!$B$7,0)</f>
        <v>100</v>
      </c>
      <c r="W37" s="27" t="n">
        <f aca="false">IF(W16&gt;=Inputs!$B$12,Inputs!$B$7,0)</f>
        <v>100</v>
      </c>
      <c r="X37" s="27" t="n">
        <f aca="false">IF(X16&gt;=Inputs!$B$12,Inputs!$B$7,0)</f>
        <v>100</v>
      </c>
      <c r="Y37" s="27" t="n">
        <f aca="false">IF(Y16&gt;=Inputs!$B$12,Inputs!$B$7,0)</f>
        <v>100</v>
      </c>
      <c r="Z37" s="27" t="n">
        <f aca="false">IF(Z16&gt;=Inputs!$B$12,Inputs!$B$7,0)</f>
        <v>100</v>
      </c>
      <c r="AA37" s="27" t="n">
        <f aca="false">IF(AA16&gt;=Inputs!$B$12,Inputs!$B$7,0)</f>
        <v>100</v>
      </c>
      <c r="AB37" s="27" t="n">
        <f aca="false">IF(AB16&gt;=Inputs!$B$12,Inputs!$B$7,0)</f>
        <v>100</v>
      </c>
      <c r="AC37" s="27" t="n">
        <f aca="false">IF(AC16&gt;=Inputs!$B$12,Inputs!$B$7,0)</f>
        <v>100</v>
      </c>
      <c r="AD37" s="27" t="n">
        <f aca="false">IF(AD16&gt;=Inputs!$B$12,Inputs!$B$7,0)</f>
        <v>100</v>
      </c>
      <c r="AE37" s="27" t="n">
        <f aca="false">IF(AE16&gt;=Inputs!$B$12,Inputs!$B$7,0)</f>
        <v>100</v>
      </c>
      <c r="AF37" s="27" t="n">
        <f aca="false">IF(AF16&gt;=Inputs!$B$12,Inputs!$B$7,0)</f>
        <v>100</v>
      </c>
      <c r="AG37" s="27" t="n">
        <f aca="false">IF(AG16&gt;=Inputs!$B$12,Inputs!$B$7,0)</f>
        <v>100</v>
      </c>
      <c r="AH37" s="27" t="n">
        <f aca="false">IF(AH16&gt;=Inputs!$B$12,Inputs!$B$7,0)</f>
        <v>100</v>
      </c>
      <c r="AI37" s="27" t="n">
        <f aca="false">IF(AI16&gt;=Inputs!$B$12,Inputs!$B$7,0)</f>
        <v>100</v>
      </c>
      <c r="AJ37" s="27" t="n">
        <f aca="false">IF(AJ16&gt;=Inputs!$B$12,Inputs!$B$7,0)</f>
        <v>100</v>
      </c>
      <c r="AK37" s="27" t="n">
        <f aca="false">IF(AK16&gt;=Inputs!$B$12,Inputs!$B$7,0)</f>
        <v>100</v>
      </c>
      <c r="AL37" s="27" t="n">
        <f aca="false">IF(AL16&gt;=Inputs!$B$12,Inputs!$B$7,0)</f>
        <v>100</v>
      </c>
      <c r="AM37" s="27" t="n">
        <f aca="false">IF(AM16&gt;=Inputs!$B$12,Inputs!$B$7,0)</f>
        <v>100</v>
      </c>
      <c r="AN37" s="27" t="n">
        <f aca="false">IF(AN16&gt;=Inputs!$B$12,Inputs!$B$7,0)</f>
        <v>100</v>
      </c>
      <c r="AO37" s="27" t="n">
        <f aca="false">IF(AO16&gt;=Inputs!$B$12,Inputs!$B$7,0)</f>
        <v>100</v>
      </c>
      <c r="AP37" s="27" t="n">
        <f aca="false">IF(AP16&gt;=Inputs!$B$12,Inputs!$B$7,0)</f>
        <v>100</v>
      </c>
      <c r="AQ37" s="27" t="n">
        <f aca="false">IF(AQ16&gt;=Inputs!$B$12,Inputs!$B$7,0)</f>
        <v>100</v>
      </c>
      <c r="AR37" s="27" t="n">
        <f aca="false">IF(AR16&gt;=Inputs!$B$12,Inputs!$B$7,0)</f>
        <v>100</v>
      </c>
      <c r="AS37" s="27" t="n">
        <f aca="false">IF(AS16&gt;=Inputs!$B$12,Inputs!$B$7,0)</f>
        <v>100</v>
      </c>
      <c r="AT37" s="27" t="n">
        <f aca="false">IF(AT16&gt;=Inputs!$B$12,Inputs!$B$7,0)</f>
        <v>100</v>
      </c>
      <c r="AU37" s="27" t="n">
        <f aca="false">IF(AU16&gt;=Inputs!$B$12,Inputs!$B$7,0)</f>
        <v>100</v>
      </c>
      <c r="AV37" s="27" t="n">
        <f aca="false">IF(AV16&gt;=Inputs!$B$12,Inputs!$B$7,0)</f>
        <v>100</v>
      </c>
      <c r="AW37" s="27" t="n">
        <f aca="false">IF(AW16&gt;=Inputs!$B$12,Inputs!$B$7,0)</f>
        <v>100</v>
      </c>
      <c r="AX37" s="27" t="n">
        <f aca="false">IF(AX16&gt;=Inputs!$B$12,Inputs!$B$7,0)</f>
        <v>100</v>
      </c>
      <c r="AY37" s="27" t="n">
        <f aca="false">IF(AY16&gt;=Inputs!$B$12,Inputs!$B$7,0)</f>
        <v>100</v>
      </c>
      <c r="AZ37" s="27" t="n">
        <f aca="false">IF(AZ16&gt;=Inputs!$B$12,Inputs!$B$7,0)</f>
        <v>100</v>
      </c>
      <c r="BA37" s="27" t="n">
        <f aca="false">IF(BA16&gt;=Inputs!$B$12,Inputs!$B$7,0)</f>
        <v>100</v>
      </c>
      <c r="BB37" s="27" t="n">
        <f aca="false">IF(BB16&gt;=Inputs!$B$12,Inputs!$B$7,0)</f>
        <v>100</v>
      </c>
      <c r="BC37" s="27" t="n">
        <f aca="false">IF(BC16&gt;=Inputs!$B$12,Inputs!$B$7,0)</f>
        <v>100</v>
      </c>
      <c r="BD37" s="27" t="n">
        <f aca="false">IF(BD16&gt;=Inputs!$B$12,Inputs!$B$7,0)</f>
        <v>100</v>
      </c>
      <c r="BE37" s="27" t="n">
        <f aca="false">IF(BE16&gt;=Inputs!$B$12,Inputs!$B$7,0)</f>
        <v>100</v>
      </c>
      <c r="BF37" s="27" t="n">
        <f aca="false">IF(BF16&gt;=Inputs!$B$12,Inputs!$B$7,0)</f>
        <v>100</v>
      </c>
      <c r="BG37" s="27" t="n">
        <f aca="false">IF(BG16&gt;=Inputs!$B$12,Inputs!$B$7,0)</f>
        <v>100</v>
      </c>
      <c r="BH37" s="27" t="n">
        <f aca="false">IF(BH16&gt;=Inputs!$B$12,Inputs!$B$7,0)</f>
        <v>100</v>
      </c>
      <c r="BI37" s="27" t="n">
        <f aca="false">IF(BI16&gt;=Inputs!$B$12,Inputs!$B$7,0)</f>
        <v>100</v>
      </c>
      <c r="BJ37" s="27" t="n">
        <f aca="false">IF(BJ16&gt;=Inputs!$B$12,Inputs!$B$7,0)</f>
        <v>100</v>
      </c>
      <c r="BK37" s="27" t="n">
        <f aca="false">IF(BK16&gt;=Inputs!$B$12,Inputs!$B$7,0)</f>
        <v>100</v>
      </c>
    </row>
    <row r="38" customFormat="false" ht="15" hidden="false" customHeight="false" outlineLevel="0" collapsed="false">
      <c r="A38" s="3" t="s">
        <v>278</v>
      </c>
      <c r="D38" s="33" t="n">
        <f aca="false">Project_CF!D14+D22-D37</f>
        <v>-91.25</v>
      </c>
      <c r="E38" s="33" t="n">
        <f aca="false">Project_CF!E14+E22-E37</f>
        <v>-102.5</v>
      </c>
      <c r="F38" s="33" t="n">
        <f aca="false">Project_CF!F14+F22-F37</f>
        <v>-103.6107625</v>
      </c>
      <c r="G38" s="33" t="n">
        <f aca="false">Project_CF!G14+G22-G37</f>
        <v>-94.5822875</v>
      </c>
      <c r="H38" s="33" t="n">
        <f aca="false">Project_CF!H14+H22-H37</f>
        <v>-101.07028125</v>
      </c>
      <c r="I38" s="33" t="n">
        <f aca="false">Project_CF!I14+I22-I37</f>
        <v>-96.18474375</v>
      </c>
      <c r="J38" s="33" t="n">
        <f aca="false">Project_CF!J14+J22-J37</f>
        <v>-115.43043375</v>
      </c>
      <c r="K38" s="33" t="n">
        <f aca="false">Project_CF!K14+K22-K37</f>
        <v>-117.928264375</v>
      </c>
      <c r="L38" s="33" t="n">
        <f aca="false">Project_CF!L14+L22-L37</f>
        <v>-116.2306759375</v>
      </c>
      <c r="M38" s="33" t="n">
        <f aca="false">Project_CF!M14+M22-M37</f>
        <v>260.3919015625</v>
      </c>
      <c r="N38" s="33" t="n">
        <f aca="false">Project_CF!N14+N22-N37</f>
        <v>394.1586415625</v>
      </c>
      <c r="O38" s="33" t="n">
        <f aca="false">Project_CF!O14+O22-O37</f>
        <v>518.8816315625</v>
      </c>
      <c r="P38" s="33" t="n">
        <f aca="false">Project_CF!P14+P22-P37</f>
        <v>420.4943415625</v>
      </c>
      <c r="Q38" s="33" t="n">
        <f aca="false">Project_CF!Q14+Q22-Q37</f>
        <v>294.5435103125</v>
      </c>
      <c r="R38" s="33" t="n">
        <f aca="false">Project_CF!R14+R22-R37</f>
        <v>117.9926790625</v>
      </c>
      <c r="S38" s="33" t="n">
        <f aca="false">Project_CF!S14+S22-S37</f>
        <v>-5.17648531249998</v>
      </c>
      <c r="T38" s="33" t="n">
        <f aca="false">Project_CF!T14+T22-T37</f>
        <v>6.55015437500001</v>
      </c>
      <c r="U38" s="33" t="n">
        <f aca="false">Project_CF!U14+U22-U37</f>
        <v>17.2628703125</v>
      </c>
      <c r="V38" s="33" t="n">
        <f aca="false">Project_CF!V14+V22-V37</f>
        <v>21.986815</v>
      </c>
      <c r="W38" s="33" t="n">
        <f aca="false">Project_CF!W14+W22-W37</f>
        <v>22.3697596875</v>
      </c>
      <c r="X38" s="33" t="n">
        <f aca="false">Project_CF!X14+X22-X37</f>
        <v>45.252704375</v>
      </c>
      <c r="Y38" s="33" t="n">
        <f aca="false">Project_CF!Y14+Y22-Y37</f>
        <v>60.8554303125</v>
      </c>
      <c r="Z38" s="33" t="n">
        <f aca="false">Project_CF!Z14+Z22-Z37</f>
        <v>76.45815625</v>
      </c>
      <c r="AA38" s="33" t="n">
        <f aca="false">Project_CF!AA14+AA22-AA37</f>
        <v>92.0608821875</v>
      </c>
      <c r="AB38" s="33" t="n">
        <f aca="false">Project_CF!AB14+AB22-AB37</f>
        <v>124.375608125</v>
      </c>
      <c r="AC38" s="33" t="n">
        <f aca="false">Project_CF!AC14+AC22-AC37</f>
        <v>153.414235625</v>
      </c>
      <c r="AD38" s="33" t="n">
        <f aca="false">Project_CF!AD14+AD22-AD37</f>
        <v>178.844406875</v>
      </c>
      <c r="AE38" s="33" t="n">
        <f aca="false">Project_CF!AE14+AE22-AE37</f>
        <v>199.933578125</v>
      </c>
      <c r="AF38" s="33" t="n">
        <f aca="false">Project_CF!AF14+AF22-AF37</f>
        <v>113.264539023437</v>
      </c>
      <c r="AG38" s="33" t="n">
        <f aca="false">Project_CF!AG14+AG22-AG37</f>
        <v>123.377197851562</v>
      </c>
      <c r="AH38" s="33" t="n">
        <f aca="false">Project_CF!AH14+AH22-AH37</f>
        <v>133.489856679687</v>
      </c>
      <c r="AI38" s="33" t="n">
        <f aca="false">Project_CF!AI14+AI22-AI37</f>
        <v>143.602515507812</v>
      </c>
      <c r="AJ38" s="33" t="n">
        <f aca="false">Project_CF!AJ14+AJ22-AJ37</f>
        <v>153.715174335938</v>
      </c>
      <c r="AK38" s="33" t="n">
        <f aca="false">Project_CF!AK14+AK22-AK37</f>
        <v>162.59929625</v>
      </c>
      <c r="AL38" s="33" t="n">
        <f aca="false">Project_CF!AL14+AL22-AL37</f>
        <v>171.483418164063</v>
      </c>
      <c r="AM38" s="33" t="n">
        <f aca="false">Project_CF!AM14+AM22-AM37</f>
        <v>178.0244175</v>
      </c>
      <c r="AN38" s="33" t="n">
        <f aca="false">Project_CF!AN14+AN22-AN37</f>
        <v>181.43913671875</v>
      </c>
      <c r="AO38" s="33" t="n">
        <f aca="false">Project_CF!AO14+AO22-AO37</f>
        <v>183.4475275</v>
      </c>
      <c r="AP38" s="33" t="n">
        <f aca="false">Project_CF!AP14+AP22-AP37</f>
        <v>183.4475275</v>
      </c>
      <c r="AQ38" s="33" t="n">
        <f aca="false">Project_CF!AQ14+AQ22-AQ37</f>
        <v>183.4475275</v>
      </c>
      <c r="AR38" s="33" t="n">
        <f aca="false">Project_CF!AR14+AR22-AR37</f>
        <v>183.4475275</v>
      </c>
      <c r="AS38" s="33" t="n">
        <f aca="false">Project_CF!AS14+AS22-AS37</f>
        <v>183.4475275</v>
      </c>
      <c r="AT38" s="33" t="n">
        <f aca="false">Project_CF!AT14+AT22-AT37</f>
        <v>183.4475275</v>
      </c>
      <c r="AU38" s="33" t="n">
        <f aca="false">Project_CF!AU14+AU22-AU37</f>
        <v>183.4475275</v>
      </c>
      <c r="AV38" s="33" t="n">
        <f aca="false">Project_CF!AV14+AV22-AV37</f>
        <v>183.4475275</v>
      </c>
      <c r="AW38" s="33" t="n">
        <f aca="false">Project_CF!AW14+AW22-AW37</f>
        <v>183.4475275</v>
      </c>
      <c r="AX38" s="33" t="n">
        <f aca="false">Project_CF!AX14+AX22-AX37</f>
        <v>183.4475275</v>
      </c>
      <c r="AY38" s="33" t="n">
        <f aca="false">Project_CF!AY14+AY22-AY37</f>
        <v>183.4475275</v>
      </c>
      <c r="AZ38" s="33" t="n">
        <f aca="false">Project_CF!AZ14+AZ22-AZ37</f>
        <v>183.4475275</v>
      </c>
      <c r="BA38" s="33" t="n">
        <f aca="false">Project_CF!BA14+BA22-BA37</f>
        <v>183.4475275</v>
      </c>
      <c r="BB38" s="33" t="n">
        <f aca="false">Project_CF!BB14+BB22-BB37</f>
        <v>183.4475275</v>
      </c>
      <c r="BC38" s="33" t="n">
        <f aca="false">Project_CF!BC14+BC22-BC37</f>
        <v>183.4475275</v>
      </c>
      <c r="BD38" s="33" t="n">
        <f aca="false">Project_CF!BD14+BD22-BD37</f>
        <v>183.4475275</v>
      </c>
      <c r="BE38" s="33" t="n">
        <f aca="false">Project_CF!BE14+BE22-BE37</f>
        <v>183.4475275</v>
      </c>
      <c r="BF38" s="33" t="n">
        <f aca="false">Project_CF!BF14+BF22-BF37</f>
        <v>183.4475275</v>
      </c>
      <c r="BG38" s="33" t="n">
        <f aca="false">Project_CF!BG14+BG22-BG37</f>
        <v>183.4475275</v>
      </c>
      <c r="BH38" s="33" t="n">
        <f aca="false">Project_CF!BH14+BH22-BH37</f>
        <v>183.4475275</v>
      </c>
      <c r="BI38" s="33" t="n">
        <f aca="false">Project_CF!BI14+BI22-BI37</f>
        <v>183.4475275</v>
      </c>
      <c r="BJ38" s="33" t="n">
        <f aca="false">Project_CF!BJ14+BJ22-BJ37</f>
        <v>183.4475275</v>
      </c>
      <c r="BK38" s="33" t="n">
        <f aca="false">Project_CF!BK14+BK22-BK37</f>
        <v>183.4475275</v>
      </c>
    </row>
    <row r="40" customFormat="false" ht="23.85" hidden="false" customHeight="false" outlineLevel="0" collapsed="false">
      <c r="A40" s="7" t="s">
        <v>279</v>
      </c>
      <c r="B40" s="7" t="s">
        <v>280</v>
      </c>
      <c r="C40" s="7" t="s">
        <v>50</v>
      </c>
    </row>
    <row r="41" customFormat="false" ht="15" hidden="false" customHeight="false" outlineLevel="0" collapsed="false">
      <c r="A41" s="18" t="n">
        <v>1.5</v>
      </c>
      <c r="B41" s="16" t="n">
        <f aca="false">(1+IRR(D50:BK50,0.05))^4-1</f>
        <v>0.183305740998929</v>
      </c>
      <c r="C41" s="42" t="n">
        <f aca="false">SUMIF(D50:BK50,"&gt;0")/-SUMIF(D50:BK50,"&lt;0")</f>
        <v>2.08602150537634</v>
      </c>
    </row>
    <row r="42" customFormat="false" ht="15" hidden="false" customHeight="false" outlineLevel="0" collapsed="false">
      <c r="A42" s="18" t="n">
        <v>1.75</v>
      </c>
      <c r="B42" s="16" t="n">
        <f aca="false">(1+IRR(D51:BK51,0.05))^4-1</f>
        <v>0.22588591243053</v>
      </c>
      <c r="C42" s="42" t="n">
        <f aca="false">SUMIF(D51:BK51,"&gt;0")/-SUMIF(D51:BK51,"&lt;0")</f>
        <v>2.4336917562724</v>
      </c>
    </row>
    <row r="43" customFormat="false" ht="15" hidden="false" customHeight="false" outlineLevel="0" collapsed="false">
      <c r="A43" s="18" t="n">
        <v>2</v>
      </c>
      <c r="B43" s="16" t="n">
        <f aca="false">(1+IRR(D52:BK52,0.05))^4-1</f>
        <v>0.264029906719608</v>
      </c>
      <c r="C43" s="42" t="n">
        <f aca="false">SUMIF(D52:BK52,"&gt;0")/-SUMIF(D52:BK52,"&lt;0")</f>
        <v>2.78136200716846</v>
      </c>
    </row>
    <row r="44" customFormat="false" ht="15" hidden="false" customHeight="false" outlineLevel="0" collapsed="false">
      <c r="A44" s="18" t="n">
        <v>2.25</v>
      </c>
      <c r="B44" s="16" t="n">
        <f aca="false">(1+IRR(D53:BK53,0.05))^4-1</f>
        <v>0.298677361958581</v>
      </c>
      <c r="C44" s="42" t="n">
        <f aca="false">SUMIF(D53:BK53,"&gt;0")/-SUMIF(D53:BK53,"&lt;0")</f>
        <v>3.12903225806452</v>
      </c>
    </row>
    <row r="45" customFormat="false" ht="15" hidden="false" customHeight="false" outlineLevel="0" collapsed="false">
      <c r="A45" s="18" t="n">
        <v>2.5</v>
      </c>
      <c r="B45" s="16" t="n">
        <f aca="false">(1+IRR(D54:BK54,0.05))^4-1</f>
        <v>0.330489273987561</v>
      </c>
      <c r="C45" s="42" t="n">
        <f aca="false">SUMIF(D54:BK54,"&gt;0")/-SUMIF(D54:BK54,"&lt;0")</f>
        <v>3.47670250896057</v>
      </c>
    </row>
    <row r="47" customFormat="false" ht="23.85" hidden="false" customHeight="false" outlineLevel="0" collapsed="false">
      <c r="A47" s="7" t="s">
        <v>281</v>
      </c>
      <c r="B47" s="7" t="s">
        <v>280</v>
      </c>
      <c r="C47" s="7" t="s">
        <v>50</v>
      </c>
    </row>
    <row r="48" customFormat="false" ht="15" hidden="false" customHeight="false" outlineLevel="0" collapsed="false">
      <c r="A48" s="20" t="n">
        <v>0</v>
      </c>
      <c r="B48" s="16" t="n">
        <f aca="false">(1+IRR(D56:BK56,0.05))^4-1</f>
        <v>0.392838827718366</v>
      </c>
      <c r="C48" s="42" t="n">
        <f aca="false">SUMIF(D56:BK56,"&gt;0")/-SUMIF(D56:BK56,"&lt;0")</f>
        <v>1.94</v>
      </c>
    </row>
    <row r="49" customFormat="false" ht="15" hidden="false" customHeight="false" outlineLevel="0" collapsed="false">
      <c r="A49" s="20" t="n">
        <v>0.1</v>
      </c>
      <c r="B49" s="16" t="n">
        <f aca="false">(1+IRR(D57:BK57,0.05))^4-1</f>
        <v>0.321362932732715</v>
      </c>
      <c r="C49" s="42" t="n">
        <f aca="false">SUMIF(D57:BK57,"&gt;0")/-SUMIF(D57:BK57,"&lt;0")</f>
        <v>1.746</v>
      </c>
    </row>
    <row r="50" customFormat="false" ht="15" hidden="false" customHeight="false" outlineLevel="0" collapsed="false">
      <c r="A50" s="20" t="n">
        <v>0.2</v>
      </c>
      <c r="B50" s="16" t="n">
        <f aca="false">(1+IRR(D58:BK58,0.05))^4-1</f>
        <v>0.245792920191796</v>
      </c>
      <c r="C50" s="42" t="n">
        <f aca="false">SUMIF(D58:BK58,"&gt;0")/-SUMIF(D58:BK58,"&lt;0")</f>
        <v>1.552</v>
      </c>
      <c r="D50" s="33" t="n">
        <f aca="false">IF(Source_Data!D$6=Inputs!$B$12,-Inputs!$B$7,0)+IF(AND(Source_Data!D$6&gt;=Inputs!$B$13+3,Source_Data!D$6&lt;Inputs!$B$13+3+3*Inputs!$B$16,MOD(Source_Data!D$6-(Inputs!$B$13+3),3)=0),$A$41*Inputs!$B$7*Inputs!$B$34*(1-Inputs!$B$15)/Inputs!$B$16,0)</f>
        <v>-100</v>
      </c>
      <c r="E50" s="33" t="n">
        <f aca="false">IF(Source_Data!E$6=Inputs!$B$12,-Inputs!$B$7,0)+IF(AND(Source_Data!E$6&gt;=Inputs!$B$13+3,Source_Data!E$6&lt;Inputs!$B$13+3+3*Inputs!$B$16,MOD(Source_Data!E$6-(Inputs!$B$13+3),3)=0),$A$41*Inputs!$B$7*Inputs!$B$34*(1-Inputs!$B$15)/Inputs!$B$16,0)</f>
        <v>0</v>
      </c>
      <c r="F50" s="33" t="n">
        <f aca="false">IF(Source_Data!F$6=Inputs!$B$12,-Inputs!$B$7,0)+IF(AND(Source_Data!F$6&gt;=Inputs!$B$13+3,Source_Data!F$6&lt;Inputs!$B$13+3+3*Inputs!$B$16,MOD(Source_Data!F$6-(Inputs!$B$13+3),3)=0),$A$41*Inputs!$B$7*Inputs!$B$34*(1-Inputs!$B$15)/Inputs!$B$16,0)</f>
        <v>0</v>
      </c>
      <c r="G50" s="33" t="n">
        <f aca="false">IF(Source_Data!G$6=Inputs!$B$12,-Inputs!$B$7,0)+IF(AND(Source_Data!G$6&gt;=Inputs!$B$13+3,Source_Data!G$6&lt;Inputs!$B$13+3+3*Inputs!$B$16,MOD(Source_Data!G$6-(Inputs!$B$13+3),3)=0),$A$41*Inputs!$B$7*Inputs!$B$34*(1-Inputs!$B$15)/Inputs!$B$16,0)</f>
        <v>0</v>
      </c>
      <c r="H50" s="33" t="n">
        <f aca="false">IF(Source_Data!H$6=Inputs!$B$12,-Inputs!$B$7,0)+IF(AND(Source_Data!H$6&gt;=Inputs!$B$13+3,Source_Data!H$6&lt;Inputs!$B$13+3+3*Inputs!$B$16,MOD(Source_Data!H$6-(Inputs!$B$13+3),3)=0),$A$41*Inputs!$B$7*Inputs!$B$34*(1-Inputs!$B$15)/Inputs!$B$16,0)</f>
        <v>0</v>
      </c>
      <c r="I50" s="33" t="n">
        <f aca="false">IF(Source_Data!I$6=Inputs!$B$12,-Inputs!$B$7,0)+IF(AND(Source_Data!I$6&gt;=Inputs!$B$13+3,Source_Data!I$6&lt;Inputs!$B$13+3+3*Inputs!$B$16,MOD(Source_Data!I$6-(Inputs!$B$13+3),3)=0),$A$41*Inputs!$B$7*Inputs!$B$34*(1-Inputs!$B$15)/Inputs!$B$16,0)</f>
        <v>0</v>
      </c>
      <c r="J50" s="33" t="n">
        <f aca="false">IF(Source_Data!J$6=Inputs!$B$12,-Inputs!$B$7,0)+IF(AND(Source_Data!J$6&gt;=Inputs!$B$13+3,Source_Data!J$6&lt;Inputs!$B$13+3+3*Inputs!$B$16,MOD(Source_Data!J$6-(Inputs!$B$13+3),3)=0),$A$41*Inputs!$B$7*Inputs!$B$34*(1-Inputs!$B$15)/Inputs!$B$16,0)</f>
        <v>0</v>
      </c>
      <c r="K50" s="33" t="n">
        <f aca="false">IF(Source_Data!K$6=Inputs!$B$12,-Inputs!$B$7,0)+IF(AND(Source_Data!K$6&gt;=Inputs!$B$13+3,Source_Data!K$6&lt;Inputs!$B$13+3+3*Inputs!$B$16,MOD(Source_Data!K$6-(Inputs!$B$13+3),3)=0),$A$41*Inputs!$B$7*Inputs!$B$34*(1-Inputs!$B$15)/Inputs!$B$16,0)</f>
        <v>0</v>
      </c>
      <c r="L50" s="33" t="n">
        <f aca="false">IF(Source_Data!L$6=Inputs!$B$12,-Inputs!$B$7,0)+IF(AND(Source_Data!L$6&gt;=Inputs!$B$13+3,Source_Data!L$6&lt;Inputs!$B$13+3+3*Inputs!$B$16,MOD(Source_Data!L$6-(Inputs!$B$13+3),3)=0),$A$41*Inputs!$B$7*Inputs!$B$34*(1-Inputs!$B$15)/Inputs!$B$16,0)</f>
        <v>0</v>
      </c>
      <c r="M50" s="33" t="n">
        <f aca="false">IF(Source_Data!M$6=Inputs!$B$12,-Inputs!$B$7,0)+IF(AND(Source_Data!M$6&gt;=Inputs!$B$13+3,Source_Data!M$6&lt;Inputs!$B$13+3+3*Inputs!$B$16,MOD(Source_Data!M$6-(Inputs!$B$13+3),3)=0),$A$41*Inputs!$B$7*Inputs!$B$34*(1-Inputs!$B$15)/Inputs!$B$16,0)</f>
        <v>0</v>
      </c>
      <c r="N50" s="33" t="n">
        <f aca="false">IF(Source_Data!N$6=Inputs!$B$12,-Inputs!$B$7,0)+IF(AND(Source_Data!N$6&gt;=Inputs!$B$13+3,Source_Data!N$6&lt;Inputs!$B$13+3+3*Inputs!$B$16,MOD(Source_Data!N$6-(Inputs!$B$13+3),3)=0),$A$41*Inputs!$B$7*Inputs!$B$34*(1-Inputs!$B$15)/Inputs!$B$16,0)</f>
        <v>0</v>
      </c>
      <c r="O50" s="33" t="n">
        <f aca="false">IF(Source_Data!O$6=Inputs!$B$12,-Inputs!$B$7,0)+IF(AND(Source_Data!O$6&gt;=Inputs!$B$13+3,Source_Data!O$6&lt;Inputs!$B$13+3+3*Inputs!$B$16,MOD(Source_Data!O$6-(Inputs!$B$13+3),3)=0),$A$41*Inputs!$B$7*Inputs!$B$34*(1-Inputs!$B$15)/Inputs!$B$16,0)</f>
        <v>0</v>
      </c>
      <c r="P50" s="33" t="n">
        <f aca="false">IF(Source_Data!P$6=Inputs!$B$12,-Inputs!$B$7,0)+IF(AND(Source_Data!P$6&gt;=Inputs!$B$13+3,Source_Data!P$6&lt;Inputs!$B$13+3+3*Inputs!$B$16,MOD(Source_Data!P$6-(Inputs!$B$13+3),3)=0),$A$41*Inputs!$B$7*Inputs!$B$34*(1-Inputs!$B$15)/Inputs!$B$16,0)</f>
        <v>0</v>
      </c>
      <c r="Q50" s="33" t="n">
        <f aca="false">IF(Source_Data!Q$6=Inputs!$B$12,-Inputs!$B$7,0)+IF(AND(Source_Data!Q$6&gt;=Inputs!$B$13+3,Source_Data!Q$6&lt;Inputs!$B$13+3+3*Inputs!$B$16,MOD(Source_Data!Q$6-(Inputs!$B$13+3),3)=0),$A$41*Inputs!$B$7*Inputs!$B$34*(1-Inputs!$B$15)/Inputs!$B$16,0)</f>
        <v>0</v>
      </c>
      <c r="R50" s="33" t="n">
        <f aca="false">IF(Source_Data!R$6=Inputs!$B$12,-Inputs!$B$7,0)+IF(AND(Source_Data!R$6&gt;=Inputs!$B$13+3,Source_Data!R$6&lt;Inputs!$B$13+3+3*Inputs!$B$16,MOD(Source_Data!R$6-(Inputs!$B$13+3),3)=0),$A$41*Inputs!$B$7*Inputs!$B$34*(1-Inputs!$B$15)/Inputs!$B$16,0)</f>
        <v>0</v>
      </c>
      <c r="S50" s="33" t="n">
        <f aca="false">IF(Source_Data!S$6=Inputs!$B$12,-Inputs!$B$7,0)+IF(AND(Source_Data!S$6&gt;=Inputs!$B$13+3,Source_Data!S$6&lt;Inputs!$B$13+3+3*Inputs!$B$16,MOD(Source_Data!S$6-(Inputs!$B$13+3),3)=0),$A$41*Inputs!$B$7*Inputs!$B$34*(1-Inputs!$B$15)/Inputs!$B$16,0)</f>
        <v>0</v>
      </c>
      <c r="T50" s="33" t="n">
        <f aca="false">IF(Source_Data!T$6=Inputs!$B$12,-Inputs!$B$7,0)+IF(AND(Source_Data!T$6&gt;=Inputs!$B$13+3,Source_Data!T$6&lt;Inputs!$B$13+3+3*Inputs!$B$16,MOD(Source_Data!T$6-(Inputs!$B$13+3),3)=0),$A$41*Inputs!$B$7*Inputs!$B$34*(1-Inputs!$B$15)/Inputs!$B$16,0)</f>
        <v>52.1505376344086</v>
      </c>
      <c r="U50" s="33" t="n">
        <f aca="false">IF(Source_Data!U$6=Inputs!$B$12,-Inputs!$B$7,0)+IF(AND(Source_Data!U$6&gt;=Inputs!$B$13+3,Source_Data!U$6&lt;Inputs!$B$13+3+3*Inputs!$B$16,MOD(Source_Data!U$6-(Inputs!$B$13+3),3)=0),$A$41*Inputs!$B$7*Inputs!$B$34*(1-Inputs!$B$15)/Inputs!$B$16,0)</f>
        <v>52.1505376344086</v>
      </c>
      <c r="V50" s="33" t="n">
        <f aca="false">IF(Source_Data!V$6=Inputs!$B$12,-Inputs!$B$7,0)+IF(AND(Source_Data!V$6&gt;=Inputs!$B$13+3,Source_Data!V$6&lt;Inputs!$B$13+3+3*Inputs!$B$16,MOD(Source_Data!V$6-(Inputs!$B$13+3),3)=0),$A$41*Inputs!$B$7*Inputs!$B$34*(1-Inputs!$B$15)/Inputs!$B$16,0)</f>
        <v>52.1505376344086</v>
      </c>
      <c r="W50" s="33" t="n">
        <f aca="false">IF(Source_Data!W$6=Inputs!$B$12,-Inputs!$B$7,0)+IF(AND(Source_Data!W$6&gt;=Inputs!$B$13+3,Source_Data!W$6&lt;Inputs!$B$13+3+3*Inputs!$B$16,MOD(Source_Data!W$6-(Inputs!$B$13+3),3)=0),$A$41*Inputs!$B$7*Inputs!$B$34*(1-Inputs!$B$15)/Inputs!$B$16,0)</f>
        <v>52.1505376344086</v>
      </c>
      <c r="X50" s="33" t="n">
        <f aca="false">IF(Source_Data!X$6=Inputs!$B$12,-Inputs!$B$7,0)+IF(AND(Source_Data!X$6&gt;=Inputs!$B$13+3,Source_Data!X$6&lt;Inputs!$B$13+3+3*Inputs!$B$16,MOD(Source_Data!X$6-(Inputs!$B$13+3),3)=0),$A$41*Inputs!$B$7*Inputs!$B$34*(1-Inputs!$B$15)/Inputs!$B$16,0)</f>
        <v>0</v>
      </c>
      <c r="Y50" s="33" t="n">
        <f aca="false">IF(Source_Data!Y$6=Inputs!$B$12,-Inputs!$B$7,0)+IF(AND(Source_Data!Y$6&gt;=Inputs!$B$13+3,Source_Data!Y$6&lt;Inputs!$B$13+3+3*Inputs!$B$16,MOD(Source_Data!Y$6-(Inputs!$B$13+3),3)=0),$A$41*Inputs!$B$7*Inputs!$B$34*(1-Inputs!$B$15)/Inputs!$B$16,0)</f>
        <v>0</v>
      </c>
      <c r="Z50" s="33" t="n">
        <f aca="false">IF(Source_Data!Z$6=Inputs!$B$12,-Inputs!$B$7,0)+IF(AND(Source_Data!Z$6&gt;=Inputs!$B$13+3,Source_Data!Z$6&lt;Inputs!$B$13+3+3*Inputs!$B$16,MOD(Source_Data!Z$6-(Inputs!$B$13+3),3)=0),$A$41*Inputs!$B$7*Inputs!$B$34*(1-Inputs!$B$15)/Inputs!$B$16,0)</f>
        <v>0</v>
      </c>
      <c r="AA50" s="33" t="n">
        <f aca="false">IF(Source_Data!AA$6=Inputs!$B$12,-Inputs!$B$7,0)+IF(AND(Source_Data!AA$6&gt;=Inputs!$B$13+3,Source_Data!AA$6&lt;Inputs!$B$13+3+3*Inputs!$B$16,MOD(Source_Data!AA$6-(Inputs!$B$13+3),3)=0),$A$41*Inputs!$B$7*Inputs!$B$34*(1-Inputs!$B$15)/Inputs!$B$16,0)</f>
        <v>0</v>
      </c>
      <c r="AB50" s="33" t="n">
        <f aca="false">IF(Source_Data!AB$6=Inputs!$B$12,-Inputs!$B$7,0)+IF(AND(Source_Data!AB$6&gt;=Inputs!$B$13+3,Source_Data!AB$6&lt;Inputs!$B$13+3+3*Inputs!$B$16,MOD(Source_Data!AB$6-(Inputs!$B$13+3),3)=0),$A$41*Inputs!$B$7*Inputs!$B$34*(1-Inputs!$B$15)/Inputs!$B$16,0)</f>
        <v>0</v>
      </c>
      <c r="AC50" s="33" t="n">
        <f aca="false">IF(Source_Data!AC$6=Inputs!$B$12,-Inputs!$B$7,0)+IF(AND(Source_Data!AC$6&gt;=Inputs!$B$13+3,Source_Data!AC$6&lt;Inputs!$B$13+3+3*Inputs!$B$16,MOD(Source_Data!AC$6-(Inputs!$B$13+3),3)=0),$A$41*Inputs!$B$7*Inputs!$B$34*(1-Inputs!$B$15)/Inputs!$B$16,0)</f>
        <v>0</v>
      </c>
      <c r="AD50" s="33" t="n">
        <f aca="false">IF(Source_Data!AD$6=Inputs!$B$12,-Inputs!$B$7,0)+IF(AND(Source_Data!AD$6&gt;=Inputs!$B$13+3,Source_Data!AD$6&lt;Inputs!$B$13+3+3*Inputs!$B$16,MOD(Source_Data!AD$6-(Inputs!$B$13+3),3)=0),$A$41*Inputs!$B$7*Inputs!$B$34*(1-Inputs!$B$15)/Inputs!$B$16,0)</f>
        <v>0</v>
      </c>
      <c r="AE50" s="33" t="n">
        <f aca="false">IF(Source_Data!AE$6=Inputs!$B$12,-Inputs!$B$7,0)+IF(AND(Source_Data!AE$6&gt;=Inputs!$B$13+3,Source_Data!AE$6&lt;Inputs!$B$13+3+3*Inputs!$B$16,MOD(Source_Data!AE$6-(Inputs!$B$13+3),3)=0),$A$41*Inputs!$B$7*Inputs!$B$34*(1-Inputs!$B$15)/Inputs!$B$16,0)</f>
        <v>0</v>
      </c>
      <c r="AF50" s="33" t="n">
        <f aca="false">IF(Source_Data!AF$6=Inputs!$B$12,-Inputs!$B$7,0)+IF(AND(Source_Data!AF$6&gt;=Inputs!$B$13+3,Source_Data!AF$6&lt;Inputs!$B$13+3+3*Inputs!$B$16,MOD(Source_Data!AF$6-(Inputs!$B$13+3),3)=0),$A$41*Inputs!$B$7*Inputs!$B$34*(1-Inputs!$B$15)/Inputs!$B$16,0)</f>
        <v>0</v>
      </c>
      <c r="AG50" s="33" t="n">
        <f aca="false">IF(Source_Data!AG$6=Inputs!$B$12,-Inputs!$B$7,0)+IF(AND(Source_Data!AG$6&gt;=Inputs!$B$13+3,Source_Data!AG$6&lt;Inputs!$B$13+3+3*Inputs!$B$16,MOD(Source_Data!AG$6-(Inputs!$B$13+3),3)=0),$A$41*Inputs!$B$7*Inputs!$B$34*(1-Inputs!$B$15)/Inputs!$B$16,0)</f>
        <v>0</v>
      </c>
      <c r="AH50" s="33" t="n">
        <f aca="false">IF(Source_Data!AH$6=Inputs!$B$12,-Inputs!$B$7,0)+IF(AND(Source_Data!AH$6&gt;=Inputs!$B$13+3,Source_Data!AH$6&lt;Inputs!$B$13+3+3*Inputs!$B$16,MOD(Source_Data!AH$6-(Inputs!$B$13+3),3)=0),$A$41*Inputs!$B$7*Inputs!$B$34*(1-Inputs!$B$15)/Inputs!$B$16,0)</f>
        <v>0</v>
      </c>
      <c r="AI50" s="33" t="n">
        <f aca="false">IF(Source_Data!AI$6=Inputs!$B$12,-Inputs!$B$7,0)+IF(AND(Source_Data!AI$6&gt;=Inputs!$B$13+3,Source_Data!AI$6&lt;Inputs!$B$13+3+3*Inputs!$B$16,MOD(Source_Data!AI$6-(Inputs!$B$13+3),3)=0),$A$41*Inputs!$B$7*Inputs!$B$34*(1-Inputs!$B$15)/Inputs!$B$16,0)</f>
        <v>0</v>
      </c>
      <c r="AJ50" s="33" t="n">
        <f aca="false">IF(Source_Data!AJ$6=Inputs!$B$12,-Inputs!$B$7,0)+IF(AND(Source_Data!AJ$6&gt;=Inputs!$B$13+3,Source_Data!AJ$6&lt;Inputs!$B$13+3+3*Inputs!$B$16,MOD(Source_Data!AJ$6-(Inputs!$B$13+3),3)=0),$A$41*Inputs!$B$7*Inputs!$B$34*(1-Inputs!$B$15)/Inputs!$B$16,0)</f>
        <v>0</v>
      </c>
      <c r="AK50" s="33" t="n">
        <f aca="false">IF(Source_Data!AK$6=Inputs!$B$12,-Inputs!$B$7,0)+IF(AND(Source_Data!AK$6&gt;=Inputs!$B$13+3,Source_Data!AK$6&lt;Inputs!$B$13+3+3*Inputs!$B$16,MOD(Source_Data!AK$6-(Inputs!$B$13+3),3)=0),$A$41*Inputs!$B$7*Inputs!$B$34*(1-Inputs!$B$15)/Inputs!$B$16,0)</f>
        <v>0</v>
      </c>
      <c r="AL50" s="33" t="n">
        <f aca="false">IF(Source_Data!AL$6=Inputs!$B$12,-Inputs!$B$7,0)+IF(AND(Source_Data!AL$6&gt;=Inputs!$B$13+3,Source_Data!AL$6&lt;Inputs!$B$13+3+3*Inputs!$B$16,MOD(Source_Data!AL$6-(Inputs!$B$13+3),3)=0),$A$41*Inputs!$B$7*Inputs!$B$34*(1-Inputs!$B$15)/Inputs!$B$16,0)</f>
        <v>0</v>
      </c>
      <c r="AM50" s="33" t="n">
        <f aca="false">IF(Source_Data!AM$6=Inputs!$B$12,-Inputs!$B$7,0)+IF(AND(Source_Data!AM$6&gt;=Inputs!$B$13+3,Source_Data!AM$6&lt;Inputs!$B$13+3+3*Inputs!$B$16,MOD(Source_Data!AM$6-(Inputs!$B$13+3),3)=0),$A$41*Inputs!$B$7*Inputs!$B$34*(1-Inputs!$B$15)/Inputs!$B$16,0)</f>
        <v>0</v>
      </c>
      <c r="AN50" s="33" t="n">
        <f aca="false">IF(Source_Data!AN$6=Inputs!$B$12,-Inputs!$B$7,0)+IF(AND(Source_Data!AN$6&gt;=Inputs!$B$13+3,Source_Data!AN$6&lt;Inputs!$B$13+3+3*Inputs!$B$16,MOD(Source_Data!AN$6-(Inputs!$B$13+3),3)=0),$A$41*Inputs!$B$7*Inputs!$B$34*(1-Inputs!$B$15)/Inputs!$B$16,0)</f>
        <v>0</v>
      </c>
      <c r="AO50" s="33" t="n">
        <f aca="false">IF(Source_Data!AO$6=Inputs!$B$12,-Inputs!$B$7,0)+IF(AND(Source_Data!AO$6&gt;=Inputs!$B$13+3,Source_Data!AO$6&lt;Inputs!$B$13+3+3*Inputs!$B$16,MOD(Source_Data!AO$6-(Inputs!$B$13+3),3)=0),$A$41*Inputs!$B$7*Inputs!$B$34*(1-Inputs!$B$15)/Inputs!$B$16,0)</f>
        <v>0</v>
      </c>
      <c r="AP50" s="33" t="n">
        <f aca="false">IF(Source_Data!AP$6=Inputs!$B$12,-Inputs!$B$7,0)+IF(AND(Source_Data!AP$6&gt;=Inputs!$B$13+3,Source_Data!AP$6&lt;Inputs!$B$13+3+3*Inputs!$B$16,MOD(Source_Data!AP$6-(Inputs!$B$13+3),3)=0),$A$41*Inputs!$B$7*Inputs!$B$34*(1-Inputs!$B$15)/Inputs!$B$16,0)</f>
        <v>0</v>
      </c>
      <c r="AQ50" s="33" t="n">
        <f aca="false">IF(Source_Data!AQ$6=Inputs!$B$12,-Inputs!$B$7,0)+IF(AND(Source_Data!AQ$6&gt;=Inputs!$B$13+3,Source_Data!AQ$6&lt;Inputs!$B$13+3+3*Inputs!$B$16,MOD(Source_Data!AQ$6-(Inputs!$B$13+3),3)=0),$A$41*Inputs!$B$7*Inputs!$B$34*(1-Inputs!$B$15)/Inputs!$B$16,0)</f>
        <v>0</v>
      </c>
      <c r="AR50" s="33" t="n">
        <f aca="false">IF(Source_Data!AR$6=Inputs!$B$12,-Inputs!$B$7,0)+IF(AND(Source_Data!AR$6&gt;=Inputs!$B$13+3,Source_Data!AR$6&lt;Inputs!$B$13+3+3*Inputs!$B$16,MOD(Source_Data!AR$6-(Inputs!$B$13+3),3)=0),$A$41*Inputs!$B$7*Inputs!$B$34*(1-Inputs!$B$15)/Inputs!$B$16,0)</f>
        <v>0</v>
      </c>
      <c r="AS50" s="33" t="n">
        <f aca="false">IF(Source_Data!AS$6=Inputs!$B$12,-Inputs!$B$7,0)+IF(AND(Source_Data!AS$6&gt;=Inputs!$B$13+3,Source_Data!AS$6&lt;Inputs!$B$13+3+3*Inputs!$B$16,MOD(Source_Data!AS$6-(Inputs!$B$13+3),3)=0),$A$41*Inputs!$B$7*Inputs!$B$34*(1-Inputs!$B$15)/Inputs!$B$16,0)</f>
        <v>0</v>
      </c>
      <c r="AT50" s="33" t="n">
        <f aca="false">IF(Source_Data!AT$6=Inputs!$B$12,-Inputs!$B$7,0)+IF(AND(Source_Data!AT$6&gt;=Inputs!$B$13+3,Source_Data!AT$6&lt;Inputs!$B$13+3+3*Inputs!$B$16,MOD(Source_Data!AT$6-(Inputs!$B$13+3),3)=0),$A$41*Inputs!$B$7*Inputs!$B$34*(1-Inputs!$B$15)/Inputs!$B$16,0)</f>
        <v>0</v>
      </c>
      <c r="AU50" s="33" t="n">
        <f aca="false">IF(Source_Data!AU$6=Inputs!$B$12,-Inputs!$B$7,0)+IF(AND(Source_Data!AU$6&gt;=Inputs!$B$13+3,Source_Data!AU$6&lt;Inputs!$B$13+3+3*Inputs!$B$16,MOD(Source_Data!AU$6-(Inputs!$B$13+3),3)=0),$A$41*Inputs!$B$7*Inputs!$B$34*(1-Inputs!$B$15)/Inputs!$B$16,0)</f>
        <v>0</v>
      </c>
      <c r="AV50" s="33" t="n">
        <f aca="false">IF(Source_Data!AV$6=Inputs!$B$12,-Inputs!$B$7,0)+IF(AND(Source_Data!AV$6&gt;=Inputs!$B$13+3,Source_Data!AV$6&lt;Inputs!$B$13+3+3*Inputs!$B$16,MOD(Source_Data!AV$6-(Inputs!$B$13+3),3)=0),$A$41*Inputs!$B$7*Inputs!$B$34*(1-Inputs!$B$15)/Inputs!$B$16,0)</f>
        <v>0</v>
      </c>
      <c r="AW50" s="33" t="n">
        <f aca="false">IF(Source_Data!AW$6=Inputs!$B$12,-Inputs!$B$7,0)+IF(AND(Source_Data!AW$6&gt;=Inputs!$B$13+3,Source_Data!AW$6&lt;Inputs!$B$13+3+3*Inputs!$B$16,MOD(Source_Data!AW$6-(Inputs!$B$13+3),3)=0),$A$41*Inputs!$B$7*Inputs!$B$34*(1-Inputs!$B$15)/Inputs!$B$16,0)</f>
        <v>0</v>
      </c>
      <c r="AX50" s="33" t="n">
        <f aca="false">IF(Source_Data!AX$6=Inputs!$B$12,-Inputs!$B$7,0)+IF(AND(Source_Data!AX$6&gt;=Inputs!$B$13+3,Source_Data!AX$6&lt;Inputs!$B$13+3+3*Inputs!$B$16,MOD(Source_Data!AX$6-(Inputs!$B$13+3),3)=0),$A$41*Inputs!$B$7*Inputs!$B$34*(1-Inputs!$B$15)/Inputs!$B$16,0)</f>
        <v>0</v>
      </c>
      <c r="AY50" s="33" t="n">
        <f aca="false">IF(Source_Data!AY$6=Inputs!$B$12,-Inputs!$B$7,0)+IF(AND(Source_Data!AY$6&gt;=Inputs!$B$13+3,Source_Data!AY$6&lt;Inputs!$B$13+3+3*Inputs!$B$16,MOD(Source_Data!AY$6-(Inputs!$B$13+3),3)=0),$A$41*Inputs!$B$7*Inputs!$B$34*(1-Inputs!$B$15)/Inputs!$B$16,0)</f>
        <v>0</v>
      </c>
      <c r="AZ50" s="33" t="n">
        <f aca="false">IF(Source_Data!AZ$6=Inputs!$B$12,-Inputs!$B$7,0)+IF(AND(Source_Data!AZ$6&gt;=Inputs!$B$13+3,Source_Data!AZ$6&lt;Inputs!$B$13+3+3*Inputs!$B$16,MOD(Source_Data!AZ$6-(Inputs!$B$13+3),3)=0),$A$41*Inputs!$B$7*Inputs!$B$34*(1-Inputs!$B$15)/Inputs!$B$16,0)</f>
        <v>0</v>
      </c>
      <c r="BA50" s="33" t="n">
        <f aca="false">IF(Source_Data!BA$6=Inputs!$B$12,-Inputs!$B$7,0)+IF(AND(Source_Data!BA$6&gt;=Inputs!$B$13+3,Source_Data!BA$6&lt;Inputs!$B$13+3+3*Inputs!$B$16,MOD(Source_Data!BA$6-(Inputs!$B$13+3),3)=0),$A$41*Inputs!$B$7*Inputs!$B$34*(1-Inputs!$B$15)/Inputs!$B$16,0)</f>
        <v>0</v>
      </c>
      <c r="BB50" s="33" t="n">
        <f aca="false">IF(Source_Data!BB$6=Inputs!$B$12,-Inputs!$B$7,0)+IF(AND(Source_Data!BB$6&gt;=Inputs!$B$13+3,Source_Data!BB$6&lt;Inputs!$B$13+3+3*Inputs!$B$16,MOD(Source_Data!BB$6-(Inputs!$B$13+3),3)=0),$A$41*Inputs!$B$7*Inputs!$B$34*(1-Inputs!$B$15)/Inputs!$B$16,0)</f>
        <v>0</v>
      </c>
      <c r="BC50" s="33" t="n">
        <f aca="false">IF(Source_Data!BC$6=Inputs!$B$12,-Inputs!$B$7,0)+IF(AND(Source_Data!BC$6&gt;=Inputs!$B$13+3,Source_Data!BC$6&lt;Inputs!$B$13+3+3*Inputs!$B$16,MOD(Source_Data!BC$6-(Inputs!$B$13+3),3)=0),$A$41*Inputs!$B$7*Inputs!$B$34*(1-Inputs!$B$15)/Inputs!$B$16,0)</f>
        <v>0</v>
      </c>
      <c r="BD50" s="33" t="n">
        <f aca="false">IF(Source_Data!BD$6=Inputs!$B$12,-Inputs!$B$7,0)+IF(AND(Source_Data!BD$6&gt;=Inputs!$B$13+3,Source_Data!BD$6&lt;Inputs!$B$13+3+3*Inputs!$B$16,MOD(Source_Data!BD$6-(Inputs!$B$13+3),3)=0),$A$41*Inputs!$B$7*Inputs!$B$34*(1-Inputs!$B$15)/Inputs!$B$16,0)</f>
        <v>0</v>
      </c>
      <c r="BE50" s="33" t="n">
        <f aca="false">IF(Source_Data!BE$6=Inputs!$B$12,-Inputs!$B$7,0)+IF(AND(Source_Data!BE$6&gt;=Inputs!$B$13+3,Source_Data!BE$6&lt;Inputs!$B$13+3+3*Inputs!$B$16,MOD(Source_Data!BE$6-(Inputs!$B$13+3),3)=0),$A$41*Inputs!$B$7*Inputs!$B$34*(1-Inputs!$B$15)/Inputs!$B$16,0)</f>
        <v>0</v>
      </c>
      <c r="BF50" s="33" t="n">
        <f aca="false">IF(Source_Data!BF$6=Inputs!$B$12,-Inputs!$B$7,0)+IF(AND(Source_Data!BF$6&gt;=Inputs!$B$13+3,Source_Data!BF$6&lt;Inputs!$B$13+3+3*Inputs!$B$16,MOD(Source_Data!BF$6-(Inputs!$B$13+3),3)=0),$A$41*Inputs!$B$7*Inputs!$B$34*(1-Inputs!$B$15)/Inputs!$B$16,0)</f>
        <v>0</v>
      </c>
      <c r="BG50" s="33" t="n">
        <f aca="false">IF(Source_Data!BG$6=Inputs!$B$12,-Inputs!$B$7,0)+IF(AND(Source_Data!BG$6&gt;=Inputs!$B$13+3,Source_Data!BG$6&lt;Inputs!$B$13+3+3*Inputs!$B$16,MOD(Source_Data!BG$6-(Inputs!$B$13+3),3)=0),$A$41*Inputs!$B$7*Inputs!$B$34*(1-Inputs!$B$15)/Inputs!$B$16,0)</f>
        <v>0</v>
      </c>
      <c r="BH50" s="33" t="n">
        <f aca="false">IF(Source_Data!BH$6=Inputs!$B$12,-Inputs!$B$7,0)+IF(AND(Source_Data!BH$6&gt;=Inputs!$B$13+3,Source_Data!BH$6&lt;Inputs!$B$13+3+3*Inputs!$B$16,MOD(Source_Data!BH$6-(Inputs!$B$13+3),3)=0),$A$41*Inputs!$B$7*Inputs!$B$34*(1-Inputs!$B$15)/Inputs!$B$16,0)</f>
        <v>0</v>
      </c>
      <c r="BI50" s="33" t="n">
        <f aca="false">IF(Source_Data!BI$6=Inputs!$B$12,-Inputs!$B$7,0)+IF(AND(Source_Data!BI$6&gt;=Inputs!$B$13+3,Source_Data!BI$6&lt;Inputs!$B$13+3+3*Inputs!$B$16,MOD(Source_Data!BI$6-(Inputs!$B$13+3),3)=0),$A$41*Inputs!$B$7*Inputs!$B$34*(1-Inputs!$B$15)/Inputs!$B$16,0)</f>
        <v>0</v>
      </c>
      <c r="BJ50" s="33" t="n">
        <f aca="false">IF(Source_Data!BJ$6=Inputs!$B$12,-Inputs!$B$7,0)+IF(AND(Source_Data!BJ$6&gt;=Inputs!$B$13+3,Source_Data!BJ$6&lt;Inputs!$B$13+3+3*Inputs!$B$16,MOD(Source_Data!BJ$6-(Inputs!$B$13+3),3)=0),$A$41*Inputs!$B$7*Inputs!$B$34*(1-Inputs!$B$15)/Inputs!$B$16,0)</f>
        <v>0</v>
      </c>
      <c r="BK50" s="33" t="n">
        <f aca="false">IF(Source_Data!BK$6=Inputs!$B$12,-Inputs!$B$7,0)+IF(AND(Source_Data!BK$6&gt;=Inputs!$B$13+3,Source_Data!BK$6&lt;Inputs!$B$13+3+3*Inputs!$B$16,MOD(Source_Data!BK$6-(Inputs!$B$13+3),3)=0),$A$41*Inputs!$B$7*Inputs!$B$34*(1-Inputs!$B$15)/Inputs!$B$16,0)</f>
        <v>0</v>
      </c>
    </row>
    <row r="51" customFormat="false" ht="15" hidden="false" customHeight="false" outlineLevel="0" collapsed="false">
      <c r="A51" s="20" t="n">
        <v>0.3</v>
      </c>
      <c r="B51" s="16" t="n">
        <f aca="false">(1+IRR(D59:BK59,0.05))^4-1</f>
        <v>0.165332570556577</v>
      </c>
      <c r="C51" s="42" t="n">
        <f aca="false">SUMIF(D59:BK59,"&gt;0")/-SUMIF(D59:BK59,"&lt;0")</f>
        <v>1.358</v>
      </c>
      <c r="D51" s="33" t="n">
        <f aca="false">IF(Source_Data!D$6=Inputs!$B$12,-Inputs!$B$7,0)+IF(AND(Source_Data!D$6&gt;=Inputs!$B$13+3,Source_Data!D$6&lt;Inputs!$B$13+3+3*Inputs!$B$16,MOD(Source_Data!D$6-(Inputs!$B$13+3),3)=0),$A$42*Inputs!$B$7*Inputs!$B$34*(1-Inputs!$B$15)/Inputs!$B$16,0)</f>
        <v>-100</v>
      </c>
      <c r="E51" s="33" t="n">
        <f aca="false">IF(Source_Data!E$6=Inputs!$B$12,-Inputs!$B$7,0)+IF(AND(Source_Data!E$6&gt;=Inputs!$B$13+3,Source_Data!E$6&lt;Inputs!$B$13+3+3*Inputs!$B$16,MOD(Source_Data!E$6-(Inputs!$B$13+3),3)=0),$A$42*Inputs!$B$7*Inputs!$B$34*(1-Inputs!$B$15)/Inputs!$B$16,0)</f>
        <v>0</v>
      </c>
      <c r="F51" s="33" t="n">
        <f aca="false">IF(Source_Data!F$6=Inputs!$B$12,-Inputs!$B$7,0)+IF(AND(Source_Data!F$6&gt;=Inputs!$B$13+3,Source_Data!F$6&lt;Inputs!$B$13+3+3*Inputs!$B$16,MOD(Source_Data!F$6-(Inputs!$B$13+3),3)=0),$A$42*Inputs!$B$7*Inputs!$B$34*(1-Inputs!$B$15)/Inputs!$B$16,0)</f>
        <v>0</v>
      </c>
      <c r="G51" s="33" t="n">
        <f aca="false">IF(Source_Data!G$6=Inputs!$B$12,-Inputs!$B$7,0)+IF(AND(Source_Data!G$6&gt;=Inputs!$B$13+3,Source_Data!G$6&lt;Inputs!$B$13+3+3*Inputs!$B$16,MOD(Source_Data!G$6-(Inputs!$B$13+3),3)=0),$A$42*Inputs!$B$7*Inputs!$B$34*(1-Inputs!$B$15)/Inputs!$B$16,0)</f>
        <v>0</v>
      </c>
      <c r="H51" s="33" t="n">
        <f aca="false">IF(Source_Data!H$6=Inputs!$B$12,-Inputs!$B$7,0)+IF(AND(Source_Data!H$6&gt;=Inputs!$B$13+3,Source_Data!H$6&lt;Inputs!$B$13+3+3*Inputs!$B$16,MOD(Source_Data!H$6-(Inputs!$B$13+3),3)=0),$A$42*Inputs!$B$7*Inputs!$B$34*(1-Inputs!$B$15)/Inputs!$B$16,0)</f>
        <v>0</v>
      </c>
      <c r="I51" s="33" t="n">
        <f aca="false">IF(Source_Data!I$6=Inputs!$B$12,-Inputs!$B$7,0)+IF(AND(Source_Data!I$6&gt;=Inputs!$B$13+3,Source_Data!I$6&lt;Inputs!$B$13+3+3*Inputs!$B$16,MOD(Source_Data!I$6-(Inputs!$B$13+3),3)=0),$A$42*Inputs!$B$7*Inputs!$B$34*(1-Inputs!$B$15)/Inputs!$B$16,0)</f>
        <v>0</v>
      </c>
      <c r="J51" s="33" t="n">
        <f aca="false">IF(Source_Data!J$6=Inputs!$B$12,-Inputs!$B$7,0)+IF(AND(Source_Data!J$6&gt;=Inputs!$B$13+3,Source_Data!J$6&lt;Inputs!$B$13+3+3*Inputs!$B$16,MOD(Source_Data!J$6-(Inputs!$B$13+3),3)=0),$A$42*Inputs!$B$7*Inputs!$B$34*(1-Inputs!$B$15)/Inputs!$B$16,0)</f>
        <v>0</v>
      </c>
      <c r="K51" s="33" t="n">
        <f aca="false">IF(Source_Data!K$6=Inputs!$B$12,-Inputs!$B$7,0)+IF(AND(Source_Data!K$6&gt;=Inputs!$B$13+3,Source_Data!K$6&lt;Inputs!$B$13+3+3*Inputs!$B$16,MOD(Source_Data!K$6-(Inputs!$B$13+3),3)=0),$A$42*Inputs!$B$7*Inputs!$B$34*(1-Inputs!$B$15)/Inputs!$B$16,0)</f>
        <v>0</v>
      </c>
      <c r="L51" s="33" t="n">
        <f aca="false">IF(Source_Data!L$6=Inputs!$B$12,-Inputs!$B$7,0)+IF(AND(Source_Data!L$6&gt;=Inputs!$B$13+3,Source_Data!L$6&lt;Inputs!$B$13+3+3*Inputs!$B$16,MOD(Source_Data!L$6-(Inputs!$B$13+3),3)=0),$A$42*Inputs!$B$7*Inputs!$B$34*(1-Inputs!$B$15)/Inputs!$B$16,0)</f>
        <v>0</v>
      </c>
      <c r="M51" s="33" t="n">
        <f aca="false">IF(Source_Data!M$6=Inputs!$B$12,-Inputs!$B$7,0)+IF(AND(Source_Data!M$6&gt;=Inputs!$B$13+3,Source_Data!M$6&lt;Inputs!$B$13+3+3*Inputs!$B$16,MOD(Source_Data!M$6-(Inputs!$B$13+3),3)=0),$A$42*Inputs!$B$7*Inputs!$B$34*(1-Inputs!$B$15)/Inputs!$B$16,0)</f>
        <v>0</v>
      </c>
      <c r="N51" s="33" t="n">
        <f aca="false">IF(Source_Data!N$6=Inputs!$B$12,-Inputs!$B$7,0)+IF(AND(Source_Data!N$6&gt;=Inputs!$B$13+3,Source_Data!N$6&lt;Inputs!$B$13+3+3*Inputs!$B$16,MOD(Source_Data!N$6-(Inputs!$B$13+3),3)=0),$A$42*Inputs!$B$7*Inputs!$B$34*(1-Inputs!$B$15)/Inputs!$B$16,0)</f>
        <v>0</v>
      </c>
      <c r="O51" s="33" t="n">
        <f aca="false">IF(Source_Data!O$6=Inputs!$B$12,-Inputs!$B$7,0)+IF(AND(Source_Data!O$6&gt;=Inputs!$B$13+3,Source_Data!O$6&lt;Inputs!$B$13+3+3*Inputs!$B$16,MOD(Source_Data!O$6-(Inputs!$B$13+3),3)=0),$A$42*Inputs!$B$7*Inputs!$B$34*(1-Inputs!$B$15)/Inputs!$B$16,0)</f>
        <v>0</v>
      </c>
      <c r="P51" s="33" t="n">
        <f aca="false">IF(Source_Data!P$6=Inputs!$B$12,-Inputs!$B$7,0)+IF(AND(Source_Data!P$6&gt;=Inputs!$B$13+3,Source_Data!P$6&lt;Inputs!$B$13+3+3*Inputs!$B$16,MOD(Source_Data!P$6-(Inputs!$B$13+3),3)=0),$A$42*Inputs!$B$7*Inputs!$B$34*(1-Inputs!$B$15)/Inputs!$B$16,0)</f>
        <v>0</v>
      </c>
      <c r="Q51" s="33" t="n">
        <f aca="false">IF(Source_Data!Q$6=Inputs!$B$12,-Inputs!$B$7,0)+IF(AND(Source_Data!Q$6&gt;=Inputs!$B$13+3,Source_Data!Q$6&lt;Inputs!$B$13+3+3*Inputs!$B$16,MOD(Source_Data!Q$6-(Inputs!$B$13+3),3)=0),$A$42*Inputs!$B$7*Inputs!$B$34*(1-Inputs!$B$15)/Inputs!$B$16,0)</f>
        <v>0</v>
      </c>
      <c r="R51" s="33" t="n">
        <f aca="false">IF(Source_Data!R$6=Inputs!$B$12,-Inputs!$B$7,0)+IF(AND(Source_Data!R$6&gt;=Inputs!$B$13+3,Source_Data!R$6&lt;Inputs!$B$13+3+3*Inputs!$B$16,MOD(Source_Data!R$6-(Inputs!$B$13+3),3)=0),$A$42*Inputs!$B$7*Inputs!$B$34*(1-Inputs!$B$15)/Inputs!$B$16,0)</f>
        <v>0</v>
      </c>
      <c r="S51" s="33" t="n">
        <f aca="false">IF(Source_Data!S$6=Inputs!$B$12,-Inputs!$B$7,0)+IF(AND(Source_Data!S$6&gt;=Inputs!$B$13+3,Source_Data!S$6&lt;Inputs!$B$13+3+3*Inputs!$B$16,MOD(Source_Data!S$6-(Inputs!$B$13+3),3)=0),$A$42*Inputs!$B$7*Inputs!$B$34*(1-Inputs!$B$15)/Inputs!$B$16,0)</f>
        <v>0</v>
      </c>
      <c r="T51" s="33" t="n">
        <f aca="false">IF(Source_Data!T$6=Inputs!$B$12,-Inputs!$B$7,0)+IF(AND(Source_Data!T$6&gt;=Inputs!$B$13+3,Source_Data!T$6&lt;Inputs!$B$13+3+3*Inputs!$B$16,MOD(Source_Data!T$6-(Inputs!$B$13+3),3)=0),$A$42*Inputs!$B$7*Inputs!$B$34*(1-Inputs!$B$15)/Inputs!$B$16,0)</f>
        <v>60.84229390681</v>
      </c>
      <c r="U51" s="33" t="n">
        <f aca="false">IF(Source_Data!U$6=Inputs!$B$12,-Inputs!$B$7,0)+IF(AND(Source_Data!U$6&gt;=Inputs!$B$13+3,Source_Data!U$6&lt;Inputs!$B$13+3+3*Inputs!$B$16,MOD(Source_Data!U$6-(Inputs!$B$13+3),3)=0),$A$42*Inputs!$B$7*Inputs!$B$34*(1-Inputs!$B$15)/Inputs!$B$16,0)</f>
        <v>60.84229390681</v>
      </c>
      <c r="V51" s="33" t="n">
        <f aca="false">IF(Source_Data!V$6=Inputs!$B$12,-Inputs!$B$7,0)+IF(AND(Source_Data!V$6&gt;=Inputs!$B$13+3,Source_Data!V$6&lt;Inputs!$B$13+3+3*Inputs!$B$16,MOD(Source_Data!V$6-(Inputs!$B$13+3),3)=0),$A$42*Inputs!$B$7*Inputs!$B$34*(1-Inputs!$B$15)/Inputs!$B$16,0)</f>
        <v>60.84229390681</v>
      </c>
      <c r="W51" s="33" t="n">
        <f aca="false">IF(Source_Data!W$6=Inputs!$B$12,-Inputs!$B$7,0)+IF(AND(Source_Data!W$6&gt;=Inputs!$B$13+3,Source_Data!W$6&lt;Inputs!$B$13+3+3*Inputs!$B$16,MOD(Source_Data!W$6-(Inputs!$B$13+3),3)=0),$A$42*Inputs!$B$7*Inputs!$B$34*(1-Inputs!$B$15)/Inputs!$B$16,0)</f>
        <v>60.84229390681</v>
      </c>
      <c r="X51" s="33" t="n">
        <f aca="false">IF(Source_Data!X$6=Inputs!$B$12,-Inputs!$B$7,0)+IF(AND(Source_Data!X$6&gt;=Inputs!$B$13+3,Source_Data!X$6&lt;Inputs!$B$13+3+3*Inputs!$B$16,MOD(Source_Data!X$6-(Inputs!$B$13+3),3)=0),$A$42*Inputs!$B$7*Inputs!$B$34*(1-Inputs!$B$15)/Inputs!$B$16,0)</f>
        <v>0</v>
      </c>
      <c r="Y51" s="33" t="n">
        <f aca="false">IF(Source_Data!Y$6=Inputs!$B$12,-Inputs!$B$7,0)+IF(AND(Source_Data!Y$6&gt;=Inputs!$B$13+3,Source_Data!Y$6&lt;Inputs!$B$13+3+3*Inputs!$B$16,MOD(Source_Data!Y$6-(Inputs!$B$13+3),3)=0),$A$42*Inputs!$B$7*Inputs!$B$34*(1-Inputs!$B$15)/Inputs!$B$16,0)</f>
        <v>0</v>
      </c>
      <c r="Z51" s="33" t="n">
        <f aca="false">IF(Source_Data!Z$6=Inputs!$B$12,-Inputs!$B$7,0)+IF(AND(Source_Data!Z$6&gt;=Inputs!$B$13+3,Source_Data!Z$6&lt;Inputs!$B$13+3+3*Inputs!$B$16,MOD(Source_Data!Z$6-(Inputs!$B$13+3),3)=0),$A$42*Inputs!$B$7*Inputs!$B$34*(1-Inputs!$B$15)/Inputs!$B$16,0)</f>
        <v>0</v>
      </c>
      <c r="AA51" s="33" t="n">
        <f aca="false">IF(Source_Data!AA$6=Inputs!$B$12,-Inputs!$B$7,0)+IF(AND(Source_Data!AA$6&gt;=Inputs!$B$13+3,Source_Data!AA$6&lt;Inputs!$B$13+3+3*Inputs!$B$16,MOD(Source_Data!AA$6-(Inputs!$B$13+3),3)=0),$A$42*Inputs!$B$7*Inputs!$B$34*(1-Inputs!$B$15)/Inputs!$B$16,0)</f>
        <v>0</v>
      </c>
      <c r="AB51" s="33" t="n">
        <f aca="false">IF(Source_Data!AB$6=Inputs!$B$12,-Inputs!$B$7,0)+IF(AND(Source_Data!AB$6&gt;=Inputs!$B$13+3,Source_Data!AB$6&lt;Inputs!$B$13+3+3*Inputs!$B$16,MOD(Source_Data!AB$6-(Inputs!$B$13+3),3)=0),$A$42*Inputs!$B$7*Inputs!$B$34*(1-Inputs!$B$15)/Inputs!$B$16,0)</f>
        <v>0</v>
      </c>
      <c r="AC51" s="33" t="n">
        <f aca="false">IF(Source_Data!AC$6=Inputs!$B$12,-Inputs!$B$7,0)+IF(AND(Source_Data!AC$6&gt;=Inputs!$B$13+3,Source_Data!AC$6&lt;Inputs!$B$13+3+3*Inputs!$B$16,MOD(Source_Data!AC$6-(Inputs!$B$13+3),3)=0),$A$42*Inputs!$B$7*Inputs!$B$34*(1-Inputs!$B$15)/Inputs!$B$16,0)</f>
        <v>0</v>
      </c>
      <c r="AD51" s="33" t="n">
        <f aca="false">IF(Source_Data!AD$6=Inputs!$B$12,-Inputs!$B$7,0)+IF(AND(Source_Data!AD$6&gt;=Inputs!$B$13+3,Source_Data!AD$6&lt;Inputs!$B$13+3+3*Inputs!$B$16,MOD(Source_Data!AD$6-(Inputs!$B$13+3),3)=0),$A$42*Inputs!$B$7*Inputs!$B$34*(1-Inputs!$B$15)/Inputs!$B$16,0)</f>
        <v>0</v>
      </c>
      <c r="AE51" s="33" t="n">
        <f aca="false">IF(Source_Data!AE$6=Inputs!$B$12,-Inputs!$B$7,0)+IF(AND(Source_Data!AE$6&gt;=Inputs!$B$13+3,Source_Data!AE$6&lt;Inputs!$B$13+3+3*Inputs!$B$16,MOD(Source_Data!AE$6-(Inputs!$B$13+3),3)=0),$A$42*Inputs!$B$7*Inputs!$B$34*(1-Inputs!$B$15)/Inputs!$B$16,0)</f>
        <v>0</v>
      </c>
      <c r="AF51" s="33" t="n">
        <f aca="false">IF(Source_Data!AF$6=Inputs!$B$12,-Inputs!$B$7,0)+IF(AND(Source_Data!AF$6&gt;=Inputs!$B$13+3,Source_Data!AF$6&lt;Inputs!$B$13+3+3*Inputs!$B$16,MOD(Source_Data!AF$6-(Inputs!$B$13+3),3)=0),$A$42*Inputs!$B$7*Inputs!$B$34*(1-Inputs!$B$15)/Inputs!$B$16,0)</f>
        <v>0</v>
      </c>
      <c r="AG51" s="33" t="n">
        <f aca="false">IF(Source_Data!AG$6=Inputs!$B$12,-Inputs!$B$7,0)+IF(AND(Source_Data!AG$6&gt;=Inputs!$B$13+3,Source_Data!AG$6&lt;Inputs!$B$13+3+3*Inputs!$B$16,MOD(Source_Data!AG$6-(Inputs!$B$13+3),3)=0),$A$42*Inputs!$B$7*Inputs!$B$34*(1-Inputs!$B$15)/Inputs!$B$16,0)</f>
        <v>0</v>
      </c>
      <c r="AH51" s="33" t="n">
        <f aca="false">IF(Source_Data!AH$6=Inputs!$B$12,-Inputs!$B$7,0)+IF(AND(Source_Data!AH$6&gt;=Inputs!$B$13+3,Source_Data!AH$6&lt;Inputs!$B$13+3+3*Inputs!$B$16,MOD(Source_Data!AH$6-(Inputs!$B$13+3),3)=0),$A$42*Inputs!$B$7*Inputs!$B$34*(1-Inputs!$B$15)/Inputs!$B$16,0)</f>
        <v>0</v>
      </c>
      <c r="AI51" s="33" t="n">
        <f aca="false">IF(Source_Data!AI$6=Inputs!$B$12,-Inputs!$B$7,0)+IF(AND(Source_Data!AI$6&gt;=Inputs!$B$13+3,Source_Data!AI$6&lt;Inputs!$B$13+3+3*Inputs!$B$16,MOD(Source_Data!AI$6-(Inputs!$B$13+3),3)=0),$A$42*Inputs!$B$7*Inputs!$B$34*(1-Inputs!$B$15)/Inputs!$B$16,0)</f>
        <v>0</v>
      </c>
      <c r="AJ51" s="33" t="n">
        <f aca="false">IF(Source_Data!AJ$6=Inputs!$B$12,-Inputs!$B$7,0)+IF(AND(Source_Data!AJ$6&gt;=Inputs!$B$13+3,Source_Data!AJ$6&lt;Inputs!$B$13+3+3*Inputs!$B$16,MOD(Source_Data!AJ$6-(Inputs!$B$13+3),3)=0),$A$42*Inputs!$B$7*Inputs!$B$34*(1-Inputs!$B$15)/Inputs!$B$16,0)</f>
        <v>0</v>
      </c>
      <c r="AK51" s="33" t="n">
        <f aca="false">IF(Source_Data!AK$6=Inputs!$B$12,-Inputs!$B$7,0)+IF(AND(Source_Data!AK$6&gt;=Inputs!$B$13+3,Source_Data!AK$6&lt;Inputs!$B$13+3+3*Inputs!$B$16,MOD(Source_Data!AK$6-(Inputs!$B$13+3),3)=0),$A$42*Inputs!$B$7*Inputs!$B$34*(1-Inputs!$B$15)/Inputs!$B$16,0)</f>
        <v>0</v>
      </c>
      <c r="AL51" s="33" t="n">
        <f aca="false">IF(Source_Data!AL$6=Inputs!$B$12,-Inputs!$B$7,0)+IF(AND(Source_Data!AL$6&gt;=Inputs!$B$13+3,Source_Data!AL$6&lt;Inputs!$B$13+3+3*Inputs!$B$16,MOD(Source_Data!AL$6-(Inputs!$B$13+3),3)=0),$A$42*Inputs!$B$7*Inputs!$B$34*(1-Inputs!$B$15)/Inputs!$B$16,0)</f>
        <v>0</v>
      </c>
      <c r="AM51" s="33" t="n">
        <f aca="false">IF(Source_Data!AM$6=Inputs!$B$12,-Inputs!$B$7,0)+IF(AND(Source_Data!AM$6&gt;=Inputs!$B$13+3,Source_Data!AM$6&lt;Inputs!$B$13+3+3*Inputs!$B$16,MOD(Source_Data!AM$6-(Inputs!$B$13+3),3)=0),$A$42*Inputs!$B$7*Inputs!$B$34*(1-Inputs!$B$15)/Inputs!$B$16,0)</f>
        <v>0</v>
      </c>
      <c r="AN51" s="33" t="n">
        <f aca="false">IF(Source_Data!AN$6=Inputs!$B$12,-Inputs!$B$7,0)+IF(AND(Source_Data!AN$6&gt;=Inputs!$B$13+3,Source_Data!AN$6&lt;Inputs!$B$13+3+3*Inputs!$B$16,MOD(Source_Data!AN$6-(Inputs!$B$13+3),3)=0),$A$42*Inputs!$B$7*Inputs!$B$34*(1-Inputs!$B$15)/Inputs!$B$16,0)</f>
        <v>0</v>
      </c>
      <c r="AO51" s="33" t="n">
        <f aca="false">IF(Source_Data!AO$6=Inputs!$B$12,-Inputs!$B$7,0)+IF(AND(Source_Data!AO$6&gt;=Inputs!$B$13+3,Source_Data!AO$6&lt;Inputs!$B$13+3+3*Inputs!$B$16,MOD(Source_Data!AO$6-(Inputs!$B$13+3),3)=0),$A$42*Inputs!$B$7*Inputs!$B$34*(1-Inputs!$B$15)/Inputs!$B$16,0)</f>
        <v>0</v>
      </c>
      <c r="AP51" s="33" t="n">
        <f aca="false">IF(Source_Data!AP$6=Inputs!$B$12,-Inputs!$B$7,0)+IF(AND(Source_Data!AP$6&gt;=Inputs!$B$13+3,Source_Data!AP$6&lt;Inputs!$B$13+3+3*Inputs!$B$16,MOD(Source_Data!AP$6-(Inputs!$B$13+3),3)=0),$A$42*Inputs!$B$7*Inputs!$B$34*(1-Inputs!$B$15)/Inputs!$B$16,0)</f>
        <v>0</v>
      </c>
      <c r="AQ51" s="33" t="n">
        <f aca="false">IF(Source_Data!AQ$6=Inputs!$B$12,-Inputs!$B$7,0)+IF(AND(Source_Data!AQ$6&gt;=Inputs!$B$13+3,Source_Data!AQ$6&lt;Inputs!$B$13+3+3*Inputs!$B$16,MOD(Source_Data!AQ$6-(Inputs!$B$13+3),3)=0),$A$42*Inputs!$B$7*Inputs!$B$34*(1-Inputs!$B$15)/Inputs!$B$16,0)</f>
        <v>0</v>
      </c>
      <c r="AR51" s="33" t="n">
        <f aca="false">IF(Source_Data!AR$6=Inputs!$B$12,-Inputs!$B$7,0)+IF(AND(Source_Data!AR$6&gt;=Inputs!$B$13+3,Source_Data!AR$6&lt;Inputs!$B$13+3+3*Inputs!$B$16,MOD(Source_Data!AR$6-(Inputs!$B$13+3),3)=0),$A$42*Inputs!$B$7*Inputs!$B$34*(1-Inputs!$B$15)/Inputs!$B$16,0)</f>
        <v>0</v>
      </c>
      <c r="AS51" s="33" t="n">
        <f aca="false">IF(Source_Data!AS$6=Inputs!$B$12,-Inputs!$B$7,0)+IF(AND(Source_Data!AS$6&gt;=Inputs!$B$13+3,Source_Data!AS$6&lt;Inputs!$B$13+3+3*Inputs!$B$16,MOD(Source_Data!AS$6-(Inputs!$B$13+3),3)=0),$A$42*Inputs!$B$7*Inputs!$B$34*(1-Inputs!$B$15)/Inputs!$B$16,0)</f>
        <v>0</v>
      </c>
      <c r="AT51" s="33" t="n">
        <f aca="false">IF(Source_Data!AT$6=Inputs!$B$12,-Inputs!$B$7,0)+IF(AND(Source_Data!AT$6&gt;=Inputs!$B$13+3,Source_Data!AT$6&lt;Inputs!$B$13+3+3*Inputs!$B$16,MOD(Source_Data!AT$6-(Inputs!$B$13+3),3)=0),$A$42*Inputs!$B$7*Inputs!$B$34*(1-Inputs!$B$15)/Inputs!$B$16,0)</f>
        <v>0</v>
      </c>
      <c r="AU51" s="33" t="n">
        <f aca="false">IF(Source_Data!AU$6=Inputs!$B$12,-Inputs!$B$7,0)+IF(AND(Source_Data!AU$6&gt;=Inputs!$B$13+3,Source_Data!AU$6&lt;Inputs!$B$13+3+3*Inputs!$B$16,MOD(Source_Data!AU$6-(Inputs!$B$13+3),3)=0),$A$42*Inputs!$B$7*Inputs!$B$34*(1-Inputs!$B$15)/Inputs!$B$16,0)</f>
        <v>0</v>
      </c>
      <c r="AV51" s="33" t="n">
        <f aca="false">IF(Source_Data!AV$6=Inputs!$B$12,-Inputs!$B$7,0)+IF(AND(Source_Data!AV$6&gt;=Inputs!$B$13+3,Source_Data!AV$6&lt;Inputs!$B$13+3+3*Inputs!$B$16,MOD(Source_Data!AV$6-(Inputs!$B$13+3),3)=0),$A$42*Inputs!$B$7*Inputs!$B$34*(1-Inputs!$B$15)/Inputs!$B$16,0)</f>
        <v>0</v>
      </c>
      <c r="AW51" s="33" t="n">
        <f aca="false">IF(Source_Data!AW$6=Inputs!$B$12,-Inputs!$B$7,0)+IF(AND(Source_Data!AW$6&gt;=Inputs!$B$13+3,Source_Data!AW$6&lt;Inputs!$B$13+3+3*Inputs!$B$16,MOD(Source_Data!AW$6-(Inputs!$B$13+3),3)=0),$A$42*Inputs!$B$7*Inputs!$B$34*(1-Inputs!$B$15)/Inputs!$B$16,0)</f>
        <v>0</v>
      </c>
      <c r="AX51" s="33" t="n">
        <f aca="false">IF(Source_Data!AX$6=Inputs!$B$12,-Inputs!$B$7,0)+IF(AND(Source_Data!AX$6&gt;=Inputs!$B$13+3,Source_Data!AX$6&lt;Inputs!$B$13+3+3*Inputs!$B$16,MOD(Source_Data!AX$6-(Inputs!$B$13+3),3)=0),$A$42*Inputs!$B$7*Inputs!$B$34*(1-Inputs!$B$15)/Inputs!$B$16,0)</f>
        <v>0</v>
      </c>
      <c r="AY51" s="33" t="n">
        <f aca="false">IF(Source_Data!AY$6=Inputs!$B$12,-Inputs!$B$7,0)+IF(AND(Source_Data!AY$6&gt;=Inputs!$B$13+3,Source_Data!AY$6&lt;Inputs!$B$13+3+3*Inputs!$B$16,MOD(Source_Data!AY$6-(Inputs!$B$13+3),3)=0),$A$42*Inputs!$B$7*Inputs!$B$34*(1-Inputs!$B$15)/Inputs!$B$16,0)</f>
        <v>0</v>
      </c>
      <c r="AZ51" s="33" t="n">
        <f aca="false">IF(Source_Data!AZ$6=Inputs!$B$12,-Inputs!$B$7,0)+IF(AND(Source_Data!AZ$6&gt;=Inputs!$B$13+3,Source_Data!AZ$6&lt;Inputs!$B$13+3+3*Inputs!$B$16,MOD(Source_Data!AZ$6-(Inputs!$B$13+3),3)=0),$A$42*Inputs!$B$7*Inputs!$B$34*(1-Inputs!$B$15)/Inputs!$B$16,0)</f>
        <v>0</v>
      </c>
      <c r="BA51" s="33" t="n">
        <f aca="false">IF(Source_Data!BA$6=Inputs!$B$12,-Inputs!$B$7,0)+IF(AND(Source_Data!BA$6&gt;=Inputs!$B$13+3,Source_Data!BA$6&lt;Inputs!$B$13+3+3*Inputs!$B$16,MOD(Source_Data!BA$6-(Inputs!$B$13+3),3)=0),$A$42*Inputs!$B$7*Inputs!$B$34*(1-Inputs!$B$15)/Inputs!$B$16,0)</f>
        <v>0</v>
      </c>
      <c r="BB51" s="33" t="n">
        <f aca="false">IF(Source_Data!BB$6=Inputs!$B$12,-Inputs!$B$7,0)+IF(AND(Source_Data!BB$6&gt;=Inputs!$B$13+3,Source_Data!BB$6&lt;Inputs!$B$13+3+3*Inputs!$B$16,MOD(Source_Data!BB$6-(Inputs!$B$13+3),3)=0),$A$42*Inputs!$B$7*Inputs!$B$34*(1-Inputs!$B$15)/Inputs!$B$16,0)</f>
        <v>0</v>
      </c>
      <c r="BC51" s="33" t="n">
        <f aca="false">IF(Source_Data!BC$6=Inputs!$B$12,-Inputs!$B$7,0)+IF(AND(Source_Data!BC$6&gt;=Inputs!$B$13+3,Source_Data!BC$6&lt;Inputs!$B$13+3+3*Inputs!$B$16,MOD(Source_Data!BC$6-(Inputs!$B$13+3),3)=0),$A$42*Inputs!$B$7*Inputs!$B$34*(1-Inputs!$B$15)/Inputs!$B$16,0)</f>
        <v>0</v>
      </c>
      <c r="BD51" s="33" t="n">
        <f aca="false">IF(Source_Data!BD$6=Inputs!$B$12,-Inputs!$B$7,0)+IF(AND(Source_Data!BD$6&gt;=Inputs!$B$13+3,Source_Data!BD$6&lt;Inputs!$B$13+3+3*Inputs!$B$16,MOD(Source_Data!BD$6-(Inputs!$B$13+3),3)=0),$A$42*Inputs!$B$7*Inputs!$B$34*(1-Inputs!$B$15)/Inputs!$B$16,0)</f>
        <v>0</v>
      </c>
      <c r="BE51" s="33" t="n">
        <f aca="false">IF(Source_Data!BE$6=Inputs!$B$12,-Inputs!$B$7,0)+IF(AND(Source_Data!BE$6&gt;=Inputs!$B$13+3,Source_Data!BE$6&lt;Inputs!$B$13+3+3*Inputs!$B$16,MOD(Source_Data!BE$6-(Inputs!$B$13+3),3)=0),$A$42*Inputs!$B$7*Inputs!$B$34*(1-Inputs!$B$15)/Inputs!$B$16,0)</f>
        <v>0</v>
      </c>
      <c r="BF51" s="33" t="n">
        <f aca="false">IF(Source_Data!BF$6=Inputs!$B$12,-Inputs!$B$7,0)+IF(AND(Source_Data!BF$6&gt;=Inputs!$B$13+3,Source_Data!BF$6&lt;Inputs!$B$13+3+3*Inputs!$B$16,MOD(Source_Data!BF$6-(Inputs!$B$13+3),3)=0),$A$42*Inputs!$B$7*Inputs!$B$34*(1-Inputs!$B$15)/Inputs!$B$16,0)</f>
        <v>0</v>
      </c>
      <c r="BG51" s="33" t="n">
        <f aca="false">IF(Source_Data!BG$6=Inputs!$B$12,-Inputs!$B$7,0)+IF(AND(Source_Data!BG$6&gt;=Inputs!$B$13+3,Source_Data!BG$6&lt;Inputs!$B$13+3+3*Inputs!$B$16,MOD(Source_Data!BG$6-(Inputs!$B$13+3),3)=0),$A$42*Inputs!$B$7*Inputs!$B$34*(1-Inputs!$B$15)/Inputs!$B$16,0)</f>
        <v>0</v>
      </c>
      <c r="BH51" s="33" t="n">
        <f aca="false">IF(Source_Data!BH$6=Inputs!$B$12,-Inputs!$B$7,0)+IF(AND(Source_Data!BH$6&gt;=Inputs!$B$13+3,Source_Data!BH$6&lt;Inputs!$B$13+3+3*Inputs!$B$16,MOD(Source_Data!BH$6-(Inputs!$B$13+3),3)=0),$A$42*Inputs!$B$7*Inputs!$B$34*(1-Inputs!$B$15)/Inputs!$B$16,0)</f>
        <v>0</v>
      </c>
      <c r="BI51" s="33" t="n">
        <f aca="false">IF(Source_Data!BI$6=Inputs!$B$12,-Inputs!$B$7,0)+IF(AND(Source_Data!BI$6&gt;=Inputs!$B$13+3,Source_Data!BI$6&lt;Inputs!$B$13+3+3*Inputs!$B$16,MOD(Source_Data!BI$6-(Inputs!$B$13+3),3)=0),$A$42*Inputs!$B$7*Inputs!$B$34*(1-Inputs!$B$15)/Inputs!$B$16,0)</f>
        <v>0</v>
      </c>
      <c r="BJ51" s="33" t="n">
        <f aca="false">IF(Source_Data!BJ$6=Inputs!$B$12,-Inputs!$B$7,0)+IF(AND(Source_Data!BJ$6&gt;=Inputs!$B$13+3,Source_Data!BJ$6&lt;Inputs!$B$13+3+3*Inputs!$B$16,MOD(Source_Data!BJ$6-(Inputs!$B$13+3),3)=0),$A$42*Inputs!$B$7*Inputs!$B$34*(1-Inputs!$B$15)/Inputs!$B$16,0)</f>
        <v>0</v>
      </c>
      <c r="BK51" s="33" t="n">
        <f aca="false">IF(Source_Data!BK$6=Inputs!$B$12,-Inputs!$B$7,0)+IF(AND(Source_Data!BK$6&gt;=Inputs!$B$13+3,Source_Data!BK$6&lt;Inputs!$B$13+3+3*Inputs!$B$16,MOD(Source_Data!BK$6-(Inputs!$B$13+3),3)=0),$A$42*Inputs!$B$7*Inputs!$B$34*(1-Inputs!$B$15)/Inputs!$B$16,0)</f>
        <v>0</v>
      </c>
    </row>
    <row r="52" customFormat="false" ht="15" hidden="false" customHeight="false" outlineLevel="0" collapsed="false">
      <c r="A52" s="6" t="s">
        <v>282</v>
      </c>
      <c r="D52" s="33" t="n">
        <f aca="false">IF(Source_Data!D$6=Inputs!$B$12,-Inputs!$B$7,0)+IF(AND(Source_Data!D$6&gt;=Inputs!$B$13+3,Source_Data!D$6&lt;Inputs!$B$13+3+3*Inputs!$B$16,MOD(Source_Data!D$6-(Inputs!$B$13+3),3)=0),$A$43*Inputs!$B$7*Inputs!$B$34*(1-Inputs!$B$15)/Inputs!$B$16,0)</f>
        <v>-100</v>
      </c>
      <c r="E52" s="33" t="n">
        <f aca="false">IF(Source_Data!E$6=Inputs!$B$12,-Inputs!$B$7,0)+IF(AND(Source_Data!E$6&gt;=Inputs!$B$13+3,Source_Data!E$6&lt;Inputs!$B$13+3+3*Inputs!$B$16,MOD(Source_Data!E$6-(Inputs!$B$13+3),3)=0),$A$43*Inputs!$B$7*Inputs!$B$34*(1-Inputs!$B$15)/Inputs!$B$16,0)</f>
        <v>0</v>
      </c>
      <c r="F52" s="33" t="n">
        <f aca="false">IF(Source_Data!F$6=Inputs!$B$12,-Inputs!$B$7,0)+IF(AND(Source_Data!F$6&gt;=Inputs!$B$13+3,Source_Data!F$6&lt;Inputs!$B$13+3+3*Inputs!$B$16,MOD(Source_Data!F$6-(Inputs!$B$13+3),3)=0),$A$43*Inputs!$B$7*Inputs!$B$34*(1-Inputs!$B$15)/Inputs!$B$16,0)</f>
        <v>0</v>
      </c>
      <c r="G52" s="33" t="n">
        <f aca="false">IF(Source_Data!G$6=Inputs!$B$12,-Inputs!$B$7,0)+IF(AND(Source_Data!G$6&gt;=Inputs!$B$13+3,Source_Data!G$6&lt;Inputs!$B$13+3+3*Inputs!$B$16,MOD(Source_Data!G$6-(Inputs!$B$13+3),3)=0),$A$43*Inputs!$B$7*Inputs!$B$34*(1-Inputs!$B$15)/Inputs!$B$16,0)</f>
        <v>0</v>
      </c>
      <c r="H52" s="33" t="n">
        <f aca="false">IF(Source_Data!H$6=Inputs!$B$12,-Inputs!$B$7,0)+IF(AND(Source_Data!H$6&gt;=Inputs!$B$13+3,Source_Data!H$6&lt;Inputs!$B$13+3+3*Inputs!$B$16,MOD(Source_Data!H$6-(Inputs!$B$13+3),3)=0),$A$43*Inputs!$B$7*Inputs!$B$34*(1-Inputs!$B$15)/Inputs!$B$16,0)</f>
        <v>0</v>
      </c>
      <c r="I52" s="33" t="n">
        <f aca="false">IF(Source_Data!I$6=Inputs!$B$12,-Inputs!$B$7,0)+IF(AND(Source_Data!I$6&gt;=Inputs!$B$13+3,Source_Data!I$6&lt;Inputs!$B$13+3+3*Inputs!$B$16,MOD(Source_Data!I$6-(Inputs!$B$13+3),3)=0),$A$43*Inputs!$B$7*Inputs!$B$34*(1-Inputs!$B$15)/Inputs!$B$16,0)</f>
        <v>0</v>
      </c>
      <c r="J52" s="33" t="n">
        <f aca="false">IF(Source_Data!J$6=Inputs!$B$12,-Inputs!$B$7,0)+IF(AND(Source_Data!J$6&gt;=Inputs!$B$13+3,Source_Data!J$6&lt;Inputs!$B$13+3+3*Inputs!$B$16,MOD(Source_Data!J$6-(Inputs!$B$13+3),3)=0),$A$43*Inputs!$B$7*Inputs!$B$34*(1-Inputs!$B$15)/Inputs!$B$16,0)</f>
        <v>0</v>
      </c>
      <c r="K52" s="33" t="n">
        <f aca="false">IF(Source_Data!K$6=Inputs!$B$12,-Inputs!$B$7,0)+IF(AND(Source_Data!K$6&gt;=Inputs!$B$13+3,Source_Data!K$6&lt;Inputs!$B$13+3+3*Inputs!$B$16,MOD(Source_Data!K$6-(Inputs!$B$13+3),3)=0),$A$43*Inputs!$B$7*Inputs!$B$34*(1-Inputs!$B$15)/Inputs!$B$16,0)</f>
        <v>0</v>
      </c>
      <c r="L52" s="33" t="n">
        <f aca="false">IF(Source_Data!L$6=Inputs!$B$12,-Inputs!$B$7,0)+IF(AND(Source_Data!L$6&gt;=Inputs!$B$13+3,Source_Data!L$6&lt;Inputs!$B$13+3+3*Inputs!$B$16,MOD(Source_Data!L$6-(Inputs!$B$13+3),3)=0),$A$43*Inputs!$B$7*Inputs!$B$34*(1-Inputs!$B$15)/Inputs!$B$16,0)</f>
        <v>0</v>
      </c>
      <c r="M52" s="33" t="n">
        <f aca="false">IF(Source_Data!M$6=Inputs!$B$12,-Inputs!$B$7,0)+IF(AND(Source_Data!M$6&gt;=Inputs!$B$13+3,Source_Data!M$6&lt;Inputs!$B$13+3+3*Inputs!$B$16,MOD(Source_Data!M$6-(Inputs!$B$13+3),3)=0),$A$43*Inputs!$B$7*Inputs!$B$34*(1-Inputs!$B$15)/Inputs!$B$16,0)</f>
        <v>0</v>
      </c>
      <c r="N52" s="33" t="n">
        <f aca="false">IF(Source_Data!N$6=Inputs!$B$12,-Inputs!$B$7,0)+IF(AND(Source_Data!N$6&gt;=Inputs!$B$13+3,Source_Data!N$6&lt;Inputs!$B$13+3+3*Inputs!$B$16,MOD(Source_Data!N$6-(Inputs!$B$13+3),3)=0),$A$43*Inputs!$B$7*Inputs!$B$34*(1-Inputs!$B$15)/Inputs!$B$16,0)</f>
        <v>0</v>
      </c>
      <c r="O52" s="33" t="n">
        <f aca="false">IF(Source_Data!O$6=Inputs!$B$12,-Inputs!$B$7,0)+IF(AND(Source_Data!O$6&gt;=Inputs!$B$13+3,Source_Data!O$6&lt;Inputs!$B$13+3+3*Inputs!$B$16,MOD(Source_Data!O$6-(Inputs!$B$13+3),3)=0),$A$43*Inputs!$B$7*Inputs!$B$34*(1-Inputs!$B$15)/Inputs!$B$16,0)</f>
        <v>0</v>
      </c>
      <c r="P52" s="33" t="n">
        <f aca="false">IF(Source_Data!P$6=Inputs!$B$12,-Inputs!$B$7,0)+IF(AND(Source_Data!P$6&gt;=Inputs!$B$13+3,Source_Data!P$6&lt;Inputs!$B$13+3+3*Inputs!$B$16,MOD(Source_Data!P$6-(Inputs!$B$13+3),3)=0),$A$43*Inputs!$B$7*Inputs!$B$34*(1-Inputs!$B$15)/Inputs!$B$16,0)</f>
        <v>0</v>
      </c>
      <c r="Q52" s="33" t="n">
        <f aca="false">IF(Source_Data!Q$6=Inputs!$B$12,-Inputs!$B$7,0)+IF(AND(Source_Data!Q$6&gt;=Inputs!$B$13+3,Source_Data!Q$6&lt;Inputs!$B$13+3+3*Inputs!$B$16,MOD(Source_Data!Q$6-(Inputs!$B$13+3),3)=0),$A$43*Inputs!$B$7*Inputs!$B$34*(1-Inputs!$B$15)/Inputs!$B$16,0)</f>
        <v>0</v>
      </c>
      <c r="R52" s="33" t="n">
        <f aca="false">IF(Source_Data!R$6=Inputs!$B$12,-Inputs!$B$7,0)+IF(AND(Source_Data!R$6&gt;=Inputs!$B$13+3,Source_Data!R$6&lt;Inputs!$B$13+3+3*Inputs!$B$16,MOD(Source_Data!R$6-(Inputs!$B$13+3),3)=0),$A$43*Inputs!$B$7*Inputs!$B$34*(1-Inputs!$B$15)/Inputs!$B$16,0)</f>
        <v>0</v>
      </c>
      <c r="S52" s="33" t="n">
        <f aca="false">IF(Source_Data!S$6=Inputs!$B$12,-Inputs!$B$7,0)+IF(AND(Source_Data!S$6&gt;=Inputs!$B$13+3,Source_Data!S$6&lt;Inputs!$B$13+3+3*Inputs!$B$16,MOD(Source_Data!S$6-(Inputs!$B$13+3),3)=0),$A$43*Inputs!$B$7*Inputs!$B$34*(1-Inputs!$B$15)/Inputs!$B$16,0)</f>
        <v>0</v>
      </c>
      <c r="T52" s="33" t="n">
        <f aca="false">IF(Source_Data!T$6=Inputs!$B$12,-Inputs!$B$7,0)+IF(AND(Source_Data!T$6&gt;=Inputs!$B$13+3,Source_Data!T$6&lt;Inputs!$B$13+3+3*Inputs!$B$16,MOD(Source_Data!T$6-(Inputs!$B$13+3),3)=0),$A$43*Inputs!$B$7*Inputs!$B$34*(1-Inputs!$B$15)/Inputs!$B$16,0)</f>
        <v>69.5340501792115</v>
      </c>
      <c r="U52" s="33" t="n">
        <f aca="false">IF(Source_Data!U$6=Inputs!$B$12,-Inputs!$B$7,0)+IF(AND(Source_Data!U$6&gt;=Inputs!$B$13+3,Source_Data!U$6&lt;Inputs!$B$13+3+3*Inputs!$B$16,MOD(Source_Data!U$6-(Inputs!$B$13+3),3)=0),$A$43*Inputs!$B$7*Inputs!$B$34*(1-Inputs!$B$15)/Inputs!$B$16,0)</f>
        <v>69.5340501792115</v>
      </c>
      <c r="V52" s="33" t="n">
        <f aca="false">IF(Source_Data!V$6=Inputs!$B$12,-Inputs!$B$7,0)+IF(AND(Source_Data!V$6&gt;=Inputs!$B$13+3,Source_Data!V$6&lt;Inputs!$B$13+3+3*Inputs!$B$16,MOD(Source_Data!V$6-(Inputs!$B$13+3),3)=0),$A$43*Inputs!$B$7*Inputs!$B$34*(1-Inputs!$B$15)/Inputs!$B$16,0)</f>
        <v>69.5340501792115</v>
      </c>
      <c r="W52" s="33" t="n">
        <f aca="false">IF(Source_Data!W$6=Inputs!$B$12,-Inputs!$B$7,0)+IF(AND(Source_Data!W$6&gt;=Inputs!$B$13+3,Source_Data!W$6&lt;Inputs!$B$13+3+3*Inputs!$B$16,MOD(Source_Data!W$6-(Inputs!$B$13+3),3)=0),$A$43*Inputs!$B$7*Inputs!$B$34*(1-Inputs!$B$15)/Inputs!$B$16,0)</f>
        <v>69.5340501792115</v>
      </c>
      <c r="X52" s="33" t="n">
        <f aca="false">IF(Source_Data!X$6=Inputs!$B$12,-Inputs!$B$7,0)+IF(AND(Source_Data!X$6&gt;=Inputs!$B$13+3,Source_Data!X$6&lt;Inputs!$B$13+3+3*Inputs!$B$16,MOD(Source_Data!X$6-(Inputs!$B$13+3),3)=0),$A$43*Inputs!$B$7*Inputs!$B$34*(1-Inputs!$B$15)/Inputs!$B$16,0)</f>
        <v>0</v>
      </c>
      <c r="Y52" s="33" t="n">
        <f aca="false">IF(Source_Data!Y$6=Inputs!$B$12,-Inputs!$B$7,0)+IF(AND(Source_Data!Y$6&gt;=Inputs!$B$13+3,Source_Data!Y$6&lt;Inputs!$B$13+3+3*Inputs!$B$16,MOD(Source_Data!Y$6-(Inputs!$B$13+3),3)=0),$A$43*Inputs!$B$7*Inputs!$B$34*(1-Inputs!$B$15)/Inputs!$B$16,0)</f>
        <v>0</v>
      </c>
      <c r="Z52" s="33" t="n">
        <f aca="false">IF(Source_Data!Z$6=Inputs!$B$12,-Inputs!$B$7,0)+IF(AND(Source_Data!Z$6&gt;=Inputs!$B$13+3,Source_Data!Z$6&lt;Inputs!$B$13+3+3*Inputs!$B$16,MOD(Source_Data!Z$6-(Inputs!$B$13+3),3)=0),$A$43*Inputs!$B$7*Inputs!$B$34*(1-Inputs!$B$15)/Inputs!$B$16,0)</f>
        <v>0</v>
      </c>
      <c r="AA52" s="33" t="n">
        <f aca="false">IF(Source_Data!AA$6=Inputs!$B$12,-Inputs!$B$7,0)+IF(AND(Source_Data!AA$6&gt;=Inputs!$B$13+3,Source_Data!AA$6&lt;Inputs!$B$13+3+3*Inputs!$B$16,MOD(Source_Data!AA$6-(Inputs!$B$13+3),3)=0),$A$43*Inputs!$B$7*Inputs!$B$34*(1-Inputs!$B$15)/Inputs!$B$16,0)</f>
        <v>0</v>
      </c>
      <c r="AB52" s="33" t="n">
        <f aca="false">IF(Source_Data!AB$6=Inputs!$B$12,-Inputs!$B$7,0)+IF(AND(Source_Data!AB$6&gt;=Inputs!$B$13+3,Source_Data!AB$6&lt;Inputs!$B$13+3+3*Inputs!$B$16,MOD(Source_Data!AB$6-(Inputs!$B$13+3),3)=0),$A$43*Inputs!$B$7*Inputs!$B$34*(1-Inputs!$B$15)/Inputs!$B$16,0)</f>
        <v>0</v>
      </c>
      <c r="AC52" s="33" t="n">
        <f aca="false">IF(Source_Data!AC$6=Inputs!$B$12,-Inputs!$B$7,0)+IF(AND(Source_Data!AC$6&gt;=Inputs!$B$13+3,Source_Data!AC$6&lt;Inputs!$B$13+3+3*Inputs!$B$16,MOD(Source_Data!AC$6-(Inputs!$B$13+3),3)=0),$A$43*Inputs!$B$7*Inputs!$B$34*(1-Inputs!$B$15)/Inputs!$B$16,0)</f>
        <v>0</v>
      </c>
      <c r="AD52" s="33" t="n">
        <f aca="false">IF(Source_Data!AD$6=Inputs!$B$12,-Inputs!$B$7,0)+IF(AND(Source_Data!AD$6&gt;=Inputs!$B$13+3,Source_Data!AD$6&lt;Inputs!$B$13+3+3*Inputs!$B$16,MOD(Source_Data!AD$6-(Inputs!$B$13+3),3)=0),$A$43*Inputs!$B$7*Inputs!$B$34*(1-Inputs!$B$15)/Inputs!$B$16,0)</f>
        <v>0</v>
      </c>
      <c r="AE52" s="33" t="n">
        <f aca="false">IF(Source_Data!AE$6=Inputs!$B$12,-Inputs!$B$7,0)+IF(AND(Source_Data!AE$6&gt;=Inputs!$B$13+3,Source_Data!AE$6&lt;Inputs!$B$13+3+3*Inputs!$B$16,MOD(Source_Data!AE$6-(Inputs!$B$13+3),3)=0),$A$43*Inputs!$B$7*Inputs!$B$34*(1-Inputs!$B$15)/Inputs!$B$16,0)</f>
        <v>0</v>
      </c>
      <c r="AF52" s="33" t="n">
        <f aca="false">IF(Source_Data!AF$6=Inputs!$B$12,-Inputs!$B$7,0)+IF(AND(Source_Data!AF$6&gt;=Inputs!$B$13+3,Source_Data!AF$6&lt;Inputs!$B$13+3+3*Inputs!$B$16,MOD(Source_Data!AF$6-(Inputs!$B$13+3),3)=0),$A$43*Inputs!$B$7*Inputs!$B$34*(1-Inputs!$B$15)/Inputs!$B$16,0)</f>
        <v>0</v>
      </c>
      <c r="AG52" s="33" t="n">
        <f aca="false">IF(Source_Data!AG$6=Inputs!$B$12,-Inputs!$B$7,0)+IF(AND(Source_Data!AG$6&gt;=Inputs!$B$13+3,Source_Data!AG$6&lt;Inputs!$B$13+3+3*Inputs!$B$16,MOD(Source_Data!AG$6-(Inputs!$B$13+3),3)=0),$A$43*Inputs!$B$7*Inputs!$B$34*(1-Inputs!$B$15)/Inputs!$B$16,0)</f>
        <v>0</v>
      </c>
      <c r="AH52" s="33" t="n">
        <f aca="false">IF(Source_Data!AH$6=Inputs!$B$12,-Inputs!$B$7,0)+IF(AND(Source_Data!AH$6&gt;=Inputs!$B$13+3,Source_Data!AH$6&lt;Inputs!$B$13+3+3*Inputs!$B$16,MOD(Source_Data!AH$6-(Inputs!$B$13+3),3)=0),$A$43*Inputs!$B$7*Inputs!$B$34*(1-Inputs!$B$15)/Inputs!$B$16,0)</f>
        <v>0</v>
      </c>
      <c r="AI52" s="33" t="n">
        <f aca="false">IF(Source_Data!AI$6=Inputs!$B$12,-Inputs!$B$7,0)+IF(AND(Source_Data!AI$6&gt;=Inputs!$B$13+3,Source_Data!AI$6&lt;Inputs!$B$13+3+3*Inputs!$B$16,MOD(Source_Data!AI$6-(Inputs!$B$13+3),3)=0),$A$43*Inputs!$B$7*Inputs!$B$34*(1-Inputs!$B$15)/Inputs!$B$16,0)</f>
        <v>0</v>
      </c>
      <c r="AJ52" s="33" t="n">
        <f aca="false">IF(Source_Data!AJ$6=Inputs!$B$12,-Inputs!$B$7,0)+IF(AND(Source_Data!AJ$6&gt;=Inputs!$B$13+3,Source_Data!AJ$6&lt;Inputs!$B$13+3+3*Inputs!$B$16,MOD(Source_Data!AJ$6-(Inputs!$B$13+3),3)=0),$A$43*Inputs!$B$7*Inputs!$B$34*(1-Inputs!$B$15)/Inputs!$B$16,0)</f>
        <v>0</v>
      </c>
      <c r="AK52" s="33" t="n">
        <f aca="false">IF(Source_Data!AK$6=Inputs!$B$12,-Inputs!$B$7,0)+IF(AND(Source_Data!AK$6&gt;=Inputs!$B$13+3,Source_Data!AK$6&lt;Inputs!$B$13+3+3*Inputs!$B$16,MOD(Source_Data!AK$6-(Inputs!$B$13+3),3)=0),$A$43*Inputs!$B$7*Inputs!$B$34*(1-Inputs!$B$15)/Inputs!$B$16,0)</f>
        <v>0</v>
      </c>
      <c r="AL52" s="33" t="n">
        <f aca="false">IF(Source_Data!AL$6=Inputs!$B$12,-Inputs!$B$7,0)+IF(AND(Source_Data!AL$6&gt;=Inputs!$B$13+3,Source_Data!AL$6&lt;Inputs!$B$13+3+3*Inputs!$B$16,MOD(Source_Data!AL$6-(Inputs!$B$13+3),3)=0),$A$43*Inputs!$B$7*Inputs!$B$34*(1-Inputs!$B$15)/Inputs!$B$16,0)</f>
        <v>0</v>
      </c>
      <c r="AM52" s="33" t="n">
        <f aca="false">IF(Source_Data!AM$6=Inputs!$B$12,-Inputs!$B$7,0)+IF(AND(Source_Data!AM$6&gt;=Inputs!$B$13+3,Source_Data!AM$6&lt;Inputs!$B$13+3+3*Inputs!$B$16,MOD(Source_Data!AM$6-(Inputs!$B$13+3),3)=0),$A$43*Inputs!$B$7*Inputs!$B$34*(1-Inputs!$B$15)/Inputs!$B$16,0)</f>
        <v>0</v>
      </c>
      <c r="AN52" s="33" t="n">
        <f aca="false">IF(Source_Data!AN$6=Inputs!$B$12,-Inputs!$B$7,0)+IF(AND(Source_Data!AN$6&gt;=Inputs!$B$13+3,Source_Data!AN$6&lt;Inputs!$B$13+3+3*Inputs!$B$16,MOD(Source_Data!AN$6-(Inputs!$B$13+3),3)=0),$A$43*Inputs!$B$7*Inputs!$B$34*(1-Inputs!$B$15)/Inputs!$B$16,0)</f>
        <v>0</v>
      </c>
      <c r="AO52" s="33" t="n">
        <f aca="false">IF(Source_Data!AO$6=Inputs!$B$12,-Inputs!$B$7,0)+IF(AND(Source_Data!AO$6&gt;=Inputs!$B$13+3,Source_Data!AO$6&lt;Inputs!$B$13+3+3*Inputs!$B$16,MOD(Source_Data!AO$6-(Inputs!$B$13+3),3)=0),$A$43*Inputs!$B$7*Inputs!$B$34*(1-Inputs!$B$15)/Inputs!$B$16,0)</f>
        <v>0</v>
      </c>
      <c r="AP52" s="33" t="n">
        <f aca="false">IF(Source_Data!AP$6=Inputs!$B$12,-Inputs!$B$7,0)+IF(AND(Source_Data!AP$6&gt;=Inputs!$B$13+3,Source_Data!AP$6&lt;Inputs!$B$13+3+3*Inputs!$B$16,MOD(Source_Data!AP$6-(Inputs!$B$13+3),3)=0),$A$43*Inputs!$B$7*Inputs!$B$34*(1-Inputs!$B$15)/Inputs!$B$16,0)</f>
        <v>0</v>
      </c>
      <c r="AQ52" s="33" t="n">
        <f aca="false">IF(Source_Data!AQ$6=Inputs!$B$12,-Inputs!$B$7,0)+IF(AND(Source_Data!AQ$6&gt;=Inputs!$B$13+3,Source_Data!AQ$6&lt;Inputs!$B$13+3+3*Inputs!$B$16,MOD(Source_Data!AQ$6-(Inputs!$B$13+3),3)=0),$A$43*Inputs!$B$7*Inputs!$B$34*(1-Inputs!$B$15)/Inputs!$B$16,0)</f>
        <v>0</v>
      </c>
      <c r="AR52" s="33" t="n">
        <f aca="false">IF(Source_Data!AR$6=Inputs!$B$12,-Inputs!$B$7,0)+IF(AND(Source_Data!AR$6&gt;=Inputs!$B$13+3,Source_Data!AR$6&lt;Inputs!$B$13+3+3*Inputs!$B$16,MOD(Source_Data!AR$6-(Inputs!$B$13+3),3)=0),$A$43*Inputs!$B$7*Inputs!$B$34*(1-Inputs!$B$15)/Inputs!$B$16,0)</f>
        <v>0</v>
      </c>
      <c r="AS52" s="33" t="n">
        <f aca="false">IF(Source_Data!AS$6=Inputs!$B$12,-Inputs!$B$7,0)+IF(AND(Source_Data!AS$6&gt;=Inputs!$B$13+3,Source_Data!AS$6&lt;Inputs!$B$13+3+3*Inputs!$B$16,MOD(Source_Data!AS$6-(Inputs!$B$13+3),3)=0),$A$43*Inputs!$B$7*Inputs!$B$34*(1-Inputs!$B$15)/Inputs!$B$16,0)</f>
        <v>0</v>
      </c>
      <c r="AT52" s="33" t="n">
        <f aca="false">IF(Source_Data!AT$6=Inputs!$B$12,-Inputs!$B$7,0)+IF(AND(Source_Data!AT$6&gt;=Inputs!$B$13+3,Source_Data!AT$6&lt;Inputs!$B$13+3+3*Inputs!$B$16,MOD(Source_Data!AT$6-(Inputs!$B$13+3),3)=0),$A$43*Inputs!$B$7*Inputs!$B$34*(1-Inputs!$B$15)/Inputs!$B$16,0)</f>
        <v>0</v>
      </c>
      <c r="AU52" s="33" t="n">
        <f aca="false">IF(Source_Data!AU$6=Inputs!$B$12,-Inputs!$B$7,0)+IF(AND(Source_Data!AU$6&gt;=Inputs!$B$13+3,Source_Data!AU$6&lt;Inputs!$B$13+3+3*Inputs!$B$16,MOD(Source_Data!AU$6-(Inputs!$B$13+3),3)=0),$A$43*Inputs!$B$7*Inputs!$B$34*(1-Inputs!$B$15)/Inputs!$B$16,0)</f>
        <v>0</v>
      </c>
      <c r="AV52" s="33" t="n">
        <f aca="false">IF(Source_Data!AV$6=Inputs!$B$12,-Inputs!$B$7,0)+IF(AND(Source_Data!AV$6&gt;=Inputs!$B$13+3,Source_Data!AV$6&lt;Inputs!$B$13+3+3*Inputs!$B$16,MOD(Source_Data!AV$6-(Inputs!$B$13+3),3)=0),$A$43*Inputs!$B$7*Inputs!$B$34*(1-Inputs!$B$15)/Inputs!$B$16,0)</f>
        <v>0</v>
      </c>
      <c r="AW52" s="33" t="n">
        <f aca="false">IF(Source_Data!AW$6=Inputs!$B$12,-Inputs!$B$7,0)+IF(AND(Source_Data!AW$6&gt;=Inputs!$B$13+3,Source_Data!AW$6&lt;Inputs!$B$13+3+3*Inputs!$B$16,MOD(Source_Data!AW$6-(Inputs!$B$13+3),3)=0),$A$43*Inputs!$B$7*Inputs!$B$34*(1-Inputs!$B$15)/Inputs!$B$16,0)</f>
        <v>0</v>
      </c>
      <c r="AX52" s="33" t="n">
        <f aca="false">IF(Source_Data!AX$6=Inputs!$B$12,-Inputs!$B$7,0)+IF(AND(Source_Data!AX$6&gt;=Inputs!$B$13+3,Source_Data!AX$6&lt;Inputs!$B$13+3+3*Inputs!$B$16,MOD(Source_Data!AX$6-(Inputs!$B$13+3),3)=0),$A$43*Inputs!$B$7*Inputs!$B$34*(1-Inputs!$B$15)/Inputs!$B$16,0)</f>
        <v>0</v>
      </c>
      <c r="AY52" s="33" t="n">
        <f aca="false">IF(Source_Data!AY$6=Inputs!$B$12,-Inputs!$B$7,0)+IF(AND(Source_Data!AY$6&gt;=Inputs!$B$13+3,Source_Data!AY$6&lt;Inputs!$B$13+3+3*Inputs!$B$16,MOD(Source_Data!AY$6-(Inputs!$B$13+3),3)=0),$A$43*Inputs!$B$7*Inputs!$B$34*(1-Inputs!$B$15)/Inputs!$B$16,0)</f>
        <v>0</v>
      </c>
      <c r="AZ52" s="33" t="n">
        <f aca="false">IF(Source_Data!AZ$6=Inputs!$B$12,-Inputs!$B$7,0)+IF(AND(Source_Data!AZ$6&gt;=Inputs!$B$13+3,Source_Data!AZ$6&lt;Inputs!$B$13+3+3*Inputs!$B$16,MOD(Source_Data!AZ$6-(Inputs!$B$13+3),3)=0),$A$43*Inputs!$B$7*Inputs!$B$34*(1-Inputs!$B$15)/Inputs!$B$16,0)</f>
        <v>0</v>
      </c>
      <c r="BA52" s="33" t="n">
        <f aca="false">IF(Source_Data!BA$6=Inputs!$B$12,-Inputs!$B$7,0)+IF(AND(Source_Data!BA$6&gt;=Inputs!$B$13+3,Source_Data!BA$6&lt;Inputs!$B$13+3+3*Inputs!$B$16,MOD(Source_Data!BA$6-(Inputs!$B$13+3),3)=0),$A$43*Inputs!$B$7*Inputs!$B$34*(1-Inputs!$B$15)/Inputs!$B$16,0)</f>
        <v>0</v>
      </c>
      <c r="BB52" s="33" t="n">
        <f aca="false">IF(Source_Data!BB$6=Inputs!$B$12,-Inputs!$B$7,0)+IF(AND(Source_Data!BB$6&gt;=Inputs!$B$13+3,Source_Data!BB$6&lt;Inputs!$B$13+3+3*Inputs!$B$16,MOD(Source_Data!BB$6-(Inputs!$B$13+3),3)=0),$A$43*Inputs!$B$7*Inputs!$B$34*(1-Inputs!$B$15)/Inputs!$B$16,0)</f>
        <v>0</v>
      </c>
      <c r="BC52" s="33" t="n">
        <f aca="false">IF(Source_Data!BC$6=Inputs!$B$12,-Inputs!$B$7,0)+IF(AND(Source_Data!BC$6&gt;=Inputs!$B$13+3,Source_Data!BC$6&lt;Inputs!$B$13+3+3*Inputs!$B$16,MOD(Source_Data!BC$6-(Inputs!$B$13+3),3)=0),$A$43*Inputs!$B$7*Inputs!$B$34*(1-Inputs!$B$15)/Inputs!$B$16,0)</f>
        <v>0</v>
      </c>
      <c r="BD52" s="33" t="n">
        <f aca="false">IF(Source_Data!BD$6=Inputs!$B$12,-Inputs!$B$7,0)+IF(AND(Source_Data!BD$6&gt;=Inputs!$B$13+3,Source_Data!BD$6&lt;Inputs!$B$13+3+3*Inputs!$B$16,MOD(Source_Data!BD$6-(Inputs!$B$13+3),3)=0),$A$43*Inputs!$B$7*Inputs!$B$34*(1-Inputs!$B$15)/Inputs!$B$16,0)</f>
        <v>0</v>
      </c>
      <c r="BE52" s="33" t="n">
        <f aca="false">IF(Source_Data!BE$6=Inputs!$B$12,-Inputs!$B$7,0)+IF(AND(Source_Data!BE$6&gt;=Inputs!$B$13+3,Source_Data!BE$6&lt;Inputs!$B$13+3+3*Inputs!$B$16,MOD(Source_Data!BE$6-(Inputs!$B$13+3),3)=0),$A$43*Inputs!$B$7*Inputs!$B$34*(1-Inputs!$B$15)/Inputs!$B$16,0)</f>
        <v>0</v>
      </c>
      <c r="BF52" s="33" t="n">
        <f aca="false">IF(Source_Data!BF$6=Inputs!$B$12,-Inputs!$B$7,0)+IF(AND(Source_Data!BF$6&gt;=Inputs!$B$13+3,Source_Data!BF$6&lt;Inputs!$B$13+3+3*Inputs!$B$16,MOD(Source_Data!BF$6-(Inputs!$B$13+3),3)=0),$A$43*Inputs!$B$7*Inputs!$B$34*(1-Inputs!$B$15)/Inputs!$B$16,0)</f>
        <v>0</v>
      </c>
      <c r="BG52" s="33" t="n">
        <f aca="false">IF(Source_Data!BG$6=Inputs!$B$12,-Inputs!$B$7,0)+IF(AND(Source_Data!BG$6&gt;=Inputs!$B$13+3,Source_Data!BG$6&lt;Inputs!$B$13+3+3*Inputs!$B$16,MOD(Source_Data!BG$6-(Inputs!$B$13+3),3)=0),$A$43*Inputs!$B$7*Inputs!$B$34*(1-Inputs!$B$15)/Inputs!$B$16,0)</f>
        <v>0</v>
      </c>
      <c r="BH52" s="33" t="n">
        <f aca="false">IF(Source_Data!BH$6=Inputs!$B$12,-Inputs!$B$7,0)+IF(AND(Source_Data!BH$6&gt;=Inputs!$B$13+3,Source_Data!BH$6&lt;Inputs!$B$13+3+3*Inputs!$B$16,MOD(Source_Data!BH$6-(Inputs!$B$13+3),3)=0),$A$43*Inputs!$B$7*Inputs!$B$34*(1-Inputs!$B$15)/Inputs!$B$16,0)</f>
        <v>0</v>
      </c>
      <c r="BI52" s="33" t="n">
        <f aca="false">IF(Source_Data!BI$6=Inputs!$B$12,-Inputs!$B$7,0)+IF(AND(Source_Data!BI$6&gt;=Inputs!$B$13+3,Source_Data!BI$6&lt;Inputs!$B$13+3+3*Inputs!$B$16,MOD(Source_Data!BI$6-(Inputs!$B$13+3),3)=0),$A$43*Inputs!$B$7*Inputs!$B$34*(1-Inputs!$B$15)/Inputs!$B$16,0)</f>
        <v>0</v>
      </c>
      <c r="BJ52" s="33" t="n">
        <f aca="false">IF(Source_Data!BJ$6=Inputs!$B$12,-Inputs!$B$7,0)+IF(AND(Source_Data!BJ$6&gt;=Inputs!$B$13+3,Source_Data!BJ$6&lt;Inputs!$B$13+3+3*Inputs!$B$16,MOD(Source_Data!BJ$6-(Inputs!$B$13+3),3)=0),$A$43*Inputs!$B$7*Inputs!$B$34*(1-Inputs!$B$15)/Inputs!$B$16,0)</f>
        <v>0</v>
      </c>
      <c r="BK52" s="33" t="n">
        <f aca="false">IF(Source_Data!BK$6=Inputs!$B$12,-Inputs!$B$7,0)+IF(AND(Source_Data!BK$6&gt;=Inputs!$B$13+3,Source_Data!BK$6&lt;Inputs!$B$13+3+3*Inputs!$B$16,MOD(Source_Data!BK$6-(Inputs!$B$13+3),3)=0),$A$43*Inputs!$B$7*Inputs!$B$34*(1-Inputs!$B$15)/Inputs!$B$16,0)</f>
        <v>0</v>
      </c>
    </row>
    <row r="53" customFormat="false" ht="15" hidden="false" customHeight="false" outlineLevel="0" collapsed="false">
      <c r="A53" s="6" t="s">
        <v>283</v>
      </c>
      <c r="D53" s="33" t="n">
        <f aca="false">IF(Source_Data!D$6=Inputs!$B$12,-Inputs!$B$7,0)+IF(AND(Source_Data!D$6&gt;=Inputs!$B$13+3,Source_Data!D$6&lt;Inputs!$B$13+3+3*Inputs!$B$16,MOD(Source_Data!D$6-(Inputs!$B$13+3),3)=0),$A$44*Inputs!$B$7*Inputs!$B$34*(1-Inputs!$B$15)/Inputs!$B$16,0)</f>
        <v>-100</v>
      </c>
      <c r="E53" s="33" t="n">
        <f aca="false">IF(Source_Data!E$6=Inputs!$B$12,-Inputs!$B$7,0)+IF(AND(Source_Data!E$6&gt;=Inputs!$B$13+3,Source_Data!E$6&lt;Inputs!$B$13+3+3*Inputs!$B$16,MOD(Source_Data!E$6-(Inputs!$B$13+3),3)=0),$A$44*Inputs!$B$7*Inputs!$B$34*(1-Inputs!$B$15)/Inputs!$B$16,0)</f>
        <v>0</v>
      </c>
      <c r="F53" s="33" t="n">
        <f aca="false">IF(Source_Data!F$6=Inputs!$B$12,-Inputs!$B$7,0)+IF(AND(Source_Data!F$6&gt;=Inputs!$B$13+3,Source_Data!F$6&lt;Inputs!$B$13+3+3*Inputs!$B$16,MOD(Source_Data!F$6-(Inputs!$B$13+3),3)=0),$A$44*Inputs!$B$7*Inputs!$B$34*(1-Inputs!$B$15)/Inputs!$B$16,0)</f>
        <v>0</v>
      </c>
      <c r="G53" s="33" t="n">
        <f aca="false">IF(Source_Data!G$6=Inputs!$B$12,-Inputs!$B$7,0)+IF(AND(Source_Data!G$6&gt;=Inputs!$B$13+3,Source_Data!G$6&lt;Inputs!$B$13+3+3*Inputs!$B$16,MOD(Source_Data!G$6-(Inputs!$B$13+3),3)=0),$A$44*Inputs!$B$7*Inputs!$B$34*(1-Inputs!$B$15)/Inputs!$B$16,0)</f>
        <v>0</v>
      </c>
      <c r="H53" s="33" t="n">
        <f aca="false">IF(Source_Data!H$6=Inputs!$B$12,-Inputs!$B$7,0)+IF(AND(Source_Data!H$6&gt;=Inputs!$B$13+3,Source_Data!H$6&lt;Inputs!$B$13+3+3*Inputs!$B$16,MOD(Source_Data!H$6-(Inputs!$B$13+3),3)=0),$A$44*Inputs!$B$7*Inputs!$B$34*(1-Inputs!$B$15)/Inputs!$B$16,0)</f>
        <v>0</v>
      </c>
      <c r="I53" s="33" t="n">
        <f aca="false">IF(Source_Data!I$6=Inputs!$B$12,-Inputs!$B$7,0)+IF(AND(Source_Data!I$6&gt;=Inputs!$B$13+3,Source_Data!I$6&lt;Inputs!$B$13+3+3*Inputs!$B$16,MOD(Source_Data!I$6-(Inputs!$B$13+3),3)=0),$A$44*Inputs!$B$7*Inputs!$B$34*(1-Inputs!$B$15)/Inputs!$B$16,0)</f>
        <v>0</v>
      </c>
      <c r="J53" s="33" t="n">
        <f aca="false">IF(Source_Data!J$6=Inputs!$B$12,-Inputs!$B$7,0)+IF(AND(Source_Data!J$6&gt;=Inputs!$B$13+3,Source_Data!J$6&lt;Inputs!$B$13+3+3*Inputs!$B$16,MOD(Source_Data!J$6-(Inputs!$B$13+3),3)=0),$A$44*Inputs!$B$7*Inputs!$B$34*(1-Inputs!$B$15)/Inputs!$B$16,0)</f>
        <v>0</v>
      </c>
      <c r="K53" s="33" t="n">
        <f aca="false">IF(Source_Data!K$6=Inputs!$B$12,-Inputs!$B$7,0)+IF(AND(Source_Data!K$6&gt;=Inputs!$B$13+3,Source_Data!K$6&lt;Inputs!$B$13+3+3*Inputs!$B$16,MOD(Source_Data!K$6-(Inputs!$B$13+3),3)=0),$A$44*Inputs!$B$7*Inputs!$B$34*(1-Inputs!$B$15)/Inputs!$B$16,0)</f>
        <v>0</v>
      </c>
      <c r="L53" s="33" t="n">
        <f aca="false">IF(Source_Data!L$6=Inputs!$B$12,-Inputs!$B$7,0)+IF(AND(Source_Data!L$6&gt;=Inputs!$B$13+3,Source_Data!L$6&lt;Inputs!$B$13+3+3*Inputs!$B$16,MOD(Source_Data!L$6-(Inputs!$B$13+3),3)=0),$A$44*Inputs!$B$7*Inputs!$B$34*(1-Inputs!$B$15)/Inputs!$B$16,0)</f>
        <v>0</v>
      </c>
      <c r="M53" s="33" t="n">
        <f aca="false">IF(Source_Data!M$6=Inputs!$B$12,-Inputs!$B$7,0)+IF(AND(Source_Data!M$6&gt;=Inputs!$B$13+3,Source_Data!M$6&lt;Inputs!$B$13+3+3*Inputs!$B$16,MOD(Source_Data!M$6-(Inputs!$B$13+3),3)=0),$A$44*Inputs!$B$7*Inputs!$B$34*(1-Inputs!$B$15)/Inputs!$B$16,0)</f>
        <v>0</v>
      </c>
      <c r="N53" s="33" t="n">
        <f aca="false">IF(Source_Data!N$6=Inputs!$B$12,-Inputs!$B$7,0)+IF(AND(Source_Data!N$6&gt;=Inputs!$B$13+3,Source_Data!N$6&lt;Inputs!$B$13+3+3*Inputs!$B$16,MOD(Source_Data!N$6-(Inputs!$B$13+3),3)=0),$A$44*Inputs!$B$7*Inputs!$B$34*(1-Inputs!$B$15)/Inputs!$B$16,0)</f>
        <v>0</v>
      </c>
      <c r="O53" s="33" t="n">
        <f aca="false">IF(Source_Data!O$6=Inputs!$B$12,-Inputs!$B$7,0)+IF(AND(Source_Data!O$6&gt;=Inputs!$B$13+3,Source_Data!O$6&lt;Inputs!$B$13+3+3*Inputs!$B$16,MOD(Source_Data!O$6-(Inputs!$B$13+3),3)=0),$A$44*Inputs!$B$7*Inputs!$B$34*(1-Inputs!$B$15)/Inputs!$B$16,0)</f>
        <v>0</v>
      </c>
      <c r="P53" s="33" t="n">
        <f aca="false">IF(Source_Data!P$6=Inputs!$B$12,-Inputs!$B$7,0)+IF(AND(Source_Data!P$6&gt;=Inputs!$B$13+3,Source_Data!P$6&lt;Inputs!$B$13+3+3*Inputs!$B$16,MOD(Source_Data!P$6-(Inputs!$B$13+3),3)=0),$A$44*Inputs!$B$7*Inputs!$B$34*(1-Inputs!$B$15)/Inputs!$B$16,0)</f>
        <v>0</v>
      </c>
      <c r="Q53" s="33" t="n">
        <f aca="false">IF(Source_Data!Q$6=Inputs!$B$12,-Inputs!$B$7,0)+IF(AND(Source_Data!Q$6&gt;=Inputs!$B$13+3,Source_Data!Q$6&lt;Inputs!$B$13+3+3*Inputs!$B$16,MOD(Source_Data!Q$6-(Inputs!$B$13+3),3)=0),$A$44*Inputs!$B$7*Inputs!$B$34*(1-Inputs!$B$15)/Inputs!$B$16,0)</f>
        <v>0</v>
      </c>
      <c r="R53" s="33" t="n">
        <f aca="false">IF(Source_Data!R$6=Inputs!$B$12,-Inputs!$B$7,0)+IF(AND(Source_Data!R$6&gt;=Inputs!$B$13+3,Source_Data!R$6&lt;Inputs!$B$13+3+3*Inputs!$B$16,MOD(Source_Data!R$6-(Inputs!$B$13+3),3)=0),$A$44*Inputs!$B$7*Inputs!$B$34*(1-Inputs!$B$15)/Inputs!$B$16,0)</f>
        <v>0</v>
      </c>
      <c r="S53" s="33" t="n">
        <f aca="false">IF(Source_Data!S$6=Inputs!$B$12,-Inputs!$B$7,0)+IF(AND(Source_Data!S$6&gt;=Inputs!$B$13+3,Source_Data!S$6&lt;Inputs!$B$13+3+3*Inputs!$B$16,MOD(Source_Data!S$6-(Inputs!$B$13+3),3)=0),$A$44*Inputs!$B$7*Inputs!$B$34*(1-Inputs!$B$15)/Inputs!$B$16,0)</f>
        <v>0</v>
      </c>
      <c r="T53" s="33" t="n">
        <f aca="false">IF(Source_Data!T$6=Inputs!$B$12,-Inputs!$B$7,0)+IF(AND(Source_Data!T$6&gt;=Inputs!$B$13+3,Source_Data!T$6&lt;Inputs!$B$13+3+3*Inputs!$B$16,MOD(Source_Data!T$6-(Inputs!$B$13+3),3)=0),$A$44*Inputs!$B$7*Inputs!$B$34*(1-Inputs!$B$15)/Inputs!$B$16,0)</f>
        <v>78.2258064516129</v>
      </c>
      <c r="U53" s="33" t="n">
        <f aca="false">IF(Source_Data!U$6=Inputs!$B$12,-Inputs!$B$7,0)+IF(AND(Source_Data!U$6&gt;=Inputs!$B$13+3,Source_Data!U$6&lt;Inputs!$B$13+3+3*Inputs!$B$16,MOD(Source_Data!U$6-(Inputs!$B$13+3),3)=0),$A$44*Inputs!$B$7*Inputs!$B$34*(1-Inputs!$B$15)/Inputs!$B$16,0)</f>
        <v>78.2258064516129</v>
      </c>
      <c r="V53" s="33" t="n">
        <f aca="false">IF(Source_Data!V$6=Inputs!$B$12,-Inputs!$B$7,0)+IF(AND(Source_Data!V$6&gt;=Inputs!$B$13+3,Source_Data!V$6&lt;Inputs!$B$13+3+3*Inputs!$B$16,MOD(Source_Data!V$6-(Inputs!$B$13+3),3)=0),$A$44*Inputs!$B$7*Inputs!$B$34*(1-Inputs!$B$15)/Inputs!$B$16,0)</f>
        <v>78.2258064516129</v>
      </c>
      <c r="W53" s="33" t="n">
        <f aca="false">IF(Source_Data!W$6=Inputs!$B$12,-Inputs!$B$7,0)+IF(AND(Source_Data!W$6&gt;=Inputs!$B$13+3,Source_Data!W$6&lt;Inputs!$B$13+3+3*Inputs!$B$16,MOD(Source_Data!W$6-(Inputs!$B$13+3),3)=0),$A$44*Inputs!$B$7*Inputs!$B$34*(1-Inputs!$B$15)/Inputs!$B$16,0)</f>
        <v>78.2258064516129</v>
      </c>
      <c r="X53" s="33" t="n">
        <f aca="false">IF(Source_Data!X$6=Inputs!$B$12,-Inputs!$B$7,0)+IF(AND(Source_Data!X$6&gt;=Inputs!$B$13+3,Source_Data!X$6&lt;Inputs!$B$13+3+3*Inputs!$B$16,MOD(Source_Data!X$6-(Inputs!$B$13+3),3)=0),$A$44*Inputs!$B$7*Inputs!$B$34*(1-Inputs!$B$15)/Inputs!$B$16,0)</f>
        <v>0</v>
      </c>
      <c r="Y53" s="33" t="n">
        <f aca="false">IF(Source_Data!Y$6=Inputs!$B$12,-Inputs!$B$7,0)+IF(AND(Source_Data!Y$6&gt;=Inputs!$B$13+3,Source_Data!Y$6&lt;Inputs!$B$13+3+3*Inputs!$B$16,MOD(Source_Data!Y$6-(Inputs!$B$13+3),3)=0),$A$44*Inputs!$B$7*Inputs!$B$34*(1-Inputs!$B$15)/Inputs!$B$16,0)</f>
        <v>0</v>
      </c>
      <c r="Z53" s="33" t="n">
        <f aca="false">IF(Source_Data!Z$6=Inputs!$B$12,-Inputs!$B$7,0)+IF(AND(Source_Data!Z$6&gt;=Inputs!$B$13+3,Source_Data!Z$6&lt;Inputs!$B$13+3+3*Inputs!$B$16,MOD(Source_Data!Z$6-(Inputs!$B$13+3),3)=0),$A$44*Inputs!$B$7*Inputs!$B$34*(1-Inputs!$B$15)/Inputs!$B$16,0)</f>
        <v>0</v>
      </c>
      <c r="AA53" s="33" t="n">
        <f aca="false">IF(Source_Data!AA$6=Inputs!$B$12,-Inputs!$B$7,0)+IF(AND(Source_Data!AA$6&gt;=Inputs!$B$13+3,Source_Data!AA$6&lt;Inputs!$B$13+3+3*Inputs!$B$16,MOD(Source_Data!AA$6-(Inputs!$B$13+3),3)=0),$A$44*Inputs!$B$7*Inputs!$B$34*(1-Inputs!$B$15)/Inputs!$B$16,0)</f>
        <v>0</v>
      </c>
      <c r="AB53" s="33" t="n">
        <f aca="false">IF(Source_Data!AB$6=Inputs!$B$12,-Inputs!$B$7,0)+IF(AND(Source_Data!AB$6&gt;=Inputs!$B$13+3,Source_Data!AB$6&lt;Inputs!$B$13+3+3*Inputs!$B$16,MOD(Source_Data!AB$6-(Inputs!$B$13+3),3)=0),$A$44*Inputs!$B$7*Inputs!$B$34*(1-Inputs!$B$15)/Inputs!$B$16,0)</f>
        <v>0</v>
      </c>
      <c r="AC53" s="33" t="n">
        <f aca="false">IF(Source_Data!AC$6=Inputs!$B$12,-Inputs!$B$7,0)+IF(AND(Source_Data!AC$6&gt;=Inputs!$B$13+3,Source_Data!AC$6&lt;Inputs!$B$13+3+3*Inputs!$B$16,MOD(Source_Data!AC$6-(Inputs!$B$13+3),3)=0),$A$44*Inputs!$B$7*Inputs!$B$34*(1-Inputs!$B$15)/Inputs!$B$16,0)</f>
        <v>0</v>
      </c>
      <c r="AD53" s="33" t="n">
        <f aca="false">IF(Source_Data!AD$6=Inputs!$B$12,-Inputs!$B$7,0)+IF(AND(Source_Data!AD$6&gt;=Inputs!$B$13+3,Source_Data!AD$6&lt;Inputs!$B$13+3+3*Inputs!$B$16,MOD(Source_Data!AD$6-(Inputs!$B$13+3),3)=0),$A$44*Inputs!$B$7*Inputs!$B$34*(1-Inputs!$B$15)/Inputs!$B$16,0)</f>
        <v>0</v>
      </c>
      <c r="AE53" s="33" t="n">
        <f aca="false">IF(Source_Data!AE$6=Inputs!$B$12,-Inputs!$B$7,0)+IF(AND(Source_Data!AE$6&gt;=Inputs!$B$13+3,Source_Data!AE$6&lt;Inputs!$B$13+3+3*Inputs!$B$16,MOD(Source_Data!AE$6-(Inputs!$B$13+3),3)=0),$A$44*Inputs!$B$7*Inputs!$B$34*(1-Inputs!$B$15)/Inputs!$B$16,0)</f>
        <v>0</v>
      </c>
      <c r="AF53" s="33" t="n">
        <f aca="false">IF(Source_Data!AF$6=Inputs!$B$12,-Inputs!$B$7,0)+IF(AND(Source_Data!AF$6&gt;=Inputs!$B$13+3,Source_Data!AF$6&lt;Inputs!$B$13+3+3*Inputs!$B$16,MOD(Source_Data!AF$6-(Inputs!$B$13+3),3)=0),$A$44*Inputs!$B$7*Inputs!$B$34*(1-Inputs!$B$15)/Inputs!$B$16,0)</f>
        <v>0</v>
      </c>
      <c r="AG53" s="33" t="n">
        <f aca="false">IF(Source_Data!AG$6=Inputs!$B$12,-Inputs!$B$7,0)+IF(AND(Source_Data!AG$6&gt;=Inputs!$B$13+3,Source_Data!AG$6&lt;Inputs!$B$13+3+3*Inputs!$B$16,MOD(Source_Data!AG$6-(Inputs!$B$13+3),3)=0),$A$44*Inputs!$B$7*Inputs!$B$34*(1-Inputs!$B$15)/Inputs!$B$16,0)</f>
        <v>0</v>
      </c>
      <c r="AH53" s="33" t="n">
        <f aca="false">IF(Source_Data!AH$6=Inputs!$B$12,-Inputs!$B$7,0)+IF(AND(Source_Data!AH$6&gt;=Inputs!$B$13+3,Source_Data!AH$6&lt;Inputs!$B$13+3+3*Inputs!$B$16,MOD(Source_Data!AH$6-(Inputs!$B$13+3),3)=0),$A$44*Inputs!$B$7*Inputs!$B$34*(1-Inputs!$B$15)/Inputs!$B$16,0)</f>
        <v>0</v>
      </c>
      <c r="AI53" s="33" t="n">
        <f aca="false">IF(Source_Data!AI$6=Inputs!$B$12,-Inputs!$B$7,0)+IF(AND(Source_Data!AI$6&gt;=Inputs!$B$13+3,Source_Data!AI$6&lt;Inputs!$B$13+3+3*Inputs!$B$16,MOD(Source_Data!AI$6-(Inputs!$B$13+3),3)=0),$A$44*Inputs!$B$7*Inputs!$B$34*(1-Inputs!$B$15)/Inputs!$B$16,0)</f>
        <v>0</v>
      </c>
      <c r="AJ53" s="33" t="n">
        <f aca="false">IF(Source_Data!AJ$6=Inputs!$B$12,-Inputs!$B$7,0)+IF(AND(Source_Data!AJ$6&gt;=Inputs!$B$13+3,Source_Data!AJ$6&lt;Inputs!$B$13+3+3*Inputs!$B$16,MOD(Source_Data!AJ$6-(Inputs!$B$13+3),3)=0),$A$44*Inputs!$B$7*Inputs!$B$34*(1-Inputs!$B$15)/Inputs!$B$16,0)</f>
        <v>0</v>
      </c>
      <c r="AK53" s="33" t="n">
        <f aca="false">IF(Source_Data!AK$6=Inputs!$B$12,-Inputs!$B$7,0)+IF(AND(Source_Data!AK$6&gt;=Inputs!$B$13+3,Source_Data!AK$6&lt;Inputs!$B$13+3+3*Inputs!$B$16,MOD(Source_Data!AK$6-(Inputs!$B$13+3),3)=0),$A$44*Inputs!$B$7*Inputs!$B$34*(1-Inputs!$B$15)/Inputs!$B$16,0)</f>
        <v>0</v>
      </c>
      <c r="AL53" s="33" t="n">
        <f aca="false">IF(Source_Data!AL$6=Inputs!$B$12,-Inputs!$B$7,0)+IF(AND(Source_Data!AL$6&gt;=Inputs!$B$13+3,Source_Data!AL$6&lt;Inputs!$B$13+3+3*Inputs!$B$16,MOD(Source_Data!AL$6-(Inputs!$B$13+3),3)=0),$A$44*Inputs!$B$7*Inputs!$B$34*(1-Inputs!$B$15)/Inputs!$B$16,0)</f>
        <v>0</v>
      </c>
      <c r="AM53" s="33" t="n">
        <f aca="false">IF(Source_Data!AM$6=Inputs!$B$12,-Inputs!$B$7,0)+IF(AND(Source_Data!AM$6&gt;=Inputs!$B$13+3,Source_Data!AM$6&lt;Inputs!$B$13+3+3*Inputs!$B$16,MOD(Source_Data!AM$6-(Inputs!$B$13+3),3)=0),$A$44*Inputs!$B$7*Inputs!$B$34*(1-Inputs!$B$15)/Inputs!$B$16,0)</f>
        <v>0</v>
      </c>
      <c r="AN53" s="33" t="n">
        <f aca="false">IF(Source_Data!AN$6=Inputs!$B$12,-Inputs!$B$7,0)+IF(AND(Source_Data!AN$6&gt;=Inputs!$B$13+3,Source_Data!AN$6&lt;Inputs!$B$13+3+3*Inputs!$B$16,MOD(Source_Data!AN$6-(Inputs!$B$13+3),3)=0),$A$44*Inputs!$B$7*Inputs!$B$34*(1-Inputs!$B$15)/Inputs!$B$16,0)</f>
        <v>0</v>
      </c>
      <c r="AO53" s="33" t="n">
        <f aca="false">IF(Source_Data!AO$6=Inputs!$B$12,-Inputs!$B$7,0)+IF(AND(Source_Data!AO$6&gt;=Inputs!$B$13+3,Source_Data!AO$6&lt;Inputs!$B$13+3+3*Inputs!$B$16,MOD(Source_Data!AO$6-(Inputs!$B$13+3),3)=0),$A$44*Inputs!$B$7*Inputs!$B$34*(1-Inputs!$B$15)/Inputs!$B$16,0)</f>
        <v>0</v>
      </c>
      <c r="AP53" s="33" t="n">
        <f aca="false">IF(Source_Data!AP$6=Inputs!$B$12,-Inputs!$B$7,0)+IF(AND(Source_Data!AP$6&gt;=Inputs!$B$13+3,Source_Data!AP$6&lt;Inputs!$B$13+3+3*Inputs!$B$16,MOD(Source_Data!AP$6-(Inputs!$B$13+3),3)=0),$A$44*Inputs!$B$7*Inputs!$B$34*(1-Inputs!$B$15)/Inputs!$B$16,0)</f>
        <v>0</v>
      </c>
      <c r="AQ53" s="33" t="n">
        <f aca="false">IF(Source_Data!AQ$6=Inputs!$B$12,-Inputs!$B$7,0)+IF(AND(Source_Data!AQ$6&gt;=Inputs!$B$13+3,Source_Data!AQ$6&lt;Inputs!$B$13+3+3*Inputs!$B$16,MOD(Source_Data!AQ$6-(Inputs!$B$13+3),3)=0),$A$44*Inputs!$B$7*Inputs!$B$34*(1-Inputs!$B$15)/Inputs!$B$16,0)</f>
        <v>0</v>
      </c>
      <c r="AR53" s="33" t="n">
        <f aca="false">IF(Source_Data!AR$6=Inputs!$B$12,-Inputs!$B$7,0)+IF(AND(Source_Data!AR$6&gt;=Inputs!$B$13+3,Source_Data!AR$6&lt;Inputs!$B$13+3+3*Inputs!$B$16,MOD(Source_Data!AR$6-(Inputs!$B$13+3),3)=0),$A$44*Inputs!$B$7*Inputs!$B$34*(1-Inputs!$B$15)/Inputs!$B$16,0)</f>
        <v>0</v>
      </c>
      <c r="AS53" s="33" t="n">
        <f aca="false">IF(Source_Data!AS$6=Inputs!$B$12,-Inputs!$B$7,0)+IF(AND(Source_Data!AS$6&gt;=Inputs!$B$13+3,Source_Data!AS$6&lt;Inputs!$B$13+3+3*Inputs!$B$16,MOD(Source_Data!AS$6-(Inputs!$B$13+3),3)=0),$A$44*Inputs!$B$7*Inputs!$B$34*(1-Inputs!$B$15)/Inputs!$B$16,0)</f>
        <v>0</v>
      </c>
      <c r="AT53" s="33" t="n">
        <f aca="false">IF(Source_Data!AT$6=Inputs!$B$12,-Inputs!$B$7,0)+IF(AND(Source_Data!AT$6&gt;=Inputs!$B$13+3,Source_Data!AT$6&lt;Inputs!$B$13+3+3*Inputs!$B$16,MOD(Source_Data!AT$6-(Inputs!$B$13+3),3)=0),$A$44*Inputs!$B$7*Inputs!$B$34*(1-Inputs!$B$15)/Inputs!$B$16,0)</f>
        <v>0</v>
      </c>
      <c r="AU53" s="33" t="n">
        <f aca="false">IF(Source_Data!AU$6=Inputs!$B$12,-Inputs!$B$7,0)+IF(AND(Source_Data!AU$6&gt;=Inputs!$B$13+3,Source_Data!AU$6&lt;Inputs!$B$13+3+3*Inputs!$B$16,MOD(Source_Data!AU$6-(Inputs!$B$13+3),3)=0),$A$44*Inputs!$B$7*Inputs!$B$34*(1-Inputs!$B$15)/Inputs!$B$16,0)</f>
        <v>0</v>
      </c>
      <c r="AV53" s="33" t="n">
        <f aca="false">IF(Source_Data!AV$6=Inputs!$B$12,-Inputs!$B$7,0)+IF(AND(Source_Data!AV$6&gt;=Inputs!$B$13+3,Source_Data!AV$6&lt;Inputs!$B$13+3+3*Inputs!$B$16,MOD(Source_Data!AV$6-(Inputs!$B$13+3),3)=0),$A$44*Inputs!$B$7*Inputs!$B$34*(1-Inputs!$B$15)/Inputs!$B$16,0)</f>
        <v>0</v>
      </c>
      <c r="AW53" s="33" t="n">
        <f aca="false">IF(Source_Data!AW$6=Inputs!$B$12,-Inputs!$B$7,0)+IF(AND(Source_Data!AW$6&gt;=Inputs!$B$13+3,Source_Data!AW$6&lt;Inputs!$B$13+3+3*Inputs!$B$16,MOD(Source_Data!AW$6-(Inputs!$B$13+3),3)=0),$A$44*Inputs!$B$7*Inputs!$B$34*(1-Inputs!$B$15)/Inputs!$B$16,0)</f>
        <v>0</v>
      </c>
      <c r="AX53" s="33" t="n">
        <f aca="false">IF(Source_Data!AX$6=Inputs!$B$12,-Inputs!$B$7,0)+IF(AND(Source_Data!AX$6&gt;=Inputs!$B$13+3,Source_Data!AX$6&lt;Inputs!$B$13+3+3*Inputs!$B$16,MOD(Source_Data!AX$6-(Inputs!$B$13+3),3)=0),$A$44*Inputs!$B$7*Inputs!$B$34*(1-Inputs!$B$15)/Inputs!$B$16,0)</f>
        <v>0</v>
      </c>
      <c r="AY53" s="33" t="n">
        <f aca="false">IF(Source_Data!AY$6=Inputs!$B$12,-Inputs!$B$7,0)+IF(AND(Source_Data!AY$6&gt;=Inputs!$B$13+3,Source_Data!AY$6&lt;Inputs!$B$13+3+3*Inputs!$B$16,MOD(Source_Data!AY$6-(Inputs!$B$13+3),3)=0),$A$44*Inputs!$B$7*Inputs!$B$34*(1-Inputs!$B$15)/Inputs!$B$16,0)</f>
        <v>0</v>
      </c>
      <c r="AZ53" s="33" t="n">
        <f aca="false">IF(Source_Data!AZ$6=Inputs!$B$12,-Inputs!$B$7,0)+IF(AND(Source_Data!AZ$6&gt;=Inputs!$B$13+3,Source_Data!AZ$6&lt;Inputs!$B$13+3+3*Inputs!$B$16,MOD(Source_Data!AZ$6-(Inputs!$B$13+3),3)=0),$A$44*Inputs!$B$7*Inputs!$B$34*(1-Inputs!$B$15)/Inputs!$B$16,0)</f>
        <v>0</v>
      </c>
      <c r="BA53" s="33" t="n">
        <f aca="false">IF(Source_Data!BA$6=Inputs!$B$12,-Inputs!$B$7,0)+IF(AND(Source_Data!BA$6&gt;=Inputs!$B$13+3,Source_Data!BA$6&lt;Inputs!$B$13+3+3*Inputs!$B$16,MOD(Source_Data!BA$6-(Inputs!$B$13+3),3)=0),$A$44*Inputs!$B$7*Inputs!$B$34*(1-Inputs!$B$15)/Inputs!$B$16,0)</f>
        <v>0</v>
      </c>
      <c r="BB53" s="33" t="n">
        <f aca="false">IF(Source_Data!BB$6=Inputs!$B$12,-Inputs!$B$7,0)+IF(AND(Source_Data!BB$6&gt;=Inputs!$B$13+3,Source_Data!BB$6&lt;Inputs!$B$13+3+3*Inputs!$B$16,MOD(Source_Data!BB$6-(Inputs!$B$13+3),3)=0),$A$44*Inputs!$B$7*Inputs!$B$34*(1-Inputs!$B$15)/Inputs!$B$16,0)</f>
        <v>0</v>
      </c>
      <c r="BC53" s="33" t="n">
        <f aca="false">IF(Source_Data!BC$6=Inputs!$B$12,-Inputs!$B$7,0)+IF(AND(Source_Data!BC$6&gt;=Inputs!$B$13+3,Source_Data!BC$6&lt;Inputs!$B$13+3+3*Inputs!$B$16,MOD(Source_Data!BC$6-(Inputs!$B$13+3),3)=0),$A$44*Inputs!$B$7*Inputs!$B$34*(1-Inputs!$B$15)/Inputs!$B$16,0)</f>
        <v>0</v>
      </c>
      <c r="BD53" s="33" t="n">
        <f aca="false">IF(Source_Data!BD$6=Inputs!$B$12,-Inputs!$B$7,0)+IF(AND(Source_Data!BD$6&gt;=Inputs!$B$13+3,Source_Data!BD$6&lt;Inputs!$B$13+3+3*Inputs!$B$16,MOD(Source_Data!BD$6-(Inputs!$B$13+3),3)=0),$A$44*Inputs!$B$7*Inputs!$B$34*(1-Inputs!$B$15)/Inputs!$B$16,0)</f>
        <v>0</v>
      </c>
      <c r="BE53" s="33" t="n">
        <f aca="false">IF(Source_Data!BE$6=Inputs!$B$12,-Inputs!$B$7,0)+IF(AND(Source_Data!BE$6&gt;=Inputs!$B$13+3,Source_Data!BE$6&lt;Inputs!$B$13+3+3*Inputs!$B$16,MOD(Source_Data!BE$6-(Inputs!$B$13+3),3)=0),$A$44*Inputs!$B$7*Inputs!$B$34*(1-Inputs!$B$15)/Inputs!$B$16,0)</f>
        <v>0</v>
      </c>
      <c r="BF53" s="33" t="n">
        <f aca="false">IF(Source_Data!BF$6=Inputs!$B$12,-Inputs!$B$7,0)+IF(AND(Source_Data!BF$6&gt;=Inputs!$B$13+3,Source_Data!BF$6&lt;Inputs!$B$13+3+3*Inputs!$B$16,MOD(Source_Data!BF$6-(Inputs!$B$13+3),3)=0),$A$44*Inputs!$B$7*Inputs!$B$34*(1-Inputs!$B$15)/Inputs!$B$16,0)</f>
        <v>0</v>
      </c>
      <c r="BG53" s="33" t="n">
        <f aca="false">IF(Source_Data!BG$6=Inputs!$B$12,-Inputs!$B$7,0)+IF(AND(Source_Data!BG$6&gt;=Inputs!$B$13+3,Source_Data!BG$6&lt;Inputs!$B$13+3+3*Inputs!$B$16,MOD(Source_Data!BG$6-(Inputs!$B$13+3),3)=0),$A$44*Inputs!$B$7*Inputs!$B$34*(1-Inputs!$B$15)/Inputs!$B$16,0)</f>
        <v>0</v>
      </c>
      <c r="BH53" s="33" t="n">
        <f aca="false">IF(Source_Data!BH$6=Inputs!$B$12,-Inputs!$B$7,0)+IF(AND(Source_Data!BH$6&gt;=Inputs!$B$13+3,Source_Data!BH$6&lt;Inputs!$B$13+3+3*Inputs!$B$16,MOD(Source_Data!BH$6-(Inputs!$B$13+3),3)=0),$A$44*Inputs!$B$7*Inputs!$B$34*(1-Inputs!$B$15)/Inputs!$B$16,0)</f>
        <v>0</v>
      </c>
      <c r="BI53" s="33" t="n">
        <f aca="false">IF(Source_Data!BI$6=Inputs!$B$12,-Inputs!$B$7,0)+IF(AND(Source_Data!BI$6&gt;=Inputs!$B$13+3,Source_Data!BI$6&lt;Inputs!$B$13+3+3*Inputs!$B$16,MOD(Source_Data!BI$6-(Inputs!$B$13+3),3)=0),$A$44*Inputs!$B$7*Inputs!$B$34*(1-Inputs!$B$15)/Inputs!$B$16,0)</f>
        <v>0</v>
      </c>
      <c r="BJ53" s="33" t="n">
        <f aca="false">IF(Source_Data!BJ$6=Inputs!$B$12,-Inputs!$B$7,0)+IF(AND(Source_Data!BJ$6&gt;=Inputs!$B$13+3,Source_Data!BJ$6&lt;Inputs!$B$13+3+3*Inputs!$B$16,MOD(Source_Data!BJ$6-(Inputs!$B$13+3),3)=0),$A$44*Inputs!$B$7*Inputs!$B$34*(1-Inputs!$B$15)/Inputs!$B$16,0)</f>
        <v>0</v>
      </c>
      <c r="BK53" s="33" t="n">
        <f aca="false">IF(Source_Data!BK$6=Inputs!$B$12,-Inputs!$B$7,0)+IF(AND(Source_Data!BK$6&gt;=Inputs!$B$13+3,Source_Data!BK$6&lt;Inputs!$B$13+3+3*Inputs!$B$16,MOD(Source_Data!BK$6-(Inputs!$B$13+3),3)=0),$A$44*Inputs!$B$7*Inputs!$B$34*(1-Inputs!$B$15)/Inputs!$B$16,0)</f>
        <v>0</v>
      </c>
    </row>
    <row r="54" customFormat="false" ht="15" hidden="false" customHeight="false" outlineLevel="0" collapsed="false">
      <c r="A54" s="6" t="s">
        <v>284</v>
      </c>
      <c r="D54" s="33" t="n">
        <f aca="false">IF(Source_Data!D$6=Inputs!$B$12,-Inputs!$B$7,0)+IF(AND(Source_Data!D$6&gt;=Inputs!$B$13+3,Source_Data!D$6&lt;Inputs!$B$13+3+3*Inputs!$B$16,MOD(Source_Data!D$6-(Inputs!$B$13+3),3)=0),$A$45*Inputs!$B$7*Inputs!$B$34*(1-Inputs!$B$15)/Inputs!$B$16,0)</f>
        <v>-100</v>
      </c>
      <c r="E54" s="33" t="n">
        <f aca="false">IF(Source_Data!E$6=Inputs!$B$12,-Inputs!$B$7,0)+IF(AND(Source_Data!E$6&gt;=Inputs!$B$13+3,Source_Data!E$6&lt;Inputs!$B$13+3+3*Inputs!$B$16,MOD(Source_Data!E$6-(Inputs!$B$13+3),3)=0),$A$45*Inputs!$B$7*Inputs!$B$34*(1-Inputs!$B$15)/Inputs!$B$16,0)</f>
        <v>0</v>
      </c>
      <c r="F54" s="33" t="n">
        <f aca="false">IF(Source_Data!F$6=Inputs!$B$12,-Inputs!$B$7,0)+IF(AND(Source_Data!F$6&gt;=Inputs!$B$13+3,Source_Data!F$6&lt;Inputs!$B$13+3+3*Inputs!$B$16,MOD(Source_Data!F$6-(Inputs!$B$13+3),3)=0),$A$45*Inputs!$B$7*Inputs!$B$34*(1-Inputs!$B$15)/Inputs!$B$16,0)</f>
        <v>0</v>
      </c>
      <c r="G54" s="33" t="n">
        <f aca="false">IF(Source_Data!G$6=Inputs!$B$12,-Inputs!$B$7,0)+IF(AND(Source_Data!G$6&gt;=Inputs!$B$13+3,Source_Data!G$6&lt;Inputs!$B$13+3+3*Inputs!$B$16,MOD(Source_Data!G$6-(Inputs!$B$13+3),3)=0),$A$45*Inputs!$B$7*Inputs!$B$34*(1-Inputs!$B$15)/Inputs!$B$16,0)</f>
        <v>0</v>
      </c>
      <c r="H54" s="33" t="n">
        <f aca="false">IF(Source_Data!H$6=Inputs!$B$12,-Inputs!$B$7,0)+IF(AND(Source_Data!H$6&gt;=Inputs!$B$13+3,Source_Data!H$6&lt;Inputs!$B$13+3+3*Inputs!$B$16,MOD(Source_Data!H$6-(Inputs!$B$13+3),3)=0),$A$45*Inputs!$B$7*Inputs!$B$34*(1-Inputs!$B$15)/Inputs!$B$16,0)</f>
        <v>0</v>
      </c>
      <c r="I54" s="33" t="n">
        <f aca="false">IF(Source_Data!I$6=Inputs!$B$12,-Inputs!$B$7,0)+IF(AND(Source_Data!I$6&gt;=Inputs!$B$13+3,Source_Data!I$6&lt;Inputs!$B$13+3+3*Inputs!$B$16,MOD(Source_Data!I$6-(Inputs!$B$13+3),3)=0),$A$45*Inputs!$B$7*Inputs!$B$34*(1-Inputs!$B$15)/Inputs!$B$16,0)</f>
        <v>0</v>
      </c>
      <c r="J54" s="33" t="n">
        <f aca="false">IF(Source_Data!J$6=Inputs!$B$12,-Inputs!$B$7,0)+IF(AND(Source_Data!J$6&gt;=Inputs!$B$13+3,Source_Data!J$6&lt;Inputs!$B$13+3+3*Inputs!$B$16,MOD(Source_Data!J$6-(Inputs!$B$13+3),3)=0),$A$45*Inputs!$B$7*Inputs!$B$34*(1-Inputs!$B$15)/Inputs!$B$16,0)</f>
        <v>0</v>
      </c>
      <c r="K54" s="33" t="n">
        <f aca="false">IF(Source_Data!K$6=Inputs!$B$12,-Inputs!$B$7,0)+IF(AND(Source_Data!K$6&gt;=Inputs!$B$13+3,Source_Data!K$6&lt;Inputs!$B$13+3+3*Inputs!$B$16,MOD(Source_Data!K$6-(Inputs!$B$13+3),3)=0),$A$45*Inputs!$B$7*Inputs!$B$34*(1-Inputs!$B$15)/Inputs!$B$16,0)</f>
        <v>0</v>
      </c>
      <c r="L54" s="33" t="n">
        <f aca="false">IF(Source_Data!L$6=Inputs!$B$12,-Inputs!$B$7,0)+IF(AND(Source_Data!L$6&gt;=Inputs!$B$13+3,Source_Data!L$6&lt;Inputs!$B$13+3+3*Inputs!$B$16,MOD(Source_Data!L$6-(Inputs!$B$13+3),3)=0),$A$45*Inputs!$B$7*Inputs!$B$34*(1-Inputs!$B$15)/Inputs!$B$16,0)</f>
        <v>0</v>
      </c>
      <c r="M54" s="33" t="n">
        <f aca="false">IF(Source_Data!M$6=Inputs!$B$12,-Inputs!$B$7,0)+IF(AND(Source_Data!M$6&gt;=Inputs!$B$13+3,Source_Data!M$6&lt;Inputs!$B$13+3+3*Inputs!$B$16,MOD(Source_Data!M$6-(Inputs!$B$13+3),3)=0),$A$45*Inputs!$B$7*Inputs!$B$34*(1-Inputs!$B$15)/Inputs!$B$16,0)</f>
        <v>0</v>
      </c>
      <c r="N54" s="33" t="n">
        <f aca="false">IF(Source_Data!N$6=Inputs!$B$12,-Inputs!$B$7,0)+IF(AND(Source_Data!N$6&gt;=Inputs!$B$13+3,Source_Data!N$6&lt;Inputs!$B$13+3+3*Inputs!$B$16,MOD(Source_Data!N$6-(Inputs!$B$13+3),3)=0),$A$45*Inputs!$B$7*Inputs!$B$34*(1-Inputs!$B$15)/Inputs!$B$16,0)</f>
        <v>0</v>
      </c>
      <c r="O54" s="33" t="n">
        <f aca="false">IF(Source_Data!O$6=Inputs!$B$12,-Inputs!$B$7,0)+IF(AND(Source_Data!O$6&gt;=Inputs!$B$13+3,Source_Data!O$6&lt;Inputs!$B$13+3+3*Inputs!$B$16,MOD(Source_Data!O$6-(Inputs!$B$13+3),3)=0),$A$45*Inputs!$B$7*Inputs!$B$34*(1-Inputs!$B$15)/Inputs!$B$16,0)</f>
        <v>0</v>
      </c>
      <c r="P54" s="33" t="n">
        <f aca="false">IF(Source_Data!P$6=Inputs!$B$12,-Inputs!$B$7,0)+IF(AND(Source_Data!P$6&gt;=Inputs!$B$13+3,Source_Data!P$6&lt;Inputs!$B$13+3+3*Inputs!$B$16,MOD(Source_Data!P$6-(Inputs!$B$13+3),3)=0),$A$45*Inputs!$B$7*Inputs!$B$34*(1-Inputs!$B$15)/Inputs!$B$16,0)</f>
        <v>0</v>
      </c>
      <c r="Q54" s="33" t="n">
        <f aca="false">IF(Source_Data!Q$6=Inputs!$B$12,-Inputs!$B$7,0)+IF(AND(Source_Data!Q$6&gt;=Inputs!$B$13+3,Source_Data!Q$6&lt;Inputs!$B$13+3+3*Inputs!$B$16,MOD(Source_Data!Q$6-(Inputs!$B$13+3),3)=0),$A$45*Inputs!$B$7*Inputs!$B$34*(1-Inputs!$B$15)/Inputs!$B$16,0)</f>
        <v>0</v>
      </c>
      <c r="R54" s="33" t="n">
        <f aca="false">IF(Source_Data!R$6=Inputs!$B$12,-Inputs!$B$7,0)+IF(AND(Source_Data!R$6&gt;=Inputs!$B$13+3,Source_Data!R$6&lt;Inputs!$B$13+3+3*Inputs!$B$16,MOD(Source_Data!R$6-(Inputs!$B$13+3),3)=0),$A$45*Inputs!$B$7*Inputs!$B$34*(1-Inputs!$B$15)/Inputs!$B$16,0)</f>
        <v>0</v>
      </c>
      <c r="S54" s="33" t="n">
        <f aca="false">IF(Source_Data!S$6=Inputs!$B$12,-Inputs!$B$7,0)+IF(AND(Source_Data!S$6&gt;=Inputs!$B$13+3,Source_Data!S$6&lt;Inputs!$B$13+3+3*Inputs!$B$16,MOD(Source_Data!S$6-(Inputs!$B$13+3),3)=0),$A$45*Inputs!$B$7*Inputs!$B$34*(1-Inputs!$B$15)/Inputs!$B$16,0)</f>
        <v>0</v>
      </c>
      <c r="T54" s="33" t="n">
        <f aca="false">IF(Source_Data!T$6=Inputs!$B$12,-Inputs!$B$7,0)+IF(AND(Source_Data!T$6&gt;=Inputs!$B$13+3,Source_Data!T$6&lt;Inputs!$B$13+3+3*Inputs!$B$16,MOD(Source_Data!T$6-(Inputs!$B$13+3),3)=0),$A$45*Inputs!$B$7*Inputs!$B$34*(1-Inputs!$B$15)/Inputs!$B$16,0)</f>
        <v>86.9175627240144</v>
      </c>
      <c r="U54" s="33" t="n">
        <f aca="false">IF(Source_Data!U$6=Inputs!$B$12,-Inputs!$B$7,0)+IF(AND(Source_Data!U$6&gt;=Inputs!$B$13+3,Source_Data!U$6&lt;Inputs!$B$13+3+3*Inputs!$B$16,MOD(Source_Data!U$6-(Inputs!$B$13+3),3)=0),$A$45*Inputs!$B$7*Inputs!$B$34*(1-Inputs!$B$15)/Inputs!$B$16,0)</f>
        <v>86.9175627240144</v>
      </c>
      <c r="V54" s="33" t="n">
        <f aca="false">IF(Source_Data!V$6=Inputs!$B$12,-Inputs!$B$7,0)+IF(AND(Source_Data!V$6&gt;=Inputs!$B$13+3,Source_Data!V$6&lt;Inputs!$B$13+3+3*Inputs!$B$16,MOD(Source_Data!V$6-(Inputs!$B$13+3),3)=0),$A$45*Inputs!$B$7*Inputs!$B$34*(1-Inputs!$B$15)/Inputs!$B$16,0)</f>
        <v>86.9175627240144</v>
      </c>
      <c r="W54" s="33" t="n">
        <f aca="false">IF(Source_Data!W$6=Inputs!$B$12,-Inputs!$B$7,0)+IF(AND(Source_Data!W$6&gt;=Inputs!$B$13+3,Source_Data!W$6&lt;Inputs!$B$13+3+3*Inputs!$B$16,MOD(Source_Data!W$6-(Inputs!$B$13+3),3)=0),$A$45*Inputs!$B$7*Inputs!$B$34*(1-Inputs!$B$15)/Inputs!$B$16,0)</f>
        <v>86.9175627240144</v>
      </c>
      <c r="X54" s="33" t="n">
        <f aca="false">IF(Source_Data!X$6=Inputs!$B$12,-Inputs!$B$7,0)+IF(AND(Source_Data!X$6&gt;=Inputs!$B$13+3,Source_Data!X$6&lt;Inputs!$B$13+3+3*Inputs!$B$16,MOD(Source_Data!X$6-(Inputs!$B$13+3),3)=0),$A$45*Inputs!$B$7*Inputs!$B$34*(1-Inputs!$B$15)/Inputs!$B$16,0)</f>
        <v>0</v>
      </c>
      <c r="Y54" s="33" t="n">
        <f aca="false">IF(Source_Data!Y$6=Inputs!$B$12,-Inputs!$B$7,0)+IF(AND(Source_Data!Y$6&gt;=Inputs!$B$13+3,Source_Data!Y$6&lt;Inputs!$B$13+3+3*Inputs!$B$16,MOD(Source_Data!Y$6-(Inputs!$B$13+3),3)=0),$A$45*Inputs!$B$7*Inputs!$B$34*(1-Inputs!$B$15)/Inputs!$B$16,0)</f>
        <v>0</v>
      </c>
      <c r="Z54" s="33" t="n">
        <f aca="false">IF(Source_Data!Z$6=Inputs!$B$12,-Inputs!$B$7,0)+IF(AND(Source_Data!Z$6&gt;=Inputs!$B$13+3,Source_Data!Z$6&lt;Inputs!$B$13+3+3*Inputs!$B$16,MOD(Source_Data!Z$6-(Inputs!$B$13+3),3)=0),$A$45*Inputs!$B$7*Inputs!$B$34*(1-Inputs!$B$15)/Inputs!$B$16,0)</f>
        <v>0</v>
      </c>
      <c r="AA54" s="33" t="n">
        <f aca="false">IF(Source_Data!AA$6=Inputs!$B$12,-Inputs!$B$7,0)+IF(AND(Source_Data!AA$6&gt;=Inputs!$B$13+3,Source_Data!AA$6&lt;Inputs!$B$13+3+3*Inputs!$B$16,MOD(Source_Data!AA$6-(Inputs!$B$13+3),3)=0),$A$45*Inputs!$B$7*Inputs!$B$34*(1-Inputs!$B$15)/Inputs!$B$16,0)</f>
        <v>0</v>
      </c>
      <c r="AB54" s="33" t="n">
        <f aca="false">IF(Source_Data!AB$6=Inputs!$B$12,-Inputs!$B$7,0)+IF(AND(Source_Data!AB$6&gt;=Inputs!$B$13+3,Source_Data!AB$6&lt;Inputs!$B$13+3+3*Inputs!$B$16,MOD(Source_Data!AB$6-(Inputs!$B$13+3),3)=0),$A$45*Inputs!$B$7*Inputs!$B$34*(1-Inputs!$B$15)/Inputs!$B$16,0)</f>
        <v>0</v>
      </c>
      <c r="AC54" s="33" t="n">
        <f aca="false">IF(Source_Data!AC$6=Inputs!$B$12,-Inputs!$B$7,0)+IF(AND(Source_Data!AC$6&gt;=Inputs!$B$13+3,Source_Data!AC$6&lt;Inputs!$B$13+3+3*Inputs!$B$16,MOD(Source_Data!AC$6-(Inputs!$B$13+3),3)=0),$A$45*Inputs!$B$7*Inputs!$B$34*(1-Inputs!$B$15)/Inputs!$B$16,0)</f>
        <v>0</v>
      </c>
      <c r="AD54" s="33" t="n">
        <f aca="false">IF(Source_Data!AD$6=Inputs!$B$12,-Inputs!$B$7,0)+IF(AND(Source_Data!AD$6&gt;=Inputs!$B$13+3,Source_Data!AD$6&lt;Inputs!$B$13+3+3*Inputs!$B$16,MOD(Source_Data!AD$6-(Inputs!$B$13+3),3)=0),$A$45*Inputs!$B$7*Inputs!$B$34*(1-Inputs!$B$15)/Inputs!$B$16,0)</f>
        <v>0</v>
      </c>
      <c r="AE54" s="33" t="n">
        <f aca="false">IF(Source_Data!AE$6=Inputs!$B$12,-Inputs!$B$7,0)+IF(AND(Source_Data!AE$6&gt;=Inputs!$B$13+3,Source_Data!AE$6&lt;Inputs!$B$13+3+3*Inputs!$B$16,MOD(Source_Data!AE$6-(Inputs!$B$13+3),3)=0),$A$45*Inputs!$B$7*Inputs!$B$34*(1-Inputs!$B$15)/Inputs!$B$16,0)</f>
        <v>0</v>
      </c>
      <c r="AF54" s="33" t="n">
        <f aca="false">IF(Source_Data!AF$6=Inputs!$B$12,-Inputs!$B$7,0)+IF(AND(Source_Data!AF$6&gt;=Inputs!$B$13+3,Source_Data!AF$6&lt;Inputs!$B$13+3+3*Inputs!$B$16,MOD(Source_Data!AF$6-(Inputs!$B$13+3),3)=0),$A$45*Inputs!$B$7*Inputs!$B$34*(1-Inputs!$B$15)/Inputs!$B$16,0)</f>
        <v>0</v>
      </c>
      <c r="AG54" s="33" t="n">
        <f aca="false">IF(Source_Data!AG$6=Inputs!$B$12,-Inputs!$B$7,0)+IF(AND(Source_Data!AG$6&gt;=Inputs!$B$13+3,Source_Data!AG$6&lt;Inputs!$B$13+3+3*Inputs!$B$16,MOD(Source_Data!AG$6-(Inputs!$B$13+3),3)=0),$A$45*Inputs!$B$7*Inputs!$B$34*(1-Inputs!$B$15)/Inputs!$B$16,0)</f>
        <v>0</v>
      </c>
      <c r="AH54" s="33" t="n">
        <f aca="false">IF(Source_Data!AH$6=Inputs!$B$12,-Inputs!$B$7,0)+IF(AND(Source_Data!AH$6&gt;=Inputs!$B$13+3,Source_Data!AH$6&lt;Inputs!$B$13+3+3*Inputs!$B$16,MOD(Source_Data!AH$6-(Inputs!$B$13+3),3)=0),$A$45*Inputs!$B$7*Inputs!$B$34*(1-Inputs!$B$15)/Inputs!$B$16,0)</f>
        <v>0</v>
      </c>
      <c r="AI54" s="33" t="n">
        <f aca="false">IF(Source_Data!AI$6=Inputs!$B$12,-Inputs!$B$7,0)+IF(AND(Source_Data!AI$6&gt;=Inputs!$B$13+3,Source_Data!AI$6&lt;Inputs!$B$13+3+3*Inputs!$B$16,MOD(Source_Data!AI$6-(Inputs!$B$13+3),3)=0),$A$45*Inputs!$B$7*Inputs!$B$34*(1-Inputs!$B$15)/Inputs!$B$16,0)</f>
        <v>0</v>
      </c>
      <c r="AJ54" s="33" t="n">
        <f aca="false">IF(Source_Data!AJ$6=Inputs!$B$12,-Inputs!$B$7,0)+IF(AND(Source_Data!AJ$6&gt;=Inputs!$B$13+3,Source_Data!AJ$6&lt;Inputs!$B$13+3+3*Inputs!$B$16,MOD(Source_Data!AJ$6-(Inputs!$B$13+3),3)=0),$A$45*Inputs!$B$7*Inputs!$B$34*(1-Inputs!$B$15)/Inputs!$B$16,0)</f>
        <v>0</v>
      </c>
      <c r="AK54" s="33" t="n">
        <f aca="false">IF(Source_Data!AK$6=Inputs!$B$12,-Inputs!$B$7,0)+IF(AND(Source_Data!AK$6&gt;=Inputs!$B$13+3,Source_Data!AK$6&lt;Inputs!$B$13+3+3*Inputs!$B$16,MOD(Source_Data!AK$6-(Inputs!$B$13+3),3)=0),$A$45*Inputs!$B$7*Inputs!$B$34*(1-Inputs!$B$15)/Inputs!$B$16,0)</f>
        <v>0</v>
      </c>
      <c r="AL54" s="33" t="n">
        <f aca="false">IF(Source_Data!AL$6=Inputs!$B$12,-Inputs!$B$7,0)+IF(AND(Source_Data!AL$6&gt;=Inputs!$B$13+3,Source_Data!AL$6&lt;Inputs!$B$13+3+3*Inputs!$B$16,MOD(Source_Data!AL$6-(Inputs!$B$13+3),3)=0),$A$45*Inputs!$B$7*Inputs!$B$34*(1-Inputs!$B$15)/Inputs!$B$16,0)</f>
        <v>0</v>
      </c>
      <c r="AM54" s="33" t="n">
        <f aca="false">IF(Source_Data!AM$6=Inputs!$B$12,-Inputs!$B$7,0)+IF(AND(Source_Data!AM$6&gt;=Inputs!$B$13+3,Source_Data!AM$6&lt;Inputs!$B$13+3+3*Inputs!$B$16,MOD(Source_Data!AM$6-(Inputs!$B$13+3),3)=0),$A$45*Inputs!$B$7*Inputs!$B$34*(1-Inputs!$B$15)/Inputs!$B$16,0)</f>
        <v>0</v>
      </c>
      <c r="AN54" s="33" t="n">
        <f aca="false">IF(Source_Data!AN$6=Inputs!$B$12,-Inputs!$B$7,0)+IF(AND(Source_Data!AN$6&gt;=Inputs!$B$13+3,Source_Data!AN$6&lt;Inputs!$B$13+3+3*Inputs!$B$16,MOD(Source_Data!AN$6-(Inputs!$B$13+3),3)=0),$A$45*Inputs!$B$7*Inputs!$B$34*(1-Inputs!$B$15)/Inputs!$B$16,0)</f>
        <v>0</v>
      </c>
      <c r="AO54" s="33" t="n">
        <f aca="false">IF(Source_Data!AO$6=Inputs!$B$12,-Inputs!$B$7,0)+IF(AND(Source_Data!AO$6&gt;=Inputs!$B$13+3,Source_Data!AO$6&lt;Inputs!$B$13+3+3*Inputs!$B$16,MOD(Source_Data!AO$6-(Inputs!$B$13+3),3)=0),$A$45*Inputs!$B$7*Inputs!$B$34*(1-Inputs!$B$15)/Inputs!$B$16,0)</f>
        <v>0</v>
      </c>
      <c r="AP54" s="33" t="n">
        <f aca="false">IF(Source_Data!AP$6=Inputs!$B$12,-Inputs!$B$7,0)+IF(AND(Source_Data!AP$6&gt;=Inputs!$B$13+3,Source_Data!AP$6&lt;Inputs!$B$13+3+3*Inputs!$B$16,MOD(Source_Data!AP$6-(Inputs!$B$13+3),3)=0),$A$45*Inputs!$B$7*Inputs!$B$34*(1-Inputs!$B$15)/Inputs!$B$16,0)</f>
        <v>0</v>
      </c>
      <c r="AQ54" s="33" t="n">
        <f aca="false">IF(Source_Data!AQ$6=Inputs!$B$12,-Inputs!$B$7,0)+IF(AND(Source_Data!AQ$6&gt;=Inputs!$B$13+3,Source_Data!AQ$6&lt;Inputs!$B$13+3+3*Inputs!$B$16,MOD(Source_Data!AQ$6-(Inputs!$B$13+3),3)=0),$A$45*Inputs!$B$7*Inputs!$B$34*(1-Inputs!$B$15)/Inputs!$B$16,0)</f>
        <v>0</v>
      </c>
      <c r="AR54" s="33" t="n">
        <f aca="false">IF(Source_Data!AR$6=Inputs!$B$12,-Inputs!$B$7,0)+IF(AND(Source_Data!AR$6&gt;=Inputs!$B$13+3,Source_Data!AR$6&lt;Inputs!$B$13+3+3*Inputs!$B$16,MOD(Source_Data!AR$6-(Inputs!$B$13+3),3)=0),$A$45*Inputs!$B$7*Inputs!$B$34*(1-Inputs!$B$15)/Inputs!$B$16,0)</f>
        <v>0</v>
      </c>
      <c r="AS54" s="33" t="n">
        <f aca="false">IF(Source_Data!AS$6=Inputs!$B$12,-Inputs!$B$7,0)+IF(AND(Source_Data!AS$6&gt;=Inputs!$B$13+3,Source_Data!AS$6&lt;Inputs!$B$13+3+3*Inputs!$B$16,MOD(Source_Data!AS$6-(Inputs!$B$13+3),3)=0),$A$45*Inputs!$B$7*Inputs!$B$34*(1-Inputs!$B$15)/Inputs!$B$16,0)</f>
        <v>0</v>
      </c>
      <c r="AT54" s="33" t="n">
        <f aca="false">IF(Source_Data!AT$6=Inputs!$B$12,-Inputs!$B$7,0)+IF(AND(Source_Data!AT$6&gt;=Inputs!$B$13+3,Source_Data!AT$6&lt;Inputs!$B$13+3+3*Inputs!$B$16,MOD(Source_Data!AT$6-(Inputs!$B$13+3),3)=0),$A$45*Inputs!$B$7*Inputs!$B$34*(1-Inputs!$B$15)/Inputs!$B$16,0)</f>
        <v>0</v>
      </c>
      <c r="AU54" s="33" t="n">
        <f aca="false">IF(Source_Data!AU$6=Inputs!$B$12,-Inputs!$B$7,0)+IF(AND(Source_Data!AU$6&gt;=Inputs!$B$13+3,Source_Data!AU$6&lt;Inputs!$B$13+3+3*Inputs!$B$16,MOD(Source_Data!AU$6-(Inputs!$B$13+3),3)=0),$A$45*Inputs!$B$7*Inputs!$B$34*(1-Inputs!$B$15)/Inputs!$B$16,0)</f>
        <v>0</v>
      </c>
      <c r="AV54" s="33" t="n">
        <f aca="false">IF(Source_Data!AV$6=Inputs!$B$12,-Inputs!$B$7,0)+IF(AND(Source_Data!AV$6&gt;=Inputs!$B$13+3,Source_Data!AV$6&lt;Inputs!$B$13+3+3*Inputs!$B$16,MOD(Source_Data!AV$6-(Inputs!$B$13+3),3)=0),$A$45*Inputs!$B$7*Inputs!$B$34*(1-Inputs!$B$15)/Inputs!$B$16,0)</f>
        <v>0</v>
      </c>
      <c r="AW54" s="33" t="n">
        <f aca="false">IF(Source_Data!AW$6=Inputs!$B$12,-Inputs!$B$7,0)+IF(AND(Source_Data!AW$6&gt;=Inputs!$B$13+3,Source_Data!AW$6&lt;Inputs!$B$13+3+3*Inputs!$B$16,MOD(Source_Data!AW$6-(Inputs!$B$13+3),3)=0),$A$45*Inputs!$B$7*Inputs!$B$34*(1-Inputs!$B$15)/Inputs!$B$16,0)</f>
        <v>0</v>
      </c>
      <c r="AX54" s="33" t="n">
        <f aca="false">IF(Source_Data!AX$6=Inputs!$B$12,-Inputs!$B$7,0)+IF(AND(Source_Data!AX$6&gt;=Inputs!$B$13+3,Source_Data!AX$6&lt;Inputs!$B$13+3+3*Inputs!$B$16,MOD(Source_Data!AX$6-(Inputs!$B$13+3),3)=0),$A$45*Inputs!$B$7*Inputs!$B$34*(1-Inputs!$B$15)/Inputs!$B$16,0)</f>
        <v>0</v>
      </c>
      <c r="AY54" s="33" t="n">
        <f aca="false">IF(Source_Data!AY$6=Inputs!$B$12,-Inputs!$B$7,0)+IF(AND(Source_Data!AY$6&gt;=Inputs!$B$13+3,Source_Data!AY$6&lt;Inputs!$B$13+3+3*Inputs!$B$16,MOD(Source_Data!AY$6-(Inputs!$B$13+3),3)=0),$A$45*Inputs!$B$7*Inputs!$B$34*(1-Inputs!$B$15)/Inputs!$B$16,0)</f>
        <v>0</v>
      </c>
      <c r="AZ54" s="33" t="n">
        <f aca="false">IF(Source_Data!AZ$6=Inputs!$B$12,-Inputs!$B$7,0)+IF(AND(Source_Data!AZ$6&gt;=Inputs!$B$13+3,Source_Data!AZ$6&lt;Inputs!$B$13+3+3*Inputs!$B$16,MOD(Source_Data!AZ$6-(Inputs!$B$13+3),3)=0),$A$45*Inputs!$B$7*Inputs!$B$34*(1-Inputs!$B$15)/Inputs!$B$16,0)</f>
        <v>0</v>
      </c>
      <c r="BA54" s="33" t="n">
        <f aca="false">IF(Source_Data!BA$6=Inputs!$B$12,-Inputs!$B$7,0)+IF(AND(Source_Data!BA$6&gt;=Inputs!$B$13+3,Source_Data!BA$6&lt;Inputs!$B$13+3+3*Inputs!$B$16,MOD(Source_Data!BA$6-(Inputs!$B$13+3),3)=0),$A$45*Inputs!$B$7*Inputs!$B$34*(1-Inputs!$B$15)/Inputs!$B$16,0)</f>
        <v>0</v>
      </c>
      <c r="BB54" s="33" t="n">
        <f aca="false">IF(Source_Data!BB$6=Inputs!$B$12,-Inputs!$B$7,0)+IF(AND(Source_Data!BB$6&gt;=Inputs!$B$13+3,Source_Data!BB$6&lt;Inputs!$B$13+3+3*Inputs!$B$16,MOD(Source_Data!BB$6-(Inputs!$B$13+3),3)=0),$A$45*Inputs!$B$7*Inputs!$B$34*(1-Inputs!$B$15)/Inputs!$B$16,0)</f>
        <v>0</v>
      </c>
      <c r="BC54" s="33" t="n">
        <f aca="false">IF(Source_Data!BC$6=Inputs!$B$12,-Inputs!$B$7,0)+IF(AND(Source_Data!BC$6&gt;=Inputs!$B$13+3,Source_Data!BC$6&lt;Inputs!$B$13+3+3*Inputs!$B$16,MOD(Source_Data!BC$6-(Inputs!$B$13+3),3)=0),$A$45*Inputs!$B$7*Inputs!$B$34*(1-Inputs!$B$15)/Inputs!$B$16,0)</f>
        <v>0</v>
      </c>
      <c r="BD54" s="33" t="n">
        <f aca="false">IF(Source_Data!BD$6=Inputs!$B$12,-Inputs!$B$7,0)+IF(AND(Source_Data!BD$6&gt;=Inputs!$B$13+3,Source_Data!BD$6&lt;Inputs!$B$13+3+3*Inputs!$B$16,MOD(Source_Data!BD$6-(Inputs!$B$13+3),3)=0),$A$45*Inputs!$B$7*Inputs!$B$34*(1-Inputs!$B$15)/Inputs!$B$16,0)</f>
        <v>0</v>
      </c>
      <c r="BE54" s="33" t="n">
        <f aca="false">IF(Source_Data!BE$6=Inputs!$B$12,-Inputs!$B$7,0)+IF(AND(Source_Data!BE$6&gt;=Inputs!$B$13+3,Source_Data!BE$6&lt;Inputs!$B$13+3+3*Inputs!$B$16,MOD(Source_Data!BE$6-(Inputs!$B$13+3),3)=0),$A$45*Inputs!$B$7*Inputs!$B$34*(1-Inputs!$B$15)/Inputs!$B$16,0)</f>
        <v>0</v>
      </c>
      <c r="BF54" s="33" t="n">
        <f aca="false">IF(Source_Data!BF$6=Inputs!$B$12,-Inputs!$B$7,0)+IF(AND(Source_Data!BF$6&gt;=Inputs!$B$13+3,Source_Data!BF$6&lt;Inputs!$B$13+3+3*Inputs!$B$16,MOD(Source_Data!BF$6-(Inputs!$B$13+3),3)=0),$A$45*Inputs!$B$7*Inputs!$B$34*(1-Inputs!$B$15)/Inputs!$B$16,0)</f>
        <v>0</v>
      </c>
      <c r="BG54" s="33" t="n">
        <f aca="false">IF(Source_Data!BG$6=Inputs!$B$12,-Inputs!$B$7,0)+IF(AND(Source_Data!BG$6&gt;=Inputs!$B$13+3,Source_Data!BG$6&lt;Inputs!$B$13+3+3*Inputs!$B$16,MOD(Source_Data!BG$6-(Inputs!$B$13+3),3)=0),$A$45*Inputs!$B$7*Inputs!$B$34*(1-Inputs!$B$15)/Inputs!$B$16,0)</f>
        <v>0</v>
      </c>
      <c r="BH54" s="33" t="n">
        <f aca="false">IF(Source_Data!BH$6=Inputs!$B$12,-Inputs!$B$7,0)+IF(AND(Source_Data!BH$6&gt;=Inputs!$B$13+3,Source_Data!BH$6&lt;Inputs!$B$13+3+3*Inputs!$B$16,MOD(Source_Data!BH$6-(Inputs!$B$13+3),3)=0),$A$45*Inputs!$B$7*Inputs!$B$34*(1-Inputs!$B$15)/Inputs!$B$16,0)</f>
        <v>0</v>
      </c>
      <c r="BI54" s="33" t="n">
        <f aca="false">IF(Source_Data!BI$6=Inputs!$B$12,-Inputs!$B$7,0)+IF(AND(Source_Data!BI$6&gt;=Inputs!$B$13+3,Source_Data!BI$6&lt;Inputs!$B$13+3+3*Inputs!$B$16,MOD(Source_Data!BI$6-(Inputs!$B$13+3),3)=0),$A$45*Inputs!$B$7*Inputs!$B$34*(1-Inputs!$B$15)/Inputs!$B$16,0)</f>
        <v>0</v>
      </c>
      <c r="BJ54" s="33" t="n">
        <f aca="false">IF(Source_Data!BJ$6=Inputs!$B$12,-Inputs!$B$7,0)+IF(AND(Source_Data!BJ$6&gt;=Inputs!$B$13+3,Source_Data!BJ$6&lt;Inputs!$B$13+3+3*Inputs!$B$16,MOD(Source_Data!BJ$6-(Inputs!$B$13+3),3)=0),$A$45*Inputs!$B$7*Inputs!$B$34*(1-Inputs!$B$15)/Inputs!$B$16,0)</f>
        <v>0</v>
      </c>
      <c r="BK54" s="33" t="n">
        <f aca="false">IF(Source_Data!BK$6=Inputs!$B$12,-Inputs!$B$7,0)+IF(AND(Source_Data!BK$6&gt;=Inputs!$B$13+3,Source_Data!BK$6&lt;Inputs!$B$13+3+3*Inputs!$B$16,MOD(Source_Data!BK$6-(Inputs!$B$13+3),3)=0),$A$45*Inputs!$B$7*Inputs!$B$34*(1-Inputs!$B$15)/Inputs!$B$16,0)</f>
        <v>0</v>
      </c>
    </row>
    <row r="56" customFormat="false" ht="15" hidden="false" customHeight="false" outlineLevel="0" collapsed="false">
      <c r="A56" s="6" t="s">
        <v>285</v>
      </c>
      <c r="D56" s="33" t="n">
        <f aca="false">IF(Source_Data!D$6=Inputs!$B$12,-Inputs!$B$7,0)+IF(Source_Data!D$6=Inputs!$B$12+24,Inputs!$B$8*Inputs!$B$7*(1-$A$48)*(1-Inputs!$B$15),0)</f>
        <v>-100</v>
      </c>
      <c r="E56" s="33" t="n">
        <f aca="false">IF(Source_Data!E$6=Inputs!$B$12,-Inputs!$B$7,0)+IF(Source_Data!E$6=Inputs!$B$12+24,Inputs!$B$8*Inputs!$B$7*(1-$A$48)*(1-Inputs!$B$15),0)</f>
        <v>0</v>
      </c>
      <c r="F56" s="33" t="n">
        <f aca="false">IF(Source_Data!F$6=Inputs!$B$12,-Inputs!$B$7,0)+IF(Source_Data!F$6=Inputs!$B$12+24,Inputs!$B$8*Inputs!$B$7*(1-$A$48)*(1-Inputs!$B$15),0)</f>
        <v>0</v>
      </c>
      <c r="G56" s="33" t="n">
        <f aca="false">IF(Source_Data!G$6=Inputs!$B$12,-Inputs!$B$7,0)+IF(Source_Data!G$6=Inputs!$B$12+24,Inputs!$B$8*Inputs!$B$7*(1-$A$48)*(1-Inputs!$B$15),0)</f>
        <v>0</v>
      </c>
      <c r="H56" s="33" t="n">
        <f aca="false">IF(Source_Data!H$6=Inputs!$B$12,-Inputs!$B$7,0)+IF(Source_Data!H$6=Inputs!$B$12+24,Inputs!$B$8*Inputs!$B$7*(1-$A$48)*(1-Inputs!$B$15),0)</f>
        <v>0</v>
      </c>
      <c r="I56" s="33" t="n">
        <f aca="false">IF(Source_Data!I$6=Inputs!$B$12,-Inputs!$B$7,0)+IF(Source_Data!I$6=Inputs!$B$12+24,Inputs!$B$8*Inputs!$B$7*(1-$A$48)*(1-Inputs!$B$15),0)</f>
        <v>0</v>
      </c>
      <c r="J56" s="33" t="n">
        <f aca="false">IF(Source_Data!J$6=Inputs!$B$12,-Inputs!$B$7,0)+IF(Source_Data!J$6=Inputs!$B$12+24,Inputs!$B$8*Inputs!$B$7*(1-$A$48)*(1-Inputs!$B$15),0)</f>
        <v>0</v>
      </c>
      <c r="K56" s="33" t="n">
        <f aca="false">IF(Source_Data!K$6=Inputs!$B$12,-Inputs!$B$7,0)+IF(Source_Data!K$6=Inputs!$B$12+24,Inputs!$B$8*Inputs!$B$7*(1-$A$48)*(1-Inputs!$B$15),0)</f>
        <v>0</v>
      </c>
      <c r="L56" s="33" t="n">
        <f aca="false">IF(Source_Data!L$6=Inputs!$B$12,-Inputs!$B$7,0)+IF(Source_Data!L$6=Inputs!$B$12+24,Inputs!$B$8*Inputs!$B$7*(1-$A$48)*(1-Inputs!$B$15),0)</f>
        <v>194</v>
      </c>
      <c r="M56" s="33" t="n">
        <f aca="false">IF(Source_Data!M$6=Inputs!$B$12,-Inputs!$B$7,0)+IF(Source_Data!M$6=Inputs!$B$12+24,Inputs!$B$8*Inputs!$B$7*(1-$A$48)*(1-Inputs!$B$15),0)</f>
        <v>0</v>
      </c>
      <c r="N56" s="33" t="n">
        <f aca="false">IF(Source_Data!N$6=Inputs!$B$12,-Inputs!$B$7,0)+IF(Source_Data!N$6=Inputs!$B$12+24,Inputs!$B$8*Inputs!$B$7*(1-$A$48)*(1-Inputs!$B$15),0)</f>
        <v>0</v>
      </c>
      <c r="O56" s="33" t="n">
        <f aca="false">IF(Source_Data!O$6=Inputs!$B$12,-Inputs!$B$7,0)+IF(Source_Data!O$6=Inputs!$B$12+24,Inputs!$B$8*Inputs!$B$7*(1-$A$48)*(1-Inputs!$B$15),0)</f>
        <v>0</v>
      </c>
      <c r="P56" s="33" t="n">
        <f aca="false">IF(Source_Data!P$6=Inputs!$B$12,-Inputs!$B$7,0)+IF(Source_Data!P$6=Inputs!$B$12+24,Inputs!$B$8*Inputs!$B$7*(1-$A$48)*(1-Inputs!$B$15),0)</f>
        <v>0</v>
      </c>
      <c r="Q56" s="33" t="n">
        <f aca="false">IF(Source_Data!Q$6=Inputs!$B$12,-Inputs!$B$7,0)+IF(Source_Data!Q$6=Inputs!$B$12+24,Inputs!$B$8*Inputs!$B$7*(1-$A$48)*(1-Inputs!$B$15),0)</f>
        <v>0</v>
      </c>
      <c r="R56" s="33" t="n">
        <f aca="false">IF(Source_Data!R$6=Inputs!$B$12,-Inputs!$B$7,0)+IF(Source_Data!R$6=Inputs!$B$12+24,Inputs!$B$8*Inputs!$B$7*(1-$A$48)*(1-Inputs!$B$15),0)</f>
        <v>0</v>
      </c>
      <c r="S56" s="33" t="n">
        <f aca="false">IF(Source_Data!S$6=Inputs!$B$12,-Inputs!$B$7,0)+IF(Source_Data!S$6=Inputs!$B$12+24,Inputs!$B$8*Inputs!$B$7*(1-$A$48)*(1-Inputs!$B$15),0)</f>
        <v>0</v>
      </c>
      <c r="T56" s="33" t="n">
        <f aca="false">IF(Source_Data!T$6=Inputs!$B$12,-Inputs!$B$7,0)+IF(Source_Data!T$6=Inputs!$B$12+24,Inputs!$B$8*Inputs!$B$7*(1-$A$48)*(1-Inputs!$B$15),0)</f>
        <v>0</v>
      </c>
      <c r="U56" s="33" t="n">
        <f aca="false">IF(Source_Data!U$6=Inputs!$B$12,-Inputs!$B$7,0)+IF(Source_Data!U$6=Inputs!$B$12+24,Inputs!$B$8*Inputs!$B$7*(1-$A$48)*(1-Inputs!$B$15),0)</f>
        <v>0</v>
      </c>
      <c r="V56" s="33" t="n">
        <f aca="false">IF(Source_Data!V$6=Inputs!$B$12,-Inputs!$B$7,0)+IF(Source_Data!V$6=Inputs!$B$12+24,Inputs!$B$8*Inputs!$B$7*(1-$A$48)*(1-Inputs!$B$15),0)</f>
        <v>0</v>
      </c>
      <c r="W56" s="33" t="n">
        <f aca="false">IF(Source_Data!W$6=Inputs!$B$12,-Inputs!$B$7,0)+IF(Source_Data!W$6=Inputs!$B$12+24,Inputs!$B$8*Inputs!$B$7*(1-$A$48)*(1-Inputs!$B$15),0)</f>
        <v>0</v>
      </c>
      <c r="X56" s="33" t="n">
        <f aca="false">IF(Source_Data!X$6=Inputs!$B$12,-Inputs!$B$7,0)+IF(Source_Data!X$6=Inputs!$B$12+24,Inputs!$B$8*Inputs!$B$7*(1-$A$48)*(1-Inputs!$B$15),0)</f>
        <v>0</v>
      </c>
      <c r="Y56" s="33" t="n">
        <f aca="false">IF(Source_Data!Y$6=Inputs!$B$12,-Inputs!$B$7,0)+IF(Source_Data!Y$6=Inputs!$B$12+24,Inputs!$B$8*Inputs!$B$7*(1-$A$48)*(1-Inputs!$B$15),0)</f>
        <v>0</v>
      </c>
      <c r="Z56" s="33" t="n">
        <f aca="false">IF(Source_Data!Z$6=Inputs!$B$12,-Inputs!$B$7,0)+IF(Source_Data!Z$6=Inputs!$B$12+24,Inputs!$B$8*Inputs!$B$7*(1-$A$48)*(1-Inputs!$B$15),0)</f>
        <v>0</v>
      </c>
      <c r="AA56" s="33" t="n">
        <f aca="false">IF(Source_Data!AA$6=Inputs!$B$12,-Inputs!$B$7,0)+IF(Source_Data!AA$6=Inputs!$B$12+24,Inputs!$B$8*Inputs!$B$7*(1-$A$48)*(1-Inputs!$B$15),0)</f>
        <v>0</v>
      </c>
      <c r="AB56" s="33" t="n">
        <f aca="false">IF(Source_Data!AB$6=Inputs!$B$12,-Inputs!$B$7,0)+IF(Source_Data!AB$6=Inputs!$B$12+24,Inputs!$B$8*Inputs!$B$7*(1-$A$48)*(1-Inputs!$B$15),0)</f>
        <v>0</v>
      </c>
      <c r="AC56" s="33" t="n">
        <f aca="false">IF(Source_Data!AC$6=Inputs!$B$12,-Inputs!$B$7,0)+IF(Source_Data!AC$6=Inputs!$B$12+24,Inputs!$B$8*Inputs!$B$7*(1-$A$48)*(1-Inputs!$B$15),0)</f>
        <v>0</v>
      </c>
      <c r="AD56" s="33" t="n">
        <f aca="false">IF(Source_Data!AD$6=Inputs!$B$12,-Inputs!$B$7,0)+IF(Source_Data!AD$6=Inputs!$B$12+24,Inputs!$B$8*Inputs!$B$7*(1-$A$48)*(1-Inputs!$B$15),0)</f>
        <v>0</v>
      </c>
      <c r="AE56" s="33" t="n">
        <f aca="false">IF(Source_Data!AE$6=Inputs!$B$12,-Inputs!$B$7,0)+IF(Source_Data!AE$6=Inputs!$B$12+24,Inputs!$B$8*Inputs!$B$7*(1-$A$48)*(1-Inputs!$B$15),0)</f>
        <v>0</v>
      </c>
      <c r="AF56" s="33" t="n">
        <f aca="false">IF(Source_Data!AF$6=Inputs!$B$12,-Inputs!$B$7,0)+IF(Source_Data!AF$6=Inputs!$B$12+24,Inputs!$B$8*Inputs!$B$7*(1-$A$48)*(1-Inputs!$B$15),0)</f>
        <v>0</v>
      </c>
      <c r="AG56" s="33" t="n">
        <f aca="false">IF(Source_Data!AG$6=Inputs!$B$12,-Inputs!$B$7,0)+IF(Source_Data!AG$6=Inputs!$B$12+24,Inputs!$B$8*Inputs!$B$7*(1-$A$48)*(1-Inputs!$B$15),0)</f>
        <v>0</v>
      </c>
      <c r="AH56" s="33" t="n">
        <f aca="false">IF(Source_Data!AH$6=Inputs!$B$12,-Inputs!$B$7,0)+IF(Source_Data!AH$6=Inputs!$B$12+24,Inputs!$B$8*Inputs!$B$7*(1-$A$48)*(1-Inputs!$B$15),0)</f>
        <v>0</v>
      </c>
      <c r="AI56" s="33" t="n">
        <f aca="false">IF(Source_Data!AI$6=Inputs!$B$12,-Inputs!$B$7,0)+IF(Source_Data!AI$6=Inputs!$B$12+24,Inputs!$B$8*Inputs!$B$7*(1-$A$48)*(1-Inputs!$B$15),0)</f>
        <v>0</v>
      </c>
      <c r="AJ56" s="33" t="n">
        <f aca="false">IF(Source_Data!AJ$6=Inputs!$B$12,-Inputs!$B$7,0)+IF(Source_Data!AJ$6=Inputs!$B$12+24,Inputs!$B$8*Inputs!$B$7*(1-$A$48)*(1-Inputs!$B$15),0)</f>
        <v>0</v>
      </c>
      <c r="AK56" s="33" t="n">
        <f aca="false">IF(Source_Data!AK$6=Inputs!$B$12,-Inputs!$B$7,0)+IF(Source_Data!AK$6=Inputs!$B$12+24,Inputs!$B$8*Inputs!$B$7*(1-$A$48)*(1-Inputs!$B$15),0)</f>
        <v>0</v>
      </c>
      <c r="AL56" s="33" t="n">
        <f aca="false">IF(Source_Data!AL$6=Inputs!$B$12,-Inputs!$B$7,0)+IF(Source_Data!AL$6=Inputs!$B$12+24,Inputs!$B$8*Inputs!$B$7*(1-$A$48)*(1-Inputs!$B$15),0)</f>
        <v>0</v>
      </c>
      <c r="AM56" s="33" t="n">
        <f aca="false">IF(Source_Data!AM$6=Inputs!$B$12,-Inputs!$B$7,0)+IF(Source_Data!AM$6=Inputs!$B$12+24,Inputs!$B$8*Inputs!$B$7*(1-$A$48)*(1-Inputs!$B$15),0)</f>
        <v>0</v>
      </c>
      <c r="AN56" s="33" t="n">
        <f aca="false">IF(Source_Data!AN$6=Inputs!$B$12,-Inputs!$B$7,0)+IF(Source_Data!AN$6=Inputs!$B$12+24,Inputs!$B$8*Inputs!$B$7*(1-$A$48)*(1-Inputs!$B$15),0)</f>
        <v>0</v>
      </c>
      <c r="AO56" s="33" t="n">
        <f aca="false">IF(Source_Data!AO$6=Inputs!$B$12,-Inputs!$B$7,0)+IF(Source_Data!AO$6=Inputs!$B$12+24,Inputs!$B$8*Inputs!$B$7*(1-$A$48)*(1-Inputs!$B$15),0)</f>
        <v>0</v>
      </c>
      <c r="AP56" s="33" t="n">
        <f aca="false">IF(Source_Data!AP$6=Inputs!$B$12,-Inputs!$B$7,0)+IF(Source_Data!AP$6=Inputs!$B$12+24,Inputs!$B$8*Inputs!$B$7*(1-$A$48)*(1-Inputs!$B$15),0)</f>
        <v>0</v>
      </c>
      <c r="AQ56" s="33" t="n">
        <f aca="false">IF(Source_Data!AQ$6=Inputs!$B$12,-Inputs!$B$7,0)+IF(Source_Data!AQ$6=Inputs!$B$12+24,Inputs!$B$8*Inputs!$B$7*(1-$A$48)*(1-Inputs!$B$15),0)</f>
        <v>0</v>
      </c>
      <c r="AR56" s="33" t="n">
        <f aca="false">IF(Source_Data!AR$6=Inputs!$B$12,-Inputs!$B$7,0)+IF(Source_Data!AR$6=Inputs!$B$12+24,Inputs!$B$8*Inputs!$B$7*(1-$A$48)*(1-Inputs!$B$15),0)</f>
        <v>0</v>
      </c>
      <c r="AS56" s="33" t="n">
        <f aca="false">IF(Source_Data!AS$6=Inputs!$B$12,-Inputs!$B$7,0)+IF(Source_Data!AS$6=Inputs!$B$12+24,Inputs!$B$8*Inputs!$B$7*(1-$A$48)*(1-Inputs!$B$15),0)</f>
        <v>0</v>
      </c>
      <c r="AT56" s="33" t="n">
        <f aca="false">IF(Source_Data!AT$6=Inputs!$B$12,-Inputs!$B$7,0)+IF(Source_Data!AT$6=Inputs!$B$12+24,Inputs!$B$8*Inputs!$B$7*(1-$A$48)*(1-Inputs!$B$15),0)</f>
        <v>0</v>
      </c>
      <c r="AU56" s="33" t="n">
        <f aca="false">IF(Source_Data!AU$6=Inputs!$B$12,-Inputs!$B$7,0)+IF(Source_Data!AU$6=Inputs!$B$12+24,Inputs!$B$8*Inputs!$B$7*(1-$A$48)*(1-Inputs!$B$15),0)</f>
        <v>0</v>
      </c>
      <c r="AV56" s="33" t="n">
        <f aca="false">IF(Source_Data!AV$6=Inputs!$B$12,-Inputs!$B$7,0)+IF(Source_Data!AV$6=Inputs!$B$12+24,Inputs!$B$8*Inputs!$B$7*(1-$A$48)*(1-Inputs!$B$15),0)</f>
        <v>0</v>
      </c>
      <c r="AW56" s="33" t="n">
        <f aca="false">IF(Source_Data!AW$6=Inputs!$B$12,-Inputs!$B$7,0)+IF(Source_Data!AW$6=Inputs!$B$12+24,Inputs!$B$8*Inputs!$B$7*(1-$A$48)*(1-Inputs!$B$15),0)</f>
        <v>0</v>
      </c>
      <c r="AX56" s="33" t="n">
        <f aca="false">IF(Source_Data!AX$6=Inputs!$B$12,-Inputs!$B$7,0)+IF(Source_Data!AX$6=Inputs!$B$12+24,Inputs!$B$8*Inputs!$B$7*(1-$A$48)*(1-Inputs!$B$15),0)</f>
        <v>0</v>
      </c>
      <c r="AY56" s="33" t="n">
        <f aca="false">IF(Source_Data!AY$6=Inputs!$B$12,-Inputs!$B$7,0)+IF(Source_Data!AY$6=Inputs!$B$12+24,Inputs!$B$8*Inputs!$B$7*(1-$A$48)*(1-Inputs!$B$15),0)</f>
        <v>0</v>
      </c>
      <c r="AZ56" s="33" t="n">
        <f aca="false">IF(Source_Data!AZ$6=Inputs!$B$12,-Inputs!$B$7,0)+IF(Source_Data!AZ$6=Inputs!$B$12+24,Inputs!$B$8*Inputs!$B$7*(1-$A$48)*(1-Inputs!$B$15),0)</f>
        <v>0</v>
      </c>
      <c r="BA56" s="33" t="n">
        <f aca="false">IF(Source_Data!BA$6=Inputs!$B$12,-Inputs!$B$7,0)+IF(Source_Data!BA$6=Inputs!$B$12+24,Inputs!$B$8*Inputs!$B$7*(1-$A$48)*(1-Inputs!$B$15),0)</f>
        <v>0</v>
      </c>
      <c r="BB56" s="33" t="n">
        <f aca="false">IF(Source_Data!BB$6=Inputs!$B$12,-Inputs!$B$7,0)+IF(Source_Data!BB$6=Inputs!$B$12+24,Inputs!$B$8*Inputs!$B$7*(1-$A$48)*(1-Inputs!$B$15),0)</f>
        <v>0</v>
      </c>
      <c r="BC56" s="33" t="n">
        <f aca="false">IF(Source_Data!BC$6=Inputs!$B$12,-Inputs!$B$7,0)+IF(Source_Data!BC$6=Inputs!$B$12+24,Inputs!$B$8*Inputs!$B$7*(1-$A$48)*(1-Inputs!$B$15),0)</f>
        <v>0</v>
      </c>
      <c r="BD56" s="33" t="n">
        <f aca="false">IF(Source_Data!BD$6=Inputs!$B$12,-Inputs!$B$7,0)+IF(Source_Data!BD$6=Inputs!$B$12+24,Inputs!$B$8*Inputs!$B$7*(1-$A$48)*(1-Inputs!$B$15),0)</f>
        <v>0</v>
      </c>
      <c r="BE56" s="33" t="n">
        <f aca="false">IF(Source_Data!BE$6=Inputs!$B$12,-Inputs!$B$7,0)+IF(Source_Data!BE$6=Inputs!$B$12+24,Inputs!$B$8*Inputs!$B$7*(1-$A$48)*(1-Inputs!$B$15),0)</f>
        <v>0</v>
      </c>
      <c r="BF56" s="33" t="n">
        <f aca="false">IF(Source_Data!BF$6=Inputs!$B$12,-Inputs!$B$7,0)+IF(Source_Data!BF$6=Inputs!$B$12+24,Inputs!$B$8*Inputs!$B$7*(1-$A$48)*(1-Inputs!$B$15),0)</f>
        <v>0</v>
      </c>
      <c r="BG56" s="33" t="n">
        <f aca="false">IF(Source_Data!BG$6=Inputs!$B$12,-Inputs!$B$7,0)+IF(Source_Data!BG$6=Inputs!$B$12+24,Inputs!$B$8*Inputs!$B$7*(1-$A$48)*(1-Inputs!$B$15),0)</f>
        <v>0</v>
      </c>
      <c r="BH56" s="33" t="n">
        <f aca="false">IF(Source_Data!BH$6=Inputs!$B$12,-Inputs!$B$7,0)+IF(Source_Data!BH$6=Inputs!$B$12+24,Inputs!$B$8*Inputs!$B$7*(1-$A$48)*(1-Inputs!$B$15),0)</f>
        <v>0</v>
      </c>
      <c r="BI56" s="33" t="n">
        <f aca="false">IF(Source_Data!BI$6=Inputs!$B$12,-Inputs!$B$7,0)+IF(Source_Data!BI$6=Inputs!$B$12+24,Inputs!$B$8*Inputs!$B$7*(1-$A$48)*(1-Inputs!$B$15),0)</f>
        <v>0</v>
      </c>
      <c r="BJ56" s="33" t="n">
        <f aca="false">IF(Source_Data!BJ$6=Inputs!$B$12,-Inputs!$B$7,0)+IF(Source_Data!BJ$6=Inputs!$B$12+24,Inputs!$B$8*Inputs!$B$7*(1-$A$48)*(1-Inputs!$B$15),0)</f>
        <v>0</v>
      </c>
      <c r="BK56" s="33" t="n">
        <f aca="false">IF(Source_Data!BK$6=Inputs!$B$12,-Inputs!$B$7,0)+IF(Source_Data!BK$6=Inputs!$B$12+24,Inputs!$B$8*Inputs!$B$7*(1-$A$48)*(1-Inputs!$B$15),0)</f>
        <v>0</v>
      </c>
    </row>
    <row r="57" customFormat="false" ht="15" hidden="false" customHeight="false" outlineLevel="0" collapsed="false">
      <c r="A57" s="6" t="s">
        <v>286</v>
      </c>
      <c r="D57" s="33" t="n">
        <f aca="false">IF(Source_Data!D$6=Inputs!$B$12,-Inputs!$B$7,0)+IF(Source_Data!D$6=Inputs!$B$12+24,Inputs!$B$8*Inputs!$B$7*(1-$A$49)*(1-Inputs!$B$15),0)</f>
        <v>-100</v>
      </c>
      <c r="E57" s="33" t="n">
        <f aca="false">IF(Source_Data!E$6=Inputs!$B$12,-Inputs!$B$7,0)+IF(Source_Data!E$6=Inputs!$B$12+24,Inputs!$B$8*Inputs!$B$7*(1-$A$49)*(1-Inputs!$B$15),0)</f>
        <v>0</v>
      </c>
      <c r="F57" s="33" t="n">
        <f aca="false">IF(Source_Data!F$6=Inputs!$B$12,-Inputs!$B$7,0)+IF(Source_Data!F$6=Inputs!$B$12+24,Inputs!$B$8*Inputs!$B$7*(1-$A$49)*(1-Inputs!$B$15),0)</f>
        <v>0</v>
      </c>
      <c r="G57" s="33" t="n">
        <f aca="false">IF(Source_Data!G$6=Inputs!$B$12,-Inputs!$B$7,0)+IF(Source_Data!G$6=Inputs!$B$12+24,Inputs!$B$8*Inputs!$B$7*(1-$A$49)*(1-Inputs!$B$15),0)</f>
        <v>0</v>
      </c>
      <c r="H57" s="33" t="n">
        <f aca="false">IF(Source_Data!H$6=Inputs!$B$12,-Inputs!$B$7,0)+IF(Source_Data!H$6=Inputs!$B$12+24,Inputs!$B$8*Inputs!$B$7*(1-$A$49)*(1-Inputs!$B$15),0)</f>
        <v>0</v>
      </c>
      <c r="I57" s="33" t="n">
        <f aca="false">IF(Source_Data!I$6=Inputs!$B$12,-Inputs!$B$7,0)+IF(Source_Data!I$6=Inputs!$B$12+24,Inputs!$B$8*Inputs!$B$7*(1-$A$49)*(1-Inputs!$B$15),0)</f>
        <v>0</v>
      </c>
      <c r="J57" s="33" t="n">
        <f aca="false">IF(Source_Data!J$6=Inputs!$B$12,-Inputs!$B$7,0)+IF(Source_Data!J$6=Inputs!$B$12+24,Inputs!$B$8*Inputs!$B$7*(1-$A$49)*(1-Inputs!$B$15),0)</f>
        <v>0</v>
      </c>
      <c r="K57" s="33" t="n">
        <f aca="false">IF(Source_Data!K$6=Inputs!$B$12,-Inputs!$B$7,0)+IF(Source_Data!K$6=Inputs!$B$12+24,Inputs!$B$8*Inputs!$B$7*(1-$A$49)*(1-Inputs!$B$15),0)</f>
        <v>0</v>
      </c>
      <c r="L57" s="33" t="n">
        <f aca="false">IF(Source_Data!L$6=Inputs!$B$12,-Inputs!$B$7,0)+IF(Source_Data!L$6=Inputs!$B$12+24,Inputs!$B$8*Inputs!$B$7*(1-$A$49)*(1-Inputs!$B$15),0)</f>
        <v>174.6</v>
      </c>
      <c r="M57" s="33" t="n">
        <f aca="false">IF(Source_Data!M$6=Inputs!$B$12,-Inputs!$B$7,0)+IF(Source_Data!M$6=Inputs!$B$12+24,Inputs!$B$8*Inputs!$B$7*(1-$A$49)*(1-Inputs!$B$15),0)</f>
        <v>0</v>
      </c>
      <c r="N57" s="33" t="n">
        <f aca="false">IF(Source_Data!N$6=Inputs!$B$12,-Inputs!$B$7,0)+IF(Source_Data!N$6=Inputs!$B$12+24,Inputs!$B$8*Inputs!$B$7*(1-$A$49)*(1-Inputs!$B$15),0)</f>
        <v>0</v>
      </c>
      <c r="O57" s="33" t="n">
        <f aca="false">IF(Source_Data!O$6=Inputs!$B$12,-Inputs!$B$7,0)+IF(Source_Data!O$6=Inputs!$B$12+24,Inputs!$B$8*Inputs!$B$7*(1-$A$49)*(1-Inputs!$B$15),0)</f>
        <v>0</v>
      </c>
      <c r="P57" s="33" t="n">
        <f aca="false">IF(Source_Data!P$6=Inputs!$B$12,-Inputs!$B$7,0)+IF(Source_Data!P$6=Inputs!$B$12+24,Inputs!$B$8*Inputs!$B$7*(1-$A$49)*(1-Inputs!$B$15),0)</f>
        <v>0</v>
      </c>
      <c r="Q57" s="33" t="n">
        <f aca="false">IF(Source_Data!Q$6=Inputs!$B$12,-Inputs!$B$7,0)+IF(Source_Data!Q$6=Inputs!$B$12+24,Inputs!$B$8*Inputs!$B$7*(1-$A$49)*(1-Inputs!$B$15),0)</f>
        <v>0</v>
      </c>
      <c r="R57" s="33" t="n">
        <f aca="false">IF(Source_Data!R$6=Inputs!$B$12,-Inputs!$B$7,0)+IF(Source_Data!R$6=Inputs!$B$12+24,Inputs!$B$8*Inputs!$B$7*(1-$A$49)*(1-Inputs!$B$15),0)</f>
        <v>0</v>
      </c>
      <c r="S57" s="33" t="n">
        <f aca="false">IF(Source_Data!S$6=Inputs!$B$12,-Inputs!$B$7,0)+IF(Source_Data!S$6=Inputs!$B$12+24,Inputs!$B$8*Inputs!$B$7*(1-$A$49)*(1-Inputs!$B$15),0)</f>
        <v>0</v>
      </c>
      <c r="T57" s="33" t="n">
        <f aca="false">IF(Source_Data!T$6=Inputs!$B$12,-Inputs!$B$7,0)+IF(Source_Data!T$6=Inputs!$B$12+24,Inputs!$B$8*Inputs!$B$7*(1-$A$49)*(1-Inputs!$B$15),0)</f>
        <v>0</v>
      </c>
      <c r="U57" s="33" t="n">
        <f aca="false">IF(Source_Data!U$6=Inputs!$B$12,-Inputs!$B$7,0)+IF(Source_Data!U$6=Inputs!$B$12+24,Inputs!$B$8*Inputs!$B$7*(1-$A$49)*(1-Inputs!$B$15),0)</f>
        <v>0</v>
      </c>
      <c r="V57" s="33" t="n">
        <f aca="false">IF(Source_Data!V$6=Inputs!$B$12,-Inputs!$B$7,0)+IF(Source_Data!V$6=Inputs!$B$12+24,Inputs!$B$8*Inputs!$B$7*(1-$A$49)*(1-Inputs!$B$15),0)</f>
        <v>0</v>
      </c>
      <c r="W57" s="33" t="n">
        <f aca="false">IF(Source_Data!W$6=Inputs!$B$12,-Inputs!$B$7,0)+IF(Source_Data!W$6=Inputs!$B$12+24,Inputs!$B$8*Inputs!$B$7*(1-$A$49)*(1-Inputs!$B$15),0)</f>
        <v>0</v>
      </c>
      <c r="X57" s="33" t="n">
        <f aca="false">IF(Source_Data!X$6=Inputs!$B$12,-Inputs!$B$7,0)+IF(Source_Data!X$6=Inputs!$B$12+24,Inputs!$B$8*Inputs!$B$7*(1-$A$49)*(1-Inputs!$B$15),0)</f>
        <v>0</v>
      </c>
      <c r="Y57" s="33" t="n">
        <f aca="false">IF(Source_Data!Y$6=Inputs!$B$12,-Inputs!$B$7,0)+IF(Source_Data!Y$6=Inputs!$B$12+24,Inputs!$B$8*Inputs!$B$7*(1-$A$49)*(1-Inputs!$B$15),0)</f>
        <v>0</v>
      </c>
      <c r="Z57" s="33" t="n">
        <f aca="false">IF(Source_Data!Z$6=Inputs!$B$12,-Inputs!$B$7,0)+IF(Source_Data!Z$6=Inputs!$B$12+24,Inputs!$B$8*Inputs!$B$7*(1-$A$49)*(1-Inputs!$B$15),0)</f>
        <v>0</v>
      </c>
      <c r="AA57" s="33" t="n">
        <f aca="false">IF(Source_Data!AA$6=Inputs!$B$12,-Inputs!$B$7,0)+IF(Source_Data!AA$6=Inputs!$B$12+24,Inputs!$B$8*Inputs!$B$7*(1-$A$49)*(1-Inputs!$B$15),0)</f>
        <v>0</v>
      </c>
      <c r="AB57" s="33" t="n">
        <f aca="false">IF(Source_Data!AB$6=Inputs!$B$12,-Inputs!$B$7,0)+IF(Source_Data!AB$6=Inputs!$B$12+24,Inputs!$B$8*Inputs!$B$7*(1-$A$49)*(1-Inputs!$B$15),0)</f>
        <v>0</v>
      </c>
      <c r="AC57" s="33" t="n">
        <f aca="false">IF(Source_Data!AC$6=Inputs!$B$12,-Inputs!$B$7,0)+IF(Source_Data!AC$6=Inputs!$B$12+24,Inputs!$B$8*Inputs!$B$7*(1-$A$49)*(1-Inputs!$B$15),0)</f>
        <v>0</v>
      </c>
      <c r="AD57" s="33" t="n">
        <f aca="false">IF(Source_Data!AD$6=Inputs!$B$12,-Inputs!$B$7,0)+IF(Source_Data!AD$6=Inputs!$B$12+24,Inputs!$B$8*Inputs!$B$7*(1-$A$49)*(1-Inputs!$B$15),0)</f>
        <v>0</v>
      </c>
      <c r="AE57" s="33" t="n">
        <f aca="false">IF(Source_Data!AE$6=Inputs!$B$12,-Inputs!$B$7,0)+IF(Source_Data!AE$6=Inputs!$B$12+24,Inputs!$B$8*Inputs!$B$7*(1-$A$49)*(1-Inputs!$B$15),0)</f>
        <v>0</v>
      </c>
      <c r="AF57" s="33" t="n">
        <f aca="false">IF(Source_Data!AF$6=Inputs!$B$12,-Inputs!$B$7,0)+IF(Source_Data!AF$6=Inputs!$B$12+24,Inputs!$B$8*Inputs!$B$7*(1-$A$49)*(1-Inputs!$B$15),0)</f>
        <v>0</v>
      </c>
      <c r="AG57" s="33" t="n">
        <f aca="false">IF(Source_Data!AG$6=Inputs!$B$12,-Inputs!$B$7,0)+IF(Source_Data!AG$6=Inputs!$B$12+24,Inputs!$B$8*Inputs!$B$7*(1-$A$49)*(1-Inputs!$B$15),0)</f>
        <v>0</v>
      </c>
      <c r="AH57" s="33" t="n">
        <f aca="false">IF(Source_Data!AH$6=Inputs!$B$12,-Inputs!$B$7,0)+IF(Source_Data!AH$6=Inputs!$B$12+24,Inputs!$B$8*Inputs!$B$7*(1-$A$49)*(1-Inputs!$B$15),0)</f>
        <v>0</v>
      </c>
      <c r="AI57" s="33" t="n">
        <f aca="false">IF(Source_Data!AI$6=Inputs!$B$12,-Inputs!$B$7,0)+IF(Source_Data!AI$6=Inputs!$B$12+24,Inputs!$B$8*Inputs!$B$7*(1-$A$49)*(1-Inputs!$B$15),0)</f>
        <v>0</v>
      </c>
      <c r="AJ57" s="33" t="n">
        <f aca="false">IF(Source_Data!AJ$6=Inputs!$B$12,-Inputs!$B$7,0)+IF(Source_Data!AJ$6=Inputs!$B$12+24,Inputs!$B$8*Inputs!$B$7*(1-$A$49)*(1-Inputs!$B$15),0)</f>
        <v>0</v>
      </c>
      <c r="AK57" s="33" t="n">
        <f aca="false">IF(Source_Data!AK$6=Inputs!$B$12,-Inputs!$B$7,0)+IF(Source_Data!AK$6=Inputs!$B$12+24,Inputs!$B$8*Inputs!$B$7*(1-$A$49)*(1-Inputs!$B$15),0)</f>
        <v>0</v>
      </c>
      <c r="AL57" s="33" t="n">
        <f aca="false">IF(Source_Data!AL$6=Inputs!$B$12,-Inputs!$B$7,0)+IF(Source_Data!AL$6=Inputs!$B$12+24,Inputs!$B$8*Inputs!$B$7*(1-$A$49)*(1-Inputs!$B$15),0)</f>
        <v>0</v>
      </c>
      <c r="AM57" s="33" t="n">
        <f aca="false">IF(Source_Data!AM$6=Inputs!$B$12,-Inputs!$B$7,0)+IF(Source_Data!AM$6=Inputs!$B$12+24,Inputs!$B$8*Inputs!$B$7*(1-$A$49)*(1-Inputs!$B$15),0)</f>
        <v>0</v>
      </c>
      <c r="AN57" s="33" t="n">
        <f aca="false">IF(Source_Data!AN$6=Inputs!$B$12,-Inputs!$B$7,0)+IF(Source_Data!AN$6=Inputs!$B$12+24,Inputs!$B$8*Inputs!$B$7*(1-$A$49)*(1-Inputs!$B$15),0)</f>
        <v>0</v>
      </c>
      <c r="AO57" s="33" t="n">
        <f aca="false">IF(Source_Data!AO$6=Inputs!$B$12,-Inputs!$B$7,0)+IF(Source_Data!AO$6=Inputs!$B$12+24,Inputs!$B$8*Inputs!$B$7*(1-$A$49)*(1-Inputs!$B$15),0)</f>
        <v>0</v>
      </c>
      <c r="AP57" s="33" t="n">
        <f aca="false">IF(Source_Data!AP$6=Inputs!$B$12,-Inputs!$B$7,0)+IF(Source_Data!AP$6=Inputs!$B$12+24,Inputs!$B$8*Inputs!$B$7*(1-$A$49)*(1-Inputs!$B$15),0)</f>
        <v>0</v>
      </c>
      <c r="AQ57" s="33" t="n">
        <f aca="false">IF(Source_Data!AQ$6=Inputs!$B$12,-Inputs!$B$7,0)+IF(Source_Data!AQ$6=Inputs!$B$12+24,Inputs!$B$8*Inputs!$B$7*(1-$A$49)*(1-Inputs!$B$15),0)</f>
        <v>0</v>
      </c>
      <c r="AR57" s="33" t="n">
        <f aca="false">IF(Source_Data!AR$6=Inputs!$B$12,-Inputs!$B$7,0)+IF(Source_Data!AR$6=Inputs!$B$12+24,Inputs!$B$8*Inputs!$B$7*(1-$A$49)*(1-Inputs!$B$15),0)</f>
        <v>0</v>
      </c>
      <c r="AS57" s="33" t="n">
        <f aca="false">IF(Source_Data!AS$6=Inputs!$B$12,-Inputs!$B$7,0)+IF(Source_Data!AS$6=Inputs!$B$12+24,Inputs!$B$8*Inputs!$B$7*(1-$A$49)*(1-Inputs!$B$15),0)</f>
        <v>0</v>
      </c>
      <c r="AT57" s="33" t="n">
        <f aca="false">IF(Source_Data!AT$6=Inputs!$B$12,-Inputs!$B$7,0)+IF(Source_Data!AT$6=Inputs!$B$12+24,Inputs!$B$8*Inputs!$B$7*(1-$A$49)*(1-Inputs!$B$15),0)</f>
        <v>0</v>
      </c>
      <c r="AU57" s="33" t="n">
        <f aca="false">IF(Source_Data!AU$6=Inputs!$B$12,-Inputs!$B$7,0)+IF(Source_Data!AU$6=Inputs!$B$12+24,Inputs!$B$8*Inputs!$B$7*(1-$A$49)*(1-Inputs!$B$15),0)</f>
        <v>0</v>
      </c>
      <c r="AV57" s="33" t="n">
        <f aca="false">IF(Source_Data!AV$6=Inputs!$B$12,-Inputs!$B$7,0)+IF(Source_Data!AV$6=Inputs!$B$12+24,Inputs!$B$8*Inputs!$B$7*(1-$A$49)*(1-Inputs!$B$15),0)</f>
        <v>0</v>
      </c>
      <c r="AW57" s="33" t="n">
        <f aca="false">IF(Source_Data!AW$6=Inputs!$B$12,-Inputs!$B$7,0)+IF(Source_Data!AW$6=Inputs!$B$12+24,Inputs!$B$8*Inputs!$B$7*(1-$A$49)*(1-Inputs!$B$15),0)</f>
        <v>0</v>
      </c>
      <c r="AX57" s="33" t="n">
        <f aca="false">IF(Source_Data!AX$6=Inputs!$B$12,-Inputs!$B$7,0)+IF(Source_Data!AX$6=Inputs!$B$12+24,Inputs!$B$8*Inputs!$B$7*(1-$A$49)*(1-Inputs!$B$15),0)</f>
        <v>0</v>
      </c>
      <c r="AY57" s="33" t="n">
        <f aca="false">IF(Source_Data!AY$6=Inputs!$B$12,-Inputs!$B$7,0)+IF(Source_Data!AY$6=Inputs!$B$12+24,Inputs!$B$8*Inputs!$B$7*(1-$A$49)*(1-Inputs!$B$15),0)</f>
        <v>0</v>
      </c>
      <c r="AZ57" s="33" t="n">
        <f aca="false">IF(Source_Data!AZ$6=Inputs!$B$12,-Inputs!$B$7,0)+IF(Source_Data!AZ$6=Inputs!$B$12+24,Inputs!$B$8*Inputs!$B$7*(1-$A$49)*(1-Inputs!$B$15),0)</f>
        <v>0</v>
      </c>
      <c r="BA57" s="33" t="n">
        <f aca="false">IF(Source_Data!BA$6=Inputs!$B$12,-Inputs!$B$7,0)+IF(Source_Data!BA$6=Inputs!$B$12+24,Inputs!$B$8*Inputs!$B$7*(1-$A$49)*(1-Inputs!$B$15),0)</f>
        <v>0</v>
      </c>
      <c r="BB57" s="33" t="n">
        <f aca="false">IF(Source_Data!BB$6=Inputs!$B$12,-Inputs!$B$7,0)+IF(Source_Data!BB$6=Inputs!$B$12+24,Inputs!$B$8*Inputs!$B$7*(1-$A$49)*(1-Inputs!$B$15),0)</f>
        <v>0</v>
      </c>
      <c r="BC57" s="33" t="n">
        <f aca="false">IF(Source_Data!BC$6=Inputs!$B$12,-Inputs!$B$7,0)+IF(Source_Data!BC$6=Inputs!$B$12+24,Inputs!$B$8*Inputs!$B$7*(1-$A$49)*(1-Inputs!$B$15),0)</f>
        <v>0</v>
      </c>
      <c r="BD57" s="33" t="n">
        <f aca="false">IF(Source_Data!BD$6=Inputs!$B$12,-Inputs!$B$7,0)+IF(Source_Data!BD$6=Inputs!$B$12+24,Inputs!$B$8*Inputs!$B$7*(1-$A$49)*(1-Inputs!$B$15),0)</f>
        <v>0</v>
      </c>
      <c r="BE57" s="33" t="n">
        <f aca="false">IF(Source_Data!BE$6=Inputs!$B$12,-Inputs!$B$7,0)+IF(Source_Data!BE$6=Inputs!$B$12+24,Inputs!$B$8*Inputs!$B$7*(1-$A$49)*(1-Inputs!$B$15),0)</f>
        <v>0</v>
      </c>
      <c r="BF57" s="33" t="n">
        <f aca="false">IF(Source_Data!BF$6=Inputs!$B$12,-Inputs!$B$7,0)+IF(Source_Data!BF$6=Inputs!$B$12+24,Inputs!$B$8*Inputs!$B$7*(1-$A$49)*(1-Inputs!$B$15),0)</f>
        <v>0</v>
      </c>
      <c r="BG57" s="33" t="n">
        <f aca="false">IF(Source_Data!BG$6=Inputs!$B$12,-Inputs!$B$7,0)+IF(Source_Data!BG$6=Inputs!$B$12+24,Inputs!$B$8*Inputs!$B$7*(1-$A$49)*(1-Inputs!$B$15),0)</f>
        <v>0</v>
      </c>
      <c r="BH57" s="33" t="n">
        <f aca="false">IF(Source_Data!BH$6=Inputs!$B$12,-Inputs!$B$7,0)+IF(Source_Data!BH$6=Inputs!$B$12+24,Inputs!$B$8*Inputs!$B$7*(1-$A$49)*(1-Inputs!$B$15),0)</f>
        <v>0</v>
      </c>
      <c r="BI57" s="33" t="n">
        <f aca="false">IF(Source_Data!BI$6=Inputs!$B$12,-Inputs!$B$7,0)+IF(Source_Data!BI$6=Inputs!$B$12+24,Inputs!$B$8*Inputs!$B$7*(1-$A$49)*(1-Inputs!$B$15),0)</f>
        <v>0</v>
      </c>
      <c r="BJ57" s="33" t="n">
        <f aca="false">IF(Source_Data!BJ$6=Inputs!$B$12,-Inputs!$B$7,0)+IF(Source_Data!BJ$6=Inputs!$B$12+24,Inputs!$B$8*Inputs!$B$7*(1-$A$49)*(1-Inputs!$B$15),0)</f>
        <v>0</v>
      </c>
      <c r="BK57" s="33" t="n">
        <f aca="false">IF(Source_Data!BK$6=Inputs!$B$12,-Inputs!$B$7,0)+IF(Source_Data!BK$6=Inputs!$B$12+24,Inputs!$B$8*Inputs!$B$7*(1-$A$49)*(1-Inputs!$B$15),0)</f>
        <v>0</v>
      </c>
    </row>
    <row r="58" customFormat="false" ht="15" hidden="false" customHeight="false" outlineLevel="0" collapsed="false">
      <c r="A58" s="6" t="s">
        <v>287</v>
      </c>
      <c r="D58" s="33" t="n">
        <f aca="false">IF(Source_Data!D$6=Inputs!$B$12,-Inputs!$B$7,0)+IF(Source_Data!D$6=Inputs!$B$12+24,Inputs!$B$8*Inputs!$B$7*(1-$A$50)*(1-Inputs!$B$15),0)</f>
        <v>-100</v>
      </c>
      <c r="E58" s="33" t="n">
        <f aca="false">IF(Source_Data!E$6=Inputs!$B$12,-Inputs!$B$7,0)+IF(Source_Data!E$6=Inputs!$B$12+24,Inputs!$B$8*Inputs!$B$7*(1-$A$50)*(1-Inputs!$B$15),0)</f>
        <v>0</v>
      </c>
      <c r="F58" s="33" t="n">
        <f aca="false">IF(Source_Data!F$6=Inputs!$B$12,-Inputs!$B$7,0)+IF(Source_Data!F$6=Inputs!$B$12+24,Inputs!$B$8*Inputs!$B$7*(1-$A$50)*(1-Inputs!$B$15),0)</f>
        <v>0</v>
      </c>
      <c r="G58" s="33" t="n">
        <f aca="false">IF(Source_Data!G$6=Inputs!$B$12,-Inputs!$B$7,0)+IF(Source_Data!G$6=Inputs!$B$12+24,Inputs!$B$8*Inputs!$B$7*(1-$A$50)*(1-Inputs!$B$15),0)</f>
        <v>0</v>
      </c>
      <c r="H58" s="33" t="n">
        <f aca="false">IF(Source_Data!H$6=Inputs!$B$12,-Inputs!$B$7,0)+IF(Source_Data!H$6=Inputs!$B$12+24,Inputs!$B$8*Inputs!$B$7*(1-$A$50)*(1-Inputs!$B$15),0)</f>
        <v>0</v>
      </c>
      <c r="I58" s="33" t="n">
        <f aca="false">IF(Source_Data!I$6=Inputs!$B$12,-Inputs!$B$7,0)+IF(Source_Data!I$6=Inputs!$B$12+24,Inputs!$B$8*Inputs!$B$7*(1-$A$50)*(1-Inputs!$B$15),0)</f>
        <v>0</v>
      </c>
      <c r="J58" s="33" t="n">
        <f aca="false">IF(Source_Data!J$6=Inputs!$B$12,-Inputs!$B$7,0)+IF(Source_Data!J$6=Inputs!$B$12+24,Inputs!$B$8*Inputs!$B$7*(1-$A$50)*(1-Inputs!$B$15),0)</f>
        <v>0</v>
      </c>
      <c r="K58" s="33" t="n">
        <f aca="false">IF(Source_Data!K$6=Inputs!$B$12,-Inputs!$B$7,0)+IF(Source_Data!K$6=Inputs!$B$12+24,Inputs!$B$8*Inputs!$B$7*(1-$A$50)*(1-Inputs!$B$15),0)</f>
        <v>0</v>
      </c>
      <c r="L58" s="33" t="n">
        <f aca="false">IF(Source_Data!L$6=Inputs!$B$12,-Inputs!$B$7,0)+IF(Source_Data!L$6=Inputs!$B$12+24,Inputs!$B$8*Inputs!$B$7*(1-$A$50)*(1-Inputs!$B$15),0)</f>
        <v>155.2</v>
      </c>
      <c r="M58" s="33" t="n">
        <f aca="false">IF(Source_Data!M$6=Inputs!$B$12,-Inputs!$B$7,0)+IF(Source_Data!M$6=Inputs!$B$12+24,Inputs!$B$8*Inputs!$B$7*(1-$A$50)*(1-Inputs!$B$15),0)</f>
        <v>0</v>
      </c>
      <c r="N58" s="33" t="n">
        <f aca="false">IF(Source_Data!N$6=Inputs!$B$12,-Inputs!$B$7,0)+IF(Source_Data!N$6=Inputs!$B$12+24,Inputs!$B$8*Inputs!$B$7*(1-$A$50)*(1-Inputs!$B$15),0)</f>
        <v>0</v>
      </c>
      <c r="O58" s="33" t="n">
        <f aca="false">IF(Source_Data!O$6=Inputs!$B$12,-Inputs!$B$7,0)+IF(Source_Data!O$6=Inputs!$B$12+24,Inputs!$B$8*Inputs!$B$7*(1-$A$50)*(1-Inputs!$B$15),0)</f>
        <v>0</v>
      </c>
      <c r="P58" s="33" t="n">
        <f aca="false">IF(Source_Data!P$6=Inputs!$B$12,-Inputs!$B$7,0)+IF(Source_Data!P$6=Inputs!$B$12+24,Inputs!$B$8*Inputs!$B$7*(1-$A$50)*(1-Inputs!$B$15),0)</f>
        <v>0</v>
      </c>
      <c r="Q58" s="33" t="n">
        <f aca="false">IF(Source_Data!Q$6=Inputs!$B$12,-Inputs!$B$7,0)+IF(Source_Data!Q$6=Inputs!$B$12+24,Inputs!$B$8*Inputs!$B$7*(1-$A$50)*(1-Inputs!$B$15),0)</f>
        <v>0</v>
      </c>
      <c r="R58" s="33" t="n">
        <f aca="false">IF(Source_Data!R$6=Inputs!$B$12,-Inputs!$B$7,0)+IF(Source_Data!R$6=Inputs!$B$12+24,Inputs!$B$8*Inputs!$B$7*(1-$A$50)*(1-Inputs!$B$15),0)</f>
        <v>0</v>
      </c>
      <c r="S58" s="33" t="n">
        <f aca="false">IF(Source_Data!S$6=Inputs!$B$12,-Inputs!$B$7,0)+IF(Source_Data!S$6=Inputs!$B$12+24,Inputs!$B$8*Inputs!$B$7*(1-$A$50)*(1-Inputs!$B$15),0)</f>
        <v>0</v>
      </c>
      <c r="T58" s="33" t="n">
        <f aca="false">IF(Source_Data!T$6=Inputs!$B$12,-Inputs!$B$7,0)+IF(Source_Data!T$6=Inputs!$B$12+24,Inputs!$B$8*Inputs!$B$7*(1-$A$50)*(1-Inputs!$B$15),0)</f>
        <v>0</v>
      </c>
      <c r="U58" s="33" t="n">
        <f aca="false">IF(Source_Data!U$6=Inputs!$B$12,-Inputs!$B$7,0)+IF(Source_Data!U$6=Inputs!$B$12+24,Inputs!$B$8*Inputs!$B$7*(1-$A$50)*(1-Inputs!$B$15),0)</f>
        <v>0</v>
      </c>
      <c r="V58" s="33" t="n">
        <f aca="false">IF(Source_Data!V$6=Inputs!$B$12,-Inputs!$B$7,0)+IF(Source_Data!V$6=Inputs!$B$12+24,Inputs!$B$8*Inputs!$B$7*(1-$A$50)*(1-Inputs!$B$15),0)</f>
        <v>0</v>
      </c>
      <c r="W58" s="33" t="n">
        <f aca="false">IF(Source_Data!W$6=Inputs!$B$12,-Inputs!$B$7,0)+IF(Source_Data!W$6=Inputs!$B$12+24,Inputs!$B$8*Inputs!$B$7*(1-$A$50)*(1-Inputs!$B$15),0)</f>
        <v>0</v>
      </c>
      <c r="X58" s="33" t="n">
        <f aca="false">IF(Source_Data!X$6=Inputs!$B$12,-Inputs!$B$7,0)+IF(Source_Data!X$6=Inputs!$B$12+24,Inputs!$B$8*Inputs!$B$7*(1-$A$50)*(1-Inputs!$B$15),0)</f>
        <v>0</v>
      </c>
      <c r="Y58" s="33" t="n">
        <f aca="false">IF(Source_Data!Y$6=Inputs!$B$12,-Inputs!$B$7,0)+IF(Source_Data!Y$6=Inputs!$B$12+24,Inputs!$B$8*Inputs!$B$7*(1-$A$50)*(1-Inputs!$B$15),0)</f>
        <v>0</v>
      </c>
      <c r="Z58" s="33" t="n">
        <f aca="false">IF(Source_Data!Z$6=Inputs!$B$12,-Inputs!$B$7,0)+IF(Source_Data!Z$6=Inputs!$B$12+24,Inputs!$B$8*Inputs!$B$7*(1-$A$50)*(1-Inputs!$B$15),0)</f>
        <v>0</v>
      </c>
      <c r="AA58" s="33" t="n">
        <f aca="false">IF(Source_Data!AA$6=Inputs!$B$12,-Inputs!$B$7,0)+IF(Source_Data!AA$6=Inputs!$B$12+24,Inputs!$B$8*Inputs!$B$7*(1-$A$50)*(1-Inputs!$B$15),0)</f>
        <v>0</v>
      </c>
      <c r="AB58" s="33" t="n">
        <f aca="false">IF(Source_Data!AB$6=Inputs!$B$12,-Inputs!$B$7,0)+IF(Source_Data!AB$6=Inputs!$B$12+24,Inputs!$B$8*Inputs!$B$7*(1-$A$50)*(1-Inputs!$B$15),0)</f>
        <v>0</v>
      </c>
      <c r="AC58" s="33" t="n">
        <f aca="false">IF(Source_Data!AC$6=Inputs!$B$12,-Inputs!$B$7,0)+IF(Source_Data!AC$6=Inputs!$B$12+24,Inputs!$B$8*Inputs!$B$7*(1-$A$50)*(1-Inputs!$B$15),0)</f>
        <v>0</v>
      </c>
      <c r="AD58" s="33" t="n">
        <f aca="false">IF(Source_Data!AD$6=Inputs!$B$12,-Inputs!$B$7,0)+IF(Source_Data!AD$6=Inputs!$B$12+24,Inputs!$B$8*Inputs!$B$7*(1-$A$50)*(1-Inputs!$B$15),0)</f>
        <v>0</v>
      </c>
      <c r="AE58" s="33" t="n">
        <f aca="false">IF(Source_Data!AE$6=Inputs!$B$12,-Inputs!$B$7,0)+IF(Source_Data!AE$6=Inputs!$B$12+24,Inputs!$B$8*Inputs!$B$7*(1-$A$50)*(1-Inputs!$B$15),0)</f>
        <v>0</v>
      </c>
      <c r="AF58" s="33" t="n">
        <f aca="false">IF(Source_Data!AF$6=Inputs!$B$12,-Inputs!$B$7,0)+IF(Source_Data!AF$6=Inputs!$B$12+24,Inputs!$B$8*Inputs!$B$7*(1-$A$50)*(1-Inputs!$B$15),0)</f>
        <v>0</v>
      </c>
      <c r="AG58" s="33" t="n">
        <f aca="false">IF(Source_Data!AG$6=Inputs!$B$12,-Inputs!$B$7,0)+IF(Source_Data!AG$6=Inputs!$B$12+24,Inputs!$B$8*Inputs!$B$7*(1-$A$50)*(1-Inputs!$B$15),0)</f>
        <v>0</v>
      </c>
      <c r="AH58" s="33" t="n">
        <f aca="false">IF(Source_Data!AH$6=Inputs!$B$12,-Inputs!$B$7,0)+IF(Source_Data!AH$6=Inputs!$B$12+24,Inputs!$B$8*Inputs!$B$7*(1-$A$50)*(1-Inputs!$B$15),0)</f>
        <v>0</v>
      </c>
      <c r="AI58" s="33" t="n">
        <f aca="false">IF(Source_Data!AI$6=Inputs!$B$12,-Inputs!$B$7,0)+IF(Source_Data!AI$6=Inputs!$B$12+24,Inputs!$B$8*Inputs!$B$7*(1-$A$50)*(1-Inputs!$B$15),0)</f>
        <v>0</v>
      </c>
      <c r="AJ58" s="33" t="n">
        <f aca="false">IF(Source_Data!AJ$6=Inputs!$B$12,-Inputs!$B$7,0)+IF(Source_Data!AJ$6=Inputs!$B$12+24,Inputs!$B$8*Inputs!$B$7*(1-$A$50)*(1-Inputs!$B$15),0)</f>
        <v>0</v>
      </c>
      <c r="AK58" s="33" t="n">
        <f aca="false">IF(Source_Data!AK$6=Inputs!$B$12,-Inputs!$B$7,0)+IF(Source_Data!AK$6=Inputs!$B$12+24,Inputs!$B$8*Inputs!$B$7*(1-$A$50)*(1-Inputs!$B$15),0)</f>
        <v>0</v>
      </c>
      <c r="AL58" s="33" t="n">
        <f aca="false">IF(Source_Data!AL$6=Inputs!$B$12,-Inputs!$B$7,0)+IF(Source_Data!AL$6=Inputs!$B$12+24,Inputs!$B$8*Inputs!$B$7*(1-$A$50)*(1-Inputs!$B$15),0)</f>
        <v>0</v>
      </c>
      <c r="AM58" s="33" t="n">
        <f aca="false">IF(Source_Data!AM$6=Inputs!$B$12,-Inputs!$B$7,0)+IF(Source_Data!AM$6=Inputs!$B$12+24,Inputs!$B$8*Inputs!$B$7*(1-$A$50)*(1-Inputs!$B$15),0)</f>
        <v>0</v>
      </c>
      <c r="AN58" s="33" t="n">
        <f aca="false">IF(Source_Data!AN$6=Inputs!$B$12,-Inputs!$B$7,0)+IF(Source_Data!AN$6=Inputs!$B$12+24,Inputs!$B$8*Inputs!$B$7*(1-$A$50)*(1-Inputs!$B$15),0)</f>
        <v>0</v>
      </c>
      <c r="AO58" s="33" t="n">
        <f aca="false">IF(Source_Data!AO$6=Inputs!$B$12,-Inputs!$B$7,0)+IF(Source_Data!AO$6=Inputs!$B$12+24,Inputs!$B$8*Inputs!$B$7*(1-$A$50)*(1-Inputs!$B$15),0)</f>
        <v>0</v>
      </c>
      <c r="AP58" s="33" t="n">
        <f aca="false">IF(Source_Data!AP$6=Inputs!$B$12,-Inputs!$B$7,0)+IF(Source_Data!AP$6=Inputs!$B$12+24,Inputs!$B$8*Inputs!$B$7*(1-$A$50)*(1-Inputs!$B$15),0)</f>
        <v>0</v>
      </c>
      <c r="AQ58" s="33" t="n">
        <f aca="false">IF(Source_Data!AQ$6=Inputs!$B$12,-Inputs!$B$7,0)+IF(Source_Data!AQ$6=Inputs!$B$12+24,Inputs!$B$8*Inputs!$B$7*(1-$A$50)*(1-Inputs!$B$15),0)</f>
        <v>0</v>
      </c>
      <c r="AR58" s="33" t="n">
        <f aca="false">IF(Source_Data!AR$6=Inputs!$B$12,-Inputs!$B$7,0)+IF(Source_Data!AR$6=Inputs!$B$12+24,Inputs!$B$8*Inputs!$B$7*(1-$A$50)*(1-Inputs!$B$15),0)</f>
        <v>0</v>
      </c>
      <c r="AS58" s="33" t="n">
        <f aca="false">IF(Source_Data!AS$6=Inputs!$B$12,-Inputs!$B$7,0)+IF(Source_Data!AS$6=Inputs!$B$12+24,Inputs!$B$8*Inputs!$B$7*(1-$A$50)*(1-Inputs!$B$15),0)</f>
        <v>0</v>
      </c>
      <c r="AT58" s="33" t="n">
        <f aca="false">IF(Source_Data!AT$6=Inputs!$B$12,-Inputs!$B$7,0)+IF(Source_Data!AT$6=Inputs!$B$12+24,Inputs!$B$8*Inputs!$B$7*(1-$A$50)*(1-Inputs!$B$15),0)</f>
        <v>0</v>
      </c>
      <c r="AU58" s="33" t="n">
        <f aca="false">IF(Source_Data!AU$6=Inputs!$B$12,-Inputs!$B$7,0)+IF(Source_Data!AU$6=Inputs!$B$12+24,Inputs!$B$8*Inputs!$B$7*(1-$A$50)*(1-Inputs!$B$15),0)</f>
        <v>0</v>
      </c>
      <c r="AV58" s="33" t="n">
        <f aca="false">IF(Source_Data!AV$6=Inputs!$B$12,-Inputs!$B$7,0)+IF(Source_Data!AV$6=Inputs!$B$12+24,Inputs!$B$8*Inputs!$B$7*(1-$A$50)*(1-Inputs!$B$15),0)</f>
        <v>0</v>
      </c>
      <c r="AW58" s="33" t="n">
        <f aca="false">IF(Source_Data!AW$6=Inputs!$B$12,-Inputs!$B$7,0)+IF(Source_Data!AW$6=Inputs!$B$12+24,Inputs!$B$8*Inputs!$B$7*(1-$A$50)*(1-Inputs!$B$15),0)</f>
        <v>0</v>
      </c>
      <c r="AX58" s="33" t="n">
        <f aca="false">IF(Source_Data!AX$6=Inputs!$B$12,-Inputs!$B$7,0)+IF(Source_Data!AX$6=Inputs!$B$12+24,Inputs!$B$8*Inputs!$B$7*(1-$A$50)*(1-Inputs!$B$15),0)</f>
        <v>0</v>
      </c>
      <c r="AY58" s="33" t="n">
        <f aca="false">IF(Source_Data!AY$6=Inputs!$B$12,-Inputs!$B$7,0)+IF(Source_Data!AY$6=Inputs!$B$12+24,Inputs!$B$8*Inputs!$B$7*(1-$A$50)*(1-Inputs!$B$15),0)</f>
        <v>0</v>
      </c>
      <c r="AZ58" s="33" t="n">
        <f aca="false">IF(Source_Data!AZ$6=Inputs!$B$12,-Inputs!$B$7,0)+IF(Source_Data!AZ$6=Inputs!$B$12+24,Inputs!$B$8*Inputs!$B$7*(1-$A$50)*(1-Inputs!$B$15),0)</f>
        <v>0</v>
      </c>
      <c r="BA58" s="33" t="n">
        <f aca="false">IF(Source_Data!BA$6=Inputs!$B$12,-Inputs!$B$7,0)+IF(Source_Data!BA$6=Inputs!$B$12+24,Inputs!$B$8*Inputs!$B$7*(1-$A$50)*(1-Inputs!$B$15),0)</f>
        <v>0</v>
      </c>
      <c r="BB58" s="33" t="n">
        <f aca="false">IF(Source_Data!BB$6=Inputs!$B$12,-Inputs!$B$7,0)+IF(Source_Data!BB$6=Inputs!$B$12+24,Inputs!$B$8*Inputs!$B$7*(1-$A$50)*(1-Inputs!$B$15),0)</f>
        <v>0</v>
      </c>
      <c r="BC58" s="33" t="n">
        <f aca="false">IF(Source_Data!BC$6=Inputs!$B$12,-Inputs!$B$7,0)+IF(Source_Data!BC$6=Inputs!$B$12+24,Inputs!$B$8*Inputs!$B$7*(1-$A$50)*(1-Inputs!$B$15),0)</f>
        <v>0</v>
      </c>
      <c r="BD58" s="33" t="n">
        <f aca="false">IF(Source_Data!BD$6=Inputs!$B$12,-Inputs!$B$7,0)+IF(Source_Data!BD$6=Inputs!$B$12+24,Inputs!$B$8*Inputs!$B$7*(1-$A$50)*(1-Inputs!$B$15),0)</f>
        <v>0</v>
      </c>
      <c r="BE58" s="33" t="n">
        <f aca="false">IF(Source_Data!BE$6=Inputs!$B$12,-Inputs!$B$7,0)+IF(Source_Data!BE$6=Inputs!$B$12+24,Inputs!$B$8*Inputs!$B$7*(1-$A$50)*(1-Inputs!$B$15),0)</f>
        <v>0</v>
      </c>
      <c r="BF58" s="33" t="n">
        <f aca="false">IF(Source_Data!BF$6=Inputs!$B$12,-Inputs!$B$7,0)+IF(Source_Data!BF$6=Inputs!$B$12+24,Inputs!$B$8*Inputs!$B$7*(1-$A$50)*(1-Inputs!$B$15),0)</f>
        <v>0</v>
      </c>
      <c r="BG58" s="33" t="n">
        <f aca="false">IF(Source_Data!BG$6=Inputs!$B$12,-Inputs!$B$7,0)+IF(Source_Data!BG$6=Inputs!$B$12+24,Inputs!$B$8*Inputs!$B$7*(1-$A$50)*(1-Inputs!$B$15),0)</f>
        <v>0</v>
      </c>
      <c r="BH58" s="33" t="n">
        <f aca="false">IF(Source_Data!BH$6=Inputs!$B$12,-Inputs!$B$7,0)+IF(Source_Data!BH$6=Inputs!$B$12+24,Inputs!$B$8*Inputs!$B$7*(1-$A$50)*(1-Inputs!$B$15),0)</f>
        <v>0</v>
      </c>
      <c r="BI58" s="33" t="n">
        <f aca="false">IF(Source_Data!BI$6=Inputs!$B$12,-Inputs!$B$7,0)+IF(Source_Data!BI$6=Inputs!$B$12+24,Inputs!$B$8*Inputs!$B$7*(1-$A$50)*(1-Inputs!$B$15),0)</f>
        <v>0</v>
      </c>
      <c r="BJ58" s="33" t="n">
        <f aca="false">IF(Source_Data!BJ$6=Inputs!$B$12,-Inputs!$B$7,0)+IF(Source_Data!BJ$6=Inputs!$B$12+24,Inputs!$B$8*Inputs!$B$7*(1-$A$50)*(1-Inputs!$B$15),0)</f>
        <v>0</v>
      </c>
      <c r="BK58" s="33" t="n">
        <f aca="false">IF(Source_Data!BK$6=Inputs!$B$12,-Inputs!$B$7,0)+IF(Source_Data!BK$6=Inputs!$B$12+24,Inputs!$B$8*Inputs!$B$7*(1-$A$50)*(1-Inputs!$B$15),0)</f>
        <v>0</v>
      </c>
    </row>
    <row r="59" customFormat="false" ht="15" hidden="false" customHeight="false" outlineLevel="0" collapsed="false">
      <c r="A59" s="6" t="s">
        <v>288</v>
      </c>
      <c r="D59" s="33" t="n">
        <f aca="false">IF(Source_Data!D$6=Inputs!$B$12,-Inputs!$B$7,0)+IF(Source_Data!D$6=Inputs!$B$12+24,Inputs!$B$8*Inputs!$B$7*(1-$A$51)*(1-Inputs!$B$15),0)</f>
        <v>-100</v>
      </c>
      <c r="E59" s="33" t="n">
        <f aca="false">IF(Source_Data!E$6=Inputs!$B$12,-Inputs!$B$7,0)+IF(Source_Data!E$6=Inputs!$B$12+24,Inputs!$B$8*Inputs!$B$7*(1-$A$51)*(1-Inputs!$B$15),0)</f>
        <v>0</v>
      </c>
      <c r="F59" s="33" t="n">
        <f aca="false">IF(Source_Data!F$6=Inputs!$B$12,-Inputs!$B$7,0)+IF(Source_Data!F$6=Inputs!$B$12+24,Inputs!$B$8*Inputs!$B$7*(1-$A$51)*(1-Inputs!$B$15),0)</f>
        <v>0</v>
      </c>
      <c r="G59" s="33" t="n">
        <f aca="false">IF(Source_Data!G$6=Inputs!$B$12,-Inputs!$B$7,0)+IF(Source_Data!G$6=Inputs!$B$12+24,Inputs!$B$8*Inputs!$B$7*(1-$A$51)*(1-Inputs!$B$15),0)</f>
        <v>0</v>
      </c>
      <c r="H59" s="33" t="n">
        <f aca="false">IF(Source_Data!H$6=Inputs!$B$12,-Inputs!$B$7,0)+IF(Source_Data!H$6=Inputs!$B$12+24,Inputs!$B$8*Inputs!$B$7*(1-$A$51)*(1-Inputs!$B$15),0)</f>
        <v>0</v>
      </c>
      <c r="I59" s="33" t="n">
        <f aca="false">IF(Source_Data!I$6=Inputs!$B$12,-Inputs!$B$7,0)+IF(Source_Data!I$6=Inputs!$B$12+24,Inputs!$B$8*Inputs!$B$7*(1-$A$51)*(1-Inputs!$B$15),0)</f>
        <v>0</v>
      </c>
      <c r="J59" s="33" t="n">
        <f aca="false">IF(Source_Data!J$6=Inputs!$B$12,-Inputs!$B$7,0)+IF(Source_Data!J$6=Inputs!$B$12+24,Inputs!$B$8*Inputs!$B$7*(1-$A$51)*(1-Inputs!$B$15),0)</f>
        <v>0</v>
      </c>
      <c r="K59" s="33" t="n">
        <f aca="false">IF(Source_Data!K$6=Inputs!$B$12,-Inputs!$B$7,0)+IF(Source_Data!K$6=Inputs!$B$12+24,Inputs!$B$8*Inputs!$B$7*(1-$A$51)*(1-Inputs!$B$15),0)</f>
        <v>0</v>
      </c>
      <c r="L59" s="33" t="n">
        <f aca="false">IF(Source_Data!L$6=Inputs!$B$12,-Inputs!$B$7,0)+IF(Source_Data!L$6=Inputs!$B$12+24,Inputs!$B$8*Inputs!$B$7*(1-$A$51)*(1-Inputs!$B$15),0)</f>
        <v>135.8</v>
      </c>
      <c r="M59" s="33" t="n">
        <f aca="false">IF(Source_Data!M$6=Inputs!$B$12,-Inputs!$B$7,0)+IF(Source_Data!M$6=Inputs!$B$12+24,Inputs!$B$8*Inputs!$B$7*(1-$A$51)*(1-Inputs!$B$15),0)</f>
        <v>0</v>
      </c>
      <c r="N59" s="33" t="n">
        <f aca="false">IF(Source_Data!N$6=Inputs!$B$12,-Inputs!$B$7,0)+IF(Source_Data!N$6=Inputs!$B$12+24,Inputs!$B$8*Inputs!$B$7*(1-$A$51)*(1-Inputs!$B$15),0)</f>
        <v>0</v>
      </c>
      <c r="O59" s="33" t="n">
        <f aca="false">IF(Source_Data!O$6=Inputs!$B$12,-Inputs!$B$7,0)+IF(Source_Data!O$6=Inputs!$B$12+24,Inputs!$B$8*Inputs!$B$7*(1-$A$51)*(1-Inputs!$B$15),0)</f>
        <v>0</v>
      </c>
      <c r="P59" s="33" t="n">
        <f aca="false">IF(Source_Data!P$6=Inputs!$B$12,-Inputs!$B$7,0)+IF(Source_Data!P$6=Inputs!$B$12+24,Inputs!$B$8*Inputs!$B$7*(1-$A$51)*(1-Inputs!$B$15),0)</f>
        <v>0</v>
      </c>
      <c r="Q59" s="33" t="n">
        <f aca="false">IF(Source_Data!Q$6=Inputs!$B$12,-Inputs!$B$7,0)+IF(Source_Data!Q$6=Inputs!$B$12+24,Inputs!$B$8*Inputs!$B$7*(1-$A$51)*(1-Inputs!$B$15),0)</f>
        <v>0</v>
      </c>
      <c r="R59" s="33" t="n">
        <f aca="false">IF(Source_Data!R$6=Inputs!$B$12,-Inputs!$B$7,0)+IF(Source_Data!R$6=Inputs!$B$12+24,Inputs!$B$8*Inputs!$B$7*(1-$A$51)*(1-Inputs!$B$15),0)</f>
        <v>0</v>
      </c>
      <c r="S59" s="33" t="n">
        <f aca="false">IF(Source_Data!S$6=Inputs!$B$12,-Inputs!$B$7,0)+IF(Source_Data!S$6=Inputs!$B$12+24,Inputs!$B$8*Inputs!$B$7*(1-$A$51)*(1-Inputs!$B$15),0)</f>
        <v>0</v>
      </c>
      <c r="T59" s="33" t="n">
        <f aca="false">IF(Source_Data!T$6=Inputs!$B$12,-Inputs!$B$7,0)+IF(Source_Data!T$6=Inputs!$B$12+24,Inputs!$B$8*Inputs!$B$7*(1-$A$51)*(1-Inputs!$B$15),0)</f>
        <v>0</v>
      </c>
      <c r="U59" s="33" t="n">
        <f aca="false">IF(Source_Data!U$6=Inputs!$B$12,-Inputs!$B$7,0)+IF(Source_Data!U$6=Inputs!$B$12+24,Inputs!$B$8*Inputs!$B$7*(1-$A$51)*(1-Inputs!$B$15),0)</f>
        <v>0</v>
      </c>
      <c r="V59" s="33" t="n">
        <f aca="false">IF(Source_Data!V$6=Inputs!$B$12,-Inputs!$B$7,0)+IF(Source_Data!V$6=Inputs!$B$12+24,Inputs!$B$8*Inputs!$B$7*(1-$A$51)*(1-Inputs!$B$15),0)</f>
        <v>0</v>
      </c>
      <c r="W59" s="33" t="n">
        <f aca="false">IF(Source_Data!W$6=Inputs!$B$12,-Inputs!$B$7,0)+IF(Source_Data!W$6=Inputs!$B$12+24,Inputs!$B$8*Inputs!$B$7*(1-$A$51)*(1-Inputs!$B$15),0)</f>
        <v>0</v>
      </c>
      <c r="X59" s="33" t="n">
        <f aca="false">IF(Source_Data!X$6=Inputs!$B$12,-Inputs!$B$7,0)+IF(Source_Data!X$6=Inputs!$B$12+24,Inputs!$B$8*Inputs!$B$7*(1-$A$51)*(1-Inputs!$B$15),0)</f>
        <v>0</v>
      </c>
      <c r="Y59" s="33" t="n">
        <f aca="false">IF(Source_Data!Y$6=Inputs!$B$12,-Inputs!$B$7,0)+IF(Source_Data!Y$6=Inputs!$B$12+24,Inputs!$B$8*Inputs!$B$7*(1-$A$51)*(1-Inputs!$B$15),0)</f>
        <v>0</v>
      </c>
      <c r="Z59" s="33" t="n">
        <f aca="false">IF(Source_Data!Z$6=Inputs!$B$12,-Inputs!$B$7,0)+IF(Source_Data!Z$6=Inputs!$B$12+24,Inputs!$B$8*Inputs!$B$7*(1-$A$51)*(1-Inputs!$B$15),0)</f>
        <v>0</v>
      </c>
      <c r="AA59" s="33" t="n">
        <f aca="false">IF(Source_Data!AA$6=Inputs!$B$12,-Inputs!$B$7,0)+IF(Source_Data!AA$6=Inputs!$B$12+24,Inputs!$B$8*Inputs!$B$7*(1-$A$51)*(1-Inputs!$B$15),0)</f>
        <v>0</v>
      </c>
      <c r="AB59" s="33" t="n">
        <f aca="false">IF(Source_Data!AB$6=Inputs!$B$12,-Inputs!$B$7,0)+IF(Source_Data!AB$6=Inputs!$B$12+24,Inputs!$B$8*Inputs!$B$7*(1-$A$51)*(1-Inputs!$B$15),0)</f>
        <v>0</v>
      </c>
      <c r="AC59" s="33" t="n">
        <f aca="false">IF(Source_Data!AC$6=Inputs!$B$12,-Inputs!$B$7,0)+IF(Source_Data!AC$6=Inputs!$B$12+24,Inputs!$B$8*Inputs!$B$7*(1-$A$51)*(1-Inputs!$B$15),0)</f>
        <v>0</v>
      </c>
      <c r="AD59" s="33" t="n">
        <f aca="false">IF(Source_Data!AD$6=Inputs!$B$12,-Inputs!$B$7,0)+IF(Source_Data!AD$6=Inputs!$B$12+24,Inputs!$B$8*Inputs!$B$7*(1-$A$51)*(1-Inputs!$B$15),0)</f>
        <v>0</v>
      </c>
      <c r="AE59" s="33" t="n">
        <f aca="false">IF(Source_Data!AE$6=Inputs!$B$12,-Inputs!$B$7,0)+IF(Source_Data!AE$6=Inputs!$B$12+24,Inputs!$B$8*Inputs!$B$7*(1-$A$51)*(1-Inputs!$B$15),0)</f>
        <v>0</v>
      </c>
      <c r="AF59" s="33" t="n">
        <f aca="false">IF(Source_Data!AF$6=Inputs!$B$12,-Inputs!$B$7,0)+IF(Source_Data!AF$6=Inputs!$B$12+24,Inputs!$B$8*Inputs!$B$7*(1-$A$51)*(1-Inputs!$B$15),0)</f>
        <v>0</v>
      </c>
      <c r="AG59" s="33" t="n">
        <f aca="false">IF(Source_Data!AG$6=Inputs!$B$12,-Inputs!$B$7,0)+IF(Source_Data!AG$6=Inputs!$B$12+24,Inputs!$B$8*Inputs!$B$7*(1-$A$51)*(1-Inputs!$B$15),0)</f>
        <v>0</v>
      </c>
      <c r="AH59" s="33" t="n">
        <f aca="false">IF(Source_Data!AH$6=Inputs!$B$12,-Inputs!$B$7,0)+IF(Source_Data!AH$6=Inputs!$B$12+24,Inputs!$B$8*Inputs!$B$7*(1-$A$51)*(1-Inputs!$B$15),0)</f>
        <v>0</v>
      </c>
      <c r="AI59" s="33" t="n">
        <f aca="false">IF(Source_Data!AI$6=Inputs!$B$12,-Inputs!$B$7,0)+IF(Source_Data!AI$6=Inputs!$B$12+24,Inputs!$B$8*Inputs!$B$7*(1-$A$51)*(1-Inputs!$B$15),0)</f>
        <v>0</v>
      </c>
      <c r="AJ59" s="33" t="n">
        <f aca="false">IF(Source_Data!AJ$6=Inputs!$B$12,-Inputs!$B$7,0)+IF(Source_Data!AJ$6=Inputs!$B$12+24,Inputs!$B$8*Inputs!$B$7*(1-$A$51)*(1-Inputs!$B$15),0)</f>
        <v>0</v>
      </c>
      <c r="AK59" s="33" t="n">
        <f aca="false">IF(Source_Data!AK$6=Inputs!$B$12,-Inputs!$B$7,0)+IF(Source_Data!AK$6=Inputs!$B$12+24,Inputs!$B$8*Inputs!$B$7*(1-$A$51)*(1-Inputs!$B$15),0)</f>
        <v>0</v>
      </c>
      <c r="AL59" s="33" t="n">
        <f aca="false">IF(Source_Data!AL$6=Inputs!$B$12,-Inputs!$B$7,0)+IF(Source_Data!AL$6=Inputs!$B$12+24,Inputs!$B$8*Inputs!$B$7*(1-$A$51)*(1-Inputs!$B$15),0)</f>
        <v>0</v>
      </c>
      <c r="AM59" s="33" t="n">
        <f aca="false">IF(Source_Data!AM$6=Inputs!$B$12,-Inputs!$B$7,0)+IF(Source_Data!AM$6=Inputs!$B$12+24,Inputs!$B$8*Inputs!$B$7*(1-$A$51)*(1-Inputs!$B$15),0)</f>
        <v>0</v>
      </c>
      <c r="AN59" s="33" t="n">
        <f aca="false">IF(Source_Data!AN$6=Inputs!$B$12,-Inputs!$B$7,0)+IF(Source_Data!AN$6=Inputs!$B$12+24,Inputs!$B$8*Inputs!$B$7*(1-$A$51)*(1-Inputs!$B$15),0)</f>
        <v>0</v>
      </c>
      <c r="AO59" s="33" t="n">
        <f aca="false">IF(Source_Data!AO$6=Inputs!$B$12,-Inputs!$B$7,0)+IF(Source_Data!AO$6=Inputs!$B$12+24,Inputs!$B$8*Inputs!$B$7*(1-$A$51)*(1-Inputs!$B$15),0)</f>
        <v>0</v>
      </c>
      <c r="AP59" s="33" t="n">
        <f aca="false">IF(Source_Data!AP$6=Inputs!$B$12,-Inputs!$B$7,0)+IF(Source_Data!AP$6=Inputs!$B$12+24,Inputs!$B$8*Inputs!$B$7*(1-$A$51)*(1-Inputs!$B$15),0)</f>
        <v>0</v>
      </c>
      <c r="AQ59" s="33" t="n">
        <f aca="false">IF(Source_Data!AQ$6=Inputs!$B$12,-Inputs!$B$7,0)+IF(Source_Data!AQ$6=Inputs!$B$12+24,Inputs!$B$8*Inputs!$B$7*(1-$A$51)*(1-Inputs!$B$15),0)</f>
        <v>0</v>
      </c>
      <c r="AR59" s="33" t="n">
        <f aca="false">IF(Source_Data!AR$6=Inputs!$B$12,-Inputs!$B$7,0)+IF(Source_Data!AR$6=Inputs!$B$12+24,Inputs!$B$8*Inputs!$B$7*(1-$A$51)*(1-Inputs!$B$15),0)</f>
        <v>0</v>
      </c>
      <c r="AS59" s="33" t="n">
        <f aca="false">IF(Source_Data!AS$6=Inputs!$B$12,-Inputs!$B$7,0)+IF(Source_Data!AS$6=Inputs!$B$12+24,Inputs!$B$8*Inputs!$B$7*(1-$A$51)*(1-Inputs!$B$15),0)</f>
        <v>0</v>
      </c>
      <c r="AT59" s="33" t="n">
        <f aca="false">IF(Source_Data!AT$6=Inputs!$B$12,-Inputs!$B$7,0)+IF(Source_Data!AT$6=Inputs!$B$12+24,Inputs!$B$8*Inputs!$B$7*(1-$A$51)*(1-Inputs!$B$15),0)</f>
        <v>0</v>
      </c>
      <c r="AU59" s="33" t="n">
        <f aca="false">IF(Source_Data!AU$6=Inputs!$B$12,-Inputs!$B$7,0)+IF(Source_Data!AU$6=Inputs!$B$12+24,Inputs!$B$8*Inputs!$B$7*(1-$A$51)*(1-Inputs!$B$15),0)</f>
        <v>0</v>
      </c>
      <c r="AV59" s="33" t="n">
        <f aca="false">IF(Source_Data!AV$6=Inputs!$B$12,-Inputs!$B$7,0)+IF(Source_Data!AV$6=Inputs!$B$12+24,Inputs!$B$8*Inputs!$B$7*(1-$A$51)*(1-Inputs!$B$15),0)</f>
        <v>0</v>
      </c>
      <c r="AW59" s="33" t="n">
        <f aca="false">IF(Source_Data!AW$6=Inputs!$B$12,-Inputs!$B$7,0)+IF(Source_Data!AW$6=Inputs!$B$12+24,Inputs!$B$8*Inputs!$B$7*(1-$A$51)*(1-Inputs!$B$15),0)</f>
        <v>0</v>
      </c>
      <c r="AX59" s="33" t="n">
        <f aca="false">IF(Source_Data!AX$6=Inputs!$B$12,-Inputs!$B$7,0)+IF(Source_Data!AX$6=Inputs!$B$12+24,Inputs!$B$8*Inputs!$B$7*(1-$A$51)*(1-Inputs!$B$15),0)</f>
        <v>0</v>
      </c>
      <c r="AY59" s="33" t="n">
        <f aca="false">IF(Source_Data!AY$6=Inputs!$B$12,-Inputs!$B$7,0)+IF(Source_Data!AY$6=Inputs!$B$12+24,Inputs!$B$8*Inputs!$B$7*(1-$A$51)*(1-Inputs!$B$15),0)</f>
        <v>0</v>
      </c>
      <c r="AZ59" s="33" t="n">
        <f aca="false">IF(Source_Data!AZ$6=Inputs!$B$12,-Inputs!$B$7,0)+IF(Source_Data!AZ$6=Inputs!$B$12+24,Inputs!$B$8*Inputs!$B$7*(1-$A$51)*(1-Inputs!$B$15),0)</f>
        <v>0</v>
      </c>
      <c r="BA59" s="33" t="n">
        <f aca="false">IF(Source_Data!BA$6=Inputs!$B$12,-Inputs!$B$7,0)+IF(Source_Data!BA$6=Inputs!$B$12+24,Inputs!$B$8*Inputs!$B$7*(1-$A$51)*(1-Inputs!$B$15),0)</f>
        <v>0</v>
      </c>
      <c r="BB59" s="33" t="n">
        <f aca="false">IF(Source_Data!BB$6=Inputs!$B$12,-Inputs!$B$7,0)+IF(Source_Data!BB$6=Inputs!$B$12+24,Inputs!$B$8*Inputs!$B$7*(1-$A$51)*(1-Inputs!$B$15),0)</f>
        <v>0</v>
      </c>
      <c r="BC59" s="33" t="n">
        <f aca="false">IF(Source_Data!BC$6=Inputs!$B$12,-Inputs!$B$7,0)+IF(Source_Data!BC$6=Inputs!$B$12+24,Inputs!$B$8*Inputs!$B$7*(1-$A$51)*(1-Inputs!$B$15),0)</f>
        <v>0</v>
      </c>
      <c r="BD59" s="33" t="n">
        <f aca="false">IF(Source_Data!BD$6=Inputs!$B$12,-Inputs!$B$7,0)+IF(Source_Data!BD$6=Inputs!$B$12+24,Inputs!$B$8*Inputs!$B$7*(1-$A$51)*(1-Inputs!$B$15),0)</f>
        <v>0</v>
      </c>
      <c r="BE59" s="33" t="n">
        <f aca="false">IF(Source_Data!BE$6=Inputs!$B$12,-Inputs!$B$7,0)+IF(Source_Data!BE$6=Inputs!$B$12+24,Inputs!$B$8*Inputs!$B$7*(1-$A$51)*(1-Inputs!$B$15),0)</f>
        <v>0</v>
      </c>
      <c r="BF59" s="33" t="n">
        <f aca="false">IF(Source_Data!BF$6=Inputs!$B$12,-Inputs!$B$7,0)+IF(Source_Data!BF$6=Inputs!$B$12+24,Inputs!$B$8*Inputs!$B$7*(1-$A$51)*(1-Inputs!$B$15),0)</f>
        <v>0</v>
      </c>
      <c r="BG59" s="33" t="n">
        <f aca="false">IF(Source_Data!BG$6=Inputs!$B$12,-Inputs!$B$7,0)+IF(Source_Data!BG$6=Inputs!$B$12+24,Inputs!$B$8*Inputs!$B$7*(1-$A$51)*(1-Inputs!$B$15),0)</f>
        <v>0</v>
      </c>
      <c r="BH59" s="33" t="n">
        <f aca="false">IF(Source_Data!BH$6=Inputs!$B$12,-Inputs!$B$7,0)+IF(Source_Data!BH$6=Inputs!$B$12+24,Inputs!$B$8*Inputs!$B$7*(1-$A$51)*(1-Inputs!$B$15),0)</f>
        <v>0</v>
      </c>
      <c r="BI59" s="33" t="n">
        <f aca="false">IF(Source_Data!BI$6=Inputs!$B$12,-Inputs!$B$7,0)+IF(Source_Data!BI$6=Inputs!$B$12+24,Inputs!$B$8*Inputs!$B$7*(1-$A$51)*(1-Inputs!$B$15),0)</f>
        <v>0</v>
      </c>
      <c r="BJ59" s="33" t="n">
        <f aca="false">IF(Source_Data!BJ$6=Inputs!$B$12,-Inputs!$B$7,0)+IF(Source_Data!BJ$6=Inputs!$B$12+24,Inputs!$B$8*Inputs!$B$7*(1-$A$51)*(1-Inputs!$B$15),0)</f>
        <v>0</v>
      </c>
      <c r="BK59" s="33" t="n">
        <f aca="false">IF(Source_Data!BK$6=Inputs!$B$12,-Inputs!$B$7,0)+IF(Source_Data!BK$6=Inputs!$B$12+24,Inputs!$B$8*Inputs!$B$7*(1-$A$51)*(1-Inputs!$B$15),0)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289</v>
      </c>
    </row>
    <row r="2" customFormat="false" ht="15" hidden="false" customHeight="false" outlineLevel="0" collapsed="false">
      <c r="A2" s="6" t="s">
        <v>290</v>
      </c>
    </row>
    <row r="4" customFormat="false" ht="15" hidden="false" customHeight="false" outlineLevel="0" collapsed="false">
      <c r="A4" s="7" t="s">
        <v>256</v>
      </c>
      <c r="B4" s="7" t="s">
        <v>181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184</v>
      </c>
      <c r="D5" s="30" t="n">
        <f aca="false">Source_Data!D$6</f>
        <v>3</v>
      </c>
      <c r="E5" s="30" t="n">
        <f aca="false">Source_Data!E$6</f>
        <v>6</v>
      </c>
      <c r="F5" s="30" t="n">
        <f aca="false">Source_Data!F$6</f>
        <v>9</v>
      </c>
      <c r="G5" s="30" t="n">
        <f aca="false">Source_Data!G$6</f>
        <v>12</v>
      </c>
      <c r="H5" s="30" t="n">
        <f aca="false">Source_Data!H$6</f>
        <v>15</v>
      </c>
      <c r="I5" s="30" t="n">
        <f aca="false">Source_Data!I$6</f>
        <v>18</v>
      </c>
      <c r="J5" s="30" t="n">
        <f aca="false">Source_Data!J$6</f>
        <v>21</v>
      </c>
      <c r="K5" s="30" t="n">
        <f aca="false">Source_Data!K$6</f>
        <v>24</v>
      </c>
      <c r="L5" s="30" t="n">
        <f aca="false">Source_Data!L$6</f>
        <v>27</v>
      </c>
      <c r="M5" s="30" t="n">
        <f aca="false">Source_Data!M$6</f>
        <v>30</v>
      </c>
      <c r="N5" s="30" t="n">
        <f aca="false">Source_Data!N$6</f>
        <v>33</v>
      </c>
      <c r="O5" s="30" t="n">
        <f aca="false">Source_Data!O$6</f>
        <v>36</v>
      </c>
      <c r="P5" s="30" t="n">
        <f aca="false">Source_Data!P$6</f>
        <v>39</v>
      </c>
      <c r="Q5" s="30" t="n">
        <f aca="false">Source_Data!Q$6</f>
        <v>42</v>
      </c>
      <c r="R5" s="30" t="n">
        <f aca="false">Source_Data!R$6</f>
        <v>45</v>
      </c>
      <c r="S5" s="30" t="n">
        <f aca="false">Source_Data!S$6</f>
        <v>48</v>
      </c>
      <c r="T5" s="30" t="n">
        <f aca="false">Source_Data!T$6</f>
        <v>51</v>
      </c>
      <c r="U5" s="30" t="n">
        <f aca="false">Source_Data!U$6</f>
        <v>54</v>
      </c>
      <c r="V5" s="30" t="n">
        <f aca="false">Source_Data!V$6</f>
        <v>57</v>
      </c>
      <c r="W5" s="30" t="n">
        <f aca="false">Source_Data!W$6</f>
        <v>60</v>
      </c>
      <c r="X5" s="30" t="n">
        <f aca="false">Source_Data!X$6</f>
        <v>63</v>
      </c>
      <c r="Y5" s="30" t="n">
        <f aca="false">Source_Data!Y$6</f>
        <v>66</v>
      </c>
      <c r="Z5" s="30" t="n">
        <f aca="false">Source_Data!Z$6</f>
        <v>69</v>
      </c>
      <c r="AA5" s="30" t="n">
        <f aca="false">Source_Data!AA$6</f>
        <v>72</v>
      </c>
      <c r="AB5" s="30" t="n">
        <f aca="false">Source_Data!AB$6</f>
        <v>75</v>
      </c>
      <c r="AC5" s="30" t="n">
        <f aca="false">Source_Data!AC$6</f>
        <v>78</v>
      </c>
      <c r="AD5" s="30" t="n">
        <f aca="false">Source_Data!AD$6</f>
        <v>81</v>
      </c>
      <c r="AE5" s="30" t="n">
        <f aca="false">Source_Data!AE$6</f>
        <v>84</v>
      </c>
      <c r="AF5" s="30" t="n">
        <f aca="false">Source_Data!AF$6</f>
        <v>87</v>
      </c>
      <c r="AG5" s="30" t="n">
        <f aca="false">Source_Data!AG$6</f>
        <v>90</v>
      </c>
      <c r="AH5" s="30" t="n">
        <f aca="false">Source_Data!AH$6</f>
        <v>93</v>
      </c>
      <c r="AI5" s="30" t="n">
        <f aca="false">Source_Data!AI$6</f>
        <v>96</v>
      </c>
      <c r="AJ5" s="30" t="n">
        <f aca="false">Source_Data!AJ$6</f>
        <v>99</v>
      </c>
      <c r="AK5" s="30" t="n">
        <f aca="false">Source_Data!AK$6</f>
        <v>102</v>
      </c>
      <c r="AL5" s="30" t="n">
        <f aca="false">Source_Data!AL$6</f>
        <v>105</v>
      </c>
      <c r="AM5" s="30" t="n">
        <f aca="false">Source_Data!AM$6</f>
        <v>108</v>
      </c>
      <c r="AN5" s="30" t="n">
        <f aca="false">Source_Data!AN$6</f>
        <v>111</v>
      </c>
      <c r="AO5" s="30" t="n">
        <f aca="false">Source_Data!AO$6</f>
        <v>114</v>
      </c>
      <c r="AP5" s="30" t="n">
        <f aca="false">Source_Data!AP$6</f>
        <v>117</v>
      </c>
      <c r="AQ5" s="30" t="n">
        <f aca="false">Source_Data!AQ$6</f>
        <v>120</v>
      </c>
      <c r="AR5" s="30" t="n">
        <f aca="false">Source_Data!AR$6</f>
        <v>123</v>
      </c>
      <c r="AS5" s="30" t="n">
        <f aca="false">Source_Data!AS$6</f>
        <v>126</v>
      </c>
      <c r="AT5" s="30" t="n">
        <f aca="false">Source_Data!AT$6</f>
        <v>129</v>
      </c>
      <c r="AU5" s="30" t="n">
        <f aca="false">Source_Data!AU$6</f>
        <v>132</v>
      </c>
      <c r="AV5" s="30" t="n">
        <f aca="false">Source_Data!AV$6</f>
        <v>135</v>
      </c>
      <c r="AW5" s="30" t="n">
        <f aca="false">Source_Data!AW$6</f>
        <v>138</v>
      </c>
      <c r="AX5" s="30" t="n">
        <f aca="false">Source_Data!AX$6</f>
        <v>141</v>
      </c>
      <c r="AY5" s="30" t="n">
        <f aca="false">Source_Data!AY$6</f>
        <v>144</v>
      </c>
      <c r="AZ5" s="30" t="n">
        <f aca="false">Source_Data!AZ$6</f>
        <v>147</v>
      </c>
      <c r="BA5" s="30" t="n">
        <f aca="false">Source_Data!BA$6</f>
        <v>150</v>
      </c>
      <c r="BB5" s="30" t="n">
        <f aca="false">Source_Data!BB$6</f>
        <v>153</v>
      </c>
      <c r="BC5" s="30" t="n">
        <f aca="false">Source_Data!BC$6</f>
        <v>156</v>
      </c>
      <c r="BD5" s="30" t="n">
        <f aca="false">Source_Data!BD$6</f>
        <v>159</v>
      </c>
      <c r="BE5" s="30" t="n">
        <f aca="false">Source_Data!BE$6</f>
        <v>162</v>
      </c>
      <c r="BF5" s="30" t="n">
        <f aca="false">Source_Data!BF$6</f>
        <v>165</v>
      </c>
      <c r="BG5" s="30" t="n">
        <f aca="false">Source_Data!BG$6</f>
        <v>168</v>
      </c>
      <c r="BH5" s="30" t="n">
        <f aca="false">Source_Data!BH$6</f>
        <v>171</v>
      </c>
      <c r="BI5" s="30" t="n">
        <f aca="false">Source_Data!BI$6</f>
        <v>174</v>
      </c>
      <c r="BJ5" s="30" t="n">
        <f aca="false">Source_Data!BJ$6</f>
        <v>177</v>
      </c>
      <c r="BK5" s="30" t="n">
        <f aca="false">Source_Data!BK$6</f>
        <v>180</v>
      </c>
    </row>
    <row r="6" customFormat="false" ht="15" hidden="false" customHeight="false" outlineLevel="0" collapsed="false">
      <c r="A6" s="3" t="s">
        <v>291</v>
      </c>
      <c r="D6" s="30" t="n">
        <f aca="false">IF(AND(Source_Data!D$6&gt;=Inputs!$B$54,Source_Data!D$6&lt;Inputs!$B$54+3*Inputs!$B$11),1,0)</f>
        <v>0</v>
      </c>
      <c r="E6" s="30" t="n">
        <f aca="false">IF(AND(Source_Data!E$6&gt;=Inputs!$B$54,Source_Data!E$6&lt;Inputs!$B$54+3*Inputs!$B$11),1,0)</f>
        <v>0</v>
      </c>
      <c r="F6" s="30" t="n">
        <f aca="false">IF(AND(Source_Data!F$6&gt;=Inputs!$B$54,Source_Data!F$6&lt;Inputs!$B$54+3*Inputs!$B$11),1,0)</f>
        <v>0</v>
      </c>
      <c r="G6" s="30" t="n">
        <f aca="false">IF(AND(Source_Data!G$6&gt;=Inputs!$B$54,Source_Data!G$6&lt;Inputs!$B$54+3*Inputs!$B$11),1,0)</f>
        <v>0</v>
      </c>
      <c r="H6" s="30" t="n">
        <f aca="false">IF(AND(Source_Data!H$6&gt;=Inputs!$B$54,Source_Data!H$6&lt;Inputs!$B$54+3*Inputs!$B$11),1,0)</f>
        <v>0</v>
      </c>
      <c r="I6" s="30" t="n">
        <f aca="false">IF(AND(Source_Data!I$6&gt;=Inputs!$B$54,Source_Data!I$6&lt;Inputs!$B$54+3*Inputs!$B$11),1,0)</f>
        <v>0</v>
      </c>
      <c r="J6" s="30" t="n">
        <f aca="false">IF(AND(Source_Data!J$6&gt;=Inputs!$B$54,Source_Data!J$6&lt;Inputs!$B$54+3*Inputs!$B$11),1,0)</f>
        <v>0</v>
      </c>
      <c r="K6" s="30" t="n">
        <f aca="false">IF(AND(Source_Data!K$6&gt;=Inputs!$B$54,Source_Data!K$6&lt;Inputs!$B$54+3*Inputs!$B$11),1,0)</f>
        <v>0</v>
      </c>
      <c r="L6" s="30" t="n">
        <f aca="false">IF(AND(Source_Data!L$6&gt;=Inputs!$B$54,Source_Data!L$6&lt;Inputs!$B$54+3*Inputs!$B$11),1,0)</f>
        <v>0</v>
      </c>
      <c r="M6" s="30" t="n">
        <f aca="false">IF(AND(Source_Data!M$6&gt;=Inputs!$B$54,Source_Data!M$6&lt;Inputs!$B$54+3*Inputs!$B$11),1,0)</f>
        <v>1</v>
      </c>
      <c r="N6" s="30" t="n">
        <f aca="false">IF(AND(Source_Data!N$6&gt;=Inputs!$B$54,Source_Data!N$6&lt;Inputs!$B$54+3*Inputs!$B$11),1,0)</f>
        <v>1</v>
      </c>
      <c r="O6" s="30" t="n">
        <f aca="false">IF(AND(Source_Data!O$6&gt;=Inputs!$B$54,Source_Data!O$6&lt;Inputs!$B$54+3*Inputs!$B$11),1,0)</f>
        <v>1</v>
      </c>
      <c r="P6" s="30" t="n">
        <f aca="false">IF(AND(Source_Data!P$6&gt;=Inputs!$B$54,Source_Data!P$6&lt;Inputs!$B$54+3*Inputs!$B$11),1,0)</f>
        <v>1</v>
      </c>
      <c r="Q6" s="30" t="n">
        <f aca="false">IF(AND(Source_Data!Q$6&gt;=Inputs!$B$54,Source_Data!Q$6&lt;Inputs!$B$54+3*Inputs!$B$11),1,0)</f>
        <v>1</v>
      </c>
      <c r="R6" s="30" t="n">
        <f aca="false">IF(AND(Source_Data!R$6&gt;=Inputs!$B$54,Source_Data!R$6&lt;Inputs!$B$54+3*Inputs!$B$11),1,0)</f>
        <v>1</v>
      </c>
      <c r="S6" s="30" t="n">
        <f aca="false">IF(AND(Source_Data!S$6&gt;=Inputs!$B$54,Source_Data!S$6&lt;Inputs!$B$54+3*Inputs!$B$11),1,0)</f>
        <v>1</v>
      </c>
      <c r="T6" s="30" t="n">
        <f aca="false">IF(AND(Source_Data!T$6&gt;=Inputs!$B$54,Source_Data!T$6&lt;Inputs!$B$54+3*Inputs!$B$11),1,0)</f>
        <v>1</v>
      </c>
      <c r="U6" s="30" t="n">
        <f aca="false">IF(AND(Source_Data!U$6&gt;=Inputs!$B$54,Source_Data!U$6&lt;Inputs!$B$54+3*Inputs!$B$11),1,0)</f>
        <v>1</v>
      </c>
      <c r="V6" s="30" t="n">
        <f aca="false">IF(AND(Source_Data!V$6&gt;=Inputs!$B$54,Source_Data!V$6&lt;Inputs!$B$54+3*Inputs!$B$11),1,0)</f>
        <v>1</v>
      </c>
      <c r="W6" s="30" t="n">
        <f aca="false">IF(AND(Source_Data!W$6&gt;=Inputs!$B$54,Source_Data!W$6&lt;Inputs!$B$54+3*Inputs!$B$11),1,0)</f>
        <v>1</v>
      </c>
      <c r="X6" s="30" t="n">
        <f aca="false">IF(AND(Source_Data!X$6&gt;=Inputs!$B$54,Source_Data!X$6&lt;Inputs!$B$54+3*Inputs!$B$11),1,0)</f>
        <v>1</v>
      </c>
      <c r="Y6" s="30" t="n">
        <f aca="false">IF(AND(Source_Data!Y$6&gt;=Inputs!$B$54,Source_Data!Y$6&lt;Inputs!$B$54+3*Inputs!$B$11),1,0)</f>
        <v>0</v>
      </c>
      <c r="Z6" s="30" t="n">
        <f aca="false">IF(AND(Source_Data!Z$6&gt;=Inputs!$B$54,Source_Data!Z$6&lt;Inputs!$B$54+3*Inputs!$B$11),1,0)</f>
        <v>0</v>
      </c>
      <c r="AA6" s="30" t="n">
        <f aca="false">IF(AND(Source_Data!AA$6&gt;=Inputs!$B$54,Source_Data!AA$6&lt;Inputs!$B$54+3*Inputs!$B$11),1,0)</f>
        <v>0</v>
      </c>
      <c r="AB6" s="30" t="n">
        <f aca="false">IF(AND(Source_Data!AB$6&gt;=Inputs!$B$54,Source_Data!AB$6&lt;Inputs!$B$54+3*Inputs!$B$11),1,0)</f>
        <v>0</v>
      </c>
      <c r="AC6" s="30" t="n">
        <f aca="false">IF(AND(Source_Data!AC$6&gt;=Inputs!$B$54,Source_Data!AC$6&lt;Inputs!$B$54+3*Inputs!$B$11),1,0)</f>
        <v>0</v>
      </c>
      <c r="AD6" s="30" t="n">
        <f aca="false">IF(AND(Source_Data!AD$6&gt;=Inputs!$B$54,Source_Data!AD$6&lt;Inputs!$B$54+3*Inputs!$B$11),1,0)</f>
        <v>0</v>
      </c>
      <c r="AE6" s="30" t="n">
        <f aca="false">IF(AND(Source_Data!AE$6&gt;=Inputs!$B$54,Source_Data!AE$6&lt;Inputs!$B$54+3*Inputs!$B$11),1,0)</f>
        <v>0</v>
      </c>
      <c r="AF6" s="30" t="n">
        <f aca="false">IF(AND(Source_Data!AF$6&gt;=Inputs!$B$54,Source_Data!AF$6&lt;Inputs!$B$54+3*Inputs!$B$11),1,0)</f>
        <v>0</v>
      </c>
      <c r="AG6" s="30" t="n">
        <f aca="false">IF(AND(Source_Data!AG$6&gt;=Inputs!$B$54,Source_Data!AG$6&lt;Inputs!$B$54+3*Inputs!$B$11),1,0)</f>
        <v>0</v>
      </c>
      <c r="AH6" s="30" t="n">
        <f aca="false">IF(AND(Source_Data!AH$6&gt;=Inputs!$B$54,Source_Data!AH$6&lt;Inputs!$B$54+3*Inputs!$B$11),1,0)</f>
        <v>0</v>
      </c>
      <c r="AI6" s="30" t="n">
        <f aca="false">IF(AND(Source_Data!AI$6&gt;=Inputs!$B$54,Source_Data!AI$6&lt;Inputs!$B$54+3*Inputs!$B$11),1,0)</f>
        <v>0</v>
      </c>
      <c r="AJ6" s="30" t="n">
        <f aca="false">IF(AND(Source_Data!AJ$6&gt;=Inputs!$B$54,Source_Data!AJ$6&lt;Inputs!$B$54+3*Inputs!$B$11),1,0)</f>
        <v>0</v>
      </c>
      <c r="AK6" s="30" t="n">
        <f aca="false">IF(AND(Source_Data!AK$6&gt;=Inputs!$B$54,Source_Data!AK$6&lt;Inputs!$B$54+3*Inputs!$B$11),1,0)</f>
        <v>0</v>
      </c>
      <c r="AL6" s="30" t="n">
        <f aca="false">IF(AND(Source_Data!AL$6&gt;=Inputs!$B$54,Source_Data!AL$6&lt;Inputs!$B$54+3*Inputs!$B$11),1,0)</f>
        <v>0</v>
      </c>
      <c r="AM6" s="30" t="n">
        <f aca="false">IF(AND(Source_Data!AM$6&gt;=Inputs!$B$54,Source_Data!AM$6&lt;Inputs!$B$54+3*Inputs!$B$11),1,0)</f>
        <v>0</v>
      </c>
      <c r="AN6" s="30" t="n">
        <f aca="false">IF(AND(Source_Data!AN$6&gt;=Inputs!$B$54,Source_Data!AN$6&lt;Inputs!$B$54+3*Inputs!$B$11),1,0)</f>
        <v>0</v>
      </c>
      <c r="AO6" s="30" t="n">
        <f aca="false">IF(AND(Source_Data!AO$6&gt;=Inputs!$B$54,Source_Data!AO$6&lt;Inputs!$B$54+3*Inputs!$B$11),1,0)</f>
        <v>0</v>
      </c>
      <c r="AP6" s="30" t="n">
        <f aca="false">IF(AND(Source_Data!AP$6&gt;=Inputs!$B$54,Source_Data!AP$6&lt;Inputs!$B$54+3*Inputs!$B$11),1,0)</f>
        <v>0</v>
      </c>
      <c r="AQ6" s="30" t="n">
        <f aca="false">IF(AND(Source_Data!AQ$6&gt;=Inputs!$B$54,Source_Data!AQ$6&lt;Inputs!$B$54+3*Inputs!$B$11),1,0)</f>
        <v>0</v>
      </c>
      <c r="AR6" s="30" t="n">
        <f aca="false">IF(AND(Source_Data!AR$6&gt;=Inputs!$B$54,Source_Data!AR$6&lt;Inputs!$B$54+3*Inputs!$B$11),1,0)</f>
        <v>0</v>
      </c>
      <c r="AS6" s="30" t="n">
        <f aca="false">IF(AND(Source_Data!AS$6&gt;=Inputs!$B$54,Source_Data!AS$6&lt;Inputs!$B$54+3*Inputs!$B$11),1,0)</f>
        <v>0</v>
      </c>
      <c r="AT6" s="30" t="n">
        <f aca="false">IF(AND(Source_Data!AT$6&gt;=Inputs!$B$54,Source_Data!AT$6&lt;Inputs!$B$54+3*Inputs!$B$11),1,0)</f>
        <v>0</v>
      </c>
      <c r="AU6" s="30" t="n">
        <f aca="false">IF(AND(Source_Data!AU$6&gt;=Inputs!$B$54,Source_Data!AU$6&lt;Inputs!$B$54+3*Inputs!$B$11),1,0)</f>
        <v>0</v>
      </c>
      <c r="AV6" s="30" t="n">
        <f aca="false">IF(AND(Source_Data!AV$6&gt;=Inputs!$B$54,Source_Data!AV$6&lt;Inputs!$B$54+3*Inputs!$B$11),1,0)</f>
        <v>0</v>
      </c>
      <c r="AW6" s="30" t="n">
        <f aca="false">IF(AND(Source_Data!AW$6&gt;=Inputs!$B$54,Source_Data!AW$6&lt;Inputs!$B$54+3*Inputs!$B$11),1,0)</f>
        <v>0</v>
      </c>
      <c r="AX6" s="30" t="n">
        <f aca="false">IF(AND(Source_Data!AX$6&gt;=Inputs!$B$54,Source_Data!AX$6&lt;Inputs!$B$54+3*Inputs!$B$11),1,0)</f>
        <v>0</v>
      </c>
      <c r="AY6" s="30" t="n">
        <f aca="false">IF(AND(Source_Data!AY$6&gt;=Inputs!$B$54,Source_Data!AY$6&lt;Inputs!$B$54+3*Inputs!$B$11),1,0)</f>
        <v>0</v>
      </c>
      <c r="AZ6" s="30" t="n">
        <f aca="false">IF(AND(Source_Data!AZ$6&gt;=Inputs!$B$54,Source_Data!AZ$6&lt;Inputs!$B$54+3*Inputs!$B$11),1,0)</f>
        <v>0</v>
      </c>
      <c r="BA6" s="30" t="n">
        <f aca="false">IF(AND(Source_Data!BA$6&gt;=Inputs!$B$54,Source_Data!BA$6&lt;Inputs!$B$54+3*Inputs!$B$11),1,0)</f>
        <v>0</v>
      </c>
      <c r="BB6" s="30" t="n">
        <f aca="false">IF(AND(Source_Data!BB$6&gt;=Inputs!$B$54,Source_Data!BB$6&lt;Inputs!$B$54+3*Inputs!$B$11),1,0)</f>
        <v>0</v>
      </c>
      <c r="BC6" s="30" t="n">
        <f aca="false">IF(AND(Source_Data!BC$6&gt;=Inputs!$B$54,Source_Data!BC$6&lt;Inputs!$B$54+3*Inputs!$B$11),1,0)</f>
        <v>0</v>
      </c>
      <c r="BD6" s="30" t="n">
        <f aca="false">IF(AND(Source_Data!BD$6&gt;=Inputs!$B$54,Source_Data!BD$6&lt;Inputs!$B$54+3*Inputs!$B$11),1,0)</f>
        <v>0</v>
      </c>
      <c r="BE6" s="30" t="n">
        <f aca="false">IF(AND(Source_Data!BE$6&gt;=Inputs!$B$54,Source_Data!BE$6&lt;Inputs!$B$54+3*Inputs!$B$11),1,0)</f>
        <v>0</v>
      </c>
      <c r="BF6" s="30" t="n">
        <f aca="false">IF(AND(Source_Data!BF$6&gt;=Inputs!$B$54,Source_Data!BF$6&lt;Inputs!$B$54+3*Inputs!$B$11),1,0)</f>
        <v>0</v>
      </c>
      <c r="BG6" s="30" t="n">
        <f aca="false">IF(AND(Source_Data!BG$6&gt;=Inputs!$B$54,Source_Data!BG$6&lt;Inputs!$B$54+3*Inputs!$B$11),1,0)</f>
        <v>0</v>
      </c>
      <c r="BH6" s="30" t="n">
        <f aca="false">IF(AND(Source_Data!BH$6&gt;=Inputs!$B$54,Source_Data!BH$6&lt;Inputs!$B$54+3*Inputs!$B$11),1,0)</f>
        <v>0</v>
      </c>
      <c r="BI6" s="30" t="n">
        <f aca="false">IF(AND(Source_Data!BI$6&gt;=Inputs!$B$54,Source_Data!BI$6&lt;Inputs!$B$54+3*Inputs!$B$11),1,0)</f>
        <v>0</v>
      </c>
      <c r="BJ6" s="30" t="n">
        <f aca="false">IF(AND(Source_Data!BJ$6&gt;=Inputs!$B$54,Source_Data!BJ$6&lt;Inputs!$B$54+3*Inputs!$B$11),1,0)</f>
        <v>0</v>
      </c>
      <c r="BK6" s="30" t="n">
        <f aca="false">IF(AND(Source_Data!BK$6&gt;=Inputs!$B$54,Source_Data!BK$6&lt;Inputs!$B$54+3*Inputs!$B$11),1,0)</f>
        <v>0</v>
      </c>
    </row>
    <row r="7" customFormat="false" ht="15" hidden="false" customHeight="false" outlineLevel="0" collapsed="false">
      <c r="A7" s="3" t="s">
        <v>292</v>
      </c>
      <c r="B7" s="38" t="n">
        <f aca="false">SUM(D7:BK7)</f>
        <v>375.4475275</v>
      </c>
      <c r="D7" s="33" t="n">
        <f aca="false">Project_CF!D13</f>
        <v>-91.25</v>
      </c>
      <c r="E7" s="33" t="n">
        <f aca="false">Project_CF!E13</f>
        <v>-11.25</v>
      </c>
      <c r="F7" s="33" t="n">
        <f aca="false">Project_CF!F13</f>
        <v>3.8892375</v>
      </c>
      <c r="G7" s="33" t="n">
        <f aca="false">Project_CF!G13</f>
        <v>19.028475</v>
      </c>
      <c r="H7" s="33" t="n">
        <f aca="false">Project_CF!H13</f>
        <v>1.01200625</v>
      </c>
      <c r="I7" s="33" t="n">
        <f aca="false">Project_CF!I13</f>
        <v>9.8855375</v>
      </c>
      <c r="J7" s="33" t="n">
        <f aca="false">Project_CF!J13</f>
        <v>-18.24569</v>
      </c>
      <c r="K7" s="33" t="n">
        <f aca="false">Project_CF!K13</f>
        <v>-1.49783062499999</v>
      </c>
      <c r="L7" s="33" t="n">
        <f aca="false">Project_CF!L13</f>
        <v>6.69758843750001</v>
      </c>
      <c r="M7" s="33" t="n">
        <f aca="false">Project_CF!M13</f>
        <v>421.6225775</v>
      </c>
      <c r="N7" s="33" t="n">
        <f aca="false">Project_CF!N13</f>
        <v>138.76674</v>
      </c>
      <c r="O7" s="33" t="n">
        <f aca="false">Project_CF!O13</f>
        <v>129.72299</v>
      </c>
      <c r="P7" s="33" t="n">
        <f aca="false">Project_CF!P13</f>
        <v>-93.38729</v>
      </c>
      <c r="Q7" s="33" t="n">
        <f aca="false">Project_CF!Q13</f>
        <v>-120.95083125</v>
      </c>
      <c r="R7" s="33" t="n">
        <f aca="false">Project_CF!R13</f>
        <v>-171.55083125</v>
      </c>
      <c r="S7" s="33" t="n">
        <f aca="false">Project_CF!S13</f>
        <v>-118.169164375</v>
      </c>
      <c r="T7" s="33" t="n">
        <f aca="false">Project_CF!T13</f>
        <v>16.2266396875</v>
      </c>
      <c r="U7" s="33" t="n">
        <f aca="false">Project_CF!U13</f>
        <v>14.7127159375</v>
      </c>
      <c r="V7" s="33" t="n">
        <f aca="false">Project_CF!V13</f>
        <v>8.7239446875</v>
      </c>
      <c r="W7" s="33" t="n">
        <f aca="false">Project_CF!W13</f>
        <v>4.3829446875</v>
      </c>
      <c r="X7" s="33" t="n">
        <f aca="false">Project_CF!X13</f>
        <v>26.8829446875</v>
      </c>
      <c r="Y7" s="33" t="n">
        <f aca="false">Project_CF!Y13</f>
        <v>19.6027259375</v>
      </c>
      <c r="Z7" s="33" t="n">
        <f aca="false">Project_CF!Z13</f>
        <v>19.6027259375</v>
      </c>
      <c r="AA7" s="33" t="n">
        <f aca="false">Project_CF!AA13</f>
        <v>19.6027259375</v>
      </c>
      <c r="AB7" s="33" t="n">
        <f aca="false">Project_CF!AB13</f>
        <v>36.3147259375</v>
      </c>
      <c r="AC7" s="33" t="n">
        <f aca="false">Project_CF!AC13</f>
        <v>33.0386275</v>
      </c>
      <c r="AD7" s="33" t="n">
        <f aca="false">Project_CF!AD13</f>
        <v>29.43017125</v>
      </c>
      <c r="AE7" s="33" t="n">
        <f aca="false">Project_CF!AE13</f>
        <v>25.08917125</v>
      </c>
      <c r="AF7" s="33" t="n">
        <f aca="false">Project_CF!AF13</f>
        <v>-82.6690391015625</v>
      </c>
      <c r="AG7" s="33" t="n">
        <f aca="false">Project_CF!AG13</f>
        <v>14.112658828125</v>
      </c>
      <c r="AH7" s="33" t="n">
        <f aca="false">Project_CF!AH13</f>
        <v>14.112658828125</v>
      </c>
      <c r="AI7" s="33" t="n">
        <f aca="false">Project_CF!AI13</f>
        <v>14.112658828125</v>
      </c>
      <c r="AJ7" s="33" t="n">
        <f aca="false">Project_CF!AJ13</f>
        <v>14.112658828125</v>
      </c>
      <c r="AK7" s="33" t="n">
        <f aca="false">Project_CF!AK13</f>
        <v>12.8841219140625</v>
      </c>
      <c r="AL7" s="33" t="n">
        <f aca="false">Project_CF!AL13</f>
        <v>12.8841219140625</v>
      </c>
      <c r="AM7" s="33" t="n">
        <f aca="false">Project_CF!AM13</f>
        <v>10.5409993359375</v>
      </c>
      <c r="AN7" s="33" t="n">
        <f aca="false">Project_CF!AN13</f>
        <v>5.41471921875001</v>
      </c>
      <c r="AO7" s="33" t="n">
        <f aca="false">Project_CF!AO13</f>
        <v>2.00839078125</v>
      </c>
      <c r="AP7" s="33" t="n">
        <f aca="false">Project_CF!AP13</f>
        <v>0</v>
      </c>
      <c r="AQ7" s="33" t="n">
        <f aca="false">Project_CF!AQ13</f>
        <v>0</v>
      </c>
      <c r="AR7" s="33" t="n">
        <f aca="false">Project_CF!AR13</f>
        <v>0</v>
      </c>
      <c r="AS7" s="33" t="n">
        <f aca="false">Project_CF!AS13</f>
        <v>0</v>
      </c>
      <c r="AT7" s="33" t="n">
        <f aca="false">Project_CF!AT13</f>
        <v>0</v>
      </c>
      <c r="AU7" s="33" t="n">
        <f aca="false">Project_CF!AU13</f>
        <v>0</v>
      </c>
      <c r="AV7" s="33" t="n">
        <f aca="false">Project_CF!AV13</f>
        <v>0</v>
      </c>
      <c r="AW7" s="33" t="n">
        <f aca="false">Project_CF!AW13</f>
        <v>0</v>
      </c>
      <c r="AX7" s="33" t="n">
        <f aca="false">Project_CF!AX13</f>
        <v>0</v>
      </c>
      <c r="AY7" s="33" t="n">
        <f aca="false">Project_CF!AY13</f>
        <v>0</v>
      </c>
      <c r="AZ7" s="33" t="n">
        <f aca="false">Project_CF!AZ13</f>
        <v>0</v>
      </c>
      <c r="BA7" s="33" t="n">
        <f aca="false">Project_CF!BA13</f>
        <v>0</v>
      </c>
      <c r="BB7" s="33" t="n">
        <f aca="false">Project_CF!BB13</f>
        <v>0</v>
      </c>
      <c r="BC7" s="33" t="n">
        <f aca="false">Project_CF!BC13</f>
        <v>0</v>
      </c>
      <c r="BD7" s="33" t="n">
        <f aca="false">Project_CF!BD13</f>
        <v>0</v>
      </c>
      <c r="BE7" s="33" t="n">
        <f aca="false">Project_CF!BE13</f>
        <v>0</v>
      </c>
      <c r="BF7" s="33" t="n">
        <f aca="false">Project_CF!BF13</f>
        <v>0</v>
      </c>
      <c r="BG7" s="33" t="n">
        <f aca="false">Project_CF!BG13</f>
        <v>0</v>
      </c>
      <c r="BH7" s="33" t="n">
        <f aca="false">Project_CF!BH13</f>
        <v>0</v>
      </c>
      <c r="BI7" s="33" t="n">
        <f aca="false">Project_CF!BI13</f>
        <v>0</v>
      </c>
      <c r="BJ7" s="33" t="n">
        <f aca="false">Project_CF!BJ13</f>
        <v>0</v>
      </c>
      <c r="BK7" s="33" t="n">
        <f aca="false">Project_CF!BK13</f>
        <v>0</v>
      </c>
    </row>
    <row r="8" customFormat="false" ht="15" hidden="false" customHeight="false" outlineLevel="0" collapsed="false">
      <c r="A8" s="3" t="s">
        <v>293</v>
      </c>
      <c r="B8" s="38" t="n">
        <f aca="false">SUM(D8:BK8)</f>
        <v>2252.979</v>
      </c>
      <c r="D8" s="33" t="n">
        <f aca="false">Project_CF!D8</f>
        <v>0</v>
      </c>
      <c r="E8" s="33" t="n">
        <f aca="false">Project_CF!E8</f>
        <v>0</v>
      </c>
      <c r="F8" s="33" t="n">
        <f aca="false">Project_CF!F8</f>
        <v>15.1392375</v>
      </c>
      <c r="G8" s="33" t="n">
        <f aca="false">Project_CF!G8</f>
        <v>30.278475</v>
      </c>
      <c r="H8" s="33" t="n">
        <f aca="false">Project_CF!H8</f>
        <v>46.51200625</v>
      </c>
      <c r="I8" s="33" t="n">
        <f aca="false">Project_CF!I8</f>
        <v>62.7455375</v>
      </c>
      <c r="J8" s="33" t="n">
        <f aca="false">Project_CF!J8</f>
        <v>62.3657</v>
      </c>
      <c r="K8" s="33" t="n">
        <f aca="false">Project_CF!K8</f>
        <v>63.473559375</v>
      </c>
      <c r="L8" s="33" t="n">
        <f aca="false">Project_CF!L8</f>
        <v>80.3288484375</v>
      </c>
      <c r="M8" s="33" t="n">
        <f aca="false">Project_CF!M8</f>
        <v>495.2538375</v>
      </c>
      <c r="N8" s="33" t="n">
        <f aca="false">Project_CF!N8</f>
        <v>185.57775</v>
      </c>
      <c r="O8" s="33" t="n">
        <f aca="false">Project_CF!O8</f>
        <v>176.534</v>
      </c>
      <c r="P8" s="33" t="n">
        <f aca="false">Project_CF!P8</f>
        <v>97.31075</v>
      </c>
      <c r="Q8" s="33" t="n">
        <f aca="false">Project_CF!Q8</f>
        <v>71.30996875</v>
      </c>
      <c r="R8" s="33" t="n">
        <f aca="false">Project_CF!R8</f>
        <v>71.30996875</v>
      </c>
      <c r="S8" s="33" t="n">
        <f aca="false">Project_CF!S8</f>
        <v>68.037035625</v>
      </c>
      <c r="T8" s="33" t="n">
        <f aca="false">Project_CF!T8</f>
        <v>61.2266396875</v>
      </c>
      <c r="U8" s="33" t="n">
        <f aca="false">Project_CF!U8</f>
        <v>59.7127159375</v>
      </c>
      <c r="V8" s="33" t="n">
        <f aca="false">Project_CF!V8</f>
        <v>53.7239446875</v>
      </c>
      <c r="W8" s="33" t="n">
        <f aca="false">Project_CF!W8</f>
        <v>49.3829446875</v>
      </c>
      <c r="X8" s="33" t="n">
        <f aca="false">Project_CF!X8</f>
        <v>49.3829446875</v>
      </c>
      <c r="Y8" s="33" t="n">
        <f aca="false">Project_CF!Y8</f>
        <v>42.1027259375</v>
      </c>
      <c r="Z8" s="33" t="n">
        <f aca="false">Project_CF!Z8</f>
        <v>42.1027259375</v>
      </c>
      <c r="AA8" s="33" t="n">
        <f aca="false">Project_CF!AA8</f>
        <v>42.1027259375</v>
      </c>
      <c r="AB8" s="33" t="n">
        <f aca="false">Project_CF!AB8</f>
        <v>36.3147259375</v>
      </c>
      <c r="AC8" s="33" t="n">
        <f aca="false">Project_CF!AC8</f>
        <v>33.0386275</v>
      </c>
      <c r="AD8" s="33" t="n">
        <f aca="false">Project_CF!AD8</f>
        <v>29.43017125</v>
      </c>
      <c r="AE8" s="33" t="n">
        <f aca="false">Project_CF!AE8</f>
        <v>25.08917125</v>
      </c>
      <c r="AF8" s="33" t="n">
        <f aca="false">Project_CF!AF8</f>
        <v>25.08917125</v>
      </c>
      <c r="AG8" s="33" t="n">
        <f aca="false">Project_CF!AG8</f>
        <v>25.08917125</v>
      </c>
      <c r="AH8" s="33" t="n">
        <f aca="false">Project_CF!AH8</f>
        <v>25.08917125</v>
      </c>
      <c r="AI8" s="33" t="n">
        <f aca="false">Project_CF!AI8</f>
        <v>25.08917125</v>
      </c>
      <c r="AJ8" s="33" t="n">
        <f aca="false">Project_CF!AJ8</f>
        <v>25.08917125</v>
      </c>
      <c r="AK8" s="33" t="n">
        <f aca="false">Project_CF!AK8</f>
        <v>22.905105625</v>
      </c>
      <c r="AL8" s="33" t="n">
        <f aca="false">Project_CF!AL8</f>
        <v>22.905105625</v>
      </c>
      <c r="AM8" s="33" t="n">
        <f aca="false">Project_CF!AM8</f>
        <v>18.739554375</v>
      </c>
      <c r="AN8" s="33" t="n">
        <f aca="false">Project_CF!AN8</f>
        <v>9.6261675</v>
      </c>
      <c r="AO8" s="33" t="n">
        <f aca="false">Project_CF!AO8</f>
        <v>3.5704725</v>
      </c>
      <c r="AP8" s="33" t="n">
        <f aca="false">Project_CF!AP8</f>
        <v>0</v>
      </c>
      <c r="AQ8" s="33" t="n">
        <f aca="false">Project_CF!AQ8</f>
        <v>0</v>
      </c>
      <c r="AR8" s="33" t="n">
        <f aca="false">Project_CF!AR8</f>
        <v>0</v>
      </c>
      <c r="AS8" s="33" t="n">
        <f aca="false">Project_CF!AS8</f>
        <v>0</v>
      </c>
      <c r="AT8" s="33" t="n">
        <f aca="false">Project_CF!AT8</f>
        <v>0</v>
      </c>
      <c r="AU8" s="33" t="n">
        <f aca="false">Project_CF!AU8</f>
        <v>0</v>
      </c>
      <c r="AV8" s="33" t="n">
        <f aca="false">Project_CF!AV8</f>
        <v>0</v>
      </c>
      <c r="AW8" s="33" t="n">
        <f aca="false">Project_CF!AW8</f>
        <v>0</v>
      </c>
      <c r="AX8" s="33" t="n">
        <f aca="false">Project_CF!AX8</f>
        <v>0</v>
      </c>
      <c r="AY8" s="33" t="n">
        <f aca="false">Project_CF!AY8</f>
        <v>0</v>
      </c>
      <c r="AZ8" s="33" t="n">
        <f aca="false">Project_CF!AZ8</f>
        <v>0</v>
      </c>
      <c r="BA8" s="33" t="n">
        <f aca="false">Project_CF!BA8</f>
        <v>0</v>
      </c>
      <c r="BB8" s="33" t="n">
        <f aca="false">Project_CF!BB8</f>
        <v>0</v>
      </c>
      <c r="BC8" s="33" t="n">
        <f aca="false">Project_CF!BC8</f>
        <v>0</v>
      </c>
      <c r="BD8" s="33" t="n">
        <f aca="false">Project_CF!BD8</f>
        <v>0</v>
      </c>
      <c r="BE8" s="33" t="n">
        <f aca="false">Project_CF!BE8</f>
        <v>0</v>
      </c>
      <c r="BF8" s="33" t="n">
        <f aca="false">Project_CF!BF8</f>
        <v>0</v>
      </c>
      <c r="BG8" s="33" t="n">
        <f aca="false">Project_CF!BG8</f>
        <v>0</v>
      </c>
      <c r="BH8" s="33" t="n">
        <f aca="false">Project_CF!BH8</f>
        <v>0</v>
      </c>
      <c r="BI8" s="33" t="n">
        <f aca="false">Project_CF!BI8</f>
        <v>0</v>
      </c>
      <c r="BJ8" s="33" t="n">
        <f aca="false">Project_CF!BJ8</f>
        <v>0</v>
      </c>
      <c r="BK8" s="33" t="n">
        <f aca="false">Project_CF!BK8</f>
        <v>0</v>
      </c>
    </row>
    <row r="9" customFormat="false" ht="15" hidden="false" customHeight="false" outlineLevel="0" collapsed="false">
      <c r="A9" s="2" t="s">
        <v>294</v>
      </c>
      <c r="B9" s="38" t="n">
        <f aca="false">SUM(D9:BK9)</f>
        <v>230</v>
      </c>
      <c r="D9" s="33" t="n">
        <f aca="false">D6*(Inputs!$B$9*Inputs!$B$7/Inputs!$B$11)</f>
        <v>0</v>
      </c>
      <c r="E9" s="33" t="n">
        <f aca="false">E6*(Inputs!$B$9*Inputs!$B$7/Inputs!$B$11)</f>
        <v>0</v>
      </c>
      <c r="F9" s="33" t="n">
        <f aca="false">F6*(Inputs!$B$9*Inputs!$B$7/Inputs!$B$11)</f>
        <v>0</v>
      </c>
      <c r="G9" s="33" t="n">
        <f aca="false">G6*(Inputs!$B$9*Inputs!$B$7/Inputs!$B$11)</f>
        <v>0</v>
      </c>
      <c r="H9" s="33" t="n">
        <f aca="false">H6*(Inputs!$B$9*Inputs!$B$7/Inputs!$B$11)</f>
        <v>0</v>
      </c>
      <c r="I9" s="33" t="n">
        <f aca="false">I6*(Inputs!$B$9*Inputs!$B$7/Inputs!$B$11)</f>
        <v>0</v>
      </c>
      <c r="J9" s="33" t="n">
        <f aca="false">J6*(Inputs!$B$9*Inputs!$B$7/Inputs!$B$11)</f>
        <v>0</v>
      </c>
      <c r="K9" s="33" t="n">
        <f aca="false">K6*(Inputs!$B$9*Inputs!$B$7/Inputs!$B$11)</f>
        <v>0</v>
      </c>
      <c r="L9" s="33" t="n">
        <f aca="false">L6*(Inputs!$B$9*Inputs!$B$7/Inputs!$B$11)</f>
        <v>0</v>
      </c>
      <c r="M9" s="33" t="n">
        <f aca="false">M6*(Inputs!$B$9*Inputs!$B$7/Inputs!$B$11)</f>
        <v>19.1666666666667</v>
      </c>
      <c r="N9" s="33" t="n">
        <f aca="false">N6*(Inputs!$B$9*Inputs!$B$7/Inputs!$B$11)</f>
        <v>19.1666666666667</v>
      </c>
      <c r="O9" s="33" t="n">
        <f aca="false">O6*(Inputs!$B$9*Inputs!$B$7/Inputs!$B$11)</f>
        <v>19.1666666666667</v>
      </c>
      <c r="P9" s="33" t="n">
        <f aca="false">P6*(Inputs!$B$9*Inputs!$B$7/Inputs!$B$11)</f>
        <v>19.1666666666667</v>
      </c>
      <c r="Q9" s="33" t="n">
        <f aca="false">Q6*(Inputs!$B$9*Inputs!$B$7/Inputs!$B$11)</f>
        <v>19.1666666666667</v>
      </c>
      <c r="R9" s="33" t="n">
        <f aca="false">R6*(Inputs!$B$9*Inputs!$B$7/Inputs!$B$11)</f>
        <v>19.1666666666667</v>
      </c>
      <c r="S9" s="33" t="n">
        <f aca="false">S6*(Inputs!$B$9*Inputs!$B$7/Inputs!$B$11)</f>
        <v>19.1666666666667</v>
      </c>
      <c r="T9" s="33" t="n">
        <f aca="false">T6*(Inputs!$B$9*Inputs!$B$7/Inputs!$B$11)</f>
        <v>19.1666666666667</v>
      </c>
      <c r="U9" s="33" t="n">
        <f aca="false">U6*(Inputs!$B$9*Inputs!$B$7/Inputs!$B$11)</f>
        <v>19.1666666666667</v>
      </c>
      <c r="V9" s="33" t="n">
        <f aca="false">V6*(Inputs!$B$9*Inputs!$B$7/Inputs!$B$11)</f>
        <v>19.1666666666667</v>
      </c>
      <c r="W9" s="33" t="n">
        <f aca="false">W6*(Inputs!$B$9*Inputs!$B$7/Inputs!$B$11)</f>
        <v>19.1666666666667</v>
      </c>
      <c r="X9" s="33" t="n">
        <f aca="false">X6*(Inputs!$B$9*Inputs!$B$7/Inputs!$B$11)</f>
        <v>19.1666666666667</v>
      </c>
      <c r="Y9" s="33" t="n">
        <f aca="false">Y6*(Inputs!$B$9*Inputs!$B$7/Inputs!$B$11)</f>
        <v>0</v>
      </c>
      <c r="Z9" s="33" t="n">
        <f aca="false">Z6*(Inputs!$B$9*Inputs!$B$7/Inputs!$B$11)</f>
        <v>0</v>
      </c>
      <c r="AA9" s="33" t="n">
        <f aca="false">AA6*(Inputs!$B$9*Inputs!$B$7/Inputs!$B$11)</f>
        <v>0</v>
      </c>
      <c r="AB9" s="33" t="n">
        <f aca="false">AB6*(Inputs!$B$9*Inputs!$B$7/Inputs!$B$11)</f>
        <v>0</v>
      </c>
      <c r="AC9" s="33" t="n">
        <f aca="false">AC6*(Inputs!$B$9*Inputs!$B$7/Inputs!$B$11)</f>
        <v>0</v>
      </c>
      <c r="AD9" s="33" t="n">
        <f aca="false">AD6*(Inputs!$B$9*Inputs!$B$7/Inputs!$B$11)</f>
        <v>0</v>
      </c>
      <c r="AE9" s="33" t="n">
        <f aca="false">AE6*(Inputs!$B$9*Inputs!$B$7/Inputs!$B$11)</f>
        <v>0</v>
      </c>
      <c r="AF9" s="33" t="n">
        <f aca="false">AF6*(Inputs!$B$9*Inputs!$B$7/Inputs!$B$11)</f>
        <v>0</v>
      </c>
      <c r="AG9" s="33" t="n">
        <f aca="false">AG6*(Inputs!$B$9*Inputs!$B$7/Inputs!$B$11)</f>
        <v>0</v>
      </c>
      <c r="AH9" s="33" t="n">
        <f aca="false">AH6*(Inputs!$B$9*Inputs!$B$7/Inputs!$B$11)</f>
        <v>0</v>
      </c>
      <c r="AI9" s="33" t="n">
        <f aca="false">AI6*(Inputs!$B$9*Inputs!$B$7/Inputs!$B$11)</f>
        <v>0</v>
      </c>
      <c r="AJ9" s="33" t="n">
        <f aca="false">AJ6*(Inputs!$B$9*Inputs!$B$7/Inputs!$B$11)</f>
        <v>0</v>
      </c>
      <c r="AK9" s="33" t="n">
        <f aca="false">AK6*(Inputs!$B$9*Inputs!$B$7/Inputs!$B$11)</f>
        <v>0</v>
      </c>
      <c r="AL9" s="33" t="n">
        <f aca="false">AL6*(Inputs!$B$9*Inputs!$B$7/Inputs!$B$11)</f>
        <v>0</v>
      </c>
      <c r="AM9" s="33" t="n">
        <f aca="false">AM6*(Inputs!$B$9*Inputs!$B$7/Inputs!$B$11)</f>
        <v>0</v>
      </c>
      <c r="AN9" s="33" t="n">
        <f aca="false">AN6*(Inputs!$B$9*Inputs!$B$7/Inputs!$B$11)</f>
        <v>0</v>
      </c>
      <c r="AO9" s="33" t="n">
        <f aca="false">AO6*(Inputs!$B$9*Inputs!$B$7/Inputs!$B$11)</f>
        <v>0</v>
      </c>
      <c r="AP9" s="33" t="n">
        <f aca="false">AP6*(Inputs!$B$9*Inputs!$B$7/Inputs!$B$11)</f>
        <v>0</v>
      </c>
      <c r="AQ9" s="33" t="n">
        <f aca="false">AQ6*(Inputs!$B$9*Inputs!$B$7/Inputs!$B$11)</f>
        <v>0</v>
      </c>
      <c r="AR9" s="33" t="n">
        <f aca="false">AR6*(Inputs!$B$9*Inputs!$B$7/Inputs!$B$11)</f>
        <v>0</v>
      </c>
      <c r="AS9" s="33" t="n">
        <f aca="false">AS6*(Inputs!$B$9*Inputs!$B$7/Inputs!$B$11)</f>
        <v>0</v>
      </c>
      <c r="AT9" s="33" t="n">
        <f aca="false">AT6*(Inputs!$B$9*Inputs!$B$7/Inputs!$B$11)</f>
        <v>0</v>
      </c>
      <c r="AU9" s="33" t="n">
        <f aca="false">AU6*(Inputs!$B$9*Inputs!$B$7/Inputs!$B$11)</f>
        <v>0</v>
      </c>
      <c r="AV9" s="33" t="n">
        <f aca="false">AV6*(Inputs!$B$9*Inputs!$B$7/Inputs!$B$11)</f>
        <v>0</v>
      </c>
      <c r="AW9" s="33" t="n">
        <f aca="false">AW6*(Inputs!$B$9*Inputs!$B$7/Inputs!$B$11)</f>
        <v>0</v>
      </c>
      <c r="AX9" s="33" t="n">
        <f aca="false">AX6*(Inputs!$B$9*Inputs!$B$7/Inputs!$B$11)</f>
        <v>0</v>
      </c>
      <c r="AY9" s="33" t="n">
        <f aca="false">AY6*(Inputs!$B$9*Inputs!$B$7/Inputs!$B$11)</f>
        <v>0</v>
      </c>
      <c r="AZ9" s="33" t="n">
        <f aca="false">AZ6*(Inputs!$B$9*Inputs!$B$7/Inputs!$B$11)</f>
        <v>0</v>
      </c>
      <c r="BA9" s="33" t="n">
        <f aca="false">BA6*(Inputs!$B$9*Inputs!$B$7/Inputs!$B$11)</f>
        <v>0</v>
      </c>
      <c r="BB9" s="33" t="n">
        <f aca="false">BB6*(Inputs!$B$9*Inputs!$B$7/Inputs!$B$11)</f>
        <v>0</v>
      </c>
      <c r="BC9" s="33" t="n">
        <f aca="false">BC6*(Inputs!$B$9*Inputs!$B$7/Inputs!$B$11)</f>
        <v>0</v>
      </c>
      <c r="BD9" s="33" t="n">
        <f aca="false">BD6*(Inputs!$B$9*Inputs!$B$7/Inputs!$B$11)</f>
        <v>0</v>
      </c>
      <c r="BE9" s="33" t="n">
        <f aca="false">BE6*(Inputs!$B$9*Inputs!$B$7/Inputs!$B$11)</f>
        <v>0</v>
      </c>
      <c r="BF9" s="33" t="n">
        <f aca="false">BF6*(Inputs!$B$9*Inputs!$B$7/Inputs!$B$11)</f>
        <v>0</v>
      </c>
      <c r="BG9" s="33" t="n">
        <f aca="false">BG6*(Inputs!$B$9*Inputs!$B$7/Inputs!$B$11)</f>
        <v>0</v>
      </c>
      <c r="BH9" s="33" t="n">
        <f aca="false">BH6*(Inputs!$B$9*Inputs!$B$7/Inputs!$B$11)</f>
        <v>0</v>
      </c>
      <c r="BI9" s="33" t="n">
        <f aca="false">BI6*(Inputs!$B$9*Inputs!$B$7/Inputs!$B$11)</f>
        <v>0</v>
      </c>
      <c r="BJ9" s="33" t="n">
        <f aca="false">BJ6*(Inputs!$B$9*Inputs!$B$7/Inputs!$B$11)</f>
        <v>0</v>
      </c>
      <c r="BK9" s="33" t="n">
        <f aca="false">BK6*(Inputs!$B$9*Inputs!$B$7/Inputs!$B$11)</f>
        <v>0</v>
      </c>
    </row>
    <row r="10" customFormat="false" ht="15" hidden="false" customHeight="false" outlineLevel="0" collapsed="false">
      <c r="A10" s="2" t="s">
        <v>295</v>
      </c>
      <c r="B10" s="38" t="n">
        <f aca="false">SUM(D10:BK10)</f>
        <v>230</v>
      </c>
      <c r="D10" s="33" t="n">
        <f aca="false">IF(Source_Data!D$6&gt;=Inputs!$B$54,MAX(0,MIN(MAX(MIN(Inputs!$B$37*D8,Inputs!$B$39*(Inputs!$B$9*Inputs!$B$7/Inputs!$B$11)),Inputs!$B$38*(Inputs!$B$9*Inputs!$B$7/Inputs!$B$11)),Inputs!$B$9*Inputs!$B$7-0)),0)</f>
        <v>0</v>
      </c>
      <c r="E10" s="33" t="n">
        <f aca="false">IF(Source_Data!E$6&gt;=Inputs!$B$54,MAX(0,MIN(MAX(MIN(Inputs!$B$37*E8,Inputs!$B$39*(Inputs!$B$9*Inputs!$B$7/Inputs!$B$11)),Inputs!$B$38*(Inputs!$B$9*Inputs!$B$7/Inputs!$B$11)),Inputs!$B$9*Inputs!$B$7-SUM($D$10:D10))),0)</f>
        <v>0</v>
      </c>
      <c r="F10" s="33" t="n">
        <f aca="false">IF(Source_Data!F$6&gt;=Inputs!$B$54,MAX(0,MIN(MAX(MIN(Inputs!$B$37*F8,Inputs!$B$39*(Inputs!$B$9*Inputs!$B$7/Inputs!$B$11)),Inputs!$B$38*(Inputs!$B$9*Inputs!$B$7/Inputs!$B$11)),Inputs!$B$9*Inputs!$B$7-SUM($D$10:E10))),0)</f>
        <v>0</v>
      </c>
      <c r="G10" s="33" t="n">
        <f aca="false">IF(Source_Data!G$6&gt;=Inputs!$B$54,MAX(0,MIN(MAX(MIN(Inputs!$B$37*G8,Inputs!$B$39*(Inputs!$B$9*Inputs!$B$7/Inputs!$B$11)),Inputs!$B$38*(Inputs!$B$9*Inputs!$B$7/Inputs!$B$11)),Inputs!$B$9*Inputs!$B$7-SUM($D$10:F10))),0)</f>
        <v>0</v>
      </c>
      <c r="H10" s="33" t="n">
        <f aca="false">IF(Source_Data!H$6&gt;=Inputs!$B$54,MAX(0,MIN(MAX(MIN(Inputs!$B$37*H8,Inputs!$B$39*(Inputs!$B$9*Inputs!$B$7/Inputs!$B$11)),Inputs!$B$38*(Inputs!$B$9*Inputs!$B$7/Inputs!$B$11)),Inputs!$B$9*Inputs!$B$7-SUM($D$10:G10))),0)</f>
        <v>0</v>
      </c>
      <c r="I10" s="33" t="n">
        <f aca="false">IF(Source_Data!I$6&gt;=Inputs!$B$54,MAX(0,MIN(MAX(MIN(Inputs!$B$37*I8,Inputs!$B$39*(Inputs!$B$9*Inputs!$B$7/Inputs!$B$11)),Inputs!$B$38*(Inputs!$B$9*Inputs!$B$7/Inputs!$B$11)),Inputs!$B$9*Inputs!$B$7-SUM($D$10:H10))),0)</f>
        <v>0</v>
      </c>
      <c r="J10" s="33" t="n">
        <f aca="false">IF(Source_Data!J$6&gt;=Inputs!$B$54,MAX(0,MIN(MAX(MIN(Inputs!$B$37*J8,Inputs!$B$39*(Inputs!$B$9*Inputs!$B$7/Inputs!$B$11)),Inputs!$B$38*(Inputs!$B$9*Inputs!$B$7/Inputs!$B$11)),Inputs!$B$9*Inputs!$B$7-SUM($D$10:I10))),0)</f>
        <v>0</v>
      </c>
      <c r="K10" s="33" t="n">
        <f aca="false">IF(Source_Data!K$6&gt;=Inputs!$B$54,MAX(0,MIN(MAX(MIN(Inputs!$B$37*K8,Inputs!$B$39*(Inputs!$B$9*Inputs!$B$7/Inputs!$B$11)),Inputs!$B$38*(Inputs!$B$9*Inputs!$B$7/Inputs!$B$11)),Inputs!$B$9*Inputs!$B$7-SUM($D$10:J10))),0)</f>
        <v>0</v>
      </c>
      <c r="L10" s="33" t="n">
        <f aca="false">IF(Source_Data!L$6&gt;=Inputs!$B$54,MAX(0,MIN(MAX(MIN(Inputs!$B$37*L8,Inputs!$B$39*(Inputs!$B$9*Inputs!$B$7/Inputs!$B$11)),Inputs!$B$38*(Inputs!$B$9*Inputs!$B$7/Inputs!$B$11)),Inputs!$B$9*Inputs!$B$7-SUM($D$10:K10))),0)</f>
        <v>0</v>
      </c>
      <c r="M10" s="33" t="n">
        <f aca="false">IF(Source_Data!M$6&gt;=Inputs!$B$54,MAX(0,MIN(MAX(MIN(Inputs!$B$37*M8,Inputs!$B$39*(Inputs!$B$9*Inputs!$B$7/Inputs!$B$11)),Inputs!$B$38*(Inputs!$B$9*Inputs!$B$7/Inputs!$B$11)),Inputs!$B$9*Inputs!$B$7-SUM($D$10:L10))),0)</f>
        <v>28.75</v>
      </c>
      <c r="N10" s="33" t="n">
        <f aca="false">IF(Source_Data!N$6&gt;=Inputs!$B$54,MAX(0,MIN(MAX(MIN(Inputs!$B$37*N8,Inputs!$B$39*(Inputs!$B$9*Inputs!$B$7/Inputs!$B$11)),Inputs!$B$38*(Inputs!$B$9*Inputs!$B$7/Inputs!$B$11)),Inputs!$B$9*Inputs!$B$7-SUM($D$10:M10))),0)</f>
        <v>28.75</v>
      </c>
      <c r="O10" s="33" t="n">
        <f aca="false">IF(Source_Data!O$6&gt;=Inputs!$B$54,MAX(0,MIN(MAX(MIN(Inputs!$B$37*O8,Inputs!$B$39*(Inputs!$B$9*Inputs!$B$7/Inputs!$B$11)),Inputs!$B$38*(Inputs!$B$9*Inputs!$B$7/Inputs!$B$11)),Inputs!$B$9*Inputs!$B$7-SUM($D$10:N10))),0)</f>
        <v>28.75</v>
      </c>
      <c r="P10" s="33" t="n">
        <f aca="false">IF(Source_Data!P$6&gt;=Inputs!$B$54,MAX(0,MIN(MAX(MIN(Inputs!$B$37*P8,Inputs!$B$39*(Inputs!$B$9*Inputs!$B$7/Inputs!$B$11)),Inputs!$B$38*(Inputs!$B$9*Inputs!$B$7/Inputs!$B$11)),Inputs!$B$9*Inputs!$B$7-SUM($D$10:O10))),0)</f>
        <v>24.0600180477747</v>
      </c>
      <c r="Q10" s="33" t="n">
        <f aca="false">IF(Source_Data!Q$6&gt;=Inputs!$B$54,MAX(0,MIN(MAX(MIN(Inputs!$B$37*Q8,Inputs!$B$39*(Inputs!$B$9*Inputs!$B$7/Inputs!$B$11)),Inputs!$B$38*(Inputs!$B$9*Inputs!$B$7/Inputs!$B$11)),Inputs!$B$9*Inputs!$B$7-SUM($D$10:P10))),0)</f>
        <v>17.6313422218126</v>
      </c>
      <c r="R10" s="33" t="n">
        <f aca="false">IF(Source_Data!R$6&gt;=Inputs!$B$54,MAX(0,MIN(MAX(MIN(Inputs!$B$37*R8,Inputs!$B$39*(Inputs!$B$9*Inputs!$B$7/Inputs!$B$11)),Inputs!$B$38*(Inputs!$B$9*Inputs!$B$7/Inputs!$B$11)),Inputs!$B$9*Inputs!$B$7-SUM($D$10:Q10))),0)</f>
        <v>17.6313422218126</v>
      </c>
      <c r="S10" s="33" t="n">
        <f aca="false">IF(Source_Data!S$6&gt;=Inputs!$B$54,MAX(0,MIN(MAX(MIN(Inputs!$B$37*S8,Inputs!$B$39*(Inputs!$B$9*Inputs!$B$7/Inputs!$B$11)),Inputs!$B$38*(Inputs!$B$9*Inputs!$B$7/Inputs!$B$11)),Inputs!$B$9*Inputs!$B$7-SUM($D$10:R10))),0)</f>
        <v>16.8221116891463</v>
      </c>
      <c r="T10" s="33" t="n">
        <f aca="false">IF(Source_Data!T$6&gt;=Inputs!$B$54,MAX(0,MIN(MAX(MIN(Inputs!$B$37*T8,Inputs!$B$39*(Inputs!$B$9*Inputs!$B$7/Inputs!$B$11)),Inputs!$B$38*(Inputs!$B$9*Inputs!$B$7/Inputs!$B$11)),Inputs!$B$9*Inputs!$B$7-SUM($D$10:S10))),0)</f>
        <v>15.1382458349756</v>
      </c>
      <c r="U10" s="33" t="n">
        <f aca="false">IF(Source_Data!U$6&gt;=Inputs!$B$54,MAX(0,MIN(MAX(MIN(Inputs!$B$37*U8,Inputs!$B$39*(Inputs!$B$9*Inputs!$B$7/Inputs!$B$11)),Inputs!$B$38*(Inputs!$B$9*Inputs!$B$7/Inputs!$B$11)),Inputs!$B$9*Inputs!$B$7-SUM($D$10:T10))),0)</f>
        <v>14.7639291973178</v>
      </c>
      <c r="V10" s="33" t="n">
        <f aca="false">IF(Source_Data!V$6&gt;=Inputs!$B$54,MAX(0,MIN(MAX(MIN(Inputs!$B$37*V8,Inputs!$B$39*(Inputs!$B$9*Inputs!$B$7/Inputs!$B$11)),Inputs!$B$38*(Inputs!$B$9*Inputs!$B$7/Inputs!$B$11)),Inputs!$B$9*Inputs!$B$7-SUM($D$10:U10))),0)</f>
        <v>13.2832094992475</v>
      </c>
      <c r="W10" s="33" t="n">
        <f aca="false">IF(Source_Data!W$6&gt;=Inputs!$B$54,MAX(0,MIN(MAX(MIN(Inputs!$B$37*W8,Inputs!$B$39*(Inputs!$B$9*Inputs!$B$7/Inputs!$B$11)),Inputs!$B$38*(Inputs!$B$9*Inputs!$B$7/Inputs!$B$11)),Inputs!$B$9*Inputs!$B$7-SUM($D$10:V10))),0)</f>
        <v>12.2099001439564</v>
      </c>
      <c r="X10" s="33" t="n">
        <f aca="false">IF(Source_Data!X$6&gt;=Inputs!$B$54,MAX(0,MIN(MAX(MIN(Inputs!$B$37*X8,Inputs!$B$39*(Inputs!$B$9*Inputs!$B$7/Inputs!$B$11)),Inputs!$B$38*(Inputs!$B$9*Inputs!$B$7/Inputs!$B$11)),Inputs!$B$9*Inputs!$B$7-SUM($D$10:W10))),0)</f>
        <v>12.2099001439564</v>
      </c>
      <c r="Y10" s="33" t="n">
        <f aca="false">IF(Source_Data!Y$6&gt;=Inputs!$B$54,MAX(0,MIN(MAX(MIN(Inputs!$B$37*Y8,Inputs!$B$39*(Inputs!$B$9*Inputs!$B$7/Inputs!$B$11)),Inputs!$B$38*(Inputs!$B$9*Inputs!$B$7/Inputs!$B$11)),Inputs!$B$9*Inputs!$B$7-SUM($D$10:X10))),0)</f>
        <v>1.00000005431866E-006</v>
      </c>
      <c r="Z10" s="33" t="n">
        <f aca="false">IF(Source_Data!Z$6&gt;=Inputs!$B$54,MAX(0,MIN(MAX(MIN(Inputs!$B$37*Z8,Inputs!$B$39*(Inputs!$B$9*Inputs!$B$7/Inputs!$B$11)),Inputs!$B$38*(Inputs!$B$9*Inputs!$B$7/Inputs!$B$11)),Inputs!$B$9*Inputs!$B$7-SUM($D$10:Y10))),0)</f>
        <v>0</v>
      </c>
      <c r="AA10" s="33" t="n">
        <f aca="false">IF(Source_Data!AA$6&gt;=Inputs!$B$54,MAX(0,MIN(MAX(MIN(Inputs!$B$37*AA8,Inputs!$B$39*(Inputs!$B$9*Inputs!$B$7/Inputs!$B$11)),Inputs!$B$38*(Inputs!$B$9*Inputs!$B$7/Inputs!$B$11)),Inputs!$B$9*Inputs!$B$7-SUM($D$10:Z10))),0)</f>
        <v>0</v>
      </c>
      <c r="AB10" s="33" t="n">
        <f aca="false">IF(Source_Data!AB$6&gt;=Inputs!$B$54,MAX(0,MIN(MAX(MIN(Inputs!$B$37*AB8,Inputs!$B$39*(Inputs!$B$9*Inputs!$B$7/Inputs!$B$11)),Inputs!$B$38*(Inputs!$B$9*Inputs!$B$7/Inputs!$B$11)),Inputs!$B$9*Inputs!$B$7-SUM($D$10:AA10))),0)</f>
        <v>0</v>
      </c>
      <c r="AC10" s="33" t="n">
        <f aca="false">IF(Source_Data!AC$6&gt;=Inputs!$B$54,MAX(0,MIN(MAX(MIN(Inputs!$B$37*AC8,Inputs!$B$39*(Inputs!$B$9*Inputs!$B$7/Inputs!$B$11)),Inputs!$B$38*(Inputs!$B$9*Inputs!$B$7/Inputs!$B$11)),Inputs!$B$9*Inputs!$B$7-SUM($D$10:AB10))),0)</f>
        <v>0</v>
      </c>
      <c r="AD10" s="33" t="n">
        <f aca="false">IF(Source_Data!AD$6&gt;=Inputs!$B$54,MAX(0,MIN(MAX(MIN(Inputs!$B$37*AD8,Inputs!$B$39*(Inputs!$B$9*Inputs!$B$7/Inputs!$B$11)),Inputs!$B$38*(Inputs!$B$9*Inputs!$B$7/Inputs!$B$11)),Inputs!$B$9*Inputs!$B$7-SUM($D$10:AC10))),0)</f>
        <v>0</v>
      </c>
      <c r="AE10" s="33" t="n">
        <f aca="false">IF(Source_Data!AE$6&gt;=Inputs!$B$54,MAX(0,MIN(MAX(MIN(Inputs!$B$37*AE8,Inputs!$B$39*(Inputs!$B$9*Inputs!$B$7/Inputs!$B$11)),Inputs!$B$38*(Inputs!$B$9*Inputs!$B$7/Inputs!$B$11)),Inputs!$B$9*Inputs!$B$7-SUM($D$10:AD10))),0)</f>
        <v>0</v>
      </c>
      <c r="AF10" s="33" t="n">
        <f aca="false">IF(Source_Data!AF$6&gt;=Inputs!$B$54,MAX(0,MIN(MAX(MIN(Inputs!$B$37*AF8,Inputs!$B$39*(Inputs!$B$9*Inputs!$B$7/Inputs!$B$11)),Inputs!$B$38*(Inputs!$B$9*Inputs!$B$7/Inputs!$B$11)),Inputs!$B$9*Inputs!$B$7-SUM($D$10:AE10))),0)</f>
        <v>0</v>
      </c>
      <c r="AG10" s="33" t="n">
        <f aca="false">IF(Source_Data!AG$6&gt;=Inputs!$B$54,MAX(0,MIN(MAX(MIN(Inputs!$B$37*AG8,Inputs!$B$39*(Inputs!$B$9*Inputs!$B$7/Inputs!$B$11)),Inputs!$B$38*(Inputs!$B$9*Inputs!$B$7/Inputs!$B$11)),Inputs!$B$9*Inputs!$B$7-SUM($D$10:AF10))),0)</f>
        <v>0</v>
      </c>
      <c r="AH10" s="33" t="n">
        <f aca="false">IF(Source_Data!AH$6&gt;=Inputs!$B$54,MAX(0,MIN(MAX(MIN(Inputs!$B$37*AH8,Inputs!$B$39*(Inputs!$B$9*Inputs!$B$7/Inputs!$B$11)),Inputs!$B$38*(Inputs!$B$9*Inputs!$B$7/Inputs!$B$11)),Inputs!$B$9*Inputs!$B$7-SUM($D$10:AG10))),0)</f>
        <v>0</v>
      </c>
      <c r="AI10" s="33" t="n">
        <f aca="false">IF(Source_Data!AI$6&gt;=Inputs!$B$54,MAX(0,MIN(MAX(MIN(Inputs!$B$37*AI8,Inputs!$B$39*(Inputs!$B$9*Inputs!$B$7/Inputs!$B$11)),Inputs!$B$38*(Inputs!$B$9*Inputs!$B$7/Inputs!$B$11)),Inputs!$B$9*Inputs!$B$7-SUM($D$10:AH10))),0)</f>
        <v>0</v>
      </c>
      <c r="AJ10" s="33" t="n">
        <f aca="false">IF(Source_Data!AJ$6&gt;=Inputs!$B$54,MAX(0,MIN(MAX(MIN(Inputs!$B$37*AJ8,Inputs!$B$39*(Inputs!$B$9*Inputs!$B$7/Inputs!$B$11)),Inputs!$B$38*(Inputs!$B$9*Inputs!$B$7/Inputs!$B$11)),Inputs!$B$9*Inputs!$B$7-SUM($D$10:AI10))),0)</f>
        <v>0</v>
      </c>
      <c r="AK10" s="33" t="n">
        <f aca="false">IF(Source_Data!AK$6&gt;=Inputs!$B$54,MAX(0,MIN(MAX(MIN(Inputs!$B$37*AK8,Inputs!$B$39*(Inputs!$B$9*Inputs!$B$7/Inputs!$B$11)),Inputs!$B$38*(Inputs!$B$9*Inputs!$B$7/Inputs!$B$11)),Inputs!$B$9*Inputs!$B$7-SUM($D$10:AJ10))),0)</f>
        <v>0</v>
      </c>
      <c r="AL10" s="33" t="n">
        <f aca="false">IF(Source_Data!AL$6&gt;=Inputs!$B$54,MAX(0,MIN(MAX(MIN(Inputs!$B$37*AL8,Inputs!$B$39*(Inputs!$B$9*Inputs!$B$7/Inputs!$B$11)),Inputs!$B$38*(Inputs!$B$9*Inputs!$B$7/Inputs!$B$11)),Inputs!$B$9*Inputs!$B$7-SUM($D$10:AK10))),0)</f>
        <v>0</v>
      </c>
      <c r="AM10" s="33" t="n">
        <f aca="false">IF(Source_Data!AM$6&gt;=Inputs!$B$54,MAX(0,MIN(MAX(MIN(Inputs!$B$37*AM8,Inputs!$B$39*(Inputs!$B$9*Inputs!$B$7/Inputs!$B$11)),Inputs!$B$38*(Inputs!$B$9*Inputs!$B$7/Inputs!$B$11)),Inputs!$B$9*Inputs!$B$7-SUM($D$10:AL10))),0)</f>
        <v>0</v>
      </c>
      <c r="AN10" s="33" t="n">
        <f aca="false">IF(Source_Data!AN$6&gt;=Inputs!$B$54,MAX(0,MIN(MAX(MIN(Inputs!$B$37*AN8,Inputs!$B$39*(Inputs!$B$9*Inputs!$B$7/Inputs!$B$11)),Inputs!$B$38*(Inputs!$B$9*Inputs!$B$7/Inputs!$B$11)),Inputs!$B$9*Inputs!$B$7-SUM($D$10:AM10))),0)</f>
        <v>0</v>
      </c>
      <c r="AO10" s="33" t="n">
        <f aca="false">IF(Source_Data!AO$6&gt;=Inputs!$B$54,MAX(0,MIN(MAX(MIN(Inputs!$B$37*AO8,Inputs!$B$39*(Inputs!$B$9*Inputs!$B$7/Inputs!$B$11)),Inputs!$B$38*(Inputs!$B$9*Inputs!$B$7/Inputs!$B$11)),Inputs!$B$9*Inputs!$B$7-SUM($D$10:AN10))),0)</f>
        <v>0</v>
      </c>
      <c r="AP10" s="33" t="n">
        <f aca="false">IF(Source_Data!AP$6&gt;=Inputs!$B$54,MAX(0,MIN(MAX(MIN(Inputs!$B$37*AP8,Inputs!$B$39*(Inputs!$B$9*Inputs!$B$7/Inputs!$B$11)),Inputs!$B$38*(Inputs!$B$9*Inputs!$B$7/Inputs!$B$11)),Inputs!$B$9*Inputs!$B$7-SUM($D$10:AO10))),0)</f>
        <v>0</v>
      </c>
      <c r="AQ10" s="33" t="n">
        <f aca="false">IF(Source_Data!AQ$6&gt;=Inputs!$B$54,MAX(0,MIN(MAX(MIN(Inputs!$B$37*AQ8,Inputs!$B$39*(Inputs!$B$9*Inputs!$B$7/Inputs!$B$11)),Inputs!$B$38*(Inputs!$B$9*Inputs!$B$7/Inputs!$B$11)),Inputs!$B$9*Inputs!$B$7-SUM($D$10:AP10))),0)</f>
        <v>0</v>
      </c>
      <c r="AR10" s="33" t="n">
        <f aca="false">IF(Source_Data!AR$6&gt;=Inputs!$B$54,MAX(0,MIN(MAX(MIN(Inputs!$B$37*AR8,Inputs!$B$39*(Inputs!$B$9*Inputs!$B$7/Inputs!$B$11)),Inputs!$B$38*(Inputs!$B$9*Inputs!$B$7/Inputs!$B$11)),Inputs!$B$9*Inputs!$B$7-SUM($D$10:AQ10))),0)</f>
        <v>0</v>
      </c>
      <c r="AS10" s="33" t="n">
        <f aca="false">IF(Source_Data!AS$6&gt;=Inputs!$B$54,MAX(0,MIN(MAX(MIN(Inputs!$B$37*AS8,Inputs!$B$39*(Inputs!$B$9*Inputs!$B$7/Inputs!$B$11)),Inputs!$B$38*(Inputs!$B$9*Inputs!$B$7/Inputs!$B$11)),Inputs!$B$9*Inputs!$B$7-SUM($D$10:AR10))),0)</f>
        <v>0</v>
      </c>
      <c r="AT10" s="33" t="n">
        <f aca="false">IF(Source_Data!AT$6&gt;=Inputs!$B$54,MAX(0,MIN(MAX(MIN(Inputs!$B$37*AT8,Inputs!$B$39*(Inputs!$B$9*Inputs!$B$7/Inputs!$B$11)),Inputs!$B$38*(Inputs!$B$9*Inputs!$B$7/Inputs!$B$11)),Inputs!$B$9*Inputs!$B$7-SUM($D$10:AS10))),0)</f>
        <v>0</v>
      </c>
      <c r="AU10" s="33" t="n">
        <f aca="false">IF(Source_Data!AU$6&gt;=Inputs!$B$54,MAX(0,MIN(MAX(MIN(Inputs!$B$37*AU8,Inputs!$B$39*(Inputs!$B$9*Inputs!$B$7/Inputs!$B$11)),Inputs!$B$38*(Inputs!$B$9*Inputs!$B$7/Inputs!$B$11)),Inputs!$B$9*Inputs!$B$7-SUM($D$10:AT10))),0)</f>
        <v>0</v>
      </c>
      <c r="AV10" s="33" t="n">
        <f aca="false">IF(Source_Data!AV$6&gt;=Inputs!$B$54,MAX(0,MIN(MAX(MIN(Inputs!$B$37*AV8,Inputs!$B$39*(Inputs!$B$9*Inputs!$B$7/Inputs!$B$11)),Inputs!$B$38*(Inputs!$B$9*Inputs!$B$7/Inputs!$B$11)),Inputs!$B$9*Inputs!$B$7-SUM($D$10:AU10))),0)</f>
        <v>0</v>
      </c>
      <c r="AW10" s="33" t="n">
        <f aca="false">IF(Source_Data!AW$6&gt;=Inputs!$B$54,MAX(0,MIN(MAX(MIN(Inputs!$B$37*AW8,Inputs!$B$39*(Inputs!$B$9*Inputs!$B$7/Inputs!$B$11)),Inputs!$B$38*(Inputs!$B$9*Inputs!$B$7/Inputs!$B$11)),Inputs!$B$9*Inputs!$B$7-SUM($D$10:AV10))),0)</f>
        <v>0</v>
      </c>
      <c r="AX10" s="33" t="n">
        <f aca="false">IF(Source_Data!AX$6&gt;=Inputs!$B$54,MAX(0,MIN(MAX(MIN(Inputs!$B$37*AX8,Inputs!$B$39*(Inputs!$B$9*Inputs!$B$7/Inputs!$B$11)),Inputs!$B$38*(Inputs!$B$9*Inputs!$B$7/Inputs!$B$11)),Inputs!$B$9*Inputs!$B$7-SUM($D$10:AW10))),0)</f>
        <v>0</v>
      </c>
      <c r="AY10" s="33" t="n">
        <f aca="false">IF(Source_Data!AY$6&gt;=Inputs!$B$54,MAX(0,MIN(MAX(MIN(Inputs!$B$37*AY8,Inputs!$B$39*(Inputs!$B$9*Inputs!$B$7/Inputs!$B$11)),Inputs!$B$38*(Inputs!$B$9*Inputs!$B$7/Inputs!$B$11)),Inputs!$B$9*Inputs!$B$7-SUM($D$10:AX10))),0)</f>
        <v>0</v>
      </c>
      <c r="AZ10" s="33" t="n">
        <f aca="false">IF(Source_Data!AZ$6&gt;=Inputs!$B$54,MAX(0,MIN(MAX(MIN(Inputs!$B$37*AZ8,Inputs!$B$39*(Inputs!$B$9*Inputs!$B$7/Inputs!$B$11)),Inputs!$B$38*(Inputs!$B$9*Inputs!$B$7/Inputs!$B$11)),Inputs!$B$9*Inputs!$B$7-SUM($D$10:AY10))),0)</f>
        <v>0</v>
      </c>
      <c r="BA10" s="33" t="n">
        <f aca="false">IF(Source_Data!BA$6&gt;=Inputs!$B$54,MAX(0,MIN(MAX(MIN(Inputs!$B$37*BA8,Inputs!$B$39*(Inputs!$B$9*Inputs!$B$7/Inputs!$B$11)),Inputs!$B$38*(Inputs!$B$9*Inputs!$B$7/Inputs!$B$11)),Inputs!$B$9*Inputs!$B$7-SUM($D$10:AZ10))),0)</f>
        <v>0</v>
      </c>
      <c r="BB10" s="33" t="n">
        <f aca="false">IF(Source_Data!BB$6&gt;=Inputs!$B$54,MAX(0,MIN(MAX(MIN(Inputs!$B$37*BB8,Inputs!$B$39*(Inputs!$B$9*Inputs!$B$7/Inputs!$B$11)),Inputs!$B$38*(Inputs!$B$9*Inputs!$B$7/Inputs!$B$11)),Inputs!$B$9*Inputs!$B$7-SUM($D$10:BA10))),0)</f>
        <v>0</v>
      </c>
      <c r="BC10" s="33" t="n">
        <f aca="false">IF(Source_Data!BC$6&gt;=Inputs!$B$54,MAX(0,MIN(MAX(MIN(Inputs!$B$37*BC8,Inputs!$B$39*(Inputs!$B$9*Inputs!$B$7/Inputs!$B$11)),Inputs!$B$38*(Inputs!$B$9*Inputs!$B$7/Inputs!$B$11)),Inputs!$B$9*Inputs!$B$7-SUM($D$10:BB10))),0)</f>
        <v>0</v>
      </c>
      <c r="BD10" s="33" t="n">
        <f aca="false">IF(Source_Data!BD$6&gt;=Inputs!$B$54,MAX(0,MIN(MAX(MIN(Inputs!$B$37*BD8,Inputs!$B$39*(Inputs!$B$9*Inputs!$B$7/Inputs!$B$11)),Inputs!$B$38*(Inputs!$B$9*Inputs!$B$7/Inputs!$B$11)),Inputs!$B$9*Inputs!$B$7-SUM($D$10:BC10))),0)</f>
        <v>0</v>
      </c>
      <c r="BE10" s="33" t="n">
        <f aca="false">IF(Source_Data!BE$6&gt;=Inputs!$B$54,MAX(0,MIN(MAX(MIN(Inputs!$B$37*BE8,Inputs!$B$39*(Inputs!$B$9*Inputs!$B$7/Inputs!$B$11)),Inputs!$B$38*(Inputs!$B$9*Inputs!$B$7/Inputs!$B$11)),Inputs!$B$9*Inputs!$B$7-SUM($D$10:BD10))),0)</f>
        <v>0</v>
      </c>
      <c r="BF10" s="33" t="n">
        <f aca="false">IF(Source_Data!BF$6&gt;=Inputs!$B$54,MAX(0,MIN(MAX(MIN(Inputs!$B$37*BF8,Inputs!$B$39*(Inputs!$B$9*Inputs!$B$7/Inputs!$B$11)),Inputs!$B$38*(Inputs!$B$9*Inputs!$B$7/Inputs!$B$11)),Inputs!$B$9*Inputs!$B$7-SUM($D$10:BE10))),0)</f>
        <v>0</v>
      </c>
      <c r="BG10" s="33" t="n">
        <f aca="false">IF(Source_Data!BG$6&gt;=Inputs!$B$54,MAX(0,MIN(MAX(MIN(Inputs!$B$37*BG8,Inputs!$B$39*(Inputs!$B$9*Inputs!$B$7/Inputs!$B$11)),Inputs!$B$38*(Inputs!$B$9*Inputs!$B$7/Inputs!$B$11)),Inputs!$B$9*Inputs!$B$7-SUM($D$10:BF10))),0)</f>
        <v>0</v>
      </c>
      <c r="BH10" s="33" t="n">
        <f aca="false">IF(Source_Data!BH$6&gt;=Inputs!$B$54,MAX(0,MIN(MAX(MIN(Inputs!$B$37*BH8,Inputs!$B$39*(Inputs!$B$9*Inputs!$B$7/Inputs!$B$11)),Inputs!$B$38*(Inputs!$B$9*Inputs!$B$7/Inputs!$B$11)),Inputs!$B$9*Inputs!$B$7-SUM($D$10:BG10))),0)</f>
        <v>0</v>
      </c>
      <c r="BI10" s="33" t="n">
        <f aca="false">IF(Source_Data!BI$6&gt;=Inputs!$B$54,MAX(0,MIN(MAX(MIN(Inputs!$B$37*BI8,Inputs!$B$39*(Inputs!$B$9*Inputs!$B$7/Inputs!$B$11)),Inputs!$B$38*(Inputs!$B$9*Inputs!$B$7/Inputs!$B$11)),Inputs!$B$9*Inputs!$B$7-SUM($D$10:BH10))),0)</f>
        <v>0</v>
      </c>
      <c r="BJ10" s="33" t="n">
        <f aca="false">IF(Source_Data!BJ$6&gt;=Inputs!$B$54,MAX(0,MIN(MAX(MIN(Inputs!$B$37*BJ8,Inputs!$B$39*(Inputs!$B$9*Inputs!$B$7/Inputs!$B$11)),Inputs!$B$38*(Inputs!$B$9*Inputs!$B$7/Inputs!$B$11)),Inputs!$B$9*Inputs!$B$7-SUM($D$10:BI10))),0)</f>
        <v>0</v>
      </c>
      <c r="BK10" s="33" t="n">
        <f aca="false">IF(Source_Data!BK$6&gt;=Inputs!$B$54,MAX(0,MIN(MAX(MIN(Inputs!$B$37*BK8,Inputs!$B$39*(Inputs!$B$9*Inputs!$B$7/Inputs!$B$11)),Inputs!$B$38*(Inputs!$B$9*Inputs!$B$7/Inputs!$B$11)),Inputs!$B$9*Inputs!$B$7-SUM($D$10:BJ10))),0)</f>
        <v>0</v>
      </c>
    </row>
    <row r="11" customFormat="false" ht="15" hidden="false" customHeight="false" outlineLevel="0" collapsed="false">
      <c r="A11" s="3" t="s">
        <v>296</v>
      </c>
      <c r="B11" s="38" t="n">
        <f aca="false">SUM(D11:BK11)</f>
        <v>180</v>
      </c>
      <c r="D11" s="33" t="n">
        <f aca="false">D6*Inputs!$B$40*Inputs!$B$7/Inputs!$B$11</f>
        <v>0</v>
      </c>
      <c r="E11" s="33" t="n">
        <f aca="false">E6*Inputs!$B$40*Inputs!$B$7/Inputs!$B$11</f>
        <v>0</v>
      </c>
      <c r="F11" s="33" t="n">
        <f aca="false">F6*Inputs!$B$40*Inputs!$B$7/Inputs!$B$11</f>
        <v>0</v>
      </c>
      <c r="G11" s="33" t="n">
        <f aca="false">G6*Inputs!$B$40*Inputs!$B$7/Inputs!$B$11</f>
        <v>0</v>
      </c>
      <c r="H11" s="33" t="n">
        <f aca="false">H6*Inputs!$B$40*Inputs!$B$7/Inputs!$B$11</f>
        <v>0</v>
      </c>
      <c r="I11" s="33" t="n">
        <f aca="false">I6*Inputs!$B$40*Inputs!$B$7/Inputs!$B$11</f>
        <v>0</v>
      </c>
      <c r="J11" s="33" t="n">
        <f aca="false">J6*Inputs!$B$40*Inputs!$B$7/Inputs!$B$11</f>
        <v>0</v>
      </c>
      <c r="K11" s="33" t="n">
        <f aca="false">K6*Inputs!$B$40*Inputs!$B$7/Inputs!$B$11</f>
        <v>0</v>
      </c>
      <c r="L11" s="33" t="n">
        <f aca="false">L6*Inputs!$B$40*Inputs!$B$7/Inputs!$B$11</f>
        <v>0</v>
      </c>
      <c r="M11" s="33" t="n">
        <f aca="false">M6*Inputs!$B$40*Inputs!$B$7/Inputs!$B$11</f>
        <v>15</v>
      </c>
      <c r="N11" s="33" t="n">
        <f aca="false">N6*Inputs!$B$40*Inputs!$B$7/Inputs!$B$11</f>
        <v>15</v>
      </c>
      <c r="O11" s="33" t="n">
        <f aca="false">O6*Inputs!$B$40*Inputs!$B$7/Inputs!$B$11</f>
        <v>15</v>
      </c>
      <c r="P11" s="33" t="n">
        <f aca="false">P6*Inputs!$B$40*Inputs!$B$7/Inputs!$B$11</f>
        <v>15</v>
      </c>
      <c r="Q11" s="33" t="n">
        <f aca="false">Q6*Inputs!$B$40*Inputs!$B$7/Inputs!$B$11</f>
        <v>15</v>
      </c>
      <c r="R11" s="33" t="n">
        <f aca="false">R6*Inputs!$B$40*Inputs!$B$7/Inputs!$B$11</f>
        <v>15</v>
      </c>
      <c r="S11" s="33" t="n">
        <f aca="false">S6*Inputs!$B$40*Inputs!$B$7/Inputs!$B$11</f>
        <v>15</v>
      </c>
      <c r="T11" s="33" t="n">
        <f aca="false">T6*Inputs!$B$40*Inputs!$B$7/Inputs!$B$11</f>
        <v>15</v>
      </c>
      <c r="U11" s="33" t="n">
        <f aca="false">U6*Inputs!$B$40*Inputs!$B$7/Inputs!$B$11</f>
        <v>15</v>
      </c>
      <c r="V11" s="33" t="n">
        <f aca="false">V6*Inputs!$B$40*Inputs!$B$7/Inputs!$B$11</f>
        <v>15</v>
      </c>
      <c r="W11" s="33" t="n">
        <f aca="false">W6*Inputs!$B$40*Inputs!$B$7/Inputs!$B$11</f>
        <v>15</v>
      </c>
      <c r="X11" s="33" t="n">
        <f aca="false">X6*Inputs!$B$40*Inputs!$B$7/Inputs!$B$11</f>
        <v>15</v>
      </c>
      <c r="Y11" s="33" t="n">
        <f aca="false">Y6*Inputs!$B$40*Inputs!$B$7/Inputs!$B$11</f>
        <v>0</v>
      </c>
      <c r="Z11" s="33" t="n">
        <f aca="false">Z6*Inputs!$B$40*Inputs!$B$7/Inputs!$B$11</f>
        <v>0</v>
      </c>
      <c r="AA11" s="33" t="n">
        <f aca="false">AA6*Inputs!$B$40*Inputs!$B$7/Inputs!$B$11</f>
        <v>0</v>
      </c>
      <c r="AB11" s="33" t="n">
        <f aca="false">AB6*Inputs!$B$40*Inputs!$B$7/Inputs!$B$11</f>
        <v>0</v>
      </c>
      <c r="AC11" s="33" t="n">
        <f aca="false">AC6*Inputs!$B$40*Inputs!$B$7/Inputs!$B$11</f>
        <v>0</v>
      </c>
      <c r="AD11" s="33" t="n">
        <f aca="false">AD6*Inputs!$B$40*Inputs!$B$7/Inputs!$B$11</f>
        <v>0</v>
      </c>
      <c r="AE11" s="33" t="n">
        <f aca="false">AE6*Inputs!$B$40*Inputs!$B$7/Inputs!$B$11</f>
        <v>0</v>
      </c>
      <c r="AF11" s="33" t="n">
        <f aca="false">AF6*Inputs!$B$40*Inputs!$B$7/Inputs!$B$11</f>
        <v>0</v>
      </c>
      <c r="AG11" s="33" t="n">
        <f aca="false">AG6*Inputs!$B$40*Inputs!$B$7/Inputs!$B$11</f>
        <v>0</v>
      </c>
      <c r="AH11" s="33" t="n">
        <f aca="false">AH6*Inputs!$B$40*Inputs!$B$7/Inputs!$B$11</f>
        <v>0</v>
      </c>
      <c r="AI11" s="33" t="n">
        <f aca="false">AI6*Inputs!$B$40*Inputs!$B$7/Inputs!$B$11</f>
        <v>0</v>
      </c>
      <c r="AJ11" s="33" t="n">
        <f aca="false">AJ6*Inputs!$B$40*Inputs!$B$7/Inputs!$B$11</f>
        <v>0</v>
      </c>
      <c r="AK11" s="33" t="n">
        <f aca="false">AK6*Inputs!$B$40*Inputs!$B$7/Inputs!$B$11</f>
        <v>0</v>
      </c>
      <c r="AL11" s="33" t="n">
        <f aca="false">AL6*Inputs!$B$40*Inputs!$B$7/Inputs!$B$11</f>
        <v>0</v>
      </c>
      <c r="AM11" s="33" t="n">
        <f aca="false">AM6*Inputs!$B$40*Inputs!$B$7/Inputs!$B$11</f>
        <v>0</v>
      </c>
      <c r="AN11" s="33" t="n">
        <f aca="false">AN6*Inputs!$B$40*Inputs!$B$7/Inputs!$B$11</f>
        <v>0</v>
      </c>
      <c r="AO11" s="33" t="n">
        <f aca="false">AO6*Inputs!$B$40*Inputs!$B$7/Inputs!$B$11</f>
        <v>0</v>
      </c>
      <c r="AP11" s="33" t="n">
        <f aca="false">AP6*Inputs!$B$40*Inputs!$B$7/Inputs!$B$11</f>
        <v>0</v>
      </c>
      <c r="AQ11" s="33" t="n">
        <f aca="false">AQ6*Inputs!$B$40*Inputs!$B$7/Inputs!$B$11</f>
        <v>0</v>
      </c>
      <c r="AR11" s="33" t="n">
        <f aca="false">AR6*Inputs!$B$40*Inputs!$B$7/Inputs!$B$11</f>
        <v>0</v>
      </c>
      <c r="AS11" s="33" t="n">
        <f aca="false">AS6*Inputs!$B$40*Inputs!$B$7/Inputs!$B$11</f>
        <v>0</v>
      </c>
      <c r="AT11" s="33" t="n">
        <f aca="false">AT6*Inputs!$B$40*Inputs!$B$7/Inputs!$B$11</f>
        <v>0</v>
      </c>
      <c r="AU11" s="33" t="n">
        <f aca="false">AU6*Inputs!$B$40*Inputs!$B$7/Inputs!$B$11</f>
        <v>0</v>
      </c>
      <c r="AV11" s="33" t="n">
        <f aca="false">AV6*Inputs!$B$40*Inputs!$B$7/Inputs!$B$11</f>
        <v>0</v>
      </c>
      <c r="AW11" s="33" t="n">
        <f aca="false">AW6*Inputs!$B$40*Inputs!$B$7/Inputs!$B$11</f>
        <v>0</v>
      </c>
      <c r="AX11" s="33" t="n">
        <f aca="false">AX6*Inputs!$B$40*Inputs!$B$7/Inputs!$B$11</f>
        <v>0</v>
      </c>
      <c r="AY11" s="33" t="n">
        <f aca="false">AY6*Inputs!$B$40*Inputs!$B$7/Inputs!$B$11</f>
        <v>0</v>
      </c>
      <c r="AZ11" s="33" t="n">
        <f aca="false">AZ6*Inputs!$B$40*Inputs!$B$7/Inputs!$B$11</f>
        <v>0</v>
      </c>
      <c r="BA11" s="33" t="n">
        <f aca="false">BA6*Inputs!$B$40*Inputs!$B$7/Inputs!$B$11</f>
        <v>0</v>
      </c>
      <c r="BB11" s="33" t="n">
        <f aca="false">BB6*Inputs!$B$40*Inputs!$B$7/Inputs!$B$11</f>
        <v>0</v>
      </c>
      <c r="BC11" s="33" t="n">
        <f aca="false">BC6*Inputs!$B$40*Inputs!$B$7/Inputs!$B$11</f>
        <v>0</v>
      </c>
      <c r="BD11" s="33" t="n">
        <f aca="false">BD6*Inputs!$B$40*Inputs!$B$7/Inputs!$B$11</f>
        <v>0</v>
      </c>
      <c r="BE11" s="33" t="n">
        <f aca="false">BE6*Inputs!$B$40*Inputs!$B$7/Inputs!$B$11</f>
        <v>0</v>
      </c>
      <c r="BF11" s="33" t="n">
        <f aca="false">BF6*Inputs!$B$40*Inputs!$B$7/Inputs!$B$11</f>
        <v>0</v>
      </c>
      <c r="BG11" s="33" t="n">
        <f aca="false">BG6*Inputs!$B$40*Inputs!$B$7/Inputs!$B$11</f>
        <v>0</v>
      </c>
      <c r="BH11" s="33" t="n">
        <f aca="false">BH6*Inputs!$B$40*Inputs!$B$7/Inputs!$B$11</f>
        <v>0</v>
      </c>
      <c r="BI11" s="33" t="n">
        <f aca="false">BI6*Inputs!$B$40*Inputs!$B$7/Inputs!$B$11</f>
        <v>0</v>
      </c>
      <c r="BJ11" s="33" t="n">
        <f aca="false">BJ6*Inputs!$B$40*Inputs!$B$7/Inputs!$B$11</f>
        <v>0</v>
      </c>
      <c r="BK11" s="33" t="n">
        <f aca="false">BK6*Inputs!$B$40*Inputs!$B$7/Inputs!$B$11</f>
        <v>0</v>
      </c>
    </row>
    <row r="12" customFormat="false" ht="15" hidden="false" customHeight="false" outlineLevel="0" collapsed="false">
      <c r="A12" s="3" t="s">
        <v>297</v>
      </c>
      <c r="B12" s="38" t="n">
        <f aca="false">SUM(D12:BK12)</f>
        <v>50</v>
      </c>
      <c r="D12" s="33" t="n">
        <f aca="false">IF(D6=1,MAX(0,MIN(Inputs!$B$42*D8,Inputs!$B$41*Inputs!$B$7-Inputs!$B$40*Inputs!$B$7-0)),0)</f>
        <v>0</v>
      </c>
      <c r="E12" s="33" t="n">
        <f aca="false">IF(E6=1,MAX(0,MIN(Inputs!$B$42*E8,Inputs!$B$41*Inputs!$B$7-Inputs!$B$40*Inputs!$B$7-SUM($D$12:D12))),0)</f>
        <v>0</v>
      </c>
      <c r="F12" s="33" t="n">
        <f aca="false">IF(F6=1,MAX(0,MIN(Inputs!$B$42*F8,Inputs!$B$41*Inputs!$B$7-Inputs!$B$40*Inputs!$B$7-SUM($D$12:E12))),0)</f>
        <v>0</v>
      </c>
      <c r="G12" s="33" t="n">
        <f aca="false">IF(G6=1,MAX(0,MIN(Inputs!$B$42*G8,Inputs!$B$41*Inputs!$B$7-Inputs!$B$40*Inputs!$B$7-SUM($D$12:F12))),0)</f>
        <v>0</v>
      </c>
      <c r="H12" s="33" t="n">
        <f aca="false">IF(H6=1,MAX(0,MIN(Inputs!$B$42*H8,Inputs!$B$41*Inputs!$B$7-Inputs!$B$40*Inputs!$B$7-SUM($D$12:G12))),0)</f>
        <v>0</v>
      </c>
      <c r="I12" s="33" t="n">
        <f aca="false">IF(I6=1,MAX(0,MIN(Inputs!$B$42*I8,Inputs!$B$41*Inputs!$B$7-Inputs!$B$40*Inputs!$B$7-SUM($D$12:H12))),0)</f>
        <v>0</v>
      </c>
      <c r="J12" s="33" t="n">
        <f aca="false">IF(J6=1,MAX(0,MIN(Inputs!$B$42*J8,Inputs!$B$41*Inputs!$B$7-Inputs!$B$40*Inputs!$B$7-SUM($D$12:I12))),0)</f>
        <v>0</v>
      </c>
      <c r="K12" s="33" t="n">
        <f aca="false">IF(K6=1,MAX(0,MIN(Inputs!$B$42*K8,Inputs!$B$41*Inputs!$B$7-Inputs!$B$40*Inputs!$B$7-SUM($D$12:J12))),0)</f>
        <v>0</v>
      </c>
      <c r="L12" s="33" t="n">
        <f aca="false">IF(L6=1,MAX(0,MIN(Inputs!$B$42*L8,Inputs!$B$41*Inputs!$B$7-Inputs!$B$40*Inputs!$B$7-SUM($D$12:K12))),0)</f>
        <v>0</v>
      </c>
      <c r="M12" s="33" t="n">
        <f aca="false">IF(M6=1,MAX(0,MIN(Inputs!$B$42*M8,Inputs!$B$41*Inputs!$B$7-Inputs!$B$40*Inputs!$B$7-SUM($D$12:L12))),0)</f>
        <v>17.2111045913565</v>
      </c>
      <c r="N12" s="33" t="n">
        <f aca="false">IF(N6=1,MAX(0,MIN(Inputs!$B$42*N8,Inputs!$B$41*Inputs!$B$7-Inputs!$B$40*Inputs!$B$7-SUM($D$12:M12))),0)</f>
        <v>6.44921416702522</v>
      </c>
      <c r="O12" s="33" t="n">
        <f aca="false">IF(O6=1,MAX(0,MIN(Inputs!$B$42*O8,Inputs!$B$41*Inputs!$B$7-Inputs!$B$40*Inputs!$B$7-SUM($D$12:N12))),0)</f>
        <v>6.13492497759904</v>
      </c>
      <c r="P12" s="33" t="n">
        <f aca="false">IF(P6=1,MAX(0,MIN(Inputs!$B$42*P8,Inputs!$B$41*Inputs!$B$7-Inputs!$B$40*Inputs!$B$7-SUM($D$12:O12))),0)</f>
        <v>3.3817516782257</v>
      </c>
      <c r="Q12" s="33" t="n">
        <f aca="false">IF(Q6=1,MAX(0,MIN(Inputs!$B$42*Q8,Inputs!$B$41*Inputs!$B$7-Inputs!$B$40*Inputs!$B$7-SUM($D$12:P12))),0)</f>
        <v>2.47817025862543</v>
      </c>
      <c r="R12" s="33" t="n">
        <f aca="false">IF(R6=1,MAX(0,MIN(Inputs!$B$42*R8,Inputs!$B$41*Inputs!$B$7-Inputs!$B$40*Inputs!$B$7-SUM($D$12:Q12))),0)</f>
        <v>2.47817025862543</v>
      </c>
      <c r="S12" s="33" t="n">
        <f aca="false">IF(S6=1,MAX(0,MIN(Inputs!$B$42*S8,Inputs!$B$41*Inputs!$B$7-Inputs!$B$40*Inputs!$B$7-SUM($D$12:R12))),0)</f>
        <v>2.36442900097209</v>
      </c>
      <c r="T12" s="33" t="n">
        <f aca="false">IF(T6=1,MAX(0,MIN(Inputs!$B$42*T8,Inputs!$B$41*Inputs!$B$7-Inputs!$B$40*Inputs!$B$7-SUM($D$12:S12))),0)</f>
        <v>2.12775352687471</v>
      </c>
      <c r="U12" s="33" t="n">
        <f aca="false">IF(U6=1,MAX(0,MIN(Inputs!$B$42*U8,Inputs!$B$41*Inputs!$B$7-Inputs!$B$40*Inputs!$B$7-SUM($D$12:T12))),0)</f>
        <v>2.07514151656477</v>
      </c>
      <c r="V12" s="33" t="n">
        <f aca="false">IF(V6=1,MAX(0,MIN(Inputs!$B$42*V8,Inputs!$B$41*Inputs!$B$7-Inputs!$B$40*Inputs!$B$7-SUM($D$12:U12))),0)</f>
        <v>1.86701921532675</v>
      </c>
      <c r="W12" s="33" t="n">
        <f aca="false">IF(W6=1,MAX(0,MIN(Inputs!$B$42*W8,Inputs!$B$41*Inputs!$B$7-Inputs!$B$40*Inputs!$B$7-SUM($D$12:V12))),0)</f>
        <v>1.71616040440219</v>
      </c>
      <c r="X12" s="33" t="n">
        <f aca="false">IF(X6=1,MAX(0,MIN(Inputs!$B$42*X8,Inputs!$B$41*Inputs!$B$7-Inputs!$B$40*Inputs!$B$7-SUM($D$12:W12))),0)</f>
        <v>1.71616040440219</v>
      </c>
      <c r="Y12" s="33" t="n">
        <f aca="false">IF(Y6=1,MAX(0,MIN(Inputs!$B$42*Y8,Inputs!$B$41*Inputs!$B$7-Inputs!$B$40*Inputs!$B$7-SUM($D$12:X12))),0)</f>
        <v>0</v>
      </c>
      <c r="Z12" s="33" t="n">
        <f aca="false">IF(Z6=1,MAX(0,MIN(Inputs!$B$42*Z8,Inputs!$B$41*Inputs!$B$7-Inputs!$B$40*Inputs!$B$7-SUM($D$12:Y12))),0)</f>
        <v>0</v>
      </c>
      <c r="AA12" s="33" t="n">
        <f aca="false">IF(AA6=1,MAX(0,MIN(Inputs!$B$42*AA8,Inputs!$B$41*Inputs!$B$7-Inputs!$B$40*Inputs!$B$7-SUM($D$12:Z12))),0)</f>
        <v>0</v>
      </c>
      <c r="AB12" s="33" t="n">
        <f aca="false">IF(AB6=1,MAX(0,MIN(Inputs!$B$42*AB8,Inputs!$B$41*Inputs!$B$7-Inputs!$B$40*Inputs!$B$7-SUM($D$12:AA12))),0)</f>
        <v>0</v>
      </c>
      <c r="AC12" s="33" t="n">
        <f aca="false">IF(AC6=1,MAX(0,MIN(Inputs!$B$42*AC8,Inputs!$B$41*Inputs!$B$7-Inputs!$B$40*Inputs!$B$7-SUM($D$12:AB12))),0)</f>
        <v>0</v>
      </c>
      <c r="AD12" s="33" t="n">
        <f aca="false">IF(AD6=1,MAX(0,MIN(Inputs!$B$42*AD8,Inputs!$B$41*Inputs!$B$7-Inputs!$B$40*Inputs!$B$7-SUM($D$12:AC12))),0)</f>
        <v>0</v>
      </c>
      <c r="AE12" s="33" t="n">
        <f aca="false">IF(AE6=1,MAX(0,MIN(Inputs!$B$42*AE8,Inputs!$B$41*Inputs!$B$7-Inputs!$B$40*Inputs!$B$7-SUM($D$12:AD12))),0)</f>
        <v>0</v>
      </c>
      <c r="AF12" s="33" t="n">
        <f aca="false">IF(AF6=1,MAX(0,MIN(Inputs!$B$42*AF8,Inputs!$B$41*Inputs!$B$7-Inputs!$B$40*Inputs!$B$7-SUM($D$12:AE12))),0)</f>
        <v>0</v>
      </c>
      <c r="AG12" s="33" t="n">
        <f aca="false">IF(AG6=1,MAX(0,MIN(Inputs!$B$42*AG8,Inputs!$B$41*Inputs!$B$7-Inputs!$B$40*Inputs!$B$7-SUM($D$12:AF12))),0)</f>
        <v>0</v>
      </c>
      <c r="AH12" s="33" t="n">
        <f aca="false">IF(AH6=1,MAX(0,MIN(Inputs!$B$42*AH8,Inputs!$B$41*Inputs!$B$7-Inputs!$B$40*Inputs!$B$7-SUM($D$12:AG12))),0)</f>
        <v>0</v>
      </c>
      <c r="AI12" s="33" t="n">
        <f aca="false">IF(AI6=1,MAX(0,MIN(Inputs!$B$42*AI8,Inputs!$B$41*Inputs!$B$7-Inputs!$B$40*Inputs!$B$7-SUM($D$12:AH12))),0)</f>
        <v>0</v>
      </c>
      <c r="AJ12" s="33" t="n">
        <f aca="false">IF(AJ6=1,MAX(0,MIN(Inputs!$B$42*AJ8,Inputs!$B$41*Inputs!$B$7-Inputs!$B$40*Inputs!$B$7-SUM($D$12:AI12))),0)</f>
        <v>0</v>
      </c>
      <c r="AK12" s="33" t="n">
        <f aca="false">IF(AK6=1,MAX(0,MIN(Inputs!$B$42*AK8,Inputs!$B$41*Inputs!$B$7-Inputs!$B$40*Inputs!$B$7-SUM($D$12:AJ12))),0)</f>
        <v>0</v>
      </c>
      <c r="AL12" s="33" t="n">
        <f aca="false">IF(AL6=1,MAX(0,MIN(Inputs!$B$42*AL8,Inputs!$B$41*Inputs!$B$7-Inputs!$B$40*Inputs!$B$7-SUM($D$12:AK12))),0)</f>
        <v>0</v>
      </c>
      <c r="AM12" s="33" t="n">
        <f aca="false">IF(AM6=1,MAX(0,MIN(Inputs!$B$42*AM8,Inputs!$B$41*Inputs!$B$7-Inputs!$B$40*Inputs!$B$7-SUM($D$12:AL12))),0)</f>
        <v>0</v>
      </c>
      <c r="AN12" s="33" t="n">
        <f aca="false">IF(AN6=1,MAX(0,MIN(Inputs!$B$42*AN8,Inputs!$B$41*Inputs!$B$7-Inputs!$B$40*Inputs!$B$7-SUM($D$12:AM12))),0)</f>
        <v>0</v>
      </c>
      <c r="AO12" s="33" t="n">
        <f aca="false">IF(AO6=1,MAX(0,MIN(Inputs!$B$42*AO8,Inputs!$B$41*Inputs!$B$7-Inputs!$B$40*Inputs!$B$7-SUM($D$12:AN12))),0)</f>
        <v>0</v>
      </c>
      <c r="AP12" s="33" t="n">
        <f aca="false">IF(AP6=1,MAX(0,MIN(Inputs!$B$42*AP8,Inputs!$B$41*Inputs!$B$7-Inputs!$B$40*Inputs!$B$7-SUM($D$12:AO12))),0)</f>
        <v>0</v>
      </c>
      <c r="AQ12" s="33" t="n">
        <f aca="false">IF(AQ6=1,MAX(0,MIN(Inputs!$B$42*AQ8,Inputs!$B$41*Inputs!$B$7-Inputs!$B$40*Inputs!$B$7-SUM($D$12:AP12))),0)</f>
        <v>0</v>
      </c>
      <c r="AR12" s="33" t="n">
        <f aca="false">IF(AR6=1,MAX(0,MIN(Inputs!$B$42*AR8,Inputs!$B$41*Inputs!$B$7-Inputs!$B$40*Inputs!$B$7-SUM($D$12:AQ12))),0)</f>
        <v>0</v>
      </c>
      <c r="AS12" s="33" t="n">
        <f aca="false">IF(AS6=1,MAX(0,MIN(Inputs!$B$42*AS8,Inputs!$B$41*Inputs!$B$7-Inputs!$B$40*Inputs!$B$7-SUM($D$12:AR12))),0)</f>
        <v>0</v>
      </c>
      <c r="AT12" s="33" t="n">
        <f aca="false">IF(AT6=1,MAX(0,MIN(Inputs!$B$42*AT8,Inputs!$B$41*Inputs!$B$7-Inputs!$B$40*Inputs!$B$7-SUM($D$12:AS12))),0)</f>
        <v>0</v>
      </c>
      <c r="AU12" s="33" t="n">
        <f aca="false">IF(AU6=1,MAX(0,MIN(Inputs!$B$42*AU8,Inputs!$B$41*Inputs!$B$7-Inputs!$B$40*Inputs!$B$7-SUM($D$12:AT12))),0)</f>
        <v>0</v>
      </c>
      <c r="AV12" s="33" t="n">
        <f aca="false">IF(AV6=1,MAX(0,MIN(Inputs!$B$42*AV8,Inputs!$B$41*Inputs!$B$7-Inputs!$B$40*Inputs!$B$7-SUM($D$12:AU12))),0)</f>
        <v>0</v>
      </c>
      <c r="AW12" s="33" t="n">
        <f aca="false">IF(AW6=1,MAX(0,MIN(Inputs!$B$42*AW8,Inputs!$B$41*Inputs!$B$7-Inputs!$B$40*Inputs!$B$7-SUM($D$12:AV12))),0)</f>
        <v>0</v>
      </c>
      <c r="AX12" s="33" t="n">
        <f aca="false">IF(AX6=1,MAX(0,MIN(Inputs!$B$42*AX8,Inputs!$B$41*Inputs!$B$7-Inputs!$B$40*Inputs!$B$7-SUM($D$12:AW12))),0)</f>
        <v>0</v>
      </c>
      <c r="AY12" s="33" t="n">
        <f aca="false">IF(AY6=1,MAX(0,MIN(Inputs!$B$42*AY8,Inputs!$B$41*Inputs!$B$7-Inputs!$B$40*Inputs!$B$7-SUM($D$12:AX12))),0)</f>
        <v>0</v>
      </c>
      <c r="AZ12" s="33" t="n">
        <f aca="false">IF(AZ6=1,MAX(0,MIN(Inputs!$B$42*AZ8,Inputs!$B$41*Inputs!$B$7-Inputs!$B$40*Inputs!$B$7-SUM($D$12:AY12))),0)</f>
        <v>0</v>
      </c>
      <c r="BA12" s="33" t="n">
        <f aca="false">IF(BA6=1,MAX(0,MIN(Inputs!$B$42*BA8,Inputs!$B$41*Inputs!$B$7-Inputs!$B$40*Inputs!$B$7-SUM($D$12:AZ12))),0)</f>
        <v>0</v>
      </c>
      <c r="BB12" s="33" t="n">
        <f aca="false">IF(BB6=1,MAX(0,MIN(Inputs!$B$42*BB8,Inputs!$B$41*Inputs!$B$7-Inputs!$B$40*Inputs!$B$7-SUM($D$12:BA12))),0)</f>
        <v>0</v>
      </c>
      <c r="BC12" s="33" t="n">
        <f aca="false">IF(BC6=1,MAX(0,MIN(Inputs!$B$42*BC8,Inputs!$B$41*Inputs!$B$7-Inputs!$B$40*Inputs!$B$7-SUM($D$12:BB12))),0)</f>
        <v>0</v>
      </c>
      <c r="BD12" s="33" t="n">
        <f aca="false">IF(BD6=1,MAX(0,MIN(Inputs!$B$42*BD8,Inputs!$B$41*Inputs!$B$7-Inputs!$B$40*Inputs!$B$7-SUM($D$12:BC12))),0)</f>
        <v>0</v>
      </c>
      <c r="BE12" s="33" t="n">
        <f aca="false">IF(BE6=1,MAX(0,MIN(Inputs!$B$42*BE8,Inputs!$B$41*Inputs!$B$7-Inputs!$B$40*Inputs!$B$7-SUM($D$12:BD12))),0)</f>
        <v>0</v>
      </c>
      <c r="BF12" s="33" t="n">
        <f aca="false">IF(BF6=1,MAX(0,MIN(Inputs!$B$42*BF8,Inputs!$B$41*Inputs!$B$7-Inputs!$B$40*Inputs!$B$7-SUM($D$12:BE12))),0)</f>
        <v>0</v>
      </c>
      <c r="BG12" s="33" t="n">
        <f aca="false">IF(BG6=1,MAX(0,MIN(Inputs!$B$42*BG8,Inputs!$B$41*Inputs!$B$7-Inputs!$B$40*Inputs!$B$7-SUM($D$12:BF12))),0)</f>
        <v>0</v>
      </c>
      <c r="BH12" s="33" t="n">
        <f aca="false">IF(BH6=1,MAX(0,MIN(Inputs!$B$42*BH8,Inputs!$B$41*Inputs!$B$7-Inputs!$B$40*Inputs!$B$7-SUM($D$12:BG12))),0)</f>
        <v>0</v>
      </c>
      <c r="BI12" s="33" t="n">
        <f aca="false">IF(BI6=1,MAX(0,MIN(Inputs!$B$42*BI8,Inputs!$B$41*Inputs!$B$7-Inputs!$B$40*Inputs!$B$7-SUM($D$12:BH12))),0)</f>
        <v>0</v>
      </c>
      <c r="BJ12" s="33" t="n">
        <f aca="false">IF(BJ6=1,MAX(0,MIN(Inputs!$B$42*BJ8,Inputs!$B$41*Inputs!$B$7-Inputs!$B$40*Inputs!$B$7-SUM($D$12:BI12))),0)</f>
        <v>0</v>
      </c>
      <c r="BK12" s="33" t="n">
        <f aca="false">IF(BK6=1,MAX(0,MIN(Inputs!$B$42*BK8,Inputs!$B$41*Inputs!$B$7-Inputs!$B$40*Inputs!$B$7-SUM($D$12:BJ12))),0)</f>
        <v>0</v>
      </c>
    </row>
    <row r="13" customFormat="false" ht="15" hidden="false" customHeight="false" outlineLevel="0" collapsed="false">
      <c r="A13" s="2" t="s">
        <v>298</v>
      </c>
      <c r="B13" s="38" t="n">
        <f aca="false">SUM(D13:BK13)</f>
        <v>230</v>
      </c>
      <c r="D13" s="33" t="n">
        <f aca="false">D11+D12</f>
        <v>0</v>
      </c>
      <c r="E13" s="33" t="n">
        <f aca="false">E11+E12</f>
        <v>0</v>
      </c>
      <c r="F13" s="33" t="n">
        <f aca="false">F11+F12</f>
        <v>0</v>
      </c>
      <c r="G13" s="33" t="n">
        <f aca="false">G11+G12</f>
        <v>0</v>
      </c>
      <c r="H13" s="33" t="n">
        <f aca="false">H11+H12</f>
        <v>0</v>
      </c>
      <c r="I13" s="33" t="n">
        <f aca="false">I11+I12</f>
        <v>0</v>
      </c>
      <c r="J13" s="33" t="n">
        <f aca="false">J11+J12</f>
        <v>0</v>
      </c>
      <c r="K13" s="33" t="n">
        <f aca="false">K11+K12</f>
        <v>0</v>
      </c>
      <c r="L13" s="33" t="n">
        <f aca="false">L11+L12</f>
        <v>0</v>
      </c>
      <c r="M13" s="33" t="n">
        <f aca="false">M11+M12</f>
        <v>32.2111045913565</v>
      </c>
      <c r="N13" s="33" t="n">
        <f aca="false">N11+N12</f>
        <v>21.4492141670252</v>
      </c>
      <c r="O13" s="33" t="n">
        <f aca="false">O11+O12</f>
        <v>21.134924977599</v>
      </c>
      <c r="P13" s="33" t="n">
        <f aca="false">P11+P12</f>
        <v>18.3817516782257</v>
      </c>
      <c r="Q13" s="33" t="n">
        <f aca="false">Q11+Q12</f>
        <v>17.4781702586254</v>
      </c>
      <c r="R13" s="33" t="n">
        <f aca="false">R11+R12</f>
        <v>17.4781702586254</v>
      </c>
      <c r="S13" s="33" t="n">
        <f aca="false">S11+S12</f>
        <v>17.3644290009721</v>
      </c>
      <c r="T13" s="33" t="n">
        <f aca="false">T11+T12</f>
        <v>17.1277535268747</v>
      </c>
      <c r="U13" s="33" t="n">
        <f aca="false">U11+U12</f>
        <v>17.0751415165648</v>
      </c>
      <c r="V13" s="33" t="n">
        <f aca="false">V11+V12</f>
        <v>16.8670192153268</v>
      </c>
      <c r="W13" s="33" t="n">
        <f aca="false">W11+W12</f>
        <v>16.7161604044022</v>
      </c>
      <c r="X13" s="33" t="n">
        <f aca="false">X11+X12</f>
        <v>16.7161604044022</v>
      </c>
      <c r="Y13" s="33" t="n">
        <f aca="false">Y11+Y12</f>
        <v>0</v>
      </c>
      <c r="Z13" s="33" t="n">
        <f aca="false">Z11+Z12</f>
        <v>0</v>
      </c>
      <c r="AA13" s="33" t="n">
        <f aca="false">AA11+AA12</f>
        <v>0</v>
      </c>
      <c r="AB13" s="33" t="n">
        <f aca="false">AB11+AB12</f>
        <v>0</v>
      </c>
      <c r="AC13" s="33" t="n">
        <f aca="false">AC11+AC12</f>
        <v>0</v>
      </c>
      <c r="AD13" s="33" t="n">
        <f aca="false">AD11+AD12</f>
        <v>0</v>
      </c>
      <c r="AE13" s="33" t="n">
        <f aca="false">AE11+AE12</f>
        <v>0</v>
      </c>
      <c r="AF13" s="33" t="n">
        <f aca="false">AF11+AF12</f>
        <v>0</v>
      </c>
      <c r="AG13" s="33" t="n">
        <f aca="false">AG11+AG12</f>
        <v>0</v>
      </c>
      <c r="AH13" s="33" t="n">
        <f aca="false">AH11+AH12</f>
        <v>0</v>
      </c>
      <c r="AI13" s="33" t="n">
        <f aca="false">AI11+AI12</f>
        <v>0</v>
      </c>
      <c r="AJ13" s="33" t="n">
        <f aca="false">AJ11+AJ12</f>
        <v>0</v>
      </c>
      <c r="AK13" s="33" t="n">
        <f aca="false">AK11+AK12</f>
        <v>0</v>
      </c>
      <c r="AL13" s="33" t="n">
        <f aca="false">AL11+AL12</f>
        <v>0</v>
      </c>
      <c r="AM13" s="33" t="n">
        <f aca="false">AM11+AM12</f>
        <v>0</v>
      </c>
      <c r="AN13" s="33" t="n">
        <f aca="false">AN11+AN12</f>
        <v>0</v>
      </c>
      <c r="AO13" s="33" t="n">
        <f aca="false">AO11+AO12</f>
        <v>0</v>
      </c>
      <c r="AP13" s="33" t="n">
        <f aca="false">AP11+AP12</f>
        <v>0</v>
      </c>
      <c r="AQ13" s="33" t="n">
        <f aca="false">AQ11+AQ12</f>
        <v>0</v>
      </c>
      <c r="AR13" s="33" t="n">
        <f aca="false">AR11+AR12</f>
        <v>0</v>
      </c>
      <c r="AS13" s="33" t="n">
        <f aca="false">AS11+AS12</f>
        <v>0</v>
      </c>
      <c r="AT13" s="33" t="n">
        <f aca="false">AT11+AT12</f>
        <v>0</v>
      </c>
      <c r="AU13" s="33" t="n">
        <f aca="false">AU11+AU12</f>
        <v>0</v>
      </c>
      <c r="AV13" s="33" t="n">
        <f aca="false">AV11+AV12</f>
        <v>0</v>
      </c>
      <c r="AW13" s="33" t="n">
        <f aca="false">AW11+AW12</f>
        <v>0</v>
      </c>
      <c r="AX13" s="33" t="n">
        <f aca="false">AX11+AX12</f>
        <v>0</v>
      </c>
      <c r="AY13" s="33" t="n">
        <f aca="false">AY11+AY12</f>
        <v>0</v>
      </c>
      <c r="AZ13" s="33" t="n">
        <f aca="false">AZ11+AZ12</f>
        <v>0</v>
      </c>
      <c r="BA13" s="33" t="n">
        <f aca="false">BA11+BA12</f>
        <v>0</v>
      </c>
      <c r="BB13" s="33" t="n">
        <f aca="false">BB11+BB12</f>
        <v>0</v>
      </c>
      <c r="BC13" s="33" t="n">
        <f aca="false">BC11+BC12</f>
        <v>0</v>
      </c>
      <c r="BD13" s="33" t="n">
        <f aca="false">BD11+BD12</f>
        <v>0</v>
      </c>
      <c r="BE13" s="33" t="n">
        <f aca="false">BE11+BE12</f>
        <v>0</v>
      </c>
      <c r="BF13" s="33" t="n">
        <f aca="false">BF11+BF12</f>
        <v>0</v>
      </c>
      <c r="BG13" s="33" t="n">
        <f aca="false">BG11+BG12</f>
        <v>0</v>
      </c>
      <c r="BH13" s="33" t="n">
        <f aca="false">BH11+BH12</f>
        <v>0</v>
      </c>
      <c r="BI13" s="33" t="n">
        <f aca="false">BI11+BI12</f>
        <v>0</v>
      </c>
      <c r="BJ13" s="33" t="n">
        <f aca="false">BJ11+BJ12</f>
        <v>0</v>
      </c>
      <c r="BK13" s="33" t="n">
        <f aca="false">BK11+BK12</f>
        <v>0</v>
      </c>
    </row>
    <row r="14" customFormat="false" ht="15" hidden="false" customHeight="false" outlineLevel="0" collapsed="false">
      <c r="A14" s="3" t="s">
        <v>299</v>
      </c>
      <c r="D14" s="33" t="n">
        <f aca="false">-IF(Source_Data!D$6=Inputs!$B$12,Inputs!$B$7,0)+D9</f>
        <v>-100</v>
      </c>
      <c r="E14" s="33" t="n">
        <f aca="false">-IF(Source_Data!E$6=Inputs!$B$12,Inputs!$B$7,0)+E9</f>
        <v>0</v>
      </c>
      <c r="F14" s="33" t="n">
        <f aca="false">-IF(Source_Data!F$6=Inputs!$B$12,Inputs!$B$7,0)+F9</f>
        <v>0</v>
      </c>
      <c r="G14" s="33" t="n">
        <f aca="false">-IF(Source_Data!G$6=Inputs!$B$12,Inputs!$B$7,0)+G9</f>
        <v>0</v>
      </c>
      <c r="H14" s="33" t="n">
        <f aca="false">-IF(Source_Data!H$6=Inputs!$B$12,Inputs!$B$7,0)+H9</f>
        <v>0</v>
      </c>
      <c r="I14" s="33" t="n">
        <f aca="false">-IF(Source_Data!I$6=Inputs!$B$12,Inputs!$B$7,0)+I9</f>
        <v>0</v>
      </c>
      <c r="J14" s="33" t="n">
        <f aca="false">-IF(Source_Data!J$6=Inputs!$B$12,Inputs!$B$7,0)+J9</f>
        <v>0</v>
      </c>
      <c r="K14" s="33" t="n">
        <f aca="false">-IF(Source_Data!K$6=Inputs!$B$12,Inputs!$B$7,0)+K9</f>
        <v>0</v>
      </c>
      <c r="L14" s="33" t="n">
        <f aca="false">-IF(Source_Data!L$6=Inputs!$B$12,Inputs!$B$7,0)+L9</f>
        <v>0</v>
      </c>
      <c r="M14" s="33" t="n">
        <f aca="false">-IF(Source_Data!M$6=Inputs!$B$12,Inputs!$B$7,0)+M9</f>
        <v>19.1666666666667</v>
      </c>
      <c r="N14" s="33" t="n">
        <f aca="false">-IF(Source_Data!N$6=Inputs!$B$12,Inputs!$B$7,0)+N9</f>
        <v>19.1666666666667</v>
      </c>
      <c r="O14" s="33" t="n">
        <f aca="false">-IF(Source_Data!O$6=Inputs!$B$12,Inputs!$B$7,0)+O9</f>
        <v>19.1666666666667</v>
      </c>
      <c r="P14" s="33" t="n">
        <f aca="false">-IF(Source_Data!P$6=Inputs!$B$12,Inputs!$B$7,0)+P9</f>
        <v>19.1666666666667</v>
      </c>
      <c r="Q14" s="33" t="n">
        <f aca="false">-IF(Source_Data!Q$6=Inputs!$B$12,Inputs!$B$7,0)+Q9</f>
        <v>19.1666666666667</v>
      </c>
      <c r="R14" s="33" t="n">
        <f aca="false">-IF(Source_Data!R$6=Inputs!$B$12,Inputs!$B$7,0)+R9</f>
        <v>19.1666666666667</v>
      </c>
      <c r="S14" s="33" t="n">
        <f aca="false">-IF(Source_Data!S$6=Inputs!$B$12,Inputs!$B$7,0)+S9</f>
        <v>19.1666666666667</v>
      </c>
      <c r="T14" s="33" t="n">
        <f aca="false">-IF(Source_Data!T$6=Inputs!$B$12,Inputs!$B$7,0)+T9</f>
        <v>19.1666666666667</v>
      </c>
      <c r="U14" s="33" t="n">
        <f aca="false">-IF(Source_Data!U$6=Inputs!$B$12,Inputs!$B$7,0)+U9</f>
        <v>19.1666666666667</v>
      </c>
      <c r="V14" s="33" t="n">
        <f aca="false">-IF(Source_Data!V$6=Inputs!$B$12,Inputs!$B$7,0)+V9</f>
        <v>19.1666666666667</v>
      </c>
      <c r="W14" s="33" t="n">
        <f aca="false">-IF(Source_Data!W$6=Inputs!$B$12,Inputs!$B$7,0)+W9</f>
        <v>19.1666666666667</v>
      </c>
      <c r="X14" s="33" t="n">
        <f aca="false">-IF(Source_Data!X$6=Inputs!$B$12,Inputs!$B$7,0)+X9</f>
        <v>19.1666666666667</v>
      </c>
      <c r="Y14" s="33" t="n">
        <f aca="false">-IF(Source_Data!Y$6=Inputs!$B$12,Inputs!$B$7,0)+Y9</f>
        <v>0</v>
      </c>
      <c r="Z14" s="33" t="n">
        <f aca="false">-IF(Source_Data!Z$6=Inputs!$B$12,Inputs!$B$7,0)+Z9</f>
        <v>0</v>
      </c>
      <c r="AA14" s="33" t="n">
        <f aca="false">-IF(Source_Data!AA$6=Inputs!$B$12,Inputs!$B$7,0)+AA9</f>
        <v>0</v>
      </c>
      <c r="AB14" s="33" t="n">
        <f aca="false">-IF(Source_Data!AB$6=Inputs!$B$12,Inputs!$B$7,0)+AB9</f>
        <v>0</v>
      </c>
      <c r="AC14" s="33" t="n">
        <f aca="false">-IF(Source_Data!AC$6=Inputs!$B$12,Inputs!$B$7,0)+AC9</f>
        <v>0</v>
      </c>
      <c r="AD14" s="33" t="n">
        <f aca="false">-IF(Source_Data!AD$6=Inputs!$B$12,Inputs!$B$7,0)+AD9</f>
        <v>0</v>
      </c>
      <c r="AE14" s="33" t="n">
        <f aca="false">-IF(Source_Data!AE$6=Inputs!$B$12,Inputs!$B$7,0)+AE9</f>
        <v>0</v>
      </c>
      <c r="AF14" s="33" t="n">
        <f aca="false">-IF(Source_Data!AF$6=Inputs!$B$12,Inputs!$B$7,0)+AF9</f>
        <v>0</v>
      </c>
      <c r="AG14" s="33" t="n">
        <f aca="false">-IF(Source_Data!AG$6=Inputs!$B$12,Inputs!$B$7,0)+AG9</f>
        <v>0</v>
      </c>
      <c r="AH14" s="33" t="n">
        <f aca="false">-IF(Source_Data!AH$6=Inputs!$B$12,Inputs!$B$7,0)+AH9</f>
        <v>0</v>
      </c>
      <c r="AI14" s="33" t="n">
        <f aca="false">-IF(Source_Data!AI$6=Inputs!$B$12,Inputs!$B$7,0)+AI9</f>
        <v>0</v>
      </c>
      <c r="AJ14" s="33" t="n">
        <f aca="false">-IF(Source_Data!AJ$6=Inputs!$B$12,Inputs!$B$7,0)+AJ9</f>
        <v>0</v>
      </c>
      <c r="AK14" s="33" t="n">
        <f aca="false">-IF(Source_Data!AK$6=Inputs!$B$12,Inputs!$B$7,0)+AK9</f>
        <v>0</v>
      </c>
      <c r="AL14" s="33" t="n">
        <f aca="false">-IF(Source_Data!AL$6=Inputs!$B$12,Inputs!$B$7,0)+AL9</f>
        <v>0</v>
      </c>
      <c r="AM14" s="33" t="n">
        <f aca="false">-IF(Source_Data!AM$6=Inputs!$B$12,Inputs!$B$7,0)+AM9</f>
        <v>0</v>
      </c>
      <c r="AN14" s="33" t="n">
        <f aca="false">-IF(Source_Data!AN$6=Inputs!$B$12,Inputs!$B$7,0)+AN9</f>
        <v>0</v>
      </c>
      <c r="AO14" s="33" t="n">
        <f aca="false">-IF(Source_Data!AO$6=Inputs!$B$12,Inputs!$B$7,0)+AO9</f>
        <v>0</v>
      </c>
      <c r="AP14" s="33" t="n">
        <f aca="false">-IF(Source_Data!AP$6=Inputs!$B$12,Inputs!$B$7,0)+AP9</f>
        <v>0</v>
      </c>
      <c r="AQ14" s="33" t="n">
        <f aca="false">-IF(Source_Data!AQ$6=Inputs!$B$12,Inputs!$B$7,0)+AQ9</f>
        <v>0</v>
      </c>
      <c r="AR14" s="33" t="n">
        <f aca="false">-IF(Source_Data!AR$6=Inputs!$B$12,Inputs!$B$7,0)+AR9</f>
        <v>0</v>
      </c>
      <c r="AS14" s="33" t="n">
        <f aca="false">-IF(Source_Data!AS$6=Inputs!$B$12,Inputs!$B$7,0)+AS9</f>
        <v>0</v>
      </c>
      <c r="AT14" s="33" t="n">
        <f aca="false">-IF(Source_Data!AT$6=Inputs!$B$12,Inputs!$B$7,0)+AT9</f>
        <v>0</v>
      </c>
      <c r="AU14" s="33" t="n">
        <f aca="false">-IF(Source_Data!AU$6=Inputs!$B$12,Inputs!$B$7,0)+AU9</f>
        <v>0</v>
      </c>
      <c r="AV14" s="33" t="n">
        <f aca="false">-IF(Source_Data!AV$6=Inputs!$B$12,Inputs!$B$7,0)+AV9</f>
        <v>0</v>
      </c>
      <c r="AW14" s="33" t="n">
        <f aca="false">-IF(Source_Data!AW$6=Inputs!$B$12,Inputs!$B$7,0)+AW9</f>
        <v>0</v>
      </c>
      <c r="AX14" s="33" t="n">
        <f aca="false">-IF(Source_Data!AX$6=Inputs!$B$12,Inputs!$B$7,0)+AX9</f>
        <v>0</v>
      </c>
      <c r="AY14" s="33" t="n">
        <f aca="false">-IF(Source_Data!AY$6=Inputs!$B$12,Inputs!$B$7,0)+AY9</f>
        <v>0</v>
      </c>
      <c r="AZ14" s="33" t="n">
        <f aca="false">-IF(Source_Data!AZ$6=Inputs!$B$12,Inputs!$B$7,0)+AZ9</f>
        <v>0</v>
      </c>
      <c r="BA14" s="33" t="n">
        <f aca="false">-IF(Source_Data!BA$6=Inputs!$B$12,Inputs!$B$7,0)+BA9</f>
        <v>0</v>
      </c>
      <c r="BB14" s="33" t="n">
        <f aca="false">-IF(Source_Data!BB$6=Inputs!$B$12,Inputs!$B$7,0)+BB9</f>
        <v>0</v>
      </c>
      <c r="BC14" s="33" t="n">
        <f aca="false">-IF(Source_Data!BC$6=Inputs!$B$12,Inputs!$B$7,0)+BC9</f>
        <v>0</v>
      </c>
      <c r="BD14" s="33" t="n">
        <f aca="false">-IF(Source_Data!BD$6=Inputs!$B$12,Inputs!$B$7,0)+BD9</f>
        <v>0</v>
      </c>
      <c r="BE14" s="33" t="n">
        <f aca="false">-IF(Source_Data!BE$6=Inputs!$B$12,Inputs!$B$7,0)+BE9</f>
        <v>0</v>
      </c>
      <c r="BF14" s="33" t="n">
        <f aca="false">-IF(Source_Data!BF$6=Inputs!$B$12,Inputs!$B$7,0)+BF9</f>
        <v>0</v>
      </c>
      <c r="BG14" s="33" t="n">
        <f aca="false">-IF(Source_Data!BG$6=Inputs!$B$12,Inputs!$B$7,0)+BG9</f>
        <v>0</v>
      </c>
      <c r="BH14" s="33" t="n">
        <f aca="false">-IF(Source_Data!BH$6=Inputs!$B$12,Inputs!$B$7,0)+BH9</f>
        <v>0</v>
      </c>
      <c r="BI14" s="33" t="n">
        <f aca="false">-IF(Source_Data!BI$6=Inputs!$B$12,Inputs!$B$7,0)+BI9</f>
        <v>0</v>
      </c>
      <c r="BJ14" s="33" t="n">
        <f aca="false">-IF(Source_Data!BJ$6=Inputs!$B$12,Inputs!$B$7,0)+BJ9</f>
        <v>0</v>
      </c>
      <c r="BK14" s="33" t="n">
        <f aca="false">-IF(Source_Data!BK$6=Inputs!$B$12,Inputs!$B$7,0)+BK9</f>
        <v>0</v>
      </c>
    </row>
    <row r="15" customFormat="false" ht="15" hidden="false" customHeight="false" outlineLevel="0" collapsed="false">
      <c r="A15" s="3" t="s">
        <v>300</v>
      </c>
      <c r="D15" s="33" t="n">
        <f aca="false">-IF(Source_Data!D$6=Inputs!$B$12,Inputs!$B$7,0)+D10</f>
        <v>-100</v>
      </c>
      <c r="E15" s="33" t="n">
        <f aca="false">-IF(Source_Data!E$6=Inputs!$B$12,Inputs!$B$7,0)+E10</f>
        <v>0</v>
      </c>
      <c r="F15" s="33" t="n">
        <f aca="false">-IF(Source_Data!F$6=Inputs!$B$12,Inputs!$B$7,0)+F10</f>
        <v>0</v>
      </c>
      <c r="G15" s="33" t="n">
        <f aca="false">-IF(Source_Data!G$6=Inputs!$B$12,Inputs!$B$7,0)+G10</f>
        <v>0</v>
      </c>
      <c r="H15" s="33" t="n">
        <f aca="false">-IF(Source_Data!H$6=Inputs!$B$12,Inputs!$B$7,0)+H10</f>
        <v>0</v>
      </c>
      <c r="I15" s="33" t="n">
        <f aca="false">-IF(Source_Data!I$6=Inputs!$B$12,Inputs!$B$7,0)+I10</f>
        <v>0</v>
      </c>
      <c r="J15" s="33" t="n">
        <f aca="false">-IF(Source_Data!J$6=Inputs!$B$12,Inputs!$B$7,0)+J10</f>
        <v>0</v>
      </c>
      <c r="K15" s="33" t="n">
        <f aca="false">-IF(Source_Data!K$6=Inputs!$B$12,Inputs!$B$7,0)+K10</f>
        <v>0</v>
      </c>
      <c r="L15" s="33" t="n">
        <f aca="false">-IF(Source_Data!L$6=Inputs!$B$12,Inputs!$B$7,0)+L10</f>
        <v>0</v>
      </c>
      <c r="M15" s="33" t="n">
        <f aca="false">-IF(Source_Data!M$6=Inputs!$B$12,Inputs!$B$7,0)+M10</f>
        <v>28.75</v>
      </c>
      <c r="N15" s="33" t="n">
        <f aca="false">-IF(Source_Data!N$6=Inputs!$B$12,Inputs!$B$7,0)+N10</f>
        <v>28.75</v>
      </c>
      <c r="O15" s="33" t="n">
        <f aca="false">-IF(Source_Data!O$6=Inputs!$B$12,Inputs!$B$7,0)+O10</f>
        <v>28.75</v>
      </c>
      <c r="P15" s="33" t="n">
        <f aca="false">-IF(Source_Data!P$6=Inputs!$B$12,Inputs!$B$7,0)+P10</f>
        <v>24.0600180477747</v>
      </c>
      <c r="Q15" s="33" t="n">
        <f aca="false">-IF(Source_Data!Q$6=Inputs!$B$12,Inputs!$B$7,0)+Q10</f>
        <v>17.6313422218126</v>
      </c>
      <c r="R15" s="33" t="n">
        <f aca="false">-IF(Source_Data!R$6=Inputs!$B$12,Inputs!$B$7,0)+R10</f>
        <v>17.6313422218126</v>
      </c>
      <c r="S15" s="33" t="n">
        <f aca="false">-IF(Source_Data!S$6=Inputs!$B$12,Inputs!$B$7,0)+S10</f>
        <v>16.8221116891463</v>
      </c>
      <c r="T15" s="33" t="n">
        <f aca="false">-IF(Source_Data!T$6=Inputs!$B$12,Inputs!$B$7,0)+T10</f>
        <v>15.1382458349756</v>
      </c>
      <c r="U15" s="33" t="n">
        <f aca="false">-IF(Source_Data!U$6=Inputs!$B$12,Inputs!$B$7,0)+U10</f>
        <v>14.7639291973178</v>
      </c>
      <c r="V15" s="33" t="n">
        <f aca="false">-IF(Source_Data!V$6=Inputs!$B$12,Inputs!$B$7,0)+V10</f>
        <v>13.2832094992475</v>
      </c>
      <c r="W15" s="33" t="n">
        <f aca="false">-IF(Source_Data!W$6=Inputs!$B$12,Inputs!$B$7,0)+W10</f>
        <v>12.2099001439564</v>
      </c>
      <c r="X15" s="33" t="n">
        <f aca="false">-IF(Source_Data!X$6=Inputs!$B$12,Inputs!$B$7,0)+X10</f>
        <v>12.2099001439564</v>
      </c>
      <c r="Y15" s="33" t="n">
        <f aca="false">-IF(Source_Data!Y$6=Inputs!$B$12,Inputs!$B$7,0)+Y10</f>
        <v>1.00000005431866E-006</v>
      </c>
      <c r="Z15" s="33" t="n">
        <f aca="false">-IF(Source_Data!Z$6=Inputs!$B$12,Inputs!$B$7,0)+Z10</f>
        <v>0</v>
      </c>
      <c r="AA15" s="33" t="n">
        <f aca="false">-IF(Source_Data!AA$6=Inputs!$B$12,Inputs!$B$7,0)+AA10</f>
        <v>0</v>
      </c>
      <c r="AB15" s="33" t="n">
        <f aca="false">-IF(Source_Data!AB$6=Inputs!$B$12,Inputs!$B$7,0)+AB10</f>
        <v>0</v>
      </c>
      <c r="AC15" s="33" t="n">
        <f aca="false">-IF(Source_Data!AC$6=Inputs!$B$12,Inputs!$B$7,0)+AC10</f>
        <v>0</v>
      </c>
      <c r="AD15" s="33" t="n">
        <f aca="false">-IF(Source_Data!AD$6=Inputs!$B$12,Inputs!$B$7,0)+AD10</f>
        <v>0</v>
      </c>
      <c r="AE15" s="33" t="n">
        <f aca="false">-IF(Source_Data!AE$6=Inputs!$B$12,Inputs!$B$7,0)+AE10</f>
        <v>0</v>
      </c>
      <c r="AF15" s="33" t="n">
        <f aca="false">-IF(Source_Data!AF$6=Inputs!$B$12,Inputs!$B$7,0)+AF10</f>
        <v>0</v>
      </c>
      <c r="AG15" s="33" t="n">
        <f aca="false">-IF(Source_Data!AG$6=Inputs!$B$12,Inputs!$B$7,0)+AG10</f>
        <v>0</v>
      </c>
      <c r="AH15" s="33" t="n">
        <f aca="false">-IF(Source_Data!AH$6=Inputs!$B$12,Inputs!$B$7,0)+AH10</f>
        <v>0</v>
      </c>
      <c r="AI15" s="33" t="n">
        <f aca="false">-IF(Source_Data!AI$6=Inputs!$B$12,Inputs!$B$7,0)+AI10</f>
        <v>0</v>
      </c>
      <c r="AJ15" s="33" t="n">
        <f aca="false">-IF(Source_Data!AJ$6=Inputs!$B$12,Inputs!$B$7,0)+AJ10</f>
        <v>0</v>
      </c>
      <c r="AK15" s="33" t="n">
        <f aca="false">-IF(Source_Data!AK$6=Inputs!$B$12,Inputs!$B$7,0)+AK10</f>
        <v>0</v>
      </c>
      <c r="AL15" s="33" t="n">
        <f aca="false">-IF(Source_Data!AL$6=Inputs!$B$12,Inputs!$B$7,0)+AL10</f>
        <v>0</v>
      </c>
      <c r="AM15" s="33" t="n">
        <f aca="false">-IF(Source_Data!AM$6=Inputs!$B$12,Inputs!$B$7,0)+AM10</f>
        <v>0</v>
      </c>
      <c r="AN15" s="33" t="n">
        <f aca="false">-IF(Source_Data!AN$6=Inputs!$B$12,Inputs!$B$7,0)+AN10</f>
        <v>0</v>
      </c>
      <c r="AO15" s="33" t="n">
        <f aca="false">-IF(Source_Data!AO$6=Inputs!$B$12,Inputs!$B$7,0)+AO10</f>
        <v>0</v>
      </c>
      <c r="AP15" s="33" t="n">
        <f aca="false">-IF(Source_Data!AP$6=Inputs!$B$12,Inputs!$B$7,0)+AP10</f>
        <v>0</v>
      </c>
      <c r="AQ15" s="33" t="n">
        <f aca="false">-IF(Source_Data!AQ$6=Inputs!$B$12,Inputs!$B$7,0)+AQ10</f>
        <v>0</v>
      </c>
      <c r="AR15" s="33" t="n">
        <f aca="false">-IF(Source_Data!AR$6=Inputs!$B$12,Inputs!$B$7,0)+AR10</f>
        <v>0</v>
      </c>
      <c r="AS15" s="33" t="n">
        <f aca="false">-IF(Source_Data!AS$6=Inputs!$B$12,Inputs!$B$7,0)+AS10</f>
        <v>0</v>
      </c>
      <c r="AT15" s="33" t="n">
        <f aca="false">-IF(Source_Data!AT$6=Inputs!$B$12,Inputs!$B$7,0)+AT10</f>
        <v>0</v>
      </c>
      <c r="AU15" s="33" t="n">
        <f aca="false">-IF(Source_Data!AU$6=Inputs!$B$12,Inputs!$B$7,0)+AU10</f>
        <v>0</v>
      </c>
      <c r="AV15" s="33" t="n">
        <f aca="false">-IF(Source_Data!AV$6=Inputs!$B$12,Inputs!$B$7,0)+AV10</f>
        <v>0</v>
      </c>
      <c r="AW15" s="33" t="n">
        <f aca="false">-IF(Source_Data!AW$6=Inputs!$B$12,Inputs!$B$7,0)+AW10</f>
        <v>0</v>
      </c>
      <c r="AX15" s="33" t="n">
        <f aca="false">-IF(Source_Data!AX$6=Inputs!$B$12,Inputs!$B$7,0)+AX10</f>
        <v>0</v>
      </c>
      <c r="AY15" s="33" t="n">
        <f aca="false">-IF(Source_Data!AY$6=Inputs!$B$12,Inputs!$B$7,0)+AY10</f>
        <v>0</v>
      </c>
      <c r="AZ15" s="33" t="n">
        <f aca="false">-IF(Source_Data!AZ$6=Inputs!$B$12,Inputs!$B$7,0)+AZ10</f>
        <v>0</v>
      </c>
      <c r="BA15" s="33" t="n">
        <f aca="false">-IF(Source_Data!BA$6=Inputs!$B$12,Inputs!$B$7,0)+BA10</f>
        <v>0</v>
      </c>
      <c r="BB15" s="33" t="n">
        <f aca="false">-IF(Source_Data!BB$6=Inputs!$B$12,Inputs!$B$7,0)+BB10</f>
        <v>0</v>
      </c>
      <c r="BC15" s="33" t="n">
        <f aca="false">-IF(Source_Data!BC$6=Inputs!$B$12,Inputs!$B$7,0)+BC10</f>
        <v>0</v>
      </c>
      <c r="BD15" s="33" t="n">
        <f aca="false">-IF(Source_Data!BD$6=Inputs!$B$12,Inputs!$B$7,0)+BD10</f>
        <v>0</v>
      </c>
      <c r="BE15" s="33" t="n">
        <f aca="false">-IF(Source_Data!BE$6=Inputs!$B$12,Inputs!$B$7,0)+BE10</f>
        <v>0</v>
      </c>
      <c r="BF15" s="33" t="n">
        <f aca="false">-IF(Source_Data!BF$6=Inputs!$B$12,Inputs!$B$7,0)+BF10</f>
        <v>0</v>
      </c>
      <c r="BG15" s="33" t="n">
        <f aca="false">-IF(Source_Data!BG$6=Inputs!$B$12,Inputs!$B$7,0)+BG10</f>
        <v>0</v>
      </c>
      <c r="BH15" s="33" t="n">
        <f aca="false">-IF(Source_Data!BH$6=Inputs!$B$12,Inputs!$B$7,0)+BH10</f>
        <v>0</v>
      </c>
      <c r="BI15" s="33" t="n">
        <f aca="false">-IF(Source_Data!BI$6=Inputs!$B$12,Inputs!$B$7,0)+BI10</f>
        <v>0</v>
      </c>
      <c r="BJ15" s="33" t="n">
        <f aca="false">-IF(Source_Data!BJ$6=Inputs!$B$12,Inputs!$B$7,0)+BJ10</f>
        <v>0</v>
      </c>
      <c r="BK15" s="33" t="n">
        <f aca="false">-IF(Source_Data!BK$6=Inputs!$B$12,Inputs!$B$7,0)+BK10</f>
        <v>0</v>
      </c>
    </row>
    <row r="16" customFormat="false" ht="15" hidden="false" customHeight="false" outlineLevel="0" collapsed="false">
      <c r="A16" s="3" t="s">
        <v>301</v>
      </c>
      <c r="D16" s="33" t="n">
        <f aca="false">-IF(Source_Data!D$6=Inputs!$B$12,Inputs!$B$7,0)+D13</f>
        <v>-100</v>
      </c>
      <c r="E16" s="33" t="n">
        <f aca="false">-IF(Source_Data!E$6=Inputs!$B$12,Inputs!$B$7,0)+E13</f>
        <v>0</v>
      </c>
      <c r="F16" s="33" t="n">
        <f aca="false">-IF(Source_Data!F$6=Inputs!$B$12,Inputs!$B$7,0)+F13</f>
        <v>0</v>
      </c>
      <c r="G16" s="33" t="n">
        <f aca="false">-IF(Source_Data!G$6=Inputs!$B$12,Inputs!$B$7,0)+G13</f>
        <v>0</v>
      </c>
      <c r="H16" s="33" t="n">
        <f aca="false">-IF(Source_Data!H$6=Inputs!$B$12,Inputs!$B$7,0)+H13</f>
        <v>0</v>
      </c>
      <c r="I16" s="33" t="n">
        <f aca="false">-IF(Source_Data!I$6=Inputs!$B$12,Inputs!$B$7,0)+I13</f>
        <v>0</v>
      </c>
      <c r="J16" s="33" t="n">
        <f aca="false">-IF(Source_Data!J$6=Inputs!$B$12,Inputs!$B$7,0)+J13</f>
        <v>0</v>
      </c>
      <c r="K16" s="33" t="n">
        <f aca="false">-IF(Source_Data!K$6=Inputs!$B$12,Inputs!$B$7,0)+K13</f>
        <v>0</v>
      </c>
      <c r="L16" s="33" t="n">
        <f aca="false">-IF(Source_Data!L$6=Inputs!$B$12,Inputs!$B$7,0)+L13</f>
        <v>0</v>
      </c>
      <c r="M16" s="33" t="n">
        <f aca="false">-IF(Source_Data!M$6=Inputs!$B$12,Inputs!$B$7,0)+M13</f>
        <v>32.2111045913565</v>
      </c>
      <c r="N16" s="33" t="n">
        <f aca="false">-IF(Source_Data!N$6=Inputs!$B$12,Inputs!$B$7,0)+N13</f>
        <v>21.4492141670252</v>
      </c>
      <c r="O16" s="33" t="n">
        <f aca="false">-IF(Source_Data!O$6=Inputs!$B$12,Inputs!$B$7,0)+O13</f>
        <v>21.134924977599</v>
      </c>
      <c r="P16" s="33" t="n">
        <f aca="false">-IF(Source_Data!P$6=Inputs!$B$12,Inputs!$B$7,0)+P13</f>
        <v>18.3817516782257</v>
      </c>
      <c r="Q16" s="33" t="n">
        <f aca="false">-IF(Source_Data!Q$6=Inputs!$B$12,Inputs!$B$7,0)+Q13</f>
        <v>17.4781702586254</v>
      </c>
      <c r="R16" s="33" t="n">
        <f aca="false">-IF(Source_Data!R$6=Inputs!$B$12,Inputs!$B$7,0)+R13</f>
        <v>17.4781702586254</v>
      </c>
      <c r="S16" s="33" t="n">
        <f aca="false">-IF(Source_Data!S$6=Inputs!$B$12,Inputs!$B$7,0)+S13</f>
        <v>17.3644290009721</v>
      </c>
      <c r="T16" s="33" t="n">
        <f aca="false">-IF(Source_Data!T$6=Inputs!$B$12,Inputs!$B$7,0)+T13</f>
        <v>17.1277535268747</v>
      </c>
      <c r="U16" s="33" t="n">
        <f aca="false">-IF(Source_Data!U$6=Inputs!$B$12,Inputs!$B$7,0)+U13</f>
        <v>17.0751415165648</v>
      </c>
      <c r="V16" s="33" t="n">
        <f aca="false">-IF(Source_Data!V$6=Inputs!$B$12,Inputs!$B$7,0)+V13</f>
        <v>16.8670192153268</v>
      </c>
      <c r="W16" s="33" t="n">
        <f aca="false">-IF(Source_Data!W$6=Inputs!$B$12,Inputs!$B$7,0)+W13</f>
        <v>16.7161604044022</v>
      </c>
      <c r="X16" s="33" t="n">
        <f aca="false">-IF(Source_Data!X$6=Inputs!$B$12,Inputs!$B$7,0)+X13</f>
        <v>16.7161604044022</v>
      </c>
      <c r="Y16" s="33" t="n">
        <f aca="false">-IF(Source_Data!Y$6=Inputs!$B$12,Inputs!$B$7,0)+Y13</f>
        <v>0</v>
      </c>
      <c r="Z16" s="33" t="n">
        <f aca="false">-IF(Source_Data!Z$6=Inputs!$B$12,Inputs!$B$7,0)+Z13</f>
        <v>0</v>
      </c>
      <c r="AA16" s="33" t="n">
        <f aca="false">-IF(Source_Data!AA$6=Inputs!$B$12,Inputs!$B$7,0)+AA13</f>
        <v>0</v>
      </c>
      <c r="AB16" s="33" t="n">
        <f aca="false">-IF(Source_Data!AB$6=Inputs!$B$12,Inputs!$B$7,0)+AB13</f>
        <v>0</v>
      </c>
      <c r="AC16" s="33" t="n">
        <f aca="false">-IF(Source_Data!AC$6=Inputs!$B$12,Inputs!$B$7,0)+AC13</f>
        <v>0</v>
      </c>
      <c r="AD16" s="33" t="n">
        <f aca="false">-IF(Source_Data!AD$6=Inputs!$B$12,Inputs!$B$7,0)+AD13</f>
        <v>0</v>
      </c>
      <c r="AE16" s="33" t="n">
        <f aca="false">-IF(Source_Data!AE$6=Inputs!$B$12,Inputs!$B$7,0)+AE13</f>
        <v>0</v>
      </c>
      <c r="AF16" s="33" t="n">
        <f aca="false">-IF(Source_Data!AF$6=Inputs!$B$12,Inputs!$B$7,0)+AF13</f>
        <v>0</v>
      </c>
      <c r="AG16" s="33" t="n">
        <f aca="false">-IF(Source_Data!AG$6=Inputs!$B$12,Inputs!$B$7,0)+AG13</f>
        <v>0</v>
      </c>
      <c r="AH16" s="33" t="n">
        <f aca="false">-IF(Source_Data!AH$6=Inputs!$B$12,Inputs!$B$7,0)+AH13</f>
        <v>0</v>
      </c>
      <c r="AI16" s="33" t="n">
        <f aca="false">-IF(Source_Data!AI$6=Inputs!$B$12,Inputs!$B$7,0)+AI13</f>
        <v>0</v>
      </c>
      <c r="AJ16" s="33" t="n">
        <f aca="false">-IF(Source_Data!AJ$6=Inputs!$B$12,Inputs!$B$7,0)+AJ13</f>
        <v>0</v>
      </c>
      <c r="AK16" s="33" t="n">
        <f aca="false">-IF(Source_Data!AK$6=Inputs!$B$12,Inputs!$B$7,0)+AK13</f>
        <v>0</v>
      </c>
      <c r="AL16" s="33" t="n">
        <f aca="false">-IF(Source_Data!AL$6=Inputs!$B$12,Inputs!$B$7,0)+AL13</f>
        <v>0</v>
      </c>
      <c r="AM16" s="33" t="n">
        <f aca="false">-IF(Source_Data!AM$6=Inputs!$B$12,Inputs!$B$7,0)+AM13</f>
        <v>0</v>
      </c>
      <c r="AN16" s="33" t="n">
        <f aca="false">-IF(Source_Data!AN$6=Inputs!$B$12,Inputs!$B$7,0)+AN13</f>
        <v>0</v>
      </c>
      <c r="AO16" s="33" t="n">
        <f aca="false">-IF(Source_Data!AO$6=Inputs!$B$12,Inputs!$B$7,0)+AO13</f>
        <v>0</v>
      </c>
      <c r="AP16" s="33" t="n">
        <f aca="false">-IF(Source_Data!AP$6=Inputs!$B$12,Inputs!$B$7,0)+AP13</f>
        <v>0</v>
      </c>
      <c r="AQ16" s="33" t="n">
        <f aca="false">-IF(Source_Data!AQ$6=Inputs!$B$12,Inputs!$B$7,0)+AQ13</f>
        <v>0</v>
      </c>
      <c r="AR16" s="33" t="n">
        <f aca="false">-IF(Source_Data!AR$6=Inputs!$B$12,Inputs!$B$7,0)+AR13</f>
        <v>0</v>
      </c>
      <c r="AS16" s="33" t="n">
        <f aca="false">-IF(Source_Data!AS$6=Inputs!$B$12,Inputs!$B$7,0)+AS13</f>
        <v>0</v>
      </c>
      <c r="AT16" s="33" t="n">
        <f aca="false">-IF(Source_Data!AT$6=Inputs!$B$12,Inputs!$B$7,0)+AT13</f>
        <v>0</v>
      </c>
      <c r="AU16" s="33" t="n">
        <f aca="false">-IF(Source_Data!AU$6=Inputs!$B$12,Inputs!$B$7,0)+AU13</f>
        <v>0</v>
      </c>
      <c r="AV16" s="33" t="n">
        <f aca="false">-IF(Source_Data!AV$6=Inputs!$B$12,Inputs!$B$7,0)+AV13</f>
        <v>0</v>
      </c>
      <c r="AW16" s="33" t="n">
        <f aca="false">-IF(Source_Data!AW$6=Inputs!$B$12,Inputs!$B$7,0)+AW13</f>
        <v>0</v>
      </c>
      <c r="AX16" s="33" t="n">
        <f aca="false">-IF(Source_Data!AX$6=Inputs!$B$12,Inputs!$B$7,0)+AX13</f>
        <v>0</v>
      </c>
      <c r="AY16" s="33" t="n">
        <f aca="false">-IF(Source_Data!AY$6=Inputs!$B$12,Inputs!$B$7,0)+AY13</f>
        <v>0</v>
      </c>
      <c r="AZ16" s="33" t="n">
        <f aca="false">-IF(Source_Data!AZ$6=Inputs!$B$12,Inputs!$B$7,0)+AZ13</f>
        <v>0</v>
      </c>
      <c r="BA16" s="33" t="n">
        <f aca="false">-IF(Source_Data!BA$6=Inputs!$B$12,Inputs!$B$7,0)+BA13</f>
        <v>0</v>
      </c>
      <c r="BB16" s="33" t="n">
        <f aca="false">-IF(Source_Data!BB$6=Inputs!$B$12,Inputs!$B$7,0)+BB13</f>
        <v>0</v>
      </c>
      <c r="BC16" s="33" t="n">
        <f aca="false">-IF(Source_Data!BC$6=Inputs!$B$12,Inputs!$B$7,0)+BC13</f>
        <v>0</v>
      </c>
      <c r="BD16" s="33" t="n">
        <f aca="false">-IF(Source_Data!BD$6=Inputs!$B$12,Inputs!$B$7,0)+BD13</f>
        <v>0</v>
      </c>
      <c r="BE16" s="33" t="n">
        <f aca="false">-IF(Source_Data!BE$6=Inputs!$B$12,Inputs!$B$7,0)+BE13</f>
        <v>0</v>
      </c>
      <c r="BF16" s="33" t="n">
        <f aca="false">-IF(Source_Data!BF$6=Inputs!$B$12,Inputs!$B$7,0)+BF13</f>
        <v>0</v>
      </c>
      <c r="BG16" s="33" t="n">
        <f aca="false">-IF(Source_Data!BG$6=Inputs!$B$12,Inputs!$B$7,0)+BG13</f>
        <v>0</v>
      </c>
      <c r="BH16" s="33" t="n">
        <f aca="false">-IF(Source_Data!BH$6=Inputs!$B$12,Inputs!$B$7,0)+BH13</f>
        <v>0</v>
      </c>
      <c r="BI16" s="33" t="n">
        <f aca="false">-IF(Source_Data!BI$6=Inputs!$B$12,Inputs!$B$7,0)+BI13</f>
        <v>0</v>
      </c>
      <c r="BJ16" s="33" t="n">
        <f aca="false">-IF(Source_Data!BJ$6=Inputs!$B$12,Inputs!$B$7,0)+BJ13</f>
        <v>0</v>
      </c>
      <c r="BK16" s="33" t="n">
        <f aca="false">-IF(Source_Data!BK$6=Inputs!$B$12,Inputs!$B$7,0)+BK13</f>
        <v>0</v>
      </c>
    </row>
    <row r="17" customFormat="false" ht="15" hidden="false" customHeight="false" outlineLevel="0" collapsed="false">
      <c r="A17" s="3" t="s">
        <v>302</v>
      </c>
      <c r="D17" s="33" t="n">
        <f aca="false">IF(Source_Data!D$6=Inputs!$B$12,Inputs!$B$7,0)-D9</f>
        <v>100</v>
      </c>
      <c r="E17" s="33" t="n">
        <f aca="false">IF(Source_Data!E$6=Inputs!$B$12,Inputs!$B$7,0)-E9</f>
        <v>0</v>
      </c>
      <c r="F17" s="33" t="n">
        <f aca="false">IF(Source_Data!F$6=Inputs!$B$12,Inputs!$B$7,0)-F9</f>
        <v>0</v>
      </c>
      <c r="G17" s="33" t="n">
        <f aca="false">IF(Source_Data!G$6=Inputs!$B$12,Inputs!$B$7,0)-G9</f>
        <v>0</v>
      </c>
      <c r="H17" s="33" t="n">
        <f aca="false">IF(Source_Data!H$6=Inputs!$B$12,Inputs!$B$7,0)-H9</f>
        <v>0</v>
      </c>
      <c r="I17" s="33" t="n">
        <f aca="false">IF(Source_Data!I$6=Inputs!$B$12,Inputs!$B$7,0)-I9</f>
        <v>0</v>
      </c>
      <c r="J17" s="33" t="n">
        <f aca="false">IF(Source_Data!J$6=Inputs!$B$12,Inputs!$B$7,0)-J9</f>
        <v>0</v>
      </c>
      <c r="K17" s="33" t="n">
        <f aca="false">IF(Source_Data!K$6=Inputs!$B$12,Inputs!$B$7,0)-K9</f>
        <v>0</v>
      </c>
      <c r="L17" s="33" t="n">
        <f aca="false">IF(Source_Data!L$6=Inputs!$B$12,Inputs!$B$7,0)-L9</f>
        <v>0</v>
      </c>
      <c r="M17" s="33" t="n">
        <f aca="false">IF(Source_Data!M$6=Inputs!$B$12,Inputs!$B$7,0)-M9</f>
        <v>-19.1666666666667</v>
      </c>
      <c r="N17" s="33" t="n">
        <f aca="false">IF(Source_Data!N$6=Inputs!$B$12,Inputs!$B$7,0)-N9</f>
        <v>-19.1666666666667</v>
      </c>
      <c r="O17" s="33" t="n">
        <f aca="false">IF(Source_Data!O$6=Inputs!$B$12,Inputs!$B$7,0)-O9</f>
        <v>-19.1666666666667</v>
      </c>
      <c r="P17" s="33" t="n">
        <f aca="false">IF(Source_Data!P$6=Inputs!$B$12,Inputs!$B$7,0)-P9</f>
        <v>-19.1666666666667</v>
      </c>
      <c r="Q17" s="33" t="n">
        <f aca="false">IF(Source_Data!Q$6=Inputs!$B$12,Inputs!$B$7,0)-Q9</f>
        <v>-19.1666666666667</v>
      </c>
      <c r="R17" s="33" t="n">
        <f aca="false">IF(Source_Data!R$6=Inputs!$B$12,Inputs!$B$7,0)-R9</f>
        <v>-19.1666666666667</v>
      </c>
      <c r="S17" s="33" t="n">
        <f aca="false">IF(Source_Data!S$6=Inputs!$B$12,Inputs!$B$7,0)-S9</f>
        <v>-19.1666666666667</v>
      </c>
      <c r="T17" s="33" t="n">
        <f aca="false">IF(Source_Data!T$6=Inputs!$B$12,Inputs!$B$7,0)-T9</f>
        <v>-19.1666666666667</v>
      </c>
      <c r="U17" s="33" t="n">
        <f aca="false">IF(Source_Data!U$6=Inputs!$B$12,Inputs!$B$7,0)-U9</f>
        <v>-19.1666666666667</v>
      </c>
      <c r="V17" s="33" t="n">
        <f aca="false">IF(Source_Data!V$6=Inputs!$B$12,Inputs!$B$7,0)-V9</f>
        <v>-19.1666666666667</v>
      </c>
      <c r="W17" s="33" t="n">
        <f aca="false">IF(Source_Data!W$6=Inputs!$B$12,Inputs!$B$7,0)-W9</f>
        <v>-19.1666666666667</v>
      </c>
      <c r="X17" s="33" t="n">
        <f aca="false">IF(Source_Data!X$6=Inputs!$B$12,Inputs!$B$7,0)-X9</f>
        <v>-19.1666666666667</v>
      </c>
      <c r="Y17" s="33" t="n">
        <f aca="false">IF(Source_Data!Y$6=Inputs!$B$12,Inputs!$B$7,0)-Y9</f>
        <v>0</v>
      </c>
      <c r="Z17" s="33" t="n">
        <f aca="false">IF(Source_Data!Z$6=Inputs!$B$12,Inputs!$B$7,0)-Z9</f>
        <v>0</v>
      </c>
      <c r="AA17" s="33" t="n">
        <f aca="false">IF(Source_Data!AA$6=Inputs!$B$12,Inputs!$B$7,0)-AA9</f>
        <v>0</v>
      </c>
      <c r="AB17" s="33" t="n">
        <f aca="false">IF(Source_Data!AB$6=Inputs!$B$12,Inputs!$B$7,0)-AB9</f>
        <v>0</v>
      </c>
      <c r="AC17" s="33" t="n">
        <f aca="false">IF(Source_Data!AC$6=Inputs!$B$12,Inputs!$B$7,0)-AC9</f>
        <v>0</v>
      </c>
      <c r="AD17" s="33" t="n">
        <f aca="false">IF(Source_Data!AD$6=Inputs!$B$12,Inputs!$B$7,0)-AD9</f>
        <v>0</v>
      </c>
      <c r="AE17" s="33" t="n">
        <f aca="false">IF(Source_Data!AE$6=Inputs!$B$12,Inputs!$B$7,0)-AE9</f>
        <v>0</v>
      </c>
      <c r="AF17" s="33" t="n">
        <f aca="false">IF(Source_Data!AF$6=Inputs!$B$12,Inputs!$B$7,0)-AF9</f>
        <v>0</v>
      </c>
      <c r="AG17" s="33" t="n">
        <f aca="false">IF(Source_Data!AG$6=Inputs!$B$12,Inputs!$B$7,0)-AG9</f>
        <v>0</v>
      </c>
      <c r="AH17" s="33" t="n">
        <f aca="false">IF(Source_Data!AH$6=Inputs!$B$12,Inputs!$B$7,0)-AH9</f>
        <v>0</v>
      </c>
      <c r="AI17" s="33" t="n">
        <f aca="false">IF(Source_Data!AI$6=Inputs!$B$12,Inputs!$B$7,0)-AI9</f>
        <v>0</v>
      </c>
      <c r="AJ17" s="33" t="n">
        <f aca="false">IF(Source_Data!AJ$6=Inputs!$B$12,Inputs!$B$7,0)-AJ9</f>
        <v>0</v>
      </c>
      <c r="AK17" s="33" t="n">
        <f aca="false">IF(Source_Data!AK$6=Inputs!$B$12,Inputs!$B$7,0)-AK9</f>
        <v>0</v>
      </c>
      <c r="AL17" s="33" t="n">
        <f aca="false">IF(Source_Data!AL$6=Inputs!$B$12,Inputs!$B$7,0)-AL9</f>
        <v>0</v>
      </c>
      <c r="AM17" s="33" t="n">
        <f aca="false">IF(Source_Data!AM$6=Inputs!$B$12,Inputs!$B$7,0)-AM9</f>
        <v>0</v>
      </c>
      <c r="AN17" s="33" t="n">
        <f aca="false">IF(Source_Data!AN$6=Inputs!$B$12,Inputs!$B$7,0)-AN9</f>
        <v>0</v>
      </c>
      <c r="AO17" s="33" t="n">
        <f aca="false">IF(Source_Data!AO$6=Inputs!$B$12,Inputs!$B$7,0)-AO9</f>
        <v>0</v>
      </c>
      <c r="AP17" s="33" t="n">
        <f aca="false">IF(Source_Data!AP$6=Inputs!$B$12,Inputs!$B$7,0)-AP9</f>
        <v>0</v>
      </c>
      <c r="AQ17" s="33" t="n">
        <f aca="false">IF(Source_Data!AQ$6=Inputs!$B$12,Inputs!$B$7,0)-AQ9</f>
        <v>0</v>
      </c>
      <c r="AR17" s="33" t="n">
        <f aca="false">IF(Source_Data!AR$6=Inputs!$B$12,Inputs!$B$7,0)-AR9</f>
        <v>0</v>
      </c>
      <c r="AS17" s="33" t="n">
        <f aca="false">IF(Source_Data!AS$6=Inputs!$B$12,Inputs!$B$7,0)-AS9</f>
        <v>0</v>
      </c>
      <c r="AT17" s="33" t="n">
        <f aca="false">IF(Source_Data!AT$6=Inputs!$B$12,Inputs!$B$7,0)-AT9</f>
        <v>0</v>
      </c>
      <c r="AU17" s="33" t="n">
        <f aca="false">IF(Source_Data!AU$6=Inputs!$B$12,Inputs!$B$7,0)-AU9</f>
        <v>0</v>
      </c>
      <c r="AV17" s="33" t="n">
        <f aca="false">IF(Source_Data!AV$6=Inputs!$B$12,Inputs!$B$7,0)-AV9</f>
        <v>0</v>
      </c>
      <c r="AW17" s="33" t="n">
        <f aca="false">IF(Source_Data!AW$6=Inputs!$B$12,Inputs!$B$7,0)-AW9</f>
        <v>0</v>
      </c>
      <c r="AX17" s="33" t="n">
        <f aca="false">IF(Source_Data!AX$6=Inputs!$B$12,Inputs!$B$7,0)-AX9</f>
        <v>0</v>
      </c>
      <c r="AY17" s="33" t="n">
        <f aca="false">IF(Source_Data!AY$6=Inputs!$B$12,Inputs!$B$7,0)-AY9</f>
        <v>0</v>
      </c>
      <c r="AZ17" s="33" t="n">
        <f aca="false">IF(Source_Data!AZ$6=Inputs!$B$12,Inputs!$B$7,0)-AZ9</f>
        <v>0</v>
      </c>
      <c r="BA17" s="33" t="n">
        <f aca="false">IF(Source_Data!BA$6=Inputs!$B$12,Inputs!$B$7,0)-BA9</f>
        <v>0</v>
      </c>
      <c r="BB17" s="33" t="n">
        <f aca="false">IF(Source_Data!BB$6=Inputs!$B$12,Inputs!$B$7,0)-BB9</f>
        <v>0</v>
      </c>
      <c r="BC17" s="33" t="n">
        <f aca="false">IF(Source_Data!BC$6=Inputs!$B$12,Inputs!$B$7,0)-BC9</f>
        <v>0</v>
      </c>
      <c r="BD17" s="33" t="n">
        <f aca="false">IF(Source_Data!BD$6=Inputs!$B$12,Inputs!$B$7,0)-BD9</f>
        <v>0</v>
      </c>
      <c r="BE17" s="33" t="n">
        <f aca="false">IF(Source_Data!BE$6=Inputs!$B$12,Inputs!$B$7,0)-BE9</f>
        <v>0</v>
      </c>
      <c r="BF17" s="33" t="n">
        <f aca="false">IF(Source_Data!BF$6=Inputs!$B$12,Inputs!$B$7,0)-BF9</f>
        <v>0</v>
      </c>
      <c r="BG17" s="33" t="n">
        <f aca="false">IF(Source_Data!BG$6=Inputs!$B$12,Inputs!$B$7,0)-BG9</f>
        <v>0</v>
      </c>
      <c r="BH17" s="33" t="n">
        <f aca="false">IF(Source_Data!BH$6=Inputs!$B$12,Inputs!$B$7,0)-BH9</f>
        <v>0</v>
      </c>
      <c r="BI17" s="33" t="n">
        <f aca="false">IF(Source_Data!BI$6=Inputs!$B$12,Inputs!$B$7,0)-BI9</f>
        <v>0</v>
      </c>
      <c r="BJ17" s="33" t="n">
        <f aca="false">IF(Source_Data!BJ$6=Inputs!$B$12,Inputs!$B$7,0)-BJ9</f>
        <v>0</v>
      </c>
      <c r="BK17" s="33" t="n">
        <f aca="false">IF(Source_Data!BK$6=Inputs!$B$12,Inputs!$B$7,0)-BK9</f>
        <v>0</v>
      </c>
    </row>
    <row r="18" customFormat="false" ht="15" hidden="false" customHeight="false" outlineLevel="0" collapsed="false">
      <c r="A18" s="3" t="s">
        <v>303</v>
      </c>
      <c r="D18" s="33" t="n">
        <f aca="false">IF(Source_Data!D$6=Inputs!$B$12,Inputs!$B$7,0)-D10</f>
        <v>100</v>
      </c>
      <c r="E18" s="33" t="n">
        <f aca="false">IF(Source_Data!E$6=Inputs!$B$12,Inputs!$B$7,0)-E10</f>
        <v>0</v>
      </c>
      <c r="F18" s="33" t="n">
        <f aca="false">IF(Source_Data!F$6=Inputs!$B$12,Inputs!$B$7,0)-F10</f>
        <v>0</v>
      </c>
      <c r="G18" s="33" t="n">
        <f aca="false">IF(Source_Data!G$6=Inputs!$B$12,Inputs!$B$7,0)-G10</f>
        <v>0</v>
      </c>
      <c r="H18" s="33" t="n">
        <f aca="false">IF(Source_Data!H$6=Inputs!$B$12,Inputs!$B$7,0)-H10</f>
        <v>0</v>
      </c>
      <c r="I18" s="33" t="n">
        <f aca="false">IF(Source_Data!I$6=Inputs!$B$12,Inputs!$B$7,0)-I10</f>
        <v>0</v>
      </c>
      <c r="J18" s="33" t="n">
        <f aca="false">IF(Source_Data!J$6=Inputs!$B$12,Inputs!$B$7,0)-J10</f>
        <v>0</v>
      </c>
      <c r="K18" s="33" t="n">
        <f aca="false">IF(Source_Data!K$6=Inputs!$B$12,Inputs!$B$7,0)-K10</f>
        <v>0</v>
      </c>
      <c r="L18" s="33" t="n">
        <f aca="false">IF(Source_Data!L$6=Inputs!$B$12,Inputs!$B$7,0)-L10</f>
        <v>0</v>
      </c>
      <c r="M18" s="33" t="n">
        <f aca="false">IF(Source_Data!M$6=Inputs!$B$12,Inputs!$B$7,0)-M10</f>
        <v>-28.75</v>
      </c>
      <c r="N18" s="33" t="n">
        <f aca="false">IF(Source_Data!N$6=Inputs!$B$12,Inputs!$B$7,0)-N10</f>
        <v>-28.75</v>
      </c>
      <c r="O18" s="33" t="n">
        <f aca="false">IF(Source_Data!O$6=Inputs!$B$12,Inputs!$B$7,0)-O10</f>
        <v>-28.75</v>
      </c>
      <c r="P18" s="33" t="n">
        <f aca="false">IF(Source_Data!P$6=Inputs!$B$12,Inputs!$B$7,0)-P10</f>
        <v>-24.0600180477747</v>
      </c>
      <c r="Q18" s="33" t="n">
        <f aca="false">IF(Source_Data!Q$6=Inputs!$B$12,Inputs!$B$7,0)-Q10</f>
        <v>-17.6313422218126</v>
      </c>
      <c r="R18" s="33" t="n">
        <f aca="false">IF(Source_Data!R$6=Inputs!$B$12,Inputs!$B$7,0)-R10</f>
        <v>-17.6313422218126</v>
      </c>
      <c r="S18" s="33" t="n">
        <f aca="false">IF(Source_Data!S$6=Inputs!$B$12,Inputs!$B$7,0)-S10</f>
        <v>-16.8221116891463</v>
      </c>
      <c r="T18" s="33" t="n">
        <f aca="false">IF(Source_Data!T$6=Inputs!$B$12,Inputs!$B$7,0)-T10</f>
        <v>-15.1382458349756</v>
      </c>
      <c r="U18" s="33" t="n">
        <f aca="false">IF(Source_Data!U$6=Inputs!$B$12,Inputs!$B$7,0)-U10</f>
        <v>-14.7639291973178</v>
      </c>
      <c r="V18" s="33" t="n">
        <f aca="false">IF(Source_Data!V$6=Inputs!$B$12,Inputs!$B$7,0)-V10</f>
        <v>-13.2832094992475</v>
      </c>
      <c r="W18" s="33" t="n">
        <f aca="false">IF(Source_Data!W$6=Inputs!$B$12,Inputs!$B$7,0)-W10</f>
        <v>-12.2099001439564</v>
      </c>
      <c r="X18" s="33" t="n">
        <f aca="false">IF(Source_Data!X$6=Inputs!$B$12,Inputs!$B$7,0)-X10</f>
        <v>-12.2099001439564</v>
      </c>
      <c r="Y18" s="33" t="n">
        <f aca="false">IF(Source_Data!Y$6=Inputs!$B$12,Inputs!$B$7,0)-Y10</f>
        <v>-1.00000005431866E-006</v>
      </c>
      <c r="Z18" s="33" t="n">
        <f aca="false">IF(Source_Data!Z$6=Inputs!$B$12,Inputs!$B$7,0)-Z10</f>
        <v>0</v>
      </c>
      <c r="AA18" s="33" t="n">
        <f aca="false">IF(Source_Data!AA$6=Inputs!$B$12,Inputs!$B$7,0)-AA10</f>
        <v>0</v>
      </c>
      <c r="AB18" s="33" t="n">
        <f aca="false">IF(Source_Data!AB$6=Inputs!$B$12,Inputs!$B$7,0)-AB10</f>
        <v>0</v>
      </c>
      <c r="AC18" s="33" t="n">
        <f aca="false">IF(Source_Data!AC$6=Inputs!$B$12,Inputs!$B$7,0)-AC10</f>
        <v>0</v>
      </c>
      <c r="AD18" s="33" t="n">
        <f aca="false">IF(Source_Data!AD$6=Inputs!$B$12,Inputs!$B$7,0)-AD10</f>
        <v>0</v>
      </c>
      <c r="AE18" s="33" t="n">
        <f aca="false">IF(Source_Data!AE$6=Inputs!$B$12,Inputs!$B$7,0)-AE10</f>
        <v>0</v>
      </c>
      <c r="AF18" s="33" t="n">
        <f aca="false">IF(Source_Data!AF$6=Inputs!$B$12,Inputs!$B$7,0)-AF10</f>
        <v>0</v>
      </c>
      <c r="AG18" s="33" t="n">
        <f aca="false">IF(Source_Data!AG$6=Inputs!$B$12,Inputs!$B$7,0)-AG10</f>
        <v>0</v>
      </c>
      <c r="AH18" s="33" t="n">
        <f aca="false">IF(Source_Data!AH$6=Inputs!$B$12,Inputs!$B$7,0)-AH10</f>
        <v>0</v>
      </c>
      <c r="AI18" s="33" t="n">
        <f aca="false">IF(Source_Data!AI$6=Inputs!$B$12,Inputs!$B$7,0)-AI10</f>
        <v>0</v>
      </c>
      <c r="AJ18" s="33" t="n">
        <f aca="false">IF(Source_Data!AJ$6=Inputs!$B$12,Inputs!$B$7,0)-AJ10</f>
        <v>0</v>
      </c>
      <c r="AK18" s="33" t="n">
        <f aca="false">IF(Source_Data!AK$6=Inputs!$B$12,Inputs!$B$7,0)-AK10</f>
        <v>0</v>
      </c>
      <c r="AL18" s="33" t="n">
        <f aca="false">IF(Source_Data!AL$6=Inputs!$B$12,Inputs!$B$7,0)-AL10</f>
        <v>0</v>
      </c>
      <c r="AM18" s="33" t="n">
        <f aca="false">IF(Source_Data!AM$6=Inputs!$B$12,Inputs!$B$7,0)-AM10</f>
        <v>0</v>
      </c>
      <c r="AN18" s="33" t="n">
        <f aca="false">IF(Source_Data!AN$6=Inputs!$B$12,Inputs!$B$7,0)-AN10</f>
        <v>0</v>
      </c>
      <c r="AO18" s="33" t="n">
        <f aca="false">IF(Source_Data!AO$6=Inputs!$B$12,Inputs!$B$7,0)-AO10</f>
        <v>0</v>
      </c>
      <c r="AP18" s="33" t="n">
        <f aca="false">IF(Source_Data!AP$6=Inputs!$B$12,Inputs!$B$7,0)-AP10</f>
        <v>0</v>
      </c>
      <c r="AQ18" s="33" t="n">
        <f aca="false">IF(Source_Data!AQ$6=Inputs!$B$12,Inputs!$B$7,0)-AQ10</f>
        <v>0</v>
      </c>
      <c r="AR18" s="33" t="n">
        <f aca="false">IF(Source_Data!AR$6=Inputs!$B$12,Inputs!$B$7,0)-AR10</f>
        <v>0</v>
      </c>
      <c r="AS18" s="33" t="n">
        <f aca="false">IF(Source_Data!AS$6=Inputs!$B$12,Inputs!$B$7,0)-AS10</f>
        <v>0</v>
      </c>
      <c r="AT18" s="33" t="n">
        <f aca="false">IF(Source_Data!AT$6=Inputs!$B$12,Inputs!$B$7,0)-AT10</f>
        <v>0</v>
      </c>
      <c r="AU18" s="33" t="n">
        <f aca="false">IF(Source_Data!AU$6=Inputs!$B$12,Inputs!$B$7,0)-AU10</f>
        <v>0</v>
      </c>
      <c r="AV18" s="33" t="n">
        <f aca="false">IF(Source_Data!AV$6=Inputs!$B$12,Inputs!$B$7,0)-AV10</f>
        <v>0</v>
      </c>
      <c r="AW18" s="33" t="n">
        <f aca="false">IF(Source_Data!AW$6=Inputs!$B$12,Inputs!$B$7,0)-AW10</f>
        <v>0</v>
      </c>
      <c r="AX18" s="33" t="n">
        <f aca="false">IF(Source_Data!AX$6=Inputs!$B$12,Inputs!$B$7,0)-AX10</f>
        <v>0</v>
      </c>
      <c r="AY18" s="33" t="n">
        <f aca="false">IF(Source_Data!AY$6=Inputs!$B$12,Inputs!$B$7,0)-AY10</f>
        <v>0</v>
      </c>
      <c r="AZ18" s="33" t="n">
        <f aca="false">IF(Source_Data!AZ$6=Inputs!$B$12,Inputs!$B$7,0)-AZ10</f>
        <v>0</v>
      </c>
      <c r="BA18" s="33" t="n">
        <f aca="false">IF(Source_Data!BA$6=Inputs!$B$12,Inputs!$B$7,0)-BA10</f>
        <v>0</v>
      </c>
      <c r="BB18" s="33" t="n">
        <f aca="false">IF(Source_Data!BB$6=Inputs!$B$12,Inputs!$B$7,0)-BB10</f>
        <v>0</v>
      </c>
      <c r="BC18" s="33" t="n">
        <f aca="false">IF(Source_Data!BC$6=Inputs!$B$12,Inputs!$B$7,0)-BC10</f>
        <v>0</v>
      </c>
      <c r="BD18" s="33" t="n">
        <f aca="false">IF(Source_Data!BD$6=Inputs!$B$12,Inputs!$B$7,0)-BD10</f>
        <v>0</v>
      </c>
      <c r="BE18" s="33" t="n">
        <f aca="false">IF(Source_Data!BE$6=Inputs!$B$12,Inputs!$B$7,0)-BE10</f>
        <v>0</v>
      </c>
      <c r="BF18" s="33" t="n">
        <f aca="false">IF(Source_Data!BF$6=Inputs!$B$12,Inputs!$B$7,0)-BF10</f>
        <v>0</v>
      </c>
      <c r="BG18" s="33" t="n">
        <f aca="false">IF(Source_Data!BG$6=Inputs!$B$12,Inputs!$B$7,0)-BG10</f>
        <v>0</v>
      </c>
      <c r="BH18" s="33" t="n">
        <f aca="false">IF(Source_Data!BH$6=Inputs!$B$12,Inputs!$B$7,0)-BH10</f>
        <v>0</v>
      </c>
      <c r="BI18" s="33" t="n">
        <f aca="false">IF(Source_Data!BI$6=Inputs!$B$12,Inputs!$B$7,0)-BI10</f>
        <v>0</v>
      </c>
      <c r="BJ18" s="33" t="n">
        <f aca="false">IF(Source_Data!BJ$6=Inputs!$B$12,Inputs!$B$7,0)-BJ10</f>
        <v>0</v>
      </c>
      <c r="BK18" s="33" t="n">
        <f aca="false">IF(Source_Data!BK$6=Inputs!$B$12,Inputs!$B$7,0)-BK10</f>
        <v>0</v>
      </c>
    </row>
    <row r="19" customFormat="false" ht="15" hidden="false" customHeight="false" outlineLevel="0" collapsed="false">
      <c r="A19" s="3" t="s">
        <v>304</v>
      </c>
      <c r="D19" s="33" t="n">
        <f aca="false">IF(Source_Data!D$6=Inputs!$B$12,Inputs!$B$7,0)-D13</f>
        <v>100</v>
      </c>
      <c r="E19" s="33" t="n">
        <f aca="false">IF(Source_Data!E$6=Inputs!$B$12,Inputs!$B$7,0)-E13</f>
        <v>0</v>
      </c>
      <c r="F19" s="33" t="n">
        <f aca="false">IF(Source_Data!F$6=Inputs!$B$12,Inputs!$B$7,0)-F13</f>
        <v>0</v>
      </c>
      <c r="G19" s="33" t="n">
        <f aca="false">IF(Source_Data!G$6=Inputs!$B$12,Inputs!$B$7,0)-G13</f>
        <v>0</v>
      </c>
      <c r="H19" s="33" t="n">
        <f aca="false">IF(Source_Data!H$6=Inputs!$B$12,Inputs!$B$7,0)-H13</f>
        <v>0</v>
      </c>
      <c r="I19" s="33" t="n">
        <f aca="false">IF(Source_Data!I$6=Inputs!$B$12,Inputs!$B$7,0)-I13</f>
        <v>0</v>
      </c>
      <c r="J19" s="33" t="n">
        <f aca="false">IF(Source_Data!J$6=Inputs!$B$12,Inputs!$B$7,0)-J13</f>
        <v>0</v>
      </c>
      <c r="K19" s="33" t="n">
        <f aca="false">IF(Source_Data!K$6=Inputs!$B$12,Inputs!$B$7,0)-K13</f>
        <v>0</v>
      </c>
      <c r="L19" s="33" t="n">
        <f aca="false">IF(Source_Data!L$6=Inputs!$B$12,Inputs!$B$7,0)-L13</f>
        <v>0</v>
      </c>
      <c r="M19" s="33" t="n">
        <f aca="false">IF(Source_Data!M$6=Inputs!$B$12,Inputs!$B$7,0)-M13</f>
        <v>-32.2111045913565</v>
      </c>
      <c r="N19" s="33" t="n">
        <f aca="false">IF(Source_Data!N$6=Inputs!$B$12,Inputs!$B$7,0)-N13</f>
        <v>-21.4492141670252</v>
      </c>
      <c r="O19" s="33" t="n">
        <f aca="false">IF(Source_Data!O$6=Inputs!$B$12,Inputs!$B$7,0)-O13</f>
        <v>-21.134924977599</v>
      </c>
      <c r="P19" s="33" t="n">
        <f aca="false">IF(Source_Data!P$6=Inputs!$B$12,Inputs!$B$7,0)-P13</f>
        <v>-18.3817516782257</v>
      </c>
      <c r="Q19" s="33" t="n">
        <f aca="false">IF(Source_Data!Q$6=Inputs!$B$12,Inputs!$B$7,0)-Q13</f>
        <v>-17.4781702586254</v>
      </c>
      <c r="R19" s="33" t="n">
        <f aca="false">IF(Source_Data!R$6=Inputs!$B$12,Inputs!$B$7,0)-R13</f>
        <v>-17.4781702586254</v>
      </c>
      <c r="S19" s="33" t="n">
        <f aca="false">IF(Source_Data!S$6=Inputs!$B$12,Inputs!$B$7,0)-S13</f>
        <v>-17.3644290009721</v>
      </c>
      <c r="T19" s="33" t="n">
        <f aca="false">IF(Source_Data!T$6=Inputs!$B$12,Inputs!$B$7,0)-T13</f>
        <v>-17.1277535268747</v>
      </c>
      <c r="U19" s="33" t="n">
        <f aca="false">IF(Source_Data!U$6=Inputs!$B$12,Inputs!$B$7,0)-U13</f>
        <v>-17.0751415165648</v>
      </c>
      <c r="V19" s="33" t="n">
        <f aca="false">IF(Source_Data!V$6=Inputs!$B$12,Inputs!$B$7,0)-V13</f>
        <v>-16.8670192153268</v>
      </c>
      <c r="W19" s="33" t="n">
        <f aca="false">IF(Source_Data!W$6=Inputs!$B$12,Inputs!$B$7,0)-W13</f>
        <v>-16.7161604044022</v>
      </c>
      <c r="X19" s="33" t="n">
        <f aca="false">IF(Source_Data!X$6=Inputs!$B$12,Inputs!$B$7,0)-X13</f>
        <v>-16.7161604044022</v>
      </c>
      <c r="Y19" s="33" t="n">
        <f aca="false">IF(Source_Data!Y$6=Inputs!$B$12,Inputs!$B$7,0)-Y13</f>
        <v>0</v>
      </c>
      <c r="Z19" s="33" t="n">
        <f aca="false">IF(Source_Data!Z$6=Inputs!$B$12,Inputs!$B$7,0)-Z13</f>
        <v>0</v>
      </c>
      <c r="AA19" s="33" t="n">
        <f aca="false">IF(Source_Data!AA$6=Inputs!$B$12,Inputs!$B$7,0)-AA13</f>
        <v>0</v>
      </c>
      <c r="AB19" s="33" t="n">
        <f aca="false">IF(Source_Data!AB$6=Inputs!$B$12,Inputs!$B$7,0)-AB13</f>
        <v>0</v>
      </c>
      <c r="AC19" s="33" t="n">
        <f aca="false">IF(Source_Data!AC$6=Inputs!$B$12,Inputs!$B$7,0)-AC13</f>
        <v>0</v>
      </c>
      <c r="AD19" s="33" t="n">
        <f aca="false">IF(Source_Data!AD$6=Inputs!$B$12,Inputs!$B$7,0)-AD13</f>
        <v>0</v>
      </c>
      <c r="AE19" s="33" t="n">
        <f aca="false">IF(Source_Data!AE$6=Inputs!$B$12,Inputs!$B$7,0)-AE13</f>
        <v>0</v>
      </c>
      <c r="AF19" s="33" t="n">
        <f aca="false">IF(Source_Data!AF$6=Inputs!$B$12,Inputs!$B$7,0)-AF13</f>
        <v>0</v>
      </c>
      <c r="AG19" s="33" t="n">
        <f aca="false">IF(Source_Data!AG$6=Inputs!$B$12,Inputs!$B$7,0)-AG13</f>
        <v>0</v>
      </c>
      <c r="AH19" s="33" t="n">
        <f aca="false">IF(Source_Data!AH$6=Inputs!$B$12,Inputs!$B$7,0)-AH13</f>
        <v>0</v>
      </c>
      <c r="AI19" s="33" t="n">
        <f aca="false">IF(Source_Data!AI$6=Inputs!$B$12,Inputs!$B$7,0)-AI13</f>
        <v>0</v>
      </c>
      <c r="AJ19" s="33" t="n">
        <f aca="false">IF(Source_Data!AJ$6=Inputs!$B$12,Inputs!$B$7,0)-AJ13</f>
        <v>0</v>
      </c>
      <c r="AK19" s="33" t="n">
        <f aca="false">IF(Source_Data!AK$6=Inputs!$B$12,Inputs!$B$7,0)-AK13</f>
        <v>0</v>
      </c>
      <c r="AL19" s="33" t="n">
        <f aca="false">IF(Source_Data!AL$6=Inputs!$B$12,Inputs!$B$7,0)-AL13</f>
        <v>0</v>
      </c>
      <c r="AM19" s="33" t="n">
        <f aca="false">IF(Source_Data!AM$6=Inputs!$B$12,Inputs!$B$7,0)-AM13</f>
        <v>0</v>
      </c>
      <c r="AN19" s="33" t="n">
        <f aca="false">IF(Source_Data!AN$6=Inputs!$B$12,Inputs!$B$7,0)-AN13</f>
        <v>0</v>
      </c>
      <c r="AO19" s="33" t="n">
        <f aca="false">IF(Source_Data!AO$6=Inputs!$B$12,Inputs!$B$7,0)-AO13</f>
        <v>0</v>
      </c>
      <c r="AP19" s="33" t="n">
        <f aca="false">IF(Source_Data!AP$6=Inputs!$B$12,Inputs!$B$7,0)-AP13</f>
        <v>0</v>
      </c>
      <c r="AQ19" s="33" t="n">
        <f aca="false">IF(Source_Data!AQ$6=Inputs!$B$12,Inputs!$B$7,0)-AQ13</f>
        <v>0</v>
      </c>
      <c r="AR19" s="33" t="n">
        <f aca="false">IF(Source_Data!AR$6=Inputs!$B$12,Inputs!$B$7,0)-AR13</f>
        <v>0</v>
      </c>
      <c r="AS19" s="33" t="n">
        <f aca="false">IF(Source_Data!AS$6=Inputs!$B$12,Inputs!$B$7,0)-AS13</f>
        <v>0</v>
      </c>
      <c r="AT19" s="33" t="n">
        <f aca="false">IF(Source_Data!AT$6=Inputs!$B$12,Inputs!$B$7,0)-AT13</f>
        <v>0</v>
      </c>
      <c r="AU19" s="33" t="n">
        <f aca="false">IF(Source_Data!AU$6=Inputs!$B$12,Inputs!$B$7,0)-AU13</f>
        <v>0</v>
      </c>
      <c r="AV19" s="33" t="n">
        <f aca="false">IF(Source_Data!AV$6=Inputs!$B$12,Inputs!$B$7,0)-AV13</f>
        <v>0</v>
      </c>
      <c r="AW19" s="33" t="n">
        <f aca="false">IF(Source_Data!AW$6=Inputs!$B$12,Inputs!$B$7,0)-AW13</f>
        <v>0</v>
      </c>
      <c r="AX19" s="33" t="n">
        <f aca="false">IF(Source_Data!AX$6=Inputs!$B$12,Inputs!$B$7,0)-AX13</f>
        <v>0</v>
      </c>
      <c r="AY19" s="33" t="n">
        <f aca="false">IF(Source_Data!AY$6=Inputs!$B$12,Inputs!$B$7,0)-AY13</f>
        <v>0</v>
      </c>
      <c r="AZ19" s="33" t="n">
        <f aca="false">IF(Source_Data!AZ$6=Inputs!$B$12,Inputs!$B$7,0)-AZ13</f>
        <v>0</v>
      </c>
      <c r="BA19" s="33" t="n">
        <f aca="false">IF(Source_Data!BA$6=Inputs!$B$12,Inputs!$B$7,0)-BA13</f>
        <v>0</v>
      </c>
      <c r="BB19" s="33" t="n">
        <f aca="false">IF(Source_Data!BB$6=Inputs!$B$12,Inputs!$B$7,0)-BB13</f>
        <v>0</v>
      </c>
      <c r="BC19" s="33" t="n">
        <f aca="false">IF(Source_Data!BC$6=Inputs!$B$12,Inputs!$B$7,0)-BC13</f>
        <v>0</v>
      </c>
      <c r="BD19" s="33" t="n">
        <f aca="false">IF(Source_Data!BD$6=Inputs!$B$12,Inputs!$B$7,0)-BD13</f>
        <v>0</v>
      </c>
      <c r="BE19" s="33" t="n">
        <f aca="false">IF(Source_Data!BE$6=Inputs!$B$12,Inputs!$B$7,0)-BE13</f>
        <v>0</v>
      </c>
      <c r="BF19" s="33" t="n">
        <f aca="false">IF(Source_Data!BF$6=Inputs!$B$12,Inputs!$B$7,0)-BF13</f>
        <v>0</v>
      </c>
      <c r="BG19" s="33" t="n">
        <f aca="false">IF(Source_Data!BG$6=Inputs!$B$12,Inputs!$B$7,0)-BG13</f>
        <v>0</v>
      </c>
      <c r="BH19" s="33" t="n">
        <f aca="false">IF(Source_Data!BH$6=Inputs!$B$12,Inputs!$B$7,0)-BH13</f>
        <v>0</v>
      </c>
      <c r="BI19" s="33" t="n">
        <f aca="false">IF(Source_Data!BI$6=Inputs!$B$12,Inputs!$B$7,0)-BI13</f>
        <v>0</v>
      </c>
      <c r="BJ19" s="33" t="n">
        <f aca="false">IF(Source_Data!BJ$6=Inputs!$B$12,Inputs!$B$7,0)-BJ13</f>
        <v>0</v>
      </c>
      <c r="BK19" s="33" t="n">
        <f aca="false">IF(Source_Data!BK$6=Inputs!$B$12,Inputs!$B$7,0)-BK13</f>
        <v>0</v>
      </c>
    </row>
    <row r="20" customFormat="false" ht="15" hidden="false" customHeight="false" outlineLevel="0" collapsed="false">
      <c r="A20" s="3" t="s">
        <v>305</v>
      </c>
      <c r="D20" s="33" t="n">
        <f aca="false">0+IF(Source_Data!D$6=Inputs!$B$12,Inputs!$B$7,0)+D7-D9</f>
        <v>8.75</v>
      </c>
      <c r="E20" s="33" t="n">
        <f aca="false">D20+IF(Source_Data!E$6=Inputs!$B$12,Inputs!$B$7,0)+E7-E9</f>
        <v>-2.5</v>
      </c>
      <c r="F20" s="33" t="n">
        <f aca="false">E20+IF(Source_Data!F$6=Inputs!$B$12,Inputs!$B$7,0)+F7-F9</f>
        <v>1.3892375</v>
      </c>
      <c r="G20" s="33" t="n">
        <f aca="false">F20+IF(Source_Data!G$6=Inputs!$B$12,Inputs!$B$7,0)+G7-G9</f>
        <v>20.4177125</v>
      </c>
      <c r="H20" s="33" t="n">
        <f aca="false">G20+IF(Source_Data!H$6=Inputs!$B$12,Inputs!$B$7,0)+H7-H9</f>
        <v>21.42971875</v>
      </c>
      <c r="I20" s="33" t="n">
        <f aca="false">H20+IF(Source_Data!I$6=Inputs!$B$12,Inputs!$B$7,0)+I7-I9</f>
        <v>31.31525625</v>
      </c>
      <c r="J20" s="33" t="n">
        <f aca="false">I20+IF(Source_Data!J$6=Inputs!$B$12,Inputs!$B$7,0)+J7-J9</f>
        <v>13.06956625</v>
      </c>
      <c r="K20" s="33" t="n">
        <f aca="false">J20+IF(Source_Data!K$6=Inputs!$B$12,Inputs!$B$7,0)+K7-K9</f>
        <v>11.571735625</v>
      </c>
      <c r="L20" s="33" t="n">
        <f aca="false">K20+IF(Source_Data!L$6=Inputs!$B$12,Inputs!$B$7,0)+L7-L9</f>
        <v>18.2693240625</v>
      </c>
      <c r="M20" s="33" t="n">
        <f aca="false">L20+IF(Source_Data!M$6=Inputs!$B$12,Inputs!$B$7,0)+M7-M9</f>
        <v>420.725234895833</v>
      </c>
      <c r="N20" s="33" t="n">
        <f aca="false">M20+IF(Source_Data!N$6=Inputs!$B$12,Inputs!$B$7,0)+N7-N9</f>
        <v>540.325308229167</v>
      </c>
      <c r="O20" s="33" t="n">
        <f aca="false">N20+IF(Source_Data!O$6=Inputs!$B$12,Inputs!$B$7,0)+O7-O9</f>
        <v>650.8816315625</v>
      </c>
      <c r="P20" s="33" t="n">
        <f aca="false">O20+IF(Source_Data!P$6=Inputs!$B$12,Inputs!$B$7,0)+P7-P9</f>
        <v>538.327674895833</v>
      </c>
      <c r="Q20" s="33" t="n">
        <f aca="false">P20+IF(Source_Data!Q$6=Inputs!$B$12,Inputs!$B$7,0)+Q7-Q9</f>
        <v>398.210176979167</v>
      </c>
      <c r="R20" s="33" t="n">
        <f aca="false">Q20+IF(Source_Data!R$6=Inputs!$B$12,Inputs!$B$7,0)+R7-R9</f>
        <v>207.4926790625</v>
      </c>
      <c r="S20" s="33" t="n">
        <f aca="false">R20+IF(Source_Data!S$6=Inputs!$B$12,Inputs!$B$7,0)+S7-S9</f>
        <v>70.1568480208334</v>
      </c>
      <c r="T20" s="33" t="n">
        <f aca="false">S20+IF(Source_Data!T$6=Inputs!$B$12,Inputs!$B$7,0)+T7-T9</f>
        <v>67.2168210416667</v>
      </c>
      <c r="U20" s="33" t="n">
        <f aca="false">T20+IF(Source_Data!U$6=Inputs!$B$12,Inputs!$B$7,0)+U7-U9</f>
        <v>62.7628703125001</v>
      </c>
      <c r="V20" s="33" t="n">
        <f aca="false">U20+IF(Source_Data!V$6=Inputs!$B$12,Inputs!$B$7,0)+V7-V9</f>
        <v>52.3201483333334</v>
      </c>
      <c r="W20" s="33" t="n">
        <f aca="false">V20+IF(Source_Data!W$6=Inputs!$B$12,Inputs!$B$7,0)+W7-W9</f>
        <v>37.5364263541667</v>
      </c>
      <c r="X20" s="33" t="n">
        <f aca="false">W20+IF(Source_Data!X$6=Inputs!$B$12,Inputs!$B$7,0)+X7-X9</f>
        <v>45.2527043750001</v>
      </c>
      <c r="Y20" s="33" t="n">
        <f aca="false">X20+IF(Source_Data!Y$6=Inputs!$B$12,Inputs!$B$7,0)+Y7-Y9</f>
        <v>64.8554303125001</v>
      </c>
      <c r="Z20" s="33" t="n">
        <f aca="false">Y20+IF(Source_Data!Z$6=Inputs!$B$12,Inputs!$B$7,0)+Z7-Z9</f>
        <v>84.4581562500001</v>
      </c>
      <c r="AA20" s="33" t="n">
        <f aca="false">Z20+IF(Source_Data!AA$6=Inputs!$B$12,Inputs!$B$7,0)+AA7-AA9</f>
        <v>104.0608821875</v>
      </c>
      <c r="AB20" s="33" t="n">
        <f aca="false">AA20+IF(Source_Data!AB$6=Inputs!$B$12,Inputs!$B$7,0)+AB7-AB9</f>
        <v>140.375608125</v>
      </c>
      <c r="AC20" s="33" t="n">
        <f aca="false">AB20+IF(Source_Data!AC$6=Inputs!$B$12,Inputs!$B$7,0)+AC7-AC9</f>
        <v>173.414235625</v>
      </c>
      <c r="AD20" s="33" t="n">
        <f aca="false">AC20+IF(Source_Data!AD$6=Inputs!$B$12,Inputs!$B$7,0)+AD7-AD9</f>
        <v>202.844406875</v>
      </c>
      <c r="AE20" s="33" t="n">
        <f aca="false">AD20+IF(Source_Data!AE$6=Inputs!$B$12,Inputs!$B$7,0)+AE7-AE9</f>
        <v>227.933578125</v>
      </c>
      <c r="AF20" s="33" t="n">
        <f aca="false">AE20+IF(Source_Data!AF$6=Inputs!$B$12,Inputs!$B$7,0)+AF7-AF9</f>
        <v>145.264539023438</v>
      </c>
      <c r="AG20" s="33" t="n">
        <f aca="false">AF20+IF(Source_Data!AG$6=Inputs!$B$12,Inputs!$B$7,0)+AG7-AG9</f>
        <v>159.377197851563</v>
      </c>
      <c r="AH20" s="33" t="n">
        <f aca="false">AG20+IF(Source_Data!AH$6=Inputs!$B$12,Inputs!$B$7,0)+AH7-AH9</f>
        <v>173.489856679688</v>
      </c>
      <c r="AI20" s="33" t="n">
        <f aca="false">AH20+IF(Source_Data!AI$6=Inputs!$B$12,Inputs!$B$7,0)+AI7-AI9</f>
        <v>187.602515507813</v>
      </c>
      <c r="AJ20" s="33" t="n">
        <f aca="false">AI20+IF(Source_Data!AJ$6=Inputs!$B$12,Inputs!$B$7,0)+AJ7-AJ9</f>
        <v>201.715174335938</v>
      </c>
      <c r="AK20" s="33" t="n">
        <f aca="false">AJ20+IF(Source_Data!AK$6=Inputs!$B$12,Inputs!$B$7,0)+AK7-AK9</f>
        <v>214.59929625</v>
      </c>
      <c r="AL20" s="33" t="n">
        <f aca="false">AK20+IF(Source_Data!AL$6=Inputs!$B$12,Inputs!$B$7,0)+AL7-AL9</f>
        <v>227.483418164063</v>
      </c>
      <c r="AM20" s="33" t="n">
        <f aca="false">AL20+IF(Source_Data!AM$6=Inputs!$B$12,Inputs!$B$7,0)+AM7-AM9</f>
        <v>238.0244175</v>
      </c>
      <c r="AN20" s="33" t="n">
        <f aca="false">AM20+IF(Source_Data!AN$6=Inputs!$B$12,Inputs!$B$7,0)+AN7-AN9</f>
        <v>243.43913671875</v>
      </c>
      <c r="AO20" s="33" t="n">
        <f aca="false">AN20+IF(Source_Data!AO$6=Inputs!$B$12,Inputs!$B$7,0)+AO7-AO9</f>
        <v>245.4475275</v>
      </c>
      <c r="AP20" s="33" t="n">
        <f aca="false">AO20+IF(Source_Data!AP$6=Inputs!$B$12,Inputs!$B$7,0)+AP7-AP9</f>
        <v>245.4475275</v>
      </c>
      <c r="AQ20" s="33" t="n">
        <f aca="false">AP20+IF(Source_Data!AQ$6=Inputs!$B$12,Inputs!$B$7,0)+AQ7-AQ9</f>
        <v>245.4475275</v>
      </c>
      <c r="AR20" s="33" t="n">
        <f aca="false">AQ20+IF(Source_Data!AR$6=Inputs!$B$12,Inputs!$B$7,0)+AR7-AR9</f>
        <v>245.4475275</v>
      </c>
      <c r="AS20" s="33" t="n">
        <f aca="false">AR20+IF(Source_Data!AS$6=Inputs!$B$12,Inputs!$B$7,0)+AS7-AS9</f>
        <v>245.4475275</v>
      </c>
      <c r="AT20" s="33" t="n">
        <f aca="false">AS20+IF(Source_Data!AT$6=Inputs!$B$12,Inputs!$B$7,0)+AT7-AT9</f>
        <v>245.4475275</v>
      </c>
      <c r="AU20" s="33" t="n">
        <f aca="false">AT20+IF(Source_Data!AU$6=Inputs!$B$12,Inputs!$B$7,0)+AU7-AU9</f>
        <v>245.4475275</v>
      </c>
      <c r="AV20" s="33" t="n">
        <f aca="false">AU20+IF(Source_Data!AV$6=Inputs!$B$12,Inputs!$B$7,0)+AV7-AV9</f>
        <v>245.4475275</v>
      </c>
      <c r="AW20" s="33" t="n">
        <f aca="false">AV20+IF(Source_Data!AW$6=Inputs!$B$12,Inputs!$B$7,0)+AW7-AW9</f>
        <v>245.4475275</v>
      </c>
      <c r="AX20" s="33" t="n">
        <f aca="false">AW20+IF(Source_Data!AX$6=Inputs!$B$12,Inputs!$B$7,0)+AX7-AX9</f>
        <v>245.4475275</v>
      </c>
      <c r="AY20" s="33" t="n">
        <f aca="false">AX20+IF(Source_Data!AY$6=Inputs!$B$12,Inputs!$B$7,0)+AY7-AY9</f>
        <v>245.4475275</v>
      </c>
      <c r="AZ20" s="33" t="n">
        <f aca="false">AY20+IF(Source_Data!AZ$6=Inputs!$B$12,Inputs!$B$7,0)+AZ7-AZ9</f>
        <v>245.4475275</v>
      </c>
      <c r="BA20" s="33" t="n">
        <f aca="false">AZ20+IF(Source_Data!BA$6=Inputs!$B$12,Inputs!$B$7,0)+BA7-BA9</f>
        <v>245.4475275</v>
      </c>
      <c r="BB20" s="33" t="n">
        <f aca="false">BA20+IF(Source_Data!BB$6=Inputs!$B$12,Inputs!$B$7,0)+BB7-BB9</f>
        <v>245.4475275</v>
      </c>
      <c r="BC20" s="33" t="n">
        <f aca="false">BB20+IF(Source_Data!BC$6=Inputs!$B$12,Inputs!$B$7,0)+BC7-BC9</f>
        <v>245.4475275</v>
      </c>
      <c r="BD20" s="33" t="n">
        <f aca="false">BC20+IF(Source_Data!BD$6=Inputs!$B$12,Inputs!$B$7,0)+BD7-BD9</f>
        <v>245.4475275</v>
      </c>
      <c r="BE20" s="33" t="n">
        <f aca="false">BD20+IF(Source_Data!BE$6=Inputs!$B$12,Inputs!$B$7,0)+BE7-BE9</f>
        <v>245.4475275</v>
      </c>
      <c r="BF20" s="33" t="n">
        <f aca="false">BE20+IF(Source_Data!BF$6=Inputs!$B$12,Inputs!$B$7,0)+BF7-BF9</f>
        <v>245.4475275</v>
      </c>
      <c r="BG20" s="33" t="n">
        <f aca="false">BF20+IF(Source_Data!BG$6=Inputs!$B$12,Inputs!$B$7,0)+BG7-BG9</f>
        <v>245.4475275</v>
      </c>
      <c r="BH20" s="33" t="n">
        <f aca="false">BG20+IF(Source_Data!BH$6=Inputs!$B$12,Inputs!$B$7,0)+BH7-BH9</f>
        <v>245.4475275</v>
      </c>
      <c r="BI20" s="33" t="n">
        <f aca="false">BH20+IF(Source_Data!BI$6=Inputs!$B$12,Inputs!$B$7,0)+BI7-BI9</f>
        <v>245.4475275</v>
      </c>
      <c r="BJ20" s="33" t="n">
        <f aca="false">BI20+IF(Source_Data!BJ$6=Inputs!$B$12,Inputs!$B$7,0)+BJ7-BJ9</f>
        <v>245.4475275</v>
      </c>
      <c r="BK20" s="33" t="n">
        <f aca="false">BJ20+IF(Source_Data!BK$6=Inputs!$B$12,Inputs!$B$7,0)+BK7-BK9</f>
        <v>245.4475275</v>
      </c>
    </row>
    <row r="21" customFormat="false" ht="15" hidden="false" customHeight="false" outlineLevel="0" collapsed="false">
      <c r="A21" s="3" t="s">
        <v>306</v>
      </c>
      <c r="D21" s="33" t="n">
        <f aca="false">0+IF(Source_Data!D$6=Inputs!$B$12,Inputs!$B$7,0)+D7-D10</f>
        <v>8.75</v>
      </c>
      <c r="E21" s="33" t="n">
        <f aca="false">D21+IF(Source_Data!E$6=Inputs!$B$12,Inputs!$B$7,0)+E7-E10</f>
        <v>-2.5</v>
      </c>
      <c r="F21" s="33" t="n">
        <f aca="false">E21+IF(Source_Data!F$6=Inputs!$B$12,Inputs!$B$7,0)+F7-F10</f>
        <v>1.3892375</v>
      </c>
      <c r="G21" s="33" t="n">
        <f aca="false">F21+IF(Source_Data!G$6=Inputs!$B$12,Inputs!$B$7,0)+G7-G10</f>
        <v>20.4177125</v>
      </c>
      <c r="H21" s="33" t="n">
        <f aca="false">G21+IF(Source_Data!H$6=Inputs!$B$12,Inputs!$B$7,0)+H7-H10</f>
        <v>21.42971875</v>
      </c>
      <c r="I21" s="33" t="n">
        <f aca="false">H21+IF(Source_Data!I$6=Inputs!$B$12,Inputs!$B$7,0)+I7-I10</f>
        <v>31.31525625</v>
      </c>
      <c r="J21" s="33" t="n">
        <f aca="false">I21+IF(Source_Data!J$6=Inputs!$B$12,Inputs!$B$7,0)+J7-J10</f>
        <v>13.06956625</v>
      </c>
      <c r="K21" s="33" t="n">
        <f aca="false">J21+IF(Source_Data!K$6=Inputs!$B$12,Inputs!$B$7,0)+K7-K10</f>
        <v>11.571735625</v>
      </c>
      <c r="L21" s="33" t="n">
        <f aca="false">K21+IF(Source_Data!L$6=Inputs!$B$12,Inputs!$B$7,0)+L7-L10</f>
        <v>18.2693240625</v>
      </c>
      <c r="M21" s="33" t="n">
        <f aca="false">L21+IF(Source_Data!M$6=Inputs!$B$12,Inputs!$B$7,0)+M7-M10</f>
        <v>411.1419015625</v>
      </c>
      <c r="N21" s="33" t="n">
        <f aca="false">M21+IF(Source_Data!N$6=Inputs!$B$12,Inputs!$B$7,0)+N7-N10</f>
        <v>521.1586415625</v>
      </c>
      <c r="O21" s="33" t="n">
        <f aca="false">N21+IF(Source_Data!O$6=Inputs!$B$12,Inputs!$B$7,0)+O7-O10</f>
        <v>622.1316315625</v>
      </c>
      <c r="P21" s="33" t="n">
        <f aca="false">O21+IF(Source_Data!P$6=Inputs!$B$12,Inputs!$B$7,0)+P7-P10</f>
        <v>504.684323514725</v>
      </c>
      <c r="Q21" s="33" t="n">
        <f aca="false">P21+IF(Source_Data!Q$6=Inputs!$B$12,Inputs!$B$7,0)+Q7-Q10</f>
        <v>366.102150042913</v>
      </c>
      <c r="R21" s="33" t="n">
        <f aca="false">Q21+IF(Source_Data!R$6=Inputs!$B$12,Inputs!$B$7,0)+R7-R10</f>
        <v>176.9199765711</v>
      </c>
      <c r="S21" s="33" t="n">
        <f aca="false">R21+IF(Source_Data!S$6=Inputs!$B$12,Inputs!$B$7,0)+S7-S10</f>
        <v>41.9287005069539</v>
      </c>
      <c r="T21" s="33" t="n">
        <f aca="false">S21+IF(Source_Data!T$6=Inputs!$B$12,Inputs!$B$7,0)+T7-T10</f>
        <v>43.0170943594783</v>
      </c>
      <c r="U21" s="33" t="n">
        <f aca="false">T21+IF(Source_Data!U$6=Inputs!$B$12,Inputs!$B$7,0)+U7-U10</f>
        <v>42.9658810996605</v>
      </c>
      <c r="V21" s="33" t="n">
        <f aca="false">U21+IF(Source_Data!V$6=Inputs!$B$12,Inputs!$B$7,0)+V7-V10</f>
        <v>38.406616287913</v>
      </c>
      <c r="W21" s="33" t="n">
        <f aca="false">V21+IF(Source_Data!W$6=Inputs!$B$12,Inputs!$B$7,0)+W7-W10</f>
        <v>30.5796608314566</v>
      </c>
      <c r="X21" s="33" t="n">
        <f aca="false">W21+IF(Source_Data!X$6=Inputs!$B$12,Inputs!$B$7,0)+X7-X10</f>
        <v>45.2527053750001</v>
      </c>
      <c r="Y21" s="33" t="n">
        <f aca="false">X21+IF(Source_Data!Y$6=Inputs!$B$12,Inputs!$B$7,0)+Y7-Y10</f>
        <v>64.8554303125001</v>
      </c>
      <c r="Z21" s="33" t="n">
        <f aca="false">Y21+IF(Source_Data!Z$6=Inputs!$B$12,Inputs!$B$7,0)+Z7-Z10</f>
        <v>84.4581562500001</v>
      </c>
      <c r="AA21" s="33" t="n">
        <f aca="false">Z21+IF(Source_Data!AA$6=Inputs!$B$12,Inputs!$B$7,0)+AA7-AA10</f>
        <v>104.0608821875</v>
      </c>
      <c r="AB21" s="33" t="n">
        <f aca="false">AA21+IF(Source_Data!AB$6=Inputs!$B$12,Inputs!$B$7,0)+AB7-AB10</f>
        <v>140.375608125</v>
      </c>
      <c r="AC21" s="33" t="n">
        <f aca="false">AB21+IF(Source_Data!AC$6=Inputs!$B$12,Inputs!$B$7,0)+AC7-AC10</f>
        <v>173.414235625</v>
      </c>
      <c r="AD21" s="33" t="n">
        <f aca="false">AC21+IF(Source_Data!AD$6=Inputs!$B$12,Inputs!$B$7,0)+AD7-AD10</f>
        <v>202.844406875</v>
      </c>
      <c r="AE21" s="33" t="n">
        <f aca="false">AD21+IF(Source_Data!AE$6=Inputs!$B$12,Inputs!$B$7,0)+AE7-AE10</f>
        <v>227.933578125</v>
      </c>
      <c r="AF21" s="33" t="n">
        <f aca="false">AE21+IF(Source_Data!AF$6=Inputs!$B$12,Inputs!$B$7,0)+AF7-AF10</f>
        <v>145.264539023438</v>
      </c>
      <c r="AG21" s="33" t="n">
        <f aca="false">AF21+IF(Source_Data!AG$6=Inputs!$B$12,Inputs!$B$7,0)+AG7-AG10</f>
        <v>159.377197851563</v>
      </c>
      <c r="AH21" s="33" t="n">
        <f aca="false">AG21+IF(Source_Data!AH$6=Inputs!$B$12,Inputs!$B$7,0)+AH7-AH10</f>
        <v>173.489856679688</v>
      </c>
      <c r="AI21" s="33" t="n">
        <f aca="false">AH21+IF(Source_Data!AI$6=Inputs!$B$12,Inputs!$B$7,0)+AI7-AI10</f>
        <v>187.602515507813</v>
      </c>
      <c r="AJ21" s="33" t="n">
        <f aca="false">AI21+IF(Source_Data!AJ$6=Inputs!$B$12,Inputs!$B$7,0)+AJ7-AJ10</f>
        <v>201.715174335938</v>
      </c>
      <c r="AK21" s="33" t="n">
        <f aca="false">AJ21+IF(Source_Data!AK$6=Inputs!$B$12,Inputs!$B$7,0)+AK7-AK10</f>
        <v>214.59929625</v>
      </c>
      <c r="AL21" s="33" t="n">
        <f aca="false">AK21+IF(Source_Data!AL$6=Inputs!$B$12,Inputs!$B$7,0)+AL7-AL10</f>
        <v>227.483418164063</v>
      </c>
      <c r="AM21" s="33" t="n">
        <f aca="false">AL21+IF(Source_Data!AM$6=Inputs!$B$12,Inputs!$B$7,0)+AM7-AM10</f>
        <v>238.0244175</v>
      </c>
      <c r="AN21" s="33" t="n">
        <f aca="false">AM21+IF(Source_Data!AN$6=Inputs!$B$12,Inputs!$B$7,0)+AN7-AN10</f>
        <v>243.43913671875</v>
      </c>
      <c r="AO21" s="33" t="n">
        <f aca="false">AN21+IF(Source_Data!AO$6=Inputs!$B$12,Inputs!$B$7,0)+AO7-AO10</f>
        <v>245.4475275</v>
      </c>
      <c r="AP21" s="33" t="n">
        <f aca="false">AO21+IF(Source_Data!AP$6=Inputs!$B$12,Inputs!$B$7,0)+AP7-AP10</f>
        <v>245.4475275</v>
      </c>
      <c r="AQ21" s="33" t="n">
        <f aca="false">AP21+IF(Source_Data!AQ$6=Inputs!$B$12,Inputs!$B$7,0)+AQ7-AQ10</f>
        <v>245.4475275</v>
      </c>
      <c r="AR21" s="33" t="n">
        <f aca="false">AQ21+IF(Source_Data!AR$6=Inputs!$B$12,Inputs!$B$7,0)+AR7-AR10</f>
        <v>245.4475275</v>
      </c>
      <c r="AS21" s="33" t="n">
        <f aca="false">AR21+IF(Source_Data!AS$6=Inputs!$B$12,Inputs!$B$7,0)+AS7-AS10</f>
        <v>245.4475275</v>
      </c>
      <c r="AT21" s="33" t="n">
        <f aca="false">AS21+IF(Source_Data!AT$6=Inputs!$B$12,Inputs!$B$7,0)+AT7-AT10</f>
        <v>245.4475275</v>
      </c>
      <c r="AU21" s="33" t="n">
        <f aca="false">AT21+IF(Source_Data!AU$6=Inputs!$B$12,Inputs!$B$7,0)+AU7-AU10</f>
        <v>245.4475275</v>
      </c>
      <c r="AV21" s="33" t="n">
        <f aca="false">AU21+IF(Source_Data!AV$6=Inputs!$B$12,Inputs!$B$7,0)+AV7-AV10</f>
        <v>245.4475275</v>
      </c>
      <c r="AW21" s="33" t="n">
        <f aca="false">AV21+IF(Source_Data!AW$6=Inputs!$B$12,Inputs!$B$7,0)+AW7-AW10</f>
        <v>245.4475275</v>
      </c>
      <c r="AX21" s="33" t="n">
        <f aca="false">AW21+IF(Source_Data!AX$6=Inputs!$B$12,Inputs!$B$7,0)+AX7-AX10</f>
        <v>245.4475275</v>
      </c>
      <c r="AY21" s="33" t="n">
        <f aca="false">AX21+IF(Source_Data!AY$6=Inputs!$B$12,Inputs!$B$7,0)+AY7-AY10</f>
        <v>245.4475275</v>
      </c>
      <c r="AZ21" s="33" t="n">
        <f aca="false">AY21+IF(Source_Data!AZ$6=Inputs!$B$12,Inputs!$B$7,0)+AZ7-AZ10</f>
        <v>245.4475275</v>
      </c>
      <c r="BA21" s="33" t="n">
        <f aca="false">AZ21+IF(Source_Data!BA$6=Inputs!$B$12,Inputs!$B$7,0)+BA7-BA10</f>
        <v>245.4475275</v>
      </c>
      <c r="BB21" s="33" t="n">
        <f aca="false">BA21+IF(Source_Data!BB$6=Inputs!$B$12,Inputs!$B$7,0)+BB7-BB10</f>
        <v>245.4475275</v>
      </c>
      <c r="BC21" s="33" t="n">
        <f aca="false">BB21+IF(Source_Data!BC$6=Inputs!$B$12,Inputs!$B$7,0)+BC7-BC10</f>
        <v>245.4475275</v>
      </c>
      <c r="BD21" s="33" t="n">
        <f aca="false">BC21+IF(Source_Data!BD$6=Inputs!$B$12,Inputs!$B$7,0)+BD7-BD10</f>
        <v>245.4475275</v>
      </c>
      <c r="BE21" s="33" t="n">
        <f aca="false">BD21+IF(Source_Data!BE$6=Inputs!$B$12,Inputs!$B$7,0)+BE7-BE10</f>
        <v>245.4475275</v>
      </c>
      <c r="BF21" s="33" t="n">
        <f aca="false">BE21+IF(Source_Data!BF$6=Inputs!$B$12,Inputs!$B$7,0)+BF7-BF10</f>
        <v>245.4475275</v>
      </c>
      <c r="BG21" s="33" t="n">
        <f aca="false">BF21+IF(Source_Data!BG$6=Inputs!$B$12,Inputs!$B$7,0)+BG7-BG10</f>
        <v>245.4475275</v>
      </c>
      <c r="BH21" s="33" t="n">
        <f aca="false">BG21+IF(Source_Data!BH$6=Inputs!$B$12,Inputs!$B$7,0)+BH7-BH10</f>
        <v>245.4475275</v>
      </c>
      <c r="BI21" s="33" t="n">
        <f aca="false">BH21+IF(Source_Data!BI$6=Inputs!$B$12,Inputs!$B$7,0)+BI7-BI10</f>
        <v>245.4475275</v>
      </c>
      <c r="BJ21" s="33" t="n">
        <f aca="false">BI21+IF(Source_Data!BJ$6=Inputs!$B$12,Inputs!$B$7,0)+BJ7-BJ10</f>
        <v>245.4475275</v>
      </c>
      <c r="BK21" s="33" t="n">
        <f aca="false">BJ21+IF(Source_Data!BK$6=Inputs!$B$12,Inputs!$B$7,0)+BK7-BK10</f>
        <v>245.4475275</v>
      </c>
    </row>
    <row r="22" customFormat="false" ht="15" hidden="false" customHeight="false" outlineLevel="0" collapsed="false">
      <c r="A22" s="3" t="s">
        <v>307</v>
      </c>
      <c r="D22" s="33" t="n">
        <f aca="false">0+IF(Source_Data!D$6=Inputs!$B$12,Inputs!$B$7,0)+D7-D13</f>
        <v>8.75</v>
      </c>
      <c r="E22" s="33" t="n">
        <f aca="false">D22+IF(Source_Data!E$6=Inputs!$B$12,Inputs!$B$7,0)+E7-E13</f>
        <v>-2.5</v>
      </c>
      <c r="F22" s="33" t="n">
        <f aca="false">E22+IF(Source_Data!F$6=Inputs!$B$12,Inputs!$B$7,0)+F7-F13</f>
        <v>1.3892375</v>
      </c>
      <c r="G22" s="33" t="n">
        <f aca="false">F22+IF(Source_Data!G$6=Inputs!$B$12,Inputs!$B$7,0)+G7-G13</f>
        <v>20.4177125</v>
      </c>
      <c r="H22" s="33" t="n">
        <f aca="false">G22+IF(Source_Data!H$6=Inputs!$B$12,Inputs!$B$7,0)+H7-H13</f>
        <v>21.42971875</v>
      </c>
      <c r="I22" s="33" t="n">
        <f aca="false">H22+IF(Source_Data!I$6=Inputs!$B$12,Inputs!$B$7,0)+I7-I13</f>
        <v>31.31525625</v>
      </c>
      <c r="J22" s="33" t="n">
        <f aca="false">I22+IF(Source_Data!J$6=Inputs!$B$12,Inputs!$B$7,0)+J7-J13</f>
        <v>13.06956625</v>
      </c>
      <c r="K22" s="33" t="n">
        <f aca="false">J22+IF(Source_Data!K$6=Inputs!$B$12,Inputs!$B$7,0)+K7-K13</f>
        <v>11.571735625</v>
      </c>
      <c r="L22" s="33" t="n">
        <f aca="false">K22+IF(Source_Data!L$6=Inputs!$B$12,Inputs!$B$7,0)+L7-L13</f>
        <v>18.2693240625</v>
      </c>
      <c r="M22" s="33" t="n">
        <f aca="false">L22+IF(Source_Data!M$6=Inputs!$B$12,Inputs!$B$7,0)+M7-M13</f>
        <v>407.680796971144</v>
      </c>
      <c r="N22" s="33" t="n">
        <f aca="false">M22+IF(Source_Data!N$6=Inputs!$B$12,Inputs!$B$7,0)+N7-N13</f>
        <v>524.998322804118</v>
      </c>
      <c r="O22" s="33" t="n">
        <f aca="false">N22+IF(Source_Data!O$6=Inputs!$B$12,Inputs!$B$7,0)+O7-O13</f>
        <v>633.586387826519</v>
      </c>
      <c r="P22" s="33" t="n">
        <f aca="false">O22+IF(Source_Data!P$6=Inputs!$B$12,Inputs!$B$7,0)+P7-P13</f>
        <v>521.817346148294</v>
      </c>
      <c r="Q22" s="33" t="n">
        <f aca="false">P22+IF(Source_Data!Q$6=Inputs!$B$12,Inputs!$B$7,0)+Q7-Q13</f>
        <v>383.388344639668</v>
      </c>
      <c r="R22" s="33" t="n">
        <f aca="false">Q22+IF(Source_Data!R$6=Inputs!$B$12,Inputs!$B$7,0)+R7-R13</f>
        <v>194.359343131043</v>
      </c>
      <c r="S22" s="33" t="n">
        <f aca="false">R22+IF(Source_Data!S$6=Inputs!$B$12,Inputs!$B$7,0)+S7-S13</f>
        <v>58.8257497550708</v>
      </c>
      <c r="T22" s="33" t="n">
        <f aca="false">S22+IF(Source_Data!T$6=Inputs!$B$12,Inputs!$B$7,0)+T7-T13</f>
        <v>57.924635915696</v>
      </c>
      <c r="U22" s="33" t="n">
        <f aca="false">T22+IF(Source_Data!U$6=Inputs!$B$12,Inputs!$B$7,0)+U7-U13</f>
        <v>55.5622103366313</v>
      </c>
      <c r="V22" s="33" t="n">
        <f aca="false">U22+IF(Source_Data!V$6=Inputs!$B$12,Inputs!$B$7,0)+V7-V13</f>
        <v>47.4191358088045</v>
      </c>
      <c r="W22" s="33" t="n">
        <f aca="false">V22+IF(Source_Data!W$6=Inputs!$B$12,Inputs!$B$7,0)+W7-W13</f>
        <v>35.0859200919023</v>
      </c>
      <c r="X22" s="33" t="n">
        <f aca="false">W22+IF(Source_Data!X$6=Inputs!$B$12,Inputs!$B$7,0)+X7-X13</f>
        <v>45.2527043750001</v>
      </c>
      <c r="Y22" s="33" t="n">
        <f aca="false">X22+IF(Source_Data!Y$6=Inputs!$B$12,Inputs!$B$7,0)+Y7-Y13</f>
        <v>64.8554303125001</v>
      </c>
      <c r="Z22" s="33" t="n">
        <f aca="false">Y22+IF(Source_Data!Z$6=Inputs!$B$12,Inputs!$B$7,0)+Z7-Z13</f>
        <v>84.4581562500001</v>
      </c>
      <c r="AA22" s="33" t="n">
        <f aca="false">Z22+IF(Source_Data!AA$6=Inputs!$B$12,Inputs!$B$7,0)+AA7-AA13</f>
        <v>104.0608821875</v>
      </c>
      <c r="AB22" s="33" t="n">
        <f aca="false">AA22+IF(Source_Data!AB$6=Inputs!$B$12,Inputs!$B$7,0)+AB7-AB13</f>
        <v>140.375608125</v>
      </c>
      <c r="AC22" s="33" t="n">
        <f aca="false">AB22+IF(Source_Data!AC$6=Inputs!$B$12,Inputs!$B$7,0)+AC7-AC13</f>
        <v>173.414235625</v>
      </c>
      <c r="AD22" s="33" t="n">
        <f aca="false">AC22+IF(Source_Data!AD$6=Inputs!$B$12,Inputs!$B$7,0)+AD7-AD13</f>
        <v>202.844406875</v>
      </c>
      <c r="AE22" s="33" t="n">
        <f aca="false">AD22+IF(Source_Data!AE$6=Inputs!$B$12,Inputs!$B$7,0)+AE7-AE13</f>
        <v>227.933578125</v>
      </c>
      <c r="AF22" s="33" t="n">
        <f aca="false">AE22+IF(Source_Data!AF$6=Inputs!$B$12,Inputs!$B$7,0)+AF7-AF13</f>
        <v>145.264539023438</v>
      </c>
      <c r="AG22" s="33" t="n">
        <f aca="false">AF22+IF(Source_Data!AG$6=Inputs!$B$12,Inputs!$B$7,0)+AG7-AG13</f>
        <v>159.377197851563</v>
      </c>
      <c r="AH22" s="33" t="n">
        <f aca="false">AG22+IF(Source_Data!AH$6=Inputs!$B$12,Inputs!$B$7,0)+AH7-AH13</f>
        <v>173.489856679688</v>
      </c>
      <c r="AI22" s="33" t="n">
        <f aca="false">AH22+IF(Source_Data!AI$6=Inputs!$B$12,Inputs!$B$7,0)+AI7-AI13</f>
        <v>187.602515507813</v>
      </c>
      <c r="AJ22" s="33" t="n">
        <f aca="false">AI22+IF(Source_Data!AJ$6=Inputs!$B$12,Inputs!$B$7,0)+AJ7-AJ13</f>
        <v>201.715174335938</v>
      </c>
      <c r="AK22" s="33" t="n">
        <f aca="false">AJ22+IF(Source_Data!AK$6=Inputs!$B$12,Inputs!$B$7,0)+AK7-AK13</f>
        <v>214.59929625</v>
      </c>
      <c r="AL22" s="33" t="n">
        <f aca="false">AK22+IF(Source_Data!AL$6=Inputs!$B$12,Inputs!$B$7,0)+AL7-AL13</f>
        <v>227.483418164063</v>
      </c>
      <c r="AM22" s="33" t="n">
        <f aca="false">AL22+IF(Source_Data!AM$6=Inputs!$B$12,Inputs!$B$7,0)+AM7-AM13</f>
        <v>238.0244175</v>
      </c>
      <c r="AN22" s="33" t="n">
        <f aca="false">AM22+IF(Source_Data!AN$6=Inputs!$B$12,Inputs!$B$7,0)+AN7-AN13</f>
        <v>243.43913671875</v>
      </c>
      <c r="AO22" s="33" t="n">
        <f aca="false">AN22+IF(Source_Data!AO$6=Inputs!$B$12,Inputs!$B$7,0)+AO7-AO13</f>
        <v>245.4475275</v>
      </c>
      <c r="AP22" s="33" t="n">
        <f aca="false">AO22+IF(Source_Data!AP$6=Inputs!$B$12,Inputs!$B$7,0)+AP7-AP13</f>
        <v>245.4475275</v>
      </c>
      <c r="AQ22" s="33" t="n">
        <f aca="false">AP22+IF(Source_Data!AQ$6=Inputs!$B$12,Inputs!$B$7,0)+AQ7-AQ13</f>
        <v>245.4475275</v>
      </c>
      <c r="AR22" s="33" t="n">
        <f aca="false">AQ22+IF(Source_Data!AR$6=Inputs!$B$12,Inputs!$B$7,0)+AR7-AR13</f>
        <v>245.4475275</v>
      </c>
      <c r="AS22" s="33" t="n">
        <f aca="false">AR22+IF(Source_Data!AS$6=Inputs!$B$12,Inputs!$B$7,0)+AS7-AS13</f>
        <v>245.4475275</v>
      </c>
      <c r="AT22" s="33" t="n">
        <f aca="false">AS22+IF(Source_Data!AT$6=Inputs!$B$12,Inputs!$B$7,0)+AT7-AT13</f>
        <v>245.4475275</v>
      </c>
      <c r="AU22" s="33" t="n">
        <f aca="false">AT22+IF(Source_Data!AU$6=Inputs!$B$12,Inputs!$B$7,0)+AU7-AU13</f>
        <v>245.4475275</v>
      </c>
      <c r="AV22" s="33" t="n">
        <f aca="false">AU22+IF(Source_Data!AV$6=Inputs!$B$12,Inputs!$B$7,0)+AV7-AV13</f>
        <v>245.4475275</v>
      </c>
      <c r="AW22" s="33" t="n">
        <f aca="false">AV22+IF(Source_Data!AW$6=Inputs!$B$12,Inputs!$B$7,0)+AW7-AW13</f>
        <v>245.4475275</v>
      </c>
      <c r="AX22" s="33" t="n">
        <f aca="false">AW22+IF(Source_Data!AX$6=Inputs!$B$12,Inputs!$B$7,0)+AX7-AX13</f>
        <v>245.4475275</v>
      </c>
      <c r="AY22" s="33" t="n">
        <f aca="false">AX22+IF(Source_Data!AY$6=Inputs!$B$12,Inputs!$B$7,0)+AY7-AY13</f>
        <v>245.4475275</v>
      </c>
      <c r="AZ22" s="33" t="n">
        <f aca="false">AY22+IF(Source_Data!AZ$6=Inputs!$B$12,Inputs!$B$7,0)+AZ7-AZ13</f>
        <v>245.4475275</v>
      </c>
      <c r="BA22" s="33" t="n">
        <f aca="false">AZ22+IF(Source_Data!BA$6=Inputs!$B$12,Inputs!$B$7,0)+BA7-BA13</f>
        <v>245.4475275</v>
      </c>
      <c r="BB22" s="33" t="n">
        <f aca="false">BA22+IF(Source_Data!BB$6=Inputs!$B$12,Inputs!$B$7,0)+BB7-BB13</f>
        <v>245.4475275</v>
      </c>
      <c r="BC22" s="33" t="n">
        <f aca="false">BB22+IF(Source_Data!BC$6=Inputs!$B$12,Inputs!$B$7,0)+BC7-BC13</f>
        <v>245.4475275</v>
      </c>
      <c r="BD22" s="33" t="n">
        <f aca="false">BC22+IF(Source_Data!BD$6=Inputs!$B$12,Inputs!$B$7,0)+BD7-BD13</f>
        <v>245.4475275</v>
      </c>
      <c r="BE22" s="33" t="n">
        <f aca="false">BD22+IF(Source_Data!BE$6=Inputs!$B$12,Inputs!$B$7,0)+BE7-BE13</f>
        <v>245.4475275</v>
      </c>
      <c r="BF22" s="33" t="n">
        <f aca="false">BE22+IF(Source_Data!BF$6=Inputs!$B$12,Inputs!$B$7,0)+BF7-BF13</f>
        <v>245.4475275</v>
      </c>
      <c r="BG22" s="33" t="n">
        <f aca="false">BF22+IF(Source_Data!BG$6=Inputs!$B$12,Inputs!$B$7,0)+BG7-BG13</f>
        <v>245.4475275</v>
      </c>
      <c r="BH22" s="33" t="n">
        <f aca="false">BG22+IF(Source_Data!BH$6=Inputs!$B$12,Inputs!$B$7,0)+BH7-BH13</f>
        <v>245.4475275</v>
      </c>
      <c r="BI22" s="33" t="n">
        <f aca="false">BH22+IF(Source_Data!BI$6=Inputs!$B$12,Inputs!$B$7,0)+BI7-BI13</f>
        <v>245.4475275</v>
      </c>
      <c r="BJ22" s="33" t="n">
        <f aca="false">BI22+IF(Source_Data!BJ$6=Inputs!$B$12,Inputs!$B$7,0)+BJ7-BJ13</f>
        <v>245.4475275</v>
      </c>
      <c r="BK22" s="33" t="n">
        <f aca="false">BJ22+IF(Source_Data!BK$6=Inputs!$B$12,Inputs!$B$7,0)+BK7-BK13</f>
        <v>245.4475275</v>
      </c>
    </row>
    <row r="23" customFormat="false" ht="15" hidden="false" customHeight="false" outlineLevel="0" collapsed="false">
      <c r="A23" s="3" t="s">
        <v>308</v>
      </c>
      <c r="D23" s="31" t="str">
        <f aca="false">IF(D9&gt;0,D7/D9,"")</f>
        <v/>
      </c>
      <c r="E23" s="31" t="str">
        <f aca="false">IF(E9&gt;0,E7/E9,"")</f>
        <v/>
      </c>
      <c r="F23" s="31" t="str">
        <f aca="false">IF(F9&gt;0,F7/F9,"")</f>
        <v/>
      </c>
      <c r="G23" s="31" t="str">
        <f aca="false">IF(G9&gt;0,G7/G9,"")</f>
        <v/>
      </c>
      <c r="H23" s="31" t="str">
        <f aca="false">IF(H9&gt;0,H7/H9,"")</f>
        <v/>
      </c>
      <c r="I23" s="31" t="str">
        <f aca="false">IF(I9&gt;0,I7/I9,"")</f>
        <v/>
      </c>
      <c r="J23" s="31" t="str">
        <f aca="false">IF(J9&gt;0,J7/J9,"")</f>
        <v/>
      </c>
      <c r="K23" s="31" t="str">
        <f aca="false">IF(K9&gt;0,K7/K9,"")</f>
        <v/>
      </c>
      <c r="L23" s="31" t="str">
        <f aca="false">IF(L9&gt;0,L7/L9,"")</f>
        <v/>
      </c>
      <c r="M23" s="31" t="n">
        <f aca="false">IF(M9&gt;0,M7/M9,"")</f>
        <v>21.9976996956522</v>
      </c>
      <c r="N23" s="31" t="n">
        <f aca="false">IF(N9&gt;0,N7/N9,"")</f>
        <v>7.24000382608696</v>
      </c>
      <c r="O23" s="31" t="n">
        <f aca="false">IF(O9&gt;0,O7/O9,"")</f>
        <v>6.768156</v>
      </c>
      <c r="P23" s="31" t="n">
        <f aca="false">IF(P9&gt;0,P7/P9,"")</f>
        <v>-4.87238034782609</v>
      </c>
      <c r="Q23" s="31" t="n">
        <f aca="false">IF(Q9&gt;0,Q7/Q9,"")</f>
        <v>-6.31047815217391</v>
      </c>
      <c r="R23" s="31" t="n">
        <f aca="false">IF(R9&gt;0,R7/R9,"")</f>
        <v>-8.95047815217391</v>
      </c>
      <c r="S23" s="31" t="n">
        <f aca="false">IF(S9&gt;0,S7/S9,"")</f>
        <v>-6.16534770652174</v>
      </c>
      <c r="T23" s="31" t="n">
        <f aca="false">IF(T9&gt;0,T7/T9,"")</f>
        <v>0.846607288043478</v>
      </c>
      <c r="U23" s="31" t="n">
        <f aca="false">IF(U9&gt;0,U7/U9,"")</f>
        <v>0.767619961956522</v>
      </c>
      <c r="V23" s="31" t="n">
        <f aca="false">IF(V9&gt;0,V7/V9,"")</f>
        <v>0.455162331521739</v>
      </c>
      <c r="W23" s="31" t="n">
        <f aca="false">IF(W9&gt;0,W7/W9,"")</f>
        <v>0.228675375</v>
      </c>
      <c r="X23" s="31" t="n">
        <f aca="false">IF(X9&gt;0,X7/X9,"")</f>
        <v>1.40258841847826</v>
      </c>
      <c r="Y23" s="31" t="str">
        <f aca="false">IF(Y9&gt;0,Y7/Y9,"")</f>
        <v/>
      </c>
      <c r="Z23" s="31" t="str">
        <f aca="false">IF(Z9&gt;0,Z7/Z9,"")</f>
        <v/>
      </c>
      <c r="AA23" s="31" t="str">
        <f aca="false">IF(AA9&gt;0,AA7/AA9,"")</f>
        <v/>
      </c>
      <c r="AB23" s="31" t="str">
        <f aca="false">IF(AB9&gt;0,AB7/AB9,"")</f>
        <v/>
      </c>
      <c r="AC23" s="31" t="str">
        <f aca="false">IF(AC9&gt;0,AC7/AC9,"")</f>
        <v/>
      </c>
      <c r="AD23" s="31" t="str">
        <f aca="false">IF(AD9&gt;0,AD7/AD9,"")</f>
        <v/>
      </c>
      <c r="AE23" s="31" t="str">
        <f aca="false">IF(AE9&gt;0,AE7/AE9,"")</f>
        <v/>
      </c>
      <c r="AF23" s="31" t="str">
        <f aca="false">IF(AF9&gt;0,AF7/AF9,"")</f>
        <v/>
      </c>
      <c r="AG23" s="31" t="str">
        <f aca="false">IF(AG9&gt;0,AG7/AG9,"")</f>
        <v/>
      </c>
      <c r="AH23" s="31" t="str">
        <f aca="false">IF(AH9&gt;0,AH7/AH9,"")</f>
        <v/>
      </c>
      <c r="AI23" s="31" t="str">
        <f aca="false">IF(AI9&gt;0,AI7/AI9,"")</f>
        <v/>
      </c>
      <c r="AJ23" s="31" t="str">
        <f aca="false">IF(AJ9&gt;0,AJ7/AJ9,"")</f>
        <v/>
      </c>
      <c r="AK23" s="31" t="str">
        <f aca="false">IF(AK9&gt;0,AK7/AK9,"")</f>
        <v/>
      </c>
      <c r="AL23" s="31" t="str">
        <f aca="false">IF(AL9&gt;0,AL7/AL9,"")</f>
        <v/>
      </c>
      <c r="AM23" s="31" t="str">
        <f aca="false">IF(AM9&gt;0,AM7/AM9,"")</f>
        <v/>
      </c>
      <c r="AN23" s="31" t="str">
        <f aca="false">IF(AN9&gt;0,AN7/AN9,"")</f>
        <v/>
      </c>
      <c r="AO23" s="31" t="str">
        <f aca="false">IF(AO9&gt;0,AO7/AO9,"")</f>
        <v/>
      </c>
      <c r="AP23" s="31" t="str">
        <f aca="false">IF(AP9&gt;0,AP7/AP9,"")</f>
        <v/>
      </c>
      <c r="AQ23" s="31" t="str">
        <f aca="false">IF(AQ9&gt;0,AQ7/AQ9,"")</f>
        <v/>
      </c>
      <c r="AR23" s="31" t="str">
        <f aca="false">IF(AR9&gt;0,AR7/AR9,"")</f>
        <v/>
      </c>
      <c r="AS23" s="31" t="str">
        <f aca="false">IF(AS9&gt;0,AS7/AS9,"")</f>
        <v/>
      </c>
      <c r="AT23" s="31" t="str">
        <f aca="false">IF(AT9&gt;0,AT7/AT9,"")</f>
        <v/>
      </c>
      <c r="AU23" s="31" t="str">
        <f aca="false">IF(AU9&gt;0,AU7/AU9,"")</f>
        <v/>
      </c>
      <c r="AV23" s="31" t="str">
        <f aca="false">IF(AV9&gt;0,AV7/AV9,"")</f>
        <v/>
      </c>
      <c r="AW23" s="31" t="str">
        <f aca="false">IF(AW9&gt;0,AW7/AW9,"")</f>
        <v/>
      </c>
      <c r="AX23" s="31" t="str">
        <f aca="false">IF(AX9&gt;0,AX7/AX9,"")</f>
        <v/>
      </c>
      <c r="AY23" s="31" t="str">
        <f aca="false">IF(AY9&gt;0,AY7/AY9,"")</f>
        <v/>
      </c>
      <c r="AZ23" s="31" t="str">
        <f aca="false">IF(AZ9&gt;0,AZ7/AZ9,"")</f>
        <v/>
      </c>
      <c r="BA23" s="31" t="str">
        <f aca="false">IF(BA9&gt;0,BA7/BA9,"")</f>
        <v/>
      </c>
      <c r="BB23" s="31" t="str">
        <f aca="false">IF(BB9&gt;0,BB7/BB9,"")</f>
        <v/>
      </c>
      <c r="BC23" s="31" t="str">
        <f aca="false">IF(BC9&gt;0,BC7/BC9,"")</f>
        <v/>
      </c>
      <c r="BD23" s="31" t="str">
        <f aca="false">IF(BD9&gt;0,BD7/BD9,"")</f>
        <v/>
      </c>
      <c r="BE23" s="31" t="str">
        <f aca="false">IF(BE9&gt;0,BE7/BE9,"")</f>
        <v/>
      </c>
      <c r="BF23" s="31" t="str">
        <f aca="false">IF(BF9&gt;0,BF7/BF9,"")</f>
        <v/>
      </c>
      <c r="BG23" s="31" t="str">
        <f aca="false">IF(BG9&gt;0,BG7/BG9,"")</f>
        <v/>
      </c>
      <c r="BH23" s="31" t="str">
        <f aca="false">IF(BH9&gt;0,BH7/BH9,"")</f>
        <v/>
      </c>
      <c r="BI23" s="31" t="str">
        <f aca="false">IF(BI9&gt;0,BI7/BI9,"")</f>
        <v/>
      </c>
      <c r="BJ23" s="31" t="str">
        <f aca="false">IF(BJ9&gt;0,BJ7/BJ9,"")</f>
        <v/>
      </c>
      <c r="BK23" s="31" t="str">
        <f aca="false">IF(BK9&gt;0,BK7/BK9,"")</f>
        <v/>
      </c>
    </row>
    <row r="24" customFormat="false" ht="15" hidden="false" customHeight="false" outlineLevel="0" collapsed="false">
      <c r="A24" s="3" t="s">
        <v>309</v>
      </c>
      <c r="D24" s="31" t="str">
        <f aca="false">IF(D9&gt;0,(0+IF(Source_Data!D$6=Inputs!$B$12,Inputs!$B$7,0)+D7)/D9,"")</f>
        <v/>
      </c>
      <c r="E24" s="31" t="str">
        <f aca="false">IF(E9&gt;0,(D20+IF(Source_Data!E$6=Inputs!$B$12,Inputs!$B$7,0)+E7)/E9,"")</f>
        <v/>
      </c>
      <c r="F24" s="31" t="str">
        <f aca="false">IF(F9&gt;0,(E20+IF(Source_Data!F$6=Inputs!$B$12,Inputs!$B$7,0)+F7)/F9,"")</f>
        <v/>
      </c>
      <c r="G24" s="31" t="str">
        <f aca="false">IF(G9&gt;0,(F20+IF(Source_Data!G$6=Inputs!$B$12,Inputs!$B$7,0)+G7)/G9,"")</f>
        <v/>
      </c>
      <c r="H24" s="31" t="str">
        <f aca="false">IF(H9&gt;0,(G20+IF(Source_Data!H$6=Inputs!$B$12,Inputs!$B$7,0)+H7)/H9,"")</f>
        <v/>
      </c>
      <c r="I24" s="31" t="str">
        <f aca="false">IF(I9&gt;0,(H20+IF(Source_Data!I$6=Inputs!$B$12,Inputs!$B$7,0)+I7)/I9,"")</f>
        <v/>
      </c>
      <c r="J24" s="31" t="str">
        <f aca="false">IF(J9&gt;0,(I20+IF(Source_Data!J$6=Inputs!$B$12,Inputs!$B$7,0)+J7)/J9,"")</f>
        <v/>
      </c>
      <c r="K24" s="31" t="str">
        <f aca="false">IF(K9&gt;0,(J20+IF(Source_Data!K$6=Inputs!$B$12,Inputs!$B$7,0)+K7)/K9,"")</f>
        <v/>
      </c>
      <c r="L24" s="31" t="str">
        <f aca="false">IF(L9&gt;0,(K20+IF(Source_Data!L$6=Inputs!$B$12,Inputs!$B$7,0)+L7)/L9,"")</f>
        <v/>
      </c>
      <c r="M24" s="31" t="n">
        <f aca="false">IF(M9&gt;0,(L20+IF(Source_Data!M$6=Inputs!$B$12,Inputs!$B$7,0)+M7)/M9,"")</f>
        <v>22.9508818206522</v>
      </c>
      <c r="N24" s="31" t="n">
        <f aca="false">IF(N9&gt;0,(M20+IF(Source_Data!N$6=Inputs!$B$12,Inputs!$B$7,0)+N7)/N9,"")</f>
        <v>29.1908856467391</v>
      </c>
      <c r="O24" s="31" t="n">
        <f aca="false">IF(O9&gt;0,(N20+IF(Source_Data!O$6=Inputs!$B$12,Inputs!$B$7,0)+O7)/O9,"")</f>
        <v>34.9590416467391</v>
      </c>
      <c r="P24" s="31" t="n">
        <f aca="false">IF(P9&gt;0,(O20+IF(Source_Data!P$6=Inputs!$B$12,Inputs!$B$7,0)+P7)/P9,"")</f>
        <v>29.0866612989131</v>
      </c>
      <c r="Q24" s="31" t="n">
        <f aca="false">IF(Q9&gt;0,(P20+IF(Source_Data!Q$6=Inputs!$B$12,Inputs!$B$7,0)+Q7)/Q9,"")</f>
        <v>21.7761831467391</v>
      </c>
      <c r="R24" s="31" t="n">
        <f aca="false">IF(R9&gt;0,(Q20+IF(Source_Data!R$6=Inputs!$B$12,Inputs!$B$7,0)+R7)/R9,"")</f>
        <v>11.8257049945652</v>
      </c>
      <c r="S24" s="31" t="n">
        <f aca="false">IF(S9&gt;0,(R20+IF(Source_Data!S$6=Inputs!$B$12,Inputs!$B$7,0)+S7)/S9,"")</f>
        <v>4.66035728804348</v>
      </c>
      <c r="T24" s="31" t="n">
        <f aca="false">IF(T9&gt;0,(S20+IF(Source_Data!T$6=Inputs!$B$12,Inputs!$B$7,0)+T7)/T9,"")</f>
        <v>4.50696457608696</v>
      </c>
      <c r="U24" s="31" t="n">
        <f aca="false">IF(U9&gt;0,(T20+IF(Source_Data!U$6=Inputs!$B$12,Inputs!$B$7,0)+U7)/U9,"")</f>
        <v>4.27458453804348</v>
      </c>
      <c r="V24" s="31" t="n">
        <f aca="false">IF(V9&gt;0,(U20+IF(Source_Data!V$6=Inputs!$B$12,Inputs!$B$7,0)+V7)/V9,"")</f>
        <v>3.72974686956522</v>
      </c>
      <c r="W24" s="31" t="n">
        <f aca="false">IF(W9&gt;0,(V20+IF(Source_Data!W$6=Inputs!$B$12,Inputs!$B$7,0)+W7)/W9,"")</f>
        <v>2.95842224456522</v>
      </c>
      <c r="X24" s="31" t="n">
        <f aca="false">IF(X9&gt;0,(W20+IF(Source_Data!X$6=Inputs!$B$12,Inputs!$B$7,0)+X7)/X9,"")</f>
        <v>3.36101066304348</v>
      </c>
      <c r="Y24" s="31" t="str">
        <f aca="false">IF(Y9&gt;0,(X20+IF(Source_Data!Y$6=Inputs!$B$12,Inputs!$B$7,0)+Y7)/Y9,"")</f>
        <v/>
      </c>
      <c r="Z24" s="31" t="str">
        <f aca="false">IF(Z9&gt;0,(Y20+IF(Source_Data!Z$6=Inputs!$B$12,Inputs!$B$7,0)+Z7)/Z9,"")</f>
        <v/>
      </c>
      <c r="AA24" s="31" t="str">
        <f aca="false">IF(AA9&gt;0,(Z20+IF(Source_Data!AA$6=Inputs!$B$12,Inputs!$B$7,0)+AA7)/AA9,"")</f>
        <v/>
      </c>
      <c r="AB24" s="31" t="str">
        <f aca="false">IF(AB9&gt;0,(AA20+IF(Source_Data!AB$6=Inputs!$B$12,Inputs!$B$7,0)+AB7)/AB9,"")</f>
        <v/>
      </c>
      <c r="AC24" s="31" t="str">
        <f aca="false">IF(AC9&gt;0,(AB20+IF(Source_Data!AC$6=Inputs!$B$12,Inputs!$B$7,0)+AC7)/AC9,"")</f>
        <v/>
      </c>
      <c r="AD24" s="31" t="str">
        <f aca="false">IF(AD9&gt;0,(AC20+IF(Source_Data!AD$6=Inputs!$B$12,Inputs!$B$7,0)+AD7)/AD9,"")</f>
        <v/>
      </c>
      <c r="AE24" s="31" t="str">
        <f aca="false">IF(AE9&gt;0,(AD20+IF(Source_Data!AE$6=Inputs!$B$12,Inputs!$B$7,0)+AE7)/AE9,"")</f>
        <v/>
      </c>
      <c r="AF24" s="31" t="str">
        <f aca="false">IF(AF9&gt;0,(AE20+IF(Source_Data!AF$6=Inputs!$B$12,Inputs!$B$7,0)+AF7)/AF9,"")</f>
        <v/>
      </c>
      <c r="AG24" s="31" t="str">
        <f aca="false">IF(AG9&gt;0,(AF20+IF(Source_Data!AG$6=Inputs!$B$12,Inputs!$B$7,0)+AG7)/AG9,"")</f>
        <v/>
      </c>
      <c r="AH24" s="31" t="str">
        <f aca="false">IF(AH9&gt;0,(AG20+IF(Source_Data!AH$6=Inputs!$B$12,Inputs!$B$7,0)+AH7)/AH9,"")</f>
        <v/>
      </c>
      <c r="AI24" s="31" t="str">
        <f aca="false">IF(AI9&gt;0,(AH20+IF(Source_Data!AI$6=Inputs!$B$12,Inputs!$B$7,0)+AI7)/AI9,"")</f>
        <v/>
      </c>
      <c r="AJ24" s="31" t="str">
        <f aca="false">IF(AJ9&gt;0,(AI20+IF(Source_Data!AJ$6=Inputs!$B$12,Inputs!$B$7,0)+AJ7)/AJ9,"")</f>
        <v/>
      </c>
      <c r="AK24" s="31" t="str">
        <f aca="false">IF(AK9&gt;0,(AJ20+IF(Source_Data!AK$6=Inputs!$B$12,Inputs!$B$7,0)+AK7)/AK9,"")</f>
        <v/>
      </c>
      <c r="AL24" s="31" t="str">
        <f aca="false">IF(AL9&gt;0,(AK20+IF(Source_Data!AL$6=Inputs!$B$12,Inputs!$B$7,0)+AL7)/AL9,"")</f>
        <v/>
      </c>
      <c r="AM24" s="31" t="str">
        <f aca="false">IF(AM9&gt;0,(AL20+IF(Source_Data!AM$6=Inputs!$B$12,Inputs!$B$7,0)+AM7)/AM9,"")</f>
        <v/>
      </c>
      <c r="AN24" s="31" t="str">
        <f aca="false">IF(AN9&gt;0,(AM20+IF(Source_Data!AN$6=Inputs!$B$12,Inputs!$B$7,0)+AN7)/AN9,"")</f>
        <v/>
      </c>
      <c r="AO24" s="31" t="str">
        <f aca="false">IF(AO9&gt;0,(AN20+IF(Source_Data!AO$6=Inputs!$B$12,Inputs!$B$7,0)+AO7)/AO9,"")</f>
        <v/>
      </c>
      <c r="AP24" s="31" t="str">
        <f aca="false">IF(AP9&gt;0,(AO20+IF(Source_Data!AP$6=Inputs!$B$12,Inputs!$B$7,0)+AP7)/AP9,"")</f>
        <v/>
      </c>
      <c r="AQ24" s="31" t="str">
        <f aca="false">IF(AQ9&gt;0,(AP20+IF(Source_Data!AQ$6=Inputs!$B$12,Inputs!$B$7,0)+AQ7)/AQ9,"")</f>
        <v/>
      </c>
      <c r="AR24" s="31" t="str">
        <f aca="false">IF(AR9&gt;0,(AQ20+IF(Source_Data!AR$6=Inputs!$B$12,Inputs!$B$7,0)+AR7)/AR9,"")</f>
        <v/>
      </c>
      <c r="AS24" s="31" t="str">
        <f aca="false">IF(AS9&gt;0,(AR20+IF(Source_Data!AS$6=Inputs!$B$12,Inputs!$B$7,0)+AS7)/AS9,"")</f>
        <v/>
      </c>
      <c r="AT24" s="31" t="str">
        <f aca="false">IF(AT9&gt;0,(AS20+IF(Source_Data!AT$6=Inputs!$B$12,Inputs!$B$7,0)+AT7)/AT9,"")</f>
        <v/>
      </c>
      <c r="AU24" s="31" t="str">
        <f aca="false">IF(AU9&gt;0,(AT20+IF(Source_Data!AU$6=Inputs!$B$12,Inputs!$B$7,0)+AU7)/AU9,"")</f>
        <v/>
      </c>
      <c r="AV24" s="31" t="str">
        <f aca="false">IF(AV9&gt;0,(AU20+IF(Source_Data!AV$6=Inputs!$B$12,Inputs!$B$7,0)+AV7)/AV9,"")</f>
        <v/>
      </c>
      <c r="AW24" s="31" t="str">
        <f aca="false">IF(AW9&gt;0,(AV20+IF(Source_Data!AW$6=Inputs!$B$12,Inputs!$B$7,0)+AW7)/AW9,"")</f>
        <v/>
      </c>
      <c r="AX24" s="31" t="str">
        <f aca="false">IF(AX9&gt;0,(AW20+IF(Source_Data!AX$6=Inputs!$B$12,Inputs!$B$7,0)+AX7)/AX9,"")</f>
        <v/>
      </c>
      <c r="AY24" s="31" t="str">
        <f aca="false">IF(AY9&gt;0,(AX20+IF(Source_Data!AY$6=Inputs!$B$12,Inputs!$B$7,0)+AY7)/AY9,"")</f>
        <v/>
      </c>
      <c r="AZ24" s="31" t="str">
        <f aca="false">IF(AZ9&gt;0,(AY20+IF(Source_Data!AZ$6=Inputs!$B$12,Inputs!$B$7,0)+AZ7)/AZ9,"")</f>
        <v/>
      </c>
      <c r="BA24" s="31" t="str">
        <f aca="false">IF(BA9&gt;0,(AZ20+IF(Source_Data!BA$6=Inputs!$B$12,Inputs!$B$7,0)+BA7)/BA9,"")</f>
        <v/>
      </c>
      <c r="BB24" s="31" t="str">
        <f aca="false">IF(BB9&gt;0,(BA20+IF(Source_Data!BB$6=Inputs!$B$12,Inputs!$B$7,0)+BB7)/BB9,"")</f>
        <v/>
      </c>
      <c r="BC24" s="31" t="str">
        <f aca="false">IF(BC9&gt;0,(BB20+IF(Source_Data!BC$6=Inputs!$B$12,Inputs!$B$7,0)+BC7)/BC9,"")</f>
        <v/>
      </c>
      <c r="BD24" s="31" t="str">
        <f aca="false">IF(BD9&gt;0,(BC20+IF(Source_Data!BD$6=Inputs!$B$12,Inputs!$B$7,0)+BD7)/BD9,"")</f>
        <v/>
      </c>
      <c r="BE24" s="31" t="str">
        <f aca="false">IF(BE9&gt;0,(BD20+IF(Source_Data!BE$6=Inputs!$B$12,Inputs!$B$7,0)+BE7)/BE9,"")</f>
        <v/>
      </c>
      <c r="BF24" s="31" t="str">
        <f aca="false">IF(BF9&gt;0,(BE20+IF(Source_Data!BF$6=Inputs!$B$12,Inputs!$B$7,0)+BF7)/BF9,"")</f>
        <v/>
      </c>
      <c r="BG24" s="31" t="str">
        <f aca="false">IF(BG9&gt;0,(BF20+IF(Source_Data!BG$6=Inputs!$B$12,Inputs!$B$7,0)+BG7)/BG9,"")</f>
        <v/>
      </c>
      <c r="BH24" s="31" t="str">
        <f aca="false">IF(BH9&gt;0,(BG20+IF(Source_Data!BH$6=Inputs!$B$12,Inputs!$B$7,0)+BH7)/BH9,"")</f>
        <v/>
      </c>
      <c r="BI24" s="31" t="str">
        <f aca="false">IF(BI9&gt;0,(BH20+IF(Source_Data!BI$6=Inputs!$B$12,Inputs!$B$7,0)+BI7)/BI9,"")</f>
        <v/>
      </c>
      <c r="BJ24" s="31" t="str">
        <f aca="false">IF(BJ9&gt;0,(BI20+IF(Source_Data!BJ$6=Inputs!$B$12,Inputs!$B$7,0)+BJ7)/BJ9,"")</f>
        <v/>
      </c>
      <c r="BK24" s="31" t="str">
        <f aca="false">IF(BK9&gt;0,(BJ20+IF(Source_Data!BK$6=Inputs!$B$12,Inputs!$B$7,0)+BK7)/BK9,"")</f>
        <v/>
      </c>
    </row>
    <row r="25" customFormat="false" ht="15" hidden="false" customHeight="false" outlineLevel="0" collapsed="false">
      <c r="A25" s="3" t="s">
        <v>310</v>
      </c>
      <c r="D25" s="31" t="str">
        <f aca="false">IF(D10&gt;0,D7/D10,"")</f>
        <v/>
      </c>
      <c r="E25" s="31" t="str">
        <f aca="false">IF(E10&gt;0,E7/E10,"")</f>
        <v/>
      </c>
      <c r="F25" s="31" t="str">
        <f aca="false">IF(F10&gt;0,F7/F10,"")</f>
        <v/>
      </c>
      <c r="G25" s="31" t="str">
        <f aca="false">IF(G10&gt;0,G7/G10,"")</f>
        <v/>
      </c>
      <c r="H25" s="31" t="str">
        <f aca="false">IF(H10&gt;0,H7/H10,"")</f>
        <v/>
      </c>
      <c r="I25" s="31" t="str">
        <f aca="false">IF(I10&gt;0,I7/I10,"")</f>
        <v/>
      </c>
      <c r="J25" s="31" t="str">
        <f aca="false">IF(J10&gt;0,J7/J10,"")</f>
        <v/>
      </c>
      <c r="K25" s="31" t="str">
        <f aca="false">IF(K10&gt;0,K7/K10,"")</f>
        <v/>
      </c>
      <c r="L25" s="31" t="str">
        <f aca="false">IF(L10&gt;0,L7/L10,"")</f>
        <v/>
      </c>
      <c r="M25" s="31" t="n">
        <f aca="false">IF(M10&gt;0,M7/M10,"")</f>
        <v>14.6651331304348</v>
      </c>
      <c r="N25" s="31" t="n">
        <f aca="false">IF(N10&gt;0,N7/N10,"")</f>
        <v>4.82666921739131</v>
      </c>
      <c r="O25" s="31" t="n">
        <f aca="false">IF(O10&gt;0,O7/O10,"")</f>
        <v>4.512104</v>
      </c>
      <c r="P25" s="31" t="n">
        <f aca="false">IF(P10&gt;0,P7/P10,"")</f>
        <v>-3.88143058806381</v>
      </c>
      <c r="Q25" s="31" t="n">
        <f aca="false">IF(Q10&gt;0,Q7/Q10,"")</f>
        <v>-6.85998999556403</v>
      </c>
      <c r="R25" s="31" t="n">
        <f aca="false">IF(R10&gt;0,R7/R10,"")</f>
        <v>-9.72987927361345</v>
      </c>
      <c r="S25" s="31" t="n">
        <f aca="false">IF(S10&gt;0,S7/S10,"")</f>
        <v>-7.0246332064983</v>
      </c>
      <c r="T25" s="31" t="n">
        <f aca="false">IF(T10&gt;0,T7/T10,"")</f>
        <v>1.07189695981881</v>
      </c>
      <c r="U25" s="31" t="n">
        <f aca="false">IF(U10&gt;0,U7/U10,"")</f>
        <v>0.996531190367188</v>
      </c>
      <c r="V25" s="31" t="n">
        <f aca="false">IF(V10&gt;0,V7/V10,"")</f>
        <v>0.656764819375484</v>
      </c>
      <c r="W25" s="31" t="n">
        <f aca="false">IF(W10&gt;0,W7/W10,"")</f>
        <v>0.358966464575833</v>
      </c>
      <c r="X25" s="31" t="n">
        <f aca="false">IF(X10&gt;0,X7/X10,"")</f>
        <v>2.20173337787748</v>
      </c>
      <c r="Y25" s="31" t="n">
        <f aca="false">IF(Y10&gt;0,Y7/Y10,"")</f>
        <v>19602724.8727062</v>
      </c>
      <c r="Z25" s="31" t="str">
        <f aca="false">IF(Z10&gt;0,Z7/Z10,"")</f>
        <v/>
      </c>
      <c r="AA25" s="31" t="str">
        <f aca="false">IF(AA10&gt;0,AA7/AA10,"")</f>
        <v/>
      </c>
      <c r="AB25" s="31" t="str">
        <f aca="false">IF(AB10&gt;0,AB7/AB10,"")</f>
        <v/>
      </c>
      <c r="AC25" s="31" t="str">
        <f aca="false">IF(AC10&gt;0,AC7/AC10,"")</f>
        <v/>
      </c>
      <c r="AD25" s="31" t="str">
        <f aca="false">IF(AD10&gt;0,AD7/AD10,"")</f>
        <v/>
      </c>
      <c r="AE25" s="31" t="str">
        <f aca="false">IF(AE10&gt;0,AE7/AE10,"")</f>
        <v/>
      </c>
      <c r="AF25" s="31" t="str">
        <f aca="false">IF(AF10&gt;0,AF7/AF10,"")</f>
        <v/>
      </c>
      <c r="AG25" s="31" t="str">
        <f aca="false">IF(AG10&gt;0,AG7/AG10,"")</f>
        <v/>
      </c>
      <c r="AH25" s="31" t="str">
        <f aca="false">IF(AH10&gt;0,AH7/AH10,"")</f>
        <v/>
      </c>
      <c r="AI25" s="31" t="str">
        <f aca="false">IF(AI10&gt;0,AI7/AI10,"")</f>
        <v/>
      </c>
      <c r="AJ25" s="31" t="str">
        <f aca="false">IF(AJ10&gt;0,AJ7/AJ10,"")</f>
        <v/>
      </c>
      <c r="AK25" s="31" t="str">
        <f aca="false">IF(AK10&gt;0,AK7/AK10,"")</f>
        <v/>
      </c>
      <c r="AL25" s="31" t="str">
        <f aca="false">IF(AL10&gt;0,AL7/AL10,"")</f>
        <v/>
      </c>
      <c r="AM25" s="31" t="str">
        <f aca="false">IF(AM10&gt;0,AM7/AM10,"")</f>
        <v/>
      </c>
      <c r="AN25" s="31" t="str">
        <f aca="false">IF(AN10&gt;0,AN7/AN10,"")</f>
        <v/>
      </c>
      <c r="AO25" s="31" t="str">
        <f aca="false">IF(AO10&gt;0,AO7/AO10,"")</f>
        <v/>
      </c>
      <c r="AP25" s="31" t="str">
        <f aca="false">IF(AP10&gt;0,AP7/AP10,"")</f>
        <v/>
      </c>
      <c r="AQ25" s="31" t="str">
        <f aca="false">IF(AQ10&gt;0,AQ7/AQ10,"")</f>
        <v/>
      </c>
      <c r="AR25" s="31" t="str">
        <f aca="false">IF(AR10&gt;0,AR7/AR10,"")</f>
        <v/>
      </c>
      <c r="AS25" s="31" t="str">
        <f aca="false">IF(AS10&gt;0,AS7/AS10,"")</f>
        <v/>
      </c>
      <c r="AT25" s="31" t="str">
        <f aca="false">IF(AT10&gt;0,AT7/AT10,"")</f>
        <v/>
      </c>
      <c r="AU25" s="31" t="str">
        <f aca="false">IF(AU10&gt;0,AU7/AU10,"")</f>
        <v/>
      </c>
      <c r="AV25" s="31" t="str">
        <f aca="false">IF(AV10&gt;0,AV7/AV10,"")</f>
        <v/>
      </c>
      <c r="AW25" s="31" t="str">
        <f aca="false">IF(AW10&gt;0,AW7/AW10,"")</f>
        <v/>
      </c>
      <c r="AX25" s="31" t="str">
        <f aca="false">IF(AX10&gt;0,AX7/AX10,"")</f>
        <v/>
      </c>
      <c r="AY25" s="31" t="str">
        <f aca="false">IF(AY10&gt;0,AY7/AY10,"")</f>
        <v/>
      </c>
      <c r="AZ25" s="31" t="str">
        <f aca="false">IF(AZ10&gt;0,AZ7/AZ10,"")</f>
        <v/>
      </c>
      <c r="BA25" s="31" t="str">
        <f aca="false">IF(BA10&gt;0,BA7/BA10,"")</f>
        <v/>
      </c>
      <c r="BB25" s="31" t="str">
        <f aca="false">IF(BB10&gt;0,BB7/BB10,"")</f>
        <v/>
      </c>
      <c r="BC25" s="31" t="str">
        <f aca="false">IF(BC10&gt;0,BC7/BC10,"")</f>
        <v/>
      </c>
      <c r="BD25" s="31" t="str">
        <f aca="false">IF(BD10&gt;0,BD7/BD10,"")</f>
        <v/>
      </c>
      <c r="BE25" s="31" t="str">
        <f aca="false">IF(BE10&gt;0,BE7/BE10,"")</f>
        <v/>
      </c>
      <c r="BF25" s="31" t="str">
        <f aca="false">IF(BF10&gt;0,BF7/BF10,"")</f>
        <v/>
      </c>
      <c r="BG25" s="31" t="str">
        <f aca="false">IF(BG10&gt;0,BG7/BG10,"")</f>
        <v/>
      </c>
      <c r="BH25" s="31" t="str">
        <f aca="false">IF(BH10&gt;0,BH7/BH10,"")</f>
        <v/>
      </c>
      <c r="BI25" s="31" t="str">
        <f aca="false">IF(BI10&gt;0,BI7/BI10,"")</f>
        <v/>
      </c>
      <c r="BJ25" s="31" t="str">
        <f aca="false">IF(BJ10&gt;0,BJ7/BJ10,"")</f>
        <v/>
      </c>
      <c r="BK25" s="31" t="str">
        <f aca="false">IF(BK10&gt;0,BK7/BK10,"")</f>
        <v/>
      </c>
    </row>
    <row r="26" customFormat="false" ht="15" hidden="false" customHeight="false" outlineLevel="0" collapsed="false">
      <c r="A26" s="3" t="s">
        <v>311</v>
      </c>
      <c r="D26" s="31" t="str">
        <f aca="false">IF(D10&gt;0,(0+IF(Source_Data!D$6=Inputs!$B$12,Inputs!$B$7,0)+D7)/D10,"")</f>
        <v/>
      </c>
      <c r="E26" s="31" t="str">
        <f aca="false">IF(E10&gt;0,(D21+IF(Source_Data!E$6=Inputs!$B$12,Inputs!$B$7,0)+E7)/E10,"")</f>
        <v/>
      </c>
      <c r="F26" s="31" t="str">
        <f aca="false">IF(F10&gt;0,(E21+IF(Source_Data!F$6=Inputs!$B$12,Inputs!$B$7,0)+F7)/F10,"")</f>
        <v/>
      </c>
      <c r="G26" s="31" t="str">
        <f aca="false">IF(G10&gt;0,(F21+IF(Source_Data!G$6=Inputs!$B$12,Inputs!$B$7,0)+G7)/G10,"")</f>
        <v/>
      </c>
      <c r="H26" s="31" t="str">
        <f aca="false">IF(H10&gt;0,(G21+IF(Source_Data!H$6=Inputs!$B$12,Inputs!$B$7,0)+H7)/H10,"")</f>
        <v/>
      </c>
      <c r="I26" s="31" t="str">
        <f aca="false">IF(I10&gt;0,(H21+IF(Source_Data!I$6=Inputs!$B$12,Inputs!$B$7,0)+I7)/I10,"")</f>
        <v/>
      </c>
      <c r="J26" s="31" t="str">
        <f aca="false">IF(J10&gt;0,(I21+IF(Source_Data!J$6=Inputs!$B$12,Inputs!$B$7,0)+J7)/J10,"")</f>
        <v/>
      </c>
      <c r="K26" s="31" t="str">
        <f aca="false">IF(K10&gt;0,(J21+IF(Source_Data!K$6=Inputs!$B$12,Inputs!$B$7,0)+K7)/K10,"")</f>
        <v/>
      </c>
      <c r="L26" s="31" t="str">
        <f aca="false">IF(L10&gt;0,(K21+IF(Source_Data!L$6=Inputs!$B$12,Inputs!$B$7,0)+L7)/L10,"")</f>
        <v/>
      </c>
      <c r="M26" s="31" t="n">
        <f aca="false">IF(M10&gt;0,(L21+IF(Source_Data!M$6=Inputs!$B$12,Inputs!$B$7,0)+M7)/M10,"")</f>
        <v>15.3005878804348</v>
      </c>
      <c r="N26" s="31" t="n">
        <f aca="false">IF(N10&gt;0,(M21+IF(Source_Data!N$6=Inputs!$B$12,Inputs!$B$7,0)+N7)/N10,"")</f>
        <v>19.1272570978261</v>
      </c>
      <c r="O26" s="31" t="n">
        <f aca="false">IF(O10&gt;0,(N21+IF(Source_Data!O$6=Inputs!$B$12,Inputs!$B$7,0)+O7)/O10,"")</f>
        <v>22.6393610978261</v>
      </c>
      <c r="P26" s="31" t="n">
        <f aca="false">IF(P10&gt;0,(O21+IF(Source_Data!P$6=Inputs!$B$12,Inputs!$B$7,0)+P7)/P10,"")</f>
        <v>21.9760575620767</v>
      </c>
      <c r="Q26" s="31" t="n">
        <f aca="false">IF(Q10&gt;0,(P21+IF(Source_Data!Q$6=Inputs!$B$12,Inputs!$B$7,0)+Q7)/Q10,"")</f>
        <v>21.7642813256718</v>
      </c>
      <c r="R26" s="31" t="n">
        <f aca="false">IF(R10&gt;0,(Q21+IF(Source_Data!R$6=Inputs!$B$12,Inputs!$B$7,0)+R7)/R10,"")</f>
        <v>11.0344020520584</v>
      </c>
      <c r="S26" s="31" t="n">
        <f aca="false">IF(S10&gt;0,(R21+IF(Source_Data!S$6=Inputs!$B$12,Inputs!$B$7,0)+S7)/S10,"")</f>
        <v>3.49247545621793</v>
      </c>
      <c r="T26" s="31" t="n">
        <f aca="false">IF(T10&gt;0,(S21+IF(Source_Data!T$6=Inputs!$B$12,Inputs!$B$7,0)+T7)/T10,"")</f>
        <v>3.84161684440949</v>
      </c>
      <c r="U26" s="31" t="n">
        <f aca="false">IF(U10&gt;0,(T21+IF(Source_Data!U$6=Inputs!$B$12,Inputs!$B$7,0)+U7)/U10,"")</f>
        <v>3.91019284402056</v>
      </c>
      <c r="V26" s="31" t="n">
        <f aca="false">IF(V10&gt;0,(U21+IF(Source_Data!V$6=Inputs!$B$12,Inputs!$B$7,0)+V7)/V10,"")</f>
        <v>3.89136569667811</v>
      </c>
      <c r="W26" s="31" t="n">
        <f aca="false">IF(W10&gt;0,(V21+IF(Source_Data!W$6=Inputs!$B$12,Inputs!$B$7,0)+W7)/W10,"")</f>
        <v>3.50449720889754</v>
      </c>
      <c r="X26" s="31" t="n">
        <f aca="false">IF(X10&gt;0,(W21+IF(Source_Data!X$6=Inputs!$B$12,Inputs!$B$7,0)+X7)/X10,"")</f>
        <v>4.70623058677502</v>
      </c>
      <c r="Y26" s="31" t="n">
        <f aca="false">IF(Y10&gt;0,(X21+IF(Source_Data!Y$6=Inputs!$B$12,Inputs!$B$7,0)+Y7)/Y10,"")</f>
        <v>64855427.7896401</v>
      </c>
      <c r="Z26" s="31" t="str">
        <f aca="false">IF(Z10&gt;0,(Y21+IF(Source_Data!Z$6=Inputs!$B$12,Inputs!$B$7,0)+Z7)/Z10,"")</f>
        <v/>
      </c>
      <c r="AA26" s="31" t="str">
        <f aca="false">IF(AA10&gt;0,(Z21+IF(Source_Data!AA$6=Inputs!$B$12,Inputs!$B$7,0)+AA7)/AA10,"")</f>
        <v/>
      </c>
      <c r="AB26" s="31" t="str">
        <f aca="false">IF(AB10&gt;0,(AA21+IF(Source_Data!AB$6=Inputs!$B$12,Inputs!$B$7,0)+AB7)/AB10,"")</f>
        <v/>
      </c>
      <c r="AC26" s="31" t="str">
        <f aca="false">IF(AC10&gt;0,(AB21+IF(Source_Data!AC$6=Inputs!$B$12,Inputs!$B$7,0)+AC7)/AC10,"")</f>
        <v/>
      </c>
      <c r="AD26" s="31" t="str">
        <f aca="false">IF(AD10&gt;0,(AC21+IF(Source_Data!AD$6=Inputs!$B$12,Inputs!$B$7,0)+AD7)/AD10,"")</f>
        <v/>
      </c>
      <c r="AE26" s="31" t="str">
        <f aca="false">IF(AE10&gt;0,(AD21+IF(Source_Data!AE$6=Inputs!$B$12,Inputs!$B$7,0)+AE7)/AE10,"")</f>
        <v/>
      </c>
      <c r="AF26" s="31" t="str">
        <f aca="false">IF(AF10&gt;0,(AE21+IF(Source_Data!AF$6=Inputs!$B$12,Inputs!$B$7,0)+AF7)/AF10,"")</f>
        <v/>
      </c>
      <c r="AG26" s="31" t="str">
        <f aca="false">IF(AG10&gt;0,(AF21+IF(Source_Data!AG$6=Inputs!$B$12,Inputs!$B$7,0)+AG7)/AG10,"")</f>
        <v/>
      </c>
      <c r="AH26" s="31" t="str">
        <f aca="false">IF(AH10&gt;0,(AG21+IF(Source_Data!AH$6=Inputs!$B$12,Inputs!$B$7,0)+AH7)/AH10,"")</f>
        <v/>
      </c>
      <c r="AI26" s="31" t="str">
        <f aca="false">IF(AI10&gt;0,(AH21+IF(Source_Data!AI$6=Inputs!$B$12,Inputs!$B$7,0)+AI7)/AI10,"")</f>
        <v/>
      </c>
      <c r="AJ26" s="31" t="str">
        <f aca="false">IF(AJ10&gt;0,(AI21+IF(Source_Data!AJ$6=Inputs!$B$12,Inputs!$B$7,0)+AJ7)/AJ10,"")</f>
        <v/>
      </c>
      <c r="AK26" s="31" t="str">
        <f aca="false">IF(AK10&gt;0,(AJ21+IF(Source_Data!AK$6=Inputs!$B$12,Inputs!$B$7,0)+AK7)/AK10,"")</f>
        <v/>
      </c>
      <c r="AL26" s="31" t="str">
        <f aca="false">IF(AL10&gt;0,(AK21+IF(Source_Data!AL$6=Inputs!$B$12,Inputs!$B$7,0)+AL7)/AL10,"")</f>
        <v/>
      </c>
      <c r="AM26" s="31" t="str">
        <f aca="false">IF(AM10&gt;0,(AL21+IF(Source_Data!AM$6=Inputs!$B$12,Inputs!$B$7,0)+AM7)/AM10,"")</f>
        <v/>
      </c>
      <c r="AN26" s="31" t="str">
        <f aca="false">IF(AN10&gt;0,(AM21+IF(Source_Data!AN$6=Inputs!$B$12,Inputs!$B$7,0)+AN7)/AN10,"")</f>
        <v/>
      </c>
      <c r="AO26" s="31" t="str">
        <f aca="false">IF(AO10&gt;0,(AN21+IF(Source_Data!AO$6=Inputs!$B$12,Inputs!$B$7,0)+AO7)/AO10,"")</f>
        <v/>
      </c>
      <c r="AP26" s="31" t="str">
        <f aca="false">IF(AP10&gt;0,(AO21+IF(Source_Data!AP$6=Inputs!$B$12,Inputs!$B$7,0)+AP7)/AP10,"")</f>
        <v/>
      </c>
      <c r="AQ26" s="31" t="str">
        <f aca="false">IF(AQ10&gt;0,(AP21+IF(Source_Data!AQ$6=Inputs!$B$12,Inputs!$B$7,0)+AQ7)/AQ10,"")</f>
        <v/>
      </c>
      <c r="AR26" s="31" t="str">
        <f aca="false">IF(AR10&gt;0,(AQ21+IF(Source_Data!AR$6=Inputs!$B$12,Inputs!$B$7,0)+AR7)/AR10,"")</f>
        <v/>
      </c>
      <c r="AS26" s="31" t="str">
        <f aca="false">IF(AS10&gt;0,(AR21+IF(Source_Data!AS$6=Inputs!$B$12,Inputs!$B$7,0)+AS7)/AS10,"")</f>
        <v/>
      </c>
      <c r="AT26" s="31" t="str">
        <f aca="false">IF(AT10&gt;0,(AS21+IF(Source_Data!AT$6=Inputs!$B$12,Inputs!$B$7,0)+AT7)/AT10,"")</f>
        <v/>
      </c>
      <c r="AU26" s="31" t="str">
        <f aca="false">IF(AU10&gt;0,(AT21+IF(Source_Data!AU$6=Inputs!$B$12,Inputs!$B$7,0)+AU7)/AU10,"")</f>
        <v/>
      </c>
      <c r="AV26" s="31" t="str">
        <f aca="false">IF(AV10&gt;0,(AU21+IF(Source_Data!AV$6=Inputs!$B$12,Inputs!$B$7,0)+AV7)/AV10,"")</f>
        <v/>
      </c>
      <c r="AW26" s="31" t="str">
        <f aca="false">IF(AW10&gt;0,(AV21+IF(Source_Data!AW$6=Inputs!$B$12,Inputs!$B$7,0)+AW7)/AW10,"")</f>
        <v/>
      </c>
      <c r="AX26" s="31" t="str">
        <f aca="false">IF(AX10&gt;0,(AW21+IF(Source_Data!AX$6=Inputs!$B$12,Inputs!$B$7,0)+AX7)/AX10,"")</f>
        <v/>
      </c>
      <c r="AY26" s="31" t="str">
        <f aca="false">IF(AY10&gt;0,(AX21+IF(Source_Data!AY$6=Inputs!$B$12,Inputs!$B$7,0)+AY7)/AY10,"")</f>
        <v/>
      </c>
      <c r="AZ26" s="31" t="str">
        <f aca="false">IF(AZ10&gt;0,(AY21+IF(Source_Data!AZ$6=Inputs!$B$12,Inputs!$B$7,0)+AZ7)/AZ10,"")</f>
        <v/>
      </c>
      <c r="BA26" s="31" t="str">
        <f aca="false">IF(BA10&gt;0,(AZ21+IF(Source_Data!BA$6=Inputs!$B$12,Inputs!$B$7,0)+BA7)/BA10,"")</f>
        <v/>
      </c>
      <c r="BB26" s="31" t="str">
        <f aca="false">IF(BB10&gt;0,(BA21+IF(Source_Data!BB$6=Inputs!$B$12,Inputs!$B$7,0)+BB7)/BB10,"")</f>
        <v/>
      </c>
      <c r="BC26" s="31" t="str">
        <f aca="false">IF(BC10&gt;0,(BB21+IF(Source_Data!BC$6=Inputs!$B$12,Inputs!$B$7,0)+BC7)/BC10,"")</f>
        <v/>
      </c>
      <c r="BD26" s="31" t="str">
        <f aca="false">IF(BD10&gt;0,(BC21+IF(Source_Data!BD$6=Inputs!$B$12,Inputs!$B$7,0)+BD7)/BD10,"")</f>
        <v/>
      </c>
      <c r="BE26" s="31" t="str">
        <f aca="false">IF(BE10&gt;0,(BD21+IF(Source_Data!BE$6=Inputs!$B$12,Inputs!$B$7,0)+BE7)/BE10,"")</f>
        <v/>
      </c>
      <c r="BF26" s="31" t="str">
        <f aca="false">IF(BF10&gt;0,(BE21+IF(Source_Data!BF$6=Inputs!$B$12,Inputs!$B$7,0)+BF7)/BF10,"")</f>
        <v/>
      </c>
      <c r="BG26" s="31" t="str">
        <f aca="false">IF(BG10&gt;0,(BF21+IF(Source_Data!BG$6=Inputs!$B$12,Inputs!$B$7,0)+BG7)/BG10,"")</f>
        <v/>
      </c>
      <c r="BH26" s="31" t="str">
        <f aca="false">IF(BH10&gt;0,(BG21+IF(Source_Data!BH$6=Inputs!$B$12,Inputs!$B$7,0)+BH7)/BH10,"")</f>
        <v/>
      </c>
      <c r="BI26" s="31" t="str">
        <f aca="false">IF(BI10&gt;0,(BH21+IF(Source_Data!BI$6=Inputs!$B$12,Inputs!$B$7,0)+BI7)/BI10,"")</f>
        <v/>
      </c>
      <c r="BJ26" s="31" t="str">
        <f aca="false">IF(BJ10&gt;0,(BI21+IF(Source_Data!BJ$6=Inputs!$B$12,Inputs!$B$7,0)+BJ7)/BJ10,"")</f>
        <v/>
      </c>
      <c r="BK26" s="31" t="str">
        <f aca="false">IF(BK10&gt;0,(BJ21+IF(Source_Data!BK$6=Inputs!$B$12,Inputs!$B$7,0)+BK7)/BK10,"")</f>
        <v/>
      </c>
    </row>
    <row r="27" customFormat="false" ht="15" hidden="false" customHeight="false" outlineLevel="0" collapsed="false">
      <c r="A27" s="3" t="s">
        <v>312</v>
      </c>
      <c r="D27" s="31" t="str">
        <f aca="false">IF(D13&gt;0,D7/D13,"")</f>
        <v/>
      </c>
      <c r="E27" s="31" t="str">
        <f aca="false">IF(E13&gt;0,E7/E13,"")</f>
        <v/>
      </c>
      <c r="F27" s="31" t="str">
        <f aca="false">IF(F13&gt;0,F7/F13,"")</f>
        <v/>
      </c>
      <c r="G27" s="31" t="str">
        <f aca="false">IF(G13&gt;0,G7/G13,"")</f>
        <v/>
      </c>
      <c r="H27" s="31" t="str">
        <f aca="false">IF(H13&gt;0,H7/H13,"")</f>
        <v/>
      </c>
      <c r="I27" s="31" t="str">
        <f aca="false">IF(I13&gt;0,I7/I13,"")</f>
        <v/>
      </c>
      <c r="J27" s="31" t="str">
        <f aca="false">IF(J13&gt;0,J7/J13,"")</f>
        <v/>
      </c>
      <c r="K27" s="31" t="str">
        <f aca="false">IF(K13&gt;0,K7/K13,"")</f>
        <v/>
      </c>
      <c r="L27" s="31" t="str">
        <f aca="false">IF(L13&gt;0,L7/L13,"")</f>
        <v/>
      </c>
      <c r="M27" s="31" t="n">
        <f aca="false">IF(M13&gt;0,M7/M13,"")</f>
        <v>13.089354831164</v>
      </c>
      <c r="N27" s="31" t="n">
        <f aca="false">IF(N13&gt;0,N7/N13,"")</f>
        <v>6.4695489037231</v>
      </c>
      <c r="O27" s="31" t="n">
        <f aca="false">IF(O13&gt;0,O7/O13,"")</f>
        <v>6.13784956121177</v>
      </c>
      <c r="P27" s="31" t="n">
        <f aca="false">IF(P13&gt;0,P7/P13,"")</f>
        <v>-5.0804347504391</v>
      </c>
      <c r="Q27" s="31" t="n">
        <f aca="false">IF(Q13&gt;0,Q7/Q13,"")</f>
        <v>-6.92010830998234</v>
      </c>
      <c r="R27" s="31" t="n">
        <f aca="false">IF(R13&gt;0,R7/R13,"")</f>
        <v>-9.81514819409315</v>
      </c>
      <c r="S27" s="31" t="n">
        <f aca="false">IF(S13&gt;0,S7/S13,"")</f>
        <v>-6.80524331484696</v>
      </c>
      <c r="T27" s="31" t="n">
        <f aca="false">IF(T13&gt;0,T7/T13,"")</f>
        <v>0.947388673128627</v>
      </c>
      <c r="U27" s="31" t="n">
        <f aca="false">IF(U13&gt;0,U7/U13,"")</f>
        <v>0.861645329453173</v>
      </c>
      <c r="V27" s="31" t="n">
        <f aca="false">IF(V13&gt;0,V7/V13,"")</f>
        <v>0.517219111221069</v>
      </c>
      <c r="W27" s="31" t="n">
        <f aca="false">IF(W13&gt;0,W7/W13,"")</f>
        <v>0.262198051554097</v>
      </c>
      <c r="X27" s="31" t="n">
        <f aca="false">IF(X13&gt;0,X7/X13,"")</f>
        <v>1.60820092875038</v>
      </c>
      <c r="Y27" s="31" t="str">
        <f aca="false">IF(Y13&gt;0,Y7/Y13,"")</f>
        <v/>
      </c>
      <c r="Z27" s="31" t="str">
        <f aca="false">IF(Z13&gt;0,Z7/Z13,"")</f>
        <v/>
      </c>
      <c r="AA27" s="31" t="str">
        <f aca="false">IF(AA13&gt;0,AA7/AA13,"")</f>
        <v/>
      </c>
      <c r="AB27" s="31" t="str">
        <f aca="false">IF(AB13&gt;0,AB7/AB13,"")</f>
        <v/>
      </c>
      <c r="AC27" s="31" t="str">
        <f aca="false">IF(AC13&gt;0,AC7/AC13,"")</f>
        <v/>
      </c>
      <c r="AD27" s="31" t="str">
        <f aca="false">IF(AD13&gt;0,AD7/AD13,"")</f>
        <v/>
      </c>
      <c r="AE27" s="31" t="str">
        <f aca="false">IF(AE13&gt;0,AE7/AE13,"")</f>
        <v/>
      </c>
      <c r="AF27" s="31" t="str">
        <f aca="false">IF(AF13&gt;0,AF7/AF13,"")</f>
        <v/>
      </c>
      <c r="AG27" s="31" t="str">
        <f aca="false">IF(AG13&gt;0,AG7/AG13,"")</f>
        <v/>
      </c>
      <c r="AH27" s="31" t="str">
        <f aca="false">IF(AH13&gt;0,AH7/AH13,"")</f>
        <v/>
      </c>
      <c r="AI27" s="31" t="str">
        <f aca="false">IF(AI13&gt;0,AI7/AI13,"")</f>
        <v/>
      </c>
      <c r="AJ27" s="31" t="str">
        <f aca="false">IF(AJ13&gt;0,AJ7/AJ13,"")</f>
        <v/>
      </c>
      <c r="AK27" s="31" t="str">
        <f aca="false">IF(AK13&gt;0,AK7/AK13,"")</f>
        <v/>
      </c>
      <c r="AL27" s="31" t="str">
        <f aca="false">IF(AL13&gt;0,AL7/AL13,"")</f>
        <v/>
      </c>
      <c r="AM27" s="31" t="str">
        <f aca="false">IF(AM13&gt;0,AM7/AM13,"")</f>
        <v/>
      </c>
      <c r="AN27" s="31" t="str">
        <f aca="false">IF(AN13&gt;0,AN7/AN13,"")</f>
        <v/>
      </c>
      <c r="AO27" s="31" t="str">
        <f aca="false">IF(AO13&gt;0,AO7/AO13,"")</f>
        <v/>
      </c>
      <c r="AP27" s="31" t="str">
        <f aca="false">IF(AP13&gt;0,AP7/AP13,"")</f>
        <v/>
      </c>
      <c r="AQ27" s="31" t="str">
        <f aca="false">IF(AQ13&gt;0,AQ7/AQ13,"")</f>
        <v/>
      </c>
      <c r="AR27" s="31" t="str">
        <f aca="false">IF(AR13&gt;0,AR7/AR13,"")</f>
        <v/>
      </c>
      <c r="AS27" s="31" t="str">
        <f aca="false">IF(AS13&gt;0,AS7/AS13,"")</f>
        <v/>
      </c>
      <c r="AT27" s="31" t="str">
        <f aca="false">IF(AT13&gt;0,AT7/AT13,"")</f>
        <v/>
      </c>
      <c r="AU27" s="31" t="str">
        <f aca="false">IF(AU13&gt;0,AU7/AU13,"")</f>
        <v/>
      </c>
      <c r="AV27" s="31" t="str">
        <f aca="false">IF(AV13&gt;0,AV7/AV13,"")</f>
        <v/>
      </c>
      <c r="AW27" s="31" t="str">
        <f aca="false">IF(AW13&gt;0,AW7/AW13,"")</f>
        <v/>
      </c>
      <c r="AX27" s="31" t="str">
        <f aca="false">IF(AX13&gt;0,AX7/AX13,"")</f>
        <v/>
      </c>
      <c r="AY27" s="31" t="str">
        <f aca="false">IF(AY13&gt;0,AY7/AY13,"")</f>
        <v/>
      </c>
      <c r="AZ27" s="31" t="str">
        <f aca="false">IF(AZ13&gt;0,AZ7/AZ13,"")</f>
        <v/>
      </c>
      <c r="BA27" s="31" t="str">
        <f aca="false">IF(BA13&gt;0,BA7/BA13,"")</f>
        <v/>
      </c>
      <c r="BB27" s="31" t="str">
        <f aca="false">IF(BB13&gt;0,BB7/BB13,"")</f>
        <v/>
      </c>
      <c r="BC27" s="31" t="str">
        <f aca="false">IF(BC13&gt;0,BC7/BC13,"")</f>
        <v/>
      </c>
      <c r="BD27" s="31" t="str">
        <f aca="false">IF(BD13&gt;0,BD7/BD13,"")</f>
        <v/>
      </c>
      <c r="BE27" s="31" t="str">
        <f aca="false">IF(BE13&gt;0,BE7/BE13,"")</f>
        <v/>
      </c>
      <c r="BF27" s="31" t="str">
        <f aca="false">IF(BF13&gt;0,BF7/BF13,"")</f>
        <v/>
      </c>
      <c r="BG27" s="31" t="str">
        <f aca="false">IF(BG13&gt;0,BG7/BG13,"")</f>
        <v/>
      </c>
      <c r="BH27" s="31" t="str">
        <f aca="false">IF(BH13&gt;0,BH7/BH13,"")</f>
        <v/>
      </c>
      <c r="BI27" s="31" t="str">
        <f aca="false">IF(BI13&gt;0,BI7/BI13,"")</f>
        <v/>
      </c>
      <c r="BJ27" s="31" t="str">
        <f aca="false">IF(BJ13&gt;0,BJ7/BJ13,"")</f>
        <v/>
      </c>
      <c r="BK27" s="31" t="str">
        <f aca="false">IF(BK13&gt;0,BK7/BK13,"")</f>
        <v/>
      </c>
    </row>
    <row r="28" customFormat="false" ht="15" hidden="false" customHeight="false" outlineLevel="0" collapsed="false">
      <c r="A28" s="3" t="s">
        <v>313</v>
      </c>
      <c r="D28" s="31" t="str">
        <f aca="false">IF(D13&gt;0,(0+IF(Source_Data!D$6=Inputs!$B$12,Inputs!$B$7,0)+D7)/D13,"")</f>
        <v/>
      </c>
      <c r="E28" s="31" t="str">
        <f aca="false">IF(E13&gt;0,(D22+IF(Source_Data!E$6=Inputs!$B$12,Inputs!$B$7,0)+E7)/E13,"")</f>
        <v/>
      </c>
      <c r="F28" s="31" t="str">
        <f aca="false">IF(F13&gt;0,(E22+IF(Source_Data!F$6=Inputs!$B$12,Inputs!$B$7,0)+F7)/F13,"")</f>
        <v/>
      </c>
      <c r="G28" s="31" t="str">
        <f aca="false">IF(G13&gt;0,(F22+IF(Source_Data!G$6=Inputs!$B$12,Inputs!$B$7,0)+G7)/G13,"")</f>
        <v/>
      </c>
      <c r="H28" s="31" t="str">
        <f aca="false">IF(H13&gt;0,(G22+IF(Source_Data!H$6=Inputs!$B$12,Inputs!$B$7,0)+H7)/H13,"")</f>
        <v/>
      </c>
      <c r="I28" s="31" t="str">
        <f aca="false">IF(I13&gt;0,(H22+IF(Source_Data!I$6=Inputs!$B$12,Inputs!$B$7,0)+I7)/I13,"")</f>
        <v/>
      </c>
      <c r="J28" s="31" t="str">
        <f aca="false">IF(J13&gt;0,(I22+IF(Source_Data!J$6=Inputs!$B$12,Inputs!$B$7,0)+J7)/J13,"")</f>
        <v/>
      </c>
      <c r="K28" s="31" t="str">
        <f aca="false">IF(K13&gt;0,(J22+IF(Source_Data!K$6=Inputs!$B$12,Inputs!$B$7,0)+K7)/K13,"")</f>
        <v/>
      </c>
      <c r="L28" s="31" t="str">
        <f aca="false">IF(L13&gt;0,(K22+IF(Source_Data!L$6=Inputs!$B$12,Inputs!$B$7,0)+L7)/L13,"")</f>
        <v/>
      </c>
      <c r="M28" s="31" t="n">
        <f aca="false">IF(M13&gt;0,(L22+IF(Source_Data!M$6=Inputs!$B$12,Inputs!$B$7,0)+M7)/M13,"")</f>
        <v>13.6565295460417</v>
      </c>
      <c r="N28" s="31" t="n">
        <f aca="false">IF(N13&gt;0,(M22+IF(Source_Data!N$6=Inputs!$B$12,Inputs!$B$7,0)+N7)/N13,"")</f>
        <v>25.4763429893493</v>
      </c>
      <c r="O28" s="31" t="n">
        <f aca="false">IF(O13&gt;0,(N22+IF(Source_Data!O$6=Inputs!$B$12,Inputs!$B$7,0)+O7)/O13,"")</f>
        <v>30.9781706581906</v>
      </c>
      <c r="P28" s="31" t="n">
        <f aca="false">IF(P13&gt;0,(O22+IF(Source_Data!P$6=Inputs!$B$12,Inputs!$B$7,0)+P7)/P13,"")</f>
        <v>29.3877921583729</v>
      </c>
      <c r="Q28" s="31" t="n">
        <f aca="false">IF(Q13&gt;0,(P22+IF(Source_Data!Q$6=Inputs!$B$12,Inputs!$B$7,0)+Q7)/Q13,"")</f>
        <v>22.9352677635388</v>
      </c>
      <c r="R28" s="31" t="n">
        <f aca="false">IF(R13&gt;0,(Q22+IF(Source_Data!R$6=Inputs!$B$12,Inputs!$B$7,0)+R7)/R13,"")</f>
        <v>12.1201195694456</v>
      </c>
      <c r="S28" s="31" t="n">
        <f aca="false">IF(S13&gt;0,(R22+IF(Source_Data!S$6=Inputs!$B$12,Inputs!$B$7,0)+S7)/S13,"")</f>
        <v>4.38771575798879</v>
      </c>
      <c r="T28" s="31" t="n">
        <f aca="false">IF(T13&gt;0,(S22+IF(Source_Data!T$6=Inputs!$B$12,Inputs!$B$7,0)+T7)/T13,"")</f>
        <v>4.3819167134095</v>
      </c>
      <c r="U28" s="31" t="n">
        <f aca="false">IF(U13&gt;0,(T22+IF(Source_Data!U$6=Inputs!$B$12,Inputs!$B$7,0)+U7)/U13,"")</f>
        <v>4.25398242133044</v>
      </c>
      <c r="V28" s="31" t="n">
        <f aca="false">IF(V13&gt;0,(U22+IF(Source_Data!V$6=Inputs!$B$12,Inputs!$B$7,0)+V7)/V13,"")</f>
        <v>3.81135245080622</v>
      </c>
      <c r="W28" s="31" t="n">
        <f aca="false">IF(W13&gt;0,(V22+IF(Source_Data!W$6=Inputs!$B$12,Inputs!$B$7,0)+W7)/W13,"")</f>
        <v>3.09892219523465</v>
      </c>
      <c r="X28" s="31" t="n">
        <f aca="false">IF(X13&gt;0,(W22+IF(Source_Data!X$6=Inputs!$B$12,Inputs!$B$7,0)+X7)/X13,"")</f>
        <v>3.70712312398503</v>
      </c>
      <c r="Y28" s="31" t="str">
        <f aca="false">IF(Y13&gt;0,(X22+IF(Source_Data!Y$6=Inputs!$B$12,Inputs!$B$7,0)+Y7)/Y13,"")</f>
        <v/>
      </c>
      <c r="Z28" s="31" t="str">
        <f aca="false">IF(Z13&gt;0,(Y22+IF(Source_Data!Z$6=Inputs!$B$12,Inputs!$B$7,0)+Z7)/Z13,"")</f>
        <v/>
      </c>
      <c r="AA28" s="31" t="str">
        <f aca="false">IF(AA13&gt;0,(Z22+IF(Source_Data!AA$6=Inputs!$B$12,Inputs!$B$7,0)+AA7)/AA13,"")</f>
        <v/>
      </c>
      <c r="AB28" s="31" t="str">
        <f aca="false">IF(AB13&gt;0,(AA22+IF(Source_Data!AB$6=Inputs!$B$12,Inputs!$B$7,0)+AB7)/AB13,"")</f>
        <v/>
      </c>
      <c r="AC28" s="31" t="str">
        <f aca="false">IF(AC13&gt;0,(AB22+IF(Source_Data!AC$6=Inputs!$B$12,Inputs!$B$7,0)+AC7)/AC13,"")</f>
        <v/>
      </c>
      <c r="AD28" s="31" t="str">
        <f aca="false">IF(AD13&gt;0,(AC22+IF(Source_Data!AD$6=Inputs!$B$12,Inputs!$B$7,0)+AD7)/AD13,"")</f>
        <v/>
      </c>
      <c r="AE28" s="31" t="str">
        <f aca="false">IF(AE13&gt;0,(AD22+IF(Source_Data!AE$6=Inputs!$B$12,Inputs!$B$7,0)+AE7)/AE13,"")</f>
        <v/>
      </c>
      <c r="AF28" s="31" t="str">
        <f aca="false">IF(AF13&gt;0,(AE22+IF(Source_Data!AF$6=Inputs!$B$12,Inputs!$B$7,0)+AF7)/AF13,"")</f>
        <v/>
      </c>
      <c r="AG28" s="31" t="str">
        <f aca="false">IF(AG13&gt;0,(AF22+IF(Source_Data!AG$6=Inputs!$B$12,Inputs!$B$7,0)+AG7)/AG13,"")</f>
        <v/>
      </c>
      <c r="AH28" s="31" t="str">
        <f aca="false">IF(AH13&gt;0,(AG22+IF(Source_Data!AH$6=Inputs!$B$12,Inputs!$B$7,0)+AH7)/AH13,"")</f>
        <v/>
      </c>
      <c r="AI28" s="31" t="str">
        <f aca="false">IF(AI13&gt;0,(AH22+IF(Source_Data!AI$6=Inputs!$B$12,Inputs!$B$7,0)+AI7)/AI13,"")</f>
        <v/>
      </c>
      <c r="AJ28" s="31" t="str">
        <f aca="false">IF(AJ13&gt;0,(AI22+IF(Source_Data!AJ$6=Inputs!$B$12,Inputs!$B$7,0)+AJ7)/AJ13,"")</f>
        <v/>
      </c>
      <c r="AK28" s="31" t="str">
        <f aca="false">IF(AK13&gt;0,(AJ22+IF(Source_Data!AK$6=Inputs!$B$12,Inputs!$B$7,0)+AK7)/AK13,"")</f>
        <v/>
      </c>
      <c r="AL28" s="31" t="str">
        <f aca="false">IF(AL13&gt;0,(AK22+IF(Source_Data!AL$6=Inputs!$B$12,Inputs!$B$7,0)+AL7)/AL13,"")</f>
        <v/>
      </c>
      <c r="AM28" s="31" t="str">
        <f aca="false">IF(AM13&gt;0,(AL22+IF(Source_Data!AM$6=Inputs!$B$12,Inputs!$B$7,0)+AM7)/AM13,"")</f>
        <v/>
      </c>
      <c r="AN28" s="31" t="str">
        <f aca="false">IF(AN13&gt;0,(AM22+IF(Source_Data!AN$6=Inputs!$B$12,Inputs!$B$7,0)+AN7)/AN13,"")</f>
        <v/>
      </c>
      <c r="AO28" s="31" t="str">
        <f aca="false">IF(AO13&gt;0,(AN22+IF(Source_Data!AO$6=Inputs!$B$12,Inputs!$B$7,0)+AO7)/AO13,"")</f>
        <v/>
      </c>
      <c r="AP28" s="31" t="str">
        <f aca="false">IF(AP13&gt;0,(AO22+IF(Source_Data!AP$6=Inputs!$B$12,Inputs!$B$7,0)+AP7)/AP13,"")</f>
        <v/>
      </c>
      <c r="AQ28" s="31" t="str">
        <f aca="false">IF(AQ13&gt;0,(AP22+IF(Source_Data!AQ$6=Inputs!$B$12,Inputs!$B$7,0)+AQ7)/AQ13,"")</f>
        <v/>
      </c>
      <c r="AR28" s="31" t="str">
        <f aca="false">IF(AR13&gt;0,(AQ22+IF(Source_Data!AR$6=Inputs!$B$12,Inputs!$B$7,0)+AR7)/AR13,"")</f>
        <v/>
      </c>
      <c r="AS28" s="31" t="str">
        <f aca="false">IF(AS13&gt;0,(AR22+IF(Source_Data!AS$6=Inputs!$B$12,Inputs!$B$7,0)+AS7)/AS13,"")</f>
        <v/>
      </c>
      <c r="AT28" s="31" t="str">
        <f aca="false">IF(AT13&gt;0,(AS22+IF(Source_Data!AT$6=Inputs!$B$12,Inputs!$B$7,0)+AT7)/AT13,"")</f>
        <v/>
      </c>
      <c r="AU28" s="31" t="str">
        <f aca="false">IF(AU13&gt;0,(AT22+IF(Source_Data!AU$6=Inputs!$B$12,Inputs!$B$7,0)+AU7)/AU13,"")</f>
        <v/>
      </c>
      <c r="AV28" s="31" t="str">
        <f aca="false">IF(AV13&gt;0,(AU22+IF(Source_Data!AV$6=Inputs!$B$12,Inputs!$B$7,0)+AV7)/AV13,"")</f>
        <v/>
      </c>
      <c r="AW28" s="31" t="str">
        <f aca="false">IF(AW13&gt;0,(AV22+IF(Source_Data!AW$6=Inputs!$B$12,Inputs!$B$7,0)+AW7)/AW13,"")</f>
        <v/>
      </c>
      <c r="AX28" s="31" t="str">
        <f aca="false">IF(AX13&gt;0,(AW22+IF(Source_Data!AX$6=Inputs!$B$12,Inputs!$B$7,0)+AX7)/AX13,"")</f>
        <v/>
      </c>
      <c r="AY28" s="31" t="str">
        <f aca="false">IF(AY13&gt;0,(AX22+IF(Source_Data!AY$6=Inputs!$B$12,Inputs!$B$7,0)+AY7)/AY13,"")</f>
        <v/>
      </c>
      <c r="AZ28" s="31" t="str">
        <f aca="false">IF(AZ13&gt;0,(AY22+IF(Source_Data!AZ$6=Inputs!$B$12,Inputs!$B$7,0)+AZ7)/AZ13,"")</f>
        <v/>
      </c>
      <c r="BA28" s="31" t="str">
        <f aca="false">IF(BA13&gt;0,(AZ22+IF(Source_Data!BA$6=Inputs!$B$12,Inputs!$B$7,0)+BA7)/BA13,"")</f>
        <v/>
      </c>
      <c r="BB28" s="31" t="str">
        <f aca="false">IF(BB13&gt;0,(BA22+IF(Source_Data!BB$6=Inputs!$B$12,Inputs!$B$7,0)+BB7)/BB13,"")</f>
        <v/>
      </c>
      <c r="BC28" s="31" t="str">
        <f aca="false">IF(BC13&gt;0,(BB22+IF(Source_Data!BC$6=Inputs!$B$12,Inputs!$B$7,0)+BC7)/BC13,"")</f>
        <v/>
      </c>
      <c r="BD28" s="31" t="str">
        <f aca="false">IF(BD13&gt;0,(BC22+IF(Source_Data!BD$6=Inputs!$B$12,Inputs!$B$7,0)+BD7)/BD13,"")</f>
        <v/>
      </c>
      <c r="BE28" s="31" t="str">
        <f aca="false">IF(BE13&gt;0,(BD22+IF(Source_Data!BE$6=Inputs!$B$12,Inputs!$B$7,0)+BE7)/BE13,"")</f>
        <v/>
      </c>
      <c r="BF28" s="31" t="str">
        <f aca="false">IF(BF13&gt;0,(BE22+IF(Source_Data!BF$6=Inputs!$B$12,Inputs!$B$7,0)+BF7)/BF13,"")</f>
        <v/>
      </c>
      <c r="BG28" s="31" t="str">
        <f aca="false">IF(BG13&gt;0,(BF22+IF(Source_Data!BG$6=Inputs!$B$12,Inputs!$B$7,0)+BG7)/BG13,"")</f>
        <v/>
      </c>
      <c r="BH28" s="31" t="str">
        <f aca="false">IF(BH13&gt;0,(BG22+IF(Source_Data!BH$6=Inputs!$B$12,Inputs!$B$7,0)+BH7)/BH13,"")</f>
        <v/>
      </c>
      <c r="BI28" s="31" t="str">
        <f aca="false">IF(BI13&gt;0,(BH22+IF(Source_Data!BI$6=Inputs!$B$12,Inputs!$B$7,0)+BI7)/BI13,"")</f>
        <v/>
      </c>
      <c r="BJ28" s="31" t="str">
        <f aca="false">IF(BJ13&gt;0,(BI22+IF(Source_Data!BJ$6=Inputs!$B$12,Inputs!$B$7,0)+BJ7)/BJ13,"")</f>
        <v/>
      </c>
      <c r="BK28" s="31" t="str">
        <f aca="false">IF(BK13&gt;0,(BJ22+IF(Source_Data!BK$6=Inputs!$B$12,Inputs!$B$7,0)+BK7)/BK13,"")</f>
        <v/>
      </c>
    </row>
    <row r="31" customFormat="false" ht="35.05" hidden="false" customHeight="false" outlineLevel="0" collapsed="false">
      <c r="A31" s="7" t="s">
        <v>314</v>
      </c>
      <c r="B31" s="7" t="s">
        <v>315</v>
      </c>
      <c r="C31" s="7" t="s">
        <v>316</v>
      </c>
      <c r="D31" s="7" t="s">
        <v>317</v>
      </c>
    </row>
    <row r="32" customFormat="false" ht="15" hidden="false" customHeight="false" outlineLevel="0" collapsed="false">
      <c r="A32" s="3" t="s">
        <v>318</v>
      </c>
      <c r="B32" s="41" t="n">
        <f aca="false">SUM(D9:BK9)</f>
        <v>230</v>
      </c>
      <c r="C32" s="41" t="n">
        <f aca="false">SUM(D10:BK10)</f>
        <v>230</v>
      </c>
      <c r="D32" s="41" t="n">
        <f aca="false">SUM(D13:BK13)</f>
        <v>230</v>
      </c>
    </row>
    <row r="33" customFormat="false" ht="15" hidden="false" customHeight="false" outlineLevel="0" collapsed="false">
      <c r="A33" s="3" t="s">
        <v>319</v>
      </c>
      <c r="B33" s="40" t="n">
        <f aca="false">B32/Inputs!$B$7</f>
        <v>2.3</v>
      </c>
      <c r="C33" s="40" t="n">
        <f aca="false">C32/Inputs!$B$7</f>
        <v>2.3</v>
      </c>
      <c r="D33" s="40" t="n">
        <f aca="false">D32/Inputs!$B$7</f>
        <v>2.3</v>
      </c>
    </row>
    <row r="34" customFormat="false" ht="15" hidden="false" customHeight="false" outlineLevel="0" collapsed="false">
      <c r="A34" s="3" t="s">
        <v>280</v>
      </c>
      <c r="B34" s="39" t="n">
        <f aca="false">(1+IRR(D14:BK14,0.05))^4-1</f>
        <v>0.265463994839995</v>
      </c>
      <c r="C34" s="39" t="n">
        <f aca="false">(1+IRR(D15:BK15,0.05))^4-1</f>
        <v>0.290276628628477</v>
      </c>
      <c r="D34" s="39" t="n">
        <f aca="false">(1+IRR(D16:BK16,0.05))^4-1</f>
        <v>0.27835276492556</v>
      </c>
    </row>
    <row r="35" customFormat="false" ht="15" hidden="false" customHeight="false" outlineLevel="0" collapsed="false">
      <c r="A35" s="3" t="s">
        <v>45</v>
      </c>
      <c r="B35" s="39" t="n">
        <f aca="false">(1+IRR(D17:BK17,0.05))^4-1</f>
        <v>0.265463994839995</v>
      </c>
      <c r="C35" s="39" t="n">
        <f aca="false">(1+IRR(D18:BK18,0.05))^4-1</f>
        <v>0.290276628628477</v>
      </c>
      <c r="D35" s="39" t="n">
        <f aca="false">(1+IRR(D19:BK19,0.05))^4-1</f>
        <v>0.27835276492556</v>
      </c>
    </row>
    <row r="36" customFormat="false" ht="15" hidden="false" customHeight="false" outlineLevel="0" collapsed="false">
      <c r="A36" s="3" t="s">
        <v>269</v>
      </c>
      <c r="B36" s="41" t="n">
        <f aca="false">SUMPRODUCT(D17:BK17,Project_CF!$D$15:$BK$15)</f>
        <v>-42.536578844783</v>
      </c>
      <c r="C36" s="41" t="n">
        <f aca="false">SUMPRODUCT(D18:BK18,Project_CF!$D$15:$BK$15)</f>
        <v>-47.476749949135</v>
      </c>
      <c r="D36" s="41" t="n">
        <f aca="false">SUMPRODUCT(D19:BK19,Project_CF!$D$15:$BK$15)</f>
        <v>-45.1109267622509</v>
      </c>
    </row>
    <row r="37" customFormat="false" ht="15" hidden="false" customHeight="false" outlineLevel="0" collapsed="false">
      <c r="A37" s="3" t="s">
        <v>320</v>
      </c>
      <c r="B37" s="43" t="n">
        <f aca="false">MIN(D23:BK23)</f>
        <v>-8.95047815217391</v>
      </c>
      <c r="C37" s="43" t="n">
        <f aca="false">MIN(D25:BK25)</f>
        <v>-9.72987927361345</v>
      </c>
      <c r="D37" s="43" t="n">
        <f aca="false">MIN(D27:BK27)</f>
        <v>-9.81514819409315</v>
      </c>
    </row>
    <row r="38" customFormat="false" ht="15" hidden="false" customHeight="false" outlineLevel="0" collapsed="false">
      <c r="A38" s="3" t="s">
        <v>321</v>
      </c>
      <c r="B38" s="35" t="n">
        <f aca="false">COUNTIF(D23:BK23,"&lt;"&amp;Inputs!$B$43)</f>
        <v>9</v>
      </c>
      <c r="C38" s="35" t="n">
        <f aca="false">COUNTIF(D25:BK25,"&lt;"&amp;Inputs!$B$43)</f>
        <v>8</v>
      </c>
      <c r="D38" s="35" t="n">
        <f aca="false">COUNTIF(D27:BK27,"&lt;"&amp;Inputs!$B$43)</f>
        <v>8</v>
      </c>
    </row>
    <row r="39" customFormat="false" ht="15" hidden="false" customHeight="false" outlineLevel="0" collapsed="false">
      <c r="A39" s="3" t="s">
        <v>53</v>
      </c>
      <c r="B39" s="35" t="n">
        <f aca="false">COUNTIF(D9:BK9,"&gt;0")</f>
        <v>12</v>
      </c>
      <c r="C39" s="35" t="n">
        <f aca="false">COUNTIF(D10:BK10,"&gt;0")</f>
        <v>13</v>
      </c>
      <c r="D39" s="35" t="n">
        <f aca="false">COUNTIF(D13:BK13,"&gt;0")</f>
        <v>12</v>
      </c>
    </row>
    <row r="40" customFormat="false" ht="15" hidden="false" customHeight="false" outlineLevel="0" collapsed="false">
      <c r="A40" s="3" t="s">
        <v>322</v>
      </c>
      <c r="B40" s="43" t="n">
        <f aca="false">MIN(D24:BK24)</f>
        <v>2.95842224456522</v>
      </c>
      <c r="C40" s="43" t="n">
        <f aca="false">MIN(D26:BK26)</f>
        <v>3.49247545621793</v>
      </c>
      <c r="D40" s="43" t="n">
        <f aca="false">MIN(D28:BK28)</f>
        <v>3.09892219523465</v>
      </c>
    </row>
    <row r="41" customFormat="false" ht="15" hidden="false" customHeight="false" outlineLevel="0" collapsed="false">
      <c r="A41" s="3" t="s">
        <v>323</v>
      </c>
      <c r="B41" s="35" t="n">
        <f aca="false">COUNTIF(D24:BK24,"&lt;"&amp;Inputs!$B$43)</f>
        <v>0</v>
      </c>
      <c r="C41" s="35" t="n">
        <f aca="false">COUNTIF(D26:BK26,"&lt;"&amp;Inputs!$B$43)</f>
        <v>0</v>
      </c>
      <c r="D41" s="35" t="n">
        <f aca="false">COUNTIF(D28:BK28,"&lt;"&amp;Inputs!$B$43)</f>
        <v>0</v>
      </c>
    </row>
    <row r="42" customFormat="false" ht="15" hidden="false" customHeight="false" outlineLevel="0" collapsed="false">
      <c r="A42" s="3" t="s">
        <v>324</v>
      </c>
      <c r="B42" s="41" t="n">
        <f aca="false">MIN(D20:BK20)</f>
        <v>-2.5</v>
      </c>
      <c r="C42" s="41" t="n">
        <f aca="false">MIN(D21:BK21)</f>
        <v>-2.5</v>
      </c>
      <c r="D42" s="41" t="n">
        <f aca="false">MIN(D22:BK22)</f>
        <v>-2.5</v>
      </c>
    </row>
    <row r="43" customFormat="false" ht="15" hidden="false" customHeight="false" outlineLevel="0" collapsed="false">
      <c r="A43" s="3" t="s">
        <v>325</v>
      </c>
      <c r="B43" s="35" t="n">
        <f aca="false">SUMPRODUCT(MAX((D9:BK9&gt;0)*D5:BK5))</f>
        <v>63</v>
      </c>
      <c r="C43" s="35" t="n">
        <f aca="false">SUMPRODUCT(MAX((D10:BK10&gt;0)*D5:BK5))</f>
        <v>66</v>
      </c>
      <c r="D43" s="35" t="n">
        <f aca="false">SUMPRODUCT(MAX((D13:BK13&gt;0)*D5:BK5))</f>
        <v>63</v>
      </c>
    </row>
    <row r="46" customFormat="false" ht="15" hidden="false" customHeight="false" outlineLevel="0" collapsed="false">
      <c r="A46" s="3" t="s">
        <v>326</v>
      </c>
      <c r="B46" s="44" t="n">
        <f aca="false">INDEX(D5:BK5,MATCH(1,D48:BK48,0))</f>
        <v>45</v>
      </c>
    </row>
    <row r="47" customFormat="false" ht="15" hidden="false" customHeight="false" outlineLevel="0" collapsed="false">
      <c r="A47" s="3" t="s">
        <v>327</v>
      </c>
      <c r="D47" s="33" t="n">
        <f aca="false">D14</f>
        <v>-100</v>
      </c>
      <c r="E47" s="33" t="n">
        <f aca="false">D47+E14</f>
        <v>-100</v>
      </c>
      <c r="F47" s="33" t="n">
        <f aca="false">E47+F14</f>
        <v>-100</v>
      </c>
      <c r="G47" s="33" t="n">
        <f aca="false">F47+G14</f>
        <v>-100</v>
      </c>
      <c r="H47" s="33" t="n">
        <f aca="false">G47+H14</f>
        <v>-100</v>
      </c>
      <c r="I47" s="33" t="n">
        <f aca="false">H47+I14</f>
        <v>-100</v>
      </c>
      <c r="J47" s="33" t="n">
        <f aca="false">I47+J14</f>
        <v>-100</v>
      </c>
      <c r="K47" s="33" t="n">
        <f aca="false">J47+K14</f>
        <v>-100</v>
      </c>
      <c r="L47" s="33" t="n">
        <f aca="false">K47+L14</f>
        <v>-100</v>
      </c>
      <c r="M47" s="33" t="n">
        <f aca="false">L47+M14</f>
        <v>-80.8333333333333</v>
      </c>
      <c r="N47" s="33" t="n">
        <f aca="false">M47+N14</f>
        <v>-61.6666666666667</v>
      </c>
      <c r="O47" s="33" t="n">
        <f aca="false">N47+O14</f>
        <v>-42.5</v>
      </c>
      <c r="P47" s="33" t="n">
        <f aca="false">O47+P14</f>
        <v>-23.3333333333334</v>
      </c>
      <c r="Q47" s="33" t="n">
        <f aca="false">P47+Q14</f>
        <v>-4.16666666666669</v>
      </c>
      <c r="R47" s="33" t="n">
        <f aca="false">Q47+R14</f>
        <v>15</v>
      </c>
      <c r="S47" s="33" t="n">
        <f aca="false">R47+S14</f>
        <v>34.1666666666666</v>
      </c>
      <c r="T47" s="33" t="n">
        <f aca="false">S47+T14</f>
        <v>53.3333333333333</v>
      </c>
      <c r="U47" s="33" t="n">
        <f aca="false">T47+U14</f>
        <v>72.5</v>
      </c>
      <c r="V47" s="33" t="n">
        <f aca="false">U47+V14</f>
        <v>91.6666666666666</v>
      </c>
      <c r="W47" s="33" t="n">
        <f aca="false">V47+W14</f>
        <v>110.833333333333</v>
      </c>
      <c r="X47" s="33" t="n">
        <f aca="false">W47+X14</f>
        <v>130</v>
      </c>
      <c r="Y47" s="33" t="n">
        <f aca="false">X47+Y14</f>
        <v>130</v>
      </c>
      <c r="Z47" s="33" t="n">
        <f aca="false">Y47+Z14</f>
        <v>130</v>
      </c>
      <c r="AA47" s="33" t="n">
        <f aca="false">Z47+AA14</f>
        <v>130</v>
      </c>
      <c r="AB47" s="33" t="n">
        <f aca="false">AA47+AB14</f>
        <v>130</v>
      </c>
      <c r="AC47" s="33" t="n">
        <f aca="false">AB47+AC14</f>
        <v>130</v>
      </c>
      <c r="AD47" s="33" t="n">
        <f aca="false">AC47+AD14</f>
        <v>130</v>
      </c>
      <c r="AE47" s="33" t="n">
        <f aca="false">AD47+AE14</f>
        <v>130</v>
      </c>
      <c r="AF47" s="33" t="n">
        <f aca="false">AE47+AF14</f>
        <v>130</v>
      </c>
      <c r="AG47" s="33" t="n">
        <f aca="false">AF47+AG14</f>
        <v>130</v>
      </c>
      <c r="AH47" s="33" t="n">
        <f aca="false">AG47+AH14</f>
        <v>130</v>
      </c>
      <c r="AI47" s="33" t="n">
        <f aca="false">AH47+AI14</f>
        <v>130</v>
      </c>
      <c r="AJ47" s="33" t="n">
        <f aca="false">AI47+AJ14</f>
        <v>130</v>
      </c>
      <c r="AK47" s="33" t="n">
        <f aca="false">AJ47+AK14</f>
        <v>130</v>
      </c>
      <c r="AL47" s="33" t="n">
        <f aca="false">AK47+AL14</f>
        <v>130</v>
      </c>
      <c r="AM47" s="33" t="n">
        <f aca="false">AL47+AM14</f>
        <v>130</v>
      </c>
      <c r="AN47" s="33" t="n">
        <f aca="false">AM47+AN14</f>
        <v>130</v>
      </c>
      <c r="AO47" s="33" t="n">
        <f aca="false">AN47+AO14</f>
        <v>130</v>
      </c>
      <c r="AP47" s="33" t="n">
        <f aca="false">AO47+AP14</f>
        <v>130</v>
      </c>
      <c r="AQ47" s="33" t="n">
        <f aca="false">AP47+AQ14</f>
        <v>130</v>
      </c>
      <c r="AR47" s="33" t="n">
        <f aca="false">AQ47+AR14</f>
        <v>130</v>
      </c>
      <c r="AS47" s="33" t="n">
        <f aca="false">AR47+AS14</f>
        <v>130</v>
      </c>
      <c r="AT47" s="33" t="n">
        <f aca="false">AS47+AT14</f>
        <v>130</v>
      </c>
      <c r="AU47" s="33" t="n">
        <f aca="false">AT47+AU14</f>
        <v>130</v>
      </c>
      <c r="AV47" s="33" t="n">
        <f aca="false">AU47+AV14</f>
        <v>130</v>
      </c>
      <c r="AW47" s="33" t="n">
        <f aca="false">AV47+AW14</f>
        <v>130</v>
      </c>
      <c r="AX47" s="33" t="n">
        <f aca="false">AW47+AX14</f>
        <v>130</v>
      </c>
      <c r="AY47" s="33" t="n">
        <f aca="false">AX47+AY14</f>
        <v>130</v>
      </c>
      <c r="AZ47" s="33" t="n">
        <f aca="false">AY47+AZ14</f>
        <v>130</v>
      </c>
      <c r="BA47" s="33" t="n">
        <f aca="false">AZ47+BA14</f>
        <v>130</v>
      </c>
      <c r="BB47" s="33" t="n">
        <f aca="false">BA47+BB14</f>
        <v>130</v>
      </c>
      <c r="BC47" s="33" t="n">
        <f aca="false">BB47+BC14</f>
        <v>130</v>
      </c>
      <c r="BD47" s="33" t="n">
        <f aca="false">BC47+BD14</f>
        <v>130</v>
      </c>
      <c r="BE47" s="33" t="n">
        <f aca="false">BD47+BE14</f>
        <v>130</v>
      </c>
      <c r="BF47" s="33" t="n">
        <f aca="false">BE47+BF14</f>
        <v>130</v>
      </c>
      <c r="BG47" s="33" t="n">
        <f aca="false">BF47+BG14</f>
        <v>130</v>
      </c>
      <c r="BH47" s="33" t="n">
        <f aca="false">BG47+BH14</f>
        <v>130</v>
      </c>
      <c r="BI47" s="33" t="n">
        <f aca="false">BH47+BI14</f>
        <v>130</v>
      </c>
      <c r="BJ47" s="33" t="n">
        <f aca="false">BI47+BJ14</f>
        <v>130</v>
      </c>
      <c r="BK47" s="33" t="n">
        <f aca="false">BJ47+BK14</f>
        <v>130</v>
      </c>
    </row>
    <row r="48" customFormat="false" ht="15" hidden="false" customHeight="false" outlineLevel="0" collapsed="false">
      <c r="A48" s="3" t="s">
        <v>328</v>
      </c>
      <c r="D48" s="3" t="n">
        <f aca="false">IF(AND(D47&gt;=0,D5&gt;Inputs!$B$12),1,0)</f>
        <v>0</v>
      </c>
      <c r="E48" s="3" t="n">
        <f aca="false">IF(AND(E47&gt;=0,E5&gt;Inputs!$B$12),1,0)</f>
        <v>0</v>
      </c>
      <c r="F48" s="3" t="n">
        <f aca="false">IF(AND(F47&gt;=0,F5&gt;Inputs!$B$12),1,0)</f>
        <v>0</v>
      </c>
      <c r="G48" s="3" t="n">
        <f aca="false">IF(AND(G47&gt;=0,G5&gt;Inputs!$B$12),1,0)</f>
        <v>0</v>
      </c>
      <c r="H48" s="3" t="n">
        <f aca="false">IF(AND(H47&gt;=0,H5&gt;Inputs!$B$12),1,0)</f>
        <v>0</v>
      </c>
      <c r="I48" s="3" t="n">
        <f aca="false">IF(AND(I47&gt;=0,I5&gt;Inputs!$B$12),1,0)</f>
        <v>0</v>
      </c>
      <c r="J48" s="3" t="n">
        <f aca="false">IF(AND(J47&gt;=0,J5&gt;Inputs!$B$12),1,0)</f>
        <v>0</v>
      </c>
      <c r="K48" s="3" t="n">
        <f aca="false">IF(AND(K47&gt;=0,K5&gt;Inputs!$B$12),1,0)</f>
        <v>0</v>
      </c>
      <c r="L48" s="3" t="n">
        <f aca="false">IF(AND(L47&gt;=0,L5&gt;Inputs!$B$12),1,0)</f>
        <v>0</v>
      </c>
      <c r="M48" s="3" t="n">
        <f aca="false">IF(AND(M47&gt;=0,M5&gt;Inputs!$B$12),1,0)</f>
        <v>0</v>
      </c>
      <c r="N48" s="3" t="n">
        <f aca="false">IF(AND(N47&gt;=0,N5&gt;Inputs!$B$12),1,0)</f>
        <v>0</v>
      </c>
      <c r="O48" s="3" t="n">
        <f aca="false">IF(AND(O47&gt;=0,O5&gt;Inputs!$B$12),1,0)</f>
        <v>0</v>
      </c>
      <c r="P48" s="3" t="n">
        <f aca="false">IF(AND(P47&gt;=0,P5&gt;Inputs!$B$12),1,0)</f>
        <v>0</v>
      </c>
      <c r="Q48" s="3" t="n">
        <f aca="false">IF(AND(Q47&gt;=0,Q5&gt;Inputs!$B$12),1,0)</f>
        <v>0</v>
      </c>
      <c r="R48" s="3" t="n">
        <f aca="false">IF(AND(R47&gt;=0,R5&gt;Inputs!$B$12),1,0)</f>
        <v>1</v>
      </c>
      <c r="S48" s="3" t="n">
        <f aca="false">IF(AND(S47&gt;=0,S5&gt;Inputs!$B$12),1,0)</f>
        <v>1</v>
      </c>
      <c r="T48" s="3" t="n">
        <f aca="false">IF(AND(T47&gt;=0,T5&gt;Inputs!$B$12),1,0)</f>
        <v>1</v>
      </c>
      <c r="U48" s="3" t="n">
        <f aca="false">IF(AND(U47&gt;=0,U5&gt;Inputs!$B$12),1,0)</f>
        <v>1</v>
      </c>
      <c r="V48" s="3" t="n">
        <f aca="false">IF(AND(V47&gt;=0,V5&gt;Inputs!$B$12),1,0)</f>
        <v>1</v>
      </c>
      <c r="W48" s="3" t="n">
        <f aca="false">IF(AND(W47&gt;=0,W5&gt;Inputs!$B$12),1,0)</f>
        <v>1</v>
      </c>
      <c r="X48" s="3" t="n">
        <f aca="false">IF(AND(X47&gt;=0,X5&gt;Inputs!$B$12),1,0)</f>
        <v>1</v>
      </c>
      <c r="Y48" s="3" t="n">
        <f aca="false">IF(AND(Y47&gt;=0,Y5&gt;Inputs!$B$12),1,0)</f>
        <v>1</v>
      </c>
      <c r="Z48" s="3" t="n">
        <f aca="false">IF(AND(Z47&gt;=0,Z5&gt;Inputs!$B$12),1,0)</f>
        <v>1</v>
      </c>
      <c r="AA48" s="3" t="n">
        <f aca="false">IF(AND(AA47&gt;=0,AA5&gt;Inputs!$B$12),1,0)</f>
        <v>1</v>
      </c>
      <c r="AB48" s="3" t="n">
        <f aca="false">IF(AND(AB47&gt;=0,AB5&gt;Inputs!$B$12),1,0)</f>
        <v>1</v>
      </c>
      <c r="AC48" s="3" t="n">
        <f aca="false">IF(AND(AC47&gt;=0,AC5&gt;Inputs!$B$12),1,0)</f>
        <v>1</v>
      </c>
      <c r="AD48" s="3" t="n">
        <f aca="false">IF(AND(AD47&gt;=0,AD5&gt;Inputs!$B$12),1,0)</f>
        <v>1</v>
      </c>
      <c r="AE48" s="3" t="n">
        <f aca="false">IF(AND(AE47&gt;=0,AE5&gt;Inputs!$B$12),1,0)</f>
        <v>1</v>
      </c>
      <c r="AF48" s="3" t="n">
        <f aca="false">IF(AND(AF47&gt;=0,AF5&gt;Inputs!$B$12),1,0)</f>
        <v>1</v>
      </c>
      <c r="AG48" s="3" t="n">
        <f aca="false">IF(AND(AG47&gt;=0,AG5&gt;Inputs!$B$12),1,0)</f>
        <v>1</v>
      </c>
      <c r="AH48" s="3" t="n">
        <f aca="false">IF(AND(AH47&gt;=0,AH5&gt;Inputs!$B$12),1,0)</f>
        <v>1</v>
      </c>
      <c r="AI48" s="3" t="n">
        <f aca="false">IF(AND(AI47&gt;=0,AI5&gt;Inputs!$B$12),1,0)</f>
        <v>1</v>
      </c>
      <c r="AJ48" s="3" t="n">
        <f aca="false">IF(AND(AJ47&gt;=0,AJ5&gt;Inputs!$B$12),1,0)</f>
        <v>1</v>
      </c>
      <c r="AK48" s="3" t="n">
        <f aca="false">IF(AND(AK47&gt;=0,AK5&gt;Inputs!$B$12),1,0)</f>
        <v>1</v>
      </c>
      <c r="AL48" s="3" t="n">
        <f aca="false">IF(AND(AL47&gt;=0,AL5&gt;Inputs!$B$12),1,0)</f>
        <v>1</v>
      </c>
      <c r="AM48" s="3" t="n">
        <f aca="false">IF(AND(AM47&gt;=0,AM5&gt;Inputs!$B$12),1,0)</f>
        <v>1</v>
      </c>
      <c r="AN48" s="3" t="n">
        <f aca="false">IF(AND(AN47&gt;=0,AN5&gt;Inputs!$B$12),1,0)</f>
        <v>1</v>
      </c>
      <c r="AO48" s="3" t="n">
        <f aca="false">IF(AND(AO47&gt;=0,AO5&gt;Inputs!$B$12),1,0)</f>
        <v>1</v>
      </c>
      <c r="AP48" s="3" t="n">
        <f aca="false">IF(AND(AP47&gt;=0,AP5&gt;Inputs!$B$12),1,0)</f>
        <v>1</v>
      </c>
      <c r="AQ48" s="3" t="n">
        <f aca="false">IF(AND(AQ47&gt;=0,AQ5&gt;Inputs!$B$12),1,0)</f>
        <v>1</v>
      </c>
      <c r="AR48" s="3" t="n">
        <f aca="false">IF(AND(AR47&gt;=0,AR5&gt;Inputs!$B$12),1,0)</f>
        <v>1</v>
      </c>
      <c r="AS48" s="3" t="n">
        <f aca="false">IF(AND(AS47&gt;=0,AS5&gt;Inputs!$B$12),1,0)</f>
        <v>1</v>
      </c>
      <c r="AT48" s="3" t="n">
        <f aca="false">IF(AND(AT47&gt;=0,AT5&gt;Inputs!$B$12),1,0)</f>
        <v>1</v>
      </c>
      <c r="AU48" s="3" t="n">
        <f aca="false">IF(AND(AU47&gt;=0,AU5&gt;Inputs!$B$12),1,0)</f>
        <v>1</v>
      </c>
      <c r="AV48" s="3" t="n">
        <f aca="false">IF(AND(AV47&gt;=0,AV5&gt;Inputs!$B$12),1,0)</f>
        <v>1</v>
      </c>
      <c r="AW48" s="3" t="n">
        <f aca="false">IF(AND(AW47&gt;=0,AW5&gt;Inputs!$B$12),1,0)</f>
        <v>1</v>
      </c>
      <c r="AX48" s="3" t="n">
        <f aca="false">IF(AND(AX47&gt;=0,AX5&gt;Inputs!$B$12),1,0)</f>
        <v>1</v>
      </c>
      <c r="AY48" s="3" t="n">
        <f aca="false">IF(AND(AY47&gt;=0,AY5&gt;Inputs!$B$12),1,0)</f>
        <v>1</v>
      </c>
      <c r="AZ48" s="3" t="n">
        <f aca="false">IF(AND(AZ47&gt;=0,AZ5&gt;Inputs!$B$12),1,0)</f>
        <v>1</v>
      </c>
      <c r="BA48" s="3" t="n">
        <f aca="false">IF(AND(BA47&gt;=0,BA5&gt;Inputs!$B$12),1,0)</f>
        <v>1</v>
      </c>
      <c r="BB48" s="3" t="n">
        <f aca="false">IF(AND(BB47&gt;=0,BB5&gt;Inputs!$B$12),1,0)</f>
        <v>1</v>
      </c>
      <c r="BC48" s="3" t="n">
        <f aca="false">IF(AND(BC47&gt;=0,BC5&gt;Inputs!$B$12),1,0)</f>
        <v>1</v>
      </c>
      <c r="BD48" s="3" t="n">
        <f aca="false">IF(AND(BD47&gt;=0,BD5&gt;Inputs!$B$12),1,0)</f>
        <v>1</v>
      </c>
      <c r="BE48" s="3" t="n">
        <f aca="false">IF(AND(BE47&gt;=0,BE5&gt;Inputs!$B$12),1,0)</f>
        <v>1</v>
      </c>
      <c r="BF48" s="3" t="n">
        <f aca="false">IF(AND(BF47&gt;=0,BF5&gt;Inputs!$B$12),1,0)</f>
        <v>1</v>
      </c>
      <c r="BG48" s="3" t="n">
        <f aca="false">IF(AND(BG47&gt;=0,BG5&gt;Inputs!$B$12),1,0)</f>
        <v>1</v>
      </c>
      <c r="BH48" s="3" t="n">
        <f aca="false">IF(AND(BH47&gt;=0,BH5&gt;Inputs!$B$12),1,0)</f>
        <v>1</v>
      </c>
      <c r="BI48" s="3" t="n">
        <f aca="false">IF(AND(BI47&gt;=0,BI5&gt;Inputs!$B$12),1,0)</f>
        <v>1</v>
      </c>
      <c r="BJ48" s="3" t="n">
        <f aca="false">IF(AND(BJ47&gt;=0,BJ5&gt;Inputs!$B$12),1,0)</f>
        <v>1</v>
      </c>
      <c r="BK48" s="3" t="n">
        <f aca="false">IF(AND(BK47&gt;=0,BK5&gt;Inputs!$B$12),1,0)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329</v>
      </c>
    </row>
    <row r="2" customFormat="false" ht="15" hidden="false" customHeight="false" outlineLevel="0" collapsed="false">
      <c r="A2" s="6" t="s">
        <v>330</v>
      </c>
    </row>
    <row r="4" customFormat="false" ht="15" hidden="false" customHeight="false" outlineLevel="0" collapsed="false">
      <c r="A4" s="8" t="s">
        <v>60</v>
      </c>
    </row>
    <row r="5" customFormat="false" ht="15" hidden="false" customHeight="false" outlineLevel="0" collapsed="false">
      <c r="A5" s="3" t="s">
        <v>331</v>
      </c>
      <c r="B5" s="45" t="n">
        <v>1</v>
      </c>
    </row>
    <row r="6" customFormat="false" ht="15" hidden="false" customHeight="false" outlineLevel="0" collapsed="false">
      <c r="A6" s="3" t="s">
        <v>332</v>
      </c>
      <c r="B6" s="45" t="n">
        <v>0</v>
      </c>
    </row>
    <row r="7" customFormat="false" ht="15" hidden="false" customHeight="false" outlineLevel="0" collapsed="false">
      <c r="A7" s="3" t="s">
        <v>333</v>
      </c>
      <c r="B7" s="45" t="n">
        <v>1</v>
      </c>
    </row>
    <row r="8" customFormat="false" ht="15" hidden="false" customHeight="false" outlineLevel="0" collapsed="false">
      <c r="A8" s="3" t="s">
        <v>334</v>
      </c>
      <c r="B8" s="45" t="n">
        <v>0</v>
      </c>
    </row>
    <row r="9" customFormat="false" ht="15" hidden="false" customHeight="false" outlineLevel="0" collapsed="false">
      <c r="A9" s="3" t="s">
        <v>335</v>
      </c>
      <c r="B9" s="45" t="n">
        <v>0</v>
      </c>
    </row>
    <row r="10" customFormat="false" ht="15" hidden="false" customHeight="false" outlineLevel="0" collapsed="false">
      <c r="A10" s="3" t="s">
        <v>336</v>
      </c>
      <c r="B10" s="3" t="n">
        <f aca="false">Inputs!$B$13+3+3*$B$6</f>
        <v>51</v>
      </c>
    </row>
    <row r="11" customFormat="false" ht="15" hidden="false" customHeight="false" outlineLevel="0" collapsed="false">
      <c r="A11" s="3" t="s">
        <v>337</v>
      </c>
      <c r="D11" s="33" t="n">
        <f aca="false">Source_Data!D$7+IF($B$9=1,IF(Source_Data!D$6=Inputs!$B$13,Source_Data!$C$8,0),Source_Data!D$8)</f>
        <v>0</v>
      </c>
      <c r="E11" s="33" t="n">
        <f aca="false">Source_Data!E$7+IF($B$9=1,IF(Source_Data!E$6=Inputs!$B$13,Source_Data!$C$8,0),Source_Data!E$8)</f>
        <v>0</v>
      </c>
      <c r="F11" s="33" t="n">
        <f aca="false">Source_Data!F$7+IF($B$9=1,IF(Source_Data!F$6=Inputs!$B$13,Source_Data!$C$8,0),Source_Data!F$8)</f>
        <v>15.1392375</v>
      </c>
      <c r="G11" s="33" t="n">
        <f aca="false">Source_Data!G$7+IF($B$9=1,IF(Source_Data!G$6=Inputs!$B$13,Source_Data!$C$8,0),Source_Data!G$8)</f>
        <v>30.278475</v>
      </c>
      <c r="H11" s="33" t="n">
        <f aca="false">Source_Data!H$7+IF($B$9=1,IF(Source_Data!H$6=Inputs!$B$13,Source_Data!$C$8,0),Source_Data!H$8)</f>
        <v>46.51200625</v>
      </c>
      <c r="I11" s="33" t="n">
        <f aca="false">Source_Data!I$7+IF($B$9=1,IF(Source_Data!I$6=Inputs!$B$13,Source_Data!$C$8,0),Source_Data!I$8)</f>
        <v>62.7455375</v>
      </c>
      <c r="J11" s="33" t="n">
        <f aca="false">Source_Data!J$7+IF($B$9=1,IF(Source_Data!J$6=Inputs!$B$13,Source_Data!$C$8,0),Source_Data!J$8)</f>
        <v>62.3657</v>
      </c>
      <c r="K11" s="33" t="n">
        <f aca="false">Source_Data!K$7+IF($B$9=1,IF(Source_Data!K$6=Inputs!$B$13,Source_Data!$C$8,0),Source_Data!K$8)</f>
        <v>63.473559375</v>
      </c>
      <c r="L11" s="33" t="n">
        <f aca="false">Source_Data!L$7+IF($B$9=1,IF(Source_Data!L$6=Inputs!$B$13,Source_Data!$C$8,0),Source_Data!L$8)</f>
        <v>80.3288484375</v>
      </c>
      <c r="M11" s="33" t="n">
        <f aca="false">Source_Data!M$7+IF($B$9=1,IF(Source_Data!M$6=Inputs!$B$13,Source_Data!$C$8,0),Source_Data!M$8)</f>
        <v>495.2538375</v>
      </c>
      <c r="N11" s="33" t="n">
        <f aca="false">Source_Data!N$7+IF($B$9=1,IF(Source_Data!N$6=Inputs!$B$13,Source_Data!$C$8,0),Source_Data!N$8)</f>
        <v>185.57775</v>
      </c>
      <c r="O11" s="33" t="n">
        <f aca="false">Source_Data!O$7+IF($B$9=1,IF(Source_Data!O$6=Inputs!$B$13,Source_Data!$C$8,0),Source_Data!O$8)</f>
        <v>176.534</v>
      </c>
      <c r="P11" s="33" t="n">
        <f aca="false">Source_Data!P$7+IF($B$9=1,IF(Source_Data!P$6=Inputs!$B$13,Source_Data!$C$8,0),Source_Data!P$8)</f>
        <v>97.31075</v>
      </c>
      <c r="Q11" s="33" t="n">
        <f aca="false">Source_Data!Q$7+IF($B$9=1,IF(Source_Data!Q$6=Inputs!$B$13,Source_Data!$C$8,0),Source_Data!Q$8)</f>
        <v>71.30996875</v>
      </c>
      <c r="R11" s="33" t="n">
        <f aca="false">Source_Data!R$7+IF($B$9=1,IF(Source_Data!R$6=Inputs!$B$13,Source_Data!$C$8,0),Source_Data!R$8)</f>
        <v>71.30996875</v>
      </c>
      <c r="S11" s="33" t="n">
        <f aca="false">Source_Data!S$7+IF($B$9=1,IF(Source_Data!S$6=Inputs!$B$13,Source_Data!$C$8,0),Source_Data!S$8)</f>
        <v>68.037035625</v>
      </c>
      <c r="T11" s="33" t="n">
        <f aca="false">Source_Data!T$7+IF($B$9=1,IF(Source_Data!T$6=Inputs!$B$13,Source_Data!$C$8,0),Source_Data!T$8)</f>
        <v>61.2266396875</v>
      </c>
      <c r="U11" s="33" t="n">
        <f aca="false">Source_Data!U$7+IF($B$9=1,IF(Source_Data!U$6=Inputs!$B$13,Source_Data!$C$8,0),Source_Data!U$8)</f>
        <v>59.7127159375</v>
      </c>
      <c r="V11" s="33" t="n">
        <f aca="false">Source_Data!V$7+IF($B$9=1,IF(Source_Data!V$6=Inputs!$B$13,Source_Data!$C$8,0),Source_Data!V$8)</f>
        <v>53.7239446875</v>
      </c>
      <c r="W11" s="33" t="n">
        <f aca="false">Source_Data!W$7+IF($B$9=1,IF(Source_Data!W$6=Inputs!$B$13,Source_Data!$C$8,0),Source_Data!W$8)</f>
        <v>49.3829446875</v>
      </c>
      <c r="X11" s="33" t="n">
        <f aca="false">Source_Data!X$7+IF($B$9=1,IF(Source_Data!X$6=Inputs!$B$13,Source_Data!$C$8,0),Source_Data!X$8)</f>
        <v>49.3829446875</v>
      </c>
      <c r="Y11" s="33" t="n">
        <f aca="false">Source_Data!Y$7+IF($B$9=1,IF(Source_Data!Y$6=Inputs!$B$13,Source_Data!$C$8,0),Source_Data!Y$8)</f>
        <v>42.1027259375</v>
      </c>
      <c r="Z11" s="33" t="n">
        <f aca="false">Source_Data!Z$7+IF($B$9=1,IF(Source_Data!Z$6=Inputs!$B$13,Source_Data!$C$8,0),Source_Data!Z$8)</f>
        <v>42.1027259375</v>
      </c>
      <c r="AA11" s="33" t="n">
        <f aca="false">Source_Data!AA$7+IF($B$9=1,IF(Source_Data!AA$6=Inputs!$B$13,Source_Data!$C$8,0),Source_Data!AA$8)</f>
        <v>42.1027259375</v>
      </c>
      <c r="AB11" s="33" t="n">
        <f aca="false">Source_Data!AB$7+IF($B$9=1,IF(Source_Data!AB$6=Inputs!$B$13,Source_Data!$C$8,0),Source_Data!AB$8)</f>
        <v>36.3147259375</v>
      </c>
      <c r="AC11" s="33" t="n">
        <f aca="false">Source_Data!AC$7+IF($B$9=1,IF(Source_Data!AC$6=Inputs!$B$13,Source_Data!$C$8,0),Source_Data!AC$8)</f>
        <v>33.0386275</v>
      </c>
      <c r="AD11" s="33" t="n">
        <f aca="false">Source_Data!AD$7+IF($B$9=1,IF(Source_Data!AD$6=Inputs!$B$13,Source_Data!$C$8,0),Source_Data!AD$8)</f>
        <v>29.43017125</v>
      </c>
      <c r="AE11" s="33" t="n">
        <f aca="false">Source_Data!AE$7+IF($B$9=1,IF(Source_Data!AE$6=Inputs!$B$13,Source_Data!$C$8,0),Source_Data!AE$8)</f>
        <v>25.08917125</v>
      </c>
      <c r="AF11" s="33" t="n">
        <f aca="false">Source_Data!AF$7+IF($B$9=1,IF(Source_Data!AF$6=Inputs!$B$13,Source_Data!$C$8,0),Source_Data!AF$8)</f>
        <v>25.08917125</v>
      </c>
      <c r="AG11" s="33" t="n">
        <f aca="false">Source_Data!AG$7+IF($B$9=1,IF(Source_Data!AG$6=Inputs!$B$13,Source_Data!$C$8,0),Source_Data!AG$8)</f>
        <v>25.08917125</v>
      </c>
      <c r="AH11" s="33" t="n">
        <f aca="false">Source_Data!AH$7+IF($B$9=1,IF(Source_Data!AH$6=Inputs!$B$13,Source_Data!$C$8,0),Source_Data!AH$8)</f>
        <v>25.08917125</v>
      </c>
      <c r="AI11" s="33" t="n">
        <f aca="false">Source_Data!AI$7+IF($B$9=1,IF(Source_Data!AI$6=Inputs!$B$13,Source_Data!$C$8,0),Source_Data!AI$8)</f>
        <v>25.08917125</v>
      </c>
      <c r="AJ11" s="33" t="n">
        <f aca="false">Source_Data!AJ$7+IF($B$9=1,IF(Source_Data!AJ$6=Inputs!$B$13,Source_Data!$C$8,0),Source_Data!AJ$8)</f>
        <v>25.08917125</v>
      </c>
      <c r="AK11" s="33" t="n">
        <f aca="false">Source_Data!AK$7+IF($B$9=1,IF(Source_Data!AK$6=Inputs!$B$13,Source_Data!$C$8,0),Source_Data!AK$8)</f>
        <v>22.905105625</v>
      </c>
      <c r="AL11" s="33" t="n">
        <f aca="false">Source_Data!AL$7+IF($B$9=1,IF(Source_Data!AL$6=Inputs!$B$13,Source_Data!$C$8,0),Source_Data!AL$8)</f>
        <v>22.905105625</v>
      </c>
      <c r="AM11" s="33" t="n">
        <f aca="false">Source_Data!AM$7+IF($B$9=1,IF(Source_Data!AM$6=Inputs!$B$13,Source_Data!$C$8,0),Source_Data!AM$8)</f>
        <v>18.739554375</v>
      </c>
      <c r="AN11" s="33" t="n">
        <f aca="false">Source_Data!AN$7+IF($B$9=1,IF(Source_Data!AN$6=Inputs!$B$13,Source_Data!$C$8,0),Source_Data!AN$8)</f>
        <v>9.6261675</v>
      </c>
      <c r="AO11" s="33" t="n">
        <f aca="false">Source_Data!AO$7+IF($B$9=1,IF(Source_Data!AO$6=Inputs!$B$13,Source_Data!$C$8,0),Source_Data!AO$8)</f>
        <v>3.5704725</v>
      </c>
      <c r="AP11" s="33" t="n">
        <f aca="false">Source_Data!AP$7+IF($B$9=1,IF(Source_Data!AP$6=Inputs!$B$13,Source_Data!$C$8,0),Source_Data!AP$8)</f>
        <v>0</v>
      </c>
      <c r="AQ11" s="33" t="n">
        <f aca="false">Source_Data!AQ$7+IF($B$9=1,IF(Source_Data!AQ$6=Inputs!$B$13,Source_Data!$C$8,0),Source_Data!AQ$8)</f>
        <v>0</v>
      </c>
      <c r="AR11" s="33" t="n">
        <f aca="false">Source_Data!AR$7+IF($B$9=1,IF(Source_Data!AR$6=Inputs!$B$13,Source_Data!$C$8,0),Source_Data!AR$8)</f>
        <v>0</v>
      </c>
      <c r="AS11" s="33" t="n">
        <f aca="false">Source_Data!AS$7+IF($B$9=1,IF(Source_Data!AS$6=Inputs!$B$13,Source_Data!$C$8,0),Source_Data!AS$8)</f>
        <v>0</v>
      </c>
      <c r="AT11" s="33" t="n">
        <f aca="false">Source_Data!AT$7+IF($B$9=1,IF(Source_Data!AT$6=Inputs!$B$13,Source_Data!$C$8,0),Source_Data!AT$8)</f>
        <v>0</v>
      </c>
      <c r="AU11" s="33" t="n">
        <f aca="false">Source_Data!AU$7+IF($B$9=1,IF(Source_Data!AU$6=Inputs!$B$13,Source_Data!$C$8,0),Source_Data!AU$8)</f>
        <v>0</v>
      </c>
      <c r="AV11" s="33" t="n">
        <f aca="false">Source_Data!AV$7+IF($B$9=1,IF(Source_Data!AV$6=Inputs!$B$13,Source_Data!$C$8,0),Source_Data!AV$8)</f>
        <v>0</v>
      </c>
      <c r="AW11" s="33" t="n">
        <f aca="false">Source_Data!AW$7+IF($B$9=1,IF(Source_Data!AW$6=Inputs!$B$13,Source_Data!$C$8,0),Source_Data!AW$8)</f>
        <v>0</v>
      </c>
      <c r="AX11" s="33" t="n">
        <f aca="false">Source_Data!AX$7+IF($B$9=1,IF(Source_Data!AX$6=Inputs!$B$13,Source_Data!$C$8,0),Source_Data!AX$8)</f>
        <v>0</v>
      </c>
      <c r="AY11" s="33" t="n">
        <f aca="false">Source_Data!AY$7+IF($B$9=1,IF(Source_Data!AY$6=Inputs!$B$13,Source_Data!$C$8,0),Source_Data!AY$8)</f>
        <v>0</v>
      </c>
      <c r="AZ11" s="33" t="n">
        <f aca="false">Source_Data!AZ$7+IF($B$9=1,IF(Source_Data!AZ$6=Inputs!$B$13,Source_Data!$C$8,0),Source_Data!AZ$8)</f>
        <v>0</v>
      </c>
      <c r="BA11" s="33" t="n">
        <f aca="false">Source_Data!BA$7+IF($B$9=1,IF(Source_Data!BA$6=Inputs!$B$13,Source_Data!$C$8,0),Source_Data!BA$8)</f>
        <v>0</v>
      </c>
      <c r="BB11" s="33" t="n">
        <f aca="false">Source_Data!BB$7+IF($B$9=1,IF(Source_Data!BB$6=Inputs!$B$13,Source_Data!$C$8,0),Source_Data!BB$8)</f>
        <v>0</v>
      </c>
      <c r="BC11" s="33" t="n">
        <f aca="false">Source_Data!BC$7+IF($B$9=1,IF(Source_Data!BC$6=Inputs!$B$13,Source_Data!$C$8,0),Source_Data!BC$8)</f>
        <v>0</v>
      </c>
      <c r="BD11" s="33" t="n">
        <f aca="false">Source_Data!BD$7+IF($B$9=1,IF(Source_Data!BD$6=Inputs!$B$13,Source_Data!$C$8,0),Source_Data!BD$8)</f>
        <v>0</v>
      </c>
      <c r="BE11" s="33" t="n">
        <f aca="false">Source_Data!BE$7+IF($B$9=1,IF(Source_Data!BE$6=Inputs!$B$13,Source_Data!$C$8,0),Source_Data!BE$8)</f>
        <v>0</v>
      </c>
      <c r="BF11" s="33" t="n">
        <f aca="false">Source_Data!BF$7+IF($B$9=1,IF(Source_Data!BF$6=Inputs!$B$13,Source_Data!$C$8,0),Source_Data!BF$8)</f>
        <v>0</v>
      </c>
      <c r="BG11" s="33" t="n">
        <f aca="false">Source_Data!BG$7+IF($B$9=1,IF(Source_Data!BG$6=Inputs!$B$13,Source_Data!$C$8,0),Source_Data!BG$8)</f>
        <v>0</v>
      </c>
      <c r="BH11" s="33" t="n">
        <f aca="false">Source_Data!BH$7+IF($B$9=1,IF(Source_Data!BH$6=Inputs!$B$13,Source_Data!$C$8,0),Source_Data!BH$8)</f>
        <v>0</v>
      </c>
      <c r="BI11" s="33" t="n">
        <f aca="false">Source_Data!BI$7+IF($B$9=1,IF(Source_Data!BI$6=Inputs!$B$13,Source_Data!$C$8,0),Source_Data!BI$8)</f>
        <v>0</v>
      </c>
      <c r="BJ11" s="33" t="n">
        <f aca="false">Source_Data!BJ$7+IF($B$9=1,IF(Source_Data!BJ$6=Inputs!$B$13,Source_Data!$C$8,0),Source_Data!BJ$8)</f>
        <v>0</v>
      </c>
      <c r="BK11" s="33" t="n">
        <f aca="false">Source_Data!BK$7+IF($B$9=1,IF(Source_Data!BK$6=Inputs!$B$13,Source_Data!$C$8,0),Source_Data!BK$8)</f>
        <v>0</v>
      </c>
    </row>
    <row r="12" customFormat="false" ht="15" hidden="false" customHeight="false" outlineLevel="0" collapsed="false">
      <c r="A12" s="3" t="s">
        <v>338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15.1392375</v>
      </c>
      <c r="G12" s="33" t="n">
        <f aca="false">$B$5*IF(Source_Data!G$5-($B$6+$B$8)&gt;=1,INDEX($D$11:$BK$11,1,Source_Data!G$5-($B$6+$B$8)),0)</f>
        <v>30.278475</v>
      </c>
      <c r="H12" s="33" t="n">
        <f aca="false">$B$5*IF(Source_Data!H$5-($B$6+$B$8)&gt;=1,INDEX($D$11:$BK$11,1,Source_Data!H$5-($B$6+$B$8)),0)</f>
        <v>46.51200625</v>
      </c>
      <c r="I12" s="33" t="n">
        <f aca="false">$B$5*IF(Source_Data!I$5-($B$6+$B$8)&gt;=1,INDEX($D$11:$BK$11,1,Source_Data!I$5-($B$6+$B$8)),0)</f>
        <v>62.7455375</v>
      </c>
      <c r="J12" s="33" t="n">
        <f aca="false">$B$5*IF(Source_Data!J$5-($B$6+$B$8)&gt;=1,INDEX($D$11:$BK$11,1,Source_Data!J$5-($B$6+$B$8)),0)</f>
        <v>62.3657</v>
      </c>
      <c r="K12" s="33" t="n">
        <f aca="false">$B$5*IF(Source_Data!K$5-($B$6+$B$8)&gt;=1,INDEX($D$11:$BK$11,1,Source_Data!K$5-($B$6+$B$8)),0)</f>
        <v>63.473559375</v>
      </c>
      <c r="L12" s="33" t="n">
        <f aca="false">$B$5*IF(Source_Data!L$5-($B$6+$B$8)&gt;=1,INDEX($D$11:$BK$11,1,Source_Data!L$5-($B$6+$B$8)),0)</f>
        <v>80.3288484375</v>
      </c>
      <c r="M12" s="33" t="n">
        <f aca="false">$B$5*IF(Source_Data!M$5-($B$6+$B$8)&gt;=1,INDEX($D$11:$BK$11,1,Source_Data!M$5-($B$6+$B$8)),0)</f>
        <v>495.2538375</v>
      </c>
      <c r="N12" s="33" t="n">
        <f aca="false">$B$5*IF(Source_Data!N$5-($B$6+$B$8)&gt;=1,INDEX($D$11:$BK$11,1,Source_Data!N$5-($B$6+$B$8)),0)</f>
        <v>185.57775</v>
      </c>
      <c r="O12" s="33" t="n">
        <f aca="false">$B$5*IF(Source_Data!O$5-($B$6+$B$8)&gt;=1,INDEX($D$11:$BK$11,1,Source_Data!O$5-($B$6+$B$8)),0)</f>
        <v>176.534</v>
      </c>
      <c r="P12" s="33" t="n">
        <f aca="false">$B$5*IF(Source_Data!P$5-($B$6+$B$8)&gt;=1,INDEX($D$11:$BK$11,1,Source_Data!P$5-($B$6+$B$8)),0)</f>
        <v>97.31075</v>
      </c>
      <c r="Q12" s="33" t="n">
        <f aca="false">$B$5*IF(Source_Data!Q$5-($B$6+$B$8)&gt;=1,INDEX($D$11:$BK$11,1,Source_Data!Q$5-($B$6+$B$8)),0)</f>
        <v>71.30996875</v>
      </c>
      <c r="R12" s="33" t="n">
        <f aca="false">$B$5*IF(Source_Data!R$5-($B$6+$B$8)&gt;=1,INDEX($D$11:$BK$11,1,Source_Data!R$5-($B$6+$B$8)),0)</f>
        <v>71.30996875</v>
      </c>
      <c r="S12" s="33" t="n">
        <f aca="false">$B$5*IF(Source_Data!S$5-($B$6+$B$8)&gt;=1,INDEX($D$11:$BK$11,1,Source_Data!S$5-($B$6+$B$8)),0)</f>
        <v>68.037035625</v>
      </c>
      <c r="T12" s="33" t="n">
        <f aca="false">$B$5*IF(Source_Data!T$5-($B$6+$B$8)&gt;=1,INDEX($D$11:$BK$11,1,Source_Data!T$5-($B$6+$B$8)),0)</f>
        <v>61.2266396875</v>
      </c>
      <c r="U12" s="33" t="n">
        <f aca="false">$B$5*IF(Source_Data!U$5-($B$6+$B$8)&gt;=1,INDEX($D$11:$BK$11,1,Source_Data!U$5-($B$6+$B$8)),0)</f>
        <v>59.7127159375</v>
      </c>
      <c r="V12" s="33" t="n">
        <f aca="false">$B$5*IF(Source_Data!V$5-($B$6+$B$8)&gt;=1,INDEX($D$11:$BK$11,1,Source_Data!V$5-($B$6+$B$8)),0)</f>
        <v>53.7239446875</v>
      </c>
      <c r="W12" s="33" t="n">
        <f aca="false">$B$5*IF(Source_Data!W$5-($B$6+$B$8)&gt;=1,INDEX($D$11:$BK$11,1,Source_Data!W$5-($B$6+$B$8)),0)</f>
        <v>49.3829446875</v>
      </c>
      <c r="X12" s="33" t="n">
        <f aca="false">$B$5*IF(Source_Data!X$5-($B$6+$B$8)&gt;=1,INDEX($D$11:$BK$11,1,Source_Data!X$5-($B$6+$B$8)),0)</f>
        <v>49.3829446875</v>
      </c>
      <c r="Y12" s="33" t="n">
        <f aca="false">$B$5*IF(Source_Data!Y$5-($B$6+$B$8)&gt;=1,INDEX($D$11:$BK$11,1,Source_Data!Y$5-($B$6+$B$8)),0)</f>
        <v>42.1027259375</v>
      </c>
      <c r="Z12" s="33" t="n">
        <f aca="false">$B$5*IF(Source_Data!Z$5-($B$6+$B$8)&gt;=1,INDEX($D$11:$BK$11,1,Source_Data!Z$5-($B$6+$B$8)),0)</f>
        <v>42.1027259375</v>
      </c>
      <c r="AA12" s="33" t="n">
        <f aca="false">$B$5*IF(Source_Data!AA$5-($B$6+$B$8)&gt;=1,INDEX($D$11:$BK$11,1,Source_Data!AA$5-($B$6+$B$8)),0)</f>
        <v>42.1027259375</v>
      </c>
      <c r="AB12" s="33" t="n">
        <f aca="false">$B$5*IF(Source_Data!AB$5-($B$6+$B$8)&gt;=1,INDEX($D$11:$BK$11,1,Source_Data!AB$5-($B$6+$B$8)),0)</f>
        <v>36.3147259375</v>
      </c>
      <c r="AC12" s="33" t="n">
        <f aca="false">$B$5*IF(Source_Data!AC$5-($B$6+$B$8)&gt;=1,INDEX($D$11:$BK$11,1,Source_Data!AC$5-($B$6+$B$8)),0)</f>
        <v>33.0386275</v>
      </c>
      <c r="AD12" s="33" t="n">
        <f aca="false">$B$5*IF(Source_Data!AD$5-($B$6+$B$8)&gt;=1,INDEX($D$11:$BK$11,1,Source_Data!AD$5-($B$6+$B$8)),0)</f>
        <v>29.43017125</v>
      </c>
      <c r="AE12" s="33" t="n">
        <f aca="false">$B$5*IF(Source_Data!AE$5-($B$6+$B$8)&gt;=1,INDEX($D$11:$BK$11,1,Source_Data!AE$5-($B$6+$B$8)),0)</f>
        <v>25.08917125</v>
      </c>
      <c r="AF12" s="33" t="n">
        <f aca="false">$B$5*IF(Source_Data!AF$5-($B$6+$B$8)&gt;=1,INDEX($D$11:$BK$11,1,Source_Data!AF$5-($B$6+$B$8)),0)</f>
        <v>25.08917125</v>
      </c>
      <c r="AG12" s="33" t="n">
        <f aca="false">$B$5*IF(Source_Data!AG$5-($B$6+$B$8)&gt;=1,INDEX($D$11:$BK$11,1,Source_Data!AG$5-($B$6+$B$8)),0)</f>
        <v>25.08917125</v>
      </c>
      <c r="AH12" s="33" t="n">
        <f aca="false">$B$5*IF(Source_Data!AH$5-($B$6+$B$8)&gt;=1,INDEX($D$11:$BK$11,1,Source_Data!AH$5-($B$6+$B$8)),0)</f>
        <v>25.08917125</v>
      </c>
      <c r="AI12" s="33" t="n">
        <f aca="false">$B$5*IF(Source_Data!AI$5-($B$6+$B$8)&gt;=1,INDEX($D$11:$BK$11,1,Source_Data!AI$5-($B$6+$B$8)),0)</f>
        <v>25.08917125</v>
      </c>
      <c r="AJ12" s="33" t="n">
        <f aca="false">$B$5*IF(Source_Data!AJ$5-($B$6+$B$8)&gt;=1,INDEX($D$11:$BK$11,1,Source_Data!AJ$5-($B$6+$B$8)),0)</f>
        <v>25.08917125</v>
      </c>
      <c r="AK12" s="33" t="n">
        <f aca="false">$B$5*IF(Source_Data!AK$5-($B$6+$B$8)&gt;=1,INDEX($D$11:$BK$11,1,Source_Data!AK$5-($B$6+$B$8)),0)</f>
        <v>22.905105625</v>
      </c>
      <c r="AL12" s="33" t="n">
        <f aca="false">$B$5*IF(Source_Data!AL$5-($B$6+$B$8)&gt;=1,INDEX($D$11:$BK$11,1,Source_Data!AL$5-($B$6+$B$8)),0)</f>
        <v>22.905105625</v>
      </c>
      <c r="AM12" s="33" t="n">
        <f aca="false">$B$5*IF(Source_Data!AM$5-($B$6+$B$8)&gt;=1,INDEX($D$11:$BK$11,1,Source_Data!AM$5-($B$6+$B$8)),0)</f>
        <v>18.739554375</v>
      </c>
      <c r="AN12" s="33" t="n">
        <f aca="false">$B$5*IF(Source_Data!AN$5-($B$6+$B$8)&gt;=1,INDEX($D$11:$BK$11,1,Source_Data!AN$5-($B$6+$B$8)),0)</f>
        <v>9.6261675</v>
      </c>
      <c r="AO12" s="33" t="n">
        <f aca="false">$B$5*IF(Source_Data!AO$5-($B$6+$B$8)&gt;=1,INDEX($D$11:$BK$11,1,Source_Data!AO$5-($B$6+$B$8)),0)</f>
        <v>3.5704725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339</v>
      </c>
      <c r="D13" s="33" t="n">
        <f aca="false">Source_Data!D$9+Source_Data!D$10*IF(Source_Data!$C$10=0,0,MAX(0,Inputs!$B$19*Inputs!$B$22*$B$5-Inputs!$B$20)/Source_Data!$C$10)</f>
        <v>91.25</v>
      </c>
      <c r="E13" s="33" t="n">
        <f aca="false">Source_Data!E$9+Source_Data!E$10*IF(Source_Data!$C$10=0,0,MAX(0,Inputs!$B$19*Inputs!$B$22*$B$5-Inputs!$B$20)/Source_Data!$C$10)</f>
        <v>11.25</v>
      </c>
      <c r="F13" s="33" t="n">
        <f aca="false">Source_Data!F$9+Source_Data!F$10*IF(Source_Data!$C$10=0,0,MAX(0,Inputs!$B$19*Inputs!$B$22*$B$5-Inputs!$B$20)/Source_Data!$C$10)</f>
        <v>11.25</v>
      </c>
      <c r="G13" s="33" t="n">
        <f aca="false">Source_Data!G$9+Source_Data!G$10*IF(Source_Data!$C$10=0,0,MAX(0,Inputs!$B$19*Inputs!$B$22*$B$5-Inputs!$B$20)/Source_Data!$C$10)</f>
        <v>11.25</v>
      </c>
      <c r="H13" s="33" t="n">
        <f aca="false">Source_Data!H$9+Source_Data!H$10*IF(Source_Data!$C$10=0,0,MAX(0,Inputs!$B$19*Inputs!$B$22*$B$5-Inputs!$B$20)/Source_Data!$C$10)</f>
        <v>22.5</v>
      </c>
      <c r="I13" s="33" t="n">
        <f aca="false">Source_Data!I$9+Source_Data!I$10*IF(Source_Data!$C$10=0,0,MAX(0,Inputs!$B$19*Inputs!$B$22*$B$5-Inputs!$B$20)/Source_Data!$C$10)</f>
        <v>22.5</v>
      </c>
      <c r="J13" s="33" t="n">
        <f aca="false">Source_Data!J$9+Source_Data!J$10*IF(Source_Data!$C$10=0,0,MAX(0,Inputs!$B$19*Inputs!$B$22*$B$5-Inputs!$B$20)/Source_Data!$C$10)</f>
        <v>22.5</v>
      </c>
      <c r="K13" s="33" t="n">
        <f aca="false">Source_Data!K$9+Source_Data!K$10*IF(Source_Data!$C$10=0,0,MAX(0,Inputs!$B$19*Inputs!$B$22*$B$5-Inputs!$B$20)/Source_Data!$C$10)</f>
        <v>22.5</v>
      </c>
      <c r="L13" s="33" t="n">
        <f aca="false">Source_Data!L$9+Source_Data!L$10*IF(Source_Data!$C$10=0,0,MAX(0,Inputs!$B$19*Inputs!$B$22*$B$5-Inputs!$B$20)/Source_Data!$C$10)</f>
        <v>33.75</v>
      </c>
      <c r="M13" s="33" t="n">
        <f aca="false">Source_Data!M$9+Source_Data!M$10*IF(Source_Data!$C$10=0,0,MAX(0,Inputs!$B$19*Inputs!$B$22*$B$5-Inputs!$B$20)/Source_Data!$C$10)</f>
        <v>33.75</v>
      </c>
      <c r="N13" s="33" t="n">
        <f aca="false">Source_Data!N$9+Source_Data!N$10*IF(Source_Data!$C$10=0,0,MAX(0,Inputs!$B$19*Inputs!$B$22*$B$5-Inputs!$B$20)/Source_Data!$C$10)</f>
        <v>33.75</v>
      </c>
      <c r="O13" s="33" t="n">
        <f aca="false">Source_Data!O$9+Source_Data!O$10*IF(Source_Data!$C$10=0,0,MAX(0,Inputs!$B$19*Inputs!$B$22*$B$5-Inputs!$B$20)/Source_Data!$C$10)</f>
        <v>33.75</v>
      </c>
      <c r="P13" s="33" t="n">
        <f aca="false">Source_Data!P$9+Source_Data!P$10*IF(Source_Data!$C$10=0,0,MAX(0,Inputs!$B$19*Inputs!$B$22*$B$5-Inputs!$B$20)/Source_Data!$C$10)</f>
        <v>45</v>
      </c>
      <c r="Q13" s="33" t="n">
        <f aca="false">Source_Data!Q$9+Source_Data!Q$10*IF(Source_Data!$C$10=0,0,MAX(0,Inputs!$B$19*Inputs!$B$22*$B$5-Inputs!$B$20)/Source_Data!$C$10)</f>
        <v>45</v>
      </c>
      <c r="R13" s="33" t="n">
        <f aca="false">Source_Data!R$9+Source_Data!R$10*IF(Source_Data!$C$10=0,0,MAX(0,Inputs!$B$19*Inputs!$B$22*$B$5-Inputs!$B$20)/Source_Data!$C$10)</f>
        <v>45</v>
      </c>
      <c r="S13" s="33" t="n">
        <f aca="false">Source_Data!S$9+Source_Data!S$10*IF(Source_Data!$C$10=0,0,MAX(0,Inputs!$B$19*Inputs!$B$22*$B$5-Inputs!$B$20)/Source_Data!$C$10)</f>
        <v>45</v>
      </c>
      <c r="T13" s="33" t="n">
        <f aca="false">Source_Data!T$9+Source_Data!T$10*IF(Source_Data!$C$10=0,0,MAX(0,Inputs!$B$19*Inputs!$B$22*$B$5-Inputs!$B$20)/Source_Data!$C$10)</f>
        <v>45</v>
      </c>
      <c r="U13" s="33" t="n">
        <f aca="false">Source_Data!U$9+Source_Data!U$10*IF(Source_Data!$C$10=0,0,MAX(0,Inputs!$B$19*Inputs!$B$22*$B$5-Inputs!$B$20)/Source_Data!$C$10)</f>
        <v>45</v>
      </c>
      <c r="V13" s="33" t="n">
        <f aca="false">Source_Data!V$9+Source_Data!V$10*IF(Source_Data!$C$10=0,0,MAX(0,Inputs!$B$19*Inputs!$B$22*$B$5-Inputs!$B$20)/Source_Data!$C$10)</f>
        <v>45</v>
      </c>
      <c r="W13" s="33" t="n">
        <f aca="false">Source_Data!W$9+Source_Data!W$10*IF(Source_Data!$C$10=0,0,MAX(0,Inputs!$B$19*Inputs!$B$22*$B$5-Inputs!$B$20)/Source_Data!$C$10)</f>
        <v>45</v>
      </c>
      <c r="X13" s="33" t="n">
        <f aca="false">Source_Data!X$9+Source_Data!X$10*IF(Source_Data!$C$10=0,0,MAX(0,Inputs!$B$19*Inputs!$B$22*$B$5-Inputs!$B$20)/Source_Data!$C$10)</f>
        <v>22.5</v>
      </c>
      <c r="Y13" s="33" t="n">
        <f aca="false">Source_Data!Y$9+Source_Data!Y$10*IF(Source_Data!$C$10=0,0,MAX(0,Inputs!$B$19*Inputs!$B$22*$B$5-Inputs!$B$20)/Source_Data!$C$10)</f>
        <v>22.5</v>
      </c>
      <c r="Z13" s="33" t="n">
        <f aca="false">Source_Data!Z$9+Source_Data!Z$10*IF(Source_Data!$C$10=0,0,MAX(0,Inputs!$B$19*Inputs!$B$22*$B$5-Inputs!$B$20)/Source_Data!$C$10)</f>
        <v>22.5</v>
      </c>
      <c r="AA13" s="33" t="n">
        <f aca="false">Source_Data!AA$9+Source_Data!AA$10*IF(Source_Data!$C$10=0,0,MAX(0,Inputs!$B$19*Inputs!$B$22*$B$5-Inputs!$B$20)/Source_Data!$C$10)</f>
        <v>22.5</v>
      </c>
      <c r="AB13" s="33" t="n">
        <f aca="false">Source_Data!AB$9+Source_Data!AB$10*IF(Source_Data!$C$10=0,0,MAX(0,Inputs!$B$19*Inputs!$B$22*$B$5-Inputs!$B$20)/Source_Data!$C$10)</f>
        <v>0</v>
      </c>
      <c r="AC13" s="33" t="n">
        <f aca="false">Source_Data!AC$9+Source_Data!AC$10*IF(Source_Data!$C$10=0,0,MAX(0,Inputs!$B$19*Inputs!$B$22*$B$5-Inputs!$B$20)/Source_Data!$C$10)</f>
        <v>0</v>
      </c>
      <c r="AD13" s="33" t="n">
        <f aca="false">Source_Data!AD$9+Source_Data!AD$10*IF(Source_Data!$C$10=0,0,MAX(0,Inputs!$B$19*Inputs!$B$22*$B$5-Inputs!$B$20)/Source_Data!$C$10)</f>
        <v>0</v>
      </c>
      <c r="AE13" s="33" t="n">
        <f aca="false">Source_Data!AE$9+Source_Data!AE$10*IF(Source_Data!$C$10=0,0,MAX(0,Inputs!$B$19*Inputs!$B$22*$B$5-Inputs!$B$20)/Source_Data!$C$10)</f>
        <v>0</v>
      </c>
      <c r="AF13" s="33" t="n">
        <f aca="false">Source_Data!AF$9+Source_Data!AF$10*IF(Source_Data!$C$10=0,0,MAX(0,Inputs!$B$19*Inputs!$B$22*$B$5-Inputs!$B$20)/Source_Data!$C$10)</f>
        <v>107.758210351563</v>
      </c>
      <c r="AG13" s="33" t="n">
        <f aca="false">Source_Data!AG$9+Source_Data!AG$10*IF(Source_Data!$C$10=0,0,MAX(0,Inputs!$B$19*Inputs!$B$22*$B$5-Inputs!$B$20)/Source_Data!$C$10)</f>
        <v>10.976512421875</v>
      </c>
      <c r="AH13" s="33" t="n">
        <f aca="false">Source_Data!AH$9+Source_Data!AH$10*IF(Source_Data!$C$10=0,0,MAX(0,Inputs!$B$19*Inputs!$B$22*$B$5-Inputs!$B$20)/Source_Data!$C$10)</f>
        <v>10.976512421875</v>
      </c>
      <c r="AI13" s="33" t="n">
        <f aca="false">Source_Data!AI$9+Source_Data!AI$10*IF(Source_Data!$C$10=0,0,MAX(0,Inputs!$B$19*Inputs!$B$22*$B$5-Inputs!$B$20)/Source_Data!$C$10)</f>
        <v>10.976512421875</v>
      </c>
      <c r="AJ13" s="33" t="n">
        <f aca="false">Source_Data!AJ$9+Source_Data!AJ$10*IF(Source_Data!$C$10=0,0,MAX(0,Inputs!$B$19*Inputs!$B$22*$B$5-Inputs!$B$20)/Source_Data!$C$10)</f>
        <v>10.976512421875</v>
      </c>
      <c r="AK13" s="33" t="n">
        <f aca="false">Source_Data!AK$9+Source_Data!AK$10*IF(Source_Data!$C$10=0,0,MAX(0,Inputs!$B$19*Inputs!$B$22*$B$5-Inputs!$B$20)/Source_Data!$C$10)</f>
        <v>10.0209837109375</v>
      </c>
      <c r="AL13" s="33" t="n">
        <f aca="false">Source_Data!AL$9+Source_Data!AL$10*IF(Source_Data!$C$10=0,0,MAX(0,Inputs!$B$19*Inputs!$B$22*$B$5-Inputs!$B$20)/Source_Data!$C$10)</f>
        <v>10.0209837109375</v>
      </c>
      <c r="AM13" s="33" t="n">
        <f aca="false">Source_Data!AM$9+Source_Data!AM$10*IF(Source_Data!$C$10=0,0,MAX(0,Inputs!$B$19*Inputs!$B$22*$B$5-Inputs!$B$20)/Source_Data!$C$10)</f>
        <v>8.19855503906249</v>
      </c>
      <c r="AN13" s="33" t="n">
        <f aca="false">Source_Data!AN$9+Source_Data!AN$10*IF(Source_Data!$C$10=0,0,MAX(0,Inputs!$B$19*Inputs!$B$22*$B$5-Inputs!$B$20)/Source_Data!$C$10)</f>
        <v>4.21144828125</v>
      </c>
      <c r="AO13" s="33" t="n">
        <f aca="false">Source_Data!AO$9+Source_Data!AO$10*IF(Source_Data!$C$10=0,0,MAX(0,Inputs!$B$19*Inputs!$B$22*$B$5-Inputs!$B$20)/Source_Data!$C$10)</f>
        <v>1.56208171875</v>
      </c>
      <c r="AP13" s="33" t="n">
        <f aca="false">Source_Data!AP$9+Source_Data!AP$10*IF(Source_Data!$C$10=0,0,MAX(0,Inputs!$B$19*Inputs!$B$22*$B$5-Inputs!$B$20)/Source_Data!$C$10)</f>
        <v>0</v>
      </c>
      <c r="AQ13" s="33" t="n">
        <f aca="false">Source_Data!AQ$9+Source_Data!AQ$10*IF(Source_Data!$C$10=0,0,MAX(0,Inputs!$B$19*Inputs!$B$22*$B$5-Inputs!$B$20)/Source_Data!$C$10)</f>
        <v>0</v>
      </c>
      <c r="AR13" s="33" t="n">
        <f aca="false">Source_Data!AR$9+Source_Data!AR$10*IF(Source_Data!$C$10=0,0,MAX(0,Inputs!$B$19*Inputs!$B$22*$B$5-Inputs!$B$20)/Source_Data!$C$10)</f>
        <v>0</v>
      </c>
      <c r="AS13" s="33" t="n">
        <f aca="false">Source_Data!AS$9+Source_Data!AS$10*IF(Source_Data!$C$10=0,0,MAX(0,Inputs!$B$19*Inputs!$B$22*$B$5-Inputs!$B$20)/Source_Data!$C$10)</f>
        <v>0</v>
      </c>
      <c r="AT13" s="33" t="n">
        <f aca="false">Source_Data!AT$9+Source_Data!AT$10*IF(Source_Data!$C$10=0,0,MAX(0,Inputs!$B$19*Inputs!$B$22*$B$5-Inputs!$B$20)/Source_Data!$C$10)</f>
        <v>0</v>
      </c>
      <c r="AU13" s="33" t="n">
        <f aca="false">Source_Data!AU$9+Source_Data!AU$10*IF(Source_Data!$C$10=0,0,MAX(0,Inputs!$B$19*Inputs!$B$22*$B$5-Inputs!$B$20)/Source_Data!$C$10)</f>
        <v>0</v>
      </c>
      <c r="AV13" s="33" t="n">
        <f aca="false">Source_Data!AV$9+Source_Data!AV$10*IF(Source_Data!$C$10=0,0,MAX(0,Inputs!$B$19*Inputs!$B$22*$B$5-Inputs!$B$20)/Source_Data!$C$10)</f>
        <v>0</v>
      </c>
      <c r="AW13" s="33" t="n">
        <f aca="false">Source_Data!AW$9+Source_Data!AW$10*IF(Source_Data!$C$10=0,0,MAX(0,Inputs!$B$19*Inputs!$B$22*$B$5-Inputs!$B$20)/Source_Data!$C$10)</f>
        <v>0</v>
      </c>
      <c r="AX13" s="33" t="n">
        <f aca="false">Source_Data!AX$9+Source_Data!AX$10*IF(Source_Data!$C$10=0,0,MAX(0,Inputs!$B$19*Inputs!$B$22*$B$5-Inputs!$B$20)/Source_Data!$C$10)</f>
        <v>0</v>
      </c>
      <c r="AY13" s="33" t="n">
        <f aca="false">Source_Data!AY$9+Source_Data!AY$10*IF(Source_Data!$C$10=0,0,MAX(0,Inputs!$B$19*Inputs!$B$22*$B$5-Inputs!$B$20)/Source_Data!$C$10)</f>
        <v>0</v>
      </c>
      <c r="AZ13" s="33" t="n">
        <f aca="false">Source_Data!AZ$9+Source_Data!AZ$10*IF(Source_Data!$C$10=0,0,MAX(0,Inputs!$B$19*Inputs!$B$22*$B$5-Inputs!$B$20)/Source_Data!$C$10)</f>
        <v>0</v>
      </c>
      <c r="BA13" s="33" t="n">
        <f aca="false">Source_Data!BA$9+Source_Data!BA$10*IF(Source_Data!$C$10=0,0,MAX(0,Inputs!$B$19*Inputs!$B$22*$B$5-Inputs!$B$20)/Source_Data!$C$10)</f>
        <v>0</v>
      </c>
      <c r="BB13" s="33" t="n">
        <f aca="false">Source_Data!BB$9+Source_Data!BB$10*IF(Source_Data!$C$10=0,0,MAX(0,Inputs!$B$19*Inputs!$B$22*$B$5-Inputs!$B$20)/Source_Data!$C$10)</f>
        <v>0</v>
      </c>
      <c r="BC13" s="33" t="n">
        <f aca="false">Source_Data!BC$9+Source_Data!BC$10*IF(Source_Data!$C$10=0,0,MAX(0,Inputs!$B$19*Inputs!$B$22*$B$5-Inputs!$B$20)/Source_Data!$C$10)</f>
        <v>0</v>
      </c>
      <c r="BD13" s="33" t="n">
        <f aca="false">Source_Data!BD$9+Source_Data!BD$10*IF(Source_Data!$C$10=0,0,MAX(0,Inputs!$B$19*Inputs!$B$22*$B$5-Inputs!$B$20)/Source_Data!$C$10)</f>
        <v>0</v>
      </c>
      <c r="BE13" s="33" t="n">
        <f aca="false">Source_Data!BE$9+Source_Data!BE$10*IF(Source_Data!$C$10=0,0,MAX(0,Inputs!$B$19*Inputs!$B$22*$B$5-Inputs!$B$20)/Source_Data!$C$10)</f>
        <v>0</v>
      </c>
      <c r="BF13" s="33" t="n">
        <f aca="false">Source_Data!BF$9+Source_Data!BF$10*IF(Source_Data!$C$10=0,0,MAX(0,Inputs!$B$19*Inputs!$B$22*$B$5-Inputs!$B$20)/Source_Data!$C$10)</f>
        <v>0</v>
      </c>
      <c r="BG13" s="33" t="n">
        <f aca="false">Source_Data!BG$9+Source_Data!BG$10*IF(Source_Data!$C$10=0,0,MAX(0,Inputs!$B$19*Inputs!$B$22*$B$5-Inputs!$B$20)/Source_Data!$C$10)</f>
        <v>0</v>
      </c>
      <c r="BH13" s="33" t="n">
        <f aca="false">Source_Data!BH$9+Source_Data!BH$10*IF(Source_Data!$C$10=0,0,MAX(0,Inputs!$B$19*Inputs!$B$22*$B$5-Inputs!$B$20)/Source_Data!$C$10)</f>
        <v>0</v>
      </c>
      <c r="BI13" s="33" t="n">
        <f aca="false">Source_Data!BI$9+Source_Data!BI$10*IF(Source_Data!$C$10=0,0,MAX(0,Inputs!$B$19*Inputs!$B$22*$B$5-Inputs!$B$20)/Source_Data!$C$10)</f>
        <v>0</v>
      </c>
      <c r="BJ13" s="33" t="n">
        <f aca="false">Source_Data!BJ$9+Source_Data!BJ$10*IF(Source_Data!$C$10=0,0,MAX(0,Inputs!$B$19*Inputs!$B$22*$B$5-Inputs!$B$20)/Source_Data!$C$10)</f>
        <v>0</v>
      </c>
      <c r="BK13" s="33" t="n">
        <f aca="false">Source_Data!BK$9+Source_Data!BK$10*IF(Source_Data!$C$10=0,0,MAX(0,Inputs!$B$19*Inputs!$B$22*$B$5-Inputs!$B$20)/Source_Data!$C$10)</f>
        <v>0</v>
      </c>
    </row>
    <row r="14" customFormat="false" ht="15" hidden="false" customHeight="false" outlineLevel="0" collapsed="false">
      <c r="A14" s="3" t="s">
        <v>194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20</v>
      </c>
      <c r="I14" s="33" t="n">
        <f aca="false">Source_Data!I$11*$B$7</f>
        <v>26.4</v>
      </c>
      <c r="J14" s="33" t="n">
        <f aca="false">Source_Data!J$11*$B$7</f>
        <v>40</v>
      </c>
      <c r="K14" s="33" t="n">
        <f aca="false">Source_Data!K$11*$B$7</f>
        <v>26.4</v>
      </c>
      <c r="L14" s="33" t="n">
        <f aca="false">Source_Data!L$11*$B$7</f>
        <v>26.4</v>
      </c>
      <c r="M14" s="33" t="n">
        <f aca="false">Source_Data!M$11*$B$7</f>
        <v>26.4</v>
      </c>
      <c r="N14" s="33" t="n">
        <f aca="false">Source_Data!N$11*$B$7</f>
        <v>5.28</v>
      </c>
      <c r="O14" s="33" t="n">
        <f aca="false">Source_Data!O$11*$B$7</f>
        <v>5.28</v>
      </c>
      <c r="P14" s="33" t="n">
        <f aca="false">Source_Data!P$11*$B$7</f>
        <v>120</v>
      </c>
      <c r="Q14" s="33" t="n">
        <f aca="false">Source_Data!Q$11*$B$7</f>
        <v>120</v>
      </c>
      <c r="R14" s="33" t="n">
        <f aca="false">Source_Data!R$11*$B$7</f>
        <v>164</v>
      </c>
      <c r="S14" s="33" t="n">
        <f aca="false">Source_Data!S$11*$B$7</f>
        <v>117</v>
      </c>
      <c r="T14" s="33" t="n">
        <f aca="false">Source_Data!T$11*$B$7</f>
        <v>0</v>
      </c>
      <c r="U14" s="33" t="n">
        <f aca="false">Source_Data!U$11*$B$7</f>
        <v>0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196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12.11139</v>
      </c>
      <c r="K15" s="33" t="n">
        <f aca="false">$B$5*IF(Source_Data!K$5-$B$6&gt;=1,INDEX(Source_Data!$D$12:$BK$12,1,Source_Data!K$5-$B$6),0)</f>
        <v>12.11139</v>
      </c>
      <c r="L15" s="33" t="n">
        <f aca="false">$B$5*IF(Source_Data!L$5-$B$6&gt;=1,INDEX(Source_Data!$D$12:$BK$12,1,Source_Data!L$5-$B$6),0)</f>
        <v>9.52126</v>
      </c>
      <c r="M15" s="33" t="n">
        <f aca="false">$B$5*IF(Source_Data!M$5-$B$6&gt;=1,INDEX(Source_Data!$D$12:$BK$12,1,Source_Data!M$5-$B$6),0)</f>
        <v>9.52126</v>
      </c>
      <c r="N15" s="33" t="n">
        <f aca="false">$B$5*IF(Source_Data!N$5-$B$6&gt;=1,INDEX(Source_Data!$D$12:$BK$12,1,Source_Data!N$5-$B$6),0)</f>
        <v>6.98901</v>
      </c>
      <c r="O15" s="33" t="n">
        <f aca="false">$B$5*IF(Source_Data!O$5-$B$6&gt;=1,INDEX(Source_Data!$D$12:$BK$12,1,Source_Data!O$5-$B$6),0)</f>
        <v>6.98901</v>
      </c>
      <c r="P15" s="33" t="n">
        <f aca="false">$B$5*IF(Source_Data!P$5-$B$6&gt;=1,INDEX(Source_Data!$D$12:$BK$12,1,Source_Data!P$5-$B$6),0)</f>
        <v>7.69804</v>
      </c>
      <c r="Q15" s="33" t="n">
        <f aca="false">$B$5*IF(Source_Data!Q$5-$B$6&gt;=1,INDEX(Source_Data!$D$12:$BK$12,1,Source_Data!Q$5-$B$6),0)</f>
        <v>9.2608</v>
      </c>
      <c r="R15" s="33" t="n">
        <f aca="false">$B$5*IF(Source_Data!R$5-$B$6&gt;=1,INDEX(Source_Data!$D$12:$BK$12,1,Source_Data!R$5-$B$6),0)</f>
        <v>9.2608</v>
      </c>
      <c r="S15" s="33" t="n">
        <f aca="false">$B$5*IF(Source_Data!S$5-$B$6&gt;=1,INDEX(Source_Data!$D$12:$BK$12,1,Source_Data!S$5-$B$6),0)</f>
        <v>6.6562</v>
      </c>
      <c r="T15" s="33" t="n">
        <f aca="false">$B$5*IF(Source_Data!T$5-$B$6&gt;=1,INDEX(Source_Data!$D$12:$BK$12,1,Source_Data!T$5-$B$6),0)</f>
        <v>0</v>
      </c>
      <c r="U15" s="33" t="n">
        <f aca="false">$B$5*IF(Source_Data!U$5-$B$6&gt;=1,INDEX(Source_Data!$D$12:$BK$12,1,Source_Data!U$5-$B$6),0)</f>
        <v>0</v>
      </c>
      <c r="V15" s="33" t="n">
        <f aca="false">$B$5*IF(Source_Data!V$5-$B$6&gt;=1,INDEX(Source_Data!$D$12:$BK$12,1,Source_Data!V$5-$B$6),0)</f>
        <v>0</v>
      </c>
      <c r="W15" s="33" t="n">
        <f aca="false">$B$5*IF(Source_Data!W$5-$B$6&gt;=1,INDEX(Source_Data!$D$12:$BK$12,1,Source_Data!W$5-$B$6),0)</f>
        <v>0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215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3</v>
      </c>
      <c r="I16" s="33" t="n">
        <f aca="false">Source_Data!I$13*$B$7</f>
        <v>3.96</v>
      </c>
      <c r="J16" s="33" t="n">
        <f aca="false">Source_Data!J$13*$B$7</f>
        <v>6</v>
      </c>
      <c r="K16" s="33" t="n">
        <f aca="false">Source_Data!K$13*$B$7</f>
        <v>3.96</v>
      </c>
      <c r="L16" s="33" t="n">
        <f aca="false">Source_Data!L$13*$B$7</f>
        <v>3.96</v>
      </c>
      <c r="M16" s="33" t="n">
        <f aca="false">Source_Data!M$13*$B$7</f>
        <v>3.96</v>
      </c>
      <c r="N16" s="33" t="n">
        <f aca="false">Source_Data!N$13*$B$7</f>
        <v>0.792</v>
      </c>
      <c r="O16" s="33" t="n">
        <f aca="false">Source_Data!O$13*$B$7</f>
        <v>0.792</v>
      </c>
      <c r="P16" s="33" t="n">
        <f aca="false">Source_Data!P$13*$B$7</f>
        <v>18</v>
      </c>
      <c r="Q16" s="33" t="n">
        <f aca="false">Source_Data!Q$13*$B$7</f>
        <v>18</v>
      </c>
      <c r="R16" s="33" t="n">
        <f aca="false">Source_Data!R$13*$B$7</f>
        <v>24.6</v>
      </c>
      <c r="S16" s="33" t="n">
        <f aca="false">Source_Data!S$13*$B$7</f>
        <v>17.55</v>
      </c>
      <c r="T16" s="33" t="n">
        <f aca="false">Source_Data!T$13*$B$7</f>
        <v>0</v>
      </c>
      <c r="U16" s="33" t="n">
        <f aca="false">Source_Data!U$13*$B$7</f>
        <v>0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216</v>
      </c>
      <c r="D17" s="33" t="n">
        <f aca="false">D12-D13-D14-D15-D16</f>
        <v>-91.25</v>
      </c>
      <c r="E17" s="33" t="n">
        <f aca="false">E12-E13-E14-E15-E16</f>
        <v>-11.25</v>
      </c>
      <c r="F17" s="33" t="n">
        <f aca="false">F12-F13-F14-F15-F16</f>
        <v>3.8892375</v>
      </c>
      <c r="G17" s="33" t="n">
        <f aca="false">G12-G13-G14-G15-G16</f>
        <v>19.028475</v>
      </c>
      <c r="H17" s="33" t="n">
        <f aca="false">H12-H13-H14-H15-H16</f>
        <v>1.01200625</v>
      </c>
      <c r="I17" s="33" t="n">
        <f aca="false">I12-I13-I14-I15-I16</f>
        <v>9.8855375</v>
      </c>
      <c r="J17" s="33" t="n">
        <f aca="false">J12-J13-J14-J15-J16</f>
        <v>-18.24569</v>
      </c>
      <c r="K17" s="33" t="n">
        <f aca="false">K12-K13-K14-K15-K16</f>
        <v>-1.49783062499999</v>
      </c>
      <c r="L17" s="33" t="n">
        <f aca="false">L12-L13-L14-L15-L16</f>
        <v>6.69758843750001</v>
      </c>
      <c r="M17" s="33" t="n">
        <f aca="false">M12-M13-M14-M15-M16</f>
        <v>421.6225775</v>
      </c>
      <c r="N17" s="33" t="n">
        <f aca="false">N12-N13-N14-N15-N16</f>
        <v>138.76674</v>
      </c>
      <c r="O17" s="33" t="n">
        <f aca="false">O12-O13-O14-O15-O16</f>
        <v>129.72299</v>
      </c>
      <c r="P17" s="33" t="n">
        <f aca="false">P12-P13-P14-P15-P16</f>
        <v>-93.38729</v>
      </c>
      <c r="Q17" s="33" t="n">
        <f aca="false">Q12-Q13-Q14-Q15-Q16</f>
        <v>-120.95083125</v>
      </c>
      <c r="R17" s="33" t="n">
        <f aca="false">R12-R13-R14-R15-R16</f>
        <v>-171.55083125</v>
      </c>
      <c r="S17" s="33" t="n">
        <f aca="false">S12-S13-S14-S15-S16</f>
        <v>-118.169164375</v>
      </c>
      <c r="T17" s="33" t="n">
        <f aca="false">T12-T13-T14-T15-T16</f>
        <v>16.2266396875</v>
      </c>
      <c r="U17" s="33" t="n">
        <f aca="false">U12-U13-U14-U15-U16</f>
        <v>14.7127159375</v>
      </c>
      <c r="V17" s="33" t="n">
        <f aca="false">V12-V13-V14-V15-V16</f>
        <v>8.7239446875</v>
      </c>
      <c r="W17" s="33" t="n">
        <f aca="false">W12-W13-W14-W15-W16</f>
        <v>4.3829446875</v>
      </c>
      <c r="X17" s="33" t="n">
        <f aca="false">X12-X13-X14-X15-X16</f>
        <v>26.8829446875</v>
      </c>
      <c r="Y17" s="33" t="n">
        <f aca="false">Y12-Y13-Y14-Y15-Y16</f>
        <v>19.6027259375</v>
      </c>
      <c r="Z17" s="33" t="n">
        <f aca="false">Z12-Z13-Z14-Z15-Z16</f>
        <v>19.6027259375</v>
      </c>
      <c r="AA17" s="33" t="n">
        <f aca="false">AA12-AA13-AA14-AA15-AA16</f>
        <v>19.6027259375</v>
      </c>
      <c r="AB17" s="33" t="n">
        <f aca="false">AB12-AB13-AB14-AB15-AB16</f>
        <v>36.3147259375</v>
      </c>
      <c r="AC17" s="33" t="n">
        <f aca="false">AC12-AC13-AC14-AC15-AC16</f>
        <v>33.0386275</v>
      </c>
      <c r="AD17" s="33" t="n">
        <f aca="false">AD12-AD13-AD14-AD15-AD16</f>
        <v>29.43017125</v>
      </c>
      <c r="AE17" s="33" t="n">
        <f aca="false">AE12-AE13-AE14-AE15-AE16</f>
        <v>25.08917125</v>
      </c>
      <c r="AF17" s="33" t="n">
        <f aca="false">AF12-AF13-AF14-AF15-AF16</f>
        <v>-82.6690391015625</v>
      </c>
      <c r="AG17" s="33" t="n">
        <f aca="false">AG12-AG13-AG14-AG15-AG16</f>
        <v>14.112658828125</v>
      </c>
      <c r="AH17" s="33" t="n">
        <f aca="false">AH12-AH13-AH14-AH15-AH16</f>
        <v>14.112658828125</v>
      </c>
      <c r="AI17" s="33" t="n">
        <f aca="false">AI12-AI13-AI14-AI15-AI16</f>
        <v>14.112658828125</v>
      </c>
      <c r="AJ17" s="33" t="n">
        <f aca="false">AJ12-AJ13-AJ14-AJ15-AJ16</f>
        <v>14.112658828125</v>
      </c>
      <c r="AK17" s="33" t="n">
        <f aca="false">AK12-AK13-AK14-AK15-AK16</f>
        <v>12.8841219140625</v>
      </c>
      <c r="AL17" s="33" t="n">
        <f aca="false">AL12-AL13-AL14-AL15-AL16</f>
        <v>12.8841219140625</v>
      </c>
      <c r="AM17" s="33" t="n">
        <f aca="false">AM12-AM13-AM14-AM15-AM16</f>
        <v>10.5409993359375</v>
      </c>
      <c r="AN17" s="33" t="n">
        <f aca="false">AN12-AN13-AN14-AN15-AN16</f>
        <v>5.41471921875</v>
      </c>
      <c r="AO17" s="33" t="n">
        <f aca="false">AO12-AO13-AO14-AO15-AO16</f>
        <v>2.00839078125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217</v>
      </c>
      <c r="D18" s="33" t="n">
        <f aca="false">D17</f>
        <v>-91.25</v>
      </c>
      <c r="E18" s="33" t="n">
        <f aca="false">D18+E17</f>
        <v>-102.5</v>
      </c>
      <c r="F18" s="33" t="n">
        <f aca="false">E18+F17</f>
        <v>-98.6107625</v>
      </c>
      <c r="G18" s="33" t="n">
        <f aca="false">F18+G17</f>
        <v>-79.5822875</v>
      </c>
      <c r="H18" s="33" t="n">
        <f aca="false">G18+H17</f>
        <v>-78.57028125</v>
      </c>
      <c r="I18" s="33" t="n">
        <f aca="false">H18+I17</f>
        <v>-68.68474375</v>
      </c>
      <c r="J18" s="33" t="n">
        <f aca="false">I18+J17</f>
        <v>-86.93043375</v>
      </c>
      <c r="K18" s="33" t="n">
        <f aca="false">J18+K17</f>
        <v>-88.428264375</v>
      </c>
      <c r="L18" s="33" t="n">
        <f aca="false">K18+L17</f>
        <v>-81.7306759375</v>
      </c>
      <c r="M18" s="33" t="n">
        <f aca="false">L18+M17</f>
        <v>339.8919015625</v>
      </c>
      <c r="N18" s="33" t="n">
        <f aca="false">M18+N17</f>
        <v>478.6586415625</v>
      </c>
      <c r="O18" s="33" t="n">
        <f aca="false">N18+O17</f>
        <v>608.3816315625</v>
      </c>
      <c r="P18" s="33" t="n">
        <f aca="false">O18+P17</f>
        <v>514.9943415625</v>
      </c>
      <c r="Q18" s="33" t="n">
        <f aca="false">P18+Q17</f>
        <v>394.0435103125</v>
      </c>
      <c r="R18" s="33" t="n">
        <f aca="false">Q18+R17</f>
        <v>222.4926790625</v>
      </c>
      <c r="S18" s="33" t="n">
        <f aca="false">R18+S17</f>
        <v>104.3235146875</v>
      </c>
      <c r="T18" s="33" t="n">
        <f aca="false">S18+T17</f>
        <v>120.550154375</v>
      </c>
      <c r="U18" s="33" t="n">
        <f aca="false">T18+U17</f>
        <v>135.2628703125</v>
      </c>
      <c r="V18" s="33" t="n">
        <f aca="false">U18+V17</f>
        <v>143.986815</v>
      </c>
      <c r="W18" s="33" t="n">
        <f aca="false">V18+W17</f>
        <v>148.3697596875</v>
      </c>
      <c r="X18" s="33" t="n">
        <f aca="false">W18+X17</f>
        <v>175.252704375</v>
      </c>
      <c r="Y18" s="33" t="n">
        <f aca="false">X18+Y17</f>
        <v>194.8554303125</v>
      </c>
      <c r="Z18" s="33" t="n">
        <f aca="false">Y18+Z17</f>
        <v>214.45815625</v>
      </c>
      <c r="AA18" s="33" t="n">
        <f aca="false">Z18+AA17</f>
        <v>234.0608821875</v>
      </c>
      <c r="AB18" s="33" t="n">
        <f aca="false">AA18+AB17</f>
        <v>270.375608125</v>
      </c>
      <c r="AC18" s="33" t="n">
        <f aca="false">AB18+AC17</f>
        <v>303.414235625</v>
      </c>
      <c r="AD18" s="33" t="n">
        <f aca="false">AC18+AD17</f>
        <v>332.844406875</v>
      </c>
      <c r="AE18" s="33" t="n">
        <f aca="false">AD18+AE17</f>
        <v>357.933578125</v>
      </c>
      <c r="AF18" s="33" t="n">
        <f aca="false">AE18+AF17</f>
        <v>275.264539023437</v>
      </c>
      <c r="AG18" s="33" t="n">
        <f aca="false">AF18+AG17</f>
        <v>289.377197851562</v>
      </c>
      <c r="AH18" s="33" t="n">
        <f aca="false">AG18+AH17</f>
        <v>303.489856679688</v>
      </c>
      <c r="AI18" s="33" t="n">
        <f aca="false">AH18+AI17</f>
        <v>317.602515507813</v>
      </c>
      <c r="AJ18" s="33" t="n">
        <f aca="false">AI18+AJ17</f>
        <v>331.715174335938</v>
      </c>
      <c r="AK18" s="33" t="n">
        <f aca="false">AJ18+AK17</f>
        <v>344.59929625</v>
      </c>
      <c r="AL18" s="33" t="n">
        <f aca="false">AK18+AL17</f>
        <v>357.483418164063</v>
      </c>
      <c r="AM18" s="33" t="n">
        <f aca="false">AL18+AM17</f>
        <v>368.0244175</v>
      </c>
      <c r="AN18" s="33" t="n">
        <f aca="false">AM18+AN17</f>
        <v>373.43913671875</v>
      </c>
      <c r="AO18" s="33" t="n">
        <f aca="false">AN18+AO17</f>
        <v>375.4475275</v>
      </c>
      <c r="AP18" s="33" t="n">
        <f aca="false">AO18+AP17</f>
        <v>375.4475275</v>
      </c>
      <c r="AQ18" s="33" t="n">
        <f aca="false">AP18+AQ17</f>
        <v>375.4475275</v>
      </c>
      <c r="AR18" s="33" t="n">
        <f aca="false">AQ18+AR17</f>
        <v>375.4475275</v>
      </c>
      <c r="AS18" s="33" t="n">
        <f aca="false">AR18+AS17</f>
        <v>375.4475275</v>
      </c>
      <c r="AT18" s="33" t="n">
        <f aca="false">AS18+AT17</f>
        <v>375.4475275</v>
      </c>
      <c r="AU18" s="33" t="n">
        <f aca="false">AT18+AU17</f>
        <v>375.4475275</v>
      </c>
      <c r="AV18" s="33" t="n">
        <f aca="false">AU18+AV17</f>
        <v>375.4475275</v>
      </c>
      <c r="AW18" s="33" t="n">
        <f aca="false">AV18+AW17</f>
        <v>375.4475275</v>
      </c>
      <c r="AX18" s="33" t="n">
        <f aca="false">AW18+AX17</f>
        <v>375.4475275</v>
      </c>
      <c r="AY18" s="33" t="n">
        <f aca="false">AX18+AY17</f>
        <v>375.4475275</v>
      </c>
      <c r="AZ18" s="33" t="n">
        <f aca="false">AY18+AZ17</f>
        <v>375.4475275</v>
      </c>
      <c r="BA18" s="33" t="n">
        <f aca="false">AZ18+BA17</f>
        <v>375.4475275</v>
      </c>
      <c r="BB18" s="33" t="n">
        <f aca="false">BA18+BB17</f>
        <v>375.4475275</v>
      </c>
      <c r="BC18" s="33" t="n">
        <f aca="false">BB18+BC17</f>
        <v>375.4475275</v>
      </c>
      <c r="BD18" s="33" t="n">
        <f aca="false">BC18+BD17</f>
        <v>375.4475275</v>
      </c>
      <c r="BE18" s="33" t="n">
        <f aca="false">BD18+BE17</f>
        <v>375.4475275</v>
      </c>
      <c r="BF18" s="33" t="n">
        <f aca="false">BE18+BF17</f>
        <v>375.4475275</v>
      </c>
      <c r="BG18" s="33" t="n">
        <f aca="false">BF18+BG17</f>
        <v>375.4475275</v>
      </c>
      <c r="BH18" s="33" t="n">
        <f aca="false">BG18+BH17</f>
        <v>375.4475275</v>
      </c>
      <c r="BI18" s="33" t="n">
        <f aca="false">BH18+BI17</f>
        <v>375.4475275</v>
      </c>
      <c r="BJ18" s="33" t="n">
        <f aca="false">BI18+BJ17</f>
        <v>375.4475275</v>
      </c>
      <c r="BK18" s="33" t="n">
        <f aca="false">BJ18+BK17</f>
        <v>375.4475275</v>
      </c>
    </row>
    <row r="19" customFormat="false" ht="15" hidden="false" customHeight="false" outlineLevel="0" collapsed="false">
      <c r="A19" s="3" t="s">
        <v>340</v>
      </c>
      <c r="D19" s="33" t="n">
        <f aca="false">IF(Source_Data!D$6=Inputs!$B$12,-Inputs!$B$7,0)+IF(AND(Source_Data!D$6&gt;=$B$10,Source_Data!D$6&lt;$B$10+3*Inputs!$B$16,MOD(Source_Data!D$6-$B$10,3)=0),Inputs!$B$8*Inputs!$B$7*Inputs!$B$34*$B$5*(1-Inputs!$B$15)/Inputs!$B$16,0)</f>
        <v>-100</v>
      </c>
      <c r="E19" s="33" t="n">
        <f aca="false">IF(Source_Data!E$6=Inputs!$B$12,-Inputs!$B$7,0)+IF(AND(Source_Data!E$6&gt;=$B$10,Source_Data!E$6&lt;$B$10+3*Inputs!$B$16,MOD(Source_Data!E$6-$B$10,3)=0),Inputs!$B$8*Inputs!$B$7*Inputs!$B$34*$B$5*(1-Inputs!$B$15)/Inputs!$B$16,0)</f>
        <v>0</v>
      </c>
      <c r="F19" s="33" t="n">
        <f aca="false">IF(Source_Data!F$6=Inputs!$B$12,-Inputs!$B$7,0)+IF(AND(Source_Data!F$6&gt;=$B$10,Source_Data!F$6&lt;$B$10+3*Inputs!$B$16,MOD(Source_Data!F$6-$B$10,3)=0),Inputs!$B$8*Inputs!$B$7*Inputs!$B$34*$B$5*(1-Inputs!$B$15)/Inputs!$B$16,0)</f>
        <v>0</v>
      </c>
      <c r="G19" s="33" t="n">
        <f aca="false">IF(Source_Data!G$6=Inputs!$B$12,-Inputs!$B$7,0)+IF(AND(Source_Data!G$6&gt;=$B$10,Source_Data!G$6&lt;$B$10+3*Inputs!$B$16,MOD(Source_Data!G$6-$B$10,3)=0),Inputs!$B$8*Inputs!$B$7*Inputs!$B$34*$B$5*(1-Inputs!$B$15)/Inputs!$B$16,0)</f>
        <v>0</v>
      </c>
      <c r="H19" s="33" t="n">
        <f aca="false">IF(Source_Data!H$6=Inputs!$B$12,-Inputs!$B$7,0)+IF(AND(Source_Data!H$6&gt;=$B$10,Source_Data!H$6&lt;$B$10+3*Inputs!$B$16,MOD(Source_Data!H$6-$B$10,3)=0),Inputs!$B$8*Inputs!$B$7*Inputs!$B$34*$B$5*(1-Inputs!$B$15)/Inputs!$B$16,0)</f>
        <v>0</v>
      </c>
      <c r="I19" s="33" t="n">
        <f aca="false">IF(Source_Data!I$6=Inputs!$B$12,-Inputs!$B$7,0)+IF(AND(Source_Data!I$6&gt;=$B$10,Source_Data!I$6&lt;$B$10+3*Inputs!$B$16,MOD(Source_Data!I$6-$B$10,3)=0),Inputs!$B$8*Inputs!$B$7*Inputs!$B$34*$B$5*(1-Inputs!$B$15)/Inputs!$B$16,0)</f>
        <v>0</v>
      </c>
      <c r="J19" s="33" t="n">
        <f aca="false">IF(Source_Data!J$6=Inputs!$B$12,-Inputs!$B$7,0)+IF(AND(Source_Data!J$6&gt;=$B$10,Source_Data!J$6&lt;$B$10+3*Inputs!$B$16,MOD(Source_Data!J$6-$B$10,3)=0),Inputs!$B$8*Inputs!$B$7*Inputs!$B$34*$B$5*(1-Inputs!$B$15)/Inputs!$B$16,0)</f>
        <v>0</v>
      </c>
      <c r="K19" s="33" t="n">
        <f aca="false">IF(Source_Data!K$6=Inputs!$B$12,-Inputs!$B$7,0)+IF(AND(Source_Data!K$6&gt;=$B$10,Source_Data!K$6&lt;$B$10+3*Inputs!$B$16,MOD(Source_Data!K$6-$B$10,3)=0),Inputs!$B$8*Inputs!$B$7*Inputs!$B$34*$B$5*(1-Inputs!$B$15)/Inputs!$B$16,0)</f>
        <v>0</v>
      </c>
      <c r="L19" s="33" t="n">
        <f aca="false">IF(Source_Data!L$6=Inputs!$B$12,-Inputs!$B$7,0)+IF(AND(Source_Data!L$6&gt;=$B$10,Source_Data!L$6&lt;$B$10+3*Inputs!$B$16,MOD(Source_Data!L$6-$B$10,3)=0),Inputs!$B$8*Inputs!$B$7*Inputs!$B$34*$B$5*(1-Inputs!$B$15)/Inputs!$B$16,0)</f>
        <v>0</v>
      </c>
      <c r="M19" s="33" t="n">
        <f aca="false">IF(Source_Data!M$6=Inputs!$B$12,-Inputs!$B$7,0)+IF(AND(Source_Data!M$6&gt;=$B$10,Source_Data!M$6&lt;$B$10+3*Inputs!$B$16,MOD(Source_Data!M$6-$B$10,3)=0),Inputs!$B$8*Inputs!$B$7*Inputs!$B$34*$B$5*(1-Inputs!$B$15)/Inputs!$B$16,0)</f>
        <v>0</v>
      </c>
      <c r="N19" s="33" t="n">
        <f aca="false">IF(Source_Data!N$6=Inputs!$B$12,-Inputs!$B$7,0)+IF(AND(Source_Data!N$6&gt;=$B$10,Source_Data!N$6&lt;$B$10+3*Inputs!$B$16,MOD(Source_Data!N$6-$B$10,3)=0),Inputs!$B$8*Inputs!$B$7*Inputs!$B$34*$B$5*(1-Inputs!$B$15)/Inputs!$B$16,0)</f>
        <v>0</v>
      </c>
      <c r="O19" s="33" t="n">
        <f aca="false">IF(Source_Data!O$6=Inputs!$B$12,-Inputs!$B$7,0)+IF(AND(Source_Data!O$6&gt;=$B$10,Source_Data!O$6&lt;$B$10+3*Inputs!$B$16,MOD(Source_Data!O$6-$B$10,3)=0),Inputs!$B$8*Inputs!$B$7*Inputs!$B$34*$B$5*(1-Inputs!$B$15)/Inputs!$B$16,0)</f>
        <v>0</v>
      </c>
      <c r="P19" s="33" t="n">
        <f aca="false">IF(Source_Data!P$6=Inputs!$B$12,-Inputs!$B$7,0)+IF(AND(Source_Data!P$6&gt;=$B$10,Source_Data!P$6&lt;$B$10+3*Inputs!$B$16,MOD(Source_Data!P$6-$B$10,3)=0),Inputs!$B$8*Inputs!$B$7*Inputs!$B$34*$B$5*(1-Inputs!$B$15)/Inputs!$B$16,0)</f>
        <v>0</v>
      </c>
      <c r="Q19" s="33" t="n">
        <f aca="false">IF(Source_Data!Q$6=Inputs!$B$12,-Inputs!$B$7,0)+IF(AND(Source_Data!Q$6&gt;=$B$10,Source_Data!Q$6&lt;$B$10+3*Inputs!$B$16,MOD(Source_Data!Q$6-$B$10,3)=0),Inputs!$B$8*Inputs!$B$7*Inputs!$B$34*$B$5*(1-Inputs!$B$15)/Inputs!$B$16,0)</f>
        <v>0</v>
      </c>
      <c r="R19" s="33" t="n">
        <f aca="false">IF(Source_Data!R$6=Inputs!$B$12,-Inputs!$B$7,0)+IF(AND(Source_Data!R$6&gt;=$B$10,Source_Data!R$6&lt;$B$10+3*Inputs!$B$16,MOD(Source_Data!R$6-$B$10,3)=0),Inputs!$B$8*Inputs!$B$7*Inputs!$B$34*$B$5*(1-Inputs!$B$15)/Inputs!$B$16,0)</f>
        <v>0</v>
      </c>
      <c r="S19" s="33" t="n">
        <f aca="false">IF(Source_Data!S$6=Inputs!$B$12,-Inputs!$B$7,0)+IF(AND(Source_Data!S$6&gt;=$B$10,Source_Data!S$6&lt;$B$10+3*Inputs!$B$16,MOD(Source_Data!S$6-$B$10,3)=0),Inputs!$B$8*Inputs!$B$7*Inputs!$B$34*$B$5*(1-Inputs!$B$15)/Inputs!$B$16,0)</f>
        <v>0</v>
      </c>
      <c r="T19" s="33" t="n">
        <f aca="false">IF(Source_Data!T$6=Inputs!$B$12,-Inputs!$B$7,0)+IF(AND(Source_Data!T$6&gt;=$B$10,Source_Data!T$6&lt;$B$10+3*Inputs!$B$16,MOD(Source_Data!T$6-$B$10,3)=0),Inputs!$B$8*Inputs!$B$7*Inputs!$B$34*$B$5*(1-Inputs!$B$15)/Inputs!$B$16,0)</f>
        <v>69.5340501792115</v>
      </c>
      <c r="U19" s="33" t="n">
        <f aca="false">IF(Source_Data!U$6=Inputs!$B$12,-Inputs!$B$7,0)+IF(AND(Source_Data!U$6&gt;=$B$10,Source_Data!U$6&lt;$B$10+3*Inputs!$B$16,MOD(Source_Data!U$6-$B$10,3)=0),Inputs!$B$8*Inputs!$B$7*Inputs!$B$34*$B$5*(1-Inputs!$B$15)/Inputs!$B$16,0)</f>
        <v>69.5340501792115</v>
      </c>
      <c r="V19" s="33" t="n">
        <f aca="false">IF(Source_Data!V$6=Inputs!$B$12,-Inputs!$B$7,0)+IF(AND(Source_Data!V$6&gt;=$B$10,Source_Data!V$6&lt;$B$10+3*Inputs!$B$16,MOD(Source_Data!V$6-$B$10,3)=0),Inputs!$B$8*Inputs!$B$7*Inputs!$B$34*$B$5*(1-Inputs!$B$15)/Inputs!$B$16,0)</f>
        <v>69.5340501792115</v>
      </c>
      <c r="W19" s="33" t="n">
        <f aca="false">IF(Source_Data!W$6=Inputs!$B$12,-Inputs!$B$7,0)+IF(AND(Source_Data!W$6&gt;=$B$10,Source_Data!W$6&lt;$B$10+3*Inputs!$B$16,MOD(Source_Data!W$6-$B$10,3)=0),Inputs!$B$8*Inputs!$B$7*Inputs!$B$34*$B$5*(1-Inputs!$B$15)/Inputs!$B$16,0)</f>
        <v>69.5340501792115</v>
      </c>
      <c r="X19" s="33" t="n">
        <f aca="false">IF(Source_Data!X$6=Inputs!$B$12,-Inputs!$B$7,0)+IF(AND(Source_Data!X$6&gt;=$B$10,Source_Data!X$6&lt;$B$10+3*Inputs!$B$16,MOD(Source_Data!X$6-$B$10,3)=0),Inputs!$B$8*Inputs!$B$7*Inputs!$B$34*$B$5*(1-Inputs!$B$15)/Inputs!$B$16,0)</f>
        <v>0</v>
      </c>
      <c r="Y19" s="33" t="n">
        <f aca="false">IF(Source_Data!Y$6=Inputs!$B$12,-Inputs!$B$7,0)+IF(AND(Source_Data!Y$6&gt;=$B$10,Source_Data!Y$6&lt;$B$10+3*Inputs!$B$16,MOD(Source_Data!Y$6-$B$10,3)=0),Inputs!$B$8*Inputs!$B$7*Inputs!$B$34*$B$5*(1-Inputs!$B$15)/Inputs!$B$16,0)</f>
        <v>0</v>
      </c>
      <c r="Z19" s="33" t="n">
        <f aca="false">IF(Source_Data!Z$6=Inputs!$B$12,-Inputs!$B$7,0)+IF(AND(Source_Data!Z$6&gt;=$B$10,Source_Data!Z$6&lt;$B$10+3*Inputs!$B$16,MOD(Source_Data!Z$6-$B$10,3)=0),Inputs!$B$8*Inputs!$B$7*Inputs!$B$34*$B$5*(1-Inputs!$B$15)/Inputs!$B$16,0)</f>
        <v>0</v>
      </c>
      <c r="AA19" s="33" t="n">
        <f aca="false">IF(Source_Data!AA$6=Inputs!$B$12,-Inputs!$B$7,0)+IF(AND(Source_Data!AA$6&gt;=$B$10,Source_Data!AA$6&lt;$B$10+3*Inputs!$B$16,MOD(Source_Data!AA$6-$B$10,3)=0),Inputs!$B$8*Inputs!$B$7*Inputs!$B$34*$B$5*(1-Inputs!$B$15)/Inputs!$B$16,0)</f>
        <v>0</v>
      </c>
      <c r="AB19" s="33" t="n">
        <f aca="false">IF(Source_Data!AB$6=Inputs!$B$12,-Inputs!$B$7,0)+IF(AND(Source_Data!AB$6&gt;=$B$10,Source_Data!AB$6&lt;$B$10+3*Inputs!$B$16,MOD(Source_Data!AB$6-$B$10,3)=0),Inputs!$B$8*Inputs!$B$7*Inputs!$B$34*$B$5*(1-Inputs!$B$15)/Inputs!$B$16,0)</f>
        <v>0</v>
      </c>
      <c r="AC19" s="33" t="n">
        <f aca="false">IF(Source_Data!AC$6=Inputs!$B$12,-Inputs!$B$7,0)+IF(AND(Source_Data!AC$6&gt;=$B$10,Source_Data!AC$6&lt;$B$10+3*Inputs!$B$16,MOD(Source_Data!AC$6-$B$10,3)=0),Inputs!$B$8*Inputs!$B$7*Inputs!$B$34*$B$5*(1-Inputs!$B$15)/Inputs!$B$16,0)</f>
        <v>0</v>
      </c>
      <c r="AD19" s="33" t="n">
        <f aca="false">IF(Source_Data!AD$6=Inputs!$B$12,-Inputs!$B$7,0)+IF(AND(Source_Data!AD$6&gt;=$B$10,Source_Data!AD$6&lt;$B$10+3*Inputs!$B$16,MOD(Source_Data!AD$6-$B$10,3)=0),Inputs!$B$8*Inputs!$B$7*Inputs!$B$34*$B$5*(1-Inputs!$B$15)/Inputs!$B$16,0)</f>
        <v>0</v>
      </c>
      <c r="AE19" s="33" t="n">
        <f aca="false">IF(Source_Data!AE$6=Inputs!$B$12,-Inputs!$B$7,0)+IF(AND(Source_Data!AE$6&gt;=$B$10,Source_Data!AE$6&lt;$B$10+3*Inputs!$B$16,MOD(Source_Data!AE$6-$B$10,3)=0),Inputs!$B$8*Inputs!$B$7*Inputs!$B$34*$B$5*(1-Inputs!$B$15)/Inputs!$B$16,0)</f>
        <v>0</v>
      </c>
      <c r="AF19" s="33" t="n">
        <f aca="false">IF(Source_Data!AF$6=Inputs!$B$12,-Inputs!$B$7,0)+IF(AND(Source_Data!AF$6&gt;=$B$10,Source_Data!AF$6&lt;$B$10+3*Inputs!$B$16,MOD(Source_Data!AF$6-$B$10,3)=0),Inputs!$B$8*Inputs!$B$7*Inputs!$B$34*$B$5*(1-Inputs!$B$15)/Inputs!$B$16,0)</f>
        <v>0</v>
      </c>
      <c r="AG19" s="33" t="n">
        <f aca="false">IF(Source_Data!AG$6=Inputs!$B$12,-Inputs!$B$7,0)+IF(AND(Source_Data!AG$6&gt;=$B$10,Source_Data!AG$6&lt;$B$10+3*Inputs!$B$16,MOD(Source_Data!AG$6-$B$10,3)=0),Inputs!$B$8*Inputs!$B$7*Inputs!$B$34*$B$5*(1-Inputs!$B$15)/Inputs!$B$16,0)</f>
        <v>0</v>
      </c>
      <c r="AH19" s="33" t="n">
        <f aca="false">IF(Source_Data!AH$6=Inputs!$B$12,-Inputs!$B$7,0)+IF(AND(Source_Data!AH$6&gt;=$B$10,Source_Data!AH$6&lt;$B$10+3*Inputs!$B$16,MOD(Source_Data!AH$6-$B$10,3)=0),Inputs!$B$8*Inputs!$B$7*Inputs!$B$34*$B$5*(1-Inputs!$B$15)/Inputs!$B$16,0)</f>
        <v>0</v>
      </c>
      <c r="AI19" s="33" t="n">
        <f aca="false">IF(Source_Data!AI$6=Inputs!$B$12,-Inputs!$B$7,0)+IF(AND(Source_Data!AI$6&gt;=$B$10,Source_Data!AI$6&lt;$B$10+3*Inputs!$B$16,MOD(Source_Data!AI$6-$B$10,3)=0),Inputs!$B$8*Inputs!$B$7*Inputs!$B$34*$B$5*(1-Inputs!$B$15)/Inputs!$B$16,0)</f>
        <v>0</v>
      </c>
      <c r="AJ19" s="33" t="n">
        <f aca="false">IF(Source_Data!AJ$6=Inputs!$B$12,-Inputs!$B$7,0)+IF(AND(Source_Data!AJ$6&gt;=$B$10,Source_Data!AJ$6&lt;$B$10+3*Inputs!$B$16,MOD(Source_Data!AJ$6-$B$10,3)=0),Inputs!$B$8*Inputs!$B$7*Inputs!$B$34*$B$5*(1-Inputs!$B$15)/Inputs!$B$16,0)</f>
        <v>0</v>
      </c>
      <c r="AK19" s="33" t="n">
        <f aca="false">IF(Source_Data!AK$6=Inputs!$B$12,-Inputs!$B$7,0)+IF(AND(Source_Data!AK$6&gt;=$B$10,Source_Data!AK$6&lt;$B$10+3*Inputs!$B$16,MOD(Source_Data!AK$6-$B$10,3)=0),Inputs!$B$8*Inputs!$B$7*Inputs!$B$34*$B$5*(1-Inputs!$B$15)/Inputs!$B$16,0)</f>
        <v>0</v>
      </c>
      <c r="AL19" s="33" t="n">
        <f aca="false">IF(Source_Data!AL$6=Inputs!$B$12,-Inputs!$B$7,0)+IF(AND(Source_Data!AL$6&gt;=$B$10,Source_Data!AL$6&lt;$B$10+3*Inputs!$B$16,MOD(Source_Data!AL$6-$B$10,3)=0),Inputs!$B$8*Inputs!$B$7*Inputs!$B$34*$B$5*(1-Inputs!$B$15)/Inputs!$B$16,0)</f>
        <v>0</v>
      </c>
      <c r="AM19" s="33" t="n">
        <f aca="false">IF(Source_Data!AM$6=Inputs!$B$12,-Inputs!$B$7,0)+IF(AND(Source_Data!AM$6&gt;=$B$10,Source_Data!AM$6&lt;$B$10+3*Inputs!$B$16,MOD(Source_Data!AM$6-$B$10,3)=0),Inputs!$B$8*Inputs!$B$7*Inputs!$B$34*$B$5*(1-Inputs!$B$15)/Inputs!$B$16,0)</f>
        <v>0</v>
      </c>
      <c r="AN19" s="33" t="n">
        <f aca="false">IF(Source_Data!AN$6=Inputs!$B$12,-Inputs!$B$7,0)+IF(AND(Source_Data!AN$6&gt;=$B$10,Source_Data!AN$6&lt;$B$10+3*Inputs!$B$16,MOD(Source_Data!AN$6-$B$10,3)=0),Inputs!$B$8*Inputs!$B$7*Inputs!$B$34*$B$5*(1-Inputs!$B$15)/Inputs!$B$16,0)</f>
        <v>0</v>
      </c>
      <c r="AO19" s="33" t="n">
        <f aca="false">IF(Source_Data!AO$6=Inputs!$B$12,-Inputs!$B$7,0)+IF(AND(Source_Data!AO$6&gt;=$B$10,Source_Data!AO$6&lt;$B$10+3*Inputs!$B$16,MOD(Source_Data!AO$6-$B$10,3)=0),Inputs!$B$8*Inputs!$B$7*Inputs!$B$34*$B$5*(1-Inputs!$B$15)/Inputs!$B$16,0)</f>
        <v>0</v>
      </c>
      <c r="AP19" s="33" t="n">
        <f aca="false">IF(Source_Data!AP$6=Inputs!$B$12,-Inputs!$B$7,0)+IF(AND(Source_Data!AP$6&gt;=$B$10,Source_Data!AP$6&lt;$B$10+3*Inputs!$B$16,MOD(Source_Data!AP$6-$B$10,3)=0),Inputs!$B$8*Inputs!$B$7*Inputs!$B$34*$B$5*(1-Inputs!$B$15)/Inputs!$B$16,0)</f>
        <v>0</v>
      </c>
      <c r="AQ19" s="33" t="n">
        <f aca="false">IF(Source_Data!AQ$6=Inputs!$B$12,-Inputs!$B$7,0)+IF(AND(Source_Data!AQ$6&gt;=$B$10,Source_Data!AQ$6&lt;$B$10+3*Inputs!$B$16,MOD(Source_Data!AQ$6-$B$10,3)=0),Inputs!$B$8*Inputs!$B$7*Inputs!$B$34*$B$5*(1-Inputs!$B$15)/Inputs!$B$16,0)</f>
        <v>0</v>
      </c>
      <c r="AR19" s="33" t="n">
        <f aca="false">IF(Source_Data!AR$6=Inputs!$B$12,-Inputs!$B$7,0)+IF(AND(Source_Data!AR$6&gt;=$B$10,Source_Data!AR$6&lt;$B$10+3*Inputs!$B$16,MOD(Source_Data!AR$6-$B$10,3)=0),Inputs!$B$8*Inputs!$B$7*Inputs!$B$34*$B$5*(1-Inputs!$B$15)/Inputs!$B$16,0)</f>
        <v>0</v>
      </c>
      <c r="AS19" s="33" t="n">
        <f aca="false">IF(Source_Data!AS$6=Inputs!$B$12,-Inputs!$B$7,0)+IF(AND(Source_Data!AS$6&gt;=$B$10,Source_Data!AS$6&lt;$B$10+3*Inputs!$B$16,MOD(Source_Data!AS$6-$B$10,3)=0),Inputs!$B$8*Inputs!$B$7*Inputs!$B$34*$B$5*(1-Inputs!$B$15)/Inputs!$B$16,0)</f>
        <v>0</v>
      </c>
      <c r="AT19" s="33" t="n">
        <f aca="false">IF(Source_Data!AT$6=Inputs!$B$12,-Inputs!$B$7,0)+IF(AND(Source_Data!AT$6&gt;=$B$10,Source_Data!AT$6&lt;$B$10+3*Inputs!$B$16,MOD(Source_Data!AT$6-$B$10,3)=0),Inputs!$B$8*Inputs!$B$7*Inputs!$B$34*$B$5*(1-Inputs!$B$15)/Inputs!$B$16,0)</f>
        <v>0</v>
      </c>
      <c r="AU19" s="33" t="n">
        <f aca="false">IF(Source_Data!AU$6=Inputs!$B$12,-Inputs!$B$7,0)+IF(AND(Source_Data!AU$6&gt;=$B$10,Source_Data!AU$6&lt;$B$10+3*Inputs!$B$16,MOD(Source_Data!AU$6-$B$10,3)=0),Inputs!$B$8*Inputs!$B$7*Inputs!$B$34*$B$5*(1-Inputs!$B$15)/Inputs!$B$16,0)</f>
        <v>0</v>
      </c>
      <c r="AV19" s="33" t="n">
        <f aca="false">IF(Source_Data!AV$6=Inputs!$B$12,-Inputs!$B$7,0)+IF(AND(Source_Data!AV$6&gt;=$B$10,Source_Data!AV$6&lt;$B$10+3*Inputs!$B$16,MOD(Source_Data!AV$6-$B$10,3)=0),Inputs!$B$8*Inputs!$B$7*Inputs!$B$34*$B$5*(1-Inputs!$B$15)/Inputs!$B$16,0)</f>
        <v>0</v>
      </c>
      <c r="AW19" s="33" t="n">
        <f aca="false">IF(Source_Data!AW$6=Inputs!$B$12,-Inputs!$B$7,0)+IF(AND(Source_Data!AW$6&gt;=$B$10,Source_Data!AW$6&lt;$B$10+3*Inputs!$B$16,MOD(Source_Data!AW$6-$B$10,3)=0),Inputs!$B$8*Inputs!$B$7*Inputs!$B$34*$B$5*(1-Inputs!$B$15)/Inputs!$B$16,0)</f>
        <v>0</v>
      </c>
      <c r="AX19" s="33" t="n">
        <f aca="false">IF(Source_Data!AX$6=Inputs!$B$12,-Inputs!$B$7,0)+IF(AND(Source_Data!AX$6&gt;=$B$10,Source_Data!AX$6&lt;$B$10+3*Inputs!$B$16,MOD(Source_Data!AX$6-$B$10,3)=0),Inputs!$B$8*Inputs!$B$7*Inputs!$B$34*$B$5*(1-Inputs!$B$15)/Inputs!$B$16,0)</f>
        <v>0</v>
      </c>
      <c r="AY19" s="33" t="n">
        <f aca="false">IF(Source_Data!AY$6=Inputs!$B$12,-Inputs!$B$7,0)+IF(AND(Source_Data!AY$6&gt;=$B$10,Source_Data!AY$6&lt;$B$10+3*Inputs!$B$16,MOD(Source_Data!AY$6-$B$10,3)=0),Inputs!$B$8*Inputs!$B$7*Inputs!$B$34*$B$5*(1-Inputs!$B$15)/Inputs!$B$16,0)</f>
        <v>0</v>
      </c>
      <c r="AZ19" s="33" t="n">
        <f aca="false">IF(Source_Data!AZ$6=Inputs!$B$12,-Inputs!$B$7,0)+IF(AND(Source_Data!AZ$6&gt;=$B$10,Source_Data!AZ$6&lt;$B$10+3*Inputs!$B$16,MOD(Source_Data!AZ$6-$B$10,3)=0),Inputs!$B$8*Inputs!$B$7*Inputs!$B$34*$B$5*(1-Inputs!$B$15)/Inputs!$B$16,0)</f>
        <v>0</v>
      </c>
      <c r="BA19" s="33" t="n">
        <f aca="false">IF(Source_Data!BA$6=Inputs!$B$12,-Inputs!$B$7,0)+IF(AND(Source_Data!BA$6&gt;=$B$10,Source_Data!BA$6&lt;$B$10+3*Inputs!$B$16,MOD(Source_Data!BA$6-$B$10,3)=0),Inputs!$B$8*Inputs!$B$7*Inputs!$B$34*$B$5*(1-Inputs!$B$15)/Inputs!$B$16,0)</f>
        <v>0</v>
      </c>
      <c r="BB19" s="33" t="n">
        <f aca="false">IF(Source_Data!BB$6=Inputs!$B$12,-Inputs!$B$7,0)+IF(AND(Source_Data!BB$6&gt;=$B$10,Source_Data!BB$6&lt;$B$10+3*Inputs!$B$16,MOD(Source_Data!BB$6-$B$10,3)=0),Inputs!$B$8*Inputs!$B$7*Inputs!$B$34*$B$5*(1-Inputs!$B$15)/Inputs!$B$16,0)</f>
        <v>0</v>
      </c>
      <c r="BC19" s="33" t="n">
        <f aca="false">IF(Source_Data!BC$6=Inputs!$B$12,-Inputs!$B$7,0)+IF(AND(Source_Data!BC$6&gt;=$B$10,Source_Data!BC$6&lt;$B$10+3*Inputs!$B$16,MOD(Source_Data!BC$6-$B$10,3)=0),Inputs!$B$8*Inputs!$B$7*Inputs!$B$34*$B$5*(1-Inputs!$B$15)/Inputs!$B$16,0)</f>
        <v>0</v>
      </c>
      <c r="BD19" s="33" t="n">
        <f aca="false">IF(Source_Data!BD$6=Inputs!$B$12,-Inputs!$B$7,0)+IF(AND(Source_Data!BD$6&gt;=$B$10,Source_Data!BD$6&lt;$B$10+3*Inputs!$B$16,MOD(Source_Data!BD$6-$B$10,3)=0),Inputs!$B$8*Inputs!$B$7*Inputs!$B$34*$B$5*(1-Inputs!$B$15)/Inputs!$B$16,0)</f>
        <v>0</v>
      </c>
      <c r="BE19" s="33" t="n">
        <f aca="false">IF(Source_Data!BE$6=Inputs!$B$12,-Inputs!$B$7,0)+IF(AND(Source_Data!BE$6&gt;=$B$10,Source_Data!BE$6&lt;$B$10+3*Inputs!$B$16,MOD(Source_Data!BE$6-$B$10,3)=0),Inputs!$B$8*Inputs!$B$7*Inputs!$B$34*$B$5*(1-Inputs!$B$15)/Inputs!$B$16,0)</f>
        <v>0</v>
      </c>
      <c r="BF19" s="33" t="n">
        <f aca="false">IF(Source_Data!BF$6=Inputs!$B$12,-Inputs!$B$7,0)+IF(AND(Source_Data!BF$6&gt;=$B$10,Source_Data!BF$6&lt;$B$10+3*Inputs!$B$16,MOD(Source_Data!BF$6-$B$10,3)=0),Inputs!$B$8*Inputs!$B$7*Inputs!$B$34*$B$5*(1-Inputs!$B$15)/Inputs!$B$16,0)</f>
        <v>0</v>
      </c>
      <c r="BG19" s="33" t="n">
        <f aca="false">IF(Source_Data!BG$6=Inputs!$B$12,-Inputs!$B$7,0)+IF(AND(Source_Data!BG$6&gt;=$B$10,Source_Data!BG$6&lt;$B$10+3*Inputs!$B$16,MOD(Source_Data!BG$6-$B$10,3)=0),Inputs!$B$8*Inputs!$B$7*Inputs!$B$34*$B$5*(1-Inputs!$B$15)/Inputs!$B$16,0)</f>
        <v>0</v>
      </c>
      <c r="BH19" s="33" t="n">
        <f aca="false">IF(Source_Data!BH$6=Inputs!$B$12,-Inputs!$B$7,0)+IF(AND(Source_Data!BH$6&gt;=$B$10,Source_Data!BH$6&lt;$B$10+3*Inputs!$B$16,MOD(Source_Data!BH$6-$B$10,3)=0),Inputs!$B$8*Inputs!$B$7*Inputs!$B$34*$B$5*(1-Inputs!$B$15)/Inputs!$B$16,0)</f>
        <v>0</v>
      </c>
      <c r="BI19" s="33" t="n">
        <f aca="false">IF(Source_Data!BI$6=Inputs!$B$12,-Inputs!$B$7,0)+IF(AND(Source_Data!BI$6&gt;=$B$10,Source_Data!BI$6&lt;$B$10+3*Inputs!$B$16,MOD(Source_Data!BI$6-$B$10,3)=0),Inputs!$B$8*Inputs!$B$7*Inputs!$B$34*$B$5*(1-Inputs!$B$15)/Inputs!$B$16,0)</f>
        <v>0</v>
      </c>
      <c r="BJ19" s="33" t="n">
        <f aca="false">IF(Source_Data!BJ$6=Inputs!$B$12,-Inputs!$B$7,0)+IF(AND(Source_Data!BJ$6&gt;=$B$10,Source_Data!BJ$6&lt;$B$10+3*Inputs!$B$16,MOD(Source_Data!BJ$6-$B$10,3)=0),Inputs!$B$8*Inputs!$B$7*Inputs!$B$34*$B$5*(1-Inputs!$B$15)/Inputs!$B$16,0)</f>
        <v>0</v>
      </c>
      <c r="BK19" s="33" t="n">
        <f aca="false">IF(Source_Data!BK$6=Inputs!$B$12,-Inputs!$B$7,0)+IF(AND(Source_Data!BK$6&gt;=$B$10,Source_Data!BK$6&lt;$B$10+3*Inputs!$B$16,MOD(Source_Data!BK$6-$B$10,3)=0),Inputs!$B$8*Inputs!$B$7*Inputs!$B$34*$B$5*(1-Inputs!$B$15)/Inputs!$B$16,0)</f>
        <v>0</v>
      </c>
    </row>
    <row r="20" customFormat="false" ht="15" hidden="false" customHeight="false" outlineLevel="0" collapsed="false">
      <c r="A20" s="3" t="s">
        <v>341</v>
      </c>
      <c r="D20" s="33" t="n">
        <f aca="false">IF(AND(Source_Data!D$6&gt;=Inputs!$B$54,Source_Data!D$6&lt;Inputs!$B$54+3*Inputs!$B$11),Inputs!$B$9*Inputs!$B$7/Inputs!$B$11,0)</f>
        <v>0</v>
      </c>
      <c r="E20" s="33" t="n">
        <f aca="false">IF(AND(Source_Data!E$6&gt;=Inputs!$B$54,Source_Data!E$6&lt;Inputs!$B$54+3*Inputs!$B$11),Inputs!$B$9*Inputs!$B$7/Inputs!$B$11,0)</f>
        <v>0</v>
      </c>
      <c r="F20" s="33" t="n">
        <f aca="false">IF(AND(Source_Data!F$6&gt;=Inputs!$B$54,Source_Data!F$6&lt;Inputs!$B$54+3*Inputs!$B$11),Inputs!$B$9*Inputs!$B$7/Inputs!$B$11,0)</f>
        <v>0</v>
      </c>
      <c r="G20" s="33" t="n">
        <f aca="false">IF(AND(Source_Data!G$6&gt;=Inputs!$B$54,Source_Data!G$6&lt;Inputs!$B$54+3*Inputs!$B$11),Inputs!$B$9*Inputs!$B$7/Inputs!$B$11,0)</f>
        <v>0</v>
      </c>
      <c r="H20" s="33" t="n">
        <f aca="false">IF(AND(Source_Data!H$6&gt;=Inputs!$B$54,Source_Data!H$6&lt;Inputs!$B$54+3*Inputs!$B$11),Inputs!$B$9*Inputs!$B$7/Inputs!$B$11,0)</f>
        <v>0</v>
      </c>
      <c r="I20" s="33" t="n">
        <f aca="false">IF(AND(Source_Data!I$6&gt;=Inputs!$B$54,Source_Data!I$6&lt;Inputs!$B$54+3*Inputs!$B$11),Inputs!$B$9*Inputs!$B$7/Inputs!$B$11,0)</f>
        <v>0</v>
      </c>
      <c r="J20" s="33" t="n">
        <f aca="false">IF(AND(Source_Data!J$6&gt;=Inputs!$B$54,Source_Data!J$6&lt;Inputs!$B$54+3*Inputs!$B$11),Inputs!$B$9*Inputs!$B$7/Inputs!$B$11,0)</f>
        <v>0</v>
      </c>
      <c r="K20" s="33" t="n">
        <f aca="false">IF(AND(Source_Data!K$6&gt;=Inputs!$B$54,Source_Data!K$6&lt;Inputs!$B$54+3*Inputs!$B$11),Inputs!$B$9*Inputs!$B$7/Inputs!$B$11,0)</f>
        <v>0</v>
      </c>
      <c r="L20" s="33" t="n">
        <f aca="false">IF(AND(Source_Data!L$6&gt;=Inputs!$B$54,Source_Data!L$6&lt;Inputs!$B$54+3*Inputs!$B$11),Inputs!$B$9*Inputs!$B$7/Inputs!$B$11,0)</f>
        <v>0</v>
      </c>
      <c r="M20" s="33" t="n">
        <f aca="false">IF(AND(Source_Data!M$6&gt;=Inputs!$B$54,Source_Data!M$6&lt;Inputs!$B$54+3*Inputs!$B$11),Inputs!$B$9*Inputs!$B$7/Inputs!$B$11,0)</f>
        <v>19.1666666666667</v>
      </c>
      <c r="N20" s="33" t="n">
        <f aca="false">IF(AND(Source_Data!N$6&gt;=Inputs!$B$54,Source_Data!N$6&lt;Inputs!$B$54+3*Inputs!$B$11),Inputs!$B$9*Inputs!$B$7/Inputs!$B$11,0)</f>
        <v>19.1666666666667</v>
      </c>
      <c r="O20" s="33" t="n">
        <f aca="false">IF(AND(Source_Data!O$6&gt;=Inputs!$B$54,Source_Data!O$6&lt;Inputs!$B$54+3*Inputs!$B$11),Inputs!$B$9*Inputs!$B$7/Inputs!$B$11,0)</f>
        <v>19.1666666666667</v>
      </c>
      <c r="P20" s="33" t="n">
        <f aca="false">IF(AND(Source_Data!P$6&gt;=Inputs!$B$54,Source_Data!P$6&lt;Inputs!$B$54+3*Inputs!$B$11),Inputs!$B$9*Inputs!$B$7/Inputs!$B$11,0)</f>
        <v>19.1666666666667</v>
      </c>
      <c r="Q20" s="33" t="n">
        <f aca="false">IF(AND(Source_Data!Q$6&gt;=Inputs!$B$54,Source_Data!Q$6&lt;Inputs!$B$54+3*Inputs!$B$11),Inputs!$B$9*Inputs!$B$7/Inputs!$B$11,0)</f>
        <v>19.1666666666667</v>
      </c>
      <c r="R20" s="33" t="n">
        <f aca="false">IF(AND(Source_Data!R$6&gt;=Inputs!$B$54,Source_Data!R$6&lt;Inputs!$B$54+3*Inputs!$B$11),Inputs!$B$9*Inputs!$B$7/Inputs!$B$11,0)</f>
        <v>19.1666666666667</v>
      </c>
      <c r="S20" s="33" t="n">
        <f aca="false">IF(AND(Source_Data!S$6&gt;=Inputs!$B$54,Source_Data!S$6&lt;Inputs!$B$54+3*Inputs!$B$11),Inputs!$B$9*Inputs!$B$7/Inputs!$B$11,0)</f>
        <v>19.1666666666667</v>
      </c>
      <c r="T20" s="33" t="n">
        <f aca="false">IF(AND(Source_Data!T$6&gt;=Inputs!$B$54,Source_Data!T$6&lt;Inputs!$B$54+3*Inputs!$B$11),Inputs!$B$9*Inputs!$B$7/Inputs!$B$11,0)</f>
        <v>19.1666666666667</v>
      </c>
      <c r="U20" s="33" t="n">
        <f aca="false">IF(AND(Source_Data!U$6&gt;=Inputs!$B$54,Source_Data!U$6&lt;Inputs!$B$54+3*Inputs!$B$11),Inputs!$B$9*Inputs!$B$7/Inputs!$B$11,0)</f>
        <v>19.1666666666667</v>
      </c>
      <c r="V20" s="33" t="n">
        <f aca="false">IF(AND(Source_Data!V$6&gt;=Inputs!$B$54,Source_Data!V$6&lt;Inputs!$B$54+3*Inputs!$B$11),Inputs!$B$9*Inputs!$B$7/Inputs!$B$11,0)</f>
        <v>19.1666666666667</v>
      </c>
      <c r="W20" s="33" t="n">
        <f aca="false">IF(AND(Source_Data!W$6&gt;=Inputs!$B$54,Source_Data!W$6&lt;Inputs!$B$54+3*Inputs!$B$11),Inputs!$B$9*Inputs!$B$7/Inputs!$B$11,0)</f>
        <v>19.1666666666667</v>
      </c>
      <c r="X20" s="33" t="n">
        <f aca="false">IF(AND(Source_Data!X$6&gt;=Inputs!$B$54,Source_Data!X$6&lt;Inputs!$B$54+3*Inputs!$B$11),Inputs!$B$9*Inputs!$B$7/Inputs!$B$11,0)</f>
        <v>19.1666666666667</v>
      </c>
      <c r="Y20" s="33" t="n">
        <f aca="false">IF(AND(Source_Data!Y$6&gt;=Inputs!$B$54,Source_Data!Y$6&lt;Inputs!$B$54+3*Inputs!$B$11),Inputs!$B$9*Inputs!$B$7/Inputs!$B$11,0)</f>
        <v>0</v>
      </c>
      <c r="Z20" s="33" t="n">
        <f aca="false">IF(AND(Source_Data!Z$6&gt;=Inputs!$B$54,Source_Data!Z$6&lt;Inputs!$B$54+3*Inputs!$B$11),Inputs!$B$9*Inputs!$B$7/Inputs!$B$11,0)</f>
        <v>0</v>
      </c>
      <c r="AA20" s="33" t="n">
        <f aca="false">IF(AND(Source_Data!AA$6&gt;=Inputs!$B$54,Source_Data!AA$6&lt;Inputs!$B$54+3*Inputs!$B$11),Inputs!$B$9*Inputs!$B$7/Inputs!$B$11,0)</f>
        <v>0</v>
      </c>
      <c r="AB20" s="33" t="n">
        <f aca="false">IF(AND(Source_Data!AB$6&gt;=Inputs!$B$54,Source_Data!AB$6&lt;Inputs!$B$54+3*Inputs!$B$11),Inputs!$B$9*Inputs!$B$7/Inputs!$B$11,0)</f>
        <v>0</v>
      </c>
      <c r="AC20" s="33" t="n">
        <f aca="false">IF(AND(Source_Data!AC$6&gt;=Inputs!$B$54,Source_Data!AC$6&lt;Inputs!$B$54+3*Inputs!$B$11),Inputs!$B$9*Inputs!$B$7/Inputs!$B$11,0)</f>
        <v>0</v>
      </c>
      <c r="AD20" s="33" t="n">
        <f aca="false">IF(AND(Source_Data!AD$6&gt;=Inputs!$B$54,Source_Data!AD$6&lt;Inputs!$B$54+3*Inputs!$B$11),Inputs!$B$9*Inputs!$B$7/Inputs!$B$11,0)</f>
        <v>0</v>
      </c>
      <c r="AE20" s="33" t="n">
        <f aca="false">IF(AND(Source_Data!AE$6&gt;=Inputs!$B$54,Source_Data!AE$6&lt;Inputs!$B$54+3*Inputs!$B$11),Inputs!$B$9*Inputs!$B$7/Inputs!$B$11,0)</f>
        <v>0</v>
      </c>
      <c r="AF20" s="33" t="n">
        <f aca="false">IF(AND(Source_Data!AF$6&gt;=Inputs!$B$54,Source_Data!AF$6&lt;Inputs!$B$54+3*Inputs!$B$11),Inputs!$B$9*Inputs!$B$7/Inputs!$B$11,0)</f>
        <v>0</v>
      </c>
      <c r="AG20" s="33" t="n">
        <f aca="false">IF(AND(Source_Data!AG$6&gt;=Inputs!$B$54,Source_Data!AG$6&lt;Inputs!$B$54+3*Inputs!$B$11),Inputs!$B$9*Inputs!$B$7/Inputs!$B$11,0)</f>
        <v>0</v>
      </c>
      <c r="AH20" s="33" t="n">
        <f aca="false">IF(AND(Source_Data!AH$6&gt;=Inputs!$B$54,Source_Data!AH$6&lt;Inputs!$B$54+3*Inputs!$B$11),Inputs!$B$9*Inputs!$B$7/Inputs!$B$11,0)</f>
        <v>0</v>
      </c>
      <c r="AI20" s="33" t="n">
        <f aca="false">IF(AND(Source_Data!AI$6&gt;=Inputs!$B$54,Source_Data!AI$6&lt;Inputs!$B$54+3*Inputs!$B$11),Inputs!$B$9*Inputs!$B$7/Inputs!$B$11,0)</f>
        <v>0</v>
      </c>
      <c r="AJ20" s="33" t="n">
        <f aca="false">IF(AND(Source_Data!AJ$6&gt;=Inputs!$B$54,Source_Data!AJ$6&lt;Inputs!$B$54+3*Inputs!$B$11),Inputs!$B$9*Inputs!$B$7/Inputs!$B$11,0)</f>
        <v>0</v>
      </c>
      <c r="AK20" s="33" t="n">
        <f aca="false">IF(AND(Source_Data!AK$6&gt;=Inputs!$B$54,Source_Data!AK$6&lt;Inputs!$B$54+3*Inputs!$B$11),Inputs!$B$9*Inputs!$B$7/Inputs!$B$11,0)</f>
        <v>0</v>
      </c>
      <c r="AL20" s="33" t="n">
        <f aca="false">IF(AND(Source_Data!AL$6&gt;=Inputs!$B$54,Source_Data!AL$6&lt;Inputs!$B$54+3*Inputs!$B$11),Inputs!$B$9*Inputs!$B$7/Inputs!$B$11,0)</f>
        <v>0</v>
      </c>
      <c r="AM20" s="33" t="n">
        <f aca="false">IF(AND(Source_Data!AM$6&gt;=Inputs!$B$54,Source_Data!AM$6&lt;Inputs!$B$54+3*Inputs!$B$11),Inputs!$B$9*Inputs!$B$7/Inputs!$B$11,0)</f>
        <v>0</v>
      </c>
      <c r="AN20" s="33" t="n">
        <f aca="false">IF(AND(Source_Data!AN$6&gt;=Inputs!$B$54,Source_Data!AN$6&lt;Inputs!$B$54+3*Inputs!$B$11),Inputs!$B$9*Inputs!$B$7/Inputs!$B$11,0)</f>
        <v>0</v>
      </c>
      <c r="AO20" s="33" t="n">
        <f aca="false">IF(AND(Source_Data!AO$6&gt;=Inputs!$B$54,Source_Data!AO$6&lt;Inputs!$B$54+3*Inputs!$B$11),Inputs!$B$9*Inputs!$B$7/Inputs!$B$11,0)</f>
        <v>0</v>
      </c>
      <c r="AP20" s="33" t="n">
        <f aca="false">IF(AND(Source_Data!AP$6&gt;=Inputs!$B$54,Source_Data!AP$6&lt;Inputs!$B$54+3*Inputs!$B$11),Inputs!$B$9*Inputs!$B$7/Inputs!$B$11,0)</f>
        <v>0</v>
      </c>
      <c r="AQ20" s="33" t="n">
        <f aca="false">IF(AND(Source_Data!AQ$6&gt;=Inputs!$B$54,Source_Data!AQ$6&lt;Inputs!$B$54+3*Inputs!$B$11),Inputs!$B$9*Inputs!$B$7/Inputs!$B$11,0)</f>
        <v>0</v>
      </c>
      <c r="AR20" s="33" t="n">
        <f aca="false">IF(AND(Source_Data!AR$6&gt;=Inputs!$B$54,Source_Data!AR$6&lt;Inputs!$B$54+3*Inputs!$B$11),Inputs!$B$9*Inputs!$B$7/Inputs!$B$11,0)</f>
        <v>0</v>
      </c>
      <c r="AS20" s="33" t="n">
        <f aca="false">IF(AND(Source_Data!AS$6&gt;=Inputs!$B$54,Source_Data!AS$6&lt;Inputs!$B$54+3*Inputs!$B$11),Inputs!$B$9*Inputs!$B$7/Inputs!$B$11,0)</f>
        <v>0</v>
      </c>
      <c r="AT20" s="33" t="n">
        <f aca="false">IF(AND(Source_Data!AT$6&gt;=Inputs!$B$54,Source_Data!AT$6&lt;Inputs!$B$54+3*Inputs!$B$11),Inputs!$B$9*Inputs!$B$7/Inputs!$B$11,0)</f>
        <v>0</v>
      </c>
      <c r="AU20" s="33" t="n">
        <f aca="false">IF(AND(Source_Data!AU$6&gt;=Inputs!$B$54,Source_Data!AU$6&lt;Inputs!$B$54+3*Inputs!$B$11),Inputs!$B$9*Inputs!$B$7/Inputs!$B$11,0)</f>
        <v>0</v>
      </c>
      <c r="AV20" s="33" t="n">
        <f aca="false">IF(AND(Source_Data!AV$6&gt;=Inputs!$B$54,Source_Data!AV$6&lt;Inputs!$B$54+3*Inputs!$B$11),Inputs!$B$9*Inputs!$B$7/Inputs!$B$11,0)</f>
        <v>0</v>
      </c>
      <c r="AW20" s="33" t="n">
        <f aca="false">IF(AND(Source_Data!AW$6&gt;=Inputs!$B$54,Source_Data!AW$6&lt;Inputs!$B$54+3*Inputs!$B$11),Inputs!$B$9*Inputs!$B$7/Inputs!$B$11,0)</f>
        <v>0</v>
      </c>
      <c r="AX20" s="33" t="n">
        <f aca="false">IF(AND(Source_Data!AX$6&gt;=Inputs!$B$54,Source_Data!AX$6&lt;Inputs!$B$54+3*Inputs!$B$11),Inputs!$B$9*Inputs!$B$7/Inputs!$B$11,0)</f>
        <v>0</v>
      </c>
      <c r="AY20" s="33" t="n">
        <f aca="false">IF(AND(Source_Data!AY$6&gt;=Inputs!$B$54,Source_Data!AY$6&lt;Inputs!$B$54+3*Inputs!$B$11),Inputs!$B$9*Inputs!$B$7/Inputs!$B$11,0)</f>
        <v>0</v>
      </c>
      <c r="AZ20" s="33" t="n">
        <f aca="false">IF(AND(Source_Data!AZ$6&gt;=Inputs!$B$54,Source_Data!AZ$6&lt;Inputs!$B$54+3*Inputs!$B$11),Inputs!$B$9*Inputs!$B$7/Inputs!$B$11,0)</f>
        <v>0</v>
      </c>
      <c r="BA20" s="33" t="n">
        <f aca="false">IF(AND(Source_Data!BA$6&gt;=Inputs!$B$54,Source_Data!BA$6&lt;Inputs!$B$54+3*Inputs!$B$11),Inputs!$B$9*Inputs!$B$7/Inputs!$B$11,0)</f>
        <v>0</v>
      </c>
      <c r="BB20" s="33" t="n">
        <f aca="false">IF(AND(Source_Data!BB$6&gt;=Inputs!$B$54,Source_Data!BB$6&lt;Inputs!$B$54+3*Inputs!$B$11),Inputs!$B$9*Inputs!$B$7/Inputs!$B$11,0)</f>
        <v>0</v>
      </c>
      <c r="BC20" s="33" t="n">
        <f aca="false">IF(AND(Source_Data!BC$6&gt;=Inputs!$B$54,Source_Data!BC$6&lt;Inputs!$B$54+3*Inputs!$B$11),Inputs!$B$9*Inputs!$B$7/Inputs!$B$11,0)</f>
        <v>0</v>
      </c>
      <c r="BD20" s="33" t="n">
        <f aca="false">IF(AND(Source_Data!BD$6&gt;=Inputs!$B$54,Source_Data!BD$6&lt;Inputs!$B$54+3*Inputs!$B$11),Inputs!$B$9*Inputs!$B$7/Inputs!$B$11,0)</f>
        <v>0</v>
      </c>
      <c r="BE20" s="33" t="n">
        <f aca="false">IF(AND(Source_Data!BE$6&gt;=Inputs!$B$54,Source_Data!BE$6&lt;Inputs!$B$54+3*Inputs!$B$11),Inputs!$B$9*Inputs!$B$7/Inputs!$B$11,0)</f>
        <v>0</v>
      </c>
      <c r="BF20" s="33" t="n">
        <f aca="false">IF(AND(Source_Data!BF$6&gt;=Inputs!$B$54,Source_Data!BF$6&lt;Inputs!$B$54+3*Inputs!$B$11),Inputs!$B$9*Inputs!$B$7/Inputs!$B$11,0)</f>
        <v>0</v>
      </c>
      <c r="BG20" s="33" t="n">
        <f aca="false">IF(AND(Source_Data!BG$6&gt;=Inputs!$B$54,Source_Data!BG$6&lt;Inputs!$B$54+3*Inputs!$B$11),Inputs!$B$9*Inputs!$B$7/Inputs!$B$11,0)</f>
        <v>0</v>
      </c>
      <c r="BH20" s="33" t="n">
        <f aca="false">IF(AND(Source_Data!BH$6&gt;=Inputs!$B$54,Source_Data!BH$6&lt;Inputs!$B$54+3*Inputs!$B$11),Inputs!$B$9*Inputs!$B$7/Inputs!$B$11,0)</f>
        <v>0</v>
      </c>
      <c r="BI20" s="33" t="n">
        <f aca="false">IF(AND(Source_Data!BI$6&gt;=Inputs!$B$54,Source_Data!BI$6&lt;Inputs!$B$54+3*Inputs!$B$11),Inputs!$B$9*Inputs!$B$7/Inputs!$B$11,0)</f>
        <v>0</v>
      </c>
      <c r="BJ20" s="33" t="n">
        <f aca="false">IF(AND(Source_Data!BJ$6&gt;=Inputs!$B$54,Source_Data!BJ$6&lt;Inputs!$B$54+3*Inputs!$B$11),Inputs!$B$9*Inputs!$B$7/Inputs!$B$11,0)</f>
        <v>0</v>
      </c>
      <c r="BK20" s="33" t="n">
        <f aca="false">IF(AND(Source_Data!BK$6&gt;=Inputs!$B$54,Source_Data!BK$6&lt;Inputs!$B$54+3*Inputs!$B$11),Inputs!$B$9*Inputs!$B$7/Inputs!$B$11,0)</f>
        <v>0</v>
      </c>
    </row>
    <row r="21" customFormat="false" ht="15" hidden="false" customHeight="false" outlineLevel="0" collapsed="false">
      <c r="A21" s="3" t="s">
        <v>342</v>
      </c>
      <c r="D21" s="33" t="n">
        <f aca="false">IF(Source_Data!D$6=Inputs!$B$12,-Inputs!$B$7,0)+D20</f>
        <v>-100</v>
      </c>
      <c r="E21" s="33" t="n">
        <f aca="false">IF(Source_Data!E$6=Inputs!$B$12,-Inputs!$B$7,0)+E20</f>
        <v>0</v>
      </c>
      <c r="F21" s="33" t="n">
        <f aca="false">IF(Source_Data!F$6=Inputs!$B$12,-Inputs!$B$7,0)+F20</f>
        <v>0</v>
      </c>
      <c r="G21" s="33" t="n">
        <f aca="false">IF(Source_Data!G$6=Inputs!$B$12,-Inputs!$B$7,0)+G20</f>
        <v>0</v>
      </c>
      <c r="H21" s="33" t="n">
        <f aca="false">IF(Source_Data!H$6=Inputs!$B$12,-Inputs!$B$7,0)+H20</f>
        <v>0</v>
      </c>
      <c r="I21" s="33" t="n">
        <f aca="false">IF(Source_Data!I$6=Inputs!$B$12,-Inputs!$B$7,0)+I20</f>
        <v>0</v>
      </c>
      <c r="J21" s="33" t="n">
        <f aca="false">IF(Source_Data!J$6=Inputs!$B$12,-Inputs!$B$7,0)+J20</f>
        <v>0</v>
      </c>
      <c r="K21" s="33" t="n">
        <f aca="false">IF(Source_Data!K$6=Inputs!$B$12,-Inputs!$B$7,0)+K20</f>
        <v>0</v>
      </c>
      <c r="L21" s="33" t="n">
        <f aca="false">IF(Source_Data!L$6=Inputs!$B$12,-Inputs!$B$7,0)+L20</f>
        <v>0</v>
      </c>
      <c r="M21" s="33" t="n">
        <f aca="false">IF(Source_Data!M$6=Inputs!$B$12,-Inputs!$B$7,0)+M20</f>
        <v>19.1666666666667</v>
      </c>
      <c r="N21" s="33" t="n">
        <f aca="false">IF(Source_Data!N$6=Inputs!$B$12,-Inputs!$B$7,0)+N20</f>
        <v>19.1666666666667</v>
      </c>
      <c r="O21" s="33" t="n">
        <f aca="false">IF(Source_Data!O$6=Inputs!$B$12,-Inputs!$B$7,0)+O20</f>
        <v>19.1666666666667</v>
      </c>
      <c r="P21" s="33" t="n">
        <f aca="false">IF(Source_Data!P$6=Inputs!$B$12,-Inputs!$B$7,0)+P20</f>
        <v>19.1666666666667</v>
      </c>
      <c r="Q21" s="33" t="n">
        <f aca="false">IF(Source_Data!Q$6=Inputs!$B$12,-Inputs!$B$7,0)+Q20</f>
        <v>19.1666666666667</v>
      </c>
      <c r="R21" s="33" t="n">
        <f aca="false">IF(Source_Data!R$6=Inputs!$B$12,-Inputs!$B$7,0)+R20</f>
        <v>19.1666666666667</v>
      </c>
      <c r="S21" s="33" t="n">
        <f aca="false">IF(Source_Data!S$6=Inputs!$B$12,-Inputs!$B$7,0)+S20</f>
        <v>19.1666666666667</v>
      </c>
      <c r="T21" s="33" t="n">
        <f aca="false">IF(Source_Data!T$6=Inputs!$B$12,-Inputs!$B$7,0)+T20</f>
        <v>19.1666666666667</v>
      </c>
      <c r="U21" s="33" t="n">
        <f aca="false">IF(Source_Data!U$6=Inputs!$B$12,-Inputs!$B$7,0)+U20</f>
        <v>19.1666666666667</v>
      </c>
      <c r="V21" s="33" t="n">
        <f aca="false">IF(Source_Data!V$6=Inputs!$B$12,-Inputs!$B$7,0)+V20</f>
        <v>19.1666666666667</v>
      </c>
      <c r="W21" s="33" t="n">
        <f aca="false">IF(Source_Data!W$6=Inputs!$B$12,-Inputs!$B$7,0)+W20</f>
        <v>19.1666666666667</v>
      </c>
      <c r="X21" s="33" t="n">
        <f aca="false">IF(Source_Data!X$6=Inputs!$B$12,-Inputs!$B$7,0)+X20</f>
        <v>19.1666666666667</v>
      </c>
      <c r="Y21" s="33" t="n">
        <f aca="false">IF(Source_Data!Y$6=Inputs!$B$12,-Inputs!$B$7,0)+Y20</f>
        <v>0</v>
      </c>
      <c r="Z21" s="33" t="n">
        <f aca="false">IF(Source_Data!Z$6=Inputs!$B$12,-Inputs!$B$7,0)+Z20</f>
        <v>0</v>
      </c>
      <c r="AA21" s="33" t="n">
        <f aca="false">IF(Source_Data!AA$6=Inputs!$B$12,-Inputs!$B$7,0)+AA20</f>
        <v>0</v>
      </c>
      <c r="AB21" s="33" t="n">
        <f aca="false">IF(Source_Data!AB$6=Inputs!$B$12,-Inputs!$B$7,0)+AB20</f>
        <v>0</v>
      </c>
      <c r="AC21" s="33" t="n">
        <f aca="false">IF(Source_Data!AC$6=Inputs!$B$12,-Inputs!$B$7,0)+AC20</f>
        <v>0</v>
      </c>
      <c r="AD21" s="33" t="n">
        <f aca="false">IF(Source_Data!AD$6=Inputs!$B$12,-Inputs!$B$7,0)+AD20</f>
        <v>0</v>
      </c>
      <c r="AE21" s="33" t="n">
        <f aca="false">IF(Source_Data!AE$6=Inputs!$B$12,-Inputs!$B$7,0)+AE20</f>
        <v>0</v>
      </c>
      <c r="AF21" s="33" t="n">
        <f aca="false">IF(Source_Data!AF$6=Inputs!$B$12,-Inputs!$B$7,0)+AF20</f>
        <v>0</v>
      </c>
      <c r="AG21" s="33" t="n">
        <f aca="false">IF(Source_Data!AG$6=Inputs!$B$12,-Inputs!$B$7,0)+AG20</f>
        <v>0</v>
      </c>
      <c r="AH21" s="33" t="n">
        <f aca="false">IF(Source_Data!AH$6=Inputs!$B$12,-Inputs!$B$7,0)+AH20</f>
        <v>0</v>
      </c>
      <c r="AI21" s="33" t="n">
        <f aca="false">IF(Source_Data!AI$6=Inputs!$B$12,-Inputs!$B$7,0)+AI20</f>
        <v>0</v>
      </c>
      <c r="AJ21" s="33" t="n">
        <f aca="false">IF(Source_Data!AJ$6=Inputs!$B$12,-Inputs!$B$7,0)+AJ20</f>
        <v>0</v>
      </c>
      <c r="AK21" s="33" t="n">
        <f aca="false">IF(Source_Data!AK$6=Inputs!$B$12,-Inputs!$B$7,0)+AK20</f>
        <v>0</v>
      </c>
      <c r="AL21" s="33" t="n">
        <f aca="false">IF(Source_Data!AL$6=Inputs!$B$12,-Inputs!$B$7,0)+AL20</f>
        <v>0</v>
      </c>
      <c r="AM21" s="33" t="n">
        <f aca="false">IF(Source_Data!AM$6=Inputs!$B$12,-Inputs!$B$7,0)+AM20</f>
        <v>0</v>
      </c>
      <c r="AN21" s="33" t="n">
        <f aca="false">IF(Source_Data!AN$6=Inputs!$B$12,-Inputs!$B$7,0)+AN20</f>
        <v>0</v>
      </c>
      <c r="AO21" s="33" t="n">
        <f aca="false">IF(Source_Data!AO$6=Inputs!$B$12,-Inputs!$B$7,0)+AO20</f>
        <v>0</v>
      </c>
      <c r="AP21" s="33" t="n">
        <f aca="false">IF(Source_Data!AP$6=Inputs!$B$12,-Inputs!$B$7,0)+AP20</f>
        <v>0</v>
      </c>
      <c r="AQ21" s="33" t="n">
        <f aca="false">IF(Source_Data!AQ$6=Inputs!$B$12,-Inputs!$B$7,0)+AQ20</f>
        <v>0</v>
      </c>
      <c r="AR21" s="33" t="n">
        <f aca="false">IF(Source_Data!AR$6=Inputs!$B$12,-Inputs!$B$7,0)+AR20</f>
        <v>0</v>
      </c>
      <c r="AS21" s="33" t="n">
        <f aca="false">IF(Source_Data!AS$6=Inputs!$B$12,-Inputs!$B$7,0)+AS20</f>
        <v>0</v>
      </c>
      <c r="AT21" s="33" t="n">
        <f aca="false">IF(Source_Data!AT$6=Inputs!$B$12,-Inputs!$B$7,0)+AT20</f>
        <v>0</v>
      </c>
      <c r="AU21" s="33" t="n">
        <f aca="false">IF(Source_Data!AU$6=Inputs!$B$12,-Inputs!$B$7,0)+AU20</f>
        <v>0</v>
      </c>
      <c r="AV21" s="33" t="n">
        <f aca="false">IF(Source_Data!AV$6=Inputs!$B$12,-Inputs!$B$7,0)+AV20</f>
        <v>0</v>
      </c>
      <c r="AW21" s="33" t="n">
        <f aca="false">IF(Source_Data!AW$6=Inputs!$B$12,-Inputs!$B$7,0)+AW20</f>
        <v>0</v>
      </c>
      <c r="AX21" s="33" t="n">
        <f aca="false">IF(Source_Data!AX$6=Inputs!$B$12,-Inputs!$B$7,0)+AX20</f>
        <v>0</v>
      </c>
      <c r="AY21" s="33" t="n">
        <f aca="false">IF(Source_Data!AY$6=Inputs!$B$12,-Inputs!$B$7,0)+AY20</f>
        <v>0</v>
      </c>
      <c r="AZ21" s="33" t="n">
        <f aca="false">IF(Source_Data!AZ$6=Inputs!$B$12,-Inputs!$B$7,0)+AZ20</f>
        <v>0</v>
      </c>
      <c r="BA21" s="33" t="n">
        <f aca="false">IF(Source_Data!BA$6=Inputs!$B$12,-Inputs!$B$7,0)+BA20</f>
        <v>0</v>
      </c>
      <c r="BB21" s="33" t="n">
        <f aca="false">IF(Source_Data!BB$6=Inputs!$B$12,-Inputs!$B$7,0)+BB20</f>
        <v>0</v>
      </c>
      <c r="BC21" s="33" t="n">
        <f aca="false">IF(Source_Data!BC$6=Inputs!$B$12,-Inputs!$B$7,0)+BC20</f>
        <v>0</v>
      </c>
      <c r="BD21" s="33" t="n">
        <f aca="false">IF(Source_Data!BD$6=Inputs!$B$12,-Inputs!$B$7,0)+BD20</f>
        <v>0</v>
      </c>
      <c r="BE21" s="33" t="n">
        <f aca="false">IF(Source_Data!BE$6=Inputs!$B$12,-Inputs!$B$7,0)+BE20</f>
        <v>0</v>
      </c>
      <c r="BF21" s="33" t="n">
        <f aca="false">IF(Source_Data!BF$6=Inputs!$B$12,-Inputs!$B$7,0)+BF20</f>
        <v>0</v>
      </c>
      <c r="BG21" s="33" t="n">
        <f aca="false">IF(Source_Data!BG$6=Inputs!$B$12,-Inputs!$B$7,0)+BG20</f>
        <v>0</v>
      </c>
      <c r="BH21" s="33" t="n">
        <f aca="false">IF(Source_Data!BH$6=Inputs!$B$12,-Inputs!$B$7,0)+BH20</f>
        <v>0</v>
      </c>
      <c r="BI21" s="33" t="n">
        <f aca="false">IF(Source_Data!BI$6=Inputs!$B$12,-Inputs!$B$7,0)+BI20</f>
        <v>0</v>
      </c>
      <c r="BJ21" s="33" t="n">
        <f aca="false">IF(Source_Data!BJ$6=Inputs!$B$12,-Inputs!$B$7,0)+BJ20</f>
        <v>0</v>
      </c>
      <c r="BK21" s="33" t="n">
        <f aca="false">IF(Source_Data!BK$6=Inputs!$B$12,-Inputs!$B$7,0)+BK20</f>
        <v>0</v>
      </c>
    </row>
    <row r="22" customFormat="false" ht="15" hidden="false" customHeight="false" outlineLevel="0" collapsed="false">
      <c r="A22" s="3" t="s">
        <v>343</v>
      </c>
      <c r="D22" s="33" t="n">
        <f aca="false">IF(Source_Data!D$6=Inputs!$B$12,Inputs!$B$7,0)+D17-D20</f>
        <v>8.75</v>
      </c>
      <c r="E22" s="33" t="n">
        <f aca="false">D22+IF(Source_Data!E$6=Inputs!$B$12,Inputs!$B$7,0)+E17-E20</f>
        <v>-2.5</v>
      </c>
      <c r="F22" s="33" t="n">
        <f aca="false">E22+IF(Source_Data!F$6=Inputs!$B$12,Inputs!$B$7,0)+F17-F20</f>
        <v>1.3892375</v>
      </c>
      <c r="G22" s="33" t="n">
        <f aca="false">F22+IF(Source_Data!G$6=Inputs!$B$12,Inputs!$B$7,0)+G17-G20</f>
        <v>20.4177125</v>
      </c>
      <c r="H22" s="33" t="n">
        <f aca="false">G22+IF(Source_Data!H$6=Inputs!$B$12,Inputs!$B$7,0)+H17-H20</f>
        <v>21.42971875</v>
      </c>
      <c r="I22" s="33" t="n">
        <f aca="false">H22+IF(Source_Data!I$6=Inputs!$B$12,Inputs!$B$7,0)+I17-I20</f>
        <v>31.31525625</v>
      </c>
      <c r="J22" s="33" t="n">
        <f aca="false">I22+IF(Source_Data!J$6=Inputs!$B$12,Inputs!$B$7,0)+J17-J20</f>
        <v>13.06956625</v>
      </c>
      <c r="K22" s="33" t="n">
        <f aca="false">J22+IF(Source_Data!K$6=Inputs!$B$12,Inputs!$B$7,0)+K17-K20</f>
        <v>11.571735625</v>
      </c>
      <c r="L22" s="33" t="n">
        <f aca="false">K22+IF(Source_Data!L$6=Inputs!$B$12,Inputs!$B$7,0)+L17-L20</f>
        <v>18.2693240625</v>
      </c>
      <c r="M22" s="33" t="n">
        <f aca="false">L22+IF(Source_Data!M$6=Inputs!$B$12,Inputs!$B$7,0)+M17-M20</f>
        <v>420.725234895833</v>
      </c>
      <c r="N22" s="33" t="n">
        <f aca="false">M22+IF(Source_Data!N$6=Inputs!$B$12,Inputs!$B$7,0)+N17-N20</f>
        <v>540.325308229167</v>
      </c>
      <c r="O22" s="33" t="n">
        <f aca="false">N22+IF(Source_Data!O$6=Inputs!$B$12,Inputs!$B$7,0)+O17-O20</f>
        <v>650.8816315625</v>
      </c>
      <c r="P22" s="33" t="n">
        <f aca="false">O22+IF(Source_Data!P$6=Inputs!$B$12,Inputs!$B$7,0)+P17-P20</f>
        <v>538.327674895833</v>
      </c>
      <c r="Q22" s="33" t="n">
        <f aca="false">P22+IF(Source_Data!Q$6=Inputs!$B$12,Inputs!$B$7,0)+Q17-Q20</f>
        <v>398.210176979167</v>
      </c>
      <c r="R22" s="33" t="n">
        <f aca="false">Q22+IF(Source_Data!R$6=Inputs!$B$12,Inputs!$B$7,0)+R17-R20</f>
        <v>207.4926790625</v>
      </c>
      <c r="S22" s="33" t="n">
        <f aca="false">R22+IF(Source_Data!S$6=Inputs!$B$12,Inputs!$B$7,0)+S17-S20</f>
        <v>70.1568480208334</v>
      </c>
      <c r="T22" s="33" t="n">
        <f aca="false">S22+IF(Source_Data!T$6=Inputs!$B$12,Inputs!$B$7,0)+T17-T20</f>
        <v>67.2168210416667</v>
      </c>
      <c r="U22" s="33" t="n">
        <f aca="false">T22+IF(Source_Data!U$6=Inputs!$B$12,Inputs!$B$7,0)+U17-U20</f>
        <v>62.7628703125001</v>
      </c>
      <c r="V22" s="33" t="n">
        <f aca="false">U22+IF(Source_Data!V$6=Inputs!$B$12,Inputs!$B$7,0)+V17-V20</f>
        <v>52.3201483333334</v>
      </c>
      <c r="W22" s="33" t="n">
        <f aca="false">V22+IF(Source_Data!W$6=Inputs!$B$12,Inputs!$B$7,0)+W17-W20</f>
        <v>37.5364263541667</v>
      </c>
      <c r="X22" s="33" t="n">
        <f aca="false">W22+IF(Source_Data!X$6=Inputs!$B$12,Inputs!$B$7,0)+X17-X20</f>
        <v>45.2527043750001</v>
      </c>
      <c r="Y22" s="33" t="n">
        <f aca="false">X22+IF(Source_Data!Y$6=Inputs!$B$12,Inputs!$B$7,0)+Y17-Y20</f>
        <v>64.8554303125001</v>
      </c>
      <c r="Z22" s="33" t="n">
        <f aca="false">Y22+IF(Source_Data!Z$6=Inputs!$B$12,Inputs!$B$7,0)+Z17-Z20</f>
        <v>84.4581562500001</v>
      </c>
      <c r="AA22" s="33" t="n">
        <f aca="false">Z22+IF(Source_Data!AA$6=Inputs!$B$12,Inputs!$B$7,0)+AA17-AA20</f>
        <v>104.0608821875</v>
      </c>
      <c r="AB22" s="33" t="n">
        <f aca="false">AA22+IF(Source_Data!AB$6=Inputs!$B$12,Inputs!$B$7,0)+AB17-AB20</f>
        <v>140.375608125</v>
      </c>
      <c r="AC22" s="33" t="n">
        <f aca="false">AB22+IF(Source_Data!AC$6=Inputs!$B$12,Inputs!$B$7,0)+AC17-AC20</f>
        <v>173.414235625</v>
      </c>
      <c r="AD22" s="33" t="n">
        <f aca="false">AC22+IF(Source_Data!AD$6=Inputs!$B$12,Inputs!$B$7,0)+AD17-AD20</f>
        <v>202.844406875</v>
      </c>
      <c r="AE22" s="33" t="n">
        <f aca="false">AD22+IF(Source_Data!AE$6=Inputs!$B$12,Inputs!$B$7,0)+AE17-AE20</f>
        <v>227.933578125</v>
      </c>
      <c r="AF22" s="33" t="n">
        <f aca="false">AE22+IF(Source_Data!AF$6=Inputs!$B$12,Inputs!$B$7,0)+AF17-AF20</f>
        <v>145.264539023438</v>
      </c>
      <c r="AG22" s="33" t="n">
        <f aca="false">AF22+IF(Source_Data!AG$6=Inputs!$B$12,Inputs!$B$7,0)+AG17-AG20</f>
        <v>159.377197851563</v>
      </c>
      <c r="AH22" s="33" t="n">
        <f aca="false">AG22+IF(Source_Data!AH$6=Inputs!$B$12,Inputs!$B$7,0)+AH17-AH20</f>
        <v>173.489856679688</v>
      </c>
      <c r="AI22" s="33" t="n">
        <f aca="false">AH22+IF(Source_Data!AI$6=Inputs!$B$12,Inputs!$B$7,0)+AI17-AI20</f>
        <v>187.602515507813</v>
      </c>
      <c r="AJ22" s="33" t="n">
        <f aca="false">AI22+IF(Source_Data!AJ$6=Inputs!$B$12,Inputs!$B$7,0)+AJ17-AJ20</f>
        <v>201.715174335938</v>
      </c>
      <c r="AK22" s="33" t="n">
        <f aca="false">AJ22+IF(Source_Data!AK$6=Inputs!$B$12,Inputs!$B$7,0)+AK17-AK20</f>
        <v>214.59929625</v>
      </c>
      <c r="AL22" s="33" t="n">
        <f aca="false">AK22+IF(Source_Data!AL$6=Inputs!$B$12,Inputs!$B$7,0)+AL17-AL20</f>
        <v>227.483418164063</v>
      </c>
      <c r="AM22" s="33" t="n">
        <f aca="false">AL22+IF(Source_Data!AM$6=Inputs!$B$12,Inputs!$B$7,0)+AM17-AM20</f>
        <v>238.0244175</v>
      </c>
      <c r="AN22" s="33" t="n">
        <f aca="false">AM22+IF(Source_Data!AN$6=Inputs!$B$12,Inputs!$B$7,0)+AN17-AN20</f>
        <v>243.43913671875</v>
      </c>
      <c r="AO22" s="33" t="n">
        <f aca="false">AN22+IF(Source_Data!AO$6=Inputs!$B$12,Inputs!$B$7,0)+AO17-AO20</f>
        <v>245.4475275</v>
      </c>
      <c r="AP22" s="33" t="n">
        <f aca="false">AO22+IF(Source_Data!AP$6=Inputs!$B$12,Inputs!$B$7,0)+AP17-AP20</f>
        <v>245.4475275</v>
      </c>
      <c r="AQ22" s="33" t="n">
        <f aca="false">AP22+IF(Source_Data!AQ$6=Inputs!$B$12,Inputs!$B$7,0)+AQ17-AQ20</f>
        <v>245.4475275</v>
      </c>
      <c r="AR22" s="33" t="n">
        <f aca="false">AQ22+IF(Source_Data!AR$6=Inputs!$B$12,Inputs!$B$7,0)+AR17-AR20</f>
        <v>245.4475275</v>
      </c>
      <c r="AS22" s="33" t="n">
        <f aca="false">AR22+IF(Source_Data!AS$6=Inputs!$B$12,Inputs!$B$7,0)+AS17-AS20</f>
        <v>245.4475275</v>
      </c>
      <c r="AT22" s="33" t="n">
        <f aca="false">AS22+IF(Source_Data!AT$6=Inputs!$B$12,Inputs!$B$7,0)+AT17-AT20</f>
        <v>245.4475275</v>
      </c>
      <c r="AU22" s="33" t="n">
        <f aca="false">AT22+IF(Source_Data!AU$6=Inputs!$B$12,Inputs!$B$7,0)+AU17-AU20</f>
        <v>245.4475275</v>
      </c>
      <c r="AV22" s="33" t="n">
        <f aca="false">AU22+IF(Source_Data!AV$6=Inputs!$B$12,Inputs!$B$7,0)+AV17-AV20</f>
        <v>245.4475275</v>
      </c>
      <c r="AW22" s="33" t="n">
        <f aca="false">AV22+IF(Source_Data!AW$6=Inputs!$B$12,Inputs!$B$7,0)+AW17-AW20</f>
        <v>245.4475275</v>
      </c>
      <c r="AX22" s="33" t="n">
        <f aca="false">AW22+IF(Source_Data!AX$6=Inputs!$B$12,Inputs!$B$7,0)+AX17-AX20</f>
        <v>245.4475275</v>
      </c>
      <c r="AY22" s="33" t="n">
        <f aca="false">AX22+IF(Source_Data!AY$6=Inputs!$B$12,Inputs!$B$7,0)+AY17-AY20</f>
        <v>245.4475275</v>
      </c>
      <c r="AZ22" s="33" t="n">
        <f aca="false">AY22+IF(Source_Data!AZ$6=Inputs!$B$12,Inputs!$B$7,0)+AZ17-AZ20</f>
        <v>245.4475275</v>
      </c>
      <c r="BA22" s="33" t="n">
        <f aca="false">AZ22+IF(Source_Data!BA$6=Inputs!$B$12,Inputs!$B$7,0)+BA17-BA20</f>
        <v>245.4475275</v>
      </c>
      <c r="BB22" s="33" t="n">
        <f aca="false">BA22+IF(Source_Data!BB$6=Inputs!$B$12,Inputs!$B$7,0)+BB17-BB20</f>
        <v>245.4475275</v>
      </c>
      <c r="BC22" s="33" t="n">
        <f aca="false">BB22+IF(Source_Data!BC$6=Inputs!$B$12,Inputs!$B$7,0)+BC17-BC20</f>
        <v>245.4475275</v>
      </c>
      <c r="BD22" s="33" t="n">
        <f aca="false">BC22+IF(Source_Data!BD$6=Inputs!$B$12,Inputs!$B$7,0)+BD17-BD20</f>
        <v>245.4475275</v>
      </c>
      <c r="BE22" s="33" t="n">
        <f aca="false">BD22+IF(Source_Data!BE$6=Inputs!$B$12,Inputs!$B$7,0)+BE17-BE20</f>
        <v>245.4475275</v>
      </c>
      <c r="BF22" s="33" t="n">
        <f aca="false">BE22+IF(Source_Data!BF$6=Inputs!$B$12,Inputs!$B$7,0)+BF17-BF20</f>
        <v>245.4475275</v>
      </c>
      <c r="BG22" s="33" t="n">
        <f aca="false">BF22+IF(Source_Data!BG$6=Inputs!$B$12,Inputs!$B$7,0)+BG17-BG20</f>
        <v>245.4475275</v>
      </c>
      <c r="BH22" s="33" t="n">
        <f aca="false">BG22+IF(Source_Data!BH$6=Inputs!$B$12,Inputs!$B$7,0)+BH17-BH20</f>
        <v>245.4475275</v>
      </c>
      <c r="BI22" s="33" t="n">
        <f aca="false">BH22+IF(Source_Data!BI$6=Inputs!$B$12,Inputs!$B$7,0)+BI17-BI20</f>
        <v>245.4475275</v>
      </c>
      <c r="BJ22" s="33" t="n">
        <f aca="false">BI22+IF(Source_Data!BJ$6=Inputs!$B$12,Inputs!$B$7,0)+BJ17-BJ20</f>
        <v>245.4475275</v>
      </c>
      <c r="BK22" s="33" t="n">
        <f aca="false">BJ22+IF(Source_Data!BK$6=Inputs!$B$12,Inputs!$B$7,0)+BK17-BK20</f>
        <v>245.4475275</v>
      </c>
    </row>
    <row r="23" customFormat="false" ht="15" hidden="false" customHeight="false" outlineLevel="0" collapsed="false">
      <c r="A23" s="3" t="s">
        <v>344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n">
        <f aca="false">IF(M20&gt;0,M17/M20,"")</f>
        <v>21.9976996956522</v>
      </c>
      <c r="N23" s="31" t="n">
        <f aca="false">IF(N20&gt;0,N17/N20,"")</f>
        <v>7.24000382608696</v>
      </c>
      <c r="O23" s="31" t="n">
        <f aca="false">IF(O20&gt;0,O17/O20,"")</f>
        <v>6.768156</v>
      </c>
      <c r="P23" s="31" t="n">
        <f aca="false">IF(P20&gt;0,P17/P20,"")</f>
        <v>-4.87238034782609</v>
      </c>
      <c r="Q23" s="31" t="n">
        <f aca="false">IF(Q20&gt;0,Q17/Q20,"")</f>
        <v>-6.31047815217391</v>
      </c>
      <c r="R23" s="31" t="n">
        <f aca="false">IF(R20&gt;0,R17/R20,"")</f>
        <v>-8.95047815217391</v>
      </c>
      <c r="S23" s="31" t="n">
        <f aca="false">IF(S20&gt;0,S17/S20,"")</f>
        <v>-6.16534770652174</v>
      </c>
      <c r="T23" s="31" t="n">
        <f aca="false">IF(T20&gt;0,T17/T20,"")</f>
        <v>0.846607288043478</v>
      </c>
      <c r="U23" s="31" t="n">
        <f aca="false">IF(U20&gt;0,U17/U20,"")</f>
        <v>0.767619961956522</v>
      </c>
      <c r="V23" s="31" t="n">
        <f aca="false">IF(V20&gt;0,V17/V20,"")</f>
        <v>0.455162331521739</v>
      </c>
      <c r="W23" s="31" t="n">
        <f aca="false">IF(W20&gt;0,W17/W20,"")</f>
        <v>0.228675375</v>
      </c>
      <c r="X23" s="31" t="n">
        <f aca="false">IF(X20&gt;0,X17/X20,"")</f>
        <v>1.40258841847826</v>
      </c>
      <c r="Y23" s="31" t="str">
        <f aca="false">IF(Y20&gt;0,Y17/Y20,"")</f>
        <v/>
      </c>
      <c r="Z23" s="31" t="str">
        <f aca="false">IF(Z20&gt;0,Z17/Z20,"")</f>
        <v/>
      </c>
      <c r="AA23" s="31" t="str">
        <f aca="false">IF(AA20&gt;0,AA17/AA20,"")</f>
        <v/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345</v>
      </c>
      <c r="D24" s="31" t="str">
        <f aca="false">IF(D20&gt;0,(0+D17+IF(Source_Data!D$6=Inputs!$B$12,Inputs!$B$7,0))/D20,"")</f>
        <v/>
      </c>
      <c r="E24" s="31" t="str">
        <f aca="false">IF(E20&gt;0,(D22+E17+IF(Source_Data!E$6=Inputs!$B$12,Inputs!$B$7,0))/E20,"")</f>
        <v/>
      </c>
      <c r="F24" s="31" t="str">
        <f aca="false">IF(F20&gt;0,(E22+F17+IF(Source_Data!F$6=Inputs!$B$12,Inputs!$B$7,0))/F20,"")</f>
        <v/>
      </c>
      <c r="G24" s="31" t="str">
        <f aca="false">IF(G20&gt;0,(F22+G17+IF(Source_Data!G$6=Inputs!$B$12,Inputs!$B$7,0))/G20,"")</f>
        <v/>
      </c>
      <c r="H24" s="31" t="str">
        <f aca="false">IF(H20&gt;0,(G22+H17+IF(Source_Data!H$6=Inputs!$B$12,Inputs!$B$7,0))/H20,"")</f>
        <v/>
      </c>
      <c r="I24" s="31" t="str">
        <f aca="false">IF(I20&gt;0,(H22+I17+IF(Source_Data!I$6=Inputs!$B$12,Inputs!$B$7,0))/I20,"")</f>
        <v/>
      </c>
      <c r="J24" s="31" t="str">
        <f aca="false">IF(J20&gt;0,(I22+J17+IF(Source_Data!J$6=Inputs!$B$12,Inputs!$B$7,0))/J20,"")</f>
        <v/>
      </c>
      <c r="K24" s="31" t="str">
        <f aca="false">IF(K20&gt;0,(J22+K17+IF(Source_Data!K$6=Inputs!$B$12,Inputs!$B$7,0))/K20,"")</f>
        <v/>
      </c>
      <c r="L24" s="31" t="str">
        <f aca="false">IF(L20&gt;0,(K22+L17+IF(Source_Data!L$6=Inputs!$B$12,Inputs!$B$7,0))/L20,"")</f>
        <v/>
      </c>
      <c r="M24" s="31" t="n">
        <f aca="false">IF(M20&gt;0,(L22+M17+IF(Source_Data!M$6=Inputs!$B$12,Inputs!$B$7,0))/M20,"")</f>
        <v>22.9508818206522</v>
      </c>
      <c r="N24" s="31" t="n">
        <f aca="false">IF(N20&gt;0,(M22+N17+IF(Source_Data!N$6=Inputs!$B$12,Inputs!$B$7,0))/N20,"")</f>
        <v>29.1908856467391</v>
      </c>
      <c r="O24" s="31" t="n">
        <f aca="false">IF(O20&gt;0,(N22+O17+IF(Source_Data!O$6=Inputs!$B$12,Inputs!$B$7,0))/O20,"")</f>
        <v>34.9590416467391</v>
      </c>
      <c r="P24" s="31" t="n">
        <f aca="false">IF(P20&gt;0,(O22+P17+IF(Source_Data!P$6=Inputs!$B$12,Inputs!$B$7,0))/P20,"")</f>
        <v>29.0866612989131</v>
      </c>
      <c r="Q24" s="31" t="n">
        <f aca="false">IF(Q20&gt;0,(P22+Q17+IF(Source_Data!Q$6=Inputs!$B$12,Inputs!$B$7,0))/Q20,"")</f>
        <v>21.7761831467391</v>
      </c>
      <c r="R24" s="31" t="n">
        <f aca="false">IF(R20&gt;0,(Q22+R17+IF(Source_Data!R$6=Inputs!$B$12,Inputs!$B$7,0))/R20,"")</f>
        <v>11.8257049945652</v>
      </c>
      <c r="S24" s="31" t="n">
        <f aca="false">IF(S20&gt;0,(R22+S17+IF(Source_Data!S$6=Inputs!$B$12,Inputs!$B$7,0))/S20,"")</f>
        <v>4.66035728804348</v>
      </c>
      <c r="T24" s="31" t="n">
        <f aca="false">IF(T20&gt;0,(S22+T17+IF(Source_Data!T$6=Inputs!$B$12,Inputs!$B$7,0))/T20,"")</f>
        <v>4.50696457608696</v>
      </c>
      <c r="U24" s="31" t="n">
        <f aca="false">IF(U20&gt;0,(T22+U17+IF(Source_Data!U$6=Inputs!$B$12,Inputs!$B$7,0))/U20,"")</f>
        <v>4.27458453804348</v>
      </c>
      <c r="V24" s="31" t="n">
        <f aca="false">IF(V20&gt;0,(U22+V17+IF(Source_Data!V$6=Inputs!$B$12,Inputs!$B$7,0))/V20,"")</f>
        <v>3.72974686956522</v>
      </c>
      <c r="W24" s="31" t="n">
        <f aca="false">IF(W20&gt;0,(V22+W17+IF(Source_Data!W$6=Inputs!$B$12,Inputs!$B$7,0))/W20,"")</f>
        <v>2.95842224456522</v>
      </c>
      <c r="X24" s="31" t="n">
        <f aca="false">IF(X20&gt;0,(W22+X17+IF(Source_Data!X$6=Inputs!$B$12,Inputs!$B$7,0))/X20,"")</f>
        <v>3.36101066304348</v>
      </c>
      <c r="Y24" s="31" t="str">
        <f aca="false">IF(Y20&gt;0,(X22+Y17+IF(Source_Data!Y$6=Inputs!$B$12,Inputs!$B$7,0))/Y20,"")</f>
        <v/>
      </c>
      <c r="Z24" s="31" t="str">
        <f aca="false">IF(Z20&gt;0,(Y22+Z17+IF(Source_Data!Z$6=Inputs!$B$12,Inputs!$B$7,0))/Z20,"")</f>
        <v/>
      </c>
      <c r="AA24" s="31" t="str">
        <f aca="false">IF(AA20&gt;0,(Z22+AA17+IF(Source_Data!AA$6=Inputs!$B$12,Inputs!$B$7,0))/AA20,"")</f>
        <v/>
      </c>
      <c r="AB24" s="31" t="str">
        <f aca="false">IF(AB20&gt;0,(AA22+AB17+IF(Source_Data!AB$6=Inputs!$B$12,Inputs!$B$7,0))/AB20,"")</f>
        <v/>
      </c>
      <c r="AC24" s="31" t="str">
        <f aca="false">IF(AC20&gt;0,(AB22+AC17+IF(Source_Data!AC$6=Inputs!$B$12,Inputs!$B$7,0))/AC20,"")</f>
        <v/>
      </c>
      <c r="AD24" s="31" t="str">
        <f aca="false">IF(AD20&gt;0,(AC22+AD17+IF(Source_Data!AD$6=Inputs!$B$12,Inputs!$B$7,0))/AD20,"")</f>
        <v/>
      </c>
      <c r="AE24" s="31" t="str">
        <f aca="false">IF(AE20&gt;0,(AD22+AE17+IF(Source_Data!AE$6=Inputs!$B$12,Inputs!$B$7,0))/AE20,"")</f>
        <v/>
      </c>
      <c r="AF24" s="31" t="str">
        <f aca="false">IF(AF20&gt;0,(AE22+AF17+IF(Source_Data!AF$6=Inputs!$B$12,Inputs!$B$7,0))/AF20,"")</f>
        <v/>
      </c>
      <c r="AG24" s="31" t="str">
        <f aca="false">IF(AG20&gt;0,(AF22+AG17+IF(Source_Data!AG$6=Inputs!$B$12,Inputs!$B$7,0))/AG20,"")</f>
        <v/>
      </c>
      <c r="AH24" s="31" t="str">
        <f aca="false">IF(AH20&gt;0,(AG22+AH17+IF(Source_Data!AH$6=Inputs!$B$12,Inputs!$B$7,0))/AH20,"")</f>
        <v/>
      </c>
      <c r="AI24" s="31" t="str">
        <f aca="false">IF(AI20&gt;0,(AH22+AI17+IF(Source_Data!AI$6=Inputs!$B$12,Inputs!$B$7,0))/AI20,"")</f>
        <v/>
      </c>
      <c r="AJ24" s="31" t="str">
        <f aca="false">IF(AJ20&gt;0,(AI22+AJ17+IF(Source_Data!AJ$6=Inputs!$B$12,Inputs!$B$7,0))/AJ20,"")</f>
        <v/>
      </c>
      <c r="AK24" s="31" t="str">
        <f aca="false">IF(AK20&gt;0,(AJ22+AK17+IF(Source_Data!AK$6=Inputs!$B$12,Inputs!$B$7,0))/AK20,"")</f>
        <v/>
      </c>
      <c r="AL24" s="31" t="str">
        <f aca="false">IF(AL20&gt;0,(AK22+AL17+IF(Source_Data!AL$6=Inputs!$B$12,Inputs!$B$7,0))/AL20,"")</f>
        <v/>
      </c>
      <c r="AM24" s="31" t="str">
        <f aca="false">IF(AM20&gt;0,(AL22+AM17+IF(Source_Data!AM$6=Inputs!$B$12,Inputs!$B$7,0))/AM20,"")</f>
        <v/>
      </c>
      <c r="AN24" s="31" t="str">
        <f aca="false">IF(AN20&gt;0,(AM22+AN17+IF(Source_Data!AN$6=Inputs!$B$12,Inputs!$B$7,0))/AN20,"")</f>
        <v/>
      </c>
      <c r="AO24" s="31" t="str">
        <f aca="false">IF(AO20&gt;0,(AN22+AO17+IF(Source_Data!AO$6=Inputs!$B$12,Inputs!$B$7,0))/AO20,"")</f>
        <v/>
      </c>
      <c r="AP24" s="31" t="str">
        <f aca="false">IF(AP20&gt;0,(AO22+AP17+IF(Source_Data!AP$6=Inputs!$B$12,Inputs!$B$7,0))/AP20,"")</f>
        <v/>
      </c>
      <c r="AQ24" s="31" t="str">
        <f aca="false">IF(AQ20&gt;0,(AP22+AQ17+IF(Source_Data!AQ$6=Inputs!$B$12,Inputs!$B$7,0))/AQ20,"")</f>
        <v/>
      </c>
      <c r="AR24" s="31" t="str">
        <f aca="false">IF(AR20&gt;0,(AQ22+AR17+IF(Source_Data!AR$6=Inputs!$B$12,Inputs!$B$7,0))/AR20,"")</f>
        <v/>
      </c>
      <c r="AS24" s="31" t="str">
        <f aca="false">IF(AS20&gt;0,(AR22+AS17+IF(Source_Data!AS$6=Inputs!$B$12,Inputs!$B$7,0))/AS20,"")</f>
        <v/>
      </c>
      <c r="AT24" s="31" t="str">
        <f aca="false">IF(AT20&gt;0,(AS22+AT17+IF(Source_Data!AT$6=Inputs!$B$12,Inputs!$B$7,0))/AT20,"")</f>
        <v/>
      </c>
      <c r="AU24" s="31" t="str">
        <f aca="false">IF(AU20&gt;0,(AT22+AU17+IF(Source_Data!AU$6=Inputs!$B$12,Inputs!$B$7,0))/AU20,"")</f>
        <v/>
      </c>
      <c r="AV24" s="31" t="str">
        <f aca="false">IF(AV20&gt;0,(AU22+AV17+IF(Source_Data!AV$6=Inputs!$B$12,Inputs!$B$7,0))/AV20,"")</f>
        <v/>
      </c>
      <c r="AW24" s="31" t="str">
        <f aca="false">IF(AW20&gt;0,(AV22+AW17+IF(Source_Data!AW$6=Inputs!$B$12,Inputs!$B$7,0))/AW20,"")</f>
        <v/>
      </c>
      <c r="AX24" s="31" t="str">
        <f aca="false">IF(AX20&gt;0,(AW22+AX17+IF(Source_Data!AX$6=Inputs!$B$12,Inputs!$B$7,0))/AX20,"")</f>
        <v/>
      </c>
      <c r="AY24" s="31" t="str">
        <f aca="false">IF(AY20&gt;0,(AX22+AY17+IF(Source_Data!AY$6=Inputs!$B$12,Inputs!$B$7,0))/AY20,"")</f>
        <v/>
      </c>
      <c r="AZ24" s="31" t="str">
        <f aca="false">IF(AZ20&gt;0,(AY22+AZ17+IF(Source_Data!AZ$6=Inputs!$B$12,Inputs!$B$7,0))/AZ20,"")</f>
        <v/>
      </c>
      <c r="BA24" s="31" t="str">
        <f aca="false">IF(BA20&gt;0,(AZ22+BA17+IF(Source_Data!BA$6=Inputs!$B$12,Inputs!$B$7,0))/BA20,"")</f>
        <v/>
      </c>
      <c r="BB24" s="31" t="str">
        <f aca="false">IF(BB20&gt;0,(BA22+BB17+IF(Source_Data!BB$6=Inputs!$B$12,Inputs!$B$7,0))/BB20,"")</f>
        <v/>
      </c>
      <c r="BC24" s="31" t="str">
        <f aca="false">IF(BC20&gt;0,(BB22+BC17+IF(Source_Data!BC$6=Inputs!$B$12,Inputs!$B$7,0))/BC20,"")</f>
        <v/>
      </c>
      <c r="BD24" s="31" t="str">
        <f aca="false">IF(BD20&gt;0,(BC22+BD17+IF(Source_Data!BD$6=Inputs!$B$12,Inputs!$B$7,0))/BD20,"")</f>
        <v/>
      </c>
      <c r="BE24" s="31" t="str">
        <f aca="false">IF(BE20&gt;0,(BD22+BE17+IF(Source_Data!BE$6=Inputs!$B$12,Inputs!$B$7,0))/BE20,"")</f>
        <v/>
      </c>
      <c r="BF24" s="31" t="str">
        <f aca="false">IF(BF20&gt;0,(BE22+BF17+IF(Source_Data!BF$6=Inputs!$B$12,Inputs!$B$7,0))/BF20,"")</f>
        <v/>
      </c>
      <c r="BG24" s="31" t="str">
        <f aca="false">IF(BG20&gt;0,(BF22+BG17+IF(Source_Data!BG$6=Inputs!$B$12,Inputs!$B$7,0))/BG20,"")</f>
        <v/>
      </c>
      <c r="BH24" s="31" t="str">
        <f aca="false">IF(BH20&gt;0,(BG22+BH17+IF(Source_Data!BH$6=Inputs!$B$12,Inputs!$B$7,0))/BH20,"")</f>
        <v/>
      </c>
      <c r="BI24" s="31" t="str">
        <f aca="false">IF(BI20&gt;0,(BH22+BI17+IF(Source_Data!BI$6=Inputs!$B$12,Inputs!$B$7,0))/BI20,"")</f>
        <v/>
      </c>
      <c r="BJ24" s="31" t="str">
        <f aca="false">IF(BJ20&gt;0,(BI22+BJ17+IF(Source_Data!BJ$6=Inputs!$B$12,Inputs!$B$7,0))/BJ20,"")</f>
        <v/>
      </c>
      <c r="BK24" s="31" t="str">
        <f aca="false">IF(BK20&gt;0,(BJ22+BK17+IF(Source_Data!BK$6=Inputs!$B$12,Inputs!$B$7,0))/BK20,"")</f>
        <v/>
      </c>
    </row>
    <row r="26" customFormat="false" ht="15" hidden="false" customHeight="false" outlineLevel="0" collapsed="false">
      <c r="A26" s="2" t="s">
        <v>220</v>
      </c>
      <c r="B26" s="41" t="n">
        <f aca="false">SUM(D17:BK17)</f>
        <v>375.4475275</v>
      </c>
    </row>
    <row r="27" customFormat="false" ht="15" hidden="false" customHeight="false" outlineLevel="0" collapsed="false">
      <c r="A27" s="2" t="s">
        <v>346</v>
      </c>
      <c r="B27" s="41" t="n">
        <f aca="false">SUMPRODUCT(D17:BK17,Project_CF!$D$15:$BK$15)</f>
        <v>215.311392548924</v>
      </c>
    </row>
    <row r="28" customFormat="false" ht="15" hidden="false" customHeight="false" outlineLevel="0" collapsed="false">
      <c r="A28" s="2" t="s">
        <v>162</v>
      </c>
      <c r="B28" s="41" t="n">
        <f aca="false">MIN(D18:BK18)</f>
        <v>-102.5</v>
      </c>
    </row>
    <row r="29" customFormat="false" ht="15" hidden="false" customHeight="false" outlineLevel="0" collapsed="false">
      <c r="A29" s="2" t="s">
        <v>347</v>
      </c>
      <c r="B29" s="35" t="n">
        <f aca="false">INDEX(Project_CF!$D$6:$BK$6,MATCH(MIN(D18:BK18),D18:BK18,0))</f>
        <v>6</v>
      </c>
    </row>
    <row r="30" customFormat="false" ht="15" hidden="false" customHeight="false" outlineLevel="0" collapsed="false">
      <c r="A30" s="2" t="s">
        <v>348</v>
      </c>
      <c r="B30" s="39" t="n">
        <f aca="false">(1+IRR(D19:BK19,0.05))^4-1</f>
        <v>0.264029906719608</v>
      </c>
    </row>
    <row r="31" customFormat="false" ht="15" hidden="false" customHeight="false" outlineLevel="0" collapsed="false">
      <c r="A31" s="2" t="s">
        <v>349</v>
      </c>
      <c r="B31" s="40" t="n">
        <f aca="false">SUMIF(D19:BK19,"&gt;0")/-SUMIF(D19:BK19,"&lt;0")</f>
        <v>2.78136200716846</v>
      </c>
    </row>
    <row r="32" customFormat="false" ht="15" hidden="false" customHeight="false" outlineLevel="0" collapsed="false">
      <c r="A32" s="2" t="s">
        <v>350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351</v>
      </c>
      <c r="B33" s="41" t="n">
        <f aca="false">MIN(D22:BK22)</f>
        <v>-2.5</v>
      </c>
    </row>
    <row r="34" customFormat="false" ht="15" hidden="false" customHeight="false" outlineLevel="0" collapsed="false">
      <c r="A34" s="2" t="s">
        <v>352</v>
      </c>
      <c r="B34" s="43" t="n">
        <f aca="false">MIN(D23:BK23)</f>
        <v>-8.95047815217391</v>
      </c>
    </row>
    <row r="35" customFormat="false" ht="15" hidden="false" customHeight="false" outlineLevel="0" collapsed="false">
      <c r="A35" s="2" t="s">
        <v>353</v>
      </c>
      <c r="B35" s="35" t="n">
        <f aca="false">COUNTIF(D23:BK23,"&lt;"&amp;Inputs!$B$43)</f>
        <v>9</v>
      </c>
    </row>
    <row r="36" customFormat="false" ht="15" hidden="false" customHeight="false" outlineLevel="0" collapsed="false">
      <c r="A36" s="2" t="s">
        <v>354</v>
      </c>
      <c r="B36" s="43" t="n">
        <f aca="false">MIN(D24:BK24)</f>
        <v>2.95842224456522</v>
      </c>
    </row>
    <row r="37" customFormat="false" ht="15" hidden="false" customHeight="false" outlineLevel="0" collapsed="false">
      <c r="A37" s="2" t="s">
        <v>355</v>
      </c>
      <c r="B37" s="35" t="n">
        <f aca="false">COUNTIF(D24:BK24,"&lt;"&amp;Inputs!$B$43)</f>
        <v>0</v>
      </c>
    </row>
    <row r="40" customFormat="false" ht="15" hidden="false" customHeight="false" outlineLevel="0" collapsed="false">
      <c r="A40" s="8" t="s">
        <v>61</v>
      </c>
    </row>
    <row r="41" customFormat="false" ht="15" hidden="false" customHeight="false" outlineLevel="0" collapsed="false">
      <c r="A41" s="3" t="s">
        <v>331</v>
      </c>
      <c r="B41" s="45" t="n">
        <v>0.9</v>
      </c>
    </row>
    <row r="42" customFormat="false" ht="15" hidden="false" customHeight="false" outlineLevel="0" collapsed="false">
      <c r="A42" s="3" t="s">
        <v>332</v>
      </c>
      <c r="B42" s="45" t="n">
        <v>4</v>
      </c>
    </row>
    <row r="43" customFormat="false" ht="15" hidden="false" customHeight="false" outlineLevel="0" collapsed="false">
      <c r="A43" s="3" t="s">
        <v>333</v>
      </c>
      <c r="B43" s="45" t="n">
        <v>1</v>
      </c>
    </row>
    <row r="44" customFormat="false" ht="15" hidden="false" customHeight="false" outlineLevel="0" collapsed="false">
      <c r="A44" s="3" t="s">
        <v>334</v>
      </c>
      <c r="B44" s="45" t="n">
        <v>0</v>
      </c>
    </row>
    <row r="45" customFormat="false" ht="15" hidden="false" customHeight="false" outlineLevel="0" collapsed="false">
      <c r="A45" s="3" t="s">
        <v>335</v>
      </c>
      <c r="B45" s="45" t="n">
        <v>0</v>
      </c>
    </row>
    <row r="46" customFormat="false" ht="15" hidden="false" customHeight="false" outlineLevel="0" collapsed="false">
      <c r="A46" s="3" t="s">
        <v>336</v>
      </c>
      <c r="B46" s="3" t="n">
        <f aca="false">Inputs!$B$13+3+3*$B$42</f>
        <v>63</v>
      </c>
    </row>
    <row r="47" customFormat="false" ht="15" hidden="false" customHeight="false" outlineLevel="0" collapsed="false">
      <c r="A47" s="3" t="s">
        <v>337</v>
      </c>
      <c r="D47" s="33" t="n">
        <f aca="false">Source_Data!D$7+IF($B$45=1,IF(Source_Data!D$6=Inputs!$B$13,Source_Data!$C$8,0),Source_Data!D$8)</f>
        <v>0</v>
      </c>
      <c r="E47" s="33" t="n">
        <f aca="false">Source_Data!E$7+IF($B$45=1,IF(Source_Data!E$6=Inputs!$B$13,Source_Data!$C$8,0),Source_Data!E$8)</f>
        <v>0</v>
      </c>
      <c r="F47" s="33" t="n">
        <f aca="false">Source_Data!F$7+IF($B$45=1,IF(Source_Data!F$6=Inputs!$B$13,Source_Data!$C$8,0),Source_Data!F$8)</f>
        <v>15.1392375</v>
      </c>
      <c r="G47" s="33" t="n">
        <f aca="false">Source_Data!G$7+IF($B$45=1,IF(Source_Data!G$6=Inputs!$B$13,Source_Data!$C$8,0),Source_Data!G$8)</f>
        <v>30.278475</v>
      </c>
      <c r="H47" s="33" t="n">
        <f aca="false">Source_Data!H$7+IF($B$45=1,IF(Source_Data!H$6=Inputs!$B$13,Source_Data!$C$8,0),Source_Data!H$8)</f>
        <v>46.51200625</v>
      </c>
      <c r="I47" s="33" t="n">
        <f aca="false">Source_Data!I$7+IF($B$45=1,IF(Source_Data!I$6=Inputs!$B$13,Source_Data!$C$8,0),Source_Data!I$8)</f>
        <v>62.7455375</v>
      </c>
      <c r="J47" s="33" t="n">
        <f aca="false">Source_Data!J$7+IF($B$45=1,IF(Source_Data!J$6=Inputs!$B$13,Source_Data!$C$8,0),Source_Data!J$8)</f>
        <v>62.3657</v>
      </c>
      <c r="K47" s="33" t="n">
        <f aca="false">Source_Data!K$7+IF($B$45=1,IF(Source_Data!K$6=Inputs!$B$13,Source_Data!$C$8,0),Source_Data!K$8)</f>
        <v>63.473559375</v>
      </c>
      <c r="L47" s="33" t="n">
        <f aca="false">Source_Data!L$7+IF($B$45=1,IF(Source_Data!L$6=Inputs!$B$13,Source_Data!$C$8,0),Source_Data!L$8)</f>
        <v>80.3288484375</v>
      </c>
      <c r="M47" s="33" t="n">
        <f aca="false">Source_Data!M$7+IF($B$45=1,IF(Source_Data!M$6=Inputs!$B$13,Source_Data!$C$8,0),Source_Data!M$8)</f>
        <v>495.2538375</v>
      </c>
      <c r="N47" s="33" t="n">
        <f aca="false">Source_Data!N$7+IF($B$45=1,IF(Source_Data!N$6=Inputs!$B$13,Source_Data!$C$8,0),Source_Data!N$8)</f>
        <v>185.57775</v>
      </c>
      <c r="O47" s="33" t="n">
        <f aca="false">Source_Data!O$7+IF($B$45=1,IF(Source_Data!O$6=Inputs!$B$13,Source_Data!$C$8,0),Source_Data!O$8)</f>
        <v>176.534</v>
      </c>
      <c r="P47" s="33" t="n">
        <f aca="false">Source_Data!P$7+IF($B$45=1,IF(Source_Data!P$6=Inputs!$B$13,Source_Data!$C$8,0),Source_Data!P$8)</f>
        <v>97.31075</v>
      </c>
      <c r="Q47" s="33" t="n">
        <f aca="false">Source_Data!Q$7+IF($B$45=1,IF(Source_Data!Q$6=Inputs!$B$13,Source_Data!$C$8,0),Source_Data!Q$8)</f>
        <v>71.30996875</v>
      </c>
      <c r="R47" s="33" t="n">
        <f aca="false">Source_Data!R$7+IF($B$45=1,IF(Source_Data!R$6=Inputs!$B$13,Source_Data!$C$8,0),Source_Data!R$8)</f>
        <v>71.30996875</v>
      </c>
      <c r="S47" s="33" t="n">
        <f aca="false">Source_Data!S$7+IF($B$45=1,IF(Source_Data!S$6=Inputs!$B$13,Source_Data!$C$8,0),Source_Data!S$8)</f>
        <v>68.037035625</v>
      </c>
      <c r="T47" s="33" t="n">
        <f aca="false">Source_Data!T$7+IF($B$45=1,IF(Source_Data!T$6=Inputs!$B$13,Source_Data!$C$8,0),Source_Data!T$8)</f>
        <v>61.2266396875</v>
      </c>
      <c r="U47" s="33" t="n">
        <f aca="false">Source_Data!U$7+IF($B$45=1,IF(Source_Data!U$6=Inputs!$B$13,Source_Data!$C$8,0),Source_Data!U$8)</f>
        <v>59.7127159375</v>
      </c>
      <c r="V47" s="33" t="n">
        <f aca="false">Source_Data!V$7+IF($B$45=1,IF(Source_Data!V$6=Inputs!$B$13,Source_Data!$C$8,0),Source_Data!V$8)</f>
        <v>53.7239446875</v>
      </c>
      <c r="W47" s="33" t="n">
        <f aca="false">Source_Data!W$7+IF($B$45=1,IF(Source_Data!W$6=Inputs!$B$13,Source_Data!$C$8,0),Source_Data!W$8)</f>
        <v>49.3829446875</v>
      </c>
      <c r="X47" s="33" t="n">
        <f aca="false">Source_Data!X$7+IF($B$45=1,IF(Source_Data!X$6=Inputs!$B$13,Source_Data!$C$8,0),Source_Data!X$8)</f>
        <v>49.3829446875</v>
      </c>
      <c r="Y47" s="33" t="n">
        <f aca="false">Source_Data!Y$7+IF($B$45=1,IF(Source_Data!Y$6=Inputs!$B$13,Source_Data!$C$8,0),Source_Data!Y$8)</f>
        <v>42.1027259375</v>
      </c>
      <c r="Z47" s="33" t="n">
        <f aca="false">Source_Data!Z$7+IF($B$45=1,IF(Source_Data!Z$6=Inputs!$B$13,Source_Data!$C$8,0),Source_Data!Z$8)</f>
        <v>42.1027259375</v>
      </c>
      <c r="AA47" s="33" t="n">
        <f aca="false">Source_Data!AA$7+IF($B$45=1,IF(Source_Data!AA$6=Inputs!$B$13,Source_Data!$C$8,0),Source_Data!AA$8)</f>
        <v>42.1027259375</v>
      </c>
      <c r="AB47" s="33" t="n">
        <f aca="false">Source_Data!AB$7+IF($B$45=1,IF(Source_Data!AB$6=Inputs!$B$13,Source_Data!$C$8,0),Source_Data!AB$8)</f>
        <v>36.3147259375</v>
      </c>
      <c r="AC47" s="33" t="n">
        <f aca="false">Source_Data!AC$7+IF($B$45=1,IF(Source_Data!AC$6=Inputs!$B$13,Source_Data!$C$8,0),Source_Data!AC$8)</f>
        <v>33.0386275</v>
      </c>
      <c r="AD47" s="33" t="n">
        <f aca="false">Source_Data!AD$7+IF($B$45=1,IF(Source_Data!AD$6=Inputs!$B$13,Source_Data!$C$8,0),Source_Data!AD$8)</f>
        <v>29.43017125</v>
      </c>
      <c r="AE47" s="33" t="n">
        <f aca="false">Source_Data!AE$7+IF($B$45=1,IF(Source_Data!AE$6=Inputs!$B$13,Source_Data!$C$8,0),Source_Data!AE$8)</f>
        <v>25.08917125</v>
      </c>
      <c r="AF47" s="33" t="n">
        <f aca="false">Source_Data!AF$7+IF($B$45=1,IF(Source_Data!AF$6=Inputs!$B$13,Source_Data!$C$8,0),Source_Data!AF$8)</f>
        <v>25.08917125</v>
      </c>
      <c r="AG47" s="33" t="n">
        <f aca="false">Source_Data!AG$7+IF($B$45=1,IF(Source_Data!AG$6=Inputs!$B$13,Source_Data!$C$8,0),Source_Data!AG$8)</f>
        <v>25.08917125</v>
      </c>
      <c r="AH47" s="33" t="n">
        <f aca="false">Source_Data!AH$7+IF($B$45=1,IF(Source_Data!AH$6=Inputs!$B$13,Source_Data!$C$8,0),Source_Data!AH$8)</f>
        <v>25.08917125</v>
      </c>
      <c r="AI47" s="33" t="n">
        <f aca="false">Source_Data!AI$7+IF($B$45=1,IF(Source_Data!AI$6=Inputs!$B$13,Source_Data!$C$8,0),Source_Data!AI$8)</f>
        <v>25.08917125</v>
      </c>
      <c r="AJ47" s="33" t="n">
        <f aca="false">Source_Data!AJ$7+IF($B$45=1,IF(Source_Data!AJ$6=Inputs!$B$13,Source_Data!$C$8,0),Source_Data!AJ$8)</f>
        <v>25.08917125</v>
      </c>
      <c r="AK47" s="33" t="n">
        <f aca="false">Source_Data!AK$7+IF($B$45=1,IF(Source_Data!AK$6=Inputs!$B$13,Source_Data!$C$8,0),Source_Data!AK$8)</f>
        <v>22.905105625</v>
      </c>
      <c r="AL47" s="33" t="n">
        <f aca="false">Source_Data!AL$7+IF($B$45=1,IF(Source_Data!AL$6=Inputs!$B$13,Source_Data!$C$8,0),Source_Data!AL$8)</f>
        <v>22.905105625</v>
      </c>
      <c r="AM47" s="33" t="n">
        <f aca="false">Source_Data!AM$7+IF($B$45=1,IF(Source_Data!AM$6=Inputs!$B$13,Source_Data!$C$8,0),Source_Data!AM$8)</f>
        <v>18.739554375</v>
      </c>
      <c r="AN47" s="33" t="n">
        <f aca="false">Source_Data!AN$7+IF($B$45=1,IF(Source_Data!AN$6=Inputs!$B$13,Source_Data!$C$8,0),Source_Data!AN$8)</f>
        <v>9.6261675</v>
      </c>
      <c r="AO47" s="33" t="n">
        <f aca="false">Source_Data!AO$7+IF($B$45=1,IF(Source_Data!AO$6=Inputs!$B$13,Source_Data!$C$8,0),Source_Data!AO$8)</f>
        <v>3.5704725</v>
      </c>
      <c r="AP47" s="33" t="n">
        <f aca="false">Source_Data!AP$7+IF($B$45=1,IF(Source_Data!AP$6=Inputs!$B$13,Source_Data!$C$8,0),Source_Data!AP$8)</f>
        <v>0</v>
      </c>
      <c r="AQ47" s="33" t="n">
        <f aca="false">Source_Data!AQ$7+IF($B$45=1,IF(Source_Data!AQ$6=Inputs!$B$13,Source_Data!$C$8,0),Source_Data!AQ$8)</f>
        <v>0</v>
      </c>
      <c r="AR47" s="33" t="n">
        <f aca="false">Source_Data!AR$7+IF($B$45=1,IF(Source_Data!AR$6=Inputs!$B$13,Source_Data!$C$8,0),Source_Data!AR$8)</f>
        <v>0</v>
      </c>
      <c r="AS47" s="33" t="n">
        <f aca="false">Source_Data!AS$7+IF($B$45=1,IF(Source_Data!AS$6=Inputs!$B$13,Source_Data!$C$8,0),Source_Data!AS$8)</f>
        <v>0</v>
      </c>
      <c r="AT47" s="33" t="n">
        <f aca="false">Source_Data!AT$7+IF($B$45=1,IF(Source_Data!AT$6=Inputs!$B$13,Source_Data!$C$8,0),Source_Data!AT$8)</f>
        <v>0</v>
      </c>
      <c r="AU47" s="33" t="n">
        <f aca="false">Source_Data!AU$7+IF($B$45=1,IF(Source_Data!AU$6=Inputs!$B$13,Source_Data!$C$8,0),Source_Data!AU$8)</f>
        <v>0</v>
      </c>
      <c r="AV47" s="33" t="n">
        <f aca="false">Source_Data!AV$7+IF($B$45=1,IF(Source_Data!AV$6=Inputs!$B$13,Source_Data!$C$8,0),Source_Data!AV$8)</f>
        <v>0</v>
      </c>
      <c r="AW47" s="33" t="n">
        <f aca="false">Source_Data!AW$7+IF($B$45=1,IF(Source_Data!AW$6=Inputs!$B$13,Source_Data!$C$8,0),Source_Data!AW$8)</f>
        <v>0</v>
      </c>
      <c r="AX47" s="33" t="n">
        <f aca="false">Source_Data!AX$7+IF($B$45=1,IF(Source_Data!AX$6=Inputs!$B$13,Source_Data!$C$8,0),Source_Data!AX$8)</f>
        <v>0</v>
      </c>
      <c r="AY47" s="33" t="n">
        <f aca="false">Source_Data!AY$7+IF($B$45=1,IF(Source_Data!AY$6=Inputs!$B$13,Source_Data!$C$8,0),Source_Data!AY$8)</f>
        <v>0</v>
      </c>
      <c r="AZ47" s="33" t="n">
        <f aca="false">Source_Data!AZ$7+IF($B$45=1,IF(Source_Data!AZ$6=Inputs!$B$13,Source_Data!$C$8,0),Source_Data!AZ$8)</f>
        <v>0</v>
      </c>
      <c r="BA47" s="33" t="n">
        <f aca="false">Source_Data!BA$7+IF($B$45=1,IF(Source_Data!BA$6=Inputs!$B$13,Source_Data!$C$8,0),Source_Data!BA$8)</f>
        <v>0</v>
      </c>
      <c r="BB47" s="33" t="n">
        <f aca="false">Source_Data!BB$7+IF($B$45=1,IF(Source_Data!BB$6=Inputs!$B$13,Source_Data!$C$8,0),Source_Data!BB$8)</f>
        <v>0</v>
      </c>
      <c r="BC47" s="33" t="n">
        <f aca="false">Source_Data!BC$7+IF($B$45=1,IF(Source_Data!BC$6=Inputs!$B$13,Source_Data!$C$8,0),Source_Data!BC$8)</f>
        <v>0</v>
      </c>
      <c r="BD47" s="33" t="n">
        <f aca="false">Source_Data!BD$7+IF($B$45=1,IF(Source_Data!BD$6=Inputs!$B$13,Source_Data!$C$8,0),Source_Data!BD$8)</f>
        <v>0</v>
      </c>
      <c r="BE47" s="33" t="n">
        <f aca="false">Source_Data!BE$7+IF($B$45=1,IF(Source_Data!BE$6=Inputs!$B$13,Source_Data!$C$8,0),Source_Data!BE$8)</f>
        <v>0</v>
      </c>
      <c r="BF47" s="33" t="n">
        <f aca="false">Source_Data!BF$7+IF($B$45=1,IF(Source_Data!BF$6=Inputs!$B$13,Source_Data!$C$8,0),Source_Data!BF$8)</f>
        <v>0</v>
      </c>
      <c r="BG47" s="33" t="n">
        <f aca="false">Source_Data!BG$7+IF($B$45=1,IF(Source_Data!BG$6=Inputs!$B$13,Source_Data!$C$8,0),Source_Data!BG$8)</f>
        <v>0</v>
      </c>
      <c r="BH47" s="33" t="n">
        <f aca="false">Source_Data!BH$7+IF($B$45=1,IF(Source_Data!BH$6=Inputs!$B$13,Source_Data!$C$8,0),Source_Data!BH$8)</f>
        <v>0</v>
      </c>
      <c r="BI47" s="33" t="n">
        <f aca="false">Source_Data!BI$7+IF($B$45=1,IF(Source_Data!BI$6=Inputs!$B$13,Source_Data!$C$8,0),Source_Data!BI$8)</f>
        <v>0</v>
      </c>
      <c r="BJ47" s="33" t="n">
        <f aca="false">Source_Data!BJ$7+IF($B$45=1,IF(Source_Data!BJ$6=Inputs!$B$13,Source_Data!$C$8,0),Source_Data!BJ$8)</f>
        <v>0</v>
      </c>
      <c r="BK47" s="33" t="n">
        <f aca="false">Source_Data!BK$7+IF($B$45=1,IF(Source_Data!BK$6=Inputs!$B$13,Source_Data!$C$8,0),Source_Data!BK$8)</f>
        <v>0</v>
      </c>
    </row>
    <row r="48" customFormat="false" ht="15" hidden="false" customHeight="false" outlineLevel="0" collapsed="false">
      <c r="A48" s="3" t="s">
        <v>338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0</v>
      </c>
      <c r="G48" s="33" t="n">
        <f aca="false">$B$41*IF(Source_Data!G$5-($B$42+$B$44)&gt;=1,INDEX($D$47:$BK$47,1,Source_Data!G$5-($B$42+$B$44)),0)</f>
        <v>0</v>
      </c>
      <c r="H48" s="33" t="n">
        <f aca="false">$B$41*IF(Source_Data!H$5-($B$42+$B$44)&gt;=1,INDEX($D$47:$BK$47,1,Source_Data!H$5-($B$42+$B$44)),0)</f>
        <v>0</v>
      </c>
      <c r="I48" s="33" t="n">
        <f aca="false">$B$41*IF(Source_Data!I$5-($B$42+$B$44)&gt;=1,INDEX($D$47:$BK$47,1,Source_Data!I$5-($B$42+$B$44)),0)</f>
        <v>0</v>
      </c>
      <c r="J48" s="33" t="n">
        <f aca="false">$B$41*IF(Source_Data!J$5-($B$42+$B$44)&gt;=1,INDEX($D$47:$BK$47,1,Source_Data!J$5-($B$42+$B$44)),0)</f>
        <v>13.62531375</v>
      </c>
      <c r="K48" s="33" t="n">
        <f aca="false">$B$41*IF(Source_Data!K$5-($B$42+$B$44)&gt;=1,INDEX($D$47:$BK$47,1,Source_Data!K$5-($B$42+$B$44)),0)</f>
        <v>27.2506275</v>
      </c>
      <c r="L48" s="33" t="n">
        <f aca="false">$B$41*IF(Source_Data!L$5-($B$42+$B$44)&gt;=1,INDEX($D$47:$BK$47,1,Source_Data!L$5-($B$42+$B$44)),0)</f>
        <v>41.860805625</v>
      </c>
      <c r="M48" s="33" t="n">
        <f aca="false">$B$41*IF(Source_Data!M$5-($B$42+$B$44)&gt;=1,INDEX($D$47:$BK$47,1,Source_Data!M$5-($B$42+$B$44)),0)</f>
        <v>56.47098375</v>
      </c>
      <c r="N48" s="33" t="n">
        <f aca="false">$B$41*IF(Source_Data!N$5-($B$42+$B$44)&gt;=1,INDEX($D$47:$BK$47,1,Source_Data!N$5-($B$42+$B$44)),0)</f>
        <v>56.12913</v>
      </c>
      <c r="O48" s="33" t="n">
        <f aca="false">$B$41*IF(Source_Data!O$5-($B$42+$B$44)&gt;=1,INDEX($D$47:$BK$47,1,Source_Data!O$5-($B$42+$B$44)),0)</f>
        <v>57.1262034375</v>
      </c>
      <c r="P48" s="33" t="n">
        <f aca="false">$B$41*IF(Source_Data!P$5-($B$42+$B$44)&gt;=1,INDEX($D$47:$BK$47,1,Source_Data!P$5-($B$42+$B$44)),0)</f>
        <v>72.29596359375</v>
      </c>
      <c r="Q48" s="33" t="n">
        <f aca="false">$B$41*IF(Source_Data!Q$5-($B$42+$B$44)&gt;=1,INDEX($D$47:$BK$47,1,Source_Data!Q$5-($B$42+$B$44)),0)</f>
        <v>445.72845375</v>
      </c>
      <c r="R48" s="33" t="n">
        <f aca="false">$B$41*IF(Source_Data!R$5-($B$42+$B$44)&gt;=1,INDEX($D$47:$BK$47,1,Source_Data!R$5-($B$42+$B$44)),0)</f>
        <v>167.019975</v>
      </c>
      <c r="S48" s="33" t="n">
        <f aca="false">$B$41*IF(Source_Data!S$5-($B$42+$B$44)&gt;=1,INDEX($D$47:$BK$47,1,Source_Data!S$5-($B$42+$B$44)),0)</f>
        <v>158.8806</v>
      </c>
      <c r="T48" s="33" t="n">
        <f aca="false">$B$41*IF(Source_Data!T$5-($B$42+$B$44)&gt;=1,INDEX($D$47:$BK$47,1,Source_Data!T$5-($B$42+$B$44)),0)</f>
        <v>87.579675</v>
      </c>
      <c r="U48" s="33" t="n">
        <f aca="false">$B$41*IF(Source_Data!U$5-($B$42+$B$44)&gt;=1,INDEX($D$47:$BK$47,1,Source_Data!U$5-($B$42+$B$44)),0)</f>
        <v>64.178971875</v>
      </c>
      <c r="V48" s="33" t="n">
        <f aca="false">$B$41*IF(Source_Data!V$5-($B$42+$B$44)&gt;=1,INDEX($D$47:$BK$47,1,Source_Data!V$5-($B$42+$B$44)),0)</f>
        <v>64.178971875</v>
      </c>
      <c r="W48" s="33" t="n">
        <f aca="false">$B$41*IF(Source_Data!W$5-($B$42+$B$44)&gt;=1,INDEX($D$47:$BK$47,1,Source_Data!W$5-($B$42+$B$44)),0)</f>
        <v>61.2333320625</v>
      </c>
      <c r="X48" s="33" t="n">
        <f aca="false">$B$41*IF(Source_Data!X$5-($B$42+$B$44)&gt;=1,INDEX($D$47:$BK$47,1,Source_Data!X$5-($B$42+$B$44)),0)</f>
        <v>55.10397571875</v>
      </c>
      <c r="Y48" s="33" t="n">
        <f aca="false">$B$41*IF(Source_Data!Y$5-($B$42+$B$44)&gt;=1,INDEX($D$47:$BK$47,1,Source_Data!Y$5-($B$42+$B$44)),0)</f>
        <v>53.74144434375</v>
      </c>
      <c r="Z48" s="33" t="n">
        <f aca="false">$B$41*IF(Source_Data!Z$5-($B$42+$B$44)&gt;=1,INDEX($D$47:$BK$47,1,Source_Data!Z$5-($B$42+$B$44)),0)</f>
        <v>48.35155021875</v>
      </c>
      <c r="AA48" s="33" t="n">
        <f aca="false">$B$41*IF(Source_Data!AA$5-($B$42+$B$44)&gt;=1,INDEX($D$47:$BK$47,1,Source_Data!AA$5-($B$42+$B$44)),0)</f>
        <v>44.44465021875</v>
      </c>
      <c r="AB48" s="33" t="n">
        <f aca="false">$B$41*IF(Source_Data!AB$5-($B$42+$B$44)&gt;=1,INDEX($D$47:$BK$47,1,Source_Data!AB$5-($B$42+$B$44)),0)</f>
        <v>44.44465021875</v>
      </c>
      <c r="AC48" s="33" t="n">
        <f aca="false">$B$41*IF(Source_Data!AC$5-($B$42+$B$44)&gt;=1,INDEX($D$47:$BK$47,1,Source_Data!AC$5-($B$42+$B$44)),0)</f>
        <v>37.89245334375</v>
      </c>
      <c r="AD48" s="33" t="n">
        <f aca="false">$B$41*IF(Source_Data!AD$5-($B$42+$B$44)&gt;=1,INDEX($D$47:$BK$47,1,Source_Data!AD$5-($B$42+$B$44)),0)</f>
        <v>37.89245334375</v>
      </c>
      <c r="AE48" s="33" t="n">
        <f aca="false">$B$41*IF(Source_Data!AE$5-($B$42+$B$44)&gt;=1,INDEX($D$47:$BK$47,1,Source_Data!AE$5-($B$42+$B$44)),0)</f>
        <v>37.89245334375</v>
      </c>
      <c r="AF48" s="33" t="n">
        <f aca="false">$B$41*IF(Source_Data!AF$5-($B$42+$B$44)&gt;=1,INDEX($D$47:$BK$47,1,Source_Data!AF$5-($B$42+$B$44)),0)</f>
        <v>32.68325334375</v>
      </c>
      <c r="AG48" s="33" t="n">
        <f aca="false">$B$41*IF(Source_Data!AG$5-($B$42+$B$44)&gt;=1,INDEX($D$47:$BK$47,1,Source_Data!AG$5-($B$42+$B$44)),0)</f>
        <v>29.73476475</v>
      </c>
      <c r="AH48" s="33" t="n">
        <f aca="false">$B$41*IF(Source_Data!AH$5-($B$42+$B$44)&gt;=1,INDEX($D$47:$BK$47,1,Source_Data!AH$5-($B$42+$B$44)),0)</f>
        <v>26.487154125</v>
      </c>
      <c r="AI48" s="33" t="n">
        <f aca="false">$B$41*IF(Source_Data!AI$5-($B$42+$B$44)&gt;=1,INDEX($D$47:$BK$47,1,Source_Data!AI$5-($B$42+$B$44)),0)</f>
        <v>22.580254125</v>
      </c>
      <c r="AJ48" s="33" t="n">
        <f aca="false">$B$41*IF(Source_Data!AJ$5-($B$42+$B$44)&gt;=1,INDEX($D$47:$BK$47,1,Source_Data!AJ$5-($B$42+$B$44)),0)</f>
        <v>22.580254125</v>
      </c>
      <c r="AK48" s="33" t="n">
        <f aca="false">$B$41*IF(Source_Data!AK$5-($B$42+$B$44)&gt;=1,INDEX($D$47:$BK$47,1,Source_Data!AK$5-($B$42+$B$44)),0)</f>
        <v>22.580254125</v>
      </c>
      <c r="AL48" s="33" t="n">
        <f aca="false">$B$41*IF(Source_Data!AL$5-($B$42+$B$44)&gt;=1,INDEX($D$47:$BK$47,1,Source_Data!AL$5-($B$42+$B$44)),0)</f>
        <v>22.580254125</v>
      </c>
      <c r="AM48" s="33" t="n">
        <f aca="false">$B$41*IF(Source_Data!AM$5-($B$42+$B$44)&gt;=1,INDEX($D$47:$BK$47,1,Source_Data!AM$5-($B$42+$B$44)),0)</f>
        <v>22.580254125</v>
      </c>
      <c r="AN48" s="33" t="n">
        <f aca="false">$B$41*IF(Source_Data!AN$5-($B$42+$B$44)&gt;=1,INDEX($D$47:$BK$47,1,Source_Data!AN$5-($B$42+$B$44)),0)</f>
        <v>22.580254125</v>
      </c>
      <c r="AO48" s="33" t="n">
        <f aca="false">$B$41*IF(Source_Data!AO$5-($B$42+$B$44)&gt;=1,INDEX($D$47:$BK$47,1,Source_Data!AO$5-($B$42+$B$44)),0)</f>
        <v>20.6145950625</v>
      </c>
      <c r="AP48" s="33" t="n">
        <f aca="false">$B$41*IF(Source_Data!AP$5-($B$42+$B$44)&gt;=1,INDEX($D$47:$BK$47,1,Source_Data!AP$5-($B$42+$B$44)),0)</f>
        <v>20.6145950625</v>
      </c>
      <c r="AQ48" s="33" t="n">
        <f aca="false">$B$41*IF(Source_Data!AQ$5-($B$42+$B$44)&gt;=1,INDEX($D$47:$BK$47,1,Source_Data!AQ$5-($B$42+$B$44)),0)</f>
        <v>16.8655989375</v>
      </c>
      <c r="AR48" s="33" t="n">
        <f aca="false">$B$41*IF(Source_Data!AR$5-($B$42+$B$44)&gt;=1,INDEX($D$47:$BK$47,1,Source_Data!AR$5-($B$42+$B$44)),0)</f>
        <v>8.66355075</v>
      </c>
      <c r="AS48" s="33" t="n">
        <f aca="false">$B$41*IF(Source_Data!AS$5-($B$42+$B$44)&gt;=1,INDEX($D$47:$BK$47,1,Source_Data!AS$5-($B$42+$B$44)),0)</f>
        <v>3.21342525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339</v>
      </c>
      <c r="D49" s="33" t="n">
        <f aca="false">Source_Data!D$9+Source_Data!D$10*IF(Source_Data!$C$10=0,0,MAX(0,Inputs!$B$19*Inputs!$B$22*$B$41-Inputs!$B$20)/Source_Data!$C$10)</f>
        <v>91.25</v>
      </c>
      <c r="E49" s="33" t="n">
        <f aca="false">Source_Data!E$9+Source_Data!E$10*IF(Source_Data!$C$10=0,0,MAX(0,Inputs!$B$19*Inputs!$B$22*$B$41-Inputs!$B$20)/Source_Data!$C$10)</f>
        <v>11.25</v>
      </c>
      <c r="F49" s="33" t="n">
        <f aca="false">Source_Data!F$9+Source_Data!F$10*IF(Source_Data!$C$10=0,0,MAX(0,Inputs!$B$19*Inputs!$B$22*$B$41-Inputs!$B$20)/Source_Data!$C$10)</f>
        <v>11.25</v>
      </c>
      <c r="G49" s="33" t="n">
        <f aca="false">Source_Data!G$9+Source_Data!G$10*IF(Source_Data!$C$10=0,0,MAX(0,Inputs!$B$19*Inputs!$B$22*$B$41-Inputs!$B$20)/Source_Data!$C$10)</f>
        <v>11.25</v>
      </c>
      <c r="H49" s="33" t="n">
        <f aca="false">Source_Data!H$9+Source_Data!H$10*IF(Source_Data!$C$10=0,0,MAX(0,Inputs!$B$19*Inputs!$B$22*$B$41-Inputs!$B$20)/Source_Data!$C$10)</f>
        <v>22.5</v>
      </c>
      <c r="I49" s="33" t="n">
        <f aca="false">Source_Data!I$9+Source_Data!I$10*IF(Source_Data!$C$10=0,0,MAX(0,Inputs!$B$19*Inputs!$B$22*$B$41-Inputs!$B$20)/Source_Data!$C$10)</f>
        <v>22.5</v>
      </c>
      <c r="J49" s="33" t="n">
        <f aca="false">Source_Data!J$9+Source_Data!J$10*IF(Source_Data!$C$10=0,0,MAX(0,Inputs!$B$19*Inputs!$B$22*$B$41-Inputs!$B$20)/Source_Data!$C$10)</f>
        <v>22.5</v>
      </c>
      <c r="K49" s="33" t="n">
        <f aca="false">Source_Data!K$9+Source_Data!K$10*IF(Source_Data!$C$10=0,0,MAX(0,Inputs!$B$19*Inputs!$B$22*$B$41-Inputs!$B$20)/Source_Data!$C$10)</f>
        <v>22.5</v>
      </c>
      <c r="L49" s="33" t="n">
        <f aca="false">Source_Data!L$9+Source_Data!L$10*IF(Source_Data!$C$10=0,0,MAX(0,Inputs!$B$19*Inputs!$B$22*$B$41-Inputs!$B$20)/Source_Data!$C$10)</f>
        <v>33.75</v>
      </c>
      <c r="M49" s="33" t="n">
        <f aca="false">Source_Data!M$9+Source_Data!M$10*IF(Source_Data!$C$10=0,0,MAX(0,Inputs!$B$19*Inputs!$B$22*$B$41-Inputs!$B$20)/Source_Data!$C$10)</f>
        <v>33.75</v>
      </c>
      <c r="N49" s="33" t="n">
        <f aca="false">Source_Data!N$9+Source_Data!N$10*IF(Source_Data!$C$10=0,0,MAX(0,Inputs!$B$19*Inputs!$B$22*$B$41-Inputs!$B$20)/Source_Data!$C$10)</f>
        <v>33.75</v>
      </c>
      <c r="O49" s="33" t="n">
        <f aca="false">Source_Data!O$9+Source_Data!O$10*IF(Source_Data!$C$10=0,0,MAX(0,Inputs!$B$19*Inputs!$B$22*$B$41-Inputs!$B$20)/Source_Data!$C$10)</f>
        <v>33.75</v>
      </c>
      <c r="P49" s="33" t="n">
        <f aca="false">Source_Data!P$9+Source_Data!P$10*IF(Source_Data!$C$10=0,0,MAX(0,Inputs!$B$19*Inputs!$B$22*$B$41-Inputs!$B$20)/Source_Data!$C$10)</f>
        <v>45</v>
      </c>
      <c r="Q49" s="33" t="n">
        <f aca="false">Source_Data!Q$9+Source_Data!Q$10*IF(Source_Data!$C$10=0,0,MAX(0,Inputs!$B$19*Inputs!$B$22*$B$41-Inputs!$B$20)/Source_Data!$C$10)</f>
        <v>45</v>
      </c>
      <c r="R49" s="33" t="n">
        <f aca="false">Source_Data!R$9+Source_Data!R$10*IF(Source_Data!$C$10=0,0,MAX(0,Inputs!$B$19*Inputs!$B$22*$B$41-Inputs!$B$20)/Source_Data!$C$10)</f>
        <v>45</v>
      </c>
      <c r="S49" s="33" t="n">
        <f aca="false">Source_Data!S$9+Source_Data!S$10*IF(Source_Data!$C$10=0,0,MAX(0,Inputs!$B$19*Inputs!$B$22*$B$41-Inputs!$B$20)/Source_Data!$C$10)</f>
        <v>45</v>
      </c>
      <c r="T49" s="33" t="n">
        <f aca="false">Source_Data!T$9+Source_Data!T$10*IF(Source_Data!$C$10=0,0,MAX(0,Inputs!$B$19*Inputs!$B$22*$B$41-Inputs!$B$20)/Source_Data!$C$10)</f>
        <v>45</v>
      </c>
      <c r="U49" s="33" t="n">
        <f aca="false">Source_Data!U$9+Source_Data!U$10*IF(Source_Data!$C$10=0,0,MAX(0,Inputs!$B$19*Inputs!$B$22*$B$41-Inputs!$B$20)/Source_Data!$C$10)</f>
        <v>45</v>
      </c>
      <c r="V49" s="33" t="n">
        <f aca="false">Source_Data!V$9+Source_Data!V$10*IF(Source_Data!$C$10=0,0,MAX(0,Inputs!$B$19*Inputs!$B$22*$B$41-Inputs!$B$20)/Source_Data!$C$10)</f>
        <v>45</v>
      </c>
      <c r="W49" s="33" t="n">
        <f aca="false">Source_Data!W$9+Source_Data!W$10*IF(Source_Data!$C$10=0,0,MAX(0,Inputs!$B$19*Inputs!$B$22*$B$41-Inputs!$B$20)/Source_Data!$C$10)</f>
        <v>45</v>
      </c>
      <c r="X49" s="33" t="n">
        <f aca="false">Source_Data!X$9+Source_Data!X$10*IF(Source_Data!$C$10=0,0,MAX(0,Inputs!$B$19*Inputs!$B$22*$B$41-Inputs!$B$20)/Source_Data!$C$10)</f>
        <v>22.5</v>
      </c>
      <c r="Y49" s="33" t="n">
        <f aca="false">Source_Data!Y$9+Source_Data!Y$10*IF(Source_Data!$C$10=0,0,MAX(0,Inputs!$B$19*Inputs!$B$22*$B$41-Inputs!$B$20)/Source_Data!$C$10)</f>
        <v>22.5</v>
      </c>
      <c r="Z49" s="33" t="n">
        <f aca="false">Source_Data!Z$9+Source_Data!Z$10*IF(Source_Data!$C$10=0,0,MAX(0,Inputs!$B$19*Inputs!$B$22*$B$41-Inputs!$B$20)/Source_Data!$C$10)</f>
        <v>22.5</v>
      </c>
      <c r="AA49" s="33" t="n">
        <f aca="false">Source_Data!AA$9+Source_Data!AA$10*IF(Source_Data!$C$10=0,0,MAX(0,Inputs!$B$19*Inputs!$B$22*$B$41-Inputs!$B$20)/Source_Data!$C$10)</f>
        <v>22.5</v>
      </c>
      <c r="AB49" s="33" t="n">
        <f aca="false">Source_Data!AB$9+Source_Data!AB$10*IF(Source_Data!$C$10=0,0,MAX(0,Inputs!$B$19*Inputs!$B$22*$B$41-Inputs!$B$20)/Source_Data!$C$10)</f>
        <v>0</v>
      </c>
      <c r="AC49" s="33" t="n">
        <f aca="false">Source_Data!AC$9+Source_Data!AC$10*IF(Source_Data!$C$10=0,0,MAX(0,Inputs!$B$19*Inputs!$B$22*$B$41-Inputs!$B$20)/Source_Data!$C$10)</f>
        <v>0</v>
      </c>
      <c r="AD49" s="33" t="n">
        <f aca="false">Source_Data!AD$9+Source_Data!AD$10*IF(Source_Data!$C$10=0,0,MAX(0,Inputs!$B$19*Inputs!$B$22*$B$41-Inputs!$B$20)/Source_Data!$C$10)</f>
        <v>0</v>
      </c>
      <c r="AE49" s="33" t="n">
        <f aca="false">Source_Data!AE$9+Source_Data!AE$10*IF(Source_Data!$C$10=0,0,MAX(0,Inputs!$B$19*Inputs!$B$22*$B$41-Inputs!$B$20)/Source_Data!$C$10)</f>
        <v>0</v>
      </c>
      <c r="AF49" s="33" t="n">
        <f aca="false">Source_Data!AF$9+Source_Data!AF$10*IF(Source_Data!$C$10=0,0,MAX(0,Inputs!$B$19*Inputs!$B$22*$B$41-Inputs!$B$20)/Source_Data!$C$10)</f>
        <v>50.5544747578603</v>
      </c>
      <c r="AG49" s="33" t="n">
        <f aca="false">Source_Data!AG$9+Source_Data!AG$10*IF(Source_Data!$C$10=0,0,MAX(0,Inputs!$B$19*Inputs!$B$22*$B$41-Inputs!$B$20)/Source_Data!$C$10)</f>
        <v>5.14960130045416</v>
      </c>
      <c r="AH49" s="33" t="n">
        <f aca="false">Source_Data!AH$9+Source_Data!AH$10*IF(Source_Data!$C$10=0,0,MAX(0,Inputs!$B$19*Inputs!$B$22*$B$41-Inputs!$B$20)/Source_Data!$C$10)</f>
        <v>5.14960130045416</v>
      </c>
      <c r="AI49" s="33" t="n">
        <f aca="false">Source_Data!AI$9+Source_Data!AI$10*IF(Source_Data!$C$10=0,0,MAX(0,Inputs!$B$19*Inputs!$B$22*$B$41-Inputs!$B$20)/Source_Data!$C$10)</f>
        <v>5.14960130045416</v>
      </c>
      <c r="AJ49" s="33" t="n">
        <f aca="false">Source_Data!AJ$9+Source_Data!AJ$10*IF(Source_Data!$C$10=0,0,MAX(0,Inputs!$B$19*Inputs!$B$22*$B$41-Inputs!$B$20)/Source_Data!$C$10)</f>
        <v>5.14960130045416</v>
      </c>
      <c r="AK49" s="33" t="n">
        <f aca="false">Source_Data!AK$9+Source_Data!AK$10*IF(Source_Data!$C$10=0,0,MAX(0,Inputs!$B$19*Inputs!$B$22*$B$41-Inputs!$B$20)/Source_Data!$C$10)</f>
        <v>4.70131757395294</v>
      </c>
      <c r="AL49" s="33" t="n">
        <f aca="false">Source_Data!AL$9+Source_Data!AL$10*IF(Source_Data!$C$10=0,0,MAX(0,Inputs!$B$19*Inputs!$B$22*$B$41-Inputs!$B$20)/Source_Data!$C$10)</f>
        <v>4.70131757395294</v>
      </c>
      <c r="AM49" s="33" t="n">
        <f aca="false">Source_Data!AM$9+Source_Data!AM$10*IF(Source_Data!$C$10=0,0,MAX(0,Inputs!$B$19*Inputs!$B$22*$B$41-Inputs!$B$20)/Source_Data!$C$10)</f>
        <v>3.84633006079989</v>
      </c>
      <c r="AN49" s="33" t="n">
        <f aca="false">Source_Data!AN$9+Source_Data!AN$10*IF(Source_Data!$C$10=0,0,MAX(0,Inputs!$B$19*Inputs!$B$22*$B$41-Inputs!$B$20)/Source_Data!$C$10)</f>
        <v>1.97578964177183</v>
      </c>
      <c r="AO49" s="33" t="n">
        <f aca="false">Source_Data!AO$9+Source_Data!AO$10*IF(Source_Data!$C$10=0,0,MAX(0,Inputs!$B$19*Inputs!$B$22*$B$41-Inputs!$B$20)/Source_Data!$C$10)</f>
        <v>0.73284643984547</v>
      </c>
      <c r="AP49" s="33" t="n">
        <f aca="false">Source_Data!AP$9+Source_Data!AP$10*IF(Source_Data!$C$10=0,0,MAX(0,Inputs!$B$19*Inputs!$B$22*$B$41-Inputs!$B$20)/Source_Data!$C$10)</f>
        <v>0</v>
      </c>
      <c r="AQ49" s="33" t="n">
        <f aca="false">Source_Data!AQ$9+Source_Data!AQ$10*IF(Source_Data!$C$10=0,0,MAX(0,Inputs!$B$19*Inputs!$B$22*$B$41-Inputs!$B$20)/Source_Data!$C$10)</f>
        <v>0</v>
      </c>
      <c r="AR49" s="33" t="n">
        <f aca="false">Source_Data!AR$9+Source_Data!AR$10*IF(Source_Data!$C$10=0,0,MAX(0,Inputs!$B$19*Inputs!$B$22*$B$41-Inputs!$B$20)/Source_Data!$C$10)</f>
        <v>0</v>
      </c>
      <c r="AS49" s="33" t="n">
        <f aca="false">Source_Data!AS$9+Source_Data!AS$10*IF(Source_Data!$C$10=0,0,MAX(0,Inputs!$B$19*Inputs!$B$22*$B$41-Inputs!$B$20)/Source_Data!$C$10)</f>
        <v>0</v>
      </c>
      <c r="AT49" s="33" t="n">
        <f aca="false">Source_Data!AT$9+Source_Data!AT$10*IF(Source_Data!$C$10=0,0,MAX(0,Inputs!$B$19*Inputs!$B$22*$B$41-Inputs!$B$20)/Source_Data!$C$10)</f>
        <v>0</v>
      </c>
      <c r="AU49" s="33" t="n">
        <f aca="false">Source_Data!AU$9+Source_Data!AU$10*IF(Source_Data!$C$10=0,0,MAX(0,Inputs!$B$19*Inputs!$B$22*$B$41-Inputs!$B$20)/Source_Data!$C$10)</f>
        <v>0</v>
      </c>
      <c r="AV49" s="33" t="n">
        <f aca="false">Source_Data!AV$9+Source_Data!AV$10*IF(Source_Data!$C$10=0,0,MAX(0,Inputs!$B$19*Inputs!$B$22*$B$41-Inputs!$B$20)/Source_Data!$C$10)</f>
        <v>0</v>
      </c>
      <c r="AW49" s="33" t="n">
        <f aca="false">Source_Data!AW$9+Source_Data!AW$10*IF(Source_Data!$C$10=0,0,MAX(0,Inputs!$B$19*Inputs!$B$22*$B$41-Inputs!$B$20)/Source_Data!$C$10)</f>
        <v>0</v>
      </c>
      <c r="AX49" s="33" t="n">
        <f aca="false">Source_Data!AX$9+Source_Data!AX$10*IF(Source_Data!$C$10=0,0,MAX(0,Inputs!$B$19*Inputs!$B$22*$B$41-Inputs!$B$20)/Source_Data!$C$10)</f>
        <v>0</v>
      </c>
      <c r="AY49" s="33" t="n">
        <f aca="false">Source_Data!AY$9+Source_Data!AY$10*IF(Source_Data!$C$10=0,0,MAX(0,Inputs!$B$19*Inputs!$B$22*$B$41-Inputs!$B$20)/Source_Data!$C$10)</f>
        <v>0</v>
      </c>
      <c r="AZ49" s="33" t="n">
        <f aca="false">Source_Data!AZ$9+Source_Data!AZ$10*IF(Source_Data!$C$10=0,0,MAX(0,Inputs!$B$19*Inputs!$B$22*$B$41-Inputs!$B$20)/Source_Data!$C$10)</f>
        <v>0</v>
      </c>
      <c r="BA49" s="33" t="n">
        <f aca="false">Source_Data!BA$9+Source_Data!BA$10*IF(Source_Data!$C$10=0,0,MAX(0,Inputs!$B$19*Inputs!$B$22*$B$41-Inputs!$B$20)/Source_Data!$C$10)</f>
        <v>0</v>
      </c>
      <c r="BB49" s="33" t="n">
        <f aca="false">Source_Data!BB$9+Source_Data!BB$10*IF(Source_Data!$C$10=0,0,MAX(0,Inputs!$B$19*Inputs!$B$22*$B$41-Inputs!$B$20)/Source_Data!$C$10)</f>
        <v>0</v>
      </c>
      <c r="BC49" s="33" t="n">
        <f aca="false">Source_Data!BC$9+Source_Data!BC$10*IF(Source_Data!$C$10=0,0,MAX(0,Inputs!$B$19*Inputs!$B$22*$B$41-Inputs!$B$20)/Source_Data!$C$10)</f>
        <v>0</v>
      </c>
      <c r="BD49" s="33" t="n">
        <f aca="false">Source_Data!BD$9+Source_Data!BD$10*IF(Source_Data!$C$10=0,0,MAX(0,Inputs!$B$19*Inputs!$B$22*$B$41-Inputs!$B$20)/Source_Data!$C$10)</f>
        <v>0</v>
      </c>
      <c r="BE49" s="33" t="n">
        <f aca="false">Source_Data!BE$9+Source_Data!BE$10*IF(Source_Data!$C$10=0,0,MAX(0,Inputs!$B$19*Inputs!$B$22*$B$41-Inputs!$B$20)/Source_Data!$C$10)</f>
        <v>0</v>
      </c>
      <c r="BF49" s="33" t="n">
        <f aca="false">Source_Data!BF$9+Source_Data!BF$10*IF(Source_Data!$C$10=0,0,MAX(0,Inputs!$B$19*Inputs!$B$22*$B$41-Inputs!$B$20)/Source_Data!$C$10)</f>
        <v>0</v>
      </c>
      <c r="BG49" s="33" t="n">
        <f aca="false">Source_Data!BG$9+Source_Data!BG$10*IF(Source_Data!$C$10=0,0,MAX(0,Inputs!$B$19*Inputs!$B$22*$B$41-Inputs!$B$20)/Source_Data!$C$10)</f>
        <v>0</v>
      </c>
      <c r="BH49" s="33" t="n">
        <f aca="false">Source_Data!BH$9+Source_Data!BH$10*IF(Source_Data!$C$10=0,0,MAX(0,Inputs!$B$19*Inputs!$B$22*$B$41-Inputs!$B$20)/Source_Data!$C$10)</f>
        <v>0</v>
      </c>
      <c r="BI49" s="33" t="n">
        <f aca="false">Source_Data!BI$9+Source_Data!BI$10*IF(Source_Data!$C$10=0,0,MAX(0,Inputs!$B$19*Inputs!$B$22*$B$41-Inputs!$B$20)/Source_Data!$C$10)</f>
        <v>0</v>
      </c>
      <c r="BJ49" s="33" t="n">
        <f aca="false">Source_Data!BJ$9+Source_Data!BJ$10*IF(Source_Data!$C$10=0,0,MAX(0,Inputs!$B$19*Inputs!$B$22*$B$41-Inputs!$B$20)/Source_Data!$C$10)</f>
        <v>0</v>
      </c>
      <c r="BK49" s="33" t="n">
        <f aca="false">Source_Data!BK$9+Source_Data!BK$10*IF(Source_Data!$C$10=0,0,MAX(0,Inputs!$B$19*Inputs!$B$22*$B$41-Inputs!$B$20)/Source_Data!$C$10)</f>
        <v>0</v>
      </c>
    </row>
    <row r="50" customFormat="false" ht="15" hidden="false" customHeight="false" outlineLevel="0" collapsed="false">
      <c r="A50" s="3" t="s">
        <v>194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20</v>
      </c>
      <c r="I50" s="33" t="n">
        <f aca="false">Source_Data!I$11*$B$43</f>
        <v>26.4</v>
      </c>
      <c r="J50" s="33" t="n">
        <f aca="false">Source_Data!J$11*$B$43</f>
        <v>40</v>
      </c>
      <c r="K50" s="33" t="n">
        <f aca="false">Source_Data!K$11*$B$43</f>
        <v>26.4</v>
      </c>
      <c r="L50" s="33" t="n">
        <f aca="false">Source_Data!L$11*$B$43</f>
        <v>26.4</v>
      </c>
      <c r="M50" s="33" t="n">
        <f aca="false">Source_Data!M$11*$B$43</f>
        <v>26.4</v>
      </c>
      <c r="N50" s="33" t="n">
        <f aca="false">Source_Data!N$11*$B$43</f>
        <v>5.28</v>
      </c>
      <c r="O50" s="33" t="n">
        <f aca="false">Source_Data!O$11*$B$43</f>
        <v>5.28</v>
      </c>
      <c r="P50" s="33" t="n">
        <f aca="false">Source_Data!P$11*$B$43</f>
        <v>120</v>
      </c>
      <c r="Q50" s="33" t="n">
        <f aca="false">Source_Data!Q$11*$B$43</f>
        <v>120</v>
      </c>
      <c r="R50" s="33" t="n">
        <f aca="false">Source_Data!R$11*$B$43</f>
        <v>164</v>
      </c>
      <c r="S50" s="33" t="n">
        <f aca="false">Source_Data!S$11*$B$43</f>
        <v>117</v>
      </c>
      <c r="T50" s="33" t="n">
        <f aca="false">Source_Data!T$11*$B$43</f>
        <v>0</v>
      </c>
      <c r="U50" s="33" t="n">
        <f aca="false">Source_Data!U$11*$B$43</f>
        <v>0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196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0</v>
      </c>
      <c r="K51" s="33" t="n">
        <f aca="false">$B$41*IF(Source_Data!K$5-$B$42&gt;=1,INDEX(Source_Data!$D$12:$BK$12,1,Source_Data!K$5-$B$42),0)</f>
        <v>0</v>
      </c>
      <c r="L51" s="33" t="n">
        <f aca="false">$B$41*IF(Source_Data!L$5-$B$42&gt;=1,INDEX(Source_Data!$D$12:$BK$12,1,Source_Data!L$5-$B$42),0)</f>
        <v>0</v>
      </c>
      <c r="M51" s="33" t="n">
        <f aca="false">$B$41*IF(Source_Data!M$5-$B$42&gt;=1,INDEX(Source_Data!$D$12:$BK$12,1,Source_Data!M$5-$B$42),0)</f>
        <v>0</v>
      </c>
      <c r="N51" s="33" t="n">
        <f aca="false">$B$41*IF(Source_Data!N$5-$B$42&gt;=1,INDEX(Source_Data!$D$12:$BK$12,1,Source_Data!N$5-$B$42),0)</f>
        <v>10.900251</v>
      </c>
      <c r="O51" s="33" t="n">
        <f aca="false">$B$41*IF(Source_Data!O$5-$B$42&gt;=1,INDEX(Source_Data!$D$12:$BK$12,1,Source_Data!O$5-$B$42),0)</f>
        <v>10.900251</v>
      </c>
      <c r="P51" s="33" t="n">
        <f aca="false">$B$41*IF(Source_Data!P$5-$B$42&gt;=1,INDEX(Source_Data!$D$12:$BK$12,1,Source_Data!P$5-$B$42),0)</f>
        <v>8.569134</v>
      </c>
      <c r="Q51" s="33" t="n">
        <f aca="false">$B$41*IF(Source_Data!Q$5-$B$42&gt;=1,INDEX(Source_Data!$D$12:$BK$12,1,Source_Data!Q$5-$B$42),0)</f>
        <v>8.569134</v>
      </c>
      <c r="R51" s="33" t="n">
        <f aca="false">$B$41*IF(Source_Data!R$5-$B$42&gt;=1,INDEX(Source_Data!$D$12:$BK$12,1,Source_Data!R$5-$B$42),0)</f>
        <v>6.290109</v>
      </c>
      <c r="S51" s="33" t="n">
        <f aca="false">$B$41*IF(Source_Data!S$5-$B$42&gt;=1,INDEX(Source_Data!$D$12:$BK$12,1,Source_Data!S$5-$B$42),0)</f>
        <v>6.290109</v>
      </c>
      <c r="T51" s="33" t="n">
        <f aca="false">$B$41*IF(Source_Data!T$5-$B$42&gt;=1,INDEX(Source_Data!$D$12:$BK$12,1,Source_Data!T$5-$B$42),0)</f>
        <v>6.928236</v>
      </c>
      <c r="U51" s="33" t="n">
        <f aca="false">$B$41*IF(Source_Data!U$5-$B$42&gt;=1,INDEX(Source_Data!$D$12:$BK$12,1,Source_Data!U$5-$B$42),0)</f>
        <v>8.33472</v>
      </c>
      <c r="V51" s="33" t="n">
        <f aca="false">$B$41*IF(Source_Data!V$5-$B$42&gt;=1,INDEX(Source_Data!$D$12:$BK$12,1,Source_Data!V$5-$B$42),0)</f>
        <v>8.33472</v>
      </c>
      <c r="W51" s="33" t="n">
        <f aca="false">$B$41*IF(Source_Data!W$5-$B$42&gt;=1,INDEX(Source_Data!$D$12:$BK$12,1,Source_Data!W$5-$B$42),0)</f>
        <v>5.99058</v>
      </c>
      <c r="X51" s="33" t="n">
        <f aca="false">$B$41*IF(Source_Data!X$5-$B$42&gt;=1,INDEX(Source_Data!$D$12:$BK$12,1,Source_Data!X$5-$B$42),0)</f>
        <v>0</v>
      </c>
      <c r="Y51" s="33" t="n">
        <f aca="false">$B$41*IF(Source_Data!Y$5-$B$42&gt;=1,INDEX(Source_Data!$D$12:$BK$12,1,Source_Data!Y$5-$B$42),0)</f>
        <v>0</v>
      </c>
      <c r="Z51" s="33" t="n">
        <f aca="false">$B$41*IF(Source_Data!Z$5-$B$42&gt;=1,INDEX(Source_Data!$D$12:$BK$12,1,Source_Data!Z$5-$B$42),0)</f>
        <v>0</v>
      </c>
      <c r="AA51" s="33" t="n">
        <f aca="false">$B$41*IF(Source_Data!AA$5-$B$42&gt;=1,INDEX(Source_Data!$D$12:$BK$12,1,Source_Data!AA$5-$B$42),0)</f>
        <v>0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215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3</v>
      </c>
      <c r="I52" s="33" t="n">
        <f aca="false">Source_Data!I$13*$B$43</f>
        <v>3.96</v>
      </c>
      <c r="J52" s="33" t="n">
        <f aca="false">Source_Data!J$13*$B$43</f>
        <v>6</v>
      </c>
      <c r="K52" s="33" t="n">
        <f aca="false">Source_Data!K$13*$B$43</f>
        <v>3.96</v>
      </c>
      <c r="L52" s="33" t="n">
        <f aca="false">Source_Data!L$13*$B$43</f>
        <v>3.96</v>
      </c>
      <c r="M52" s="33" t="n">
        <f aca="false">Source_Data!M$13*$B$43</f>
        <v>3.96</v>
      </c>
      <c r="N52" s="33" t="n">
        <f aca="false">Source_Data!N$13*$B$43</f>
        <v>0.792</v>
      </c>
      <c r="O52" s="33" t="n">
        <f aca="false">Source_Data!O$13*$B$43</f>
        <v>0.792</v>
      </c>
      <c r="P52" s="33" t="n">
        <f aca="false">Source_Data!P$13*$B$43</f>
        <v>18</v>
      </c>
      <c r="Q52" s="33" t="n">
        <f aca="false">Source_Data!Q$13*$B$43</f>
        <v>18</v>
      </c>
      <c r="R52" s="33" t="n">
        <f aca="false">Source_Data!R$13*$B$43</f>
        <v>24.6</v>
      </c>
      <c r="S52" s="33" t="n">
        <f aca="false">Source_Data!S$13*$B$43</f>
        <v>17.55</v>
      </c>
      <c r="T52" s="33" t="n">
        <f aca="false">Source_Data!T$13*$B$43</f>
        <v>0</v>
      </c>
      <c r="U52" s="33" t="n">
        <f aca="false">Source_Data!U$13*$B$43</f>
        <v>0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216</v>
      </c>
      <c r="D53" s="33" t="n">
        <f aca="false">D48-D49-D50-D51-D52</f>
        <v>-91.25</v>
      </c>
      <c r="E53" s="33" t="n">
        <f aca="false">E48-E49-E50-E51-E52</f>
        <v>-11.25</v>
      </c>
      <c r="F53" s="33" t="n">
        <f aca="false">F48-F49-F50-F51-F52</f>
        <v>-11.25</v>
      </c>
      <c r="G53" s="33" t="n">
        <f aca="false">G48-G49-G50-G51-G52</f>
        <v>-11.25</v>
      </c>
      <c r="H53" s="33" t="n">
        <f aca="false">H48-H49-H50-H51-H52</f>
        <v>-45.5</v>
      </c>
      <c r="I53" s="33" t="n">
        <f aca="false">I48-I49-I50-I51-I52</f>
        <v>-52.86</v>
      </c>
      <c r="J53" s="33" t="n">
        <f aca="false">J48-J49-J50-J51-J52</f>
        <v>-54.87468625</v>
      </c>
      <c r="K53" s="33" t="n">
        <f aca="false">K48-K49-K50-K51-K52</f>
        <v>-25.6093725</v>
      </c>
      <c r="L53" s="33" t="n">
        <f aca="false">L48-L49-L50-L51-L52</f>
        <v>-22.249194375</v>
      </c>
      <c r="M53" s="33" t="n">
        <f aca="false">M48-M49-M50-M51-M52</f>
        <v>-7.63901625</v>
      </c>
      <c r="N53" s="33" t="n">
        <f aca="false">N48-N49-N50-N51-N52</f>
        <v>5.406879</v>
      </c>
      <c r="O53" s="33" t="n">
        <f aca="false">O48-O49-O50-O51-O52</f>
        <v>6.40395243750001</v>
      </c>
      <c r="P53" s="33" t="n">
        <f aca="false">P48-P49-P50-P51-P52</f>
        <v>-119.27317040625</v>
      </c>
      <c r="Q53" s="33" t="n">
        <f aca="false">Q48-Q49-Q50-Q51-Q52</f>
        <v>254.15931975</v>
      </c>
      <c r="R53" s="33" t="n">
        <f aca="false">R48-R49-R50-R51-R52</f>
        <v>-72.870134</v>
      </c>
      <c r="S53" s="33" t="n">
        <f aca="false">S48-S49-S50-S51-S52</f>
        <v>-26.959509</v>
      </c>
      <c r="T53" s="33" t="n">
        <f aca="false">T48-T49-T50-T51-T52</f>
        <v>35.651439</v>
      </c>
      <c r="U53" s="33" t="n">
        <f aca="false">U48-U49-U50-U51-U52</f>
        <v>10.844251875</v>
      </c>
      <c r="V53" s="33" t="n">
        <f aca="false">V48-V49-V50-V51-V52</f>
        <v>10.844251875</v>
      </c>
      <c r="W53" s="33" t="n">
        <f aca="false">W48-W49-W50-W51-W52</f>
        <v>10.2427520625</v>
      </c>
      <c r="X53" s="33" t="n">
        <f aca="false">X48-X49-X50-X51-X52</f>
        <v>32.60397571875</v>
      </c>
      <c r="Y53" s="33" t="n">
        <f aca="false">Y48-Y49-Y50-Y51-Y52</f>
        <v>31.24144434375</v>
      </c>
      <c r="Z53" s="33" t="n">
        <f aca="false">Z48-Z49-Z50-Z51-Z52</f>
        <v>25.85155021875</v>
      </c>
      <c r="AA53" s="33" t="n">
        <f aca="false">AA48-AA49-AA50-AA51-AA52</f>
        <v>21.94465021875</v>
      </c>
      <c r="AB53" s="33" t="n">
        <f aca="false">AB48-AB49-AB50-AB51-AB52</f>
        <v>44.44465021875</v>
      </c>
      <c r="AC53" s="33" t="n">
        <f aca="false">AC48-AC49-AC50-AC51-AC52</f>
        <v>37.89245334375</v>
      </c>
      <c r="AD53" s="33" t="n">
        <f aca="false">AD48-AD49-AD50-AD51-AD52</f>
        <v>37.89245334375</v>
      </c>
      <c r="AE53" s="33" t="n">
        <f aca="false">AE48-AE49-AE50-AE51-AE52</f>
        <v>37.89245334375</v>
      </c>
      <c r="AF53" s="33" t="n">
        <f aca="false">AF48-AF49-AF50-AF51-AF52</f>
        <v>-17.8712214141103</v>
      </c>
      <c r="AG53" s="33" t="n">
        <f aca="false">AG48-AG49-AG50-AG51-AG52</f>
        <v>24.5851634495458</v>
      </c>
      <c r="AH53" s="33" t="n">
        <f aca="false">AH48-AH49-AH50-AH51-AH52</f>
        <v>21.3375528245458</v>
      </c>
      <c r="AI53" s="33" t="n">
        <f aca="false">AI48-AI49-AI50-AI51-AI52</f>
        <v>17.4306528245458</v>
      </c>
      <c r="AJ53" s="33" t="n">
        <f aca="false">AJ48-AJ49-AJ50-AJ51-AJ52</f>
        <v>17.4306528245458</v>
      </c>
      <c r="AK53" s="33" t="n">
        <f aca="false">AK48-AK49-AK50-AK51-AK52</f>
        <v>17.8789365510471</v>
      </c>
      <c r="AL53" s="33" t="n">
        <f aca="false">AL48-AL49-AL50-AL51-AL52</f>
        <v>17.8789365510471</v>
      </c>
      <c r="AM53" s="33" t="n">
        <f aca="false">AM48-AM49-AM50-AM51-AM52</f>
        <v>18.7339240642001</v>
      </c>
      <c r="AN53" s="33" t="n">
        <f aca="false">AN48-AN49-AN50-AN51-AN52</f>
        <v>20.6044644832282</v>
      </c>
      <c r="AO53" s="33" t="n">
        <f aca="false">AO48-AO49-AO50-AO51-AO52</f>
        <v>19.8817486226545</v>
      </c>
      <c r="AP53" s="33" t="n">
        <f aca="false">AP48-AP49-AP50-AP51-AP52</f>
        <v>20.6145950625</v>
      </c>
      <c r="AQ53" s="33" t="n">
        <f aca="false">AQ48-AQ49-AQ50-AQ51-AQ52</f>
        <v>16.8655989375</v>
      </c>
      <c r="AR53" s="33" t="n">
        <f aca="false">AR48-AR49-AR50-AR51-AR52</f>
        <v>8.66355075</v>
      </c>
      <c r="AS53" s="33" t="n">
        <f aca="false">AS48-AS49-AS50-AS51-AS52</f>
        <v>3.21342525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217</v>
      </c>
      <c r="D54" s="33" t="n">
        <f aca="false">D53</f>
        <v>-91.25</v>
      </c>
      <c r="E54" s="33" t="n">
        <f aca="false">D54+E53</f>
        <v>-102.5</v>
      </c>
      <c r="F54" s="33" t="n">
        <f aca="false">E54+F53</f>
        <v>-113.75</v>
      </c>
      <c r="G54" s="33" t="n">
        <f aca="false">F54+G53</f>
        <v>-125</v>
      </c>
      <c r="H54" s="33" t="n">
        <f aca="false">G54+H53</f>
        <v>-170.5</v>
      </c>
      <c r="I54" s="33" t="n">
        <f aca="false">H54+I53</f>
        <v>-223.36</v>
      </c>
      <c r="J54" s="33" t="n">
        <f aca="false">I54+J53</f>
        <v>-278.23468625</v>
      </c>
      <c r="K54" s="33" t="n">
        <f aca="false">J54+K53</f>
        <v>-303.84405875</v>
      </c>
      <c r="L54" s="33" t="n">
        <f aca="false">K54+L53</f>
        <v>-326.093253125</v>
      </c>
      <c r="M54" s="33" t="n">
        <f aca="false">L54+M53</f>
        <v>-333.732269375</v>
      </c>
      <c r="N54" s="33" t="n">
        <f aca="false">M54+N53</f>
        <v>-328.325390375</v>
      </c>
      <c r="O54" s="33" t="n">
        <f aca="false">N54+O53</f>
        <v>-321.9214379375</v>
      </c>
      <c r="P54" s="33" t="n">
        <f aca="false">O54+P53</f>
        <v>-441.19460834375</v>
      </c>
      <c r="Q54" s="33" t="n">
        <f aca="false">P54+Q53</f>
        <v>-187.03528859375</v>
      </c>
      <c r="R54" s="33" t="n">
        <f aca="false">Q54+R53</f>
        <v>-259.90542259375</v>
      </c>
      <c r="S54" s="33" t="n">
        <f aca="false">R54+S53</f>
        <v>-286.86493159375</v>
      </c>
      <c r="T54" s="33" t="n">
        <f aca="false">S54+T53</f>
        <v>-251.21349259375</v>
      </c>
      <c r="U54" s="33" t="n">
        <f aca="false">T54+U53</f>
        <v>-240.36924071875</v>
      </c>
      <c r="V54" s="33" t="n">
        <f aca="false">U54+V53</f>
        <v>-229.52498884375</v>
      </c>
      <c r="W54" s="33" t="n">
        <f aca="false">V54+W53</f>
        <v>-219.28223678125</v>
      </c>
      <c r="X54" s="33" t="n">
        <f aca="false">W54+X53</f>
        <v>-186.6782610625</v>
      </c>
      <c r="Y54" s="33" t="n">
        <f aca="false">X54+Y53</f>
        <v>-155.43681671875</v>
      </c>
      <c r="Z54" s="33" t="n">
        <f aca="false">Y54+Z53</f>
        <v>-129.5852665</v>
      </c>
      <c r="AA54" s="33" t="n">
        <f aca="false">Z54+AA53</f>
        <v>-107.64061628125</v>
      </c>
      <c r="AB54" s="33" t="n">
        <f aca="false">AA54+AB53</f>
        <v>-63.1959660625001</v>
      </c>
      <c r="AC54" s="33" t="n">
        <f aca="false">AB54+AC53</f>
        <v>-25.3035127187501</v>
      </c>
      <c r="AD54" s="33" t="n">
        <f aca="false">AC54+AD53</f>
        <v>12.5889406249999</v>
      </c>
      <c r="AE54" s="33" t="n">
        <f aca="false">AD54+AE53</f>
        <v>50.4813939687499</v>
      </c>
      <c r="AF54" s="33" t="n">
        <f aca="false">AE54+AF53</f>
        <v>32.6101725546396</v>
      </c>
      <c r="AG54" s="33" t="n">
        <f aca="false">AF54+AG53</f>
        <v>57.1953360041855</v>
      </c>
      <c r="AH54" s="33" t="n">
        <f aca="false">AG54+AH53</f>
        <v>78.5328888287313</v>
      </c>
      <c r="AI54" s="33" t="n">
        <f aca="false">AH54+AI53</f>
        <v>95.9635416532771</v>
      </c>
      <c r="AJ54" s="33" t="n">
        <f aca="false">AI54+AJ53</f>
        <v>113.394194477823</v>
      </c>
      <c r="AK54" s="33" t="n">
        <f aca="false">AJ54+AK53</f>
        <v>131.27313102887</v>
      </c>
      <c r="AL54" s="33" t="n">
        <f aca="false">AK54+AL53</f>
        <v>149.152067579917</v>
      </c>
      <c r="AM54" s="33" t="n">
        <f aca="false">AL54+AM53</f>
        <v>167.885991644117</v>
      </c>
      <c r="AN54" s="33" t="n">
        <f aca="false">AM54+AN53</f>
        <v>188.490456127345</v>
      </c>
      <c r="AO54" s="33" t="n">
        <f aca="false">AN54+AO53</f>
        <v>208.37220475</v>
      </c>
      <c r="AP54" s="33" t="n">
        <f aca="false">AO54+AP53</f>
        <v>228.9867998125</v>
      </c>
      <c r="AQ54" s="33" t="n">
        <f aca="false">AP54+AQ53</f>
        <v>245.85239875</v>
      </c>
      <c r="AR54" s="33" t="n">
        <f aca="false">AQ54+AR53</f>
        <v>254.5159495</v>
      </c>
      <c r="AS54" s="33" t="n">
        <f aca="false">AR54+AS53</f>
        <v>257.72937475</v>
      </c>
      <c r="AT54" s="33" t="n">
        <f aca="false">AS54+AT53</f>
        <v>257.72937475</v>
      </c>
      <c r="AU54" s="33" t="n">
        <f aca="false">AT54+AU53</f>
        <v>257.72937475</v>
      </c>
      <c r="AV54" s="33" t="n">
        <f aca="false">AU54+AV53</f>
        <v>257.72937475</v>
      </c>
      <c r="AW54" s="33" t="n">
        <f aca="false">AV54+AW53</f>
        <v>257.72937475</v>
      </c>
      <c r="AX54" s="33" t="n">
        <f aca="false">AW54+AX53</f>
        <v>257.72937475</v>
      </c>
      <c r="AY54" s="33" t="n">
        <f aca="false">AX54+AY53</f>
        <v>257.72937475</v>
      </c>
      <c r="AZ54" s="33" t="n">
        <f aca="false">AY54+AZ53</f>
        <v>257.72937475</v>
      </c>
      <c r="BA54" s="33" t="n">
        <f aca="false">AZ54+BA53</f>
        <v>257.72937475</v>
      </c>
      <c r="BB54" s="33" t="n">
        <f aca="false">BA54+BB53</f>
        <v>257.72937475</v>
      </c>
      <c r="BC54" s="33" t="n">
        <f aca="false">BB54+BC53</f>
        <v>257.72937475</v>
      </c>
      <c r="BD54" s="33" t="n">
        <f aca="false">BC54+BD53</f>
        <v>257.72937475</v>
      </c>
      <c r="BE54" s="33" t="n">
        <f aca="false">BD54+BE53</f>
        <v>257.72937475</v>
      </c>
      <c r="BF54" s="33" t="n">
        <f aca="false">BE54+BF53</f>
        <v>257.72937475</v>
      </c>
      <c r="BG54" s="33" t="n">
        <f aca="false">BF54+BG53</f>
        <v>257.72937475</v>
      </c>
      <c r="BH54" s="33" t="n">
        <f aca="false">BG54+BH53</f>
        <v>257.72937475</v>
      </c>
      <c r="BI54" s="33" t="n">
        <f aca="false">BH54+BI53</f>
        <v>257.72937475</v>
      </c>
      <c r="BJ54" s="33" t="n">
        <f aca="false">BI54+BJ53</f>
        <v>257.72937475</v>
      </c>
      <c r="BK54" s="33" t="n">
        <f aca="false">BJ54+BK53</f>
        <v>257.72937475</v>
      </c>
    </row>
    <row r="55" customFormat="false" ht="15" hidden="false" customHeight="false" outlineLevel="0" collapsed="false">
      <c r="A55" s="3" t="s">
        <v>340</v>
      </c>
      <c r="D55" s="33" t="n">
        <f aca="false">IF(Source_Data!D$6=Inputs!$B$12,-Inputs!$B$7,0)+IF(AND(Source_Data!D$6&gt;=$B$46,Source_Data!D$6&lt;$B$46+3*Inputs!$B$16,MOD(Source_Data!D$6-$B$46,3)=0),Inputs!$B$8*Inputs!$B$7*Inputs!$B$34*$B$41*(1-Inputs!$B$15)/Inputs!$B$16,0)</f>
        <v>-100</v>
      </c>
      <c r="E55" s="33" t="n">
        <f aca="false">IF(Source_Data!E$6=Inputs!$B$12,-Inputs!$B$7,0)+IF(AND(Source_Data!E$6&gt;=$B$46,Source_Data!E$6&lt;$B$46+3*Inputs!$B$16,MOD(Source_Data!E$6-$B$46,3)=0),Inputs!$B$8*Inputs!$B$7*Inputs!$B$34*$B$41*(1-Inputs!$B$15)/Inputs!$B$16,0)</f>
        <v>0</v>
      </c>
      <c r="F55" s="33" t="n">
        <f aca="false">IF(Source_Data!F$6=Inputs!$B$12,-Inputs!$B$7,0)+IF(AND(Source_Data!F$6&gt;=$B$46,Source_Data!F$6&lt;$B$46+3*Inputs!$B$16,MOD(Source_Data!F$6-$B$46,3)=0),Inputs!$B$8*Inputs!$B$7*Inputs!$B$34*$B$41*(1-Inputs!$B$15)/Inputs!$B$16,0)</f>
        <v>0</v>
      </c>
      <c r="G55" s="33" t="n">
        <f aca="false">IF(Source_Data!G$6=Inputs!$B$12,-Inputs!$B$7,0)+IF(AND(Source_Data!G$6&gt;=$B$46,Source_Data!G$6&lt;$B$46+3*Inputs!$B$16,MOD(Source_Data!G$6-$B$46,3)=0),Inputs!$B$8*Inputs!$B$7*Inputs!$B$34*$B$41*(1-Inputs!$B$15)/Inputs!$B$16,0)</f>
        <v>0</v>
      </c>
      <c r="H55" s="33" t="n">
        <f aca="false">IF(Source_Data!H$6=Inputs!$B$12,-Inputs!$B$7,0)+IF(AND(Source_Data!H$6&gt;=$B$46,Source_Data!H$6&lt;$B$46+3*Inputs!$B$16,MOD(Source_Data!H$6-$B$46,3)=0),Inputs!$B$8*Inputs!$B$7*Inputs!$B$34*$B$41*(1-Inputs!$B$15)/Inputs!$B$16,0)</f>
        <v>0</v>
      </c>
      <c r="I55" s="33" t="n">
        <f aca="false">IF(Source_Data!I$6=Inputs!$B$12,-Inputs!$B$7,0)+IF(AND(Source_Data!I$6&gt;=$B$46,Source_Data!I$6&lt;$B$46+3*Inputs!$B$16,MOD(Source_Data!I$6-$B$46,3)=0),Inputs!$B$8*Inputs!$B$7*Inputs!$B$34*$B$41*(1-Inputs!$B$15)/Inputs!$B$16,0)</f>
        <v>0</v>
      </c>
      <c r="J55" s="33" t="n">
        <f aca="false">IF(Source_Data!J$6=Inputs!$B$12,-Inputs!$B$7,0)+IF(AND(Source_Data!J$6&gt;=$B$46,Source_Data!J$6&lt;$B$46+3*Inputs!$B$16,MOD(Source_Data!J$6-$B$46,3)=0),Inputs!$B$8*Inputs!$B$7*Inputs!$B$34*$B$41*(1-Inputs!$B$15)/Inputs!$B$16,0)</f>
        <v>0</v>
      </c>
      <c r="K55" s="33" t="n">
        <f aca="false">IF(Source_Data!K$6=Inputs!$B$12,-Inputs!$B$7,0)+IF(AND(Source_Data!K$6&gt;=$B$46,Source_Data!K$6&lt;$B$46+3*Inputs!$B$16,MOD(Source_Data!K$6-$B$46,3)=0),Inputs!$B$8*Inputs!$B$7*Inputs!$B$34*$B$41*(1-Inputs!$B$15)/Inputs!$B$16,0)</f>
        <v>0</v>
      </c>
      <c r="L55" s="33" t="n">
        <f aca="false">IF(Source_Data!L$6=Inputs!$B$12,-Inputs!$B$7,0)+IF(AND(Source_Data!L$6&gt;=$B$46,Source_Data!L$6&lt;$B$46+3*Inputs!$B$16,MOD(Source_Data!L$6-$B$46,3)=0),Inputs!$B$8*Inputs!$B$7*Inputs!$B$34*$B$41*(1-Inputs!$B$15)/Inputs!$B$16,0)</f>
        <v>0</v>
      </c>
      <c r="M55" s="33" t="n">
        <f aca="false">IF(Source_Data!M$6=Inputs!$B$12,-Inputs!$B$7,0)+IF(AND(Source_Data!M$6&gt;=$B$46,Source_Data!M$6&lt;$B$46+3*Inputs!$B$16,MOD(Source_Data!M$6-$B$46,3)=0),Inputs!$B$8*Inputs!$B$7*Inputs!$B$34*$B$41*(1-Inputs!$B$15)/Inputs!$B$16,0)</f>
        <v>0</v>
      </c>
      <c r="N55" s="33" t="n">
        <f aca="false">IF(Source_Data!N$6=Inputs!$B$12,-Inputs!$B$7,0)+IF(AND(Source_Data!N$6&gt;=$B$46,Source_Data!N$6&lt;$B$46+3*Inputs!$B$16,MOD(Source_Data!N$6-$B$46,3)=0),Inputs!$B$8*Inputs!$B$7*Inputs!$B$34*$B$41*(1-Inputs!$B$15)/Inputs!$B$16,0)</f>
        <v>0</v>
      </c>
      <c r="O55" s="33" t="n">
        <f aca="false">IF(Source_Data!O$6=Inputs!$B$12,-Inputs!$B$7,0)+IF(AND(Source_Data!O$6&gt;=$B$46,Source_Data!O$6&lt;$B$46+3*Inputs!$B$16,MOD(Source_Data!O$6-$B$46,3)=0),Inputs!$B$8*Inputs!$B$7*Inputs!$B$34*$B$41*(1-Inputs!$B$15)/Inputs!$B$16,0)</f>
        <v>0</v>
      </c>
      <c r="P55" s="33" t="n">
        <f aca="false">IF(Source_Data!P$6=Inputs!$B$12,-Inputs!$B$7,0)+IF(AND(Source_Data!P$6&gt;=$B$46,Source_Data!P$6&lt;$B$46+3*Inputs!$B$16,MOD(Source_Data!P$6-$B$46,3)=0),Inputs!$B$8*Inputs!$B$7*Inputs!$B$34*$B$41*(1-Inputs!$B$15)/Inputs!$B$16,0)</f>
        <v>0</v>
      </c>
      <c r="Q55" s="33" t="n">
        <f aca="false">IF(Source_Data!Q$6=Inputs!$B$12,-Inputs!$B$7,0)+IF(AND(Source_Data!Q$6&gt;=$B$46,Source_Data!Q$6&lt;$B$46+3*Inputs!$B$16,MOD(Source_Data!Q$6-$B$46,3)=0),Inputs!$B$8*Inputs!$B$7*Inputs!$B$34*$B$41*(1-Inputs!$B$15)/Inputs!$B$16,0)</f>
        <v>0</v>
      </c>
      <c r="R55" s="33" t="n">
        <f aca="false">IF(Source_Data!R$6=Inputs!$B$12,-Inputs!$B$7,0)+IF(AND(Source_Data!R$6&gt;=$B$46,Source_Data!R$6&lt;$B$46+3*Inputs!$B$16,MOD(Source_Data!R$6-$B$46,3)=0),Inputs!$B$8*Inputs!$B$7*Inputs!$B$34*$B$41*(1-Inputs!$B$15)/Inputs!$B$16,0)</f>
        <v>0</v>
      </c>
      <c r="S55" s="33" t="n">
        <f aca="false">IF(Source_Data!S$6=Inputs!$B$12,-Inputs!$B$7,0)+IF(AND(Source_Data!S$6&gt;=$B$46,Source_Data!S$6&lt;$B$46+3*Inputs!$B$16,MOD(Source_Data!S$6-$B$46,3)=0),Inputs!$B$8*Inputs!$B$7*Inputs!$B$34*$B$41*(1-Inputs!$B$15)/Inputs!$B$16,0)</f>
        <v>0</v>
      </c>
      <c r="T55" s="33" t="n">
        <f aca="false">IF(Source_Data!T$6=Inputs!$B$12,-Inputs!$B$7,0)+IF(AND(Source_Data!T$6&gt;=$B$46,Source_Data!T$6&lt;$B$46+3*Inputs!$B$16,MOD(Source_Data!T$6-$B$46,3)=0),Inputs!$B$8*Inputs!$B$7*Inputs!$B$34*$B$41*(1-Inputs!$B$15)/Inputs!$B$16,0)</f>
        <v>0</v>
      </c>
      <c r="U55" s="33" t="n">
        <f aca="false">IF(Source_Data!U$6=Inputs!$B$12,-Inputs!$B$7,0)+IF(AND(Source_Data!U$6&gt;=$B$46,Source_Data!U$6&lt;$B$46+3*Inputs!$B$16,MOD(Source_Data!U$6-$B$46,3)=0),Inputs!$B$8*Inputs!$B$7*Inputs!$B$34*$B$41*(1-Inputs!$B$15)/Inputs!$B$16,0)</f>
        <v>0</v>
      </c>
      <c r="V55" s="33" t="n">
        <f aca="false">IF(Source_Data!V$6=Inputs!$B$12,-Inputs!$B$7,0)+IF(AND(Source_Data!V$6&gt;=$B$46,Source_Data!V$6&lt;$B$46+3*Inputs!$B$16,MOD(Source_Data!V$6-$B$46,3)=0),Inputs!$B$8*Inputs!$B$7*Inputs!$B$34*$B$41*(1-Inputs!$B$15)/Inputs!$B$16,0)</f>
        <v>0</v>
      </c>
      <c r="W55" s="33" t="n">
        <f aca="false">IF(Source_Data!W$6=Inputs!$B$12,-Inputs!$B$7,0)+IF(AND(Source_Data!W$6&gt;=$B$46,Source_Data!W$6&lt;$B$46+3*Inputs!$B$16,MOD(Source_Data!W$6-$B$46,3)=0),Inputs!$B$8*Inputs!$B$7*Inputs!$B$34*$B$41*(1-Inputs!$B$15)/Inputs!$B$16,0)</f>
        <v>0</v>
      </c>
      <c r="X55" s="33" t="n">
        <f aca="false">IF(Source_Data!X$6=Inputs!$B$12,-Inputs!$B$7,0)+IF(AND(Source_Data!X$6&gt;=$B$46,Source_Data!X$6&lt;$B$46+3*Inputs!$B$16,MOD(Source_Data!X$6-$B$46,3)=0),Inputs!$B$8*Inputs!$B$7*Inputs!$B$34*$B$41*(1-Inputs!$B$15)/Inputs!$B$16,0)</f>
        <v>62.5806451612903</v>
      </c>
      <c r="Y55" s="33" t="n">
        <f aca="false">IF(Source_Data!Y$6=Inputs!$B$12,-Inputs!$B$7,0)+IF(AND(Source_Data!Y$6&gt;=$B$46,Source_Data!Y$6&lt;$B$46+3*Inputs!$B$16,MOD(Source_Data!Y$6-$B$46,3)=0),Inputs!$B$8*Inputs!$B$7*Inputs!$B$34*$B$41*(1-Inputs!$B$15)/Inputs!$B$16,0)</f>
        <v>62.5806451612903</v>
      </c>
      <c r="Z55" s="33" t="n">
        <f aca="false">IF(Source_Data!Z$6=Inputs!$B$12,-Inputs!$B$7,0)+IF(AND(Source_Data!Z$6&gt;=$B$46,Source_Data!Z$6&lt;$B$46+3*Inputs!$B$16,MOD(Source_Data!Z$6-$B$46,3)=0),Inputs!$B$8*Inputs!$B$7*Inputs!$B$34*$B$41*(1-Inputs!$B$15)/Inputs!$B$16,0)</f>
        <v>62.5806451612903</v>
      </c>
      <c r="AA55" s="33" t="n">
        <f aca="false">IF(Source_Data!AA$6=Inputs!$B$12,-Inputs!$B$7,0)+IF(AND(Source_Data!AA$6&gt;=$B$46,Source_Data!AA$6&lt;$B$46+3*Inputs!$B$16,MOD(Source_Data!AA$6-$B$46,3)=0),Inputs!$B$8*Inputs!$B$7*Inputs!$B$34*$B$41*(1-Inputs!$B$15)/Inputs!$B$16,0)</f>
        <v>62.5806451612903</v>
      </c>
      <c r="AB55" s="33" t="n">
        <f aca="false">IF(Source_Data!AB$6=Inputs!$B$12,-Inputs!$B$7,0)+IF(AND(Source_Data!AB$6&gt;=$B$46,Source_Data!AB$6&lt;$B$46+3*Inputs!$B$16,MOD(Source_Data!AB$6-$B$46,3)=0),Inputs!$B$8*Inputs!$B$7*Inputs!$B$34*$B$41*(1-Inputs!$B$15)/Inputs!$B$16,0)</f>
        <v>0</v>
      </c>
      <c r="AC55" s="33" t="n">
        <f aca="false">IF(Source_Data!AC$6=Inputs!$B$12,-Inputs!$B$7,0)+IF(AND(Source_Data!AC$6&gt;=$B$46,Source_Data!AC$6&lt;$B$46+3*Inputs!$B$16,MOD(Source_Data!AC$6-$B$46,3)=0),Inputs!$B$8*Inputs!$B$7*Inputs!$B$34*$B$41*(1-Inputs!$B$15)/Inputs!$B$16,0)</f>
        <v>0</v>
      </c>
      <c r="AD55" s="33" t="n">
        <f aca="false">IF(Source_Data!AD$6=Inputs!$B$12,-Inputs!$B$7,0)+IF(AND(Source_Data!AD$6&gt;=$B$46,Source_Data!AD$6&lt;$B$46+3*Inputs!$B$16,MOD(Source_Data!AD$6-$B$46,3)=0),Inputs!$B$8*Inputs!$B$7*Inputs!$B$34*$B$41*(1-Inputs!$B$15)/Inputs!$B$16,0)</f>
        <v>0</v>
      </c>
      <c r="AE55" s="33" t="n">
        <f aca="false">IF(Source_Data!AE$6=Inputs!$B$12,-Inputs!$B$7,0)+IF(AND(Source_Data!AE$6&gt;=$B$46,Source_Data!AE$6&lt;$B$46+3*Inputs!$B$16,MOD(Source_Data!AE$6-$B$46,3)=0),Inputs!$B$8*Inputs!$B$7*Inputs!$B$34*$B$41*(1-Inputs!$B$15)/Inputs!$B$16,0)</f>
        <v>0</v>
      </c>
      <c r="AF55" s="33" t="n">
        <f aca="false">IF(Source_Data!AF$6=Inputs!$B$12,-Inputs!$B$7,0)+IF(AND(Source_Data!AF$6&gt;=$B$46,Source_Data!AF$6&lt;$B$46+3*Inputs!$B$16,MOD(Source_Data!AF$6-$B$46,3)=0),Inputs!$B$8*Inputs!$B$7*Inputs!$B$34*$B$41*(1-Inputs!$B$15)/Inputs!$B$16,0)</f>
        <v>0</v>
      </c>
      <c r="AG55" s="33" t="n">
        <f aca="false">IF(Source_Data!AG$6=Inputs!$B$12,-Inputs!$B$7,0)+IF(AND(Source_Data!AG$6&gt;=$B$46,Source_Data!AG$6&lt;$B$46+3*Inputs!$B$16,MOD(Source_Data!AG$6-$B$46,3)=0),Inputs!$B$8*Inputs!$B$7*Inputs!$B$34*$B$41*(1-Inputs!$B$15)/Inputs!$B$16,0)</f>
        <v>0</v>
      </c>
      <c r="AH55" s="33" t="n">
        <f aca="false">IF(Source_Data!AH$6=Inputs!$B$12,-Inputs!$B$7,0)+IF(AND(Source_Data!AH$6&gt;=$B$46,Source_Data!AH$6&lt;$B$46+3*Inputs!$B$16,MOD(Source_Data!AH$6-$B$46,3)=0),Inputs!$B$8*Inputs!$B$7*Inputs!$B$34*$B$41*(1-Inputs!$B$15)/Inputs!$B$16,0)</f>
        <v>0</v>
      </c>
      <c r="AI55" s="33" t="n">
        <f aca="false">IF(Source_Data!AI$6=Inputs!$B$12,-Inputs!$B$7,0)+IF(AND(Source_Data!AI$6&gt;=$B$46,Source_Data!AI$6&lt;$B$46+3*Inputs!$B$16,MOD(Source_Data!AI$6-$B$46,3)=0),Inputs!$B$8*Inputs!$B$7*Inputs!$B$34*$B$41*(1-Inputs!$B$15)/Inputs!$B$16,0)</f>
        <v>0</v>
      </c>
      <c r="AJ55" s="33" t="n">
        <f aca="false">IF(Source_Data!AJ$6=Inputs!$B$12,-Inputs!$B$7,0)+IF(AND(Source_Data!AJ$6&gt;=$B$46,Source_Data!AJ$6&lt;$B$46+3*Inputs!$B$16,MOD(Source_Data!AJ$6-$B$46,3)=0),Inputs!$B$8*Inputs!$B$7*Inputs!$B$34*$B$41*(1-Inputs!$B$15)/Inputs!$B$16,0)</f>
        <v>0</v>
      </c>
      <c r="AK55" s="33" t="n">
        <f aca="false">IF(Source_Data!AK$6=Inputs!$B$12,-Inputs!$B$7,0)+IF(AND(Source_Data!AK$6&gt;=$B$46,Source_Data!AK$6&lt;$B$46+3*Inputs!$B$16,MOD(Source_Data!AK$6-$B$46,3)=0),Inputs!$B$8*Inputs!$B$7*Inputs!$B$34*$B$41*(1-Inputs!$B$15)/Inputs!$B$16,0)</f>
        <v>0</v>
      </c>
      <c r="AL55" s="33" t="n">
        <f aca="false">IF(Source_Data!AL$6=Inputs!$B$12,-Inputs!$B$7,0)+IF(AND(Source_Data!AL$6&gt;=$B$46,Source_Data!AL$6&lt;$B$46+3*Inputs!$B$16,MOD(Source_Data!AL$6-$B$46,3)=0),Inputs!$B$8*Inputs!$B$7*Inputs!$B$34*$B$41*(1-Inputs!$B$15)/Inputs!$B$16,0)</f>
        <v>0</v>
      </c>
      <c r="AM55" s="33" t="n">
        <f aca="false">IF(Source_Data!AM$6=Inputs!$B$12,-Inputs!$B$7,0)+IF(AND(Source_Data!AM$6&gt;=$B$46,Source_Data!AM$6&lt;$B$46+3*Inputs!$B$16,MOD(Source_Data!AM$6-$B$46,3)=0),Inputs!$B$8*Inputs!$B$7*Inputs!$B$34*$B$41*(1-Inputs!$B$15)/Inputs!$B$16,0)</f>
        <v>0</v>
      </c>
      <c r="AN55" s="33" t="n">
        <f aca="false">IF(Source_Data!AN$6=Inputs!$B$12,-Inputs!$B$7,0)+IF(AND(Source_Data!AN$6&gt;=$B$46,Source_Data!AN$6&lt;$B$46+3*Inputs!$B$16,MOD(Source_Data!AN$6-$B$46,3)=0),Inputs!$B$8*Inputs!$B$7*Inputs!$B$34*$B$41*(1-Inputs!$B$15)/Inputs!$B$16,0)</f>
        <v>0</v>
      </c>
      <c r="AO55" s="33" t="n">
        <f aca="false">IF(Source_Data!AO$6=Inputs!$B$12,-Inputs!$B$7,0)+IF(AND(Source_Data!AO$6&gt;=$B$46,Source_Data!AO$6&lt;$B$46+3*Inputs!$B$16,MOD(Source_Data!AO$6-$B$46,3)=0),Inputs!$B$8*Inputs!$B$7*Inputs!$B$34*$B$41*(1-Inputs!$B$15)/Inputs!$B$16,0)</f>
        <v>0</v>
      </c>
      <c r="AP55" s="33" t="n">
        <f aca="false">IF(Source_Data!AP$6=Inputs!$B$12,-Inputs!$B$7,0)+IF(AND(Source_Data!AP$6&gt;=$B$46,Source_Data!AP$6&lt;$B$46+3*Inputs!$B$16,MOD(Source_Data!AP$6-$B$46,3)=0),Inputs!$B$8*Inputs!$B$7*Inputs!$B$34*$B$41*(1-Inputs!$B$15)/Inputs!$B$16,0)</f>
        <v>0</v>
      </c>
      <c r="AQ55" s="33" t="n">
        <f aca="false">IF(Source_Data!AQ$6=Inputs!$B$12,-Inputs!$B$7,0)+IF(AND(Source_Data!AQ$6&gt;=$B$46,Source_Data!AQ$6&lt;$B$46+3*Inputs!$B$16,MOD(Source_Data!AQ$6-$B$46,3)=0),Inputs!$B$8*Inputs!$B$7*Inputs!$B$34*$B$41*(1-Inputs!$B$15)/Inputs!$B$16,0)</f>
        <v>0</v>
      </c>
      <c r="AR55" s="33" t="n">
        <f aca="false">IF(Source_Data!AR$6=Inputs!$B$12,-Inputs!$B$7,0)+IF(AND(Source_Data!AR$6&gt;=$B$46,Source_Data!AR$6&lt;$B$46+3*Inputs!$B$16,MOD(Source_Data!AR$6-$B$46,3)=0),Inputs!$B$8*Inputs!$B$7*Inputs!$B$34*$B$41*(1-Inputs!$B$15)/Inputs!$B$16,0)</f>
        <v>0</v>
      </c>
      <c r="AS55" s="33" t="n">
        <f aca="false">IF(Source_Data!AS$6=Inputs!$B$12,-Inputs!$B$7,0)+IF(AND(Source_Data!AS$6&gt;=$B$46,Source_Data!AS$6&lt;$B$46+3*Inputs!$B$16,MOD(Source_Data!AS$6-$B$46,3)=0),Inputs!$B$8*Inputs!$B$7*Inputs!$B$34*$B$41*(1-Inputs!$B$15)/Inputs!$B$16,0)</f>
        <v>0</v>
      </c>
      <c r="AT55" s="33" t="n">
        <f aca="false">IF(Source_Data!AT$6=Inputs!$B$12,-Inputs!$B$7,0)+IF(AND(Source_Data!AT$6&gt;=$B$46,Source_Data!AT$6&lt;$B$46+3*Inputs!$B$16,MOD(Source_Data!AT$6-$B$46,3)=0),Inputs!$B$8*Inputs!$B$7*Inputs!$B$34*$B$41*(1-Inputs!$B$15)/Inputs!$B$16,0)</f>
        <v>0</v>
      </c>
      <c r="AU55" s="33" t="n">
        <f aca="false">IF(Source_Data!AU$6=Inputs!$B$12,-Inputs!$B$7,0)+IF(AND(Source_Data!AU$6&gt;=$B$46,Source_Data!AU$6&lt;$B$46+3*Inputs!$B$16,MOD(Source_Data!AU$6-$B$46,3)=0),Inputs!$B$8*Inputs!$B$7*Inputs!$B$34*$B$41*(1-Inputs!$B$15)/Inputs!$B$16,0)</f>
        <v>0</v>
      </c>
      <c r="AV55" s="33" t="n">
        <f aca="false">IF(Source_Data!AV$6=Inputs!$B$12,-Inputs!$B$7,0)+IF(AND(Source_Data!AV$6&gt;=$B$46,Source_Data!AV$6&lt;$B$46+3*Inputs!$B$16,MOD(Source_Data!AV$6-$B$46,3)=0),Inputs!$B$8*Inputs!$B$7*Inputs!$B$34*$B$41*(1-Inputs!$B$15)/Inputs!$B$16,0)</f>
        <v>0</v>
      </c>
      <c r="AW55" s="33" t="n">
        <f aca="false">IF(Source_Data!AW$6=Inputs!$B$12,-Inputs!$B$7,0)+IF(AND(Source_Data!AW$6&gt;=$B$46,Source_Data!AW$6&lt;$B$46+3*Inputs!$B$16,MOD(Source_Data!AW$6-$B$46,3)=0),Inputs!$B$8*Inputs!$B$7*Inputs!$B$34*$B$41*(1-Inputs!$B$15)/Inputs!$B$16,0)</f>
        <v>0</v>
      </c>
      <c r="AX55" s="33" t="n">
        <f aca="false">IF(Source_Data!AX$6=Inputs!$B$12,-Inputs!$B$7,0)+IF(AND(Source_Data!AX$6&gt;=$B$46,Source_Data!AX$6&lt;$B$46+3*Inputs!$B$16,MOD(Source_Data!AX$6-$B$46,3)=0),Inputs!$B$8*Inputs!$B$7*Inputs!$B$34*$B$41*(1-Inputs!$B$15)/Inputs!$B$16,0)</f>
        <v>0</v>
      </c>
      <c r="AY55" s="33" t="n">
        <f aca="false">IF(Source_Data!AY$6=Inputs!$B$12,-Inputs!$B$7,0)+IF(AND(Source_Data!AY$6&gt;=$B$46,Source_Data!AY$6&lt;$B$46+3*Inputs!$B$16,MOD(Source_Data!AY$6-$B$46,3)=0),Inputs!$B$8*Inputs!$B$7*Inputs!$B$34*$B$41*(1-Inputs!$B$15)/Inputs!$B$16,0)</f>
        <v>0</v>
      </c>
      <c r="AZ55" s="33" t="n">
        <f aca="false">IF(Source_Data!AZ$6=Inputs!$B$12,-Inputs!$B$7,0)+IF(AND(Source_Data!AZ$6&gt;=$B$46,Source_Data!AZ$6&lt;$B$46+3*Inputs!$B$16,MOD(Source_Data!AZ$6-$B$46,3)=0),Inputs!$B$8*Inputs!$B$7*Inputs!$B$34*$B$41*(1-Inputs!$B$15)/Inputs!$B$16,0)</f>
        <v>0</v>
      </c>
      <c r="BA55" s="33" t="n">
        <f aca="false">IF(Source_Data!BA$6=Inputs!$B$12,-Inputs!$B$7,0)+IF(AND(Source_Data!BA$6&gt;=$B$46,Source_Data!BA$6&lt;$B$46+3*Inputs!$B$16,MOD(Source_Data!BA$6-$B$46,3)=0),Inputs!$B$8*Inputs!$B$7*Inputs!$B$34*$B$41*(1-Inputs!$B$15)/Inputs!$B$16,0)</f>
        <v>0</v>
      </c>
      <c r="BB55" s="33" t="n">
        <f aca="false">IF(Source_Data!BB$6=Inputs!$B$12,-Inputs!$B$7,0)+IF(AND(Source_Data!BB$6&gt;=$B$46,Source_Data!BB$6&lt;$B$46+3*Inputs!$B$16,MOD(Source_Data!BB$6-$B$46,3)=0),Inputs!$B$8*Inputs!$B$7*Inputs!$B$34*$B$41*(1-Inputs!$B$15)/Inputs!$B$16,0)</f>
        <v>0</v>
      </c>
      <c r="BC55" s="33" t="n">
        <f aca="false">IF(Source_Data!BC$6=Inputs!$B$12,-Inputs!$B$7,0)+IF(AND(Source_Data!BC$6&gt;=$B$46,Source_Data!BC$6&lt;$B$46+3*Inputs!$B$16,MOD(Source_Data!BC$6-$B$46,3)=0),Inputs!$B$8*Inputs!$B$7*Inputs!$B$34*$B$41*(1-Inputs!$B$15)/Inputs!$B$16,0)</f>
        <v>0</v>
      </c>
      <c r="BD55" s="33" t="n">
        <f aca="false">IF(Source_Data!BD$6=Inputs!$B$12,-Inputs!$B$7,0)+IF(AND(Source_Data!BD$6&gt;=$B$46,Source_Data!BD$6&lt;$B$46+3*Inputs!$B$16,MOD(Source_Data!BD$6-$B$46,3)=0),Inputs!$B$8*Inputs!$B$7*Inputs!$B$34*$B$41*(1-Inputs!$B$15)/Inputs!$B$16,0)</f>
        <v>0</v>
      </c>
      <c r="BE55" s="33" t="n">
        <f aca="false">IF(Source_Data!BE$6=Inputs!$B$12,-Inputs!$B$7,0)+IF(AND(Source_Data!BE$6&gt;=$B$46,Source_Data!BE$6&lt;$B$46+3*Inputs!$B$16,MOD(Source_Data!BE$6-$B$46,3)=0),Inputs!$B$8*Inputs!$B$7*Inputs!$B$34*$B$41*(1-Inputs!$B$15)/Inputs!$B$16,0)</f>
        <v>0</v>
      </c>
      <c r="BF55" s="33" t="n">
        <f aca="false">IF(Source_Data!BF$6=Inputs!$B$12,-Inputs!$B$7,0)+IF(AND(Source_Data!BF$6&gt;=$B$46,Source_Data!BF$6&lt;$B$46+3*Inputs!$B$16,MOD(Source_Data!BF$6-$B$46,3)=0),Inputs!$B$8*Inputs!$B$7*Inputs!$B$34*$B$41*(1-Inputs!$B$15)/Inputs!$B$16,0)</f>
        <v>0</v>
      </c>
      <c r="BG55" s="33" t="n">
        <f aca="false">IF(Source_Data!BG$6=Inputs!$B$12,-Inputs!$B$7,0)+IF(AND(Source_Data!BG$6&gt;=$B$46,Source_Data!BG$6&lt;$B$46+3*Inputs!$B$16,MOD(Source_Data!BG$6-$B$46,3)=0),Inputs!$B$8*Inputs!$B$7*Inputs!$B$34*$B$41*(1-Inputs!$B$15)/Inputs!$B$16,0)</f>
        <v>0</v>
      </c>
      <c r="BH55" s="33" t="n">
        <f aca="false">IF(Source_Data!BH$6=Inputs!$B$12,-Inputs!$B$7,0)+IF(AND(Source_Data!BH$6&gt;=$B$46,Source_Data!BH$6&lt;$B$46+3*Inputs!$B$16,MOD(Source_Data!BH$6-$B$46,3)=0),Inputs!$B$8*Inputs!$B$7*Inputs!$B$34*$B$41*(1-Inputs!$B$15)/Inputs!$B$16,0)</f>
        <v>0</v>
      </c>
      <c r="BI55" s="33" t="n">
        <f aca="false">IF(Source_Data!BI$6=Inputs!$B$12,-Inputs!$B$7,0)+IF(AND(Source_Data!BI$6&gt;=$B$46,Source_Data!BI$6&lt;$B$46+3*Inputs!$B$16,MOD(Source_Data!BI$6-$B$46,3)=0),Inputs!$B$8*Inputs!$B$7*Inputs!$B$34*$B$41*(1-Inputs!$B$15)/Inputs!$B$16,0)</f>
        <v>0</v>
      </c>
      <c r="BJ55" s="33" t="n">
        <f aca="false">IF(Source_Data!BJ$6=Inputs!$B$12,-Inputs!$B$7,0)+IF(AND(Source_Data!BJ$6&gt;=$B$46,Source_Data!BJ$6&lt;$B$46+3*Inputs!$B$16,MOD(Source_Data!BJ$6-$B$46,3)=0),Inputs!$B$8*Inputs!$B$7*Inputs!$B$34*$B$41*(1-Inputs!$B$15)/Inputs!$B$16,0)</f>
        <v>0</v>
      </c>
      <c r="BK55" s="33" t="n">
        <f aca="false">IF(Source_Data!BK$6=Inputs!$B$12,-Inputs!$B$7,0)+IF(AND(Source_Data!BK$6&gt;=$B$46,Source_Data!BK$6&lt;$B$46+3*Inputs!$B$16,MOD(Source_Data!BK$6-$B$46,3)=0),Inputs!$B$8*Inputs!$B$7*Inputs!$B$34*$B$41*(1-Inputs!$B$15)/Inputs!$B$16,0)</f>
        <v>0</v>
      </c>
    </row>
    <row r="56" customFormat="false" ht="15" hidden="false" customHeight="false" outlineLevel="0" collapsed="false">
      <c r="A56" s="3" t="s">
        <v>341</v>
      </c>
      <c r="D56" s="33" t="n">
        <f aca="false">IF(AND(Source_Data!D$6&gt;=Inputs!$B$54,Source_Data!D$6&lt;Inputs!$B$54+3*Inputs!$B$11),Inputs!$B$9*Inputs!$B$7/Inputs!$B$11,0)</f>
        <v>0</v>
      </c>
      <c r="E56" s="33" t="n">
        <f aca="false">IF(AND(Source_Data!E$6&gt;=Inputs!$B$54,Source_Data!E$6&lt;Inputs!$B$54+3*Inputs!$B$11),Inputs!$B$9*Inputs!$B$7/Inputs!$B$11,0)</f>
        <v>0</v>
      </c>
      <c r="F56" s="33" t="n">
        <f aca="false">IF(AND(Source_Data!F$6&gt;=Inputs!$B$54,Source_Data!F$6&lt;Inputs!$B$54+3*Inputs!$B$11),Inputs!$B$9*Inputs!$B$7/Inputs!$B$11,0)</f>
        <v>0</v>
      </c>
      <c r="G56" s="33" t="n">
        <f aca="false">IF(AND(Source_Data!G$6&gt;=Inputs!$B$54,Source_Data!G$6&lt;Inputs!$B$54+3*Inputs!$B$11),Inputs!$B$9*Inputs!$B$7/Inputs!$B$11,0)</f>
        <v>0</v>
      </c>
      <c r="H56" s="33" t="n">
        <f aca="false">IF(AND(Source_Data!H$6&gt;=Inputs!$B$54,Source_Data!H$6&lt;Inputs!$B$54+3*Inputs!$B$11),Inputs!$B$9*Inputs!$B$7/Inputs!$B$11,0)</f>
        <v>0</v>
      </c>
      <c r="I56" s="33" t="n">
        <f aca="false">IF(AND(Source_Data!I$6&gt;=Inputs!$B$54,Source_Data!I$6&lt;Inputs!$B$54+3*Inputs!$B$11),Inputs!$B$9*Inputs!$B$7/Inputs!$B$11,0)</f>
        <v>0</v>
      </c>
      <c r="J56" s="33" t="n">
        <f aca="false">IF(AND(Source_Data!J$6&gt;=Inputs!$B$54,Source_Data!J$6&lt;Inputs!$B$54+3*Inputs!$B$11),Inputs!$B$9*Inputs!$B$7/Inputs!$B$11,0)</f>
        <v>0</v>
      </c>
      <c r="K56" s="33" t="n">
        <f aca="false">IF(AND(Source_Data!K$6&gt;=Inputs!$B$54,Source_Data!K$6&lt;Inputs!$B$54+3*Inputs!$B$11),Inputs!$B$9*Inputs!$B$7/Inputs!$B$11,0)</f>
        <v>0</v>
      </c>
      <c r="L56" s="33" t="n">
        <f aca="false">IF(AND(Source_Data!L$6&gt;=Inputs!$B$54,Source_Data!L$6&lt;Inputs!$B$54+3*Inputs!$B$11),Inputs!$B$9*Inputs!$B$7/Inputs!$B$11,0)</f>
        <v>0</v>
      </c>
      <c r="M56" s="33" t="n">
        <f aca="false">IF(AND(Source_Data!M$6&gt;=Inputs!$B$54,Source_Data!M$6&lt;Inputs!$B$54+3*Inputs!$B$11),Inputs!$B$9*Inputs!$B$7/Inputs!$B$11,0)</f>
        <v>19.1666666666667</v>
      </c>
      <c r="N56" s="33" t="n">
        <f aca="false">IF(AND(Source_Data!N$6&gt;=Inputs!$B$54,Source_Data!N$6&lt;Inputs!$B$54+3*Inputs!$B$11),Inputs!$B$9*Inputs!$B$7/Inputs!$B$11,0)</f>
        <v>19.1666666666667</v>
      </c>
      <c r="O56" s="33" t="n">
        <f aca="false">IF(AND(Source_Data!O$6&gt;=Inputs!$B$54,Source_Data!O$6&lt;Inputs!$B$54+3*Inputs!$B$11),Inputs!$B$9*Inputs!$B$7/Inputs!$B$11,0)</f>
        <v>19.1666666666667</v>
      </c>
      <c r="P56" s="33" t="n">
        <f aca="false">IF(AND(Source_Data!P$6&gt;=Inputs!$B$54,Source_Data!P$6&lt;Inputs!$B$54+3*Inputs!$B$11),Inputs!$B$9*Inputs!$B$7/Inputs!$B$11,0)</f>
        <v>19.1666666666667</v>
      </c>
      <c r="Q56" s="33" t="n">
        <f aca="false">IF(AND(Source_Data!Q$6&gt;=Inputs!$B$54,Source_Data!Q$6&lt;Inputs!$B$54+3*Inputs!$B$11),Inputs!$B$9*Inputs!$B$7/Inputs!$B$11,0)</f>
        <v>19.1666666666667</v>
      </c>
      <c r="R56" s="33" t="n">
        <f aca="false">IF(AND(Source_Data!R$6&gt;=Inputs!$B$54,Source_Data!R$6&lt;Inputs!$B$54+3*Inputs!$B$11),Inputs!$B$9*Inputs!$B$7/Inputs!$B$11,0)</f>
        <v>19.1666666666667</v>
      </c>
      <c r="S56" s="33" t="n">
        <f aca="false">IF(AND(Source_Data!S$6&gt;=Inputs!$B$54,Source_Data!S$6&lt;Inputs!$B$54+3*Inputs!$B$11),Inputs!$B$9*Inputs!$B$7/Inputs!$B$11,0)</f>
        <v>19.1666666666667</v>
      </c>
      <c r="T56" s="33" t="n">
        <f aca="false">IF(AND(Source_Data!T$6&gt;=Inputs!$B$54,Source_Data!T$6&lt;Inputs!$B$54+3*Inputs!$B$11),Inputs!$B$9*Inputs!$B$7/Inputs!$B$11,0)</f>
        <v>19.1666666666667</v>
      </c>
      <c r="U56" s="33" t="n">
        <f aca="false">IF(AND(Source_Data!U$6&gt;=Inputs!$B$54,Source_Data!U$6&lt;Inputs!$B$54+3*Inputs!$B$11),Inputs!$B$9*Inputs!$B$7/Inputs!$B$11,0)</f>
        <v>19.1666666666667</v>
      </c>
      <c r="V56" s="33" t="n">
        <f aca="false">IF(AND(Source_Data!V$6&gt;=Inputs!$B$54,Source_Data!V$6&lt;Inputs!$B$54+3*Inputs!$B$11),Inputs!$B$9*Inputs!$B$7/Inputs!$B$11,0)</f>
        <v>19.1666666666667</v>
      </c>
      <c r="W56" s="33" t="n">
        <f aca="false">IF(AND(Source_Data!W$6&gt;=Inputs!$B$54,Source_Data!W$6&lt;Inputs!$B$54+3*Inputs!$B$11),Inputs!$B$9*Inputs!$B$7/Inputs!$B$11,0)</f>
        <v>19.1666666666667</v>
      </c>
      <c r="X56" s="33" t="n">
        <f aca="false">IF(AND(Source_Data!X$6&gt;=Inputs!$B$54,Source_Data!X$6&lt;Inputs!$B$54+3*Inputs!$B$11),Inputs!$B$9*Inputs!$B$7/Inputs!$B$11,0)</f>
        <v>19.1666666666667</v>
      </c>
      <c r="Y56" s="33" t="n">
        <f aca="false">IF(AND(Source_Data!Y$6&gt;=Inputs!$B$54,Source_Data!Y$6&lt;Inputs!$B$54+3*Inputs!$B$11),Inputs!$B$9*Inputs!$B$7/Inputs!$B$11,0)</f>
        <v>0</v>
      </c>
      <c r="Z56" s="33" t="n">
        <f aca="false">IF(AND(Source_Data!Z$6&gt;=Inputs!$B$54,Source_Data!Z$6&lt;Inputs!$B$54+3*Inputs!$B$11),Inputs!$B$9*Inputs!$B$7/Inputs!$B$11,0)</f>
        <v>0</v>
      </c>
      <c r="AA56" s="33" t="n">
        <f aca="false">IF(AND(Source_Data!AA$6&gt;=Inputs!$B$54,Source_Data!AA$6&lt;Inputs!$B$54+3*Inputs!$B$11),Inputs!$B$9*Inputs!$B$7/Inputs!$B$11,0)</f>
        <v>0</v>
      </c>
      <c r="AB56" s="33" t="n">
        <f aca="false">IF(AND(Source_Data!AB$6&gt;=Inputs!$B$54,Source_Data!AB$6&lt;Inputs!$B$54+3*Inputs!$B$11),Inputs!$B$9*Inputs!$B$7/Inputs!$B$11,0)</f>
        <v>0</v>
      </c>
      <c r="AC56" s="33" t="n">
        <f aca="false">IF(AND(Source_Data!AC$6&gt;=Inputs!$B$54,Source_Data!AC$6&lt;Inputs!$B$54+3*Inputs!$B$11),Inputs!$B$9*Inputs!$B$7/Inputs!$B$11,0)</f>
        <v>0</v>
      </c>
      <c r="AD56" s="33" t="n">
        <f aca="false">IF(AND(Source_Data!AD$6&gt;=Inputs!$B$54,Source_Data!AD$6&lt;Inputs!$B$54+3*Inputs!$B$11),Inputs!$B$9*Inputs!$B$7/Inputs!$B$11,0)</f>
        <v>0</v>
      </c>
      <c r="AE56" s="33" t="n">
        <f aca="false">IF(AND(Source_Data!AE$6&gt;=Inputs!$B$54,Source_Data!AE$6&lt;Inputs!$B$54+3*Inputs!$B$11),Inputs!$B$9*Inputs!$B$7/Inputs!$B$11,0)</f>
        <v>0</v>
      </c>
      <c r="AF56" s="33" t="n">
        <f aca="false">IF(AND(Source_Data!AF$6&gt;=Inputs!$B$54,Source_Data!AF$6&lt;Inputs!$B$54+3*Inputs!$B$11),Inputs!$B$9*Inputs!$B$7/Inputs!$B$11,0)</f>
        <v>0</v>
      </c>
      <c r="AG56" s="33" t="n">
        <f aca="false">IF(AND(Source_Data!AG$6&gt;=Inputs!$B$54,Source_Data!AG$6&lt;Inputs!$B$54+3*Inputs!$B$11),Inputs!$B$9*Inputs!$B$7/Inputs!$B$11,0)</f>
        <v>0</v>
      </c>
      <c r="AH56" s="33" t="n">
        <f aca="false">IF(AND(Source_Data!AH$6&gt;=Inputs!$B$54,Source_Data!AH$6&lt;Inputs!$B$54+3*Inputs!$B$11),Inputs!$B$9*Inputs!$B$7/Inputs!$B$11,0)</f>
        <v>0</v>
      </c>
      <c r="AI56" s="33" t="n">
        <f aca="false">IF(AND(Source_Data!AI$6&gt;=Inputs!$B$54,Source_Data!AI$6&lt;Inputs!$B$54+3*Inputs!$B$11),Inputs!$B$9*Inputs!$B$7/Inputs!$B$11,0)</f>
        <v>0</v>
      </c>
      <c r="AJ56" s="33" t="n">
        <f aca="false">IF(AND(Source_Data!AJ$6&gt;=Inputs!$B$54,Source_Data!AJ$6&lt;Inputs!$B$54+3*Inputs!$B$11),Inputs!$B$9*Inputs!$B$7/Inputs!$B$11,0)</f>
        <v>0</v>
      </c>
      <c r="AK56" s="33" t="n">
        <f aca="false">IF(AND(Source_Data!AK$6&gt;=Inputs!$B$54,Source_Data!AK$6&lt;Inputs!$B$54+3*Inputs!$B$11),Inputs!$B$9*Inputs!$B$7/Inputs!$B$11,0)</f>
        <v>0</v>
      </c>
      <c r="AL56" s="33" t="n">
        <f aca="false">IF(AND(Source_Data!AL$6&gt;=Inputs!$B$54,Source_Data!AL$6&lt;Inputs!$B$54+3*Inputs!$B$11),Inputs!$B$9*Inputs!$B$7/Inputs!$B$11,0)</f>
        <v>0</v>
      </c>
      <c r="AM56" s="33" t="n">
        <f aca="false">IF(AND(Source_Data!AM$6&gt;=Inputs!$B$54,Source_Data!AM$6&lt;Inputs!$B$54+3*Inputs!$B$11),Inputs!$B$9*Inputs!$B$7/Inputs!$B$11,0)</f>
        <v>0</v>
      </c>
      <c r="AN56" s="33" t="n">
        <f aca="false">IF(AND(Source_Data!AN$6&gt;=Inputs!$B$54,Source_Data!AN$6&lt;Inputs!$B$54+3*Inputs!$B$11),Inputs!$B$9*Inputs!$B$7/Inputs!$B$11,0)</f>
        <v>0</v>
      </c>
      <c r="AO56" s="33" t="n">
        <f aca="false">IF(AND(Source_Data!AO$6&gt;=Inputs!$B$54,Source_Data!AO$6&lt;Inputs!$B$54+3*Inputs!$B$11),Inputs!$B$9*Inputs!$B$7/Inputs!$B$11,0)</f>
        <v>0</v>
      </c>
      <c r="AP56" s="33" t="n">
        <f aca="false">IF(AND(Source_Data!AP$6&gt;=Inputs!$B$54,Source_Data!AP$6&lt;Inputs!$B$54+3*Inputs!$B$11),Inputs!$B$9*Inputs!$B$7/Inputs!$B$11,0)</f>
        <v>0</v>
      </c>
      <c r="AQ56" s="33" t="n">
        <f aca="false">IF(AND(Source_Data!AQ$6&gt;=Inputs!$B$54,Source_Data!AQ$6&lt;Inputs!$B$54+3*Inputs!$B$11),Inputs!$B$9*Inputs!$B$7/Inputs!$B$11,0)</f>
        <v>0</v>
      </c>
      <c r="AR56" s="33" t="n">
        <f aca="false">IF(AND(Source_Data!AR$6&gt;=Inputs!$B$54,Source_Data!AR$6&lt;Inputs!$B$54+3*Inputs!$B$11),Inputs!$B$9*Inputs!$B$7/Inputs!$B$11,0)</f>
        <v>0</v>
      </c>
      <c r="AS56" s="33" t="n">
        <f aca="false">IF(AND(Source_Data!AS$6&gt;=Inputs!$B$54,Source_Data!AS$6&lt;Inputs!$B$54+3*Inputs!$B$11),Inputs!$B$9*Inputs!$B$7/Inputs!$B$11,0)</f>
        <v>0</v>
      </c>
      <c r="AT56" s="33" t="n">
        <f aca="false">IF(AND(Source_Data!AT$6&gt;=Inputs!$B$54,Source_Data!AT$6&lt;Inputs!$B$54+3*Inputs!$B$11),Inputs!$B$9*Inputs!$B$7/Inputs!$B$11,0)</f>
        <v>0</v>
      </c>
      <c r="AU56" s="33" t="n">
        <f aca="false">IF(AND(Source_Data!AU$6&gt;=Inputs!$B$54,Source_Data!AU$6&lt;Inputs!$B$54+3*Inputs!$B$11),Inputs!$B$9*Inputs!$B$7/Inputs!$B$11,0)</f>
        <v>0</v>
      </c>
      <c r="AV56" s="33" t="n">
        <f aca="false">IF(AND(Source_Data!AV$6&gt;=Inputs!$B$54,Source_Data!AV$6&lt;Inputs!$B$54+3*Inputs!$B$11),Inputs!$B$9*Inputs!$B$7/Inputs!$B$11,0)</f>
        <v>0</v>
      </c>
      <c r="AW56" s="33" t="n">
        <f aca="false">IF(AND(Source_Data!AW$6&gt;=Inputs!$B$54,Source_Data!AW$6&lt;Inputs!$B$54+3*Inputs!$B$11),Inputs!$B$9*Inputs!$B$7/Inputs!$B$11,0)</f>
        <v>0</v>
      </c>
      <c r="AX56" s="33" t="n">
        <f aca="false">IF(AND(Source_Data!AX$6&gt;=Inputs!$B$54,Source_Data!AX$6&lt;Inputs!$B$54+3*Inputs!$B$11),Inputs!$B$9*Inputs!$B$7/Inputs!$B$11,0)</f>
        <v>0</v>
      </c>
      <c r="AY56" s="33" t="n">
        <f aca="false">IF(AND(Source_Data!AY$6&gt;=Inputs!$B$54,Source_Data!AY$6&lt;Inputs!$B$54+3*Inputs!$B$11),Inputs!$B$9*Inputs!$B$7/Inputs!$B$11,0)</f>
        <v>0</v>
      </c>
      <c r="AZ56" s="33" t="n">
        <f aca="false">IF(AND(Source_Data!AZ$6&gt;=Inputs!$B$54,Source_Data!AZ$6&lt;Inputs!$B$54+3*Inputs!$B$11),Inputs!$B$9*Inputs!$B$7/Inputs!$B$11,0)</f>
        <v>0</v>
      </c>
      <c r="BA56" s="33" t="n">
        <f aca="false">IF(AND(Source_Data!BA$6&gt;=Inputs!$B$54,Source_Data!BA$6&lt;Inputs!$B$54+3*Inputs!$B$11),Inputs!$B$9*Inputs!$B$7/Inputs!$B$11,0)</f>
        <v>0</v>
      </c>
      <c r="BB56" s="33" t="n">
        <f aca="false">IF(AND(Source_Data!BB$6&gt;=Inputs!$B$54,Source_Data!BB$6&lt;Inputs!$B$54+3*Inputs!$B$11),Inputs!$B$9*Inputs!$B$7/Inputs!$B$11,0)</f>
        <v>0</v>
      </c>
      <c r="BC56" s="33" t="n">
        <f aca="false">IF(AND(Source_Data!BC$6&gt;=Inputs!$B$54,Source_Data!BC$6&lt;Inputs!$B$54+3*Inputs!$B$11),Inputs!$B$9*Inputs!$B$7/Inputs!$B$11,0)</f>
        <v>0</v>
      </c>
      <c r="BD56" s="33" t="n">
        <f aca="false">IF(AND(Source_Data!BD$6&gt;=Inputs!$B$54,Source_Data!BD$6&lt;Inputs!$B$54+3*Inputs!$B$11),Inputs!$B$9*Inputs!$B$7/Inputs!$B$11,0)</f>
        <v>0</v>
      </c>
      <c r="BE56" s="33" t="n">
        <f aca="false">IF(AND(Source_Data!BE$6&gt;=Inputs!$B$54,Source_Data!BE$6&lt;Inputs!$B$54+3*Inputs!$B$11),Inputs!$B$9*Inputs!$B$7/Inputs!$B$11,0)</f>
        <v>0</v>
      </c>
      <c r="BF56" s="33" t="n">
        <f aca="false">IF(AND(Source_Data!BF$6&gt;=Inputs!$B$54,Source_Data!BF$6&lt;Inputs!$B$54+3*Inputs!$B$11),Inputs!$B$9*Inputs!$B$7/Inputs!$B$11,0)</f>
        <v>0</v>
      </c>
      <c r="BG56" s="33" t="n">
        <f aca="false">IF(AND(Source_Data!BG$6&gt;=Inputs!$B$54,Source_Data!BG$6&lt;Inputs!$B$54+3*Inputs!$B$11),Inputs!$B$9*Inputs!$B$7/Inputs!$B$11,0)</f>
        <v>0</v>
      </c>
      <c r="BH56" s="33" t="n">
        <f aca="false">IF(AND(Source_Data!BH$6&gt;=Inputs!$B$54,Source_Data!BH$6&lt;Inputs!$B$54+3*Inputs!$B$11),Inputs!$B$9*Inputs!$B$7/Inputs!$B$11,0)</f>
        <v>0</v>
      </c>
      <c r="BI56" s="33" t="n">
        <f aca="false">IF(AND(Source_Data!BI$6&gt;=Inputs!$B$54,Source_Data!BI$6&lt;Inputs!$B$54+3*Inputs!$B$11),Inputs!$B$9*Inputs!$B$7/Inputs!$B$11,0)</f>
        <v>0</v>
      </c>
      <c r="BJ56" s="33" t="n">
        <f aca="false">IF(AND(Source_Data!BJ$6&gt;=Inputs!$B$54,Source_Data!BJ$6&lt;Inputs!$B$54+3*Inputs!$B$11),Inputs!$B$9*Inputs!$B$7/Inputs!$B$11,0)</f>
        <v>0</v>
      </c>
      <c r="BK56" s="33" t="n">
        <f aca="false">IF(AND(Source_Data!BK$6&gt;=Inputs!$B$54,Source_Data!BK$6&lt;Inputs!$B$54+3*Inputs!$B$11),Inputs!$B$9*Inputs!$B$7/Inputs!$B$11,0)</f>
        <v>0</v>
      </c>
    </row>
    <row r="57" customFormat="false" ht="15" hidden="false" customHeight="false" outlineLevel="0" collapsed="false">
      <c r="A57" s="3" t="s">
        <v>342</v>
      </c>
      <c r="D57" s="33" t="n">
        <f aca="false">IF(Source_Data!D$6=Inputs!$B$12,-Inputs!$B$7,0)+D56</f>
        <v>-100</v>
      </c>
      <c r="E57" s="33" t="n">
        <f aca="false">IF(Source_Data!E$6=Inputs!$B$12,-Inputs!$B$7,0)+E56</f>
        <v>0</v>
      </c>
      <c r="F57" s="33" t="n">
        <f aca="false">IF(Source_Data!F$6=Inputs!$B$12,-Inputs!$B$7,0)+F56</f>
        <v>0</v>
      </c>
      <c r="G57" s="33" t="n">
        <f aca="false">IF(Source_Data!G$6=Inputs!$B$12,-Inputs!$B$7,0)+G56</f>
        <v>0</v>
      </c>
      <c r="H57" s="33" t="n">
        <f aca="false">IF(Source_Data!H$6=Inputs!$B$12,-Inputs!$B$7,0)+H56</f>
        <v>0</v>
      </c>
      <c r="I57" s="33" t="n">
        <f aca="false">IF(Source_Data!I$6=Inputs!$B$12,-Inputs!$B$7,0)+I56</f>
        <v>0</v>
      </c>
      <c r="J57" s="33" t="n">
        <f aca="false">IF(Source_Data!J$6=Inputs!$B$12,-Inputs!$B$7,0)+J56</f>
        <v>0</v>
      </c>
      <c r="K57" s="33" t="n">
        <f aca="false">IF(Source_Data!K$6=Inputs!$B$12,-Inputs!$B$7,0)+K56</f>
        <v>0</v>
      </c>
      <c r="L57" s="33" t="n">
        <f aca="false">IF(Source_Data!L$6=Inputs!$B$12,-Inputs!$B$7,0)+L56</f>
        <v>0</v>
      </c>
      <c r="M57" s="33" t="n">
        <f aca="false">IF(Source_Data!M$6=Inputs!$B$12,-Inputs!$B$7,0)+M56</f>
        <v>19.1666666666667</v>
      </c>
      <c r="N57" s="33" t="n">
        <f aca="false">IF(Source_Data!N$6=Inputs!$B$12,-Inputs!$B$7,0)+N56</f>
        <v>19.1666666666667</v>
      </c>
      <c r="O57" s="33" t="n">
        <f aca="false">IF(Source_Data!O$6=Inputs!$B$12,-Inputs!$B$7,0)+O56</f>
        <v>19.1666666666667</v>
      </c>
      <c r="P57" s="33" t="n">
        <f aca="false">IF(Source_Data!P$6=Inputs!$B$12,-Inputs!$B$7,0)+P56</f>
        <v>19.1666666666667</v>
      </c>
      <c r="Q57" s="33" t="n">
        <f aca="false">IF(Source_Data!Q$6=Inputs!$B$12,-Inputs!$B$7,0)+Q56</f>
        <v>19.1666666666667</v>
      </c>
      <c r="R57" s="33" t="n">
        <f aca="false">IF(Source_Data!R$6=Inputs!$B$12,-Inputs!$B$7,0)+R56</f>
        <v>19.1666666666667</v>
      </c>
      <c r="S57" s="33" t="n">
        <f aca="false">IF(Source_Data!S$6=Inputs!$B$12,-Inputs!$B$7,0)+S56</f>
        <v>19.1666666666667</v>
      </c>
      <c r="T57" s="33" t="n">
        <f aca="false">IF(Source_Data!T$6=Inputs!$B$12,-Inputs!$B$7,0)+T56</f>
        <v>19.1666666666667</v>
      </c>
      <c r="U57" s="33" t="n">
        <f aca="false">IF(Source_Data!U$6=Inputs!$B$12,-Inputs!$B$7,0)+U56</f>
        <v>19.1666666666667</v>
      </c>
      <c r="V57" s="33" t="n">
        <f aca="false">IF(Source_Data!V$6=Inputs!$B$12,-Inputs!$B$7,0)+V56</f>
        <v>19.1666666666667</v>
      </c>
      <c r="W57" s="33" t="n">
        <f aca="false">IF(Source_Data!W$6=Inputs!$B$12,-Inputs!$B$7,0)+W56</f>
        <v>19.1666666666667</v>
      </c>
      <c r="X57" s="33" t="n">
        <f aca="false">IF(Source_Data!X$6=Inputs!$B$12,-Inputs!$B$7,0)+X56</f>
        <v>19.1666666666667</v>
      </c>
      <c r="Y57" s="33" t="n">
        <f aca="false">IF(Source_Data!Y$6=Inputs!$B$12,-Inputs!$B$7,0)+Y56</f>
        <v>0</v>
      </c>
      <c r="Z57" s="33" t="n">
        <f aca="false">IF(Source_Data!Z$6=Inputs!$B$12,-Inputs!$B$7,0)+Z56</f>
        <v>0</v>
      </c>
      <c r="AA57" s="33" t="n">
        <f aca="false">IF(Source_Data!AA$6=Inputs!$B$12,-Inputs!$B$7,0)+AA56</f>
        <v>0</v>
      </c>
      <c r="AB57" s="33" t="n">
        <f aca="false">IF(Source_Data!AB$6=Inputs!$B$12,-Inputs!$B$7,0)+AB56</f>
        <v>0</v>
      </c>
      <c r="AC57" s="33" t="n">
        <f aca="false">IF(Source_Data!AC$6=Inputs!$B$12,-Inputs!$B$7,0)+AC56</f>
        <v>0</v>
      </c>
      <c r="AD57" s="33" t="n">
        <f aca="false">IF(Source_Data!AD$6=Inputs!$B$12,-Inputs!$B$7,0)+AD56</f>
        <v>0</v>
      </c>
      <c r="AE57" s="33" t="n">
        <f aca="false">IF(Source_Data!AE$6=Inputs!$B$12,-Inputs!$B$7,0)+AE56</f>
        <v>0</v>
      </c>
      <c r="AF57" s="33" t="n">
        <f aca="false">IF(Source_Data!AF$6=Inputs!$B$12,-Inputs!$B$7,0)+AF56</f>
        <v>0</v>
      </c>
      <c r="AG57" s="33" t="n">
        <f aca="false">IF(Source_Data!AG$6=Inputs!$B$12,-Inputs!$B$7,0)+AG56</f>
        <v>0</v>
      </c>
      <c r="AH57" s="33" t="n">
        <f aca="false">IF(Source_Data!AH$6=Inputs!$B$12,-Inputs!$B$7,0)+AH56</f>
        <v>0</v>
      </c>
      <c r="AI57" s="33" t="n">
        <f aca="false">IF(Source_Data!AI$6=Inputs!$B$12,-Inputs!$B$7,0)+AI56</f>
        <v>0</v>
      </c>
      <c r="AJ57" s="33" t="n">
        <f aca="false">IF(Source_Data!AJ$6=Inputs!$B$12,-Inputs!$B$7,0)+AJ56</f>
        <v>0</v>
      </c>
      <c r="AK57" s="33" t="n">
        <f aca="false">IF(Source_Data!AK$6=Inputs!$B$12,-Inputs!$B$7,0)+AK56</f>
        <v>0</v>
      </c>
      <c r="AL57" s="33" t="n">
        <f aca="false">IF(Source_Data!AL$6=Inputs!$B$12,-Inputs!$B$7,0)+AL56</f>
        <v>0</v>
      </c>
      <c r="AM57" s="33" t="n">
        <f aca="false">IF(Source_Data!AM$6=Inputs!$B$12,-Inputs!$B$7,0)+AM56</f>
        <v>0</v>
      </c>
      <c r="AN57" s="33" t="n">
        <f aca="false">IF(Source_Data!AN$6=Inputs!$B$12,-Inputs!$B$7,0)+AN56</f>
        <v>0</v>
      </c>
      <c r="AO57" s="33" t="n">
        <f aca="false">IF(Source_Data!AO$6=Inputs!$B$12,-Inputs!$B$7,0)+AO56</f>
        <v>0</v>
      </c>
      <c r="AP57" s="33" t="n">
        <f aca="false">IF(Source_Data!AP$6=Inputs!$B$12,-Inputs!$B$7,0)+AP56</f>
        <v>0</v>
      </c>
      <c r="AQ57" s="33" t="n">
        <f aca="false">IF(Source_Data!AQ$6=Inputs!$B$12,-Inputs!$B$7,0)+AQ56</f>
        <v>0</v>
      </c>
      <c r="AR57" s="33" t="n">
        <f aca="false">IF(Source_Data!AR$6=Inputs!$B$12,-Inputs!$B$7,0)+AR56</f>
        <v>0</v>
      </c>
      <c r="AS57" s="33" t="n">
        <f aca="false">IF(Source_Data!AS$6=Inputs!$B$12,-Inputs!$B$7,0)+AS56</f>
        <v>0</v>
      </c>
      <c r="AT57" s="33" t="n">
        <f aca="false">IF(Source_Data!AT$6=Inputs!$B$12,-Inputs!$B$7,0)+AT56</f>
        <v>0</v>
      </c>
      <c r="AU57" s="33" t="n">
        <f aca="false">IF(Source_Data!AU$6=Inputs!$B$12,-Inputs!$B$7,0)+AU56</f>
        <v>0</v>
      </c>
      <c r="AV57" s="33" t="n">
        <f aca="false">IF(Source_Data!AV$6=Inputs!$B$12,-Inputs!$B$7,0)+AV56</f>
        <v>0</v>
      </c>
      <c r="AW57" s="33" t="n">
        <f aca="false">IF(Source_Data!AW$6=Inputs!$B$12,-Inputs!$B$7,0)+AW56</f>
        <v>0</v>
      </c>
      <c r="AX57" s="33" t="n">
        <f aca="false">IF(Source_Data!AX$6=Inputs!$B$12,-Inputs!$B$7,0)+AX56</f>
        <v>0</v>
      </c>
      <c r="AY57" s="33" t="n">
        <f aca="false">IF(Source_Data!AY$6=Inputs!$B$12,-Inputs!$B$7,0)+AY56</f>
        <v>0</v>
      </c>
      <c r="AZ57" s="33" t="n">
        <f aca="false">IF(Source_Data!AZ$6=Inputs!$B$12,-Inputs!$B$7,0)+AZ56</f>
        <v>0</v>
      </c>
      <c r="BA57" s="33" t="n">
        <f aca="false">IF(Source_Data!BA$6=Inputs!$B$12,-Inputs!$B$7,0)+BA56</f>
        <v>0</v>
      </c>
      <c r="BB57" s="33" t="n">
        <f aca="false">IF(Source_Data!BB$6=Inputs!$B$12,-Inputs!$B$7,0)+BB56</f>
        <v>0</v>
      </c>
      <c r="BC57" s="33" t="n">
        <f aca="false">IF(Source_Data!BC$6=Inputs!$B$12,-Inputs!$B$7,0)+BC56</f>
        <v>0</v>
      </c>
      <c r="BD57" s="33" t="n">
        <f aca="false">IF(Source_Data!BD$6=Inputs!$B$12,-Inputs!$B$7,0)+BD56</f>
        <v>0</v>
      </c>
      <c r="BE57" s="33" t="n">
        <f aca="false">IF(Source_Data!BE$6=Inputs!$B$12,-Inputs!$B$7,0)+BE56</f>
        <v>0</v>
      </c>
      <c r="BF57" s="33" t="n">
        <f aca="false">IF(Source_Data!BF$6=Inputs!$B$12,-Inputs!$B$7,0)+BF56</f>
        <v>0</v>
      </c>
      <c r="BG57" s="33" t="n">
        <f aca="false">IF(Source_Data!BG$6=Inputs!$B$12,-Inputs!$B$7,0)+BG56</f>
        <v>0</v>
      </c>
      <c r="BH57" s="33" t="n">
        <f aca="false">IF(Source_Data!BH$6=Inputs!$B$12,-Inputs!$B$7,0)+BH56</f>
        <v>0</v>
      </c>
      <c r="BI57" s="33" t="n">
        <f aca="false">IF(Source_Data!BI$6=Inputs!$B$12,-Inputs!$B$7,0)+BI56</f>
        <v>0</v>
      </c>
      <c r="BJ57" s="33" t="n">
        <f aca="false">IF(Source_Data!BJ$6=Inputs!$B$12,-Inputs!$B$7,0)+BJ56</f>
        <v>0</v>
      </c>
      <c r="BK57" s="33" t="n">
        <f aca="false">IF(Source_Data!BK$6=Inputs!$B$12,-Inputs!$B$7,0)+BK56</f>
        <v>0</v>
      </c>
    </row>
    <row r="58" customFormat="false" ht="15" hidden="false" customHeight="false" outlineLevel="0" collapsed="false">
      <c r="A58" s="3" t="s">
        <v>343</v>
      </c>
      <c r="D58" s="33" t="n">
        <f aca="false">IF(Source_Data!D$6=Inputs!$B$12,Inputs!$B$7,0)+D53-D56</f>
        <v>8.75</v>
      </c>
      <c r="E58" s="33" t="n">
        <f aca="false">D58+IF(Source_Data!E$6=Inputs!$B$12,Inputs!$B$7,0)+E53-E56</f>
        <v>-2.5</v>
      </c>
      <c r="F58" s="33" t="n">
        <f aca="false">E58+IF(Source_Data!F$6=Inputs!$B$12,Inputs!$B$7,0)+F53-F56</f>
        <v>-13.75</v>
      </c>
      <c r="G58" s="33" t="n">
        <f aca="false">F58+IF(Source_Data!G$6=Inputs!$B$12,Inputs!$B$7,0)+G53-G56</f>
        <v>-25</v>
      </c>
      <c r="H58" s="33" t="n">
        <f aca="false">G58+IF(Source_Data!H$6=Inputs!$B$12,Inputs!$B$7,0)+H53-H56</f>
        <v>-70.5</v>
      </c>
      <c r="I58" s="33" t="n">
        <f aca="false">H58+IF(Source_Data!I$6=Inputs!$B$12,Inputs!$B$7,0)+I53-I56</f>
        <v>-123.36</v>
      </c>
      <c r="J58" s="33" t="n">
        <f aca="false">I58+IF(Source_Data!J$6=Inputs!$B$12,Inputs!$B$7,0)+J53-J56</f>
        <v>-178.23468625</v>
      </c>
      <c r="K58" s="33" t="n">
        <f aca="false">J58+IF(Source_Data!K$6=Inputs!$B$12,Inputs!$B$7,0)+K53-K56</f>
        <v>-203.84405875</v>
      </c>
      <c r="L58" s="33" t="n">
        <f aca="false">K58+IF(Source_Data!L$6=Inputs!$B$12,Inputs!$B$7,0)+L53-L56</f>
        <v>-226.093253125</v>
      </c>
      <c r="M58" s="33" t="n">
        <f aca="false">L58+IF(Source_Data!M$6=Inputs!$B$12,Inputs!$B$7,0)+M53-M56</f>
        <v>-252.898936041667</v>
      </c>
      <c r="N58" s="33" t="n">
        <f aca="false">M58+IF(Source_Data!N$6=Inputs!$B$12,Inputs!$B$7,0)+N53-N56</f>
        <v>-266.658723708333</v>
      </c>
      <c r="O58" s="33" t="n">
        <f aca="false">N58+IF(Source_Data!O$6=Inputs!$B$12,Inputs!$B$7,0)+O53-O56</f>
        <v>-279.4214379375</v>
      </c>
      <c r="P58" s="33" t="n">
        <f aca="false">O58+IF(Source_Data!P$6=Inputs!$B$12,Inputs!$B$7,0)+P53-P56</f>
        <v>-417.861275010417</v>
      </c>
      <c r="Q58" s="33" t="n">
        <f aca="false">P58+IF(Source_Data!Q$6=Inputs!$B$12,Inputs!$B$7,0)+Q53-Q56</f>
        <v>-182.868621927083</v>
      </c>
      <c r="R58" s="33" t="n">
        <f aca="false">Q58+IF(Source_Data!R$6=Inputs!$B$12,Inputs!$B$7,0)+R53-R56</f>
        <v>-274.90542259375</v>
      </c>
      <c r="S58" s="33" t="n">
        <f aca="false">R58+IF(Source_Data!S$6=Inputs!$B$12,Inputs!$B$7,0)+S53-S56</f>
        <v>-321.031598260417</v>
      </c>
      <c r="T58" s="33" t="n">
        <f aca="false">S58+IF(Source_Data!T$6=Inputs!$B$12,Inputs!$B$7,0)+T53-T56</f>
        <v>-304.546825927084</v>
      </c>
      <c r="U58" s="33" t="n">
        <f aca="false">T58+IF(Source_Data!U$6=Inputs!$B$12,Inputs!$B$7,0)+U53-U56</f>
        <v>-312.86924071875</v>
      </c>
      <c r="V58" s="33" t="n">
        <f aca="false">U58+IF(Source_Data!V$6=Inputs!$B$12,Inputs!$B$7,0)+V53-V56</f>
        <v>-321.191655510417</v>
      </c>
      <c r="W58" s="33" t="n">
        <f aca="false">V58+IF(Source_Data!W$6=Inputs!$B$12,Inputs!$B$7,0)+W53-W56</f>
        <v>-330.115570114584</v>
      </c>
      <c r="X58" s="33" t="n">
        <f aca="false">W58+IF(Source_Data!X$6=Inputs!$B$12,Inputs!$B$7,0)+X53-X56</f>
        <v>-316.6782610625</v>
      </c>
      <c r="Y58" s="33" t="n">
        <f aca="false">X58+IF(Source_Data!Y$6=Inputs!$B$12,Inputs!$B$7,0)+Y53-Y56</f>
        <v>-285.43681671875</v>
      </c>
      <c r="Z58" s="33" t="n">
        <f aca="false">Y58+IF(Source_Data!Z$6=Inputs!$B$12,Inputs!$B$7,0)+Z53-Z56</f>
        <v>-259.5852665</v>
      </c>
      <c r="AA58" s="33" t="n">
        <f aca="false">Z58+IF(Source_Data!AA$6=Inputs!$B$12,Inputs!$B$7,0)+AA53-AA56</f>
        <v>-237.64061628125</v>
      </c>
      <c r="AB58" s="33" t="n">
        <f aca="false">AA58+IF(Source_Data!AB$6=Inputs!$B$12,Inputs!$B$7,0)+AB53-AB56</f>
        <v>-193.1959660625</v>
      </c>
      <c r="AC58" s="33" t="n">
        <f aca="false">AB58+IF(Source_Data!AC$6=Inputs!$B$12,Inputs!$B$7,0)+AC53-AC56</f>
        <v>-155.30351271875</v>
      </c>
      <c r="AD58" s="33" t="n">
        <f aca="false">AC58+IF(Source_Data!AD$6=Inputs!$B$12,Inputs!$B$7,0)+AD53-AD56</f>
        <v>-117.411059375</v>
      </c>
      <c r="AE58" s="33" t="n">
        <f aca="false">AD58+IF(Source_Data!AE$6=Inputs!$B$12,Inputs!$B$7,0)+AE53-AE56</f>
        <v>-79.5186060312503</v>
      </c>
      <c r="AF58" s="33" t="n">
        <f aca="false">AE58+IF(Source_Data!AF$6=Inputs!$B$12,Inputs!$B$7,0)+AF53-AF56</f>
        <v>-97.3898274453606</v>
      </c>
      <c r="AG58" s="33" t="n">
        <f aca="false">AF58+IF(Source_Data!AG$6=Inputs!$B$12,Inputs!$B$7,0)+AG53-AG56</f>
        <v>-72.8046639958148</v>
      </c>
      <c r="AH58" s="33" t="n">
        <f aca="false">AG58+IF(Source_Data!AH$6=Inputs!$B$12,Inputs!$B$7,0)+AH53-AH56</f>
        <v>-51.467111171269</v>
      </c>
      <c r="AI58" s="33" t="n">
        <f aca="false">AH58+IF(Source_Data!AI$6=Inputs!$B$12,Inputs!$B$7,0)+AI53-AI56</f>
        <v>-34.0364583467231</v>
      </c>
      <c r="AJ58" s="33" t="n">
        <f aca="false">AI58+IF(Source_Data!AJ$6=Inputs!$B$12,Inputs!$B$7,0)+AJ53-AJ56</f>
        <v>-16.6058055221773</v>
      </c>
      <c r="AK58" s="33" t="n">
        <f aca="false">AJ58+IF(Source_Data!AK$6=Inputs!$B$12,Inputs!$B$7,0)+AK53-AK56</f>
        <v>1.27313102886978</v>
      </c>
      <c r="AL58" s="33" t="n">
        <f aca="false">AK58+IF(Source_Data!AL$6=Inputs!$B$12,Inputs!$B$7,0)+AL53-AL56</f>
        <v>19.1520675799168</v>
      </c>
      <c r="AM58" s="33" t="n">
        <f aca="false">AL58+IF(Source_Data!AM$6=Inputs!$B$12,Inputs!$B$7,0)+AM53-AM56</f>
        <v>37.8859916441169</v>
      </c>
      <c r="AN58" s="33" t="n">
        <f aca="false">AM58+IF(Source_Data!AN$6=Inputs!$B$12,Inputs!$B$7,0)+AN53-AN56</f>
        <v>58.4904561273451</v>
      </c>
      <c r="AO58" s="33" t="n">
        <f aca="false">AN58+IF(Source_Data!AO$6=Inputs!$B$12,Inputs!$B$7,0)+AO53-AO56</f>
        <v>78.3722047499996</v>
      </c>
      <c r="AP58" s="33" t="n">
        <f aca="false">AO58+IF(Source_Data!AP$6=Inputs!$B$12,Inputs!$B$7,0)+AP53-AP56</f>
        <v>98.9867998124996</v>
      </c>
      <c r="AQ58" s="33" t="n">
        <f aca="false">AP58+IF(Source_Data!AQ$6=Inputs!$B$12,Inputs!$B$7,0)+AQ53-AQ56</f>
        <v>115.85239875</v>
      </c>
      <c r="AR58" s="33" t="n">
        <f aca="false">AQ58+IF(Source_Data!AR$6=Inputs!$B$12,Inputs!$B$7,0)+AR53-AR56</f>
        <v>124.5159495</v>
      </c>
      <c r="AS58" s="33" t="n">
        <f aca="false">AR58+IF(Source_Data!AS$6=Inputs!$B$12,Inputs!$B$7,0)+AS53-AS56</f>
        <v>127.72937475</v>
      </c>
      <c r="AT58" s="33" t="n">
        <f aca="false">AS58+IF(Source_Data!AT$6=Inputs!$B$12,Inputs!$B$7,0)+AT53-AT56</f>
        <v>127.72937475</v>
      </c>
      <c r="AU58" s="33" t="n">
        <f aca="false">AT58+IF(Source_Data!AU$6=Inputs!$B$12,Inputs!$B$7,0)+AU53-AU56</f>
        <v>127.72937475</v>
      </c>
      <c r="AV58" s="33" t="n">
        <f aca="false">AU58+IF(Source_Data!AV$6=Inputs!$B$12,Inputs!$B$7,0)+AV53-AV56</f>
        <v>127.72937475</v>
      </c>
      <c r="AW58" s="33" t="n">
        <f aca="false">AV58+IF(Source_Data!AW$6=Inputs!$B$12,Inputs!$B$7,0)+AW53-AW56</f>
        <v>127.72937475</v>
      </c>
      <c r="AX58" s="33" t="n">
        <f aca="false">AW58+IF(Source_Data!AX$6=Inputs!$B$12,Inputs!$B$7,0)+AX53-AX56</f>
        <v>127.72937475</v>
      </c>
      <c r="AY58" s="33" t="n">
        <f aca="false">AX58+IF(Source_Data!AY$6=Inputs!$B$12,Inputs!$B$7,0)+AY53-AY56</f>
        <v>127.72937475</v>
      </c>
      <c r="AZ58" s="33" t="n">
        <f aca="false">AY58+IF(Source_Data!AZ$6=Inputs!$B$12,Inputs!$B$7,0)+AZ53-AZ56</f>
        <v>127.72937475</v>
      </c>
      <c r="BA58" s="33" t="n">
        <f aca="false">AZ58+IF(Source_Data!BA$6=Inputs!$B$12,Inputs!$B$7,0)+BA53-BA56</f>
        <v>127.72937475</v>
      </c>
      <c r="BB58" s="33" t="n">
        <f aca="false">BA58+IF(Source_Data!BB$6=Inputs!$B$12,Inputs!$B$7,0)+BB53-BB56</f>
        <v>127.72937475</v>
      </c>
      <c r="BC58" s="33" t="n">
        <f aca="false">BB58+IF(Source_Data!BC$6=Inputs!$B$12,Inputs!$B$7,0)+BC53-BC56</f>
        <v>127.72937475</v>
      </c>
      <c r="BD58" s="33" t="n">
        <f aca="false">BC58+IF(Source_Data!BD$6=Inputs!$B$12,Inputs!$B$7,0)+BD53-BD56</f>
        <v>127.72937475</v>
      </c>
      <c r="BE58" s="33" t="n">
        <f aca="false">BD58+IF(Source_Data!BE$6=Inputs!$B$12,Inputs!$B$7,0)+BE53-BE56</f>
        <v>127.72937475</v>
      </c>
      <c r="BF58" s="33" t="n">
        <f aca="false">BE58+IF(Source_Data!BF$6=Inputs!$B$12,Inputs!$B$7,0)+BF53-BF56</f>
        <v>127.72937475</v>
      </c>
      <c r="BG58" s="33" t="n">
        <f aca="false">BF58+IF(Source_Data!BG$6=Inputs!$B$12,Inputs!$B$7,0)+BG53-BG56</f>
        <v>127.72937475</v>
      </c>
      <c r="BH58" s="33" t="n">
        <f aca="false">BG58+IF(Source_Data!BH$6=Inputs!$B$12,Inputs!$B$7,0)+BH53-BH56</f>
        <v>127.72937475</v>
      </c>
      <c r="BI58" s="33" t="n">
        <f aca="false">BH58+IF(Source_Data!BI$6=Inputs!$B$12,Inputs!$B$7,0)+BI53-BI56</f>
        <v>127.72937475</v>
      </c>
      <c r="BJ58" s="33" t="n">
        <f aca="false">BI58+IF(Source_Data!BJ$6=Inputs!$B$12,Inputs!$B$7,0)+BJ53-BJ56</f>
        <v>127.72937475</v>
      </c>
      <c r="BK58" s="33" t="n">
        <f aca="false">BJ58+IF(Source_Data!BK$6=Inputs!$B$12,Inputs!$B$7,0)+BK53-BK56</f>
        <v>127.72937475</v>
      </c>
    </row>
    <row r="59" customFormat="false" ht="15" hidden="false" customHeight="false" outlineLevel="0" collapsed="false">
      <c r="A59" s="3" t="s">
        <v>344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n">
        <f aca="false">IF(M56&gt;0,M53/M56,"")</f>
        <v>-0.398557369565217</v>
      </c>
      <c r="N59" s="31" t="n">
        <f aca="false">IF(N56&gt;0,N53/N56,"")</f>
        <v>0.282098034782609</v>
      </c>
      <c r="O59" s="31" t="n">
        <f aca="false">IF(O56&gt;0,O53/O56,"")</f>
        <v>0.334119257608696</v>
      </c>
      <c r="P59" s="31" t="n">
        <f aca="false">IF(P56&gt;0,P53/P56,"")</f>
        <v>-6.22294802119565</v>
      </c>
      <c r="Q59" s="31" t="n">
        <f aca="false">IF(Q56&gt;0,Q53/Q56,"")</f>
        <v>13.2604862478261</v>
      </c>
      <c r="R59" s="31" t="n">
        <f aca="false">IF(R56&gt;0,R53/R56,"")</f>
        <v>-3.80192003478261</v>
      </c>
      <c r="S59" s="31" t="n">
        <f aca="false">IF(S56&gt;0,S53/S56,"")</f>
        <v>-1.40658307826087</v>
      </c>
      <c r="T59" s="31" t="n">
        <f aca="false">IF(T56&gt;0,T53/T56,"")</f>
        <v>1.86007507826087</v>
      </c>
      <c r="U59" s="31" t="n">
        <f aca="false">IF(U56&gt;0,U53/U56,"")</f>
        <v>0.565787054347826</v>
      </c>
      <c r="V59" s="31" t="n">
        <f aca="false">IF(V56&gt;0,V53/V56,"")</f>
        <v>0.565787054347826</v>
      </c>
      <c r="W59" s="31" t="n">
        <f aca="false">IF(W56&gt;0,W53/W56,"")</f>
        <v>0.534404455434782</v>
      </c>
      <c r="X59" s="31" t="n">
        <f aca="false">IF(X56&gt;0,X53/X56,"")</f>
        <v>1.70107699402174</v>
      </c>
      <c r="Y59" s="31" t="str">
        <f aca="false">IF(Y56&gt;0,Y53/Y56,"")</f>
        <v/>
      </c>
      <c r="Z59" s="31" t="str">
        <f aca="false">IF(Z56&gt;0,Z53/Z56,"")</f>
        <v/>
      </c>
      <c r="AA59" s="31" t="str">
        <f aca="false">IF(AA56&gt;0,AA53/AA56,"")</f>
        <v/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345</v>
      </c>
      <c r="D60" s="31" t="str">
        <f aca="false">IF(D56&gt;0,(0+D53+IF(Source_Data!D$6=Inputs!$B$12,Inputs!$B$7,0))/D56,"")</f>
        <v/>
      </c>
      <c r="E60" s="31" t="str">
        <f aca="false">IF(E56&gt;0,(D58+E53+IF(Source_Data!E$6=Inputs!$B$12,Inputs!$B$7,0))/E56,"")</f>
        <v/>
      </c>
      <c r="F60" s="31" t="str">
        <f aca="false">IF(F56&gt;0,(E58+F53+IF(Source_Data!F$6=Inputs!$B$12,Inputs!$B$7,0))/F56,"")</f>
        <v/>
      </c>
      <c r="G60" s="31" t="str">
        <f aca="false">IF(G56&gt;0,(F58+G53+IF(Source_Data!G$6=Inputs!$B$12,Inputs!$B$7,0))/G56,"")</f>
        <v/>
      </c>
      <c r="H60" s="31" t="str">
        <f aca="false">IF(H56&gt;0,(G58+H53+IF(Source_Data!H$6=Inputs!$B$12,Inputs!$B$7,0))/H56,"")</f>
        <v/>
      </c>
      <c r="I60" s="31" t="str">
        <f aca="false">IF(I56&gt;0,(H58+I53+IF(Source_Data!I$6=Inputs!$B$12,Inputs!$B$7,0))/I56,"")</f>
        <v/>
      </c>
      <c r="J60" s="31" t="str">
        <f aca="false">IF(J56&gt;0,(I58+J53+IF(Source_Data!J$6=Inputs!$B$12,Inputs!$B$7,0))/J56,"")</f>
        <v/>
      </c>
      <c r="K60" s="31" t="str">
        <f aca="false">IF(K56&gt;0,(J58+K53+IF(Source_Data!K$6=Inputs!$B$12,Inputs!$B$7,0))/K56,"")</f>
        <v/>
      </c>
      <c r="L60" s="31" t="str">
        <f aca="false">IF(L56&gt;0,(K58+L53+IF(Source_Data!L$6=Inputs!$B$12,Inputs!$B$7,0))/L56,"")</f>
        <v/>
      </c>
      <c r="M60" s="31" t="n">
        <f aca="false">IF(M56&gt;0,(L58+M53+IF(Source_Data!M$6=Inputs!$B$12,Inputs!$B$7,0))/M56,"")</f>
        <v>-12.1947270978261</v>
      </c>
      <c r="N60" s="31" t="n">
        <f aca="false">IF(N56&gt;0,(M58+N53+IF(Source_Data!N$6=Inputs!$B$12,Inputs!$B$7,0))/N56,"")</f>
        <v>-12.9126290630435</v>
      </c>
      <c r="O60" s="31" t="n">
        <f aca="false">IF(O56&gt;0,(N58+O53+IF(Source_Data!O$6=Inputs!$B$12,Inputs!$B$7,0))/O56,"")</f>
        <v>-13.5785098054348</v>
      </c>
      <c r="P60" s="31" t="n">
        <f aca="false">IF(P56&gt;0,(O58+P53+IF(Source_Data!P$6=Inputs!$B$12,Inputs!$B$7,0))/P56,"")</f>
        <v>-20.8014578266304</v>
      </c>
      <c r="Q60" s="31" t="n">
        <f aca="false">IF(Q56&gt;0,(P58+Q53+IF(Source_Data!Q$6=Inputs!$B$12,Inputs!$B$7,0))/Q56,"")</f>
        <v>-8.54097157880435</v>
      </c>
      <c r="R60" s="31" t="n">
        <f aca="false">IF(R56&gt;0,(Q58+R53+IF(Source_Data!R$6=Inputs!$B$12,Inputs!$B$7,0))/R56,"")</f>
        <v>-13.342891613587</v>
      </c>
      <c r="S60" s="31" t="n">
        <f aca="false">IF(S56&gt;0,(R58+S53+IF(Source_Data!S$6=Inputs!$B$12,Inputs!$B$7,0))/S56,"")</f>
        <v>-15.7494746918478</v>
      </c>
      <c r="T60" s="31" t="n">
        <f aca="false">IF(T56&gt;0,(S58+T53+IF(Source_Data!T$6=Inputs!$B$12,Inputs!$B$7,0))/T56,"")</f>
        <v>-14.889399613587</v>
      </c>
      <c r="U60" s="31" t="n">
        <f aca="false">IF(U56&gt;0,(T58+U53+IF(Source_Data!U$6=Inputs!$B$12,Inputs!$B$7,0))/U56,"")</f>
        <v>-15.3236125592391</v>
      </c>
      <c r="V60" s="31" t="n">
        <f aca="false">IF(V56&gt;0,(U58+V53+IF(Source_Data!V$6=Inputs!$B$12,Inputs!$B$7,0))/V56,"")</f>
        <v>-15.7578255048913</v>
      </c>
      <c r="W60" s="31" t="n">
        <f aca="false">IF(W56&gt;0,(V58+W53+IF(Source_Data!W$6=Inputs!$B$12,Inputs!$B$7,0))/W56,"")</f>
        <v>-16.2234210494565</v>
      </c>
      <c r="X60" s="31" t="n">
        <f aca="false">IF(X56&gt;0,(W58+X53+IF(Source_Data!X$6=Inputs!$B$12,Inputs!$B$7,0))/X56,"")</f>
        <v>-15.5223440554348</v>
      </c>
      <c r="Y60" s="31" t="str">
        <f aca="false">IF(Y56&gt;0,(X58+Y53+IF(Source_Data!Y$6=Inputs!$B$12,Inputs!$B$7,0))/Y56,"")</f>
        <v/>
      </c>
      <c r="Z60" s="31" t="str">
        <f aca="false">IF(Z56&gt;0,(Y58+Z53+IF(Source_Data!Z$6=Inputs!$B$12,Inputs!$B$7,0))/Z56,"")</f>
        <v/>
      </c>
      <c r="AA60" s="31" t="str">
        <f aca="false">IF(AA56&gt;0,(Z58+AA53+IF(Source_Data!AA$6=Inputs!$B$12,Inputs!$B$7,0))/AA56,"")</f>
        <v/>
      </c>
      <c r="AB60" s="31" t="str">
        <f aca="false">IF(AB56&gt;0,(AA58+AB53+IF(Source_Data!AB$6=Inputs!$B$12,Inputs!$B$7,0))/AB56,"")</f>
        <v/>
      </c>
      <c r="AC60" s="31" t="str">
        <f aca="false">IF(AC56&gt;0,(AB58+AC53+IF(Source_Data!AC$6=Inputs!$B$12,Inputs!$B$7,0))/AC56,"")</f>
        <v/>
      </c>
      <c r="AD60" s="31" t="str">
        <f aca="false">IF(AD56&gt;0,(AC58+AD53+IF(Source_Data!AD$6=Inputs!$B$12,Inputs!$B$7,0))/AD56,"")</f>
        <v/>
      </c>
      <c r="AE60" s="31" t="str">
        <f aca="false">IF(AE56&gt;0,(AD58+AE53+IF(Source_Data!AE$6=Inputs!$B$12,Inputs!$B$7,0))/AE56,"")</f>
        <v/>
      </c>
      <c r="AF60" s="31" t="str">
        <f aca="false">IF(AF56&gt;0,(AE58+AF53+IF(Source_Data!AF$6=Inputs!$B$12,Inputs!$B$7,0))/AF56,"")</f>
        <v/>
      </c>
      <c r="AG60" s="31" t="str">
        <f aca="false">IF(AG56&gt;0,(AF58+AG53+IF(Source_Data!AG$6=Inputs!$B$12,Inputs!$B$7,0))/AG56,"")</f>
        <v/>
      </c>
      <c r="AH60" s="31" t="str">
        <f aca="false">IF(AH56&gt;0,(AG58+AH53+IF(Source_Data!AH$6=Inputs!$B$12,Inputs!$B$7,0))/AH56,"")</f>
        <v/>
      </c>
      <c r="AI60" s="31" t="str">
        <f aca="false">IF(AI56&gt;0,(AH58+AI53+IF(Source_Data!AI$6=Inputs!$B$12,Inputs!$B$7,0))/AI56,"")</f>
        <v/>
      </c>
      <c r="AJ60" s="31" t="str">
        <f aca="false">IF(AJ56&gt;0,(AI58+AJ53+IF(Source_Data!AJ$6=Inputs!$B$12,Inputs!$B$7,0))/AJ56,"")</f>
        <v/>
      </c>
      <c r="AK60" s="31" t="str">
        <f aca="false">IF(AK56&gt;0,(AJ58+AK53+IF(Source_Data!AK$6=Inputs!$B$12,Inputs!$B$7,0))/AK56,"")</f>
        <v/>
      </c>
      <c r="AL60" s="31" t="str">
        <f aca="false">IF(AL56&gt;0,(AK58+AL53+IF(Source_Data!AL$6=Inputs!$B$12,Inputs!$B$7,0))/AL56,"")</f>
        <v/>
      </c>
      <c r="AM60" s="31" t="str">
        <f aca="false">IF(AM56&gt;0,(AL58+AM53+IF(Source_Data!AM$6=Inputs!$B$12,Inputs!$B$7,0))/AM56,"")</f>
        <v/>
      </c>
      <c r="AN60" s="31" t="str">
        <f aca="false">IF(AN56&gt;0,(AM58+AN53+IF(Source_Data!AN$6=Inputs!$B$12,Inputs!$B$7,0))/AN56,"")</f>
        <v/>
      </c>
      <c r="AO60" s="31" t="str">
        <f aca="false">IF(AO56&gt;0,(AN58+AO53+IF(Source_Data!AO$6=Inputs!$B$12,Inputs!$B$7,0))/AO56,"")</f>
        <v/>
      </c>
      <c r="AP60" s="31" t="str">
        <f aca="false">IF(AP56&gt;0,(AO58+AP53+IF(Source_Data!AP$6=Inputs!$B$12,Inputs!$B$7,0))/AP56,"")</f>
        <v/>
      </c>
      <c r="AQ60" s="31" t="str">
        <f aca="false">IF(AQ56&gt;0,(AP58+AQ53+IF(Source_Data!AQ$6=Inputs!$B$12,Inputs!$B$7,0))/AQ56,"")</f>
        <v/>
      </c>
      <c r="AR60" s="31" t="str">
        <f aca="false">IF(AR56&gt;0,(AQ58+AR53+IF(Source_Data!AR$6=Inputs!$B$12,Inputs!$B$7,0))/AR56,"")</f>
        <v/>
      </c>
      <c r="AS60" s="31" t="str">
        <f aca="false">IF(AS56&gt;0,(AR58+AS53+IF(Source_Data!AS$6=Inputs!$B$12,Inputs!$B$7,0))/AS56,"")</f>
        <v/>
      </c>
      <c r="AT60" s="31" t="str">
        <f aca="false">IF(AT56&gt;0,(AS58+AT53+IF(Source_Data!AT$6=Inputs!$B$12,Inputs!$B$7,0))/AT56,"")</f>
        <v/>
      </c>
      <c r="AU60" s="31" t="str">
        <f aca="false">IF(AU56&gt;0,(AT58+AU53+IF(Source_Data!AU$6=Inputs!$B$12,Inputs!$B$7,0))/AU56,"")</f>
        <v/>
      </c>
      <c r="AV60" s="31" t="str">
        <f aca="false">IF(AV56&gt;0,(AU58+AV53+IF(Source_Data!AV$6=Inputs!$B$12,Inputs!$B$7,0))/AV56,"")</f>
        <v/>
      </c>
      <c r="AW60" s="31" t="str">
        <f aca="false">IF(AW56&gt;0,(AV58+AW53+IF(Source_Data!AW$6=Inputs!$B$12,Inputs!$B$7,0))/AW56,"")</f>
        <v/>
      </c>
      <c r="AX60" s="31" t="str">
        <f aca="false">IF(AX56&gt;0,(AW58+AX53+IF(Source_Data!AX$6=Inputs!$B$12,Inputs!$B$7,0))/AX56,"")</f>
        <v/>
      </c>
      <c r="AY60" s="31" t="str">
        <f aca="false">IF(AY56&gt;0,(AX58+AY53+IF(Source_Data!AY$6=Inputs!$B$12,Inputs!$B$7,0))/AY56,"")</f>
        <v/>
      </c>
      <c r="AZ60" s="31" t="str">
        <f aca="false">IF(AZ56&gt;0,(AY58+AZ53+IF(Source_Data!AZ$6=Inputs!$B$12,Inputs!$B$7,0))/AZ56,"")</f>
        <v/>
      </c>
      <c r="BA60" s="31" t="str">
        <f aca="false">IF(BA56&gt;0,(AZ58+BA53+IF(Source_Data!BA$6=Inputs!$B$12,Inputs!$B$7,0))/BA56,"")</f>
        <v/>
      </c>
      <c r="BB60" s="31" t="str">
        <f aca="false">IF(BB56&gt;0,(BA58+BB53+IF(Source_Data!BB$6=Inputs!$B$12,Inputs!$B$7,0))/BB56,"")</f>
        <v/>
      </c>
      <c r="BC60" s="31" t="str">
        <f aca="false">IF(BC56&gt;0,(BB58+BC53+IF(Source_Data!BC$6=Inputs!$B$12,Inputs!$B$7,0))/BC56,"")</f>
        <v/>
      </c>
      <c r="BD60" s="31" t="str">
        <f aca="false">IF(BD56&gt;0,(BC58+BD53+IF(Source_Data!BD$6=Inputs!$B$12,Inputs!$B$7,0))/BD56,"")</f>
        <v/>
      </c>
      <c r="BE60" s="31" t="str">
        <f aca="false">IF(BE56&gt;0,(BD58+BE53+IF(Source_Data!BE$6=Inputs!$B$12,Inputs!$B$7,0))/BE56,"")</f>
        <v/>
      </c>
      <c r="BF60" s="31" t="str">
        <f aca="false">IF(BF56&gt;0,(BE58+BF53+IF(Source_Data!BF$6=Inputs!$B$12,Inputs!$B$7,0))/BF56,"")</f>
        <v/>
      </c>
      <c r="BG60" s="31" t="str">
        <f aca="false">IF(BG56&gt;0,(BF58+BG53+IF(Source_Data!BG$6=Inputs!$B$12,Inputs!$B$7,0))/BG56,"")</f>
        <v/>
      </c>
      <c r="BH60" s="31" t="str">
        <f aca="false">IF(BH56&gt;0,(BG58+BH53+IF(Source_Data!BH$6=Inputs!$B$12,Inputs!$B$7,0))/BH56,"")</f>
        <v/>
      </c>
      <c r="BI60" s="31" t="str">
        <f aca="false">IF(BI56&gt;0,(BH58+BI53+IF(Source_Data!BI$6=Inputs!$B$12,Inputs!$B$7,0))/BI56,"")</f>
        <v/>
      </c>
      <c r="BJ60" s="31" t="str">
        <f aca="false">IF(BJ56&gt;0,(BI58+BJ53+IF(Source_Data!BJ$6=Inputs!$B$12,Inputs!$B$7,0))/BJ56,"")</f>
        <v/>
      </c>
      <c r="BK60" s="31" t="str">
        <f aca="false">IF(BK56&gt;0,(BJ58+BK53+IF(Source_Data!BK$6=Inputs!$B$12,Inputs!$B$7,0))/BK56,"")</f>
        <v/>
      </c>
    </row>
    <row r="62" customFormat="false" ht="15" hidden="false" customHeight="false" outlineLevel="0" collapsed="false">
      <c r="A62" s="2" t="s">
        <v>220</v>
      </c>
      <c r="B62" s="41" t="n">
        <f aca="false">SUM(D53:BK53)</f>
        <v>257.72937475</v>
      </c>
    </row>
    <row r="63" customFormat="false" ht="15" hidden="false" customHeight="false" outlineLevel="0" collapsed="false">
      <c r="A63" s="2" t="s">
        <v>346</v>
      </c>
      <c r="B63" s="41" t="n">
        <f aca="false">SUMPRODUCT(D53:BK53,Project_CF!$D$15:$BK$15)</f>
        <v>-33.5946846074615</v>
      </c>
    </row>
    <row r="64" customFormat="false" ht="15" hidden="false" customHeight="false" outlineLevel="0" collapsed="false">
      <c r="A64" s="2" t="s">
        <v>162</v>
      </c>
      <c r="B64" s="41" t="n">
        <f aca="false">MIN(D54:BK54)</f>
        <v>-441.19460834375</v>
      </c>
    </row>
    <row r="65" customFormat="false" ht="15" hidden="false" customHeight="false" outlineLevel="0" collapsed="false">
      <c r="A65" s="2" t="s">
        <v>347</v>
      </c>
      <c r="B65" s="35" t="n">
        <f aca="false">INDEX(Project_CF!$D$6:$BK$6,MATCH(MIN(D54:BK54),D54:BK54,0))</f>
        <v>39</v>
      </c>
    </row>
    <row r="66" customFormat="false" ht="15" hidden="false" customHeight="false" outlineLevel="0" collapsed="false">
      <c r="A66" s="2" t="s">
        <v>348</v>
      </c>
      <c r="B66" s="39" t="n">
        <f aca="false">(1+IRR(D55:BK55,0.05))^4-1</f>
        <v>0.18640160567242</v>
      </c>
    </row>
    <row r="67" customFormat="false" ht="15" hidden="false" customHeight="false" outlineLevel="0" collapsed="false">
      <c r="A67" s="2" t="s">
        <v>349</v>
      </c>
      <c r="B67" s="40" t="n">
        <f aca="false">SUMIF(D55:BK55,"&gt;0")/-SUMIF(D55:BK55,"&lt;0")</f>
        <v>2.50322580645161</v>
      </c>
    </row>
    <row r="68" customFormat="false" ht="15" hidden="false" customHeight="false" outlineLevel="0" collapsed="false">
      <c r="A68" s="2" t="s">
        <v>350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351</v>
      </c>
      <c r="B69" s="41" t="n">
        <f aca="false">MIN(D58:BK58)</f>
        <v>-417.861275010417</v>
      </c>
    </row>
    <row r="70" customFormat="false" ht="15" hidden="false" customHeight="false" outlineLevel="0" collapsed="false">
      <c r="A70" s="2" t="s">
        <v>352</v>
      </c>
      <c r="B70" s="43" t="n">
        <f aca="false">MIN(D59:BK59)</f>
        <v>-6.22294802119565</v>
      </c>
    </row>
    <row r="71" customFormat="false" ht="15" hidden="false" customHeight="false" outlineLevel="0" collapsed="false">
      <c r="A71" s="2" t="s">
        <v>353</v>
      </c>
      <c r="B71" s="35" t="n">
        <f aca="false">COUNTIF(D59:BK59,"&lt;"&amp;Inputs!$B$43)</f>
        <v>9</v>
      </c>
    </row>
    <row r="72" customFormat="false" ht="15" hidden="false" customHeight="false" outlineLevel="0" collapsed="false">
      <c r="A72" s="2" t="s">
        <v>354</v>
      </c>
      <c r="B72" s="43" t="n">
        <f aca="false">MIN(D60:BK60)</f>
        <v>-20.8014578266304</v>
      </c>
    </row>
    <row r="73" customFormat="false" ht="15" hidden="false" customHeight="false" outlineLevel="0" collapsed="false">
      <c r="A73" s="2" t="s">
        <v>355</v>
      </c>
      <c r="B73" s="35" t="n">
        <f aca="false">COUNTIF(D60:BK60,"&lt;"&amp;Inputs!$B$43)</f>
        <v>12</v>
      </c>
    </row>
    <row r="76" customFormat="false" ht="15" hidden="false" customHeight="false" outlineLevel="0" collapsed="false">
      <c r="A76" s="8" t="s">
        <v>62</v>
      </c>
    </row>
    <row r="77" customFormat="false" ht="15" hidden="false" customHeight="false" outlineLevel="0" collapsed="false">
      <c r="A77" s="3" t="s">
        <v>331</v>
      </c>
      <c r="B77" s="45" t="n">
        <v>1.1</v>
      </c>
    </row>
    <row r="78" customFormat="false" ht="15" hidden="false" customHeight="false" outlineLevel="0" collapsed="false">
      <c r="A78" s="3" t="s">
        <v>332</v>
      </c>
      <c r="B78" s="45" t="n">
        <v>0</v>
      </c>
    </row>
    <row r="79" customFormat="false" ht="15" hidden="false" customHeight="false" outlineLevel="0" collapsed="false">
      <c r="A79" s="3" t="s">
        <v>333</v>
      </c>
      <c r="B79" s="45" t="n">
        <v>1</v>
      </c>
    </row>
    <row r="80" customFormat="false" ht="15" hidden="false" customHeight="false" outlineLevel="0" collapsed="false">
      <c r="A80" s="3" t="s">
        <v>334</v>
      </c>
      <c r="B80" s="45" t="n">
        <v>0</v>
      </c>
    </row>
    <row r="81" customFormat="false" ht="15" hidden="false" customHeight="false" outlineLevel="0" collapsed="false">
      <c r="A81" s="3" t="s">
        <v>335</v>
      </c>
      <c r="B81" s="45" t="n">
        <v>0</v>
      </c>
    </row>
    <row r="82" customFormat="false" ht="15" hidden="false" customHeight="false" outlineLevel="0" collapsed="false">
      <c r="A82" s="3" t="s">
        <v>336</v>
      </c>
      <c r="B82" s="3" t="n">
        <f aca="false">Inputs!$B$13+3+3*$B$78</f>
        <v>51</v>
      </c>
    </row>
    <row r="83" customFormat="false" ht="15" hidden="false" customHeight="false" outlineLevel="0" collapsed="false">
      <c r="A83" s="3" t="s">
        <v>337</v>
      </c>
      <c r="D83" s="33" t="n">
        <f aca="false">Source_Data!D$7+IF($B$81=1,IF(Source_Data!D$6=Inputs!$B$13,Source_Data!$C$8,0),Source_Data!D$8)</f>
        <v>0</v>
      </c>
      <c r="E83" s="33" t="n">
        <f aca="false">Source_Data!E$7+IF($B$81=1,IF(Source_Data!E$6=Inputs!$B$13,Source_Data!$C$8,0),Source_Data!E$8)</f>
        <v>0</v>
      </c>
      <c r="F83" s="33" t="n">
        <f aca="false">Source_Data!F$7+IF($B$81=1,IF(Source_Data!F$6=Inputs!$B$13,Source_Data!$C$8,0),Source_Data!F$8)</f>
        <v>15.1392375</v>
      </c>
      <c r="G83" s="33" t="n">
        <f aca="false">Source_Data!G$7+IF($B$81=1,IF(Source_Data!G$6=Inputs!$B$13,Source_Data!$C$8,0),Source_Data!G$8)</f>
        <v>30.278475</v>
      </c>
      <c r="H83" s="33" t="n">
        <f aca="false">Source_Data!H$7+IF($B$81=1,IF(Source_Data!H$6=Inputs!$B$13,Source_Data!$C$8,0),Source_Data!H$8)</f>
        <v>46.51200625</v>
      </c>
      <c r="I83" s="33" t="n">
        <f aca="false">Source_Data!I$7+IF($B$81=1,IF(Source_Data!I$6=Inputs!$B$13,Source_Data!$C$8,0),Source_Data!I$8)</f>
        <v>62.7455375</v>
      </c>
      <c r="J83" s="33" t="n">
        <f aca="false">Source_Data!J$7+IF($B$81=1,IF(Source_Data!J$6=Inputs!$B$13,Source_Data!$C$8,0),Source_Data!J$8)</f>
        <v>62.3657</v>
      </c>
      <c r="K83" s="33" t="n">
        <f aca="false">Source_Data!K$7+IF($B$81=1,IF(Source_Data!K$6=Inputs!$B$13,Source_Data!$C$8,0),Source_Data!K$8)</f>
        <v>63.473559375</v>
      </c>
      <c r="L83" s="33" t="n">
        <f aca="false">Source_Data!L$7+IF($B$81=1,IF(Source_Data!L$6=Inputs!$B$13,Source_Data!$C$8,0),Source_Data!L$8)</f>
        <v>80.3288484375</v>
      </c>
      <c r="M83" s="33" t="n">
        <f aca="false">Source_Data!M$7+IF($B$81=1,IF(Source_Data!M$6=Inputs!$B$13,Source_Data!$C$8,0),Source_Data!M$8)</f>
        <v>495.2538375</v>
      </c>
      <c r="N83" s="33" t="n">
        <f aca="false">Source_Data!N$7+IF($B$81=1,IF(Source_Data!N$6=Inputs!$B$13,Source_Data!$C$8,0),Source_Data!N$8)</f>
        <v>185.57775</v>
      </c>
      <c r="O83" s="33" t="n">
        <f aca="false">Source_Data!O$7+IF($B$81=1,IF(Source_Data!O$6=Inputs!$B$13,Source_Data!$C$8,0),Source_Data!O$8)</f>
        <v>176.534</v>
      </c>
      <c r="P83" s="33" t="n">
        <f aca="false">Source_Data!P$7+IF($B$81=1,IF(Source_Data!P$6=Inputs!$B$13,Source_Data!$C$8,0),Source_Data!P$8)</f>
        <v>97.31075</v>
      </c>
      <c r="Q83" s="33" t="n">
        <f aca="false">Source_Data!Q$7+IF($B$81=1,IF(Source_Data!Q$6=Inputs!$B$13,Source_Data!$C$8,0),Source_Data!Q$8)</f>
        <v>71.30996875</v>
      </c>
      <c r="R83" s="33" t="n">
        <f aca="false">Source_Data!R$7+IF($B$81=1,IF(Source_Data!R$6=Inputs!$B$13,Source_Data!$C$8,0),Source_Data!R$8)</f>
        <v>71.30996875</v>
      </c>
      <c r="S83" s="33" t="n">
        <f aca="false">Source_Data!S$7+IF($B$81=1,IF(Source_Data!S$6=Inputs!$B$13,Source_Data!$C$8,0),Source_Data!S$8)</f>
        <v>68.037035625</v>
      </c>
      <c r="T83" s="33" t="n">
        <f aca="false">Source_Data!T$7+IF($B$81=1,IF(Source_Data!T$6=Inputs!$B$13,Source_Data!$C$8,0),Source_Data!T$8)</f>
        <v>61.2266396875</v>
      </c>
      <c r="U83" s="33" t="n">
        <f aca="false">Source_Data!U$7+IF($B$81=1,IF(Source_Data!U$6=Inputs!$B$13,Source_Data!$C$8,0),Source_Data!U$8)</f>
        <v>59.7127159375</v>
      </c>
      <c r="V83" s="33" t="n">
        <f aca="false">Source_Data!V$7+IF($B$81=1,IF(Source_Data!V$6=Inputs!$B$13,Source_Data!$C$8,0),Source_Data!V$8)</f>
        <v>53.7239446875</v>
      </c>
      <c r="W83" s="33" t="n">
        <f aca="false">Source_Data!W$7+IF($B$81=1,IF(Source_Data!W$6=Inputs!$B$13,Source_Data!$C$8,0),Source_Data!W$8)</f>
        <v>49.3829446875</v>
      </c>
      <c r="X83" s="33" t="n">
        <f aca="false">Source_Data!X$7+IF($B$81=1,IF(Source_Data!X$6=Inputs!$B$13,Source_Data!$C$8,0),Source_Data!X$8)</f>
        <v>49.3829446875</v>
      </c>
      <c r="Y83" s="33" t="n">
        <f aca="false">Source_Data!Y$7+IF($B$81=1,IF(Source_Data!Y$6=Inputs!$B$13,Source_Data!$C$8,0),Source_Data!Y$8)</f>
        <v>42.1027259375</v>
      </c>
      <c r="Z83" s="33" t="n">
        <f aca="false">Source_Data!Z$7+IF($B$81=1,IF(Source_Data!Z$6=Inputs!$B$13,Source_Data!$C$8,0),Source_Data!Z$8)</f>
        <v>42.1027259375</v>
      </c>
      <c r="AA83" s="33" t="n">
        <f aca="false">Source_Data!AA$7+IF($B$81=1,IF(Source_Data!AA$6=Inputs!$B$13,Source_Data!$C$8,0),Source_Data!AA$8)</f>
        <v>42.1027259375</v>
      </c>
      <c r="AB83" s="33" t="n">
        <f aca="false">Source_Data!AB$7+IF($B$81=1,IF(Source_Data!AB$6=Inputs!$B$13,Source_Data!$C$8,0),Source_Data!AB$8)</f>
        <v>36.3147259375</v>
      </c>
      <c r="AC83" s="33" t="n">
        <f aca="false">Source_Data!AC$7+IF($B$81=1,IF(Source_Data!AC$6=Inputs!$B$13,Source_Data!$C$8,0),Source_Data!AC$8)</f>
        <v>33.0386275</v>
      </c>
      <c r="AD83" s="33" t="n">
        <f aca="false">Source_Data!AD$7+IF($B$81=1,IF(Source_Data!AD$6=Inputs!$B$13,Source_Data!$C$8,0),Source_Data!AD$8)</f>
        <v>29.43017125</v>
      </c>
      <c r="AE83" s="33" t="n">
        <f aca="false">Source_Data!AE$7+IF($B$81=1,IF(Source_Data!AE$6=Inputs!$B$13,Source_Data!$C$8,0),Source_Data!AE$8)</f>
        <v>25.08917125</v>
      </c>
      <c r="AF83" s="33" t="n">
        <f aca="false">Source_Data!AF$7+IF($B$81=1,IF(Source_Data!AF$6=Inputs!$B$13,Source_Data!$C$8,0),Source_Data!AF$8)</f>
        <v>25.08917125</v>
      </c>
      <c r="AG83" s="33" t="n">
        <f aca="false">Source_Data!AG$7+IF($B$81=1,IF(Source_Data!AG$6=Inputs!$B$13,Source_Data!$C$8,0),Source_Data!AG$8)</f>
        <v>25.08917125</v>
      </c>
      <c r="AH83" s="33" t="n">
        <f aca="false">Source_Data!AH$7+IF($B$81=1,IF(Source_Data!AH$6=Inputs!$B$13,Source_Data!$C$8,0),Source_Data!AH$8)</f>
        <v>25.08917125</v>
      </c>
      <c r="AI83" s="33" t="n">
        <f aca="false">Source_Data!AI$7+IF($B$81=1,IF(Source_Data!AI$6=Inputs!$B$13,Source_Data!$C$8,0),Source_Data!AI$8)</f>
        <v>25.08917125</v>
      </c>
      <c r="AJ83" s="33" t="n">
        <f aca="false">Source_Data!AJ$7+IF($B$81=1,IF(Source_Data!AJ$6=Inputs!$B$13,Source_Data!$C$8,0),Source_Data!AJ$8)</f>
        <v>25.08917125</v>
      </c>
      <c r="AK83" s="33" t="n">
        <f aca="false">Source_Data!AK$7+IF($B$81=1,IF(Source_Data!AK$6=Inputs!$B$13,Source_Data!$C$8,0),Source_Data!AK$8)</f>
        <v>22.905105625</v>
      </c>
      <c r="AL83" s="33" t="n">
        <f aca="false">Source_Data!AL$7+IF($B$81=1,IF(Source_Data!AL$6=Inputs!$B$13,Source_Data!$C$8,0),Source_Data!AL$8)</f>
        <v>22.905105625</v>
      </c>
      <c r="AM83" s="33" t="n">
        <f aca="false">Source_Data!AM$7+IF($B$81=1,IF(Source_Data!AM$6=Inputs!$B$13,Source_Data!$C$8,0),Source_Data!AM$8)</f>
        <v>18.739554375</v>
      </c>
      <c r="AN83" s="33" t="n">
        <f aca="false">Source_Data!AN$7+IF($B$81=1,IF(Source_Data!AN$6=Inputs!$B$13,Source_Data!$C$8,0),Source_Data!AN$8)</f>
        <v>9.6261675</v>
      </c>
      <c r="AO83" s="33" t="n">
        <f aca="false">Source_Data!AO$7+IF($B$81=1,IF(Source_Data!AO$6=Inputs!$B$13,Source_Data!$C$8,0),Source_Data!AO$8)</f>
        <v>3.5704725</v>
      </c>
      <c r="AP83" s="33" t="n">
        <f aca="false">Source_Data!AP$7+IF($B$81=1,IF(Source_Data!AP$6=Inputs!$B$13,Source_Data!$C$8,0),Source_Data!AP$8)</f>
        <v>0</v>
      </c>
      <c r="AQ83" s="33" t="n">
        <f aca="false">Source_Data!AQ$7+IF($B$81=1,IF(Source_Data!AQ$6=Inputs!$B$13,Source_Data!$C$8,0),Source_Data!AQ$8)</f>
        <v>0</v>
      </c>
      <c r="AR83" s="33" t="n">
        <f aca="false">Source_Data!AR$7+IF($B$81=1,IF(Source_Data!AR$6=Inputs!$B$13,Source_Data!$C$8,0),Source_Data!AR$8)</f>
        <v>0</v>
      </c>
      <c r="AS83" s="33" t="n">
        <f aca="false">Source_Data!AS$7+IF($B$81=1,IF(Source_Data!AS$6=Inputs!$B$13,Source_Data!$C$8,0),Source_Data!AS$8)</f>
        <v>0</v>
      </c>
      <c r="AT83" s="33" t="n">
        <f aca="false">Source_Data!AT$7+IF($B$81=1,IF(Source_Data!AT$6=Inputs!$B$13,Source_Data!$C$8,0),Source_Data!AT$8)</f>
        <v>0</v>
      </c>
      <c r="AU83" s="33" t="n">
        <f aca="false">Source_Data!AU$7+IF($B$81=1,IF(Source_Data!AU$6=Inputs!$B$13,Source_Data!$C$8,0),Source_Data!AU$8)</f>
        <v>0</v>
      </c>
      <c r="AV83" s="33" t="n">
        <f aca="false">Source_Data!AV$7+IF($B$81=1,IF(Source_Data!AV$6=Inputs!$B$13,Source_Data!$C$8,0),Source_Data!AV$8)</f>
        <v>0</v>
      </c>
      <c r="AW83" s="33" t="n">
        <f aca="false">Source_Data!AW$7+IF($B$81=1,IF(Source_Data!AW$6=Inputs!$B$13,Source_Data!$C$8,0),Source_Data!AW$8)</f>
        <v>0</v>
      </c>
      <c r="AX83" s="33" t="n">
        <f aca="false">Source_Data!AX$7+IF($B$81=1,IF(Source_Data!AX$6=Inputs!$B$13,Source_Data!$C$8,0),Source_Data!AX$8)</f>
        <v>0</v>
      </c>
      <c r="AY83" s="33" t="n">
        <f aca="false">Source_Data!AY$7+IF($B$81=1,IF(Source_Data!AY$6=Inputs!$B$13,Source_Data!$C$8,0),Source_Data!AY$8)</f>
        <v>0</v>
      </c>
      <c r="AZ83" s="33" t="n">
        <f aca="false">Source_Data!AZ$7+IF($B$81=1,IF(Source_Data!AZ$6=Inputs!$B$13,Source_Data!$C$8,0),Source_Data!AZ$8)</f>
        <v>0</v>
      </c>
      <c r="BA83" s="33" t="n">
        <f aca="false">Source_Data!BA$7+IF($B$81=1,IF(Source_Data!BA$6=Inputs!$B$13,Source_Data!$C$8,0),Source_Data!BA$8)</f>
        <v>0</v>
      </c>
      <c r="BB83" s="33" t="n">
        <f aca="false">Source_Data!BB$7+IF($B$81=1,IF(Source_Data!BB$6=Inputs!$B$13,Source_Data!$C$8,0),Source_Data!BB$8)</f>
        <v>0</v>
      </c>
      <c r="BC83" s="33" t="n">
        <f aca="false">Source_Data!BC$7+IF($B$81=1,IF(Source_Data!BC$6=Inputs!$B$13,Source_Data!$C$8,0),Source_Data!BC$8)</f>
        <v>0</v>
      </c>
      <c r="BD83" s="33" t="n">
        <f aca="false">Source_Data!BD$7+IF($B$81=1,IF(Source_Data!BD$6=Inputs!$B$13,Source_Data!$C$8,0),Source_Data!BD$8)</f>
        <v>0</v>
      </c>
      <c r="BE83" s="33" t="n">
        <f aca="false">Source_Data!BE$7+IF($B$81=1,IF(Source_Data!BE$6=Inputs!$B$13,Source_Data!$C$8,0),Source_Data!BE$8)</f>
        <v>0</v>
      </c>
      <c r="BF83" s="33" t="n">
        <f aca="false">Source_Data!BF$7+IF($B$81=1,IF(Source_Data!BF$6=Inputs!$B$13,Source_Data!$C$8,0),Source_Data!BF$8)</f>
        <v>0</v>
      </c>
      <c r="BG83" s="33" t="n">
        <f aca="false">Source_Data!BG$7+IF($B$81=1,IF(Source_Data!BG$6=Inputs!$B$13,Source_Data!$C$8,0),Source_Data!BG$8)</f>
        <v>0</v>
      </c>
      <c r="BH83" s="33" t="n">
        <f aca="false">Source_Data!BH$7+IF($B$81=1,IF(Source_Data!BH$6=Inputs!$B$13,Source_Data!$C$8,0),Source_Data!BH$8)</f>
        <v>0</v>
      </c>
      <c r="BI83" s="33" t="n">
        <f aca="false">Source_Data!BI$7+IF($B$81=1,IF(Source_Data!BI$6=Inputs!$B$13,Source_Data!$C$8,0),Source_Data!BI$8)</f>
        <v>0</v>
      </c>
      <c r="BJ83" s="33" t="n">
        <f aca="false">Source_Data!BJ$7+IF($B$81=1,IF(Source_Data!BJ$6=Inputs!$B$13,Source_Data!$C$8,0),Source_Data!BJ$8)</f>
        <v>0</v>
      </c>
      <c r="BK83" s="33" t="n">
        <f aca="false">Source_Data!BK$7+IF($B$81=1,IF(Source_Data!BK$6=Inputs!$B$13,Source_Data!$C$8,0),Source_Data!BK$8)</f>
        <v>0</v>
      </c>
    </row>
    <row r="84" customFormat="false" ht="15" hidden="false" customHeight="false" outlineLevel="0" collapsed="false">
      <c r="A84" s="3" t="s">
        <v>338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16.65316125</v>
      </c>
      <c r="G84" s="33" t="n">
        <f aca="false">$B$77*IF(Source_Data!G$5-($B$78+$B$80)&gt;=1,INDEX($D$83:$BK$83,1,Source_Data!G$5-($B$78+$B$80)),0)</f>
        <v>33.3063225</v>
      </c>
      <c r="H84" s="33" t="n">
        <f aca="false">$B$77*IF(Source_Data!H$5-($B$78+$B$80)&gt;=1,INDEX($D$83:$BK$83,1,Source_Data!H$5-($B$78+$B$80)),0)</f>
        <v>51.163206875</v>
      </c>
      <c r="I84" s="33" t="n">
        <f aca="false">$B$77*IF(Source_Data!I$5-($B$78+$B$80)&gt;=1,INDEX($D$83:$BK$83,1,Source_Data!I$5-($B$78+$B$80)),0)</f>
        <v>69.02009125</v>
      </c>
      <c r="J84" s="33" t="n">
        <f aca="false">$B$77*IF(Source_Data!J$5-($B$78+$B$80)&gt;=1,INDEX($D$83:$BK$83,1,Source_Data!J$5-($B$78+$B$80)),0)</f>
        <v>68.60227</v>
      </c>
      <c r="K84" s="33" t="n">
        <f aca="false">$B$77*IF(Source_Data!K$5-($B$78+$B$80)&gt;=1,INDEX($D$83:$BK$83,1,Source_Data!K$5-($B$78+$B$80)),0)</f>
        <v>69.8209153125</v>
      </c>
      <c r="L84" s="33" t="n">
        <f aca="false">$B$77*IF(Source_Data!L$5-($B$78+$B$80)&gt;=1,INDEX($D$83:$BK$83,1,Source_Data!L$5-($B$78+$B$80)),0)</f>
        <v>88.36173328125</v>
      </c>
      <c r="M84" s="33" t="n">
        <f aca="false">$B$77*IF(Source_Data!M$5-($B$78+$B$80)&gt;=1,INDEX($D$83:$BK$83,1,Source_Data!M$5-($B$78+$B$80)),0)</f>
        <v>544.77922125</v>
      </c>
      <c r="N84" s="33" t="n">
        <f aca="false">$B$77*IF(Source_Data!N$5-($B$78+$B$80)&gt;=1,INDEX($D$83:$BK$83,1,Source_Data!N$5-($B$78+$B$80)),0)</f>
        <v>204.135525</v>
      </c>
      <c r="O84" s="33" t="n">
        <f aca="false">$B$77*IF(Source_Data!O$5-($B$78+$B$80)&gt;=1,INDEX($D$83:$BK$83,1,Source_Data!O$5-($B$78+$B$80)),0)</f>
        <v>194.1874</v>
      </c>
      <c r="P84" s="33" t="n">
        <f aca="false">$B$77*IF(Source_Data!P$5-($B$78+$B$80)&gt;=1,INDEX($D$83:$BK$83,1,Source_Data!P$5-($B$78+$B$80)),0)</f>
        <v>107.041825</v>
      </c>
      <c r="Q84" s="33" t="n">
        <f aca="false">$B$77*IF(Source_Data!Q$5-($B$78+$B$80)&gt;=1,INDEX($D$83:$BK$83,1,Source_Data!Q$5-($B$78+$B$80)),0)</f>
        <v>78.440965625</v>
      </c>
      <c r="R84" s="33" t="n">
        <f aca="false">$B$77*IF(Source_Data!R$5-($B$78+$B$80)&gt;=1,INDEX($D$83:$BK$83,1,Source_Data!R$5-($B$78+$B$80)),0)</f>
        <v>78.440965625</v>
      </c>
      <c r="S84" s="33" t="n">
        <f aca="false">$B$77*IF(Source_Data!S$5-($B$78+$B$80)&gt;=1,INDEX($D$83:$BK$83,1,Source_Data!S$5-($B$78+$B$80)),0)</f>
        <v>74.8407391875</v>
      </c>
      <c r="T84" s="33" t="n">
        <f aca="false">$B$77*IF(Source_Data!T$5-($B$78+$B$80)&gt;=1,INDEX($D$83:$BK$83,1,Source_Data!T$5-($B$78+$B$80)),0)</f>
        <v>67.34930365625</v>
      </c>
      <c r="U84" s="33" t="n">
        <f aca="false">$B$77*IF(Source_Data!U$5-($B$78+$B$80)&gt;=1,INDEX($D$83:$BK$83,1,Source_Data!U$5-($B$78+$B$80)),0)</f>
        <v>65.68398753125</v>
      </c>
      <c r="V84" s="33" t="n">
        <f aca="false">$B$77*IF(Source_Data!V$5-($B$78+$B$80)&gt;=1,INDEX($D$83:$BK$83,1,Source_Data!V$5-($B$78+$B$80)),0)</f>
        <v>59.09633915625</v>
      </c>
      <c r="W84" s="33" t="n">
        <f aca="false">$B$77*IF(Source_Data!W$5-($B$78+$B$80)&gt;=1,INDEX($D$83:$BK$83,1,Source_Data!W$5-($B$78+$B$80)),0)</f>
        <v>54.32123915625</v>
      </c>
      <c r="X84" s="33" t="n">
        <f aca="false">$B$77*IF(Source_Data!X$5-($B$78+$B$80)&gt;=1,INDEX($D$83:$BK$83,1,Source_Data!X$5-($B$78+$B$80)),0)</f>
        <v>54.32123915625</v>
      </c>
      <c r="Y84" s="33" t="n">
        <f aca="false">$B$77*IF(Source_Data!Y$5-($B$78+$B$80)&gt;=1,INDEX($D$83:$BK$83,1,Source_Data!Y$5-($B$78+$B$80)),0)</f>
        <v>46.31299853125</v>
      </c>
      <c r="Z84" s="33" t="n">
        <f aca="false">$B$77*IF(Source_Data!Z$5-($B$78+$B$80)&gt;=1,INDEX($D$83:$BK$83,1,Source_Data!Z$5-($B$78+$B$80)),0)</f>
        <v>46.31299853125</v>
      </c>
      <c r="AA84" s="33" t="n">
        <f aca="false">$B$77*IF(Source_Data!AA$5-($B$78+$B$80)&gt;=1,INDEX($D$83:$BK$83,1,Source_Data!AA$5-($B$78+$B$80)),0)</f>
        <v>46.31299853125</v>
      </c>
      <c r="AB84" s="33" t="n">
        <f aca="false">$B$77*IF(Source_Data!AB$5-($B$78+$B$80)&gt;=1,INDEX($D$83:$BK$83,1,Source_Data!AB$5-($B$78+$B$80)),0)</f>
        <v>39.94619853125</v>
      </c>
      <c r="AC84" s="33" t="n">
        <f aca="false">$B$77*IF(Source_Data!AC$5-($B$78+$B$80)&gt;=1,INDEX($D$83:$BK$83,1,Source_Data!AC$5-($B$78+$B$80)),0)</f>
        <v>36.34249025</v>
      </c>
      <c r="AD84" s="33" t="n">
        <f aca="false">$B$77*IF(Source_Data!AD$5-($B$78+$B$80)&gt;=1,INDEX($D$83:$BK$83,1,Source_Data!AD$5-($B$78+$B$80)),0)</f>
        <v>32.373188375</v>
      </c>
      <c r="AE84" s="33" t="n">
        <f aca="false">$B$77*IF(Source_Data!AE$5-($B$78+$B$80)&gt;=1,INDEX($D$83:$BK$83,1,Source_Data!AE$5-($B$78+$B$80)),0)</f>
        <v>27.598088375</v>
      </c>
      <c r="AF84" s="33" t="n">
        <f aca="false">$B$77*IF(Source_Data!AF$5-($B$78+$B$80)&gt;=1,INDEX($D$83:$BK$83,1,Source_Data!AF$5-($B$78+$B$80)),0)</f>
        <v>27.598088375</v>
      </c>
      <c r="AG84" s="33" t="n">
        <f aca="false">$B$77*IF(Source_Data!AG$5-($B$78+$B$80)&gt;=1,INDEX($D$83:$BK$83,1,Source_Data!AG$5-($B$78+$B$80)),0)</f>
        <v>27.598088375</v>
      </c>
      <c r="AH84" s="33" t="n">
        <f aca="false">$B$77*IF(Source_Data!AH$5-($B$78+$B$80)&gt;=1,INDEX($D$83:$BK$83,1,Source_Data!AH$5-($B$78+$B$80)),0)</f>
        <v>27.598088375</v>
      </c>
      <c r="AI84" s="33" t="n">
        <f aca="false">$B$77*IF(Source_Data!AI$5-($B$78+$B$80)&gt;=1,INDEX($D$83:$BK$83,1,Source_Data!AI$5-($B$78+$B$80)),0)</f>
        <v>27.598088375</v>
      </c>
      <c r="AJ84" s="33" t="n">
        <f aca="false">$B$77*IF(Source_Data!AJ$5-($B$78+$B$80)&gt;=1,INDEX($D$83:$BK$83,1,Source_Data!AJ$5-($B$78+$B$80)),0)</f>
        <v>27.598088375</v>
      </c>
      <c r="AK84" s="33" t="n">
        <f aca="false">$B$77*IF(Source_Data!AK$5-($B$78+$B$80)&gt;=1,INDEX($D$83:$BK$83,1,Source_Data!AK$5-($B$78+$B$80)),0)</f>
        <v>25.1956161875</v>
      </c>
      <c r="AL84" s="33" t="n">
        <f aca="false">$B$77*IF(Source_Data!AL$5-($B$78+$B$80)&gt;=1,INDEX($D$83:$BK$83,1,Source_Data!AL$5-($B$78+$B$80)),0)</f>
        <v>25.1956161875</v>
      </c>
      <c r="AM84" s="33" t="n">
        <f aca="false">$B$77*IF(Source_Data!AM$5-($B$78+$B$80)&gt;=1,INDEX($D$83:$BK$83,1,Source_Data!AM$5-($B$78+$B$80)),0)</f>
        <v>20.6135098125</v>
      </c>
      <c r="AN84" s="33" t="n">
        <f aca="false">$B$77*IF(Source_Data!AN$5-($B$78+$B$80)&gt;=1,INDEX($D$83:$BK$83,1,Source_Data!AN$5-($B$78+$B$80)),0)</f>
        <v>10.58878425</v>
      </c>
      <c r="AO84" s="33" t="n">
        <f aca="false">$B$77*IF(Source_Data!AO$5-($B$78+$B$80)&gt;=1,INDEX($D$83:$BK$83,1,Source_Data!AO$5-($B$78+$B$80)),0)</f>
        <v>3.92751975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339</v>
      </c>
      <c r="D85" s="33" t="n">
        <f aca="false">Source_Data!D$9+Source_Data!D$10*IF(Source_Data!$C$10=0,0,MAX(0,Inputs!$B$19*Inputs!$B$22*$B$77-Inputs!$B$20)/Source_Data!$C$10)</f>
        <v>91.25</v>
      </c>
      <c r="E85" s="33" t="n">
        <f aca="false">Source_Data!E$9+Source_Data!E$10*IF(Source_Data!$C$10=0,0,MAX(0,Inputs!$B$19*Inputs!$B$22*$B$77-Inputs!$B$20)/Source_Data!$C$10)</f>
        <v>11.25</v>
      </c>
      <c r="F85" s="33" t="n">
        <f aca="false">Source_Data!F$9+Source_Data!F$10*IF(Source_Data!$C$10=0,0,MAX(0,Inputs!$B$19*Inputs!$B$22*$B$77-Inputs!$B$20)/Source_Data!$C$10)</f>
        <v>11.25</v>
      </c>
      <c r="G85" s="33" t="n">
        <f aca="false">Source_Data!G$9+Source_Data!G$10*IF(Source_Data!$C$10=0,0,MAX(0,Inputs!$B$19*Inputs!$B$22*$B$77-Inputs!$B$20)/Source_Data!$C$10)</f>
        <v>11.25</v>
      </c>
      <c r="H85" s="33" t="n">
        <f aca="false">Source_Data!H$9+Source_Data!H$10*IF(Source_Data!$C$10=0,0,MAX(0,Inputs!$B$19*Inputs!$B$22*$B$77-Inputs!$B$20)/Source_Data!$C$10)</f>
        <v>22.5</v>
      </c>
      <c r="I85" s="33" t="n">
        <f aca="false">Source_Data!I$9+Source_Data!I$10*IF(Source_Data!$C$10=0,0,MAX(0,Inputs!$B$19*Inputs!$B$22*$B$77-Inputs!$B$20)/Source_Data!$C$10)</f>
        <v>22.5</v>
      </c>
      <c r="J85" s="33" t="n">
        <f aca="false">Source_Data!J$9+Source_Data!J$10*IF(Source_Data!$C$10=0,0,MAX(0,Inputs!$B$19*Inputs!$B$22*$B$77-Inputs!$B$20)/Source_Data!$C$10)</f>
        <v>22.5</v>
      </c>
      <c r="K85" s="33" t="n">
        <f aca="false">Source_Data!K$9+Source_Data!K$10*IF(Source_Data!$C$10=0,0,MAX(0,Inputs!$B$19*Inputs!$B$22*$B$77-Inputs!$B$20)/Source_Data!$C$10)</f>
        <v>22.5</v>
      </c>
      <c r="L85" s="33" t="n">
        <f aca="false">Source_Data!L$9+Source_Data!L$10*IF(Source_Data!$C$10=0,0,MAX(0,Inputs!$B$19*Inputs!$B$22*$B$77-Inputs!$B$20)/Source_Data!$C$10)</f>
        <v>33.75</v>
      </c>
      <c r="M85" s="33" t="n">
        <f aca="false">Source_Data!M$9+Source_Data!M$10*IF(Source_Data!$C$10=0,0,MAX(0,Inputs!$B$19*Inputs!$B$22*$B$77-Inputs!$B$20)/Source_Data!$C$10)</f>
        <v>33.75</v>
      </c>
      <c r="N85" s="33" t="n">
        <f aca="false">Source_Data!N$9+Source_Data!N$10*IF(Source_Data!$C$10=0,0,MAX(0,Inputs!$B$19*Inputs!$B$22*$B$77-Inputs!$B$20)/Source_Data!$C$10)</f>
        <v>33.75</v>
      </c>
      <c r="O85" s="33" t="n">
        <f aca="false">Source_Data!O$9+Source_Data!O$10*IF(Source_Data!$C$10=0,0,MAX(0,Inputs!$B$19*Inputs!$B$22*$B$77-Inputs!$B$20)/Source_Data!$C$10)</f>
        <v>33.75</v>
      </c>
      <c r="P85" s="33" t="n">
        <f aca="false">Source_Data!P$9+Source_Data!P$10*IF(Source_Data!$C$10=0,0,MAX(0,Inputs!$B$19*Inputs!$B$22*$B$77-Inputs!$B$20)/Source_Data!$C$10)</f>
        <v>45</v>
      </c>
      <c r="Q85" s="33" t="n">
        <f aca="false">Source_Data!Q$9+Source_Data!Q$10*IF(Source_Data!$C$10=0,0,MAX(0,Inputs!$B$19*Inputs!$B$22*$B$77-Inputs!$B$20)/Source_Data!$C$10)</f>
        <v>45</v>
      </c>
      <c r="R85" s="33" t="n">
        <f aca="false">Source_Data!R$9+Source_Data!R$10*IF(Source_Data!$C$10=0,0,MAX(0,Inputs!$B$19*Inputs!$B$22*$B$77-Inputs!$B$20)/Source_Data!$C$10)</f>
        <v>45</v>
      </c>
      <c r="S85" s="33" t="n">
        <f aca="false">Source_Data!S$9+Source_Data!S$10*IF(Source_Data!$C$10=0,0,MAX(0,Inputs!$B$19*Inputs!$B$22*$B$77-Inputs!$B$20)/Source_Data!$C$10)</f>
        <v>45</v>
      </c>
      <c r="T85" s="33" t="n">
        <f aca="false">Source_Data!T$9+Source_Data!T$10*IF(Source_Data!$C$10=0,0,MAX(0,Inputs!$B$19*Inputs!$B$22*$B$77-Inputs!$B$20)/Source_Data!$C$10)</f>
        <v>45</v>
      </c>
      <c r="U85" s="33" t="n">
        <f aca="false">Source_Data!U$9+Source_Data!U$10*IF(Source_Data!$C$10=0,0,MAX(0,Inputs!$B$19*Inputs!$B$22*$B$77-Inputs!$B$20)/Source_Data!$C$10)</f>
        <v>45</v>
      </c>
      <c r="V85" s="33" t="n">
        <f aca="false">Source_Data!V$9+Source_Data!V$10*IF(Source_Data!$C$10=0,0,MAX(0,Inputs!$B$19*Inputs!$B$22*$B$77-Inputs!$B$20)/Source_Data!$C$10)</f>
        <v>45</v>
      </c>
      <c r="W85" s="33" t="n">
        <f aca="false">Source_Data!W$9+Source_Data!W$10*IF(Source_Data!$C$10=0,0,MAX(0,Inputs!$B$19*Inputs!$B$22*$B$77-Inputs!$B$20)/Source_Data!$C$10)</f>
        <v>45</v>
      </c>
      <c r="X85" s="33" t="n">
        <f aca="false">Source_Data!X$9+Source_Data!X$10*IF(Source_Data!$C$10=0,0,MAX(0,Inputs!$B$19*Inputs!$B$22*$B$77-Inputs!$B$20)/Source_Data!$C$10)</f>
        <v>22.5</v>
      </c>
      <c r="Y85" s="33" t="n">
        <f aca="false">Source_Data!Y$9+Source_Data!Y$10*IF(Source_Data!$C$10=0,0,MAX(0,Inputs!$B$19*Inputs!$B$22*$B$77-Inputs!$B$20)/Source_Data!$C$10)</f>
        <v>22.5</v>
      </c>
      <c r="Z85" s="33" t="n">
        <f aca="false">Source_Data!Z$9+Source_Data!Z$10*IF(Source_Data!$C$10=0,0,MAX(0,Inputs!$B$19*Inputs!$B$22*$B$77-Inputs!$B$20)/Source_Data!$C$10)</f>
        <v>22.5</v>
      </c>
      <c r="AA85" s="33" t="n">
        <f aca="false">Source_Data!AA$9+Source_Data!AA$10*IF(Source_Data!$C$10=0,0,MAX(0,Inputs!$B$19*Inputs!$B$22*$B$77-Inputs!$B$20)/Source_Data!$C$10)</f>
        <v>22.5</v>
      </c>
      <c r="AB85" s="33" t="n">
        <f aca="false">Source_Data!AB$9+Source_Data!AB$10*IF(Source_Data!$C$10=0,0,MAX(0,Inputs!$B$19*Inputs!$B$22*$B$77-Inputs!$B$20)/Source_Data!$C$10)</f>
        <v>0</v>
      </c>
      <c r="AC85" s="33" t="n">
        <f aca="false">Source_Data!AC$9+Source_Data!AC$10*IF(Source_Data!$C$10=0,0,MAX(0,Inputs!$B$19*Inputs!$B$22*$B$77-Inputs!$B$20)/Source_Data!$C$10)</f>
        <v>0</v>
      </c>
      <c r="AD85" s="33" t="n">
        <f aca="false">Source_Data!AD$9+Source_Data!AD$10*IF(Source_Data!$C$10=0,0,MAX(0,Inputs!$B$19*Inputs!$B$22*$B$77-Inputs!$B$20)/Source_Data!$C$10)</f>
        <v>0</v>
      </c>
      <c r="AE85" s="33" t="n">
        <f aca="false">Source_Data!AE$9+Source_Data!AE$10*IF(Source_Data!$C$10=0,0,MAX(0,Inputs!$B$19*Inputs!$B$22*$B$77-Inputs!$B$20)/Source_Data!$C$10)</f>
        <v>0</v>
      </c>
      <c r="AF85" s="33" t="n">
        <f aca="false">Source_Data!AF$9+Source_Data!AF$10*IF(Source_Data!$C$10=0,0,MAX(0,Inputs!$B$19*Inputs!$B$22*$B$77-Inputs!$B$20)/Source_Data!$C$10)</f>
        <v>164.961945945265</v>
      </c>
      <c r="AG85" s="33" t="n">
        <f aca="false">Source_Data!AG$9+Source_Data!AG$10*IF(Source_Data!$C$10=0,0,MAX(0,Inputs!$B$19*Inputs!$B$22*$B$77-Inputs!$B$20)/Source_Data!$C$10)</f>
        <v>16.8034235432958</v>
      </c>
      <c r="AH85" s="33" t="n">
        <f aca="false">Source_Data!AH$9+Source_Data!AH$10*IF(Source_Data!$C$10=0,0,MAX(0,Inputs!$B$19*Inputs!$B$22*$B$77-Inputs!$B$20)/Source_Data!$C$10)</f>
        <v>16.8034235432958</v>
      </c>
      <c r="AI85" s="33" t="n">
        <f aca="false">Source_Data!AI$9+Source_Data!AI$10*IF(Source_Data!$C$10=0,0,MAX(0,Inputs!$B$19*Inputs!$B$22*$B$77-Inputs!$B$20)/Source_Data!$C$10)</f>
        <v>16.8034235432958</v>
      </c>
      <c r="AJ85" s="33" t="n">
        <f aca="false">Source_Data!AJ$9+Source_Data!AJ$10*IF(Source_Data!$C$10=0,0,MAX(0,Inputs!$B$19*Inputs!$B$22*$B$77-Inputs!$B$20)/Source_Data!$C$10)</f>
        <v>16.8034235432958</v>
      </c>
      <c r="AK85" s="33" t="n">
        <f aca="false">Source_Data!AK$9+Source_Data!AK$10*IF(Source_Data!$C$10=0,0,MAX(0,Inputs!$B$19*Inputs!$B$22*$B$77-Inputs!$B$20)/Source_Data!$C$10)</f>
        <v>15.3406498479221</v>
      </c>
      <c r="AL85" s="33" t="n">
        <f aca="false">Source_Data!AL$9+Source_Data!AL$10*IF(Source_Data!$C$10=0,0,MAX(0,Inputs!$B$19*Inputs!$B$22*$B$77-Inputs!$B$20)/Source_Data!$C$10)</f>
        <v>15.3406498479221</v>
      </c>
      <c r="AM85" s="33" t="n">
        <f aca="false">Source_Data!AM$9+Source_Data!AM$10*IF(Source_Data!$C$10=0,0,MAX(0,Inputs!$B$19*Inputs!$B$22*$B$77-Inputs!$B$20)/Source_Data!$C$10)</f>
        <v>12.5507800173251</v>
      </c>
      <c r="AN85" s="33" t="n">
        <f aca="false">Source_Data!AN$9+Source_Data!AN$10*IF(Source_Data!$C$10=0,0,MAX(0,Inputs!$B$19*Inputs!$B$22*$B$77-Inputs!$B$20)/Source_Data!$C$10)</f>
        <v>6.44710692072817</v>
      </c>
      <c r="AO85" s="33" t="n">
        <f aca="false">Source_Data!AO$9+Source_Data!AO$10*IF(Source_Data!$C$10=0,0,MAX(0,Inputs!$B$19*Inputs!$B$22*$B$77-Inputs!$B$20)/Source_Data!$C$10)</f>
        <v>2.39131699765453</v>
      </c>
      <c r="AP85" s="33" t="n">
        <f aca="false">Source_Data!AP$9+Source_Data!AP$10*IF(Source_Data!$C$10=0,0,MAX(0,Inputs!$B$19*Inputs!$B$22*$B$77-Inputs!$B$20)/Source_Data!$C$10)</f>
        <v>0</v>
      </c>
      <c r="AQ85" s="33" t="n">
        <f aca="false">Source_Data!AQ$9+Source_Data!AQ$10*IF(Source_Data!$C$10=0,0,MAX(0,Inputs!$B$19*Inputs!$B$22*$B$77-Inputs!$B$20)/Source_Data!$C$10)</f>
        <v>0</v>
      </c>
      <c r="AR85" s="33" t="n">
        <f aca="false">Source_Data!AR$9+Source_Data!AR$10*IF(Source_Data!$C$10=0,0,MAX(0,Inputs!$B$19*Inputs!$B$22*$B$77-Inputs!$B$20)/Source_Data!$C$10)</f>
        <v>0</v>
      </c>
      <c r="AS85" s="33" t="n">
        <f aca="false">Source_Data!AS$9+Source_Data!AS$10*IF(Source_Data!$C$10=0,0,MAX(0,Inputs!$B$19*Inputs!$B$22*$B$77-Inputs!$B$20)/Source_Data!$C$10)</f>
        <v>0</v>
      </c>
      <c r="AT85" s="33" t="n">
        <f aca="false">Source_Data!AT$9+Source_Data!AT$10*IF(Source_Data!$C$10=0,0,MAX(0,Inputs!$B$19*Inputs!$B$22*$B$77-Inputs!$B$20)/Source_Data!$C$10)</f>
        <v>0</v>
      </c>
      <c r="AU85" s="33" t="n">
        <f aca="false">Source_Data!AU$9+Source_Data!AU$10*IF(Source_Data!$C$10=0,0,MAX(0,Inputs!$B$19*Inputs!$B$22*$B$77-Inputs!$B$20)/Source_Data!$C$10)</f>
        <v>0</v>
      </c>
      <c r="AV85" s="33" t="n">
        <f aca="false">Source_Data!AV$9+Source_Data!AV$10*IF(Source_Data!$C$10=0,0,MAX(0,Inputs!$B$19*Inputs!$B$22*$B$77-Inputs!$B$20)/Source_Data!$C$10)</f>
        <v>0</v>
      </c>
      <c r="AW85" s="33" t="n">
        <f aca="false">Source_Data!AW$9+Source_Data!AW$10*IF(Source_Data!$C$10=0,0,MAX(0,Inputs!$B$19*Inputs!$B$22*$B$77-Inputs!$B$20)/Source_Data!$C$10)</f>
        <v>0</v>
      </c>
      <c r="AX85" s="33" t="n">
        <f aca="false">Source_Data!AX$9+Source_Data!AX$10*IF(Source_Data!$C$10=0,0,MAX(0,Inputs!$B$19*Inputs!$B$22*$B$77-Inputs!$B$20)/Source_Data!$C$10)</f>
        <v>0</v>
      </c>
      <c r="AY85" s="33" t="n">
        <f aca="false">Source_Data!AY$9+Source_Data!AY$10*IF(Source_Data!$C$10=0,0,MAX(0,Inputs!$B$19*Inputs!$B$22*$B$77-Inputs!$B$20)/Source_Data!$C$10)</f>
        <v>0</v>
      </c>
      <c r="AZ85" s="33" t="n">
        <f aca="false">Source_Data!AZ$9+Source_Data!AZ$10*IF(Source_Data!$C$10=0,0,MAX(0,Inputs!$B$19*Inputs!$B$22*$B$77-Inputs!$B$20)/Source_Data!$C$10)</f>
        <v>0</v>
      </c>
      <c r="BA85" s="33" t="n">
        <f aca="false">Source_Data!BA$9+Source_Data!BA$10*IF(Source_Data!$C$10=0,0,MAX(0,Inputs!$B$19*Inputs!$B$22*$B$77-Inputs!$B$20)/Source_Data!$C$10)</f>
        <v>0</v>
      </c>
      <c r="BB85" s="33" t="n">
        <f aca="false">Source_Data!BB$9+Source_Data!BB$10*IF(Source_Data!$C$10=0,0,MAX(0,Inputs!$B$19*Inputs!$B$22*$B$77-Inputs!$B$20)/Source_Data!$C$10)</f>
        <v>0</v>
      </c>
      <c r="BC85" s="33" t="n">
        <f aca="false">Source_Data!BC$9+Source_Data!BC$10*IF(Source_Data!$C$10=0,0,MAX(0,Inputs!$B$19*Inputs!$B$22*$B$77-Inputs!$B$20)/Source_Data!$C$10)</f>
        <v>0</v>
      </c>
      <c r="BD85" s="33" t="n">
        <f aca="false">Source_Data!BD$9+Source_Data!BD$10*IF(Source_Data!$C$10=0,0,MAX(0,Inputs!$B$19*Inputs!$B$22*$B$77-Inputs!$B$20)/Source_Data!$C$10)</f>
        <v>0</v>
      </c>
      <c r="BE85" s="33" t="n">
        <f aca="false">Source_Data!BE$9+Source_Data!BE$10*IF(Source_Data!$C$10=0,0,MAX(0,Inputs!$B$19*Inputs!$B$22*$B$77-Inputs!$B$20)/Source_Data!$C$10)</f>
        <v>0</v>
      </c>
      <c r="BF85" s="33" t="n">
        <f aca="false">Source_Data!BF$9+Source_Data!BF$10*IF(Source_Data!$C$10=0,0,MAX(0,Inputs!$B$19*Inputs!$B$22*$B$77-Inputs!$B$20)/Source_Data!$C$10)</f>
        <v>0</v>
      </c>
      <c r="BG85" s="33" t="n">
        <f aca="false">Source_Data!BG$9+Source_Data!BG$10*IF(Source_Data!$C$10=0,0,MAX(0,Inputs!$B$19*Inputs!$B$22*$B$77-Inputs!$B$20)/Source_Data!$C$10)</f>
        <v>0</v>
      </c>
      <c r="BH85" s="33" t="n">
        <f aca="false">Source_Data!BH$9+Source_Data!BH$10*IF(Source_Data!$C$10=0,0,MAX(0,Inputs!$B$19*Inputs!$B$22*$B$77-Inputs!$B$20)/Source_Data!$C$10)</f>
        <v>0</v>
      </c>
      <c r="BI85" s="33" t="n">
        <f aca="false">Source_Data!BI$9+Source_Data!BI$10*IF(Source_Data!$C$10=0,0,MAX(0,Inputs!$B$19*Inputs!$B$22*$B$77-Inputs!$B$20)/Source_Data!$C$10)</f>
        <v>0</v>
      </c>
      <c r="BJ85" s="33" t="n">
        <f aca="false">Source_Data!BJ$9+Source_Data!BJ$10*IF(Source_Data!$C$10=0,0,MAX(0,Inputs!$B$19*Inputs!$B$22*$B$77-Inputs!$B$20)/Source_Data!$C$10)</f>
        <v>0</v>
      </c>
      <c r="BK85" s="33" t="n">
        <f aca="false">Source_Data!BK$9+Source_Data!BK$10*IF(Source_Data!$C$10=0,0,MAX(0,Inputs!$B$19*Inputs!$B$22*$B$77-Inputs!$B$20)/Source_Data!$C$10)</f>
        <v>0</v>
      </c>
    </row>
    <row r="86" customFormat="false" ht="15" hidden="false" customHeight="false" outlineLevel="0" collapsed="false">
      <c r="A86" s="3" t="s">
        <v>194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20</v>
      </c>
      <c r="I86" s="33" t="n">
        <f aca="false">Source_Data!I$11*$B$79</f>
        <v>26.4</v>
      </c>
      <c r="J86" s="33" t="n">
        <f aca="false">Source_Data!J$11*$B$79</f>
        <v>40</v>
      </c>
      <c r="K86" s="33" t="n">
        <f aca="false">Source_Data!K$11*$B$79</f>
        <v>26.4</v>
      </c>
      <c r="L86" s="33" t="n">
        <f aca="false">Source_Data!L$11*$B$79</f>
        <v>26.4</v>
      </c>
      <c r="M86" s="33" t="n">
        <f aca="false">Source_Data!M$11*$B$79</f>
        <v>26.4</v>
      </c>
      <c r="N86" s="33" t="n">
        <f aca="false">Source_Data!N$11*$B$79</f>
        <v>5.28</v>
      </c>
      <c r="O86" s="33" t="n">
        <f aca="false">Source_Data!O$11*$B$79</f>
        <v>5.28</v>
      </c>
      <c r="P86" s="33" t="n">
        <f aca="false">Source_Data!P$11*$B$79</f>
        <v>120</v>
      </c>
      <c r="Q86" s="33" t="n">
        <f aca="false">Source_Data!Q$11*$B$79</f>
        <v>120</v>
      </c>
      <c r="R86" s="33" t="n">
        <f aca="false">Source_Data!R$11*$B$79</f>
        <v>164</v>
      </c>
      <c r="S86" s="33" t="n">
        <f aca="false">Source_Data!S$11*$B$79</f>
        <v>117</v>
      </c>
      <c r="T86" s="33" t="n">
        <f aca="false">Source_Data!T$11*$B$79</f>
        <v>0</v>
      </c>
      <c r="U86" s="33" t="n">
        <f aca="false">Source_Data!U$11*$B$79</f>
        <v>0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196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13.322529</v>
      </c>
      <c r="K87" s="33" t="n">
        <f aca="false">$B$77*IF(Source_Data!K$5-$B$78&gt;=1,INDEX(Source_Data!$D$12:$BK$12,1,Source_Data!K$5-$B$78),0)</f>
        <v>13.322529</v>
      </c>
      <c r="L87" s="33" t="n">
        <f aca="false">$B$77*IF(Source_Data!L$5-$B$78&gt;=1,INDEX(Source_Data!$D$12:$BK$12,1,Source_Data!L$5-$B$78),0)</f>
        <v>10.473386</v>
      </c>
      <c r="M87" s="33" t="n">
        <f aca="false">$B$77*IF(Source_Data!M$5-$B$78&gt;=1,INDEX(Source_Data!$D$12:$BK$12,1,Source_Data!M$5-$B$78),0)</f>
        <v>10.473386</v>
      </c>
      <c r="N87" s="33" t="n">
        <f aca="false">$B$77*IF(Source_Data!N$5-$B$78&gt;=1,INDEX(Source_Data!$D$12:$BK$12,1,Source_Data!N$5-$B$78),0)</f>
        <v>7.687911</v>
      </c>
      <c r="O87" s="33" t="n">
        <f aca="false">$B$77*IF(Source_Data!O$5-$B$78&gt;=1,INDEX(Source_Data!$D$12:$BK$12,1,Source_Data!O$5-$B$78),0)</f>
        <v>7.687911</v>
      </c>
      <c r="P87" s="33" t="n">
        <f aca="false">$B$77*IF(Source_Data!P$5-$B$78&gt;=1,INDEX(Source_Data!$D$12:$BK$12,1,Source_Data!P$5-$B$78),0)</f>
        <v>8.467844</v>
      </c>
      <c r="Q87" s="33" t="n">
        <f aca="false">$B$77*IF(Source_Data!Q$5-$B$78&gt;=1,INDEX(Source_Data!$D$12:$BK$12,1,Source_Data!Q$5-$B$78),0)</f>
        <v>10.18688</v>
      </c>
      <c r="R87" s="33" t="n">
        <f aca="false">$B$77*IF(Source_Data!R$5-$B$78&gt;=1,INDEX(Source_Data!$D$12:$BK$12,1,Source_Data!R$5-$B$78),0)</f>
        <v>10.18688</v>
      </c>
      <c r="S87" s="33" t="n">
        <f aca="false">$B$77*IF(Source_Data!S$5-$B$78&gt;=1,INDEX(Source_Data!$D$12:$BK$12,1,Source_Data!S$5-$B$78),0)</f>
        <v>7.32182</v>
      </c>
      <c r="T87" s="33" t="n">
        <f aca="false">$B$77*IF(Source_Data!T$5-$B$78&gt;=1,INDEX(Source_Data!$D$12:$BK$12,1,Source_Data!T$5-$B$78),0)</f>
        <v>0</v>
      </c>
      <c r="U87" s="33" t="n">
        <f aca="false">$B$77*IF(Source_Data!U$5-$B$78&gt;=1,INDEX(Source_Data!$D$12:$BK$12,1,Source_Data!U$5-$B$78),0)</f>
        <v>0</v>
      </c>
      <c r="V87" s="33" t="n">
        <f aca="false">$B$77*IF(Source_Data!V$5-$B$78&gt;=1,INDEX(Source_Data!$D$12:$BK$12,1,Source_Data!V$5-$B$78),0)</f>
        <v>0</v>
      </c>
      <c r="W87" s="33" t="n">
        <f aca="false">$B$77*IF(Source_Data!W$5-$B$78&gt;=1,INDEX(Source_Data!$D$12:$BK$12,1,Source_Data!W$5-$B$78),0)</f>
        <v>0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215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3</v>
      </c>
      <c r="I88" s="33" t="n">
        <f aca="false">Source_Data!I$13*$B$79</f>
        <v>3.96</v>
      </c>
      <c r="J88" s="33" t="n">
        <f aca="false">Source_Data!J$13*$B$79</f>
        <v>6</v>
      </c>
      <c r="K88" s="33" t="n">
        <f aca="false">Source_Data!K$13*$B$79</f>
        <v>3.96</v>
      </c>
      <c r="L88" s="33" t="n">
        <f aca="false">Source_Data!L$13*$B$79</f>
        <v>3.96</v>
      </c>
      <c r="M88" s="33" t="n">
        <f aca="false">Source_Data!M$13*$B$79</f>
        <v>3.96</v>
      </c>
      <c r="N88" s="33" t="n">
        <f aca="false">Source_Data!N$13*$B$79</f>
        <v>0.792</v>
      </c>
      <c r="O88" s="33" t="n">
        <f aca="false">Source_Data!O$13*$B$79</f>
        <v>0.792</v>
      </c>
      <c r="P88" s="33" t="n">
        <f aca="false">Source_Data!P$13*$B$79</f>
        <v>18</v>
      </c>
      <c r="Q88" s="33" t="n">
        <f aca="false">Source_Data!Q$13*$B$79</f>
        <v>18</v>
      </c>
      <c r="R88" s="33" t="n">
        <f aca="false">Source_Data!R$13*$B$79</f>
        <v>24.6</v>
      </c>
      <c r="S88" s="33" t="n">
        <f aca="false">Source_Data!S$13*$B$79</f>
        <v>17.55</v>
      </c>
      <c r="T88" s="33" t="n">
        <f aca="false">Source_Data!T$13*$B$79</f>
        <v>0</v>
      </c>
      <c r="U88" s="33" t="n">
        <f aca="false">Source_Data!U$13*$B$79</f>
        <v>0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216</v>
      </c>
      <c r="D89" s="33" t="n">
        <f aca="false">D84-D85-D86-D87-D88</f>
        <v>-91.25</v>
      </c>
      <c r="E89" s="33" t="n">
        <f aca="false">E84-E85-E86-E87-E88</f>
        <v>-11.25</v>
      </c>
      <c r="F89" s="33" t="n">
        <f aca="false">F84-F85-F86-F87-F88</f>
        <v>5.40316125</v>
      </c>
      <c r="G89" s="33" t="n">
        <f aca="false">G84-G85-G86-G87-G88</f>
        <v>22.0563225</v>
      </c>
      <c r="H89" s="33" t="n">
        <f aca="false">H84-H85-H86-H87-H88</f>
        <v>5.663206875</v>
      </c>
      <c r="I89" s="33" t="n">
        <f aca="false">I84-I85-I86-I87-I88</f>
        <v>16.16009125</v>
      </c>
      <c r="J89" s="33" t="n">
        <f aca="false">J84-J85-J86-J87-J88</f>
        <v>-13.220259</v>
      </c>
      <c r="K89" s="33" t="n">
        <f aca="false">K84-K85-K86-K87-K88</f>
        <v>3.63838631250002</v>
      </c>
      <c r="L89" s="33" t="n">
        <f aca="false">L84-L85-L86-L87-L88</f>
        <v>13.77834728125</v>
      </c>
      <c r="M89" s="33" t="n">
        <f aca="false">M84-M85-M86-M87-M88</f>
        <v>470.19583525</v>
      </c>
      <c r="N89" s="33" t="n">
        <f aca="false">N84-N85-N86-N87-N88</f>
        <v>156.625614</v>
      </c>
      <c r="O89" s="33" t="n">
        <f aca="false">O84-O85-O86-O87-O88</f>
        <v>146.677489</v>
      </c>
      <c r="P89" s="33" t="n">
        <f aca="false">P84-P85-P86-P87-P88</f>
        <v>-84.426019</v>
      </c>
      <c r="Q89" s="33" t="n">
        <f aca="false">Q84-Q85-Q86-Q87-Q88</f>
        <v>-114.745914375</v>
      </c>
      <c r="R89" s="33" t="n">
        <f aca="false">R84-R85-R86-R87-R88</f>
        <v>-165.345914375</v>
      </c>
      <c r="S89" s="33" t="n">
        <f aca="false">S84-S85-S86-S87-S88</f>
        <v>-112.0310808125</v>
      </c>
      <c r="T89" s="33" t="n">
        <f aca="false">T84-T85-T86-T87-T88</f>
        <v>22.34930365625</v>
      </c>
      <c r="U89" s="33" t="n">
        <f aca="false">U84-U85-U86-U87-U88</f>
        <v>20.68398753125</v>
      </c>
      <c r="V89" s="33" t="n">
        <f aca="false">V84-V85-V86-V87-V88</f>
        <v>14.09633915625</v>
      </c>
      <c r="W89" s="33" t="n">
        <f aca="false">W84-W85-W86-W87-W88</f>
        <v>9.32123915625</v>
      </c>
      <c r="X89" s="33" t="n">
        <f aca="false">X84-X85-X86-X87-X88</f>
        <v>31.82123915625</v>
      </c>
      <c r="Y89" s="33" t="n">
        <f aca="false">Y84-Y85-Y86-Y87-Y88</f>
        <v>23.81299853125</v>
      </c>
      <c r="Z89" s="33" t="n">
        <f aca="false">Z84-Z85-Z86-Z87-Z88</f>
        <v>23.81299853125</v>
      </c>
      <c r="AA89" s="33" t="n">
        <f aca="false">AA84-AA85-AA86-AA87-AA88</f>
        <v>23.81299853125</v>
      </c>
      <c r="AB89" s="33" t="n">
        <f aca="false">AB84-AB85-AB86-AB87-AB88</f>
        <v>39.94619853125</v>
      </c>
      <c r="AC89" s="33" t="n">
        <f aca="false">AC84-AC85-AC86-AC87-AC88</f>
        <v>36.34249025</v>
      </c>
      <c r="AD89" s="33" t="n">
        <f aca="false">AD84-AD85-AD86-AD87-AD88</f>
        <v>32.373188375</v>
      </c>
      <c r="AE89" s="33" t="n">
        <f aca="false">AE84-AE85-AE86-AE87-AE88</f>
        <v>27.598088375</v>
      </c>
      <c r="AF89" s="33" t="n">
        <f aca="false">AF84-AF85-AF86-AF87-AF88</f>
        <v>-137.363857570265</v>
      </c>
      <c r="AG89" s="33" t="n">
        <f aca="false">AG84-AG85-AG86-AG87-AG88</f>
        <v>10.7946648317042</v>
      </c>
      <c r="AH89" s="33" t="n">
        <f aca="false">AH84-AH85-AH86-AH87-AH88</f>
        <v>10.7946648317042</v>
      </c>
      <c r="AI89" s="33" t="n">
        <f aca="false">AI84-AI85-AI86-AI87-AI88</f>
        <v>10.7946648317042</v>
      </c>
      <c r="AJ89" s="33" t="n">
        <f aca="false">AJ84-AJ85-AJ86-AJ87-AJ88</f>
        <v>10.7946648317042</v>
      </c>
      <c r="AK89" s="33" t="n">
        <f aca="false">AK84-AK85-AK86-AK87-AK88</f>
        <v>9.85496633957795</v>
      </c>
      <c r="AL89" s="33" t="n">
        <f aca="false">AL84-AL85-AL86-AL87-AL88</f>
        <v>9.85496633957795</v>
      </c>
      <c r="AM89" s="33" t="n">
        <f aca="false">AM84-AM85-AM86-AM87-AM88</f>
        <v>8.0627297951749</v>
      </c>
      <c r="AN89" s="33" t="n">
        <f aca="false">AN84-AN85-AN86-AN87-AN88</f>
        <v>4.14167732927183</v>
      </c>
      <c r="AO89" s="33" t="n">
        <f aca="false">AO84-AO85-AO86-AO87-AO88</f>
        <v>1.53620275234547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217</v>
      </c>
      <c r="D90" s="33" t="n">
        <f aca="false">D89</f>
        <v>-91.25</v>
      </c>
      <c r="E90" s="33" t="n">
        <f aca="false">D90+E89</f>
        <v>-102.5</v>
      </c>
      <c r="F90" s="33" t="n">
        <f aca="false">E90+F89</f>
        <v>-97.09683875</v>
      </c>
      <c r="G90" s="33" t="n">
        <f aca="false">F90+G89</f>
        <v>-75.04051625</v>
      </c>
      <c r="H90" s="33" t="n">
        <f aca="false">G90+H89</f>
        <v>-69.377309375</v>
      </c>
      <c r="I90" s="33" t="n">
        <f aca="false">H90+I89</f>
        <v>-53.217218125</v>
      </c>
      <c r="J90" s="33" t="n">
        <f aca="false">I90+J89</f>
        <v>-66.437477125</v>
      </c>
      <c r="K90" s="33" t="n">
        <f aca="false">J90+K89</f>
        <v>-62.7990908125</v>
      </c>
      <c r="L90" s="33" t="n">
        <f aca="false">K90+L89</f>
        <v>-49.02074353125</v>
      </c>
      <c r="M90" s="33" t="n">
        <f aca="false">L90+M89</f>
        <v>421.17509171875</v>
      </c>
      <c r="N90" s="33" t="n">
        <f aca="false">M90+N89</f>
        <v>577.80070571875</v>
      </c>
      <c r="O90" s="33" t="n">
        <f aca="false">N90+O89</f>
        <v>724.47819471875</v>
      </c>
      <c r="P90" s="33" t="n">
        <f aca="false">O90+P89</f>
        <v>640.05217571875</v>
      </c>
      <c r="Q90" s="33" t="n">
        <f aca="false">P90+Q89</f>
        <v>525.30626134375</v>
      </c>
      <c r="R90" s="33" t="n">
        <f aca="false">Q90+R89</f>
        <v>359.96034696875</v>
      </c>
      <c r="S90" s="33" t="n">
        <f aca="false">R90+S89</f>
        <v>247.92926615625</v>
      </c>
      <c r="T90" s="33" t="n">
        <f aca="false">S90+T89</f>
        <v>270.2785698125</v>
      </c>
      <c r="U90" s="33" t="n">
        <f aca="false">T90+U89</f>
        <v>290.96255734375</v>
      </c>
      <c r="V90" s="33" t="n">
        <f aca="false">U90+V89</f>
        <v>305.0588965</v>
      </c>
      <c r="W90" s="33" t="n">
        <f aca="false">V90+W89</f>
        <v>314.38013565625</v>
      </c>
      <c r="X90" s="33" t="n">
        <f aca="false">W90+X89</f>
        <v>346.2013748125</v>
      </c>
      <c r="Y90" s="33" t="n">
        <f aca="false">X90+Y89</f>
        <v>370.01437334375</v>
      </c>
      <c r="Z90" s="33" t="n">
        <f aca="false">Y90+Z89</f>
        <v>393.827371875</v>
      </c>
      <c r="AA90" s="33" t="n">
        <f aca="false">Z90+AA89</f>
        <v>417.64037040625</v>
      </c>
      <c r="AB90" s="33" t="n">
        <f aca="false">AA90+AB89</f>
        <v>457.5865689375</v>
      </c>
      <c r="AC90" s="33" t="n">
        <f aca="false">AB90+AC89</f>
        <v>493.9290591875</v>
      </c>
      <c r="AD90" s="33" t="n">
        <f aca="false">AC90+AD89</f>
        <v>526.3022475625</v>
      </c>
      <c r="AE90" s="33" t="n">
        <f aca="false">AD90+AE89</f>
        <v>553.9003359375</v>
      </c>
      <c r="AF90" s="33" t="n">
        <f aca="false">AE90+AF89</f>
        <v>416.536478367235</v>
      </c>
      <c r="AG90" s="33" t="n">
        <f aca="false">AF90+AG89</f>
        <v>427.331143198939</v>
      </c>
      <c r="AH90" s="33" t="n">
        <f aca="false">AG90+AH89</f>
        <v>438.125808030644</v>
      </c>
      <c r="AI90" s="33" t="n">
        <f aca="false">AH90+AI89</f>
        <v>448.920472862348</v>
      </c>
      <c r="AJ90" s="33" t="n">
        <f aca="false">AI90+AJ89</f>
        <v>459.715137694052</v>
      </c>
      <c r="AK90" s="33" t="n">
        <f aca="false">AJ90+AK89</f>
        <v>469.57010403363</v>
      </c>
      <c r="AL90" s="33" t="n">
        <f aca="false">AK90+AL89</f>
        <v>479.425070373208</v>
      </c>
      <c r="AM90" s="33" t="n">
        <f aca="false">AL90+AM89</f>
        <v>487.487800168383</v>
      </c>
      <c r="AN90" s="33" t="n">
        <f aca="false">AM90+AN89</f>
        <v>491.629477497655</v>
      </c>
      <c r="AO90" s="33" t="n">
        <f aca="false">AN90+AO89</f>
        <v>493.16568025</v>
      </c>
      <c r="AP90" s="33" t="n">
        <f aca="false">AO90+AP89</f>
        <v>493.16568025</v>
      </c>
      <c r="AQ90" s="33" t="n">
        <f aca="false">AP90+AQ89</f>
        <v>493.16568025</v>
      </c>
      <c r="AR90" s="33" t="n">
        <f aca="false">AQ90+AR89</f>
        <v>493.16568025</v>
      </c>
      <c r="AS90" s="33" t="n">
        <f aca="false">AR90+AS89</f>
        <v>493.16568025</v>
      </c>
      <c r="AT90" s="33" t="n">
        <f aca="false">AS90+AT89</f>
        <v>493.16568025</v>
      </c>
      <c r="AU90" s="33" t="n">
        <f aca="false">AT90+AU89</f>
        <v>493.16568025</v>
      </c>
      <c r="AV90" s="33" t="n">
        <f aca="false">AU90+AV89</f>
        <v>493.16568025</v>
      </c>
      <c r="AW90" s="33" t="n">
        <f aca="false">AV90+AW89</f>
        <v>493.16568025</v>
      </c>
      <c r="AX90" s="33" t="n">
        <f aca="false">AW90+AX89</f>
        <v>493.16568025</v>
      </c>
      <c r="AY90" s="33" t="n">
        <f aca="false">AX90+AY89</f>
        <v>493.16568025</v>
      </c>
      <c r="AZ90" s="33" t="n">
        <f aca="false">AY90+AZ89</f>
        <v>493.16568025</v>
      </c>
      <c r="BA90" s="33" t="n">
        <f aca="false">AZ90+BA89</f>
        <v>493.16568025</v>
      </c>
      <c r="BB90" s="33" t="n">
        <f aca="false">BA90+BB89</f>
        <v>493.16568025</v>
      </c>
      <c r="BC90" s="33" t="n">
        <f aca="false">BB90+BC89</f>
        <v>493.16568025</v>
      </c>
      <c r="BD90" s="33" t="n">
        <f aca="false">BC90+BD89</f>
        <v>493.16568025</v>
      </c>
      <c r="BE90" s="33" t="n">
        <f aca="false">BD90+BE89</f>
        <v>493.16568025</v>
      </c>
      <c r="BF90" s="33" t="n">
        <f aca="false">BE90+BF89</f>
        <v>493.16568025</v>
      </c>
      <c r="BG90" s="33" t="n">
        <f aca="false">BF90+BG89</f>
        <v>493.16568025</v>
      </c>
      <c r="BH90" s="33" t="n">
        <f aca="false">BG90+BH89</f>
        <v>493.16568025</v>
      </c>
      <c r="BI90" s="33" t="n">
        <f aca="false">BH90+BI89</f>
        <v>493.16568025</v>
      </c>
      <c r="BJ90" s="33" t="n">
        <f aca="false">BI90+BJ89</f>
        <v>493.16568025</v>
      </c>
      <c r="BK90" s="33" t="n">
        <f aca="false">BJ90+BK89</f>
        <v>493.16568025</v>
      </c>
    </row>
    <row r="91" customFormat="false" ht="15" hidden="false" customHeight="false" outlineLevel="0" collapsed="false">
      <c r="A91" s="3" t="s">
        <v>340</v>
      </c>
      <c r="D91" s="33" t="n">
        <f aca="false">IF(Source_Data!D$6=Inputs!$B$12,-Inputs!$B$7,0)+IF(AND(Source_Data!D$6&gt;=$B$82,Source_Data!D$6&lt;$B$82+3*Inputs!$B$16,MOD(Source_Data!D$6-$B$82,3)=0),Inputs!$B$8*Inputs!$B$7*Inputs!$B$34*$B$77*(1-Inputs!$B$15)/Inputs!$B$16,0)</f>
        <v>-100</v>
      </c>
      <c r="E91" s="33" t="n">
        <f aca="false">IF(Source_Data!E$6=Inputs!$B$12,-Inputs!$B$7,0)+IF(AND(Source_Data!E$6&gt;=$B$82,Source_Data!E$6&lt;$B$82+3*Inputs!$B$16,MOD(Source_Data!E$6-$B$82,3)=0),Inputs!$B$8*Inputs!$B$7*Inputs!$B$34*$B$77*(1-Inputs!$B$15)/Inputs!$B$16,0)</f>
        <v>0</v>
      </c>
      <c r="F91" s="33" t="n">
        <f aca="false">IF(Source_Data!F$6=Inputs!$B$12,-Inputs!$B$7,0)+IF(AND(Source_Data!F$6&gt;=$B$82,Source_Data!F$6&lt;$B$82+3*Inputs!$B$16,MOD(Source_Data!F$6-$B$82,3)=0),Inputs!$B$8*Inputs!$B$7*Inputs!$B$34*$B$77*(1-Inputs!$B$15)/Inputs!$B$16,0)</f>
        <v>0</v>
      </c>
      <c r="G91" s="33" t="n">
        <f aca="false">IF(Source_Data!G$6=Inputs!$B$12,-Inputs!$B$7,0)+IF(AND(Source_Data!G$6&gt;=$B$82,Source_Data!G$6&lt;$B$82+3*Inputs!$B$16,MOD(Source_Data!G$6-$B$82,3)=0),Inputs!$B$8*Inputs!$B$7*Inputs!$B$34*$B$77*(1-Inputs!$B$15)/Inputs!$B$16,0)</f>
        <v>0</v>
      </c>
      <c r="H91" s="33" t="n">
        <f aca="false">IF(Source_Data!H$6=Inputs!$B$12,-Inputs!$B$7,0)+IF(AND(Source_Data!H$6&gt;=$B$82,Source_Data!H$6&lt;$B$82+3*Inputs!$B$16,MOD(Source_Data!H$6-$B$82,3)=0),Inputs!$B$8*Inputs!$B$7*Inputs!$B$34*$B$77*(1-Inputs!$B$15)/Inputs!$B$16,0)</f>
        <v>0</v>
      </c>
      <c r="I91" s="33" t="n">
        <f aca="false">IF(Source_Data!I$6=Inputs!$B$12,-Inputs!$B$7,0)+IF(AND(Source_Data!I$6&gt;=$B$82,Source_Data!I$6&lt;$B$82+3*Inputs!$B$16,MOD(Source_Data!I$6-$B$82,3)=0),Inputs!$B$8*Inputs!$B$7*Inputs!$B$34*$B$77*(1-Inputs!$B$15)/Inputs!$B$16,0)</f>
        <v>0</v>
      </c>
      <c r="J91" s="33" t="n">
        <f aca="false">IF(Source_Data!J$6=Inputs!$B$12,-Inputs!$B$7,0)+IF(AND(Source_Data!J$6&gt;=$B$82,Source_Data!J$6&lt;$B$82+3*Inputs!$B$16,MOD(Source_Data!J$6-$B$82,3)=0),Inputs!$B$8*Inputs!$B$7*Inputs!$B$34*$B$77*(1-Inputs!$B$15)/Inputs!$B$16,0)</f>
        <v>0</v>
      </c>
      <c r="K91" s="33" t="n">
        <f aca="false">IF(Source_Data!K$6=Inputs!$B$12,-Inputs!$B$7,0)+IF(AND(Source_Data!K$6&gt;=$B$82,Source_Data!K$6&lt;$B$82+3*Inputs!$B$16,MOD(Source_Data!K$6-$B$82,3)=0),Inputs!$B$8*Inputs!$B$7*Inputs!$B$34*$B$77*(1-Inputs!$B$15)/Inputs!$B$16,0)</f>
        <v>0</v>
      </c>
      <c r="L91" s="33" t="n">
        <f aca="false">IF(Source_Data!L$6=Inputs!$B$12,-Inputs!$B$7,0)+IF(AND(Source_Data!L$6&gt;=$B$82,Source_Data!L$6&lt;$B$82+3*Inputs!$B$16,MOD(Source_Data!L$6-$B$82,3)=0),Inputs!$B$8*Inputs!$B$7*Inputs!$B$34*$B$77*(1-Inputs!$B$15)/Inputs!$B$16,0)</f>
        <v>0</v>
      </c>
      <c r="M91" s="33" t="n">
        <f aca="false">IF(Source_Data!M$6=Inputs!$B$12,-Inputs!$B$7,0)+IF(AND(Source_Data!M$6&gt;=$B$82,Source_Data!M$6&lt;$B$82+3*Inputs!$B$16,MOD(Source_Data!M$6-$B$82,3)=0),Inputs!$B$8*Inputs!$B$7*Inputs!$B$34*$B$77*(1-Inputs!$B$15)/Inputs!$B$16,0)</f>
        <v>0</v>
      </c>
      <c r="N91" s="33" t="n">
        <f aca="false">IF(Source_Data!N$6=Inputs!$B$12,-Inputs!$B$7,0)+IF(AND(Source_Data!N$6&gt;=$B$82,Source_Data!N$6&lt;$B$82+3*Inputs!$B$16,MOD(Source_Data!N$6-$B$82,3)=0),Inputs!$B$8*Inputs!$B$7*Inputs!$B$34*$B$77*(1-Inputs!$B$15)/Inputs!$B$16,0)</f>
        <v>0</v>
      </c>
      <c r="O91" s="33" t="n">
        <f aca="false">IF(Source_Data!O$6=Inputs!$B$12,-Inputs!$B$7,0)+IF(AND(Source_Data!O$6&gt;=$B$82,Source_Data!O$6&lt;$B$82+3*Inputs!$B$16,MOD(Source_Data!O$6-$B$82,3)=0),Inputs!$B$8*Inputs!$B$7*Inputs!$B$34*$B$77*(1-Inputs!$B$15)/Inputs!$B$16,0)</f>
        <v>0</v>
      </c>
      <c r="P91" s="33" t="n">
        <f aca="false">IF(Source_Data!P$6=Inputs!$B$12,-Inputs!$B$7,0)+IF(AND(Source_Data!P$6&gt;=$B$82,Source_Data!P$6&lt;$B$82+3*Inputs!$B$16,MOD(Source_Data!P$6-$B$82,3)=0),Inputs!$B$8*Inputs!$B$7*Inputs!$B$34*$B$77*(1-Inputs!$B$15)/Inputs!$B$16,0)</f>
        <v>0</v>
      </c>
      <c r="Q91" s="33" t="n">
        <f aca="false">IF(Source_Data!Q$6=Inputs!$B$12,-Inputs!$B$7,0)+IF(AND(Source_Data!Q$6&gt;=$B$82,Source_Data!Q$6&lt;$B$82+3*Inputs!$B$16,MOD(Source_Data!Q$6-$B$82,3)=0),Inputs!$B$8*Inputs!$B$7*Inputs!$B$34*$B$77*(1-Inputs!$B$15)/Inputs!$B$16,0)</f>
        <v>0</v>
      </c>
      <c r="R91" s="33" t="n">
        <f aca="false">IF(Source_Data!R$6=Inputs!$B$12,-Inputs!$B$7,0)+IF(AND(Source_Data!R$6&gt;=$B$82,Source_Data!R$6&lt;$B$82+3*Inputs!$B$16,MOD(Source_Data!R$6-$B$82,3)=0),Inputs!$B$8*Inputs!$B$7*Inputs!$B$34*$B$77*(1-Inputs!$B$15)/Inputs!$B$16,0)</f>
        <v>0</v>
      </c>
      <c r="S91" s="33" t="n">
        <f aca="false">IF(Source_Data!S$6=Inputs!$B$12,-Inputs!$B$7,0)+IF(AND(Source_Data!S$6&gt;=$B$82,Source_Data!S$6&lt;$B$82+3*Inputs!$B$16,MOD(Source_Data!S$6-$B$82,3)=0),Inputs!$B$8*Inputs!$B$7*Inputs!$B$34*$B$77*(1-Inputs!$B$15)/Inputs!$B$16,0)</f>
        <v>0</v>
      </c>
      <c r="T91" s="33" t="n">
        <f aca="false">IF(Source_Data!T$6=Inputs!$B$12,-Inputs!$B$7,0)+IF(AND(Source_Data!T$6&gt;=$B$82,Source_Data!T$6&lt;$B$82+3*Inputs!$B$16,MOD(Source_Data!T$6-$B$82,3)=0),Inputs!$B$8*Inputs!$B$7*Inputs!$B$34*$B$77*(1-Inputs!$B$15)/Inputs!$B$16,0)</f>
        <v>76.4874551971326</v>
      </c>
      <c r="U91" s="33" t="n">
        <f aca="false">IF(Source_Data!U$6=Inputs!$B$12,-Inputs!$B$7,0)+IF(AND(Source_Data!U$6&gt;=$B$82,Source_Data!U$6&lt;$B$82+3*Inputs!$B$16,MOD(Source_Data!U$6-$B$82,3)=0),Inputs!$B$8*Inputs!$B$7*Inputs!$B$34*$B$77*(1-Inputs!$B$15)/Inputs!$B$16,0)</f>
        <v>76.4874551971326</v>
      </c>
      <c r="V91" s="33" t="n">
        <f aca="false">IF(Source_Data!V$6=Inputs!$B$12,-Inputs!$B$7,0)+IF(AND(Source_Data!V$6&gt;=$B$82,Source_Data!V$6&lt;$B$82+3*Inputs!$B$16,MOD(Source_Data!V$6-$B$82,3)=0),Inputs!$B$8*Inputs!$B$7*Inputs!$B$34*$B$77*(1-Inputs!$B$15)/Inputs!$B$16,0)</f>
        <v>76.4874551971326</v>
      </c>
      <c r="W91" s="33" t="n">
        <f aca="false">IF(Source_Data!W$6=Inputs!$B$12,-Inputs!$B$7,0)+IF(AND(Source_Data!W$6&gt;=$B$82,Source_Data!W$6&lt;$B$82+3*Inputs!$B$16,MOD(Source_Data!W$6-$B$82,3)=0),Inputs!$B$8*Inputs!$B$7*Inputs!$B$34*$B$77*(1-Inputs!$B$15)/Inputs!$B$16,0)</f>
        <v>76.4874551971326</v>
      </c>
      <c r="X91" s="33" t="n">
        <f aca="false">IF(Source_Data!X$6=Inputs!$B$12,-Inputs!$B$7,0)+IF(AND(Source_Data!X$6&gt;=$B$82,Source_Data!X$6&lt;$B$82+3*Inputs!$B$16,MOD(Source_Data!X$6-$B$82,3)=0),Inputs!$B$8*Inputs!$B$7*Inputs!$B$34*$B$77*(1-Inputs!$B$15)/Inputs!$B$16,0)</f>
        <v>0</v>
      </c>
      <c r="Y91" s="33" t="n">
        <f aca="false">IF(Source_Data!Y$6=Inputs!$B$12,-Inputs!$B$7,0)+IF(AND(Source_Data!Y$6&gt;=$B$82,Source_Data!Y$6&lt;$B$82+3*Inputs!$B$16,MOD(Source_Data!Y$6-$B$82,3)=0),Inputs!$B$8*Inputs!$B$7*Inputs!$B$34*$B$77*(1-Inputs!$B$15)/Inputs!$B$16,0)</f>
        <v>0</v>
      </c>
      <c r="Z91" s="33" t="n">
        <f aca="false">IF(Source_Data!Z$6=Inputs!$B$12,-Inputs!$B$7,0)+IF(AND(Source_Data!Z$6&gt;=$B$82,Source_Data!Z$6&lt;$B$82+3*Inputs!$B$16,MOD(Source_Data!Z$6-$B$82,3)=0),Inputs!$B$8*Inputs!$B$7*Inputs!$B$34*$B$77*(1-Inputs!$B$15)/Inputs!$B$16,0)</f>
        <v>0</v>
      </c>
      <c r="AA91" s="33" t="n">
        <f aca="false">IF(Source_Data!AA$6=Inputs!$B$12,-Inputs!$B$7,0)+IF(AND(Source_Data!AA$6&gt;=$B$82,Source_Data!AA$6&lt;$B$82+3*Inputs!$B$16,MOD(Source_Data!AA$6-$B$82,3)=0),Inputs!$B$8*Inputs!$B$7*Inputs!$B$34*$B$77*(1-Inputs!$B$15)/Inputs!$B$16,0)</f>
        <v>0</v>
      </c>
      <c r="AB91" s="33" t="n">
        <f aca="false">IF(Source_Data!AB$6=Inputs!$B$12,-Inputs!$B$7,0)+IF(AND(Source_Data!AB$6&gt;=$B$82,Source_Data!AB$6&lt;$B$82+3*Inputs!$B$16,MOD(Source_Data!AB$6-$B$82,3)=0),Inputs!$B$8*Inputs!$B$7*Inputs!$B$34*$B$77*(1-Inputs!$B$15)/Inputs!$B$16,0)</f>
        <v>0</v>
      </c>
      <c r="AC91" s="33" t="n">
        <f aca="false">IF(Source_Data!AC$6=Inputs!$B$12,-Inputs!$B$7,0)+IF(AND(Source_Data!AC$6&gt;=$B$82,Source_Data!AC$6&lt;$B$82+3*Inputs!$B$16,MOD(Source_Data!AC$6-$B$82,3)=0),Inputs!$B$8*Inputs!$B$7*Inputs!$B$34*$B$77*(1-Inputs!$B$15)/Inputs!$B$16,0)</f>
        <v>0</v>
      </c>
      <c r="AD91" s="33" t="n">
        <f aca="false">IF(Source_Data!AD$6=Inputs!$B$12,-Inputs!$B$7,0)+IF(AND(Source_Data!AD$6&gt;=$B$82,Source_Data!AD$6&lt;$B$82+3*Inputs!$B$16,MOD(Source_Data!AD$6-$B$82,3)=0),Inputs!$B$8*Inputs!$B$7*Inputs!$B$34*$B$77*(1-Inputs!$B$15)/Inputs!$B$16,0)</f>
        <v>0</v>
      </c>
      <c r="AE91" s="33" t="n">
        <f aca="false">IF(Source_Data!AE$6=Inputs!$B$12,-Inputs!$B$7,0)+IF(AND(Source_Data!AE$6&gt;=$B$82,Source_Data!AE$6&lt;$B$82+3*Inputs!$B$16,MOD(Source_Data!AE$6-$B$82,3)=0),Inputs!$B$8*Inputs!$B$7*Inputs!$B$34*$B$77*(1-Inputs!$B$15)/Inputs!$B$16,0)</f>
        <v>0</v>
      </c>
      <c r="AF91" s="33" t="n">
        <f aca="false">IF(Source_Data!AF$6=Inputs!$B$12,-Inputs!$B$7,0)+IF(AND(Source_Data!AF$6&gt;=$B$82,Source_Data!AF$6&lt;$B$82+3*Inputs!$B$16,MOD(Source_Data!AF$6-$B$82,3)=0),Inputs!$B$8*Inputs!$B$7*Inputs!$B$34*$B$77*(1-Inputs!$B$15)/Inputs!$B$16,0)</f>
        <v>0</v>
      </c>
      <c r="AG91" s="33" t="n">
        <f aca="false">IF(Source_Data!AG$6=Inputs!$B$12,-Inputs!$B$7,0)+IF(AND(Source_Data!AG$6&gt;=$B$82,Source_Data!AG$6&lt;$B$82+3*Inputs!$B$16,MOD(Source_Data!AG$6-$B$82,3)=0),Inputs!$B$8*Inputs!$B$7*Inputs!$B$34*$B$77*(1-Inputs!$B$15)/Inputs!$B$16,0)</f>
        <v>0</v>
      </c>
      <c r="AH91" s="33" t="n">
        <f aca="false">IF(Source_Data!AH$6=Inputs!$B$12,-Inputs!$B$7,0)+IF(AND(Source_Data!AH$6&gt;=$B$82,Source_Data!AH$6&lt;$B$82+3*Inputs!$B$16,MOD(Source_Data!AH$6-$B$82,3)=0),Inputs!$B$8*Inputs!$B$7*Inputs!$B$34*$B$77*(1-Inputs!$B$15)/Inputs!$B$16,0)</f>
        <v>0</v>
      </c>
      <c r="AI91" s="33" t="n">
        <f aca="false">IF(Source_Data!AI$6=Inputs!$B$12,-Inputs!$B$7,0)+IF(AND(Source_Data!AI$6&gt;=$B$82,Source_Data!AI$6&lt;$B$82+3*Inputs!$B$16,MOD(Source_Data!AI$6-$B$82,3)=0),Inputs!$B$8*Inputs!$B$7*Inputs!$B$34*$B$77*(1-Inputs!$B$15)/Inputs!$B$16,0)</f>
        <v>0</v>
      </c>
      <c r="AJ91" s="33" t="n">
        <f aca="false">IF(Source_Data!AJ$6=Inputs!$B$12,-Inputs!$B$7,0)+IF(AND(Source_Data!AJ$6&gt;=$B$82,Source_Data!AJ$6&lt;$B$82+3*Inputs!$B$16,MOD(Source_Data!AJ$6-$B$82,3)=0),Inputs!$B$8*Inputs!$B$7*Inputs!$B$34*$B$77*(1-Inputs!$B$15)/Inputs!$B$16,0)</f>
        <v>0</v>
      </c>
      <c r="AK91" s="33" t="n">
        <f aca="false">IF(Source_Data!AK$6=Inputs!$B$12,-Inputs!$B$7,0)+IF(AND(Source_Data!AK$6&gt;=$B$82,Source_Data!AK$6&lt;$B$82+3*Inputs!$B$16,MOD(Source_Data!AK$6-$B$82,3)=0),Inputs!$B$8*Inputs!$B$7*Inputs!$B$34*$B$77*(1-Inputs!$B$15)/Inputs!$B$16,0)</f>
        <v>0</v>
      </c>
      <c r="AL91" s="33" t="n">
        <f aca="false">IF(Source_Data!AL$6=Inputs!$B$12,-Inputs!$B$7,0)+IF(AND(Source_Data!AL$6&gt;=$B$82,Source_Data!AL$6&lt;$B$82+3*Inputs!$B$16,MOD(Source_Data!AL$6-$B$82,3)=0),Inputs!$B$8*Inputs!$B$7*Inputs!$B$34*$B$77*(1-Inputs!$B$15)/Inputs!$B$16,0)</f>
        <v>0</v>
      </c>
      <c r="AM91" s="33" t="n">
        <f aca="false">IF(Source_Data!AM$6=Inputs!$B$12,-Inputs!$B$7,0)+IF(AND(Source_Data!AM$6&gt;=$B$82,Source_Data!AM$6&lt;$B$82+3*Inputs!$B$16,MOD(Source_Data!AM$6-$B$82,3)=0),Inputs!$B$8*Inputs!$B$7*Inputs!$B$34*$B$77*(1-Inputs!$B$15)/Inputs!$B$16,0)</f>
        <v>0</v>
      </c>
      <c r="AN91" s="33" t="n">
        <f aca="false">IF(Source_Data!AN$6=Inputs!$B$12,-Inputs!$B$7,0)+IF(AND(Source_Data!AN$6&gt;=$B$82,Source_Data!AN$6&lt;$B$82+3*Inputs!$B$16,MOD(Source_Data!AN$6-$B$82,3)=0),Inputs!$B$8*Inputs!$B$7*Inputs!$B$34*$B$77*(1-Inputs!$B$15)/Inputs!$B$16,0)</f>
        <v>0</v>
      </c>
      <c r="AO91" s="33" t="n">
        <f aca="false">IF(Source_Data!AO$6=Inputs!$B$12,-Inputs!$B$7,0)+IF(AND(Source_Data!AO$6&gt;=$B$82,Source_Data!AO$6&lt;$B$82+3*Inputs!$B$16,MOD(Source_Data!AO$6-$B$82,3)=0),Inputs!$B$8*Inputs!$B$7*Inputs!$B$34*$B$77*(1-Inputs!$B$15)/Inputs!$B$16,0)</f>
        <v>0</v>
      </c>
      <c r="AP91" s="33" t="n">
        <f aca="false">IF(Source_Data!AP$6=Inputs!$B$12,-Inputs!$B$7,0)+IF(AND(Source_Data!AP$6&gt;=$B$82,Source_Data!AP$6&lt;$B$82+3*Inputs!$B$16,MOD(Source_Data!AP$6-$B$82,3)=0),Inputs!$B$8*Inputs!$B$7*Inputs!$B$34*$B$77*(1-Inputs!$B$15)/Inputs!$B$16,0)</f>
        <v>0</v>
      </c>
      <c r="AQ91" s="33" t="n">
        <f aca="false">IF(Source_Data!AQ$6=Inputs!$B$12,-Inputs!$B$7,0)+IF(AND(Source_Data!AQ$6&gt;=$B$82,Source_Data!AQ$6&lt;$B$82+3*Inputs!$B$16,MOD(Source_Data!AQ$6-$B$82,3)=0),Inputs!$B$8*Inputs!$B$7*Inputs!$B$34*$B$77*(1-Inputs!$B$15)/Inputs!$B$16,0)</f>
        <v>0</v>
      </c>
      <c r="AR91" s="33" t="n">
        <f aca="false">IF(Source_Data!AR$6=Inputs!$B$12,-Inputs!$B$7,0)+IF(AND(Source_Data!AR$6&gt;=$B$82,Source_Data!AR$6&lt;$B$82+3*Inputs!$B$16,MOD(Source_Data!AR$6-$B$82,3)=0),Inputs!$B$8*Inputs!$B$7*Inputs!$B$34*$B$77*(1-Inputs!$B$15)/Inputs!$B$16,0)</f>
        <v>0</v>
      </c>
      <c r="AS91" s="33" t="n">
        <f aca="false">IF(Source_Data!AS$6=Inputs!$B$12,-Inputs!$B$7,0)+IF(AND(Source_Data!AS$6&gt;=$B$82,Source_Data!AS$6&lt;$B$82+3*Inputs!$B$16,MOD(Source_Data!AS$6-$B$82,3)=0),Inputs!$B$8*Inputs!$B$7*Inputs!$B$34*$B$77*(1-Inputs!$B$15)/Inputs!$B$16,0)</f>
        <v>0</v>
      </c>
      <c r="AT91" s="33" t="n">
        <f aca="false">IF(Source_Data!AT$6=Inputs!$B$12,-Inputs!$B$7,0)+IF(AND(Source_Data!AT$6&gt;=$B$82,Source_Data!AT$6&lt;$B$82+3*Inputs!$B$16,MOD(Source_Data!AT$6-$B$82,3)=0),Inputs!$B$8*Inputs!$B$7*Inputs!$B$34*$B$77*(1-Inputs!$B$15)/Inputs!$B$16,0)</f>
        <v>0</v>
      </c>
      <c r="AU91" s="33" t="n">
        <f aca="false">IF(Source_Data!AU$6=Inputs!$B$12,-Inputs!$B$7,0)+IF(AND(Source_Data!AU$6&gt;=$B$82,Source_Data!AU$6&lt;$B$82+3*Inputs!$B$16,MOD(Source_Data!AU$6-$B$82,3)=0),Inputs!$B$8*Inputs!$B$7*Inputs!$B$34*$B$77*(1-Inputs!$B$15)/Inputs!$B$16,0)</f>
        <v>0</v>
      </c>
      <c r="AV91" s="33" t="n">
        <f aca="false">IF(Source_Data!AV$6=Inputs!$B$12,-Inputs!$B$7,0)+IF(AND(Source_Data!AV$6&gt;=$B$82,Source_Data!AV$6&lt;$B$82+3*Inputs!$B$16,MOD(Source_Data!AV$6-$B$82,3)=0),Inputs!$B$8*Inputs!$B$7*Inputs!$B$34*$B$77*(1-Inputs!$B$15)/Inputs!$B$16,0)</f>
        <v>0</v>
      </c>
      <c r="AW91" s="33" t="n">
        <f aca="false">IF(Source_Data!AW$6=Inputs!$B$12,-Inputs!$B$7,0)+IF(AND(Source_Data!AW$6&gt;=$B$82,Source_Data!AW$6&lt;$B$82+3*Inputs!$B$16,MOD(Source_Data!AW$6-$B$82,3)=0),Inputs!$B$8*Inputs!$B$7*Inputs!$B$34*$B$77*(1-Inputs!$B$15)/Inputs!$B$16,0)</f>
        <v>0</v>
      </c>
      <c r="AX91" s="33" t="n">
        <f aca="false">IF(Source_Data!AX$6=Inputs!$B$12,-Inputs!$B$7,0)+IF(AND(Source_Data!AX$6&gt;=$B$82,Source_Data!AX$6&lt;$B$82+3*Inputs!$B$16,MOD(Source_Data!AX$6-$B$82,3)=0),Inputs!$B$8*Inputs!$B$7*Inputs!$B$34*$B$77*(1-Inputs!$B$15)/Inputs!$B$16,0)</f>
        <v>0</v>
      </c>
      <c r="AY91" s="33" t="n">
        <f aca="false">IF(Source_Data!AY$6=Inputs!$B$12,-Inputs!$B$7,0)+IF(AND(Source_Data!AY$6&gt;=$B$82,Source_Data!AY$6&lt;$B$82+3*Inputs!$B$16,MOD(Source_Data!AY$6-$B$82,3)=0),Inputs!$B$8*Inputs!$B$7*Inputs!$B$34*$B$77*(1-Inputs!$B$15)/Inputs!$B$16,0)</f>
        <v>0</v>
      </c>
      <c r="AZ91" s="33" t="n">
        <f aca="false">IF(Source_Data!AZ$6=Inputs!$B$12,-Inputs!$B$7,0)+IF(AND(Source_Data!AZ$6&gt;=$B$82,Source_Data!AZ$6&lt;$B$82+3*Inputs!$B$16,MOD(Source_Data!AZ$6-$B$82,3)=0),Inputs!$B$8*Inputs!$B$7*Inputs!$B$34*$B$77*(1-Inputs!$B$15)/Inputs!$B$16,0)</f>
        <v>0</v>
      </c>
      <c r="BA91" s="33" t="n">
        <f aca="false">IF(Source_Data!BA$6=Inputs!$B$12,-Inputs!$B$7,0)+IF(AND(Source_Data!BA$6&gt;=$B$82,Source_Data!BA$6&lt;$B$82+3*Inputs!$B$16,MOD(Source_Data!BA$6-$B$82,3)=0),Inputs!$B$8*Inputs!$B$7*Inputs!$B$34*$B$77*(1-Inputs!$B$15)/Inputs!$B$16,0)</f>
        <v>0</v>
      </c>
      <c r="BB91" s="33" t="n">
        <f aca="false">IF(Source_Data!BB$6=Inputs!$B$12,-Inputs!$B$7,0)+IF(AND(Source_Data!BB$6&gt;=$B$82,Source_Data!BB$6&lt;$B$82+3*Inputs!$B$16,MOD(Source_Data!BB$6-$B$82,3)=0),Inputs!$B$8*Inputs!$B$7*Inputs!$B$34*$B$77*(1-Inputs!$B$15)/Inputs!$B$16,0)</f>
        <v>0</v>
      </c>
      <c r="BC91" s="33" t="n">
        <f aca="false">IF(Source_Data!BC$6=Inputs!$B$12,-Inputs!$B$7,0)+IF(AND(Source_Data!BC$6&gt;=$B$82,Source_Data!BC$6&lt;$B$82+3*Inputs!$B$16,MOD(Source_Data!BC$6-$B$82,3)=0),Inputs!$B$8*Inputs!$B$7*Inputs!$B$34*$B$77*(1-Inputs!$B$15)/Inputs!$B$16,0)</f>
        <v>0</v>
      </c>
      <c r="BD91" s="33" t="n">
        <f aca="false">IF(Source_Data!BD$6=Inputs!$B$12,-Inputs!$B$7,0)+IF(AND(Source_Data!BD$6&gt;=$B$82,Source_Data!BD$6&lt;$B$82+3*Inputs!$B$16,MOD(Source_Data!BD$6-$B$82,3)=0),Inputs!$B$8*Inputs!$B$7*Inputs!$B$34*$B$77*(1-Inputs!$B$15)/Inputs!$B$16,0)</f>
        <v>0</v>
      </c>
      <c r="BE91" s="33" t="n">
        <f aca="false">IF(Source_Data!BE$6=Inputs!$B$12,-Inputs!$B$7,0)+IF(AND(Source_Data!BE$6&gt;=$B$82,Source_Data!BE$6&lt;$B$82+3*Inputs!$B$16,MOD(Source_Data!BE$6-$B$82,3)=0),Inputs!$B$8*Inputs!$B$7*Inputs!$B$34*$B$77*(1-Inputs!$B$15)/Inputs!$B$16,0)</f>
        <v>0</v>
      </c>
      <c r="BF91" s="33" t="n">
        <f aca="false">IF(Source_Data!BF$6=Inputs!$B$12,-Inputs!$B$7,0)+IF(AND(Source_Data!BF$6&gt;=$B$82,Source_Data!BF$6&lt;$B$82+3*Inputs!$B$16,MOD(Source_Data!BF$6-$B$82,3)=0),Inputs!$B$8*Inputs!$B$7*Inputs!$B$34*$B$77*(1-Inputs!$B$15)/Inputs!$B$16,0)</f>
        <v>0</v>
      </c>
      <c r="BG91" s="33" t="n">
        <f aca="false">IF(Source_Data!BG$6=Inputs!$B$12,-Inputs!$B$7,0)+IF(AND(Source_Data!BG$6&gt;=$B$82,Source_Data!BG$6&lt;$B$82+3*Inputs!$B$16,MOD(Source_Data!BG$6-$B$82,3)=0),Inputs!$B$8*Inputs!$B$7*Inputs!$B$34*$B$77*(1-Inputs!$B$15)/Inputs!$B$16,0)</f>
        <v>0</v>
      </c>
      <c r="BH91" s="33" t="n">
        <f aca="false">IF(Source_Data!BH$6=Inputs!$B$12,-Inputs!$B$7,0)+IF(AND(Source_Data!BH$6&gt;=$B$82,Source_Data!BH$6&lt;$B$82+3*Inputs!$B$16,MOD(Source_Data!BH$6-$B$82,3)=0),Inputs!$B$8*Inputs!$B$7*Inputs!$B$34*$B$77*(1-Inputs!$B$15)/Inputs!$B$16,0)</f>
        <v>0</v>
      </c>
      <c r="BI91" s="33" t="n">
        <f aca="false">IF(Source_Data!BI$6=Inputs!$B$12,-Inputs!$B$7,0)+IF(AND(Source_Data!BI$6&gt;=$B$82,Source_Data!BI$6&lt;$B$82+3*Inputs!$B$16,MOD(Source_Data!BI$6-$B$82,3)=0),Inputs!$B$8*Inputs!$B$7*Inputs!$B$34*$B$77*(1-Inputs!$B$15)/Inputs!$B$16,0)</f>
        <v>0</v>
      </c>
      <c r="BJ91" s="33" t="n">
        <f aca="false">IF(Source_Data!BJ$6=Inputs!$B$12,-Inputs!$B$7,0)+IF(AND(Source_Data!BJ$6&gt;=$B$82,Source_Data!BJ$6&lt;$B$82+3*Inputs!$B$16,MOD(Source_Data!BJ$6-$B$82,3)=0),Inputs!$B$8*Inputs!$B$7*Inputs!$B$34*$B$77*(1-Inputs!$B$15)/Inputs!$B$16,0)</f>
        <v>0</v>
      </c>
      <c r="BK91" s="33" t="n">
        <f aca="false">IF(Source_Data!BK$6=Inputs!$B$12,-Inputs!$B$7,0)+IF(AND(Source_Data!BK$6&gt;=$B$82,Source_Data!BK$6&lt;$B$82+3*Inputs!$B$16,MOD(Source_Data!BK$6-$B$82,3)=0),Inputs!$B$8*Inputs!$B$7*Inputs!$B$34*$B$77*(1-Inputs!$B$15)/Inputs!$B$16,0)</f>
        <v>0</v>
      </c>
    </row>
    <row r="92" customFormat="false" ht="15" hidden="false" customHeight="false" outlineLevel="0" collapsed="false">
      <c r="A92" s="3" t="s">
        <v>341</v>
      </c>
      <c r="D92" s="33" t="n">
        <f aca="false">IF(AND(Source_Data!D$6&gt;=Inputs!$B$54,Source_Data!D$6&lt;Inputs!$B$54+3*Inputs!$B$11),Inputs!$B$9*Inputs!$B$7/Inputs!$B$11,0)</f>
        <v>0</v>
      </c>
      <c r="E92" s="33" t="n">
        <f aca="false">IF(AND(Source_Data!E$6&gt;=Inputs!$B$54,Source_Data!E$6&lt;Inputs!$B$54+3*Inputs!$B$11),Inputs!$B$9*Inputs!$B$7/Inputs!$B$11,0)</f>
        <v>0</v>
      </c>
      <c r="F92" s="33" t="n">
        <f aca="false">IF(AND(Source_Data!F$6&gt;=Inputs!$B$54,Source_Data!F$6&lt;Inputs!$B$54+3*Inputs!$B$11),Inputs!$B$9*Inputs!$B$7/Inputs!$B$11,0)</f>
        <v>0</v>
      </c>
      <c r="G92" s="33" t="n">
        <f aca="false">IF(AND(Source_Data!G$6&gt;=Inputs!$B$54,Source_Data!G$6&lt;Inputs!$B$54+3*Inputs!$B$11),Inputs!$B$9*Inputs!$B$7/Inputs!$B$11,0)</f>
        <v>0</v>
      </c>
      <c r="H92" s="33" t="n">
        <f aca="false">IF(AND(Source_Data!H$6&gt;=Inputs!$B$54,Source_Data!H$6&lt;Inputs!$B$54+3*Inputs!$B$11),Inputs!$B$9*Inputs!$B$7/Inputs!$B$11,0)</f>
        <v>0</v>
      </c>
      <c r="I92" s="33" t="n">
        <f aca="false">IF(AND(Source_Data!I$6&gt;=Inputs!$B$54,Source_Data!I$6&lt;Inputs!$B$54+3*Inputs!$B$11),Inputs!$B$9*Inputs!$B$7/Inputs!$B$11,0)</f>
        <v>0</v>
      </c>
      <c r="J92" s="33" t="n">
        <f aca="false">IF(AND(Source_Data!J$6&gt;=Inputs!$B$54,Source_Data!J$6&lt;Inputs!$B$54+3*Inputs!$B$11),Inputs!$B$9*Inputs!$B$7/Inputs!$B$11,0)</f>
        <v>0</v>
      </c>
      <c r="K92" s="33" t="n">
        <f aca="false">IF(AND(Source_Data!K$6&gt;=Inputs!$B$54,Source_Data!K$6&lt;Inputs!$B$54+3*Inputs!$B$11),Inputs!$B$9*Inputs!$B$7/Inputs!$B$11,0)</f>
        <v>0</v>
      </c>
      <c r="L92" s="33" t="n">
        <f aca="false">IF(AND(Source_Data!L$6&gt;=Inputs!$B$54,Source_Data!L$6&lt;Inputs!$B$54+3*Inputs!$B$11),Inputs!$B$9*Inputs!$B$7/Inputs!$B$11,0)</f>
        <v>0</v>
      </c>
      <c r="M92" s="33" t="n">
        <f aca="false">IF(AND(Source_Data!M$6&gt;=Inputs!$B$54,Source_Data!M$6&lt;Inputs!$B$54+3*Inputs!$B$11),Inputs!$B$9*Inputs!$B$7/Inputs!$B$11,0)</f>
        <v>19.1666666666667</v>
      </c>
      <c r="N92" s="33" t="n">
        <f aca="false">IF(AND(Source_Data!N$6&gt;=Inputs!$B$54,Source_Data!N$6&lt;Inputs!$B$54+3*Inputs!$B$11),Inputs!$B$9*Inputs!$B$7/Inputs!$B$11,0)</f>
        <v>19.1666666666667</v>
      </c>
      <c r="O92" s="33" t="n">
        <f aca="false">IF(AND(Source_Data!O$6&gt;=Inputs!$B$54,Source_Data!O$6&lt;Inputs!$B$54+3*Inputs!$B$11),Inputs!$B$9*Inputs!$B$7/Inputs!$B$11,0)</f>
        <v>19.1666666666667</v>
      </c>
      <c r="P92" s="33" t="n">
        <f aca="false">IF(AND(Source_Data!P$6&gt;=Inputs!$B$54,Source_Data!P$6&lt;Inputs!$B$54+3*Inputs!$B$11),Inputs!$B$9*Inputs!$B$7/Inputs!$B$11,0)</f>
        <v>19.1666666666667</v>
      </c>
      <c r="Q92" s="33" t="n">
        <f aca="false">IF(AND(Source_Data!Q$6&gt;=Inputs!$B$54,Source_Data!Q$6&lt;Inputs!$B$54+3*Inputs!$B$11),Inputs!$B$9*Inputs!$B$7/Inputs!$B$11,0)</f>
        <v>19.1666666666667</v>
      </c>
      <c r="R92" s="33" t="n">
        <f aca="false">IF(AND(Source_Data!R$6&gt;=Inputs!$B$54,Source_Data!R$6&lt;Inputs!$B$54+3*Inputs!$B$11),Inputs!$B$9*Inputs!$B$7/Inputs!$B$11,0)</f>
        <v>19.1666666666667</v>
      </c>
      <c r="S92" s="33" t="n">
        <f aca="false">IF(AND(Source_Data!S$6&gt;=Inputs!$B$54,Source_Data!S$6&lt;Inputs!$B$54+3*Inputs!$B$11),Inputs!$B$9*Inputs!$B$7/Inputs!$B$11,0)</f>
        <v>19.1666666666667</v>
      </c>
      <c r="T92" s="33" t="n">
        <f aca="false">IF(AND(Source_Data!T$6&gt;=Inputs!$B$54,Source_Data!T$6&lt;Inputs!$B$54+3*Inputs!$B$11),Inputs!$B$9*Inputs!$B$7/Inputs!$B$11,0)</f>
        <v>19.1666666666667</v>
      </c>
      <c r="U92" s="33" t="n">
        <f aca="false">IF(AND(Source_Data!U$6&gt;=Inputs!$B$54,Source_Data!U$6&lt;Inputs!$B$54+3*Inputs!$B$11),Inputs!$B$9*Inputs!$B$7/Inputs!$B$11,0)</f>
        <v>19.1666666666667</v>
      </c>
      <c r="V92" s="33" t="n">
        <f aca="false">IF(AND(Source_Data!V$6&gt;=Inputs!$B$54,Source_Data!V$6&lt;Inputs!$B$54+3*Inputs!$B$11),Inputs!$B$9*Inputs!$B$7/Inputs!$B$11,0)</f>
        <v>19.1666666666667</v>
      </c>
      <c r="W92" s="33" t="n">
        <f aca="false">IF(AND(Source_Data!W$6&gt;=Inputs!$B$54,Source_Data!W$6&lt;Inputs!$B$54+3*Inputs!$B$11),Inputs!$B$9*Inputs!$B$7/Inputs!$B$11,0)</f>
        <v>19.1666666666667</v>
      </c>
      <c r="X92" s="33" t="n">
        <f aca="false">IF(AND(Source_Data!X$6&gt;=Inputs!$B$54,Source_Data!X$6&lt;Inputs!$B$54+3*Inputs!$B$11),Inputs!$B$9*Inputs!$B$7/Inputs!$B$11,0)</f>
        <v>19.1666666666667</v>
      </c>
      <c r="Y92" s="33" t="n">
        <f aca="false">IF(AND(Source_Data!Y$6&gt;=Inputs!$B$54,Source_Data!Y$6&lt;Inputs!$B$54+3*Inputs!$B$11),Inputs!$B$9*Inputs!$B$7/Inputs!$B$11,0)</f>
        <v>0</v>
      </c>
      <c r="Z92" s="33" t="n">
        <f aca="false">IF(AND(Source_Data!Z$6&gt;=Inputs!$B$54,Source_Data!Z$6&lt;Inputs!$B$54+3*Inputs!$B$11),Inputs!$B$9*Inputs!$B$7/Inputs!$B$11,0)</f>
        <v>0</v>
      </c>
      <c r="AA92" s="33" t="n">
        <f aca="false">IF(AND(Source_Data!AA$6&gt;=Inputs!$B$54,Source_Data!AA$6&lt;Inputs!$B$54+3*Inputs!$B$11),Inputs!$B$9*Inputs!$B$7/Inputs!$B$11,0)</f>
        <v>0</v>
      </c>
      <c r="AB92" s="33" t="n">
        <f aca="false">IF(AND(Source_Data!AB$6&gt;=Inputs!$B$54,Source_Data!AB$6&lt;Inputs!$B$54+3*Inputs!$B$11),Inputs!$B$9*Inputs!$B$7/Inputs!$B$11,0)</f>
        <v>0</v>
      </c>
      <c r="AC92" s="33" t="n">
        <f aca="false">IF(AND(Source_Data!AC$6&gt;=Inputs!$B$54,Source_Data!AC$6&lt;Inputs!$B$54+3*Inputs!$B$11),Inputs!$B$9*Inputs!$B$7/Inputs!$B$11,0)</f>
        <v>0</v>
      </c>
      <c r="AD92" s="33" t="n">
        <f aca="false">IF(AND(Source_Data!AD$6&gt;=Inputs!$B$54,Source_Data!AD$6&lt;Inputs!$B$54+3*Inputs!$B$11),Inputs!$B$9*Inputs!$B$7/Inputs!$B$11,0)</f>
        <v>0</v>
      </c>
      <c r="AE92" s="33" t="n">
        <f aca="false">IF(AND(Source_Data!AE$6&gt;=Inputs!$B$54,Source_Data!AE$6&lt;Inputs!$B$54+3*Inputs!$B$11),Inputs!$B$9*Inputs!$B$7/Inputs!$B$11,0)</f>
        <v>0</v>
      </c>
      <c r="AF92" s="33" t="n">
        <f aca="false">IF(AND(Source_Data!AF$6&gt;=Inputs!$B$54,Source_Data!AF$6&lt;Inputs!$B$54+3*Inputs!$B$11),Inputs!$B$9*Inputs!$B$7/Inputs!$B$11,0)</f>
        <v>0</v>
      </c>
      <c r="AG92" s="33" t="n">
        <f aca="false">IF(AND(Source_Data!AG$6&gt;=Inputs!$B$54,Source_Data!AG$6&lt;Inputs!$B$54+3*Inputs!$B$11),Inputs!$B$9*Inputs!$B$7/Inputs!$B$11,0)</f>
        <v>0</v>
      </c>
      <c r="AH92" s="33" t="n">
        <f aca="false">IF(AND(Source_Data!AH$6&gt;=Inputs!$B$54,Source_Data!AH$6&lt;Inputs!$B$54+3*Inputs!$B$11),Inputs!$B$9*Inputs!$B$7/Inputs!$B$11,0)</f>
        <v>0</v>
      </c>
      <c r="AI92" s="33" t="n">
        <f aca="false">IF(AND(Source_Data!AI$6&gt;=Inputs!$B$54,Source_Data!AI$6&lt;Inputs!$B$54+3*Inputs!$B$11),Inputs!$B$9*Inputs!$B$7/Inputs!$B$11,0)</f>
        <v>0</v>
      </c>
      <c r="AJ92" s="33" t="n">
        <f aca="false">IF(AND(Source_Data!AJ$6&gt;=Inputs!$B$54,Source_Data!AJ$6&lt;Inputs!$B$54+3*Inputs!$B$11),Inputs!$B$9*Inputs!$B$7/Inputs!$B$11,0)</f>
        <v>0</v>
      </c>
      <c r="AK92" s="33" t="n">
        <f aca="false">IF(AND(Source_Data!AK$6&gt;=Inputs!$B$54,Source_Data!AK$6&lt;Inputs!$B$54+3*Inputs!$B$11),Inputs!$B$9*Inputs!$B$7/Inputs!$B$11,0)</f>
        <v>0</v>
      </c>
      <c r="AL92" s="33" t="n">
        <f aca="false">IF(AND(Source_Data!AL$6&gt;=Inputs!$B$54,Source_Data!AL$6&lt;Inputs!$B$54+3*Inputs!$B$11),Inputs!$B$9*Inputs!$B$7/Inputs!$B$11,0)</f>
        <v>0</v>
      </c>
      <c r="AM92" s="33" t="n">
        <f aca="false">IF(AND(Source_Data!AM$6&gt;=Inputs!$B$54,Source_Data!AM$6&lt;Inputs!$B$54+3*Inputs!$B$11),Inputs!$B$9*Inputs!$B$7/Inputs!$B$11,0)</f>
        <v>0</v>
      </c>
      <c r="AN92" s="33" t="n">
        <f aca="false">IF(AND(Source_Data!AN$6&gt;=Inputs!$B$54,Source_Data!AN$6&lt;Inputs!$B$54+3*Inputs!$B$11),Inputs!$B$9*Inputs!$B$7/Inputs!$B$11,0)</f>
        <v>0</v>
      </c>
      <c r="AO92" s="33" t="n">
        <f aca="false">IF(AND(Source_Data!AO$6&gt;=Inputs!$B$54,Source_Data!AO$6&lt;Inputs!$B$54+3*Inputs!$B$11),Inputs!$B$9*Inputs!$B$7/Inputs!$B$11,0)</f>
        <v>0</v>
      </c>
      <c r="AP92" s="33" t="n">
        <f aca="false">IF(AND(Source_Data!AP$6&gt;=Inputs!$B$54,Source_Data!AP$6&lt;Inputs!$B$54+3*Inputs!$B$11),Inputs!$B$9*Inputs!$B$7/Inputs!$B$11,0)</f>
        <v>0</v>
      </c>
      <c r="AQ92" s="33" t="n">
        <f aca="false">IF(AND(Source_Data!AQ$6&gt;=Inputs!$B$54,Source_Data!AQ$6&lt;Inputs!$B$54+3*Inputs!$B$11),Inputs!$B$9*Inputs!$B$7/Inputs!$B$11,0)</f>
        <v>0</v>
      </c>
      <c r="AR92" s="33" t="n">
        <f aca="false">IF(AND(Source_Data!AR$6&gt;=Inputs!$B$54,Source_Data!AR$6&lt;Inputs!$B$54+3*Inputs!$B$11),Inputs!$B$9*Inputs!$B$7/Inputs!$B$11,0)</f>
        <v>0</v>
      </c>
      <c r="AS92" s="33" t="n">
        <f aca="false">IF(AND(Source_Data!AS$6&gt;=Inputs!$B$54,Source_Data!AS$6&lt;Inputs!$B$54+3*Inputs!$B$11),Inputs!$B$9*Inputs!$B$7/Inputs!$B$11,0)</f>
        <v>0</v>
      </c>
      <c r="AT92" s="33" t="n">
        <f aca="false">IF(AND(Source_Data!AT$6&gt;=Inputs!$B$54,Source_Data!AT$6&lt;Inputs!$B$54+3*Inputs!$B$11),Inputs!$B$9*Inputs!$B$7/Inputs!$B$11,0)</f>
        <v>0</v>
      </c>
      <c r="AU92" s="33" t="n">
        <f aca="false">IF(AND(Source_Data!AU$6&gt;=Inputs!$B$54,Source_Data!AU$6&lt;Inputs!$B$54+3*Inputs!$B$11),Inputs!$B$9*Inputs!$B$7/Inputs!$B$11,0)</f>
        <v>0</v>
      </c>
      <c r="AV92" s="33" t="n">
        <f aca="false">IF(AND(Source_Data!AV$6&gt;=Inputs!$B$54,Source_Data!AV$6&lt;Inputs!$B$54+3*Inputs!$B$11),Inputs!$B$9*Inputs!$B$7/Inputs!$B$11,0)</f>
        <v>0</v>
      </c>
      <c r="AW92" s="33" t="n">
        <f aca="false">IF(AND(Source_Data!AW$6&gt;=Inputs!$B$54,Source_Data!AW$6&lt;Inputs!$B$54+3*Inputs!$B$11),Inputs!$B$9*Inputs!$B$7/Inputs!$B$11,0)</f>
        <v>0</v>
      </c>
      <c r="AX92" s="33" t="n">
        <f aca="false">IF(AND(Source_Data!AX$6&gt;=Inputs!$B$54,Source_Data!AX$6&lt;Inputs!$B$54+3*Inputs!$B$11),Inputs!$B$9*Inputs!$B$7/Inputs!$B$11,0)</f>
        <v>0</v>
      </c>
      <c r="AY92" s="33" t="n">
        <f aca="false">IF(AND(Source_Data!AY$6&gt;=Inputs!$B$54,Source_Data!AY$6&lt;Inputs!$B$54+3*Inputs!$B$11),Inputs!$B$9*Inputs!$B$7/Inputs!$B$11,0)</f>
        <v>0</v>
      </c>
      <c r="AZ92" s="33" t="n">
        <f aca="false">IF(AND(Source_Data!AZ$6&gt;=Inputs!$B$54,Source_Data!AZ$6&lt;Inputs!$B$54+3*Inputs!$B$11),Inputs!$B$9*Inputs!$B$7/Inputs!$B$11,0)</f>
        <v>0</v>
      </c>
      <c r="BA92" s="33" t="n">
        <f aca="false">IF(AND(Source_Data!BA$6&gt;=Inputs!$B$54,Source_Data!BA$6&lt;Inputs!$B$54+3*Inputs!$B$11),Inputs!$B$9*Inputs!$B$7/Inputs!$B$11,0)</f>
        <v>0</v>
      </c>
      <c r="BB92" s="33" t="n">
        <f aca="false">IF(AND(Source_Data!BB$6&gt;=Inputs!$B$54,Source_Data!BB$6&lt;Inputs!$B$54+3*Inputs!$B$11),Inputs!$B$9*Inputs!$B$7/Inputs!$B$11,0)</f>
        <v>0</v>
      </c>
      <c r="BC92" s="33" t="n">
        <f aca="false">IF(AND(Source_Data!BC$6&gt;=Inputs!$B$54,Source_Data!BC$6&lt;Inputs!$B$54+3*Inputs!$B$11),Inputs!$B$9*Inputs!$B$7/Inputs!$B$11,0)</f>
        <v>0</v>
      </c>
      <c r="BD92" s="33" t="n">
        <f aca="false">IF(AND(Source_Data!BD$6&gt;=Inputs!$B$54,Source_Data!BD$6&lt;Inputs!$B$54+3*Inputs!$B$11),Inputs!$B$9*Inputs!$B$7/Inputs!$B$11,0)</f>
        <v>0</v>
      </c>
      <c r="BE92" s="33" t="n">
        <f aca="false">IF(AND(Source_Data!BE$6&gt;=Inputs!$B$54,Source_Data!BE$6&lt;Inputs!$B$54+3*Inputs!$B$11),Inputs!$B$9*Inputs!$B$7/Inputs!$B$11,0)</f>
        <v>0</v>
      </c>
      <c r="BF92" s="33" t="n">
        <f aca="false">IF(AND(Source_Data!BF$6&gt;=Inputs!$B$54,Source_Data!BF$6&lt;Inputs!$B$54+3*Inputs!$B$11),Inputs!$B$9*Inputs!$B$7/Inputs!$B$11,0)</f>
        <v>0</v>
      </c>
      <c r="BG92" s="33" t="n">
        <f aca="false">IF(AND(Source_Data!BG$6&gt;=Inputs!$B$54,Source_Data!BG$6&lt;Inputs!$B$54+3*Inputs!$B$11),Inputs!$B$9*Inputs!$B$7/Inputs!$B$11,0)</f>
        <v>0</v>
      </c>
      <c r="BH92" s="33" t="n">
        <f aca="false">IF(AND(Source_Data!BH$6&gt;=Inputs!$B$54,Source_Data!BH$6&lt;Inputs!$B$54+3*Inputs!$B$11),Inputs!$B$9*Inputs!$B$7/Inputs!$B$11,0)</f>
        <v>0</v>
      </c>
      <c r="BI92" s="33" t="n">
        <f aca="false">IF(AND(Source_Data!BI$6&gt;=Inputs!$B$54,Source_Data!BI$6&lt;Inputs!$B$54+3*Inputs!$B$11),Inputs!$B$9*Inputs!$B$7/Inputs!$B$11,0)</f>
        <v>0</v>
      </c>
      <c r="BJ92" s="33" t="n">
        <f aca="false">IF(AND(Source_Data!BJ$6&gt;=Inputs!$B$54,Source_Data!BJ$6&lt;Inputs!$B$54+3*Inputs!$B$11),Inputs!$B$9*Inputs!$B$7/Inputs!$B$11,0)</f>
        <v>0</v>
      </c>
      <c r="BK92" s="33" t="n">
        <f aca="false">IF(AND(Source_Data!BK$6&gt;=Inputs!$B$54,Source_Data!BK$6&lt;Inputs!$B$54+3*Inputs!$B$11),Inputs!$B$9*Inputs!$B$7/Inputs!$B$11,0)</f>
        <v>0</v>
      </c>
    </row>
    <row r="93" customFormat="false" ht="15" hidden="false" customHeight="false" outlineLevel="0" collapsed="false">
      <c r="A93" s="3" t="s">
        <v>342</v>
      </c>
      <c r="D93" s="33" t="n">
        <f aca="false">IF(Source_Data!D$6=Inputs!$B$12,-Inputs!$B$7,0)+D92</f>
        <v>-100</v>
      </c>
      <c r="E93" s="33" t="n">
        <f aca="false">IF(Source_Data!E$6=Inputs!$B$12,-Inputs!$B$7,0)+E92</f>
        <v>0</v>
      </c>
      <c r="F93" s="33" t="n">
        <f aca="false">IF(Source_Data!F$6=Inputs!$B$12,-Inputs!$B$7,0)+F92</f>
        <v>0</v>
      </c>
      <c r="G93" s="33" t="n">
        <f aca="false">IF(Source_Data!G$6=Inputs!$B$12,-Inputs!$B$7,0)+G92</f>
        <v>0</v>
      </c>
      <c r="H93" s="33" t="n">
        <f aca="false">IF(Source_Data!H$6=Inputs!$B$12,-Inputs!$B$7,0)+H92</f>
        <v>0</v>
      </c>
      <c r="I93" s="33" t="n">
        <f aca="false">IF(Source_Data!I$6=Inputs!$B$12,-Inputs!$B$7,0)+I92</f>
        <v>0</v>
      </c>
      <c r="J93" s="33" t="n">
        <f aca="false">IF(Source_Data!J$6=Inputs!$B$12,-Inputs!$B$7,0)+J92</f>
        <v>0</v>
      </c>
      <c r="K93" s="33" t="n">
        <f aca="false">IF(Source_Data!K$6=Inputs!$B$12,-Inputs!$B$7,0)+K92</f>
        <v>0</v>
      </c>
      <c r="L93" s="33" t="n">
        <f aca="false">IF(Source_Data!L$6=Inputs!$B$12,-Inputs!$B$7,0)+L92</f>
        <v>0</v>
      </c>
      <c r="M93" s="33" t="n">
        <f aca="false">IF(Source_Data!M$6=Inputs!$B$12,-Inputs!$B$7,0)+M92</f>
        <v>19.1666666666667</v>
      </c>
      <c r="N93" s="33" t="n">
        <f aca="false">IF(Source_Data!N$6=Inputs!$B$12,-Inputs!$B$7,0)+N92</f>
        <v>19.1666666666667</v>
      </c>
      <c r="O93" s="33" t="n">
        <f aca="false">IF(Source_Data!O$6=Inputs!$B$12,-Inputs!$B$7,0)+O92</f>
        <v>19.1666666666667</v>
      </c>
      <c r="P93" s="33" t="n">
        <f aca="false">IF(Source_Data!P$6=Inputs!$B$12,-Inputs!$B$7,0)+P92</f>
        <v>19.1666666666667</v>
      </c>
      <c r="Q93" s="33" t="n">
        <f aca="false">IF(Source_Data!Q$6=Inputs!$B$12,-Inputs!$B$7,0)+Q92</f>
        <v>19.1666666666667</v>
      </c>
      <c r="R93" s="33" t="n">
        <f aca="false">IF(Source_Data!R$6=Inputs!$B$12,-Inputs!$B$7,0)+R92</f>
        <v>19.1666666666667</v>
      </c>
      <c r="S93" s="33" t="n">
        <f aca="false">IF(Source_Data!S$6=Inputs!$B$12,-Inputs!$B$7,0)+S92</f>
        <v>19.1666666666667</v>
      </c>
      <c r="T93" s="33" t="n">
        <f aca="false">IF(Source_Data!T$6=Inputs!$B$12,-Inputs!$B$7,0)+T92</f>
        <v>19.1666666666667</v>
      </c>
      <c r="U93" s="33" t="n">
        <f aca="false">IF(Source_Data!U$6=Inputs!$B$12,-Inputs!$B$7,0)+U92</f>
        <v>19.1666666666667</v>
      </c>
      <c r="V93" s="33" t="n">
        <f aca="false">IF(Source_Data!V$6=Inputs!$B$12,-Inputs!$B$7,0)+V92</f>
        <v>19.1666666666667</v>
      </c>
      <c r="W93" s="33" t="n">
        <f aca="false">IF(Source_Data!W$6=Inputs!$B$12,-Inputs!$B$7,0)+W92</f>
        <v>19.1666666666667</v>
      </c>
      <c r="X93" s="33" t="n">
        <f aca="false">IF(Source_Data!X$6=Inputs!$B$12,-Inputs!$B$7,0)+X92</f>
        <v>19.1666666666667</v>
      </c>
      <c r="Y93" s="33" t="n">
        <f aca="false">IF(Source_Data!Y$6=Inputs!$B$12,-Inputs!$B$7,0)+Y92</f>
        <v>0</v>
      </c>
      <c r="Z93" s="33" t="n">
        <f aca="false">IF(Source_Data!Z$6=Inputs!$B$12,-Inputs!$B$7,0)+Z92</f>
        <v>0</v>
      </c>
      <c r="AA93" s="33" t="n">
        <f aca="false">IF(Source_Data!AA$6=Inputs!$B$12,-Inputs!$B$7,0)+AA92</f>
        <v>0</v>
      </c>
      <c r="AB93" s="33" t="n">
        <f aca="false">IF(Source_Data!AB$6=Inputs!$B$12,-Inputs!$B$7,0)+AB92</f>
        <v>0</v>
      </c>
      <c r="AC93" s="33" t="n">
        <f aca="false">IF(Source_Data!AC$6=Inputs!$B$12,-Inputs!$B$7,0)+AC92</f>
        <v>0</v>
      </c>
      <c r="AD93" s="33" t="n">
        <f aca="false">IF(Source_Data!AD$6=Inputs!$B$12,-Inputs!$B$7,0)+AD92</f>
        <v>0</v>
      </c>
      <c r="AE93" s="33" t="n">
        <f aca="false">IF(Source_Data!AE$6=Inputs!$B$12,-Inputs!$B$7,0)+AE92</f>
        <v>0</v>
      </c>
      <c r="AF93" s="33" t="n">
        <f aca="false">IF(Source_Data!AF$6=Inputs!$B$12,-Inputs!$B$7,0)+AF92</f>
        <v>0</v>
      </c>
      <c r="AG93" s="33" t="n">
        <f aca="false">IF(Source_Data!AG$6=Inputs!$B$12,-Inputs!$B$7,0)+AG92</f>
        <v>0</v>
      </c>
      <c r="AH93" s="33" t="n">
        <f aca="false">IF(Source_Data!AH$6=Inputs!$B$12,-Inputs!$B$7,0)+AH92</f>
        <v>0</v>
      </c>
      <c r="AI93" s="33" t="n">
        <f aca="false">IF(Source_Data!AI$6=Inputs!$B$12,-Inputs!$B$7,0)+AI92</f>
        <v>0</v>
      </c>
      <c r="AJ93" s="33" t="n">
        <f aca="false">IF(Source_Data!AJ$6=Inputs!$B$12,-Inputs!$B$7,0)+AJ92</f>
        <v>0</v>
      </c>
      <c r="AK93" s="33" t="n">
        <f aca="false">IF(Source_Data!AK$6=Inputs!$B$12,-Inputs!$B$7,0)+AK92</f>
        <v>0</v>
      </c>
      <c r="AL93" s="33" t="n">
        <f aca="false">IF(Source_Data!AL$6=Inputs!$B$12,-Inputs!$B$7,0)+AL92</f>
        <v>0</v>
      </c>
      <c r="AM93" s="33" t="n">
        <f aca="false">IF(Source_Data!AM$6=Inputs!$B$12,-Inputs!$B$7,0)+AM92</f>
        <v>0</v>
      </c>
      <c r="AN93" s="33" t="n">
        <f aca="false">IF(Source_Data!AN$6=Inputs!$B$12,-Inputs!$B$7,0)+AN92</f>
        <v>0</v>
      </c>
      <c r="AO93" s="33" t="n">
        <f aca="false">IF(Source_Data!AO$6=Inputs!$B$12,-Inputs!$B$7,0)+AO92</f>
        <v>0</v>
      </c>
      <c r="AP93" s="33" t="n">
        <f aca="false">IF(Source_Data!AP$6=Inputs!$B$12,-Inputs!$B$7,0)+AP92</f>
        <v>0</v>
      </c>
      <c r="AQ93" s="33" t="n">
        <f aca="false">IF(Source_Data!AQ$6=Inputs!$B$12,-Inputs!$B$7,0)+AQ92</f>
        <v>0</v>
      </c>
      <c r="AR93" s="33" t="n">
        <f aca="false">IF(Source_Data!AR$6=Inputs!$B$12,-Inputs!$B$7,0)+AR92</f>
        <v>0</v>
      </c>
      <c r="AS93" s="33" t="n">
        <f aca="false">IF(Source_Data!AS$6=Inputs!$B$12,-Inputs!$B$7,0)+AS92</f>
        <v>0</v>
      </c>
      <c r="AT93" s="33" t="n">
        <f aca="false">IF(Source_Data!AT$6=Inputs!$B$12,-Inputs!$B$7,0)+AT92</f>
        <v>0</v>
      </c>
      <c r="AU93" s="33" t="n">
        <f aca="false">IF(Source_Data!AU$6=Inputs!$B$12,-Inputs!$B$7,0)+AU92</f>
        <v>0</v>
      </c>
      <c r="AV93" s="33" t="n">
        <f aca="false">IF(Source_Data!AV$6=Inputs!$B$12,-Inputs!$B$7,0)+AV92</f>
        <v>0</v>
      </c>
      <c r="AW93" s="33" t="n">
        <f aca="false">IF(Source_Data!AW$6=Inputs!$B$12,-Inputs!$B$7,0)+AW92</f>
        <v>0</v>
      </c>
      <c r="AX93" s="33" t="n">
        <f aca="false">IF(Source_Data!AX$6=Inputs!$B$12,-Inputs!$B$7,0)+AX92</f>
        <v>0</v>
      </c>
      <c r="AY93" s="33" t="n">
        <f aca="false">IF(Source_Data!AY$6=Inputs!$B$12,-Inputs!$B$7,0)+AY92</f>
        <v>0</v>
      </c>
      <c r="AZ93" s="33" t="n">
        <f aca="false">IF(Source_Data!AZ$6=Inputs!$B$12,-Inputs!$B$7,0)+AZ92</f>
        <v>0</v>
      </c>
      <c r="BA93" s="33" t="n">
        <f aca="false">IF(Source_Data!BA$6=Inputs!$B$12,-Inputs!$B$7,0)+BA92</f>
        <v>0</v>
      </c>
      <c r="BB93" s="33" t="n">
        <f aca="false">IF(Source_Data!BB$6=Inputs!$B$12,-Inputs!$B$7,0)+BB92</f>
        <v>0</v>
      </c>
      <c r="BC93" s="33" t="n">
        <f aca="false">IF(Source_Data!BC$6=Inputs!$B$12,-Inputs!$B$7,0)+BC92</f>
        <v>0</v>
      </c>
      <c r="BD93" s="33" t="n">
        <f aca="false">IF(Source_Data!BD$6=Inputs!$B$12,-Inputs!$B$7,0)+BD92</f>
        <v>0</v>
      </c>
      <c r="BE93" s="33" t="n">
        <f aca="false">IF(Source_Data!BE$6=Inputs!$B$12,-Inputs!$B$7,0)+BE92</f>
        <v>0</v>
      </c>
      <c r="BF93" s="33" t="n">
        <f aca="false">IF(Source_Data!BF$6=Inputs!$B$12,-Inputs!$B$7,0)+BF92</f>
        <v>0</v>
      </c>
      <c r="BG93" s="33" t="n">
        <f aca="false">IF(Source_Data!BG$6=Inputs!$B$12,-Inputs!$B$7,0)+BG92</f>
        <v>0</v>
      </c>
      <c r="BH93" s="33" t="n">
        <f aca="false">IF(Source_Data!BH$6=Inputs!$B$12,-Inputs!$B$7,0)+BH92</f>
        <v>0</v>
      </c>
      <c r="BI93" s="33" t="n">
        <f aca="false">IF(Source_Data!BI$6=Inputs!$B$12,-Inputs!$B$7,0)+BI92</f>
        <v>0</v>
      </c>
      <c r="BJ93" s="33" t="n">
        <f aca="false">IF(Source_Data!BJ$6=Inputs!$B$12,-Inputs!$B$7,0)+BJ92</f>
        <v>0</v>
      </c>
      <c r="BK93" s="33" t="n">
        <f aca="false">IF(Source_Data!BK$6=Inputs!$B$12,-Inputs!$B$7,0)+BK92</f>
        <v>0</v>
      </c>
    </row>
    <row r="94" customFormat="false" ht="15" hidden="false" customHeight="false" outlineLevel="0" collapsed="false">
      <c r="A94" s="3" t="s">
        <v>343</v>
      </c>
      <c r="D94" s="33" t="n">
        <f aca="false">IF(Source_Data!D$6=Inputs!$B$12,Inputs!$B$7,0)+D89-D92</f>
        <v>8.75</v>
      </c>
      <c r="E94" s="33" t="n">
        <f aca="false">D94+IF(Source_Data!E$6=Inputs!$B$12,Inputs!$B$7,0)+E89-E92</f>
        <v>-2.5</v>
      </c>
      <c r="F94" s="33" t="n">
        <f aca="false">E94+IF(Source_Data!F$6=Inputs!$B$12,Inputs!$B$7,0)+F89-F92</f>
        <v>2.90316125</v>
      </c>
      <c r="G94" s="33" t="n">
        <f aca="false">F94+IF(Source_Data!G$6=Inputs!$B$12,Inputs!$B$7,0)+G89-G92</f>
        <v>24.95948375</v>
      </c>
      <c r="H94" s="33" t="n">
        <f aca="false">G94+IF(Source_Data!H$6=Inputs!$B$12,Inputs!$B$7,0)+H89-H92</f>
        <v>30.622690625</v>
      </c>
      <c r="I94" s="33" t="n">
        <f aca="false">H94+IF(Source_Data!I$6=Inputs!$B$12,Inputs!$B$7,0)+I89-I92</f>
        <v>46.782781875</v>
      </c>
      <c r="J94" s="33" t="n">
        <f aca="false">I94+IF(Source_Data!J$6=Inputs!$B$12,Inputs!$B$7,0)+J89-J92</f>
        <v>33.562522875</v>
      </c>
      <c r="K94" s="33" t="n">
        <f aca="false">J94+IF(Source_Data!K$6=Inputs!$B$12,Inputs!$B$7,0)+K89-K92</f>
        <v>37.2009091875</v>
      </c>
      <c r="L94" s="33" t="n">
        <f aca="false">K94+IF(Source_Data!L$6=Inputs!$B$12,Inputs!$B$7,0)+L89-L92</f>
        <v>50.9792564687501</v>
      </c>
      <c r="M94" s="33" t="n">
        <f aca="false">L94+IF(Source_Data!M$6=Inputs!$B$12,Inputs!$B$7,0)+M89-M92</f>
        <v>502.008425052083</v>
      </c>
      <c r="N94" s="33" t="n">
        <f aca="false">M94+IF(Source_Data!N$6=Inputs!$B$12,Inputs!$B$7,0)+N89-N92</f>
        <v>639.467372385417</v>
      </c>
      <c r="O94" s="33" t="n">
        <f aca="false">N94+IF(Source_Data!O$6=Inputs!$B$12,Inputs!$B$7,0)+O89-O92</f>
        <v>766.97819471875</v>
      </c>
      <c r="P94" s="33" t="n">
        <f aca="false">O94+IF(Source_Data!P$6=Inputs!$B$12,Inputs!$B$7,0)+P89-P92</f>
        <v>663.385509052084</v>
      </c>
      <c r="Q94" s="33" t="n">
        <f aca="false">P94+IF(Source_Data!Q$6=Inputs!$B$12,Inputs!$B$7,0)+Q89-Q92</f>
        <v>529.472928010417</v>
      </c>
      <c r="R94" s="33" t="n">
        <f aca="false">Q94+IF(Source_Data!R$6=Inputs!$B$12,Inputs!$B$7,0)+R89-R92</f>
        <v>344.96034696875</v>
      </c>
      <c r="S94" s="33" t="n">
        <f aca="false">R94+IF(Source_Data!S$6=Inputs!$B$12,Inputs!$B$7,0)+S89-S92</f>
        <v>213.762599489584</v>
      </c>
      <c r="T94" s="33" t="n">
        <f aca="false">S94+IF(Source_Data!T$6=Inputs!$B$12,Inputs!$B$7,0)+T89-T92</f>
        <v>216.945236479167</v>
      </c>
      <c r="U94" s="33" t="n">
        <f aca="false">T94+IF(Source_Data!U$6=Inputs!$B$12,Inputs!$B$7,0)+U89-U92</f>
        <v>218.46255734375</v>
      </c>
      <c r="V94" s="33" t="n">
        <f aca="false">U94+IF(Source_Data!V$6=Inputs!$B$12,Inputs!$B$7,0)+V89-V92</f>
        <v>213.392229833334</v>
      </c>
      <c r="W94" s="33" t="n">
        <f aca="false">V94+IF(Source_Data!W$6=Inputs!$B$12,Inputs!$B$7,0)+W89-W92</f>
        <v>203.546802322917</v>
      </c>
      <c r="X94" s="33" t="n">
        <f aca="false">W94+IF(Source_Data!X$6=Inputs!$B$12,Inputs!$B$7,0)+X89-X92</f>
        <v>216.2013748125</v>
      </c>
      <c r="Y94" s="33" t="n">
        <f aca="false">X94+IF(Source_Data!Y$6=Inputs!$B$12,Inputs!$B$7,0)+Y89-Y92</f>
        <v>240.01437334375</v>
      </c>
      <c r="Z94" s="33" t="n">
        <f aca="false">Y94+IF(Source_Data!Z$6=Inputs!$B$12,Inputs!$B$7,0)+Z89-Z92</f>
        <v>263.827371875</v>
      </c>
      <c r="AA94" s="33" t="n">
        <f aca="false">Z94+IF(Source_Data!AA$6=Inputs!$B$12,Inputs!$B$7,0)+AA89-AA92</f>
        <v>287.64037040625</v>
      </c>
      <c r="AB94" s="33" t="n">
        <f aca="false">AA94+IF(Source_Data!AB$6=Inputs!$B$12,Inputs!$B$7,0)+AB89-AB92</f>
        <v>327.5865689375</v>
      </c>
      <c r="AC94" s="33" t="n">
        <f aca="false">AB94+IF(Source_Data!AC$6=Inputs!$B$12,Inputs!$B$7,0)+AC89-AC92</f>
        <v>363.9290591875</v>
      </c>
      <c r="AD94" s="33" t="n">
        <f aca="false">AC94+IF(Source_Data!AD$6=Inputs!$B$12,Inputs!$B$7,0)+AD89-AD92</f>
        <v>396.3022475625</v>
      </c>
      <c r="AE94" s="33" t="n">
        <f aca="false">AD94+IF(Source_Data!AE$6=Inputs!$B$12,Inputs!$B$7,0)+AE89-AE92</f>
        <v>423.9003359375</v>
      </c>
      <c r="AF94" s="33" t="n">
        <f aca="false">AE94+IF(Source_Data!AF$6=Inputs!$B$12,Inputs!$B$7,0)+AF89-AF92</f>
        <v>286.536478367235</v>
      </c>
      <c r="AG94" s="33" t="n">
        <f aca="false">AF94+IF(Source_Data!AG$6=Inputs!$B$12,Inputs!$B$7,0)+AG89-AG92</f>
        <v>297.33114319894</v>
      </c>
      <c r="AH94" s="33" t="n">
        <f aca="false">AG94+IF(Source_Data!AH$6=Inputs!$B$12,Inputs!$B$7,0)+AH89-AH92</f>
        <v>308.125808030644</v>
      </c>
      <c r="AI94" s="33" t="n">
        <f aca="false">AH94+IF(Source_Data!AI$6=Inputs!$B$12,Inputs!$B$7,0)+AI89-AI92</f>
        <v>318.920472862348</v>
      </c>
      <c r="AJ94" s="33" t="n">
        <f aca="false">AI94+IF(Source_Data!AJ$6=Inputs!$B$12,Inputs!$B$7,0)+AJ89-AJ92</f>
        <v>329.715137694052</v>
      </c>
      <c r="AK94" s="33" t="n">
        <f aca="false">AJ94+IF(Source_Data!AK$6=Inputs!$B$12,Inputs!$B$7,0)+AK89-AK92</f>
        <v>339.57010403363</v>
      </c>
      <c r="AL94" s="33" t="n">
        <f aca="false">AK94+IF(Source_Data!AL$6=Inputs!$B$12,Inputs!$B$7,0)+AL89-AL92</f>
        <v>349.425070373208</v>
      </c>
      <c r="AM94" s="33" t="n">
        <f aca="false">AL94+IF(Source_Data!AM$6=Inputs!$B$12,Inputs!$B$7,0)+AM89-AM92</f>
        <v>357.487800168383</v>
      </c>
      <c r="AN94" s="33" t="n">
        <f aca="false">AM94+IF(Source_Data!AN$6=Inputs!$B$12,Inputs!$B$7,0)+AN89-AN92</f>
        <v>361.629477497655</v>
      </c>
      <c r="AO94" s="33" t="n">
        <f aca="false">AN94+IF(Source_Data!AO$6=Inputs!$B$12,Inputs!$B$7,0)+AO89-AO92</f>
        <v>363.16568025</v>
      </c>
      <c r="AP94" s="33" t="n">
        <f aca="false">AO94+IF(Source_Data!AP$6=Inputs!$B$12,Inputs!$B$7,0)+AP89-AP92</f>
        <v>363.16568025</v>
      </c>
      <c r="AQ94" s="33" t="n">
        <f aca="false">AP94+IF(Source_Data!AQ$6=Inputs!$B$12,Inputs!$B$7,0)+AQ89-AQ92</f>
        <v>363.16568025</v>
      </c>
      <c r="AR94" s="33" t="n">
        <f aca="false">AQ94+IF(Source_Data!AR$6=Inputs!$B$12,Inputs!$B$7,0)+AR89-AR92</f>
        <v>363.16568025</v>
      </c>
      <c r="AS94" s="33" t="n">
        <f aca="false">AR94+IF(Source_Data!AS$6=Inputs!$B$12,Inputs!$B$7,0)+AS89-AS92</f>
        <v>363.16568025</v>
      </c>
      <c r="AT94" s="33" t="n">
        <f aca="false">AS94+IF(Source_Data!AT$6=Inputs!$B$12,Inputs!$B$7,0)+AT89-AT92</f>
        <v>363.16568025</v>
      </c>
      <c r="AU94" s="33" t="n">
        <f aca="false">AT94+IF(Source_Data!AU$6=Inputs!$B$12,Inputs!$B$7,0)+AU89-AU92</f>
        <v>363.16568025</v>
      </c>
      <c r="AV94" s="33" t="n">
        <f aca="false">AU94+IF(Source_Data!AV$6=Inputs!$B$12,Inputs!$B$7,0)+AV89-AV92</f>
        <v>363.16568025</v>
      </c>
      <c r="AW94" s="33" t="n">
        <f aca="false">AV94+IF(Source_Data!AW$6=Inputs!$B$12,Inputs!$B$7,0)+AW89-AW92</f>
        <v>363.16568025</v>
      </c>
      <c r="AX94" s="33" t="n">
        <f aca="false">AW94+IF(Source_Data!AX$6=Inputs!$B$12,Inputs!$B$7,0)+AX89-AX92</f>
        <v>363.16568025</v>
      </c>
      <c r="AY94" s="33" t="n">
        <f aca="false">AX94+IF(Source_Data!AY$6=Inputs!$B$12,Inputs!$B$7,0)+AY89-AY92</f>
        <v>363.16568025</v>
      </c>
      <c r="AZ94" s="33" t="n">
        <f aca="false">AY94+IF(Source_Data!AZ$6=Inputs!$B$12,Inputs!$B$7,0)+AZ89-AZ92</f>
        <v>363.16568025</v>
      </c>
      <c r="BA94" s="33" t="n">
        <f aca="false">AZ94+IF(Source_Data!BA$6=Inputs!$B$12,Inputs!$B$7,0)+BA89-BA92</f>
        <v>363.16568025</v>
      </c>
      <c r="BB94" s="33" t="n">
        <f aca="false">BA94+IF(Source_Data!BB$6=Inputs!$B$12,Inputs!$B$7,0)+BB89-BB92</f>
        <v>363.16568025</v>
      </c>
      <c r="BC94" s="33" t="n">
        <f aca="false">BB94+IF(Source_Data!BC$6=Inputs!$B$12,Inputs!$B$7,0)+BC89-BC92</f>
        <v>363.16568025</v>
      </c>
      <c r="BD94" s="33" t="n">
        <f aca="false">BC94+IF(Source_Data!BD$6=Inputs!$B$12,Inputs!$B$7,0)+BD89-BD92</f>
        <v>363.16568025</v>
      </c>
      <c r="BE94" s="33" t="n">
        <f aca="false">BD94+IF(Source_Data!BE$6=Inputs!$B$12,Inputs!$B$7,0)+BE89-BE92</f>
        <v>363.16568025</v>
      </c>
      <c r="BF94" s="33" t="n">
        <f aca="false">BE94+IF(Source_Data!BF$6=Inputs!$B$12,Inputs!$B$7,0)+BF89-BF92</f>
        <v>363.16568025</v>
      </c>
      <c r="BG94" s="33" t="n">
        <f aca="false">BF94+IF(Source_Data!BG$6=Inputs!$B$12,Inputs!$B$7,0)+BG89-BG92</f>
        <v>363.16568025</v>
      </c>
      <c r="BH94" s="33" t="n">
        <f aca="false">BG94+IF(Source_Data!BH$6=Inputs!$B$12,Inputs!$B$7,0)+BH89-BH92</f>
        <v>363.16568025</v>
      </c>
      <c r="BI94" s="33" t="n">
        <f aca="false">BH94+IF(Source_Data!BI$6=Inputs!$B$12,Inputs!$B$7,0)+BI89-BI92</f>
        <v>363.16568025</v>
      </c>
      <c r="BJ94" s="33" t="n">
        <f aca="false">BI94+IF(Source_Data!BJ$6=Inputs!$B$12,Inputs!$B$7,0)+BJ89-BJ92</f>
        <v>363.16568025</v>
      </c>
      <c r="BK94" s="33" t="n">
        <f aca="false">BJ94+IF(Source_Data!BK$6=Inputs!$B$12,Inputs!$B$7,0)+BK89-BK92</f>
        <v>363.16568025</v>
      </c>
    </row>
    <row r="95" customFormat="false" ht="15" hidden="false" customHeight="false" outlineLevel="0" collapsed="false">
      <c r="A95" s="3" t="s">
        <v>344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n">
        <f aca="false">IF(M92&gt;0,M89/M92,"")</f>
        <v>24.5319566217391</v>
      </c>
      <c r="N95" s="31" t="n">
        <f aca="false">IF(N92&gt;0,N89/N92,"")</f>
        <v>8.17177116521739</v>
      </c>
      <c r="O95" s="31" t="n">
        <f aca="false">IF(O92&gt;0,O89/O92,"")</f>
        <v>7.65273855652174</v>
      </c>
      <c r="P95" s="31" t="n">
        <f aca="false">IF(P92&gt;0,P89/P92,"")</f>
        <v>-4.40483577391304</v>
      </c>
      <c r="Q95" s="31" t="n">
        <f aca="false">IF(Q92&gt;0,Q89/Q92,"")</f>
        <v>-5.98674335869565</v>
      </c>
      <c r="R95" s="31" t="n">
        <f aca="false">IF(R92&gt;0,R89/R92,"")</f>
        <v>-8.62674335869565</v>
      </c>
      <c r="S95" s="31" t="n">
        <f aca="false">IF(S92&gt;0,S89/S92,"")</f>
        <v>-5.84509986847826</v>
      </c>
      <c r="T95" s="31" t="n">
        <f aca="false">IF(T92&gt;0,T89/T92,"")</f>
        <v>1.16605062554348</v>
      </c>
      <c r="U95" s="31" t="n">
        <f aca="false">IF(U92&gt;0,U89/U92,"")</f>
        <v>1.07916456684783</v>
      </c>
      <c r="V95" s="31" t="n">
        <f aca="false">IF(V92&gt;0,V89/V92,"")</f>
        <v>0.735461173369566</v>
      </c>
      <c r="W95" s="31" t="n">
        <f aca="false">IF(W92&gt;0,W89/W92,"")</f>
        <v>0.486325521195652</v>
      </c>
      <c r="X95" s="31" t="n">
        <f aca="false">IF(X92&gt;0,X89/X92,"")</f>
        <v>1.66023856467391</v>
      </c>
      <c r="Y95" s="31" t="str">
        <f aca="false">IF(Y92&gt;0,Y89/Y92,"")</f>
        <v/>
      </c>
      <c r="Z95" s="31" t="str">
        <f aca="false">IF(Z92&gt;0,Z89/Z92,"")</f>
        <v/>
      </c>
      <c r="AA95" s="31" t="str">
        <f aca="false">IF(AA92&gt;0,AA89/AA92,"")</f>
        <v/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345</v>
      </c>
      <c r="D96" s="31" t="str">
        <f aca="false">IF(D92&gt;0,(0+D89+IF(Source_Data!D$6=Inputs!$B$12,Inputs!$B$7,0))/D92,"")</f>
        <v/>
      </c>
      <c r="E96" s="31" t="str">
        <f aca="false">IF(E92&gt;0,(D94+E89+IF(Source_Data!E$6=Inputs!$B$12,Inputs!$B$7,0))/E92,"")</f>
        <v/>
      </c>
      <c r="F96" s="31" t="str">
        <f aca="false">IF(F92&gt;0,(E94+F89+IF(Source_Data!F$6=Inputs!$B$12,Inputs!$B$7,0))/F92,"")</f>
        <v/>
      </c>
      <c r="G96" s="31" t="str">
        <f aca="false">IF(G92&gt;0,(F94+G89+IF(Source_Data!G$6=Inputs!$B$12,Inputs!$B$7,0))/G92,"")</f>
        <v/>
      </c>
      <c r="H96" s="31" t="str">
        <f aca="false">IF(H92&gt;0,(G94+H89+IF(Source_Data!H$6=Inputs!$B$12,Inputs!$B$7,0))/H92,"")</f>
        <v/>
      </c>
      <c r="I96" s="31" t="str">
        <f aca="false">IF(I92&gt;0,(H94+I89+IF(Source_Data!I$6=Inputs!$B$12,Inputs!$B$7,0))/I92,"")</f>
        <v/>
      </c>
      <c r="J96" s="31" t="str">
        <f aca="false">IF(J92&gt;0,(I94+J89+IF(Source_Data!J$6=Inputs!$B$12,Inputs!$B$7,0))/J92,"")</f>
        <v/>
      </c>
      <c r="K96" s="31" t="str">
        <f aca="false">IF(K92&gt;0,(J94+K89+IF(Source_Data!K$6=Inputs!$B$12,Inputs!$B$7,0))/K92,"")</f>
        <v/>
      </c>
      <c r="L96" s="31" t="str">
        <f aca="false">IF(L92&gt;0,(K94+L89+IF(Source_Data!L$6=Inputs!$B$12,Inputs!$B$7,0))/L92,"")</f>
        <v/>
      </c>
      <c r="M96" s="31" t="n">
        <f aca="false">IF(M92&gt;0,(L94+M89+IF(Source_Data!M$6=Inputs!$B$12,Inputs!$B$7,0))/M92,"")</f>
        <v>27.1917439157609</v>
      </c>
      <c r="N96" s="31" t="n">
        <f aca="false">IF(N92&gt;0,(M94+N89+IF(Source_Data!N$6=Inputs!$B$12,Inputs!$B$7,0))/N92,"")</f>
        <v>34.3635150809783</v>
      </c>
      <c r="O96" s="31" t="n">
        <f aca="false">IF(O92&gt;0,(N94+O89+IF(Source_Data!O$6=Inputs!$B$12,Inputs!$B$7,0))/O92,"")</f>
        <v>41.0162536375</v>
      </c>
      <c r="P96" s="31" t="n">
        <f aca="false">IF(P92&gt;0,(O94+P89+IF(Source_Data!P$6=Inputs!$B$12,Inputs!$B$7,0))/P92,"")</f>
        <v>35.611417863587</v>
      </c>
      <c r="Q96" s="31" t="n">
        <f aca="false">IF(Q92&gt;0,(P94+Q89+IF(Source_Data!Q$6=Inputs!$B$12,Inputs!$B$7,0))/Q92,"")</f>
        <v>28.6246745048913</v>
      </c>
      <c r="R96" s="31" t="n">
        <f aca="false">IF(R92&gt;0,(Q94+R89+IF(Source_Data!R$6=Inputs!$B$12,Inputs!$B$7,0))/R92,"")</f>
        <v>18.9979311461957</v>
      </c>
      <c r="S96" s="31" t="n">
        <f aca="false">IF(S92&gt;0,(R94+S89+IF(Source_Data!S$6=Inputs!$B$12,Inputs!$B$7,0))/S92,"")</f>
        <v>12.1528312777174</v>
      </c>
      <c r="T96" s="31" t="n">
        <f aca="false">IF(T92&gt;0,(S94+T89+IF(Source_Data!T$6=Inputs!$B$12,Inputs!$B$7,0))/T92,"")</f>
        <v>12.3188819032609</v>
      </c>
      <c r="U96" s="31" t="n">
        <f aca="false">IF(U92&gt;0,(T94+U89+IF(Source_Data!U$6=Inputs!$B$12,Inputs!$B$7,0))/U92,"")</f>
        <v>12.3980464701087</v>
      </c>
      <c r="V96" s="31" t="n">
        <f aca="false">IF(V92&gt;0,(U94+V89+IF(Source_Data!V$6=Inputs!$B$12,Inputs!$B$7,0))/V92,"")</f>
        <v>12.1335076434783</v>
      </c>
      <c r="W96" s="31" t="n">
        <f aca="false">IF(W92&gt;0,(V94+W89+IF(Source_Data!W$6=Inputs!$B$12,Inputs!$B$7,0))/W92,"")</f>
        <v>11.6198331646739</v>
      </c>
      <c r="X96" s="31" t="n">
        <f aca="false">IF(X92&gt;0,(W94+X89+IF(Source_Data!X$6=Inputs!$B$12,Inputs!$B$7,0))/X92,"")</f>
        <v>12.2800717293478</v>
      </c>
      <c r="Y96" s="31" t="str">
        <f aca="false">IF(Y92&gt;0,(X94+Y89+IF(Source_Data!Y$6=Inputs!$B$12,Inputs!$B$7,0))/Y92,"")</f>
        <v/>
      </c>
      <c r="Z96" s="31" t="str">
        <f aca="false">IF(Z92&gt;0,(Y94+Z89+IF(Source_Data!Z$6=Inputs!$B$12,Inputs!$B$7,0))/Z92,"")</f>
        <v/>
      </c>
      <c r="AA96" s="31" t="str">
        <f aca="false">IF(AA92&gt;0,(Z94+AA89+IF(Source_Data!AA$6=Inputs!$B$12,Inputs!$B$7,0))/AA92,"")</f>
        <v/>
      </c>
      <c r="AB96" s="31" t="str">
        <f aca="false">IF(AB92&gt;0,(AA94+AB89+IF(Source_Data!AB$6=Inputs!$B$12,Inputs!$B$7,0))/AB92,"")</f>
        <v/>
      </c>
      <c r="AC96" s="31" t="str">
        <f aca="false">IF(AC92&gt;0,(AB94+AC89+IF(Source_Data!AC$6=Inputs!$B$12,Inputs!$B$7,0))/AC92,"")</f>
        <v/>
      </c>
      <c r="AD96" s="31" t="str">
        <f aca="false">IF(AD92&gt;0,(AC94+AD89+IF(Source_Data!AD$6=Inputs!$B$12,Inputs!$B$7,0))/AD92,"")</f>
        <v/>
      </c>
      <c r="AE96" s="31" t="str">
        <f aca="false">IF(AE92&gt;0,(AD94+AE89+IF(Source_Data!AE$6=Inputs!$B$12,Inputs!$B$7,0))/AE92,"")</f>
        <v/>
      </c>
      <c r="AF96" s="31" t="str">
        <f aca="false">IF(AF92&gt;0,(AE94+AF89+IF(Source_Data!AF$6=Inputs!$B$12,Inputs!$B$7,0))/AF92,"")</f>
        <v/>
      </c>
      <c r="AG96" s="31" t="str">
        <f aca="false">IF(AG92&gt;0,(AF94+AG89+IF(Source_Data!AG$6=Inputs!$B$12,Inputs!$B$7,0))/AG92,"")</f>
        <v/>
      </c>
      <c r="AH96" s="31" t="str">
        <f aca="false">IF(AH92&gt;0,(AG94+AH89+IF(Source_Data!AH$6=Inputs!$B$12,Inputs!$B$7,0))/AH92,"")</f>
        <v/>
      </c>
      <c r="AI96" s="31" t="str">
        <f aca="false">IF(AI92&gt;0,(AH94+AI89+IF(Source_Data!AI$6=Inputs!$B$12,Inputs!$B$7,0))/AI92,"")</f>
        <v/>
      </c>
      <c r="AJ96" s="31" t="str">
        <f aca="false">IF(AJ92&gt;0,(AI94+AJ89+IF(Source_Data!AJ$6=Inputs!$B$12,Inputs!$B$7,0))/AJ92,"")</f>
        <v/>
      </c>
      <c r="AK96" s="31" t="str">
        <f aca="false">IF(AK92&gt;0,(AJ94+AK89+IF(Source_Data!AK$6=Inputs!$B$12,Inputs!$B$7,0))/AK92,"")</f>
        <v/>
      </c>
      <c r="AL96" s="31" t="str">
        <f aca="false">IF(AL92&gt;0,(AK94+AL89+IF(Source_Data!AL$6=Inputs!$B$12,Inputs!$B$7,0))/AL92,"")</f>
        <v/>
      </c>
      <c r="AM96" s="31" t="str">
        <f aca="false">IF(AM92&gt;0,(AL94+AM89+IF(Source_Data!AM$6=Inputs!$B$12,Inputs!$B$7,0))/AM92,"")</f>
        <v/>
      </c>
      <c r="AN96" s="31" t="str">
        <f aca="false">IF(AN92&gt;0,(AM94+AN89+IF(Source_Data!AN$6=Inputs!$B$12,Inputs!$B$7,0))/AN92,"")</f>
        <v/>
      </c>
      <c r="AO96" s="31" t="str">
        <f aca="false">IF(AO92&gt;0,(AN94+AO89+IF(Source_Data!AO$6=Inputs!$B$12,Inputs!$B$7,0))/AO92,"")</f>
        <v/>
      </c>
      <c r="AP96" s="31" t="str">
        <f aca="false">IF(AP92&gt;0,(AO94+AP89+IF(Source_Data!AP$6=Inputs!$B$12,Inputs!$B$7,0))/AP92,"")</f>
        <v/>
      </c>
      <c r="AQ96" s="31" t="str">
        <f aca="false">IF(AQ92&gt;0,(AP94+AQ89+IF(Source_Data!AQ$6=Inputs!$B$12,Inputs!$B$7,0))/AQ92,"")</f>
        <v/>
      </c>
      <c r="AR96" s="31" t="str">
        <f aca="false">IF(AR92&gt;0,(AQ94+AR89+IF(Source_Data!AR$6=Inputs!$B$12,Inputs!$B$7,0))/AR92,"")</f>
        <v/>
      </c>
      <c r="AS96" s="31" t="str">
        <f aca="false">IF(AS92&gt;0,(AR94+AS89+IF(Source_Data!AS$6=Inputs!$B$12,Inputs!$B$7,0))/AS92,"")</f>
        <v/>
      </c>
      <c r="AT96" s="31" t="str">
        <f aca="false">IF(AT92&gt;0,(AS94+AT89+IF(Source_Data!AT$6=Inputs!$B$12,Inputs!$B$7,0))/AT92,"")</f>
        <v/>
      </c>
      <c r="AU96" s="31" t="str">
        <f aca="false">IF(AU92&gt;0,(AT94+AU89+IF(Source_Data!AU$6=Inputs!$B$12,Inputs!$B$7,0))/AU92,"")</f>
        <v/>
      </c>
      <c r="AV96" s="31" t="str">
        <f aca="false">IF(AV92&gt;0,(AU94+AV89+IF(Source_Data!AV$6=Inputs!$B$12,Inputs!$B$7,0))/AV92,"")</f>
        <v/>
      </c>
      <c r="AW96" s="31" t="str">
        <f aca="false">IF(AW92&gt;0,(AV94+AW89+IF(Source_Data!AW$6=Inputs!$B$12,Inputs!$B$7,0))/AW92,"")</f>
        <v/>
      </c>
      <c r="AX96" s="31" t="str">
        <f aca="false">IF(AX92&gt;0,(AW94+AX89+IF(Source_Data!AX$6=Inputs!$B$12,Inputs!$B$7,0))/AX92,"")</f>
        <v/>
      </c>
      <c r="AY96" s="31" t="str">
        <f aca="false">IF(AY92&gt;0,(AX94+AY89+IF(Source_Data!AY$6=Inputs!$B$12,Inputs!$B$7,0))/AY92,"")</f>
        <v/>
      </c>
      <c r="AZ96" s="31" t="str">
        <f aca="false">IF(AZ92&gt;0,(AY94+AZ89+IF(Source_Data!AZ$6=Inputs!$B$12,Inputs!$B$7,0))/AZ92,"")</f>
        <v/>
      </c>
      <c r="BA96" s="31" t="str">
        <f aca="false">IF(BA92&gt;0,(AZ94+BA89+IF(Source_Data!BA$6=Inputs!$B$12,Inputs!$B$7,0))/BA92,"")</f>
        <v/>
      </c>
      <c r="BB96" s="31" t="str">
        <f aca="false">IF(BB92&gt;0,(BA94+BB89+IF(Source_Data!BB$6=Inputs!$B$12,Inputs!$B$7,0))/BB92,"")</f>
        <v/>
      </c>
      <c r="BC96" s="31" t="str">
        <f aca="false">IF(BC92&gt;0,(BB94+BC89+IF(Source_Data!BC$6=Inputs!$B$12,Inputs!$B$7,0))/BC92,"")</f>
        <v/>
      </c>
      <c r="BD96" s="31" t="str">
        <f aca="false">IF(BD92&gt;0,(BC94+BD89+IF(Source_Data!BD$6=Inputs!$B$12,Inputs!$B$7,0))/BD92,"")</f>
        <v/>
      </c>
      <c r="BE96" s="31" t="str">
        <f aca="false">IF(BE92&gt;0,(BD94+BE89+IF(Source_Data!BE$6=Inputs!$B$12,Inputs!$B$7,0))/BE92,"")</f>
        <v/>
      </c>
      <c r="BF96" s="31" t="str">
        <f aca="false">IF(BF92&gt;0,(BE94+BF89+IF(Source_Data!BF$6=Inputs!$B$12,Inputs!$B$7,0))/BF92,"")</f>
        <v/>
      </c>
      <c r="BG96" s="31" t="str">
        <f aca="false">IF(BG92&gt;0,(BF94+BG89+IF(Source_Data!BG$6=Inputs!$B$12,Inputs!$B$7,0))/BG92,"")</f>
        <v/>
      </c>
      <c r="BH96" s="31" t="str">
        <f aca="false">IF(BH92&gt;0,(BG94+BH89+IF(Source_Data!BH$6=Inputs!$B$12,Inputs!$B$7,0))/BH92,"")</f>
        <v/>
      </c>
      <c r="BI96" s="31" t="str">
        <f aca="false">IF(BI92&gt;0,(BH94+BI89+IF(Source_Data!BI$6=Inputs!$B$12,Inputs!$B$7,0))/BI92,"")</f>
        <v/>
      </c>
      <c r="BJ96" s="31" t="str">
        <f aca="false">IF(BJ92&gt;0,(BI94+BJ89+IF(Source_Data!BJ$6=Inputs!$B$12,Inputs!$B$7,0))/BJ92,"")</f>
        <v/>
      </c>
      <c r="BK96" s="31" t="str">
        <f aca="false">IF(BK92&gt;0,(BJ94+BK89+IF(Source_Data!BK$6=Inputs!$B$12,Inputs!$B$7,0))/BK92,"")</f>
        <v/>
      </c>
    </row>
    <row r="98" customFormat="false" ht="15" hidden="false" customHeight="false" outlineLevel="0" collapsed="false">
      <c r="A98" s="2" t="s">
        <v>220</v>
      </c>
      <c r="B98" s="41" t="n">
        <f aca="false">SUM(D89:BK89)</f>
        <v>493.16568025</v>
      </c>
    </row>
    <row r="99" customFormat="false" ht="15" hidden="false" customHeight="false" outlineLevel="0" collapsed="false">
      <c r="A99" s="2" t="s">
        <v>346</v>
      </c>
      <c r="B99" s="41" t="n">
        <f aca="false">SUMPRODUCT(D89:BK89,Project_CF!$D$15:$BK$15)</f>
        <v>314.581592958412</v>
      </c>
    </row>
    <row r="100" customFormat="false" ht="15" hidden="false" customHeight="false" outlineLevel="0" collapsed="false">
      <c r="A100" s="2" t="s">
        <v>162</v>
      </c>
      <c r="B100" s="41" t="n">
        <f aca="false">MIN(D90:BK90)</f>
        <v>-102.5</v>
      </c>
    </row>
    <row r="101" customFormat="false" ht="15" hidden="false" customHeight="false" outlineLevel="0" collapsed="false">
      <c r="A101" s="2" t="s">
        <v>347</v>
      </c>
      <c r="B101" s="35" t="n">
        <f aca="false">INDEX(Project_CF!$D$6:$BK$6,MATCH(MIN(D90:BK90),D90:BK90,0))</f>
        <v>6</v>
      </c>
    </row>
    <row r="102" customFormat="false" ht="15" hidden="false" customHeight="false" outlineLevel="0" collapsed="false">
      <c r="A102" s="2" t="s">
        <v>348</v>
      </c>
      <c r="B102" s="39" t="n">
        <f aca="false">(1+IRR(D91:BK91,0.05))^4-1</f>
        <v>0.291992838668679</v>
      </c>
    </row>
    <row r="103" customFormat="false" ht="15" hidden="false" customHeight="false" outlineLevel="0" collapsed="false">
      <c r="A103" s="2" t="s">
        <v>349</v>
      </c>
      <c r="B103" s="40" t="n">
        <f aca="false">SUMIF(D91:BK91,"&gt;0")/-SUMIF(D91:BK91,"&lt;0")</f>
        <v>3.05949820788531</v>
      </c>
    </row>
    <row r="104" customFormat="false" ht="15" hidden="false" customHeight="false" outlineLevel="0" collapsed="false">
      <c r="A104" s="2" t="s">
        <v>350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351</v>
      </c>
      <c r="B105" s="41" t="n">
        <f aca="false">MIN(D94:BK94)</f>
        <v>-2.5</v>
      </c>
    </row>
    <row r="106" customFormat="false" ht="15" hidden="false" customHeight="false" outlineLevel="0" collapsed="false">
      <c r="A106" s="2" t="s">
        <v>352</v>
      </c>
      <c r="B106" s="43" t="n">
        <f aca="false">MIN(D95:BK95)</f>
        <v>-8.62674335869565</v>
      </c>
    </row>
    <row r="107" customFormat="false" ht="15" hidden="false" customHeight="false" outlineLevel="0" collapsed="false">
      <c r="A107" s="2" t="s">
        <v>353</v>
      </c>
      <c r="B107" s="35" t="n">
        <f aca="false">COUNTIF(D95:BK95,"&lt;"&amp;Inputs!$B$43)</f>
        <v>8</v>
      </c>
    </row>
    <row r="108" customFormat="false" ht="15" hidden="false" customHeight="false" outlineLevel="0" collapsed="false">
      <c r="A108" s="2" t="s">
        <v>354</v>
      </c>
      <c r="B108" s="43" t="n">
        <f aca="false">MIN(D96:BK96)</f>
        <v>11.6198331646739</v>
      </c>
    </row>
    <row r="109" customFormat="false" ht="15" hidden="false" customHeight="false" outlineLevel="0" collapsed="false">
      <c r="A109" s="2" t="s">
        <v>355</v>
      </c>
      <c r="B109" s="35" t="n">
        <f aca="false">COUNTIF(D96:BK96,"&lt;"&amp;Inputs!$B$43)</f>
        <v>0</v>
      </c>
    </row>
    <row r="112" customFormat="false" ht="15" hidden="false" customHeight="false" outlineLevel="0" collapsed="false">
      <c r="A112" s="8" t="s">
        <v>63</v>
      </c>
    </row>
    <row r="113" customFormat="false" ht="15" hidden="false" customHeight="false" outlineLevel="0" collapsed="false">
      <c r="A113" s="3" t="s">
        <v>331</v>
      </c>
      <c r="B113" s="45" t="n">
        <v>1</v>
      </c>
    </row>
    <row r="114" customFormat="false" ht="15" hidden="false" customHeight="false" outlineLevel="0" collapsed="false">
      <c r="A114" s="3" t="s">
        <v>332</v>
      </c>
      <c r="B114" s="45" t="n">
        <v>0</v>
      </c>
    </row>
    <row r="115" customFormat="false" ht="15" hidden="false" customHeight="false" outlineLevel="0" collapsed="false">
      <c r="A115" s="3" t="s">
        <v>333</v>
      </c>
      <c r="B115" s="45" t="n">
        <v>1.1</v>
      </c>
    </row>
    <row r="116" customFormat="false" ht="15" hidden="false" customHeight="false" outlineLevel="0" collapsed="false">
      <c r="A116" s="3" t="s">
        <v>334</v>
      </c>
      <c r="B116" s="45" t="n">
        <v>0</v>
      </c>
    </row>
    <row r="117" customFormat="false" ht="15" hidden="false" customHeight="false" outlineLevel="0" collapsed="false">
      <c r="A117" s="3" t="s">
        <v>335</v>
      </c>
      <c r="B117" s="45" t="n">
        <v>0</v>
      </c>
    </row>
    <row r="118" customFormat="false" ht="15" hidden="false" customHeight="false" outlineLevel="0" collapsed="false">
      <c r="A118" s="3" t="s">
        <v>336</v>
      </c>
      <c r="B118" s="3" t="n">
        <f aca="false">Inputs!$B$13+3+3*$B$114</f>
        <v>51</v>
      </c>
    </row>
    <row r="119" customFormat="false" ht="15" hidden="false" customHeight="false" outlineLevel="0" collapsed="false">
      <c r="A119" s="3" t="s">
        <v>337</v>
      </c>
      <c r="D119" s="33" t="n">
        <f aca="false">Source_Data!D$7+IF($B$117=1,IF(Source_Data!D$6=Inputs!$B$13,Source_Data!$C$8,0),Source_Data!D$8)</f>
        <v>0</v>
      </c>
      <c r="E119" s="33" t="n">
        <f aca="false">Source_Data!E$7+IF($B$117=1,IF(Source_Data!E$6=Inputs!$B$13,Source_Data!$C$8,0),Source_Data!E$8)</f>
        <v>0</v>
      </c>
      <c r="F119" s="33" t="n">
        <f aca="false">Source_Data!F$7+IF($B$117=1,IF(Source_Data!F$6=Inputs!$B$13,Source_Data!$C$8,0),Source_Data!F$8)</f>
        <v>15.1392375</v>
      </c>
      <c r="G119" s="33" t="n">
        <f aca="false">Source_Data!G$7+IF($B$117=1,IF(Source_Data!G$6=Inputs!$B$13,Source_Data!$C$8,0),Source_Data!G$8)</f>
        <v>30.278475</v>
      </c>
      <c r="H119" s="33" t="n">
        <f aca="false">Source_Data!H$7+IF($B$117=1,IF(Source_Data!H$6=Inputs!$B$13,Source_Data!$C$8,0),Source_Data!H$8)</f>
        <v>46.51200625</v>
      </c>
      <c r="I119" s="33" t="n">
        <f aca="false">Source_Data!I$7+IF($B$117=1,IF(Source_Data!I$6=Inputs!$B$13,Source_Data!$C$8,0),Source_Data!I$8)</f>
        <v>62.7455375</v>
      </c>
      <c r="J119" s="33" t="n">
        <f aca="false">Source_Data!J$7+IF($B$117=1,IF(Source_Data!J$6=Inputs!$B$13,Source_Data!$C$8,0),Source_Data!J$8)</f>
        <v>62.3657</v>
      </c>
      <c r="K119" s="33" t="n">
        <f aca="false">Source_Data!K$7+IF($B$117=1,IF(Source_Data!K$6=Inputs!$B$13,Source_Data!$C$8,0),Source_Data!K$8)</f>
        <v>63.473559375</v>
      </c>
      <c r="L119" s="33" t="n">
        <f aca="false">Source_Data!L$7+IF($B$117=1,IF(Source_Data!L$6=Inputs!$B$13,Source_Data!$C$8,0),Source_Data!L$8)</f>
        <v>80.3288484375</v>
      </c>
      <c r="M119" s="33" t="n">
        <f aca="false">Source_Data!M$7+IF($B$117=1,IF(Source_Data!M$6=Inputs!$B$13,Source_Data!$C$8,0),Source_Data!M$8)</f>
        <v>495.2538375</v>
      </c>
      <c r="N119" s="33" t="n">
        <f aca="false">Source_Data!N$7+IF($B$117=1,IF(Source_Data!N$6=Inputs!$B$13,Source_Data!$C$8,0),Source_Data!N$8)</f>
        <v>185.57775</v>
      </c>
      <c r="O119" s="33" t="n">
        <f aca="false">Source_Data!O$7+IF($B$117=1,IF(Source_Data!O$6=Inputs!$B$13,Source_Data!$C$8,0),Source_Data!O$8)</f>
        <v>176.534</v>
      </c>
      <c r="P119" s="33" t="n">
        <f aca="false">Source_Data!P$7+IF($B$117=1,IF(Source_Data!P$6=Inputs!$B$13,Source_Data!$C$8,0),Source_Data!P$8)</f>
        <v>97.31075</v>
      </c>
      <c r="Q119" s="33" t="n">
        <f aca="false">Source_Data!Q$7+IF($B$117=1,IF(Source_Data!Q$6=Inputs!$B$13,Source_Data!$C$8,0),Source_Data!Q$8)</f>
        <v>71.30996875</v>
      </c>
      <c r="R119" s="33" t="n">
        <f aca="false">Source_Data!R$7+IF($B$117=1,IF(Source_Data!R$6=Inputs!$B$13,Source_Data!$C$8,0),Source_Data!R$8)</f>
        <v>71.30996875</v>
      </c>
      <c r="S119" s="33" t="n">
        <f aca="false">Source_Data!S$7+IF($B$117=1,IF(Source_Data!S$6=Inputs!$B$13,Source_Data!$C$8,0),Source_Data!S$8)</f>
        <v>68.037035625</v>
      </c>
      <c r="T119" s="33" t="n">
        <f aca="false">Source_Data!T$7+IF($B$117=1,IF(Source_Data!T$6=Inputs!$B$13,Source_Data!$C$8,0),Source_Data!T$8)</f>
        <v>61.2266396875</v>
      </c>
      <c r="U119" s="33" t="n">
        <f aca="false">Source_Data!U$7+IF($B$117=1,IF(Source_Data!U$6=Inputs!$B$13,Source_Data!$C$8,0),Source_Data!U$8)</f>
        <v>59.7127159375</v>
      </c>
      <c r="V119" s="33" t="n">
        <f aca="false">Source_Data!V$7+IF($B$117=1,IF(Source_Data!V$6=Inputs!$B$13,Source_Data!$C$8,0),Source_Data!V$8)</f>
        <v>53.7239446875</v>
      </c>
      <c r="W119" s="33" t="n">
        <f aca="false">Source_Data!W$7+IF($B$117=1,IF(Source_Data!W$6=Inputs!$B$13,Source_Data!$C$8,0),Source_Data!W$8)</f>
        <v>49.3829446875</v>
      </c>
      <c r="X119" s="33" t="n">
        <f aca="false">Source_Data!X$7+IF($B$117=1,IF(Source_Data!X$6=Inputs!$B$13,Source_Data!$C$8,0),Source_Data!X$8)</f>
        <v>49.3829446875</v>
      </c>
      <c r="Y119" s="33" t="n">
        <f aca="false">Source_Data!Y$7+IF($B$117=1,IF(Source_Data!Y$6=Inputs!$B$13,Source_Data!$C$8,0),Source_Data!Y$8)</f>
        <v>42.1027259375</v>
      </c>
      <c r="Z119" s="33" t="n">
        <f aca="false">Source_Data!Z$7+IF($B$117=1,IF(Source_Data!Z$6=Inputs!$B$13,Source_Data!$C$8,0),Source_Data!Z$8)</f>
        <v>42.1027259375</v>
      </c>
      <c r="AA119" s="33" t="n">
        <f aca="false">Source_Data!AA$7+IF($B$117=1,IF(Source_Data!AA$6=Inputs!$B$13,Source_Data!$C$8,0),Source_Data!AA$8)</f>
        <v>42.1027259375</v>
      </c>
      <c r="AB119" s="33" t="n">
        <f aca="false">Source_Data!AB$7+IF($B$117=1,IF(Source_Data!AB$6=Inputs!$B$13,Source_Data!$C$8,0),Source_Data!AB$8)</f>
        <v>36.3147259375</v>
      </c>
      <c r="AC119" s="33" t="n">
        <f aca="false">Source_Data!AC$7+IF($B$117=1,IF(Source_Data!AC$6=Inputs!$B$13,Source_Data!$C$8,0),Source_Data!AC$8)</f>
        <v>33.0386275</v>
      </c>
      <c r="AD119" s="33" t="n">
        <f aca="false">Source_Data!AD$7+IF($B$117=1,IF(Source_Data!AD$6=Inputs!$B$13,Source_Data!$C$8,0),Source_Data!AD$8)</f>
        <v>29.43017125</v>
      </c>
      <c r="AE119" s="33" t="n">
        <f aca="false">Source_Data!AE$7+IF($B$117=1,IF(Source_Data!AE$6=Inputs!$B$13,Source_Data!$C$8,0),Source_Data!AE$8)</f>
        <v>25.08917125</v>
      </c>
      <c r="AF119" s="33" t="n">
        <f aca="false">Source_Data!AF$7+IF($B$117=1,IF(Source_Data!AF$6=Inputs!$B$13,Source_Data!$C$8,0),Source_Data!AF$8)</f>
        <v>25.08917125</v>
      </c>
      <c r="AG119" s="33" t="n">
        <f aca="false">Source_Data!AG$7+IF($B$117=1,IF(Source_Data!AG$6=Inputs!$B$13,Source_Data!$C$8,0),Source_Data!AG$8)</f>
        <v>25.08917125</v>
      </c>
      <c r="AH119" s="33" t="n">
        <f aca="false">Source_Data!AH$7+IF($B$117=1,IF(Source_Data!AH$6=Inputs!$B$13,Source_Data!$C$8,0),Source_Data!AH$8)</f>
        <v>25.08917125</v>
      </c>
      <c r="AI119" s="33" t="n">
        <f aca="false">Source_Data!AI$7+IF($B$117=1,IF(Source_Data!AI$6=Inputs!$B$13,Source_Data!$C$8,0),Source_Data!AI$8)</f>
        <v>25.08917125</v>
      </c>
      <c r="AJ119" s="33" t="n">
        <f aca="false">Source_Data!AJ$7+IF($B$117=1,IF(Source_Data!AJ$6=Inputs!$B$13,Source_Data!$C$8,0),Source_Data!AJ$8)</f>
        <v>25.08917125</v>
      </c>
      <c r="AK119" s="33" t="n">
        <f aca="false">Source_Data!AK$7+IF($B$117=1,IF(Source_Data!AK$6=Inputs!$B$13,Source_Data!$C$8,0),Source_Data!AK$8)</f>
        <v>22.905105625</v>
      </c>
      <c r="AL119" s="33" t="n">
        <f aca="false">Source_Data!AL$7+IF($B$117=1,IF(Source_Data!AL$6=Inputs!$B$13,Source_Data!$C$8,0),Source_Data!AL$8)</f>
        <v>22.905105625</v>
      </c>
      <c r="AM119" s="33" t="n">
        <f aca="false">Source_Data!AM$7+IF($B$117=1,IF(Source_Data!AM$6=Inputs!$B$13,Source_Data!$C$8,0),Source_Data!AM$8)</f>
        <v>18.739554375</v>
      </c>
      <c r="AN119" s="33" t="n">
        <f aca="false">Source_Data!AN$7+IF($B$117=1,IF(Source_Data!AN$6=Inputs!$B$13,Source_Data!$C$8,0),Source_Data!AN$8)</f>
        <v>9.6261675</v>
      </c>
      <c r="AO119" s="33" t="n">
        <f aca="false">Source_Data!AO$7+IF($B$117=1,IF(Source_Data!AO$6=Inputs!$B$13,Source_Data!$C$8,0),Source_Data!AO$8)</f>
        <v>3.5704725</v>
      </c>
      <c r="AP119" s="33" t="n">
        <f aca="false">Source_Data!AP$7+IF($B$117=1,IF(Source_Data!AP$6=Inputs!$B$13,Source_Data!$C$8,0),Source_Data!AP$8)</f>
        <v>0</v>
      </c>
      <c r="AQ119" s="33" t="n">
        <f aca="false">Source_Data!AQ$7+IF($B$117=1,IF(Source_Data!AQ$6=Inputs!$B$13,Source_Data!$C$8,0),Source_Data!AQ$8)</f>
        <v>0</v>
      </c>
      <c r="AR119" s="33" t="n">
        <f aca="false">Source_Data!AR$7+IF($B$117=1,IF(Source_Data!AR$6=Inputs!$B$13,Source_Data!$C$8,0),Source_Data!AR$8)</f>
        <v>0</v>
      </c>
      <c r="AS119" s="33" t="n">
        <f aca="false">Source_Data!AS$7+IF($B$117=1,IF(Source_Data!AS$6=Inputs!$B$13,Source_Data!$C$8,0),Source_Data!AS$8)</f>
        <v>0</v>
      </c>
      <c r="AT119" s="33" t="n">
        <f aca="false">Source_Data!AT$7+IF($B$117=1,IF(Source_Data!AT$6=Inputs!$B$13,Source_Data!$C$8,0),Source_Data!AT$8)</f>
        <v>0</v>
      </c>
      <c r="AU119" s="33" t="n">
        <f aca="false">Source_Data!AU$7+IF($B$117=1,IF(Source_Data!AU$6=Inputs!$B$13,Source_Data!$C$8,0),Source_Data!AU$8)</f>
        <v>0</v>
      </c>
      <c r="AV119" s="33" t="n">
        <f aca="false">Source_Data!AV$7+IF($B$117=1,IF(Source_Data!AV$6=Inputs!$B$13,Source_Data!$C$8,0),Source_Data!AV$8)</f>
        <v>0</v>
      </c>
      <c r="AW119" s="33" t="n">
        <f aca="false">Source_Data!AW$7+IF($B$117=1,IF(Source_Data!AW$6=Inputs!$B$13,Source_Data!$C$8,0),Source_Data!AW$8)</f>
        <v>0</v>
      </c>
      <c r="AX119" s="33" t="n">
        <f aca="false">Source_Data!AX$7+IF($B$117=1,IF(Source_Data!AX$6=Inputs!$B$13,Source_Data!$C$8,0),Source_Data!AX$8)</f>
        <v>0</v>
      </c>
      <c r="AY119" s="33" t="n">
        <f aca="false">Source_Data!AY$7+IF($B$117=1,IF(Source_Data!AY$6=Inputs!$B$13,Source_Data!$C$8,0),Source_Data!AY$8)</f>
        <v>0</v>
      </c>
      <c r="AZ119" s="33" t="n">
        <f aca="false">Source_Data!AZ$7+IF($B$117=1,IF(Source_Data!AZ$6=Inputs!$B$13,Source_Data!$C$8,0),Source_Data!AZ$8)</f>
        <v>0</v>
      </c>
      <c r="BA119" s="33" t="n">
        <f aca="false">Source_Data!BA$7+IF($B$117=1,IF(Source_Data!BA$6=Inputs!$B$13,Source_Data!$C$8,0),Source_Data!BA$8)</f>
        <v>0</v>
      </c>
      <c r="BB119" s="33" t="n">
        <f aca="false">Source_Data!BB$7+IF($B$117=1,IF(Source_Data!BB$6=Inputs!$B$13,Source_Data!$C$8,0),Source_Data!BB$8)</f>
        <v>0</v>
      </c>
      <c r="BC119" s="33" t="n">
        <f aca="false">Source_Data!BC$7+IF($B$117=1,IF(Source_Data!BC$6=Inputs!$B$13,Source_Data!$C$8,0),Source_Data!BC$8)</f>
        <v>0</v>
      </c>
      <c r="BD119" s="33" t="n">
        <f aca="false">Source_Data!BD$7+IF($B$117=1,IF(Source_Data!BD$6=Inputs!$B$13,Source_Data!$C$8,0),Source_Data!BD$8)</f>
        <v>0</v>
      </c>
      <c r="BE119" s="33" t="n">
        <f aca="false">Source_Data!BE$7+IF($B$117=1,IF(Source_Data!BE$6=Inputs!$B$13,Source_Data!$C$8,0),Source_Data!BE$8)</f>
        <v>0</v>
      </c>
      <c r="BF119" s="33" t="n">
        <f aca="false">Source_Data!BF$7+IF($B$117=1,IF(Source_Data!BF$6=Inputs!$B$13,Source_Data!$C$8,0),Source_Data!BF$8)</f>
        <v>0</v>
      </c>
      <c r="BG119" s="33" t="n">
        <f aca="false">Source_Data!BG$7+IF($B$117=1,IF(Source_Data!BG$6=Inputs!$B$13,Source_Data!$C$8,0),Source_Data!BG$8)</f>
        <v>0</v>
      </c>
      <c r="BH119" s="33" t="n">
        <f aca="false">Source_Data!BH$7+IF($B$117=1,IF(Source_Data!BH$6=Inputs!$B$13,Source_Data!$C$8,0),Source_Data!BH$8)</f>
        <v>0</v>
      </c>
      <c r="BI119" s="33" t="n">
        <f aca="false">Source_Data!BI$7+IF($B$117=1,IF(Source_Data!BI$6=Inputs!$B$13,Source_Data!$C$8,0),Source_Data!BI$8)</f>
        <v>0</v>
      </c>
      <c r="BJ119" s="33" t="n">
        <f aca="false">Source_Data!BJ$7+IF($B$117=1,IF(Source_Data!BJ$6=Inputs!$B$13,Source_Data!$C$8,0),Source_Data!BJ$8)</f>
        <v>0</v>
      </c>
      <c r="BK119" s="33" t="n">
        <f aca="false">Source_Data!BK$7+IF($B$117=1,IF(Source_Data!BK$6=Inputs!$B$13,Source_Data!$C$8,0),Source_Data!BK$8)</f>
        <v>0</v>
      </c>
    </row>
    <row r="120" customFormat="false" ht="15" hidden="false" customHeight="false" outlineLevel="0" collapsed="false">
      <c r="A120" s="3" t="s">
        <v>338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15.1392375</v>
      </c>
      <c r="G120" s="33" t="n">
        <f aca="false">$B$113*IF(Source_Data!G$5-($B$114+$B$116)&gt;=1,INDEX($D$119:$BK$119,1,Source_Data!G$5-($B$114+$B$116)),0)</f>
        <v>30.278475</v>
      </c>
      <c r="H120" s="33" t="n">
        <f aca="false">$B$113*IF(Source_Data!H$5-($B$114+$B$116)&gt;=1,INDEX($D$119:$BK$119,1,Source_Data!H$5-($B$114+$B$116)),0)</f>
        <v>46.51200625</v>
      </c>
      <c r="I120" s="33" t="n">
        <f aca="false">$B$113*IF(Source_Data!I$5-($B$114+$B$116)&gt;=1,INDEX($D$119:$BK$119,1,Source_Data!I$5-($B$114+$B$116)),0)</f>
        <v>62.7455375</v>
      </c>
      <c r="J120" s="33" t="n">
        <f aca="false">$B$113*IF(Source_Data!J$5-($B$114+$B$116)&gt;=1,INDEX($D$119:$BK$119,1,Source_Data!J$5-($B$114+$B$116)),0)</f>
        <v>62.3657</v>
      </c>
      <c r="K120" s="33" t="n">
        <f aca="false">$B$113*IF(Source_Data!K$5-($B$114+$B$116)&gt;=1,INDEX($D$119:$BK$119,1,Source_Data!K$5-($B$114+$B$116)),0)</f>
        <v>63.473559375</v>
      </c>
      <c r="L120" s="33" t="n">
        <f aca="false">$B$113*IF(Source_Data!L$5-($B$114+$B$116)&gt;=1,INDEX($D$119:$BK$119,1,Source_Data!L$5-($B$114+$B$116)),0)</f>
        <v>80.3288484375</v>
      </c>
      <c r="M120" s="33" t="n">
        <f aca="false">$B$113*IF(Source_Data!M$5-($B$114+$B$116)&gt;=1,INDEX($D$119:$BK$119,1,Source_Data!M$5-($B$114+$B$116)),0)</f>
        <v>495.2538375</v>
      </c>
      <c r="N120" s="33" t="n">
        <f aca="false">$B$113*IF(Source_Data!N$5-($B$114+$B$116)&gt;=1,INDEX($D$119:$BK$119,1,Source_Data!N$5-($B$114+$B$116)),0)</f>
        <v>185.57775</v>
      </c>
      <c r="O120" s="33" t="n">
        <f aca="false">$B$113*IF(Source_Data!O$5-($B$114+$B$116)&gt;=1,INDEX($D$119:$BK$119,1,Source_Data!O$5-($B$114+$B$116)),0)</f>
        <v>176.534</v>
      </c>
      <c r="P120" s="33" t="n">
        <f aca="false">$B$113*IF(Source_Data!P$5-($B$114+$B$116)&gt;=1,INDEX($D$119:$BK$119,1,Source_Data!P$5-($B$114+$B$116)),0)</f>
        <v>97.31075</v>
      </c>
      <c r="Q120" s="33" t="n">
        <f aca="false">$B$113*IF(Source_Data!Q$5-($B$114+$B$116)&gt;=1,INDEX($D$119:$BK$119,1,Source_Data!Q$5-($B$114+$B$116)),0)</f>
        <v>71.30996875</v>
      </c>
      <c r="R120" s="33" t="n">
        <f aca="false">$B$113*IF(Source_Data!R$5-($B$114+$B$116)&gt;=1,INDEX($D$119:$BK$119,1,Source_Data!R$5-($B$114+$B$116)),0)</f>
        <v>71.30996875</v>
      </c>
      <c r="S120" s="33" t="n">
        <f aca="false">$B$113*IF(Source_Data!S$5-($B$114+$B$116)&gt;=1,INDEX($D$119:$BK$119,1,Source_Data!S$5-($B$114+$B$116)),0)</f>
        <v>68.037035625</v>
      </c>
      <c r="T120" s="33" t="n">
        <f aca="false">$B$113*IF(Source_Data!T$5-($B$114+$B$116)&gt;=1,INDEX($D$119:$BK$119,1,Source_Data!T$5-($B$114+$B$116)),0)</f>
        <v>61.2266396875</v>
      </c>
      <c r="U120" s="33" t="n">
        <f aca="false">$B$113*IF(Source_Data!U$5-($B$114+$B$116)&gt;=1,INDEX($D$119:$BK$119,1,Source_Data!U$5-($B$114+$B$116)),0)</f>
        <v>59.7127159375</v>
      </c>
      <c r="V120" s="33" t="n">
        <f aca="false">$B$113*IF(Source_Data!V$5-($B$114+$B$116)&gt;=1,INDEX($D$119:$BK$119,1,Source_Data!V$5-($B$114+$B$116)),0)</f>
        <v>53.7239446875</v>
      </c>
      <c r="W120" s="33" t="n">
        <f aca="false">$B$113*IF(Source_Data!W$5-($B$114+$B$116)&gt;=1,INDEX($D$119:$BK$119,1,Source_Data!W$5-($B$114+$B$116)),0)</f>
        <v>49.3829446875</v>
      </c>
      <c r="X120" s="33" t="n">
        <f aca="false">$B$113*IF(Source_Data!X$5-($B$114+$B$116)&gt;=1,INDEX($D$119:$BK$119,1,Source_Data!X$5-($B$114+$B$116)),0)</f>
        <v>49.3829446875</v>
      </c>
      <c r="Y120" s="33" t="n">
        <f aca="false">$B$113*IF(Source_Data!Y$5-($B$114+$B$116)&gt;=1,INDEX($D$119:$BK$119,1,Source_Data!Y$5-($B$114+$B$116)),0)</f>
        <v>42.1027259375</v>
      </c>
      <c r="Z120" s="33" t="n">
        <f aca="false">$B$113*IF(Source_Data!Z$5-($B$114+$B$116)&gt;=1,INDEX($D$119:$BK$119,1,Source_Data!Z$5-($B$114+$B$116)),0)</f>
        <v>42.1027259375</v>
      </c>
      <c r="AA120" s="33" t="n">
        <f aca="false">$B$113*IF(Source_Data!AA$5-($B$114+$B$116)&gt;=1,INDEX($D$119:$BK$119,1,Source_Data!AA$5-($B$114+$B$116)),0)</f>
        <v>42.1027259375</v>
      </c>
      <c r="AB120" s="33" t="n">
        <f aca="false">$B$113*IF(Source_Data!AB$5-($B$114+$B$116)&gt;=1,INDEX($D$119:$BK$119,1,Source_Data!AB$5-($B$114+$B$116)),0)</f>
        <v>36.3147259375</v>
      </c>
      <c r="AC120" s="33" t="n">
        <f aca="false">$B$113*IF(Source_Data!AC$5-($B$114+$B$116)&gt;=1,INDEX($D$119:$BK$119,1,Source_Data!AC$5-($B$114+$B$116)),0)</f>
        <v>33.0386275</v>
      </c>
      <c r="AD120" s="33" t="n">
        <f aca="false">$B$113*IF(Source_Data!AD$5-($B$114+$B$116)&gt;=1,INDEX($D$119:$BK$119,1,Source_Data!AD$5-($B$114+$B$116)),0)</f>
        <v>29.43017125</v>
      </c>
      <c r="AE120" s="33" t="n">
        <f aca="false">$B$113*IF(Source_Data!AE$5-($B$114+$B$116)&gt;=1,INDEX($D$119:$BK$119,1,Source_Data!AE$5-($B$114+$B$116)),0)</f>
        <v>25.08917125</v>
      </c>
      <c r="AF120" s="33" t="n">
        <f aca="false">$B$113*IF(Source_Data!AF$5-($B$114+$B$116)&gt;=1,INDEX($D$119:$BK$119,1,Source_Data!AF$5-($B$114+$B$116)),0)</f>
        <v>25.08917125</v>
      </c>
      <c r="AG120" s="33" t="n">
        <f aca="false">$B$113*IF(Source_Data!AG$5-($B$114+$B$116)&gt;=1,INDEX($D$119:$BK$119,1,Source_Data!AG$5-($B$114+$B$116)),0)</f>
        <v>25.08917125</v>
      </c>
      <c r="AH120" s="33" t="n">
        <f aca="false">$B$113*IF(Source_Data!AH$5-($B$114+$B$116)&gt;=1,INDEX($D$119:$BK$119,1,Source_Data!AH$5-($B$114+$B$116)),0)</f>
        <v>25.08917125</v>
      </c>
      <c r="AI120" s="33" t="n">
        <f aca="false">$B$113*IF(Source_Data!AI$5-($B$114+$B$116)&gt;=1,INDEX($D$119:$BK$119,1,Source_Data!AI$5-($B$114+$B$116)),0)</f>
        <v>25.08917125</v>
      </c>
      <c r="AJ120" s="33" t="n">
        <f aca="false">$B$113*IF(Source_Data!AJ$5-($B$114+$B$116)&gt;=1,INDEX($D$119:$BK$119,1,Source_Data!AJ$5-($B$114+$B$116)),0)</f>
        <v>25.08917125</v>
      </c>
      <c r="AK120" s="33" t="n">
        <f aca="false">$B$113*IF(Source_Data!AK$5-($B$114+$B$116)&gt;=1,INDEX($D$119:$BK$119,1,Source_Data!AK$5-($B$114+$B$116)),0)</f>
        <v>22.905105625</v>
      </c>
      <c r="AL120" s="33" t="n">
        <f aca="false">$B$113*IF(Source_Data!AL$5-($B$114+$B$116)&gt;=1,INDEX($D$119:$BK$119,1,Source_Data!AL$5-($B$114+$B$116)),0)</f>
        <v>22.905105625</v>
      </c>
      <c r="AM120" s="33" t="n">
        <f aca="false">$B$113*IF(Source_Data!AM$5-($B$114+$B$116)&gt;=1,INDEX($D$119:$BK$119,1,Source_Data!AM$5-($B$114+$B$116)),0)</f>
        <v>18.739554375</v>
      </c>
      <c r="AN120" s="33" t="n">
        <f aca="false">$B$113*IF(Source_Data!AN$5-($B$114+$B$116)&gt;=1,INDEX($D$119:$BK$119,1,Source_Data!AN$5-($B$114+$B$116)),0)</f>
        <v>9.6261675</v>
      </c>
      <c r="AO120" s="33" t="n">
        <f aca="false">$B$113*IF(Source_Data!AO$5-($B$114+$B$116)&gt;=1,INDEX($D$119:$BK$119,1,Source_Data!AO$5-($B$114+$B$116)),0)</f>
        <v>3.5704725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339</v>
      </c>
      <c r="D121" s="33" t="n">
        <f aca="false">Source_Data!D$9+Source_Data!D$10*IF(Source_Data!$C$10=0,0,MAX(0,Inputs!$B$19*Inputs!$B$22*$B$113-Inputs!$B$20)/Source_Data!$C$10)</f>
        <v>91.25</v>
      </c>
      <c r="E121" s="33" t="n">
        <f aca="false">Source_Data!E$9+Source_Data!E$10*IF(Source_Data!$C$10=0,0,MAX(0,Inputs!$B$19*Inputs!$B$22*$B$113-Inputs!$B$20)/Source_Data!$C$10)</f>
        <v>11.25</v>
      </c>
      <c r="F121" s="33" t="n">
        <f aca="false">Source_Data!F$9+Source_Data!F$10*IF(Source_Data!$C$10=0,0,MAX(0,Inputs!$B$19*Inputs!$B$22*$B$113-Inputs!$B$20)/Source_Data!$C$10)</f>
        <v>11.25</v>
      </c>
      <c r="G121" s="33" t="n">
        <f aca="false">Source_Data!G$9+Source_Data!G$10*IF(Source_Data!$C$10=0,0,MAX(0,Inputs!$B$19*Inputs!$B$22*$B$113-Inputs!$B$20)/Source_Data!$C$10)</f>
        <v>11.25</v>
      </c>
      <c r="H121" s="33" t="n">
        <f aca="false">Source_Data!H$9+Source_Data!H$10*IF(Source_Data!$C$10=0,0,MAX(0,Inputs!$B$19*Inputs!$B$22*$B$113-Inputs!$B$20)/Source_Data!$C$10)</f>
        <v>22.5</v>
      </c>
      <c r="I121" s="33" t="n">
        <f aca="false">Source_Data!I$9+Source_Data!I$10*IF(Source_Data!$C$10=0,0,MAX(0,Inputs!$B$19*Inputs!$B$22*$B$113-Inputs!$B$20)/Source_Data!$C$10)</f>
        <v>22.5</v>
      </c>
      <c r="J121" s="33" t="n">
        <f aca="false">Source_Data!J$9+Source_Data!J$10*IF(Source_Data!$C$10=0,0,MAX(0,Inputs!$B$19*Inputs!$B$22*$B$113-Inputs!$B$20)/Source_Data!$C$10)</f>
        <v>22.5</v>
      </c>
      <c r="K121" s="33" t="n">
        <f aca="false">Source_Data!K$9+Source_Data!K$10*IF(Source_Data!$C$10=0,0,MAX(0,Inputs!$B$19*Inputs!$B$22*$B$113-Inputs!$B$20)/Source_Data!$C$10)</f>
        <v>22.5</v>
      </c>
      <c r="L121" s="33" t="n">
        <f aca="false">Source_Data!L$9+Source_Data!L$10*IF(Source_Data!$C$10=0,0,MAX(0,Inputs!$B$19*Inputs!$B$22*$B$113-Inputs!$B$20)/Source_Data!$C$10)</f>
        <v>33.75</v>
      </c>
      <c r="M121" s="33" t="n">
        <f aca="false">Source_Data!M$9+Source_Data!M$10*IF(Source_Data!$C$10=0,0,MAX(0,Inputs!$B$19*Inputs!$B$22*$B$113-Inputs!$B$20)/Source_Data!$C$10)</f>
        <v>33.75</v>
      </c>
      <c r="N121" s="33" t="n">
        <f aca="false">Source_Data!N$9+Source_Data!N$10*IF(Source_Data!$C$10=0,0,MAX(0,Inputs!$B$19*Inputs!$B$22*$B$113-Inputs!$B$20)/Source_Data!$C$10)</f>
        <v>33.75</v>
      </c>
      <c r="O121" s="33" t="n">
        <f aca="false">Source_Data!O$9+Source_Data!O$10*IF(Source_Data!$C$10=0,0,MAX(0,Inputs!$B$19*Inputs!$B$22*$B$113-Inputs!$B$20)/Source_Data!$C$10)</f>
        <v>33.75</v>
      </c>
      <c r="P121" s="33" t="n">
        <f aca="false">Source_Data!P$9+Source_Data!P$10*IF(Source_Data!$C$10=0,0,MAX(0,Inputs!$B$19*Inputs!$B$22*$B$113-Inputs!$B$20)/Source_Data!$C$10)</f>
        <v>45</v>
      </c>
      <c r="Q121" s="33" t="n">
        <f aca="false">Source_Data!Q$9+Source_Data!Q$10*IF(Source_Data!$C$10=0,0,MAX(0,Inputs!$B$19*Inputs!$B$22*$B$113-Inputs!$B$20)/Source_Data!$C$10)</f>
        <v>45</v>
      </c>
      <c r="R121" s="33" t="n">
        <f aca="false">Source_Data!R$9+Source_Data!R$10*IF(Source_Data!$C$10=0,0,MAX(0,Inputs!$B$19*Inputs!$B$22*$B$113-Inputs!$B$20)/Source_Data!$C$10)</f>
        <v>45</v>
      </c>
      <c r="S121" s="33" t="n">
        <f aca="false">Source_Data!S$9+Source_Data!S$10*IF(Source_Data!$C$10=0,0,MAX(0,Inputs!$B$19*Inputs!$B$22*$B$113-Inputs!$B$20)/Source_Data!$C$10)</f>
        <v>45</v>
      </c>
      <c r="T121" s="33" t="n">
        <f aca="false">Source_Data!T$9+Source_Data!T$10*IF(Source_Data!$C$10=0,0,MAX(0,Inputs!$B$19*Inputs!$B$22*$B$113-Inputs!$B$20)/Source_Data!$C$10)</f>
        <v>45</v>
      </c>
      <c r="U121" s="33" t="n">
        <f aca="false">Source_Data!U$9+Source_Data!U$10*IF(Source_Data!$C$10=0,0,MAX(0,Inputs!$B$19*Inputs!$B$22*$B$113-Inputs!$B$20)/Source_Data!$C$10)</f>
        <v>45</v>
      </c>
      <c r="V121" s="33" t="n">
        <f aca="false">Source_Data!V$9+Source_Data!V$10*IF(Source_Data!$C$10=0,0,MAX(0,Inputs!$B$19*Inputs!$B$22*$B$113-Inputs!$B$20)/Source_Data!$C$10)</f>
        <v>45</v>
      </c>
      <c r="W121" s="33" t="n">
        <f aca="false">Source_Data!W$9+Source_Data!W$10*IF(Source_Data!$C$10=0,0,MAX(0,Inputs!$B$19*Inputs!$B$22*$B$113-Inputs!$B$20)/Source_Data!$C$10)</f>
        <v>45</v>
      </c>
      <c r="X121" s="33" t="n">
        <f aca="false">Source_Data!X$9+Source_Data!X$10*IF(Source_Data!$C$10=0,0,MAX(0,Inputs!$B$19*Inputs!$B$22*$B$113-Inputs!$B$20)/Source_Data!$C$10)</f>
        <v>22.5</v>
      </c>
      <c r="Y121" s="33" t="n">
        <f aca="false">Source_Data!Y$9+Source_Data!Y$10*IF(Source_Data!$C$10=0,0,MAX(0,Inputs!$B$19*Inputs!$B$22*$B$113-Inputs!$B$20)/Source_Data!$C$10)</f>
        <v>22.5</v>
      </c>
      <c r="Z121" s="33" t="n">
        <f aca="false">Source_Data!Z$9+Source_Data!Z$10*IF(Source_Data!$C$10=0,0,MAX(0,Inputs!$B$19*Inputs!$B$22*$B$113-Inputs!$B$20)/Source_Data!$C$10)</f>
        <v>22.5</v>
      </c>
      <c r="AA121" s="33" t="n">
        <f aca="false">Source_Data!AA$9+Source_Data!AA$10*IF(Source_Data!$C$10=0,0,MAX(0,Inputs!$B$19*Inputs!$B$22*$B$113-Inputs!$B$20)/Source_Data!$C$10)</f>
        <v>22.5</v>
      </c>
      <c r="AB121" s="33" t="n">
        <f aca="false">Source_Data!AB$9+Source_Data!AB$10*IF(Source_Data!$C$10=0,0,MAX(0,Inputs!$B$19*Inputs!$B$22*$B$113-Inputs!$B$20)/Source_Data!$C$10)</f>
        <v>0</v>
      </c>
      <c r="AC121" s="33" t="n">
        <f aca="false">Source_Data!AC$9+Source_Data!AC$10*IF(Source_Data!$C$10=0,0,MAX(0,Inputs!$B$19*Inputs!$B$22*$B$113-Inputs!$B$20)/Source_Data!$C$10)</f>
        <v>0</v>
      </c>
      <c r="AD121" s="33" t="n">
        <f aca="false">Source_Data!AD$9+Source_Data!AD$10*IF(Source_Data!$C$10=0,0,MAX(0,Inputs!$B$19*Inputs!$B$22*$B$113-Inputs!$B$20)/Source_Data!$C$10)</f>
        <v>0</v>
      </c>
      <c r="AE121" s="33" t="n">
        <f aca="false">Source_Data!AE$9+Source_Data!AE$10*IF(Source_Data!$C$10=0,0,MAX(0,Inputs!$B$19*Inputs!$B$22*$B$113-Inputs!$B$20)/Source_Data!$C$10)</f>
        <v>0</v>
      </c>
      <c r="AF121" s="33" t="n">
        <f aca="false">Source_Data!AF$9+Source_Data!AF$10*IF(Source_Data!$C$10=0,0,MAX(0,Inputs!$B$19*Inputs!$B$22*$B$113-Inputs!$B$20)/Source_Data!$C$10)</f>
        <v>107.758210351563</v>
      </c>
      <c r="AG121" s="33" t="n">
        <f aca="false">Source_Data!AG$9+Source_Data!AG$10*IF(Source_Data!$C$10=0,0,MAX(0,Inputs!$B$19*Inputs!$B$22*$B$113-Inputs!$B$20)/Source_Data!$C$10)</f>
        <v>10.976512421875</v>
      </c>
      <c r="AH121" s="33" t="n">
        <f aca="false">Source_Data!AH$9+Source_Data!AH$10*IF(Source_Data!$C$10=0,0,MAX(0,Inputs!$B$19*Inputs!$B$22*$B$113-Inputs!$B$20)/Source_Data!$C$10)</f>
        <v>10.976512421875</v>
      </c>
      <c r="AI121" s="33" t="n">
        <f aca="false">Source_Data!AI$9+Source_Data!AI$10*IF(Source_Data!$C$10=0,0,MAX(0,Inputs!$B$19*Inputs!$B$22*$B$113-Inputs!$B$20)/Source_Data!$C$10)</f>
        <v>10.976512421875</v>
      </c>
      <c r="AJ121" s="33" t="n">
        <f aca="false">Source_Data!AJ$9+Source_Data!AJ$10*IF(Source_Data!$C$10=0,0,MAX(0,Inputs!$B$19*Inputs!$B$22*$B$113-Inputs!$B$20)/Source_Data!$C$10)</f>
        <v>10.976512421875</v>
      </c>
      <c r="AK121" s="33" t="n">
        <f aca="false">Source_Data!AK$9+Source_Data!AK$10*IF(Source_Data!$C$10=0,0,MAX(0,Inputs!$B$19*Inputs!$B$22*$B$113-Inputs!$B$20)/Source_Data!$C$10)</f>
        <v>10.0209837109375</v>
      </c>
      <c r="AL121" s="33" t="n">
        <f aca="false">Source_Data!AL$9+Source_Data!AL$10*IF(Source_Data!$C$10=0,0,MAX(0,Inputs!$B$19*Inputs!$B$22*$B$113-Inputs!$B$20)/Source_Data!$C$10)</f>
        <v>10.0209837109375</v>
      </c>
      <c r="AM121" s="33" t="n">
        <f aca="false">Source_Data!AM$9+Source_Data!AM$10*IF(Source_Data!$C$10=0,0,MAX(0,Inputs!$B$19*Inputs!$B$22*$B$113-Inputs!$B$20)/Source_Data!$C$10)</f>
        <v>8.19855503906249</v>
      </c>
      <c r="AN121" s="33" t="n">
        <f aca="false">Source_Data!AN$9+Source_Data!AN$10*IF(Source_Data!$C$10=0,0,MAX(0,Inputs!$B$19*Inputs!$B$22*$B$113-Inputs!$B$20)/Source_Data!$C$10)</f>
        <v>4.21144828125</v>
      </c>
      <c r="AO121" s="33" t="n">
        <f aca="false">Source_Data!AO$9+Source_Data!AO$10*IF(Source_Data!$C$10=0,0,MAX(0,Inputs!$B$19*Inputs!$B$22*$B$113-Inputs!$B$20)/Source_Data!$C$10)</f>
        <v>1.56208171875</v>
      </c>
      <c r="AP121" s="33" t="n">
        <f aca="false">Source_Data!AP$9+Source_Data!AP$10*IF(Source_Data!$C$10=0,0,MAX(0,Inputs!$B$19*Inputs!$B$22*$B$113-Inputs!$B$20)/Source_Data!$C$10)</f>
        <v>0</v>
      </c>
      <c r="AQ121" s="33" t="n">
        <f aca="false">Source_Data!AQ$9+Source_Data!AQ$10*IF(Source_Data!$C$10=0,0,MAX(0,Inputs!$B$19*Inputs!$B$22*$B$113-Inputs!$B$20)/Source_Data!$C$10)</f>
        <v>0</v>
      </c>
      <c r="AR121" s="33" t="n">
        <f aca="false">Source_Data!AR$9+Source_Data!AR$10*IF(Source_Data!$C$10=0,0,MAX(0,Inputs!$B$19*Inputs!$B$22*$B$113-Inputs!$B$20)/Source_Data!$C$10)</f>
        <v>0</v>
      </c>
      <c r="AS121" s="33" t="n">
        <f aca="false">Source_Data!AS$9+Source_Data!AS$10*IF(Source_Data!$C$10=0,0,MAX(0,Inputs!$B$19*Inputs!$B$22*$B$113-Inputs!$B$20)/Source_Data!$C$10)</f>
        <v>0</v>
      </c>
      <c r="AT121" s="33" t="n">
        <f aca="false">Source_Data!AT$9+Source_Data!AT$10*IF(Source_Data!$C$10=0,0,MAX(0,Inputs!$B$19*Inputs!$B$22*$B$113-Inputs!$B$20)/Source_Data!$C$10)</f>
        <v>0</v>
      </c>
      <c r="AU121" s="33" t="n">
        <f aca="false">Source_Data!AU$9+Source_Data!AU$10*IF(Source_Data!$C$10=0,0,MAX(0,Inputs!$B$19*Inputs!$B$22*$B$113-Inputs!$B$20)/Source_Data!$C$10)</f>
        <v>0</v>
      </c>
      <c r="AV121" s="33" t="n">
        <f aca="false">Source_Data!AV$9+Source_Data!AV$10*IF(Source_Data!$C$10=0,0,MAX(0,Inputs!$B$19*Inputs!$B$22*$B$113-Inputs!$B$20)/Source_Data!$C$10)</f>
        <v>0</v>
      </c>
      <c r="AW121" s="33" t="n">
        <f aca="false">Source_Data!AW$9+Source_Data!AW$10*IF(Source_Data!$C$10=0,0,MAX(0,Inputs!$B$19*Inputs!$B$22*$B$113-Inputs!$B$20)/Source_Data!$C$10)</f>
        <v>0</v>
      </c>
      <c r="AX121" s="33" t="n">
        <f aca="false">Source_Data!AX$9+Source_Data!AX$10*IF(Source_Data!$C$10=0,0,MAX(0,Inputs!$B$19*Inputs!$B$22*$B$113-Inputs!$B$20)/Source_Data!$C$10)</f>
        <v>0</v>
      </c>
      <c r="AY121" s="33" t="n">
        <f aca="false">Source_Data!AY$9+Source_Data!AY$10*IF(Source_Data!$C$10=0,0,MAX(0,Inputs!$B$19*Inputs!$B$22*$B$113-Inputs!$B$20)/Source_Data!$C$10)</f>
        <v>0</v>
      </c>
      <c r="AZ121" s="33" t="n">
        <f aca="false">Source_Data!AZ$9+Source_Data!AZ$10*IF(Source_Data!$C$10=0,0,MAX(0,Inputs!$B$19*Inputs!$B$22*$B$113-Inputs!$B$20)/Source_Data!$C$10)</f>
        <v>0</v>
      </c>
      <c r="BA121" s="33" t="n">
        <f aca="false">Source_Data!BA$9+Source_Data!BA$10*IF(Source_Data!$C$10=0,0,MAX(0,Inputs!$B$19*Inputs!$B$22*$B$113-Inputs!$B$20)/Source_Data!$C$10)</f>
        <v>0</v>
      </c>
      <c r="BB121" s="33" t="n">
        <f aca="false">Source_Data!BB$9+Source_Data!BB$10*IF(Source_Data!$C$10=0,0,MAX(0,Inputs!$B$19*Inputs!$B$22*$B$113-Inputs!$B$20)/Source_Data!$C$10)</f>
        <v>0</v>
      </c>
      <c r="BC121" s="33" t="n">
        <f aca="false">Source_Data!BC$9+Source_Data!BC$10*IF(Source_Data!$C$10=0,0,MAX(0,Inputs!$B$19*Inputs!$B$22*$B$113-Inputs!$B$20)/Source_Data!$C$10)</f>
        <v>0</v>
      </c>
      <c r="BD121" s="33" t="n">
        <f aca="false">Source_Data!BD$9+Source_Data!BD$10*IF(Source_Data!$C$10=0,0,MAX(0,Inputs!$B$19*Inputs!$B$22*$B$113-Inputs!$B$20)/Source_Data!$C$10)</f>
        <v>0</v>
      </c>
      <c r="BE121" s="33" t="n">
        <f aca="false">Source_Data!BE$9+Source_Data!BE$10*IF(Source_Data!$C$10=0,0,MAX(0,Inputs!$B$19*Inputs!$B$22*$B$113-Inputs!$B$20)/Source_Data!$C$10)</f>
        <v>0</v>
      </c>
      <c r="BF121" s="33" t="n">
        <f aca="false">Source_Data!BF$9+Source_Data!BF$10*IF(Source_Data!$C$10=0,0,MAX(0,Inputs!$B$19*Inputs!$B$22*$B$113-Inputs!$B$20)/Source_Data!$C$10)</f>
        <v>0</v>
      </c>
      <c r="BG121" s="33" t="n">
        <f aca="false">Source_Data!BG$9+Source_Data!BG$10*IF(Source_Data!$C$10=0,0,MAX(0,Inputs!$B$19*Inputs!$B$22*$B$113-Inputs!$B$20)/Source_Data!$C$10)</f>
        <v>0</v>
      </c>
      <c r="BH121" s="33" t="n">
        <f aca="false">Source_Data!BH$9+Source_Data!BH$10*IF(Source_Data!$C$10=0,0,MAX(0,Inputs!$B$19*Inputs!$B$22*$B$113-Inputs!$B$20)/Source_Data!$C$10)</f>
        <v>0</v>
      </c>
      <c r="BI121" s="33" t="n">
        <f aca="false">Source_Data!BI$9+Source_Data!BI$10*IF(Source_Data!$C$10=0,0,MAX(0,Inputs!$B$19*Inputs!$B$22*$B$113-Inputs!$B$20)/Source_Data!$C$10)</f>
        <v>0</v>
      </c>
      <c r="BJ121" s="33" t="n">
        <f aca="false">Source_Data!BJ$9+Source_Data!BJ$10*IF(Source_Data!$C$10=0,0,MAX(0,Inputs!$B$19*Inputs!$B$22*$B$113-Inputs!$B$20)/Source_Data!$C$10)</f>
        <v>0</v>
      </c>
      <c r="BK121" s="33" t="n">
        <f aca="false">Source_Data!BK$9+Source_Data!BK$10*IF(Source_Data!$C$10=0,0,MAX(0,Inputs!$B$19*Inputs!$B$22*$B$113-Inputs!$B$20)/Source_Data!$C$10)</f>
        <v>0</v>
      </c>
    </row>
    <row r="122" customFormat="false" ht="15" hidden="false" customHeight="false" outlineLevel="0" collapsed="false">
      <c r="A122" s="3" t="s">
        <v>194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22</v>
      </c>
      <c r="I122" s="33" t="n">
        <f aca="false">Source_Data!I$11*$B$115</f>
        <v>29.04</v>
      </c>
      <c r="J122" s="33" t="n">
        <f aca="false">Source_Data!J$11*$B$115</f>
        <v>44</v>
      </c>
      <c r="K122" s="33" t="n">
        <f aca="false">Source_Data!K$11*$B$115</f>
        <v>29.04</v>
      </c>
      <c r="L122" s="33" t="n">
        <f aca="false">Source_Data!L$11*$B$115</f>
        <v>29.04</v>
      </c>
      <c r="M122" s="33" t="n">
        <f aca="false">Source_Data!M$11*$B$115</f>
        <v>29.04</v>
      </c>
      <c r="N122" s="33" t="n">
        <f aca="false">Source_Data!N$11*$B$115</f>
        <v>5.808</v>
      </c>
      <c r="O122" s="33" t="n">
        <f aca="false">Source_Data!O$11*$B$115</f>
        <v>5.808</v>
      </c>
      <c r="P122" s="33" t="n">
        <f aca="false">Source_Data!P$11*$B$115</f>
        <v>132</v>
      </c>
      <c r="Q122" s="33" t="n">
        <f aca="false">Source_Data!Q$11*$B$115</f>
        <v>132</v>
      </c>
      <c r="R122" s="33" t="n">
        <f aca="false">Source_Data!R$11*$B$115</f>
        <v>180.4</v>
      </c>
      <c r="S122" s="33" t="n">
        <f aca="false">Source_Data!S$11*$B$115</f>
        <v>128.7</v>
      </c>
      <c r="T122" s="33" t="n">
        <f aca="false">Source_Data!T$11*$B$115</f>
        <v>0</v>
      </c>
      <c r="U122" s="33" t="n">
        <f aca="false">Source_Data!U$11*$B$115</f>
        <v>0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196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12.11139</v>
      </c>
      <c r="K123" s="33" t="n">
        <f aca="false">$B$113*IF(Source_Data!K$5-$B$114&gt;=1,INDEX(Source_Data!$D$12:$BK$12,1,Source_Data!K$5-$B$114),0)</f>
        <v>12.11139</v>
      </c>
      <c r="L123" s="33" t="n">
        <f aca="false">$B$113*IF(Source_Data!L$5-$B$114&gt;=1,INDEX(Source_Data!$D$12:$BK$12,1,Source_Data!L$5-$B$114),0)</f>
        <v>9.52126</v>
      </c>
      <c r="M123" s="33" t="n">
        <f aca="false">$B$113*IF(Source_Data!M$5-$B$114&gt;=1,INDEX(Source_Data!$D$12:$BK$12,1,Source_Data!M$5-$B$114),0)</f>
        <v>9.52126</v>
      </c>
      <c r="N123" s="33" t="n">
        <f aca="false">$B$113*IF(Source_Data!N$5-$B$114&gt;=1,INDEX(Source_Data!$D$12:$BK$12,1,Source_Data!N$5-$B$114),0)</f>
        <v>6.98901</v>
      </c>
      <c r="O123" s="33" t="n">
        <f aca="false">$B$113*IF(Source_Data!O$5-$B$114&gt;=1,INDEX(Source_Data!$D$12:$BK$12,1,Source_Data!O$5-$B$114),0)</f>
        <v>6.98901</v>
      </c>
      <c r="P123" s="33" t="n">
        <f aca="false">$B$113*IF(Source_Data!P$5-$B$114&gt;=1,INDEX(Source_Data!$D$12:$BK$12,1,Source_Data!P$5-$B$114),0)</f>
        <v>7.69804</v>
      </c>
      <c r="Q123" s="33" t="n">
        <f aca="false">$B$113*IF(Source_Data!Q$5-$B$114&gt;=1,INDEX(Source_Data!$D$12:$BK$12,1,Source_Data!Q$5-$B$114),0)</f>
        <v>9.2608</v>
      </c>
      <c r="R123" s="33" t="n">
        <f aca="false">$B$113*IF(Source_Data!R$5-$B$114&gt;=1,INDEX(Source_Data!$D$12:$BK$12,1,Source_Data!R$5-$B$114),0)</f>
        <v>9.2608</v>
      </c>
      <c r="S123" s="33" t="n">
        <f aca="false">$B$113*IF(Source_Data!S$5-$B$114&gt;=1,INDEX(Source_Data!$D$12:$BK$12,1,Source_Data!S$5-$B$114),0)</f>
        <v>6.6562</v>
      </c>
      <c r="T123" s="33" t="n">
        <f aca="false">$B$113*IF(Source_Data!T$5-$B$114&gt;=1,INDEX(Source_Data!$D$12:$BK$12,1,Source_Data!T$5-$B$114),0)</f>
        <v>0</v>
      </c>
      <c r="U123" s="33" t="n">
        <f aca="false">$B$113*IF(Source_Data!U$5-$B$114&gt;=1,INDEX(Source_Data!$D$12:$BK$12,1,Source_Data!U$5-$B$114),0)</f>
        <v>0</v>
      </c>
      <c r="V123" s="33" t="n">
        <f aca="false">$B$113*IF(Source_Data!V$5-$B$114&gt;=1,INDEX(Source_Data!$D$12:$BK$12,1,Source_Data!V$5-$B$114),0)</f>
        <v>0</v>
      </c>
      <c r="W123" s="33" t="n">
        <f aca="false">$B$113*IF(Source_Data!W$5-$B$114&gt;=1,INDEX(Source_Data!$D$12:$BK$12,1,Source_Data!W$5-$B$114),0)</f>
        <v>0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215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3.3</v>
      </c>
      <c r="I124" s="33" t="n">
        <f aca="false">Source_Data!I$13*$B$115</f>
        <v>4.356</v>
      </c>
      <c r="J124" s="33" t="n">
        <f aca="false">Source_Data!J$13*$B$115</f>
        <v>6.6</v>
      </c>
      <c r="K124" s="33" t="n">
        <f aca="false">Source_Data!K$13*$B$115</f>
        <v>4.356</v>
      </c>
      <c r="L124" s="33" t="n">
        <f aca="false">Source_Data!L$13*$B$115</f>
        <v>4.356</v>
      </c>
      <c r="M124" s="33" t="n">
        <f aca="false">Source_Data!M$13*$B$115</f>
        <v>4.356</v>
      </c>
      <c r="N124" s="33" t="n">
        <f aca="false">Source_Data!N$13*$B$115</f>
        <v>0.8712</v>
      </c>
      <c r="O124" s="33" t="n">
        <f aca="false">Source_Data!O$13*$B$115</f>
        <v>0.8712</v>
      </c>
      <c r="P124" s="33" t="n">
        <f aca="false">Source_Data!P$13*$B$115</f>
        <v>19.8</v>
      </c>
      <c r="Q124" s="33" t="n">
        <f aca="false">Source_Data!Q$13*$B$115</f>
        <v>19.8</v>
      </c>
      <c r="R124" s="33" t="n">
        <f aca="false">Source_Data!R$13*$B$115</f>
        <v>27.06</v>
      </c>
      <c r="S124" s="33" t="n">
        <f aca="false">Source_Data!S$13*$B$115</f>
        <v>19.305</v>
      </c>
      <c r="T124" s="33" t="n">
        <f aca="false">Source_Data!T$13*$B$115</f>
        <v>0</v>
      </c>
      <c r="U124" s="33" t="n">
        <f aca="false">Source_Data!U$13*$B$115</f>
        <v>0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216</v>
      </c>
      <c r="D125" s="33" t="n">
        <f aca="false">D120-D121-D122-D123-D124</f>
        <v>-91.25</v>
      </c>
      <c r="E125" s="33" t="n">
        <f aca="false">E120-E121-E122-E123-E124</f>
        <v>-11.25</v>
      </c>
      <c r="F125" s="33" t="n">
        <f aca="false">F120-F121-F122-F123-F124</f>
        <v>3.8892375</v>
      </c>
      <c r="G125" s="33" t="n">
        <f aca="false">G120-G121-G122-G123-G124</f>
        <v>19.028475</v>
      </c>
      <c r="H125" s="33" t="n">
        <f aca="false">H120-H121-H122-H123-H124</f>
        <v>-1.28799375</v>
      </c>
      <c r="I125" s="33" t="n">
        <f aca="false">I120-I121-I122-I123-I124</f>
        <v>6.8495375</v>
      </c>
      <c r="J125" s="33" t="n">
        <f aca="false">J120-J121-J122-J123-J124</f>
        <v>-22.84569</v>
      </c>
      <c r="K125" s="33" t="n">
        <f aca="false">K120-K121-K122-K123-K124</f>
        <v>-4.53383062499999</v>
      </c>
      <c r="L125" s="33" t="n">
        <f aca="false">L120-L121-L122-L123-L124</f>
        <v>3.66158843750001</v>
      </c>
      <c r="M125" s="33" t="n">
        <f aca="false">M120-M121-M122-M123-M124</f>
        <v>418.5865775</v>
      </c>
      <c r="N125" s="33" t="n">
        <f aca="false">N120-N121-N122-N123-N124</f>
        <v>138.15954</v>
      </c>
      <c r="O125" s="33" t="n">
        <f aca="false">O120-O121-O122-O123-O124</f>
        <v>129.11579</v>
      </c>
      <c r="P125" s="33" t="n">
        <f aca="false">P120-P121-P122-P123-P124</f>
        <v>-107.18729</v>
      </c>
      <c r="Q125" s="33" t="n">
        <f aca="false">Q120-Q121-Q122-Q123-Q124</f>
        <v>-134.75083125</v>
      </c>
      <c r="R125" s="33" t="n">
        <f aca="false">R120-R121-R122-R123-R124</f>
        <v>-190.41083125</v>
      </c>
      <c r="S125" s="33" t="n">
        <f aca="false">S120-S121-S122-S123-S124</f>
        <v>-131.624164375</v>
      </c>
      <c r="T125" s="33" t="n">
        <f aca="false">T120-T121-T122-T123-T124</f>
        <v>16.2266396875</v>
      </c>
      <c r="U125" s="33" t="n">
        <f aca="false">U120-U121-U122-U123-U124</f>
        <v>14.7127159375</v>
      </c>
      <c r="V125" s="33" t="n">
        <f aca="false">V120-V121-V122-V123-V124</f>
        <v>8.7239446875</v>
      </c>
      <c r="W125" s="33" t="n">
        <f aca="false">W120-W121-W122-W123-W124</f>
        <v>4.3829446875</v>
      </c>
      <c r="X125" s="33" t="n">
        <f aca="false">X120-X121-X122-X123-X124</f>
        <v>26.8829446875</v>
      </c>
      <c r="Y125" s="33" t="n">
        <f aca="false">Y120-Y121-Y122-Y123-Y124</f>
        <v>19.6027259375</v>
      </c>
      <c r="Z125" s="33" t="n">
        <f aca="false">Z120-Z121-Z122-Z123-Z124</f>
        <v>19.6027259375</v>
      </c>
      <c r="AA125" s="33" t="n">
        <f aca="false">AA120-AA121-AA122-AA123-AA124</f>
        <v>19.6027259375</v>
      </c>
      <c r="AB125" s="33" t="n">
        <f aca="false">AB120-AB121-AB122-AB123-AB124</f>
        <v>36.3147259375</v>
      </c>
      <c r="AC125" s="33" t="n">
        <f aca="false">AC120-AC121-AC122-AC123-AC124</f>
        <v>33.0386275</v>
      </c>
      <c r="AD125" s="33" t="n">
        <f aca="false">AD120-AD121-AD122-AD123-AD124</f>
        <v>29.43017125</v>
      </c>
      <c r="AE125" s="33" t="n">
        <f aca="false">AE120-AE121-AE122-AE123-AE124</f>
        <v>25.08917125</v>
      </c>
      <c r="AF125" s="33" t="n">
        <f aca="false">AF120-AF121-AF122-AF123-AF124</f>
        <v>-82.6690391015625</v>
      </c>
      <c r="AG125" s="33" t="n">
        <f aca="false">AG120-AG121-AG122-AG123-AG124</f>
        <v>14.112658828125</v>
      </c>
      <c r="AH125" s="33" t="n">
        <f aca="false">AH120-AH121-AH122-AH123-AH124</f>
        <v>14.112658828125</v>
      </c>
      <c r="AI125" s="33" t="n">
        <f aca="false">AI120-AI121-AI122-AI123-AI124</f>
        <v>14.112658828125</v>
      </c>
      <c r="AJ125" s="33" t="n">
        <f aca="false">AJ120-AJ121-AJ122-AJ123-AJ124</f>
        <v>14.112658828125</v>
      </c>
      <c r="AK125" s="33" t="n">
        <f aca="false">AK120-AK121-AK122-AK123-AK124</f>
        <v>12.8841219140625</v>
      </c>
      <c r="AL125" s="33" t="n">
        <f aca="false">AL120-AL121-AL122-AL123-AL124</f>
        <v>12.8841219140625</v>
      </c>
      <c r="AM125" s="33" t="n">
        <f aca="false">AM120-AM121-AM122-AM123-AM124</f>
        <v>10.5409993359375</v>
      </c>
      <c r="AN125" s="33" t="n">
        <f aca="false">AN120-AN121-AN122-AN123-AN124</f>
        <v>5.41471921875</v>
      </c>
      <c r="AO125" s="33" t="n">
        <f aca="false">AO120-AO121-AO122-AO123-AO124</f>
        <v>2.00839078125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217</v>
      </c>
      <c r="D126" s="33" t="n">
        <f aca="false">D125</f>
        <v>-91.25</v>
      </c>
      <c r="E126" s="33" t="n">
        <f aca="false">D126+E125</f>
        <v>-102.5</v>
      </c>
      <c r="F126" s="33" t="n">
        <f aca="false">E126+F125</f>
        <v>-98.6107625</v>
      </c>
      <c r="G126" s="33" t="n">
        <f aca="false">F126+G125</f>
        <v>-79.5822875</v>
      </c>
      <c r="H126" s="33" t="n">
        <f aca="false">G126+H125</f>
        <v>-80.87028125</v>
      </c>
      <c r="I126" s="33" t="n">
        <f aca="false">H126+I125</f>
        <v>-74.02074375</v>
      </c>
      <c r="J126" s="33" t="n">
        <f aca="false">I126+J125</f>
        <v>-96.86643375</v>
      </c>
      <c r="K126" s="33" t="n">
        <f aca="false">J126+K125</f>
        <v>-101.400264375</v>
      </c>
      <c r="L126" s="33" t="n">
        <f aca="false">K126+L125</f>
        <v>-97.7386759375</v>
      </c>
      <c r="M126" s="33" t="n">
        <f aca="false">L126+M125</f>
        <v>320.8479015625</v>
      </c>
      <c r="N126" s="33" t="n">
        <f aca="false">M126+N125</f>
        <v>459.0074415625</v>
      </c>
      <c r="O126" s="33" t="n">
        <f aca="false">N126+O125</f>
        <v>588.1232315625</v>
      </c>
      <c r="P126" s="33" t="n">
        <f aca="false">O126+P125</f>
        <v>480.9359415625</v>
      </c>
      <c r="Q126" s="33" t="n">
        <f aca="false">P126+Q125</f>
        <v>346.1851103125</v>
      </c>
      <c r="R126" s="33" t="n">
        <f aca="false">Q126+R125</f>
        <v>155.7742790625</v>
      </c>
      <c r="S126" s="33" t="n">
        <f aca="false">R126+S125</f>
        <v>24.1501146875</v>
      </c>
      <c r="T126" s="33" t="n">
        <f aca="false">S126+T125</f>
        <v>40.376754375</v>
      </c>
      <c r="U126" s="33" t="n">
        <f aca="false">T126+U125</f>
        <v>55.0894703125</v>
      </c>
      <c r="V126" s="33" t="n">
        <f aca="false">U126+V125</f>
        <v>63.813415</v>
      </c>
      <c r="W126" s="33" t="n">
        <f aca="false">V126+W125</f>
        <v>68.1963596875</v>
      </c>
      <c r="X126" s="33" t="n">
        <f aca="false">W126+X125</f>
        <v>95.079304375</v>
      </c>
      <c r="Y126" s="33" t="n">
        <f aca="false">X126+Y125</f>
        <v>114.6820303125</v>
      </c>
      <c r="Z126" s="33" t="n">
        <f aca="false">Y126+Z125</f>
        <v>134.28475625</v>
      </c>
      <c r="AA126" s="33" t="n">
        <f aca="false">Z126+AA125</f>
        <v>153.8874821875</v>
      </c>
      <c r="AB126" s="33" t="n">
        <f aca="false">AA126+AB125</f>
        <v>190.202208125</v>
      </c>
      <c r="AC126" s="33" t="n">
        <f aca="false">AB126+AC125</f>
        <v>223.240835625</v>
      </c>
      <c r="AD126" s="33" t="n">
        <f aca="false">AC126+AD125</f>
        <v>252.671006875</v>
      </c>
      <c r="AE126" s="33" t="n">
        <f aca="false">AD126+AE125</f>
        <v>277.760178125</v>
      </c>
      <c r="AF126" s="33" t="n">
        <f aca="false">AE126+AF125</f>
        <v>195.091139023437</v>
      </c>
      <c r="AG126" s="33" t="n">
        <f aca="false">AF126+AG125</f>
        <v>209.203797851562</v>
      </c>
      <c r="AH126" s="33" t="n">
        <f aca="false">AG126+AH125</f>
        <v>223.316456679687</v>
      </c>
      <c r="AI126" s="33" t="n">
        <f aca="false">AH126+AI125</f>
        <v>237.429115507812</v>
      </c>
      <c r="AJ126" s="33" t="n">
        <f aca="false">AI126+AJ125</f>
        <v>251.541774335937</v>
      </c>
      <c r="AK126" s="33" t="n">
        <f aca="false">AJ126+AK125</f>
        <v>264.42589625</v>
      </c>
      <c r="AL126" s="33" t="n">
        <f aca="false">AK126+AL125</f>
        <v>277.310018164063</v>
      </c>
      <c r="AM126" s="33" t="n">
        <f aca="false">AL126+AM125</f>
        <v>287.8510175</v>
      </c>
      <c r="AN126" s="33" t="n">
        <f aca="false">AM126+AN125</f>
        <v>293.26573671875</v>
      </c>
      <c r="AO126" s="33" t="n">
        <f aca="false">AN126+AO125</f>
        <v>295.2741275</v>
      </c>
      <c r="AP126" s="33" t="n">
        <f aca="false">AO126+AP125</f>
        <v>295.2741275</v>
      </c>
      <c r="AQ126" s="33" t="n">
        <f aca="false">AP126+AQ125</f>
        <v>295.2741275</v>
      </c>
      <c r="AR126" s="33" t="n">
        <f aca="false">AQ126+AR125</f>
        <v>295.2741275</v>
      </c>
      <c r="AS126" s="33" t="n">
        <f aca="false">AR126+AS125</f>
        <v>295.2741275</v>
      </c>
      <c r="AT126" s="33" t="n">
        <f aca="false">AS126+AT125</f>
        <v>295.2741275</v>
      </c>
      <c r="AU126" s="33" t="n">
        <f aca="false">AT126+AU125</f>
        <v>295.2741275</v>
      </c>
      <c r="AV126" s="33" t="n">
        <f aca="false">AU126+AV125</f>
        <v>295.2741275</v>
      </c>
      <c r="AW126" s="33" t="n">
        <f aca="false">AV126+AW125</f>
        <v>295.2741275</v>
      </c>
      <c r="AX126" s="33" t="n">
        <f aca="false">AW126+AX125</f>
        <v>295.2741275</v>
      </c>
      <c r="AY126" s="33" t="n">
        <f aca="false">AX126+AY125</f>
        <v>295.2741275</v>
      </c>
      <c r="AZ126" s="33" t="n">
        <f aca="false">AY126+AZ125</f>
        <v>295.2741275</v>
      </c>
      <c r="BA126" s="33" t="n">
        <f aca="false">AZ126+BA125</f>
        <v>295.2741275</v>
      </c>
      <c r="BB126" s="33" t="n">
        <f aca="false">BA126+BB125</f>
        <v>295.2741275</v>
      </c>
      <c r="BC126" s="33" t="n">
        <f aca="false">BB126+BC125</f>
        <v>295.2741275</v>
      </c>
      <c r="BD126" s="33" t="n">
        <f aca="false">BC126+BD125</f>
        <v>295.2741275</v>
      </c>
      <c r="BE126" s="33" t="n">
        <f aca="false">BD126+BE125</f>
        <v>295.2741275</v>
      </c>
      <c r="BF126" s="33" t="n">
        <f aca="false">BE126+BF125</f>
        <v>295.2741275</v>
      </c>
      <c r="BG126" s="33" t="n">
        <f aca="false">BF126+BG125</f>
        <v>295.2741275</v>
      </c>
      <c r="BH126" s="33" t="n">
        <f aca="false">BG126+BH125</f>
        <v>295.2741275</v>
      </c>
      <c r="BI126" s="33" t="n">
        <f aca="false">BH126+BI125</f>
        <v>295.2741275</v>
      </c>
      <c r="BJ126" s="33" t="n">
        <f aca="false">BI126+BJ125</f>
        <v>295.2741275</v>
      </c>
      <c r="BK126" s="33" t="n">
        <f aca="false">BJ126+BK125</f>
        <v>295.2741275</v>
      </c>
    </row>
    <row r="127" customFormat="false" ht="15" hidden="false" customHeight="false" outlineLevel="0" collapsed="false">
      <c r="A127" s="3" t="s">
        <v>340</v>
      </c>
      <c r="D127" s="33" t="n">
        <f aca="false">IF(Source_Data!D$6=Inputs!$B$12,-Inputs!$B$7,0)+IF(AND(Source_Data!D$6&gt;=$B$118,Source_Data!D$6&lt;$B$118+3*Inputs!$B$16,MOD(Source_Data!D$6-$B$118,3)=0),Inputs!$B$8*Inputs!$B$7*Inputs!$B$34*$B$113*(1-Inputs!$B$15)/Inputs!$B$16,0)</f>
        <v>-100</v>
      </c>
      <c r="E127" s="33" t="n">
        <f aca="false">IF(Source_Data!E$6=Inputs!$B$12,-Inputs!$B$7,0)+IF(AND(Source_Data!E$6&gt;=$B$118,Source_Data!E$6&lt;$B$118+3*Inputs!$B$16,MOD(Source_Data!E$6-$B$118,3)=0),Inputs!$B$8*Inputs!$B$7*Inputs!$B$34*$B$113*(1-Inputs!$B$15)/Inputs!$B$16,0)</f>
        <v>0</v>
      </c>
      <c r="F127" s="33" t="n">
        <f aca="false">IF(Source_Data!F$6=Inputs!$B$12,-Inputs!$B$7,0)+IF(AND(Source_Data!F$6&gt;=$B$118,Source_Data!F$6&lt;$B$118+3*Inputs!$B$16,MOD(Source_Data!F$6-$B$118,3)=0),Inputs!$B$8*Inputs!$B$7*Inputs!$B$34*$B$113*(1-Inputs!$B$15)/Inputs!$B$16,0)</f>
        <v>0</v>
      </c>
      <c r="G127" s="33" t="n">
        <f aca="false">IF(Source_Data!G$6=Inputs!$B$12,-Inputs!$B$7,0)+IF(AND(Source_Data!G$6&gt;=$B$118,Source_Data!G$6&lt;$B$118+3*Inputs!$B$16,MOD(Source_Data!G$6-$B$118,3)=0),Inputs!$B$8*Inputs!$B$7*Inputs!$B$34*$B$113*(1-Inputs!$B$15)/Inputs!$B$16,0)</f>
        <v>0</v>
      </c>
      <c r="H127" s="33" t="n">
        <f aca="false">IF(Source_Data!H$6=Inputs!$B$12,-Inputs!$B$7,0)+IF(AND(Source_Data!H$6&gt;=$B$118,Source_Data!H$6&lt;$B$118+3*Inputs!$B$16,MOD(Source_Data!H$6-$B$118,3)=0),Inputs!$B$8*Inputs!$B$7*Inputs!$B$34*$B$113*(1-Inputs!$B$15)/Inputs!$B$16,0)</f>
        <v>0</v>
      </c>
      <c r="I127" s="33" t="n">
        <f aca="false">IF(Source_Data!I$6=Inputs!$B$12,-Inputs!$B$7,0)+IF(AND(Source_Data!I$6&gt;=$B$118,Source_Data!I$6&lt;$B$118+3*Inputs!$B$16,MOD(Source_Data!I$6-$B$118,3)=0),Inputs!$B$8*Inputs!$B$7*Inputs!$B$34*$B$113*(1-Inputs!$B$15)/Inputs!$B$16,0)</f>
        <v>0</v>
      </c>
      <c r="J127" s="33" t="n">
        <f aca="false">IF(Source_Data!J$6=Inputs!$B$12,-Inputs!$B$7,0)+IF(AND(Source_Data!J$6&gt;=$B$118,Source_Data!J$6&lt;$B$118+3*Inputs!$B$16,MOD(Source_Data!J$6-$B$118,3)=0),Inputs!$B$8*Inputs!$B$7*Inputs!$B$34*$B$113*(1-Inputs!$B$15)/Inputs!$B$16,0)</f>
        <v>0</v>
      </c>
      <c r="K127" s="33" t="n">
        <f aca="false">IF(Source_Data!K$6=Inputs!$B$12,-Inputs!$B$7,0)+IF(AND(Source_Data!K$6&gt;=$B$118,Source_Data!K$6&lt;$B$118+3*Inputs!$B$16,MOD(Source_Data!K$6-$B$118,3)=0),Inputs!$B$8*Inputs!$B$7*Inputs!$B$34*$B$113*(1-Inputs!$B$15)/Inputs!$B$16,0)</f>
        <v>0</v>
      </c>
      <c r="L127" s="33" t="n">
        <f aca="false">IF(Source_Data!L$6=Inputs!$B$12,-Inputs!$B$7,0)+IF(AND(Source_Data!L$6&gt;=$B$118,Source_Data!L$6&lt;$B$118+3*Inputs!$B$16,MOD(Source_Data!L$6-$B$118,3)=0),Inputs!$B$8*Inputs!$B$7*Inputs!$B$34*$B$113*(1-Inputs!$B$15)/Inputs!$B$16,0)</f>
        <v>0</v>
      </c>
      <c r="M127" s="33" t="n">
        <f aca="false">IF(Source_Data!M$6=Inputs!$B$12,-Inputs!$B$7,0)+IF(AND(Source_Data!M$6&gt;=$B$118,Source_Data!M$6&lt;$B$118+3*Inputs!$B$16,MOD(Source_Data!M$6-$B$118,3)=0),Inputs!$B$8*Inputs!$B$7*Inputs!$B$34*$B$113*(1-Inputs!$B$15)/Inputs!$B$16,0)</f>
        <v>0</v>
      </c>
      <c r="N127" s="33" t="n">
        <f aca="false">IF(Source_Data!N$6=Inputs!$B$12,-Inputs!$B$7,0)+IF(AND(Source_Data!N$6&gt;=$B$118,Source_Data!N$6&lt;$B$118+3*Inputs!$B$16,MOD(Source_Data!N$6-$B$118,3)=0),Inputs!$B$8*Inputs!$B$7*Inputs!$B$34*$B$113*(1-Inputs!$B$15)/Inputs!$B$16,0)</f>
        <v>0</v>
      </c>
      <c r="O127" s="33" t="n">
        <f aca="false">IF(Source_Data!O$6=Inputs!$B$12,-Inputs!$B$7,0)+IF(AND(Source_Data!O$6&gt;=$B$118,Source_Data!O$6&lt;$B$118+3*Inputs!$B$16,MOD(Source_Data!O$6-$B$118,3)=0),Inputs!$B$8*Inputs!$B$7*Inputs!$B$34*$B$113*(1-Inputs!$B$15)/Inputs!$B$16,0)</f>
        <v>0</v>
      </c>
      <c r="P127" s="33" t="n">
        <f aca="false">IF(Source_Data!P$6=Inputs!$B$12,-Inputs!$B$7,0)+IF(AND(Source_Data!P$6&gt;=$B$118,Source_Data!P$6&lt;$B$118+3*Inputs!$B$16,MOD(Source_Data!P$6-$B$118,3)=0),Inputs!$B$8*Inputs!$B$7*Inputs!$B$34*$B$113*(1-Inputs!$B$15)/Inputs!$B$16,0)</f>
        <v>0</v>
      </c>
      <c r="Q127" s="33" t="n">
        <f aca="false">IF(Source_Data!Q$6=Inputs!$B$12,-Inputs!$B$7,0)+IF(AND(Source_Data!Q$6&gt;=$B$118,Source_Data!Q$6&lt;$B$118+3*Inputs!$B$16,MOD(Source_Data!Q$6-$B$118,3)=0),Inputs!$B$8*Inputs!$B$7*Inputs!$B$34*$B$113*(1-Inputs!$B$15)/Inputs!$B$16,0)</f>
        <v>0</v>
      </c>
      <c r="R127" s="33" t="n">
        <f aca="false">IF(Source_Data!R$6=Inputs!$B$12,-Inputs!$B$7,0)+IF(AND(Source_Data!R$6&gt;=$B$118,Source_Data!R$6&lt;$B$118+3*Inputs!$B$16,MOD(Source_Data!R$6-$B$118,3)=0),Inputs!$B$8*Inputs!$B$7*Inputs!$B$34*$B$113*(1-Inputs!$B$15)/Inputs!$B$16,0)</f>
        <v>0</v>
      </c>
      <c r="S127" s="33" t="n">
        <f aca="false">IF(Source_Data!S$6=Inputs!$B$12,-Inputs!$B$7,0)+IF(AND(Source_Data!S$6&gt;=$B$118,Source_Data!S$6&lt;$B$118+3*Inputs!$B$16,MOD(Source_Data!S$6-$B$118,3)=0),Inputs!$B$8*Inputs!$B$7*Inputs!$B$34*$B$113*(1-Inputs!$B$15)/Inputs!$B$16,0)</f>
        <v>0</v>
      </c>
      <c r="T127" s="33" t="n">
        <f aca="false">IF(Source_Data!T$6=Inputs!$B$12,-Inputs!$B$7,0)+IF(AND(Source_Data!T$6&gt;=$B$118,Source_Data!T$6&lt;$B$118+3*Inputs!$B$16,MOD(Source_Data!T$6-$B$118,3)=0),Inputs!$B$8*Inputs!$B$7*Inputs!$B$34*$B$113*(1-Inputs!$B$15)/Inputs!$B$16,0)</f>
        <v>69.5340501792115</v>
      </c>
      <c r="U127" s="33" t="n">
        <f aca="false">IF(Source_Data!U$6=Inputs!$B$12,-Inputs!$B$7,0)+IF(AND(Source_Data!U$6&gt;=$B$118,Source_Data!U$6&lt;$B$118+3*Inputs!$B$16,MOD(Source_Data!U$6-$B$118,3)=0),Inputs!$B$8*Inputs!$B$7*Inputs!$B$34*$B$113*(1-Inputs!$B$15)/Inputs!$B$16,0)</f>
        <v>69.5340501792115</v>
      </c>
      <c r="V127" s="33" t="n">
        <f aca="false">IF(Source_Data!V$6=Inputs!$B$12,-Inputs!$B$7,0)+IF(AND(Source_Data!V$6&gt;=$B$118,Source_Data!V$6&lt;$B$118+3*Inputs!$B$16,MOD(Source_Data!V$6-$B$118,3)=0),Inputs!$B$8*Inputs!$B$7*Inputs!$B$34*$B$113*(1-Inputs!$B$15)/Inputs!$B$16,0)</f>
        <v>69.5340501792115</v>
      </c>
      <c r="W127" s="33" t="n">
        <f aca="false">IF(Source_Data!W$6=Inputs!$B$12,-Inputs!$B$7,0)+IF(AND(Source_Data!W$6&gt;=$B$118,Source_Data!W$6&lt;$B$118+3*Inputs!$B$16,MOD(Source_Data!W$6-$B$118,3)=0),Inputs!$B$8*Inputs!$B$7*Inputs!$B$34*$B$113*(1-Inputs!$B$15)/Inputs!$B$16,0)</f>
        <v>69.5340501792115</v>
      </c>
      <c r="X127" s="33" t="n">
        <f aca="false">IF(Source_Data!X$6=Inputs!$B$12,-Inputs!$B$7,0)+IF(AND(Source_Data!X$6&gt;=$B$118,Source_Data!X$6&lt;$B$118+3*Inputs!$B$16,MOD(Source_Data!X$6-$B$118,3)=0),Inputs!$B$8*Inputs!$B$7*Inputs!$B$34*$B$113*(1-Inputs!$B$15)/Inputs!$B$16,0)</f>
        <v>0</v>
      </c>
      <c r="Y127" s="33" t="n">
        <f aca="false">IF(Source_Data!Y$6=Inputs!$B$12,-Inputs!$B$7,0)+IF(AND(Source_Data!Y$6&gt;=$B$118,Source_Data!Y$6&lt;$B$118+3*Inputs!$B$16,MOD(Source_Data!Y$6-$B$118,3)=0),Inputs!$B$8*Inputs!$B$7*Inputs!$B$34*$B$113*(1-Inputs!$B$15)/Inputs!$B$16,0)</f>
        <v>0</v>
      </c>
      <c r="Z127" s="33" t="n">
        <f aca="false">IF(Source_Data!Z$6=Inputs!$B$12,-Inputs!$B$7,0)+IF(AND(Source_Data!Z$6&gt;=$B$118,Source_Data!Z$6&lt;$B$118+3*Inputs!$B$16,MOD(Source_Data!Z$6-$B$118,3)=0),Inputs!$B$8*Inputs!$B$7*Inputs!$B$34*$B$113*(1-Inputs!$B$15)/Inputs!$B$16,0)</f>
        <v>0</v>
      </c>
      <c r="AA127" s="33" t="n">
        <f aca="false">IF(Source_Data!AA$6=Inputs!$B$12,-Inputs!$B$7,0)+IF(AND(Source_Data!AA$6&gt;=$B$118,Source_Data!AA$6&lt;$B$118+3*Inputs!$B$16,MOD(Source_Data!AA$6-$B$118,3)=0),Inputs!$B$8*Inputs!$B$7*Inputs!$B$34*$B$113*(1-Inputs!$B$15)/Inputs!$B$16,0)</f>
        <v>0</v>
      </c>
      <c r="AB127" s="33" t="n">
        <f aca="false">IF(Source_Data!AB$6=Inputs!$B$12,-Inputs!$B$7,0)+IF(AND(Source_Data!AB$6&gt;=$B$118,Source_Data!AB$6&lt;$B$118+3*Inputs!$B$16,MOD(Source_Data!AB$6-$B$118,3)=0),Inputs!$B$8*Inputs!$B$7*Inputs!$B$34*$B$113*(1-Inputs!$B$15)/Inputs!$B$16,0)</f>
        <v>0</v>
      </c>
      <c r="AC127" s="33" t="n">
        <f aca="false">IF(Source_Data!AC$6=Inputs!$B$12,-Inputs!$B$7,0)+IF(AND(Source_Data!AC$6&gt;=$B$118,Source_Data!AC$6&lt;$B$118+3*Inputs!$B$16,MOD(Source_Data!AC$6-$B$118,3)=0),Inputs!$B$8*Inputs!$B$7*Inputs!$B$34*$B$113*(1-Inputs!$B$15)/Inputs!$B$16,0)</f>
        <v>0</v>
      </c>
      <c r="AD127" s="33" t="n">
        <f aca="false">IF(Source_Data!AD$6=Inputs!$B$12,-Inputs!$B$7,0)+IF(AND(Source_Data!AD$6&gt;=$B$118,Source_Data!AD$6&lt;$B$118+3*Inputs!$B$16,MOD(Source_Data!AD$6-$B$118,3)=0),Inputs!$B$8*Inputs!$B$7*Inputs!$B$34*$B$113*(1-Inputs!$B$15)/Inputs!$B$16,0)</f>
        <v>0</v>
      </c>
      <c r="AE127" s="33" t="n">
        <f aca="false">IF(Source_Data!AE$6=Inputs!$B$12,-Inputs!$B$7,0)+IF(AND(Source_Data!AE$6&gt;=$B$118,Source_Data!AE$6&lt;$B$118+3*Inputs!$B$16,MOD(Source_Data!AE$6-$B$118,3)=0),Inputs!$B$8*Inputs!$B$7*Inputs!$B$34*$B$113*(1-Inputs!$B$15)/Inputs!$B$16,0)</f>
        <v>0</v>
      </c>
      <c r="AF127" s="33" t="n">
        <f aca="false">IF(Source_Data!AF$6=Inputs!$B$12,-Inputs!$B$7,0)+IF(AND(Source_Data!AF$6&gt;=$B$118,Source_Data!AF$6&lt;$B$118+3*Inputs!$B$16,MOD(Source_Data!AF$6-$B$118,3)=0),Inputs!$B$8*Inputs!$B$7*Inputs!$B$34*$B$113*(1-Inputs!$B$15)/Inputs!$B$16,0)</f>
        <v>0</v>
      </c>
      <c r="AG127" s="33" t="n">
        <f aca="false">IF(Source_Data!AG$6=Inputs!$B$12,-Inputs!$B$7,0)+IF(AND(Source_Data!AG$6&gt;=$B$118,Source_Data!AG$6&lt;$B$118+3*Inputs!$B$16,MOD(Source_Data!AG$6-$B$118,3)=0),Inputs!$B$8*Inputs!$B$7*Inputs!$B$34*$B$113*(1-Inputs!$B$15)/Inputs!$B$16,0)</f>
        <v>0</v>
      </c>
      <c r="AH127" s="33" t="n">
        <f aca="false">IF(Source_Data!AH$6=Inputs!$B$12,-Inputs!$B$7,0)+IF(AND(Source_Data!AH$6&gt;=$B$118,Source_Data!AH$6&lt;$B$118+3*Inputs!$B$16,MOD(Source_Data!AH$6-$B$118,3)=0),Inputs!$B$8*Inputs!$B$7*Inputs!$B$34*$B$113*(1-Inputs!$B$15)/Inputs!$B$16,0)</f>
        <v>0</v>
      </c>
      <c r="AI127" s="33" t="n">
        <f aca="false">IF(Source_Data!AI$6=Inputs!$B$12,-Inputs!$B$7,0)+IF(AND(Source_Data!AI$6&gt;=$B$118,Source_Data!AI$6&lt;$B$118+3*Inputs!$B$16,MOD(Source_Data!AI$6-$B$118,3)=0),Inputs!$B$8*Inputs!$B$7*Inputs!$B$34*$B$113*(1-Inputs!$B$15)/Inputs!$B$16,0)</f>
        <v>0</v>
      </c>
      <c r="AJ127" s="33" t="n">
        <f aca="false">IF(Source_Data!AJ$6=Inputs!$B$12,-Inputs!$B$7,0)+IF(AND(Source_Data!AJ$6&gt;=$B$118,Source_Data!AJ$6&lt;$B$118+3*Inputs!$B$16,MOD(Source_Data!AJ$6-$B$118,3)=0),Inputs!$B$8*Inputs!$B$7*Inputs!$B$34*$B$113*(1-Inputs!$B$15)/Inputs!$B$16,0)</f>
        <v>0</v>
      </c>
      <c r="AK127" s="33" t="n">
        <f aca="false">IF(Source_Data!AK$6=Inputs!$B$12,-Inputs!$B$7,0)+IF(AND(Source_Data!AK$6&gt;=$B$118,Source_Data!AK$6&lt;$B$118+3*Inputs!$B$16,MOD(Source_Data!AK$6-$B$118,3)=0),Inputs!$B$8*Inputs!$B$7*Inputs!$B$34*$B$113*(1-Inputs!$B$15)/Inputs!$B$16,0)</f>
        <v>0</v>
      </c>
      <c r="AL127" s="33" t="n">
        <f aca="false">IF(Source_Data!AL$6=Inputs!$B$12,-Inputs!$B$7,0)+IF(AND(Source_Data!AL$6&gt;=$B$118,Source_Data!AL$6&lt;$B$118+3*Inputs!$B$16,MOD(Source_Data!AL$6-$B$118,3)=0),Inputs!$B$8*Inputs!$B$7*Inputs!$B$34*$B$113*(1-Inputs!$B$15)/Inputs!$B$16,0)</f>
        <v>0</v>
      </c>
      <c r="AM127" s="33" t="n">
        <f aca="false">IF(Source_Data!AM$6=Inputs!$B$12,-Inputs!$B$7,0)+IF(AND(Source_Data!AM$6&gt;=$B$118,Source_Data!AM$6&lt;$B$118+3*Inputs!$B$16,MOD(Source_Data!AM$6-$B$118,3)=0),Inputs!$B$8*Inputs!$B$7*Inputs!$B$34*$B$113*(1-Inputs!$B$15)/Inputs!$B$16,0)</f>
        <v>0</v>
      </c>
      <c r="AN127" s="33" t="n">
        <f aca="false">IF(Source_Data!AN$6=Inputs!$B$12,-Inputs!$B$7,0)+IF(AND(Source_Data!AN$6&gt;=$B$118,Source_Data!AN$6&lt;$B$118+3*Inputs!$B$16,MOD(Source_Data!AN$6-$B$118,3)=0),Inputs!$B$8*Inputs!$B$7*Inputs!$B$34*$B$113*(1-Inputs!$B$15)/Inputs!$B$16,0)</f>
        <v>0</v>
      </c>
      <c r="AO127" s="33" t="n">
        <f aca="false">IF(Source_Data!AO$6=Inputs!$B$12,-Inputs!$B$7,0)+IF(AND(Source_Data!AO$6&gt;=$B$118,Source_Data!AO$6&lt;$B$118+3*Inputs!$B$16,MOD(Source_Data!AO$6-$B$118,3)=0),Inputs!$B$8*Inputs!$B$7*Inputs!$B$34*$B$113*(1-Inputs!$B$15)/Inputs!$B$16,0)</f>
        <v>0</v>
      </c>
      <c r="AP127" s="33" t="n">
        <f aca="false">IF(Source_Data!AP$6=Inputs!$B$12,-Inputs!$B$7,0)+IF(AND(Source_Data!AP$6&gt;=$B$118,Source_Data!AP$6&lt;$B$118+3*Inputs!$B$16,MOD(Source_Data!AP$6-$B$118,3)=0),Inputs!$B$8*Inputs!$B$7*Inputs!$B$34*$B$113*(1-Inputs!$B$15)/Inputs!$B$16,0)</f>
        <v>0</v>
      </c>
      <c r="AQ127" s="33" t="n">
        <f aca="false">IF(Source_Data!AQ$6=Inputs!$B$12,-Inputs!$B$7,0)+IF(AND(Source_Data!AQ$6&gt;=$B$118,Source_Data!AQ$6&lt;$B$118+3*Inputs!$B$16,MOD(Source_Data!AQ$6-$B$118,3)=0),Inputs!$B$8*Inputs!$B$7*Inputs!$B$34*$B$113*(1-Inputs!$B$15)/Inputs!$B$16,0)</f>
        <v>0</v>
      </c>
      <c r="AR127" s="33" t="n">
        <f aca="false">IF(Source_Data!AR$6=Inputs!$B$12,-Inputs!$B$7,0)+IF(AND(Source_Data!AR$6&gt;=$B$118,Source_Data!AR$6&lt;$B$118+3*Inputs!$B$16,MOD(Source_Data!AR$6-$B$118,3)=0),Inputs!$B$8*Inputs!$B$7*Inputs!$B$34*$B$113*(1-Inputs!$B$15)/Inputs!$B$16,0)</f>
        <v>0</v>
      </c>
      <c r="AS127" s="33" t="n">
        <f aca="false">IF(Source_Data!AS$6=Inputs!$B$12,-Inputs!$B$7,0)+IF(AND(Source_Data!AS$6&gt;=$B$118,Source_Data!AS$6&lt;$B$118+3*Inputs!$B$16,MOD(Source_Data!AS$6-$B$118,3)=0),Inputs!$B$8*Inputs!$B$7*Inputs!$B$34*$B$113*(1-Inputs!$B$15)/Inputs!$B$16,0)</f>
        <v>0</v>
      </c>
      <c r="AT127" s="33" t="n">
        <f aca="false">IF(Source_Data!AT$6=Inputs!$B$12,-Inputs!$B$7,0)+IF(AND(Source_Data!AT$6&gt;=$B$118,Source_Data!AT$6&lt;$B$118+3*Inputs!$B$16,MOD(Source_Data!AT$6-$B$118,3)=0),Inputs!$B$8*Inputs!$B$7*Inputs!$B$34*$B$113*(1-Inputs!$B$15)/Inputs!$B$16,0)</f>
        <v>0</v>
      </c>
      <c r="AU127" s="33" t="n">
        <f aca="false">IF(Source_Data!AU$6=Inputs!$B$12,-Inputs!$B$7,0)+IF(AND(Source_Data!AU$6&gt;=$B$118,Source_Data!AU$6&lt;$B$118+3*Inputs!$B$16,MOD(Source_Data!AU$6-$B$118,3)=0),Inputs!$B$8*Inputs!$B$7*Inputs!$B$34*$B$113*(1-Inputs!$B$15)/Inputs!$B$16,0)</f>
        <v>0</v>
      </c>
      <c r="AV127" s="33" t="n">
        <f aca="false">IF(Source_Data!AV$6=Inputs!$B$12,-Inputs!$B$7,0)+IF(AND(Source_Data!AV$6&gt;=$B$118,Source_Data!AV$6&lt;$B$118+3*Inputs!$B$16,MOD(Source_Data!AV$6-$B$118,3)=0),Inputs!$B$8*Inputs!$B$7*Inputs!$B$34*$B$113*(1-Inputs!$B$15)/Inputs!$B$16,0)</f>
        <v>0</v>
      </c>
      <c r="AW127" s="33" t="n">
        <f aca="false">IF(Source_Data!AW$6=Inputs!$B$12,-Inputs!$B$7,0)+IF(AND(Source_Data!AW$6&gt;=$B$118,Source_Data!AW$6&lt;$B$118+3*Inputs!$B$16,MOD(Source_Data!AW$6-$B$118,3)=0),Inputs!$B$8*Inputs!$B$7*Inputs!$B$34*$B$113*(1-Inputs!$B$15)/Inputs!$B$16,0)</f>
        <v>0</v>
      </c>
      <c r="AX127" s="33" t="n">
        <f aca="false">IF(Source_Data!AX$6=Inputs!$B$12,-Inputs!$B$7,0)+IF(AND(Source_Data!AX$6&gt;=$B$118,Source_Data!AX$6&lt;$B$118+3*Inputs!$B$16,MOD(Source_Data!AX$6-$B$118,3)=0),Inputs!$B$8*Inputs!$B$7*Inputs!$B$34*$B$113*(1-Inputs!$B$15)/Inputs!$B$16,0)</f>
        <v>0</v>
      </c>
      <c r="AY127" s="33" t="n">
        <f aca="false">IF(Source_Data!AY$6=Inputs!$B$12,-Inputs!$B$7,0)+IF(AND(Source_Data!AY$6&gt;=$B$118,Source_Data!AY$6&lt;$B$118+3*Inputs!$B$16,MOD(Source_Data!AY$6-$B$118,3)=0),Inputs!$B$8*Inputs!$B$7*Inputs!$B$34*$B$113*(1-Inputs!$B$15)/Inputs!$B$16,0)</f>
        <v>0</v>
      </c>
      <c r="AZ127" s="33" t="n">
        <f aca="false">IF(Source_Data!AZ$6=Inputs!$B$12,-Inputs!$B$7,0)+IF(AND(Source_Data!AZ$6&gt;=$B$118,Source_Data!AZ$6&lt;$B$118+3*Inputs!$B$16,MOD(Source_Data!AZ$6-$B$118,3)=0),Inputs!$B$8*Inputs!$B$7*Inputs!$B$34*$B$113*(1-Inputs!$B$15)/Inputs!$B$16,0)</f>
        <v>0</v>
      </c>
      <c r="BA127" s="33" t="n">
        <f aca="false">IF(Source_Data!BA$6=Inputs!$B$12,-Inputs!$B$7,0)+IF(AND(Source_Data!BA$6&gt;=$B$118,Source_Data!BA$6&lt;$B$118+3*Inputs!$B$16,MOD(Source_Data!BA$6-$B$118,3)=0),Inputs!$B$8*Inputs!$B$7*Inputs!$B$34*$B$113*(1-Inputs!$B$15)/Inputs!$B$16,0)</f>
        <v>0</v>
      </c>
      <c r="BB127" s="33" t="n">
        <f aca="false">IF(Source_Data!BB$6=Inputs!$B$12,-Inputs!$B$7,0)+IF(AND(Source_Data!BB$6&gt;=$B$118,Source_Data!BB$6&lt;$B$118+3*Inputs!$B$16,MOD(Source_Data!BB$6-$B$118,3)=0),Inputs!$B$8*Inputs!$B$7*Inputs!$B$34*$B$113*(1-Inputs!$B$15)/Inputs!$B$16,0)</f>
        <v>0</v>
      </c>
      <c r="BC127" s="33" t="n">
        <f aca="false">IF(Source_Data!BC$6=Inputs!$B$12,-Inputs!$B$7,0)+IF(AND(Source_Data!BC$6&gt;=$B$118,Source_Data!BC$6&lt;$B$118+3*Inputs!$B$16,MOD(Source_Data!BC$6-$B$118,3)=0),Inputs!$B$8*Inputs!$B$7*Inputs!$B$34*$B$113*(1-Inputs!$B$15)/Inputs!$B$16,0)</f>
        <v>0</v>
      </c>
      <c r="BD127" s="33" t="n">
        <f aca="false">IF(Source_Data!BD$6=Inputs!$B$12,-Inputs!$B$7,0)+IF(AND(Source_Data!BD$6&gt;=$B$118,Source_Data!BD$6&lt;$B$118+3*Inputs!$B$16,MOD(Source_Data!BD$6-$B$118,3)=0),Inputs!$B$8*Inputs!$B$7*Inputs!$B$34*$B$113*(1-Inputs!$B$15)/Inputs!$B$16,0)</f>
        <v>0</v>
      </c>
      <c r="BE127" s="33" t="n">
        <f aca="false">IF(Source_Data!BE$6=Inputs!$B$12,-Inputs!$B$7,0)+IF(AND(Source_Data!BE$6&gt;=$B$118,Source_Data!BE$6&lt;$B$118+3*Inputs!$B$16,MOD(Source_Data!BE$6-$B$118,3)=0),Inputs!$B$8*Inputs!$B$7*Inputs!$B$34*$B$113*(1-Inputs!$B$15)/Inputs!$B$16,0)</f>
        <v>0</v>
      </c>
      <c r="BF127" s="33" t="n">
        <f aca="false">IF(Source_Data!BF$6=Inputs!$B$12,-Inputs!$B$7,0)+IF(AND(Source_Data!BF$6&gt;=$B$118,Source_Data!BF$6&lt;$B$118+3*Inputs!$B$16,MOD(Source_Data!BF$6-$B$118,3)=0),Inputs!$B$8*Inputs!$B$7*Inputs!$B$34*$B$113*(1-Inputs!$B$15)/Inputs!$B$16,0)</f>
        <v>0</v>
      </c>
      <c r="BG127" s="33" t="n">
        <f aca="false">IF(Source_Data!BG$6=Inputs!$B$12,-Inputs!$B$7,0)+IF(AND(Source_Data!BG$6&gt;=$B$118,Source_Data!BG$6&lt;$B$118+3*Inputs!$B$16,MOD(Source_Data!BG$6-$B$118,3)=0),Inputs!$B$8*Inputs!$B$7*Inputs!$B$34*$B$113*(1-Inputs!$B$15)/Inputs!$B$16,0)</f>
        <v>0</v>
      </c>
      <c r="BH127" s="33" t="n">
        <f aca="false">IF(Source_Data!BH$6=Inputs!$B$12,-Inputs!$B$7,0)+IF(AND(Source_Data!BH$6&gt;=$B$118,Source_Data!BH$6&lt;$B$118+3*Inputs!$B$16,MOD(Source_Data!BH$6-$B$118,3)=0),Inputs!$B$8*Inputs!$B$7*Inputs!$B$34*$B$113*(1-Inputs!$B$15)/Inputs!$B$16,0)</f>
        <v>0</v>
      </c>
      <c r="BI127" s="33" t="n">
        <f aca="false">IF(Source_Data!BI$6=Inputs!$B$12,-Inputs!$B$7,0)+IF(AND(Source_Data!BI$6&gt;=$B$118,Source_Data!BI$6&lt;$B$118+3*Inputs!$B$16,MOD(Source_Data!BI$6-$B$118,3)=0),Inputs!$B$8*Inputs!$B$7*Inputs!$B$34*$B$113*(1-Inputs!$B$15)/Inputs!$B$16,0)</f>
        <v>0</v>
      </c>
      <c r="BJ127" s="33" t="n">
        <f aca="false">IF(Source_Data!BJ$6=Inputs!$B$12,-Inputs!$B$7,0)+IF(AND(Source_Data!BJ$6&gt;=$B$118,Source_Data!BJ$6&lt;$B$118+3*Inputs!$B$16,MOD(Source_Data!BJ$6-$B$118,3)=0),Inputs!$B$8*Inputs!$B$7*Inputs!$B$34*$B$113*(1-Inputs!$B$15)/Inputs!$B$16,0)</f>
        <v>0</v>
      </c>
      <c r="BK127" s="33" t="n">
        <f aca="false">IF(Source_Data!BK$6=Inputs!$B$12,-Inputs!$B$7,0)+IF(AND(Source_Data!BK$6&gt;=$B$118,Source_Data!BK$6&lt;$B$118+3*Inputs!$B$16,MOD(Source_Data!BK$6-$B$118,3)=0),Inputs!$B$8*Inputs!$B$7*Inputs!$B$34*$B$113*(1-Inputs!$B$15)/Inputs!$B$16,0)</f>
        <v>0</v>
      </c>
    </row>
    <row r="128" customFormat="false" ht="15" hidden="false" customHeight="false" outlineLevel="0" collapsed="false">
      <c r="A128" s="3" t="s">
        <v>341</v>
      </c>
      <c r="D128" s="33" t="n">
        <f aca="false">IF(AND(Source_Data!D$6&gt;=Inputs!$B$54,Source_Data!D$6&lt;Inputs!$B$54+3*Inputs!$B$11),Inputs!$B$9*Inputs!$B$7/Inputs!$B$11,0)</f>
        <v>0</v>
      </c>
      <c r="E128" s="33" t="n">
        <f aca="false">IF(AND(Source_Data!E$6&gt;=Inputs!$B$54,Source_Data!E$6&lt;Inputs!$B$54+3*Inputs!$B$11),Inputs!$B$9*Inputs!$B$7/Inputs!$B$11,0)</f>
        <v>0</v>
      </c>
      <c r="F128" s="33" t="n">
        <f aca="false">IF(AND(Source_Data!F$6&gt;=Inputs!$B$54,Source_Data!F$6&lt;Inputs!$B$54+3*Inputs!$B$11),Inputs!$B$9*Inputs!$B$7/Inputs!$B$11,0)</f>
        <v>0</v>
      </c>
      <c r="G128" s="33" t="n">
        <f aca="false">IF(AND(Source_Data!G$6&gt;=Inputs!$B$54,Source_Data!G$6&lt;Inputs!$B$54+3*Inputs!$B$11),Inputs!$B$9*Inputs!$B$7/Inputs!$B$11,0)</f>
        <v>0</v>
      </c>
      <c r="H128" s="33" t="n">
        <f aca="false">IF(AND(Source_Data!H$6&gt;=Inputs!$B$54,Source_Data!H$6&lt;Inputs!$B$54+3*Inputs!$B$11),Inputs!$B$9*Inputs!$B$7/Inputs!$B$11,0)</f>
        <v>0</v>
      </c>
      <c r="I128" s="33" t="n">
        <f aca="false">IF(AND(Source_Data!I$6&gt;=Inputs!$B$54,Source_Data!I$6&lt;Inputs!$B$54+3*Inputs!$B$11),Inputs!$B$9*Inputs!$B$7/Inputs!$B$11,0)</f>
        <v>0</v>
      </c>
      <c r="J128" s="33" t="n">
        <f aca="false">IF(AND(Source_Data!J$6&gt;=Inputs!$B$54,Source_Data!J$6&lt;Inputs!$B$54+3*Inputs!$B$11),Inputs!$B$9*Inputs!$B$7/Inputs!$B$11,0)</f>
        <v>0</v>
      </c>
      <c r="K128" s="33" t="n">
        <f aca="false">IF(AND(Source_Data!K$6&gt;=Inputs!$B$54,Source_Data!K$6&lt;Inputs!$B$54+3*Inputs!$B$11),Inputs!$B$9*Inputs!$B$7/Inputs!$B$11,0)</f>
        <v>0</v>
      </c>
      <c r="L128" s="33" t="n">
        <f aca="false">IF(AND(Source_Data!L$6&gt;=Inputs!$B$54,Source_Data!L$6&lt;Inputs!$B$54+3*Inputs!$B$11),Inputs!$B$9*Inputs!$B$7/Inputs!$B$11,0)</f>
        <v>0</v>
      </c>
      <c r="M128" s="33" t="n">
        <f aca="false">IF(AND(Source_Data!M$6&gt;=Inputs!$B$54,Source_Data!M$6&lt;Inputs!$B$54+3*Inputs!$B$11),Inputs!$B$9*Inputs!$B$7/Inputs!$B$11,0)</f>
        <v>19.1666666666667</v>
      </c>
      <c r="N128" s="33" t="n">
        <f aca="false">IF(AND(Source_Data!N$6&gt;=Inputs!$B$54,Source_Data!N$6&lt;Inputs!$B$54+3*Inputs!$B$11),Inputs!$B$9*Inputs!$B$7/Inputs!$B$11,0)</f>
        <v>19.1666666666667</v>
      </c>
      <c r="O128" s="33" t="n">
        <f aca="false">IF(AND(Source_Data!O$6&gt;=Inputs!$B$54,Source_Data!O$6&lt;Inputs!$B$54+3*Inputs!$B$11),Inputs!$B$9*Inputs!$B$7/Inputs!$B$11,0)</f>
        <v>19.1666666666667</v>
      </c>
      <c r="P128" s="33" t="n">
        <f aca="false">IF(AND(Source_Data!P$6&gt;=Inputs!$B$54,Source_Data!P$6&lt;Inputs!$B$54+3*Inputs!$B$11),Inputs!$B$9*Inputs!$B$7/Inputs!$B$11,0)</f>
        <v>19.1666666666667</v>
      </c>
      <c r="Q128" s="33" t="n">
        <f aca="false">IF(AND(Source_Data!Q$6&gt;=Inputs!$B$54,Source_Data!Q$6&lt;Inputs!$B$54+3*Inputs!$B$11),Inputs!$B$9*Inputs!$B$7/Inputs!$B$11,0)</f>
        <v>19.1666666666667</v>
      </c>
      <c r="R128" s="33" t="n">
        <f aca="false">IF(AND(Source_Data!R$6&gt;=Inputs!$B$54,Source_Data!R$6&lt;Inputs!$B$54+3*Inputs!$B$11),Inputs!$B$9*Inputs!$B$7/Inputs!$B$11,0)</f>
        <v>19.1666666666667</v>
      </c>
      <c r="S128" s="33" t="n">
        <f aca="false">IF(AND(Source_Data!S$6&gt;=Inputs!$B$54,Source_Data!S$6&lt;Inputs!$B$54+3*Inputs!$B$11),Inputs!$B$9*Inputs!$B$7/Inputs!$B$11,0)</f>
        <v>19.1666666666667</v>
      </c>
      <c r="T128" s="33" t="n">
        <f aca="false">IF(AND(Source_Data!T$6&gt;=Inputs!$B$54,Source_Data!T$6&lt;Inputs!$B$54+3*Inputs!$B$11),Inputs!$B$9*Inputs!$B$7/Inputs!$B$11,0)</f>
        <v>19.1666666666667</v>
      </c>
      <c r="U128" s="33" t="n">
        <f aca="false">IF(AND(Source_Data!U$6&gt;=Inputs!$B$54,Source_Data!U$6&lt;Inputs!$B$54+3*Inputs!$B$11),Inputs!$B$9*Inputs!$B$7/Inputs!$B$11,0)</f>
        <v>19.1666666666667</v>
      </c>
      <c r="V128" s="33" t="n">
        <f aca="false">IF(AND(Source_Data!V$6&gt;=Inputs!$B$54,Source_Data!V$6&lt;Inputs!$B$54+3*Inputs!$B$11),Inputs!$B$9*Inputs!$B$7/Inputs!$B$11,0)</f>
        <v>19.1666666666667</v>
      </c>
      <c r="W128" s="33" t="n">
        <f aca="false">IF(AND(Source_Data!W$6&gt;=Inputs!$B$54,Source_Data!W$6&lt;Inputs!$B$54+3*Inputs!$B$11),Inputs!$B$9*Inputs!$B$7/Inputs!$B$11,0)</f>
        <v>19.1666666666667</v>
      </c>
      <c r="X128" s="33" t="n">
        <f aca="false">IF(AND(Source_Data!X$6&gt;=Inputs!$B$54,Source_Data!X$6&lt;Inputs!$B$54+3*Inputs!$B$11),Inputs!$B$9*Inputs!$B$7/Inputs!$B$11,0)</f>
        <v>19.1666666666667</v>
      </c>
      <c r="Y128" s="33" t="n">
        <f aca="false">IF(AND(Source_Data!Y$6&gt;=Inputs!$B$54,Source_Data!Y$6&lt;Inputs!$B$54+3*Inputs!$B$11),Inputs!$B$9*Inputs!$B$7/Inputs!$B$11,0)</f>
        <v>0</v>
      </c>
      <c r="Z128" s="33" t="n">
        <f aca="false">IF(AND(Source_Data!Z$6&gt;=Inputs!$B$54,Source_Data!Z$6&lt;Inputs!$B$54+3*Inputs!$B$11),Inputs!$B$9*Inputs!$B$7/Inputs!$B$11,0)</f>
        <v>0</v>
      </c>
      <c r="AA128" s="33" t="n">
        <f aca="false">IF(AND(Source_Data!AA$6&gt;=Inputs!$B$54,Source_Data!AA$6&lt;Inputs!$B$54+3*Inputs!$B$11),Inputs!$B$9*Inputs!$B$7/Inputs!$B$11,0)</f>
        <v>0</v>
      </c>
      <c r="AB128" s="33" t="n">
        <f aca="false">IF(AND(Source_Data!AB$6&gt;=Inputs!$B$54,Source_Data!AB$6&lt;Inputs!$B$54+3*Inputs!$B$11),Inputs!$B$9*Inputs!$B$7/Inputs!$B$11,0)</f>
        <v>0</v>
      </c>
      <c r="AC128" s="33" t="n">
        <f aca="false">IF(AND(Source_Data!AC$6&gt;=Inputs!$B$54,Source_Data!AC$6&lt;Inputs!$B$54+3*Inputs!$B$11),Inputs!$B$9*Inputs!$B$7/Inputs!$B$11,0)</f>
        <v>0</v>
      </c>
      <c r="AD128" s="33" t="n">
        <f aca="false">IF(AND(Source_Data!AD$6&gt;=Inputs!$B$54,Source_Data!AD$6&lt;Inputs!$B$54+3*Inputs!$B$11),Inputs!$B$9*Inputs!$B$7/Inputs!$B$11,0)</f>
        <v>0</v>
      </c>
      <c r="AE128" s="33" t="n">
        <f aca="false">IF(AND(Source_Data!AE$6&gt;=Inputs!$B$54,Source_Data!AE$6&lt;Inputs!$B$54+3*Inputs!$B$11),Inputs!$B$9*Inputs!$B$7/Inputs!$B$11,0)</f>
        <v>0</v>
      </c>
      <c r="AF128" s="33" t="n">
        <f aca="false">IF(AND(Source_Data!AF$6&gt;=Inputs!$B$54,Source_Data!AF$6&lt;Inputs!$B$54+3*Inputs!$B$11),Inputs!$B$9*Inputs!$B$7/Inputs!$B$11,0)</f>
        <v>0</v>
      </c>
      <c r="AG128" s="33" t="n">
        <f aca="false">IF(AND(Source_Data!AG$6&gt;=Inputs!$B$54,Source_Data!AG$6&lt;Inputs!$B$54+3*Inputs!$B$11),Inputs!$B$9*Inputs!$B$7/Inputs!$B$11,0)</f>
        <v>0</v>
      </c>
      <c r="AH128" s="33" t="n">
        <f aca="false">IF(AND(Source_Data!AH$6&gt;=Inputs!$B$54,Source_Data!AH$6&lt;Inputs!$B$54+3*Inputs!$B$11),Inputs!$B$9*Inputs!$B$7/Inputs!$B$11,0)</f>
        <v>0</v>
      </c>
      <c r="AI128" s="33" t="n">
        <f aca="false">IF(AND(Source_Data!AI$6&gt;=Inputs!$B$54,Source_Data!AI$6&lt;Inputs!$B$54+3*Inputs!$B$11),Inputs!$B$9*Inputs!$B$7/Inputs!$B$11,0)</f>
        <v>0</v>
      </c>
      <c r="AJ128" s="33" t="n">
        <f aca="false">IF(AND(Source_Data!AJ$6&gt;=Inputs!$B$54,Source_Data!AJ$6&lt;Inputs!$B$54+3*Inputs!$B$11),Inputs!$B$9*Inputs!$B$7/Inputs!$B$11,0)</f>
        <v>0</v>
      </c>
      <c r="AK128" s="33" t="n">
        <f aca="false">IF(AND(Source_Data!AK$6&gt;=Inputs!$B$54,Source_Data!AK$6&lt;Inputs!$B$54+3*Inputs!$B$11),Inputs!$B$9*Inputs!$B$7/Inputs!$B$11,0)</f>
        <v>0</v>
      </c>
      <c r="AL128" s="33" t="n">
        <f aca="false">IF(AND(Source_Data!AL$6&gt;=Inputs!$B$54,Source_Data!AL$6&lt;Inputs!$B$54+3*Inputs!$B$11),Inputs!$B$9*Inputs!$B$7/Inputs!$B$11,0)</f>
        <v>0</v>
      </c>
      <c r="AM128" s="33" t="n">
        <f aca="false">IF(AND(Source_Data!AM$6&gt;=Inputs!$B$54,Source_Data!AM$6&lt;Inputs!$B$54+3*Inputs!$B$11),Inputs!$B$9*Inputs!$B$7/Inputs!$B$11,0)</f>
        <v>0</v>
      </c>
      <c r="AN128" s="33" t="n">
        <f aca="false">IF(AND(Source_Data!AN$6&gt;=Inputs!$B$54,Source_Data!AN$6&lt;Inputs!$B$54+3*Inputs!$B$11),Inputs!$B$9*Inputs!$B$7/Inputs!$B$11,0)</f>
        <v>0</v>
      </c>
      <c r="AO128" s="33" t="n">
        <f aca="false">IF(AND(Source_Data!AO$6&gt;=Inputs!$B$54,Source_Data!AO$6&lt;Inputs!$B$54+3*Inputs!$B$11),Inputs!$B$9*Inputs!$B$7/Inputs!$B$11,0)</f>
        <v>0</v>
      </c>
      <c r="AP128" s="33" t="n">
        <f aca="false">IF(AND(Source_Data!AP$6&gt;=Inputs!$B$54,Source_Data!AP$6&lt;Inputs!$B$54+3*Inputs!$B$11),Inputs!$B$9*Inputs!$B$7/Inputs!$B$11,0)</f>
        <v>0</v>
      </c>
      <c r="AQ128" s="33" t="n">
        <f aca="false">IF(AND(Source_Data!AQ$6&gt;=Inputs!$B$54,Source_Data!AQ$6&lt;Inputs!$B$54+3*Inputs!$B$11),Inputs!$B$9*Inputs!$B$7/Inputs!$B$11,0)</f>
        <v>0</v>
      </c>
      <c r="AR128" s="33" t="n">
        <f aca="false">IF(AND(Source_Data!AR$6&gt;=Inputs!$B$54,Source_Data!AR$6&lt;Inputs!$B$54+3*Inputs!$B$11),Inputs!$B$9*Inputs!$B$7/Inputs!$B$11,0)</f>
        <v>0</v>
      </c>
      <c r="AS128" s="33" t="n">
        <f aca="false">IF(AND(Source_Data!AS$6&gt;=Inputs!$B$54,Source_Data!AS$6&lt;Inputs!$B$54+3*Inputs!$B$11),Inputs!$B$9*Inputs!$B$7/Inputs!$B$11,0)</f>
        <v>0</v>
      </c>
      <c r="AT128" s="33" t="n">
        <f aca="false">IF(AND(Source_Data!AT$6&gt;=Inputs!$B$54,Source_Data!AT$6&lt;Inputs!$B$54+3*Inputs!$B$11),Inputs!$B$9*Inputs!$B$7/Inputs!$B$11,0)</f>
        <v>0</v>
      </c>
      <c r="AU128" s="33" t="n">
        <f aca="false">IF(AND(Source_Data!AU$6&gt;=Inputs!$B$54,Source_Data!AU$6&lt;Inputs!$B$54+3*Inputs!$B$11),Inputs!$B$9*Inputs!$B$7/Inputs!$B$11,0)</f>
        <v>0</v>
      </c>
      <c r="AV128" s="33" t="n">
        <f aca="false">IF(AND(Source_Data!AV$6&gt;=Inputs!$B$54,Source_Data!AV$6&lt;Inputs!$B$54+3*Inputs!$B$11),Inputs!$B$9*Inputs!$B$7/Inputs!$B$11,0)</f>
        <v>0</v>
      </c>
      <c r="AW128" s="33" t="n">
        <f aca="false">IF(AND(Source_Data!AW$6&gt;=Inputs!$B$54,Source_Data!AW$6&lt;Inputs!$B$54+3*Inputs!$B$11),Inputs!$B$9*Inputs!$B$7/Inputs!$B$11,0)</f>
        <v>0</v>
      </c>
      <c r="AX128" s="33" t="n">
        <f aca="false">IF(AND(Source_Data!AX$6&gt;=Inputs!$B$54,Source_Data!AX$6&lt;Inputs!$B$54+3*Inputs!$B$11),Inputs!$B$9*Inputs!$B$7/Inputs!$B$11,0)</f>
        <v>0</v>
      </c>
      <c r="AY128" s="33" t="n">
        <f aca="false">IF(AND(Source_Data!AY$6&gt;=Inputs!$B$54,Source_Data!AY$6&lt;Inputs!$B$54+3*Inputs!$B$11),Inputs!$B$9*Inputs!$B$7/Inputs!$B$11,0)</f>
        <v>0</v>
      </c>
      <c r="AZ128" s="33" t="n">
        <f aca="false">IF(AND(Source_Data!AZ$6&gt;=Inputs!$B$54,Source_Data!AZ$6&lt;Inputs!$B$54+3*Inputs!$B$11),Inputs!$B$9*Inputs!$B$7/Inputs!$B$11,0)</f>
        <v>0</v>
      </c>
      <c r="BA128" s="33" t="n">
        <f aca="false">IF(AND(Source_Data!BA$6&gt;=Inputs!$B$54,Source_Data!BA$6&lt;Inputs!$B$54+3*Inputs!$B$11),Inputs!$B$9*Inputs!$B$7/Inputs!$B$11,0)</f>
        <v>0</v>
      </c>
      <c r="BB128" s="33" t="n">
        <f aca="false">IF(AND(Source_Data!BB$6&gt;=Inputs!$B$54,Source_Data!BB$6&lt;Inputs!$B$54+3*Inputs!$B$11),Inputs!$B$9*Inputs!$B$7/Inputs!$B$11,0)</f>
        <v>0</v>
      </c>
      <c r="BC128" s="33" t="n">
        <f aca="false">IF(AND(Source_Data!BC$6&gt;=Inputs!$B$54,Source_Data!BC$6&lt;Inputs!$B$54+3*Inputs!$B$11),Inputs!$B$9*Inputs!$B$7/Inputs!$B$11,0)</f>
        <v>0</v>
      </c>
      <c r="BD128" s="33" t="n">
        <f aca="false">IF(AND(Source_Data!BD$6&gt;=Inputs!$B$54,Source_Data!BD$6&lt;Inputs!$B$54+3*Inputs!$B$11),Inputs!$B$9*Inputs!$B$7/Inputs!$B$11,0)</f>
        <v>0</v>
      </c>
      <c r="BE128" s="33" t="n">
        <f aca="false">IF(AND(Source_Data!BE$6&gt;=Inputs!$B$54,Source_Data!BE$6&lt;Inputs!$B$54+3*Inputs!$B$11),Inputs!$B$9*Inputs!$B$7/Inputs!$B$11,0)</f>
        <v>0</v>
      </c>
      <c r="BF128" s="33" t="n">
        <f aca="false">IF(AND(Source_Data!BF$6&gt;=Inputs!$B$54,Source_Data!BF$6&lt;Inputs!$B$54+3*Inputs!$B$11),Inputs!$B$9*Inputs!$B$7/Inputs!$B$11,0)</f>
        <v>0</v>
      </c>
      <c r="BG128" s="33" t="n">
        <f aca="false">IF(AND(Source_Data!BG$6&gt;=Inputs!$B$54,Source_Data!BG$6&lt;Inputs!$B$54+3*Inputs!$B$11),Inputs!$B$9*Inputs!$B$7/Inputs!$B$11,0)</f>
        <v>0</v>
      </c>
      <c r="BH128" s="33" t="n">
        <f aca="false">IF(AND(Source_Data!BH$6&gt;=Inputs!$B$54,Source_Data!BH$6&lt;Inputs!$B$54+3*Inputs!$B$11),Inputs!$B$9*Inputs!$B$7/Inputs!$B$11,0)</f>
        <v>0</v>
      </c>
      <c r="BI128" s="33" t="n">
        <f aca="false">IF(AND(Source_Data!BI$6&gt;=Inputs!$B$54,Source_Data!BI$6&lt;Inputs!$B$54+3*Inputs!$B$11),Inputs!$B$9*Inputs!$B$7/Inputs!$B$11,0)</f>
        <v>0</v>
      </c>
      <c r="BJ128" s="33" t="n">
        <f aca="false">IF(AND(Source_Data!BJ$6&gt;=Inputs!$B$54,Source_Data!BJ$6&lt;Inputs!$B$54+3*Inputs!$B$11),Inputs!$B$9*Inputs!$B$7/Inputs!$B$11,0)</f>
        <v>0</v>
      </c>
      <c r="BK128" s="33" t="n">
        <f aca="false">IF(AND(Source_Data!BK$6&gt;=Inputs!$B$54,Source_Data!BK$6&lt;Inputs!$B$54+3*Inputs!$B$11),Inputs!$B$9*Inputs!$B$7/Inputs!$B$11,0)</f>
        <v>0</v>
      </c>
    </row>
    <row r="129" customFormat="false" ht="15" hidden="false" customHeight="false" outlineLevel="0" collapsed="false">
      <c r="A129" s="3" t="s">
        <v>342</v>
      </c>
      <c r="D129" s="33" t="n">
        <f aca="false">IF(Source_Data!D$6=Inputs!$B$12,-Inputs!$B$7,0)+D128</f>
        <v>-100</v>
      </c>
      <c r="E129" s="33" t="n">
        <f aca="false">IF(Source_Data!E$6=Inputs!$B$12,-Inputs!$B$7,0)+E128</f>
        <v>0</v>
      </c>
      <c r="F129" s="33" t="n">
        <f aca="false">IF(Source_Data!F$6=Inputs!$B$12,-Inputs!$B$7,0)+F128</f>
        <v>0</v>
      </c>
      <c r="G129" s="33" t="n">
        <f aca="false">IF(Source_Data!G$6=Inputs!$B$12,-Inputs!$B$7,0)+G128</f>
        <v>0</v>
      </c>
      <c r="H129" s="33" t="n">
        <f aca="false">IF(Source_Data!H$6=Inputs!$B$12,-Inputs!$B$7,0)+H128</f>
        <v>0</v>
      </c>
      <c r="I129" s="33" t="n">
        <f aca="false">IF(Source_Data!I$6=Inputs!$B$12,-Inputs!$B$7,0)+I128</f>
        <v>0</v>
      </c>
      <c r="J129" s="33" t="n">
        <f aca="false">IF(Source_Data!J$6=Inputs!$B$12,-Inputs!$B$7,0)+J128</f>
        <v>0</v>
      </c>
      <c r="K129" s="33" t="n">
        <f aca="false">IF(Source_Data!K$6=Inputs!$B$12,-Inputs!$B$7,0)+K128</f>
        <v>0</v>
      </c>
      <c r="L129" s="33" t="n">
        <f aca="false">IF(Source_Data!L$6=Inputs!$B$12,-Inputs!$B$7,0)+L128</f>
        <v>0</v>
      </c>
      <c r="M129" s="33" t="n">
        <f aca="false">IF(Source_Data!M$6=Inputs!$B$12,-Inputs!$B$7,0)+M128</f>
        <v>19.1666666666667</v>
      </c>
      <c r="N129" s="33" t="n">
        <f aca="false">IF(Source_Data!N$6=Inputs!$B$12,-Inputs!$B$7,0)+N128</f>
        <v>19.1666666666667</v>
      </c>
      <c r="O129" s="33" t="n">
        <f aca="false">IF(Source_Data!O$6=Inputs!$B$12,-Inputs!$B$7,0)+O128</f>
        <v>19.1666666666667</v>
      </c>
      <c r="P129" s="33" t="n">
        <f aca="false">IF(Source_Data!P$6=Inputs!$B$12,-Inputs!$B$7,0)+P128</f>
        <v>19.1666666666667</v>
      </c>
      <c r="Q129" s="33" t="n">
        <f aca="false">IF(Source_Data!Q$6=Inputs!$B$12,-Inputs!$B$7,0)+Q128</f>
        <v>19.1666666666667</v>
      </c>
      <c r="R129" s="33" t="n">
        <f aca="false">IF(Source_Data!R$6=Inputs!$B$12,-Inputs!$B$7,0)+R128</f>
        <v>19.1666666666667</v>
      </c>
      <c r="S129" s="33" t="n">
        <f aca="false">IF(Source_Data!S$6=Inputs!$B$12,-Inputs!$B$7,0)+S128</f>
        <v>19.1666666666667</v>
      </c>
      <c r="T129" s="33" t="n">
        <f aca="false">IF(Source_Data!T$6=Inputs!$B$12,-Inputs!$B$7,0)+T128</f>
        <v>19.1666666666667</v>
      </c>
      <c r="U129" s="33" t="n">
        <f aca="false">IF(Source_Data!U$6=Inputs!$B$12,-Inputs!$B$7,0)+U128</f>
        <v>19.1666666666667</v>
      </c>
      <c r="V129" s="33" t="n">
        <f aca="false">IF(Source_Data!V$6=Inputs!$B$12,-Inputs!$B$7,0)+V128</f>
        <v>19.1666666666667</v>
      </c>
      <c r="W129" s="33" t="n">
        <f aca="false">IF(Source_Data!W$6=Inputs!$B$12,-Inputs!$B$7,0)+W128</f>
        <v>19.1666666666667</v>
      </c>
      <c r="X129" s="33" t="n">
        <f aca="false">IF(Source_Data!X$6=Inputs!$B$12,-Inputs!$B$7,0)+X128</f>
        <v>19.1666666666667</v>
      </c>
      <c r="Y129" s="33" t="n">
        <f aca="false">IF(Source_Data!Y$6=Inputs!$B$12,-Inputs!$B$7,0)+Y128</f>
        <v>0</v>
      </c>
      <c r="Z129" s="33" t="n">
        <f aca="false">IF(Source_Data!Z$6=Inputs!$B$12,-Inputs!$B$7,0)+Z128</f>
        <v>0</v>
      </c>
      <c r="AA129" s="33" t="n">
        <f aca="false">IF(Source_Data!AA$6=Inputs!$B$12,-Inputs!$B$7,0)+AA128</f>
        <v>0</v>
      </c>
      <c r="AB129" s="33" t="n">
        <f aca="false">IF(Source_Data!AB$6=Inputs!$B$12,-Inputs!$B$7,0)+AB128</f>
        <v>0</v>
      </c>
      <c r="AC129" s="33" t="n">
        <f aca="false">IF(Source_Data!AC$6=Inputs!$B$12,-Inputs!$B$7,0)+AC128</f>
        <v>0</v>
      </c>
      <c r="AD129" s="33" t="n">
        <f aca="false">IF(Source_Data!AD$6=Inputs!$B$12,-Inputs!$B$7,0)+AD128</f>
        <v>0</v>
      </c>
      <c r="AE129" s="33" t="n">
        <f aca="false">IF(Source_Data!AE$6=Inputs!$B$12,-Inputs!$B$7,0)+AE128</f>
        <v>0</v>
      </c>
      <c r="AF129" s="33" t="n">
        <f aca="false">IF(Source_Data!AF$6=Inputs!$B$12,-Inputs!$B$7,0)+AF128</f>
        <v>0</v>
      </c>
      <c r="AG129" s="33" t="n">
        <f aca="false">IF(Source_Data!AG$6=Inputs!$B$12,-Inputs!$B$7,0)+AG128</f>
        <v>0</v>
      </c>
      <c r="AH129" s="33" t="n">
        <f aca="false">IF(Source_Data!AH$6=Inputs!$B$12,-Inputs!$B$7,0)+AH128</f>
        <v>0</v>
      </c>
      <c r="AI129" s="33" t="n">
        <f aca="false">IF(Source_Data!AI$6=Inputs!$B$12,-Inputs!$B$7,0)+AI128</f>
        <v>0</v>
      </c>
      <c r="AJ129" s="33" t="n">
        <f aca="false">IF(Source_Data!AJ$6=Inputs!$B$12,-Inputs!$B$7,0)+AJ128</f>
        <v>0</v>
      </c>
      <c r="AK129" s="33" t="n">
        <f aca="false">IF(Source_Data!AK$6=Inputs!$B$12,-Inputs!$B$7,0)+AK128</f>
        <v>0</v>
      </c>
      <c r="AL129" s="33" t="n">
        <f aca="false">IF(Source_Data!AL$6=Inputs!$B$12,-Inputs!$B$7,0)+AL128</f>
        <v>0</v>
      </c>
      <c r="AM129" s="33" t="n">
        <f aca="false">IF(Source_Data!AM$6=Inputs!$B$12,-Inputs!$B$7,0)+AM128</f>
        <v>0</v>
      </c>
      <c r="AN129" s="33" t="n">
        <f aca="false">IF(Source_Data!AN$6=Inputs!$B$12,-Inputs!$B$7,0)+AN128</f>
        <v>0</v>
      </c>
      <c r="AO129" s="33" t="n">
        <f aca="false">IF(Source_Data!AO$6=Inputs!$B$12,-Inputs!$B$7,0)+AO128</f>
        <v>0</v>
      </c>
      <c r="AP129" s="33" t="n">
        <f aca="false">IF(Source_Data!AP$6=Inputs!$B$12,-Inputs!$B$7,0)+AP128</f>
        <v>0</v>
      </c>
      <c r="AQ129" s="33" t="n">
        <f aca="false">IF(Source_Data!AQ$6=Inputs!$B$12,-Inputs!$B$7,0)+AQ128</f>
        <v>0</v>
      </c>
      <c r="AR129" s="33" t="n">
        <f aca="false">IF(Source_Data!AR$6=Inputs!$B$12,-Inputs!$B$7,0)+AR128</f>
        <v>0</v>
      </c>
      <c r="AS129" s="33" t="n">
        <f aca="false">IF(Source_Data!AS$6=Inputs!$B$12,-Inputs!$B$7,0)+AS128</f>
        <v>0</v>
      </c>
      <c r="AT129" s="33" t="n">
        <f aca="false">IF(Source_Data!AT$6=Inputs!$B$12,-Inputs!$B$7,0)+AT128</f>
        <v>0</v>
      </c>
      <c r="AU129" s="33" t="n">
        <f aca="false">IF(Source_Data!AU$6=Inputs!$B$12,-Inputs!$B$7,0)+AU128</f>
        <v>0</v>
      </c>
      <c r="AV129" s="33" t="n">
        <f aca="false">IF(Source_Data!AV$6=Inputs!$B$12,-Inputs!$B$7,0)+AV128</f>
        <v>0</v>
      </c>
      <c r="AW129" s="33" t="n">
        <f aca="false">IF(Source_Data!AW$6=Inputs!$B$12,-Inputs!$B$7,0)+AW128</f>
        <v>0</v>
      </c>
      <c r="AX129" s="33" t="n">
        <f aca="false">IF(Source_Data!AX$6=Inputs!$B$12,-Inputs!$B$7,0)+AX128</f>
        <v>0</v>
      </c>
      <c r="AY129" s="33" t="n">
        <f aca="false">IF(Source_Data!AY$6=Inputs!$B$12,-Inputs!$B$7,0)+AY128</f>
        <v>0</v>
      </c>
      <c r="AZ129" s="33" t="n">
        <f aca="false">IF(Source_Data!AZ$6=Inputs!$B$12,-Inputs!$B$7,0)+AZ128</f>
        <v>0</v>
      </c>
      <c r="BA129" s="33" t="n">
        <f aca="false">IF(Source_Data!BA$6=Inputs!$B$12,-Inputs!$B$7,0)+BA128</f>
        <v>0</v>
      </c>
      <c r="BB129" s="33" t="n">
        <f aca="false">IF(Source_Data!BB$6=Inputs!$B$12,-Inputs!$B$7,0)+BB128</f>
        <v>0</v>
      </c>
      <c r="BC129" s="33" t="n">
        <f aca="false">IF(Source_Data!BC$6=Inputs!$B$12,-Inputs!$B$7,0)+BC128</f>
        <v>0</v>
      </c>
      <c r="BD129" s="33" t="n">
        <f aca="false">IF(Source_Data!BD$6=Inputs!$B$12,-Inputs!$B$7,0)+BD128</f>
        <v>0</v>
      </c>
      <c r="BE129" s="33" t="n">
        <f aca="false">IF(Source_Data!BE$6=Inputs!$B$12,-Inputs!$B$7,0)+BE128</f>
        <v>0</v>
      </c>
      <c r="BF129" s="33" t="n">
        <f aca="false">IF(Source_Data!BF$6=Inputs!$B$12,-Inputs!$B$7,0)+BF128</f>
        <v>0</v>
      </c>
      <c r="BG129" s="33" t="n">
        <f aca="false">IF(Source_Data!BG$6=Inputs!$B$12,-Inputs!$B$7,0)+BG128</f>
        <v>0</v>
      </c>
      <c r="BH129" s="33" t="n">
        <f aca="false">IF(Source_Data!BH$6=Inputs!$B$12,-Inputs!$B$7,0)+BH128</f>
        <v>0</v>
      </c>
      <c r="BI129" s="33" t="n">
        <f aca="false">IF(Source_Data!BI$6=Inputs!$B$12,-Inputs!$B$7,0)+BI128</f>
        <v>0</v>
      </c>
      <c r="BJ129" s="33" t="n">
        <f aca="false">IF(Source_Data!BJ$6=Inputs!$B$12,-Inputs!$B$7,0)+BJ128</f>
        <v>0</v>
      </c>
      <c r="BK129" s="33" t="n">
        <f aca="false">IF(Source_Data!BK$6=Inputs!$B$12,-Inputs!$B$7,0)+BK128</f>
        <v>0</v>
      </c>
    </row>
    <row r="130" customFormat="false" ht="15" hidden="false" customHeight="false" outlineLevel="0" collapsed="false">
      <c r="A130" s="3" t="s">
        <v>343</v>
      </c>
      <c r="D130" s="33" t="n">
        <f aca="false">IF(Source_Data!D$6=Inputs!$B$12,Inputs!$B$7,0)+D125-D128</f>
        <v>8.75</v>
      </c>
      <c r="E130" s="33" t="n">
        <f aca="false">D130+IF(Source_Data!E$6=Inputs!$B$12,Inputs!$B$7,0)+E125-E128</f>
        <v>-2.5</v>
      </c>
      <c r="F130" s="33" t="n">
        <f aca="false">E130+IF(Source_Data!F$6=Inputs!$B$12,Inputs!$B$7,0)+F125-F128</f>
        <v>1.3892375</v>
      </c>
      <c r="G130" s="33" t="n">
        <f aca="false">F130+IF(Source_Data!G$6=Inputs!$B$12,Inputs!$B$7,0)+G125-G128</f>
        <v>20.4177125</v>
      </c>
      <c r="H130" s="33" t="n">
        <f aca="false">G130+IF(Source_Data!H$6=Inputs!$B$12,Inputs!$B$7,0)+H125-H128</f>
        <v>19.12971875</v>
      </c>
      <c r="I130" s="33" t="n">
        <f aca="false">H130+IF(Source_Data!I$6=Inputs!$B$12,Inputs!$B$7,0)+I125-I128</f>
        <v>25.97925625</v>
      </c>
      <c r="J130" s="33" t="n">
        <f aca="false">I130+IF(Source_Data!J$6=Inputs!$B$12,Inputs!$B$7,0)+J125-J128</f>
        <v>3.13356624999999</v>
      </c>
      <c r="K130" s="33" t="n">
        <f aca="false">J130+IF(Source_Data!K$6=Inputs!$B$12,Inputs!$B$7,0)+K125-K128</f>
        <v>-1.400264375</v>
      </c>
      <c r="L130" s="33" t="n">
        <f aca="false">K130+IF(Source_Data!L$6=Inputs!$B$12,Inputs!$B$7,0)+L125-L128</f>
        <v>2.26132406250001</v>
      </c>
      <c r="M130" s="33" t="n">
        <f aca="false">L130+IF(Source_Data!M$6=Inputs!$B$12,Inputs!$B$7,0)+M125-M128</f>
        <v>401.681234895833</v>
      </c>
      <c r="N130" s="33" t="n">
        <f aca="false">M130+IF(Source_Data!N$6=Inputs!$B$12,Inputs!$B$7,0)+N125-N128</f>
        <v>520.674108229167</v>
      </c>
      <c r="O130" s="33" t="n">
        <f aca="false">N130+IF(Source_Data!O$6=Inputs!$B$12,Inputs!$B$7,0)+O125-O128</f>
        <v>630.6232315625</v>
      </c>
      <c r="P130" s="33" t="n">
        <f aca="false">O130+IF(Source_Data!P$6=Inputs!$B$12,Inputs!$B$7,0)+P125-P128</f>
        <v>504.269274895833</v>
      </c>
      <c r="Q130" s="33" t="n">
        <f aca="false">P130+IF(Source_Data!Q$6=Inputs!$B$12,Inputs!$B$7,0)+Q125-Q128</f>
        <v>350.351776979167</v>
      </c>
      <c r="R130" s="33" t="n">
        <f aca="false">Q130+IF(Source_Data!R$6=Inputs!$B$12,Inputs!$B$7,0)+R125-R128</f>
        <v>140.7742790625</v>
      </c>
      <c r="S130" s="33" t="n">
        <f aca="false">R130+IF(Source_Data!S$6=Inputs!$B$12,Inputs!$B$7,0)+S125-S128</f>
        <v>-10.0165519791665</v>
      </c>
      <c r="T130" s="33" t="n">
        <f aca="false">S130+IF(Source_Data!T$6=Inputs!$B$12,Inputs!$B$7,0)+T125-T128</f>
        <v>-12.9565789583332</v>
      </c>
      <c r="U130" s="33" t="n">
        <f aca="false">T130+IF(Source_Data!U$6=Inputs!$B$12,Inputs!$B$7,0)+U125-U128</f>
        <v>-17.4105296874999</v>
      </c>
      <c r="V130" s="33" t="n">
        <f aca="false">U130+IF(Source_Data!V$6=Inputs!$B$12,Inputs!$B$7,0)+V125-V128</f>
        <v>-27.8532516666665</v>
      </c>
      <c r="W130" s="33" t="n">
        <f aca="false">V130+IF(Source_Data!W$6=Inputs!$B$12,Inputs!$B$7,0)+W125-W128</f>
        <v>-42.6369736458332</v>
      </c>
      <c r="X130" s="33" t="n">
        <f aca="false">W130+IF(Source_Data!X$6=Inputs!$B$12,Inputs!$B$7,0)+X125-X128</f>
        <v>-34.9206956249999</v>
      </c>
      <c r="Y130" s="33" t="n">
        <f aca="false">X130+IF(Source_Data!Y$6=Inputs!$B$12,Inputs!$B$7,0)+Y125-Y128</f>
        <v>-15.3179696874999</v>
      </c>
      <c r="Z130" s="33" t="n">
        <f aca="false">Y130+IF(Source_Data!Z$6=Inputs!$B$12,Inputs!$B$7,0)+Z125-Z128</f>
        <v>4.28475625000013</v>
      </c>
      <c r="AA130" s="33" t="n">
        <f aca="false">Z130+IF(Source_Data!AA$6=Inputs!$B$12,Inputs!$B$7,0)+AA125-AA128</f>
        <v>23.8874821875001</v>
      </c>
      <c r="AB130" s="33" t="n">
        <f aca="false">AA130+IF(Source_Data!AB$6=Inputs!$B$12,Inputs!$B$7,0)+AB125-AB128</f>
        <v>60.2022081250001</v>
      </c>
      <c r="AC130" s="33" t="n">
        <f aca="false">AB130+IF(Source_Data!AC$6=Inputs!$B$12,Inputs!$B$7,0)+AC125-AC128</f>
        <v>93.2408356250001</v>
      </c>
      <c r="AD130" s="33" t="n">
        <f aca="false">AC130+IF(Source_Data!AD$6=Inputs!$B$12,Inputs!$B$7,0)+AD125-AD128</f>
        <v>122.671006875</v>
      </c>
      <c r="AE130" s="33" t="n">
        <f aca="false">AD130+IF(Source_Data!AE$6=Inputs!$B$12,Inputs!$B$7,0)+AE125-AE128</f>
        <v>147.760178125</v>
      </c>
      <c r="AF130" s="33" t="n">
        <f aca="false">AE130+IF(Source_Data!AF$6=Inputs!$B$12,Inputs!$B$7,0)+AF125-AF128</f>
        <v>65.0911390234376</v>
      </c>
      <c r="AG130" s="33" t="n">
        <f aca="false">AF130+IF(Source_Data!AG$6=Inputs!$B$12,Inputs!$B$7,0)+AG125-AG128</f>
        <v>79.2037978515626</v>
      </c>
      <c r="AH130" s="33" t="n">
        <f aca="false">AG130+IF(Source_Data!AH$6=Inputs!$B$12,Inputs!$B$7,0)+AH125-AH128</f>
        <v>93.3164566796876</v>
      </c>
      <c r="AI130" s="33" t="n">
        <f aca="false">AH130+IF(Source_Data!AI$6=Inputs!$B$12,Inputs!$B$7,0)+AI125-AI128</f>
        <v>107.429115507813</v>
      </c>
      <c r="AJ130" s="33" t="n">
        <f aca="false">AI130+IF(Source_Data!AJ$6=Inputs!$B$12,Inputs!$B$7,0)+AJ125-AJ128</f>
        <v>121.541774335938</v>
      </c>
      <c r="AK130" s="33" t="n">
        <f aca="false">AJ130+IF(Source_Data!AK$6=Inputs!$B$12,Inputs!$B$7,0)+AK125-AK128</f>
        <v>134.42589625</v>
      </c>
      <c r="AL130" s="33" t="n">
        <f aca="false">AK130+IF(Source_Data!AL$6=Inputs!$B$12,Inputs!$B$7,0)+AL125-AL128</f>
        <v>147.310018164063</v>
      </c>
      <c r="AM130" s="33" t="n">
        <f aca="false">AL130+IF(Source_Data!AM$6=Inputs!$B$12,Inputs!$B$7,0)+AM125-AM128</f>
        <v>157.8510175</v>
      </c>
      <c r="AN130" s="33" t="n">
        <f aca="false">AM130+IF(Source_Data!AN$6=Inputs!$B$12,Inputs!$B$7,0)+AN125-AN128</f>
        <v>163.26573671875</v>
      </c>
      <c r="AO130" s="33" t="n">
        <f aca="false">AN130+IF(Source_Data!AO$6=Inputs!$B$12,Inputs!$B$7,0)+AO125-AO128</f>
        <v>165.2741275</v>
      </c>
      <c r="AP130" s="33" t="n">
        <f aca="false">AO130+IF(Source_Data!AP$6=Inputs!$B$12,Inputs!$B$7,0)+AP125-AP128</f>
        <v>165.2741275</v>
      </c>
      <c r="AQ130" s="33" t="n">
        <f aca="false">AP130+IF(Source_Data!AQ$6=Inputs!$B$12,Inputs!$B$7,0)+AQ125-AQ128</f>
        <v>165.2741275</v>
      </c>
      <c r="AR130" s="33" t="n">
        <f aca="false">AQ130+IF(Source_Data!AR$6=Inputs!$B$12,Inputs!$B$7,0)+AR125-AR128</f>
        <v>165.2741275</v>
      </c>
      <c r="AS130" s="33" t="n">
        <f aca="false">AR130+IF(Source_Data!AS$6=Inputs!$B$12,Inputs!$B$7,0)+AS125-AS128</f>
        <v>165.2741275</v>
      </c>
      <c r="AT130" s="33" t="n">
        <f aca="false">AS130+IF(Source_Data!AT$6=Inputs!$B$12,Inputs!$B$7,0)+AT125-AT128</f>
        <v>165.2741275</v>
      </c>
      <c r="AU130" s="33" t="n">
        <f aca="false">AT130+IF(Source_Data!AU$6=Inputs!$B$12,Inputs!$B$7,0)+AU125-AU128</f>
        <v>165.2741275</v>
      </c>
      <c r="AV130" s="33" t="n">
        <f aca="false">AU130+IF(Source_Data!AV$6=Inputs!$B$12,Inputs!$B$7,0)+AV125-AV128</f>
        <v>165.2741275</v>
      </c>
      <c r="AW130" s="33" t="n">
        <f aca="false">AV130+IF(Source_Data!AW$6=Inputs!$B$12,Inputs!$B$7,0)+AW125-AW128</f>
        <v>165.2741275</v>
      </c>
      <c r="AX130" s="33" t="n">
        <f aca="false">AW130+IF(Source_Data!AX$6=Inputs!$B$12,Inputs!$B$7,0)+AX125-AX128</f>
        <v>165.2741275</v>
      </c>
      <c r="AY130" s="33" t="n">
        <f aca="false">AX130+IF(Source_Data!AY$6=Inputs!$B$12,Inputs!$B$7,0)+AY125-AY128</f>
        <v>165.2741275</v>
      </c>
      <c r="AZ130" s="33" t="n">
        <f aca="false">AY130+IF(Source_Data!AZ$6=Inputs!$B$12,Inputs!$B$7,0)+AZ125-AZ128</f>
        <v>165.2741275</v>
      </c>
      <c r="BA130" s="33" t="n">
        <f aca="false">AZ130+IF(Source_Data!BA$6=Inputs!$B$12,Inputs!$B$7,0)+BA125-BA128</f>
        <v>165.2741275</v>
      </c>
      <c r="BB130" s="33" t="n">
        <f aca="false">BA130+IF(Source_Data!BB$6=Inputs!$B$12,Inputs!$B$7,0)+BB125-BB128</f>
        <v>165.2741275</v>
      </c>
      <c r="BC130" s="33" t="n">
        <f aca="false">BB130+IF(Source_Data!BC$6=Inputs!$B$12,Inputs!$B$7,0)+BC125-BC128</f>
        <v>165.2741275</v>
      </c>
      <c r="BD130" s="33" t="n">
        <f aca="false">BC130+IF(Source_Data!BD$6=Inputs!$B$12,Inputs!$B$7,0)+BD125-BD128</f>
        <v>165.2741275</v>
      </c>
      <c r="BE130" s="33" t="n">
        <f aca="false">BD130+IF(Source_Data!BE$6=Inputs!$B$12,Inputs!$B$7,0)+BE125-BE128</f>
        <v>165.2741275</v>
      </c>
      <c r="BF130" s="33" t="n">
        <f aca="false">BE130+IF(Source_Data!BF$6=Inputs!$B$12,Inputs!$B$7,0)+BF125-BF128</f>
        <v>165.2741275</v>
      </c>
      <c r="BG130" s="33" t="n">
        <f aca="false">BF130+IF(Source_Data!BG$6=Inputs!$B$12,Inputs!$B$7,0)+BG125-BG128</f>
        <v>165.2741275</v>
      </c>
      <c r="BH130" s="33" t="n">
        <f aca="false">BG130+IF(Source_Data!BH$6=Inputs!$B$12,Inputs!$B$7,0)+BH125-BH128</f>
        <v>165.2741275</v>
      </c>
      <c r="BI130" s="33" t="n">
        <f aca="false">BH130+IF(Source_Data!BI$6=Inputs!$B$12,Inputs!$B$7,0)+BI125-BI128</f>
        <v>165.2741275</v>
      </c>
      <c r="BJ130" s="33" t="n">
        <f aca="false">BI130+IF(Source_Data!BJ$6=Inputs!$B$12,Inputs!$B$7,0)+BJ125-BJ128</f>
        <v>165.2741275</v>
      </c>
      <c r="BK130" s="33" t="n">
        <f aca="false">BJ130+IF(Source_Data!BK$6=Inputs!$B$12,Inputs!$B$7,0)+BK125-BK128</f>
        <v>165.2741275</v>
      </c>
    </row>
    <row r="131" customFormat="false" ht="15" hidden="false" customHeight="false" outlineLevel="0" collapsed="false">
      <c r="A131" s="3" t="s">
        <v>344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n">
        <f aca="false">IF(M128&gt;0,M125/M128,"")</f>
        <v>21.8392996956522</v>
      </c>
      <c r="N131" s="31" t="n">
        <f aca="false">IF(N128&gt;0,N125/N128,"")</f>
        <v>7.20832382608696</v>
      </c>
      <c r="O131" s="31" t="n">
        <f aca="false">IF(O128&gt;0,O125/O128,"")</f>
        <v>6.736476</v>
      </c>
      <c r="P131" s="31" t="n">
        <f aca="false">IF(P128&gt;0,P125/P128,"")</f>
        <v>-5.59238034782609</v>
      </c>
      <c r="Q131" s="31" t="n">
        <f aca="false">IF(Q128&gt;0,Q125/Q128,"")</f>
        <v>-7.03047815217391</v>
      </c>
      <c r="R131" s="31" t="n">
        <f aca="false">IF(R128&gt;0,R125/R128,"")</f>
        <v>-9.93447815217392</v>
      </c>
      <c r="S131" s="31" t="n">
        <f aca="false">IF(S128&gt;0,S125/S128,"")</f>
        <v>-6.86734770652174</v>
      </c>
      <c r="T131" s="31" t="n">
        <f aca="false">IF(T128&gt;0,T125/T128,"")</f>
        <v>0.846607288043478</v>
      </c>
      <c r="U131" s="31" t="n">
        <f aca="false">IF(U128&gt;0,U125/U128,"")</f>
        <v>0.767619961956522</v>
      </c>
      <c r="V131" s="31" t="n">
        <f aca="false">IF(V128&gt;0,V125/V128,"")</f>
        <v>0.455162331521739</v>
      </c>
      <c r="W131" s="31" t="n">
        <f aca="false">IF(W128&gt;0,W125/W128,"")</f>
        <v>0.228675375</v>
      </c>
      <c r="X131" s="31" t="n">
        <f aca="false">IF(X128&gt;0,X125/X128,"")</f>
        <v>1.40258841847826</v>
      </c>
      <c r="Y131" s="31" t="str">
        <f aca="false">IF(Y128&gt;0,Y125/Y128,"")</f>
        <v/>
      </c>
      <c r="Z131" s="31" t="str">
        <f aca="false">IF(Z128&gt;0,Z125/Z128,"")</f>
        <v/>
      </c>
      <c r="AA131" s="31" t="str">
        <f aca="false">IF(AA128&gt;0,AA125/AA128,"")</f>
        <v/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345</v>
      </c>
      <c r="D132" s="31" t="str">
        <f aca="false">IF(D128&gt;0,(0+D125+IF(Source_Data!D$6=Inputs!$B$12,Inputs!$B$7,0))/D128,"")</f>
        <v/>
      </c>
      <c r="E132" s="31" t="str">
        <f aca="false">IF(E128&gt;0,(D130+E125+IF(Source_Data!E$6=Inputs!$B$12,Inputs!$B$7,0))/E128,"")</f>
        <v/>
      </c>
      <c r="F132" s="31" t="str">
        <f aca="false">IF(F128&gt;0,(E130+F125+IF(Source_Data!F$6=Inputs!$B$12,Inputs!$B$7,0))/F128,"")</f>
        <v/>
      </c>
      <c r="G132" s="31" t="str">
        <f aca="false">IF(G128&gt;0,(F130+G125+IF(Source_Data!G$6=Inputs!$B$12,Inputs!$B$7,0))/G128,"")</f>
        <v/>
      </c>
      <c r="H132" s="31" t="str">
        <f aca="false">IF(H128&gt;0,(G130+H125+IF(Source_Data!H$6=Inputs!$B$12,Inputs!$B$7,0))/H128,"")</f>
        <v/>
      </c>
      <c r="I132" s="31" t="str">
        <f aca="false">IF(I128&gt;0,(H130+I125+IF(Source_Data!I$6=Inputs!$B$12,Inputs!$B$7,0))/I128,"")</f>
        <v/>
      </c>
      <c r="J132" s="31" t="str">
        <f aca="false">IF(J128&gt;0,(I130+J125+IF(Source_Data!J$6=Inputs!$B$12,Inputs!$B$7,0))/J128,"")</f>
        <v/>
      </c>
      <c r="K132" s="31" t="str">
        <f aca="false">IF(K128&gt;0,(J130+K125+IF(Source_Data!K$6=Inputs!$B$12,Inputs!$B$7,0))/K128,"")</f>
        <v/>
      </c>
      <c r="L132" s="31" t="str">
        <f aca="false">IF(L128&gt;0,(K130+L125+IF(Source_Data!L$6=Inputs!$B$12,Inputs!$B$7,0))/L128,"")</f>
        <v/>
      </c>
      <c r="M132" s="31" t="n">
        <f aca="false">IF(M128&gt;0,(L130+M125+IF(Source_Data!M$6=Inputs!$B$12,Inputs!$B$7,0))/M128,"")</f>
        <v>21.9572818206522</v>
      </c>
      <c r="N132" s="31" t="n">
        <f aca="false">IF(N128&gt;0,(M130+N125+IF(Source_Data!N$6=Inputs!$B$12,Inputs!$B$7,0))/N128,"")</f>
        <v>28.1656056467391</v>
      </c>
      <c r="O132" s="31" t="n">
        <f aca="false">IF(O128&gt;0,(N130+O125+IF(Source_Data!O$6=Inputs!$B$12,Inputs!$B$7,0))/O128,"")</f>
        <v>33.9020816467391</v>
      </c>
      <c r="P132" s="31" t="n">
        <f aca="false">IF(P128&gt;0,(O130+P125+IF(Source_Data!P$6=Inputs!$B$12,Inputs!$B$7,0))/P128,"")</f>
        <v>27.3097012989131</v>
      </c>
      <c r="Q132" s="31" t="n">
        <f aca="false">IF(Q128&gt;0,(P130+Q125+IF(Source_Data!Q$6=Inputs!$B$12,Inputs!$B$7,0))/Q128,"")</f>
        <v>19.2792231467391</v>
      </c>
      <c r="R132" s="31" t="n">
        <f aca="false">IF(R128&gt;0,(Q130+R125+IF(Source_Data!R$6=Inputs!$B$12,Inputs!$B$7,0))/R128,"")</f>
        <v>8.34474499456523</v>
      </c>
      <c r="S132" s="31" t="n">
        <f aca="false">IF(S128&gt;0,(R130+S125+IF(Source_Data!S$6=Inputs!$B$12,Inputs!$B$7,0))/S128,"")</f>
        <v>0.477397288043485</v>
      </c>
      <c r="T132" s="31" t="n">
        <f aca="false">IF(T128&gt;0,(S130+T125+IF(Source_Data!T$6=Inputs!$B$12,Inputs!$B$7,0))/T128,"")</f>
        <v>0.324004576086963</v>
      </c>
      <c r="U132" s="31" t="n">
        <f aca="false">IF(U128&gt;0,(T130+U125+IF(Source_Data!U$6=Inputs!$B$12,Inputs!$B$7,0))/U128,"")</f>
        <v>0.0916245380434847</v>
      </c>
      <c r="V132" s="31" t="n">
        <f aca="false">IF(V128&gt;0,(U130+V125+IF(Source_Data!V$6=Inputs!$B$12,Inputs!$B$7,0))/V128,"")</f>
        <v>-0.453213130434776</v>
      </c>
      <c r="W132" s="31" t="n">
        <f aca="false">IF(W128&gt;0,(V130+W125+IF(Source_Data!W$6=Inputs!$B$12,Inputs!$B$7,0))/W128,"")</f>
        <v>-1.22453775543478</v>
      </c>
      <c r="X132" s="31" t="n">
        <f aca="false">IF(X128&gt;0,(W130+X125+IF(Source_Data!X$6=Inputs!$B$12,Inputs!$B$7,0))/X128,"")</f>
        <v>-0.821949336956515</v>
      </c>
      <c r="Y132" s="31" t="str">
        <f aca="false">IF(Y128&gt;0,(X130+Y125+IF(Source_Data!Y$6=Inputs!$B$12,Inputs!$B$7,0))/Y128,"")</f>
        <v/>
      </c>
      <c r="Z132" s="31" t="str">
        <f aca="false">IF(Z128&gt;0,(Y130+Z125+IF(Source_Data!Z$6=Inputs!$B$12,Inputs!$B$7,0))/Z128,"")</f>
        <v/>
      </c>
      <c r="AA132" s="31" t="str">
        <f aca="false">IF(AA128&gt;0,(Z130+AA125+IF(Source_Data!AA$6=Inputs!$B$12,Inputs!$B$7,0))/AA128,"")</f>
        <v/>
      </c>
      <c r="AB132" s="31" t="str">
        <f aca="false">IF(AB128&gt;0,(AA130+AB125+IF(Source_Data!AB$6=Inputs!$B$12,Inputs!$B$7,0))/AB128,"")</f>
        <v/>
      </c>
      <c r="AC132" s="31" t="str">
        <f aca="false">IF(AC128&gt;0,(AB130+AC125+IF(Source_Data!AC$6=Inputs!$B$12,Inputs!$B$7,0))/AC128,"")</f>
        <v/>
      </c>
      <c r="AD132" s="31" t="str">
        <f aca="false">IF(AD128&gt;0,(AC130+AD125+IF(Source_Data!AD$6=Inputs!$B$12,Inputs!$B$7,0))/AD128,"")</f>
        <v/>
      </c>
      <c r="AE132" s="31" t="str">
        <f aca="false">IF(AE128&gt;0,(AD130+AE125+IF(Source_Data!AE$6=Inputs!$B$12,Inputs!$B$7,0))/AE128,"")</f>
        <v/>
      </c>
      <c r="AF132" s="31" t="str">
        <f aca="false">IF(AF128&gt;0,(AE130+AF125+IF(Source_Data!AF$6=Inputs!$B$12,Inputs!$B$7,0))/AF128,"")</f>
        <v/>
      </c>
      <c r="AG132" s="31" t="str">
        <f aca="false">IF(AG128&gt;0,(AF130+AG125+IF(Source_Data!AG$6=Inputs!$B$12,Inputs!$B$7,0))/AG128,"")</f>
        <v/>
      </c>
      <c r="AH132" s="31" t="str">
        <f aca="false">IF(AH128&gt;0,(AG130+AH125+IF(Source_Data!AH$6=Inputs!$B$12,Inputs!$B$7,0))/AH128,"")</f>
        <v/>
      </c>
      <c r="AI132" s="31" t="str">
        <f aca="false">IF(AI128&gt;0,(AH130+AI125+IF(Source_Data!AI$6=Inputs!$B$12,Inputs!$B$7,0))/AI128,"")</f>
        <v/>
      </c>
      <c r="AJ132" s="31" t="str">
        <f aca="false">IF(AJ128&gt;0,(AI130+AJ125+IF(Source_Data!AJ$6=Inputs!$B$12,Inputs!$B$7,0))/AJ128,"")</f>
        <v/>
      </c>
      <c r="AK132" s="31" t="str">
        <f aca="false">IF(AK128&gt;0,(AJ130+AK125+IF(Source_Data!AK$6=Inputs!$B$12,Inputs!$B$7,0))/AK128,"")</f>
        <v/>
      </c>
      <c r="AL132" s="31" t="str">
        <f aca="false">IF(AL128&gt;0,(AK130+AL125+IF(Source_Data!AL$6=Inputs!$B$12,Inputs!$B$7,0))/AL128,"")</f>
        <v/>
      </c>
      <c r="AM132" s="31" t="str">
        <f aca="false">IF(AM128&gt;0,(AL130+AM125+IF(Source_Data!AM$6=Inputs!$B$12,Inputs!$B$7,0))/AM128,"")</f>
        <v/>
      </c>
      <c r="AN132" s="31" t="str">
        <f aca="false">IF(AN128&gt;0,(AM130+AN125+IF(Source_Data!AN$6=Inputs!$B$12,Inputs!$B$7,0))/AN128,"")</f>
        <v/>
      </c>
      <c r="AO132" s="31" t="str">
        <f aca="false">IF(AO128&gt;0,(AN130+AO125+IF(Source_Data!AO$6=Inputs!$B$12,Inputs!$B$7,0))/AO128,"")</f>
        <v/>
      </c>
      <c r="AP132" s="31" t="str">
        <f aca="false">IF(AP128&gt;0,(AO130+AP125+IF(Source_Data!AP$6=Inputs!$B$12,Inputs!$B$7,0))/AP128,"")</f>
        <v/>
      </c>
      <c r="AQ132" s="31" t="str">
        <f aca="false">IF(AQ128&gt;0,(AP130+AQ125+IF(Source_Data!AQ$6=Inputs!$B$12,Inputs!$B$7,0))/AQ128,"")</f>
        <v/>
      </c>
      <c r="AR132" s="31" t="str">
        <f aca="false">IF(AR128&gt;0,(AQ130+AR125+IF(Source_Data!AR$6=Inputs!$B$12,Inputs!$B$7,0))/AR128,"")</f>
        <v/>
      </c>
      <c r="AS132" s="31" t="str">
        <f aca="false">IF(AS128&gt;0,(AR130+AS125+IF(Source_Data!AS$6=Inputs!$B$12,Inputs!$B$7,0))/AS128,"")</f>
        <v/>
      </c>
      <c r="AT132" s="31" t="str">
        <f aca="false">IF(AT128&gt;0,(AS130+AT125+IF(Source_Data!AT$6=Inputs!$B$12,Inputs!$B$7,0))/AT128,"")</f>
        <v/>
      </c>
      <c r="AU132" s="31" t="str">
        <f aca="false">IF(AU128&gt;0,(AT130+AU125+IF(Source_Data!AU$6=Inputs!$B$12,Inputs!$B$7,0))/AU128,"")</f>
        <v/>
      </c>
      <c r="AV132" s="31" t="str">
        <f aca="false">IF(AV128&gt;0,(AU130+AV125+IF(Source_Data!AV$6=Inputs!$B$12,Inputs!$B$7,0))/AV128,"")</f>
        <v/>
      </c>
      <c r="AW132" s="31" t="str">
        <f aca="false">IF(AW128&gt;0,(AV130+AW125+IF(Source_Data!AW$6=Inputs!$B$12,Inputs!$B$7,0))/AW128,"")</f>
        <v/>
      </c>
      <c r="AX132" s="31" t="str">
        <f aca="false">IF(AX128&gt;0,(AW130+AX125+IF(Source_Data!AX$6=Inputs!$B$12,Inputs!$B$7,0))/AX128,"")</f>
        <v/>
      </c>
      <c r="AY132" s="31" t="str">
        <f aca="false">IF(AY128&gt;0,(AX130+AY125+IF(Source_Data!AY$6=Inputs!$B$12,Inputs!$B$7,0))/AY128,"")</f>
        <v/>
      </c>
      <c r="AZ132" s="31" t="str">
        <f aca="false">IF(AZ128&gt;0,(AY130+AZ125+IF(Source_Data!AZ$6=Inputs!$B$12,Inputs!$B$7,0))/AZ128,"")</f>
        <v/>
      </c>
      <c r="BA132" s="31" t="str">
        <f aca="false">IF(BA128&gt;0,(AZ130+BA125+IF(Source_Data!BA$6=Inputs!$B$12,Inputs!$B$7,0))/BA128,"")</f>
        <v/>
      </c>
      <c r="BB132" s="31" t="str">
        <f aca="false">IF(BB128&gt;0,(BA130+BB125+IF(Source_Data!BB$6=Inputs!$B$12,Inputs!$B$7,0))/BB128,"")</f>
        <v/>
      </c>
      <c r="BC132" s="31" t="str">
        <f aca="false">IF(BC128&gt;0,(BB130+BC125+IF(Source_Data!BC$6=Inputs!$B$12,Inputs!$B$7,0))/BC128,"")</f>
        <v/>
      </c>
      <c r="BD132" s="31" t="str">
        <f aca="false">IF(BD128&gt;0,(BC130+BD125+IF(Source_Data!BD$6=Inputs!$B$12,Inputs!$B$7,0))/BD128,"")</f>
        <v/>
      </c>
      <c r="BE132" s="31" t="str">
        <f aca="false">IF(BE128&gt;0,(BD130+BE125+IF(Source_Data!BE$6=Inputs!$B$12,Inputs!$B$7,0))/BE128,"")</f>
        <v/>
      </c>
      <c r="BF132" s="31" t="str">
        <f aca="false">IF(BF128&gt;0,(BE130+BF125+IF(Source_Data!BF$6=Inputs!$B$12,Inputs!$B$7,0))/BF128,"")</f>
        <v/>
      </c>
      <c r="BG132" s="31" t="str">
        <f aca="false">IF(BG128&gt;0,(BF130+BG125+IF(Source_Data!BG$6=Inputs!$B$12,Inputs!$B$7,0))/BG128,"")</f>
        <v/>
      </c>
      <c r="BH132" s="31" t="str">
        <f aca="false">IF(BH128&gt;0,(BG130+BH125+IF(Source_Data!BH$6=Inputs!$B$12,Inputs!$B$7,0))/BH128,"")</f>
        <v/>
      </c>
      <c r="BI132" s="31" t="str">
        <f aca="false">IF(BI128&gt;0,(BH130+BI125+IF(Source_Data!BI$6=Inputs!$B$12,Inputs!$B$7,0))/BI128,"")</f>
        <v/>
      </c>
      <c r="BJ132" s="31" t="str">
        <f aca="false">IF(BJ128&gt;0,(BI130+BJ125+IF(Source_Data!BJ$6=Inputs!$B$12,Inputs!$B$7,0))/BJ128,"")</f>
        <v/>
      </c>
      <c r="BK132" s="31" t="str">
        <f aca="false">IF(BK128&gt;0,(BJ130+BK125+IF(Source_Data!BK$6=Inputs!$B$12,Inputs!$B$7,0))/BK128,"")</f>
        <v/>
      </c>
    </row>
    <row r="134" customFormat="false" ht="15" hidden="false" customHeight="false" outlineLevel="0" collapsed="false">
      <c r="A134" s="2" t="s">
        <v>220</v>
      </c>
      <c r="B134" s="41" t="n">
        <f aca="false">SUM(D125:BK125)</f>
        <v>295.2741275</v>
      </c>
    </row>
    <row r="135" customFormat="false" ht="15" hidden="false" customHeight="false" outlineLevel="0" collapsed="false">
      <c r="A135" s="2" t="s">
        <v>346</v>
      </c>
      <c r="B135" s="41" t="n">
        <f aca="false">SUMPRODUCT(D125:BK125,Project_CF!$D$15:$BK$15)</f>
        <v>162.345681036619</v>
      </c>
    </row>
    <row r="136" customFormat="false" ht="15" hidden="false" customHeight="false" outlineLevel="0" collapsed="false">
      <c r="A136" s="2" t="s">
        <v>162</v>
      </c>
      <c r="B136" s="41" t="n">
        <f aca="false">MIN(D126:BK126)</f>
        <v>-102.5</v>
      </c>
    </row>
    <row r="137" customFormat="false" ht="15" hidden="false" customHeight="false" outlineLevel="0" collapsed="false">
      <c r="A137" s="2" t="s">
        <v>347</v>
      </c>
      <c r="B137" s="35" t="n">
        <f aca="false">INDEX(Project_CF!$D$6:$BK$6,MATCH(MIN(D126:BK126),D126:BK126,0))</f>
        <v>6</v>
      </c>
    </row>
    <row r="138" customFormat="false" ht="15" hidden="false" customHeight="false" outlineLevel="0" collapsed="false">
      <c r="A138" s="2" t="s">
        <v>348</v>
      </c>
      <c r="B138" s="39" t="n">
        <f aca="false">(1+IRR(D127:BK127,0.05))^4-1</f>
        <v>0.264029906719608</v>
      </c>
    </row>
    <row r="139" customFormat="false" ht="15" hidden="false" customHeight="false" outlineLevel="0" collapsed="false">
      <c r="A139" s="2" t="s">
        <v>349</v>
      </c>
      <c r="B139" s="40" t="n">
        <f aca="false">SUMIF(D127:BK127,"&gt;0")/-SUMIF(D127:BK127,"&lt;0")</f>
        <v>2.78136200716846</v>
      </c>
    </row>
    <row r="140" customFormat="false" ht="15" hidden="false" customHeight="false" outlineLevel="0" collapsed="false">
      <c r="A140" s="2" t="s">
        <v>350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351</v>
      </c>
      <c r="B141" s="41" t="n">
        <f aca="false">MIN(D130:BK130)</f>
        <v>-42.6369736458332</v>
      </c>
    </row>
    <row r="142" customFormat="false" ht="15" hidden="false" customHeight="false" outlineLevel="0" collapsed="false">
      <c r="A142" s="2" t="s">
        <v>352</v>
      </c>
      <c r="B142" s="43" t="n">
        <f aca="false">MIN(D131:BK131)</f>
        <v>-9.93447815217392</v>
      </c>
    </row>
    <row r="143" customFormat="false" ht="15" hidden="false" customHeight="false" outlineLevel="0" collapsed="false">
      <c r="A143" s="2" t="s">
        <v>353</v>
      </c>
      <c r="B143" s="35" t="n">
        <f aca="false">COUNTIF(D131:BK131,"&lt;"&amp;Inputs!$B$43)</f>
        <v>9</v>
      </c>
    </row>
    <row r="144" customFormat="false" ht="15" hidden="false" customHeight="false" outlineLevel="0" collapsed="false">
      <c r="A144" s="2" t="s">
        <v>354</v>
      </c>
      <c r="B144" s="43" t="n">
        <f aca="false">MIN(D132:BK132)</f>
        <v>-1.22453775543478</v>
      </c>
    </row>
    <row r="145" customFormat="false" ht="15" hidden="false" customHeight="false" outlineLevel="0" collapsed="false">
      <c r="A145" s="2" t="s">
        <v>355</v>
      </c>
      <c r="B145" s="35" t="n">
        <f aca="false">COUNTIF(D132:BK132,"&lt;"&amp;Inputs!$B$43)</f>
        <v>6</v>
      </c>
    </row>
    <row r="148" customFormat="false" ht="15" hidden="false" customHeight="false" outlineLevel="0" collapsed="false">
      <c r="A148" s="8" t="s">
        <v>64</v>
      </c>
    </row>
    <row r="149" customFormat="false" ht="15" hidden="false" customHeight="false" outlineLevel="0" collapsed="false">
      <c r="A149" s="3" t="s">
        <v>331</v>
      </c>
      <c r="B149" s="45" t="n">
        <v>1</v>
      </c>
    </row>
    <row r="150" customFormat="false" ht="15" hidden="false" customHeight="false" outlineLevel="0" collapsed="false">
      <c r="A150" s="3" t="s">
        <v>332</v>
      </c>
      <c r="B150" s="45" t="n">
        <v>0</v>
      </c>
    </row>
    <row r="151" customFormat="false" ht="15" hidden="false" customHeight="false" outlineLevel="0" collapsed="false">
      <c r="A151" s="3" t="s">
        <v>333</v>
      </c>
      <c r="B151" s="45" t="n">
        <v>1</v>
      </c>
    </row>
    <row r="152" customFormat="false" ht="15" hidden="false" customHeight="false" outlineLevel="0" collapsed="false">
      <c r="A152" s="3" t="s">
        <v>334</v>
      </c>
      <c r="B152" s="45" t="n">
        <v>2</v>
      </c>
    </row>
    <row r="153" customFormat="false" ht="15" hidden="false" customHeight="false" outlineLevel="0" collapsed="false">
      <c r="A153" s="3" t="s">
        <v>335</v>
      </c>
      <c r="B153" s="45" t="n">
        <v>0</v>
      </c>
    </row>
    <row r="154" customFormat="false" ht="15" hidden="false" customHeight="false" outlineLevel="0" collapsed="false">
      <c r="A154" s="3" t="s">
        <v>336</v>
      </c>
      <c r="B154" s="3" t="n">
        <f aca="false">Inputs!$B$13+3+3*$B$150</f>
        <v>51</v>
      </c>
    </row>
    <row r="155" customFormat="false" ht="15" hidden="false" customHeight="false" outlineLevel="0" collapsed="false">
      <c r="A155" s="3" t="s">
        <v>337</v>
      </c>
      <c r="D155" s="33" t="n">
        <f aca="false">Source_Data!D$7+IF($B$153=1,IF(Source_Data!D$6=Inputs!$B$13,Source_Data!$C$8,0),Source_Data!D$8)</f>
        <v>0</v>
      </c>
      <c r="E155" s="33" t="n">
        <f aca="false">Source_Data!E$7+IF($B$153=1,IF(Source_Data!E$6=Inputs!$B$13,Source_Data!$C$8,0),Source_Data!E$8)</f>
        <v>0</v>
      </c>
      <c r="F155" s="33" t="n">
        <f aca="false">Source_Data!F$7+IF($B$153=1,IF(Source_Data!F$6=Inputs!$B$13,Source_Data!$C$8,0),Source_Data!F$8)</f>
        <v>15.1392375</v>
      </c>
      <c r="G155" s="33" t="n">
        <f aca="false">Source_Data!G$7+IF($B$153=1,IF(Source_Data!G$6=Inputs!$B$13,Source_Data!$C$8,0),Source_Data!G$8)</f>
        <v>30.278475</v>
      </c>
      <c r="H155" s="33" t="n">
        <f aca="false">Source_Data!H$7+IF($B$153=1,IF(Source_Data!H$6=Inputs!$B$13,Source_Data!$C$8,0),Source_Data!H$8)</f>
        <v>46.51200625</v>
      </c>
      <c r="I155" s="33" t="n">
        <f aca="false">Source_Data!I$7+IF($B$153=1,IF(Source_Data!I$6=Inputs!$B$13,Source_Data!$C$8,0),Source_Data!I$8)</f>
        <v>62.7455375</v>
      </c>
      <c r="J155" s="33" t="n">
        <f aca="false">Source_Data!J$7+IF($B$153=1,IF(Source_Data!J$6=Inputs!$B$13,Source_Data!$C$8,0),Source_Data!J$8)</f>
        <v>62.3657</v>
      </c>
      <c r="K155" s="33" t="n">
        <f aca="false">Source_Data!K$7+IF($B$153=1,IF(Source_Data!K$6=Inputs!$B$13,Source_Data!$C$8,0),Source_Data!K$8)</f>
        <v>63.473559375</v>
      </c>
      <c r="L155" s="33" t="n">
        <f aca="false">Source_Data!L$7+IF($B$153=1,IF(Source_Data!L$6=Inputs!$B$13,Source_Data!$C$8,0),Source_Data!L$8)</f>
        <v>80.3288484375</v>
      </c>
      <c r="M155" s="33" t="n">
        <f aca="false">Source_Data!M$7+IF($B$153=1,IF(Source_Data!M$6=Inputs!$B$13,Source_Data!$C$8,0),Source_Data!M$8)</f>
        <v>495.2538375</v>
      </c>
      <c r="N155" s="33" t="n">
        <f aca="false">Source_Data!N$7+IF($B$153=1,IF(Source_Data!N$6=Inputs!$B$13,Source_Data!$C$8,0),Source_Data!N$8)</f>
        <v>185.57775</v>
      </c>
      <c r="O155" s="33" t="n">
        <f aca="false">Source_Data!O$7+IF($B$153=1,IF(Source_Data!O$6=Inputs!$B$13,Source_Data!$C$8,0),Source_Data!O$8)</f>
        <v>176.534</v>
      </c>
      <c r="P155" s="33" t="n">
        <f aca="false">Source_Data!P$7+IF($B$153=1,IF(Source_Data!P$6=Inputs!$B$13,Source_Data!$C$8,0),Source_Data!P$8)</f>
        <v>97.31075</v>
      </c>
      <c r="Q155" s="33" t="n">
        <f aca="false">Source_Data!Q$7+IF($B$153=1,IF(Source_Data!Q$6=Inputs!$B$13,Source_Data!$C$8,0),Source_Data!Q$8)</f>
        <v>71.30996875</v>
      </c>
      <c r="R155" s="33" t="n">
        <f aca="false">Source_Data!R$7+IF($B$153=1,IF(Source_Data!R$6=Inputs!$B$13,Source_Data!$C$8,0),Source_Data!R$8)</f>
        <v>71.30996875</v>
      </c>
      <c r="S155" s="33" t="n">
        <f aca="false">Source_Data!S$7+IF($B$153=1,IF(Source_Data!S$6=Inputs!$B$13,Source_Data!$C$8,0),Source_Data!S$8)</f>
        <v>68.037035625</v>
      </c>
      <c r="T155" s="33" t="n">
        <f aca="false">Source_Data!T$7+IF($B$153=1,IF(Source_Data!T$6=Inputs!$B$13,Source_Data!$C$8,0),Source_Data!T$8)</f>
        <v>61.2266396875</v>
      </c>
      <c r="U155" s="33" t="n">
        <f aca="false">Source_Data!U$7+IF($B$153=1,IF(Source_Data!U$6=Inputs!$B$13,Source_Data!$C$8,0),Source_Data!U$8)</f>
        <v>59.7127159375</v>
      </c>
      <c r="V155" s="33" t="n">
        <f aca="false">Source_Data!V$7+IF($B$153=1,IF(Source_Data!V$6=Inputs!$B$13,Source_Data!$C$8,0),Source_Data!V$8)</f>
        <v>53.7239446875</v>
      </c>
      <c r="W155" s="33" t="n">
        <f aca="false">Source_Data!W$7+IF($B$153=1,IF(Source_Data!W$6=Inputs!$B$13,Source_Data!$C$8,0),Source_Data!W$8)</f>
        <v>49.3829446875</v>
      </c>
      <c r="X155" s="33" t="n">
        <f aca="false">Source_Data!X$7+IF($B$153=1,IF(Source_Data!X$6=Inputs!$B$13,Source_Data!$C$8,0),Source_Data!X$8)</f>
        <v>49.3829446875</v>
      </c>
      <c r="Y155" s="33" t="n">
        <f aca="false">Source_Data!Y$7+IF($B$153=1,IF(Source_Data!Y$6=Inputs!$B$13,Source_Data!$C$8,0),Source_Data!Y$8)</f>
        <v>42.1027259375</v>
      </c>
      <c r="Z155" s="33" t="n">
        <f aca="false">Source_Data!Z$7+IF($B$153=1,IF(Source_Data!Z$6=Inputs!$B$13,Source_Data!$C$8,0),Source_Data!Z$8)</f>
        <v>42.1027259375</v>
      </c>
      <c r="AA155" s="33" t="n">
        <f aca="false">Source_Data!AA$7+IF($B$153=1,IF(Source_Data!AA$6=Inputs!$B$13,Source_Data!$C$8,0),Source_Data!AA$8)</f>
        <v>42.1027259375</v>
      </c>
      <c r="AB155" s="33" t="n">
        <f aca="false">Source_Data!AB$7+IF($B$153=1,IF(Source_Data!AB$6=Inputs!$B$13,Source_Data!$C$8,0),Source_Data!AB$8)</f>
        <v>36.3147259375</v>
      </c>
      <c r="AC155" s="33" t="n">
        <f aca="false">Source_Data!AC$7+IF($B$153=1,IF(Source_Data!AC$6=Inputs!$B$13,Source_Data!$C$8,0),Source_Data!AC$8)</f>
        <v>33.0386275</v>
      </c>
      <c r="AD155" s="33" t="n">
        <f aca="false">Source_Data!AD$7+IF($B$153=1,IF(Source_Data!AD$6=Inputs!$B$13,Source_Data!$C$8,0),Source_Data!AD$8)</f>
        <v>29.43017125</v>
      </c>
      <c r="AE155" s="33" t="n">
        <f aca="false">Source_Data!AE$7+IF($B$153=1,IF(Source_Data!AE$6=Inputs!$B$13,Source_Data!$C$8,0),Source_Data!AE$8)</f>
        <v>25.08917125</v>
      </c>
      <c r="AF155" s="33" t="n">
        <f aca="false">Source_Data!AF$7+IF($B$153=1,IF(Source_Data!AF$6=Inputs!$B$13,Source_Data!$C$8,0),Source_Data!AF$8)</f>
        <v>25.08917125</v>
      </c>
      <c r="AG155" s="33" t="n">
        <f aca="false">Source_Data!AG$7+IF($B$153=1,IF(Source_Data!AG$6=Inputs!$B$13,Source_Data!$C$8,0),Source_Data!AG$8)</f>
        <v>25.08917125</v>
      </c>
      <c r="AH155" s="33" t="n">
        <f aca="false">Source_Data!AH$7+IF($B$153=1,IF(Source_Data!AH$6=Inputs!$B$13,Source_Data!$C$8,0),Source_Data!AH$8)</f>
        <v>25.08917125</v>
      </c>
      <c r="AI155" s="33" t="n">
        <f aca="false">Source_Data!AI$7+IF($B$153=1,IF(Source_Data!AI$6=Inputs!$B$13,Source_Data!$C$8,0),Source_Data!AI$8)</f>
        <v>25.08917125</v>
      </c>
      <c r="AJ155" s="33" t="n">
        <f aca="false">Source_Data!AJ$7+IF($B$153=1,IF(Source_Data!AJ$6=Inputs!$B$13,Source_Data!$C$8,0),Source_Data!AJ$8)</f>
        <v>25.08917125</v>
      </c>
      <c r="AK155" s="33" t="n">
        <f aca="false">Source_Data!AK$7+IF($B$153=1,IF(Source_Data!AK$6=Inputs!$B$13,Source_Data!$C$8,0),Source_Data!AK$8)</f>
        <v>22.905105625</v>
      </c>
      <c r="AL155" s="33" t="n">
        <f aca="false">Source_Data!AL$7+IF($B$153=1,IF(Source_Data!AL$6=Inputs!$B$13,Source_Data!$C$8,0),Source_Data!AL$8)</f>
        <v>22.905105625</v>
      </c>
      <c r="AM155" s="33" t="n">
        <f aca="false">Source_Data!AM$7+IF($B$153=1,IF(Source_Data!AM$6=Inputs!$B$13,Source_Data!$C$8,0),Source_Data!AM$8)</f>
        <v>18.739554375</v>
      </c>
      <c r="AN155" s="33" t="n">
        <f aca="false">Source_Data!AN$7+IF($B$153=1,IF(Source_Data!AN$6=Inputs!$B$13,Source_Data!$C$8,0),Source_Data!AN$8)</f>
        <v>9.6261675</v>
      </c>
      <c r="AO155" s="33" t="n">
        <f aca="false">Source_Data!AO$7+IF($B$153=1,IF(Source_Data!AO$6=Inputs!$B$13,Source_Data!$C$8,0),Source_Data!AO$8)</f>
        <v>3.5704725</v>
      </c>
      <c r="AP155" s="33" t="n">
        <f aca="false">Source_Data!AP$7+IF($B$153=1,IF(Source_Data!AP$6=Inputs!$B$13,Source_Data!$C$8,0),Source_Data!AP$8)</f>
        <v>0</v>
      </c>
      <c r="AQ155" s="33" t="n">
        <f aca="false">Source_Data!AQ$7+IF($B$153=1,IF(Source_Data!AQ$6=Inputs!$B$13,Source_Data!$C$8,0),Source_Data!AQ$8)</f>
        <v>0</v>
      </c>
      <c r="AR155" s="33" t="n">
        <f aca="false">Source_Data!AR$7+IF($B$153=1,IF(Source_Data!AR$6=Inputs!$B$13,Source_Data!$C$8,0),Source_Data!AR$8)</f>
        <v>0</v>
      </c>
      <c r="AS155" s="33" t="n">
        <f aca="false">Source_Data!AS$7+IF($B$153=1,IF(Source_Data!AS$6=Inputs!$B$13,Source_Data!$C$8,0),Source_Data!AS$8)</f>
        <v>0</v>
      </c>
      <c r="AT155" s="33" t="n">
        <f aca="false">Source_Data!AT$7+IF($B$153=1,IF(Source_Data!AT$6=Inputs!$B$13,Source_Data!$C$8,0),Source_Data!AT$8)</f>
        <v>0</v>
      </c>
      <c r="AU155" s="33" t="n">
        <f aca="false">Source_Data!AU$7+IF($B$153=1,IF(Source_Data!AU$6=Inputs!$B$13,Source_Data!$C$8,0),Source_Data!AU$8)</f>
        <v>0</v>
      </c>
      <c r="AV155" s="33" t="n">
        <f aca="false">Source_Data!AV$7+IF($B$153=1,IF(Source_Data!AV$6=Inputs!$B$13,Source_Data!$C$8,0),Source_Data!AV$8)</f>
        <v>0</v>
      </c>
      <c r="AW155" s="33" t="n">
        <f aca="false">Source_Data!AW$7+IF($B$153=1,IF(Source_Data!AW$6=Inputs!$B$13,Source_Data!$C$8,0),Source_Data!AW$8)</f>
        <v>0</v>
      </c>
      <c r="AX155" s="33" t="n">
        <f aca="false">Source_Data!AX$7+IF($B$153=1,IF(Source_Data!AX$6=Inputs!$B$13,Source_Data!$C$8,0),Source_Data!AX$8)</f>
        <v>0</v>
      </c>
      <c r="AY155" s="33" t="n">
        <f aca="false">Source_Data!AY$7+IF($B$153=1,IF(Source_Data!AY$6=Inputs!$B$13,Source_Data!$C$8,0),Source_Data!AY$8)</f>
        <v>0</v>
      </c>
      <c r="AZ155" s="33" t="n">
        <f aca="false">Source_Data!AZ$7+IF($B$153=1,IF(Source_Data!AZ$6=Inputs!$B$13,Source_Data!$C$8,0),Source_Data!AZ$8)</f>
        <v>0</v>
      </c>
      <c r="BA155" s="33" t="n">
        <f aca="false">Source_Data!BA$7+IF($B$153=1,IF(Source_Data!BA$6=Inputs!$B$13,Source_Data!$C$8,0),Source_Data!BA$8)</f>
        <v>0</v>
      </c>
      <c r="BB155" s="33" t="n">
        <f aca="false">Source_Data!BB$7+IF($B$153=1,IF(Source_Data!BB$6=Inputs!$B$13,Source_Data!$C$8,0),Source_Data!BB$8)</f>
        <v>0</v>
      </c>
      <c r="BC155" s="33" t="n">
        <f aca="false">Source_Data!BC$7+IF($B$153=1,IF(Source_Data!BC$6=Inputs!$B$13,Source_Data!$C$8,0),Source_Data!BC$8)</f>
        <v>0</v>
      </c>
      <c r="BD155" s="33" t="n">
        <f aca="false">Source_Data!BD$7+IF($B$153=1,IF(Source_Data!BD$6=Inputs!$B$13,Source_Data!$C$8,0),Source_Data!BD$8)</f>
        <v>0</v>
      </c>
      <c r="BE155" s="33" t="n">
        <f aca="false">Source_Data!BE$7+IF($B$153=1,IF(Source_Data!BE$6=Inputs!$B$13,Source_Data!$C$8,0),Source_Data!BE$8)</f>
        <v>0</v>
      </c>
      <c r="BF155" s="33" t="n">
        <f aca="false">Source_Data!BF$7+IF($B$153=1,IF(Source_Data!BF$6=Inputs!$B$13,Source_Data!$C$8,0),Source_Data!BF$8)</f>
        <v>0</v>
      </c>
      <c r="BG155" s="33" t="n">
        <f aca="false">Source_Data!BG$7+IF($B$153=1,IF(Source_Data!BG$6=Inputs!$B$13,Source_Data!$C$8,0),Source_Data!BG$8)</f>
        <v>0</v>
      </c>
      <c r="BH155" s="33" t="n">
        <f aca="false">Source_Data!BH$7+IF($B$153=1,IF(Source_Data!BH$6=Inputs!$B$13,Source_Data!$C$8,0),Source_Data!BH$8)</f>
        <v>0</v>
      </c>
      <c r="BI155" s="33" t="n">
        <f aca="false">Source_Data!BI$7+IF($B$153=1,IF(Source_Data!BI$6=Inputs!$B$13,Source_Data!$C$8,0),Source_Data!BI$8)</f>
        <v>0</v>
      </c>
      <c r="BJ155" s="33" t="n">
        <f aca="false">Source_Data!BJ$7+IF($B$153=1,IF(Source_Data!BJ$6=Inputs!$B$13,Source_Data!$C$8,0),Source_Data!BJ$8)</f>
        <v>0</v>
      </c>
      <c r="BK155" s="33" t="n">
        <f aca="false">Source_Data!BK$7+IF($B$153=1,IF(Source_Data!BK$6=Inputs!$B$13,Source_Data!$C$8,0),Source_Data!BK$8)</f>
        <v>0</v>
      </c>
    </row>
    <row r="156" customFormat="false" ht="15" hidden="false" customHeight="false" outlineLevel="0" collapsed="false">
      <c r="A156" s="3" t="s">
        <v>338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15.1392375</v>
      </c>
      <c r="I156" s="33" t="n">
        <f aca="false">$B$149*IF(Source_Data!I$5-($B$150+$B$152)&gt;=1,INDEX($D$155:$BK$155,1,Source_Data!I$5-($B$150+$B$152)),0)</f>
        <v>30.278475</v>
      </c>
      <c r="J156" s="33" t="n">
        <f aca="false">$B$149*IF(Source_Data!J$5-($B$150+$B$152)&gt;=1,INDEX($D$155:$BK$155,1,Source_Data!J$5-($B$150+$B$152)),0)</f>
        <v>46.51200625</v>
      </c>
      <c r="K156" s="33" t="n">
        <f aca="false">$B$149*IF(Source_Data!K$5-($B$150+$B$152)&gt;=1,INDEX($D$155:$BK$155,1,Source_Data!K$5-($B$150+$B$152)),0)</f>
        <v>62.7455375</v>
      </c>
      <c r="L156" s="33" t="n">
        <f aca="false">$B$149*IF(Source_Data!L$5-($B$150+$B$152)&gt;=1,INDEX($D$155:$BK$155,1,Source_Data!L$5-($B$150+$B$152)),0)</f>
        <v>62.3657</v>
      </c>
      <c r="M156" s="33" t="n">
        <f aca="false">$B$149*IF(Source_Data!M$5-($B$150+$B$152)&gt;=1,INDEX($D$155:$BK$155,1,Source_Data!M$5-($B$150+$B$152)),0)</f>
        <v>63.473559375</v>
      </c>
      <c r="N156" s="33" t="n">
        <f aca="false">$B$149*IF(Source_Data!N$5-($B$150+$B$152)&gt;=1,INDEX($D$155:$BK$155,1,Source_Data!N$5-($B$150+$B$152)),0)</f>
        <v>80.3288484375</v>
      </c>
      <c r="O156" s="33" t="n">
        <f aca="false">$B$149*IF(Source_Data!O$5-($B$150+$B$152)&gt;=1,INDEX($D$155:$BK$155,1,Source_Data!O$5-($B$150+$B$152)),0)</f>
        <v>495.2538375</v>
      </c>
      <c r="P156" s="33" t="n">
        <f aca="false">$B$149*IF(Source_Data!P$5-($B$150+$B$152)&gt;=1,INDEX($D$155:$BK$155,1,Source_Data!P$5-($B$150+$B$152)),0)</f>
        <v>185.57775</v>
      </c>
      <c r="Q156" s="33" t="n">
        <f aca="false">$B$149*IF(Source_Data!Q$5-($B$150+$B$152)&gt;=1,INDEX($D$155:$BK$155,1,Source_Data!Q$5-($B$150+$B$152)),0)</f>
        <v>176.534</v>
      </c>
      <c r="R156" s="33" t="n">
        <f aca="false">$B$149*IF(Source_Data!R$5-($B$150+$B$152)&gt;=1,INDEX($D$155:$BK$155,1,Source_Data!R$5-($B$150+$B$152)),0)</f>
        <v>97.31075</v>
      </c>
      <c r="S156" s="33" t="n">
        <f aca="false">$B$149*IF(Source_Data!S$5-($B$150+$B$152)&gt;=1,INDEX($D$155:$BK$155,1,Source_Data!S$5-($B$150+$B$152)),0)</f>
        <v>71.30996875</v>
      </c>
      <c r="T156" s="33" t="n">
        <f aca="false">$B$149*IF(Source_Data!T$5-($B$150+$B$152)&gt;=1,INDEX($D$155:$BK$155,1,Source_Data!T$5-($B$150+$B$152)),0)</f>
        <v>71.30996875</v>
      </c>
      <c r="U156" s="33" t="n">
        <f aca="false">$B$149*IF(Source_Data!U$5-($B$150+$B$152)&gt;=1,INDEX($D$155:$BK$155,1,Source_Data!U$5-($B$150+$B$152)),0)</f>
        <v>68.037035625</v>
      </c>
      <c r="V156" s="33" t="n">
        <f aca="false">$B$149*IF(Source_Data!V$5-($B$150+$B$152)&gt;=1,INDEX($D$155:$BK$155,1,Source_Data!V$5-($B$150+$B$152)),0)</f>
        <v>61.2266396875</v>
      </c>
      <c r="W156" s="33" t="n">
        <f aca="false">$B$149*IF(Source_Data!W$5-($B$150+$B$152)&gt;=1,INDEX($D$155:$BK$155,1,Source_Data!W$5-($B$150+$B$152)),0)</f>
        <v>59.7127159375</v>
      </c>
      <c r="X156" s="33" t="n">
        <f aca="false">$B$149*IF(Source_Data!X$5-($B$150+$B$152)&gt;=1,INDEX($D$155:$BK$155,1,Source_Data!X$5-($B$150+$B$152)),0)</f>
        <v>53.7239446875</v>
      </c>
      <c r="Y156" s="33" t="n">
        <f aca="false">$B$149*IF(Source_Data!Y$5-($B$150+$B$152)&gt;=1,INDEX($D$155:$BK$155,1,Source_Data!Y$5-($B$150+$B$152)),0)</f>
        <v>49.3829446875</v>
      </c>
      <c r="Z156" s="33" t="n">
        <f aca="false">$B$149*IF(Source_Data!Z$5-($B$150+$B$152)&gt;=1,INDEX($D$155:$BK$155,1,Source_Data!Z$5-($B$150+$B$152)),0)</f>
        <v>49.3829446875</v>
      </c>
      <c r="AA156" s="33" t="n">
        <f aca="false">$B$149*IF(Source_Data!AA$5-($B$150+$B$152)&gt;=1,INDEX($D$155:$BK$155,1,Source_Data!AA$5-($B$150+$B$152)),0)</f>
        <v>42.1027259375</v>
      </c>
      <c r="AB156" s="33" t="n">
        <f aca="false">$B$149*IF(Source_Data!AB$5-($B$150+$B$152)&gt;=1,INDEX($D$155:$BK$155,1,Source_Data!AB$5-($B$150+$B$152)),0)</f>
        <v>42.1027259375</v>
      </c>
      <c r="AC156" s="33" t="n">
        <f aca="false">$B$149*IF(Source_Data!AC$5-($B$150+$B$152)&gt;=1,INDEX($D$155:$BK$155,1,Source_Data!AC$5-($B$150+$B$152)),0)</f>
        <v>42.1027259375</v>
      </c>
      <c r="AD156" s="33" t="n">
        <f aca="false">$B$149*IF(Source_Data!AD$5-($B$150+$B$152)&gt;=1,INDEX($D$155:$BK$155,1,Source_Data!AD$5-($B$150+$B$152)),0)</f>
        <v>36.3147259375</v>
      </c>
      <c r="AE156" s="33" t="n">
        <f aca="false">$B$149*IF(Source_Data!AE$5-($B$150+$B$152)&gt;=1,INDEX($D$155:$BK$155,1,Source_Data!AE$5-($B$150+$B$152)),0)</f>
        <v>33.0386275</v>
      </c>
      <c r="AF156" s="33" t="n">
        <f aca="false">$B$149*IF(Source_Data!AF$5-($B$150+$B$152)&gt;=1,INDEX($D$155:$BK$155,1,Source_Data!AF$5-($B$150+$B$152)),0)</f>
        <v>29.43017125</v>
      </c>
      <c r="AG156" s="33" t="n">
        <f aca="false">$B$149*IF(Source_Data!AG$5-($B$150+$B$152)&gt;=1,INDEX($D$155:$BK$155,1,Source_Data!AG$5-($B$150+$B$152)),0)</f>
        <v>25.08917125</v>
      </c>
      <c r="AH156" s="33" t="n">
        <f aca="false">$B$149*IF(Source_Data!AH$5-($B$150+$B$152)&gt;=1,INDEX($D$155:$BK$155,1,Source_Data!AH$5-($B$150+$B$152)),0)</f>
        <v>25.08917125</v>
      </c>
      <c r="AI156" s="33" t="n">
        <f aca="false">$B$149*IF(Source_Data!AI$5-($B$150+$B$152)&gt;=1,INDEX($D$155:$BK$155,1,Source_Data!AI$5-($B$150+$B$152)),0)</f>
        <v>25.08917125</v>
      </c>
      <c r="AJ156" s="33" t="n">
        <f aca="false">$B$149*IF(Source_Data!AJ$5-($B$150+$B$152)&gt;=1,INDEX($D$155:$BK$155,1,Source_Data!AJ$5-($B$150+$B$152)),0)</f>
        <v>25.08917125</v>
      </c>
      <c r="AK156" s="33" t="n">
        <f aca="false">$B$149*IF(Source_Data!AK$5-($B$150+$B$152)&gt;=1,INDEX($D$155:$BK$155,1,Source_Data!AK$5-($B$150+$B$152)),0)</f>
        <v>25.08917125</v>
      </c>
      <c r="AL156" s="33" t="n">
        <f aca="false">$B$149*IF(Source_Data!AL$5-($B$150+$B$152)&gt;=1,INDEX($D$155:$BK$155,1,Source_Data!AL$5-($B$150+$B$152)),0)</f>
        <v>25.08917125</v>
      </c>
      <c r="AM156" s="33" t="n">
        <f aca="false">$B$149*IF(Source_Data!AM$5-($B$150+$B$152)&gt;=1,INDEX($D$155:$BK$155,1,Source_Data!AM$5-($B$150+$B$152)),0)</f>
        <v>22.905105625</v>
      </c>
      <c r="AN156" s="33" t="n">
        <f aca="false">$B$149*IF(Source_Data!AN$5-($B$150+$B$152)&gt;=1,INDEX($D$155:$BK$155,1,Source_Data!AN$5-($B$150+$B$152)),0)</f>
        <v>22.905105625</v>
      </c>
      <c r="AO156" s="33" t="n">
        <f aca="false">$B$149*IF(Source_Data!AO$5-($B$150+$B$152)&gt;=1,INDEX($D$155:$BK$155,1,Source_Data!AO$5-($B$150+$B$152)),0)</f>
        <v>18.739554375</v>
      </c>
      <c r="AP156" s="33" t="n">
        <f aca="false">$B$149*IF(Source_Data!AP$5-($B$150+$B$152)&gt;=1,INDEX($D$155:$BK$155,1,Source_Data!AP$5-($B$150+$B$152)),0)</f>
        <v>9.6261675</v>
      </c>
      <c r="AQ156" s="33" t="n">
        <f aca="false">$B$149*IF(Source_Data!AQ$5-($B$150+$B$152)&gt;=1,INDEX($D$155:$BK$155,1,Source_Data!AQ$5-($B$150+$B$152)),0)</f>
        <v>3.5704725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339</v>
      </c>
      <c r="D157" s="33" t="n">
        <f aca="false">Source_Data!D$9+Source_Data!D$10*IF(Source_Data!$C$10=0,0,MAX(0,Inputs!$B$19*Inputs!$B$22*$B$149-Inputs!$B$20)/Source_Data!$C$10)</f>
        <v>91.25</v>
      </c>
      <c r="E157" s="33" t="n">
        <f aca="false">Source_Data!E$9+Source_Data!E$10*IF(Source_Data!$C$10=0,0,MAX(0,Inputs!$B$19*Inputs!$B$22*$B$149-Inputs!$B$20)/Source_Data!$C$10)</f>
        <v>11.25</v>
      </c>
      <c r="F157" s="33" t="n">
        <f aca="false">Source_Data!F$9+Source_Data!F$10*IF(Source_Data!$C$10=0,0,MAX(0,Inputs!$B$19*Inputs!$B$22*$B$149-Inputs!$B$20)/Source_Data!$C$10)</f>
        <v>11.25</v>
      </c>
      <c r="G157" s="33" t="n">
        <f aca="false">Source_Data!G$9+Source_Data!G$10*IF(Source_Data!$C$10=0,0,MAX(0,Inputs!$B$19*Inputs!$B$22*$B$149-Inputs!$B$20)/Source_Data!$C$10)</f>
        <v>11.25</v>
      </c>
      <c r="H157" s="33" t="n">
        <f aca="false">Source_Data!H$9+Source_Data!H$10*IF(Source_Data!$C$10=0,0,MAX(0,Inputs!$B$19*Inputs!$B$22*$B$149-Inputs!$B$20)/Source_Data!$C$10)</f>
        <v>22.5</v>
      </c>
      <c r="I157" s="33" t="n">
        <f aca="false">Source_Data!I$9+Source_Data!I$10*IF(Source_Data!$C$10=0,0,MAX(0,Inputs!$B$19*Inputs!$B$22*$B$149-Inputs!$B$20)/Source_Data!$C$10)</f>
        <v>22.5</v>
      </c>
      <c r="J157" s="33" t="n">
        <f aca="false">Source_Data!J$9+Source_Data!J$10*IF(Source_Data!$C$10=0,0,MAX(0,Inputs!$B$19*Inputs!$B$22*$B$149-Inputs!$B$20)/Source_Data!$C$10)</f>
        <v>22.5</v>
      </c>
      <c r="K157" s="33" t="n">
        <f aca="false">Source_Data!K$9+Source_Data!K$10*IF(Source_Data!$C$10=0,0,MAX(0,Inputs!$B$19*Inputs!$B$22*$B$149-Inputs!$B$20)/Source_Data!$C$10)</f>
        <v>22.5</v>
      </c>
      <c r="L157" s="33" t="n">
        <f aca="false">Source_Data!L$9+Source_Data!L$10*IF(Source_Data!$C$10=0,0,MAX(0,Inputs!$B$19*Inputs!$B$22*$B$149-Inputs!$B$20)/Source_Data!$C$10)</f>
        <v>33.75</v>
      </c>
      <c r="M157" s="33" t="n">
        <f aca="false">Source_Data!M$9+Source_Data!M$10*IF(Source_Data!$C$10=0,0,MAX(0,Inputs!$B$19*Inputs!$B$22*$B$149-Inputs!$B$20)/Source_Data!$C$10)</f>
        <v>33.75</v>
      </c>
      <c r="N157" s="33" t="n">
        <f aca="false">Source_Data!N$9+Source_Data!N$10*IF(Source_Data!$C$10=0,0,MAX(0,Inputs!$B$19*Inputs!$B$22*$B$149-Inputs!$B$20)/Source_Data!$C$10)</f>
        <v>33.75</v>
      </c>
      <c r="O157" s="33" t="n">
        <f aca="false">Source_Data!O$9+Source_Data!O$10*IF(Source_Data!$C$10=0,0,MAX(0,Inputs!$B$19*Inputs!$B$22*$B$149-Inputs!$B$20)/Source_Data!$C$10)</f>
        <v>33.75</v>
      </c>
      <c r="P157" s="33" t="n">
        <f aca="false">Source_Data!P$9+Source_Data!P$10*IF(Source_Data!$C$10=0,0,MAX(0,Inputs!$B$19*Inputs!$B$22*$B$149-Inputs!$B$20)/Source_Data!$C$10)</f>
        <v>45</v>
      </c>
      <c r="Q157" s="33" t="n">
        <f aca="false">Source_Data!Q$9+Source_Data!Q$10*IF(Source_Data!$C$10=0,0,MAX(0,Inputs!$B$19*Inputs!$B$22*$B$149-Inputs!$B$20)/Source_Data!$C$10)</f>
        <v>45</v>
      </c>
      <c r="R157" s="33" t="n">
        <f aca="false">Source_Data!R$9+Source_Data!R$10*IF(Source_Data!$C$10=0,0,MAX(0,Inputs!$B$19*Inputs!$B$22*$B$149-Inputs!$B$20)/Source_Data!$C$10)</f>
        <v>45</v>
      </c>
      <c r="S157" s="33" t="n">
        <f aca="false">Source_Data!S$9+Source_Data!S$10*IF(Source_Data!$C$10=0,0,MAX(0,Inputs!$B$19*Inputs!$B$22*$B$149-Inputs!$B$20)/Source_Data!$C$10)</f>
        <v>45</v>
      </c>
      <c r="T157" s="33" t="n">
        <f aca="false">Source_Data!T$9+Source_Data!T$10*IF(Source_Data!$C$10=0,0,MAX(0,Inputs!$B$19*Inputs!$B$22*$B$149-Inputs!$B$20)/Source_Data!$C$10)</f>
        <v>45</v>
      </c>
      <c r="U157" s="33" t="n">
        <f aca="false">Source_Data!U$9+Source_Data!U$10*IF(Source_Data!$C$10=0,0,MAX(0,Inputs!$B$19*Inputs!$B$22*$B$149-Inputs!$B$20)/Source_Data!$C$10)</f>
        <v>45</v>
      </c>
      <c r="V157" s="33" t="n">
        <f aca="false">Source_Data!V$9+Source_Data!V$10*IF(Source_Data!$C$10=0,0,MAX(0,Inputs!$B$19*Inputs!$B$22*$B$149-Inputs!$B$20)/Source_Data!$C$10)</f>
        <v>45</v>
      </c>
      <c r="W157" s="33" t="n">
        <f aca="false">Source_Data!W$9+Source_Data!W$10*IF(Source_Data!$C$10=0,0,MAX(0,Inputs!$B$19*Inputs!$B$22*$B$149-Inputs!$B$20)/Source_Data!$C$10)</f>
        <v>45</v>
      </c>
      <c r="X157" s="33" t="n">
        <f aca="false">Source_Data!X$9+Source_Data!X$10*IF(Source_Data!$C$10=0,0,MAX(0,Inputs!$B$19*Inputs!$B$22*$B$149-Inputs!$B$20)/Source_Data!$C$10)</f>
        <v>22.5</v>
      </c>
      <c r="Y157" s="33" t="n">
        <f aca="false">Source_Data!Y$9+Source_Data!Y$10*IF(Source_Data!$C$10=0,0,MAX(0,Inputs!$B$19*Inputs!$B$22*$B$149-Inputs!$B$20)/Source_Data!$C$10)</f>
        <v>22.5</v>
      </c>
      <c r="Z157" s="33" t="n">
        <f aca="false">Source_Data!Z$9+Source_Data!Z$10*IF(Source_Data!$C$10=0,0,MAX(0,Inputs!$B$19*Inputs!$B$22*$B$149-Inputs!$B$20)/Source_Data!$C$10)</f>
        <v>22.5</v>
      </c>
      <c r="AA157" s="33" t="n">
        <f aca="false">Source_Data!AA$9+Source_Data!AA$10*IF(Source_Data!$C$10=0,0,MAX(0,Inputs!$B$19*Inputs!$B$22*$B$149-Inputs!$B$20)/Source_Data!$C$10)</f>
        <v>22.5</v>
      </c>
      <c r="AB157" s="33" t="n">
        <f aca="false">Source_Data!AB$9+Source_Data!AB$10*IF(Source_Data!$C$10=0,0,MAX(0,Inputs!$B$19*Inputs!$B$22*$B$149-Inputs!$B$20)/Source_Data!$C$10)</f>
        <v>0</v>
      </c>
      <c r="AC157" s="33" t="n">
        <f aca="false">Source_Data!AC$9+Source_Data!AC$10*IF(Source_Data!$C$10=0,0,MAX(0,Inputs!$B$19*Inputs!$B$22*$B$149-Inputs!$B$20)/Source_Data!$C$10)</f>
        <v>0</v>
      </c>
      <c r="AD157" s="33" t="n">
        <f aca="false">Source_Data!AD$9+Source_Data!AD$10*IF(Source_Data!$C$10=0,0,MAX(0,Inputs!$B$19*Inputs!$B$22*$B$149-Inputs!$B$20)/Source_Data!$C$10)</f>
        <v>0</v>
      </c>
      <c r="AE157" s="33" t="n">
        <f aca="false">Source_Data!AE$9+Source_Data!AE$10*IF(Source_Data!$C$10=0,0,MAX(0,Inputs!$B$19*Inputs!$B$22*$B$149-Inputs!$B$20)/Source_Data!$C$10)</f>
        <v>0</v>
      </c>
      <c r="AF157" s="33" t="n">
        <f aca="false">Source_Data!AF$9+Source_Data!AF$10*IF(Source_Data!$C$10=0,0,MAX(0,Inputs!$B$19*Inputs!$B$22*$B$149-Inputs!$B$20)/Source_Data!$C$10)</f>
        <v>107.758210351563</v>
      </c>
      <c r="AG157" s="33" t="n">
        <f aca="false">Source_Data!AG$9+Source_Data!AG$10*IF(Source_Data!$C$10=0,0,MAX(0,Inputs!$B$19*Inputs!$B$22*$B$149-Inputs!$B$20)/Source_Data!$C$10)</f>
        <v>10.976512421875</v>
      </c>
      <c r="AH157" s="33" t="n">
        <f aca="false">Source_Data!AH$9+Source_Data!AH$10*IF(Source_Data!$C$10=0,0,MAX(0,Inputs!$B$19*Inputs!$B$22*$B$149-Inputs!$B$20)/Source_Data!$C$10)</f>
        <v>10.976512421875</v>
      </c>
      <c r="AI157" s="33" t="n">
        <f aca="false">Source_Data!AI$9+Source_Data!AI$10*IF(Source_Data!$C$10=0,0,MAX(0,Inputs!$B$19*Inputs!$B$22*$B$149-Inputs!$B$20)/Source_Data!$C$10)</f>
        <v>10.976512421875</v>
      </c>
      <c r="AJ157" s="33" t="n">
        <f aca="false">Source_Data!AJ$9+Source_Data!AJ$10*IF(Source_Data!$C$10=0,0,MAX(0,Inputs!$B$19*Inputs!$B$22*$B$149-Inputs!$B$20)/Source_Data!$C$10)</f>
        <v>10.976512421875</v>
      </c>
      <c r="AK157" s="33" t="n">
        <f aca="false">Source_Data!AK$9+Source_Data!AK$10*IF(Source_Data!$C$10=0,0,MAX(0,Inputs!$B$19*Inputs!$B$22*$B$149-Inputs!$B$20)/Source_Data!$C$10)</f>
        <v>10.0209837109375</v>
      </c>
      <c r="AL157" s="33" t="n">
        <f aca="false">Source_Data!AL$9+Source_Data!AL$10*IF(Source_Data!$C$10=0,0,MAX(0,Inputs!$B$19*Inputs!$B$22*$B$149-Inputs!$B$20)/Source_Data!$C$10)</f>
        <v>10.0209837109375</v>
      </c>
      <c r="AM157" s="33" t="n">
        <f aca="false">Source_Data!AM$9+Source_Data!AM$10*IF(Source_Data!$C$10=0,0,MAX(0,Inputs!$B$19*Inputs!$B$22*$B$149-Inputs!$B$20)/Source_Data!$C$10)</f>
        <v>8.19855503906249</v>
      </c>
      <c r="AN157" s="33" t="n">
        <f aca="false">Source_Data!AN$9+Source_Data!AN$10*IF(Source_Data!$C$10=0,0,MAX(0,Inputs!$B$19*Inputs!$B$22*$B$149-Inputs!$B$20)/Source_Data!$C$10)</f>
        <v>4.21144828125</v>
      </c>
      <c r="AO157" s="33" t="n">
        <f aca="false">Source_Data!AO$9+Source_Data!AO$10*IF(Source_Data!$C$10=0,0,MAX(0,Inputs!$B$19*Inputs!$B$22*$B$149-Inputs!$B$20)/Source_Data!$C$10)</f>
        <v>1.56208171875</v>
      </c>
      <c r="AP157" s="33" t="n">
        <f aca="false">Source_Data!AP$9+Source_Data!AP$10*IF(Source_Data!$C$10=0,0,MAX(0,Inputs!$B$19*Inputs!$B$22*$B$149-Inputs!$B$20)/Source_Data!$C$10)</f>
        <v>0</v>
      </c>
      <c r="AQ157" s="33" t="n">
        <f aca="false">Source_Data!AQ$9+Source_Data!AQ$10*IF(Source_Data!$C$10=0,0,MAX(0,Inputs!$B$19*Inputs!$B$22*$B$149-Inputs!$B$20)/Source_Data!$C$10)</f>
        <v>0</v>
      </c>
      <c r="AR157" s="33" t="n">
        <f aca="false">Source_Data!AR$9+Source_Data!AR$10*IF(Source_Data!$C$10=0,0,MAX(0,Inputs!$B$19*Inputs!$B$22*$B$149-Inputs!$B$20)/Source_Data!$C$10)</f>
        <v>0</v>
      </c>
      <c r="AS157" s="33" t="n">
        <f aca="false">Source_Data!AS$9+Source_Data!AS$10*IF(Source_Data!$C$10=0,0,MAX(0,Inputs!$B$19*Inputs!$B$22*$B$149-Inputs!$B$20)/Source_Data!$C$10)</f>
        <v>0</v>
      </c>
      <c r="AT157" s="33" t="n">
        <f aca="false">Source_Data!AT$9+Source_Data!AT$10*IF(Source_Data!$C$10=0,0,MAX(0,Inputs!$B$19*Inputs!$B$22*$B$149-Inputs!$B$20)/Source_Data!$C$10)</f>
        <v>0</v>
      </c>
      <c r="AU157" s="33" t="n">
        <f aca="false">Source_Data!AU$9+Source_Data!AU$10*IF(Source_Data!$C$10=0,0,MAX(0,Inputs!$B$19*Inputs!$B$22*$B$149-Inputs!$B$20)/Source_Data!$C$10)</f>
        <v>0</v>
      </c>
      <c r="AV157" s="33" t="n">
        <f aca="false">Source_Data!AV$9+Source_Data!AV$10*IF(Source_Data!$C$10=0,0,MAX(0,Inputs!$B$19*Inputs!$B$22*$B$149-Inputs!$B$20)/Source_Data!$C$10)</f>
        <v>0</v>
      </c>
      <c r="AW157" s="33" t="n">
        <f aca="false">Source_Data!AW$9+Source_Data!AW$10*IF(Source_Data!$C$10=0,0,MAX(0,Inputs!$B$19*Inputs!$B$22*$B$149-Inputs!$B$20)/Source_Data!$C$10)</f>
        <v>0</v>
      </c>
      <c r="AX157" s="33" t="n">
        <f aca="false">Source_Data!AX$9+Source_Data!AX$10*IF(Source_Data!$C$10=0,0,MAX(0,Inputs!$B$19*Inputs!$B$22*$B$149-Inputs!$B$20)/Source_Data!$C$10)</f>
        <v>0</v>
      </c>
      <c r="AY157" s="33" t="n">
        <f aca="false">Source_Data!AY$9+Source_Data!AY$10*IF(Source_Data!$C$10=0,0,MAX(0,Inputs!$B$19*Inputs!$B$22*$B$149-Inputs!$B$20)/Source_Data!$C$10)</f>
        <v>0</v>
      </c>
      <c r="AZ157" s="33" t="n">
        <f aca="false">Source_Data!AZ$9+Source_Data!AZ$10*IF(Source_Data!$C$10=0,0,MAX(0,Inputs!$B$19*Inputs!$B$22*$B$149-Inputs!$B$20)/Source_Data!$C$10)</f>
        <v>0</v>
      </c>
      <c r="BA157" s="33" t="n">
        <f aca="false">Source_Data!BA$9+Source_Data!BA$10*IF(Source_Data!$C$10=0,0,MAX(0,Inputs!$B$19*Inputs!$B$22*$B$149-Inputs!$B$20)/Source_Data!$C$10)</f>
        <v>0</v>
      </c>
      <c r="BB157" s="33" t="n">
        <f aca="false">Source_Data!BB$9+Source_Data!BB$10*IF(Source_Data!$C$10=0,0,MAX(0,Inputs!$B$19*Inputs!$B$22*$B$149-Inputs!$B$20)/Source_Data!$C$10)</f>
        <v>0</v>
      </c>
      <c r="BC157" s="33" t="n">
        <f aca="false">Source_Data!BC$9+Source_Data!BC$10*IF(Source_Data!$C$10=0,0,MAX(0,Inputs!$B$19*Inputs!$B$22*$B$149-Inputs!$B$20)/Source_Data!$C$10)</f>
        <v>0</v>
      </c>
      <c r="BD157" s="33" t="n">
        <f aca="false">Source_Data!BD$9+Source_Data!BD$10*IF(Source_Data!$C$10=0,0,MAX(0,Inputs!$B$19*Inputs!$B$22*$B$149-Inputs!$B$20)/Source_Data!$C$10)</f>
        <v>0</v>
      </c>
      <c r="BE157" s="33" t="n">
        <f aca="false">Source_Data!BE$9+Source_Data!BE$10*IF(Source_Data!$C$10=0,0,MAX(0,Inputs!$B$19*Inputs!$B$22*$B$149-Inputs!$B$20)/Source_Data!$C$10)</f>
        <v>0</v>
      </c>
      <c r="BF157" s="33" t="n">
        <f aca="false">Source_Data!BF$9+Source_Data!BF$10*IF(Source_Data!$C$10=0,0,MAX(0,Inputs!$B$19*Inputs!$B$22*$B$149-Inputs!$B$20)/Source_Data!$C$10)</f>
        <v>0</v>
      </c>
      <c r="BG157" s="33" t="n">
        <f aca="false">Source_Data!BG$9+Source_Data!BG$10*IF(Source_Data!$C$10=0,0,MAX(0,Inputs!$B$19*Inputs!$B$22*$B$149-Inputs!$B$20)/Source_Data!$C$10)</f>
        <v>0</v>
      </c>
      <c r="BH157" s="33" t="n">
        <f aca="false">Source_Data!BH$9+Source_Data!BH$10*IF(Source_Data!$C$10=0,0,MAX(0,Inputs!$B$19*Inputs!$B$22*$B$149-Inputs!$B$20)/Source_Data!$C$10)</f>
        <v>0</v>
      </c>
      <c r="BI157" s="33" t="n">
        <f aca="false">Source_Data!BI$9+Source_Data!BI$10*IF(Source_Data!$C$10=0,0,MAX(0,Inputs!$B$19*Inputs!$B$22*$B$149-Inputs!$B$20)/Source_Data!$C$10)</f>
        <v>0</v>
      </c>
      <c r="BJ157" s="33" t="n">
        <f aca="false">Source_Data!BJ$9+Source_Data!BJ$10*IF(Source_Data!$C$10=0,0,MAX(0,Inputs!$B$19*Inputs!$B$22*$B$149-Inputs!$B$20)/Source_Data!$C$10)</f>
        <v>0</v>
      </c>
      <c r="BK157" s="33" t="n">
        <f aca="false">Source_Data!BK$9+Source_Data!BK$10*IF(Source_Data!$C$10=0,0,MAX(0,Inputs!$B$19*Inputs!$B$22*$B$149-Inputs!$B$20)/Source_Data!$C$10)</f>
        <v>0</v>
      </c>
    </row>
    <row r="158" customFormat="false" ht="15" hidden="false" customHeight="false" outlineLevel="0" collapsed="false">
      <c r="A158" s="3" t="s">
        <v>194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20</v>
      </c>
      <c r="I158" s="33" t="n">
        <f aca="false">Source_Data!I$11*$B$151</f>
        <v>26.4</v>
      </c>
      <c r="J158" s="33" t="n">
        <f aca="false">Source_Data!J$11*$B$151</f>
        <v>40</v>
      </c>
      <c r="K158" s="33" t="n">
        <f aca="false">Source_Data!K$11*$B$151</f>
        <v>26.4</v>
      </c>
      <c r="L158" s="33" t="n">
        <f aca="false">Source_Data!L$11*$B$151</f>
        <v>26.4</v>
      </c>
      <c r="M158" s="33" t="n">
        <f aca="false">Source_Data!M$11*$B$151</f>
        <v>26.4</v>
      </c>
      <c r="N158" s="33" t="n">
        <f aca="false">Source_Data!N$11*$B$151</f>
        <v>5.28</v>
      </c>
      <c r="O158" s="33" t="n">
        <f aca="false">Source_Data!O$11*$B$151</f>
        <v>5.28</v>
      </c>
      <c r="P158" s="33" t="n">
        <f aca="false">Source_Data!P$11*$B$151</f>
        <v>120</v>
      </c>
      <c r="Q158" s="33" t="n">
        <f aca="false">Source_Data!Q$11*$B$151</f>
        <v>120</v>
      </c>
      <c r="R158" s="33" t="n">
        <f aca="false">Source_Data!R$11*$B$151</f>
        <v>164</v>
      </c>
      <c r="S158" s="33" t="n">
        <f aca="false">Source_Data!S$11*$B$151</f>
        <v>117</v>
      </c>
      <c r="T158" s="33" t="n">
        <f aca="false">Source_Data!T$11*$B$151</f>
        <v>0</v>
      </c>
      <c r="U158" s="33" t="n">
        <f aca="false">Source_Data!U$11*$B$151</f>
        <v>0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196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12.11139</v>
      </c>
      <c r="K159" s="33" t="n">
        <f aca="false">$B$149*IF(Source_Data!K$5-$B$150&gt;=1,INDEX(Source_Data!$D$12:$BK$12,1,Source_Data!K$5-$B$150),0)</f>
        <v>12.11139</v>
      </c>
      <c r="L159" s="33" t="n">
        <f aca="false">$B$149*IF(Source_Data!L$5-$B$150&gt;=1,INDEX(Source_Data!$D$12:$BK$12,1,Source_Data!L$5-$B$150),0)</f>
        <v>9.52126</v>
      </c>
      <c r="M159" s="33" t="n">
        <f aca="false">$B$149*IF(Source_Data!M$5-$B$150&gt;=1,INDEX(Source_Data!$D$12:$BK$12,1,Source_Data!M$5-$B$150),0)</f>
        <v>9.52126</v>
      </c>
      <c r="N159" s="33" t="n">
        <f aca="false">$B$149*IF(Source_Data!N$5-$B$150&gt;=1,INDEX(Source_Data!$D$12:$BK$12,1,Source_Data!N$5-$B$150),0)</f>
        <v>6.98901</v>
      </c>
      <c r="O159" s="33" t="n">
        <f aca="false">$B$149*IF(Source_Data!O$5-$B$150&gt;=1,INDEX(Source_Data!$D$12:$BK$12,1,Source_Data!O$5-$B$150),0)</f>
        <v>6.98901</v>
      </c>
      <c r="P159" s="33" t="n">
        <f aca="false">$B$149*IF(Source_Data!P$5-$B$150&gt;=1,INDEX(Source_Data!$D$12:$BK$12,1,Source_Data!P$5-$B$150),0)</f>
        <v>7.69804</v>
      </c>
      <c r="Q159" s="33" t="n">
        <f aca="false">$B$149*IF(Source_Data!Q$5-$B$150&gt;=1,INDEX(Source_Data!$D$12:$BK$12,1,Source_Data!Q$5-$B$150),0)</f>
        <v>9.2608</v>
      </c>
      <c r="R159" s="33" t="n">
        <f aca="false">$B$149*IF(Source_Data!R$5-$B$150&gt;=1,INDEX(Source_Data!$D$12:$BK$12,1,Source_Data!R$5-$B$150),0)</f>
        <v>9.2608</v>
      </c>
      <c r="S159" s="33" t="n">
        <f aca="false">$B$149*IF(Source_Data!S$5-$B$150&gt;=1,INDEX(Source_Data!$D$12:$BK$12,1,Source_Data!S$5-$B$150),0)</f>
        <v>6.6562</v>
      </c>
      <c r="T159" s="33" t="n">
        <f aca="false">$B$149*IF(Source_Data!T$5-$B$150&gt;=1,INDEX(Source_Data!$D$12:$BK$12,1,Source_Data!T$5-$B$150),0)</f>
        <v>0</v>
      </c>
      <c r="U159" s="33" t="n">
        <f aca="false">$B$149*IF(Source_Data!U$5-$B$150&gt;=1,INDEX(Source_Data!$D$12:$BK$12,1,Source_Data!U$5-$B$150),0)</f>
        <v>0</v>
      </c>
      <c r="V159" s="33" t="n">
        <f aca="false">$B$149*IF(Source_Data!V$5-$B$150&gt;=1,INDEX(Source_Data!$D$12:$BK$12,1,Source_Data!V$5-$B$150),0)</f>
        <v>0</v>
      </c>
      <c r="W159" s="33" t="n">
        <f aca="false">$B$149*IF(Source_Data!W$5-$B$150&gt;=1,INDEX(Source_Data!$D$12:$BK$12,1,Source_Data!W$5-$B$150),0)</f>
        <v>0</v>
      </c>
      <c r="X159" s="33" t="n">
        <f aca="false">$B$149*IF(Source_Data!X$5-$B$150&gt;=1,INDEX(Source_Data!$D$12:$BK$12,1,Source_Data!X$5-$B$150),0)</f>
        <v>0</v>
      </c>
      <c r="Y159" s="33" t="n">
        <f aca="false">$B$149*IF(Source_Data!Y$5-$B$150&gt;=1,INDEX(Source_Data!$D$12:$BK$12,1,Source_Data!Y$5-$B$150),0)</f>
        <v>0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215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3</v>
      </c>
      <c r="I160" s="33" t="n">
        <f aca="false">Source_Data!I$13*$B$151</f>
        <v>3.96</v>
      </c>
      <c r="J160" s="33" t="n">
        <f aca="false">Source_Data!J$13*$B$151</f>
        <v>6</v>
      </c>
      <c r="K160" s="33" t="n">
        <f aca="false">Source_Data!K$13*$B$151</f>
        <v>3.96</v>
      </c>
      <c r="L160" s="33" t="n">
        <f aca="false">Source_Data!L$13*$B$151</f>
        <v>3.96</v>
      </c>
      <c r="M160" s="33" t="n">
        <f aca="false">Source_Data!M$13*$B$151</f>
        <v>3.96</v>
      </c>
      <c r="N160" s="33" t="n">
        <f aca="false">Source_Data!N$13*$B$151</f>
        <v>0.792</v>
      </c>
      <c r="O160" s="33" t="n">
        <f aca="false">Source_Data!O$13*$B$151</f>
        <v>0.792</v>
      </c>
      <c r="P160" s="33" t="n">
        <f aca="false">Source_Data!P$13*$B$151</f>
        <v>18</v>
      </c>
      <c r="Q160" s="33" t="n">
        <f aca="false">Source_Data!Q$13*$B$151</f>
        <v>18</v>
      </c>
      <c r="R160" s="33" t="n">
        <f aca="false">Source_Data!R$13*$B$151</f>
        <v>24.6</v>
      </c>
      <c r="S160" s="33" t="n">
        <f aca="false">Source_Data!S$13*$B$151</f>
        <v>17.55</v>
      </c>
      <c r="T160" s="33" t="n">
        <f aca="false">Source_Data!T$13*$B$151</f>
        <v>0</v>
      </c>
      <c r="U160" s="33" t="n">
        <f aca="false">Source_Data!U$13*$B$151</f>
        <v>0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216</v>
      </c>
      <c r="D161" s="33" t="n">
        <f aca="false">D156-D157-D158-D159-D160</f>
        <v>-91.25</v>
      </c>
      <c r="E161" s="33" t="n">
        <f aca="false">E156-E157-E158-E159-E160</f>
        <v>-11.25</v>
      </c>
      <c r="F161" s="33" t="n">
        <f aca="false">F156-F157-F158-F159-F160</f>
        <v>-11.25</v>
      </c>
      <c r="G161" s="33" t="n">
        <f aca="false">G156-G157-G158-G159-G160</f>
        <v>-11.25</v>
      </c>
      <c r="H161" s="33" t="n">
        <f aca="false">H156-H157-H158-H159-H160</f>
        <v>-30.3607625</v>
      </c>
      <c r="I161" s="33" t="n">
        <f aca="false">I156-I157-I158-I159-I160</f>
        <v>-22.581525</v>
      </c>
      <c r="J161" s="33" t="n">
        <f aca="false">J156-J157-J158-J159-J160</f>
        <v>-34.09938375</v>
      </c>
      <c r="K161" s="33" t="n">
        <f aca="false">K156-K157-K158-K159-K160</f>
        <v>-2.2258525</v>
      </c>
      <c r="L161" s="33" t="n">
        <f aca="false">L156-L157-L158-L159-L160</f>
        <v>-11.26556</v>
      </c>
      <c r="M161" s="33" t="n">
        <f aca="false">M156-M157-M158-M159-M160</f>
        <v>-10.157700625</v>
      </c>
      <c r="N161" s="33" t="n">
        <f aca="false">N156-N157-N158-N159-N160</f>
        <v>33.5178384375</v>
      </c>
      <c r="O161" s="33" t="n">
        <f aca="false">O156-O157-O158-O159-O160</f>
        <v>448.4428275</v>
      </c>
      <c r="P161" s="33" t="n">
        <f aca="false">P156-P157-P158-P159-P160</f>
        <v>-5.12028999999999</v>
      </c>
      <c r="Q161" s="33" t="n">
        <f aca="false">Q156-Q157-Q158-Q159-Q160</f>
        <v>-15.7268</v>
      </c>
      <c r="R161" s="33" t="n">
        <f aca="false">R156-R157-R158-R159-R160</f>
        <v>-145.55005</v>
      </c>
      <c r="S161" s="33" t="n">
        <f aca="false">S156-S157-S158-S159-S160</f>
        <v>-114.89623125</v>
      </c>
      <c r="T161" s="33" t="n">
        <f aca="false">T156-T157-T158-T159-T160</f>
        <v>26.30996875</v>
      </c>
      <c r="U161" s="33" t="n">
        <f aca="false">U156-U157-U158-U159-U160</f>
        <v>23.037035625</v>
      </c>
      <c r="V161" s="33" t="n">
        <f aca="false">V156-V157-V158-V159-V160</f>
        <v>16.2266396875</v>
      </c>
      <c r="W161" s="33" t="n">
        <f aca="false">W156-W157-W158-W159-W160</f>
        <v>14.7127159375</v>
      </c>
      <c r="X161" s="33" t="n">
        <f aca="false">X156-X157-X158-X159-X160</f>
        <v>31.2239446875</v>
      </c>
      <c r="Y161" s="33" t="n">
        <f aca="false">Y156-Y157-Y158-Y159-Y160</f>
        <v>26.8829446875</v>
      </c>
      <c r="Z161" s="33" t="n">
        <f aca="false">Z156-Z157-Z158-Z159-Z160</f>
        <v>26.8829446875</v>
      </c>
      <c r="AA161" s="33" t="n">
        <f aca="false">AA156-AA157-AA158-AA159-AA160</f>
        <v>19.6027259375</v>
      </c>
      <c r="AB161" s="33" t="n">
        <f aca="false">AB156-AB157-AB158-AB159-AB160</f>
        <v>42.1027259375</v>
      </c>
      <c r="AC161" s="33" t="n">
        <f aca="false">AC156-AC157-AC158-AC159-AC160</f>
        <v>42.1027259375</v>
      </c>
      <c r="AD161" s="33" t="n">
        <f aca="false">AD156-AD157-AD158-AD159-AD160</f>
        <v>36.3147259375</v>
      </c>
      <c r="AE161" s="33" t="n">
        <f aca="false">AE156-AE157-AE158-AE159-AE160</f>
        <v>33.0386275</v>
      </c>
      <c r="AF161" s="33" t="n">
        <f aca="false">AF156-AF157-AF158-AF159-AF160</f>
        <v>-78.3280391015625</v>
      </c>
      <c r="AG161" s="33" t="n">
        <f aca="false">AG156-AG157-AG158-AG159-AG160</f>
        <v>14.112658828125</v>
      </c>
      <c r="AH161" s="33" t="n">
        <f aca="false">AH156-AH157-AH158-AH159-AH160</f>
        <v>14.112658828125</v>
      </c>
      <c r="AI161" s="33" t="n">
        <f aca="false">AI156-AI157-AI158-AI159-AI160</f>
        <v>14.112658828125</v>
      </c>
      <c r="AJ161" s="33" t="n">
        <f aca="false">AJ156-AJ157-AJ158-AJ159-AJ160</f>
        <v>14.112658828125</v>
      </c>
      <c r="AK161" s="33" t="n">
        <f aca="false">AK156-AK157-AK158-AK159-AK160</f>
        <v>15.0681875390625</v>
      </c>
      <c r="AL161" s="33" t="n">
        <f aca="false">AL156-AL157-AL158-AL159-AL160</f>
        <v>15.0681875390625</v>
      </c>
      <c r="AM161" s="33" t="n">
        <f aca="false">AM156-AM157-AM158-AM159-AM160</f>
        <v>14.7065505859375</v>
      </c>
      <c r="AN161" s="33" t="n">
        <f aca="false">AN156-AN157-AN158-AN159-AN160</f>
        <v>18.69365734375</v>
      </c>
      <c r="AO161" s="33" t="n">
        <f aca="false">AO156-AO157-AO158-AO159-AO160</f>
        <v>17.17747265625</v>
      </c>
      <c r="AP161" s="33" t="n">
        <f aca="false">AP156-AP157-AP158-AP159-AP160</f>
        <v>9.6261675</v>
      </c>
      <c r="AQ161" s="33" t="n">
        <f aca="false">AQ156-AQ157-AQ158-AQ159-AQ160</f>
        <v>3.5704725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217</v>
      </c>
      <c r="D162" s="33" t="n">
        <f aca="false">D161</f>
        <v>-91.25</v>
      </c>
      <c r="E162" s="33" t="n">
        <f aca="false">D162+E161</f>
        <v>-102.5</v>
      </c>
      <c r="F162" s="33" t="n">
        <f aca="false">E162+F161</f>
        <v>-113.75</v>
      </c>
      <c r="G162" s="33" t="n">
        <f aca="false">F162+G161</f>
        <v>-125</v>
      </c>
      <c r="H162" s="33" t="n">
        <f aca="false">G162+H161</f>
        <v>-155.3607625</v>
      </c>
      <c r="I162" s="33" t="n">
        <f aca="false">H162+I161</f>
        <v>-177.9422875</v>
      </c>
      <c r="J162" s="33" t="n">
        <f aca="false">I162+J161</f>
        <v>-212.04167125</v>
      </c>
      <c r="K162" s="33" t="n">
        <f aca="false">J162+K161</f>
        <v>-214.26752375</v>
      </c>
      <c r="L162" s="33" t="n">
        <f aca="false">K162+L161</f>
        <v>-225.53308375</v>
      </c>
      <c r="M162" s="33" t="n">
        <f aca="false">L162+M161</f>
        <v>-235.690784375</v>
      </c>
      <c r="N162" s="33" t="n">
        <f aca="false">M162+N161</f>
        <v>-202.1729459375</v>
      </c>
      <c r="O162" s="33" t="n">
        <f aca="false">N162+O161</f>
        <v>246.2698815625</v>
      </c>
      <c r="P162" s="33" t="n">
        <f aca="false">O162+P161</f>
        <v>241.1495915625</v>
      </c>
      <c r="Q162" s="33" t="n">
        <f aca="false">P162+Q161</f>
        <v>225.4227915625</v>
      </c>
      <c r="R162" s="33" t="n">
        <f aca="false">Q162+R161</f>
        <v>79.8727415625001</v>
      </c>
      <c r="S162" s="33" t="n">
        <f aca="false">R162+S161</f>
        <v>-35.0234896874999</v>
      </c>
      <c r="T162" s="33" t="n">
        <f aca="false">S162+T161</f>
        <v>-8.71352093749991</v>
      </c>
      <c r="U162" s="33" t="n">
        <f aca="false">T162+U161</f>
        <v>14.3235146875001</v>
      </c>
      <c r="V162" s="33" t="n">
        <f aca="false">U162+V161</f>
        <v>30.5501543750001</v>
      </c>
      <c r="W162" s="33" t="n">
        <f aca="false">V162+W161</f>
        <v>45.2628703125001</v>
      </c>
      <c r="X162" s="33" t="n">
        <f aca="false">W162+X161</f>
        <v>76.4868150000001</v>
      </c>
      <c r="Y162" s="33" t="n">
        <f aca="false">X162+Y161</f>
        <v>103.3697596875</v>
      </c>
      <c r="Z162" s="33" t="n">
        <f aca="false">Y162+Z161</f>
        <v>130.252704375</v>
      </c>
      <c r="AA162" s="33" t="n">
        <f aca="false">Z162+AA161</f>
        <v>149.8554303125</v>
      </c>
      <c r="AB162" s="33" t="n">
        <f aca="false">AA162+AB161</f>
        <v>191.95815625</v>
      </c>
      <c r="AC162" s="33" t="n">
        <f aca="false">AB162+AC161</f>
        <v>234.0608821875</v>
      </c>
      <c r="AD162" s="33" t="n">
        <f aca="false">AC162+AD161</f>
        <v>270.375608125</v>
      </c>
      <c r="AE162" s="33" t="n">
        <f aca="false">AD162+AE161</f>
        <v>303.414235625</v>
      </c>
      <c r="AF162" s="33" t="n">
        <f aca="false">AE162+AF161</f>
        <v>225.086196523438</v>
      </c>
      <c r="AG162" s="33" t="n">
        <f aca="false">AF162+AG161</f>
        <v>239.198855351563</v>
      </c>
      <c r="AH162" s="33" t="n">
        <f aca="false">AG162+AH161</f>
        <v>253.311514179688</v>
      </c>
      <c r="AI162" s="33" t="n">
        <f aca="false">AH162+AI161</f>
        <v>267.424173007813</v>
      </c>
      <c r="AJ162" s="33" t="n">
        <f aca="false">AI162+AJ161</f>
        <v>281.536831835938</v>
      </c>
      <c r="AK162" s="33" t="n">
        <f aca="false">AJ162+AK161</f>
        <v>296.605019375</v>
      </c>
      <c r="AL162" s="33" t="n">
        <f aca="false">AK162+AL161</f>
        <v>311.673206914063</v>
      </c>
      <c r="AM162" s="33" t="n">
        <f aca="false">AL162+AM161</f>
        <v>326.3797575</v>
      </c>
      <c r="AN162" s="33" t="n">
        <f aca="false">AM162+AN161</f>
        <v>345.07341484375</v>
      </c>
      <c r="AO162" s="33" t="n">
        <f aca="false">AN162+AO161</f>
        <v>362.2508875</v>
      </c>
      <c r="AP162" s="33" t="n">
        <f aca="false">AO162+AP161</f>
        <v>371.877055</v>
      </c>
      <c r="AQ162" s="33" t="n">
        <f aca="false">AP162+AQ161</f>
        <v>375.4475275</v>
      </c>
      <c r="AR162" s="33" t="n">
        <f aca="false">AQ162+AR161</f>
        <v>375.4475275</v>
      </c>
      <c r="AS162" s="33" t="n">
        <f aca="false">AR162+AS161</f>
        <v>375.4475275</v>
      </c>
      <c r="AT162" s="33" t="n">
        <f aca="false">AS162+AT161</f>
        <v>375.4475275</v>
      </c>
      <c r="AU162" s="33" t="n">
        <f aca="false">AT162+AU161</f>
        <v>375.4475275</v>
      </c>
      <c r="AV162" s="33" t="n">
        <f aca="false">AU162+AV161</f>
        <v>375.4475275</v>
      </c>
      <c r="AW162" s="33" t="n">
        <f aca="false">AV162+AW161</f>
        <v>375.4475275</v>
      </c>
      <c r="AX162" s="33" t="n">
        <f aca="false">AW162+AX161</f>
        <v>375.4475275</v>
      </c>
      <c r="AY162" s="33" t="n">
        <f aca="false">AX162+AY161</f>
        <v>375.4475275</v>
      </c>
      <c r="AZ162" s="33" t="n">
        <f aca="false">AY162+AZ161</f>
        <v>375.4475275</v>
      </c>
      <c r="BA162" s="33" t="n">
        <f aca="false">AZ162+BA161</f>
        <v>375.4475275</v>
      </c>
      <c r="BB162" s="33" t="n">
        <f aca="false">BA162+BB161</f>
        <v>375.4475275</v>
      </c>
      <c r="BC162" s="33" t="n">
        <f aca="false">BB162+BC161</f>
        <v>375.4475275</v>
      </c>
      <c r="BD162" s="33" t="n">
        <f aca="false">BC162+BD161</f>
        <v>375.4475275</v>
      </c>
      <c r="BE162" s="33" t="n">
        <f aca="false">BD162+BE161</f>
        <v>375.4475275</v>
      </c>
      <c r="BF162" s="33" t="n">
        <f aca="false">BE162+BF161</f>
        <v>375.4475275</v>
      </c>
      <c r="BG162" s="33" t="n">
        <f aca="false">BF162+BG161</f>
        <v>375.4475275</v>
      </c>
      <c r="BH162" s="33" t="n">
        <f aca="false">BG162+BH161</f>
        <v>375.4475275</v>
      </c>
      <c r="BI162" s="33" t="n">
        <f aca="false">BH162+BI161</f>
        <v>375.4475275</v>
      </c>
      <c r="BJ162" s="33" t="n">
        <f aca="false">BI162+BJ161</f>
        <v>375.4475275</v>
      </c>
      <c r="BK162" s="33" t="n">
        <f aca="false">BJ162+BK161</f>
        <v>375.4475275</v>
      </c>
    </row>
    <row r="163" customFormat="false" ht="15" hidden="false" customHeight="false" outlineLevel="0" collapsed="false">
      <c r="A163" s="3" t="s">
        <v>340</v>
      </c>
      <c r="D163" s="33" t="n">
        <f aca="false">IF(Source_Data!D$6=Inputs!$B$12,-Inputs!$B$7,0)+IF(AND(Source_Data!D$6&gt;=$B$154,Source_Data!D$6&lt;$B$154+3*Inputs!$B$16,MOD(Source_Data!D$6-$B$154,3)=0),Inputs!$B$8*Inputs!$B$7*Inputs!$B$34*$B$149*(1-Inputs!$B$15)/Inputs!$B$16,0)</f>
        <v>-100</v>
      </c>
      <c r="E163" s="33" t="n">
        <f aca="false">IF(Source_Data!E$6=Inputs!$B$12,-Inputs!$B$7,0)+IF(AND(Source_Data!E$6&gt;=$B$154,Source_Data!E$6&lt;$B$154+3*Inputs!$B$16,MOD(Source_Data!E$6-$B$154,3)=0),Inputs!$B$8*Inputs!$B$7*Inputs!$B$34*$B$149*(1-Inputs!$B$15)/Inputs!$B$16,0)</f>
        <v>0</v>
      </c>
      <c r="F163" s="33" t="n">
        <f aca="false">IF(Source_Data!F$6=Inputs!$B$12,-Inputs!$B$7,0)+IF(AND(Source_Data!F$6&gt;=$B$154,Source_Data!F$6&lt;$B$154+3*Inputs!$B$16,MOD(Source_Data!F$6-$B$154,3)=0),Inputs!$B$8*Inputs!$B$7*Inputs!$B$34*$B$149*(1-Inputs!$B$15)/Inputs!$B$16,0)</f>
        <v>0</v>
      </c>
      <c r="G163" s="33" t="n">
        <f aca="false">IF(Source_Data!G$6=Inputs!$B$12,-Inputs!$B$7,0)+IF(AND(Source_Data!G$6&gt;=$B$154,Source_Data!G$6&lt;$B$154+3*Inputs!$B$16,MOD(Source_Data!G$6-$B$154,3)=0),Inputs!$B$8*Inputs!$B$7*Inputs!$B$34*$B$149*(1-Inputs!$B$15)/Inputs!$B$16,0)</f>
        <v>0</v>
      </c>
      <c r="H163" s="33" t="n">
        <f aca="false">IF(Source_Data!H$6=Inputs!$B$12,-Inputs!$B$7,0)+IF(AND(Source_Data!H$6&gt;=$B$154,Source_Data!H$6&lt;$B$154+3*Inputs!$B$16,MOD(Source_Data!H$6-$B$154,3)=0),Inputs!$B$8*Inputs!$B$7*Inputs!$B$34*$B$149*(1-Inputs!$B$15)/Inputs!$B$16,0)</f>
        <v>0</v>
      </c>
      <c r="I163" s="33" t="n">
        <f aca="false">IF(Source_Data!I$6=Inputs!$B$12,-Inputs!$B$7,0)+IF(AND(Source_Data!I$6&gt;=$B$154,Source_Data!I$6&lt;$B$154+3*Inputs!$B$16,MOD(Source_Data!I$6-$B$154,3)=0),Inputs!$B$8*Inputs!$B$7*Inputs!$B$34*$B$149*(1-Inputs!$B$15)/Inputs!$B$16,0)</f>
        <v>0</v>
      </c>
      <c r="J163" s="33" t="n">
        <f aca="false">IF(Source_Data!J$6=Inputs!$B$12,-Inputs!$B$7,0)+IF(AND(Source_Data!J$6&gt;=$B$154,Source_Data!J$6&lt;$B$154+3*Inputs!$B$16,MOD(Source_Data!J$6-$B$154,3)=0),Inputs!$B$8*Inputs!$B$7*Inputs!$B$34*$B$149*(1-Inputs!$B$15)/Inputs!$B$16,0)</f>
        <v>0</v>
      </c>
      <c r="K163" s="33" t="n">
        <f aca="false">IF(Source_Data!K$6=Inputs!$B$12,-Inputs!$B$7,0)+IF(AND(Source_Data!K$6&gt;=$B$154,Source_Data!K$6&lt;$B$154+3*Inputs!$B$16,MOD(Source_Data!K$6-$B$154,3)=0),Inputs!$B$8*Inputs!$B$7*Inputs!$B$34*$B$149*(1-Inputs!$B$15)/Inputs!$B$16,0)</f>
        <v>0</v>
      </c>
      <c r="L163" s="33" t="n">
        <f aca="false">IF(Source_Data!L$6=Inputs!$B$12,-Inputs!$B$7,0)+IF(AND(Source_Data!L$6&gt;=$B$154,Source_Data!L$6&lt;$B$154+3*Inputs!$B$16,MOD(Source_Data!L$6-$B$154,3)=0),Inputs!$B$8*Inputs!$B$7*Inputs!$B$34*$B$149*(1-Inputs!$B$15)/Inputs!$B$16,0)</f>
        <v>0</v>
      </c>
      <c r="M163" s="33" t="n">
        <f aca="false">IF(Source_Data!M$6=Inputs!$B$12,-Inputs!$B$7,0)+IF(AND(Source_Data!M$6&gt;=$B$154,Source_Data!M$6&lt;$B$154+3*Inputs!$B$16,MOD(Source_Data!M$6-$B$154,3)=0),Inputs!$B$8*Inputs!$B$7*Inputs!$B$34*$B$149*(1-Inputs!$B$15)/Inputs!$B$16,0)</f>
        <v>0</v>
      </c>
      <c r="N163" s="33" t="n">
        <f aca="false">IF(Source_Data!N$6=Inputs!$B$12,-Inputs!$B$7,0)+IF(AND(Source_Data!N$6&gt;=$B$154,Source_Data!N$6&lt;$B$154+3*Inputs!$B$16,MOD(Source_Data!N$6-$B$154,3)=0),Inputs!$B$8*Inputs!$B$7*Inputs!$B$34*$B$149*(1-Inputs!$B$15)/Inputs!$B$16,0)</f>
        <v>0</v>
      </c>
      <c r="O163" s="33" t="n">
        <f aca="false">IF(Source_Data!O$6=Inputs!$B$12,-Inputs!$B$7,0)+IF(AND(Source_Data!O$6&gt;=$B$154,Source_Data!O$6&lt;$B$154+3*Inputs!$B$16,MOD(Source_Data!O$6-$B$154,3)=0),Inputs!$B$8*Inputs!$B$7*Inputs!$B$34*$B$149*(1-Inputs!$B$15)/Inputs!$B$16,0)</f>
        <v>0</v>
      </c>
      <c r="P163" s="33" t="n">
        <f aca="false">IF(Source_Data!P$6=Inputs!$B$12,-Inputs!$B$7,0)+IF(AND(Source_Data!P$6&gt;=$B$154,Source_Data!P$6&lt;$B$154+3*Inputs!$B$16,MOD(Source_Data!P$6-$B$154,3)=0),Inputs!$B$8*Inputs!$B$7*Inputs!$B$34*$B$149*(1-Inputs!$B$15)/Inputs!$B$16,0)</f>
        <v>0</v>
      </c>
      <c r="Q163" s="33" t="n">
        <f aca="false">IF(Source_Data!Q$6=Inputs!$B$12,-Inputs!$B$7,0)+IF(AND(Source_Data!Q$6&gt;=$B$154,Source_Data!Q$6&lt;$B$154+3*Inputs!$B$16,MOD(Source_Data!Q$6-$B$154,3)=0),Inputs!$B$8*Inputs!$B$7*Inputs!$B$34*$B$149*(1-Inputs!$B$15)/Inputs!$B$16,0)</f>
        <v>0</v>
      </c>
      <c r="R163" s="33" t="n">
        <f aca="false">IF(Source_Data!R$6=Inputs!$B$12,-Inputs!$B$7,0)+IF(AND(Source_Data!R$6&gt;=$B$154,Source_Data!R$6&lt;$B$154+3*Inputs!$B$16,MOD(Source_Data!R$6-$B$154,3)=0),Inputs!$B$8*Inputs!$B$7*Inputs!$B$34*$B$149*(1-Inputs!$B$15)/Inputs!$B$16,0)</f>
        <v>0</v>
      </c>
      <c r="S163" s="33" t="n">
        <f aca="false">IF(Source_Data!S$6=Inputs!$B$12,-Inputs!$B$7,0)+IF(AND(Source_Data!S$6&gt;=$B$154,Source_Data!S$6&lt;$B$154+3*Inputs!$B$16,MOD(Source_Data!S$6-$B$154,3)=0),Inputs!$B$8*Inputs!$B$7*Inputs!$B$34*$B$149*(1-Inputs!$B$15)/Inputs!$B$16,0)</f>
        <v>0</v>
      </c>
      <c r="T163" s="33" t="n">
        <f aca="false">IF(Source_Data!T$6=Inputs!$B$12,-Inputs!$B$7,0)+IF(AND(Source_Data!T$6&gt;=$B$154,Source_Data!T$6&lt;$B$154+3*Inputs!$B$16,MOD(Source_Data!T$6-$B$154,3)=0),Inputs!$B$8*Inputs!$B$7*Inputs!$B$34*$B$149*(1-Inputs!$B$15)/Inputs!$B$16,0)</f>
        <v>69.5340501792115</v>
      </c>
      <c r="U163" s="33" t="n">
        <f aca="false">IF(Source_Data!U$6=Inputs!$B$12,-Inputs!$B$7,0)+IF(AND(Source_Data!U$6&gt;=$B$154,Source_Data!U$6&lt;$B$154+3*Inputs!$B$16,MOD(Source_Data!U$6-$B$154,3)=0),Inputs!$B$8*Inputs!$B$7*Inputs!$B$34*$B$149*(1-Inputs!$B$15)/Inputs!$B$16,0)</f>
        <v>69.5340501792115</v>
      </c>
      <c r="V163" s="33" t="n">
        <f aca="false">IF(Source_Data!V$6=Inputs!$B$12,-Inputs!$B$7,0)+IF(AND(Source_Data!V$6&gt;=$B$154,Source_Data!V$6&lt;$B$154+3*Inputs!$B$16,MOD(Source_Data!V$6-$B$154,3)=0),Inputs!$B$8*Inputs!$B$7*Inputs!$B$34*$B$149*(1-Inputs!$B$15)/Inputs!$B$16,0)</f>
        <v>69.5340501792115</v>
      </c>
      <c r="W163" s="33" t="n">
        <f aca="false">IF(Source_Data!W$6=Inputs!$B$12,-Inputs!$B$7,0)+IF(AND(Source_Data!W$6&gt;=$B$154,Source_Data!W$6&lt;$B$154+3*Inputs!$B$16,MOD(Source_Data!W$6-$B$154,3)=0),Inputs!$B$8*Inputs!$B$7*Inputs!$B$34*$B$149*(1-Inputs!$B$15)/Inputs!$B$16,0)</f>
        <v>69.5340501792115</v>
      </c>
      <c r="X163" s="33" t="n">
        <f aca="false">IF(Source_Data!X$6=Inputs!$B$12,-Inputs!$B$7,0)+IF(AND(Source_Data!X$6&gt;=$B$154,Source_Data!X$6&lt;$B$154+3*Inputs!$B$16,MOD(Source_Data!X$6-$B$154,3)=0),Inputs!$B$8*Inputs!$B$7*Inputs!$B$34*$B$149*(1-Inputs!$B$15)/Inputs!$B$16,0)</f>
        <v>0</v>
      </c>
      <c r="Y163" s="33" t="n">
        <f aca="false">IF(Source_Data!Y$6=Inputs!$B$12,-Inputs!$B$7,0)+IF(AND(Source_Data!Y$6&gt;=$B$154,Source_Data!Y$6&lt;$B$154+3*Inputs!$B$16,MOD(Source_Data!Y$6-$B$154,3)=0),Inputs!$B$8*Inputs!$B$7*Inputs!$B$34*$B$149*(1-Inputs!$B$15)/Inputs!$B$16,0)</f>
        <v>0</v>
      </c>
      <c r="Z163" s="33" t="n">
        <f aca="false">IF(Source_Data!Z$6=Inputs!$B$12,-Inputs!$B$7,0)+IF(AND(Source_Data!Z$6&gt;=$B$154,Source_Data!Z$6&lt;$B$154+3*Inputs!$B$16,MOD(Source_Data!Z$6-$B$154,3)=0),Inputs!$B$8*Inputs!$B$7*Inputs!$B$34*$B$149*(1-Inputs!$B$15)/Inputs!$B$16,0)</f>
        <v>0</v>
      </c>
      <c r="AA163" s="33" t="n">
        <f aca="false">IF(Source_Data!AA$6=Inputs!$B$12,-Inputs!$B$7,0)+IF(AND(Source_Data!AA$6&gt;=$B$154,Source_Data!AA$6&lt;$B$154+3*Inputs!$B$16,MOD(Source_Data!AA$6-$B$154,3)=0),Inputs!$B$8*Inputs!$B$7*Inputs!$B$34*$B$149*(1-Inputs!$B$15)/Inputs!$B$16,0)</f>
        <v>0</v>
      </c>
      <c r="AB163" s="33" t="n">
        <f aca="false">IF(Source_Data!AB$6=Inputs!$B$12,-Inputs!$B$7,0)+IF(AND(Source_Data!AB$6&gt;=$B$154,Source_Data!AB$6&lt;$B$154+3*Inputs!$B$16,MOD(Source_Data!AB$6-$B$154,3)=0),Inputs!$B$8*Inputs!$B$7*Inputs!$B$34*$B$149*(1-Inputs!$B$15)/Inputs!$B$16,0)</f>
        <v>0</v>
      </c>
      <c r="AC163" s="33" t="n">
        <f aca="false">IF(Source_Data!AC$6=Inputs!$B$12,-Inputs!$B$7,0)+IF(AND(Source_Data!AC$6&gt;=$B$154,Source_Data!AC$6&lt;$B$154+3*Inputs!$B$16,MOD(Source_Data!AC$6-$B$154,3)=0),Inputs!$B$8*Inputs!$B$7*Inputs!$B$34*$B$149*(1-Inputs!$B$15)/Inputs!$B$16,0)</f>
        <v>0</v>
      </c>
      <c r="AD163" s="33" t="n">
        <f aca="false">IF(Source_Data!AD$6=Inputs!$B$12,-Inputs!$B$7,0)+IF(AND(Source_Data!AD$6&gt;=$B$154,Source_Data!AD$6&lt;$B$154+3*Inputs!$B$16,MOD(Source_Data!AD$6-$B$154,3)=0),Inputs!$B$8*Inputs!$B$7*Inputs!$B$34*$B$149*(1-Inputs!$B$15)/Inputs!$B$16,0)</f>
        <v>0</v>
      </c>
      <c r="AE163" s="33" t="n">
        <f aca="false">IF(Source_Data!AE$6=Inputs!$B$12,-Inputs!$B$7,0)+IF(AND(Source_Data!AE$6&gt;=$B$154,Source_Data!AE$6&lt;$B$154+3*Inputs!$B$16,MOD(Source_Data!AE$6-$B$154,3)=0),Inputs!$B$8*Inputs!$B$7*Inputs!$B$34*$B$149*(1-Inputs!$B$15)/Inputs!$B$16,0)</f>
        <v>0</v>
      </c>
      <c r="AF163" s="33" t="n">
        <f aca="false">IF(Source_Data!AF$6=Inputs!$B$12,-Inputs!$B$7,0)+IF(AND(Source_Data!AF$6&gt;=$B$154,Source_Data!AF$6&lt;$B$154+3*Inputs!$B$16,MOD(Source_Data!AF$6-$B$154,3)=0),Inputs!$B$8*Inputs!$B$7*Inputs!$B$34*$B$149*(1-Inputs!$B$15)/Inputs!$B$16,0)</f>
        <v>0</v>
      </c>
      <c r="AG163" s="33" t="n">
        <f aca="false">IF(Source_Data!AG$6=Inputs!$B$12,-Inputs!$B$7,0)+IF(AND(Source_Data!AG$6&gt;=$B$154,Source_Data!AG$6&lt;$B$154+3*Inputs!$B$16,MOD(Source_Data!AG$6-$B$154,3)=0),Inputs!$B$8*Inputs!$B$7*Inputs!$B$34*$B$149*(1-Inputs!$B$15)/Inputs!$B$16,0)</f>
        <v>0</v>
      </c>
      <c r="AH163" s="33" t="n">
        <f aca="false">IF(Source_Data!AH$6=Inputs!$B$12,-Inputs!$B$7,0)+IF(AND(Source_Data!AH$6&gt;=$B$154,Source_Data!AH$6&lt;$B$154+3*Inputs!$B$16,MOD(Source_Data!AH$6-$B$154,3)=0),Inputs!$B$8*Inputs!$B$7*Inputs!$B$34*$B$149*(1-Inputs!$B$15)/Inputs!$B$16,0)</f>
        <v>0</v>
      </c>
      <c r="AI163" s="33" t="n">
        <f aca="false">IF(Source_Data!AI$6=Inputs!$B$12,-Inputs!$B$7,0)+IF(AND(Source_Data!AI$6&gt;=$B$154,Source_Data!AI$6&lt;$B$154+3*Inputs!$B$16,MOD(Source_Data!AI$6-$B$154,3)=0),Inputs!$B$8*Inputs!$B$7*Inputs!$B$34*$B$149*(1-Inputs!$B$15)/Inputs!$B$16,0)</f>
        <v>0</v>
      </c>
      <c r="AJ163" s="33" t="n">
        <f aca="false">IF(Source_Data!AJ$6=Inputs!$B$12,-Inputs!$B$7,0)+IF(AND(Source_Data!AJ$6&gt;=$B$154,Source_Data!AJ$6&lt;$B$154+3*Inputs!$B$16,MOD(Source_Data!AJ$6-$B$154,3)=0),Inputs!$B$8*Inputs!$B$7*Inputs!$B$34*$B$149*(1-Inputs!$B$15)/Inputs!$B$16,0)</f>
        <v>0</v>
      </c>
      <c r="AK163" s="33" t="n">
        <f aca="false">IF(Source_Data!AK$6=Inputs!$B$12,-Inputs!$B$7,0)+IF(AND(Source_Data!AK$6&gt;=$B$154,Source_Data!AK$6&lt;$B$154+3*Inputs!$B$16,MOD(Source_Data!AK$6-$B$154,3)=0),Inputs!$B$8*Inputs!$B$7*Inputs!$B$34*$B$149*(1-Inputs!$B$15)/Inputs!$B$16,0)</f>
        <v>0</v>
      </c>
      <c r="AL163" s="33" t="n">
        <f aca="false">IF(Source_Data!AL$6=Inputs!$B$12,-Inputs!$B$7,0)+IF(AND(Source_Data!AL$6&gt;=$B$154,Source_Data!AL$6&lt;$B$154+3*Inputs!$B$16,MOD(Source_Data!AL$6-$B$154,3)=0),Inputs!$B$8*Inputs!$B$7*Inputs!$B$34*$B$149*(1-Inputs!$B$15)/Inputs!$B$16,0)</f>
        <v>0</v>
      </c>
      <c r="AM163" s="33" t="n">
        <f aca="false">IF(Source_Data!AM$6=Inputs!$B$12,-Inputs!$B$7,0)+IF(AND(Source_Data!AM$6&gt;=$B$154,Source_Data!AM$6&lt;$B$154+3*Inputs!$B$16,MOD(Source_Data!AM$6-$B$154,3)=0),Inputs!$B$8*Inputs!$B$7*Inputs!$B$34*$B$149*(1-Inputs!$B$15)/Inputs!$B$16,0)</f>
        <v>0</v>
      </c>
      <c r="AN163" s="33" t="n">
        <f aca="false">IF(Source_Data!AN$6=Inputs!$B$12,-Inputs!$B$7,0)+IF(AND(Source_Data!AN$6&gt;=$B$154,Source_Data!AN$6&lt;$B$154+3*Inputs!$B$16,MOD(Source_Data!AN$6-$B$154,3)=0),Inputs!$B$8*Inputs!$B$7*Inputs!$B$34*$B$149*(1-Inputs!$B$15)/Inputs!$B$16,0)</f>
        <v>0</v>
      </c>
      <c r="AO163" s="33" t="n">
        <f aca="false">IF(Source_Data!AO$6=Inputs!$B$12,-Inputs!$B$7,0)+IF(AND(Source_Data!AO$6&gt;=$B$154,Source_Data!AO$6&lt;$B$154+3*Inputs!$B$16,MOD(Source_Data!AO$6-$B$154,3)=0),Inputs!$B$8*Inputs!$B$7*Inputs!$B$34*$B$149*(1-Inputs!$B$15)/Inputs!$B$16,0)</f>
        <v>0</v>
      </c>
      <c r="AP163" s="33" t="n">
        <f aca="false">IF(Source_Data!AP$6=Inputs!$B$12,-Inputs!$B$7,0)+IF(AND(Source_Data!AP$6&gt;=$B$154,Source_Data!AP$6&lt;$B$154+3*Inputs!$B$16,MOD(Source_Data!AP$6-$B$154,3)=0),Inputs!$B$8*Inputs!$B$7*Inputs!$B$34*$B$149*(1-Inputs!$B$15)/Inputs!$B$16,0)</f>
        <v>0</v>
      </c>
      <c r="AQ163" s="33" t="n">
        <f aca="false">IF(Source_Data!AQ$6=Inputs!$B$12,-Inputs!$B$7,0)+IF(AND(Source_Data!AQ$6&gt;=$B$154,Source_Data!AQ$6&lt;$B$154+3*Inputs!$B$16,MOD(Source_Data!AQ$6-$B$154,3)=0),Inputs!$B$8*Inputs!$B$7*Inputs!$B$34*$B$149*(1-Inputs!$B$15)/Inputs!$B$16,0)</f>
        <v>0</v>
      </c>
      <c r="AR163" s="33" t="n">
        <f aca="false">IF(Source_Data!AR$6=Inputs!$B$12,-Inputs!$B$7,0)+IF(AND(Source_Data!AR$6&gt;=$B$154,Source_Data!AR$6&lt;$B$154+3*Inputs!$B$16,MOD(Source_Data!AR$6-$B$154,3)=0),Inputs!$B$8*Inputs!$B$7*Inputs!$B$34*$B$149*(1-Inputs!$B$15)/Inputs!$B$16,0)</f>
        <v>0</v>
      </c>
      <c r="AS163" s="33" t="n">
        <f aca="false">IF(Source_Data!AS$6=Inputs!$B$12,-Inputs!$B$7,0)+IF(AND(Source_Data!AS$6&gt;=$B$154,Source_Data!AS$6&lt;$B$154+3*Inputs!$B$16,MOD(Source_Data!AS$6-$B$154,3)=0),Inputs!$B$8*Inputs!$B$7*Inputs!$B$34*$B$149*(1-Inputs!$B$15)/Inputs!$B$16,0)</f>
        <v>0</v>
      </c>
      <c r="AT163" s="33" t="n">
        <f aca="false">IF(Source_Data!AT$6=Inputs!$B$12,-Inputs!$B$7,0)+IF(AND(Source_Data!AT$6&gt;=$B$154,Source_Data!AT$6&lt;$B$154+3*Inputs!$B$16,MOD(Source_Data!AT$6-$B$154,3)=0),Inputs!$B$8*Inputs!$B$7*Inputs!$B$34*$B$149*(1-Inputs!$B$15)/Inputs!$B$16,0)</f>
        <v>0</v>
      </c>
      <c r="AU163" s="33" t="n">
        <f aca="false">IF(Source_Data!AU$6=Inputs!$B$12,-Inputs!$B$7,0)+IF(AND(Source_Data!AU$6&gt;=$B$154,Source_Data!AU$6&lt;$B$154+3*Inputs!$B$16,MOD(Source_Data!AU$6-$B$154,3)=0),Inputs!$B$8*Inputs!$B$7*Inputs!$B$34*$B$149*(1-Inputs!$B$15)/Inputs!$B$16,0)</f>
        <v>0</v>
      </c>
      <c r="AV163" s="33" t="n">
        <f aca="false">IF(Source_Data!AV$6=Inputs!$B$12,-Inputs!$B$7,0)+IF(AND(Source_Data!AV$6&gt;=$B$154,Source_Data!AV$6&lt;$B$154+3*Inputs!$B$16,MOD(Source_Data!AV$6-$B$154,3)=0),Inputs!$B$8*Inputs!$B$7*Inputs!$B$34*$B$149*(1-Inputs!$B$15)/Inputs!$B$16,0)</f>
        <v>0</v>
      </c>
      <c r="AW163" s="33" t="n">
        <f aca="false">IF(Source_Data!AW$6=Inputs!$B$12,-Inputs!$B$7,0)+IF(AND(Source_Data!AW$6&gt;=$B$154,Source_Data!AW$6&lt;$B$154+3*Inputs!$B$16,MOD(Source_Data!AW$6-$B$154,3)=0),Inputs!$B$8*Inputs!$B$7*Inputs!$B$34*$B$149*(1-Inputs!$B$15)/Inputs!$B$16,0)</f>
        <v>0</v>
      </c>
      <c r="AX163" s="33" t="n">
        <f aca="false">IF(Source_Data!AX$6=Inputs!$B$12,-Inputs!$B$7,0)+IF(AND(Source_Data!AX$6&gt;=$B$154,Source_Data!AX$6&lt;$B$154+3*Inputs!$B$16,MOD(Source_Data!AX$6-$B$154,3)=0),Inputs!$B$8*Inputs!$B$7*Inputs!$B$34*$B$149*(1-Inputs!$B$15)/Inputs!$B$16,0)</f>
        <v>0</v>
      </c>
      <c r="AY163" s="33" t="n">
        <f aca="false">IF(Source_Data!AY$6=Inputs!$B$12,-Inputs!$B$7,0)+IF(AND(Source_Data!AY$6&gt;=$B$154,Source_Data!AY$6&lt;$B$154+3*Inputs!$B$16,MOD(Source_Data!AY$6-$B$154,3)=0),Inputs!$B$8*Inputs!$B$7*Inputs!$B$34*$B$149*(1-Inputs!$B$15)/Inputs!$B$16,0)</f>
        <v>0</v>
      </c>
      <c r="AZ163" s="33" t="n">
        <f aca="false">IF(Source_Data!AZ$6=Inputs!$B$12,-Inputs!$B$7,0)+IF(AND(Source_Data!AZ$6&gt;=$B$154,Source_Data!AZ$6&lt;$B$154+3*Inputs!$B$16,MOD(Source_Data!AZ$6-$B$154,3)=0),Inputs!$B$8*Inputs!$B$7*Inputs!$B$34*$B$149*(1-Inputs!$B$15)/Inputs!$B$16,0)</f>
        <v>0</v>
      </c>
      <c r="BA163" s="33" t="n">
        <f aca="false">IF(Source_Data!BA$6=Inputs!$B$12,-Inputs!$B$7,0)+IF(AND(Source_Data!BA$6&gt;=$B$154,Source_Data!BA$6&lt;$B$154+3*Inputs!$B$16,MOD(Source_Data!BA$6-$B$154,3)=0),Inputs!$B$8*Inputs!$B$7*Inputs!$B$34*$B$149*(1-Inputs!$B$15)/Inputs!$B$16,0)</f>
        <v>0</v>
      </c>
      <c r="BB163" s="33" t="n">
        <f aca="false">IF(Source_Data!BB$6=Inputs!$B$12,-Inputs!$B$7,0)+IF(AND(Source_Data!BB$6&gt;=$B$154,Source_Data!BB$6&lt;$B$154+3*Inputs!$B$16,MOD(Source_Data!BB$6-$B$154,3)=0),Inputs!$B$8*Inputs!$B$7*Inputs!$B$34*$B$149*(1-Inputs!$B$15)/Inputs!$B$16,0)</f>
        <v>0</v>
      </c>
      <c r="BC163" s="33" t="n">
        <f aca="false">IF(Source_Data!BC$6=Inputs!$B$12,-Inputs!$B$7,0)+IF(AND(Source_Data!BC$6&gt;=$B$154,Source_Data!BC$6&lt;$B$154+3*Inputs!$B$16,MOD(Source_Data!BC$6-$B$154,3)=0),Inputs!$B$8*Inputs!$B$7*Inputs!$B$34*$B$149*(1-Inputs!$B$15)/Inputs!$B$16,0)</f>
        <v>0</v>
      </c>
      <c r="BD163" s="33" t="n">
        <f aca="false">IF(Source_Data!BD$6=Inputs!$B$12,-Inputs!$B$7,0)+IF(AND(Source_Data!BD$6&gt;=$B$154,Source_Data!BD$6&lt;$B$154+3*Inputs!$B$16,MOD(Source_Data!BD$6-$B$154,3)=0),Inputs!$B$8*Inputs!$B$7*Inputs!$B$34*$B$149*(1-Inputs!$B$15)/Inputs!$B$16,0)</f>
        <v>0</v>
      </c>
      <c r="BE163" s="33" t="n">
        <f aca="false">IF(Source_Data!BE$6=Inputs!$B$12,-Inputs!$B$7,0)+IF(AND(Source_Data!BE$6&gt;=$B$154,Source_Data!BE$6&lt;$B$154+3*Inputs!$B$16,MOD(Source_Data!BE$6-$B$154,3)=0),Inputs!$B$8*Inputs!$B$7*Inputs!$B$34*$B$149*(1-Inputs!$B$15)/Inputs!$B$16,0)</f>
        <v>0</v>
      </c>
      <c r="BF163" s="33" t="n">
        <f aca="false">IF(Source_Data!BF$6=Inputs!$B$12,-Inputs!$B$7,0)+IF(AND(Source_Data!BF$6&gt;=$B$154,Source_Data!BF$6&lt;$B$154+3*Inputs!$B$16,MOD(Source_Data!BF$6-$B$154,3)=0),Inputs!$B$8*Inputs!$B$7*Inputs!$B$34*$B$149*(1-Inputs!$B$15)/Inputs!$B$16,0)</f>
        <v>0</v>
      </c>
      <c r="BG163" s="33" t="n">
        <f aca="false">IF(Source_Data!BG$6=Inputs!$B$12,-Inputs!$B$7,0)+IF(AND(Source_Data!BG$6&gt;=$B$154,Source_Data!BG$6&lt;$B$154+3*Inputs!$B$16,MOD(Source_Data!BG$6-$B$154,3)=0),Inputs!$B$8*Inputs!$B$7*Inputs!$B$34*$B$149*(1-Inputs!$B$15)/Inputs!$B$16,0)</f>
        <v>0</v>
      </c>
      <c r="BH163" s="33" t="n">
        <f aca="false">IF(Source_Data!BH$6=Inputs!$B$12,-Inputs!$B$7,0)+IF(AND(Source_Data!BH$6&gt;=$B$154,Source_Data!BH$6&lt;$B$154+3*Inputs!$B$16,MOD(Source_Data!BH$6-$B$154,3)=0),Inputs!$B$8*Inputs!$B$7*Inputs!$B$34*$B$149*(1-Inputs!$B$15)/Inputs!$B$16,0)</f>
        <v>0</v>
      </c>
      <c r="BI163" s="33" t="n">
        <f aca="false">IF(Source_Data!BI$6=Inputs!$B$12,-Inputs!$B$7,0)+IF(AND(Source_Data!BI$6&gt;=$B$154,Source_Data!BI$6&lt;$B$154+3*Inputs!$B$16,MOD(Source_Data!BI$6-$B$154,3)=0),Inputs!$B$8*Inputs!$B$7*Inputs!$B$34*$B$149*(1-Inputs!$B$15)/Inputs!$B$16,0)</f>
        <v>0</v>
      </c>
      <c r="BJ163" s="33" t="n">
        <f aca="false">IF(Source_Data!BJ$6=Inputs!$B$12,-Inputs!$B$7,0)+IF(AND(Source_Data!BJ$6&gt;=$B$154,Source_Data!BJ$6&lt;$B$154+3*Inputs!$B$16,MOD(Source_Data!BJ$6-$B$154,3)=0),Inputs!$B$8*Inputs!$B$7*Inputs!$B$34*$B$149*(1-Inputs!$B$15)/Inputs!$B$16,0)</f>
        <v>0</v>
      </c>
      <c r="BK163" s="33" t="n">
        <f aca="false">IF(Source_Data!BK$6=Inputs!$B$12,-Inputs!$B$7,0)+IF(AND(Source_Data!BK$6&gt;=$B$154,Source_Data!BK$6&lt;$B$154+3*Inputs!$B$16,MOD(Source_Data!BK$6-$B$154,3)=0),Inputs!$B$8*Inputs!$B$7*Inputs!$B$34*$B$149*(1-Inputs!$B$15)/Inputs!$B$16,0)</f>
        <v>0</v>
      </c>
    </row>
    <row r="164" customFormat="false" ht="15" hidden="false" customHeight="false" outlineLevel="0" collapsed="false">
      <c r="A164" s="3" t="s">
        <v>341</v>
      </c>
      <c r="D164" s="33" t="n">
        <f aca="false">IF(AND(Source_Data!D$6&gt;=Inputs!$B$54,Source_Data!D$6&lt;Inputs!$B$54+3*Inputs!$B$11),Inputs!$B$9*Inputs!$B$7/Inputs!$B$11,0)</f>
        <v>0</v>
      </c>
      <c r="E164" s="33" t="n">
        <f aca="false">IF(AND(Source_Data!E$6&gt;=Inputs!$B$54,Source_Data!E$6&lt;Inputs!$B$54+3*Inputs!$B$11),Inputs!$B$9*Inputs!$B$7/Inputs!$B$11,0)</f>
        <v>0</v>
      </c>
      <c r="F164" s="33" t="n">
        <f aca="false">IF(AND(Source_Data!F$6&gt;=Inputs!$B$54,Source_Data!F$6&lt;Inputs!$B$54+3*Inputs!$B$11),Inputs!$B$9*Inputs!$B$7/Inputs!$B$11,0)</f>
        <v>0</v>
      </c>
      <c r="G164" s="33" t="n">
        <f aca="false">IF(AND(Source_Data!G$6&gt;=Inputs!$B$54,Source_Data!G$6&lt;Inputs!$B$54+3*Inputs!$B$11),Inputs!$B$9*Inputs!$B$7/Inputs!$B$11,0)</f>
        <v>0</v>
      </c>
      <c r="H164" s="33" t="n">
        <f aca="false">IF(AND(Source_Data!H$6&gt;=Inputs!$B$54,Source_Data!H$6&lt;Inputs!$B$54+3*Inputs!$B$11),Inputs!$B$9*Inputs!$B$7/Inputs!$B$11,0)</f>
        <v>0</v>
      </c>
      <c r="I164" s="33" t="n">
        <f aca="false">IF(AND(Source_Data!I$6&gt;=Inputs!$B$54,Source_Data!I$6&lt;Inputs!$B$54+3*Inputs!$B$11),Inputs!$B$9*Inputs!$B$7/Inputs!$B$11,0)</f>
        <v>0</v>
      </c>
      <c r="J164" s="33" t="n">
        <f aca="false">IF(AND(Source_Data!J$6&gt;=Inputs!$B$54,Source_Data!J$6&lt;Inputs!$B$54+3*Inputs!$B$11),Inputs!$B$9*Inputs!$B$7/Inputs!$B$11,0)</f>
        <v>0</v>
      </c>
      <c r="K164" s="33" t="n">
        <f aca="false">IF(AND(Source_Data!K$6&gt;=Inputs!$B$54,Source_Data!K$6&lt;Inputs!$B$54+3*Inputs!$B$11),Inputs!$B$9*Inputs!$B$7/Inputs!$B$11,0)</f>
        <v>0</v>
      </c>
      <c r="L164" s="33" t="n">
        <f aca="false">IF(AND(Source_Data!L$6&gt;=Inputs!$B$54,Source_Data!L$6&lt;Inputs!$B$54+3*Inputs!$B$11),Inputs!$B$9*Inputs!$B$7/Inputs!$B$11,0)</f>
        <v>0</v>
      </c>
      <c r="M164" s="33" t="n">
        <f aca="false">IF(AND(Source_Data!M$6&gt;=Inputs!$B$54,Source_Data!M$6&lt;Inputs!$B$54+3*Inputs!$B$11),Inputs!$B$9*Inputs!$B$7/Inputs!$B$11,0)</f>
        <v>19.1666666666667</v>
      </c>
      <c r="N164" s="33" t="n">
        <f aca="false">IF(AND(Source_Data!N$6&gt;=Inputs!$B$54,Source_Data!N$6&lt;Inputs!$B$54+3*Inputs!$B$11),Inputs!$B$9*Inputs!$B$7/Inputs!$B$11,0)</f>
        <v>19.1666666666667</v>
      </c>
      <c r="O164" s="33" t="n">
        <f aca="false">IF(AND(Source_Data!O$6&gt;=Inputs!$B$54,Source_Data!O$6&lt;Inputs!$B$54+3*Inputs!$B$11),Inputs!$B$9*Inputs!$B$7/Inputs!$B$11,0)</f>
        <v>19.1666666666667</v>
      </c>
      <c r="P164" s="33" t="n">
        <f aca="false">IF(AND(Source_Data!P$6&gt;=Inputs!$B$54,Source_Data!P$6&lt;Inputs!$B$54+3*Inputs!$B$11),Inputs!$B$9*Inputs!$B$7/Inputs!$B$11,0)</f>
        <v>19.1666666666667</v>
      </c>
      <c r="Q164" s="33" t="n">
        <f aca="false">IF(AND(Source_Data!Q$6&gt;=Inputs!$B$54,Source_Data!Q$6&lt;Inputs!$B$54+3*Inputs!$B$11),Inputs!$B$9*Inputs!$B$7/Inputs!$B$11,0)</f>
        <v>19.1666666666667</v>
      </c>
      <c r="R164" s="33" t="n">
        <f aca="false">IF(AND(Source_Data!R$6&gt;=Inputs!$B$54,Source_Data!R$6&lt;Inputs!$B$54+3*Inputs!$B$11),Inputs!$B$9*Inputs!$B$7/Inputs!$B$11,0)</f>
        <v>19.1666666666667</v>
      </c>
      <c r="S164" s="33" t="n">
        <f aca="false">IF(AND(Source_Data!S$6&gt;=Inputs!$B$54,Source_Data!S$6&lt;Inputs!$B$54+3*Inputs!$B$11),Inputs!$B$9*Inputs!$B$7/Inputs!$B$11,0)</f>
        <v>19.1666666666667</v>
      </c>
      <c r="T164" s="33" t="n">
        <f aca="false">IF(AND(Source_Data!T$6&gt;=Inputs!$B$54,Source_Data!T$6&lt;Inputs!$B$54+3*Inputs!$B$11),Inputs!$B$9*Inputs!$B$7/Inputs!$B$11,0)</f>
        <v>19.1666666666667</v>
      </c>
      <c r="U164" s="33" t="n">
        <f aca="false">IF(AND(Source_Data!U$6&gt;=Inputs!$B$54,Source_Data!U$6&lt;Inputs!$B$54+3*Inputs!$B$11),Inputs!$B$9*Inputs!$B$7/Inputs!$B$11,0)</f>
        <v>19.1666666666667</v>
      </c>
      <c r="V164" s="33" t="n">
        <f aca="false">IF(AND(Source_Data!V$6&gt;=Inputs!$B$54,Source_Data!V$6&lt;Inputs!$B$54+3*Inputs!$B$11),Inputs!$B$9*Inputs!$B$7/Inputs!$B$11,0)</f>
        <v>19.1666666666667</v>
      </c>
      <c r="W164" s="33" t="n">
        <f aca="false">IF(AND(Source_Data!W$6&gt;=Inputs!$B$54,Source_Data!W$6&lt;Inputs!$B$54+3*Inputs!$B$11),Inputs!$B$9*Inputs!$B$7/Inputs!$B$11,0)</f>
        <v>19.1666666666667</v>
      </c>
      <c r="X164" s="33" t="n">
        <f aca="false">IF(AND(Source_Data!X$6&gt;=Inputs!$B$54,Source_Data!X$6&lt;Inputs!$B$54+3*Inputs!$B$11),Inputs!$B$9*Inputs!$B$7/Inputs!$B$11,0)</f>
        <v>19.1666666666667</v>
      </c>
      <c r="Y164" s="33" t="n">
        <f aca="false">IF(AND(Source_Data!Y$6&gt;=Inputs!$B$54,Source_Data!Y$6&lt;Inputs!$B$54+3*Inputs!$B$11),Inputs!$B$9*Inputs!$B$7/Inputs!$B$11,0)</f>
        <v>0</v>
      </c>
      <c r="Z164" s="33" t="n">
        <f aca="false">IF(AND(Source_Data!Z$6&gt;=Inputs!$B$54,Source_Data!Z$6&lt;Inputs!$B$54+3*Inputs!$B$11),Inputs!$B$9*Inputs!$B$7/Inputs!$B$11,0)</f>
        <v>0</v>
      </c>
      <c r="AA164" s="33" t="n">
        <f aca="false">IF(AND(Source_Data!AA$6&gt;=Inputs!$B$54,Source_Data!AA$6&lt;Inputs!$B$54+3*Inputs!$B$11),Inputs!$B$9*Inputs!$B$7/Inputs!$B$11,0)</f>
        <v>0</v>
      </c>
      <c r="AB164" s="33" t="n">
        <f aca="false">IF(AND(Source_Data!AB$6&gt;=Inputs!$B$54,Source_Data!AB$6&lt;Inputs!$B$54+3*Inputs!$B$11),Inputs!$B$9*Inputs!$B$7/Inputs!$B$11,0)</f>
        <v>0</v>
      </c>
      <c r="AC164" s="33" t="n">
        <f aca="false">IF(AND(Source_Data!AC$6&gt;=Inputs!$B$54,Source_Data!AC$6&lt;Inputs!$B$54+3*Inputs!$B$11),Inputs!$B$9*Inputs!$B$7/Inputs!$B$11,0)</f>
        <v>0</v>
      </c>
      <c r="AD164" s="33" t="n">
        <f aca="false">IF(AND(Source_Data!AD$6&gt;=Inputs!$B$54,Source_Data!AD$6&lt;Inputs!$B$54+3*Inputs!$B$11),Inputs!$B$9*Inputs!$B$7/Inputs!$B$11,0)</f>
        <v>0</v>
      </c>
      <c r="AE164" s="33" t="n">
        <f aca="false">IF(AND(Source_Data!AE$6&gt;=Inputs!$B$54,Source_Data!AE$6&lt;Inputs!$B$54+3*Inputs!$B$11),Inputs!$B$9*Inputs!$B$7/Inputs!$B$11,0)</f>
        <v>0</v>
      </c>
      <c r="AF164" s="33" t="n">
        <f aca="false">IF(AND(Source_Data!AF$6&gt;=Inputs!$B$54,Source_Data!AF$6&lt;Inputs!$B$54+3*Inputs!$B$11),Inputs!$B$9*Inputs!$B$7/Inputs!$B$11,0)</f>
        <v>0</v>
      </c>
      <c r="AG164" s="33" t="n">
        <f aca="false">IF(AND(Source_Data!AG$6&gt;=Inputs!$B$54,Source_Data!AG$6&lt;Inputs!$B$54+3*Inputs!$B$11),Inputs!$B$9*Inputs!$B$7/Inputs!$B$11,0)</f>
        <v>0</v>
      </c>
      <c r="AH164" s="33" t="n">
        <f aca="false">IF(AND(Source_Data!AH$6&gt;=Inputs!$B$54,Source_Data!AH$6&lt;Inputs!$B$54+3*Inputs!$B$11),Inputs!$B$9*Inputs!$B$7/Inputs!$B$11,0)</f>
        <v>0</v>
      </c>
      <c r="AI164" s="33" t="n">
        <f aca="false">IF(AND(Source_Data!AI$6&gt;=Inputs!$B$54,Source_Data!AI$6&lt;Inputs!$B$54+3*Inputs!$B$11),Inputs!$B$9*Inputs!$B$7/Inputs!$B$11,0)</f>
        <v>0</v>
      </c>
      <c r="AJ164" s="33" t="n">
        <f aca="false">IF(AND(Source_Data!AJ$6&gt;=Inputs!$B$54,Source_Data!AJ$6&lt;Inputs!$B$54+3*Inputs!$B$11),Inputs!$B$9*Inputs!$B$7/Inputs!$B$11,0)</f>
        <v>0</v>
      </c>
      <c r="AK164" s="33" t="n">
        <f aca="false">IF(AND(Source_Data!AK$6&gt;=Inputs!$B$54,Source_Data!AK$6&lt;Inputs!$B$54+3*Inputs!$B$11),Inputs!$B$9*Inputs!$B$7/Inputs!$B$11,0)</f>
        <v>0</v>
      </c>
      <c r="AL164" s="33" t="n">
        <f aca="false">IF(AND(Source_Data!AL$6&gt;=Inputs!$B$54,Source_Data!AL$6&lt;Inputs!$B$54+3*Inputs!$B$11),Inputs!$B$9*Inputs!$B$7/Inputs!$B$11,0)</f>
        <v>0</v>
      </c>
      <c r="AM164" s="33" t="n">
        <f aca="false">IF(AND(Source_Data!AM$6&gt;=Inputs!$B$54,Source_Data!AM$6&lt;Inputs!$B$54+3*Inputs!$B$11),Inputs!$B$9*Inputs!$B$7/Inputs!$B$11,0)</f>
        <v>0</v>
      </c>
      <c r="AN164" s="33" t="n">
        <f aca="false">IF(AND(Source_Data!AN$6&gt;=Inputs!$B$54,Source_Data!AN$6&lt;Inputs!$B$54+3*Inputs!$B$11),Inputs!$B$9*Inputs!$B$7/Inputs!$B$11,0)</f>
        <v>0</v>
      </c>
      <c r="AO164" s="33" t="n">
        <f aca="false">IF(AND(Source_Data!AO$6&gt;=Inputs!$B$54,Source_Data!AO$6&lt;Inputs!$B$54+3*Inputs!$B$11),Inputs!$B$9*Inputs!$B$7/Inputs!$B$11,0)</f>
        <v>0</v>
      </c>
      <c r="AP164" s="33" t="n">
        <f aca="false">IF(AND(Source_Data!AP$6&gt;=Inputs!$B$54,Source_Data!AP$6&lt;Inputs!$B$54+3*Inputs!$B$11),Inputs!$B$9*Inputs!$B$7/Inputs!$B$11,0)</f>
        <v>0</v>
      </c>
      <c r="AQ164" s="33" t="n">
        <f aca="false">IF(AND(Source_Data!AQ$6&gt;=Inputs!$B$54,Source_Data!AQ$6&lt;Inputs!$B$54+3*Inputs!$B$11),Inputs!$B$9*Inputs!$B$7/Inputs!$B$11,0)</f>
        <v>0</v>
      </c>
      <c r="AR164" s="33" t="n">
        <f aca="false">IF(AND(Source_Data!AR$6&gt;=Inputs!$B$54,Source_Data!AR$6&lt;Inputs!$B$54+3*Inputs!$B$11),Inputs!$B$9*Inputs!$B$7/Inputs!$B$11,0)</f>
        <v>0</v>
      </c>
      <c r="AS164" s="33" t="n">
        <f aca="false">IF(AND(Source_Data!AS$6&gt;=Inputs!$B$54,Source_Data!AS$6&lt;Inputs!$B$54+3*Inputs!$B$11),Inputs!$B$9*Inputs!$B$7/Inputs!$B$11,0)</f>
        <v>0</v>
      </c>
      <c r="AT164" s="33" t="n">
        <f aca="false">IF(AND(Source_Data!AT$6&gt;=Inputs!$B$54,Source_Data!AT$6&lt;Inputs!$B$54+3*Inputs!$B$11),Inputs!$B$9*Inputs!$B$7/Inputs!$B$11,0)</f>
        <v>0</v>
      </c>
      <c r="AU164" s="33" t="n">
        <f aca="false">IF(AND(Source_Data!AU$6&gt;=Inputs!$B$54,Source_Data!AU$6&lt;Inputs!$B$54+3*Inputs!$B$11),Inputs!$B$9*Inputs!$B$7/Inputs!$B$11,0)</f>
        <v>0</v>
      </c>
      <c r="AV164" s="33" t="n">
        <f aca="false">IF(AND(Source_Data!AV$6&gt;=Inputs!$B$54,Source_Data!AV$6&lt;Inputs!$B$54+3*Inputs!$B$11),Inputs!$B$9*Inputs!$B$7/Inputs!$B$11,0)</f>
        <v>0</v>
      </c>
      <c r="AW164" s="33" t="n">
        <f aca="false">IF(AND(Source_Data!AW$6&gt;=Inputs!$B$54,Source_Data!AW$6&lt;Inputs!$B$54+3*Inputs!$B$11),Inputs!$B$9*Inputs!$B$7/Inputs!$B$11,0)</f>
        <v>0</v>
      </c>
      <c r="AX164" s="33" t="n">
        <f aca="false">IF(AND(Source_Data!AX$6&gt;=Inputs!$B$54,Source_Data!AX$6&lt;Inputs!$B$54+3*Inputs!$B$11),Inputs!$B$9*Inputs!$B$7/Inputs!$B$11,0)</f>
        <v>0</v>
      </c>
      <c r="AY164" s="33" t="n">
        <f aca="false">IF(AND(Source_Data!AY$6&gt;=Inputs!$B$54,Source_Data!AY$6&lt;Inputs!$B$54+3*Inputs!$B$11),Inputs!$B$9*Inputs!$B$7/Inputs!$B$11,0)</f>
        <v>0</v>
      </c>
      <c r="AZ164" s="33" t="n">
        <f aca="false">IF(AND(Source_Data!AZ$6&gt;=Inputs!$B$54,Source_Data!AZ$6&lt;Inputs!$B$54+3*Inputs!$B$11),Inputs!$B$9*Inputs!$B$7/Inputs!$B$11,0)</f>
        <v>0</v>
      </c>
      <c r="BA164" s="33" t="n">
        <f aca="false">IF(AND(Source_Data!BA$6&gt;=Inputs!$B$54,Source_Data!BA$6&lt;Inputs!$B$54+3*Inputs!$B$11),Inputs!$B$9*Inputs!$B$7/Inputs!$B$11,0)</f>
        <v>0</v>
      </c>
      <c r="BB164" s="33" t="n">
        <f aca="false">IF(AND(Source_Data!BB$6&gt;=Inputs!$B$54,Source_Data!BB$6&lt;Inputs!$B$54+3*Inputs!$B$11),Inputs!$B$9*Inputs!$B$7/Inputs!$B$11,0)</f>
        <v>0</v>
      </c>
      <c r="BC164" s="33" t="n">
        <f aca="false">IF(AND(Source_Data!BC$6&gt;=Inputs!$B$54,Source_Data!BC$6&lt;Inputs!$B$54+3*Inputs!$B$11),Inputs!$B$9*Inputs!$B$7/Inputs!$B$11,0)</f>
        <v>0</v>
      </c>
      <c r="BD164" s="33" t="n">
        <f aca="false">IF(AND(Source_Data!BD$6&gt;=Inputs!$B$54,Source_Data!BD$6&lt;Inputs!$B$54+3*Inputs!$B$11),Inputs!$B$9*Inputs!$B$7/Inputs!$B$11,0)</f>
        <v>0</v>
      </c>
      <c r="BE164" s="33" t="n">
        <f aca="false">IF(AND(Source_Data!BE$6&gt;=Inputs!$B$54,Source_Data!BE$6&lt;Inputs!$B$54+3*Inputs!$B$11),Inputs!$B$9*Inputs!$B$7/Inputs!$B$11,0)</f>
        <v>0</v>
      </c>
      <c r="BF164" s="33" t="n">
        <f aca="false">IF(AND(Source_Data!BF$6&gt;=Inputs!$B$54,Source_Data!BF$6&lt;Inputs!$B$54+3*Inputs!$B$11),Inputs!$B$9*Inputs!$B$7/Inputs!$B$11,0)</f>
        <v>0</v>
      </c>
      <c r="BG164" s="33" t="n">
        <f aca="false">IF(AND(Source_Data!BG$6&gt;=Inputs!$B$54,Source_Data!BG$6&lt;Inputs!$B$54+3*Inputs!$B$11),Inputs!$B$9*Inputs!$B$7/Inputs!$B$11,0)</f>
        <v>0</v>
      </c>
      <c r="BH164" s="33" t="n">
        <f aca="false">IF(AND(Source_Data!BH$6&gt;=Inputs!$B$54,Source_Data!BH$6&lt;Inputs!$B$54+3*Inputs!$B$11),Inputs!$B$9*Inputs!$B$7/Inputs!$B$11,0)</f>
        <v>0</v>
      </c>
      <c r="BI164" s="33" t="n">
        <f aca="false">IF(AND(Source_Data!BI$6&gt;=Inputs!$B$54,Source_Data!BI$6&lt;Inputs!$B$54+3*Inputs!$B$11),Inputs!$B$9*Inputs!$B$7/Inputs!$B$11,0)</f>
        <v>0</v>
      </c>
      <c r="BJ164" s="33" t="n">
        <f aca="false">IF(AND(Source_Data!BJ$6&gt;=Inputs!$B$54,Source_Data!BJ$6&lt;Inputs!$B$54+3*Inputs!$B$11),Inputs!$B$9*Inputs!$B$7/Inputs!$B$11,0)</f>
        <v>0</v>
      </c>
      <c r="BK164" s="33" t="n">
        <f aca="false">IF(AND(Source_Data!BK$6&gt;=Inputs!$B$54,Source_Data!BK$6&lt;Inputs!$B$54+3*Inputs!$B$11),Inputs!$B$9*Inputs!$B$7/Inputs!$B$11,0)</f>
        <v>0</v>
      </c>
    </row>
    <row r="165" customFormat="false" ht="15" hidden="false" customHeight="false" outlineLevel="0" collapsed="false">
      <c r="A165" s="3" t="s">
        <v>342</v>
      </c>
      <c r="D165" s="33" t="n">
        <f aca="false">IF(Source_Data!D$6=Inputs!$B$12,-Inputs!$B$7,0)+D164</f>
        <v>-100</v>
      </c>
      <c r="E165" s="33" t="n">
        <f aca="false">IF(Source_Data!E$6=Inputs!$B$12,-Inputs!$B$7,0)+E164</f>
        <v>0</v>
      </c>
      <c r="F165" s="33" t="n">
        <f aca="false">IF(Source_Data!F$6=Inputs!$B$12,-Inputs!$B$7,0)+F164</f>
        <v>0</v>
      </c>
      <c r="G165" s="33" t="n">
        <f aca="false">IF(Source_Data!G$6=Inputs!$B$12,-Inputs!$B$7,0)+G164</f>
        <v>0</v>
      </c>
      <c r="H165" s="33" t="n">
        <f aca="false">IF(Source_Data!H$6=Inputs!$B$12,-Inputs!$B$7,0)+H164</f>
        <v>0</v>
      </c>
      <c r="I165" s="33" t="n">
        <f aca="false">IF(Source_Data!I$6=Inputs!$B$12,-Inputs!$B$7,0)+I164</f>
        <v>0</v>
      </c>
      <c r="J165" s="33" t="n">
        <f aca="false">IF(Source_Data!J$6=Inputs!$B$12,-Inputs!$B$7,0)+J164</f>
        <v>0</v>
      </c>
      <c r="K165" s="33" t="n">
        <f aca="false">IF(Source_Data!K$6=Inputs!$B$12,-Inputs!$B$7,0)+K164</f>
        <v>0</v>
      </c>
      <c r="L165" s="33" t="n">
        <f aca="false">IF(Source_Data!L$6=Inputs!$B$12,-Inputs!$B$7,0)+L164</f>
        <v>0</v>
      </c>
      <c r="M165" s="33" t="n">
        <f aca="false">IF(Source_Data!M$6=Inputs!$B$12,-Inputs!$B$7,0)+M164</f>
        <v>19.1666666666667</v>
      </c>
      <c r="N165" s="33" t="n">
        <f aca="false">IF(Source_Data!N$6=Inputs!$B$12,-Inputs!$B$7,0)+N164</f>
        <v>19.1666666666667</v>
      </c>
      <c r="O165" s="33" t="n">
        <f aca="false">IF(Source_Data!O$6=Inputs!$B$12,-Inputs!$B$7,0)+O164</f>
        <v>19.1666666666667</v>
      </c>
      <c r="P165" s="33" t="n">
        <f aca="false">IF(Source_Data!P$6=Inputs!$B$12,-Inputs!$B$7,0)+P164</f>
        <v>19.1666666666667</v>
      </c>
      <c r="Q165" s="33" t="n">
        <f aca="false">IF(Source_Data!Q$6=Inputs!$B$12,-Inputs!$B$7,0)+Q164</f>
        <v>19.1666666666667</v>
      </c>
      <c r="R165" s="33" t="n">
        <f aca="false">IF(Source_Data!R$6=Inputs!$B$12,-Inputs!$B$7,0)+R164</f>
        <v>19.1666666666667</v>
      </c>
      <c r="S165" s="33" t="n">
        <f aca="false">IF(Source_Data!S$6=Inputs!$B$12,-Inputs!$B$7,0)+S164</f>
        <v>19.1666666666667</v>
      </c>
      <c r="T165" s="33" t="n">
        <f aca="false">IF(Source_Data!T$6=Inputs!$B$12,-Inputs!$B$7,0)+T164</f>
        <v>19.1666666666667</v>
      </c>
      <c r="U165" s="33" t="n">
        <f aca="false">IF(Source_Data!U$6=Inputs!$B$12,-Inputs!$B$7,0)+U164</f>
        <v>19.1666666666667</v>
      </c>
      <c r="V165" s="33" t="n">
        <f aca="false">IF(Source_Data!V$6=Inputs!$B$12,-Inputs!$B$7,0)+V164</f>
        <v>19.1666666666667</v>
      </c>
      <c r="W165" s="33" t="n">
        <f aca="false">IF(Source_Data!W$6=Inputs!$B$12,-Inputs!$B$7,0)+W164</f>
        <v>19.1666666666667</v>
      </c>
      <c r="X165" s="33" t="n">
        <f aca="false">IF(Source_Data!X$6=Inputs!$B$12,-Inputs!$B$7,0)+X164</f>
        <v>19.1666666666667</v>
      </c>
      <c r="Y165" s="33" t="n">
        <f aca="false">IF(Source_Data!Y$6=Inputs!$B$12,-Inputs!$B$7,0)+Y164</f>
        <v>0</v>
      </c>
      <c r="Z165" s="33" t="n">
        <f aca="false">IF(Source_Data!Z$6=Inputs!$B$12,-Inputs!$B$7,0)+Z164</f>
        <v>0</v>
      </c>
      <c r="AA165" s="33" t="n">
        <f aca="false">IF(Source_Data!AA$6=Inputs!$B$12,-Inputs!$B$7,0)+AA164</f>
        <v>0</v>
      </c>
      <c r="AB165" s="33" t="n">
        <f aca="false">IF(Source_Data!AB$6=Inputs!$B$12,-Inputs!$B$7,0)+AB164</f>
        <v>0</v>
      </c>
      <c r="AC165" s="33" t="n">
        <f aca="false">IF(Source_Data!AC$6=Inputs!$B$12,-Inputs!$B$7,0)+AC164</f>
        <v>0</v>
      </c>
      <c r="AD165" s="33" t="n">
        <f aca="false">IF(Source_Data!AD$6=Inputs!$B$12,-Inputs!$B$7,0)+AD164</f>
        <v>0</v>
      </c>
      <c r="AE165" s="33" t="n">
        <f aca="false">IF(Source_Data!AE$6=Inputs!$B$12,-Inputs!$B$7,0)+AE164</f>
        <v>0</v>
      </c>
      <c r="AF165" s="33" t="n">
        <f aca="false">IF(Source_Data!AF$6=Inputs!$B$12,-Inputs!$B$7,0)+AF164</f>
        <v>0</v>
      </c>
      <c r="AG165" s="33" t="n">
        <f aca="false">IF(Source_Data!AG$6=Inputs!$B$12,-Inputs!$B$7,0)+AG164</f>
        <v>0</v>
      </c>
      <c r="AH165" s="33" t="n">
        <f aca="false">IF(Source_Data!AH$6=Inputs!$B$12,-Inputs!$B$7,0)+AH164</f>
        <v>0</v>
      </c>
      <c r="AI165" s="33" t="n">
        <f aca="false">IF(Source_Data!AI$6=Inputs!$B$12,-Inputs!$B$7,0)+AI164</f>
        <v>0</v>
      </c>
      <c r="AJ165" s="33" t="n">
        <f aca="false">IF(Source_Data!AJ$6=Inputs!$B$12,-Inputs!$B$7,0)+AJ164</f>
        <v>0</v>
      </c>
      <c r="AK165" s="33" t="n">
        <f aca="false">IF(Source_Data!AK$6=Inputs!$B$12,-Inputs!$B$7,0)+AK164</f>
        <v>0</v>
      </c>
      <c r="AL165" s="33" t="n">
        <f aca="false">IF(Source_Data!AL$6=Inputs!$B$12,-Inputs!$B$7,0)+AL164</f>
        <v>0</v>
      </c>
      <c r="AM165" s="33" t="n">
        <f aca="false">IF(Source_Data!AM$6=Inputs!$B$12,-Inputs!$B$7,0)+AM164</f>
        <v>0</v>
      </c>
      <c r="AN165" s="33" t="n">
        <f aca="false">IF(Source_Data!AN$6=Inputs!$B$12,-Inputs!$B$7,0)+AN164</f>
        <v>0</v>
      </c>
      <c r="AO165" s="33" t="n">
        <f aca="false">IF(Source_Data!AO$6=Inputs!$B$12,-Inputs!$B$7,0)+AO164</f>
        <v>0</v>
      </c>
      <c r="AP165" s="33" t="n">
        <f aca="false">IF(Source_Data!AP$6=Inputs!$B$12,-Inputs!$B$7,0)+AP164</f>
        <v>0</v>
      </c>
      <c r="AQ165" s="33" t="n">
        <f aca="false">IF(Source_Data!AQ$6=Inputs!$B$12,-Inputs!$B$7,0)+AQ164</f>
        <v>0</v>
      </c>
      <c r="AR165" s="33" t="n">
        <f aca="false">IF(Source_Data!AR$6=Inputs!$B$12,-Inputs!$B$7,0)+AR164</f>
        <v>0</v>
      </c>
      <c r="AS165" s="33" t="n">
        <f aca="false">IF(Source_Data!AS$6=Inputs!$B$12,-Inputs!$B$7,0)+AS164</f>
        <v>0</v>
      </c>
      <c r="AT165" s="33" t="n">
        <f aca="false">IF(Source_Data!AT$6=Inputs!$B$12,-Inputs!$B$7,0)+AT164</f>
        <v>0</v>
      </c>
      <c r="AU165" s="33" t="n">
        <f aca="false">IF(Source_Data!AU$6=Inputs!$B$12,-Inputs!$B$7,0)+AU164</f>
        <v>0</v>
      </c>
      <c r="AV165" s="33" t="n">
        <f aca="false">IF(Source_Data!AV$6=Inputs!$B$12,-Inputs!$B$7,0)+AV164</f>
        <v>0</v>
      </c>
      <c r="AW165" s="33" t="n">
        <f aca="false">IF(Source_Data!AW$6=Inputs!$B$12,-Inputs!$B$7,0)+AW164</f>
        <v>0</v>
      </c>
      <c r="AX165" s="33" t="n">
        <f aca="false">IF(Source_Data!AX$6=Inputs!$B$12,-Inputs!$B$7,0)+AX164</f>
        <v>0</v>
      </c>
      <c r="AY165" s="33" t="n">
        <f aca="false">IF(Source_Data!AY$6=Inputs!$B$12,-Inputs!$B$7,0)+AY164</f>
        <v>0</v>
      </c>
      <c r="AZ165" s="33" t="n">
        <f aca="false">IF(Source_Data!AZ$6=Inputs!$B$12,-Inputs!$B$7,0)+AZ164</f>
        <v>0</v>
      </c>
      <c r="BA165" s="33" t="n">
        <f aca="false">IF(Source_Data!BA$6=Inputs!$B$12,-Inputs!$B$7,0)+BA164</f>
        <v>0</v>
      </c>
      <c r="BB165" s="33" t="n">
        <f aca="false">IF(Source_Data!BB$6=Inputs!$B$12,-Inputs!$B$7,0)+BB164</f>
        <v>0</v>
      </c>
      <c r="BC165" s="33" t="n">
        <f aca="false">IF(Source_Data!BC$6=Inputs!$B$12,-Inputs!$B$7,0)+BC164</f>
        <v>0</v>
      </c>
      <c r="BD165" s="33" t="n">
        <f aca="false">IF(Source_Data!BD$6=Inputs!$B$12,-Inputs!$B$7,0)+BD164</f>
        <v>0</v>
      </c>
      <c r="BE165" s="33" t="n">
        <f aca="false">IF(Source_Data!BE$6=Inputs!$B$12,-Inputs!$B$7,0)+BE164</f>
        <v>0</v>
      </c>
      <c r="BF165" s="33" t="n">
        <f aca="false">IF(Source_Data!BF$6=Inputs!$B$12,-Inputs!$B$7,0)+BF164</f>
        <v>0</v>
      </c>
      <c r="BG165" s="33" t="n">
        <f aca="false">IF(Source_Data!BG$6=Inputs!$B$12,-Inputs!$B$7,0)+BG164</f>
        <v>0</v>
      </c>
      <c r="BH165" s="33" t="n">
        <f aca="false">IF(Source_Data!BH$6=Inputs!$B$12,-Inputs!$B$7,0)+BH164</f>
        <v>0</v>
      </c>
      <c r="BI165" s="33" t="n">
        <f aca="false">IF(Source_Data!BI$6=Inputs!$B$12,-Inputs!$B$7,0)+BI164</f>
        <v>0</v>
      </c>
      <c r="BJ165" s="33" t="n">
        <f aca="false">IF(Source_Data!BJ$6=Inputs!$B$12,-Inputs!$B$7,0)+BJ164</f>
        <v>0</v>
      </c>
      <c r="BK165" s="33" t="n">
        <f aca="false">IF(Source_Data!BK$6=Inputs!$B$12,-Inputs!$B$7,0)+BK164</f>
        <v>0</v>
      </c>
    </row>
    <row r="166" customFormat="false" ht="15" hidden="false" customHeight="false" outlineLevel="0" collapsed="false">
      <c r="A166" s="3" t="s">
        <v>343</v>
      </c>
      <c r="D166" s="33" t="n">
        <f aca="false">IF(Source_Data!D$6=Inputs!$B$12,Inputs!$B$7,0)+D161-D164</f>
        <v>8.75</v>
      </c>
      <c r="E166" s="33" t="n">
        <f aca="false">D166+IF(Source_Data!E$6=Inputs!$B$12,Inputs!$B$7,0)+E161-E164</f>
        <v>-2.5</v>
      </c>
      <c r="F166" s="33" t="n">
        <f aca="false">E166+IF(Source_Data!F$6=Inputs!$B$12,Inputs!$B$7,0)+F161-F164</f>
        <v>-13.75</v>
      </c>
      <c r="G166" s="33" t="n">
        <f aca="false">F166+IF(Source_Data!G$6=Inputs!$B$12,Inputs!$B$7,0)+G161-G164</f>
        <v>-25</v>
      </c>
      <c r="H166" s="33" t="n">
        <f aca="false">G166+IF(Source_Data!H$6=Inputs!$B$12,Inputs!$B$7,0)+H161-H164</f>
        <v>-55.3607625</v>
      </c>
      <c r="I166" s="33" t="n">
        <f aca="false">H166+IF(Source_Data!I$6=Inputs!$B$12,Inputs!$B$7,0)+I161-I164</f>
        <v>-77.9422875</v>
      </c>
      <c r="J166" s="33" t="n">
        <f aca="false">I166+IF(Source_Data!J$6=Inputs!$B$12,Inputs!$B$7,0)+J161-J164</f>
        <v>-112.04167125</v>
      </c>
      <c r="K166" s="33" t="n">
        <f aca="false">J166+IF(Source_Data!K$6=Inputs!$B$12,Inputs!$B$7,0)+K161-K164</f>
        <v>-114.26752375</v>
      </c>
      <c r="L166" s="33" t="n">
        <f aca="false">K166+IF(Source_Data!L$6=Inputs!$B$12,Inputs!$B$7,0)+L161-L164</f>
        <v>-125.53308375</v>
      </c>
      <c r="M166" s="33" t="n">
        <f aca="false">L166+IF(Source_Data!M$6=Inputs!$B$12,Inputs!$B$7,0)+M161-M164</f>
        <v>-154.857451041667</v>
      </c>
      <c r="N166" s="33" t="n">
        <f aca="false">M166+IF(Source_Data!N$6=Inputs!$B$12,Inputs!$B$7,0)+N161-N164</f>
        <v>-140.506279270833</v>
      </c>
      <c r="O166" s="33" t="n">
        <f aca="false">N166+IF(Source_Data!O$6=Inputs!$B$12,Inputs!$B$7,0)+O161-O164</f>
        <v>288.7698815625</v>
      </c>
      <c r="P166" s="33" t="n">
        <f aca="false">O166+IF(Source_Data!P$6=Inputs!$B$12,Inputs!$B$7,0)+P161-P164</f>
        <v>264.482924895833</v>
      </c>
      <c r="Q166" s="33" t="n">
        <f aca="false">P166+IF(Source_Data!Q$6=Inputs!$B$12,Inputs!$B$7,0)+Q161-Q164</f>
        <v>229.589458229167</v>
      </c>
      <c r="R166" s="33" t="n">
        <f aca="false">Q166+IF(Source_Data!R$6=Inputs!$B$12,Inputs!$B$7,0)+R161-R164</f>
        <v>64.8727415625001</v>
      </c>
      <c r="S166" s="33" t="n">
        <f aca="false">R166+IF(Source_Data!S$6=Inputs!$B$12,Inputs!$B$7,0)+S161-S164</f>
        <v>-69.1901563541666</v>
      </c>
      <c r="T166" s="33" t="n">
        <f aca="false">S166+IF(Source_Data!T$6=Inputs!$B$12,Inputs!$B$7,0)+T161-T164</f>
        <v>-62.0468542708333</v>
      </c>
      <c r="U166" s="33" t="n">
        <f aca="false">T166+IF(Source_Data!U$6=Inputs!$B$12,Inputs!$B$7,0)+U161-U164</f>
        <v>-58.1764853124999</v>
      </c>
      <c r="V166" s="33" t="n">
        <f aca="false">U166+IF(Source_Data!V$6=Inputs!$B$12,Inputs!$B$7,0)+V161-V164</f>
        <v>-61.1165122916666</v>
      </c>
      <c r="W166" s="33" t="n">
        <f aca="false">V166+IF(Source_Data!W$6=Inputs!$B$12,Inputs!$B$7,0)+W161-W164</f>
        <v>-65.5704630208333</v>
      </c>
      <c r="X166" s="33" t="n">
        <f aca="false">W166+IF(Source_Data!X$6=Inputs!$B$12,Inputs!$B$7,0)+X161-X164</f>
        <v>-53.5131849999999</v>
      </c>
      <c r="Y166" s="33" t="n">
        <f aca="false">X166+IF(Source_Data!Y$6=Inputs!$B$12,Inputs!$B$7,0)+Y161-Y164</f>
        <v>-26.6302403124999</v>
      </c>
      <c r="Z166" s="33" t="n">
        <f aca="false">Y166+IF(Source_Data!Z$6=Inputs!$B$12,Inputs!$B$7,0)+Z161-Z164</f>
        <v>0.252704375000064</v>
      </c>
      <c r="AA166" s="33" t="n">
        <f aca="false">Z166+IF(Source_Data!AA$6=Inputs!$B$12,Inputs!$B$7,0)+AA161-AA164</f>
        <v>19.8554303125001</v>
      </c>
      <c r="AB166" s="33" t="n">
        <f aca="false">AA166+IF(Source_Data!AB$6=Inputs!$B$12,Inputs!$B$7,0)+AB161-AB164</f>
        <v>61.9581562500001</v>
      </c>
      <c r="AC166" s="33" t="n">
        <f aca="false">AB166+IF(Source_Data!AC$6=Inputs!$B$12,Inputs!$B$7,0)+AC161-AC164</f>
        <v>104.0608821875</v>
      </c>
      <c r="AD166" s="33" t="n">
        <f aca="false">AC166+IF(Source_Data!AD$6=Inputs!$B$12,Inputs!$B$7,0)+AD161-AD164</f>
        <v>140.375608125</v>
      </c>
      <c r="AE166" s="33" t="n">
        <f aca="false">AD166+IF(Source_Data!AE$6=Inputs!$B$12,Inputs!$B$7,0)+AE161-AE164</f>
        <v>173.414235625</v>
      </c>
      <c r="AF166" s="33" t="n">
        <f aca="false">AE166+IF(Source_Data!AF$6=Inputs!$B$12,Inputs!$B$7,0)+AF161-AF164</f>
        <v>95.0861965234375</v>
      </c>
      <c r="AG166" s="33" t="n">
        <f aca="false">AF166+IF(Source_Data!AG$6=Inputs!$B$12,Inputs!$B$7,0)+AG161-AG164</f>
        <v>109.198855351563</v>
      </c>
      <c r="AH166" s="33" t="n">
        <f aca="false">AG166+IF(Source_Data!AH$6=Inputs!$B$12,Inputs!$B$7,0)+AH161-AH164</f>
        <v>123.311514179688</v>
      </c>
      <c r="AI166" s="33" t="n">
        <f aca="false">AH166+IF(Source_Data!AI$6=Inputs!$B$12,Inputs!$B$7,0)+AI161-AI164</f>
        <v>137.424173007813</v>
      </c>
      <c r="AJ166" s="33" t="n">
        <f aca="false">AI166+IF(Source_Data!AJ$6=Inputs!$B$12,Inputs!$B$7,0)+AJ161-AJ164</f>
        <v>151.536831835938</v>
      </c>
      <c r="AK166" s="33" t="n">
        <f aca="false">AJ166+IF(Source_Data!AK$6=Inputs!$B$12,Inputs!$B$7,0)+AK161-AK164</f>
        <v>166.605019375</v>
      </c>
      <c r="AL166" s="33" t="n">
        <f aca="false">AK166+IF(Source_Data!AL$6=Inputs!$B$12,Inputs!$B$7,0)+AL161-AL164</f>
        <v>181.673206914063</v>
      </c>
      <c r="AM166" s="33" t="n">
        <f aca="false">AL166+IF(Source_Data!AM$6=Inputs!$B$12,Inputs!$B$7,0)+AM161-AM164</f>
        <v>196.3797575</v>
      </c>
      <c r="AN166" s="33" t="n">
        <f aca="false">AM166+IF(Source_Data!AN$6=Inputs!$B$12,Inputs!$B$7,0)+AN161-AN164</f>
        <v>215.07341484375</v>
      </c>
      <c r="AO166" s="33" t="n">
        <f aca="false">AN166+IF(Source_Data!AO$6=Inputs!$B$12,Inputs!$B$7,0)+AO161-AO164</f>
        <v>232.2508875</v>
      </c>
      <c r="AP166" s="33" t="n">
        <f aca="false">AO166+IF(Source_Data!AP$6=Inputs!$B$12,Inputs!$B$7,0)+AP161-AP164</f>
        <v>241.877055</v>
      </c>
      <c r="AQ166" s="33" t="n">
        <f aca="false">AP166+IF(Source_Data!AQ$6=Inputs!$B$12,Inputs!$B$7,0)+AQ161-AQ164</f>
        <v>245.4475275</v>
      </c>
      <c r="AR166" s="33" t="n">
        <f aca="false">AQ166+IF(Source_Data!AR$6=Inputs!$B$12,Inputs!$B$7,0)+AR161-AR164</f>
        <v>245.4475275</v>
      </c>
      <c r="AS166" s="33" t="n">
        <f aca="false">AR166+IF(Source_Data!AS$6=Inputs!$B$12,Inputs!$B$7,0)+AS161-AS164</f>
        <v>245.4475275</v>
      </c>
      <c r="AT166" s="33" t="n">
        <f aca="false">AS166+IF(Source_Data!AT$6=Inputs!$B$12,Inputs!$B$7,0)+AT161-AT164</f>
        <v>245.4475275</v>
      </c>
      <c r="AU166" s="33" t="n">
        <f aca="false">AT166+IF(Source_Data!AU$6=Inputs!$B$12,Inputs!$B$7,0)+AU161-AU164</f>
        <v>245.4475275</v>
      </c>
      <c r="AV166" s="33" t="n">
        <f aca="false">AU166+IF(Source_Data!AV$6=Inputs!$B$12,Inputs!$B$7,0)+AV161-AV164</f>
        <v>245.4475275</v>
      </c>
      <c r="AW166" s="33" t="n">
        <f aca="false">AV166+IF(Source_Data!AW$6=Inputs!$B$12,Inputs!$B$7,0)+AW161-AW164</f>
        <v>245.4475275</v>
      </c>
      <c r="AX166" s="33" t="n">
        <f aca="false">AW166+IF(Source_Data!AX$6=Inputs!$B$12,Inputs!$B$7,0)+AX161-AX164</f>
        <v>245.4475275</v>
      </c>
      <c r="AY166" s="33" t="n">
        <f aca="false">AX166+IF(Source_Data!AY$6=Inputs!$B$12,Inputs!$B$7,0)+AY161-AY164</f>
        <v>245.4475275</v>
      </c>
      <c r="AZ166" s="33" t="n">
        <f aca="false">AY166+IF(Source_Data!AZ$6=Inputs!$B$12,Inputs!$B$7,0)+AZ161-AZ164</f>
        <v>245.4475275</v>
      </c>
      <c r="BA166" s="33" t="n">
        <f aca="false">AZ166+IF(Source_Data!BA$6=Inputs!$B$12,Inputs!$B$7,0)+BA161-BA164</f>
        <v>245.4475275</v>
      </c>
      <c r="BB166" s="33" t="n">
        <f aca="false">BA166+IF(Source_Data!BB$6=Inputs!$B$12,Inputs!$B$7,0)+BB161-BB164</f>
        <v>245.4475275</v>
      </c>
      <c r="BC166" s="33" t="n">
        <f aca="false">BB166+IF(Source_Data!BC$6=Inputs!$B$12,Inputs!$B$7,0)+BC161-BC164</f>
        <v>245.4475275</v>
      </c>
      <c r="BD166" s="33" t="n">
        <f aca="false">BC166+IF(Source_Data!BD$6=Inputs!$B$12,Inputs!$B$7,0)+BD161-BD164</f>
        <v>245.4475275</v>
      </c>
      <c r="BE166" s="33" t="n">
        <f aca="false">BD166+IF(Source_Data!BE$6=Inputs!$B$12,Inputs!$B$7,0)+BE161-BE164</f>
        <v>245.4475275</v>
      </c>
      <c r="BF166" s="33" t="n">
        <f aca="false">BE166+IF(Source_Data!BF$6=Inputs!$B$12,Inputs!$B$7,0)+BF161-BF164</f>
        <v>245.4475275</v>
      </c>
      <c r="BG166" s="33" t="n">
        <f aca="false">BF166+IF(Source_Data!BG$6=Inputs!$B$12,Inputs!$B$7,0)+BG161-BG164</f>
        <v>245.4475275</v>
      </c>
      <c r="BH166" s="33" t="n">
        <f aca="false">BG166+IF(Source_Data!BH$6=Inputs!$B$12,Inputs!$B$7,0)+BH161-BH164</f>
        <v>245.4475275</v>
      </c>
      <c r="BI166" s="33" t="n">
        <f aca="false">BH166+IF(Source_Data!BI$6=Inputs!$B$12,Inputs!$B$7,0)+BI161-BI164</f>
        <v>245.4475275</v>
      </c>
      <c r="BJ166" s="33" t="n">
        <f aca="false">BI166+IF(Source_Data!BJ$6=Inputs!$B$12,Inputs!$B$7,0)+BJ161-BJ164</f>
        <v>245.4475275</v>
      </c>
      <c r="BK166" s="33" t="n">
        <f aca="false">BJ166+IF(Source_Data!BK$6=Inputs!$B$12,Inputs!$B$7,0)+BK161-BK164</f>
        <v>245.4475275</v>
      </c>
    </row>
    <row r="167" customFormat="false" ht="15" hidden="false" customHeight="false" outlineLevel="0" collapsed="false">
      <c r="A167" s="3" t="s">
        <v>344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n">
        <f aca="false">IF(M164&gt;0,M161/M164,"")</f>
        <v>-0.529966989130434</v>
      </c>
      <c r="N167" s="31" t="n">
        <f aca="false">IF(N164&gt;0,N161/N164,"")</f>
        <v>1.74875678804348</v>
      </c>
      <c r="O167" s="31" t="n">
        <f aca="false">IF(O164&gt;0,O161/O164,"")</f>
        <v>23.3970170869565</v>
      </c>
      <c r="P167" s="31" t="n">
        <f aca="false">IF(P164&gt;0,P161/P164,"")</f>
        <v>-0.267145565217391</v>
      </c>
      <c r="Q167" s="31" t="n">
        <f aca="false">IF(Q164&gt;0,Q161/Q164,"")</f>
        <v>-0.820528695652175</v>
      </c>
      <c r="R167" s="31" t="n">
        <f aca="false">IF(R164&gt;0,R161/R164,"")</f>
        <v>-7.59391565217391</v>
      </c>
      <c r="S167" s="31" t="n">
        <f aca="false">IF(S164&gt;0,S161/S164,"")</f>
        <v>-5.99458597826087</v>
      </c>
      <c r="T167" s="31" t="n">
        <f aca="false">IF(T164&gt;0,T161/T164,"")</f>
        <v>1.37269402173913</v>
      </c>
      <c r="U167" s="31" t="n">
        <f aca="false">IF(U164&gt;0,U161/U164,"")</f>
        <v>1.20193229347826</v>
      </c>
      <c r="V167" s="31" t="n">
        <f aca="false">IF(V164&gt;0,V161/V164,"")</f>
        <v>0.846607288043478</v>
      </c>
      <c r="W167" s="31" t="n">
        <f aca="false">IF(W164&gt;0,W161/W164,"")</f>
        <v>0.767619961956522</v>
      </c>
      <c r="X167" s="31" t="n">
        <f aca="false">IF(X164&gt;0,X161/X164,"")</f>
        <v>1.629075375</v>
      </c>
      <c r="Y167" s="31" t="str">
        <f aca="false">IF(Y164&gt;0,Y161/Y164,"")</f>
        <v/>
      </c>
      <c r="Z167" s="31" t="str">
        <f aca="false">IF(Z164&gt;0,Z161/Z164,"")</f>
        <v/>
      </c>
      <c r="AA167" s="31" t="str">
        <f aca="false">IF(AA164&gt;0,AA161/AA164,"")</f>
        <v/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345</v>
      </c>
      <c r="D168" s="31" t="str">
        <f aca="false">IF(D164&gt;0,(0+D161+IF(Source_Data!D$6=Inputs!$B$12,Inputs!$B$7,0))/D164,"")</f>
        <v/>
      </c>
      <c r="E168" s="31" t="str">
        <f aca="false">IF(E164&gt;0,(D166+E161+IF(Source_Data!E$6=Inputs!$B$12,Inputs!$B$7,0))/E164,"")</f>
        <v/>
      </c>
      <c r="F168" s="31" t="str">
        <f aca="false">IF(F164&gt;0,(E166+F161+IF(Source_Data!F$6=Inputs!$B$12,Inputs!$B$7,0))/F164,"")</f>
        <v/>
      </c>
      <c r="G168" s="31" t="str">
        <f aca="false">IF(G164&gt;0,(F166+G161+IF(Source_Data!G$6=Inputs!$B$12,Inputs!$B$7,0))/G164,"")</f>
        <v/>
      </c>
      <c r="H168" s="31" t="str">
        <f aca="false">IF(H164&gt;0,(G166+H161+IF(Source_Data!H$6=Inputs!$B$12,Inputs!$B$7,0))/H164,"")</f>
        <v/>
      </c>
      <c r="I168" s="31" t="str">
        <f aca="false">IF(I164&gt;0,(H166+I161+IF(Source_Data!I$6=Inputs!$B$12,Inputs!$B$7,0))/I164,"")</f>
        <v/>
      </c>
      <c r="J168" s="31" t="str">
        <f aca="false">IF(J164&gt;0,(I166+J161+IF(Source_Data!J$6=Inputs!$B$12,Inputs!$B$7,0))/J164,"")</f>
        <v/>
      </c>
      <c r="K168" s="31" t="str">
        <f aca="false">IF(K164&gt;0,(J166+K161+IF(Source_Data!K$6=Inputs!$B$12,Inputs!$B$7,0))/K164,"")</f>
        <v/>
      </c>
      <c r="L168" s="31" t="str">
        <f aca="false">IF(L164&gt;0,(K166+L161+IF(Source_Data!L$6=Inputs!$B$12,Inputs!$B$7,0))/L164,"")</f>
        <v/>
      </c>
      <c r="M168" s="31" t="n">
        <f aca="false">IF(M164&gt;0,(L166+M161+IF(Source_Data!M$6=Inputs!$B$12,Inputs!$B$7,0))/M164,"")</f>
        <v>-7.07951918478261</v>
      </c>
      <c r="N168" s="31" t="n">
        <f aca="false">IF(N164&gt;0,(M166+N161+IF(Source_Data!N$6=Inputs!$B$12,Inputs!$B$7,0))/N164,"")</f>
        <v>-6.33076239673913</v>
      </c>
      <c r="O168" s="31" t="n">
        <f aca="false">IF(O164&gt;0,(N166+O161+IF(Source_Data!O$6=Inputs!$B$12,Inputs!$B$7,0))/O164,"")</f>
        <v>16.0662546902174</v>
      </c>
      <c r="P168" s="31" t="n">
        <f aca="false">IF(P164&gt;0,(O166+P161+IF(Source_Data!P$6=Inputs!$B$12,Inputs!$B$7,0))/P164,"")</f>
        <v>14.799109125</v>
      </c>
      <c r="Q168" s="31" t="n">
        <f aca="false">IF(Q164&gt;0,(P166+Q161+IF(Source_Data!Q$6=Inputs!$B$12,Inputs!$B$7,0))/Q164,"")</f>
        <v>12.9785804293478</v>
      </c>
      <c r="R168" s="31" t="n">
        <f aca="false">IF(R164&gt;0,(Q166+R161+IF(Source_Data!R$6=Inputs!$B$12,Inputs!$B$7,0))/R164,"")</f>
        <v>4.38466477717392</v>
      </c>
      <c r="S168" s="31" t="n">
        <f aca="false">IF(S164&gt;0,(R166+S161+IF(Source_Data!S$6=Inputs!$B$12,Inputs!$B$7,0))/S164,"")</f>
        <v>-2.60992120108695</v>
      </c>
      <c r="T168" s="31" t="n">
        <f aca="false">IF(T164&gt;0,(S166+T161+IF(Source_Data!T$6=Inputs!$B$12,Inputs!$B$7,0))/T164,"")</f>
        <v>-2.23722717934782</v>
      </c>
      <c r="U168" s="31" t="n">
        <f aca="false">IF(U164&gt;0,(T166+U161+IF(Source_Data!U$6=Inputs!$B$12,Inputs!$B$7,0))/U164,"")</f>
        <v>-2.03529488586956</v>
      </c>
      <c r="V168" s="31" t="n">
        <f aca="false">IF(V164&gt;0,(U166+V161+IF(Source_Data!V$6=Inputs!$B$12,Inputs!$B$7,0))/V164,"")</f>
        <v>-2.18868759782608</v>
      </c>
      <c r="W168" s="31" t="n">
        <f aca="false">IF(W164&gt;0,(V166+W161+IF(Source_Data!W$6=Inputs!$B$12,Inputs!$B$7,0))/W164,"")</f>
        <v>-2.42106763586956</v>
      </c>
      <c r="X168" s="31" t="n">
        <f aca="false">IF(X164&gt;0,(W166+X161+IF(Source_Data!X$6=Inputs!$B$12,Inputs!$B$7,0))/X164,"")</f>
        <v>-1.79199226086956</v>
      </c>
      <c r="Y168" s="31" t="str">
        <f aca="false">IF(Y164&gt;0,(X166+Y161+IF(Source_Data!Y$6=Inputs!$B$12,Inputs!$B$7,0))/Y164,"")</f>
        <v/>
      </c>
      <c r="Z168" s="31" t="str">
        <f aca="false">IF(Z164&gt;0,(Y166+Z161+IF(Source_Data!Z$6=Inputs!$B$12,Inputs!$B$7,0))/Z164,"")</f>
        <v/>
      </c>
      <c r="AA168" s="31" t="str">
        <f aca="false">IF(AA164&gt;0,(Z166+AA161+IF(Source_Data!AA$6=Inputs!$B$12,Inputs!$B$7,0))/AA164,"")</f>
        <v/>
      </c>
      <c r="AB168" s="31" t="str">
        <f aca="false">IF(AB164&gt;0,(AA166+AB161+IF(Source_Data!AB$6=Inputs!$B$12,Inputs!$B$7,0))/AB164,"")</f>
        <v/>
      </c>
      <c r="AC168" s="31" t="str">
        <f aca="false">IF(AC164&gt;0,(AB166+AC161+IF(Source_Data!AC$6=Inputs!$B$12,Inputs!$B$7,0))/AC164,"")</f>
        <v/>
      </c>
      <c r="AD168" s="31" t="str">
        <f aca="false">IF(AD164&gt;0,(AC166+AD161+IF(Source_Data!AD$6=Inputs!$B$12,Inputs!$B$7,0))/AD164,"")</f>
        <v/>
      </c>
      <c r="AE168" s="31" t="str">
        <f aca="false">IF(AE164&gt;0,(AD166+AE161+IF(Source_Data!AE$6=Inputs!$B$12,Inputs!$B$7,0))/AE164,"")</f>
        <v/>
      </c>
      <c r="AF168" s="31" t="str">
        <f aca="false">IF(AF164&gt;0,(AE166+AF161+IF(Source_Data!AF$6=Inputs!$B$12,Inputs!$B$7,0))/AF164,"")</f>
        <v/>
      </c>
      <c r="AG168" s="31" t="str">
        <f aca="false">IF(AG164&gt;0,(AF166+AG161+IF(Source_Data!AG$6=Inputs!$B$12,Inputs!$B$7,0))/AG164,"")</f>
        <v/>
      </c>
      <c r="AH168" s="31" t="str">
        <f aca="false">IF(AH164&gt;0,(AG166+AH161+IF(Source_Data!AH$6=Inputs!$B$12,Inputs!$B$7,0))/AH164,"")</f>
        <v/>
      </c>
      <c r="AI168" s="31" t="str">
        <f aca="false">IF(AI164&gt;0,(AH166+AI161+IF(Source_Data!AI$6=Inputs!$B$12,Inputs!$B$7,0))/AI164,"")</f>
        <v/>
      </c>
      <c r="AJ168" s="31" t="str">
        <f aca="false">IF(AJ164&gt;0,(AI166+AJ161+IF(Source_Data!AJ$6=Inputs!$B$12,Inputs!$B$7,0))/AJ164,"")</f>
        <v/>
      </c>
      <c r="AK168" s="31" t="str">
        <f aca="false">IF(AK164&gt;0,(AJ166+AK161+IF(Source_Data!AK$6=Inputs!$B$12,Inputs!$B$7,0))/AK164,"")</f>
        <v/>
      </c>
      <c r="AL168" s="31" t="str">
        <f aca="false">IF(AL164&gt;0,(AK166+AL161+IF(Source_Data!AL$6=Inputs!$B$12,Inputs!$B$7,0))/AL164,"")</f>
        <v/>
      </c>
      <c r="AM168" s="31" t="str">
        <f aca="false">IF(AM164&gt;0,(AL166+AM161+IF(Source_Data!AM$6=Inputs!$B$12,Inputs!$B$7,0))/AM164,"")</f>
        <v/>
      </c>
      <c r="AN168" s="31" t="str">
        <f aca="false">IF(AN164&gt;0,(AM166+AN161+IF(Source_Data!AN$6=Inputs!$B$12,Inputs!$B$7,0))/AN164,"")</f>
        <v/>
      </c>
      <c r="AO168" s="31" t="str">
        <f aca="false">IF(AO164&gt;0,(AN166+AO161+IF(Source_Data!AO$6=Inputs!$B$12,Inputs!$B$7,0))/AO164,"")</f>
        <v/>
      </c>
      <c r="AP168" s="31" t="str">
        <f aca="false">IF(AP164&gt;0,(AO166+AP161+IF(Source_Data!AP$6=Inputs!$B$12,Inputs!$B$7,0))/AP164,"")</f>
        <v/>
      </c>
      <c r="AQ168" s="31" t="str">
        <f aca="false">IF(AQ164&gt;0,(AP166+AQ161+IF(Source_Data!AQ$6=Inputs!$B$12,Inputs!$B$7,0))/AQ164,"")</f>
        <v/>
      </c>
      <c r="AR168" s="31" t="str">
        <f aca="false">IF(AR164&gt;0,(AQ166+AR161+IF(Source_Data!AR$6=Inputs!$B$12,Inputs!$B$7,0))/AR164,"")</f>
        <v/>
      </c>
      <c r="AS168" s="31" t="str">
        <f aca="false">IF(AS164&gt;0,(AR166+AS161+IF(Source_Data!AS$6=Inputs!$B$12,Inputs!$B$7,0))/AS164,"")</f>
        <v/>
      </c>
      <c r="AT168" s="31" t="str">
        <f aca="false">IF(AT164&gt;0,(AS166+AT161+IF(Source_Data!AT$6=Inputs!$B$12,Inputs!$B$7,0))/AT164,"")</f>
        <v/>
      </c>
      <c r="AU168" s="31" t="str">
        <f aca="false">IF(AU164&gt;0,(AT166+AU161+IF(Source_Data!AU$6=Inputs!$B$12,Inputs!$B$7,0))/AU164,"")</f>
        <v/>
      </c>
      <c r="AV168" s="31" t="str">
        <f aca="false">IF(AV164&gt;0,(AU166+AV161+IF(Source_Data!AV$6=Inputs!$B$12,Inputs!$B$7,0))/AV164,"")</f>
        <v/>
      </c>
      <c r="AW168" s="31" t="str">
        <f aca="false">IF(AW164&gt;0,(AV166+AW161+IF(Source_Data!AW$6=Inputs!$B$12,Inputs!$B$7,0))/AW164,"")</f>
        <v/>
      </c>
      <c r="AX168" s="31" t="str">
        <f aca="false">IF(AX164&gt;0,(AW166+AX161+IF(Source_Data!AX$6=Inputs!$B$12,Inputs!$B$7,0))/AX164,"")</f>
        <v/>
      </c>
      <c r="AY168" s="31" t="str">
        <f aca="false">IF(AY164&gt;0,(AX166+AY161+IF(Source_Data!AY$6=Inputs!$B$12,Inputs!$B$7,0))/AY164,"")</f>
        <v/>
      </c>
      <c r="AZ168" s="31" t="str">
        <f aca="false">IF(AZ164&gt;0,(AY166+AZ161+IF(Source_Data!AZ$6=Inputs!$B$12,Inputs!$B$7,0))/AZ164,"")</f>
        <v/>
      </c>
      <c r="BA168" s="31" t="str">
        <f aca="false">IF(BA164&gt;0,(AZ166+BA161+IF(Source_Data!BA$6=Inputs!$B$12,Inputs!$B$7,0))/BA164,"")</f>
        <v/>
      </c>
      <c r="BB168" s="31" t="str">
        <f aca="false">IF(BB164&gt;0,(BA166+BB161+IF(Source_Data!BB$6=Inputs!$B$12,Inputs!$B$7,0))/BB164,"")</f>
        <v/>
      </c>
      <c r="BC168" s="31" t="str">
        <f aca="false">IF(BC164&gt;0,(BB166+BC161+IF(Source_Data!BC$6=Inputs!$B$12,Inputs!$B$7,0))/BC164,"")</f>
        <v/>
      </c>
      <c r="BD168" s="31" t="str">
        <f aca="false">IF(BD164&gt;0,(BC166+BD161+IF(Source_Data!BD$6=Inputs!$B$12,Inputs!$B$7,0))/BD164,"")</f>
        <v/>
      </c>
      <c r="BE168" s="31" t="str">
        <f aca="false">IF(BE164&gt;0,(BD166+BE161+IF(Source_Data!BE$6=Inputs!$B$12,Inputs!$B$7,0))/BE164,"")</f>
        <v/>
      </c>
      <c r="BF168" s="31" t="str">
        <f aca="false">IF(BF164&gt;0,(BE166+BF161+IF(Source_Data!BF$6=Inputs!$B$12,Inputs!$B$7,0))/BF164,"")</f>
        <v/>
      </c>
      <c r="BG168" s="31" t="str">
        <f aca="false">IF(BG164&gt;0,(BF166+BG161+IF(Source_Data!BG$6=Inputs!$B$12,Inputs!$B$7,0))/BG164,"")</f>
        <v/>
      </c>
      <c r="BH168" s="31" t="str">
        <f aca="false">IF(BH164&gt;0,(BG166+BH161+IF(Source_Data!BH$6=Inputs!$B$12,Inputs!$B$7,0))/BH164,"")</f>
        <v/>
      </c>
      <c r="BI168" s="31" t="str">
        <f aca="false">IF(BI164&gt;0,(BH166+BI161+IF(Source_Data!BI$6=Inputs!$B$12,Inputs!$B$7,0))/BI164,"")</f>
        <v/>
      </c>
      <c r="BJ168" s="31" t="str">
        <f aca="false">IF(BJ164&gt;0,(BI166+BJ161+IF(Source_Data!BJ$6=Inputs!$B$12,Inputs!$B$7,0))/BJ164,"")</f>
        <v/>
      </c>
      <c r="BK168" s="31" t="str">
        <f aca="false">IF(BK164&gt;0,(BJ166+BK161+IF(Source_Data!BK$6=Inputs!$B$12,Inputs!$B$7,0))/BK164,"")</f>
        <v/>
      </c>
    </row>
    <row r="170" customFormat="false" ht="15" hidden="false" customHeight="false" outlineLevel="0" collapsed="false">
      <c r="A170" s="2" t="s">
        <v>220</v>
      </c>
      <c r="B170" s="41" t="n">
        <f aca="false">SUM(D161:BK161)</f>
        <v>375.4475275</v>
      </c>
    </row>
    <row r="171" customFormat="false" ht="15" hidden="false" customHeight="false" outlineLevel="0" collapsed="false">
      <c r="A171" s="2" t="s">
        <v>346</v>
      </c>
      <c r="B171" s="41" t="n">
        <f aca="false">SUMPRODUCT(D161:BK161,Project_CF!$D$15:$BK$15)</f>
        <v>125.464219288503</v>
      </c>
    </row>
    <row r="172" customFormat="false" ht="15" hidden="false" customHeight="false" outlineLevel="0" collapsed="false">
      <c r="A172" s="2" t="s">
        <v>162</v>
      </c>
      <c r="B172" s="41" t="n">
        <f aca="false">MIN(D162:BK162)</f>
        <v>-235.690784375</v>
      </c>
    </row>
    <row r="173" customFormat="false" ht="15" hidden="false" customHeight="false" outlineLevel="0" collapsed="false">
      <c r="A173" s="2" t="s">
        <v>347</v>
      </c>
      <c r="B173" s="35" t="n">
        <f aca="false">INDEX(Project_CF!$D$6:$BK$6,MATCH(MIN(D162:BK162),D162:BK162,0))</f>
        <v>30</v>
      </c>
    </row>
    <row r="174" customFormat="false" ht="15" hidden="false" customHeight="false" outlineLevel="0" collapsed="false">
      <c r="A174" s="2" t="s">
        <v>348</v>
      </c>
      <c r="B174" s="39" t="n">
        <f aca="false">(1+IRR(D163:BK163,0.05))^4-1</f>
        <v>0.264029906719608</v>
      </c>
    </row>
    <row r="175" customFormat="false" ht="15" hidden="false" customHeight="false" outlineLevel="0" collapsed="false">
      <c r="A175" s="2" t="s">
        <v>349</v>
      </c>
      <c r="B175" s="40" t="n">
        <f aca="false">SUMIF(D163:BK163,"&gt;0")/-SUMIF(D163:BK163,"&lt;0")</f>
        <v>2.78136200716846</v>
      </c>
    </row>
    <row r="176" customFormat="false" ht="15" hidden="false" customHeight="false" outlineLevel="0" collapsed="false">
      <c r="A176" s="2" t="s">
        <v>350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351</v>
      </c>
      <c r="B177" s="41" t="n">
        <f aca="false">MIN(D166:BK166)</f>
        <v>-154.857451041667</v>
      </c>
    </row>
    <row r="178" customFormat="false" ht="15" hidden="false" customHeight="false" outlineLevel="0" collapsed="false">
      <c r="A178" s="2" t="s">
        <v>352</v>
      </c>
      <c r="B178" s="43" t="n">
        <f aca="false">MIN(D167:BK167)</f>
        <v>-7.59391565217391</v>
      </c>
    </row>
    <row r="179" customFormat="false" ht="15" hidden="false" customHeight="false" outlineLevel="0" collapsed="false">
      <c r="A179" s="2" t="s">
        <v>353</v>
      </c>
      <c r="B179" s="35" t="n">
        <f aca="false">COUNTIF(D167:BK167,"&lt;"&amp;Inputs!$B$43)</f>
        <v>9</v>
      </c>
    </row>
    <row r="180" customFormat="false" ht="15" hidden="false" customHeight="false" outlineLevel="0" collapsed="false">
      <c r="A180" s="2" t="s">
        <v>354</v>
      </c>
      <c r="B180" s="43" t="n">
        <f aca="false">MIN(D168:BK168)</f>
        <v>-7.07951918478261</v>
      </c>
    </row>
    <row r="181" customFormat="false" ht="15" hidden="false" customHeight="false" outlineLevel="0" collapsed="false">
      <c r="A181" s="2" t="s">
        <v>355</v>
      </c>
      <c r="B181" s="35" t="n">
        <f aca="false">COUNTIF(D168:BK168,"&lt;"&amp;Inputs!$B$43)</f>
        <v>8</v>
      </c>
    </row>
    <row r="184" customFormat="false" ht="15" hidden="false" customHeight="false" outlineLevel="0" collapsed="false">
      <c r="A184" s="8" t="s">
        <v>65</v>
      </c>
    </row>
    <row r="185" customFormat="false" ht="15" hidden="false" customHeight="false" outlineLevel="0" collapsed="false">
      <c r="A185" s="3" t="s">
        <v>331</v>
      </c>
      <c r="B185" s="45" t="n">
        <v>1</v>
      </c>
    </row>
    <row r="186" customFormat="false" ht="15" hidden="false" customHeight="false" outlineLevel="0" collapsed="false">
      <c r="A186" s="3" t="s">
        <v>332</v>
      </c>
      <c r="B186" s="45" t="n">
        <v>0</v>
      </c>
    </row>
    <row r="187" customFormat="false" ht="15" hidden="false" customHeight="false" outlineLevel="0" collapsed="false">
      <c r="A187" s="3" t="s">
        <v>333</v>
      </c>
      <c r="B187" s="45" t="n">
        <v>1</v>
      </c>
    </row>
    <row r="188" customFormat="false" ht="15" hidden="false" customHeight="false" outlineLevel="0" collapsed="false">
      <c r="A188" s="3" t="s">
        <v>334</v>
      </c>
      <c r="B188" s="45" t="n">
        <v>0</v>
      </c>
    </row>
    <row r="189" customFormat="false" ht="15" hidden="false" customHeight="false" outlineLevel="0" collapsed="false">
      <c r="A189" s="3" t="s">
        <v>335</v>
      </c>
      <c r="B189" s="45" t="n">
        <v>1</v>
      </c>
    </row>
    <row r="190" customFormat="false" ht="15" hidden="false" customHeight="false" outlineLevel="0" collapsed="false">
      <c r="A190" s="3" t="s">
        <v>336</v>
      </c>
      <c r="B190" s="3" t="n">
        <f aca="false">Inputs!$B$13+3+3*$B$186</f>
        <v>51</v>
      </c>
    </row>
    <row r="191" customFormat="false" ht="15" hidden="false" customHeight="false" outlineLevel="0" collapsed="false">
      <c r="A191" s="3" t="s">
        <v>337</v>
      </c>
      <c r="D191" s="33" t="n">
        <f aca="false">Source_Data!D$7+IF($B$189=1,IF(Source_Data!D$6=Inputs!$B$13,Source_Data!$C$8,0),Source_Data!D$8)</f>
        <v>0</v>
      </c>
      <c r="E191" s="33" t="n">
        <f aca="false">Source_Data!E$7+IF($B$189=1,IF(Source_Data!E$6=Inputs!$B$13,Source_Data!$C$8,0),Source_Data!E$8)</f>
        <v>0</v>
      </c>
      <c r="F191" s="33" t="n">
        <f aca="false">Source_Data!F$7+IF($B$189=1,IF(Source_Data!F$6=Inputs!$B$13,Source_Data!$C$8,0),Source_Data!F$8)</f>
        <v>15.1392375</v>
      </c>
      <c r="G191" s="33" t="n">
        <f aca="false">Source_Data!G$7+IF($B$189=1,IF(Source_Data!G$6=Inputs!$B$13,Source_Data!$C$8,0),Source_Data!G$8)</f>
        <v>30.278475</v>
      </c>
      <c r="H191" s="33" t="n">
        <f aca="false">Source_Data!H$7+IF($B$189=1,IF(Source_Data!H$6=Inputs!$B$13,Source_Data!$C$8,0),Source_Data!H$8)</f>
        <v>46.51200625</v>
      </c>
      <c r="I191" s="33" t="n">
        <f aca="false">Source_Data!I$7+IF($B$189=1,IF(Source_Data!I$6=Inputs!$B$13,Source_Data!$C$8,0),Source_Data!I$8)</f>
        <v>62.7455375</v>
      </c>
      <c r="J191" s="33" t="n">
        <f aca="false">Source_Data!J$7+IF($B$189=1,IF(Source_Data!J$6=Inputs!$B$13,Source_Data!$C$8,0),Source_Data!J$8)</f>
        <v>62.3657</v>
      </c>
      <c r="K191" s="33" t="n">
        <f aca="false">Source_Data!K$7+IF($B$189=1,IF(Source_Data!K$6=Inputs!$B$13,Source_Data!$C$8,0),Source_Data!K$8)</f>
        <v>63.473559375</v>
      </c>
      <c r="L191" s="33" t="n">
        <f aca="false">Source_Data!L$7+IF($B$189=1,IF(Source_Data!L$6=Inputs!$B$13,Source_Data!$C$8,0),Source_Data!L$8)</f>
        <v>80.3288484375</v>
      </c>
      <c r="M191" s="33" t="n">
        <f aca="false">Source_Data!M$7+IF($B$189=1,IF(Source_Data!M$6=Inputs!$B$13,Source_Data!$C$8,0),Source_Data!M$8)</f>
        <v>103.0444875</v>
      </c>
      <c r="N191" s="33" t="n">
        <f aca="false">Source_Data!N$7+IF($B$189=1,IF(Source_Data!N$6=Inputs!$B$13,Source_Data!$C$8,0),Source_Data!N$8)</f>
        <v>127.69775</v>
      </c>
      <c r="O191" s="33" t="n">
        <f aca="false">Source_Data!O$7+IF($B$189=1,IF(Source_Data!O$6=Inputs!$B$13,Source_Data!$C$8,0),Source_Data!O$8)</f>
        <v>134.93275</v>
      </c>
      <c r="P191" s="33" t="n">
        <f aca="false">Source_Data!P$7+IF($B$189=1,IF(Source_Data!P$6=Inputs!$B$13,Source_Data!$C$8,0),Source_Data!P$8)</f>
        <v>97.31075</v>
      </c>
      <c r="Q191" s="33" t="n">
        <f aca="false">Source_Data!Q$7+IF($B$189=1,IF(Source_Data!Q$6=Inputs!$B$13,Source_Data!$C$8,0),Source_Data!Q$8)</f>
        <v>71.30996875</v>
      </c>
      <c r="R191" s="33" t="n">
        <f aca="false">Source_Data!R$7+IF($B$189=1,IF(Source_Data!R$6=Inputs!$B$13,Source_Data!$C$8,0),Source_Data!R$8)</f>
        <v>71.30996875</v>
      </c>
      <c r="S191" s="33" t="n">
        <f aca="false">Source_Data!S$7+IF($B$189=1,IF(Source_Data!S$6=Inputs!$B$13,Source_Data!$C$8,0),Source_Data!S$8)</f>
        <v>559.727635625</v>
      </c>
      <c r="T191" s="33" t="n">
        <f aca="false">Source_Data!T$7+IF($B$189=1,IF(Source_Data!T$6=Inputs!$B$13,Source_Data!$C$8,0),Source_Data!T$8)</f>
        <v>61.2266396875</v>
      </c>
      <c r="U191" s="33" t="n">
        <f aca="false">Source_Data!U$7+IF($B$189=1,IF(Source_Data!U$6=Inputs!$B$13,Source_Data!$C$8,0),Source_Data!U$8)</f>
        <v>59.7127159375</v>
      </c>
      <c r="V191" s="33" t="n">
        <f aca="false">Source_Data!V$7+IF($B$189=1,IF(Source_Data!V$6=Inputs!$B$13,Source_Data!$C$8,0),Source_Data!V$8)</f>
        <v>53.7239446875</v>
      </c>
      <c r="W191" s="33" t="n">
        <f aca="false">Source_Data!W$7+IF($B$189=1,IF(Source_Data!W$6=Inputs!$B$13,Source_Data!$C$8,0),Source_Data!W$8)</f>
        <v>49.3829446875</v>
      </c>
      <c r="X191" s="33" t="n">
        <f aca="false">Source_Data!X$7+IF($B$189=1,IF(Source_Data!X$6=Inputs!$B$13,Source_Data!$C$8,0),Source_Data!X$8)</f>
        <v>49.3829446875</v>
      </c>
      <c r="Y191" s="33" t="n">
        <f aca="false">Source_Data!Y$7+IF($B$189=1,IF(Source_Data!Y$6=Inputs!$B$13,Source_Data!$C$8,0),Source_Data!Y$8)</f>
        <v>42.1027259375</v>
      </c>
      <c r="Z191" s="33" t="n">
        <f aca="false">Source_Data!Z$7+IF($B$189=1,IF(Source_Data!Z$6=Inputs!$B$13,Source_Data!$C$8,0),Source_Data!Z$8)</f>
        <v>42.1027259375</v>
      </c>
      <c r="AA191" s="33" t="n">
        <f aca="false">Source_Data!AA$7+IF($B$189=1,IF(Source_Data!AA$6=Inputs!$B$13,Source_Data!$C$8,0),Source_Data!AA$8)</f>
        <v>42.1027259375</v>
      </c>
      <c r="AB191" s="33" t="n">
        <f aca="false">Source_Data!AB$7+IF($B$189=1,IF(Source_Data!AB$6=Inputs!$B$13,Source_Data!$C$8,0),Source_Data!AB$8)</f>
        <v>36.3147259375</v>
      </c>
      <c r="AC191" s="33" t="n">
        <f aca="false">Source_Data!AC$7+IF($B$189=1,IF(Source_Data!AC$6=Inputs!$B$13,Source_Data!$C$8,0),Source_Data!AC$8)</f>
        <v>33.0386275</v>
      </c>
      <c r="AD191" s="33" t="n">
        <f aca="false">Source_Data!AD$7+IF($B$189=1,IF(Source_Data!AD$6=Inputs!$B$13,Source_Data!$C$8,0),Source_Data!AD$8)</f>
        <v>29.43017125</v>
      </c>
      <c r="AE191" s="33" t="n">
        <f aca="false">Source_Data!AE$7+IF($B$189=1,IF(Source_Data!AE$6=Inputs!$B$13,Source_Data!$C$8,0),Source_Data!AE$8)</f>
        <v>25.08917125</v>
      </c>
      <c r="AF191" s="33" t="n">
        <f aca="false">Source_Data!AF$7+IF($B$189=1,IF(Source_Data!AF$6=Inputs!$B$13,Source_Data!$C$8,0),Source_Data!AF$8)</f>
        <v>25.08917125</v>
      </c>
      <c r="AG191" s="33" t="n">
        <f aca="false">Source_Data!AG$7+IF($B$189=1,IF(Source_Data!AG$6=Inputs!$B$13,Source_Data!$C$8,0),Source_Data!AG$8)</f>
        <v>25.08917125</v>
      </c>
      <c r="AH191" s="33" t="n">
        <f aca="false">Source_Data!AH$7+IF($B$189=1,IF(Source_Data!AH$6=Inputs!$B$13,Source_Data!$C$8,0),Source_Data!AH$8)</f>
        <v>25.08917125</v>
      </c>
      <c r="AI191" s="33" t="n">
        <f aca="false">Source_Data!AI$7+IF($B$189=1,IF(Source_Data!AI$6=Inputs!$B$13,Source_Data!$C$8,0),Source_Data!AI$8)</f>
        <v>25.08917125</v>
      </c>
      <c r="AJ191" s="33" t="n">
        <f aca="false">Source_Data!AJ$7+IF($B$189=1,IF(Source_Data!AJ$6=Inputs!$B$13,Source_Data!$C$8,0),Source_Data!AJ$8)</f>
        <v>25.08917125</v>
      </c>
      <c r="AK191" s="33" t="n">
        <f aca="false">Source_Data!AK$7+IF($B$189=1,IF(Source_Data!AK$6=Inputs!$B$13,Source_Data!$C$8,0),Source_Data!AK$8)</f>
        <v>22.905105625</v>
      </c>
      <c r="AL191" s="33" t="n">
        <f aca="false">Source_Data!AL$7+IF($B$189=1,IF(Source_Data!AL$6=Inputs!$B$13,Source_Data!$C$8,0),Source_Data!AL$8)</f>
        <v>22.905105625</v>
      </c>
      <c r="AM191" s="33" t="n">
        <f aca="false">Source_Data!AM$7+IF($B$189=1,IF(Source_Data!AM$6=Inputs!$B$13,Source_Data!$C$8,0),Source_Data!AM$8)</f>
        <v>18.739554375</v>
      </c>
      <c r="AN191" s="33" t="n">
        <f aca="false">Source_Data!AN$7+IF($B$189=1,IF(Source_Data!AN$6=Inputs!$B$13,Source_Data!$C$8,0),Source_Data!AN$8)</f>
        <v>9.6261675</v>
      </c>
      <c r="AO191" s="33" t="n">
        <f aca="false">Source_Data!AO$7+IF($B$189=1,IF(Source_Data!AO$6=Inputs!$B$13,Source_Data!$C$8,0),Source_Data!AO$8)</f>
        <v>3.5704725</v>
      </c>
      <c r="AP191" s="33" t="n">
        <f aca="false">Source_Data!AP$7+IF($B$189=1,IF(Source_Data!AP$6=Inputs!$B$13,Source_Data!$C$8,0),Source_Data!AP$8)</f>
        <v>0</v>
      </c>
      <c r="AQ191" s="33" t="n">
        <f aca="false">Source_Data!AQ$7+IF($B$189=1,IF(Source_Data!AQ$6=Inputs!$B$13,Source_Data!$C$8,0),Source_Data!AQ$8)</f>
        <v>0</v>
      </c>
      <c r="AR191" s="33" t="n">
        <f aca="false">Source_Data!AR$7+IF($B$189=1,IF(Source_Data!AR$6=Inputs!$B$13,Source_Data!$C$8,0),Source_Data!AR$8)</f>
        <v>0</v>
      </c>
      <c r="AS191" s="33" t="n">
        <f aca="false">Source_Data!AS$7+IF($B$189=1,IF(Source_Data!AS$6=Inputs!$B$13,Source_Data!$C$8,0),Source_Data!AS$8)</f>
        <v>0</v>
      </c>
      <c r="AT191" s="33" t="n">
        <f aca="false">Source_Data!AT$7+IF($B$189=1,IF(Source_Data!AT$6=Inputs!$B$13,Source_Data!$C$8,0),Source_Data!AT$8)</f>
        <v>0</v>
      </c>
      <c r="AU191" s="33" t="n">
        <f aca="false">Source_Data!AU$7+IF($B$189=1,IF(Source_Data!AU$6=Inputs!$B$13,Source_Data!$C$8,0),Source_Data!AU$8)</f>
        <v>0</v>
      </c>
      <c r="AV191" s="33" t="n">
        <f aca="false">Source_Data!AV$7+IF($B$189=1,IF(Source_Data!AV$6=Inputs!$B$13,Source_Data!$C$8,0),Source_Data!AV$8)</f>
        <v>0</v>
      </c>
      <c r="AW191" s="33" t="n">
        <f aca="false">Source_Data!AW$7+IF($B$189=1,IF(Source_Data!AW$6=Inputs!$B$13,Source_Data!$C$8,0),Source_Data!AW$8)</f>
        <v>0</v>
      </c>
      <c r="AX191" s="33" t="n">
        <f aca="false">Source_Data!AX$7+IF($B$189=1,IF(Source_Data!AX$6=Inputs!$B$13,Source_Data!$C$8,0),Source_Data!AX$8)</f>
        <v>0</v>
      </c>
      <c r="AY191" s="33" t="n">
        <f aca="false">Source_Data!AY$7+IF($B$189=1,IF(Source_Data!AY$6=Inputs!$B$13,Source_Data!$C$8,0),Source_Data!AY$8)</f>
        <v>0</v>
      </c>
      <c r="AZ191" s="33" t="n">
        <f aca="false">Source_Data!AZ$7+IF($B$189=1,IF(Source_Data!AZ$6=Inputs!$B$13,Source_Data!$C$8,0),Source_Data!AZ$8)</f>
        <v>0</v>
      </c>
      <c r="BA191" s="33" t="n">
        <f aca="false">Source_Data!BA$7+IF($B$189=1,IF(Source_Data!BA$6=Inputs!$B$13,Source_Data!$C$8,0),Source_Data!BA$8)</f>
        <v>0</v>
      </c>
      <c r="BB191" s="33" t="n">
        <f aca="false">Source_Data!BB$7+IF($B$189=1,IF(Source_Data!BB$6=Inputs!$B$13,Source_Data!$C$8,0),Source_Data!BB$8)</f>
        <v>0</v>
      </c>
      <c r="BC191" s="33" t="n">
        <f aca="false">Source_Data!BC$7+IF($B$189=1,IF(Source_Data!BC$6=Inputs!$B$13,Source_Data!$C$8,0),Source_Data!BC$8)</f>
        <v>0</v>
      </c>
      <c r="BD191" s="33" t="n">
        <f aca="false">Source_Data!BD$7+IF($B$189=1,IF(Source_Data!BD$6=Inputs!$B$13,Source_Data!$C$8,0),Source_Data!BD$8)</f>
        <v>0</v>
      </c>
      <c r="BE191" s="33" t="n">
        <f aca="false">Source_Data!BE$7+IF($B$189=1,IF(Source_Data!BE$6=Inputs!$B$13,Source_Data!$C$8,0),Source_Data!BE$8)</f>
        <v>0</v>
      </c>
      <c r="BF191" s="33" t="n">
        <f aca="false">Source_Data!BF$7+IF($B$189=1,IF(Source_Data!BF$6=Inputs!$B$13,Source_Data!$C$8,0),Source_Data!BF$8)</f>
        <v>0</v>
      </c>
      <c r="BG191" s="33" t="n">
        <f aca="false">Source_Data!BG$7+IF($B$189=1,IF(Source_Data!BG$6=Inputs!$B$13,Source_Data!$C$8,0),Source_Data!BG$8)</f>
        <v>0</v>
      </c>
      <c r="BH191" s="33" t="n">
        <f aca="false">Source_Data!BH$7+IF($B$189=1,IF(Source_Data!BH$6=Inputs!$B$13,Source_Data!$C$8,0),Source_Data!BH$8)</f>
        <v>0</v>
      </c>
      <c r="BI191" s="33" t="n">
        <f aca="false">Source_Data!BI$7+IF($B$189=1,IF(Source_Data!BI$6=Inputs!$B$13,Source_Data!$C$8,0),Source_Data!BI$8)</f>
        <v>0</v>
      </c>
      <c r="BJ191" s="33" t="n">
        <f aca="false">Source_Data!BJ$7+IF($B$189=1,IF(Source_Data!BJ$6=Inputs!$B$13,Source_Data!$C$8,0),Source_Data!BJ$8)</f>
        <v>0</v>
      </c>
      <c r="BK191" s="33" t="n">
        <f aca="false">Source_Data!BK$7+IF($B$189=1,IF(Source_Data!BK$6=Inputs!$B$13,Source_Data!$C$8,0),Source_Data!BK$8)</f>
        <v>0</v>
      </c>
    </row>
    <row r="192" customFormat="false" ht="15" hidden="false" customHeight="false" outlineLevel="0" collapsed="false">
      <c r="A192" s="3" t="s">
        <v>338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15.1392375</v>
      </c>
      <c r="G192" s="33" t="n">
        <f aca="false">$B$185*IF(Source_Data!G$5-($B$186+$B$188)&gt;=1,INDEX($D$191:$BK$191,1,Source_Data!G$5-($B$186+$B$188)),0)</f>
        <v>30.278475</v>
      </c>
      <c r="H192" s="33" t="n">
        <f aca="false">$B$185*IF(Source_Data!H$5-($B$186+$B$188)&gt;=1,INDEX($D$191:$BK$191,1,Source_Data!H$5-($B$186+$B$188)),0)</f>
        <v>46.51200625</v>
      </c>
      <c r="I192" s="33" t="n">
        <f aca="false">$B$185*IF(Source_Data!I$5-($B$186+$B$188)&gt;=1,INDEX($D$191:$BK$191,1,Source_Data!I$5-($B$186+$B$188)),0)</f>
        <v>62.7455375</v>
      </c>
      <c r="J192" s="33" t="n">
        <f aca="false">$B$185*IF(Source_Data!J$5-($B$186+$B$188)&gt;=1,INDEX($D$191:$BK$191,1,Source_Data!J$5-($B$186+$B$188)),0)</f>
        <v>62.3657</v>
      </c>
      <c r="K192" s="33" t="n">
        <f aca="false">$B$185*IF(Source_Data!K$5-($B$186+$B$188)&gt;=1,INDEX($D$191:$BK$191,1,Source_Data!K$5-($B$186+$B$188)),0)</f>
        <v>63.473559375</v>
      </c>
      <c r="L192" s="33" t="n">
        <f aca="false">$B$185*IF(Source_Data!L$5-($B$186+$B$188)&gt;=1,INDEX($D$191:$BK$191,1,Source_Data!L$5-($B$186+$B$188)),0)</f>
        <v>80.3288484375</v>
      </c>
      <c r="M192" s="33" t="n">
        <f aca="false">$B$185*IF(Source_Data!M$5-($B$186+$B$188)&gt;=1,INDEX($D$191:$BK$191,1,Source_Data!M$5-($B$186+$B$188)),0)</f>
        <v>103.0444875</v>
      </c>
      <c r="N192" s="33" t="n">
        <f aca="false">$B$185*IF(Source_Data!N$5-($B$186+$B$188)&gt;=1,INDEX($D$191:$BK$191,1,Source_Data!N$5-($B$186+$B$188)),0)</f>
        <v>127.69775</v>
      </c>
      <c r="O192" s="33" t="n">
        <f aca="false">$B$185*IF(Source_Data!O$5-($B$186+$B$188)&gt;=1,INDEX($D$191:$BK$191,1,Source_Data!O$5-($B$186+$B$188)),0)</f>
        <v>134.93275</v>
      </c>
      <c r="P192" s="33" t="n">
        <f aca="false">$B$185*IF(Source_Data!P$5-($B$186+$B$188)&gt;=1,INDEX($D$191:$BK$191,1,Source_Data!P$5-($B$186+$B$188)),0)</f>
        <v>97.31075</v>
      </c>
      <c r="Q192" s="33" t="n">
        <f aca="false">$B$185*IF(Source_Data!Q$5-($B$186+$B$188)&gt;=1,INDEX($D$191:$BK$191,1,Source_Data!Q$5-($B$186+$B$188)),0)</f>
        <v>71.30996875</v>
      </c>
      <c r="R192" s="33" t="n">
        <f aca="false">$B$185*IF(Source_Data!R$5-($B$186+$B$188)&gt;=1,INDEX($D$191:$BK$191,1,Source_Data!R$5-($B$186+$B$188)),0)</f>
        <v>71.30996875</v>
      </c>
      <c r="S192" s="33" t="n">
        <f aca="false">$B$185*IF(Source_Data!S$5-($B$186+$B$188)&gt;=1,INDEX($D$191:$BK$191,1,Source_Data!S$5-($B$186+$B$188)),0)</f>
        <v>559.727635625</v>
      </c>
      <c r="T192" s="33" t="n">
        <f aca="false">$B$185*IF(Source_Data!T$5-($B$186+$B$188)&gt;=1,INDEX($D$191:$BK$191,1,Source_Data!T$5-($B$186+$B$188)),0)</f>
        <v>61.2266396875</v>
      </c>
      <c r="U192" s="33" t="n">
        <f aca="false">$B$185*IF(Source_Data!U$5-($B$186+$B$188)&gt;=1,INDEX($D$191:$BK$191,1,Source_Data!U$5-($B$186+$B$188)),0)</f>
        <v>59.7127159375</v>
      </c>
      <c r="V192" s="33" t="n">
        <f aca="false">$B$185*IF(Source_Data!V$5-($B$186+$B$188)&gt;=1,INDEX($D$191:$BK$191,1,Source_Data!V$5-($B$186+$B$188)),0)</f>
        <v>53.7239446875</v>
      </c>
      <c r="W192" s="33" t="n">
        <f aca="false">$B$185*IF(Source_Data!W$5-($B$186+$B$188)&gt;=1,INDEX($D$191:$BK$191,1,Source_Data!W$5-($B$186+$B$188)),0)</f>
        <v>49.3829446875</v>
      </c>
      <c r="X192" s="33" t="n">
        <f aca="false">$B$185*IF(Source_Data!X$5-($B$186+$B$188)&gt;=1,INDEX($D$191:$BK$191,1,Source_Data!X$5-($B$186+$B$188)),0)</f>
        <v>49.3829446875</v>
      </c>
      <c r="Y192" s="33" t="n">
        <f aca="false">$B$185*IF(Source_Data!Y$5-($B$186+$B$188)&gt;=1,INDEX($D$191:$BK$191,1,Source_Data!Y$5-($B$186+$B$188)),0)</f>
        <v>42.1027259375</v>
      </c>
      <c r="Z192" s="33" t="n">
        <f aca="false">$B$185*IF(Source_Data!Z$5-($B$186+$B$188)&gt;=1,INDEX($D$191:$BK$191,1,Source_Data!Z$5-($B$186+$B$188)),0)</f>
        <v>42.1027259375</v>
      </c>
      <c r="AA192" s="33" t="n">
        <f aca="false">$B$185*IF(Source_Data!AA$5-($B$186+$B$188)&gt;=1,INDEX($D$191:$BK$191,1,Source_Data!AA$5-($B$186+$B$188)),0)</f>
        <v>42.1027259375</v>
      </c>
      <c r="AB192" s="33" t="n">
        <f aca="false">$B$185*IF(Source_Data!AB$5-($B$186+$B$188)&gt;=1,INDEX($D$191:$BK$191,1,Source_Data!AB$5-($B$186+$B$188)),0)</f>
        <v>36.3147259375</v>
      </c>
      <c r="AC192" s="33" t="n">
        <f aca="false">$B$185*IF(Source_Data!AC$5-($B$186+$B$188)&gt;=1,INDEX($D$191:$BK$191,1,Source_Data!AC$5-($B$186+$B$188)),0)</f>
        <v>33.0386275</v>
      </c>
      <c r="AD192" s="33" t="n">
        <f aca="false">$B$185*IF(Source_Data!AD$5-($B$186+$B$188)&gt;=1,INDEX($D$191:$BK$191,1,Source_Data!AD$5-($B$186+$B$188)),0)</f>
        <v>29.43017125</v>
      </c>
      <c r="AE192" s="33" t="n">
        <f aca="false">$B$185*IF(Source_Data!AE$5-($B$186+$B$188)&gt;=1,INDEX($D$191:$BK$191,1,Source_Data!AE$5-($B$186+$B$188)),0)</f>
        <v>25.08917125</v>
      </c>
      <c r="AF192" s="33" t="n">
        <f aca="false">$B$185*IF(Source_Data!AF$5-($B$186+$B$188)&gt;=1,INDEX($D$191:$BK$191,1,Source_Data!AF$5-($B$186+$B$188)),0)</f>
        <v>25.08917125</v>
      </c>
      <c r="AG192" s="33" t="n">
        <f aca="false">$B$185*IF(Source_Data!AG$5-($B$186+$B$188)&gt;=1,INDEX($D$191:$BK$191,1,Source_Data!AG$5-($B$186+$B$188)),0)</f>
        <v>25.08917125</v>
      </c>
      <c r="AH192" s="33" t="n">
        <f aca="false">$B$185*IF(Source_Data!AH$5-($B$186+$B$188)&gt;=1,INDEX($D$191:$BK$191,1,Source_Data!AH$5-($B$186+$B$188)),0)</f>
        <v>25.08917125</v>
      </c>
      <c r="AI192" s="33" t="n">
        <f aca="false">$B$185*IF(Source_Data!AI$5-($B$186+$B$188)&gt;=1,INDEX($D$191:$BK$191,1,Source_Data!AI$5-($B$186+$B$188)),0)</f>
        <v>25.08917125</v>
      </c>
      <c r="AJ192" s="33" t="n">
        <f aca="false">$B$185*IF(Source_Data!AJ$5-($B$186+$B$188)&gt;=1,INDEX($D$191:$BK$191,1,Source_Data!AJ$5-($B$186+$B$188)),0)</f>
        <v>25.08917125</v>
      </c>
      <c r="AK192" s="33" t="n">
        <f aca="false">$B$185*IF(Source_Data!AK$5-($B$186+$B$188)&gt;=1,INDEX($D$191:$BK$191,1,Source_Data!AK$5-($B$186+$B$188)),0)</f>
        <v>22.905105625</v>
      </c>
      <c r="AL192" s="33" t="n">
        <f aca="false">$B$185*IF(Source_Data!AL$5-($B$186+$B$188)&gt;=1,INDEX($D$191:$BK$191,1,Source_Data!AL$5-($B$186+$B$188)),0)</f>
        <v>22.905105625</v>
      </c>
      <c r="AM192" s="33" t="n">
        <f aca="false">$B$185*IF(Source_Data!AM$5-($B$186+$B$188)&gt;=1,INDEX($D$191:$BK$191,1,Source_Data!AM$5-($B$186+$B$188)),0)</f>
        <v>18.739554375</v>
      </c>
      <c r="AN192" s="33" t="n">
        <f aca="false">$B$185*IF(Source_Data!AN$5-($B$186+$B$188)&gt;=1,INDEX($D$191:$BK$191,1,Source_Data!AN$5-($B$186+$B$188)),0)</f>
        <v>9.6261675</v>
      </c>
      <c r="AO192" s="33" t="n">
        <f aca="false">$B$185*IF(Source_Data!AO$5-($B$186+$B$188)&gt;=1,INDEX($D$191:$BK$191,1,Source_Data!AO$5-($B$186+$B$188)),0)</f>
        <v>3.5704725</v>
      </c>
      <c r="AP192" s="33" t="n">
        <f aca="false">$B$185*IF(Source_Data!AP$5-($B$186+$B$188)&gt;=1,INDEX($D$191:$BK$191,1,Source_Data!AP$5-($B$186+$B$188)),0)</f>
        <v>0</v>
      </c>
      <c r="AQ192" s="33" t="n">
        <f aca="false">$B$185*IF(Source_Data!AQ$5-($B$186+$B$188)&gt;=1,INDEX($D$191:$BK$191,1,Source_Data!AQ$5-($B$186+$B$188)),0)</f>
        <v>0</v>
      </c>
      <c r="AR192" s="33" t="n">
        <f aca="false">$B$185*IF(Source_Data!AR$5-($B$186+$B$188)&gt;=1,INDEX($D$191:$BK$191,1,Source_Data!AR$5-($B$186+$B$188)),0)</f>
        <v>0</v>
      </c>
      <c r="AS192" s="33" t="n">
        <f aca="false">$B$185*IF(Source_Data!AS$5-($B$186+$B$188)&gt;=1,INDEX($D$191:$BK$191,1,Source_Data!AS$5-($B$186+$B$188)),0)</f>
        <v>0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339</v>
      </c>
      <c r="D193" s="33" t="n">
        <f aca="false">Source_Data!D$9+Source_Data!D$10*IF(Source_Data!$C$10=0,0,MAX(0,Inputs!$B$19*Inputs!$B$22*$B$185-Inputs!$B$20)/Source_Data!$C$10)</f>
        <v>91.25</v>
      </c>
      <c r="E193" s="33" t="n">
        <f aca="false">Source_Data!E$9+Source_Data!E$10*IF(Source_Data!$C$10=0,0,MAX(0,Inputs!$B$19*Inputs!$B$22*$B$185-Inputs!$B$20)/Source_Data!$C$10)</f>
        <v>11.25</v>
      </c>
      <c r="F193" s="33" t="n">
        <f aca="false">Source_Data!F$9+Source_Data!F$10*IF(Source_Data!$C$10=0,0,MAX(0,Inputs!$B$19*Inputs!$B$22*$B$185-Inputs!$B$20)/Source_Data!$C$10)</f>
        <v>11.25</v>
      </c>
      <c r="G193" s="33" t="n">
        <f aca="false">Source_Data!G$9+Source_Data!G$10*IF(Source_Data!$C$10=0,0,MAX(0,Inputs!$B$19*Inputs!$B$22*$B$185-Inputs!$B$20)/Source_Data!$C$10)</f>
        <v>11.25</v>
      </c>
      <c r="H193" s="33" t="n">
        <f aca="false">Source_Data!H$9+Source_Data!H$10*IF(Source_Data!$C$10=0,0,MAX(0,Inputs!$B$19*Inputs!$B$22*$B$185-Inputs!$B$20)/Source_Data!$C$10)</f>
        <v>22.5</v>
      </c>
      <c r="I193" s="33" t="n">
        <f aca="false">Source_Data!I$9+Source_Data!I$10*IF(Source_Data!$C$10=0,0,MAX(0,Inputs!$B$19*Inputs!$B$22*$B$185-Inputs!$B$20)/Source_Data!$C$10)</f>
        <v>22.5</v>
      </c>
      <c r="J193" s="33" t="n">
        <f aca="false">Source_Data!J$9+Source_Data!J$10*IF(Source_Data!$C$10=0,0,MAX(0,Inputs!$B$19*Inputs!$B$22*$B$185-Inputs!$B$20)/Source_Data!$C$10)</f>
        <v>22.5</v>
      </c>
      <c r="K193" s="33" t="n">
        <f aca="false">Source_Data!K$9+Source_Data!K$10*IF(Source_Data!$C$10=0,0,MAX(0,Inputs!$B$19*Inputs!$B$22*$B$185-Inputs!$B$20)/Source_Data!$C$10)</f>
        <v>22.5</v>
      </c>
      <c r="L193" s="33" t="n">
        <f aca="false">Source_Data!L$9+Source_Data!L$10*IF(Source_Data!$C$10=0,0,MAX(0,Inputs!$B$19*Inputs!$B$22*$B$185-Inputs!$B$20)/Source_Data!$C$10)</f>
        <v>33.75</v>
      </c>
      <c r="M193" s="33" t="n">
        <f aca="false">Source_Data!M$9+Source_Data!M$10*IF(Source_Data!$C$10=0,0,MAX(0,Inputs!$B$19*Inputs!$B$22*$B$185-Inputs!$B$20)/Source_Data!$C$10)</f>
        <v>33.75</v>
      </c>
      <c r="N193" s="33" t="n">
        <f aca="false">Source_Data!N$9+Source_Data!N$10*IF(Source_Data!$C$10=0,0,MAX(0,Inputs!$B$19*Inputs!$B$22*$B$185-Inputs!$B$20)/Source_Data!$C$10)</f>
        <v>33.75</v>
      </c>
      <c r="O193" s="33" t="n">
        <f aca="false">Source_Data!O$9+Source_Data!O$10*IF(Source_Data!$C$10=0,0,MAX(0,Inputs!$B$19*Inputs!$B$22*$B$185-Inputs!$B$20)/Source_Data!$C$10)</f>
        <v>33.75</v>
      </c>
      <c r="P193" s="33" t="n">
        <f aca="false">Source_Data!P$9+Source_Data!P$10*IF(Source_Data!$C$10=0,0,MAX(0,Inputs!$B$19*Inputs!$B$22*$B$185-Inputs!$B$20)/Source_Data!$C$10)</f>
        <v>45</v>
      </c>
      <c r="Q193" s="33" t="n">
        <f aca="false">Source_Data!Q$9+Source_Data!Q$10*IF(Source_Data!$C$10=0,0,MAX(0,Inputs!$B$19*Inputs!$B$22*$B$185-Inputs!$B$20)/Source_Data!$C$10)</f>
        <v>45</v>
      </c>
      <c r="R193" s="33" t="n">
        <f aca="false">Source_Data!R$9+Source_Data!R$10*IF(Source_Data!$C$10=0,0,MAX(0,Inputs!$B$19*Inputs!$B$22*$B$185-Inputs!$B$20)/Source_Data!$C$10)</f>
        <v>45</v>
      </c>
      <c r="S193" s="33" t="n">
        <f aca="false">Source_Data!S$9+Source_Data!S$10*IF(Source_Data!$C$10=0,0,MAX(0,Inputs!$B$19*Inputs!$B$22*$B$185-Inputs!$B$20)/Source_Data!$C$10)</f>
        <v>45</v>
      </c>
      <c r="T193" s="33" t="n">
        <f aca="false">Source_Data!T$9+Source_Data!T$10*IF(Source_Data!$C$10=0,0,MAX(0,Inputs!$B$19*Inputs!$B$22*$B$185-Inputs!$B$20)/Source_Data!$C$10)</f>
        <v>45</v>
      </c>
      <c r="U193" s="33" t="n">
        <f aca="false">Source_Data!U$9+Source_Data!U$10*IF(Source_Data!$C$10=0,0,MAX(0,Inputs!$B$19*Inputs!$B$22*$B$185-Inputs!$B$20)/Source_Data!$C$10)</f>
        <v>45</v>
      </c>
      <c r="V193" s="33" t="n">
        <f aca="false">Source_Data!V$9+Source_Data!V$10*IF(Source_Data!$C$10=0,0,MAX(0,Inputs!$B$19*Inputs!$B$22*$B$185-Inputs!$B$20)/Source_Data!$C$10)</f>
        <v>45</v>
      </c>
      <c r="W193" s="33" t="n">
        <f aca="false">Source_Data!W$9+Source_Data!W$10*IF(Source_Data!$C$10=0,0,MAX(0,Inputs!$B$19*Inputs!$B$22*$B$185-Inputs!$B$20)/Source_Data!$C$10)</f>
        <v>45</v>
      </c>
      <c r="X193" s="33" t="n">
        <f aca="false">Source_Data!X$9+Source_Data!X$10*IF(Source_Data!$C$10=0,0,MAX(0,Inputs!$B$19*Inputs!$B$22*$B$185-Inputs!$B$20)/Source_Data!$C$10)</f>
        <v>22.5</v>
      </c>
      <c r="Y193" s="33" t="n">
        <f aca="false">Source_Data!Y$9+Source_Data!Y$10*IF(Source_Data!$C$10=0,0,MAX(0,Inputs!$B$19*Inputs!$B$22*$B$185-Inputs!$B$20)/Source_Data!$C$10)</f>
        <v>22.5</v>
      </c>
      <c r="Z193" s="33" t="n">
        <f aca="false">Source_Data!Z$9+Source_Data!Z$10*IF(Source_Data!$C$10=0,0,MAX(0,Inputs!$B$19*Inputs!$B$22*$B$185-Inputs!$B$20)/Source_Data!$C$10)</f>
        <v>22.5</v>
      </c>
      <c r="AA193" s="33" t="n">
        <f aca="false">Source_Data!AA$9+Source_Data!AA$10*IF(Source_Data!$C$10=0,0,MAX(0,Inputs!$B$19*Inputs!$B$22*$B$185-Inputs!$B$20)/Source_Data!$C$10)</f>
        <v>22.5</v>
      </c>
      <c r="AB193" s="33" t="n">
        <f aca="false">Source_Data!AB$9+Source_Data!AB$10*IF(Source_Data!$C$10=0,0,MAX(0,Inputs!$B$19*Inputs!$B$22*$B$185-Inputs!$B$20)/Source_Data!$C$10)</f>
        <v>0</v>
      </c>
      <c r="AC193" s="33" t="n">
        <f aca="false">Source_Data!AC$9+Source_Data!AC$10*IF(Source_Data!$C$10=0,0,MAX(0,Inputs!$B$19*Inputs!$B$22*$B$185-Inputs!$B$20)/Source_Data!$C$10)</f>
        <v>0</v>
      </c>
      <c r="AD193" s="33" t="n">
        <f aca="false">Source_Data!AD$9+Source_Data!AD$10*IF(Source_Data!$C$10=0,0,MAX(0,Inputs!$B$19*Inputs!$B$22*$B$185-Inputs!$B$20)/Source_Data!$C$10)</f>
        <v>0</v>
      </c>
      <c r="AE193" s="33" t="n">
        <f aca="false">Source_Data!AE$9+Source_Data!AE$10*IF(Source_Data!$C$10=0,0,MAX(0,Inputs!$B$19*Inputs!$B$22*$B$185-Inputs!$B$20)/Source_Data!$C$10)</f>
        <v>0</v>
      </c>
      <c r="AF193" s="33" t="n">
        <f aca="false">Source_Data!AF$9+Source_Data!AF$10*IF(Source_Data!$C$10=0,0,MAX(0,Inputs!$B$19*Inputs!$B$22*$B$185-Inputs!$B$20)/Source_Data!$C$10)</f>
        <v>107.758210351563</v>
      </c>
      <c r="AG193" s="33" t="n">
        <f aca="false">Source_Data!AG$9+Source_Data!AG$10*IF(Source_Data!$C$10=0,0,MAX(0,Inputs!$B$19*Inputs!$B$22*$B$185-Inputs!$B$20)/Source_Data!$C$10)</f>
        <v>10.976512421875</v>
      </c>
      <c r="AH193" s="33" t="n">
        <f aca="false">Source_Data!AH$9+Source_Data!AH$10*IF(Source_Data!$C$10=0,0,MAX(0,Inputs!$B$19*Inputs!$B$22*$B$185-Inputs!$B$20)/Source_Data!$C$10)</f>
        <v>10.976512421875</v>
      </c>
      <c r="AI193" s="33" t="n">
        <f aca="false">Source_Data!AI$9+Source_Data!AI$10*IF(Source_Data!$C$10=0,0,MAX(0,Inputs!$B$19*Inputs!$B$22*$B$185-Inputs!$B$20)/Source_Data!$C$10)</f>
        <v>10.976512421875</v>
      </c>
      <c r="AJ193" s="33" t="n">
        <f aca="false">Source_Data!AJ$9+Source_Data!AJ$10*IF(Source_Data!$C$10=0,0,MAX(0,Inputs!$B$19*Inputs!$B$22*$B$185-Inputs!$B$20)/Source_Data!$C$10)</f>
        <v>10.976512421875</v>
      </c>
      <c r="AK193" s="33" t="n">
        <f aca="false">Source_Data!AK$9+Source_Data!AK$10*IF(Source_Data!$C$10=0,0,MAX(0,Inputs!$B$19*Inputs!$B$22*$B$185-Inputs!$B$20)/Source_Data!$C$10)</f>
        <v>10.0209837109375</v>
      </c>
      <c r="AL193" s="33" t="n">
        <f aca="false">Source_Data!AL$9+Source_Data!AL$10*IF(Source_Data!$C$10=0,0,MAX(0,Inputs!$B$19*Inputs!$B$22*$B$185-Inputs!$B$20)/Source_Data!$C$10)</f>
        <v>10.0209837109375</v>
      </c>
      <c r="AM193" s="33" t="n">
        <f aca="false">Source_Data!AM$9+Source_Data!AM$10*IF(Source_Data!$C$10=0,0,MAX(0,Inputs!$B$19*Inputs!$B$22*$B$185-Inputs!$B$20)/Source_Data!$C$10)</f>
        <v>8.19855503906249</v>
      </c>
      <c r="AN193" s="33" t="n">
        <f aca="false">Source_Data!AN$9+Source_Data!AN$10*IF(Source_Data!$C$10=0,0,MAX(0,Inputs!$B$19*Inputs!$B$22*$B$185-Inputs!$B$20)/Source_Data!$C$10)</f>
        <v>4.21144828125</v>
      </c>
      <c r="AO193" s="33" t="n">
        <f aca="false">Source_Data!AO$9+Source_Data!AO$10*IF(Source_Data!$C$10=0,0,MAX(0,Inputs!$B$19*Inputs!$B$22*$B$185-Inputs!$B$20)/Source_Data!$C$10)</f>
        <v>1.56208171875</v>
      </c>
      <c r="AP193" s="33" t="n">
        <f aca="false">Source_Data!AP$9+Source_Data!AP$10*IF(Source_Data!$C$10=0,0,MAX(0,Inputs!$B$19*Inputs!$B$22*$B$185-Inputs!$B$20)/Source_Data!$C$10)</f>
        <v>0</v>
      </c>
      <c r="AQ193" s="33" t="n">
        <f aca="false">Source_Data!AQ$9+Source_Data!AQ$10*IF(Source_Data!$C$10=0,0,MAX(0,Inputs!$B$19*Inputs!$B$22*$B$185-Inputs!$B$20)/Source_Data!$C$10)</f>
        <v>0</v>
      </c>
      <c r="AR193" s="33" t="n">
        <f aca="false">Source_Data!AR$9+Source_Data!AR$10*IF(Source_Data!$C$10=0,0,MAX(0,Inputs!$B$19*Inputs!$B$22*$B$185-Inputs!$B$20)/Source_Data!$C$10)</f>
        <v>0</v>
      </c>
      <c r="AS193" s="33" t="n">
        <f aca="false">Source_Data!AS$9+Source_Data!AS$10*IF(Source_Data!$C$10=0,0,MAX(0,Inputs!$B$19*Inputs!$B$22*$B$185-Inputs!$B$20)/Source_Data!$C$10)</f>
        <v>0</v>
      </c>
      <c r="AT193" s="33" t="n">
        <f aca="false">Source_Data!AT$9+Source_Data!AT$10*IF(Source_Data!$C$10=0,0,MAX(0,Inputs!$B$19*Inputs!$B$22*$B$185-Inputs!$B$20)/Source_Data!$C$10)</f>
        <v>0</v>
      </c>
      <c r="AU193" s="33" t="n">
        <f aca="false">Source_Data!AU$9+Source_Data!AU$10*IF(Source_Data!$C$10=0,0,MAX(0,Inputs!$B$19*Inputs!$B$22*$B$185-Inputs!$B$20)/Source_Data!$C$10)</f>
        <v>0</v>
      </c>
      <c r="AV193" s="33" t="n">
        <f aca="false">Source_Data!AV$9+Source_Data!AV$10*IF(Source_Data!$C$10=0,0,MAX(0,Inputs!$B$19*Inputs!$B$22*$B$185-Inputs!$B$20)/Source_Data!$C$10)</f>
        <v>0</v>
      </c>
      <c r="AW193" s="33" t="n">
        <f aca="false">Source_Data!AW$9+Source_Data!AW$10*IF(Source_Data!$C$10=0,0,MAX(0,Inputs!$B$19*Inputs!$B$22*$B$185-Inputs!$B$20)/Source_Data!$C$10)</f>
        <v>0</v>
      </c>
      <c r="AX193" s="33" t="n">
        <f aca="false">Source_Data!AX$9+Source_Data!AX$10*IF(Source_Data!$C$10=0,0,MAX(0,Inputs!$B$19*Inputs!$B$22*$B$185-Inputs!$B$20)/Source_Data!$C$10)</f>
        <v>0</v>
      </c>
      <c r="AY193" s="33" t="n">
        <f aca="false">Source_Data!AY$9+Source_Data!AY$10*IF(Source_Data!$C$10=0,0,MAX(0,Inputs!$B$19*Inputs!$B$22*$B$185-Inputs!$B$20)/Source_Data!$C$10)</f>
        <v>0</v>
      </c>
      <c r="AZ193" s="33" t="n">
        <f aca="false">Source_Data!AZ$9+Source_Data!AZ$10*IF(Source_Data!$C$10=0,0,MAX(0,Inputs!$B$19*Inputs!$B$22*$B$185-Inputs!$B$20)/Source_Data!$C$10)</f>
        <v>0</v>
      </c>
      <c r="BA193" s="33" t="n">
        <f aca="false">Source_Data!BA$9+Source_Data!BA$10*IF(Source_Data!$C$10=0,0,MAX(0,Inputs!$B$19*Inputs!$B$22*$B$185-Inputs!$B$20)/Source_Data!$C$10)</f>
        <v>0</v>
      </c>
      <c r="BB193" s="33" t="n">
        <f aca="false">Source_Data!BB$9+Source_Data!BB$10*IF(Source_Data!$C$10=0,0,MAX(0,Inputs!$B$19*Inputs!$B$22*$B$185-Inputs!$B$20)/Source_Data!$C$10)</f>
        <v>0</v>
      </c>
      <c r="BC193" s="33" t="n">
        <f aca="false">Source_Data!BC$9+Source_Data!BC$10*IF(Source_Data!$C$10=0,0,MAX(0,Inputs!$B$19*Inputs!$B$22*$B$185-Inputs!$B$20)/Source_Data!$C$10)</f>
        <v>0</v>
      </c>
      <c r="BD193" s="33" t="n">
        <f aca="false">Source_Data!BD$9+Source_Data!BD$10*IF(Source_Data!$C$10=0,0,MAX(0,Inputs!$B$19*Inputs!$B$22*$B$185-Inputs!$B$20)/Source_Data!$C$10)</f>
        <v>0</v>
      </c>
      <c r="BE193" s="33" t="n">
        <f aca="false">Source_Data!BE$9+Source_Data!BE$10*IF(Source_Data!$C$10=0,0,MAX(0,Inputs!$B$19*Inputs!$B$22*$B$185-Inputs!$B$20)/Source_Data!$C$10)</f>
        <v>0</v>
      </c>
      <c r="BF193" s="33" t="n">
        <f aca="false">Source_Data!BF$9+Source_Data!BF$10*IF(Source_Data!$C$10=0,0,MAX(0,Inputs!$B$19*Inputs!$B$22*$B$185-Inputs!$B$20)/Source_Data!$C$10)</f>
        <v>0</v>
      </c>
      <c r="BG193" s="33" t="n">
        <f aca="false">Source_Data!BG$9+Source_Data!BG$10*IF(Source_Data!$C$10=0,0,MAX(0,Inputs!$B$19*Inputs!$B$22*$B$185-Inputs!$B$20)/Source_Data!$C$10)</f>
        <v>0</v>
      </c>
      <c r="BH193" s="33" t="n">
        <f aca="false">Source_Data!BH$9+Source_Data!BH$10*IF(Source_Data!$C$10=0,0,MAX(0,Inputs!$B$19*Inputs!$B$22*$B$185-Inputs!$B$20)/Source_Data!$C$10)</f>
        <v>0</v>
      </c>
      <c r="BI193" s="33" t="n">
        <f aca="false">Source_Data!BI$9+Source_Data!BI$10*IF(Source_Data!$C$10=0,0,MAX(0,Inputs!$B$19*Inputs!$B$22*$B$185-Inputs!$B$20)/Source_Data!$C$10)</f>
        <v>0</v>
      </c>
      <c r="BJ193" s="33" t="n">
        <f aca="false">Source_Data!BJ$9+Source_Data!BJ$10*IF(Source_Data!$C$10=0,0,MAX(0,Inputs!$B$19*Inputs!$B$22*$B$185-Inputs!$B$20)/Source_Data!$C$10)</f>
        <v>0</v>
      </c>
      <c r="BK193" s="33" t="n">
        <f aca="false">Source_Data!BK$9+Source_Data!BK$10*IF(Source_Data!$C$10=0,0,MAX(0,Inputs!$B$19*Inputs!$B$22*$B$185-Inputs!$B$20)/Source_Data!$C$10)</f>
        <v>0</v>
      </c>
    </row>
    <row r="194" customFormat="false" ht="15" hidden="false" customHeight="false" outlineLevel="0" collapsed="false">
      <c r="A194" s="3" t="s">
        <v>194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20</v>
      </c>
      <c r="I194" s="33" t="n">
        <f aca="false">Source_Data!I$11*$B$187</f>
        <v>26.4</v>
      </c>
      <c r="J194" s="33" t="n">
        <f aca="false">Source_Data!J$11*$B$187</f>
        <v>40</v>
      </c>
      <c r="K194" s="33" t="n">
        <f aca="false">Source_Data!K$11*$B$187</f>
        <v>26.4</v>
      </c>
      <c r="L194" s="33" t="n">
        <f aca="false">Source_Data!L$11*$B$187</f>
        <v>26.4</v>
      </c>
      <c r="M194" s="33" t="n">
        <f aca="false">Source_Data!M$11*$B$187</f>
        <v>26.4</v>
      </c>
      <c r="N194" s="33" t="n">
        <f aca="false">Source_Data!N$11*$B$187</f>
        <v>5.28</v>
      </c>
      <c r="O194" s="33" t="n">
        <f aca="false">Source_Data!O$11*$B$187</f>
        <v>5.28</v>
      </c>
      <c r="P194" s="33" t="n">
        <f aca="false">Source_Data!P$11*$B$187</f>
        <v>120</v>
      </c>
      <c r="Q194" s="33" t="n">
        <f aca="false">Source_Data!Q$11*$B$187</f>
        <v>120</v>
      </c>
      <c r="R194" s="33" t="n">
        <f aca="false">Source_Data!R$11*$B$187</f>
        <v>164</v>
      </c>
      <c r="S194" s="33" t="n">
        <f aca="false">Source_Data!S$11*$B$187</f>
        <v>117</v>
      </c>
      <c r="T194" s="33" t="n">
        <f aca="false">Source_Data!T$11*$B$187</f>
        <v>0</v>
      </c>
      <c r="U194" s="33" t="n">
        <f aca="false">Source_Data!U$11*$B$187</f>
        <v>0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196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12.11139</v>
      </c>
      <c r="K195" s="33" t="n">
        <f aca="false">$B$185*IF(Source_Data!K$5-$B$186&gt;=1,INDEX(Source_Data!$D$12:$BK$12,1,Source_Data!K$5-$B$186),0)</f>
        <v>12.11139</v>
      </c>
      <c r="L195" s="33" t="n">
        <f aca="false">$B$185*IF(Source_Data!L$5-$B$186&gt;=1,INDEX(Source_Data!$D$12:$BK$12,1,Source_Data!L$5-$B$186),0)</f>
        <v>9.52126</v>
      </c>
      <c r="M195" s="33" t="n">
        <f aca="false">$B$185*IF(Source_Data!M$5-$B$186&gt;=1,INDEX(Source_Data!$D$12:$BK$12,1,Source_Data!M$5-$B$186),0)</f>
        <v>9.52126</v>
      </c>
      <c r="N195" s="33" t="n">
        <f aca="false">$B$185*IF(Source_Data!N$5-$B$186&gt;=1,INDEX(Source_Data!$D$12:$BK$12,1,Source_Data!N$5-$B$186),0)</f>
        <v>6.98901</v>
      </c>
      <c r="O195" s="33" t="n">
        <f aca="false">$B$185*IF(Source_Data!O$5-$B$186&gt;=1,INDEX(Source_Data!$D$12:$BK$12,1,Source_Data!O$5-$B$186),0)</f>
        <v>6.98901</v>
      </c>
      <c r="P195" s="33" t="n">
        <f aca="false">$B$185*IF(Source_Data!P$5-$B$186&gt;=1,INDEX(Source_Data!$D$12:$BK$12,1,Source_Data!P$5-$B$186),0)</f>
        <v>7.69804</v>
      </c>
      <c r="Q195" s="33" t="n">
        <f aca="false">$B$185*IF(Source_Data!Q$5-$B$186&gt;=1,INDEX(Source_Data!$D$12:$BK$12,1,Source_Data!Q$5-$B$186),0)</f>
        <v>9.2608</v>
      </c>
      <c r="R195" s="33" t="n">
        <f aca="false">$B$185*IF(Source_Data!R$5-$B$186&gt;=1,INDEX(Source_Data!$D$12:$BK$12,1,Source_Data!R$5-$B$186),0)</f>
        <v>9.2608</v>
      </c>
      <c r="S195" s="33" t="n">
        <f aca="false">$B$185*IF(Source_Data!S$5-$B$186&gt;=1,INDEX(Source_Data!$D$12:$BK$12,1,Source_Data!S$5-$B$186),0)</f>
        <v>6.6562</v>
      </c>
      <c r="T195" s="33" t="n">
        <f aca="false">$B$185*IF(Source_Data!T$5-$B$186&gt;=1,INDEX(Source_Data!$D$12:$BK$12,1,Source_Data!T$5-$B$186),0)</f>
        <v>0</v>
      </c>
      <c r="U195" s="33" t="n">
        <f aca="false">$B$185*IF(Source_Data!U$5-$B$186&gt;=1,INDEX(Source_Data!$D$12:$BK$12,1,Source_Data!U$5-$B$186),0)</f>
        <v>0</v>
      </c>
      <c r="V195" s="33" t="n">
        <f aca="false">$B$185*IF(Source_Data!V$5-$B$186&gt;=1,INDEX(Source_Data!$D$12:$BK$12,1,Source_Data!V$5-$B$186),0)</f>
        <v>0</v>
      </c>
      <c r="W195" s="33" t="n">
        <f aca="false">$B$185*IF(Source_Data!W$5-$B$186&gt;=1,INDEX(Source_Data!$D$12:$BK$12,1,Source_Data!W$5-$B$186),0)</f>
        <v>0</v>
      </c>
      <c r="X195" s="33" t="n">
        <f aca="false">$B$185*IF(Source_Data!X$5-$B$186&gt;=1,INDEX(Source_Data!$D$12:$BK$12,1,Source_Data!X$5-$B$186),0)</f>
        <v>0</v>
      </c>
      <c r="Y195" s="33" t="n">
        <f aca="false">$B$185*IF(Source_Data!Y$5-$B$186&gt;=1,INDEX(Source_Data!$D$12:$BK$12,1,Source_Data!Y$5-$B$186),0)</f>
        <v>0</v>
      </c>
      <c r="Z195" s="33" t="n">
        <f aca="false">$B$185*IF(Source_Data!Z$5-$B$186&gt;=1,INDEX(Source_Data!$D$12:$BK$12,1,Source_Data!Z$5-$B$186),0)</f>
        <v>0</v>
      </c>
      <c r="AA195" s="33" t="n">
        <f aca="false">$B$185*IF(Source_Data!AA$5-$B$186&gt;=1,INDEX(Source_Data!$D$12:$BK$12,1,Source_Data!AA$5-$B$186),0)</f>
        <v>0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215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3</v>
      </c>
      <c r="I196" s="33" t="n">
        <f aca="false">Source_Data!I$13*$B$187</f>
        <v>3.96</v>
      </c>
      <c r="J196" s="33" t="n">
        <f aca="false">Source_Data!J$13*$B$187</f>
        <v>6</v>
      </c>
      <c r="K196" s="33" t="n">
        <f aca="false">Source_Data!K$13*$B$187</f>
        <v>3.96</v>
      </c>
      <c r="L196" s="33" t="n">
        <f aca="false">Source_Data!L$13*$B$187</f>
        <v>3.96</v>
      </c>
      <c r="M196" s="33" t="n">
        <f aca="false">Source_Data!M$13*$B$187</f>
        <v>3.96</v>
      </c>
      <c r="N196" s="33" t="n">
        <f aca="false">Source_Data!N$13*$B$187</f>
        <v>0.792</v>
      </c>
      <c r="O196" s="33" t="n">
        <f aca="false">Source_Data!O$13*$B$187</f>
        <v>0.792</v>
      </c>
      <c r="P196" s="33" t="n">
        <f aca="false">Source_Data!P$13*$B$187</f>
        <v>18</v>
      </c>
      <c r="Q196" s="33" t="n">
        <f aca="false">Source_Data!Q$13*$B$187</f>
        <v>18</v>
      </c>
      <c r="R196" s="33" t="n">
        <f aca="false">Source_Data!R$13*$B$187</f>
        <v>24.6</v>
      </c>
      <c r="S196" s="33" t="n">
        <f aca="false">Source_Data!S$13*$B$187</f>
        <v>17.55</v>
      </c>
      <c r="T196" s="33" t="n">
        <f aca="false">Source_Data!T$13*$B$187</f>
        <v>0</v>
      </c>
      <c r="U196" s="33" t="n">
        <f aca="false">Source_Data!U$13*$B$187</f>
        <v>0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216</v>
      </c>
      <c r="D197" s="33" t="n">
        <f aca="false">D192-D193-D194-D195-D196</f>
        <v>-91.25</v>
      </c>
      <c r="E197" s="33" t="n">
        <f aca="false">E192-E193-E194-E195-E196</f>
        <v>-11.25</v>
      </c>
      <c r="F197" s="33" t="n">
        <f aca="false">F192-F193-F194-F195-F196</f>
        <v>3.8892375</v>
      </c>
      <c r="G197" s="33" t="n">
        <f aca="false">G192-G193-G194-G195-G196</f>
        <v>19.028475</v>
      </c>
      <c r="H197" s="33" t="n">
        <f aca="false">H192-H193-H194-H195-H196</f>
        <v>1.01200625</v>
      </c>
      <c r="I197" s="33" t="n">
        <f aca="false">I192-I193-I194-I195-I196</f>
        <v>9.8855375</v>
      </c>
      <c r="J197" s="33" t="n">
        <f aca="false">J192-J193-J194-J195-J196</f>
        <v>-18.24569</v>
      </c>
      <c r="K197" s="33" t="n">
        <f aca="false">K192-K193-K194-K195-K196</f>
        <v>-1.49783062499999</v>
      </c>
      <c r="L197" s="33" t="n">
        <f aca="false">L192-L193-L194-L195-L196</f>
        <v>6.69758843750001</v>
      </c>
      <c r="M197" s="33" t="n">
        <f aca="false">M192-M193-M194-M195-M196</f>
        <v>29.4132275</v>
      </c>
      <c r="N197" s="33" t="n">
        <f aca="false">N192-N193-N194-N195-N196</f>
        <v>80.88674</v>
      </c>
      <c r="O197" s="33" t="n">
        <f aca="false">O192-O193-O194-O195-O196</f>
        <v>88.12174</v>
      </c>
      <c r="P197" s="33" t="n">
        <f aca="false">P192-P193-P194-P195-P196</f>
        <v>-93.38729</v>
      </c>
      <c r="Q197" s="33" t="n">
        <f aca="false">Q192-Q193-Q194-Q195-Q196</f>
        <v>-120.95083125</v>
      </c>
      <c r="R197" s="33" t="n">
        <f aca="false">R192-R193-R194-R195-R196</f>
        <v>-171.55083125</v>
      </c>
      <c r="S197" s="33" t="n">
        <f aca="false">S192-S193-S194-S195-S196</f>
        <v>373.521435625</v>
      </c>
      <c r="T197" s="33" t="n">
        <f aca="false">T192-T193-T194-T195-T196</f>
        <v>16.2266396875</v>
      </c>
      <c r="U197" s="33" t="n">
        <f aca="false">U192-U193-U194-U195-U196</f>
        <v>14.7127159375</v>
      </c>
      <c r="V197" s="33" t="n">
        <f aca="false">V192-V193-V194-V195-V196</f>
        <v>8.7239446875</v>
      </c>
      <c r="W197" s="33" t="n">
        <f aca="false">W192-W193-W194-W195-W196</f>
        <v>4.3829446875</v>
      </c>
      <c r="X197" s="33" t="n">
        <f aca="false">X192-X193-X194-X195-X196</f>
        <v>26.8829446875</v>
      </c>
      <c r="Y197" s="33" t="n">
        <f aca="false">Y192-Y193-Y194-Y195-Y196</f>
        <v>19.6027259375</v>
      </c>
      <c r="Z197" s="33" t="n">
        <f aca="false">Z192-Z193-Z194-Z195-Z196</f>
        <v>19.6027259375</v>
      </c>
      <c r="AA197" s="33" t="n">
        <f aca="false">AA192-AA193-AA194-AA195-AA196</f>
        <v>19.6027259375</v>
      </c>
      <c r="AB197" s="33" t="n">
        <f aca="false">AB192-AB193-AB194-AB195-AB196</f>
        <v>36.3147259375</v>
      </c>
      <c r="AC197" s="33" t="n">
        <f aca="false">AC192-AC193-AC194-AC195-AC196</f>
        <v>33.0386275</v>
      </c>
      <c r="AD197" s="33" t="n">
        <f aca="false">AD192-AD193-AD194-AD195-AD196</f>
        <v>29.43017125</v>
      </c>
      <c r="AE197" s="33" t="n">
        <f aca="false">AE192-AE193-AE194-AE195-AE196</f>
        <v>25.08917125</v>
      </c>
      <c r="AF197" s="33" t="n">
        <f aca="false">AF192-AF193-AF194-AF195-AF196</f>
        <v>-82.6690391015625</v>
      </c>
      <c r="AG197" s="33" t="n">
        <f aca="false">AG192-AG193-AG194-AG195-AG196</f>
        <v>14.112658828125</v>
      </c>
      <c r="AH197" s="33" t="n">
        <f aca="false">AH192-AH193-AH194-AH195-AH196</f>
        <v>14.112658828125</v>
      </c>
      <c r="AI197" s="33" t="n">
        <f aca="false">AI192-AI193-AI194-AI195-AI196</f>
        <v>14.112658828125</v>
      </c>
      <c r="AJ197" s="33" t="n">
        <f aca="false">AJ192-AJ193-AJ194-AJ195-AJ196</f>
        <v>14.112658828125</v>
      </c>
      <c r="AK197" s="33" t="n">
        <f aca="false">AK192-AK193-AK194-AK195-AK196</f>
        <v>12.8841219140625</v>
      </c>
      <c r="AL197" s="33" t="n">
        <f aca="false">AL192-AL193-AL194-AL195-AL196</f>
        <v>12.8841219140625</v>
      </c>
      <c r="AM197" s="33" t="n">
        <f aca="false">AM192-AM193-AM194-AM195-AM196</f>
        <v>10.5409993359375</v>
      </c>
      <c r="AN197" s="33" t="n">
        <f aca="false">AN192-AN193-AN194-AN195-AN196</f>
        <v>5.41471921875</v>
      </c>
      <c r="AO197" s="33" t="n">
        <f aca="false">AO192-AO193-AO194-AO195-AO196</f>
        <v>2.00839078125</v>
      </c>
      <c r="AP197" s="33" t="n">
        <f aca="false">AP192-AP193-AP194-AP195-AP196</f>
        <v>0</v>
      </c>
      <c r="AQ197" s="33" t="n">
        <f aca="false">AQ192-AQ193-AQ194-AQ195-AQ196</f>
        <v>0</v>
      </c>
      <c r="AR197" s="33" t="n">
        <f aca="false">AR192-AR193-AR194-AR195-AR196</f>
        <v>0</v>
      </c>
      <c r="AS197" s="33" t="n">
        <f aca="false">AS192-AS193-AS194-AS195-AS196</f>
        <v>0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217</v>
      </c>
      <c r="D198" s="33" t="n">
        <f aca="false">D197</f>
        <v>-91.25</v>
      </c>
      <c r="E198" s="33" t="n">
        <f aca="false">D198+E197</f>
        <v>-102.5</v>
      </c>
      <c r="F198" s="33" t="n">
        <f aca="false">E198+F197</f>
        <v>-98.6107625</v>
      </c>
      <c r="G198" s="33" t="n">
        <f aca="false">F198+G197</f>
        <v>-79.5822875</v>
      </c>
      <c r="H198" s="33" t="n">
        <f aca="false">G198+H197</f>
        <v>-78.57028125</v>
      </c>
      <c r="I198" s="33" t="n">
        <f aca="false">H198+I197</f>
        <v>-68.68474375</v>
      </c>
      <c r="J198" s="33" t="n">
        <f aca="false">I198+J197</f>
        <v>-86.93043375</v>
      </c>
      <c r="K198" s="33" t="n">
        <f aca="false">J198+K197</f>
        <v>-88.428264375</v>
      </c>
      <c r="L198" s="33" t="n">
        <f aca="false">K198+L197</f>
        <v>-81.7306759375</v>
      </c>
      <c r="M198" s="33" t="n">
        <f aca="false">L198+M197</f>
        <v>-52.3174484375</v>
      </c>
      <c r="N198" s="33" t="n">
        <f aca="false">M198+N197</f>
        <v>28.5692915625</v>
      </c>
      <c r="O198" s="33" t="n">
        <f aca="false">N198+O197</f>
        <v>116.6910315625</v>
      </c>
      <c r="P198" s="33" t="n">
        <f aca="false">O198+P197</f>
        <v>23.3037415625</v>
      </c>
      <c r="Q198" s="33" t="n">
        <f aca="false">P198+Q197</f>
        <v>-97.6470896875</v>
      </c>
      <c r="R198" s="33" t="n">
        <f aca="false">Q198+R197</f>
        <v>-269.1979209375</v>
      </c>
      <c r="S198" s="33" t="n">
        <f aca="false">R198+S197</f>
        <v>104.3235146875</v>
      </c>
      <c r="T198" s="33" t="n">
        <f aca="false">S198+T197</f>
        <v>120.550154375</v>
      </c>
      <c r="U198" s="33" t="n">
        <f aca="false">T198+U197</f>
        <v>135.2628703125</v>
      </c>
      <c r="V198" s="33" t="n">
        <f aca="false">U198+V197</f>
        <v>143.986815</v>
      </c>
      <c r="W198" s="33" t="n">
        <f aca="false">V198+W197</f>
        <v>148.3697596875</v>
      </c>
      <c r="X198" s="33" t="n">
        <f aca="false">W198+X197</f>
        <v>175.252704375</v>
      </c>
      <c r="Y198" s="33" t="n">
        <f aca="false">X198+Y197</f>
        <v>194.8554303125</v>
      </c>
      <c r="Z198" s="33" t="n">
        <f aca="false">Y198+Z197</f>
        <v>214.45815625</v>
      </c>
      <c r="AA198" s="33" t="n">
        <f aca="false">Z198+AA197</f>
        <v>234.0608821875</v>
      </c>
      <c r="AB198" s="33" t="n">
        <f aca="false">AA198+AB197</f>
        <v>270.375608125</v>
      </c>
      <c r="AC198" s="33" t="n">
        <f aca="false">AB198+AC197</f>
        <v>303.414235625</v>
      </c>
      <c r="AD198" s="33" t="n">
        <f aca="false">AC198+AD197</f>
        <v>332.844406875</v>
      </c>
      <c r="AE198" s="33" t="n">
        <f aca="false">AD198+AE197</f>
        <v>357.933578125</v>
      </c>
      <c r="AF198" s="33" t="n">
        <f aca="false">AE198+AF197</f>
        <v>275.264539023437</v>
      </c>
      <c r="AG198" s="33" t="n">
        <f aca="false">AF198+AG197</f>
        <v>289.377197851562</v>
      </c>
      <c r="AH198" s="33" t="n">
        <f aca="false">AG198+AH197</f>
        <v>303.489856679687</v>
      </c>
      <c r="AI198" s="33" t="n">
        <f aca="false">AH198+AI197</f>
        <v>317.602515507812</v>
      </c>
      <c r="AJ198" s="33" t="n">
        <f aca="false">AI198+AJ197</f>
        <v>331.715174335937</v>
      </c>
      <c r="AK198" s="33" t="n">
        <f aca="false">AJ198+AK197</f>
        <v>344.59929625</v>
      </c>
      <c r="AL198" s="33" t="n">
        <f aca="false">AK198+AL197</f>
        <v>357.483418164062</v>
      </c>
      <c r="AM198" s="33" t="n">
        <f aca="false">AL198+AM197</f>
        <v>368.0244175</v>
      </c>
      <c r="AN198" s="33" t="n">
        <f aca="false">AM198+AN197</f>
        <v>373.43913671875</v>
      </c>
      <c r="AO198" s="33" t="n">
        <f aca="false">AN198+AO197</f>
        <v>375.4475275</v>
      </c>
      <c r="AP198" s="33" t="n">
        <f aca="false">AO198+AP197</f>
        <v>375.4475275</v>
      </c>
      <c r="AQ198" s="33" t="n">
        <f aca="false">AP198+AQ197</f>
        <v>375.4475275</v>
      </c>
      <c r="AR198" s="33" t="n">
        <f aca="false">AQ198+AR197</f>
        <v>375.4475275</v>
      </c>
      <c r="AS198" s="33" t="n">
        <f aca="false">AR198+AS197</f>
        <v>375.4475275</v>
      </c>
      <c r="AT198" s="33" t="n">
        <f aca="false">AS198+AT197</f>
        <v>375.4475275</v>
      </c>
      <c r="AU198" s="33" t="n">
        <f aca="false">AT198+AU197</f>
        <v>375.4475275</v>
      </c>
      <c r="AV198" s="33" t="n">
        <f aca="false">AU198+AV197</f>
        <v>375.4475275</v>
      </c>
      <c r="AW198" s="33" t="n">
        <f aca="false">AV198+AW197</f>
        <v>375.4475275</v>
      </c>
      <c r="AX198" s="33" t="n">
        <f aca="false">AW198+AX197</f>
        <v>375.4475275</v>
      </c>
      <c r="AY198" s="33" t="n">
        <f aca="false">AX198+AY197</f>
        <v>375.4475275</v>
      </c>
      <c r="AZ198" s="33" t="n">
        <f aca="false">AY198+AZ197</f>
        <v>375.4475275</v>
      </c>
      <c r="BA198" s="33" t="n">
        <f aca="false">AZ198+BA197</f>
        <v>375.4475275</v>
      </c>
      <c r="BB198" s="33" t="n">
        <f aca="false">BA198+BB197</f>
        <v>375.4475275</v>
      </c>
      <c r="BC198" s="33" t="n">
        <f aca="false">BB198+BC197</f>
        <v>375.4475275</v>
      </c>
      <c r="BD198" s="33" t="n">
        <f aca="false">BC198+BD197</f>
        <v>375.4475275</v>
      </c>
      <c r="BE198" s="33" t="n">
        <f aca="false">BD198+BE197</f>
        <v>375.4475275</v>
      </c>
      <c r="BF198" s="33" t="n">
        <f aca="false">BE198+BF197</f>
        <v>375.4475275</v>
      </c>
      <c r="BG198" s="33" t="n">
        <f aca="false">BF198+BG197</f>
        <v>375.4475275</v>
      </c>
      <c r="BH198" s="33" t="n">
        <f aca="false">BG198+BH197</f>
        <v>375.4475275</v>
      </c>
      <c r="BI198" s="33" t="n">
        <f aca="false">BH198+BI197</f>
        <v>375.4475275</v>
      </c>
      <c r="BJ198" s="33" t="n">
        <f aca="false">BI198+BJ197</f>
        <v>375.4475275</v>
      </c>
      <c r="BK198" s="33" t="n">
        <f aca="false">BJ198+BK197</f>
        <v>375.4475275</v>
      </c>
    </row>
    <row r="199" customFormat="false" ht="15" hidden="false" customHeight="false" outlineLevel="0" collapsed="false">
      <c r="A199" s="3" t="s">
        <v>340</v>
      </c>
      <c r="D199" s="33" t="n">
        <f aca="false">IF(Source_Data!D$6=Inputs!$B$12,-Inputs!$B$7,0)+IF(AND(Source_Data!D$6&gt;=$B$190,Source_Data!D$6&lt;$B$190+3*Inputs!$B$16,MOD(Source_Data!D$6-$B$190,3)=0),Inputs!$B$8*Inputs!$B$7*Inputs!$B$34*$B$185*(1-Inputs!$B$15)/Inputs!$B$16,0)</f>
        <v>-100</v>
      </c>
      <c r="E199" s="33" t="n">
        <f aca="false">IF(Source_Data!E$6=Inputs!$B$12,-Inputs!$B$7,0)+IF(AND(Source_Data!E$6&gt;=$B$190,Source_Data!E$6&lt;$B$190+3*Inputs!$B$16,MOD(Source_Data!E$6-$B$190,3)=0),Inputs!$B$8*Inputs!$B$7*Inputs!$B$34*$B$185*(1-Inputs!$B$15)/Inputs!$B$16,0)</f>
        <v>0</v>
      </c>
      <c r="F199" s="33" t="n">
        <f aca="false">IF(Source_Data!F$6=Inputs!$B$12,-Inputs!$B$7,0)+IF(AND(Source_Data!F$6&gt;=$B$190,Source_Data!F$6&lt;$B$190+3*Inputs!$B$16,MOD(Source_Data!F$6-$B$190,3)=0),Inputs!$B$8*Inputs!$B$7*Inputs!$B$34*$B$185*(1-Inputs!$B$15)/Inputs!$B$16,0)</f>
        <v>0</v>
      </c>
      <c r="G199" s="33" t="n">
        <f aca="false">IF(Source_Data!G$6=Inputs!$B$12,-Inputs!$B$7,0)+IF(AND(Source_Data!G$6&gt;=$B$190,Source_Data!G$6&lt;$B$190+3*Inputs!$B$16,MOD(Source_Data!G$6-$B$190,3)=0),Inputs!$B$8*Inputs!$B$7*Inputs!$B$34*$B$185*(1-Inputs!$B$15)/Inputs!$B$16,0)</f>
        <v>0</v>
      </c>
      <c r="H199" s="33" t="n">
        <f aca="false">IF(Source_Data!H$6=Inputs!$B$12,-Inputs!$B$7,0)+IF(AND(Source_Data!H$6&gt;=$B$190,Source_Data!H$6&lt;$B$190+3*Inputs!$B$16,MOD(Source_Data!H$6-$B$190,3)=0),Inputs!$B$8*Inputs!$B$7*Inputs!$B$34*$B$185*(1-Inputs!$B$15)/Inputs!$B$16,0)</f>
        <v>0</v>
      </c>
      <c r="I199" s="33" t="n">
        <f aca="false">IF(Source_Data!I$6=Inputs!$B$12,-Inputs!$B$7,0)+IF(AND(Source_Data!I$6&gt;=$B$190,Source_Data!I$6&lt;$B$190+3*Inputs!$B$16,MOD(Source_Data!I$6-$B$190,3)=0),Inputs!$B$8*Inputs!$B$7*Inputs!$B$34*$B$185*(1-Inputs!$B$15)/Inputs!$B$16,0)</f>
        <v>0</v>
      </c>
      <c r="J199" s="33" t="n">
        <f aca="false">IF(Source_Data!J$6=Inputs!$B$12,-Inputs!$B$7,0)+IF(AND(Source_Data!J$6&gt;=$B$190,Source_Data!J$6&lt;$B$190+3*Inputs!$B$16,MOD(Source_Data!J$6-$B$190,3)=0),Inputs!$B$8*Inputs!$B$7*Inputs!$B$34*$B$185*(1-Inputs!$B$15)/Inputs!$B$16,0)</f>
        <v>0</v>
      </c>
      <c r="K199" s="33" t="n">
        <f aca="false">IF(Source_Data!K$6=Inputs!$B$12,-Inputs!$B$7,0)+IF(AND(Source_Data!K$6&gt;=$B$190,Source_Data!K$6&lt;$B$190+3*Inputs!$B$16,MOD(Source_Data!K$6-$B$190,3)=0),Inputs!$B$8*Inputs!$B$7*Inputs!$B$34*$B$185*(1-Inputs!$B$15)/Inputs!$B$16,0)</f>
        <v>0</v>
      </c>
      <c r="L199" s="33" t="n">
        <f aca="false">IF(Source_Data!L$6=Inputs!$B$12,-Inputs!$B$7,0)+IF(AND(Source_Data!L$6&gt;=$B$190,Source_Data!L$6&lt;$B$190+3*Inputs!$B$16,MOD(Source_Data!L$6-$B$190,3)=0),Inputs!$B$8*Inputs!$B$7*Inputs!$B$34*$B$185*(1-Inputs!$B$15)/Inputs!$B$16,0)</f>
        <v>0</v>
      </c>
      <c r="M199" s="33" t="n">
        <f aca="false">IF(Source_Data!M$6=Inputs!$B$12,-Inputs!$B$7,0)+IF(AND(Source_Data!M$6&gt;=$B$190,Source_Data!M$6&lt;$B$190+3*Inputs!$B$16,MOD(Source_Data!M$6-$B$190,3)=0),Inputs!$B$8*Inputs!$B$7*Inputs!$B$34*$B$185*(1-Inputs!$B$15)/Inputs!$B$16,0)</f>
        <v>0</v>
      </c>
      <c r="N199" s="33" t="n">
        <f aca="false">IF(Source_Data!N$6=Inputs!$B$12,-Inputs!$B$7,0)+IF(AND(Source_Data!N$6&gt;=$B$190,Source_Data!N$6&lt;$B$190+3*Inputs!$B$16,MOD(Source_Data!N$6-$B$190,3)=0),Inputs!$B$8*Inputs!$B$7*Inputs!$B$34*$B$185*(1-Inputs!$B$15)/Inputs!$B$16,0)</f>
        <v>0</v>
      </c>
      <c r="O199" s="33" t="n">
        <f aca="false">IF(Source_Data!O$6=Inputs!$B$12,-Inputs!$B$7,0)+IF(AND(Source_Data!O$6&gt;=$B$190,Source_Data!O$6&lt;$B$190+3*Inputs!$B$16,MOD(Source_Data!O$6-$B$190,3)=0),Inputs!$B$8*Inputs!$B$7*Inputs!$B$34*$B$185*(1-Inputs!$B$15)/Inputs!$B$16,0)</f>
        <v>0</v>
      </c>
      <c r="P199" s="33" t="n">
        <f aca="false">IF(Source_Data!P$6=Inputs!$B$12,-Inputs!$B$7,0)+IF(AND(Source_Data!P$6&gt;=$B$190,Source_Data!P$6&lt;$B$190+3*Inputs!$B$16,MOD(Source_Data!P$6-$B$190,3)=0),Inputs!$B$8*Inputs!$B$7*Inputs!$B$34*$B$185*(1-Inputs!$B$15)/Inputs!$B$16,0)</f>
        <v>0</v>
      </c>
      <c r="Q199" s="33" t="n">
        <f aca="false">IF(Source_Data!Q$6=Inputs!$B$12,-Inputs!$B$7,0)+IF(AND(Source_Data!Q$6&gt;=$B$190,Source_Data!Q$6&lt;$B$190+3*Inputs!$B$16,MOD(Source_Data!Q$6-$B$190,3)=0),Inputs!$B$8*Inputs!$B$7*Inputs!$B$34*$B$185*(1-Inputs!$B$15)/Inputs!$B$16,0)</f>
        <v>0</v>
      </c>
      <c r="R199" s="33" t="n">
        <f aca="false">IF(Source_Data!R$6=Inputs!$B$12,-Inputs!$B$7,0)+IF(AND(Source_Data!R$6&gt;=$B$190,Source_Data!R$6&lt;$B$190+3*Inputs!$B$16,MOD(Source_Data!R$6-$B$190,3)=0),Inputs!$B$8*Inputs!$B$7*Inputs!$B$34*$B$185*(1-Inputs!$B$15)/Inputs!$B$16,0)</f>
        <v>0</v>
      </c>
      <c r="S199" s="33" t="n">
        <f aca="false">IF(Source_Data!S$6=Inputs!$B$12,-Inputs!$B$7,0)+IF(AND(Source_Data!S$6&gt;=$B$190,Source_Data!S$6&lt;$B$190+3*Inputs!$B$16,MOD(Source_Data!S$6-$B$190,3)=0),Inputs!$B$8*Inputs!$B$7*Inputs!$B$34*$B$185*(1-Inputs!$B$15)/Inputs!$B$16,0)</f>
        <v>0</v>
      </c>
      <c r="T199" s="33" t="n">
        <f aca="false">IF(Source_Data!T$6=Inputs!$B$12,-Inputs!$B$7,0)+IF(AND(Source_Data!T$6&gt;=$B$190,Source_Data!T$6&lt;$B$190+3*Inputs!$B$16,MOD(Source_Data!T$6-$B$190,3)=0),Inputs!$B$8*Inputs!$B$7*Inputs!$B$34*$B$185*(1-Inputs!$B$15)/Inputs!$B$16,0)</f>
        <v>69.5340501792115</v>
      </c>
      <c r="U199" s="33" t="n">
        <f aca="false">IF(Source_Data!U$6=Inputs!$B$12,-Inputs!$B$7,0)+IF(AND(Source_Data!U$6&gt;=$B$190,Source_Data!U$6&lt;$B$190+3*Inputs!$B$16,MOD(Source_Data!U$6-$B$190,3)=0),Inputs!$B$8*Inputs!$B$7*Inputs!$B$34*$B$185*(1-Inputs!$B$15)/Inputs!$B$16,0)</f>
        <v>69.5340501792115</v>
      </c>
      <c r="V199" s="33" t="n">
        <f aca="false">IF(Source_Data!V$6=Inputs!$B$12,-Inputs!$B$7,0)+IF(AND(Source_Data!V$6&gt;=$B$190,Source_Data!V$6&lt;$B$190+3*Inputs!$B$16,MOD(Source_Data!V$6-$B$190,3)=0),Inputs!$B$8*Inputs!$B$7*Inputs!$B$34*$B$185*(1-Inputs!$B$15)/Inputs!$B$16,0)</f>
        <v>69.5340501792115</v>
      </c>
      <c r="W199" s="33" t="n">
        <f aca="false">IF(Source_Data!W$6=Inputs!$B$12,-Inputs!$B$7,0)+IF(AND(Source_Data!W$6&gt;=$B$190,Source_Data!W$6&lt;$B$190+3*Inputs!$B$16,MOD(Source_Data!W$6-$B$190,3)=0),Inputs!$B$8*Inputs!$B$7*Inputs!$B$34*$B$185*(1-Inputs!$B$15)/Inputs!$B$16,0)</f>
        <v>69.5340501792115</v>
      </c>
      <c r="X199" s="33" t="n">
        <f aca="false">IF(Source_Data!X$6=Inputs!$B$12,-Inputs!$B$7,0)+IF(AND(Source_Data!X$6&gt;=$B$190,Source_Data!X$6&lt;$B$190+3*Inputs!$B$16,MOD(Source_Data!X$6-$B$190,3)=0),Inputs!$B$8*Inputs!$B$7*Inputs!$B$34*$B$185*(1-Inputs!$B$15)/Inputs!$B$16,0)</f>
        <v>0</v>
      </c>
      <c r="Y199" s="33" t="n">
        <f aca="false">IF(Source_Data!Y$6=Inputs!$B$12,-Inputs!$B$7,0)+IF(AND(Source_Data!Y$6&gt;=$B$190,Source_Data!Y$6&lt;$B$190+3*Inputs!$B$16,MOD(Source_Data!Y$6-$B$190,3)=0),Inputs!$B$8*Inputs!$B$7*Inputs!$B$34*$B$185*(1-Inputs!$B$15)/Inputs!$B$16,0)</f>
        <v>0</v>
      </c>
      <c r="Z199" s="33" t="n">
        <f aca="false">IF(Source_Data!Z$6=Inputs!$B$12,-Inputs!$B$7,0)+IF(AND(Source_Data!Z$6&gt;=$B$190,Source_Data!Z$6&lt;$B$190+3*Inputs!$B$16,MOD(Source_Data!Z$6-$B$190,3)=0),Inputs!$B$8*Inputs!$B$7*Inputs!$B$34*$B$185*(1-Inputs!$B$15)/Inputs!$B$16,0)</f>
        <v>0</v>
      </c>
      <c r="AA199" s="33" t="n">
        <f aca="false">IF(Source_Data!AA$6=Inputs!$B$12,-Inputs!$B$7,0)+IF(AND(Source_Data!AA$6&gt;=$B$190,Source_Data!AA$6&lt;$B$190+3*Inputs!$B$16,MOD(Source_Data!AA$6-$B$190,3)=0),Inputs!$B$8*Inputs!$B$7*Inputs!$B$34*$B$185*(1-Inputs!$B$15)/Inputs!$B$16,0)</f>
        <v>0</v>
      </c>
      <c r="AB199" s="33" t="n">
        <f aca="false">IF(Source_Data!AB$6=Inputs!$B$12,-Inputs!$B$7,0)+IF(AND(Source_Data!AB$6&gt;=$B$190,Source_Data!AB$6&lt;$B$190+3*Inputs!$B$16,MOD(Source_Data!AB$6-$B$190,3)=0),Inputs!$B$8*Inputs!$B$7*Inputs!$B$34*$B$185*(1-Inputs!$B$15)/Inputs!$B$16,0)</f>
        <v>0</v>
      </c>
      <c r="AC199" s="33" t="n">
        <f aca="false">IF(Source_Data!AC$6=Inputs!$B$12,-Inputs!$B$7,0)+IF(AND(Source_Data!AC$6&gt;=$B$190,Source_Data!AC$6&lt;$B$190+3*Inputs!$B$16,MOD(Source_Data!AC$6-$B$190,3)=0),Inputs!$B$8*Inputs!$B$7*Inputs!$B$34*$B$185*(1-Inputs!$B$15)/Inputs!$B$16,0)</f>
        <v>0</v>
      </c>
      <c r="AD199" s="33" t="n">
        <f aca="false">IF(Source_Data!AD$6=Inputs!$B$12,-Inputs!$B$7,0)+IF(AND(Source_Data!AD$6&gt;=$B$190,Source_Data!AD$6&lt;$B$190+3*Inputs!$B$16,MOD(Source_Data!AD$6-$B$190,3)=0),Inputs!$B$8*Inputs!$B$7*Inputs!$B$34*$B$185*(1-Inputs!$B$15)/Inputs!$B$16,0)</f>
        <v>0</v>
      </c>
      <c r="AE199" s="33" t="n">
        <f aca="false">IF(Source_Data!AE$6=Inputs!$B$12,-Inputs!$B$7,0)+IF(AND(Source_Data!AE$6&gt;=$B$190,Source_Data!AE$6&lt;$B$190+3*Inputs!$B$16,MOD(Source_Data!AE$6-$B$190,3)=0),Inputs!$B$8*Inputs!$B$7*Inputs!$B$34*$B$185*(1-Inputs!$B$15)/Inputs!$B$16,0)</f>
        <v>0</v>
      </c>
      <c r="AF199" s="33" t="n">
        <f aca="false">IF(Source_Data!AF$6=Inputs!$B$12,-Inputs!$B$7,0)+IF(AND(Source_Data!AF$6&gt;=$B$190,Source_Data!AF$6&lt;$B$190+3*Inputs!$B$16,MOD(Source_Data!AF$6-$B$190,3)=0),Inputs!$B$8*Inputs!$B$7*Inputs!$B$34*$B$185*(1-Inputs!$B$15)/Inputs!$B$16,0)</f>
        <v>0</v>
      </c>
      <c r="AG199" s="33" t="n">
        <f aca="false">IF(Source_Data!AG$6=Inputs!$B$12,-Inputs!$B$7,0)+IF(AND(Source_Data!AG$6&gt;=$B$190,Source_Data!AG$6&lt;$B$190+3*Inputs!$B$16,MOD(Source_Data!AG$6-$B$190,3)=0),Inputs!$B$8*Inputs!$B$7*Inputs!$B$34*$B$185*(1-Inputs!$B$15)/Inputs!$B$16,0)</f>
        <v>0</v>
      </c>
      <c r="AH199" s="33" t="n">
        <f aca="false">IF(Source_Data!AH$6=Inputs!$B$12,-Inputs!$B$7,0)+IF(AND(Source_Data!AH$6&gt;=$B$190,Source_Data!AH$6&lt;$B$190+3*Inputs!$B$16,MOD(Source_Data!AH$6-$B$190,3)=0),Inputs!$B$8*Inputs!$B$7*Inputs!$B$34*$B$185*(1-Inputs!$B$15)/Inputs!$B$16,0)</f>
        <v>0</v>
      </c>
      <c r="AI199" s="33" t="n">
        <f aca="false">IF(Source_Data!AI$6=Inputs!$B$12,-Inputs!$B$7,0)+IF(AND(Source_Data!AI$6&gt;=$B$190,Source_Data!AI$6&lt;$B$190+3*Inputs!$B$16,MOD(Source_Data!AI$6-$B$190,3)=0),Inputs!$B$8*Inputs!$B$7*Inputs!$B$34*$B$185*(1-Inputs!$B$15)/Inputs!$B$16,0)</f>
        <v>0</v>
      </c>
      <c r="AJ199" s="33" t="n">
        <f aca="false">IF(Source_Data!AJ$6=Inputs!$B$12,-Inputs!$B$7,0)+IF(AND(Source_Data!AJ$6&gt;=$B$190,Source_Data!AJ$6&lt;$B$190+3*Inputs!$B$16,MOD(Source_Data!AJ$6-$B$190,3)=0),Inputs!$B$8*Inputs!$B$7*Inputs!$B$34*$B$185*(1-Inputs!$B$15)/Inputs!$B$16,0)</f>
        <v>0</v>
      </c>
      <c r="AK199" s="33" t="n">
        <f aca="false">IF(Source_Data!AK$6=Inputs!$B$12,-Inputs!$B$7,0)+IF(AND(Source_Data!AK$6&gt;=$B$190,Source_Data!AK$6&lt;$B$190+3*Inputs!$B$16,MOD(Source_Data!AK$6-$B$190,3)=0),Inputs!$B$8*Inputs!$B$7*Inputs!$B$34*$B$185*(1-Inputs!$B$15)/Inputs!$B$16,0)</f>
        <v>0</v>
      </c>
      <c r="AL199" s="33" t="n">
        <f aca="false">IF(Source_Data!AL$6=Inputs!$B$12,-Inputs!$B$7,0)+IF(AND(Source_Data!AL$6&gt;=$B$190,Source_Data!AL$6&lt;$B$190+3*Inputs!$B$16,MOD(Source_Data!AL$6-$B$190,3)=0),Inputs!$B$8*Inputs!$B$7*Inputs!$B$34*$B$185*(1-Inputs!$B$15)/Inputs!$B$16,0)</f>
        <v>0</v>
      </c>
      <c r="AM199" s="33" t="n">
        <f aca="false">IF(Source_Data!AM$6=Inputs!$B$12,-Inputs!$B$7,0)+IF(AND(Source_Data!AM$6&gt;=$B$190,Source_Data!AM$6&lt;$B$190+3*Inputs!$B$16,MOD(Source_Data!AM$6-$B$190,3)=0),Inputs!$B$8*Inputs!$B$7*Inputs!$B$34*$B$185*(1-Inputs!$B$15)/Inputs!$B$16,0)</f>
        <v>0</v>
      </c>
      <c r="AN199" s="33" t="n">
        <f aca="false">IF(Source_Data!AN$6=Inputs!$B$12,-Inputs!$B$7,0)+IF(AND(Source_Data!AN$6&gt;=$B$190,Source_Data!AN$6&lt;$B$190+3*Inputs!$B$16,MOD(Source_Data!AN$6-$B$190,3)=0),Inputs!$B$8*Inputs!$B$7*Inputs!$B$34*$B$185*(1-Inputs!$B$15)/Inputs!$B$16,0)</f>
        <v>0</v>
      </c>
      <c r="AO199" s="33" t="n">
        <f aca="false">IF(Source_Data!AO$6=Inputs!$B$12,-Inputs!$B$7,0)+IF(AND(Source_Data!AO$6&gt;=$B$190,Source_Data!AO$6&lt;$B$190+3*Inputs!$B$16,MOD(Source_Data!AO$6-$B$190,3)=0),Inputs!$B$8*Inputs!$B$7*Inputs!$B$34*$B$185*(1-Inputs!$B$15)/Inputs!$B$16,0)</f>
        <v>0</v>
      </c>
      <c r="AP199" s="33" t="n">
        <f aca="false">IF(Source_Data!AP$6=Inputs!$B$12,-Inputs!$B$7,0)+IF(AND(Source_Data!AP$6&gt;=$B$190,Source_Data!AP$6&lt;$B$190+3*Inputs!$B$16,MOD(Source_Data!AP$6-$B$190,3)=0),Inputs!$B$8*Inputs!$B$7*Inputs!$B$34*$B$185*(1-Inputs!$B$15)/Inputs!$B$16,0)</f>
        <v>0</v>
      </c>
      <c r="AQ199" s="33" t="n">
        <f aca="false">IF(Source_Data!AQ$6=Inputs!$B$12,-Inputs!$B$7,0)+IF(AND(Source_Data!AQ$6&gt;=$B$190,Source_Data!AQ$6&lt;$B$190+3*Inputs!$B$16,MOD(Source_Data!AQ$6-$B$190,3)=0),Inputs!$B$8*Inputs!$B$7*Inputs!$B$34*$B$185*(1-Inputs!$B$15)/Inputs!$B$16,0)</f>
        <v>0</v>
      </c>
      <c r="AR199" s="33" t="n">
        <f aca="false">IF(Source_Data!AR$6=Inputs!$B$12,-Inputs!$B$7,0)+IF(AND(Source_Data!AR$6&gt;=$B$190,Source_Data!AR$6&lt;$B$190+3*Inputs!$B$16,MOD(Source_Data!AR$6-$B$190,3)=0),Inputs!$B$8*Inputs!$B$7*Inputs!$B$34*$B$185*(1-Inputs!$B$15)/Inputs!$B$16,0)</f>
        <v>0</v>
      </c>
      <c r="AS199" s="33" t="n">
        <f aca="false">IF(Source_Data!AS$6=Inputs!$B$12,-Inputs!$B$7,0)+IF(AND(Source_Data!AS$6&gt;=$B$190,Source_Data!AS$6&lt;$B$190+3*Inputs!$B$16,MOD(Source_Data!AS$6-$B$190,3)=0),Inputs!$B$8*Inputs!$B$7*Inputs!$B$34*$B$185*(1-Inputs!$B$15)/Inputs!$B$16,0)</f>
        <v>0</v>
      </c>
      <c r="AT199" s="33" t="n">
        <f aca="false">IF(Source_Data!AT$6=Inputs!$B$12,-Inputs!$B$7,0)+IF(AND(Source_Data!AT$6&gt;=$B$190,Source_Data!AT$6&lt;$B$190+3*Inputs!$B$16,MOD(Source_Data!AT$6-$B$190,3)=0),Inputs!$B$8*Inputs!$B$7*Inputs!$B$34*$B$185*(1-Inputs!$B$15)/Inputs!$B$16,0)</f>
        <v>0</v>
      </c>
      <c r="AU199" s="33" t="n">
        <f aca="false">IF(Source_Data!AU$6=Inputs!$B$12,-Inputs!$B$7,0)+IF(AND(Source_Data!AU$6&gt;=$B$190,Source_Data!AU$6&lt;$B$190+3*Inputs!$B$16,MOD(Source_Data!AU$6-$B$190,3)=0),Inputs!$B$8*Inputs!$B$7*Inputs!$B$34*$B$185*(1-Inputs!$B$15)/Inputs!$B$16,0)</f>
        <v>0</v>
      </c>
      <c r="AV199" s="33" t="n">
        <f aca="false">IF(Source_Data!AV$6=Inputs!$B$12,-Inputs!$B$7,0)+IF(AND(Source_Data!AV$6&gt;=$B$190,Source_Data!AV$6&lt;$B$190+3*Inputs!$B$16,MOD(Source_Data!AV$6-$B$190,3)=0),Inputs!$B$8*Inputs!$B$7*Inputs!$B$34*$B$185*(1-Inputs!$B$15)/Inputs!$B$16,0)</f>
        <v>0</v>
      </c>
      <c r="AW199" s="33" t="n">
        <f aca="false">IF(Source_Data!AW$6=Inputs!$B$12,-Inputs!$B$7,0)+IF(AND(Source_Data!AW$6&gt;=$B$190,Source_Data!AW$6&lt;$B$190+3*Inputs!$B$16,MOD(Source_Data!AW$6-$B$190,3)=0),Inputs!$B$8*Inputs!$B$7*Inputs!$B$34*$B$185*(1-Inputs!$B$15)/Inputs!$B$16,0)</f>
        <v>0</v>
      </c>
      <c r="AX199" s="33" t="n">
        <f aca="false">IF(Source_Data!AX$6=Inputs!$B$12,-Inputs!$B$7,0)+IF(AND(Source_Data!AX$6&gt;=$B$190,Source_Data!AX$6&lt;$B$190+3*Inputs!$B$16,MOD(Source_Data!AX$6-$B$190,3)=0),Inputs!$B$8*Inputs!$B$7*Inputs!$B$34*$B$185*(1-Inputs!$B$15)/Inputs!$B$16,0)</f>
        <v>0</v>
      </c>
      <c r="AY199" s="33" t="n">
        <f aca="false">IF(Source_Data!AY$6=Inputs!$B$12,-Inputs!$B$7,0)+IF(AND(Source_Data!AY$6&gt;=$B$190,Source_Data!AY$6&lt;$B$190+3*Inputs!$B$16,MOD(Source_Data!AY$6-$B$190,3)=0),Inputs!$B$8*Inputs!$B$7*Inputs!$B$34*$B$185*(1-Inputs!$B$15)/Inputs!$B$16,0)</f>
        <v>0</v>
      </c>
      <c r="AZ199" s="33" t="n">
        <f aca="false">IF(Source_Data!AZ$6=Inputs!$B$12,-Inputs!$B$7,0)+IF(AND(Source_Data!AZ$6&gt;=$B$190,Source_Data!AZ$6&lt;$B$190+3*Inputs!$B$16,MOD(Source_Data!AZ$6-$B$190,3)=0),Inputs!$B$8*Inputs!$B$7*Inputs!$B$34*$B$185*(1-Inputs!$B$15)/Inputs!$B$16,0)</f>
        <v>0</v>
      </c>
      <c r="BA199" s="33" t="n">
        <f aca="false">IF(Source_Data!BA$6=Inputs!$B$12,-Inputs!$B$7,0)+IF(AND(Source_Data!BA$6&gt;=$B$190,Source_Data!BA$6&lt;$B$190+3*Inputs!$B$16,MOD(Source_Data!BA$6-$B$190,3)=0),Inputs!$B$8*Inputs!$B$7*Inputs!$B$34*$B$185*(1-Inputs!$B$15)/Inputs!$B$16,0)</f>
        <v>0</v>
      </c>
      <c r="BB199" s="33" t="n">
        <f aca="false">IF(Source_Data!BB$6=Inputs!$B$12,-Inputs!$B$7,0)+IF(AND(Source_Data!BB$6&gt;=$B$190,Source_Data!BB$6&lt;$B$190+3*Inputs!$B$16,MOD(Source_Data!BB$6-$B$190,3)=0),Inputs!$B$8*Inputs!$B$7*Inputs!$B$34*$B$185*(1-Inputs!$B$15)/Inputs!$B$16,0)</f>
        <v>0</v>
      </c>
      <c r="BC199" s="33" t="n">
        <f aca="false">IF(Source_Data!BC$6=Inputs!$B$12,-Inputs!$B$7,0)+IF(AND(Source_Data!BC$6&gt;=$B$190,Source_Data!BC$6&lt;$B$190+3*Inputs!$B$16,MOD(Source_Data!BC$6-$B$190,3)=0),Inputs!$B$8*Inputs!$B$7*Inputs!$B$34*$B$185*(1-Inputs!$B$15)/Inputs!$B$16,0)</f>
        <v>0</v>
      </c>
      <c r="BD199" s="33" t="n">
        <f aca="false">IF(Source_Data!BD$6=Inputs!$B$12,-Inputs!$B$7,0)+IF(AND(Source_Data!BD$6&gt;=$B$190,Source_Data!BD$6&lt;$B$190+3*Inputs!$B$16,MOD(Source_Data!BD$6-$B$190,3)=0),Inputs!$B$8*Inputs!$B$7*Inputs!$B$34*$B$185*(1-Inputs!$B$15)/Inputs!$B$16,0)</f>
        <v>0</v>
      </c>
      <c r="BE199" s="33" t="n">
        <f aca="false">IF(Source_Data!BE$6=Inputs!$B$12,-Inputs!$B$7,0)+IF(AND(Source_Data!BE$6&gt;=$B$190,Source_Data!BE$6&lt;$B$190+3*Inputs!$B$16,MOD(Source_Data!BE$6-$B$190,3)=0),Inputs!$B$8*Inputs!$B$7*Inputs!$B$34*$B$185*(1-Inputs!$B$15)/Inputs!$B$16,0)</f>
        <v>0</v>
      </c>
      <c r="BF199" s="33" t="n">
        <f aca="false">IF(Source_Data!BF$6=Inputs!$B$12,-Inputs!$B$7,0)+IF(AND(Source_Data!BF$6&gt;=$B$190,Source_Data!BF$6&lt;$B$190+3*Inputs!$B$16,MOD(Source_Data!BF$6-$B$190,3)=0),Inputs!$B$8*Inputs!$B$7*Inputs!$B$34*$B$185*(1-Inputs!$B$15)/Inputs!$B$16,0)</f>
        <v>0</v>
      </c>
      <c r="BG199" s="33" t="n">
        <f aca="false">IF(Source_Data!BG$6=Inputs!$B$12,-Inputs!$B$7,0)+IF(AND(Source_Data!BG$6&gt;=$B$190,Source_Data!BG$6&lt;$B$190+3*Inputs!$B$16,MOD(Source_Data!BG$6-$B$190,3)=0),Inputs!$B$8*Inputs!$B$7*Inputs!$B$34*$B$185*(1-Inputs!$B$15)/Inputs!$B$16,0)</f>
        <v>0</v>
      </c>
      <c r="BH199" s="33" t="n">
        <f aca="false">IF(Source_Data!BH$6=Inputs!$B$12,-Inputs!$B$7,0)+IF(AND(Source_Data!BH$6&gt;=$B$190,Source_Data!BH$6&lt;$B$190+3*Inputs!$B$16,MOD(Source_Data!BH$6-$B$190,3)=0),Inputs!$B$8*Inputs!$B$7*Inputs!$B$34*$B$185*(1-Inputs!$B$15)/Inputs!$B$16,0)</f>
        <v>0</v>
      </c>
      <c r="BI199" s="33" t="n">
        <f aca="false">IF(Source_Data!BI$6=Inputs!$B$12,-Inputs!$B$7,0)+IF(AND(Source_Data!BI$6&gt;=$B$190,Source_Data!BI$6&lt;$B$190+3*Inputs!$B$16,MOD(Source_Data!BI$6-$B$190,3)=0),Inputs!$B$8*Inputs!$B$7*Inputs!$B$34*$B$185*(1-Inputs!$B$15)/Inputs!$B$16,0)</f>
        <v>0</v>
      </c>
      <c r="BJ199" s="33" t="n">
        <f aca="false">IF(Source_Data!BJ$6=Inputs!$B$12,-Inputs!$B$7,0)+IF(AND(Source_Data!BJ$6&gt;=$B$190,Source_Data!BJ$6&lt;$B$190+3*Inputs!$B$16,MOD(Source_Data!BJ$6-$B$190,3)=0),Inputs!$B$8*Inputs!$B$7*Inputs!$B$34*$B$185*(1-Inputs!$B$15)/Inputs!$B$16,0)</f>
        <v>0</v>
      </c>
      <c r="BK199" s="33" t="n">
        <f aca="false">IF(Source_Data!BK$6=Inputs!$B$12,-Inputs!$B$7,0)+IF(AND(Source_Data!BK$6&gt;=$B$190,Source_Data!BK$6&lt;$B$190+3*Inputs!$B$16,MOD(Source_Data!BK$6-$B$190,3)=0),Inputs!$B$8*Inputs!$B$7*Inputs!$B$34*$B$185*(1-Inputs!$B$15)/Inputs!$B$16,0)</f>
        <v>0</v>
      </c>
    </row>
    <row r="200" customFormat="false" ht="15" hidden="false" customHeight="false" outlineLevel="0" collapsed="false">
      <c r="A200" s="3" t="s">
        <v>341</v>
      </c>
      <c r="D200" s="33" t="n">
        <f aca="false">IF(AND(Source_Data!D$6&gt;=Inputs!$B$54,Source_Data!D$6&lt;Inputs!$B$54+3*Inputs!$B$11),Inputs!$B$9*Inputs!$B$7/Inputs!$B$11,0)</f>
        <v>0</v>
      </c>
      <c r="E200" s="33" t="n">
        <f aca="false">IF(AND(Source_Data!E$6&gt;=Inputs!$B$54,Source_Data!E$6&lt;Inputs!$B$54+3*Inputs!$B$11),Inputs!$B$9*Inputs!$B$7/Inputs!$B$11,0)</f>
        <v>0</v>
      </c>
      <c r="F200" s="33" t="n">
        <f aca="false">IF(AND(Source_Data!F$6&gt;=Inputs!$B$54,Source_Data!F$6&lt;Inputs!$B$54+3*Inputs!$B$11),Inputs!$B$9*Inputs!$B$7/Inputs!$B$11,0)</f>
        <v>0</v>
      </c>
      <c r="G200" s="33" t="n">
        <f aca="false">IF(AND(Source_Data!G$6&gt;=Inputs!$B$54,Source_Data!G$6&lt;Inputs!$B$54+3*Inputs!$B$11),Inputs!$B$9*Inputs!$B$7/Inputs!$B$11,0)</f>
        <v>0</v>
      </c>
      <c r="H200" s="33" t="n">
        <f aca="false">IF(AND(Source_Data!H$6&gt;=Inputs!$B$54,Source_Data!H$6&lt;Inputs!$B$54+3*Inputs!$B$11),Inputs!$B$9*Inputs!$B$7/Inputs!$B$11,0)</f>
        <v>0</v>
      </c>
      <c r="I200" s="33" t="n">
        <f aca="false">IF(AND(Source_Data!I$6&gt;=Inputs!$B$54,Source_Data!I$6&lt;Inputs!$B$54+3*Inputs!$B$11),Inputs!$B$9*Inputs!$B$7/Inputs!$B$11,0)</f>
        <v>0</v>
      </c>
      <c r="J200" s="33" t="n">
        <f aca="false">IF(AND(Source_Data!J$6&gt;=Inputs!$B$54,Source_Data!J$6&lt;Inputs!$B$54+3*Inputs!$B$11),Inputs!$B$9*Inputs!$B$7/Inputs!$B$11,0)</f>
        <v>0</v>
      </c>
      <c r="K200" s="33" t="n">
        <f aca="false">IF(AND(Source_Data!K$6&gt;=Inputs!$B$54,Source_Data!K$6&lt;Inputs!$B$54+3*Inputs!$B$11),Inputs!$B$9*Inputs!$B$7/Inputs!$B$11,0)</f>
        <v>0</v>
      </c>
      <c r="L200" s="33" t="n">
        <f aca="false">IF(AND(Source_Data!L$6&gt;=Inputs!$B$54,Source_Data!L$6&lt;Inputs!$B$54+3*Inputs!$B$11),Inputs!$B$9*Inputs!$B$7/Inputs!$B$11,0)</f>
        <v>0</v>
      </c>
      <c r="M200" s="33" t="n">
        <f aca="false">IF(AND(Source_Data!M$6&gt;=Inputs!$B$54,Source_Data!M$6&lt;Inputs!$B$54+3*Inputs!$B$11),Inputs!$B$9*Inputs!$B$7/Inputs!$B$11,0)</f>
        <v>19.1666666666667</v>
      </c>
      <c r="N200" s="33" t="n">
        <f aca="false">IF(AND(Source_Data!N$6&gt;=Inputs!$B$54,Source_Data!N$6&lt;Inputs!$B$54+3*Inputs!$B$11),Inputs!$B$9*Inputs!$B$7/Inputs!$B$11,0)</f>
        <v>19.1666666666667</v>
      </c>
      <c r="O200" s="33" t="n">
        <f aca="false">IF(AND(Source_Data!O$6&gt;=Inputs!$B$54,Source_Data!O$6&lt;Inputs!$B$54+3*Inputs!$B$11),Inputs!$B$9*Inputs!$B$7/Inputs!$B$11,0)</f>
        <v>19.1666666666667</v>
      </c>
      <c r="P200" s="33" t="n">
        <f aca="false">IF(AND(Source_Data!P$6&gt;=Inputs!$B$54,Source_Data!P$6&lt;Inputs!$B$54+3*Inputs!$B$11),Inputs!$B$9*Inputs!$B$7/Inputs!$B$11,0)</f>
        <v>19.1666666666667</v>
      </c>
      <c r="Q200" s="33" t="n">
        <f aca="false">IF(AND(Source_Data!Q$6&gt;=Inputs!$B$54,Source_Data!Q$6&lt;Inputs!$B$54+3*Inputs!$B$11),Inputs!$B$9*Inputs!$B$7/Inputs!$B$11,0)</f>
        <v>19.1666666666667</v>
      </c>
      <c r="R200" s="33" t="n">
        <f aca="false">IF(AND(Source_Data!R$6&gt;=Inputs!$B$54,Source_Data!R$6&lt;Inputs!$B$54+3*Inputs!$B$11),Inputs!$B$9*Inputs!$B$7/Inputs!$B$11,0)</f>
        <v>19.1666666666667</v>
      </c>
      <c r="S200" s="33" t="n">
        <f aca="false">IF(AND(Source_Data!S$6&gt;=Inputs!$B$54,Source_Data!S$6&lt;Inputs!$B$54+3*Inputs!$B$11),Inputs!$B$9*Inputs!$B$7/Inputs!$B$11,0)</f>
        <v>19.1666666666667</v>
      </c>
      <c r="T200" s="33" t="n">
        <f aca="false">IF(AND(Source_Data!T$6&gt;=Inputs!$B$54,Source_Data!T$6&lt;Inputs!$B$54+3*Inputs!$B$11),Inputs!$B$9*Inputs!$B$7/Inputs!$B$11,0)</f>
        <v>19.1666666666667</v>
      </c>
      <c r="U200" s="33" t="n">
        <f aca="false">IF(AND(Source_Data!U$6&gt;=Inputs!$B$54,Source_Data!U$6&lt;Inputs!$B$54+3*Inputs!$B$11),Inputs!$B$9*Inputs!$B$7/Inputs!$B$11,0)</f>
        <v>19.1666666666667</v>
      </c>
      <c r="V200" s="33" t="n">
        <f aca="false">IF(AND(Source_Data!V$6&gt;=Inputs!$B$54,Source_Data!V$6&lt;Inputs!$B$54+3*Inputs!$B$11),Inputs!$B$9*Inputs!$B$7/Inputs!$B$11,0)</f>
        <v>19.1666666666667</v>
      </c>
      <c r="W200" s="33" t="n">
        <f aca="false">IF(AND(Source_Data!W$6&gt;=Inputs!$B$54,Source_Data!W$6&lt;Inputs!$B$54+3*Inputs!$B$11),Inputs!$B$9*Inputs!$B$7/Inputs!$B$11,0)</f>
        <v>19.1666666666667</v>
      </c>
      <c r="X200" s="33" t="n">
        <f aca="false">IF(AND(Source_Data!X$6&gt;=Inputs!$B$54,Source_Data!X$6&lt;Inputs!$B$54+3*Inputs!$B$11),Inputs!$B$9*Inputs!$B$7/Inputs!$B$11,0)</f>
        <v>19.1666666666667</v>
      </c>
      <c r="Y200" s="33" t="n">
        <f aca="false">IF(AND(Source_Data!Y$6&gt;=Inputs!$B$54,Source_Data!Y$6&lt;Inputs!$B$54+3*Inputs!$B$11),Inputs!$B$9*Inputs!$B$7/Inputs!$B$11,0)</f>
        <v>0</v>
      </c>
      <c r="Z200" s="33" t="n">
        <f aca="false">IF(AND(Source_Data!Z$6&gt;=Inputs!$B$54,Source_Data!Z$6&lt;Inputs!$B$54+3*Inputs!$B$11),Inputs!$B$9*Inputs!$B$7/Inputs!$B$11,0)</f>
        <v>0</v>
      </c>
      <c r="AA200" s="33" t="n">
        <f aca="false">IF(AND(Source_Data!AA$6&gt;=Inputs!$B$54,Source_Data!AA$6&lt;Inputs!$B$54+3*Inputs!$B$11),Inputs!$B$9*Inputs!$B$7/Inputs!$B$11,0)</f>
        <v>0</v>
      </c>
      <c r="AB200" s="33" t="n">
        <f aca="false">IF(AND(Source_Data!AB$6&gt;=Inputs!$B$54,Source_Data!AB$6&lt;Inputs!$B$54+3*Inputs!$B$11),Inputs!$B$9*Inputs!$B$7/Inputs!$B$11,0)</f>
        <v>0</v>
      </c>
      <c r="AC200" s="33" t="n">
        <f aca="false">IF(AND(Source_Data!AC$6&gt;=Inputs!$B$54,Source_Data!AC$6&lt;Inputs!$B$54+3*Inputs!$B$11),Inputs!$B$9*Inputs!$B$7/Inputs!$B$11,0)</f>
        <v>0</v>
      </c>
      <c r="AD200" s="33" t="n">
        <f aca="false">IF(AND(Source_Data!AD$6&gt;=Inputs!$B$54,Source_Data!AD$6&lt;Inputs!$B$54+3*Inputs!$B$11),Inputs!$B$9*Inputs!$B$7/Inputs!$B$11,0)</f>
        <v>0</v>
      </c>
      <c r="AE200" s="33" t="n">
        <f aca="false">IF(AND(Source_Data!AE$6&gt;=Inputs!$B$54,Source_Data!AE$6&lt;Inputs!$B$54+3*Inputs!$B$11),Inputs!$B$9*Inputs!$B$7/Inputs!$B$11,0)</f>
        <v>0</v>
      </c>
      <c r="AF200" s="33" t="n">
        <f aca="false">IF(AND(Source_Data!AF$6&gt;=Inputs!$B$54,Source_Data!AF$6&lt;Inputs!$B$54+3*Inputs!$B$11),Inputs!$B$9*Inputs!$B$7/Inputs!$B$11,0)</f>
        <v>0</v>
      </c>
      <c r="AG200" s="33" t="n">
        <f aca="false">IF(AND(Source_Data!AG$6&gt;=Inputs!$B$54,Source_Data!AG$6&lt;Inputs!$B$54+3*Inputs!$B$11),Inputs!$B$9*Inputs!$B$7/Inputs!$B$11,0)</f>
        <v>0</v>
      </c>
      <c r="AH200" s="33" t="n">
        <f aca="false">IF(AND(Source_Data!AH$6&gt;=Inputs!$B$54,Source_Data!AH$6&lt;Inputs!$B$54+3*Inputs!$B$11),Inputs!$B$9*Inputs!$B$7/Inputs!$B$11,0)</f>
        <v>0</v>
      </c>
      <c r="AI200" s="33" t="n">
        <f aca="false">IF(AND(Source_Data!AI$6&gt;=Inputs!$B$54,Source_Data!AI$6&lt;Inputs!$B$54+3*Inputs!$B$11),Inputs!$B$9*Inputs!$B$7/Inputs!$B$11,0)</f>
        <v>0</v>
      </c>
      <c r="AJ200" s="33" t="n">
        <f aca="false">IF(AND(Source_Data!AJ$6&gt;=Inputs!$B$54,Source_Data!AJ$6&lt;Inputs!$B$54+3*Inputs!$B$11),Inputs!$B$9*Inputs!$B$7/Inputs!$B$11,0)</f>
        <v>0</v>
      </c>
      <c r="AK200" s="33" t="n">
        <f aca="false">IF(AND(Source_Data!AK$6&gt;=Inputs!$B$54,Source_Data!AK$6&lt;Inputs!$B$54+3*Inputs!$B$11),Inputs!$B$9*Inputs!$B$7/Inputs!$B$11,0)</f>
        <v>0</v>
      </c>
      <c r="AL200" s="33" t="n">
        <f aca="false">IF(AND(Source_Data!AL$6&gt;=Inputs!$B$54,Source_Data!AL$6&lt;Inputs!$B$54+3*Inputs!$B$11),Inputs!$B$9*Inputs!$B$7/Inputs!$B$11,0)</f>
        <v>0</v>
      </c>
      <c r="AM200" s="33" t="n">
        <f aca="false">IF(AND(Source_Data!AM$6&gt;=Inputs!$B$54,Source_Data!AM$6&lt;Inputs!$B$54+3*Inputs!$B$11),Inputs!$B$9*Inputs!$B$7/Inputs!$B$11,0)</f>
        <v>0</v>
      </c>
      <c r="AN200" s="33" t="n">
        <f aca="false">IF(AND(Source_Data!AN$6&gt;=Inputs!$B$54,Source_Data!AN$6&lt;Inputs!$B$54+3*Inputs!$B$11),Inputs!$B$9*Inputs!$B$7/Inputs!$B$11,0)</f>
        <v>0</v>
      </c>
      <c r="AO200" s="33" t="n">
        <f aca="false">IF(AND(Source_Data!AO$6&gt;=Inputs!$B$54,Source_Data!AO$6&lt;Inputs!$B$54+3*Inputs!$B$11),Inputs!$B$9*Inputs!$B$7/Inputs!$B$11,0)</f>
        <v>0</v>
      </c>
      <c r="AP200" s="33" t="n">
        <f aca="false">IF(AND(Source_Data!AP$6&gt;=Inputs!$B$54,Source_Data!AP$6&lt;Inputs!$B$54+3*Inputs!$B$11),Inputs!$B$9*Inputs!$B$7/Inputs!$B$11,0)</f>
        <v>0</v>
      </c>
      <c r="AQ200" s="33" t="n">
        <f aca="false">IF(AND(Source_Data!AQ$6&gt;=Inputs!$B$54,Source_Data!AQ$6&lt;Inputs!$B$54+3*Inputs!$B$11),Inputs!$B$9*Inputs!$B$7/Inputs!$B$11,0)</f>
        <v>0</v>
      </c>
      <c r="AR200" s="33" t="n">
        <f aca="false">IF(AND(Source_Data!AR$6&gt;=Inputs!$B$54,Source_Data!AR$6&lt;Inputs!$B$54+3*Inputs!$B$11),Inputs!$B$9*Inputs!$B$7/Inputs!$B$11,0)</f>
        <v>0</v>
      </c>
      <c r="AS200" s="33" t="n">
        <f aca="false">IF(AND(Source_Data!AS$6&gt;=Inputs!$B$54,Source_Data!AS$6&lt;Inputs!$B$54+3*Inputs!$B$11),Inputs!$B$9*Inputs!$B$7/Inputs!$B$11,0)</f>
        <v>0</v>
      </c>
      <c r="AT200" s="33" t="n">
        <f aca="false">IF(AND(Source_Data!AT$6&gt;=Inputs!$B$54,Source_Data!AT$6&lt;Inputs!$B$54+3*Inputs!$B$11),Inputs!$B$9*Inputs!$B$7/Inputs!$B$11,0)</f>
        <v>0</v>
      </c>
      <c r="AU200" s="33" t="n">
        <f aca="false">IF(AND(Source_Data!AU$6&gt;=Inputs!$B$54,Source_Data!AU$6&lt;Inputs!$B$54+3*Inputs!$B$11),Inputs!$B$9*Inputs!$B$7/Inputs!$B$11,0)</f>
        <v>0</v>
      </c>
      <c r="AV200" s="33" t="n">
        <f aca="false">IF(AND(Source_Data!AV$6&gt;=Inputs!$B$54,Source_Data!AV$6&lt;Inputs!$B$54+3*Inputs!$B$11),Inputs!$B$9*Inputs!$B$7/Inputs!$B$11,0)</f>
        <v>0</v>
      </c>
      <c r="AW200" s="33" t="n">
        <f aca="false">IF(AND(Source_Data!AW$6&gt;=Inputs!$B$54,Source_Data!AW$6&lt;Inputs!$B$54+3*Inputs!$B$11),Inputs!$B$9*Inputs!$B$7/Inputs!$B$11,0)</f>
        <v>0</v>
      </c>
      <c r="AX200" s="33" t="n">
        <f aca="false">IF(AND(Source_Data!AX$6&gt;=Inputs!$B$54,Source_Data!AX$6&lt;Inputs!$B$54+3*Inputs!$B$11),Inputs!$B$9*Inputs!$B$7/Inputs!$B$11,0)</f>
        <v>0</v>
      </c>
      <c r="AY200" s="33" t="n">
        <f aca="false">IF(AND(Source_Data!AY$6&gt;=Inputs!$B$54,Source_Data!AY$6&lt;Inputs!$B$54+3*Inputs!$B$11),Inputs!$B$9*Inputs!$B$7/Inputs!$B$11,0)</f>
        <v>0</v>
      </c>
      <c r="AZ200" s="33" t="n">
        <f aca="false">IF(AND(Source_Data!AZ$6&gt;=Inputs!$B$54,Source_Data!AZ$6&lt;Inputs!$B$54+3*Inputs!$B$11),Inputs!$B$9*Inputs!$B$7/Inputs!$B$11,0)</f>
        <v>0</v>
      </c>
      <c r="BA200" s="33" t="n">
        <f aca="false">IF(AND(Source_Data!BA$6&gt;=Inputs!$B$54,Source_Data!BA$6&lt;Inputs!$B$54+3*Inputs!$B$11),Inputs!$B$9*Inputs!$B$7/Inputs!$B$11,0)</f>
        <v>0</v>
      </c>
      <c r="BB200" s="33" t="n">
        <f aca="false">IF(AND(Source_Data!BB$6&gt;=Inputs!$B$54,Source_Data!BB$6&lt;Inputs!$B$54+3*Inputs!$B$11),Inputs!$B$9*Inputs!$B$7/Inputs!$B$11,0)</f>
        <v>0</v>
      </c>
      <c r="BC200" s="33" t="n">
        <f aca="false">IF(AND(Source_Data!BC$6&gt;=Inputs!$B$54,Source_Data!BC$6&lt;Inputs!$B$54+3*Inputs!$B$11),Inputs!$B$9*Inputs!$B$7/Inputs!$B$11,0)</f>
        <v>0</v>
      </c>
      <c r="BD200" s="33" t="n">
        <f aca="false">IF(AND(Source_Data!BD$6&gt;=Inputs!$B$54,Source_Data!BD$6&lt;Inputs!$B$54+3*Inputs!$B$11),Inputs!$B$9*Inputs!$B$7/Inputs!$B$11,0)</f>
        <v>0</v>
      </c>
      <c r="BE200" s="33" t="n">
        <f aca="false">IF(AND(Source_Data!BE$6&gt;=Inputs!$B$54,Source_Data!BE$6&lt;Inputs!$B$54+3*Inputs!$B$11),Inputs!$B$9*Inputs!$B$7/Inputs!$B$11,0)</f>
        <v>0</v>
      </c>
      <c r="BF200" s="33" t="n">
        <f aca="false">IF(AND(Source_Data!BF$6&gt;=Inputs!$B$54,Source_Data!BF$6&lt;Inputs!$B$54+3*Inputs!$B$11),Inputs!$B$9*Inputs!$B$7/Inputs!$B$11,0)</f>
        <v>0</v>
      </c>
      <c r="BG200" s="33" t="n">
        <f aca="false">IF(AND(Source_Data!BG$6&gt;=Inputs!$B$54,Source_Data!BG$6&lt;Inputs!$B$54+3*Inputs!$B$11),Inputs!$B$9*Inputs!$B$7/Inputs!$B$11,0)</f>
        <v>0</v>
      </c>
      <c r="BH200" s="33" t="n">
        <f aca="false">IF(AND(Source_Data!BH$6&gt;=Inputs!$B$54,Source_Data!BH$6&lt;Inputs!$B$54+3*Inputs!$B$11),Inputs!$B$9*Inputs!$B$7/Inputs!$B$11,0)</f>
        <v>0</v>
      </c>
      <c r="BI200" s="33" t="n">
        <f aca="false">IF(AND(Source_Data!BI$6&gt;=Inputs!$B$54,Source_Data!BI$6&lt;Inputs!$B$54+3*Inputs!$B$11),Inputs!$B$9*Inputs!$B$7/Inputs!$B$11,0)</f>
        <v>0</v>
      </c>
      <c r="BJ200" s="33" t="n">
        <f aca="false">IF(AND(Source_Data!BJ$6&gt;=Inputs!$B$54,Source_Data!BJ$6&lt;Inputs!$B$54+3*Inputs!$B$11),Inputs!$B$9*Inputs!$B$7/Inputs!$B$11,0)</f>
        <v>0</v>
      </c>
      <c r="BK200" s="33" t="n">
        <f aca="false">IF(AND(Source_Data!BK$6&gt;=Inputs!$B$54,Source_Data!BK$6&lt;Inputs!$B$54+3*Inputs!$B$11),Inputs!$B$9*Inputs!$B$7/Inputs!$B$11,0)</f>
        <v>0</v>
      </c>
    </row>
    <row r="201" customFormat="false" ht="15" hidden="false" customHeight="false" outlineLevel="0" collapsed="false">
      <c r="A201" s="3" t="s">
        <v>342</v>
      </c>
      <c r="D201" s="33" t="n">
        <f aca="false">IF(Source_Data!D$6=Inputs!$B$12,-Inputs!$B$7,0)+D200</f>
        <v>-100</v>
      </c>
      <c r="E201" s="33" t="n">
        <f aca="false">IF(Source_Data!E$6=Inputs!$B$12,-Inputs!$B$7,0)+E200</f>
        <v>0</v>
      </c>
      <c r="F201" s="33" t="n">
        <f aca="false">IF(Source_Data!F$6=Inputs!$B$12,-Inputs!$B$7,0)+F200</f>
        <v>0</v>
      </c>
      <c r="G201" s="33" t="n">
        <f aca="false">IF(Source_Data!G$6=Inputs!$B$12,-Inputs!$B$7,0)+G200</f>
        <v>0</v>
      </c>
      <c r="H201" s="33" t="n">
        <f aca="false">IF(Source_Data!H$6=Inputs!$B$12,-Inputs!$B$7,0)+H200</f>
        <v>0</v>
      </c>
      <c r="I201" s="33" t="n">
        <f aca="false">IF(Source_Data!I$6=Inputs!$B$12,-Inputs!$B$7,0)+I200</f>
        <v>0</v>
      </c>
      <c r="J201" s="33" t="n">
        <f aca="false">IF(Source_Data!J$6=Inputs!$B$12,-Inputs!$B$7,0)+J200</f>
        <v>0</v>
      </c>
      <c r="K201" s="33" t="n">
        <f aca="false">IF(Source_Data!K$6=Inputs!$B$12,-Inputs!$B$7,0)+K200</f>
        <v>0</v>
      </c>
      <c r="L201" s="33" t="n">
        <f aca="false">IF(Source_Data!L$6=Inputs!$B$12,-Inputs!$B$7,0)+L200</f>
        <v>0</v>
      </c>
      <c r="M201" s="33" t="n">
        <f aca="false">IF(Source_Data!M$6=Inputs!$B$12,-Inputs!$B$7,0)+M200</f>
        <v>19.1666666666667</v>
      </c>
      <c r="N201" s="33" t="n">
        <f aca="false">IF(Source_Data!N$6=Inputs!$B$12,-Inputs!$B$7,0)+N200</f>
        <v>19.1666666666667</v>
      </c>
      <c r="O201" s="33" t="n">
        <f aca="false">IF(Source_Data!O$6=Inputs!$B$12,-Inputs!$B$7,0)+O200</f>
        <v>19.1666666666667</v>
      </c>
      <c r="P201" s="33" t="n">
        <f aca="false">IF(Source_Data!P$6=Inputs!$B$12,-Inputs!$B$7,0)+P200</f>
        <v>19.1666666666667</v>
      </c>
      <c r="Q201" s="33" t="n">
        <f aca="false">IF(Source_Data!Q$6=Inputs!$B$12,-Inputs!$B$7,0)+Q200</f>
        <v>19.1666666666667</v>
      </c>
      <c r="R201" s="33" t="n">
        <f aca="false">IF(Source_Data!R$6=Inputs!$B$12,-Inputs!$B$7,0)+R200</f>
        <v>19.1666666666667</v>
      </c>
      <c r="S201" s="33" t="n">
        <f aca="false">IF(Source_Data!S$6=Inputs!$B$12,-Inputs!$B$7,0)+S200</f>
        <v>19.1666666666667</v>
      </c>
      <c r="T201" s="33" t="n">
        <f aca="false">IF(Source_Data!T$6=Inputs!$B$12,-Inputs!$B$7,0)+T200</f>
        <v>19.1666666666667</v>
      </c>
      <c r="U201" s="33" t="n">
        <f aca="false">IF(Source_Data!U$6=Inputs!$B$12,-Inputs!$B$7,0)+U200</f>
        <v>19.1666666666667</v>
      </c>
      <c r="V201" s="33" t="n">
        <f aca="false">IF(Source_Data!V$6=Inputs!$B$12,-Inputs!$B$7,0)+V200</f>
        <v>19.1666666666667</v>
      </c>
      <c r="W201" s="33" t="n">
        <f aca="false">IF(Source_Data!W$6=Inputs!$B$12,-Inputs!$B$7,0)+W200</f>
        <v>19.1666666666667</v>
      </c>
      <c r="X201" s="33" t="n">
        <f aca="false">IF(Source_Data!X$6=Inputs!$B$12,-Inputs!$B$7,0)+X200</f>
        <v>19.1666666666667</v>
      </c>
      <c r="Y201" s="33" t="n">
        <f aca="false">IF(Source_Data!Y$6=Inputs!$B$12,-Inputs!$B$7,0)+Y200</f>
        <v>0</v>
      </c>
      <c r="Z201" s="33" t="n">
        <f aca="false">IF(Source_Data!Z$6=Inputs!$B$12,-Inputs!$B$7,0)+Z200</f>
        <v>0</v>
      </c>
      <c r="AA201" s="33" t="n">
        <f aca="false">IF(Source_Data!AA$6=Inputs!$B$12,-Inputs!$B$7,0)+AA200</f>
        <v>0</v>
      </c>
      <c r="AB201" s="33" t="n">
        <f aca="false">IF(Source_Data!AB$6=Inputs!$B$12,-Inputs!$B$7,0)+AB200</f>
        <v>0</v>
      </c>
      <c r="AC201" s="33" t="n">
        <f aca="false">IF(Source_Data!AC$6=Inputs!$B$12,-Inputs!$B$7,0)+AC200</f>
        <v>0</v>
      </c>
      <c r="AD201" s="33" t="n">
        <f aca="false">IF(Source_Data!AD$6=Inputs!$B$12,-Inputs!$B$7,0)+AD200</f>
        <v>0</v>
      </c>
      <c r="AE201" s="33" t="n">
        <f aca="false">IF(Source_Data!AE$6=Inputs!$B$12,-Inputs!$B$7,0)+AE200</f>
        <v>0</v>
      </c>
      <c r="AF201" s="33" t="n">
        <f aca="false">IF(Source_Data!AF$6=Inputs!$B$12,-Inputs!$B$7,0)+AF200</f>
        <v>0</v>
      </c>
      <c r="AG201" s="33" t="n">
        <f aca="false">IF(Source_Data!AG$6=Inputs!$B$12,-Inputs!$B$7,0)+AG200</f>
        <v>0</v>
      </c>
      <c r="AH201" s="33" t="n">
        <f aca="false">IF(Source_Data!AH$6=Inputs!$B$12,-Inputs!$B$7,0)+AH200</f>
        <v>0</v>
      </c>
      <c r="AI201" s="33" t="n">
        <f aca="false">IF(Source_Data!AI$6=Inputs!$B$12,-Inputs!$B$7,0)+AI200</f>
        <v>0</v>
      </c>
      <c r="AJ201" s="33" t="n">
        <f aca="false">IF(Source_Data!AJ$6=Inputs!$B$12,-Inputs!$B$7,0)+AJ200</f>
        <v>0</v>
      </c>
      <c r="AK201" s="33" t="n">
        <f aca="false">IF(Source_Data!AK$6=Inputs!$B$12,-Inputs!$B$7,0)+AK200</f>
        <v>0</v>
      </c>
      <c r="AL201" s="33" t="n">
        <f aca="false">IF(Source_Data!AL$6=Inputs!$B$12,-Inputs!$B$7,0)+AL200</f>
        <v>0</v>
      </c>
      <c r="AM201" s="33" t="n">
        <f aca="false">IF(Source_Data!AM$6=Inputs!$B$12,-Inputs!$B$7,0)+AM200</f>
        <v>0</v>
      </c>
      <c r="AN201" s="33" t="n">
        <f aca="false">IF(Source_Data!AN$6=Inputs!$B$12,-Inputs!$B$7,0)+AN200</f>
        <v>0</v>
      </c>
      <c r="AO201" s="33" t="n">
        <f aca="false">IF(Source_Data!AO$6=Inputs!$B$12,-Inputs!$B$7,0)+AO200</f>
        <v>0</v>
      </c>
      <c r="AP201" s="33" t="n">
        <f aca="false">IF(Source_Data!AP$6=Inputs!$B$12,-Inputs!$B$7,0)+AP200</f>
        <v>0</v>
      </c>
      <c r="AQ201" s="33" t="n">
        <f aca="false">IF(Source_Data!AQ$6=Inputs!$B$12,-Inputs!$B$7,0)+AQ200</f>
        <v>0</v>
      </c>
      <c r="AR201" s="33" t="n">
        <f aca="false">IF(Source_Data!AR$6=Inputs!$B$12,-Inputs!$B$7,0)+AR200</f>
        <v>0</v>
      </c>
      <c r="AS201" s="33" t="n">
        <f aca="false">IF(Source_Data!AS$6=Inputs!$B$12,-Inputs!$B$7,0)+AS200</f>
        <v>0</v>
      </c>
      <c r="AT201" s="33" t="n">
        <f aca="false">IF(Source_Data!AT$6=Inputs!$B$12,-Inputs!$B$7,0)+AT200</f>
        <v>0</v>
      </c>
      <c r="AU201" s="33" t="n">
        <f aca="false">IF(Source_Data!AU$6=Inputs!$B$12,-Inputs!$B$7,0)+AU200</f>
        <v>0</v>
      </c>
      <c r="AV201" s="33" t="n">
        <f aca="false">IF(Source_Data!AV$6=Inputs!$B$12,-Inputs!$B$7,0)+AV200</f>
        <v>0</v>
      </c>
      <c r="AW201" s="33" t="n">
        <f aca="false">IF(Source_Data!AW$6=Inputs!$B$12,-Inputs!$B$7,0)+AW200</f>
        <v>0</v>
      </c>
      <c r="AX201" s="33" t="n">
        <f aca="false">IF(Source_Data!AX$6=Inputs!$B$12,-Inputs!$B$7,0)+AX200</f>
        <v>0</v>
      </c>
      <c r="AY201" s="33" t="n">
        <f aca="false">IF(Source_Data!AY$6=Inputs!$B$12,-Inputs!$B$7,0)+AY200</f>
        <v>0</v>
      </c>
      <c r="AZ201" s="33" t="n">
        <f aca="false">IF(Source_Data!AZ$6=Inputs!$B$12,-Inputs!$B$7,0)+AZ200</f>
        <v>0</v>
      </c>
      <c r="BA201" s="33" t="n">
        <f aca="false">IF(Source_Data!BA$6=Inputs!$B$12,-Inputs!$B$7,0)+BA200</f>
        <v>0</v>
      </c>
      <c r="BB201" s="33" t="n">
        <f aca="false">IF(Source_Data!BB$6=Inputs!$B$12,-Inputs!$B$7,0)+BB200</f>
        <v>0</v>
      </c>
      <c r="BC201" s="33" t="n">
        <f aca="false">IF(Source_Data!BC$6=Inputs!$B$12,-Inputs!$B$7,0)+BC200</f>
        <v>0</v>
      </c>
      <c r="BD201" s="33" t="n">
        <f aca="false">IF(Source_Data!BD$6=Inputs!$B$12,-Inputs!$B$7,0)+BD200</f>
        <v>0</v>
      </c>
      <c r="BE201" s="33" t="n">
        <f aca="false">IF(Source_Data!BE$6=Inputs!$B$12,-Inputs!$B$7,0)+BE200</f>
        <v>0</v>
      </c>
      <c r="BF201" s="33" t="n">
        <f aca="false">IF(Source_Data!BF$6=Inputs!$B$12,-Inputs!$B$7,0)+BF200</f>
        <v>0</v>
      </c>
      <c r="BG201" s="33" t="n">
        <f aca="false">IF(Source_Data!BG$6=Inputs!$B$12,-Inputs!$B$7,0)+BG200</f>
        <v>0</v>
      </c>
      <c r="BH201" s="33" t="n">
        <f aca="false">IF(Source_Data!BH$6=Inputs!$B$12,-Inputs!$B$7,0)+BH200</f>
        <v>0</v>
      </c>
      <c r="BI201" s="33" t="n">
        <f aca="false">IF(Source_Data!BI$6=Inputs!$B$12,-Inputs!$B$7,0)+BI200</f>
        <v>0</v>
      </c>
      <c r="BJ201" s="33" t="n">
        <f aca="false">IF(Source_Data!BJ$6=Inputs!$B$12,-Inputs!$B$7,0)+BJ200</f>
        <v>0</v>
      </c>
      <c r="BK201" s="33" t="n">
        <f aca="false">IF(Source_Data!BK$6=Inputs!$B$12,-Inputs!$B$7,0)+BK200</f>
        <v>0</v>
      </c>
    </row>
    <row r="202" customFormat="false" ht="15" hidden="false" customHeight="false" outlineLevel="0" collapsed="false">
      <c r="A202" s="3" t="s">
        <v>343</v>
      </c>
      <c r="D202" s="33" t="n">
        <f aca="false">IF(Source_Data!D$6=Inputs!$B$12,Inputs!$B$7,0)+D197-D200</f>
        <v>8.75</v>
      </c>
      <c r="E202" s="33" t="n">
        <f aca="false">D202+IF(Source_Data!E$6=Inputs!$B$12,Inputs!$B$7,0)+E197-E200</f>
        <v>-2.5</v>
      </c>
      <c r="F202" s="33" t="n">
        <f aca="false">E202+IF(Source_Data!F$6=Inputs!$B$12,Inputs!$B$7,0)+F197-F200</f>
        <v>1.3892375</v>
      </c>
      <c r="G202" s="33" t="n">
        <f aca="false">F202+IF(Source_Data!G$6=Inputs!$B$12,Inputs!$B$7,0)+G197-G200</f>
        <v>20.4177125</v>
      </c>
      <c r="H202" s="33" t="n">
        <f aca="false">G202+IF(Source_Data!H$6=Inputs!$B$12,Inputs!$B$7,0)+H197-H200</f>
        <v>21.42971875</v>
      </c>
      <c r="I202" s="33" t="n">
        <f aca="false">H202+IF(Source_Data!I$6=Inputs!$B$12,Inputs!$B$7,0)+I197-I200</f>
        <v>31.31525625</v>
      </c>
      <c r="J202" s="33" t="n">
        <f aca="false">I202+IF(Source_Data!J$6=Inputs!$B$12,Inputs!$B$7,0)+J197-J200</f>
        <v>13.06956625</v>
      </c>
      <c r="K202" s="33" t="n">
        <f aca="false">J202+IF(Source_Data!K$6=Inputs!$B$12,Inputs!$B$7,0)+K197-K200</f>
        <v>11.571735625</v>
      </c>
      <c r="L202" s="33" t="n">
        <f aca="false">K202+IF(Source_Data!L$6=Inputs!$B$12,Inputs!$B$7,0)+L197-L200</f>
        <v>18.2693240625</v>
      </c>
      <c r="M202" s="33" t="n">
        <f aca="false">L202+IF(Source_Data!M$6=Inputs!$B$12,Inputs!$B$7,0)+M197-M200</f>
        <v>28.5158848958334</v>
      </c>
      <c r="N202" s="33" t="n">
        <f aca="false">M202+IF(Source_Data!N$6=Inputs!$B$12,Inputs!$B$7,0)+N197-N200</f>
        <v>90.2359582291667</v>
      </c>
      <c r="O202" s="33" t="n">
        <f aca="false">N202+IF(Source_Data!O$6=Inputs!$B$12,Inputs!$B$7,0)+O197-O200</f>
        <v>159.1910315625</v>
      </c>
      <c r="P202" s="33" t="n">
        <f aca="false">O202+IF(Source_Data!P$6=Inputs!$B$12,Inputs!$B$7,0)+P197-P200</f>
        <v>46.6370748958334</v>
      </c>
      <c r="Q202" s="33" t="n">
        <f aca="false">P202+IF(Source_Data!Q$6=Inputs!$B$12,Inputs!$B$7,0)+Q197-Q200</f>
        <v>-93.4804230208333</v>
      </c>
      <c r="R202" s="33" t="n">
        <f aca="false">Q202+IF(Source_Data!R$6=Inputs!$B$12,Inputs!$B$7,0)+R197-R200</f>
        <v>-284.1979209375</v>
      </c>
      <c r="S202" s="33" t="n">
        <f aca="false">R202+IF(Source_Data!S$6=Inputs!$B$12,Inputs!$B$7,0)+S197-S200</f>
        <v>70.1568480208333</v>
      </c>
      <c r="T202" s="33" t="n">
        <f aca="false">S202+IF(Source_Data!T$6=Inputs!$B$12,Inputs!$B$7,0)+T197-T200</f>
        <v>67.2168210416666</v>
      </c>
      <c r="U202" s="33" t="n">
        <f aca="false">T202+IF(Source_Data!U$6=Inputs!$B$12,Inputs!$B$7,0)+U197-U200</f>
        <v>62.7628703125</v>
      </c>
      <c r="V202" s="33" t="n">
        <f aca="false">U202+IF(Source_Data!V$6=Inputs!$B$12,Inputs!$B$7,0)+V197-V200</f>
        <v>52.3201483333333</v>
      </c>
      <c r="W202" s="33" t="n">
        <f aca="false">V202+IF(Source_Data!W$6=Inputs!$B$12,Inputs!$B$7,0)+W197-W200</f>
        <v>37.5364263541666</v>
      </c>
      <c r="X202" s="33" t="n">
        <f aca="false">W202+IF(Source_Data!X$6=Inputs!$B$12,Inputs!$B$7,0)+X197-X200</f>
        <v>45.252704375</v>
      </c>
      <c r="Y202" s="33" t="n">
        <f aca="false">X202+IF(Source_Data!Y$6=Inputs!$B$12,Inputs!$B$7,0)+Y197-Y200</f>
        <v>64.8554303125</v>
      </c>
      <c r="Z202" s="33" t="n">
        <f aca="false">Y202+IF(Source_Data!Z$6=Inputs!$B$12,Inputs!$B$7,0)+Z197-Z200</f>
        <v>84.4581562499999</v>
      </c>
      <c r="AA202" s="33" t="n">
        <f aca="false">Z202+IF(Source_Data!AA$6=Inputs!$B$12,Inputs!$B$7,0)+AA197-AA200</f>
        <v>104.0608821875</v>
      </c>
      <c r="AB202" s="33" t="n">
        <f aca="false">AA202+IF(Source_Data!AB$6=Inputs!$B$12,Inputs!$B$7,0)+AB197-AB200</f>
        <v>140.375608125</v>
      </c>
      <c r="AC202" s="33" t="n">
        <f aca="false">AB202+IF(Source_Data!AC$6=Inputs!$B$12,Inputs!$B$7,0)+AC197-AC200</f>
        <v>173.414235625</v>
      </c>
      <c r="AD202" s="33" t="n">
        <f aca="false">AC202+IF(Source_Data!AD$6=Inputs!$B$12,Inputs!$B$7,0)+AD197-AD200</f>
        <v>202.844406875</v>
      </c>
      <c r="AE202" s="33" t="n">
        <f aca="false">AD202+IF(Source_Data!AE$6=Inputs!$B$12,Inputs!$B$7,0)+AE197-AE200</f>
        <v>227.933578125</v>
      </c>
      <c r="AF202" s="33" t="n">
        <f aca="false">AE202+IF(Source_Data!AF$6=Inputs!$B$12,Inputs!$B$7,0)+AF197-AF200</f>
        <v>145.264539023437</v>
      </c>
      <c r="AG202" s="33" t="n">
        <f aca="false">AF202+IF(Source_Data!AG$6=Inputs!$B$12,Inputs!$B$7,0)+AG197-AG200</f>
        <v>159.377197851562</v>
      </c>
      <c r="AH202" s="33" t="n">
        <f aca="false">AG202+IF(Source_Data!AH$6=Inputs!$B$12,Inputs!$B$7,0)+AH197-AH200</f>
        <v>173.489856679687</v>
      </c>
      <c r="AI202" s="33" t="n">
        <f aca="false">AH202+IF(Source_Data!AI$6=Inputs!$B$12,Inputs!$B$7,0)+AI197-AI200</f>
        <v>187.602515507812</v>
      </c>
      <c r="AJ202" s="33" t="n">
        <f aca="false">AI202+IF(Source_Data!AJ$6=Inputs!$B$12,Inputs!$B$7,0)+AJ197-AJ200</f>
        <v>201.715174335937</v>
      </c>
      <c r="AK202" s="33" t="n">
        <f aca="false">AJ202+IF(Source_Data!AK$6=Inputs!$B$12,Inputs!$B$7,0)+AK197-AK200</f>
        <v>214.59929625</v>
      </c>
      <c r="AL202" s="33" t="n">
        <f aca="false">AK202+IF(Source_Data!AL$6=Inputs!$B$12,Inputs!$B$7,0)+AL197-AL200</f>
        <v>227.483418164062</v>
      </c>
      <c r="AM202" s="33" t="n">
        <f aca="false">AL202+IF(Source_Data!AM$6=Inputs!$B$12,Inputs!$B$7,0)+AM197-AM200</f>
        <v>238.0244175</v>
      </c>
      <c r="AN202" s="33" t="n">
        <f aca="false">AM202+IF(Source_Data!AN$6=Inputs!$B$12,Inputs!$B$7,0)+AN197-AN200</f>
        <v>243.43913671875</v>
      </c>
      <c r="AO202" s="33" t="n">
        <f aca="false">AN202+IF(Source_Data!AO$6=Inputs!$B$12,Inputs!$B$7,0)+AO197-AO200</f>
        <v>245.4475275</v>
      </c>
      <c r="AP202" s="33" t="n">
        <f aca="false">AO202+IF(Source_Data!AP$6=Inputs!$B$12,Inputs!$B$7,0)+AP197-AP200</f>
        <v>245.4475275</v>
      </c>
      <c r="AQ202" s="33" t="n">
        <f aca="false">AP202+IF(Source_Data!AQ$6=Inputs!$B$12,Inputs!$B$7,0)+AQ197-AQ200</f>
        <v>245.4475275</v>
      </c>
      <c r="AR202" s="33" t="n">
        <f aca="false">AQ202+IF(Source_Data!AR$6=Inputs!$B$12,Inputs!$B$7,0)+AR197-AR200</f>
        <v>245.4475275</v>
      </c>
      <c r="AS202" s="33" t="n">
        <f aca="false">AR202+IF(Source_Data!AS$6=Inputs!$B$12,Inputs!$B$7,0)+AS197-AS200</f>
        <v>245.4475275</v>
      </c>
      <c r="AT202" s="33" t="n">
        <f aca="false">AS202+IF(Source_Data!AT$6=Inputs!$B$12,Inputs!$B$7,0)+AT197-AT200</f>
        <v>245.4475275</v>
      </c>
      <c r="AU202" s="33" t="n">
        <f aca="false">AT202+IF(Source_Data!AU$6=Inputs!$B$12,Inputs!$B$7,0)+AU197-AU200</f>
        <v>245.4475275</v>
      </c>
      <c r="AV202" s="33" t="n">
        <f aca="false">AU202+IF(Source_Data!AV$6=Inputs!$B$12,Inputs!$B$7,0)+AV197-AV200</f>
        <v>245.4475275</v>
      </c>
      <c r="AW202" s="33" t="n">
        <f aca="false">AV202+IF(Source_Data!AW$6=Inputs!$B$12,Inputs!$B$7,0)+AW197-AW200</f>
        <v>245.4475275</v>
      </c>
      <c r="AX202" s="33" t="n">
        <f aca="false">AW202+IF(Source_Data!AX$6=Inputs!$B$12,Inputs!$B$7,0)+AX197-AX200</f>
        <v>245.4475275</v>
      </c>
      <c r="AY202" s="33" t="n">
        <f aca="false">AX202+IF(Source_Data!AY$6=Inputs!$B$12,Inputs!$B$7,0)+AY197-AY200</f>
        <v>245.4475275</v>
      </c>
      <c r="AZ202" s="33" t="n">
        <f aca="false">AY202+IF(Source_Data!AZ$6=Inputs!$B$12,Inputs!$B$7,0)+AZ197-AZ200</f>
        <v>245.4475275</v>
      </c>
      <c r="BA202" s="33" t="n">
        <f aca="false">AZ202+IF(Source_Data!BA$6=Inputs!$B$12,Inputs!$B$7,0)+BA197-BA200</f>
        <v>245.4475275</v>
      </c>
      <c r="BB202" s="33" t="n">
        <f aca="false">BA202+IF(Source_Data!BB$6=Inputs!$B$12,Inputs!$B$7,0)+BB197-BB200</f>
        <v>245.4475275</v>
      </c>
      <c r="BC202" s="33" t="n">
        <f aca="false">BB202+IF(Source_Data!BC$6=Inputs!$B$12,Inputs!$B$7,0)+BC197-BC200</f>
        <v>245.4475275</v>
      </c>
      <c r="BD202" s="33" t="n">
        <f aca="false">BC202+IF(Source_Data!BD$6=Inputs!$B$12,Inputs!$B$7,0)+BD197-BD200</f>
        <v>245.4475275</v>
      </c>
      <c r="BE202" s="33" t="n">
        <f aca="false">BD202+IF(Source_Data!BE$6=Inputs!$B$12,Inputs!$B$7,0)+BE197-BE200</f>
        <v>245.4475275</v>
      </c>
      <c r="BF202" s="33" t="n">
        <f aca="false">BE202+IF(Source_Data!BF$6=Inputs!$B$12,Inputs!$B$7,0)+BF197-BF200</f>
        <v>245.4475275</v>
      </c>
      <c r="BG202" s="33" t="n">
        <f aca="false">BF202+IF(Source_Data!BG$6=Inputs!$B$12,Inputs!$B$7,0)+BG197-BG200</f>
        <v>245.4475275</v>
      </c>
      <c r="BH202" s="33" t="n">
        <f aca="false">BG202+IF(Source_Data!BH$6=Inputs!$B$12,Inputs!$B$7,0)+BH197-BH200</f>
        <v>245.4475275</v>
      </c>
      <c r="BI202" s="33" t="n">
        <f aca="false">BH202+IF(Source_Data!BI$6=Inputs!$B$12,Inputs!$B$7,0)+BI197-BI200</f>
        <v>245.4475275</v>
      </c>
      <c r="BJ202" s="33" t="n">
        <f aca="false">BI202+IF(Source_Data!BJ$6=Inputs!$B$12,Inputs!$B$7,0)+BJ197-BJ200</f>
        <v>245.4475275</v>
      </c>
      <c r="BK202" s="33" t="n">
        <f aca="false">BJ202+IF(Source_Data!BK$6=Inputs!$B$12,Inputs!$B$7,0)+BK197-BK200</f>
        <v>245.4475275</v>
      </c>
    </row>
    <row r="203" customFormat="false" ht="15" hidden="false" customHeight="false" outlineLevel="0" collapsed="false">
      <c r="A203" s="3" t="s">
        <v>344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n">
        <f aca="false">IF(M200&gt;0,M197/M200,"")</f>
        <v>1.53460317391304</v>
      </c>
      <c r="N203" s="31" t="n">
        <f aca="false">IF(N200&gt;0,N197/N200,"")</f>
        <v>4.22017773913044</v>
      </c>
      <c r="O203" s="31" t="n">
        <f aca="false">IF(O200&gt;0,O197/O200,"")</f>
        <v>4.597656</v>
      </c>
      <c r="P203" s="31" t="n">
        <f aca="false">IF(P200&gt;0,P197/P200,"")</f>
        <v>-4.87238034782609</v>
      </c>
      <c r="Q203" s="31" t="n">
        <f aca="false">IF(Q200&gt;0,Q197/Q200,"")</f>
        <v>-6.31047815217391</v>
      </c>
      <c r="R203" s="31" t="n">
        <f aca="false">IF(R200&gt;0,R197/R200,"")</f>
        <v>-8.95047815217391</v>
      </c>
      <c r="S203" s="31" t="n">
        <f aca="false">IF(S200&gt;0,S197/S200,"")</f>
        <v>19.4880749021739</v>
      </c>
      <c r="T203" s="31" t="n">
        <f aca="false">IF(T200&gt;0,T197/T200,"")</f>
        <v>0.846607288043478</v>
      </c>
      <c r="U203" s="31" t="n">
        <f aca="false">IF(U200&gt;0,U197/U200,"")</f>
        <v>0.767619961956522</v>
      </c>
      <c r="V203" s="31" t="n">
        <f aca="false">IF(V200&gt;0,V197/V200,"")</f>
        <v>0.455162331521739</v>
      </c>
      <c r="W203" s="31" t="n">
        <f aca="false">IF(W200&gt;0,W197/W200,"")</f>
        <v>0.228675375</v>
      </c>
      <c r="X203" s="31" t="n">
        <f aca="false">IF(X200&gt;0,X197/X200,"")</f>
        <v>1.40258841847826</v>
      </c>
      <c r="Y203" s="31" t="str">
        <f aca="false">IF(Y200&gt;0,Y197/Y200,"")</f>
        <v/>
      </c>
      <c r="Z203" s="31" t="str">
        <f aca="false">IF(Z200&gt;0,Z197/Z200,"")</f>
        <v/>
      </c>
      <c r="AA203" s="31" t="str">
        <f aca="false">IF(AA200&gt;0,AA197/AA200,"")</f>
        <v/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345</v>
      </c>
      <c r="D204" s="31" t="str">
        <f aca="false">IF(D200&gt;0,(0+D197+IF(Source_Data!D$6=Inputs!$B$12,Inputs!$B$7,0))/D200,"")</f>
        <v/>
      </c>
      <c r="E204" s="31" t="str">
        <f aca="false">IF(E200&gt;0,(D202+E197+IF(Source_Data!E$6=Inputs!$B$12,Inputs!$B$7,0))/E200,"")</f>
        <v/>
      </c>
      <c r="F204" s="31" t="str">
        <f aca="false">IF(F200&gt;0,(E202+F197+IF(Source_Data!F$6=Inputs!$B$12,Inputs!$B$7,0))/F200,"")</f>
        <v/>
      </c>
      <c r="G204" s="31" t="str">
        <f aca="false">IF(G200&gt;0,(F202+G197+IF(Source_Data!G$6=Inputs!$B$12,Inputs!$B$7,0))/G200,"")</f>
        <v/>
      </c>
      <c r="H204" s="31" t="str">
        <f aca="false">IF(H200&gt;0,(G202+H197+IF(Source_Data!H$6=Inputs!$B$12,Inputs!$B$7,0))/H200,"")</f>
        <v/>
      </c>
      <c r="I204" s="31" t="str">
        <f aca="false">IF(I200&gt;0,(H202+I197+IF(Source_Data!I$6=Inputs!$B$12,Inputs!$B$7,0))/I200,"")</f>
        <v/>
      </c>
      <c r="J204" s="31" t="str">
        <f aca="false">IF(J200&gt;0,(I202+J197+IF(Source_Data!J$6=Inputs!$B$12,Inputs!$B$7,0))/J200,"")</f>
        <v/>
      </c>
      <c r="K204" s="31" t="str">
        <f aca="false">IF(K200&gt;0,(J202+K197+IF(Source_Data!K$6=Inputs!$B$12,Inputs!$B$7,0))/K200,"")</f>
        <v/>
      </c>
      <c r="L204" s="31" t="str">
        <f aca="false">IF(L200&gt;0,(K202+L197+IF(Source_Data!L$6=Inputs!$B$12,Inputs!$B$7,0))/L200,"")</f>
        <v/>
      </c>
      <c r="M204" s="31" t="n">
        <f aca="false">IF(M200&gt;0,(L202+M197+IF(Source_Data!M$6=Inputs!$B$12,Inputs!$B$7,0))/M200,"")</f>
        <v>2.48778529891305</v>
      </c>
      <c r="N204" s="31" t="n">
        <f aca="false">IF(N200&gt;0,(M202+N197+IF(Source_Data!N$6=Inputs!$B$12,Inputs!$B$7,0))/N200,"")</f>
        <v>5.70796303804348</v>
      </c>
      <c r="O204" s="31" t="n">
        <f aca="false">IF(O200&gt;0,(N202+O197+IF(Source_Data!O$6=Inputs!$B$12,Inputs!$B$7,0))/O200,"")</f>
        <v>9.30561903804348</v>
      </c>
      <c r="P204" s="31" t="n">
        <f aca="false">IF(P200&gt;0,(O202+P197+IF(Source_Data!P$6=Inputs!$B$12,Inputs!$B$7,0))/P200,"")</f>
        <v>3.43323869021739</v>
      </c>
      <c r="Q204" s="31" t="n">
        <f aca="false">IF(Q200&gt;0,(P202+Q197+IF(Source_Data!Q$6=Inputs!$B$12,Inputs!$B$7,0))/Q200,"")</f>
        <v>-3.87723946195652</v>
      </c>
      <c r="R204" s="31" t="n">
        <f aca="false">IF(R200&gt;0,(Q202+R197+IF(Source_Data!R$6=Inputs!$B$12,Inputs!$B$7,0))/R200,"")</f>
        <v>-13.8277176141304</v>
      </c>
      <c r="S204" s="31" t="n">
        <f aca="false">IF(S200&gt;0,(R202+S197+IF(Source_Data!S$6=Inputs!$B$12,Inputs!$B$7,0))/S200,"")</f>
        <v>4.66035728804348</v>
      </c>
      <c r="T204" s="31" t="n">
        <f aca="false">IF(T200&gt;0,(S202+T197+IF(Source_Data!T$6=Inputs!$B$12,Inputs!$B$7,0))/T200,"")</f>
        <v>4.50696457608695</v>
      </c>
      <c r="U204" s="31" t="n">
        <f aca="false">IF(U200&gt;0,(T202+U197+IF(Source_Data!U$6=Inputs!$B$12,Inputs!$B$7,0))/U200,"")</f>
        <v>4.27458453804348</v>
      </c>
      <c r="V204" s="31" t="n">
        <f aca="false">IF(V200&gt;0,(U202+V197+IF(Source_Data!V$6=Inputs!$B$12,Inputs!$B$7,0))/V200,"")</f>
        <v>3.72974686956522</v>
      </c>
      <c r="W204" s="31" t="n">
        <f aca="false">IF(W200&gt;0,(V202+W197+IF(Source_Data!W$6=Inputs!$B$12,Inputs!$B$7,0))/W200,"")</f>
        <v>2.95842224456522</v>
      </c>
      <c r="X204" s="31" t="n">
        <f aca="false">IF(X200&gt;0,(W202+X197+IF(Source_Data!X$6=Inputs!$B$12,Inputs!$B$7,0))/X200,"")</f>
        <v>3.36101066304348</v>
      </c>
      <c r="Y204" s="31" t="str">
        <f aca="false">IF(Y200&gt;0,(X202+Y197+IF(Source_Data!Y$6=Inputs!$B$12,Inputs!$B$7,0))/Y200,"")</f>
        <v/>
      </c>
      <c r="Z204" s="31" t="str">
        <f aca="false">IF(Z200&gt;0,(Y202+Z197+IF(Source_Data!Z$6=Inputs!$B$12,Inputs!$B$7,0))/Z200,"")</f>
        <v/>
      </c>
      <c r="AA204" s="31" t="str">
        <f aca="false">IF(AA200&gt;0,(Z202+AA197+IF(Source_Data!AA$6=Inputs!$B$12,Inputs!$B$7,0))/AA200,"")</f>
        <v/>
      </c>
      <c r="AB204" s="31" t="str">
        <f aca="false">IF(AB200&gt;0,(AA202+AB197+IF(Source_Data!AB$6=Inputs!$B$12,Inputs!$B$7,0))/AB200,"")</f>
        <v/>
      </c>
      <c r="AC204" s="31" t="str">
        <f aca="false">IF(AC200&gt;0,(AB202+AC197+IF(Source_Data!AC$6=Inputs!$B$12,Inputs!$B$7,0))/AC200,"")</f>
        <v/>
      </c>
      <c r="AD204" s="31" t="str">
        <f aca="false">IF(AD200&gt;0,(AC202+AD197+IF(Source_Data!AD$6=Inputs!$B$12,Inputs!$B$7,0))/AD200,"")</f>
        <v/>
      </c>
      <c r="AE204" s="31" t="str">
        <f aca="false">IF(AE200&gt;0,(AD202+AE197+IF(Source_Data!AE$6=Inputs!$B$12,Inputs!$B$7,0))/AE200,"")</f>
        <v/>
      </c>
      <c r="AF204" s="31" t="str">
        <f aca="false">IF(AF200&gt;0,(AE202+AF197+IF(Source_Data!AF$6=Inputs!$B$12,Inputs!$B$7,0))/AF200,"")</f>
        <v/>
      </c>
      <c r="AG204" s="31" t="str">
        <f aca="false">IF(AG200&gt;0,(AF202+AG197+IF(Source_Data!AG$6=Inputs!$B$12,Inputs!$B$7,0))/AG200,"")</f>
        <v/>
      </c>
      <c r="AH204" s="31" t="str">
        <f aca="false">IF(AH200&gt;0,(AG202+AH197+IF(Source_Data!AH$6=Inputs!$B$12,Inputs!$B$7,0))/AH200,"")</f>
        <v/>
      </c>
      <c r="AI204" s="31" t="str">
        <f aca="false">IF(AI200&gt;0,(AH202+AI197+IF(Source_Data!AI$6=Inputs!$B$12,Inputs!$B$7,0))/AI200,"")</f>
        <v/>
      </c>
      <c r="AJ204" s="31" t="str">
        <f aca="false">IF(AJ200&gt;0,(AI202+AJ197+IF(Source_Data!AJ$6=Inputs!$B$12,Inputs!$B$7,0))/AJ200,"")</f>
        <v/>
      </c>
      <c r="AK204" s="31" t="str">
        <f aca="false">IF(AK200&gt;0,(AJ202+AK197+IF(Source_Data!AK$6=Inputs!$B$12,Inputs!$B$7,0))/AK200,"")</f>
        <v/>
      </c>
      <c r="AL204" s="31" t="str">
        <f aca="false">IF(AL200&gt;0,(AK202+AL197+IF(Source_Data!AL$6=Inputs!$B$12,Inputs!$B$7,0))/AL200,"")</f>
        <v/>
      </c>
      <c r="AM204" s="31" t="str">
        <f aca="false">IF(AM200&gt;0,(AL202+AM197+IF(Source_Data!AM$6=Inputs!$B$12,Inputs!$B$7,0))/AM200,"")</f>
        <v/>
      </c>
      <c r="AN204" s="31" t="str">
        <f aca="false">IF(AN200&gt;0,(AM202+AN197+IF(Source_Data!AN$6=Inputs!$B$12,Inputs!$B$7,0))/AN200,"")</f>
        <v/>
      </c>
      <c r="AO204" s="31" t="str">
        <f aca="false">IF(AO200&gt;0,(AN202+AO197+IF(Source_Data!AO$6=Inputs!$B$12,Inputs!$B$7,0))/AO200,"")</f>
        <v/>
      </c>
      <c r="AP204" s="31" t="str">
        <f aca="false">IF(AP200&gt;0,(AO202+AP197+IF(Source_Data!AP$6=Inputs!$B$12,Inputs!$B$7,0))/AP200,"")</f>
        <v/>
      </c>
      <c r="AQ204" s="31" t="str">
        <f aca="false">IF(AQ200&gt;0,(AP202+AQ197+IF(Source_Data!AQ$6=Inputs!$B$12,Inputs!$B$7,0))/AQ200,"")</f>
        <v/>
      </c>
      <c r="AR204" s="31" t="str">
        <f aca="false">IF(AR200&gt;0,(AQ202+AR197+IF(Source_Data!AR$6=Inputs!$B$12,Inputs!$B$7,0))/AR200,"")</f>
        <v/>
      </c>
      <c r="AS204" s="31" t="str">
        <f aca="false">IF(AS200&gt;0,(AR202+AS197+IF(Source_Data!AS$6=Inputs!$B$12,Inputs!$B$7,0))/AS200,"")</f>
        <v/>
      </c>
      <c r="AT204" s="31" t="str">
        <f aca="false">IF(AT200&gt;0,(AS202+AT197+IF(Source_Data!AT$6=Inputs!$B$12,Inputs!$B$7,0))/AT200,"")</f>
        <v/>
      </c>
      <c r="AU204" s="31" t="str">
        <f aca="false">IF(AU200&gt;0,(AT202+AU197+IF(Source_Data!AU$6=Inputs!$B$12,Inputs!$B$7,0))/AU200,"")</f>
        <v/>
      </c>
      <c r="AV204" s="31" t="str">
        <f aca="false">IF(AV200&gt;0,(AU202+AV197+IF(Source_Data!AV$6=Inputs!$B$12,Inputs!$B$7,0))/AV200,"")</f>
        <v/>
      </c>
      <c r="AW204" s="31" t="str">
        <f aca="false">IF(AW200&gt;0,(AV202+AW197+IF(Source_Data!AW$6=Inputs!$B$12,Inputs!$B$7,0))/AW200,"")</f>
        <v/>
      </c>
      <c r="AX204" s="31" t="str">
        <f aca="false">IF(AX200&gt;0,(AW202+AX197+IF(Source_Data!AX$6=Inputs!$B$12,Inputs!$B$7,0))/AX200,"")</f>
        <v/>
      </c>
      <c r="AY204" s="31" t="str">
        <f aca="false">IF(AY200&gt;0,(AX202+AY197+IF(Source_Data!AY$6=Inputs!$B$12,Inputs!$B$7,0))/AY200,"")</f>
        <v/>
      </c>
      <c r="AZ204" s="31" t="str">
        <f aca="false">IF(AZ200&gt;0,(AY202+AZ197+IF(Source_Data!AZ$6=Inputs!$B$12,Inputs!$B$7,0))/AZ200,"")</f>
        <v/>
      </c>
      <c r="BA204" s="31" t="str">
        <f aca="false">IF(BA200&gt;0,(AZ202+BA197+IF(Source_Data!BA$6=Inputs!$B$12,Inputs!$B$7,0))/BA200,"")</f>
        <v/>
      </c>
      <c r="BB204" s="31" t="str">
        <f aca="false">IF(BB200&gt;0,(BA202+BB197+IF(Source_Data!BB$6=Inputs!$B$12,Inputs!$B$7,0))/BB200,"")</f>
        <v/>
      </c>
      <c r="BC204" s="31" t="str">
        <f aca="false">IF(BC200&gt;0,(BB202+BC197+IF(Source_Data!BC$6=Inputs!$B$12,Inputs!$B$7,0))/BC200,"")</f>
        <v/>
      </c>
      <c r="BD204" s="31" t="str">
        <f aca="false">IF(BD200&gt;0,(BC202+BD197+IF(Source_Data!BD$6=Inputs!$B$12,Inputs!$B$7,0))/BD200,"")</f>
        <v/>
      </c>
      <c r="BE204" s="31" t="str">
        <f aca="false">IF(BE200&gt;0,(BD202+BE197+IF(Source_Data!BE$6=Inputs!$B$12,Inputs!$B$7,0))/BE200,"")</f>
        <v/>
      </c>
      <c r="BF204" s="31" t="str">
        <f aca="false">IF(BF200&gt;0,(BE202+BF197+IF(Source_Data!BF$6=Inputs!$B$12,Inputs!$B$7,0))/BF200,"")</f>
        <v/>
      </c>
      <c r="BG204" s="31" t="str">
        <f aca="false">IF(BG200&gt;0,(BF202+BG197+IF(Source_Data!BG$6=Inputs!$B$12,Inputs!$B$7,0))/BG200,"")</f>
        <v/>
      </c>
      <c r="BH204" s="31" t="str">
        <f aca="false">IF(BH200&gt;0,(BG202+BH197+IF(Source_Data!BH$6=Inputs!$B$12,Inputs!$B$7,0))/BH200,"")</f>
        <v/>
      </c>
      <c r="BI204" s="31" t="str">
        <f aca="false">IF(BI200&gt;0,(BH202+BI197+IF(Source_Data!BI$6=Inputs!$B$12,Inputs!$B$7,0))/BI200,"")</f>
        <v/>
      </c>
      <c r="BJ204" s="31" t="str">
        <f aca="false">IF(BJ200&gt;0,(BI202+BJ197+IF(Source_Data!BJ$6=Inputs!$B$12,Inputs!$B$7,0))/BJ200,"")</f>
        <v/>
      </c>
      <c r="BK204" s="31" t="str">
        <f aca="false">IF(BK200&gt;0,(BJ202+BK197+IF(Source_Data!BK$6=Inputs!$B$12,Inputs!$B$7,0))/BK200,"")</f>
        <v/>
      </c>
    </row>
    <row r="206" customFormat="false" ht="15" hidden="false" customHeight="false" outlineLevel="0" collapsed="false">
      <c r="A206" s="2" t="s">
        <v>220</v>
      </c>
      <c r="B206" s="41" t="n">
        <f aca="false">SUM(D197:BK197)</f>
        <v>375.4475275</v>
      </c>
    </row>
    <row r="207" customFormat="false" ht="15" hidden="false" customHeight="false" outlineLevel="0" collapsed="false">
      <c r="A207" s="2" t="s">
        <v>346</v>
      </c>
      <c r="B207" s="41" t="n">
        <f aca="false">SUMPRODUCT(D197:BK197,Project_CF!$D$15:$BK$15)</f>
        <v>155.329324901231</v>
      </c>
    </row>
    <row r="208" customFormat="false" ht="15" hidden="false" customHeight="false" outlineLevel="0" collapsed="false">
      <c r="A208" s="2" t="s">
        <v>162</v>
      </c>
      <c r="B208" s="41" t="n">
        <f aca="false">MIN(D198:BK198)</f>
        <v>-269.1979209375</v>
      </c>
    </row>
    <row r="209" customFormat="false" ht="15" hidden="false" customHeight="false" outlineLevel="0" collapsed="false">
      <c r="A209" s="2" t="s">
        <v>347</v>
      </c>
      <c r="B209" s="35" t="n">
        <f aca="false">INDEX(Project_CF!$D$6:$BK$6,MATCH(MIN(D198:BK198),D198:BK198,0))</f>
        <v>45</v>
      </c>
    </row>
    <row r="210" customFormat="false" ht="15" hidden="false" customHeight="false" outlineLevel="0" collapsed="false">
      <c r="A210" s="2" t="s">
        <v>348</v>
      </c>
      <c r="B210" s="39" t="n">
        <f aca="false">(1+IRR(D199:BK199,0.05))^4-1</f>
        <v>0.264029906719608</v>
      </c>
    </row>
    <row r="211" customFormat="false" ht="15" hidden="false" customHeight="false" outlineLevel="0" collapsed="false">
      <c r="A211" s="2" t="s">
        <v>349</v>
      </c>
      <c r="B211" s="40" t="n">
        <f aca="false">SUMIF(D199:BK199,"&gt;0")/-SUMIF(D199:BK199,"&lt;0")</f>
        <v>2.78136200716846</v>
      </c>
    </row>
    <row r="212" customFormat="false" ht="15" hidden="false" customHeight="false" outlineLevel="0" collapsed="false">
      <c r="A212" s="2" t="s">
        <v>350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351</v>
      </c>
      <c r="B213" s="41" t="n">
        <f aca="false">MIN(D202:BK202)</f>
        <v>-284.1979209375</v>
      </c>
    </row>
    <row r="214" customFormat="false" ht="15" hidden="false" customHeight="false" outlineLevel="0" collapsed="false">
      <c r="A214" s="2" t="s">
        <v>352</v>
      </c>
      <c r="B214" s="43" t="n">
        <f aca="false">MIN(D203:BK203)</f>
        <v>-8.95047815217391</v>
      </c>
    </row>
    <row r="215" customFormat="false" ht="15" hidden="false" customHeight="false" outlineLevel="0" collapsed="false">
      <c r="A215" s="2" t="s">
        <v>353</v>
      </c>
      <c r="B215" s="35" t="n">
        <f aca="false">COUNTIF(D203:BK203,"&lt;"&amp;Inputs!$B$43)</f>
        <v>8</v>
      </c>
    </row>
    <row r="216" customFormat="false" ht="15" hidden="false" customHeight="false" outlineLevel="0" collapsed="false">
      <c r="A216" s="2" t="s">
        <v>354</v>
      </c>
      <c r="B216" s="43" t="n">
        <f aca="false">MIN(D204:BK204)</f>
        <v>-13.8277176141304</v>
      </c>
    </row>
    <row r="217" customFormat="false" ht="15" hidden="false" customHeight="false" outlineLevel="0" collapsed="false">
      <c r="A217" s="2" t="s">
        <v>355</v>
      </c>
      <c r="B217" s="35" t="n">
        <f aca="false">COUNTIF(D204:BK204,"&lt;"&amp;Inputs!$B$43)</f>
        <v>2</v>
      </c>
    </row>
    <row r="220" customFormat="false" ht="15" hidden="false" customHeight="false" outlineLevel="0" collapsed="false">
      <c r="A220" s="8" t="s">
        <v>66</v>
      </c>
    </row>
    <row r="221" customFormat="false" ht="15" hidden="false" customHeight="false" outlineLevel="0" collapsed="false">
      <c r="A221" s="3" t="s">
        <v>331</v>
      </c>
      <c r="B221" s="45" t="n">
        <v>0.9</v>
      </c>
    </row>
    <row r="222" customFormat="false" ht="15" hidden="false" customHeight="false" outlineLevel="0" collapsed="false">
      <c r="A222" s="3" t="s">
        <v>332</v>
      </c>
      <c r="B222" s="45" t="n">
        <v>4</v>
      </c>
    </row>
    <row r="223" customFormat="false" ht="15" hidden="false" customHeight="false" outlineLevel="0" collapsed="false">
      <c r="A223" s="3" t="s">
        <v>333</v>
      </c>
      <c r="B223" s="45" t="n">
        <v>1</v>
      </c>
    </row>
    <row r="224" customFormat="false" ht="15" hidden="false" customHeight="false" outlineLevel="0" collapsed="false">
      <c r="A224" s="3" t="s">
        <v>334</v>
      </c>
      <c r="B224" s="45" t="n">
        <v>0</v>
      </c>
    </row>
    <row r="225" customFormat="false" ht="15" hidden="false" customHeight="false" outlineLevel="0" collapsed="false">
      <c r="A225" s="3" t="s">
        <v>335</v>
      </c>
      <c r="B225" s="45" t="n">
        <v>1</v>
      </c>
    </row>
    <row r="226" customFormat="false" ht="15" hidden="false" customHeight="false" outlineLevel="0" collapsed="false">
      <c r="A226" s="3" t="s">
        <v>336</v>
      </c>
      <c r="B226" s="3" t="n">
        <f aca="false">Inputs!$B$13+3+3*$B$222</f>
        <v>63</v>
      </c>
    </row>
    <row r="227" customFormat="false" ht="15" hidden="false" customHeight="false" outlineLevel="0" collapsed="false">
      <c r="A227" s="3" t="s">
        <v>337</v>
      </c>
      <c r="D227" s="33" t="n">
        <f aca="false">Source_Data!D$7+IF($B$225=1,IF(Source_Data!D$6=Inputs!$B$13,Source_Data!$C$8,0),Source_Data!D$8)</f>
        <v>0</v>
      </c>
      <c r="E227" s="33" t="n">
        <f aca="false">Source_Data!E$7+IF($B$225=1,IF(Source_Data!E$6=Inputs!$B$13,Source_Data!$C$8,0),Source_Data!E$8)</f>
        <v>0</v>
      </c>
      <c r="F227" s="33" t="n">
        <f aca="false">Source_Data!F$7+IF($B$225=1,IF(Source_Data!F$6=Inputs!$B$13,Source_Data!$C$8,0),Source_Data!F$8)</f>
        <v>15.1392375</v>
      </c>
      <c r="G227" s="33" t="n">
        <f aca="false">Source_Data!G$7+IF($B$225=1,IF(Source_Data!G$6=Inputs!$B$13,Source_Data!$C$8,0),Source_Data!G$8)</f>
        <v>30.278475</v>
      </c>
      <c r="H227" s="33" t="n">
        <f aca="false">Source_Data!H$7+IF($B$225=1,IF(Source_Data!H$6=Inputs!$B$13,Source_Data!$C$8,0),Source_Data!H$8)</f>
        <v>46.51200625</v>
      </c>
      <c r="I227" s="33" t="n">
        <f aca="false">Source_Data!I$7+IF($B$225=1,IF(Source_Data!I$6=Inputs!$B$13,Source_Data!$C$8,0),Source_Data!I$8)</f>
        <v>62.7455375</v>
      </c>
      <c r="J227" s="33" t="n">
        <f aca="false">Source_Data!J$7+IF($B$225=1,IF(Source_Data!J$6=Inputs!$B$13,Source_Data!$C$8,0),Source_Data!J$8)</f>
        <v>62.3657</v>
      </c>
      <c r="K227" s="33" t="n">
        <f aca="false">Source_Data!K$7+IF($B$225=1,IF(Source_Data!K$6=Inputs!$B$13,Source_Data!$C$8,0),Source_Data!K$8)</f>
        <v>63.473559375</v>
      </c>
      <c r="L227" s="33" t="n">
        <f aca="false">Source_Data!L$7+IF($B$225=1,IF(Source_Data!L$6=Inputs!$B$13,Source_Data!$C$8,0),Source_Data!L$8)</f>
        <v>80.3288484375</v>
      </c>
      <c r="M227" s="33" t="n">
        <f aca="false">Source_Data!M$7+IF($B$225=1,IF(Source_Data!M$6=Inputs!$B$13,Source_Data!$C$8,0),Source_Data!M$8)</f>
        <v>103.0444875</v>
      </c>
      <c r="N227" s="33" t="n">
        <f aca="false">Source_Data!N$7+IF($B$225=1,IF(Source_Data!N$6=Inputs!$B$13,Source_Data!$C$8,0),Source_Data!N$8)</f>
        <v>127.69775</v>
      </c>
      <c r="O227" s="33" t="n">
        <f aca="false">Source_Data!O$7+IF($B$225=1,IF(Source_Data!O$6=Inputs!$B$13,Source_Data!$C$8,0),Source_Data!O$8)</f>
        <v>134.93275</v>
      </c>
      <c r="P227" s="33" t="n">
        <f aca="false">Source_Data!P$7+IF($B$225=1,IF(Source_Data!P$6=Inputs!$B$13,Source_Data!$C$8,0),Source_Data!P$8)</f>
        <v>97.31075</v>
      </c>
      <c r="Q227" s="33" t="n">
        <f aca="false">Source_Data!Q$7+IF($B$225=1,IF(Source_Data!Q$6=Inputs!$B$13,Source_Data!$C$8,0),Source_Data!Q$8)</f>
        <v>71.30996875</v>
      </c>
      <c r="R227" s="33" t="n">
        <f aca="false">Source_Data!R$7+IF($B$225=1,IF(Source_Data!R$6=Inputs!$B$13,Source_Data!$C$8,0),Source_Data!R$8)</f>
        <v>71.30996875</v>
      </c>
      <c r="S227" s="33" t="n">
        <f aca="false">Source_Data!S$7+IF($B$225=1,IF(Source_Data!S$6=Inputs!$B$13,Source_Data!$C$8,0),Source_Data!S$8)</f>
        <v>559.727635625</v>
      </c>
      <c r="T227" s="33" t="n">
        <f aca="false">Source_Data!T$7+IF($B$225=1,IF(Source_Data!T$6=Inputs!$B$13,Source_Data!$C$8,0),Source_Data!T$8)</f>
        <v>61.2266396875</v>
      </c>
      <c r="U227" s="33" t="n">
        <f aca="false">Source_Data!U$7+IF($B$225=1,IF(Source_Data!U$6=Inputs!$B$13,Source_Data!$C$8,0),Source_Data!U$8)</f>
        <v>59.7127159375</v>
      </c>
      <c r="V227" s="33" t="n">
        <f aca="false">Source_Data!V$7+IF($B$225=1,IF(Source_Data!V$6=Inputs!$B$13,Source_Data!$C$8,0),Source_Data!V$8)</f>
        <v>53.7239446875</v>
      </c>
      <c r="W227" s="33" t="n">
        <f aca="false">Source_Data!W$7+IF($B$225=1,IF(Source_Data!W$6=Inputs!$B$13,Source_Data!$C$8,0),Source_Data!W$8)</f>
        <v>49.3829446875</v>
      </c>
      <c r="X227" s="33" t="n">
        <f aca="false">Source_Data!X$7+IF($B$225=1,IF(Source_Data!X$6=Inputs!$B$13,Source_Data!$C$8,0),Source_Data!X$8)</f>
        <v>49.3829446875</v>
      </c>
      <c r="Y227" s="33" t="n">
        <f aca="false">Source_Data!Y$7+IF($B$225=1,IF(Source_Data!Y$6=Inputs!$B$13,Source_Data!$C$8,0),Source_Data!Y$8)</f>
        <v>42.1027259375</v>
      </c>
      <c r="Z227" s="33" t="n">
        <f aca="false">Source_Data!Z$7+IF($B$225=1,IF(Source_Data!Z$6=Inputs!$B$13,Source_Data!$C$8,0),Source_Data!Z$8)</f>
        <v>42.1027259375</v>
      </c>
      <c r="AA227" s="33" t="n">
        <f aca="false">Source_Data!AA$7+IF($B$225=1,IF(Source_Data!AA$6=Inputs!$B$13,Source_Data!$C$8,0),Source_Data!AA$8)</f>
        <v>42.1027259375</v>
      </c>
      <c r="AB227" s="33" t="n">
        <f aca="false">Source_Data!AB$7+IF($B$225=1,IF(Source_Data!AB$6=Inputs!$B$13,Source_Data!$C$8,0),Source_Data!AB$8)</f>
        <v>36.3147259375</v>
      </c>
      <c r="AC227" s="33" t="n">
        <f aca="false">Source_Data!AC$7+IF($B$225=1,IF(Source_Data!AC$6=Inputs!$B$13,Source_Data!$C$8,0),Source_Data!AC$8)</f>
        <v>33.0386275</v>
      </c>
      <c r="AD227" s="33" t="n">
        <f aca="false">Source_Data!AD$7+IF($B$225=1,IF(Source_Data!AD$6=Inputs!$B$13,Source_Data!$C$8,0),Source_Data!AD$8)</f>
        <v>29.43017125</v>
      </c>
      <c r="AE227" s="33" t="n">
        <f aca="false">Source_Data!AE$7+IF($B$225=1,IF(Source_Data!AE$6=Inputs!$B$13,Source_Data!$C$8,0),Source_Data!AE$8)</f>
        <v>25.08917125</v>
      </c>
      <c r="AF227" s="33" t="n">
        <f aca="false">Source_Data!AF$7+IF($B$225=1,IF(Source_Data!AF$6=Inputs!$B$13,Source_Data!$C$8,0),Source_Data!AF$8)</f>
        <v>25.08917125</v>
      </c>
      <c r="AG227" s="33" t="n">
        <f aca="false">Source_Data!AG$7+IF($B$225=1,IF(Source_Data!AG$6=Inputs!$B$13,Source_Data!$C$8,0),Source_Data!AG$8)</f>
        <v>25.08917125</v>
      </c>
      <c r="AH227" s="33" t="n">
        <f aca="false">Source_Data!AH$7+IF($B$225=1,IF(Source_Data!AH$6=Inputs!$B$13,Source_Data!$C$8,0),Source_Data!AH$8)</f>
        <v>25.08917125</v>
      </c>
      <c r="AI227" s="33" t="n">
        <f aca="false">Source_Data!AI$7+IF($B$225=1,IF(Source_Data!AI$6=Inputs!$B$13,Source_Data!$C$8,0),Source_Data!AI$8)</f>
        <v>25.08917125</v>
      </c>
      <c r="AJ227" s="33" t="n">
        <f aca="false">Source_Data!AJ$7+IF($B$225=1,IF(Source_Data!AJ$6=Inputs!$B$13,Source_Data!$C$8,0),Source_Data!AJ$8)</f>
        <v>25.08917125</v>
      </c>
      <c r="AK227" s="33" t="n">
        <f aca="false">Source_Data!AK$7+IF($B$225=1,IF(Source_Data!AK$6=Inputs!$B$13,Source_Data!$C$8,0),Source_Data!AK$8)</f>
        <v>22.905105625</v>
      </c>
      <c r="AL227" s="33" t="n">
        <f aca="false">Source_Data!AL$7+IF($B$225=1,IF(Source_Data!AL$6=Inputs!$B$13,Source_Data!$C$8,0),Source_Data!AL$8)</f>
        <v>22.905105625</v>
      </c>
      <c r="AM227" s="33" t="n">
        <f aca="false">Source_Data!AM$7+IF($B$225=1,IF(Source_Data!AM$6=Inputs!$B$13,Source_Data!$C$8,0),Source_Data!AM$8)</f>
        <v>18.739554375</v>
      </c>
      <c r="AN227" s="33" t="n">
        <f aca="false">Source_Data!AN$7+IF($B$225=1,IF(Source_Data!AN$6=Inputs!$B$13,Source_Data!$C$8,0),Source_Data!AN$8)</f>
        <v>9.6261675</v>
      </c>
      <c r="AO227" s="33" t="n">
        <f aca="false">Source_Data!AO$7+IF($B$225=1,IF(Source_Data!AO$6=Inputs!$B$13,Source_Data!$C$8,0),Source_Data!AO$8)</f>
        <v>3.5704725</v>
      </c>
      <c r="AP227" s="33" t="n">
        <f aca="false">Source_Data!AP$7+IF($B$225=1,IF(Source_Data!AP$6=Inputs!$B$13,Source_Data!$C$8,0),Source_Data!AP$8)</f>
        <v>0</v>
      </c>
      <c r="AQ227" s="33" t="n">
        <f aca="false">Source_Data!AQ$7+IF($B$225=1,IF(Source_Data!AQ$6=Inputs!$B$13,Source_Data!$C$8,0),Source_Data!AQ$8)</f>
        <v>0</v>
      </c>
      <c r="AR227" s="33" t="n">
        <f aca="false">Source_Data!AR$7+IF($B$225=1,IF(Source_Data!AR$6=Inputs!$B$13,Source_Data!$C$8,0),Source_Data!AR$8)</f>
        <v>0</v>
      </c>
      <c r="AS227" s="33" t="n">
        <f aca="false">Source_Data!AS$7+IF($B$225=1,IF(Source_Data!AS$6=Inputs!$B$13,Source_Data!$C$8,0),Source_Data!AS$8)</f>
        <v>0</v>
      </c>
      <c r="AT227" s="33" t="n">
        <f aca="false">Source_Data!AT$7+IF($B$225=1,IF(Source_Data!AT$6=Inputs!$B$13,Source_Data!$C$8,0),Source_Data!AT$8)</f>
        <v>0</v>
      </c>
      <c r="AU227" s="33" t="n">
        <f aca="false">Source_Data!AU$7+IF($B$225=1,IF(Source_Data!AU$6=Inputs!$B$13,Source_Data!$C$8,0),Source_Data!AU$8)</f>
        <v>0</v>
      </c>
      <c r="AV227" s="33" t="n">
        <f aca="false">Source_Data!AV$7+IF($B$225=1,IF(Source_Data!AV$6=Inputs!$B$13,Source_Data!$C$8,0),Source_Data!AV$8)</f>
        <v>0</v>
      </c>
      <c r="AW227" s="33" t="n">
        <f aca="false">Source_Data!AW$7+IF($B$225=1,IF(Source_Data!AW$6=Inputs!$B$13,Source_Data!$C$8,0),Source_Data!AW$8)</f>
        <v>0</v>
      </c>
      <c r="AX227" s="33" t="n">
        <f aca="false">Source_Data!AX$7+IF($B$225=1,IF(Source_Data!AX$6=Inputs!$B$13,Source_Data!$C$8,0),Source_Data!AX$8)</f>
        <v>0</v>
      </c>
      <c r="AY227" s="33" t="n">
        <f aca="false">Source_Data!AY$7+IF($B$225=1,IF(Source_Data!AY$6=Inputs!$B$13,Source_Data!$C$8,0),Source_Data!AY$8)</f>
        <v>0</v>
      </c>
      <c r="AZ227" s="33" t="n">
        <f aca="false">Source_Data!AZ$7+IF($B$225=1,IF(Source_Data!AZ$6=Inputs!$B$13,Source_Data!$C$8,0),Source_Data!AZ$8)</f>
        <v>0</v>
      </c>
      <c r="BA227" s="33" t="n">
        <f aca="false">Source_Data!BA$7+IF($B$225=1,IF(Source_Data!BA$6=Inputs!$B$13,Source_Data!$C$8,0),Source_Data!BA$8)</f>
        <v>0</v>
      </c>
      <c r="BB227" s="33" t="n">
        <f aca="false">Source_Data!BB$7+IF($B$225=1,IF(Source_Data!BB$6=Inputs!$B$13,Source_Data!$C$8,0),Source_Data!BB$8)</f>
        <v>0</v>
      </c>
      <c r="BC227" s="33" t="n">
        <f aca="false">Source_Data!BC$7+IF($B$225=1,IF(Source_Data!BC$6=Inputs!$B$13,Source_Data!$C$8,0),Source_Data!BC$8)</f>
        <v>0</v>
      </c>
      <c r="BD227" s="33" t="n">
        <f aca="false">Source_Data!BD$7+IF($B$225=1,IF(Source_Data!BD$6=Inputs!$B$13,Source_Data!$C$8,0),Source_Data!BD$8)</f>
        <v>0</v>
      </c>
      <c r="BE227" s="33" t="n">
        <f aca="false">Source_Data!BE$7+IF($B$225=1,IF(Source_Data!BE$6=Inputs!$B$13,Source_Data!$C$8,0),Source_Data!BE$8)</f>
        <v>0</v>
      </c>
      <c r="BF227" s="33" t="n">
        <f aca="false">Source_Data!BF$7+IF($B$225=1,IF(Source_Data!BF$6=Inputs!$B$13,Source_Data!$C$8,0),Source_Data!BF$8)</f>
        <v>0</v>
      </c>
      <c r="BG227" s="33" t="n">
        <f aca="false">Source_Data!BG$7+IF($B$225=1,IF(Source_Data!BG$6=Inputs!$B$13,Source_Data!$C$8,0),Source_Data!BG$8)</f>
        <v>0</v>
      </c>
      <c r="BH227" s="33" t="n">
        <f aca="false">Source_Data!BH$7+IF($B$225=1,IF(Source_Data!BH$6=Inputs!$B$13,Source_Data!$C$8,0),Source_Data!BH$8)</f>
        <v>0</v>
      </c>
      <c r="BI227" s="33" t="n">
        <f aca="false">Source_Data!BI$7+IF($B$225=1,IF(Source_Data!BI$6=Inputs!$B$13,Source_Data!$C$8,0),Source_Data!BI$8)</f>
        <v>0</v>
      </c>
      <c r="BJ227" s="33" t="n">
        <f aca="false">Source_Data!BJ$7+IF($B$225=1,IF(Source_Data!BJ$6=Inputs!$B$13,Source_Data!$C$8,0),Source_Data!BJ$8)</f>
        <v>0</v>
      </c>
      <c r="BK227" s="33" t="n">
        <f aca="false">Source_Data!BK$7+IF($B$225=1,IF(Source_Data!BK$6=Inputs!$B$13,Source_Data!$C$8,0),Source_Data!BK$8)</f>
        <v>0</v>
      </c>
    </row>
    <row r="228" customFormat="false" ht="15" hidden="false" customHeight="false" outlineLevel="0" collapsed="false">
      <c r="A228" s="3" t="s">
        <v>338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13.62531375</v>
      </c>
      <c r="K228" s="33" t="n">
        <f aca="false">$B$221*IF(Source_Data!K$5-($B$222+$B$224)&gt;=1,INDEX($D$227:$BK$227,1,Source_Data!K$5-($B$222+$B$224)),0)</f>
        <v>27.2506275</v>
      </c>
      <c r="L228" s="33" t="n">
        <f aca="false">$B$221*IF(Source_Data!L$5-($B$222+$B$224)&gt;=1,INDEX($D$227:$BK$227,1,Source_Data!L$5-($B$222+$B$224)),0)</f>
        <v>41.860805625</v>
      </c>
      <c r="M228" s="33" t="n">
        <f aca="false">$B$221*IF(Source_Data!M$5-($B$222+$B$224)&gt;=1,INDEX($D$227:$BK$227,1,Source_Data!M$5-($B$222+$B$224)),0)</f>
        <v>56.47098375</v>
      </c>
      <c r="N228" s="33" t="n">
        <f aca="false">$B$221*IF(Source_Data!N$5-($B$222+$B$224)&gt;=1,INDEX($D$227:$BK$227,1,Source_Data!N$5-($B$222+$B$224)),0)</f>
        <v>56.12913</v>
      </c>
      <c r="O228" s="33" t="n">
        <f aca="false">$B$221*IF(Source_Data!O$5-($B$222+$B$224)&gt;=1,INDEX($D$227:$BK$227,1,Source_Data!O$5-($B$222+$B$224)),0)</f>
        <v>57.1262034375</v>
      </c>
      <c r="P228" s="33" t="n">
        <f aca="false">$B$221*IF(Source_Data!P$5-($B$222+$B$224)&gt;=1,INDEX($D$227:$BK$227,1,Source_Data!P$5-($B$222+$B$224)),0)</f>
        <v>72.29596359375</v>
      </c>
      <c r="Q228" s="33" t="n">
        <f aca="false">$B$221*IF(Source_Data!Q$5-($B$222+$B$224)&gt;=1,INDEX($D$227:$BK$227,1,Source_Data!Q$5-($B$222+$B$224)),0)</f>
        <v>92.74003875</v>
      </c>
      <c r="R228" s="33" t="n">
        <f aca="false">$B$221*IF(Source_Data!R$5-($B$222+$B$224)&gt;=1,INDEX($D$227:$BK$227,1,Source_Data!R$5-($B$222+$B$224)),0)</f>
        <v>114.927975</v>
      </c>
      <c r="S228" s="33" t="n">
        <f aca="false">$B$221*IF(Source_Data!S$5-($B$222+$B$224)&gt;=1,INDEX($D$227:$BK$227,1,Source_Data!S$5-($B$222+$B$224)),0)</f>
        <v>121.439475</v>
      </c>
      <c r="T228" s="33" t="n">
        <f aca="false">$B$221*IF(Source_Data!T$5-($B$222+$B$224)&gt;=1,INDEX($D$227:$BK$227,1,Source_Data!T$5-($B$222+$B$224)),0)</f>
        <v>87.579675</v>
      </c>
      <c r="U228" s="33" t="n">
        <f aca="false">$B$221*IF(Source_Data!U$5-($B$222+$B$224)&gt;=1,INDEX($D$227:$BK$227,1,Source_Data!U$5-($B$222+$B$224)),0)</f>
        <v>64.178971875</v>
      </c>
      <c r="V228" s="33" t="n">
        <f aca="false">$B$221*IF(Source_Data!V$5-($B$222+$B$224)&gt;=1,INDEX($D$227:$BK$227,1,Source_Data!V$5-($B$222+$B$224)),0)</f>
        <v>64.178971875</v>
      </c>
      <c r="W228" s="33" t="n">
        <f aca="false">$B$221*IF(Source_Data!W$5-($B$222+$B$224)&gt;=1,INDEX($D$227:$BK$227,1,Source_Data!W$5-($B$222+$B$224)),0)</f>
        <v>503.7548720625</v>
      </c>
      <c r="X228" s="33" t="n">
        <f aca="false">$B$221*IF(Source_Data!X$5-($B$222+$B$224)&gt;=1,INDEX($D$227:$BK$227,1,Source_Data!X$5-($B$222+$B$224)),0)</f>
        <v>55.10397571875</v>
      </c>
      <c r="Y228" s="33" t="n">
        <f aca="false">$B$221*IF(Source_Data!Y$5-($B$222+$B$224)&gt;=1,INDEX($D$227:$BK$227,1,Source_Data!Y$5-($B$222+$B$224)),0)</f>
        <v>53.74144434375</v>
      </c>
      <c r="Z228" s="33" t="n">
        <f aca="false">$B$221*IF(Source_Data!Z$5-($B$222+$B$224)&gt;=1,INDEX($D$227:$BK$227,1,Source_Data!Z$5-($B$222+$B$224)),0)</f>
        <v>48.35155021875</v>
      </c>
      <c r="AA228" s="33" t="n">
        <f aca="false">$B$221*IF(Source_Data!AA$5-($B$222+$B$224)&gt;=1,INDEX($D$227:$BK$227,1,Source_Data!AA$5-($B$222+$B$224)),0)</f>
        <v>44.44465021875</v>
      </c>
      <c r="AB228" s="33" t="n">
        <f aca="false">$B$221*IF(Source_Data!AB$5-($B$222+$B$224)&gt;=1,INDEX($D$227:$BK$227,1,Source_Data!AB$5-($B$222+$B$224)),0)</f>
        <v>44.44465021875</v>
      </c>
      <c r="AC228" s="33" t="n">
        <f aca="false">$B$221*IF(Source_Data!AC$5-($B$222+$B$224)&gt;=1,INDEX($D$227:$BK$227,1,Source_Data!AC$5-($B$222+$B$224)),0)</f>
        <v>37.89245334375</v>
      </c>
      <c r="AD228" s="33" t="n">
        <f aca="false">$B$221*IF(Source_Data!AD$5-($B$222+$B$224)&gt;=1,INDEX($D$227:$BK$227,1,Source_Data!AD$5-($B$222+$B$224)),0)</f>
        <v>37.89245334375</v>
      </c>
      <c r="AE228" s="33" t="n">
        <f aca="false">$B$221*IF(Source_Data!AE$5-($B$222+$B$224)&gt;=1,INDEX($D$227:$BK$227,1,Source_Data!AE$5-($B$222+$B$224)),0)</f>
        <v>37.89245334375</v>
      </c>
      <c r="AF228" s="33" t="n">
        <f aca="false">$B$221*IF(Source_Data!AF$5-($B$222+$B$224)&gt;=1,INDEX($D$227:$BK$227,1,Source_Data!AF$5-($B$222+$B$224)),0)</f>
        <v>32.68325334375</v>
      </c>
      <c r="AG228" s="33" t="n">
        <f aca="false">$B$221*IF(Source_Data!AG$5-($B$222+$B$224)&gt;=1,INDEX($D$227:$BK$227,1,Source_Data!AG$5-($B$222+$B$224)),0)</f>
        <v>29.73476475</v>
      </c>
      <c r="AH228" s="33" t="n">
        <f aca="false">$B$221*IF(Source_Data!AH$5-($B$222+$B$224)&gt;=1,INDEX($D$227:$BK$227,1,Source_Data!AH$5-($B$222+$B$224)),0)</f>
        <v>26.487154125</v>
      </c>
      <c r="AI228" s="33" t="n">
        <f aca="false">$B$221*IF(Source_Data!AI$5-($B$222+$B$224)&gt;=1,INDEX($D$227:$BK$227,1,Source_Data!AI$5-($B$222+$B$224)),0)</f>
        <v>22.580254125</v>
      </c>
      <c r="AJ228" s="33" t="n">
        <f aca="false">$B$221*IF(Source_Data!AJ$5-($B$222+$B$224)&gt;=1,INDEX($D$227:$BK$227,1,Source_Data!AJ$5-($B$222+$B$224)),0)</f>
        <v>22.580254125</v>
      </c>
      <c r="AK228" s="33" t="n">
        <f aca="false">$B$221*IF(Source_Data!AK$5-($B$222+$B$224)&gt;=1,INDEX($D$227:$BK$227,1,Source_Data!AK$5-($B$222+$B$224)),0)</f>
        <v>22.580254125</v>
      </c>
      <c r="AL228" s="33" t="n">
        <f aca="false">$B$221*IF(Source_Data!AL$5-($B$222+$B$224)&gt;=1,INDEX($D$227:$BK$227,1,Source_Data!AL$5-($B$222+$B$224)),0)</f>
        <v>22.580254125</v>
      </c>
      <c r="AM228" s="33" t="n">
        <f aca="false">$B$221*IF(Source_Data!AM$5-($B$222+$B$224)&gt;=1,INDEX($D$227:$BK$227,1,Source_Data!AM$5-($B$222+$B$224)),0)</f>
        <v>22.580254125</v>
      </c>
      <c r="AN228" s="33" t="n">
        <f aca="false">$B$221*IF(Source_Data!AN$5-($B$222+$B$224)&gt;=1,INDEX($D$227:$BK$227,1,Source_Data!AN$5-($B$222+$B$224)),0)</f>
        <v>22.580254125</v>
      </c>
      <c r="AO228" s="33" t="n">
        <f aca="false">$B$221*IF(Source_Data!AO$5-($B$222+$B$224)&gt;=1,INDEX($D$227:$BK$227,1,Source_Data!AO$5-($B$222+$B$224)),0)</f>
        <v>20.6145950625</v>
      </c>
      <c r="AP228" s="33" t="n">
        <f aca="false">$B$221*IF(Source_Data!AP$5-($B$222+$B$224)&gt;=1,INDEX($D$227:$BK$227,1,Source_Data!AP$5-($B$222+$B$224)),0)</f>
        <v>20.6145950625</v>
      </c>
      <c r="AQ228" s="33" t="n">
        <f aca="false">$B$221*IF(Source_Data!AQ$5-($B$222+$B$224)&gt;=1,INDEX($D$227:$BK$227,1,Source_Data!AQ$5-($B$222+$B$224)),0)</f>
        <v>16.8655989375</v>
      </c>
      <c r="AR228" s="33" t="n">
        <f aca="false">$B$221*IF(Source_Data!AR$5-($B$222+$B$224)&gt;=1,INDEX($D$227:$BK$227,1,Source_Data!AR$5-($B$222+$B$224)),0)</f>
        <v>8.66355075</v>
      </c>
      <c r="AS228" s="33" t="n">
        <f aca="false">$B$221*IF(Source_Data!AS$5-($B$222+$B$224)&gt;=1,INDEX($D$227:$BK$227,1,Source_Data!AS$5-($B$222+$B$224)),0)</f>
        <v>3.21342525</v>
      </c>
      <c r="AT228" s="33" t="n">
        <f aca="false">$B$221*IF(Source_Data!AT$5-($B$222+$B$224)&gt;=1,INDEX($D$227:$BK$227,1,Source_Data!AT$5-($B$222+$B$224)),0)</f>
        <v>0</v>
      </c>
      <c r="AU228" s="33" t="n">
        <f aca="false">$B$221*IF(Source_Data!AU$5-($B$222+$B$224)&gt;=1,INDEX($D$227:$BK$227,1,Source_Data!AU$5-($B$222+$B$224)),0)</f>
        <v>0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339</v>
      </c>
      <c r="D229" s="33" t="n">
        <f aca="false">Source_Data!D$9+Source_Data!D$10*IF(Source_Data!$C$10=0,0,MAX(0,Inputs!$B$19*Inputs!$B$22*$B$221-Inputs!$B$20)/Source_Data!$C$10)</f>
        <v>91.25</v>
      </c>
      <c r="E229" s="33" t="n">
        <f aca="false">Source_Data!E$9+Source_Data!E$10*IF(Source_Data!$C$10=0,0,MAX(0,Inputs!$B$19*Inputs!$B$22*$B$221-Inputs!$B$20)/Source_Data!$C$10)</f>
        <v>11.25</v>
      </c>
      <c r="F229" s="33" t="n">
        <f aca="false">Source_Data!F$9+Source_Data!F$10*IF(Source_Data!$C$10=0,0,MAX(0,Inputs!$B$19*Inputs!$B$22*$B$221-Inputs!$B$20)/Source_Data!$C$10)</f>
        <v>11.25</v>
      </c>
      <c r="G229" s="33" t="n">
        <f aca="false">Source_Data!G$9+Source_Data!G$10*IF(Source_Data!$C$10=0,0,MAX(0,Inputs!$B$19*Inputs!$B$22*$B$221-Inputs!$B$20)/Source_Data!$C$10)</f>
        <v>11.25</v>
      </c>
      <c r="H229" s="33" t="n">
        <f aca="false">Source_Data!H$9+Source_Data!H$10*IF(Source_Data!$C$10=0,0,MAX(0,Inputs!$B$19*Inputs!$B$22*$B$221-Inputs!$B$20)/Source_Data!$C$10)</f>
        <v>22.5</v>
      </c>
      <c r="I229" s="33" t="n">
        <f aca="false">Source_Data!I$9+Source_Data!I$10*IF(Source_Data!$C$10=0,0,MAX(0,Inputs!$B$19*Inputs!$B$22*$B$221-Inputs!$B$20)/Source_Data!$C$10)</f>
        <v>22.5</v>
      </c>
      <c r="J229" s="33" t="n">
        <f aca="false">Source_Data!J$9+Source_Data!J$10*IF(Source_Data!$C$10=0,0,MAX(0,Inputs!$B$19*Inputs!$B$22*$B$221-Inputs!$B$20)/Source_Data!$C$10)</f>
        <v>22.5</v>
      </c>
      <c r="K229" s="33" t="n">
        <f aca="false">Source_Data!K$9+Source_Data!K$10*IF(Source_Data!$C$10=0,0,MAX(0,Inputs!$B$19*Inputs!$B$22*$B$221-Inputs!$B$20)/Source_Data!$C$10)</f>
        <v>22.5</v>
      </c>
      <c r="L229" s="33" t="n">
        <f aca="false">Source_Data!L$9+Source_Data!L$10*IF(Source_Data!$C$10=0,0,MAX(0,Inputs!$B$19*Inputs!$B$22*$B$221-Inputs!$B$20)/Source_Data!$C$10)</f>
        <v>33.75</v>
      </c>
      <c r="M229" s="33" t="n">
        <f aca="false">Source_Data!M$9+Source_Data!M$10*IF(Source_Data!$C$10=0,0,MAX(0,Inputs!$B$19*Inputs!$B$22*$B$221-Inputs!$B$20)/Source_Data!$C$10)</f>
        <v>33.75</v>
      </c>
      <c r="N229" s="33" t="n">
        <f aca="false">Source_Data!N$9+Source_Data!N$10*IF(Source_Data!$C$10=0,0,MAX(0,Inputs!$B$19*Inputs!$B$22*$B$221-Inputs!$B$20)/Source_Data!$C$10)</f>
        <v>33.75</v>
      </c>
      <c r="O229" s="33" t="n">
        <f aca="false">Source_Data!O$9+Source_Data!O$10*IF(Source_Data!$C$10=0,0,MAX(0,Inputs!$B$19*Inputs!$B$22*$B$221-Inputs!$B$20)/Source_Data!$C$10)</f>
        <v>33.75</v>
      </c>
      <c r="P229" s="33" t="n">
        <f aca="false">Source_Data!P$9+Source_Data!P$10*IF(Source_Data!$C$10=0,0,MAX(0,Inputs!$B$19*Inputs!$B$22*$B$221-Inputs!$B$20)/Source_Data!$C$10)</f>
        <v>45</v>
      </c>
      <c r="Q229" s="33" t="n">
        <f aca="false">Source_Data!Q$9+Source_Data!Q$10*IF(Source_Data!$C$10=0,0,MAX(0,Inputs!$B$19*Inputs!$B$22*$B$221-Inputs!$B$20)/Source_Data!$C$10)</f>
        <v>45</v>
      </c>
      <c r="R229" s="33" t="n">
        <f aca="false">Source_Data!R$9+Source_Data!R$10*IF(Source_Data!$C$10=0,0,MAX(0,Inputs!$B$19*Inputs!$B$22*$B$221-Inputs!$B$20)/Source_Data!$C$10)</f>
        <v>45</v>
      </c>
      <c r="S229" s="33" t="n">
        <f aca="false">Source_Data!S$9+Source_Data!S$10*IF(Source_Data!$C$10=0,0,MAX(0,Inputs!$B$19*Inputs!$B$22*$B$221-Inputs!$B$20)/Source_Data!$C$10)</f>
        <v>45</v>
      </c>
      <c r="T229" s="33" t="n">
        <f aca="false">Source_Data!T$9+Source_Data!T$10*IF(Source_Data!$C$10=0,0,MAX(0,Inputs!$B$19*Inputs!$B$22*$B$221-Inputs!$B$20)/Source_Data!$C$10)</f>
        <v>45</v>
      </c>
      <c r="U229" s="33" t="n">
        <f aca="false">Source_Data!U$9+Source_Data!U$10*IF(Source_Data!$C$10=0,0,MAX(0,Inputs!$B$19*Inputs!$B$22*$B$221-Inputs!$B$20)/Source_Data!$C$10)</f>
        <v>45</v>
      </c>
      <c r="V229" s="33" t="n">
        <f aca="false">Source_Data!V$9+Source_Data!V$10*IF(Source_Data!$C$10=0,0,MAX(0,Inputs!$B$19*Inputs!$B$22*$B$221-Inputs!$B$20)/Source_Data!$C$10)</f>
        <v>45</v>
      </c>
      <c r="W229" s="33" t="n">
        <f aca="false">Source_Data!W$9+Source_Data!W$10*IF(Source_Data!$C$10=0,0,MAX(0,Inputs!$B$19*Inputs!$B$22*$B$221-Inputs!$B$20)/Source_Data!$C$10)</f>
        <v>45</v>
      </c>
      <c r="X229" s="33" t="n">
        <f aca="false">Source_Data!X$9+Source_Data!X$10*IF(Source_Data!$C$10=0,0,MAX(0,Inputs!$B$19*Inputs!$B$22*$B$221-Inputs!$B$20)/Source_Data!$C$10)</f>
        <v>22.5</v>
      </c>
      <c r="Y229" s="33" t="n">
        <f aca="false">Source_Data!Y$9+Source_Data!Y$10*IF(Source_Data!$C$10=0,0,MAX(0,Inputs!$B$19*Inputs!$B$22*$B$221-Inputs!$B$20)/Source_Data!$C$10)</f>
        <v>22.5</v>
      </c>
      <c r="Z229" s="33" t="n">
        <f aca="false">Source_Data!Z$9+Source_Data!Z$10*IF(Source_Data!$C$10=0,0,MAX(0,Inputs!$B$19*Inputs!$B$22*$B$221-Inputs!$B$20)/Source_Data!$C$10)</f>
        <v>22.5</v>
      </c>
      <c r="AA229" s="33" t="n">
        <f aca="false">Source_Data!AA$9+Source_Data!AA$10*IF(Source_Data!$C$10=0,0,MAX(0,Inputs!$B$19*Inputs!$B$22*$B$221-Inputs!$B$20)/Source_Data!$C$10)</f>
        <v>22.5</v>
      </c>
      <c r="AB229" s="33" t="n">
        <f aca="false">Source_Data!AB$9+Source_Data!AB$10*IF(Source_Data!$C$10=0,0,MAX(0,Inputs!$B$19*Inputs!$B$22*$B$221-Inputs!$B$20)/Source_Data!$C$10)</f>
        <v>0</v>
      </c>
      <c r="AC229" s="33" t="n">
        <f aca="false">Source_Data!AC$9+Source_Data!AC$10*IF(Source_Data!$C$10=0,0,MAX(0,Inputs!$B$19*Inputs!$B$22*$B$221-Inputs!$B$20)/Source_Data!$C$10)</f>
        <v>0</v>
      </c>
      <c r="AD229" s="33" t="n">
        <f aca="false">Source_Data!AD$9+Source_Data!AD$10*IF(Source_Data!$C$10=0,0,MAX(0,Inputs!$B$19*Inputs!$B$22*$B$221-Inputs!$B$20)/Source_Data!$C$10)</f>
        <v>0</v>
      </c>
      <c r="AE229" s="33" t="n">
        <f aca="false">Source_Data!AE$9+Source_Data!AE$10*IF(Source_Data!$C$10=0,0,MAX(0,Inputs!$B$19*Inputs!$B$22*$B$221-Inputs!$B$20)/Source_Data!$C$10)</f>
        <v>0</v>
      </c>
      <c r="AF229" s="33" t="n">
        <f aca="false">Source_Data!AF$9+Source_Data!AF$10*IF(Source_Data!$C$10=0,0,MAX(0,Inputs!$B$19*Inputs!$B$22*$B$221-Inputs!$B$20)/Source_Data!$C$10)</f>
        <v>50.5544747578603</v>
      </c>
      <c r="AG229" s="33" t="n">
        <f aca="false">Source_Data!AG$9+Source_Data!AG$10*IF(Source_Data!$C$10=0,0,MAX(0,Inputs!$B$19*Inputs!$B$22*$B$221-Inputs!$B$20)/Source_Data!$C$10)</f>
        <v>5.14960130045416</v>
      </c>
      <c r="AH229" s="33" t="n">
        <f aca="false">Source_Data!AH$9+Source_Data!AH$10*IF(Source_Data!$C$10=0,0,MAX(0,Inputs!$B$19*Inputs!$B$22*$B$221-Inputs!$B$20)/Source_Data!$C$10)</f>
        <v>5.14960130045416</v>
      </c>
      <c r="AI229" s="33" t="n">
        <f aca="false">Source_Data!AI$9+Source_Data!AI$10*IF(Source_Data!$C$10=0,0,MAX(0,Inputs!$B$19*Inputs!$B$22*$B$221-Inputs!$B$20)/Source_Data!$C$10)</f>
        <v>5.14960130045416</v>
      </c>
      <c r="AJ229" s="33" t="n">
        <f aca="false">Source_Data!AJ$9+Source_Data!AJ$10*IF(Source_Data!$C$10=0,0,MAX(0,Inputs!$B$19*Inputs!$B$22*$B$221-Inputs!$B$20)/Source_Data!$C$10)</f>
        <v>5.14960130045416</v>
      </c>
      <c r="AK229" s="33" t="n">
        <f aca="false">Source_Data!AK$9+Source_Data!AK$10*IF(Source_Data!$C$10=0,0,MAX(0,Inputs!$B$19*Inputs!$B$22*$B$221-Inputs!$B$20)/Source_Data!$C$10)</f>
        <v>4.70131757395294</v>
      </c>
      <c r="AL229" s="33" t="n">
        <f aca="false">Source_Data!AL$9+Source_Data!AL$10*IF(Source_Data!$C$10=0,0,MAX(0,Inputs!$B$19*Inputs!$B$22*$B$221-Inputs!$B$20)/Source_Data!$C$10)</f>
        <v>4.70131757395294</v>
      </c>
      <c r="AM229" s="33" t="n">
        <f aca="false">Source_Data!AM$9+Source_Data!AM$10*IF(Source_Data!$C$10=0,0,MAX(0,Inputs!$B$19*Inputs!$B$22*$B$221-Inputs!$B$20)/Source_Data!$C$10)</f>
        <v>3.84633006079989</v>
      </c>
      <c r="AN229" s="33" t="n">
        <f aca="false">Source_Data!AN$9+Source_Data!AN$10*IF(Source_Data!$C$10=0,0,MAX(0,Inputs!$B$19*Inputs!$B$22*$B$221-Inputs!$B$20)/Source_Data!$C$10)</f>
        <v>1.97578964177183</v>
      </c>
      <c r="AO229" s="33" t="n">
        <f aca="false">Source_Data!AO$9+Source_Data!AO$10*IF(Source_Data!$C$10=0,0,MAX(0,Inputs!$B$19*Inputs!$B$22*$B$221-Inputs!$B$20)/Source_Data!$C$10)</f>
        <v>0.73284643984547</v>
      </c>
      <c r="AP229" s="33" t="n">
        <f aca="false">Source_Data!AP$9+Source_Data!AP$10*IF(Source_Data!$C$10=0,0,MAX(0,Inputs!$B$19*Inputs!$B$22*$B$221-Inputs!$B$20)/Source_Data!$C$10)</f>
        <v>0</v>
      </c>
      <c r="AQ229" s="33" t="n">
        <f aca="false">Source_Data!AQ$9+Source_Data!AQ$10*IF(Source_Data!$C$10=0,0,MAX(0,Inputs!$B$19*Inputs!$B$22*$B$221-Inputs!$B$20)/Source_Data!$C$10)</f>
        <v>0</v>
      </c>
      <c r="AR229" s="33" t="n">
        <f aca="false">Source_Data!AR$9+Source_Data!AR$10*IF(Source_Data!$C$10=0,0,MAX(0,Inputs!$B$19*Inputs!$B$22*$B$221-Inputs!$B$20)/Source_Data!$C$10)</f>
        <v>0</v>
      </c>
      <c r="AS229" s="33" t="n">
        <f aca="false">Source_Data!AS$9+Source_Data!AS$10*IF(Source_Data!$C$10=0,0,MAX(0,Inputs!$B$19*Inputs!$B$22*$B$221-Inputs!$B$20)/Source_Data!$C$10)</f>
        <v>0</v>
      </c>
      <c r="AT229" s="33" t="n">
        <f aca="false">Source_Data!AT$9+Source_Data!AT$10*IF(Source_Data!$C$10=0,0,MAX(0,Inputs!$B$19*Inputs!$B$22*$B$221-Inputs!$B$20)/Source_Data!$C$10)</f>
        <v>0</v>
      </c>
      <c r="AU229" s="33" t="n">
        <f aca="false">Source_Data!AU$9+Source_Data!AU$10*IF(Source_Data!$C$10=0,0,MAX(0,Inputs!$B$19*Inputs!$B$22*$B$221-Inputs!$B$20)/Source_Data!$C$10)</f>
        <v>0</v>
      </c>
      <c r="AV229" s="33" t="n">
        <f aca="false">Source_Data!AV$9+Source_Data!AV$10*IF(Source_Data!$C$10=0,0,MAX(0,Inputs!$B$19*Inputs!$B$22*$B$221-Inputs!$B$20)/Source_Data!$C$10)</f>
        <v>0</v>
      </c>
      <c r="AW229" s="33" t="n">
        <f aca="false">Source_Data!AW$9+Source_Data!AW$10*IF(Source_Data!$C$10=0,0,MAX(0,Inputs!$B$19*Inputs!$B$22*$B$221-Inputs!$B$20)/Source_Data!$C$10)</f>
        <v>0</v>
      </c>
      <c r="AX229" s="33" t="n">
        <f aca="false">Source_Data!AX$9+Source_Data!AX$10*IF(Source_Data!$C$10=0,0,MAX(0,Inputs!$B$19*Inputs!$B$22*$B$221-Inputs!$B$20)/Source_Data!$C$10)</f>
        <v>0</v>
      </c>
      <c r="AY229" s="33" t="n">
        <f aca="false">Source_Data!AY$9+Source_Data!AY$10*IF(Source_Data!$C$10=0,0,MAX(0,Inputs!$B$19*Inputs!$B$22*$B$221-Inputs!$B$20)/Source_Data!$C$10)</f>
        <v>0</v>
      </c>
      <c r="AZ229" s="33" t="n">
        <f aca="false">Source_Data!AZ$9+Source_Data!AZ$10*IF(Source_Data!$C$10=0,0,MAX(0,Inputs!$B$19*Inputs!$B$22*$B$221-Inputs!$B$20)/Source_Data!$C$10)</f>
        <v>0</v>
      </c>
      <c r="BA229" s="33" t="n">
        <f aca="false">Source_Data!BA$9+Source_Data!BA$10*IF(Source_Data!$C$10=0,0,MAX(0,Inputs!$B$19*Inputs!$B$22*$B$221-Inputs!$B$20)/Source_Data!$C$10)</f>
        <v>0</v>
      </c>
      <c r="BB229" s="33" t="n">
        <f aca="false">Source_Data!BB$9+Source_Data!BB$10*IF(Source_Data!$C$10=0,0,MAX(0,Inputs!$B$19*Inputs!$B$22*$B$221-Inputs!$B$20)/Source_Data!$C$10)</f>
        <v>0</v>
      </c>
      <c r="BC229" s="33" t="n">
        <f aca="false">Source_Data!BC$9+Source_Data!BC$10*IF(Source_Data!$C$10=0,0,MAX(0,Inputs!$B$19*Inputs!$B$22*$B$221-Inputs!$B$20)/Source_Data!$C$10)</f>
        <v>0</v>
      </c>
      <c r="BD229" s="33" t="n">
        <f aca="false">Source_Data!BD$9+Source_Data!BD$10*IF(Source_Data!$C$10=0,0,MAX(0,Inputs!$B$19*Inputs!$B$22*$B$221-Inputs!$B$20)/Source_Data!$C$10)</f>
        <v>0</v>
      </c>
      <c r="BE229" s="33" t="n">
        <f aca="false">Source_Data!BE$9+Source_Data!BE$10*IF(Source_Data!$C$10=0,0,MAX(0,Inputs!$B$19*Inputs!$B$22*$B$221-Inputs!$B$20)/Source_Data!$C$10)</f>
        <v>0</v>
      </c>
      <c r="BF229" s="33" t="n">
        <f aca="false">Source_Data!BF$9+Source_Data!BF$10*IF(Source_Data!$C$10=0,0,MAX(0,Inputs!$B$19*Inputs!$B$22*$B$221-Inputs!$B$20)/Source_Data!$C$10)</f>
        <v>0</v>
      </c>
      <c r="BG229" s="33" t="n">
        <f aca="false">Source_Data!BG$9+Source_Data!BG$10*IF(Source_Data!$C$10=0,0,MAX(0,Inputs!$B$19*Inputs!$B$22*$B$221-Inputs!$B$20)/Source_Data!$C$10)</f>
        <v>0</v>
      </c>
      <c r="BH229" s="33" t="n">
        <f aca="false">Source_Data!BH$9+Source_Data!BH$10*IF(Source_Data!$C$10=0,0,MAX(0,Inputs!$B$19*Inputs!$B$22*$B$221-Inputs!$B$20)/Source_Data!$C$10)</f>
        <v>0</v>
      </c>
      <c r="BI229" s="33" t="n">
        <f aca="false">Source_Data!BI$9+Source_Data!BI$10*IF(Source_Data!$C$10=0,0,MAX(0,Inputs!$B$19*Inputs!$B$22*$B$221-Inputs!$B$20)/Source_Data!$C$10)</f>
        <v>0</v>
      </c>
      <c r="BJ229" s="33" t="n">
        <f aca="false">Source_Data!BJ$9+Source_Data!BJ$10*IF(Source_Data!$C$10=0,0,MAX(0,Inputs!$B$19*Inputs!$B$22*$B$221-Inputs!$B$20)/Source_Data!$C$10)</f>
        <v>0</v>
      </c>
      <c r="BK229" s="33" t="n">
        <f aca="false">Source_Data!BK$9+Source_Data!BK$10*IF(Source_Data!$C$10=0,0,MAX(0,Inputs!$B$19*Inputs!$B$22*$B$221-Inputs!$B$20)/Source_Data!$C$10)</f>
        <v>0</v>
      </c>
    </row>
    <row r="230" customFormat="false" ht="15" hidden="false" customHeight="false" outlineLevel="0" collapsed="false">
      <c r="A230" s="3" t="s">
        <v>194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20</v>
      </c>
      <c r="I230" s="33" t="n">
        <f aca="false">Source_Data!I$11*$B$223</f>
        <v>26.4</v>
      </c>
      <c r="J230" s="33" t="n">
        <f aca="false">Source_Data!J$11*$B$223</f>
        <v>40</v>
      </c>
      <c r="K230" s="33" t="n">
        <f aca="false">Source_Data!K$11*$B$223</f>
        <v>26.4</v>
      </c>
      <c r="L230" s="33" t="n">
        <f aca="false">Source_Data!L$11*$B$223</f>
        <v>26.4</v>
      </c>
      <c r="M230" s="33" t="n">
        <f aca="false">Source_Data!M$11*$B$223</f>
        <v>26.4</v>
      </c>
      <c r="N230" s="33" t="n">
        <f aca="false">Source_Data!N$11*$B$223</f>
        <v>5.28</v>
      </c>
      <c r="O230" s="33" t="n">
        <f aca="false">Source_Data!O$11*$B$223</f>
        <v>5.28</v>
      </c>
      <c r="P230" s="33" t="n">
        <f aca="false">Source_Data!P$11*$B$223</f>
        <v>120</v>
      </c>
      <c r="Q230" s="33" t="n">
        <f aca="false">Source_Data!Q$11*$B$223</f>
        <v>120</v>
      </c>
      <c r="R230" s="33" t="n">
        <f aca="false">Source_Data!R$11*$B$223</f>
        <v>164</v>
      </c>
      <c r="S230" s="33" t="n">
        <f aca="false">Source_Data!S$11*$B$223</f>
        <v>117</v>
      </c>
      <c r="T230" s="33" t="n">
        <f aca="false">Source_Data!T$11*$B$223</f>
        <v>0</v>
      </c>
      <c r="U230" s="33" t="n">
        <f aca="false">Source_Data!U$11*$B$223</f>
        <v>0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196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10.900251</v>
      </c>
      <c r="O231" s="33" t="n">
        <f aca="false">$B$221*IF(Source_Data!O$5-$B$222&gt;=1,INDEX(Source_Data!$D$12:$BK$12,1,Source_Data!O$5-$B$222),0)</f>
        <v>10.900251</v>
      </c>
      <c r="P231" s="33" t="n">
        <f aca="false">$B$221*IF(Source_Data!P$5-$B$222&gt;=1,INDEX(Source_Data!$D$12:$BK$12,1,Source_Data!P$5-$B$222),0)</f>
        <v>8.569134</v>
      </c>
      <c r="Q231" s="33" t="n">
        <f aca="false">$B$221*IF(Source_Data!Q$5-$B$222&gt;=1,INDEX(Source_Data!$D$12:$BK$12,1,Source_Data!Q$5-$B$222),0)</f>
        <v>8.569134</v>
      </c>
      <c r="R231" s="33" t="n">
        <f aca="false">$B$221*IF(Source_Data!R$5-$B$222&gt;=1,INDEX(Source_Data!$D$12:$BK$12,1,Source_Data!R$5-$B$222),0)</f>
        <v>6.290109</v>
      </c>
      <c r="S231" s="33" t="n">
        <f aca="false">$B$221*IF(Source_Data!S$5-$B$222&gt;=1,INDEX(Source_Data!$D$12:$BK$12,1,Source_Data!S$5-$B$222),0)</f>
        <v>6.290109</v>
      </c>
      <c r="T231" s="33" t="n">
        <f aca="false">$B$221*IF(Source_Data!T$5-$B$222&gt;=1,INDEX(Source_Data!$D$12:$BK$12,1,Source_Data!T$5-$B$222),0)</f>
        <v>6.928236</v>
      </c>
      <c r="U231" s="33" t="n">
        <f aca="false">$B$221*IF(Source_Data!U$5-$B$222&gt;=1,INDEX(Source_Data!$D$12:$BK$12,1,Source_Data!U$5-$B$222),0)</f>
        <v>8.33472</v>
      </c>
      <c r="V231" s="33" t="n">
        <f aca="false">$B$221*IF(Source_Data!V$5-$B$222&gt;=1,INDEX(Source_Data!$D$12:$BK$12,1,Source_Data!V$5-$B$222),0)</f>
        <v>8.33472</v>
      </c>
      <c r="W231" s="33" t="n">
        <f aca="false">$B$221*IF(Source_Data!W$5-$B$222&gt;=1,INDEX(Source_Data!$D$12:$BK$12,1,Source_Data!W$5-$B$222),0)</f>
        <v>5.99058</v>
      </c>
      <c r="X231" s="33" t="n">
        <f aca="false">$B$221*IF(Source_Data!X$5-$B$222&gt;=1,INDEX(Source_Data!$D$12:$BK$12,1,Source_Data!X$5-$B$222),0)</f>
        <v>0</v>
      </c>
      <c r="Y231" s="33" t="n">
        <f aca="false">$B$221*IF(Source_Data!Y$5-$B$222&gt;=1,INDEX(Source_Data!$D$12:$BK$12,1,Source_Data!Y$5-$B$222),0)</f>
        <v>0</v>
      </c>
      <c r="Z231" s="33" t="n">
        <f aca="false">$B$221*IF(Source_Data!Z$5-$B$222&gt;=1,INDEX(Source_Data!$D$12:$BK$12,1,Source_Data!Z$5-$B$222),0)</f>
        <v>0</v>
      </c>
      <c r="AA231" s="33" t="n">
        <f aca="false">$B$221*IF(Source_Data!AA$5-$B$222&gt;=1,INDEX(Source_Data!$D$12:$BK$12,1,Source_Data!AA$5-$B$222),0)</f>
        <v>0</v>
      </c>
      <c r="AB231" s="33" t="n">
        <f aca="false">$B$221*IF(Source_Data!AB$5-$B$222&gt;=1,INDEX(Source_Data!$D$12:$BK$12,1,Source_Data!AB$5-$B$222),0)</f>
        <v>0</v>
      </c>
      <c r="AC231" s="33" t="n">
        <f aca="false">$B$221*IF(Source_Data!AC$5-$B$222&gt;=1,INDEX(Source_Data!$D$12:$BK$12,1,Source_Data!AC$5-$B$222),0)</f>
        <v>0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215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3</v>
      </c>
      <c r="I232" s="33" t="n">
        <f aca="false">Source_Data!I$13*$B$223</f>
        <v>3.96</v>
      </c>
      <c r="J232" s="33" t="n">
        <f aca="false">Source_Data!J$13*$B$223</f>
        <v>6</v>
      </c>
      <c r="K232" s="33" t="n">
        <f aca="false">Source_Data!K$13*$B$223</f>
        <v>3.96</v>
      </c>
      <c r="L232" s="33" t="n">
        <f aca="false">Source_Data!L$13*$B$223</f>
        <v>3.96</v>
      </c>
      <c r="M232" s="33" t="n">
        <f aca="false">Source_Data!M$13*$B$223</f>
        <v>3.96</v>
      </c>
      <c r="N232" s="33" t="n">
        <f aca="false">Source_Data!N$13*$B$223</f>
        <v>0.792</v>
      </c>
      <c r="O232" s="33" t="n">
        <f aca="false">Source_Data!O$13*$B$223</f>
        <v>0.792</v>
      </c>
      <c r="P232" s="33" t="n">
        <f aca="false">Source_Data!P$13*$B$223</f>
        <v>18</v>
      </c>
      <c r="Q232" s="33" t="n">
        <f aca="false">Source_Data!Q$13*$B$223</f>
        <v>18</v>
      </c>
      <c r="R232" s="33" t="n">
        <f aca="false">Source_Data!R$13*$B$223</f>
        <v>24.6</v>
      </c>
      <c r="S232" s="33" t="n">
        <f aca="false">Source_Data!S$13*$B$223</f>
        <v>17.55</v>
      </c>
      <c r="T232" s="33" t="n">
        <f aca="false">Source_Data!T$13*$B$223</f>
        <v>0</v>
      </c>
      <c r="U232" s="33" t="n">
        <f aca="false">Source_Data!U$13*$B$223</f>
        <v>0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216</v>
      </c>
      <c r="D233" s="33" t="n">
        <f aca="false">D228-D229-D230-D231-D232</f>
        <v>-91.25</v>
      </c>
      <c r="E233" s="33" t="n">
        <f aca="false">E228-E229-E230-E231-E232</f>
        <v>-11.25</v>
      </c>
      <c r="F233" s="33" t="n">
        <f aca="false">F228-F229-F230-F231-F232</f>
        <v>-11.25</v>
      </c>
      <c r="G233" s="33" t="n">
        <f aca="false">G228-G229-G230-G231-G232</f>
        <v>-11.25</v>
      </c>
      <c r="H233" s="33" t="n">
        <f aca="false">H228-H229-H230-H231-H232</f>
        <v>-45.5</v>
      </c>
      <c r="I233" s="33" t="n">
        <f aca="false">I228-I229-I230-I231-I232</f>
        <v>-52.86</v>
      </c>
      <c r="J233" s="33" t="n">
        <f aca="false">J228-J229-J230-J231-J232</f>
        <v>-54.87468625</v>
      </c>
      <c r="K233" s="33" t="n">
        <f aca="false">K228-K229-K230-K231-K232</f>
        <v>-25.6093725</v>
      </c>
      <c r="L233" s="33" t="n">
        <f aca="false">L228-L229-L230-L231-L232</f>
        <v>-22.249194375</v>
      </c>
      <c r="M233" s="33" t="n">
        <f aca="false">M228-M229-M230-M231-M232</f>
        <v>-7.63901625</v>
      </c>
      <c r="N233" s="33" t="n">
        <f aca="false">N228-N229-N230-N231-N232</f>
        <v>5.406879</v>
      </c>
      <c r="O233" s="33" t="n">
        <f aca="false">O228-O229-O230-O231-O232</f>
        <v>6.40395243750001</v>
      </c>
      <c r="P233" s="33" t="n">
        <f aca="false">P228-P229-P230-P231-P232</f>
        <v>-119.27317040625</v>
      </c>
      <c r="Q233" s="33" t="n">
        <f aca="false">Q228-Q229-Q230-Q231-Q232</f>
        <v>-98.82909525</v>
      </c>
      <c r="R233" s="33" t="n">
        <f aca="false">R228-R229-R230-R231-R232</f>
        <v>-124.962134</v>
      </c>
      <c r="S233" s="33" t="n">
        <f aca="false">S228-S229-S230-S231-S232</f>
        <v>-64.400634</v>
      </c>
      <c r="T233" s="33" t="n">
        <f aca="false">T228-T229-T230-T231-T232</f>
        <v>35.651439</v>
      </c>
      <c r="U233" s="33" t="n">
        <f aca="false">U228-U229-U230-U231-U232</f>
        <v>10.844251875</v>
      </c>
      <c r="V233" s="33" t="n">
        <f aca="false">V228-V229-V230-V231-V232</f>
        <v>10.844251875</v>
      </c>
      <c r="W233" s="33" t="n">
        <f aca="false">W228-W229-W230-W231-W232</f>
        <v>452.7642920625</v>
      </c>
      <c r="X233" s="33" t="n">
        <f aca="false">X228-X229-X230-X231-X232</f>
        <v>32.60397571875</v>
      </c>
      <c r="Y233" s="33" t="n">
        <f aca="false">Y228-Y229-Y230-Y231-Y232</f>
        <v>31.24144434375</v>
      </c>
      <c r="Z233" s="33" t="n">
        <f aca="false">Z228-Z229-Z230-Z231-Z232</f>
        <v>25.85155021875</v>
      </c>
      <c r="AA233" s="33" t="n">
        <f aca="false">AA228-AA229-AA230-AA231-AA232</f>
        <v>21.94465021875</v>
      </c>
      <c r="AB233" s="33" t="n">
        <f aca="false">AB228-AB229-AB230-AB231-AB232</f>
        <v>44.44465021875</v>
      </c>
      <c r="AC233" s="33" t="n">
        <f aca="false">AC228-AC229-AC230-AC231-AC232</f>
        <v>37.89245334375</v>
      </c>
      <c r="AD233" s="33" t="n">
        <f aca="false">AD228-AD229-AD230-AD231-AD232</f>
        <v>37.89245334375</v>
      </c>
      <c r="AE233" s="33" t="n">
        <f aca="false">AE228-AE229-AE230-AE231-AE232</f>
        <v>37.89245334375</v>
      </c>
      <c r="AF233" s="33" t="n">
        <f aca="false">AF228-AF229-AF230-AF231-AF232</f>
        <v>-17.8712214141103</v>
      </c>
      <c r="AG233" s="33" t="n">
        <f aca="false">AG228-AG229-AG230-AG231-AG232</f>
        <v>24.5851634495458</v>
      </c>
      <c r="AH233" s="33" t="n">
        <f aca="false">AH228-AH229-AH230-AH231-AH232</f>
        <v>21.3375528245458</v>
      </c>
      <c r="AI233" s="33" t="n">
        <f aca="false">AI228-AI229-AI230-AI231-AI232</f>
        <v>17.4306528245458</v>
      </c>
      <c r="AJ233" s="33" t="n">
        <f aca="false">AJ228-AJ229-AJ230-AJ231-AJ232</f>
        <v>17.4306528245458</v>
      </c>
      <c r="AK233" s="33" t="n">
        <f aca="false">AK228-AK229-AK230-AK231-AK232</f>
        <v>17.8789365510471</v>
      </c>
      <c r="AL233" s="33" t="n">
        <f aca="false">AL228-AL229-AL230-AL231-AL232</f>
        <v>17.8789365510471</v>
      </c>
      <c r="AM233" s="33" t="n">
        <f aca="false">AM228-AM229-AM230-AM231-AM232</f>
        <v>18.7339240642001</v>
      </c>
      <c r="AN233" s="33" t="n">
        <f aca="false">AN228-AN229-AN230-AN231-AN232</f>
        <v>20.6044644832282</v>
      </c>
      <c r="AO233" s="33" t="n">
        <f aca="false">AO228-AO229-AO230-AO231-AO232</f>
        <v>19.8817486226545</v>
      </c>
      <c r="AP233" s="33" t="n">
        <f aca="false">AP228-AP229-AP230-AP231-AP232</f>
        <v>20.6145950625</v>
      </c>
      <c r="AQ233" s="33" t="n">
        <f aca="false">AQ228-AQ229-AQ230-AQ231-AQ232</f>
        <v>16.8655989375</v>
      </c>
      <c r="AR233" s="33" t="n">
        <f aca="false">AR228-AR229-AR230-AR231-AR232</f>
        <v>8.66355075</v>
      </c>
      <c r="AS233" s="33" t="n">
        <f aca="false">AS228-AS229-AS230-AS231-AS232</f>
        <v>3.21342525</v>
      </c>
      <c r="AT233" s="33" t="n">
        <f aca="false">AT228-AT229-AT230-AT231-AT232</f>
        <v>0</v>
      </c>
      <c r="AU233" s="33" t="n">
        <f aca="false">AU228-AU229-AU230-AU231-AU232</f>
        <v>0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217</v>
      </c>
      <c r="D234" s="33" t="n">
        <f aca="false">D233</f>
        <v>-91.25</v>
      </c>
      <c r="E234" s="33" t="n">
        <f aca="false">D234+E233</f>
        <v>-102.5</v>
      </c>
      <c r="F234" s="33" t="n">
        <f aca="false">E234+F233</f>
        <v>-113.75</v>
      </c>
      <c r="G234" s="33" t="n">
        <f aca="false">F234+G233</f>
        <v>-125</v>
      </c>
      <c r="H234" s="33" t="n">
        <f aca="false">G234+H233</f>
        <v>-170.5</v>
      </c>
      <c r="I234" s="33" t="n">
        <f aca="false">H234+I233</f>
        <v>-223.36</v>
      </c>
      <c r="J234" s="33" t="n">
        <f aca="false">I234+J233</f>
        <v>-278.23468625</v>
      </c>
      <c r="K234" s="33" t="n">
        <f aca="false">J234+K233</f>
        <v>-303.84405875</v>
      </c>
      <c r="L234" s="33" t="n">
        <f aca="false">K234+L233</f>
        <v>-326.093253125</v>
      </c>
      <c r="M234" s="33" t="n">
        <f aca="false">L234+M233</f>
        <v>-333.732269375</v>
      </c>
      <c r="N234" s="33" t="n">
        <f aca="false">M234+N233</f>
        <v>-328.325390375</v>
      </c>
      <c r="O234" s="33" t="n">
        <f aca="false">N234+O233</f>
        <v>-321.9214379375</v>
      </c>
      <c r="P234" s="33" t="n">
        <f aca="false">O234+P233</f>
        <v>-441.19460834375</v>
      </c>
      <c r="Q234" s="33" t="n">
        <f aca="false">P234+Q233</f>
        <v>-540.02370359375</v>
      </c>
      <c r="R234" s="33" t="n">
        <f aca="false">Q234+R233</f>
        <v>-664.98583759375</v>
      </c>
      <c r="S234" s="33" t="n">
        <f aca="false">R234+S233</f>
        <v>-729.38647159375</v>
      </c>
      <c r="T234" s="33" t="n">
        <f aca="false">S234+T233</f>
        <v>-693.73503259375</v>
      </c>
      <c r="U234" s="33" t="n">
        <f aca="false">T234+U233</f>
        <v>-682.89078071875</v>
      </c>
      <c r="V234" s="33" t="n">
        <f aca="false">U234+V233</f>
        <v>-672.04652884375</v>
      </c>
      <c r="W234" s="33" t="n">
        <f aca="false">V234+W233</f>
        <v>-219.28223678125</v>
      </c>
      <c r="X234" s="33" t="n">
        <f aca="false">W234+X233</f>
        <v>-186.6782610625</v>
      </c>
      <c r="Y234" s="33" t="n">
        <f aca="false">X234+Y233</f>
        <v>-155.43681671875</v>
      </c>
      <c r="Z234" s="33" t="n">
        <f aca="false">Y234+Z233</f>
        <v>-129.5852665</v>
      </c>
      <c r="AA234" s="33" t="n">
        <f aca="false">Z234+AA233</f>
        <v>-107.64061628125</v>
      </c>
      <c r="AB234" s="33" t="n">
        <f aca="false">AA234+AB233</f>
        <v>-63.1959660625</v>
      </c>
      <c r="AC234" s="33" t="n">
        <f aca="false">AB234+AC233</f>
        <v>-25.30351271875</v>
      </c>
      <c r="AD234" s="33" t="n">
        <f aca="false">AC234+AD233</f>
        <v>12.588940625</v>
      </c>
      <c r="AE234" s="33" t="n">
        <f aca="false">AD234+AE233</f>
        <v>50.48139396875</v>
      </c>
      <c r="AF234" s="33" t="n">
        <f aca="false">AE234+AF233</f>
        <v>32.6101725546397</v>
      </c>
      <c r="AG234" s="33" t="n">
        <f aca="false">AF234+AG233</f>
        <v>57.1953360041856</v>
      </c>
      <c r="AH234" s="33" t="n">
        <f aca="false">AG234+AH233</f>
        <v>78.5328888287314</v>
      </c>
      <c r="AI234" s="33" t="n">
        <f aca="false">AH234+AI233</f>
        <v>95.9635416532772</v>
      </c>
      <c r="AJ234" s="33" t="n">
        <f aca="false">AI234+AJ233</f>
        <v>113.394194477823</v>
      </c>
      <c r="AK234" s="33" t="n">
        <f aca="false">AJ234+AK233</f>
        <v>131.27313102887</v>
      </c>
      <c r="AL234" s="33" t="n">
        <f aca="false">AK234+AL233</f>
        <v>149.152067579917</v>
      </c>
      <c r="AM234" s="33" t="n">
        <f aca="false">AL234+AM233</f>
        <v>167.885991644117</v>
      </c>
      <c r="AN234" s="33" t="n">
        <f aca="false">AM234+AN233</f>
        <v>188.490456127345</v>
      </c>
      <c r="AO234" s="33" t="n">
        <f aca="false">AN234+AO233</f>
        <v>208.37220475</v>
      </c>
      <c r="AP234" s="33" t="n">
        <f aca="false">AO234+AP233</f>
        <v>228.9867998125</v>
      </c>
      <c r="AQ234" s="33" t="n">
        <f aca="false">AP234+AQ233</f>
        <v>245.85239875</v>
      </c>
      <c r="AR234" s="33" t="n">
        <f aca="false">AQ234+AR233</f>
        <v>254.5159495</v>
      </c>
      <c r="AS234" s="33" t="n">
        <f aca="false">AR234+AS233</f>
        <v>257.72937475</v>
      </c>
      <c r="AT234" s="33" t="n">
        <f aca="false">AS234+AT233</f>
        <v>257.72937475</v>
      </c>
      <c r="AU234" s="33" t="n">
        <f aca="false">AT234+AU233</f>
        <v>257.72937475</v>
      </c>
      <c r="AV234" s="33" t="n">
        <f aca="false">AU234+AV233</f>
        <v>257.72937475</v>
      </c>
      <c r="AW234" s="33" t="n">
        <f aca="false">AV234+AW233</f>
        <v>257.72937475</v>
      </c>
      <c r="AX234" s="33" t="n">
        <f aca="false">AW234+AX233</f>
        <v>257.72937475</v>
      </c>
      <c r="AY234" s="33" t="n">
        <f aca="false">AX234+AY233</f>
        <v>257.72937475</v>
      </c>
      <c r="AZ234" s="33" t="n">
        <f aca="false">AY234+AZ233</f>
        <v>257.72937475</v>
      </c>
      <c r="BA234" s="33" t="n">
        <f aca="false">AZ234+BA233</f>
        <v>257.72937475</v>
      </c>
      <c r="BB234" s="33" t="n">
        <f aca="false">BA234+BB233</f>
        <v>257.72937475</v>
      </c>
      <c r="BC234" s="33" t="n">
        <f aca="false">BB234+BC233</f>
        <v>257.72937475</v>
      </c>
      <c r="BD234" s="33" t="n">
        <f aca="false">BC234+BD233</f>
        <v>257.72937475</v>
      </c>
      <c r="BE234" s="33" t="n">
        <f aca="false">BD234+BE233</f>
        <v>257.72937475</v>
      </c>
      <c r="BF234" s="33" t="n">
        <f aca="false">BE234+BF233</f>
        <v>257.72937475</v>
      </c>
      <c r="BG234" s="33" t="n">
        <f aca="false">BF234+BG233</f>
        <v>257.72937475</v>
      </c>
      <c r="BH234" s="33" t="n">
        <f aca="false">BG234+BH233</f>
        <v>257.72937475</v>
      </c>
      <c r="BI234" s="33" t="n">
        <f aca="false">BH234+BI233</f>
        <v>257.72937475</v>
      </c>
      <c r="BJ234" s="33" t="n">
        <f aca="false">BI234+BJ233</f>
        <v>257.72937475</v>
      </c>
      <c r="BK234" s="33" t="n">
        <f aca="false">BJ234+BK233</f>
        <v>257.72937475</v>
      </c>
    </row>
    <row r="235" customFormat="false" ht="15" hidden="false" customHeight="false" outlineLevel="0" collapsed="false">
      <c r="A235" s="3" t="s">
        <v>340</v>
      </c>
      <c r="D235" s="33" t="n">
        <f aca="false">IF(Source_Data!D$6=Inputs!$B$12,-Inputs!$B$7,0)+IF(AND(Source_Data!D$6&gt;=$B$226,Source_Data!D$6&lt;$B$226+3*Inputs!$B$16,MOD(Source_Data!D$6-$B$226,3)=0),Inputs!$B$8*Inputs!$B$7*Inputs!$B$34*$B$221*(1-Inputs!$B$15)/Inputs!$B$16,0)</f>
        <v>-100</v>
      </c>
      <c r="E235" s="33" t="n">
        <f aca="false">IF(Source_Data!E$6=Inputs!$B$12,-Inputs!$B$7,0)+IF(AND(Source_Data!E$6&gt;=$B$226,Source_Data!E$6&lt;$B$226+3*Inputs!$B$16,MOD(Source_Data!E$6-$B$226,3)=0),Inputs!$B$8*Inputs!$B$7*Inputs!$B$34*$B$221*(1-Inputs!$B$15)/Inputs!$B$16,0)</f>
        <v>0</v>
      </c>
      <c r="F235" s="33" t="n">
        <f aca="false">IF(Source_Data!F$6=Inputs!$B$12,-Inputs!$B$7,0)+IF(AND(Source_Data!F$6&gt;=$B$226,Source_Data!F$6&lt;$B$226+3*Inputs!$B$16,MOD(Source_Data!F$6-$B$226,3)=0),Inputs!$B$8*Inputs!$B$7*Inputs!$B$34*$B$221*(1-Inputs!$B$15)/Inputs!$B$16,0)</f>
        <v>0</v>
      </c>
      <c r="G235" s="33" t="n">
        <f aca="false">IF(Source_Data!G$6=Inputs!$B$12,-Inputs!$B$7,0)+IF(AND(Source_Data!G$6&gt;=$B$226,Source_Data!G$6&lt;$B$226+3*Inputs!$B$16,MOD(Source_Data!G$6-$B$226,3)=0),Inputs!$B$8*Inputs!$B$7*Inputs!$B$34*$B$221*(1-Inputs!$B$15)/Inputs!$B$16,0)</f>
        <v>0</v>
      </c>
      <c r="H235" s="33" t="n">
        <f aca="false">IF(Source_Data!H$6=Inputs!$B$12,-Inputs!$B$7,0)+IF(AND(Source_Data!H$6&gt;=$B$226,Source_Data!H$6&lt;$B$226+3*Inputs!$B$16,MOD(Source_Data!H$6-$B$226,3)=0),Inputs!$B$8*Inputs!$B$7*Inputs!$B$34*$B$221*(1-Inputs!$B$15)/Inputs!$B$16,0)</f>
        <v>0</v>
      </c>
      <c r="I235" s="33" t="n">
        <f aca="false">IF(Source_Data!I$6=Inputs!$B$12,-Inputs!$B$7,0)+IF(AND(Source_Data!I$6&gt;=$B$226,Source_Data!I$6&lt;$B$226+3*Inputs!$B$16,MOD(Source_Data!I$6-$B$226,3)=0),Inputs!$B$8*Inputs!$B$7*Inputs!$B$34*$B$221*(1-Inputs!$B$15)/Inputs!$B$16,0)</f>
        <v>0</v>
      </c>
      <c r="J235" s="33" t="n">
        <f aca="false">IF(Source_Data!J$6=Inputs!$B$12,-Inputs!$B$7,0)+IF(AND(Source_Data!J$6&gt;=$B$226,Source_Data!J$6&lt;$B$226+3*Inputs!$B$16,MOD(Source_Data!J$6-$B$226,3)=0),Inputs!$B$8*Inputs!$B$7*Inputs!$B$34*$B$221*(1-Inputs!$B$15)/Inputs!$B$16,0)</f>
        <v>0</v>
      </c>
      <c r="K235" s="33" t="n">
        <f aca="false">IF(Source_Data!K$6=Inputs!$B$12,-Inputs!$B$7,0)+IF(AND(Source_Data!K$6&gt;=$B$226,Source_Data!K$6&lt;$B$226+3*Inputs!$B$16,MOD(Source_Data!K$6-$B$226,3)=0),Inputs!$B$8*Inputs!$B$7*Inputs!$B$34*$B$221*(1-Inputs!$B$15)/Inputs!$B$16,0)</f>
        <v>0</v>
      </c>
      <c r="L235" s="33" t="n">
        <f aca="false">IF(Source_Data!L$6=Inputs!$B$12,-Inputs!$B$7,0)+IF(AND(Source_Data!L$6&gt;=$B$226,Source_Data!L$6&lt;$B$226+3*Inputs!$B$16,MOD(Source_Data!L$6-$B$226,3)=0),Inputs!$B$8*Inputs!$B$7*Inputs!$B$34*$B$221*(1-Inputs!$B$15)/Inputs!$B$16,0)</f>
        <v>0</v>
      </c>
      <c r="M235" s="33" t="n">
        <f aca="false">IF(Source_Data!M$6=Inputs!$B$12,-Inputs!$B$7,0)+IF(AND(Source_Data!M$6&gt;=$B$226,Source_Data!M$6&lt;$B$226+3*Inputs!$B$16,MOD(Source_Data!M$6-$B$226,3)=0),Inputs!$B$8*Inputs!$B$7*Inputs!$B$34*$B$221*(1-Inputs!$B$15)/Inputs!$B$16,0)</f>
        <v>0</v>
      </c>
      <c r="N235" s="33" t="n">
        <f aca="false">IF(Source_Data!N$6=Inputs!$B$12,-Inputs!$B$7,0)+IF(AND(Source_Data!N$6&gt;=$B$226,Source_Data!N$6&lt;$B$226+3*Inputs!$B$16,MOD(Source_Data!N$6-$B$226,3)=0),Inputs!$B$8*Inputs!$B$7*Inputs!$B$34*$B$221*(1-Inputs!$B$15)/Inputs!$B$16,0)</f>
        <v>0</v>
      </c>
      <c r="O235" s="33" t="n">
        <f aca="false">IF(Source_Data!O$6=Inputs!$B$12,-Inputs!$B$7,0)+IF(AND(Source_Data!O$6&gt;=$B$226,Source_Data!O$6&lt;$B$226+3*Inputs!$B$16,MOD(Source_Data!O$6-$B$226,3)=0),Inputs!$B$8*Inputs!$B$7*Inputs!$B$34*$B$221*(1-Inputs!$B$15)/Inputs!$B$16,0)</f>
        <v>0</v>
      </c>
      <c r="P235" s="33" t="n">
        <f aca="false">IF(Source_Data!P$6=Inputs!$B$12,-Inputs!$B$7,0)+IF(AND(Source_Data!P$6&gt;=$B$226,Source_Data!P$6&lt;$B$226+3*Inputs!$B$16,MOD(Source_Data!P$6-$B$226,3)=0),Inputs!$B$8*Inputs!$B$7*Inputs!$B$34*$B$221*(1-Inputs!$B$15)/Inputs!$B$16,0)</f>
        <v>0</v>
      </c>
      <c r="Q235" s="33" t="n">
        <f aca="false">IF(Source_Data!Q$6=Inputs!$B$12,-Inputs!$B$7,0)+IF(AND(Source_Data!Q$6&gt;=$B$226,Source_Data!Q$6&lt;$B$226+3*Inputs!$B$16,MOD(Source_Data!Q$6-$B$226,3)=0),Inputs!$B$8*Inputs!$B$7*Inputs!$B$34*$B$221*(1-Inputs!$B$15)/Inputs!$B$16,0)</f>
        <v>0</v>
      </c>
      <c r="R235" s="33" t="n">
        <f aca="false">IF(Source_Data!R$6=Inputs!$B$12,-Inputs!$B$7,0)+IF(AND(Source_Data!R$6&gt;=$B$226,Source_Data!R$6&lt;$B$226+3*Inputs!$B$16,MOD(Source_Data!R$6-$B$226,3)=0),Inputs!$B$8*Inputs!$B$7*Inputs!$B$34*$B$221*(1-Inputs!$B$15)/Inputs!$B$16,0)</f>
        <v>0</v>
      </c>
      <c r="S235" s="33" t="n">
        <f aca="false">IF(Source_Data!S$6=Inputs!$B$12,-Inputs!$B$7,0)+IF(AND(Source_Data!S$6&gt;=$B$226,Source_Data!S$6&lt;$B$226+3*Inputs!$B$16,MOD(Source_Data!S$6-$B$226,3)=0),Inputs!$B$8*Inputs!$B$7*Inputs!$B$34*$B$221*(1-Inputs!$B$15)/Inputs!$B$16,0)</f>
        <v>0</v>
      </c>
      <c r="T235" s="33" t="n">
        <f aca="false">IF(Source_Data!T$6=Inputs!$B$12,-Inputs!$B$7,0)+IF(AND(Source_Data!T$6&gt;=$B$226,Source_Data!T$6&lt;$B$226+3*Inputs!$B$16,MOD(Source_Data!T$6-$B$226,3)=0),Inputs!$B$8*Inputs!$B$7*Inputs!$B$34*$B$221*(1-Inputs!$B$15)/Inputs!$B$16,0)</f>
        <v>0</v>
      </c>
      <c r="U235" s="33" t="n">
        <f aca="false">IF(Source_Data!U$6=Inputs!$B$12,-Inputs!$B$7,0)+IF(AND(Source_Data!U$6&gt;=$B$226,Source_Data!U$6&lt;$B$226+3*Inputs!$B$16,MOD(Source_Data!U$6-$B$226,3)=0),Inputs!$B$8*Inputs!$B$7*Inputs!$B$34*$B$221*(1-Inputs!$B$15)/Inputs!$B$16,0)</f>
        <v>0</v>
      </c>
      <c r="V235" s="33" t="n">
        <f aca="false">IF(Source_Data!V$6=Inputs!$B$12,-Inputs!$B$7,0)+IF(AND(Source_Data!V$6&gt;=$B$226,Source_Data!V$6&lt;$B$226+3*Inputs!$B$16,MOD(Source_Data!V$6-$B$226,3)=0),Inputs!$B$8*Inputs!$B$7*Inputs!$B$34*$B$221*(1-Inputs!$B$15)/Inputs!$B$16,0)</f>
        <v>0</v>
      </c>
      <c r="W235" s="33" t="n">
        <f aca="false">IF(Source_Data!W$6=Inputs!$B$12,-Inputs!$B$7,0)+IF(AND(Source_Data!W$6&gt;=$B$226,Source_Data!W$6&lt;$B$226+3*Inputs!$B$16,MOD(Source_Data!W$6-$B$226,3)=0),Inputs!$B$8*Inputs!$B$7*Inputs!$B$34*$B$221*(1-Inputs!$B$15)/Inputs!$B$16,0)</f>
        <v>0</v>
      </c>
      <c r="X235" s="33" t="n">
        <f aca="false">IF(Source_Data!X$6=Inputs!$B$12,-Inputs!$B$7,0)+IF(AND(Source_Data!X$6&gt;=$B$226,Source_Data!X$6&lt;$B$226+3*Inputs!$B$16,MOD(Source_Data!X$6-$B$226,3)=0),Inputs!$B$8*Inputs!$B$7*Inputs!$B$34*$B$221*(1-Inputs!$B$15)/Inputs!$B$16,0)</f>
        <v>62.5806451612903</v>
      </c>
      <c r="Y235" s="33" t="n">
        <f aca="false">IF(Source_Data!Y$6=Inputs!$B$12,-Inputs!$B$7,0)+IF(AND(Source_Data!Y$6&gt;=$B$226,Source_Data!Y$6&lt;$B$226+3*Inputs!$B$16,MOD(Source_Data!Y$6-$B$226,3)=0),Inputs!$B$8*Inputs!$B$7*Inputs!$B$34*$B$221*(1-Inputs!$B$15)/Inputs!$B$16,0)</f>
        <v>62.5806451612903</v>
      </c>
      <c r="Z235" s="33" t="n">
        <f aca="false">IF(Source_Data!Z$6=Inputs!$B$12,-Inputs!$B$7,0)+IF(AND(Source_Data!Z$6&gt;=$B$226,Source_Data!Z$6&lt;$B$226+3*Inputs!$B$16,MOD(Source_Data!Z$6-$B$226,3)=0),Inputs!$B$8*Inputs!$B$7*Inputs!$B$34*$B$221*(1-Inputs!$B$15)/Inputs!$B$16,0)</f>
        <v>62.5806451612903</v>
      </c>
      <c r="AA235" s="33" t="n">
        <f aca="false">IF(Source_Data!AA$6=Inputs!$B$12,-Inputs!$B$7,0)+IF(AND(Source_Data!AA$6&gt;=$B$226,Source_Data!AA$6&lt;$B$226+3*Inputs!$B$16,MOD(Source_Data!AA$6-$B$226,3)=0),Inputs!$B$8*Inputs!$B$7*Inputs!$B$34*$B$221*(1-Inputs!$B$15)/Inputs!$B$16,0)</f>
        <v>62.5806451612903</v>
      </c>
      <c r="AB235" s="33" t="n">
        <f aca="false">IF(Source_Data!AB$6=Inputs!$B$12,-Inputs!$B$7,0)+IF(AND(Source_Data!AB$6&gt;=$B$226,Source_Data!AB$6&lt;$B$226+3*Inputs!$B$16,MOD(Source_Data!AB$6-$B$226,3)=0),Inputs!$B$8*Inputs!$B$7*Inputs!$B$34*$B$221*(1-Inputs!$B$15)/Inputs!$B$16,0)</f>
        <v>0</v>
      </c>
      <c r="AC235" s="33" t="n">
        <f aca="false">IF(Source_Data!AC$6=Inputs!$B$12,-Inputs!$B$7,0)+IF(AND(Source_Data!AC$6&gt;=$B$226,Source_Data!AC$6&lt;$B$226+3*Inputs!$B$16,MOD(Source_Data!AC$6-$B$226,3)=0),Inputs!$B$8*Inputs!$B$7*Inputs!$B$34*$B$221*(1-Inputs!$B$15)/Inputs!$B$16,0)</f>
        <v>0</v>
      </c>
      <c r="AD235" s="33" t="n">
        <f aca="false">IF(Source_Data!AD$6=Inputs!$B$12,-Inputs!$B$7,0)+IF(AND(Source_Data!AD$6&gt;=$B$226,Source_Data!AD$6&lt;$B$226+3*Inputs!$B$16,MOD(Source_Data!AD$6-$B$226,3)=0),Inputs!$B$8*Inputs!$B$7*Inputs!$B$34*$B$221*(1-Inputs!$B$15)/Inputs!$B$16,0)</f>
        <v>0</v>
      </c>
      <c r="AE235" s="33" t="n">
        <f aca="false">IF(Source_Data!AE$6=Inputs!$B$12,-Inputs!$B$7,0)+IF(AND(Source_Data!AE$6&gt;=$B$226,Source_Data!AE$6&lt;$B$226+3*Inputs!$B$16,MOD(Source_Data!AE$6-$B$226,3)=0),Inputs!$B$8*Inputs!$B$7*Inputs!$B$34*$B$221*(1-Inputs!$B$15)/Inputs!$B$16,0)</f>
        <v>0</v>
      </c>
      <c r="AF235" s="33" t="n">
        <f aca="false">IF(Source_Data!AF$6=Inputs!$B$12,-Inputs!$B$7,0)+IF(AND(Source_Data!AF$6&gt;=$B$226,Source_Data!AF$6&lt;$B$226+3*Inputs!$B$16,MOD(Source_Data!AF$6-$B$226,3)=0),Inputs!$B$8*Inputs!$B$7*Inputs!$B$34*$B$221*(1-Inputs!$B$15)/Inputs!$B$16,0)</f>
        <v>0</v>
      </c>
      <c r="AG235" s="33" t="n">
        <f aca="false">IF(Source_Data!AG$6=Inputs!$B$12,-Inputs!$B$7,0)+IF(AND(Source_Data!AG$6&gt;=$B$226,Source_Data!AG$6&lt;$B$226+3*Inputs!$B$16,MOD(Source_Data!AG$6-$B$226,3)=0),Inputs!$B$8*Inputs!$B$7*Inputs!$B$34*$B$221*(1-Inputs!$B$15)/Inputs!$B$16,0)</f>
        <v>0</v>
      </c>
      <c r="AH235" s="33" t="n">
        <f aca="false">IF(Source_Data!AH$6=Inputs!$B$12,-Inputs!$B$7,0)+IF(AND(Source_Data!AH$6&gt;=$B$226,Source_Data!AH$6&lt;$B$226+3*Inputs!$B$16,MOD(Source_Data!AH$6-$B$226,3)=0),Inputs!$B$8*Inputs!$B$7*Inputs!$B$34*$B$221*(1-Inputs!$B$15)/Inputs!$B$16,0)</f>
        <v>0</v>
      </c>
      <c r="AI235" s="33" t="n">
        <f aca="false">IF(Source_Data!AI$6=Inputs!$B$12,-Inputs!$B$7,0)+IF(AND(Source_Data!AI$6&gt;=$B$226,Source_Data!AI$6&lt;$B$226+3*Inputs!$B$16,MOD(Source_Data!AI$6-$B$226,3)=0),Inputs!$B$8*Inputs!$B$7*Inputs!$B$34*$B$221*(1-Inputs!$B$15)/Inputs!$B$16,0)</f>
        <v>0</v>
      </c>
      <c r="AJ235" s="33" t="n">
        <f aca="false">IF(Source_Data!AJ$6=Inputs!$B$12,-Inputs!$B$7,0)+IF(AND(Source_Data!AJ$6&gt;=$B$226,Source_Data!AJ$6&lt;$B$226+3*Inputs!$B$16,MOD(Source_Data!AJ$6-$B$226,3)=0),Inputs!$B$8*Inputs!$B$7*Inputs!$B$34*$B$221*(1-Inputs!$B$15)/Inputs!$B$16,0)</f>
        <v>0</v>
      </c>
      <c r="AK235" s="33" t="n">
        <f aca="false">IF(Source_Data!AK$6=Inputs!$B$12,-Inputs!$B$7,0)+IF(AND(Source_Data!AK$6&gt;=$B$226,Source_Data!AK$6&lt;$B$226+3*Inputs!$B$16,MOD(Source_Data!AK$6-$B$226,3)=0),Inputs!$B$8*Inputs!$B$7*Inputs!$B$34*$B$221*(1-Inputs!$B$15)/Inputs!$B$16,0)</f>
        <v>0</v>
      </c>
      <c r="AL235" s="33" t="n">
        <f aca="false">IF(Source_Data!AL$6=Inputs!$B$12,-Inputs!$B$7,0)+IF(AND(Source_Data!AL$6&gt;=$B$226,Source_Data!AL$6&lt;$B$226+3*Inputs!$B$16,MOD(Source_Data!AL$6-$B$226,3)=0),Inputs!$B$8*Inputs!$B$7*Inputs!$B$34*$B$221*(1-Inputs!$B$15)/Inputs!$B$16,0)</f>
        <v>0</v>
      </c>
      <c r="AM235" s="33" t="n">
        <f aca="false">IF(Source_Data!AM$6=Inputs!$B$12,-Inputs!$B$7,0)+IF(AND(Source_Data!AM$6&gt;=$B$226,Source_Data!AM$6&lt;$B$226+3*Inputs!$B$16,MOD(Source_Data!AM$6-$B$226,3)=0),Inputs!$B$8*Inputs!$B$7*Inputs!$B$34*$B$221*(1-Inputs!$B$15)/Inputs!$B$16,0)</f>
        <v>0</v>
      </c>
      <c r="AN235" s="33" t="n">
        <f aca="false">IF(Source_Data!AN$6=Inputs!$B$12,-Inputs!$B$7,0)+IF(AND(Source_Data!AN$6&gt;=$B$226,Source_Data!AN$6&lt;$B$226+3*Inputs!$B$16,MOD(Source_Data!AN$6-$B$226,3)=0),Inputs!$B$8*Inputs!$B$7*Inputs!$B$34*$B$221*(1-Inputs!$B$15)/Inputs!$B$16,0)</f>
        <v>0</v>
      </c>
      <c r="AO235" s="33" t="n">
        <f aca="false">IF(Source_Data!AO$6=Inputs!$B$12,-Inputs!$B$7,0)+IF(AND(Source_Data!AO$6&gt;=$B$226,Source_Data!AO$6&lt;$B$226+3*Inputs!$B$16,MOD(Source_Data!AO$6-$B$226,3)=0),Inputs!$B$8*Inputs!$B$7*Inputs!$B$34*$B$221*(1-Inputs!$B$15)/Inputs!$B$16,0)</f>
        <v>0</v>
      </c>
      <c r="AP235" s="33" t="n">
        <f aca="false">IF(Source_Data!AP$6=Inputs!$B$12,-Inputs!$B$7,0)+IF(AND(Source_Data!AP$6&gt;=$B$226,Source_Data!AP$6&lt;$B$226+3*Inputs!$B$16,MOD(Source_Data!AP$6-$B$226,3)=0),Inputs!$B$8*Inputs!$B$7*Inputs!$B$34*$B$221*(1-Inputs!$B$15)/Inputs!$B$16,0)</f>
        <v>0</v>
      </c>
      <c r="AQ235" s="33" t="n">
        <f aca="false">IF(Source_Data!AQ$6=Inputs!$B$12,-Inputs!$B$7,0)+IF(AND(Source_Data!AQ$6&gt;=$B$226,Source_Data!AQ$6&lt;$B$226+3*Inputs!$B$16,MOD(Source_Data!AQ$6-$B$226,3)=0),Inputs!$B$8*Inputs!$B$7*Inputs!$B$34*$B$221*(1-Inputs!$B$15)/Inputs!$B$16,0)</f>
        <v>0</v>
      </c>
      <c r="AR235" s="33" t="n">
        <f aca="false">IF(Source_Data!AR$6=Inputs!$B$12,-Inputs!$B$7,0)+IF(AND(Source_Data!AR$6&gt;=$B$226,Source_Data!AR$6&lt;$B$226+3*Inputs!$B$16,MOD(Source_Data!AR$6-$B$226,3)=0),Inputs!$B$8*Inputs!$B$7*Inputs!$B$34*$B$221*(1-Inputs!$B$15)/Inputs!$B$16,0)</f>
        <v>0</v>
      </c>
      <c r="AS235" s="33" t="n">
        <f aca="false">IF(Source_Data!AS$6=Inputs!$B$12,-Inputs!$B$7,0)+IF(AND(Source_Data!AS$6&gt;=$B$226,Source_Data!AS$6&lt;$B$226+3*Inputs!$B$16,MOD(Source_Data!AS$6-$B$226,3)=0),Inputs!$B$8*Inputs!$B$7*Inputs!$B$34*$B$221*(1-Inputs!$B$15)/Inputs!$B$16,0)</f>
        <v>0</v>
      </c>
      <c r="AT235" s="33" t="n">
        <f aca="false">IF(Source_Data!AT$6=Inputs!$B$12,-Inputs!$B$7,0)+IF(AND(Source_Data!AT$6&gt;=$B$226,Source_Data!AT$6&lt;$B$226+3*Inputs!$B$16,MOD(Source_Data!AT$6-$B$226,3)=0),Inputs!$B$8*Inputs!$B$7*Inputs!$B$34*$B$221*(1-Inputs!$B$15)/Inputs!$B$16,0)</f>
        <v>0</v>
      </c>
      <c r="AU235" s="33" t="n">
        <f aca="false">IF(Source_Data!AU$6=Inputs!$B$12,-Inputs!$B$7,0)+IF(AND(Source_Data!AU$6&gt;=$B$226,Source_Data!AU$6&lt;$B$226+3*Inputs!$B$16,MOD(Source_Data!AU$6-$B$226,3)=0),Inputs!$B$8*Inputs!$B$7*Inputs!$B$34*$B$221*(1-Inputs!$B$15)/Inputs!$B$16,0)</f>
        <v>0</v>
      </c>
      <c r="AV235" s="33" t="n">
        <f aca="false">IF(Source_Data!AV$6=Inputs!$B$12,-Inputs!$B$7,0)+IF(AND(Source_Data!AV$6&gt;=$B$226,Source_Data!AV$6&lt;$B$226+3*Inputs!$B$16,MOD(Source_Data!AV$6-$B$226,3)=0),Inputs!$B$8*Inputs!$B$7*Inputs!$B$34*$B$221*(1-Inputs!$B$15)/Inputs!$B$16,0)</f>
        <v>0</v>
      </c>
      <c r="AW235" s="33" t="n">
        <f aca="false">IF(Source_Data!AW$6=Inputs!$B$12,-Inputs!$B$7,0)+IF(AND(Source_Data!AW$6&gt;=$B$226,Source_Data!AW$6&lt;$B$226+3*Inputs!$B$16,MOD(Source_Data!AW$6-$B$226,3)=0),Inputs!$B$8*Inputs!$B$7*Inputs!$B$34*$B$221*(1-Inputs!$B$15)/Inputs!$B$16,0)</f>
        <v>0</v>
      </c>
      <c r="AX235" s="33" t="n">
        <f aca="false">IF(Source_Data!AX$6=Inputs!$B$12,-Inputs!$B$7,0)+IF(AND(Source_Data!AX$6&gt;=$B$226,Source_Data!AX$6&lt;$B$226+3*Inputs!$B$16,MOD(Source_Data!AX$6-$B$226,3)=0),Inputs!$B$8*Inputs!$B$7*Inputs!$B$34*$B$221*(1-Inputs!$B$15)/Inputs!$B$16,0)</f>
        <v>0</v>
      </c>
      <c r="AY235" s="33" t="n">
        <f aca="false">IF(Source_Data!AY$6=Inputs!$B$12,-Inputs!$B$7,0)+IF(AND(Source_Data!AY$6&gt;=$B$226,Source_Data!AY$6&lt;$B$226+3*Inputs!$B$16,MOD(Source_Data!AY$6-$B$226,3)=0),Inputs!$B$8*Inputs!$B$7*Inputs!$B$34*$B$221*(1-Inputs!$B$15)/Inputs!$B$16,0)</f>
        <v>0</v>
      </c>
      <c r="AZ235" s="33" t="n">
        <f aca="false">IF(Source_Data!AZ$6=Inputs!$B$12,-Inputs!$B$7,0)+IF(AND(Source_Data!AZ$6&gt;=$B$226,Source_Data!AZ$6&lt;$B$226+3*Inputs!$B$16,MOD(Source_Data!AZ$6-$B$226,3)=0),Inputs!$B$8*Inputs!$B$7*Inputs!$B$34*$B$221*(1-Inputs!$B$15)/Inputs!$B$16,0)</f>
        <v>0</v>
      </c>
      <c r="BA235" s="33" t="n">
        <f aca="false">IF(Source_Data!BA$6=Inputs!$B$12,-Inputs!$B$7,0)+IF(AND(Source_Data!BA$6&gt;=$B$226,Source_Data!BA$6&lt;$B$226+3*Inputs!$B$16,MOD(Source_Data!BA$6-$B$226,3)=0),Inputs!$B$8*Inputs!$B$7*Inputs!$B$34*$B$221*(1-Inputs!$B$15)/Inputs!$B$16,0)</f>
        <v>0</v>
      </c>
      <c r="BB235" s="33" t="n">
        <f aca="false">IF(Source_Data!BB$6=Inputs!$B$12,-Inputs!$B$7,0)+IF(AND(Source_Data!BB$6&gt;=$B$226,Source_Data!BB$6&lt;$B$226+3*Inputs!$B$16,MOD(Source_Data!BB$6-$B$226,3)=0),Inputs!$B$8*Inputs!$B$7*Inputs!$B$34*$B$221*(1-Inputs!$B$15)/Inputs!$B$16,0)</f>
        <v>0</v>
      </c>
      <c r="BC235" s="33" t="n">
        <f aca="false">IF(Source_Data!BC$6=Inputs!$B$12,-Inputs!$B$7,0)+IF(AND(Source_Data!BC$6&gt;=$B$226,Source_Data!BC$6&lt;$B$226+3*Inputs!$B$16,MOD(Source_Data!BC$6-$B$226,3)=0),Inputs!$B$8*Inputs!$B$7*Inputs!$B$34*$B$221*(1-Inputs!$B$15)/Inputs!$B$16,0)</f>
        <v>0</v>
      </c>
      <c r="BD235" s="33" t="n">
        <f aca="false">IF(Source_Data!BD$6=Inputs!$B$12,-Inputs!$B$7,0)+IF(AND(Source_Data!BD$6&gt;=$B$226,Source_Data!BD$6&lt;$B$226+3*Inputs!$B$16,MOD(Source_Data!BD$6-$B$226,3)=0),Inputs!$B$8*Inputs!$B$7*Inputs!$B$34*$B$221*(1-Inputs!$B$15)/Inputs!$B$16,0)</f>
        <v>0</v>
      </c>
      <c r="BE235" s="33" t="n">
        <f aca="false">IF(Source_Data!BE$6=Inputs!$B$12,-Inputs!$B$7,0)+IF(AND(Source_Data!BE$6&gt;=$B$226,Source_Data!BE$6&lt;$B$226+3*Inputs!$B$16,MOD(Source_Data!BE$6-$B$226,3)=0),Inputs!$B$8*Inputs!$B$7*Inputs!$B$34*$B$221*(1-Inputs!$B$15)/Inputs!$B$16,0)</f>
        <v>0</v>
      </c>
      <c r="BF235" s="33" t="n">
        <f aca="false">IF(Source_Data!BF$6=Inputs!$B$12,-Inputs!$B$7,0)+IF(AND(Source_Data!BF$6&gt;=$B$226,Source_Data!BF$6&lt;$B$226+3*Inputs!$B$16,MOD(Source_Data!BF$6-$B$226,3)=0),Inputs!$B$8*Inputs!$B$7*Inputs!$B$34*$B$221*(1-Inputs!$B$15)/Inputs!$B$16,0)</f>
        <v>0</v>
      </c>
      <c r="BG235" s="33" t="n">
        <f aca="false">IF(Source_Data!BG$6=Inputs!$B$12,-Inputs!$B$7,0)+IF(AND(Source_Data!BG$6&gt;=$B$226,Source_Data!BG$6&lt;$B$226+3*Inputs!$B$16,MOD(Source_Data!BG$6-$B$226,3)=0),Inputs!$B$8*Inputs!$B$7*Inputs!$B$34*$B$221*(1-Inputs!$B$15)/Inputs!$B$16,0)</f>
        <v>0</v>
      </c>
      <c r="BH235" s="33" t="n">
        <f aca="false">IF(Source_Data!BH$6=Inputs!$B$12,-Inputs!$B$7,0)+IF(AND(Source_Data!BH$6&gt;=$B$226,Source_Data!BH$6&lt;$B$226+3*Inputs!$B$16,MOD(Source_Data!BH$6-$B$226,3)=0),Inputs!$B$8*Inputs!$B$7*Inputs!$B$34*$B$221*(1-Inputs!$B$15)/Inputs!$B$16,0)</f>
        <v>0</v>
      </c>
      <c r="BI235" s="33" t="n">
        <f aca="false">IF(Source_Data!BI$6=Inputs!$B$12,-Inputs!$B$7,0)+IF(AND(Source_Data!BI$6&gt;=$B$226,Source_Data!BI$6&lt;$B$226+3*Inputs!$B$16,MOD(Source_Data!BI$6-$B$226,3)=0),Inputs!$B$8*Inputs!$B$7*Inputs!$B$34*$B$221*(1-Inputs!$B$15)/Inputs!$B$16,0)</f>
        <v>0</v>
      </c>
      <c r="BJ235" s="33" t="n">
        <f aca="false">IF(Source_Data!BJ$6=Inputs!$B$12,-Inputs!$B$7,0)+IF(AND(Source_Data!BJ$6&gt;=$B$226,Source_Data!BJ$6&lt;$B$226+3*Inputs!$B$16,MOD(Source_Data!BJ$6-$B$226,3)=0),Inputs!$B$8*Inputs!$B$7*Inputs!$B$34*$B$221*(1-Inputs!$B$15)/Inputs!$B$16,0)</f>
        <v>0</v>
      </c>
      <c r="BK235" s="33" t="n">
        <f aca="false">IF(Source_Data!BK$6=Inputs!$B$12,-Inputs!$B$7,0)+IF(AND(Source_Data!BK$6&gt;=$B$226,Source_Data!BK$6&lt;$B$226+3*Inputs!$B$16,MOD(Source_Data!BK$6-$B$226,3)=0),Inputs!$B$8*Inputs!$B$7*Inputs!$B$34*$B$221*(1-Inputs!$B$15)/Inputs!$B$16,0)</f>
        <v>0</v>
      </c>
    </row>
    <row r="236" customFormat="false" ht="15" hidden="false" customHeight="false" outlineLevel="0" collapsed="false">
      <c r="A236" s="3" t="s">
        <v>341</v>
      </c>
      <c r="D236" s="33" t="n">
        <f aca="false">IF(AND(Source_Data!D$6&gt;=Inputs!$B$54,Source_Data!D$6&lt;Inputs!$B$54+3*Inputs!$B$11),Inputs!$B$9*Inputs!$B$7/Inputs!$B$11,0)</f>
        <v>0</v>
      </c>
      <c r="E236" s="33" t="n">
        <f aca="false">IF(AND(Source_Data!E$6&gt;=Inputs!$B$54,Source_Data!E$6&lt;Inputs!$B$54+3*Inputs!$B$11),Inputs!$B$9*Inputs!$B$7/Inputs!$B$11,0)</f>
        <v>0</v>
      </c>
      <c r="F236" s="33" t="n">
        <f aca="false">IF(AND(Source_Data!F$6&gt;=Inputs!$B$54,Source_Data!F$6&lt;Inputs!$B$54+3*Inputs!$B$11),Inputs!$B$9*Inputs!$B$7/Inputs!$B$11,0)</f>
        <v>0</v>
      </c>
      <c r="G236" s="33" t="n">
        <f aca="false">IF(AND(Source_Data!G$6&gt;=Inputs!$B$54,Source_Data!G$6&lt;Inputs!$B$54+3*Inputs!$B$11),Inputs!$B$9*Inputs!$B$7/Inputs!$B$11,0)</f>
        <v>0</v>
      </c>
      <c r="H236" s="33" t="n">
        <f aca="false">IF(AND(Source_Data!H$6&gt;=Inputs!$B$54,Source_Data!H$6&lt;Inputs!$B$54+3*Inputs!$B$11),Inputs!$B$9*Inputs!$B$7/Inputs!$B$11,0)</f>
        <v>0</v>
      </c>
      <c r="I236" s="33" t="n">
        <f aca="false">IF(AND(Source_Data!I$6&gt;=Inputs!$B$54,Source_Data!I$6&lt;Inputs!$B$54+3*Inputs!$B$11),Inputs!$B$9*Inputs!$B$7/Inputs!$B$11,0)</f>
        <v>0</v>
      </c>
      <c r="J236" s="33" t="n">
        <f aca="false">IF(AND(Source_Data!J$6&gt;=Inputs!$B$54,Source_Data!J$6&lt;Inputs!$B$54+3*Inputs!$B$11),Inputs!$B$9*Inputs!$B$7/Inputs!$B$11,0)</f>
        <v>0</v>
      </c>
      <c r="K236" s="33" t="n">
        <f aca="false">IF(AND(Source_Data!K$6&gt;=Inputs!$B$54,Source_Data!K$6&lt;Inputs!$B$54+3*Inputs!$B$11),Inputs!$B$9*Inputs!$B$7/Inputs!$B$11,0)</f>
        <v>0</v>
      </c>
      <c r="L236" s="33" t="n">
        <f aca="false">IF(AND(Source_Data!L$6&gt;=Inputs!$B$54,Source_Data!L$6&lt;Inputs!$B$54+3*Inputs!$B$11),Inputs!$B$9*Inputs!$B$7/Inputs!$B$11,0)</f>
        <v>0</v>
      </c>
      <c r="M236" s="33" t="n">
        <f aca="false">IF(AND(Source_Data!M$6&gt;=Inputs!$B$54,Source_Data!M$6&lt;Inputs!$B$54+3*Inputs!$B$11),Inputs!$B$9*Inputs!$B$7/Inputs!$B$11,0)</f>
        <v>19.1666666666667</v>
      </c>
      <c r="N236" s="33" t="n">
        <f aca="false">IF(AND(Source_Data!N$6&gt;=Inputs!$B$54,Source_Data!N$6&lt;Inputs!$B$54+3*Inputs!$B$11),Inputs!$B$9*Inputs!$B$7/Inputs!$B$11,0)</f>
        <v>19.1666666666667</v>
      </c>
      <c r="O236" s="33" t="n">
        <f aca="false">IF(AND(Source_Data!O$6&gt;=Inputs!$B$54,Source_Data!O$6&lt;Inputs!$B$54+3*Inputs!$B$11),Inputs!$B$9*Inputs!$B$7/Inputs!$B$11,0)</f>
        <v>19.1666666666667</v>
      </c>
      <c r="P236" s="33" t="n">
        <f aca="false">IF(AND(Source_Data!P$6&gt;=Inputs!$B$54,Source_Data!P$6&lt;Inputs!$B$54+3*Inputs!$B$11),Inputs!$B$9*Inputs!$B$7/Inputs!$B$11,0)</f>
        <v>19.1666666666667</v>
      </c>
      <c r="Q236" s="33" t="n">
        <f aca="false">IF(AND(Source_Data!Q$6&gt;=Inputs!$B$54,Source_Data!Q$6&lt;Inputs!$B$54+3*Inputs!$B$11),Inputs!$B$9*Inputs!$B$7/Inputs!$B$11,0)</f>
        <v>19.1666666666667</v>
      </c>
      <c r="R236" s="33" t="n">
        <f aca="false">IF(AND(Source_Data!R$6&gt;=Inputs!$B$54,Source_Data!R$6&lt;Inputs!$B$54+3*Inputs!$B$11),Inputs!$B$9*Inputs!$B$7/Inputs!$B$11,0)</f>
        <v>19.1666666666667</v>
      </c>
      <c r="S236" s="33" t="n">
        <f aca="false">IF(AND(Source_Data!S$6&gt;=Inputs!$B$54,Source_Data!S$6&lt;Inputs!$B$54+3*Inputs!$B$11),Inputs!$B$9*Inputs!$B$7/Inputs!$B$11,0)</f>
        <v>19.1666666666667</v>
      </c>
      <c r="T236" s="33" t="n">
        <f aca="false">IF(AND(Source_Data!T$6&gt;=Inputs!$B$54,Source_Data!T$6&lt;Inputs!$B$54+3*Inputs!$B$11),Inputs!$B$9*Inputs!$B$7/Inputs!$B$11,0)</f>
        <v>19.1666666666667</v>
      </c>
      <c r="U236" s="33" t="n">
        <f aca="false">IF(AND(Source_Data!U$6&gt;=Inputs!$B$54,Source_Data!U$6&lt;Inputs!$B$54+3*Inputs!$B$11),Inputs!$B$9*Inputs!$B$7/Inputs!$B$11,0)</f>
        <v>19.1666666666667</v>
      </c>
      <c r="V236" s="33" t="n">
        <f aca="false">IF(AND(Source_Data!V$6&gt;=Inputs!$B$54,Source_Data!V$6&lt;Inputs!$B$54+3*Inputs!$B$11),Inputs!$B$9*Inputs!$B$7/Inputs!$B$11,0)</f>
        <v>19.1666666666667</v>
      </c>
      <c r="W236" s="33" t="n">
        <f aca="false">IF(AND(Source_Data!W$6&gt;=Inputs!$B$54,Source_Data!W$6&lt;Inputs!$B$54+3*Inputs!$B$11),Inputs!$B$9*Inputs!$B$7/Inputs!$B$11,0)</f>
        <v>19.1666666666667</v>
      </c>
      <c r="X236" s="33" t="n">
        <f aca="false">IF(AND(Source_Data!X$6&gt;=Inputs!$B$54,Source_Data!X$6&lt;Inputs!$B$54+3*Inputs!$B$11),Inputs!$B$9*Inputs!$B$7/Inputs!$B$11,0)</f>
        <v>19.1666666666667</v>
      </c>
      <c r="Y236" s="33" t="n">
        <f aca="false">IF(AND(Source_Data!Y$6&gt;=Inputs!$B$54,Source_Data!Y$6&lt;Inputs!$B$54+3*Inputs!$B$11),Inputs!$B$9*Inputs!$B$7/Inputs!$B$11,0)</f>
        <v>0</v>
      </c>
      <c r="Z236" s="33" t="n">
        <f aca="false">IF(AND(Source_Data!Z$6&gt;=Inputs!$B$54,Source_Data!Z$6&lt;Inputs!$B$54+3*Inputs!$B$11),Inputs!$B$9*Inputs!$B$7/Inputs!$B$11,0)</f>
        <v>0</v>
      </c>
      <c r="AA236" s="33" t="n">
        <f aca="false">IF(AND(Source_Data!AA$6&gt;=Inputs!$B$54,Source_Data!AA$6&lt;Inputs!$B$54+3*Inputs!$B$11),Inputs!$B$9*Inputs!$B$7/Inputs!$B$11,0)</f>
        <v>0</v>
      </c>
      <c r="AB236" s="33" t="n">
        <f aca="false">IF(AND(Source_Data!AB$6&gt;=Inputs!$B$54,Source_Data!AB$6&lt;Inputs!$B$54+3*Inputs!$B$11),Inputs!$B$9*Inputs!$B$7/Inputs!$B$11,0)</f>
        <v>0</v>
      </c>
      <c r="AC236" s="33" t="n">
        <f aca="false">IF(AND(Source_Data!AC$6&gt;=Inputs!$B$54,Source_Data!AC$6&lt;Inputs!$B$54+3*Inputs!$B$11),Inputs!$B$9*Inputs!$B$7/Inputs!$B$11,0)</f>
        <v>0</v>
      </c>
      <c r="AD236" s="33" t="n">
        <f aca="false">IF(AND(Source_Data!AD$6&gt;=Inputs!$B$54,Source_Data!AD$6&lt;Inputs!$B$54+3*Inputs!$B$11),Inputs!$B$9*Inputs!$B$7/Inputs!$B$11,0)</f>
        <v>0</v>
      </c>
      <c r="AE236" s="33" t="n">
        <f aca="false">IF(AND(Source_Data!AE$6&gt;=Inputs!$B$54,Source_Data!AE$6&lt;Inputs!$B$54+3*Inputs!$B$11),Inputs!$B$9*Inputs!$B$7/Inputs!$B$11,0)</f>
        <v>0</v>
      </c>
      <c r="AF236" s="33" t="n">
        <f aca="false">IF(AND(Source_Data!AF$6&gt;=Inputs!$B$54,Source_Data!AF$6&lt;Inputs!$B$54+3*Inputs!$B$11),Inputs!$B$9*Inputs!$B$7/Inputs!$B$11,0)</f>
        <v>0</v>
      </c>
      <c r="AG236" s="33" t="n">
        <f aca="false">IF(AND(Source_Data!AG$6&gt;=Inputs!$B$54,Source_Data!AG$6&lt;Inputs!$B$54+3*Inputs!$B$11),Inputs!$B$9*Inputs!$B$7/Inputs!$B$11,0)</f>
        <v>0</v>
      </c>
      <c r="AH236" s="33" t="n">
        <f aca="false">IF(AND(Source_Data!AH$6&gt;=Inputs!$B$54,Source_Data!AH$6&lt;Inputs!$B$54+3*Inputs!$B$11),Inputs!$B$9*Inputs!$B$7/Inputs!$B$11,0)</f>
        <v>0</v>
      </c>
      <c r="AI236" s="33" t="n">
        <f aca="false">IF(AND(Source_Data!AI$6&gt;=Inputs!$B$54,Source_Data!AI$6&lt;Inputs!$B$54+3*Inputs!$B$11),Inputs!$B$9*Inputs!$B$7/Inputs!$B$11,0)</f>
        <v>0</v>
      </c>
      <c r="AJ236" s="33" t="n">
        <f aca="false">IF(AND(Source_Data!AJ$6&gt;=Inputs!$B$54,Source_Data!AJ$6&lt;Inputs!$B$54+3*Inputs!$B$11),Inputs!$B$9*Inputs!$B$7/Inputs!$B$11,0)</f>
        <v>0</v>
      </c>
      <c r="AK236" s="33" t="n">
        <f aca="false">IF(AND(Source_Data!AK$6&gt;=Inputs!$B$54,Source_Data!AK$6&lt;Inputs!$B$54+3*Inputs!$B$11),Inputs!$B$9*Inputs!$B$7/Inputs!$B$11,0)</f>
        <v>0</v>
      </c>
      <c r="AL236" s="33" t="n">
        <f aca="false">IF(AND(Source_Data!AL$6&gt;=Inputs!$B$54,Source_Data!AL$6&lt;Inputs!$B$54+3*Inputs!$B$11),Inputs!$B$9*Inputs!$B$7/Inputs!$B$11,0)</f>
        <v>0</v>
      </c>
      <c r="AM236" s="33" t="n">
        <f aca="false">IF(AND(Source_Data!AM$6&gt;=Inputs!$B$54,Source_Data!AM$6&lt;Inputs!$B$54+3*Inputs!$B$11),Inputs!$B$9*Inputs!$B$7/Inputs!$B$11,0)</f>
        <v>0</v>
      </c>
      <c r="AN236" s="33" t="n">
        <f aca="false">IF(AND(Source_Data!AN$6&gt;=Inputs!$B$54,Source_Data!AN$6&lt;Inputs!$B$54+3*Inputs!$B$11),Inputs!$B$9*Inputs!$B$7/Inputs!$B$11,0)</f>
        <v>0</v>
      </c>
      <c r="AO236" s="33" t="n">
        <f aca="false">IF(AND(Source_Data!AO$6&gt;=Inputs!$B$54,Source_Data!AO$6&lt;Inputs!$B$54+3*Inputs!$B$11),Inputs!$B$9*Inputs!$B$7/Inputs!$B$11,0)</f>
        <v>0</v>
      </c>
      <c r="AP236" s="33" t="n">
        <f aca="false">IF(AND(Source_Data!AP$6&gt;=Inputs!$B$54,Source_Data!AP$6&lt;Inputs!$B$54+3*Inputs!$B$11),Inputs!$B$9*Inputs!$B$7/Inputs!$B$11,0)</f>
        <v>0</v>
      </c>
      <c r="AQ236" s="33" t="n">
        <f aca="false">IF(AND(Source_Data!AQ$6&gt;=Inputs!$B$54,Source_Data!AQ$6&lt;Inputs!$B$54+3*Inputs!$B$11),Inputs!$B$9*Inputs!$B$7/Inputs!$B$11,0)</f>
        <v>0</v>
      </c>
      <c r="AR236" s="33" t="n">
        <f aca="false">IF(AND(Source_Data!AR$6&gt;=Inputs!$B$54,Source_Data!AR$6&lt;Inputs!$B$54+3*Inputs!$B$11),Inputs!$B$9*Inputs!$B$7/Inputs!$B$11,0)</f>
        <v>0</v>
      </c>
      <c r="AS236" s="33" t="n">
        <f aca="false">IF(AND(Source_Data!AS$6&gt;=Inputs!$B$54,Source_Data!AS$6&lt;Inputs!$B$54+3*Inputs!$B$11),Inputs!$B$9*Inputs!$B$7/Inputs!$B$11,0)</f>
        <v>0</v>
      </c>
      <c r="AT236" s="33" t="n">
        <f aca="false">IF(AND(Source_Data!AT$6&gt;=Inputs!$B$54,Source_Data!AT$6&lt;Inputs!$B$54+3*Inputs!$B$11),Inputs!$B$9*Inputs!$B$7/Inputs!$B$11,0)</f>
        <v>0</v>
      </c>
      <c r="AU236" s="33" t="n">
        <f aca="false">IF(AND(Source_Data!AU$6&gt;=Inputs!$B$54,Source_Data!AU$6&lt;Inputs!$B$54+3*Inputs!$B$11),Inputs!$B$9*Inputs!$B$7/Inputs!$B$11,0)</f>
        <v>0</v>
      </c>
      <c r="AV236" s="33" t="n">
        <f aca="false">IF(AND(Source_Data!AV$6&gt;=Inputs!$B$54,Source_Data!AV$6&lt;Inputs!$B$54+3*Inputs!$B$11),Inputs!$B$9*Inputs!$B$7/Inputs!$B$11,0)</f>
        <v>0</v>
      </c>
      <c r="AW236" s="33" t="n">
        <f aca="false">IF(AND(Source_Data!AW$6&gt;=Inputs!$B$54,Source_Data!AW$6&lt;Inputs!$B$54+3*Inputs!$B$11),Inputs!$B$9*Inputs!$B$7/Inputs!$B$11,0)</f>
        <v>0</v>
      </c>
      <c r="AX236" s="33" t="n">
        <f aca="false">IF(AND(Source_Data!AX$6&gt;=Inputs!$B$54,Source_Data!AX$6&lt;Inputs!$B$54+3*Inputs!$B$11),Inputs!$B$9*Inputs!$B$7/Inputs!$B$11,0)</f>
        <v>0</v>
      </c>
      <c r="AY236" s="33" t="n">
        <f aca="false">IF(AND(Source_Data!AY$6&gt;=Inputs!$B$54,Source_Data!AY$6&lt;Inputs!$B$54+3*Inputs!$B$11),Inputs!$B$9*Inputs!$B$7/Inputs!$B$11,0)</f>
        <v>0</v>
      </c>
      <c r="AZ236" s="33" t="n">
        <f aca="false">IF(AND(Source_Data!AZ$6&gt;=Inputs!$B$54,Source_Data!AZ$6&lt;Inputs!$B$54+3*Inputs!$B$11),Inputs!$B$9*Inputs!$B$7/Inputs!$B$11,0)</f>
        <v>0</v>
      </c>
      <c r="BA236" s="33" t="n">
        <f aca="false">IF(AND(Source_Data!BA$6&gt;=Inputs!$B$54,Source_Data!BA$6&lt;Inputs!$B$54+3*Inputs!$B$11),Inputs!$B$9*Inputs!$B$7/Inputs!$B$11,0)</f>
        <v>0</v>
      </c>
      <c r="BB236" s="33" t="n">
        <f aca="false">IF(AND(Source_Data!BB$6&gt;=Inputs!$B$54,Source_Data!BB$6&lt;Inputs!$B$54+3*Inputs!$B$11),Inputs!$B$9*Inputs!$B$7/Inputs!$B$11,0)</f>
        <v>0</v>
      </c>
      <c r="BC236" s="33" t="n">
        <f aca="false">IF(AND(Source_Data!BC$6&gt;=Inputs!$B$54,Source_Data!BC$6&lt;Inputs!$B$54+3*Inputs!$B$11),Inputs!$B$9*Inputs!$B$7/Inputs!$B$11,0)</f>
        <v>0</v>
      </c>
      <c r="BD236" s="33" t="n">
        <f aca="false">IF(AND(Source_Data!BD$6&gt;=Inputs!$B$54,Source_Data!BD$6&lt;Inputs!$B$54+3*Inputs!$B$11),Inputs!$B$9*Inputs!$B$7/Inputs!$B$11,0)</f>
        <v>0</v>
      </c>
      <c r="BE236" s="33" t="n">
        <f aca="false">IF(AND(Source_Data!BE$6&gt;=Inputs!$B$54,Source_Data!BE$6&lt;Inputs!$B$54+3*Inputs!$B$11),Inputs!$B$9*Inputs!$B$7/Inputs!$B$11,0)</f>
        <v>0</v>
      </c>
      <c r="BF236" s="33" t="n">
        <f aca="false">IF(AND(Source_Data!BF$6&gt;=Inputs!$B$54,Source_Data!BF$6&lt;Inputs!$B$54+3*Inputs!$B$11),Inputs!$B$9*Inputs!$B$7/Inputs!$B$11,0)</f>
        <v>0</v>
      </c>
      <c r="BG236" s="33" t="n">
        <f aca="false">IF(AND(Source_Data!BG$6&gt;=Inputs!$B$54,Source_Data!BG$6&lt;Inputs!$B$54+3*Inputs!$B$11),Inputs!$B$9*Inputs!$B$7/Inputs!$B$11,0)</f>
        <v>0</v>
      </c>
      <c r="BH236" s="33" t="n">
        <f aca="false">IF(AND(Source_Data!BH$6&gt;=Inputs!$B$54,Source_Data!BH$6&lt;Inputs!$B$54+3*Inputs!$B$11),Inputs!$B$9*Inputs!$B$7/Inputs!$B$11,0)</f>
        <v>0</v>
      </c>
      <c r="BI236" s="33" t="n">
        <f aca="false">IF(AND(Source_Data!BI$6&gt;=Inputs!$B$54,Source_Data!BI$6&lt;Inputs!$B$54+3*Inputs!$B$11),Inputs!$B$9*Inputs!$B$7/Inputs!$B$11,0)</f>
        <v>0</v>
      </c>
      <c r="BJ236" s="33" t="n">
        <f aca="false">IF(AND(Source_Data!BJ$6&gt;=Inputs!$B$54,Source_Data!BJ$6&lt;Inputs!$B$54+3*Inputs!$B$11),Inputs!$B$9*Inputs!$B$7/Inputs!$B$11,0)</f>
        <v>0</v>
      </c>
      <c r="BK236" s="33" t="n">
        <f aca="false">IF(AND(Source_Data!BK$6&gt;=Inputs!$B$54,Source_Data!BK$6&lt;Inputs!$B$54+3*Inputs!$B$11),Inputs!$B$9*Inputs!$B$7/Inputs!$B$11,0)</f>
        <v>0</v>
      </c>
    </row>
    <row r="237" customFormat="false" ht="15" hidden="false" customHeight="false" outlineLevel="0" collapsed="false">
      <c r="A237" s="3" t="s">
        <v>342</v>
      </c>
      <c r="D237" s="33" t="n">
        <f aca="false">IF(Source_Data!D$6=Inputs!$B$12,-Inputs!$B$7,0)+D236</f>
        <v>-100</v>
      </c>
      <c r="E237" s="33" t="n">
        <f aca="false">IF(Source_Data!E$6=Inputs!$B$12,-Inputs!$B$7,0)+E236</f>
        <v>0</v>
      </c>
      <c r="F237" s="33" t="n">
        <f aca="false">IF(Source_Data!F$6=Inputs!$B$12,-Inputs!$B$7,0)+F236</f>
        <v>0</v>
      </c>
      <c r="G237" s="33" t="n">
        <f aca="false">IF(Source_Data!G$6=Inputs!$B$12,-Inputs!$B$7,0)+G236</f>
        <v>0</v>
      </c>
      <c r="H237" s="33" t="n">
        <f aca="false">IF(Source_Data!H$6=Inputs!$B$12,-Inputs!$B$7,0)+H236</f>
        <v>0</v>
      </c>
      <c r="I237" s="33" t="n">
        <f aca="false">IF(Source_Data!I$6=Inputs!$B$12,-Inputs!$B$7,0)+I236</f>
        <v>0</v>
      </c>
      <c r="J237" s="33" t="n">
        <f aca="false">IF(Source_Data!J$6=Inputs!$B$12,-Inputs!$B$7,0)+J236</f>
        <v>0</v>
      </c>
      <c r="K237" s="33" t="n">
        <f aca="false">IF(Source_Data!K$6=Inputs!$B$12,-Inputs!$B$7,0)+K236</f>
        <v>0</v>
      </c>
      <c r="L237" s="33" t="n">
        <f aca="false">IF(Source_Data!L$6=Inputs!$B$12,-Inputs!$B$7,0)+L236</f>
        <v>0</v>
      </c>
      <c r="M237" s="33" t="n">
        <f aca="false">IF(Source_Data!M$6=Inputs!$B$12,-Inputs!$B$7,0)+M236</f>
        <v>19.1666666666667</v>
      </c>
      <c r="N237" s="33" t="n">
        <f aca="false">IF(Source_Data!N$6=Inputs!$B$12,-Inputs!$B$7,0)+N236</f>
        <v>19.1666666666667</v>
      </c>
      <c r="O237" s="33" t="n">
        <f aca="false">IF(Source_Data!O$6=Inputs!$B$12,-Inputs!$B$7,0)+O236</f>
        <v>19.1666666666667</v>
      </c>
      <c r="P237" s="33" t="n">
        <f aca="false">IF(Source_Data!P$6=Inputs!$B$12,-Inputs!$B$7,0)+P236</f>
        <v>19.1666666666667</v>
      </c>
      <c r="Q237" s="33" t="n">
        <f aca="false">IF(Source_Data!Q$6=Inputs!$B$12,-Inputs!$B$7,0)+Q236</f>
        <v>19.1666666666667</v>
      </c>
      <c r="R237" s="33" t="n">
        <f aca="false">IF(Source_Data!R$6=Inputs!$B$12,-Inputs!$B$7,0)+R236</f>
        <v>19.1666666666667</v>
      </c>
      <c r="S237" s="33" t="n">
        <f aca="false">IF(Source_Data!S$6=Inputs!$B$12,-Inputs!$B$7,0)+S236</f>
        <v>19.1666666666667</v>
      </c>
      <c r="T237" s="33" t="n">
        <f aca="false">IF(Source_Data!T$6=Inputs!$B$12,-Inputs!$B$7,0)+T236</f>
        <v>19.1666666666667</v>
      </c>
      <c r="U237" s="33" t="n">
        <f aca="false">IF(Source_Data!U$6=Inputs!$B$12,-Inputs!$B$7,0)+U236</f>
        <v>19.1666666666667</v>
      </c>
      <c r="V237" s="33" t="n">
        <f aca="false">IF(Source_Data!V$6=Inputs!$B$12,-Inputs!$B$7,0)+V236</f>
        <v>19.1666666666667</v>
      </c>
      <c r="W237" s="33" t="n">
        <f aca="false">IF(Source_Data!W$6=Inputs!$B$12,-Inputs!$B$7,0)+W236</f>
        <v>19.1666666666667</v>
      </c>
      <c r="X237" s="33" t="n">
        <f aca="false">IF(Source_Data!X$6=Inputs!$B$12,-Inputs!$B$7,0)+X236</f>
        <v>19.1666666666667</v>
      </c>
      <c r="Y237" s="33" t="n">
        <f aca="false">IF(Source_Data!Y$6=Inputs!$B$12,-Inputs!$B$7,0)+Y236</f>
        <v>0</v>
      </c>
      <c r="Z237" s="33" t="n">
        <f aca="false">IF(Source_Data!Z$6=Inputs!$B$12,-Inputs!$B$7,0)+Z236</f>
        <v>0</v>
      </c>
      <c r="AA237" s="33" t="n">
        <f aca="false">IF(Source_Data!AA$6=Inputs!$B$12,-Inputs!$B$7,0)+AA236</f>
        <v>0</v>
      </c>
      <c r="AB237" s="33" t="n">
        <f aca="false">IF(Source_Data!AB$6=Inputs!$B$12,-Inputs!$B$7,0)+AB236</f>
        <v>0</v>
      </c>
      <c r="AC237" s="33" t="n">
        <f aca="false">IF(Source_Data!AC$6=Inputs!$B$12,-Inputs!$B$7,0)+AC236</f>
        <v>0</v>
      </c>
      <c r="AD237" s="33" t="n">
        <f aca="false">IF(Source_Data!AD$6=Inputs!$B$12,-Inputs!$B$7,0)+AD236</f>
        <v>0</v>
      </c>
      <c r="AE237" s="33" t="n">
        <f aca="false">IF(Source_Data!AE$6=Inputs!$B$12,-Inputs!$B$7,0)+AE236</f>
        <v>0</v>
      </c>
      <c r="AF237" s="33" t="n">
        <f aca="false">IF(Source_Data!AF$6=Inputs!$B$12,-Inputs!$B$7,0)+AF236</f>
        <v>0</v>
      </c>
      <c r="AG237" s="33" t="n">
        <f aca="false">IF(Source_Data!AG$6=Inputs!$B$12,-Inputs!$B$7,0)+AG236</f>
        <v>0</v>
      </c>
      <c r="AH237" s="33" t="n">
        <f aca="false">IF(Source_Data!AH$6=Inputs!$B$12,-Inputs!$B$7,0)+AH236</f>
        <v>0</v>
      </c>
      <c r="AI237" s="33" t="n">
        <f aca="false">IF(Source_Data!AI$6=Inputs!$B$12,-Inputs!$B$7,0)+AI236</f>
        <v>0</v>
      </c>
      <c r="AJ237" s="33" t="n">
        <f aca="false">IF(Source_Data!AJ$6=Inputs!$B$12,-Inputs!$B$7,0)+AJ236</f>
        <v>0</v>
      </c>
      <c r="AK237" s="33" t="n">
        <f aca="false">IF(Source_Data!AK$6=Inputs!$B$12,-Inputs!$B$7,0)+AK236</f>
        <v>0</v>
      </c>
      <c r="AL237" s="33" t="n">
        <f aca="false">IF(Source_Data!AL$6=Inputs!$B$12,-Inputs!$B$7,0)+AL236</f>
        <v>0</v>
      </c>
      <c r="AM237" s="33" t="n">
        <f aca="false">IF(Source_Data!AM$6=Inputs!$B$12,-Inputs!$B$7,0)+AM236</f>
        <v>0</v>
      </c>
      <c r="AN237" s="33" t="n">
        <f aca="false">IF(Source_Data!AN$6=Inputs!$B$12,-Inputs!$B$7,0)+AN236</f>
        <v>0</v>
      </c>
      <c r="AO237" s="33" t="n">
        <f aca="false">IF(Source_Data!AO$6=Inputs!$B$12,-Inputs!$B$7,0)+AO236</f>
        <v>0</v>
      </c>
      <c r="AP237" s="33" t="n">
        <f aca="false">IF(Source_Data!AP$6=Inputs!$B$12,-Inputs!$B$7,0)+AP236</f>
        <v>0</v>
      </c>
      <c r="AQ237" s="33" t="n">
        <f aca="false">IF(Source_Data!AQ$6=Inputs!$B$12,-Inputs!$B$7,0)+AQ236</f>
        <v>0</v>
      </c>
      <c r="AR237" s="33" t="n">
        <f aca="false">IF(Source_Data!AR$6=Inputs!$B$12,-Inputs!$B$7,0)+AR236</f>
        <v>0</v>
      </c>
      <c r="AS237" s="33" t="n">
        <f aca="false">IF(Source_Data!AS$6=Inputs!$B$12,-Inputs!$B$7,0)+AS236</f>
        <v>0</v>
      </c>
      <c r="AT237" s="33" t="n">
        <f aca="false">IF(Source_Data!AT$6=Inputs!$B$12,-Inputs!$B$7,0)+AT236</f>
        <v>0</v>
      </c>
      <c r="AU237" s="33" t="n">
        <f aca="false">IF(Source_Data!AU$6=Inputs!$B$12,-Inputs!$B$7,0)+AU236</f>
        <v>0</v>
      </c>
      <c r="AV237" s="33" t="n">
        <f aca="false">IF(Source_Data!AV$6=Inputs!$B$12,-Inputs!$B$7,0)+AV236</f>
        <v>0</v>
      </c>
      <c r="AW237" s="33" t="n">
        <f aca="false">IF(Source_Data!AW$6=Inputs!$B$12,-Inputs!$B$7,0)+AW236</f>
        <v>0</v>
      </c>
      <c r="AX237" s="33" t="n">
        <f aca="false">IF(Source_Data!AX$6=Inputs!$B$12,-Inputs!$B$7,0)+AX236</f>
        <v>0</v>
      </c>
      <c r="AY237" s="33" t="n">
        <f aca="false">IF(Source_Data!AY$6=Inputs!$B$12,-Inputs!$B$7,0)+AY236</f>
        <v>0</v>
      </c>
      <c r="AZ237" s="33" t="n">
        <f aca="false">IF(Source_Data!AZ$6=Inputs!$B$12,-Inputs!$B$7,0)+AZ236</f>
        <v>0</v>
      </c>
      <c r="BA237" s="33" t="n">
        <f aca="false">IF(Source_Data!BA$6=Inputs!$B$12,-Inputs!$B$7,0)+BA236</f>
        <v>0</v>
      </c>
      <c r="BB237" s="33" t="n">
        <f aca="false">IF(Source_Data!BB$6=Inputs!$B$12,-Inputs!$B$7,0)+BB236</f>
        <v>0</v>
      </c>
      <c r="BC237" s="33" t="n">
        <f aca="false">IF(Source_Data!BC$6=Inputs!$B$12,-Inputs!$B$7,0)+BC236</f>
        <v>0</v>
      </c>
      <c r="BD237" s="33" t="n">
        <f aca="false">IF(Source_Data!BD$6=Inputs!$B$12,-Inputs!$B$7,0)+BD236</f>
        <v>0</v>
      </c>
      <c r="BE237" s="33" t="n">
        <f aca="false">IF(Source_Data!BE$6=Inputs!$B$12,-Inputs!$B$7,0)+BE236</f>
        <v>0</v>
      </c>
      <c r="BF237" s="33" t="n">
        <f aca="false">IF(Source_Data!BF$6=Inputs!$B$12,-Inputs!$B$7,0)+BF236</f>
        <v>0</v>
      </c>
      <c r="BG237" s="33" t="n">
        <f aca="false">IF(Source_Data!BG$6=Inputs!$B$12,-Inputs!$B$7,0)+BG236</f>
        <v>0</v>
      </c>
      <c r="BH237" s="33" t="n">
        <f aca="false">IF(Source_Data!BH$6=Inputs!$B$12,-Inputs!$B$7,0)+BH236</f>
        <v>0</v>
      </c>
      <c r="BI237" s="33" t="n">
        <f aca="false">IF(Source_Data!BI$6=Inputs!$B$12,-Inputs!$B$7,0)+BI236</f>
        <v>0</v>
      </c>
      <c r="BJ237" s="33" t="n">
        <f aca="false">IF(Source_Data!BJ$6=Inputs!$B$12,-Inputs!$B$7,0)+BJ236</f>
        <v>0</v>
      </c>
      <c r="BK237" s="33" t="n">
        <f aca="false">IF(Source_Data!BK$6=Inputs!$B$12,-Inputs!$B$7,0)+BK236</f>
        <v>0</v>
      </c>
    </row>
    <row r="238" customFormat="false" ht="15" hidden="false" customHeight="false" outlineLevel="0" collapsed="false">
      <c r="A238" s="3" t="s">
        <v>343</v>
      </c>
      <c r="D238" s="33" t="n">
        <f aca="false">IF(Source_Data!D$6=Inputs!$B$12,Inputs!$B$7,0)+D233-D236</f>
        <v>8.75</v>
      </c>
      <c r="E238" s="33" t="n">
        <f aca="false">D238+IF(Source_Data!E$6=Inputs!$B$12,Inputs!$B$7,0)+E233-E236</f>
        <v>-2.5</v>
      </c>
      <c r="F238" s="33" t="n">
        <f aca="false">E238+IF(Source_Data!F$6=Inputs!$B$12,Inputs!$B$7,0)+F233-F236</f>
        <v>-13.75</v>
      </c>
      <c r="G238" s="33" t="n">
        <f aca="false">F238+IF(Source_Data!G$6=Inputs!$B$12,Inputs!$B$7,0)+G233-G236</f>
        <v>-25</v>
      </c>
      <c r="H238" s="33" t="n">
        <f aca="false">G238+IF(Source_Data!H$6=Inputs!$B$12,Inputs!$B$7,0)+H233-H236</f>
        <v>-70.5</v>
      </c>
      <c r="I238" s="33" t="n">
        <f aca="false">H238+IF(Source_Data!I$6=Inputs!$B$12,Inputs!$B$7,0)+I233-I236</f>
        <v>-123.36</v>
      </c>
      <c r="J238" s="33" t="n">
        <f aca="false">I238+IF(Source_Data!J$6=Inputs!$B$12,Inputs!$B$7,0)+J233-J236</f>
        <v>-178.23468625</v>
      </c>
      <c r="K238" s="33" t="n">
        <f aca="false">J238+IF(Source_Data!K$6=Inputs!$B$12,Inputs!$B$7,0)+K233-K236</f>
        <v>-203.84405875</v>
      </c>
      <c r="L238" s="33" t="n">
        <f aca="false">K238+IF(Source_Data!L$6=Inputs!$B$12,Inputs!$B$7,0)+L233-L236</f>
        <v>-226.093253125</v>
      </c>
      <c r="M238" s="33" t="n">
        <f aca="false">L238+IF(Source_Data!M$6=Inputs!$B$12,Inputs!$B$7,0)+M233-M236</f>
        <v>-252.898936041667</v>
      </c>
      <c r="N238" s="33" t="n">
        <f aca="false">M238+IF(Source_Data!N$6=Inputs!$B$12,Inputs!$B$7,0)+N233-N236</f>
        <v>-266.658723708333</v>
      </c>
      <c r="O238" s="33" t="n">
        <f aca="false">N238+IF(Source_Data!O$6=Inputs!$B$12,Inputs!$B$7,0)+O233-O236</f>
        <v>-279.4214379375</v>
      </c>
      <c r="P238" s="33" t="n">
        <f aca="false">O238+IF(Source_Data!P$6=Inputs!$B$12,Inputs!$B$7,0)+P233-P236</f>
        <v>-417.861275010417</v>
      </c>
      <c r="Q238" s="33" t="n">
        <f aca="false">P238+IF(Source_Data!Q$6=Inputs!$B$12,Inputs!$B$7,0)+Q233-Q236</f>
        <v>-535.857036927083</v>
      </c>
      <c r="R238" s="33" t="n">
        <f aca="false">Q238+IF(Source_Data!R$6=Inputs!$B$12,Inputs!$B$7,0)+R233-R236</f>
        <v>-679.98583759375</v>
      </c>
      <c r="S238" s="33" t="n">
        <f aca="false">R238+IF(Source_Data!S$6=Inputs!$B$12,Inputs!$B$7,0)+S233-S236</f>
        <v>-763.553138260417</v>
      </c>
      <c r="T238" s="33" t="n">
        <f aca="false">S238+IF(Source_Data!T$6=Inputs!$B$12,Inputs!$B$7,0)+T233-T236</f>
        <v>-747.068365927083</v>
      </c>
      <c r="U238" s="33" t="n">
        <f aca="false">T238+IF(Source_Data!U$6=Inputs!$B$12,Inputs!$B$7,0)+U233-U236</f>
        <v>-755.39078071875</v>
      </c>
      <c r="V238" s="33" t="n">
        <f aca="false">U238+IF(Source_Data!V$6=Inputs!$B$12,Inputs!$B$7,0)+V233-V236</f>
        <v>-763.713195510416</v>
      </c>
      <c r="W238" s="33" t="n">
        <f aca="false">V238+IF(Source_Data!W$6=Inputs!$B$12,Inputs!$B$7,0)+W233-W236</f>
        <v>-330.115570114583</v>
      </c>
      <c r="X238" s="33" t="n">
        <f aca="false">W238+IF(Source_Data!X$6=Inputs!$B$12,Inputs!$B$7,0)+X233-X236</f>
        <v>-316.6782610625</v>
      </c>
      <c r="Y238" s="33" t="n">
        <f aca="false">X238+IF(Source_Data!Y$6=Inputs!$B$12,Inputs!$B$7,0)+Y233-Y236</f>
        <v>-285.43681671875</v>
      </c>
      <c r="Z238" s="33" t="n">
        <f aca="false">Y238+IF(Source_Data!Z$6=Inputs!$B$12,Inputs!$B$7,0)+Z233-Z236</f>
        <v>-259.5852665</v>
      </c>
      <c r="AA238" s="33" t="n">
        <f aca="false">Z238+IF(Source_Data!AA$6=Inputs!$B$12,Inputs!$B$7,0)+AA233-AA236</f>
        <v>-237.64061628125</v>
      </c>
      <c r="AB238" s="33" t="n">
        <f aca="false">AA238+IF(Source_Data!AB$6=Inputs!$B$12,Inputs!$B$7,0)+AB233-AB236</f>
        <v>-193.1959660625</v>
      </c>
      <c r="AC238" s="33" t="n">
        <f aca="false">AB238+IF(Source_Data!AC$6=Inputs!$B$12,Inputs!$B$7,0)+AC233-AC236</f>
        <v>-155.30351271875</v>
      </c>
      <c r="AD238" s="33" t="n">
        <f aca="false">AC238+IF(Source_Data!AD$6=Inputs!$B$12,Inputs!$B$7,0)+AD233-AD236</f>
        <v>-117.411059375</v>
      </c>
      <c r="AE238" s="33" t="n">
        <f aca="false">AD238+IF(Source_Data!AE$6=Inputs!$B$12,Inputs!$B$7,0)+AE233-AE236</f>
        <v>-79.5186060312498</v>
      </c>
      <c r="AF238" s="33" t="n">
        <f aca="false">AE238+IF(Source_Data!AF$6=Inputs!$B$12,Inputs!$B$7,0)+AF233-AF236</f>
        <v>-97.3898274453601</v>
      </c>
      <c r="AG238" s="33" t="n">
        <f aca="false">AF238+IF(Source_Data!AG$6=Inputs!$B$12,Inputs!$B$7,0)+AG233-AG236</f>
        <v>-72.8046639958143</v>
      </c>
      <c r="AH238" s="33" t="n">
        <f aca="false">AG238+IF(Source_Data!AH$6=Inputs!$B$12,Inputs!$B$7,0)+AH233-AH236</f>
        <v>-51.4671111712684</v>
      </c>
      <c r="AI238" s="33" t="n">
        <f aca="false">AH238+IF(Source_Data!AI$6=Inputs!$B$12,Inputs!$B$7,0)+AI233-AI236</f>
        <v>-34.0364583467226</v>
      </c>
      <c r="AJ238" s="33" t="n">
        <f aca="false">AI238+IF(Source_Data!AJ$6=Inputs!$B$12,Inputs!$B$7,0)+AJ233-AJ236</f>
        <v>-16.6058055221768</v>
      </c>
      <c r="AK238" s="33" t="n">
        <f aca="false">AJ238+IF(Source_Data!AK$6=Inputs!$B$12,Inputs!$B$7,0)+AK233-AK236</f>
        <v>1.27313102887029</v>
      </c>
      <c r="AL238" s="33" t="n">
        <f aca="false">AK238+IF(Source_Data!AL$6=Inputs!$B$12,Inputs!$B$7,0)+AL233-AL236</f>
        <v>19.1520675799174</v>
      </c>
      <c r="AM238" s="33" t="n">
        <f aca="false">AL238+IF(Source_Data!AM$6=Inputs!$B$12,Inputs!$B$7,0)+AM233-AM236</f>
        <v>37.8859916441175</v>
      </c>
      <c r="AN238" s="33" t="n">
        <f aca="false">AM238+IF(Source_Data!AN$6=Inputs!$B$12,Inputs!$B$7,0)+AN233-AN236</f>
        <v>58.4904561273456</v>
      </c>
      <c r="AO238" s="33" t="n">
        <f aca="false">AN238+IF(Source_Data!AO$6=Inputs!$B$12,Inputs!$B$7,0)+AO233-AO236</f>
        <v>78.3722047500002</v>
      </c>
      <c r="AP238" s="33" t="n">
        <f aca="false">AO238+IF(Source_Data!AP$6=Inputs!$B$12,Inputs!$B$7,0)+AP233-AP236</f>
        <v>98.9867998125002</v>
      </c>
      <c r="AQ238" s="33" t="n">
        <f aca="false">AP238+IF(Source_Data!AQ$6=Inputs!$B$12,Inputs!$B$7,0)+AQ233-AQ236</f>
        <v>115.85239875</v>
      </c>
      <c r="AR238" s="33" t="n">
        <f aca="false">AQ238+IF(Source_Data!AR$6=Inputs!$B$12,Inputs!$B$7,0)+AR233-AR236</f>
        <v>124.5159495</v>
      </c>
      <c r="AS238" s="33" t="n">
        <f aca="false">AR238+IF(Source_Data!AS$6=Inputs!$B$12,Inputs!$B$7,0)+AS233-AS236</f>
        <v>127.72937475</v>
      </c>
      <c r="AT238" s="33" t="n">
        <f aca="false">AS238+IF(Source_Data!AT$6=Inputs!$B$12,Inputs!$B$7,0)+AT233-AT236</f>
        <v>127.72937475</v>
      </c>
      <c r="AU238" s="33" t="n">
        <f aca="false">AT238+IF(Source_Data!AU$6=Inputs!$B$12,Inputs!$B$7,0)+AU233-AU236</f>
        <v>127.72937475</v>
      </c>
      <c r="AV238" s="33" t="n">
        <f aca="false">AU238+IF(Source_Data!AV$6=Inputs!$B$12,Inputs!$B$7,0)+AV233-AV236</f>
        <v>127.72937475</v>
      </c>
      <c r="AW238" s="33" t="n">
        <f aca="false">AV238+IF(Source_Data!AW$6=Inputs!$B$12,Inputs!$B$7,0)+AW233-AW236</f>
        <v>127.72937475</v>
      </c>
      <c r="AX238" s="33" t="n">
        <f aca="false">AW238+IF(Source_Data!AX$6=Inputs!$B$12,Inputs!$B$7,0)+AX233-AX236</f>
        <v>127.72937475</v>
      </c>
      <c r="AY238" s="33" t="n">
        <f aca="false">AX238+IF(Source_Data!AY$6=Inputs!$B$12,Inputs!$B$7,0)+AY233-AY236</f>
        <v>127.72937475</v>
      </c>
      <c r="AZ238" s="33" t="n">
        <f aca="false">AY238+IF(Source_Data!AZ$6=Inputs!$B$12,Inputs!$B$7,0)+AZ233-AZ236</f>
        <v>127.72937475</v>
      </c>
      <c r="BA238" s="33" t="n">
        <f aca="false">AZ238+IF(Source_Data!BA$6=Inputs!$B$12,Inputs!$B$7,0)+BA233-BA236</f>
        <v>127.72937475</v>
      </c>
      <c r="BB238" s="33" t="n">
        <f aca="false">BA238+IF(Source_Data!BB$6=Inputs!$B$12,Inputs!$B$7,0)+BB233-BB236</f>
        <v>127.72937475</v>
      </c>
      <c r="BC238" s="33" t="n">
        <f aca="false">BB238+IF(Source_Data!BC$6=Inputs!$B$12,Inputs!$B$7,0)+BC233-BC236</f>
        <v>127.72937475</v>
      </c>
      <c r="BD238" s="33" t="n">
        <f aca="false">BC238+IF(Source_Data!BD$6=Inputs!$B$12,Inputs!$B$7,0)+BD233-BD236</f>
        <v>127.72937475</v>
      </c>
      <c r="BE238" s="33" t="n">
        <f aca="false">BD238+IF(Source_Data!BE$6=Inputs!$B$12,Inputs!$B$7,0)+BE233-BE236</f>
        <v>127.72937475</v>
      </c>
      <c r="BF238" s="33" t="n">
        <f aca="false">BE238+IF(Source_Data!BF$6=Inputs!$B$12,Inputs!$B$7,0)+BF233-BF236</f>
        <v>127.72937475</v>
      </c>
      <c r="BG238" s="33" t="n">
        <f aca="false">BF238+IF(Source_Data!BG$6=Inputs!$B$12,Inputs!$B$7,0)+BG233-BG236</f>
        <v>127.72937475</v>
      </c>
      <c r="BH238" s="33" t="n">
        <f aca="false">BG238+IF(Source_Data!BH$6=Inputs!$B$12,Inputs!$B$7,0)+BH233-BH236</f>
        <v>127.72937475</v>
      </c>
      <c r="BI238" s="33" t="n">
        <f aca="false">BH238+IF(Source_Data!BI$6=Inputs!$B$12,Inputs!$B$7,0)+BI233-BI236</f>
        <v>127.72937475</v>
      </c>
      <c r="BJ238" s="33" t="n">
        <f aca="false">BI238+IF(Source_Data!BJ$6=Inputs!$B$12,Inputs!$B$7,0)+BJ233-BJ236</f>
        <v>127.72937475</v>
      </c>
      <c r="BK238" s="33" t="n">
        <f aca="false">BJ238+IF(Source_Data!BK$6=Inputs!$B$12,Inputs!$B$7,0)+BK233-BK236</f>
        <v>127.72937475</v>
      </c>
    </row>
    <row r="239" customFormat="false" ht="15" hidden="false" customHeight="false" outlineLevel="0" collapsed="false">
      <c r="A239" s="3" t="s">
        <v>344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n">
        <f aca="false">IF(M236&gt;0,M233/M236,"")</f>
        <v>-0.398557369565217</v>
      </c>
      <c r="N239" s="31" t="n">
        <f aca="false">IF(N236&gt;0,N233/N236,"")</f>
        <v>0.282098034782609</v>
      </c>
      <c r="O239" s="31" t="n">
        <f aca="false">IF(O236&gt;0,O233/O236,"")</f>
        <v>0.334119257608696</v>
      </c>
      <c r="P239" s="31" t="n">
        <f aca="false">IF(P236&gt;0,P233/P236,"")</f>
        <v>-6.22294802119565</v>
      </c>
      <c r="Q239" s="31" t="n">
        <f aca="false">IF(Q236&gt;0,Q233/Q236,"")</f>
        <v>-5.15630062173913</v>
      </c>
      <c r="R239" s="31" t="n">
        <f aca="false">IF(R236&gt;0,R233/R236,"")</f>
        <v>-6.51976351304348</v>
      </c>
      <c r="S239" s="31" t="n">
        <f aca="false">IF(S236&gt;0,S233/S236,"")</f>
        <v>-3.36003307826087</v>
      </c>
      <c r="T239" s="31" t="n">
        <f aca="false">IF(T236&gt;0,T233/T236,"")</f>
        <v>1.86007507826087</v>
      </c>
      <c r="U239" s="31" t="n">
        <f aca="false">IF(U236&gt;0,U233/U236,"")</f>
        <v>0.565787054347826</v>
      </c>
      <c r="V239" s="31" t="n">
        <f aca="false">IF(V236&gt;0,V233/V236,"")</f>
        <v>0.565787054347826</v>
      </c>
      <c r="W239" s="31" t="n">
        <f aca="false">IF(W236&gt;0,W233/W236,"")</f>
        <v>23.6224848032609</v>
      </c>
      <c r="X239" s="31" t="n">
        <f aca="false">IF(X236&gt;0,X233/X236,"")</f>
        <v>1.70107699402174</v>
      </c>
      <c r="Y239" s="31" t="str">
        <f aca="false">IF(Y236&gt;0,Y233/Y236,"")</f>
        <v/>
      </c>
      <c r="Z239" s="31" t="str">
        <f aca="false">IF(Z236&gt;0,Z233/Z236,"")</f>
        <v/>
      </c>
      <c r="AA239" s="31" t="str">
        <f aca="false">IF(AA236&gt;0,AA233/AA236,"")</f>
        <v/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345</v>
      </c>
      <c r="D240" s="31" t="str">
        <f aca="false">IF(D236&gt;0,(0+D233+IF(Source_Data!D$6=Inputs!$B$12,Inputs!$B$7,0))/D236,"")</f>
        <v/>
      </c>
      <c r="E240" s="31" t="str">
        <f aca="false">IF(E236&gt;0,(D238+E233+IF(Source_Data!E$6=Inputs!$B$12,Inputs!$B$7,0))/E236,"")</f>
        <v/>
      </c>
      <c r="F240" s="31" t="str">
        <f aca="false">IF(F236&gt;0,(E238+F233+IF(Source_Data!F$6=Inputs!$B$12,Inputs!$B$7,0))/F236,"")</f>
        <v/>
      </c>
      <c r="G240" s="31" t="str">
        <f aca="false">IF(G236&gt;0,(F238+G233+IF(Source_Data!G$6=Inputs!$B$12,Inputs!$B$7,0))/G236,"")</f>
        <v/>
      </c>
      <c r="H240" s="31" t="str">
        <f aca="false">IF(H236&gt;0,(G238+H233+IF(Source_Data!H$6=Inputs!$B$12,Inputs!$B$7,0))/H236,"")</f>
        <v/>
      </c>
      <c r="I240" s="31" t="str">
        <f aca="false">IF(I236&gt;0,(H238+I233+IF(Source_Data!I$6=Inputs!$B$12,Inputs!$B$7,0))/I236,"")</f>
        <v/>
      </c>
      <c r="J240" s="31" t="str">
        <f aca="false">IF(J236&gt;0,(I238+J233+IF(Source_Data!J$6=Inputs!$B$12,Inputs!$B$7,0))/J236,"")</f>
        <v/>
      </c>
      <c r="K240" s="31" t="str">
        <f aca="false">IF(K236&gt;0,(J238+K233+IF(Source_Data!K$6=Inputs!$B$12,Inputs!$B$7,0))/K236,"")</f>
        <v/>
      </c>
      <c r="L240" s="31" t="str">
        <f aca="false">IF(L236&gt;0,(K238+L233+IF(Source_Data!L$6=Inputs!$B$12,Inputs!$B$7,0))/L236,"")</f>
        <v/>
      </c>
      <c r="M240" s="31" t="n">
        <f aca="false">IF(M236&gt;0,(L238+M233+IF(Source_Data!M$6=Inputs!$B$12,Inputs!$B$7,0))/M236,"")</f>
        <v>-12.1947270978261</v>
      </c>
      <c r="N240" s="31" t="n">
        <f aca="false">IF(N236&gt;0,(M238+N233+IF(Source_Data!N$6=Inputs!$B$12,Inputs!$B$7,0))/N236,"")</f>
        <v>-12.9126290630435</v>
      </c>
      <c r="O240" s="31" t="n">
        <f aca="false">IF(O236&gt;0,(N238+O233+IF(Source_Data!O$6=Inputs!$B$12,Inputs!$B$7,0))/O236,"")</f>
        <v>-13.5785098054348</v>
      </c>
      <c r="P240" s="31" t="n">
        <f aca="false">IF(P236&gt;0,(O238+P233+IF(Source_Data!P$6=Inputs!$B$12,Inputs!$B$7,0))/P236,"")</f>
        <v>-20.8014578266304</v>
      </c>
      <c r="Q240" s="31" t="n">
        <f aca="false">IF(Q236&gt;0,(P238+Q233+IF(Source_Data!Q$6=Inputs!$B$12,Inputs!$B$7,0))/Q236,"")</f>
        <v>-26.9577584483696</v>
      </c>
      <c r="R240" s="31" t="n">
        <f aca="false">IF(R236&gt;0,(Q238+R233+IF(Source_Data!R$6=Inputs!$B$12,Inputs!$B$7,0))/R236,"")</f>
        <v>-34.477521961413</v>
      </c>
      <c r="S240" s="31" t="n">
        <f aca="false">IF(S236&gt;0,(R238+S233+IF(Source_Data!S$6=Inputs!$B$12,Inputs!$B$7,0))/S236,"")</f>
        <v>-38.8375550396739</v>
      </c>
      <c r="T240" s="31" t="n">
        <f aca="false">IF(T236&gt;0,(S238+T233+IF(Source_Data!T$6=Inputs!$B$12,Inputs!$B$7,0))/T236,"")</f>
        <v>-37.977479961413</v>
      </c>
      <c r="U240" s="31" t="n">
        <f aca="false">IF(U236&gt;0,(T238+U233+IF(Source_Data!U$6=Inputs!$B$12,Inputs!$B$7,0))/U236,"")</f>
        <v>-38.4116929070652</v>
      </c>
      <c r="V240" s="31" t="n">
        <f aca="false">IF(V236&gt;0,(U238+V233+IF(Source_Data!V$6=Inputs!$B$12,Inputs!$B$7,0))/V236,"")</f>
        <v>-38.8459058527174</v>
      </c>
      <c r="W240" s="31" t="n">
        <f aca="false">IF(W236&gt;0,(V238+W233+IF(Source_Data!W$6=Inputs!$B$12,Inputs!$B$7,0))/W236,"")</f>
        <v>-16.2234210494565</v>
      </c>
      <c r="X240" s="31" t="n">
        <f aca="false">IF(X236&gt;0,(W238+X233+IF(Source_Data!X$6=Inputs!$B$12,Inputs!$B$7,0))/X236,"")</f>
        <v>-15.5223440554348</v>
      </c>
      <c r="Y240" s="31" t="str">
        <f aca="false">IF(Y236&gt;0,(X238+Y233+IF(Source_Data!Y$6=Inputs!$B$12,Inputs!$B$7,0))/Y236,"")</f>
        <v/>
      </c>
      <c r="Z240" s="31" t="str">
        <f aca="false">IF(Z236&gt;0,(Y238+Z233+IF(Source_Data!Z$6=Inputs!$B$12,Inputs!$B$7,0))/Z236,"")</f>
        <v/>
      </c>
      <c r="AA240" s="31" t="str">
        <f aca="false">IF(AA236&gt;0,(Z238+AA233+IF(Source_Data!AA$6=Inputs!$B$12,Inputs!$B$7,0))/AA236,"")</f>
        <v/>
      </c>
      <c r="AB240" s="31" t="str">
        <f aca="false">IF(AB236&gt;0,(AA238+AB233+IF(Source_Data!AB$6=Inputs!$B$12,Inputs!$B$7,0))/AB236,"")</f>
        <v/>
      </c>
      <c r="AC240" s="31" t="str">
        <f aca="false">IF(AC236&gt;0,(AB238+AC233+IF(Source_Data!AC$6=Inputs!$B$12,Inputs!$B$7,0))/AC236,"")</f>
        <v/>
      </c>
      <c r="AD240" s="31" t="str">
        <f aca="false">IF(AD236&gt;0,(AC238+AD233+IF(Source_Data!AD$6=Inputs!$B$12,Inputs!$B$7,0))/AD236,"")</f>
        <v/>
      </c>
      <c r="AE240" s="31" t="str">
        <f aca="false">IF(AE236&gt;0,(AD238+AE233+IF(Source_Data!AE$6=Inputs!$B$12,Inputs!$B$7,0))/AE236,"")</f>
        <v/>
      </c>
      <c r="AF240" s="31" t="str">
        <f aca="false">IF(AF236&gt;0,(AE238+AF233+IF(Source_Data!AF$6=Inputs!$B$12,Inputs!$B$7,0))/AF236,"")</f>
        <v/>
      </c>
      <c r="AG240" s="31" t="str">
        <f aca="false">IF(AG236&gt;0,(AF238+AG233+IF(Source_Data!AG$6=Inputs!$B$12,Inputs!$B$7,0))/AG236,"")</f>
        <v/>
      </c>
      <c r="AH240" s="31" t="str">
        <f aca="false">IF(AH236&gt;0,(AG238+AH233+IF(Source_Data!AH$6=Inputs!$B$12,Inputs!$B$7,0))/AH236,"")</f>
        <v/>
      </c>
      <c r="AI240" s="31" t="str">
        <f aca="false">IF(AI236&gt;0,(AH238+AI233+IF(Source_Data!AI$6=Inputs!$B$12,Inputs!$B$7,0))/AI236,"")</f>
        <v/>
      </c>
      <c r="AJ240" s="31" t="str">
        <f aca="false">IF(AJ236&gt;0,(AI238+AJ233+IF(Source_Data!AJ$6=Inputs!$B$12,Inputs!$B$7,0))/AJ236,"")</f>
        <v/>
      </c>
      <c r="AK240" s="31" t="str">
        <f aca="false">IF(AK236&gt;0,(AJ238+AK233+IF(Source_Data!AK$6=Inputs!$B$12,Inputs!$B$7,0))/AK236,"")</f>
        <v/>
      </c>
      <c r="AL240" s="31" t="str">
        <f aca="false">IF(AL236&gt;0,(AK238+AL233+IF(Source_Data!AL$6=Inputs!$B$12,Inputs!$B$7,0))/AL236,"")</f>
        <v/>
      </c>
      <c r="AM240" s="31" t="str">
        <f aca="false">IF(AM236&gt;0,(AL238+AM233+IF(Source_Data!AM$6=Inputs!$B$12,Inputs!$B$7,0))/AM236,"")</f>
        <v/>
      </c>
      <c r="AN240" s="31" t="str">
        <f aca="false">IF(AN236&gt;0,(AM238+AN233+IF(Source_Data!AN$6=Inputs!$B$12,Inputs!$B$7,0))/AN236,"")</f>
        <v/>
      </c>
      <c r="AO240" s="31" t="str">
        <f aca="false">IF(AO236&gt;0,(AN238+AO233+IF(Source_Data!AO$6=Inputs!$B$12,Inputs!$B$7,0))/AO236,"")</f>
        <v/>
      </c>
      <c r="AP240" s="31" t="str">
        <f aca="false">IF(AP236&gt;0,(AO238+AP233+IF(Source_Data!AP$6=Inputs!$B$12,Inputs!$B$7,0))/AP236,"")</f>
        <v/>
      </c>
      <c r="AQ240" s="31" t="str">
        <f aca="false">IF(AQ236&gt;0,(AP238+AQ233+IF(Source_Data!AQ$6=Inputs!$B$12,Inputs!$B$7,0))/AQ236,"")</f>
        <v/>
      </c>
      <c r="AR240" s="31" t="str">
        <f aca="false">IF(AR236&gt;0,(AQ238+AR233+IF(Source_Data!AR$6=Inputs!$B$12,Inputs!$B$7,0))/AR236,"")</f>
        <v/>
      </c>
      <c r="AS240" s="31" t="str">
        <f aca="false">IF(AS236&gt;0,(AR238+AS233+IF(Source_Data!AS$6=Inputs!$B$12,Inputs!$B$7,0))/AS236,"")</f>
        <v/>
      </c>
      <c r="AT240" s="31" t="str">
        <f aca="false">IF(AT236&gt;0,(AS238+AT233+IF(Source_Data!AT$6=Inputs!$B$12,Inputs!$B$7,0))/AT236,"")</f>
        <v/>
      </c>
      <c r="AU240" s="31" t="str">
        <f aca="false">IF(AU236&gt;0,(AT238+AU233+IF(Source_Data!AU$6=Inputs!$B$12,Inputs!$B$7,0))/AU236,"")</f>
        <v/>
      </c>
      <c r="AV240" s="31" t="str">
        <f aca="false">IF(AV236&gt;0,(AU238+AV233+IF(Source_Data!AV$6=Inputs!$B$12,Inputs!$B$7,0))/AV236,"")</f>
        <v/>
      </c>
      <c r="AW240" s="31" t="str">
        <f aca="false">IF(AW236&gt;0,(AV238+AW233+IF(Source_Data!AW$6=Inputs!$B$12,Inputs!$B$7,0))/AW236,"")</f>
        <v/>
      </c>
      <c r="AX240" s="31" t="str">
        <f aca="false">IF(AX236&gt;0,(AW238+AX233+IF(Source_Data!AX$6=Inputs!$B$12,Inputs!$B$7,0))/AX236,"")</f>
        <v/>
      </c>
      <c r="AY240" s="31" t="str">
        <f aca="false">IF(AY236&gt;0,(AX238+AY233+IF(Source_Data!AY$6=Inputs!$B$12,Inputs!$B$7,0))/AY236,"")</f>
        <v/>
      </c>
      <c r="AZ240" s="31" t="str">
        <f aca="false">IF(AZ236&gt;0,(AY238+AZ233+IF(Source_Data!AZ$6=Inputs!$B$12,Inputs!$B$7,0))/AZ236,"")</f>
        <v/>
      </c>
      <c r="BA240" s="31" t="str">
        <f aca="false">IF(BA236&gt;0,(AZ238+BA233+IF(Source_Data!BA$6=Inputs!$B$12,Inputs!$B$7,0))/BA236,"")</f>
        <v/>
      </c>
      <c r="BB240" s="31" t="str">
        <f aca="false">IF(BB236&gt;0,(BA238+BB233+IF(Source_Data!BB$6=Inputs!$B$12,Inputs!$B$7,0))/BB236,"")</f>
        <v/>
      </c>
      <c r="BC240" s="31" t="str">
        <f aca="false">IF(BC236&gt;0,(BB238+BC233+IF(Source_Data!BC$6=Inputs!$B$12,Inputs!$B$7,0))/BC236,"")</f>
        <v/>
      </c>
      <c r="BD240" s="31" t="str">
        <f aca="false">IF(BD236&gt;0,(BC238+BD233+IF(Source_Data!BD$6=Inputs!$B$12,Inputs!$B$7,0))/BD236,"")</f>
        <v/>
      </c>
      <c r="BE240" s="31" t="str">
        <f aca="false">IF(BE236&gt;0,(BD238+BE233+IF(Source_Data!BE$6=Inputs!$B$12,Inputs!$B$7,0))/BE236,"")</f>
        <v/>
      </c>
      <c r="BF240" s="31" t="str">
        <f aca="false">IF(BF236&gt;0,(BE238+BF233+IF(Source_Data!BF$6=Inputs!$B$12,Inputs!$B$7,0))/BF236,"")</f>
        <v/>
      </c>
      <c r="BG240" s="31" t="str">
        <f aca="false">IF(BG236&gt;0,(BF238+BG233+IF(Source_Data!BG$6=Inputs!$B$12,Inputs!$B$7,0))/BG236,"")</f>
        <v/>
      </c>
      <c r="BH240" s="31" t="str">
        <f aca="false">IF(BH236&gt;0,(BG238+BH233+IF(Source_Data!BH$6=Inputs!$B$12,Inputs!$B$7,0))/BH236,"")</f>
        <v/>
      </c>
      <c r="BI240" s="31" t="str">
        <f aca="false">IF(BI236&gt;0,(BH238+BI233+IF(Source_Data!BI$6=Inputs!$B$12,Inputs!$B$7,0))/BI236,"")</f>
        <v/>
      </c>
      <c r="BJ240" s="31" t="str">
        <f aca="false">IF(BJ236&gt;0,(BI238+BJ233+IF(Source_Data!BJ$6=Inputs!$B$12,Inputs!$B$7,0))/BJ236,"")</f>
        <v/>
      </c>
      <c r="BK240" s="31" t="str">
        <f aca="false">IF(BK236&gt;0,(BJ238+BK233+IF(Source_Data!BK$6=Inputs!$B$12,Inputs!$B$7,0))/BK236,"")</f>
        <v/>
      </c>
    </row>
    <row r="242" customFormat="false" ht="15" hidden="false" customHeight="false" outlineLevel="0" collapsed="false">
      <c r="A242" s="2" t="s">
        <v>220</v>
      </c>
      <c r="B242" s="41" t="n">
        <f aca="false">SUM(D233:BK233)</f>
        <v>257.72937475</v>
      </c>
    </row>
    <row r="243" customFormat="false" ht="15" hidden="false" customHeight="false" outlineLevel="0" collapsed="false">
      <c r="A243" s="2" t="s">
        <v>346</v>
      </c>
      <c r="B243" s="41" t="n">
        <f aca="false">SUMPRODUCT(D233:BK233,Project_CF!$D$15:$BK$15)</f>
        <v>-80.9489485398505</v>
      </c>
    </row>
    <row r="244" customFormat="false" ht="15" hidden="false" customHeight="false" outlineLevel="0" collapsed="false">
      <c r="A244" s="2" t="s">
        <v>162</v>
      </c>
      <c r="B244" s="41" t="n">
        <f aca="false">MIN(D234:BK234)</f>
        <v>-729.38647159375</v>
      </c>
    </row>
    <row r="245" customFormat="false" ht="15" hidden="false" customHeight="false" outlineLevel="0" collapsed="false">
      <c r="A245" s="2" t="s">
        <v>347</v>
      </c>
      <c r="B245" s="35" t="n">
        <f aca="false">INDEX(Project_CF!$D$6:$BK$6,MATCH(MIN(D234:BK234),D234:BK234,0))</f>
        <v>48</v>
      </c>
    </row>
    <row r="246" customFormat="false" ht="15" hidden="false" customHeight="false" outlineLevel="0" collapsed="false">
      <c r="A246" s="2" t="s">
        <v>348</v>
      </c>
      <c r="B246" s="39" t="n">
        <f aca="false">(1+IRR(D235:BK235,0.05))^4-1</f>
        <v>0.18640160567242</v>
      </c>
    </row>
    <row r="247" customFormat="false" ht="15" hidden="false" customHeight="false" outlineLevel="0" collapsed="false">
      <c r="A247" s="2" t="s">
        <v>349</v>
      </c>
      <c r="B247" s="40" t="n">
        <f aca="false">SUMIF(D235:BK235,"&gt;0")/-SUMIF(D235:BK235,"&lt;0")</f>
        <v>2.50322580645161</v>
      </c>
    </row>
    <row r="248" customFormat="false" ht="15" hidden="false" customHeight="false" outlineLevel="0" collapsed="false">
      <c r="A248" s="2" t="s">
        <v>350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351</v>
      </c>
      <c r="B249" s="41" t="n">
        <f aca="false">MIN(D238:BK238)</f>
        <v>-763.713195510416</v>
      </c>
    </row>
    <row r="250" customFormat="false" ht="15" hidden="false" customHeight="false" outlineLevel="0" collapsed="false">
      <c r="A250" s="2" t="s">
        <v>352</v>
      </c>
      <c r="B250" s="43" t="n">
        <f aca="false">MIN(D239:BK239)</f>
        <v>-6.51976351304348</v>
      </c>
    </row>
    <row r="251" customFormat="false" ht="15" hidden="false" customHeight="false" outlineLevel="0" collapsed="false">
      <c r="A251" s="2" t="s">
        <v>353</v>
      </c>
      <c r="B251" s="35" t="n">
        <f aca="false">COUNTIF(D239:BK239,"&lt;"&amp;Inputs!$B$43)</f>
        <v>9</v>
      </c>
    </row>
    <row r="252" customFormat="false" ht="15" hidden="false" customHeight="false" outlineLevel="0" collapsed="false">
      <c r="A252" s="2" t="s">
        <v>354</v>
      </c>
      <c r="B252" s="43" t="n">
        <f aca="false">MIN(D240:BK240)</f>
        <v>-38.8459058527174</v>
      </c>
    </row>
    <row r="253" customFormat="false" ht="15" hidden="false" customHeight="false" outlineLevel="0" collapsed="false">
      <c r="A253" s="2" t="s">
        <v>355</v>
      </c>
      <c r="B253" s="35" t="n">
        <f aca="false">COUNTIF(D240:BK240,"&lt;"&amp;Inputs!$B$43)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356</v>
      </c>
    </row>
    <row r="2" customFormat="false" ht="15" hidden="false" customHeight="false" outlineLevel="0" collapsed="false">
      <c r="A2" s="6" t="s">
        <v>357</v>
      </c>
    </row>
    <row r="4" customFormat="false" ht="15" hidden="false" customHeight="false" outlineLevel="0" collapsed="false">
      <c r="A4" s="8" t="s">
        <v>358</v>
      </c>
    </row>
    <row r="5" customFormat="false" ht="15" hidden="false" customHeight="false" outlineLevel="0" collapsed="false">
      <c r="A5" s="3" t="s">
        <v>331</v>
      </c>
      <c r="B5" s="45" t="n">
        <v>0.8</v>
      </c>
    </row>
    <row r="6" customFormat="false" ht="15" hidden="false" customHeight="false" outlineLevel="0" collapsed="false">
      <c r="A6" s="3" t="s">
        <v>332</v>
      </c>
      <c r="B6" s="45" t="n">
        <v>0</v>
      </c>
    </row>
    <row r="7" customFormat="false" ht="15" hidden="false" customHeight="false" outlineLevel="0" collapsed="false">
      <c r="A7" s="3" t="s">
        <v>333</v>
      </c>
      <c r="B7" s="45" t="n">
        <v>1</v>
      </c>
    </row>
    <row r="8" customFormat="false" ht="15" hidden="false" customHeight="false" outlineLevel="0" collapsed="false">
      <c r="A8" s="3" t="s">
        <v>334</v>
      </c>
      <c r="B8" s="45" t="n">
        <v>0</v>
      </c>
    </row>
    <row r="9" customFormat="false" ht="15" hidden="false" customHeight="false" outlineLevel="0" collapsed="false">
      <c r="A9" s="3" t="s">
        <v>335</v>
      </c>
      <c r="B9" s="45" t="n">
        <v>0</v>
      </c>
    </row>
    <row r="10" customFormat="false" ht="15" hidden="false" customHeight="false" outlineLevel="0" collapsed="false">
      <c r="A10" s="3" t="s">
        <v>336</v>
      </c>
      <c r="B10" s="3" t="n">
        <f aca="false">Inputs!$B$13+3+3*$B$6</f>
        <v>51</v>
      </c>
    </row>
    <row r="11" customFormat="false" ht="15" hidden="false" customHeight="false" outlineLevel="0" collapsed="false">
      <c r="A11" s="3" t="s">
        <v>337</v>
      </c>
      <c r="D11" s="33" t="n">
        <f aca="false">Source_Data!D$7+IF($B$9=1,IF(Source_Data!D$6=Inputs!$B$13,Source_Data!$C$8,0),Source_Data!D$8)</f>
        <v>0</v>
      </c>
      <c r="E11" s="33" t="n">
        <f aca="false">Source_Data!E$7+IF($B$9=1,IF(Source_Data!E$6=Inputs!$B$13,Source_Data!$C$8,0),Source_Data!E$8)</f>
        <v>0</v>
      </c>
      <c r="F11" s="33" t="n">
        <f aca="false">Source_Data!F$7+IF($B$9=1,IF(Source_Data!F$6=Inputs!$B$13,Source_Data!$C$8,0),Source_Data!F$8)</f>
        <v>15.1392375</v>
      </c>
      <c r="G11" s="33" t="n">
        <f aca="false">Source_Data!G$7+IF($B$9=1,IF(Source_Data!G$6=Inputs!$B$13,Source_Data!$C$8,0),Source_Data!G$8)</f>
        <v>30.278475</v>
      </c>
      <c r="H11" s="33" t="n">
        <f aca="false">Source_Data!H$7+IF($B$9=1,IF(Source_Data!H$6=Inputs!$B$13,Source_Data!$C$8,0),Source_Data!H$8)</f>
        <v>46.51200625</v>
      </c>
      <c r="I11" s="33" t="n">
        <f aca="false">Source_Data!I$7+IF($B$9=1,IF(Source_Data!I$6=Inputs!$B$13,Source_Data!$C$8,0),Source_Data!I$8)</f>
        <v>62.7455375</v>
      </c>
      <c r="J11" s="33" t="n">
        <f aca="false">Source_Data!J$7+IF($B$9=1,IF(Source_Data!J$6=Inputs!$B$13,Source_Data!$C$8,0),Source_Data!J$8)</f>
        <v>62.3657</v>
      </c>
      <c r="K11" s="33" t="n">
        <f aca="false">Source_Data!K$7+IF($B$9=1,IF(Source_Data!K$6=Inputs!$B$13,Source_Data!$C$8,0),Source_Data!K$8)</f>
        <v>63.473559375</v>
      </c>
      <c r="L11" s="33" t="n">
        <f aca="false">Source_Data!L$7+IF($B$9=1,IF(Source_Data!L$6=Inputs!$B$13,Source_Data!$C$8,0),Source_Data!L$8)</f>
        <v>80.3288484375</v>
      </c>
      <c r="M11" s="33" t="n">
        <f aca="false">Source_Data!M$7+IF($B$9=1,IF(Source_Data!M$6=Inputs!$B$13,Source_Data!$C$8,0),Source_Data!M$8)</f>
        <v>495.2538375</v>
      </c>
      <c r="N11" s="33" t="n">
        <f aca="false">Source_Data!N$7+IF($B$9=1,IF(Source_Data!N$6=Inputs!$B$13,Source_Data!$C$8,0),Source_Data!N$8)</f>
        <v>185.57775</v>
      </c>
      <c r="O11" s="33" t="n">
        <f aca="false">Source_Data!O$7+IF($B$9=1,IF(Source_Data!O$6=Inputs!$B$13,Source_Data!$C$8,0),Source_Data!O$8)</f>
        <v>176.534</v>
      </c>
      <c r="P11" s="33" t="n">
        <f aca="false">Source_Data!P$7+IF($B$9=1,IF(Source_Data!P$6=Inputs!$B$13,Source_Data!$C$8,0),Source_Data!P$8)</f>
        <v>97.31075</v>
      </c>
      <c r="Q11" s="33" t="n">
        <f aca="false">Source_Data!Q$7+IF($B$9=1,IF(Source_Data!Q$6=Inputs!$B$13,Source_Data!$C$8,0),Source_Data!Q$8)</f>
        <v>71.30996875</v>
      </c>
      <c r="R11" s="33" t="n">
        <f aca="false">Source_Data!R$7+IF($B$9=1,IF(Source_Data!R$6=Inputs!$B$13,Source_Data!$C$8,0),Source_Data!R$8)</f>
        <v>71.30996875</v>
      </c>
      <c r="S11" s="33" t="n">
        <f aca="false">Source_Data!S$7+IF($B$9=1,IF(Source_Data!S$6=Inputs!$B$13,Source_Data!$C$8,0),Source_Data!S$8)</f>
        <v>68.037035625</v>
      </c>
      <c r="T11" s="33" t="n">
        <f aca="false">Source_Data!T$7+IF($B$9=1,IF(Source_Data!T$6=Inputs!$B$13,Source_Data!$C$8,0),Source_Data!T$8)</f>
        <v>61.2266396875</v>
      </c>
      <c r="U11" s="33" t="n">
        <f aca="false">Source_Data!U$7+IF($B$9=1,IF(Source_Data!U$6=Inputs!$B$13,Source_Data!$C$8,0),Source_Data!U$8)</f>
        <v>59.7127159375</v>
      </c>
      <c r="V11" s="33" t="n">
        <f aca="false">Source_Data!V$7+IF($B$9=1,IF(Source_Data!V$6=Inputs!$B$13,Source_Data!$C$8,0),Source_Data!V$8)</f>
        <v>53.7239446875</v>
      </c>
      <c r="W11" s="33" t="n">
        <f aca="false">Source_Data!W$7+IF($B$9=1,IF(Source_Data!W$6=Inputs!$B$13,Source_Data!$C$8,0),Source_Data!W$8)</f>
        <v>49.3829446875</v>
      </c>
      <c r="X11" s="33" t="n">
        <f aca="false">Source_Data!X$7+IF($B$9=1,IF(Source_Data!X$6=Inputs!$B$13,Source_Data!$C$8,0),Source_Data!X$8)</f>
        <v>49.3829446875</v>
      </c>
      <c r="Y11" s="33" t="n">
        <f aca="false">Source_Data!Y$7+IF($B$9=1,IF(Source_Data!Y$6=Inputs!$B$13,Source_Data!$C$8,0),Source_Data!Y$8)</f>
        <v>42.1027259375</v>
      </c>
      <c r="Z11" s="33" t="n">
        <f aca="false">Source_Data!Z$7+IF($B$9=1,IF(Source_Data!Z$6=Inputs!$B$13,Source_Data!$C$8,0),Source_Data!Z$8)</f>
        <v>42.1027259375</v>
      </c>
      <c r="AA11" s="33" t="n">
        <f aca="false">Source_Data!AA$7+IF($B$9=1,IF(Source_Data!AA$6=Inputs!$B$13,Source_Data!$C$8,0),Source_Data!AA$8)</f>
        <v>42.1027259375</v>
      </c>
      <c r="AB11" s="33" t="n">
        <f aca="false">Source_Data!AB$7+IF($B$9=1,IF(Source_Data!AB$6=Inputs!$B$13,Source_Data!$C$8,0),Source_Data!AB$8)</f>
        <v>36.3147259375</v>
      </c>
      <c r="AC11" s="33" t="n">
        <f aca="false">Source_Data!AC$7+IF($B$9=1,IF(Source_Data!AC$6=Inputs!$B$13,Source_Data!$C$8,0),Source_Data!AC$8)</f>
        <v>33.0386275</v>
      </c>
      <c r="AD11" s="33" t="n">
        <f aca="false">Source_Data!AD$7+IF($B$9=1,IF(Source_Data!AD$6=Inputs!$B$13,Source_Data!$C$8,0),Source_Data!AD$8)</f>
        <v>29.43017125</v>
      </c>
      <c r="AE11" s="33" t="n">
        <f aca="false">Source_Data!AE$7+IF($B$9=1,IF(Source_Data!AE$6=Inputs!$B$13,Source_Data!$C$8,0),Source_Data!AE$8)</f>
        <v>25.08917125</v>
      </c>
      <c r="AF11" s="33" t="n">
        <f aca="false">Source_Data!AF$7+IF($B$9=1,IF(Source_Data!AF$6=Inputs!$B$13,Source_Data!$C$8,0),Source_Data!AF$8)</f>
        <v>25.08917125</v>
      </c>
      <c r="AG11" s="33" t="n">
        <f aca="false">Source_Data!AG$7+IF($B$9=1,IF(Source_Data!AG$6=Inputs!$B$13,Source_Data!$C$8,0),Source_Data!AG$8)</f>
        <v>25.08917125</v>
      </c>
      <c r="AH11" s="33" t="n">
        <f aca="false">Source_Data!AH$7+IF($B$9=1,IF(Source_Data!AH$6=Inputs!$B$13,Source_Data!$C$8,0),Source_Data!AH$8)</f>
        <v>25.08917125</v>
      </c>
      <c r="AI11" s="33" t="n">
        <f aca="false">Source_Data!AI$7+IF($B$9=1,IF(Source_Data!AI$6=Inputs!$B$13,Source_Data!$C$8,0),Source_Data!AI$8)</f>
        <v>25.08917125</v>
      </c>
      <c r="AJ11" s="33" t="n">
        <f aca="false">Source_Data!AJ$7+IF($B$9=1,IF(Source_Data!AJ$6=Inputs!$B$13,Source_Data!$C$8,0),Source_Data!AJ$8)</f>
        <v>25.08917125</v>
      </c>
      <c r="AK11" s="33" t="n">
        <f aca="false">Source_Data!AK$7+IF($B$9=1,IF(Source_Data!AK$6=Inputs!$B$13,Source_Data!$C$8,0),Source_Data!AK$8)</f>
        <v>22.905105625</v>
      </c>
      <c r="AL11" s="33" t="n">
        <f aca="false">Source_Data!AL$7+IF($B$9=1,IF(Source_Data!AL$6=Inputs!$B$13,Source_Data!$C$8,0),Source_Data!AL$8)</f>
        <v>22.905105625</v>
      </c>
      <c r="AM11" s="33" t="n">
        <f aca="false">Source_Data!AM$7+IF($B$9=1,IF(Source_Data!AM$6=Inputs!$B$13,Source_Data!$C$8,0),Source_Data!AM$8)</f>
        <v>18.739554375</v>
      </c>
      <c r="AN11" s="33" t="n">
        <f aca="false">Source_Data!AN$7+IF($B$9=1,IF(Source_Data!AN$6=Inputs!$B$13,Source_Data!$C$8,0),Source_Data!AN$8)</f>
        <v>9.6261675</v>
      </c>
      <c r="AO11" s="33" t="n">
        <f aca="false">Source_Data!AO$7+IF($B$9=1,IF(Source_Data!AO$6=Inputs!$B$13,Source_Data!$C$8,0),Source_Data!AO$8)</f>
        <v>3.5704725</v>
      </c>
      <c r="AP11" s="33" t="n">
        <f aca="false">Source_Data!AP$7+IF($B$9=1,IF(Source_Data!AP$6=Inputs!$B$13,Source_Data!$C$8,0),Source_Data!AP$8)</f>
        <v>0</v>
      </c>
      <c r="AQ11" s="33" t="n">
        <f aca="false">Source_Data!AQ$7+IF($B$9=1,IF(Source_Data!AQ$6=Inputs!$B$13,Source_Data!$C$8,0),Source_Data!AQ$8)</f>
        <v>0</v>
      </c>
      <c r="AR11" s="33" t="n">
        <f aca="false">Source_Data!AR$7+IF($B$9=1,IF(Source_Data!AR$6=Inputs!$B$13,Source_Data!$C$8,0),Source_Data!AR$8)</f>
        <v>0</v>
      </c>
      <c r="AS11" s="33" t="n">
        <f aca="false">Source_Data!AS$7+IF($B$9=1,IF(Source_Data!AS$6=Inputs!$B$13,Source_Data!$C$8,0),Source_Data!AS$8)</f>
        <v>0</v>
      </c>
      <c r="AT11" s="33" t="n">
        <f aca="false">Source_Data!AT$7+IF($B$9=1,IF(Source_Data!AT$6=Inputs!$B$13,Source_Data!$C$8,0),Source_Data!AT$8)</f>
        <v>0</v>
      </c>
      <c r="AU11" s="33" t="n">
        <f aca="false">Source_Data!AU$7+IF($B$9=1,IF(Source_Data!AU$6=Inputs!$B$13,Source_Data!$C$8,0),Source_Data!AU$8)</f>
        <v>0</v>
      </c>
      <c r="AV11" s="33" t="n">
        <f aca="false">Source_Data!AV$7+IF($B$9=1,IF(Source_Data!AV$6=Inputs!$B$13,Source_Data!$C$8,0),Source_Data!AV$8)</f>
        <v>0</v>
      </c>
      <c r="AW11" s="33" t="n">
        <f aca="false">Source_Data!AW$7+IF($B$9=1,IF(Source_Data!AW$6=Inputs!$B$13,Source_Data!$C$8,0),Source_Data!AW$8)</f>
        <v>0</v>
      </c>
      <c r="AX11" s="33" t="n">
        <f aca="false">Source_Data!AX$7+IF($B$9=1,IF(Source_Data!AX$6=Inputs!$B$13,Source_Data!$C$8,0),Source_Data!AX$8)</f>
        <v>0</v>
      </c>
      <c r="AY11" s="33" t="n">
        <f aca="false">Source_Data!AY$7+IF($B$9=1,IF(Source_Data!AY$6=Inputs!$B$13,Source_Data!$C$8,0),Source_Data!AY$8)</f>
        <v>0</v>
      </c>
      <c r="AZ11" s="33" t="n">
        <f aca="false">Source_Data!AZ$7+IF($B$9=1,IF(Source_Data!AZ$6=Inputs!$B$13,Source_Data!$C$8,0),Source_Data!AZ$8)</f>
        <v>0</v>
      </c>
      <c r="BA11" s="33" t="n">
        <f aca="false">Source_Data!BA$7+IF($B$9=1,IF(Source_Data!BA$6=Inputs!$B$13,Source_Data!$C$8,0),Source_Data!BA$8)</f>
        <v>0</v>
      </c>
      <c r="BB11" s="33" t="n">
        <f aca="false">Source_Data!BB$7+IF($B$9=1,IF(Source_Data!BB$6=Inputs!$B$13,Source_Data!$C$8,0),Source_Data!BB$8)</f>
        <v>0</v>
      </c>
      <c r="BC11" s="33" t="n">
        <f aca="false">Source_Data!BC$7+IF($B$9=1,IF(Source_Data!BC$6=Inputs!$B$13,Source_Data!$C$8,0),Source_Data!BC$8)</f>
        <v>0</v>
      </c>
      <c r="BD11" s="33" t="n">
        <f aca="false">Source_Data!BD$7+IF($B$9=1,IF(Source_Data!BD$6=Inputs!$B$13,Source_Data!$C$8,0),Source_Data!BD$8)</f>
        <v>0</v>
      </c>
      <c r="BE11" s="33" t="n">
        <f aca="false">Source_Data!BE$7+IF($B$9=1,IF(Source_Data!BE$6=Inputs!$B$13,Source_Data!$C$8,0),Source_Data!BE$8)</f>
        <v>0</v>
      </c>
      <c r="BF11" s="33" t="n">
        <f aca="false">Source_Data!BF$7+IF($B$9=1,IF(Source_Data!BF$6=Inputs!$B$13,Source_Data!$C$8,0),Source_Data!BF$8)</f>
        <v>0</v>
      </c>
      <c r="BG11" s="33" t="n">
        <f aca="false">Source_Data!BG$7+IF($B$9=1,IF(Source_Data!BG$6=Inputs!$B$13,Source_Data!$C$8,0),Source_Data!BG$8)</f>
        <v>0</v>
      </c>
      <c r="BH11" s="33" t="n">
        <f aca="false">Source_Data!BH$7+IF($B$9=1,IF(Source_Data!BH$6=Inputs!$B$13,Source_Data!$C$8,0),Source_Data!BH$8)</f>
        <v>0</v>
      </c>
      <c r="BI11" s="33" t="n">
        <f aca="false">Source_Data!BI$7+IF($B$9=1,IF(Source_Data!BI$6=Inputs!$B$13,Source_Data!$C$8,0),Source_Data!BI$8)</f>
        <v>0</v>
      </c>
      <c r="BJ11" s="33" t="n">
        <f aca="false">Source_Data!BJ$7+IF($B$9=1,IF(Source_Data!BJ$6=Inputs!$B$13,Source_Data!$C$8,0),Source_Data!BJ$8)</f>
        <v>0</v>
      </c>
      <c r="BK11" s="33" t="n">
        <f aca="false">Source_Data!BK$7+IF($B$9=1,IF(Source_Data!BK$6=Inputs!$B$13,Source_Data!$C$8,0),Source_Data!BK$8)</f>
        <v>0</v>
      </c>
    </row>
    <row r="12" customFormat="false" ht="15" hidden="false" customHeight="false" outlineLevel="0" collapsed="false">
      <c r="A12" s="3" t="s">
        <v>338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12.11139</v>
      </c>
      <c r="G12" s="33" t="n">
        <f aca="false">$B$5*IF(Source_Data!G$5-($B$6+$B$8)&gt;=1,INDEX($D$11:$BK$11,1,Source_Data!G$5-($B$6+$B$8)),0)</f>
        <v>24.22278</v>
      </c>
      <c r="H12" s="33" t="n">
        <f aca="false">$B$5*IF(Source_Data!H$5-($B$6+$B$8)&gt;=1,INDEX($D$11:$BK$11,1,Source_Data!H$5-($B$6+$B$8)),0)</f>
        <v>37.209605</v>
      </c>
      <c r="I12" s="33" t="n">
        <f aca="false">$B$5*IF(Source_Data!I$5-($B$6+$B$8)&gt;=1,INDEX($D$11:$BK$11,1,Source_Data!I$5-($B$6+$B$8)),0)</f>
        <v>50.19643</v>
      </c>
      <c r="J12" s="33" t="n">
        <f aca="false">$B$5*IF(Source_Data!J$5-($B$6+$B$8)&gt;=1,INDEX($D$11:$BK$11,1,Source_Data!J$5-($B$6+$B$8)),0)</f>
        <v>49.89256</v>
      </c>
      <c r="K12" s="33" t="n">
        <f aca="false">$B$5*IF(Source_Data!K$5-($B$6+$B$8)&gt;=1,INDEX($D$11:$BK$11,1,Source_Data!K$5-($B$6+$B$8)),0)</f>
        <v>50.7788475</v>
      </c>
      <c r="L12" s="33" t="n">
        <f aca="false">$B$5*IF(Source_Data!L$5-($B$6+$B$8)&gt;=1,INDEX($D$11:$BK$11,1,Source_Data!L$5-($B$6+$B$8)),0)</f>
        <v>64.26307875</v>
      </c>
      <c r="M12" s="33" t="n">
        <f aca="false">$B$5*IF(Source_Data!M$5-($B$6+$B$8)&gt;=1,INDEX($D$11:$BK$11,1,Source_Data!M$5-($B$6+$B$8)),0)</f>
        <v>396.20307</v>
      </c>
      <c r="N12" s="33" t="n">
        <f aca="false">$B$5*IF(Source_Data!N$5-($B$6+$B$8)&gt;=1,INDEX($D$11:$BK$11,1,Source_Data!N$5-($B$6+$B$8)),0)</f>
        <v>148.4622</v>
      </c>
      <c r="O12" s="33" t="n">
        <f aca="false">$B$5*IF(Source_Data!O$5-($B$6+$B$8)&gt;=1,INDEX($D$11:$BK$11,1,Source_Data!O$5-($B$6+$B$8)),0)</f>
        <v>141.2272</v>
      </c>
      <c r="P12" s="33" t="n">
        <f aca="false">$B$5*IF(Source_Data!P$5-($B$6+$B$8)&gt;=1,INDEX($D$11:$BK$11,1,Source_Data!P$5-($B$6+$B$8)),0)</f>
        <v>77.8486</v>
      </c>
      <c r="Q12" s="33" t="n">
        <f aca="false">$B$5*IF(Source_Data!Q$5-($B$6+$B$8)&gt;=1,INDEX($D$11:$BK$11,1,Source_Data!Q$5-($B$6+$B$8)),0)</f>
        <v>57.047975</v>
      </c>
      <c r="R12" s="33" t="n">
        <f aca="false">$B$5*IF(Source_Data!R$5-($B$6+$B$8)&gt;=1,INDEX($D$11:$BK$11,1,Source_Data!R$5-($B$6+$B$8)),0)</f>
        <v>57.047975</v>
      </c>
      <c r="S12" s="33" t="n">
        <f aca="false">$B$5*IF(Source_Data!S$5-($B$6+$B$8)&gt;=1,INDEX($D$11:$BK$11,1,Source_Data!S$5-($B$6+$B$8)),0)</f>
        <v>54.4296285</v>
      </c>
      <c r="T12" s="33" t="n">
        <f aca="false">$B$5*IF(Source_Data!T$5-($B$6+$B$8)&gt;=1,INDEX($D$11:$BK$11,1,Source_Data!T$5-($B$6+$B$8)),0)</f>
        <v>48.98131175</v>
      </c>
      <c r="U12" s="33" t="n">
        <f aca="false">$B$5*IF(Source_Data!U$5-($B$6+$B$8)&gt;=1,INDEX($D$11:$BK$11,1,Source_Data!U$5-($B$6+$B$8)),0)</f>
        <v>47.77017275</v>
      </c>
      <c r="V12" s="33" t="n">
        <f aca="false">$B$5*IF(Source_Data!V$5-($B$6+$B$8)&gt;=1,INDEX($D$11:$BK$11,1,Source_Data!V$5-($B$6+$B$8)),0)</f>
        <v>42.97915575</v>
      </c>
      <c r="W12" s="33" t="n">
        <f aca="false">$B$5*IF(Source_Data!W$5-($B$6+$B$8)&gt;=1,INDEX($D$11:$BK$11,1,Source_Data!W$5-($B$6+$B$8)),0)</f>
        <v>39.50635575</v>
      </c>
      <c r="X12" s="33" t="n">
        <f aca="false">$B$5*IF(Source_Data!X$5-($B$6+$B$8)&gt;=1,INDEX($D$11:$BK$11,1,Source_Data!X$5-($B$6+$B$8)),0)</f>
        <v>39.50635575</v>
      </c>
      <c r="Y12" s="33" t="n">
        <f aca="false">$B$5*IF(Source_Data!Y$5-($B$6+$B$8)&gt;=1,INDEX($D$11:$BK$11,1,Source_Data!Y$5-($B$6+$B$8)),0)</f>
        <v>33.68218075</v>
      </c>
      <c r="Z12" s="33" t="n">
        <f aca="false">$B$5*IF(Source_Data!Z$5-($B$6+$B$8)&gt;=1,INDEX($D$11:$BK$11,1,Source_Data!Z$5-($B$6+$B$8)),0)</f>
        <v>33.68218075</v>
      </c>
      <c r="AA12" s="33" t="n">
        <f aca="false">$B$5*IF(Source_Data!AA$5-($B$6+$B$8)&gt;=1,INDEX($D$11:$BK$11,1,Source_Data!AA$5-($B$6+$B$8)),0)</f>
        <v>33.68218075</v>
      </c>
      <c r="AB12" s="33" t="n">
        <f aca="false">$B$5*IF(Source_Data!AB$5-($B$6+$B$8)&gt;=1,INDEX($D$11:$BK$11,1,Source_Data!AB$5-($B$6+$B$8)),0)</f>
        <v>29.05178075</v>
      </c>
      <c r="AC12" s="33" t="n">
        <f aca="false">$B$5*IF(Source_Data!AC$5-($B$6+$B$8)&gt;=1,INDEX($D$11:$BK$11,1,Source_Data!AC$5-($B$6+$B$8)),0)</f>
        <v>26.430902</v>
      </c>
      <c r="AD12" s="33" t="n">
        <f aca="false">$B$5*IF(Source_Data!AD$5-($B$6+$B$8)&gt;=1,INDEX($D$11:$BK$11,1,Source_Data!AD$5-($B$6+$B$8)),0)</f>
        <v>23.544137</v>
      </c>
      <c r="AE12" s="33" t="n">
        <f aca="false">$B$5*IF(Source_Data!AE$5-($B$6+$B$8)&gt;=1,INDEX($D$11:$BK$11,1,Source_Data!AE$5-($B$6+$B$8)),0)</f>
        <v>20.071337</v>
      </c>
      <c r="AF12" s="33" t="n">
        <f aca="false">$B$5*IF(Source_Data!AF$5-($B$6+$B$8)&gt;=1,INDEX($D$11:$BK$11,1,Source_Data!AF$5-($B$6+$B$8)),0)</f>
        <v>20.071337</v>
      </c>
      <c r="AG12" s="33" t="n">
        <f aca="false">$B$5*IF(Source_Data!AG$5-($B$6+$B$8)&gt;=1,INDEX($D$11:$BK$11,1,Source_Data!AG$5-($B$6+$B$8)),0)</f>
        <v>20.071337</v>
      </c>
      <c r="AH12" s="33" t="n">
        <f aca="false">$B$5*IF(Source_Data!AH$5-($B$6+$B$8)&gt;=1,INDEX($D$11:$BK$11,1,Source_Data!AH$5-($B$6+$B$8)),0)</f>
        <v>20.071337</v>
      </c>
      <c r="AI12" s="33" t="n">
        <f aca="false">$B$5*IF(Source_Data!AI$5-($B$6+$B$8)&gt;=1,INDEX($D$11:$BK$11,1,Source_Data!AI$5-($B$6+$B$8)),0)</f>
        <v>20.071337</v>
      </c>
      <c r="AJ12" s="33" t="n">
        <f aca="false">$B$5*IF(Source_Data!AJ$5-($B$6+$B$8)&gt;=1,INDEX($D$11:$BK$11,1,Source_Data!AJ$5-($B$6+$B$8)),0)</f>
        <v>20.071337</v>
      </c>
      <c r="AK12" s="33" t="n">
        <f aca="false">$B$5*IF(Source_Data!AK$5-($B$6+$B$8)&gt;=1,INDEX($D$11:$BK$11,1,Source_Data!AK$5-($B$6+$B$8)),0)</f>
        <v>18.3240845</v>
      </c>
      <c r="AL12" s="33" t="n">
        <f aca="false">$B$5*IF(Source_Data!AL$5-($B$6+$B$8)&gt;=1,INDEX($D$11:$BK$11,1,Source_Data!AL$5-($B$6+$B$8)),0)</f>
        <v>18.3240845</v>
      </c>
      <c r="AM12" s="33" t="n">
        <f aca="false">$B$5*IF(Source_Data!AM$5-($B$6+$B$8)&gt;=1,INDEX($D$11:$BK$11,1,Source_Data!AM$5-($B$6+$B$8)),0)</f>
        <v>14.9916435</v>
      </c>
      <c r="AN12" s="33" t="n">
        <f aca="false">$B$5*IF(Source_Data!AN$5-($B$6+$B$8)&gt;=1,INDEX($D$11:$BK$11,1,Source_Data!AN$5-($B$6+$B$8)),0)</f>
        <v>7.700934</v>
      </c>
      <c r="AO12" s="33" t="n">
        <f aca="false">$B$5*IF(Source_Data!AO$5-($B$6+$B$8)&gt;=1,INDEX($D$11:$BK$11,1,Source_Data!AO$5-($B$6+$B$8)),0)</f>
        <v>2.856378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339</v>
      </c>
      <c r="D13" s="33" t="n">
        <f aca="false">Source_Data!D$9+Source_Data!D$10*IF(Source_Data!$C$10=0,0,MAX(0,Inputs!$B$19*Inputs!$B$22*$B$5-Inputs!$B$20)/Source_Data!$C$10)</f>
        <v>91.25</v>
      </c>
      <c r="E13" s="33" t="n">
        <f aca="false">Source_Data!E$9+Source_Data!E$10*IF(Source_Data!$C$10=0,0,MAX(0,Inputs!$B$19*Inputs!$B$22*$B$5-Inputs!$B$20)/Source_Data!$C$10)</f>
        <v>11.25</v>
      </c>
      <c r="F13" s="33" t="n">
        <f aca="false">Source_Data!F$9+Source_Data!F$10*IF(Source_Data!$C$10=0,0,MAX(0,Inputs!$B$19*Inputs!$B$22*$B$5-Inputs!$B$20)/Source_Data!$C$10)</f>
        <v>11.25</v>
      </c>
      <c r="G13" s="33" t="n">
        <f aca="false">Source_Data!G$9+Source_Data!G$10*IF(Source_Data!$C$10=0,0,MAX(0,Inputs!$B$19*Inputs!$B$22*$B$5-Inputs!$B$20)/Source_Data!$C$10)</f>
        <v>11.25</v>
      </c>
      <c r="H13" s="33" t="n">
        <f aca="false">Source_Data!H$9+Source_Data!H$10*IF(Source_Data!$C$10=0,0,MAX(0,Inputs!$B$19*Inputs!$B$22*$B$5-Inputs!$B$20)/Source_Data!$C$10)</f>
        <v>22.5</v>
      </c>
      <c r="I13" s="33" t="n">
        <f aca="false">Source_Data!I$9+Source_Data!I$10*IF(Source_Data!$C$10=0,0,MAX(0,Inputs!$B$19*Inputs!$B$22*$B$5-Inputs!$B$20)/Source_Data!$C$10)</f>
        <v>22.5</v>
      </c>
      <c r="J13" s="33" t="n">
        <f aca="false">Source_Data!J$9+Source_Data!J$10*IF(Source_Data!$C$10=0,0,MAX(0,Inputs!$B$19*Inputs!$B$22*$B$5-Inputs!$B$20)/Source_Data!$C$10)</f>
        <v>22.5</v>
      </c>
      <c r="K13" s="33" t="n">
        <f aca="false">Source_Data!K$9+Source_Data!K$10*IF(Source_Data!$C$10=0,0,MAX(0,Inputs!$B$19*Inputs!$B$22*$B$5-Inputs!$B$20)/Source_Data!$C$10)</f>
        <v>22.5</v>
      </c>
      <c r="L13" s="33" t="n">
        <f aca="false">Source_Data!L$9+Source_Data!L$10*IF(Source_Data!$C$10=0,0,MAX(0,Inputs!$B$19*Inputs!$B$22*$B$5-Inputs!$B$20)/Source_Data!$C$10)</f>
        <v>33.75</v>
      </c>
      <c r="M13" s="33" t="n">
        <f aca="false">Source_Data!M$9+Source_Data!M$10*IF(Source_Data!$C$10=0,0,MAX(0,Inputs!$B$19*Inputs!$B$22*$B$5-Inputs!$B$20)/Source_Data!$C$10)</f>
        <v>33.75</v>
      </c>
      <c r="N13" s="33" t="n">
        <f aca="false">Source_Data!N$9+Source_Data!N$10*IF(Source_Data!$C$10=0,0,MAX(0,Inputs!$B$19*Inputs!$B$22*$B$5-Inputs!$B$20)/Source_Data!$C$10)</f>
        <v>33.75</v>
      </c>
      <c r="O13" s="33" t="n">
        <f aca="false">Source_Data!O$9+Source_Data!O$10*IF(Source_Data!$C$10=0,0,MAX(0,Inputs!$B$19*Inputs!$B$22*$B$5-Inputs!$B$20)/Source_Data!$C$10)</f>
        <v>33.75</v>
      </c>
      <c r="P13" s="33" t="n">
        <f aca="false">Source_Data!P$9+Source_Data!P$10*IF(Source_Data!$C$10=0,0,MAX(0,Inputs!$B$19*Inputs!$B$22*$B$5-Inputs!$B$20)/Source_Data!$C$10)</f>
        <v>45</v>
      </c>
      <c r="Q13" s="33" t="n">
        <f aca="false">Source_Data!Q$9+Source_Data!Q$10*IF(Source_Data!$C$10=0,0,MAX(0,Inputs!$B$19*Inputs!$B$22*$B$5-Inputs!$B$20)/Source_Data!$C$10)</f>
        <v>45</v>
      </c>
      <c r="R13" s="33" t="n">
        <f aca="false">Source_Data!R$9+Source_Data!R$10*IF(Source_Data!$C$10=0,0,MAX(0,Inputs!$B$19*Inputs!$B$22*$B$5-Inputs!$B$20)/Source_Data!$C$10)</f>
        <v>45</v>
      </c>
      <c r="S13" s="33" t="n">
        <f aca="false">Source_Data!S$9+Source_Data!S$10*IF(Source_Data!$C$10=0,0,MAX(0,Inputs!$B$19*Inputs!$B$22*$B$5-Inputs!$B$20)/Source_Data!$C$10)</f>
        <v>45</v>
      </c>
      <c r="T13" s="33" t="n">
        <f aca="false">Source_Data!T$9+Source_Data!T$10*IF(Source_Data!$C$10=0,0,MAX(0,Inputs!$B$19*Inputs!$B$22*$B$5-Inputs!$B$20)/Source_Data!$C$10)</f>
        <v>45</v>
      </c>
      <c r="U13" s="33" t="n">
        <f aca="false">Source_Data!U$9+Source_Data!U$10*IF(Source_Data!$C$10=0,0,MAX(0,Inputs!$B$19*Inputs!$B$22*$B$5-Inputs!$B$20)/Source_Data!$C$10)</f>
        <v>45</v>
      </c>
      <c r="V13" s="33" t="n">
        <f aca="false">Source_Data!V$9+Source_Data!V$10*IF(Source_Data!$C$10=0,0,MAX(0,Inputs!$B$19*Inputs!$B$22*$B$5-Inputs!$B$20)/Source_Data!$C$10)</f>
        <v>45</v>
      </c>
      <c r="W13" s="33" t="n">
        <f aca="false">Source_Data!W$9+Source_Data!W$10*IF(Source_Data!$C$10=0,0,MAX(0,Inputs!$B$19*Inputs!$B$22*$B$5-Inputs!$B$20)/Source_Data!$C$10)</f>
        <v>45</v>
      </c>
      <c r="X13" s="33" t="n">
        <f aca="false">Source_Data!X$9+Source_Data!X$10*IF(Source_Data!$C$10=0,0,MAX(0,Inputs!$B$19*Inputs!$B$22*$B$5-Inputs!$B$20)/Source_Data!$C$10)</f>
        <v>22.5</v>
      </c>
      <c r="Y13" s="33" t="n">
        <f aca="false">Source_Data!Y$9+Source_Data!Y$10*IF(Source_Data!$C$10=0,0,MAX(0,Inputs!$B$19*Inputs!$B$22*$B$5-Inputs!$B$20)/Source_Data!$C$10)</f>
        <v>22.5</v>
      </c>
      <c r="Z13" s="33" t="n">
        <f aca="false">Source_Data!Z$9+Source_Data!Z$10*IF(Source_Data!$C$10=0,0,MAX(0,Inputs!$B$19*Inputs!$B$22*$B$5-Inputs!$B$20)/Source_Data!$C$10)</f>
        <v>22.5</v>
      </c>
      <c r="AA13" s="33" t="n">
        <f aca="false">Source_Data!AA$9+Source_Data!AA$10*IF(Source_Data!$C$10=0,0,MAX(0,Inputs!$B$19*Inputs!$B$22*$B$5-Inputs!$B$20)/Source_Data!$C$10)</f>
        <v>22.5</v>
      </c>
      <c r="AB13" s="33" t="n">
        <f aca="false">Source_Data!AB$9+Source_Data!AB$10*IF(Source_Data!$C$10=0,0,MAX(0,Inputs!$B$19*Inputs!$B$22*$B$5-Inputs!$B$20)/Source_Data!$C$10)</f>
        <v>0</v>
      </c>
      <c r="AC13" s="33" t="n">
        <f aca="false">Source_Data!AC$9+Source_Data!AC$10*IF(Source_Data!$C$10=0,0,MAX(0,Inputs!$B$19*Inputs!$B$22*$B$5-Inputs!$B$20)/Source_Data!$C$10)</f>
        <v>0</v>
      </c>
      <c r="AD13" s="33" t="n">
        <f aca="false">Source_Data!AD$9+Source_Data!AD$10*IF(Source_Data!$C$10=0,0,MAX(0,Inputs!$B$19*Inputs!$B$22*$B$5-Inputs!$B$20)/Source_Data!$C$10)</f>
        <v>0</v>
      </c>
      <c r="AE13" s="33" t="n">
        <f aca="false">Source_Data!AE$9+Source_Data!AE$10*IF(Source_Data!$C$10=0,0,MAX(0,Inputs!$B$19*Inputs!$B$22*$B$5-Inputs!$B$20)/Source_Data!$C$10)</f>
        <v>0</v>
      </c>
      <c r="AF13" s="33" t="n">
        <f aca="false">Source_Data!AF$9+Source_Data!AF$10*IF(Source_Data!$C$10=0,0,MAX(0,Inputs!$B$19*Inputs!$B$22*$B$5-Inputs!$B$20)/Source_Data!$C$10)</f>
        <v>0</v>
      </c>
      <c r="AG13" s="33" t="n">
        <f aca="false">Source_Data!AG$9+Source_Data!AG$10*IF(Source_Data!$C$10=0,0,MAX(0,Inputs!$B$19*Inputs!$B$22*$B$5-Inputs!$B$20)/Source_Data!$C$10)</f>
        <v>0</v>
      </c>
      <c r="AH13" s="33" t="n">
        <f aca="false">Source_Data!AH$9+Source_Data!AH$10*IF(Source_Data!$C$10=0,0,MAX(0,Inputs!$B$19*Inputs!$B$22*$B$5-Inputs!$B$20)/Source_Data!$C$10)</f>
        <v>0</v>
      </c>
      <c r="AI13" s="33" t="n">
        <f aca="false">Source_Data!AI$9+Source_Data!AI$10*IF(Source_Data!$C$10=0,0,MAX(0,Inputs!$B$19*Inputs!$B$22*$B$5-Inputs!$B$20)/Source_Data!$C$10)</f>
        <v>0</v>
      </c>
      <c r="AJ13" s="33" t="n">
        <f aca="false">Source_Data!AJ$9+Source_Data!AJ$10*IF(Source_Data!$C$10=0,0,MAX(0,Inputs!$B$19*Inputs!$B$22*$B$5-Inputs!$B$20)/Source_Data!$C$10)</f>
        <v>0</v>
      </c>
      <c r="AK13" s="33" t="n">
        <f aca="false">Source_Data!AK$9+Source_Data!AK$10*IF(Source_Data!$C$10=0,0,MAX(0,Inputs!$B$19*Inputs!$B$22*$B$5-Inputs!$B$20)/Source_Data!$C$10)</f>
        <v>0</v>
      </c>
      <c r="AL13" s="33" t="n">
        <f aca="false">Source_Data!AL$9+Source_Data!AL$10*IF(Source_Data!$C$10=0,0,MAX(0,Inputs!$B$19*Inputs!$B$22*$B$5-Inputs!$B$20)/Source_Data!$C$10)</f>
        <v>0</v>
      </c>
      <c r="AM13" s="33" t="n">
        <f aca="false">Source_Data!AM$9+Source_Data!AM$10*IF(Source_Data!$C$10=0,0,MAX(0,Inputs!$B$19*Inputs!$B$22*$B$5-Inputs!$B$20)/Source_Data!$C$10)</f>
        <v>0</v>
      </c>
      <c r="AN13" s="33" t="n">
        <f aca="false">Source_Data!AN$9+Source_Data!AN$10*IF(Source_Data!$C$10=0,0,MAX(0,Inputs!$B$19*Inputs!$B$22*$B$5-Inputs!$B$20)/Source_Data!$C$10)</f>
        <v>0</v>
      </c>
      <c r="AO13" s="33" t="n">
        <f aca="false">Source_Data!AO$9+Source_Data!AO$10*IF(Source_Data!$C$10=0,0,MAX(0,Inputs!$B$19*Inputs!$B$22*$B$5-Inputs!$B$20)/Source_Data!$C$10)</f>
        <v>0</v>
      </c>
      <c r="AP13" s="33" t="n">
        <f aca="false">Source_Data!AP$9+Source_Data!AP$10*IF(Source_Data!$C$10=0,0,MAX(0,Inputs!$B$19*Inputs!$B$22*$B$5-Inputs!$B$20)/Source_Data!$C$10)</f>
        <v>0</v>
      </c>
      <c r="AQ13" s="33" t="n">
        <f aca="false">Source_Data!AQ$9+Source_Data!AQ$10*IF(Source_Data!$C$10=0,0,MAX(0,Inputs!$B$19*Inputs!$B$22*$B$5-Inputs!$B$20)/Source_Data!$C$10)</f>
        <v>0</v>
      </c>
      <c r="AR13" s="33" t="n">
        <f aca="false">Source_Data!AR$9+Source_Data!AR$10*IF(Source_Data!$C$10=0,0,MAX(0,Inputs!$B$19*Inputs!$B$22*$B$5-Inputs!$B$20)/Source_Data!$C$10)</f>
        <v>0</v>
      </c>
      <c r="AS13" s="33" t="n">
        <f aca="false">Source_Data!AS$9+Source_Data!AS$10*IF(Source_Data!$C$10=0,0,MAX(0,Inputs!$B$19*Inputs!$B$22*$B$5-Inputs!$B$20)/Source_Data!$C$10)</f>
        <v>0</v>
      </c>
      <c r="AT13" s="33" t="n">
        <f aca="false">Source_Data!AT$9+Source_Data!AT$10*IF(Source_Data!$C$10=0,0,MAX(0,Inputs!$B$19*Inputs!$B$22*$B$5-Inputs!$B$20)/Source_Data!$C$10)</f>
        <v>0</v>
      </c>
      <c r="AU13" s="33" t="n">
        <f aca="false">Source_Data!AU$9+Source_Data!AU$10*IF(Source_Data!$C$10=0,0,MAX(0,Inputs!$B$19*Inputs!$B$22*$B$5-Inputs!$B$20)/Source_Data!$C$10)</f>
        <v>0</v>
      </c>
      <c r="AV13" s="33" t="n">
        <f aca="false">Source_Data!AV$9+Source_Data!AV$10*IF(Source_Data!$C$10=0,0,MAX(0,Inputs!$B$19*Inputs!$B$22*$B$5-Inputs!$B$20)/Source_Data!$C$10)</f>
        <v>0</v>
      </c>
      <c r="AW13" s="33" t="n">
        <f aca="false">Source_Data!AW$9+Source_Data!AW$10*IF(Source_Data!$C$10=0,0,MAX(0,Inputs!$B$19*Inputs!$B$22*$B$5-Inputs!$B$20)/Source_Data!$C$10)</f>
        <v>0</v>
      </c>
      <c r="AX13" s="33" t="n">
        <f aca="false">Source_Data!AX$9+Source_Data!AX$10*IF(Source_Data!$C$10=0,0,MAX(0,Inputs!$B$19*Inputs!$B$22*$B$5-Inputs!$B$20)/Source_Data!$C$10)</f>
        <v>0</v>
      </c>
      <c r="AY13" s="33" t="n">
        <f aca="false">Source_Data!AY$9+Source_Data!AY$10*IF(Source_Data!$C$10=0,0,MAX(0,Inputs!$B$19*Inputs!$B$22*$B$5-Inputs!$B$20)/Source_Data!$C$10)</f>
        <v>0</v>
      </c>
      <c r="AZ13" s="33" t="n">
        <f aca="false">Source_Data!AZ$9+Source_Data!AZ$10*IF(Source_Data!$C$10=0,0,MAX(0,Inputs!$B$19*Inputs!$B$22*$B$5-Inputs!$B$20)/Source_Data!$C$10)</f>
        <v>0</v>
      </c>
      <c r="BA13" s="33" t="n">
        <f aca="false">Source_Data!BA$9+Source_Data!BA$10*IF(Source_Data!$C$10=0,0,MAX(0,Inputs!$B$19*Inputs!$B$22*$B$5-Inputs!$B$20)/Source_Data!$C$10)</f>
        <v>0</v>
      </c>
      <c r="BB13" s="33" t="n">
        <f aca="false">Source_Data!BB$9+Source_Data!BB$10*IF(Source_Data!$C$10=0,0,MAX(0,Inputs!$B$19*Inputs!$B$22*$B$5-Inputs!$B$20)/Source_Data!$C$10)</f>
        <v>0</v>
      </c>
      <c r="BC13" s="33" t="n">
        <f aca="false">Source_Data!BC$9+Source_Data!BC$10*IF(Source_Data!$C$10=0,0,MAX(0,Inputs!$B$19*Inputs!$B$22*$B$5-Inputs!$B$20)/Source_Data!$C$10)</f>
        <v>0</v>
      </c>
      <c r="BD13" s="33" t="n">
        <f aca="false">Source_Data!BD$9+Source_Data!BD$10*IF(Source_Data!$C$10=0,0,MAX(0,Inputs!$B$19*Inputs!$B$22*$B$5-Inputs!$B$20)/Source_Data!$C$10)</f>
        <v>0</v>
      </c>
      <c r="BE13" s="33" t="n">
        <f aca="false">Source_Data!BE$9+Source_Data!BE$10*IF(Source_Data!$C$10=0,0,MAX(0,Inputs!$B$19*Inputs!$B$22*$B$5-Inputs!$B$20)/Source_Data!$C$10)</f>
        <v>0</v>
      </c>
      <c r="BF13" s="33" t="n">
        <f aca="false">Source_Data!BF$9+Source_Data!BF$10*IF(Source_Data!$C$10=0,0,MAX(0,Inputs!$B$19*Inputs!$B$22*$B$5-Inputs!$B$20)/Source_Data!$C$10)</f>
        <v>0</v>
      </c>
      <c r="BG13" s="33" t="n">
        <f aca="false">Source_Data!BG$9+Source_Data!BG$10*IF(Source_Data!$C$10=0,0,MAX(0,Inputs!$B$19*Inputs!$B$22*$B$5-Inputs!$B$20)/Source_Data!$C$10)</f>
        <v>0</v>
      </c>
      <c r="BH13" s="33" t="n">
        <f aca="false">Source_Data!BH$9+Source_Data!BH$10*IF(Source_Data!$C$10=0,0,MAX(0,Inputs!$B$19*Inputs!$B$22*$B$5-Inputs!$B$20)/Source_Data!$C$10)</f>
        <v>0</v>
      </c>
      <c r="BI13" s="33" t="n">
        <f aca="false">Source_Data!BI$9+Source_Data!BI$10*IF(Source_Data!$C$10=0,0,MAX(0,Inputs!$B$19*Inputs!$B$22*$B$5-Inputs!$B$20)/Source_Data!$C$10)</f>
        <v>0</v>
      </c>
      <c r="BJ13" s="33" t="n">
        <f aca="false">Source_Data!BJ$9+Source_Data!BJ$10*IF(Source_Data!$C$10=0,0,MAX(0,Inputs!$B$19*Inputs!$B$22*$B$5-Inputs!$B$20)/Source_Data!$C$10)</f>
        <v>0</v>
      </c>
      <c r="BK13" s="33" t="n">
        <f aca="false">Source_Data!BK$9+Source_Data!BK$10*IF(Source_Data!$C$10=0,0,MAX(0,Inputs!$B$19*Inputs!$B$22*$B$5-Inputs!$B$20)/Source_Data!$C$10)</f>
        <v>0</v>
      </c>
    </row>
    <row r="14" customFormat="false" ht="15" hidden="false" customHeight="false" outlineLevel="0" collapsed="false">
      <c r="A14" s="3" t="s">
        <v>194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20</v>
      </c>
      <c r="I14" s="33" t="n">
        <f aca="false">Source_Data!I$11*$B$7</f>
        <v>26.4</v>
      </c>
      <c r="J14" s="33" t="n">
        <f aca="false">Source_Data!J$11*$B$7</f>
        <v>40</v>
      </c>
      <c r="K14" s="33" t="n">
        <f aca="false">Source_Data!K$11*$B$7</f>
        <v>26.4</v>
      </c>
      <c r="L14" s="33" t="n">
        <f aca="false">Source_Data!L$11*$B$7</f>
        <v>26.4</v>
      </c>
      <c r="M14" s="33" t="n">
        <f aca="false">Source_Data!M$11*$B$7</f>
        <v>26.4</v>
      </c>
      <c r="N14" s="33" t="n">
        <f aca="false">Source_Data!N$11*$B$7</f>
        <v>5.28</v>
      </c>
      <c r="O14" s="33" t="n">
        <f aca="false">Source_Data!O$11*$B$7</f>
        <v>5.28</v>
      </c>
      <c r="P14" s="33" t="n">
        <f aca="false">Source_Data!P$11*$B$7</f>
        <v>120</v>
      </c>
      <c r="Q14" s="33" t="n">
        <f aca="false">Source_Data!Q$11*$B$7</f>
        <v>120</v>
      </c>
      <c r="R14" s="33" t="n">
        <f aca="false">Source_Data!R$11*$B$7</f>
        <v>164</v>
      </c>
      <c r="S14" s="33" t="n">
        <f aca="false">Source_Data!S$11*$B$7</f>
        <v>117</v>
      </c>
      <c r="T14" s="33" t="n">
        <f aca="false">Source_Data!T$11*$B$7</f>
        <v>0</v>
      </c>
      <c r="U14" s="33" t="n">
        <f aca="false">Source_Data!U$11*$B$7</f>
        <v>0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196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9.689112</v>
      </c>
      <c r="K15" s="33" t="n">
        <f aca="false">$B$5*IF(Source_Data!K$5-$B$6&gt;=1,INDEX(Source_Data!$D$12:$BK$12,1,Source_Data!K$5-$B$6),0)</f>
        <v>9.689112</v>
      </c>
      <c r="L15" s="33" t="n">
        <f aca="false">$B$5*IF(Source_Data!L$5-$B$6&gt;=1,INDEX(Source_Data!$D$12:$BK$12,1,Source_Data!L$5-$B$6),0)</f>
        <v>7.617008</v>
      </c>
      <c r="M15" s="33" t="n">
        <f aca="false">$B$5*IF(Source_Data!M$5-$B$6&gt;=1,INDEX(Source_Data!$D$12:$BK$12,1,Source_Data!M$5-$B$6),0)</f>
        <v>7.617008</v>
      </c>
      <c r="N15" s="33" t="n">
        <f aca="false">$B$5*IF(Source_Data!N$5-$B$6&gt;=1,INDEX(Source_Data!$D$12:$BK$12,1,Source_Data!N$5-$B$6),0)</f>
        <v>5.591208</v>
      </c>
      <c r="O15" s="33" t="n">
        <f aca="false">$B$5*IF(Source_Data!O$5-$B$6&gt;=1,INDEX(Source_Data!$D$12:$BK$12,1,Source_Data!O$5-$B$6),0)</f>
        <v>5.591208</v>
      </c>
      <c r="P15" s="33" t="n">
        <f aca="false">$B$5*IF(Source_Data!P$5-$B$6&gt;=1,INDEX(Source_Data!$D$12:$BK$12,1,Source_Data!P$5-$B$6),0)</f>
        <v>6.158432</v>
      </c>
      <c r="Q15" s="33" t="n">
        <f aca="false">$B$5*IF(Source_Data!Q$5-$B$6&gt;=1,INDEX(Source_Data!$D$12:$BK$12,1,Source_Data!Q$5-$B$6),0)</f>
        <v>7.40864</v>
      </c>
      <c r="R15" s="33" t="n">
        <f aca="false">$B$5*IF(Source_Data!R$5-$B$6&gt;=1,INDEX(Source_Data!$D$12:$BK$12,1,Source_Data!R$5-$B$6),0)</f>
        <v>7.40864</v>
      </c>
      <c r="S15" s="33" t="n">
        <f aca="false">$B$5*IF(Source_Data!S$5-$B$6&gt;=1,INDEX(Source_Data!$D$12:$BK$12,1,Source_Data!S$5-$B$6),0)</f>
        <v>5.32496</v>
      </c>
      <c r="T15" s="33" t="n">
        <f aca="false">$B$5*IF(Source_Data!T$5-$B$6&gt;=1,INDEX(Source_Data!$D$12:$BK$12,1,Source_Data!T$5-$B$6),0)</f>
        <v>0</v>
      </c>
      <c r="U15" s="33" t="n">
        <f aca="false">$B$5*IF(Source_Data!U$5-$B$6&gt;=1,INDEX(Source_Data!$D$12:$BK$12,1,Source_Data!U$5-$B$6),0)</f>
        <v>0</v>
      </c>
      <c r="V15" s="33" t="n">
        <f aca="false">$B$5*IF(Source_Data!V$5-$B$6&gt;=1,INDEX(Source_Data!$D$12:$BK$12,1,Source_Data!V$5-$B$6),0)</f>
        <v>0</v>
      </c>
      <c r="W15" s="33" t="n">
        <f aca="false">$B$5*IF(Source_Data!W$5-$B$6&gt;=1,INDEX(Source_Data!$D$12:$BK$12,1,Source_Data!W$5-$B$6),0)</f>
        <v>0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215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3</v>
      </c>
      <c r="I16" s="33" t="n">
        <f aca="false">Source_Data!I$13*$B$7</f>
        <v>3.96</v>
      </c>
      <c r="J16" s="33" t="n">
        <f aca="false">Source_Data!J$13*$B$7</f>
        <v>6</v>
      </c>
      <c r="K16" s="33" t="n">
        <f aca="false">Source_Data!K$13*$B$7</f>
        <v>3.96</v>
      </c>
      <c r="L16" s="33" t="n">
        <f aca="false">Source_Data!L$13*$B$7</f>
        <v>3.96</v>
      </c>
      <c r="M16" s="33" t="n">
        <f aca="false">Source_Data!M$13*$B$7</f>
        <v>3.96</v>
      </c>
      <c r="N16" s="33" t="n">
        <f aca="false">Source_Data!N$13*$B$7</f>
        <v>0.792</v>
      </c>
      <c r="O16" s="33" t="n">
        <f aca="false">Source_Data!O$13*$B$7</f>
        <v>0.792</v>
      </c>
      <c r="P16" s="33" t="n">
        <f aca="false">Source_Data!P$13*$B$7</f>
        <v>18</v>
      </c>
      <c r="Q16" s="33" t="n">
        <f aca="false">Source_Data!Q$13*$B$7</f>
        <v>18</v>
      </c>
      <c r="R16" s="33" t="n">
        <f aca="false">Source_Data!R$13*$B$7</f>
        <v>24.6</v>
      </c>
      <c r="S16" s="33" t="n">
        <f aca="false">Source_Data!S$13*$B$7</f>
        <v>17.55</v>
      </c>
      <c r="T16" s="33" t="n">
        <f aca="false">Source_Data!T$13*$B$7</f>
        <v>0</v>
      </c>
      <c r="U16" s="33" t="n">
        <f aca="false">Source_Data!U$13*$B$7</f>
        <v>0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216</v>
      </c>
      <c r="D17" s="33" t="n">
        <f aca="false">D12-D13-D14-D15-D16</f>
        <v>-91.25</v>
      </c>
      <c r="E17" s="33" t="n">
        <f aca="false">E12-E13-E14-E15-E16</f>
        <v>-11.25</v>
      </c>
      <c r="F17" s="33" t="n">
        <f aca="false">F12-F13-F14-F15-F16</f>
        <v>0.86139</v>
      </c>
      <c r="G17" s="33" t="n">
        <f aca="false">G12-G13-G14-G15-G16</f>
        <v>12.97278</v>
      </c>
      <c r="H17" s="33" t="n">
        <f aca="false">H12-H13-H14-H15-H16</f>
        <v>-8.290395</v>
      </c>
      <c r="I17" s="33" t="n">
        <f aca="false">I12-I13-I14-I15-I16</f>
        <v>-2.66357</v>
      </c>
      <c r="J17" s="33" t="n">
        <f aca="false">J12-J13-J14-J15-J16</f>
        <v>-28.296552</v>
      </c>
      <c r="K17" s="33" t="n">
        <f aca="false">K12-K13-K14-K15-K16</f>
        <v>-11.7702645</v>
      </c>
      <c r="L17" s="33" t="n">
        <f aca="false">L12-L13-L14-L15-L16</f>
        <v>-7.46392924999998</v>
      </c>
      <c r="M17" s="33" t="n">
        <f aca="false">M12-M13-M14-M15-M16</f>
        <v>324.476062</v>
      </c>
      <c r="N17" s="33" t="n">
        <f aca="false">N12-N13-N14-N15-N16</f>
        <v>103.048992</v>
      </c>
      <c r="O17" s="33" t="n">
        <f aca="false">O12-O13-O14-O15-O16</f>
        <v>95.813992</v>
      </c>
      <c r="P17" s="33" t="n">
        <f aca="false">P12-P13-P14-P15-P16</f>
        <v>-111.309832</v>
      </c>
      <c r="Q17" s="33" t="n">
        <f aca="false">Q12-Q13-Q14-Q15-Q16</f>
        <v>-133.360665</v>
      </c>
      <c r="R17" s="33" t="n">
        <f aca="false">R12-R13-R14-R15-R16</f>
        <v>-183.960665</v>
      </c>
      <c r="S17" s="33" t="n">
        <f aca="false">S12-S13-S14-S15-S16</f>
        <v>-130.4453315</v>
      </c>
      <c r="T17" s="33" t="n">
        <f aca="false">T12-T13-T14-T15-T16</f>
        <v>3.98131175</v>
      </c>
      <c r="U17" s="33" t="n">
        <f aca="false">U12-U13-U14-U15-U16</f>
        <v>2.77017275</v>
      </c>
      <c r="V17" s="33" t="n">
        <f aca="false">V12-V13-V14-V15-V16</f>
        <v>-2.02084425</v>
      </c>
      <c r="W17" s="33" t="n">
        <f aca="false">W12-W13-W14-W15-W16</f>
        <v>-5.49364425</v>
      </c>
      <c r="X17" s="33" t="n">
        <f aca="false">X12-X13-X14-X15-X16</f>
        <v>17.00635575</v>
      </c>
      <c r="Y17" s="33" t="n">
        <f aca="false">Y12-Y13-Y14-Y15-Y16</f>
        <v>11.18218075</v>
      </c>
      <c r="Z17" s="33" t="n">
        <f aca="false">Z12-Z13-Z14-Z15-Z16</f>
        <v>11.18218075</v>
      </c>
      <c r="AA17" s="33" t="n">
        <f aca="false">AA12-AA13-AA14-AA15-AA16</f>
        <v>11.18218075</v>
      </c>
      <c r="AB17" s="33" t="n">
        <f aca="false">AB12-AB13-AB14-AB15-AB16</f>
        <v>29.05178075</v>
      </c>
      <c r="AC17" s="33" t="n">
        <f aca="false">AC12-AC13-AC14-AC15-AC16</f>
        <v>26.430902</v>
      </c>
      <c r="AD17" s="33" t="n">
        <f aca="false">AD12-AD13-AD14-AD15-AD16</f>
        <v>23.544137</v>
      </c>
      <c r="AE17" s="33" t="n">
        <f aca="false">AE12-AE13-AE14-AE15-AE16</f>
        <v>20.071337</v>
      </c>
      <c r="AF17" s="33" t="n">
        <f aca="false">AF12-AF13-AF14-AF15-AF16</f>
        <v>20.071337</v>
      </c>
      <c r="AG17" s="33" t="n">
        <f aca="false">AG12-AG13-AG14-AG15-AG16</f>
        <v>20.071337</v>
      </c>
      <c r="AH17" s="33" t="n">
        <f aca="false">AH12-AH13-AH14-AH15-AH16</f>
        <v>20.071337</v>
      </c>
      <c r="AI17" s="33" t="n">
        <f aca="false">AI12-AI13-AI14-AI15-AI16</f>
        <v>20.071337</v>
      </c>
      <c r="AJ17" s="33" t="n">
        <f aca="false">AJ12-AJ13-AJ14-AJ15-AJ16</f>
        <v>20.071337</v>
      </c>
      <c r="AK17" s="33" t="n">
        <f aca="false">AK12-AK13-AK14-AK15-AK16</f>
        <v>18.3240845</v>
      </c>
      <c r="AL17" s="33" t="n">
        <f aca="false">AL12-AL13-AL14-AL15-AL16</f>
        <v>18.3240845</v>
      </c>
      <c r="AM17" s="33" t="n">
        <f aca="false">AM12-AM13-AM14-AM15-AM16</f>
        <v>14.9916435</v>
      </c>
      <c r="AN17" s="33" t="n">
        <f aca="false">AN12-AN13-AN14-AN15-AN16</f>
        <v>7.700934</v>
      </c>
      <c r="AO17" s="33" t="n">
        <f aca="false">AO12-AO13-AO14-AO15-AO16</f>
        <v>2.856378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217</v>
      </c>
      <c r="D18" s="33" t="n">
        <f aca="false">D17</f>
        <v>-91.25</v>
      </c>
      <c r="E18" s="33" t="n">
        <f aca="false">D18+E17</f>
        <v>-102.5</v>
      </c>
      <c r="F18" s="33" t="n">
        <f aca="false">E18+F17</f>
        <v>-101.63861</v>
      </c>
      <c r="G18" s="33" t="n">
        <f aca="false">F18+G17</f>
        <v>-88.66583</v>
      </c>
      <c r="H18" s="33" t="n">
        <f aca="false">G18+H17</f>
        <v>-96.956225</v>
      </c>
      <c r="I18" s="33" t="n">
        <f aca="false">H18+I17</f>
        <v>-99.619795</v>
      </c>
      <c r="J18" s="33" t="n">
        <f aca="false">I18+J17</f>
        <v>-127.916347</v>
      </c>
      <c r="K18" s="33" t="n">
        <f aca="false">J18+K17</f>
        <v>-139.6866115</v>
      </c>
      <c r="L18" s="33" t="n">
        <f aca="false">K18+L17</f>
        <v>-147.15054075</v>
      </c>
      <c r="M18" s="33" t="n">
        <f aca="false">L18+M17</f>
        <v>177.32552125</v>
      </c>
      <c r="N18" s="33" t="n">
        <f aca="false">M18+N17</f>
        <v>280.37451325</v>
      </c>
      <c r="O18" s="33" t="n">
        <f aca="false">N18+O17</f>
        <v>376.18850525</v>
      </c>
      <c r="P18" s="33" t="n">
        <f aca="false">O18+P17</f>
        <v>264.87867325</v>
      </c>
      <c r="Q18" s="33" t="n">
        <f aca="false">P18+Q17</f>
        <v>131.51800825</v>
      </c>
      <c r="R18" s="33" t="n">
        <f aca="false">Q18+R17</f>
        <v>-52.4426567499998</v>
      </c>
      <c r="S18" s="33" t="n">
        <f aca="false">R18+S17</f>
        <v>-182.88798825</v>
      </c>
      <c r="T18" s="33" t="n">
        <f aca="false">S18+T17</f>
        <v>-178.9066765</v>
      </c>
      <c r="U18" s="33" t="n">
        <f aca="false">T18+U17</f>
        <v>-176.13650375</v>
      </c>
      <c r="V18" s="33" t="n">
        <f aca="false">U18+V17</f>
        <v>-178.157348</v>
      </c>
      <c r="W18" s="33" t="n">
        <f aca="false">V18+W17</f>
        <v>-183.65099225</v>
      </c>
      <c r="X18" s="33" t="n">
        <f aca="false">W18+X17</f>
        <v>-166.6446365</v>
      </c>
      <c r="Y18" s="33" t="n">
        <f aca="false">X18+Y17</f>
        <v>-155.46245575</v>
      </c>
      <c r="Z18" s="33" t="n">
        <f aca="false">Y18+Z17</f>
        <v>-144.280275</v>
      </c>
      <c r="AA18" s="33" t="n">
        <f aca="false">Z18+AA17</f>
        <v>-133.09809425</v>
      </c>
      <c r="AB18" s="33" t="n">
        <f aca="false">AA18+AB17</f>
        <v>-104.0463135</v>
      </c>
      <c r="AC18" s="33" t="n">
        <f aca="false">AB18+AC17</f>
        <v>-77.6154114999999</v>
      </c>
      <c r="AD18" s="33" t="n">
        <f aca="false">AC18+AD17</f>
        <v>-54.0712744999998</v>
      </c>
      <c r="AE18" s="33" t="n">
        <f aca="false">AD18+AE17</f>
        <v>-33.9999374999998</v>
      </c>
      <c r="AF18" s="33" t="n">
        <f aca="false">AE18+AF17</f>
        <v>-13.9286004999998</v>
      </c>
      <c r="AG18" s="33" t="n">
        <f aca="false">AF18+AG17</f>
        <v>6.14273650000015</v>
      </c>
      <c r="AH18" s="33" t="n">
        <f aca="false">AG18+AH17</f>
        <v>26.2140735000002</v>
      </c>
      <c r="AI18" s="33" t="n">
        <f aca="false">AH18+AI17</f>
        <v>46.2854105000002</v>
      </c>
      <c r="AJ18" s="33" t="n">
        <f aca="false">AI18+AJ17</f>
        <v>66.3567475000002</v>
      </c>
      <c r="AK18" s="33" t="n">
        <f aca="false">AJ18+AK17</f>
        <v>84.6808320000002</v>
      </c>
      <c r="AL18" s="33" t="n">
        <f aca="false">AK18+AL17</f>
        <v>103.0049165</v>
      </c>
      <c r="AM18" s="33" t="n">
        <f aca="false">AL18+AM17</f>
        <v>117.99656</v>
      </c>
      <c r="AN18" s="33" t="n">
        <f aca="false">AM18+AN17</f>
        <v>125.697494</v>
      </c>
      <c r="AO18" s="33" t="n">
        <f aca="false">AN18+AO17</f>
        <v>128.553872</v>
      </c>
      <c r="AP18" s="33" t="n">
        <f aca="false">AO18+AP17</f>
        <v>128.553872</v>
      </c>
      <c r="AQ18" s="33" t="n">
        <f aca="false">AP18+AQ17</f>
        <v>128.553872</v>
      </c>
      <c r="AR18" s="33" t="n">
        <f aca="false">AQ18+AR17</f>
        <v>128.553872</v>
      </c>
      <c r="AS18" s="33" t="n">
        <f aca="false">AR18+AS17</f>
        <v>128.553872</v>
      </c>
      <c r="AT18" s="33" t="n">
        <f aca="false">AS18+AT17</f>
        <v>128.553872</v>
      </c>
      <c r="AU18" s="33" t="n">
        <f aca="false">AT18+AU17</f>
        <v>128.553872</v>
      </c>
      <c r="AV18" s="33" t="n">
        <f aca="false">AU18+AV17</f>
        <v>128.553872</v>
      </c>
      <c r="AW18" s="33" t="n">
        <f aca="false">AV18+AW17</f>
        <v>128.553872</v>
      </c>
      <c r="AX18" s="33" t="n">
        <f aca="false">AW18+AX17</f>
        <v>128.553872</v>
      </c>
      <c r="AY18" s="33" t="n">
        <f aca="false">AX18+AY17</f>
        <v>128.553872</v>
      </c>
      <c r="AZ18" s="33" t="n">
        <f aca="false">AY18+AZ17</f>
        <v>128.553872</v>
      </c>
      <c r="BA18" s="33" t="n">
        <f aca="false">AZ18+BA17</f>
        <v>128.553872</v>
      </c>
      <c r="BB18" s="33" t="n">
        <f aca="false">BA18+BB17</f>
        <v>128.553872</v>
      </c>
      <c r="BC18" s="33" t="n">
        <f aca="false">BB18+BC17</f>
        <v>128.553872</v>
      </c>
      <c r="BD18" s="33" t="n">
        <f aca="false">BC18+BD17</f>
        <v>128.553872</v>
      </c>
      <c r="BE18" s="33" t="n">
        <f aca="false">BD18+BE17</f>
        <v>128.553872</v>
      </c>
      <c r="BF18" s="33" t="n">
        <f aca="false">BE18+BF17</f>
        <v>128.553872</v>
      </c>
      <c r="BG18" s="33" t="n">
        <f aca="false">BF18+BG17</f>
        <v>128.553872</v>
      </c>
      <c r="BH18" s="33" t="n">
        <f aca="false">BG18+BH17</f>
        <v>128.553872</v>
      </c>
      <c r="BI18" s="33" t="n">
        <f aca="false">BH18+BI17</f>
        <v>128.553872</v>
      </c>
      <c r="BJ18" s="33" t="n">
        <f aca="false">BI18+BJ17</f>
        <v>128.553872</v>
      </c>
      <c r="BK18" s="33" t="n">
        <f aca="false">BJ18+BK17</f>
        <v>128.553872</v>
      </c>
    </row>
    <row r="19" customFormat="false" ht="15" hidden="false" customHeight="false" outlineLevel="0" collapsed="false">
      <c r="A19" s="3" t="s">
        <v>340</v>
      </c>
      <c r="D19" s="33" t="n">
        <f aca="false">IF(Source_Data!D$6=Inputs!$B$12,-Inputs!$B$7,0)+IF(AND(Source_Data!D$6&gt;=$B$10,Source_Data!D$6&lt;$B$10+3*Inputs!$B$16,MOD(Source_Data!D$6-$B$10,3)=0),Inputs!$B$8*Inputs!$B$7*Inputs!$B$34*$B$5*(1-Inputs!$B$15)/Inputs!$B$16,0)</f>
        <v>-100</v>
      </c>
      <c r="E19" s="33" t="n">
        <f aca="false">IF(Source_Data!E$6=Inputs!$B$12,-Inputs!$B$7,0)+IF(AND(Source_Data!E$6&gt;=$B$10,Source_Data!E$6&lt;$B$10+3*Inputs!$B$16,MOD(Source_Data!E$6-$B$10,3)=0),Inputs!$B$8*Inputs!$B$7*Inputs!$B$34*$B$5*(1-Inputs!$B$15)/Inputs!$B$16,0)</f>
        <v>0</v>
      </c>
      <c r="F19" s="33" t="n">
        <f aca="false">IF(Source_Data!F$6=Inputs!$B$12,-Inputs!$B$7,0)+IF(AND(Source_Data!F$6&gt;=$B$10,Source_Data!F$6&lt;$B$10+3*Inputs!$B$16,MOD(Source_Data!F$6-$B$10,3)=0),Inputs!$B$8*Inputs!$B$7*Inputs!$B$34*$B$5*(1-Inputs!$B$15)/Inputs!$B$16,0)</f>
        <v>0</v>
      </c>
      <c r="G19" s="33" t="n">
        <f aca="false">IF(Source_Data!G$6=Inputs!$B$12,-Inputs!$B$7,0)+IF(AND(Source_Data!G$6&gt;=$B$10,Source_Data!G$6&lt;$B$10+3*Inputs!$B$16,MOD(Source_Data!G$6-$B$10,3)=0),Inputs!$B$8*Inputs!$B$7*Inputs!$B$34*$B$5*(1-Inputs!$B$15)/Inputs!$B$16,0)</f>
        <v>0</v>
      </c>
      <c r="H19" s="33" t="n">
        <f aca="false">IF(Source_Data!H$6=Inputs!$B$12,-Inputs!$B$7,0)+IF(AND(Source_Data!H$6&gt;=$B$10,Source_Data!H$6&lt;$B$10+3*Inputs!$B$16,MOD(Source_Data!H$6-$B$10,3)=0),Inputs!$B$8*Inputs!$B$7*Inputs!$B$34*$B$5*(1-Inputs!$B$15)/Inputs!$B$16,0)</f>
        <v>0</v>
      </c>
      <c r="I19" s="33" t="n">
        <f aca="false">IF(Source_Data!I$6=Inputs!$B$12,-Inputs!$B$7,0)+IF(AND(Source_Data!I$6&gt;=$B$10,Source_Data!I$6&lt;$B$10+3*Inputs!$B$16,MOD(Source_Data!I$6-$B$10,3)=0),Inputs!$B$8*Inputs!$B$7*Inputs!$B$34*$B$5*(1-Inputs!$B$15)/Inputs!$B$16,0)</f>
        <v>0</v>
      </c>
      <c r="J19" s="33" t="n">
        <f aca="false">IF(Source_Data!J$6=Inputs!$B$12,-Inputs!$B$7,0)+IF(AND(Source_Data!J$6&gt;=$B$10,Source_Data!J$6&lt;$B$10+3*Inputs!$B$16,MOD(Source_Data!J$6-$B$10,3)=0),Inputs!$B$8*Inputs!$B$7*Inputs!$B$34*$B$5*(1-Inputs!$B$15)/Inputs!$B$16,0)</f>
        <v>0</v>
      </c>
      <c r="K19" s="33" t="n">
        <f aca="false">IF(Source_Data!K$6=Inputs!$B$12,-Inputs!$B$7,0)+IF(AND(Source_Data!K$6&gt;=$B$10,Source_Data!K$6&lt;$B$10+3*Inputs!$B$16,MOD(Source_Data!K$6-$B$10,3)=0),Inputs!$B$8*Inputs!$B$7*Inputs!$B$34*$B$5*(1-Inputs!$B$15)/Inputs!$B$16,0)</f>
        <v>0</v>
      </c>
      <c r="L19" s="33" t="n">
        <f aca="false">IF(Source_Data!L$6=Inputs!$B$12,-Inputs!$B$7,0)+IF(AND(Source_Data!L$6&gt;=$B$10,Source_Data!L$6&lt;$B$10+3*Inputs!$B$16,MOD(Source_Data!L$6-$B$10,3)=0),Inputs!$B$8*Inputs!$B$7*Inputs!$B$34*$B$5*(1-Inputs!$B$15)/Inputs!$B$16,0)</f>
        <v>0</v>
      </c>
      <c r="M19" s="33" t="n">
        <f aca="false">IF(Source_Data!M$6=Inputs!$B$12,-Inputs!$B$7,0)+IF(AND(Source_Data!M$6&gt;=$B$10,Source_Data!M$6&lt;$B$10+3*Inputs!$B$16,MOD(Source_Data!M$6-$B$10,3)=0),Inputs!$B$8*Inputs!$B$7*Inputs!$B$34*$B$5*(1-Inputs!$B$15)/Inputs!$B$16,0)</f>
        <v>0</v>
      </c>
      <c r="N19" s="33" t="n">
        <f aca="false">IF(Source_Data!N$6=Inputs!$B$12,-Inputs!$B$7,0)+IF(AND(Source_Data!N$6&gt;=$B$10,Source_Data!N$6&lt;$B$10+3*Inputs!$B$16,MOD(Source_Data!N$6-$B$10,3)=0),Inputs!$B$8*Inputs!$B$7*Inputs!$B$34*$B$5*(1-Inputs!$B$15)/Inputs!$B$16,0)</f>
        <v>0</v>
      </c>
      <c r="O19" s="33" t="n">
        <f aca="false">IF(Source_Data!O$6=Inputs!$B$12,-Inputs!$B$7,0)+IF(AND(Source_Data!O$6&gt;=$B$10,Source_Data!O$6&lt;$B$10+3*Inputs!$B$16,MOD(Source_Data!O$6-$B$10,3)=0),Inputs!$B$8*Inputs!$B$7*Inputs!$B$34*$B$5*(1-Inputs!$B$15)/Inputs!$B$16,0)</f>
        <v>0</v>
      </c>
      <c r="P19" s="33" t="n">
        <f aca="false">IF(Source_Data!P$6=Inputs!$B$12,-Inputs!$B$7,0)+IF(AND(Source_Data!P$6&gt;=$B$10,Source_Data!P$6&lt;$B$10+3*Inputs!$B$16,MOD(Source_Data!P$6-$B$10,3)=0),Inputs!$B$8*Inputs!$B$7*Inputs!$B$34*$B$5*(1-Inputs!$B$15)/Inputs!$B$16,0)</f>
        <v>0</v>
      </c>
      <c r="Q19" s="33" t="n">
        <f aca="false">IF(Source_Data!Q$6=Inputs!$B$12,-Inputs!$B$7,0)+IF(AND(Source_Data!Q$6&gt;=$B$10,Source_Data!Q$6&lt;$B$10+3*Inputs!$B$16,MOD(Source_Data!Q$6-$B$10,3)=0),Inputs!$B$8*Inputs!$B$7*Inputs!$B$34*$B$5*(1-Inputs!$B$15)/Inputs!$B$16,0)</f>
        <v>0</v>
      </c>
      <c r="R19" s="33" t="n">
        <f aca="false">IF(Source_Data!R$6=Inputs!$B$12,-Inputs!$B$7,0)+IF(AND(Source_Data!R$6&gt;=$B$10,Source_Data!R$6&lt;$B$10+3*Inputs!$B$16,MOD(Source_Data!R$6-$B$10,3)=0),Inputs!$B$8*Inputs!$B$7*Inputs!$B$34*$B$5*(1-Inputs!$B$15)/Inputs!$B$16,0)</f>
        <v>0</v>
      </c>
      <c r="S19" s="33" t="n">
        <f aca="false">IF(Source_Data!S$6=Inputs!$B$12,-Inputs!$B$7,0)+IF(AND(Source_Data!S$6&gt;=$B$10,Source_Data!S$6&lt;$B$10+3*Inputs!$B$16,MOD(Source_Data!S$6-$B$10,3)=0),Inputs!$B$8*Inputs!$B$7*Inputs!$B$34*$B$5*(1-Inputs!$B$15)/Inputs!$B$16,0)</f>
        <v>0</v>
      </c>
      <c r="T19" s="33" t="n">
        <f aca="false">IF(Source_Data!T$6=Inputs!$B$12,-Inputs!$B$7,0)+IF(AND(Source_Data!T$6&gt;=$B$10,Source_Data!T$6&lt;$B$10+3*Inputs!$B$16,MOD(Source_Data!T$6-$B$10,3)=0),Inputs!$B$8*Inputs!$B$7*Inputs!$B$34*$B$5*(1-Inputs!$B$15)/Inputs!$B$16,0)</f>
        <v>55.6272401433692</v>
      </c>
      <c r="U19" s="33" t="n">
        <f aca="false">IF(Source_Data!U$6=Inputs!$B$12,-Inputs!$B$7,0)+IF(AND(Source_Data!U$6&gt;=$B$10,Source_Data!U$6&lt;$B$10+3*Inputs!$B$16,MOD(Source_Data!U$6-$B$10,3)=0),Inputs!$B$8*Inputs!$B$7*Inputs!$B$34*$B$5*(1-Inputs!$B$15)/Inputs!$B$16,0)</f>
        <v>55.6272401433692</v>
      </c>
      <c r="V19" s="33" t="n">
        <f aca="false">IF(Source_Data!V$6=Inputs!$B$12,-Inputs!$B$7,0)+IF(AND(Source_Data!V$6&gt;=$B$10,Source_Data!V$6&lt;$B$10+3*Inputs!$B$16,MOD(Source_Data!V$6-$B$10,3)=0),Inputs!$B$8*Inputs!$B$7*Inputs!$B$34*$B$5*(1-Inputs!$B$15)/Inputs!$B$16,0)</f>
        <v>55.6272401433692</v>
      </c>
      <c r="W19" s="33" t="n">
        <f aca="false">IF(Source_Data!W$6=Inputs!$B$12,-Inputs!$B$7,0)+IF(AND(Source_Data!W$6&gt;=$B$10,Source_Data!W$6&lt;$B$10+3*Inputs!$B$16,MOD(Source_Data!W$6-$B$10,3)=0),Inputs!$B$8*Inputs!$B$7*Inputs!$B$34*$B$5*(1-Inputs!$B$15)/Inputs!$B$16,0)</f>
        <v>55.6272401433692</v>
      </c>
      <c r="X19" s="33" t="n">
        <f aca="false">IF(Source_Data!X$6=Inputs!$B$12,-Inputs!$B$7,0)+IF(AND(Source_Data!X$6&gt;=$B$10,Source_Data!X$6&lt;$B$10+3*Inputs!$B$16,MOD(Source_Data!X$6-$B$10,3)=0),Inputs!$B$8*Inputs!$B$7*Inputs!$B$34*$B$5*(1-Inputs!$B$15)/Inputs!$B$16,0)</f>
        <v>0</v>
      </c>
      <c r="Y19" s="33" t="n">
        <f aca="false">IF(Source_Data!Y$6=Inputs!$B$12,-Inputs!$B$7,0)+IF(AND(Source_Data!Y$6&gt;=$B$10,Source_Data!Y$6&lt;$B$10+3*Inputs!$B$16,MOD(Source_Data!Y$6-$B$10,3)=0),Inputs!$B$8*Inputs!$B$7*Inputs!$B$34*$B$5*(1-Inputs!$B$15)/Inputs!$B$16,0)</f>
        <v>0</v>
      </c>
      <c r="Z19" s="33" t="n">
        <f aca="false">IF(Source_Data!Z$6=Inputs!$B$12,-Inputs!$B$7,0)+IF(AND(Source_Data!Z$6&gt;=$B$10,Source_Data!Z$6&lt;$B$10+3*Inputs!$B$16,MOD(Source_Data!Z$6-$B$10,3)=0),Inputs!$B$8*Inputs!$B$7*Inputs!$B$34*$B$5*(1-Inputs!$B$15)/Inputs!$B$16,0)</f>
        <v>0</v>
      </c>
      <c r="AA19" s="33" t="n">
        <f aca="false">IF(Source_Data!AA$6=Inputs!$B$12,-Inputs!$B$7,0)+IF(AND(Source_Data!AA$6&gt;=$B$10,Source_Data!AA$6&lt;$B$10+3*Inputs!$B$16,MOD(Source_Data!AA$6-$B$10,3)=0),Inputs!$B$8*Inputs!$B$7*Inputs!$B$34*$B$5*(1-Inputs!$B$15)/Inputs!$B$16,0)</f>
        <v>0</v>
      </c>
      <c r="AB19" s="33" t="n">
        <f aca="false">IF(Source_Data!AB$6=Inputs!$B$12,-Inputs!$B$7,0)+IF(AND(Source_Data!AB$6&gt;=$B$10,Source_Data!AB$6&lt;$B$10+3*Inputs!$B$16,MOD(Source_Data!AB$6-$B$10,3)=0),Inputs!$B$8*Inputs!$B$7*Inputs!$B$34*$B$5*(1-Inputs!$B$15)/Inputs!$B$16,0)</f>
        <v>0</v>
      </c>
      <c r="AC19" s="33" t="n">
        <f aca="false">IF(Source_Data!AC$6=Inputs!$B$12,-Inputs!$B$7,0)+IF(AND(Source_Data!AC$6&gt;=$B$10,Source_Data!AC$6&lt;$B$10+3*Inputs!$B$16,MOD(Source_Data!AC$6-$B$10,3)=0),Inputs!$B$8*Inputs!$B$7*Inputs!$B$34*$B$5*(1-Inputs!$B$15)/Inputs!$B$16,0)</f>
        <v>0</v>
      </c>
      <c r="AD19" s="33" t="n">
        <f aca="false">IF(Source_Data!AD$6=Inputs!$B$12,-Inputs!$B$7,0)+IF(AND(Source_Data!AD$6&gt;=$B$10,Source_Data!AD$6&lt;$B$10+3*Inputs!$B$16,MOD(Source_Data!AD$6-$B$10,3)=0),Inputs!$B$8*Inputs!$B$7*Inputs!$B$34*$B$5*(1-Inputs!$B$15)/Inputs!$B$16,0)</f>
        <v>0</v>
      </c>
      <c r="AE19" s="33" t="n">
        <f aca="false">IF(Source_Data!AE$6=Inputs!$B$12,-Inputs!$B$7,0)+IF(AND(Source_Data!AE$6&gt;=$B$10,Source_Data!AE$6&lt;$B$10+3*Inputs!$B$16,MOD(Source_Data!AE$6-$B$10,3)=0),Inputs!$B$8*Inputs!$B$7*Inputs!$B$34*$B$5*(1-Inputs!$B$15)/Inputs!$B$16,0)</f>
        <v>0</v>
      </c>
      <c r="AF19" s="33" t="n">
        <f aca="false">IF(Source_Data!AF$6=Inputs!$B$12,-Inputs!$B$7,0)+IF(AND(Source_Data!AF$6&gt;=$B$10,Source_Data!AF$6&lt;$B$10+3*Inputs!$B$16,MOD(Source_Data!AF$6-$B$10,3)=0),Inputs!$B$8*Inputs!$B$7*Inputs!$B$34*$B$5*(1-Inputs!$B$15)/Inputs!$B$16,0)</f>
        <v>0</v>
      </c>
      <c r="AG19" s="33" t="n">
        <f aca="false">IF(Source_Data!AG$6=Inputs!$B$12,-Inputs!$B$7,0)+IF(AND(Source_Data!AG$6&gt;=$B$10,Source_Data!AG$6&lt;$B$10+3*Inputs!$B$16,MOD(Source_Data!AG$6-$B$10,3)=0),Inputs!$B$8*Inputs!$B$7*Inputs!$B$34*$B$5*(1-Inputs!$B$15)/Inputs!$B$16,0)</f>
        <v>0</v>
      </c>
      <c r="AH19" s="33" t="n">
        <f aca="false">IF(Source_Data!AH$6=Inputs!$B$12,-Inputs!$B$7,0)+IF(AND(Source_Data!AH$6&gt;=$B$10,Source_Data!AH$6&lt;$B$10+3*Inputs!$B$16,MOD(Source_Data!AH$6-$B$10,3)=0),Inputs!$B$8*Inputs!$B$7*Inputs!$B$34*$B$5*(1-Inputs!$B$15)/Inputs!$B$16,0)</f>
        <v>0</v>
      </c>
      <c r="AI19" s="33" t="n">
        <f aca="false">IF(Source_Data!AI$6=Inputs!$B$12,-Inputs!$B$7,0)+IF(AND(Source_Data!AI$6&gt;=$B$10,Source_Data!AI$6&lt;$B$10+3*Inputs!$B$16,MOD(Source_Data!AI$6-$B$10,3)=0),Inputs!$B$8*Inputs!$B$7*Inputs!$B$34*$B$5*(1-Inputs!$B$15)/Inputs!$B$16,0)</f>
        <v>0</v>
      </c>
      <c r="AJ19" s="33" t="n">
        <f aca="false">IF(Source_Data!AJ$6=Inputs!$B$12,-Inputs!$B$7,0)+IF(AND(Source_Data!AJ$6&gt;=$B$10,Source_Data!AJ$6&lt;$B$10+3*Inputs!$B$16,MOD(Source_Data!AJ$6-$B$10,3)=0),Inputs!$B$8*Inputs!$B$7*Inputs!$B$34*$B$5*(1-Inputs!$B$15)/Inputs!$B$16,0)</f>
        <v>0</v>
      </c>
      <c r="AK19" s="33" t="n">
        <f aca="false">IF(Source_Data!AK$6=Inputs!$B$12,-Inputs!$B$7,0)+IF(AND(Source_Data!AK$6&gt;=$B$10,Source_Data!AK$6&lt;$B$10+3*Inputs!$B$16,MOD(Source_Data!AK$6-$B$10,3)=0),Inputs!$B$8*Inputs!$B$7*Inputs!$B$34*$B$5*(1-Inputs!$B$15)/Inputs!$B$16,0)</f>
        <v>0</v>
      </c>
      <c r="AL19" s="33" t="n">
        <f aca="false">IF(Source_Data!AL$6=Inputs!$B$12,-Inputs!$B$7,0)+IF(AND(Source_Data!AL$6&gt;=$B$10,Source_Data!AL$6&lt;$B$10+3*Inputs!$B$16,MOD(Source_Data!AL$6-$B$10,3)=0),Inputs!$B$8*Inputs!$B$7*Inputs!$B$34*$B$5*(1-Inputs!$B$15)/Inputs!$B$16,0)</f>
        <v>0</v>
      </c>
      <c r="AM19" s="33" t="n">
        <f aca="false">IF(Source_Data!AM$6=Inputs!$B$12,-Inputs!$B$7,0)+IF(AND(Source_Data!AM$6&gt;=$B$10,Source_Data!AM$6&lt;$B$10+3*Inputs!$B$16,MOD(Source_Data!AM$6-$B$10,3)=0),Inputs!$B$8*Inputs!$B$7*Inputs!$B$34*$B$5*(1-Inputs!$B$15)/Inputs!$B$16,0)</f>
        <v>0</v>
      </c>
      <c r="AN19" s="33" t="n">
        <f aca="false">IF(Source_Data!AN$6=Inputs!$B$12,-Inputs!$B$7,0)+IF(AND(Source_Data!AN$6&gt;=$B$10,Source_Data!AN$6&lt;$B$10+3*Inputs!$B$16,MOD(Source_Data!AN$6-$B$10,3)=0),Inputs!$B$8*Inputs!$B$7*Inputs!$B$34*$B$5*(1-Inputs!$B$15)/Inputs!$B$16,0)</f>
        <v>0</v>
      </c>
      <c r="AO19" s="33" t="n">
        <f aca="false">IF(Source_Data!AO$6=Inputs!$B$12,-Inputs!$B$7,0)+IF(AND(Source_Data!AO$6&gt;=$B$10,Source_Data!AO$6&lt;$B$10+3*Inputs!$B$16,MOD(Source_Data!AO$6-$B$10,3)=0),Inputs!$B$8*Inputs!$B$7*Inputs!$B$34*$B$5*(1-Inputs!$B$15)/Inputs!$B$16,0)</f>
        <v>0</v>
      </c>
      <c r="AP19" s="33" t="n">
        <f aca="false">IF(Source_Data!AP$6=Inputs!$B$12,-Inputs!$B$7,0)+IF(AND(Source_Data!AP$6&gt;=$B$10,Source_Data!AP$6&lt;$B$10+3*Inputs!$B$16,MOD(Source_Data!AP$6-$B$10,3)=0),Inputs!$B$8*Inputs!$B$7*Inputs!$B$34*$B$5*(1-Inputs!$B$15)/Inputs!$B$16,0)</f>
        <v>0</v>
      </c>
      <c r="AQ19" s="33" t="n">
        <f aca="false">IF(Source_Data!AQ$6=Inputs!$B$12,-Inputs!$B$7,0)+IF(AND(Source_Data!AQ$6&gt;=$B$10,Source_Data!AQ$6&lt;$B$10+3*Inputs!$B$16,MOD(Source_Data!AQ$6-$B$10,3)=0),Inputs!$B$8*Inputs!$B$7*Inputs!$B$34*$B$5*(1-Inputs!$B$15)/Inputs!$B$16,0)</f>
        <v>0</v>
      </c>
      <c r="AR19" s="33" t="n">
        <f aca="false">IF(Source_Data!AR$6=Inputs!$B$12,-Inputs!$B$7,0)+IF(AND(Source_Data!AR$6&gt;=$B$10,Source_Data!AR$6&lt;$B$10+3*Inputs!$B$16,MOD(Source_Data!AR$6-$B$10,3)=0),Inputs!$B$8*Inputs!$B$7*Inputs!$B$34*$B$5*(1-Inputs!$B$15)/Inputs!$B$16,0)</f>
        <v>0</v>
      </c>
      <c r="AS19" s="33" t="n">
        <f aca="false">IF(Source_Data!AS$6=Inputs!$B$12,-Inputs!$B$7,0)+IF(AND(Source_Data!AS$6&gt;=$B$10,Source_Data!AS$6&lt;$B$10+3*Inputs!$B$16,MOD(Source_Data!AS$6-$B$10,3)=0),Inputs!$B$8*Inputs!$B$7*Inputs!$B$34*$B$5*(1-Inputs!$B$15)/Inputs!$B$16,0)</f>
        <v>0</v>
      </c>
      <c r="AT19" s="33" t="n">
        <f aca="false">IF(Source_Data!AT$6=Inputs!$B$12,-Inputs!$B$7,0)+IF(AND(Source_Data!AT$6&gt;=$B$10,Source_Data!AT$6&lt;$B$10+3*Inputs!$B$16,MOD(Source_Data!AT$6-$B$10,3)=0),Inputs!$B$8*Inputs!$B$7*Inputs!$B$34*$B$5*(1-Inputs!$B$15)/Inputs!$B$16,0)</f>
        <v>0</v>
      </c>
      <c r="AU19" s="33" t="n">
        <f aca="false">IF(Source_Data!AU$6=Inputs!$B$12,-Inputs!$B$7,0)+IF(AND(Source_Data!AU$6&gt;=$B$10,Source_Data!AU$6&lt;$B$10+3*Inputs!$B$16,MOD(Source_Data!AU$6-$B$10,3)=0),Inputs!$B$8*Inputs!$B$7*Inputs!$B$34*$B$5*(1-Inputs!$B$15)/Inputs!$B$16,0)</f>
        <v>0</v>
      </c>
      <c r="AV19" s="33" t="n">
        <f aca="false">IF(Source_Data!AV$6=Inputs!$B$12,-Inputs!$B$7,0)+IF(AND(Source_Data!AV$6&gt;=$B$10,Source_Data!AV$6&lt;$B$10+3*Inputs!$B$16,MOD(Source_Data!AV$6-$B$10,3)=0),Inputs!$B$8*Inputs!$B$7*Inputs!$B$34*$B$5*(1-Inputs!$B$15)/Inputs!$B$16,0)</f>
        <v>0</v>
      </c>
      <c r="AW19" s="33" t="n">
        <f aca="false">IF(Source_Data!AW$6=Inputs!$B$12,-Inputs!$B$7,0)+IF(AND(Source_Data!AW$6&gt;=$B$10,Source_Data!AW$6&lt;$B$10+3*Inputs!$B$16,MOD(Source_Data!AW$6-$B$10,3)=0),Inputs!$B$8*Inputs!$B$7*Inputs!$B$34*$B$5*(1-Inputs!$B$15)/Inputs!$B$16,0)</f>
        <v>0</v>
      </c>
      <c r="AX19" s="33" t="n">
        <f aca="false">IF(Source_Data!AX$6=Inputs!$B$12,-Inputs!$B$7,0)+IF(AND(Source_Data!AX$6&gt;=$B$10,Source_Data!AX$6&lt;$B$10+3*Inputs!$B$16,MOD(Source_Data!AX$6-$B$10,3)=0),Inputs!$B$8*Inputs!$B$7*Inputs!$B$34*$B$5*(1-Inputs!$B$15)/Inputs!$B$16,0)</f>
        <v>0</v>
      </c>
      <c r="AY19" s="33" t="n">
        <f aca="false">IF(Source_Data!AY$6=Inputs!$B$12,-Inputs!$B$7,0)+IF(AND(Source_Data!AY$6&gt;=$B$10,Source_Data!AY$6&lt;$B$10+3*Inputs!$B$16,MOD(Source_Data!AY$6-$B$10,3)=0),Inputs!$B$8*Inputs!$B$7*Inputs!$B$34*$B$5*(1-Inputs!$B$15)/Inputs!$B$16,0)</f>
        <v>0</v>
      </c>
      <c r="AZ19" s="33" t="n">
        <f aca="false">IF(Source_Data!AZ$6=Inputs!$B$12,-Inputs!$B$7,0)+IF(AND(Source_Data!AZ$6&gt;=$B$10,Source_Data!AZ$6&lt;$B$10+3*Inputs!$B$16,MOD(Source_Data!AZ$6-$B$10,3)=0),Inputs!$B$8*Inputs!$B$7*Inputs!$B$34*$B$5*(1-Inputs!$B$15)/Inputs!$B$16,0)</f>
        <v>0</v>
      </c>
      <c r="BA19" s="33" t="n">
        <f aca="false">IF(Source_Data!BA$6=Inputs!$B$12,-Inputs!$B$7,0)+IF(AND(Source_Data!BA$6&gt;=$B$10,Source_Data!BA$6&lt;$B$10+3*Inputs!$B$16,MOD(Source_Data!BA$6-$B$10,3)=0),Inputs!$B$8*Inputs!$B$7*Inputs!$B$34*$B$5*(1-Inputs!$B$15)/Inputs!$B$16,0)</f>
        <v>0</v>
      </c>
      <c r="BB19" s="33" t="n">
        <f aca="false">IF(Source_Data!BB$6=Inputs!$B$12,-Inputs!$B$7,0)+IF(AND(Source_Data!BB$6&gt;=$B$10,Source_Data!BB$6&lt;$B$10+3*Inputs!$B$16,MOD(Source_Data!BB$6-$B$10,3)=0),Inputs!$B$8*Inputs!$B$7*Inputs!$B$34*$B$5*(1-Inputs!$B$15)/Inputs!$B$16,0)</f>
        <v>0</v>
      </c>
      <c r="BC19" s="33" t="n">
        <f aca="false">IF(Source_Data!BC$6=Inputs!$B$12,-Inputs!$B$7,0)+IF(AND(Source_Data!BC$6&gt;=$B$10,Source_Data!BC$6&lt;$B$10+3*Inputs!$B$16,MOD(Source_Data!BC$6-$B$10,3)=0),Inputs!$B$8*Inputs!$B$7*Inputs!$B$34*$B$5*(1-Inputs!$B$15)/Inputs!$B$16,0)</f>
        <v>0</v>
      </c>
      <c r="BD19" s="33" t="n">
        <f aca="false">IF(Source_Data!BD$6=Inputs!$B$12,-Inputs!$B$7,0)+IF(AND(Source_Data!BD$6&gt;=$B$10,Source_Data!BD$6&lt;$B$10+3*Inputs!$B$16,MOD(Source_Data!BD$6-$B$10,3)=0),Inputs!$B$8*Inputs!$B$7*Inputs!$B$34*$B$5*(1-Inputs!$B$15)/Inputs!$B$16,0)</f>
        <v>0</v>
      </c>
      <c r="BE19" s="33" t="n">
        <f aca="false">IF(Source_Data!BE$6=Inputs!$B$12,-Inputs!$B$7,0)+IF(AND(Source_Data!BE$6&gt;=$B$10,Source_Data!BE$6&lt;$B$10+3*Inputs!$B$16,MOD(Source_Data!BE$6-$B$10,3)=0),Inputs!$B$8*Inputs!$B$7*Inputs!$B$34*$B$5*(1-Inputs!$B$15)/Inputs!$B$16,0)</f>
        <v>0</v>
      </c>
      <c r="BF19" s="33" t="n">
        <f aca="false">IF(Source_Data!BF$6=Inputs!$B$12,-Inputs!$B$7,0)+IF(AND(Source_Data!BF$6&gt;=$B$10,Source_Data!BF$6&lt;$B$10+3*Inputs!$B$16,MOD(Source_Data!BF$6-$B$10,3)=0),Inputs!$B$8*Inputs!$B$7*Inputs!$B$34*$B$5*(1-Inputs!$B$15)/Inputs!$B$16,0)</f>
        <v>0</v>
      </c>
      <c r="BG19" s="33" t="n">
        <f aca="false">IF(Source_Data!BG$6=Inputs!$B$12,-Inputs!$B$7,0)+IF(AND(Source_Data!BG$6&gt;=$B$10,Source_Data!BG$6&lt;$B$10+3*Inputs!$B$16,MOD(Source_Data!BG$6-$B$10,3)=0),Inputs!$B$8*Inputs!$B$7*Inputs!$B$34*$B$5*(1-Inputs!$B$15)/Inputs!$B$16,0)</f>
        <v>0</v>
      </c>
      <c r="BH19" s="33" t="n">
        <f aca="false">IF(Source_Data!BH$6=Inputs!$B$12,-Inputs!$B$7,0)+IF(AND(Source_Data!BH$6&gt;=$B$10,Source_Data!BH$6&lt;$B$10+3*Inputs!$B$16,MOD(Source_Data!BH$6-$B$10,3)=0),Inputs!$B$8*Inputs!$B$7*Inputs!$B$34*$B$5*(1-Inputs!$B$15)/Inputs!$B$16,0)</f>
        <v>0</v>
      </c>
      <c r="BI19" s="33" t="n">
        <f aca="false">IF(Source_Data!BI$6=Inputs!$B$12,-Inputs!$B$7,0)+IF(AND(Source_Data!BI$6&gt;=$B$10,Source_Data!BI$6&lt;$B$10+3*Inputs!$B$16,MOD(Source_Data!BI$6-$B$10,3)=0),Inputs!$B$8*Inputs!$B$7*Inputs!$B$34*$B$5*(1-Inputs!$B$15)/Inputs!$B$16,0)</f>
        <v>0</v>
      </c>
      <c r="BJ19" s="33" t="n">
        <f aca="false">IF(Source_Data!BJ$6=Inputs!$B$12,-Inputs!$B$7,0)+IF(AND(Source_Data!BJ$6&gt;=$B$10,Source_Data!BJ$6&lt;$B$10+3*Inputs!$B$16,MOD(Source_Data!BJ$6-$B$10,3)=0),Inputs!$B$8*Inputs!$B$7*Inputs!$B$34*$B$5*(1-Inputs!$B$15)/Inputs!$B$16,0)</f>
        <v>0</v>
      </c>
      <c r="BK19" s="33" t="n">
        <f aca="false">IF(Source_Data!BK$6=Inputs!$B$12,-Inputs!$B$7,0)+IF(AND(Source_Data!BK$6&gt;=$B$10,Source_Data!BK$6&lt;$B$10+3*Inputs!$B$16,MOD(Source_Data!BK$6-$B$10,3)=0),Inputs!$B$8*Inputs!$B$7*Inputs!$B$34*$B$5*(1-Inputs!$B$15)/Inputs!$B$16,0)</f>
        <v>0</v>
      </c>
    </row>
    <row r="20" customFormat="false" ht="15" hidden="false" customHeight="false" outlineLevel="0" collapsed="false">
      <c r="A20" s="3" t="s">
        <v>341</v>
      </c>
      <c r="D20" s="33" t="n">
        <f aca="false">IF(AND(Source_Data!D$6&gt;=Inputs!$B$54,Source_Data!D$6&lt;Inputs!$B$54+3*Inputs!$B$11),Inputs!$B$9*Inputs!$B$7/Inputs!$B$11,0)</f>
        <v>0</v>
      </c>
      <c r="E20" s="33" t="n">
        <f aca="false">IF(AND(Source_Data!E$6&gt;=Inputs!$B$54,Source_Data!E$6&lt;Inputs!$B$54+3*Inputs!$B$11),Inputs!$B$9*Inputs!$B$7/Inputs!$B$11,0)</f>
        <v>0</v>
      </c>
      <c r="F20" s="33" t="n">
        <f aca="false">IF(AND(Source_Data!F$6&gt;=Inputs!$B$54,Source_Data!F$6&lt;Inputs!$B$54+3*Inputs!$B$11),Inputs!$B$9*Inputs!$B$7/Inputs!$B$11,0)</f>
        <v>0</v>
      </c>
      <c r="G20" s="33" t="n">
        <f aca="false">IF(AND(Source_Data!G$6&gt;=Inputs!$B$54,Source_Data!G$6&lt;Inputs!$B$54+3*Inputs!$B$11),Inputs!$B$9*Inputs!$B$7/Inputs!$B$11,0)</f>
        <v>0</v>
      </c>
      <c r="H20" s="33" t="n">
        <f aca="false">IF(AND(Source_Data!H$6&gt;=Inputs!$B$54,Source_Data!H$6&lt;Inputs!$B$54+3*Inputs!$B$11),Inputs!$B$9*Inputs!$B$7/Inputs!$B$11,0)</f>
        <v>0</v>
      </c>
      <c r="I20" s="33" t="n">
        <f aca="false">IF(AND(Source_Data!I$6&gt;=Inputs!$B$54,Source_Data!I$6&lt;Inputs!$B$54+3*Inputs!$B$11),Inputs!$B$9*Inputs!$B$7/Inputs!$B$11,0)</f>
        <v>0</v>
      </c>
      <c r="J20" s="33" t="n">
        <f aca="false">IF(AND(Source_Data!J$6&gt;=Inputs!$B$54,Source_Data!J$6&lt;Inputs!$B$54+3*Inputs!$B$11),Inputs!$B$9*Inputs!$B$7/Inputs!$B$11,0)</f>
        <v>0</v>
      </c>
      <c r="K20" s="33" t="n">
        <f aca="false">IF(AND(Source_Data!K$6&gt;=Inputs!$B$54,Source_Data!K$6&lt;Inputs!$B$54+3*Inputs!$B$11),Inputs!$B$9*Inputs!$B$7/Inputs!$B$11,0)</f>
        <v>0</v>
      </c>
      <c r="L20" s="33" t="n">
        <f aca="false">IF(AND(Source_Data!L$6&gt;=Inputs!$B$54,Source_Data!L$6&lt;Inputs!$B$54+3*Inputs!$B$11),Inputs!$B$9*Inputs!$B$7/Inputs!$B$11,0)</f>
        <v>0</v>
      </c>
      <c r="M20" s="33" t="n">
        <f aca="false">IF(AND(Source_Data!M$6&gt;=Inputs!$B$54,Source_Data!M$6&lt;Inputs!$B$54+3*Inputs!$B$11),Inputs!$B$9*Inputs!$B$7/Inputs!$B$11,0)</f>
        <v>19.1666666666667</v>
      </c>
      <c r="N20" s="33" t="n">
        <f aca="false">IF(AND(Source_Data!N$6&gt;=Inputs!$B$54,Source_Data!N$6&lt;Inputs!$B$54+3*Inputs!$B$11),Inputs!$B$9*Inputs!$B$7/Inputs!$B$11,0)</f>
        <v>19.1666666666667</v>
      </c>
      <c r="O20" s="33" t="n">
        <f aca="false">IF(AND(Source_Data!O$6&gt;=Inputs!$B$54,Source_Data!O$6&lt;Inputs!$B$54+3*Inputs!$B$11),Inputs!$B$9*Inputs!$B$7/Inputs!$B$11,0)</f>
        <v>19.1666666666667</v>
      </c>
      <c r="P20" s="33" t="n">
        <f aca="false">IF(AND(Source_Data!P$6&gt;=Inputs!$B$54,Source_Data!P$6&lt;Inputs!$B$54+3*Inputs!$B$11),Inputs!$B$9*Inputs!$B$7/Inputs!$B$11,0)</f>
        <v>19.1666666666667</v>
      </c>
      <c r="Q20" s="33" t="n">
        <f aca="false">IF(AND(Source_Data!Q$6&gt;=Inputs!$B$54,Source_Data!Q$6&lt;Inputs!$B$54+3*Inputs!$B$11),Inputs!$B$9*Inputs!$B$7/Inputs!$B$11,0)</f>
        <v>19.1666666666667</v>
      </c>
      <c r="R20" s="33" t="n">
        <f aca="false">IF(AND(Source_Data!R$6&gt;=Inputs!$B$54,Source_Data!R$6&lt;Inputs!$B$54+3*Inputs!$B$11),Inputs!$B$9*Inputs!$B$7/Inputs!$B$11,0)</f>
        <v>19.1666666666667</v>
      </c>
      <c r="S20" s="33" t="n">
        <f aca="false">IF(AND(Source_Data!S$6&gt;=Inputs!$B$54,Source_Data!S$6&lt;Inputs!$B$54+3*Inputs!$B$11),Inputs!$B$9*Inputs!$B$7/Inputs!$B$11,0)</f>
        <v>19.1666666666667</v>
      </c>
      <c r="T20" s="33" t="n">
        <f aca="false">IF(AND(Source_Data!T$6&gt;=Inputs!$B$54,Source_Data!T$6&lt;Inputs!$B$54+3*Inputs!$B$11),Inputs!$B$9*Inputs!$B$7/Inputs!$B$11,0)</f>
        <v>19.1666666666667</v>
      </c>
      <c r="U20" s="33" t="n">
        <f aca="false">IF(AND(Source_Data!U$6&gt;=Inputs!$B$54,Source_Data!U$6&lt;Inputs!$B$54+3*Inputs!$B$11),Inputs!$B$9*Inputs!$B$7/Inputs!$B$11,0)</f>
        <v>19.1666666666667</v>
      </c>
      <c r="V20" s="33" t="n">
        <f aca="false">IF(AND(Source_Data!V$6&gt;=Inputs!$B$54,Source_Data!V$6&lt;Inputs!$B$54+3*Inputs!$B$11),Inputs!$B$9*Inputs!$B$7/Inputs!$B$11,0)</f>
        <v>19.1666666666667</v>
      </c>
      <c r="W20" s="33" t="n">
        <f aca="false">IF(AND(Source_Data!W$6&gt;=Inputs!$B$54,Source_Data!W$6&lt;Inputs!$B$54+3*Inputs!$B$11),Inputs!$B$9*Inputs!$B$7/Inputs!$B$11,0)</f>
        <v>19.1666666666667</v>
      </c>
      <c r="X20" s="33" t="n">
        <f aca="false">IF(AND(Source_Data!X$6&gt;=Inputs!$B$54,Source_Data!X$6&lt;Inputs!$B$54+3*Inputs!$B$11),Inputs!$B$9*Inputs!$B$7/Inputs!$B$11,0)</f>
        <v>19.1666666666667</v>
      </c>
      <c r="Y20" s="33" t="n">
        <f aca="false">IF(AND(Source_Data!Y$6&gt;=Inputs!$B$54,Source_Data!Y$6&lt;Inputs!$B$54+3*Inputs!$B$11),Inputs!$B$9*Inputs!$B$7/Inputs!$B$11,0)</f>
        <v>0</v>
      </c>
      <c r="Z20" s="33" t="n">
        <f aca="false">IF(AND(Source_Data!Z$6&gt;=Inputs!$B$54,Source_Data!Z$6&lt;Inputs!$B$54+3*Inputs!$B$11),Inputs!$B$9*Inputs!$B$7/Inputs!$B$11,0)</f>
        <v>0</v>
      </c>
      <c r="AA20" s="33" t="n">
        <f aca="false">IF(AND(Source_Data!AA$6&gt;=Inputs!$B$54,Source_Data!AA$6&lt;Inputs!$B$54+3*Inputs!$B$11),Inputs!$B$9*Inputs!$B$7/Inputs!$B$11,0)</f>
        <v>0</v>
      </c>
      <c r="AB20" s="33" t="n">
        <f aca="false">IF(AND(Source_Data!AB$6&gt;=Inputs!$B$54,Source_Data!AB$6&lt;Inputs!$B$54+3*Inputs!$B$11),Inputs!$B$9*Inputs!$B$7/Inputs!$B$11,0)</f>
        <v>0</v>
      </c>
      <c r="AC20" s="33" t="n">
        <f aca="false">IF(AND(Source_Data!AC$6&gt;=Inputs!$B$54,Source_Data!AC$6&lt;Inputs!$B$54+3*Inputs!$B$11),Inputs!$B$9*Inputs!$B$7/Inputs!$B$11,0)</f>
        <v>0</v>
      </c>
      <c r="AD20" s="33" t="n">
        <f aca="false">IF(AND(Source_Data!AD$6&gt;=Inputs!$B$54,Source_Data!AD$6&lt;Inputs!$B$54+3*Inputs!$B$11),Inputs!$B$9*Inputs!$B$7/Inputs!$B$11,0)</f>
        <v>0</v>
      </c>
      <c r="AE20" s="33" t="n">
        <f aca="false">IF(AND(Source_Data!AE$6&gt;=Inputs!$B$54,Source_Data!AE$6&lt;Inputs!$B$54+3*Inputs!$B$11),Inputs!$B$9*Inputs!$B$7/Inputs!$B$11,0)</f>
        <v>0</v>
      </c>
      <c r="AF20" s="33" t="n">
        <f aca="false">IF(AND(Source_Data!AF$6&gt;=Inputs!$B$54,Source_Data!AF$6&lt;Inputs!$B$54+3*Inputs!$B$11),Inputs!$B$9*Inputs!$B$7/Inputs!$B$11,0)</f>
        <v>0</v>
      </c>
      <c r="AG20" s="33" t="n">
        <f aca="false">IF(AND(Source_Data!AG$6&gt;=Inputs!$B$54,Source_Data!AG$6&lt;Inputs!$B$54+3*Inputs!$B$11),Inputs!$B$9*Inputs!$B$7/Inputs!$B$11,0)</f>
        <v>0</v>
      </c>
      <c r="AH20" s="33" t="n">
        <f aca="false">IF(AND(Source_Data!AH$6&gt;=Inputs!$B$54,Source_Data!AH$6&lt;Inputs!$B$54+3*Inputs!$B$11),Inputs!$B$9*Inputs!$B$7/Inputs!$B$11,0)</f>
        <v>0</v>
      </c>
      <c r="AI20" s="33" t="n">
        <f aca="false">IF(AND(Source_Data!AI$6&gt;=Inputs!$B$54,Source_Data!AI$6&lt;Inputs!$B$54+3*Inputs!$B$11),Inputs!$B$9*Inputs!$B$7/Inputs!$B$11,0)</f>
        <v>0</v>
      </c>
      <c r="AJ20" s="33" t="n">
        <f aca="false">IF(AND(Source_Data!AJ$6&gt;=Inputs!$B$54,Source_Data!AJ$6&lt;Inputs!$B$54+3*Inputs!$B$11),Inputs!$B$9*Inputs!$B$7/Inputs!$B$11,0)</f>
        <v>0</v>
      </c>
      <c r="AK20" s="33" t="n">
        <f aca="false">IF(AND(Source_Data!AK$6&gt;=Inputs!$B$54,Source_Data!AK$6&lt;Inputs!$B$54+3*Inputs!$B$11),Inputs!$B$9*Inputs!$B$7/Inputs!$B$11,0)</f>
        <v>0</v>
      </c>
      <c r="AL20" s="33" t="n">
        <f aca="false">IF(AND(Source_Data!AL$6&gt;=Inputs!$B$54,Source_Data!AL$6&lt;Inputs!$B$54+3*Inputs!$B$11),Inputs!$B$9*Inputs!$B$7/Inputs!$B$11,0)</f>
        <v>0</v>
      </c>
      <c r="AM20" s="33" t="n">
        <f aca="false">IF(AND(Source_Data!AM$6&gt;=Inputs!$B$54,Source_Data!AM$6&lt;Inputs!$B$54+3*Inputs!$B$11),Inputs!$B$9*Inputs!$B$7/Inputs!$B$11,0)</f>
        <v>0</v>
      </c>
      <c r="AN20" s="33" t="n">
        <f aca="false">IF(AND(Source_Data!AN$6&gt;=Inputs!$B$54,Source_Data!AN$6&lt;Inputs!$B$54+3*Inputs!$B$11),Inputs!$B$9*Inputs!$B$7/Inputs!$B$11,0)</f>
        <v>0</v>
      </c>
      <c r="AO20" s="33" t="n">
        <f aca="false">IF(AND(Source_Data!AO$6&gt;=Inputs!$B$54,Source_Data!AO$6&lt;Inputs!$B$54+3*Inputs!$B$11),Inputs!$B$9*Inputs!$B$7/Inputs!$B$11,0)</f>
        <v>0</v>
      </c>
      <c r="AP20" s="33" t="n">
        <f aca="false">IF(AND(Source_Data!AP$6&gt;=Inputs!$B$54,Source_Data!AP$6&lt;Inputs!$B$54+3*Inputs!$B$11),Inputs!$B$9*Inputs!$B$7/Inputs!$B$11,0)</f>
        <v>0</v>
      </c>
      <c r="AQ20" s="33" t="n">
        <f aca="false">IF(AND(Source_Data!AQ$6&gt;=Inputs!$B$54,Source_Data!AQ$6&lt;Inputs!$B$54+3*Inputs!$B$11),Inputs!$B$9*Inputs!$B$7/Inputs!$B$11,0)</f>
        <v>0</v>
      </c>
      <c r="AR20" s="33" t="n">
        <f aca="false">IF(AND(Source_Data!AR$6&gt;=Inputs!$B$54,Source_Data!AR$6&lt;Inputs!$B$54+3*Inputs!$B$11),Inputs!$B$9*Inputs!$B$7/Inputs!$B$11,0)</f>
        <v>0</v>
      </c>
      <c r="AS20" s="33" t="n">
        <f aca="false">IF(AND(Source_Data!AS$6&gt;=Inputs!$B$54,Source_Data!AS$6&lt;Inputs!$B$54+3*Inputs!$B$11),Inputs!$B$9*Inputs!$B$7/Inputs!$B$11,0)</f>
        <v>0</v>
      </c>
      <c r="AT20" s="33" t="n">
        <f aca="false">IF(AND(Source_Data!AT$6&gt;=Inputs!$B$54,Source_Data!AT$6&lt;Inputs!$B$54+3*Inputs!$B$11),Inputs!$B$9*Inputs!$B$7/Inputs!$B$11,0)</f>
        <v>0</v>
      </c>
      <c r="AU20" s="33" t="n">
        <f aca="false">IF(AND(Source_Data!AU$6&gt;=Inputs!$B$54,Source_Data!AU$6&lt;Inputs!$B$54+3*Inputs!$B$11),Inputs!$B$9*Inputs!$B$7/Inputs!$B$11,0)</f>
        <v>0</v>
      </c>
      <c r="AV20" s="33" t="n">
        <f aca="false">IF(AND(Source_Data!AV$6&gt;=Inputs!$B$54,Source_Data!AV$6&lt;Inputs!$B$54+3*Inputs!$B$11),Inputs!$B$9*Inputs!$B$7/Inputs!$B$11,0)</f>
        <v>0</v>
      </c>
      <c r="AW20" s="33" t="n">
        <f aca="false">IF(AND(Source_Data!AW$6&gt;=Inputs!$B$54,Source_Data!AW$6&lt;Inputs!$B$54+3*Inputs!$B$11),Inputs!$B$9*Inputs!$B$7/Inputs!$B$11,0)</f>
        <v>0</v>
      </c>
      <c r="AX20" s="33" t="n">
        <f aca="false">IF(AND(Source_Data!AX$6&gt;=Inputs!$B$54,Source_Data!AX$6&lt;Inputs!$B$54+3*Inputs!$B$11),Inputs!$B$9*Inputs!$B$7/Inputs!$B$11,0)</f>
        <v>0</v>
      </c>
      <c r="AY20" s="33" t="n">
        <f aca="false">IF(AND(Source_Data!AY$6&gt;=Inputs!$B$54,Source_Data!AY$6&lt;Inputs!$B$54+3*Inputs!$B$11),Inputs!$B$9*Inputs!$B$7/Inputs!$B$11,0)</f>
        <v>0</v>
      </c>
      <c r="AZ20" s="33" t="n">
        <f aca="false">IF(AND(Source_Data!AZ$6&gt;=Inputs!$B$54,Source_Data!AZ$6&lt;Inputs!$B$54+3*Inputs!$B$11),Inputs!$B$9*Inputs!$B$7/Inputs!$B$11,0)</f>
        <v>0</v>
      </c>
      <c r="BA20" s="33" t="n">
        <f aca="false">IF(AND(Source_Data!BA$6&gt;=Inputs!$B$54,Source_Data!BA$6&lt;Inputs!$B$54+3*Inputs!$B$11),Inputs!$B$9*Inputs!$B$7/Inputs!$B$11,0)</f>
        <v>0</v>
      </c>
      <c r="BB20" s="33" t="n">
        <f aca="false">IF(AND(Source_Data!BB$6&gt;=Inputs!$B$54,Source_Data!BB$6&lt;Inputs!$B$54+3*Inputs!$B$11),Inputs!$B$9*Inputs!$B$7/Inputs!$B$11,0)</f>
        <v>0</v>
      </c>
      <c r="BC20" s="33" t="n">
        <f aca="false">IF(AND(Source_Data!BC$6&gt;=Inputs!$B$54,Source_Data!BC$6&lt;Inputs!$B$54+3*Inputs!$B$11),Inputs!$B$9*Inputs!$B$7/Inputs!$B$11,0)</f>
        <v>0</v>
      </c>
      <c r="BD20" s="33" t="n">
        <f aca="false">IF(AND(Source_Data!BD$6&gt;=Inputs!$B$54,Source_Data!BD$6&lt;Inputs!$B$54+3*Inputs!$B$11),Inputs!$B$9*Inputs!$B$7/Inputs!$B$11,0)</f>
        <v>0</v>
      </c>
      <c r="BE20" s="33" t="n">
        <f aca="false">IF(AND(Source_Data!BE$6&gt;=Inputs!$B$54,Source_Data!BE$6&lt;Inputs!$B$54+3*Inputs!$B$11),Inputs!$B$9*Inputs!$B$7/Inputs!$B$11,0)</f>
        <v>0</v>
      </c>
      <c r="BF20" s="33" t="n">
        <f aca="false">IF(AND(Source_Data!BF$6&gt;=Inputs!$B$54,Source_Data!BF$6&lt;Inputs!$B$54+3*Inputs!$B$11),Inputs!$B$9*Inputs!$B$7/Inputs!$B$11,0)</f>
        <v>0</v>
      </c>
      <c r="BG20" s="33" t="n">
        <f aca="false">IF(AND(Source_Data!BG$6&gt;=Inputs!$B$54,Source_Data!BG$6&lt;Inputs!$B$54+3*Inputs!$B$11),Inputs!$B$9*Inputs!$B$7/Inputs!$B$11,0)</f>
        <v>0</v>
      </c>
      <c r="BH20" s="33" t="n">
        <f aca="false">IF(AND(Source_Data!BH$6&gt;=Inputs!$B$54,Source_Data!BH$6&lt;Inputs!$B$54+3*Inputs!$B$11),Inputs!$B$9*Inputs!$B$7/Inputs!$B$11,0)</f>
        <v>0</v>
      </c>
      <c r="BI20" s="33" t="n">
        <f aca="false">IF(AND(Source_Data!BI$6&gt;=Inputs!$B$54,Source_Data!BI$6&lt;Inputs!$B$54+3*Inputs!$B$11),Inputs!$B$9*Inputs!$B$7/Inputs!$B$11,0)</f>
        <v>0</v>
      </c>
      <c r="BJ20" s="33" t="n">
        <f aca="false">IF(AND(Source_Data!BJ$6&gt;=Inputs!$B$54,Source_Data!BJ$6&lt;Inputs!$B$54+3*Inputs!$B$11),Inputs!$B$9*Inputs!$B$7/Inputs!$B$11,0)</f>
        <v>0</v>
      </c>
      <c r="BK20" s="33" t="n">
        <f aca="false">IF(AND(Source_Data!BK$6&gt;=Inputs!$B$54,Source_Data!BK$6&lt;Inputs!$B$54+3*Inputs!$B$11),Inputs!$B$9*Inputs!$B$7/Inputs!$B$11,0)</f>
        <v>0</v>
      </c>
    </row>
    <row r="21" customFormat="false" ht="15" hidden="false" customHeight="false" outlineLevel="0" collapsed="false">
      <c r="A21" s="3" t="s">
        <v>342</v>
      </c>
      <c r="D21" s="33" t="n">
        <f aca="false">IF(Source_Data!D$6=Inputs!$B$12,-Inputs!$B$7,0)+D20</f>
        <v>-100</v>
      </c>
      <c r="E21" s="33" t="n">
        <f aca="false">IF(Source_Data!E$6=Inputs!$B$12,-Inputs!$B$7,0)+E20</f>
        <v>0</v>
      </c>
      <c r="F21" s="33" t="n">
        <f aca="false">IF(Source_Data!F$6=Inputs!$B$12,-Inputs!$B$7,0)+F20</f>
        <v>0</v>
      </c>
      <c r="G21" s="33" t="n">
        <f aca="false">IF(Source_Data!G$6=Inputs!$B$12,-Inputs!$B$7,0)+G20</f>
        <v>0</v>
      </c>
      <c r="H21" s="33" t="n">
        <f aca="false">IF(Source_Data!H$6=Inputs!$B$12,-Inputs!$B$7,0)+H20</f>
        <v>0</v>
      </c>
      <c r="I21" s="33" t="n">
        <f aca="false">IF(Source_Data!I$6=Inputs!$B$12,-Inputs!$B$7,0)+I20</f>
        <v>0</v>
      </c>
      <c r="J21" s="33" t="n">
        <f aca="false">IF(Source_Data!J$6=Inputs!$B$12,-Inputs!$B$7,0)+J20</f>
        <v>0</v>
      </c>
      <c r="K21" s="33" t="n">
        <f aca="false">IF(Source_Data!K$6=Inputs!$B$12,-Inputs!$B$7,0)+K20</f>
        <v>0</v>
      </c>
      <c r="L21" s="33" t="n">
        <f aca="false">IF(Source_Data!L$6=Inputs!$B$12,-Inputs!$B$7,0)+L20</f>
        <v>0</v>
      </c>
      <c r="M21" s="33" t="n">
        <f aca="false">IF(Source_Data!M$6=Inputs!$B$12,-Inputs!$B$7,0)+M20</f>
        <v>19.1666666666667</v>
      </c>
      <c r="N21" s="33" t="n">
        <f aca="false">IF(Source_Data!N$6=Inputs!$B$12,-Inputs!$B$7,0)+N20</f>
        <v>19.1666666666667</v>
      </c>
      <c r="O21" s="33" t="n">
        <f aca="false">IF(Source_Data!O$6=Inputs!$B$12,-Inputs!$B$7,0)+O20</f>
        <v>19.1666666666667</v>
      </c>
      <c r="P21" s="33" t="n">
        <f aca="false">IF(Source_Data!P$6=Inputs!$B$12,-Inputs!$B$7,0)+P20</f>
        <v>19.1666666666667</v>
      </c>
      <c r="Q21" s="33" t="n">
        <f aca="false">IF(Source_Data!Q$6=Inputs!$B$12,-Inputs!$B$7,0)+Q20</f>
        <v>19.1666666666667</v>
      </c>
      <c r="R21" s="33" t="n">
        <f aca="false">IF(Source_Data!R$6=Inputs!$B$12,-Inputs!$B$7,0)+R20</f>
        <v>19.1666666666667</v>
      </c>
      <c r="S21" s="33" t="n">
        <f aca="false">IF(Source_Data!S$6=Inputs!$B$12,-Inputs!$B$7,0)+S20</f>
        <v>19.1666666666667</v>
      </c>
      <c r="T21" s="33" t="n">
        <f aca="false">IF(Source_Data!T$6=Inputs!$B$12,-Inputs!$B$7,0)+T20</f>
        <v>19.1666666666667</v>
      </c>
      <c r="U21" s="33" t="n">
        <f aca="false">IF(Source_Data!U$6=Inputs!$B$12,-Inputs!$B$7,0)+U20</f>
        <v>19.1666666666667</v>
      </c>
      <c r="V21" s="33" t="n">
        <f aca="false">IF(Source_Data!V$6=Inputs!$B$12,-Inputs!$B$7,0)+V20</f>
        <v>19.1666666666667</v>
      </c>
      <c r="W21" s="33" t="n">
        <f aca="false">IF(Source_Data!W$6=Inputs!$B$12,-Inputs!$B$7,0)+W20</f>
        <v>19.1666666666667</v>
      </c>
      <c r="X21" s="33" t="n">
        <f aca="false">IF(Source_Data!X$6=Inputs!$B$12,-Inputs!$B$7,0)+X20</f>
        <v>19.1666666666667</v>
      </c>
      <c r="Y21" s="33" t="n">
        <f aca="false">IF(Source_Data!Y$6=Inputs!$B$12,-Inputs!$B$7,0)+Y20</f>
        <v>0</v>
      </c>
      <c r="Z21" s="33" t="n">
        <f aca="false">IF(Source_Data!Z$6=Inputs!$B$12,-Inputs!$B$7,0)+Z20</f>
        <v>0</v>
      </c>
      <c r="AA21" s="33" t="n">
        <f aca="false">IF(Source_Data!AA$6=Inputs!$B$12,-Inputs!$B$7,0)+AA20</f>
        <v>0</v>
      </c>
      <c r="AB21" s="33" t="n">
        <f aca="false">IF(Source_Data!AB$6=Inputs!$B$12,-Inputs!$B$7,0)+AB20</f>
        <v>0</v>
      </c>
      <c r="AC21" s="33" t="n">
        <f aca="false">IF(Source_Data!AC$6=Inputs!$B$12,-Inputs!$B$7,0)+AC20</f>
        <v>0</v>
      </c>
      <c r="AD21" s="33" t="n">
        <f aca="false">IF(Source_Data!AD$6=Inputs!$B$12,-Inputs!$B$7,0)+AD20</f>
        <v>0</v>
      </c>
      <c r="AE21" s="33" t="n">
        <f aca="false">IF(Source_Data!AE$6=Inputs!$B$12,-Inputs!$B$7,0)+AE20</f>
        <v>0</v>
      </c>
      <c r="AF21" s="33" t="n">
        <f aca="false">IF(Source_Data!AF$6=Inputs!$B$12,-Inputs!$B$7,0)+AF20</f>
        <v>0</v>
      </c>
      <c r="AG21" s="33" t="n">
        <f aca="false">IF(Source_Data!AG$6=Inputs!$B$12,-Inputs!$B$7,0)+AG20</f>
        <v>0</v>
      </c>
      <c r="AH21" s="33" t="n">
        <f aca="false">IF(Source_Data!AH$6=Inputs!$B$12,-Inputs!$B$7,0)+AH20</f>
        <v>0</v>
      </c>
      <c r="AI21" s="33" t="n">
        <f aca="false">IF(Source_Data!AI$6=Inputs!$B$12,-Inputs!$B$7,0)+AI20</f>
        <v>0</v>
      </c>
      <c r="AJ21" s="33" t="n">
        <f aca="false">IF(Source_Data!AJ$6=Inputs!$B$12,-Inputs!$B$7,0)+AJ20</f>
        <v>0</v>
      </c>
      <c r="AK21" s="33" t="n">
        <f aca="false">IF(Source_Data!AK$6=Inputs!$B$12,-Inputs!$B$7,0)+AK20</f>
        <v>0</v>
      </c>
      <c r="AL21" s="33" t="n">
        <f aca="false">IF(Source_Data!AL$6=Inputs!$B$12,-Inputs!$B$7,0)+AL20</f>
        <v>0</v>
      </c>
      <c r="AM21" s="33" t="n">
        <f aca="false">IF(Source_Data!AM$6=Inputs!$B$12,-Inputs!$B$7,0)+AM20</f>
        <v>0</v>
      </c>
      <c r="AN21" s="33" t="n">
        <f aca="false">IF(Source_Data!AN$6=Inputs!$B$12,-Inputs!$B$7,0)+AN20</f>
        <v>0</v>
      </c>
      <c r="AO21" s="33" t="n">
        <f aca="false">IF(Source_Data!AO$6=Inputs!$B$12,-Inputs!$B$7,0)+AO20</f>
        <v>0</v>
      </c>
      <c r="AP21" s="33" t="n">
        <f aca="false">IF(Source_Data!AP$6=Inputs!$B$12,-Inputs!$B$7,0)+AP20</f>
        <v>0</v>
      </c>
      <c r="AQ21" s="33" t="n">
        <f aca="false">IF(Source_Data!AQ$6=Inputs!$B$12,-Inputs!$B$7,0)+AQ20</f>
        <v>0</v>
      </c>
      <c r="AR21" s="33" t="n">
        <f aca="false">IF(Source_Data!AR$6=Inputs!$B$12,-Inputs!$B$7,0)+AR20</f>
        <v>0</v>
      </c>
      <c r="AS21" s="33" t="n">
        <f aca="false">IF(Source_Data!AS$6=Inputs!$B$12,-Inputs!$B$7,0)+AS20</f>
        <v>0</v>
      </c>
      <c r="AT21" s="33" t="n">
        <f aca="false">IF(Source_Data!AT$6=Inputs!$B$12,-Inputs!$B$7,0)+AT20</f>
        <v>0</v>
      </c>
      <c r="AU21" s="33" t="n">
        <f aca="false">IF(Source_Data!AU$6=Inputs!$B$12,-Inputs!$B$7,0)+AU20</f>
        <v>0</v>
      </c>
      <c r="AV21" s="33" t="n">
        <f aca="false">IF(Source_Data!AV$6=Inputs!$B$12,-Inputs!$B$7,0)+AV20</f>
        <v>0</v>
      </c>
      <c r="AW21" s="33" t="n">
        <f aca="false">IF(Source_Data!AW$6=Inputs!$B$12,-Inputs!$B$7,0)+AW20</f>
        <v>0</v>
      </c>
      <c r="AX21" s="33" t="n">
        <f aca="false">IF(Source_Data!AX$6=Inputs!$B$12,-Inputs!$B$7,0)+AX20</f>
        <v>0</v>
      </c>
      <c r="AY21" s="33" t="n">
        <f aca="false">IF(Source_Data!AY$6=Inputs!$B$12,-Inputs!$B$7,0)+AY20</f>
        <v>0</v>
      </c>
      <c r="AZ21" s="33" t="n">
        <f aca="false">IF(Source_Data!AZ$6=Inputs!$B$12,-Inputs!$B$7,0)+AZ20</f>
        <v>0</v>
      </c>
      <c r="BA21" s="33" t="n">
        <f aca="false">IF(Source_Data!BA$6=Inputs!$B$12,-Inputs!$B$7,0)+BA20</f>
        <v>0</v>
      </c>
      <c r="BB21" s="33" t="n">
        <f aca="false">IF(Source_Data!BB$6=Inputs!$B$12,-Inputs!$B$7,0)+BB20</f>
        <v>0</v>
      </c>
      <c r="BC21" s="33" t="n">
        <f aca="false">IF(Source_Data!BC$6=Inputs!$B$12,-Inputs!$B$7,0)+BC20</f>
        <v>0</v>
      </c>
      <c r="BD21" s="33" t="n">
        <f aca="false">IF(Source_Data!BD$6=Inputs!$B$12,-Inputs!$B$7,0)+BD20</f>
        <v>0</v>
      </c>
      <c r="BE21" s="33" t="n">
        <f aca="false">IF(Source_Data!BE$6=Inputs!$B$12,-Inputs!$B$7,0)+BE20</f>
        <v>0</v>
      </c>
      <c r="BF21" s="33" t="n">
        <f aca="false">IF(Source_Data!BF$6=Inputs!$B$12,-Inputs!$B$7,0)+BF20</f>
        <v>0</v>
      </c>
      <c r="BG21" s="33" t="n">
        <f aca="false">IF(Source_Data!BG$6=Inputs!$B$12,-Inputs!$B$7,0)+BG20</f>
        <v>0</v>
      </c>
      <c r="BH21" s="33" t="n">
        <f aca="false">IF(Source_Data!BH$6=Inputs!$B$12,-Inputs!$B$7,0)+BH20</f>
        <v>0</v>
      </c>
      <c r="BI21" s="33" t="n">
        <f aca="false">IF(Source_Data!BI$6=Inputs!$B$12,-Inputs!$B$7,0)+BI20</f>
        <v>0</v>
      </c>
      <c r="BJ21" s="33" t="n">
        <f aca="false">IF(Source_Data!BJ$6=Inputs!$B$12,-Inputs!$B$7,0)+BJ20</f>
        <v>0</v>
      </c>
      <c r="BK21" s="33" t="n">
        <f aca="false">IF(Source_Data!BK$6=Inputs!$B$12,-Inputs!$B$7,0)+BK20</f>
        <v>0</v>
      </c>
    </row>
    <row r="22" customFormat="false" ht="15" hidden="false" customHeight="false" outlineLevel="0" collapsed="false">
      <c r="A22" s="3" t="s">
        <v>343</v>
      </c>
      <c r="D22" s="33" t="n">
        <f aca="false">IF(Source_Data!D$6=Inputs!$B$12,Inputs!$B$7,0)+D17-D20</f>
        <v>8.75</v>
      </c>
      <c r="E22" s="33" t="n">
        <f aca="false">D22+IF(Source_Data!E$6=Inputs!$B$12,Inputs!$B$7,0)+E17-E20</f>
        <v>-2.5</v>
      </c>
      <c r="F22" s="33" t="n">
        <f aca="false">E22+IF(Source_Data!F$6=Inputs!$B$12,Inputs!$B$7,0)+F17-F20</f>
        <v>-1.63861</v>
      </c>
      <c r="G22" s="33" t="n">
        <f aca="false">F22+IF(Source_Data!G$6=Inputs!$B$12,Inputs!$B$7,0)+G17-G20</f>
        <v>11.33417</v>
      </c>
      <c r="H22" s="33" t="n">
        <f aca="false">G22+IF(Source_Data!H$6=Inputs!$B$12,Inputs!$B$7,0)+H17-H20</f>
        <v>3.043775</v>
      </c>
      <c r="I22" s="33" t="n">
        <f aca="false">H22+IF(Source_Data!I$6=Inputs!$B$12,Inputs!$B$7,0)+I17-I20</f>
        <v>0.380205000000004</v>
      </c>
      <c r="J22" s="33" t="n">
        <f aca="false">I22+IF(Source_Data!J$6=Inputs!$B$12,Inputs!$B$7,0)+J17-J20</f>
        <v>-27.916347</v>
      </c>
      <c r="K22" s="33" t="n">
        <f aca="false">J22+IF(Source_Data!K$6=Inputs!$B$12,Inputs!$B$7,0)+K17-K20</f>
        <v>-39.6866115</v>
      </c>
      <c r="L22" s="33" t="n">
        <f aca="false">K22+IF(Source_Data!L$6=Inputs!$B$12,Inputs!$B$7,0)+L17-L20</f>
        <v>-47.15054075</v>
      </c>
      <c r="M22" s="33" t="n">
        <f aca="false">L22+IF(Source_Data!M$6=Inputs!$B$12,Inputs!$B$7,0)+M17-M20</f>
        <v>258.158854583333</v>
      </c>
      <c r="N22" s="33" t="n">
        <f aca="false">M22+IF(Source_Data!N$6=Inputs!$B$12,Inputs!$B$7,0)+N17-N20</f>
        <v>342.041179916667</v>
      </c>
      <c r="O22" s="33" t="n">
        <f aca="false">N22+IF(Source_Data!O$6=Inputs!$B$12,Inputs!$B$7,0)+O17-O20</f>
        <v>418.68850525</v>
      </c>
      <c r="P22" s="33" t="n">
        <f aca="false">O22+IF(Source_Data!P$6=Inputs!$B$12,Inputs!$B$7,0)+P17-P20</f>
        <v>288.212006583333</v>
      </c>
      <c r="Q22" s="33" t="n">
        <f aca="false">P22+IF(Source_Data!Q$6=Inputs!$B$12,Inputs!$B$7,0)+Q17-Q20</f>
        <v>135.684674916667</v>
      </c>
      <c r="R22" s="33" t="n">
        <f aca="false">Q22+IF(Source_Data!R$6=Inputs!$B$12,Inputs!$B$7,0)+R17-R20</f>
        <v>-67.4426567499998</v>
      </c>
      <c r="S22" s="33" t="n">
        <f aca="false">R22+IF(Source_Data!S$6=Inputs!$B$12,Inputs!$B$7,0)+S17-S20</f>
        <v>-217.054654916667</v>
      </c>
      <c r="T22" s="33" t="n">
        <f aca="false">S22+IF(Source_Data!T$6=Inputs!$B$12,Inputs!$B$7,0)+T17-T20</f>
        <v>-232.240009833333</v>
      </c>
      <c r="U22" s="33" t="n">
        <f aca="false">T22+IF(Source_Data!U$6=Inputs!$B$12,Inputs!$B$7,0)+U17-U20</f>
        <v>-248.63650375</v>
      </c>
      <c r="V22" s="33" t="n">
        <f aca="false">U22+IF(Source_Data!V$6=Inputs!$B$12,Inputs!$B$7,0)+V17-V20</f>
        <v>-269.824014666666</v>
      </c>
      <c r="W22" s="33" t="n">
        <f aca="false">V22+IF(Source_Data!W$6=Inputs!$B$12,Inputs!$B$7,0)+W17-W20</f>
        <v>-294.484325583333</v>
      </c>
      <c r="X22" s="33" t="n">
        <f aca="false">W22+IF(Source_Data!X$6=Inputs!$B$12,Inputs!$B$7,0)+X17-X20</f>
        <v>-296.6446365</v>
      </c>
      <c r="Y22" s="33" t="n">
        <f aca="false">X22+IF(Source_Data!Y$6=Inputs!$B$12,Inputs!$B$7,0)+Y17-Y20</f>
        <v>-285.46245575</v>
      </c>
      <c r="Z22" s="33" t="n">
        <f aca="false">Y22+IF(Source_Data!Z$6=Inputs!$B$12,Inputs!$B$7,0)+Z17-Z20</f>
        <v>-274.280275</v>
      </c>
      <c r="AA22" s="33" t="n">
        <f aca="false">Z22+IF(Source_Data!AA$6=Inputs!$B$12,Inputs!$B$7,0)+AA17-AA20</f>
        <v>-263.09809425</v>
      </c>
      <c r="AB22" s="33" t="n">
        <f aca="false">AA22+IF(Source_Data!AB$6=Inputs!$B$12,Inputs!$B$7,0)+AB17-AB20</f>
        <v>-234.0463135</v>
      </c>
      <c r="AC22" s="33" t="n">
        <f aca="false">AB22+IF(Source_Data!AC$6=Inputs!$B$12,Inputs!$B$7,0)+AC17-AC20</f>
        <v>-207.6154115</v>
      </c>
      <c r="AD22" s="33" t="n">
        <f aca="false">AC22+IF(Source_Data!AD$6=Inputs!$B$12,Inputs!$B$7,0)+AD17-AD20</f>
        <v>-184.0712745</v>
      </c>
      <c r="AE22" s="33" t="n">
        <f aca="false">AD22+IF(Source_Data!AE$6=Inputs!$B$12,Inputs!$B$7,0)+AE17-AE20</f>
        <v>-163.9999375</v>
      </c>
      <c r="AF22" s="33" t="n">
        <f aca="false">AE22+IF(Source_Data!AF$6=Inputs!$B$12,Inputs!$B$7,0)+AF17-AF20</f>
        <v>-143.9286005</v>
      </c>
      <c r="AG22" s="33" t="n">
        <f aca="false">AF22+IF(Source_Data!AG$6=Inputs!$B$12,Inputs!$B$7,0)+AG17-AG20</f>
        <v>-123.8572635</v>
      </c>
      <c r="AH22" s="33" t="n">
        <f aca="false">AG22+IF(Source_Data!AH$6=Inputs!$B$12,Inputs!$B$7,0)+AH17-AH20</f>
        <v>-103.7859265</v>
      </c>
      <c r="AI22" s="33" t="n">
        <f aca="false">AH22+IF(Source_Data!AI$6=Inputs!$B$12,Inputs!$B$7,0)+AI17-AI20</f>
        <v>-83.7145894999999</v>
      </c>
      <c r="AJ22" s="33" t="n">
        <f aca="false">AI22+IF(Source_Data!AJ$6=Inputs!$B$12,Inputs!$B$7,0)+AJ17-AJ20</f>
        <v>-63.6432524999998</v>
      </c>
      <c r="AK22" s="33" t="n">
        <f aca="false">AJ22+IF(Source_Data!AK$6=Inputs!$B$12,Inputs!$B$7,0)+AK17-AK20</f>
        <v>-45.3191679999999</v>
      </c>
      <c r="AL22" s="33" t="n">
        <f aca="false">AK22+IF(Source_Data!AL$6=Inputs!$B$12,Inputs!$B$7,0)+AL17-AL20</f>
        <v>-26.9950834999998</v>
      </c>
      <c r="AM22" s="33" t="n">
        <f aca="false">AL22+IF(Source_Data!AM$6=Inputs!$B$12,Inputs!$B$7,0)+AM17-AM20</f>
        <v>-12.0034399999998</v>
      </c>
      <c r="AN22" s="33" t="n">
        <f aca="false">AM22+IF(Source_Data!AN$6=Inputs!$B$12,Inputs!$B$7,0)+AN17-AN20</f>
        <v>-4.30250599999985</v>
      </c>
      <c r="AO22" s="33" t="n">
        <f aca="false">AN22+IF(Source_Data!AO$6=Inputs!$B$12,Inputs!$B$7,0)+AO17-AO20</f>
        <v>-1.44612799999984</v>
      </c>
      <c r="AP22" s="33" t="n">
        <f aca="false">AO22+IF(Source_Data!AP$6=Inputs!$B$12,Inputs!$B$7,0)+AP17-AP20</f>
        <v>-1.44612799999984</v>
      </c>
      <c r="AQ22" s="33" t="n">
        <f aca="false">AP22+IF(Source_Data!AQ$6=Inputs!$B$12,Inputs!$B$7,0)+AQ17-AQ20</f>
        <v>-1.44612799999984</v>
      </c>
      <c r="AR22" s="33" t="n">
        <f aca="false">AQ22+IF(Source_Data!AR$6=Inputs!$B$12,Inputs!$B$7,0)+AR17-AR20</f>
        <v>-1.44612799999984</v>
      </c>
      <c r="AS22" s="33" t="n">
        <f aca="false">AR22+IF(Source_Data!AS$6=Inputs!$B$12,Inputs!$B$7,0)+AS17-AS20</f>
        <v>-1.44612799999984</v>
      </c>
      <c r="AT22" s="33" t="n">
        <f aca="false">AS22+IF(Source_Data!AT$6=Inputs!$B$12,Inputs!$B$7,0)+AT17-AT20</f>
        <v>-1.44612799999984</v>
      </c>
      <c r="AU22" s="33" t="n">
        <f aca="false">AT22+IF(Source_Data!AU$6=Inputs!$B$12,Inputs!$B$7,0)+AU17-AU20</f>
        <v>-1.44612799999984</v>
      </c>
      <c r="AV22" s="33" t="n">
        <f aca="false">AU22+IF(Source_Data!AV$6=Inputs!$B$12,Inputs!$B$7,0)+AV17-AV20</f>
        <v>-1.44612799999984</v>
      </c>
      <c r="AW22" s="33" t="n">
        <f aca="false">AV22+IF(Source_Data!AW$6=Inputs!$B$12,Inputs!$B$7,0)+AW17-AW20</f>
        <v>-1.44612799999984</v>
      </c>
      <c r="AX22" s="33" t="n">
        <f aca="false">AW22+IF(Source_Data!AX$6=Inputs!$B$12,Inputs!$B$7,0)+AX17-AX20</f>
        <v>-1.44612799999984</v>
      </c>
      <c r="AY22" s="33" t="n">
        <f aca="false">AX22+IF(Source_Data!AY$6=Inputs!$B$12,Inputs!$B$7,0)+AY17-AY20</f>
        <v>-1.44612799999984</v>
      </c>
      <c r="AZ22" s="33" t="n">
        <f aca="false">AY22+IF(Source_Data!AZ$6=Inputs!$B$12,Inputs!$B$7,0)+AZ17-AZ20</f>
        <v>-1.44612799999984</v>
      </c>
      <c r="BA22" s="33" t="n">
        <f aca="false">AZ22+IF(Source_Data!BA$6=Inputs!$B$12,Inputs!$B$7,0)+BA17-BA20</f>
        <v>-1.44612799999984</v>
      </c>
      <c r="BB22" s="33" t="n">
        <f aca="false">BA22+IF(Source_Data!BB$6=Inputs!$B$12,Inputs!$B$7,0)+BB17-BB20</f>
        <v>-1.44612799999984</v>
      </c>
      <c r="BC22" s="33" t="n">
        <f aca="false">BB22+IF(Source_Data!BC$6=Inputs!$B$12,Inputs!$B$7,0)+BC17-BC20</f>
        <v>-1.44612799999984</v>
      </c>
      <c r="BD22" s="33" t="n">
        <f aca="false">BC22+IF(Source_Data!BD$6=Inputs!$B$12,Inputs!$B$7,0)+BD17-BD20</f>
        <v>-1.44612799999984</v>
      </c>
      <c r="BE22" s="33" t="n">
        <f aca="false">BD22+IF(Source_Data!BE$6=Inputs!$B$12,Inputs!$B$7,0)+BE17-BE20</f>
        <v>-1.44612799999984</v>
      </c>
      <c r="BF22" s="33" t="n">
        <f aca="false">BE22+IF(Source_Data!BF$6=Inputs!$B$12,Inputs!$B$7,0)+BF17-BF20</f>
        <v>-1.44612799999984</v>
      </c>
      <c r="BG22" s="33" t="n">
        <f aca="false">BF22+IF(Source_Data!BG$6=Inputs!$B$12,Inputs!$B$7,0)+BG17-BG20</f>
        <v>-1.44612799999984</v>
      </c>
      <c r="BH22" s="33" t="n">
        <f aca="false">BG22+IF(Source_Data!BH$6=Inputs!$B$12,Inputs!$B$7,0)+BH17-BH20</f>
        <v>-1.44612799999984</v>
      </c>
      <c r="BI22" s="33" t="n">
        <f aca="false">BH22+IF(Source_Data!BI$6=Inputs!$B$12,Inputs!$B$7,0)+BI17-BI20</f>
        <v>-1.44612799999984</v>
      </c>
      <c r="BJ22" s="33" t="n">
        <f aca="false">BI22+IF(Source_Data!BJ$6=Inputs!$B$12,Inputs!$B$7,0)+BJ17-BJ20</f>
        <v>-1.44612799999984</v>
      </c>
      <c r="BK22" s="33" t="n">
        <f aca="false">BJ22+IF(Source_Data!BK$6=Inputs!$B$12,Inputs!$B$7,0)+BK17-BK20</f>
        <v>-1.44612799999984</v>
      </c>
    </row>
    <row r="23" customFormat="false" ht="15" hidden="false" customHeight="false" outlineLevel="0" collapsed="false">
      <c r="A23" s="3" t="s">
        <v>344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n">
        <f aca="false">IF(M20&gt;0,M17/M20,"")</f>
        <v>16.9291858434783</v>
      </c>
      <c r="N23" s="31" t="n">
        <f aca="false">IF(N20&gt;0,N17/N20,"")</f>
        <v>5.37646914782609</v>
      </c>
      <c r="O23" s="31" t="n">
        <f aca="false">IF(O20&gt;0,O17/O20,"")</f>
        <v>4.99899088695652</v>
      </c>
      <c r="P23" s="31" t="n">
        <f aca="false">IF(P20&gt;0,P17/P20,"")</f>
        <v>-5.80746949565218</v>
      </c>
      <c r="Q23" s="31" t="n">
        <f aca="false">IF(Q20&gt;0,Q17/Q20,"")</f>
        <v>-6.95794773913044</v>
      </c>
      <c r="R23" s="31" t="n">
        <f aca="false">IF(R20&gt;0,R17/R20,"")</f>
        <v>-9.59794773913044</v>
      </c>
      <c r="S23" s="31" t="n">
        <f aca="false">IF(S20&gt;0,S17/S20,"")</f>
        <v>-6.8058433826087</v>
      </c>
      <c r="T23" s="31" t="n">
        <f aca="false">IF(T20&gt;0,T17/T20,"")</f>
        <v>0.207720613043478</v>
      </c>
      <c r="U23" s="31" t="n">
        <f aca="false">IF(U20&gt;0,U17/U20,"")</f>
        <v>0.144530752173913</v>
      </c>
      <c r="V23" s="31" t="n">
        <f aca="false">IF(V20&gt;0,V17/V20,"")</f>
        <v>-0.105435352173913</v>
      </c>
      <c r="W23" s="31" t="n">
        <f aca="false">IF(W20&gt;0,W17/W20,"")</f>
        <v>-0.286624917391304</v>
      </c>
      <c r="X23" s="31" t="n">
        <f aca="false">IF(X20&gt;0,X17/X20,"")</f>
        <v>0.887288126086957</v>
      </c>
      <c r="Y23" s="31" t="str">
        <f aca="false">IF(Y20&gt;0,Y17/Y20,"")</f>
        <v/>
      </c>
      <c r="Z23" s="31" t="str">
        <f aca="false">IF(Z20&gt;0,Z17/Z20,"")</f>
        <v/>
      </c>
      <c r="AA23" s="31" t="str">
        <f aca="false">IF(AA20&gt;0,AA17/AA20,"")</f>
        <v/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345</v>
      </c>
      <c r="D24" s="31" t="str">
        <f aca="false">IF(D20&gt;0,(0+D17+IF(Source_Data!D$6=Inputs!$B$12,Inputs!$B$7,0))/D20,"")</f>
        <v/>
      </c>
      <c r="E24" s="31" t="str">
        <f aca="false">IF(E20&gt;0,(D22+E17+IF(Source_Data!E$6=Inputs!$B$12,Inputs!$B$7,0))/E20,"")</f>
        <v/>
      </c>
      <c r="F24" s="31" t="str">
        <f aca="false">IF(F20&gt;0,(E22+F17+IF(Source_Data!F$6=Inputs!$B$12,Inputs!$B$7,0))/F20,"")</f>
        <v/>
      </c>
      <c r="G24" s="31" t="str">
        <f aca="false">IF(G20&gt;0,(F22+G17+IF(Source_Data!G$6=Inputs!$B$12,Inputs!$B$7,0))/G20,"")</f>
        <v/>
      </c>
      <c r="H24" s="31" t="str">
        <f aca="false">IF(H20&gt;0,(G22+H17+IF(Source_Data!H$6=Inputs!$B$12,Inputs!$B$7,0))/H20,"")</f>
        <v/>
      </c>
      <c r="I24" s="31" t="str">
        <f aca="false">IF(I20&gt;0,(H22+I17+IF(Source_Data!I$6=Inputs!$B$12,Inputs!$B$7,0))/I20,"")</f>
        <v/>
      </c>
      <c r="J24" s="31" t="str">
        <f aca="false">IF(J20&gt;0,(I22+J17+IF(Source_Data!J$6=Inputs!$B$12,Inputs!$B$7,0))/J20,"")</f>
        <v/>
      </c>
      <c r="K24" s="31" t="str">
        <f aca="false">IF(K20&gt;0,(J22+K17+IF(Source_Data!K$6=Inputs!$B$12,Inputs!$B$7,0))/K20,"")</f>
        <v/>
      </c>
      <c r="L24" s="31" t="str">
        <f aca="false">IF(L20&gt;0,(K22+L17+IF(Source_Data!L$6=Inputs!$B$12,Inputs!$B$7,0))/L20,"")</f>
        <v/>
      </c>
      <c r="M24" s="31" t="n">
        <f aca="false">IF(M20&gt;0,(L22+M17+IF(Source_Data!M$6=Inputs!$B$12,Inputs!$B$7,0))/M20,"")</f>
        <v>14.4691576304348</v>
      </c>
      <c r="N24" s="31" t="n">
        <f aca="false">IF(N20&gt;0,(M22+N17+IF(Source_Data!N$6=Inputs!$B$12,Inputs!$B$7,0))/N20,"")</f>
        <v>18.8456267782609</v>
      </c>
      <c r="O24" s="31" t="n">
        <f aca="false">IF(O20&gt;0,(N22+O17+IF(Source_Data!O$6=Inputs!$B$12,Inputs!$B$7,0))/O20,"")</f>
        <v>22.8446176652174</v>
      </c>
      <c r="P24" s="31" t="n">
        <f aca="false">IF(P20&gt;0,(O22+P17+IF(Source_Data!P$6=Inputs!$B$12,Inputs!$B$7,0))/P20,"")</f>
        <v>16.0371481695652</v>
      </c>
      <c r="Q24" s="31" t="n">
        <f aca="false">IF(Q20&gt;0,(P22+Q17+IF(Source_Data!Q$6=Inputs!$B$12,Inputs!$B$7,0))/Q20,"")</f>
        <v>8.07920043043479</v>
      </c>
      <c r="R24" s="31" t="n">
        <f aca="false">IF(R20&gt;0,(Q22+R17+IF(Source_Data!R$6=Inputs!$B$12,Inputs!$B$7,0))/R20,"")</f>
        <v>-2.51874730869564</v>
      </c>
      <c r="S24" s="31" t="n">
        <f aca="false">IF(S20&gt;0,(R22+S17+IF(Source_Data!S$6=Inputs!$B$12,Inputs!$B$7,0))/S20,"")</f>
        <v>-10.3245906913043</v>
      </c>
      <c r="T24" s="31" t="n">
        <f aca="false">IF(T20&gt;0,(S22+T17+IF(Source_Data!T$6=Inputs!$B$12,Inputs!$B$7,0))/T20,"")</f>
        <v>-11.1168700782609</v>
      </c>
      <c r="U24" s="31" t="n">
        <f aca="false">IF(U20&gt;0,(T22+U17+IF(Source_Data!U$6=Inputs!$B$12,Inputs!$B$7,0))/U20,"")</f>
        <v>-11.9723393260869</v>
      </c>
      <c r="V24" s="31" t="n">
        <f aca="false">IF(V20&gt;0,(U22+V17+IF(Source_Data!V$6=Inputs!$B$12,Inputs!$B$7,0))/V20,"")</f>
        <v>-13.0777746782609</v>
      </c>
      <c r="W24" s="31" t="n">
        <f aca="false">IF(W20&gt;0,(V22+W17+IF(Source_Data!W$6=Inputs!$B$12,Inputs!$B$7,0))/W20,"")</f>
        <v>-14.3643995956522</v>
      </c>
      <c r="X24" s="31" t="n">
        <f aca="false">IF(X20&gt;0,(W22+X17+IF(Source_Data!X$6=Inputs!$B$12,Inputs!$B$7,0))/X20,"")</f>
        <v>-14.4771114695652</v>
      </c>
      <c r="Y24" s="31" t="str">
        <f aca="false">IF(Y20&gt;0,(X22+Y17+IF(Source_Data!Y$6=Inputs!$B$12,Inputs!$B$7,0))/Y20,"")</f>
        <v/>
      </c>
      <c r="Z24" s="31" t="str">
        <f aca="false">IF(Z20&gt;0,(Y22+Z17+IF(Source_Data!Z$6=Inputs!$B$12,Inputs!$B$7,0))/Z20,"")</f>
        <v/>
      </c>
      <c r="AA24" s="31" t="str">
        <f aca="false">IF(AA20&gt;0,(Z22+AA17+IF(Source_Data!AA$6=Inputs!$B$12,Inputs!$B$7,0))/AA20,"")</f>
        <v/>
      </c>
      <c r="AB24" s="31" t="str">
        <f aca="false">IF(AB20&gt;0,(AA22+AB17+IF(Source_Data!AB$6=Inputs!$B$12,Inputs!$B$7,0))/AB20,"")</f>
        <v/>
      </c>
      <c r="AC24" s="31" t="str">
        <f aca="false">IF(AC20&gt;0,(AB22+AC17+IF(Source_Data!AC$6=Inputs!$B$12,Inputs!$B$7,0))/AC20,"")</f>
        <v/>
      </c>
      <c r="AD24" s="31" t="str">
        <f aca="false">IF(AD20&gt;0,(AC22+AD17+IF(Source_Data!AD$6=Inputs!$B$12,Inputs!$B$7,0))/AD20,"")</f>
        <v/>
      </c>
      <c r="AE24" s="31" t="str">
        <f aca="false">IF(AE20&gt;0,(AD22+AE17+IF(Source_Data!AE$6=Inputs!$B$12,Inputs!$B$7,0))/AE20,"")</f>
        <v/>
      </c>
      <c r="AF24" s="31" t="str">
        <f aca="false">IF(AF20&gt;0,(AE22+AF17+IF(Source_Data!AF$6=Inputs!$B$12,Inputs!$B$7,0))/AF20,"")</f>
        <v/>
      </c>
      <c r="AG24" s="31" t="str">
        <f aca="false">IF(AG20&gt;0,(AF22+AG17+IF(Source_Data!AG$6=Inputs!$B$12,Inputs!$B$7,0))/AG20,"")</f>
        <v/>
      </c>
      <c r="AH24" s="31" t="str">
        <f aca="false">IF(AH20&gt;0,(AG22+AH17+IF(Source_Data!AH$6=Inputs!$B$12,Inputs!$B$7,0))/AH20,"")</f>
        <v/>
      </c>
      <c r="AI24" s="31" t="str">
        <f aca="false">IF(AI20&gt;0,(AH22+AI17+IF(Source_Data!AI$6=Inputs!$B$12,Inputs!$B$7,0))/AI20,"")</f>
        <v/>
      </c>
      <c r="AJ24" s="31" t="str">
        <f aca="false">IF(AJ20&gt;0,(AI22+AJ17+IF(Source_Data!AJ$6=Inputs!$B$12,Inputs!$B$7,0))/AJ20,"")</f>
        <v/>
      </c>
      <c r="AK24" s="31" t="str">
        <f aca="false">IF(AK20&gt;0,(AJ22+AK17+IF(Source_Data!AK$6=Inputs!$B$12,Inputs!$B$7,0))/AK20,"")</f>
        <v/>
      </c>
      <c r="AL24" s="31" t="str">
        <f aca="false">IF(AL20&gt;0,(AK22+AL17+IF(Source_Data!AL$6=Inputs!$B$12,Inputs!$B$7,0))/AL20,"")</f>
        <v/>
      </c>
      <c r="AM24" s="31" t="str">
        <f aca="false">IF(AM20&gt;0,(AL22+AM17+IF(Source_Data!AM$6=Inputs!$B$12,Inputs!$B$7,0))/AM20,"")</f>
        <v/>
      </c>
      <c r="AN24" s="31" t="str">
        <f aca="false">IF(AN20&gt;0,(AM22+AN17+IF(Source_Data!AN$6=Inputs!$B$12,Inputs!$B$7,0))/AN20,"")</f>
        <v/>
      </c>
      <c r="AO24" s="31" t="str">
        <f aca="false">IF(AO20&gt;0,(AN22+AO17+IF(Source_Data!AO$6=Inputs!$B$12,Inputs!$B$7,0))/AO20,"")</f>
        <v/>
      </c>
      <c r="AP24" s="31" t="str">
        <f aca="false">IF(AP20&gt;0,(AO22+AP17+IF(Source_Data!AP$6=Inputs!$B$12,Inputs!$B$7,0))/AP20,"")</f>
        <v/>
      </c>
      <c r="AQ24" s="31" t="str">
        <f aca="false">IF(AQ20&gt;0,(AP22+AQ17+IF(Source_Data!AQ$6=Inputs!$B$12,Inputs!$B$7,0))/AQ20,"")</f>
        <v/>
      </c>
      <c r="AR24" s="31" t="str">
        <f aca="false">IF(AR20&gt;0,(AQ22+AR17+IF(Source_Data!AR$6=Inputs!$B$12,Inputs!$B$7,0))/AR20,"")</f>
        <v/>
      </c>
      <c r="AS24" s="31" t="str">
        <f aca="false">IF(AS20&gt;0,(AR22+AS17+IF(Source_Data!AS$6=Inputs!$B$12,Inputs!$B$7,0))/AS20,"")</f>
        <v/>
      </c>
      <c r="AT24" s="31" t="str">
        <f aca="false">IF(AT20&gt;0,(AS22+AT17+IF(Source_Data!AT$6=Inputs!$B$12,Inputs!$B$7,0))/AT20,"")</f>
        <v/>
      </c>
      <c r="AU24" s="31" t="str">
        <f aca="false">IF(AU20&gt;0,(AT22+AU17+IF(Source_Data!AU$6=Inputs!$B$12,Inputs!$B$7,0))/AU20,"")</f>
        <v/>
      </c>
      <c r="AV24" s="31" t="str">
        <f aca="false">IF(AV20&gt;0,(AU22+AV17+IF(Source_Data!AV$6=Inputs!$B$12,Inputs!$B$7,0))/AV20,"")</f>
        <v/>
      </c>
      <c r="AW24" s="31" t="str">
        <f aca="false">IF(AW20&gt;0,(AV22+AW17+IF(Source_Data!AW$6=Inputs!$B$12,Inputs!$B$7,0))/AW20,"")</f>
        <v/>
      </c>
      <c r="AX24" s="31" t="str">
        <f aca="false">IF(AX20&gt;0,(AW22+AX17+IF(Source_Data!AX$6=Inputs!$B$12,Inputs!$B$7,0))/AX20,"")</f>
        <v/>
      </c>
      <c r="AY24" s="31" t="str">
        <f aca="false">IF(AY20&gt;0,(AX22+AY17+IF(Source_Data!AY$6=Inputs!$B$12,Inputs!$B$7,0))/AY20,"")</f>
        <v/>
      </c>
      <c r="AZ24" s="31" t="str">
        <f aca="false">IF(AZ20&gt;0,(AY22+AZ17+IF(Source_Data!AZ$6=Inputs!$B$12,Inputs!$B$7,0))/AZ20,"")</f>
        <v/>
      </c>
      <c r="BA24" s="31" t="str">
        <f aca="false">IF(BA20&gt;0,(AZ22+BA17+IF(Source_Data!BA$6=Inputs!$B$12,Inputs!$B$7,0))/BA20,"")</f>
        <v/>
      </c>
      <c r="BB24" s="31" t="str">
        <f aca="false">IF(BB20&gt;0,(BA22+BB17+IF(Source_Data!BB$6=Inputs!$B$12,Inputs!$B$7,0))/BB20,"")</f>
        <v/>
      </c>
      <c r="BC24" s="31" t="str">
        <f aca="false">IF(BC20&gt;0,(BB22+BC17+IF(Source_Data!BC$6=Inputs!$B$12,Inputs!$B$7,0))/BC20,"")</f>
        <v/>
      </c>
      <c r="BD24" s="31" t="str">
        <f aca="false">IF(BD20&gt;0,(BC22+BD17+IF(Source_Data!BD$6=Inputs!$B$12,Inputs!$B$7,0))/BD20,"")</f>
        <v/>
      </c>
      <c r="BE24" s="31" t="str">
        <f aca="false">IF(BE20&gt;0,(BD22+BE17+IF(Source_Data!BE$6=Inputs!$B$12,Inputs!$B$7,0))/BE20,"")</f>
        <v/>
      </c>
      <c r="BF24" s="31" t="str">
        <f aca="false">IF(BF20&gt;0,(BE22+BF17+IF(Source_Data!BF$6=Inputs!$B$12,Inputs!$B$7,0))/BF20,"")</f>
        <v/>
      </c>
      <c r="BG24" s="31" t="str">
        <f aca="false">IF(BG20&gt;0,(BF22+BG17+IF(Source_Data!BG$6=Inputs!$B$12,Inputs!$B$7,0))/BG20,"")</f>
        <v/>
      </c>
      <c r="BH24" s="31" t="str">
        <f aca="false">IF(BH20&gt;0,(BG22+BH17+IF(Source_Data!BH$6=Inputs!$B$12,Inputs!$B$7,0))/BH20,"")</f>
        <v/>
      </c>
      <c r="BI24" s="31" t="str">
        <f aca="false">IF(BI20&gt;0,(BH22+BI17+IF(Source_Data!BI$6=Inputs!$B$12,Inputs!$B$7,0))/BI20,"")</f>
        <v/>
      </c>
      <c r="BJ24" s="31" t="str">
        <f aca="false">IF(BJ20&gt;0,(BI22+BJ17+IF(Source_Data!BJ$6=Inputs!$B$12,Inputs!$B$7,0))/BJ20,"")</f>
        <v/>
      </c>
      <c r="BK24" s="31" t="str">
        <f aca="false">IF(BK20&gt;0,(BJ22+BK17+IF(Source_Data!BK$6=Inputs!$B$12,Inputs!$B$7,0))/BK20,"")</f>
        <v/>
      </c>
    </row>
    <row r="26" customFormat="false" ht="15" hidden="false" customHeight="false" outlineLevel="0" collapsed="false">
      <c r="A26" s="2" t="s">
        <v>220</v>
      </c>
      <c r="B26" s="41" t="n">
        <f aca="false">SUM(D17:BK17)</f>
        <v>128.553872</v>
      </c>
    </row>
    <row r="27" customFormat="false" ht="15" hidden="false" customHeight="false" outlineLevel="0" collapsed="false">
      <c r="A27" s="2" t="s">
        <v>346</v>
      </c>
      <c r="B27" s="41" t="n">
        <f aca="false">SUMPRODUCT(D17:BK17,Project_CF!$D$15:$BK$15)</f>
        <v>12.5730899338982</v>
      </c>
    </row>
    <row r="28" customFormat="false" ht="15" hidden="false" customHeight="false" outlineLevel="0" collapsed="false">
      <c r="A28" s="2" t="s">
        <v>162</v>
      </c>
      <c r="B28" s="41" t="n">
        <f aca="false">MIN(D18:BK18)</f>
        <v>-183.65099225</v>
      </c>
    </row>
    <row r="29" customFormat="false" ht="15" hidden="false" customHeight="false" outlineLevel="0" collapsed="false">
      <c r="A29" s="2" t="s">
        <v>347</v>
      </c>
      <c r="B29" s="35" t="n">
        <f aca="false">INDEX(Project_CF!$D$6:$BK$6,MATCH(MIN(D18:BK18),D18:BK18,0))</f>
        <v>60</v>
      </c>
    </row>
    <row r="30" customFormat="false" ht="15" hidden="false" customHeight="false" outlineLevel="0" collapsed="false">
      <c r="A30" s="2" t="s">
        <v>348</v>
      </c>
      <c r="B30" s="39" t="n">
        <f aca="false">(1+IRR(D19:BK19,0.05))^4-1</f>
        <v>0.200946583591044</v>
      </c>
    </row>
    <row r="31" customFormat="false" ht="15" hidden="false" customHeight="false" outlineLevel="0" collapsed="false">
      <c r="A31" s="2" t="s">
        <v>349</v>
      </c>
      <c r="B31" s="40" t="n">
        <f aca="false">SUMIF(D19:BK19,"&gt;0")/-SUMIF(D19:BK19,"&lt;0")</f>
        <v>2.22508960573477</v>
      </c>
    </row>
    <row r="32" customFormat="false" ht="15" hidden="false" customHeight="false" outlineLevel="0" collapsed="false">
      <c r="A32" s="2" t="s">
        <v>350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351</v>
      </c>
      <c r="B33" s="41" t="n">
        <f aca="false">MIN(D22:BK22)</f>
        <v>-296.6446365</v>
      </c>
    </row>
    <row r="34" customFormat="false" ht="15" hidden="false" customHeight="false" outlineLevel="0" collapsed="false">
      <c r="A34" s="2" t="s">
        <v>352</v>
      </c>
      <c r="B34" s="43" t="n">
        <f aca="false">MIN(D23:BK23)</f>
        <v>-9.59794773913044</v>
      </c>
    </row>
    <row r="35" customFormat="false" ht="15" hidden="false" customHeight="false" outlineLevel="0" collapsed="false">
      <c r="A35" s="2" t="s">
        <v>353</v>
      </c>
      <c r="B35" s="35" t="n">
        <f aca="false">COUNTIF(D23:BK23,"&lt;"&amp;Inputs!$B$43)</f>
        <v>9</v>
      </c>
    </row>
    <row r="36" customFormat="false" ht="15" hidden="false" customHeight="false" outlineLevel="0" collapsed="false">
      <c r="A36" s="2" t="s">
        <v>354</v>
      </c>
      <c r="B36" s="43" t="n">
        <f aca="false">MIN(D24:BK24)</f>
        <v>-14.4771114695652</v>
      </c>
    </row>
    <row r="37" customFormat="false" ht="15" hidden="false" customHeight="false" outlineLevel="0" collapsed="false">
      <c r="A37" s="2" t="s">
        <v>355</v>
      </c>
      <c r="B37" s="35" t="n">
        <f aca="false">COUNTIF(D24:BK24,"&lt;"&amp;Inputs!$B$43)</f>
        <v>7</v>
      </c>
    </row>
    <row r="40" customFormat="false" ht="15" hidden="false" customHeight="false" outlineLevel="0" collapsed="false">
      <c r="A40" s="8" t="s">
        <v>359</v>
      </c>
    </row>
    <row r="41" customFormat="false" ht="15" hidden="false" customHeight="false" outlineLevel="0" collapsed="false">
      <c r="A41" s="3" t="s">
        <v>331</v>
      </c>
      <c r="B41" s="45" t="n">
        <v>0.9</v>
      </c>
    </row>
    <row r="42" customFormat="false" ht="15" hidden="false" customHeight="false" outlineLevel="0" collapsed="false">
      <c r="A42" s="3" t="s">
        <v>332</v>
      </c>
      <c r="B42" s="45" t="n">
        <v>0</v>
      </c>
    </row>
    <row r="43" customFormat="false" ht="15" hidden="false" customHeight="false" outlineLevel="0" collapsed="false">
      <c r="A43" s="3" t="s">
        <v>333</v>
      </c>
      <c r="B43" s="45" t="n">
        <v>1</v>
      </c>
    </row>
    <row r="44" customFormat="false" ht="15" hidden="false" customHeight="false" outlineLevel="0" collapsed="false">
      <c r="A44" s="3" t="s">
        <v>334</v>
      </c>
      <c r="B44" s="45" t="n">
        <v>0</v>
      </c>
    </row>
    <row r="45" customFormat="false" ht="15" hidden="false" customHeight="false" outlineLevel="0" collapsed="false">
      <c r="A45" s="3" t="s">
        <v>335</v>
      </c>
      <c r="B45" s="45" t="n">
        <v>0</v>
      </c>
    </row>
    <row r="46" customFormat="false" ht="15" hidden="false" customHeight="false" outlineLevel="0" collapsed="false">
      <c r="A46" s="3" t="s">
        <v>336</v>
      </c>
      <c r="B46" s="3" t="n">
        <f aca="false">Inputs!$B$13+3+3*$B$42</f>
        <v>51</v>
      </c>
    </row>
    <row r="47" customFormat="false" ht="15" hidden="false" customHeight="false" outlineLevel="0" collapsed="false">
      <c r="A47" s="3" t="s">
        <v>337</v>
      </c>
      <c r="D47" s="33" t="n">
        <f aca="false">Source_Data!D$7+IF($B$45=1,IF(Source_Data!D$6=Inputs!$B$13,Source_Data!$C$8,0),Source_Data!D$8)</f>
        <v>0</v>
      </c>
      <c r="E47" s="33" t="n">
        <f aca="false">Source_Data!E$7+IF($B$45=1,IF(Source_Data!E$6=Inputs!$B$13,Source_Data!$C$8,0),Source_Data!E$8)</f>
        <v>0</v>
      </c>
      <c r="F47" s="33" t="n">
        <f aca="false">Source_Data!F$7+IF($B$45=1,IF(Source_Data!F$6=Inputs!$B$13,Source_Data!$C$8,0),Source_Data!F$8)</f>
        <v>15.1392375</v>
      </c>
      <c r="G47" s="33" t="n">
        <f aca="false">Source_Data!G$7+IF($B$45=1,IF(Source_Data!G$6=Inputs!$B$13,Source_Data!$C$8,0),Source_Data!G$8)</f>
        <v>30.278475</v>
      </c>
      <c r="H47" s="33" t="n">
        <f aca="false">Source_Data!H$7+IF($B$45=1,IF(Source_Data!H$6=Inputs!$B$13,Source_Data!$C$8,0),Source_Data!H$8)</f>
        <v>46.51200625</v>
      </c>
      <c r="I47" s="33" t="n">
        <f aca="false">Source_Data!I$7+IF($B$45=1,IF(Source_Data!I$6=Inputs!$B$13,Source_Data!$C$8,0),Source_Data!I$8)</f>
        <v>62.7455375</v>
      </c>
      <c r="J47" s="33" t="n">
        <f aca="false">Source_Data!J$7+IF($B$45=1,IF(Source_Data!J$6=Inputs!$B$13,Source_Data!$C$8,0),Source_Data!J$8)</f>
        <v>62.3657</v>
      </c>
      <c r="K47" s="33" t="n">
        <f aca="false">Source_Data!K$7+IF($B$45=1,IF(Source_Data!K$6=Inputs!$B$13,Source_Data!$C$8,0),Source_Data!K$8)</f>
        <v>63.473559375</v>
      </c>
      <c r="L47" s="33" t="n">
        <f aca="false">Source_Data!L$7+IF($B$45=1,IF(Source_Data!L$6=Inputs!$B$13,Source_Data!$C$8,0),Source_Data!L$8)</f>
        <v>80.3288484375</v>
      </c>
      <c r="M47" s="33" t="n">
        <f aca="false">Source_Data!M$7+IF($B$45=1,IF(Source_Data!M$6=Inputs!$B$13,Source_Data!$C$8,0),Source_Data!M$8)</f>
        <v>495.2538375</v>
      </c>
      <c r="N47" s="33" t="n">
        <f aca="false">Source_Data!N$7+IF($B$45=1,IF(Source_Data!N$6=Inputs!$B$13,Source_Data!$C$8,0),Source_Data!N$8)</f>
        <v>185.57775</v>
      </c>
      <c r="O47" s="33" t="n">
        <f aca="false">Source_Data!O$7+IF($B$45=1,IF(Source_Data!O$6=Inputs!$B$13,Source_Data!$C$8,0),Source_Data!O$8)</f>
        <v>176.534</v>
      </c>
      <c r="P47" s="33" t="n">
        <f aca="false">Source_Data!P$7+IF($B$45=1,IF(Source_Data!P$6=Inputs!$B$13,Source_Data!$C$8,0),Source_Data!P$8)</f>
        <v>97.31075</v>
      </c>
      <c r="Q47" s="33" t="n">
        <f aca="false">Source_Data!Q$7+IF($B$45=1,IF(Source_Data!Q$6=Inputs!$B$13,Source_Data!$C$8,0),Source_Data!Q$8)</f>
        <v>71.30996875</v>
      </c>
      <c r="R47" s="33" t="n">
        <f aca="false">Source_Data!R$7+IF($B$45=1,IF(Source_Data!R$6=Inputs!$B$13,Source_Data!$C$8,0),Source_Data!R$8)</f>
        <v>71.30996875</v>
      </c>
      <c r="S47" s="33" t="n">
        <f aca="false">Source_Data!S$7+IF($B$45=1,IF(Source_Data!S$6=Inputs!$B$13,Source_Data!$C$8,0),Source_Data!S$8)</f>
        <v>68.037035625</v>
      </c>
      <c r="T47" s="33" t="n">
        <f aca="false">Source_Data!T$7+IF($B$45=1,IF(Source_Data!T$6=Inputs!$B$13,Source_Data!$C$8,0),Source_Data!T$8)</f>
        <v>61.2266396875</v>
      </c>
      <c r="U47" s="33" t="n">
        <f aca="false">Source_Data!U$7+IF($B$45=1,IF(Source_Data!U$6=Inputs!$B$13,Source_Data!$C$8,0),Source_Data!U$8)</f>
        <v>59.7127159375</v>
      </c>
      <c r="V47" s="33" t="n">
        <f aca="false">Source_Data!V$7+IF($B$45=1,IF(Source_Data!V$6=Inputs!$B$13,Source_Data!$C$8,0),Source_Data!V$8)</f>
        <v>53.7239446875</v>
      </c>
      <c r="W47" s="33" t="n">
        <f aca="false">Source_Data!W$7+IF($B$45=1,IF(Source_Data!W$6=Inputs!$B$13,Source_Data!$C$8,0),Source_Data!W$8)</f>
        <v>49.3829446875</v>
      </c>
      <c r="X47" s="33" t="n">
        <f aca="false">Source_Data!X$7+IF($B$45=1,IF(Source_Data!X$6=Inputs!$B$13,Source_Data!$C$8,0),Source_Data!X$8)</f>
        <v>49.3829446875</v>
      </c>
      <c r="Y47" s="33" t="n">
        <f aca="false">Source_Data!Y$7+IF($B$45=1,IF(Source_Data!Y$6=Inputs!$B$13,Source_Data!$C$8,0),Source_Data!Y$8)</f>
        <v>42.1027259375</v>
      </c>
      <c r="Z47" s="33" t="n">
        <f aca="false">Source_Data!Z$7+IF($B$45=1,IF(Source_Data!Z$6=Inputs!$B$13,Source_Data!$C$8,0),Source_Data!Z$8)</f>
        <v>42.1027259375</v>
      </c>
      <c r="AA47" s="33" t="n">
        <f aca="false">Source_Data!AA$7+IF($B$45=1,IF(Source_Data!AA$6=Inputs!$B$13,Source_Data!$C$8,0),Source_Data!AA$8)</f>
        <v>42.1027259375</v>
      </c>
      <c r="AB47" s="33" t="n">
        <f aca="false">Source_Data!AB$7+IF($B$45=1,IF(Source_Data!AB$6=Inputs!$B$13,Source_Data!$C$8,0),Source_Data!AB$8)</f>
        <v>36.3147259375</v>
      </c>
      <c r="AC47" s="33" t="n">
        <f aca="false">Source_Data!AC$7+IF($B$45=1,IF(Source_Data!AC$6=Inputs!$B$13,Source_Data!$C$8,0),Source_Data!AC$8)</f>
        <v>33.0386275</v>
      </c>
      <c r="AD47" s="33" t="n">
        <f aca="false">Source_Data!AD$7+IF($B$45=1,IF(Source_Data!AD$6=Inputs!$B$13,Source_Data!$C$8,0),Source_Data!AD$8)</f>
        <v>29.43017125</v>
      </c>
      <c r="AE47" s="33" t="n">
        <f aca="false">Source_Data!AE$7+IF($B$45=1,IF(Source_Data!AE$6=Inputs!$B$13,Source_Data!$C$8,0),Source_Data!AE$8)</f>
        <v>25.08917125</v>
      </c>
      <c r="AF47" s="33" t="n">
        <f aca="false">Source_Data!AF$7+IF($B$45=1,IF(Source_Data!AF$6=Inputs!$B$13,Source_Data!$C$8,0),Source_Data!AF$8)</f>
        <v>25.08917125</v>
      </c>
      <c r="AG47" s="33" t="n">
        <f aca="false">Source_Data!AG$7+IF($B$45=1,IF(Source_Data!AG$6=Inputs!$B$13,Source_Data!$C$8,0),Source_Data!AG$8)</f>
        <v>25.08917125</v>
      </c>
      <c r="AH47" s="33" t="n">
        <f aca="false">Source_Data!AH$7+IF($B$45=1,IF(Source_Data!AH$6=Inputs!$B$13,Source_Data!$C$8,0),Source_Data!AH$8)</f>
        <v>25.08917125</v>
      </c>
      <c r="AI47" s="33" t="n">
        <f aca="false">Source_Data!AI$7+IF($B$45=1,IF(Source_Data!AI$6=Inputs!$B$13,Source_Data!$C$8,0),Source_Data!AI$8)</f>
        <v>25.08917125</v>
      </c>
      <c r="AJ47" s="33" t="n">
        <f aca="false">Source_Data!AJ$7+IF($B$45=1,IF(Source_Data!AJ$6=Inputs!$B$13,Source_Data!$C$8,0),Source_Data!AJ$8)</f>
        <v>25.08917125</v>
      </c>
      <c r="AK47" s="33" t="n">
        <f aca="false">Source_Data!AK$7+IF($B$45=1,IF(Source_Data!AK$6=Inputs!$B$13,Source_Data!$C$8,0),Source_Data!AK$8)</f>
        <v>22.905105625</v>
      </c>
      <c r="AL47" s="33" t="n">
        <f aca="false">Source_Data!AL$7+IF($B$45=1,IF(Source_Data!AL$6=Inputs!$B$13,Source_Data!$C$8,0),Source_Data!AL$8)</f>
        <v>22.905105625</v>
      </c>
      <c r="AM47" s="33" t="n">
        <f aca="false">Source_Data!AM$7+IF($B$45=1,IF(Source_Data!AM$6=Inputs!$B$13,Source_Data!$C$8,0),Source_Data!AM$8)</f>
        <v>18.739554375</v>
      </c>
      <c r="AN47" s="33" t="n">
        <f aca="false">Source_Data!AN$7+IF($B$45=1,IF(Source_Data!AN$6=Inputs!$B$13,Source_Data!$C$8,0),Source_Data!AN$8)</f>
        <v>9.6261675</v>
      </c>
      <c r="AO47" s="33" t="n">
        <f aca="false">Source_Data!AO$7+IF($B$45=1,IF(Source_Data!AO$6=Inputs!$B$13,Source_Data!$C$8,0),Source_Data!AO$8)</f>
        <v>3.5704725</v>
      </c>
      <c r="AP47" s="33" t="n">
        <f aca="false">Source_Data!AP$7+IF($B$45=1,IF(Source_Data!AP$6=Inputs!$B$13,Source_Data!$C$8,0),Source_Data!AP$8)</f>
        <v>0</v>
      </c>
      <c r="AQ47" s="33" t="n">
        <f aca="false">Source_Data!AQ$7+IF($B$45=1,IF(Source_Data!AQ$6=Inputs!$B$13,Source_Data!$C$8,0),Source_Data!AQ$8)</f>
        <v>0</v>
      </c>
      <c r="AR47" s="33" t="n">
        <f aca="false">Source_Data!AR$7+IF($B$45=1,IF(Source_Data!AR$6=Inputs!$B$13,Source_Data!$C$8,0),Source_Data!AR$8)</f>
        <v>0</v>
      </c>
      <c r="AS47" s="33" t="n">
        <f aca="false">Source_Data!AS$7+IF($B$45=1,IF(Source_Data!AS$6=Inputs!$B$13,Source_Data!$C$8,0),Source_Data!AS$8)</f>
        <v>0</v>
      </c>
      <c r="AT47" s="33" t="n">
        <f aca="false">Source_Data!AT$7+IF($B$45=1,IF(Source_Data!AT$6=Inputs!$B$13,Source_Data!$C$8,0),Source_Data!AT$8)</f>
        <v>0</v>
      </c>
      <c r="AU47" s="33" t="n">
        <f aca="false">Source_Data!AU$7+IF($B$45=1,IF(Source_Data!AU$6=Inputs!$B$13,Source_Data!$C$8,0),Source_Data!AU$8)</f>
        <v>0</v>
      </c>
      <c r="AV47" s="33" t="n">
        <f aca="false">Source_Data!AV$7+IF($B$45=1,IF(Source_Data!AV$6=Inputs!$B$13,Source_Data!$C$8,0),Source_Data!AV$8)</f>
        <v>0</v>
      </c>
      <c r="AW47" s="33" t="n">
        <f aca="false">Source_Data!AW$7+IF($B$45=1,IF(Source_Data!AW$6=Inputs!$B$13,Source_Data!$C$8,0),Source_Data!AW$8)</f>
        <v>0</v>
      </c>
      <c r="AX47" s="33" t="n">
        <f aca="false">Source_Data!AX$7+IF($B$45=1,IF(Source_Data!AX$6=Inputs!$B$13,Source_Data!$C$8,0),Source_Data!AX$8)</f>
        <v>0</v>
      </c>
      <c r="AY47" s="33" t="n">
        <f aca="false">Source_Data!AY$7+IF($B$45=1,IF(Source_Data!AY$6=Inputs!$B$13,Source_Data!$C$8,0),Source_Data!AY$8)</f>
        <v>0</v>
      </c>
      <c r="AZ47" s="33" t="n">
        <f aca="false">Source_Data!AZ$7+IF($B$45=1,IF(Source_Data!AZ$6=Inputs!$B$13,Source_Data!$C$8,0),Source_Data!AZ$8)</f>
        <v>0</v>
      </c>
      <c r="BA47" s="33" t="n">
        <f aca="false">Source_Data!BA$7+IF($B$45=1,IF(Source_Data!BA$6=Inputs!$B$13,Source_Data!$C$8,0),Source_Data!BA$8)</f>
        <v>0</v>
      </c>
      <c r="BB47" s="33" t="n">
        <f aca="false">Source_Data!BB$7+IF($B$45=1,IF(Source_Data!BB$6=Inputs!$B$13,Source_Data!$C$8,0),Source_Data!BB$8)</f>
        <v>0</v>
      </c>
      <c r="BC47" s="33" t="n">
        <f aca="false">Source_Data!BC$7+IF($B$45=1,IF(Source_Data!BC$6=Inputs!$B$13,Source_Data!$C$8,0),Source_Data!BC$8)</f>
        <v>0</v>
      </c>
      <c r="BD47" s="33" t="n">
        <f aca="false">Source_Data!BD$7+IF($B$45=1,IF(Source_Data!BD$6=Inputs!$B$13,Source_Data!$C$8,0),Source_Data!BD$8)</f>
        <v>0</v>
      </c>
      <c r="BE47" s="33" t="n">
        <f aca="false">Source_Data!BE$7+IF($B$45=1,IF(Source_Data!BE$6=Inputs!$B$13,Source_Data!$C$8,0),Source_Data!BE$8)</f>
        <v>0</v>
      </c>
      <c r="BF47" s="33" t="n">
        <f aca="false">Source_Data!BF$7+IF($B$45=1,IF(Source_Data!BF$6=Inputs!$B$13,Source_Data!$C$8,0),Source_Data!BF$8)</f>
        <v>0</v>
      </c>
      <c r="BG47" s="33" t="n">
        <f aca="false">Source_Data!BG$7+IF($B$45=1,IF(Source_Data!BG$6=Inputs!$B$13,Source_Data!$C$8,0),Source_Data!BG$8)</f>
        <v>0</v>
      </c>
      <c r="BH47" s="33" t="n">
        <f aca="false">Source_Data!BH$7+IF($B$45=1,IF(Source_Data!BH$6=Inputs!$B$13,Source_Data!$C$8,0),Source_Data!BH$8)</f>
        <v>0</v>
      </c>
      <c r="BI47" s="33" t="n">
        <f aca="false">Source_Data!BI$7+IF($B$45=1,IF(Source_Data!BI$6=Inputs!$B$13,Source_Data!$C$8,0),Source_Data!BI$8)</f>
        <v>0</v>
      </c>
      <c r="BJ47" s="33" t="n">
        <f aca="false">Source_Data!BJ$7+IF($B$45=1,IF(Source_Data!BJ$6=Inputs!$B$13,Source_Data!$C$8,0),Source_Data!BJ$8)</f>
        <v>0</v>
      </c>
      <c r="BK47" s="33" t="n">
        <f aca="false">Source_Data!BK$7+IF($B$45=1,IF(Source_Data!BK$6=Inputs!$B$13,Source_Data!$C$8,0),Source_Data!BK$8)</f>
        <v>0</v>
      </c>
    </row>
    <row r="48" customFormat="false" ht="15" hidden="false" customHeight="false" outlineLevel="0" collapsed="false">
      <c r="A48" s="3" t="s">
        <v>338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13.62531375</v>
      </c>
      <c r="G48" s="33" t="n">
        <f aca="false">$B$41*IF(Source_Data!G$5-($B$42+$B$44)&gt;=1,INDEX($D$47:$BK$47,1,Source_Data!G$5-($B$42+$B$44)),0)</f>
        <v>27.2506275</v>
      </c>
      <c r="H48" s="33" t="n">
        <f aca="false">$B$41*IF(Source_Data!H$5-($B$42+$B$44)&gt;=1,INDEX($D$47:$BK$47,1,Source_Data!H$5-($B$42+$B$44)),0)</f>
        <v>41.860805625</v>
      </c>
      <c r="I48" s="33" t="n">
        <f aca="false">$B$41*IF(Source_Data!I$5-($B$42+$B$44)&gt;=1,INDEX($D$47:$BK$47,1,Source_Data!I$5-($B$42+$B$44)),0)</f>
        <v>56.47098375</v>
      </c>
      <c r="J48" s="33" t="n">
        <f aca="false">$B$41*IF(Source_Data!J$5-($B$42+$B$44)&gt;=1,INDEX($D$47:$BK$47,1,Source_Data!J$5-($B$42+$B$44)),0)</f>
        <v>56.12913</v>
      </c>
      <c r="K48" s="33" t="n">
        <f aca="false">$B$41*IF(Source_Data!K$5-($B$42+$B$44)&gt;=1,INDEX($D$47:$BK$47,1,Source_Data!K$5-($B$42+$B$44)),0)</f>
        <v>57.1262034375</v>
      </c>
      <c r="L48" s="33" t="n">
        <f aca="false">$B$41*IF(Source_Data!L$5-($B$42+$B$44)&gt;=1,INDEX($D$47:$BK$47,1,Source_Data!L$5-($B$42+$B$44)),0)</f>
        <v>72.29596359375</v>
      </c>
      <c r="M48" s="33" t="n">
        <f aca="false">$B$41*IF(Source_Data!M$5-($B$42+$B$44)&gt;=1,INDEX($D$47:$BK$47,1,Source_Data!M$5-($B$42+$B$44)),0)</f>
        <v>445.72845375</v>
      </c>
      <c r="N48" s="33" t="n">
        <f aca="false">$B$41*IF(Source_Data!N$5-($B$42+$B$44)&gt;=1,INDEX($D$47:$BK$47,1,Source_Data!N$5-($B$42+$B$44)),0)</f>
        <v>167.019975</v>
      </c>
      <c r="O48" s="33" t="n">
        <f aca="false">$B$41*IF(Source_Data!O$5-($B$42+$B$44)&gt;=1,INDEX($D$47:$BK$47,1,Source_Data!O$5-($B$42+$B$44)),0)</f>
        <v>158.8806</v>
      </c>
      <c r="P48" s="33" t="n">
        <f aca="false">$B$41*IF(Source_Data!P$5-($B$42+$B$44)&gt;=1,INDEX($D$47:$BK$47,1,Source_Data!P$5-($B$42+$B$44)),0)</f>
        <v>87.579675</v>
      </c>
      <c r="Q48" s="33" t="n">
        <f aca="false">$B$41*IF(Source_Data!Q$5-($B$42+$B$44)&gt;=1,INDEX($D$47:$BK$47,1,Source_Data!Q$5-($B$42+$B$44)),0)</f>
        <v>64.178971875</v>
      </c>
      <c r="R48" s="33" t="n">
        <f aca="false">$B$41*IF(Source_Data!R$5-($B$42+$B$44)&gt;=1,INDEX($D$47:$BK$47,1,Source_Data!R$5-($B$42+$B$44)),0)</f>
        <v>64.178971875</v>
      </c>
      <c r="S48" s="33" t="n">
        <f aca="false">$B$41*IF(Source_Data!S$5-($B$42+$B$44)&gt;=1,INDEX($D$47:$BK$47,1,Source_Data!S$5-($B$42+$B$44)),0)</f>
        <v>61.2333320625</v>
      </c>
      <c r="T48" s="33" t="n">
        <f aca="false">$B$41*IF(Source_Data!T$5-($B$42+$B$44)&gt;=1,INDEX($D$47:$BK$47,1,Source_Data!T$5-($B$42+$B$44)),0)</f>
        <v>55.10397571875</v>
      </c>
      <c r="U48" s="33" t="n">
        <f aca="false">$B$41*IF(Source_Data!U$5-($B$42+$B$44)&gt;=1,INDEX($D$47:$BK$47,1,Source_Data!U$5-($B$42+$B$44)),0)</f>
        <v>53.74144434375</v>
      </c>
      <c r="V48" s="33" t="n">
        <f aca="false">$B$41*IF(Source_Data!V$5-($B$42+$B$44)&gt;=1,INDEX($D$47:$BK$47,1,Source_Data!V$5-($B$42+$B$44)),0)</f>
        <v>48.35155021875</v>
      </c>
      <c r="W48" s="33" t="n">
        <f aca="false">$B$41*IF(Source_Data!W$5-($B$42+$B$44)&gt;=1,INDEX($D$47:$BK$47,1,Source_Data!W$5-($B$42+$B$44)),0)</f>
        <v>44.44465021875</v>
      </c>
      <c r="X48" s="33" t="n">
        <f aca="false">$B$41*IF(Source_Data!X$5-($B$42+$B$44)&gt;=1,INDEX($D$47:$BK$47,1,Source_Data!X$5-($B$42+$B$44)),0)</f>
        <v>44.44465021875</v>
      </c>
      <c r="Y48" s="33" t="n">
        <f aca="false">$B$41*IF(Source_Data!Y$5-($B$42+$B$44)&gt;=1,INDEX($D$47:$BK$47,1,Source_Data!Y$5-($B$42+$B$44)),0)</f>
        <v>37.89245334375</v>
      </c>
      <c r="Z48" s="33" t="n">
        <f aca="false">$B$41*IF(Source_Data!Z$5-($B$42+$B$44)&gt;=1,INDEX($D$47:$BK$47,1,Source_Data!Z$5-($B$42+$B$44)),0)</f>
        <v>37.89245334375</v>
      </c>
      <c r="AA48" s="33" t="n">
        <f aca="false">$B$41*IF(Source_Data!AA$5-($B$42+$B$44)&gt;=1,INDEX($D$47:$BK$47,1,Source_Data!AA$5-($B$42+$B$44)),0)</f>
        <v>37.89245334375</v>
      </c>
      <c r="AB48" s="33" t="n">
        <f aca="false">$B$41*IF(Source_Data!AB$5-($B$42+$B$44)&gt;=1,INDEX($D$47:$BK$47,1,Source_Data!AB$5-($B$42+$B$44)),0)</f>
        <v>32.68325334375</v>
      </c>
      <c r="AC48" s="33" t="n">
        <f aca="false">$B$41*IF(Source_Data!AC$5-($B$42+$B$44)&gt;=1,INDEX($D$47:$BK$47,1,Source_Data!AC$5-($B$42+$B$44)),0)</f>
        <v>29.73476475</v>
      </c>
      <c r="AD48" s="33" t="n">
        <f aca="false">$B$41*IF(Source_Data!AD$5-($B$42+$B$44)&gt;=1,INDEX($D$47:$BK$47,1,Source_Data!AD$5-($B$42+$B$44)),0)</f>
        <v>26.487154125</v>
      </c>
      <c r="AE48" s="33" t="n">
        <f aca="false">$B$41*IF(Source_Data!AE$5-($B$42+$B$44)&gt;=1,INDEX($D$47:$BK$47,1,Source_Data!AE$5-($B$42+$B$44)),0)</f>
        <v>22.580254125</v>
      </c>
      <c r="AF48" s="33" t="n">
        <f aca="false">$B$41*IF(Source_Data!AF$5-($B$42+$B$44)&gt;=1,INDEX($D$47:$BK$47,1,Source_Data!AF$5-($B$42+$B$44)),0)</f>
        <v>22.580254125</v>
      </c>
      <c r="AG48" s="33" t="n">
        <f aca="false">$B$41*IF(Source_Data!AG$5-($B$42+$B$44)&gt;=1,INDEX($D$47:$BK$47,1,Source_Data!AG$5-($B$42+$B$44)),0)</f>
        <v>22.580254125</v>
      </c>
      <c r="AH48" s="33" t="n">
        <f aca="false">$B$41*IF(Source_Data!AH$5-($B$42+$B$44)&gt;=1,INDEX($D$47:$BK$47,1,Source_Data!AH$5-($B$42+$B$44)),0)</f>
        <v>22.580254125</v>
      </c>
      <c r="AI48" s="33" t="n">
        <f aca="false">$B$41*IF(Source_Data!AI$5-($B$42+$B$44)&gt;=1,INDEX($D$47:$BK$47,1,Source_Data!AI$5-($B$42+$B$44)),0)</f>
        <v>22.580254125</v>
      </c>
      <c r="AJ48" s="33" t="n">
        <f aca="false">$B$41*IF(Source_Data!AJ$5-($B$42+$B$44)&gt;=1,INDEX($D$47:$BK$47,1,Source_Data!AJ$5-($B$42+$B$44)),0)</f>
        <v>22.580254125</v>
      </c>
      <c r="AK48" s="33" t="n">
        <f aca="false">$B$41*IF(Source_Data!AK$5-($B$42+$B$44)&gt;=1,INDEX($D$47:$BK$47,1,Source_Data!AK$5-($B$42+$B$44)),0)</f>
        <v>20.6145950625</v>
      </c>
      <c r="AL48" s="33" t="n">
        <f aca="false">$B$41*IF(Source_Data!AL$5-($B$42+$B$44)&gt;=1,INDEX($D$47:$BK$47,1,Source_Data!AL$5-($B$42+$B$44)),0)</f>
        <v>20.6145950625</v>
      </c>
      <c r="AM48" s="33" t="n">
        <f aca="false">$B$41*IF(Source_Data!AM$5-($B$42+$B$44)&gt;=1,INDEX($D$47:$BK$47,1,Source_Data!AM$5-($B$42+$B$44)),0)</f>
        <v>16.8655989375</v>
      </c>
      <c r="AN48" s="33" t="n">
        <f aca="false">$B$41*IF(Source_Data!AN$5-($B$42+$B$44)&gt;=1,INDEX($D$47:$BK$47,1,Source_Data!AN$5-($B$42+$B$44)),0)</f>
        <v>8.66355075</v>
      </c>
      <c r="AO48" s="33" t="n">
        <f aca="false">$B$41*IF(Source_Data!AO$5-($B$42+$B$44)&gt;=1,INDEX($D$47:$BK$47,1,Source_Data!AO$5-($B$42+$B$44)),0)</f>
        <v>3.21342525</v>
      </c>
      <c r="AP48" s="33" t="n">
        <f aca="false">$B$41*IF(Source_Data!AP$5-($B$42+$B$44)&gt;=1,INDEX($D$47:$BK$47,1,Source_Data!AP$5-($B$42+$B$44)),0)</f>
        <v>0</v>
      </c>
      <c r="AQ48" s="33" t="n">
        <f aca="false">$B$41*IF(Source_Data!AQ$5-($B$42+$B$44)&gt;=1,INDEX($D$47:$BK$47,1,Source_Data!AQ$5-($B$42+$B$44)),0)</f>
        <v>0</v>
      </c>
      <c r="AR48" s="33" t="n">
        <f aca="false">$B$41*IF(Source_Data!AR$5-($B$42+$B$44)&gt;=1,INDEX($D$47:$BK$47,1,Source_Data!AR$5-($B$42+$B$44)),0)</f>
        <v>0</v>
      </c>
      <c r="AS48" s="33" t="n">
        <f aca="false">$B$41*IF(Source_Data!AS$5-($B$42+$B$44)&gt;=1,INDEX($D$47:$BK$47,1,Source_Data!AS$5-($B$42+$B$44)),0)</f>
        <v>0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339</v>
      </c>
      <c r="D49" s="33" t="n">
        <f aca="false">Source_Data!D$9+Source_Data!D$10*IF(Source_Data!$C$10=0,0,MAX(0,Inputs!$B$19*Inputs!$B$22*$B$41-Inputs!$B$20)/Source_Data!$C$10)</f>
        <v>91.25</v>
      </c>
      <c r="E49" s="33" t="n">
        <f aca="false">Source_Data!E$9+Source_Data!E$10*IF(Source_Data!$C$10=0,0,MAX(0,Inputs!$B$19*Inputs!$B$22*$B$41-Inputs!$B$20)/Source_Data!$C$10)</f>
        <v>11.25</v>
      </c>
      <c r="F49" s="33" t="n">
        <f aca="false">Source_Data!F$9+Source_Data!F$10*IF(Source_Data!$C$10=0,0,MAX(0,Inputs!$B$19*Inputs!$B$22*$B$41-Inputs!$B$20)/Source_Data!$C$10)</f>
        <v>11.25</v>
      </c>
      <c r="G49" s="33" t="n">
        <f aca="false">Source_Data!G$9+Source_Data!G$10*IF(Source_Data!$C$10=0,0,MAX(0,Inputs!$B$19*Inputs!$B$22*$B$41-Inputs!$B$20)/Source_Data!$C$10)</f>
        <v>11.25</v>
      </c>
      <c r="H49" s="33" t="n">
        <f aca="false">Source_Data!H$9+Source_Data!H$10*IF(Source_Data!$C$10=0,0,MAX(0,Inputs!$B$19*Inputs!$B$22*$B$41-Inputs!$B$20)/Source_Data!$C$10)</f>
        <v>22.5</v>
      </c>
      <c r="I49" s="33" t="n">
        <f aca="false">Source_Data!I$9+Source_Data!I$10*IF(Source_Data!$C$10=0,0,MAX(0,Inputs!$B$19*Inputs!$B$22*$B$41-Inputs!$B$20)/Source_Data!$C$10)</f>
        <v>22.5</v>
      </c>
      <c r="J49" s="33" t="n">
        <f aca="false">Source_Data!J$9+Source_Data!J$10*IF(Source_Data!$C$10=0,0,MAX(0,Inputs!$B$19*Inputs!$B$22*$B$41-Inputs!$B$20)/Source_Data!$C$10)</f>
        <v>22.5</v>
      </c>
      <c r="K49" s="33" t="n">
        <f aca="false">Source_Data!K$9+Source_Data!K$10*IF(Source_Data!$C$10=0,0,MAX(0,Inputs!$B$19*Inputs!$B$22*$B$41-Inputs!$B$20)/Source_Data!$C$10)</f>
        <v>22.5</v>
      </c>
      <c r="L49" s="33" t="n">
        <f aca="false">Source_Data!L$9+Source_Data!L$10*IF(Source_Data!$C$10=0,0,MAX(0,Inputs!$B$19*Inputs!$B$22*$B$41-Inputs!$B$20)/Source_Data!$C$10)</f>
        <v>33.75</v>
      </c>
      <c r="M49" s="33" t="n">
        <f aca="false">Source_Data!M$9+Source_Data!M$10*IF(Source_Data!$C$10=0,0,MAX(0,Inputs!$B$19*Inputs!$B$22*$B$41-Inputs!$B$20)/Source_Data!$C$10)</f>
        <v>33.75</v>
      </c>
      <c r="N49" s="33" t="n">
        <f aca="false">Source_Data!N$9+Source_Data!N$10*IF(Source_Data!$C$10=0,0,MAX(0,Inputs!$B$19*Inputs!$B$22*$B$41-Inputs!$B$20)/Source_Data!$C$10)</f>
        <v>33.75</v>
      </c>
      <c r="O49" s="33" t="n">
        <f aca="false">Source_Data!O$9+Source_Data!O$10*IF(Source_Data!$C$10=0,0,MAX(0,Inputs!$B$19*Inputs!$B$22*$B$41-Inputs!$B$20)/Source_Data!$C$10)</f>
        <v>33.75</v>
      </c>
      <c r="P49" s="33" t="n">
        <f aca="false">Source_Data!P$9+Source_Data!P$10*IF(Source_Data!$C$10=0,0,MAX(0,Inputs!$B$19*Inputs!$B$22*$B$41-Inputs!$B$20)/Source_Data!$C$10)</f>
        <v>45</v>
      </c>
      <c r="Q49" s="33" t="n">
        <f aca="false">Source_Data!Q$9+Source_Data!Q$10*IF(Source_Data!$C$10=0,0,MAX(0,Inputs!$B$19*Inputs!$B$22*$B$41-Inputs!$B$20)/Source_Data!$C$10)</f>
        <v>45</v>
      </c>
      <c r="R49" s="33" t="n">
        <f aca="false">Source_Data!R$9+Source_Data!R$10*IF(Source_Data!$C$10=0,0,MAX(0,Inputs!$B$19*Inputs!$B$22*$B$41-Inputs!$B$20)/Source_Data!$C$10)</f>
        <v>45</v>
      </c>
      <c r="S49" s="33" t="n">
        <f aca="false">Source_Data!S$9+Source_Data!S$10*IF(Source_Data!$C$10=0,0,MAX(0,Inputs!$B$19*Inputs!$B$22*$B$41-Inputs!$B$20)/Source_Data!$C$10)</f>
        <v>45</v>
      </c>
      <c r="T49" s="33" t="n">
        <f aca="false">Source_Data!T$9+Source_Data!T$10*IF(Source_Data!$C$10=0,0,MAX(0,Inputs!$B$19*Inputs!$B$22*$B$41-Inputs!$B$20)/Source_Data!$C$10)</f>
        <v>45</v>
      </c>
      <c r="U49" s="33" t="n">
        <f aca="false">Source_Data!U$9+Source_Data!U$10*IF(Source_Data!$C$10=0,0,MAX(0,Inputs!$B$19*Inputs!$B$22*$B$41-Inputs!$B$20)/Source_Data!$C$10)</f>
        <v>45</v>
      </c>
      <c r="V49" s="33" t="n">
        <f aca="false">Source_Data!V$9+Source_Data!V$10*IF(Source_Data!$C$10=0,0,MAX(0,Inputs!$B$19*Inputs!$B$22*$B$41-Inputs!$B$20)/Source_Data!$C$10)</f>
        <v>45</v>
      </c>
      <c r="W49" s="33" t="n">
        <f aca="false">Source_Data!W$9+Source_Data!W$10*IF(Source_Data!$C$10=0,0,MAX(0,Inputs!$B$19*Inputs!$B$22*$B$41-Inputs!$B$20)/Source_Data!$C$10)</f>
        <v>45</v>
      </c>
      <c r="X49" s="33" t="n">
        <f aca="false">Source_Data!X$9+Source_Data!X$10*IF(Source_Data!$C$10=0,0,MAX(0,Inputs!$B$19*Inputs!$B$22*$B$41-Inputs!$B$20)/Source_Data!$C$10)</f>
        <v>22.5</v>
      </c>
      <c r="Y49" s="33" t="n">
        <f aca="false">Source_Data!Y$9+Source_Data!Y$10*IF(Source_Data!$C$10=0,0,MAX(0,Inputs!$B$19*Inputs!$B$22*$B$41-Inputs!$B$20)/Source_Data!$C$10)</f>
        <v>22.5</v>
      </c>
      <c r="Z49" s="33" t="n">
        <f aca="false">Source_Data!Z$9+Source_Data!Z$10*IF(Source_Data!$C$10=0,0,MAX(0,Inputs!$B$19*Inputs!$B$22*$B$41-Inputs!$B$20)/Source_Data!$C$10)</f>
        <v>22.5</v>
      </c>
      <c r="AA49" s="33" t="n">
        <f aca="false">Source_Data!AA$9+Source_Data!AA$10*IF(Source_Data!$C$10=0,0,MAX(0,Inputs!$B$19*Inputs!$B$22*$B$41-Inputs!$B$20)/Source_Data!$C$10)</f>
        <v>22.5</v>
      </c>
      <c r="AB49" s="33" t="n">
        <f aca="false">Source_Data!AB$9+Source_Data!AB$10*IF(Source_Data!$C$10=0,0,MAX(0,Inputs!$B$19*Inputs!$B$22*$B$41-Inputs!$B$20)/Source_Data!$C$10)</f>
        <v>0</v>
      </c>
      <c r="AC49" s="33" t="n">
        <f aca="false">Source_Data!AC$9+Source_Data!AC$10*IF(Source_Data!$C$10=0,0,MAX(0,Inputs!$B$19*Inputs!$B$22*$B$41-Inputs!$B$20)/Source_Data!$C$10)</f>
        <v>0</v>
      </c>
      <c r="AD49" s="33" t="n">
        <f aca="false">Source_Data!AD$9+Source_Data!AD$10*IF(Source_Data!$C$10=0,0,MAX(0,Inputs!$B$19*Inputs!$B$22*$B$41-Inputs!$B$20)/Source_Data!$C$10)</f>
        <v>0</v>
      </c>
      <c r="AE49" s="33" t="n">
        <f aca="false">Source_Data!AE$9+Source_Data!AE$10*IF(Source_Data!$C$10=0,0,MAX(0,Inputs!$B$19*Inputs!$B$22*$B$41-Inputs!$B$20)/Source_Data!$C$10)</f>
        <v>0</v>
      </c>
      <c r="AF49" s="33" t="n">
        <f aca="false">Source_Data!AF$9+Source_Data!AF$10*IF(Source_Data!$C$10=0,0,MAX(0,Inputs!$B$19*Inputs!$B$22*$B$41-Inputs!$B$20)/Source_Data!$C$10)</f>
        <v>50.5544747578603</v>
      </c>
      <c r="AG49" s="33" t="n">
        <f aca="false">Source_Data!AG$9+Source_Data!AG$10*IF(Source_Data!$C$10=0,0,MAX(0,Inputs!$B$19*Inputs!$B$22*$B$41-Inputs!$B$20)/Source_Data!$C$10)</f>
        <v>5.14960130045416</v>
      </c>
      <c r="AH49" s="33" t="n">
        <f aca="false">Source_Data!AH$9+Source_Data!AH$10*IF(Source_Data!$C$10=0,0,MAX(0,Inputs!$B$19*Inputs!$B$22*$B$41-Inputs!$B$20)/Source_Data!$C$10)</f>
        <v>5.14960130045416</v>
      </c>
      <c r="AI49" s="33" t="n">
        <f aca="false">Source_Data!AI$9+Source_Data!AI$10*IF(Source_Data!$C$10=0,0,MAX(0,Inputs!$B$19*Inputs!$B$22*$B$41-Inputs!$B$20)/Source_Data!$C$10)</f>
        <v>5.14960130045416</v>
      </c>
      <c r="AJ49" s="33" t="n">
        <f aca="false">Source_Data!AJ$9+Source_Data!AJ$10*IF(Source_Data!$C$10=0,0,MAX(0,Inputs!$B$19*Inputs!$B$22*$B$41-Inputs!$B$20)/Source_Data!$C$10)</f>
        <v>5.14960130045416</v>
      </c>
      <c r="AK49" s="33" t="n">
        <f aca="false">Source_Data!AK$9+Source_Data!AK$10*IF(Source_Data!$C$10=0,0,MAX(0,Inputs!$B$19*Inputs!$B$22*$B$41-Inputs!$B$20)/Source_Data!$C$10)</f>
        <v>4.70131757395294</v>
      </c>
      <c r="AL49" s="33" t="n">
        <f aca="false">Source_Data!AL$9+Source_Data!AL$10*IF(Source_Data!$C$10=0,0,MAX(0,Inputs!$B$19*Inputs!$B$22*$B$41-Inputs!$B$20)/Source_Data!$C$10)</f>
        <v>4.70131757395294</v>
      </c>
      <c r="AM49" s="33" t="n">
        <f aca="false">Source_Data!AM$9+Source_Data!AM$10*IF(Source_Data!$C$10=0,0,MAX(0,Inputs!$B$19*Inputs!$B$22*$B$41-Inputs!$B$20)/Source_Data!$C$10)</f>
        <v>3.84633006079989</v>
      </c>
      <c r="AN49" s="33" t="n">
        <f aca="false">Source_Data!AN$9+Source_Data!AN$10*IF(Source_Data!$C$10=0,0,MAX(0,Inputs!$B$19*Inputs!$B$22*$B$41-Inputs!$B$20)/Source_Data!$C$10)</f>
        <v>1.97578964177183</v>
      </c>
      <c r="AO49" s="33" t="n">
        <f aca="false">Source_Data!AO$9+Source_Data!AO$10*IF(Source_Data!$C$10=0,0,MAX(0,Inputs!$B$19*Inputs!$B$22*$B$41-Inputs!$B$20)/Source_Data!$C$10)</f>
        <v>0.73284643984547</v>
      </c>
      <c r="AP49" s="33" t="n">
        <f aca="false">Source_Data!AP$9+Source_Data!AP$10*IF(Source_Data!$C$10=0,0,MAX(0,Inputs!$B$19*Inputs!$B$22*$B$41-Inputs!$B$20)/Source_Data!$C$10)</f>
        <v>0</v>
      </c>
      <c r="AQ49" s="33" t="n">
        <f aca="false">Source_Data!AQ$9+Source_Data!AQ$10*IF(Source_Data!$C$10=0,0,MAX(0,Inputs!$B$19*Inputs!$B$22*$B$41-Inputs!$B$20)/Source_Data!$C$10)</f>
        <v>0</v>
      </c>
      <c r="AR49" s="33" t="n">
        <f aca="false">Source_Data!AR$9+Source_Data!AR$10*IF(Source_Data!$C$10=0,0,MAX(0,Inputs!$B$19*Inputs!$B$22*$B$41-Inputs!$B$20)/Source_Data!$C$10)</f>
        <v>0</v>
      </c>
      <c r="AS49" s="33" t="n">
        <f aca="false">Source_Data!AS$9+Source_Data!AS$10*IF(Source_Data!$C$10=0,0,MAX(0,Inputs!$B$19*Inputs!$B$22*$B$41-Inputs!$B$20)/Source_Data!$C$10)</f>
        <v>0</v>
      </c>
      <c r="AT49" s="33" t="n">
        <f aca="false">Source_Data!AT$9+Source_Data!AT$10*IF(Source_Data!$C$10=0,0,MAX(0,Inputs!$B$19*Inputs!$B$22*$B$41-Inputs!$B$20)/Source_Data!$C$10)</f>
        <v>0</v>
      </c>
      <c r="AU49" s="33" t="n">
        <f aca="false">Source_Data!AU$9+Source_Data!AU$10*IF(Source_Data!$C$10=0,0,MAX(0,Inputs!$B$19*Inputs!$B$22*$B$41-Inputs!$B$20)/Source_Data!$C$10)</f>
        <v>0</v>
      </c>
      <c r="AV49" s="33" t="n">
        <f aca="false">Source_Data!AV$9+Source_Data!AV$10*IF(Source_Data!$C$10=0,0,MAX(0,Inputs!$B$19*Inputs!$B$22*$B$41-Inputs!$B$20)/Source_Data!$C$10)</f>
        <v>0</v>
      </c>
      <c r="AW49" s="33" t="n">
        <f aca="false">Source_Data!AW$9+Source_Data!AW$10*IF(Source_Data!$C$10=0,0,MAX(0,Inputs!$B$19*Inputs!$B$22*$B$41-Inputs!$B$20)/Source_Data!$C$10)</f>
        <v>0</v>
      </c>
      <c r="AX49" s="33" t="n">
        <f aca="false">Source_Data!AX$9+Source_Data!AX$10*IF(Source_Data!$C$10=0,0,MAX(0,Inputs!$B$19*Inputs!$B$22*$B$41-Inputs!$B$20)/Source_Data!$C$10)</f>
        <v>0</v>
      </c>
      <c r="AY49" s="33" t="n">
        <f aca="false">Source_Data!AY$9+Source_Data!AY$10*IF(Source_Data!$C$10=0,0,MAX(0,Inputs!$B$19*Inputs!$B$22*$B$41-Inputs!$B$20)/Source_Data!$C$10)</f>
        <v>0</v>
      </c>
      <c r="AZ49" s="33" t="n">
        <f aca="false">Source_Data!AZ$9+Source_Data!AZ$10*IF(Source_Data!$C$10=0,0,MAX(0,Inputs!$B$19*Inputs!$B$22*$B$41-Inputs!$B$20)/Source_Data!$C$10)</f>
        <v>0</v>
      </c>
      <c r="BA49" s="33" t="n">
        <f aca="false">Source_Data!BA$9+Source_Data!BA$10*IF(Source_Data!$C$10=0,0,MAX(0,Inputs!$B$19*Inputs!$B$22*$B$41-Inputs!$B$20)/Source_Data!$C$10)</f>
        <v>0</v>
      </c>
      <c r="BB49" s="33" t="n">
        <f aca="false">Source_Data!BB$9+Source_Data!BB$10*IF(Source_Data!$C$10=0,0,MAX(0,Inputs!$B$19*Inputs!$B$22*$B$41-Inputs!$B$20)/Source_Data!$C$10)</f>
        <v>0</v>
      </c>
      <c r="BC49" s="33" t="n">
        <f aca="false">Source_Data!BC$9+Source_Data!BC$10*IF(Source_Data!$C$10=0,0,MAX(0,Inputs!$B$19*Inputs!$B$22*$B$41-Inputs!$B$20)/Source_Data!$C$10)</f>
        <v>0</v>
      </c>
      <c r="BD49" s="33" t="n">
        <f aca="false">Source_Data!BD$9+Source_Data!BD$10*IF(Source_Data!$C$10=0,0,MAX(0,Inputs!$B$19*Inputs!$B$22*$B$41-Inputs!$B$20)/Source_Data!$C$10)</f>
        <v>0</v>
      </c>
      <c r="BE49" s="33" t="n">
        <f aca="false">Source_Data!BE$9+Source_Data!BE$10*IF(Source_Data!$C$10=0,0,MAX(0,Inputs!$B$19*Inputs!$B$22*$B$41-Inputs!$B$20)/Source_Data!$C$10)</f>
        <v>0</v>
      </c>
      <c r="BF49" s="33" t="n">
        <f aca="false">Source_Data!BF$9+Source_Data!BF$10*IF(Source_Data!$C$10=0,0,MAX(0,Inputs!$B$19*Inputs!$B$22*$B$41-Inputs!$B$20)/Source_Data!$C$10)</f>
        <v>0</v>
      </c>
      <c r="BG49" s="33" t="n">
        <f aca="false">Source_Data!BG$9+Source_Data!BG$10*IF(Source_Data!$C$10=0,0,MAX(0,Inputs!$B$19*Inputs!$B$22*$B$41-Inputs!$B$20)/Source_Data!$C$10)</f>
        <v>0</v>
      </c>
      <c r="BH49" s="33" t="n">
        <f aca="false">Source_Data!BH$9+Source_Data!BH$10*IF(Source_Data!$C$10=0,0,MAX(0,Inputs!$B$19*Inputs!$B$22*$B$41-Inputs!$B$20)/Source_Data!$C$10)</f>
        <v>0</v>
      </c>
      <c r="BI49" s="33" t="n">
        <f aca="false">Source_Data!BI$9+Source_Data!BI$10*IF(Source_Data!$C$10=0,0,MAX(0,Inputs!$B$19*Inputs!$B$22*$B$41-Inputs!$B$20)/Source_Data!$C$10)</f>
        <v>0</v>
      </c>
      <c r="BJ49" s="33" t="n">
        <f aca="false">Source_Data!BJ$9+Source_Data!BJ$10*IF(Source_Data!$C$10=0,0,MAX(0,Inputs!$B$19*Inputs!$B$22*$B$41-Inputs!$B$20)/Source_Data!$C$10)</f>
        <v>0</v>
      </c>
      <c r="BK49" s="33" t="n">
        <f aca="false">Source_Data!BK$9+Source_Data!BK$10*IF(Source_Data!$C$10=0,0,MAX(0,Inputs!$B$19*Inputs!$B$22*$B$41-Inputs!$B$20)/Source_Data!$C$10)</f>
        <v>0</v>
      </c>
    </row>
    <row r="50" customFormat="false" ht="15" hidden="false" customHeight="false" outlineLevel="0" collapsed="false">
      <c r="A50" s="3" t="s">
        <v>194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20</v>
      </c>
      <c r="I50" s="33" t="n">
        <f aca="false">Source_Data!I$11*$B$43</f>
        <v>26.4</v>
      </c>
      <c r="J50" s="33" t="n">
        <f aca="false">Source_Data!J$11*$B$43</f>
        <v>40</v>
      </c>
      <c r="K50" s="33" t="n">
        <f aca="false">Source_Data!K$11*$B$43</f>
        <v>26.4</v>
      </c>
      <c r="L50" s="33" t="n">
        <f aca="false">Source_Data!L$11*$B$43</f>
        <v>26.4</v>
      </c>
      <c r="M50" s="33" t="n">
        <f aca="false">Source_Data!M$11*$B$43</f>
        <v>26.4</v>
      </c>
      <c r="N50" s="33" t="n">
        <f aca="false">Source_Data!N$11*$B$43</f>
        <v>5.28</v>
      </c>
      <c r="O50" s="33" t="n">
        <f aca="false">Source_Data!O$11*$B$43</f>
        <v>5.28</v>
      </c>
      <c r="P50" s="33" t="n">
        <f aca="false">Source_Data!P$11*$B$43</f>
        <v>120</v>
      </c>
      <c r="Q50" s="33" t="n">
        <f aca="false">Source_Data!Q$11*$B$43</f>
        <v>120</v>
      </c>
      <c r="R50" s="33" t="n">
        <f aca="false">Source_Data!R$11*$B$43</f>
        <v>164</v>
      </c>
      <c r="S50" s="33" t="n">
        <f aca="false">Source_Data!S$11*$B$43</f>
        <v>117</v>
      </c>
      <c r="T50" s="33" t="n">
        <f aca="false">Source_Data!T$11*$B$43</f>
        <v>0</v>
      </c>
      <c r="U50" s="33" t="n">
        <f aca="false">Source_Data!U$11*$B$43</f>
        <v>0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196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10.900251</v>
      </c>
      <c r="K51" s="33" t="n">
        <f aca="false">$B$41*IF(Source_Data!K$5-$B$42&gt;=1,INDEX(Source_Data!$D$12:$BK$12,1,Source_Data!K$5-$B$42),0)</f>
        <v>10.900251</v>
      </c>
      <c r="L51" s="33" t="n">
        <f aca="false">$B$41*IF(Source_Data!L$5-$B$42&gt;=1,INDEX(Source_Data!$D$12:$BK$12,1,Source_Data!L$5-$B$42),0)</f>
        <v>8.569134</v>
      </c>
      <c r="M51" s="33" t="n">
        <f aca="false">$B$41*IF(Source_Data!M$5-$B$42&gt;=1,INDEX(Source_Data!$D$12:$BK$12,1,Source_Data!M$5-$B$42),0)</f>
        <v>8.569134</v>
      </c>
      <c r="N51" s="33" t="n">
        <f aca="false">$B$41*IF(Source_Data!N$5-$B$42&gt;=1,INDEX(Source_Data!$D$12:$BK$12,1,Source_Data!N$5-$B$42),0)</f>
        <v>6.290109</v>
      </c>
      <c r="O51" s="33" t="n">
        <f aca="false">$B$41*IF(Source_Data!O$5-$B$42&gt;=1,INDEX(Source_Data!$D$12:$BK$12,1,Source_Data!O$5-$B$42),0)</f>
        <v>6.290109</v>
      </c>
      <c r="P51" s="33" t="n">
        <f aca="false">$B$41*IF(Source_Data!P$5-$B$42&gt;=1,INDEX(Source_Data!$D$12:$BK$12,1,Source_Data!P$5-$B$42),0)</f>
        <v>6.928236</v>
      </c>
      <c r="Q51" s="33" t="n">
        <f aca="false">$B$41*IF(Source_Data!Q$5-$B$42&gt;=1,INDEX(Source_Data!$D$12:$BK$12,1,Source_Data!Q$5-$B$42),0)</f>
        <v>8.33472</v>
      </c>
      <c r="R51" s="33" t="n">
        <f aca="false">$B$41*IF(Source_Data!R$5-$B$42&gt;=1,INDEX(Source_Data!$D$12:$BK$12,1,Source_Data!R$5-$B$42),0)</f>
        <v>8.33472</v>
      </c>
      <c r="S51" s="33" t="n">
        <f aca="false">$B$41*IF(Source_Data!S$5-$B$42&gt;=1,INDEX(Source_Data!$D$12:$BK$12,1,Source_Data!S$5-$B$42),0)</f>
        <v>5.99058</v>
      </c>
      <c r="T51" s="33" t="n">
        <f aca="false">$B$41*IF(Source_Data!T$5-$B$42&gt;=1,INDEX(Source_Data!$D$12:$BK$12,1,Source_Data!T$5-$B$42),0)</f>
        <v>0</v>
      </c>
      <c r="U51" s="33" t="n">
        <f aca="false">$B$41*IF(Source_Data!U$5-$B$42&gt;=1,INDEX(Source_Data!$D$12:$BK$12,1,Source_Data!U$5-$B$42),0)</f>
        <v>0</v>
      </c>
      <c r="V51" s="33" t="n">
        <f aca="false">$B$41*IF(Source_Data!V$5-$B$42&gt;=1,INDEX(Source_Data!$D$12:$BK$12,1,Source_Data!V$5-$B$42),0)</f>
        <v>0</v>
      </c>
      <c r="W51" s="33" t="n">
        <f aca="false">$B$41*IF(Source_Data!W$5-$B$42&gt;=1,INDEX(Source_Data!$D$12:$BK$12,1,Source_Data!W$5-$B$42),0)</f>
        <v>0</v>
      </c>
      <c r="X51" s="33" t="n">
        <f aca="false">$B$41*IF(Source_Data!X$5-$B$42&gt;=1,INDEX(Source_Data!$D$12:$BK$12,1,Source_Data!X$5-$B$42),0)</f>
        <v>0</v>
      </c>
      <c r="Y51" s="33" t="n">
        <f aca="false">$B$41*IF(Source_Data!Y$5-$B$42&gt;=1,INDEX(Source_Data!$D$12:$BK$12,1,Source_Data!Y$5-$B$42),0)</f>
        <v>0</v>
      </c>
      <c r="Z51" s="33" t="n">
        <f aca="false">$B$41*IF(Source_Data!Z$5-$B$42&gt;=1,INDEX(Source_Data!$D$12:$BK$12,1,Source_Data!Z$5-$B$42),0)</f>
        <v>0</v>
      </c>
      <c r="AA51" s="33" t="n">
        <f aca="false">$B$41*IF(Source_Data!AA$5-$B$42&gt;=1,INDEX(Source_Data!$D$12:$BK$12,1,Source_Data!AA$5-$B$42),0)</f>
        <v>0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215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3</v>
      </c>
      <c r="I52" s="33" t="n">
        <f aca="false">Source_Data!I$13*$B$43</f>
        <v>3.96</v>
      </c>
      <c r="J52" s="33" t="n">
        <f aca="false">Source_Data!J$13*$B$43</f>
        <v>6</v>
      </c>
      <c r="K52" s="33" t="n">
        <f aca="false">Source_Data!K$13*$B$43</f>
        <v>3.96</v>
      </c>
      <c r="L52" s="33" t="n">
        <f aca="false">Source_Data!L$13*$B$43</f>
        <v>3.96</v>
      </c>
      <c r="M52" s="33" t="n">
        <f aca="false">Source_Data!M$13*$B$43</f>
        <v>3.96</v>
      </c>
      <c r="N52" s="33" t="n">
        <f aca="false">Source_Data!N$13*$B$43</f>
        <v>0.792</v>
      </c>
      <c r="O52" s="33" t="n">
        <f aca="false">Source_Data!O$13*$B$43</f>
        <v>0.792</v>
      </c>
      <c r="P52" s="33" t="n">
        <f aca="false">Source_Data!P$13*$B$43</f>
        <v>18</v>
      </c>
      <c r="Q52" s="33" t="n">
        <f aca="false">Source_Data!Q$13*$B$43</f>
        <v>18</v>
      </c>
      <c r="R52" s="33" t="n">
        <f aca="false">Source_Data!R$13*$B$43</f>
        <v>24.6</v>
      </c>
      <c r="S52" s="33" t="n">
        <f aca="false">Source_Data!S$13*$B$43</f>
        <v>17.55</v>
      </c>
      <c r="T52" s="33" t="n">
        <f aca="false">Source_Data!T$13*$B$43</f>
        <v>0</v>
      </c>
      <c r="U52" s="33" t="n">
        <f aca="false">Source_Data!U$13*$B$43</f>
        <v>0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216</v>
      </c>
      <c r="D53" s="33" t="n">
        <f aca="false">D48-D49-D50-D51-D52</f>
        <v>-91.25</v>
      </c>
      <c r="E53" s="33" t="n">
        <f aca="false">E48-E49-E50-E51-E52</f>
        <v>-11.25</v>
      </c>
      <c r="F53" s="33" t="n">
        <f aca="false">F48-F49-F50-F51-F52</f>
        <v>2.37531375</v>
      </c>
      <c r="G53" s="33" t="n">
        <f aca="false">G48-G49-G50-G51-G52</f>
        <v>16.0006275</v>
      </c>
      <c r="H53" s="33" t="n">
        <f aca="false">H48-H49-H50-H51-H52</f>
        <v>-3.639194375</v>
      </c>
      <c r="I53" s="33" t="n">
        <f aca="false">I48-I49-I50-I51-I52</f>
        <v>3.61098375</v>
      </c>
      <c r="J53" s="33" t="n">
        <f aca="false">J48-J49-J50-J51-J52</f>
        <v>-23.271121</v>
      </c>
      <c r="K53" s="33" t="n">
        <f aca="false">K48-K49-K50-K51-K52</f>
        <v>-6.63404756249999</v>
      </c>
      <c r="L53" s="33" t="n">
        <f aca="false">L48-L49-L50-L51-L52</f>
        <v>-0.383170406249983</v>
      </c>
      <c r="M53" s="33" t="n">
        <f aca="false">M48-M49-M50-M51-M52</f>
        <v>373.04931975</v>
      </c>
      <c r="N53" s="33" t="n">
        <f aca="false">N48-N49-N50-N51-N52</f>
        <v>120.907866</v>
      </c>
      <c r="O53" s="33" t="n">
        <f aca="false">O48-O49-O50-O51-O52</f>
        <v>112.768491</v>
      </c>
      <c r="P53" s="33" t="n">
        <f aca="false">P48-P49-P50-P51-P52</f>
        <v>-102.348561</v>
      </c>
      <c r="Q53" s="33" t="n">
        <f aca="false">Q48-Q49-Q50-Q51-Q52</f>
        <v>-127.155748125</v>
      </c>
      <c r="R53" s="33" t="n">
        <f aca="false">R48-R49-R50-R51-R52</f>
        <v>-177.755748125</v>
      </c>
      <c r="S53" s="33" t="n">
        <f aca="false">S48-S49-S50-S51-S52</f>
        <v>-124.3072479375</v>
      </c>
      <c r="T53" s="33" t="n">
        <f aca="false">T48-T49-T50-T51-T52</f>
        <v>10.10397571875</v>
      </c>
      <c r="U53" s="33" t="n">
        <f aca="false">U48-U49-U50-U51-U52</f>
        <v>8.74144434375</v>
      </c>
      <c r="V53" s="33" t="n">
        <f aca="false">V48-V49-V50-V51-V52</f>
        <v>3.35155021875</v>
      </c>
      <c r="W53" s="33" t="n">
        <f aca="false">W48-W49-W50-W51-W52</f>
        <v>-0.555349781250001</v>
      </c>
      <c r="X53" s="33" t="n">
        <f aca="false">X48-X49-X50-X51-X52</f>
        <v>21.94465021875</v>
      </c>
      <c r="Y53" s="33" t="n">
        <f aca="false">Y48-Y49-Y50-Y51-Y52</f>
        <v>15.39245334375</v>
      </c>
      <c r="Z53" s="33" t="n">
        <f aca="false">Z48-Z49-Z50-Z51-Z52</f>
        <v>15.39245334375</v>
      </c>
      <c r="AA53" s="33" t="n">
        <f aca="false">AA48-AA49-AA50-AA51-AA52</f>
        <v>15.39245334375</v>
      </c>
      <c r="AB53" s="33" t="n">
        <f aca="false">AB48-AB49-AB50-AB51-AB52</f>
        <v>32.68325334375</v>
      </c>
      <c r="AC53" s="33" t="n">
        <f aca="false">AC48-AC49-AC50-AC51-AC52</f>
        <v>29.73476475</v>
      </c>
      <c r="AD53" s="33" t="n">
        <f aca="false">AD48-AD49-AD50-AD51-AD52</f>
        <v>26.487154125</v>
      </c>
      <c r="AE53" s="33" t="n">
        <f aca="false">AE48-AE49-AE50-AE51-AE52</f>
        <v>22.580254125</v>
      </c>
      <c r="AF53" s="33" t="n">
        <f aca="false">AF48-AF49-AF50-AF51-AF52</f>
        <v>-27.9742206328603</v>
      </c>
      <c r="AG53" s="33" t="n">
        <f aca="false">AG48-AG49-AG50-AG51-AG52</f>
        <v>17.4306528245458</v>
      </c>
      <c r="AH53" s="33" t="n">
        <f aca="false">AH48-AH49-AH50-AH51-AH52</f>
        <v>17.4306528245458</v>
      </c>
      <c r="AI53" s="33" t="n">
        <f aca="false">AI48-AI49-AI50-AI51-AI52</f>
        <v>17.4306528245458</v>
      </c>
      <c r="AJ53" s="33" t="n">
        <f aca="false">AJ48-AJ49-AJ50-AJ51-AJ52</f>
        <v>17.4306528245458</v>
      </c>
      <c r="AK53" s="33" t="n">
        <f aca="false">AK48-AK49-AK50-AK51-AK52</f>
        <v>15.9132774885471</v>
      </c>
      <c r="AL53" s="33" t="n">
        <f aca="false">AL48-AL49-AL50-AL51-AL52</f>
        <v>15.9132774885471</v>
      </c>
      <c r="AM53" s="33" t="n">
        <f aca="false">AM48-AM49-AM50-AM51-AM52</f>
        <v>13.0192688767001</v>
      </c>
      <c r="AN53" s="33" t="n">
        <f aca="false">AN48-AN49-AN50-AN51-AN52</f>
        <v>6.68776110822817</v>
      </c>
      <c r="AO53" s="33" t="n">
        <f aca="false">AO48-AO49-AO50-AO51-AO52</f>
        <v>2.48057881015453</v>
      </c>
      <c r="AP53" s="33" t="n">
        <f aca="false">AP48-AP49-AP50-AP51-AP52</f>
        <v>0</v>
      </c>
      <c r="AQ53" s="33" t="n">
        <f aca="false">AQ48-AQ49-AQ50-AQ51-AQ52</f>
        <v>0</v>
      </c>
      <c r="AR53" s="33" t="n">
        <f aca="false">AR48-AR49-AR50-AR51-AR52</f>
        <v>0</v>
      </c>
      <c r="AS53" s="33" t="n">
        <f aca="false">AS48-AS49-AS50-AS51-AS52</f>
        <v>0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217</v>
      </c>
      <c r="D54" s="33" t="n">
        <f aca="false">D53</f>
        <v>-91.25</v>
      </c>
      <c r="E54" s="33" t="n">
        <f aca="false">D54+E53</f>
        <v>-102.5</v>
      </c>
      <c r="F54" s="33" t="n">
        <f aca="false">E54+F53</f>
        <v>-100.12468625</v>
      </c>
      <c r="G54" s="33" t="n">
        <f aca="false">F54+G53</f>
        <v>-84.12405875</v>
      </c>
      <c r="H54" s="33" t="n">
        <f aca="false">G54+H53</f>
        <v>-87.763253125</v>
      </c>
      <c r="I54" s="33" t="n">
        <f aca="false">H54+I53</f>
        <v>-84.152269375</v>
      </c>
      <c r="J54" s="33" t="n">
        <f aca="false">I54+J53</f>
        <v>-107.423390375</v>
      </c>
      <c r="K54" s="33" t="n">
        <f aca="false">J54+K53</f>
        <v>-114.0574379375</v>
      </c>
      <c r="L54" s="33" t="n">
        <f aca="false">K54+L53</f>
        <v>-114.44060834375</v>
      </c>
      <c r="M54" s="33" t="n">
        <f aca="false">L54+M53</f>
        <v>258.60871140625</v>
      </c>
      <c r="N54" s="33" t="n">
        <f aca="false">M54+N53</f>
        <v>379.51657740625</v>
      </c>
      <c r="O54" s="33" t="n">
        <f aca="false">N54+O53</f>
        <v>492.28506840625</v>
      </c>
      <c r="P54" s="33" t="n">
        <f aca="false">O54+P53</f>
        <v>389.93650740625</v>
      </c>
      <c r="Q54" s="33" t="n">
        <f aca="false">P54+Q53</f>
        <v>262.78075928125</v>
      </c>
      <c r="R54" s="33" t="n">
        <f aca="false">Q54+R53</f>
        <v>85.02501115625</v>
      </c>
      <c r="S54" s="33" t="n">
        <f aca="false">R54+S53</f>
        <v>-39.28223678125</v>
      </c>
      <c r="T54" s="33" t="n">
        <f aca="false">S54+T53</f>
        <v>-29.1782610625</v>
      </c>
      <c r="U54" s="33" t="n">
        <f aca="false">T54+U53</f>
        <v>-20.43681671875</v>
      </c>
      <c r="V54" s="33" t="n">
        <f aca="false">U54+V53</f>
        <v>-17.0852665</v>
      </c>
      <c r="W54" s="33" t="n">
        <f aca="false">V54+W53</f>
        <v>-17.64061628125</v>
      </c>
      <c r="X54" s="33" t="n">
        <f aca="false">W54+X53</f>
        <v>4.30403393749997</v>
      </c>
      <c r="Y54" s="33" t="n">
        <f aca="false">X54+Y53</f>
        <v>19.69648728125</v>
      </c>
      <c r="Z54" s="33" t="n">
        <f aca="false">Y54+Z53</f>
        <v>35.088940625</v>
      </c>
      <c r="AA54" s="33" t="n">
        <f aca="false">Z54+AA53</f>
        <v>50.48139396875</v>
      </c>
      <c r="AB54" s="33" t="n">
        <f aca="false">AA54+AB53</f>
        <v>83.1646473125</v>
      </c>
      <c r="AC54" s="33" t="n">
        <f aca="false">AB54+AC53</f>
        <v>112.8994120625</v>
      </c>
      <c r="AD54" s="33" t="n">
        <f aca="false">AC54+AD53</f>
        <v>139.3865661875</v>
      </c>
      <c r="AE54" s="33" t="n">
        <f aca="false">AD54+AE53</f>
        <v>161.9668203125</v>
      </c>
      <c r="AF54" s="33" t="n">
        <f aca="false">AE54+AF53</f>
        <v>133.99259967964</v>
      </c>
      <c r="AG54" s="33" t="n">
        <f aca="false">AF54+AG53</f>
        <v>151.423252504186</v>
      </c>
      <c r="AH54" s="33" t="n">
        <f aca="false">AG54+AH53</f>
        <v>168.853905328731</v>
      </c>
      <c r="AI54" s="33" t="n">
        <f aca="false">AH54+AI53</f>
        <v>186.284558153277</v>
      </c>
      <c r="AJ54" s="33" t="n">
        <f aca="false">AI54+AJ53</f>
        <v>203.715210977823</v>
      </c>
      <c r="AK54" s="33" t="n">
        <f aca="false">AJ54+AK53</f>
        <v>219.62848846637</v>
      </c>
      <c r="AL54" s="33" t="n">
        <f aca="false">AK54+AL53</f>
        <v>235.541765954917</v>
      </c>
      <c r="AM54" s="33" t="n">
        <f aca="false">AL54+AM53</f>
        <v>248.561034831617</v>
      </c>
      <c r="AN54" s="33" t="n">
        <f aca="false">AM54+AN53</f>
        <v>255.248795939845</v>
      </c>
      <c r="AO54" s="33" t="n">
        <f aca="false">AN54+AO53</f>
        <v>257.72937475</v>
      </c>
      <c r="AP54" s="33" t="n">
        <f aca="false">AO54+AP53</f>
        <v>257.72937475</v>
      </c>
      <c r="AQ54" s="33" t="n">
        <f aca="false">AP54+AQ53</f>
        <v>257.72937475</v>
      </c>
      <c r="AR54" s="33" t="n">
        <f aca="false">AQ54+AR53</f>
        <v>257.72937475</v>
      </c>
      <c r="AS54" s="33" t="n">
        <f aca="false">AR54+AS53</f>
        <v>257.72937475</v>
      </c>
      <c r="AT54" s="33" t="n">
        <f aca="false">AS54+AT53</f>
        <v>257.72937475</v>
      </c>
      <c r="AU54" s="33" t="n">
        <f aca="false">AT54+AU53</f>
        <v>257.72937475</v>
      </c>
      <c r="AV54" s="33" t="n">
        <f aca="false">AU54+AV53</f>
        <v>257.72937475</v>
      </c>
      <c r="AW54" s="33" t="n">
        <f aca="false">AV54+AW53</f>
        <v>257.72937475</v>
      </c>
      <c r="AX54" s="33" t="n">
        <f aca="false">AW54+AX53</f>
        <v>257.72937475</v>
      </c>
      <c r="AY54" s="33" t="n">
        <f aca="false">AX54+AY53</f>
        <v>257.72937475</v>
      </c>
      <c r="AZ54" s="33" t="n">
        <f aca="false">AY54+AZ53</f>
        <v>257.72937475</v>
      </c>
      <c r="BA54" s="33" t="n">
        <f aca="false">AZ54+BA53</f>
        <v>257.72937475</v>
      </c>
      <c r="BB54" s="33" t="n">
        <f aca="false">BA54+BB53</f>
        <v>257.72937475</v>
      </c>
      <c r="BC54" s="33" t="n">
        <f aca="false">BB54+BC53</f>
        <v>257.72937475</v>
      </c>
      <c r="BD54" s="33" t="n">
        <f aca="false">BC54+BD53</f>
        <v>257.72937475</v>
      </c>
      <c r="BE54" s="33" t="n">
        <f aca="false">BD54+BE53</f>
        <v>257.72937475</v>
      </c>
      <c r="BF54" s="33" t="n">
        <f aca="false">BE54+BF53</f>
        <v>257.72937475</v>
      </c>
      <c r="BG54" s="33" t="n">
        <f aca="false">BF54+BG53</f>
        <v>257.72937475</v>
      </c>
      <c r="BH54" s="33" t="n">
        <f aca="false">BG54+BH53</f>
        <v>257.72937475</v>
      </c>
      <c r="BI54" s="33" t="n">
        <f aca="false">BH54+BI53</f>
        <v>257.72937475</v>
      </c>
      <c r="BJ54" s="33" t="n">
        <f aca="false">BI54+BJ53</f>
        <v>257.72937475</v>
      </c>
      <c r="BK54" s="33" t="n">
        <f aca="false">BJ54+BK53</f>
        <v>257.72937475</v>
      </c>
    </row>
    <row r="55" customFormat="false" ht="15" hidden="false" customHeight="false" outlineLevel="0" collapsed="false">
      <c r="A55" s="3" t="s">
        <v>340</v>
      </c>
      <c r="D55" s="33" t="n">
        <f aca="false">IF(Source_Data!D$6=Inputs!$B$12,-Inputs!$B$7,0)+IF(AND(Source_Data!D$6&gt;=$B$46,Source_Data!D$6&lt;$B$46+3*Inputs!$B$16,MOD(Source_Data!D$6-$B$46,3)=0),Inputs!$B$8*Inputs!$B$7*Inputs!$B$34*$B$41*(1-Inputs!$B$15)/Inputs!$B$16,0)</f>
        <v>-100</v>
      </c>
      <c r="E55" s="33" t="n">
        <f aca="false">IF(Source_Data!E$6=Inputs!$B$12,-Inputs!$B$7,0)+IF(AND(Source_Data!E$6&gt;=$B$46,Source_Data!E$6&lt;$B$46+3*Inputs!$B$16,MOD(Source_Data!E$6-$B$46,3)=0),Inputs!$B$8*Inputs!$B$7*Inputs!$B$34*$B$41*(1-Inputs!$B$15)/Inputs!$B$16,0)</f>
        <v>0</v>
      </c>
      <c r="F55" s="33" t="n">
        <f aca="false">IF(Source_Data!F$6=Inputs!$B$12,-Inputs!$B$7,0)+IF(AND(Source_Data!F$6&gt;=$B$46,Source_Data!F$6&lt;$B$46+3*Inputs!$B$16,MOD(Source_Data!F$6-$B$46,3)=0),Inputs!$B$8*Inputs!$B$7*Inputs!$B$34*$B$41*(1-Inputs!$B$15)/Inputs!$B$16,0)</f>
        <v>0</v>
      </c>
      <c r="G55" s="33" t="n">
        <f aca="false">IF(Source_Data!G$6=Inputs!$B$12,-Inputs!$B$7,0)+IF(AND(Source_Data!G$6&gt;=$B$46,Source_Data!G$6&lt;$B$46+3*Inputs!$B$16,MOD(Source_Data!G$6-$B$46,3)=0),Inputs!$B$8*Inputs!$B$7*Inputs!$B$34*$B$41*(1-Inputs!$B$15)/Inputs!$B$16,0)</f>
        <v>0</v>
      </c>
      <c r="H55" s="33" t="n">
        <f aca="false">IF(Source_Data!H$6=Inputs!$B$12,-Inputs!$B$7,0)+IF(AND(Source_Data!H$6&gt;=$B$46,Source_Data!H$6&lt;$B$46+3*Inputs!$B$16,MOD(Source_Data!H$6-$B$46,3)=0),Inputs!$B$8*Inputs!$B$7*Inputs!$B$34*$B$41*(1-Inputs!$B$15)/Inputs!$B$16,0)</f>
        <v>0</v>
      </c>
      <c r="I55" s="33" t="n">
        <f aca="false">IF(Source_Data!I$6=Inputs!$B$12,-Inputs!$B$7,0)+IF(AND(Source_Data!I$6&gt;=$B$46,Source_Data!I$6&lt;$B$46+3*Inputs!$B$16,MOD(Source_Data!I$6-$B$46,3)=0),Inputs!$B$8*Inputs!$B$7*Inputs!$B$34*$B$41*(1-Inputs!$B$15)/Inputs!$B$16,0)</f>
        <v>0</v>
      </c>
      <c r="J55" s="33" t="n">
        <f aca="false">IF(Source_Data!J$6=Inputs!$B$12,-Inputs!$B$7,0)+IF(AND(Source_Data!J$6&gt;=$B$46,Source_Data!J$6&lt;$B$46+3*Inputs!$B$16,MOD(Source_Data!J$6-$B$46,3)=0),Inputs!$B$8*Inputs!$B$7*Inputs!$B$34*$B$41*(1-Inputs!$B$15)/Inputs!$B$16,0)</f>
        <v>0</v>
      </c>
      <c r="K55" s="33" t="n">
        <f aca="false">IF(Source_Data!K$6=Inputs!$B$12,-Inputs!$B$7,0)+IF(AND(Source_Data!K$6&gt;=$B$46,Source_Data!K$6&lt;$B$46+3*Inputs!$B$16,MOD(Source_Data!K$6-$B$46,3)=0),Inputs!$B$8*Inputs!$B$7*Inputs!$B$34*$B$41*(1-Inputs!$B$15)/Inputs!$B$16,0)</f>
        <v>0</v>
      </c>
      <c r="L55" s="33" t="n">
        <f aca="false">IF(Source_Data!L$6=Inputs!$B$12,-Inputs!$B$7,0)+IF(AND(Source_Data!L$6&gt;=$B$46,Source_Data!L$6&lt;$B$46+3*Inputs!$B$16,MOD(Source_Data!L$6-$B$46,3)=0),Inputs!$B$8*Inputs!$B$7*Inputs!$B$34*$B$41*(1-Inputs!$B$15)/Inputs!$B$16,0)</f>
        <v>0</v>
      </c>
      <c r="M55" s="33" t="n">
        <f aca="false">IF(Source_Data!M$6=Inputs!$B$12,-Inputs!$B$7,0)+IF(AND(Source_Data!M$6&gt;=$B$46,Source_Data!M$6&lt;$B$46+3*Inputs!$B$16,MOD(Source_Data!M$6-$B$46,3)=0),Inputs!$B$8*Inputs!$B$7*Inputs!$B$34*$B$41*(1-Inputs!$B$15)/Inputs!$B$16,0)</f>
        <v>0</v>
      </c>
      <c r="N55" s="33" t="n">
        <f aca="false">IF(Source_Data!N$6=Inputs!$B$12,-Inputs!$B$7,0)+IF(AND(Source_Data!N$6&gt;=$B$46,Source_Data!N$6&lt;$B$46+3*Inputs!$B$16,MOD(Source_Data!N$6-$B$46,3)=0),Inputs!$B$8*Inputs!$B$7*Inputs!$B$34*$B$41*(1-Inputs!$B$15)/Inputs!$B$16,0)</f>
        <v>0</v>
      </c>
      <c r="O55" s="33" t="n">
        <f aca="false">IF(Source_Data!O$6=Inputs!$B$12,-Inputs!$B$7,0)+IF(AND(Source_Data!O$6&gt;=$B$46,Source_Data!O$6&lt;$B$46+3*Inputs!$B$16,MOD(Source_Data!O$6-$B$46,3)=0),Inputs!$B$8*Inputs!$B$7*Inputs!$B$34*$B$41*(1-Inputs!$B$15)/Inputs!$B$16,0)</f>
        <v>0</v>
      </c>
      <c r="P55" s="33" t="n">
        <f aca="false">IF(Source_Data!P$6=Inputs!$B$12,-Inputs!$B$7,0)+IF(AND(Source_Data!P$6&gt;=$B$46,Source_Data!P$6&lt;$B$46+3*Inputs!$B$16,MOD(Source_Data!P$6-$B$46,3)=0),Inputs!$B$8*Inputs!$B$7*Inputs!$B$34*$B$41*(1-Inputs!$B$15)/Inputs!$B$16,0)</f>
        <v>0</v>
      </c>
      <c r="Q55" s="33" t="n">
        <f aca="false">IF(Source_Data!Q$6=Inputs!$B$12,-Inputs!$B$7,0)+IF(AND(Source_Data!Q$6&gt;=$B$46,Source_Data!Q$6&lt;$B$46+3*Inputs!$B$16,MOD(Source_Data!Q$6-$B$46,3)=0),Inputs!$B$8*Inputs!$B$7*Inputs!$B$34*$B$41*(1-Inputs!$B$15)/Inputs!$B$16,0)</f>
        <v>0</v>
      </c>
      <c r="R55" s="33" t="n">
        <f aca="false">IF(Source_Data!R$6=Inputs!$B$12,-Inputs!$B$7,0)+IF(AND(Source_Data!R$6&gt;=$B$46,Source_Data!R$6&lt;$B$46+3*Inputs!$B$16,MOD(Source_Data!R$6-$B$46,3)=0),Inputs!$B$8*Inputs!$B$7*Inputs!$B$34*$B$41*(1-Inputs!$B$15)/Inputs!$B$16,0)</f>
        <v>0</v>
      </c>
      <c r="S55" s="33" t="n">
        <f aca="false">IF(Source_Data!S$6=Inputs!$B$12,-Inputs!$B$7,0)+IF(AND(Source_Data!S$6&gt;=$B$46,Source_Data!S$6&lt;$B$46+3*Inputs!$B$16,MOD(Source_Data!S$6-$B$46,3)=0),Inputs!$B$8*Inputs!$B$7*Inputs!$B$34*$B$41*(1-Inputs!$B$15)/Inputs!$B$16,0)</f>
        <v>0</v>
      </c>
      <c r="T55" s="33" t="n">
        <f aca="false">IF(Source_Data!T$6=Inputs!$B$12,-Inputs!$B$7,0)+IF(AND(Source_Data!T$6&gt;=$B$46,Source_Data!T$6&lt;$B$46+3*Inputs!$B$16,MOD(Source_Data!T$6-$B$46,3)=0),Inputs!$B$8*Inputs!$B$7*Inputs!$B$34*$B$41*(1-Inputs!$B$15)/Inputs!$B$16,0)</f>
        <v>62.5806451612903</v>
      </c>
      <c r="U55" s="33" t="n">
        <f aca="false">IF(Source_Data!U$6=Inputs!$B$12,-Inputs!$B$7,0)+IF(AND(Source_Data!U$6&gt;=$B$46,Source_Data!U$6&lt;$B$46+3*Inputs!$B$16,MOD(Source_Data!U$6-$B$46,3)=0),Inputs!$B$8*Inputs!$B$7*Inputs!$B$34*$B$41*(1-Inputs!$B$15)/Inputs!$B$16,0)</f>
        <v>62.5806451612903</v>
      </c>
      <c r="V55" s="33" t="n">
        <f aca="false">IF(Source_Data!V$6=Inputs!$B$12,-Inputs!$B$7,0)+IF(AND(Source_Data!V$6&gt;=$B$46,Source_Data!V$6&lt;$B$46+3*Inputs!$B$16,MOD(Source_Data!V$6-$B$46,3)=0),Inputs!$B$8*Inputs!$B$7*Inputs!$B$34*$B$41*(1-Inputs!$B$15)/Inputs!$B$16,0)</f>
        <v>62.5806451612903</v>
      </c>
      <c r="W55" s="33" t="n">
        <f aca="false">IF(Source_Data!W$6=Inputs!$B$12,-Inputs!$B$7,0)+IF(AND(Source_Data!W$6&gt;=$B$46,Source_Data!W$6&lt;$B$46+3*Inputs!$B$16,MOD(Source_Data!W$6-$B$46,3)=0),Inputs!$B$8*Inputs!$B$7*Inputs!$B$34*$B$41*(1-Inputs!$B$15)/Inputs!$B$16,0)</f>
        <v>62.5806451612903</v>
      </c>
      <c r="X55" s="33" t="n">
        <f aca="false">IF(Source_Data!X$6=Inputs!$B$12,-Inputs!$B$7,0)+IF(AND(Source_Data!X$6&gt;=$B$46,Source_Data!X$6&lt;$B$46+3*Inputs!$B$16,MOD(Source_Data!X$6-$B$46,3)=0),Inputs!$B$8*Inputs!$B$7*Inputs!$B$34*$B$41*(1-Inputs!$B$15)/Inputs!$B$16,0)</f>
        <v>0</v>
      </c>
      <c r="Y55" s="33" t="n">
        <f aca="false">IF(Source_Data!Y$6=Inputs!$B$12,-Inputs!$B$7,0)+IF(AND(Source_Data!Y$6&gt;=$B$46,Source_Data!Y$6&lt;$B$46+3*Inputs!$B$16,MOD(Source_Data!Y$6-$B$46,3)=0),Inputs!$B$8*Inputs!$B$7*Inputs!$B$34*$B$41*(1-Inputs!$B$15)/Inputs!$B$16,0)</f>
        <v>0</v>
      </c>
      <c r="Z55" s="33" t="n">
        <f aca="false">IF(Source_Data!Z$6=Inputs!$B$12,-Inputs!$B$7,0)+IF(AND(Source_Data!Z$6&gt;=$B$46,Source_Data!Z$6&lt;$B$46+3*Inputs!$B$16,MOD(Source_Data!Z$6-$B$46,3)=0),Inputs!$B$8*Inputs!$B$7*Inputs!$B$34*$B$41*(1-Inputs!$B$15)/Inputs!$B$16,0)</f>
        <v>0</v>
      </c>
      <c r="AA55" s="33" t="n">
        <f aca="false">IF(Source_Data!AA$6=Inputs!$B$12,-Inputs!$B$7,0)+IF(AND(Source_Data!AA$6&gt;=$B$46,Source_Data!AA$6&lt;$B$46+3*Inputs!$B$16,MOD(Source_Data!AA$6-$B$46,3)=0),Inputs!$B$8*Inputs!$B$7*Inputs!$B$34*$B$41*(1-Inputs!$B$15)/Inputs!$B$16,0)</f>
        <v>0</v>
      </c>
      <c r="AB55" s="33" t="n">
        <f aca="false">IF(Source_Data!AB$6=Inputs!$B$12,-Inputs!$B$7,0)+IF(AND(Source_Data!AB$6&gt;=$B$46,Source_Data!AB$6&lt;$B$46+3*Inputs!$B$16,MOD(Source_Data!AB$6-$B$46,3)=0),Inputs!$B$8*Inputs!$B$7*Inputs!$B$34*$B$41*(1-Inputs!$B$15)/Inputs!$B$16,0)</f>
        <v>0</v>
      </c>
      <c r="AC55" s="33" t="n">
        <f aca="false">IF(Source_Data!AC$6=Inputs!$B$12,-Inputs!$B$7,0)+IF(AND(Source_Data!AC$6&gt;=$B$46,Source_Data!AC$6&lt;$B$46+3*Inputs!$B$16,MOD(Source_Data!AC$6-$B$46,3)=0),Inputs!$B$8*Inputs!$B$7*Inputs!$B$34*$B$41*(1-Inputs!$B$15)/Inputs!$B$16,0)</f>
        <v>0</v>
      </c>
      <c r="AD55" s="33" t="n">
        <f aca="false">IF(Source_Data!AD$6=Inputs!$B$12,-Inputs!$B$7,0)+IF(AND(Source_Data!AD$6&gt;=$B$46,Source_Data!AD$6&lt;$B$46+3*Inputs!$B$16,MOD(Source_Data!AD$6-$B$46,3)=0),Inputs!$B$8*Inputs!$B$7*Inputs!$B$34*$B$41*(1-Inputs!$B$15)/Inputs!$B$16,0)</f>
        <v>0</v>
      </c>
      <c r="AE55" s="33" t="n">
        <f aca="false">IF(Source_Data!AE$6=Inputs!$B$12,-Inputs!$B$7,0)+IF(AND(Source_Data!AE$6&gt;=$B$46,Source_Data!AE$6&lt;$B$46+3*Inputs!$B$16,MOD(Source_Data!AE$6-$B$46,3)=0),Inputs!$B$8*Inputs!$B$7*Inputs!$B$34*$B$41*(1-Inputs!$B$15)/Inputs!$B$16,0)</f>
        <v>0</v>
      </c>
      <c r="AF55" s="33" t="n">
        <f aca="false">IF(Source_Data!AF$6=Inputs!$B$12,-Inputs!$B$7,0)+IF(AND(Source_Data!AF$6&gt;=$B$46,Source_Data!AF$6&lt;$B$46+3*Inputs!$B$16,MOD(Source_Data!AF$6-$B$46,3)=0),Inputs!$B$8*Inputs!$B$7*Inputs!$B$34*$B$41*(1-Inputs!$B$15)/Inputs!$B$16,0)</f>
        <v>0</v>
      </c>
      <c r="AG55" s="33" t="n">
        <f aca="false">IF(Source_Data!AG$6=Inputs!$B$12,-Inputs!$B$7,0)+IF(AND(Source_Data!AG$6&gt;=$B$46,Source_Data!AG$6&lt;$B$46+3*Inputs!$B$16,MOD(Source_Data!AG$6-$B$46,3)=0),Inputs!$B$8*Inputs!$B$7*Inputs!$B$34*$B$41*(1-Inputs!$B$15)/Inputs!$B$16,0)</f>
        <v>0</v>
      </c>
      <c r="AH55" s="33" t="n">
        <f aca="false">IF(Source_Data!AH$6=Inputs!$B$12,-Inputs!$B$7,0)+IF(AND(Source_Data!AH$6&gt;=$B$46,Source_Data!AH$6&lt;$B$46+3*Inputs!$B$16,MOD(Source_Data!AH$6-$B$46,3)=0),Inputs!$B$8*Inputs!$B$7*Inputs!$B$34*$B$41*(1-Inputs!$B$15)/Inputs!$B$16,0)</f>
        <v>0</v>
      </c>
      <c r="AI55" s="33" t="n">
        <f aca="false">IF(Source_Data!AI$6=Inputs!$B$12,-Inputs!$B$7,0)+IF(AND(Source_Data!AI$6&gt;=$B$46,Source_Data!AI$6&lt;$B$46+3*Inputs!$B$16,MOD(Source_Data!AI$6-$B$46,3)=0),Inputs!$B$8*Inputs!$B$7*Inputs!$B$34*$B$41*(1-Inputs!$B$15)/Inputs!$B$16,0)</f>
        <v>0</v>
      </c>
      <c r="AJ55" s="33" t="n">
        <f aca="false">IF(Source_Data!AJ$6=Inputs!$B$12,-Inputs!$B$7,0)+IF(AND(Source_Data!AJ$6&gt;=$B$46,Source_Data!AJ$6&lt;$B$46+3*Inputs!$B$16,MOD(Source_Data!AJ$6-$B$46,3)=0),Inputs!$B$8*Inputs!$B$7*Inputs!$B$34*$B$41*(1-Inputs!$B$15)/Inputs!$B$16,0)</f>
        <v>0</v>
      </c>
      <c r="AK55" s="33" t="n">
        <f aca="false">IF(Source_Data!AK$6=Inputs!$B$12,-Inputs!$B$7,0)+IF(AND(Source_Data!AK$6&gt;=$B$46,Source_Data!AK$6&lt;$B$46+3*Inputs!$B$16,MOD(Source_Data!AK$6-$B$46,3)=0),Inputs!$B$8*Inputs!$B$7*Inputs!$B$34*$B$41*(1-Inputs!$B$15)/Inputs!$B$16,0)</f>
        <v>0</v>
      </c>
      <c r="AL55" s="33" t="n">
        <f aca="false">IF(Source_Data!AL$6=Inputs!$B$12,-Inputs!$B$7,0)+IF(AND(Source_Data!AL$6&gt;=$B$46,Source_Data!AL$6&lt;$B$46+3*Inputs!$B$16,MOD(Source_Data!AL$6-$B$46,3)=0),Inputs!$B$8*Inputs!$B$7*Inputs!$B$34*$B$41*(1-Inputs!$B$15)/Inputs!$B$16,0)</f>
        <v>0</v>
      </c>
      <c r="AM55" s="33" t="n">
        <f aca="false">IF(Source_Data!AM$6=Inputs!$B$12,-Inputs!$B$7,0)+IF(AND(Source_Data!AM$6&gt;=$B$46,Source_Data!AM$6&lt;$B$46+3*Inputs!$B$16,MOD(Source_Data!AM$6-$B$46,3)=0),Inputs!$B$8*Inputs!$B$7*Inputs!$B$34*$B$41*(1-Inputs!$B$15)/Inputs!$B$16,0)</f>
        <v>0</v>
      </c>
      <c r="AN55" s="33" t="n">
        <f aca="false">IF(Source_Data!AN$6=Inputs!$B$12,-Inputs!$B$7,0)+IF(AND(Source_Data!AN$6&gt;=$B$46,Source_Data!AN$6&lt;$B$46+3*Inputs!$B$16,MOD(Source_Data!AN$6-$B$46,3)=0),Inputs!$B$8*Inputs!$B$7*Inputs!$B$34*$B$41*(1-Inputs!$B$15)/Inputs!$B$16,0)</f>
        <v>0</v>
      </c>
      <c r="AO55" s="33" t="n">
        <f aca="false">IF(Source_Data!AO$6=Inputs!$B$12,-Inputs!$B$7,0)+IF(AND(Source_Data!AO$6&gt;=$B$46,Source_Data!AO$6&lt;$B$46+3*Inputs!$B$16,MOD(Source_Data!AO$6-$B$46,3)=0),Inputs!$B$8*Inputs!$B$7*Inputs!$B$34*$B$41*(1-Inputs!$B$15)/Inputs!$B$16,0)</f>
        <v>0</v>
      </c>
      <c r="AP55" s="33" t="n">
        <f aca="false">IF(Source_Data!AP$6=Inputs!$B$12,-Inputs!$B$7,0)+IF(AND(Source_Data!AP$6&gt;=$B$46,Source_Data!AP$6&lt;$B$46+3*Inputs!$B$16,MOD(Source_Data!AP$6-$B$46,3)=0),Inputs!$B$8*Inputs!$B$7*Inputs!$B$34*$B$41*(1-Inputs!$B$15)/Inputs!$B$16,0)</f>
        <v>0</v>
      </c>
      <c r="AQ55" s="33" t="n">
        <f aca="false">IF(Source_Data!AQ$6=Inputs!$B$12,-Inputs!$B$7,0)+IF(AND(Source_Data!AQ$6&gt;=$B$46,Source_Data!AQ$6&lt;$B$46+3*Inputs!$B$16,MOD(Source_Data!AQ$6-$B$46,3)=0),Inputs!$B$8*Inputs!$B$7*Inputs!$B$34*$B$41*(1-Inputs!$B$15)/Inputs!$B$16,0)</f>
        <v>0</v>
      </c>
      <c r="AR55" s="33" t="n">
        <f aca="false">IF(Source_Data!AR$6=Inputs!$B$12,-Inputs!$B$7,0)+IF(AND(Source_Data!AR$6&gt;=$B$46,Source_Data!AR$6&lt;$B$46+3*Inputs!$B$16,MOD(Source_Data!AR$6-$B$46,3)=0),Inputs!$B$8*Inputs!$B$7*Inputs!$B$34*$B$41*(1-Inputs!$B$15)/Inputs!$B$16,0)</f>
        <v>0</v>
      </c>
      <c r="AS55" s="33" t="n">
        <f aca="false">IF(Source_Data!AS$6=Inputs!$B$12,-Inputs!$B$7,0)+IF(AND(Source_Data!AS$6&gt;=$B$46,Source_Data!AS$6&lt;$B$46+3*Inputs!$B$16,MOD(Source_Data!AS$6-$B$46,3)=0),Inputs!$B$8*Inputs!$B$7*Inputs!$B$34*$B$41*(1-Inputs!$B$15)/Inputs!$B$16,0)</f>
        <v>0</v>
      </c>
      <c r="AT55" s="33" t="n">
        <f aca="false">IF(Source_Data!AT$6=Inputs!$B$12,-Inputs!$B$7,0)+IF(AND(Source_Data!AT$6&gt;=$B$46,Source_Data!AT$6&lt;$B$46+3*Inputs!$B$16,MOD(Source_Data!AT$6-$B$46,3)=0),Inputs!$B$8*Inputs!$B$7*Inputs!$B$34*$B$41*(1-Inputs!$B$15)/Inputs!$B$16,0)</f>
        <v>0</v>
      </c>
      <c r="AU55" s="33" t="n">
        <f aca="false">IF(Source_Data!AU$6=Inputs!$B$12,-Inputs!$B$7,0)+IF(AND(Source_Data!AU$6&gt;=$B$46,Source_Data!AU$6&lt;$B$46+3*Inputs!$B$16,MOD(Source_Data!AU$6-$B$46,3)=0),Inputs!$B$8*Inputs!$B$7*Inputs!$B$34*$B$41*(1-Inputs!$B$15)/Inputs!$B$16,0)</f>
        <v>0</v>
      </c>
      <c r="AV55" s="33" t="n">
        <f aca="false">IF(Source_Data!AV$6=Inputs!$B$12,-Inputs!$B$7,0)+IF(AND(Source_Data!AV$6&gt;=$B$46,Source_Data!AV$6&lt;$B$46+3*Inputs!$B$16,MOD(Source_Data!AV$6-$B$46,3)=0),Inputs!$B$8*Inputs!$B$7*Inputs!$B$34*$B$41*(1-Inputs!$B$15)/Inputs!$B$16,0)</f>
        <v>0</v>
      </c>
      <c r="AW55" s="33" t="n">
        <f aca="false">IF(Source_Data!AW$6=Inputs!$B$12,-Inputs!$B$7,0)+IF(AND(Source_Data!AW$6&gt;=$B$46,Source_Data!AW$6&lt;$B$46+3*Inputs!$B$16,MOD(Source_Data!AW$6-$B$46,3)=0),Inputs!$B$8*Inputs!$B$7*Inputs!$B$34*$B$41*(1-Inputs!$B$15)/Inputs!$B$16,0)</f>
        <v>0</v>
      </c>
      <c r="AX55" s="33" t="n">
        <f aca="false">IF(Source_Data!AX$6=Inputs!$B$12,-Inputs!$B$7,0)+IF(AND(Source_Data!AX$6&gt;=$B$46,Source_Data!AX$6&lt;$B$46+3*Inputs!$B$16,MOD(Source_Data!AX$6-$B$46,3)=0),Inputs!$B$8*Inputs!$B$7*Inputs!$B$34*$B$41*(1-Inputs!$B$15)/Inputs!$B$16,0)</f>
        <v>0</v>
      </c>
      <c r="AY55" s="33" t="n">
        <f aca="false">IF(Source_Data!AY$6=Inputs!$B$12,-Inputs!$B$7,0)+IF(AND(Source_Data!AY$6&gt;=$B$46,Source_Data!AY$6&lt;$B$46+3*Inputs!$B$16,MOD(Source_Data!AY$6-$B$46,3)=0),Inputs!$B$8*Inputs!$B$7*Inputs!$B$34*$B$41*(1-Inputs!$B$15)/Inputs!$B$16,0)</f>
        <v>0</v>
      </c>
      <c r="AZ55" s="33" t="n">
        <f aca="false">IF(Source_Data!AZ$6=Inputs!$B$12,-Inputs!$B$7,0)+IF(AND(Source_Data!AZ$6&gt;=$B$46,Source_Data!AZ$6&lt;$B$46+3*Inputs!$B$16,MOD(Source_Data!AZ$6-$B$46,3)=0),Inputs!$B$8*Inputs!$B$7*Inputs!$B$34*$B$41*(1-Inputs!$B$15)/Inputs!$B$16,0)</f>
        <v>0</v>
      </c>
      <c r="BA55" s="33" t="n">
        <f aca="false">IF(Source_Data!BA$6=Inputs!$B$12,-Inputs!$B$7,0)+IF(AND(Source_Data!BA$6&gt;=$B$46,Source_Data!BA$6&lt;$B$46+3*Inputs!$B$16,MOD(Source_Data!BA$6-$B$46,3)=0),Inputs!$B$8*Inputs!$B$7*Inputs!$B$34*$B$41*(1-Inputs!$B$15)/Inputs!$B$16,0)</f>
        <v>0</v>
      </c>
      <c r="BB55" s="33" t="n">
        <f aca="false">IF(Source_Data!BB$6=Inputs!$B$12,-Inputs!$B$7,0)+IF(AND(Source_Data!BB$6&gt;=$B$46,Source_Data!BB$6&lt;$B$46+3*Inputs!$B$16,MOD(Source_Data!BB$6-$B$46,3)=0),Inputs!$B$8*Inputs!$B$7*Inputs!$B$34*$B$41*(1-Inputs!$B$15)/Inputs!$B$16,0)</f>
        <v>0</v>
      </c>
      <c r="BC55" s="33" t="n">
        <f aca="false">IF(Source_Data!BC$6=Inputs!$B$12,-Inputs!$B$7,0)+IF(AND(Source_Data!BC$6&gt;=$B$46,Source_Data!BC$6&lt;$B$46+3*Inputs!$B$16,MOD(Source_Data!BC$6-$B$46,3)=0),Inputs!$B$8*Inputs!$B$7*Inputs!$B$34*$B$41*(1-Inputs!$B$15)/Inputs!$B$16,0)</f>
        <v>0</v>
      </c>
      <c r="BD55" s="33" t="n">
        <f aca="false">IF(Source_Data!BD$6=Inputs!$B$12,-Inputs!$B$7,0)+IF(AND(Source_Data!BD$6&gt;=$B$46,Source_Data!BD$6&lt;$B$46+3*Inputs!$B$16,MOD(Source_Data!BD$6-$B$46,3)=0),Inputs!$B$8*Inputs!$B$7*Inputs!$B$34*$B$41*(1-Inputs!$B$15)/Inputs!$B$16,0)</f>
        <v>0</v>
      </c>
      <c r="BE55" s="33" t="n">
        <f aca="false">IF(Source_Data!BE$6=Inputs!$B$12,-Inputs!$B$7,0)+IF(AND(Source_Data!BE$6&gt;=$B$46,Source_Data!BE$6&lt;$B$46+3*Inputs!$B$16,MOD(Source_Data!BE$6-$B$46,3)=0),Inputs!$B$8*Inputs!$B$7*Inputs!$B$34*$B$41*(1-Inputs!$B$15)/Inputs!$B$16,0)</f>
        <v>0</v>
      </c>
      <c r="BF55" s="33" t="n">
        <f aca="false">IF(Source_Data!BF$6=Inputs!$B$12,-Inputs!$B$7,0)+IF(AND(Source_Data!BF$6&gt;=$B$46,Source_Data!BF$6&lt;$B$46+3*Inputs!$B$16,MOD(Source_Data!BF$6-$B$46,3)=0),Inputs!$B$8*Inputs!$B$7*Inputs!$B$34*$B$41*(1-Inputs!$B$15)/Inputs!$B$16,0)</f>
        <v>0</v>
      </c>
      <c r="BG55" s="33" t="n">
        <f aca="false">IF(Source_Data!BG$6=Inputs!$B$12,-Inputs!$B$7,0)+IF(AND(Source_Data!BG$6&gt;=$B$46,Source_Data!BG$6&lt;$B$46+3*Inputs!$B$16,MOD(Source_Data!BG$6-$B$46,3)=0),Inputs!$B$8*Inputs!$B$7*Inputs!$B$34*$B$41*(1-Inputs!$B$15)/Inputs!$B$16,0)</f>
        <v>0</v>
      </c>
      <c r="BH55" s="33" t="n">
        <f aca="false">IF(Source_Data!BH$6=Inputs!$B$12,-Inputs!$B$7,0)+IF(AND(Source_Data!BH$6&gt;=$B$46,Source_Data!BH$6&lt;$B$46+3*Inputs!$B$16,MOD(Source_Data!BH$6-$B$46,3)=0),Inputs!$B$8*Inputs!$B$7*Inputs!$B$34*$B$41*(1-Inputs!$B$15)/Inputs!$B$16,0)</f>
        <v>0</v>
      </c>
      <c r="BI55" s="33" t="n">
        <f aca="false">IF(Source_Data!BI$6=Inputs!$B$12,-Inputs!$B$7,0)+IF(AND(Source_Data!BI$6&gt;=$B$46,Source_Data!BI$6&lt;$B$46+3*Inputs!$B$16,MOD(Source_Data!BI$6-$B$46,3)=0),Inputs!$B$8*Inputs!$B$7*Inputs!$B$34*$B$41*(1-Inputs!$B$15)/Inputs!$B$16,0)</f>
        <v>0</v>
      </c>
      <c r="BJ55" s="33" t="n">
        <f aca="false">IF(Source_Data!BJ$6=Inputs!$B$12,-Inputs!$B$7,0)+IF(AND(Source_Data!BJ$6&gt;=$B$46,Source_Data!BJ$6&lt;$B$46+3*Inputs!$B$16,MOD(Source_Data!BJ$6-$B$46,3)=0),Inputs!$B$8*Inputs!$B$7*Inputs!$B$34*$B$41*(1-Inputs!$B$15)/Inputs!$B$16,0)</f>
        <v>0</v>
      </c>
      <c r="BK55" s="33" t="n">
        <f aca="false">IF(Source_Data!BK$6=Inputs!$B$12,-Inputs!$B$7,0)+IF(AND(Source_Data!BK$6&gt;=$B$46,Source_Data!BK$6&lt;$B$46+3*Inputs!$B$16,MOD(Source_Data!BK$6-$B$46,3)=0),Inputs!$B$8*Inputs!$B$7*Inputs!$B$34*$B$41*(1-Inputs!$B$15)/Inputs!$B$16,0)</f>
        <v>0</v>
      </c>
    </row>
    <row r="56" customFormat="false" ht="15" hidden="false" customHeight="false" outlineLevel="0" collapsed="false">
      <c r="A56" s="3" t="s">
        <v>341</v>
      </c>
      <c r="D56" s="33" t="n">
        <f aca="false">IF(AND(Source_Data!D$6&gt;=Inputs!$B$54,Source_Data!D$6&lt;Inputs!$B$54+3*Inputs!$B$11),Inputs!$B$9*Inputs!$B$7/Inputs!$B$11,0)</f>
        <v>0</v>
      </c>
      <c r="E56" s="33" t="n">
        <f aca="false">IF(AND(Source_Data!E$6&gt;=Inputs!$B$54,Source_Data!E$6&lt;Inputs!$B$54+3*Inputs!$B$11),Inputs!$B$9*Inputs!$B$7/Inputs!$B$11,0)</f>
        <v>0</v>
      </c>
      <c r="F56" s="33" t="n">
        <f aca="false">IF(AND(Source_Data!F$6&gt;=Inputs!$B$54,Source_Data!F$6&lt;Inputs!$B$54+3*Inputs!$B$11),Inputs!$B$9*Inputs!$B$7/Inputs!$B$11,0)</f>
        <v>0</v>
      </c>
      <c r="G56" s="33" t="n">
        <f aca="false">IF(AND(Source_Data!G$6&gt;=Inputs!$B$54,Source_Data!G$6&lt;Inputs!$B$54+3*Inputs!$B$11),Inputs!$B$9*Inputs!$B$7/Inputs!$B$11,0)</f>
        <v>0</v>
      </c>
      <c r="H56" s="33" t="n">
        <f aca="false">IF(AND(Source_Data!H$6&gt;=Inputs!$B$54,Source_Data!H$6&lt;Inputs!$B$54+3*Inputs!$B$11),Inputs!$B$9*Inputs!$B$7/Inputs!$B$11,0)</f>
        <v>0</v>
      </c>
      <c r="I56" s="33" t="n">
        <f aca="false">IF(AND(Source_Data!I$6&gt;=Inputs!$B$54,Source_Data!I$6&lt;Inputs!$B$54+3*Inputs!$B$11),Inputs!$B$9*Inputs!$B$7/Inputs!$B$11,0)</f>
        <v>0</v>
      </c>
      <c r="J56" s="33" t="n">
        <f aca="false">IF(AND(Source_Data!J$6&gt;=Inputs!$B$54,Source_Data!J$6&lt;Inputs!$B$54+3*Inputs!$B$11),Inputs!$B$9*Inputs!$B$7/Inputs!$B$11,0)</f>
        <v>0</v>
      </c>
      <c r="K56" s="33" t="n">
        <f aca="false">IF(AND(Source_Data!K$6&gt;=Inputs!$B$54,Source_Data!K$6&lt;Inputs!$B$54+3*Inputs!$B$11),Inputs!$B$9*Inputs!$B$7/Inputs!$B$11,0)</f>
        <v>0</v>
      </c>
      <c r="L56" s="33" t="n">
        <f aca="false">IF(AND(Source_Data!L$6&gt;=Inputs!$B$54,Source_Data!L$6&lt;Inputs!$B$54+3*Inputs!$B$11),Inputs!$B$9*Inputs!$B$7/Inputs!$B$11,0)</f>
        <v>0</v>
      </c>
      <c r="M56" s="33" t="n">
        <f aca="false">IF(AND(Source_Data!M$6&gt;=Inputs!$B$54,Source_Data!M$6&lt;Inputs!$B$54+3*Inputs!$B$11),Inputs!$B$9*Inputs!$B$7/Inputs!$B$11,0)</f>
        <v>19.1666666666667</v>
      </c>
      <c r="N56" s="33" t="n">
        <f aca="false">IF(AND(Source_Data!N$6&gt;=Inputs!$B$54,Source_Data!N$6&lt;Inputs!$B$54+3*Inputs!$B$11),Inputs!$B$9*Inputs!$B$7/Inputs!$B$11,0)</f>
        <v>19.1666666666667</v>
      </c>
      <c r="O56" s="33" t="n">
        <f aca="false">IF(AND(Source_Data!O$6&gt;=Inputs!$B$54,Source_Data!O$6&lt;Inputs!$B$54+3*Inputs!$B$11),Inputs!$B$9*Inputs!$B$7/Inputs!$B$11,0)</f>
        <v>19.1666666666667</v>
      </c>
      <c r="P56" s="33" t="n">
        <f aca="false">IF(AND(Source_Data!P$6&gt;=Inputs!$B$54,Source_Data!P$6&lt;Inputs!$B$54+3*Inputs!$B$11),Inputs!$B$9*Inputs!$B$7/Inputs!$B$11,0)</f>
        <v>19.1666666666667</v>
      </c>
      <c r="Q56" s="33" t="n">
        <f aca="false">IF(AND(Source_Data!Q$6&gt;=Inputs!$B$54,Source_Data!Q$6&lt;Inputs!$B$54+3*Inputs!$B$11),Inputs!$B$9*Inputs!$B$7/Inputs!$B$11,0)</f>
        <v>19.1666666666667</v>
      </c>
      <c r="R56" s="33" t="n">
        <f aca="false">IF(AND(Source_Data!R$6&gt;=Inputs!$B$54,Source_Data!R$6&lt;Inputs!$B$54+3*Inputs!$B$11),Inputs!$B$9*Inputs!$B$7/Inputs!$B$11,0)</f>
        <v>19.1666666666667</v>
      </c>
      <c r="S56" s="33" t="n">
        <f aca="false">IF(AND(Source_Data!S$6&gt;=Inputs!$B$54,Source_Data!S$6&lt;Inputs!$B$54+3*Inputs!$B$11),Inputs!$B$9*Inputs!$B$7/Inputs!$B$11,0)</f>
        <v>19.1666666666667</v>
      </c>
      <c r="T56" s="33" t="n">
        <f aca="false">IF(AND(Source_Data!T$6&gt;=Inputs!$B$54,Source_Data!T$6&lt;Inputs!$B$54+3*Inputs!$B$11),Inputs!$B$9*Inputs!$B$7/Inputs!$B$11,0)</f>
        <v>19.1666666666667</v>
      </c>
      <c r="U56" s="33" t="n">
        <f aca="false">IF(AND(Source_Data!U$6&gt;=Inputs!$B$54,Source_Data!U$6&lt;Inputs!$B$54+3*Inputs!$B$11),Inputs!$B$9*Inputs!$B$7/Inputs!$B$11,0)</f>
        <v>19.1666666666667</v>
      </c>
      <c r="V56" s="33" t="n">
        <f aca="false">IF(AND(Source_Data!V$6&gt;=Inputs!$B$54,Source_Data!V$6&lt;Inputs!$B$54+3*Inputs!$B$11),Inputs!$B$9*Inputs!$B$7/Inputs!$B$11,0)</f>
        <v>19.1666666666667</v>
      </c>
      <c r="W56" s="33" t="n">
        <f aca="false">IF(AND(Source_Data!W$6&gt;=Inputs!$B$54,Source_Data!W$6&lt;Inputs!$B$54+3*Inputs!$B$11),Inputs!$B$9*Inputs!$B$7/Inputs!$B$11,0)</f>
        <v>19.1666666666667</v>
      </c>
      <c r="X56" s="33" t="n">
        <f aca="false">IF(AND(Source_Data!X$6&gt;=Inputs!$B$54,Source_Data!X$6&lt;Inputs!$B$54+3*Inputs!$B$11),Inputs!$B$9*Inputs!$B$7/Inputs!$B$11,0)</f>
        <v>19.1666666666667</v>
      </c>
      <c r="Y56" s="33" t="n">
        <f aca="false">IF(AND(Source_Data!Y$6&gt;=Inputs!$B$54,Source_Data!Y$6&lt;Inputs!$B$54+3*Inputs!$B$11),Inputs!$B$9*Inputs!$B$7/Inputs!$B$11,0)</f>
        <v>0</v>
      </c>
      <c r="Z56" s="33" t="n">
        <f aca="false">IF(AND(Source_Data!Z$6&gt;=Inputs!$B$54,Source_Data!Z$6&lt;Inputs!$B$54+3*Inputs!$B$11),Inputs!$B$9*Inputs!$B$7/Inputs!$B$11,0)</f>
        <v>0</v>
      </c>
      <c r="AA56" s="33" t="n">
        <f aca="false">IF(AND(Source_Data!AA$6&gt;=Inputs!$B$54,Source_Data!AA$6&lt;Inputs!$B$54+3*Inputs!$B$11),Inputs!$B$9*Inputs!$B$7/Inputs!$B$11,0)</f>
        <v>0</v>
      </c>
      <c r="AB56" s="33" t="n">
        <f aca="false">IF(AND(Source_Data!AB$6&gt;=Inputs!$B$54,Source_Data!AB$6&lt;Inputs!$B$54+3*Inputs!$B$11),Inputs!$B$9*Inputs!$B$7/Inputs!$B$11,0)</f>
        <v>0</v>
      </c>
      <c r="AC56" s="33" t="n">
        <f aca="false">IF(AND(Source_Data!AC$6&gt;=Inputs!$B$54,Source_Data!AC$6&lt;Inputs!$B$54+3*Inputs!$B$11),Inputs!$B$9*Inputs!$B$7/Inputs!$B$11,0)</f>
        <v>0</v>
      </c>
      <c r="AD56" s="33" t="n">
        <f aca="false">IF(AND(Source_Data!AD$6&gt;=Inputs!$B$54,Source_Data!AD$6&lt;Inputs!$B$54+3*Inputs!$B$11),Inputs!$B$9*Inputs!$B$7/Inputs!$B$11,0)</f>
        <v>0</v>
      </c>
      <c r="AE56" s="33" t="n">
        <f aca="false">IF(AND(Source_Data!AE$6&gt;=Inputs!$B$54,Source_Data!AE$6&lt;Inputs!$B$54+3*Inputs!$B$11),Inputs!$B$9*Inputs!$B$7/Inputs!$B$11,0)</f>
        <v>0</v>
      </c>
      <c r="AF56" s="33" t="n">
        <f aca="false">IF(AND(Source_Data!AF$6&gt;=Inputs!$B$54,Source_Data!AF$6&lt;Inputs!$B$54+3*Inputs!$B$11),Inputs!$B$9*Inputs!$B$7/Inputs!$B$11,0)</f>
        <v>0</v>
      </c>
      <c r="AG56" s="33" t="n">
        <f aca="false">IF(AND(Source_Data!AG$6&gt;=Inputs!$B$54,Source_Data!AG$6&lt;Inputs!$B$54+3*Inputs!$B$11),Inputs!$B$9*Inputs!$B$7/Inputs!$B$11,0)</f>
        <v>0</v>
      </c>
      <c r="AH56" s="33" t="n">
        <f aca="false">IF(AND(Source_Data!AH$6&gt;=Inputs!$B$54,Source_Data!AH$6&lt;Inputs!$B$54+3*Inputs!$B$11),Inputs!$B$9*Inputs!$B$7/Inputs!$B$11,0)</f>
        <v>0</v>
      </c>
      <c r="AI56" s="33" t="n">
        <f aca="false">IF(AND(Source_Data!AI$6&gt;=Inputs!$B$54,Source_Data!AI$6&lt;Inputs!$B$54+3*Inputs!$B$11),Inputs!$B$9*Inputs!$B$7/Inputs!$B$11,0)</f>
        <v>0</v>
      </c>
      <c r="AJ56" s="33" t="n">
        <f aca="false">IF(AND(Source_Data!AJ$6&gt;=Inputs!$B$54,Source_Data!AJ$6&lt;Inputs!$B$54+3*Inputs!$B$11),Inputs!$B$9*Inputs!$B$7/Inputs!$B$11,0)</f>
        <v>0</v>
      </c>
      <c r="AK56" s="33" t="n">
        <f aca="false">IF(AND(Source_Data!AK$6&gt;=Inputs!$B$54,Source_Data!AK$6&lt;Inputs!$B$54+3*Inputs!$B$11),Inputs!$B$9*Inputs!$B$7/Inputs!$B$11,0)</f>
        <v>0</v>
      </c>
      <c r="AL56" s="33" t="n">
        <f aca="false">IF(AND(Source_Data!AL$6&gt;=Inputs!$B$54,Source_Data!AL$6&lt;Inputs!$B$54+3*Inputs!$B$11),Inputs!$B$9*Inputs!$B$7/Inputs!$B$11,0)</f>
        <v>0</v>
      </c>
      <c r="AM56" s="33" t="n">
        <f aca="false">IF(AND(Source_Data!AM$6&gt;=Inputs!$B$54,Source_Data!AM$6&lt;Inputs!$B$54+3*Inputs!$B$11),Inputs!$B$9*Inputs!$B$7/Inputs!$B$11,0)</f>
        <v>0</v>
      </c>
      <c r="AN56" s="33" t="n">
        <f aca="false">IF(AND(Source_Data!AN$6&gt;=Inputs!$B$54,Source_Data!AN$6&lt;Inputs!$B$54+3*Inputs!$B$11),Inputs!$B$9*Inputs!$B$7/Inputs!$B$11,0)</f>
        <v>0</v>
      </c>
      <c r="AO56" s="33" t="n">
        <f aca="false">IF(AND(Source_Data!AO$6&gt;=Inputs!$B$54,Source_Data!AO$6&lt;Inputs!$B$54+3*Inputs!$B$11),Inputs!$B$9*Inputs!$B$7/Inputs!$B$11,0)</f>
        <v>0</v>
      </c>
      <c r="AP56" s="33" t="n">
        <f aca="false">IF(AND(Source_Data!AP$6&gt;=Inputs!$B$54,Source_Data!AP$6&lt;Inputs!$B$54+3*Inputs!$B$11),Inputs!$B$9*Inputs!$B$7/Inputs!$B$11,0)</f>
        <v>0</v>
      </c>
      <c r="AQ56" s="33" t="n">
        <f aca="false">IF(AND(Source_Data!AQ$6&gt;=Inputs!$B$54,Source_Data!AQ$6&lt;Inputs!$B$54+3*Inputs!$B$11),Inputs!$B$9*Inputs!$B$7/Inputs!$B$11,0)</f>
        <v>0</v>
      </c>
      <c r="AR56" s="33" t="n">
        <f aca="false">IF(AND(Source_Data!AR$6&gt;=Inputs!$B$54,Source_Data!AR$6&lt;Inputs!$B$54+3*Inputs!$B$11),Inputs!$B$9*Inputs!$B$7/Inputs!$B$11,0)</f>
        <v>0</v>
      </c>
      <c r="AS56" s="33" t="n">
        <f aca="false">IF(AND(Source_Data!AS$6&gt;=Inputs!$B$54,Source_Data!AS$6&lt;Inputs!$B$54+3*Inputs!$B$11),Inputs!$B$9*Inputs!$B$7/Inputs!$B$11,0)</f>
        <v>0</v>
      </c>
      <c r="AT56" s="33" t="n">
        <f aca="false">IF(AND(Source_Data!AT$6&gt;=Inputs!$B$54,Source_Data!AT$6&lt;Inputs!$B$54+3*Inputs!$B$11),Inputs!$B$9*Inputs!$B$7/Inputs!$B$11,0)</f>
        <v>0</v>
      </c>
      <c r="AU56" s="33" t="n">
        <f aca="false">IF(AND(Source_Data!AU$6&gt;=Inputs!$B$54,Source_Data!AU$6&lt;Inputs!$B$54+3*Inputs!$B$11),Inputs!$B$9*Inputs!$B$7/Inputs!$B$11,0)</f>
        <v>0</v>
      </c>
      <c r="AV56" s="33" t="n">
        <f aca="false">IF(AND(Source_Data!AV$6&gt;=Inputs!$B$54,Source_Data!AV$6&lt;Inputs!$B$54+3*Inputs!$B$11),Inputs!$B$9*Inputs!$B$7/Inputs!$B$11,0)</f>
        <v>0</v>
      </c>
      <c r="AW56" s="33" t="n">
        <f aca="false">IF(AND(Source_Data!AW$6&gt;=Inputs!$B$54,Source_Data!AW$6&lt;Inputs!$B$54+3*Inputs!$B$11),Inputs!$B$9*Inputs!$B$7/Inputs!$B$11,0)</f>
        <v>0</v>
      </c>
      <c r="AX56" s="33" t="n">
        <f aca="false">IF(AND(Source_Data!AX$6&gt;=Inputs!$B$54,Source_Data!AX$6&lt;Inputs!$B$54+3*Inputs!$B$11),Inputs!$B$9*Inputs!$B$7/Inputs!$B$11,0)</f>
        <v>0</v>
      </c>
      <c r="AY56" s="33" t="n">
        <f aca="false">IF(AND(Source_Data!AY$6&gt;=Inputs!$B$54,Source_Data!AY$6&lt;Inputs!$B$54+3*Inputs!$B$11),Inputs!$B$9*Inputs!$B$7/Inputs!$B$11,0)</f>
        <v>0</v>
      </c>
      <c r="AZ56" s="33" t="n">
        <f aca="false">IF(AND(Source_Data!AZ$6&gt;=Inputs!$B$54,Source_Data!AZ$6&lt;Inputs!$B$54+3*Inputs!$B$11),Inputs!$B$9*Inputs!$B$7/Inputs!$B$11,0)</f>
        <v>0</v>
      </c>
      <c r="BA56" s="33" t="n">
        <f aca="false">IF(AND(Source_Data!BA$6&gt;=Inputs!$B$54,Source_Data!BA$6&lt;Inputs!$B$54+3*Inputs!$B$11),Inputs!$B$9*Inputs!$B$7/Inputs!$B$11,0)</f>
        <v>0</v>
      </c>
      <c r="BB56" s="33" t="n">
        <f aca="false">IF(AND(Source_Data!BB$6&gt;=Inputs!$B$54,Source_Data!BB$6&lt;Inputs!$B$54+3*Inputs!$B$11),Inputs!$B$9*Inputs!$B$7/Inputs!$B$11,0)</f>
        <v>0</v>
      </c>
      <c r="BC56" s="33" t="n">
        <f aca="false">IF(AND(Source_Data!BC$6&gt;=Inputs!$B$54,Source_Data!BC$6&lt;Inputs!$B$54+3*Inputs!$B$11),Inputs!$B$9*Inputs!$B$7/Inputs!$B$11,0)</f>
        <v>0</v>
      </c>
      <c r="BD56" s="33" t="n">
        <f aca="false">IF(AND(Source_Data!BD$6&gt;=Inputs!$B$54,Source_Data!BD$6&lt;Inputs!$B$54+3*Inputs!$B$11),Inputs!$B$9*Inputs!$B$7/Inputs!$B$11,0)</f>
        <v>0</v>
      </c>
      <c r="BE56" s="33" t="n">
        <f aca="false">IF(AND(Source_Data!BE$6&gt;=Inputs!$B$54,Source_Data!BE$6&lt;Inputs!$B$54+3*Inputs!$B$11),Inputs!$B$9*Inputs!$B$7/Inputs!$B$11,0)</f>
        <v>0</v>
      </c>
      <c r="BF56" s="33" t="n">
        <f aca="false">IF(AND(Source_Data!BF$6&gt;=Inputs!$B$54,Source_Data!BF$6&lt;Inputs!$B$54+3*Inputs!$B$11),Inputs!$B$9*Inputs!$B$7/Inputs!$B$11,0)</f>
        <v>0</v>
      </c>
      <c r="BG56" s="33" t="n">
        <f aca="false">IF(AND(Source_Data!BG$6&gt;=Inputs!$B$54,Source_Data!BG$6&lt;Inputs!$B$54+3*Inputs!$B$11),Inputs!$B$9*Inputs!$B$7/Inputs!$B$11,0)</f>
        <v>0</v>
      </c>
      <c r="BH56" s="33" t="n">
        <f aca="false">IF(AND(Source_Data!BH$6&gt;=Inputs!$B$54,Source_Data!BH$6&lt;Inputs!$B$54+3*Inputs!$B$11),Inputs!$B$9*Inputs!$B$7/Inputs!$B$11,0)</f>
        <v>0</v>
      </c>
      <c r="BI56" s="33" t="n">
        <f aca="false">IF(AND(Source_Data!BI$6&gt;=Inputs!$B$54,Source_Data!BI$6&lt;Inputs!$B$54+3*Inputs!$B$11),Inputs!$B$9*Inputs!$B$7/Inputs!$B$11,0)</f>
        <v>0</v>
      </c>
      <c r="BJ56" s="33" t="n">
        <f aca="false">IF(AND(Source_Data!BJ$6&gt;=Inputs!$B$54,Source_Data!BJ$6&lt;Inputs!$B$54+3*Inputs!$B$11),Inputs!$B$9*Inputs!$B$7/Inputs!$B$11,0)</f>
        <v>0</v>
      </c>
      <c r="BK56" s="33" t="n">
        <f aca="false">IF(AND(Source_Data!BK$6&gt;=Inputs!$B$54,Source_Data!BK$6&lt;Inputs!$B$54+3*Inputs!$B$11),Inputs!$B$9*Inputs!$B$7/Inputs!$B$11,0)</f>
        <v>0</v>
      </c>
    </row>
    <row r="57" customFormat="false" ht="15" hidden="false" customHeight="false" outlineLevel="0" collapsed="false">
      <c r="A57" s="3" t="s">
        <v>342</v>
      </c>
      <c r="D57" s="33" t="n">
        <f aca="false">IF(Source_Data!D$6=Inputs!$B$12,-Inputs!$B$7,0)+D56</f>
        <v>-100</v>
      </c>
      <c r="E57" s="33" t="n">
        <f aca="false">IF(Source_Data!E$6=Inputs!$B$12,-Inputs!$B$7,0)+E56</f>
        <v>0</v>
      </c>
      <c r="F57" s="33" t="n">
        <f aca="false">IF(Source_Data!F$6=Inputs!$B$12,-Inputs!$B$7,0)+F56</f>
        <v>0</v>
      </c>
      <c r="G57" s="33" t="n">
        <f aca="false">IF(Source_Data!G$6=Inputs!$B$12,-Inputs!$B$7,0)+G56</f>
        <v>0</v>
      </c>
      <c r="H57" s="33" t="n">
        <f aca="false">IF(Source_Data!H$6=Inputs!$B$12,-Inputs!$B$7,0)+H56</f>
        <v>0</v>
      </c>
      <c r="I57" s="33" t="n">
        <f aca="false">IF(Source_Data!I$6=Inputs!$B$12,-Inputs!$B$7,0)+I56</f>
        <v>0</v>
      </c>
      <c r="J57" s="33" t="n">
        <f aca="false">IF(Source_Data!J$6=Inputs!$B$12,-Inputs!$B$7,0)+J56</f>
        <v>0</v>
      </c>
      <c r="K57" s="33" t="n">
        <f aca="false">IF(Source_Data!K$6=Inputs!$B$12,-Inputs!$B$7,0)+K56</f>
        <v>0</v>
      </c>
      <c r="L57" s="33" t="n">
        <f aca="false">IF(Source_Data!L$6=Inputs!$B$12,-Inputs!$B$7,0)+L56</f>
        <v>0</v>
      </c>
      <c r="M57" s="33" t="n">
        <f aca="false">IF(Source_Data!M$6=Inputs!$B$12,-Inputs!$B$7,0)+M56</f>
        <v>19.1666666666667</v>
      </c>
      <c r="N57" s="33" t="n">
        <f aca="false">IF(Source_Data!N$6=Inputs!$B$12,-Inputs!$B$7,0)+N56</f>
        <v>19.1666666666667</v>
      </c>
      <c r="O57" s="33" t="n">
        <f aca="false">IF(Source_Data!O$6=Inputs!$B$12,-Inputs!$B$7,0)+O56</f>
        <v>19.1666666666667</v>
      </c>
      <c r="P57" s="33" t="n">
        <f aca="false">IF(Source_Data!P$6=Inputs!$B$12,-Inputs!$B$7,0)+P56</f>
        <v>19.1666666666667</v>
      </c>
      <c r="Q57" s="33" t="n">
        <f aca="false">IF(Source_Data!Q$6=Inputs!$B$12,-Inputs!$B$7,0)+Q56</f>
        <v>19.1666666666667</v>
      </c>
      <c r="R57" s="33" t="n">
        <f aca="false">IF(Source_Data!R$6=Inputs!$B$12,-Inputs!$B$7,0)+R56</f>
        <v>19.1666666666667</v>
      </c>
      <c r="S57" s="33" t="n">
        <f aca="false">IF(Source_Data!S$6=Inputs!$B$12,-Inputs!$B$7,0)+S56</f>
        <v>19.1666666666667</v>
      </c>
      <c r="T57" s="33" t="n">
        <f aca="false">IF(Source_Data!T$6=Inputs!$B$12,-Inputs!$B$7,0)+T56</f>
        <v>19.1666666666667</v>
      </c>
      <c r="U57" s="33" t="n">
        <f aca="false">IF(Source_Data!U$6=Inputs!$B$12,-Inputs!$B$7,0)+U56</f>
        <v>19.1666666666667</v>
      </c>
      <c r="V57" s="33" t="n">
        <f aca="false">IF(Source_Data!V$6=Inputs!$B$12,-Inputs!$B$7,0)+V56</f>
        <v>19.1666666666667</v>
      </c>
      <c r="W57" s="33" t="n">
        <f aca="false">IF(Source_Data!W$6=Inputs!$B$12,-Inputs!$B$7,0)+W56</f>
        <v>19.1666666666667</v>
      </c>
      <c r="X57" s="33" t="n">
        <f aca="false">IF(Source_Data!X$6=Inputs!$B$12,-Inputs!$B$7,0)+X56</f>
        <v>19.1666666666667</v>
      </c>
      <c r="Y57" s="33" t="n">
        <f aca="false">IF(Source_Data!Y$6=Inputs!$B$12,-Inputs!$B$7,0)+Y56</f>
        <v>0</v>
      </c>
      <c r="Z57" s="33" t="n">
        <f aca="false">IF(Source_Data!Z$6=Inputs!$B$12,-Inputs!$B$7,0)+Z56</f>
        <v>0</v>
      </c>
      <c r="AA57" s="33" t="n">
        <f aca="false">IF(Source_Data!AA$6=Inputs!$B$12,-Inputs!$B$7,0)+AA56</f>
        <v>0</v>
      </c>
      <c r="AB57" s="33" t="n">
        <f aca="false">IF(Source_Data!AB$6=Inputs!$B$12,-Inputs!$B$7,0)+AB56</f>
        <v>0</v>
      </c>
      <c r="AC57" s="33" t="n">
        <f aca="false">IF(Source_Data!AC$6=Inputs!$B$12,-Inputs!$B$7,0)+AC56</f>
        <v>0</v>
      </c>
      <c r="AD57" s="33" t="n">
        <f aca="false">IF(Source_Data!AD$6=Inputs!$B$12,-Inputs!$B$7,0)+AD56</f>
        <v>0</v>
      </c>
      <c r="AE57" s="33" t="n">
        <f aca="false">IF(Source_Data!AE$6=Inputs!$B$12,-Inputs!$B$7,0)+AE56</f>
        <v>0</v>
      </c>
      <c r="AF57" s="33" t="n">
        <f aca="false">IF(Source_Data!AF$6=Inputs!$B$12,-Inputs!$B$7,0)+AF56</f>
        <v>0</v>
      </c>
      <c r="AG57" s="33" t="n">
        <f aca="false">IF(Source_Data!AG$6=Inputs!$B$12,-Inputs!$B$7,0)+AG56</f>
        <v>0</v>
      </c>
      <c r="AH57" s="33" t="n">
        <f aca="false">IF(Source_Data!AH$6=Inputs!$B$12,-Inputs!$B$7,0)+AH56</f>
        <v>0</v>
      </c>
      <c r="AI57" s="33" t="n">
        <f aca="false">IF(Source_Data!AI$6=Inputs!$B$12,-Inputs!$B$7,0)+AI56</f>
        <v>0</v>
      </c>
      <c r="AJ57" s="33" t="n">
        <f aca="false">IF(Source_Data!AJ$6=Inputs!$B$12,-Inputs!$B$7,0)+AJ56</f>
        <v>0</v>
      </c>
      <c r="AK57" s="33" t="n">
        <f aca="false">IF(Source_Data!AK$6=Inputs!$B$12,-Inputs!$B$7,0)+AK56</f>
        <v>0</v>
      </c>
      <c r="AL57" s="33" t="n">
        <f aca="false">IF(Source_Data!AL$6=Inputs!$B$12,-Inputs!$B$7,0)+AL56</f>
        <v>0</v>
      </c>
      <c r="AM57" s="33" t="n">
        <f aca="false">IF(Source_Data!AM$6=Inputs!$B$12,-Inputs!$B$7,0)+AM56</f>
        <v>0</v>
      </c>
      <c r="AN57" s="33" t="n">
        <f aca="false">IF(Source_Data!AN$6=Inputs!$B$12,-Inputs!$B$7,0)+AN56</f>
        <v>0</v>
      </c>
      <c r="AO57" s="33" t="n">
        <f aca="false">IF(Source_Data!AO$6=Inputs!$B$12,-Inputs!$B$7,0)+AO56</f>
        <v>0</v>
      </c>
      <c r="AP57" s="33" t="n">
        <f aca="false">IF(Source_Data!AP$6=Inputs!$B$12,-Inputs!$B$7,0)+AP56</f>
        <v>0</v>
      </c>
      <c r="AQ57" s="33" t="n">
        <f aca="false">IF(Source_Data!AQ$6=Inputs!$B$12,-Inputs!$B$7,0)+AQ56</f>
        <v>0</v>
      </c>
      <c r="AR57" s="33" t="n">
        <f aca="false">IF(Source_Data!AR$6=Inputs!$B$12,-Inputs!$B$7,0)+AR56</f>
        <v>0</v>
      </c>
      <c r="AS57" s="33" t="n">
        <f aca="false">IF(Source_Data!AS$6=Inputs!$B$12,-Inputs!$B$7,0)+AS56</f>
        <v>0</v>
      </c>
      <c r="AT57" s="33" t="n">
        <f aca="false">IF(Source_Data!AT$6=Inputs!$B$12,-Inputs!$B$7,0)+AT56</f>
        <v>0</v>
      </c>
      <c r="AU57" s="33" t="n">
        <f aca="false">IF(Source_Data!AU$6=Inputs!$B$12,-Inputs!$B$7,0)+AU56</f>
        <v>0</v>
      </c>
      <c r="AV57" s="33" t="n">
        <f aca="false">IF(Source_Data!AV$6=Inputs!$B$12,-Inputs!$B$7,0)+AV56</f>
        <v>0</v>
      </c>
      <c r="AW57" s="33" t="n">
        <f aca="false">IF(Source_Data!AW$6=Inputs!$B$12,-Inputs!$B$7,0)+AW56</f>
        <v>0</v>
      </c>
      <c r="AX57" s="33" t="n">
        <f aca="false">IF(Source_Data!AX$6=Inputs!$B$12,-Inputs!$B$7,0)+AX56</f>
        <v>0</v>
      </c>
      <c r="AY57" s="33" t="n">
        <f aca="false">IF(Source_Data!AY$6=Inputs!$B$12,-Inputs!$B$7,0)+AY56</f>
        <v>0</v>
      </c>
      <c r="AZ57" s="33" t="n">
        <f aca="false">IF(Source_Data!AZ$6=Inputs!$B$12,-Inputs!$B$7,0)+AZ56</f>
        <v>0</v>
      </c>
      <c r="BA57" s="33" t="n">
        <f aca="false">IF(Source_Data!BA$6=Inputs!$B$12,-Inputs!$B$7,0)+BA56</f>
        <v>0</v>
      </c>
      <c r="BB57" s="33" t="n">
        <f aca="false">IF(Source_Data!BB$6=Inputs!$B$12,-Inputs!$B$7,0)+BB56</f>
        <v>0</v>
      </c>
      <c r="BC57" s="33" t="n">
        <f aca="false">IF(Source_Data!BC$6=Inputs!$B$12,-Inputs!$B$7,0)+BC56</f>
        <v>0</v>
      </c>
      <c r="BD57" s="33" t="n">
        <f aca="false">IF(Source_Data!BD$6=Inputs!$B$12,-Inputs!$B$7,0)+BD56</f>
        <v>0</v>
      </c>
      <c r="BE57" s="33" t="n">
        <f aca="false">IF(Source_Data!BE$6=Inputs!$B$12,-Inputs!$B$7,0)+BE56</f>
        <v>0</v>
      </c>
      <c r="BF57" s="33" t="n">
        <f aca="false">IF(Source_Data!BF$6=Inputs!$B$12,-Inputs!$B$7,0)+BF56</f>
        <v>0</v>
      </c>
      <c r="BG57" s="33" t="n">
        <f aca="false">IF(Source_Data!BG$6=Inputs!$B$12,-Inputs!$B$7,0)+BG56</f>
        <v>0</v>
      </c>
      <c r="BH57" s="33" t="n">
        <f aca="false">IF(Source_Data!BH$6=Inputs!$B$12,-Inputs!$B$7,0)+BH56</f>
        <v>0</v>
      </c>
      <c r="BI57" s="33" t="n">
        <f aca="false">IF(Source_Data!BI$6=Inputs!$B$12,-Inputs!$B$7,0)+BI56</f>
        <v>0</v>
      </c>
      <c r="BJ57" s="33" t="n">
        <f aca="false">IF(Source_Data!BJ$6=Inputs!$B$12,-Inputs!$B$7,0)+BJ56</f>
        <v>0</v>
      </c>
      <c r="BK57" s="33" t="n">
        <f aca="false">IF(Source_Data!BK$6=Inputs!$B$12,-Inputs!$B$7,0)+BK56</f>
        <v>0</v>
      </c>
    </row>
    <row r="58" customFormat="false" ht="15" hidden="false" customHeight="false" outlineLevel="0" collapsed="false">
      <c r="A58" s="3" t="s">
        <v>343</v>
      </c>
      <c r="D58" s="33" t="n">
        <f aca="false">IF(Source_Data!D$6=Inputs!$B$12,Inputs!$B$7,0)+D53-D56</f>
        <v>8.75</v>
      </c>
      <c r="E58" s="33" t="n">
        <f aca="false">D58+IF(Source_Data!E$6=Inputs!$B$12,Inputs!$B$7,0)+E53-E56</f>
        <v>-2.5</v>
      </c>
      <c r="F58" s="33" t="n">
        <f aca="false">E58+IF(Source_Data!F$6=Inputs!$B$12,Inputs!$B$7,0)+F53-F56</f>
        <v>-0.12468625</v>
      </c>
      <c r="G58" s="33" t="n">
        <f aca="false">F58+IF(Source_Data!G$6=Inputs!$B$12,Inputs!$B$7,0)+G53-G56</f>
        <v>15.87594125</v>
      </c>
      <c r="H58" s="33" t="n">
        <f aca="false">G58+IF(Source_Data!H$6=Inputs!$B$12,Inputs!$B$7,0)+H53-H56</f>
        <v>12.236746875</v>
      </c>
      <c r="I58" s="33" t="n">
        <f aca="false">H58+IF(Source_Data!I$6=Inputs!$B$12,Inputs!$B$7,0)+I53-I56</f>
        <v>15.847730625</v>
      </c>
      <c r="J58" s="33" t="n">
        <f aca="false">I58+IF(Source_Data!J$6=Inputs!$B$12,Inputs!$B$7,0)+J53-J56</f>
        <v>-7.42339037500001</v>
      </c>
      <c r="K58" s="33" t="n">
        <f aca="false">J58+IF(Source_Data!K$6=Inputs!$B$12,Inputs!$B$7,0)+K53-K56</f>
        <v>-14.0574379375</v>
      </c>
      <c r="L58" s="33" t="n">
        <f aca="false">K58+IF(Source_Data!L$6=Inputs!$B$12,Inputs!$B$7,0)+L53-L56</f>
        <v>-14.44060834375</v>
      </c>
      <c r="M58" s="33" t="n">
        <f aca="false">L58+IF(Source_Data!M$6=Inputs!$B$12,Inputs!$B$7,0)+M53-M56</f>
        <v>339.442044739583</v>
      </c>
      <c r="N58" s="33" t="n">
        <f aca="false">M58+IF(Source_Data!N$6=Inputs!$B$12,Inputs!$B$7,0)+N53-N56</f>
        <v>441.183244072917</v>
      </c>
      <c r="O58" s="33" t="n">
        <f aca="false">N58+IF(Source_Data!O$6=Inputs!$B$12,Inputs!$B$7,0)+O53-O56</f>
        <v>534.78506840625</v>
      </c>
      <c r="P58" s="33" t="n">
        <f aca="false">O58+IF(Source_Data!P$6=Inputs!$B$12,Inputs!$B$7,0)+P53-P56</f>
        <v>413.269840739583</v>
      </c>
      <c r="Q58" s="33" t="n">
        <f aca="false">P58+IF(Source_Data!Q$6=Inputs!$B$12,Inputs!$B$7,0)+Q53-Q56</f>
        <v>266.947425947917</v>
      </c>
      <c r="R58" s="33" t="n">
        <f aca="false">Q58+IF(Source_Data!R$6=Inputs!$B$12,Inputs!$B$7,0)+R53-R56</f>
        <v>70.0250111562499</v>
      </c>
      <c r="S58" s="33" t="n">
        <f aca="false">R58+IF(Source_Data!S$6=Inputs!$B$12,Inputs!$B$7,0)+S53-S56</f>
        <v>-73.4489034479168</v>
      </c>
      <c r="T58" s="33" t="n">
        <f aca="false">S58+IF(Source_Data!T$6=Inputs!$B$12,Inputs!$B$7,0)+T53-T56</f>
        <v>-82.5115943958335</v>
      </c>
      <c r="U58" s="33" t="n">
        <f aca="false">T58+IF(Source_Data!U$6=Inputs!$B$12,Inputs!$B$7,0)+U53-U56</f>
        <v>-92.9368167187501</v>
      </c>
      <c r="V58" s="33" t="n">
        <f aca="false">U58+IF(Source_Data!V$6=Inputs!$B$12,Inputs!$B$7,0)+V53-V56</f>
        <v>-108.751933166667</v>
      </c>
      <c r="W58" s="33" t="n">
        <f aca="false">V58+IF(Source_Data!W$6=Inputs!$B$12,Inputs!$B$7,0)+W53-W56</f>
        <v>-128.473949614583</v>
      </c>
      <c r="X58" s="33" t="n">
        <f aca="false">W58+IF(Source_Data!X$6=Inputs!$B$12,Inputs!$B$7,0)+X53-X56</f>
        <v>-125.6959660625</v>
      </c>
      <c r="Y58" s="33" t="n">
        <f aca="false">X58+IF(Source_Data!Y$6=Inputs!$B$12,Inputs!$B$7,0)+Y53-Y56</f>
        <v>-110.30351271875</v>
      </c>
      <c r="Z58" s="33" t="n">
        <f aca="false">Y58+IF(Source_Data!Z$6=Inputs!$B$12,Inputs!$B$7,0)+Z53-Z56</f>
        <v>-94.9110593750002</v>
      </c>
      <c r="AA58" s="33" t="n">
        <f aca="false">Z58+IF(Source_Data!AA$6=Inputs!$B$12,Inputs!$B$7,0)+AA53-AA56</f>
        <v>-79.5186060312502</v>
      </c>
      <c r="AB58" s="33" t="n">
        <f aca="false">AA58+IF(Source_Data!AB$6=Inputs!$B$12,Inputs!$B$7,0)+AB53-AB56</f>
        <v>-46.8353526875002</v>
      </c>
      <c r="AC58" s="33" t="n">
        <f aca="false">AB58+IF(Source_Data!AC$6=Inputs!$B$12,Inputs!$B$7,0)+AC53-AC56</f>
        <v>-17.1005879375002</v>
      </c>
      <c r="AD58" s="33" t="n">
        <f aca="false">AC58+IF(Source_Data!AD$6=Inputs!$B$12,Inputs!$B$7,0)+AD53-AD56</f>
        <v>9.38656618749984</v>
      </c>
      <c r="AE58" s="33" t="n">
        <f aca="false">AD58+IF(Source_Data!AE$6=Inputs!$B$12,Inputs!$B$7,0)+AE53-AE56</f>
        <v>31.9668203124998</v>
      </c>
      <c r="AF58" s="33" t="n">
        <f aca="false">AE58+IF(Source_Data!AF$6=Inputs!$B$12,Inputs!$B$7,0)+AF53-AF56</f>
        <v>3.99259967963954</v>
      </c>
      <c r="AG58" s="33" t="n">
        <f aca="false">AF58+IF(Source_Data!AG$6=Inputs!$B$12,Inputs!$B$7,0)+AG53-AG56</f>
        <v>21.4232525041854</v>
      </c>
      <c r="AH58" s="33" t="n">
        <f aca="false">AG58+IF(Source_Data!AH$6=Inputs!$B$12,Inputs!$B$7,0)+AH53-AH56</f>
        <v>38.8539053287312</v>
      </c>
      <c r="AI58" s="33" t="n">
        <f aca="false">AH58+IF(Source_Data!AI$6=Inputs!$B$12,Inputs!$B$7,0)+AI53-AI56</f>
        <v>56.2845581532771</v>
      </c>
      <c r="AJ58" s="33" t="n">
        <f aca="false">AI58+IF(Source_Data!AJ$6=Inputs!$B$12,Inputs!$B$7,0)+AJ53-AJ56</f>
        <v>73.7152109778229</v>
      </c>
      <c r="AK58" s="33" t="n">
        <f aca="false">AJ58+IF(Source_Data!AK$6=Inputs!$B$12,Inputs!$B$7,0)+AK53-AK56</f>
        <v>89.62848846637</v>
      </c>
      <c r="AL58" s="33" t="n">
        <f aca="false">AK58+IF(Source_Data!AL$6=Inputs!$B$12,Inputs!$B$7,0)+AL53-AL56</f>
        <v>105.541765954917</v>
      </c>
      <c r="AM58" s="33" t="n">
        <f aca="false">AL58+IF(Source_Data!AM$6=Inputs!$B$12,Inputs!$B$7,0)+AM53-AM56</f>
        <v>118.561034831617</v>
      </c>
      <c r="AN58" s="33" t="n">
        <f aca="false">AM58+IF(Source_Data!AN$6=Inputs!$B$12,Inputs!$B$7,0)+AN53-AN56</f>
        <v>125.248795939845</v>
      </c>
      <c r="AO58" s="33" t="n">
        <f aca="false">AN58+IF(Source_Data!AO$6=Inputs!$B$12,Inputs!$B$7,0)+AO53-AO56</f>
        <v>127.72937475</v>
      </c>
      <c r="AP58" s="33" t="n">
        <f aca="false">AO58+IF(Source_Data!AP$6=Inputs!$B$12,Inputs!$B$7,0)+AP53-AP56</f>
        <v>127.72937475</v>
      </c>
      <c r="AQ58" s="33" t="n">
        <f aca="false">AP58+IF(Source_Data!AQ$6=Inputs!$B$12,Inputs!$B$7,0)+AQ53-AQ56</f>
        <v>127.72937475</v>
      </c>
      <c r="AR58" s="33" t="n">
        <f aca="false">AQ58+IF(Source_Data!AR$6=Inputs!$B$12,Inputs!$B$7,0)+AR53-AR56</f>
        <v>127.72937475</v>
      </c>
      <c r="AS58" s="33" t="n">
        <f aca="false">AR58+IF(Source_Data!AS$6=Inputs!$B$12,Inputs!$B$7,0)+AS53-AS56</f>
        <v>127.72937475</v>
      </c>
      <c r="AT58" s="33" t="n">
        <f aca="false">AS58+IF(Source_Data!AT$6=Inputs!$B$12,Inputs!$B$7,0)+AT53-AT56</f>
        <v>127.72937475</v>
      </c>
      <c r="AU58" s="33" t="n">
        <f aca="false">AT58+IF(Source_Data!AU$6=Inputs!$B$12,Inputs!$B$7,0)+AU53-AU56</f>
        <v>127.72937475</v>
      </c>
      <c r="AV58" s="33" t="n">
        <f aca="false">AU58+IF(Source_Data!AV$6=Inputs!$B$12,Inputs!$B$7,0)+AV53-AV56</f>
        <v>127.72937475</v>
      </c>
      <c r="AW58" s="33" t="n">
        <f aca="false">AV58+IF(Source_Data!AW$6=Inputs!$B$12,Inputs!$B$7,0)+AW53-AW56</f>
        <v>127.72937475</v>
      </c>
      <c r="AX58" s="33" t="n">
        <f aca="false">AW58+IF(Source_Data!AX$6=Inputs!$B$12,Inputs!$B$7,0)+AX53-AX56</f>
        <v>127.72937475</v>
      </c>
      <c r="AY58" s="33" t="n">
        <f aca="false">AX58+IF(Source_Data!AY$6=Inputs!$B$12,Inputs!$B$7,0)+AY53-AY56</f>
        <v>127.72937475</v>
      </c>
      <c r="AZ58" s="33" t="n">
        <f aca="false">AY58+IF(Source_Data!AZ$6=Inputs!$B$12,Inputs!$B$7,0)+AZ53-AZ56</f>
        <v>127.72937475</v>
      </c>
      <c r="BA58" s="33" t="n">
        <f aca="false">AZ58+IF(Source_Data!BA$6=Inputs!$B$12,Inputs!$B$7,0)+BA53-BA56</f>
        <v>127.72937475</v>
      </c>
      <c r="BB58" s="33" t="n">
        <f aca="false">BA58+IF(Source_Data!BB$6=Inputs!$B$12,Inputs!$B$7,0)+BB53-BB56</f>
        <v>127.72937475</v>
      </c>
      <c r="BC58" s="33" t="n">
        <f aca="false">BB58+IF(Source_Data!BC$6=Inputs!$B$12,Inputs!$B$7,0)+BC53-BC56</f>
        <v>127.72937475</v>
      </c>
      <c r="BD58" s="33" t="n">
        <f aca="false">BC58+IF(Source_Data!BD$6=Inputs!$B$12,Inputs!$B$7,0)+BD53-BD56</f>
        <v>127.72937475</v>
      </c>
      <c r="BE58" s="33" t="n">
        <f aca="false">BD58+IF(Source_Data!BE$6=Inputs!$B$12,Inputs!$B$7,0)+BE53-BE56</f>
        <v>127.72937475</v>
      </c>
      <c r="BF58" s="33" t="n">
        <f aca="false">BE58+IF(Source_Data!BF$6=Inputs!$B$12,Inputs!$B$7,0)+BF53-BF56</f>
        <v>127.72937475</v>
      </c>
      <c r="BG58" s="33" t="n">
        <f aca="false">BF58+IF(Source_Data!BG$6=Inputs!$B$12,Inputs!$B$7,0)+BG53-BG56</f>
        <v>127.72937475</v>
      </c>
      <c r="BH58" s="33" t="n">
        <f aca="false">BG58+IF(Source_Data!BH$6=Inputs!$B$12,Inputs!$B$7,0)+BH53-BH56</f>
        <v>127.72937475</v>
      </c>
      <c r="BI58" s="33" t="n">
        <f aca="false">BH58+IF(Source_Data!BI$6=Inputs!$B$12,Inputs!$B$7,0)+BI53-BI56</f>
        <v>127.72937475</v>
      </c>
      <c r="BJ58" s="33" t="n">
        <f aca="false">BI58+IF(Source_Data!BJ$6=Inputs!$B$12,Inputs!$B$7,0)+BJ53-BJ56</f>
        <v>127.72937475</v>
      </c>
      <c r="BK58" s="33" t="n">
        <f aca="false">BJ58+IF(Source_Data!BK$6=Inputs!$B$12,Inputs!$B$7,0)+BK53-BK56</f>
        <v>127.72937475</v>
      </c>
    </row>
    <row r="59" customFormat="false" ht="15" hidden="false" customHeight="false" outlineLevel="0" collapsed="false">
      <c r="A59" s="3" t="s">
        <v>344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n">
        <f aca="false">IF(M56&gt;0,M53/M56,"")</f>
        <v>19.4634427695652</v>
      </c>
      <c r="N59" s="31" t="n">
        <f aca="false">IF(N56&gt;0,N53/N56,"")</f>
        <v>6.30823648695652</v>
      </c>
      <c r="O59" s="31" t="n">
        <f aca="false">IF(O56&gt;0,O53/O56,"")</f>
        <v>5.88357344347826</v>
      </c>
      <c r="P59" s="31" t="n">
        <f aca="false">IF(P56&gt;0,P53/P56,"")</f>
        <v>-5.33992492173913</v>
      </c>
      <c r="Q59" s="31" t="n">
        <f aca="false">IF(Q56&gt;0,Q53/Q56,"")</f>
        <v>-6.63421294565218</v>
      </c>
      <c r="R59" s="31" t="n">
        <f aca="false">IF(R56&gt;0,R53/R56,"")</f>
        <v>-9.27421294565218</v>
      </c>
      <c r="S59" s="31" t="n">
        <f aca="false">IF(S56&gt;0,S53/S56,"")</f>
        <v>-6.48559554456522</v>
      </c>
      <c r="T59" s="31" t="n">
        <f aca="false">IF(T56&gt;0,T53/T56,"")</f>
        <v>0.527163950543478</v>
      </c>
      <c r="U59" s="31" t="n">
        <f aca="false">IF(U56&gt;0,U53/U56,"")</f>
        <v>0.456075357065218</v>
      </c>
      <c r="V59" s="31" t="n">
        <f aca="false">IF(V56&gt;0,V53/V56,"")</f>
        <v>0.174863489673913</v>
      </c>
      <c r="W59" s="31" t="n">
        <f aca="false">IF(W56&gt;0,W53/W56,"")</f>
        <v>-0.0289747711956522</v>
      </c>
      <c r="X59" s="31" t="n">
        <f aca="false">IF(X56&gt;0,X53/X56,"")</f>
        <v>1.14493827228261</v>
      </c>
      <c r="Y59" s="31" t="str">
        <f aca="false">IF(Y56&gt;0,Y53/Y56,"")</f>
        <v/>
      </c>
      <c r="Z59" s="31" t="str">
        <f aca="false">IF(Z56&gt;0,Z53/Z56,"")</f>
        <v/>
      </c>
      <c r="AA59" s="31" t="str">
        <f aca="false">IF(AA56&gt;0,AA53/AA56,"")</f>
        <v/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345</v>
      </c>
      <c r="D60" s="31" t="str">
        <f aca="false">IF(D56&gt;0,(0+D53+IF(Source_Data!D$6=Inputs!$B$12,Inputs!$B$7,0))/D56,"")</f>
        <v/>
      </c>
      <c r="E60" s="31" t="str">
        <f aca="false">IF(E56&gt;0,(D58+E53+IF(Source_Data!E$6=Inputs!$B$12,Inputs!$B$7,0))/E56,"")</f>
        <v/>
      </c>
      <c r="F60" s="31" t="str">
        <f aca="false">IF(F56&gt;0,(E58+F53+IF(Source_Data!F$6=Inputs!$B$12,Inputs!$B$7,0))/F56,"")</f>
        <v/>
      </c>
      <c r="G60" s="31" t="str">
        <f aca="false">IF(G56&gt;0,(F58+G53+IF(Source_Data!G$6=Inputs!$B$12,Inputs!$B$7,0))/G56,"")</f>
        <v/>
      </c>
      <c r="H60" s="31" t="str">
        <f aca="false">IF(H56&gt;0,(G58+H53+IF(Source_Data!H$6=Inputs!$B$12,Inputs!$B$7,0))/H56,"")</f>
        <v/>
      </c>
      <c r="I60" s="31" t="str">
        <f aca="false">IF(I56&gt;0,(H58+I53+IF(Source_Data!I$6=Inputs!$B$12,Inputs!$B$7,0))/I56,"")</f>
        <v/>
      </c>
      <c r="J60" s="31" t="str">
        <f aca="false">IF(J56&gt;0,(I58+J53+IF(Source_Data!J$6=Inputs!$B$12,Inputs!$B$7,0))/J56,"")</f>
        <v/>
      </c>
      <c r="K60" s="31" t="str">
        <f aca="false">IF(K56&gt;0,(J58+K53+IF(Source_Data!K$6=Inputs!$B$12,Inputs!$B$7,0))/K56,"")</f>
        <v/>
      </c>
      <c r="L60" s="31" t="str">
        <f aca="false">IF(L56&gt;0,(K58+L53+IF(Source_Data!L$6=Inputs!$B$12,Inputs!$B$7,0))/L56,"")</f>
        <v/>
      </c>
      <c r="M60" s="31" t="n">
        <f aca="false">IF(M56&gt;0,(L58+M53+IF(Source_Data!M$6=Inputs!$B$12,Inputs!$B$7,0))/M56,"")</f>
        <v>18.7100197255435</v>
      </c>
      <c r="N60" s="31" t="n">
        <f aca="false">IF(N56&gt;0,(M58+N53+IF(Source_Data!N$6=Inputs!$B$12,Inputs!$B$7,0))/N56,"")</f>
        <v>24.0182562125</v>
      </c>
      <c r="O60" s="31" t="n">
        <f aca="false">IF(O56&gt;0,(N58+O53+IF(Source_Data!O$6=Inputs!$B$12,Inputs!$B$7,0))/O56,"")</f>
        <v>28.9018296559783</v>
      </c>
      <c r="P60" s="31" t="n">
        <f aca="false">IF(P56&gt;0,(O58+P53+IF(Source_Data!P$6=Inputs!$B$12,Inputs!$B$7,0))/P56,"")</f>
        <v>22.5619047342391</v>
      </c>
      <c r="Q60" s="31" t="n">
        <f aca="false">IF(Q56&gt;0,(P58+Q53+IF(Source_Data!Q$6=Inputs!$B$12,Inputs!$B$7,0))/Q56,"")</f>
        <v>14.927691788587</v>
      </c>
      <c r="R60" s="31" t="n">
        <f aca="false">IF(R56&gt;0,(Q58+R53+IF(Source_Data!R$6=Inputs!$B$12,Inputs!$B$7,0))/R56,"")</f>
        <v>4.65347884293478</v>
      </c>
      <c r="S60" s="31" t="n">
        <f aca="false">IF(S56&gt;0,(R58+S53+IF(Source_Data!S$6=Inputs!$B$12,Inputs!$B$7,0))/S56,"")</f>
        <v>-2.83211670163044</v>
      </c>
      <c r="T60" s="31" t="n">
        <f aca="false">IF(T56&gt;0,(S58+T53+IF(Source_Data!T$6=Inputs!$B$12,Inputs!$B$7,0))/T56,"")</f>
        <v>-3.30495275108696</v>
      </c>
      <c r="U60" s="31" t="n">
        <f aca="false">IF(U56&gt;0,(T58+U53+IF(Source_Data!U$6=Inputs!$B$12,Inputs!$B$7,0))/U56,"")</f>
        <v>-3.84887739402175</v>
      </c>
      <c r="V60" s="31" t="n">
        <f aca="false">IF(V56&gt;0,(U58+V53+IF(Source_Data!V$6=Inputs!$B$12,Inputs!$B$7,0))/V56,"")</f>
        <v>-4.67401390434783</v>
      </c>
      <c r="W60" s="31" t="n">
        <f aca="false">IF(W56&gt;0,(V58+W53+IF(Source_Data!W$6=Inputs!$B$12,Inputs!$B$7,0))/W56,"")</f>
        <v>-5.70298867554349</v>
      </c>
      <c r="X60" s="31" t="n">
        <f aca="false">IF(X56&gt;0,(W58+X53+IF(Source_Data!X$6=Inputs!$B$12,Inputs!$B$7,0))/X56,"")</f>
        <v>-5.55805040326088</v>
      </c>
      <c r="Y60" s="31" t="str">
        <f aca="false">IF(Y56&gt;0,(X58+Y53+IF(Source_Data!Y$6=Inputs!$B$12,Inputs!$B$7,0))/Y56,"")</f>
        <v/>
      </c>
      <c r="Z60" s="31" t="str">
        <f aca="false">IF(Z56&gt;0,(Y58+Z53+IF(Source_Data!Z$6=Inputs!$B$12,Inputs!$B$7,0))/Z56,"")</f>
        <v/>
      </c>
      <c r="AA60" s="31" t="str">
        <f aca="false">IF(AA56&gt;0,(Z58+AA53+IF(Source_Data!AA$6=Inputs!$B$12,Inputs!$B$7,0))/AA56,"")</f>
        <v/>
      </c>
      <c r="AB60" s="31" t="str">
        <f aca="false">IF(AB56&gt;0,(AA58+AB53+IF(Source_Data!AB$6=Inputs!$B$12,Inputs!$B$7,0))/AB56,"")</f>
        <v/>
      </c>
      <c r="AC60" s="31" t="str">
        <f aca="false">IF(AC56&gt;0,(AB58+AC53+IF(Source_Data!AC$6=Inputs!$B$12,Inputs!$B$7,0))/AC56,"")</f>
        <v/>
      </c>
      <c r="AD60" s="31" t="str">
        <f aca="false">IF(AD56&gt;0,(AC58+AD53+IF(Source_Data!AD$6=Inputs!$B$12,Inputs!$B$7,0))/AD56,"")</f>
        <v/>
      </c>
      <c r="AE60" s="31" t="str">
        <f aca="false">IF(AE56&gt;0,(AD58+AE53+IF(Source_Data!AE$6=Inputs!$B$12,Inputs!$B$7,0))/AE56,"")</f>
        <v/>
      </c>
      <c r="AF60" s="31" t="str">
        <f aca="false">IF(AF56&gt;0,(AE58+AF53+IF(Source_Data!AF$6=Inputs!$B$12,Inputs!$B$7,0))/AF56,"")</f>
        <v/>
      </c>
      <c r="AG60" s="31" t="str">
        <f aca="false">IF(AG56&gt;0,(AF58+AG53+IF(Source_Data!AG$6=Inputs!$B$12,Inputs!$B$7,0))/AG56,"")</f>
        <v/>
      </c>
      <c r="AH60" s="31" t="str">
        <f aca="false">IF(AH56&gt;0,(AG58+AH53+IF(Source_Data!AH$6=Inputs!$B$12,Inputs!$B$7,0))/AH56,"")</f>
        <v/>
      </c>
      <c r="AI60" s="31" t="str">
        <f aca="false">IF(AI56&gt;0,(AH58+AI53+IF(Source_Data!AI$6=Inputs!$B$12,Inputs!$B$7,0))/AI56,"")</f>
        <v/>
      </c>
      <c r="AJ60" s="31" t="str">
        <f aca="false">IF(AJ56&gt;0,(AI58+AJ53+IF(Source_Data!AJ$6=Inputs!$B$12,Inputs!$B$7,0))/AJ56,"")</f>
        <v/>
      </c>
      <c r="AK60" s="31" t="str">
        <f aca="false">IF(AK56&gt;0,(AJ58+AK53+IF(Source_Data!AK$6=Inputs!$B$12,Inputs!$B$7,0))/AK56,"")</f>
        <v/>
      </c>
      <c r="AL60" s="31" t="str">
        <f aca="false">IF(AL56&gt;0,(AK58+AL53+IF(Source_Data!AL$6=Inputs!$B$12,Inputs!$B$7,0))/AL56,"")</f>
        <v/>
      </c>
      <c r="AM60" s="31" t="str">
        <f aca="false">IF(AM56&gt;0,(AL58+AM53+IF(Source_Data!AM$6=Inputs!$B$12,Inputs!$B$7,0))/AM56,"")</f>
        <v/>
      </c>
      <c r="AN60" s="31" t="str">
        <f aca="false">IF(AN56&gt;0,(AM58+AN53+IF(Source_Data!AN$6=Inputs!$B$12,Inputs!$B$7,0))/AN56,"")</f>
        <v/>
      </c>
      <c r="AO60" s="31" t="str">
        <f aca="false">IF(AO56&gt;0,(AN58+AO53+IF(Source_Data!AO$6=Inputs!$B$12,Inputs!$B$7,0))/AO56,"")</f>
        <v/>
      </c>
      <c r="AP60" s="31" t="str">
        <f aca="false">IF(AP56&gt;0,(AO58+AP53+IF(Source_Data!AP$6=Inputs!$B$12,Inputs!$B$7,0))/AP56,"")</f>
        <v/>
      </c>
      <c r="AQ60" s="31" t="str">
        <f aca="false">IF(AQ56&gt;0,(AP58+AQ53+IF(Source_Data!AQ$6=Inputs!$B$12,Inputs!$B$7,0))/AQ56,"")</f>
        <v/>
      </c>
      <c r="AR60" s="31" t="str">
        <f aca="false">IF(AR56&gt;0,(AQ58+AR53+IF(Source_Data!AR$6=Inputs!$B$12,Inputs!$B$7,0))/AR56,"")</f>
        <v/>
      </c>
      <c r="AS60" s="31" t="str">
        <f aca="false">IF(AS56&gt;0,(AR58+AS53+IF(Source_Data!AS$6=Inputs!$B$12,Inputs!$B$7,0))/AS56,"")</f>
        <v/>
      </c>
      <c r="AT60" s="31" t="str">
        <f aca="false">IF(AT56&gt;0,(AS58+AT53+IF(Source_Data!AT$6=Inputs!$B$12,Inputs!$B$7,0))/AT56,"")</f>
        <v/>
      </c>
      <c r="AU60" s="31" t="str">
        <f aca="false">IF(AU56&gt;0,(AT58+AU53+IF(Source_Data!AU$6=Inputs!$B$12,Inputs!$B$7,0))/AU56,"")</f>
        <v/>
      </c>
      <c r="AV60" s="31" t="str">
        <f aca="false">IF(AV56&gt;0,(AU58+AV53+IF(Source_Data!AV$6=Inputs!$B$12,Inputs!$B$7,0))/AV56,"")</f>
        <v/>
      </c>
      <c r="AW60" s="31" t="str">
        <f aca="false">IF(AW56&gt;0,(AV58+AW53+IF(Source_Data!AW$6=Inputs!$B$12,Inputs!$B$7,0))/AW56,"")</f>
        <v/>
      </c>
      <c r="AX60" s="31" t="str">
        <f aca="false">IF(AX56&gt;0,(AW58+AX53+IF(Source_Data!AX$6=Inputs!$B$12,Inputs!$B$7,0))/AX56,"")</f>
        <v/>
      </c>
      <c r="AY60" s="31" t="str">
        <f aca="false">IF(AY56&gt;0,(AX58+AY53+IF(Source_Data!AY$6=Inputs!$B$12,Inputs!$B$7,0))/AY56,"")</f>
        <v/>
      </c>
      <c r="AZ60" s="31" t="str">
        <f aca="false">IF(AZ56&gt;0,(AY58+AZ53+IF(Source_Data!AZ$6=Inputs!$B$12,Inputs!$B$7,0))/AZ56,"")</f>
        <v/>
      </c>
      <c r="BA60" s="31" t="str">
        <f aca="false">IF(BA56&gt;0,(AZ58+BA53+IF(Source_Data!BA$6=Inputs!$B$12,Inputs!$B$7,0))/BA56,"")</f>
        <v/>
      </c>
      <c r="BB60" s="31" t="str">
        <f aca="false">IF(BB56&gt;0,(BA58+BB53+IF(Source_Data!BB$6=Inputs!$B$12,Inputs!$B$7,0))/BB56,"")</f>
        <v/>
      </c>
      <c r="BC60" s="31" t="str">
        <f aca="false">IF(BC56&gt;0,(BB58+BC53+IF(Source_Data!BC$6=Inputs!$B$12,Inputs!$B$7,0))/BC56,"")</f>
        <v/>
      </c>
      <c r="BD60" s="31" t="str">
        <f aca="false">IF(BD56&gt;0,(BC58+BD53+IF(Source_Data!BD$6=Inputs!$B$12,Inputs!$B$7,0))/BD56,"")</f>
        <v/>
      </c>
      <c r="BE60" s="31" t="str">
        <f aca="false">IF(BE56&gt;0,(BD58+BE53+IF(Source_Data!BE$6=Inputs!$B$12,Inputs!$B$7,0))/BE56,"")</f>
        <v/>
      </c>
      <c r="BF60" s="31" t="str">
        <f aca="false">IF(BF56&gt;0,(BE58+BF53+IF(Source_Data!BF$6=Inputs!$B$12,Inputs!$B$7,0))/BF56,"")</f>
        <v/>
      </c>
      <c r="BG60" s="31" t="str">
        <f aca="false">IF(BG56&gt;0,(BF58+BG53+IF(Source_Data!BG$6=Inputs!$B$12,Inputs!$B$7,0))/BG56,"")</f>
        <v/>
      </c>
      <c r="BH60" s="31" t="str">
        <f aca="false">IF(BH56&gt;0,(BG58+BH53+IF(Source_Data!BH$6=Inputs!$B$12,Inputs!$B$7,0))/BH56,"")</f>
        <v/>
      </c>
      <c r="BI60" s="31" t="str">
        <f aca="false">IF(BI56&gt;0,(BH58+BI53+IF(Source_Data!BI$6=Inputs!$B$12,Inputs!$B$7,0))/BI56,"")</f>
        <v/>
      </c>
      <c r="BJ60" s="31" t="str">
        <f aca="false">IF(BJ56&gt;0,(BI58+BJ53+IF(Source_Data!BJ$6=Inputs!$B$12,Inputs!$B$7,0))/BJ56,"")</f>
        <v/>
      </c>
      <c r="BK60" s="31" t="str">
        <f aca="false">IF(BK56&gt;0,(BJ58+BK53+IF(Source_Data!BK$6=Inputs!$B$12,Inputs!$B$7,0))/BK56,"")</f>
        <v/>
      </c>
    </row>
    <row r="62" customFormat="false" ht="15" hidden="false" customHeight="false" outlineLevel="0" collapsed="false">
      <c r="A62" s="2" t="s">
        <v>220</v>
      </c>
      <c r="B62" s="41" t="n">
        <f aca="false">SUM(D53:BK53)</f>
        <v>257.72937475</v>
      </c>
    </row>
    <row r="63" customFormat="false" ht="15" hidden="false" customHeight="false" outlineLevel="0" collapsed="false">
      <c r="A63" s="2" t="s">
        <v>346</v>
      </c>
      <c r="B63" s="41" t="n">
        <f aca="false">SUMPRODUCT(D53:BK53,Project_CF!$D$15:$BK$15)</f>
        <v>116.041192139436</v>
      </c>
    </row>
    <row r="64" customFormat="false" ht="15" hidden="false" customHeight="false" outlineLevel="0" collapsed="false">
      <c r="A64" s="2" t="s">
        <v>162</v>
      </c>
      <c r="B64" s="41" t="n">
        <f aca="false">MIN(D54:BK54)</f>
        <v>-114.44060834375</v>
      </c>
    </row>
    <row r="65" customFormat="false" ht="15" hidden="false" customHeight="false" outlineLevel="0" collapsed="false">
      <c r="A65" s="2" t="s">
        <v>347</v>
      </c>
      <c r="B65" s="35" t="n">
        <f aca="false">INDEX(Project_CF!$D$6:$BK$6,MATCH(MIN(D54:BK54),D54:BK54,0))</f>
        <v>27</v>
      </c>
    </row>
    <row r="66" customFormat="false" ht="15" hidden="false" customHeight="false" outlineLevel="0" collapsed="false">
      <c r="A66" s="2" t="s">
        <v>348</v>
      </c>
      <c r="B66" s="39" t="n">
        <f aca="false">(1+IRR(D55:BK55,0.05))^4-1</f>
        <v>0.233834368931446</v>
      </c>
    </row>
    <row r="67" customFormat="false" ht="15" hidden="false" customHeight="false" outlineLevel="0" collapsed="false">
      <c r="A67" s="2" t="s">
        <v>349</v>
      </c>
      <c r="B67" s="40" t="n">
        <f aca="false">SUMIF(D55:BK55,"&gt;0")/-SUMIF(D55:BK55,"&lt;0")</f>
        <v>2.50322580645161</v>
      </c>
    </row>
    <row r="68" customFormat="false" ht="15" hidden="false" customHeight="false" outlineLevel="0" collapsed="false">
      <c r="A68" s="2" t="s">
        <v>350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351</v>
      </c>
      <c r="B69" s="41" t="n">
        <f aca="false">MIN(D58:BK58)</f>
        <v>-128.473949614583</v>
      </c>
    </row>
    <row r="70" customFormat="false" ht="15" hidden="false" customHeight="false" outlineLevel="0" collapsed="false">
      <c r="A70" s="2" t="s">
        <v>352</v>
      </c>
      <c r="B70" s="43" t="n">
        <f aca="false">MIN(D59:BK59)</f>
        <v>-9.27421294565218</v>
      </c>
    </row>
    <row r="71" customFormat="false" ht="15" hidden="false" customHeight="false" outlineLevel="0" collapsed="false">
      <c r="A71" s="2" t="s">
        <v>353</v>
      </c>
      <c r="B71" s="35" t="n">
        <f aca="false">COUNTIF(D59:BK59,"&lt;"&amp;Inputs!$B$43)</f>
        <v>9</v>
      </c>
    </row>
    <row r="72" customFormat="false" ht="15" hidden="false" customHeight="false" outlineLevel="0" collapsed="false">
      <c r="A72" s="2" t="s">
        <v>354</v>
      </c>
      <c r="B72" s="43" t="n">
        <f aca="false">MIN(D60:BK60)</f>
        <v>-5.70298867554349</v>
      </c>
    </row>
    <row r="73" customFormat="false" ht="15" hidden="false" customHeight="false" outlineLevel="0" collapsed="false">
      <c r="A73" s="2" t="s">
        <v>355</v>
      </c>
      <c r="B73" s="35" t="n">
        <f aca="false">COUNTIF(D60:BK60,"&lt;"&amp;Inputs!$B$43)</f>
        <v>6</v>
      </c>
    </row>
    <row r="76" customFormat="false" ht="15" hidden="false" customHeight="false" outlineLevel="0" collapsed="false">
      <c r="A76" s="8" t="s">
        <v>360</v>
      </c>
    </row>
    <row r="77" customFormat="false" ht="15" hidden="false" customHeight="false" outlineLevel="0" collapsed="false">
      <c r="A77" s="3" t="s">
        <v>331</v>
      </c>
      <c r="B77" s="45" t="n">
        <v>1.1</v>
      </c>
    </row>
    <row r="78" customFormat="false" ht="15" hidden="false" customHeight="false" outlineLevel="0" collapsed="false">
      <c r="A78" s="3" t="s">
        <v>332</v>
      </c>
      <c r="B78" s="45" t="n">
        <v>0</v>
      </c>
    </row>
    <row r="79" customFormat="false" ht="15" hidden="false" customHeight="false" outlineLevel="0" collapsed="false">
      <c r="A79" s="3" t="s">
        <v>333</v>
      </c>
      <c r="B79" s="45" t="n">
        <v>1</v>
      </c>
    </row>
    <row r="80" customFormat="false" ht="15" hidden="false" customHeight="false" outlineLevel="0" collapsed="false">
      <c r="A80" s="3" t="s">
        <v>334</v>
      </c>
      <c r="B80" s="45" t="n">
        <v>0</v>
      </c>
    </row>
    <row r="81" customFormat="false" ht="15" hidden="false" customHeight="false" outlineLevel="0" collapsed="false">
      <c r="A81" s="3" t="s">
        <v>335</v>
      </c>
      <c r="B81" s="45" t="n">
        <v>0</v>
      </c>
    </row>
    <row r="82" customFormat="false" ht="15" hidden="false" customHeight="false" outlineLevel="0" collapsed="false">
      <c r="A82" s="3" t="s">
        <v>336</v>
      </c>
      <c r="B82" s="3" t="n">
        <f aca="false">Inputs!$B$13+3+3*$B$78</f>
        <v>51</v>
      </c>
    </row>
    <row r="83" customFormat="false" ht="15" hidden="false" customHeight="false" outlineLevel="0" collapsed="false">
      <c r="A83" s="3" t="s">
        <v>337</v>
      </c>
      <c r="D83" s="33" t="n">
        <f aca="false">Source_Data!D$7+IF($B$81=1,IF(Source_Data!D$6=Inputs!$B$13,Source_Data!$C$8,0),Source_Data!D$8)</f>
        <v>0</v>
      </c>
      <c r="E83" s="33" t="n">
        <f aca="false">Source_Data!E$7+IF($B$81=1,IF(Source_Data!E$6=Inputs!$B$13,Source_Data!$C$8,0),Source_Data!E$8)</f>
        <v>0</v>
      </c>
      <c r="F83" s="33" t="n">
        <f aca="false">Source_Data!F$7+IF($B$81=1,IF(Source_Data!F$6=Inputs!$B$13,Source_Data!$C$8,0),Source_Data!F$8)</f>
        <v>15.1392375</v>
      </c>
      <c r="G83" s="33" t="n">
        <f aca="false">Source_Data!G$7+IF($B$81=1,IF(Source_Data!G$6=Inputs!$B$13,Source_Data!$C$8,0),Source_Data!G$8)</f>
        <v>30.278475</v>
      </c>
      <c r="H83" s="33" t="n">
        <f aca="false">Source_Data!H$7+IF($B$81=1,IF(Source_Data!H$6=Inputs!$B$13,Source_Data!$C$8,0),Source_Data!H$8)</f>
        <v>46.51200625</v>
      </c>
      <c r="I83" s="33" t="n">
        <f aca="false">Source_Data!I$7+IF($B$81=1,IF(Source_Data!I$6=Inputs!$B$13,Source_Data!$C$8,0),Source_Data!I$8)</f>
        <v>62.7455375</v>
      </c>
      <c r="J83" s="33" t="n">
        <f aca="false">Source_Data!J$7+IF($B$81=1,IF(Source_Data!J$6=Inputs!$B$13,Source_Data!$C$8,0),Source_Data!J$8)</f>
        <v>62.3657</v>
      </c>
      <c r="K83" s="33" t="n">
        <f aca="false">Source_Data!K$7+IF($B$81=1,IF(Source_Data!K$6=Inputs!$B$13,Source_Data!$C$8,0),Source_Data!K$8)</f>
        <v>63.473559375</v>
      </c>
      <c r="L83" s="33" t="n">
        <f aca="false">Source_Data!L$7+IF($B$81=1,IF(Source_Data!L$6=Inputs!$B$13,Source_Data!$C$8,0),Source_Data!L$8)</f>
        <v>80.3288484375</v>
      </c>
      <c r="M83" s="33" t="n">
        <f aca="false">Source_Data!M$7+IF($B$81=1,IF(Source_Data!M$6=Inputs!$B$13,Source_Data!$C$8,0),Source_Data!M$8)</f>
        <v>495.2538375</v>
      </c>
      <c r="N83" s="33" t="n">
        <f aca="false">Source_Data!N$7+IF($B$81=1,IF(Source_Data!N$6=Inputs!$B$13,Source_Data!$C$8,0),Source_Data!N$8)</f>
        <v>185.57775</v>
      </c>
      <c r="O83" s="33" t="n">
        <f aca="false">Source_Data!O$7+IF($B$81=1,IF(Source_Data!O$6=Inputs!$B$13,Source_Data!$C$8,0),Source_Data!O$8)</f>
        <v>176.534</v>
      </c>
      <c r="P83" s="33" t="n">
        <f aca="false">Source_Data!P$7+IF($B$81=1,IF(Source_Data!P$6=Inputs!$B$13,Source_Data!$C$8,0),Source_Data!P$8)</f>
        <v>97.31075</v>
      </c>
      <c r="Q83" s="33" t="n">
        <f aca="false">Source_Data!Q$7+IF($B$81=1,IF(Source_Data!Q$6=Inputs!$B$13,Source_Data!$C$8,0),Source_Data!Q$8)</f>
        <v>71.30996875</v>
      </c>
      <c r="R83" s="33" t="n">
        <f aca="false">Source_Data!R$7+IF($B$81=1,IF(Source_Data!R$6=Inputs!$B$13,Source_Data!$C$8,0),Source_Data!R$8)</f>
        <v>71.30996875</v>
      </c>
      <c r="S83" s="33" t="n">
        <f aca="false">Source_Data!S$7+IF($B$81=1,IF(Source_Data!S$6=Inputs!$B$13,Source_Data!$C$8,0),Source_Data!S$8)</f>
        <v>68.037035625</v>
      </c>
      <c r="T83" s="33" t="n">
        <f aca="false">Source_Data!T$7+IF($B$81=1,IF(Source_Data!T$6=Inputs!$B$13,Source_Data!$C$8,0),Source_Data!T$8)</f>
        <v>61.2266396875</v>
      </c>
      <c r="U83" s="33" t="n">
        <f aca="false">Source_Data!U$7+IF($B$81=1,IF(Source_Data!U$6=Inputs!$B$13,Source_Data!$C$8,0),Source_Data!U$8)</f>
        <v>59.7127159375</v>
      </c>
      <c r="V83" s="33" t="n">
        <f aca="false">Source_Data!V$7+IF($B$81=1,IF(Source_Data!V$6=Inputs!$B$13,Source_Data!$C$8,0),Source_Data!V$8)</f>
        <v>53.7239446875</v>
      </c>
      <c r="W83" s="33" t="n">
        <f aca="false">Source_Data!W$7+IF($B$81=1,IF(Source_Data!W$6=Inputs!$B$13,Source_Data!$C$8,0),Source_Data!W$8)</f>
        <v>49.3829446875</v>
      </c>
      <c r="X83" s="33" t="n">
        <f aca="false">Source_Data!X$7+IF($B$81=1,IF(Source_Data!X$6=Inputs!$B$13,Source_Data!$C$8,0),Source_Data!X$8)</f>
        <v>49.3829446875</v>
      </c>
      <c r="Y83" s="33" t="n">
        <f aca="false">Source_Data!Y$7+IF($B$81=1,IF(Source_Data!Y$6=Inputs!$B$13,Source_Data!$C$8,0),Source_Data!Y$8)</f>
        <v>42.1027259375</v>
      </c>
      <c r="Z83" s="33" t="n">
        <f aca="false">Source_Data!Z$7+IF($B$81=1,IF(Source_Data!Z$6=Inputs!$B$13,Source_Data!$C$8,0),Source_Data!Z$8)</f>
        <v>42.1027259375</v>
      </c>
      <c r="AA83" s="33" t="n">
        <f aca="false">Source_Data!AA$7+IF($B$81=1,IF(Source_Data!AA$6=Inputs!$B$13,Source_Data!$C$8,0),Source_Data!AA$8)</f>
        <v>42.1027259375</v>
      </c>
      <c r="AB83" s="33" t="n">
        <f aca="false">Source_Data!AB$7+IF($B$81=1,IF(Source_Data!AB$6=Inputs!$B$13,Source_Data!$C$8,0),Source_Data!AB$8)</f>
        <v>36.3147259375</v>
      </c>
      <c r="AC83" s="33" t="n">
        <f aca="false">Source_Data!AC$7+IF($B$81=1,IF(Source_Data!AC$6=Inputs!$B$13,Source_Data!$C$8,0),Source_Data!AC$8)</f>
        <v>33.0386275</v>
      </c>
      <c r="AD83" s="33" t="n">
        <f aca="false">Source_Data!AD$7+IF($B$81=1,IF(Source_Data!AD$6=Inputs!$B$13,Source_Data!$C$8,0),Source_Data!AD$8)</f>
        <v>29.43017125</v>
      </c>
      <c r="AE83" s="33" t="n">
        <f aca="false">Source_Data!AE$7+IF($B$81=1,IF(Source_Data!AE$6=Inputs!$B$13,Source_Data!$C$8,0),Source_Data!AE$8)</f>
        <v>25.08917125</v>
      </c>
      <c r="AF83" s="33" t="n">
        <f aca="false">Source_Data!AF$7+IF($B$81=1,IF(Source_Data!AF$6=Inputs!$B$13,Source_Data!$C$8,0),Source_Data!AF$8)</f>
        <v>25.08917125</v>
      </c>
      <c r="AG83" s="33" t="n">
        <f aca="false">Source_Data!AG$7+IF($B$81=1,IF(Source_Data!AG$6=Inputs!$B$13,Source_Data!$C$8,0),Source_Data!AG$8)</f>
        <v>25.08917125</v>
      </c>
      <c r="AH83" s="33" t="n">
        <f aca="false">Source_Data!AH$7+IF($B$81=1,IF(Source_Data!AH$6=Inputs!$B$13,Source_Data!$C$8,0),Source_Data!AH$8)</f>
        <v>25.08917125</v>
      </c>
      <c r="AI83" s="33" t="n">
        <f aca="false">Source_Data!AI$7+IF($B$81=1,IF(Source_Data!AI$6=Inputs!$B$13,Source_Data!$C$8,0),Source_Data!AI$8)</f>
        <v>25.08917125</v>
      </c>
      <c r="AJ83" s="33" t="n">
        <f aca="false">Source_Data!AJ$7+IF($B$81=1,IF(Source_Data!AJ$6=Inputs!$B$13,Source_Data!$C$8,0),Source_Data!AJ$8)</f>
        <v>25.08917125</v>
      </c>
      <c r="AK83" s="33" t="n">
        <f aca="false">Source_Data!AK$7+IF($B$81=1,IF(Source_Data!AK$6=Inputs!$B$13,Source_Data!$C$8,0),Source_Data!AK$8)</f>
        <v>22.905105625</v>
      </c>
      <c r="AL83" s="33" t="n">
        <f aca="false">Source_Data!AL$7+IF($B$81=1,IF(Source_Data!AL$6=Inputs!$B$13,Source_Data!$C$8,0),Source_Data!AL$8)</f>
        <v>22.905105625</v>
      </c>
      <c r="AM83" s="33" t="n">
        <f aca="false">Source_Data!AM$7+IF($B$81=1,IF(Source_Data!AM$6=Inputs!$B$13,Source_Data!$C$8,0),Source_Data!AM$8)</f>
        <v>18.739554375</v>
      </c>
      <c r="AN83" s="33" t="n">
        <f aca="false">Source_Data!AN$7+IF($B$81=1,IF(Source_Data!AN$6=Inputs!$B$13,Source_Data!$C$8,0),Source_Data!AN$8)</f>
        <v>9.6261675</v>
      </c>
      <c r="AO83" s="33" t="n">
        <f aca="false">Source_Data!AO$7+IF($B$81=1,IF(Source_Data!AO$6=Inputs!$B$13,Source_Data!$C$8,0),Source_Data!AO$8)</f>
        <v>3.5704725</v>
      </c>
      <c r="AP83" s="33" t="n">
        <f aca="false">Source_Data!AP$7+IF($B$81=1,IF(Source_Data!AP$6=Inputs!$B$13,Source_Data!$C$8,0),Source_Data!AP$8)</f>
        <v>0</v>
      </c>
      <c r="AQ83" s="33" t="n">
        <f aca="false">Source_Data!AQ$7+IF($B$81=1,IF(Source_Data!AQ$6=Inputs!$B$13,Source_Data!$C$8,0),Source_Data!AQ$8)</f>
        <v>0</v>
      </c>
      <c r="AR83" s="33" t="n">
        <f aca="false">Source_Data!AR$7+IF($B$81=1,IF(Source_Data!AR$6=Inputs!$B$13,Source_Data!$C$8,0),Source_Data!AR$8)</f>
        <v>0</v>
      </c>
      <c r="AS83" s="33" t="n">
        <f aca="false">Source_Data!AS$7+IF($B$81=1,IF(Source_Data!AS$6=Inputs!$B$13,Source_Data!$C$8,0),Source_Data!AS$8)</f>
        <v>0</v>
      </c>
      <c r="AT83" s="33" t="n">
        <f aca="false">Source_Data!AT$7+IF($B$81=1,IF(Source_Data!AT$6=Inputs!$B$13,Source_Data!$C$8,0),Source_Data!AT$8)</f>
        <v>0</v>
      </c>
      <c r="AU83" s="33" t="n">
        <f aca="false">Source_Data!AU$7+IF($B$81=1,IF(Source_Data!AU$6=Inputs!$B$13,Source_Data!$C$8,0),Source_Data!AU$8)</f>
        <v>0</v>
      </c>
      <c r="AV83" s="33" t="n">
        <f aca="false">Source_Data!AV$7+IF($B$81=1,IF(Source_Data!AV$6=Inputs!$B$13,Source_Data!$C$8,0),Source_Data!AV$8)</f>
        <v>0</v>
      </c>
      <c r="AW83" s="33" t="n">
        <f aca="false">Source_Data!AW$7+IF($B$81=1,IF(Source_Data!AW$6=Inputs!$B$13,Source_Data!$C$8,0),Source_Data!AW$8)</f>
        <v>0</v>
      </c>
      <c r="AX83" s="33" t="n">
        <f aca="false">Source_Data!AX$7+IF($B$81=1,IF(Source_Data!AX$6=Inputs!$B$13,Source_Data!$C$8,0),Source_Data!AX$8)</f>
        <v>0</v>
      </c>
      <c r="AY83" s="33" t="n">
        <f aca="false">Source_Data!AY$7+IF($B$81=1,IF(Source_Data!AY$6=Inputs!$B$13,Source_Data!$C$8,0),Source_Data!AY$8)</f>
        <v>0</v>
      </c>
      <c r="AZ83" s="33" t="n">
        <f aca="false">Source_Data!AZ$7+IF($B$81=1,IF(Source_Data!AZ$6=Inputs!$B$13,Source_Data!$C$8,0),Source_Data!AZ$8)</f>
        <v>0</v>
      </c>
      <c r="BA83" s="33" t="n">
        <f aca="false">Source_Data!BA$7+IF($B$81=1,IF(Source_Data!BA$6=Inputs!$B$13,Source_Data!$C$8,0),Source_Data!BA$8)</f>
        <v>0</v>
      </c>
      <c r="BB83" s="33" t="n">
        <f aca="false">Source_Data!BB$7+IF($B$81=1,IF(Source_Data!BB$6=Inputs!$B$13,Source_Data!$C$8,0),Source_Data!BB$8)</f>
        <v>0</v>
      </c>
      <c r="BC83" s="33" t="n">
        <f aca="false">Source_Data!BC$7+IF($B$81=1,IF(Source_Data!BC$6=Inputs!$B$13,Source_Data!$C$8,0),Source_Data!BC$8)</f>
        <v>0</v>
      </c>
      <c r="BD83" s="33" t="n">
        <f aca="false">Source_Data!BD$7+IF($B$81=1,IF(Source_Data!BD$6=Inputs!$B$13,Source_Data!$C$8,0),Source_Data!BD$8)</f>
        <v>0</v>
      </c>
      <c r="BE83" s="33" t="n">
        <f aca="false">Source_Data!BE$7+IF($B$81=1,IF(Source_Data!BE$6=Inputs!$B$13,Source_Data!$C$8,0),Source_Data!BE$8)</f>
        <v>0</v>
      </c>
      <c r="BF83" s="33" t="n">
        <f aca="false">Source_Data!BF$7+IF($B$81=1,IF(Source_Data!BF$6=Inputs!$B$13,Source_Data!$C$8,0),Source_Data!BF$8)</f>
        <v>0</v>
      </c>
      <c r="BG83" s="33" t="n">
        <f aca="false">Source_Data!BG$7+IF($B$81=1,IF(Source_Data!BG$6=Inputs!$B$13,Source_Data!$C$8,0),Source_Data!BG$8)</f>
        <v>0</v>
      </c>
      <c r="BH83" s="33" t="n">
        <f aca="false">Source_Data!BH$7+IF($B$81=1,IF(Source_Data!BH$6=Inputs!$B$13,Source_Data!$C$8,0),Source_Data!BH$8)</f>
        <v>0</v>
      </c>
      <c r="BI83" s="33" t="n">
        <f aca="false">Source_Data!BI$7+IF($B$81=1,IF(Source_Data!BI$6=Inputs!$B$13,Source_Data!$C$8,0),Source_Data!BI$8)</f>
        <v>0</v>
      </c>
      <c r="BJ83" s="33" t="n">
        <f aca="false">Source_Data!BJ$7+IF($B$81=1,IF(Source_Data!BJ$6=Inputs!$B$13,Source_Data!$C$8,0),Source_Data!BJ$8)</f>
        <v>0</v>
      </c>
      <c r="BK83" s="33" t="n">
        <f aca="false">Source_Data!BK$7+IF($B$81=1,IF(Source_Data!BK$6=Inputs!$B$13,Source_Data!$C$8,0),Source_Data!BK$8)</f>
        <v>0</v>
      </c>
    </row>
    <row r="84" customFormat="false" ht="15" hidden="false" customHeight="false" outlineLevel="0" collapsed="false">
      <c r="A84" s="3" t="s">
        <v>338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16.65316125</v>
      </c>
      <c r="G84" s="33" t="n">
        <f aca="false">$B$77*IF(Source_Data!G$5-($B$78+$B$80)&gt;=1,INDEX($D$83:$BK$83,1,Source_Data!G$5-($B$78+$B$80)),0)</f>
        <v>33.3063225</v>
      </c>
      <c r="H84" s="33" t="n">
        <f aca="false">$B$77*IF(Source_Data!H$5-($B$78+$B$80)&gt;=1,INDEX($D$83:$BK$83,1,Source_Data!H$5-($B$78+$B$80)),0)</f>
        <v>51.163206875</v>
      </c>
      <c r="I84" s="33" t="n">
        <f aca="false">$B$77*IF(Source_Data!I$5-($B$78+$B$80)&gt;=1,INDEX($D$83:$BK$83,1,Source_Data!I$5-($B$78+$B$80)),0)</f>
        <v>69.02009125</v>
      </c>
      <c r="J84" s="33" t="n">
        <f aca="false">$B$77*IF(Source_Data!J$5-($B$78+$B$80)&gt;=1,INDEX($D$83:$BK$83,1,Source_Data!J$5-($B$78+$B$80)),0)</f>
        <v>68.60227</v>
      </c>
      <c r="K84" s="33" t="n">
        <f aca="false">$B$77*IF(Source_Data!K$5-($B$78+$B$80)&gt;=1,INDEX($D$83:$BK$83,1,Source_Data!K$5-($B$78+$B$80)),0)</f>
        <v>69.8209153125</v>
      </c>
      <c r="L84" s="33" t="n">
        <f aca="false">$B$77*IF(Source_Data!L$5-($B$78+$B$80)&gt;=1,INDEX($D$83:$BK$83,1,Source_Data!L$5-($B$78+$B$80)),0)</f>
        <v>88.36173328125</v>
      </c>
      <c r="M84" s="33" t="n">
        <f aca="false">$B$77*IF(Source_Data!M$5-($B$78+$B$80)&gt;=1,INDEX($D$83:$BK$83,1,Source_Data!M$5-($B$78+$B$80)),0)</f>
        <v>544.77922125</v>
      </c>
      <c r="N84" s="33" t="n">
        <f aca="false">$B$77*IF(Source_Data!N$5-($B$78+$B$80)&gt;=1,INDEX($D$83:$BK$83,1,Source_Data!N$5-($B$78+$B$80)),0)</f>
        <v>204.135525</v>
      </c>
      <c r="O84" s="33" t="n">
        <f aca="false">$B$77*IF(Source_Data!O$5-($B$78+$B$80)&gt;=1,INDEX($D$83:$BK$83,1,Source_Data!O$5-($B$78+$B$80)),0)</f>
        <v>194.1874</v>
      </c>
      <c r="P84" s="33" t="n">
        <f aca="false">$B$77*IF(Source_Data!P$5-($B$78+$B$80)&gt;=1,INDEX($D$83:$BK$83,1,Source_Data!P$5-($B$78+$B$80)),0)</f>
        <v>107.041825</v>
      </c>
      <c r="Q84" s="33" t="n">
        <f aca="false">$B$77*IF(Source_Data!Q$5-($B$78+$B$80)&gt;=1,INDEX($D$83:$BK$83,1,Source_Data!Q$5-($B$78+$B$80)),0)</f>
        <v>78.440965625</v>
      </c>
      <c r="R84" s="33" t="n">
        <f aca="false">$B$77*IF(Source_Data!R$5-($B$78+$B$80)&gt;=1,INDEX($D$83:$BK$83,1,Source_Data!R$5-($B$78+$B$80)),0)</f>
        <v>78.440965625</v>
      </c>
      <c r="S84" s="33" t="n">
        <f aca="false">$B$77*IF(Source_Data!S$5-($B$78+$B$80)&gt;=1,INDEX($D$83:$BK$83,1,Source_Data!S$5-($B$78+$B$80)),0)</f>
        <v>74.8407391875</v>
      </c>
      <c r="T84" s="33" t="n">
        <f aca="false">$B$77*IF(Source_Data!T$5-($B$78+$B$80)&gt;=1,INDEX($D$83:$BK$83,1,Source_Data!T$5-($B$78+$B$80)),0)</f>
        <v>67.34930365625</v>
      </c>
      <c r="U84" s="33" t="n">
        <f aca="false">$B$77*IF(Source_Data!U$5-($B$78+$B$80)&gt;=1,INDEX($D$83:$BK$83,1,Source_Data!U$5-($B$78+$B$80)),0)</f>
        <v>65.68398753125</v>
      </c>
      <c r="V84" s="33" t="n">
        <f aca="false">$B$77*IF(Source_Data!V$5-($B$78+$B$80)&gt;=1,INDEX($D$83:$BK$83,1,Source_Data!V$5-($B$78+$B$80)),0)</f>
        <v>59.09633915625</v>
      </c>
      <c r="W84" s="33" t="n">
        <f aca="false">$B$77*IF(Source_Data!W$5-($B$78+$B$80)&gt;=1,INDEX($D$83:$BK$83,1,Source_Data!W$5-($B$78+$B$80)),0)</f>
        <v>54.32123915625</v>
      </c>
      <c r="X84" s="33" t="n">
        <f aca="false">$B$77*IF(Source_Data!X$5-($B$78+$B$80)&gt;=1,INDEX($D$83:$BK$83,1,Source_Data!X$5-($B$78+$B$80)),0)</f>
        <v>54.32123915625</v>
      </c>
      <c r="Y84" s="33" t="n">
        <f aca="false">$B$77*IF(Source_Data!Y$5-($B$78+$B$80)&gt;=1,INDEX($D$83:$BK$83,1,Source_Data!Y$5-($B$78+$B$80)),0)</f>
        <v>46.31299853125</v>
      </c>
      <c r="Z84" s="33" t="n">
        <f aca="false">$B$77*IF(Source_Data!Z$5-($B$78+$B$80)&gt;=1,INDEX($D$83:$BK$83,1,Source_Data!Z$5-($B$78+$B$80)),0)</f>
        <v>46.31299853125</v>
      </c>
      <c r="AA84" s="33" t="n">
        <f aca="false">$B$77*IF(Source_Data!AA$5-($B$78+$B$80)&gt;=1,INDEX($D$83:$BK$83,1,Source_Data!AA$5-($B$78+$B$80)),0)</f>
        <v>46.31299853125</v>
      </c>
      <c r="AB84" s="33" t="n">
        <f aca="false">$B$77*IF(Source_Data!AB$5-($B$78+$B$80)&gt;=1,INDEX($D$83:$BK$83,1,Source_Data!AB$5-($B$78+$B$80)),0)</f>
        <v>39.94619853125</v>
      </c>
      <c r="AC84" s="33" t="n">
        <f aca="false">$B$77*IF(Source_Data!AC$5-($B$78+$B$80)&gt;=1,INDEX($D$83:$BK$83,1,Source_Data!AC$5-($B$78+$B$80)),0)</f>
        <v>36.34249025</v>
      </c>
      <c r="AD84" s="33" t="n">
        <f aca="false">$B$77*IF(Source_Data!AD$5-($B$78+$B$80)&gt;=1,INDEX($D$83:$BK$83,1,Source_Data!AD$5-($B$78+$B$80)),0)</f>
        <v>32.373188375</v>
      </c>
      <c r="AE84" s="33" t="n">
        <f aca="false">$B$77*IF(Source_Data!AE$5-($B$78+$B$80)&gt;=1,INDEX($D$83:$BK$83,1,Source_Data!AE$5-($B$78+$B$80)),0)</f>
        <v>27.598088375</v>
      </c>
      <c r="AF84" s="33" t="n">
        <f aca="false">$B$77*IF(Source_Data!AF$5-($B$78+$B$80)&gt;=1,INDEX($D$83:$BK$83,1,Source_Data!AF$5-($B$78+$B$80)),0)</f>
        <v>27.598088375</v>
      </c>
      <c r="AG84" s="33" t="n">
        <f aca="false">$B$77*IF(Source_Data!AG$5-($B$78+$B$80)&gt;=1,INDEX($D$83:$BK$83,1,Source_Data!AG$5-($B$78+$B$80)),0)</f>
        <v>27.598088375</v>
      </c>
      <c r="AH84" s="33" t="n">
        <f aca="false">$B$77*IF(Source_Data!AH$5-($B$78+$B$80)&gt;=1,INDEX($D$83:$BK$83,1,Source_Data!AH$5-($B$78+$B$80)),0)</f>
        <v>27.598088375</v>
      </c>
      <c r="AI84" s="33" t="n">
        <f aca="false">$B$77*IF(Source_Data!AI$5-($B$78+$B$80)&gt;=1,INDEX($D$83:$BK$83,1,Source_Data!AI$5-($B$78+$B$80)),0)</f>
        <v>27.598088375</v>
      </c>
      <c r="AJ84" s="33" t="n">
        <f aca="false">$B$77*IF(Source_Data!AJ$5-($B$78+$B$80)&gt;=1,INDEX($D$83:$BK$83,1,Source_Data!AJ$5-($B$78+$B$80)),0)</f>
        <v>27.598088375</v>
      </c>
      <c r="AK84" s="33" t="n">
        <f aca="false">$B$77*IF(Source_Data!AK$5-($B$78+$B$80)&gt;=1,INDEX($D$83:$BK$83,1,Source_Data!AK$5-($B$78+$B$80)),0)</f>
        <v>25.1956161875</v>
      </c>
      <c r="AL84" s="33" t="n">
        <f aca="false">$B$77*IF(Source_Data!AL$5-($B$78+$B$80)&gt;=1,INDEX($D$83:$BK$83,1,Source_Data!AL$5-($B$78+$B$80)),0)</f>
        <v>25.1956161875</v>
      </c>
      <c r="AM84" s="33" t="n">
        <f aca="false">$B$77*IF(Source_Data!AM$5-($B$78+$B$80)&gt;=1,INDEX($D$83:$BK$83,1,Source_Data!AM$5-($B$78+$B$80)),0)</f>
        <v>20.6135098125</v>
      </c>
      <c r="AN84" s="33" t="n">
        <f aca="false">$B$77*IF(Source_Data!AN$5-($B$78+$B$80)&gt;=1,INDEX($D$83:$BK$83,1,Source_Data!AN$5-($B$78+$B$80)),0)</f>
        <v>10.58878425</v>
      </c>
      <c r="AO84" s="33" t="n">
        <f aca="false">$B$77*IF(Source_Data!AO$5-($B$78+$B$80)&gt;=1,INDEX($D$83:$BK$83,1,Source_Data!AO$5-($B$78+$B$80)),0)</f>
        <v>3.92751975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339</v>
      </c>
      <c r="D85" s="33" t="n">
        <f aca="false">Source_Data!D$9+Source_Data!D$10*IF(Source_Data!$C$10=0,0,MAX(0,Inputs!$B$19*Inputs!$B$22*$B$77-Inputs!$B$20)/Source_Data!$C$10)</f>
        <v>91.25</v>
      </c>
      <c r="E85" s="33" t="n">
        <f aca="false">Source_Data!E$9+Source_Data!E$10*IF(Source_Data!$C$10=0,0,MAX(0,Inputs!$B$19*Inputs!$B$22*$B$77-Inputs!$B$20)/Source_Data!$C$10)</f>
        <v>11.25</v>
      </c>
      <c r="F85" s="33" t="n">
        <f aca="false">Source_Data!F$9+Source_Data!F$10*IF(Source_Data!$C$10=0,0,MAX(0,Inputs!$B$19*Inputs!$B$22*$B$77-Inputs!$B$20)/Source_Data!$C$10)</f>
        <v>11.25</v>
      </c>
      <c r="G85" s="33" t="n">
        <f aca="false">Source_Data!G$9+Source_Data!G$10*IF(Source_Data!$C$10=0,0,MAX(0,Inputs!$B$19*Inputs!$B$22*$B$77-Inputs!$B$20)/Source_Data!$C$10)</f>
        <v>11.25</v>
      </c>
      <c r="H85" s="33" t="n">
        <f aca="false">Source_Data!H$9+Source_Data!H$10*IF(Source_Data!$C$10=0,0,MAX(0,Inputs!$B$19*Inputs!$B$22*$B$77-Inputs!$B$20)/Source_Data!$C$10)</f>
        <v>22.5</v>
      </c>
      <c r="I85" s="33" t="n">
        <f aca="false">Source_Data!I$9+Source_Data!I$10*IF(Source_Data!$C$10=0,0,MAX(0,Inputs!$B$19*Inputs!$B$22*$B$77-Inputs!$B$20)/Source_Data!$C$10)</f>
        <v>22.5</v>
      </c>
      <c r="J85" s="33" t="n">
        <f aca="false">Source_Data!J$9+Source_Data!J$10*IF(Source_Data!$C$10=0,0,MAX(0,Inputs!$B$19*Inputs!$B$22*$B$77-Inputs!$B$20)/Source_Data!$C$10)</f>
        <v>22.5</v>
      </c>
      <c r="K85" s="33" t="n">
        <f aca="false">Source_Data!K$9+Source_Data!K$10*IF(Source_Data!$C$10=0,0,MAX(0,Inputs!$B$19*Inputs!$B$22*$B$77-Inputs!$B$20)/Source_Data!$C$10)</f>
        <v>22.5</v>
      </c>
      <c r="L85" s="33" t="n">
        <f aca="false">Source_Data!L$9+Source_Data!L$10*IF(Source_Data!$C$10=0,0,MAX(0,Inputs!$B$19*Inputs!$B$22*$B$77-Inputs!$B$20)/Source_Data!$C$10)</f>
        <v>33.75</v>
      </c>
      <c r="M85" s="33" t="n">
        <f aca="false">Source_Data!M$9+Source_Data!M$10*IF(Source_Data!$C$10=0,0,MAX(0,Inputs!$B$19*Inputs!$B$22*$B$77-Inputs!$B$20)/Source_Data!$C$10)</f>
        <v>33.75</v>
      </c>
      <c r="N85" s="33" t="n">
        <f aca="false">Source_Data!N$9+Source_Data!N$10*IF(Source_Data!$C$10=0,0,MAX(0,Inputs!$B$19*Inputs!$B$22*$B$77-Inputs!$B$20)/Source_Data!$C$10)</f>
        <v>33.75</v>
      </c>
      <c r="O85" s="33" t="n">
        <f aca="false">Source_Data!O$9+Source_Data!O$10*IF(Source_Data!$C$10=0,0,MAX(0,Inputs!$B$19*Inputs!$B$22*$B$77-Inputs!$B$20)/Source_Data!$C$10)</f>
        <v>33.75</v>
      </c>
      <c r="P85" s="33" t="n">
        <f aca="false">Source_Data!P$9+Source_Data!P$10*IF(Source_Data!$C$10=0,0,MAX(0,Inputs!$B$19*Inputs!$B$22*$B$77-Inputs!$B$20)/Source_Data!$C$10)</f>
        <v>45</v>
      </c>
      <c r="Q85" s="33" t="n">
        <f aca="false">Source_Data!Q$9+Source_Data!Q$10*IF(Source_Data!$C$10=0,0,MAX(0,Inputs!$B$19*Inputs!$B$22*$B$77-Inputs!$B$20)/Source_Data!$C$10)</f>
        <v>45</v>
      </c>
      <c r="R85" s="33" t="n">
        <f aca="false">Source_Data!R$9+Source_Data!R$10*IF(Source_Data!$C$10=0,0,MAX(0,Inputs!$B$19*Inputs!$B$22*$B$77-Inputs!$B$20)/Source_Data!$C$10)</f>
        <v>45</v>
      </c>
      <c r="S85" s="33" t="n">
        <f aca="false">Source_Data!S$9+Source_Data!S$10*IF(Source_Data!$C$10=0,0,MAX(0,Inputs!$B$19*Inputs!$B$22*$B$77-Inputs!$B$20)/Source_Data!$C$10)</f>
        <v>45</v>
      </c>
      <c r="T85" s="33" t="n">
        <f aca="false">Source_Data!T$9+Source_Data!T$10*IF(Source_Data!$C$10=0,0,MAX(0,Inputs!$B$19*Inputs!$B$22*$B$77-Inputs!$B$20)/Source_Data!$C$10)</f>
        <v>45</v>
      </c>
      <c r="U85" s="33" t="n">
        <f aca="false">Source_Data!U$9+Source_Data!U$10*IF(Source_Data!$C$10=0,0,MAX(0,Inputs!$B$19*Inputs!$B$22*$B$77-Inputs!$B$20)/Source_Data!$C$10)</f>
        <v>45</v>
      </c>
      <c r="V85" s="33" t="n">
        <f aca="false">Source_Data!V$9+Source_Data!V$10*IF(Source_Data!$C$10=0,0,MAX(0,Inputs!$B$19*Inputs!$B$22*$B$77-Inputs!$B$20)/Source_Data!$C$10)</f>
        <v>45</v>
      </c>
      <c r="W85" s="33" t="n">
        <f aca="false">Source_Data!W$9+Source_Data!W$10*IF(Source_Data!$C$10=0,0,MAX(0,Inputs!$B$19*Inputs!$B$22*$B$77-Inputs!$B$20)/Source_Data!$C$10)</f>
        <v>45</v>
      </c>
      <c r="X85" s="33" t="n">
        <f aca="false">Source_Data!X$9+Source_Data!X$10*IF(Source_Data!$C$10=0,0,MAX(0,Inputs!$B$19*Inputs!$B$22*$B$77-Inputs!$B$20)/Source_Data!$C$10)</f>
        <v>22.5</v>
      </c>
      <c r="Y85" s="33" t="n">
        <f aca="false">Source_Data!Y$9+Source_Data!Y$10*IF(Source_Data!$C$10=0,0,MAX(0,Inputs!$B$19*Inputs!$B$22*$B$77-Inputs!$B$20)/Source_Data!$C$10)</f>
        <v>22.5</v>
      </c>
      <c r="Z85" s="33" t="n">
        <f aca="false">Source_Data!Z$9+Source_Data!Z$10*IF(Source_Data!$C$10=0,0,MAX(0,Inputs!$B$19*Inputs!$B$22*$B$77-Inputs!$B$20)/Source_Data!$C$10)</f>
        <v>22.5</v>
      </c>
      <c r="AA85" s="33" t="n">
        <f aca="false">Source_Data!AA$9+Source_Data!AA$10*IF(Source_Data!$C$10=0,0,MAX(0,Inputs!$B$19*Inputs!$B$22*$B$77-Inputs!$B$20)/Source_Data!$C$10)</f>
        <v>22.5</v>
      </c>
      <c r="AB85" s="33" t="n">
        <f aca="false">Source_Data!AB$9+Source_Data!AB$10*IF(Source_Data!$C$10=0,0,MAX(0,Inputs!$B$19*Inputs!$B$22*$B$77-Inputs!$B$20)/Source_Data!$C$10)</f>
        <v>0</v>
      </c>
      <c r="AC85" s="33" t="n">
        <f aca="false">Source_Data!AC$9+Source_Data!AC$10*IF(Source_Data!$C$10=0,0,MAX(0,Inputs!$B$19*Inputs!$B$22*$B$77-Inputs!$B$20)/Source_Data!$C$10)</f>
        <v>0</v>
      </c>
      <c r="AD85" s="33" t="n">
        <f aca="false">Source_Data!AD$9+Source_Data!AD$10*IF(Source_Data!$C$10=0,0,MAX(0,Inputs!$B$19*Inputs!$B$22*$B$77-Inputs!$B$20)/Source_Data!$C$10)</f>
        <v>0</v>
      </c>
      <c r="AE85" s="33" t="n">
        <f aca="false">Source_Data!AE$9+Source_Data!AE$10*IF(Source_Data!$C$10=0,0,MAX(0,Inputs!$B$19*Inputs!$B$22*$B$77-Inputs!$B$20)/Source_Data!$C$10)</f>
        <v>0</v>
      </c>
      <c r="AF85" s="33" t="n">
        <f aca="false">Source_Data!AF$9+Source_Data!AF$10*IF(Source_Data!$C$10=0,0,MAX(0,Inputs!$B$19*Inputs!$B$22*$B$77-Inputs!$B$20)/Source_Data!$C$10)</f>
        <v>164.961945945265</v>
      </c>
      <c r="AG85" s="33" t="n">
        <f aca="false">Source_Data!AG$9+Source_Data!AG$10*IF(Source_Data!$C$10=0,0,MAX(0,Inputs!$B$19*Inputs!$B$22*$B$77-Inputs!$B$20)/Source_Data!$C$10)</f>
        <v>16.8034235432958</v>
      </c>
      <c r="AH85" s="33" t="n">
        <f aca="false">Source_Data!AH$9+Source_Data!AH$10*IF(Source_Data!$C$10=0,0,MAX(0,Inputs!$B$19*Inputs!$B$22*$B$77-Inputs!$B$20)/Source_Data!$C$10)</f>
        <v>16.8034235432958</v>
      </c>
      <c r="AI85" s="33" t="n">
        <f aca="false">Source_Data!AI$9+Source_Data!AI$10*IF(Source_Data!$C$10=0,0,MAX(0,Inputs!$B$19*Inputs!$B$22*$B$77-Inputs!$B$20)/Source_Data!$C$10)</f>
        <v>16.8034235432958</v>
      </c>
      <c r="AJ85" s="33" t="n">
        <f aca="false">Source_Data!AJ$9+Source_Data!AJ$10*IF(Source_Data!$C$10=0,0,MAX(0,Inputs!$B$19*Inputs!$B$22*$B$77-Inputs!$B$20)/Source_Data!$C$10)</f>
        <v>16.8034235432958</v>
      </c>
      <c r="AK85" s="33" t="n">
        <f aca="false">Source_Data!AK$9+Source_Data!AK$10*IF(Source_Data!$C$10=0,0,MAX(0,Inputs!$B$19*Inputs!$B$22*$B$77-Inputs!$B$20)/Source_Data!$C$10)</f>
        <v>15.3406498479221</v>
      </c>
      <c r="AL85" s="33" t="n">
        <f aca="false">Source_Data!AL$9+Source_Data!AL$10*IF(Source_Data!$C$10=0,0,MAX(0,Inputs!$B$19*Inputs!$B$22*$B$77-Inputs!$B$20)/Source_Data!$C$10)</f>
        <v>15.3406498479221</v>
      </c>
      <c r="AM85" s="33" t="n">
        <f aca="false">Source_Data!AM$9+Source_Data!AM$10*IF(Source_Data!$C$10=0,0,MAX(0,Inputs!$B$19*Inputs!$B$22*$B$77-Inputs!$B$20)/Source_Data!$C$10)</f>
        <v>12.5507800173251</v>
      </c>
      <c r="AN85" s="33" t="n">
        <f aca="false">Source_Data!AN$9+Source_Data!AN$10*IF(Source_Data!$C$10=0,0,MAX(0,Inputs!$B$19*Inputs!$B$22*$B$77-Inputs!$B$20)/Source_Data!$C$10)</f>
        <v>6.44710692072817</v>
      </c>
      <c r="AO85" s="33" t="n">
        <f aca="false">Source_Data!AO$9+Source_Data!AO$10*IF(Source_Data!$C$10=0,0,MAX(0,Inputs!$B$19*Inputs!$B$22*$B$77-Inputs!$B$20)/Source_Data!$C$10)</f>
        <v>2.39131699765453</v>
      </c>
      <c r="AP85" s="33" t="n">
        <f aca="false">Source_Data!AP$9+Source_Data!AP$10*IF(Source_Data!$C$10=0,0,MAX(0,Inputs!$B$19*Inputs!$B$22*$B$77-Inputs!$B$20)/Source_Data!$C$10)</f>
        <v>0</v>
      </c>
      <c r="AQ85" s="33" t="n">
        <f aca="false">Source_Data!AQ$9+Source_Data!AQ$10*IF(Source_Data!$C$10=0,0,MAX(0,Inputs!$B$19*Inputs!$B$22*$B$77-Inputs!$B$20)/Source_Data!$C$10)</f>
        <v>0</v>
      </c>
      <c r="AR85" s="33" t="n">
        <f aca="false">Source_Data!AR$9+Source_Data!AR$10*IF(Source_Data!$C$10=0,0,MAX(0,Inputs!$B$19*Inputs!$B$22*$B$77-Inputs!$B$20)/Source_Data!$C$10)</f>
        <v>0</v>
      </c>
      <c r="AS85" s="33" t="n">
        <f aca="false">Source_Data!AS$9+Source_Data!AS$10*IF(Source_Data!$C$10=0,0,MAX(0,Inputs!$B$19*Inputs!$B$22*$B$77-Inputs!$B$20)/Source_Data!$C$10)</f>
        <v>0</v>
      </c>
      <c r="AT85" s="33" t="n">
        <f aca="false">Source_Data!AT$9+Source_Data!AT$10*IF(Source_Data!$C$10=0,0,MAX(0,Inputs!$B$19*Inputs!$B$22*$B$77-Inputs!$B$20)/Source_Data!$C$10)</f>
        <v>0</v>
      </c>
      <c r="AU85" s="33" t="n">
        <f aca="false">Source_Data!AU$9+Source_Data!AU$10*IF(Source_Data!$C$10=0,0,MAX(0,Inputs!$B$19*Inputs!$B$22*$B$77-Inputs!$B$20)/Source_Data!$C$10)</f>
        <v>0</v>
      </c>
      <c r="AV85" s="33" t="n">
        <f aca="false">Source_Data!AV$9+Source_Data!AV$10*IF(Source_Data!$C$10=0,0,MAX(0,Inputs!$B$19*Inputs!$B$22*$B$77-Inputs!$B$20)/Source_Data!$C$10)</f>
        <v>0</v>
      </c>
      <c r="AW85" s="33" t="n">
        <f aca="false">Source_Data!AW$9+Source_Data!AW$10*IF(Source_Data!$C$10=0,0,MAX(0,Inputs!$B$19*Inputs!$B$22*$B$77-Inputs!$B$20)/Source_Data!$C$10)</f>
        <v>0</v>
      </c>
      <c r="AX85" s="33" t="n">
        <f aca="false">Source_Data!AX$9+Source_Data!AX$10*IF(Source_Data!$C$10=0,0,MAX(0,Inputs!$B$19*Inputs!$B$22*$B$77-Inputs!$B$20)/Source_Data!$C$10)</f>
        <v>0</v>
      </c>
      <c r="AY85" s="33" t="n">
        <f aca="false">Source_Data!AY$9+Source_Data!AY$10*IF(Source_Data!$C$10=0,0,MAX(0,Inputs!$B$19*Inputs!$B$22*$B$77-Inputs!$B$20)/Source_Data!$C$10)</f>
        <v>0</v>
      </c>
      <c r="AZ85" s="33" t="n">
        <f aca="false">Source_Data!AZ$9+Source_Data!AZ$10*IF(Source_Data!$C$10=0,0,MAX(0,Inputs!$B$19*Inputs!$B$22*$B$77-Inputs!$B$20)/Source_Data!$C$10)</f>
        <v>0</v>
      </c>
      <c r="BA85" s="33" t="n">
        <f aca="false">Source_Data!BA$9+Source_Data!BA$10*IF(Source_Data!$C$10=0,0,MAX(0,Inputs!$B$19*Inputs!$B$22*$B$77-Inputs!$B$20)/Source_Data!$C$10)</f>
        <v>0</v>
      </c>
      <c r="BB85" s="33" t="n">
        <f aca="false">Source_Data!BB$9+Source_Data!BB$10*IF(Source_Data!$C$10=0,0,MAX(0,Inputs!$B$19*Inputs!$B$22*$B$77-Inputs!$B$20)/Source_Data!$C$10)</f>
        <v>0</v>
      </c>
      <c r="BC85" s="33" t="n">
        <f aca="false">Source_Data!BC$9+Source_Data!BC$10*IF(Source_Data!$C$10=0,0,MAX(0,Inputs!$B$19*Inputs!$B$22*$B$77-Inputs!$B$20)/Source_Data!$C$10)</f>
        <v>0</v>
      </c>
      <c r="BD85" s="33" t="n">
        <f aca="false">Source_Data!BD$9+Source_Data!BD$10*IF(Source_Data!$C$10=0,0,MAX(0,Inputs!$B$19*Inputs!$B$22*$B$77-Inputs!$B$20)/Source_Data!$C$10)</f>
        <v>0</v>
      </c>
      <c r="BE85" s="33" t="n">
        <f aca="false">Source_Data!BE$9+Source_Data!BE$10*IF(Source_Data!$C$10=0,0,MAX(0,Inputs!$B$19*Inputs!$B$22*$B$77-Inputs!$B$20)/Source_Data!$C$10)</f>
        <v>0</v>
      </c>
      <c r="BF85" s="33" t="n">
        <f aca="false">Source_Data!BF$9+Source_Data!BF$10*IF(Source_Data!$C$10=0,0,MAX(0,Inputs!$B$19*Inputs!$B$22*$B$77-Inputs!$B$20)/Source_Data!$C$10)</f>
        <v>0</v>
      </c>
      <c r="BG85" s="33" t="n">
        <f aca="false">Source_Data!BG$9+Source_Data!BG$10*IF(Source_Data!$C$10=0,0,MAX(0,Inputs!$B$19*Inputs!$B$22*$B$77-Inputs!$B$20)/Source_Data!$C$10)</f>
        <v>0</v>
      </c>
      <c r="BH85" s="33" t="n">
        <f aca="false">Source_Data!BH$9+Source_Data!BH$10*IF(Source_Data!$C$10=0,0,MAX(0,Inputs!$B$19*Inputs!$B$22*$B$77-Inputs!$B$20)/Source_Data!$C$10)</f>
        <v>0</v>
      </c>
      <c r="BI85" s="33" t="n">
        <f aca="false">Source_Data!BI$9+Source_Data!BI$10*IF(Source_Data!$C$10=0,0,MAX(0,Inputs!$B$19*Inputs!$B$22*$B$77-Inputs!$B$20)/Source_Data!$C$10)</f>
        <v>0</v>
      </c>
      <c r="BJ85" s="33" t="n">
        <f aca="false">Source_Data!BJ$9+Source_Data!BJ$10*IF(Source_Data!$C$10=0,0,MAX(0,Inputs!$B$19*Inputs!$B$22*$B$77-Inputs!$B$20)/Source_Data!$C$10)</f>
        <v>0</v>
      </c>
      <c r="BK85" s="33" t="n">
        <f aca="false">Source_Data!BK$9+Source_Data!BK$10*IF(Source_Data!$C$10=0,0,MAX(0,Inputs!$B$19*Inputs!$B$22*$B$77-Inputs!$B$20)/Source_Data!$C$10)</f>
        <v>0</v>
      </c>
    </row>
    <row r="86" customFormat="false" ht="15" hidden="false" customHeight="false" outlineLevel="0" collapsed="false">
      <c r="A86" s="3" t="s">
        <v>194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20</v>
      </c>
      <c r="I86" s="33" t="n">
        <f aca="false">Source_Data!I$11*$B$79</f>
        <v>26.4</v>
      </c>
      <c r="J86" s="33" t="n">
        <f aca="false">Source_Data!J$11*$B$79</f>
        <v>40</v>
      </c>
      <c r="K86" s="33" t="n">
        <f aca="false">Source_Data!K$11*$B$79</f>
        <v>26.4</v>
      </c>
      <c r="L86" s="33" t="n">
        <f aca="false">Source_Data!L$11*$B$79</f>
        <v>26.4</v>
      </c>
      <c r="M86" s="33" t="n">
        <f aca="false">Source_Data!M$11*$B$79</f>
        <v>26.4</v>
      </c>
      <c r="N86" s="33" t="n">
        <f aca="false">Source_Data!N$11*$B$79</f>
        <v>5.28</v>
      </c>
      <c r="O86" s="33" t="n">
        <f aca="false">Source_Data!O$11*$B$79</f>
        <v>5.28</v>
      </c>
      <c r="P86" s="33" t="n">
        <f aca="false">Source_Data!P$11*$B$79</f>
        <v>120</v>
      </c>
      <c r="Q86" s="33" t="n">
        <f aca="false">Source_Data!Q$11*$B$79</f>
        <v>120</v>
      </c>
      <c r="R86" s="33" t="n">
        <f aca="false">Source_Data!R$11*$B$79</f>
        <v>164</v>
      </c>
      <c r="S86" s="33" t="n">
        <f aca="false">Source_Data!S$11*$B$79</f>
        <v>117</v>
      </c>
      <c r="T86" s="33" t="n">
        <f aca="false">Source_Data!T$11*$B$79</f>
        <v>0</v>
      </c>
      <c r="U86" s="33" t="n">
        <f aca="false">Source_Data!U$11*$B$79</f>
        <v>0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196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13.322529</v>
      </c>
      <c r="K87" s="33" t="n">
        <f aca="false">$B$77*IF(Source_Data!K$5-$B$78&gt;=1,INDEX(Source_Data!$D$12:$BK$12,1,Source_Data!K$5-$B$78),0)</f>
        <v>13.322529</v>
      </c>
      <c r="L87" s="33" t="n">
        <f aca="false">$B$77*IF(Source_Data!L$5-$B$78&gt;=1,INDEX(Source_Data!$D$12:$BK$12,1,Source_Data!L$5-$B$78),0)</f>
        <v>10.473386</v>
      </c>
      <c r="M87" s="33" t="n">
        <f aca="false">$B$77*IF(Source_Data!M$5-$B$78&gt;=1,INDEX(Source_Data!$D$12:$BK$12,1,Source_Data!M$5-$B$78),0)</f>
        <v>10.473386</v>
      </c>
      <c r="N87" s="33" t="n">
        <f aca="false">$B$77*IF(Source_Data!N$5-$B$78&gt;=1,INDEX(Source_Data!$D$12:$BK$12,1,Source_Data!N$5-$B$78),0)</f>
        <v>7.687911</v>
      </c>
      <c r="O87" s="33" t="n">
        <f aca="false">$B$77*IF(Source_Data!O$5-$B$78&gt;=1,INDEX(Source_Data!$D$12:$BK$12,1,Source_Data!O$5-$B$78),0)</f>
        <v>7.687911</v>
      </c>
      <c r="P87" s="33" t="n">
        <f aca="false">$B$77*IF(Source_Data!P$5-$B$78&gt;=1,INDEX(Source_Data!$D$12:$BK$12,1,Source_Data!P$5-$B$78),0)</f>
        <v>8.467844</v>
      </c>
      <c r="Q87" s="33" t="n">
        <f aca="false">$B$77*IF(Source_Data!Q$5-$B$78&gt;=1,INDEX(Source_Data!$D$12:$BK$12,1,Source_Data!Q$5-$B$78),0)</f>
        <v>10.18688</v>
      </c>
      <c r="R87" s="33" t="n">
        <f aca="false">$B$77*IF(Source_Data!R$5-$B$78&gt;=1,INDEX(Source_Data!$D$12:$BK$12,1,Source_Data!R$5-$B$78),0)</f>
        <v>10.18688</v>
      </c>
      <c r="S87" s="33" t="n">
        <f aca="false">$B$77*IF(Source_Data!S$5-$B$78&gt;=1,INDEX(Source_Data!$D$12:$BK$12,1,Source_Data!S$5-$B$78),0)</f>
        <v>7.32182</v>
      </c>
      <c r="T87" s="33" t="n">
        <f aca="false">$B$77*IF(Source_Data!T$5-$B$78&gt;=1,INDEX(Source_Data!$D$12:$BK$12,1,Source_Data!T$5-$B$78),0)</f>
        <v>0</v>
      </c>
      <c r="U87" s="33" t="n">
        <f aca="false">$B$77*IF(Source_Data!U$5-$B$78&gt;=1,INDEX(Source_Data!$D$12:$BK$12,1,Source_Data!U$5-$B$78),0)</f>
        <v>0</v>
      </c>
      <c r="V87" s="33" t="n">
        <f aca="false">$B$77*IF(Source_Data!V$5-$B$78&gt;=1,INDEX(Source_Data!$D$12:$BK$12,1,Source_Data!V$5-$B$78),0)</f>
        <v>0</v>
      </c>
      <c r="W87" s="33" t="n">
        <f aca="false">$B$77*IF(Source_Data!W$5-$B$78&gt;=1,INDEX(Source_Data!$D$12:$BK$12,1,Source_Data!W$5-$B$78),0)</f>
        <v>0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215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3</v>
      </c>
      <c r="I88" s="33" t="n">
        <f aca="false">Source_Data!I$13*$B$79</f>
        <v>3.96</v>
      </c>
      <c r="J88" s="33" t="n">
        <f aca="false">Source_Data!J$13*$B$79</f>
        <v>6</v>
      </c>
      <c r="K88" s="33" t="n">
        <f aca="false">Source_Data!K$13*$B$79</f>
        <v>3.96</v>
      </c>
      <c r="L88" s="33" t="n">
        <f aca="false">Source_Data!L$13*$B$79</f>
        <v>3.96</v>
      </c>
      <c r="M88" s="33" t="n">
        <f aca="false">Source_Data!M$13*$B$79</f>
        <v>3.96</v>
      </c>
      <c r="N88" s="33" t="n">
        <f aca="false">Source_Data!N$13*$B$79</f>
        <v>0.792</v>
      </c>
      <c r="O88" s="33" t="n">
        <f aca="false">Source_Data!O$13*$B$79</f>
        <v>0.792</v>
      </c>
      <c r="P88" s="33" t="n">
        <f aca="false">Source_Data!P$13*$B$79</f>
        <v>18</v>
      </c>
      <c r="Q88" s="33" t="n">
        <f aca="false">Source_Data!Q$13*$B$79</f>
        <v>18</v>
      </c>
      <c r="R88" s="33" t="n">
        <f aca="false">Source_Data!R$13*$B$79</f>
        <v>24.6</v>
      </c>
      <c r="S88" s="33" t="n">
        <f aca="false">Source_Data!S$13*$B$79</f>
        <v>17.55</v>
      </c>
      <c r="T88" s="33" t="n">
        <f aca="false">Source_Data!T$13*$B$79</f>
        <v>0</v>
      </c>
      <c r="U88" s="33" t="n">
        <f aca="false">Source_Data!U$13*$B$79</f>
        <v>0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216</v>
      </c>
      <c r="D89" s="33" t="n">
        <f aca="false">D84-D85-D86-D87-D88</f>
        <v>-91.25</v>
      </c>
      <c r="E89" s="33" t="n">
        <f aca="false">E84-E85-E86-E87-E88</f>
        <v>-11.25</v>
      </c>
      <c r="F89" s="33" t="n">
        <f aca="false">F84-F85-F86-F87-F88</f>
        <v>5.40316125</v>
      </c>
      <c r="G89" s="33" t="n">
        <f aca="false">G84-G85-G86-G87-G88</f>
        <v>22.0563225</v>
      </c>
      <c r="H89" s="33" t="n">
        <f aca="false">H84-H85-H86-H87-H88</f>
        <v>5.663206875</v>
      </c>
      <c r="I89" s="33" t="n">
        <f aca="false">I84-I85-I86-I87-I88</f>
        <v>16.16009125</v>
      </c>
      <c r="J89" s="33" t="n">
        <f aca="false">J84-J85-J86-J87-J88</f>
        <v>-13.220259</v>
      </c>
      <c r="K89" s="33" t="n">
        <f aca="false">K84-K85-K86-K87-K88</f>
        <v>3.63838631250002</v>
      </c>
      <c r="L89" s="33" t="n">
        <f aca="false">L84-L85-L86-L87-L88</f>
        <v>13.77834728125</v>
      </c>
      <c r="M89" s="33" t="n">
        <f aca="false">M84-M85-M86-M87-M88</f>
        <v>470.19583525</v>
      </c>
      <c r="N89" s="33" t="n">
        <f aca="false">N84-N85-N86-N87-N88</f>
        <v>156.625614</v>
      </c>
      <c r="O89" s="33" t="n">
        <f aca="false">O84-O85-O86-O87-O88</f>
        <v>146.677489</v>
      </c>
      <c r="P89" s="33" t="n">
        <f aca="false">P84-P85-P86-P87-P88</f>
        <v>-84.426019</v>
      </c>
      <c r="Q89" s="33" t="n">
        <f aca="false">Q84-Q85-Q86-Q87-Q88</f>
        <v>-114.745914375</v>
      </c>
      <c r="R89" s="33" t="n">
        <f aca="false">R84-R85-R86-R87-R88</f>
        <v>-165.345914375</v>
      </c>
      <c r="S89" s="33" t="n">
        <f aca="false">S84-S85-S86-S87-S88</f>
        <v>-112.0310808125</v>
      </c>
      <c r="T89" s="33" t="n">
        <f aca="false">T84-T85-T86-T87-T88</f>
        <v>22.34930365625</v>
      </c>
      <c r="U89" s="33" t="n">
        <f aca="false">U84-U85-U86-U87-U88</f>
        <v>20.68398753125</v>
      </c>
      <c r="V89" s="33" t="n">
        <f aca="false">V84-V85-V86-V87-V88</f>
        <v>14.09633915625</v>
      </c>
      <c r="W89" s="33" t="n">
        <f aca="false">W84-W85-W86-W87-W88</f>
        <v>9.32123915625</v>
      </c>
      <c r="X89" s="33" t="n">
        <f aca="false">X84-X85-X86-X87-X88</f>
        <v>31.82123915625</v>
      </c>
      <c r="Y89" s="33" t="n">
        <f aca="false">Y84-Y85-Y86-Y87-Y88</f>
        <v>23.81299853125</v>
      </c>
      <c r="Z89" s="33" t="n">
        <f aca="false">Z84-Z85-Z86-Z87-Z88</f>
        <v>23.81299853125</v>
      </c>
      <c r="AA89" s="33" t="n">
        <f aca="false">AA84-AA85-AA86-AA87-AA88</f>
        <v>23.81299853125</v>
      </c>
      <c r="AB89" s="33" t="n">
        <f aca="false">AB84-AB85-AB86-AB87-AB88</f>
        <v>39.94619853125</v>
      </c>
      <c r="AC89" s="33" t="n">
        <f aca="false">AC84-AC85-AC86-AC87-AC88</f>
        <v>36.34249025</v>
      </c>
      <c r="AD89" s="33" t="n">
        <f aca="false">AD84-AD85-AD86-AD87-AD88</f>
        <v>32.373188375</v>
      </c>
      <c r="AE89" s="33" t="n">
        <f aca="false">AE84-AE85-AE86-AE87-AE88</f>
        <v>27.598088375</v>
      </c>
      <c r="AF89" s="33" t="n">
        <f aca="false">AF84-AF85-AF86-AF87-AF88</f>
        <v>-137.363857570265</v>
      </c>
      <c r="AG89" s="33" t="n">
        <f aca="false">AG84-AG85-AG86-AG87-AG88</f>
        <v>10.7946648317042</v>
      </c>
      <c r="AH89" s="33" t="n">
        <f aca="false">AH84-AH85-AH86-AH87-AH88</f>
        <v>10.7946648317042</v>
      </c>
      <c r="AI89" s="33" t="n">
        <f aca="false">AI84-AI85-AI86-AI87-AI88</f>
        <v>10.7946648317042</v>
      </c>
      <c r="AJ89" s="33" t="n">
        <f aca="false">AJ84-AJ85-AJ86-AJ87-AJ88</f>
        <v>10.7946648317042</v>
      </c>
      <c r="AK89" s="33" t="n">
        <f aca="false">AK84-AK85-AK86-AK87-AK88</f>
        <v>9.85496633957795</v>
      </c>
      <c r="AL89" s="33" t="n">
        <f aca="false">AL84-AL85-AL86-AL87-AL88</f>
        <v>9.85496633957795</v>
      </c>
      <c r="AM89" s="33" t="n">
        <f aca="false">AM84-AM85-AM86-AM87-AM88</f>
        <v>8.0627297951749</v>
      </c>
      <c r="AN89" s="33" t="n">
        <f aca="false">AN84-AN85-AN86-AN87-AN88</f>
        <v>4.14167732927183</v>
      </c>
      <c r="AO89" s="33" t="n">
        <f aca="false">AO84-AO85-AO86-AO87-AO88</f>
        <v>1.53620275234547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217</v>
      </c>
      <c r="D90" s="33" t="n">
        <f aca="false">D89</f>
        <v>-91.25</v>
      </c>
      <c r="E90" s="33" t="n">
        <f aca="false">D90+E89</f>
        <v>-102.5</v>
      </c>
      <c r="F90" s="33" t="n">
        <f aca="false">E90+F89</f>
        <v>-97.09683875</v>
      </c>
      <c r="G90" s="33" t="n">
        <f aca="false">F90+G89</f>
        <v>-75.04051625</v>
      </c>
      <c r="H90" s="33" t="n">
        <f aca="false">G90+H89</f>
        <v>-69.377309375</v>
      </c>
      <c r="I90" s="33" t="n">
        <f aca="false">H90+I89</f>
        <v>-53.217218125</v>
      </c>
      <c r="J90" s="33" t="n">
        <f aca="false">I90+J89</f>
        <v>-66.437477125</v>
      </c>
      <c r="K90" s="33" t="n">
        <f aca="false">J90+K89</f>
        <v>-62.7990908125</v>
      </c>
      <c r="L90" s="33" t="n">
        <f aca="false">K90+L89</f>
        <v>-49.02074353125</v>
      </c>
      <c r="M90" s="33" t="n">
        <f aca="false">L90+M89</f>
        <v>421.17509171875</v>
      </c>
      <c r="N90" s="33" t="n">
        <f aca="false">M90+N89</f>
        <v>577.80070571875</v>
      </c>
      <c r="O90" s="33" t="n">
        <f aca="false">N90+O89</f>
        <v>724.47819471875</v>
      </c>
      <c r="P90" s="33" t="n">
        <f aca="false">O90+P89</f>
        <v>640.05217571875</v>
      </c>
      <c r="Q90" s="33" t="n">
        <f aca="false">P90+Q89</f>
        <v>525.30626134375</v>
      </c>
      <c r="R90" s="33" t="n">
        <f aca="false">Q90+R89</f>
        <v>359.96034696875</v>
      </c>
      <c r="S90" s="33" t="n">
        <f aca="false">R90+S89</f>
        <v>247.92926615625</v>
      </c>
      <c r="T90" s="33" t="n">
        <f aca="false">S90+T89</f>
        <v>270.2785698125</v>
      </c>
      <c r="U90" s="33" t="n">
        <f aca="false">T90+U89</f>
        <v>290.96255734375</v>
      </c>
      <c r="V90" s="33" t="n">
        <f aca="false">U90+V89</f>
        <v>305.0588965</v>
      </c>
      <c r="W90" s="33" t="n">
        <f aca="false">V90+W89</f>
        <v>314.38013565625</v>
      </c>
      <c r="X90" s="33" t="n">
        <f aca="false">W90+X89</f>
        <v>346.2013748125</v>
      </c>
      <c r="Y90" s="33" t="n">
        <f aca="false">X90+Y89</f>
        <v>370.01437334375</v>
      </c>
      <c r="Z90" s="33" t="n">
        <f aca="false">Y90+Z89</f>
        <v>393.827371875</v>
      </c>
      <c r="AA90" s="33" t="n">
        <f aca="false">Z90+AA89</f>
        <v>417.64037040625</v>
      </c>
      <c r="AB90" s="33" t="n">
        <f aca="false">AA90+AB89</f>
        <v>457.5865689375</v>
      </c>
      <c r="AC90" s="33" t="n">
        <f aca="false">AB90+AC89</f>
        <v>493.9290591875</v>
      </c>
      <c r="AD90" s="33" t="n">
        <f aca="false">AC90+AD89</f>
        <v>526.3022475625</v>
      </c>
      <c r="AE90" s="33" t="n">
        <f aca="false">AD90+AE89</f>
        <v>553.9003359375</v>
      </c>
      <c r="AF90" s="33" t="n">
        <f aca="false">AE90+AF89</f>
        <v>416.536478367235</v>
      </c>
      <c r="AG90" s="33" t="n">
        <f aca="false">AF90+AG89</f>
        <v>427.331143198939</v>
      </c>
      <c r="AH90" s="33" t="n">
        <f aca="false">AG90+AH89</f>
        <v>438.125808030644</v>
      </c>
      <c r="AI90" s="33" t="n">
        <f aca="false">AH90+AI89</f>
        <v>448.920472862348</v>
      </c>
      <c r="AJ90" s="33" t="n">
        <f aca="false">AI90+AJ89</f>
        <v>459.715137694052</v>
      </c>
      <c r="AK90" s="33" t="n">
        <f aca="false">AJ90+AK89</f>
        <v>469.57010403363</v>
      </c>
      <c r="AL90" s="33" t="n">
        <f aca="false">AK90+AL89</f>
        <v>479.425070373208</v>
      </c>
      <c r="AM90" s="33" t="n">
        <f aca="false">AL90+AM89</f>
        <v>487.487800168383</v>
      </c>
      <c r="AN90" s="33" t="n">
        <f aca="false">AM90+AN89</f>
        <v>491.629477497655</v>
      </c>
      <c r="AO90" s="33" t="n">
        <f aca="false">AN90+AO89</f>
        <v>493.16568025</v>
      </c>
      <c r="AP90" s="33" t="n">
        <f aca="false">AO90+AP89</f>
        <v>493.16568025</v>
      </c>
      <c r="AQ90" s="33" t="n">
        <f aca="false">AP90+AQ89</f>
        <v>493.16568025</v>
      </c>
      <c r="AR90" s="33" t="n">
        <f aca="false">AQ90+AR89</f>
        <v>493.16568025</v>
      </c>
      <c r="AS90" s="33" t="n">
        <f aca="false">AR90+AS89</f>
        <v>493.16568025</v>
      </c>
      <c r="AT90" s="33" t="n">
        <f aca="false">AS90+AT89</f>
        <v>493.16568025</v>
      </c>
      <c r="AU90" s="33" t="n">
        <f aca="false">AT90+AU89</f>
        <v>493.16568025</v>
      </c>
      <c r="AV90" s="33" t="n">
        <f aca="false">AU90+AV89</f>
        <v>493.16568025</v>
      </c>
      <c r="AW90" s="33" t="n">
        <f aca="false">AV90+AW89</f>
        <v>493.16568025</v>
      </c>
      <c r="AX90" s="33" t="n">
        <f aca="false">AW90+AX89</f>
        <v>493.16568025</v>
      </c>
      <c r="AY90" s="33" t="n">
        <f aca="false">AX90+AY89</f>
        <v>493.16568025</v>
      </c>
      <c r="AZ90" s="33" t="n">
        <f aca="false">AY90+AZ89</f>
        <v>493.16568025</v>
      </c>
      <c r="BA90" s="33" t="n">
        <f aca="false">AZ90+BA89</f>
        <v>493.16568025</v>
      </c>
      <c r="BB90" s="33" t="n">
        <f aca="false">BA90+BB89</f>
        <v>493.16568025</v>
      </c>
      <c r="BC90" s="33" t="n">
        <f aca="false">BB90+BC89</f>
        <v>493.16568025</v>
      </c>
      <c r="BD90" s="33" t="n">
        <f aca="false">BC90+BD89</f>
        <v>493.16568025</v>
      </c>
      <c r="BE90" s="33" t="n">
        <f aca="false">BD90+BE89</f>
        <v>493.16568025</v>
      </c>
      <c r="BF90" s="33" t="n">
        <f aca="false">BE90+BF89</f>
        <v>493.16568025</v>
      </c>
      <c r="BG90" s="33" t="n">
        <f aca="false">BF90+BG89</f>
        <v>493.16568025</v>
      </c>
      <c r="BH90" s="33" t="n">
        <f aca="false">BG90+BH89</f>
        <v>493.16568025</v>
      </c>
      <c r="BI90" s="33" t="n">
        <f aca="false">BH90+BI89</f>
        <v>493.16568025</v>
      </c>
      <c r="BJ90" s="33" t="n">
        <f aca="false">BI90+BJ89</f>
        <v>493.16568025</v>
      </c>
      <c r="BK90" s="33" t="n">
        <f aca="false">BJ90+BK89</f>
        <v>493.16568025</v>
      </c>
    </row>
    <row r="91" customFormat="false" ht="15" hidden="false" customHeight="false" outlineLevel="0" collapsed="false">
      <c r="A91" s="3" t="s">
        <v>340</v>
      </c>
      <c r="D91" s="33" t="n">
        <f aca="false">IF(Source_Data!D$6=Inputs!$B$12,-Inputs!$B$7,0)+IF(AND(Source_Data!D$6&gt;=$B$82,Source_Data!D$6&lt;$B$82+3*Inputs!$B$16,MOD(Source_Data!D$6-$B$82,3)=0),Inputs!$B$8*Inputs!$B$7*Inputs!$B$34*$B$77*(1-Inputs!$B$15)/Inputs!$B$16,0)</f>
        <v>-100</v>
      </c>
      <c r="E91" s="33" t="n">
        <f aca="false">IF(Source_Data!E$6=Inputs!$B$12,-Inputs!$B$7,0)+IF(AND(Source_Data!E$6&gt;=$B$82,Source_Data!E$6&lt;$B$82+3*Inputs!$B$16,MOD(Source_Data!E$6-$B$82,3)=0),Inputs!$B$8*Inputs!$B$7*Inputs!$B$34*$B$77*(1-Inputs!$B$15)/Inputs!$B$16,0)</f>
        <v>0</v>
      </c>
      <c r="F91" s="33" t="n">
        <f aca="false">IF(Source_Data!F$6=Inputs!$B$12,-Inputs!$B$7,0)+IF(AND(Source_Data!F$6&gt;=$B$82,Source_Data!F$6&lt;$B$82+3*Inputs!$B$16,MOD(Source_Data!F$6-$B$82,3)=0),Inputs!$B$8*Inputs!$B$7*Inputs!$B$34*$B$77*(1-Inputs!$B$15)/Inputs!$B$16,0)</f>
        <v>0</v>
      </c>
      <c r="G91" s="33" t="n">
        <f aca="false">IF(Source_Data!G$6=Inputs!$B$12,-Inputs!$B$7,0)+IF(AND(Source_Data!G$6&gt;=$B$82,Source_Data!G$6&lt;$B$82+3*Inputs!$B$16,MOD(Source_Data!G$6-$B$82,3)=0),Inputs!$B$8*Inputs!$B$7*Inputs!$B$34*$B$77*(1-Inputs!$B$15)/Inputs!$B$16,0)</f>
        <v>0</v>
      </c>
      <c r="H91" s="33" t="n">
        <f aca="false">IF(Source_Data!H$6=Inputs!$B$12,-Inputs!$B$7,0)+IF(AND(Source_Data!H$6&gt;=$B$82,Source_Data!H$6&lt;$B$82+3*Inputs!$B$16,MOD(Source_Data!H$6-$B$82,3)=0),Inputs!$B$8*Inputs!$B$7*Inputs!$B$34*$B$77*(1-Inputs!$B$15)/Inputs!$B$16,0)</f>
        <v>0</v>
      </c>
      <c r="I91" s="33" t="n">
        <f aca="false">IF(Source_Data!I$6=Inputs!$B$12,-Inputs!$B$7,0)+IF(AND(Source_Data!I$6&gt;=$B$82,Source_Data!I$6&lt;$B$82+3*Inputs!$B$16,MOD(Source_Data!I$6-$B$82,3)=0),Inputs!$B$8*Inputs!$B$7*Inputs!$B$34*$B$77*(1-Inputs!$B$15)/Inputs!$B$16,0)</f>
        <v>0</v>
      </c>
      <c r="J91" s="33" t="n">
        <f aca="false">IF(Source_Data!J$6=Inputs!$B$12,-Inputs!$B$7,0)+IF(AND(Source_Data!J$6&gt;=$B$82,Source_Data!J$6&lt;$B$82+3*Inputs!$B$16,MOD(Source_Data!J$6-$B$82,3)=0),Inputs!$B$8*Inputs!$B$7*Inputs!$B$34*$B$77*(1-Inputs!$B$15)/Inputs!$B$16,0)</f>
        <v>0</v>
      </c>
      <c r="K91" s="33" t="n">
        <f aca="false">IF(Source_Data!K$6=Inputs!$B$12,-Inputs!$B$7,0)+IF(AND(Source_Data!K$6&gt;=$B$82,Source_Data!K$6&lt;$B$82+3*Inputs!$B$16,MOD(Source_Data!K$6-$B$82,3)=0),Inputs!$B$8*Inputs!$B$7*Inputs!$B$34*$B$77*(1-Inputs!$B$15)/Inputs!$B$16,0)</f>
        <v>0</v>
      </c>
      <c r="L91" s="33" t="n">
        <f aca="false">IF(Source_Data!L$6=Inputs!$B$12,-Inputs!$B$7,0)+IF(AND(Source_Data!L$6&gt;=$B$82,Source_Data!L$6&lt;$B$82+3*Inputs!$B$16,MOD(Source_Data!L$6-$B$82,3)=0),Inputs!$B$8*Inputs!$B$7*Inputs!$B$34*$B$77*(1-Inputs!$B$15)/Inputs!$B$16,0)</f>
        <v>0</v>
      </c>
      <c r="M91" s="33" t="n">
        <f aca="false">IF(Source_Data!M$6=Inputs!$B$12,-Inputs!$B$7,0)+IF(AND(Source_Data!M$6&gt;=$B$82,Source_Data!M$6&lt;$B$82+3*Inputs!$B$16,MOD(Source_Data!M$6-$B$82,3)=0),Inputs!$B$8*Inputs!$B$7*Inputs!$B$34*$B$77*(1-Inputs!$B$15)/Inputs!$B$16,0)</f>
        <v>0</v>
      </c>
      <c r="N91" s="33" t="n">
        <f aca="false">IF(Source_Data!N$6=Inputs!$B$12,-Inputs!$B$7,0)+IF(AND(Source_Data!N$6&gt;=$B$82,Source_Data!N$6&lt;$B$82+3*Inputs!$B$16,MOD(Source_Data!N$6-$B$82,3)=0),Inputs!$B$8*Inputs!$B$7*Inputs!$B$34*$B$77*(1-Inputs!$B$15)/Inputs!$B$16,0)</f>
        <v>0</v>
      </c>
      <c r="O91" s="33" t="n">
        <f aca="false">IF(Source_Data!O$6=Inputs!$B$12,-Inputs!$B$7,0)+IF(AND(Source_Data!O$6&gt;=$B$82,Source_Data!O$6&lt;$B$82+3*Inputs!$B$16,MOD(Source_Data!O$6-$B$82,3)=0),Inputs!$B$8*Inputs!$B$7*Inputs!$B$34*$B$77*(1-Inputs!$B$15)/Inputs!$B$16,0)</f>
        <v>0</v>
      </c>
      <c r="P91" s="33" t="n">
        <f aca="false">IF(Source_Data!P$6=Inputs!$B$12,-Inputs!$B$7,0)+IF(AND(Source_Data!P$6&gt;=$B$82,Source_Data!P$6&lt;$B$82+3*Inputs!$B$16,MOD(Source_Data!P$6-$B$82,3)=0),Inputs!$B$8*Inputs!$B$7*Inputs!$B$34*$B$77*(1-Inputs!$B$15)/Inputs!$B$16,0)</f>
        <v>0</v>
      </c>
      <c r="Q91" s="33" t="n">
        <f aca="false">IF(Source_Data!Q$6=Inputs!$B$12,-Inputs!$B$7,0)+IF(AND(Source_Data!Q$6&gt;=$B$82,Source_Data!Q$6&lt;$B$82+3*Inputs!$B$16,MOD(Source_Data!Q$6-$B$82,3)=0),Inputs!$B$8*Inputs!$B$7*Inputs!$B$34*$B$77*(1-Inputs!$B$15)/Inputs!$B$16,0)</f>
        <v>0</v>
      </c>
      <c r="R91" s="33" t="n">
        <f aca="false">IF(Source_Data!R$6=Inputs!$B$12,-Inputs!$B$7,0)+IF(AND(Source_Data!R$6&gt;=$B$82,Source_Data!R$6&lt;$B$82+3*Inputs!$B$16,MOD(Source_Data!R$6-$B$82,3)=0),Inputs!$B$8*Inputs!$B$7*Inputs!$B$34*$B$77*(1-Inputs!$B$15)/Inputs!$B$16,0)</f>
        <v>0</v>
      </c>
      <c r="S91" s="33" t="n">
        <f aca="false">IF(Source_Data!S$6=Inputs!$B$12,-Inputs!$B$7,0)+IF(AND(Source_Data!S$6&gt;=$B$82,Source_Data!S$6&lt;$B$82+3*Inputs!$B$16,MOD(Source_Data!S$6-$B$82,3)=0),Inputs!$B$8*Inputs!$B$7*Inputs!$B$34*$B$77*(1-Inputs!$B$15)/Inputs!$B$16,0)</f>
        <v>0</v>
      </c>
      <c r="T91" s="33" t="n">
        <f aca="false">IF(Source_Data!T$6=Inputs!$B$12,-Inputs!$B$7,0)+IF(AND(Source_Data!T$6&gt;=$B$82,Source_Data!T$6&lt;$B$82+3*Inputs!$B$16,MOD(Source_Data!T$6-$B$82,3)=0),Inputs!$B$8*Inputs!$B$7*Inputs!$B$34*$B$77*(1-Inputs!$B$15)/Inputs!$B$16,0)</f>
        <v>76.4874551971326</v>
      </c>
      <c r="U91" s="33" t="n">
        <f aca="false">IF(Source_Data!U$6=Inputs!$B$12,-Inputs!$B$7,0)+IF(AND(Source_Data!U$6&gt;=$B$82,Source_Data!U$6&lt;$B$82+3*Inputs!$B$16,MOD(Source_Data!U$6-$B$82,3)=0),Inputs!$B$8*Inputs!$B$7*Inputs!$B$34*$B$77*(1-Inputs!$B$15)/Inputs!$B$16,0)</f>
        <v>76.4874551971326</v>
      </c>
      <c r="V91" s="33" t="n">
        <f aca="false">IF(Source_Data!V$6=Inputs!$B$12,-Inputs!$B$7,0)+IF(AND(Source_Data!V$6&gt;=$B$82,Source_Data!V$6&lt;$B$82+3*Inputs!$B$16,MOD(Source_Data!V$6-$B$82,3)=0),Inputs!$B$8*Inputs!$B$7*Inputs!$B$34*$B$77*(1-Inputs!$B$15)/Inputs!$B$16,0)</f>
        <v>76.4874551971326</v>
      </c>
      <c r="W91" s="33" t="n">
        <f aca="false">IF(Source_Data!W$6=Inputs!$B$12,-Inputs!$B$7,0)+IF(AND(Source_Data!W$6&gt;=$B$82,Source_Data!W$6&lt;$B$82+3*Inputs!$B$16,MOD(Source_Data!W$6-$B$82,3)=0),Inputs!$B$8*Inputs!$B$7*Inputs!$B$34*$B$77*(1-Inputs!$B$15)/Inputs!$B$16,0)</f>
        <v>76.4874551971326</v>
      </c>
      <c r="X91" s="33" t="n">
        <f aca="false">IF(Source_Data!X$6=Inputs!$B$12,-Inputs!$B$7,0)+IF(AND(Source_Data!X$6&gt;=$B$82,Source_Data!X$6&lt;$B$82+3*Inputs!$B$16,MOD(Source_Data!X$6-$B$82,3)=0),Inputs!$B$8*Inputs!$B$7*Inputs!$B$34*$B$77*(1-Inputs!$B$15)/Inputs!$B$16,0)</f>
        <v>0</v>
      </c>
      <c r="Y91" s="33" t="n">
        <f aca="false">IF(Source_Data!Y$6=Inputs!$B$12,-Inputs!$B$7,0)+IF(AND(Source_Data!Y$6&gt;=$B$82,Source_Data!Y$6&lt;$B$82+3*Inputs!$B$16,MOD(Source_Data!Y$6-$B$82,3)=0),Inputs!$B$8*Inputs!$B$7*Inputs!$B$34*$B$77*(1-Inputs!$B$15)/Inputs!$B$16,0)</f>
        <v>0</v>
      </c>
      <c r="Z91" s="33" t="n">
        <f aca="false">IF(Source_Data!Z$6=Inputs!$B$12,-Inputs!$B$7,0)+IF(AND(Source_Data!Z$6&gt;=$B$82,Source_Data!Z$6&lt;$B$82+3*Inputs!$B$16,MOD(Source_Data!Z$6-$B$82,3)=0),Inputs!$B$8*Inputs!$B$7*Inputs!$B$34*$B$77*(1-Inputs!$B$15)/Inputs!$B$16,0)</f>
        <v>0</v>
      </c>
      <c r="AA91" s="33" t="n">
        <f aca="false">IF(Source_Data!AA$6=Inputs!$B$12,-Inputs!$B$7,0)+IF(AND(Source_Data!AA$6&gt;=$B$82,Source_Data!AA$6&lt;$B$82+3*Inputs!$B$16,MOD(Source_Data!AA$6-$B$82,3)=0),Inputs!$B$8*Inputs!$B$7*Inputs!$B$34*$B$77*(1-Inputs!$B$15)/Inputs!$B$16,0)</f>
        <v>0</v>
      </c>
      <c r="AB91" s="33" t="n">
        <f aca="false">IF(Source_Data!AB$6=Inputs!$B$12,-Inputs!$B$7,0)+IF(AND(Source_Data!AB$6&gt;=$B$82,Source_Data!AB$6&lt;$B$82+3*Inputs!$B$16,MOD(Source_Data!AB$6-$B$82,3)=0),Inputs!$B$8*Inputs!$B$7*Inputs!$B$34*$B$77*(1-Inputs!$B$15)/Inputs!$B$16,0)</f>
        <v>0</v>
      </c>
      <c r="AC91" s="33" t="n">
        <f aca="false">IF(Source_Data!AC$6=Inputs!$B$12,-Inputs!$B$7,0)+IF(AND(Source_Data!AC$6&gt;=$B$82,Source_Data!AC$6&lt;$B$82+3*Inputs!$B$16,MOD(Source_Data!AC$6-$B$82,3)=0),Inputs!$B$8*Inputs!$B$7*Inputs!$B$34*$B$77*(1-Inputs!$B$15)/Inputs!$B$16,0)</f>
        <v>0</v>
      </c>
      <c r="AD91" s="33" t="n">
        <f aca="false">IF(Source_Data!AD$6=Inputs!$B$12,-Inputs!$B$7,0)+IF(AND(Source_Data!AD$6&gt;=$B$82,Source_Data!AD$6&lt;$B$82+3*Inputs!$B$16,MOD(Source_Data!AD$6-$B$82,3)=0),Inputs!$B$8*Inputs!$B$7*Inputs!$B$34*$B$77*(1-Inputs!$B$15)/Inputs!$B$16,0)</f>
        <v>0</v>
      </c>
      <c r="AE91" s="33" t="n">
        <f aca="false">IF(Source_Data!AE$6=Inputs!$B$12,-Inputs!$B$7,0)+IF(AND(Source_Data!AE$6&gt;=$B$82,Source_Data!AE$6&lt;$B$82+3*Inputs!$B$16,MOD(Source_Data!AE$6-$B$82,3)=0),Inputs!$B$8*Inputs!$B$7*Inputs!$B$34*$B$77*(1-Inputs!$B$15)/Inputs!$B$16,0)</f>
        <v>0</v>
      </c>
      <c r="AF91" s="33" t="n">
        <f aca="false">IF(Source_Data!AF$6=Inputs!$B$12,-Inputs!$B$7,0)+IF(AND(Source_Data!AF$6&gt;=$B$82,Source_Data!AF$6&lt;$B$82+3*Inputs!$B$16,MOD(Source_Data!AF$6-$B$82,3)=0),Inputs!$B$8*Inputs!$B$7*Inputs!$B$34*$B$77*(1-Inputs!$B$15)/Inputs!$B$16,0)</f>
        <v>0</v>
      </c>
      <c r="AG91" s="33" t="n">
        <f aca="false">IF(Source_Data!AG$6=Inputs!$B$12,-Inputs!$B$7,0)+IF(AND(Source_Data!AG$6&gt;=$B$82,Source_Data!AG$6&lt;$B$82+3*Inputs!$B$16,MOD(Source_Data!AG$6-$B$82,3)=0),Inputs!$B$8*Inputs!$B$7*Inputs!$B$34*$B$77*(1-Inputs!$B$15)/Inputs!$B$16,0)</f>
        <v>0</v>
      </c>
      <c r="AH91" s="33" t="n">
        <f aca="false">IF(Source_Data!AH$6=Inputs!$B$12,-Inputs!$B$7,0)+IF(AND(Source_Data!AH$6&gt;=$B$82,Source_Data!AH$6&lt;$B$82+3*Inputs!$B$16,MOD(Source_Data!AH$6-$B$82,3)=0),Inputs!$B$8*Inputs!$B$7*Inputs!$B$34*$B$77*(1-Inputs!$B$15)/Inputs!$B$16,0)</f>
        <v>0</v>
      </c>
      <c r="AI91" s="33" t="n">
        <f aca="false">IF(Source_Data!AI$6=Inputs!$B$12,-Inputs!$B$7,0)+IF(AND(Source_Data!AI$6&gt;=$B$82,Source_Data!AI$6&lt;$B$82+3*Inputs!$B$16,MOD(Source_Data!AI$6-$B$82,3)=0),Inputs!$B$8*Inputs!$B$7*Inputs!$B$34*$B$77*(1-Inputs!$B$15)/Inputs!$B$16,0)</f>
        <v>0</v>
      </c>
      <c r="AJ91" s="33" t="n">
        <f aca="false">IF(Source_Data!AJ$6=Inputs!$B$12,-Inputs!$B$7,0)+IF(AND(Source_Data!AJ$6&gt;=$B$82,Source_Data!AJ$6&lt;$B$82+3*Inputs!$B$16,MOD(Source_Data!AJ$6-$B$82,3)=0),Inputs!$B$8*Inputs!$B$7*Inputs!$B$34*$B$77*(1-Inputs!$B$15)/Inputs!$B$16,0)</f>
        <v>0</v>
      </c>
      <c r="AK91" s="33" t="n">
        <f aca="false">IF(Source_Data!AK$6=Inputs!$B$12,-Inputs!$B$7,0)+IF(AND(Source_Data!AK$6&gt;=$B$82,Source_Data!AK$6&lt;$B$82+3*Inputs!$B$16,MOD(Source_Data!AK$6-$B$82,3)=0),Inputs!$B$8*Inputs!$B$7*Inputs!$B$34*$B$77*(1-Inputs!$B$15)/Inputs!$B$16,0)</f>
        <v>0</v>
      </c>
      <c r="AL91" s="33" t="n">
        <f aca="false">IF(Source_Data!AL$6=Inputs!$B$12,-Inputs!$B$7,0)+IF(AND(Source_Data!AL$6&gt;=$B$82,Source_Data!AL$6&lt;$B$82+3*Inputs!$B$16,MOD(Source_Data!AL$6-$B$82,3)=0),Inputs!$B$8*Inputs!$B$7*Inputs!$B$34*$B$77*(1-Inputs!$B$15)/Inputs!$B$16,0)</f>
        <v>0</v>
      </c>
      <c r="AM91" s="33" t="n">
        <f aca="false">IF(Source_Data!AM$6=Inputs!$B$12,-Inputs!$B$7,0)+IF(AND(Source_Data!AM$6&gt;=$B$82,Source_Data!AM$6&lt;$B$82+3*Inputs!$B$16,MOD(Source_Data!AM$6-$B$82,3)=0),Inputs!$B$8*Inputs!$B$7*Inputs!$B$34*$B$77*(1-Inputs!$B$15)/Inputs!$B$16,0)</f>
        <v>0</v>
      </c>
      <c r="AN91" s="33" t="n">
        <f aca="false">IF(Source_Data!AN$6=Inputs!$B$12,-Inputs!$B$7,0)+IF(AND(Source_Data!AN$6&gt;=$B$82,Source_Data!AN$6&lt;$B$82+3*Inputs!$B$16,MOD(Source_Data!AN$6-$B$82,3)=0),Inputs!$B$8*Inputs!$B$7*Inputs!$B$34*$B$77*(1-Inputs!$B$15)/Inputs!$B$16,0)</f>
        <v>0</v>
      </c>
      <c r="AO91" s="33" t="n">
        <f aca="false">IF(Source_Data!AO$6=Inputs!$B$12,-Inputs!$B$7,0)+IF(AND(Source_Data!AO$6&gt;=$B$82,Source_Data!AO$6&lt;$B$82+3*Inputs!$B$16,MOD(Source_Data!AO$6-$B$82,3)=0),Inputs!$B$8*Inputs!$B$7*Inputs!$B$34*$B$77*(1-Inputs!$B$15)/Inputs!$B$16,0)</f>
        <v>0</v>
      </c>
      <c r="AP91" s="33" t="n">
        <f aca="false">IF(Source_Data!AP$6=Inputs!$B$12,-Inputs!$B$7,0)+IF(AND(Source_Data!AP$6&gt;=$B$82,Source_Data!AP$6&lt;$B$82+3*Inputs!$B$16,MOD(Source_Data!AP$6-$B$82,3)=0),Inputs!$B$8*Inputs!$B$7*Inputs!$B$34*$B$77*(1-Inputs!$B$15)/Inputs!$B$16,0)</f>
        <v>0</v>
      </c>
      <c r="AQ91" s="33" t="n">
        <f aca="false">IF(Source_Data!AQ$6=Inputs!$B$12,-Inputs!$B$7,0)+IF(AND(Source_Data!AQ$6&gt;=$B$82,Source_Data!AQ$6&lt;$B$82+3*Inputs!$B$16,MOD(Source_Data!AQ$6-$B$82,3)=0),Inputs!$B$8*Inputs!$B$7*Inputs!$B$34*$B$77*(1-Inputs!$B$15)/Inputs!$B$16,0)</f>
        <v>0</v>
      </c>
      <c r="AR91" s="33" t="n">
        <f aca="false">IF(Source_Data!AR$6=Inputs!$B$12,-Inputs!$B$7,0)+IF(AND(Source_Data!AR$6&gt;=$B$82,Source_Data!AR$6&lt;$B$82+3*Inputs!$B$16,MOD(Source_Data!AR$6-$B$82,3)=0),Inputs!$B$8*Inputs!$B$7*Inputs!$B$34*$B$77*(1-Inputs!$B$15)/Inputs!$B$16,0)</f>
        <v>0</v>
      </c>
      <c r="AS91" s="33" t="n">
        <f aca="false">IF(Source_Data!AS$6=Inputs!$B$12,-Inputs!$B$7,0)+IF(AND(Source_Data!AS$6&gt;=$B$82,Source_Data!AS$6&lt;$B$82+3*Inputs!$B$16,MOD(Source_Data!AS$6-$B$82,3)=0),Inputs!$B$8*Inputs!$B$7*Inputs!$B$34*$B$77*(1-Inputs!$B$15)/Inputs!$B$16,0)</f>
        <v>0</v>
      </c>
      <c r="AT91" s="33" t="n">
        <f aca="false">IF(Source_Data!AT$6=Inputs!$B$12,-Inputs!$B$7,0)+IF(AND(Source_Data!AT$6&gt;=$B$82,Source_Data!AT$6&lt;$B$82+3*Inputs!$B$16,MOD(Source_Data!AT$6-$B$82,3)=0),Inputs!$B$8*Inputs!$B$7*Inputs!$B$34*$B$77*(1-Inputs!$B$15)/Inputs!$B$16,0)</f>
        <v>0</v>
      </c>
      <c r="AU91" s="33" t="n">
        <f aca="false">IF(Source_Data!AU$6=Inputs!$B$12,-Inputs!$B$7,0)+IF(AND(Source_Data!AU$6&gt;=$B$82,Source_Data!AU$6&lt;$B$82+3*Inputs!$B$16,MOD(Source_Data!AU$6-$B$82,3)=0),Inputs!$B$8*Inputs!$B$7*Inputs!$B$34*$B$77*(1-Inputs!$B$15)/Inputs!$B$16,0)</f>
        <v>0</v>
      </c>
      <c r="AV91" s="33" t="n">
        <f aca="false">IF(Source_Data!AV$6=Inputs!$B$12,-Inputs!$B$7,0)+IF(AND(Source_Data!AV$6&gt;=$B$82,Source_Data!AV$6&lt;$B$82+3*Inputs!$B$16,MOD(Source_Data!AV$6-$B$82,3)=0),Inputs!$B$8*Inputs!$B$7*Inputs!$B$34*$B$77*(1-Inputs!$B$15)/Inputs!$B$16,0)</f>
        <v>0</v>
      </c>
      <c r="AW91" s="33" t="n">
        <f aca="false">IF(Source_Data!AW$6=Inputs!$B$12,-Inputs!$B$7,0)+IF(AND(Source_Data!AW$6&gt;=$B$82,Source_Data!AW$6&lt;$B$82+3*Inputs!$B$16,MOD(Source_Data!AW$6-$B$82,3)=0),Inputs!$B$8*Inputs!$B$7*Inputs!$B$34*$B$77*(1-Inputs!$B$15)/Inputs!$B$16,0)</f>
        <v>0</v>
      </c>
      <c r="AX91" s="33" t="n">
        <f aca="false">IF(Source_Data!AX$6=Inputs!$B$12,-Inputs!$B$7,0)+IF(AND(Source_Data!AX$6&gt;=$B$82,Source_Data!AX$6&lt;$B$82+3*Inputs!$B$16,MOD(Source_Data!AX$6-$B$82,3)=0),Inputs!$B$8*Inputs!$B$7*Inputs!$B$34*$B$77*(1-Inputs!$B$15)/Inputs!$B$16,0)</f>
        <v>0</v>
      </c>
      <c r="AY91" s="33" t="n">
        <f aca="false">IF(Source_Data!AY$6=Inputs!$B$12,-Inputs!$B$7,0)+IF(AND(Source_Data!AY$6&gt;=$B$82,Source_Data!AY$6&lt;$B$82+3*Inputs!$B$16,MOD(Source_Data!AY$6-$B$82,3)=0),Inputs!$B$8*Inputs!$B$7*Inputs!$B$34*$B$77*(1-Inputs!$B$15)/Inputs!$B$16,0)</f>
        <v>0</v>
      </c>
      <c r="AZ91" s="33" t="n">
        <f aca="false">IF(Source_Data!AZ$6=Inputs!$B$12,-Inputs!$B$7,0)+IF(AND(Source_Data!AZ$6&gt;=$B$82,Source_Data!AZ$6&lt;$B$82+3*Inputs!$B$16,MOD(Source_Data!AZ$6-$B$82,3)=0),Inputs!$B$8*Inputs!$B$7*Inputs!$B$34*$B$77*(1-Inputs!$B$15)/Inputs!$B$16,0)</f>
        <v>0</v>
      </c>
      <c r="BA91" s="33" t="n">
        <f aca="false">IF(Source_Data!BA$6=Inputs!$B$12,-Inputs!$B$7,0)+IF(AND(Source_Data!BA$6&gt;=$B$82,Source_Data!BA$6&lt;$B$82+3*Inputs!$B$16,MOD(Source_Data!BA$6-$B$82,3)=0),Inputs!$B$8*Inputs!$B$7*Inputs!$B$34*$B$77*(1-Inputs!$B$15)/Inputs!$B$16,0)</f>
        <v>0</v>
      </c>
      <c r="BB91" s="33" t="n">
        <f aca="false">IF(Source_Data!BB$6=Inputs!$B$12,-Inputs!$B$7,0)+IF(AND(Source_Data!BB$6&gt;=$B$82,Source_Data!BB$6&lt;$B$82+3*Inputs!$B$16,MOD(Source_Data!BB$6-$B$82,3)=0),Inputs!$B$8*Inputs!$B$7*Inputs!$B$34*$B$77*(1-Inputs!$B$15)/Inputs!$B$16,0)</f>
        <v>0</v>
      </c>
      <c r="BC91" s="33" t="n">
        <f aca="false">IF(Source_Data!BC$6=Inputs!$B$12,-Inputs!$B$7,0)+IF(AND(Source_Data!BC$6&gt;=$B$82,Source_Data!BC$6&lt;$B$82+3*Inputs!$B$16,MOD(Source_Data!BC$6-$B$82,3)=0),Inputs!$B$8*Inputs!$B$7*Inputs!$B$34*$B$77*(1-Inputs!$B$15)/Inputs!$B$16,0)</f>
        <v>0</v>
      </c>
      <c r="BD91" s="33" t="n">
        <f aca="false">IF(Source_Data!BD$6=Inputs!$B$12,-Inputs!$B$7,0)+IF(AND(Source_Data!BD$6&gt;=$B$82,Source_Data!BD$6&lt;$B$82+3*Inputs!$B$16,MOD(Source_Data!BD$6-$B$82,3)=0),Inputs!$B$8*Inputs!$B$7*Inputs!$B$34*$B$77*(1-Inputs!$B$15)/Inputs!$B$16,0)</f>
        <v>0</v>
      </c>
      <c r="BE91" s="33" t="n">
        <f aca="false">IF(Source_Data!BE$6=Inputs!$B$12,-Inputs!$B$7,0)+IF(AND(Source_Data!BE$6&gt;=$B$82,Source_Data!BE$6&lt;$B$82+3*Inputs!$B$16,MOD(Source_Data!BE$6-$B$82,3)=0),Inputs!$B$8*Inputs!$B$7*Inputs!$B$34*$B$77*(1-Inputs!$B$15)/Inputs!$B$16,0)</f>
        <v>0</v>
      </c>
      <c r="BF91" s="33" t="n">
        <f aca="false">IF(Source_Data!BF$6=Inputs!$B$12,-Inputs!$B$7,0)+IF(AND(Source_Data!BF$6&gt;=$B$82,Source_Data!BF$6&lt;$B$82+3*Inputs!$B$16,MOD(Source_Data!BF$6-$B$82,3)=0),Inputs!$B$8*Inputs!$B$7*Inputs!$B$34*$B$77*(1-Inputs!$B$15)/Inputs!$B$16,0)</f>
        <v>0</v>
      </c>
      <c r="BG91" s="33" t="n">
        <f aca="false">IF(Source_Data!BG$6=Inputs!$B$12,-Inputs!$B$7,0)+IF(AND(Source_Data!BG$6&gt;=$B$82,Source_Data!BG$6&lt;$B$82+3*Inputs!$B$16,MOD(Source_Data!BG$6-$B$82,3)=0),Inputs!$B$8*Inputs!$B$7*Inputs!$B$34*$B$77*(1-Inputs!$B$15)/Inputs!$B$16,0)</f>
        <v>0</v>
      </c>
      <c r="BH91" s="33" t="n">
        <f aca="false">IF(Source_Data!BH$6=Inputs!$B$12,-Inputs!$B$7,0)+IF(AND(Source_Data!BH$6&gt;=$B$82,Source_Data!BH$6&lt;$B$82+3*Inputs!$B$16,MOD(Source_Data!BH$6-$B$82,3)=0),Inputs!$B$8*Inputs!$B$7*Inputs!$B$34*$B$77*(1-Inputs!$B$15)/Inputs!$B$16,0)</f>
        <v>0</v>
      </c>
      <c r="BI91" s="33" t="n">
        <f aca="false">IF(Source_Data!BI$6=Inputs!$B$12,-Inputs!$B$7,0)+IF(AND(Source_Data!BI$6&gt;=$B$82,Source_Data!BI$6&lt;$B$82+3*Inputs!$B$16,MOD(Source_Data!BI$6-$B$82,3)=0),Inputs!$B$8*Inputs!$B$7*Inputs!$B$34*$B$77*(1-Inputs!$B$15)/Inputs!$B$16,0)</f>
        <v>0</v>
      </c>
      <c r="BJ91" s="33" t="n">
        <f aca="false">IF(Source_Data!BJ$6=Inputs!$B$12,-Inputs!$B$7,0)+IF(AND(Source_Data!BJ$6&gt;=$B$82,Source_Data!BJ$6&lt;$B$82+3*Inputs!$B$16,MOD(Source_Data!BJ$6-$B$82,3)=0),Inputs!$B$8*Inputs!$B$7*Inputs!$B$34*$B$77*(1-Inputs!$B$15)/Inputs!$B$16,0)</f>
        <v>0</v>
      </c>
      <c r="BK91" s="33" t="n">
        <f aca="false">IF(Source_Data!BK$6=Inputs!$B$12,-Inputs!$B$7,0)+IF(AND(Source_Data!BK$6&gt;=$B$82,Source_Data!BK$6&lt;$B$82+3*Inputs!$B$16,MOD(Source_Data!BK$6-$B$82,3)=0),Inputs!$B$8*Inputs!$B$7*Inputs!$B$34*$B$77*(1-Inputs!$B$15)/Inputs!$B$16,0)</f>
        <v>0</v>
      </c>
    </row>
    <row r="92" customFormat="false" ht="15" hidden="false" customHeight="false" outlineLevel="0" collapsed="false">
      <c r="A92" s="3" t="s">
        <v>341</v>
      </c>
      <c r="D92" s="33" t="n">
        <f aca="false">IF(AND(Source_Data!D$6&gt;=Inputs!$B$54,Source_Data!D$6&lt;Inputs!$B$54+3*Inputs!$B$11),Inputs!$B$9*Inputs!$B$7/Inputs!$B$11,0)</f>
        <v>0</v>
      </c>
      <c r="E92" s="33" t="n">
        <f aca="false">IF(AND(Source_Data!E$6&gt;=Inputs!$B$54,Source_Data!E$6&lt;Inputs!$B$54+3*Inputs!$B$11),Inputs!$B$9*Inputs!$B$7/Inputs!$B$11,0)</f>
        <v>0</v>
      </c>
      <c r="F92" s="33" t="n">
        <f aca="false">IF(AND(Source_Data!F$6&gt;=Inputs!$B$54,Source_Data!F$6&lt;Inputs!$B$54+3*Inputs!$B$11),Inputs!$B$9*Inputs!$B$7/Inputs!$B$11,0)</f>
        <v>0</v>
      </c>
      <c r="G92" s="33" t="n">
        <f aca="false">IF(AND(Source_Data!G$6&gt;=Inputs!$B$54,Source_Data!G$6&lt;Inputs!$B$54+3*Inputs!$B$11),Inputs!$B$9*Inputs!$B$7/Inputs!$B$11,0)</f>
        <v>0</v>
      </c>
      <c r="H92" s="33" t="n">
        <f aca="false">IF(AND(Source_Data!H$6&gt;=Inputs!$B$54,Source_Data!H$6&lt;Inputs!$B$54+3*Inputs!$B$11),Inputs!$B$9*Inputs!$B$7/Inputs!$B$11,0)</f>
        <v>0</v>
      </c>
      <c r="I92" s="33" t="n">
        <f aca="false">IF(AND(Source_Data!I$6&gt;=Inputs!$B$54,Source_Data!I$6&lt;Inputs!$B$54+3*Inputs!$B$11),Inputs!$B$9*Inputs!$B$7/Inputs!$B$11,0)</f>
        <v>0</v>
      </c>
      <c r="J92" s="33" t="n">
        <f aca="false">IF(AND(Source_Data!J$6&gt;=Inputs!$B$54,Source_Data!J$6&lt;Inputs!$B$54+3*Inputs!$B$11),Inputs!$B$9*Inputs!$B$7/Inputs!$B$11,0)</f>
        <v>0</v>
      </c>
      <c r="K92" s="33" t="n">
        <f aca="false">IF(AND(Source_Data!K$6&gt;=Inputs!$B$54,Source_Data!K$6&lt;Inputs!$B$54+3*Inputs!$B$11),Inputs!$B$9*Inputs!$B$7/Inputs!$B$11,0)</f>
        <v>0</v>
      </c>
      <c r="L92" s="33" t="n">
        <f aca="false">IF(AND(Source_Data!L$6&gt;=Inputs!$B$54,Source_Data!L$6&lt;Inputs!$B$54+3*Inputs!$B$11),Inputs!$B$9*Inputs!$B$7/Inputs!$B$11,0)</f>
        <v>0</v>
      </c>
      <c r="M92" s="33" t="n">
        <f aca="false">IF(AND(Source_Data!M$6&gt;=Inputs!$B$54,Source_Data!M$6&lt;Inputs!$B$54+3*Inputs!$B$11),Inputs!$B$9*Inputs!$B$7/Inputs!$B$11,0)</f>
        <v>19.1666666666667</v>
      </c>
      <c r="N92" s="33" t="n">
        <f aca="false">IF(AND(Source_Data!N$6&gt;=Inputs!$B$54,Source_Data!N$6&lt;Inputs!$B$54+3*Inputs!$B$11),Inputs!$B$9*Inputs!$B$7/Inputs!$B$11,0)</f>
        <v>19.1666666666667</v>
      </c>
      <c r="O92" s="33" t="n">
        <f aca="false">IF(AND(Source_Data!O$6&gt;=Inputs!$B$54,Source_Data!O$6&lt;Inputs!$B$54+3*Inputs!$B$11),Inputs!$B$9*Inputs!$B$7/Inputs!$B$11,0)</f>
        <v>19.1666666666667</v>
      </c>
      <c r="P92" s="33" t="n">
        <f aca="false">IF(AND(Source_Data!P$6&gt;=Inputs!$B$54,Source_Data!P$6&lt;Inputs!$B$54+3*Inputs!$B$11),Inputs!$B$9*Inputs!$B$7/Inputs!$B$11,0)</f>
        <v>19.1666666666667</v>
      </c>
      <c r="Q92" s="33" t="n">
        <f aca="false">IF(AND(Source_Data!Q$6&gt;=Inputs!$B$54,Source_Data!Q$6&lt;Inputs!$B$54+3*Inputs!$B$11),Inputs!$B$9*Inputs!$B$7/Inputs!$B$11,0)</f>
        <v>19.1666666666667</v>
      </c>
      <c r="R92" s="33" t="n">
        <f aca="false">IF(AND(Source_Data!R$6&gt;=Inputs!$B$54,Source_Data!R$6&lt;Inputs!$B$54+3*Inputs!$B$11),Inputs!$B$9*Inputs!$B$7/Inputs!$B$11,0)</f>
        <v>19.1666666666667</v>
      </c>
      <c r="S92" s="33" t="n">
        <f aca="false">IF(AND(Source_Data!S$6&gt;=Inputs!$B$54,Source_Data!S$6&lt;Inputs!$B$54+3*Inputs!$B$11),Inputs!$B$9*Inputs!$B$7/Inputs!$B$11,0)</f>
        <v>19.1666666666667</v>
      </c>
      <c r="T92" s="33" t="n">
        <f aca="false">IF(AND(Source_Data!T$6&gt;=Inputs!$B$54,Source_Data!T$6&lt;Inputs!$B$54+3*Inputs!$B$11),Inputs!$B$9*Inputs!$B$7/Inputs!$B$11,0)</f>
        <v>19.1666666666667</v>
      </c>
      <c r="U92" s="33" t="n">
        <f aca="false">IF(AND(Source_Data!U$6&gt;=Inputs!$B$54,Source_Data!U$6&lt;Inputs!$B$54+3*Inputs!$B$11),Inputs!$B$9*Inputs!$B$7/Inputs!$B$11,0)</f>
        <v>19.1666666666667</v>
      </c>
      <c r="V92" s="33" t="n">
        <f aca="false">IF(AND(Source_Data!V$6&gt;=Inputs!$B$54,Source_Data!V$6&lt;Inputs!$B$54+3*Inputs!$B$11),Inputs!$B$9*Inputs!$B$7/Inputs!$B$11,0)</f>
        <v>19.1666666666667</v>
      </c>
      <c r="W92" s="33" t="n">
        <f aca="false">IF(AND(Source_Data!W$6&gt;=Inputs!$B$54,Source_Data!W$6&lt;Inputs!$B$54+3*Inputs!$B$11),Inputs!$B$9*Inputs!$B$7/Inputs!$B$11,0)</f>
        <v>19.1666666666667</v>
      </c>
      <c r="X92" s="33" t="n">
        <f aca="false">IF(AND(Source_Data!X$6&gt;=Inputs!$B$54,Source_Data!X$6&lt;Inputs!$B$54+3*Inputs!$B$11),Inputs!$B$9*Inputs!$B$7/Inputs!$B$11,0)</f>
        <v>19.1666666666667</v>
      </c>
      <c r="Y92" s="33" t="n">
        <f aca="false">IF(AND(Source_Data!Y$6&gt;=Inputs!$B$54,Source_Data!Y$6&lt;Inputs!$B$54+3*Inputs!$B$11),Inputs!$B$9*Inputs!$B$7/Inputs!$B$11,0)</f>
        <v>0</v>
      </c>
      <c r="Z92" s="33" t="n">
        <f aca="false">IF(AND(Source_Data!Z$6&gt;=Inputs!$B$54,Source_Data!Z$6&lt;Inputs!$B$54+3*Inputs!$B$11),Inputs!$B$9*Inputs!$B$7/Inputs!$B$11,0)</f>
        <v>0</v>
      </c>
      <c r="AA92" s="33" t="n">
        <f aca="false">IF(AND(Source_Data!AA$6&gt;=Inputs!$B$54,Source_Data!AA$6&lt;Inputs!$B$54+3*Inputs!$B$11),Inputs!$B$9*Inputs!$B$7/Inputs!$B$11,0)</f>
        <v>0</v>
      </c>
      <c r="AB92" s="33" t="n">
        <f aca="false">IF(AND(Source_Data!AB$6&gt;=Inputs!$B$54,Source_Data!AB$6&lt;Inputs!$B$54+3*Inputs!$B$11),Inputs!$B$9*Inputs!$B$7/Inputs!$B$11,0)</f>
        <v>0</v>
      </c>
      <c r="AC92" s="33" t="n">
        <f aca="false">IF(AND(Source_Data!AC$6&gt;=Inputs!$B$54,Source_Data!AC$6&lt;Inputs!$B$54+3*Inputs!$B$11),Inputs!$B$9*Inputs!$B$7/Inputs!$B$11,0)</f>
        <v>0</v>
      </c>
      <c r="AD92" s="33" t="n">
        <f aca="false">IF(AND(Source_Data!AD$6&gt;=Inputs!$B$54,Source_Data!AD$6&lt;Inputs!$B$54+3*Inputs!$B$11),Inputs!$B$9*Inputs!$B$7/Inputs!$B$11,0)</f>
        <v>0</v>
      </c>
      <c r="AE92" s="33" t="n">
        <f aca="false">IF(AND(Source_Data!AE$6&gt;=Inputs!$B$54,Source_Data!AE$6&lt;Inputs!$B$54+3*Inputs!$B$11),Inputs!$B$9*Inputs!$B$7/Inputs!$B$11,0)</f>
        <v>0</v>
      </c>
      <c r="AF92" s="33" t="n">
        <f aca="false">IF(AND(Source_Data!AF$6&gt;=Inputs!$B$54,Source_Data!AF$6&lt;Inputs!$B$54+3*Inputs!$B$11),Inputs!$B$9*Inputs!$B$7/Inputs!$B$11,0)</f>
        <v>0</v>
      </c>
      <c r="AG92" s="33" t="n">
        <f aca="false">IF(AND(Source_Data!AG$6&gt;=Inputs!$B$54,Source_Data!AG$6&lt;Inputs!$B$54+3*Inputs!$B$11),Inputs!$B$9*Inputs!$B$7/Inputs!$B$11,0)</f>
        <v>0</v>
      </c>
      <c r="AH92" s="33" t="n">
        <f aca="false">IF(AND(Source_Data!AH$6&gt;=Inputs!$B$54,Source_Data!AH$6&lt;Inputs!$B$54+3*Inputs!$B$11),Inputs!$B$9*Inputs!$B$7/Inputs!$B$11,0)</f>
        <v>0</v>
      </c>
      <c r="AI92" s="33" t="n">
        <f aca="false">IF(AND(Source_Data!AI$6&gt;=Inputs!$B$54,Source_Data!AI$6&lt;Inputs!$B$54+3*Inputs!$B$11),Inputs!$B$9*Inputs!$B$7/Inputs!$B$11,0)</f>
        <v>0</v>
      </c>
      <c r="AJ92" s="33" t="n">
        <f aca="false">IF(AND(Source_Data!AJ$6&gt;=Inputs!$B$54,Source_Data!AJ$6&lt;Inputs!$B$54+3*Inputs!$B$11),Inputs!$B$9*Inputs!$B$7/Inputs!$B$11,0)</f>
        <v>0</v>
      </c>
      <c r="AK92" s="33" t="n">
        <f aca="false">IF(AND(Source_Data!AK$6&gt;=Inputs!$B$54,Source_Data!AK$6&lt;Inputs!$B$54+3*Inputs!$B$11),Inputs!$B$9*Inputs!$B$7/Inputs!$B$11,0)</f>
        <v>0</v>
      </c>
      <c r="AL92" s="33" t="n">
        <f aca="false">IF(AND(Source_Data!AL$6&gt;=Inputs!$B$54,Source_Data!AL$6&lt;Inputs!$B$54+3*Inputs!$B$11),Inputs!$B$9*Inputs!$B$7/Inputs!$B$11,0)</f>
        <v>0</v>
      </c>
      <c r="AM92" s="33" t="n">
        <f aca="false">IF(AND(Source_Data!AM$6&gt;=Inputs!$B$54,Source_Data!AM$6&lt;Inputs!$B$54+3*Inputs!$B$11),Inputs!$B$9*Inputs!$B$7/Inputs!$B$11,0)</f>
        <v>0</v>
      </c>
      <c r="AN92" s="33" t="n">
        <f aca="false">IF(AND(Source_Data!AN$6&gt;=Inputs!$B$54,Source_Data!AN$6&lt;Inputs!$B$54+3*Inputs!$B$11),Inputs!$B$9*Inputs!$B$7/Inputs!$B$11,0)</f>
        <v>0</v>
      </c>
      <c r="AO92" s="33" t="n">
        <f aca="false">IF(AND(Source_Data!AO$6&gt;=Inputs!$B$54,Source_Data!AO$6&lt;Inputs!$B$54+3*Inputs!$B$11),Inputs!$B$9*Inputs!$B$7/Inputs!$B$11,0)</f>
        <v>0</v>
      </c>
      <c r="AP92" s="33" t="n">
        <f aca="false">IF(AND(Source_Data!AP$6&gt;=Inputs!$B$54,Source_Data!AP$6&lt;Inputs!$B$54+3*Inputs!$B$11),Inputs!$B$9*Inputs!$B$7/Inputs!$B$11,0)</f>
        <v>0</v>
      </c>
      <c r="AQ92" s="33" t="n">
        <f aca="false">IF(AND(Source_Data!AQ$6&gt;=Inputs!$B$54,Source_Data!AQ$6&lt;Inputs!$B$54+3*Inputs!$B$11),Inputs!$B$9*Inputs!$B$7/Inputs!$B$11,0)</f>
        <v>0</v>
      </c>
      <c r="AR92" s="33" t="n">
        <f aca="false">IF(AND(Source_Data!AR$6&gt;=Inputs!$B$54,Source_Data!AR$6&lt;Inputs!$B$54+3*Inputs!$B$11),Inputs!$B$9*Inputs!$B$7/Inputs!$B$11,0)</f>
        <v>0</v>
      </c>
      <c r="AS92" s="33" t="n">
        <f aca="false">IF(AND(Source_Data!AS$6&gt;=Inputs!$B$54,Source_Data!AS$6&lt;Inputs!$B$54+3*Inputs!$B$11),Inputs!$B$9*Inputs!$B$7/Inputs!$B$11,0)</f>
        <v>0</v>
      </c>
      <c r="AT92" s="33" t="n">
        <f aca="false">IF(AND(Source_Data!AT$6&gt;=Inputs!$B$54,Source_Data!AT$6&lt;Inputs!$B$54+3*Inputs!$B$11),Inputs!$B$9*Inputs!$B$7/Inputs!$B$11,0)</f>
        <v>0</v>
      </c>
      <c r="AU92" s="33" t="n">
        <f aca="false">IF(AND(Source_Data!AU$6&gt;=Inputs!$B$54,Source_Data!AU$6&lt;Inputs!$B$54+3*Inputs!$B$11),Inputs!$B$9*Inputs!$B$7/Inputs!$B$11,0)</f>
        <v>0</v>
      </c>
      <c r="AV92" s="33" t="n">
        <f aca="false">IF(AND(Source_Data!AV$6&gt;=Inputs!$B$54,Source_Data!AV$6&lt;Inputs!$B$54+3*Inputs!$B$11),Inputs!$B$9*Inputs!$B$7/Inputs!$B$11,0)</f>
        <v>0</v>
      </c>
      <c r="AW92" s="33" t="n">
        <f aca="false">IF(AND(Source_Data!AW$6&gt;=Inputs!$B$54,Source_Data!AW$6&lt;Inputs!$B$54+3*Inputs!$B$11),Inputs!$B$9*Inputs!$B$7/Inputs!$B$11,0)</f>
        <v>0</v>
      </c>
      <c r="AX92" s="33" t="n">
        <f aca="false">IF(AND(Source_Data!AX$6&gt;=Inputs!$B$54,Source_Data!AX$6&lt;Inputs!$B$54+3*Inputs!$B$11),Inputs!$B$9*Inputs!$B$7/Inputs!$B$11,0)</f>
        <v>0</v>
      </c>
      <c r="AY92" s="33" t="n">
        <f aca="false">IF(AND(Source_Data!AY$6&gt;=Inputs!$B$54,Source_Data!AY$6&lt;Inputs!$B$54+3*Inputs!$B$11),Inputs!$B$9*Inputs!$B$7/Inputs!$B$11,0)</f>
        <v>0</v>
      </c>
      <c r="AZ92" s="33" t="n">
        <f aca="false">IF(AND(Source_Data!AZ$6&gt;=Inputs!$B$54,Source_Data!AZ$6&lt;Inputs!$B$54+3*Inputs!$B$11),Inputs!$B$9*Inputs!$B$7/Inputs!$B$11,0)</f>
        <v>0</v>
      </c>
      <c r="BA92" s="33" t="n">
        <f aca="false">IF(AND(Source_Data!BA$6&gt;=Inputs!$B$54,Source_Data!BA$6&lt;Inputs!$B$54+3*Inputs!$B$11),Inputs!$B$9*Inputs!$B$7/Inputs!$B$11,0)</f>
        <v>0</v>
      </c>
      <c r="BB92" s="33" t="n">
        <f aca="false">IF(AND(Source_Data!BB$6&gt;=Inputs!$B$54,Source_Data!BB$6&lt;Inputs!$B$54+3*Inputs!$B$11),Inputs!$B$9*Inputs!$B$7/Inputs!$B$11,0)</f>
        <v>0</v>
      </c>
      <c r="BC92" s="33" t="n">
        <f aca="false">IF(AND(Source_Data!BC$6&gt;=Inputs!$B$54,Source_Data!BC$6&lt;Inputs!$B$54+3*Inputs!$B$11),Inputs!$B$9*Inputs!$B$7/Inputs!$B$11,0)</f>
        <v>0</v>
      </c>
      <c r="BD92" s="33" t="n">
        <f aca="false">IF(AND(Source_Data!BD$6&gt;=Inputs!$B$54,Source_Data!BD$6&lt;Inputs!$B$54+3*Inputs!$B$11),Inputs!$B$9*Inputs!$B$7/Inputs!$B$11,0)</f>
        <v>0</v>
      </c>
      <c r="BE92" s="33" t="n">
        <f aca="false">IF(AND(Source_Data!BE$6&gt;=Inputs!$B$54,Source_Data!BE$6&lt;Inputs!$B$54+3*Inputs!$B$11),Inputs!$B$9*Inputs!$B$7/Inputs!$B$11,0)</f>
        <v>0</v>
      </c>
      <c r="BF92" s="33" t="n">
        <f aca="false">IF(AND(Source_Data!BF$6&gt;=Inputs!$B$54,Source_Data!BF$6&lt;Inputs!$B$54+3*Inputs!$B$11),Inputs!$B$9*Inputs!$B$7/Inputs!$B$11,0)</f>
        <v>0</v>
      </c>
      <c r="BG92" s="33" t="n">
        <f aca="false">IF(AND(Source_Data!BG$6&gt;=Inputs!$B$54,Source_Data!BG$6&lt;Inputs!$B$54+3*Inputs!$B$11),Inputs!$B$9*Inputs!$B$7/Inputs!$B$11,0)</f>
        <v>0</v>
      </c>
      <c r="BH92" s="33" t="n">
        <f aca="false">IF(AND(Source_Data!BH$6&gt;=Inputs!$B$54,Source_Data!BH$6&lt;Inputs!$B$54+3*Inputs!$B$11),Inputs!$B$9*Inputs!$B$7/Inputs!$B$11,0)</f>
        <v>0</v>
      </c>
      <c r="BI92" s="33" t="n">
        <f aca="false">IF(AND(Source_Data!BI$6&gt;=Inputs!$B$54,Source_Data!BI$6&lt;Inputs!$B$54+3*Inputs!$B$11),Inputs!$B$9*Inputs!$B$7/Inputs!$B$11,0)</f>
        <v>0</v>
      </c>
      <c r="BJ92" s="33" t="n">
        <f aca="false">IF(AND(Source_Data!BJ$6&gt;=Inputs!$B$54,Source_Data!BJ$6&lt;Inputs!$B$54+3*Inputs!$B$11),Inputs!$B$9*Inputs!$B$7/Inputs!$B$11,0)</f>
        <v>0</v>
      </c>
      <c r="BK92" s="33" t="n">
        <f aca="false">IF(AND(Source_Data!BK$6&gt;=Inputs!$B$54,Source_Data!BK$6&lt;Inputs!$B$54+3*Inputs!$B$11),Inputs!$B$9*Inputs!$B$7/Inputs!$B$11,0)</f>
        <v>0</v>
      </c>
    </row>
    <row r="93" customFormat="false" ht="15" hidden="false" customHeight="false" outlineLevel="0" collapsed="false">
      <c r="A93" s="3" t="s">
        <v>342</v>
      </c>
      <c r="D93" s="33" t="n">
        <f aca="false">IF(Source_Data!D$6=Inputs!$B$12,-Inputs!$B$7,0)+D92</f>
        <v>-100</v>
      </c>
      <c r="E93" s="33" t="n">
        <f aca="false">IF(Source_Data!E$6=Inputs!$B$12,-Inputs!$B$7,0)+E92</f>
        <v>0</v>
      </c>
      <c r="F93" s="33" t="n">
        <f aca="false">IF(Source_Data!F$6=Inputs!$B$12,-Inputs!$B$7,0)+F92</f>
        <v>0</v>
      </c>
      <c r="G93" s="33" t="n">
        <f aca="false">IF(Source_Data!G$6=Inputs!$B$12,-Inputs!$B$7,0)+G92</f>
        <v>0</v>
      </c>
      <c r="H93" s="33" t="n">
        <f aca="false">IF(Source_Data!H$6=Inputs!$B$12,-Inputs!$B$7,0)+H92</f>
        <v>0</v>
      </c>
      <c r="I93" s="33" t="n">
        <f aca="false">IF(Source_Data!I$6=Inputs!$B$12,-Inputs!$B$7,0)+I92</f>
        <v>0</v>
      </c>
      <c r="J93" s="33" t="n">
        <f aca="false">IF(Source_Data!J$6=Inputs!$B$12,-Inputs!$B$7,0)+J92</f>
        <v>0</v>
      </c>
      <c r="K93" s="33" t="n">
        <f aca="false">IF(Source_Data!K$6=Inputs!$B$12,-Inputs!$B$7,0)+K92</f>
        <v>0</v>
      </c>
      <c r="L93" s="33" t="n">
        <f aca="false">IF(Source_Data!L$6=Inputs!$B$12,-Inputs!$B$7,0)+L92</f>
        <v>0</v>
      </c>
      <c r="M93" s="33" t="n">
        <f aca="false">IF(Source_Data!M$6=Inputs!$B$12,-Inputs!$B$7,0)+M92</f>
        <v>19.1666666666667</v>
      </c>
      <c r="N93" s="33" t="n">
        <f aca="false">IF(Source_Data!N$6=Inputs!$B$12,-Inputs!$B$7,0)+N92</f>
        <v>19.1666666666667</v>
      </c>
      <c r="O93" s="33" t="n">
        <f aca="false">IF(Source_Data!O$6=Inputs!$B$12,-Inputs!$B$7,0)+O92</f>
        <v>19.1666666666667</v>
      </c>
      <c r="P93" s="33" t="n">
        <f aca="false">IF(Source_Data!P$6=Inputs!$B$12,-Inputs!$B$7,0)+P92</f>
        <v>19.1666666666667</v>
      </c>
      <c r="Q93" s="33" t="n">
        <f aca="false">IF(Source_Data!Q$6=Inputs!$B$12,-Inputs!$B$7,0)+Q92</f>
        <v>19.1666666666667</v>
      </c>
      <c r="R93" s="33" t="n">
        <f aca="false">IF(Source_Data!R$6=Inputs!$B$12,-Inputs!$B$7,0)+R92</f>
        <v>19.1666666666667</v>
      </c>
      <c r="S93" s="33" t="n">
        <f aca="false">IF(Source_Data!S$6=Inputs!$B$12,-Inputs!$B$7,0)+S92</f>
        <v>19.1666666666667</v>
      </c>
      <c r="T93" s="33" t="n">
        <f aca="false">IF(Source_Data!T$6=Inputs!$B$12,-Inputs!$B$7,0)+T92</f>
        <v>19.1666666666667</v>
      </c>
      <c r="U93" s="33" t="n">
        <f aca="false">IF(Source_Data!U$6=Inputs!$B$12,-Inputs!$B$7,0)+U92</f>
        <v>19.1666666666667</v>
      </c>
      <c r="V93" s="33" t="n">
        <f aca="false">IF(Source_Data!V$6=Inputs!$B$12,-Inputs!$B$7,0)+V92</f>
        <v>19.1666666666667</v>
      </c>
      <c r="W93" s="33" t="n">
        <f aca="false">IF(Source_Data!W$6=Inputs!$B$12,-Inputs!$B$7,0)+W92</f>
        <v>19.1666666666667</v>
      </c>
      <c r="X93" s="33" t="n">
        <f aca="false">IF(Source_Data!X$6=Inputs!$B$12,-Inputs!$B$7,0)+X92</f>
        <v>19.1666666666667</v>
      </c>
      <c r="Y93" s="33" t="n">
        <f aca="false">IF(Source_Data!Y$6=Inputs!$B$12,-Inputs!$B$7,0)+Y92</f>
        <v>0</v>
      </c>
      <c r="Z93" s="33" t="n">
        <f aca="false">IF(Source_Data!Z$6=Inputs!$B$12,-Inputs!$B$7,0)+Z92</f>
        <v>0</v>
      </c>
      <c r="AA93" s="33" t="n">
        <f aca="false">IF(Source_Data!AA$6=Inputs!$B$12,-Inputs!$B$7,0)+AA92</f>
        <v>0</v>
      </c>
      <c r="AB93" s="33" t="n">
        <f aca="false">IF(Source_Data!AB$6=Inputs!$B$12,-Inputs!$B$7,0)+AB92</f>
        <v>0</v>
      </c>
      <c r="AC93" s="33" t="n">
        <f aca="false">IF(Source_Data!AC$6=Inputs!$B$12,-Inputs!$B$7,0)+AC92</f>
        <v>0</v>
      </c>
      <c r="AD93" s="33" t="n">
        <f aca="false">IF(Source_Data!AD$6=Inputs!$B$12,-Inputs!$B$7,0)+AD92</f>
        <v>0</v>
      </c>
      <c r="AE93" s="33" t="n">
        <f aca="false">IF(Source_Data!AE$6=Inputs!$B$12,-Inputs!$B$7,0)+AE92</f>
        <v>0</v>
      </c>
      <c r="AF93" s="33" t="n">
        <f aca="false">IF(Source_Data!AF$6=Inputs!$B$12,-Inputs!$B$7,0)+AF92</f>
        <v>0</v>
      </c>
      <c r="AG93" s="33" t="n">
        <f aca="false">IF(Source_Data!AG$6=Inputs!$B$12,-Inputs!$B$7,0)+AG92</f>
        <v>0</v>
      </c>
      <c r="AH93" s="33" t="n">
        <f aca="false">IF(Source_Data!AH$6=Inputs!$B$12,-Inputs!$B$7,0)+AH92</f>
        <v>0</v>
      </c>
      <c r="AI93" s="33" t="n">
        <f aca="false">IF(Source_Data!AI$6=Inputs!$B$12,-Inputs!$B$7,0)+AI92</f>
        <v>0</v>
      </c>
      <c r="AJ93" s="33" t="n">
        <f aca="false">IF(Source_Data!AJ$6=Inputs!$B$12,-Inputs!$B$7,0)+AJ92</f>
        <v>0</v>
      </c>
      <c r="AK93" s="33" t="n">
        <f aca="false">IF(Source_Data!AK$6=Inputs!$B$12,-Inputs!$B$7,0)+AK92</f>
        <v>0</v>
      </c>
      <c r="AL93" s="33" t="n">
        <f aca="false">IF(Source_Data!AL$6=Inputs!$B$12,-Inputs!$B$7,0)+AL92</f>
        <v>0</v>
      </c>
      <c r="AM93" s="33" t="n">
        <f aca="false">IF(Source_Data!AM$6=Inputs!$B$12,-Inputs!$B$7,0)+AM92</f>
        <v>0</v>
      </c>
      <c r="AN93" s="33" t="n">
        <f aca="false">IF(Source_Data!AN$6=Inputs!$B$12,-Inputs!$B$7,0)+AN92</f>
        <v>0</v>
      </c>
      <c r="AO93" s="33" t="n">
        <f aca="false">IF(Source_Data!AO$6=Inputs!$B$12,-Inputs!$B$7,0)+AO92</f>
        <v>0</v>
      </c>
      <c r="AP93" s="33" t="n">
        <f aca="false">IF(Source_Data!AP$6=Inputs!$B$12,-Inputs!$B$7,0)+AP92</f>
        <v>0</v>
      </c>
      <c r="AQ93" s="33" t="n">
        <f aca="false">IF(Source_Data!AQ$6=Inputs!$B$12,-Inputs!$B$7,0)+AQ92</f>
        <v>0</v>
      </c>
      <c r="AR93" s="33" t="n">
        <f aca="false">IF(Source_Data!AR$6=Inputs!$B$12,-Inputs!$B$7,0)+AR92</f>
        <v>0</v>
      </c>
      <c r="AS93" s="33" t="n">
        <f aca="false">IF(Source_Data!AS$6=Inputs!$B$12,-Inputs!$B$7,0)+AS92</f>
        <v>0</v>
      </c>
      <c r="AT93" s="33" t="n">
        <f aca="false">IF(Source_Data!AT$6=Inputs!$B$12,-Inputs!$B$7,0)+AT92</f>
        <v>0</v>
      </c>
      <c r="AU93" s="33" t="n">
        <f aca="false">IF(Source_Data!AU$6=Inputs!$B$12,-Inputs!$B$7,0)+AU92</f>
        <v>0</v>
      </c>
      <c r="AV93" s="33" t="n">
        <f aca="false">IF(Source_Data!AV$6=Inputs!$B$12,-Inputs!$B$7,0)+AV92</f>
        <v>0</v>
      </c>
      <c r="AW93" s="33" t="n">
        <f aca="false">IF(Source_Data!AW$6=Inputs!$B$12,-Inputs!$B$7,0)+AW92</f>
        <v>0</v>
      </c>
      <c r="AX93" s="33" t="n">
        <f aca="false">IF(Source_Data!AX$6=Inputs!$B$12,-Inputs!$B$7,0)+AX92</f>
        <v>0</v>
      </c>
      <c r="AY93" s="33" t="n">
        <f aca="false">IF(Source_Data!AY$6=Inputs!$B$12,-Inputs!$B$7,0)+AY92</f>
        <v>0</v>
      </c>
      <c r="AZ93" s="33" t="n">
        <f aca="false">IF(Source_Data!AZ$6=Inputs!$B$12,-Inputs!$B$7,0)+AZ92</f>
        <v>0</v>
      </c>
      <c r="BA93" s="33" t="n">
        <f aca="false">IF(Source_Data!BA$6=Inputs!$B$12,-Inputs!$B$7,0)+BA92</f>
        <v>0</v>
      </c>
      <c r="BB93" s="33" t="n">
        <f aca="false">IF(Source_Data!BB$6=Inputs!$B$12,-Inputs!$B$7,0)+BB92</f>
        <v>0</v>
      </c>
      <c r="BC93" s="33" t="n">
        <f aca="false">IF(Source_Data!BC$6=Inputs!$B$12,-Inputs!$B$7,0)+BC92</f>
        <v>0</v>
      </c>
      <c r="BD93" s="33" t="n">
        <f aca="false">IF(Source_Data!BD$6=Inputs!$B$12,-Inputs!$B$7,0)+BD92</f>
        <v>0</v>
      </c>
      <c r="BE93" s="33" t="n">
        <f aca="false">IF(Source_Data!BE$6=Inputs!$B$12,-Inputs!$B$7,0)+BE92</f>
        <v>0</v>
      </c>
      <c r="BF93" s="33" t="n">
        <f aca="false">IF(Source_Data!BF$6=Inputs!$B$12,-Inputs!$B$7,0)+BF92</f>
        <v>0</v>
      </c>
      <c r="BG93" s="33" t="n">
        <f aca="false">IF(Source_Data!BG$6=Inputs!$B$12,-Inputs!$B$7,0)+BG92</f>
        <v>0</v>
      </c>
      <c r="BH93" s="33" t="n">
        <f aca="false">IF(Source_Data!BH$6=Inputs!$B$12,-Inputs!$B$7,0)+BH92</f>
        <v>0</v>
      </c>
      <c r="BI93" s="33" t="n">
        <f aca="false">IF(Source_Data!BI$6=Inputs!$B$12,-Inputs!$B$7,0)+BI92</f>
        <v>0</v>
      </c>
      <c r="BJ93" s="33" t="n">
        <f aca="false">IF(Source_Data!BJ$6=Inputs!$B$12,-Inputs!$B$7,0)+BJ92</f>
        <v>0</v>
      </c>
      <c r="BK93" s="33" t="n">
        <f aca="false">IF(Source_Data!BK$6=Inputs!$B$12,-Inputs!$B$7,0)+BK92</f>
        <v>0</v>
      </c>
    </row>
    <row r="94" customFormat="false" ht="15" hidden="false" customHeight="false" outlineLevel="0" collapsed="false">
      <c r="A94" s="3" t="s">
        <v>343</v>
      </c>
      <c r="D94" s="33" t="n">
        <f aca="false">IF(Source_Data!D$6=Inputs!$B$12,Inputs!$B$7,0)+D89-D92</f>
        <v>8.75</v>
      </c>
      <c r="E94" s="33" t="n">
        <f aca="false">D94+IF(Source_Data!E$6=Inputs!$B$12,Inputs!$B$7,0)+E89-E92</f>
        <v>-2.5</v>
      </c>
      <c r="F94" s="33" t="n">
        <f aca="false">E94+IF(Source_Data!F$6=Inputs!$B$12,Inputs!$B$7,0)+F89-F92</f>
        <v>2.90316125</v>
      </c>
      <c r="G94" s="33" t="n">
        <f aca="false">F94+IF(Source_Data!G$6=Inputs!$B$12,Inputs!$B$7,0)+G89-G92</f>
        <v>24.95948375</v>
      </c>
      <c r="H94" s="33" t="n">
        <f aca="false">G94+IF(Source_Data!H$6=Inputs!$B$12,Inputs!$B$7,0)+H89-H92</f>
        <v>30.622690625</v>
      </c>
      <c r="I94" s="33" t="n">
        <f aca="false">H94+IF(Source_Data!I$6=Inputs!$B$12,Inputs!$B$7,0)+I89-I92</f>
        <v>46.782781875</v>
      </c>
      <c r="J94" s="33" t="n">
        <f aca="false">I94+IF(Source_Data!J$6=Inputs!$B$12,Inputs!$B$7,0)+J89-J92</f>
        <v>33.562522875</v>
      </c>
      <c r="K94" s="33" t="n">
        <f aca="false">J94+IF(Source_Data!K$6=Inputs!$B$12,Inputs!$B$7,0)+K89-K92</f>
        <v>37.2009091875</v>
      </c>
      <c r="L94" s="33" t="n">
        <f aca="false">K94+IF(Source_Data!L$6=Inputs!$B$12,Inputs!$B$7,0)+L89-L92</f>
        <v>50.9792564687501</v>
      </c>
      <c r="M94" s="33" t="n">
        <f aca="false">L94+IF(Source_Data!M$6=Inputs!$B$12,Inputs!$B$7,0)+M89-M92</f>
        <v>502.008425052083</v>
      </c>
      <c r="N94" s="33" t="n">
        <f aca="false">M94+IF(Source_Data!N$6=Inputs!$B$12,Inputs!$B$7,0)+N89-N92</f>
        <v>639.467372385417</v>
      </c>
      <c r="O94" s="33" t="n">
        <f aca="false">N94+IF(Source_Data!O$6=Inputs!$B$12,Inputs!$B$7,0)+O89-O92</f>
        <v>766.97819471875</v>
      </c>
      <c r="P94" s="33" t="n">
        <f aca="false">O94+IF(Source_Data!P$6=Inputs!$B$12,Inputs!$B$7,0)+P89-P92</f>
        <v>663.385509052084</v>
      </c>
      <c r="Q94" s="33" t="n">
        <f aca="false">P94+IF(Source_Data!Q$6=Inputs!$B$12,Inputs!$B$7,0)+Q89-Q92</f>
        <v>529.472928010417</v>
      </c>
      <c r="R94" s="33" t="n">
        <f aca="false">Q94+IF(Source_Data!R$6=Inputs!$B$12,Inputs!$B$7,0)+R89-R92</f>
        <v>344.96034696875</v>
      </c>
      <c r="S94" s="33" t="n">
        <f aca="false">R94+IF(Source_Data!S$6=Inputs!$B$12,Inputs!$B$7,0)+S89-S92</f>
        <v>213.762599489584</v>
      </c>
      <c r="T94" s="33" t="n">
        <f aca="false">S94+IF(Source_Data!T$6=Inputs!$B$12,Inputs!$B$7,0)+T89-T92</f>
        <v>216.945236479167</v>
      </c>
      <c r="U94" s="33" t="n">
        <f aca="false">T94+IF(Source_Data!U$6=Inputs!$B$12,Inputs!$B$7,0)+U89-U92</f>
        <v>218.46255734375</v>
      </c>
      <c r="V94" s="33" t="n">
        <f aca="false">U94+IF(Source_Data!V$6=Inputs!$B$12,Inputs!$B$7,0)+V89-V92</f>
        <v>213.392229833334</v>
      </c>
      <c r="W94" s="33" t="n">
        <f aca="false">V94+IF(Source_Data!W$6=Inputs!$B$12,Inputs!$B$7,0)+W89-W92</f>
        <v>203.546802322917</v>
      </c>
      <c r="X94" s="33" t="n">
        <f aca="false">W94+IF(Source_Data!X$6=Inputs!$B$12,Inputs!$B$7,0)+X89-X92</f>
        <v>216.2013748125</v>
      </c>
      <c r="Y94" s="33" t="n">
        <f aca="false">X94+IF(Source_Data!Y$6=Inputs!$B$12,Inputs!$B$7,0)+Y89-Y92</f>
        <v>240.01437334375</v>
      </c>
      <c r="Z94" s="33" t="n">
        <f aca="false">Y94+IF(Source_Data!Z$6=Inputs!$B$12,Inputs!$B$7,0)+Z89-Z92</f>
        <v>263.827371875</v>
      </c>
      <c r="AA94" s="33" t="n">
        <f aca="false">Z94+IF(Source_Data!AA$6=Inputs!$B$12,Inputs!$B$7,0)+AA89-AA92</f>
        <v>287.64037040625</v>
      </c>
      <c r="AB94" s="33" t="n">
        <f aca="false">AA94+IF(Source_Data!AB$6=Inputs!$B$12,Inputs!$B$7,0)+AB89-AB92</f>
        <v>327.5865689375</v>
      </c>
      <c r="AC94" s="33" t="n">
        <f aca="false">AB94+IF(Source_Data!AC$6=Inputs!$B$12,Inputs!$B$7,0)+AC89-AC92</f>
        <v>363.9290591875</v>
      </c>
      <c r="AD94" s="33" t="n">
        <f aca="false">AC94+IF(Source_Data!AD$6=Inputs!$B$12,Inputs!$B$7,0)+AD89-AD92</f>
        <v>396.3022475625</v>
      </c>
      <c r="AE94" s="33" t="n">
        <f aca="false">AD94+IF(Source_Data!AE$6=Inputs!$B$12,Inputs!$B$7,0)+AE89-AE92</f>
        <v>423.9003359375</v>
      </c>
      <c r="AF94" s="33" t="n">
        <f aca="false">AE94+IF(Source_Data!AF$6=Inputs!$B$12,Inputs!$B$7,0)+AF89-AF92</f>
        <v>286.536478367235</v>
      </c>
      <c r="AG94" s="33" t="n">
        <f aca="false">AF94+IF(Source_Data!AG$6=Inputs!$B$12,Inputs!$B$7,0)+AG89-AG92</f>
        <v>297.33114319894</v>
      </c>
      <c r="AH94" s="33" t="n">
        <f aca="false">AG94+IF(Source_Data!AH$6=Inputs!$B$12,Inputs!$B$7,0)+AH89-AH92</f>
        <v>308.125808030644</v>
      </c>
      <c r="AI94" s="33" t="n">
        <f aca="false">AH94+IF(Source_Data!AI$6=Inputs!$B$12,Inputs!$B$7,0)+AI89-AI92</f>
        <v>318.920472862348</v>
      </c>
      <c r="AJ94" s="33" t="n">
        <f aca="false">AI94+IF(Source_Data!AJ$6=Inputs!$B$12,Inputs!$B$7,0)+AJ89-AJ92</f>
        <v>329.715137694052</v>
      </c>
      <c r="AK94" s="33" t="n">
        <f aca="false">AJ94+IF(Source_Data!AK$6=Inputs!$B$12,Inputs!$B$7,0)+AK89-AK92</f>
        <v>339.57010403363</v>
      </c>
      <c r="AL94" s="33" t="n">
        <f aca="false">AK94+IF(Source_Data!AL$6=Inputs!$B$12,Inputs!$B$7,0)+AL89-AL92</f>
        <v>349.425070373208</v>
      </c>
      <c r="AM94" s="33" t="n">
        <f aca="false">AL94+IF(Source_Data!AM$6=Inputs!$B$12,Inputs!$B$7,0)+AM89-AM92</f>
        <v>357.487800168383</v>
      </c>
      <c r="AN94" s="33" t="n">
        <f aca="false">AM94+IF(Source_Data!AN$6=Inputs!$B$12,Inputs!$B$7,0)+AN89-AN92</f>
        <v>361.629477497655</v>
      </c>
      <c r="AO94" s="33" t="n">
        <f aca="false">AN94+IF(Source_Data!AO$6=Inputs!$B$12,Inputs!$B$7,0)+AO89-AO92</f>
        <v>363.16568025</v>
      </c>
      <c r="AP94" s="33" t="n">
        <f aca="false">AO94+IF(Source_Data!AP$6=Inputs!$B$12,Inputs!$B$7,0)+AP89-AP92</f>
        <v>363.16568025</v>
      </c>
      <c r="AQ94" s="33" t="n">
        <f aca="false">AP94+IF(Source_Data!AQ$6=Inputs!$B$12,Inputs!$B$7,0)+AQ89-AQ92</f>
        <v>363.16568025</v>
      </c>
      <c r="AR94" s="33" t="n">
        <f aca="false">AQ94+IF(Source_Data!AR$6=Inputs!$B$12,Inputs!$B$7,0)+AR89-AR92</f>
        <v>363.16568025</v>
      </c>
      <c r="AS94" s="33" t="n">
        <f aca="false">AR94+IF(Source_Data!AS$6=Inputs!$B$12,Inputs!$B$7,0)+AS89-AS92</f>
        <v>363.16568025</v>
      </c>
      <c r="AT94" s="33" t="n">
        <f aca="false">AS94+IF(Source_Data!AT$6=Inputs!$B$12,Inputs!$B$7,0)+AT89-AT92</f>
        <v>363.16568025</v>
      </c>
      <c r="AU94" s="33" t="n">
        <f aca="false">AT94+IF(Source_Data!AU$6=Inputs!$B$12,Inputs!$B$7,0)+AU89-AU92</f>
        <v>363.16568025</v>
      </c>
      <c r="AV94" s="33" t="n">
        <f aca="false">AU94+IF(Source_Data!AV$6=Inputs!$B$12,Inputs!$B$7,0)+AV89-AV92</f>
        <v>363.16568025</v>
      </c>
      <c r="AW94" s="33" t="n">
        <f aca="false">AV94+IF(Source_Data!AW$6=Inputs!$B$12,Inputs!$B$7,0)+AW89-AW92</f>
        <v>363.16568025</v>
      </c>
      <c r="AX94" s="33" t="n">
        <f aca="false">AW94+IF(Source_Data!AX$6=Inputs!$B$12,Inputs!$B$7,0)+AX89-AX92</f>
        <v>363.16568025</v>
      </c>
      <c r="AY94" s="33" t="n">
        <f aca="false">AX94+IF(Source_Data!AY$6=Inputs!$B$12,Inputs!$B$7,0)+AY89-AY92</f>
        <v>363.16568025</v>
      </c>
      <c r="AZ94" s="33" t="n">
        <f aca="false">AY94+IF(Source_Data!AZ$6=Inputs!$B$12,Inputs!$B$7,0)+AZ89-AZ92</f>
        <v>363.16568025</v>
      </c>
      <c r="BA94" s="33" t="n">
        <f aca="false">AZ94+IF(Source_Data!BA$6=Inputs!$B$12,Inputs!$B$7,0)+BA89-BA92</f>
        <v>363.16568025</v>
      </c>
      <c r="BB94" s="33" t="n">
        <f aca="false">BA94+IF(Source_Data!BB$6=Inputs!$B$12,Inputs!$B$7,0)+BB89-BB92</f>
        <v>363.16568025</v>
      </c>
      <c r="BC94" s="33" t="n">
        <f aca="false">BB94+IF(Source_Data!BC$6=Inputs!$B$12,Inputs!$B$7,0)+BC89-BC92</f>
        <v>363.16568025</v>
      </c>
      <c r="BD94" s="33" t="n">
        <f aca="false">BC94+IF(Source_Data!BD$6=Inputs!$B$12,Inputs!$B$7,0)+BD89-BD92</f>
        <v>363.16568025</v>
      </c>
      <c r="BE94" s="33" t="n">
        <f aca="false">BD94+IF(Source_Data!BE$6=Inputs!$B$12,Inputs!$B$7,0)+BE89-BE92</f>
        <v>363.16568025</v>
      </c>
      <c r="BF94" s="33" t="n">
        <f aca="false">BE94+IF(Source_Data!BF$6=Inputs!$B$12,Inputs!$B$7,0)+BF89-BF92</f>
        <v>363.16568025</v>
      </c>
      <c r="BG94" s="33" t="n">
        <f aca="false">BF94+IF(Source_Data!BG$6=Inputs!$B$12,Inputs!$B$7,0)+BG89-BG92</f>
        <v>363.16568025</v>
      </c>
      <c r="BH94" s="33" t="n">
        <f aca="false">BG94+IF(Source_Data!BH$6=Inputs!$B$12,Inputs!$B$7,0)+BH89-BH92</f>
        <v>363.16568025</v>
      </c>
      <c r="BI94" s="33" t="n">
        <f aca="false">BH94+IF(Source_Data!BI$6=Inputs!$B$12,Inputs!$B$7,0)+BI89-BI92</f>
        <v>363.16568025</v>
      </c>
      <c r="BJ94" s="33" t="n">
        <f aca="false">BI94+IF(Source_Data!BJ$6=Inputs!$B$12,Inputs!$B$7,0)+BJ89-BJ92</f>
        <v>363.16568025</v>
      </c>
      <c r="BK94" s="33" t="n">
        <f aca="false">BJ94+IF(Source_Data!BK$6=Inputs!$B$12,Inputs!$B$7,0)+BK89-BK92</f>
        <v>363.16568025</v>
      </c>
    </row>
    <row r="95" customFormat="false" ht="15" hidden="false" customHeight="false" outlineLevel="0" collapsed="false">
      <c r="A95" s="3" t="s">
        <v>344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n">
        <f aca="false">IF(M92&gt;0,M89/M92,"")</f>
        <v>24.5319566217391</v>
      </c>
      <c r="N95" s="31" t="n">
        <f aca="false">IF(N92&gt;0,N89/N92,"")</f>
        <v>8.17177116521739</v>
      </c>
      <c r="O95" s="31" t="n">
        <f aca="false">IF(O92&gt;0,O89/O92,"")</f>
        <v>7.65273855652174</v>
      </c>
      <c r="P95" s="31" t="n">
        <f aca="false">IF(P92&gt;0,P89/P92,"")</f>
        <v>-4.40483577391304</v>
      </c>
      <c r="Q95" s="31" t="n">
        <f aca="false">IF(Q92&gt;0,Q89/Q92,"")</f>
        <v>-5.98674335869565</v>
      </c>
      <c r="R95" s="31" t="n">
        <f aca="false">IF(R92&gt;0,R89/R92,"")</f>
        <v>-8.62674335869565</v>
      </c>
      <c r="S95" s="31" t="n">
        <f aca="false">IF(S92&gt;0,S89/S92,"")</f>
        <v>-5.84509986847826</v>
      </c>
      <c r="T95" s="31" t="n">
        <f aca="false">IF(T92&gt;0,T89/T92,"")</f>
        <v>1.16605062554348</v>
      </c>
      <c r="U95" s="31" t="n">
        <f aca="false">IF(U92&gt;0,U89/U92,"")</f>
        <v>1.07916456684783</v>
      </c>
      <c r="V95" s="31" t="n">
        <f aca="false">IF(V92&gt;0,V89/V92,"")</f>
        <v>0.735461173369566</v>
      </c>
      <c r="W95" s="31" t="n">
        <f aca="false">IF(W92&gt;0,W89/W92,"")</f>
        <v>0.486325521195652</v>
      </c>
      <c r="X95" s="31" t="n">
        <f aca="false">IF(X92&gt;0,X89/X92,"")</f>
        <v>1.66023856467391</v>
      </c>
      <c r="Y95" s="31" t="str">
        <f aca="false">IF(Y92&gt;0,Y89/Y92,"")</f>
        <v/>
      </c>
      <c r="Z95" s="31" t="str">
        <f aca="false">IF(Z92&gt;0,Z89/Z92,"")</f>
        <v/>
      </c>
      <c r="AA95" s="31" t="str">
        <f aca="false">IF(AA92&gt;0,AA89/AA92,"")</f>
        <v/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345</v>
      </c>
      <c r="D96" s="31" t="str">
        <f aca="false">IF(D92&gt;0,(0+D89+IF(Source_Data!D$6=Inputs!$B$12,Inputs!$B$7,0))/D92,"")</f>
        <v/>
      </c>
      <c r="E96" s="31" t="str">
        <f aca="false">IF(E92&gt;0,(D94+E89+IF(Source_Data!E$6=Inputs!$B$12,Inputs!$B$7,0))/E92,"")</f>
        <v/>
      </c>
      <c r="F96" s="31" t="str">
        <f aca="false">IF(F92&gt;0,(E94+F89+IF(Source_Data!F$6=Inputs!$B$12,Inputs!$B$7,0))/F92,"")</f>
        <v/>
      </c>
      <c r="G96" s="31" t="str">
        <f aca="false">IF(G92&gt;0,(F94+G89+IF(Source_Data!G$6=Inputs!$B$12,Inputs!$B$7,0))/G92,"")</f>
        <v/>
      </c>
      <c r="H96" s="31" t="str">
        <f aca="false">IF(H92&gt;0,(G94+H89+IF(Source_Data!H$6=Inputs!$B$12,Inputs!$B$7,0))/H92,"")</f>
        <v/>
      </c>
      <c r="I96" s="31" t="str">
        <f aca="false">IF(I92&gt;0,(H94+I89+IF(Source_Data!I$6=Inputs!$B$12,Inputs!$B$7,0))/I92,"")</f>
        <v/>
      </c>
      <c r="J96" s="31" t="str">
        <f aca="false">IF(J92&gt;0,(I94+J89+IF(Source_Data!J$6=Inputs!$B$12,Inputs!$B$7,0))/J92,"")</f>
        <v/>
      </c>
      <c r="K96" s="31" t="str">
        <f aca="false">IF(K92&gt;0,(J94+K89+IF(Source_Data!K$6=Inputs!$B$12,Inputs!$B$7,0))/K92,"")</f>
        <v/>
      </c>
      <c r="L96" s="31" t="str">
        <f aca="false">IF(L92&gt;0,(K94+L89+IF(Source_Data!L$6=Inputs!$B$12,Inputs!$B$7,0))/L92,"")</f>
        <v/>
      </c>
      <c r="M96" s="31" t="n">
        <f aca="false">IF(M92&gt;0,(L94+M89+IF(Source_Data!M$6=Inputs!$B$12,Inputs!$B$7,0))/M92,"")</f>
        <v>27.1917439157609</v>
      </c>
      <c r="N96" s="31" t="n">
        <f aca="false">IF(N92&gt;0,(M94+N89+IF(Source_Data!N$6=Inputs!$B$12,Inputs!$B$7,0))/N92,"")</f>
        <v>34.3635150809783</v>
      </c>
      <c r="O96" s="31" t="n">
        <f aca="false">IF(O92&gt;0,(N94+O89+IF(Source_Data!O$6=Inputs!$B$12,Inputs!$B$7,0))/O92,"")</f>
        <v>41.0162536375</v>
      </c>
      <c r="P96" s="31" t="n">
        <f aca="false">IF(P92&gt;0,(O94+P89+IF(Source_Data!P$6=Inputs!$B$12,Inputs!$B$7,0))/P92,"")</f>
        <v>35.611417863587</v>
      </c>
      <c r="Q96" s="31" t="n">
        <f aca="false">IF(Q92&gt;0,(P94+Q89+IF(Source_Data!Q$6=Inputs!$B$12,Inputs!$B$7,0))/Q92,"")</f>
        <v>28.6246745048913</v>
      </c>
      <c r="R96" s="31" t="n">
        <f aca="false">IF(R92&gt;0,(Q94+R89+IF(Source_Data!R$6=Inputs!$B$12,Inputs!$B$7,0))/R92,"")</f>
        <v>18.9979311461957</v>
      </c>
      <c r="S96" s="31" t="n">
        <f aca="false">IF(S92&gt;0,(R94+S89+IF(Source_Data!S$6=Inputs!$B$12,Inputs!$B$7,0))/S92,"")</f>
        <v>12.1528312777174</v>
      </c>
      <c r="T96" s="31" t="n">
        <f aca="false">IF(T92&gt;0,(S94+T89+IF(Source_Data!T$6=Inputs!$B$12,Inputs!$B$7,0))/T92,"")</f>
        <v>12.3188819032609</v>
      </c>
      <c r="U96" s="31" t="n">
        <f aca="false">IF(U92&gt;0,(T94+U89+IF(Source_Data!U$6=Inputs!$B$12,Inputs!$B$7,0))/U92,"")</f>
        <v>12.3980464701087</v>
      </c>
      <c r="V96" s="31" t="n">
        <f aca="false">IF(V92&gt;0,(U94+V89+IF(Source_Data!V$6=Inputs!$B$12,Inputs!$B$7,0))/V92,"")</f>
        <v>12.1335076434783</v>
      </c>
      <c r="W96" s="31" t="n">
        <f aca="false">IF(W92&gt;0,(V94+W89+IF(Source_Data!W$6=Inputs!$B$12,Inputs!$B$7,0))/W92,"")</f>
        <v>11.6198331646739</v>
      </c>
      <c r="X96" s="31" t="n">
        <f aca="false">IF(X92&gt;0,(W94+X89+IF(Source_Data!X$6=Inputs!$B$12,Inputs!$B$7,0))/X92,"")</f>
        <v>12.2800717293478</v>
      </c>
      <c r="Y96" s="31" t="str">
        <f aca="false">IF(Y92&gt;0,(X94+Y89+IF(Source_Data!Y$6=Inputs!$B$12,Inputs!$B$7,0))/Y92,"")</f>
        <v/>
      </c>
      <c r="Z96" s="31" t="str">
        <f aca="false">IF(Z92&gt;0,(Y94+Z89+IF(Source_Data!Z$6=Inputs!$B$12,Inputs!$B$7,0))/Z92,"")</f>
        <v/>
      </c>
      <c r="AA96" s="31" t="str">
        <f aca="false">IF(AA92&gt;0,(Z94+AA89+IF(Source_Data!AA$6=Inputs!$B$12,Inputs!$B$7,0))/AA92,"")</f>
        <v/>
      </c>
      <c r="AB96" s="31" t="str">
        <f aca="false">IF(AB92&gt;0,(AA94+AB89+IF(Source_Data!AB$6=Inputs!$B$12,Inputs!$B$7,0))/AB92,"")</f>
        <v/>
      </c>
      <c r="AC96" s="31" t="str">
        <f aca="false">IF(AC92&gt;0,(AB94+AC89+IF(Source_Data!AC$6=Inputs!$B$12,Inputs!$B$7,0))/AC92,"")</f>
        <v/>
      </c>
      <c r="AD96" s="31" t="str">
        <f aca="false">IF(AD92&gt;0,(AC94+AD89+IF(Source_Data!AD$6=Inputs!$B$12,Inputs!$B$7,0))/AD92,"")</f>
        <v/>
      </c>
      <c r="AE96" s="31" t="str">
        <f aca="false">IF(AE92&gt;0,(AD94+AE89+IF(Source_Data!AE$6=Inputs!$B$12,Inputs!$B$7,0))/AE92,"")</f>
        <v/>
      </c>
      <c r="AF96" s="31" t="str">
        <f aca="false">IF(AF92&gt;0,(AE94+AF89+IF(Source_Data!AF$6=Inputs!$B$12,Inputs!$B$7,0))/AF92,"")</f>
        <v/>
      </c>
      <c r="AG96" s="31" t="str">
        <f aca="false">IF(AG92&gt;0,(AF94+AG89+IF(Source_Data!AG$6=Inputs!$B$12,Inputs!$B$7,0))/AG92,"")</f>
        <v/>
      </c>
      <c r="AH96" s="31" t="str">
        <f aca="false">IF(AH92&gt;0,(AG94+AH89+IF(Source_Data!AH$6=Inputs!$B$12,Inputs!$B$7,0))/AH92,"")</f>
        <v/>
      </c>
      <c r="AI96" s="31" t="str">
        <f aca="false">IF(AI92&gt;0,(AH94+AI89+IF(Source_Data!AI$6=Inputs!$B$12,Inputs!$B$7,0))/AI92,"")</f>
        <v/>
      </c>
      <c r="AJ96" s="31" t="str">
        <f aca="false">IF(AJ92&gt;0,(AI94+AJ89+IF(Source_Data!AJ$6=Inputs!$B$12,Inputs!$B$7,0))/AJ92,"")</f>
        <v/>
      </c>
      <c r="AK96" s="31" t="str">
        <f aca="false">IF(AK92&gt;0,(AJ94+AK89+IF(Source_Data!AK$6=Inputs!$B$12,Inputs!$B$7,0))/AK92,"")</f>
        <v/>
      </c>
      <c r="AL96" s="31" t="str">
        <f aca="false">IF(AL92&gt;0,(AK94+AL89+IF(Source_Data!AL$6=Inputs!$B$12,Inputs!$B$7,0))/AL92,"")</f>
        <v/>
      </c>
      <c r="AM96" s="31" t="str">
        <f aca="false">IF(AM92&gt;0,(AL94+AM89+IF(Source_Data!AM$6=Inputs!$B$12,Inputs!$B$7,0))/AM92,"")</f>
        <v/>
      </c>
      <c r="AN96" s="31" t="str">
        <f aca="false">IF(AN92&gt;0,(AM94+AN89+IF(Source_Data!AN$6=Inputs!$B$12,Inputs!$B$7,0))/AN92,"")</f>
        <v/>
      </c>
      <c r="AO96" s="31" t="str">
        <f aca="false">IF(AO92&gt;0,(AN94+AO89+IF(Source_Data!AO$6=Inputs!$B$12,Inputs!$B$7,0))/AO92,"")</f>
        <v/>
      </c>
      <c r="AP96" s="31" t="str">
        <f aca="false">IF(AP92&gt;0,(AO94+AP89+IF(Source_Data!AP$6=Inputs!$B$12,Inputs!$B$7,0))/AP92,"")</f>
        <v/>
      </c>
      <c r="AQ96" s="31" t="str">
        <f aca="false">IF(AQ92&gt;0,(AP94+AQ89+IF(Source_Data!AQ$6=Inputs!$B$12,Inputs!$B$7,0))/AQ92,"")</f>
        <v/>
      </c>
      <c r="AR96" s="31" t="str">
        <f aca="false">IF(AR92&gt;0,(AQ94+AR89+IF(Source_Data!AR$6=Inputs!$B$12,Inputs!$B$7,0))/AR92,"")</f>
        <v/>
      </c>
      <c r="AS96" s="31" t="str">
        <f aca="false">IF(AS92&gt;0,(AR94+AS89+IF(Source_Data!AS$6=Inputs!$B$12,Inputs!$B$7,0))/AS92,"")</f>
        <v/>
      </c>
      <c r="AT96" s="31" t="str">
        <f aca="false">IF(AT92&gt;0,(AS94+AT89+IF(Source_Data!AT$6=Inputs!$B$12,Inputs!$B$7,0))/AT92,"")</f>
        <v/>
      </c>
      <c r="AU96" s="31" t="str">
        <f aca="false">IF(AU92&gt;0,(AT94+AU89+IF(Source_Data!AU$6=Inputs!$B$12,Inputs!$B$7,0))/AU92,"")</f>
        <v/>
      </c>
      <c r="AV96" s="31" t="str">
        <f aca="false">IF(AV92&gt;0,(AU94+AV89+IF(Source_Data!AV$6=Inputs!$B$12,Inputs!$B$7,0))/AV92,"")</f>
        <v/>
      </c>
      <c r="AW96" s="31" t="str">
        <f aca="false">IF(AW92&gt;0,(AV94+AW89+IF(Source_Data!AW$6=Inputs!$B$12,Inputs!$B$7,0))/AW92,"")</f>
        <v/>
      </c>
      <c r="AX96" s="31" t="str">
        <f aca="false">IF(AX92&gt;0,(AW94+AX89+IF(Source_Data!AX$6=Inputs!$B$12,Inputs!$B$7,0))/AX92,"")</f>
        <v/>
      </c>
      <c r="AY96" s="31" t="str">
        <f aca="false">IF(AY92&gt;0,(AX94+AY89+IF(Source_Data!AY$6=Inputs!$B$12,Inputs!$B$7,0))/AY92,"")</f>
        <v/>
      </c>
      <c r="AZ96" s="31" t="str">
        <f aca="false">IF(AZ92&gt;0,(AY94+AZ89+IF(Source_Data!AZ$6=Inputs!$B$12,Inputs!$B$7,0))/AZ92,"")</f>
        <v/>
      </c>
      <c r="BA96" s="31" t="str">
        <f aca="false">IF(BA92&gt;0,(AZ94+BA89+IF(Source_Data!BA$6=Inputs!$B$12,Inputs!$B$7,0))/BA92,"")</f>
        <v/>
      </c>
      <c r="BB96" s="31" t="str">
        <f aca="false">IF(BB92&gt;0,(BA94+BB89+IF(Source_Data!BB$6=Inputs!$B$12,Inputs!$B$7,0))/BB92,"")</f>
        <v/>
      </c>
      <c r="BC96" s="31" t="str">
        <f aca="false">IF(BC92&gt;0,(BB94+BC89+IF(Source_Data!BC$6=Inputs!$B$12,Inputs!$B$7,0))/BC92,"")</f>
        <v/>
      </c>
      <c r="BD96" s="31" t="str">
        <f aca="false">IF(BD92&gt;0,(BC94+BD89+IF(Source_Data!BD$6=Inputs!$B$12,Inputs!$B$7,0))/BD92,"")</f>
        <v/>
      </c>
      <c r="BE96" s="31" t="str">
        <f aca="false">IF(BE92&gt;0,(BD94+BE89+IF(Source_Data!BE$6=Inputs!$B$12,Inputs!$B$7,0))/BE92,"")</f>
        <v/>
      </c>
      <c r="BF96" s="31" t="str">
        <f aca="false">IF(BF92&gt;0,(BE94+BF89+IF(Source_Data!BF$6=Inputs!$B$12,Inputs!$B$7,0))/BF92,"")</f>
        <v/>
      </c>
      <c r="BG96" s="31" t="str">
        <f aca="false">IF(BG92&gt;0,(BF94+BG89+IF(Source_Data!BG$6=Inputs!$B$12,Inputs!$B$7,0))/BG92,"")</f>
        <v/>
      </c>
      <c r="BH96" s="31" t="str">
        <f aca="false">IF(BH92&gt;0,(BG94+BH89+IF(Source_Data!BH$6=Inputs!$B$12,Inputs!$B$7,0))/BH92,"")</f>
        <v/>
      </c>
      <c r="BI96" s="31" t="str">
        <f aca="false">IF(BI92&gt;0,(BH94+BI89+IF(Source_Data!BI$6=Inputs!$B$12,Inputs!$B$7,0))/BI92,"")</f>
        <v/>
      </c>
      <c r="BJ96" s="31" t="str">
        <f aca="false">IF(BJ92&gt;0,(BI94+BJ89+IF(Source_Data!BJ$6=Inputs!$B$12,Inputs!$B$7,0))/BJ92,"")</f>
        <v/>
      </c>
      <c r="BK96" s="31" t="str">
        <f aca="false">IF(BK92&gt;0,(BJ94+BK89+IF(Source_Data!BK$6=Inputs!$B$12,Inputs!$B$7,0))/BK92,"")</f>
        <v/>
      </c>
    </row>
    <row r="98" customFormat="false" ht="15" hidden="false" customHeight="false" outlineLevel="0" collapsed="false">
      <c r="A98" s="2" t="s">
        <v>220</v>
      </c>
      <c r="B98" s="41" t="n">
        <f aca="false">SUM(D89:BK89)</f>
        <v>493.16568025</v>
      </c>
    </row>
    <row r="99" customFormat="false" ht="15" hidden="false" customHeight="false" outlineLevel="0" collapsed="false">
      <c r="A99" s="2" t="s">
        <v>346</v>
      </c>
      <c r="B99" s="41" t="n">
        <f aca="false">SUMPRODUCT(D89:BK89,Project_CF!$D$15:$BK$15)</f>
        <v>314.581592958412</v>
      </c>
    </row>
    <row r="100" customFormat="false" ht="15" hidden="false" customHeight="false" outlineLevel="0" collapsed="false">
      <c r="A100" s="2" t="s">
        <v>162</v>
      </c>
      <c r="B100" s="41" t="n">
        <f aca="false">MIN(D90:BK90)</f>
        <v>-102.5</v>
      </c>
    </row>
    <row r="101" customFormat="false" ht="15" hidden="false" customHeight="false" outlineLevel="0" collapsed="false">
      <c r="A101" s="2" t="s">
        <v>347</v>
      </c>
      <c r="B101" s="35" t="n">
        <f aca="false">INDEX(Project_CF!$D$6:$BK$6,MATCH(MIN(D90:BK90),D90:BK90,0))</f>
        <v>6</v>
      </c>
    </row>
    <row r="102" customFormat="false" ht="15" hidden="false" customHeight="false" outlineLevel="0" collapsed="false">
      <c r="A102" s="2" t="s">
        <v>348</v>
      </c>
      <c r="B102" s="39" t="n">
        <f aca="false">(1+IRR(D91:BK91,0.05))^4-1</f>
        <v>0.291992838668679</v>
      </c>
    </row>
    <row r="103" customFormat="false" ht="15" hidden="false" customHeight="false" outlineLevel="0" collapsed="false">
      <c r="A103" s="2" t="s">
        <v>349</v>
      </c>
      <c r="B103" s="40" t="n">
        <f aca="false">SUMIF(D91:BK91,"&gt;0")/-SUMIF(D91:BK91,"&lt;0")</f>
        <v>3.05949820788531</v>
      </c>
    </row>
    <row r="104" customFormat="false" ht="15" hidden="false" customHeight="false" outlineLevel="0" collapsed="false">
      <c r="A104" s="2" t="s">
        <v>350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351</v>
      </c>
      <c r="B105" s="41" t="n">
        <f aca="false">MIN(D94:BK94)</f>
        <v>-2.5</v>
      </c>
    </row>
    <row r="106" customFormat="false" ht="15" hidden="false" customHeight="false" outlineLevel="0" collapsed="false">
      <c r="A106" s="2" t="s">
        <v>352</v>
      </c>
      <c r="B106" s="43" t="n">
        <f aca="false">MIN(D95:BK95)</f>
        <v>-8.62674335869565</v>
      </c>
    </row>
    <row r="107" customFormat="false" ht="15" hidden="false" customHeight="false" outlineLevel="0" collapsed="false">
      <c r="A107" s="2" t="s">
        <v>353</v>
      </c>
      <c r="B107" s="35" t="n">
        <f aca="false">COUNTIF(D95:BK95,"&lt;"&amp;Inputs!$B$43)</f>
        <v>8</v>
      </c>
    </row>
    <row r="108" customFormat="false" ht="15" hidden="false" customHeight="false" outlineLevel="0" collapsed="false">
      <c r="A108" s="2" t="s">
        <v>354</v>
      </c>
      <c r="B108" s="43" t="n">
        <f aca="false">MIN(D96:BK96)</f>
        <v>11.6198331646739</v>
      </c>
    </row>
    <row r="109" customFormat="false" ht="15" hidden="false" customHeight="false" outlineLevel="0" collapsed="false">
      <c r="A109" s="2" t="s">
        <v>355</v>
      </c>
      <c r="B109" s="35" t="n">
        <f aca="false">COUNTIF(D96:BK96,"&lt;"&amp;Inputs!$B$43)</f>
        <v>0</v>
      </c>
    </row>
    <row r="112" customFormat="false" ht="15" hidden="false" customHeight="false" outlineLevel="0" collapsed="false">
      <c r="A112" s="8" t="s">
        <v>361</v>
      </c>
    </row>
    <row r="113" customFormat="false" ht="15" hidden="false" customHeight="false" outlineLevel="0" collapsed="false">
      <c r="A113" s="3" t="s">
        <v>331</v>
      </c>
      <c r="B113" s="45" t="n">
        <v>1.2</v>
      </c>
    </row>
    <row r="114" customFormat="false" ht="15" hidden="false" customHeight="false" outlineLevel="0" collapsed="false">
      <c r="A114" s="3" t="s">
        <v>332</v>
      </c>
      <c r="B114" s="45" t="n">
        <v>0</v>
      </c>
    </row>
    <row r="115" customFormat="false" ht="15" hidden="false" customHeight="false" outlineLevel="0" collapsed="false">
      <c r="A115" s="3" t="s">
        <v>333</v>
      </c>
      <c r="B115" s="45" t="n">
        <v>1</v>
      </c>
    </row>
    <row r="116" customFormat="false" ht="15" hidden="false" customHeight="false" outlineLevel="0" collapsed="false">
      <c r="A116" s="3" t="s">
        <v>334</v>
      </c>
      <c r="B116" s="45" t="n">
        <v>0</v>
      </c>
    </row>
    <row r="117" customFormat="false" ht="15" hidden="false" customHeight="false" outlineLevel="0" collapsed="false">
      <c r="A117" s="3" t="s">
        <v>335</v>
      </c>
      <c r="B117" s="45" t="n">
        <v>0</v>
      </c>
    </row>
    <row r="118" customFormat="false" ht="15" hidden="false" customHeight="false" outlineLevel="0" collapsed="false">
      <c r="A118" s="3" t="s">
        <v>336</v>
      </c>
      <c r="B118" s="3" t="n">
        <f aca="false">Inputs!$B$13+3+3*$B$114</f>
        <v>51</v>
      </c>
    </row>
    <row r="119" customFormat="false" ht="15" hidden="false" customHeight="false" outlineLevel="0" collapsed="false">
      <c r="A119" s="3" t="s">
        <v>337</v>
      </c>
      <c r="D119" s="33" t="n">
        <f aca="false">Source_Data!D$7+IF($B$117=1,IF(Source_Data!D$6=Inputs!$B$13,Source_Data!$C$8,0),Source_Data!D$8)</f>
        <v>0</v>
      </c>
      <c r="E119" s="33" t="n">
        <f aca="false">Source_Data!E$7+IF($B$117=1,IF(Source_Data!E$6=Inputs!$B$13,Source_Data!$C$8,0),Source_Data!E$8)</f>
        <v>0</v>
      </c>
      <c r="F119" s="33" t="n">
        <f aca="false">Source_Data!F$7+IF($B$117=1,IF(Source_Data!F$6=Inputs!$B$13,Source_Data!$C$8,0),Source_Data!F$8)</f>
        <v>15.1392375</v>
      </c>
      <c r="G119" s="33" t="n">
        <f aca="false">Source_Data!G$7+IF($B$117=1,IF(Source_Data!G$6=Inputs!$B$13,Source_Data!$C$8,0),Source_Data!G$8)</f>
        <v>30.278475</v>
      </c>
      <c r="H119" s="33" t="n">
        <f aca="false">Source_Data!H$7+IF($B$117=1,IF(Source_Data!H$6=Inputs!$B$13,Source_Data!$C$8,0),Source_Data!H$8)</f>
        <v>46.51200625</v>
      </c>
      <c r="I119" s="33" t="n">
        <f aca="false">Source_Data!I$7+IF($B$117=1,IF(Source_Data!I$6=Inputs!$B$13,Source_Data!$C$8,0),Source_Data!I$8)</f>
        <v>62.7455375</v>
      </c>
      <c r="J119" s="33" t="n">
        <f aca="false">Source_Data!J$7+IF($B$117=1,IF(Source_Data!J$6=Inputs!$B$13,Source_Data!$C$8,0),Source_Data!J$8)</f>
        <v>62.3657</v>
      </c>
      <c r="K119" s="33" t="n">
        <f aca="false">Source_Data!K$7+IF($B$117=1,IF(Source_Data!K$6=Inputs!$B$13,Source_Data!$C$8,0),Source_Data!K$8)</f>
        <v>63.473559375</v>
      </c>
      <c r="L119" s="33" t="n">
        <f aca="false">Source_Data!L$7+IF($B$117=1,IF(Source_Data!L$6=Inputs!$B$13,Source_Data!$C$8,0),Source_Data!L$8)</f>
        <v>80.3288484375</v>
      </c>
      <c r="M119" s="33" t="n">
        <f aca="false">Source_Data!M$7+IF($B$117=1,IF(Source_Data!M$6=Inputs!$B$13,Source_Data!$C$8,0),Source_Data!M$8)</f>
        <v>495.2538375</v>
      </c>
      <c r="N119" s="33" t="n">
        <f aca="false">Source_Data!N$7+IF($B$117=1,IF(Source_Data!N$6=Inputs!$B$13,Source_Data!$C$8,0),Source_Data!N$8)</f>
        <v>185.57775</v>
      </c>
      <c r="O119" s="33" t="n">
        <f aca="false">Source_Data!O$7+IF($B$117=1,IF(Source_Data!O$6=Inputs!$B$13,Source_Data!$C$8,0),Source_Data!O$8)</f>
        <v>176.534</v>
      </c>
      <c r="P119" s="33" t="n">
        <f aca="false">Source_Data!P$7+IF($B$117=1,IF(Source_Data!P$6=Inputs!$B$13,Source_Data!$C$8,0),Source_Data!P$8)</f>
        <v>97.31075</v>
      </c>
      <c r="Q119" s="33" t="n">
        <f aca="false">Source_Data!Q$7+IF($B$117=1,IF(Source_Data!Q$6=Inputs!$B$13,Source_Data!$C$8,0),Source_Data!Q$8)</f>
        <v>71.30996875</v>
      </c>
      <c r="R119" s="33" t="n">
        <f aca="false">Source_Data!R$7+IF($B$117=1,IF(Source_Data!R$6=Inputs!$B$13,Source_Data!$C$8,0),Source_Data!R$8)</f>
        <v>71.30996875</v>
      </c>
      <c r="S119" s="33" t="n">
        <f aca="false">Source_Data!S$7+IF($B$117=1,IF(Source_Data!S$6=Inputs!$B$13,Source_Data!$C$8,0),Source_Data!S$8)</f>
        <v>68.037035625</v>
      </c>
      <c r="T119" s="33" t="n">
        <f aca="false">Source_Data!T$7+IF($B$117=1,IF(Source_Data!T$6=Inputs!$B$13,Source_Data!$C$8,0),Source_Data!T$8)</f>
        <v>61.2266396875</v>
      </c>
      <c r="U119" s="33" t="n">
        <f aca="false">Source_Data!U$7+IF($B$117=1,IF(Source_Data!U$6=Inputs!$B$13,Source_Data!$C$8,0),Source_Data!U$8)</f>
        <v>59.7127159375</v>
      </c>
      <c r="V119" s="33" t="n">
        <f aca="false">Source_Data!V$7+IF($B$117=1,IF(Source_Data!V$6=Inputs!$B$13,Source_Data!$C$8,0),Source_Data!V$8)</f>
        <v>53.7239446875</v>
      </c>
      <c r="W119" s="33" t="n">
        <f aca="false">Source_Data!W$7+IF($B$117=1,IF(Source_Data!W$6=Inputs!$B$13,Source_Data!$C$8,0),Source_Data!W$8)</f>
        <v>49.3829446875</v>
      </c>
      <c r="X119" s="33" t="n">
        <f aca="false">Source_Data!X$7+IF($B$117=1,IF(Source_Data!X$6=Inputs!$B$13,Source_Data!$C$8,0),Source_Data!X$8)</f>
        <v>49.3829446875</v>
      </c>
      <c r="Y119" s="33" t="n">
        <f aca="false">Source_Data!Y$7+IF($B$117=1,IF(Source_Data!Y$6=Inputs!$B$13,Source_Data!$C$8,0),Source_Data!Y$8)</f>
        <v>42.1027259375</v>
      </c>
      <c r="Z119" s="33" t="n">
        <f aca="false">Source_Data!Z$7+IF($B$117=1,IF(Source_Data!Z$6=Inputs!$B$13,Source_Data!$C$8,0),Source_Data!Z$8)</f>
        <v>42.1027259375</v>
      </c>
      <c r="AA119" s="33" t="n">
        <f aca="false">Source_Data!AA$7+IF($B$117=1,IF(Source_Data!AA$6=Inputs!$B$13,Source_Data!$C$8,0),Source_Data!AA$8)</f>
        <v>42.1027259375</v>
      </c>
      <c r="AB119" s="33" t="n">
        <f aca="false">Source_Data!AB$7+IF($B$117=1,IF(Source_Data!AB$6=Inputs!$B$13,Source_Data!$C$8,0),Source_Data!AB$8)</f>
        <v>36.3147259375</v>
      </c>
      <c r="AC119" s="33" t="n">
        <f aca="false">Source_Data!AC$7+IF($B$117=1,IF(Source_Data!AC$6=Inputs!$B$13,Source_Data!$C$8,0),Source_Data!AC$8)</f>
        <v>33.0386275</v>
      </c>
      <c r="AD119" s="33" t="n">
        <f aca="false">Source_Data!AD$7+IF($B$117=1,IF(Source_Data!AD$6=Inputs!$B$13,Source_Data!$C$8,0),Source_Data!AD$8)</f>
        <v>29.43017125</v>
      </c>
      <c r="AE119" s="33" t="n">
        <f aca="false">Source_Data!AE$7+IF($B$117=1,IF(Source_Data!AE$6=Inputs!$B$13,Source_Data!$C$8,0),Source_Data!AE$8)</f>
        <v>25.08917125</v>
      </c>
      <c r="AF119" s="33" t="n">
        <f aca="false">Source_Data!AF$7+IF($B$117=1,IF(Source_Data!AF$6=Inputs!$B$13,Source_Data!$C$8,0),Source_Data!AF$8)</f>
        <v>25.08917125</v>
      </c>
      <c r="AG119" s="33" t="n">
        <f aca="false">Source_Data!AG$7+IF($B$117=1,IF(Source_Data!AG$6=Inputs!$B$13,Source_Data!$C$8,0),Source_Data!AG$8)</f>
        <v>25.08917125</v>
      </c>
      <c r="AH119" s="33" t="n">
        <f aca="false">Source_Data!AH$7+IF($B$117=1,IF(Source_Data!AH$6=Inputs!$B$13,Source_Data!$C$8,0),Source_Data!AH$8)</f>
        <v>25.08917125</v>
      </c>
      <c r="AI119" s="33" t="n">
        <f aca="false">Source_Data!AI$7+IF($B$117=1,IF(Source_Data!AI$6=Inputs!$B$13,Source_Data!$C$8,0),Source_Data!AI$8)</f>
        <v>25.08917125</v>
      </c>
      <c r="AJ119" s="33" t="n">
        <f aca="false">Source_Data!AJ$7+IF($B$117=1,IF(Source_Data!AJ$6=Inputs!$B$13,Source_Data!$C$8,0),Source_Data!AJ$8)</f>
        <v>25.08917125</v>
      </c>
      <c r="AK119" s="33" t="n">
        <f aca="false">Source_Data!AK$7+IF($B$117=1,IF(Source_Data!AK$6=Inputs!$B$13,Source_Data!$C$8,0),Source_Data!AK$8)</f>
        <v>22.905105625</v>
      </c>
      <c r="AL119" s="33" t="n">
        <f aca="false">Source_Data!AL$7+IF($B$117=1,IF(Source_Data!AL$6=Inputs!$B$13,Source_Data!$C$8,0),Source_Data!AL$8)</f>
        <v>22.905105625</v>
      </c>
      <c r="AM119" s="33" t="n">
        <f aca="false">Source_Data!AM$7+IF($B$117=1,IF(Source_Data!AM$6=Inputs!$B$13,Source_Data!$C$8,0),Source_Data!AM$8)</f>
        <v>18.739554375</v>
      </c>
      <c r="AN119" s="33" t="n">
        <f aca="false">Source_Data!AN$7+IF($B$117=1,IF(Source_Data!AN$6=Inputs!$B$13,Source_Data!$C$8,0),Source_Data!AN$8)</f>
        <v>9.6261675</v>
      </c>
      <c r="AO119" s="33" t="n">
        <f aca="false">Source_Data!AO$7+IF($B$117=1,IF(Source_Data!AO$6=Inputs!$B$13,Source_Data!$C$8,0),Source_Data!AO$8)</f>
        <v>3.5704725</v>
      </c>
      <c r="AP119" s="33" t="n">
        <f aca="false">Source_Data!AP$7+IF($B$117=1,IF(Source_Data!AP$6=Inputs!$B$13,Source_Data!$C$8,0),Source_Data!AP$8)</f>
        <v>0</v>
      </c>
      <c r="AQ119" s="33" t="n">
        <f aca="false">Source_Data!AQ$7+IF($B$117=1,IF(Source_Data!AQ$6=Inputs!$B$13,Source_Data!$C$8,0),Source_Data!AQ$8)</f>
        <v>0</v>
      </c>
      <c r="AR119" s="33" t="n">
        <f aca="false">Source_Data!AR$7+IF($B$117=1,IF(Source_Data!AR$6=Inputs!$B$13,Source_Data!$C$8,0),Source_Data!AR$8)</f>
        <v>0</v>
      </c>
      <c r="AS119" s="33" t="n">
        <f aca="false">Source_Data!AS$7+IF($B$117=1,IF(Source_Data!AS$6=Inputs!$B$13,Source_Data!$C$8,0),Source_Data!AS$8)</f>
        <v>0</v>
      </c>
      <c r="AT119" s="33" t="n">
        <f aca="false">Source_Data!AT$7+IF($B$117=1,IF(Source_Data!AT$6=Inputs!$B$13,Source_Data!$C$8,0),Source_Data!AT$8)</f>
        <v>0</v>
      </c>
      <c r="AU119" s="33" t="n">
        <f aca="false">Source_Data!AU$7+IF($B$117=1,IF(Source_Data!AU$6=Inputs!$B$13,Source_Data!$C$8,0),Source_Data!AU$8)</f>
        <v>0</v>
      </c>
      <c r="AV119" s="33" t="n">
        <f aca="false">Source_Data!AV$7+IF($B$117=1,IF(Source_Data!AV$6=Inputs!$B$13,Source_Data!$C$8,0),Source_Data!AV$8)</f>
        <v>0</v>
      </c>
      <c r="AW119" s="33" t="n">
        <f aca="false">Source_Data!AW$7+IF($B$117=1,IF(Source_Data!AW$6=Inputs!$B$13,Source_Data!$C$8,0),Source_Data!AW$8)</f>
        <v>0</v>
      </c>
      <c r="AX119" s="33" t="n">
        <f aca="false">Source_Data!AX$7+IF($B$117=1,IF(Source_Data!AX$6=Inputs!$B$13,Source_Data!$C$8,0),Source_Data!AX$8)</f>
        <v>0</v>
      </c>
      <c r="AY119" s="33" t="n">
        <f aca="false">Source_Data!AY$7+IF($B$117=1,IF(Source_Data!AY$6=Inputs!$B$13,Source_Data!$C$8,0),Source_Data!AY$8)</f>
        <v>0</v>
      </c>
      <c r="AZ119" s="33" t="n">
        <f aca="false">Source_Data!AZ$7+IF($B$117=1,IF(Source_Data!AZ$6=Inputs!$B$13,Source_Data!$C$8,0),Source_Data!AZ$8)</f>
        <v>0</v>
      </c>
      <c r="BA119" s="33" t="n">
        <f aca="false">Source_Data!BA$7+IF($B$117=1,IF(Source_Data!BA$6=Inputs!$B$13,Source_Data!$C$8,0),Source_Data!BA$8)</f>
        <v>0</v>
      </c>
      <c r="BB119" s="33" t="n">
        <f aca="false">Source_Data!BB$7+IF($B$117=1,IF(Source_Data!BB$6=Inputs!$B$13,Source_Data!$C$8,0),Source_Data!BB$8)</f>
        <v>0</v>
      </c>
      <c r="BC119" s="33" t="n">
        <f aca="false">Source_Data!BC$7+IF($B$117=1,IF(Source_Data!BC$6=Inputs!$B$13,Source_Data!$C$8,0),Source_Data!BC$8)</f>
        <v>0</v>
      </c>
      <c r="BD119" s="33" t="n">
        <f aca="false">Source_Data!BD$7+IF($B$117=1,IF(Source_Data!BD$6=Inputs!$B$13,Source_Data!$C$8,0),Source_Data!BD$8)</f>
        <v>0</v>
      </c>
      <c r="BE119" s="33" t="n">
        <f aca="false">Source_Data!BE$7+IF($B$117=1,IF(Source_Data!BE$6=Inputs!$B$13,Source_Data!$C$8,0),Source_Data!BE$8)</f>
        <v>0</v>
      </c>
      <c r="BF119" s="33" t="n">
        <f aca="false">Source_Data!BF$7+IF($B$117=1,IF(Source_Data!BF$6=Inputs!$B$13,Source_Data!$C$8,0),Source_Data!BF$8)</f>
        <v>0</v>
      </c>
      <c r="BG119" s="33" t="n">
        <f aca="false">Source_Data!BG$7+IF($B$117=1,IF(Source_Data!BG$6=Inputs!$B$13,Source_Data!$C$8,0),Source_Data!BG$8)</f>
        <v>0</v>
      </c>
      <c r="BH119" s="33" t="n">
        <f aca="false">Source_Data!BH$7+IF($B$117=1,IF(Source_Data!BH$6=Inputs!$B$13,Source_Data!$C$8,0),Source_Data!BH$8)</f>
        <v>0</v>
      </c>
      <c r="BI119" s="33" t="n">
        <f aca="false">Source_Data!BI$7+IF($B$117=1,IF(Source_Data!BI$6=Inputs!$B$13,Source_Data!$C$8,0),Source_Data!BI$8)</f>
        <v>0</v>
      </c>
      <c r="BJ119" s="33" t="n">
        <f aca="false">Source_Data!BJ$7+IF($B$117=1,IF(Source_Data!BJ$6=Inputs!$B$13,Source_Data!$C$8,0),Source_Data!BJ$8)</f>
        <v>0</v>
      </c>
      <c r="BK119" s="33" t="n">
        <f aca="false">Source_Data!BK$7+IF($B$117=1,IF(Source_Data!BK$6=Inputs!$B$13,Source_Data!$C$8,0),Source_Data!BK$8)</f>
        <v>0</v>
      </c>
    </row>
    <row r="120" customFormat="false" ht="15" hidden="false" customHeight="false" outlineLevel="0" collapsed="false">
      <c r="A120" s="3" t="s">
        <v>338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18.167085</v>
      </c>
      <c r="G120" s="33" t="n">
        <f aca="false">$B$113*IF(Source_Data!G$5-($B$114+$B$116)&gt;=1,INDEX($D$119:$BK$119,1,Source_Data!G$5-($B$114+$B$116)),0)</f>
        <v>36.33417</v>
      </c>
      <c r="H120" s="33" t="n">
        <f aca="false">$B$113*IF(Source_Data!H$5-($B$114+$B$116)&gt;=1,INDEX($D$119:$BK$119,1,Source_Data!H$5-($B$114+$B$116)),0)</f>
        <v>55.8144075</v>
      </c>
      <c r="I120" s="33" t="n">
        <f aca="false">$B$113*IF(Source_Data!I$5-($B$114+$B$116)&gt;=1,INDEX($D$119:$BK$119,1,Source_Data!I$5-($B$114+$B$116)),0)</f>
        <v>75.294645</v>
      </c>
      <c r="J120" s="33" t="n">
        <f aca="false">$B$113*IF(Source_Data!J$5-($B$114+$B$116)&gt;=1,INDEX($D$119:$BK$119,1,Source_Data!J$5-($B$114+$B$116)),0)</f>
        <v>74.83884</v>
      </c>
      <c r="K120" s="33" t="n">
        <f aca="false">$B$113*IF(Source_Data!K$5-($B$114+$B$116)&gt;=1,INDEX($D$119:$BK$119,1,Source_Data!K$5-($B$114+$B$116)),0)</f>
        <v>76.16827125</v>
      </c>
      <c r="L120" s="33" t="n">
        <f aca="false">$B$113*IF(Source_Data!L$5-($B$114+$B$116)&gt;=1,INDEX($D$119:$BK$119,1,Source_Data!L$5-($B$114+$B$116)),0)</f>
        <v>96.394618125</v>
      </c>
      <c r="M120" s="33" t="n">
        <f aca="false">$B$113*IF(Source_Data!M$5-($B$114+$B$116)&gt;=1,INDEX($D$119:$BK$119,1,Source_Data!M$5-($B$114+$B$116)),0)</f>
        <v>594.304605</v>
      </c>
      <c r="N120" s="33" t="n">
        <f aca="false">$B$113*IF(Source_Data!N$5-($B$114+$B$116)&gt;=1,INDEX($D$119:$BK$119,1,Source_Data!N$5-($B$114+$B$116)),0)</f>
        <v>222.6933</v>
      </c>
      <c r="O120" s="33" t="n">
        <f aca="false">$B$113*IF(Source_Data!O$5-($B$114+$B$116)&gt;=1,INDEX($D$119:$BK$119,1,Source_Data!O$5-($B$114+$B$116)),0)</f>
        <v>211.8408</v>
      </c>
      <c r="P120" s="33" t="n">
        <f aca="false">$B$113*IF(Source_Data!P$5-($B$114+$B$116)&gt;=1,INDEX($D$119:$BK$119,1,Source_Data!P$5-($B$114+$B$116)),0)</f>
        <v>116.7729</v>
      </c>
      <c r="Q120" s="33" t="n">
        <f aca="false">$B$113*IF(Source_Data!Q$5-($B$114+$B$116)&gt;=1,INDEX($D$119:$BK$119,1,Source_Data!Q$5-($B$114+$B$116)),0)</f>
        <v>85.5719625</v>
      </c>
      <c r="R120" s="33" t="n">
        <f aca="false">$B$113*IF(Source_Data!R$5-($B$114+$B$116)&gt;=1,INDEX($D$119:$BK$119,1,Source_Data!R$5-($B$114+$B$116)),0)</f>
        <v>85.5719625</v>
      </c>
      <c r="S120" s="33" t="n">
        <f aca="false">$B$113*IF(Source_Data!S$5-($B$114+$B$116)&gt;=1,INDEX($D$119:$BK$119,1,Source_Data!S$5-($B$114+$B$116)),0)</f>
        <v>81.64444275</v>
      </c>
      <c r="T120" s="33" t="n">
        <f aca="false">$B$113*IF(Source_Data!T$5-($B$114+$B$116)&gt;=1,INDEX($D$119:$BK$119,1,Source_Data!T$5-($B$114+$B$116)),0)</f>
        <v>73.471967625</v>
      </c>
      <c r="U120" s="33" t="n">
        <f aca="false">$B$113*IF(Source_Data!U$5-($B$114+$B$116)&gt;=1,INDEX($D$119:$BK$119,1,Source_Data!U$5-($B$114+$B$116)),0)</f>
        <v>71.655259125</v>
      </c>
      <c r="V120" s="33" t="n">
        <f aca="false">$B$113*IF(Source_Data!V$5-($B$114+$B$116)&gt;=1,INDEX($D$119:$BK$119,1,Source_Data!V$5-($B$114+$B$116)),0)</f>
        <v>64.468733625</v>
      </c>
      <c r="W120" s="33" t="n">
        <f aca="false">$B$113*IF(Source_Data!W$5-($B$114+$B$116)&gt;=1,INDEX($D$119:$BK$119,1,Source_Data!W$5-($B$114+$B$116)),0)</f>
        <v>59.259533625</v>
      </c>
      <c r="X120" s="33" t="n">
        <f aca="false">$B$113*IF(Source_Data!X$5-($B$114+$B$116)&gt;=1,INDEX($D$119:$BK$119,1,Source_Data!X$5-($B$114+$B$116)),0)</f>
        <v>59.259533625</v>
      </c>
      <c r="Y120" s="33" t="n">
        <f aca="false">$B$113*IF(Source_Data!Y$5-($B$114+$B$116)&gt;=1,INDEX($D$119:$BK$119,1,Source_Data!Y$5-($B$114+$B$116)),0)</f>
        <v>50.523271125</v>
      </c>
      <c r="Z120" s="33" t="n">
        <f aca="false">$B$113*IF(Source_Data!Z$5-($B$114+$B$116)&gt;=1,INDEX($D$119:$BK$119,1,Source_Data!Z$5-($B$114+$B$116)),0)</f>
        <v>50.523271125</v>
      </c>
      <c r="AA120" s="33" t="n">
        <f aca="false">$B$113*IF(Source_Data!AA$5-($B$114+$B$116)&gt;=1,INDEX($D$119:$BK$119,1,Source_Data!AA$5-($B$114+$B$116)),0)</f>
        <v>50.523271125</v>
      </c>
      <c r="AB120" s="33" t="n">
        <f aca="false">$B$113*IF(Source_Data!AB$5-($B$114+$B$116)&gt;=1,INDEX($D$119:$BK$119,1,Source_Data!AB$5-($B$114+$B$116)),0)</f>
        <v>43.577671125</v>
      </c>
      <c r="AC120" s="33" t="n">
        <f aca="false">$B$113*IF(Source_Data!AC$5-($B$114+$B$116)&gt;=1,INDEX($D$119:$BK$119,1,Source_Data!AC$5-($B$114+$B$116)),0)</f>
        <v>39.646353</v>
      </c>
      <c r="AD120" s="33" t="n">
        <f aca="false">$B$113*IF(Source_Data!AD$5-($B$114+$B$116)&gt;=1,INDEX($D$119:$BK$119,1,Source_Data!AD$5-($B$114+$B$116)),0)</f>
        <v>35.3162055</v>
      </c>
      <c r="AE120" s="33" t="n">
        <f aca="false">$B$113*IF(Source_Data!AE$5-($B$114+$B$116)&gt;=1,INDEX($D$119:$BK$119,1,Source_Data!AE$5-($B$114+$B$116)),0)</f>
        <v>30.1070055</v>
      </c>
      <c r="AF120" s="33" t="n">
        <f aca="false">$B$113*IF(Source_Data!AF$5-($B$114+$B$116)&gt;=1,INDEX($D$119:$BK$119,1,Source_Data!AF$5-($B$114+$B$116)),0)</f>
        <v>30.1070055</v>
      </c>
      <c r="AG120" s="33" t="n">
        <f aca="false">$B$113*IF(Source_Data!AG$5-($B$114+$B$116)&gt;=1,INDEX($D$119:$BK$119,1,Source_Data!AG$5-($B$114+$B$116)),0)</f>
        <v>30.1070055</v>
      </c>
      <c r="AH120" s="33" t="n">
        <f aca="false">$B$113*IF(Source_Data!AH$5-($B$114+$B$116)&gt;=1,INDEX($D$119:$BK$119,1,Source_Data!AH$5-($B$114+$B$116)),0)</f>
        <v>30.1070055</v>
      </c>
      <c r="AI120" s="33" t="n">
        <f aca="false">$B$113*IF(Source_Data!AI$5-($B$114+$B$116)&gt;=1,INDEX($D$119:$BK$119,1,Source_Data!AI$5-($B$114+$B$116)),0)</f>
        <v>30.1070055</v>
      </c>
      <c r="AJ120" s="33" t="n">
        <f aca="false">$B$113*IF(Source_Data!AJ$5-($B$114+$B$116)&gt;=1,INDEX($D$119:$BK$119,1,Source_Data!AJ$5-($B$114+$B$116)),0)</f>
        <v>30.1070055</v>
      </c>
      <c r="AK120" s="33" t="n">
        <f aca="false">$B$113*IF(Source_Data!AK$5-($B$114+$B$116)&gt;=1,INDEX($D$119:$BK$119,1,Source_Data!AK$5-($B$114+$B$116)),0)</f>
        <v>27.48612675</v>
      </c>
      <c r="AL120" s="33" t="n">
        <f aca="false">$B$113*IF(Source_Data!AL$5-($B$114+$B$116)&gt;=1,INDEX($D$119:$BK$119,1,Source_Data!AL$5-($B$114+$B$116)),0)</f>
        <v>27.48612675</v>
      </c>
      <c r="AM120" s="33" t="n">
        <f aca="false">$B$113*IF(Source_Data!AM$5-($B$114+$B$116)&gt;=1,INDEX($D$119:$BK$119,1,Source_Data!AM$5-($B$114+$B$116)),0)</f>
        <v>22.48746525</v>
      </c>
      <c r="AN120" s="33" t="n">
        <f aca="false">$B$113*IF(Source_Data!AN$5-($B$114+$B$116)&gt;=1,INDEX($D$119:$BK$119,1,Source_Data!AN$5-($B$114+$B$116)),0)</f>
        <v>11.551401</v>
      </c>
      <c r="AO120" s="33" t="n">
        <f aca="false">$B$113*IF(Source_Data!AO$5-($B$114+$B$116)&gt;=1,INDEX($D$119:$BK$119,1,Source_Data!AO$5-($B$114+$B$116)),0)</f>
        <v>4.284567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339</v>
      </c>
      <c r="D121" s="33" t="n">
        <f aca="false">Source_Data!D$9+Source_Data!D$10*IF(Source_Data!$C$10=0,0,MAX(0,Inputs!$B$19*Inputs!$B$22*$B$113-Inputs!$B$20)/Source_Data!$C$10)</f>
        <v>91.25</v>
      </c>
      <c r="E121" s="33" t="n">
        <f aca="false">Source_Data!E$9+Source_Data!E$10*IF(Source_Data!$C$10=0,0,MAX(0,Inputs!$B$19*Inputs!$B$22*$B$113-Inputs!$B$20)/Source_Data!$C$10)</f>
        <v>11.25</v>
      </c>
      <c r="F121" s="33" t="n">
        <f aca="false">Source_Data!F$9+Source_Data!F$10*IF(Source_Data!$C$10=0,0,MAX(0,Inputs!$B$19*Inputs!$B$22*$B$113-Inputs!$B$20)/Source_Data!$C$10)</f>
        <v>11.25</v>
      </c>
      <c r="G121" s="33" t="n">
        <f aca="false">Source_Data!G$9+Source_Data!G$10*IF(Source_Data!$C$10=0,0,MAX(0,Inputs!$B$19*Inputs!$B$22*$B$113-Inputs!$B$20)/Source_Data!$C$10)</f>
        <v>11.25</v>
      </c>
      <c r="H121" s="33" t="n">
        <f aca="false">Source_Data!H$9+Source_Data!H$10*IF(Source_Data!$C$10=0,0,MAX(0,Inputs!$B$19*Inputs!$B$22*$B$113-Inputs!$B$20)/Source_Data!$C$10)</f>
        <v>22.5</v>
      </c>
      <c r="I121" s="33" t="n">
        <f aca="false">Source_Data!I$9+Source_Data!I$10*IF(Source_Data!$C$10=0,0,MAX(0,Inputs!$B$19*Inputs!$B$22*$B$113-Inputs!$B$20)/Source_Data!$C$10)</f>
        <v>22.5</v>
      </c>
      <c r="J121" s="33" t="n">
        <f aca="false">Source_Data!J$9+Source_Data!J$10*IF(Source_Data!$C$10=0,0,MAX(0,Inputs!$B$19*Inputs!$B$22*$B$113-Inputs!$B$20)/Source_Data!$C$10)</f>
        <v>22.5</v>
      </c>
      <c r="K121" s="33" t="n">
        <f aca="false">Source_Data!K$9+Source_Data!K$10*IF(Source_Data!$C$10=0,0,MAX(0,Inputs!$B$19*Inputs!$B$22*$B$113-Inputs!$B$20)/Source_Data!$C$10)</f>
        <v>22.5</v>
      </c>
      <c r="L121" s="33" t="n">
        <f aca="false">Source_Data!L$9+Source_Data!L$10*IF(Source_Data!$C$10=0,0,MAX(0,Inputs!$B$19*Inputs!$B$22*$B$113-Inputs!$B$20)/Source_Data!$C$10)</f>
        <v>33.75</v>
      </c>
      <c r="M121" s="33" t="n">
        <f aca="false">Source_Data!M$9+Source_Data!M$10*IF(Source_Data!$C$10=0,0,MAX(0,Inputs!$B$19*Inputs!$B$22*$B$113-Inputs!$B$20)/Source_Data!$C$10)</f>
        <v>33.75</v>
      </c>
      <c r="N121" s="33" t="n">
        <f aca="false">Source_Data!N$9+Source_Data!N$10*IF(Source_Data!$C$10=0,0,MAX(0,Inputs!$B$19*Inputs!$B$22*$B$113-Inputs!$B$20)/Source_Data!$C$10)</f>
        <v>33.75</v>
      </c>
      <c r="O121" s="33" t="n">
        <f aca="false">Source_Data!O$9+Source_Data!O$10*IF(Source_Data!$C$10=0,0,MAX(0,Inputs!$B$19*Inputs!$B$22*$B$113-Inputs!$B$20)/Source_Data!$C$10)</f>
        <v>33.75</v>
      </c>
      <c r="P121" s="33" t="n">
        <f aca="false">Source_Data!P$9+Source_Data!P$10*IF(Source_Data!$C$10=0,0,MAX(0,Inputs!$B$19*Inputs!$B$22*$B$113-Inputs!$B$20)/Source_Data!$C$10)</f>
        <v>45</v>
      </c>
      <c r="Q121" s="33" t="n">
        <f aca="false">Source_Data!Q$9+Source_Data!Q$10*IF(Source_Data!$C$10=0,0,MAX(0,Inputs!$B$19*Inputs!$B$22*$B$113-Inputs!$B$20)/Source_Data!$C$10)</f>
        <v>45</v>
      </c>
      <c r="R121" s="33" t="n">
        <f aca="false">Source_Data!R$9+Source_Data!R$10*IF(Source_Data!$C$10=0,0,MAX(0,Inputs!$B$19*Inputs!$B$22*$B$113-Inputs!$B$20)/Source_Data!$C$10)</f>
        <v>45</v>
      </c>
      <c r="S121" s="33" t="n">
        <f aca="false">Source_Data!S$9+Source_Data!S$10*IF(Source_Data!$C$10=0,0,MAX(0,Inputs!$B$19*Inputs!$B$22*$B$113-Inputs!$B$20)/Source_Data!$C$10)</f>
        <v>45</v>
      </c>
      <c r="T121" s="33" t="n">
        <f aca="false">Source_Data!T$9+Source_Data!T$10*IF(Source_Data!$C$10=0,0,MAX(0,Inputs!$B$19*Inputs!$B$22*$B$113-Inputs!$B$20)/Source_Data!$C$10)</f>
        <v>45</v>
      </c>
      <c r="U121" s="33" t="n">
        <f aca="false">Source_Data!U$9+Source_Data!U$10*IF(Source_Data!$C$10=0,0,MAX(0,Inputs!$B$19*Inputs!$B$22*$B$113-Inputs!$B$20)/Source_Data!$C$10)</f>
        <v>45</v>
      </c>
      <c r="V121" s="33" t="n">
        <f aca="false">Source_Data!V$9+Source_Data!V$10*IF(Source_Data!$C$10=0,0,MAX(0,Inputs!$B$19*Inputs!$B$22*$B$113-Inputs!$B$20)/Source_Data!$C$10)</f>
        <v>45</v>
      </c>
      <c r="W121" s="33" t="n">
        <f aca="false">Source_Data!W$9+Source_Data!W$10*IF(Source_Data!$C$10=0,0,MAX(0,Inputs!$B$19*Inputs!$B$22*$B$113-Inputs!$B$20)/Source_Data!$C$10)</f>
        <v>45</v>
      </c>
      <c r="X121" s="33" t="n">
        <f aca="false">Source_Data!X$9+Source_Data!X$10*IF(Source_Data!$C$10=0,0,MAX(0,Inputs!$B$19*Inputs!$B$22*$B$113-Inputs!$B$20)/Source_Data!$C$10)</f>
        <v>22.5</v>
      </c>
      <c r="Y121" s="33" t="n">
        <f aca="false">Source_Data!Y$9+Source_Data!Y$10*IF(Source_Data!$C$10=0,0,MAX(0,Inputs!$B$19*Inputs!$B$22*$B$113-Inputs!$B$20)/Source_Data!$C$10)</f>
        <v>22.5</v>
      </c>
      <c r="Z121" s="33" t="n">
        <f aca="false">Source_Data!Z$9+Source_Data!Z$10*IF(Source_Data!$C$10=0,0,MAX(0,Inputs!$B$19*Inputs!$B$22*$B$113-Inputs!$B$20)/Source_Data!$C$10)</f>
        <v>22.5</v>
      </c>
      <c r="AA121" s="33" t="n">
        <f aca="false">Source_Data!AA$9+Source_Data!AA$10*IF(Source_Data!$C$10=0,0,MAX(0,Inputs!$B$19*Inputs!$B$22*$B$113-Inputs!$B$20)/Source_Data!$C$10)</f>
        <v>22.5</v>
      </c>
      <c r="AB121" s="33" t="n">
        <f aca="false">Source_Data!AB$9+Source_Data!AB$10*IF(Source_Data!$C$10=0,0,MAX(0,Inputs!$B$19*Inputs!$B$22*$B$113-Inputs!$B$20)/Source_Data!$C$10)</f>
        <v>0</v>
      </c>
      <c r="AC121" s="33" t="n">
        <f aca="false">Source_Data!AC$9+Source_Data!AC$10*IF(Source_Data!$C$10=0,0,MAX(0,Inputs!$B$19*Inputs!$B$22*$B$113-Inputs!$B$20)/Source_Data!$C$10)</f>
        <v>0</v>
      </c>
      <c r="AD121" s="33" t="n">
        <f aca="false">Source_Data!AD$9+Source_Data!AD$10*IF(Source_Data!$C$10=0,0,MAX(0,Inputs!$B$19*Inputs!$B$22*$B$113-Inputs!$B$20)/Source_Data!$C$10)</f>
        <v>0</v>
      </c>
      <c r="AE121" s="33" t="n">
        <f aca="false">Source_Data!AE$9+Source_Data!AE$10*IF(Source_Data!$C$10=0,0,MAX(0,Inputs!$B$19*Inputs!$B$22*$B$113-Inputs!$B$20)/Source_Data!$C$10)</f>
        <v>0</v>
      </c>
      <c r="AF121" s="33" t="n">
        <f aca="false">Source_Data!AF$9+Source_Data!AF$10*IF(Source_Data!$C$10=0,0,MAX(0,Inputs!$B$19*Inputs!$B$22*$B$113-Inputs!$B$20)/Source_Data!$C$10)</f>
        <v>222.165681538967</v>
      </c>
      <c r="AG121" s="33" t="n">
        <f aca="false">Source_Data!AG$9+Source_Data!AG$10*IF(Source_Data!$C$10=0,0,MAX(0,Inputs!$B$19*Inputs!$B$22*$B$113-Inputs!$B$20)/Source_Data!$C$10)</f>
        <v>22.6303346647167</v>
      </c>
      <c r="AH121" s="33" t="n">
        <f aca="false">Source_Data!AH$9+Source_Data!AH$10*IF(Source_Data!$C$10=0,0,MAX(0,Inputs!$B$19*Inputs!$B$22*$B$113-Inputs!$B$20)/Source_Data!$C$10)</f>
        <v>22.6303346647167</v>
      </c>
      <c r="AI121" s="33" t="n">
        <f aca="false">Source_Data!AI$9+Source_Data!AI$10*IF(Source_Data!$C$10=0,0,MAX(0,Inputs!$B$19*Inputs!$B$22*$B$113-Inputs!$B$20)/Source_Data!$C$10)</f>
        <v>22.6303346647167</v>
      </c>
      <c r="AJ121" s="33" t="n">
        <f aca="false">Source_Data!AJ$9+Source_Data!AJ$10*IF(Source_Data!$C$10=0,0,MAX(0,Inputs!$B$19*Inputs!$B$22*$B$113-Inputs!$B$20)/Source_Data!$C$10)</f>
        <v>22.6303346647167</v>
      </c>
      <c r="AK121" s="33" t="n">
        <f aca="false">Source_Data!AK$9+Source_Data!AK$10*IF(Source_Data!$C$10=0,0,MAX(0,Inputs!$B$19*Inputs!$B$22*$B$113-Inputs!$B$20)/Source_Data!$C$10)</f>
        <v>20.6603159849066</v>
      </c>
      <c r="AL121" s="33" t="n">
        <f aca="false">Source_Data!AL$9+Source_Data!AL$10*IF(Source_Data!$C$10=0,0,MAX(0,Inputs!$B$19*Inputs!$B$22*$B$113-Inputs!$B$20)/Source_Data!$C$10)</f>
        <v>20.6603159849066</v>
      </c>
      <c r="AM121" s="33" t="n">
        <f aca="false">Source_Data!AM$9+Source_Data!AM$10*IF(Source_Data!$C$10=0,0,MAX(0,Inputs!$B$19*Inputs!$B$22*$B$113-Inputs!$B$20)/Source_Data!$C$10)</f>
        <v>16.9030049955877</v>
      </c>
      <c r="AN121" s="33" t="n">
        <f aca="false">Source_Data!AN$9+Source_Data!AN$10*IF(Source_Data!$C$10=0,0,MAX(0,Inputs!$B$19*Inputs!$B$22*$B$113-Inputs!$B$20)/Source_Data!$C$10)</f>
        <v>8.68276556020633</v>
      </c>
      <c r="AO121" s="33" t="n">
        <f aca="false">Source_Data!AO$9+Source_Data!AO$10*IF(Source_Data!$C$10=0,0,MAX(0,Inputs!$B$19*Inputs!$B$22*$B$113-Inputs!$B$20)/Source_Data!$C$10)</f>
        <v>3.22055227655906</v>
      </c>
      <c r="AP121" s="33" t="n">
        <f aca="false">Source_Data!AP$9+Source_Data!AP$10*IF(Source_Data!$C$10=0,0,MAX(0,Inputs!$B$19*Inputs!$B$22*$B$113-Inputs!$B$20)/Source_Data!$C$10)</f>
        <v>0</v>
      </c>
      <c r="AQ121" s="33" t="n">
        <f aca="false">Source_Data!AQ$9+Source_Data!AQ$10*IF(Source_Data!$C$10=0,0,MAX(0,Inputs!$B$19*Inputs!$B$22*$B$113-Inputs!$B$20)/Source_Data!$C$10)</f>
        <v>0</v>
      </c>
      <c r="AR121" s="33" t="n">
        <f aca="false">Source_Data!AR$9+Source_Data!AR$10*IF(Source_Data!$C$10=0,0,MAX(0,Inputs!$B$19*Inputs!$B$22*$B$113-Inputs!$B$20)/Source_Data!$C$10)</f>
        <v>0</v>
      </c>
      <c r="AS121" s="33" t="n">
        <f aca="false">Source_Data!AS$9+Source_Data!AS$10*IF(Source_Data!$C$10=0,0,MAX(0,Inputs!$B$19*Inputs!$B$22*$B$113-Inputs!$B$20)/Source_Data!$C$10)</f>
        <v>0</v>
      </c>
      <c r="AT121" s="33" t="n">
        <f aca="false">Source_Data!AT$9+Source_Data!AT$10*IF(Source_Data!$C$10=0,0,MAX(0,Inputs!$B$19*Inputs!$B$22*$B$113-Inputs!$B$20)/Source_Data!$C$10)</f>
        <v>0</v>
      </c>
      <c r="AU121" s="33" t="n">
        <f aca="false">Source_Data!AU$9+Source_Data!AU$10*IF(Source_Data!$C$10=0,0,MAX(0,Inputs!$B$19*Inputs!$B$22*$B$113-Inputs!$B$20)/Source_Data!$C$10)</f>
        <v>0</v>
      </c>
      <c r="AV121" s="33" t="n">
        <f aca="false">Source_Data!AV$9+Source_Data!AV$10*IF(Source_Data!$C$10=0,0,MAX(0,Inputs!$B$19*Inputs!$B$22*$B$113-Inputs!$B$20)/Source_Data!$C$10)</f>
        <v>0</v>
      </c>
      <c r="AW121" s="33" t="n">
        <f aca="false">Source_Data!AW$9+Source_Data!AW$10*IF(Source_Data!$C$10=0,0,MAX(0,Inputs!$B$19*Inputs!$B$22*$B$113-Inputs!$B$20)/Source_Data!$C$10)</f>
        <v>0</v>
      </c>
      <c r="AX121" s="33" t="n">
        <f aca="false">Source_Data!AX$9+Source_Data!AX$10*IF(Source_Data!$C$10=0,0,MAX(0,Inputs!$B$19*Inputs!$B$22*$B$113-Inputs!$B$20)/Source_Data!$C$10)</f>
        <v>0</v>
      </c>
      <c r="AY121" s="33" t="n">
        <f aca="false">Source_Data!AY$9+Source_Data!AY$10*IF(Source_Data!$C$10=0,0,MAX(0,Inputs!$B$19*Inputs!$B$22*$B$113-Inputs!$B$20)/Source_Data!$C$10)</f>
        <v>0</v>
      </c>
      <c r="AZ121" s="33" t="n">
        <f aca="false">Source_Data!AZ$9+Source_Data!AZ$10*IF(Source_Data!$C$10=0,0,MAX(0,Inputs!$B$19*Inputs!$B$22*$B$113-Inputs!$B$20)/Source_Data!$C$10)</f>
        <v>0</v>
      </c>
      <c r="BA121" s="33" t="n">
        <f aca="false">Source_Data!BA$9+Source_Data!BA$10*IF(Source_Data!$C$10=0,0,MAX(0,Inputs!$B$19*Inputs!$B$22*$B$113-Inputs!$B$20)/Source_Data!$C$10)</f>
        <v>0</v>
      </c>
      <c r="BB121" s="33" t="n">
        <f aca="false">Source_Data!BB$9+Source_Data!BB$10*IF(Source_Data!$C$10=0,0,MAX(0,Inputs!$B$19*Inputs!$B$22*$B$113-Inputs!$B$20)/Source_Data!$C$10)</f>
        <v>0</v>
      </c>
      <c r="BC121" s="33" t="n">
        <f aca="false">Source_Data!BC$9+Source_Data!BC$10*IF(Source_Data!$C$10=0,0,MAX(0,Inputs!$B$19*Inputs!$B$22*$B$113-Inputs!$B$20)/Source_Data!$C$10)</f>
        <v>0</v>
      </c>
      <c r="BD121" s="33" t="n">
        <f aca="false">Source_Data!BD$9+Source_Data!BD$10*IF(Source_Data!$C$10=0,0,MAX(0,Inputs!$B$19*Inputs!$B$22*$B$113-Inputs!$B$20)/Source_Data!$C$10)</f>
        <v>0</v>
      </c>
      <c r="BE121" s="33" t="n">
        <f aca="false">Source_Data!BE$9+Source_Data!BE$10*IF(Source_Data!$C$10=0,0,MAX(0,Inputs!$B$19*Inputs!$B$22*$B$113-Inputs!$B$20)/Source_Data!$C$10)</f>
        <v>0</v>
      </c>
      <c r="BF121" s="33" t="n">
        <f aca="false">Source_Data!BF$9+Source_Data!BF$10*IF(Source_Data!$C$10=0,0,MAX(0,Inputs!$B$19*Inputs!$B$22*$B$113-Inputs!$B$20)/Source_Data!$C$10)</f>
        <v>0</v>
      </c>
      <c r="BG121" s="33" t="n">
        <f aca="false">Source_Data!BG$9+Source_Data!BG$10*IF(Source_Data!$C$10=0,0,MAX(0,Inputs!$B$19*Inputs!$B$22*$B$113-Inputs!$B$20)/Source_Data!$C$10)</f>
        <v>0</v>
      </c>
      <c r="BH121" s="33" t="n">
        <f aca="false">Source_Data!BH$9+Source_Data!BH$10*IF(Source_Data!$C$10=0,0,MAX(0,Inputs!$B$19*Inputs!$B$22*$B$113-Inputs!$B$20)/Source_Data!$C$10)</f>
        <v>0</v>
      </c>
      <c r="BI121" s="33" t="n">
        <f aca="false">Source_Data!BI$9+Source_Data!BI$10*IF(Source_Data!$C$10=0,0,MAX(0,Inputs!$B$19*Inputs!$B$22*$B$113-Inputs!$B$20)/Source_Data!$C$10)</f>
        <v>0</v>
      </c>
      <c r="BJ121" s="33" t="n">
        <f aca="false">Source_Data!BJ$9+Source_Data!BJ$10*IF(Source_Data!$C$10=0,0,MAX(0,Inputs!$B$19*Inputs!$B$22*$B$113-Inputs!$B$20)/Source_Data!$C$10)</f>
        <v>0</v>
      </c>
      <c r="BK121" s="33" t="n">
        <f aca="false">Source_Data!BK$9+Source_Data!BK$10*IF(Source_Data!$C$10=0,0,MAX(0,Inputs!$B$19*Inputs!$B$22*$B$113-Inputs!$B$20)/Source_Data!$C$10)</f>
        <v>0</v>
      </c>
    </row>
    <row r="122" customFormat="false" ht="15" hidden="false" customHeight="false" outlineLevel="0" collapsed="false">
      <c r="A122" s="3" t="s">
        <v>194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20</v>
      </c>
      <c r="I122" s="33" t="n">
        <f aca="false">Source_Data!I$11*$B$115</f>
        <v>26.4</v>
      </c>
      <c r="J122" s="33" t="n">
        <f aca="false">Source_Data!J$11*$B$115</f>
        <v>40</v>
      </c>
      <c r="K122" s="33" t="n">
        <f aca="false">Source_Data!K$11*$B$115</f>
        <v>26.4</v>
      </c>
      <c r="L122" s="33" t="n">
        <f aca="false">Source_Data!L$11*$B$115</f>
        <v>26.4</v>
      </c>
      <c r="M122" s="33" t="n">
        <f aca="false">Source_Data!M$11*$B$115</f>
        <v>26.4</v>
      </c>
      <c r="N122" s="33" t="n">
        <f aca="false">Source_Data!N$11*$B$115</f>
        <v>5.28</v>
      </c>
      <c r="O122" s="33" t="n">
        <f aca="false">Source_Data!O$11*$B$115</f>
        <v>5.28</v>
      </c>
      <c r="P122" s="33" t="n">
        <f aca="false">Source_Data!P$11*$B$115</f>
        <v>120</v>
      </c>
      <c r="Q122" s="33" t="n">
        <f aca="false">Source_Data!Q$11*$B$115</f>
        <v>120</v>
      </c>
      <c r="R122" s="33" t="n">
        <f aca="false">Source_Data!R$11*$B$115</f>
        <v>164</v>
      </c>
      <c r="S122" s="33" t="n">
        <f aca="false">Source_Data!S$11*$B$115</f>
        <v>117</v>
      </c>
      <c r="T122" s="33" t="n">
        <f aca="false">Source_Data!T$11*$B$115</f>
        <v>0</v>
      </c>
      <c r="U122" s="33" t="n">
        <f aca="false">Source_Data!U$11*$B$115</f>
        <v>0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196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14.533668</v>
      </c>
      <c r="K123" s="33" t="n">
        <f aca="false">$B$113*IF(Source_Data!K$5-$B$114&gt;=1,INDEX(Source_Data!$D$12:$BK$12,1,Source_Data!K$5-$B$114),0)</f>
        <v>14.533668</v>
      </c>
      <c r="L123" s="33" t="n">
        <f aca="false">$B$113*IF(Source_Data!L$5-$B$114&gt;=1,INDEX(Source_Data!$D$12:$BK$12,1,Source_Data!L$5-$B$114),0)</f>
        <v>11.425512</v>
      </c>
      <c r="M123" s="33" t="n">
        <f aca="false">$B$113*IF(Source_Data!M$5-$B$114&gt;=1,INDEX(Source_Data!$D$12:$BK$12,1,Source_Data!M$5-$B$114),0)</f>
        <v>11.425512</v>
      </c>
      <c r="N123" s="33" t="n">
        <f aca="false">$B$113*IF(Source_Data!N$5-$B$114&gt;=1,INDEX(Source_Data!$D$12:$BK$12,1,Source_Data!N$5-$B$114),0)</f>
        <v>8.386812</v>
      </c>
      <c r="O123" s="33" t="n">
        <f aca="false">$B$113*IF(Source_Data!O$5-$B$114&gt;=1,INDEX(Source_Data!$D$12:$BK$12,1,Source_Data!O$5-$B$114),0)</f>
        <v>8.386812</v>
      </c>
      <c r="P123" s="33" t="n">
        <f aca="false">$B$113*IF(Source_Data!P$5-$B$114&gt;=1,INDEX(Source_Data!$D$12:$BK$12,1,Source_Data!P$5-$B$114),0)</f>
        <v>9.237648</v>
      </c>
      <c r="Q123" s="33" t="n">
        <f aca="false">$B$113*IF(Source_Data!Q$5-$B$114&gt;=1,INDEX(Source_Data!$D$12:$BK$12,1,Source_Data!Q$5-$B$114),0)</f>
        <v>11.11296</v>
      </c>
      <c r="R123" s="33" t="n">
        <f aca="false">$B$113*IF(Source_Data!R$5-$B$114&gt;=1,INDEX(Source_Data!$D$12:$BK$12,1,Source_Data!R$5-$B$114),0)</f>
        <v>11.11296</v>
      </c>
      <c r="S123" s="33" t="n">
        <f aca="false">$B$113*IF(Source_Data!S$5-$B$114&gt;=1,INDEX(Source_Data!$D$12:$BK$12,1,Source_Data!S$5-$B$114),0)</f>
        <v>7.98744</v>
      </c>
      <c r="T123" s="33" t="n">
        <f aca="false">$B$113*IF(Source_Data!T$5-$B$114&gt;=1,INDEX(Source_Data!$D$12:$BK$12,1,Source_Data!T$5-$B$114),0)</f>
        <v>0</v>
      </c>
      <c r="U123" s="33" t="n">
        <f aca="false">$B$113*IF(Source_Data!U$5-$B$114&gt;=1,INDEX(Source_Data!$D$12:$BK$12,1,Source_Data!U$5-$B$114),0)</f>
        <v>0</v>
      </c>
      <c r="V123" s="33" t="n">
        <f aca="false">$B$113*IF(Source_Data!V$5-$B$114&gt;=1,INDEX(Source_Data!$D$12:$BK$12,1,Source_Data!V$5-$B$114),0)</f>
        <v>0</v>
      </c>
      <c r="W123" s="33" t="n">
        <f aca="false">$B$113*IF(Source_Data!W$5-$B$114&gt;=1,INDEX(Source_Data!$D$12:$BK$12,1,Source_Data!W$5-$B$114),0)</f>
        <v>0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215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3</v>
      </c>
      <c r="I124" s="33" t="n">
        <f aca="false">Source_Data!I$13*$B$115</f>
        <v>3.96</v>
      </c>
      <c r="J124" s="33" t="n">
        <f aca="false">Source_Data!J$13*$B$115</f>
        <v>6</v>
      </c>
      <c r="K124" s="33" t="n">
        <f aca="false">Source_Data!K$13*$B$115</f>
        <v>3.96</v>
      </c>
      <c r="L124" s="33" t="n">
        <f aca="false">Source_Data!L$13*$B$115</f>
        <v>3.96</v>
      </c>
      <c r="M124" s="33" t="n">
        <f aca="false">Source_Data!M$13*$B$115</f>
        <v>3.96</v>
      </c>
      <c r="N124" s="33" t="n">
        <f aca="false">Source_Data!N$13*$B$115</f>
        <v>0.792</v>
      </c>
      <c r="O124" s="33" t="n">
        <f aca="false">Source_Data!O$13*$B$115</f>
        <v>0.792</v>
      </c>
      <c r="P124" s="33" t="n">
        <f aca="false">Source_Data!P$13*$B$115</f>
        <v>18</v>
      </c>
      <c r="Q124" s="33" t="n">
        <f aca="false">Source_Data!Q$13*$B$115</f>
        <v>18</v>
      </c>
      <c r="R124" s="33" t="n">
        <f aca="false">Source_Data!R$13*$B$115</f>
        <v>24.6</v>
      </c>
      <c r="S124" s="33" t="n">
        <f aca="false">Source_Data!S$13*$B$115</f>
        <v>17.55</v>
      </c>
      <c r="T124" s="33" t="n">
        <f aca="false">Source_Data!T$13*$B$115</f>
        <v>0</v>
      </c>
      <c r="U124" s="33" t="n">
        <f aca="false">Source_Data!U$13*$B$115</f>
        <v>0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216</v>
      </c>
      <c r="D125" s="33" t="n">
        <f aca="false">D120-D121-D122-D123-D124</f>
        <v>-91.25</v>
      </c>
      <c r="E125" s="33" t="n">
        <f aca="false">E120-E121-E122-E123-E124</f>
        <v>-11.25</v>
      </c>
      <c r="F125" s="33" t="n">
        <f aca="false">F120-F121-F122-F123-F124</f>
        <v>6.917085</v>
      </c>
      <c r="G125" s="33" t="n">
        <f aca="false">G120-G121-G122-G123-G124</f>
        <v>25.08417</v>
      </c>
      <c r="H125" s="33" t="n">
        <f aca="false">H120-H121-H122-H123-H124</f>
        <v>10.3144075</v>
      </c>
      <c r="I125" s="33" t="n">
        <f aca="false">I120-I121-I122-I123-I124</f>
        <v>22.434645</v>
      </c>
      <c r="J125" s="33" t="n">
        <f aca="false">J120-J121-J122-J123-J124</f>
        <v>-8.19482800000001</v>
      </c>
      <c r="K125" s="33" t="n">
        <f aca="false">K120-K121-K122-K123-K124</f>
        <v>8.77460325000001</v>
      </c>
      <c r="L125" s="33" t="n">
        <f aca="false">L120-L121-L122-L123-L124</f>
        <v>20.859106125</v>
      </c>
      <c r="M125" s="33" t="n">
        <f aca="false">M120-M121-M122-M123-M124</f>
        <v>518.769093</v>
      </c>
      <c r="N125" s="33" t="n">
        <f aca="false">N120-N121-N122-N123-N124</f>
        <v>174.484488</v>
      </c>
      <c r="O125" s="33" t="n">
        <f aca="false">O120-O121-O122-O123-O124</f>
        <v>163.631988</v>
      </c>
      <c r="P125" s="33" t="n">
        <f aca="false">P120-P121-P122-P123-P124</f>
        <v>-75.464748</v>
      </c>
      <c r="Q125" s="33" t="n">
        <f aca="false">Q120-Q121-Q122-Q123-Q124</f>
        <v>-108.5409975</v>
      </c>
      <c r="R125" s="33" t="n">
        <f aca="false">R120-R121-R122-R123-R124</f>
        <v>-159.1409975</v>
      </c>
      <c r="S125" s="33" t="n">
        <f aca="false">S120-S121-S122-S123-S124</f>
        <v>-105.89299725</v>
      </c>
      <c r="T125" s="33" t="n">
        <f aca="false">T120-T121-T122-T123-T124</f>
        <v>28.471967625</v>
      </c>
      <c r="U125" s="33" t="n">
        <f aca="false">U120-U121-U122-U123-U124</f>
        <v>26.655259125</v>
      </c>
      <c r="V125" s="33" t="n">
        <f aca="false">V120-V121-V122-V123-V124</f>
        <v>19.468733625</v>
      </c>
      <c r="W125" s="33" t="n">
        <f aca="false">W120-W121-W122-W123-W124</f>
        <v>14.259533625</v>
      </c>
      <c r="X125" s="33" t="n">
        <f aca="false">X120-X121-X122-X123-X124</f>
        <v>36.759533625</v>
      </c>
      <c r="Y125" s="33" t="n">
        <f aca="false">Y120-Y121-Y122-Y123-Y124</f>
        <v>28.023271125</v>
      </c>
      <c r="Z125" s="33" t="n">
        <f aca="false">Z120-Z121-Z122-Z123-Z124</f>
        <v>28.023271125</v>
      </c>
      <c r="AA125" s="33" t="n">
        <f aca="false">AA120-AA121-AA122-AA123-AA124</f>
        <v>28.023271125</v>
      </c>
      <c r="AB125" s="33" t="n">
        <f aca="false">AB120-AB121-AB122-AB123-AB124</f>
        <v>43.577671125</v>
      </c>
      <c r="AC125" s="33" t="n">
        <f aca="false">AC120-AC121-AC122-AC123-AC124</f>
        <v>39.646353</v>
      </c>
      <c r="AD125" s="33" t="n">
        <f aca="false">AD120-AD121-AD122-AD123-AD124</f>
        <v>35.3162055</v>
      </c>
      <c r="AE125" s="33" t="n">
        <f aca="false">AE120-AE121-AE122-AE123-AE124</f>
        <v>30.1070055</v>
      </c>
      <c r="AF125" s="33" t="n">
        <f aca="false">AF120-AF121-AF122-AF123-AF124</f>
        <v>-192.058676038967</v>
      </c>
      <c r="AG125" s="33" t="n">
        <f aca="false">AG120-AG121-AG122-AG123-AG124</f>
        <v>7.47667083528335</v>
      </c>
      <c r="AH125" s="33" t="n">
        <f aca="false">AH120-AH121-AH122-AH123-AH124</f>
        <v>7.47667083528335</v>
      </c>
      <c r="AI125" s="33" t="n">
        <f aca="false">AI120-AI121-AI122-AI123-AI124</f>
        <v>7.47667083528335</v>
      </c>
      <c r="AJ125" s="33" t="n">
        <f aca="false">AJ120-AJ121-AJ122-AJ123-AJ124</f>
        <v>7.47667083528335</v>
      </c>
      <c r="AK125" s="33" t="n">
        <f aca="false">AK120-AK121-AK122-AK123-AK124</f>
        <v>6.82581076509341</v>
      </c>
      <c r="AL125" s="33" t="n">
        <f aca="false">AL120-AL121-AL122-AL123-AL124</f>
        <v>6.82581076509341</v>
      </c>
      <c r="AM125" s="33" t="n">
        <f aca="false">AM120-AM121-AM122-AM123-AM124</f>
        <v>5.58446025441231</v>
      </c>
      <c r="AN125" s="33" t="n">
        <f aca="false">AN120-AN121-AN122-AN123-AN124</f>
        <v>2.86863543979367</v>
      </c>
      <c r="AO125" s="33" t="n">
        <f aca="false">AO120-AO121-AO122-AO123-AO124</f>
        <v>1.06401472344094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217</v>
      </c>
      <c r="D126" s="33" t="n">
        <f aca="false">D125</f>
        <v>-91.25</v>
      </c>
      <c r="E126" s="33" t="n">
        <f aca="false">D126+E125</f>
        <v>-102.5</v>
      </c>
      <c r="F126" s="33" t="n">
        <f aca="false">E126+F125</f>
        <v>-95.582915</v>
      </c>
      <c r="G126" s="33" t="n">
        <f aca="false">F126+G125</f>
        <v>-70.498745</v>
      </c>
      <c r="H126" s="33" t="n">
        <f aca="false">G126+H125</f>
        <v>-60.1843375</v>
      </c>
      <c r="I126" s="33" t="n">
        <f aca="false">H126+I125</f>
        <v>-37.7496925</v>
      </c>
      <c r="J126" s="33" t="n">
        <f aca="false">I126+J125</f>
        <v>-45.9445205</v>
      </c>
      <c r="K126" s="33" t="n">
        <f aca="false">J126+K125</f>
        <v>-37.16991725</v>
      </c>
      <c r="L126" s="33" t="n">
        <f aca="false">K126+L125</f>
        <v>-16.310811125</v>
      </c>
      <c r="M126" s="33" t="n">
        <f aca="false">L126+M125</f>
        <v>502.458281875</v>
      </c>
      <c r="N126" s="33" t="n">
        <f aca="false">M126+N125</f>
        <v>676.942769875</v>
      </c>
      <c r="O126" s="33" t="n">
        <f aca="false">N126+O125</f>
        <v>840.574757875</v>
      </c>
      <c r="P126" s="33" t="n">
        <f aca="false">O126+P125</f>
        <v>765.110009875</v>
      </c>
      <c r="Q126" s="33" t="n">
        <f aca="false">P126+Q125</f>
        <v>656.569012375</v>
      </c>
      <c r="R126" s="33" t="n">
        <f aca="false">Q126+R125</f>
        <v>497.428014875</v>
      </c>
      <c r="S126" s="33" t="n">
        <f aca="false">R126+S125</f>
        <v>391.535017625</v>
      </c>
      <c r="T126" s="33" t="n">
        <f aca="false">S126+T125</f>
        <v>420.00698525</v>
      </c>
      <c r="U126" s="33" t="n">
        <f aca="false">T126+U125</f>
        <v>446.662244375</v>
      </c>
      <c r="V126" s="33" t="n">
        <f aca="false">U126+V125</f>
        <v>466.130978</v>
      </c>
      <c r="W126" s="33" t="n">
        <f aca="false">V126+W125</f>
        <v>480.390511625</v>
      </c>
      <c r="X126" s="33" t="n">
        <f aca="false">W126+X125</f>
        <v>517.15004525</v>
      </c>
      <c r="Y126" s="33" t="n">
        <f aca="false">X126+Y125</f>
        <v>545.173316375</v>
      </c>
      <c r="Z126" s="33" t="n">
        <f aca="false">Y126+Z125</f>
        <v>573.1965875</v>
      </c>
      <c r="AA126" s="33" t="n">
        <f aca="false">Z126+AA125</f>
        <v>601.219858625</v>
      </c>
      <c r="AB126" s="33" t="n">
        <f aca="false">AA126+AB125</f>
        <v>644.79752975</v>
      </c>
      <c r="AC126" s="33" t="n">
        <f aca="false">AB126+AC125</f>
        <v>684.44388275</v>
      </c>
      <c r="AD126" s="33" t="n">
        <f aca="false">AC126+AD125</f>
        <v>719.76008825</v>
      </c>
      <c r="AE126" s="33" t="n">
        <f aca="false">AD126+AE125</f>
        <v>749.86709375</v>
      </c>
      <c r="AF126" s="33" t="n">
        <f aca="false">AE126+AF125</f>
        <v>557.808417711033</v>
      </c>
      <c r="AG126" s="33" t="n">
        <f aca="false">AF126+AG125</f>
        <v>565.285088546316</v>
      </c>
      <c r="AH126" s="33" t="n">
        <f aca="false">AG126+AH125</f>
        <v>572.7617593816</v>
      </c>
      <c r="AI126" s="33" t="n">
        <f aca="false">AH126+AI125</f>
        <v>580.238430216883</v>
      </c>
      <c r="AJ126" s="33" t="n">
        <f aca="false">AI126+AJ125</f>
        <v>587.715101052166</v>
      </c>
      <c r="AK126" s="33" t="n">
        <f aca="false">AJ126+AK125</f>
        <v>594.54091181726</v>
      </c>
      <c r="AL126" s="33" t="n">
        <f aca="false">AK126+AL125</f>
        <v>601.366722582353</v>
      </c>
      <c r="AM126" s="33" t="n">
        <f aca="false">AL126+AM125</f>
        <v>606.951182836765</v>
      </c>
      <c r="AN126" s="33" t="n">
        <f aca="false">AM126+AN125</f>
        <v>609.819818276559</v>
      </c>
      <c r="AO126" s="33" t="n">
        <f aca="false">AN126+AO125</f>
        <v>610.883833</v>
      </c>
      <c r="AP126" s="33" t="n">
        <f aca="false">AO126+AP125</f>
        <v>610.883833</v>
      </c>
      <c r="AQ126" s="33" t="n">
        <f aca="false">AP126+AQ125</f>
        <v>610.883833</v>
      </c>
      <c r="AR126" s="33" t="n">
        <f aca="false">AQ126+AR125</f>
        <v>610.883833</v>
      </c>
      <c r="AS126" s="33" t="n">
        <f aca="false">AR126+AS125</f>
        <v>610.883833</v>
      </c>
      <c r="AT126" s="33" t="n">
        <f aca="false">AS126+AT125</f>
        <v>610.883833</v>
      </c>
      <c r="AU126" s="33" t="n">
        <f aca="false">AT126+AU125</f>
        <v>610.883833</v>
      </c>
      <c r="AV126" s="33" t="n">
        <f aca="false">AU126+AV125</f>
        <v>610.883833</v>
      </c>
      <c r="AW126" s="33" t="n">
        <f aca="false">AV126+AW125</f>
        <v>610.883833</v>
      </c>
      <c r="AX126" s="33" t="n">
        <f aca="false">AW126+AX125</f>
        <v>610.883833</v>
      </c>
      <c r="AY126" s="33" t="n">
        <f aca="false">AX126+AY125</f>
        <v>610.883833</v>
      </c>
      <c r="AZ126" s="33" t="n">
        <f aca="false">AY126+AZ125</f>
        <v>610.883833</v>
      </c>
      <c r="BA126" s="33" t="n">
        <f aca="false">AZ126+BA125</f>
        <v>610.883833</v>
      </c>
      <c r="BB126" s="33" t="n">
        <f aca="false">BA126+BB125</f>
        <v>610.883833</v>
      </c>
      <c r="BC126" s="33" t="n">
        <f aca="false">BB126+BC125</f>
        <v>610.883833</v>
      </c>
      <c r="BD126" s="33" t="n">
        <f aca="false">BC126+BD125</f>
        <v>610.883833</v>
      </c>
      <c r="BE126" s="33" t="n">
        <f aca="false">BD126+BE125</f>
        <v>610.883833</v>
      </c>
      <c r="BF126" s="33" t="n">
        <f aca="false">BE126+BF125</f>
        <v>610.883833</v>
      </c>
      <c r="BG126" s="33" t="n">
        <f aca="false">BF126+BG125</f>
        <v>610.883833</v>
      </c>
      <c r="BH126" s="33" t="n">
        <f aca="false">BG126+BH125</f>
        <v>610.883833</v>
      </c>
      <c r="BI126" s="33" t="n">
        <f aca="false">BH126+BI125</f>
        <v>610.883833</v>
      </c>
      <c r="BJ126" s="33" t="n">
        <f aca="false">BI126+BJ125</f>
        <v>610.883833</v>
      </c>
      <c r="BK126" s="33" t="n">
        <f aca="false">BJ126+BK125</f>
        <v>610.883833</v>
      </c>
    </row>
    <row r="127" customFormat="false" ht="15" hidden="false" customHeight="false" outlineLevel="0" collapsed="false">
      <c r="A127" s="3" t="s">
        <v>340</v>
      </c>
      <c r="D127" s="33" t="n">
        <f aca="false">IF(Source_Data!D$6=Inputs!$B$12,-Inputs!$B$7,0)+IF(AND(Source_Data!D$6&gt;=$B$118,Source_Data!D$6&lt;$B$118+3*Inputs!$B$16,MOD(Source_Data!D$6-$B$118,3)=0),Inputs!$B$8*Inputs!$B$7*Inputs!$B$34*$B$113*(1-Inputs!$B$15)/Inputs!$B$16,0)</f>
        <v>-100</v>
      </c>
      <c r="E127" s="33" t="n">
        <f aca="false">IF(Source_Data!E$6=Inputs!$B$12,-Inputs!$B$7,0)+IF(AND(Source_Data!E$6&gt;=$B$118,Source_Data!E$6&lt;$B$118+3*Inputs!$B$16,MOD(Source_Data!E$6-$B$118,3)=0),Inputs!$B$8*Inputs!$B$7*Inputs!$B$34*$B$113*(1-Inputs!$B$15)/Inputs!$B$16,0)</f>
        <v>0</v>
      </c>
      <c r="F127" s="33" t="n">
        <f aca="false">IF(Source_Data!F$6=Inputs!$B$12,-Inputs!$B$7,0)+IF(AND(Source_Data!F$6&gt;=$B$118,Source_Data!F$6&lt;$B$118+3*Inputs!$B$16,MOD(Source_Data!F$6-$B$118,3)=0),Inputs!$B$8*Inputs!$B$7*Inputs!$B$34*$B$113*(1-Inputs!$B$15)/Inputs!$B$16,0)</f>
        <v>0</v>
      </c>
      <c r="G127" s="33" t="n">
        <f aca="false">IF(Source_Data!G$6=Inputs!$B$12,-Inputs!$B$7,0)+IF(AND(Source_Data!G$6&gt;=$B$118,Source_Data!G$6&lt;$B$118+3*Inputs!$B$16,MOD(Source_Data!G$6-$B$118,3)=0),Inputs!$B$8*Inputs!$B$7*Inputs!$B$34*$B$113*(1-Inputs!$B$15)/Inputs!$B$16,0)</f>
        <v>0</v>
      </c>
      <c r="H127" s="33" t="n">
        <f aca="false">IF(Source_Data!H$6=Inputs!$B$12,-Inputs!$B$7,0)+IF(AND(Source_Data!H$6&gt;=$B$118,Source_Data!H$6&lt;$B$118+3*Inputs!$B$16,MOD(Source_Data!H$6-$B$118,3)=0),Inputs!$B$8*Inputs!$B$7*Inputs!$B$34*$B$113*(1-Inputs!$B$15)/Inputs!$B$16,0)</f>
        <v>0</v>
      </c>
      <c r="I127" s="33" t="n">
        <f aca="false">IF(Source_Data!I$6=Inputs!$B$12,-Inputs!$B$7,0)+IF(AND(Source_Data!I$6&gt;=$B$118,Source_Data!I$6&lt;$B$118+3*Inputs!$B$16,MOD(Source_Data!I$6-$B$118,3)=0),Inputs!$B$8*Inputs!$B$7*Inputs!$B$34*$B$113*(1-Inputs!$B$15)/Inputs!$B$16,0)</f>
        <v>0</v>
      </c>
      <c r="J127" s="33" t="n">
        <f aca="false">IF(Source_Data!J$6=Inputs!$B$12,-Inputs!$B$7,0)+IF(AND(Source_Data!J$6&gt;=$B$118,Source_Data!J$6&lt;$B$118+3*Inputs!$B$16,MOD(Source_Data!J$6-$B$118,3)=0),Inputs!$B$8*Inputs!$B$7*Inputs!$B$34*$B$113*(1-Inputs!$B$15)/Inputs!$B$16,0)</f>
        <v>0</v>
      </c>
      <c r="K127" s="33" t="n">
        <f aca="false">IF(Source_Data!K$6=Inputs!$B$12,-Inputs!$B$7,0)+IF(AND(Source_Data!K$6&gt;=$B$118,Source_Data!K$6&lt;$B$118+3*Inputs!$B$16,MOD(Source_Data!K$6-$B$118,3)=0),Inputs!$B$8*Inputs!$B$7*Inputs!$B$34*$B$113*(1-Inputs!$B$15)/Inputs!$B$16,0)</f>
        <v>0</v>
      </c>
      <c r="L127" s="33" t="n">
        <f aca="false">IF(Source_Data!L$6=Inputs!$B$12,-Inputs!$B$7,0)+IF(AND(Source_Data!L$6&gt;=$B$118,Source_Data!L$6&lt;$B$118+3*Inputs!$B$16,MOD(Source_Data!L$6-$B$118,3)=0),Inputs!$B$8*Inputs!$B$7*Inputs!$B$34*$B$113*(1-Inputs!$B$15)/Inputs!$B$16,0)</f>
        <v>0</v>
      </c>
      <c r="M127" s="33" t="n">
        <f aca="false">IF(Source_Data!M$6=Inputs!$B$12,-Inputs!$B$7,0)+IF(AND(Source_Data!M$6&gt;=$B$118,Source_Data!M$6&lt;$B$118+3*Inputs!$B$16,MOD(Source_Data!M$6-$B$118,3)=0),Inputs!$B$8*Inputs!$B$7*Inputs!$B$34*$B$113*(1-Inputs!$B$15)/Inputs!$B$16,0)</f>
        <v>0</v>
      </c>
      <c r="N127" s="33" t="n">
        <f aca="false">IF(Source_Data!N$6=Inputs!$B$12,-Inputs!$B$7,0)+IF(AND(Source_Data!N$6&gt;=$B$118,Source_Data!N$6&lt;$B$118+3*Inputs!$B$16,MOD(Source_Data!N$6-$B$118,3)=0),Inputs!$B$8*Inputs!$B$7*Inputs!$B$34*$B$113*(1-Inputs!$B$15)/Inputs!$B$16,0)</f>
        <v>0</v>
      </c>
      <c r="O127" s="33" t="n">
        <f aca="false">IF(Source_Data!O$6=Inputs!$B$12,-Inputs!$B$7,0)+IF(AND(Source_Data!O$6&gt;=$B$118,Source_Data!O$6&lt;$B$118+3*Inputs!$B$16,MOD(Source_Data!O$6-$B$118,3)=0),Inputs!$B$8*Inputs!$B$7*Inputs!$B$34*$B$113*(1-Inputs!$B$15)/Inputs!$B$16,0)</f>
        <v>0</v>
      </c>
      <c r="P127" s="33" t="n">
        <f aca="false">IF(Source_Data!P$6=Inputs!$B$12,-Inputs!$B$7,0)+IF(AND(Source_Data!P$6&gt;=$B$118,Source_Data!P$6&lt;$B$118+3*Inputs!$B$16,MOD(Source_Data!P$6-$B$118,3)=0),Inputs!$B$8*Inputs!$B$7*Inputs!$B$34*$B$113*(1-Inputs!$B$15)/Inputs!$B$16,0)</f>
        <v>0</v>
      </c>
      <c r="Q127" s="33" t="n">
        <f aca="false">IF(Source_Data!Q$6=Inputs!$B$12,-Inputs!$B$7,0)+IF(AND(Source_Data!Q$6&gt;=$B$118,Source_Data!Q$6&lt;$B$118+3*Inputs!$B$16,MOD(Source_Data!Q$6-$B$118,3)=0),Inputs!$B$8*Inputs!$B$7*Inputs!$B$34*$B$113*(1-Inputs!$B$15)/Inputs!$B$16,0)</f>
        <v>0</v>
      </c>
      <c r="R127" s="33" t="n">
        <f aca="false">IF(Source_Data!R$6=Inputs!$B$12,-Inputs!$B$7,0)+IF(AND(Source_Data!R$6&gt;=$B$118,Source_Data!R$6&lt;$B$118+3*Inputs!$B$16,MOD(Source_Data!R$6-$B$118,3)=0),Inputs!$B$8*Inputs!$B$7*Inputs!$B$34*$B$113*(1-Inputs!$B$15)/Inputs!$B$16,0)</f>
        <v>0</v>
      </c>
      <c r="S127" s="33" t="n">
        <f aca="false">IF(Source_Data!S$6=Inputs!$B$12,-Inputs!$B$7,0)+IF(AND(Source_Data!S$6&gt;=$B$118,Source_Data!S$6&lt;$B$118+3*Inputs!$B$16,MOD(Source_Data!S$6-$B$118,3)=0),Inputs!$B$8*Inputs!$B$7*Inputs!$B$34*$B$113*(1-Inputs!$B$15)/Inputs!$B$16,0)</f>
        <v>0</v>
      </c>
      <c r="T127" s="33" t="n">
        <f aca="false">IF(Source_Data!T$6=Inputs!$B$12,-Inputs!$B$7,0)+IF(AND(Source_Data!T$6&gt;=$B$118,Source_Data!T$6&lt;$B$118+3*Inputs!$B$16,MOD(Source_Data!T$6-$B$118,3)=0),Inputs!$B$8*Inputs!$B$7*Inputs!$B$34*$B$113*(1-Inputs!$B$15)/Inputs!$B$16,0)</f>
        <v>83.4408602150538</v>
      </c>
      <c r="U127" s="33" t="n">
        <f aca="false">IF(Source_Data!U$6=Inputs!$B$12,-Inputs!$B$7,0)+IF(AND(Source_Data!U$6&gt;=$B$118,Source_Data!U$6&lt;$B$118+3*Inputs!$B$16,MOD(Source_Data!U$6-$B$118,3)=0),Inputs!$B$8*Inputs!$B$7*Inputs!$B$34*$B$113*(1-Inputs!$B$15)/Inputs!$B$16,0)</f>
        <v>83.4408602150538</v>
      </c>
      <c r="V127" s="33" t="n">
        <f aca="false">IF(Source_Data!V$6=Inputs!$B$12,-Inputs!$B$7,0)+IF(AND(Source_Data!V$6&gt;=$B$118,Source_Data!V$6&lt;$B$118+3*Inputs!$B$16,MOD(Source_Data!V$6-$B$118,3)=0),Inputs!$B$8*Inputs!$B$7*Inputs!$B$34*$B$113*(1-Inputs!$B$15)/Inputs!$B$16,0)</f>
        <v>83.4408602150538</v>
      </c>
      <c r="W127" s="33" t="n">
        <f aca="false">IF(Source_Data!W$6=Inputs!$B$12,-Inputs!$B$7,0)+IF(AND(Source_Data!W$6&gt;=$B$118,Source_Data!W$6&lt;$B$118+3*Inputs!$B$16,MOD(Source_Data!W$6-$B$118,3)=0),Inputs!$B$8*Inputs!$B$7*Inputs!$B$34*$B$113*(1-Inputs!$B$15)/Inputs!$B$16,0)</f>
        <v>83.4408602150538</v>
      </c>
      <c r="X127" s="33" t="n">
        <f aca="false">IF(Source_Data!X$6=Inputs!$B$12,-Inputs!$B$7,0)+IF(AND(Source_Data!X$6&gt;=$B$118,Source_Data!X$6&lt;$B$118+3*Inputs!$B$16,MOD(Source_Data!X$6-$B$118,3)=0),Inputs!$B$8*Inputs!$B$7*Inputs!$B$34*$B$113*(1-Inputs!$B$15)/Inputs!$B$16,0)</f>
        <v>0</v>
      </c>
      <c r="Y127" s="33" t="n">
        <f aca="false">IF(Source_Data!Y$6=Inputs!$B$12,-Inputs!$B$7,0)+IF(AND(Source_Data!Y$6&gt;=$B$118,Source_Data!Y$6&lt;$B$118+3*Inputs!$B$16,MOD(Source_Data!Y$6-$B$118,3)=0),Inputs!$B$8*Inputs!$B$7*Inputs!$B$34*$B$113*(1-Inputs!$B$15)/Inputs!$B$16,0)</f>
        <v>0</v>
      </c>
      <c r="Z127" s="33" t="n">
        <f aca="false">IF(Source_Data!Z$6=Inputs!$B$12,-Inputs!$B$7,0)+IF(AND(Source_Data!Z$6&gt;=$B$118,Source_Data!Z$6&lt;$B$118+3*Inputs!$B$16,MOD(Source_Data!Z$6-$B$118,3)=0),Inputs!$B$8*Inputs!$B$7*Inputs!$B$34*$B$113*(1-Inputs!$B$15)/Inputs!$B$16,0)</f>
        <v>0</v>
      </c>
      <c r="AA127" s="33" t="n">
        <f aca="false">IF(Source_Data!AA$6=Inputs!$B$12,-Inputs!$B$7,0)+IF(AND(Source_Data!AA$6&gt;=$B$118,Source_Data!AA$6&lt;$B$118+3*Inputs!$B$16,MOD(Source_Data!AA$6-$B$118,3)=0),Inputs!$B$8*Inputs!$B$7*Inputs!$B$34*$B$113*(1-Inputs!$B$15)/Inputs!$B$16,0)</f>
        <v>0</v>
      </c>
      <c r="AB127" s="33" t="n">
        <f aca="false">IF(Source_Data!AB$6=Inputs!$B$12,-Inputs!$B$7,0)+IF(AND(Source_Data!AB$6&gt;=$B$118,Source_Data!AB$6&lt;$B$118+3*Inputs!$B$16,MOD(Source_Data!AB$6-$B$118,3)=0),Inputs!$B$8*Inputs!$B$7*Inputs!$B$34*$B$113*(1-Inputs!$B$15)/Inputs!$B$16,0)</f>
        <v>0</v>
      </c>
      <c r="AC127" s="33" t="n">
        <f aca="false">IF(Source_Data!AC$6=Inputs!$B$12,-Inputs!$B$7,0)+IF(AND(Source_Data!AC$6&gt;=$B$118,Source_Data!AC$6&lt;$B$118+3*Inputs!$B$16,MOD(Source_Data!AC$6-$B$118,3)=0),Inputs!$B$8*Inputs!$B$7*Inputs!$B$34*$B$113*(1-Inputs!$B$15)/Inputs!$B$16,0)</f>
        <v>0</v>
      </c>
      <c r="AD127" s="33" t="n">
        <f aca="false">IF(Source_Data!AD$6=Inputs!$B$12,-Inputs!$B$7,0)+IF(AND(Source_Data!AD$6&gt;=$B$118,Source_Data!AD$6&lt;$B$118+3*Inputs!$B$16,MOD(Source_Data!AD$6-$B$118,3)=0),Inputs!$B$8*Inputs!$B$7*Inputs!$B$34*$B$113*(1-Inputs!$B$15)/Inputs!$B$16,0)</f>
        <v>0</v>
      </c>
      <c r="AE127" s="33" t="n">
        <f aca="false">IF(Source_Data!AE$6=Inputs!$B$12,-Inputs!$B$7,0)+IF(AND(Source_Data!AE$6&gt;=$B$118,Source_Data!AE$6&lt;$B$118+3*Inputs!$B$16,MOD(Source_Data!AE$6-$B$118,3)=0),Inputs!$B$8*Inputs!$B$7*Inputs!$B$34*$B$113*(1-Inputs!$B$15)/Inputs!$B$16,0)</f>
        <v>0</v>
      </c>
      <c r="AF127" s="33" t="n">
        <f aca="false">IF(Source_Data!AF$6=Inputs!$B$12,-Inputs!$B$7,0)+IF(AND(Source_Data!AF$6&gt;=$B$118,Source_Data!AF$6&lt;$B$118+3*Inputs!$B$16,MOD(Source_Data!AF$6-$B$118,3)=0),Inputs!$B$8*Inputs!$B$7*Inputs!$B$34*$B$113*(1-Inputs!$B$15)/Inputs!$B$16,0)</f>
        <v>0</v>
      </c>
      <c r="AG127" s="33" t="n">
        <f aca="false">IF(Source_Data!AG$6=Inputs!$B$12,-Inputs!$B$7,0)+IF(AND(Source_Data!AG$6&gt;=$B$118,Source_Data!AG$6&lt;$B$118+3*Inputs!$B$16,MOD(Source_Data!AG$6-$B$118,3)=0),Inputs!$B$8*Inputs!$B$7*Inputs!$B$34*$B$113*(1-Inputs!$B$15)/Inputs!$B$16,0)</f>
        <v>0</v>
      </c>
      <c r="AH127" s="33" t="n">
        <f aca="false">IF(Source_Data!AH$6=Inputs!$B$12,-Inputs!$B$7,0)+IF(AND(Source_Data!AH$6&gt;=$B$118,Source_Data!AH$6&lt;$B$118+3*Inputs!$B$16,MOD(Source_Data!AH$6-$B$118,3)=0),Inputs!$B$8*Inputs!$B$7*Inputs!$B$34*$B$113*(1-Inputs!$B$15)/Inputs!$B$16,0)</f>
        <v>0</v>
      </c>
      <c r="AI127" s="33" t="n">
        <f aca="false">IF(Source_Data!AI$6=Inputs!$B$12,-Inputs!$B$7,0)+IF(AND(Source_Data!AI$6&gt;=$B$118,Source_Data!AI$6&lt;$B$118+3*Inputs!$B$16,MOD(Source_Data!AI$6-$B$118,3)=0),Inputs!$B$8*Inputs!$B$7*Inputs!$B$34*$B$113*(1-Inputs!$B$15)/Inputs!$B$16,0)</f>
        <v>0</v>
      </c>
      <c r="AJ127" s="33" t="n">
        <f aca="false">IF(Source_Data!AJ$6=Inputs!$B$12,-Inputs!$B$7,0)+IF(AND(Source_Data!AJ$6&gt;=$B$118,Source_Data!AJ$6&lt;$B$118+3*Inputs!$B$16,MOD(Source_Data!AJ$6-$B$118,3)=0),Inputs!$B$8*Inputs!$B$7*Inputs!$B$34*$B$113*(1-Inputs!$B$15)/Inputs!$B$16,0)</f>
        <v>0</v>
      </c>
      <c r="AK127" s="33" t="n">
        <f aca="false">IF(Source_Data!AK$6=Inputs!$B$12,-Inputs!$B$7,0)+IF(AND(Source_Data!AK$6&gt;=$B$118,Source_Data!AK$6&lt;$B$118+3*Inputs!$B$16,MOD(Source_Data!AK$6-$B$118,3)=0),Inputs!$B$8*Inputs!$B$7*Inputs!$B$34*$B$113*(1-Inputs!$B$15)/Inputs!$B$16,0)</f>
        <v>0</v>
      </c>
      <c r="AL127" s="33" t="n">
        <f aca="false">IF(Source_Data!AL$6=Inputs!$B$12,-Inputs!$B$7,0)+IF(AND(Source_Data!AL$6&gt;=$B$118,Source_Data!AL$6&lt;$B$118+3*Inputs!$B$16,MOD(Source_Data!AL$6-$B$118,3)=0),Inputs!$B$8*Inputs!$B$7*Inputs!$B$34*$B$113*(1-Inputs!$B$15)/Inputs!$B$16,0)</f>
        <v>0</v>
      </c>
      <c r="AM127" s="33" t="n">
        <f aca="false">IF(Source_Data!AM$6=Inputs!$B$12,-Inputs!$B$7,0)+IF(AND(Source_Data!AM$6&gt;=$B$118,Source_Data!AM$6&lt;$B$118+3*Inputs!$B$16,MOD(Source_Data!AM$6-$B$118,3)=0),Inputs!$B$8*Inputs!$B$7*Inputs!$B$34*$B$113*(1-Inputs!$B$15)/Inputs!$B$16,0)</f>
        <v>0</v>
      </c>
      <c r="AN127" s="33" t="n">
        <f aca="false">IF(Source_Data!AN$6=Inputs!$B$12,-Inputs!$B$7,0)+IF(AND(Source_Data!AN$6&gt;=$B$118,Source_Data!AN$6&lt;$B$118+3*Inputs!$B$16,MOD(Source_Data!AN$6-$B$118,3)=0),Inputs!$B$8*Inputs!$B$7*Inputs!$B$34*$B$113*(1-Inputs!$B$15)/Inputs!$B$16,0)</f>
        <v>0</v>
      </c>
      <c r="AO127" s="33" t="n">
        <f aca="false">IF(Source_Data!AO$6=Inputs!$B$12,-Inputs!$B$7,0)+IF(AND(Source_Data!AO$6&gt;=$B$118,Source_Data!AO$6&lt;$B$118+3*Inputs!$B$16,MOD(Source_Data!AO$6-$B$118,3)=0),Inputs!$B$8*Inputs!$B$7*Inputs!$B$34*$B$113*(1-Inputs!$B$15)/Inputs!$B$16,0)</f>
        <v>0</v>
      </c>
      <c r="AP127" s="33" t="n">
        <f aca="false">IF(Source_Data!AP$6=Inputs!$B$12,-Inputs!$B$7,0)+IF(AND(Source_Data!AP$6&gt;=$B$118,Source_Data!AP$6&lt;$B$118+3*Inputs!$B$16,MOD(Source_Data!AP$6-$B$118,3)=0),Inputs!$B$8*Inputs!$B$7*Inputs!$B$34*$B$113*(1-Inputs!$B$15)/Inputs!$B$16,0)</f>
        <v>0</v>
      </c>
      <c r="AQ127" s="33" t="n">
        <f aca="false">IF(Source_Data!AQ$6=Inputs!$B$12,-Inputs!$B$7,0)+IF(AND(Source_Data!AQ$6&gt;=$B$118,Source_Data!AQ$6&lt;$B$118+3*Inputs!$B$16,MOD(Source_Data!AQ$6-$B$118,3)=0),Inputs!$B$8*Inputs!$B$7*Inputs!$B$34*$B$113*(1-Inputs!$B$15)/Inputs!$B$16,0)</f>
        <v>0</v>
      </c>
      <c r="AR127" s="33" t="n">
        <f aca="false">IF(Source_Data!AR$6=Inputs!$B$12,-Inputs!$B$7,0)+IF(AND(Source_Data!AR$6&gt;=$B$118,Source_Data!AR$6&lt;$B$118+3*Inputs!$B$16,MOD(Source_Data!AR$6-$B$118,3)=0),Inputs!$B$8*Inputs!$B$7*Inputs!$B$34*$B$113*(1-Inputs!$B$15)/Inputs!$B$16,0)</f>
        <v>0</v>
      </c>
      <c r="AS127" s="33" t="n">
        <f aca="false">IF(Source_Data!AS$6=Inputs!$B$12,-Inputs!$B$7,0)+IF(AND(Source_Data!AS$6&gt;=$B$118,Source_Data!AS$6&lt;$B$118+3*Inputs!$B$16,MOD(Source_Data!AS$6-$B$118,3)=0),Inputs!$B$8*Inputs!$B$7*Inputs!$B$34*$B$113*(1-Inputs!$B$15)/Inputs!$B$16,0)</f>
        <v>0</v>
      </c>
      <c r="AT127" s="33" t="n">
        <f aca="false">IF(Source_Data!AT$6=Inputs!$B$12,-Inputs!$B$7,0)+IF(AND(Source_Data!AT$6&gt;=$B$118,Source_Data!AT$6&lt;$B$118+3*Inputs!$B$16,MOD(Source_Data!AT$6-$B$118,3)=0),Inputs!$B$8*Inputs!$B$7*Inputs!$B$34*$B$113*(1-Inputs!$B$15)/Inputs!$B$16,0)</f>
        <v>0</v>
      </c>
      <c r="AU127" s="33" t="n">
        <f aca="false">IF(Source_Data!AU$6=Inputs!$B$12,-Inputs!$B$7,0)+IF(AND(Source_Data!AU$6&gt;=$B$118,Source_Data!AU$6&lt;$B$118+3*Inputs!$B$16,MOD(Source_Data!AU$6-$B$118,3)=0),Inputs!$B$8*Inputs!$B$7*Inputs!$B$34*$B$113*(1-Inputs!$B$15)/Inputs!$B$16,0)</f>
        <v>0</v>
      </c>
      <c r="AV127" s="33" t="n">
        <f aca="false">IF(Source_Data!AV$6=Inputs!$B$12,-Inputs!$B$7,0)+IF(AND(Source_Data!AV$6&gt;=$B$118,Source_Data!AV$6&lt;$B$118+3*Inputs!$B$16,MOD(Source_Data!AV$6-$B$118,3)=0),Inputs!$B$8*Inputs!$B$7*Inputs!$B$34*$B$113*(1-Inputs!$B$15)/Inputs!$B$16,0)</f>
        <v>0</v>
      </c>
      <c r="AW127" s="33" t="n">
        <f aca="false">IF(Source_Data!AW$6=Inputs!$B$12,-Inputs!$B$7,0)+IF(AND(Source_Data!AW$6&gt;=$B$118,Source_Data!AW$6&lt;$B$118+3*Inputs!$B$16,MOD(Source_Data!AW$6-$B$118,3)=0),Inputs!$B$8*Inputs!$B$7*Inputs!$B$34*$B$113*(1-Inputs!$B$15)/Inputs!$B$16,0)</f>
        <v>0</v>
      </c>
      <c r="AX127" s="33" t="n">
        <f aca="false">IF(Source_Data!AX$6=Inputs!$B$12,-Inputs!$B$7,0)+IF(AND(Source_Data!AX$6&gt;=$B$118,Source_Data!AX$6&lt;$B$118+3*Inputs!$B$16,MOD(Source_Data!AX$6-$B$118,3)=0),Inputs!$B$8*Inputs!$B$7*Inputs!$B$34*$B$113*(1-Inputs!$B$15)/Inputs!$B$16,0)</f>
        <v>0</v>
      </c>
      <c r="AY127" s="33" t="n">
        <f aca="false">IF(Source_Data!AY$6=Inputs!$B$12,-Inputs!$B$7,0)+IF(AND(Source_Data!AY$6&gt;=$B$118,Source_Data!AY$6&lt;$B$118+3*Inputs!$B$16,MOD(Source_Data!AY$6-$B$118,3)=0),Inputs!$B$8*Inputs!$B$7*Inputs!$B$34*$B$113*(1-Inputs!$B$15)/Inputs!$B$16,0)</f>
        <v>0</v>
      </c>
      <c r="AZ127" s="33" t="n">
        <f aca="false">IF(Source_Data!AZ$6=Inputs!$B$12,-Inputs!$B$7,0)+IF(AND(Source_Data!AZ$6&gt;=$B$118,Source_Data!AZ$6&lt;$B$118+3*Inputs!$B$16,MOD(Source_Data!AZ$6-$B$118,3)=0),Inputs!$B$8*Inputs!$B$7*Inputs!$B$34*$B$113*(1-Inputs!$B$15)/Inputs!$B$16,0)</f>
        <v>0</v>
      </c>
      <c r="BA127" s="33" t="n">
        <f aca="false">IF(Source_Data!BA$6=Inputs!$B$12,-Inputs!$B$7,0)+IF(AND(Source_Data!BA$6&gt;=$B$118,Source_Data!BA$6&lt;$B$118+3*Inputs!$B$16,MOD(Source_Data!BA$6-$B$118,3)=0),Inputs!$B$8*Inputs!$B$7*Inputs!$B$34*$B$113*(1-Inputs!$B$15)/Inputs!$B$16,0)</f>
        <v>0</v>
      </c>
      <c r="BB127" s="33" t="n">
        <f aca="false">IF(Source_Data!BB$6=Inputs!$B$12,-Inputs!$B$7,0)+IF(AND(Source_Data!BB$6&gt;=$B$118,Source_Data!BB$6&lt;$B$118+3*Inputs!$B$16,MOD(Source_Data!BB$6-$B$118,3)=0),Inputs!$B$8*Inputs!$B$7*Inputs!$B$34*$B$113*(1-Inputs!$B$15)/Inputs!$B$16,0)</f>
        <v>0</v>
      </c>
      <c r="BC127" s="33" t="n">
        <f aca="false">IF(Source_Data!BC$6=Inputs!$B$12,-Inputs!$B$7,0)+IF(AND(Source_Data!BC$6&gt;=$B$118,Source_Data!BC$6&lt;$B$118+3*Inputs!$B$16,MOD(Source_Data!BC$6-$B$118,3)=0),Inputs!$B$8*Inputs!$B$7*Inputs!$B$34*$B$113*(1-Inputs!$B$15)/Inputs!$B$16,0)</f>
        <v>0</v>
      </c>
      <c r="BD127" s="33" t="n">
        <f aca="false">IF(Source_Data!BD$6=Inputs!$B$12,-Inputs!$B$7,0)+IF(AND(Source_Data!BD$6&gt;=$B$118,Source_Data!BD$6&lt;$B$118+3*Inputs!$B$16,MOD(Source_Data!BD$6-$B$118,3)=0),Inputs!$B$8*Inputs!$B$7*Inputs!$B$34*$B$113*(1-Inputs!$B$15)/Inputs!$B$16,0)</f>
        <v>0</v>
      </c>
      <c r="BE127" s="33" t="n">
        <f aca="false">IF(Source_Data!BE$6=Inputs!$B$12,-Inputs!$B$7,0)+IF(AND(Source_Data!BE$6&gt;=$B$118,Source_Data!BE$6&lt;$B$118+3*Inputs!$B$16,MOD(Source_Data!BE$6-$B$118,3)=0),Inputs!$B$8*Inputs!$B$7*Inputs!$B$34*$B$113*(1-Inputs!$B$15)/Inputs!$B$16,0)</f>
        <v>0</v>
      </c>
      <c r="BF127" s="33" t="n">
        <f aca="false">IF(Source_Data!BF$6=Inputs!$B$12,-Inputs!$B$7,0)+IF(AND(Source_Data!BF$6&gt;=$B$118,Source_Data!BF$6&lt;$B$118+3*Inputs!$B$16,MOD(Source_Data!BF$6-$B$118,3)=0),Inputs!$B$8*Inputs!$B$7*Inputs!$B$34*$B$113*(1-Inputs!$B$15)/Inputs!$B$16,0)</f>
        <v>0</v>
      </c>
      <c r="BG127" s="33" t="n">
        <f aca="false">IF(Source_Data!BG$6=Inputs!$B$12,-Inputs!$B$7,0)+IF(AND(Source_Data!BG$6&gt;=$B$118,Source_Data!BG$6&lt;$B$118+3*Inputs!$B$16,MOD(Source_Data!BG$6-$B$118,3)=0),Inputs!$B$8*Inputs!$B$7*Inputs!$B$34*$B$113*(1-Inputs!$B$15)/Inputs!$B$16,0)</f>
        <v>0</v>
      </c>
      <c r="BH127" s="33" t="n">
        <f aca="false">IF(Source_Data!BH$6=Inputs!$B$12,-Inputs!$B$7,0)+IF(AND(Source_Data!BH$6&gt;=$B$118,Source_Data!BH$6&lt;$B$118+3*Inputs!$B$16,MOD(Source_Data!BH$6-$B$118,3)=0),Inputs!$B$8*Inputs!$B$7*Inputs!$B$34*$B$113*(1-Inputs!$B$15)/Inputs!$B$16,0)</f>
        <v>0</v>
      </c>
      <c r="BI127" s="33" t="n">
        <f aca="false">IF(Source_Data!BI$6=Inputs!$B$12,-Inputs!$B$7,0)+IF(AND(Source_Data!BI$6&gt;=$B$118,Source_Data!BI$6&lt;$B$118+3*Inputs!$B$16,MOD(Source_Data!BI$6-$B$118,3)=0),Inputs!$B$8*Inputs!$B$7*Inputs!$B$34*$B$113*(1-Inputs!$B$15)/Inputs!$B$16,0)</f>
        <v>0</v>
      </c>
      <c r="BJ127" s="33" t="n">
        <f aca="false">IF(Source_Data!BJ$6=Inputs!$B$12,-Inputs!$B$7,0)+IF(AND(Source_Data!BJ$6&gt;=$B$118,Source_Data!BJ$6&lt;$B$118+3*Inputs!$B$16,MOD(Source_Data!BJ$6-$B$118,3)=0),Inputs!$B$8*Inputs!$B$7*Inputs!$B$34*$B$113*(1-Inputs!$B$15)/Inputs!$B$16,0)</f>
        <v>0</v>
      </c>
      <c r="BK127" s="33" t="n">
        <f aca="false">IF(Source_Data!BK$6=Inputs!$B$12,-Inputs!$B$7,0)+IF(AND(Source_Data!BK$6&gt;=$B$118,Source_Data!BK$6&lt;$B$118+3*Inputs!$B$16,MOD(Source_Data!BK$6-$B$118,3)=0),Inputs!$B$8*Inputs!$B$7*Inputs!$B$34*$B$113*(1-Inputs!$B$15)/Inputs!$B$16,0)</f>
        <v>0</v>
      </c>
    </row>
    <row r="128" customFormat="false" ht="15" hidden="false" customHeight="false" outlineLevel="0" collapsed="false">
      <c r="A128" s="3" t="s">
        <v>341</v>
      </c>
      <c r="D128" s="33" t="n">
        <f aca="false">IF(AND(Source_Data!D$6&gt;=Inputs!$B$54,Source_Data!D$6&lt;Inputs!$B$54+3*Inputs!$B$11),Inputs!$B$9*Inputs!$B$7/Inputs!$B$11,0)</f>
        <v>0</v>
      </c>
      <c r="E128" s="33" t="n">
        <f aca="false">IF(AND(Source_Data!E$6&gt;=Inputs!$B$54,Source_Data!E$6&lt;Inputs!$B$54+3*Inputs!$B$11),Inputs!$B$9*Inputs!$B$7/Inputs!$B$11,0)</f>
        <v>0</v>
      </c>
      <c r="F128" s="33" t="n">
        <f aca="false">IF(AND(Source_Data!F$6&gt;=Inputs!$B$54,Source_Data!F$6&lt;Inputs!$B$54+3*Inputs!$B$11),Inputs!$B$9*Inputs!$B$7/Inputs!$B$11,0)</f>
        <v>0</v>
      </c>
      <c r="G128" s="33" t="n">
        <f aca="false">IF(AND(Source_Data!G$6&gt;=Inputs!$B$54,Source_Data!G$6&lt;Inputs!$B$54+3*Inputs!$B$11),Inputs!$B$9*Inputs!$B$7/Inputs!$B$11,0)</f>
        <v>0</v>
      </c>
      <c r="H128" s="33" t="n">
        <f aca="false">IF(AND(Source_Data!H$6&gt;=Inputs!$B$54,Source_Data!H$6&lt;Inputs!$B$54+3*Inputs!$B$11),Inputs!$B$9*Inputs!$B$7/Inputs!$B$11,0)</f>
        <v>0</v>
      </c>
      <c r="I128" s="33" t="n">
        <f aca="false">IF(AND(Source_Data!I$6&gt;=Inputs!$B$54,Source_Data!I$6&lt;Inputs!$B$54+3*Inputs!$B$11),Inputs!$B$9*Inputs!$B$7/Inputs!$B$11,0)</f>
        <v>0</v>
      </c>
      <c r="J128" s="33" t="n">
        <f aca="false">IF(AND(Source_Data!J$6&gt;=Inputs!$B$54,Source_Data!J$6&lt;Inputs!$B$54+3*Inputs!$B$11),Inputs!$B$9*Inputs!$B$7/Inputs!$B$11,0)</f>
        <v>0</v>
      </c>
      <c r="K128" s="33" t="n">
        <f aca="false">IF(AND(Source_Data!K$6&gt;=Inputs!$B$54,Source_Data!K$6&lt;Inputs!$B$54+3*Inputs!$B$11),Inputs!$B$9*Inputs!$B$7/Inputs!$B$11,0)</f>
        <v>0</v>
      </c>
      <c r="L128" s="33" t="n">
        <f aca="false">IF(AND(Source_Data!L$6&gt;=Inputs!$B$54,Source_Data!L$6&lt;Inputs!$B$54+3*Inputs!$B$11),Inputs!$B$9*Inputs!$B$7/Inputs!$B$11,0)</f>
        <v>0</v>
      </c>
      <c r="M128" s="33" t="n">
        <f aca="false">IF(AND(Source_Data!M$6&gt;=Inputs!$B$54,Source_Data!M$6&lt;Inputs!$B$54+3*Inputs!$B$11),Inputs!$B$9*Inputs!$B$7/Inputs!$B$11,0)</f>
        <v>19.1666666666667</v>
      </c>
      <c r="N128" s="33" t="n">
        <f aca="false">IF(AND(Source_Data!N$6&gt;=Inputs!$B$54,Source_Data!N$6&lt;Inputs!$B$54+3*Inputs!$B$11),Inputs!$B$9*Inputs!$B$7/Inputs!$B$11,0)</f>
        <v>19.1666666666667</v>
      </c>
      <c r="O128" s="33" t="n">
        <f aca="false">IF(AND(Source_Data!O$6&gt;=Inputs!$B$54,Source_Data!O$6&lt;Inputs!$B$54+3*Inputs!$B$11),Inputs!$B$9*Inputs!$B$7/Inputs!$B$11,0)</f>
        <v>19.1666666666667</v>
      </c>
      <c r="P128" s="33" t="n">
        <f aca="false">IF(AND(Source_Data!P$6&gt;=Inputs!$B$54,Source_Data!P$6&lt;Inputs!$B$54+3*Inputs!$B$11),Inputs!$B$9*Inputs!$B$7/Inputs!$B$11,0)</f>
        <v>19.1666666666667</v>
      </c>
      <c r="Q128" s="33" t="n">
        <f aca="false">IF(AND(Source_Data!Q$6&gt;=Inputs!$B$54,Source_Data!Q$6&lt;Inputs!$B$54+3*Inputs!$B$11),Inputs!$B$9*Inputs!$B$7/Inputs!$B$11,0)</f>
        <v>19.1666666666667</v>
      </c>
      <c r="R128" s="33" t="n">
        <f aca="false">IF(AND(Source_Data!R$6&gt;=Inputs!$B$54,Source_Data!R$6&lt;Inputs!$B$54+3*Inputs!$B$11),Inputs!$B$9*Inputs!$B$7/Inputs!$B$11,0)</f>
        <v>19.1666666666667</v>
      </c>
      <c r="S128" s="33" t="n">
        <f aca="false">IF(AND(Source_Data!S$6&gt;=Inputs!$B$54,Source_Data!S$6&lt;Inputs!$B$54+3*Inputs!$B$11),Inputs!$B$9*Inputs!$B$7/Inputs!$B$11,0)</f>
        <v>19.1666666666667</v>
      </c>
      <c r="T128" s="33" t="n">
        <f aca="false">IF(AND(Source_Data!T$6&gt;=Inputs!$B$54,Source_Data!T$6&lt;Inputs!$B$54+3*Inputs!$B$11),Inputs!$B$9*Inputs!$B$7/Inputs!$B$11,0)</f>
        <v>19.1666666666667</v>
      </c>
      <c r="U128" s="33" t="n">
        <f aca="false">IF(AND(Source_Data!U$6&gt;=Inputs!$B$54,Source_Data!U$6&lt;Inputs!$B$54+3*Inputs!$B$11),Inputs!$B$9*Inputs!$B$7/Inputs!$B$11,0)</f>
        <v>19.1666666666667</v>
      </c>
      <c r="V128" s="33" t="n">
        <f aca="false">IF(AND(Source_Data!V$6&gt;=Inputs!$B$54,Source_Data!V$6&lt;Inputs!$B$54+3*Inputs!$B$11),Inputs!$B$9*Inputs!$B$7/Inputs!$B$11,0)</f>
        <v>19.1666666666667</v>
      </c>
      <c r="W128" s="33" t="n">
        <f aca="false">IF(AND(Source_Data!W$6&gt;=Inputs!$B$54,Source_Data!W$6&lt;Inputs!$B$54+3*Inputs!$B$11),Inputs!$B$9*Inputs!$B$7/Inputs!$B$11,0)</f>
        <v>19.1666666666667</v>
      </c>
      <c r="X128" s="33" t="n">
        <f aca="false">IF(AND(Source_Data!X$6&gt;=Inputs!$B$54,Source_Data!X$6&lt;Inputs!$B$54+3*Inputs!$B$11),Inputs!$B$9*Inputs!$B$7/Inputs!$B$11,0)</f>
        <v>19.1666666666667</v>
      </c>
      <c r="Y128" s="33" t="n">
        <f aca="false">IF(AND(Source_Data!Y$6&gt;=Inputs!$B$54,Source_Data!Y$6&lt;Inputs!$B$54+3*Inputs!$B$11),Inputs!$B$9*Inputs!$B$7/Inputs!$B$11,0)</f>
        <v>0</v>
      </c>
      <c r="Z128" s="33" t="n">
        <f aca="false">IF(AND(Source_Data!Z$6&gt;=Inputs!$B$54,Source_Data!Z$6&lt;Inputs!$B$54+3*Inputs!$B$11),Inputs!$B$9*Inputs!$B$7/Inputs!$B$11,0)</f>
        <v>0</v>
      </c>
      <c r="AA128" s="33" t="n">
        <f aca="false">IF(AND(Source_Data!AA$6&gt;=Inputs!$B$54,Source_Data!AA$6&lt;Inputs!$B$54+3*Inputs!$B$11),Inputs!$B$9*Inputs!$B$7/Inputs!$B$11,0)</f>
        <v>0</v>
      </c>
      <c r="AB128" s="33" t="n">
        <f aca="false">IF(AND(Source_Data!AB$6&gt;=Inputs!$B$54,Source_Data!AB$6&lt;Inputs!$B$54+3*Inputs!$B$11),Inputs!$B$9*Inputs!$B$7/Inputs!$B$11,0)</f>
        <v>0</v>
      </c>
      <c r="AC128" s="33" t="n">
        <f aca="false">IF(AND(Source_Data!AC$6&gt;=Inputs!$B$54,Source_Data!AC$6&lt;Inputs!$B$54+3*Inputs!$B$11),Inputs!$B$9*Inputs!$B$7/Inputs!$B$11,0)</f>
        <v>0</v>
      </c>
      <c r="AD128" s="33" t="n">
        <f aca="false">IF(AND(Source_Data!AD$6&gt;=Inputs!$B$54,Source_Data!AD$6&lt;Inputs!$B$54+3*Inputs!$B$11),Inputs!$B$9*Inputs!$B$7/Inputs!$B$11,0)</f>
        <v>0</v>
      </c>
      <c r="AE128" s="33" t="n">
        <f aca="false">IF(AND(Source_Data!AE$6&gt;=Inputs!$B$54,Source_Data!AE$6&lt;Inputs!$B$54+3*Inputs!$B$11),Inputs!$B$9*Inputs!$B$7/Inputs!$B$11,0)</f>
        <v>0</v>
      </c>
      <c r="AF128" s="33" t="n">
        <f aca="false">IF(AND(Source_Data!AF$6&gt;=Inputs!$B$54,Source_Data!AF$6&lt;Inputs!$B$54+3*Inputs!$B$11),Inputs!$B$9*Inputs!$B$7/Inputs!$B$11,0)</f>
        <v>0</v>
      </c>
      <c r="AG128" s="33" t="n">
        <f aca="false">IF(AND(Source_Data!AG$6&gt;=Inputs!$B$54,Source_Data!AG$6&lt;Inputs!$B$54+3*Inputs!$B$11),Inputs!$B$9*Inputs!$B$7/Inputs!$B$11,0)</f>
        <v>0</v>
      </c>
      <c r="AH128" s="33" t="n">
        <f aca="false">IF(AND(Source_Data!AH$6&gt;=Inputs!$B$54,Source_Data!AH$6&lt;Inputs!$B$54+3*Inputs!$B$11),Inputs!$B$9*Inputs!$B$7/Inputs!$B$11,0)</f>
        <v>0</v>
      </c>
      <c r="AI128" s="33" t="n">
        <f aca="false">IF(AND(Source_Data!AI$6&gt;=Inputs!$B$54,Source_Data!AI$6&lt;Inputs!$B$54+3*Inputs!$B$11),Inputs!$B$9*Inputs!$B$7/Inputs!$B$11,0)</f>
        <v>0</v>
      </c>
      <c r="AJ128" s="33" t="n">
        <f aca="false">IF(AND(Source_Data!AJ$6&gt;=Inputs!$B$54,Source_Data!AJ$6&lt;Inputs!$B$54+3*Inputs!$B$11),Inputs!$B$9*Inputs!$B$7/Inputs!$B$11,0)</f>
        <v>0</v>
      </c>
      <c r="AK128" s="33" t="n">
        <f aca="false">IF(AND(Source_Data!AK$6&gt;=Inputs!$B$54,Source_Data!AK$6&lt;Inputs!$B$54+3*Inputs!$B$11),Inputs!$B$9*Inputs!$B$7/Inputs!$B$11,0)</f>
        <v>0</v>
      </c>
      <c r="AL128" s="33" t="n">
        <f aca="false">IF(AND(Source_Data!AL$6&gt;=Inputs!$B$54,Source_Data!AL$6&lt;Inputs!$B$54+3*Inputs!$B$11),Inputs!$B$9*Inputs!$B$7/Inputs!$B$11,0)</f>
        <v>0</v>
      </c>
      <c r="AM128" s="33" t="n">
        <f aca="false">IF(AND(Source_Data!AM$6&gt;=Inputs!$B$54,Source_Data!AM$6&lt;Inputs!$B$54+3*Inputs!$B$11),Inputs!$B$9*Inputs!$B$7/Inputs!$B$11,0)</f>
        <v>0</v>
      </c>
      <c r="AN128" s="33" t="n">
        <f aca="false">IF(AND(Source_Data!AN$6&gt;=Inputs!$B$54,Source_Data!AN$6&lt;Inputs!$B$54+3*Inputs!$B$11),Inputs!$B$9*Inputs!$B$7/Inputs!$B$11,0)</f>
        <v>0</v>
      </c>
      <c r="AO128" s="33" t="n">
        <f aca="false">IF(AND(Source_Data!AO$6&gt;=Inputs!$B$54,Source_Data!AO$6&lt;Inputs!$B$54+3*Inputs!$B$11),Inputs!$B$9*Inputs!$B$7/Inputs!$B$11,0)</f>
        <v>0</v>
      </c>
      <c r="AP128" s="33" t="n">
        <f aca="false">IF(AND(Source_Data!AP$6&gt;=Inputs!$B$54,Source_Data!AP$6&lt;Inputs!$B$54+3*Inputs!$B$11),Inputs!$B$9*Inputs!$B$7/Inputs!$B$11,0)</f>
        <v>0</v>
      </c>
      <c r="AQ128" s="33" t="n">
        <f aca="false">IF(AND(Source_Data!AQ$6&gt;=Inputs!$B$54,Source_Data!AQ$6&lt;Inputs!$B$54+3*Inputs!$B$11),Inputs!$B$9*Inputs!$B$7/Inputs!$B$11,0)</f>
        <v>0</v>
      </c>
      <c r="AR128" s="33" t="n">
        <f aca="false">IF(AND(Source_Data!AR$6&gt;=Inputs!$B$54,Source_Data!AR$6&lt;Inputs!$B$54+3*Inputs!$B$11),Inputs!$B$9*Inputs!$B$7/Inputs!$B$11,0)</f>
        <v>0</v>
      </c>
      <c r="AS128" s="33" t="n">
        <f aca="false">IF(AND(Source_Data!AS$6&gt;=Inputs!$B$54,Source_Data!AS$6&lt;Inputs!$B$54+3*Inputs!$B$11),Inputs!$B$9*Inputs!$B$7/Inputs!$B$11,0)</f>
        <v>0</v>
      </c>
      <c r="AT128" s="33" t="n">
        <f aca="false">IF(AND(Source_Data!AT$6&gt;=Inputs!$B$54,Source_Data!AT$6&lt;Inputs!$B$54+3*Inputs!$B$11),Inputs!$B$9*Inputs!$B$7/Inputs!$B$11,0)</f>
        <v>0</v>
      </c>
      <c r="AU128" s="33" t="n">
        <f aca="false">IF(AND(Source_Data!AU$6&gt;=Inputs!$B$54,Source_Data!AU$6&lt;Inputs!$B$54+3*Inputs!$B$11),Inputs!$B$9*Inputs!$B$7/Inputs!$B$11,0)</f>
        <v>0</v>
      </c>
      <c r="AV128" s="33" t="n">
        <f aca="false">IF(AND(Source_Data!AV$6&gt;=Inputs!$B$54,Source_Data!AV$6&lt;Inputs!$B$54+3*Inputs!$B$11),Inputs!$B$9*Inputs!$B$7/Inputs!$B$11,0)</f>
        <v>0</v>
      </c>
      <c r="AW128" s="33" t="n">
        <f aca="false">IF(AND(Source_Data!AW$6&gt;=Inputs!$B$54,Source_Data!AW$6&lt;Inputs!$B$54+3*Inputs!$B$11),Inputs!$B$9*Inputs!$B$7/Inputs!$B$11,0)</f>
        <v>0</v>
      </c>
      <c r="AX128" s="33" t="n">
        <f aca="false">IF(AND(Source_Data!AX$6&gt;=Inputs!$B$54,Source_Data!AX$6&lt;Inputs!$B$54+3*Inputs!$B$11),Inputs!$B$9*Inputs!$B$7/Inputs!$B$11,0)</f>
        <v>0</v>
      </c>
      <c r="AY128" s="33" t="n">
        <f aca="false">IF(AND(Source_Data!AY$6&gt;=Inputs!$B$54,Source_Data!AY$6&lt;Inputs!$B$54+3*Inputs!$B$11),Inputs!$B$9*Inputs!$B$7/Inputs!$B$11,0)</f>
        <v>0</v>
      </c>
      <c r="AZ128" s="33" t="n">
        <f aca="false">IF(AND(Source_Data!AZ$6&gt;=Inputs!$B$54,Source_Data!AZ$6&lt;Inputs!$B$54+3*Inputs!$B$11),Inputs!$B$9*Inputs!$B$7/Inputs!$B$11,0)</f>
        <v>0</v>
      </c>
      <c r="BA128" s="33" t="n">
        <f aca="false">IF(AND(Source_Data!BA$6&gt;=Inputs!$B$54,Source_Data!BA$6&lt;Inputs!$B$54+3*Inputs!$B$11),Inputs!$B$9*Inputs!$B$7/Inputs!$B$11,0)</f>
        <v>0</v>
      </c>
      <c r="BB128" s="33" t="n">
        <f aca="false">IF(AND(Source_Data!BB$6&gt;=Inputs!$B$54,Source_Data!BB$6&lt;Inputs!$B$54+3*Inputs!$B$11),Inputs!$B$9*Inputs!$B$7/Inputs!$B$11,0)</f>
        <v>0</v>
      </c>
      <c r="BC128" s="33" t="n">
        <f aca="false">IF(AND(Source_Data!BC$6&gt;=Inputs!$B$54,Source_Data!BC$6&lt;Inputs!$B$54+3*Inputs!$B$11),Inputs!$B$9*Inputs!$B$7/Inputs!$B$11,0)</f>
        <v>0</v>
      </c>
      <c r="BD128" s="33" t="n">
        <f aca="false">IF(AND(Source_Data!BD$6&gt;=Inputs!$B$54,Source_Data!BD$6&lt;Inputs!$B$54+3*Inputs!$B$11),Inputs!$B$9*Inputs!$B$7/Inputs!$B$11,0)</f>
        <v>0</v>
      </c>
      <c r="BE128" s="33" t="n">
        <f aca="false">IF(AND(Source_Data!BE$6&gt;=Inputs!$B$54,Source_Data!BE$6&lt;Inputs!$B$54+3*Inputs!$B$11),Inputs!$B$9*Inputs!$B$7/Inputs!$B$11,0)</f>
        <v>0</v>
      </c>
      <c r="BF128" s="33" t="n">
        <f aca="false">IF(AND(Source_Data!BF$6&gt;=Inputs!$B$54,Source_Data!BF$6&lt;Inputs!$B$54+3*Inputs!$B$11),Inputs!$B$9*Inputs!$B$7/Inputs!$B$11,0)</f>
        <v>0</v>
      </c>
      <c r="BG128" s="33" t="n">
        <f aca="false">IF(AND(Source_Data!BG$6&gt;=Inputs!$B$54,Source_Data!BG$6&lt;Inputs!$B$54+3*Inputs!$B$11),Inputs!$B$9*Inputs!$B$7/Inputs!$B$11,0)</f>
        <v>0</v>
      </c>
      <c r="BH128" s="33" t="n">
        <f aca="false">IF(AND(Source_Data!BH$6&gt;=Inputs!$B$54,Source_Data!BH$6&lt;Inputs!$B$54+3*Inputs!$B$11),Inputs!$B$9*Inputs!$B$7/Inputs!$B$11,0)</f>
        <v>0</v>
      </c>
      <c r="BI128" s="33" t="n">
        <f aca="false">IF(AND(Source_Data!BI$6&gt;=Inputs!$B$54,Source_Data!BI$6&lt;Inputs!$B$54+3*Inputs!$B$11),Inputs!$B$9*Inputs!$B$7/Inputs!$B$11,0)</f>
        <v>0</v>
      </c>
      <c r="BJ128" s="33" t="n">
        <f aca="false">IF(AND(Source_Data!BJ$6&gt;=Inputs!$B$54,Source_Data!BJ$6&lt;Inputs!$B$54+3*Inputs!$B$11),Inputs!$B$9*Inputs!$B$7/Inputs!$B$11,0)</f>
        <v>0</v>
      </c>
      <c r="BK128" s="33" t="n">
        <f aca="false">IF(AND(Source_Data!BK$6&gt;=Inputs!$B$54,Source_Data!BK$6&lt;Inputs!$B$54+3*Inputs!$B$11),Inputs!$B$9*Inputs!$B$7/Inputs!$B$11,0)</f>
        <v>0</v>
      </c>
    </row>
    <row r="129" customFormat="false" ht="15" hidden="false" customHeight="false" outlineLevel="0" collapsed="false">
      <c r="A129" s="3" t="s">
        <v>342</v>
      </c>
      <c r="D129" s="33" t="n">
        <f aca="false">IF(Source_Data!D$6=Inputs!$B$12,-Inputs!$B$7,0)+D128</f>
        <v>-100</v>
      </c>
      <c r="E129" s="33" t="n">
        <f aca="false">IF(Source_Data!E$6=Inputs!$B$12,-Inputs!$B$7,0)+E128</f>
        <v>0</v>
      </c>
      <c r="F129" s="33" t="n">
        <f aca="false">IF(Source_Data!F$6=Inputs!$B$12,-Inputs!$B$7,0)+F128</f>
        <v>0</v>
      </c>
      <c r="G129" s="33" t="n">
        <f aca="false">IF(Source_Data!G$6=Inputs!$B$12,-Inputs!$B$7,0)+G128</f>
        <v>0</v>
      </c>
      <c r="H129" s="33" t="n">
        <f aca="false">IF(Source_Data!H$6=Inputs!$B$12,-Inputs!$B$7,0)+H128</f>
        <v>0</v>
      </c>
      <c r="I129" s="33" t="n">
        <f aca="false">IF(Source_Data!I$6=Inputs!$B$12,-Inputs!$B$7,0)+I128</f>
        <v>0</v>
      </c>
      <c r="J129" s="33" t="n">
        <f aca="false">IF(Source_Data!J$6=Inputs!$B$12,-Inputs!$B$7,0)+J128</f>
        <v>0</v>
      </c>
      <c r="K129" s="33" t="n">
        <f aca="false">IF(Source_Data!K$6=Inputs!$B$12,-Inputs!$B$7,0)+K128</f>
        <v>0</v>
      </c>
      <c r="L129" s="33" t="n">
        <f aca="false">IF(Source_Data!L$6=Inputs!$B$12,-Inputs!$B$7,0)+L128</f>
        <v>0</v>
      </c>
      <c r="M129" s="33" t="n">
        <f aca="false">IF(Source_Data!M$6=Inputs!$B$12,-Inputs!$B$7,0)+M128</f>
        <v>19.1666666666667</v>
      </c>
      <c r="N129" s="33" t="n">
        <f aca="false">IF(Source_Data!N$6=Inputs!$B$12,-Inputs!$B$7,0)+N128</f>
        <v>19.1666666666667</v>
      </c>
      <c r="O129" s="33" t="n">
        <f aca="false">IF(Source_Data!O$6=Inputs!$B$12,-Inputs!$B$7,0)+O128</f>
        <v>19.1666666666667</v>
      </c>
      <c r="P129" s="33" t="n">
        <f aca="false">IF(Source_Data!P$6=Inputs!$B$12,-Inputs!$B$7,0)+P128</f>
        <v>19.1666666666667</v>
      </c>
      <c r="Q129" s="33" t="n">
        <f aca="false">IF(Source_Data!Q$6=Inputs!$B$12,-Inputs!$B$7,0)+Q128</f>
        <v>19.1666666666667</v>
      </c>
      <c r="R129" s="33" t="n">
        <f aca="false">IF(Source_Data!R$6=Inputs!$B$12,-Inputs!$B$7,0)+R128</f>
        <v>19.1666666666667</v>
      </c>
      <c r="S129" s="33" t="n">
        <f aca="false">IF(Source_Data!S$6=Inputs!$B$12,-Inputs!$B$7,0)+S128</f>
        <v>19.1666666666667</v>
      </c>
      <c r="T129" s="33" t="n">
        <f aca="false">IF(Source_Data!T$6=Inputs!$B$12,-Inputs!$B$7,0)+T128</f>
        <v>19.1666666666667</v>
      </c>
      <c r="U129" s="33" t="n">
        <f aca="false">IF(Source_Data!U$6=Inputs!$B$12,-Inputs!$B$7,0)+U128</f>
        <v>19.1666666666667</v>
      </c>
      <c r="V129" s="33" t="n">
        <f aca="false">IF(Source_Data!V$6=Inputs!$B$12,-Inputs!$B$7,0)+V128</f>
        <v>19.1666666666667</v>
      </c>
      <c r="W129" s="33" t="n">
        <f aca="false">IF(Source_Data!W$6=Inputs!$B$12,-Inputs!$B$7,0)+W128</f>
        <v>19.1666666666667</v>
      </c>
      <c r="X129" s="33" t="n">
        <f aca="false">IF(Source_Data!X$6=Inputs!$B$12,-Inputs!$B$7,0)+X128</f>
        <v>19.1666666666667</v>
      </c>
      <c r="Y129" s="33" t="n">
        <f aca="false">IF(Source_Data!Y$6=Inputs!$B$12,-Inputs!$B$7,0)+Y128</f>
        <v>0</v>
      </c>
      <c r="Z129" s="33" t="n">
        <f aca="false">IF(Source_Data!Z$6=Inputs!$B$12,-Inputs!$B$7,0)+Z128</f>
        <v>0</v>
      </c>
      <c r="AA129" s="33" t="n">
        <f aca="false">IF(Source_Data!AA$6=Inputs!$B$12,-Inputs!$B$7,0)+AA128</f>
        <v>0</v>
      </c>
      <c r="AB129" s="33" t="n">
        <f aca="false">IF(Source_Data!AB$6=Inputs!$B$12,-Inputs!$B$7,0)+AB128</f>
        <v>0</v>
      </c>
      <c r="AC129" s="33" t="n">
        <f aca="false">IF(Source_Data!AC$6=Inputs!$B$12,-Inputs!$B$7,0)+AC128</f>
        <v>0</v>
      </c>
      <c r="AD129" s="33" t="n">
        <f aca="false">IF(Source_Data!AD$6=Inputs!$B$12,-Inputs!$B$7,0)+AD128</f>
        <v>0</v>
      </c>
      <c r="AE129" s="33" t="n">
        <f aca="false">IF(Source_Data!AE$6=Inputs!$B$12,-Inputs!$B$7,0)+AE128</f>
        <v>0</v>
      </c>
      <c r="AF129" s="33" t="n">
        <f aca="false">IF(Source_Data!AF$6=Inputs!$B$12,-Inputs!$B$7,0)+AF128</f>
        <v>0</v>
      </c>
      <c r="AG129" s="33" t="n">
        <f aca="false">IF(Source_Data!AG$6=Inputs!$B$12,-Inputs!$B$7,0)+AG128</f>
        <v>0</v>
      </c>
      <c r="AH129" s="33" t="n">
        <f aca="false">IF(Source_Data!AH$6=Inputs!$B$12,-Inputs!$B$7,0)+AH128</f>
        <v>0</v>
      </c>
      <c r="AI129" s="33" t="n">
        <f aca="false">IF(Source_Data!AI$6=Inputs!$B$12,-Inputs!$B$7,0)+AI128</f>
        <v>0</v>
      </c>
      <c r="AJ129" s="33" t="n">
        <f aca="false">IF(Source_Data!AJ$6=Inputs!$B$12,-Inputs!$B$7,0)+AJ128</f>
        <v>0</v>
      </c>
      <c r="AK129" s="33" t="n">
        <f aca="false">IF(Source_Data!AK$6=Inputs!$B$12,-Inputs!$B$7,0)+AK128</f>
        <v>0</v>
      </c>
      <c r="AL129" s="33" t="n">
        <f aca="false">IF(Source_Data!AL$6=Inputs!$B$12,-Inputs!$B$7,0)+AL128</f>
        <v>0</v>
      </c>
      <c r="AM129" s="33" t="n">
        <f aca="false">IF(Source_Data!AM$6=Inputs!$B$12,-Inputs!$B$7,0)+AM128</f>
        <v>0</v>
      </c>
      <c r="AN129" s="33" t="n">
        <f aca="false">IF(Source_Data!AN$6=Inputs!$B$12,-Inputs!$B$7,0)+AN128</f>
        <v>0</v>
      </c>
      <c r="AO129" s="33" t="n">
        <f aca="false">IF(Source_Data!AO$6=Inputs!$B$12,-Inputs!$B$7,0)+AO128</f>
        <v>0</v>
      </c>
      <c r="AP129" s="33" t="n">
        <f aca="false">IF(Source_Data!AP$6=Inputs!$B$12,-Inputs!$B$7,0)+AP128</f>
        <v>0</v>
      </c>
      <c r="AQ129" s="33" t="n">
        <f aca="false">IF(Source_Data!AQ$6=Inputs!$B$12,-Inputs!$B$7,0)+AQ128</f>
        <v>0</v>
      </c>
      <c r="AR129" s="33" t="n">
        <f aca="false">IF(Source_Data!AR$6=Inputs!$B$12,-Inputs!$B$7,0)+AR128</f>
        <v>0</v>
      </c>
      <c r="AS129" s="33" t="n">
        <f aca="false">IF(Source_Data!AS$6=Inputs!$B$12,-Inputs!$B$7,0)+AS128</f>
        <v>0</v>
      </c>
      <c r="AT129" s="33" t="n">
        <f aca="false">IF(Source_Data!AT$6=Inputs!$B$12,-Inputs!$B$7,0)+AT128</f>
        <v>0</v>
      </c>
      <c r="AU129" s="33" t="n">
        <f aca="false">IF(Source_Data!AU$6=Inputs!$B$12,-Inputs!$B$7,0)+AU128</f>
        <v>0</v>
      </c>
      <c r="AV129" s="33" t="n">
        <f aca="false">IF(Source_Data!AV$6=Inputs!$B$12,-Inputs!$B$7,0)+AV128</f>
        <v>0</v>
      </c>
      <c r="AW129" s="33" t="n">
        <f aca="false">IF(Source_Data!AW$6=Inputs!$B$12,-Inputs!$B$7,0)+AW128</f>
        <v>0</v>
      </c>
      <c r="AX129" s="33" t="n">
        <f aca="false">IF(Source_Data!AX$6=Inputs!$B$12,-Inputs!$B$7,0)+AX128</f>
        <v>0</v>
      </c>
      <c r="AY129" s="33" t="n">
        <f aca="false">IF(Source_Data!AY$6=Inputs!$B$12,-Inputs!$B$7,0)+AY128</f>
        <v>0</v>
      </c>
      <c r="AZ129" s="33" t="n">
        <f aca="false">IF(Source_Data!AZ$6=Inputs!$B$12,-Inputs!$B$7,0)+AZ128</f>
        <v>0</v>
      </c>
      <c r="BA129" s="33" t="n">
        <f aca="false">IF(Source_Data!BA$6=Inputs!$B$12,-Inputs!$B$7,0)+BA128</f>
        <v>0</v>
      </c>
      <c r="BB129" s="33" t="n">
        <f aca="false">IF(Source_Data!BB$6=Inputs!$B$12,-Inputs!$B$7,0)+BB128</f>
        <v>0</v>
      </c>
      <c r="BC129" s="33" t="n">
        <f aca="false">IF(Source_Data!BC$6=Inputs!$B$12,-Inputs!$B$7,0)+BC128</f>
        <v>0</v>
      </c>
      <c r="BD129" s="33" t="n">
        <f aca="false">IF(Source_Data!BD$6=Inputs!$B$12,-Inputs!$B$7,0)+BD128</f>
        <v>0</v>
      </c>
      <c r="BE129" s="33" t="n">
        <f aca="false">IF(Source_Data!BE$6=Inputs!$B$12,-Inputs!$B$7,0)+BE128</f>
        <v>0</v>
      </c>
      <c r="BF129" s="33" t="n">
        <f aca="false">IF(Source_Data!BF$6=Inputs!$B$12,-Inputs!$B$7,0)+BF128</f>
        <v>0</v>
      </c>
      <c r="BG129" s="33" t="n">
        <f aca="false">IF(Source_Data!BG$6=Inputs!$B$12,-Inputs!$B$7,0)+BG128</f>
        <v>0</v>
      </c>
      <c r="BH129" s="33" t="n">
        <f aca="false">IF(Source_Data!BH$6=Inputs!$B$12,-Inputs!$B$7,0)+BH128</f>
        <v>0</v>
      </c>
      <c r="BI129" s="33" t="n">
        <f aca="false">IF(Source_Data!BI$6=Inputs!$B$12,-Inputs!$B$7,0)+BI128</f>
        <v>0</v>
      </c>
      <c r="BJ129" s="33" t="n">
        <f aca="false">IF(Source_Data!BJ$6=Inputs!$B$12,-Inputs!$B$7,0)+BJ128</f>
        <v>0</v>
      </c>
      <c r="BK129" s="33" t="n">
        <f aca="false">IF(Source_Data!BK$6=Inputs!$B$12,-Inputs!$B$7,0)+BK128</f>
        <v>0</v>
      </c>
    </row>
    <row r="130" customFormat="false" ht="15" hidden="false" customHeight="false" outlineLevel="0" collapsed="false">
      <c r="A130" s="3" t="s">
        <v>343</v>
      </c>
      <c r="D130" s="33" t="n">
        <f aca="false">IF(Source_Data!D$6=Inputs!$B$12,Inputs!$B$7,0)+D125-D128</f>
        <v>8.75</v>
      </c>
      <c r="E130" s="33" t="n">
        <f aca="false">D130+IF(Source_Data!E$6=Inputs!$B$12,Inputs!$B$7,0)+E125-E128</f>
        <v>-2.5</v>
      </c>
      <c r="F130" s="33" t="n">
        <f aca="false">E130+IF(Source_Data!F$6=Inputs!$B$12,Inputs!$B$7,0)+F125-F128</f>
        <v>4.417085</v>
      </c>
      <c r="G130" s="33" t="n">
        <f aca="false">F130+IF(Source_Data!G$6=Inputs!$B$12,Inputs!$B$7,0)+G125-G128</f>
        <v>29.501255</v>
      </c>
      <c r="H130" s="33" t="n">
        <f aca="false">G130+IF(Source_Data!H$6=Inputs!$B$12,Inputs!$B$7,0)+H125-H128</f>
        <v>39.8156625</v>
      </c>
      <c r="I130" s="33" t="n">
        <f aca="false">H130+IF(Source_Data!I$6=Inputs!$B$12,Inputs!$B$7,0)+I125-I128</f>
        <v>62.2503075</v>
      </c>
      <c r="J130" s="33" t="n">
        <f aca="false">I130+IF(Source_Data!J$6=Inputs!$B$12,Inputs!$B$7,0)+J125-J128</f>
        <v>54.0554795</v>
      </c>
      <c r="K130" s="33" t="n">
        <f aca="false">J130+IF(Source_Data!K$6=Inputs!$B$12,Inputs!$B$7,0)+K125-K128</f>
        <v>62.83008275</v>
      </c>
      <c r="L130" s="33" t="n">
        <f aca="false">K130+IF(Source_Data!L$6=Inputs!$B$12,Inputs!$B$7,0)+L125-L128</f>
        <v>83.689188875</v>
      </c>
      <c r="M130" s="33" t="n">
        <f aca="false">L130+IF(Source_Data!M$6=Inputs!$B$12,Inputs!$B$7,0)+M125-M128</f>
        <v>583.291615208333</v>
      </c>
      <c r="N130" s="33" t="n">
        <f aca="false">M130+IF(Source_Data!N$6=Inputs!$B$12,Inputs!$B$7,0)+N125-N128</f>
        <v>738.609436541667</v>
      </c>
      <c r="O130" s="33" t="n">
        <f aca="false">N130+IF(Source_Data!O$6=Inputs!$B$12,Inputs!$B$7,0)+O125-O128</f>
        <v>883.074757875</v>
      </c>
      <c r="P130" s="33" t="n">
        <f aca="false">O130+IF(Source_Data!P$6=Inputs!$B$12,Inputs!$B$7,0)+P125-P128</f>
        <v>788.443343208333</v>
      </c>
      <c r="Q130" s="33" t="n">
        <f aca="false">P130+IF(Source_Data!Q$6=Inputs!$B$12,Inputs!$B$7,0)+Q125-Q128</f>
        <v>660.735679041667</v>
      </c>
      <c r="R130" s="33" t="n">
        <f aca="false">Q130+IF(Source_Data!R$6=Inputs!$B$12,Inputs!$B$7,0)+R125-R128</f>
        <v>482.428014875</v>
      </c>
      <c r="S130" s="33" t="n">
        <f aca="false">R130+IF(Source_Data!S$6=Inputs!$B$12,Inputs!$B$7,0)+S125-S128</f>
        <v>357.368350958333</v>
      </c>
      <c r="T130" s="33" t="n">
        <f aca="false">S130+IF(Source_Data!T$6=Inputs!$B$12,Inputs!$B$7,0)+T125-T128</f>
        <v>366.673651916667</v>
      </c>
      <c r="U130" s="33" t="n">
        <f aca="false">T130+IF(Source_Data!U$6=Inputs!$B$12,Inputs!$B$7,0)+U125-U128</f>
        <v>374.162244375</v>
      </c>
      <c r="V130" s="33" t="n">
        <f aca="false">U130+IF(Source_Data!V$6=Inputs!$B$12,Inputs!$B$7,0)+V125-V128</f>
        <v>374.464311333333</v>
      </c>
      <c r="W130" s="33" t="n">
        <f aca="false">V130+IF(Source_Data!W$6=Inputs!$B$12,Inputs!$B$7,0)+W125-W128</f>
        <v>369.557178291667</v>
      </c>
      <c r="X130" s="33" t="n">
        <f aca="false">W130+IF(Source_Data!X$6=Inputs!$B$12,Inputs!$B$7,0)+X125-X128</f>
        <v>387.15004525</v>
      </c>
      <c r="Y130" s="33" t="n">
        <f aca="false">X130+IF(Source_Data!Y$6=Inputs!$B$12,Inputs!$B$7,0)+Y125-Y128</f>
        <v>415.173316375</v>
      </c>
      <c r="Z130" s="33" t="n">
        <f aca="false">Y130+IF(Source_Data!Z$6=Inputs!$B$12,Inputs!$B$7,0)+Z125-Z128</f>
        <v>443.1965875</v>
      </c>
      <c r="AA130" s="33" t="n">
        <f aca="false">Z130+IF(Source_Data!AA$6=Inputs!$B$12,Inputs!$B$7,0)+AA125-AA128</f>
        <v>471.219858625</v>
      </c>
      <c r="AB130" s="33" t="n">
        <f aca="false">AA130+IF(Source_Data!AB$6=Inputs!$B$12,Inputs!$B$7,0)+AB125-AB128</f>
        <v>514.79752975</v>
      </c>
      <c r="AC130" s="33" t="n">
        <f aca="false">AB130+IF(Source_Data!AC$6=Inputs!$B$12,Inputs!$B$7,0)+AC125-AC128</f>
        <v>554.44388275</v>
      </c>
      <c r="AD130" s="33" t="n">
        <f aca="false">AC130+IF(Source_Data!AD$6=Inputs!$B$12,Inputs!$B$7,0)+AD125-AD128</f>
        <v>589.76008825</v>
      </c>
      <c r="AE130" s="33" t="n">
        <f aca="false">AD130+IF(Source_Data!AE$6=Inputs!$B$12,Inputs!$B$7,0)+AE125-AE128</f>
        <v>619.86709375</v>
      </c>
      <c r="AF130" s="33" t="n">
        <f aca="false">AE130+IF(Source_Data!AF$6=Inputs!$B$12,Inputs!$B$7,0)+AF125-AF128</f>
        <v>427.808417711033</v>
      </c>
      <c r="AG130" s="33" t="n">
        <f aca="false">AF130+IF(Source_Data!AG$6=Inputs!$B$12,Inputs!$B$7,0)+AG125-AG128</f>
        <v>435.285088546317</v>
      </c>
      <c r="AH130" s="33" t="n">
        <f aca="false">AG130+IF(Source_Data!AH$6=Inputs!$B$12,Inputs!$B$7,0)+AH125-AH128</f>
        <v>442.7617593816</v>
      </c>
      <c r="AI130" s="33" t="n">
        <f aca="false">AH130+IF(Source_Data!AI$6=Inputs!$B$12,Inputs!$B$7,0)+AI125-AI128</f>
        <v>450.238430216883</v>
      </c>
      <c r="AJ130" s="33" t="n">
        <f aca="false">AI130+IF(Source_Data!AJ$6=Inputs!$B$12,Inputs!$B$7,0)+AJ125-AJ128</f>
        <v>457.715101052167</v>
      </c>
      <c r="AK130" s="33" t="n">
        <f aca="false">AJ130+IF(Source_Data!AK$6=Inputs!$B$12,Inputs!$B$7,0)+AK125-AK128</f>
        <v>464.54091181726</v>
      </c>
      <c r="AL130" s="33" t="n">
        <f aca="false">AK130+IF(Source_Data!AL$6=Inputs!$B$12,Inputs!$B$7,0)+AL125-AL128</f>
        <v>471.366722582354</v>
      </c>
      <c r="AM130" s="33" t="n">
        <f aca="false">AL130+IF(Source_Data!AM$6=Inputs!$B$12,Inputs!$B$7,0)+AM125-AM128</f>
        <v>476.951182836766</v>
      </c>
      <c r="AN130" s="33" t="n">
        <f aca="false">AM130+IF(Source_Data!AN$6=Inputs!$B$12,Inputs!$B$7,0)+AN125-AN128</f>
        <v>479.819818276559</v>
      </c>
      <c r="AO130" s="33" t="n">
        <f aca="false">AN130+IF(Source_Data!AO$6=Inputs!$B$12,Inputs!$B$7,0)+AO125-AO128</f>
        <v>480.883833</v>
      </c>
      <c r="AP130" s="33" t="n">
        <f aca="false">AO130+IF(Source_Data!AP$6=Inputs!$B$12,Inputs!$B$7,0)+AP125-AP128</f>
        <v>480.883833</v>
      </c>
      <c r="AQ130" s="33" t="n">
        <f aca="false">AP130+IF(Source_Data!AQ$6=Inputs!$B$12,Inputs!$B$7,0)+AQ125-AQ128</f>
        <v>480.883833</v>
      </c>
      <c r="AR130" s="33" t="n">
        <f aca="false">AQ130+IF(Source_Data!AR$6=Inputs!$B$12,Inputs!$B$7,0)+AR125-AR128</f>
        <v>480.883833</v>
      </c>
      <c r="AS130" s="33" t="n">
        <f aca="false">AR130+IF(Source_Data!AS$6=Inputs!$B$12,Inputs!$B$7,0)+AS125-AS128</f>
        <v>480.883833</v>
      </c>
      <c r="AT130" s="33" t="n">
        <f aca="false">AS130+IF(Source_Data!AT$6=Inputs!$B$12,Inputs!$B$7,0)+AT125-AT128</f>
        <v>480.883833</v>
      </c>
      <c r="AU130" s="33" t="n">
        <f aca="false">AT130+IF(Source_Data!AU$6=Inputs!$B$12,Inputs!$B$7,0)+AU125-AU128</f>
        <v>480.883833</v>
      </c>
      <c r="AV130" s="33" t="n">
        <f aca="false">AU130+IF(Source_Data!AV$6=Inputs!$B$12,Inputs!$B$7,0)+AV125-AV128</f>
        <v>480.883833</v>
      </c>
      <c r="AW130" s="33" t="n">
        <f aca="false">AV130+IF(Source_Data!AW$6=Inputs!$B$12,Inputs!$B$7,0)+AW125-AW128</f>
        <v>480.883833</v>
      </c>
      <c r="AX130" s="33" t="n">
        <f aca="false">AW130+IF(Source_Data!AX$6=Inputs!$B$12,Inputs!$B$7,0)+AX125-AX128</f>
        <v>480.883833</v>
      </c>
      <c r="AY130" s="33" t="n">
        <f aca="false">AX130+IF(Source_Data!AY$6=Inputs!$B$12,Inputs!$B$7,0)+AY125-AY128</f>
        <v>480.883833</v>
      </c>
      <c r="AZ130" s="33" t="n">
        <f aca="false">AY130+IF(Source_Data!AZ$6=Inputs!$B$12,Inputs!$B$7,0)+AZ125-AZ128</f>
        <v>480.883833</v>
      </c>
      <c r="BA130" s="33" t="n">
        <f aca="false">AZ130+IF(Source_Data!BA$6=Inputs!$B$12,Inputs!$B$7,0)+BA125-BA128</f>
        <v>480.883833</v>
      </c>
      <c r="BB130" s="33" t="n">
        <f aca="false">BA130+IF(Source_Data!BB$6=Inputs!$B$12,Inputs!$B$7,0)+BB125-BB128</f>
        <v>480.883833</v>
      </c>
      <c r="BC130" s="33" t="n">
        <f aca="false">BB130+IF(Source_Data!BC$6=Inputs!$B$12,Inputs!$B$7,0)+BC125-BC128</f>
        <v>480.883833</v>
      </c>
      <c r="BD130" s="33" t="n">
        <f aca="false">BC130+IF(Source_Data!BD$6=Inputs!$B$12,Inputs!$B$7,0)+BD125-BD128</f>
        <v>480.883833</v>
      </c>
      <c r="BE130" s="33" t="n">
        <f aca="false">BD130+IF(Source_Data!BE$6=Inputs!$B$12,Inputs!$B$7,0)+BE125-BE128</f>
        <v>480.883833</v>
      </c>
      <c r="BF130" s="33" t="n">
        <f aca="false">BE130+IF(Source_Data!BF$6=Inputs!$B$12,Inputs!$B$7,0)+BF125-BF128</f>
        <v>480.883833</v>
      </c>
      <c r="BG130" s="33" t="n">
        <f aca="false">BF130+IF(Source_Data!BG$6=Inputs!$B$12,Inputs!$B$7,0)+BG125-BG128</f>
        <v>480.883833</v>
      </c>
      <c r="BH130" s="33" t="n">
        <f aca="false">BG130+IF(Source_Data!BH$6=Inputs!$B$12,Inputs!$B$7,0)+BH125-BH128</f>
        <v>480.883833</v>
      </c>
      <c r="BI130" s="33" t="n">
        <f aca="false">BH130+IF(Source_Data!BI$6=Inputs!$B$12,Inputs!$B$7,0)+BI125-BI128</f>
        <v>480.883833</v>
      </c>
      <c r="BJ130" s="33" t="n">
        <f aca="false">BI130+IF(Source_Data!BJ$6=Inputs!$B$12,Inputs!$B$7,0)+BJ125-BJ128</f>
        <v>480.883833</v>
      </c>
      <c r="BK130" s="33" t="n">
        <f aca="false">BJ130+IF(Source_Data!BK$6=Inputs!$B$12,Inputs!$B$7,0)+BK125-BK128</f>
        <v>480.883833</v>
      </c>
    </row>
    <row r="131" customFormat="false" ht="15" hidden="false" customHeight="false" outlineLevel="0" collapsed="false">
      <c r="A131" s="3" t="s">
        <v>344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n">
        <f aca="false">IF(M128&gt;0,M125/M128,"")</f>
        <v>27.0662135478261</v>
      </c>
      <c r="N131" s="31" t="n">
        <f aca="false">IF(N128&gt;0,N125/N128,"")</f>
        <v>9.10353850434783</v>
      </c>
      <c r="O131" s="31" t="n">
        <f aca="false">IF(O128&gt;0,O125/O128,"")</f>
        <v>8.53732111304348</v>
      </c>
      <c r="P131" s="31" t="n">
        <f aca="false">IF(P128&gt;0,P125/P128,"")</f>
        <v>-3.9372912</v>
      </c>
      <c r="Q131" s="31" t="n">
        <f aca="false">IF(Q128&gt;0,Q125/Q128,"")</f>
        <v>-5.66300856521739</v>
      </c>
      <c r="R131" s="31" t="n">
        <f aca="false">IF(R128&gt;0,R125/R128,"")</f>
        <v>-8.30300856521739</v>
      </c>
      <c r="S131" s="31" t="n">
        <f aca="false">IF(S128&gt;0,S125/S128,"")</f>
        <v>-5.52485203043479</v>
      </c>
      <c r="T131" s="31" t="n">
        <f aca="false">IF(T128&gt;0,T125/T128,"")</f>
        <v>1.48549396304348</v>
      </c>
      <c r="U131" s="31" t="n">
        <f aca="false">IF(U128&gt;0,U125/U128,"")</f>
        <v>1.39070917173913</v>
      </c>
      <c r="V131" s="31" t="n">
        <f aca="false">IF(V128&gt;0,V125/V128,"")</f>
        <v>1.01576001521739</v>
      </c>
      <c r="W131" s="31" t="n">
        <f aca="false">IF(W128&gt;0,W125/W128,"")</f>
        <v>0.743975667391304</v>
      </c>
      <c r="X131" s="31" t="n">
        <f aca="false">IF(X128&gt;0,X125/X128,"")</f>
        <v>1.91788871086957</v>
      </c>
      <c r="Y131" s="31" t="str">
        <f aca="false">IF(Y128&gt;0,Y125/Y128,"")</f>
        <v/>
      </c>
      <c r="Z131" s="31" t="str">
        <f aca="false">IF(Z128&gt;0,Z125/Z128,"")</f>
        <v/>
      </c>
      <c r="AA131" s="31" t="str">
        <f aca="false">IF(AA128&gt;0,AA125/AA128,"")</f>
        <v/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345</v>
      </c>
      <c r="D132" s="31" t="str">
        <f aca="false">IF(D128&gt;0,(0+D125+IF(Source_Data!D$6=Inputs!$B$12,Inputs!$B$7,0))/D128,"")</f>
        <v/>
      </c>
      <c r="E132" s="31" t="str">
        <f aca="false">IF(E128&gt;0,(D130+E125+IF(Source_Data!E$6=Inputs!$B$12,Inputs!$B$7,0))/E128,"")</f>
        <v/>
      </c>
      <c r="F132" s="31" t="str">
        <f aca="false">IF(F128&gt;0,(E130+F125+IF(Source_Data!F$6=Inputs!$B$12,Inputs!$B$7,0))/F128,"")</f>
        <v/>
      </c>
      <c r="G132" s="31" t="str">
        <f aca="false">IF(G128&gt;0,(F130+G125+IF(Source_Data!G$6=Inputs!$B$12,Inputs!$B$7,0))/G128,"")</f>
        <v/>
      </c>
      <c r="H132" s="31" t="str">
        <f aca="false">IF(H128&gt;0,(G130+H125+IF(Source_Data!H$6=Inputs!$B$12,Inputs!$B$7,0))/H128,"")</f>
        <v/>
      </c>
      <c r="I132" s="31" t="str">
        <f aca="false">IF(I128&gt;0,(H130+I125+IF(Source_Data!I$6=Inputs!$B$12,Inputs!$B$7,0))/I128,"")</f>
        <v/>
      </c>
      <c r="J132" s="31" t="str">
        <f aca="false">IF(J128&gt;0,(I130+J125+IF(Source_Data!J$6=Inputs!$B$12,Inputs!$B$7,0))/J128,"")</f>
        <v/>
      </c>
      <c r="K132" s="31" t="str">
        <f aca="false">IF(K128&gt;0,(J130+K125+IF(Source_Data!K$6=Inputs!$B$12,Inputs!$B$7,0))/K128,"")</f>
        <v/>
      </c>
      <c r="L132" s="31" t="str">
        <f aca="false">IF(L128&gt;0,(K130+L125+IF(Source_Data!L$6=Inputs!$B$12,Inputs!$B$7,0))/L128,"")</f>
        <v/>
      </c>
      <c r="M132" s="31" t="n">
        <f aca="false">IF(M128&gt;0,(L130+M125+IF(Source_Data!M$6=Inputs!$B$12,Inputs!$B$7,0))/M128,"")</f>
        <v>31.4326060108696</v>
      </c>
      <c r="N132" s="31" t="n">
        <f aca="false">IF(N128&gt;0,(M130+N125+IF(Source_Data!N$6=Inputs!$B$12,Inputs!$B$7,0))/N128,"")</f>
        <v>39.5361445152174</v>
      </c>
      <c r="O132" s="31" t="n">
        <f aca="false">IF(O128&gt;0,(N130+O125+IF(Source_Data!O$6=Inputs!$B$12,Inputs!$B$7,0))/O128,"")</f>
        <v>47.0734656282609</v>
      </c>
      <c r="P132" s="31" t="n">
        <f aca="false">IF(P128&gt;0,(O130+P125+IF(Source_Data!P$6=Inputs!$B$12,Inputs!$B$7,0))/P128,"")</f>
        <v>42.1361744282609</v>
      </c>
      <c r="Q132" s="31" t="n">
        <f aca="false">IF(Q128&gt;0,(P130+Q125+IF(Source_Data!Q$6=Inputs!$B$12,Inputs!$B$7,0))/Q128,"")</f>
        <v>35.4731658630435</v>
      </c>
      <c r="R132" s="31" t="n">
        <f aca="false">IF(R128&gt;0,(Q130+R125+IF(Source_Data!R$6=Inputs!$B$12,Inputs!$B$7,0))/R128,"")</f>
        <v>26.1701572978261</v>
      </c>
      <c r="S132" s="31" t="n">
        <f aca="false">IF(S128&gt;0,(R130+S125+IF(Source_Data!S$6=Inputs!$B$12,Inputs!$B$7,0))/S128,"")</f>
        <v>19.6453052673913</v>
      </c>
      <c r="T132" s="31" t="n">
        <f aca="false">IF(T128&gt;0,(S130+T125+IF(Source_Data!T$6=Inputs!$B$12,Inputs!$B$7,0))/T128,"")</f>
        <v>20.1307992304348</v>
      </c>
      <c r="U132" s="31" t="n">
        <f aca="false">IF(U128&gt;0,(T130+U125+IF(Source_Data!U$6=Inputs!$B$12,Inputs!$B$7,0))/U128,"")</f>
        <v>20.5215084021739</v>
      </c>
      <c r="V132" s="31" t="n">
        <f aca="false">IF(V128&gt;0,(U130+V125+IF(Source_Data!V$6=Inputs!$B$12,Inputs!$B$7,0))/V128,"")</f>
        <v>20.5372684173913</v>
      </c>
      <c r="W132" s="31" t="n">
        <f aca="false">IF(W128&gt;0,(V130+W125+IF(Source_Data!W$6=Inputs!$B$12,Inputs!$B$7,0))/W128,"")</f>
        <v>20.2812440847826</v>
      </c>
      <c r="X132" s="31" t="n">
        <f aca="false">IF(X128&gt;0,(W130+X125+IF(Source_Data!X$6=Inputs!$B$12,Inputs!$B$7,0))/X128,"")</f>
        <v>21.1991327956522</v>
      </c>
      <c r="Y132" s="31" t="str">
        <f aca="false">IF(Y128&gt;0,(X130+Y125+IF(Source_Data!Y$6=Inputs!$B$12,Inputs!$B$7,0))/Y128,"")</f>
        <v/>
      </c>
      <c r="Z132" s="31" t="str">
        <f aca="false">IF(Z128&gt;0,(Y130+Z125+IF(Source_Data!Z$6=Inputs!$B$12,Inputs!$B$7,0))/Z128,"")</f>
        <v/>
      </c>
      <c r="AA132" s="31" t="str">
        <f aca="false">IF(AA128&gt;0,(Z130+AA125+IF(Source_Data!AA$6=Inputs!$B$12,Inputs!$B$7,0))/AA128,"")</f>
        <v/>
      </c>
      <c r="AB132" s="31" t="str">
        <f aca="false">IF(AB128&gt;0,(AA130+AB125+IF(Source_Data!AB$6=Inputs!$B$12,Inputs!$B$7,0))/AB128,"")</f>
        <v/>
      </c>
      <c r="AC132" s="31" t="str">
        <f aca="false">IF(AC128&gt;0,(AB130+AC125+IF(Source_Data!AC$6=Inputs!$B$12,Inputs!$B$7,0))/AC128,"")</f>
        <v/>
      </c>
      <c r="AD132" s="31" t="str">
        <f aca="false">IF(AD128&gt;0,(AC130+AD125+IF(Source_Data!AD$6=Inputs!$B$12,Inputs!$B$7,0))/AD128,"")</f>
        <v/>
      </c>
      <c r="AE132" s="31" t="str">
        <f aca="false">IF(AE128&gt;0,(AD130+AE125+IF(Source_Data!AE$6=Inputs!$B$12,Inputs!$B$7,0))/AE128,"")</f>
        <v/>
      </c>
      <c r="AF132" s="31" t="str">
        <f aca="false">IF(AF128&gt;0,(AE130+AF125+IF(Source_Data!AF$6=Inputs!$B$12,Inputs!$B$7,0))/AF128,"")</f>
        <v/>
      </c>
      <c r="AG132" s="31" t="str">
        <f aca="false">IF(AG128&gt;0,(AF130+AG125+IF(Source_Data!AG$6=Inputs!$B$12,Inputs!$B$7,0))/AG128,"")</f>
        <v/>
      </c>
      <c r="AH132" s="31" t="str">
        <f aca="false">IF(AH128&gt;0,(AG130+AH125+IF(Source_Data!AH$6=Inputs!$B$12,Inputs!$B$7,0))/AH128,"")</f>
        <v/>
      </c>
      <c r="AI132" s="31" t="str">
        <f aca="false">IF(AI128&gt;0,(AH130+AI125+IF(Source_Data!AI$6=Inputs!$B$12,Inputs!$B$7,0))/AI128,"")</f>
        <v/>
      </c>
      <c r="AJ132" s="31" t="str">
        <f aca="false">IF(AJ128&gt;0,(AI130+AJ125+IF(Source_Data!AJ$6=Inputs!$B$12,Inputs!$B$7,0))/AJ128,"")</f>
        <v/>
      </c>
      <c r="AK132" s="31" t="str">
        <f aca="false">IF(AK128&gt;0,(AJ130+AK125+IF(Source_Data!AK$6=Inputs!$B$12,Inputs!$B$7,0))/AK128,"")</f>
        <v/>
      </c>
      <c r="AL132" s="31" t="str">
        <f aca="false">IF(AL128&gt;0,(AK130+AL125+IF(Source_Data!AL$6=Inputs!$B$12,Inputs!$B$7,0))/AL128,"")</f>
        <v/>
      </c>
      <c r="AM132" s="31" t="str">
        <f aca="false">IF(AM128&gt;0,(AL130+AM125+IF(Source_Data!AM$6=Inputs!$B$12,Inputs!$B$7,0))/AM128,"")</f>
        <v/>
      </c>
      <c r="AN132" s="31" t="str">
        <f aca="false">IF(AN128&gt;0,(AM130+AN125+IF(Source_Data!AN$6=Inputs!$B$12,Inputs!$B$7,0))/AN128,"")</f>
        <v/>
      </c>
      <c r="AO132" s="31" t="str">
        <f aca="false">IF(AO128&gt;0,(AN130+AO125+IF(Source_Data!AO$6=Inputs!$B$12,Inputs!$B$7,0))/AO128,"")</f>
        <v/>
      </c>
      <c r="AP132" s="31" t="str">
        <f aca="false">IF(AP128&gt;0,(AO130+AP125+IF(Source_Data!AP$6=Inputs!$B$12,Inputs!$B$7,0))/AP128,"")</f>
        <v/>
      </c>
      <c r="AQ132" s="31" t="str">
        <f aca="false">IF(AQ128&gt;0,(AP130+AQ125+IF(Source_Data!AQ$6=Inputs!$B$12,Inputs!$B$7,0))/AQ128,"")</f>
        <v/>
      </c>
      <c r="AR132" s="31" t="str">
        <f aca="false">IF(AR128&gt;0,(AQ130+AR125+IF(Source_Data!AR$6=Inputs!$B$12,Inputs!$B$7,0))/AR128,"")</f>
        <v/>
      </c>
      <c r="AS132" s="31" t="str">
        <f aca="false">IF(AS128&gt;0,(AR130+AS125+IF(Source_Data!AS$6=Inputs!$B$12,Inputs!$B$7,0))/AS128,"")</f>
        <v/>
      </c>
      <c r="AT132" s="31" t="str">
        <f aca="false">IF(AT128&gt;0,(AS130+AT125+IF(Source_Data!AT$6=Inputs!$B$12,Inputs!$B$7,0))/AT128,"")</f>
        <v/>
      </c>
      <c r="AU132" s="31" t="str">
        <f aca="false">IF(AU128&gt;0,(AT130+AU125+IF(Source_Data!AU$6=Inputs!$B$12,Inputs!$B$7,0))/AU128,"")</f>
        <v/>
      </c>
      <c r="AV132" s="31" t="str">
        <f aca="false">IF(AV128&gt;0,(AU130+AV125+IF(Source_Data!AV$6=Inputs!$B$12,Inputs!$B$7,0))/AV128,"")</f>
        <v/>
      </c>
      <c r="AW132" s="31" t="str">
        <f aca="false">IF(AW128&gt;0,(AV130+AW125+IF(Source_Data!AW$6=Inputs!$B$12,Inputs!$B$7,0))/AW128,"")</f>
        <v/>
      </c>
      <c r="AX132" s="31" t="str">
        <f aca="false">IF(AX128&gt;0,(AW130+AX125+IF(Source_Data!AX$6=Inputs!$B$12,Inputs!$B$7,0))/AX128,"")</f>
        <v/>
      </c>
      <c r="AY132" s="31" t="str">
        <f aca="false">IF(AY128&gt;0,(AX130+AY125+IF(Source_Data!AY$6=Inputs!$B$12,Inputs!$B$7,0))/AY128,"")</f>
        <v/>
      </c>
      <c r="AZ132" s="31" t="str">
        <f aca="false">IF(AZ128&gt;0,(AY130+AZ125+IF(Source_Data!AZ$6=Inputs!$B$12,Inputs!$B$7,0))/AZ128,"")</f>
        <v/>
      </c>
      <c r="BA132" s="31" t="str">
        <f aca="false">IF(BA128&gt;0,(AZ130+BA125+IF(Source_Data!BA$6=Inputs!$B$12,Inputs!$B$7,0))/BA128,"")</f>
        <v/>
      </c>
      <c r="BB132" s="31" t="str">
        <f aca="false">IF(BB128&gt;0,(BA130+BB125+IF(Source_Data!BB$6=Inputs!$B$12,Inputs!$B$7,0))/BB128,"")</f>
        <v/>
      </c>
      <c r="BC132" s="31" t="str">
        <f aca="false">IF(BC128&gt;0,(BB130+BC125+IF(Source_Data!BC$6=Inputs!$B$12,Inputs!$B$7,0))/BC128,"")</f>
        <v/>
      </c>
      <c r="BD132" s="31" t="str">
        <f aca="false">IF(BD128&gt;0,(BC130+BD125+IF(Source_Data!BD$6=Inputs!$B$12,Inputs!$B$7,0))/BD128,"")</f>
        <v/>
      </c>
      <c r="BE132" s="31" t="str">
        <f aca="false">IF(BE128&gt;0,(BD130+BE125+IF(Source_Data!BE$6=Inputs!$B$12,Inputs!$B$7,0))/BE128,"")</f>
        <v/>
      </c>
      <c r="BF132" s="31" t="str">
        <f aca="false">IF(BF128&gt;0,(BE130+BF125+IF(Source_Data!BF$6=Inputs!$B$12,Inputs!$B$7,0))/BF128,"")</f>
        <v/>
      </c>
      <c r="BG132" s="31" t="str">
        <f aca="false">IF(BG128&gt;0,(BF130+BG125+IF(Source_Data!BG$6=Inputs!$B$12,Inputs!$B$7,0))/BG128,"")</f>
        <v/>
      </c>
      <c r="BH132" s="31" t="str">
        <f aca="false">IF(BH128&gt;0,(BG130+BH125+IF(Source_Data!BH$6=Inputs!$B$12,Inputs!$B$7,0))/BH128,"")</f>
        <v/>
      </c>
      <c r="BI132" s="31" t="str">
        <f aca="false">IF(BI128&gt;0,(BH130+BI125+IF(Source_Data!BI$6=Inputs!$B$12,Inputs!$B$7,0))/BI128,"")</f>
        <v/>
      </c>
      <c r="BJ132" s="31" t="str">
        <f aca="false">IF(BJ128&gt;0,(BI130+BJ125+IF(Source_Data!BJ$6=Inputs!$B$12,Inputs!$B$7,0))/BJ128,"")</f>
        <v/>
      </c>
      <c r="BK132" s="31" t="str">
        <f aca="false">IF(BK128&gt;0,(BJ130+BK125+IF(Source_Data!BK$6=Inputs!$B$12,Inputs!$B$7,0))/BK128,"")</f>
        <v/>
      </c>
    </row>
    <row r="134" customFormat="false" ht="15" hidden="false" customHeight="false" outlineLevel="0" collapsed="false">
      <c r="A134" s="2" t="s">
        <v>220</v>
      </c>
      <c r="B134" s="41" t="n">
        <f aca="false">SUM(D125:BK125)</f>
        <v>610.883833</v>
      </c>
    </row>
    <row r="135" customFormat="false" ht="15" hidden="false" customHeight="false" outlineLevel="0" collapsed="false">
      <c r="A135" s="2" t="s">
        <v>346</v>
      </c>
      <c r="B135" s="41" t="n">
        <f aca="false">SUMPRODUCT(D125:BK125,Project_CF!$D$15:$BK$15)</f>
        <v>413.851793367899</v>
      </c>
    </row>
    <row r="136" customFormat="false" ht="15" hidden="false" customHeight="false" outlineLevel="0" collapsed="false">
      <c r="A136" s="2" t="s">
        <v>162</v>
      </c>
      <c r="B136" s="41" t="n">
        <f aca="false">MIN(D126:BK126)</f>
        <v>-102.5</v>
      </c>
    </row>
    <row r="137" customFormat="false" ht="15" hidden="false" customHeight="false" outlineLevel="0" collapsed="false">
      <c r="A137" s="2" t="s">
        <v>347</v>
      </c>
      <c r="B137" s="35" t="n">
        <f aca="false">INDEX(Project_CF!$D$6:$BK$6,MATCH(MIN(D126:BK126),D126:BK126,0))</f>
        <v>6</v>
      </c>
    </row>
    <row r="138" customFormat="false" ht="15" hidden="false" customHeight="false" outlineLevel="0" collapsed="false">
      <c r="A138" s="2" t="s">
        <v>348</v>
      </c>
      <c r="B138" s="39" t="n">
        <f aca="false">(1+IRR(D127:BK127,0.05))^4-1</f>
        <v>0.31807065389798</v>
      </c>
    </row>
    <row r="139" customFormat="false" ht="15" hidden="false" customHeight="false" outlineLevel="0" collapsed="false">
      <c r="A139" s="2" t="s">
        <v>349</v>
      </c>
      <c r="B139" s="40" t="n">
        <f aca="false">SUMIF(D127:BK127,"&gt;0")/-SUMIF(D127:BK127,"&lt;0")</f>
        <v>3.33763440860215</v>
      </c>
    </row>
    <row r="140" customFormat="false" ht="15" hidden="false" customHeight="false" outlineLevel="0" collapsed="false">
      <c r="A140" s="2" t="s">
        <v>350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351</v>
      </c>
      <c r="B141" s="41" t="n">
        <f aca="false">MIN(D130:BK130)</f>
        <v>-2.5</v>
      </c>
    </row>
    <row r="142" customFormat="false" ht="15" hidden="false" customHeight="false" outlineLevel="0" collapsed="false">
      <c r="A142" s="2" t="s">
        <v>352</v>
      </c>
      <c r="B142" s="43" t="n">
        <f aca="false">MIN(D131:BK131)</f>
        <v>-8.30300856521739</v>
      </c>
    </row>
    <row r="143" customFormat="false" ht="15" hidden="false" customHeight="false" outlineLevel="0" collapsed="false">
      <c r="A143" s="2" t="s">
        <v>353</v>
      </c>
      <c r="B143" s="35" t="n">
        <f aca="false">COUNTIF(D131:BK131,"&lt;"&amp;Inputs!$B$43)</f>
        <v>8</v>
      </c>
    </row>
    <row r="144" customFormat="false" ht="15" hidden="false" customHeight="false" outlineLevel="0" collapsed="false">
      <c r="A144" s="2" t="s">
        <v>354</v>
      </c>
      <c r="B144" s="43" t="n">
        <f aca="false">MIN(D132:BK132)</f>
        <v>19.6453052673913</v>
      </c>
    </row>
    <row r="145" customFormat="false" ht="15" hidden="false" customHeight="false" outlineLevel="0" collapsed="false">
      <c r="A145" s="2" t="s">
        <v>355</v>
      </c>
      <c r="B145" s="35" t="n">
        <f aca="false">COUNTIF(D132:BK132,"&lt;"&amp;Inputs!$B$43)</f>
        <v>0</v>
      </c>
    </row>
    <row r="148" customFormat="false" ht="15" hidden="false" customHeight="false" outlineLevel="0" collapsed="false">
      <c r="A148" s="8" t="s">
        <v>362</v>
      </c>
    </row>
    <row r="149" customFormat="false" ht="15" hidden="false" customHeight="false" outlineLevel="0" collapsed="false">
      <c r="A149" s="3" t="s">
        <v>331</v>
      </c>
      <c r="B149" s="45" t="n">
        <v>1</v>
      </c>
    </row>
    <row r="150" customFormat="false" ht="15" hidden="false" customHeight="false" outlineLevel="0" collapsed="false">
      <c r="A150" s="3" t="s">
        <v>332</v>
      </c>
      <c r="B150" s="45" t="n">
        <v>2</v>
      </c>
    </row>
    <row r="151" customFormat="false" ht="15" hidden="false" customHeight="false" outlineLevel="0" collapsed="false">
      <c r="A151" s="3" t="s">
        <v>333</v>
      </c>
      <c r="B151" s="45" t="n">
        <v>1</v>
      </c>
    </row>
    <row r="152" customFormat="false" ht="15" hidden="false" customHeight="false" outlineLevel="0" collapsed="false">
      <c r="A152" s="3" t="s">
        <v>334</v>
      </c>
      <c r="B152" s="45" t="n">
        <v>0</v>
      </c>
    </row>
    <row r="153" customFormat="false" ht="15" hidden="false" customHeight="false" outlineLevel="0" collapsed="false">
      <c r="A153" s="3" t="s">
        <v>335</v>
      </c>
      <c r="B153" s="45" t="n">
        <v>0</v>
      </c>
    </row>
    <row r="154" customFormat="false" ht="15" hidden="false" customHeight="false" outlineLevel="0" collapsed="false">
      <c r="A154" s="3" t="s">
        <v>336</v>
      </c>
      <c r="B154" s="3" t="n">
        <f aca="false">Inputs!$B$13+3+3*$B$150</f>
        <v>57</v>
      </c>
    </row>
    <row r="155" customFormat="false" ht="15" hidden="false" customHeight="false" outlineLevel="0" collapsed="false">
      <c r="A155" s="3" t="s">
        <v>337</v>
      </c>
      <c r="D155" s="33" t="n">
        <f aca="false">Source_Data!D$7+IF($B$153=1,IF(Source_Data!D$6=Inputs!$B$13,Source_Data!$C$8,0),Source_Data!D$8)</f>
        <v>0</v>
      </c>
      <c r="E155" s="33" t="n">
        <f aca="false">Source_Data!E$7+IF($B$153=1,IF(Source_Data!E$6=Inputs!$B$13,Source_Data!$C$8,0),Source_Data!E$8)</f>
        <v>0</v>
      </c>
      <c r="F155" s="33" t="n">
        <f aca="false">Source_Data!F$7+IF($B$153=1,IF(Source_Data!F$6=Inputs!$B$13,Source_Data!$C$8,0),Source_Data!F$8)</f>
        <v>15.1392375</v>
      </c>
      <c r="G155" s="33" t="n">
        <f aca="false">Source_Data!G$7+IF($B$153=1,IF(Source_Data!G$6=Inputs!$B$13,Source_Data!$C$8,0),Source_Data!G$8)</f>
        <v>30.278475</v>
      </c>
      <c r="H155" s="33" t="n">
        <f aca="false">Source_Data!H$7+IF($B$153=1,IF(Source_Data!H$6=Inputs!$B$13,Source_Data!$C$8,0),Source_Data!H$8)</f>
        <v>46.51200625</v>
      </c>
      <c r="I155" s="33" t="n">
        <f aca="false">Source_Data!I$7+IF($B$153=1,IF(Source_Data!I$6=Inputs!$B$13,Source_Data!$C$8,0),Source_Data!I$8)</f>
        <v>62.7455375</v>
      </c>
      <c r="J155" s="33" t="n">
        <f aca="false">Source_Data!J$7+IF($B$153=1,IF(Source_Data!J$6=Inputs!$B$13,Source_Data!$C$8,0),Source_Data!J$8)</f>
        <v>62.3657</v>
      </c>
      <c r="K155" s="33" t="n">
        <f aca="false">Source_Data!K$7+IF($B$153=1,IF(Source_Data!K$6=Inputs!$B$13,Source_Data!$C$8,0),Source_Data!K$8)</f>
        <v>63.473559375</v>
      </c>
      <c r="L155" s="33" t="n">
        <f aca="false">Source_Data!L$7+IF($B$153=1,IF(Source_Data!L$6=Inputs!$B$13,Source_Data!$C$8,0),Source_Data!L$8)</f>
        <v>80.3288484375</v>
      </c>
      <c r="M155" s="33" t="n">
        <f aca="false">Source_Data!M$7+IF($B$153=1,IF(Source_Data!M$6=Inputs!$B$13,Source_Data!$C$8,0),Source_Data!M$8)</f>
        <v>495.2538375</v>
      </c>
      <c r="N155" s="33" t="n">
        <f aca="false">Source_Data!N$7+IF($B$153=1,IF(Source_Data!N$6=Inputs!$B$13,Source_Data!$C$8,0),Source_Data!N$8)</f>
        <v>185.57775</v>
      </c>
      <c r="O155" s="33" t="n">
        <f aca="false">Source_Data!O$7+IF($B$153=1,IF(Source_Data!O$6=Inputs!$B$13,Source_Data!$C$8,0),Source_Data!O$8)</f>
        <v>176.534</v>
      </c>
      <c r="P155" s="33" t="n">
        <f aca="false">Source_Data!P$7+IF($B$153=1,IF(Source_Data!P$6=Inputs!$B$13,Source_Data!$C$8,0),Source_Data!P$8)</f>
        <v>97.31075</v>
      </c>
      <c r="Q155" s="33" t="n">
        <f aca="false">Source_Data!Q$7+IF($B$153=1,IF(Source_Data!Q$6=Inputs!$B$13,Source_Data!$C$8,0),Source_Data!Q$8)</f>
        <v>71.30996875</v>
      </c>
      <c r="R155" s="33" t="n">
        <f aca="false">Source_Data!R$7+IF($B$153=1,IF(Source_Data!R$6=Inputs!$B$13,Source_Data!$C$8,0),Source_Data!R$8)</f>
        <v>71.30996875</v>
      </c>
      <c r="S155" s="33" t="n">
        <f aca="false">Source_Data!S$7+IF($B$153=1,IF(Source_Data!S$6=Inputs!$B$13,Source_Data!$C$8,0),Source_Data!S$8)</f>
        <v>68.037035625</v>
      </c>
      <c r="T155" s="33" t="n">
        <f aca="false">Source_Data!T$7+IF($B$153=1,IF(Source_Data!T$6=Inputs!$B$13,Source_Data!$C$8,0),Source_Data!T$8)</f>
        <v>61.2266396875</v>
      </c>
      <c r="U155" s="33" t="n">
        <f aca="false">Source_Data!U$7+IF($B$153=1,IF(Source_Data!U$6=Inputs!$B$13,Source_Data!$C$8,0),Source_Data!U$8)</f>
        <v>59.7127159375</v>
      </c>
      <c r="V155" s="33" t="n">
        <f aca="false">Source_Data!V$7+IF($B$153=1,IF(Source_Data!V$6=Inputs!$B$13,Source_Data!$C$8,0),Source_Data!V$8)</f>
        <v>53.7239446875</v>
      </c>
      <c r="W155" s="33" t="n">
        <f aca="false">Source_Data!W$7+IF($B$153=1,IF(Source_Data!W$6=Inputs!$B$13,Source_Data!$C$8,0),Source_Data!W$8)</f>
        <v>49.3829446875</v>
      </c>
      <c r="X155" s="33" t="n">
        <f aca="false">Source_Data!X$7+IF($B$153=1,IF(Source_Data!X$6=Inputs!$B$13,Source_Data!$C$8,0),Source_Data!X$8)</f>
        <v>49.3829446875</v>
      </c>
      <c r="Y155" s="33" t="n">
        <f aca="false">Source_Data!Y$7+IF($B$153=1,IF(Source_Data!Y$6=Inputs!$B$13,Source_Data!$C$8,0),Source_Data!Y$8)</f>
        <v>42.1027259375</v>
      </c>
      <c r="Z155" s="33" t="n">
        <f aca="false">Source_Data!Z$7+IF($B$153=1,IF(Source_Data!Z$6=Inputs!$B$13,Source_Data!$C$8,0),Source_Data!Z$8)</f>
        <v>42.1027259375</v>
      </c>
      <c r="AA155" s="33" t="n">
        <f aca="false">Source_Data!AA$7+IF($B$153=1,IF(Source_Data!AA$6=Inputs!$B$13,Source_Data!$C$8,0),Source_Data!AA$8)</f>
        <v>42.1027259375</v>
      </c>
      <c r="AB155" s="33" t="n">
        <f aca="false">Source_Data!AB$7+IF($B$153=1,IF(Source_Data!AB$6=Inputs!$B$13,Source_Data!$C$8,0),Source_Data!AB$8)</f>
        <v>36.3147259375</v>
      </c>
      <c r="AC155" s="33" t="n">
        <f aca="false">Source_Data!AC$7+IF($B$153=1,IF(Source_Data!AC$6=Inputs!$B$13,Source_Data!$C$8,0),Source_Data!AC$8)</f>
        <v>33.0386275</v>
      </c>
      <c r="AD155" s="33" t="n">
        <f aca="false">Source_Data!AD$7+IF($B$153=1,IF(Source_Data!AD$6=Inputs!$B$13,Source_Data!$C$8,0),Source_Data!AD$8)</f>
        <v>29.43017125</v>
      </c>
      <c r="AE155" s="33" t="n">
        <f aca="false">Source_Data!AE$7+IF($B$153=1,IF(Source_Data!AE$6=Inputs!$B$13,Source_Data!$C$8,0),Source_Data!AE$8)</f>
        <v>25.08917125</v>
      </c>
      <c r="AF155" s="33" t="n">
        <f aca="false">Source_Data!AF$7+IF($B$153=1,IF(Source_Data!AF$6=Inputs!$B$13,Source_Data!$C$8,0),Source_Data!AF$8)</f>
        <v>25.08917125</v>
      </c>
      <c r="AG155" s="33" t="n">
        <f aca="false">Source_Data!AG$7+IF($B$153=1,IF(Source_Data!AG$6=Inputs!$B$13,Source_Data!$C$8,0),Source_Data!AG$8)</f>
        <v>25.08917125</v>
      </c>
      <c r="AH155" s="33" t="n">
        <f aca="false">Source_Data!AH$7+IF($B$153=1,IF(Source_Data!AH$6=Inputs!$B$13,Source_Data!$C$8,0),Source_Data!AH$8)</f>
        <v>25.08917125</v>
      </c>
      <c r="AI155" s="33" t="n">
        <f aca="false">Source_Data!AI$7+IF($B$153=1,IF(Source_Data!AI$6=Inputs!$B$13,Source_Data!$C$8,0),Source_Data!AI$8)</f>
        <v>25.08917125</v>
      </c>
      <c r="AJ155" s="33" t="n">
        <f aca="false">Source_Data!AJ$7+IF($B$153=1,IF(Source_Data!AJ$6=Inputs!$B$13,Source_Data!$C$8,0),Source_Data!AJ$8)</f>
        <v>25.08917125</v>
      </c>
      <c r="AK155" s="33" t="n">
        <f aca="false">Source_Data!AK$7+IF($B$153=1,IF(Source_Data!AK$6=Inputs!$B$13,Source_Data!$C$8,0),Source_Data!AK$8)</f>
        <v>22.905105625</v>
      </c>
      <c r="AL155" s="33" t="n">
        <f aca="false">Source_Data!AL$7+IF($B$153=1,IF(Source_Data!AL$6=Inputs!$B$13,Source_Data!$C$8,0),Source_Data!AL$8)</f>
        <v>22.905105625</v>
      </c>
      <c r="AM155" s="33" t="n">
        <f aca="false">Source_Data!AM$7+IF($B$153=1,IF(Source_Data!AM$6=Inputs!$B$13,Source_Data!$C$8,0),Source_Data!AM$8)</f>
        <v>18.739554375</v>
      </c>
      <c r="AN155" s="33" t="n">
        <f aca="false">Source_Data!AN$7+IF($B$153=1,IF(Source_Data!AN$6=Inputs!$B$13,Source_Data!$C$8,0),Source_Data!AN$8)</f>
        <v>9.6261675</v>
      </c>
      <c r="AO155" s="33" t="n">
        <f aca="false">Source_Data!AO$7+IF($B$153=1,IF(Source_Data!AO$6=Inputs!$B$13,Source_Data!$C$8,0),Source_Data!AO$8)</f>
        <v>3.5704725</v>
      </c>
      <c r="AP155" s="33" t="n">
        <f aca="false">Source_Data!AP$7+IF($B$153=1,IF(Source_Data!AP$6=Inputs!$B$13,Source_Data!$C$8,0),Source_Data!AP$8)</f>
        <v>0</v>
      </c>
      <c r="AQ155" s="33" t="n">
        <f aca="false">Source_Data!AQ$7+IF($B$153=1,IF(Source_Data!AQ$6=Inputs!$B$13,Source_Data!$C$8,0),Source_Data!AQ$8)</f>
        <v>0</v>
      </c>
      <c r="AR155" s="33" t="n">
        <f aca="false">Source_Data!AR$7+IF($B$153=1,IF(Source_Data!AR$6=Inputs!$B$13,Source_Data!$C$8,0),Source_Data!AR$8)</f>
        <v>0</v>
      </c>
      <c r="AS155" s="33" t="n">
        <f aca="false">Source_Data!AS$7+IF($B$153=1,IF(Source_Data!AS$6=Inputs!$B$13,Source_Data!$C$8,0),Source_Data!AS$8)</f>
        <v>0</v>
      </c>
      <c r="AT155" s="33" t="n">
        <f aca="false">Source_Data!AT$7+IF($B$153=1,IF(Source_Data!AT$6=Inputs!$B$13,Source_Data!$C$8,0),Source_Data!AT$8)</f>
        <v>0</v>
      </c>
      <c r="AU155" s="33" t="n">
        <f aca="false">Source_Data!AU$7+IF($B$153=1,IF(Source_Data!AU$6=Inputs!$B$13,Source_Data!$C$8,0),Source_Data!AU$8)</f>
        <v>0</v>
      </c>
      <c r="AV155" s="33" t="n">
        <f aca="false">Source_Data!AV$7+IF($B$153=1,IF(Source_Data!AV$6=Inputs!$B$13,Source_Data!$C$8,0),Source_Data!AV$8)</f>
        <v>0</v>
      </c>
      <c r="AW155" s="33" t="n">
        <f aca="false">Source_Data!AW$7+IF($B$153=1,IF(Source_Data!AW$6=Inputs!$B$13,Source_Data!$C$8,0),Source_Data!AW$8)</f>
        <v>0</v>
      </c>
      <c r="AX155" s="33" t="n">
        <f aca="false">Source_Data!AX$7+IF($B$153=1,IF(Source_Data!AX$6=Inputs!$B$13,Source_Data!$C$8,0),Source_Data!AX$8)</f>
        <v>0</v>
      </c>
      <c r="AY155" s="33" t="n">
        <f aca="false">Source_Data!AY$7+IF($B$153=1,IF(Source_Data!AY$6=Inputs!$B$13,Source_Data!$C$8,0),Source_Data!AY$8)</f>
        <v>0</v>
      </c>
      <c r="AZ155" s="33" t="n">
        <f aca="false">Source_Data!AZ$7+IF($B$153=1,IF(Source_Data!AZ$6=Inputs!$B$13,Source_Data!$C$8,0),Source_Data!AZ$8)</f>
        <v>0</v>
      </c>
      <c r="BA155" s="33" t="n">
        <f aca="false">Source_Data!BA$7+IF($B$153=1,IF(Source_Data!BA$6=Inputs!$B$13,Source_Data!$C$8,0),Source_Data!BA$8)</f>
        <v>0</v>
      </c>
      <c r="BB155" s="33" t="n">
        <f aca="false">Source_Data!BB$7+IF($B$153=1,IF(Source_Data!BB$6=Inputs!$B$13,Source_Data!$C$8,0),Source_Data!BB$8)</f>
        <v>0</v>
      </c>
      <c r="BC155" s="33" t="n">
        <f aca="false">Source_Data!BC$7+IF($B$153=1,IF(Source_Data!BC$6=Inputs!$B$13,Source_Data!$C$8,0),Source_Data!BC$8)</f>
        <v>0</v>
      </c>
      <c r="BD155" s="33" t="n">
        <f aca="false">Source_Data!BD$7+IF($B$153=1,IF(Source_Data!BD$6=Inputs!$B$13,Source_Data!$C$8,0),Source_Data!BD$8)</f>
        <v>0</v>
      </c>
      <c r="BE155" s="33" t="n">
        <f aca="false">Source_Data!BE$7+IF($B$153=1,IF(Source_Data!BE$6=Inputs!$B$13,Source_Data!$C$8,0),Source_Data!BE$8)</f>
        <v>0</v>
      </c>
      <c r="BF155" s="33" t="n">
        <f aca="false">Source_Data!BF$7+IF($B$153=1,IF(Source_Data!BF$6=Inputs!$B$13,Source_Data!$C$8,0),Source_Data!BF$8)</f>
        <v>0</v>
      </c>
      <c r="BG155" s="33" t="n">
        <f aca="false">Source_Data!BG$7+IF($B$153=1,IF(Source_Data!BG$6=Inputs!$B$13,Source_Data!$C$8,0),Source_Data!BG$8)</f>
        <v>0</v>
      </c>
      <c r="BH155" s="33" t="n">
        <f aca="false">Source_Data!BH$7+IF($B$153=1,IF(Source_Data!BH$6=Inputs!$B$13,Source_Data!$C$8,0),Source_Data!BH$8)</f>
        <v>0</v>
      </c>
      <c r="BI155" s="33" t="n">
        <f aca="false">Source_Data!BI$7+IF($B$153=1,IF(Source_Data!BI$6=Inputs!$B$13,Source_Data!$C$8,0),Source_Data!BI$8)</f>
        <v>0</v>
      </c>
      <c r="BJ155" s="33" t="n">
        <f aca="false">Source_Data!BJ$7+IF($B$153=1,IF(Source_Data!BJ$6=Inputs!$B$13,Source_Data!$C$8,0),Source_Data!BJ$8)</f>
        <v>0</v>
      </c>
      <c r="BK155" s="33" t="n">
        <f aca="false">Source_Data!BK$7+IF($B$153=1,IF(Source_Data!BK$6=Inputs!$B$13,Source_Data!$C$8,0),Source_Data!BK$8)</f>
        <v>0</v>
      </c>
    </row>
    <row r="156" customFormat="false" ht="15" hidden="false" customHeight="false" outlineLevel="0" collapsed="false">
      <c r="A156" s="3" t="s">
        <v>338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15.1392375</v>
      </c>
      <c r="I156" s="33" t="n">
        <f aca="false">$B$149*IF(Source_Data!I$5-($B$150+$B$152)&gt;=1,INDEX($D$155:$BK$155,1,Source_Data!I$5-($B$150+$B$152)),0)</f>
        <v>30.278475</v>
      </c>
      <c r="J156" s="33" t="n">
        <f aca="false">$B$149*IF(Source_Data!J$5-($B$150+$B$152)&gt;=1,INDEX($D$155:$BK$155,1,Source_Data!J$5-($B$150+$B$152)),0)</f>
        <v>46.51200625</v>
      </c>
      <c r="K156" s="33" t="n">
        <f aca="false">$B$149*IF(Source_Data!K$5-($B$150+$B$152)&gt;=1,INDEX($D$155:$BK$155,1,Source_Data!K$5-($B$150+$B$152)),0)</f>
        <v>62.7455375</v>
      </c>
      <c r="L156" s="33" t="n">
        <f aca="false">$B$149*IF(Source_Data!L$5-($B$150+$B$152)&gt;=1,INDEX($D$155:$BK$155,1,Source_Data!L$5-($B$150+$B$152)),0)</f>
        <v>62.3657</v>
      </c>
      <c r="M156" s="33" t="n">
        <f aca="false">$B$149*IF(Source_Data!M$5-($B$150+$B$152)&gt;=1,INDEX($D$155:$BK$155,1,Source_Data!M$5-($B$150+$B$152)),0)</f>
        <v>63.473559375</v>
      </c>
      <c r="N156" s="33" t="n">
        <f aca="false">$B$149*IF(Source_Data!N$5-($B$150+$B$152)&gt;=1,INDEX($D$155:$BK$155,1,Source_Data!N$5-($B$150+$B$152)),0)</f>
        <v>80.3288484375</v>
      </c>
      <c r="O156" s="33" t="n">
        <f aca="false">$B$149*IF(Source_Data!O$5-($B$150+$B$152)&gt;=1,INDEX($D$155:$BK$155,1,Source_Data!O$5-($B$150+$B$152)),0)</f>
        <v>495.2538375</v>
      </c>
      <c r="P156" s="33" t="n">
        <f aca="false">$B$149*IF(Source_Data!P$5-($B$150+$B$152)&gt;=1,INDEX($D$155:$BK$155,1,Source_Data!P$5-($B$150+$B$152)),0)</f>
        <v>185.57775</v>
      </c>
      <c r="Q156" s="33" t="n">
        <f aca="false">$B$149*IF(Source_Data!Q$5-($B$150+$B$152)&gt;=1,INDEX($D$155:$BK$155,1,Source_Data!Q$5-($B$150+$B$152)),0)</f>
        <v>176.534</v>
      </c>
      <c r="R156" s="33" t="n">
        <f aca="false">$B$149*IF(Source_Data!R$5-($B$150+$B$152)&gt;=1,INDEX($D$155:$BK$155,1,Source_Data!R$5-($B$150+$B$152)),0)</f>
        <v>97.31075</v>
      </c>
      <c r="S156" s="33" t="n">
        <f aca="false">$B$149*IF(Source_Data!S$5-($B$150+$B$152)&gt;=1,INDEX($D$155:$BK$155,1,Source_Data!S$5-($B$150+$B$152)),0)</f>
        <v>71.30996875</v>
      </c>
      <c r="T156" s="33" t="n">
        <f aca="false">$B$149*IF(Source_Data!T$5-($B$150+$B$152)&gt;=1,INDEX($D$155:$BK$155,1,Source_Data!T$5-($B$150+$B$152)),0)</f>
        <v>71.30996875</v>
      </c>
      <c r="U156" s="33" t="n">
        <f aca="false">$B$149*IF(Source_Data!U$5-($B$150+$B$152)&gt;=1,INDEX($D$155:$BK$155,1,Source_Data!U$5-($B$150+$B$152)),0)</f>
        <v>68.037035625</v>
      </c>
      <c r="V156" s="33" t="n">
        <f aca="false">$B$149*IF(Source_Data!V$5-($B$150+$B$152)&gt;=1,INDEX($D$155:$BK$155,1,Source_Data!V$5-($B$150+$B$152)),0)</f>
        <v>61.2266396875</v>
      </c>
      <c r="W156" s="33" t="n">
        <f aca="false">$B$149*IF(Source_Data!W$5-($B$150+$B$152)&gt;=1,INDEX($D$155:$BK$155,1,Source_Data!W$5-($B$150+$B$152)),0)</f>
        <v>59.7127159375</v>
      </c>
      <c r="X156" s="33" t="n">
        <f aca="false">$B$149*IF(Source_Data!X$5-($B$150+$B$152)&gt;=1,INDEX($D$155:$BK$155,1,Source_Data!X$5-($B$150+$B$152)),0)</f>
        <v>53.7239446875</v>
      </c>
      <c r="Y156" s="33" t="n">
        <f aca="false">$B$149*IF(Source_Data!Y$5-($B$150+$B$152)&gt;=1,INDEX($D$155:$BK$155,1,Source_Data!Y$5-($B$150+$B$152)),0)</f>
        <v>49.3829446875</v>
      </c>
      <c r="Z156" s="33" t="n">
        <f aca="false">$B$149*IF(Source_Data!Z$5-($B$150+$B$152)&gt;=1,INDEX($D$155:$BK$155,1,Source_Data!Z$5-($B$150+$B$152)),0)</f>
        <v>49.3829446875</v>
      </c>
      <c r="AA156" s="33" t="n">
        <f aca="false">$B$149*IF(Source_Data!AA$5-($B$150+$B$152)&gt;=1,INDEX($D$155:$BK$155,1,Source_Data!AA$5-($B$150+$B$152)),0)</f>
        <v>42.1027259375</v>
      </c>
      <c r="AB156" s="33" t="n">
        <f aca="false">$B$149*IF(Source_Data!AB$5-($B$150+$B$152)&gt;=1,INDEX($D$155:$BK$155,1,Source_Data!AB$5-($B$150+$B$152)),0)</f>
        <v>42.1027259375</v>
      </c>
      <c r="AC156" s="33" t="n">
        <f aca="false">$B$149*IF(Source_Data!AC$5-($B$150+$B$152)&gt;=1,INDEX($D$155:$BK$155,1,Source_Data!AC$5-($B$150+$B$152)),0)</f>
        <v>42.1027259375</v>
      </c>
      <c r="AD156" s="33" t="n">
        <f aca="false">$B$149*IF(Source_Data!AD$5-($B$150+$B$152)&gt;=1,INDEX($D$155:$BK$155,1,Source_Data!AD$5-($B$150+$B$152)),0)</f>
        <v>36.3147259375</v>
      </c>
      <c r="AE156" s="33" t="n">
        <f aca="false">$B$149*IF(Source_Data!AE$5-($B$150+$B$152)&gt;=1,INDEX($D$155:$BK$155,1,Source_Data!AE$5-($B$150+$B$152)),0)</f>
        <v>33.0386275</v>
      </c>
      <c r="AF156" s="33" t="n">
        <f aca="false">$B$149*IF(Source_Data!AF$5-($B$150+$B$152)&gt;=1,INDEX($D$155:$BK$155,1,Source_Data!AF$5-($B$150+$B$152)),0)</f>
        <v>29.43017125</v>
      </c>
      <c r="AG156" s="33" t="n">
        <f aca="false">$B$149*IF(Source_Data!AG$5-($B$150+$B$152)&gt;=1,INDEX($D$155:$BK$155,1,Source_Data!AG$5-($B$150+$B$152)),0)</f>
        <v>25.08917125</v>
      </c>
      <c r="AH156" s="33" t="n">
        <f aca="false">$B$149*IF(Source_Data!AH$5-($B$150+$B$152)&gt;=1,INDEX($D$155:$BK$155,1,Source_Data!AH$5-($B$150+$B$152)),0)</f>
        <v>25.08917125</v>
      </c>
      <c r="AI156" s="33" t="n">
        <f aca="false">$B$149*IF(Source_Data!AI$5-($B$150+$B$152)&gt;=1,INDEX($D$155:$BK$155,1,Source_Data!AI$5-($B$150+$B$152)),0)</f>
        <v>25.08917125</v>
      </c>
      <c r="AJ156" s="33" t="n">
        <f aca="false">$B$149*IF(Source_Data!AJ$5-($B$150+$B$152)&gt;=1,INDEX($D$155:$BK$155,1,Source_Data!AJ$5-($B$150+$B$152)),0)</f>
        <v>25.08917125</v>
      </c>
      <c r="AK156" s="33" t="n">
        <f aca="false">$B$149*IF(Source_Data!AK$5-($B$150+$B$152)&gt;=1,INDEX($D$155:$BK$155,1,Source_Data!AK$5-($B$150+$B$152)),0)</f>
        <v>25.08917125</v>
      </c>
      <c r="AL156" s="33" t="n">
        <f aca="false">$B$149*IF(Source_Data!AL$5-($B$150+$B$152)&gt;=1,INDEX($D$155:$BK$155,1,Source_Data!AL$5-($B$150+$B$152)),0)</f>
        <v>25.08917125</v>
      </c>
      <c r="AM156" s="33" t="n">
        <f aca="false">$B$149*IF(Source_Data!AM$5-($B$150+$B$152)&gt;=1,INDEX($D$155:$BK$155,1,Source_Data!AM$5-($B$150+$B$152)),0)</f>
        <v>22.905105625</v>
      </c>
      <c r="AN156" s="33" t="n">
        <f aca="false">$B$149*IF(Source_Data!AN$5-($B$150+$B$152)&gt;=1,INDEX($D$155:$BK$155,1,Source_Data!AN$5-($B$150+$B$152)),0)</f>
        <v>22.905105625</v>
      </c>
      <c r="AO156" s="33" t="n">
        <f aca="false">$B$149*IF(Source_Data!AO$5-($B$150+$B$152)&gt;=1,INDEX($D$155:$BK$155,1,Source_Data!AO$5-($B$150+$B$152)),0)</f>
        <v>18.739554375</v>
      </c>
      <c r="AP156" s="33" t="n">
        <f aca="false">$B$149*IF(Source_Data!AP$5-($B$150+$B$152)&gt;=1,INDEX($D$155:$BK$155,1,Source_Data!AP$5-($B$150+$B$152)),0)</f>
        <v>9.6261675</v>
      </c>
      <c r="AQ156" s="33" t="n">
        <f aca="false">$B$149*IF(Source_Data!AQ$5-($B$150+$B$152)&gt;=1,INDEX($D$155:$BK$155,1,Source_Data!AQ$5-($B$150+$B$152)),0)</f>
        <v>3.5704725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339</v>
      </c>
      <c r="D157" s="33" t="n">
        <f aca="false">Source_Data!D$9+Source_Data!D$10*IF(Source_Data!$C$10=0,0,MAX(0,Inputs!$B$19*Inputs!$B$22*$B$149-Inputs!$B$20)/Source_Data!$C$10)</f>
        <v>91.25</v>
      </c>
      <c r="E157" s="33" t="n">
        <f aca="false">Source_Data!E$9+Source_Data!E$10*IF(Source_Data!$C$10=0,0,MAX(0,Inputs!$B$19*Inputs!$B$22*$B$149-Inputs!$B$20)/Source_Data!$C$10)</f>
        <v>11.25</v>
      </c>
      <c r="F157" s="33" t="n">
        <f aca="false">Source_Data!F$9+Source_Data!F$10*IF(Source_Data!$C$10=0,0,MAX(0,Inputs!$B$19*Inputs!$B$22*$B$149-Inputs!$B$20)/Source_Data!$C$10)</f>
        <v>11.25</v>
      </c>
      <c r="G157" s="33" t="n">
        <f aca="false">Source_Data!G$9+Source_Data!G$10*IF(Source_Data!$C$10=0,0,MAX(0,Inputs!$B$19*Inputs!$B$22*$B$149-Inputs!$B$20)/Source_Data!$C$10)</f>
        <v>11.25</v>
      </c>
      <c r="H157" s="33" t="n">
        <f aca="false">Source_Data!H$9+Source_Data!H$10*IF(Source_Data!$C$10=0,0,MAX(0,Inputs!$B$19*Inputs!$B$22*$B$149-Inputs!$B$20)/Source_Data!$C$10)</f>
        <v>22.5</v>
      </c>
      <c r="I157" s="33" t="n">
        <f aca="false">Source_Data!I$9+Source_Data!I$10*IF(Source_Data!$C$10=0,0,MAX(0,Inputs!$B$19*Inputs!$B$22*$B$149-Inputs!$B$20)/Source_Data!$C$10)</f>
        <v>22.5</v>
      </c>
      <c r="J157" s="33" t="n">
        <f aca="false">Source_Data!J$9+Source_Data!J$10*IF(Source_Data!$C$10=0,0,MAX(0,Inputs!$B$19*Inputs!$B$22*$B$149-Inputs!$B$20)/Source_Data!$C$10)</f>
        <v>22.5</v>
      </c>
      <c r="K157" s="33" t="n">
        <f aca="false">Source_Data!K$9+Source_Data!K$10*IF(Source_Data!$C$10=0,0,MAX(0,Inputs!$B$19*Inputs!$B$22*$B$149-Inputs!$B$20)/Source_Data!$C$10)</f>
        <v>22.5</v>
      </c>
      <c r="L157" s="33" t="n">
        <f aca="false">Source_Data!L$9+Source_Data!L$10*IF(Source_Data!$C$10=0,0,MAX(0,Inputs!$B$19*Inputs!$B$22*$B$149-Inputs!$B$20)/Source_Data!$C$10)</f>
        <v>33.75</v>
      </c>
      <c r="M157" s="33" t="n">
        <f aca="false">Source_Data!M$9+Source_Data!M$10*IF(Source_Data!$C$10=0,0,MAX(0,Inputs!$B$19*Inputs!$B$22*$B$149-Inputs!$B$20)/Source_Data!$C$10)</f>
        <v>33.75</v>
      </c>
      <c r="N157" s="33" t="n">
        <f aca="false">Source_Data!N$9+Source_Data!N$10*IF(Source_Data!$C$10=0,0,MAX(0,Inputs!$B$19*Inputs!$B$22*$B$149-Inputs!$B$20)/Source_Data!$C$10)</f>
        <v>33.75</v>
      </c>
      <c r="O157" s="33" t="n">
        <f aca="false">Source_Data!O$9+Source_Data!O$10*IF(Source_Data!$C$10=0,0,MAX(0,Inputs!$B$19*Inputs!$B$22*$B$149-Inputs!$B$20)/Source_Data!$C$10)</f>
        <v>33.75</v>
      </c>
      <c r="P157" s="33" t="n">
        <f aca="false">Source_Data!P$9+Source_Data!P$10*IF(Source_Data!$C$10=0,0,MAX(0,Inputs!$B$19*Inputs!$B$22*$B$149-Inputs!$B$20)/Source_Data!$C$10)</f>
        <v>45</v>
      </c>
      <c r="Q157" s="33" t="n">
        <f aca="false">Source_Data!Q$9+Source_Data!Q$10*IF(Source_Data!$C$10=0,0,MAX(0,Inputs!$B$19*Inputs!$B$22*$B$149-Inputs!$B$20)/Source_Data!$C$10)</f>
        <v>45</v>
      </c>
      <c r="R157" s="33" t="n">
        <f aca="false">Source_Data!R$9+Source_Data!R$10*IF(Source_Data!$C$10=0,0,MAX(0,Inputs!$B$19*Inputs!$B$22*$B$149-Inputs!$B$20)/Source_Data!$C$10)</f>
        <v>45</v>
      </c>
      <c r="S157" s="33" t="n">
        <f aca="false">Source_Data!S$9+Source_Data!S$10*IF(Source_Data!$C$10=0,0,MAX(0,Inputs!$B$19*Inputs!$B$22*$B$149-Inputs!$B$20)/Source_Data!$C$10)</f>
        <v>45</v>
      </c>
      <c r="T157" s="33" t="n">
        <f aca="false">Source_Data!T$9+Source_Data!T$10*IF(Source_Data!$C$10=0,0,MAX(0,Inputs!$B$19*Inputs!$B$22*$B$149-Inputs!$B$20)/Source_Data!$C$10)</f>
        <v>45</v>
      </c>
      <c r="U157" s="33" t="n">
        <f aca="false">Source_Data!U$9+Source_Data!U$10*IF(Source_Data!$C$10=0,0,MAX(0,Inputs!$B$19*Inputs!$B$22*$B$149-Inputs!$B$20)/Source_Data!$C$10)</f>
        <v>45</v>
      </c>
      <c r="V157" s="33" t="n">
        <f aca="false">Source_Data!V$9+Source_Data!V$10*IF(Source_Data!$C$10=0,0,MAX(0,Inputs!$B$19*Inputs!$B$22*$B$149-Inputs!$B$20)/Source_Data!$C$10)</f>
        <v>45</v>
      </c>
      <c r="W157" s="33" t="n">
        <f aca="false">Source_Data!W$9+Source_Data!W$10*IF(Source_Data!$C$10=0,0,MAX(0,Inputs!$B$19*Inputs!$B$22*$B$149-Inputs!$B$20)/Source_Data!$C$10)</f>
        <v>45</v>
      </c>
      <c r="X157" s="33" t="n">
        <f aca="false">Source_Data!X$9+Source_Data!X$10*IF(Source_Data!$C$10=0,0,MAX(0,Inputs!$B$19*Inputs!$B$22*$B$149-Inputs!$B$20)/Source_Data!$C$10)</f>
        <v>22.5</v>
      </c>
      <c r="Y157" s="33" t="n">
        <f aca="false">Source_Data!Y$9+Source_Data!Y$10*IF(Source_Data!$C$10=0,0,MAX(0,Inputs!$B$19*Inputs!$B$22*$B$149-Inputs!$B$20)/Source_Data!$C$10)</f>
        <v>22.5</v>
      </c>
      <c r="Z157" s="33" t="n">
        <f aca="false">Source_Data!Z$9+Source_Data!Z$10*IF(Source_Data!$C$10=0,0,MAX(0,Inputs!$B$19*Inputs!$B$22*$B$149-Inputs!$B$20)/Source_Data!$C$10)</f>
        <v>22.5</v>
      </c>
      <c r="AA157" s="33" t="n">
        <f aca="false">Source_Data!AA$9+Source_Data!AA$10*IF(Source_Data!$C$10=0,0,MAX(0,Inputs!$B$19*Inputs!$B$22*$B$149-Inputs!$B$20)/Source_Data!$C$10)</f>
        <v>22.5</v>
      </c>
      <c r="AB157" s="33" t="n">
        <f aca="false">Source_Data!AB$9+Source_Data!AB$10*IF(Source_Data!$C$10=0,0,MAX(0,Inputs!$B$19*Inputs!$B$22*$B$149-Inputs!$B$20)/Source_Data!$C$10)</f>
        <v>0</v>
      </c>
      <c r="AC157" s="33" t="n">
        <f aca="false">Source_Data!AC$9+Source_Data!AC$10*IF(Source_Data!$C$10=0,0,MAX(0,Inputs!$B$19*Inputs!$B$22*$B$149-Inputs!$B$20)/Source_Data!$C$10)</f>
        <v>0</v>
      </c>
      <c r="AD157" s="33" t="n">
        <f aca="false">Source_Data!AD$9+Source_Data!AD$10*IF(Source_Data!$C$10=0,0,MAX(0,Inputs!$B$19*Inputs!$B$22*$B$149-Inputs!$B$20)/Source_Data!$C$10)</f>
        <v>0</v>
      </c>
      <c r="AE157" s="33" t="n">
        <f aca="false">Source_Data!AE$9+Source_Data!AE$10*IF(Source_Data!$C$10=0,0,MAX(0,Inputs!$B$19*Inputs!$B$22*$B$149-Inputs!$B$20)/Source_Data!$C$10)</f>
        <v>0</v>
      </c>
      <c r="AF157" s="33" t="n">
        <f aca="false">Source_Data!AF$9+Source_Data!AF$10*IF(Source_Data!$C$10=0,0,MAX(0,Inputs!$B$19*Inputs!$B$22*$B$149-Inputs!$B$20)/Source_Data!$C$10)</f>
        <v>107.758210351563</v>
      </c>
      <c r="AG157" s="33" t="n">
        <f aca="false">Source_Data!AG$9+Source_Data!AG$10*IF(Source_Data!$C$10=0,0,MAX(0,Inputs!$B$19*Inputs!$B$22*$B$149-Inputs!$B$20)/Source_Data!$C$10)</f>
        <v>10.976512421875</v>
      </c>
      <c r="AH157" s="33" t="n">
        <f aca="false">Source_Data!AH$9+Source_Data!AH$10*IF(Source_Data!$C$10=0,0,MAX(0,Inputs!$B$19*Inputs!$B$22*$B$149-Inputs!$B$20)/Source_Data!$C$10)</f>
        <v>10.976512421875</v>
      </c>
      <c r="AI157" s="33" t="n">
        <f aca="false">Source_Data!AI$9+Source_Data!AI$10*IF(Source_Data!$C$10=0,0,MAX(0,Inputs!$B$19*Inputs!$B$22*$B$149-Inputs!$B$20)/Source_Data!$C$10)</f>
        <v>10.976512421875</v>
      </c>
      <c r="AJ157" s="33" t="n">
        <f aca="false">Source_Data!AJ$9+Source_Data!AJ$10*IF(Source_Data!$C$10=0,0,MAX(0,Inputs!$B$19*Inputs!$B$22*$B$149-Inputs!$B$20)/Source_Data!$C$10)</f>
        <v>10.976512421875</v>
      </c>
      <c r="AK157" s="33" t="n">
        <f aca="false">Source_Data!AK$9+Source_Data!AK$10*IF(Source_Data!$C$10=0,0,MAX(0,Inputs!$B$19*Inputs!$B$22*$B$149-Inputs!$B$20)/Source_Data!$C$10)</f>
        <v>10.0209837109375</v>
      </c>
      <c r="AL157" s="33" t="n">
        <f aca="false">Source_Data!AL$9+Source_Data!AL$10*IF(Source_Data!$C$10=0,0,MAX(0,Inputs!$B$19*Inputs!$B$22*$B$149-Inputs!$B$20)/Source_Data!$C$10)</f>
        <v>10.0209837109375</v>
      </c>
      <c r="AM157" s="33" t="n">
        <f aca="false">Source_Data!AM$9+Source_Data!AM$10*IF(Source_Data!$C$10=0,0,MAX(0,Inputs!$B$19*Inputs!$B$22*$B$149-Inputs!$B$20)/Source_Data!$C$10)</f>
        <v>8.19855503906249</v>
      </c>
      <c r="AN157" s="33" t="n">
        <f aca="false">Source_Data!AN$9+Source_Data!AN$10*IF(Source_Data!$C$10=0,0,MAX(0,Inputs!$B$19*Inputs!$B$22*$B$149-Inputs!$B$20)/Source_Data!$C$10)</f>
        <v>4.21144828125</v>
      </c>
      <c r="AO157" s="33" t="n">
        <f aca="false">Source_Data!AO$9+Source_Data!AO$10*IF(Source_Data!$C$10=0,0,MAX(0,Inputs!$B$19*Inputs!$B$22*$B$149-Inputs!$B$20)/Source_Data!$C$10)</f>
        <v>1.56208171875</v>
      </c>
      <c r="AP157" s="33" t="n">
        <f aca="false">Source_Data!AP$9+Source_Data!AP$10*IF(Source_Data!$C$10=0,0,MAX(0,Inputs!$B$19*Inputs!$B$22*$B$149-Inputs!$B$20)/Source_Data!$C$10)</f>
        <v>0</v>
      </c>
      <c r="AQ157" s="33" t="n">
        <f aca="false">Source_Data!AQ$9+Source_Data!AQ$10*IF(Source_Data!$C$10=0,0,MAX(0,Inputs!$B$19*Inputs!$B$22*$B$149-Inputs!$B$20)/Source_Data!$C$10)</f>
        <v>0</v>
      </c>
      <c r="AR157" s="33" t="n">
        <f aca="false">Source_Data!AR$9+Source_Data!AR$10*IF(Source_Data!$C$10=0,0,MAX(0,Inputs!$B$19*Inputs!$B$22*$B$149-Inputs!$B$20)/Source_Data!$C$10)</f>
        <v>0</v>
      </c>
      <c r="AS157" s="33" t="n">
        <f aca="false">Source_Data!AS$9+Source_Data!AS$10*IF(Source_Data!$C$10=0,0,MAX(0,Inputs!$B$19*Inputs!$B$22*$B$149-Inputs!$B$20)/Source_Data!$C$10)</f>
        <v>0</v>
      </c>
      <c r="AT157" s="33" t="n">
        <f aca="false">Source_Data!AT$9+Source_Data!AT$10*IF(Source_Data!$C$10=0,0,MAX(0,Inputs!$B$19*Inputs!$B$22*$B$149-Inputs!$B$20)/Source_Data!$C$10)</f>
        <v>0</v>
      </c>
      <c r="AU157" s="33" t="n">
        <f aca="false">Source_Data!AU$9+Source_Data!AU$10*IF(Source_Data!$C$10=0,0,MAX(0,Inputs!$B$19*Inputs!$B$22*$B$149-Inputs!$B$20)/Source_Data!$C$10)</f>
        <v>0</v>
      </c>
      <c r="AV157" s="33" t="n">
        <f aca="false">Source_Data!AV$9+Source_Data!AV$10*IF(Source_Data!$C$10=0,0,MAX(0,Inputs!$B$19*Inputs!$B$22*$B$149-Inputs!$B$20)/Source_Data!$C$10)</f>
        <v>0</v>
      </c>
      <c r="AW157" s="33" t="n">
        <f aca="false">Source_Data!AW$9+Source_Data!AW$10*IF(Source_Data!$C$10=0,0,MAX(0,Inputs!$B$19*Inputs!$B$22*$B$149-Inputs!$B$20)/Source_Data!$C$10)</f>
        <v>0</v>
      </c>
      <c r="AX157" s="33" t="n">
        <f aca="false">Source_Data!AX$9+Source_Data!AX$10*IF(Source_Data!$C$10=0,0,MAX(0,Inputs!$B$19*Inputs!$B$22*$B$149-Inputs!$B$20)/Source_Data!$C$10)</f>
        <v>0</v>
      </c>
      <c r="AY157" s="33" t="n">
        <f aca="false">Source_Data!AY$9+Source_Data!AY$10*IF(Source_Data!$C$10=0,0,MAX(0,Inputs!$B$19*Inputs!$B$22*$B$149-Inputs!$B$20)/Source_Data!$C$10)</f>
        <v>0</v>
      </c>
      <c r="AZ157" s="33" t="n">
        <f aca="false">Source_Data!AZ$9+Source_Data!AZ$10*IF(Source_Data!$C$10=0,0,MAX(0,Inputs!$B$19*Inputs!$B$22*$B$149-Inputs!$B$20)/Source_Data!$C$10)</f>
        <v>0</v>
      </c>
      <c r="BA157" s="33" t="n">
        <f aca="false">Source_Data!BA$9+Source_Data!BA$10*IF(Source_Data!$C$10=0,0,MAX(0,Inputs!$B$19*Inputs!$B$22*$B$149-Inputs!$B$20)/Source_Data!$C$10)</f>
        <v>0</v>
      </c>
      <c r="BB157" s="33" t="n">
        <f aca="false">Source_Data!BB$9+Source_Data!BB$10*IF(Source_Data!$C$10=0,0,MAX(0,Inputs!$B$19*Inputs!$B$22*$B$149-Inputs!$B$20)/Source_Data!$C$10)</f>
        <v>0</v>
      </c>
      <c r="BC157" s="33" t="n">
        <f aca="false">Source_Data!BC$9+Source_Data!BC$10*IF(Source_Data!$C$10=0,0,MAX(0,Inputs!$B$19*Inputs!$B$22*$B$149-Inputs!$B$20)/Source_Data!$C$10)</f>
        <v>0</v>
      </c>
      <c r="BD157" s="33" t="n">
        <f aca="false">Source_Data!BD$9+Source_Data!BD$10*IF(Source_Data!$C$10=0,0,MAX(0,Inputs!$B$19*Inputs!$B$22*$B$149-Inputs!$B$20)/Source_Data!$C$10)</f>
        <v>0</v>
      </c>
      <c r="BE157" s="33" t="n">
        <f aca="false">Source_Data!BE$9+Source_Data!BE$10*IF(Source_Data!$C$10=0,0,MAX(0,Inputs!$B$19*Inputs!$B$22*$B$149-Inputs!$B$20)/Source_Data!$C$10)</f>
        <v>0</v>
      </c>
      <c r="BF157" s="33" t="n">
        <f aca="false">Source_Data!BF$9+Source_Data!BF$10*IF(Source_Data!$C$10=0,0,MAX(0,Inputs!$B$19*Inputs!$B$22*$B$149-Inputs!$B$20)/Source_Data!$C$10)</f>
        <v>0</v>
      </c>
      <c r="BG157" s="33" t="n">
        <f aca="false">Source_Data!BG$9+Source_Data!BG$10*IF(Source_Data!$C$10=0,0,MAX(0,Inputs!$B$19*Inputs!$B$22*$B$149-Inputs!$B$20)/Source_Data!$C$10)</f>
        <v>0</v>
      </c>
      <c r="BH157" s="33" t="n">
        <f aca="false">Source_Data!BH$9+Source_Data!BH$10*IF(Source_Data!$C$10=0,0,MAX(0,Inputs!$B$19*Inputs!$B$22*$B$149-Inputs!$B$20)/Source_Data!$C$10)</f>
        <v>0</v>
      </c>
      <c r="BI157" s="33" t="n">
        <f aca="false">Source_Data!BI$9+Source_Data!BI$10*IF(Source_Data!$C$10=0,0,MAX(0,Inputs!$B$19*Inputs!$B$22*$B$149-Inputs!$B$20)/Source_Data!$C$10)</f>
        <v>0</v>
      </c>
      <c r="BJ157" s="33" t="n">
        <f aca="false">Source_Data!BJ$9+Source_Data!BJ$10*IF(Source_Data!$C$10=0,0,MAX(0,Inputs!$B$19*Inputs!$B$22*$B$149-Inputs!$B$20)/Source_Data!$C$10)</f>
        <v>0</v>
      </c>
      <c r="BK157" s="33" t="n">
        <f aca="false">Source_Data!BK$9+Source_Data!BK$10*IF(Source_Data!$C$10=0,0,MAX(0,Inputs!$B$19*Inputs!$B$22*$B$149-Inputs!$B$20)/Source_Data!$C$10)</f>
        <v>0</v>
      </c>
    </row>
    <row r="158" customFormat="false" ht="15" hidden="false" customHeight="false" outlineLevel="0" collapsed="false">
      <c r="A158" s="3" t="s">
        <v>194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20</v>
      </c>
      <c r="I158" s="33" t="n">
        <f aca="false">Source_Data!I$11*$B$151</f>
        <v>26.4</v>
      </c>
      <c r="J158" s="33" t="n">
        <f aca="false">Source_Data!J$11*$B$151</f>
        <v>40</v>
      </c>
      <c r="K158" s="33" t="n">
        <f aca="false">Source_Data!K$11*$B$151</f>
        <v>26.4</v>
      </c>
      <c r="L158" s="33" t="n">
        <f aca="false">Source_Data!L$11*$B$151</f>
        <v>26.4</v>
      </c>
      <c r="M158" s="33" t="n">
        <f aca="false">Source_Data!M$11*$B$151</f>
        <v>26.4</v>
      </c>
      <c r="N158" s="33" t="n">
        <f aca="false">Source_Data!N$11*$B$151</f>
        <v>5.28</v>
      </c>
      <c r="O158" s="33" t="n">
        <f aca="false">Source_Data!O$11*$B$151</f>
        <v>5.28</v>
      </c>
      <c r="P158" s="33" t="n">
        <f aca="false">Source_Data!P$11*$B$151</f>
        <v>120</v>
      </c>
      <c r="Q158" s="33" t="n">
        <f aca="false">Source_Data!Q$11*$B$151</f>
        <v>120</v>
      </c>
      <c r="R158" s="33" t="n">
        <f aca="false">Source_Data!R$11*$B$151</f>
        <v>164</v>
      </c>
      <c r="S158" s="33" t="n">
        <f aca="false">Source_Data!S$11*$B$151</f>
        <v>117</v>
      </c>
      <c r="T158" s="33" t="n">
        <f aca="false">Source_Data!T$11*$B$151</f>
        <v>0</v>
      </c>
      <c r="U158" s="33" t="n">
        <f aca="false">Source_Data!U$11*$B$151</f>
        <v>0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196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0</v>
      </c>
      <c r="K159" s="33" t="n">
        <f aca="false">$B$149*IF(Source_Data!K$5-$B$150&gt;=1,INDEX(Source_Data!$D$12:$BK$12,1,Source_Data!K$5-$B$150),0)</f>
        <v>0</v>
      </c>
      <c r="L159" s="33" t="n">
        <f aca="false">$B$149*IF(Source_Data!L$5-$B$150&gt;=1,INDEX(Source_Data!$D$12:$BK$12,1,Source_Data!L$5-$B$150),0)</f>
        <v>12.11139</v>
      </c>
      <c r="M159" s="33" t="n">
        <f aca="false">$B$149*IF(Source_Data!M$5-$B$150&gt;=1,INDEX(Source_Data!$D$12:$BK$12,1,Source_Data!M$5-$B$150),0)</f>
        <v>12.11139</v>
      </c>
      <c r="N159" s="33" t="n">
        <f aca="false">$B$149*IF(Source_Data!N$5-$B$150&gt;=1,INDEX(Source_Data!$D$12:$BK$12,1,Source_Data!N$5-$B$150),0)</f>
        <v>9.52126</v>
      </c>
      <c r="O159" s="33" t="n">
        <f aca="false">$B$149*IF(Source_Data!O$5-$B$150&gt;=1,INDEX(Source_Data!$D$12:$BK$12,1,Source_Data!O$5-$B$150),0)</f>
        <v>9.52126</v>
      </c>
      <c r="P159" s="33" t="n">
        <f aca="false">$B$149*IF(Source_Data!P$5-$B$150&gt;=1,INDEX(Source_Data!$D$12:$BK$12,1,Source_Data!P$5-$B$150),0)</f>
        <v>6.98901</v>
      </c>
      <c r="Q159" s="33" t="n">
        <f aca="false">$B$149*IF(Source_Data!Q$5-$B$150&gt;=1,INDEX(Source_Data!$D$12:$BK$12,1,Source_Data!Q$5-$B$150),0)</f>
        <v>6.98901</v>
      </c>
      <c r="R159" s="33" t="n">
        <f aca="false">$B$149*IF(Source_Data!R$5-$B$150&gt;=1,INDEX(Source_Data!$D$12:$BK$12,1,Source_Data!R$5-$B$150),0)</f>
        <v>7.69804</v>
      </c>
      <c r="S159" s="33" t="n">
        <f aca="false">$B$149*IF(Source_Data!S$5-$B$150&gt;=1,INDEX(Source_Data!$D$12:$BK$12,1,Source_Data!S$5-$B$150),0)</f>
        <v>9.2608</v>
      </c>
      <c r="T159" s="33" t="n">
        <f aca="false">$B$149*IF(Source_Data!T$5-$B$150&gt;=1,INDEX(Source_Data!$D$12:$BK$12,1,Source_Data!T$5-$B$150),0)</f>
        <v>9.2608</v>
      </c>
      <c r="U159" s="33" t="n">
        <f aca="false">$B$149*IF(Source_Data!U$5-$B$150&gt;=1,INDEX(Source_Data!$D$12:$BK$12,1,Source_Data!U$5-$B$150),0)</f>
        <v>6.6562</v>
      </c>
      <c r="V159" s="33" t="n">
        <f aca="false">$B$149*IF(Source_Data!V$5-$B$150&gt;=1,INDEX(Source_Data!$D$12:$BK$12,1,Source_Data!V$5-$B$150),0)</f>
        <v>0</v>
      </c>
      <c r="W159" s="33" t="n">
        <f aca="false">$B$149*IF(Source_Data!W$5-$B$150&gt;=1,INDEX(Source_Data!$D$12:$BK$12,1,Source_Data!W$5-$B$150),0)</f>
        <v>0</v>
      </c>
      <c r="X159" s="33" t="n">
        <f aca="false">$B$149*IF(Source_Data!X$5-$B$150&gt;=1,INDEX(Source_Data!$D$12:$BK$12,1,Source_Data!X$5-$B$150),0)</f>
        <v>0</v>
      </c>
      <c r="Y159" s="33" t="n">
        <f aca="false">$B$149*IF(Source_Data!Y$5-$B$150&gt;=1,INDEX(Source_Data!$D$12:$BK$12,1,Source_Data!Y$5-$B$150),0)</f>
        <v>0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215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3</v>
      </c>
      <c r="I160" s="33" t="n">
        <f aca="false">Source_Data!I$13*$B$151</f>
        <v>3.96</v>
      </c>
      <c r="J160" s="33" t="n">
        <f aca="false">Source_Data!J$13*$B$151</f>
        <v>6</v>
      </c>
      <c r="K160" s="33" t="n">
        <f aca="false">Source_Data!K$13*$B$151</f>
        <v>3.96</v>
      </c>
      <c r="L160" s="33" t="n">
        <f aca="false">Source_Data!L$13*$B$151</f>
        <v>3.96</v>
      </c>
      <c r="M160" s="33" t="n">
        <f aca="false">Source_Data!M$13*$B$151</f>
        <v>3.96</v>
      </c>
      <c r="N160" s="33" t="n">
        <f aca="false">Source_Data!N$13*$B$151</f>
        <v>0.792</v>
      </c>
      <c r="O160" s="33" t="n">
        <f aca="false">Source_Data!O$13*$B$151</f>
        <v>0.792</v>
      </c>
      <c r="P160" s="33" t="n">
        <f aca="false">Source_Data!P$13*$B$151</f>
        <v>18</v>
      </c>
      <c r="Q160" s="33" t="n">
        <f aca="false">Source_Data!Q$13*$B$151</f>
        <v>18</v>
      </c>
      <c r="R160" s="33" t="n">
        <f aca="false">Source_Data!R$13*$B$151</f>
        <v>24.6</v>
      </c>
      <c r="S160" s="33" t="n">
        <f aca="false">Source_Data!S$13*$B$151</f>
        <v>17.55</v>
      </c>
      <c r="T160" s="33" t="n">
        <f aca="false">Source_Data!T$13*$B$151</f>
        <v>0</v>
      </c>
      <c r="U160" s="33" t="n">
        <f aca="false">Source_Data!U$13*$B$151</f>
        <v>0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216</v>
      </c>
      <c r="D161" s="33" t="n">
        <f aca="false">D156-D157-D158-D159-D160</f>
        <v>-91.25</v>
      </c>
      <c r="E161" s="33" t="n">
        <f aca="false">E156-E157-E158-E159-E160</f>
        <v>-11.25</v>
      </c>
      <c r="F161" s="33" t="n">
        <f aca="false">F156-F157-F158-F159-F160</f>
        <v>-11.25</v>
      </c>
      <c r="G161" s="33" t="n">
        <f aca="false">G156-G157-G158-G159-G160</f>
        <v>-11.25</v>
      </c>
      <c r="H161" s="33" t="n">
        <f aca="false">H156-H157-H158-H159-H160</f>
        <v>-30.3607625</v>
      </c>
      <c r="I161" s="33" t="n">
        <f aca="false">I156-I157-I158-I159-I160</f>
        <v>-22.581525</v>
      </c>
      <c r="J161" s="33" t="n">
        <f aca="false">J156-J157-J158-J159-J160</f>
        <v>-21.98799375</v>
      </c>
      <c r="K161" s="33" t="n">
        <f aca="false">K156-K157-K158-K159-K160</f>
        <v>9.8855375</v>
      </c>
      <c r="L161" s="33" t="n">
        <f aca="false">L156-L157-L158-L159-L160</f>
        <v>-13.85569</v>
      </c>
      <c r="M161" s="33" t="n">
        <f aca="false">M156-M157-M158-M159-M160</f>
        <v>-12.747830625</v>
      </c>
      <c r="N161" s="33" t="n">
        <f aca="false">N156-N157-N158-N159-N160</f>
        <v>30.9855884375</v>
      </c>
      <c r="O161" s="33" t="n">
        <f aca="false">O156-O157-O158-O159-O160</f>
        <v>445.9105775</v>
      </c>
      <c r="P161" s="33" t="n">
        <f aca="false">P156-P157-P158-P159-P160</f>
        <v>-4.41125999999999</v>
      </c>
      <c r="Q161" s="33" t="n">
        <f aca="false">Q156-Q157-Q158-Q159-Q160</f>
        <v>-13.45501</v>
      </c>
      <c r="R161" s="33" t="n">
        <f aca="false">R156-R157-R158-R159-R160</f>
        <v>-143.98729</v>
      </c>
      <c r="S161" s="33" t="n">
        <f aca="false">S156-S157-S158-S159-S160</f>
        <v>-117.50083125</v>
      </c>
      <c r="T161" s="33" t="n">
        <f aca="false">T156-T157-T158-T159-T160</f>
        <v>17.04916875</v>
      </c>
      <c r="U161" s="33" t="n">
        <f aca="false">U156-U157-U158-U159-U160</f>
        <v>16.380835625</v>
      </c>
      <c r="V161" s="33" t="n">
        <f aca="false">V156-V157-V158-V159-V160</f>
        <v>16.2266396875</v>
      </c>
      <c r="W161" s="33" t="n">
        <f aca="false">W156-W157-W158-W159-W160</f>
        <v>14.7127159375</v>
      </c>
      <c r="X161" s="33" t="n">
        <f aca="false">X156-X157-X158-X159-X160</f>
        <v>31.2239446875</v>
      </c>
      <c r="Y161" s="33" t="n">
        <f aca="false">Y156-Y157-Y158-Y159-Y160</f>
        <v>26.8829446875</v>
      </c>
      <c r="Z161" s="33" t="n">
        <f aca="false">Z156-Z157-Z158-Z159-Z160</f>
        <v>26.8829446875</v>
      </c>
      <c r="AA161" s="33" t="n">
        <f aca="false">AA156-AA157-AA158-AA159-AA160</f>
        <v>19.6027259375</v>
      </c>
      <c r="AB161" s="33" t="n">
        <f aca="false">AB156-AB157-AB158-AB159-AB160</f>
        <v>42.1027259375</v>
      </c>
      <c r="AC161" s="33" t="n">
        <f aca="false">AC156-AC157-AC158-AC159-AC160</f>
        <v>42.1027259375</v>
      </c>
      <c r="AD161" s="33" t="n">
        <f aca="false">AD156-AD157-AD158-AD159-AD160</f>
        <v>36.3147259375</v>
      </c>
      <c r="AE161" s="33" t="n">
        <f aca="false">AE156-AE157-AE158-AE159-AE160</f>
        <v>33.0386275</v>
      </c>
      <c r="AF161" s="33" t="n">
        <f aca="false">AF156-AF157-AF158-AF159-AF160</f>
        <v>-78.3280391015625</v>
      </c>
      <c r="AG161" s="33" t="n">
        <f aca="false">AG156-AG157-AG158-AG159-AG160</f>
        <v>14.112658828125</v>
      </c>
      <c r="AH161" s="33" t="n">
        <f aca="false">AH156-AH157-AH158-AH159-AH160</f>
        <v>14.112658828125</v>
      </c>
      <c r="AI161" s="33" t="n">
        <f aca="false">AI156-AI157-AI158-AI159-AI160</f>
        <v>14.112658828125</v>
      </c>
      <c r="AJ161" s="33" t="n">
        <f aca="false">AJ156-AJ157-AJ158-AJ159-AJ160</f>
        <v>14.112658828125</v>
      </c>
      <c r="AK161" s="33" t="n">
        <f aca="false">AK156-AK157-AK158-AK159-AK160</f>
        <v>15.0681875390625</v>
      </c>
      <c r="AL161" s="33" t="n">
        <f aca="false">AL156-AL157-AL158-AL159-AL160</f>
        <v>15.0681875390625</v>
      </c>
      <c r="AM161" s="33" t="n">
        <f aca="false">AM156-AM157-AM158-AM159-AM160</f>
        <v>14.7065505859375</v>
      </c>
      <c r="AN161" s="33" t="n">
        <f aca="false">AN156-AN157-AN158-AN159-AN160</f>
        <v>18.69365734375</v>
      </c>
      <c r="AO161" s="33" t="n">
        <f aca="false">AO156-AO157-AO158-AO159-AO160</f>
        <v>17.17747265625</v>
      </c>
      <c r="AP161" s="33" t="n">
        <f aca="false">AP156-AP157-AP158-AP159-AP160</f>
        <v>9.6261675</v>
      </c>
      <c r="AQ161" s="33" t="n">
        <f aca="false">AQ156-AQ157-AQ158-AQ159-AQ160</f>
        <v>3.5704725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217</v>
      </c>
      <c r="D162" s="33" t="n">
        <f aca="false">D161</f>
        <v>-91.25</v>
      </c>
      <c r="E162" s="33" t="n">
        <f aca="false">D162+E161</f>
        <v>-102.5</v>
      </c>
      <c r="F162" s="33" t="n">
        <f aca="false">E162+F161</f>
        <v>-113.75</v>
      </c>
      <c r="G162" s="33" t="n">
        <f aca="false">F162+G161</f>
        <v>-125</v>
      </c>
      <c r="H162" s="33" t="n">
        <f aca="false">G162+H161</f>
        <v>-155.3607625</v>
      </c>
      <c r="I162" s="33" t="n">
        <f aca="false">H162+I161</f>
        <v>-177.9422875</v>
      </c>
      <c r="J162" s="33" t="n">
        <f aca="false">I162+J161</f>
        <v>-199.93028125</v>
      </c>
      <c r="K162" s="33" t="n">
        <f aca="false">J162+K161</f>
        <v>-190.04474375</v>
      </c>
      <c r="L162" s="33" t="n">
        <f aca="false">K162+L161</f>
        <v>-203.90043375</v>
      </c>
      <c r="M162" s="33" t="n">
        <f aca="false">L162+M161</f>
        <v>-216.648264375</v>
      </c>
      <c r="N162" s="33" t="n">
        <f aca="false">M162+N161</f>
        <v>-185.6626759375</v>
      </c>
      <c r="O162" s="33" t="n">
        <f aca="false">N162+O161</f>
        <v>260.2479015625</v>
      </c>
      <c r="P162" s="33" t="n">
        <f aca="false">O162+P161</f>
        <v>255.8366415625</v>
      </c>
      <c r="Q162" s="33" t="n">
        <f aca="false">P162+Q161</f>
        <v>242.3816315625</v>
      </c>
      <c r="R162" s="33" t="n">
        <f aca="false">Q162+R161</f>
        <v>98.3943415625</v>
      </c>
      <c r="S162" s="33" t="n">
        <f aca="false">R162+S161</f>
        <v>-19.1064896875</v>
      </c>
      <c r="T162" s="33" t="n">
        <f aca="false">S162+T161</f>
        <v>-2.05732093749999</v>
      </c>
      <c r="U162" s="33" t="n">
        <f aca="false">T162+U161</f>
        <v>14.3235146875</v>
      </c>
      <c r="V162" s="33" t="n">
        <f aca="false">U162+V161</f>
        <v>30.550154375</v>
      </c>
      <c r="W162" s="33" t="n">
        <f aca="false">V162+W161</f>
        <v>45.2628703125</v>
      </c>
      <c r="X162" s="33" t="n">
        <f aca="false">W162+X161</f>
        <v>76.486815</v>
      </c>
      <c r="Y162" s="33" t="n">
        <f aca="false">X162+Y161</f>
        <v>103.3697596875</v>
      </c>
      <c r="Z162" s="33" t="n">
        <f aca="false">Y162+Z161</f>
        <v>130.252704375</v>
      </c>
      <c r="AA162" s="33" t="n">
        <f aca="false">Z162+AA161</f>
        <v>149.8554303125</v>
      </c>
      <c r="AB162" s="33" t="n">
        <f aca="false">AA162+AB161</f>
        <v>191.95815625</v>
      </c>
      <c r="AC162" s="33" t="n">
        <f aca="false">AB162+AC161</f>
        <v>234.0608821875</v>
      </c>
      <c r="AD162" s="33" t="n">
        <f aca="false">AC162+AD161</f>
        <v>270.375608125</v>
      </c>
      <c r="AE162" s="33" t="n">
        <f aca="false">AD162+AE161</f>
        <v>303.414235625</v>
      </c>
      <c r="AF162" s="33" t="n">
        <f aca="false">AE162+AF161</f>
        <v>225.086196523437</v>
      </c>
      <c r="AG162" s="33" t="n">
        <f aca="false">AF162+AG161</f>
        <v>239.198855351563</v>
      </c>
      <c r="AH162" s="33" t="n">
        <f aca="false">AG162+AH161</f>
        <v>253.311514179688</v>
      </c>
      <c r="AI162" s="33" t="n">
        <f aca="false">AH162+AI161</f>
        <v>267.424173007813</v>
      </c>
      <c r="AJ162" s="33" t="n">
        <f aca="false">AI162+AJ161</f>
        <v>281.536831835938</v>
      </c>
      <c r="AK162" s="33" t="n">
        <f aca="false">AJ162+AK161</f>
        <v>296.605019375</v>
      </c>
      <c r="AL162" s="33" t="n">
        <f aca="false">AK162+AL161</f>
        <v>311.673206914063</v>
      </c>
      <c r="AM162" s="33" t="n">
        <f aca="false">AL162+AM161</f>
        <v>326.3797575</v>
      </c>
      <c r="AN162" s="33" t="n">
        <f aca="false">AM162+AN161</f>
        <v>345.07341484375</v>
      </c>
      <c r="AO162" s="33" t="n">
        <f aca="false">AN162+AO161</f>
        <v>362.2508875</v>
      </c>
      <c r="AP162" s="33" t="n">
        <f aca="false">AO162+AP161</f>
        <v>371.877055</v>
      </c>
      <c r="AQ162" s="33" t="n">
        <f aca="false">AP162+AQ161</f>
        <v>375.4475275</v>
      </c>
      <c r="AR162" s="33" t="n">
        <f aca="false">AQ162+AR161</f>
        <v>375.4475275</v>
      </c>
      <c r="AS162" s="33" t="n">
        <f aca="false">AR162+AS161</f>
        <v>375.4475275</v>
      </c>
      <c r="AT162" s="33" t="n">
        <f aca="false">AS162+AT161</f>
        <v>375.4475275</v>
      </c>
      <c r="AU162" s="33" t="n">
        <f aca="false">AT162+AU161</f>
        <v>375.4475275</v>
      </c>
      <c r="AV162" s="33" t="n">
        <f aca="false">AU162+AV161</f>
        <v>375.4475275</v>
      </c>
      <c r="AW162" s="33" t="n">
        <f aca="false">AV162+AW161</f>
        <v>375.4475275</v>
      </c>
      <c r="AX162" s="33" t="n">
        <f aca="false">AW162+AX161</f>
        <v>375.4475275</v>
      </c>
      <c r="AY162" s="33" t="n">
        <f aca="false">AX162+AY161</f>
        <v>375.4475275</v>
      </c>
      <c r="AZ162" s="33" t="n">
        <f aca="false">AY162+AZ161</f>
        <v>375.4475275</v>
      </c>
      <c r="BA162" s="33" t="n">
        <f aca="false">AZ162+BA161</f>
        <v>375.4475275</v>
      </c>
      <c r="BB162" s="33" t="n">
        <f aca="false">BA162+BB161</f>
        <v>375.4475275</v>
      </c>
      <c r="BC162" s="33" t="n">
        <f aca="false">BB162+BC161</f>
        <v>375.4475275</v>
      </c>
      <c r="BD162" s="33" t="n">
        <f aca="false">BC162+BD161</f>
        <v>375.4475275</v>
      </c>
      <c r="BE162" s="33" t="n">
        <f aca="false">BD162+BE161</f>
        <v>375.4475275</v>
      </c>
      <c r="BF162" s="33" t="n">
        <f aca="false">BE162+BF161</f>
        <v>375.4475275</v>
      </c>
      <c r="BG162" s="33" t="n">
        <f aca="false">BF162+BG161</f>
        <v>375.4475275</v>
      </c>
      <c r="BH162" s="33" t="n">
        <f aca="false">BG162+BH161</f>
        <v>375.4475275</v>
      </c>
      <c r="BI162" s="33" t="n">
        <f aca="false">BH162+BI161</f>
        <v>375.4475275</v>
      </c>
      <c r="BJ162" s="33" t="n">
        <f aca="false">BI162+BJ161</f>
        <v>375.4475275</v>
      </c>
      <c r="BK162" s="33" t="n">
        <f aca="false">BJ162+BK161</f>
        <v>375.4475275</v>
      </c>
    </row>
    <row r="163" customFormat="false" ht="15" hidden="false" customHeight="false" outlineLevel="0" collapsed="false">
      <c r="A163" s="3" t="s">
        <v>340</v>
      </c>
      <c r="D163" s="33" t="n">
        <f aca="false">IF(Source_Data!D$6=Inputs!$B$12,-Inputs!$B$7,0)+IF(AND(Source_Data!D$6&gt;=$B$154,Source_Data!D$6&lt;$B$154+3*Inputs!$B$16,MOD(Source_Data!D$6-$B$154,3)=0),Inputs!$B$8*Inputs!$B$7*Inputs!$B$34*$B$149*(1-Inputs!$B$15)/Inputs!$B$16,0)</f>
        <v>-100</v>
      </c>
      <c r="E163" s="33" t="n">
        <f aca="false">IF(Source_Data!E$6=Inputs!$B$12,-Inputs!$B$7,0)+IF(AND(Source_Data!E$6&gt;=$B$154,Source_Data!E$6&lt;$B$154+3*Inputs!$B$16,MOD(Source_Data!E$6-$B$154,3)=0),Inputs!$B$8*Inputs!$B$7*Inputs!$B$34*$B$149*(1-Inputs!$B$15)/Inputs!$B$16,0)</f>
        <v>0</v>
      </c>
      <c r="F163" s="33" t="n">
        <f aca="false">IF(Source_Data!F$6=Inputs!$B$12,-Inputs!$B$7,0)+IF(AND(Source_Data!F$6&gt;=$B$154,Source_Data!F$6&lt;$B$154+3*Inputs!$B$16,MOD(Source_Data!F$6-$B$154,3)=0),Inputs!$B$8*Inputs!$B$7*Inputs!$B$34*$B$149*(1-Inputs!$B$15)/Inputs!$B$16,0)</f>
        <v>0</v>
      </c>
      <c r="G163" s="33" t="n">
        <f aca="false">IF(Source_Data!G$6=Inputs!$B$12,-Inputs!$B$7,0)+IF(AND(Source_Data!G$6&gt;=$B$154,Source_Data!G$6&lt;$B$154+3*Inputs!$B$16,MOD(Source_Data!G$6-$B$154,3)=0),Inputs!$B$8*Inputs!$B$7*Inputs!$B$34*$B$149*(1-Inputs!$B$15)/Inputs!$B$16,0)</f>
        <v>0</v>
      </c>
      <c r="H163" s="33" t="n">
        <f aca="false">IF(Source_Data!H$6=Inputs!$B$12,-Inputs!$B$7,0)+IF(AND(Source_Data!H$6&gt;=$B$154,Source_Data!H$6&lt;$B$154+3*Inputs!$B$16,MOD(Source_Data!H$6-$B$154,3)=0),Inputs!$B$8*Inputs!$B$7*Inputs!$B$34*$B$149*(1-Inputs!$B$15)/Inputs!$B$16,0)</f>
        <v>0</v>
      </c>
      <c r="I163" s="33" t="n">
        <f aca="false">IF(Source_Data!I$6=Inputs!$B$12,-Inputs!$B$7,0)+IF(AND(Source_Data!I$6&gt;=$B$154,Source_Data!I$6&lt;$B$154+3*Inputs!$B$16,MOD(Source_Data!I$6-$B$154,3)=0),Inputs!$B$8*Inputs!$B$7*Inputs!$B$34*$B$149*(1-Inputs!$B$15)/Inputs!$B$16,0)</f>
        <v>0</v>
      </c>
      <c r="J163" s="33" t="n">
        <f aca="false">IF(Source_Data!J$6=Inputs!$B$12,-Inputs!$B$7,0)+IF(AND(Source_Data!J$6&gt;=$B$154,Source_Data!J$6&lt;$B$154+3*Inputs!$B$16,MOD(Source_Data!J$6-$B$154,3)=0),Inputs!$B$8*Inputs!$B$7*Inputs!$B$34*$B$149*(1-Inputs!$B$15)/Inputs!$B$16,0)</f>
        <v>0</v>
      </c>
      <c r="K163" s="33" t="n">
        <f aca="false">IF(Source_Data!K$6=Inputs!$B$12,-Inputs!$B$7,0)+IF(AND(Source_Data!K$6&gt;=$B$154,Source_Data!K$6&lt;$B$154+3*Inputs!$B$16,MOD(Source_Data!K$6-$B$154,3)=0),Inputs!$B$8*Inputs!$B$7*Inputs!$B$34*$B$149*(1-Inputs!$B$15)/Inputs!$B$16,0)</f>
        <v>0</v>
      </c>
      <c r="L163" s="33" t="n">
        <f aca="false">IF(Source_Data!L$6=Inputs!$B$12,-Inputs!$B$7,0)+IF(AND(Source_Data!L$6&gt;=$B$154,Source_Data!L$6&lt;$B$154+3*Inputs!$B$16,MOD(Source_Data!L$6-$B$154,3)=0),Inputs!$B$8*Inputs!$B$7*Inputs!$B$34*$B$149*(1-Inputs!$B$15)/Inputs!$B$16,0)</f>
        <v>0</v>
      </c>
      <c r="M163" s="33" t="n">
        <f aca="false">IF(Source_Data!M$6=Inputs!$B$12,-Inputs!$B$7,0)+IF(AND(Source_Data!M$6&gt;=$B$154,Source_Data!M$6&lt;$B$154+3*Inputs!$B$16,MOD(Source_Data!M$6-$B$154,3)=0),Inputs!$B$8*Inputs!$B$7*Inputs!$B$34*$B$149*(1-Inputs!$B$15)/Inputs!$B$16,0)</f>
        <v>0</v>
      </c>
      <c r="N163" s="33" t="n">
        <f aca="false">IF(Source_Data!N$6=Inputs!$B$12,-Inputs!$B$7,0)+IF(AND(Source_Data!N$6&gt;=$B$154,Source_Data!N$6&lt;$B$154+3*Inputs!$B$16,MOD(Source_Data!N$6-$B$154,3)=0),Inputs!$B$8*Inputs!$B$7*Inputs!$B$34*$B$149*(1-Inputs!$B$15)/Inputs!$B$16,0)</f>
        <v>0</v>
      </c>
      <c r="O163" s="33" t="n">
        <f aca="false">IF(Source_Data!O$6=Inputs!$B$12,-Inputs!$B$7,0)+IF(AND(Source_Data!O$6&gt;=$B$154,Source_Data!O$6&lt;$B$154+3*Inputs!$B$16,MOD(Source_Data!O$6-$B$154,3)=0),Inputs!$B$8*Inputs!$B$7*Inputs!$B$34*$B$149*(1-Inputs!$B$15)/Inputs!$B$16,0)</f>
        <v>0</v>
      </c>
      <c r="P163" s="33" t="n">
        <f aca="false">IF(Source_Data!P$6=Inputs!$B$12,-Inputs!$B$7,0)+IF(AND(Source_Data!P$6&gt;=$B$154,Source_Data!P$6&lt;$B$154+3*Inputs!$B$16,MOD(Source_Data!P$6-$B$154,3)=0),Inputs!$B$8*Inputs!$B$7*Inputs!$B$34*$B$149*(1-Inputs!$B$15)/Inputs!$B$16,0)</f>
        <v>0</v>
      </c>
      <c r="Q163" s="33" t="n">
        <f aca="false">IF(Source_Data!Q$6=Inputs!$B$12,-Inputs!$B$7,0)+IF(AND(Source_Data!Q$6&gt;=$B$154,Source_Data!Q$6&lt;$B$154+3*Inputs!$B$16,MOD(Source_Data!Q$6-$B$154,3)=0),Inputs!$B$8*Inputs!$B$7*Inputs!$B$34*$B$149*(1-Inputs!$B$15)/Inputs!$B$16,0)</f>
        <v>0</v>
      </c>
      <c r="R163" s="33" t="n">
        <f aca="false">IF(Source_Data!R$6=Inputs!$B$12,-Inputs!$B$7,0)+IF(AND(Source_Data!R$6&gt;=$B$154,Source_Data!R$6&lt;$B$154+3*Inputs!$B$16,MOD(Source_Data!R$6-$B$154,3)=0),Inputs!$B$8*Inputs!$B$7*Inputs!$B$34*$B$149*(1-Inputs!$B$15)/Inputs!$B$16,0)</f>
        <v>0</v>
      </c>
      <c r="S163" s="33" t="n">
        <f aca="false">IF(Source_Data!S$6=Inputs!$B$12,-Inputs!$B$7,0)+IF(AND(Source_Data!S$6&gt;=$B$154,Source_Data!S$6&lt;$B$154+3*Inputs!$B$16,MOD(Source_Data!S$6-$B$154,3)=0),Inputs!$B$8*Inputs!$B$7*Inputs!$B$34*$B$149*(1-Inputs!$B$15)/Inputs!$B$16,0)</f>
        <v>0</v>
      </c>
      <c r="T163" s="33" t="n">
        <f aca="false">IF(Source_Data!T$6=Inputs!$B$12,-Inputs!$B$7,0)+IF(AND(Source_Data!T$6&gt;=$B$154,Source_Data!T$6&lt;$B$154+3*Inputs!$B$16,MOD(Source_Data!T$6-$B$154,3)=0),Inputs!$B$8*Inputs!$B$7*Inputs!$B$34*$B$149*(1-Inputs!$B$15)/Inputs!$B$16,0)</f>
        <v>0</v>
      </c>
      <c r="U163" s="33" t="n">
        <f aca="false">IF(Source_Data!U$6=Inputs!$B$12,-Inputs!$B$7,0)+IF(AND(Source_Data!U$6&gt;=$B$154,Source_Data!U$6&lt;$B$154+3*Inputs!$B$16,MOD(Source_Data!U$6-$B$154,3)=0),Inputs!$B$8*Inputs!$B$7*Inputs!$B$34*$B$149*(1-Inputs!$B$15)/Inputs!$B$16,0)</f>
        <v>0</v>
      </c>
      <c r="V163" s="33" t="n">
        <f aca="false">IF(Source_Data!V$6=Inputs!$B$12,-Inputs!$B$7,0)+IF(AND(Source_Data!V$6&gt;=$B$154,Source_Data!V$6&lt;$B$154+3*Inputs!$B$16,MOD(Source_Data!V$6-$B$154,3)=0),Inputs!$B$8*Inputs!$B$7*Inputs!$B$34*$B$149*(1-Inputs!$B$15)/Inputs!$B$16,0)</f>
        <v>69.5340501792115</v>
      </c>
      <c r="W163" s="33" t="n">
        <f aca="false">IF(Source_Data!W$6=Inputs!$B$12,-Inputs!$B$7,0)+IF(AND(Source_Data!W$6&gt;=$B$154,Source_Data!W$6&lt;$B$154+3*Inputs!$B$16,MOD(Source_Data!W$6-$B$154,3)=0),Inputs!$B$8*Inputs!$B$7*Inputs!$B$34*$B$149*(1-Inputs!$B$15)/Inputs!$B$16,0)</f>
        <v>69.5340501792115</v>
      </c>
      <c r="X163" s="33" t="n">
        <f aca="false">IF(Source_Data!X$6=Inputs!$B$12,-Inputs!$B$7,0)+IF(AND(Source_Data!X$6&gt;=$B$154,Source_Data!X$6&lt;$B$154+3*Inputs!$B$16,MOD(Source_Data!X$6-$B$154,3)=0),Inputs!$B$8*Inputs!$B$7*Inputs!$B$34*$B$149*(1-Inputs!$B$15)/Inputs!$B$16,0)</f>
        <v>69.5340501792115</v>
      </c>
      <c r="Y163" s="33" t="n">
        <f aca="false">IF(Source_Data!Y$6=Inputs!$B$12,-Inputs!$B$7,0)+IF(AND(Source_Data!Y$6&gt;=$B$154,Source_Data!Y$6&lt;$B$154+3*Inputs!$B$16,MOD(Source_Data!Y$6-$B$154,3)=0),Inputs!$B$8*Inputs!$B$7*Inputs!$B$34*$B$149*(1-Inputs!$B$15)/Inputs!$B$16,0)</f>
        <v>69.5340501792115</v>
      </c>
      <c r="Z163" s="33" t="n">
        <f aca="false">IF(Source_Data!Z$6=Inputs!$B$12,-Inputs!$B$7,0)+IF(AND(Source_Data!Z$6&gt;=$B$154,Source_Data!Z$6&lt;$B$154+3*Inputs!$B$16,MOD(Source_Data!Z$6-$B$154,3)=0),Inputs!$B$8*Inputs!$B$7*Inputs!$B$34*$B$149*(1-Inputs!$B$15)/Inputs!$B$16,0)</f>
        <v>0</v>
      </c>
      <c r="AA163" s="33" t="n">
        <f aca="false">IF(Source_Data!AA$6=Inputs!$B$12,-Inputs!$B$7,0)+IF(AND(Source_Data!AA$6&gt;=$B$154,Source_Data!AA$6&lt;$B$154+3*Inputs!$B$16,MOD(Source_Data!AA$6-$B$154,3)=0),Inputs!$B$8*Inputs!$B$7*Inputs!$B$34*$B$149*(1-Inputs!$B$15)/Inputs!$B$16,0)</f>
        <v>0</v>
      </c>
      <c r="AB163" s="33" t="n">
        <f aca="false">IF(Source_Data!AB$6=Inputs!$B$12,-Inputs!$B$7,0)+IF(AND(Source_Data!AB$6&gt;=$B$154,Source_Data!AB$6&lt;$B$154+3*Inputs!$B$16,MOD(Source_Data!AB$6-$B$154,3)=0),Inputs!$B$8*Inputs!$B$7*Inputs!$B$34*$B$149*(1-Inputs!$B$15)/Inputs!$B$16,0)</f>
        <v>0</v>
      </c>
      <c r="AC163" s="33" t="n">
        <f aca="false">IF(Source_Data!AC$6=Inputs!$B$12,-Inputs!$B$7,0)+IF(AND(Source_Data!AC$6&gt;=$B$154,Source_Data!AC$6&lt;$B$154+3*Inputs!$B$16,MOD(Source_Data!AC$6-$B$154,3)=0),Inputs!$B$8*Inputs!$B$7*Inputs!$B$34*$B$149*(1-Inputs!$B$15)/Inputs!$B$16,0)</f>
        <v>0</v>
      </c>
      <c r="AD163" s="33" t="n">
        <f aca="false">IF(Source_Data!AD$6=Inputs!$B$12,-Inputs!$B$7,0)+IF(AND(Source_Data!AD$6&gt;=$B$154,Source_Data!AD$6&lt;$B$154+3*Inputs!$B$16,MOD(Source_Data!AD$6-$B$154,3)=0),Inputs!$B$8*Inputs!$B$7*Inputs!$B$34*$B$149*(1-Inputs!$B$15)/Inputs!$B$16,0)</f>
        <v>0</v>
      </c>
      <c r="AE163" s="33" t="n">
        <f aca="false">IF(Source_Data!AE$6=Inputs!$B$12,-Inputs!$B$7,0)+IF(AND(Source_Data!AE$6&gt;=$B$154,Source_Data!AE$6&lt;$B$154+3*Inputs!$B$16,MOD(Source_Data!AE$6-$B$154,3)=0),Inputs!$B$8*Inputs!$B$7*Inputs!$B$34*$B$149*(1-Inputs!$B$15)/Inputs!$B$16,0)</f>
        <v>0</v>
      </c>
      <c r="AF163" s="33" t="n">
        <f aca="false">IF(Source_Data!AF$6=Inputs!$B$12,-Inputs!$B$7,0)+IF(AND(Source_Data!AF$6&gt;=$B$154,Source_Data!AF$6&lt;$B$154+3*Inputs!$B$16,MOD(Source_Data!AF$6-$B$154,3)=0),Inputs!$B$8*Inputs!$B$7*Inputs!$B$34*$B$149*(1-Inputs!$B$15)/Inputs!$B$16,0)</f>
        <v>0</v>
      </c>
      <c r="AG163" s="33" t="n">
        <f aca="false">IF(Source_Data!AG$6=Inputs!$B$12,-Inputs!$B$7,0)+IF(AND(Source_Data!AG$6&gt;=$B$154,Source_Data!AG$6&lt;$B$154+3*Inputs!$B$16,MOD(Source_Data!AG$6-$B$154,3)=0),Inputs!$B$8*Inputs!$B$7*Inputs!$B$34*$B$149*(1-Inputs!$B$15)/Inputs!$B$16,0)</f>
        <v>0</v>
      </c>
      <c r="AH163" s="33" t="n">
        <f aca="false">IF(Source_Data!AH$6=Inputs!$B$12,-Inputs!$B$7,0)+IF(AND(Source_Data!AH$6&gt;=$B$154,Source_Data!AH$6&lt;$B$154+3*Inputs!$B$16,MOD(Source_Data!AH$6-$B$154,3)=0),Inputs!$B$8*Inputs!$B$7*Inputs!$B$34*$B$149*(1-Inputs!$B$15)/Inputs!$B$16,0)</f>
        <v>0</v>
      </c>
      <c r="AI163" s="33" t="n">
        <f aca="false">IF(Source_Data!AI$6=Inputs!$B$12,-Inputs!$B$7,0)+IF(AND(Source_Data!AI$6&gt;=$B$154,Source_Data!AI$6&lt;$B$154+3*Inputs!$B$16,MOD(Source_Data!AI$6-$B$154,3)=0),Inputs!$B$8*Inputs!$B$7*Inputs!$B$34*$B$149*(1-Inputs!$B$15)/Inputs!$B$16,0)</f>
        <v>0</v>
      </c>
      <c r="AJ163" s="33" t="n">
        <f aca="false">IF(Source_Data!AJ$6=Inputs!$B$12,-Inputs!$B$7,0)+IF(AND(Source_Data!AJ$6&gt;=$B$154,Source_Data!AJ$6&lt;$B$154+3*Inputs!$B$16,MOD(Source_Data!AJ$6-$B$154,3)=0),Inputs!$B$8*Inputs!$B$7*Inputs!$B$34*$B$149*(1-Inputs!$B$15)/Inputs!$B$16,0)</f>
        <v>0</v>
      </c>
      <c r="AK163" s="33" t="n">
        <f aca="false">IF(Source_Data!AK$6=Inputs!$B$12,-Inputs!$B$7,0)+IF(AND(Source_Data!AK$6&gt;=$B$154,Source_Data!AK$6&lt;$B$154+3*Inputs!$B$16,MOD(Source_Data!AK$6-$B$154,3)=0),Inputs!$B$8*Inputs!$B$7*Inputs!$B$34*$B$149*(1-Inputs!$B$15)/Inputs!$B$16,0)</f>
        <v>0</v>
      </c>
      <c r="AL163" s="33" t="n">
        <f aca="false">IF(Source_Data!AL$6=Inputs!$B$12,-Inputs!$B$7,0)+IF(AND(Source_Data!AL$6&gt;=$B$154,Source_Data!AL$6&lt;$B$154+3*Inputs!$B$16,MOD(Source_Data!AL$6-$B$154,3)=0),Inputs!$B$8*Inputs!$B$7*Inputs!$B$34*$B$149*(1-Inputs!$B$15)/Inputs!$B$16,0)</f>
        <v>0</v>
      </c>
      <c r="AM163" s="33" t="n">
        <f aca="false">IF(Source_Data!AM$6=Inputs!$B$12,-Inputs!$B$7,0)+IF(AND(Source_Data!AM$6&gt;=$B$154,Source_Data!AM$6&lt;$B$154+3*Inputs!$B$16,MOD(Source_Data!AM$6-$B$154,3)=0),Inputs!$B$8*Inputs!$B$7*Inputs!$B$34*$B$149*(1-Inputs!$B$15)/Inputs!$B$16,0)</f>
        <v>0</v>
      </c>
      <c r="AN163" s="33" t="n">
        <f aca="false">IF(Source_Data!AN$6=Inputs!$B$12,-Inputs!$B$7,0)+IF(AND(Source_Data!AN$6&gt;=$B$154,Source_Data!AN$6&lt;$B$154+3*Inputs!$B$16,MOD(Source_Data!AN$6-$B$154,3)=0),Inputs!$B$8*Inputs!$B$7*Inputs!$B$34*$B$149*(1-Inputs!$B$15)/Inputs!$B$16,0)</f>
        <v>0</v>
      </c>
      <c r="AO163" s="33" t="n">
        <f aca="false">IF(Source_Data!AO$6=Inputs!$B$12,-Inputs!$B$7,0)+IF(AND(Source_Data!AO$6&gt;=$B$154,Source_Data!AO$6&lt;$B$154+3*Inputs!$B$16,MOD(Source_Data!AO$6-$B$154,3)=0),Inputs!$B$8*Inputs!$B$7*Inputs!$B$34*$B$149*(1-Inputs!$B$15)/Inputs!$B$16,0)</f>
        <v>0</v>
      </c>
      <c r="AP163" s="33" t="n">
        <f aca="false">IF(Source_Data!AP$6=Inputs!$B$12,-Inputs!$B$7,0)+IF(AND(Source_Data!AP$6&gt;=$B$154,Source_Data!AP$6&lt;$B$154+3*Inputs!$B$16,MOD(Source_Data!AP$6-$B$154,3)=0),Inputs!$B$8*Inputs!$B$7*Inputs!$B$34*$B$149*(1-Inputs!$B$15)/Inputs!$B$16,0)</f>
        <v>0</v>
      </c>
      <c r="AQ163" s="33" t="n">
        <f aca="false">IF(Source_Data!AQ$6=Inputs!$B$12,-Inputs!$B$7,0)+IF(AND(Source_Data!AQ$6&gt;=$B$154,Source_Data!AQ$6&lt;$B$154+3*Inputs!$B$16,MOD(Source_Data!AQ$6-$B$154,3)=0),Inputs!$B$8*Inputs!$B$7*Inputs!$B$34*$B$149*(1-Inputs!$B$15)/Inputs!$B$16,0)</f>
        <v>0</v>
      </c>
      <c r="AR163" s="33" t="n">
        <f aca="false">IF(Source_Data!AR$6=Inputs!$B$12,-Inputs!$B$7,0)+IF(AND(Source_Data!AR$6&gt;=$B$154,Source_Data!AR$6&lt;$B$154+3*Inputs!$B$16,MOD(Source_Data!AR$6-$B$154,3)=0),Inputs!$B$8*Inputs!$B$7*Inputs!$B$34*$B$149*(1-Inputs!$B$15)/Inputs!$B$16,0)</f>
        <v>0</v>
      </c>
      <c r="AS163" s="33" t="n">
        <f aca="false">IF(Source_Data!AS$6=Inputs!$B$12,-Inputs!$B$7,0)+IF(AND(Source_Data!AS$6&gt;=$B$154,Source_Data!AS$6&lt;$B$154+3*Inputs!$B$16,MOD(Source_Data!AS$6-$B$154,3)=0),Inputs!$B$8*Inputs!$B$7*Inputs!$B$34*$B$149*(1-Inputs!$B$15)/Inputs!$B$16,0)</f>
        <v>0</v>
      </c>
      <c r="AT163" s="33" t="n">
        <f aca="false">IF(Source_Data!AT$6=Inputs!$B$12,-Inputs!$B$7,0)+IF(AND(Source_Data!AT$6&gt;=$B$154,Source_Data!AT$6&lt;$B$154+3*Inputs!$B$16,MOD(Source_Data!AT$6-$B$154,3)=0),Inputs!$B$8*Inputs!$B$7*Inputs!$B$34*$B$149*(1-Inputs!$B$15)/Inputs!$B$16,0)</f>
        <v>0</v>
      </c>
      <c r="AU163" s="33" t="n">
        <f aca="false">IF(Source_Data!AU$6=Inputs!$B$12,-Inputs!$B$7,0)+IF(AND(Source_Data!AU$6&gt;=$B$154,Source_Data!AU$6&lt;$B$154+3*Inputs!$B$16,MOD(Source_Data!AU$6-$B$154,3)=0),Inputs!$B$8*Inputs!$B$7*Inputs!$B$34*$B$149*(1-Inputs!$B$15)/Inputs!$B$16,0)</f>
        <v>0</v>
      </c>
      <c r="AV163" s="33" t="n">
        <f aca="false">IF(Source_Data!AV$6=Inputs!$B$12,-Inputs!$B$7,0)+IF(AND(Source_Data!AV$6&gt;=$B$154,Source_Data!AV$6&lt;$B$154+3*Inputs!$B$16,MOD(Source_Data!AV$6-$B$154,3)=0),Inputs!$B$8*Inputs!$B$7*Inputs!$B$34*$B$149*(1-Inputs!$B$15)/Inputs!$B$16,0)</f>
        <v>0</v>
      </c>
      <c r="AW163" s="33" t="n">
        <f aca="false">IF(Source_Data!AW$6=Inputs!$B$12,-Inputs!$B$7,0)+IF(AND(Source_Data!AW$6&gt;=$B$154,Source_Data!AW$6&lt;$B$154+3*Inputs!$B$16,MOD(Source_Data!AW$6-$B$154,3)=0),Inputs!$B$8*Inputs!$B$7*Inputs!$B$34*$B$149*(1-Inputs!$B$15)/Inputs!$B$16,0)</f>
        <v>0</v>
      </c>
      <c r="AX163" s="33" t="n">
        <f aca="false">IF(Source_Data!AX$6=Inputs!$B$12,-Inputs!$B$7,0)+IF(AND(Source_Data!AX$6&gt;=$B$154,Source_Data!AX$6&lt;$B$154+3*Inputs!$B$16,MOD(Source_Data!AX$6-$B$154,3)=0),Inputs!$B$8*Inputs!$B$7*Inputs!$B$34*$B$149*(1-Inputs!$B$15)/Inputs!$B$16,0)</f>
        <v>0</v>
      </c>
      <c r="AY163" s="33" t="n">
        <f aca="false">IF(Source_Data!AY$6=Inputs!$B$12,-Inputs!$B$7,0)+IF(AND(Source_Data!AY$6&gt;=$B$154,Source_Data!AY$6&lt;$B$154+3*Inputs!$B$16,MOD(Source_Data!AY$6-$B$154,3)=0),Inputs!$B$8*Inputs!$B$7*Inputs!$B$34*$B$149*(1-Inputs!$B$15)/Inputs!$B$16,0)</f>
        <v>0</v>
      </c>
      <c r="AZ163" s="33" t="n">
        <f aca="false">IF(Source_Data!AZ$6=Inputs!$B$12,-Inputs!$B$7,0)+IF(AND(Source_Data!AZ$6&gt;=$B$154,Source_Data!AZ$6&lt;$B$154+3*Inputs!$B$16,MOD(Source_Data!AZ$6-$B$154,3)=0),Inputs!$B$8*Inputs!$B$7*Inputs!$B$34*$B$149*(1-Inputs!$B$15)/Inputs!$B$16,0)</f>
        <v>0</v>
      </c>
      <c r="BA163" s="33" t="n">
        <f aca="false">IF(Source_Data!BA$6=Inputs!$B$12,-Inputs!$B$7,0)+IF(AND(Source_Data!BA$6&gt;=$B$154,Source_Data!BA$6&lt;$B$154+3*Inputs!$B$16,MOD(Source_Data!BA$6-$B$154,3)=0),Inputs!$B$8*Inputs!$B$7*Inputs!$B$34*$B$149*(1-Inputs!$B$15)/Inputs!$B$16,0)</f>
        <v>0</v>
      </c>
      <c r="BB163" s="33" t="n">
        <f aca="false">IF(Source_Data!BB$6=Inputs!$B$12,-Inputs!$B$7,0)+IF(AND(Source_Data!BB$6&gt;=$B$154,Source_Data!BB$6&lt;$B$154+3*Inputs!$B$16,MOD(Source_Data!BB$6-$B$154,3)=0),Inputs!$B$8*Inputs!$B$7*Inputs!$B$34*$B$149*(1-Inputs!$B$15)/Inputs!$B$16,0)</f>
        <v>0</v>
      </c>
      <c r="BC163" s="33" t="n">
        <f aca="false">IF(Source_Data!BC$6=Inputs!$B$12,-Inputs!$B$7,0)+IF(AND(Source_Data!BC$6&gt;=$B$154,Source_Data!BC$6&lt;$B$154+3*Inputs!$B$16,MOD(Source_Data!BC$6-$B$154,3)=0),Inputs!$B$8*Inputs!$B$7*Inputs!$B$34*$B$149*(1-Inputs!$B$15)/Inputs!$B$16,0)</f>
        <v>0</v>
      </c>
      <c r="BD163" s="33" t="n">
        <f aca="false">IF(Source_Data!BD$6=Inputs!$B$12,-Inputs!$B$7,0)+IF(AND(Source_Data!BD$6&gt;=$B$154,Source_Data!BD$6&lt;$B$154+3*Inputs!$B$16,MOD(Source_Data!BD$6-$B$154,3)=0),Inputs!$B$8*Inputs!$B$7*Inputs!$B$34*$B$149*(1-Inputs!$B$15)/Inputs!$B$16,0)</f>
        <v>0</v>
      </c>
      <c r="BE163" s="33" t="n">
        <f aca="false">IF(Source_Data!BE$6=Inputs!$B$12,-Inputs!$B$7,0)+IF(AND(Source_Data!BE$6&gt;=$B$154,Source_Data!BE$6&lt;$B$154+3*Inputs!$B$16,MOD(Source_Data!BE$6-$B$154,3)=0),Inputs!$B$8*Inputs!$B$7*Inputs!$B$34*$B$149*(1-Inputs!$B$15)/Inputs!$B$16,0)</f>
        <v>0</v>
      </c>
      <c r="BF163" s="33" t="n">
        <f aca="false">IF(Source_Data!BF$6=Inputs!$B$12,-Inputs!$B$7,0)+IF(AND(Source_Data!BF$6&gt;=$B$154,Source_Data!BF$6&lt;$B$154+3*Inputs!$B$16,MOD(Source_Data!BF$6-$B$154,3)=0),Inputs!$B$8*Inputs!$B$7*Inputs!$B$34*$B$149*(1-Inputs!$B$15)/Inputs!$B$16,0)</f>
        <v>0</v>
      </c>
      <c r="BG163" s="33" t="n">
        <f aca="false">IF(Source_Data!BG$6=Inputs!$B$12,-Inputs!$B$7,0)+IF(AND(Source_Data!BG$6&gt;=$B$154,Source_Data!BG$6&lt;$B$154+3*Inputs!$B$16,MOD(Source_Data!BG$6-$B$154,3)=0),Inputs!$B$8*Inputs!$B$7*Inputs!$B$34*$B$149*(1-Inputs!$B$15)/Inputs!$B$16,0)</f>
        <v>0</v>
      </c>
      <c r="BH163" s="33" t="n">
        <f aca="false">IF(Source_Data!BH$6=Inputs!$B$12,-Inputs!$B$7,0)+IF(AND(Source_Data!BH$6&gt;=$B$154,Source_Data!BH$6&lt;$B$154+3*Inputs!$B$16,MOD(Source_Data!BH$6-$B$154,3)=0),Inputs!$B$8*Inputs!$B$7*Inputs!$B$34*$B$149*(1-Inputs!$B$15)/Inputs!$B$16,0)</f>
        <v>0</v>
      </c>
      <c r="BI163" s="33" t="n">
        <f aca="false">IF(Source_Data!BI$6=Inputs!$B$12,-Inputs!$B$7,0)+IF(AND(Source_Data!BI$6&gt;=$B$154,Source_Data!BI$6&lt;$B$154+3*Inputs!$B$16,MOD(Source_Data!BI$6-$B$154,3)=0),Inputs!$B$8*Inputs!$B$7*Inputs!$B$34*$B$149*(1-Inputs!$B$15)/Inputs!$B$16,0)</f>
        <v>0</v>
      </c>
      <c r="BJ163" s="33" t="n">
        <f aca="false">IF(Source_Data!BJ$6=Inputs!$B$12,-Inputs!$B$7,0)+IF(AND(Source_Data!BJ$6&gt;=$B$154,Source_Data!BJ$6&lt;$B$154+3*Inputs!$B$16,MOD(Source_Data!BJ$6-$B$154,3)=0),Inputs!$B$8*Inputs!$B$7*Inputs!$B$34*$B$149*(1-Inputs!$B$15)/Inputs!$B$16,0)</f>
        <v>0</v>
      </c>
      <c r="BK163" s="33" t="n">
        <f aca="false">IF(Source_Data!BK$6=Inputs!$B$12,-Inputs!$B$7,0)+IF(AND(Source_Data!BK$6&gt;=$B$154,Source_Data!BK$6&lt;$B$154+3*Inputs!$B$16,MOD(Source_Data!BK$6-$B$154,3)=0),Inputs!$B$8*Inputs!$B$7*Inputs!$B$34*$B$149*(1-Inputs!$B$15)/Inputs!$B$16,0)</f>
        <v>0</v>
      </c>
    </row>
    <row r="164" customFormat="false" ht="15" hidden="false" customHeight="false" outlineLevel="0" collapsed="false">
      <c r="A164" s="3" t="s">
        <v>341</v>
      </c>
      <c r="D164" s="33" t="n">
        <f aca="false">IF(AND(Source_Data!D$6&gt;=Inputs!$B$54,Source_Data!D$6&lt;Inputs!$B$54+3*Inputs!$B$11),Inputs!$B$9*Inputs!$B$7/Inputs!$B$11,0)</f>
        <v>0</v>
      </c>
      <c r="E164" s="33" t="n">
        <f aca="false">IF(AND(Source_Data!E$6&gt;=Inputs!$B$54,Source_Data!E$6&lt;Inputs!$B$54+3*Inputs!$B$11),Inputs!$B$9*Inputs!$B$7/Inputs!$B$11,0)</f>
        <v>0</v>
      </c>
      <c r="F164" s="33" t="n">
        <f aca="false">IF(AND(Source_Data!F$6&gt;=Inputs!$B$54,Source_Data!F$6&lt;Inputs!$B$54+3*Inputs!$B$11),Inputs!$B$9*Inputs!$B$7/Inputs!$B$11,0)</f>
        <v>0</v>
      </c>
      <c r="G164" s="33" t="n">
        <f aca="false">IF(AND(Source_Data!G$6&gt;=Inputs!$B$54,Source_Data!G$6&lt;Inputs!$B$54+3*Inputs!$B$11),Inputs!$B$9*Inputs!$B$7/Inputs!$B$11,0)</f>
        <v>0</v>
      </c>
      <c r="H164" s="33" t="n">
        <f aca="false">IF(AND(Source_Data!H$6&gt;=Inputs!$B$54,Source_Data!H$6&lt;Inputs!$B$54+3*Inputs!$B$11),Inputs!$B$9*Inputs!$B$7/Inputs!$B$11,0)</f>
        <v>0</v>
      </c>
      <c r="I164" s="33" t="n">
        <f aca="false">IF(AND(Source_Data!I$6&gt;=Inputs!$B$54,Source_Data!I$6&lt;Inputs!$B$54+3*Inputs!$B$11),Inputs!$B$9*Inputs!$B$7/Inputs!$B$11,0)</f>
        <v>0</v>
      </c>
      <c r="J164" s="33" t="n">
        <f aca="false">IF(AND(Source_Data!J$6&gt;=Inputs!$B$54,Source_Data!J$6&lt;Inputs!$B$54+3*Inputs!$B$11),Inputs!$B$9*Inputs!$B$7/Inputs!$B$11,0)</f>
        <v>0</v>
      </c>
      <c r="K164" s="33" t="n">
        <f aca="false">IF(AND(Source_Data!K$6&gt;=Inputs!$B$54,Source_Data!K$6&lt;Inputs!$B$54+3*Inputs!$B$11),Inputs!$B$9*Inputs!$B$7/Inputs!$B$11,0)</f>
        <v>0</v>
      </c>
      <c r="L164" s="33" t="n">
        <f aca="false">IF(AND(Source_Data!L$6&gt;=Inputs!$B$54,Source_Data!L$6&lt;Inputs!$B$54+3*Inputs!$B$11),Inputs!$B$9*Inputs!$B$7/Inputs!$B$11,0)</f>
        <v>0</v>
      </c>
      <c r="M164" s="33" t="n">
        <f aca="false">IF(AND(Source_Data!M$6&gt;=Inputs!$B$54,Source_Data!M$6&lt;Inputs!$B$54+3*Inputs!$B$11),Inputs!$B$9*Inputs!$B$7/Inputs!$B$11,0)</f>
        <v>19.1666666666667</v>
      </c>
      <c r="N164" s="33" t="n">
        <f aca="false">IF(AND(Source_Data!N$6&gt;=Inputs!$B$54,Source_Data!N$6&lt;Inputs!$B$54+3*Inputs!$B$11),Inputs!$B$9*Inputs!$B$7/Inputs!$B$11,0)</f>
        <v>19.1666666666667</v>
      </c>
      <c r="O164" s="33" t="n">
        <f aca="false">IF(AND(Source_Data!O$6&gt;=Inputs!$B$54,Source_Data!O$6&lt;Inputs!$B$54+3*Inputs!$B$11),Inputs!$B$9*Inputs!$B$7/Inputs!$B$11,0)</f>
        <v>19.1666666666667</v>
      </c>
      <c r="P164" s="33" t="n">
        <f aca="false">IF(AND(Source_Data!P$6&gt;=Inputs!$B$54,Source_Data!P$6&lt;Inputs!$B$54+3*Inputs!$B$11),Inputs!$B$9*Inputs!$B$7/Inputs!$B$11,0)</f>
        <v>19.1666666666667</v>
      </c>
      <c r="Q164" s="33" t="n">
        <f aca="false">IF(AND(Source_Data!Q$6&gt;=Inputs!$B$54,Source_Data!Q$6&lt;Inputs!$B$54+3*Inputs!$B$11),Inputs!$B$9*Inputs!$B$7/Inputs!$B$11,0)</f>
        <v>19.1666666666667</v>
      </c>
      <c r="R164" s="33" t="n">
        <f aca="false">IF(AND(Source_Data!R$6&gt;=Inputs!$B$54,Source_Data!R$6&lt;Inputs!$B$54+3*Inputs!$B$11),Inputs!$B$9*Inputs!$B$7/Inputs!$B$11,0)</f>
        <v>19.1666666666667</v>
      </c>
      <c r="S164" s="33" t="n">
        <f aca="false">IF(AND(Source_Data!S$6&gt;=Inputs!$B$54,Source_Data!S$6&lt;Inputs!$B$54+3*Inputs!$B$11),Inputs!$B$9*Inputs!$B$7/Inputs!$B$11,0)</f>
        <v>19.1666666666667</v>
      </c>
      <c r="T164" s="33" t="n">
        <f aca="false">IF(AND(Source_Data!T$6&gt;=Inputs!$B$54,Source_Data!T$6&lt;Inputs!$B$54+3*Inputs!$B$11),Inputs!$B$9*Inputs!$B$7/Inputs!$B$11,0)</f>
        <v>19.1666666666667</v>
      </c>
      <c r="U164" s="33" t="n">
        <f aca="false">IF(AND(Source_Data!U$6&gt;=Inputs!$B$54,Source_Data!U$6&lt;Inputs!$B$54+3*Inputs!$B$11),Inputs!$B$9*Inputs!$B$7/Inputs!$B$11,0)</f>
        <v>19.1666666666667</v>
      </c>
      <c r="V164" s="33" t="n">
        <f aca="false">IF(AND(Source_Data!V$6&gt;=Inputs!$B$54,Source_Data!V$6&lt;Inputs!$B$54+3*Inputs!$B$11),Inputs!$B$9*Inputs!$B$7/Inputs!$B$11,0)</f>
        <v>19.1666666666667</v>
      </c>
      <c r="W164" s="33" t="n">
        <f aca="false">IF(AND(Source_Data!W$6&gt;=Inputs!$B$54,Source_Data!W$6&lt;Inputs!$B$54+3*Inputs!$B$11),Inputs!$B$9*Inputs!$B$7/Inputs!$B$11,0)</f>
        <v>19.1666666666667</v>
      </c>
      <c r="X164" s="33" t="n">
        <f aca="false">IF(AND(Source_Data!X$6&gt;=Inputs!$B$54,Source_Data!X$6&lt;Inputs!$B$54+3*Inputs!$B$11),Inputs!$B$9*Inputs!$B$7/Inputs!$B$11,0)</f>
        <v>19.1666666666667</v>
      </c>
      <c r="Y164" s="33" t="n">
        <f aca="false">IF(AND(Source_Data!Y$6&gt;=Inputs!$B$54,Source_Data!Y$6&lt;Inputs!$B$54+3*Inputs!$B$11),Inputs!$B$9*Inputs!$B$7/Inputs!$B$11,0)</f>
        <v>0</v>
      </c>
      <c r="Z164" s="33" t="n">
        <f aca="false">IF(AND(Source_Data!Z$6&gt;=Inputs!$B$54,Source_Data!Z$6&lt;Inputs!$B$54+3*Inputs!$B$11),Inputs!$B$9*Inputs!$B$7/Inputs!$B$11,0)</f>
        <v>0</v>
      </c>
      <c r="AA164" s="33" t="n">
        <f aca="false">IF(AND(Source_Data!AA$6&gt;=Inputs!$B$54,Source_Data!AA$6&lt;Inputs!$B$54+3*Inputs!$B$11),Inputs!$B$9*Inputs!$B$7/Inputs!$B$11,0)</f>
        <v>0</v>
      </c>
      <c r="AB164" s="33" t="n">
        <f aca="false">IF(AND(Source_Data!AB$6&gt;=Inputs!$B$54,Source_Data!AB$6&lt;Inputs!$B$54+3*Inputs!$B$11),Inputs!$B$9*Inputs!$B$7/Inputs!$B$11,0)</f>
        <v>0</v>
      </c>
      <c r="AC164" s="33" t="n">
        <f aca="false">IF(AND(Source_Data!AC$6&gt;=Inputs!$B$54,Source_Data!AC$6&lt;Inputs!$B$54+3*Inputs!$B$11),Inputs!$B$9*Inputs!$B$7/Inputs!$B$11,0)</f>
        <v>0</v>
      </c>
      <c r="AD164" s="33" t="n">
        <f aca="false">IF(AND(Source_Data!AD$6&gt;=Inputs!$B$54,Source_Data!AD$6&lt;Inputs!$B$54+3*Inputs!$B$11),Inputs!$B$9*Inputs!$B$7/Inputs!$B$11,0)</f>
        <v>0</v>
      </c>
      <c r="AE164" s="33" t="n">
        <f aca="false">IF(AND(Source_Data!AE$6&gt;=Inputs!$B$54,Source_Data!AE$6&lt;Inputs!$B$54+3*Inputs!$B$11),Inputs!$B$9*Inputs!$B$7/Inputs!$B$11,0)</f>
        <v>0</v>
      </c>
      <c r="AF164" s="33" t="n">
        <f aca="false">IF(AND(Source_Data!AF$6&gt;=Inputs!$B$54,Source_Data!AF$6&lt;Inputs!$B$54+3*Inputs!$B$11),Inputs!$B$9*Inputs!$B$7/Inputs!$B$11,0)</f>
        <v>0</v>
      </c>
      <c r="AG164" s="33" t="n">
        <f aca="false">IF(AND(Source_Data!AG$6&gt;=Inputs!$B$54,Source_Data!AG$6&lt;Inputs!$B$54+3*Inputs!$B$11),Inputs!$B$9*Inputs!$B$7/Inputs!$B$11,0)</f>
        <v>0</v>
      </c>
      <c r="AH164" s="33" t="n">
        <f aca="false">IF(AND(Source_Data!AH$6&gt;=Inputs!$B$54,Source_Data!AH$6&lt;Inputs!$B$54+3*Inputs!$B$11),Inputs!$B$9*Inputs!$B$7/Inputs!$B$11,0)</f>
        <v>0</v>
      </c>
      <c r="AI164" s="33" t="n">
        <f aca="false">IF(AND(Source_Data!AI$6&gt;=Inputs!$B$54,Source_Data!AI$6&lt;Inputs!$B$54+3*Inputs!$B$11),Inputs!$B$9*Inputs!$B$7/Inputs!$B$11,0)</f>
        <v>0</v>
      </c>
      <c r="AJ164" s="33" t="n">
        <f aca="false">IF(AND(Source_Data!AJ$6&gt;=Inputs!$B$54,Source_Data!AJ$6&lt;Inputs!$B$54+3*Inputs!$B$11),Inputs!$B$9*Inputs!$B$7/Inputs!$B$11,0)</f>
        <v>0</v>
      </c>
      <c r="AK164" s="33" t="n">
        <f aca="false">IF(AND(Source_Data!AK$6&gt;=Inputs!$B$54,Source_Data!AK$6&lt;Inputs!$B$54+3*Inputs!$B$11),Inputs!$B$9*Inputs!$B$7/Inputs!$B$11,0)</f>
        <v>0</v>
      </c>
      <c r="AL164" s="33" t="n">
        <f aca="false">IF(AND(Source_Data!AL$6&gt;=Inputs!$B$54,Source_Data!AL$6&lt;Inputs!$B$54+3*Inputs!$B$11),Inputs!$B$9*Inputs!$B$7/Inputs!$B$11,0)</f>
        <v>0</v>
      </c>
      <c r="AM164" s="33" t="n">
        <f aca="false">IF(AND(Source_Data!AM$6&gt;=Inputs!$B$54,Source_Data!AM$6&lt;Inputs!$B$54+3*Inputs!$B$11),Inputs!$B$9*Inputs!$B$7/Inputs!$B$11,0)</f>
        <v>0</v>
      </c>
      <c r="AN164" s="33" t="n">
        <f aca="false">IF(AND(Source_Data!AN$6&gt;=Inputs!$B$54,Source_Data!AN$6&lt;Inputs!$B$54+3*Inputs!$B$11),Inputs!$B$9*Inputs!$B$7/Inputs!$B$11,0)</f>
        <v>0</v>
      </c>
      <c r="AO164" s="33" t="n">
        <f aca="false">IF(AND(Source_Data!AO$6&gt;=Inputs!$B$54,Source_Data!AO$6&lt;Inputs!$B$54+3*Inputs!$B$11),Inputs!$B$9*Inputs!$B$7/Inputs!$B$11,0)</f>
        <v>0</v>
      </c>
      <c r="AP164" s="33" t="n">
        <f aca="false">IF(AND(Source_Data!AP$6&gt;=Inputs!$B$54,Source_Data!AP$6&lt;Inputs!$B$54+3*Inputs!$B$11),Inputs!$B$9*Inputs!$B$7/Inputs!$B$11,0)</f>
        <v>0</v>
      </c>
      <c r="AQ164" s="33" t="n">
        <f aca="false">IF(AND(Source_Data!AQ$6&gt;=Inputs!$B$54,Source_Data!AQ$6&lt;Inputs!$B$54+3*Inputs!$B$11),Inputs!$B$9*Inputs!$B$7/Inputs!$B$11,0)</f>
        <v>0</v>
      </c>
      <c r="AR164" s="33" t="n">
        <f aca="false">IF(AND(Source_Data!AR$6&gt;=Inputs!$B$54,Source_Data!AR$6&lt;Inputs!$B$54+3*Inputs!$B$11),Inputs!$B$9*Inputs!$B$7/Inputs!$B$11,0)</f>
        <v>0</v>
      </c>
      <c r="AS164" s="33" t="n">
        <f aca="false">IF(AND(Source_Data!AS$6&gt;=Inputs!$B$54,Source_Data!AS$6&lt;Inputs!$B$54+3*Inputs!$B$11),Inputs!$B$9*Inputs!$B$7/Inputs!$B$11,0)</f>
        <v>0</v>
      </c>
      <c r="AT164" s="33" t="n">
        <f aca="false">IF(AND(Source_Data!AT$6&gt;=Inputs!$B$54,Source_Data!AT$6&lt;Inputs!$B$54+3*Inputs!$B$11),Inputs!$B$9*Inputs!$B$7/Inputs!$B$11,0)</f>
        <v>0</v>
      </c>
      <c r="AU164" s="33" t="n">
        <f aca="false">IF(AND(Source_Data!AU$6&gt;=Inputs!$B$54,Source_Data!AU$6&lt;Inputs!$B$54+3*Inputs!$B$11),Inputs!$B$9*Inputs!$B$7/Inputs!$B$11,0)</f>
        <v>0</v>
      </c>
      <c r="AV164" s="33" t="n">
        <f aca="false">IF(AND(Source_Data!AV$6&gt;=Inputs!$B$54,Source_Data!AV$6&lt;Inputs!$B$54+3*Inputs!$B$11),Inputs!$B$9*Inputs!$B$7/Inputs!$B$11,0)</f>
        <v>0</v>
      </c>
      <c r="AW164" s="33" t="n">
        <f aca="false">IF(AND(Source_Data!AW$6&gt;=Inputs!$B$54,Source_Data!AW$6&lt;Inputs!$B$54+3*Inputs!$B$11),Inputs!$B$9*Inputs!$B$7/Inputs!$B$11,0)</f>
        <v>0</v>
      </c>
      <c r="AX164" s="33" t="n">
        <f aca="false">IF(AND(Source_Data!AX$6&gt;=Inputs!$B$54,Source_Data!AX$6&lt;Inputs!$B$54+3*Inputs!$B$11),Inputs!$B$9*Inputs!$B$7/Inputs!$B$11,0)</f>
        <v>0</v>
      </c>
      <c r="AY164" s="33" t="n">
        <f aca="false">IF(AND(Source_Data!AY$6&gt;=Inputs!$B$54,Source_Data!AY$6&lt;Inputs!$B$54+3*Inputs!$B$11),Inputs!$B$9*Inputs!$B$7/Inputs!$B$11,0)</f>
        <v>0</v>
      </c>
      <c r="AZ164" s="33" t="n">
        <f aca="false">IF(AND(Source_Data!AZ$6&gt;=Inputs!$B$54,Source_Data!AZ$6&lt;Inputs!$B$54+3*Inputs!$B$11),Inputs!$B$9*Inputs!$B$7/Inputs!$B$11,0)</f>
        <v>0</v>
      </c>
      <c r="BA164" s="33" t="n">
        <f aca="false">IF(AND(Source_Data!BA$6&gt;=Inputs!$B$54,Source_Data!BA$6&lt;Inputs!$B$54+3*Inputs!$B$11),Inputs!$B$9*Inputs!$B$7/Inputs!$B$11,0)</f>
        <v>0</v>
      </c>
      <c r="BB164" s="33" t="n">
        <f aca="false">IF(AND(Source_Data!BB$6&gt;=Inputs!$B$54,Source_Data!BB$6&lt;Inputs!$B$54+3*Inputs!$B$11),Inputs!$B$9*Inputs!$B$7/Inputs!$B$11,0)</f>
        <v>0</v>
      </c>
      <c r="BC164" s="33" t="n">
        <f aca="false">IF(AND(Source_Data!BC$6&gt;=Inputs!$B$54,Source_Data!BC$6&lt;Inputs!$B$54+3*Inputs!$B$11),Inputs!$B$9*Inputs!$B$7/Inputs!$B$11,0)</f>
        <v>0</v>
      </c>
      <c r="BD164" s="33" t="n">
        <f aca="false">IF(AND(Source_Data!BD$6&gt;=Inputs!$B$54,Source_Data!BD$6&lt;Inputs!$B$54+3*Inputs!$B$11),Inputs!$B$9*Inputs!$B$7/Inputs!$B$11,0)</f>
        <v>0</v>
      </c>
      <c r="BE164" s="33" t="n">
        <f aca="false">IF(AND(Source_Data!BE$6&gt;=Inputs!$B$54,Source_Data!BE$6&lt;Inputs!$B$54+3*Inputs!$B$11),Inputs!$B$9*Inputs!$B$7/Inputs!$B$11,0)</f>
        <v>0</v>
      </c>
      <c r="BF164" s="33" t="n">
        <f aca="false">IF(AND(Source_Data!BF$6&gt;=Inputs!$B$54,Source_Data!BF$6&lt;Inputs!$B$54+3*Inputs!$B$11),Inputs!$B$9*Inputs!$B$7/Inputs!$B$11,0)</f>
        <v>0</v>
      </c>
      <c r="BG164" s="33" t="n">
        <f aca="false">IF(AND(Source_Data!BG$6&gt;=Inputs!$B$54,Source_Data!BG$6&lt;Inputs!$B$54+3*Inputs!$B$11),Inputs!$B$9*Inputs!$B$7/Inputs!$B$11,0)</f>
        <v>0</v>
      </c>
      <c r="BH164" s="33" t="n">
        <f aca="false">IF(AND(Source_Data!BH$6&gt;=Inputs!$B$54,Source_Data!BH$6&lt;Inputs!$B$54+3*Inputs!$B$11),Inputs!$B$9*Inputs!$B$7/Inputs!$B$11,0)</f>
        <v>0</v>
      </c>
      <c r="BI164" s="33" t="n">
        <f aca="false">IF(AND(Source_Data!BI$6&gt;=Inputs!$B$54,Source_Data!BI$6&lt;Inputs!$B$54+3*Inputs!$B$11),Inputs!$B$9*Inputs!$B$7/Inputs!$B$11,0)</f>
        <v>0</v>
      </c>
      <c r="BJ164" s="33" t="n">
        <f aca="false">IF(AND(Source_Data!BJ$6&gt;=Inputs!$B$54,Source_Data!BJ$6&lt;Inputs!$B$54+3*Inputs!$B$11),Inputs!$B$9*Inputs!$B$7/Inputs!$B$11,0)</f>
        <v>0</v>
      </c>
      <c r="BK164" s="33" t="n">
        <f aca="false">IF(AND(Source_Data!BK$6&gt;=Inputs!$B$54,Source_Data!BK$6&lt;Inputs!$B$54+3*Inputs!$B$11),Inputs!$B$9*Inputs!$B$7/Inputs!$B$11,0)</f>
        <v>0</v>
      </c>
    </row>
    <row r="165" customFormat="false" ht="15" hidden="false" customHeight="false" outlineLevel="0" collapsed="false">
      <c r="A165" s="3" t="s">
        <v>342</v>
      </c>
      <c r="D165" s="33" t="n">
        <f aca="false">IF(Source_Data!D$6=Inputs!$B$12,-Inputs!$B$7,0)+D164</f>
        <v>-100</v>
      </c>
      <c r="E165" s="33" t="n">
        <f aca="false">IF(Source_Data!E$6=Inputs!$B$12,-Inputs!$B$7,0)+E164</f>
        <v>0</v>
      </c>
      <c r="F165" s="33" t="n">
        <f aca="false">IF(Source_Data!F$6=Inputs!$B$12,-Inputs!$B$7,0)+F164</f>
        <v>0</v>
      </c>
      <c r="G165" s="33" t="n">
        <f aca="false">IF(Source_Data!G$6=Inputs!$B$12,-Inputs!$B$7,0)+G164</f>
        <v>0</v>
      </c>
      <c r="H165" s="33" t="n">
        <f aca="false">IF(Source_Data!H$6=Inputs!$B$12,-Inputs!$B$7,0)+H164</f>
        <v>0</v>
      </c>
      <c r="I165" s="33" t="n">
        <f aca="false">IF(Source_Data!I$6=Inputs!$B$12,-Inputs!$B$7,0)+I164</f>
        <v>0</v>
      </c>
      <c r="J165" s="33" t="n">
        <f aca="false">IF(Source_Data!J$6=Inputs!$B$12,-Inputs!$B$7,0)+J164</f>
        <v>0</v>
      </c>
      <c r="K165" s="33" t="n">
        <f aca="false">IF(Source_Data!K$6=Inputs!$B$12,-Inputs!$B$7,0)+K164</f>
        <v>0</v>
      </c>
      <c r="L165" s="33" t="n">
        <f aca="false">IF(Source_Data!L$6=Inputs!$B$12,-Inputs!$B$7,0)+L164</f>
        <v>0</v>
      </c>
      <c r="M165" s="33" t="n">
        <f aca="false">IF(Source_Data!M$6=Inputs!$B$12,-Inputs!$B$7,0)+M164</f>
        <v>19.1666666666667</v>
      </c>
      <c r="N165" s="33" t="n">
        <f aca="false">IF(Source_Data!N$6=Inputs!$B$12,-Inputs!$B$7,0)+N164</f>
        <v>19.1666666666667</v>
      </c>
      <c r="O165" s="33" t="n">
        <f aca="false">IF(Source_Data!O$6=Inputs!$B$12,-Inputs!$B$7,0)+O164</f>
        <v>19.1666666666667</v>
      </c>
      <c r="P165" s="33" t="n">
        <f aca="false">IF(Source_Data!P$6=Inputs!$B$12,-Inputs!$B$7,0)+P164</f>
        <v>19.1666666666667</v>
      </c>
      <c r="Q165" s="33" t="n">
        <f aca="false">IF(Source_Data!Q$6=Inputs!$B$12,-Inputs!$B$7,0)+Q164</f>
        <v>19.1666666666667</v>
      </c>
      <c r="R165" s="33" t="n">
        <f aca="false">IF(Source_Data!R$6=Inputs!$B$12,-Inputs!$B$7,0)+R164</f>
        <v>19.1666666666667</v>
      </c>
      <c r="S165" s="33" t="n">
        <f aca="false">IF(Source_Data!S$6=Inputs!$B$12,-Inputs!$B$7,0)+S164</f>
        <v>19.1666666666667</v>
      </c>
      <c r="T165" s="33" t="n">
        <f aca="false">IF(Source_Data!T$6=Inputs!$B$12,-Inputs!$B$7,0)+T164</f>
        <v>19.1666666666667</v>
      </c>
      <c r="U165" s="33" t="n">
        <f aca="false">IF(Source_Data!U$6=Inputs!$B$12,-Inputs!$B$7,0)+U164</f>
        <v>19.1666666666667</v>
      </c>
      <c r="V165" s="33" t="n">
        <f aca="false">IF(Source_Data!V$6=Inputs!$B$12,-Inputs!$B$7,0)+V164</f>
        <v>19.1666666666667</v>
      </c>
      <c r="W165" s="33" t="n">
        <f aca="false">IF(Source_Data!W$6=Inputs!$B$12,-Inputs!$B$7,0)+W164</f>
        <v>19.1666666666667</v>
      </c>
      <c r="X165" s="33" t="n">
        <f aca="false">IF(Source_Data!X$6=Inputs!$B$12,-Inputs!$B$7,0)+X164</f>
        <v>19.1666666666667</v>
      </c>
      <c r="Y165" s="33" t="n">
        <f aca="false">IF(Source_Data!Y$6=Inputs!$B$12,-Inputs!$B$7,0)+Y164</f>
        <v>0</v>
      </c>
      <c r="Z165" s="33" t="n">
        <f aca="false">IF(Source_Data!Z$6=Inputs!$B$12,-Inputs!$B$7,0)+Z164</f>
        <v>0</v>
      </c>
      <c r="AA165" s="33" t="n">
        <f aca="false">IF(Source_Data!AA$6=Inputs!$B$12,-Inputs!$B$7,0)+AA164</f>
        <v>0</v>
      </c>
      <c r="AB165" s="33" t="n">
        <f aca="false">IF(Source_Data!AB$6=Inputs!$B$12,-Inputs!$B$7,0)+AB164</f>
        <v>0</v>
      </c>
      <c r="AC165" s="33" t="n">
        <f aca="false">IF(Source_Data!AC$6=Inputs!$B$12,-Inputs!$B$7,0)+AC164</f>
        <v>0</v>
      </c>
      <c r="AD165" s="33" t="n">
        <f aca="false">IF(Source_Data!AD$6=Inputs!$B$12,-Inputs!$B$7,0)+AD164</f>
        <v>0</v>
      </c>
      <c r="AE165" s="33" t="n">
        <f aca="false">IF(Source_Data!AE$6=Inputs!$B$12,-Inputs!$B$7,0)+AE164</f>
        <v>0</v>
      </c>
      <c r="AF165" s="33" t="n">
        <f aca="false">IF(Source_Data!AF$6=Inputs!$B$12,-Inputs!$B$7,0)+AF164</f>
        <v>0</v>
      </c>
      <c r="AG165" s="33" t="n">
        <f aca="false">IF(Source_Data!AG$6=Inputs!$B$12,-Inputs!$B$7,0)+AG164</f>
        <v>0</v>
      </c>
      <c r="AH165" s="33" t="n">
        <f aca="false">IF(Source_Data!AH$6=Inputs!$B$12,-Inputs!$B$7,0)+AH164</f>
        <v>0</v>
      </c>
      <c r="AI165" s="33" t="n">
        <f aca="false">IF(Source_Data!AI$6=Inputs!$B$12,-Inputs!$B$7,0)+AI164</f>
        <v>0</v>
      </c>
      <c r="AJ165" s="33" t="n">
        <f aca="false">IF(Source_Data!AJ$6=Inputs!$B$12,-Inputs!$B$7,0)+AJ164</f>
        <v>0</v>
      </c>
      <c r="AK165" s="33" t="n">
        <f aca="false">IF(Source_Data!AK$6=Inputs!$B$12,-Inputs!$B$7,0)+AK164</f>
        <v>0</v>
      </c>
      <c r="AL165" s="33" t="n">
        <f aca="false">IF(Source_Data!AL$6=Inputs!$B$12,-Inputs!$B$7,0)+AL164</f>
        <v>0</v>
      </c>
      <c r="AM165" s="33" t="n">
        <f aca="false">IF(Source_Data!AM$6=Inputs!$B$12,-Inputs!$B$7,0)+AM164</f>
        <v>0</v>
      </c>
      <c r="AN165" s="33" t="n">
        <f aca="false">IF(Source_Data!AN$6=Inputs!$B$12,-Inputs!$B$7,0)+AN164</f>
        <v>0</v>
      </c>
      <c r="AO165" s="33" t="n">
        <f aca="false">IF(Source_Data!AO$6=Inputs!$B$12,-Inputs!$B$7,0)+AO164</f>
        <v>0</v>
      </c>
      <c r="AP165" s="33" t="n">
        <f aca="false">IF(Source_Data!AP$6=Inputs!$B$12,-Inputs!$B$7,0)+AP164</f>
        <v>0</v>
      </c>
      <c r="AQ165" s="33" t="n">
        <f aca="false">IF(Source_Data!AQ$6=Inputs!$B$12,-Inputs!$B$7,0)+AQ164</f>
        <v>0</v>
      </c>
      <c r="AR165" s="33" t="n">
        <f aca="false">IF(Source_Data!AR$6=Inputs!$B$12,-Inputs!$B$7,0)+AR164</f>
        <v>0</v>
      </c>
      <c r="AS165" s="33" t="n">
        <f aca="false">IF(Source_Data!AS$6=Inputs!$B$12,-Inputs!$B$7,0)+AS164</f>
        <v>0</v>
      </c>
      <c r="AT165" s="33" t="n">
        <f aca="false">IF(Source_Data!AT$6=Inputs!$B$12,-Inputs!$B$7,0)+AT164</f>
        <v>0</v>
      </c>
      <c r="AU165" s="33" t="n">
        <f aca="false">IF(Source_Data!AU$6=Inputs!$B$12,-Inputs!$B$7,0)+AU164</f>
        <v>0</v>
      </c>
      <c r="AV165" s="33" t="n">
        <f aca="false">IF(Source_Data!AV$6=Inputs!$B$12,-Inputs!$B$7,0)+AV164</f>
        <v>0</v>
      </c>
      <c r="AW165" s="33" t="n">
        <f aca="false">IF(Source_Data!AW$6=Inputs!$B$12,-Inputs!$B$7,0)+AW164</f>
        <v>0</v>
      </c>
      <c r="AX165" s="33" t="n">
        <f aca="false">IF(Source_Data!AX$6=Inputs!$B$12,-Inputs!$B$7,0)+AX164</f>
        <v>0</v>
      </c>
      <c r="AY165" s="33" t="n">
        <f aca="false">IF(Source_Data!AY$6=Inputs!$B$12,-Inputs!$B$7,0)+AY164</f>
        <v>0</v>
      </c>
      <c r="AZ165" s="33" t="n">
        <f aca="false">IF(Source_Data!AZ$6=Inputs!$B$12,-Inputs!$B$7,0)+AZ164</f>
        <v>0</v>
      </c>
      <c r="BA165" s="33" t="n">
        <f aca="false">IF(Source_Data!BA$6=Inputs!$B$12,-Inputs!$B$7,0)+BA164</f>
        <v>0</v>
      </c>
      <c r="BB165" s="33" t="n">
        <f aca="false">IF(Source_Data!BB$6=Inputs!$B$12,-Inputs!$B$7,0)+BB164</f>
        <v>0</v>
      </c>
      <c r="BC165" s="33" t="n">
        <f aca="false">IF(Source_Data!BC$6=Inputs!$B$12,-Inputs!$B$7,0)+BC164</f>
        <v>0</v>
      </c>
      <c r="BD165" s="33" t="n">
        <f aca="false">IF(Source_Data!BD$6=Inputs!$B$12,-Inputs!$B$7,0)+BD164</f>
        <v>0</v>
      </c>
      <c r="BE165" s="33" t="n">
        <f aca="false">IF(Source_Data!BE$6=Inputs!$B$12,-Inputs!$B$7,0)+BE164</f>
        <v>0</v>
      </c>
      <c r="BF165" s="33" t="n">
        <f aca="false">IF(Source_Data!BF$6=Inputs!$B$12,-Inputs!$B$7,0)+BF164</f>
        <v>0</v>
      </c>
      <c r="BG165" s="33" t="n">
        <f aca="false">IF(Source_Data!BG$6=Inputs!$B$12,-Inputs!$B$7,0)+BG164</f>
        <v>0</v>
      </c>
      <c r="BH165" s="33" t="n">
        <f aca="false">IF(Source_Data!BH$6=Inputs!$B$12,-Inputs!$B$7,0)+BH164</f>
        <v>0</v>
      </c>
      <c r="BI165" s="33" t="n">
        <f aca="false">IF(Source_Data!BI$6=Inputs!$B$12,-Inputs!$B$7,0)+BI164</f>
        <v>0</v>
      </c>
      <c r="BJ165" s="33" t="n">
        <f aca="false">IF(Source_Data!BJ$6=Inputs!$B$12,-Inputs!$B$7,0)+BJ164</f>
        <v>0</v>
      </c>
      <c r="BK165" s="33" t="n">
        <f aca="false">IF(Source_Data!BK$6=Inputs!$B$12,-Inputs!$B$7,0)+BK164</f>
        <v>0</v>
      </c>
    </row>
    <row r="166" customFormat="false" ht="15" hidden="false" customHeight="false" outlineLevel="0" collapsed="false">
      <c r="A166" s="3" t="s">
        <v>343</v>
      </c>
      <c r="D166" s="33" t="n">
        <f aca="false">IF(Source_Data!D$6=Inputs!$B$12,Inputs!$B$7,0)+D161-D164</f>
        <v>8.75</v>
      </c>
      <c r="E166" s="33" t="n">
        <f aca="false">D166+IF(Source_Data!E$6=Inputs!$B$12,Inputs!$B$7,0)+E161-E164</f>
        <v>-2.5</v>
      </c>
      <c r="F166" s="33" t="n">
        <f aca="false">E166+IF(Source_Data!F$6=Inputs!$B$12,Inputs!$B$7,0)+F161-F164</f>
        <v>-13.75</v>
      </c>
      <c r="G166" s="33" t="n">
        <f aca="false">F166+IF(Source_Data!G$6=Inputs!$B$12,Inputs!$B$7,0)+G161-G164</f>
        <v>-25</v>
      </c>
      <c r="H166" s="33" t="n">
        <f aca="false">G166+IF(Source_Data!H$6=Inputs!$B$12,Inputs!$B$7,0)+H161-H164</f>
        <v>-55.3607625</v>
      </c>
      <c r="I166" s="33" t="n">
        <f aca="false">H166+IF(Source_Data!I$6=Inputs!$B$12,Inputs!$B$7,0)+I161-I164</f>
        <v>-77.9422875</v>
      </c>
      <c r="J166" s="33" t="n">
        <f aca="false">I166+IF(Source_Data!J$6=Inputs!$B$12,Inputs!$B$7,0)+J161-J164</f>
        <v>-99.93028125</v>
      </c>
      <c r="K166" s="33" t="n">
        <f aca="false">J166+IF(Source_Data!K$6=Inputs!$B$12,Inputs!$B$7,0)+K161-K164</f>
        <v>-90.04474375</v>
      </c>
      <c r="L166" s="33" t="n">
        <f aca="false">K166+IF(Source_Data!L$6=Inputs!$B$12,Inputs!$B$7,0)+L161-L164</f>
        <v>-103.90043375</v>
      </c>
      <c r="M166" s="33" t="n">
        <f aca="false">L166+IF(Source_Data!M$6=Inputs!$B$12,Inputs!$B$7,0)+M161-M164</f>
        <v>-135.814931041667</v>
      </c>
      <c r="N166" s="33" t="n">
        <f aca="false">M166+IF(Source_Data!N$6=Inputs!$B$12,Inputs!$B$7,0)+N161-N164</f>
        <v>-123.996009270833</v>
      </c>
      <c r="O166" s="33" t="n">
        <f aca="false">N166+IF(Source_Data!O$6=Inputs!$B$12,Inputs!$B$7,0)+O161-O164</f>
        <v>302.7479015625</v>
      </c>
      <c r="P166" s="33" t="n">
        <f aca="false">O166+IF(Source_Data!P$6=Inputs!$B$12,Inputs!$B$7,0)+P161-P164</f>
        <v>279.169974895833</v>
      </c>
      <c r="Q166" s="33" t="n">
        <f aca="false">P166+IF(Source_Data!Q$6=Inputs!$B$12,Inputs!$B$7,0)+Q161-Q164</f>
        <v>246.548298229167</v>
      </c>
      <c r="R166" s="33" t="n">
        <f aca="false">Q166+IF(Source_Data!R$6=Inputs!$B$12,Inputs!$B$7,0)+R161-R164</f>
        <v>83.3943415625001</v>
      </c>
      <c r="S166" s="33" t="n">
        <f aca="false">R166+IF(Source_Data!S$6=Inputs!$B$12,Inputs!$B$7,0)+S161-S164</f>
        <v>-53.2731563541666</v>
      </c>
      <c r="T166" s="33" t="n">
        <f aca="false">S166+IF(Source_Data!T$6=Inputs!$B$12,Inputs!$B$7,0)+T161-T164</f>
        <v>-55.3906542708332</v>
      </c>
      <c r="U166" s="33" t="n">
        <f aca="false">T166+IF(Source_Data!U$6=Inputs!$B$12,Inputs!$B$7,0)+U161-U164</f>
        <v>-58.1764853124999</v>
      </c>
      <c r="V166" s="33" t="n">
        <f aca="false">U166+IF(Source_Data!V$6=Inputs!$B$12,Inputs!$B$7,0)+V161-V164</f>
        <v>-61.1165122916666</v>
      </c>
      <c r="W166" s="33" t="n">
        <f aca="false">V166+IF(Source_Data!W$6=Inputs!$B$12,Inputs!$B$7,0)+W161-W164</f>
        <v>-65.5704630208332</v>
      </c>
      <c r="X166" s="33" t="n">
        <f aca="false">W166+IF(Source_Data!X$6=Inputs!$B$12,Inputs!$B$7,0)+X161-X164</f>
        <v>-53.5131849999999</v>
      </c>
      <c r="Y166" s="33" t="n">
        <f aca="false">X166+IF(Source_Data!Y$6=Inputs!$B$12,Inputs!$B$7,0)+Y161-Y164</f>
        <v>-26.6302403124999</v>
      </c>
      <c r="Z166" s="33" t="n">
        <f aca="false">Y166+IF(Source_Data!Z$6=Inputs!$B$12,Inputs!$B$7,0)+Z161-Z164</f>
        <v>0.252704375000093</v>
      </c>
      <c r="AA166" s="33" t="n">
        <f aca="false">Z166+IF(Source_Data!AA$6=Inputs!$B$12,Inputs!$B$7,0)+AA161-AA164</f>
        <v>19.8554303125001</v>
      </c>
      <c r="AB166" s="33" t="n">
        <f aca="false">AA166+IF(Source_Data!AB$6=Inputs!$B$12,Inputs!$B$7,0)+AB161-AB164</f>
        <v>61.9581562500001</v>
      </c>
      <c r="AC166" s="33" t="n">
        <f aca="false">AB166+IF(Source_Data!AC$6=Inputs!$B$12,Inputs!$B$7,0)+AC161-AC164</f>
        <v>104.0608821875</v>
      </c>
      <c r="AD166" s="33" t="n">
        <f aca="false">AC166+IF(Source_Data!AD$6=Inputs!$B$12,Inputs!$B$7,0)+AD161-AD164</f>
        <v>140.375608125</v>
      </c>
      <c r="AE166" s="33" t="n">
        <f aca="false">AD166+IF(Source_Data!AE$6=Inputs!$B$12,Inputs!$B$7,0)+AE161-AE164</f>
        <v>173.414235625</v>
      </c>
      <c r="AF166" s="33" t="n">
        <f aca="false">AE166+IF(Source_Data!AF$6=Inputs!$B$12,Inputs!$B$7,0)+AF161-AF164</f>
        <v>95.0861965234376</v>
      </c>
      <c r="AG166" s="33" t="n">
        <f aca="false">AF166+IF(Source_Data!AG$6=Inputs!$B$12,Inputs!$B$7,0)+AG161-AG164</f>
        <v>109.198855351563</v>
      </c>
      <c r="AH166" s="33" t="n">
        <f aca="false">AG166+IF(Source_Data!AH$6=Inputs!$B$12,Inputs!$B$7,0)+AH161-AH164</f>
        <v>123.311514179688</v>
      </c>
      <c r="AI166" s="33" t="n">
        <f aca="false">AH166+IF(Source_Data!AI$6=Inputs!$B$12,Inputs!$B$7,0)+AI161-AI164</f>
        <v>137.424173007813</v>
      </c>
      <c r="AJ166" s="33" t="n">
        <f aca="false">AI166+IF(Source_Data!AJ$6=Inputs!$B$12,Inputs!$B$7,0)+AJ161-AJ164</f>
        <v>151.536831835938</v>
      </c>
      <c r="AK166" s="33" t="n">
        <f aca="false">AJ166+IF(Source_Data!AK$6=Inputs!$B$12,Inputs!$B$7,0)+AK161-AK164</f>
        <v>166.605019375</v>
      </c>
      <c r="AL166" s="33" t="n">
        <f aca="false">AK166+IF(Source_Data!AL$6=Inputs!$B$12,Inputs!$B$7,0)+AL161-AL164</f>
        <v>181.673206914063</v>
      </c>
      <c r="AM166" s="33" t="n">
        <f aca="false">AL166+IF(Source_Data!AM$6=Inputs!$B$12,Inputs!$B$7,0)+AM161-AM164</f>
        <v>196.3797575</v>
      </c>
      <c r="AN166" s="33" t="n">
        <f aca="false">AM166+IF(Source_Data!AN$6=Inputs!$B$12,Inputs!$B$7,0)+AN161-AN164</f>
        <v>215.07341484375</v>
      </c>
      <c r="AO166" s="33" t="n">
        <f aca="false">AN166+IF(Source_Data!AO$6=Inputs!$B$12,Inputs!$B$7,0)+AO161-AO164</f>
        <v>232.2508875</v>
      </c>
      <c r="AP166" s="33" t="n">
        <f aca="false">AO166+IF(Source_Data!AP$6=Inputs!$B$12,Inputs!$B$7,0)+AP161-AP164</f>
        <v>241.877055</v>
      </c>
      <c r="AQ166" s="33" t="n">
        <f aca="false">AP166+IF(Source_Data!AQ$6=Inputs!$B$12,Inputs!$B$7,0)+AQ161-AQ164</f>
        <v>245.4475275</v>
      </c>
      <c r="AR166" s="33" t="n">
        <f aca="false">AQ166+IF(Source_Data!AR$6=Inputs!$B$12,Inputs!$B$7,0)+AR161-AR164</f>
        <v>245.4475275</v>
      </c>
      <c r="AS166" s="33" t="n">
        <f aca="false">AR166+IF(Source_Data!AS$6=Inputs!$B$12,Inputs!$B$7,0)+AS161-AS164</f>
        <v>245.4475275</v>
      </c>
      <c r="AT166" s="33" t="n">
        <f aca="false">AS166+IF(Source_Data!AT$6=Inputs!$B$12,Inputs!$B$7,0)+AT161-AT164</f>
        <v>245.4475275</v>
      </c>
      <c r="AU166" s="33" t="n">
        <f aca="false">AT166+IF(Source_Data!AU$6=Inputs!$B$12,Inputs!$B$7,0)+AU161-AU164</f>
        <v>245.4475275</v>
      </c>
      <c r="AV166" s="33" t="n">
        <f aca="false">AU166+IF(Source_Data!AV$6=Inputs!$B$12,Inputs!$B$7,0)+AV161-AV164</f>
        <v>245.4475275</v>
      </c>
      <c r="AW166" s="33" t="n">
        <f aca="false">AV166+IF(Source_Data!AW$6=Inputs!$B$12,Inputs!$B$7,0)+AW161-AW164</f>
        <v>245.4475275</v>
      </c>
      <c r="AX166" s="33" t="n">
        <f aca="false">AW166+IF(Source_Data!AX$6=Inputs!$B$12,Inputs!$B$7,0)+AX161-AX164</f>
        <v>245.4475275</v>
      </c>
      <c r="AY166" s="33" t="n">
        <f aca="false">AX166+IF(Source_Data!AY$6=Inputs!$B$12,Inputs!$B$7,0)+AY161-AY164</f>
        <v>245.4475275</v>
      </c>
      <c r="AZ166" s="33" t="n">
        <f aca="false">AY166+IF(Source_Data!AZ$6=Inputs!$B$12,Inputs!$B$7,0)+AZ161-AZ164</f>
        <v>245.4475275</v>
      </c>
      <c r="BA166" s="33" t="n">
        <f aca="false">AZ166+IF(Source_Data!BA$6=Inputs!$B$12,Inputs!$B$7,0)+BA161-BA164</f>
        <v>245.4475275</v>
      </c>
      <c r="BB166" s="33" t="n">
        <f aca="false">BA166+IF(Source_Data!BB$6=Inputs!$B$12,Inputs!$B$7,0)+BB161-BB164</f>
        <v>245.4475275</v>
      </c>
      <c r="BC166" s="33" t="n">
        <f aca="false">BB166+IF(Source_Data!BC$6=Inputs!$B$12,Inputs!$B$7,0)+BC161-BC164</f>
        <v>245.4475275</v>
      </c>
      <c r="BD166" s="33" t="n">
        <f aca="false">BC166+IF(Source_Data!BD$6=Inputs!$B$12,Inputs!$B$7,0)+BD161-BD164</f>
        <v>245.4475275</v>
      </c>
      <c r="BE166" s="33" t="n">
        <f aca="false">BD166+IF(Source_Data!BE$6=Inputs!$B$12,Inputs!$B$7,0)+BE161-BE164</f>
        <v>245.4475275</v>
      </c>
      <c r="BF166" s="33" t="n">
        <f aca="false">BE166+IF(Source_Data!BF$6=Inputs!$B$12,Inputs!$B$7,0)+BF161-BF164</f>
        <v>245.4475275</v>
      </c>
      <c r="BG166" s="33" t="n">
        <f aca="false">BF166+IF(Source_Data!BG$6=Inputs!$B$12,Inputs!$B$7,0)+BG161-BG164</f>
        <v>245.4475275</v>
      </c>
      <c r="BH166" s="33" t="n">
        <f aca="false">BG166+IF(Source_Data!BH$6=Inputs!$B$12,Inputs!$B$7,0)+BH161-BH164</f>
        <v>245.4475275</v>
      </c>
      <c r="BI166" s="33" t="n">
        <f aca="false">BH166+IF(Source_Data!BI$6=Inputs!$B$12,Inputs!$B$7,0)+BI161-BI164</f>
        <v>245.4475275</v>
      </c>
      <c r="BJ166" s="33" t="n">
        <f aca="false">BI166+IF(Source_Data!BJ$6=Inputs!$B$12,Inputs!$B$7,0)+BJ161-BJ164</f>
        <v>245.4475275</v>
      </c>
      <c r="BK166" s="33" t="n">
        <f aca="false">BJ166+IF(Source_Data!BK$6=Inputs!$B$12,Inputs!$B$7,0)+BK161-BK164</f>
        <v>245.4475275</v>
      </c>
    </row>
    <row r="167" customFormat="false" ht="15" hidden="false" customHeight="false" outlineLevel="0" collapsed="false">
      <c r="A167" s="3" t="s">
        <v>344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n">
        <f aca="false">IF(M164&gt;0,M161/M164,"")</f>
        <v>-0.665104206521739</v>
      </c>
      <c r="N167" s="31" t="n">
        <f aca="false">IF(N164&gt;0,N161/N164,"")</f>
        <v>1.61663939673913</v>
      </c>
      <c r="O167" s="31" t="n">
        <f aca="false">IF(O164&gt;0,O161/O164,"")</f>
        <v>23.2648996956522</v>
      </c>
      <c r="P167" s="31" t="n">
        <f aca="false">IF(P164&gt;0,P161/P164,"")</f>
        <v>-0.230152695652174</v>
      </c>
      <c r="Q167" s="31" t="n">
        <f aca="false">IF(Q164&gt;0,Q161/Q164,"")</f>
        <v>-0.702000521739131</v>
      </c>
      <c r="R167" s="31" t="n">
        <f aca="false">IF(R164&gt;0,R161/R164,"")</f>
        <v>-7.51238034782609</v>
      </c>
      <c r="S167" s="31" t="n">
        <f aca="false">IF(S164&gt;0,S161/S164,"")</f>
        <v>-6.13047815217391</v>
      </c>
      <c r="T167" s="31" t="n">
        <f aca="false">IF(T164&gt;0,T161/T164,"")</f>
        <v>0.889521847826087</v>
      </c>
      <c r="U167" s="31" t="n">
        <f aca="false">IF(U164&gt;0,U161/U164,"")</f>
        <v>0.85465229347826</v>
      </c>
      <c r="V167" s="31" t="n">
        <f aca="false">IF(V164&gt;0,V161/V164,"")</f>
        <v>0.846607288043478</v>
      </c>
      <c r="W167" s="31" t="n">
        <f aca="false">IF(W164&gt;0,W161/W164,"")</f>
        <v>0.767619961956522</v>
      </c>
      <c r="X167" s="31" t="n">
        <f aca="false">IF(X164&gt;0,X161/X164,"")</f>
        <v>1.629075375</v>
      </c>
      <c r="Y167" s="31" t="str">
        <f aca="false">IF(Y164&gt;0,Y161/Y164,"")</f>
        <v/>
      </c>
      <c r="Z167" s="31" t="str">
        <f aca="false">IF(Z164&gt;0,Z161/Z164,"")</f>
        <v/>
      </c>
      <c r="AA167" s="31" t="str">
        <f aca="false">IF(AA164&gt;0,AA161/AA164,"")</f>
        <v/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345</v>
      </c>
      <c r="D168" s="31" t="str">
        <f aca="false">IF(D164&gt;0,(0+D161+IF(Source_Data!D$6=Inputs!$B$12,Inputs!$B$7,0))/D164,"")</f>
        <v/>
      </c>
      <c r="E168" s="31" t="str">
        <f aca="false">IF(E164&gt;0,(D166+E161+IF(Source_Data!E$6=Inputs!$B$12,Inputs!$B$7,0))/E164,"")</f>
        <v/>
      </c>
      <c r="F168" s="31" t="str">
        <f aca="false">IF(F164&gt;0,(E166+F161+IF(Source_Data!F$6=Inputs!$B$12,Inputs!$B$7,0))/F164,"")</f>
        <v/>
      </c>
      <c r="G168" s="31" t="str">
        <f aca="false">IF(G164&gt;0,(F166+G161+IF(Source_Data!G$6=Inputs!$B$12,Inputs!$B$7,0))/G164,"")</f>
        <v/>
      </c>
      <c r="H168" s="31" t="str">
        <f aca="false">IF(H164&gt;0,(G166+H161+IF(Source_Data!H$6=Inputs!$B$12,Inputs!$B$7,0))/H164,"")</f>
        <v/>
      </c>
      <c r="I168" s="31" t="str">
        <f aca="false">IF(I164&gt;0,(H166+I161+IF(Source_Data!I$6=Inputs!$B$12,Inputs!$B$7,0))/I164,"")</f>
        <v/>
      </c>
      <c r="J168" s="31" t="str">
        <f aca="false">IF(J164&gt;0,(I166+J161+IF(Source_Data!J$6=Inputs!$B$12,Inputs!$B$7,0))/J164,"")</f>
        <v/>
      </c>
      <c r="K168" s="31" t="str">
        <f aca="false">IF(K164&gt;0,(J166+K161+IF(Source_Data!K$6=Inputs!$B$12,Inputs!$B$7,0))/K164,"")</f>
        <v/>
      </c>
      <c r="L168" s="31" t="str">
        <f aca="false">IF(L164&gt;0,(K166+L161+IF(Source_Data!L$6=Inputs!$B$12,Inputs!$B$7,0))/L164,"")</f>
        <v/>
      </c>
      <c r="M168" s="31" t="n">
        <f aca="false">IF(M164&gt;0,(L166+M161+IF(Source_Data!M$6=Inputs!$B$12,Inputs!$B$7,0))/M164,"")</f>
        <v>-6.08599640217391</v>
      </c>
      <c r="N168" s="31" t="n">
        <f aca="false">IF(N164&gt;0,(M166+N161+IF(Source_Data!N$6=Inputs!$B$12,Inputs!$B$7,0))/N164,"")</f>
        <v>-5.46935700543478</v>
      </c>
      <c r="O168" s="31" t="n">
        <f aca="false">IF(O164&gt;0,(N166+O161+IF(Source_Data!O$6=Inputs!$B$12,Inputs!$B$7,0))/O164,"")</f>
        <v>16.7955426902174</v>
      </c>
      <c r="P168" s="31" t="n">
        <f aca="false">IF(P164&gt;0,(O166+P161+IF(Source_Data!P$6=Inputs!$B$12,Inputs!$B$7,0))/P164,"")</f>
        <v>15.5653899945652</v>
      </c>
      <c r="Q168" s="31" t="n">
        <f aca="false">IF(Q164&gt;0,(P166+Q161+IF(Source_Data!Q$6=Inputs!$B$12,Inputs!$B$7,0))/Q164,"")</f>
        <v>13.8633894728261</v>
      </c>
      <c r="R168" s="31" t="n">
        <f aca="false">IF(R164&gt;0,(Q166+R161+IF(Source_Data!R$6=Inputs!$B$12,Inputs!$B$7,0))/R164,"")</f>
        <v>5.35100912500001</v>
      </c>
      <c r="S168" s="31" t="n">
        <f aca="false">IF(S164&gt;0,(R166+S161+IF(Source_Data!S$6=Inputs!$B$12,Inputs!$B$7,0))/S164,"")</f>
        <v>-1.77946902717391</v>
      </c>
      <c r="T168" s="31" t="n">
        <f aca="false">IF(T164&gt;0,(S166+T161+IF(Source_Data!T$6=Inputs!$B$12,Inputs!$B$7,0))/T164,"")</f>
        <v>-1.88994717934782</v>
      </c>
      <c r="U168" s="31" t="n">
        <f aca="false">IF(U164&gt;0,(T166+U161+IF(Source_Data!U$6=Inputs!$B$12,Inputs!$B$7,0))/U164,"")</f>
        <v>-2.03529488586956</v>
      </c>
      <c r="V168" s="31" t="n">
        <f aca="false">IF(V164&gt;0,(U166+V161+IF(Source_Data!V$6=Inputs!$B$12,Inputs!$B$7,0))/V164,"")</f>
        <v>-2.18868759782608</v>
      </c>
      <c r="W168" s="31" t="n">
        <f aca="false">IF(W164&gt;0,(V166+W161+IF(Source_Data!W$6=Inputs!$B$12,Inputs!$B$7,0))/W164,"")</f>
        <v>-2.42106763586956</v>
      </c>
      <c r="X168" s="31" t="n">
        <f aca="false">IF(X164&gt;0,(W166+X161+IF(Source_Data!X$6=Inputs!$B$12,Inputs!$B$7,0))/X164,"")</f>
        <v>-1.79199226086956</v>
      </c>
      <c r="Y168" s="31" t="str">
        <f aca="false">IF(Y164&gt;0,(X166+Y161+IF(Source_Data!Y$6=Inputs!$B$12,Inputs!$B$7,0))/Y164,"")</f>
        <v/>
      </c>
      <c r="Z168" s="31" t="str">
        <f aca="false">IF(Z164&gt;0,(Y166+Z161+IF(Source_Data!Z$6=Inputs!$B$12,Inputs!$B$7,0))/Z164,"")</f>
        <v/>
      </c>
      <c r="AA168" s="31" t="str">
        <f aca="false">IF(AA164&gt;0,(Z166+AA161+IF(Source_Data!AA$6=Inputs!$B$12,Inputs!$B$7,0))/AA164,"")</f>
        <v/>
      </c>
      <c r="AB168" s="31" t="str">
        <f aca="false">IF(AB164&gt;0,(AA166+AB161+IF(Source_Data!AB$6=Inputs!$B$12,Inputs!$B$7,0))/AB164,"")</f>
        <v/>
      </c>
      <c r="AC168" s="31" t="str">
        <f aca="false">IF(AC164&gt;0,(AB166+AC161+IF(Source_Data!AC$6=Inputs!$B$12,Inputs!$B$7,0))/AC164,"")</f>
        <v/>
      </c>
      <c r="AD168" s="31" t="str">
        <f aca="false">IF(AD164&gt;0,(AC166+AD161+IF(Source_Data!AD$6=Inputs!$B$12,Inputs!$B$7,0))/AD164,"")</f>
        <v/>
      </c>
      <c r="AE168" s="31" t="str">
        <f aca="false">IF(AE164&gt;0,(AD166+AE161+IF(Source_Data!AE$6=Inputs!$B$12,Inputs!$B$7,0))/AE164,"")</f>
        <v/>
      </c>
      <c r="AF168" s="31" t="str">
        <f aca="false">IF(AF164&gt;0,(AE166+AF161+IF(Source_Data!AF$6=Inputs!$B$12,Inputs!$B$7,0))/AF164,"")</f>
        <v/>
      </c>
      <c r="AG168" s="31" t="str">
        <f aca="false">IF(AG164&gt;0,(AF166+AG161+IF(Source_Data!AG$6=Inputs!$B$12,Inputs!$B$7,0))/AG164,"")</f>
        <v/>
      </c>
      <c r="AH168" s="31" t="str">
        <f aca="false">IF(AH164&gt;0,(AG166+AH161+IF(Source_Data!AH$6=Inputs!$B$12,Inputs!$B$7,0))/AH164,"")</f>
        <v/>
      </c>
      <c r="AI168" s="31" t="str">
        <f aca="false">IF(AI164&gt;0,(AH166+AI161+IF(Source_Data!AI$6=Inputs!$B$12,Inputs!$B$7,0))/AI164,"")</f>
        <v/>
      </c>
      <c r="AJ168" s="31" t="str">
        <f aca="false">IF(AJ164&gt;0,(AI166+AJ161+IF(Source_Data!AJ$6=Inputs!$B$12,Inputs!$B$7,0))/AJ164,"")</f>
        <v/>
      </c>
      <c r="AK168" s="31" t="str">
        <f aca="false">IF(AK164&gt;0,(AJ166+AK161+IF(Source_Data!AK$6=Inputs!$B$12,Inputs!$B$7,0))/AK164,"")</f>
        <v/>
      </c>
      <c r="AL168" s="31" t="str">
        <f aca="false">IF(AL164&gt;0,(AK166+AL161+IF(Source_Data!AL$6=Inputs!$B$12,Inputs!$B$7,0))/AL164,"")</f>
        <v/>
      </c>
      <c r="AM168" s="31" t="str">
        <f aca="false">IF(AM164&gt;0,(AL166+AM161+IF(Source_Data!AM$6=Inputs!$B$12,Inputs!$B$7,0))/AM164,"")</f>
        <v/>
      </c>
      <c r="AN168" s="31" t="str">
        <f aca="false">IF(AN164&gt;0,(AM166+AN161+IF(Source_Data!AN$6=Inputs!$B$12,Inputs!$B$7,0))/AN164,"")</f>
        <v/>
      </c>
      <c r="AO168" s="31" t="str">
        <f aca="false">IF(AO164&gt;0,(AN166+AO161+IF(Source_Data!AO$6=Inputs!$B$12,Inputs!$B$7,0))/AO164,"")</f>
        <v/>
      </c>
      <c r="AP168" s="31" t="str">
        <f aca="false">IF(AP164&gt;0,(AO166+AP161+IF(Source_Data!AP$6=Inputs!$B$12,Inputs!$B$7,0))/AP164,"")</f>
        <v/>
      </c>
      <c r="AQ168" s="31" t="str">
        <f aca="false">IF(AQ164&gt;0,(AP166+AQ161+IF(Source_Data!AQ$6=Inputs!$B$12,Inputs!$B$7,0))/AQ164,"")</f>
        <v/>
      </c>
      <c r="AR168" s="31" t="str">
        <f aca="false">IF(AR164&gt;0,(AQ166+AR161+IF(Source_Data!AR$6=Inputs!$B$12,Inputs!$B$7,0))/AR164,"")</f>
        <v/>
      </c>
      <c r="AS168" s="31" t="str">
        <f aca="false">IF(AS164&gt;0,(AR166+AS161+IF(Source_Data!AS$6=Inputs!$B$12,Inputs!$B$7,0))/AS164,"")</f>
        <v/>
      </c>
      <c r="AT168" s="31" t="str">
        <f aca="false">IF(AT164&gt;0,(AS166+AT161+IF(Source_Data!AT$6=Inputs!$B$12,Inputs!$B$7,0))/AT164,"")</f>
        <v/>
      </c>
      <c r="AU168" s="31" t="str">
        <f aca="false">IF(AU164&gt;0,(AT166+AU161+IF(Source_Data!AU$6=Inputs!$B$12,Inputs!$B$7,0))/AU164,"")</f>
        <v/>
      </c>
      <c r="AV168" s="31" t="str">
        <f aca="false">IF(AV164&gt;0,(AU166+AV161+IF(Source_Data!AV$6=Inputs!$B$12,Inputs!$B$7,0))/AV164,"")</f>
        <v/>
      </c>
      <c r="AW168" s="31" t="str">
        <f aca="false">IF(AW164&gt;0,(AV166+AW161+IF(Source_Data!AW$6=Inputs!$B$12,Inputs!$B$7,0))/AW164,"")</f>
        <v/>
      </c>
      <c r="AX168" s="31" t="str">
        <f aca="false">IF(AX164&gt;0,(AW166+AX161+IF(Source_Data!AX$6=Inputs!$B$12,Inputs!$B$7,0))/AX164,"")</f>
        <v/>
      </c>
      <c r="AY168" s="31" t="str">
        <f aca="false">IF(AY164&gt;0,(AX166+AY161+IF(Source_Data!AY$6=Inputs!$B$12,Inputs!$B$7,0))/AY164,"")</f>
        <v/>
      </c>
      <c r="AZ168" s="31" t="str">
        <f aca="false">IF(AZ164&gt;0,(AY166+AZ161+IF(Source_Data!AZ$6=Inputs!$B$12,Inputs!$B$7,0))/AZ164,"")</f>
        <v/>
      </c>
      <c r="BA168" s="31" t="str">
        <f aca="false">IF(BA164&gt;0,(AZ166+BA161+IF(Source_Data!BA$6=Inputs!$B$12,Inputs!$B$7,0))/BA164,"")</f>
        <v/>
      </c>
      <c r="BB168" s="31" t="str">
        <f aca="false">IF(BB164&gt;0,(BA166+BB161+IF(Source_Data!BB$6=Inputs!$B$12,Inputs!$B$7,0))/BB164,"")</f>
        <v/>
      </c>
      <c r="BC168" s="31" t="str">
        <f aca="false">IF(BC164&gt;0,(BB166+BC161+IF(Source_Data!BC$6=Inputs!$B$12,Inputs!$B$7,0))/BC164,"")</f>
        <v/>
      </c>
      <c r="BD168" s="31" t="str">
        <f aca="false">IF(BD164&gt;0,(BC166+BD161+IF(Source_Data!BD$6=Inputs!$B$12,Inputs!$B$7,0))/BD164,"")</f>
        <v/>
      </c>
      <c r="BE168" s="31" t="str">
        <f aca="false">IF(BE164&gt;0,(BD166+BE161+IF(Source_Data!BE$6=Inputs!$B$12,Inputs!$B$7,0))/BE164,"")</f>
        <v/>
      </c>
      <c r="BF168" s="31" t="str">
        <f aca="false">IF(BF164&gt;0,(BE166+BF161+IF(Source_Data!BF$6=Inputs!$B$12,Inputs!$B$7,0))/BF164,"")</f>
        <v/>
      </c>
      <c r="BG168" s="31" t="str">
        <f aca="false">IF(BG164&gt;0,(BF166+BG161+IF(Source_Data!BG$6=Inputs!$B$12,Inputs!$B$7,0))/BG164,"")</f>
        <v/>
      </c>
      <c r="BH168" s="31" t="str">
        <f aca="false">IF(BH164&gt;0,(BG166+BH161+IF(Source_Data!BH$6=Inputs!$B$12,Inputs!$B$7,0))/BH164,"")</f>
        <v/>
      </c>
      <c r="BI168" s="31" t="str">
        <f aca="false">IF(BI164&gt;0,(BH166+BI161+IF(Source_Data!BI$6=Inputs!$B$12,Inputs!$B$7,0))/BI164,"")</f>
        <v/>
      </c>
      <c r="BJ168" s="31" t="str">
        <f aca="false">IF(BJ164&gt;0,(BI166+BJ161+IF(Source_Data!BJ$6=Inputs!$B$12,Inputs!$B$7,0))/BJ164,"")</f>
        <v/>
      </c>
      <c r="BK168" s="31" t="str">
        <f aca="false">IF(BK164&gt;0,(BJ166+BK161+IF(Source_Data!BK$6=Inputs!$B$12,Inputs!$B$7,0))/BK164,"")</f>
        <v/>
      </c>
    </row>
    <row r="170" customFormat="false" ht="15" hidden="false" customHeight="false" outlineLevel="0" collapsed="false">
      <c r="A170" s="2" t="s">
        <v>220</v>
      </c>
      <c r="B170" s="41" t="n">
        <f aca="false">SUM(D161:BK161)</f>
        <v>375.4475275</v>
      </c>
    </row>
    <row r="171" customFormat="false" ht="15" hidden="false" customHeight="false" outlineLevel="0" collapsed="false">
      <c r="A171" s="2" t="s">
        <v>346</v>
      </c>
      <c r="B171" s="41" t="n">
        <f aca="false">SUMPRODUCT(D161:BK161,Project_CF!$D$15:$BK$15)</f>
        <v>129.458194472182</v>
      </c>
    </row>
    <row r="172" customFormat="false" ht="15" hidden="false" customHeight="false" outlineLevel="0" collapsed="false">
      <c r="A172" s="2" t="s">
        <v>162</v>
      </c>
      <c r="B172" s="41" t="n">
        <f aca="false">MIN(D162:BK162)</f>
        <v>-216.648264375</v>
      </c>
    </row>
    <row r="173" customFormat="false" ht="15" hidden="false" customHeight="false" outlineLevel="0" collapsed="false">
      <c r="A173" s="2" t="s">
        <v>347</v>
      </c>
      <c r="B173" s="35" t="n">
        <f aca="false">INDEX(Project_CF!$D$6:$BK$6,MATCH(MIN(D162:BK162),D162:BK162,0))</f>
        <v>30</v>
      </c>
    </row>
    <row r="174" customFormat="false" ht="15" hidden="false" customHeight="false" outlineLevel="0" collapsed="false">
      <c r="A174" s="2" t="s">
        <v>348</v>
      </c>
      <c r="B174" s="39" t="n">
        <f aca="false">(1+IRR(D163:BK163,0.05))^4-1</f>
        <v>0.233909836929433</v>
      </c>
    </row>
    <row r="175" customFormat="false" ht="15" hidden="false" customHeight="false" outlineLevel="0" collapsed="false">
      <c r="A175" s="2" t="s">
        <v>349</v>
      </c>
      <c r="B175" s="40" t="n">
        <f aca="false">SUMIF(D163:BK163,"&gt;0")/-SUMIF(D163:BK163,"&lt;0")</f>
        <v>2.78136200716846</v>
      </c>
    </row>
    <row r="176" customFormat="false" ht="15" hidden="false" customHeight="false" outlineLevel="0" collapsed="false">
      <c r="A176" s="2" t="s">
        <v>350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351</v>
      </c>
      <c r="B177" s="41" t="n">
        <f aca="false">MIN(D166:BK166)</f>
        <v>-135.814931041667</v>
      </c>
    </row>
    <row r="178" customFormat="false" ht="15" hidden="false" customHeight="false" outlineLevel="0" collapsed="false">
      <c r="A178" s="2" t="s">
        <v>352</v>
      </c>
      <c r="B178" s="43" t="n">
        <f aca="false">MIN(D167:BK167)</f>
        <v>-7.51238034782609</v>
      </c>
    </row>
    <row r="179" customFormat="false" ht="15" hidden="false" customHeight="false" outlineLevel="0" collapsed="false">
      <c r="A179" s="2" t="s">
        <v>353</v>
      </c>
      <c r="B179" s="35" t="n">
        <f aca="false">COUNTIF(D167:BK167,"&lt;"&amp;Inputs!$B$43)</f>
        <v>9</v>
      </c>
    </row>
    <row r="180" customFormat="false" ht="15" hidden="false" customHeight="false" outlineLevel="0" collapsed="false">
      <c r="A180" s="2" t="s">
        <v>354</v>
      </c>
      <c r="B180" s="43" t="n">
        <f aca="false">MIN(D168:BK168)</f>
        <v>-6.08599640217391</v>
      </c>
    </row>
    <row r="181" customFormat="false" ht="15" hidden="false" customHeight="false" outlineLevel="0" collapsed="false">
      <c r="A181" s="2" t="s">
        <v>355</v>
      </c>
      <c r="B181" s="35" t="n">
        <f aca="false">COUNTIF(D168:BK168,"&lt;"&amp;Inputs!$B$43)</f>
        <v>8</v>
      </c>
    </row>
    <row r="184" customFormat="false" ht="15" hidden="false" customHeight="false" outlineLevel="0" collapsed="false">
      <c r="A184" s="8" t="s">
        <v>363</v>
      </c>
    </row>
    <row r="185" customFormat="false" ht="15" hidden="false" customHeight="false" outlineLevel="0" collapsed="false">
      <c r="A185" s="3" t="s">
        <v>331</v>
      </c>
      <c r="B185" s="45" t="n">
        <v>1</v>
      </c>
    </row>
    <row r="186" customFormat="false" ht="15" hidden="false" customHeight="false" outlineLevel="0" collapsed="false">
      <c r="A186" s="3" t="s">
        <v>332</v>
      </c>
      <c r="B186" s="45" t="n">
        <v>4</v>
      </c>
    </row>
    <row r="187" customFormat="false" ht="15" hidden="false" customHeight="false" outlineLevel="0" collapsed="false">
      <c r="A187" s="3" t="s">
        <v>333</v>
      </c>
      <c r="B187" s="45" t="n">
        <v>1</v>
      </c>
    </row>
    <row r="188" customFormat="false" ht="15" hidden="false" customHeight="false" outlineLevel="0" collapsed="false">
      <c r="A188" s="3" t="s">
        <v>334</v>
      </c>
      <c r="B188" s="45" t="n">
        <v>0</v>
      </c>
    </row>
    <row r="189" customFormat="false" ht="15" hidden="false" customHeight="false" outlineLevel="0" collapsed="false">
      <c r="A189" s="3" t="s">
        <v>335</v>
      </c>
      <c r="B189" s="45" t="n">
        <v>0</v>
      </c>
    </row>
    <row r="190" customFormat="false" ht="15" hidden="false" customHeight="false" outlineLevel="0" collapsed="false">
      <c r="A190" s="3" t="s">
        <v>336</v>
      </c>
      <c r="B190" s="3" t="n">
        <f aca="false">Inputs!$B$13+3+3*$B$186</f>
        <v>63</v>
      </c>
    </row>
    <row r="191" customFormat="false" ht="15" hidden="false" customHeight="false" outlineLevel="0" collapsed="false">
      <c r="A191" s="3" t="s">
        <v>337</v>
      </c>
      <c r="D191" s="33" t="n">
        <f aca="false">Source_Data!D$7+IF($B$189=1,IF(Source_Data!D$6=Inputs!$B$13,Source_Data!$C$8,0),Source_Data!D$8)</f>
        <v>0</v>
      </c>
      <c r="E191" s="33" t="n">
        <f aca="false">Source_Data!E$7+IF($B$189=1,IF(Source_Data!E$6=Inputs!$B$13,Source_Data!$C$8,0),Source_Data!E$8)</f>
        <v>0</v>
      </c>
      <c r="F191" s="33" t="n">
        <f aca="false">Source_Data!F$7+IF($B$189=1,IF(Source_Data!F$6=Inputs!$B$13,Source_Data!$C$8,0),Source_Data!F$8)</f>
        <v>15.1392375</v>
      </c>
      <c r="G191" s="33" t="n">
        <f aca="false">Source_Data!G$7+IF($B$189=1,IF(Source_Data!G$6=Inputs!$B$13,Source_Data!$C$8,0),Source_Data!G$8)</f>
        <v>30.278475</v>
      </c>
      <c r="H191" s="33" t="n">
        <f aca="false">Source_Data!H$7+IF($B$189=1,IF(Source_Data!H$6=Inputs!$B$13,Source_Data!$C$8,0),Source_Data!H$8)</f>
        <v>46.51200625</v>
      </c>
      <c r="I191" s="33" t="n">
        <f aca="false">Source_Data!I$7+IF($B$189=1,IF(Source_Data!I$6=Inputs!$B$13,Source_Data!$C$8,0),Source_Data!I$8)</f>
        <v>62.7455375</v>
      </c>
      <c r="J191" s="33" t="n">
        <f aca="false">Source_Data!J$7+IF($B$189=1,IF(Source_Data!J$6=Inputs!$B$13,Source_Data!$C$8,0),Source_Data!J$8)</f>
        <v>62.3657</v>
      </c>
      <c r="K191" s="33" t="n">
        <f aca="false">Source_Data!K$7+IF($B$189=1,IF(Source_Data!K$6=Inputs!$B$13,Source_Data!$C$8,0),Source_Data!K$8)</f>
        <v>63.473559375</v>
      </c>
      <c r="L191" s="33" t="n">
        <f aca="false">Source_Data!L$7+IF($B$189=1,IF(Source_Data!L$6=Inputs!$B$13,Source_Data!$C$8,0),Source_Data!L$8)</f>
        <v>80.3288484375</v>
      </c>
      <c r="M191" s="33" t="n">
        <f aca="false">Source_Data!M$7+IF($B$189=1,IF(Source_Data!M$6=Inputs!$B$13,Source_Data!$C$8,0),Source_Data!M$8)</f>
        <v>495.2538375</v>
      </c>
      <c r="N191" s="33" t="n">
        <f aca="false">Source_Data!N$7+IF($B$189=1,IF(Source_Data!N$6=Inputs!$B$13,Source_Data!$C$8,0),Source_Data!N$8)</f>
        <v>185.57775</v>
      </c>
      <c r="O191" s="33" t="n">
        <f aca="false">Source_Data!O$7+IF($B$189=1,IF(Source_Data!O$6=Inputs!$B$13,Source_Data!$C$8,0),Source_Data!O$8)</f>
        <v>176.534</v>
      </c>
      <c r="P191" s="33" t="n">
        <f aca="false">Source_Data!P$7+IF($B$189=1,IF(Source_Data!P$6=Inputs!$B$13,Source_Data!$C$8,0),Source_Data!P$8)</f>
        <v>97.31075</v>
      </c>
      <c r="Q191" s="33" t="n">
        <f aca="false">Source_Data!Q$7+IF($B$189=1,IF(Source_Data!Q$6=Inputs!$B$13,Source_Data!$C$8,0),Source_Data!Q$8)</f>
        <v>71.30996875</v>
      </c>
      <c r="R191" s="33" t="n">
        <f aca="false">Source_Data!R$7+IF($B$189=1,IF(Source_Data!R$6=Inputs!$B$13,Source_Data!$C$8,0),Source_Data!R$8)</f>
        <v>71.30996875</v>
      </c>
      <c r="S191" s="33" t="n">
        <f aca="false">Source_Data!S$7+IF($B$189=1,IF(Source_Data!S$6=Inputs!$B$13,Source_Data!$C$8,0),Source_Data!S$8)</f>
        <v>68.037035625</v>
      </c>
      <c r="T191" s="33" t="n">
        <f aca="false">Source_Data!T$7+IF($B$189=1,IF(Source_Data!T$6=Inputs!$B$13,Source_Data!$C$8,0),Source_Data!T$8)</f>
        <v>61.2266396875</v>
      </c>
      <c r="U191" s="33" t="n">
        <f aca="false">Source_Data!U$7+IF($B$189=1,IF(Source_Data!U$6=Inputs!$B$13,Source_Data!$C$8,0),Source_Data!U$8)</f>
        <v>59.7127159375</v>
      </c>
      <c r="V191" s="33" t="n">
        <f aca="false">Source_Data!V$7+IF($B$189=1,IF(Source_Data!V$6=Inputs!$B$13,Source_Data!$C$8,0),Source_Data!V$8)</f>
        <v>53.7239446875</v>
      </c>
      <c r="W191" s="33" t="n">
        <f aca="false">Source_Data!W$7+IF($B$189=1,IF(Source_Data!W$6=Inputs!$B$13,Source_Data!$C$8,0),Source_Data!W$8)</f>
        <v>49.3829446875</v>
      </c>
      <c r="X191" s="33" t="n">
        <f aca="false">Source_Data!X$7+IF($B$189=1,IF(Source_Data!X$6=Inputs!$B$13,Source_Data!$C$8,0),Source_Data!X$8)</f>
        <v>49.3829446875</v>
      </c>
      <c r="Y191" s="33" t="n">
        <f aca="false">Source_Data!Y$7+IF($B$189=1,IF(Source_Data!Y$6=Inputs!$B$13,Source_Data!$C$8,0),Source_Data!Y$8)</f>
        <v>42.1027259375</v>
      </c>
      <c r="Z191" s="33" t="n">
        <f aca="false">Source_Data!Z$7+IF($B$189=1,IF(Source_Data!Z$6=Inputs!$B$13,Source_Data!$C$8,0),Source_Data!Z$8)</f>
        <v>42.1027259375</v>
      </c>
      <c r="AA191" s="33" t="n">
        <f aca="false">Source_Data!AA$7+IF($B$189=1,IF(Source_Data!AA$6=Inputs!$B$13,Source_Data!$C$8,0),Source_Data!AA$8)</f>
        <v>42.1027259375</v>
      </c>
      <c r="AB191" s="33" t="n">
        <f aca="false">Source_Data!AB$7+IF($B$189=1,IF(Source_Data!AB$6=Inputs!$B$13,Source_Data!$C$8,0),Source_Data!AB$8)</f>
        <v>36.3147259375</v>
      </c>
      <c r="AC191" s="33" t="n">
        <f aca="false">Source_Data!AC$7+IF($B$189=1,IF(Source_Data!AC$6=Inputs!$B$13,Source_Data!$C$8,0),Source_Data!AC$8)</f>
        <v>33.0386275</v>
      </c>
      <c r="AD191" s="33" t="n">
        <f aca="false">Source_Data!AD$7+IF($B$189=1,IF(Source_Data!AD$6=Inputs!$B$13,Source_Data!$C$8,0),Source_Data!AD$8)</f>
        <v>29.43017125</v>
      </c>
      <c r="AE191" s="33" t="n">
        <f aca="false">Source_Data!AE$7+IF($B$189=1,IF(Source_Data!AE$6=Inputs!$B$13,Source_Data!$C$8,0),Source_Data!AE$8)</f>
        <v>25.08917125</v>
      </c>
      <c r="AF191" s="33" t="n">
        <f aca="false">Source_Data!AF$7+IF($B$189=1,IF(Source_Data!AF$6=Inputs!$B$13,Source_Data!$C$8,0),Source_Data!AF$8)</f>
        <v>25.08917125</v>
      </c>
      <c r="AG191" s="33" t="n">
        <f aca="false">Source_Data!AG$7+IF($B$189=1,IF(Source_Data!AG$6=Inputs!$B$13,Source_Data!$C$8,0),Source_Data!AG$8)</f>
        <v>25.08917125</v>
      </c>
      <c r="AH191" s="33" t="n">
        <f aca="false">Source_Data!AH$7+IF($B$189=1,IF(Source_Data!AH$6=Inputs!$B$13,Source_Data!$C$8,0),Source_Data!AH$8)</f>
        <v>25.08917125</v>
      </c>
      <c r="AI191" s="33" t="n">
        <f aca="false">Source_Data!AI$7+IF($B$189=1,IF(Source_Data!AI$6=Inputs!$B$13,Source_Data!$C$8,0),Source_Data!AI$8)</f>
        <v>25.08917125</v>
      </c>
      <c r="AJ191" s="33" t="n">
        <f aca="false">Source_Data!AJ$7+IF($B$189=1,IF(Source_Data!AJ$6=Inputs!$B$13,Source_Data!$C$8,0),Source_Data!AJ$8)</f>
        <v>25.08917125</v>
      </c>
      <c r="AK191" s="33" t="n">
        <f aca="false">Source_Data!AK$7+IF($B$189=1,IF(Source_Data!AK$6=Inputs!$B$13,Source_Data!$C$8,0),Source_Data!AK$8)</f>
        <v>22.905105625</v>
      </c>
      <c r="AL191" s="33" t="n">
        <f aca="false">Source_Data!AL$7+IF($B$189=1,IF(Source_Data!AL$6=Inputs!$B$13,Source_Data!$C$8,0),Source_Data!AL$8)</f>
        <v>22.905105625</v>
      </c>
      <c r="AM191" s="33" t="n">
        <f aca="false">Source_Data!AM$7+IF($B$189=1,IF(Source_Data!AM$6=Inputs!$B$13,Source_Data!$C$8,0),Source_Data!AM$8)</f>
        <v>18.739554375</v>
      </c>
      <c r="AN191" s="33" t="n">
        <f aca="false">Source_Data!AN$7+IF($B$189=1,IF(Source_Data!AN$6=Inputs!$B$13,Source_Data!$C$8,0),Source_Data!AN$8)</f>
        <v>9.6261675</v>
      </c>
      <c r="AO191" s="33" t="n">
        <f aca="false">Source_Data!AO$7+IF($B$189=1,IF(Source_Data!AO$6=Inputs!$B$13,Source_Data!$C$8,0),Source_Data!AO$8)</f>
        <v>3.5704725</v>
      </c>
      <c r="AP191" s="33" t="n">
        <f aca="false">Source_Data!AP$7+IF($B$189=1,IF(Source_Data!AP$6=Inputs!$B$13,Source_Data!$C$8,0),Source_Data!AP$8)</f>
        <v>0</v>
      </c>
      <c r="AQ191" s="33" t="n">
        <f aca="false">Source_Data!AQ$7+IF($B$189=1,IF(Source_Data!AQ$6=Inputs!$B$13,Source_Data!$C$8,0),Source_Data!AQ$8)</f>
        <v>0</v>
      </c>
      <c r="AR191" s="33" t="n">
        <f aca="false">Source_Data!AR$7+IF($B$189=1,IF(Source_Data!AR$6=Inputs!$B$13,Source_Data!$C$8,0),Source_Data!AR$8)</f>
        <v>0</v>
      </c>
      <c r="AS191" s="33" t="n">
        <f aca="false">Source_Data!AS$7+IF($B$189=1,IF(Source_Data!AS$6=Inputs!$B$13,Source_Data!$C$8,0),Source_Data!AS$8)</f>
        <v>0</v>
      </c>
      <c r="AT191" s="33" t="n">
        <f aca="false">Source_Data!AT$7+IF($B$189=1,IF(Source_Data!AT$6=Inputs!$B$13,Source_Data!$C$8,0),Source_Data!AT$8)</f>
        <v>0</v>
      </c>
      <c r="AU191" s="33" t="n">
        <f aca="false">Source_Data!AU$7+IF($B$189=1,IF(Source_Data!AU$6=Inputs!$B$13,Source_Data!$C$8,0),Source_Data!AU$8)</f>
        <v>0</v>
      </c>
      <c r="AV191" s="33" t="n">
        <f aca="false">Source_Data!AV$7+IF($B$189=1,IF(Source_Data!AV$6=Inputs!$B$13,Source_Data!$C$8,0),Source_Data!AV$8)</f>
        <v>0</v>
      </c>
      <c r="AW191" s="33" t="n">
        <f aca="false">Source_Data!AW$7+IF($B$189=1,IF(Source_Data!AW$6=Inputs!$B$13,Source_Data!$C$8,0),Source_Data!AW$8)</f>
        <v>0</v>
      </c>
      <c r="AX191" s="33" t="n">
        <f aca="false">Source_Data!AX$7+IF($B$189=1,IF(Source_Data!AX$6=Inputs!$B$13,Source_Data!$C$8,0),Source_Data!AX$8)</f>
        <v>0</v>
      </c>
      <c r="AY191" s="33" t="n">
        <f aca="false">Source_Data!AY$7+IF($B$189=1,IF(Source_Data!AY$6=Inputs!$B$13,Source_Data!$C$8,0),Source_Data!AY$8)</f>
        <v>0</v>
      </c>
      <c r="AZ191" s="33" t="n">
        <f aca="false">Source_Data!AZ$7+IF($B$189=1,IF(Source_Data!AZ$6=Inputs!$B$13,Source_Data!$C$8,0),Source_Data!AZ$8)</f>
        <v>0</v>
      </c>
      <c r="BA191" s="33" t="n">
        <f aca="false">Source_Data!BA$7+IF($B$189=1,IF(Source_Data!BA$6=Inputs!$B$13,Source_Data!$C$8,0),Source_Data!BA$8)</f>
        <v>0</v>
      </c>
      <c r="BB191" s="33" t="n">
        <f aca="false">Source_Data!BB$7+IF($B$189=1,IF(Source_Data!BB$6=Inputs!$B$13,Source_Data!$C$8,0),Source_Data!BB$8)</f>
        <v>0</v>
      </c>
      <c r="BC191" s="33" t="n">
        <f aca="false">Source_Data!BC$7+IF($B$189=1,IF(Source_Data!BC$6=Inputs!$B$13,Source_Data!$C$8,0),Source_Data!BC$8)</f>
        <v>0</v>
      </c>
      <c r="BD191" s="33" t="n">
        <f aca="false">Source_Data!BD$7+IF($B$189=1,IF(Source_Data!BD$6=Inputs!$B$13,Source_Data!$C$8,0),Source_Data!BD$8)</f>
        <v>0</v>
      </c>
      <c r="BE191" s="33" t="n">
        <f aca="false">Source_Data!BE$7+IF($B$189=1,IF(Source_Data!BE$6=Inputs!$B$13,Source_Data!$C$8,0),Source_Data!BE$8)</f>
        <v>0</v>
      </c>
      <c r="BF191" s="33" t="n">
        <f aca="false">Source_Data!BF$7+IF($B$189=1,IF(Source_Data!BF$6=Inputs!$B$13,Source_Data!$C$8,0),Source_Data!BF$8)</f>
        <v>0</v>
      </c>
      <c r="BG191" s="33" t="n">
        <f aca="false">Source_Data!BG$7+IF($B$189=1,IF(Source_Data!BG$6=Inputs!$B$13,Source_Data!$C$8,0),Source_Data!BG$8)</f>
        <v>0</v>
      </c>
      <c r="BH191" s="33" t="n">
        <f aca="false">Source_Data!BH$7+IF($B$189=1,IF(Source_Data!BH$6=Inputs!$B$13,Source_Data!$C$8,0),Source_Data!BH$8)</f>
        <v>0</v>
      </c>
      <c r="BI191" s="33" t="n">
        <f aca="false">Source_Data!BI$7+IF($B$189=1,IF(Source_Data!BI$6=Inputs!$B$13,Source_Data!$C$8,0),Source_Data!BI$8)</f>
        <v>0</v>
      </c>
      <c r="BJ191" s="33" t="n">
        <f aca="false">Source_Data!BJ$7+IF($B$189=1,IF(Source_Data!BJ$6=Inputs!$B$13,Source_Data!$C$8,0),Source_Data!BJ$8)</f>
        <v>0</v>
      </c>
      <c r="BK191" s="33" t="n">
        <f aca="false">Source_Data!BK$7+IF($B$189=1,IF(Source_Data!BK$6=Inputs!$B$13,Source_Data!$C$8,0),Source_Data!BK$8)</f>
        <v>0</v>
      </c>
    </row>
    <row r="192" customFormat="false" ht="15" hidden="false" customHeight="false" outlineLevel="0" collapsed="false">
      <c r="A192" s="3" t="s">
        <v>338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0</v>
      </c>
      <c r="G192" s="33" t="n">
        <f aca="false">$B$185*IF(Source_Data!G$5-($B$186+$B$188)&gt;=1,INDEX($D$191:$BK$191,1,Source_Data!G$5-($B$186+$B$188)),0)</f>
        <v>0</v>
      </c>
      <c r="H192" s="33" t="n">
        <f aca="false">$B$185*IF(Source_Data!H$5-($B$186+$B$188)&gt;=1,INDEX($D$191:$BK$191,1,Source_Data!H$5-($B$186+$B$188)),0)</f>
        <v>0</v>
      </c>
      <c r="I192" s="33" t="n">
        <f aca="false">$B$185*IF(Source_Data!I$5-($B$186+$B$188)&gt;=1,INDEX($D$191:$BK$191,1,Source_Data!I$5-($B$186+$B$188)),0)</f>
        <v>0</v>
      </c>
      <c r="J192" s="33" t="n">
        <f aca="false">$B$185*IF(Source_Data!J$5-($B$186+$B$188)&gt;=1,INDEX($D$191:$BK$191,1,Source_Data!J$5-($B$186+$B$188)),0)</f>
        <v>15.1392375</v>
      </c>
      <c r="K192" s="33" t="n">
        <f aca="false">$B$185*IF(Source_Data!K$5-($B$186+$B$188)&gt;=1,INDEX($D$191:$BK$191,1,Source_Data!K$5-($B$186+$B$188)),0)</f>
        <v>30.278475</v>
      </c>
      <c r="L192" s="33" t="n">
        <f aca="false">$B$185*IF(Source_Data!L$5-($B$186+$B$188)&gt;=1,INDEX($D$191:$BK$191,1,Source_Data!L$5-($B$186+$B$188)),0)</f>
        <v>46.51200625</v>
      </c>
      <c r="M192" s="33" t="n">
        <f aca="false">$B$185*IF(Source_Data!M$5-($B$186+$B$188)&gt;=1,INDEX($D$191:$BK$191,1,Source_Data!M$5-($B$186+$B$188)),0)</f>
        <v>62.7455375</v>
      </c>
      <c r="N192" s="33" t="n">
        <f aca="false">$B$185*IF(Source_Data!N$5-($B$186+$B$188)&gt;=1,INDEX($D$191:$BK$191,1,Source_Data!N$5-($B$186+$B$188)),0)</f>
        <v>62.3657</v>
      </c>
      <c r="O192" s="33" t="n">
        <f aca="false">$B$185*IF(Source_Data!O$5-($B$186+$B$188)&gt;=1,INDEX($D$191:$BK$191,1,Source_Data!O$5-($B$186+$B$188)),0)</f>
        <v>63.473559375</v>
      </c>
      <c r="P192" s="33" t="n">
        <f aca="false">$B$185*IF(Source_Data!P$5-($B$186+$B$188)&gt;=1,INDEX($D$191:$BK$191,1,Source_Data!P$5-($B$186+$B$188)),0)</f>
        <v>80.3288484375</v>
      </c>
      <c r="Q192" s="33" t="n">
        <f aca="false">$B$185*IF(Source_Data!Q$5-($B$186+$B$188)&gt;=1,INDEX($D$191:$BK$191,1,Source_Data!Q$5-($B$186+$B$188)),0)</f>
        <v>495.2538375</v>
      </c>
      <c r="R192" s="33" t="n">
        <f aca="false">$B$185*IF(Source_Data!R$5-($B$186+$B$188)&gt;=1,INDEX($D$191:$BK$191,1,Source_Data!R$5-($B$186+$B$188)),0)</f>
        <v>185.57775</v>
      </c>
      <c r="S192" s="33" t="n">
        <f aca="false">$B$185*IF(Source_Data!S$5-($B$186+$B$188)&gt;=1,INDEX($D$191:$BK$191,1,Source_Data!S$5-($B$186+$B$188)),0)</f>
        <v>176.534</v>
      </c>
      <c r="T192" s="33" t="n">
        <f aca="false">$B$185*IF(Source_Data!T$5-($B$186+$B$188)&gt;=1,INDEX($D$191:$BK$191,1,Source_Data!T$5-($B$186+$B$188)),0)</f>
        <v>97.31075</v>
      </c>
      <c r="U192" s="33" t="n">
        <f aca="false">$B$185*IF(Source_Data!U$5-($B$186+$B$188)&gt;=1,INDEX($D$191:$BK$191,1,Source_Data!U$5-($B$186+$B$188)),0)</f>
        <v>71.30996875</v>
      </c>
      <c r="V192" s="33" t="n">
        <f aca="false">$B$185*IF(Source_Data!V$5-($B$186+$B$188)&gt;=1,INDEX($D$191:$BK$191,1,Source_Data!V$5-($B$186+$B$188)),0)</f>
        <v>71.30996875</v>
      </c>
      <c r="W192" s="33" t="n">
        <f aca="false">$B$185*IF(Source_Data!W$5-($B$186+$B$188)&gt;=1,INDEX($D$191:$BK$191,1,Source_Data!W$5-($B$186+$B$188)),0)</f>
        <v>68.037035625</v>
      </c>
      <c r="X192" s="33" t="n">
        <f aca="false">$B$185*IF(Source_Data!X$5-($B$186+$B$188)&gt;=1,INDEX($D$191:$BK$191,1,Source_Data!X$5-($B$186+$B$188)),0)</f>
        <v>61.2266396875</v>
      </c>
      <c r="Y192" s="33" t="n">
        <f aca="false">$B$185*IF(Source_Data!Y$5-($B$186+$B$188)&gt;=1,INDEX($D$191:$BK$191,1,Source_Data!Y$5-($B$186+$B$188)),0)</f>
        <v>59.7127159375</v>
      </c>
      <c r="Z192" s="33" t="n">
        <f aca="false">$B$185*IF(Source_Data!Z$5-($B$186+$B$188)&gt;=1,INDEX($D$191:$BK$191,1,Source_Data!Z$5-($B$186+$B$188)),0)</f>
        <v>53.7239446875</v>
      </c>
      <c r="AA192" s="33" t="n">
        <f aca="false">$B$185*IF(Source_Data!AA$5-($B$186+$B$188)&gt;=1,INDEX($D$191:$BK$191,1,Source_Data!AA$5-($B$186+$B$188)),0)</f>
        <v>49.3829446875</v>
      </c>
      <c r="AB192" s="33" t="n">
        <f aca="false">$B$185*IF(Source_Data!AB$5-($B$186+$B$188)&gt;=1,INDEX($D$191:$BK$191,1,Source_Data!AB$5-($B$186+$B$188)),0)</f>
        <v>49.3829446875</v>
      </c>
      <c r="AC192" s="33" t="n">
        <f aca="false">$B$185*IF(Source_Data!AC$5-($B$186+$B$188)&gt;=1,INDEX($D$191:$BK$191,1,Source_Data!AC$5-($B$186+$B$188)),0)</f>
        <v>42.1027259375</v>
      </c>
      <c r="AD192" s="33" t="n">
        <f aca="false">$B$185*IF(Source_Data!AD$5-($B$186+$B$188)&gt;=1,INDEX($D$191:$BK$191,1,Source_Data!AD$5-($B$186+$B$188)),0)</f>
        <v>42.1027259375</v>
      </c>
      <c r="AE192" s="33" t="n">
        <f aca="false">$B$185*IF(Source_Data!AE$5-($B$186+$B$188)&gt;=1,INDEX($D$191:$BK$191,1,Source_Data!AE$5-($B$186+$B$188)),0)</f>
        <v>42.1027259375</v>
      </c>
      <c r="AF192" s="33" t="n">
        <f aca="false">$B$185*IF(Source_Data!AF$5-($B$186+$B$188)&gt;=1,INDEX($D$191:$BK$191,1,Source_Data!AF$5-($B$186+$B$188)),0)</f>
        <v>36.3147259375</v>
      </c>
      <c r="AG192" s="33" t="n">
        <f aca="false">$B$185*IF(Source_Data!AG$5-($B$186+$B$188)&gt;=1,INDEX($D$191:$BK$191,1,Source_Data!AG$5-($B$186+$B$188)),0)</f>
        <v>33.0386275</v>
      </c>
      <c r="AH192" s="33" t="n">
        <f aca="false">$B$185*IF(Source_Data!AH$5-($B$186+$B$188)&gt;=1,INDEX($D$191:$BK$191,1,Source_Data!AH$5-($B$186+$B$188)),0)</f>
        <v>29.43017125</v>
      </c>
      <c r="AI192" s="33" t="n">
        <f aca="false">$B$185*IF(Source_Data!AI$5-($B$186+$B$188)&gt;=1,INDEX($D$191:$BK$191,1,Source_Data!AI$5-($B$186+$B$188)),0)</f>
        <v>25.08917125</v>
      </c>
      <c r="AJ192" s="33" t="n">
        <f aca="false">$B$185*IF(Source_Data!AJ$5-($B$186+$B$188)&gt;=1,INDEX($D$191:$BK$191,1,Source_Data!AJ$5-($B$186+$B$188)),0)</f>
        <v>25.08917125</v>
      </c>
      <c r="AK192" s="33" t="n">
        <f aca="false">$B$185*IF(Source_Data!AK$5-($B$186+$B$188)&gt;=1,INDEX($D$191:$BK$191,1,Source_Data!AK$5-($B$186+$B$188)),0)</f>
        <v>25.08917125</v>
      </c>
      <c r="AL192" s="33" t="n">
        <f aca="false">$B$185*IF(Source_Data!AL$5-($B$186+$B$188)&gt;=1,INDEX($D$191:$BK$191,1,Source_Data!AL$5-($B$186+$B$188)),0)</f>
        <v>25.08917125</v>
      </c>
      <c r="AM192" s="33" t="n">
        <f aca="false">$B$185*IF(Source_Data!AM$5-($B$186+$B$188)&gt;=1,INDEX($D$191:$BK$191,1,Source_Data!AM$5-($B$186+$B$188)),0)</f>
        <v>25.08917125</v>
      </c>
      <c r="AN192" s="33" t="n">
        <f aca="false">$B$185*IF(Source_Data!AN$5-($B$186+$B$188)&gt;=1,INDEX($D$191:$BK$191,1,Source_Data!AN$5-($B$186+$B$188)),0)</f>
        <v>25.08917125</v>
      </c>
      <c r="AO192" s="33" t="n">
        <f aca="false">$B$185*IF(Source_Data!AO$5-($B$186+$B$188)&gt;=1,INDEX($D$191:$BK$191,1,Source_Data!AO$5-($B$186+$B$188)),0)</f>
        <v>22.905105625</v>
      </c>
      <c r="AP192" s="33" t="n">
        <f aca="false">$B$185*IF(Source_Data!AP$5-($B$186+$B$188)&gt;=1,INDEX($D$191:$BK$191,1,Source_Data!AP$5-($B$186+$B$188)),0)</f>
        <v>22.905105625</v>
      </c>
      <c r="AQ192" s="33" t="n">
        <f aca="false">$B$185*IF(Source_Data!AQ$5-($B$186+$B$188)&gt;=1,INDEX($D$191:$BK$191,1,Source_Data!AQ$5-($B$186+$B$188)),0)</f>
        <v>18.739554375</v>
      </c>
      <c r="AR192" s="33" t="n">
        <f aca="false">$B$185*IF(Source_Data!AR$5-($B$186+$B$188)&gt;=1,INDEX($D$191:$BK$191,1,Source_Data!AR$5-($B$186+$B$188)),0)</f>
        <v>9.6261675</v>
      </c>
      <c r="AS192" s="33" t="n">
        <f aca="false">$B$185*IF(Source_Data!AS$5-($B$186+$B$188)&gt;=1,INDEX($D$191:$BK$191,1,Source_Data!AS$5-($B$186+$B$188)),0)</f>
        <v>3.5704725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339</v>
      </c>
      <c r="D193" s="33" t="n">
        <f aca="false">Source_Data!D$9+Source_Data!D$10*IF(Source_Data!$C$10=0,0,MAX(0,Inputs!$B$19*Inputs!$B$22*$B$185-Inputs!$B$20)/Source_Data!$C$10)</f>
        <v>91.25</v>
      </c>
      <c r="E193" s="33" t="n">
        <f aca="false">Source_Data!E$9+Source_Data!E$10*IF(Source_Data!$C$10=0,0,MAX(0,Inputs!$B$19*Inputs!$B$22*$B$185-Inputs!$B$20)/Source_Data!$C$10)</f>
        <v>11.25</v>
      </c>
      <c r="F193" s="33" t="n">
        <f aca="false">Source_Data!F$9+Source_Data!F$10*IF(Source_Data!$C$10=0,0,MAX(0,Inputs!$B$19*Inputs!$B$22*$B$185-Inputs!$B$20)/Source_Data!$C$10)</f>
        <v>11.25</v>
      </c>
      <c r="G193" s="33" t="n">
        <f aca="false">Source_Data!G$9+Source_Data!G$10*IF(Source_Data!$C$10=0,0,MAX(0,Inputs!$B$19*Inputs!$B$22*$B$185-Inputs!$B$20)/Source_Data!$C$10)</f>
        <v>11.25</v>
      </c>
      <c r="H193" s="33" t="n">
        <f aca="false">Source_Data!H$9+Source_Data!H$10*IF(Source_Data!$C$10=0,0,MAX(0,Inputs!$B$19*Inputs!$B$22*$B$185-Inputs!$B$20)/Source_Data!$C$10)</f>
        <v>22.5</v>
      </c>
      <c r="I193" s="33" t="n">
        <f aca="false">Source_Data!I$9+Source_Data!I$10*IF(Source_Data!$C$10=0,0,MAX(0,Inputs!$B$19*Inputs!$B$22*$B$185-Inputs!$B$20)/Source_Data!$C$10)</f>
        <v>22.5</v>
      </c>
      <c r="J193" s="33" t="n">
        <f aca="false">Source_Data!J$9+Source_Data!J$10*IF(Source_Data!$C$10=0,0,MAX(0,Inputs!$B$19*Inputs!$B$22*$B$185-Inputs!$B$20)/Source_Data!$C$10)</f>
        <v>22.5</v>
      </c>
      <c r="K193" s="33" t="n">
        <f aca="false">Source_Data!K$9+Source_Data!K$10*IF(Source_Data!$C$10=0,0,MAX(0,Inputs!$B$19*Inputs!$B$22*$B$185-Inputs!$B$20)/Source_Data!$C$10)</f>
        <v>22.5</v>
      </c>
      <c r="L193" s="33" t="n">
        <f aca="false">Source_Data!L$9+Source_Data!L$10*IF(Source_Data!$C$10=0,0,MAX(0,Inputs!$B$19*Inputs!$B$22*$B$185-Inputs!$B$20)/Source_Data!$C$10)</f>
        <v>33.75</v>
      </c>
      <c r="M193" s="33" t="n">
        <f aca="false">Source_Data!M$9+Source_Data!M$10*IF(Source_Data!$C$10=0,0,MAX(0,Inputs!$B$19*Inputs!$B$22*$B$185-Inputs!$B$20)/Source_Data!$C$10)</f>
        <v>33.75</v>
      </c>
      <c r="N193" s="33" t="n">
        <f aca="false">Source_Data!N$9+Source_Data!N$10*IF(Source_Data!$C$10=0,0,MAX(0,Inputs!$B$19*Inputs!$B$22*$B$185-Inputs!$B$20)/Source_Data!$C$10)</f>
        <v>33.75</v>
      </c>
      <c r="O193" s="33" t="n">
        <f aca="false">Source_Data!O$9+Source_Data!O$10*IF(Source_Data!$C$10=0,0,MAX(0,Inputs!$B$19*Inputs!$B$22*$B$185-Inputs!$B$20)/Source_Data!$C$10)</f>
        <v>33.75</v>
      </c>
      <c r="P193" s="33" t="n">
        <f aca="false">Source_Data!P$9+Source_Data!P$10*IF(Source_Data!$C$10=0,0,MAX(0,Inputs!$B$19*Inputs!$B$22*$B$185-Inputs!$B$20)/Source_Data!$C$10)</f>
        <v>45</v>
      </c>
      <c r="Q193" s="33" t="n">
        <f aca="false">Source_Data!Q$9+Source_Data!Q$10*IF(Source_Data!$C$10=0,0,MAX(0,Inputs!$B$19*Inputs!$B$22*$B$185-Inputs!$B$20)/Source_Data!$C$10)</f>
        <v>45</v>
      </c>
      <c r="R193" s="33" t="n">
        <f aca="false">Source_Data!R$9+Source_Data!R$10*IF(Source_Data!$C$10=0,0,MAX(0,Inputs!$B$19*Inputs!$B$22*$B$185-Inputs!$B$20)/Source_Data!$C$10)</f>
        <v>45</v>
      </c>
      <c r="S193" s="33" t="n">
        <f aca="false">Source_Data!S$9+Source_Data!S$10*IF(Source_Data!$C$10=0,0,MAX(0,Inputs!$B$19*Inputs!$B$22*$B$185-Inputs!$B$20)/Source_Data!$C$10)</f>
        <v>45</v>
      </c>
      <c r="T193" s="33" t="n">
        <f aca="false">Source_Data!T$9+Source_Data!T$10*IF(Source_Data!$C$10=0,0,MAX(0,Inputs!$B$19*Inputs!$B$22*$B$185-Inputs!$B$20)/Source_Data!$C$10)</f>
        <v>45</v>
      </c>
      <c r="U193" s="33" t="n">
        <f aca="false">Source_Data!U$9+Source_Data!U$10*IF(Source_Data!$C$10=0,0,MAX(0,Inputs!$B$19*Inputs!$B$22*$B$185-Inputs!$B$20)/Source_Data!$C$10)</f>
        <v>45</v>
      </c>
      <c r="V193" s="33" t="n">
        <f aca="false">Source_Data!V$9+Source_Data!V$10*IF(Source_Data!$C$10=0,0,MAX(0,Inputs!$B$19*Inputs!$B$22*$B$185-Inputs!$B$20)/Source_Data!$C$10)</f>
        <v>45</v>
      </c>
      <c r="W193" s="33" t="n">
        <f aca="false">Source_Data!W$9+Source_Data!W$10*IF(Source_Data!$C$10=0,0,MAX(0,Inputs!$B$19*Inputs!$B$22*$B$185-Inputs!$B$20)/Source_Data!$C$10)</f>
        <v>45</v>
      </c>
      <c r="X193" s="33" t="n">
        <f aca="false">Source_Data!X$9+Source_Data!X$10*IF(Source_Data!$C$10=0,0,MAX(0,Inputs!$B$19*Inputs!$B$22*$B$185-Inputs!$B$20)/Source_Data!$C$10)</f>
        <v>22.5</v>
      </c>
      <c r="Y193" s="33" t="n">
        <f aca="false">Source_Data!Y$9+Source_Data!Y$10*IF(Source_Data!$C$10=0,0,MAX(0,Inputs!$B$19*Inputs!$B$22*$B$185-Inputs!$B$20)/Source_Data!$C$10)</f>
        <v>22.5</v>
      </c>
      <c r="Z193" s="33" t="n">
        <f aca="false">Source_Data!Z$9+Source_Data!Z$10*IF(Source_Data!$C$10=0,0,MAX(0,Inputs!$B$19*Inputs!$B$22*$B$185-Inputs!$B$20)/Source_Data!$C$10)</f>
        <v>22.5</v>
      </c>
      <c r="AA193" s="33" t="n">
        <f aca="false">Source_Data!AA$9+Source_Data!AA$10*IF(Source_Data!$C$10=0,0,MAX(0,Inputs!$B$19*Inputs!$B$22*$B$185-Inputs!$B$20)/Source_Data!$C$10)</f>
        <v>22.5</v>
      </c>
      <c r="AB193" s="33" t="n">
        <f aca="false">Source_Data!AB$9+Source_Data!AB$10*IF(Source_Data!$C$10=0,0,MAX(0,Inputs!$B$19*Inputs!$B$22*$B$185-Inputs!$B$20)/Source_Data!$C$10)</f>
        <v>0</v>
      </c>
      <c r="AC193" s="33" t="n">
        <f aca="false">Source_Data!AC$9+Source_Data!AC$10*IF(Source_Data!$C$10=0,0,MAX(0,Inputs!$B$19*Inputs!$B$22*$B$185-Inputs!$B$20)/Source_Data!$C$10)</f>
        <v>0</v>
      </c>
      <c r="AD193" s="33" t="n">
        <f aca="false">Source_Data!AD$9+Source_Data!AD$10*IF(Source_Data!$C$10=0,0,MAX(0,Inputs!$B$19*Inputs!$B$22*$B$185-Inputs!$B$20)/Source_Data!$C$10)</f>
        <v>0</v>
      </c>
      <c r="AE193" s="33" t="n">
        <f aca="false">Source_Data!AE$9+Source_Data!AE$10*IF(Source_Data!$C$10=0,0,MAX(0,Inputs!$B$19*Inputs!$B$22*$B$185-Inputs!$B$20)/Source_Data!$C$10)</f>
        <v>0</v>
      </c>
      <c r="AF193" s="33" t="n">
        <f aca="false">Source_Data!AF$9+Source_Data!AF$10*IF(Source_Data!$C$10=0,0,MAX(0,Inputs!$B$19*Inputs!$B$22*$B$185-Inputs!$B$20)/Source_Data!$C$10)</f>
        <v>107.758210351563</v>
      </c>
      <c r="AG193" s="33" t="n">
        <f aca="false">Source_Data!AG$9+Source_Data!AG$10*IF(Source_Data!$C$10=0,0,MAX(0,Inputs!$B$19*Inputs!$B$22*$B$185-Inputs!$B$20)/Source_Data!$C$10)</f>
        <v>10.976512421875</v>
      </c>
      <c r="AH193" s="33" t="n">
        <f aca="false">Source_Data!AH$9+Source_Data!AH$10*IF(Source_Data!$C$10=0,0,MAX(0,Inputs!$B$19*Inputs!$B$22*$B$185-Inputs!$B$20)/Source_Data!$C$10)</f>
        <v>10.976512421875</v>
      </c>
      <c r="AI193" s="33" t="n">
        <f aca="false">Source_Data!AI$9+Source_Data!AI$10*IF(Source_Data!$C$10=0,0,MAX(0,Inputs!$B$19*Inputs!$B$22*$B$185-Inputs!$B$20)/Source_Data!$C$10)</f>
        <v>10.976512421875</v>
      </c>
      <c r="AJ193" s="33" t="n">
        <f aca="false">Source_Data!AJ$9+Source_Data!AJ$10*IF(Source_Data!$C$10=0,0,MAX(0,Inputs!$B$19*Inputs!$B$22*$B$185-Inputs!$B$20)/Source_Data!$C$10)</f>
        <v>10.976512421875</v>
      </c>
      <c r="AK193" s="33" t="n">
        <f aca="false">Source_Data!AK$9+Source_Data!AK$10*IF(Source_Data!$C$10=0,0,MAX(0,Inputs!$B$19*Inputs!$B$22*$B$185-Inputs!$B$20)/Source_Data!$C$10)</f>
        <v>10.0209837109375</v>
      </c>
      <c r="AL193" s="33" t="n">
        <f aca="false">Source_Data!AL$9+Source_Data!AL$10*IF(Source_Data!$C$10=0,0,MAX(0,Inputs!$B$19*Inputs!$B$22*$B$185-Inputs!$B$20)/Source_Data!$C$10)</f>
        <v>10.0209837109375</v>
      </c>
      <c r="AM193" s="33" t="n">
        <f aca="false">Source_Data!AM$9+Source_Data!AM$10*IF(Source_Data!$C$10=0,0,MAX(0,Inputs!$B$19*Inputs!$B$22*$B$185-Inputs!$B$20)/Source_Data!$C$10)</f>
        <v>8.19855503906249</v>
      </c>
      <c r="AN193" s="33" t="n">
        <f aca="false">Source_Data!AN$9+Source_Data!AN$10*IF(Source_Data!$C$10=0,0,MAX(0,Inputs!$B$19*Inputs!$B$22*$B$185-Inputs!$B$20)/Source_Data!$C$10)</f>
        <v>4.21144828125</v>
      </c>
      <c r="AO193" s="33" t="n">
        <f aca="false">Source_Data!AO$9+Source_Data!AO$10*IF(Source_Data!$C$10=0,0,MAX(0,Inputs!$B$19*Inputs!$B$22*$B$185-Inputs!$B$20)/Source_Data!$C$10)</f>
        <v>1.56208171875</v>
      </c>
      <c r="AP193" s="33" t="n">
        <f aca="false">Source_Data!AP$9+Source_Data!AP$10*IF(Source_Data!$C$10=0,0,MAX(0,Inputs!$B$19*Inputs!$B$22*$B$185-Inputs!$B$20)/Source_Data!$C$10)</f>
        <v>0</v>
      </c>
      <c r="AQ193" s="33" t="n">
        <f aca="false">Source_Data!AQ$9+Source_Data!AQ$10*IF(Source_Data!$C$10=0,0,MAX(0,Inputs!$B$19*Inputs!$B$22*$B$185-Inputs!$B$20)/Source_Data!$C$10)</f>
        <v>0</v>
      </c>
      <c r="AR193" s="33" t="n">
        <f aca="false">Source_Data!AR$9+Source_Data!AR$10*IF(Source_Data!$C$10=0,0,MAX(0,Inputs!$B$19*Inputs!$B$22*$B$185-Inputs!$B$20)/Source_Data!$C$10)</f>
        <v>0</v>
      </c>
      <c r="AS193" s="33" t="n">
        <f aca="false">Source_Data!AS$9+Source_Data!AS$10*IF(Source_Data!$C$10=0,0,MAX(0,Inputs!$B$19*Inputs!$B$22*$B$185-Inputs!$B$20)/Source_Data!$C$10)</f>
        <v>0</v>
      </c>
      <c r="AT193" s="33" t="n">
        <f aca="false">Source_Data!AT$9+Source_Data!AT$10*IF(Source_Data!$C$10=0,0,MAX(0,Inputs!$B$19*Inputs!$B$22*$B$185-Inputs!$B$20)/Source_Data!$C$10)</f>
        <v>0</v>
      </c>
      <c r="AU193" s="33" t="n">
        <f aca="false">Source_Data!AU$9+Source_Data!AU$10*IF(Source_Data!$C$10=0,0,MAX(0,Inputs!$B$19*Inputs!$B$22*$B$185-Inputs!$B$20)/Source_Data!$C$10)</f>
        <v>0</v>
      </c>
      <c r="AV193" s="33" t="n">
        <f aca="false">Source_Data!AV$9+Source_Data!AV$10*IF(Source_Data!$C$10=0,0,MAX(0,Inputs!$B$19*Inputs!$B$22*$B$185-Inputs!$B$20)/Source_Data!$C$10)</f>
        <v>0</v>
      </c>
      <c r="AW193" s="33" t="n">
        <f aca="false">Source_Data!AW$9+Source_Data!AW$10*IF(Source_Data!$C$10=0,0,MAX(0,Inputs!$B$19*Inputs!$B$22*$B$185-Inputs!$B$20)/Source_Data!$C$10)</f>
        <v>0</v>
      </c>
      <c r="AX193" s="33" t="n">
        <f aca="false">Source_Data!AX$9+Source_Data!AX$10*IF(Source_Data!$C$10=0,0,MAX(0,Inputs!$B$19*Inputs!$B$22*$B$185-Inputs!$B$20)/Source_Data!$C$10)</f>
        <v>0</v>
      </c>
      <c r="AY193" s="33" t="n">
        <f aca="false">Source_Data!AY$9+Source_Data!AY$10*IF(Source_Data!$C$10=0,0,MAX(0,Inputs!$B$19*Inputs!$B$22*$B$185-Inputs!$B$20)/Source_Data!$C$10)</f>
        <v>0</v>
      </c>
      <c r="AZ193" s="33" t="n">
        <f aca="false">Source_Data!AZ$9+Source_Data!AZ$10*IF(Source_Data!$C$10=0,0,MAX(0,Inputs!$B$19*Inputs!$B$22*$B$185-Inputs!$B$20)/Source_Data!$C$10)</f>
        <v>0</v>
      </c>
      <c r="BA193" s="33" t="n">
        <f aca="false">Source_Data!BA$9+Source_Data!BA$10*IF(Source_Data!$C$10=0,0,MAX(0,Inputs!$B$19*Inputs!$B$22*$B$185-Inputs!$B$20)/Source_Data!$C$10)</f>
        <v>0</v>
      </c>
      <c r="BB193" s="33" t="n">
        <f aca="false">Source_Data!BB$9+Source_Data!BB$10*IF(Source_Data!$C$10=0,0,MAX(0,Inputs!$B$19*Inputs!$B$22*$B$185-Inputs!$B$20)/Source_Data!$C$10)</f>
        <v>0</v>
      </c>
      <c r="BC193" s="33" t="n">
        <f aca="false">Source_Data!BC$9+Source_Data!BC$10*IF(Source_Data!$C$10=0,0,MAX(0,Inputs!$B$19*Inputs!$B$22*$B$185-Inputs!$B$20)/Source_Data!$C$10)</f>
        <v>0</v>
      </c>
      <c r="BD193" s="33" t="n">
        <f aca="false">Source_Data!BD$9+Source_Data!BD$10*IF(Source_Data!$C$10=0,0,MAX(0,Inputs!$B$19*Inputs!$B$22*$B$185-Inputs!$B$20)/Source_Data!$C$10)</f>
        <v>0</v>
      </c>
      <c r="BE193" s="33" t="n">
        <f aca="false">Source_Data!BE$9+Source_Data!BE$10*IF(Source_Data!$C$10=0,0,MAX(0,Inputs!$B$19*Inputs!$B$22*$B$185-Inputs!$B$20)/Source_Data!$C$10)</f>
        <v>0</v>
      </c>
      <c r="BF193" s="33" t="n">
        <f aca="false">Source_Data!BF$9+Source_Data!BF$10*IF(Source_Data!$C$10=0,0,MAX(0,Inputs!$B$19*Inputs!$B$22*$B$185-Inputs!$B$20)/Source_Data!$C$10)</f>
        <v>0</v>
      </c>
      <c r="BG193" s="33" t="n">
        <f aca="false">Source_Data!BG$9+Source_Data!BG$10*IF(Source_Data!$C$10=0,0,MAX(0,Inputs!$B$19*Inputs!$B$22*$B$185-Inputs!$B$20)/Source_Data!$C$10)</f>
        <v>0</v>
      </c>
      <c r="BH193" s="33" t="n">
        <f aca="false">Source_Data!BH$9+Source_Data!BH$10*IF(Source_Data!$C$10=0,0,MAX(0,Inputs!$B$19*Inputs!$B$22*$B$185-Inputs!$B$20)/Source_Data!$C$10)</f>
        <v>0</v>
      </c>
      <c r="BI193" s="33" t="n">
        <f aca="false">Source_Data!BI$9+Source_Data!BI$10*IF(Source_Data!$C$10=0,0,MAX(0,Inputs!$B$19*Inputs!$B$22*$B$185-Inputs!$B$20)/Source_Data!$C$10)</f>
        <v>0</v>
      </c>
      <c r="BJ193" s="33" t="n">
        <f aca="false">Source_Data!BJ$9+Source_Data!BJ$10*IF(Source_Data!$C$10=0,0,MAX(0,Inputs!$B$19*Inputs!$B$22*$B$185-Inputs!$B$20)/Source_Data!$C$10)</f>
        <v>0</v>
      </c>
      <c r="BK193" s="33" t="n">
        <f aca="false">Source_Data!BK$9+Source_Data!BK$10*IF(Source_Data!$C$10=0,0,MAX(0,Inputs!$B$19*Inputs!$B$22*$B$185-Inputs!$B$20)/Source_Data!$C$10)</f>
        <v>0</v>
      </c>
    </row>
    <row r="194" customFormat="false" ht="15" hidden="false" customHeight="false" outlineLevel="0" collapsed="false">
      <c r="A194" s="3" t="s">
        <v>194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20</v>
      </c>
      <c r="I194" s="33" t="n">
        <f aca="false">Source_Data!I$11*$B$187</f>
        <v>26.4</v>
      </c>
      <c r="J194" s="33" t="n">
        <f aca="false">Source_Data!J$11*$B$187</f>
        <v>40</v>
      </c>
      <c r="K194" s="33" t="n">
        <f aca="false">Source_Data!K$11*$B$187</f>
        <v>26.4</v>
      </c>
      <c r="L194" s="33" t="n">
        <f aca="false">Source_Data!L$11*$B$187</f>
        <v>26.4</v>
      </c>
      <c r="M194" s="33" t="n">
        <f aca="false">Source_Data!M$11*$B$187</f>
        <v>26.4</v>
      </c>
      <c r="N194" s="33" t="n">
        <f aca="false">Source_Data!N$11*$B$187</f>
        <v>5.28</v>
      </c>
      <c r="O194" s="33" t="n">
        <f aca="false">Source_Data!O$11*$B$187</f>
        <v>5.28</v>
      </c>
      <c r="P194" s="33" t="n">
        <f aca="false">Source_Data!P$11*$B$187</f>
        <v>120</v>
      </c>
      <c r="Q194" s="33" t="n">
        <f aca="false">Source_Data!Q$11*$B$187</f>
        <v>120</v>
      </c>
      <c r="R194" s="33" t="n">
        <f aca="false">Source_Data!R$11*$B$187</f>
        <v>164</v>
      </c>
      <c r="S194" s="33" t="n">
        <f aca="false">Source_Data!S$11*$B$187</f>
        <v>117</v>
      </c>
      <c r="T194" s="33" t="n">
        <f aca="false">Source_Data!T$11*$B$187</f>
        <v>0</v>
      </c>
      <c r="U194" s="33" t="n">
        <f aca="false">Source_Data!U$11*$B$187</f>
        <v>0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196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0</v>
      </c>
      <c r="K195" s="33" t="n">
        <f aca="false">$B$185*IF(Source_Data!K$5-$B$186&gt;=1,INDEX(Source_Data!$D$12:$BK$12,1,Source_Data!K$5-$B$186),0)</f>
        <v>0</v>
      </c>
      <c r="L195" s="33" t="n">
        <f aca="false">$B$185*IF(Source_Data!L$5-$B$186&gt;=1,INDEX(Source_Data!$D$12:$BK$12,1,Source_Data!L$5-$B$186),0)</f>
        <v>0</v>
      </c>
      <c r="M195" s="33" t="n">
        <f aca="false">$B$185*IF(Source_Data!M$5-$B$186&gt;=1,INDEX(Source_Data!$D$12:$BK$12,1,Source_Data!M$5-$B$186),0)</f>
        <v>0</v>
      </c>
      <c r="N195" s="33" t="n">
        <f aca="false">$B$185*IF(Source_Data!N$5-$B$186&gt;=1,INDEX(Source_Data!$D$12:$BK$12,1,Source_Data!N$5-$B$186),0)</f>
        <v>12.11139</v>
      </c>
      <c r="O195" s="33" t="n">
        <f aca="false">$B$185*IF(Source_Data!O$5-$B$186&gt;=1,INDEX(Source_Data!$D$12:$BK$12,1,Source_Data!O$5-$B$186),0)</f>
        <v>12.11139</v>
      </c>
      <c r="P195" s="33" t="n">
        <f aca="false">$B$185*IF(Source_Data!P$5-$B$186&gt;=1,INDEX(Source_Data!$D$12:$BK$12,1,Source_Data!P$5-$B$186),0)</f>
        <v>9.52126</v>
      </c>
      <c r="Q195" s="33" t="n">
        <f aca="false">$B$185*IF(Source_Data!Q$5-$B$186&gt;=1,INDEX(Source_Data!$D$12:$BK$12,1,Source_Data!Q$5-$B$186),0)</f>
        <v>9.52126</v>
      </c>
      <c r="R195" s="33" t="n">
        <f aca="false">$B$185*IF(Source_Data!R$5-$B$186&gt;=1,INDEX(Source_Data!$D$12:$BK$12,1,Source_Data!R$5-$B$186),0)</f>
        <v>6.98901</v>
      </c>
      <c r="S195" s="33" t="n">
        <f aca="false">$B$185*IF(Source_Data!S$5-$B$186&gt;=1,INDEX(Source_Data!$D$12:$BK$12,1,Source_Data!S$5-$B$186),0)</f>
        <v>6.98901</v>
      </c>
      <c r="T195" s="33" t="n">
        <f aca="false">$B$185*IF(Source_Data!T$5-$B$186&gt;=1,INDEX(Source_Data!$D$12:$BK$12,1,Source_Data!T$5-$B$186),0)</f>
        <v>7.69804</v>
      </c>
      <c r="U195" s="33" t="n">
        <f aca="false">$B$185*IF(Source_Data!U$5-$B$186&gt;=1,INDEX(Source_Data!$D$12:$BK$12,1,Source_Data!U$5-$B$186),0)</f>
        <v>9.2608</v>
      </c>
      <c r="V195" s="33" t="n">
        <f aca="false">$B$185*IF(Source_Data!V$5-$B$186&gt;=1,INDEX(Source_Data!$D$12:$BK$12,1,Source_Data!V$5-$B$186),0)</f>
        <v>9.2608</v>
      </c>
      <c r="W195" s="33" t="n">
        <f aca="false">$B$185*IF(Source_Data!W$5-$B$186&gt;=1,INDEX(Source_Data!$D$12:$BK$12,1,Source_Data!W$5-$B$186),0)</f>
        <v>6.6562</v>
      </c>
      <c r="X195" s="33" t="n">
        <f aca="false">$B$185*IF(Source_Data!X$5-$B$186&gt;=1,INDEX(Source_Data!$D$12:$BK$12,1,Source_Data!X$5-$B$186),0)</f>
        <v>0</v>
      </c>
      <c r="Y195" s="33" t="n">
        <f aca="false">$B$185*IF(Source_Data!Y$5-$B$186&gt;=1,INDEX(Source_Data!$D$12:$BK$12,1,Source_Data!Y$5-$B$186),0)</f>
        <v>0</v>
      </c>
      <c r="Z195" s="33" t="n">
        <f aca="false">$B$185*IF(Source_Data!Z$5-$B$186&gt;=1,INDEX(Source_Data!$D$12:$BK$12,1,Source_Data!Z$5-$B$186),0)</f>
        <v>0</v>
      </c>
      <c r="AA195" s="33" t="n">
        <f aca="false">$B$185*IF(Source_Data!AA$5-$B$186&gt;=1,INDEX(Source_Data!$D$12:$BK$12,1,Source_Data!AA$5-$B$186),0)</f>
        <v>0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215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3</v>
      </c>
      <c r="I196" s="33" t="n">
        <f aca="false">Source_Data!I$13*$B$187</f>
        <v>3.96</v>
      </c>
      <c r="J196" s="33" t="n">
        <f aca="false">Source_Data!J$13*$B$187</f>
        <v>6</v>
      </c>
      <c r="K196" s="33" t="n">
        <f aca="false">Source_Data!K$13*$B$187</f>
        <v>3.96</v>
      </c>
      <c r="L196" s="33" t="n">
        <f aca="false">Source_Data!L$13*$B$187</f>
        <v>3.96</v>
      </c>
      <c r="M196" s="33" t="n">
        <f aca="false">Source_Data!M$13*$B$187</f>
        <v>3.96</v>
      </c>
      <c r="N196" s="33" t="n">
        <f aca="false">Source_Data!N$13*$B$187</f>
        <v>0.792</v>
      </c>
      <c r="O196" s="33" t="n">
        <f aca="false">Source_Data!O$13*$B$187</f>
        <v>0.792</v>
      </c>
      <c r="P196" s="33" t="n">
        <f aca="false">Source_Data!P$13*$B$187</f>
        <v>18</v>
      </c>
      <c r="Q196" s="33" t="n">
        <f aca="false">Source_Data!Q$13*$B$187</f>
        <v>18</v>
      </c>
      <c r="R196" s="33" t="n">
        <f aca="false">Source_Data!R$13*$B$187</f>
        <v>24.6</v>
      </c>
      <c r="S196" s="33" t="n">
        <f aca="false">Source_Data!S$13*$B$187</f>
        <v>17.55</v>
      </c>
      <c r="T196" s="33" t="n">
        <f aca="false">Source_Data!T$13*$B$187</f>
        <v>0</v>
      </c>
      <c r="U196" s="33" t="n">
        <f aca="false">Source_Data!U$13*$B$187</f>
        <v>0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216</v>
      </c>
      <c r="D197" s="33" t="n">
        <f aca="false">D192-D193-D194-D195-D196</f>
        <v>-91.25</v>
      </c>
      <c r="E197" s="33" t="n">
        <f aca="false">E192-E193-E194-E195-E196</f>
        <v>-11.25</v>
      </c>
      <c r="F197" s="33" t="n">
        <f aca="false">F192-F193-F194-F195-F196</f>
        <v>-11.25</v>
      </c>
      <c r="G197" s="33" t="n">
        <f aca="false">G192-G193-G194-G195-G196</f>
        <v>-11.25</v>
      </c>
      <c r="H197" s="33" t="n">
        <f aca="false">H192-H193-H194-H195-H196</f>
        <v>-45.5</v>
      </c>
      <c r="I197" s="33" t="n">
        <f aca="false">I192-I193-I194-I195-I196</f>
        <v>-52.86</v>
      </c>
      <c r="J197" s="33" t="n">
        <f aca="false">J192-J193-J194-J195-J196</f>
        <v>-53.3607625</v>
      </c>
      <c r="K197" s="33" t="n">
        <f aca="false">K192-K193-K194-K195-K196</f>
        <v>-22.581525</v>
      </c>
      <c r="L197" s="33" t="n">
        <f aca="false">L192-L193-L194-L195-L196</f>
        <v>-17.59799375</v>
      </c>
      <c r="M197" s="33" t="n">
        <f aca="false">M192-M193-M194-M195-M196</f>
        <v>-1.3644625</v>
      </c>
      <c r="N197" s="33" t="n">
        <f aca="false">N192-N193-N194-N195-N196</f>
        <v>10.43231</v>
      </c>
      <c r="O197" s="33" t="n">
        <f aca="false">O192-O193-O194-O195-O196</f>
        <v>11.540169375</v>
      </c>
      <c r="P197" s="33" t="n">
        <f aca="false">P192-P193-P194-P195-P196</f>
        <v>-112.1924115625</v>
      </c>
      <c r="Q197" s="33" t="n">
        <f aca="false">Q192-Q193-Q194-Q195-Q196</f>
        <v>302.7325775</v>
      </c>
      <c r="R197" s="33" t="n">
        <f aca="false">R192-R193-R194-R195-R196</f>
        <v>-55.01126</v>
      </c>
      <c r="S197" s="33" t="n">
        <f aca="false">S192-S193-S194-S195-S196</f>
        <v>-10.00501</v>
      </c>
      <c r="T197" s="33" t="n">
        <f aca="false">T192-T193-T194-T195-T196</f>
        <v>44.61271</v>
      </c>
      <c r="U197" s="33" t="n">
        <f aca="false">U192-U193-U194-U195-U196</f>
        <v>17.04916875</v>
      </c>
      <c r="V197" s="33" t="n">
        <f aca="false">V192-V193-V194-V195-V196</f>
        <v>17.04916875</v>
      </c>
      <c r="W197" s="33" t="n">
        <f aca="false">W192-W193-W194-W195-W196</f>
        <v>16.380835625</v>
      </c>
      <c r="X197" s="33" t="n">
        <f aca="false">X192-X193-X194-X195-X196</f>
        <v>38.7266396875</v>
      </c>
      <c r="Y197" s="33" t="n">
        <f aca="false">Y192-Y193-Y194-Y195-Y196</f>
        <v>37.2127159375</v>
      </c>
      <c r="Z197" s="33" t="n">
        <f aca="false">Z192-Z193-Z194-Z195-Z196</f>
        <v>31.2239446875</v>
      </c>
      <c r="AA197" s="33" t="n">
        <f aca="false">AA192-AA193-AA194-AA195-AA196</f>
        <v>26.8829446875</v>
      </c>
      <c r="AB197" s="33" t="n">
        <f aca="false">AB192-AB193-AB194-AB195-AB196</f>
        <v>49.3829446875</v>
      </c>
      <c r="AC197" s="33" t="n">
        <f aca="false">AC192-AC193-AC194-AC195-AC196</f>
        <v>42.1027259375</v>
      </c>
      <c r="AD197" s="33" t="n">
        <f aca="false">AD192-AD193-AD194-AD195-AD196</f>
        <v>42.1027259375</v>
      </c>
      <c r="AE197" s="33" t="n">
        <f aca="false">AE192-AE193-AE194-AE195-AE196</f>
        <v>42.1027259375</v>
      </c>
      <c r="AF197" s="33" t="n">
        <f aca="false">AF192-AF193-AF194-AF195-AF196</f>
        <v>-71.4434844140625</v>
      </c>
      <c r="AG197" s="33" t="n">
        <f aca="false">AG192-AG193-AG194-AG195-AG196</f>
        <v>22.062115078125</v>
      </c>
      <c r="AH197" s="33" t="n">
        <f aca="false">AH192-AH193-AH194-AH195-AH196</f>
        <v>18.453658828125</v>
      </c>
      <c r="AI197" s="33" t="n">
        <f aca="false">AI192-AI193-AI194-AI195-AI196</f>
        <v>14.112658828125</v>
      </c>
      <c r="AJ197" s="33" t="n">
        <f aca="false">AJ192-AJ193-AJ194-AJ195-AJ196</f>
        <v>14.112658828125</v>
      </c>
      <c r="AK197" s="33" t="n">
        <f aca="false">AK192-AK193-AK194-AK195-AK196</f>
        <v>15.0681875390625</v>
      </c>
      <c r="AL197" s="33" t="n">
        <f aca="false">AL192-AL193-AL194-AL195-AL196</f>
        <v>15.0681875390625</v>
      </c>
      <c r="AM197" s="33" t="n">
        <f aca="false">AM192-AM193-AM194-AM195-AM196</f>
        <v>16.8906162109375</v>
      </c>
      <c r="AN197" s="33" t="n">
        <f aca="false">AN192-AN193-AN194-AN195-AN196</f>
        <v>20.87772296875</v>
      </c>
      <c r="AO197" s="33" t="n">
        <f aca="false">AO192-AO193-AO194-AO195-AO196</f>
        <v>21.34302390625</v>
      </c>
      <c r="AP197" s="33" t="n">
        <f aca="false">AP192-AP193-AP194-AP195-AP196</f>
        <v>22.905105625</v>
      </c>
      <c r="AQ197" s="33" t="n">
        <f aca="false">AQ192-AQ193-AQ194-AQ195-AQ196</f>
        <v>18.739554375</v>
      </c>
      <c r="AR197" s="33" t="n">
        <f aca="false">AR192-AR193-AR194-AR195-AR196</f>
        <v>9.6261675</v>
      </c>
      <c r="AS197" s="33" t="n">
        <f aca="false">AS192-AS193-AS194-AS195-AS196</f>
        <v>3.5704725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217</v>
      </c>
      <c r="D198" s="33" t="n">
        <f aca="false">D197</f>
        <v>-91.25</v>
      </c>
      <c r="E198" s="33" t="n">
        <f aca="false">D198+E197</f>
        <v>-102.5</v>
      </c>
      <c r="F198" s="33" t="n">
        <f aca="false">E198+F197</f>
        <v>-113.75</v>
      </c>
      <c r="G198" s="33" t="n">
        <f aca="false">F198+G197</f>
        <v>-125</v>
      </c>
      <c r="H198" s="33" t="n">
        <f aca="false">G198+H197</f>
        <v>-170.5</v>
      </c>
      <c r="I198" s="33" t="n">
        <f aca="false">H198+I197</f>
        <v>-223.36</v>
      </c>
      <c r="J198" s="33" t="n">
        <f aca="false">I198+J197</f>
        <v>-276.7207625</v>
      </c>
      <c r="K198" s="33" t="n">
        <f aca="false">J198+K197</f>
        <v>-299.3022875</v>
      </c>
      <c r="L198" s="33" t="n">
        <f aca="false">K198+L197</f>
        <v>-316.90028125</v>
      </c>
      <c r="M198" s="33" t="n">
        <f aca="false">L198+M197</f>
        <v>-318.26474375</v>
      </c>
      <c r="N198" s="33" t="n">
        <f aca="false">M198+N197</f>
        <v>-307.83243375</v>
      </c>
      <c r="O198" s="33" t="n">
        <f aca="false">N198+O197</f>
        <v>-296.292264375</v>
      </c>
      <c r="P198" s="33" t="n">
        <f aca="false">O198+P197</f>
        <v>-408.4846759375</v>
      </c>
      <c r="Q198" s="33" t="n">
        <f aca="false">P198+Q197</f>
        <v>-105.7520984375</v>
      </c>
      <c r="R198" s="33" t="n">
        <f aca="false">Q198+R197</f>
        <v>-160.7633584375</v>
      </c>
      <c r="S198" s="33" t="n">
        <f aca="false">R198+S197</f>
        <v>-170.7683684375</v>
      </c>
      <c r="T198" s="33" t="n">
        <f aca="false">S198+T197</f>
        <v>-126.1556584375</v>
      </c>
      <c r="U198" s="33" t="n">
        <f aca="false">T198+U197</f>
        <v>-109.1064896875</v>
      </c>
      <c r="V198" s="33" t="n">
        <f aca="false">U198+V197</f>
        <v>-92.0573209375</v>
      </c>
      <c r="W198" s="33" t="n">
        <f aca="false">V198+W197</f>
        <v>-75.6764853125001</v>
      </c>
      <c r="X198" s="33" t="n">
        <f aca="false">W198+X197</f>
        <v>-36.9498456250001</v>
      </c>
      <c r="Y198" s="33" t="n">
        <f aca="false">X198+Y197</f>
        <v>0.262870312499949</v>
      </c>
      <c r="Z198" s="33" t="n">
        <f aca="false">Y198+Z197</f>
        <v>31.486815</v>
      </c>
      <c r="AA198" s="33" t="n">
        <f aca="false">Z198+AA197</f>
        <v>58.3697596875</v>
      </c>
      <c r="AB198" s="33" t="n">
        <f aca="false">AA198+AB197</f>
        <v>107.752704375</v>
      </c>
      <c r="AC198" s="33" t="n">
        <f aca="false">AB198+AC197</f>
        <v>149.8554303125</v>
      </c>
      <c r="AD198" s="33" t="n">
        <f aca="false">AC198+AD197</f>
        <v>191.95815625</v>
      </c>
      <c r="AE198" s="33" t="n">
        <f aca="false">AD198+AE197</f>
        <v>234.0608821875</v>
      </c>
      <c r="AF198" s="33" t="n">
        <f aca="false">AE198+AF197</f>
        <v>162.617397773437</v>
      </c>
      <c r="AG198" s="33" t="n">
        <f aca="false">AF198+AG197</f>
        <v>184.679512851562</v>
      </c>
      <c r="AH198" s="33" t="n">
        <f aca="false">AG198+AH197</f>
        <v>203.133171679687</v>
      </c>
      <c r="AI198" s="33" t="n">
        <f aca="false">AH198+AI197</f>
        <v>217.245830507812</v>
      </c>
      <c r="AJ198" s="33" t="n">
        <f aca="false">AI198+AJ197</f>
        <v>231.358489335937</v>
      </c>
      <c r="AK198" s="33" t="n">
        <f aca="false">AJ198+AK197</f>
        <v>246.426676875</v>
      </c>
      <c r="AL198" s="33" t="n">
        <f aca="false">AK198+AL197</f>
        <v>261.494864414063</v>
      </c>
      <c r="AM198" s="33" t="n">
        <f aca="false">AL198+AM197</f>
        <v>278.385480625</v>
      </c>
      <c r="AN198" s="33" t="n">
        <f aca="false">AM198+AN197</f>
        <v>299.26320359375</v>
      </c>
      <c r="AO198" s="33" t="n">
        <f aca="false">AN198+AO197</f>
        <v>320.6062275</v>
      </c>
      <c r="AP198" s="33" t="n">
        <f aca="false">AO198+AP197</f>
        <v>343.511333125</v>
      </c>
      <c r="AQ198" s="33" t="n">
        <f aca="false">AP198+AQ197</f>
        <v>362.2508875</v>
      </c>
      <c r="AR198" s="33" t="n">
        <f aca="false">AQ198+AR197</f>
        <v>371.877055</v>
      </c>
      <c r="AS198" s="33" t="n">
        <f aca="false">AR198+AS197</f>
        <v>375.4475275</v>
      </c>
      <c r="AT198" s="33" t="n">
        <f aca="false">AS198+AT197</f>
        <v>375.4475275</v>
      </c>
      <c r="AU198" s="33" t="n">
        <f aca="false">AT198+AU197</f>
        <v>375.4475275</v>
      </c>
      <c r="AV198" s="33" t="n">
        <f aca="false">AU198+AV197</f>
        <v>375.4475275</v>
      </c>
      <c r="AW198" s="33" t="n">
        <f aca="false">AV198+AW197</f>
        <v>375.4475275</v>
      </c>
      <c r="AX198" s="33" t="n">
        <f aca="false">AW198+AX197</f>
        <v>375.4475275</v>
      </c>
      <c r="AY198" s="33" t="n">
        <f aca="false">AX198+AY197</f>
        <v>375.4475275</v>
      </c>
      <c r="AZ198" s="33" t="n">
        <f aca="false">AY198+AZ197</f>
        <v>375.4475275</v>
      </c>
      <c r="BA198" s="33" t="n">
        <f aca="false">AZ198+BA197</f>
        <v>375.4475275</v>
      </c>
      <c r="BB198" s="33" t="n">
        <f aca="false">BA198+BB197</f>
        <v>375.4475275</v>
      </c>
      <c r="BC198" s="33" t="n">
        <f aca="false">BB198+BC197</f>
        <v>375.4475275</v>
      </c>
      <c r="BD198" s="33" t="n">
        <f aca="false">BC198+BD197</f>
        <v>375.4475275</v>
      </c>
      <c r="BE198" s="33" t="n">
        <f aca="false">BD198+BE197</f>
        <v>375.4475275</v>
      </c>
      <c r="BF198" s="33" t="n">
        <f aca="false">BE198+BF197</f>
        <v>375.4475275</v>
      </c>
      <c r="BG198" s="33" t="n">
        <f aca="false">BF198+BG197</f>
        <v>375.4475275</v>
      </c>
      <c r="BH198" s="33" t="n">
        <f aca="false">BG198+BH197</f>
        <v>375.4475275</v>
      </c>
      <c r="BI198" s="33" t="n">
        <f aca="false">BH198+BI197</f>
        <v>375.4475275</v>
      </c>
      <c r="BJ198" s="33" t="n">
        <f aca="false">BI198+BJ197</f>
        <v>375.4475275</v>
      </c>
      <c r="BK198" s="33" t="n">
        <f aca="false">BJ198+BK197</f>
        <v>375.4475275</v>
      </c>
    </row>
    <row r="199" customFormat="false" ht="15" hidden="false" customHeight="false" outlineLevel="0" collapsed="false">
      <c r="A199" s="3" t="s">
        <v>340</v>
      </c>
      <c r="D199" s="33" t="n">
        <f aca="false">IF(Source_Data!D$6=Inputs!$B$12,-Inputs!$B$7,0)+IF(AND(Source_Data!D$6&gt;=$B$190,Source_Data!D$6&lt;$B$190+3*Inputs!$B$16,MOD(Source_Data!D$6-$B$190,3)=0),Inputs!$B$8*Inputs!$B$7*Inputs!$B$34*$B$185*(1-Inputs!$B$15)/Inputs!$B$16,0)</f>
        <v>-100</v>
      </c>
      <c r="E199" s="33" t="n">
        <f aca="false">IF(Source_Data!E$6=Inputs!$B$12,-Inputs!$B$7,0)+IF(AND(Source_Data!E$6&gt;=$B$190,Source_Data!E$6&lt;$B$190+3*Inputs!$B$16,MOD(Source_Data!E$6-$B$190,3)=0),Inputs!$B$8*Inputs!$B$7*Inputs!$B$34*$B$185*(1-Inputs!$B$15)/Inputs!$B$16,0)</f>
        <v>0</v>
      </c>
      <c r="F199" s="33" t="n">
        <f aca="false">IF(Source_Data!F$6=Inputs!$B$12,-Inputs!$B$7,0)+IF(AND(Source_Data!F$6&gt;=$B$190,Source_Data!F$6&lt;$B$190+3*Inputs!$B$16,MOD(Source_Data!F$6-$B$190,3)=0),Inputs!$B$8*Inputs!$B$7*Inputs!$B$34*$B$185*(1-Inputs!$B$15)/Inputs!$B$16,0)</f>
        <v>0</v>
      </c>
      <c r="G199" s="33" t="n">
        <f aca="false">IF(Source_Data!G$6=Inputs!$B$12,-Inputs!$B$7,0)+IF(AND(Source_Data!G$6&gt;=$B$190,Source_Data!G$6&lt;$B$190+3*Inputs!$B$16,MOD(Source_Data!G$6-$B$190,3)=0),Inputs!$B$8*Inputs!$B$7*Inputs!$B$34*$B$185*(1-Inputs!$B$15)/Inputs!$B$16,0)</f>
        <v>0</v>
      </c>
      <c r="H199" s="33" t="n">
        <f aca="false">IF(Source_Data!H$6=Inputs!$B$12,-Inputs!$B$7,0)+IF(AND(Source_Data!H$6&gt;=$B$190,Source_Data!H$6&lt;$B$190+3*Inputs!$B$16,MOD(Source_Data!H$6-$B$190,3)=0),Inputs!$B$8*Inputs!$B$7*Inputs!$B$34*$B$185*(1-Inputs!$B$15)/Inputs!$B$16,0)</f>
        <v>0</v>
      </c>
      <c r="I199" s="33" t="n">
        <f aca="false">IF(Source_Data!I$6=Inputs!$B$12,-Inputs!$B$7,0)+IF(AND(Source_Data!I$6&gt;=$B$190,Source_Data!I$6&lt;$B$190+3*Inputs!$B$16,MOD(Source_Data!I$6-$B$190,3)=0),Inputs!$B$8*Inputs!$B$7*Inputs!$B$34*$B$185*(1-Inputs!$B$15)/Inputs!$B$16,0)</f>
        <v>0</v>
      </c>
      <c r="J199" s="33" t="n">
        <f aca="false">IF(Source_Data!J$6=Inputs!$B$12,-Inputs!$B$7,0)+IF(AND(Source_Data!J$6&gt;=$B$190,Source_Data!J$6&lt;$B$190+3*Inputs!$B$16,MOD(Source_Data!J$6-$B$190,3)=0),Inputs!$B$8*Inputs!$B$7*Inputs!$B$34*$B$185*(1-Inputs!$B$15)/Inputs!$B$16,0)</f>
        <v>0</v>
      </c>
      <c r="K199" s="33" t="n">
        <f aca="false">IF(Source_Data!K$6=Inputs!$B$12,-Inputs!$B$7,0)+IF(AND(Source_Data!K$6&gt;=$B$190,Source_Data!K$6&lt;$B$190+3*Inputs!$B$16,MOD(Source_Data!K$6-$B$190,3)=0),Inputs!$B$8*Inputs!$B$7*Inputs!$B$34*$B$185*(1-Inputs!$B$15)/Inputs!$B$16,0)</f>
        <v>0</v>
      </c>
      <c r="L199" s="33" t="n">
        <f aca="false">IF(Source_Data!L$6=Inputs!$B$12,-Inputs!$B$7,0)+IF(AND(Source_Data!L$6&gt;=$B$190,Source_Data!L$6&lt;$B$190+3*Inputs!$B$16,MOD(Source_Data!L$6-$B$190,3)=0),Inputs!$B$8*Inputs!$B$7*Inputs!$B$34*$B$185*(1-Inputs!$B$15)/Inputs!$B$16,0)</f>
        <v>0</v>
      </c>
      <c r="M199" s="33" t="n">
        <f aca="false">IF(Source_Data!M$6=Inputs!$B$12,-Inputs!$B$7,0)+IF(AND(Source_Data!M$6&gt;=$B$190,Source_Data!M$6&lt;$B$190+3*Inputs!$B$16,MOD(Source_Data!M$6-$B$190,3)=0),Inputs!$B$8*Inputs!$B$7*Inputs!$B$34*$B$185*(1-Inputs!$B$15)/Inputs!$B$16,0)</f>
        <v>0</v>
      </c>
      <c r="N199" s="33" t="n">
        <f aca="false">IF(Source_Data!N$6=Inputs!$B$12,-Inputs!$B$7,0)+IF(AND(Source_Data!N$6&gt;=$B$190,Source_Data!N$6&lt;$B$190+3*Inputs!$B$16,MOD(Source_Data!N$6-$B$190,3)=0),Inputs!$B$8*Inputs!$B$7*Inputs!$B$34*$B$185*(1-Inputs!$B$15)/Inputs!$B$16,0)</f>
        <v>0</v>
      </c>
      <c r="O199" s="33" t="n">
        <f aca="false">IF(Source_Data!O$6=Inputs!$B$12,-Inputs!$B$7,0)+IF(AND(Source_Data!O$6&gt;=$B$190,Source_Data!O$6&lt;$B$190+3*Inputs!$B$16,MOD(Source_Data!O$6-$B$190,3)=0),Inputs!$B$8*Inputs!$B$7*Inputs!$B$34*$B$185*(1-Inputs!$B$15)/Inputs!$B$16,0)</f>
        <v>0</v>
      </c>
      <c r="P199" s="33" t="n">
        <f aca="false">IF(Source_Data!P$6=Inputs!$B$12,-Inputs!$B$7,0)+IF(AND(Source_Data!P$6&gt;=$B$190,Source_Data!P$6&lt;$B$190+3*Inputs!$B$16,MOD(Source_Data!P$6-$B$190,3)=0),Inputs!$B$8*Inputs!$B$7*Inputs!$B$34*$B$185*(1-Inputs!$B$15)/Inputs!$B$16,0)</f>
        <v>0</v>
      </c>
      <c r="Q199" s="33" t="n">
        <f aca="false">IF(Source_Data!Q$6=Inputs!$B$12,-Inputs!$B$7,0)+IF(AND(Source_Data!Q$6&gt;=$B$190,Source_Data!Q$6&lt;$B$190+3*Inputs!$B$16,MOD(Source_Data!Q$6-$B$190,3)=0),Inputs!$B$8*Inputs!$B$7*Inputs!$B$34*$B$185*(1-Inputs!$B$15)/Inputs!$B$16,0)</f>
        <v>0</v>
      </c>
      <c r="R199" s="33" t="n">
        <f aca="false">IF(Source_Data!R$6=Inputs!$B$12,-Inputs!$B$7,0)+IF(AND(Source_Data!R$6&gt;=$B$190,Source_Data!R$6&lt;$B$190+3*Inputs!$B$16,MOD(Source_Data!R$6-$B$190,3)=0),Inputs!$B$8*Inputs!$B$7*Inputs!$B$34*$B$185*(1-Inputs!$B$15)/Inputs!$B$16,0)</f>
        <v>0</v>
      </c>
      <c r="S199" s="33" t="n">
        <f aca="false">IF(Source_Data!S$6=Inputs!$B$12,-Inputs!$B$7,0)+IF(AND(Source_Data!S$6&gt;=$B$190,Source_Data!S$6&lt;$B$190+3*Inputs!$B$16,MOD(Source_Data!S$6-$B$190,3)=0),Inputs!$B$8*Inputs!$B$7*Inputs!$B$34*$B$185*(1-Inputs!$B$15)/Inputs!$B$16,0)</f>
        <v>0</v>
      </c>
      <c r="T199" s="33" t="n">
        <f aca="false">IF(Source_Data!T$6=Inputs!$B$12,-Inputs!$B$7,0)+IF(AND(Source_Data!T$6&gt;=$B$190,Source_Data!T$6&lt;$B$190+3*Inputs!$B$16,MOD(Source_Data!T$6-$B$190,3)=0),Inputs!$B$8*Inputs!$B$7*Inputs!$B$34*$B$185*(1-Inputs!$B$15)/Inputs!$B$16,0)</f>
        <v>0</v>
      </c>
      <c r="U199" s="33" t="n">
        <f aca="false">IF(Source_Data!U$6=Inputs!$B$12,-Inputs!$B$7,0)+IF(AND(Source_Data!U$6&gt;=$B$190,Source_Data!U$6&lt;$B$190+3*Inputs!$B$16,MOD(Source_Data!U$6-$B$190,3)=0),Inputs!$B$8*Inputs!$B$7*Inputs!$B$34*$B$185*(1-Inputs!$B$15)/Inputs!$B$16,0)</f>
        <v>0</v>
      </c>
      <c r="V199" s="33" t="n">
        <f aca="false">IF(Source_Data!V$6=Inputs!$B$12,-Inputs!$B$7,0)+IF(AND(Source_Data!V$6&gt;=$B$190,Source_Data!V$6&lt;$B$190+3*Inputs!$B$16,MOD(Source_Data!V$6-$B$190,3)=0),Inputs!$B$8*Inputs!$B$7*Inputs!$B$34*$B$185*(1-Inputs!$B$15)/Inputs!$B$16,0)</f>
        <v>0</v>
      </c>
      <c r="W199" s="33" t="n">
        <f aca="false">IF(Source_Data!W$6=Inputs!$B$12,-Inputs!$B$7,0)+IF(AND(Source_Data!W$6&gt;=$B$190,Source_Data!W$6&lt;$B$190+3*Inputs!$B$16,MOD(Source_Data!W$6-$B$190,3)=0),Inputs!$B$8*Inputs!$B$7*Inputs!$B$34*$B$185*(1-Inputs!$B$15)/Inputs!$B$16,0)</f>
        <v>0</v>
      </c>
      <c r="X199" s="33" t="n">
        <f aca="false">IF(Source_Data!X$6=Inputs!$B$12,-Inputs!$B$7,0)+IF(AND(Source_Data!X$6&gt;=$B$190,Source_Data!X$6&lt;$B$190+3*Inputs!$B$16,MOD(Source_Data!X$6-$B$190,3)=0),Inputs!$B$8*Inputs!$B$7*Inputs!$B$34*$B$185*(1-Inputs!$B$15)/Inputs!$B$16,0)</f>
        <v>69.5340501792115</v>
      </c>
      <c r="Y199" s="33" t="n">
        <f aca="false">IF(Source_Data!Y$6=Inputs!$B$12,-Inputs!$B$7,0)+IF(AND(Source_Data!Y$6&gt;=$B$190,Source_Data!Y$6&lt;$B$190+3*Inputs!$B$16,MOD(Source_Data!Y$6-$B$190,3)=0),Inputs!$B$8*Inputs!$B$7*Inputs!$B$34*$B$185*(1-Inputs!$B$15)/Inputs!$B$16,0)</f>
        <v>69.5340501792115</v>
      </c>
      <c r="Z199" s="33" t="n">
        <f aca="false">IF(Source_Data!Z$6=Inputs!$B$12,-Inputs!$B$7,0)+IF(AND(Source_Data!Z$6&gt;=$B$190,Source_Data!Z$6&lt;$B$190+3*Inputs!$B$16,MOD(Source_Data!Z$6-$B$190,3)=0),Inputs!$B$8*Inputs!$B$7*Inputs!$B$34*$B$185*(1-Inputs!$B$15)/Inputs!$B$16,0)</f>
        <v>69.5340501792115</v>
      </c>
      <c r="AA199" s="33" t="n">
        <f aca="false">IF(Source_Data!AA$6=Inputs!$B$12,-Inputs!$B$7,0)+IF(AND(Source_Data!AA$6&gt;=$B$190,Source_Data!AA$6&lt;$B$190+3*Inputs!$B$16,MOD(Source_Data!AA$6-$B$190,3)=0),Inputs!$B$8*Inputs!$B$7*Inputs!$B$34*$B$185*(1-Inputs!$B$15)/Inputs!$B$16,0)</f>
        <v>69.5340501792115</v>
      </c>
      <c r="AB199" s="33" t="n">
        <f aca="false">IF(Source_Data!AB$6=Inputs!$B$12,-Inputs!$B$7,0)+IF(AND(Source_Data!AB$6&gt;=$B$190,Source_Data!AB$6&lt;$B$190+3*Inputs!$B$16,MOD(Source_Data!AB$6-$B$190,3)=0),Inputs!$B$8*Inputs!$B$7*Inputs!$B$34*$B$185*(1-Inputs!$B$15)/Inputs!$B$16,0)</f>
        <v>0</v>
      </c>
      <c r="AC199" s="33" t="n">
        <f aca="false">IF(Source_Data!AC$6=Inputs!$B$12,-Inputs!$B$7,0)+IF(AND(Source_Data!AC$6&gt;=$B$190,Source_Data!AC$6&lt;$B$190+3*Inputs!$B$16,MOD(Source_Data!AC$6-$B$190,3)=0),Inputs!$B$8*Inputs!$B$7*Inputs!$B$34*$B$185*(1-Inputs!$B$15)/Inputs!$B$16,0)</f>
        <v>0</v>
      </c>
      <c r="AD199" s="33" t="n">
        <f aca="false">IF(Source_Data!AD$6=Inputs!$B$12,-Inputs!$B$7,0)+IF(AND(Source_Data!AD$6&gt;=$B$190,Source_Data!AD$6&lt;$B$190+3*Inputs!$B$16,MOD(Source_Data!AD$6-$B$190,3)=0),Inputs!$B$8*Inputs!$B$7*Inputs!$B$34*$B$185*(1-Inputs!$B$15)/Inputs!$B$16,0)</f>
        <v>0</v>
      </c>
      <c r="AE199" s="33" t="n">
        <f aca="false">IF(Source_Data!AE$6=Inputs!$B$12,-Inputs!$B$7,0)+IF(AND(Source_Data!AE$6&gt;=$B$190,Source_Data!AE$6&lt;$B$190+3*Inputs!$B$16,MOD(Source_Data!AE$6-$B$190,3)=0),Inputs!$B$8*Inputs!$B$7*Inputs!$B$34*$B$185*(1-Inputs!$B$15)/Inputs!$B$16,0)</f>
        <v>0</v>
      </c>
      <c r="AF199" s="33" t="n">
        <f aca="false">IF(Source_Data!AF$6=Inputs!$B$12,-Inputs!$B$7,0)+IF(AND(Source_Data!AF$6&gt;=$B$190,Source_Data!AF$6&lt;$B$190+3*Inputs!$B$16,MOD(Source_Data!AF$6-$B$190,3)=0),Inputs!$B$8*Inputs!$B$7*Inputs!$B$34*$B$185*(1-Inputs!$B$15)/Inputs!$B$16,0)</f>
        <v>0</v>
      </c>
      <c r="AG199" s="33" t="n">
        <f aca="false">IF(Source_Data!AG$6=Inputs!$B$12,-Inputs!$B$7,0)+IF(AND(Source_Data!AG$6&gt;=$B$190,Source_Data!AG$6&lt;$B$190+3*Inputs!$B$16,MOD(Source_Data!AG$6-$B$190,3)=0),Inputs!$B$8*Inputs!$B$7*Inputs!$B$34*$B$185*(1-Inputs!$B$15)/Inputs!$B$16,0)</f>
        <v>0</v>
      </c>
      <c r="AH199" s="33" t="n">
        <f aca="false">IF(Source_Data!AH$6=Inputs!$B$12,-Inputs!$B$7,0)+IF(AND(Source_Data!AH$6&gt;=$B$190,Source_Data!AH$6&lt;$B$190+3*Inputs!$B$16,MOD(Source_Data!AH$6-$B$190,3)=0),Inputs!$B$8*Inputs!$B$7*Inputs!$B$34*$B$185*(1-Inputs!$B$15)/Inputs!$B$16,0)</f>
        <v>0</v>
      </c>
      <c r="AI199" s="33" t="n">
        <f aca="false">IF(Source_Data!AI$6=Inputs!$B$12,-Inputs!$B$7,0)+IF(AND(Source_Data!AI$6&gt;=$B$190,Source_Data!AI$6&lt;$B$190+3*Inputs!$B$16,MOD(Source_Data!AI$6-$B$190,3)=0),Inputs!$B$8*Inputs!$B$7*Inputs!$B$34*$B$185*(1-Inputs!$B$15)/Inputs!$B$16,0)</f>
        <v>0</v>
      </c>
      <c r="AJ199" s="33" t="n">
        <f aca="false">IF(Source_Data!AJ$6=Inputs!$B$12,-Inputs!$B$7,0)+IF(AND(Source_Data!AJ$6&gt;=$B$190,Source_Data!AJ$6&lt;$B$190+3*Inputs!$B$16,MOD(Source_Data!AJ$6-$B$190,3)=0),Inputs!$B$8*Inputs!$B$7*Inputs!$B$34*$B$185*(1-Inputs!$B$15)/Inputs!$B$16,0)</f>
        <v>0</v>
      </c>
      <c r="AK199" s="33" t="n">
        <f aca="false">IF(Source_Data!AK$6=Inputs!$B$12,-Inputs!$B$7,0)+IF(AND(Source_Data!AK$6&gt;=$B$190,Source_Data!AK$6&lt;$B$190+3*Inputs!$B$16,MOD(Source_Data!AK$6-$B$190,3)=0),Inputs!$B$8*Inputs!$B$7*Inputs!$B$34*$B$185*(1-Inputs!$B$15)/Inputs!$B$16,0)</f>
        <v>0</v>
      </c>
      <c r="AL199" s="33" t="n">
        <f aca="false">IF(Source_Data!AL$6=Inputs!$B$12,-Inputs!$B$7,0)+IF(AND(Source_Data!AL$6&gt;=$B$190,Source_Data!AL$6&lt;$B$190+3*Inputs!$B$16,MOD(Source_Data!AL$6-$B$190,3)=0),Inputs!$B$8*Inputs!$B$7*Inputs!$B$34*$B$185*(1-Inputs!$B$15)/Inputs!$B$16,0)</f>
        <v>0</v>
      </c>
      <c r="AM199" s="33" t="n">
        <f aca="false">IF(Source_Data!AM$6=Inputs!$B$12,-Inputs!$B$7,0)+IF(AND(Source_Data!AM$6&gt;=$B$190,Source_Data!AM$6&lt;$B$190+3*Inputs!$B$16,MOD(Source_Data!AM$6-$B$190,3)=0),Inputs!$B$8*Inputs!$B$7*Inputs!$B$34*$B$185*(1-Inputs!$B$15)/Inputs!$B$16,0)</f>
        <v>0</v>
      </c>
      <c r="AN199" s="33" t="n">
        <f aca="false">IF(Source_Data!AN$6=Inputs!$B$12,-Inputs!$B$7,0)+IF(AND(Source_Data!AN$6&gt;=$B$190,Source_Data!AN$6&lt;$B$190+3*Inputs!$B$16,MOD(Source_Data!AN$6-$B$190,3)=0),Inputs!$B$8*Inputs!$B$7*Inputs!$B$34*$B$185*(1-Inputs!$B$15)/Inputs!$B$16,0)</f>
        <v>0</v>
      </c>
      <c r="AO199" s="33" t="n">
        <f aca="false">IF(Source_Data!AO$6=Inputs!$B$12,-Inputs!$B$7,0)+IF(AND(Source_Data!AO$6&gt;=$B$190,Source_Data!AO$6&lt;$B$190+3*Inputs!$B$16,MOD(Source_Data!AO$6-$B$190,3)=0),Inputs!$B$8*Inputs!$B$7*Inputs!$B$34*$B$185*(1-Inputs!$B$15)/Inputs!$B$16,0)</f>
        <v>0</v>
      </c>
      <c r="AP199" s="33" t="n">
        <f aca="false">IF(Source_Data!AP$6=Inputs!$B$12,-Inputs!$B$7,0)+IF(AND(Source_Data!AP$6&gt;=$B$190,Source_Data!AP$6&lt;$B$190+3*Inputs!$B$16,MOD(Source_Data!AP$6-$B$190,3)=0),Inputs!$B$8*Inputs!$B$7*Inputs!$B$34*$B$185*(1-Inputs!$B$15)/Inputs!$B$16,0)</f>
        <v>0</v>
      </c>
      <c r="AQ199" s="33" t="n">
        <f aca="false">IF(Source_Data!AQ$6=Inputs!$B$12,-Inputs!$B$7,0)+IF(AND(Source_Data!AQ$6&gt;=$B$190,Source_Data!AQ$6&lt;$B$190+3*Inputs!$B$16,MOD(Source_Data!AQ$6-$B$190,3)=0),Inputs!$B$8*Inputs!$B$7*Inputs!$B$34*$B$185*(1-Inputs!$B$15)/Inputs!$B$16,0)</f>
        <v>0</v>
      </c>
      <c r="AR199" s="33" t="n">
        <f aca="false">IF(Source_Data!AR$6=Inputs!$B$12,-Inputs!$B$7,0)+IF(AND(Source_Data!AR$6&gt;=$B$190,Source_Data!AR$6&lt;$B$190+3*Inputs!$B$16,MOD(Source_Data!AR$6-$B$190,3)=0),Inputs!$B$8*Inputs!$B$7*Inputs!$B$34*$B$185*(1-Inputs!$B$15)/Inputs!$B$16,0)</f>
        <v>0</v>
      </c>
      <c r="AS199" s="33" t="n">
        <f aca="false">IF(Source_Data!AS$6=Inputs!$B$12,-Inputs!$B$7,0)+IF(AND(Source_Data!AS$6&gt;=$B$190,Source_Data!AS$6&lt;$B$190+3*Inputs!$B$16,MOD(Source_Data!AS$6-$B$190,3)=0),Inputs!$B$8*Inputs!$B$7*Inputs!$B$34*$B$185*(1-Inputs!$B$15)/Inputs!$B$16,0)</f>
        <v>0</v>
      </c>
      <c r="AT199" s="33" t="n">
        <f aca="false">IF(Source_Data!AT$6=Inputs!$B$12,-Inputs!$B$7,0)+IF(AND(Source_Data!AT$6&gt;=$B$190,Source_Data!AT$6&lt;$B$190+3*Inputs!$B$16,MOD(Source_Data!AT$6-$B$190,3)=0),Inputs!$B$8*Inputs!$B$7*Inputs!$B$34*$B$185*(1-Inputs!$B$15)/Inputs!$B$16,0)</f>
        <v>0</v>
      </c>
      <c r="AU199" s="33" t="n">
        <f aca="false">IF(Source_Data!AU$6=Inputs!$B$12,-Inputs!$B$7,0)+IF(AND(Source_Data!AU$6&gt;=$B$190,Source_Data!AU$6&lt;$B$190+3*Inputs!$B$16,MOD(Source_Data!AU$6-$B$190,3)=0),Inputs!$B$8*Inputs!$B$7*Inputs!$B$34*$B$185*(1-Inputs!$B$15)/Inputs!$B$16,0)</f>
        <v>0</v>
      </c>
      <c r="AV199" s="33" t="n">
        <f aca="false">IF(Source_Data!AV$6=Inputs!$B$12,-Inputs!$B$7,0)+IF(AND(Source_Data!AV$6&gt;=$B$190,Source_Data!AV$6&lt;$B$190+3*Inputs!$B$16,MOD(Source_Data!AV$6-$B$190,3)=0),Inputs!$B$8*Inputs!$B$7*Inputs!$B$34*$B$185*(1-Inputs!$B$15)/Inputs!$B$16,0)</f>
        <v>0</v>
      </c>
      <c r="AW199" s="33" t="n">
        <f aca="false">IF(Source_Data!AW$6=Inputs!$B$12,-Inputs!$B$7,0)+IF(AND(Source_Data!AW$6&gt;=$B$190,Source_Data!AW$6&lt;$B$190+3*Inputs!$B$16,MOD(Source_Data!AW$6-$B$190,3)=0),Inputs!$B$8*Inputs!$B$7*Inputs!$B$34*$B$185*(1-Inputs!$B$15)/Inputs!$B$16,0)</f>
        <v>0</v>
      </c>
      <c r="AX199" s="33" t="n">
        <f aca="false">IF(Source_Data!AX$6=Inputs!$B$12,-Inputs!$B$7,0)+IF(AND(Source_Data!AX$6&gt;=$B$190,Source_Data!AX$6&lt;$B$190+3*Inputs!$B$16,MOD(Source_Data!AX$6-$B$190,3)=0),Inputs!$B$8*Inputs!$B$7*Inputs!$B$34*$B$185*(1-Inputs!$B$15)/Inputs!$B$16,0)</f>
        <v>0</v>
      </c>
      <c r="AY199" s="33" t="n">
        <f aca="false">IF(Source_Data!AY$6=Inputs!$B$12,-Inputs!$B$7,0)+IF(AND(Source_Data!AY$6&gt;=$B$190,Source_Data!AY$6&lt;$B$190+3*Inputs!$B$16,MOD(Source_Data!AY$6-$B$190,3)=0),Inputs!$B$8*Inputs!$B$7*Inputs!$B$34*$B$185*(1-Inputs!$B$15)/Inputs!$B$16,0)</f>
        <v>0</v>
      </c>
      <c r="AZ199" s="33" t="n">
        <f aca="false">IF(Source_Data!AZ$6=Inputs!$B$12,-Inputs!$B$7,0)+IF(AND(Source_Data!AZ$6&gt;=$B$190,Source_Data!AZ$6&lt;$B$190+3*Inputs!$B$16,MOD(Source_Data!AZ$6-$B$190,3)=0),Inputs!$B$8*Inputs!$B$7*Inputs!$B$34*$B$185*(1-Inputs!$B$15)/Inputs!$B$16,0)</f>
        <v>0</v>
      </c>
      <c r="BA199" s="33" t="n">
        <f aca="false">IF(Source_Data!BA$6=Inputs!$B$12,-Inputs!$B$7,0)+IF(AND(Source_Data!BA$6&gt;=$B$190,Source_Data!BA$6&lt;$B$190+3*Inputs!$B$16,MOD(Source_Data!BA$6-$B$190,3)=0),Inputs!$B$8*Inputs!$B$7*Inputs!$B$34*$B$185*(1-Inputs!$B$15)/Inputs!$B$16,0)</f>
        <v>0</v>
      </c>
      <c r="BB199" s="33" t="n">
        <f aca="false">IF(Source_Data!BB$6=Inputs!$B$12,-Inputs!$B$7,0)+IF(AND(Source_Data!BB$6&gt;=$B$190,Source_Data!BB$6&lt;$B$190+3*Inputs!$B$16,MOD(Source_Data!BB$6-$B$190,3)=0),Inputs!$B$8*Inputs!$B$7*Inputs!$B$34*$B$185*(1-Inputs!$B$15)/Inputs!$B$16,0)</f>
        <v>0</v>
      </c>
      <c r="BC199" s="33" t="n">
        <f aca="false">IF(Source_Data!BC$6=Inputs!$B$12,-Inputs!$B$7,0)+IF(AND(Source_Data!BC$6&gt;=$B$190,Source_Data!BC$6&lt;$B$190+3*Inputs!$B$16,MOD(Source_Data!BC$6-$B$190,3)=0),Inputs!$B$8*Inputs!$B$7*Inputs!$B$34*$B$185*(1-Inputs!$B$15)/Inputs!$B$16,0)</f>
        <v>0</v>
      </c>
      <c r="BD199" s="33" t="n">
        <f aca="false">IF(Source_Data!BD$6=Inputs!$B$12,-Inputs!$B$7,0)+IF(AND(Source_Data!BD$6&gt;=$B$190,Source_Data!BD$6&lt;$B$190+3*Inputs!$B$16,MOD(Source_Data!BD$6-$B$190,3)=0),Inputs!$B$8*Inputs!$B$7*Inputs!$B$34*$B$185*(1-Inputs!$B$15)/Inputs!$B$16,0)</f>
        <v>0</v>
      </c>
      <c r="BE199" s="33" t="n">
        <f aca="false">IF(Source_Data!BE$6=Inputs!$B$12,-Inputs!$B$7,0)+IF(AND(Source_Data!BE$6&gt;=$B$190,Source_Data!BE$6&lt;$B$190+3*Inputs!$B$16,MOD(Source_Data!BE$6-$B$190,3)=0),Inputs!$B$8*Inputs!$B$7*Inputs!$B$34*$B$185*(1-Inputs!$B$15)/Inputs!$B$16,0)</f>
        <v>0</v>
      </c>
      <c r="BF199" s="33" t="n">
        <f aca="false">IF(Source_Data!BF$6=Inputs!$B$12,-Inputs!$B$7,0)+IF(AND(Source_Data!BF$6&gt;=$B$190,Source_Data!BF$6&lt;$B$190+3*Inputs!$B$16,MOD(Source_Data!BF$6-$B$190,3)=0),Inputs!$B$8*Inputs!$B$7*Inputs!$B$34*$B$185*(1-Inputs!$B$15)/Inputs!$B$16,0)</f>
        <v>0</v>
      </c>
      <c r="BG199" s="33" t="n">
        <f aca="false">IF(Source_Data!BG$6=Inputs!$B$12,-Inputs!$B$7,0)+IF(AND(Source_Data!BG$6&gt;=$B$190,Source_Data!BG$6&lt;$B$190+3*Inputs!$B$16,MOD(Source_Data!BG$6-$B$190,3)=0),Inputs!$B$8*Inputs!$B$7*Inputs!$B$34*$B$185*(1-Inputs!$B$15)/Inputs!$B$16,0)</f>
        <v>0</v>
      </c>
      <c r="BH199" s="33" t="n">
        <f aca="false">IF(Source_Data!BH$6=Inputs!$B$12,-Inputs!$B$7,0)+IF(AND(Source_Data!BH$6&gt;=$B$190,Source_Data!BH$6&lt;$B$190+3*Inputs!$B$16,MOD(Source_Data!BH$6-$B$190,3)=0),Inputs!$B$8*Inputs!$B$7*Inputs!$B$34*$B$185*(1-Inputs!$B$15)/Inputs!$B$16,0)</f>
        <v>0</v>
      </c>
      <c r="BI199" s="33" t="n">
        <f aca="false">IF(Source_Data!BI$6=Inputs!$B$12,-Inputs!$B$7,0)+IF(AND(Source_Data!BI$6&gt;=$B$190,Source_Data!BI$6&lt;$B$190+3*Inputs!$B$16,MOD(Source_Data!BI$6-$B$190,3)=0),Inputs!$B$8*Inputs!$B$7*Inputs!$B$34*$B$185*(1-Inputs!$B$15)/Inputs!$B$16,0)</f>
        <v>0</v>
      </c>
      <c r="BJ199" s="33" t="n">
        <f aca="false">IF(Source_Data!BJ$6=Inputs!$B$12,-Inputs!$B$7,0)+IF(AND(Source_Data!BJ$6&gt;=$B$190,Source_Data!BJ$6&lt;$B$190+3*Inputs!$B$16,MOD(Source_Data!BJ$6-$B$190,3)=0),Inputs!$B$8*Inputs!$B$7*Inputs!$B$34*$B$185*(1-Inputs!$B$15)/Inputs!$B$16,0)</f>
        <v>0</v>
      </c>
      <c r="BK199" s="33" t="n">
        <f aca="false">IF(Source_Data!BK$6=Inputs!$B$12,-Inputs!$B$7,0)+IF(AND(Source_Data!BK$6&gt;=$B$190,Source_Data!BK$6&lt;$B$190+3*Inputs!$B$16,MOD(Source_Data!BK$6-$B$190,3)=0),Inputs!$B$8*Inputs!$B$7*Inputs!$B$34*$B$185*(1-Inputs!$B$15)/Inputs!$B$16,0)</f>
        <v>0</v>
      </c>
    </row>
    <row r="200" customFormat="false" ht="15" hidden="false" customHeight="false" outlineLevel="0" collapsed="false">
      <c r="A200" s="3" t="s">
        <v>341</v>
      </c>
      <c r="D200" s="33" t="n">
        <f aca="false">IF(AND(Source_Data!D$6&gt;=Inputs!$B$54,Source_Data!D$6&lt;Inputs!$B$54+3*Inputs!$B$11),Inputs!$B$9*Inputs!$B$7/Inputs!$B$11,0)</f>
        <v>0</v>
      </c>
      <c r="E200" s="33" t="n">
        <f aca="false">IF(AND(Source_Data!E$6&gt;=Inputs!$B$54,Source_Data!E$6&lt;Inputs!$B$54+3*Inputs!$B$11),Inputs!$B$9*Inputs!$B$7/Inputs!$B$11,0)</f>
        <v>0</v>
      </c>
      <c r="F200" s="33" t="n">
        <f aca="false">IF(AND(Source_Data!F$6&gt;=Inputs!$B$54,Source_Data!F$6&lt;Inputs!$B$54+3*Inputs!$B$11),Inputs!$B$9*Inputs!$B$7/Inputs!$B$11,0)</f>
        <v>0</v>
      </c>
      <c r="G200" s="33" t="n">
        <f aca="false">IF(AND(Source_Data!G$6&gt;=Inputs!$B$54,Source_Data!G$6&lt;Inputs!$B$54+3*Inputs!$B$11),Inputs!$B$9*Inputs!$B$7/Inputs!$B$11,0)</f>
        <v>0</v>
      </c>
      <c r="H200" s="33" t="n">
        <f aca="false">IF(AND(Source_Data!H$6&gt;=Inputs!$B$54,Source_Data!H$6&lt;Inputs!$B$54+3*Inputs!$B$11),Inputs!$B$9*Inputs!$B$7/Inputs!$B$11,0)</f>
        <v>0</v>
      </c>
      <c r="I200" s="33" t="n">
        <f aca="false">IF(AND(Source_Data!I$6&gt;=Inputs!$B$54,Source_Data!I$6&lt;Inputs!$B$54+3*Inputs!$B$11),Inputs!$B$9*Inputs!$B$7/Inputs!$B$11,0)</f>
        <v>0</v>
      </c>
      <c r="J200" s="33" t="n">
        <f aca="false">IF(AND(Source_Data!J$6&gt;=Inputs!$B$54,Source_Data!J$6&lt;Inputs!$B$54+3*Inputs!$B$11),Inputs!$B$9*Inputs!$B$7/Inputs!$B$11,0)</f>
        <v>0</v>
      </c>
      <c r="K200" s="33" t="n">
        <f aca="false">IF(AND(Source_Data!K$6&gt;=Inputs!$B$54,Source_Data!K$6&lt;Inputs!$B$54+3*Inputs!$B$11),Inputs!$B$9*Inputs!$B$7/Inputs!$B$11,0)</f>
        <v>0</v>
      </c>
      <c r="L200" s="33" t="n">
        <f aca="false">IF(AND(Source_Data!L$6&gt;=Inputs!$B$54,Source_Data!L$6&lt;Inputs!$B$54+3*Inputs!$B$11),Inputs!$B$9*Inputs!$B$7/Inputs!$B$11,0)</f>
        <v>0</v>
      </c>
      <c r="M200" s="33" t="n">
        <f aca="false">IF(AND(Source_Data!M$6&gt;=Inputs!$B$54,Source_Data!M$6&lt;Inputs!$B$54+3*Inputs!$B$11),Inputs!$B$9*Inputs!$B$7/Inputs!$B$11,0)</f>
        <v>19.1666666666667</v>
      </c>
      <c r="N200" s="33" t="n">
        <f aca="false">IF(AND(Source_Data!N$6&gt;=Inputs!$B$54,Source_Data!N$6&lt;Inputs!$B$54+3*Inputs!$B$11),Inputs!$B$9*Inputs!$B$7/Inputs!$B$11,0)</f>
        <v>19.1666666666667</v>
      </c>
      <c r="O200" s="33" t="n">
        <f aca="false">IF(AND(Source_Data!O$6&gt;=Inputs!$B$54,Source_Data!O$6&lt;Inputs!$B$54+3*Inputs!$B$11),Inputs!$B$9*Inputs!$B$7/Inputs!$B$11,0)</f>
        <v>19.1666666666667</v>
      </c>
      <c r="P200" s="33" t="n">
        <f aca="false">IF(AND(Source_Data!P$6&gt;=Inputs!$B$54,Source_Data!P$6&lt;Inputs!$B$54+3*Inputs!$B$11),Inputs!$B$9*Inputs!$B$7/Inputs!$B$11,0)</f>
        <v>19.1666666666667</v>
      </c>
      <c r="Q200" s="33" t="n">
        <f aca="false">IF(AND(Source_Data!Q$6&gt;=Inputs!$B$54,Source_Data!Q$6&lt;Inputs!$B$54+3*Inputs!$B$11),Inputs!$B$9*Inputs!$B$7/Inputs!$B$11,0)</f>
        <v>19.1666666666667</v>
      </c>
      <c r="R200" s="33" t="n">
        <f aca="false">IF(AND(Source_Data!R$6&gt;=Inputs!$B$54,Source_Data!R$6&lt;Inputs!$B$54+3*Inputs!$B$11),Inputs!$B$9*Inputs!$B$7/Inputs!$B$11,0)</f>
        <v>19.1666666666667</v>
      </c>
      <c r="S200" s="33" t="n">
        <f aca="false">IF(AND(Source_Data!S$6&gt;=Inputs!$B$54,Source_Data!S$6&lt;Inputs!$B$54+3*Inputs!$B$11),Inputs!$B$9*Inputs!$B$7/Inputs!$B$11,0)</f>
        <v>19.1666666666667</v>
      </c>
      <c r="T200" s="33" t="n">
        <f aca="false">IF(AND(Source_Data!T$6&gt;=Inputs!$B$54,Source_Data!T$6&lt;Inputs!$B$54+3*Inputs!$B$11),Inputs!$B$9*Inputs!$B$7/Inputs!$B$11,0)</f>
        <v>19.1666666666667</v>
      </c>
      <c r="U200" s="33" t="n">
        <f aca="false">IF(AND(Source_Data!U$6&gt;=Inputs!$B$54,Source_Data!U$6&lt;Inputs!$B$54+3*Inputs!$B$11),Inputs!$B$9*Inputs!$B$7/Inputs!$B$11,0)</f>
        <v>19.1666666666667</v>
      </c>
      <c r="V200" s="33" t="n">
        <f aca="false">IF(AND(Source_Data!V$6&gt;=Inputs!$B$54,Source_Data!V$6&lt;Inputs!$B$54+3*Inputs!$B$11),Inputs!$B$9*Inputs!$B$7/Inputs!$B$11,0)</f>
        <v>19.1666666666667</v>
      </c>
      <c r="W200" s="33" t="n">
        <f aca="false">IF(AND(Source_Data!W$6&gt;=Inputs!$B$54,Source_Data!W$6&lt;Inputs!$B$54+3*Inputs!$B$11),Inputs!$B$9*Inputs!$B$7/Inputs!$B$11,0)</f>
        <v>19.1666666666667</v>
      </c>
      <c r="X200" s="33" t="n">
        <f aca="false">IF(AND(Source_Data!X$6&gt;=Inputs!$B$54,Source_Data!X$6&lt;Inputs!$B$54+3*Inputs!$B$11),Inputs!$B$9*Inputs!$B$7/Inputs!$B$11,0)</f>
        <v>19.1666666666667</v>
      </c>
      <c r="Y200" s="33" t="n">
        <f aca="false">IF(AND(Source_Data!Y$6&gt;=Inputs!$B$54,Source_Data!Y$6&lt;Inputs!$B$54+3*Inputs!$B$11),Inputs!$B$9*Inputs!$B$7/Inputs!$B$11,0)</f>
        <v>0</v>
      </c>
      <c r="Z200" s="33" t="n">
        <f aca="false">IF(AND(Source_Data!Z$6&gt;=Inputs!$B$54,Source_Data!Z$6&lt;Inputs!$B$54+3*Inputs!$B$11),Inputs!$B$9*Inputs!$B$7/Inputs!$B$11,0)</f>
        <v>0</v>
      </c>
      <c r="AA200" s="33" t="n">
        <f aca="false">IF(AND(Source_Data!AA$6&gt;=Inputs!$B$54,Source_Data!AA$6&lt;Inputs!$B$54+3*Inputs!$B$11),Inputs!$B$9*Inputs!$B$7/Inputs!$B$11,0)</f>
        <v>0</v>
      </c>
      <c r="AB200" s="33" t="n">
        <f aca="false">IF(AND(Source_Data!AB$6&gt;=Inputs!$B$54,Source_Data!AB$6&lt;Inputs!$B$54+3*Inputs!$B$11),Inputs!$B$9*Inputs!$B$7/Inputs!$B$11,0)</f>
        <v>0</v>
      </c>
      <c r="AC200" s="33" t="n">
        <f aca="false">IF(AND(Source_Data!AC$6&gt;=Inputs!$B$54,Source_Data!AC$6&lt;Inputs!$B$54+3*Inputs!$B$11),Inputs!$B$9*Inputs!$B$7/Inputs!$B$11,0)</f>
        <v>0</v>
      </c>
      <c r="AD200" s="33" t="n">
        <f aca="false">IF(AND(Source_Data!AD$6&gt;=Inputs!$B$54,Source_Data!AD$6&lt;Inputs!$B$54+3*Inputs!$B$11),Inputs!$B$9*Inputs!$B$7/Inputs!$B$11,0)</f>
        <v>0</v>
      </c>
      <c r="AE200" s="33" t="n">
        <f aca="false">IF(AND(Source_Data!AE$6&gt;=Inputs!$B$54,Source_Data!AE$6&lt;Inputs!$B$54+3*Inputs!$B$11),Inputs!$B$9*Inputs!$B$7/Inputs!$B$11,0)</f>
        <v>0</v>
      </c>
      <c r="AF200" s="33" t="n">
        <f aca="false">IF(AND(Source_Data!AF$6&gt;=Inputs!$B$54,Source_Data!AF$6&lt;Inputs!$B$54+3*Inputs!$B$11),Inputs!$B$9*Inputs!$B$7/Inputs!$B$11,0)</f>
        <v>0</v>
      </c>
      <c r="AG200" s="33" t="n">
        <f aca="false">IF(AND(Source_Data!AG$6&gt;=Inputs!$B$54,Source_Data!AG$6&lt;Inputs!$B$54+3*Inputs!$B$11),Inputs!$B$9*Inputs!$B$7/Inputs!$B$11,0)</f>
        <v>0</v>
      </c>
      <c r="AH200" s="33" t="n">
        <f aca="false">IF(AND(Source_Data!AH$6&gt;=Inputs!$B$54,Source_Data!AH$6&lt;Inputs!$B$54+3*Inputs!$B$11),Inputs!$B$9*Inputs!$B$7/Inputs!$B$11,0)</f>
        <v>0</v>
      </c>
      <c r="AI200" s="33" t="n">
        <f aca="false">IF(AND(Source_Data!AI$6&gt;=Inputs!$B$54,Source_Data!AI$6&lt;Inputs!$B$54+3*Inputs!$B$11),Inputs!$B$9*Inputs!$B$7/Inputs!$B$11,0)</f>
        <v>0</v>
      </c>
      <c r="AJ200" s="33" t="n">
        <f aca="false">IF(AND(Source_Data!AJ$6&gt;=Inputs!$B$54,Source_Data!AJ$6&lt;Inputs!$B$54+3*Inputs!$B$11),Inputs!$B$9*Inputs!$B$7/Inputs!$B$11,0)</f>
        <v>0</v>
      </c>
      <c r="AK200" s="33" t="n">
        <f aca="false">IF(AND(Source_Data!AK$6&gt;=Inputs!$B$54,Source_Data!AK$6&lt;Inputs!$B$54+3*Inputs!$B$11),Inputs!$B$9*Inputs!$B$7/Inputs!$B$11,0)</f>
        <v>0</v>
      </c>
      <c r="AL200" s="33" t="n">
        <f aca="false">IF(AND(Source_Data!AL$6&gt;=Inputs!$B$54,Source_Data!AL$6&lt;Inputs!$B$54+3*Inputs!$B$11),Inputs!$B$9*Inputs!$B$7/Inputs!$B$11,0)</f>
        <v>0</v>
      </c>
      <c r="AM200" s="33" t="n">
        <f aca="false">IF(AND(Source_Data!AM$6&gt;=Inputs!$B$54,Source_Data!AM$6&lt;Inputs!$B$54+3*Inputs!$B$11),Inputs!$B$9*Inputs!$B$7/Inputs!$B$11,0)</f>
        <v>0</v>
      </c>
      <c r="AN200" s="33" t="n">
        <f aca="false">IF(AND(Source_Data!AN$6&gt;=Inputs!$B$54,Source_Data!AN$6&lt;Inputs!$B$54+3*Inputs!$B$11),Inputs!$B$9*Inputs!$B$7/Inputs!$B$11,0)</f>
        <v>0</v>
      </c>
      <c r="AO200" s="33" t="n">
        <f aca="false">IF(AND(Source_Data!AO$6&gt;=Inputs!$B$54,Source_Data!AO$6&lt;Inputs!$B$54+3*Inputs!$B$11),Inputs!$B$9*Inputs!$B$7/Inputs!$B$11,0)</f>
        <v>0</v>
      </c>
      <c r="AP200" s="33" t="n">
        <f aca="false">IF(AND(Source_Data!AP$6&gt;=Inputs!$B$54,Source_Data!AP$6&lt;Inputs!$B$54+3*Inputs!$B$11),Inputs!$B$9*Inputs!$B$7/Inputs!$B$11,0)</f>
        <v>0</v>
      </c>
      <c r="AQ200" s="33" t="n">
        <f aca="false">IF(AND(Source_Data!AQ$6&gt;=Inputs!$B$54,Source_Data!AQ$6&lt;Inputs!$B$54+3*Inputs!$B$11),Inputs!$B$9*Inputs!$B$7/Inputs!$B$11,0)</f>
        <v>0</v>
      </c>
      <c r="AR200" s="33" t="n">
        <f aca="false">IF(AND(Source_Data!AR$6&gt;=Inputs!$B$54,Source_Data!AR$6&lt;Inputs!$B$54+3*Inputs!$B$11),Inputs!$B$9*Inputs!$B$7/Inputs!$B$11,0)</f>
        <v>0</v>
      </c>
      <c r="AS200" s="33" t="n">
        <f aca="false">IF(AND(Source_Data!AS$6&gt;=Inputs!$B$54,Source_Data!AS$6&lt;Inputs!$B$54+3*Inputs!$B$11),Inputs!$B$9*Inputs!$B$7/Inputs!$B$11,0)</f>
        <v>0</v>
      </c>
      <c r="AT200" s="33" t="n">
        <f aca="false">IF(AND(Source_Data!AT$6&gt;=Inputs!$B$54,Source_Data!AT$6&lt;Inputs!$B$54+3*Inputs!$B$11),Inputs!$B$9*Inputs!$B$7/Inputs!$B$11,0)</f>
        <v>0</v>
      </c>
      <c r="AU200" s="33" t="n">
        <f aca="false">IF(AND(Source_Data!AU$6&gt;=Inputs!$B$54,Source_Data!AU$6&lt;Inputs!$B$54+3*Inputs!$B$11),Inputs!$B$9*Inputs!$B$7/Inputs!$B$11,0)</f>
        <v>0</v>
      </c>
      <c r="AV200" s="33" t="n">
        <f aca="false">IF(AND(Source_Data!AV$6&gt;=Inputs!$B$54,Source_Data!AV$6&lt;Inputs!$B$54+3*Inputs!$B$11),Inputs!$B$9*Inputs!$B$7/Inputs!$B$11,0)</f>
        <v>0</v>
      </c>
      <c r="AW200" s="33" t="n">
        <f aca="false">IF(AND(Source_Data!AW$6&gt;=Inputs!$B$54,Source_Data!AW$6&lt;Inputs!$B$54+3*Inputs!$B$11),Inputs!$B$9*Inputs!$B$7/Inputs!$B$11,0)</f>
        <v>0</v>
      </c>
      <c r="AX200" s="33" t="n">
        <f aca="false">IF(AND(Source_Data!AX$6&gt;=Inputs!$B$54,Source_Data!AX$6&lt;Inputs!$B$54+3*Inputs!$B$11),Inputs!$B$9*Inputs!$B$7/Inputs!$B$11,0)</f>
        <v>0</v>
      </c>
      <c r="AY200" s="33" t="n">
        <f aca="false">IF(AND(Source_Data!AY$6&gt;=Inputs!$B$54,Source_Data!AY$6&lt;Inputs!$B$54+3*Inputs!$B$11),Inputs!$B$9*Inputs!$B$7/Inputs!$B$11,0)</f>
        <v>0</v>
      </c>
      <c r="AZ200" s="33" t="n">
        <f aca="false">IF(AND(Source_Data!AZ$6&gt;=Inputs!$B$54,Source_Data!AZ$6&lt;Inputs!$B$54+3*Inputs!$B$11),Inputs!$B$9*Inputs!$B$7/Inputs!$B$11,0)</f>
        <v>0</v>
      </c>
      <c r="BA200" s="33" t="n">
        <f aca="false">IF(AND(Source_Data!BA$6&gt;=Inputs!$B$54,Source_Data!BA$6&lt;Inputs!$B$54+3*Inputs!$B$11),Inputs!$B$9*Inputs!$B$7/Inputs!$B$11,0)</f>
        <v>0</v>
      </c>
      <c r="BB200" s="33" t="n">
        <f aca="false">IF(AND(Source_Data!BB$6&gt;=Inputs!$B$54,Source_Data!BB$6&lt;Inputs!$B$54+3*Inputs!$B$11),Inputs!$B$9*Inputs!$B$7/Inputs!$B$11,0)</f>
        <v>0</v>
      </c>
      <c r="BC200" s="33" t="n">
        <f aca="false">IF(AND(Source_Data!BC$6&gt;=Inputs!$B$54,Source_Data!BC$6&lt;Inputs!$B$54+3*Inputs!$B$11),Inputs!$B$9*Inputs!$B$7/Inputs!$B$11,0)</f>
        <v>0</v>
      </c>
      <c r="BD200" s="33" t="n">
        <f aca="false">IF(AND(Source_Data!BD$6&gt;=Inputs!$B$54,Source_Data!BD$6&lt;Inputs!$B$54+3*Inputs!$B$11),Inputs!$B$9*Inputs!$B$7/Inputs!$B$11,0)</f>
        <v>0</v>
      </c>
      <c r="BE200" s="33" t="n">
        <f aca="false">IF(AND(Source_Data!BE$6&gt;=Inputs!$B$54,Source_Data!BE$6&lt;Inputs!$B$54+3*Inputs!$B$11),Inputs!$B$9*Inputs!$B$7/Inputs!$B$11,0)</f>
        <v>0</v>
      </c>
      <c r="BF200" s="33" t="n">
        <f aca="false">IF(AND(Source_Data!BF$6&gt;=Inputs!$B$54,Source_Data!BF$6&lt;Inputs!$B$54+3*Inputs!$B$11),Inputs!$B$9*Inputs!$B$7/Inputs!$B$11,0)</f>
        <v>0</v>
      </c>
      <c r="BG200" s="33" t="n">
        <f aca="false">IF(AND(Source_Data!BG$6&gt;=Inputs!$B$54,Source_Data!BG$6&lt;Inputs!$B$54+3*Inputs!$B$11),Inputs!$B$9*Inputs!$B$7/Inputs!$B$11,0)</f>
        <v>0</v>
      </c>
      <c r="BH200" s="33" t="n">
        <f aca="false">IF(AND(Source_Data!BH$6&gt;=Inputs!$B$54,Source_Data!BH$6&lt;Inputs!$B$54+3*Inputs!$B$11),Inputs!$B$9*Inputs!$B$7/Inputs!$B$11,0)</f>
        <v>0</v>
      </c>
      <c r="BI200" s="33" t="n">
        <f aca="false">IF(AND(Source_Data!BI$6&gt;=Inputs!$B$54,Source_Data!BI$6&lt;Inputs!$B$54+3*Inputs!$B$11),Inputs!$B$9*Inputs!$B$7/Inputs!$B$11,0)</f>
        <v>0</v>
      </c>
      <c r="BJ200" s="33" t="n">
        <f aca="false">IF(AND(Source_Data!BJ$6&gt;=Inputs!$B$54,Source_Data!BJ$6&lt;Inputs!$B$54+3*Inputs!$B$11),Inputs!$B$9*Inputs!$B$7/Inputs!$B$11,0)</f>
        <v>0</v>
      </c>
      <c r="BK200" s="33" t="n">
        <f aca="false">IF(AND(Source_Data!BK$6&gt;=Inputs!$B$54,Source_Data!BK$6&lt;Inputs!$B$54+3*Inputs!$B$11),Inputs!$B$9*Inputs!$B$7/Inputs!$B$11,0)</f>
        <v>0</v>
      </c>
    </row>
    <row r="201" customFormat="false" ht="15" hidden="false" customHeight="false" outlineLevel="0" collapsed="false">
      <c r="A201" s="3" t="s">
        <v>342</v>
      </c>
      <c r="D201" s="33" t="n">
        <f aca="false">IF(Source_Data!D$6=Inputs!$B$12,-Inputs!$B$7,0)+D200</f>
        <v>-100</v>
      </c>
      <c r="E201" s="33" t="n">
        <f aca="false">IF(Source_Data!E$6=Inputs!$B$12,-Inputs!$B$7,0)+E200</f>
        <v>0</v>
      </c>
      <c r="F201" s="33" t="n">
        <f aca="false">IF(Source_Data!F$6=Inputs!$B$12,-Inputs!$B$7,0)+F200</f>
        <v>0</v>
      </c>
      <c r="G201" s="33" t="n">
        <f aca="false">IF(Source_Data!G$6=Inputs!$B$12,-Inputs!$B$7,0)+G200</f>
        <v>0</v>
      </c>
      <c r="H201" s="33" t="n">
        <f aca="false">IF(Source_Data!H$6=Inputs!$B$12,-Inputs!$B$7,0)+H200</f>
        <v>0</v>
      </c>
      <c r="I201" s="33" t="n">
        <f aca="false">IF(Source_Data!I$6=Inputs!$B$12,-Inputs!$B$7,0)+I200</f>
        <v>0</v>
      </c>
      <c r="J201" s="33" t="n">
        <f aca="false">IF(Source_Data!J$6=Inputs!$B$12,-Inputs!$B$7,0)+J200</f>
        <v>0</v>
      </c>
      <c r="K201" s="33" t="n">
        <f aca="false">IF(Source_Data!K$6=Inputs!$B$12,-Inputs!$B$7,0)+K200</f>
        <v>0</v>
      </c>
      <c r="L201" s="33" t="n">
        <f aca="false">IF(Source_Data!L$6=Inputs!$B$12,-Inputs!$B$7,0)+L200</f>
        <v>0</v>
      </c>
      <c r="M201" s="33" t="n">
        <f aca="false">IF(Source_Data!M$6=Inputs!$B$12,-Inputs!$B$7,0)+M200</f>
        <v>19.1666666666667</v>
      </c>
      <c r="N201" s="33" t="n">
        <f aca="false">IF(Source_Data!N$6=Inputs!$B$12,-Inputs!$B$7,0)+N200</f>
        <v>19.1666666666667</v>
      </c>
      <c r="O201" s="33" t="n">
        <f aca="false">IF(Source_Data!O$6=Inputs!$B$12,-Inputs!$B$7,0)+O200</f>
        <v>19.1666666666667</v>
      </c>
      <c r="P201" s="33" t="n">
        <f aca="false">IF(Source_Data!P$6=Inputs!$B$12,-Inputs!$B$7,0)+P200</f>
        <v>19.1666666666667</v>
      </c>
      <c r="Q201" s="33" t="n">
        <f aca="false">IF(Source_Data!Q$6=Inputs!$B$12,-Inputs!$B$7,0)+Q200</f>
        <v>19.1666666666667</v>
      </c>
      <c r="R201" s="33" t="n">
        <f aca="false">IF(Source_Data!R$6=Inputs!$B$12,-Inputs!$B$7,0)+R200</f>
        <v>19.1666666666667</v>
      </c>
      <c r="S201" s="33" t="n">
        <f aca="false">IF(Source_Data!S$6=Inputs!$B$12,-Inputs!$B$7,0)+S200</f>
        <v>19.1666666666667</v>
      </c>
      <c r="T201" s="33" t="n">
        <f aca="false">IF(Source_Data!T$6=Inputs!$B$12,-Inputs!$B$7,0)+T200</f>
        <v>19.1666666666667</v>
      </c>
      <c r="U201" s="33" t="n">
        <f aca="false">IF(Source_Data!U$6=Inputs!$B$12,-Inputs!$B$7,0)+U200</f>
        <v>19.1666666666667</v>
      </c>
      <c r="V201" s="33" t="n">
        <f aca="false">IF(Source_Data!V$6=Inputs!$B$12,-Inputs!$B$7,0)+V200</f>
        <v>19.1666666666667</v>
      </c>
      <c r="W201" s="33" t="n">
        <f aca="false">IF(Source_Data!W$6=Inputs!$B$12,-Inputs!$B$7,0)+W200</f>
        <v>19.1666666666667</v>
      </c>
      <c r="X201" s="33" t="n">
        <f aca="false">IF(Source_Data!X$6=Inputs!$B$12,-Inputs!$B$7,0)+X200</f>
        <v>19.1666666666667</v>
      </c>
      <c r="Y201" s="33" t="n">
        <f aca="false">IF(Source_Data!Y$6=Inputs!$B$12,-Inputs!$B$7,0)+Y200</f>
        <v>0</v>
      </c>
      <c r="Z201" s="33" t="n">
        <f aca="false">IF(Source_Data!Z$6=Inputs!$B$12,-Inputs!$B$7,0)+Z200</f>
        <v>0</v>
      </c>
      <c r="AA201" s="33" t="n">
        <f aca="false">IF(Source_Data!AA$6=Inputs!$B$12,-Inputs!$B$7,0)+AA200</f>
        <v>0</v>
      </c>
      <c r="AB201" s="33" t="n">
        <f aca="false">IF(Source_Data!AB$6=Inputs!$B$12,-Inputs!$B$7,0)+AB200</f>
        <v>0</v>
      </c>
      <c r="AC201" s="33" t="n">
        <f aca="false">IF(Source_Data!AC$6=Inputs!$B$12,-Inputs!$B$7,0)+AC200</f>
        <v>0</v>
      </c>
      <c r="AD201" s="33" t="n">
        <f aca="false">IF(Source_Data!AD$6=Inputs!$B$12,-Inputs!$B$7,0)+AD200</f>
        <v>0</v>
      </c>
      <c r="AE201" s="33" t="n">
        <f aca="false">IF(Source_Data!AE$6=Inputs!$B$12,-Inputs!$B$7,0)+AE200</f>
        <v>0</v>
      </c>
      <c r="AF201" s="33" t="n">
        <f aca="false">IF(Source_Data!AF$6=Inputs!$B$12,-Inputs!$B$7,0)+AF200</f>
        <v>0</v>
      </c>
      <c r="AG201" s="33" t="n">
        <f aca="false">IF(Source_Data!AG$6=Inputs!$B$12,-Inputs!$B$7,0)+AG200</f>
        <v>0</v>
      </c>
      <c r="AH201" s="33" t="n">
        <f aca="false">IF(Source_Data!AH$6=Inputs!$B$12,-Inputs!$B$7,0)+AH200</f>
        <v>0</v>
      </c>
      <c r="AI201" s="33" t="n">
        <f aca="false">IF(Source_Data!AI$6=Inputs!$B$12,-Inputs!$B$7,0)+AI200</f>
        <v>0</v>
      </c>
      <c r="AJ201" s="33" t="n">
        <f aca="false">IF(Source_Data!AJ$6=Inputs!$B$12,-Inputs!$B$7,0)+AJ200</f>
        <v>0</v>
      </c>
      <c r="AK201" s="33" t="n">
        <f aca="false">IF(Source_Data!AK$6=Inputs!$B$12,-Inputs!$B$7,0)+AK200</f>
        <v>0</v>
      </c>
      <c r="AL201" s="33" t="n">
        <f aca="false">IF(Source_Data!AL$6=Inputs!$B$12,-Inputs!$B$7,0)+AL200</f>
        <v>0</v>
      </c>
      <c r="AM201" s="33" t="n">
        <f aca="false">IF(Source_Data!AM$6=Inputs!$B$12,-Inputs!$B$7,0)+AM200</f>
        <v>0</v>
      </c>
      <c r="AN201" s="33" t="n">
        <f aca="false">IF(Source_Data!AN$6=Inputs!$B$12,-Inputs!$B$7,0)+AN200</f>
        <v>0</v>
      </c>
      <c r="AO201" s="33" t="n">
        <f aca="false">IF(Source_Data!AO$6=Inputs!$B$12,-Inputs!$B$7,0)+AO200</f>
        <v>0</v>
      </c>
      <c r="AP201" s="33" t="n">
        <f aca="false">IF(Source_Data!AP$6=Inputs!$B$12,-Inputs!$B$7,0)+AP200</f>
        <v>0</v>
      </c>
      <c r="AQ201" s="33" t="n">
        <f aca="false">IF(Source_Data!AQ$6=Inputs!$B$12,-Inputs!$B$7,0)+AQ200</f>
        <v>0</v>
      </c>
      <c r="AR201" s="33" t="n">
        <f aca="false">IF(Source_Data!AR$6=Inputs!$B$12,-Inputs!$B$7,0)+AR200</f>
        <v>0</v>
      </c>
      <c r="AS201" s="33" t="n">
        <f aca="false">IF(Source_Data!AS$6=Inputs!$B$12,-Inputs!$B$7,0)+AS200</f>
        <v>0</v>
      </c>
      <c r="AT201" s="33" t="n">
        <f aca="false">IF(Source_Data!AT$6=Inputs!$B$12,-Inputs!$B$7,0)+AT200</f>
        <v>0</v>
      </c>
      <c r="AU201" s="33" t="n">
        <f aca="false">IF(Source_Data!AU$6=Inputs!$B$12,-Inputs!$B$7,0)+AU200</f>
        <v>0</v>
      </c>
      <c r="AV201" s="33" t="n">
        <f aca="false">IF(Source_Data!AV$6=Inputs!$B$12,-Inputs!$B$7,0)+AV200</f>
        <v>0</v>
      </c>
      <c r="AW201" s="33" t="n">
        <f aca="false">IF(Source_Data!AW$6=Inputs!$B$12,-Inputs!$B$7,0)+AW200</f>
        <v>0</v>
      </c>
      <c r="AX201" s="33" t="n">
        <f aca="false">IF(Source_Data!AX$6=Inputs!$B$12,-Inputs!$B$7,0)+AX200</f>
        <v>0</v>
      </c>
      <c r="AY201" s="33" t="n">
        <f aca="false">IF(Source_Data!AY$6=Inputs!$B$12,-Inputs!$B$7,0)+AY200</f>
        <v>0</v>
      </c>
      <c r="AZ201" s="33" t="n">
        <f aca="false">IF(Source_Data!AZ$6=Inputs!$B$12,-Inputs!$B$7,0)+AZ200</f>
        <v>0</v>
      </c>
      <c r="BA201" s="33" t="n">
        <f aca="false">IF(Source_Data!BA$6=Inputs!$B$12,-Inputs!$B$7,0)+BA200</f>
        <v>0</v>
      </c>
      <c r="BB201" s="33" t="n">
        <f aca="false">IF(Source_Data!BB$6=Inputs!$B$12,-Inputs!$B$7,0)+BB200</f>
        <v>0</v>
      </c>
      <c r="BC201" s="33" t="n">
        <f aca="false">IF(Source_Data!BC$6=Inputs!$B$12,-Inputs!$B$7,0)+BC200</f>
        <v>0</v>
      </c>
      <c r="BD201" s="33" t="n">
        <f aca="false">IF(Source_Data!BD$6=Inputs!$B$12,-Inputs!$B$7,0)+BD200</f>
        <v>0</v>
      </c>
      <c r="BE201" s="33" t="n">
        <f aca="false">IF(Source_Data!BE$6=Inputs!$B$12,-Inputs!$B$7,0)+BE200</f>
        <v>0</v>
      </c>
      <c r="BF201" s="33" t="n">
        <f aca="false">IF(Source_Data!BF$6=Inputs!$B$12,-Inputs!$B$7,0)+BF200</f>
        <v>0</v>
      </c>
      <c r="BG201" s="33" t="n">
        <f aca="false">IF(Source_Data!BG$6=Inputs!$B$12,-Inputs!$B$7,0)+BG200</f>
        <v>0</v>
      </c>
      <c r="BH201" s="33" t="n">
        <f aca="false">IF(Source_Data!BH$6=Inputs!$B$12,-Inputs!$B$7,0)+BH200</f>
        <v>0</v>
      </c>
      <c r="BI201" s="33" t="n">
        <f aca="false">IF(Source_Data!BI$6=Inputs!$B$12,-Inputs!$B$7,0)+BI200</f>
        <v>0</v>
      </c>
      <c r="BJ201" s="33" t="n">
        <f aca="false">IF(Source_Data!BJ$6=Inputs!$B$12,-Inputs!$B$7,0)+BJ200</f>
        <v>0</v>
      </c>
      <c r="BK201" s="33" t="n">
        <f aca="false">IF(Source_Data!BK$6=Inputs!$B$12,-Inputs!$B$7,0)+BK200</f>
        <v>0</v>
      </c>
    </row>
    <row r="202" customFormat="false" ht="15" hidden="false" customHeight="false" outlineLevel="0" collapsed="false">
      <c r="A202" s="3" t="s">
        <v>343</v>
      </c>
      <c r="D202" s="33" t="n">
        <f aca="false">IF(Source_Data!D$6=Inputs!$B$12,Inputs!$B$7,0)+D197-D200</f>
        <v>8.75</v>
      </c>
      <c r="E202" s="33" t="n">
        <f aca="false">D202+IF(Source_Data!E$6=Inputs!$B$12,Inputs!$B$7,0)+E197-E200</f>
        <v>-2.5</v>
      </c>
      <c r="F202" s="33" t="n">
        <f aca="false">E202+IF(Source_Data!F$6=Inputs!$B$12,Inputs!$B$7,0)+F197-F200</f>
        <v>-13.75</v>
      </c>
      <c r="G202" s="33" t="n">
        <f aca="false">F202+IF(Source_Data!G$6=Inputs!$B$12,Inputs!$B$7,0)+G197-G200</f>
        <v>-25</v>
      </c>
      <c r="H202" s="33" t="n">
        <f aca="false">G202+IF(Source_Data!H$6=Inputs!$B$12,Inputs!$B$7,0)+H197-H200</f>
        <v>-70.5</v>
      </c>
      <c r="I202" s="33" t="n">
        <f aca="false">H202+IF(Source_Data!I$6=Inputs!$B$12,Inputs!$B$7,0)+I197-I200</f>
        <v>-123.36</v>
      </c>
      <c r="J202" s="33" t="n">
        <f aca="false">I202+IF(Source_Data!J$6=Inputs!$B$12,Inputs!$B$7,0)+J197-J200</f>
        <v>-176.7207625</v>
      </c>
      <c r="K202" s="33" t="n">
        <f aca="false">J202+IF(Source_Data!K$6=Inputs!$B$12,Inputs!$B$7,0)+K197-K200</f>
        <v>-199.3022875</v>
      </c>
      <c r="L202" s="33" t="n">
        <f aca="false">K202+IF(Source_Data!L$6=Inputs!$B$12,Inputs!$B$7,0)+L197-L200</f>
        <v>-216.90028125</v>
      </c>
      <c r="M202" s="33" t="n">
        <f aca="false">L202+IF(Source_Data!M$6=Inputs!$B$12,Inputs!$B$7,0)+M197-M200</f>
        <v>-237.431410416667</v>
      </c>
      <c r="N202" s="33" t="n">
        <f aca="false">M202+IF(Source_Data!N$6=Inputs!$B$12,Inputs!$B$7,0)+N197-N200</f>
        <v>-246.165767083333</v>
      </c>
      <c r="O202" s="33" t="n">
        <f aca="false">N202+IF(Source_Data!O$6=Inputs!$B$12,Inputs!$B$7,0)+O197-O200</f>
        <v>-253.792264375</v>
      </c>
      <c r="P202" s="33" t="n">
        <f aca="false">O202+IF(Source_Data!P$6=Inputs!$B$12,Inputs!$B$7,0)+P197-P200</f>
        <v>-385.151342604167</v>
      </c>
      <c r="Q202" s="33" t="n">
        <f aca="false">P202+IF(Source_Data!Q$6=Inputs!$B$12,Inputs!$B$7,0)+Q197-Q200</f>
        <v>-101.585431770833</v>
      </c>
      <c r="R202" s="33" t="n">
        <f aca="false">Q202+IF(Source_Data!R$6=Inputs!$B$12,Inputs!$B$7,0)+R197-R200</f>
        <v>-175.7633584375</v>
      </c>
      <c r="S202" s="33" t="n">
        <f aca="false">R202+IF(Source_Data!S$6=Inputs!$B$12,Inputs!$B$7,0)+S197-S200</f>
        <v>-204.935035104167</v>
      </c>
      <c r="T202" s="33" t="n">
        <f aca="false">S202+IF(Source_Data!T$6=Inputs!$B$12,Inputs!$B$7,0)+T197-T200</f>
        <v>-179.488991770833</v>
      </c>
      <c r="U202" s="33" t="n">
        <f aca="false">T202+IF(Source_Data!U$6=Inputs!$B$12,Inputs!$B$7,0)+U197-U200</f>
        <v>-181.6064896875</v>
      </c>
      <c r="V202" s="33" t="n">
        <f aca="false">U202+IF(Source_Data!V$6=Inputs!$B$12,Inputs!$B$7,0)+V197-V200</f>
        <v>-183.723987604167</v>
      </c>
      <c r="W202" s="33" t="n">
        <f aca="false">V202+IF(Source_Data!W$6=Inputs!$B$12,Inputs!$B$7,0)+W197-W200</f>
        <v>-186.509818645833</v>
      </c>
      <c r="X202" s="33" t="n">
        <f aca="false">W202+IF(Source_Data!X$6=Inputs!$B$12,Inputs!$B$7,0)+X197-X200</f>
        <v>-166.949845625</v>
      </c>
      <c r="Y202" s="33" t="n">
        <f aca="false">X202+IF(Source_Data!Y$6=Inputs!$B$12,Inputs!$B$7,0)+Y197-Y200</f>
        <v>-129.7371296875</v>
      </c>
      <c r="Z202" s="33" t="n">
        <f aca="false">Y202+IF(Source_Data!Z$6=Inputs!$B$12,Inputs!$B$7,0)+Z197-Z200</f>
        <v>-98.5131849999999</v>
      </c>
      <c r="AA202" s="33" t="n">
        <f aca="false">Z202+IF(Source_Data!AA$6=Inputs!$B$12,Inputs!$B$7,0)+AA197-AA200</f>
        <v>-71.6302403124999</v>
      </c>
      <c r="AB202" s="33" t="n">
        <f aca="false">AA202+IF(Source_Data!AB$6=Inputs!$B$12,Inputs!$B$7,0)+AB197-AB200</f>
        <v>-22.2472956249999</v>
      </c>
      <c r="AC202" s="33" t="n">
        <f aca="false">AB202+IF(Source_Data!AC$6=Inputs!$B$12,Inputs!$B$7,0)+AC197-AC200</f>
        <v>19.8554303125001</v>
      </c>
      <c r="AD202" s="33" t="n">
        <f aca="false">AC202+IF(Source_Data!AD$6=Inputs!$B$12,Inputs!$B$7,0)+AD197-AD200</f>
        <v>61.9581562500001</v>
      </c>
      <c r="AE202" s="33" t="n">
        <f aca="false">AD202+IF(Source_Data!AE$6=Inputs!$B$12,Inputs!$B$7,0)+AE197-AE200</f>
        <v>104.0608821875</v>
      </c>
      <c r="AF202" s="33" t="n">
        <f aca="false">AE202+IF(Source_Data!AF$6=Inputs!$B$12,Inputs!$B$7,0)+AF197-AF200</f>
        <v>32.6173977734376</v>
      </c>
      <c r="AG202" s="33" t="n">
        <f aca="false">AF202+IF(Source_Data!AG$6=Inputs!$B$12,Inputs!$B$7,0)+AG197-AG200</f>
        <v>54.6795128515626</v>
      </c>
      <c r="AH202" s="33" t="n">
        <f aca="false">AG202+IF(Source_Data!AH$6=Inputs!$B$12,Inputs!$B$7,0)+AH197-AH200</f>
        <v>73.1331716796876</v>
      </c>
      <c r="AI202" s="33" t="n">
        <f aca="false">AH202+IF(Source_Data!AI$6=Inputs!$B$12,Inputs!$B$7,0)+AI197-AI200</f>
        <v>87.2458305078126</v>
      </c>
      <c r="AJ202" s="33" t="n">
        <f aca="false">AI202+IF(Source_Data!AJ$6=Inputs!$B$12,Inputs!$B$7,0)+AJ197-AJ200</f>
        <v>101.358489335938</v>
      </c>
      <c r="AK202" s="33" t="n">
        <f aca="false">AJ202+IF(Source_Data!AK$6=Inputs!$B$12,Inputs!$B$7,0)+AK197-AK200</f>
        <v>116.426676875</v>
      </c>
      <c r="AL202" s="33" t="n">
        <f aca="false">AK202+IF(Source_Data!AL$6=Inputs!$B$12,Inputs!$B$7,0)+AL197-AL200</f>
        <v>131.494864414063</v>
      </c>
      <c r="AM202" s="33" t="n">
        <f aca="false">AL202+IF(Source_Data!AM$6=Inputs!$B$12,Inputs!$B$7,0)+AM197-AM200</f>
        <v>148.385480625</v>
      </c>
      <c r="AN202" s="33" t="n">
        <f aca="false">AM202+IF(Source_Data!AN$6=Inputs!$B$12,Inputs!$B$7,0)+AN197-AN200</f>
        <v>169.26320359375</v>
      </c>
      <c r="AO202" s="33" t="n">
        <f aca="false">AN202+IF(Source_Data!AO$6=Inputs!$B$12,Inputs!$B$7,0)+AO197-AO200</f>
        <v>190.6062275</v>
      </c>
      <c r="AP202" s="33" t="n">
        <f aca="false">AO202+IF(Source_Data!AP$6=Inputs!$B$12,Inputs!$B$7,0)+AP197-AP200</f>
        <v>213.511333125</v>
      </c>
      <c r="AQ202" s="33" t="n">
        <f aca="false">AP202+IF(Source_Data!AQ$6=Inputs!$B$12,Inputs!$B$7,0)+AQ197-AQ200</f>
        <v>232.2508875</v>
      </c>
      <c r="AR202" s="33" t="n">
        <f aca="false">AQ202+IF(Source_Data!AR$6=Inputs!$B$12,Inputs!$B$7,0)+AR197-AR200</f>
        <v>241.877055</v>
      </c>
      <c r="AS202" s="33" t="n">
        <f aca="false">AR202+IF(Source_Data!AS$6=Inputs!$B$12,Inputs!$B$7,0)+AS197-AS200</f>
        <v>245.4475275</v>
      </c>
      <c r="AT202" s="33" t="n">
        <f aca="false">AS202+IF(Source_Data!AT$6=Inputs!$B$12,Inputs!$B$7,0)+AT197-AT200</f>
        <v>245.4475275</v>
      </c>
      <c r="AU202" s="33" t="n">
        <f aca="false">AT202+IF(Source_Data!AU$6=Inputs!$B$12,Inputs!$B$7,0)+AU197-AU200</f>
        <v>245.4475275</v>
      </c>
      <c r="AV202" s="33" t="n">
        <f aca="false">AU202+IF(Source_Data!AV$6=Inputs!$B$12,Inputs!$B$7,0)+AV197-AV200</f>
        <v>245.4475275</v>
      </c>
      <c r="AW202" s="33" t="n">
        <f aca="false">AV202+IF(Source_Data!AW$6=Inputs!$B$12,Inputs!$B$7,0)+AW197-AW200</f>
        <v>245.4475275</v>
      </c>
      <c r="AX202" s="33" t="n">
        <f aca="false">AW202+IF(Source_Data!AX$6=Inputs!$B$12,Inputs!$B$7,0)+AX197-AX200</f>
        <v>245.4475275</v>
      </c>
      <c r="AY202" s="33" t="n">
        <f aca="false">AX202+IF(Source_Data!AY$6=Inputs!$B$12,Inputs!$B$7,0)+AY197-AY200</f>
        <v>245.4475275</v>
      </c>
      <c r="AZ202" s="33" t="n">
        <f aca="false">AY202+IF(Source_Data!AZ$6=Inputs!$B$12,Inputs!$B$7,0)+AZ197-AZ200</f>
        <v>245.4475275</v>
      </c>
      <c r="BA202" s="33" t="n">
        <f aca="false">AZ202+IF(Source_Data!BA$6=Inputs!$B$12,Inputs!$B$7,0)+BA197-BA200</f>
        <v>245.4475275</v>
      </c>
      <c r="BB202" s="33" t="n">
        <f aca="false">BA202+IF(Source_Data!BB$6=Inputs!$B$12,Inputs!$B$7,0)+BB197-BB200</f>
        <v>245.4475275</v>
      </c>
      <c r="BC202" s="33" t="n">
        <f aca="false">BB202+IF(Source_Data!BC$6=Inputs!$B$12,Inputs!$B$7,0)+BC197-BC200</f>
        <v>245.4475275</v>
      </c>
      <c r="BD202" s="33" t="n">
        <f aca="false">BC202+IF(Source_Data!BD$6=Inputs!$B$12,Inputs!$B$7,0)+BD197-BD200</f>
        <v>245.4475275</v>
      </c>
      <c r="BE202" s="33" t="n">
        <f aca="false">BD202+IF(Source_Data!BE$6=Inputs!$B$12,Inputs!$B$7,0)+BE197-BE200</f>
        <v>245.4475275</v>
      </c>
      <c r="BF202" s="33" t="n">
        <f aca="false">BE202+IF(Source_Data!BF$6=Inputs!$B$12,Inputs!$B$7,0)+BF197-BF200</f>
        <v>245.4475275</v>
      </c>
      <c r="BG202" s="33" t="n">
        <f aca="false">BF202+IF(Source_Data!BG$6=Inputs!$B$12,Inputs!$B$7,0)+BG197-BG200</f>
        <v>245.4475275</v>
      </c>
      <c r="BH202" s="33" t="n">
        <f aca="false">BG202+IF(Source_Data!BH$6=Inputs!$B$12,Inputs!$B$7,0)+BH197-BH200</f>
        <v>245.4475275</v>
      </c>
      <c r="BI202" s="33" t="n">
        <f aca="false">BH202+IF(Source_Data!BI$6=Inputs!$B$12,Inputs!$B$7,0)+BI197-BI200</f>
        <v>245.4475275</v>
      </c>
      <c r="BJ202" s="33" t="n">
        <f aca="false">BI202+IF(Source_Data!BJ$6=Inputs!$B$12,Inputs!$B$7,0)+BJ197-BJ200</f>
        <v>245.4475275</v>
      </c>
      <c r="BK202" s="33" t="n">
        <f aca="false">BJ202+IF(Source_Data!BK$6=Inputs!$B$12,Inputs!$B$7,0)+BK197-BK200</f>
        <v>245.4475275</v>
      </c>
    </row>
    <row r="203" customFormat="false" ht="15" hidden="false" customHeight="false" outlineLevel="0" collapsed="false">
      <c r="A203" s="3" t="s">
        <v>344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n">
        <f aca="false">IF(M200&gt;0,M197/M200,"")</f>
        <v>-0.0711893478260871</v>
      </c>
      <c r="N203" s="31" t="n">
        <f aca="false">IF(N200&gt;0,N197/N200,"")</f>
        <v>0.544294434782609</v>
      </c>
      <c r="O203" s="31" t="n">
        <f aca="false">IF(O200&gt;0,O197/O200,"")</f>
        <v>0.602095793478261</v>
      </c>
      <c r="P203" s="31" t="n">
        <f aca="false">IF(P200&gt;0,P197/P200,"")</f>
        <v>-5.853517125</v>
      </c>
      <c r="Q203" s="31" t="n">
        <f aca="false">IF(Q200&gt;0,Q197/Q200,"")</f>
        <v>15.794743173913</v>
      </c>
      <c r="R203" s="31" t="n">
        <f aca="false">IF(R200&gt;0,R197/R200,"")</f>
        <v>-2.87015269565217</v>
      </c>
      <c r="S203" s="31" t="n">
        <f aca="false">IF(S200&gt;0,S197/S200,"")</f>
        <v>-0.522000521739131</v>
      </c>
      <c r="T203" s="31" t="n">
        <f aca="false">IF(T200&gt;0,T197/T200,"")</f>
        <v>2.32761965217391</v>
      </c>
      <c r="U203" s="31" t="n">
        <f aca="false">IF(U200&gt;0,U197/U200,"")</f>
        <v>0.889521847826087</v>
      </c>
      <c r="V203" s="31" t="n">
        <f aca="false">IF(V200&gt;0,V197/V200,"")</f>
        <v>0.889521847826087</v>
      </c>
      <c r="W203" s="31" t="n">
        <f aca="false">IF(W200&gt;0,W197/W200,"")</f>
        <v>0.85465229347826</v>
      </c>
      <c r="X203" s="31" t="n">
        <f aca="false">IF(X200&gt;0,X197/X200,"")</f>
        <v>2.02052033152174</v>
      </c>
      <c r="Y203" s="31" t="str">
        <f aca="false">IF(Y200&gt;0,Y197/Y200,"")</f>
        <v/>
      </c>
      <c r="Z203" s="31" t="str">
        <f aca="false">IF(Z200&gt;0,Z197/Z200,"")</f>
        <v/>
      </c>
      <c r="AA203" s="31" t="str">
        <f aca="false">IF(AA200&gt;0,AA197/AA200,"")</f>
        <v/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345</v>
      </c>
      <c r="D204" s="31" t="str">
        <f aca="false">IF(D200&gt;0,(0+D197+IF(Source_Data!D$6=Inputs!$B$12,Inputs!$B$7,0))/D200,"")</f>
        <v/>
      </c>
      <c r="E204" s="31" t="str">
        <f aca="false">IF(E200&gt;0,(D202+E197+IF(Source_Data!E$6=Inputs!$B$12,Inputs!$B$7,0))/E200,"")</f>
        <v/>
      </c>
      <c r="F204" s="31" t="str">
        <f aca="false">IF(F200&gt;0,(E202+F197+IF(Source_Data!F$6=Inputs!$B$12,Inputs!$B$7,0))/F200,"")</f>
        <v/>
      </c>
      <c r="G204" s="31" t="str">
        <f aca="false">IF(G200&gt;0,(F202+G197+IF(Source_Data!G$6=Inputs!$B$12,Inputs!$B$7,0))/G200,"")</f>
        <v/>
      </c>
      <c r="H204" s="31" t="str">
        <f aca="false">IF(H200&gt;0,(G202+H197+IF(Source_Data!H$6=Inputs!$B$12,Inputs!$B$7,0))/H200,"")</f>
        <v/>
      </c>
      <c r="I204" s="31" t="str">
        <f aca="false">IF(I200&gt;0,(H202+I197+IF(Source_Data!I$6=Inputs!$B$12,Inputs!$B$7,0))/I200,"")</f>
        <v/>
      </c>
      <c r="J204" s="31" t="str">
        <f aca="false">IF(J200&gt;0,(I202+J197+IF(Source_Data!J$6=Inputs!$B$12,Inputs!$B$7,0))/J200,"")</f>
        <v/>
      </c>
      <c r="K204" s="31" t="str">
        <f aca="false">IF(K200&gt;0,(J202+K197+IF(Source_Data!K$6=Inputs!$B$12,Inputs!$B$7,0))/K200,"")</f>
        <v/>
      </c>
      <c r="L204" s="31" t="str">
        <f aca="false">IF(L200&gt;0,(K202+L197+IF(Source_Data!L$6=Inputs!$B$12,Inputs!$B$7,0))/L200,"")</f>
        <v/>
      </c>
      <c r="M204" s="31" t="n">
        <f aca="false">IF(M200&gt;0,(L202+M197+IF(Source_Data!M$6=Inputs!$B$12,Inputs!$B$7,0))/M200,"")</f>
        <v>-11.3877257608696</v>
      </c>
      <c r="N204" s="31" t="n">
        <f aca="false">IF(N200&gt;0,(M202+N197+IF(Source_Data!N$6=Inputs!$B$12,Inputs!$B$7,0))/N200,"")</f>
        <v>-11.843431326087</v>
      </c>
      <c r="O204" s="31" t="n">
        <f aca="false">IF(O200&gt;0,(N202+O197+IF(Source_Data!O$6=Inputs!$B$12,Inputs!$B$7,0))/O200,"")</f>
        <v>-12.2413355326087</v>
      </c>
      <c r="P204" s="31" t="n">
        <f aca="false">IF(P200&gt;0,(O202+P197+IF(Source_Data!P$6=Inputs!$B$12,Inputs!$B$7,0))/P200,"")</f>
        <v>-19.0948526576087</v>
      </c>
      <c r="Q204" s="31" t="n">
        <f aca="false">IF(Q200&gt;0,(P202+Q197+IF(Source_Data!Q$6=Inputs!$B$12,Inputs!$B$7,0))/Q200,"")</f>
        <v>-4.30010948369565</v>
      </c>
      <c r="R204" s="31" t="n">
        <f aca="false">IF(R200&gt;0,(Q202+R197+IF(Source_Data!R$6=Inputs!$B$12,Inputs!$B$7,0))/R200,"")</f>
        <v>-8.17026217934783</v>
      </c>
      <c r="S204" s="31" t="n">
        <f aca="false">IF(S200&gt;0,(R202+S197+IF(Source_Data!S$6=Inputs!$B$12,Inputs!$B$7,0))/S200,"")</f>
        <v>-9.69226270108696</v>
      </c>
      <c r="T204" s="31" t="n">
        <f aca="false">IF(T200&gt;0,(S202+T197+IF(Source_Data!T$6=Inputs!$B$12,Inputs!$B$7,0))/T200,"")</f>
        <v>-8.36464304891304</v>
      </c>
      <c r="U204" s="31" t="n">
        <f aca="false">IF(U200&gt;0,(T202+U197+IF(Source_Data!U$6=Inputs!$B$12,Inputs!$B$7,0))/U200,"")</f>
        <v>-8.47512120108696</v>
      </c>
      <c r="V204" s="31" t="n">
        <f aca="false">IF(V200&gt;0,(U202+V197+IF(Source_Data!V$6=Inputs!$B$12,Inputs!$B$7,0))/V200,"")</f>
        <v>-8.58559935326087</v>
      </c>
      <c r="W204" s="31" t="n">
        <f aca="false">IF(W200&gt;0,(V202+W197+IF(Source_Data!W$6=Inputs!$B$12,Inputs!$B$7,0))/W200,"")</f>
        <v>-8.73094705978261</v>
      </c>
      <c r="X204" s="31" t="n">
        <f aca="false">IF(X200&gt;0,(W202+X197+IF(Source_Data!X$6=Inputs!$B$12,Inputs!$B$7,0))/X200,"")</f>
        <v>-7.71042672826087</v>
      </c>
      <c r="Y204" s="31" t="str">
        <f aca="false">IF(Y200&gt;0,(X202+Y197+IF(Source_Data!Y$6=Inputs!$B$12,Inputs!$B$7,0))/Y200,"")</f>
        <v/>
      </c>
      <c r="Z204" s="31" t="str">
        <f aca="false">IF(Z200&gt;0,(Y202+Z197+IF(Source_Data!Z$6=Inputs!$B$12,Inputs!$B$7,0))/Z200,"")</f>
        <v/>
      </c>
      <c r="AA204" s="31" t="str">
        <f aca="false">IF(AA200&gt;0,(Z202+AA197+IF(Source_Data!AA$6=Inputs!$B$12,Inputs!$B$7,0))/AA200,"")</f>
        <v/>
      </c>
      <c r="AB204" s="31" t="str">
        <f aca="false">IF(AB200&gt;0,(AA202+AB197+IF(Source_Data!AB$6=Inputs!$B$12,Inputs!$B$7,0))/AB200,"")</f>
        <v/>
      </c>
      <c r="AC204" s="31" t="str">
        <f aca="false">IF(AC200&gt;0,(AB202+AC197+IF(Source_Data!AC$6=Inputs!$B$12,Inputs!$B$7,0))/AC200,"")</f>
        <v/>
      </c>
      <c r="AD204" s="31" t="str">
        <f aca="false">IF(AD200&gt;0,(AC202+AD197+IF(Source_Data!AD$6=Inputs!$B$12,Inputs!$B$7,0))/AD200,"")</f>
        <v/>
      </c>
      <c r="AE204" s="31" t="str">
        <f aca="false">IF(AE200&gt;0,(AD202+AE197+IF(Source_Data!AE$6=Inputs!$B$12,Inputs!$B$7,0))/AE200,"")</f>
        <v/>
      </c>
      <c r="AF204" s="31" t="str">
        <f aca="false">IF(AF200&gt;0,(AE202+AF197+IF(Source_Data!AF$6=Inputs!$B$12,Inputs!$B$7,0))/AF200,"")</f>
        <v/>
      </c>
      <c r="AG204" s="31" t="str">
        <f aca="false">IF(AG200&gt;0,(AF202+AG197+IF(Source_Data!AG$6=Inputs!$B$12,Inputs!$B$7,0))/AG200,"")</f>
        <v/>
      </c>
      <c r="AH204" s="31" t="str">
        <f aca="false">IF(AH200&gt;0,(AG202+AH197+IF(Source_Data!AH$6=Inputs!$B$12,Inputs!$B$7,0))/AH200,"")</f>
        <v/>
      </c>
      <c r="AI204" s="31" t="str">
        <f aca="false">IF(AI200&gt;0,(AH202+AI197+IF(Source_Data!AI$6=Inputs!$B$12,Inputs!$B$7,0))/AI200,"")</f>
        <v/>
      </c>
      <c r="AJ204" s="31" t="str">
        <f aca="false">IF(AJ200&gt;0,(AI202+AJ197+IF(Source_Data!AJ$6=Inputs!$B$12,Inputs!$B$7,0))/AJ200,"")</f>
        <v/>
      </c>
      <c r="AK204" s="31" t="str">
        <f aca="false">IF(AK200&gt;0,(AJ202+AK197+IF(Source_Data!AK$6=Inputs!$B$12,Inputs!$B$7,0))/AK200,"")</f>
        <v/>
      </c>
      <c r="AL204" s="31" t="str">
        <f aca="false">IF(AL200&gt;0,(AK202+AL197+IF(Source_Data!AL$6=Inputs!$B$12,Inputs!$B$7,0))/AL200,"")</f>
        <v/>
      </c>
      <c r="AM204" s="31" t="str">
        <f aca="false">IF(AM200&gt;0,(AL202+AM197+IF(Source_Data!AM$6=Inputs!$B$12,Inputs!$B$7,0))/AM200,"")</f>
        <v/>
      </c>
      <c r="AN204" s="31" t="str">
        <f aca="false">IF(AN200&gt;0,(AM202+AN197+IF(Source_Data!AN$6=Inputs!$B$12,Inputs!$B$7,0))/AN200,"")</f>
        <v/>
      </c>
      <c r="AO204" s="31" t="str">
        <f aca="false">IF(AO200&gt;0,(AN202+AO197+IF(Source_Data!AO$6=Inputs!$B$12,Inputs!$B$7,0))/AO200,"")</f>
        <v/>
      </c>
      <c r="AP204" s="31" t="str">
        <f aca="false">IF(AP200&gt;0,(AO202+AP197+IF(Source_Data!AP$6=Inputs!$B$12,Inputs!$B$7,0))/AP200,"")</f>
        <v/>
      </c>
      <c r="AQ204" s="31" t="str">
        <f aca="false">IF(AQ200&gt;0,(AP202+AQ197+IF(Source_Data!AQ$6=Inputs!$B$12,Inputs!$B$7,0))/AQ200,"")</f>
        <v/>
      </c>
      <c r="AR204" s="31" t="str">
        <f aca="false">IF(AR200&gt;0,(AQ202+AR197+IF(Source_Data!AR$6=Inputs!$B$12,Inputs!$B$7,0))/AR200,"")</f>
        <v/>
      </c>
      <c r="AS204" s="31" t="str">
        <f aca="false">IF(AS200&gt;0,(AR202+AS197+IF(Source_Data!AS$6=Inputs!$B$12,Inputs!$B$7,0))/AS200,"")</f>
        <v/>
      </c>
      <c r="AT204" s="31" t="str">
        <f aca="false">IF(AT200&gt;0,(AS202+AT197+IF(Source_Data!AT$6=Inputs!$B$12,Inputs!$B$7,0))/AT200,"")</f>
        <v/>
      </c>
      <c r="AU204" s="31" t="str">
        <f aca="false">IF(AU200&gt;0,(AT202+AU197+IF(Source_Data!AU$6=Inputs!$B$12,Inputs!$B$7,0))/AU200,"")</f>
        <v/>
      </c>
      <c r="AV204" s="31" t="str">
        <f aca="false">IF(AV200&gt;0,(AU202+AV197+IF(Source_Data!AV$6=Inputs!$B$12,Inputs!$B$7,0))/AV200,"")</f>
        <v/>
      </c>
      <c r="AW204" s="31" t="str">
        <f aca="false">IF(AW200&gt;0,(AV202+AW197+IF(Source_Data!AW$6=Inputs!$B$12,Inputs!$B$7,0))/AW200,"")</f>
        <v/>
      </c>
      <c r="AX204" s="31" t="str">
        <f aca="false">IF(AX200&gt;0,(AW202+AX197+IF(Source_Data!AX$6=Inputs!$B$12,Inputs!$B$7,0))/AX200,"")</f>
        <v/>
      </c>
      <c r="AY204" s="31" t="str">
        <f aca="false">IF(AY200&gt;0,(AX202+AY197+IF(Source_Data!AY$6=Inputs!$B$12,Inputs!$B$7,0))/AY200,"")</f>
        <v/>
      </c>
      <c r="AZ204" s="31" t="str">
        <f aca="false">IF(AZ200&gt;0,(AY202+AZ197+IF(Source_Data!AZ$6=Inputs!$B$12,Inputs!$B$7,0))/AZ200,"")</f>
        <v/>
      </c>
      <c r="BA204" s="31" t="str">
        <f aca="false">IF(BA200&gt;0,(AZ202+BA197+IF(Source_Data!BA$6=Inputs!$B$12,Inputs!$B$7,0))/BA200,"")</f>
        <v/>
      </c>
      <c r="BB204" s="31" t="str">
        <f aca="false">IF(BB200&gt;0,(BA202+BB197+IF(Source_Data!BB$6=Inputs!$B$12,Inputs!$B$7,0))/BB200,"")</f>
        <v/>
      </c>
      <c r="BC204" s="31" t="str">
        <f aca="false">IF(BC200&gt;0,(BB202+BC197+IF(Source_Data!BC$6=Inputs!$B$12,Inputs!$B$7,0))/BC200,"")</f>
        <v/>
      </c>
      <c r="BD204" s="31" t="str">
        <f aca="false">IF(BD200&gt;0,(BC202+BD197+IF(Source_Data!BD$6=Inputs!$B$12,Inputs!$B$7,0))/BD200,"")</f>
        <v/>
      </c>
      <c r="BE204" s="31" t="str">
        <f aca="false">IF(BE200&gt;0,(BD202+BE197+IF(Source_Data!BE$6=Inputs!$B$12,Inputs!$B$7,0))/BE200,"")</f>
        <v/>
      </c>
      <c r="BF204" s="31" t="str">
        <f aca="false">IF(BF200&gt;0,(BE202+BF197+IF(Source_Data!BF$6=Inputs!$B$12,Inputs!$B$7,0))/BF200,"")</f>
        <v/>
      </c>
      <c r="BG204" s="31" t="str">
        <f aca="false">IF(BG200&gt;0,(BF202+BG197+IF(Source_Data!BG$6=Inputs!$B$12,Inputs!$B$7,0))/BG200,"")</f>
        <v/>
      </c>
      <c r="BH204" s="31" t="str">
        <f aca="false">IF(BH200&gt;0,(BG202+BH197+IF(Source_Data!BH$6=Inputs!$B$12,Inputs!$B$7,0))/BH200,"")</f>
        <v/>
      </c>
      <c r="BI204" s="31" t="str">
        <f aca="false">IF(BI200&gt;0,(BH202+BI197+IF(Source_Data!BI$6=Inputs!$B$12,Inputs!$B$7,0))/BI200,"")</f>
        <v/>
      </c>
      <c r="BJ204" s="31" t="str">
        <f aca="false">IF(BJ200&gt;0,(BI202+BJ197+IF(Source_Data!BJ$6=Inputs!$B$12,Inputs!$B$7,0))/BJ200,"")</f>
        <v/>
      </c>
      <c r="BK204" s="31" t="str">
        <f aca="false">IF(BK200&gt;0,(BJ202+BK197+IF(Source_Data!BK$6=Inputs!$B$12,Inputs!$B$7,0))/BK200,"")</f>
        <v/>
      </c>
    </row>
    <row r="206" customFormat="false" ht="15" hidden="false" customHeight="false" outlineLevel="0" collapsed="false">
      <c r="A206" s="2" t="s">
        <v>220</v>
      </c>
      <c r="B206" s="41" t="n">
        <f aca="false">SUM(D197:BK197)</f>
        <v>375.4475275</v>
      </c>
    </row>
    <row r="207" customFormat="false" ht="15" hidden="false" customHeight="false" outlineLevel="0" collapsed="false">
      <c r="A207" s="2" t="s">
        <v>346</v>
      </c>
      <c r="B207" s="41" t="n">
        <f aca="false">SUMPRODUCT(D197:BK197,Project_CF!$D$15:$BK$15)</f>
        <v>49.0493072745931</v>
      </c>
    </row>
    <row r="208" customFormat="false" ht="15" hidden="false" customHeight="false" outlineLevel="0" collapsed="false">
      <c r="A208" s="2" t="s">
        <v>162</v>
      </c>
      <c r="B208" s="41" t="n">
        <f aca="false">MIN(D198:BK198)</f>
        <v>-408.4846759375</v>
      </c>
    </row>
    <row r="209" customFormat="false" ht="15" hidden="false" customHeight="false" outlineLevel="0" collapsed="false">
      <c r="A209" s="2" t="s">
        <v>347</v>
      </c>
      <c r="B209" s="35" t="n">
        <f aca="false">INDEX(Project_CF!$D$6:$BK$6,MATCH(MIN(D198:BK198),D198:BK198,0))</f>
        <v>39</v>
      </c>
    </row>
    <row r="210" customFormat="false" ht="15" hidden="false" customHeight="false" outlineLevel="0" collapsed="false">
      <c r="A210" s="2" t="s">
        <v>348</v>
      </c>
      <c r="B210" s="39" t="n">
        <f aca="false">(1+IRR(D199:BK199,0.05))^4-1</f>
        <v>0.209949260936023</v>
      </c>
    </row>
    <row r="211" customFormat="false" ht="15" hidden="false" customHeight="false" outlineLevel="0" collapsed="false">
      <c r="A211" s="2" t="s">
        <v>349</v>
      </c>
      <c r="B211" s="40" t="n">
        <f aca="false">SUMIF(D199:BK199,"&gt;0")/-SUMIF(D199:BK199,"&lt;0")</f>
        <v>2.78136200716846</v>
      </c>
    </row>
    <row r="212" customFormat="false" ht="15" hidden="false" customHeight="false" outlineLevel="0" collapsed="false">
      <c r="A212" s="2" t="s">
        <v>350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351</v>
      </c>
      <c r="B213" s="41" t="n">
        <f aca="false">MIN(D202:BK202)</f>
        <v>-385.151342604167</v>
      </c>
    </row>
    <row r="214" customFormat="false" ht="15" hidden="false" customHeight="false" outlineLevel="0" collapsed="false">
      <c r="A214" s="2" t="s">
        <v>352</v>
      </c>
      <c r="B214" s="43" t="n">
        <f aca="false">MIN(D203:BK203)</f>
        <v>-5.853517125</v>
      </c>
    </row>
    <row r="215" customFormat="false" ht="15" hidden="false" customHeight="false" outlineLevel="0" collapsed="false">
      <c r="A215" s="2" t="s">
        <v>353</v>
      </c>
      <c r="B215" s="35" t="n">
        <f aca="false">COUNTIF(D203:BK203,"&lt;"&amp;Inputs!$B$43)</f>
        <v>9</v>
      </c>
    </row>
    <row r="216" customFormat="false" ht="15" hidden="false" customHeight="false" outlineLevel="0" collapsed="false">
      <c r="A216" s="2" t="s">
        <v>354</v>
      </c>
      <c r="B216" s="43" t="n">
        <f aca="false">MIN(D204:BK204)</f>
        <v>-19.0948526576087</v>
      </c>
    </row>
    <row r="217" customFormat="false" ht="15" hidden="false" customHeight="false" outlineLevel="0" collapsed="false">
      <c r="A217" s="2" t="s">
        <v>355</v>
      </c>
      <c r="B217" s="35" t="n">
        <f aca="false">COUNTIF(D204:BK204,"&lt;"&amp;Inputs!$B$43)</f>
        <v>12</v>
      </c>
    </row>
    <row r="220" customFormat="false" ht="15" hidden="false" customHeight="false" outlineLevel="0" collapsed="false">
      <c r="A220" s="8" t="s">
        <v>364</v>
      </c>
    </row>
    <row r="221" customFormat="false" ht="15" hidden="false" customHeight="false" outlineLevel="0" collapsed="false">
      <c r="A221" s="3" t="s">
        <v>331</v>
      </c>
      <c r="B221" s="45" t="n">
        <v>1</v>
      </c>
    </row>
    <row r="222" customFormat="false" ht="15" hidden="false" customHeight="false" outlineLevel="0" collapsed="false">
      <c r="A222" s="3" t="s">
        <v>332</v>
      </c>
      <c r="B222" s="45" t="n">
        <v>6</v>
      </c>
    </row>
    <row r="223" customFormat="false" ht="15" hidden="false" customHeight="false" outlineLevel="0" collapsed="false">
      <c r="A223" s="3" t="s">
        <v>333</v>
      </c>
      <c r="B223" s="45" t="n">
        <v>1</v>
      </c>
    </row>
    <row r="224" customFormat="false" ht="15" hidden="false" customHeight="false" outlineLevel="0" collapsed="false">
      <c r="A224" s="3" t="s">
        <v>334</v>
      </c>
      <c r="B224" s="45" t="n">
        <v>0</v>
      </c>
    </row>
    <row r="225" customFormat="false" ht="15" hidden="false" customHeight="false" outlineLevel="0" collapsed="false">
      <c r="A225" s="3" t="s">
        <v>335</v>
      </c>
      <c r="B225" s="45" t="n">
        <v>0</v>
      </c>
    </row>
    <row r="226" customFormat="false" ht="15" hidden="false" customHeight="false" outlineLevel="0" collapsed="false">
      <c r="A226" s="3" t="s">
        <v>336</v>
      </c>
      <c r="B226" s="3" t="n">
        <f aca="false">Inputs!$B$13+3+3*$B$222</f>
        <v>69</v>
      </c>
    </row>
    <row r="227" customFormat="false" ht="15" hidden="false" customHeight="false" outlineLevel="0" collapsed="false">
      <c r="A227" s="3" t="s">
        <v>337</v>
      </c>
      <c r="D227" s="33" t="n">
        <f aca="false">Source_Data!D$7+IF($B$225=1,IF(Source_Data!D$6=Inputs!$B$13,Source_Data!$C$8,0),Source_Data!D$8)</f>
        <v>0</v>
      </c>
      <c r="E227" s="33" t="n">
        <f aca="false">Source_Data!E$7+IF($B$225=1,IF(Source_Data!E$6=Inputs!$B$13,Source_Data!$C$8,0),Source_Data!E$8)</f>
        <v>0</v>
      </c>
      <c r="F227" s="33" t="n">
        <f aca="false">Source_Data!F$7+IF($B$225=1,IF(Source_Data!F$6=Inputs!$B$13,Source_Data!$C$8,0),Source_Data!F$8)</f>
        <v>15.1392375</v>
      </c>
      <c r="G227" s="33" t="n">
        <f aca="false">Source_Data!G$7+IF($B$225=1,IF(Source_Data!G$6=Inputs!$B$13,Source_Data!$C$8,0),Source_Data!G$8)</f>
        <v>30.278475</v>
      </c>
      <c r="H227" s="33" t="n">
        <f aca="false">Source_Data!H$7+IF($B$225=1,IF(Source_Data!H$6=Inputs!$B$13,Source_Data!$C$8,0),Source_Data!H$8)</f>
        <v>46.51200625</v>
      </c>
      <c r="I227" s="33" t="n">
        <f aca="false">Source_Data!I$7+IF($B$225=1,IF(Source_Data!I$6=Inputs!$B$13,Source_Data!$C$8,0),Source_Data!I$8)</f>
        <v>62.7455375</v>
      </c>
      <c r="J227" s="33" t="n">
        <f aca="false">Source_Data!J$7+IF($B$225=1,IF(Source_Data!J$6=Inputs!$B$13,Source_Data!$C$8,0),Source_Data!J$8)</f>
        <v>62.3657</v>
      </c>
      <c r="K227" s="33" t="n">
        <f aca="false">Source_Data!K$7+IF($B$225=1,IF(Source_Data!K$6=Inputs!$B$13,Source_Data!$C$8,0),Source_Data!K$8)</f>
        <v>63.473559375</v>
      </c>
      <c r="L227" s="33" t="n">
        <f aca="false">Source_Data!L$7+IF($B$225=1,IF(Source_Data!L$6=Inputs!$B$13,Source_Data!$C$8,0),Source_Data!L$8)</f>
        <v>80.3288484375</v>
      </c>
      <c r="M227" s="33" t="n">
        <f aca="false">Source_Data!M$7+IF($B$225=1,IF(Source_Data!M$6=Inputs!$B$13,Source_Data!$C$8,0),Source_Data!M$8)</f>
        <v>495.2538375</v>
      </c>
      <c r="N227" s="33" t="n">
        <f aca="false">Source_Data!N$7+IF($B$225=1,IF(Source_Data!N$6=Inputs!$B$13,Source_Data!$C$8,0),Source_Data!N$8)</f>
        <v>185.57775</v>
      </c>
      <c r="O227" s="33" t="n">
        <f aca="false">Source_Data!O$7+IF($B$225=1,IF(Source_Data!O$6=Inputs!$B$13,Source_Data!$C$8,0),Source_Data!O$8)</f>
        <v>176.534</v>
      </c>
      <c r="P227" s="33" t="n">
        <f aca="false">Source_Data!P$7+IF($B$225=1,IF(Source_Data!P$6=Inputs!$B$13,Source_Data!$C$8,0),Source_Data!P$8)</f>
        <v>97.31075</v>
      </c>
      <c r="Q227" s="33" t="n">
        <f aca="false">Source_Data!Q$7+IF($B$225=1,IF(Source_Data!Q$6=Inputs!$B$13,Source_Data!$C$8,0),Source_Data!Q$8)</f>
        <v>71.30996875</v>
      </c>
      <c r="R227" s="33" t="n">
        <f aca="false">Source_Data!R$7+IF($B$225=1,IF(Source_Data!R$6=Inputs!$B$13,Source_Data!$C$8,0),Source_Data!R$8)</f>
        <v>71.30996875</v>
      </c>
      <c r="S227" s="33" t="n">
        <f aca="false">Source_Data!S$7+IF($B$225=1,IF(Source_Data!S$6=Inputs!$B$13,Source_Data!$C$8,0),Source_Data!S$8)</f>
        <v>68.037035625</v>
      </c>
      <c r="T227" s="33" t="n">
        <f aca="false">Source_Data!T$7+IF($B$225=1,IF(Source_Data!T$6=Inputs!$B$13,Source_Data!$C$8,0),Source_Data!T$8)</f>
        <v>61.2266396875</v>
      </c>
      <c r="U227" s="33" t="n">
        <f aca="false">Source_Data!U$7+IF($B$225=1,IF(Source_Data!U$6=Inputs!$B$13,Source_Data!$C$8,0),Source_Data!U$8)</f>
        <v>59.7127159375</v>
      </c>
      <c r="V227" s="33" t="n">
        <f aca="false">Source_Data!V$7+IF($B$225=1,IF(Source_Data!V$6=Inputs!$B$13,Source_Data!$C$8,0),Source_Data!V$8)</f>
        <v>53.7239446875</v>
      </c>
      <c r="W227" s="33" t="n">
        <f aca="false">Source_Data!W$7+IF($B$225=1,IF(Source_Data!W$6=Inputs!$B$13,Source_Data!$C$8,0),Source_Data!W$8)</f>
        <v>49.3829446875</v>
      </c>
      <c r="X227" s="33" t="n">
        <f aca="false">Source_Data!X$7+IF($B$225=1,IF(Source_Data!X$6=Inputs!$B$13,Source_Data!$C$8,0),Source_Data!X$8)</f>
        <v>49.3829446875</v>
      </c>
      <c r="Y227" s="33" t="n">
        <f aca="false">Source_Data!Y$7+IF($B$225=1,IF(Source_Data!Y$6=Inputs!$B$13,Source_Data!$C$8,0),Source_Data!Y$8)</f>
        <v>42.1027259375</v>
      </c>
      <c r="Z227" s="33" t="n">
        <f aca="false">Source_Data!Z$7+IF($B$225=1,IF(Source_Data!Z$6=Inputs!$B$13,Source_Data!$C$8,0),Source_Data!Z$8)</f>
        <v>42.1027259375</v>
      </c>
      <c r="AA227" s="33" t="n">
        <f aca="false">Source_Data!AA$7+IF($B$225=1,IF(Source_Data!AA$6=Inputs!$B$13,Source_Data!$C$8,0),Source_Data!AA$8)</f>
        <v>42.1027259375</v>
      </c>
      <c r="AB227" s="33" t="n">
        <f aca="false">Source_Data!AB$7+IF($B$225=1,IF(Source_Data!AB$6=Inputs!$B$13,Source_Data!$C$8,0),Source_Data!AB$8)</f>
        <v>36.3147259375</v>
      </c>
      <c r="AC227" s="33" t="n">
        <f aca="false">Source_Data!AC$7+IF($B$225=1,IF(Source_Data!AC$6=Inputs!$B$13,Source_Data!$C$8,0),Source_Data!AC$8)</f>
        <v>33.0386275</v>
      </c>
      <c r="AD227" s="33" t="n">
        <f aca="false">Source_Data!AD$7+IF($B$225=1,IF(Source_Data!AD$6=Inputs!$B$13,Source_Data!$C$8,0),Source_Data!AD$8)</f>
        <v>29.43017125</v>
      </c>
      <c r="AE227" s="33" t="n">
        <f aca="false">Source_Data!AE$7+IF($B$225=1,IF(Source_Data!AE$6=Inputs!$B$13,Source_Data!$C$8,0),Source_Data!AE$8)</f>
        <v>25.08917125</v>
      </c>
      <c r="AF227" s="33" t="n">
        <f aca="false">Source_Data!AF$7+IF($B$225=1,IF(Source_Data!AF$6=Inputs!$B$13,Source_Data!$C$8,0),Source_Data!AF$8)</f>
        <v>25.08917125</v>
      </c>
      <c r="AG227" s="33" t="n">
        <f aca="false">Source_Data!AG$7+IF($B$225=1,IF(Source_Data!AG$6=Inputs!$B$13,Source_Data!$C$8,0),Source_Data!AG$8)</f>
        <v>25.08917125</v>
      </c>
      <c r="AH227" s="33" t="n">
        <f aca="false">Source_Data!AH$7+IF($B$225=1,IF(Source_Data!AH$6=Inputs!$B$13,Source_Data!$C$8,0),Source_Data!AH$8)</f>
        <v>25.08917125</v>
      </c>
      <c r="AI227" s="33" t="n">
        <f aca="false">Source_Data!AI$7+IF($B$225=1,IF(Source_Data!AI$6=Inputs!$B$13,Source_Data!$C$8,0),Source_Data!AI$8)</f>
        <v>25.08917125</v>
      </c>
      <c r="AJ227" s="33" t="n">
        <f aca="false">Source_Data!AJ$7+IF($B$225=1,IF(Source_Data!AJ$6=Inputs!$B$13,Source_Data!$C$8,0),Source_Data!AJ$8)</f>
        <v>25.08917125</v>
      </c>
      <c r="AK227" s="33" t="n">
        <f aca="false">Source_Data!AK$7+IF($B$225=1,IF(Source_Data!AK$6=Inputs!$B$13,Source_Data!$C$8,0),Source_Data!AK$8)</f>
        <v>22.905105625</v>
      </c>
      <c r="AL227" s="33" t="n">
        <f aca="false">Source_Data!AL$7+IF($B$225=1,IF(Source_Data!AL$6=Inputs!$B$13,Source_Data!$C$8,0),Source_Data!AL$8)</f>
        <v>22.905105625</v>
      </c>
      <c r="AM227" s="33" t="n">
        <f aca="false">Source_Data!AM$7+IF($B$225=1,IF(Source_Data!AM$6=Inputs!$B$13,Source_Data!$C$8,0),Source_Data!AM$8)</f>
        <v>18.739554375</v>
      </c>
      <c r="AN227" s="33" t="n">
        <f aca="false">Source_Data!AN$7+IF($B$225=1,IF(Source_Data!AN$6=Inputs!$B$13,Source_Data!$C$8,0),Source_Data!AN$8)</f>
        <v>9.6261675</v>
      </c>
      <c r="AO227" s="33" t="n">
        <f aca="false">Source_Data!AO$7+IF($B$225=1,IF(Source_Data!AO$6=Inputs!$B$13,Source_Data!$C$8,0),Source_Data!AO$8)</f>
        <v>3.5704725</v>
      </c>
      <c r="AP227" s="33" t="n">
        <f aca="false">Source_Data!AP$7+IF($B$225=1,IF(Source_Data!AP$6=Inputs!$B$13,Source_Data!$C$8,0),Source_Data!AP$8)</f>
        <v>0</v>
      </c>
      <c r="AQ227" s="33" t="n">
        <f aca="false">Source_Data!AQ$7+IF($B$225=1,IF(Source_Data!AQ$6=Inputs!$B$13,Source_Data!$C$8,0),Source_Data!AQ$8)</f>
        <v>0</v>
      </c>
      <c r="AR227" s="33" t="n">
        <f aca="false">Source_Data!AR$7+IF($B$225=1,IF(Source_Data!AR$6=Inputs!$B$13,Source_Data!$C$8,0),Source_Data!AR$8)</f>
        <v>0</v>
      </c>
      <c r="AS227" s="33" t="n">
        <f aca="false">Source_Data!AS$7+IF($B$225=1,IF(Source_Data!AS$6=Inputs!$B$13,Source_Data!$C$8,0),Source_Data!AS$8)</f>
        <v>0</v>
      </c>
      <c r="AT227" s="33" t="n">
        <f aca="false">Source_Data!AT$7+IF($B$225=1,IF(Source_Data!AT$6=Inputs!$B$13,Source_Data!$C$8,0),Source_Data!AT$8)</f>
        <v>0</v>
      </c>
      <c r="AU227" s="33" t="n">
        <f aca="false">Source_Data!AU$7+IF($B$225=1,IF(Source_Data!AU$6=Inputs!$B$13,Source_Data!$C$8,0),Source_Data!AU$8)</f>
        <v>0</v>
      </c>
      <c r="AV227" s="33" t="n">
        <f aca="false">Source_Data!AV$7+IF($B$225=1,IF(Source_Data!AV$6=Inputs!$B$13,Source_Data!$C$8,0),Source_Data!AV$8)</f>
        <v>0</v>
      </c>
      <c r="AW227" s="33" t="n">
        <f aca="false">Source_Data!AW$7+IF($B$225=1,IF(Source_Data!AW$6=Inputs!$B$13,Source_Data!$C$8,0),Source_Data!AW$8)</f>
        <v>0</v>
      </c>
      <c r="AX227" s="33" t="n">
        <f aca="false">Source_Data!AX$7+IF($B$225=1,IF(Source_Data!AX$6=Inputs!$B$13,Source_Data!$C$8,0),Source_Data!AX$8)</f>
        <v>0</v>
      </c>
      <c r="AY227" s="33" t="n">
        <f aca="false">Source_Data!AY$7+IF($B$225=1,IF(Source_Data!AY$6=Inputs!$B$13,Source_Data!$C$8,0),Source_Data!AY$8)</f>
        <v>0</v>
      </c>
      <c r="AZ227" s="33" t="n">
        <f aca="false">Source_Data!AZ$7+IF($B$225=1,IF(Source_Data!AZ$6=Inputs!$B$13,Source_Data!$C$8,0),Source_Data!AZ$8)</f>
        <v>0</v>
      </c>
      <c r="BA227" s="33" t="n">
        <f aca="false">Source_Data!BA$7+IF($B$225=1,IF(Source_Data!BA$6=Inputs!$B$13,Source_Data!$C$8,0),Source_Data!BA$8)</f>
        <v>0</v>
      </c>
      <c r="BB227" s="33" t="n">
        <f aca="false">Source_Data!BB$7+IF($B$225=1,IF(Source_Data!BB$6=Inputs!$B$13,Source_Data!$C$8,0),Source_Data!BB$8)</f>
        <v>0</v>
      </c>
      <c r="BC227" s="33" t="n">
        <f aca="false">Source_Data!BC$7+IF($B$225=1,IF(Source_Data!BC$6=Inputs!$B$13,Source_Data!$C$8,0),Source_Data!BC$8)</f>
        <v>0</v>
      </c>
      <c r="BD227" s="33" t="n">
        <f aca="false">Source_Data!BD$7+IF($B$225=1,IF(Source_Data!BD$6=Inputs!$B$13,Source_Data!$C$8,0),Source_Data!BD$8)</f>
        <v>0</v>
      </c>
      <c r="BE227" s="33" t="n">
        <f aca="false">Source_Data!BE$7+IF($B$225=1,IF(Source_Data!BE$6=Inputs!$B$13,Source_Data!$C$8,0),Source_Data!BE$8)</f>
        <v>0</v>
      </c>
      <c r="BF227" s="33" t="n">
        <f aca="false">Source_Data!BF$7+IF($B$225=1,IF(Source_Data!BF$6=Inputs!$B$13,Source_Data!$C$8,0),Source_Data!BF$8)</f>
        <v>0</v>
      </c>
      <c r="BG227" s="33" t="n">
        <f aca="false">Source_Data!BG$7+IF($B$225=1,IF(Source_Data!BG$6=Inputs!$B$13,Source_Data!$C$8,0),Source_Data!BG$8)</f>
        <v>0</v>
      </c>
      <c r="BH227" s="33" t="n">
        <f aca="false">Source_Data!BH$7+IF($B$225=1,IF(Source_Data!BH$6=Inputs!$B$13,Source_Data!$C$8,0),Source_Data!BH$8)</f>
        <v>0</v>
      </c>
      <c r="BI227" s="33" t="n">
        <f aca="false">Source_Data!BI$7+IF($B$225=1,IF(Source_Data!BI$6=Inputs!$B$13,Source_Data!$C$8,0),Source_Data!BI$8)</f>
        <v>0</v>
      </c>
      <c r="BJ227" s="33" t="n">
        <f aca="false">Source_Data!BJ$7+IF($B$225=1,IF(Source_Data!BJ$6=Inputs!$B$13,Source_Data!$C$8,0),Source_Data!BJ$8)</f>
        <v>0</v>
      </c>
      <c r="BK227" s="33" t="n">
        <f aca="false">Source_Data!BK$7+IF($B$225=1,IF(Source_Data!BK$6=Inputs!$B$13,Source_Data!$C$8,0),Source_Data!BK$8)</f>
        <v>0</v>
      </c>
    </row>
    <row r="228" customFormat="false" ht="15" hidden="false" customHeight="false" outlineLevel="0" collapsed="false">
      <c r="A228" s="3" t="s">
        <v>338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0</v>
      </c>
      <c r="K228" s="33" t="n">
        <f aca="false">$B$221*IF(Source_Data!K$5-($B$222+$B$224)&gt;=1,INDEX($D$227:$BK$227,1,Source_Data!K$5-($B$222+$B$224)),0)</f>
        <v>0</v>
      </c>
      <c r="L228" s="33" t="n">
        <f aca="false">$B$221*IF(Source_Data!L$5-($B$222+$B$224)&gt;=1,INDEX($D$227:$BK$227,1,Source_Data!L$5-($B$222+$B$224)),0)</f>
        <v>15.1392375</v>
      </c>
      <c r="M228" s="33" t="n">
        <f aca="false">$B$221*IF(Source_Data!M$5-($B$222+$B$224)&gt;=1,INDEX($D$227:$BK$227,1,Source_Data!M$5-($B$222+$B$224)),0)</f>
        <v>30.278475</v>
      </c>
      <c r="N228" s="33" t="n">
        <f aca="false">$B$221*IF(Source_Data!N$5-($B$222+$B$224)&gt;=1,INDEX($D$227:$BK$227,1,Source_Data!N$5-($B$222+$B$224)),0)</f>
        <v>46.51200625</v>
      </c>
      <c r="O228" s="33" t="n">
        <f aca="false">$B$221*IF(Source_Data!O$5-($B$222+$B$224)&gt;=1,INDEX($D$227:$BK$227,1,Source_Data!O$5-($B$222+$B$224)),0)</f>
        <v>62.7455375</v>
      </c>
      <c r="P228" s="33" t="n">
        <f aca="false">$B$221*IF(Source_Data!P$5-($B$222+$B$224)&gt;=1,INDEX($D$227:$BK$227,1,Source_Data!P$5-($B$222+$B$224)),0)</f>
        <v>62.3657</v>
      </c>
      <c r="Q228" s="33" t="n">
        <f aca="false">$B$221*IF(Source_Data!Q$5-($B$222+$B$224)&gt;=1,INDEX($D$227:$BK$227,1,Source_Data!Q$5-($B$222+$B$224)),0)</f>
        <v>63.473559375</v>
      </c>
      <c r="R228" s="33" t="n">
        <f aca="false">$B$221*IF(Source_Data!R$5-($B$222+$B$224)&gt;=1,INDEX($D$227:$BK$227,1,Source_Data!R$5-($B$222+$B$224)),0)</f>
        <v>80.3288484375</v>
      </c>
      <c r="S228" s="33" t="n">
        <f aca="false">$B$221*IF(Source_Data!S$5-($B$222+$B$224)&gt;=1,INDEX($D$227:$BK$227,1,Source_Data!S$5-($B$222+$B$224)),0)</f>
        <v>495.2538375</v>
      </c>
      <c r="T228" s="33" t="n">
        <f aca="false">$B$221*IF(Source_Data!T$5-($B$222+$B$224)&gt;=1,INDEX($D$227:$BK$227,1,Source_Data!T$5-($B$222+$B$224)),0)</f>
        <v>185.57775</v>
      </c>
      <c r="U228" s="33" t="n">
        <f aca="false">$B$221*IF(Source_Data!U$5-($B$222+$B$224)&gt;=1,INDEX($D$227:$BK$227,1,Source_Data!U$5-($B$222+$B$224)),0)</f>
        <v>176.534</v>
      </c>
      <c r="V228" s="33" t="n">
        <f aca="false">$B$221*IF(Source_Data!V$5-($B$222+$B$224)&gt;=1,INDEX($D$227:$BK$227,1,Source_Data!V$5-($B$222+$B$224)),0)</f>
        <v>97.31075</v>
      </c>
      <c r="W228" s="33" t="n">
        <f aca="false">$B$221*IF(Source_Data!W$5-($B$222+$B$224)&gt;=1,INDEX($D$227:$BK$227,1,Source_Data!W$5-($B$222+$B$224)),0)</f>
        <v>71.30996875</v>
      </c>
      <c r="X228" s="33" t="n">
        <f aca="false">$B$221*IF(Source_Data!X$5-($B$222+$B$224)&gt;=1,INDEX($D$227:$BK$227,1,Source_Data!X$5-($B$222+$B$224)),0)</f>
        <v>71.30996875</v>
      </c>
      <c r="Y228" s="33" t="n">
        <f aca="false">$B$221*IF(Source_Data!Y$5-($B$222+$B$224)&gt;=1,INDEX($D$227:$BK$227,1,Source_Data!Y$5-($B$222+$B$224)),0)</f>
        <v>68.037035625</v>
      </c>
      <c r="Z228" s="33" t="n">
        <f aca="false">$B$221*IF(Source_Data!Z$5-($B$222+$B$224)&gt;=1,INDEX($D$227:$BK$227,1,Source_Data!Z$5-($B$222+$B$224)),0)</f>
        <v>61.2266396875</v>
      </c>
      <c r="AA228" s="33" t="n">
        <f aca="false">$B$221*IF(Source_Data!AA$5-($B$222+$B$224)&gt;=1,INDEX($D$227:$BK$227,1,Source_Data!AA$5-($B$222+$B$224)),0)</f>
        <v>59.7127159375</v>
      </c>
      <c r="AB228" s="33" t="n">
        <f aca="false">$B$221*IF(Source_Data!AB$5-($B$222+$B$224)&gt;=1,INDEX($D$227:$BK$227,1,Source_Data!AB$5-($B$222+$B$224)),0)</f>
        <v>53.7239446875</v>
      </c>
      <c r="AC228" s="33" t="n">
        <f aca="false">$B$221*IF(Source_Data!AC$5-($B$222+$B$224)&gt;=1,INDEX($D$227:$BK$227,1,Source_Data!AC$5-($B$222+$B$224)),0)</f>
        <v>49.3829446875</v>
      </c>
      <c r="AD228" s="33" t="n">
        <f aca="false">$B$221*IF(Source_Data!AD$5-($B$222+$B$224)&gt;=1,INDEX($D$227:$BK$227,1,Source_Data!AD$5-($B$222+$B$224)),0)</f>
        <v>49.3829446875</v>
      </c>
      <c r="AE228" s="33" t="n">
        <f aca="false">$B$221*IF(Source_Data!AE$5-($B$222+$B$224)&gt;=1,INDEX($D$227:$BK$227,1,Source_Data!AE$5-($B$222+$B$224)),0)</f>
        <v>42.1027259375</v>
      </c>
      <c r="AF228" s="33" t="n">
        <f aca="false">$B$221*IF(Source_Data!AF$5-($B$222+$B$224)&gt;=1,INDEX($D$227:$BK$227,1,Source_Data!AF$5-($B$222+$B$224)),0)</f>
        <v>42.1027259375</v>
      </c>
      <c r="AG228" s="33" t="n">
        <f aca="false">$B$221*IF(Source_Data!AG$5-($B$222+$B$224)&gt;=1,INDEX($D$227:$BK$227,1,Source_Data!AG$5-($B$222+$B$224)),0)</f>
        <v>42.1027259375</v>
      </c>
      <c r="AH228" s="33" t="n">
        <f aca="false">$B$221*IF(Source_Data!AH$5-($B$222+$B$224)&gt;=1,INDEX($D$227:$BK$227,1,Source_Data!AH$5-($B$222+$B$224)),0)</f>
        <v>36.3147259375</v>
      </c>
      <c r="AI228" s="33" t="n">
        <f aca="false">$B$221*IF(Source_Data!AI$5-($B$222+$B$224)&gt;=1,INDEX($D$227:$BK$227,1,Source_Data!AI$5-($B$222+$B$224)),0)</f>
        <v>33.0386275</v>
      </c>
      <c r="AJ228" s="33" t="n">
        <f aca="false">$B$221*IF(Source_Data!AJ$5-($B$222+$B$224)&gt;=1,INDEX($D$227:$BK$227,1,Source_Data!AJ$5-($B$222+$B$224)),0)</f>
        <v>29.43017125</v>
      </c>
      <c r="AK228" s="33" t="n">
        <f aca="false">$B$221*IF(Source_Data!AK$5-($B$222+$B$224)&gt;=1,INDEX($D$227:$BK$227,1,Source_Data!AK$5-($B$222+$B$224)),0)</f>
        <v>25.08917125</v>
      </c>
      <c r="AL228" s="33" t="n">
        <f aca="false">$B$221*IF(Source_Data!AL$5-($B$222+$B$224)&gt;=1,INDEX($D$227:$BK$227,1,Source_Data!AL$5-($B$222+$B$224)),0)</f>
        <v>25.08917125</v>
      </c>
      <c r="AM228" s="33" t="n">
        <f aca="false">$B$221*IF(Source_Data!AM$5-($B$222+$B$224)&gt;=1,INDEX($D$227:$BK$227,1,Source_Data!AM$5-($B$222+$B$224)),0)</f>
        <v>25.08917125</v>
      </c>
      <c r="AN228" s="33" t="n">
        <f aca="false">$B$221*IF(Source_Data!AN$5-($B$222+$B$224)&gt;=1,INDEX($D$227:$BK$227,1,Source_Data!AN$5-($B$222+$B$224)),0)</f>
        <v>25.08917125</v>
      </c>
      <c r="AO228" s="33" t="n">
        <f aca="false">$B$221*IF(Source_Data!AO$5-($B$222+$B$224)&gt;=1,INDEX($D$227:$BK$227,1,Source_Data!AO$5-($B$222+$B$224)),0)</f>
        <v>25.08917125</v>
      </c>
      <c r="AP228" s="33" t="n">
        <f aca="false">$B$221*IF(Source_Data!AP$5-($B$222+$B$224)&gt;=1,INDEX($D$227:$BK$227,1,Source_Data!AP$5-($B$222+$B$224)),0)</f>
        <v>25.08917125</v>
      </c>
      <c r="AQ228" s="33" t="n">
        <f aca="false">$B$221*IF(Source_Data!AQ$5-($B$222+$B$224)&gt;=1,INDEX($D$227:$BK$227,1,Source_Data!AQ$5-($B$222+$B$224)),0)</f>
        <v>22.905105625</v>
      </c>
      <c r="AR228" s="33" t="n">
        <f aca="false">$B$221*IF(Source_Data!AR$5-($B$222+$B$224)&gt;=1,INDEX($D$227:$BK$227,1,Source_Data!AR$5-($B$222+$B$224)),0)</f>
        <v>22.905105625</v>
      </c>
      <c r="AS228" s="33" t="n">
        <f aca="false">$B$221*IF(Source_Data!AS$5-($B$222+$B$224)&gt;=1,INDEX($D$227:$BK$227,1,Source_Data!AS$5-($B$222+$B$224)),0)</f>
        <v>18.739554375</v>
      </c>
      <c r="AT228" s="33" t="n">
        <f aca="false">$B$221*IF(Source_Data!AT$5-($B$222+$B$224)&gt;=1,INDEX($D$227:$BK$227,1,Source_Data!AT$5-($B$222+$B$224)),0)</f>
        <v>9.6261675</v>
      </c>
      <c r="AU228" s="33" t="n">
        <f aca="false">$B$221*IF(Source_Data!AU$5-($B$222+$B$224)&gt;=1,INDEX($D$227:$BK$227,1,Source_Data!AU$5-($B$222+$B$224)),0)</f>
        <v>3.5704725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339</v>
      </c>
      <c r="D229" s="33" t="n">
        <f aca="false">Source_Data!D$9+Source_Data!D$10*IF(Source_Data!$C$10=0,0,MAX(0,Inputs!$B$19*Inputs!$B$22*$B$221-Inputs!$B$20)/Source_Data!$C$10)</f>
        <v>91.25</v>
      </c>
      <c r="E229" s="33" t="n">
        <f aca="false">Source_Data!E$9+Source_Data!E$10*IF(Source_Data!$C$10=0,0,MAX(0,Inputs!$B$19*Inputs!$B$22*$B$221-Inputs!$B$20)/Source_Data!$C$10)</f>
        <v>11.25</v>
      </c>
      <c r="F229" s="33" t="n">
        <f aca="false">Source_Data!F$9+Source_Data!F$10*IF(Source_Data!$C$10=0,0,MAX(0,Inputs!$B$19*Inputs!$B$22*$B$221-Inputs!$B$20)/Source_Data!$C$10)</f>
        <v>11.25</v>
      </c>
      <c r="G229" s="33" t="n">
        <f aca="false">Source_Data!G$9+Source_Data!G$10*IF(Source_Data!$C$10=0,0,MAX(0,Inputs!$B$19*Inputs!$B$22*$B$221-Inputs!$B$20)/Source_Data!$C$10)</f>
        <v>11.25</v>
      </c>
      <c r="H229" s="33" t="n">
        <f aca="false">Source_Data!H$9+Source_Data!H$10*IF(Source_Data!$C$10=0,0,MAX(0,Inputs!$B$19*Inputs!$B$22*$B$221-Inputs!$B$20)/Source_Data!$C$10)</f>
        <v>22.5</v>
      </c>
      <c r="I229" s="33" t="n">
        <f aca="false">Source_Data!I$9+Source_Data!I$10*IF(Source_Data!$C$10=0,0,MAX(0,Inputs!$B$19*Inputs!$B$22*$B$221-Inputs!$B$20)/Source_Data!$C$10)</f>
        <v>22.5</v>
      </c>
      <c r="J229" s="33" t="n">
        <f aca="false">Source_Data!J$9+Source_Data!J$10*IF(Source_Data!$C$10=0,0,MAX(0,Inputs!$B$19*Inputs!$B$22*$B$221-Inputs!$B$20)/Source_Data!$C$10)</f>
        <v>22.5</v>
      </c>
      <c r="K229" s="33" t="n">
        <f aca="false">Source_Data!K$9+Source_Data!K$10*IF(Source_Data!$C$10=0,0,MAX(0,Inputs!$B$19*Inputs!$B$22*$B$221-Inputs!$B$20)/Source_Data!$C$10)</f>
        <v>22.5</v>
      </c>
      <c r="L229" s="33" t="n">
        <f aca="false">Source_Data!L$9+Source_Data!L$10*IF(Source_Data!$C$10=0,0,MAX(0,Inputs!$B$19*Inputs!$B$22*$B$221-Inputs!$B$20)/Source_Data!$C$10)</f>
        <v>33.75</v>
      </c>
      <c r="M229" s="33" t="n">
        <f aca="false">Source_Data!M$9+Source_Data!M$10*IF(Source_Data!$C$10=0,0,MAX(0,Inputs!$B$19*Inputs!$B$22*$B$221-Inputs!$B$20)/Source_Data!$C$10)</f>
        <v>33.75</v>
      </c>
      <c r="N229" s="33" t="n">
        <f aca="false">Source_Data!N$9+Source_Data!N$10*IF(Source_Data!$C$10=0,0,MAX(0,Inputs!$B$19*Inputs!$B$22*$B$221-Inputs!$B$20)/Source_Data!$C$10)</f>
        <v>33.75</v>
      </c>
      <c r="O229" s="33" t="n">
        <f aca="false">Source_Data!O$9+Source_Data!O$10*IF(Source_Data!$C$10=0,0,MAX(0,Inputs!$B$19*Inputs!$B$22*$B$221-Inputs!$B$20)/Source_Data!$C$10)</f>
        <v>33.75</v>
      </c>
      <c r="P229" s="33" t="n">
        <f aca="false">Source_Data!P$9+Source_Data!P$10*IF(Source_Data!$C$10=0,0,MAX(0,Inputs!$B$19*Inputs!$B$22*$B$221-Inputs!$B$20)/Source_Data!$C$10)</f>
        <v>45</v>
      </c>
      <c r="Q229" s="33" t="n">
        <f aca="false">Source_Data!Q$9+Source_Data!Q$10*IF(Source_Data!$C$10=0,0,MAX(0,Inputs!$B$19*Inputs!$B$22*$B$221-Inputs!$B$20)/Source_Data!$C$10)</f>
        <v>45</v>
      </c>
      <c r="R229" s="33" t="n">
        <f aca="false">Source_Data!R$9+Source_Data!R$10*IF(Source_Data!$C$10=0,0,MAX(0,Inputs!$B$19*Inputs!$B$22*$B$221-Inputs!$B$20)/Source_Data!$C$10)</f>
        <v>45</v>
      </c>
      <c r="S229" s="33" t="n">
        <f aca="false">Source_Data!S$9+Source_Data!S$10*IF(Source_Data!$C$10=0,0,MAX(0,Inputs!$B$19*Inputs!$B$22*$B$221-Inputs!$B$20)/Source_Data!$C$10)</f>
        <v>45</v>
      </c>
      <c r="T229" s="33" t="n">
        <f aca="false">Source_Data!T$9+Source_Data!T$10*IF(Source_Data!$C$10=0,0,MAX(0,Inputs!$B$19*Inputs!$B$22*$B$221-Inputs!$B$20)/Source_Data!$C$10)</f>
        <v>45</v>
      </c>
      <c r="U229" s="33" t="n">
        <f aca="false">Source_Data!U$9+Source_Data!U$10*IF(Source_Data!$C$10=0,0,MAX(0,Inputs!$B$19*Inputs!$B$22*$B$221-Inputs!$B$20)/Source_Data!$C$10)</f>
        <v>45</v>
      </c>
      <c r="V229" s="33" t="n">
        <f aca="false">Source_Data!V$9+Source_Data!V$10*IF(Source_Data!$C$10=0,0,MAX(0,Inputs!$B$19*Inputs!$B$22*$B$221-Inputs!$B$20)/Source_Data!$C$10)</f>
        <v>45</v>
      </c>
      <c r="W229" s="33" t="n">
        <f aca="false">Source_Data!W$9+Source_Data!W$10*IF(Source_Data!$C$10=0,0,MAX(0,Inputs!$B$19*Inputs!$B$22*$B$221-Inputs!$B$20)/Source_Data!$C$10)</f>
        <v>45</v>
      </c>
      <c r="X229" s="33" t="n">
        <f aca="false">Source_Data!X$9+Source_Data!X$10*IF(Source_Data!$C$10=0,0,MAX(0,Inputs!$B$19*Inputs!$B$22*$B$221-Inputs!$B$20)/Source_Data!$C$10)</f>
        <v>22.5</v>
      </c>
      <c r="Y229" s="33" t="n">
        <f aca="false">Source_Data!Y$9+Source_Data!Y$10*IF(Source_Data!$C$10=0,0,MAX(0,Inputs!$B$19*Inputs!$B$22*$B$221-Inputs!$B$20)/Source_Data!$C$10)</f>
        <v>22.5</v>
      </c>
      <c r="Z229" s="33" t="n">
        <f aca="false">Source_Data!Z$9+Source_Data!Z$10*IF(Source_Data!$C$10=0,0,MAX(0,Inputs!$B$19*Inputs!$B$22*$B$221-Inputs!$B$20)/Source_Data!$C$10)</f>
        <v>22.5</v>
      </c>
      <c r="AA229" s="33" t="n">
        <f aca="false">Source_Data!AA$9+Source_Data!AA$10*IF(Source_Data!$C$10=0,0,MAX(0,Inputs!$B$19*Inputs!$B$22*$B$221-Inputs!$B$20)/Source_Data!$C$10)</f>
        <v>22.5</v>
      </c>
      <c r="AB229" s="33" t="n">
        <f aca="false">Source_Data!AB$9+Source_Data!AB$10*IF(Source_Data!$C$10=0,0,MAX(0,Inputs!$B$19*Inputs!$B$22*$B$221-Inputs!$B$20)/Source_Data!$C$10)</f>
        <v>0</v>
      </c>
      <c r="AC229" s="33" t="n">
        <f aca="false">Source_Data!AC$9+Source_Data!AC$10*IF(Source_Data!$C$10=0,0,MAX(0,Inputs!$B$19*Inputs!$B$22*$B$221-Inputs!$B$20)/Source_Data!$C$10)</f>
        <v>0</v>
      </c>
      <c r="AD229" s="33" t="n">
        <f aca="false">Source_Data!AD$9+Source_Data!AD$10*IF(Source_Data!$C$10=0,0,MAX(0,Inputs!$B$19*Inputs!$B$22*$B$221-Inputs!$B$20)/Source_Data!$C$10)</f>
        <v>0</v>
      </c>
      <c r="AE229" s="33" t="n">
        <f aca="false">Source_Data!AE$9+Source_Data!AE$10*IF(Source_Data!$C$10=0,0,MAX(0,Inputs!$B$19*Inputs!$B$22*$B$221-Inputs!$B$20)/Source_Data!$C$10)</f>
        <v>0</v>
      </c>
      <c r="AF229" s="33" t="n">
        <f aca="false">Source_Data!AF$9+Source_Data!AF$10*IF(Source_Data!$C$10=0,0,MAX(0,Inputs!$B$19*Inputs!$B$22*$B$221-Inputs!$B$20)/Source_Data!$C$10)</f>
        <v>107.758210351563</v>
      </c>
      <c r="AG229" s="33" t="n">
        <f aca="false">Source_Data!AG$9+Source_Data!AG$10*IF(Source_Data!$C$10=0,0,MAX(0,Inputs!$B$19*Inputs!$B$22*$B$221-Inputs!$B$20)/Source_Data!$C$10)</f>
        <v>10.976512421875</v>
      </c>
      <c r="AH229" s="33" t="n">
        <f aca="false">Source_Data!AH$9+Source_Data!AH$10*IF(Source_Data!$C$10=0,0,MAX(0,Inputs!$B$19*Inputs!$B$22*$B$221-Inputs!$B$20)/Source_Data!$C$10)</f>
        <v>10.976512421875</v>
      </c>
      <c r="AI229" s="33" t="n">
        <f aca="false">Source_Data!AI$9+Source_Data!AI$10*IF(Source_Data!$C$10=0,0,MAX(0,Inputs!$B$19*Inputs!$B$22*$B$221-Inputs!$B$20)/Source_Data!$C$10)</f>
        <v>10.976512421875</v>
      </c>
      <c r="AJ229" s="33" t="n">
        <f aca="false">Source_Data!AJ$9+Source_Data!AJ$10*IF(Source_Data!$C$10=0,0,MAX(0,Inputs!$B$19*Inputs!$B$22*$B$221-Inputs!$B$20)/Source_Data!$C$10)</f>
        <v>10.976512421875</v>
      </c>
      <c r="AK229" s="33" t="n">
        <f aca="false">Source_Data!AK$9+Source_Data!AK$10*IF(Source_Data!$C$10=0,0,MAX(0,Inputs!$B$19*Inputs!$B$22*$B$221-Inputs!$B$20)/Source_Data!$C$10)</f>
        <v>10.0209837109375</v>
      </c>
      <c r="AL229" s="33" t="n">
        <f aca="false">Source_Data!AL$9+Source_Data!AL$10*IF(Source_Data!$C$10=0,0,MAX(0,Inputs!$B$19*Inputs!$B$22*$B$221-Inputs!$B$20)/Source_Data!$C$10)</f>
        <v>10.0209837109375</v>
      </c>
      <c r="AM229" s="33" t="n">
        <f aca="false">Source_Data!AM$9+Source_Data!AM$10*IF(Source_Data!$C$10=0,0,MAX(0,Inputs!$B$19*Inputs!$B$22*$B$221-Inputs!$B$20)/Source_Data!$C$10)</f>
        <v>8.19855503906249</v>
      </c>
      <c r="AN229" s="33" t="n">
        <f aca="false">Source_Data!AN$9+Source_Data!AN$10*IF(Source_Data!$C$10=0,0,MAX(0,Inputs!$B$19*Inputs!$B$22*$B$221-Inputs!$B$20)/Source_Data!$C$10)</f>
        <v>4.21144828125</v>
      </c>
      <c r="AO229" s="33" t="n">
        <f aca="false">Source_Data!AO$9+Source_Data!AO$10*IF(Source_Data!$C$10=0,0,MAX(0,Inputs!$B$19*Inputs!$B$22*$B$221-Inputs!$B$20)/Source_Data!$C$10)</f>
        <v>1.56208171875</v>
      </c>
      <c r="AP229" s="33" t="n">
        <f aca="false">Source_Data!AP$9+Source_Data!AP$10*IF(Source_Data!$C$10=0,0,MAX(0,Inputs!$B$19*Inputs!$B$22*$B$221-Inputs!$B$20)/Source_Data!$C$10)</f>
        <v>0</v>
      </c>
      <c r="AQ229" s="33" t="n">
        <f aca="false">Source_Data!AQ$9+Source_Data!AQ$10*IF(Source_Data!$C$10=0,0,MAX(0,Inputs!$B$19*Inputs!$B$22*$B$221-Inputs!$B$20)/Source_Data!$C$10)</f>
        <v>0</v>
      </c>
      <c r="AR229" s="33" t="n">
        <f aca="false">Source_Data!AR$9+Source_Data!AR$10*IF(Source_Data!$C$10=0,0,MAX(0,Inputs!$B$19*Inputs!$B$22*$B$221-Inputs!$B$20)/Source_Data!$C$10)</f>
        <v>0</v>
      </c>
      <c r="AS229" s="33" t="n">
        <f aca="false">Source_Data!AS$9+Source_Data!AS$10*IF(Source_Data!$C$10=0,0,MAX(0,Inputs!$B$19*Inputs!$B$22*$B$221-Inputs!$B$20)/Source_Data!$C$10)</f>
        <v>0</v>
      </c>
      <c r="AT229" s="33" t="n">
        <f aca="false">Source_Data!AT$9+Source_Data!AT$10*IF(Source_Data!$C$10=0,0,MAX(0,Inputs!$B$19*Inputs!$B$22*$B$221-Inputs!$B$20)/Source_Data!$C$10)</f>
        <v>0</v>
      </c>
      <c r="AU229" s="33" t="n">
        <f aca="false">Source_Data!AU$9+Source_Data!AU$10*IF(Source_Data!$C$10=0,0,MAX(0,Inputs!$B$19*Inputs!$B$22*$B$221-Inputs!$B$20)/Source_Data!$C$10)</f>
        <v>0</v>
      </c>
      <c r="AV229" s="33" t="n">
        <f aca="false">Source_Data!AV$9+Source_Data!AV$10*IF(Source_Data!$C$10=0,0,MAX(0,Inputs!$B$19*Inputs!$B$22*$B$221-Inputs!$B$20)/Source_Data!$C$10)</f>
        <v>0</v>
      </c>
      <c r="AW229" s="33" t="n">
        <f aca="false">Source_Data!AW$9+Source_Data!AW$10*IF(Source_Data!$C$10=0,0,MAX(0,Inputs!$B$19*Inputs!$B$22*$B$221-Inputs!$B$20)/Source_Data!$C$10)</f>
        <v>0</v>
      </c>
      <c r="AX229" s="33" t="n">
        <f aca="false">Source_Data!AX$9+Source_Data!AX$10*IF(Source_Data!$C$10=0,0,MAX(0,Inputs!$B$19*Inputs!$B$22*$B$221-Inputs!$B$20)/Source_Data!$C$10)</f>
        <v>0</v>
      </c>
      <c r="AY229" s="33" t="n">
        <f aca="false">Source_Data!AY$9+Source_Data!AY$10*IF(Source_Data!$C$10=0,0,MAX(0,Inputs!$B$19*Inputs!$B$22*$B$221-Inputs!$B$20)/Source_Data!$C$10)</f>
        <v>0</v>
      </c>
      <c r="AZ229" s="33" t="n">
        <f aca="false">Source_Data!AZ$9+Source_Data!AZ$10*IF(Source_Data!$C$10=0,0,MAX(0,Inputs!$B$19*Inputs!$B$22*$B$221-Inputs!$B$20)/Source_Data!$C$10)</f>
        <v>0</v>
      </c>
      <c r="BA229" s="33" t="n">
        <f aca="false">Source_Data!BA$9+Source_Data!BA$10*IF(Source_Data!$C$10=0,0,MAX(0,Inputs!$B$19*Inputs!$B$22*$B$221-Inputs!$B$20)/Source_Data!$C$10)</f>
        <v>0</v>
      </c>
      <c r="BB229" s="33" t="n">
        <f aca="false">Source_Data!BB$9+Source_Data!BB$10*IF(Source_Data!$C$10=0,0,MAX(0,Inputs!$B$19*Inputs!$B$22*$B$221-Inputs!$B$20)/Source_Data!$C$10)</f>
        <v>0</v>
      </c>
      <c r="BC229" s="33" t="n">
        <f aca="false">Source_Data!BC$9+Source_Data!BC$10*IF(Source_Data!$C$10=0,0,MAX(0,Inputs!$B$19*Inputs!$B$22*$B$221-Inputs!$B$20)/Source_Data!$C$10)</f>
        <v>0</v>
      </c>
      <c r="BD229" s="33" t="n">
        <f aca="false">Source_Data!BD$9+Source_Data!BD$10*IF(Source_Data!$C$10=0,0,MAX(0,Inputs!$B$19*Inputs!$B$22*$B$221-Inputs!$B$20)/Source_Data!$C$10)</f>
        <v>0</v>
      </c>
      <c r="BE229" s="33" t="n">
        <f aca="false">Source_Data!BE$9+Source_Data!BE$10*IF(Source_Data!$C$10=0,0,MAX(0,Inputs!$B$19*Inputs!$B$22*$B$221-Inputs!$B$20)/Source_Data!$C$10)</f>
        <v>0</v>
      </c>
      <c r="BF229" s="33" t="n">
        <f aca="false">Source_Data!BF$9+Source_Data!BF$10*IF(Source_Data!$C$10=0,0,MAX(0,Inputs!$B$19*Inputs!$B$22*$B$221-Inputs!$B$20)/Source_Data!$C$10)</f>
        <v>0</v>
      </c>
      <c r="BG229" s="33" t="n">
        <f aca="false">Source_Data!BG$9+Source_Data!BG$10*IF(Source_Data!$C$10=0,0,MAX(0,Inputs!$B$19*Inputs!$B$22*$B$221-Inputs!$B$20)/Source_Data!$C$10)</f>
        <v>0</v>
      </c>
      <c r="BH229" s="33" t="n">
        <f aca="false">Source_Data!BH$9+Source_Data!BH$10*IF(Source_Data!$C$10=0,0,MAX(0,Inputs!$B$19*Inputs!$B$22*$B$221-Inputs!$B$20)/Source_Data!$C$10)</f>
        <v>0</v>
      </c>
      <c r="BI229" s="33" t="n">
        <f aca="false">Source_Data!BI$9+Source_Data!BI$10*IF(Source_Data!$C$10=0,0,MAX(0,Inputs!$B$19*Inputs!$B$22*$B$221-Inputs!$B$20)/Source_Data!$C$10)</f>
        <v>0</v>
      </c>
      <c r="BJ229" s="33" t="n">
        <f aca="false">Source_Data!BJ$9+Source_Data!BJ$10*IF(Source_Data!$C$10=0,0,MAX(0,Inputs!$B$19*Inputs!$B$22*$B$221-Inputs!$B$20)/Source_Data!$C$10)</f>
        <v>0</v>
      </c>
      <c r="BK229" s="33" t="n">
        <f aca="false">Source_Data!BK$9+Source_Data!BK$10*IF(Source_Data!$C$10=0,0,MAX(0,Inputs!$B$19*Inputs!$B$22*$B$221-Inputs!$B$20)/Source_Data!$C$10)</f>
        <v>0</v>
      </c>
    </row>
    <row r="230" customFormat="false" ht="15" hidden="false" customHeight="false" outlineLevel="0" collapsed="false">
      <c r="A230" s="3" t="s">
        <v>194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20</v>
      </c>
      <c r="I230" s="33" t="n">
        <f aca="false">Source_Data!I$11*$B$223</f>
        <v>26.4</v>
      </c>
      <c r="J230" s="33" t="n">
        <f aca="false">Source_Data!J$11*$B$223</f>
        <v>40</v>
      </c>
      <c r="K230" s="33" t="n">
        <f aca="false">Source_Data!K$11*$B$223</f>
        <v>26.4</v>
      </c>
      <c r="L230" s="33" t="n">
        <f aca="false">Source_Data!L$11*$B$223</f>
        <v>26.4</v>
      </c>
      <c r="M230" s="33" t="n">
        <f aca="false">Source_Data!M$11*$B$223</f>
        <v>26.4</v>
      </c>
      <c r="N230" s="33" t="n">
        <f aca="false">Source_Data!N$11*$B$223</f>
        <v>5.28</v>
      </c>
      <c r="O230" s="33" t="n">
        <f aca="false">Source_Data!O$11*$B$223</f>
        <v>5.28</v>
      </c>
      <c r="P230" s="33" t="n">
        <f aca="false">Source_Data!P$11*$B$223</f>
        <v>120</v>
      </c>
      <c r="Q230" s="33" t="n">
        <f aca="false">Source_Data!Q$11*$B$223</f>
        <v>120</v>
      </c>
      <c r="R230" s="33" t="n">
        <f aca="false">Source_Data!R$11*$B$223</f>
        <v>164</v>
      </c>
      <c r="S230" s="33" t="n">
        <f aca="false">Source_Data!S$11*$B$223</f>
        <v>117</v>
      </c>
      <c r="T230" s="33" t="n">
        <f aca="false">Source_Data!T$11*$B$223</f>
        <v>0</v>
      </c>
      <c r="U230" s="33" t="n">
        <f aca="false">Source_Data!U$11*$B$223</f>
        <v>0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196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0</v>
      </c>
      <c r="O231" s="33" t="n">
        <f aca="false">$B$221*IF(Source_Data!O$5-$B$222&gt;=1,INDEX(Source_Data!$D$12:$BK$12,1,Source_Data!O$5-$B$222),0)</f>
        <v>0</v>
      </c>
      <c r="P231" s="33" t="n">
        <f aca="false">$B$221*IF(Source_Data!P$5-$B$222&gt;=1,INDEX(Source_Data!$D$12:$BK$12,1,Source_Data!P$5-$B$222),0)</f>
        <v>12.11139</v>
      </c>
      <c r="Q231" s="33" t="n">
        <f aca="false">$B$221*IF(Source_Data!Q$5-$B$222&gt;=1,INDEX(Source_Data!$D$12:$BK$12,1,Source_Data!Q$5-$B$222),0)</f>
        <v>12.11139</v>
      </c>
      <c r="R231" s="33" t="n">
        <f aca="false">$B$221*IF(Source_Data!R$5-$B$222&gt;=1,INDEX(Source_Data!$D$12:$BK$12,1,Source_Data!R$5-$B$222),0)</f>
        <v>9.52126</v>
      </c>
      <c r="S231" s="33" t="n">
        <f aca="false">$B$221*IF(Source_Data!S$5-$B$222&gt;=1,INDEX(Source_Data!$D$12:$BK$12,1,Source_Data!S$5-$B$222),0)</f>
        <v>9.52126</v>
      </c>
      <c r="T231" s="33" t="n">
        <f aca="false">$B$221*IF(Source_Data!T$5-$B$222&gt;=1,INDEX(Source_Data!$D$12:$BK$12,1,Source_Data!T$5-$B$222),0)</f>
        <v>6.98901</v>
      </c>
      <c r="U231" s="33" t="n">
        <f aca="false">$B$221*IF(Source_Data!U$5-$B$222&gt;=1,INDEX(Source_Data!$D$12:$BK$12,1,Source_Data!U$5-$B$222),0)</f>
        <v>6.98901</v>
      </c>
      <c r="V231" s="33" t="n">
        <f aca="false">$B$221*IF(Source_Data!V$5-$B$222&gt;=1,INDEX(Source_Data!$D$12:$BK$12,1,Source_Data!V$5-$B$222),0)</f>
        <v>7.69804</v>
      </c>
      <c r="W231" s="33" t="n">
        <f aca="false">$B$221*IF(Source_Data!W$5-$B$222&gt;=1,INDEX(Source_Data!$D$12:$BK$12,1,Source_Data!W$5-$B$222),0)</f>
        <v>9.2608</v>
      </c>
      <c r="X231" s="33" t="n">
        <f aca="false">$B$221*IF(Source_Data!X$5-$B$222&gt;=1,INDEX(Source_Data!$D$12:$BK$12,1,Source_Data!X$5-$B$222),0)</f>
        <v>9.2608</v>
      </c>
      <c r="Y231" s="33" t="n">
        <f aca="false">$B$221*IF(Source_Data!Y$5-$B$222&gt;=1,INDEX(Source_Data!$D$12:$BK$12,1,Source_Data!Y$5-$B$222),0)</f>
        <v>6.6562</v>
      </c>
      <c r="Z231" s="33" t="n">
        <f aca="false">$B$221*IF(Source_Data!Z$5-$B$222&gt;=1,INDEX(Source_Data!$D$12:$BK$12,1,Source_Data!Z$5-$B$222),0)</f>
        <v>0</v>
      </c>
      <c r="AA231" s="33" t="n">
        <f aca="false">$B$221*IF(Source_Data!AA$5-$B$222&gt;=1,INDEX(Source_Data!$D$12:$BK$12,1,Source_Data!AA$5-$B$222),0)</f>
        <v>0</v>
      </c>
      <c r="AB231" s="33" t="n">
        <f aca="false">$B$221*IF(Source_Data!AB$5-$B$222&gt;=1,INDEX(Source_Data!$D$12:$BK$12,1,Source_Data!AB$5-$B$222),0)</f>
        <v>0</v>
      </c>
      <c r="AC231" s="33" t="n">
        <f aca="false">$B$221*IF(Source_Data!AC$5-$B$222&gt;=1,INDEX(Source_Data!$D$12:$BK$12,1,Source_Data!AC$5-$B$222),0)</f>
        <v>0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215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3</v>
      </c>
      <c r="I232" s="33" t="n">
        <f aca="false">Source_Data!I$13*$B$223</f>
        <v>3.96</v>
      </c>
      <c r="J232" s="33" t="n">
        <f aca="false">Source_Data!J$13*$B$223</f>
        <v>6</v>
      </c>
      <c r="K232" s="33" t="n">
        <f aca="false">Source_Data!K$13*$B$223</f>
        <v>3.96</v>
      </c>
      <c r="L232" s="33" t="n">
        <f aca="false">Source_Data!L$13*$B$223</f>
        <v>3.96</v>
      </c>
      <c r="M232" s="33" t="n">
        <f aca="false">Source_Data!M$13*$B$223</f>
        <v>3.96</v>
      </c>
      <c r="N232" s="33" t="n">
        <f aca="false">Source_Data!N$13*$B$223</f>
        <v>0.792</v>
      </c>
      <c r="O232" s="33" t="n">
        <f aca="false">Source_Data!O$13*$B$223</f>
        <v>0.792</v>
      </c>
      <c r="P232" s="33" t="n">
        <f aca="false">Source_Data!P$13*$B$223</f>
        <v>18</v>
      </c>
      <c r="Q232" s="33" t="n">
        <f aca="false">Source_Data!Q$13*$B$223</f>
        <v>18</v>
      </c>
      <c r="R232" s="33" t="n">
        <f aca="false">Source_Data!R$13*$B$223</f>
        <v>24.6</v>
      </c>
      <c r="S232" s="33" t="n">
        <f aca="false">Source_Data!S$13*$B$223</f>
        <v>17.55</v>
      </c>
      <c r="T232" s="33" t="n">
        <f aca="false">Source_Data!T$13*$B$223</f>
        <v>0</v>
      </c>
      <c r="U232" s="33" t="n">
        <f aca="false">Source_Data!U$13*$B$223</f>
        <v>0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216</v>
      </c>
      <c r="D233" s="33" t="n">
        <f aca="false">D228-D229-D230-D231-D232</f>
        <v>-91.25</v>
      </c>
      <c r="E233" s="33" t="n">
        <f aca="false">E228-E229-E230-E231-E232</f>
        <v>-11.25</v>
      </c>
      <c r="F233" s="33" t="n">
        <f aca="false">F228-F229-F230-F231-F232</f>
        <v>-11.25</v>
      </c>
      <c r="G233" s="33" t="n">
        <f aca="false">G228-G229-G230-G231-G232</f>
        <v>-11.25</v>
      </c>
      <c r="H233" s="33" t="n">
        <f aca="false">H228-H229-H230-H231-H232</f>
        <v>-45.5</v>
      </c>
      <c r="I233" s="33" t="n">
        <f aca="false">I228-I229-I230-I231-I232</f>
        <v>-52.86</v>
      </c>
      <c r="J233" s="33" t="n">
        <f aca="false">J228-J229-J230-J231-J232</f>
        <v>-68.5</v>
      </c>
      <c r="K233" s="33" t="n">
        <f aca="false">K228-K229-K230-K231-K232</f>
        <v>-52.86</v>
      </c>
      <c r="L233" s="33" t="n">
        <f aca="false">L228-L229-L230-L231-L232</f>
        <v>-48.9707625</v>
      </c>
      <c r="M233" s="33" t="n">
        <f aca="false">M228-M229-M230-M231-M232</f>
        <v>-33.831525</v>
      </c>
      <c r="N233" s="33" t="n">
        <f aca="false">N228-N229-N230-N231-N232</f>
        <v>6.69000625</v>
      </c>
      <c r="O233" s="33" t="n">
        <f aca="false">O228-O229-O230-O231-O232</f>
        <v>22.9235375</v>
      </c>
      <c r="P233" s="33" t="n">
        <f aca="false">P228-P229-P230-P231-P232</f>
        <v>-132.74569</v>
      </c>
      <c r="Q233" s="33" t="n">
        <f aca="false">Q228-Q229-Q230-Q231-Q232</f>
        <v>-131.637830625</v>
      </c>
      <c r="R233" s="33" t="n">
        <f aca="false">R228-R229-R230-R231-R232</f>
        <v>-162.7924115625</v>
      </c>
      <c r="S233" s="33" t="n">
        <f aca="false">S228-S229-S230-S231-S232</f>
        <v>306.1825775</v>
      </c>
      <c r="T233" s="33" t="n">
        <f aca="false">T228-T229-T230-T231-T232</f>
        <v>133.58874</v>
      </c>
      <c r="U233" s="33" t="n">
        <f aca="false">U228-U229-U230-U231-U232</f>
        <v>124.54499</v>
      </c>
      <c r="V233" s="33" t="n">
        <f aca="false">V228-V229-V230-V231-V232</f>
        <v>44.61271</v>
      </c>
      <c r="W233" s="33" t="n">
        <f aca="false">W228-W229-W230-W231-W232</f>
        <v>17.04916875</v>
      </c>
      <c r="X233" s="33" t="n">
        <f aca="false">X228-X229-X230-X231-X232</f>
        <v>39.54916875</v>
      </c>
      <c r="Y233" s="33" t="n">
        <f aca="false">Y228-Y229-Y230-Y231-Y232</f>
        <v>38.880835625</v>
      </c>
      <c r="Z233" s="33" t="n">
        <f aca="false">Z228-Z229-Z230-Z231-Z232</f>
        <v>38.7266396875</v>
      </c>
      <c r="AA233" s="33" t="n">
        <f aca="false">AA228-AA229-AA230-AA231-AA232</f>
        <v>37.2127159375</v>
      </c>
      <c r="AB233" s="33" t="n">
        <f aca="false">AB228-AB229-AB230-AB231-AB232</f>
        <v>53.7239446875</v>
      </c>
      <c r="AC233" s="33" t="n">
        <f aca="false">AC228-AC229-AC230-AC231-AC232</f>
        <v>49.3829446875</v>
      </c>
      <c r="AD233" s="33" t="n">
        <f aca="false">AD228-AD229-AD230-AD231-AD232</f>
        <v>49.3829446875</v>
      </c>
      <c r="AE233" s="33" t="n">
        <f aca="false">AE228-AE229-AE230-AE231-AE232</f>
        <v>42.1027259375</v>
      </c>
      <c r="AF233" s="33" t="n">
        <f aca="false">AF228-AF229-AF230-AF231-AF232</f>
        <v>-65.6554844140625</v>
      </c>
      <c r="AG233" s="33" t="n">
        <f aca="false">AG228-AG229-AG230-AG231-AG232</f>
        <v>31.126213515625</v>
      </c>
      <c r="AH233" s="33" t="n">
        <f aca="false">AH228-AH229-AH230-AH231-AH232</f>
        <v>25.338213515625</v>
      </c>
      <c r="AI233" s="33" t="n">
        <f aca="false">AI228-AI229-AI230-AI231-AI232</f>
        <v>22.062115078125</v>
      </c>
      <c r="AJ233" s="33" t="n">
        <f aca="false">AJ228-AJ229-AJ230-AJ231-AJ232</f>
        <v>18.453658828125</v>
      </c>
      <c r="AK233" s="33" t="n">
        <f aca="false">AK228-AK229-AK230-AK231-AK232</f>
        <v>15.0681875390625</v>
      </c>
      <c r="AL233" s="33" t="n">
        <f aca="false">AL228-AL229-AL230-AL231-AL232</f>
        <v>15.0681875390625</v>
      </c>
      <c r="AM233" s="33" t="n">
        <f aca="false">AM228-AM229-AM230-AM231-AM232</f>
        <v>16.8906162109375</v>
      </c>
      <c r="AN233" s="33" t="n">
        <f aca="false">AN228-AN229-AN230-AN231-AN232</f>
        <v>20.87772296875</v>
      </c>
      <c r="AO233" s="33" t="n">
        <f aca="false">AO228-AO229-AO230-AO231-AO232</f>
        <v>23.52708953125</v>
      </c>
      <c r="AP233" s="33" t="n">
        <f aca="false">AP228-AP229-AP230-AP231-AP232</f>
        <v>25.08917125</v>
      </c>
      <c r="AQ233" s="33" t="n">
        <f aca="false">AQ228-AQ229-AQ230-AQ231-AQ232</f>
        <v>22.905105625</v>
      </c>
      <c r="AR233" s="33" t="n">
        <f aca="false">AR228-AR229-AR230-AR231-AR232</f>
        <v>22.905105625</v>
      </c>
      <c r="AS233" s="33" t="n">
        <f aca="false">AS228-AS229-AS230-AS231-AS232</f>
        <v>18.739554375</v>
      </c>
      <c r="AT233" s="33" t="n">
        <f aca="false">AT228-AT229-AT230-AT231-AT232</f>
        <v>9.6261675</v>
      </c>
      <c r="AU233" s="33" t="n">
        <f aca="false">AU228-AU229-AU230-AU231-AU232</f>
        <v>3.5704725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217</v>
      </c>
      <c r="D234" s="33" t="n">
        <f aca="false">D233</f>
        <v>-91.25</v>
      </c>
      <c r="E234" s="33" t="n">
        <f aca="false">D234+E233</f>
        <v>-102.5</v>
      </c>
      <c r="F234" s="33" t="n">
        <f aca="false">E234+F233</f>
        <v>-113.75</v>
      </c>
      <c r="G234" s="33" t="n">
        <f aca="false">F234+G233</f>
        <v>-125</v>
      </c>
      <c r="H234" s="33" t="n">
        <f aca="false">G234+H233</f>
        <v>-170.5</v>
      </c>
      <c r="I234" s="33" t="n">
        <f aca="false">H234+I233</f>
        <v>-223.36</v>
      </c>
      <c r="J234" s="33" t="n">
        <f aca="false">I234+J233</f>
        <v>-291.86</v>
      </c>
      <c r="K234" s="33" t="n">
        <f aca="false">J234+K233</f>
        <v>-344.72</v>
      </c>
      <c r="L234" s="33" t="n">
        <f aca="false">K234+L233</f>
        <v>-393.6907625</v>
      </c>
      <c r="M234" s="33" t="n">
        <f aca="false">L234+M233</f>
        <v>-427.5222875</v>
      </c>
      <c r="N234" s="33" t="n">
        <f aca="false">M234+N233</f>
        <v>-420.83228125</v>
      </c>
      <c r="O234" s="33" t="n">
        <f aca="false">N234+O233</f>
        <v>-397.90874375</v>
      </c>
      <c r="P234" s="33" t="n">
        <f aca="false">O234+P233</f>
        <v>-530.65443375</v>
      </c>
      <c r="Q234" s="33" t="n">
        <f aca="false">P234+Q233</f>
        <v>-662.292264375</v>
      </c>
      <c r="R234" s="33" t="n">
        <f aca="false">Q234+R233</f>
        <v>-825.0846759375</v>
      </c>
      <c r="S234" s="33" t="n">
        <f aca="false">R234+S233</f>
        <v>-518.9020984375</v>
      </c>
      <c r="T234" s="33" t="n">
        <f aca="false">S234+T233</f>
        <v>-385.3133584375</v>
      </c>
      <c r="U234" s="33" t="n">
        <f aca="false">T234+U233</f>
        <v>-260.7683684375</v>
      </c>
      <c r="V234" s="33" t="n">
        <f aca="false">U234+V233</f>
        <v>-216.1556584375</v>
      </c>
      <c r="W234" s="33" t="n">
        <f aca="false">V234+W233</f>
        <v>-199.1064896875</v>
      </c>
      <c r="X234" s="33" t="n">
        <f aca="false">W234+X233</f>
        <v>-159.5573209375</v>
      </c>
      <c r="Y234" s="33" t="n">
        <f aca="false">X234+Y233</f>
        <v>-120.6764853125</v>
      </c>
      <c r="Z234" s="33" t="n">
        <f aca="false">Y234+Z233</f>
        <v>-81.9498456249999</v>
      </c>
      <c r="AA234" s="33" t="n">
        <f aca="false">Z234+AA233</f>
        <v>-44.7371296874999</v>
      </c>
      <c r="AB234" s="33" t="n">
        <f aca="false">AA234+AB233</f>
        <v>8.98681500000006</v>
      </c>
      <c r="AC234" s="33" t="n">
        <f aca="false">AB234+AC233</f>
        <v>58.3697596875001</v>
      </c>
      <c r="AD234" s="33" t="n">
        <f aca="false">AC234+AD233</f>
        <v>107.752704375</v>
      </c>
      <c r="AE234" s="33" t="n">
        <f aca="false">AD234+AE233</f>
        <v>149.8554303125</v>
      </c>
      <c r="AF234" s="33" t="n">
        <f aca="false">AE234+AF233</f>
        <v>84.1999458984375</v>
      </c>
      <c r="AG234" s="33" t="n">
        <f aca="false">AF234+AG233</f>
        <v>115.326159414063</v>
      </c>
      <c r="AH234" s="33" t="n">
        <f aca="false">AG234+AH233</f>
        <v>140.664372929688</v>
      </c>
      <c r="AI234" s="33" t="n">
        <f aca="false">AH234+AI233</f>
        <v>162.726488007813</v>
      </c>
      <c r="AJ234" s="33" t="n">
        <f aca="false">AI234+AJ233</f>
        <v>181.180146835938</v>
      </c>
      <c r="AK234" s="33" t="n">
        <f aca="false">AJ234+AK233</f>
        <v>196.248334375</v>
      </c>
      <c r="AL234" s="33" t="n">
        <f aca="false">AK234+AL233</f>
        <v>211.316521914063</v>
      </c>
      <c r="AM234" s="33" t="n">
        <f aca="false">AL234+AM233</f>
        <v>228.207138125</v>
      </c>
      <c r="AN234" s="33" t="n">
        <f aca="false">AM234+AN233</f>
        <v>249.08486109375</v>
      </c>
      <c r="AO234" s="33" t="n">
        <f aca="false">AN234+AO233</f>
        <v>272.611950625</v>
      </c>
      <c r="AP234" s="33" t="n">
        <f aca="false">AO234+AP233</f>
        <v>297.701121875</v>
      </c>
      <c r="AQ234" s="33" t="n">
        <f aca="false">AP234+AQ233</f>
        <v>320.6062275</v>
      </c>
      <c r="AR234" s="33" t="n">
        <f aca="false">AQ234+AR233</f>
        <v>343.511333125</v>
      </c>
      <c r="AS234" s="33" t="n">
        <f aca="false">AR234+AS233</f>
        <v>362.2508875</v>
      </c>
      <c r="AT234" s="33" t="n">
        <f aca="false">AS234+AT233</f>
        <v>371.877055</v>
      </c>
      <c r="AU234" s="33" t="n">
        <f aca="false">AT234+AU233</f>
        <v>375.4475275</v>
      </c>
      <c r="AV234" s="33" t="n">
        <f aca="false">AU234+AV233</f>
        <v>375.4475275</v>
      </c>
      <c r="AW234" s="33" t="n">
        <f aca="false">AV234+AW233</f>
        <v>375.4475275</v>
      </c>
      <c r="AX234" s="33" t="n">
        <f aca="false">AW234+AX233</f>
        <v>375.4475275</v>
      </c>
      <c r="AY234" s="33" t="n">
        <f aca="false">AX234+AY233</f>
        <v>375.4475275</v>
      </c>
      <c r="AZ234" s="33" t="n">
        <f aca="false">AY234+AZ233</f>
        <v>375.4475275</v>
      </c>
      <c r="BA234" s="33" t="n">
        <f aca="false">AZ234+BA233</f>
        <v>375.4475275</v>
      </c>
      <c r="BB234" s="33" t="n">
        <f aca="false">BA234+BB233</f>
        <v>375.4475275</v>
      </c>
      <c r="BC234" s="33" t="n">
        <f aca="false">BB234+BC233</f>
        <v>375.4475275</v>
      </c>
      <c r="BD234" s="33" t="n">
        <f aca="false">BC234+BD233</f>
        <v>375.4475275</v>
      </c>
      <c r="BE234" s="33" t="n">
        <f aca="false">BD234+BE233</f>
        <v>375.4475275</v>
      </c>
      <c r="BF234" s="33" t="n">
        <f aca="false">BE234+BF233</f>
        <v>375.4475275</v>
      </c>
      <c r="BG234" s="33" t="n">
        <f aca="false">BF234+BG233</f>
        <v>375.4475275</v>
      </c>
      <c r="BH234" s="33" t="n">
        <f aca="false">BG234+BH233</f>
        <v>375.4475275</v>
      </c>
      <c r="BI234" s="33" t="n">
        <f aca="false">BH234+BI233</f>
        <v>375.4475275</v>
      </c>
      <c r="BJ234" s="33" t="n">
        <f aca="false">BI234+BJ233</f>
        <v>375.4475275</v>
      </c>
      <c r="BK234" s="33" t="n">
        <f aca="false">BJ234+BK233</f>
        <v>375.4475275</v>
      </c>
    </row>
    <row r="235" customFormat="false" ht="15" hidden="false" customHeight="false" outlineLevel="0" collapsed="false">
      <c r="A235" s="3" t="s">
        <v>340</v>
      </c>
      <c r="D235" s="33" t="n">
        <f aca="false">IF(Source_Data!D$6=Inputs!$B$12,-Inputs!$B$7,0)+IF(AND(Source_Data!D$6&gt;=$B$226,Source_Data!D$6&lt;$B$226+3*Inputs!$B$16,MOD(Source_Data!D$6-$B$226,3)=0),Inputs!$B$8*Inputs!$B$7*Inputs!$B$34*$B$221*(1-Inputs!$B$15)/Inputs!$B$16,0)</f>
        <v>-100</v>
      </c>
      <c r="E235" s="33" t="n">
        <f aca="false">IF(Source_Data!E$6=Inputs!$B$12,-Inputs!$B$7,0)+IF(AND(Source_Data!E$6&gt;=$B$226,Source_Data!E$6&lt;$B$226+3*Inputs!$B$16,MOD(Source_Data!E$6-$B$226,3)=0),Inputs!$B$8*Inputs!$B$7*Inputs!$B$34*$B$221*(1-Inputs!$B$15)/Inputs!$B$16,0)</f>
        <v>0</v>
      </c>
      <c r="F235" s="33" t="n">
        <f aca="false">IF(Source_Data!F$6=Inputs!$B$12,-Inputs!$B$7,0)+IF(AND(Source_Data!F$6&gt;=$B$226,Source_Data!F$6&lt;$B$226+3*Inputs!$B$16,MOD(Source_Data!F$6-$B$226,3)=0),Inputs!$B$8*Inputs!$B$7*Inputs!$B$34*$B$221*(1-Inputs!$B$15)/Inputs!$B$16,0)</f>
        <v>0</v>
      </c>
      <c r="G235" s="33" t="n">
        <f aca="false">IF(Source_Data!G$6=Inputs!$B$12,-Inputs!$B$7,0)+IF(AND(Source_Data!G$6&gt;=$B$226,Source_Data!G$6&lt;$B$226+3*Inputs!$B$16,MOD(Source_Data!G$6-$B$226,3)=0),Inputs!$B$8*Inputs!$B$7*Inputs!$B$34*$B$221*(1-Inputs!$B$15)/Inputs!$B$16,0)</f>
        <v>0</v>
      </c>
      <c r="H235" s="33" t="n">
        <f aca="false">IF(Source_Data!H$6=Inputs!$B$12,-Inputs!$B$7,0)+IF(AND(Source_Data!H$6&gt;=$B$226,Source_Data!H$6&lt;$B$226+3*Inputs!$B$16,MOD(Source_Data!H$6-$B$226,3)=0),Inputs!$B$8*Inputs!$B$7*Inputs!$B$34*$B$221*(1-Inputs!$B$15)/Inputs!$B$16,0)</f>
        <v>0</v>
      </c>
      <c r="I235" s="33" t="n">
        <f aca="false">IF(Source_Data!I$6=Inputs!$B$12,-Inputs!$B$7,0)+IF(AND(Source_Data!I$6&gt;=$B$226,Source_Data!I$6&lt;$B$226+3*Inputs!$B$16,MOD(Source_Data!I$6-$B$226,3)=0),Inputs!$B$8*Inputs!$B$7*Inputs!$B$34*$B$221*(1-Inputs!$B$15)/Inputs!$B$16,0)</f>
        <v>0</v>
      </c>
      <c r="J235" s="33" t="n">
        <f aca="false">IF(Source_Data!J$6=Inputs!$B$12,-Inputs!$B$7,0)+IF(AND(Source_Data!J$6&gt;=$B$226,Source_Data!J$6&lt;$B$226+3*Inputs!$B$16,MOD(Source_Data!J$6-$B$226,3)=0),Inputs!$B$8*Inputs!$B$7*Inputs!$B$34*$B$221*(1-Inputs!$B$15)/Inputs!$B$16,0)</f>
        <v>0</v>
      </c>
      <c r="K235" s="33" t="n">
        <f aca="false">IF(Source_Data!K$6=Inputs!$B$12,-Inputs!$B$7,0)+IF(AND(Source_Data!K$6&gt;=$B$226,Source_Data!K$6&lt;$B$226+3*Inputs!$B$16,MOD(Source_Data!K$6-$B$226,3)=0),Inputs!$B$8*Inputs!$B$7*Inputs!$B$34*$B$221*(1-Inputs!$B$15)/Inputs!$B$16,0)</f>
        <v>0</v>
      </c>
      <c r="L235" s="33" t="n">
        <f aca="false">IF(Source_Data!L$6=Inputs!$B$12,-Inputs!$B$7,0)+IF(AND(Source_Data!L$6&gt;=$B$226,Source_Data!L$6&lt;$B$226+3*Inputs!$B$16,MOD(Source_Data!L$6-$B$226,3)=0),Inputs!$B$8*Inputs!$B$7*Inputs!$B$34*$B$221*(1-Inputs!$B$15)/Inputs!$B$16,0)</f>
        <v>0</v>
      </c>
      <c r="M235" s="33" t="n">
        <f aca="false">IF(Source_Data!M$6=Inputs!$B$12,-Inputs!$B$7,0)+IF(AND(Source_Data!M$6&gt;=$B$226,Source_Data!M$6&lt;$B$226+3*Inputs!$B$16,MOD(Source_Data!M$6-$B$226,3)=0),Inputs!$B$8*Inputs!$B$7*Inputs!$B$34*$B$221*(1-Inputs!$B$15)/Inputs!$B$16,0)</f>
        <v>0</v>
      </c>
      <c r="N235" s="33" t="n">
        <f aca="false">IF(Source_Data!N$6=Inputs!$B$12,-Inputs!$B$7,0)+IF(AND(Source_Data!N$6&gt;=$B$226,Source_Data!N$6&lt;$B$226+3*Inputs!$B$16,MOD(Source_Data!N$6-$B$226,3)=0),Inputs!$B$8*Inputs!$B$7*Inputs!$B$34*$B$221*(1-Inputs!$B$15)/Inputs!$B$16,0)</f>
        <v>0</v>
      </c>
      <c r="O235" s="33" t="n">
        <f aca="false">IF(Source_Data!O$6=Inputs!$B$12,-Inputs!$B$7,0)+IF(AND(Source_Data!O$6&gt;=$B$226,Source_Data!O$6&lt;$B$226+3*Inputs!$B$16,MOD(Source_Data!O$6-$B$226,3)=0),Inputs!$B$8*Inputs!$B$7*Inputs!$B$34*$B$221*(1-Inputs!$B$15)/Inputs!$B$16,0)</f>
        <v>0</v>
      </c>
      <c r="P235" s="33" t="n">
        <f aca="false">IF(Source_Data!P$6=Inputs!$B$12,-Inputs!$B$7,0)+IF(AND(Source_Data!P$6&gt;=$B$226,Source_Data!P$6&lt;$B$226+3*Inputs!$B$16,MOD(Source_Data!P$6-$B$226,3)=0),Inputs!$B$8*Inputs!$B$7*Inputs!$B$34*$B$221*(1-Inputs!$B$15)/Inputs!$B$16,0)</f>
        <v>0</v>
      </c>
      <c r="Q235" s="33" t="n">
        <f aca="false">IF(Source_Data!Q$6=Inputs!$B$12,-Inputs!$B$7,0)+IF(AND(Source_Data!Q$6&gt;=$B$226,Source_Data!Q$6&lt;$B$226+3*Inputs!$B$16,MOD(Source_Data!Q$6-$B$226,3)=0),Inputs!$B$8*Inputs!$B$7*Inputs!$B$34*$B$221*(1-Inputs!$B$15)/Inputs!$B$16,0)</f>
        <v>0</v>
      </c>
      <c r="R235" s="33" t="n">
        <f aca="false">IF(Source_Data!R$6=Inputs!$B$12,-Inputs!$B$7,0)+IF(AND(Source_Data!R$6&gt;=$B$226,Source_Data!R$6&lt;$B$226+3*Inputs!$B$16,MOD(Source_Data!R$6-$B$226,3)=0),Inputs!$B$8*Inputs!$B$7*Inputs!$B$34*$B$221*(1-Inputs!$B$15)/Inputs!$B$16,0)</f>
        <v>0</v>
      </c>
      <c r="S235" s="33" t="n">
        <f aca="false">IF(Source_Data!S$6=Inputs!$B$12,-Inputs!$B$7,0)+IF(AND(Source_Data!S$6&gt;=$B$226,Source_Data!S$6&lt;$B$226+3*Inputs!$B$16,MOD(Source_Data!S$6-$B$226,3)=0),Inputs!$B$8*Inputs!$B$7*Inputs!$B$34*$B$221*(1-Inputs!$B$15)/Inputs!$B$16,0)</f>
        <v>0</v>
      </c>
      <c r="T235" s="33" t="n">
        <f aca="false">IF(Source_Data!T$6=Inputs!$B$12,-Inputs!$B$7,0)+IF(AND(Source_Data!T$6&gt;=$B$226,Source_Data!T$6&lt;$B$226+3*Inputs!$B$16,MOD(Source_Data!T$6-$B$226,3)=0),Inputs!$B$8*Inputs!$B$7*Inputs!$B$34*$B$221*(1-Inputs!$B$15)/Inputs!$B$16,0)</f>
        <v>0</v>
      </c>
      <c r="U235" s="33" t="n">
        <f aca="false">IF(Source_Data!U$6=Inputs!$B$12,-Inputs!$B$7,0)+IF(AND(Source_Data!U$6&gt;=$B$226,Source_Data!U$6&lt;$B$226+3*Inputs!$B$16,MOD(Source_Data!U$6-$B$226,3)=0),Inputs!$B$8*Inputs!$B$7*Inputs!$B$34*$B$221*(1-Inputs!$B$15)/Inputs!$B$16,0)</f>
        <v>0</v>
      </c>
      <c r="V235" s="33" t="n">
        <f aca="false">IF(Source_Data!V$6=Inputs!$B$12,-Inputs!$B$7,0)+IF(AND(Source_Data!V$6&gt;=$B$226,Source_Data!V$6&lt;$B$226+3*Inputs!$B$16,MOD(Source_Data!V$6-$B$226,3)=0),Inputs!$B$8*Inputs!$B$7*Inputs!$B$34*$B$221*(1-Inputs!$B$15)/Inputs!$B$16,0)</f>
        <v>0</v>
      </c>
      <c r="W235" s="33" t="n">
        <f aca="false">IF(Source_Data!W$6=Inputs!$B$12,-Inputs!$B$7,0)+IF(AND(Source_Data!W$6&gt;=$B$226,Source_Data!W$6&lt;$B$226+3*Inputs!$B$16,MOD(Source_Data!W$6-$B$226,3)=0),Inputs!$B$8*Inputs!$B$7*Inputs!$B$34*$B$221*(1-Inputs!$B$15)/Inputs!$B$16,0)</f>
        <v>0</v>
      </c>
      <c r="X235" s="33" t="n">
        <f aca="false">IF(Source_Data!X$6=Inputs!$B$12,-Inputs!$B$7,0)+IF(AND(Source_Data!X$6&gt;=$B$226,Source_Data!X$6&lt;$B$226+3*Inputs!$B$16,MOD(Source_Data!X$6-$B$226,3)=0),Inputs!$B$8*Inputs!$B$7*Inputs!$B$34*$B$221*(1-Inputs!$B$15)/Inputs!$B$16,0)</f>
        <v>0</v>
      </c>
      <c r="Y235" s="33" t="n">
        <f aca="false">IF(Source_Data!Y$6=Inputs!$B$12,-Inputs!$B$7,0)+IF(AND(Source_Data!Y$6&gt;=$B$226,Source_Data!Y$6&lt;$B$226+3*Inputs!$B$16,MOD(Source_Data!Y$6-$B$226,3)=0),Inputs!$B$8*Inputs!$B$7*Inputs!$B$34*$B$221*(1-Inputs!$B$15)/Inputs!$B$16,0)</f>
        <v>0</v>
      </c>
      <c r="Z235" s="33" t="n">
        <f aca="false">IF(Source_Data!Z$6=Inputs!$B$12,-Inputs!$B$7,0)+IF(AND(Source_Data!Z$6&gt;=$B$226,Source_Data!Z$6&lt;$B$226+3*Inputs!$B$16,MOD(Source_Data!Z$6-$B$226,3)=0),Inputs!$B$8*Inputs!$B$7*Inputs!$B$34*$B$221*(1-Inputs!$B$15)/Inputs!$B$16,0)</f>
        <v>69.5340501792115</v>
      </c>
      <c r="AA235" s="33" t="n">
        <f aca="false">IF(Source_Data!AA$6=Inputs!$B$12,-Inputs!$B$7,0)+IF(AND(Source_Data!AA$6&gt;=$B$226,Source_Data!AA$6&lt;$B$226+3*Inputs!$B$16,MOD(Source_Data!AA$6-$B$226,3)=0),Inputs!$B$8*Inputs!$B$7*Inputs!$B$34*$B$221*(1-Inputs!$B$15)/Inputs!$B$16,0)</f>
        <v>69.5340501792115</v>
      </c>
      <c r="AB235" s="33" t="n">
        <f aca="false">IF(Source_Data!AB$6=Inputs!$B$12,-Inputs!$B$7,0)+IF(AND(Source_Data!AB$6&gt;=$B$226,Source_Data!AB$6&lt;$B$226+3*Inputs!$B$16,MOD(Source_Data!AB$6-$B$226,3)=0),Inputs!$B$8*Inputs!$B$7*Inputs!$B$34*$B$221*(1-Inputs!$B$15)/Inputs!$B$16,0)</f>
        <v>69.5340501792115</v>
      </c>
      <c r="AC235" s="33" t="n">
        <f aca="false">IF(Source_Data!AC$6=Inputs!$B$12,-Inputs!$B$7,0)+IF(AND(Source_Data!AC$6&gt;=$B$226,Source_Data!AC$6&lt;$B$226+3*Inputs!$B$16,MOD(Source_Data!AC$6-$B$226,3)=0),Inputs!$B$8*Inputs!$B$7*Inputs!$B$34*$B$221*(1-Inputs!$B$15)/Inputs!$B$16,0)</f>
        <v>69.5340501792115</v>
      </c>
      <c r="AD235" s="33" t="n">
        <f aca="false">IF(Source_Data!AD$6=Inputs!$B$12,-Inputs!$B$7,0)+IF(AND(Source_Data!AD$6&gt;=$B$226,Source_Data!AD$6&lt;$B$226+3*Inputs!$B$16,MOD(Source_Data!AD$6-$B$226,3)=0),Inputs!$B$8*Inputs!$B$7*Inputs!$B$34*$B$221*(1-Inputs!$B$15)/Inputs!$B$16,0)</f>
        <v>0</v>
      </c>
      <c r="AE235" s="33" t="n">
        <f aca="false">IF(Source_Data!AE$6=Inputs!$B$12,-Inputs!$B$7,0)+IF(AND(Source_Data!AE$6&gt;=$B$226,Source_Data!AE$6&lt;$B$226+3*Inputs!$B$16,MOD(Source_Data!AE$6-$B$226,3)=0),Inputs!$B$8*Inputs!$B$7*Inputs!$B$34*$B$221*(1-Inputs!$B$15)/Inputs!$B$16,0)</f>
        <v>0</v>
      </c>
      <c r="AF235" s="33" t="n">
        <f aca="false">IF(Source_Data!AF$6=Inputs!$B$12,-Inputs!$B$7,0)+IF(AND(Source_Data!AF$6&gt;=$B$226,Source_Data!AF$6&lt;$B$226+3*Inputs!$B$16,MOD(Source_Data!AF$6-$B$226,3)=0),Inputs!$B$8*Inputs!$B$7*Inputs!$B$34*$B$221*(1-Inputs!$B$15)/Inputs!$B$16,0)</f>
        <v>0</v>
      </c>
      <c r="AG235" s="33" t="n">
        <f aca="false">IF(Source_Data!AG$6=Inputs!$B$12,-Inputs!$B$7,0)+IF(AND(Source_Data!AG$6&gt;=$B$226,Source_Data!AG$6&lt;$B$226+3*Inputs!$B$16,MOD(Source_Data!AG$6-$B$226,3)=0),Inputs!$B$8*Inputs!$B$7*Inputs!$B$34*$B$221*(1-Inputs!$B$15)/Inputs!$B$16,0)</f>
        <v>0</v>
      </c>
      <c r="AH235" s="33" t="n">
        <f aca="false">IF(Source_Data!AH$6=Inputs!$B$12,-Inputs!$B$7,0)+IF(AND(Source_Data!AH$6&gt;=$B$226,Source_Data!AH$6&lt;$B$226+3*Inputs!$B$16,MOD(Source_Data!AH$6-$B$226,3)=0),Inputs!$B$8*Inputs!$B$7*Inputs!$B$34*$B$221*(1-Inputs!$B$15)/Inputs!$B$16,0)</f>
        <v>0</v>
      </c>
      <c r="AI235" s="33" t="n">
        <f aca="false">IF(Source_Data!AI$6=Inputs!$B$12,-Inputs!$B$7,0)+IF(AND(Source_Data!AI$6&gt;=$B$226,Source_Data!AI$6&lt;$B$226+3*Inputs!$B$16,MOD(Source_Data!AI$6-$B$226,3)=0),Inputs!$B$8*Inputs!$B$7*Inputs!$B$34*$B$221*(1-Inputs!$B$15)/Inputs!$B$16,0)</f>
        <v>0</v>
      </c>
      <c r="AJ235" s="33" t="n">
        <f aca="false">IF(Source_Data!AJ$6=Inputs!$B$12,-Inputs!$B$7,0)+IF(AND(Source_Data!AJ$6&gt;=$B$226,Source_Data!AJ$6&lt;$B$226+3*Inputs!$B$16,MOD(Source_Data!AJ$6-$B$226,3)=0),Inputs!$B$8*Inputs!$B$7*Inputs!$B$34*$B$221*(1-Inputs!$B$15)/Inputs!$B$16,0)</f>
        <v>0</v>
      </c>
      <c r="AK235" s="33" t="n">
        <f aca="false">IF(Source_Data!AK$6=Inputs!$B$12,-Inputs!$B$7,0)+IF(AND(Source_Data!AK$6&gt;=$B$226,Source_Data!AK$6&lt;$B$226+3*Inputs!$B$16,MOD(Source_Data!AK$6-$B$226,3)=0),Inputs!$B$8*Inputs!$B$7*Inputs!$B$34*$B$221*(1-Inputs!$B$15)/Inputs!$B$16,0)</f>
        <v>0</v>
      </c>
      <c r="AL235" s="33" t="n">
        <f aca="false">IF(Source_Data!AL$6=Inputs!$B$12,-Inputs!$B$7,0)+IF(AND(Source_Data!AL$6&gt;=$B$226,Source_Data!AL$6&lt;$B$226+3*Inputs!$B$16,MOD(Source_Data!AL$6-$B$226,3)=0),Inputs!$B$8*Inputs!$B$7*Inputs!$B$34*$B$221*(1-Inputs!$B$15)/Inputs!$B$16,0)</f>
        <v>0</v>
      </c>
      <c r="AM235" s="33" t="n">
        <f aca="false">IF(Source_Data!AM$6=Inputs!$B$12,-Inputs!$B$7,0)+IF(AND(Source_Data!AM$6&gt;=$B$226,Source_Data!AM$6&lt;$B$226+3*Inputs!$B$16,MOD(Source_Data!AM$6-$B$226,3)=0),Inputs!$B$8*Inputs!$B$7*Inputs!$B$34*$B$221*(1-Inputs!$B$15)/Inputs!$B$16,0)</f>
        <v>0</v>
      </c>
      <c r="AN235" s="33" t="n">
        <f aca="false">IF(Source_Data!AN$6=Inputs!$B$12,-Inputs!$B$7,0)+IF(AND(Source_Data!AN$6&gt;=$B$226,Source_Data!AN$6&lt;$B$226+3*Inputs!$B$16,MOD(Source_Data!AN$6-$B$226,3)=0),Inputs!$B$8*Inputs!$B$7*Inputs!$B$34*$B$221*(1-Inputs!$B$15)/Inputs!$B$16,0)</f>
        <v>0</v>
      </c>
      <c r="AO235" s="33" t="n">
        <f aca="false">IF(Source_Data!AO$6=Inputs!$B$12,-Inputs!$B$7,0)+IF(AND(Source_Data!AO$6&gt;=$B$226,Source_Data!AO$6&lt;$B$226+3*Inputs!$B$16,MOD(Source_Data!AO$6-$B$226,3)=0),Inputs!$B$8*Inputs!$B$7*Inputs!$B$34*$B$221*(1-Inputs!$B$15)/Inputs!$B$16,0)</f>
        <v>0</v>
      </c>
      <c r="AP235" s="33" t="n">
        <f aca="false">IF(Source_Data!AP$6=Inputs!$B$12,-Inputs!$B$7,0)+IF(AND(Source_Data!AP$6&gt;=$B$226,Source_Data!AP$6&lt;$B$226+3*Inputs!$B$16,MOD(Source_Data!AP$6-$B$226,3)=0),Inputs!$B$8*Inputs!$B$7*Inputs!$B$34*$B$221*(1-Inputs!$B$15)/Inputs!$B$16,0)</f>
        <v>0</v>
      </c>
      <c r="AQ235" s="33" t="n">
        <f aca="false">IF(Source_Data!AQ$6=Inputs!$B$12,-Inputs!$B$7,0)+IF(AND(Source_Data!AQ$6&gt;=$B$226,Source_Data!AQ$6&lt;$B$226+3*Inputs!$B$16,MOD(Source_Data!AQ$6-$B$226,3)=0),Inputs!$B$8*Inputs!$B$7*Inputs!$B$34*$B$221*(1-Inputs!$B$15)/Inputs!$B$16,0)</f>
        <v>0</v>
      </c>
      <c r="AR235" s="33" t="n">
        <f aca="false">IF(Source_Data!AR$6=Inputs!$B$12,-Inputs!$B$7,0)+IF(AND(Source_Data!AR$6&gt;=$B$226,Source_Data!AR$6&lt;$B$226+3*Inputs!$B$16,MOD(Source_Data!AR$6-$B$226,3)=0),Inputs!$B$8*Inputs!$B$7*Inputs!$B$34*$B$221*(1-Inputs!$B$15)/Inputs!$B$16,0)</f>
        <v>0</v>
      </c>
      <c r="AS235" s="33" t="n">
        <f aca="false">IF(Source_Data!AS$6=Inputs!$B$12,-Inputs!$B$7,0)+IF(AND(Source_Data!AS$6&gt;=$B$226,Source_Data!AS$6&lt;$B$226+3*Inputs!$B$16,MOD(Source_Data!AS$6-$B$226,3)=0),Inputs!$B$8*Inputs!$B$7*Inputs!$B$34*$B$221*(1-Inputs!$B$15)/Inputs!$B$16,0)</f>
        <v>0</v>
      </c>
      <c r="AT235" s="33" t="n">
        <f aca="false">IF(Source_Data!AT$6=Inputs!$B$12,-Inputs!$B$7,0)+IF(AND(Source_Data!AT$6&gt;=$B$226,Source_Data!AT$6&lt;$B$226+3*Inputs!$B$16,MOD(Source_Data!AT$6-$B$226,3)=0),Inputs!$B$8*Inputs!$B$7*Inputs!$B$34*$B$221*(1-Inputs!$B$15)/Inputs!$B$16,0)</f>
        <v>0</v>
      </c>
      <c r="AU235" s="33" t="n">
        <f aca="false">IF(Source_Data!AU$6=Inputs!$B$12,-Inputs!$B$7,0)+IF(AND(Source_Data!AU$6&gt;=$B$226,Source_Data!AU$6&lt;$B$226+3*Inputs!$B$16,MOD(Source_Data!AU$6-$B$226,3)=0),Inputs!$B$8*Inputs!$B$7*Inputs!$B$34*$B$221*(1-Inputs!$B$15)/Inputs!$B$16,0)</f>
        <v>0</v>
      </c>
      <c r="AV235" s="33" t="n">
        <f aca="false">IF(Source_Data!AV$6=Inputs!$B$12,-Inputs!$B$7,0)+IF(AND(Source_Data!AV$6&gt;=$B$226,Source_Data!AV$6&lt;$B$226+3*Inputs!$B$16,MOD(Source_Data!AV$6-$B$226,3)=0),Inputs!$B$8*Inputs!$B$7*Inputs!$B$34*$B$221*(1-Inputs!$B$15)/Inputs!$B$16,0)</f>
        <v>0</v>
      </c>
      <c r="AW235" s="33" t="n">
        <f aca="false">IF(Source_Data!AW$6=Inputs!$B$12,-Inputs!$B$7,0)+IF(AND(Source_Data!AW$6&gt;=$B$226,Source_Data!AW$6&lt;$B$226+3*Inputs!$B$16,MOD(Source_Data!AW$6-$B$226,3)=0),Inputs!$B$8*Inputs!$B$7*Inputs!$B$34*$B$221*(1-Inputs!$B$15)/Inputs!$B$16,0)</f>
        <v>0</v>
      </c>
      <c r="AX235" s="33" t="n">
        <f aca="false">IF(Source_Data!AX$6=Inputs!$B$12,-Inputs!$B$7,0)+IF(AND(Source_Data!AX$6&gt;=$B$226,Source_Data!AX$6&lt;$B$226+3*Inputs!$B$16,MOD(Source_Data!AX$6-$B$226,3)=0),Inputs!$B$8*Inputs!$B$7*Inputs!$B$34*$B$221*(1-Inputs!$B$15)/Inputs!$B$16,0)</f>
        <v>0</v>
      </c>
      <c r="AY235" s="33" t="n">
        <f aca="false">IF(Source_Data!AY$6=Inputs!$B$12,-Inputs!$B$7,0)+IF(AND(Source_Data!AY$6&gt;=$B$226,Source_Data!AY$6&lt;$B$226+3*Inputs!$B$16,MOD(Source_Data!AY$6-$B$226,3)=0),Inputs!$B$8*Inputs!$B$7*Inputs!$B$34*$B$221*(1-Inputs!$B$15)/Inputs!$B$16,0)</f>
        <v>0</v>
      </c>
      <c r="AZ235" s="33" t="n">
        <f aca="false">IF(Source_Data!AZ$6=Inputs!$B$12,-Inputs!$B$7,0)+IF(AND(Source_Data!AZ$6&gt;=$B$226,Source_Data!AZ$6&lt;$B$226+3*Inputs!$B$16,MOD(Source_Data!AZ$6-$B$226,3)=0),Inputs!$B$8*Inputs!$B$7*Inputs!$B$34*$B$221*(1-Inputs!$B$15)/Inputs!$B$16,0)</f>
        <v>0</v>
      </c>
      <c r="BA235" s="33" t="n">
        <f aca="false">IF(Source_Data!BA$6=Inputs!$B$12,-Inputs!$B$7,0)+IF(AND(Source_Data!BA$6&gt;=$B$226,Source_Data!BA$6&lt;$B$226+3*Inputs!$B$16,MOD(Source_Data!BA$6-$B$226,3)=0),Inputs!$B$8*Inputs!$B$7*Inputs!$B$34*$B$221*(1-Inputs!$B$15)/Inputs!$B$16,0)</f>
        <v>0</v>
      </c>
      <c r="BB235" s="33" t="n">
        <f aca="false">IF(Source_Data!BB$6=Inputs!$B$12,-Inputs!$B$7,0)+IF(AND(Source_Data!BB$6&gt;=$B$226,Source_Data!BB$6&lt;$B$226+3*Inputs!$B$16,MOD(Source_Data!BB$6-$B$226,3)=0),Inputs!$B$8*Inputs!$B$7*Inputs!$B$34*$B$221*(1-Inputs!$B$15)/Inputs!$B$16,0)</f>
        <v>0</v>
      </c>
      <c r="BC235" s="33" t="n">
        <f aca="false">IF(Source_Data!BC$6=Inputs!$B$12,-Inputs!$B$7,0)+IF(AND(Source_Data!BC$6&gt;=$B$226,Source_Data!BC$6&lt;$B$226+3*Inputs!$B$16,MOD(Source_Data!BC$6-$B$226,3)=0),Inputs!$B$8*Inputs!$B$7*Inputs!$B$34*$B$221*(1-Inputs!$B$15)/Inputs!$B$16,0)</f>
        <v>0</v>
      </c>
      <c r="BD235" s="33" t="n">
        <f aca="false">IF(Source_Data!BD$6=Inputs!$B$12,-Inputs!$B$7,0)+IF(AND(Source_Data!BD$6&gt;=$B$226,Source_Data!BD$6&lt;$B$226+3*Inputs!$B$16,MOD(Source_Data!BD$6-$B$226,3)=0),Inputs!$B$8*Inputs!$B$7*Inputs!$B$34*$B$221*(1-Inputs!$B$15)/Inputs!$B$16,0)</f>
        <v>0</v>
      </c>
      <c r="BE235" s="33" t="n">
        <f aca="false">IF(Source_Data!BE$6=Inputs!$B$12,-Inputs!$B$7,0)+IF(AND(Source_Data!BE$6&gt;=$B$226,Source_Data!BE$6&lt;$B$226+3*Inputs!$B$16,MOD(Source_Data!BE$6-$B$226,3)=0),Inputs!$B$8*Inputs!$B$7*Inputs!$B$34*$B$221*(1-Inputs!$B$15)/Inputs!$B$16,0)</f>
        <v>0</v>
      </c>
      <c r="BF235" s="33" t="n">
        <f aca="false">IF(Source_Data!BF$6=Inputs!$B$12,-Inputs!$B$7,0)+IF(AND(Source_Data!BF$6&gt;=$B$226,Source_Data!BF$6&lt;$B$226+3*Inputs!$B$16,MOD(Source_Data!BF$6-$B$226,3)=0),Inputs!$B$8*Inputs!$B$7*Inputs!$B$34*$B$221*(1-Inputs!$B$15)/Inputs!$B$16,0)</f>
        <v>0</v>
      </c>
      <c r="BG235" s="33" t="n">
        <f aca="false">IF(Source_Data!BG$6=Inputs!$B$12,-Inputs!$B$7,0)+IF(AND(Source_Data!BG$6&gt;=$B$226,Source_Data!BG$6&lt;$B$226+3*Inputs!$B$16,MOD(Source_Data!BG$6-$B$226,3)=0),Inputs!$B$8*Inputs!$B$7*Inputs!$B$34*$B$221*(1-Inputs!$B$15)/Inputs!$B$16,0)</f>
        <v>0</v>
      </c>
      <c r="BH235" s="33" t="n">
        <f aca="false">IF(Source_Data!BH$6=Inputs!$B$12,-Inputs!$B$7,0)+IF(AND(Source_Data!BH$6&gt;=$B$226,Source_Data!BH$6&lt;$B$226+3*Inputs!$B$16,MOD(Source_Data!BH$6-$B$226,3)=0),Inputs!$B$8*Inputs!$B$7*Inputs!$B$34*$B$221*(1-Inputs!$B$15)/Inputs!$B$16,0)</f>
        <v>0</v>
      </c>
      <c r="BI235" s="33" t="n">
        <f aca="false">IF(Source_Data!BI$6=Inputs!$B$12,-Inputs!$B$7,0)+IF(AND(Source_Data!BI$6&gt;=$B$226,Source_Data!BI$6&lt;$B$226+3*Inputs!$B$16,MOD(Source_Data!BI$6-$B$226,3)=0),Inputs!$B$8*Inputs!$B$7*Inputs!$B$34*$B$221*(1-Inputs!$B$15)/Inputs!$B$16,0)</f>
        <v>0</v>
      </c>
      <c r="BJ235" s="33" t="n">
        <f aca="false">IF(Source_Data!BJ$6=Inputs!$B$12,-Inputs!$B$7,0)+IF(AND(Source_Data!BJ$6&gt;=$B$226,Source_Data!BJ$6&lt;$B$226+3*Inputs!$B$16,MOD(Source_Data!BJ$6-$B$226,3)=0),Inputs!$B$8*Inputs!$B$7*Inputs!$B$34*$B$221*(1-Inputs!$B$15)/Inputs!$B$16,0)</f>
        <v>0</v>
      </c>
      <c r="BK235" s="33" t="n">
        <f aca="false">IF(Source_Data!BK$6=Inputs!$B$12,-Inputs!$B$7,0)+IF(AND(Source_Data!BK$6&gt;=$B$226,Source_Data!BK$6&lt;$B$226+3*Inputs!$B$16,MOD(Source_Data!BK$6-$B$226,3)=0),Inputs!$B$8*Inputs!$B$7*Inputs!$B$34*$B$221*(1-Inputs!$B$15)/Inputs!$B$16,0)</f>
        <v>0</v>
      </c>
    </row>
    <row r="236" customFormat="false" ht="15" hidden="false" customHeight="false" outlineLevel="0" collapsed="false">
      <c r="A236" s="3" t="s">
        <v>341</v>
      </c>
      <c r="D236" s="33" t="n">
        <f aca="false">IF(AND(Source_Data!D$6&gt;=Inputs!$B$54,Source_Data!D$6&lt;Inputs!$B$54+3*Inputs!$B$11),Inputs!$B$9*Inputs!$B$7/Inputs!$B$11,0)</f>
        <v>0</v>
      </c>
      <c r="E236" s="33" t="n">
        <f aca="false">IF(AND(Source_Data!E$6&gt;=Inputs!$B$54,Source_Data!E$6&lt;Inputs!$B$54+3*Inputs!$B$11),Inputs!$B$9*Inputs!$B$7/Inputs!$B$11,0)</f>
        <v>0</v>
      </c>
      <c r="F236" s="33" t="n">
        <f aca="false">IF(AND(Source_Data!F$6&gt;=Inputs!$B$54,Source_Data!F$6&lt;Inputs!$B$54+3*Inputs!$B$11),Inputs!$B$9*Inputs!$B$7/Inputs!$B$11,0)</f>
        <v>0</v>
      </c>
      <c r="G236" s="33" t="n">
        <f aca="false">IF(AND(Source_Data!G$6&gt;=Inputs!$B$54,Source_Data!G$6&lt;Inputs!$B$54+3*Inputs!$B$11),Inputs!$B$9*Inputs!$B$7/Inputs!$B$11,0)</f>
        <v>0</v>
      </c>
      <c r="H236" s="33" t="n">
        <f aca="false">IF(AND(Source_Data!H$6&gt;=Inputs!$B$54,Source_Data!H$6&lt;Inputs!$B$54+3*Inputs!$B$11),Inputs!$B$9*Inputs!$B$7/Inputs!$B$11,0)</f>
        <v>0</v>
      </c>
      <c r="I236" s="33" t="n">
        <f aca="false">IF(AND(Source_Data!I$6&gt;=Inputs!$B$54,Source_Data!I$6&lt;Inputs!$B$54+3*Inputs!$B$11),Inputs!$B$9*Inputs!$B$7/Inputs!$B$11,0)</f>
        <v>0</v>
      </c>
      <c r="J236" s="33" t="n">
        <f aca="false">IF(AND(Source_Data!J$6&gt;=Inputs!$B$54,Source_Data!J$6&lt;Inputs!$B$54+3*Inputs!$B$11),Inputs!$B$9*Inputs!$B$7/Inputs!$B$11,0)</f>
        <v>0</v>
      </c>
      <c r="K236" s="33" t="n">
        <f aca="false">IF(AND(Source_Data!K$6&gt;=Inputs!$B$54,Source_Data!K$6&lt;Inputs!$B$54+3*Inputs!$B$11),Inputs!$B$9*Inputs!$B$7/Inputs!$B$11,0)</f>
        <v>0</v>
      </c>
      <c r="L236" s="33" t="n">
        <f aca="false">IF(AND(Source_Data!L$6&gt;=Inputs!$B$54,Source_Data!L$6&lt;Inputs!$B$54+3*Inputs!$B$11),Inputs!$B$9*Inputs!$B$7/Inputs!$B$11,0)</f>
        <v>0</v>
      </c>
      <c r="M236" s="33" t="n">
        <f aca="false">IF(AND(Source_Data!M$6&gt;=Inputs!$B$54,Source_Data!M$6&lt;Inputs!$B$54+3*Inputs!$B$11),Inputs!$B$9*Inputs!$B$7/Inputs!$B$11,0)</f>
        <v>19.1666666666667</v>
      </c>
      <c r="N236" s="33" t="n">
        <f aca="false">IF(AND(Source_Data!N$6&gt;=Inputs!$B$54,Source_Data!N$6&lt;Inputs!$B$54+3*Inputs!$B$11),Inputs!$B$9*Inputs!$B$7/Inputs!$B$11,0)</f>
        <v>19.1666666666667</v>
      </c>
      <c r="O236" s="33" t="n">
        <f aca="false">IF(AND(Source_Data!O$6&gt;=Inputs!$B$54,Source_Data!O$6&lt;Inputs!$B$54+3*Inputs!$B$11),Inputs!$B$9*Inputs!$B$7/Inputs!$B$11,0)</f>
        <v>19.1666666666667</v>
      </c>
      <c r="P236" s="33" t="n">
        <f aca="false">IF(AND(Source_Data!P$6&gt;=Inputs!$B$54,Source_Data!P$6&lt;Inputs!$B$54+3*Inputs!$B$11),Inputs!$B$9*Inputs!$B$7/Inputs!$B$11,0)</f>
        <v>19.1666666666667</v>
      </c>
      <c r="Q236" s="33" t="n">
        <f aca="false">IF(AND(Source_Data!Q$6&gt;=Inputs!$B$54,Source_Data!Q$6&lt;Inputs!$B$54+3*Inputs!$B$11),Inputs!$B$9*Inputs!$B$7/Inputs!$B$11,0)</f>
        <v>19.1666666666667</v>
      </c>
      <c r="R236" s="33" t="n">
        <f aca="false">IF(AND(Source_Data!R$6&gt;=Inputs!$B$54,Source_Data!R$6&lt;Inputs!$B$54+3*Inputs!$B$11),Inputs!$B$9*Inputs!$B$7/Inputs!$B$11,0)</f>
        <v>19.1666666666667</v>
      </c>
      <c r="S236" s="33" t="n">
        <f aca="false">IF(AND(Source_Data!S$6&gt;=Inputs!$B$54,Source_Data!S$6&lt;Inputs!$B$54+3*Inputs!$B$11),Inputs!$B$9*Inputs!$B$7/Inputs!$B$11,0)</f>
        <v>19.1666666666667</v>
      </c>
      <c r="T236" s="33" t="n">
        <f aca="false">IF(AND(Source_Data!T$6&gt;=Inputs!$B$54,Source_Data!T$6&lt;Inputs!$B$54+3*Inputs!$B$11),Inputs!$B$9*Inputs!$B$7/Inputs!$B$11,0)</f>
        <v>19.1666666666667</v>
      </c>
      <c r="U236" s="33" t="n">
        <f aca="false">IF(AND(Source_Data!U$6&gt;=Inputs!$B$54,Source_Data!U$6&lt;Inputs!$B$54+3*Inputs!$B$11),Inputs!$B$9*Inputs!$B$7/Inputs!$B$11,0)</f>
        <v>19.1666666666667</v>
      </c>
      <c r="V236" s="33" t="n">
        <f aca="false">IF(AND(Source_Data!V$6&gt;=Inputs!$B$54,Source_Data!V$6&lt;Inputs!$B$54+3*Inputs!$B$11),Inputs!$B$9*Inputs!$B$7/Inputs!$B$11,0)</f>
        <v>19.1666666666667</v>
      </c>
      <c r="W236" s="33" t="n">
        <f aca="false">IF(AND(Source_Data!W$6&gt;=Inputs!$B$54,Source_Data!W$6&lt;Inputs!$B$54+3*Inputs!$B$11),Inputs!$B$9*Inputs!$B$7/Inputs!$B$11,0)</f>
        <v>19.1666666666667</v>
      </c>
      <c r="X236" s="33" t="n">
        <f aca="false">IF(AND(Source_Data!X$6&gt;=Inputs!$B$54,Source_Data!X$6&lt;Inputs!$B$54+3*Inputs!$B$11),Inputs!$B$9*Inputs!$B$7/Inputs!$B$11,0)</f>
        <v>19.1666666666667</v>
      </c>
      <c r="Y236" s="33" t="n">
        <f aca="false">IF(AND(Source_Data!Y$6&gt;=Inputs!$B$54,Source_Data!Y$6&lt;Inputs!$B$54+3*Inputs!$B$11),Inputs!$B$9*Inputs!$B$7/Inputs!$B$11,0)</f>
        <v>0</v>
      </c>
      <c r="Z236" s="33" t="n">
        <f aca="false">IF(AND(Source_Data!Z$6&gt;=Inputs!$B$54,Source_Data!Z$6&lt;Inputs!$B$54+3*Inputs!$B$11),Inputs!$B$9*Inputs!$B$7/Inputs!$B$11,0)</f>
        <v>0</v>
      </c>
      <c r="AA236" s="33" t="n">
        <f aca="false">IF(AND(Source_Data!AA$6&gt;=Inputs!$B$54,Source_Data!AA$6&lt;Inputs!$B$54+3*Inputs!$B$11),Inputs!$B$9*Inputs!$B$7/Inputs!$B$11,0)</f>
        <v>0</v>
      </c>
      <c r="AB236" s="33" t="n">
        <f aca="false">IF(AND(Source_Data!AB$6&gt;=Inputs!$B$54,Source_Data!AB$6&lt;Inputs!$B$54+3*Inputs!$B$11),Inputs!$B$9*Inputs!$B$7/Inputs!$B$11,0)</f>
        <v>0</v>
      </c>
      <c r="AC236" s="33" t="n">
        <f aca="false">IF(AND(Source_Data!AC$6&gt;=Inputs!$B$54,Source_Data!AC$6&lt;Inputs!$B$54+3*Inputs!$B$11),Inputs!$B$9*Inputs!$B$7/Inputs!$B$11,0)</f>
        <v>0</v>
      </c>
      <c r="AD236" s="33" t="n">
        <f aca="false">IF(AND(Source_Data!AD$6&gt;=Inputs!$B$54,Source_Data!AD$6&lt;Inputs!$B$54+3*Inputs!$B$11),Inputs!$B$9*Inputs!$B$7/Inputs!$B$11,0)</f>
        <v>0</v>
      </c>
      <c r="AE236" s="33" t="n">
        <f aca="false">IF(AND(Source_Data!AE$6&gt;=Inputs!$B$54,Source_Data!AE$6&lt;Inputs!$B$54+3*Inputs!$B$11),Inputs!$B$9*Inputs!$B$7/Inputs!$B$11,0)</f>
        <v>0</v>
      </c>
      <c r="AF236" s="33" t="n">
        <f aca="false">IF(AND(Source_Data!AF$6&gt;=Inputs!$B$54,Source_Data!AF$6&lt;Inputs!$B$54+3*Inputs!$B$11),Inputs!$B$9*Inputs!$B$7/Inputs!$B$11,0)</f>
        <v>0</v>
      </c>
      <c r="AG236" s="33" t="n">
        <f aca="false">IF(AND(Source_Data!AG$6&gt;=Inputs!$B$54,Source_Data!AG$6&lt;Inputs!$B$54+3*Inputs!$B$11),Inputs!$B$9*Inputs!$B$7/Inputs!$B$11,0)</f>
        <v>0</v>
      </c>
      <c r="AH236" s="33" t="n">
        <f aca="false">IF(AND(Source_Data!AH$6&gt;=Inputs!$B$54,Source_Data!AH$6&lt;Inputs!$B$54+3*Inputs!$B$11),Inputs!$B$9*Inputs!$B$7/Inputs!$B$11,0)</f>
        <v>0</v>
      </c>
      <c r="AI236" s="33" t="n">
        <f aca="false">IF(AND(Source_Data!AI$6&gt;=Inputs!$B$54,Source_Data!AI$6&lt;Inputs!$B$54+3*Inputs!$B$11),Inputs!$B$9*Inputs!$B$7/Inputs!$B$11,0)</f>
        <v>0</v>
      </c>
      <c r="AJ236" s="33" t="n">
        <f aca="false">IF(AND(Source_Data!AJ$6&gt;=Inputs!$B$54,Source_Data!AJ$6&lt;Inputs!$B$54+3*Inputs!$B$11),Inputs!$B$9*Inputs!$B$7/Inputs!$B$11,0)</f>
        <v>0</v>
      </c>
      <c r="AK236" s="33" t="n">
        <f aca="false">IF(AND(Source_Data!AK$6&gt;=Inputs!$B$54,Source_Data!AK$6&lt;Inputs!$B$54+3*Inputs!$B$11),Inputs!$B$9*Inputs!$B$7/Inputs!$B$11,0)</f>
        <v>0</v>
      </c>
      <c r="AL236" s="33" t="n">
        <f aca="false">IF(AND(Source_Data!AL$6&gt;=Inputs!$B$54,Source_Data!AL$6&lt;Inputs!$B$54+3*Inputs!$B$11),Inputs!$B$9*Inputs!$B$7/Inputs!$B$11,0)</f>
        <v>0</v>
      </c>
      <c r="AM236" s="33" t="n">
        <f aca="false">IF(AND(Source_Data!AM$6&gt;=Inputs!$B$54,Source_Data!AM$6&lt;Inputs!$B$54+3*Inputs!$B$11),Inputs!$B$9*Inputs!$B$7/Inputs!$B$11,0)</f>
        <v>0</v>
      </c>
      <c r="AN236" s="33" t="n">
        <f aca="false">IF(AND(Source_Data!AN$6&gt;=Inputs!$B$54,Source_Data!AN$6&lt;Inputs!$B$54+3*Inputs!$B$11),Inputs!$B$9*Inputs!$B$7/Inputs!$B$11,0)</f>
        <v>0</v>
      </c>
      <c r="AO236" s="33" t="n">
        <f aca="false">IF(AND(Source_Data!AO$6&gt;=Inputs!$B$54,Source_Data!AO$6&lt;Inputs!$B$54+3*Inputs!$B$11),Inputs!$B$9*Inputs!$B$7/Inputs!$B$11,0)</f>
        <v>0</v>
      </c>
      <c r="AP236" s="33" t="n">
        <f aca="false">IF(AND(Source_Data!AP$6&gt;=Inputs!$B$54,Source_Data!AP$6&lt;Inputs!$B$54+3*Inputs!$B$11),Inputs!$B$9*Inputs!$B$7/Inputs!$B$11,0)</f>
        <v>0</v>
      </c>
      <c r="AQ236" s="33" t="n">
        <f aca="false">IF(AND(Source_Data!AQ$6&gt;=Inputs!$B$54,Source_Data!AQ$6&lt;Inputs!$B$54+3*Inputs!$B$11),Inputs!$B$9*Inputs!$B$7/Inputs!$B$11,0)</f>
        <v>0</v>
      </c>
      <c r="AR236" s="33" t="n">
        <f aca="false">IF(AND(Source_Data!AR$6&gt;=Inputs!$B$54,Source_Data!AR$6&lt;Inputs!$B$54+3*Inputs!$B$11),Inputs!$B$9*Inputs!$B$7/Inputs!$B$11,0)</f>
        <v>0</v>
      </c>
      <c r="AS236" s="33" t="n">
        <f aca="false">IF(AND(Source_Data!AS$6&gt;=Inputs!$B$54,Source_Data!AS$6&lt;Inputs!$B$54+3*Inputs!$B$11),Inputs!$B$9*Inputs!$B$7/Inputs!$B$11,0)</f>
        <v>0</v>
      </c>
      <c r="AT236" s="33" t="n">
        <f aca="false">IF(AND(Source_Data!AT$6&gt;=Inputs!$B$54,Source_Data!AT$6&lt;Inputs!$B$54+3*Inputs!$B$11),Inputs!$B$9*Inputs!$B$7/Inputs!$B$11,0)</f>
        <v>0</v>
      </c>
      <c r="AU236" s="33" t="n">
        <f aca="false">IF(AND(Source_Data!AU$6&gt;=Inputs!$B$54,Source_Data!AU$6&lt;Inputs!$B$54+3*Inputs!$B$11),Inputs!$B$9*Inputs!$B$7/Inputs!$B$11,0)</f>
        <v>0</v>
      </c>
      <c r="AV236" s="33" t="n">
        <f aca="false">IF(AND(Source_Data!AV$6&gt;=Inputs!$B$54,Source_Data!AV$6&lt;Inputs!$B$54+3*Inputs!$B$11),Inputs!$B$9*Inputs!$B$7/Inputs!$B$11,0)</f>
        <v>0</v>
      </c>
      <c r="AW236" s="33" t="n">
        <f aca="false">IF(AND(Source_Data!AW$6&gt;=Inputs!$B$54,Source_Data!AW$6&lt;Inputs!$B$54+3*Inputs!$B$11),Inputs!$B$9*Inputs!$B$7/Inputs!$B$11,0)</f>
        <v>0</v>
      </c>
      <c r="AX236" s="33" t="n">
        <f aca="false">IF(AND(Source_Data!AX$6&gt;=Inputs!$B$54,Source_Data!AX$6&lt;Inputs!$B$54+3*Inputs!$B$11),Inputs!$B$9*Inputs!$B$7/Inputs!$B$11,0)</f>
        <v>0</v>
      </c>
      <c r="AY236" s="33" t="n">
        <f aca="false">IF(AND(Source_Data!AY$6&gt;=Inputs!$B$54,Source_Data!AY$6&lt;Inputs!$B$54+3*Inputs!$B$11),Inputs!$B$9*Inputs!$B$7/Inputs!$B$11,0)</f>
        <v>0</v>
      </c>
      <c r="AZ236" s="33" t="n">
        <f aca="false">IF(AND(Source_Data!AZ$6&gt;=Inputs!$B$54,Source_Data!AZ$6&lt;Inputs!$B$54+3*Inputs!$B$11),Inputs!$B$9*Inputs!$B$7/Inputs!$B$11,0)</f>
        <v>0</v>
      </c>
      <c r="BA236" s="33" t="n">
        <f aca="false">IF(AND(Source_Data!BA$6&gt;=Inputs!$B$54,Source_Data!BA$6&lt;Inputs!$B$54+3*Inputs!$B$11),Inputs!$B$9*Inputs!$B$7/Inputs!$B$11,0)</f>
        <v>0</v>
      </c>
      <c r="BB236" s="33" t="n">
        <f aca="false">IF(AND(Source_Data!BB$6&gt;=Inputs!$B$54,Source_Data!BB$6&lt;Inputs!$B$54+3*Inputs!$B$11),Inputs!$B$9*Inputs!$B$7/Inputs!$B$11,0)</f>
        <v>0</v>
      </c>
      <c r="BC236" s="33" t="n">
        <f aca="false">IF(AND(Source_Data!BC$6&gt;=Inputs!$B$54,Source_Data!BC$6&lt;Inputs!$B$54+3*Inputs!$B$11),Inputs!$B$9*Inputs!$B$7/Inputs!$B$11,0)</f>
        <v>0</v>
      </c>
      <c r="BD236" s="33" t="n">
        <f aca="false">IF(AND(Source_Data!BD$6&gt;=Inputs!$B$54,Source_Data!BD$6&lt;Inputs!$B$54+3*Inputs!$B$11),Inputs!$B$9*Inputs!$B$7/Inputs!$B$11,0)</f>
        <v>0</v>
      </c>
      <c r="BE236" s="33" t="n">
        <f aca="false">IF(AND(Source_Data!BE$6&gt;=Inputs!$B$54,Source_Data!BE$6&lt;Inputs!$B$54+3*Inputs!$B$11),Inputs!$B$9*Inputs!$B$7/Inputs!$B$11,0)</f>
        <v>0</v>
      </c>
      <c r="BF236" s="33" t="n">
        <f aca="false">IF(AND(Source_Data!BF$6&gt;=Inputs!$B$54,Source_Data!BF$6&lt;Inputs!$B$54+3*Inputs!$B$11),Inputs!$B$9*Inputs!$B$7/Inputs!$B$11,0)</f>
        <v>0</v>
      </c>
      <c r="BG236" s="33" t="n">
        <f aca="false">IF(AND(Source_Data!BG$6&gt;=Inputs!$B$54,Source_Data!BG$6&lt;Inputs!$B$54+3*Inputs!$B$11),Inputs!$B$9*Inputs!$B$7/Inputs!$B$11,0)</f>
        <v>0</v>
      </c>
      <c r="BH236" s="33" t="n">
        <f aca="false">IF(AND(Source_Data!BH$6&gt;=Inputs!$B$54,Source_Data!BH$6&lt;Inputs!$B$54+3*Inputs!$B$11),Inputs!$B$9*Inputs!$B$7/Inputs!$B$11,0)</f>
        <v>0</v>
      </c>
      <c r="BI236" s="33" t="n">
        <f aca="false">IF(AND(Source_Data!BI$6&gt;=Inputs!$B$54,Source_Data!BI$6&lt;Inputs!$B$54+3*Inputs!$B$11),Inputs!$B$9*Inputs!$B$7/Inputs!$B$11,0)</f>
        <v>0</v>
      </c>
      <c r="BJ236" s="33" t="n">
        <f aca="false">IF(AND(Source_Data!BJ$6&gt;=Inputs!$B$54,Source_Data!BJ$6&lt;Inputs!$B$54+3*Inputs!$B$11),Inputs!$B$9*Inputs!$B$7/Inputs!$B$11,0)</f>
        <v>0</v>
      </c>
      <c r="BK236" s="33" t="n">
        <f aca="false">IF(AND(Source_Data!BK$6&gt;=Inputs!$B$54,Source_Data!BK$6&lt;Inputs!$B$54+3*Inputs!$B$11),Inputs!$B$9*Inputs!$B$7/Inputs!$B$11,0)</f>
        <v>0</v>
      </c>
    </row>
    <row r="237" customFormat="false" ht="15" hidden="false" customHeight="false" outlineLevel="0" collapsed="false">
      <c r="A237" s="3" t="s">
        <v>342</v>
      </c>
      <c r="D237" s="33" t="n">
        <f aca="false">IF(Source_Data!D$6=Inputs!$B$12,-Inputs!$B$7,0)+D236</f>
        <v>-100</v>
      </c>
      <c r="E237" s="33" t="n">
        <f aca="false">IF(Source_Data!E$6=Inputs!$B$12,-Inputs!$B$7,0)+E236</f>
        <v>0</v>
      </c>
      <c r="F237" s="33" t="n">
        <f aca="false">IF(Source_Data!F$6=Inputs!$B$12,-Inputs!$B$7,0)+F236</f>
        <v>0</v>
      </c>
      <c r="G237" s="33" t="n">
        <f aca="false">IF(Source_Data!G$6=Inputs!$B$12,-Inputs!$B$7,0)+G236</f>
        <v>0</v>
      </c>
      <c r="H237" s="33" t="n">
        <f aca="false">IF(Source_Data!H$6=Inputs!$B$12,-Inputs!$B$7,0)+H236</f>
        <v>0</v>
      </c>
      <c r="I237" s="33" t="n">
        <f aca="false">IF(Source_Data!I$6=Inputs!$B$12,-Inputs!$B$7,0)+I236</f>
        <v>0</v>
      </c>
      <c r="J237" s="33" t="n">
        <f aca="false">IF(Source_Data!J$6=Inputs!$B$12,-Inputs!$B$7,0)+J236</f>
        <v>0</v>
      </c>
      <c r="K237" s="33" t="n">
        <f aca="false">IF(Source_Data!K$6=Inputs!$B$12,-Inputs!$B$7,0)+K236</f>
        <v>0</v>
      </c>
      <c r="L237" s="33" t="n">
        <f aca="false">IF(Source_Data!L$6=Inputs!$B$12,-Inputs!$B$7,0)+L236</f>
        <v>0</v>
      </c>
      <c r="M237" s="33" t="n">
        <f aca="false">IF(Source_Data!M$6=Inputs!$B$12,-Inputs!$B$7,0)+M236</f>
        <v>19.1666666666667</v>
      </c>
      <c r="N237" s="33" t="n">
        <f aca="false">IF(Source_Data!N$6=Inputs!$B$12,-Inputs!$B$7,0)+N236</f>
        <v>19.1666666666667</v>
      </c>
      <c r="O237" s="33" t="n">
        <f aca="false">IF(Source_Data!O$6=Inputs!$B$12,-Inputs!$B$7,0)+O236</f>
        <v>19.1666666666667</v>
      </c>
      <c r="P237" s="33" t="n">
        <f aca="false">IF(Source_Data!P$6=Inputs!$B$12,-Inputs!$B$7,0)+P236</f>
        <v>19.1666666666667</v>
      </c>
      <c r="Q237" s="33" t="n">
        <f aca="false">IF(Source_Data!Q$6=Inputs!$B$12,-Inputs!$B$7,0)+Q236</f>
        <v>19.1666666666667</v>
      </c>
      <c r="R237" s="33" t="n">
        <f aca="false">IF(Source_Data!R$6=Inputs!$B$12,-Inputs!$B$7,0)+R236</f>
        <v>19.1666666666667</v>
      </c>
      <c r="S237" s="33" t="n">
        <f aca="false">IF(Source_Data!S$6=Inputs!$B$12,-Inputs!$B$7,0)+S236</f>
        <v>19.1666666666667</v>
      </c>
      <c r="T237" s="33" t="n">
        <f aca="false">IF(Source_Data!T$6=Inputs!$B$12,-Inputs!$B$7,0)+T236</f>
        <v>19.1666666666667</v>
      </c>
      <c r="U237" s="33" t="n">
        <f aca="false">IF(Source_Data!U$6=Inputs!$B$12,-Inputs!$B$7,0)+U236</f>
        <v>19.1666666666667</v>
      </c>
      <c r="V237" s="33" t="n">
        <f aca="false">IF(Source_Data!V$6=Inputs!$B$12,-Inputs!$B$7,0)+V236</f>
        <v>19.1666666666667</v>
      </c>
      <c r="W237" s="33" t="n">
        <f aca="false">IF(Source_Data!W$6=Inputs!$B$12,-Inputs!$B$7,0)+W236</f>
        <v>19.1666666666667</v>
      </c>
      <c r="X237" s="33" t="n">
        <f aca="false">IF(Source_Data!X$6=Inputs!$B$12,-Inputs!$B$7,0)+X236</f>
        <v>19.1666666666667</v>
      </c>
      <c r="Y237" s="33" t="n">
        <f aca="false">IF(Source_Data!Y$6=Inputs!$B$12,-Inputs!$B$7,0)+Y236</f>
        <v>0</v>
      </c>
      <c r="Z237" s="33" t="n">
        <f aca="false">IF(Source_Data!Z$6=Inputs!$B$12,-Inputs!$B$7,0)+Z236</f>
        <v>0</v>
      </c>
      <c r="AA237" s="33" t="n">
        <f aca="false">IF(Source_Data!AA$6=Inputs!$B$12,-Inputs!$B$7,0)+AA236</f>
        <v>0</v>
      </c>
      <c r="AB237" s="33" t="n">
        <f aca="false">IF(Source_Data!AB$6=Inputs!$B$12,-Inputs!$B$7,0)+AB236</f>
        <v>0</v>
      </c>
      <c r="AC237" s="33" t="n">
        <f aca="false">IF(Source_Data!AC$6=Inputs!$B$12,-Inputs!$B$7,0)+AC236</f>
        <v>0</v>
      </c>
      <c r="AD237" s="33" t="n">
        <f aca="false">IF(Source_Data!AD$6=Inputs!$B$12,-Inputs!$B$7,0)+AD236</f>
        <v>0</v>
      </c>
      <c r="AE237" s="33" t="n">
        <f aca="false">IF(Source_Data!AE$6=Inputs!$B$12,-Inputs!$B$7,0)+AE236</f>
        <v>0</v>
      </c>
      <c r="AF237" s="33" t="n">
        <f aca="false">IF(Source_Data!AF$6=Inputs!$B$12,-Inputs!$B$7,0)+AF236</f>
        <v>0</v>
      </c>
      <c r="AG237" s="33" t="n">
        <f aca="false">IF(Source_Data!AG$6=Inputs!$B$12,-Inputs!$B$7,0)+AG236</f>
        <v>0</v>
      </c>
      <c r="AH237" s="33" t="n">
        <f aca="false">IF(Source_Data!AH$6=Inputs!$B$12,-Inputs!$B$7,0)+AH236</f>
        <v>0</v>
      </c>
      <c r="AI237" s="33" t="n">
        <f aca="false">IF(Source_Data!AI$6=Inputs!$B$12,-Inputs!$B$7,0)+AI236</f>
        <v>0</v>
      </c>
      <c r="AJ237" s="33" t="n">
        <f aca="false">IF(Source_Data!AJ$6=Inputs!$B$12,-Inputs!$B$7,0)+AJ236</f>
        <v>0</v>
      </c>
      <c r="AK237" s="33" t="n">
        <f aca="false">IF(Source_Data!AK$6=Inputs!$B$12,-Inputs!$B$7,0)+AK236</f>
        <v>0</v>
      </c>
      <c r="AL237" s="33" t="n">
        <f aca="false">IF(Source_Data!AL$6=Inputs!$B$12,-Inputs!$B$7,0)+AL236</f>
        <v>0</v>
      </c>
      <c r="AM237" s="33" t="n">
        <f aca="false">IF(Source_Data!AM$6=Inputs!$B$12,-Inputs!$B$7,0)+AM236</f>
        <v>0</v>
      </c>
      <c r="AN237" s="33" t="n">
        <f aca="false">IF(Source_Data!AN$6=Inputs!$B$12,-Inputs!$B$7,0)+AN236</f>
        <v>0</v>
      </c>
      <c r="AO237" s="33" t="n">
        <f aca="false">IF(Source_Data!AO$6=Inputs!$B$12,-Inputs!$B$7,0)+AO236</f>
        <v>0</v>
      </c>
      <c r="AP237" s="33" t="n">
        <f aca="false">IF(Source_Data!AP$6=Inputs!$B$12,-Inputs!$B$7,0)+AP236</f>
        <v>0</v>
      </c>
      <c r="AQ237" s="33" t="n">
        <f aca="false">IF(Source_Data!AQ$6=Inputs!$B$12,-Inputs!$B$7,0)+AQ236</f>
        <v>0</v>
      </c>
      <c r="AR237" s="33" t="n">
        <f aca="false">IF(Source_Data!AR$6=Inputs!$B$12,-Inputs!$B$7,0)+AR236</f>
        <v>0</v>
      </c>
      <c r="AS237" s="33" t="n">
        <f aca="false">IF(Source_Data!AS$6=Inputs!$B$12,-Inputs!$B$7,0)+AS236</f>
        <v>0</v>
      </c>
      <c r="AT237" s="33" t="n">
        <f aca="false">IF(Source_Data!AT$6=Inputs!$B$12,-Inputs!$B$7,0)+AT236</f>
        <v>0</v>
      </c>
      <c r="AU237" s="33" t="n">
        <f aca="false">IF(Source_Data!AU$6=Inputs!$B$12,-Inputs!$B$7,0)+AU236</f>
        <v>0</v>
      </c>
      <c r="AV237" s="33" t="n">
        <f aca="false">IF(Source_Data!AV$6=Inputs!$B$12,-Inputs!$B$7,0)+AV236</f>
        <v>0</v>
      </c>
      <c r="AW237" s="33" t="n">
        <f aca="false">IF(Source_Data!AW$6=Inputs!$B$12,-Inputs!$B$7,0)+AW236</f>
        <v>0</v>
      </c>
      <c r="AX237" s="33" t="n">
        <f aca="false">IF(Source_Data!AX$6=Inputs!$B$12,-Inputs!$B$7,0)+AX236</f>
        <v>0</v>
      </c>
      <c r="AY237" s="33" t="n">
        <f aca="false">IF(Source_Data!AY$6=Inputs!$B$12,-Inputs!$B$7,0)+AY236</f>
        <v>0</v>
      </c>
      <c r="AZ237" s="33" t="n">
        <f aca="false">IF(Source_Data!AZ$6=Inputs!$B$12,-Inputs!$B$7,0)+AZ236</f>
        <v>0</v>
      </c>
      <c r="BA237" s="33" t="n">
        <f aca="false">IF(Source_Data!BA$6=Inputs!$B$12,-Inputs!$B$7,0)+BA236</f>
        <v>0</v>
      </c>
      <c r="BB237" s="33" t="n">
        <f aca="false">IF(Source_Data!BB$6=Inputs!$B$12,-Inputs!$B$7,0)+BB236</f>
        <v>0</v>
      </c>
      <c r="BC237" s="33" t="n">
        <f aca="false">IF(Source_Data!BC$6=Inputs!$B$12,-Inputs!$B$7,0)+BC236</f>
        <v>0</v>
      </c>
      <c r="BD237" s="33" t="n">
        <f aca="false">IF(Source_Data!BD$6=Inputs!$B$12,-Inputs!$B$7,0)+BD236</f>
        <v>0</v>
      </c>
      <c r="BE237" s="33" t="n">
        <f aca="false">IF(Source_Data!BE$6=Inputs!$B$12,-Inputs!$B$7,0)+BE236</f>
        <v>0</v>
      </c>
      <c r="BF237" s="33" t="n">
        <f aca="false">IF(Source_Data!BF$6=Inputs!$B$12,-Inputs!$B$7,0)+BF236</f>
        <v>0</v>
      </c>
      <c r="BG237" s="33" t="n">
        <f aca="false">IF(Source_Data!BG$6=Inputs!$B$12,-Inputs!$B$7,0)+BG236</f>
        <v>0</v>
      </c>
      <c r="BH237" s="33" t="n">
        <f aca="false">IF(Source_Data!BH$6=Inputs!$B$12,-Inputs!$B$7,0)+BH236</f>
        <v>0</v>
      </c>
      <c r="BI237" s="33" t="n">
        <f aca="false">IF(Source_Data!BI$6=Inputs!$B$12,-Inputs!$B$7,0)+BI236</f>
        <v>0</v>
      </c>
      <c r="BJ237" s="33" t="n">
        <f aca="false">IF(Source_Data!BJ$6=Inputs!$B$12,-Inputs!$B$7,0)+BJ236</f>
        <v>0</v>
      </c>
      <c r="BK237" s="33" t="n">
        <f aca="false">IF(Source_Data!BK$6=Inputs!$B$12,-Inputs!$B$7,0)+BK236</f>
        <v>0</v>
      </c>
    </row>
    <row r="238" customFormat="false" ht="15" hidden="false" customHeight="false" outlineLevel="0" collapsed="false">
      <c r="A238" s="3" t="s">
        <v>343</v>
      </c>
      <c r="D238" s="33" t="n">
        <f aca="false">IF(Source_Data!D$6=Inputs!$B$12,Inputs!$B$7,0)+D233-D236</f>
        <v>8.75</v>
      </c>
      <c r="E238" s="33" t="n">
        <f aca="false">D238+IF(Source_Data!E$6=Inputs!$B$12,Inputs!$B$7,0)+E233-E236</f>
        <v>-2.5</v>
      </c>
      <c r="F238" s="33" t="n">
        <f aca="false">E238+IF(Source_Data!F$6=Inputs!$B$12,Inputs!$B$7,0)+F233-F236</f>
        <v>-13.75</v>
      </c>
      <c r="G238" s="33" t="n">
        <f aca="false">F238+IF(Source_Data!G$6=Inputs!$B$12,Inputs!$B$7,0)+G233-G236</f>
        <v>-25</v>
      </c>
      <c r="H238" s="33" t="n">
        <f aca="false">G238+IF(Source_Data!H$6=Inputs!$B$12,Inputs!$B$7,0)+H233-H236</f>
        <v>-70.5</v>
      </c>
      <c r="I238" s="33" t="n">
        <f aca="false">H238+IF(Source_Data!I$6=Inputs!$B$12,Inputs!$B$7,0)+I233-I236</f>
        <v>-123.36</v>
      </c>
      <c r="J238" s="33" t="n">
        <f aca="false">I238+IF(Source_Data!J$6=Inputs!$B$12,Inputs!$B$7,0)+J233-J236</f>
        <v>-191.86</v>
      </c>
      <c r="K238" s="33" t="n">
        <f aca="false">J238+IF(Source_Data!K$6=Inputs!$B$12,Inputs!$B$7,0)+K233-K236</f>
        <v>-244.72</v>
      </c>
      <c r="L238" s="33" t="n">
        <f aca="false">K238+IF(Source_Data!L$6=Inputs!$B$12,Inputs!$B$7,0)+L233-L236</f>
        <v>-293.6907625</v>
      </c>
      <c r="M238" s="33" t="n">
        <f aca="false">L238+IF(Source_Data!M$6=Inputs!$B$12,Inputs!$B$7,0)+M233-M236</f>
        <v>-346.688954166667</v>
      </c>
      <c r="N238" s="33" t="n">
        <f aca="false">M238+IF(Source_Data!N$6=Inputs!$B$12,Inputs!$B$7,0)+N233-N236</f>
        <v>-359.165614583333</v>
      </c>
      <c r="O238" s="33" t="n">
        <f aca="false">N238+IF(Source_Data!O$6=Inputs!$B$12,Inputs!$B$7,0)+O233-O236</f>
        <v>-355.40874375</v>
      </c>
      <c r="P238" s="33" t="n">
        <f aca="false">O238+IF(Source_Data!P$6=Inputs!$B$12,Inputs!$B$7,0)+P233-P236</f>
        <v>-507.321100416667</v>
      </c>
      <c r="Q238" s="33" t="n">
        <f aca="false">P238+IF(Source_Data!Q$6=Inputs!$B$12,Inputs!$B$7,0)+Q233-Q236</f>
        <v>-658.125597708333</v>
      </c>
      <c r="R238" s="33" t="n">
        <f aca="false">Q238+IF(Source_Data!R$6=Inputs!$B$12,Inputs!$B$7,0)+R233-R236</f>
        <v>-840.0846759375</v>
      </c>
      <c r="S238" s="33" t="n">
        <f aca="false">R238+IF(Source_Data!S$6=Inputs!$B$12,Inputs!$B$7,0)+S233-S236</f>
        <v>-553.068765104167</v>
      </c>
      <c r="T238" s="33" t="n">
        <f aca="false">S238+IF(Source_Data!T$6=Inputs!$B$12,Inputs!$B$7,0)+T233-T236</f>
        <v>-438.646691770833</v>
      </c>
      <c r="U238" s="33" t="n">
        <f aca="false">T238+IF(Source_Data!U$6=Inputs!$B$12,Inputs!$B$7,0)+U233-U236</f>
        <v>-333.2683684375</v>
      </c>
      <c r="V238" s="33" t="n">
        <f aca="false">U238+IF(Source_Data!V$6=Inputs!$B$12,Inputs!$B$7,0)+V233-V236</f>
        <v>-307.822325104167</v>
      </c>
      <c r="W238" s="33" t="n">
        <f aca="false">V238+IF(Source_Data!W$6=Inputs!$B$12,Inputs!$B$7,0)+W233-W236</f>
        <v>-309.939823020833</v>
      </c>
      <c r="X238" s="33" t="n">
        <f aca="false">W238+IF(Source_Data!X$6=Inputs!$B$12,Inputs!$B$7,0)+X233-X236</f>
        <v>-289.5573209375</v>
      </c>
      <c r="Y238" s="33" t="n">
        <f aca="false">X238+IF(Source_Data!Y$6=Inputs!$B$12,Inputs!$B$7,0)+Y233-Y236</f>
        <v>-250.6764853125</v>
      </c>
      <c r="Z238" s="33" t="n">
        <f aca="false">Y238+IF(Source_Data!Z$6=Inputs!$B$12,Inputs!$B$7,0)+Z233-Z236</f>
        <v>-211.949845625</v>
      </c>
      <c r="AA238" s="33" t="n">
        <f aca="false">Z238+IF(Source_Data!AA$6=Inputs!$B$12,Inputs!$B$7,0)+AA233-AA236</f>
        <v>-174.7371296875</v>
      </c>
      <c r="AB238" s="33" t="n">
        <f aca="false">AA238+IF(Source_Data!AB$6=Inputs!$B$12,Inputs!$B$7,0)+AB233-AB236</f>
        <v>-121.013185</v>
      </c>
      <c r="AC238" s="33" t="n">
        <f aca="false">AB238+IF(Source_Data!AC$6=Inputs!$B$12,Inputs!$B$7,0)+AC233-AC236</f>
        <v>-71.6302403125002</v>
      </c>
      <c r="AD238" s="33" t="n">
        <f aca="false">AC238+IF(Source_Data!AD$6=Inputs!$B$12,Inputs!$B$7,0)+AD233-AD236</f>
        <v>-22.2472956250002</v>
      </c>
      <c r="AE238" s="33" t="n">
        <f aca="false">AD238+IF(Source_Data!AE$6=Inputs!$B$12,Inputs!$B$7,0)+AE233-AE236</f>
        <v>19.8554303124998</v>
      </c>
      <c r="AF238" s="33" t="n">
        <f aca="false">AE238+IF(Source_Data!AF$6=Inputs!$B$12,Inputs!$B$7,0)+AF233-AF236</f>
        <v>-45.8000541015627</v>
      </c>
      <c r="AG238" s="33" t="n">
        <f aca="false">AF238+IF(Source_Data!AG$6=Inputs!$B$12,Inputs!$B$7,0)+AG233-AG236</f>
        <v>-14.6738405859377</v>
      </c>
      <c r="AH238" s="33" t="n">
        <f aca="false">AG238+IF(Source_Data!AH$6=Inputs!$B$12,Inputs!$B$7,0)+AH233-AH236</f>
        <v>10.6643729296873</v>
      </c>
      <c r="AI238" s="33" t="n">
        <f aca="false">AH238+IF(Source_Data!AI$6=Inputs!$B$12,Inputs!$B$7,0)+AI233-AI236</f>
        <v>32.7264880078123</v>
      </c>
      <c r="AJ238" s="33" t="n">
        <f aca="false">AI238+IF(Source_Data!AJ$6=Inputs!$B$12,Inputs!$B$7,0)+AJ233-AJ236</f>
        <v>51.1801468359373</v>
      </c>
      <c r="AK238" s="33" t="n">
        <f aca="false">AJ238+IF(Source_Data!AK$6=Inputs!$B$12,Inputs!$B$7,0)+AK233-AK236</f>
        <v>66.2483343749998</v>
      </c>
      <c r="AL238" s="33" t="n">
        <f aca="false">AK238+IF(Source_Data!AL$6=Inputs!$B$12,Inputs!$B$7,0)+AL233-AL236</f>
        <v>81.3165219140623</v>
      </c>
      <c r="AM238" s="33" t="n">
        <f aca="false">AL238+IF(Source_Data!AM$6=Inputs!$B$12,Inputs!$B$7,0)+AM233-AM236</f>
        <v>98.2071381249998</v>
      </c>
      <c r="AN238" s="33" t="n">
        <f aca="false">AM238+IF(Source_Data!AN$6=Inputs!$B$12,Inputs!$B$7,0)+AN233-AN236</f>
        <v>119.08486109375</v>
      </c>
      <c r="AO238" s="33" t="n">
        <f aca="false">AN238+IF(Source_Data!AO$6=Inputs!$B$12,Inputs!$B$7,0)+AO233-AO236</f>
        <v>142.611950625</v>
      </c>
      <c r="AP238" s="33" t="n">
        <f aca="false">AO238+IF(Source_Data!AP$6=Inputs!$B$12,Inputs!$B$7,0)+AP233-AP236</f>
        <v>167.701121875</v>
      </c>
      <c r="AQ238" s="33" t="n">
        <f aca="false">AP238+IF(Source_Data!AQ$6=Inputs!$B$12,Inputs!$B$7,0)+AQ233-AQ236</f>
        <v>190.6062275</v>
      </c>
      <c r="AR238" s="33" t="n">
        <f aca="false">AQ238+IF(Source_Data!AR$6=Inputs!$B$12,Inputs!$B$7,0)+AR233-AR236</f>
        <v>213.511333125</v>
      </c>
      <c r="AS238" s="33" t="n">
        <f aca="false">AR238+IF(Source_Data!AS$6=Inputs!$B$12,Inputs!$B$7,0)+AS233-AS236</f>
        <v>232.2508875</v>
      </c>
      <c r="AT238" s="33" t="n">
        <f aca="false">AS238+IF(Source_Data!AT$6=Inputs!$B$12,Inputs!$B$7,0)+AT233-AT236</f>
        <v>241.877055</v>
      </c>
      <c r="AU238" s="33" t="n">
        <f aca="false">AT238+IF(Source_Data!AU$6=Inputs!$B$12,Inputs!$B$7,0)+AU233-AU236</f>
        <v>245.4475275</v>
      </c>
      <c r="AV238" s="33" t="n">
        <f aca="false">AU238+IF(Source_Data!AV$6=Inputs!$B$12,Inputs!$B$7,0)+AV233-AV236</f>
        <v>245.4475275</v>
      </c>
      <c r="AW238" s="33" t="n">
        <f aca="false">AV238+IF(Source_Data!AW$6=Inputs!$B$12,Inputs!$B$7,0)+AW233-AW236</f>
        <v>245.4475275</v>
      </c>
      <c r="AX238" s="33" t="n">
        <f aca="false">AW238+IF(Source_Data!AX$6=Inputs!$B$12,Inputs!$B$7,0)+AX233-AX236</f>
        <v>245.4475275</v>
      </c>
      <c r="AY238" s="33" t="n">
        <f aca="false">AX238+IF(Source_Data!AY$6=Inputs!$B$12,Inputs!$B$7,0)+AY233-AY236</f>
        <v>245.4475275</v>
      </c>
      <c r="AZ238" s="33" t="n">
        <f aca="false">AY238+IF(Source_Data!AZ$6=Inputs!$B$12,Inputs!$B$7,0)+AZ233-AZ236</f>
        <v>245.4475275</v>
      </c>
      <c r="BA238" s="33" t="n">
        <f aca="false">AZ238+IF(Source_Data!BA$6=Inputs!$B$12,Inputs!$B$7,0)+BA233-BA236</f>
        <v>245.4475275</v>
      </c>
      <c r="BB238" s="33" t="n">
        <f aca="false">BA238+IF(Source_Data!BB$6=Inputs!$B$12,Inputs!$B$7,0)+BB233-BB236</f>
        <v>245.4475275</v>
      </c>
      <c r="BC238" s="33" t="n">
        <f aca="false">BB238+IF(Source_Data!BC$6=Inputs!$B$12,Inputs!$B$7,0)+BC233-BC236</f>
        <v>245.4475275</v>
      </c>
      <c r="BD238" s="33" t="n">
        <f aca="false">BC238+IF(Source_Data!BD$6=Inputs!$B$12,Inputs!$B$7,0)+BD233-BD236</f>
        <v>245.4475275</v>
      </c>
      <c r="BE238" s="33" t="n">
        <f aca="false">BD238+IF(Source_Data!BE$6=Inputs!$B$12,Inputs!$B$7,0)+BE233-BE236</f>
        <v>245.4475275</v>
      </c>
      <c r="BF238" s="33" t="n">
        <f aca="false">BE238+IF(Source_Data!BF$6=Inputs!$B$12,Inputs!$B$7,0)+BF233-BF236</f>
        <v>245.4475275</v>
      </c>
      <c r="BG238" s="33" t="n">
        <f aca="false">BF238+IF(Source_Data!BG$6=Inputs!$B$12,Inputs!$B$7,0)+BG233-BG236</f>
        <v>245.4475275</v>
      </c>
      <c r="BH238" s="33" t="n">
        <f aca="false">BG238+IF(Source_Data!BH$6=Inputs!$B$12,Inputs!$B$7,0)+BH233-BH236</f>
        <v>245.4475275</v>
      </c>
      <c r="BI238" s="33" t="n">
        <f aca="false">BH238+IF(Source_Data!BI$6=Inputs!$B$12,Inputs!$B$7,0)+BI233-BI236</f>
        <v>245.4475275</v>
      </c>
      <c r="BJ238" s="33" t="n">
        <f aca="false">BI238+IF(Source_Data!BJ$6=Inputs!$B$12,Inputs!$B$7,0)+BJ233-BJ236</f>
        <v>245.4475275</v>
      </c>
      <c r="BK238" s="33" t="n">
        <f aca="false">BJ238+IF(Source_Data!BK$6=Inputs!$B$12,Inputs!$B$7,0)+BK233-BK236</f>
        <v>245.4475275</v>
      </c>
    </row>
    <row r="239" customFormat="false" ht="15" hidden="false" customHeight="false" outlineLevel="0" collapsed="false">
      <c r="A239" s="3" t="s">
        <v>344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n">
        <f aca="false">IF(M236&gt;0,M233/M236,"")</f>
        <v>-1.76512304347826</v>
      </c>
      <c r="N239" s="31" t="n">
        <f aca="false">IF(N236&gt;0,N233/N236,"")</f>
        <v>0.349043804347826</v>
      </c>
      <c r="O239" s="31" t="n">
        <f aca="false">IF(O236&gt;0,O233/O236,"")</f>
        <v>1.19601065217391</v>
      </c>
      <c r="P239" s="31" t="n">
        <f aca="false">IF(P236&gt;0,P233/P236,"")</f>
        <v>-6.92586208695652</v>
      </c>
      <c r="Q239" s="31" t="n">
        <f aca="false">IF(Q236&gt;0,Q233/Q236,"")</f>
        <v>-6.86806072826087</v>
      </c>
      <c r="R239" s="31" t="n">
        <f aca="false">IF(R236&gt;0,R233/R236,"")</f>
        <v>-8.493517125</v>
      </c>
      <c r="S239" s="31" t="n">
        <f aca="false">IF(S236&gt;0,S233/S236,"")</f>
        <v>15.974743173913</v>
      </c>
      <c r="T239" s="31" t="n">
        <f aca="false">IF(T236&gt;0,T233/T236,"")</f>
        <v>6.96984730434783</v>
      </c>
      <c r="U239" s="31" t="n">
        <f aca="false">IF(U236&gt;0,U233/U236,"")</f>
        <v>6.49799947826087</v>
      </c>
      <c r="V239" s="31" t="n">
        <f aca="false">IF(V236&gt;0,V233/V236,"")</f>
        <v>2.32761965217391</v>
      </c>
      <c r="W239" s="31" t="n">
        <f aca="false">IF(W236&gt;0,W233/W236,"")</f>
        <v>0.889521847826087</v>
      </c>
      <c r="X239" s="31" t="n">
        <f aca="false">IF(X236&gt;0,X233/X236,"")</f>
        <v>2.06343489130435</v>
      </c>
      <c r="Y239" s="31" t="str">
        <f aca="false">IF(Y236&gt;0,Y233/Y236,"")</f>
        <v/>
      </c>
      <c r="Z239" s="31" t="str">
        <f aca="false">IF(Z236&gt;0,Z233/Z236,"")</f>
        <v/>
      </c>
      <c r="AA239" s="31" t="str">
        <f aca="false">IF(AA236&gt;0,AA233/AA236,"")</f>
        <v/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345</v>
      </c>
      <c r="D240" s="31" t="str">
        <f aca="false">IF(D236&gt;0,(0+D233+IF(Source_Data!D$6=Inputs!$B$12,Inputs!$B$7,0))/D236,"")</f>
        <v/>
      </c>
      <c r="E240" s="31" t="str">
        <f aca="false">IF(E236&gt;0,(D238+E233+IF(Source_Data!E$6=Inputs!$B$12,Inputs!$B$7,0))/E236,"")</f>
        <v/>
      </c>
      <c r="F240" s="31" t="str">
        <f aca="false">IF(F236&gt;0,(E238+F233+IF(Source_Data!F$6=Inputs!$B$12,Inputs!$B$7,0))/F236,"")</f>
        <v/>
      </c>
      <c r="G240" s="31" t="str">
        <f aca="false">IF(G236&gt;0,(F238+G233+IF(Source_Data!G$6=Inputs!$B$12,Inputs!$B$7,0))/G236,"")</f>
        <v/>
      </c>
      <c r="H240" s="31" t="str">
        <f aca="false">IF(H236&gt;0,(G238+H233+IF(Source_Data!H$6=Inputs!$B$12,Inputs!$B$7,0))/H236,"")</f>
        <v/>
      </c>
      <c r="I240" s="31" t="str">
        <f aca="false">IF(I236&gt;0,(H238+I233+IF(Source_Data!I$6=Inputs!$B$12,Inputs!$B$7,0))/I236,"")</f>
        <v/>
      </c>
      <c r="J240" s="31" t="str">
        <f aca="false">IF(J236&gt;0,(I238+J233+IF(Source_Data!J$6=Inputs!$B$12,Inputs!$B$7,0))/J236,"")</f>
        <v/>
      </c>
      <c r="K240" s="31" t="str">
        <f aca="false">IF(K236&gt;0,(J238+K233+IF(Source_Data!K$6=Inputs!$B$12,Inputs!$B$7,0))/K236,"")</f>
        <v/>
      </c>
      <c r="L240" s="31" t="str">
        <f aca="false">IF(L236&gt;0,(K238+L233+IF(Source_Data!L$6=Inputs!$B$12,Inputs!$B$7,0))/L236,"")</f>
        <v/>
      </c>
      <c r="M240" s="31" t="n">
        <f aca="false">IF(M236&gt;0,(L238+M233+IF(Source_Data!M$6=Inputs!$B$12,Inputs!$B$7,0))/M236,"")</f>
        <v>-17.0881193478261</v>
      </c>
      <c r="N240" s="31" t="n">
        <f aca="false">IF(N236&gt;0,(M238+N233+IF(Source_Data!N$6=Inputs!$B$12,Inputs!$B$7,0))/N236,"")</f>
        <v>-17.7390755434783</v>
      </c>
      <c r="O240" s="31" t="n">
        <f aca="false">IF(O236&gt;0,(N238+O233+IF(Source_Data!O$6=Inputs!$B$12,Inputs!$B$7,0))/O236,"")</f>
        <v>-17.5430648913044</v>
      </c>
      <c r="P240" s="31" t="n">
        <f aca="false">IF(P236&gt;0,(O238+P233+IF(Source_Data!P$6=Inputs!$B$12,Inputs!$B$7,0))/P236,"")</f>
        <v>-25.4689269782609</v>
      </c>
      <c r="Q240" s="31" t="n">
        <f aca="false">IF(Q236&gt;0,(P238+Q233+IF(Source_Data!Q$6=Inputs!$B$12,Inputs!$B$7,0))/Q236,"")</f>
        <v>-33.3369877065218</v>
      </c>
      <c r="R240" s="31" t="n">
        <f aca="false">IF(R236&gt;0,(Q238+R233+IF(Source_Data!R$6=Inputs!$B$12,Inputs!$B$7,0))/R236,"")</f>
        <v>-42.8305048315218</v>
      </c>
      <c r="S240" s="31" t="n">
        <f aca="false">IF(S236&gt;0,(R238+S233+IF(Source_Data!S$6=Inputs!$B$12,Inputs!$B$7,0))/S236,"")</f>
        <v>-27.8557616576087</v>
      </c>
      <c r="T240" s="31" t="n">
        <f aca="false">IF(T236&gt;0,(S238+T233+IF(Source_Data!T$6=Inputs!$B$12,Inputs!$B$7,0))/T236,"")</f>
        <v>-21.8859143532609</v>
      </c>
      <c r="U240" s="31" t="n">
        <f aca="false">IF(U236&gt;0,(T238+U233+IF(Source_Data!U$6=Inputs!$B$12,Inputs!$B$7,0))/U236,"")</f>
        <v>-16.387914875</v>
      </c>
      <c r="V240" s="31" t="n">
        <f aca="false">IF(V236&gt;0,(U238+V233+IF(Source_Data!V$6=Inputs!$B$12,Inputs!$B$7,0))/V236,"")</f>
        <v>-15.0602952228261</v>
      </c>
      <c r="W240" s="31" t="n">
        <f aca="false">IF(W236&gt;0,(V238+W233+IF(Source_Data!W$6=Inputs!$B$12,Inputs!$B$7,0))/W236,"")</f>
        <v>-15.170773375</v>
      </c>
      <c r="X240" s="31" t="n">
        <f aca="false">IF(X236&gt;0,(W238+X233+IF(Source_Data!X$6=Inputs!$B$12,Inputs!$B$7,0))/X236,"")</f>
        <v>-14.1073384836957</v>
      </c>
      <c r="Y240" s="31" t="str">
        <f aca="false">IF(Y236&gt;0,(X238+Y233+IF(Source_Data!Y$6=Inputs!$B$12,Inputs!$B$7,0))/Y236,"")</f>
        <v/>
      </c>
      <c r="Z240" s="31" t="str">
        <f aca="false">IF(Z236&gt;0,(Y238+Z233+IF(Source_Data!Z$6=Inputs!$B$12,Inputs!$B$7,0))/Z236,"")</f>
        <v/>
      </c>
      <c r="AA240" s="31" t="str">
        <f aca="false">IF(AA236&gt;0,(Z238+AA233+IF(Source_Data!AA$6=Inputs!$B$12,Inputs!$B$7,0))/AA236,"")</f>
        <v/>
      </c>
      <c r="AB240" s="31" t="str">
        <f aca="false">IF(AB236&gt;0,(AA238+AB233+IF(Source_Data!AB$6=Inputs!$B$12,Inputs!$B$7,0))/AB236,"")</f>
        <v/>
      </c>
      <c r="AC240" s="31" t="str">
        <f aca="false">IF(AC236&gt;0,(AB238+AC233+IF(Source_Data!AC$6=Inputs!$B$12,Inputs!$B$7,0))/AC236,"")</f>
        <v/>
      </c>
      <c r="AD240" s="31" t="str">
        <f aca="false">IF(AD236&gt;0,(AC238+AD233+IF(Source_Data!AD$6=Inputs!$B$12,Inputs!$B$7,0))/AD236,"")</f>
        <v/>
      </c>
      <c r="AE240" s="31" t="str">
        <f aca="false">IF(AE236&gt;0,(AD238+AE233+IF(Source_Data!AE$6=Inputs!$B$12,Inputs!$B$7,0))/AE236,"")</f>
        <v/>
      </c>
      <c r="AF240" s="31" t="str">
        <f aca="false">IF(AF236&gt;0,(AE238+AF233+IF(Source_Data!AF$6=Inputs!$B$12,Inputs!$B$7,0))/AF236,"")</f>
        <v/>
      </c>
      <c r="AG240" s="31" t="str">
        <f aca="false">IF(AG236&gt;0,(AF238+AG233+IF(Source_Data!AG$6=Inputs!$B$12,Inputs!$B$7,0))/AG236,"")</f>
        <v/>
      </c>
      <c r="AH240" s="31" t="str">
        <f aca="false">IF(AH236&gt;0,(AG238+AH233+IF(Source_Data!AH$6=Inputs!$B$12,Inputs!$B$7,0))/AH236,"")</f>
        <v/>
      </c>
      <c r="AI240" s="31" t="str">
        <f aca="false">IF(AI236&gt;0,(AH238+AI233+IF(Source_Data!AI$6=Inputs!$B$12,Inputs!$B$7,0))/AI236,"")</f>
        <v/>
      </c>
      <c r="AJ240" s="31" t="str">
        <f aca="false">IF(AJ236&gt;0,(AI238+AJ233+IF(Source_Data!AJ$6=Inputs!$B$12,Inputs!$B$7,0))/AJ236,"")</f>
        <v/>
      </c>
      <c r="AK240" s="31" t="str">
        <f aca="false">IF(AK236&gt;0,(AJ238+AK233+IF(Source_Data!AK$6=Inputs!$B$12,Inputs!$B$7,0))/AK236,"")</f>
        <v/>
      </c>
      <c r="AL240" s="31" t="str">
        <f aca="false">IF(AL236&gt;0,(AK238+AL233+IF(Source_Data!AL$6=Inputs!$B$12,Inputs!$B$7,0))/AL236,"")</f>
        <v/>
      </c>
      <c r="AM240" s="31" t="str">
        <f aca="false">IF(AM236&gt;0,(AL238+AM233+IF(Source_Data!AM$6=Inputs!$B$12,Inputs!$B$7,0))/AM236,"")</f>
        <v/>
      </c>
      <c r="AN240" s="31" t="str">
        <f aca="false">IF(AN236&gt;0,(AM238+AN233+IF(Source_Data!AN$6=Inputs!$B$12,Inputs!$B$7,0))/AN236,"")</f>
        <v/>
      </c>
      <c r="AO240" s="31" t="str">
        <f aca="false">IF(AO236&gt;0,(AN238+AO233+IF(Source_Data!AO$6=Inputs!$B$12,Inputs!$B$7,0))/AO236,"")</f>
        <v/>
      </c>
      <c r="AP240" s="31" t="str">
        <f aca="false">IF(AP236&gt;0,(AO238+AP233+IF(Source_Data!AP$6=Inputs!$B$12,Inputs!$B$7,0))/AP236,"")</f>
        <v/>
      </c>
      <c r="AQ240" s="31" t="str">
        <f aca="false">IF(AQ236&gt;0,(AP238+AQ233+IF(Source_Data!AQ$6=Inputs!$B$12,Inputs!$B$7,0))/AQ236,"")</f>
        <v/>
      </c>
      <c r="AR240" s="31" t="str">
        <f aca="false">IF(AR236&gt;0,(AQ238+AR233+IF(Source_Data!AR$6=Inputs!$B$12,Inputs!$B$7,0))/AR236,"")</f>
        <v/>
      </c>
      <c r="AS240" s="31" t="str">
        <f aca="false">IF(AS236&gt;0,(AR238+AS233+IF(Source_Data!AS$6=Inputs!$B$12,Inputs!$B$7,0))/AS236,"")</f>
        <v/>
      </c>
      <c r="AT240" s="31" t="str">
        <f aca="false">IF(AT236&gt;0,(AS238+AT233+IF(Source_Data!AT$6=Inputs!$B$12,Inputs!$B$7,0))/AT236,"")</f>
        <v/>
      </c>
      <c r="AU240" s="31" t="str">
        <f aca="false">IF(AU236&gt;0,(AT238+AU233+IF(Source_Data!AU$6=Inputs!$B$12,Inputs!$B$7,0))/AU236,"")</f>
        <v/>
      </c>
      <c r="AV240" s="31" t="str">
        <f aca="false">IF(AV236&gt;0,(AU238+AV233+IF(Source_Data!AV$6=Inputs!$B$12,Inputs!$B$7,0))/AV236,"")</f>
        <v/>
      </c>
      <c r="AW240" s="31" t="str">
        <f aca="false">IF(AW236&gt;0,(AV238+AW233+IF(Source_Data!AW$6=Inputs!$B$12,Inputs!$B$7,0))/AW236,"")</f>
        <v/>
      </c>
      <c r="AX240" s="31" t="str">
        <f aca="false">IF(AX236&gt;0,(AW238+AX233+IF(Source_Data!AX$6=Inputs!$B$12,Inputs!$B$7,0))/AX236,"")</f>
        <v/>
      </c>
      <c r="AY240" s="31" t="str">
        <f aca="false">IF(AY236&gt;0,(AX238+AY233+IF(Source_Data!AY$6=Inputs!$B$12,Inputs!$B$7,0))/AY236,"")</f>
        <v/>
      </c>
      <c r="AZ240" s="31" t="str">
        <f aca="false">IF(AZ236&gt;0,(AY238+AZ233+IF(Source_Data!AZ$6=Inputs!$B$12,Inputs!$B$7,0))/AZ236,"")</f>
        <v/>
      </c>
      <c r="BA240" s="31" t="str">
        <f aca="false">IF(BA236&gt;0,(AZ238+BA233+IF(Source_Data!BA$6=Inputs!$B$12,Inputs!$B$7,0))/BA236,"")</f>
        <v/>
      </c>
      <c r="BB240" s="31" t="str">
        <f aca="false">IF(BB236&gt;0,(BA238+BB233+IF(Source_Data!BB$6=Inputs!$B$12,Inputs!$B$7,0))/BB236,"")</f>
        <v/>
      </c>
      <c r="BC240" s="31" t="str">
        <f aca="false">IF(BC236&gt;0,(BB238+BC233+IF(Source_Data!BC$6=Inputs!$B$12,Inputs!$B$7,0))/BC236,"")</f>
        <v/>
      </c>
      <c r="BD240" s="31" t="str">
        <f aca="false">IF(BD236&gt;0,(BC238+BD233+IF(Source_Data!BD$6=Inputs!$B$12,Inputs!$B$7,0))/BD236,"")</f>
        <v/>
      </c>
      <c r="BE240" s="31" t="str">
        <f aca="false">IF(BE236&gt;0,(BD238+BE233+IF(Source_Data!BE$6=Inputs!$B$12,Inputs!$B$7,0))/BE236,"")</f>
        <v/>
      </c>
      <c r="BF240" s="31" t="str">
        <f aca="false">IF(BF236&gt;0,(BE238+BF233+IF(Source_Data!BF$6=Inputs!$B$12,Inputs!$B$7,0))/BF236,"")</f>
        <v/>
      </c>
      <c r="BG240" s="31" t="str">
        <f aca="false">IF(BG236&gt;0,(BF238+BG233+IF(Source_Data!BG$6=Inputs!$B$12,Inputs!$B$7,0))/BG236,"")</f>
        <v/>
      </c>
      <c r="BH240" s="31" t="str">
        <f aca="false">IF(BH236&gt;0,(BG238+BH233+IF(Source_Data!BH$6=Inputs!$B$12,Inputs!$B$7,0))/BH236,"")</f>
        <v/>
      </c>
      <c r="BI240" s="31" t="str">
        <f aca="false">IF(BI236&gt;0,(BH238+BI233+IF(Source_Data!BI$6=Inputs!$B$12,Inputs!$B$7,0))/BI236,"")</f>
        <v/>
      </c>
      <c r="BJ240" s="31" t="str">
        <f aca="false">IF(BJ236&gt;0,(BI238+BJ233+IF(Source_Data!BJ$6=Inputs!$B$12,Inputs!$B$7,0))/BJ236,"")</f>
        <v/>
      </c>
      <c r="BK240" s="31" t="str">
        <f aca="false">IF(BK236&gt;0,(BJ238+BK233+IF(Source_Data!BK$6=Inputs!$B$12,Inputs!$B$7,0))/BK236,"")</f>
        <v/>
      </c>
    </row>
    <row r="242" customFormat="false" ht="15" hidden="false" customHeight="false" outlineLevel="0" collapsed="false">
      <c r="A242" s="2" t="s">
        <v>220</v>
      </c>
      <c r="B242" s="41" t="n">
        <f aca="false">SUM(D233:BK233)</f>
        <v>375.4475275</v>
      </c>
    </row>
    <row r="243" customFormat="false" ht="15" hidden="false" customHeight="false" outlineLevel="0" collapsed="false">
      <c r="A243" s="2" t="s">
        <v>346</v>
      </c>
      <c r="B243" s="41" t="n">
        <f aca="false">SUMPRODUCT(D233:BK233,Project_CF!$D$15:$BK$15)</f>
        <v>-26.2605155997418</v>
      </c>
    </row>
    <row r="244" customFormat="false" ht="15" hidden="false" customHeight="false" outlineLevel="0" collapsed="false">
      <c r="A244" s="2" t="s">
        <v>162</v>
      </c>
      <c r="B244" s="41" t="n">
        <f aca="false">MIN(D234:BK234)</f>
        <v>-825.0846759375</v>
      </c>
    </row>
    <row r="245" customFormat="false" ht="15" hidden="false" customHeight="false" outlineLevel="0" collapsed="false">
      <c r="A245" s="2" t="s">
        <v>347</v>
      </c>
      <c r="B245" s="35" t="n">
        <f aca="false">INDEX(Project_CF!$D$6:$BK$6,MATCH(MIN(D234:BK234),D234:BK234,0))</f>
        <v>45</v>
      </c>
    </row>
    <row r="246" customFormat="false" ht="15" hidden="false" customHeight="false" outlineLevel="0" collapsed="false">
      <c r="A246" s="2" t="s">
        <v>348</v>
      </c>
      <c r="B246" s="39" t="n">
        <f aca="false">(1+IRR(D235:BK235,0.05))^4-1</f>
        <v>0.190435922453996</v>
      </c>
    </row>
    <row r="247" customFormat="false" ht="15" hidden="false" customHeight="false" outlineLevel="0" collapsed="false">
      <c r="A247" s="2" t="s">
        <v>349</v>
      </c>
      <c r="B247" s="40" t="n">
        <f aca="false">SUMIF(D235:BK235,"&gt;0")/-SUMIF(D235:BK235,"&lt;0")</f>
        <v>2.78136200716846</v>
      </c>
    </row>
    <row r="248" customFormat="false" ht="15" hidden="false" customHeight="false" outlineLevel="0" collapsed="false">
      <c r="A248" s="2" t="s">
        <v>350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351</v>
      </c>
      <c r="B249" s="41" t="n">
        <f aca="false">MIN(D238:BK238)</f>
        <v>-840.0846759375</v>
      </c>
    </row>
    <row r="250" customFormat="false" ht="15" hidden="false" customHeight="false" outlineLevel="0" collapsed="false">
      <c r="A250" s="2" t="s">
        <v>352</v>
      </c>
      <c r="B250" s="43" t="n">
        <f aca="false">MIN(D239:BK239)</f>
        <v>-8.493517125</v>
      </c>
    </row>
    <row r="251" customFormat="false" ht="15" hidden="false" customHeight="false" outlineLevel="0" collapsed="false">
      <c r="A251" s="2" t="s">
        <v>353</v>
      </c>
      <c r="B251" s="35" t="n">
        <f aca="false">COUNTIF(D239:BK239,"&lt;"&amp;Inputs!$B$43)</f>
        <v>7</v>
      </c>
    </row>
    <row r="252" customFormat="false" ht="15" hidden="false" customHeight="false" outlineLevel="0" collapsed="false">
      <c r="A252" s="2" t="s">
        <v>354</v>
      </c>
      <c r="B252" s="43" t="n">
        <f aca="false">MIN(D240:BK240)</f>
        <v>-42.8305048315218</v>
      </c>
    </row>
    <row r="253" customFormat="false" ht="15" hidden="false" customHeight="false" outlineLevel="0" collapsed="false">
      <c r="A253" s="2" t="s">
        <v>355</v>
      </c>
      <c r="B253" s="35" t="n">
        <f aca="false">COUNTIF(D240:BK240,"&lt;"&amp;Inputs!$B$43)</f>
        <v>12</v>
      </c>
    </row>
    <row r="256" customFormat="false" ht="15" hidden="false" customHeight="false" outlineLevel="0" collapsed="false">
      <c r="A256" s="8" t="s">
        <v>365</v>
      </c>
    </row>
    <row r="257" customFormat="false" ht="15" hidden="false" customHeight="false" outlineLevel="0" collapsed="false">
      <c r="A257" s="3" t="s">
        <v>331</v>
      </c>
      <c r="B257" s="45" t="n">
        <v>1</v>
      </c>
    </row>
    <row r="258" customFormat="false" ht="15" hidden="false" customHeight="false" outlineLevel="0" collapsed="false">
      <c r="A258" s="3" t="s">
        <v>332</v>
      </c>
      <c r="B258" s="45" t="n">
        <v>8</v>
      </c>
    </row>
    <row r="259" customFormat="false" ht="15" hidden="false" customHeight="false" outlineLevel="0" collapsed="false">
      <c r="A259" s="3" t="s">
        <v>333</v>
      </c>
      <c r="B259" s="45" t="n">
        <v>1</v>
      </c>
    </row>
    <row r="260" customFormat="false" ht="15" hidden="false" customHeight="false" outlineLevel="0" collapsed="false">
      <c r="A260" s="3" t="s">
        <v>334</v>
      </c>
      <c r="B260" s="45" t="n">
        <v>0</v>
      </c>
    </row>
    <row r="261" customFormat="false" ht="15" hidden="false" customHeight="false" outlineLevel="0" collapsed="false">
      <c r="A261" s="3" t="s">
        <v>335</v>
      </c>
      <c r="B261" s="45" t="n">
        <v>0</v>
      </c>
    </row>
    <row r="262" customFormat="false" ht="15" hidden="false" customHeight="false" outlineLevel="0" collapsed="false">
      <c r="A262" s="3" t="s">
        <v>336</v>
      </c>
      <c r="B262" s="3" t="n">
        <f aca="false">Inputs!$B$13+3+3*$B$258</f>
        <v>75</v>
      </c>
    </row>
    <row r="263" customFormat="false" ht="15" hidden="false" customHeight="false" outlineLevel="0" collapsed="false">
      <c r="A263" s="3" t="s">
        <v>337</v>
      </c>
      <c r="D263" s="33" t="n">
        <f aca="false">Source_Data!D$7+IF($B$261=1,IF(Source_Data!D$6=Inputs!$B$13,Source_Data!$C$8,0),Source_Data!D$8)</f>
        <v>0</v>
      </c>
      <c r="E263" s="33" t="n">
        <f aca="false">Source_Data!E$7+IF($B$261=1,IF(Source_Data!E$6=Inputs!$B$13,Source_Data!$C$8,0),Source_Data!E$8)</f>
        <v>0</v>
      </c>
      <c r="F263" s="33" t="n">
        <f aca="false">Source_Data!F$7+IF($B$261=1,IF(Source_Data!F$6=Inputs!$B$13,Source_Data!$C$8,0),Source_Data!F$8)</f>
        <v>15.1392375</v>
      </c>
      <c r="G263" s="33" t="n">
        <f aca="false">Source_Data!G$7+IF($B$261=1,IF(Source_Data!G$6=Inputs!$B$13,Source_Data!$C$8,0),Source_Data!G$8)</f>
        <v>30.278475</v>
      </c>
      <c r="H263" s="33" t="n">
        <f aca="false">Source_Data!H$7+IF($B$261=1,IF(Source_Data!H$6=Inputs!$B$13,Source_Data!$C$8,0),Source_Data!H$8)</f>
        <v>46.51200625</v>
      </c>
      <c r="I263" s="33" t="n">
        <f aca="false">Source_Data!I$7+IF($B$261=1,IF(Source_Data!I$6=Inputs!$B$13,Source_Data!$C$8,0),Source_Data!I$8)</f>
        <v>62.7455375</v>
      </c>
      <c r="J263" s="33" t="n">
        <f aca="false">Source_Data!J$7+IF($B$261=1,IF(Source_Data!J$6=Inputs!$B$13,Source_Data!$C$8,0),Source_Data!J$8)</f>
        <v>62.3657</v>
      </c>
      <c r="K263" s="33" t="n">
        <f aca="false">Source_Data!K$7+IF($B$261=1,IF(Source_Data!K$6=Inputs!$B$13,Source_Data!$C$8,0),Source_Data!K$8)</f>
        <v>63.473559375</v>
      </c>
      <c r="L263" s="33" t="n">
        <f aca="false">Source_Data!L$7+IF($B$261=1,IF(Source_Data!L$6=Inputs!$B$13,Source_Data!$C$8,0),Source_Data!L$8)</f>
        <v>80.3288484375</v>
      </c>
      <c r="M263" s="33" t="n">
        <f aca="false">Source_Data!M$7+IF($B$261=1,IF(Source_Data!M$6=Inputs!$B$13,Source_Data!$C$8,0),Source_Data!M$8)</f>
        <v>495.2538375</v>
      </c>
      <c r="N263" s="33" t="n">
        <f aca="false">Source_Data!N$7+IF($B$261=1,IF(Source_Data!N$6=Inputs!$B$13,Source_Data!$C$8,0),Source_Data!N$8)</f>
        <v>185.57775</v>
      </c>
      <c r="O263" s="33" t="n">
        <f aca="false">Source_Data!O$7+IF($B$261=1,IF(Source_Data!O$6=Inputs!$B$13,Source_Data!$C$8,0),Source_Data!O$8)</f>
        <v>176.534</v>
      </c>
      <c r="P263" s="33" t="n">
        <f aca="false">Source_Data!P$7+IF($B$261=1,IF(Source_Data!P$6=Inputs!$B$13,Source_Data!$C$8,0),Source_Data!P$8)</f>
        <v>97.31075</v>
      </c>
      <c r="Q263" s="33" t="n">
        <f aca="false">Source_Data!Q$7+IF($B$261=1,IF(Source_Data!Q$6=Inputs!$B$13,Source_Data!$C$8,0),Source_Data!Q$8)</f>
        <v>71.30996875</v>
      </c>
      <c r="R263" s="33" t="n">
        <f aca="false">Source_Data!R$7+IF($B$261=1,IF(Source_Data!R$6=Inputs!$B$13,Source_Data!$C$8,0),Source_Data!R$8)</f>
        <v>71.30996875</v>
      </c>
      <c r="S263" s="33" t="n">
        <f aca="false">Source_Data!S$7+IF($B$261=1,IF(Source_Data!S$6=Inputs!$B$13,Source_Data!$C$8,0),Source_Data!S$8)</f>
        <v>68.037035625</v>
      </c>
      <c r="T263" s="33" t="n">
        <f aca="false">Source_Data!T$7+IF($B$261=1,IF(Source_Data!T$6=Inputs!$B$13,Source_Data!$C$8,0),Source_Data!T$8)</f>
        <v>61.2266396875</v>
      </c>
      <c r="U263" s="33" t="n">
        <f aca="false">Source_Data!U$7+IF($B$261=1,IF(Source_Data!U$6=Inputs!$B$13,Source_Data!$C$8,0),Source_Data!U$8)</f>
        <v>59.7127159375</v>
      </c>
      <c r="V263" s="33" t="n">
        <f aca="false">Source_Data!V$7+IF($B$261=1,IF(Source_Data!V$6=Inputs!$B$13,Source_Data!$C$8,0),Source_Data!V$8)</f>
        <v>53.7239446875</v>
      </c>
      <c r="W263" s="33" t="n">
        <f aca="false">Source_Data!W$7+IF($B$261=1,IF(Source_Data!W$6=Inputs!$B$13,Source_Data!$C$8,0),Source_Data!W$8)</f>
        <v>49.3829446875</v>
      </c>
      <c r="X263" s="33" t="n">
        <f aca="false">Source_Data!X$7+IF($B$261=1,IF(Source_Data!X$6=Inputs!$B$13,Source_Data!$C$8,0),Source_Data!X$8)</f>
        <v>49.3829446875</v>
      </c>
      <c r="Y263" s="33" t="n">
        <f aca="false">Source_Data!Y$7+IF($B$261=1,IF(Source_Data!Y$6=Inputs!$B$13,Source_Data!$C$8,0),Source_Data!Y$8)</f>
        <v>42.1027259375</v>
      </c>
      <c r="Z263" s="33" t="n">
        <f aca="false">Source_Data!Z$7+IF($B$261=1,IF(Source_Data!Z$6=Inputs!$B$13,Source_Data!$C$8,0),Source_Data!Z$8)</f>
        <v>42.1027259375</v>
      </c>
      <c r="AA263" s="33" t="n">
        <f aca="false">Source_Data!AA$7+IF($B$261=1,IF(Source_Data!AA$6=Inputs!$B$13,Source_Data!$C$8,0),Source_Data!AA$8)</f>
        <v>42.1027259375</v>
      </c>
      <c r="AB263" s="33" t="n">
        <f aca="false">Source_Data!AB$7+IF($B$261=1,IF(Source_Data!AB$6=Inputs!$B$13,Source_Data!$C$8,0),Source_Data!AB$8)</f>
        <v>36.3147259375</v>
      </c>
      <c r="AC263" s="33" t="n">
        <f aca="false">Source_Data!AC$7+IF($B$261=1,IF(Source_Data!AC$6=Inputs!$B$13,Source_Data!$C$8,0),Source_Data!AC$8)</f>
        <v>33.0386275</v>
      </c>
      <c r="AD263" s="33" t="n">
        <f aca="false">Source_Data!AD$7+IF($B$261=1,IF(Source_Data!AD$6=Inputs!$B$13,Source_Data!$C$8,0),Source_Data!AD$8)</f>
        <v>29.43017125</v>
      </c>
      <c r="AE263" s="33" t="n">
        <f aca="false">Source_Data!AE$7+IF($B$261=1,IF(Source_Data!AE$6=Inputs!$B$13,Source_Data!$C$8,0),Source_Data!AE$8)</f>
        <v>25.08917125</v>
      </c>
      <c r="AF263" s="33" t="n">
        <f aca="false">Source_Data!AF$7+IF($B$261=1,IF(Source_Data!AF$6=Inputs!$B$13,Source_Data!$C$8,0),Source_Data!AF$8)</f>
        <v>25.08917125</v>
      </c>
      <c r="AG263" s="33" t="n">
        <f aca="false">Source_Data!AG$7+IF($B$261=1,IF(Source_Data!AG$6=Inputs!$B$13,Source_Data!$C$8,0),Source_Data!AG$8)</f>
        <v>25.08917125</v>
      </c>
      <c r="AH263" s="33" t="n">
        <f aca="false">Source_Data!AH$7+IF($B$261=1,IF(Source_Data!AH$6=Inputs!$B$13,Source_Data!$C$8,0),Source_Data!AH$8)</f>
        <v>25.08917125</v>
      </c>
      <c r="AI263" s="33" t="n">
        <f aca="false">Source_Data!AI$7+IF($B$261=1,IF(Source_Data!AI$6=Inputs!$B$13,Source_Data!$C$8,0),Source_Data!AI$8)</f>
        <v>25.08917125</v>
      </c>
      <c r="AJ263" s="33" t="n">
        <f aca="false">Source_Data!AJ$7+IF($B$261=1,IF(Source_Data!AJ$6=Inputs!$B$13,Source_Data!$C$8,0),Source_Data!AJ$8)</f>
        <v>25.08917125</v>
      </c>
      <c r="AK263" s="33" t="n">
        <f aca="false">Source_Data!AK$7+IF($B$261=1,IF(Source_Data!AK$6=Inputs!$B$13,Source_Data!$C$8,0),Source_Data!AK$8)</f>
        <v>22.905105625</v>
      </c>
      <c r="AL263" s="33" t="n">
        <f aca="false">Source_Data!AL$7+IF($B$261=1,IF(Source_Data!AL$6=Inputs!$B$13,Source_Data!$C$8,0),Source_Data!AL$8)</f>
        <v>22.905105625</v>
      </c>
      <c r="AM263" s="33" t="n">
        <f aca="false">Source_Data!AM$7+IF($B$261=1,IF(Source_Data!AM$6=Inputs!$B$13,Source_Data!$C$8,0),Source_Data!AM$8)</f>
        <v>18.739554375</v>
      </c>
      <c r="AN263" s="33" t="n">
        <f aca="false">Source_Data!AN$7+IF($B$261=1,IF(Source_Data!AN$6=Inputs!$B$13,Source_Data!$C$8,0),Source_Data!AN$8)</f>
        <v>9.6261675</v>
      </c>
      <c r="AO263" s="33" t="n">
        <f aca="false">Source_Data!AO$7+IF($B$261=1,IF(Source_Data!AO$6=Inputs!$B$13,Source_Data!$C$8,0),Source_Data!AO$8)</f>
        <v>3.5704725</v>
      </c>
      <c r="AP263" s="33" t="n">
        <f aca="false">Source_Data!AP$7+IF($B$261=1,IF(Source_Data!AP$6=Inputs!$B$13,Source_Data!$C$8,0),Source_Data!AP$8)</f>
        <v>0</v>
      </c>
      <c r="AQ263" s="33" t="n">
        <f aca="false">Source_Data!AQ$7+IF($B$261=1,IF(Source_Data!AQ$6=Inputs!$B$13,Source_Data!$C$8,0),Source_Data!AQ$8)</f>
        <v>0</v>
      </c>
      <c r="AR263" s="33" t="n">
        <f aca="false">Source_Data!AR$7+IF($B$261=1,IF(Source_Data!AR$6=Inputs!$B$13,Source_Data!$C$8,0),Source_Data!AR$8)</f>
        <v>0</v>
      </c>
      <c r="AS263" s="33" t="n">
        <f aca="false">Source_Data!AS$7+IF($B$261=1,IF(Source_Data!AS$6=Inputs!$B$13,Source_Data!$C$8,0),Source_Data!AS$8)</f>
        <v>0</v>
      </c>
      <c r="AT263" s="33" t="n">
        <f aca="false">Source_Data!AT$7+IF($B$261=1,IF(Source_Data!AT$6=Inputs!$B$13,Source_Data!$C$8,0),Source_Data!AT$8)</f>
        <v>0</v>
      </c>
      <c r="AU263" s="33" t="n">
        <f aca="false">Source_Data!AU$7+IF($B$261=1,IF(Source_Data!AU$6=Inputs!$B$13,Source_Data!$C$8,0),Source_Data!AU$8)</f>
        <v>0</v>
      </c>
      <c r="AV263" s="33" t="n">
        <f aca="false">Source_Data!AV$7+IF($B$261=1,IF(Source_Data!AV$6=Inputs!$B$13,Source_Data!$C$8,0),Source_Data!AV$8)</f>
        <v>0</v>
      </c>
      <c r="AW263" s="33" t="n">
        <f aca="false">Source_Data!AW$7+IF($B$261=1,IF(Source_Data!AW$6=Inputs!$B$13,Source_Data!$C$8,0),Source_Data!AW$8)</f>
        <v>0</v>
      </c>
      <c r="AX263" s="33" t="n">
        <f aca="false">Source_Data!AX$7+IF($B$261=1,IF(Source_Data!AX$6=Inputs!$B$13,Source_Data!$C$8,0),Source_Data!AX$8)</f>
        <v>0</v>
      </c>
      <c r="AY263" s="33" t="n">
        <f aca="false">Source_Data!AY$7+IF($B$261=1,IF(Source_Data!AY$6=Inputs!$B$13,Source_Data!$C$8,0),Source_Data!AY$8)</f>
        <v>0</v>
      </c>
      <c r="AZ263" s="33" t="n">
        <f aca="false">Source_Data!AZ$7+IF($B$261=1,IF(Source_Data!AZ$6=Inputs!$B$13,Source_Data!$C$8,0),Source_Data!AZ$8)</f>
        <v>0</v>
      </c>
      <c r="BA263" s="33" t="n">
        <f aca="false">Source_Data!BA$7+IF($B$261=1,IF(Source_Data!BA$6=Inputs!$B$13,Source_Data!$C$8,0),Source_Data!BA$8)</f>
        <v>0</v>
      </c>
      <c r="BB263" s="33" t="n">
        <f aca="false">Source_Data!BB$7+IF($B$261=1,IF(Source_Data!BB$6=Inputs!$B$13,Source_Data!$C$8,0),Source_Data!BB$8)</f>
        <v>0</v>
      </c>
      <c r="BC263" s="33" t="n">
        <f aca="false">Source_Data!BC$7+IF($B$261=1,IF(Source_Data!BC$6=Inputs!$B$13,Source_Data!$C$8,0),Source_Data!BC$8)</f>
        <v>0</v>
      </c>
      <c r="BD263" s="33" t="n">
        <f aca="false">Source_Data!BD$7+IF($B$261=1,IF(Source_Data!BD$6=Inputs!$B$13,Source_Data!$C$8,0),Source_Data!BD$8)</f>
        <v>0</v>
      </c>
      <c r="BE263" s="33" t="n">
        <f aca="false">Source_Data!BE$7+IF($B$261=1,IF(Source_Data!BE$6=Inputs!$B$13,Source_Data!$C$8,0),Source_Data!BE$8)</f>
        <v>0</v>
      </c>
      <c r="BF263" s="33" t="n">
        <f aca="false">Source_Data!BF$7+IF($B$261=1,IF(Source_Data!BF$6=Inputs!$B$13,Source_Data!$C$8,0),Source_Data!BF$8)</f>
        <v>0</v>
      </c>
      <c r="BG263" s="33" t="n">
        <f aca="false">Source_Data!BG$7+IF($B$261=1,IF(Source_Data!BG$6=Inputs!$B$13,Source_Data!$C$8,0),Source_Data!BG$8)</f>
        <v>0</v>
      </c>
      <c r="BH263" s="33" t="n">
        <f aca="false">Source_Data!BH$7+IF($B$261=1,IF(Source_Data!BH$6=Inputs!$B$13,Source_Data!$C$8,0),Source_Data!BH$8)</f>
        <v>0</v>
      </c>
      <c r="BI263" s="33" t="n">
        <f aca="false">Source_Data!BI$7+IF($B$261=1,IF(Source_Data!BI$6=Inputs!$B$13,Source_Data!$C$8,0),Source_Data!BI$8)</f>
        <v>0</v>
      </c>
      <c r="BJ263" s="33" t="n">
        <f aca="false">Source_Data!BJ$7+IF($B$261=1,IF(Source_Data!BJ$6=Inputs!$B$13,Source_Data!$C$8,0),Source_Data!BJ$8)</f>
        <v>0</v>
      </c>
      <c r="BK263" s="33" t="n">
        <f aca="false">Source_Data!BK$7+IF($B$261=1,IF(Source_Data!BK$6=Inputs!$B$13,Source_Data!$C$8,0),Source_Data!BK$8)</f>
        <v>0</v>
      </c>
    </row>
    <row r="264" customFormat="false" ht="15" hidden="false" customHeight="false" outlineLevel="0" collapsed="false">
      <c r="A264" s="3" t="s">
        <v>338</v>
      </c>
      <c r="D264" s="33" t="n">
        <f aca="false">$B$257*IF(Source_Data!D$5-($B$258+$B$260)&gt;=1,INDEX($D$263:$BK$263,1,Source_Data!D$5-($B$258+$B$260)),0)</f>
        <v>0</v>
      </c>
      <c r="E264" s="33" t="n">
        <f aca="false">$B$257*IF(Source_Data!E$5-($B$258+$B$260)&gt;=1,INDEX($D$263:$BK$263,1,Source_Data!E$5-($B$258+$B$260)),0)</f>
        <v>0</v>
      </c>
      <c r="F264" s="33" t="n">
        <f aca="false">$B$257*IF(Source_Data!F$5-($B$258+$B$260)&gt;=1,INDEX($D$263:$BK$263,1,Source_Data!F$5-($B$258+$B$260)),0)</f>
        <v>0</v>
      </c>
      <c r="G264" s="33" t="n">
        <f aca="false">$B$257*IF(Source_Data!G$5-($B$258+$B$260)&gt;=1,INDEX($D$263:$BK$263,1,Source_Data!G$5-($B$258+$B$260)),0)</f>
        <v>0</v>
      </c>
      <c r="H264" s="33" t="n">
        <f aca="false">$B$257*IF(Source_Data!H$5-($B$258+$B$260)&gt;=1,INDEX($D$263:$BK$263,1,Source_Data!H$5-($B$258+$B$260)),0)</f>
        <v>0</v>
      </c>
      <c r="I264" s="33" t="n">
        <f aca="false">$B$257*IF(Source_Data!I$5-($B$258+$B$260)&gt;=1,INDEX($D$263:$BK$263,1,Source_Data!I$5-($B$258+$B$260)),0)</f>
        <v>0</v>
      </c>
      <c r="J264" s="33" t="n">
        <f aca="false">$B$257*IF(Source_Data!J$5-($B$258+$B$260)&gt;=1,INDEX($D$263:$BK$263,1,Source_Data!J$5-($B$258+$B$260)),0)</f>
        <v>0</v>
      </c>
      <c r="K264" s="33" t="n">
        <f aca="false">$B$257*IF(Source_Data!K$5-($B$258+$B$260)&gt;=1,INDEX($D$263:$BK$263,1,Source_Data!K$5-($B$258+$B$260)),0)</f>
        <v>0</v>
      </c>
      <c r="L264" s="33" t="n">
        <f aca="false">$B$257*IF(Source_Data!L$5-($B$258+$B$260)&gt;=1,INDEX($D$263:$BK$263,1,Source_Data!L$5-($B$258+$B$260)),0)</f>
        <v>0</v>
      </c>
      <c r="M264" s="33" t="n">
        <f aca="false">$B$257*IF(Source_Data!M$5-($B$258+$B$260)&gt;=1,INDEX($D$263:$BK$263,1,Source_Data!M$5-($B$258+$B$260)),0)</f>
        <v>0</v>
      </c>
      <c r="N264" s="33" t="n">
        <f aca="false">$B$257*IF(Source_Data!N$5-($B$258+$B$260)&gt;=1,INDEX($D$263:$BK$263,1,Source_Data!N$5-($B$258+$B$260)),0)</f>
        <v>15.1392375</v>
      </c>
      <c r="O264" s="33" t="n">
        <f aca="false">$B$257*IF(Source_Data!O$5-($B$258+$B$260)&gt;=1,INDEX($D$263:$BK$263,1,Source_Data!O$5-($B$258+$B$260)),0)</f>
        <v>30.278475</v>
      </c>
      <c r="P264" s="33" t="n">
        <f aca="false">$B$257*IF(Source_Data!P$5-($B$258+$B$260)&gt;=1,INDEX($D$263:$BK$263,1,Source_Data!P$5-($B$258+$B$260)),0)</f>
        <v>46.51200625</v>
      </c>
      <c r="Q264" s="33" t="n">
        <f aca="false">$B$257*IF(Source_Data!Q$5-($B$258+$B$260)&gt;=1,INDEX($D$263:$BK$263,1,Source_Data!Q$5-($B$258+$B$260)),0)</f>
        <v>62.7455375</v>
      </c>
      <c r="R264" s="33" t="n">
        <f aca="false">$B$257*IF(Source_Data!R$5-($B$258+$B$260)&gt;=1,INDEX($D$263:$BK$263,1,Source_Data!R$5-($B$258+$B$260)),0)</f>
        <v>62.3657</v>
      </c>
      <c r="S264" s="33" t="n">
        <f aca="false">$B$257*IF(Source_Data!S$5-($B$258+$B$260)&gt;=1,INDEX($D$263:$BK$263,1,Source_Data!S$5-($B$258+$B$260)),0)</f>
        <v>63.473559375</v>
      </c>
      <c r="T264" s="33" t="n">
        <f aca="false">$B$257*IF(Source_Data!T$5-($B$258+$B$260)&gt;=1,INDEX($D$263:$BK$263,1,Source_Data!T$5-($B$258+$B$260)),0)</f>
        <v>80.3288484375</v>
      </c>
      <c r="U264" s="33" t="n">
        <f aca="false">$B$257*IF(Source_Data!U$5-($B$258+$B$260)&gt;=1,INDEX($D$263:$BK$263,1,Source_Data!U$5-($B$258+$B$260)),0)</f>
        <v>495.2538375</v>
      </c>
      <c r="V264" s="33" t="n">
        <f aca="false">$B$257*IF(Source_Data!V$5-($B$258+$B$260)&gt;=1,INDEX($D$263:$BK$263,1,Source_Data!V$5-($B$258+$B$260)),0)</f>
        <v>185.57775</v>
      </c>
      <c r="W264" s="33" t="n">
        <f aca="false">$B$257*IF(Source_Data!W$5-($B$258+$B$260)&gt;=1,INDEX($D$263:$BK$263,1,Source_Data!W$5-($B$258+$B$260)),0)</f>
        <v>176.534</v>
      </c>
      <c r="X264" s="33" t="n">
        <f aca="false">$B$257*IF(Source_Data!X$5-($B$258+$B$260)&gt;=1,INDEX($D$263:$BK$263,1,Source_Data!X$5-($B$258+$B$260)),0)</f>
        <v>97.31075</v>
      </c>
      <c r="Y264" s="33" t="n">
        <f aca="false">$B$257*IF(Source_Data!Y$5-($B$258+$B$260)&gt;=1,INDEX($D$263:$BK$263,1,Source_Data!Y$5-($B$258+$B$260)),0)</f>
        <v>71.30996875</v>
      </c>
      <c r="Z264" s="33" t="n">
        <f aca="false">$B$257*IF(Source_Data!Z$5-($B$258+$B$260)&gt;=1,INDEX($D$263:$BK$263,1,Source_Data!Z$5-($B$258+$B$260)),0)</f>
        <v>71.30996875</v>
      </c>
      <c r="AA264" s="33" t="n">
        <f aca="false">$B$257*IF(Source_Data!AA$5-($B$258+$B$260)&gt;=1,INDEX($D$263:$BK$263,1,Source_Data!AA$5-($B$258+$B$260)),0)</f>
        <v>68.037035625</v>
      </c>
      <c r="AB264" s="33" t="n">
        <f aca="false">$B$257*IF(Source_Data!AB$5-($B$258+$B$260)&gt;=1,INDEX($D$263:$BK$263,1,Source_Data!AB$5-($B$258+$B$260)),0)</f>
        <v>61.2266396875</v>
      </c>
      <c r="AC264" s="33" t="n">
        <f aca="false">$B$257*IF(Source_Data!AC$5-($B$258+$B$260)&gt;=1,INDEX($D$263:$BK$263,1,Source_Data!AC$5-($B$258+$B$260)),0)</f>
        <v>59.7127159375</v>
      </c>
      <c r="AD264" s="33" t="n">
        <f aca="false">$B$257*IF(Source_Data!AD$5-($B$258+$B$260)&gt;=1,INDEX($D$263:$BK$263,1,Source_Data!AD$5-($B$258+$B$260)),0)</f>
        <v>53.7239446875</v>
      </c>
      <c r="AE264" s="33" t="n">
        <f aca="false">$B$257*IF(Source_Data!AE$5-($B$258+$B$260)&gt;=1,INDEX($D$263:$BK$263,1,Source_Data!AE$5-($B$258+$B$260)),0)</f>
        <v>49.3829446875</v>
      </c>
      <c r="AF264" s="33" t="n">
        <f aca="false">$B$257*IF(Source_Data!AF$5-($B$258+$B$260)&gt;=1,INDEX($D$263:$BK$263,1,Source_Data!AF$5-($B$258+$B$260)),0)</f>
        <v>49.3829446875</v>
      </c>
      <c r="AG264" s="33" t="n">
        <f aca="false">$B$257*IF(Source_Data!AG$5-($B$258+$B$260)&gt;=1,INDEX($D$263:$BK$263,1,Source_Data!AG$5-($B$258+$B$260)),0)</f>
        <v>42.1027259375</v>
      </c>
      <c r="AH264" s="33" t="n">
        <f aca="false">$B$257*IF(Source_Data!AH$5-($B$258+$B$260)&gt;=1,INDEX($D$263:$BK$263,1,Source_Data!AH$5-($B$258+$B$260)),0)</f>
        <v>42.1027259375</v>
      </c>
      <c r="AI264" s="33" t="n">
        <f aca="false">$B$257*IF(Source_Data!AI$5-($B$258+$B$260)&gt;=1,INDEX($D$263:$BK$263,1,Source_Data!AI$5-($B$258+$B$260)),0)</f>
        <v>42.1027259375</v>
      </c>
      <c r="AJ264" s="33" t="n">
        <f aca="false">$B$257*IF(Source_Data!AJ$5-($B$258+$B$260)&gt;=1,INDEX($D$263:$BK$263,1,Source_Data!AJ$5-($B$258+$B$260)),0)</f>
        <v>36.3147259375</v>
      </c>
      <c r="AK264" s="33" t="n">
        <f aca="false">$B$257*IF(Source_Data!AK$5-($B$258+$B$260)&gt;=1,INDEX($D$263:$BK$263,1,Source_Data!AK$5-($B$258+$B$260)),0)</f>
        <v>33.0386275</v>
      </c>
      <c r="AL264" s="33" t="n">
        <f aca="false">$B$257*IF(Source_Data!AL$5-($B$258+$B$260)&gt;=1,INDEX($D$263:$BK$263,1,Source_Data!AL$5-($B$258+$B$260)),0)</f>
        <v>29.43017125</v>
      </c>
      <c r="AM264" s="33" t="n">
        <f aca="false">$B$257*IF(Source_Data!AM$5-($B$258+$B$260)&gt;=1,INDEX($D$263:$BK$263,1,Source_Data!AM$5-($B$258+$B$260)),0)</f>
        <v>25.08917125</v>
      </c>
      <c r="AN264" s="33" t="n">
        <f aca="false">$B$257*IF(Source_Data!AN$5-($B$258+$B$260)&gt;=1,INDEX($D$263:$BK$263,1,Source_Data!AN$5-($B$258+$B$260)),0)</f>
        <v>25.08917125</v>
      </c>
      <c r="AO264" s="33" t="n">
        <f aca="false">$B$257*IF(Source_Data!AO$5-($B$258+$B$260)&gt;=1,INDEX($D$263:$BK$263,1,Source_Data!AO$5-($B$258+$B$260)),0)</f>
        <v>25.08917125</v>
      </c>
      <c r="AP264" s="33" t="n">
        <f aca="false">$B$257*IF(Source_Data!AP$5-($B$258+$B$260)&gt;=1,INDEX($D$263:$BK$263,1,Source_Data!AP$5-($B$258+$B$260)),0)</f>
        <v>25.08917125</v>
      </c>
      <c r="AQ264" s="33" t="n">
        <f aca="false">$B$257*IF(Source_Data!AQ$5-($B$258+$B$260)&gt;=1,INDEX($D$263:$BK$263,1,Source_Data!AQ$5-($B$258+$B$260)),0)</f>
        <v>25.08917125</v>
      </c>
      <c r="AR264" s="33" t="n">
        <f aca="false">$B$257*IF(Source_Data!AR$5-($B$258+$B$260)&gt;=1,INDEX($D$263:$BK$263,1,Source_Data!AR$5-($B$258+$B$260)),0)</f>
        <v>25.08917125</v>
      </c>
      <c r="AS264" s="33" t="n">
        <f aca="false">$B$257*IF(Source_Data!AS$5-($B$258+$B$260)&gt;=1,INDEX($D$263:$BK$263,1,Source_Data!AS$5-($B$258+$B$260)),0)</f>
        <v>22.905105625</v>
      </c>
      <c r="AT264" s="33" t="n">
        <f aca="false">$B$257*IF(Source_Data!AT$5-($B$258+$B$260)&gt;=1,INDEX($D$263:$BK$263,1,Source_Data!AT$5-($B$258+$B$260)),0)</f>
        <v>22.905105625</v>
      </c>
      <c r="AU264" s="33" t="n">
        <f aca="false">$B$257*IF(Source_Data!AU$5-($B$258+$B$260)&gt;=1,INDEX($D$263:$BK$263,1,Source_Data!AU$5-($B$258+$B$260)),0)</f>
        <v>18.739554375</v>
      </c>
      <c r="AV264" s="33" t="n">
        <f aca="false">$B$257*IF(Source_Data!AV$5-($B$258+$B$260)&gt;=1,INDEX($D$263:$BK$263,1,Source_Data!AV$5-($B$258+$B$260)),0)</f>
        <v>9.6261675</v>
      </c>
      <c r="AW264" s="33" t="n">
        <f aca="false">$B$257*IF(Source_Data!AW$5-($B$258+$B$260)&gt;=1,INDEX($D$263:$BK$263,1,Source_Data!AW$5-($B$258+$B$260)),0)</f>
        <v>3.5704725</v>
      </c>
      <c r="AX264" s="33" t="n">
        <f aca="false">$B$257*IF(Source_Data!AX$5-($B$258+$B$260)&gt;=1,INDEX($D$263:$BK$263,1,Source_Data!AX$5-($B$258+$B$260)),0)</f>
        <v>0</v>
      </c>
      <c r="AY264" s="33" t="n">
        <f aca="false">$B$257*IF(Source_Data!AY$5-($B$258+$B$260)&gt;=1,INDEX($D$263:$BK$263,1,Source_Data!AY$5-($B$258+$B$260)),0)</f>
        <v>0</v>
      </c>
      <c r="AZ264" s="33" t="n">
        <f aca="false">$B$257*IF(Source_Data!AZ$5-($B$258+$B$260)&gt;=1,INDEX($D$263:$BK$263,1,Source_Data!AZ$5-($B$258+$B$260)),0)</f>
        <v>0</v>
      </c>
      <c r="BA264" s="33" t="n">
        <f aca="false">$B$257*IF(Source_Data!BA$5-($B$258+$B$260)&gt;=1,INDEX($D$263:$BK$263,1,Source_Data!BA$5-($B$258+$B$260)),0)</f>
        <v>0</v>
      </c>
      <c r="BB264" s="33" t="n">
        <f aca="false">$B$257*IF(Source_Data!BB$5-($B$258+$B$260)&gt;=1,INDEX($D$263:$BK$263,1,Source_Data!BB$5-($B$258+$B$260)),0)</f>
        <v>0</v>
      </c>
      <c r="BC264" s="33" t="n">
        <f aca="false">$B$257*IF(Source_Data!BC$5-($B$258+$B$260)&gt;=1,INDEX($D$263:$BK$263,1,Source_Data!BC$5-($B$258+$B$260)),0)</f>
        <v>0</v>
      </c>
      <c r="BD264" s="33" t="n">
        <f aca="false">$B$257*IF(Source_Data!BD$5-($B$258+$B$260)&gt;=1,INDEX($D$263:$BK$263,1,Source_Data!BD$5-($B$258+$B$260)),0)</f>
        <v>0</v>
      </c>
      <c r="BE264" s="33" t="n">
        <f aca="false">$B$257*IF(Source_Data!BE$5-($B$258+$B$260)&gt;=1,INDEX($D$263:$BK$263,1,Source_Data!BE$5-($B$258+$B$260)),0)</f>
        <v>0</v>
      </c>
      <c r="BF264" s="33" t="n">
        <f aca="false">$B$257*IF(Source_Data!BF$5-($B$258+$B$260)&gt;=1,INDEX($D$263:$BK$263,1,Source_Data!BF$5-($B$258+$B$260)),0)</f>
        <v>0</v>
      </c>
      <c r="BG264" s="33" t="n">
        <f aca="false">$B$257*IF(Source_Data!BG$5-($B$258+$B$260)&gt;=1,INDEX($D$263:$BK$263,1,Source_Data!BG$5-($B$258+$B$260)),0)</f>
        <v>0</v>
      </c>
      <c r="BH264" s="33" t="n">
        <f aca="false">$B$257*IF(Source_Data!BH$5-($B$258+$B$260)&gt;=1,INDEX($D$263:$BK$263,1,Source_Data!BH$5-($B$258+$B$260)),0)</f>
        <v>0</v>
      </c>
      <c r="BI264" s="33" t="n">
        <f aca="false">$B$257*IF(Source_Data!BI$5-($B$258+$B$260)&gt;=1,INDEX($D$263:$BK$263,1,Source_Data!BI$5-($B$258+$B$260)),0)</f>
        <v>0</v>
      </c>
      <c r="BJ264" s="33" t="n">
        <f aca="false">$B$257*IF(Source_Data!BJ$5-($B$258+$B$260)&gt;=1,INDEX($D$263:$BK$263,1,Source_Data!BJ$5-($B$258+$B$260)),0)</f>
        <v>0</v>
      </c>
      <c r="BK264" s="33" t="n">
        <f aca="false">$B$257*IF(Source_Data!BK$5-($B$258+$B$260)&gt;=1,INDEX($D$263:$BK$263,1,Source_Data!BK$5-($B$258+$B$260)),0)</f>
        <v>0</v>
      </c>
    </row>
    <row r="265" customFormat="false" ht="15" hidden="false" customHeight="false" outlineLevel="0" collapsed="false">
      <c r="A265" s="3" t="s">
        <v>339</v>
      </c>
      <c r="D265" s="33" t="n">
        <f aca="false">Source_Data!D$9+Source_Data!D$10*IF(Source_Data!$C$10=0,0,MAX(0,Inputs!$B$19*Inputs!$B$22*$B$257-Inputs!$B$20)/Source_Data!$C$10)</f>
        <v>91.25</v>
      </c>
      <c r="E265" s="33" t="n">
        <f aca="false">Source_Data!E$9+Source_Data!E$10*IF(Source_Data!$C$10=0,0,MAX(0,Inputs!$B$19*Inputs!$B$22*$B$257-Inputs!$B$20)/Source_Data!$C$10)</f>
        <v>11.25</v>
      </c>
      <c r="F265" s="33" t="n">
        <f aca="false">Source_Data!F$9+Source_Data!F$10*IF(Source_Data!$C$10=0,0,MAX(0,Inputs!$B$19*Inputs!$B$22*$B$257-Inputs!$B$20)/Source_Data!$C$10)</f>
        <v>11.25</v>
      </c>
      <c r="G265" s="33" t="n">
        <f aca="false">Source_Data!G$9+Source_Data!G$10*IF(Source_Data!$C$10=0,0,MAX(0,Inputs!$B$19*Inputs!$B$22*$B$257-Inputs!$B$20)/Source_Data!$C$10)</f>
        <v>11.25</v>
      </c>
      <c r="H265" s="33" t="n">
        <f aca="false">Source_Data!H$9+Source_Data!H$10*IF(Source_Data!$C$10=0,0,MAX(0,Inputs!$B$19*Inputs!$B$22*$B$257-Inputs!$B$20)/Source_Data!$C$10)</f>
        <v>22.5</v>
      </c>
      <c r="I265" s="33" t="n">
        <f aca="false">Source_Data!I$9+Source_Data!I$10*IF(Source_Data!$C$10=0,0,MAX(0,Inputs!$B$19*Inputs!$B$22*$B$257-Inputs!$B$20)/Source_Data!$C$10)</f>
        <v>22.5</v>
      </c>
      <c r="J265" s="33" t="n">
        <f aca="false">Source_Data!J$9+Source_Data!J$10*IF(Source_Data!$C$10=0,0,MAX(0,Inputs!$B$19*Inputs!$B$22*$B$257-Inputs!$B$20)/Source_Data!$C$10)</f>
        <v>22.5</v>
      </c>
      <c r="K265" s="33" t="n">
        <f aca="false">Source_Data!K$9+Source_Data!K$10*IF(Source_Data!$C$10=0,0,MAX(0,Inputs!$B$19*Inputs!$B$22*$B$257-Inputs!$B$20)/Source_Data!$C$10)</f>
        <v>22.5</v>
      </c>
      <c r="L265" s="33" t="n">
        <f aca="false">Source_Data!L$9+Source_Data!L$10*IF(Source_Data!$C$10=0,0,MAX(0,Inputs!$B$19*Inputs!$B$22*$B$257-Inputs!$B$20)/Source_Data!$C$10)</f>
        <v>33.75</v>
      </c>
      <c r="M265" s="33" t="n">
        <f aca="false">Source_Data!M$9+Source_Data!M$10*IF(Source_Data!$C$10=0,0,MAX(0,Inputs!$B$19*Inputs!$B$22*$B$257-Inputs!$B$20)/Source_Data!$C$10)</f>
        <v>33.75</v>
      </c>
      <c r="N265" s="33" t="n">
        <f aca="false">Source_Data!N$9+Source_Data!N$10*IF(Source_Data!$C$10=0,0,MAX(0,Inputs!$B$19*Inputs!$B$22*$B$257-Inputs!$B$20)/Source_Data!$C$10)</f>
        <v>33.75</v>
      </c>
      <c r="O265" s="33" t="n">
        <f aca="false">Source_Data!O$9+Source_Data!O$10*IF(Source_Data!$C$10=0,0,MAX(0,Inputs!$B$19*Inputs!$B$22*$B$257-Inputs!$B$20)/Source_Data!$C$10)</f>
        <v>33.75</v>
      </c>
      <c r="P265" s="33" t="n">
        <f aca="false">Source_Data!P$9+Source_Data!P$10*IF(Source_Data!$C$10=0,0,MAX(0,Inputs!$B$19*Inputs!$B$22*$B$257-Inputs!$B$20)/Source_Data!$C$10)</f>
        <v>45</v>
      </c>
      <c r="Q265" s="33" t="n">
        <f aca="false">Source_Data!Q$9+Source_Data!Q$10*IF(Source_Data!$C$10=0,0,MAX(0,Inputs!$B$19*Inputs!$B$22*$B$257-Inputs!$B$20)/Source_Data!$C$10)</f>
        <v>45</v>
      </c>
      <c r="R265" s="33" t="n">
        <f aca="false">Source_Data!R$9+Source_Data!R$10*IF(Source_Data!$C$10=0,0,MAX(0,Inputs!$B$19*Inputs!$B$22*$B$257-Inputs!$B$20)/Source_Data!$C$10)</f>
        <v>45</v>
      </c>
      <c r="S265" s="33" t="n">
        <f aca="false">Source_Data!S$9+Source_Data!S$10*IF(Source_Data!$C$10=0,0,MAX(0,Inputs!$B$19*Inputs!$B$22*$B$257-Inputs!$B$20)/Source_Data!$C$10)</f>
        <v>45</v>
      </c>
      <c r="T265" s="33" t="n">
        <f aca="false">Source_Data!T$9+Source_Data!T$10*IF(Source_Data!$C$10=0,0,MAX(0,Inputs!$B$19*Inputs!$B$22*$B$257-Inputs!$B$20)/Source_Data!$C$10)</f>
        <v>45</v>
      </c>
      <c r="U265" s="33" t="n">
        <f aca="false">Source_Data!U$9+Source_Data!U$10*IF(Source_Data!$C$10=0,0,MAX(0,Inputs!$B$19*Inputs!$B$22*$B$257-Inputs!$B$20)/Source_Data!$C$10)</f>
        <v>45</v>
      </c>
      <c r="V265" s="33" t="n">
        <f aca="false">Source_Data!V$9+Source_Data!V$10*IF(Source_Data!$C$10=0,0,MAX(0,Inputs!$B$19*Inputs!$B$22*$B$257-Inputs!$B$20)/Source_Data!$C$10)</f>
        <v>45</v>
      </c>
      <c r="W265" s="33" t="n">
        <f aca="false">Source_Data!W$9+Source_Data!W$10*IF(Source_Data!$C$10=0,0,MAX(0,Inputs!$B$19*Inputs!$B$22*$B$257-Inputs!$B$20)/Source_Data!$C$10)</f>
        <v>45</v>
      </c>
      <c r="X265" s="33" t="n">
        <f aca="false">Source_Data!X$9+Source_Data!X$10*IF(Source_Data!$C$10=0,0,MAX(0,Inputs!$B$19*Inputs!$B$22*$B$257-Inputs!$B$20)/Source_Data!$C$10)</f>
        <v>22.5</v>
      </c>
      <c r="Y265" s="33" t="n">
        <f aca="false">Source_Data!Y$9+Source_Data!Y$10*IF(Source_Data!$C$10=0,0,MAX(0,Inputs!$B$19*Inputs!$B$22*$B$257-Inputs!$B$20)/Source_Data!$C$10)</f>
        <v>22.5</v>
      </c>
      <c r="Z265" s="33" t="n">
        <f aca="false">Source_Data!Z$9+Source_Data!Z$10*IF(Source_Data!$C$10=0,0,MAX(0,Inputs!$B$19*Inputs!$B$22*$B$257-Inputs!$B$20)/Source_Data!$C$10)</f>
        <v>22.5</v>
      </c>
      <c r="AA265" s="33" t="n">
        <f aca="false">Source_Data!AA$9+Source_Data!AA$10*IF(Source_Data!$C$10=0,0,MAX(0,Inputs!$B$19*Inputs!$B$22*$B$257-Inputs!$B$20)/Source_Data!$C$10)</f>
        <v>22.5</v>
      </c>
      <c r="AB265" s="33" t="n">
        <f aca="false">Source_Data!AB$9+Source_Data!AB$10*IF(Source_Data!$C$10=0,0,MAX(0,Inputs!$B$19*Inputs!$B$22*$B$257-Inputs!$B$20)/Source_Data!$C$10)</f>
        <v>0</v>
      </c>
      <c r="AC265" s="33" t="n">
        <f aca="false">Source_Data!AC$9+Source_Data!AC$10*IF(Source_Data!$C$10=0,0,MAX(0,Inputs!$B$19*Inputs!$B$22*$B$257-Inputs!$B$20)/Source_Data!$C$10)</f>
        <v>0</v>
      </c>
      <c r="AD265" s="33" t="n">
        <f aca="false">Source_Data!AD$9+Source_Data!AD$10*IF(Source_Data!$C$10=0,0,MAX(0,Inputs!$B$19*Inputs!$B$22*$B$257-Inputs!$B$20)/Source_Data!$C$10)</f>
        <v>0</v>
      </c>
      <c r="AE265" s="33" t="n">
        <f aca="false">Source_Data!AE$9+Source_Data!AE$10*IF(Source_Data!$C$10=0,0,MAX(0,Inputs!$B$19*Inputs!$B$22*$B$257-Inputs!$B$20)/Source_Data!$C$10)</f>
        <v>0</v>
      </c>
      <c r="AF265" s="33" t="n">
        <f aca="false">Source_Data!AF$9+Source_Data!AF$10*IF(Source_Data!$C$10=0,0,MAX(0,Inputs!$B$19*Inputs!$B$22*$B$257-Inputs!$B$20)/Source_Data!$C$10)</f>
        <v>107.758210351563</v>
      </c>
      <c r="AG265" s="33" t="n">
        <f aca="false">Source_Data!AG$9+Source_Data!AG$10*IF(Source_Data!$C$10=0,0,MAX(0,Inputs!$B$19*Inputs!$B$22*$B$257-Inputs!$B$20)/Source_Data!$C$10)</f>
        <v>10.976512421875</v>
      </c>
      <c r="AH265" s="33" t="n">
        <f aca="false">Source_Data!AH$9+Source_Data!AH$10*IF(Source_Data!$C$10=0,0,MAX(0,Inputs!$B$19*Inputs!$B$22*$B$257-Inputs!$B$20)/Source_Data!$C$10)</f>
        <v>10.976512421875</v>
      </c>
      <c r="AI265" s="33" t="n">
        <f aca="false">Source_Data!AI$9+Source_Data!AI$10*IF(Source_Data!$C$10=0,0,MAX(0,Inputs!$B$19*Inputs!$B$22*$B$257-Inputs!$B$20)/Source_Data!$C$10)</f>
        <v>10.976512421875</v>
      </c>
      <c r="AJ265" s="33" t="n">
        <f aca="false">Source_Data!AJ$9+Source_Data!AJ$10*IF(Source_Data!$C$10=0,0,MAX(0,Inputs!$B$19*Inputs!$B$22*$B$257-Inputs!$B$20)/Source_Data!$C$10)</f>
        <v>10.976512421875</v>
      </c>
      <c r="AK265" s="33" t="n">
        <f aca="false">Source_Data!AK$9+Source_Data!AK$10*IF(Source_Data!$C$10=0,0,MAX(0,Inputs!$B$19*Inputs!$B$22*$B$257-Inputs!$B$20)/Source_Data!$C$10)</f>
        <v>10.0209837109375</v>
      </c>
      <c r="AL265" s="33" t="n">
        <f aca="false">Source_Data!AL$9+Source_Data!AL$10*IF(Source_Data!$C$10=0,0,MAX(0,Inputs!$B$19*Inputs!$B$22*$B$257-Inputs!$B$20)/Source_Data!$C$10)</f>
        <v>10.0209837109375</v>
      </c>
      <c r="AM265" s="33" t="n">
        <f aca="false">Source_Data!AM$9+Source_Data!AM$10*IF(Source_Data!$C$10=0,0,MAX(0,Inputs!$B$19*Inputs!$B$22*$B$257-Inputs!$B$20)/Source_Data!$C$10)</f>
        <v>8.19855503906249</v>
      </c>
      <c r="AN265" s="33" t="n">
        <f aca="false">Source_Data!AN$9+Source_Data!AN$10*IF(Source_Data!$C$10=0,0,MAX(0,Inputs!$B$19*Inputs!$B$22*$B$257-Inputs!$B$20)/Source_Data!$C$10)</f>
        <v>4.21144828125</v>
      </c>
      <c r="AO265" s="33" t="n">
        <f aca="false">Source_Data!AO$9+Source_Data!AO$10*IF(Source_Data!$C$10=0,0,MAX(0,Inputs!$B$19*Inputs!$B$22*$B$257-Inputs!$B$20)/Source_Data!$C$10)</f>
        <v>1.56208171875</v>
      </c>
      <c r="AP265" s="33" t="n">
        <f aca="false">Source_Data!AP$9+Source_Data!AP$10*IF(Source_Data!$C$10=0,0,MAX(0,Inputs!$B$19*Inputs!$B$22*$B$257-Inputs!$B$20)/Source_Data!$C$10)</f>
        <v>0</v>
      </c>
      <c r="AQ265" s="33" t="n">
        <f aca="false">Source_Data!AQ$9+Source_Data!AQ$10*IF(Source_Data!$C$10=0,0,MAX(0,Inputs!$B$19*Inputs!$B$22*$B$257-Inputs!$B$20)/Source_Data!$C$10)</f>
        <v>0</v>
      </c>
      <c r="AR265" s="33" t="n">
        <f aca="false">Source_Data!AR$9+Source_Data!AR$10*IF(Source_Data!$C$10=0,0,MAX(0,Inputs!$B$19*Inputs!$B$22*$B$257-Inputs!$B$20)/Source_Data!$C$10)</f>
        <v>0</v>
      </c>
      <c r="AS265" s="33" t="n">
        <f aca="false">Source_Data!AS$9+Source_Data!AS$10*IF(Source_Data!$C$10=0,0,MAX(0,Inputs!$B$19*Inputs!$B$22*$B$257-Inputs!$B$20)/Source_Data!$C$10)</f>
        <v>0</v>
      </c>
      <c r="AT265" s="33" t="n">
        <f aca="false">Source_Data!AT$9+Source_Data!AT$10*IF(Source_Data!$C$10=0,0,MAX(0,Inputs!$B$19*Inputs!$B$22*$B$257-Inputs!$B$20)/Source_Data!$C$10)</f>
        <v>0</v>
      </c>
      <c r="AU265" s="33" t="n">
        <f aca="false">Source_Data!AU$9+Source_Data!AU$10*IF(Source_Data!$C$10=0,0,MAX(0,Inputs!$B$19*Inputs!$B$22*$B$257-Inputs!$B$20)/Source_Data!$C$10)</f>
        <v>0</v>
      </c>
      <c r="AV265" s="33" t="n">
        <f aca="false">Source_Data!AV$9+Source_Data!AV$10*IF(Source_Data!$C$10=0,0,MAX(0,Inputs!$B$19*Inputs!$B$22*$B$257-Inputs!$B$20)/Source_Data!$C$10)</f>
        <v>0</v>
      </c>
      <c r="AW265" s="33" t="n">
        <f aca="false">Source_Data!AW$9+Source_Data!AW$10*IF(Source_Data!$C$10=0,0,MAX(0,Inputs!$B$19*Inputs!$B$22*$B$257-Inputs!$B$20)/Source_Data!$C$10)</f>
        <v>0</v>
      </c>
      <c r="AX265" s="33" t="n">
        <f aca="false">Source_Data!AX$9+Source_Data!AX$10*IF(Source_Data!$C$10=0,0,MAX(0,Inputs!$B$19*Inputs!$B$22*$B$257-Inputs!$B$20)/Source_Data!$C$10)</f>
        <v>0</v>
      </c>
      <c r="AY265" s="33" t="n">
        <f aca="false">Source_Data!AY$9+Source_Data!AY$10*IF(Source_Data!$C$10=0,0,MAX(0,Inputs!$B$19*Inputs!$B$22*$B$257-Inputs!$B$20)/Source_Data!$C$10)</f>
        <v>0</v>
      </c>
      <c r="AZ265" s="33" t="n">
        <f aca="false">Source_Data!AZ$9+Source_Data!AZ$10*IF(Source_Data!$C$10=0,0,MAX(0,Inputs!$B$19*Inputs!$B$22*$B$257-Inputs!$B$20)/Source_Data!$C$10)</f>
        <v>0</v>
      </c>
      <c r="BA265" s="33" t="n">
        <f aca="false">Source_Data!BA$9+Source_Data!BA$10*IF(Source_Data!$C$10=0,0,MAX(0,Inputs!$B$19*Inputs!$B$22*$B$257-Inputs!$B$20)/Source_Data!$C$10)</f>
        <v>0</v>
      </c>
      <c r="BB265" s="33" t="n">
        <f aca="false">Source_Data!BB$9+Source_Data!BB$10*IF(Source_Data!$C$10=0,0,MAX(0,Inputs!$B$19*Inputs!$B$22*$B$257-Inputs!$B$20)/Source_Data!$C$10)</f>
        <v>0</v>
      </c>
      <c r="BC265" s="33" t="n">
        <f aca="false">Source_Data!BC$9+Source_Data!BC$10*IF(Source_Data!$C$10=0,0,MAX(0,Inputs!$B$19*Inputs!$B$22*$B$257-Inputs!$B$20)/Source_Data!$C$10)</f>
        <v>0</v>
      </c>
      <c r="BD265" s="33" t="n">
        <f aca="false">Source_Data!BD$9+Source_Data!BD$10*IF(Source_Data!$C$10=0,0,MAX(0,Inputs!$B$19*Inputs!$B$22*$B$257-Inputs!$B$20)/Source_Data!$C$10)</f>
        <v>0</v>
      </c>
      <c r="BE265" s="33" t="n">
        <f aca="false">Source_Data!BE$9+Source_Data!BE$10*IF(Source_Data!$C$10=0,0,MAX(0,Inputs!$B$19*Inputs!$B$22*$B$257-Inputs!$B$20)/Source_Data!$C$10)</f>
        <v>0</v>
      </c>
      <c r="BF265" s="33" t="n">
        <f aca="false">Source_Data!BF$9+Source_Data!BF$10*IF(Source_Data!$C$10=0,0,MAX(0,Inputs!$B$19*Inputs!$B$22*$B$257-Inputs!$B$20)/Source_Data!$C$10)</f>
        <v>0</v>
      </c>
      <c r="BG265" s="33" t="n">
        <f aca="false">Source_Data!BG$9+Source_Data!BG$10*IF(Source_Data!$C$10=0,0,MAX(0,Inputs!$B$19*Inputs!$B$22*$B$257-Inputs!$B$20)/Source_Data!$C$10)</f>
        <v>0</v>
      </c>
      <c r="BH265" s="33" t="n">
        <f aca="false">Source_Data!BH$9+Source_Data!BH$10*IF(Source_Data!$C$10=0,0,MAX(0,Inputs!$B$19*Inputs!$B$22*$B$257-Inputs!$B$20)/Source_Data!$C$10)</f>
        <v>0</v>
      </c>
      <c r="BI265" s="33" t="n">
        <f aca="false">Source_Data!BI$9+Source_Data!BI$10*IF(Source_Data!$C$10=0,0,MAX(0,Inputs!$B$19*Inputs!$B$22*$B$257-Inputs!$B$20)/Source_Data!$C$10)</f>
        <v>0</v>
      </c>
      <c r="BJ265" s="33" t="n">
        <f aca="false">Source_Data!BJ$9+Source_Data!BJ$10*IF(Source_Data!$C$10=0,0,MAX(0,Inputs!$B$19*Inputs!$B$22*$B$257-Inputs!$B$20)/Source_Data!$C$10)</f>
        <v>0</v>
      </c>
      <c r="BK265" s="33" t="n">
        <f aca="false">Source_Data!BK$9+Source_Data!BK$10*IF(Source_Data!$C$10=0,0,MAX(0,Inputs!$B$19*Inputs!$B$22*$B$257-Inputs!$B$20)/Source_Data!$C$10)</f>
        <v>0</v>
      </c>
    </row>
    <row r="266" customFormat="false" ht="15" hidden="false" customHeight="false" outlineLevel="0" collapsed="false">
      <c r="A266" s="3" t="s">
        <v>194</v>
      </c>
      <c r="D266" s="33" t="n">
        <f aca="false">Source_Data!D$11*$B$259</f>
        <v>0</v>
      </c>
      <c r="E266" s="33" t="n">
        <f aca="false">Source_Data!E$11*$B$259</f>
        <v>0</v>
      </c>
      <c r="F266" s="33" t="n">
        <f aca="false">Source_Data!F$11*$B$259</f>
        <v>0</v>
      </c>
      <c r="G266" s="33" t="n">
        <f aca="false">Source_Data!G$11*$B$259</f>
        <v>0</v>
      </c>
      <c r="H266" s="33" t="n">
        <f aca="false">Source_Data!H$11*$B$259</f>
        <v>20</v>
      </c>
      <c r="I266" s="33" t="n">
        <f aca="false">Source_Data!I$11*$B$259</f>
        <v>26.4</v>
      </c>
      <c r="J266" s="33" t="n">
        <f aca="false">Source_Data!J$11*$B$259</f>
        <v>40</v>
      </c>
      <c r="K266" s="33" t="n">
        <f aca="false">Source_Data!K$11*$B$259</f>
        <v>26.4</v>
      </c>
      <c r="L266" s="33" t="n">
        <f aca="false">Source_Data!L$11*$B$259</f>
        <v>26.4</v>
      </c>
      <c r="M266" s="33" t="n">
        <f aca="false">Source_Data!M$11*$B$259</f>
        <v>26.4</v>
      </c>
      <c r="N266" s="33" t="n">
        <f aca="false">Source_Data!N$11*$B$259</f>
        <v>5.28</v>
      </c>
      <c r="O266" s="33" t="n">
        <f aca="false">Source_Data!O$11*$B$259</f>
        <v>5.28</v>
      </c>
      <c r="P266" s="33" t="n">
        <f aca="false">Source_Data!P$11*$B$259</f>
        <v>120</v>
      </c>
      <c r="Q266" s="33" t="n">
        <f aca="false">Source_Data!Q$11*$B$259</f>
        <v>120</v>
      </c>
      <c r="R266" s="33" t="n">
        <f aca="false">Source_Data!R$11*$B$259</f>
        <v>164</v>
      </c>
      <c r="S266" s="33" t="n">
        <f aca="false">Source_Data!S$11*$B$259</f>
        <v>117</v>
      </c>
      <c r="T266" s="33" t="n">
        <f aca="false">Source_Data!T$11*$B$259</f>
        <v>0</v>
      </c>
      <c r="U266" s="33" t="n">
        <f aca="false">Source_Data!U$11*$B$259</f>
        <v>0</v>
      </c>
      <c r="V266" s="33" t="n">
        <f aca="false">Source_Data!V$11*$B$259</f>
        <v>0</v>
      </c>
      <c r="W266" s="33" t="n">
        <f aca="false">Source_Data!W$11*$B$259</f>
        <v>0</v>
      </c>
      <c r="X266" s="33" t="n">
        <f aca="false">Source_Data!X$11*$B$259</f>
        <v>0</v>
      </c>
      <c r="Y266" s="33" t="n">
        <f aca="false">Source_Data!Y$11*$B$259</f>
        <v>0</v>
      </c>
      <c r="Z266" s="33" t="n">
        <f aca="false">Source_Data!Z$11*$B$259</f>
        <v>0</v>
      </c>
      <c r="AA266" s="33" t="n">
        <f aca="false">Source_Data!AA$11*$B$259</f>
        <v>0</v>
      </c>
      <c r="AB266" s="33" t="n">
        <f aca="false">Source_Data!AB$11*$B$259</f>
        <v>0</v>
      </c>
      <c r="AC266" s="33" t="n">
        <f aca="false">Source_Data!AC$11*$B$259</f>
        <v>0</v>
      </c>
      <c r="AD266" s="33" t="n">
        <f aca="false">Source_Data!AD$11*$B$259</f>
        <v>0</v>
      </c>
      <c r="AE266" s="33" t="n">
        <f aca="false">Source_Data!AE$11*$B$259</f>
        <v>0</v>
      </c>
      <c r="AF266" s="33" t="n">
        <f aca="false">Source_Data!AF$11*$B$259</f>
        <v>0</v>
      </c>
      <c r="AG266" s="33" t="n">
        <f aca="false">Source_Data!AG$11*$B$259</f>
        <v>0</v>
      </c>
      <c r="AH266" s="33" t="n">
        <f aca="false">Source_Data!AH$11*$B$259</f>
        <v>0</v>
      </c>
      <c r="AI266" s="33" t="n">
        <f aca="false">Source_Data!AI$11*$B$259</f>
        <v>0</v>
      </c>
      <c r="AJ266" s="33" t="n">
        <f aca="false">Source_Data!AJ$11*$B$259</f>
        <v>0</v>
      </c>
      <c r="AK266" s="33" t="n">
        <f aca="false">Source_Data!AK$11*$B$259</f>
        <v>0</v>
      </c>
      <c r="AL266" s="33" t="n">
        <f aca="false">Source_Data!AL$11*$B$259</f>
        <v>0</v>
      </c>
      <c r="AM266" s="33" t="n">
        <f aca="false">Source_Data!AM$11*$B$259</f>
        <v>0</v>
      </c>
      <c r="AN266" s="33" t="n">
        <f aca="false">Source_Data!AN$11*$B$259</f>
        <v>0</v>
      </c>
      <c r="AO266" s="33" t="n">
        <f aca="false">Source_Data!AO$11*$B$259</f>
        <v>0</v>
      </c>
      <c r="AP266" s="33" t="n">
        <f aca="false">Source_Data!AP$11*$B$259</f>
        <v>0</v>
      </c>
      <c r="AQ266" s="33" t="n">
        <f aca="false">Source_Data!AQ$11*$B$259</f>
        <v>0</v>
      </c>
      <c r="AR266" s="33" t="n">
        <f aca="false">Source_Data!AR$11*$B$259</f>
        <v>0</v>
      </c>
      <c r="AS266" s="33" t="n">
        <f aca="false">Source_Data!AS$11*$B$259</f>
        <v>0</v>
      </c>
      <c r="AT266" s="33" t="n">
        <f aca="false">Source_Data!AT$11*$B$259</f>
        <v>0</v>
      </c>
      <c r="AU266" s="33" t="n">
        <f aca="false">Source_Data!AU$11*$B$259</f>
        <v>0</v>
      </c>
      <c r="AV266" s="33" t="n">
        <f aca="false">Source_Data!AV$11*$B$259</f>
        <v>0</v>
      </c>
      <c r="AW266" s="33" t="n">
        <f aca="false">Source_Data!AW$11*$B$259</f>
        <v>0</v>
      </c>
      <c r="AX266" s="33" t="n">
        <f aca="false">Source_Data!AX$11*$B$259</f>
        <v>0</v>
      </c>
      <c r="AY266" s="33" t="n">
        <f aca="false">Source_Data!AY$11*$B$259</f>
        <v>0</v>
      </c>
      <c r="AZ266" s="33" t="n">
        <f aca="false">Source_Data!AZ$11*$B$259</f>
        <v>0</v>
      </c>
      <c r="BA266" s="33" t="n">
        <f aca="false">Source_Data!BA$11*$B$259</f>
        <v>0</v>
      </c>
      <c r="BB266" s="33" t="n">
        <f aca="false">Source_Data!BB$11*$B$259</f>
        <v>0</v>
      </c>
      <c r="BC266" s="33" t="n">
        <f aca="false">Source_Data!BC$11*$B$259</f>
        <v>0</v>
      </c>
      <c r="BD266" s="33" t="n">
        <f aca="false">Source_Data!BD$11*$B$259</f>
        <v>0</v>
      </c>
      <c r="BE266" s="33" t="n">
        <f aca="false">Source_Data!BE$11*$B$259</f>
        <v>0</v>
      </c>
      <c r="BF266" s="33" t="n">
        <f aca="false">Source_Data!BF$11*$B$259</f>
        <v>0</v>
      </c>
      <c r="BG266" s="33" t="n">
        <f aca="false">Source_Data!BG$11*$B$259</f>
        <v>0</v>
      </c>
      <c r="BH266" s="33" t="n">
        <f aca="false">Source_Data!BH$11*$B$259</f>
        <v>0</v>
      </c>
      <c r="BI266" s="33" t="n">
        <f aca="false">Source_Data!BI$11*$B$259</f>
        <v>0</v>
      </c>
      <c r="BJ266" s="33" t="n">
        <f aca="false">Source_Data!BJ$11*$B$259</f>
        <v>0</v>
      </c>
      <c r="BK266" s="33" t="n">
        <f aca="false">Source_Data!BK$11*$B$259</f>
        <v>0</v>
      </c>
    </row>
    <row r="267" customFormat="false" ht="15" hidden="false" customHeight="false" outlineLevel="0" collapsed="false">
      <c r="A267" s="3" t="s">
        <v>196</v>
      </c>
      <c r="D267" s="33" t="n">
        <f aca="false">$B$257*IF(Source_Data!D$5-$B$258&gt;=1,INDEX(Source_Data!$D$12:$BK$12,1,Source_Data!D$5-$B$258),0)</f>
        <v>0</v>
      </c>
      <c r="E267" s="33" t="n">
        <f aca="false">$B$257*IF(Source_Data!E$5-$B$258&gt;=1,INDEX(Source_Data!$D$12:$BK$12,1,Source_Data!E$5-$B$258),0)</f>
        <v>0</v>
      </c>
      <c r="F267" s="33" t="n">
        <f aca="false">$B$257*IF(Source_Data!F$5-$B$258&gt;=1,INDEX(Source_Data!$D$12:$BK$12,1,Source_Data!F$5-$B$258),0)</f>
        <v>0</v>
      </c>
      <c r="G267" s="33" t="n">
        <f aca="false">$B$257*IF(Source_Data!G$5-$B$258&gt;=1,INDEX(Source_Data!$D$12:$BK$12,1,Source_Data!G$5-$B$258),0)</f>
        <v>0</v>
      </c>
      <c r="H267" s="33" t="n">
        <f aca="false">$B$257*IF(Source_Data!H$5-$B$258&gt;=1,INDEX(Source_Data!$D$12:$BK$12,1,Source_Data!H$5-$B$258),0)</f>
        <v>0</v>
      </c>
      <c r="I267" s="33" t="n">
        <f aca="false">$B$257*IF(Source_Data!I$5-$B$258&gt;=1,INDEX(Source_Data!$D$12:$BK$12,1,Source_Data!I$5-$B$258),0)</f>
        <v>0</v>
      </c>
      <c r="J267" s="33" t="n">
        <f aca="false">$B$257*IF(Source_Data!J$5-$B$258&gt;=1,INDEX(Source_Data!$D$12:$BK$12,1,Source_Data!J$5-$B$258),0)</f>
        <v>0</v>
      </c>
      <c r="K267" s="33" t="n">
        <f aca="false">$B$257*IF(Source_Data!K$5-$B$258&gt;=1,INDEX(Source_Data!$D$12:$BK$12,1,Source_Data!K$5-$B$258),0)</f>
        <v>0</v>
      </c>
      <c r="L267" s="33" t="n">
        <f aca="false">$B$257*IF(Source_Data!L$5-$B$258&gt;=1,INDEX(Source_Data!$D$12:$BK$12,1,Source_Data!L$5-$B$258),0)</f>
        <v>0</v>
      </c>
      <c r="M267" s="33" t="n">
        <f aca="false">$B$257*IF(Source_Data!M$5-$B$258&gt;=1,INDEX(Source_Data!$D$12:$BK$12,1,Source_Data!M$5-$B$258),0)</f>
        <v>0</v>
      </c>
      <c r="N267" s="33" t="n">
        <f aca="false">$B$257*IF(Source_Data!N$5-$B$258&gt;=1,INDEX(Source_Data!$D$12:$BK$12,1,Source_Data!N$5-$B$258),0)</f>
        <v>0</v>
      </c>
      <c r="O267" s="33" t="n">
        <f aca="false">$B$257*IF(Source_Data!O$5-$B$258&gt;=1,INDEX(Source_Data!$D$12:$BK$12,1,Source_Data!O$5-$B$258),0)</f>
        <v>0</v>
      </c>
      <c r="P267" s="33" t="n">
        <f aca="false">$B$257*IF(Source_Data!P$5-$B$258&gt;=1,INDEX(Source_Data!$D$12:$BK$12,1,Source_Data!P$5-$B$258),0)</f>
        <v>0</v>
      </c>
      <c r="Q267" s="33" t="n">
        <f aca="false">$B$257*IF(Source_Data!Q$5-$B$258&gt;=1,INDEX(Source_Data!$D$12:$BK$12,1,Source_Data!Q$5-$B$258),0)</f>
        <v>0</v>
      </c>
      <c r="R267" s="33" t="n">
        <f aca="false">$B$257*IF(Source_Data!R$5-$B$258&gt;=1,INDEX(Source_Data!$D$12:$BK$12,1,Source_Data!R$5-$B$258),0)</f>
        <v>12.11139</v>
      </c>
      <c r="S267" s="33" t="n">
        <f aca="false">$B$257*IF(Source_Data!S$5-$B$258&gt;=1,INDEX(Source_Data!$D$12:$BK$12,1,Source_Data!S$5-$B$258),0)</f>
        <v>12.11139</v>
      </c>
      <c r="T267" s="33" t="n">
        <f aca="false">$B$257*IF(Source_Data!T$5-$B$258&gt;=1,INDEX(Source_Data!$D$12:$BK$12,1,Source_Data!T$5-$B$258),0)</f>
        <v>9.52126</v>
      </c>
      <c r="U267" s="33" t="n">
        <f aca="false">$B$257*IF(Source_Data!U$5-$B$258&gt;=1,INDEX(Source_Data!$D$12:$BK$12,1,Source_Data!U$5-$B$258),0)</f>
        <v>9.52126</v>
      </c>
      <c r="V267" s="33" t="n">
        <f aca="false">$B$257*IF(Source_Data!V$5-$B$258&gt;=1,INDEX(Source_Data!$D$12:$BK$12,1,Source_Data!V$5-$B$258),0)</f>
        <v>6.98901</v>
      </c>
      <c r="W267" s="33" t="n">
        <f aca="false">$B$257*IF(Source_Data!W$5-$B$258&gt;=1,INDEX(Source_Data!$D$12:$BK$12,1,Source_Data!W$5-$B$258),0)</f>
        <v>6.98901</v>
      </c>
      <c r="X267" s="33" t="n">
        <f aca="false">$B$257*IF(Source_Data!X$5-$B$258&gt;=1,INDEX(Source_Data!$D$12:$BK$12,1,Source_Data!X$5-$B$258),0)</f>
        <v>7.69804</v>
      </c>
      <c r="Y267" s="33" t="n">
        <f aca="false">$B$257*IF(Source_Data!Y$5-$B$258&gt;=1,INDEX(Source_Data!$D$12:$BK$12,1,Source_Data!Y$5-$B$258),0)</f>
        <v>9.2608</v>
      </c>
      <c r="Z267" s="33" t="n">
        <f aca="false">$B$257*IF(Source_Data!Z$5-$B$258&gt;=1,INDEX(Source_Data!$D$12:$BK$12,1,Source_Data!Z$5-$B$258),0)</f>
        <v>9.2608</v>
      </c>
      <c r="AA267" s="33" t="n">
        <f aca="false">$B$257*IF(Source_Data!AA$5-$B$258&gt;=1,INDEX(Source_Data!$D$12:$BK$12,1,Source_Data!AA$5-$B$258),0)</f>
        <v>6.6562</v>
      </c>
      <c r="AB267" s="33" t="n">
        <f aca="false">$B$257*IF(Source_Data!AB$5-$B$258&gt;=1,INDEX(Source_Data!$D$12:$BK$12,1,Source_Data!AB$5-$B$258),0)</f>
        <v>0</v>
      </c>
      <c r="AC267" s="33" t="n">
        <f aca="false">$B$257*IF(Source_Data!AC$5-$B$258&gt;=1,INDEX(Source_Data!$D$12:$BK$12,1,Source_Data!AC$5-$B$258),0)</f>
        <v>0</v>
      </c>
      <c r="AD267" s="33" t="n">
        <f aca="false">$B$257*IF(Source_Data!AD$5-$B$258&gt;=1,INDEX(Source_Data!$D$12:$BK$12,1,Source_Data!AD$5-$B$258),0)</f>
        <v>0</v>
      </c>
      <c r="AE267" s="33" t="n">
        <f aca="false">$B$257*IF(Source_Data!AE$5-$B$258&gt;=1,INDEX(Source_Data!$D$12:$BK$12,1,Source_Data!AE$5-$B$258),0)</f>
        <v>0</v>
      </c>
      <c r="AF267" s="33" t="n">
        <f aca="false">$B$257*IF(Source_Data!AF$5-$B$258&gt;=1,INDEX(Source_Data!$D$12:$BK$12,1,Source_Data!AF$5-$B$258),0)</f>
        <v>0</v>
      </c>
      <c r="AG267" s="33" t="n">
        <f aca="false">$B$257*IF(Source_Data!AG$5-$B$258&gt;=1,INDEX(Source_Data!$D$12:$BK$12,1,Source_Data!AG$5-$B$258),0)</f>
        <v>0</v>
      </c>
      <c r="AH267" s="33" t="n">
        <f aca="false">$B$257*IF(Source_Data!AH$5-$B$258&gt;=1,INDEX(Source_Data!$D$12:$BK$12,1,Source_Data!AH$5-$B$258),0)</f>
        <v>0</v>
      </c>
      <c r="AI267" s="33" t="n">
        <f aca="false">$B$257*IF(Source_Data!AI$5-$B$258&gt;=1,INDEX(Source_Data!$D$12:$BK$12,1,Source_Data!AI$5-$B$258),0)</f>
        <v>0</v>
      </c>
      <c r="AJ267" s="33" t="n">
        <f aca="false">$B$257*IF(Source_Data!AJ$5-$B$258&gt;=1,INDEX(Source_Data!$D$12:$BK$12,1,Source_Data!AJ$5-$B$258),0)</f>
        <v>0</v>
      </c>
      <c r="AK267" s="33" t="n">
        <f aca="false">$B$257*IF(Source_Data!AK$5-$B$258&gt;=1,INDEX(Source_Data!$D$12:$BK$12,1,Source_Data!AK$5-$B$258),0)</f>
        <v>0</v>
      </c>
      <c r="AL267" s="33" t="n">
        <f aca="false">$B$257*IF(Source_Data!AL$5-$B$258&gt;=1,INDEX(Source_Data!$D$12:$BK$12,1,Source_Data!AL$5-$B$258),0)</f>
        <v>0</v>
      </c>
      <c r="AM267" s="33" t="n">
        <f aca="false">$B$257*IF(Source_Data!AM$5-$B$258&gt;=1,INDEX(Source_Data!$D$12:$BK$12,1,Source_Data!AM$5-$B$258),0)</f>
        <v>0</v>
      </c>
      <c r="AN267" s="33" t="n">
        <f aca="false">$B$257*IF(Source_Data!AN$5-$B$258&gt;=1,INDEX(Source_Data!$D$12:$BK$12,1,Source_Data!AN$5-$B$258),0)</f>
        <v>0</v>
      </c>
      <c r="AO267" s="33" t="n">
        <f aca="false">$B$257*IF(Source_Data!AO$5-$B$258&gt;=1,INDEX(Source_Data!$D$12:$BK$12,1,Source_Data!AO$5-$B$258),0)</f>
        <v>0</v>
      </c>
      <c r="AP267" s="33" t="n">
        <f aca="false">$B$257*IF(Source_Data!AP$5-$B$258&gt;=1,INDEX(Source_Data!$D$12:$BK$12,1,Source_Data!AP$5-$B$258),0)</f>
        <v>0</v>
      </c>
      <c r="AQ267" s="33" t="n">
        <f aca="false">$B$257*IF(Source_Data!AQ$5-$B$258&gt;=1,INDEX(Source_Data!$D$12:$BK$12,1,Source_Data!AQ$5-$B$258),0)</f>
        <v>0</v>
      </c>
      <c r="AR267" s="33" t="n">
        <f aca="false">$B$257*IF(Source_Data!AR$5-$B$258&gt;=1,INDEX(Source_Data!$D$12:$BK$12,1,Source_Data!AR$5-$B$258),0)</f>
        <v>0</v>
      </c>
      <c r="AS267" s="33" t="n">
        <f aca="false">$B$257*IF(Source_Data!AS$5-$B$258&gt;=1,INDEX(Source_Data!$D$12:$BK$12,1,Source_Data!AS$5-$B$258),0)</f>
        <v>0</v>
      </c>
      <c r="AT267" s="33" t="n">
        <f aca="false">$B$257*IF(Source_Data!AT$5-$B$258&gt;=1,INDEX(Source_Data!$D$12:$BK$12,1,Source_Data!AT$5-$B$258),0)</f>
        <v>0</v>
      </c>
      <c r="AU267" s="33" t="n">
        <f aca="false">$B$257*IF(Source_Data!AU$5-$B$258&gt;=1,INDEX(Source_Data!$D$12:$BK$12,1,Source_Data!AU$5-$B$258),0)</f>
        <v>0</v>
      </c>
      <c r="AV267" s="33" t="n">
        <f aca="false">$B$257*IF(Source_Data!AV$5-$B$258&gt;=1,INDEX(Source_Data!$D$12:$BK$12,1,Source_Data!AV$5-$B$258),0)</f>
        <v>0</v>
      </c>
      <c r="AW267" s="33" t="n">
        <f aca="false">$B$257*IF(Source_Data!AW$5-$B$258&gt;=1,INDEX(Source_Data!$D$12:$BK$12,1,Source_Data!AW$5-$B$258),0)</f>
        <v>0</v>
      </c>
      <c r="AX267" s="33" t="n">
        <f aca="false">$B$257*IF(Source_Data!AX$5-$B$258&gt;=1,INDEX(Source_Data!$D$12:$BK$12,1,Source_Data!AX$5-$B$258),0)</f>
        <v>0</v>
      </c>
      <c r="AY267" s="33" t="n">
        <f aca="false">$B$257*IF(Source_Data!AY$5-$B$258&gt;=1,INDEX(Source_Data!$D$12:$BK$12,1,Source_Data!AY$5-$B$258),0)</f>
        <v>0</v>
      </c>
      <c r="AZ267" s="33" t="n">
        <f aca="false">$B$257*IF(Source_Data!AZ$5-$B$258&gt;=1,INDEX(Source_Data!$D$12:$BK$12,1,Source_Data!AZ$5-$B$258),0)</f>
        <v>0</v>
      </c>
      <c r="BA267" s="33" t="n">
        <f aca="false">$B$257*IF(Source_Data!BA$5-$B$258&gt;=1,INDEX(Source_Data!$D$12:$BK$12,1,Source_Data!BA$5-$B$258),0)</f>
        <v>0</v>
      </c>
      <c r="BB267" s="33" t="n">
        <f aca="false">$B$257*IF(Source_Data!BB$5-$B$258&gt;=1,INDEX(Source_Data!$D$12:$BK$12,1,Source_Data!BB$5-$B$258),0)</f>
        <v>0</v>
      </c>
      <c r="BC267" s="33" t="n">
        <f aca="false">$B$257*IF(Source_Data!BC$5-$B$258&gt;=1,INDEX(Source_Data!$D$12:$BK$12,1,Source_Data!BC$5-$B$258),0)</f>
        <v>0</v>
      </c>
      <c r="BD267" s="33" t="n">
        <f aca="false">$B$257*IF(Source_Data!BD$5-$B$258&gt;=1,INDEX(Source_Data!$D$12:$BK$12,1,Source_Data!BD$5-$B$258),0)</f>
        <v>0</v>
      </c>
      <c r="BE267" s="33" t="n">
        <f aca="false">$B$257*IF(Source_Data!BE$5-$B$258&gt;=1,INDEX(Source_Data!$D$12:$BK$12,1,Source_Data!BE$5-$B$258),0)</f>
        <v>0</v>
      </c>
      <c r="BF267" s="33" t="n">
        <f aca="false">$B$257*IF(Source_Data!BF$5-$B$258&gt;=1,INDEX(Source_Data!$D$12:$BK$12,1,Source_Data!BF$5-$B$258),0)</f>
        <v>0</v>
      </c>
      <c r="BG267" s="33" t="n">
        <f aca="false">$B$257*IF(Source_Data!BG$5-$B$258&gt;=1,INDEX(Source_Data!$D$12:$BK$12,1,Source_Data!BG$5-$B$258),0)</f>
        <v>0</v>
      </c>
      <c r="BH267" s="33" t="n">
        <f aca="false">$B$257*IF(Source_Data!BH$5-$B$258&gt;=1,INDEX(Source_Data!$D$12:$BK$12,1,Source_Data!BH$5-$B$258),0)</f>
        <v>0</v>
      </c>
      <c r="BI267" s="33" t="n">
        <f aca="false">$B$257*IF(Source_Data!BI$5-$B$258&gt;=1,INDEX(Source_Data!$D$12:$BK$12,1,Source_Data!BI$5-$B$258),0)</f>
        <v>0</v>
      </c>
      <c r="BJ267" s="33" t="n">
        <f aca="false">$B$257*IF(Source_Data!BJ$5-$B$258&gt;=1,INDEX(Source_Data!$D$12:$BK$12,1,Source_Data!BJ$5-$B$258),0)</f>
        <v>0</v>
      </c>
      <c r="BK267" s="33" t="n">
        <f aca="false">$B$257*IF(Source_Data!BK$5-$B$258&gt;=1,INDEX(Source_Data!$D$12:$BK$12,1,Source_Data!BK$5-$B$258),0)</f>
        <v>0</v>
      </c>
    </row>
    <row r="268" customFormat="false" ht="15" hidden="false" customHeight="false" outlineLevel="0" collapsed="false">
      <c r="A268" s="3" t="s">
        <v>215</v>
      </c>
      <c r="D268" s="33" t="n">
        <f aca="false">Source_Data!D$13*$B$259</f>
        <v>0</v>
      </c>
      <c r="E268" s="33" t="n">
        <f aca="false">Source_Data!E$13*$B$259</f>
        <v>0</v>
      </c>
      <c r="F268" s="33" t="n">
        <f aca="false">Source_Data!F$13*$B$259</f>
        <v>0</v>
      </c>
      <c r="G268" s="33" t="n">
        <f aca="false">Source_Data!G$13*$B$259</f>
        <v>0</v>
      </c>
      <c r="H268" s="33" t="n">
        <f aca="false">Source_Data!H$13*$B$259</f>
        <v>3</v>
      </c>
      <c r="I268" s="33" t="n">
        <f aca="false">Source_Data!I$13*$B$259</f>
        <v>3.96</v>
      </c>
      <c r="J268" s="33" t="n">
        <f aca="false">Source_Data!J$13*$B$259</f>
        <v>6</v>
      </c>
      <c r="K268" s="33" t="n">
        <f aca="false">Source_Data!K$13*$B$259</f>
        <v>3.96</v>
      </c>
      <c r="L268" s="33" t="n">
        <f aca="false">Source_Data!L$13*$B$259</f>
        <v>3.96</v>
      </c>
      <c r="M268" s="33" t="n">
        <f aca="false">Source_Data!M$13*$B$259</f>
        <v>3.96</v>
      </c>
      <c r="N268" s="33" t="n">
        <f aca="false">Source_Data!N$13*$B$259</f>
        <v>0.792</v>
      </c>
      <c r="O268" s="33" t="n">
        <f aca="false">Source_Data!O$13*$B$259</f>
        <v>0.792</v>
      </c>
      <c r="P268" s="33" t="n">
        <f aca="false">Source_Data!P$13*$B$259</f>
        <v>18</v>
      </c>
      <c r="Q268" s="33" t="n">
        <f aca="false">Source_Data!Q$13*$B$259</f>
        <v>18</v>
      </c>
      <c r="R268" s="33" t="n">
        <f aca="false">Source_Data!R$13*$B$259</f>
        <v>24.6</v>
      </c>
      <c r="S268" s="33" t="n">
        <f aca="false">Source_Data!S$13*$B$259</f>
        <v>17.55</v>
      </c>
      <c r="T268" s="33" t="n">
        <f aca="false">Source_Data!T$13*$B$259</f>
        <v>0</v>
      </c>
      <c r="U268" s="33" t="n">
        <f aca="false">Source_Data!U$13*$B$259</f>
        <v>0</v>
      </c>
      <c r="V268" s="33" t="n">
        <f aca="false">Source_Data!V$13*$B$259</f>
        <v>0</v>
      </c>
      <c r="W268" s="33" t="n">
        <f aca="false">Source_Data!W$13*$B$259</f>
        <v>0</v>
      </c>
      <c r="X268" s="33" t="n">
        <f aca="false">Source_Data!X$13*$B$259</f>
        <v>0</v>
      </c>
      <c r="Y268" s="33" t="n">
        <f aca="false">Source_Data!Y$13*$B$259</f>
        <v>0</v>
      </c>
      <c r="Z268" s="33" t="n">
        <f aca="false">Source_Data!Z$13*$B$259</f>
        <v>0</v>
      </c>
      <c r="AA268" s="33" t="n">
        <f aca="false">Source_Data!AA$13*$B$259</f>
        <v>0</v>
      </c>
      <c r="AB268" s="33" t="n">
        <f aca="false">Source_Data!AB$13*$B$259</f>
        <v>0</v>
      </c>
      <c r="AC268" s="33" t="n">
        <f aca="false">Source_Data!AC$13*$B$259</f>
        <v>0</v>
      </c>
      <c r="AD268" s="33" t="n">
        <f aca="false">Source_Data!AD$13*$B$259</f>
        <v>0</v>
      </c>
      <c r="AE268" s="33" t="n">
        <f aca="false">Source_Data!AE$13*$B$259</f>
        <v>0</v>
      </c>
      <c r="AF268" s="33" t="n">
        <f aca="false">Source_Data!AF$13*$B$259</f>
        <v>0</v>
      </c>
      <c r="AG268" s="33" t="n">
        <f aca="false">Source_Data!AG$13*$B$259</f>
        <v>0</v>
      </c>
      <c r="AH268" s="33" t="n">
        <f aca="false">Source_Data!AH$13*$B$259</f>
        <v>0</v>
      </c>
      <c r="AI268" s="33" t="n">
        <f aca="false">Source_Data!AI$13*$B$259</f>
        <v>0</v>
      </c>
      <c r="AJ268" s="33" t="n">
        <f aca="false">Source_Data!AJ$13*$B$259</f>
        <v>0</v>
      </c>
      <c r="AK268" s="33" t="n">
        <f aca="false">Source_Data!AK$13*$B$259</f>
        <v>0</v>
      </c>
      <c r="AL268" s="33" t="n">
        <f aca="false">Source_Data!AL$13*$B$259</f>
        <v>0</v>
      </c>
      <c r="AM268" s="33" t="n">
        <f aca="false">Source_Data!AM$13*$B$259</f>
        <v>0</v>
      </c>
      <c r="AN268" s="33" t="n">
        <f aca="false">Source_Data!AN$13*$B$259</f>
        <v>0</v>
      </c>
      <c r="AO268" s="33" t="n">
        <f aca="false">Source_Data!AO$13*$B$259</f>
        <v>0</v>
      </c>
      <c r="AP268" s="33" t="n">
        <f aca="false">Source_Data!AP$13*$B$259</f>
        <v>0</v>
      </c>
      <c r="AQ268" s="33" t="n">
        <f aca="false">Source_Data!AQ$13*$B$259</f>
        <v>0</v>
      </c>
      <c r="AR268" s="33" t="n">
        <f aca="false">Source_Data!AR$13*$B$259</f>
        <v>0</v>
      </c>
      <c r="AS268" s="33" t="n">
        <f aca="false">Source_Data!AS$13*$B$259</f>
        <v>0</v>
      </c>
      <c r="AT268" s="33" t="n">
        <f aca="false">Source_Data!AT$13*$B$259</f>
        <v>0</v>
      </c>
      <c r="AU268" s="33" t="n">
        <f aca="false">Source_Data!AU$13*$B$259</f>
        <v>0</v>
      </c>
      <c r="AV268" s="33" t="n">
        <f aca="false">Source_Data!AV$13*$B$259</f>
        <v>0</v>
      </c>
      <c r="AW268" s="33" t="n">
        <f aca="false">Source_Data!AW$13*$B$259</f>
        <v>0</v>
      </c>
      <c r="AX268" s="33" t="n">
        <f aca="false">Source_Data!AX$13*$B$259</f>
        <v>0</v>
      </c>
      <c r="AY268" s="33" t="n">
        <f aca="false">Source_Data!AY$13*$B$259</f>
        <v>0</v>
      </c>
      <c r="AZ268" s="33" t="n">
        <f aca="false">Source_Data!AZ$13*$B$259</f>
        <v>0</v>
      </c>
      <c r="BA268" s="33" t="n">
        <f aca="false">Source_Data!BA$13*$B$259</f>
        <v>0</v>
      </c>
      <c r="BB268" s="33" t="n">
        <f aca="false">Source_Data!BB$13*$B$259</f>
        <v>0</v>
      </c>
      <c r="BC268" s="33" t="n">
        <f aca="false">Source_Data!BC$13*$B$259</f>
        <v>0</v>
      </c>
      <c r="BD268" s="33" t="n">
        <f aca="false">Source_Data!BD$13*$B$259</f>
        <v>0</v>
      </c>
      <c r="BE268" s="33" t="n">
        <f aca="false">Source_Data!BE$13*$B$259</f>
        <v>0</v>
      </c>
      <c r="BF268" s="33" t="n">
        <f aca="false">Source_Data!BF$13*$B$259</f>
        <v>0</v>
      </c>
      <c r="BG268" s="33" t="n">
        <f aca="false">Source_Data!BG$13*$B$259</f>
        <v>0</v>
      </c>
      <c r="BH268" s="33" t="n">
        <f aca="false">Source_Data!BH$13*$B$259</f>
        <v>0</v>
      </c>
      <c r="BI268" s="33" t="n">
        <f aca="false">Source_Data!BI$13*$B$259</f>
        <v>0</v>
      </c>
      <c r="BJ268" s="33" t="n">
        <f aca="false">Source_Data!BJ$13*$B$259</f>
        <v>0</v>
      </c>
      <c r="BK268" s="33" t="n">
        <f aca="false">Source_Data!BK$13*$B$259</f>
        <v>0</v>
      </c>
    </row>
    <row r="269" customFormat="false" ht="15" hidden="false" customHeight="false" outlineLevel="0" collapsed="false">
      <c r="A269" s="2" t="s">
        <v>216</v>
      </c>
      <c r="D269" s="33" t="n">
        <f aca="false">D264-D265-D266-D267-D268</f>
        <v>-91.25</v>
      </c>
      <c r="E269" s="33" t="n">
        <f aca="false">E264-E265-E266-E267-E268</f>
        <v>-11.25</v>
      </c>
      <c r="F269" s="33" t="n">
        <f aca="false">F264-F265-F266-F267-F268</f>
        <v>-11.25</v>
      </c>
      <c r="G269" s="33" t="n">
        <f aca="false">G264-G265-G266-G267-G268</f>
        <v>-11.25</v>
      </c>
      <c r="H269" s="33" t="n">
        <f aca="false">H264-H265-H266-H267-H268</f>
        <v>-45.5</v>
      </c>
      <c r="I269" s="33" t="n">
        <f aca="false">I264-I265-I266-I267-I268</f>
        <v>-52.86</v>
      </c>
      <c r="J269" s="33" t="n">
        <f aca="false">J264-J265-J266-J267-J268</f>
        <v>-68.5</v>
      </c>
      <c r="K269" s="33" t="n">
        <f aca="false">K264-K265-K266-K267-K268</f>
        <v>-52.86</v>
      </c>
      <c r="L269" s="33" t="n">
        <f aca="false">L264-L265-L266-L267-L268</f>
        <v>-64.11</v>
      </c>
      <c r="M269" s="33" t="n">
        <f aca="false">M264-M265-M266-M267-M268</f>
        <v>-64.11</v>
      </c>
      <c r="N269" s="33" t="n">
        <f aca="false">N264-N265-N266-N267-N268</f>
        <v>-24.6827625</v>
      </c>
      <c r="O269" s="33" t="n">
        <f aca="false">O264-O265-O266-O267-O268</f>
        <v>-9.543525</v>
      </c>
      <c r="P269" s="33" t="n">
        <f aca="false">P264-P265-P266-P267-P268</f>
        <v>-136.48799375</v>
      </c>
      <c r="Q269" s="33" t="n">
        <f aca="false">Q264-Q265-Q266-Q267-Q268</f>
        <v>-120.2544625</v>
      </c>
      <c r="R269" s="33" t="n">
        <f aca="false">R264-R265-R266-R267-R268</f>
        <v>-183.34569</v>
      </c>
      <c r="S269" s="33" t="n">
        <f aca="false">S264-S265-S266-S267-S268</f>
        <v>-128.187830625</v>
      </c>
      <c r="T269" s="33" t="n">
        <f aca="false">T264-T265-T266-T267-T268</f>
        <v>25.8075884375</v>
      </c>
      <c r="U269" s="33" t="n">
        <f aca="false">U264-U265-U266-U267-U268</f>
        <v>440.7325775</v>
      </c>
      <c r="V269" s="33" t="n">
        <f aca="false">V264-V265-V266-V267-V268</f>
        <v>133.58874</v>
      </c>
      <c r="W269" s="33" t="n">
        <f aca="false">W264-W265-W266-W267-W268</f>
        <v>124.54499</v>
      </c>
      <c r="X269" s="33" t="n">
        <f aca="false">X264-X265-X266-X267-X268</f>
        <v>67.11271</v>
      </c>
      <c r="Y269" s="33" t="n">
        <f aca="false">Y264-Y265-Y266-Y267-Y268</f>
        <v>39.54916875</v>
      </c>
      <c r="Z269" s="33" t="n">
        <f aca="false">Z264-Z265-Z266-Z267-Z268</f>
        <v>39.54916875</v>
      </c>
      <c r="AA269" s="33" t="n">
        <f aca="false">AA264-AA265-AA266-AA267-AA268</f>
        <v>38.880835625</v>
      </c>
      <c r="AB269" s="33" t="n">
        <f aca="false">AB264-AB265-AB266-AB267-AB268</f>
        <v>61.2266396875</v>
      </c>
      <c r="AC269" s="33" t="n">
        <f aca="false">AC264-AC265-AC266-AC267-AC268</f>
        <v>59.7127159375</v>
      </c>
      <c r="AD269" s="33" t="n">
        <f aca="false">AD264-AD265-AD266-AD267-AD268</f>
        <v>53.7239446875</v>
      </c>
      <c r="AE269" s="33" t="n">
        <f aca="false">AE264-AE265-AE266-AE267-AE268</f>
        <v>49.3829446875</v>
      </c>
      <c r="AF269" s="33" t="n">
        <f aca="false">AF264-AF265-AF266-AF267-AF268</f>
        <v>-58.3752656640625</v>
      </c>
      <c r="AG269" s="33" t="n">
        <f aca="false">AG264-AG265-AG266-AG267-AG268</f>
        <v>31.126213515625</v>
      </c>
      <c r="AH269" s="33" t="n">
        <f aca="false">AH264-AH265-AH266-AH267-AH268</f>
        <v>31.126213515625</v>
      </c>
      <c r="AI269" s="33" t="n">
        <f aca="false">AI264-AI265-AI266-AI267-AI268</f>
        <v>31.126213515625</v>
      </c>
      <c r="AJ269" s="33" t="n">
        <f aca="false">AJ264-AJ265-AJ266-AJ267-AJ268</f>
        <v>25.338213515625</v>
      </c>
      <c r="AK269" s="33" t="n">
        <f aca="false">AK264-AK265-AK266-AK267-AK268</f>
        <v>23.0176437890625</v>
      </c>
      <c r="AL269" s="33" t="n">
        <f aca="false">AL264-AL265-AL266-AL267-AL268</f>
        <v>19.4091875390625</v>
      </c>
      <c r="AM269" s="33" t="n">
        <f aca="false">AM264-AM265-AM266-AM267-AM268</f>
        <v>16.8906162109375</v>
      </c>
      <c r="AN269" s="33" t="n">
        <f aca="false">AN264-AN265-AN266-AN267-AN268</f>
        <v>20.87772296875</v>
      </c>
      <c r="AO269" s="33" t="n">
        <f aca="false">AO264-AO265-AO266-AO267-AO268</f>
        <v>23.52708953125</v>
      </c>
      <c r="AP269" s="33" t="n">
        <f aca="false">AP264-AP265-AP266-AP267-AP268</f>
        <v>25.08917125</v>
      </c>
      <c r="AQ269" s="33" t="n">
        <f aca="false">AQ264-AQ265-AQ266-AQ267-AQ268</f>
        <v>25.08917125</v>
      </c>
      <c r="AR269" s="33" t="n">
        <f aca="false">AR264-AR265-AR266-AR267-AR268</f>
        <v>25.08917125</v>
      </c>
      <c r="AS269" s="33" t="n">
        <f aca="false">AS264-AS265-AS266-AS267-AS268</f>
        <v>22.905105625</v>
      </c>
      <c r="AT269" s="33" t="n">
        <f aca="false">AT264-AT265-AT266-AT267-AT268</f>
        <v>22.905105625</v>
      </c>
      <c r="AU269" s="33" t="n">
        <f aca="false">AU264-AU265-AU266-AU267-AU268</f>
        <v>18.739554375</v>
      </c>
      <c r="AV269" s="33" t="n">
        <f aca="false">AV264-AV265-AV266-AV267-AV268</f>
        <v>9.6261675</v>
      </c>
      <c r="AW269" s="33" t="n">
        <f aca="false">AW264-AW265-AW266-AW267-AW268</f>
        <v>3.5704725</v>
      </c>
      <c r="AX269" s="33" t="n">
        <f aca="false">AX264-AX265-AX266-AX267-AX268</f>
        <v>0</v>
      </c>
      <c r="AY269" s="33" t="n">
        <f aca="false">AY264-AY265-AY266-AY267-AY268</f>
        <v>0</v>
      </c>
      <c r="AZ269" s="33" t="n">
        <f aca="false">AZ264-AZ265-AZ266-AZ267-AZ268</f>
        <v>0</v>
      </c>
      <c r="BA269" s="33" t="n">
        <f aca="false">BA264-BA265-BA266-BA267-BA268</f>
        <v>0</v>
      </c>
      <c r="BB269" s="33" t="n">
        <f aca="false">BB264-BB265-BB266-BB267-BB268</f>
        <v>0</v>
      </c>
      <c r="BC269" s="33" t="n">
        <f aca="false">BC264-BC265-BC266-BC267-BC268</f>
        <v>0</v>
      </c>
      <c r="BD269" s="33" t="n">
        <f aca="false">BD264-BD265-BD266-BD267-BD268</f>
        <v>0</v>
      </c>
      <c r="BE269" s="33" t="n">
        <f aca="false">BE264-BE265-BE266-BE267-BE268</f>
        <v>0</v>
      </c>
      <c r="BF269" s="33" t="n">
        <f aca="false">BF264-BF265-BF266-BF267-BF268</f>
        <v>0</v>
      </c>
      <c r="BG269" s="33" t="n">
        <f aca="false">BG264-BG265-BG266-BG267-BG268</f>
        <v>0</v>
      </c>
      <c r="BH269" s="33" t="n">
        <f aca="false">BH264-BH265-BH266-BH267-BH268</f>
        <v>0</v>
      </c>
      <c r="BI269" s="33" t="n">
        <f aca="false">BI264-BI265-BI266-BI267-BI268</f>
        <v>0</v>
      </c>
      <c r="BJ269" s="33" t="n">
        <f aca="false">BJ264-BJ265-BJ266-BJ267-BJ268</f>
        <v>0</v>
      </c>
      <c r="BK269" s="33" t="n">
        <f aca="false">BK264-BK265-BK266-BK267-BK268</f>
        <v>0</v>
      </c>
    </row>
    <row r="270" customFormat="false" ht="15" hidden="false" customHeight="false" outlineLevel="0" collapsed="false">
      <c r="A270" s="2" t="s">
        <v>217</v>
      </c>
      <c r="D270" s="33" t="n">
        <f aca="false">D269</f>
        <v>-91.25</v>
      </c>
      <c r="E270" s="33" t="n">
        <f aca="false">D270+E269</f>
        <v>-102.5</v>
      </c>
      <c r="F270" s="33" t="n">
        <f aca="false">E270+F269</f>
        <v>-113.75</v>
      </c>
      <c r="G270" s="33" t="n">
        <f aca="false">F270+G269</f>
        <v>-125</v>
      </c>
      <c r="H270" s="33" t="n">
        <f aca="false">G270+H269</f>
        <v>-170.5</v>
      </c>
      <c r="I270" s="33" t="n">
        <f aca="false">H270+I269</f>
        <v>-223.36</v>
      </c>
      <c r="J270" s="33" t="n">
        <f aca="false">I270+J269</f>
        <v>-291.86</v>
      </c>
      <c r="K270" s="33" t="n">
        <f aca="false">J270+K269</f>
        <v>-344.72</v>
      </c>
      <c r="L270" s="33" t="n">
        <f aca="false">K270+L269</f>
        <v>-408.83</v>
      </c>
      <c r="M270" s="33" t="n">
        <f aca="false">L270+M269</f>
        <v>-472.94</v>
      </c>
      <c r="N270" s="33" t="n">
        <f aca="false">M270+N269</f>
        <v>-497.6227625</v>
      </c>
      <c r="O270" s="33" t="n">
        <f aca="false">N270+O269</f>
        <v>-507.1662875</v>
      </c>
      <c r="P270" s="33" t="n">
        <f aca="false">O270+P269</f>
        <v>-643.65428125</v>
      </c>
      <c r="Q270" s="33" t="n">
        <f aca="false">P270+Q269</f>
        <v>-763.90874375</v>
      </c>
      <c r="R270" s="33" t="n">
        <f aca="false">Q270+R269</f>
        <v>-947.25443375</v>
      </c>
      <c r="S270" s="33" t="n">
        <f aca="false">R270+S269</f>
        <v>-1075.442264375</v>
      </c>
      <c r="T270" s="33" t="n">
        <f aca="false">S270+T269</f>
        <v>-1049.6346759375</v>
      </c>
      <c r="U270" s="33" t="n">
        <f aca="false">T270+U269</f>
        <v>-608.9020984375</v>
      </c>
      <c r="V270" s="33" t="n">
        <f aca="false">U270+V269</f>
        <v>-475.3133584375</v>
      </c>
      <c r="W270" s="33" t="n">
        <f aca="false">V270+W269</f>
        <v>-350.7683684375</v>
      </c>
      <c r="X270" s="33" t="n">
        <f aca="false">W270+X269</f>
        <v>-283.6556584375</v>
      </c>
      <c r="Y270" s="33" t="n">
        <f aca="false">X270+Y269</f>
        <v>-244.1064896875</v>
      </c>
      <c r="Z270" s="33" t="n">
        <f aca="false">Y270+Z269</f>
        <v>-204.5573209375</v>
      </c>
      <c r="AA270" s="33" t="n">
        <f aca="false">Z270+AA269</f>
        <v>-165.6764853125</v>
      </c>
      <c r="AB270" s="33" t="n">
        <f aca="false">AA270+AB269</f>
        <v>-104.449845625</v>
      </c>
      <c r="AC270" s="33" t="n">
        <f aca="false">AB270+AC269</f>
        <v>-44.7371296875002</v>
      </c>
      <c r="AD270" s="33" t="n">
        <f aca="false">AC270+AD269</f>
        <v>8.98681499999977</v>
      </c>
      <c r="AE270" s="33" t="n">
        <f aca="false">AD270+AE269</f>
        <v>58.3697596874998</v>
      </c>
      <c r="AF270" s="33" t="n">
        <f aca="false">AE270+AF269</f>
        <v>-0.00550597656275897</v>
      </c>
      <c r="AG270" s="33" t="n">
        <f aca="false">AF270+AG269</f>
        <v>31.1207075390622</v>
      </c>
      <c r="AH270" s="33" t="n">
        <f aca="false">AG270+AH269</f>
        <v>62.2469210546873</v>
      </c>
      <c r="AI270" s="33" t="n">
        <f aca="false">AH270+AI269</f>
        <v>93.3731345703123</v>
      </c>
      <c r="AJ270" s="33" t="n">
        <f aca="false">AI270+AJ269</f>
        <v>118.711348085937</v>
      </c>
      <c r="AK270" s="33" t="n">
        <f aca="false">AJ270+AK269</f>
        <v>141.728991875</v>
      </c>
      <c r="AL270" s="33" t="n">
        <f aca="false">AK270+AL269</f>
        <v>161.138179414062</v>
      </c>
      <c r="AM270" s="33" t="n">
        <f aca="false">AL270+AM269</f>
        <v>178.028795625</v>
      </c>
      <c r="AN270" s="33" t="n">
        <f aca="false">AM270+AN269</f>
        <v>198.90651859375</v>
      </c>
      <c r="AO270" s="33" t="n">
        <f aca="false">AN270+AO269</f>
        <v>222.433608125</v>
      </c>
      <c r="AP270" s="33" t="n">
        <f aca="false">AO270+AP269</f>
        <v>247.522779375</v>
      </c>
      <c r="AQ270" s="33" t="n">
        <f aca="false">AP270+AQ269</f>
        <v>272.611950625</v>
      </c>
      <c r="AR270" s="33" t="n">
        <f aca="false">AQ270+AR269</f>
        <v>297.701121875</v>
      </c>
      <c r="AS270" s="33" t="n">
        <f aca="false">AR270+AS269</f>
        <v>320.6062275</v>
      </c>
      <c r="AT270" s="33" t="n">
        <f aca="false">AS270+AT269</f>
        <v>343.511333125</v>
      </c>
      <c r="AU270" s="33" t="n">
        <f aca="false">AT270+AU269</f>
        <v>362.2508875</v>
      </c>
      <c r="AV270" s="33" t="n">
        <f aca="false">AU270+AV269</f>
        <v>371.877055</v>
      </c>
      <c r="AW270" s="33" t="n">
        <f aca="false">AV270+AW269</f>
        <v>375.4475275</v>
      </c>
      <c r="AX270" s="33" t="n">
        <f aca="false">AW270+AX269</f>
        <v>375.4475275</v>
      </c>
      <c r="AY270" s="33" t="n">
        <f aca="false">AX270+AY269</f>
        <v>375.4475275</v>
      </c>
      <c r="AZ270" s="33" t="n">
        <f aca="false">AY270+AZ269</f>
        <v>375.4475275</v>
      </c>
      <c r="BA270" s="33" t="n">
        <f aca="false">AZ270+BA269</f>
        <v>375.4475275</v>
      </c>
      <c r="BB270" s="33" t="n">
        <f aca="false">BA270+BB269</f>
        <v>375.4475275</v>
      </c>
      <c r="BC270" s="33" t="n">
        <f aca="false">BB270+BC269</f>
        <v>375.4475275</v>
      </c>
      <c r="BD270" s="33" t="n">
        <f aca="false">BC270+BD269</f>
        <v>375.4475275</v>
      </c>
      <c r="BE270" s="33" t="n">
        <f aca="false">BD270+BE269</f>
        <v>375.4475275</v>
      </c>
      <c r="BF270" s="33" t="n">
        <f aca="false">BE270+BF269</f>
        <v>375.4475275</v>
      </c>
      <c r="BG270" s="33" t="n">
        <f aca="false">BF270+BG269</f>
        <v>375.4475275</v>
      </c>
      <c r="BH270" s="33" t="n">
        <f aca="false">BG270+BH269</f>
        <v>375.4475275</v>
      </c>
      <c r="BI270" s="33" t="n">
        <f aca="false">BH270+BI269</f>
        <v>375.4475275</v>
      </c>
      <c r="BJ270" s="33" t="n">
        <f aca="false">BI270+BJ269</f>
        <v>375.4475275</v>
      </c>
      <c r="BK270" s="33" t="n">
        <f aca="false">BJ270+BK269</f>
        <v>375.4475275</v>
      </c>
    </row>
    <row r="271" customFormat="false" ht="15" hidden="false" customHeight="false" outlineLevel="0" collapsed="false">
      <c r="A271" s="3" t="s">
        <v>340</v>
      </c>
      <c r="D271" s="33" t="n">
        <f aca="false">IF(Source_Data!D$6=Inputs!$B$12,-Inputs!$B$7,0)+IF(AND(Source_Data!D$6&gt;=$B$262,Source_Data!D$6&lt;$B$262+3*Inputs!$B$16,MOD(Source_Data!D$6-$B$262,3)=0),Inputs!$B$8*Inputs!$B$7*Inputs!$B$34*$B$257*(1-Inputs!$B$15)/Inputs!$B$16,0)</f>
        <v>-100</v>
      </c>
      <c r="E271" s="33" t="n">
        <f aca="false">IF(Source_Data!E$6=Inputs!$B$12,-Inputs!$B$7,0)+IF(AND(Source_Data!E$6&gt;=$B$262,Source_Data!E$6&lt;$B$262+3*Inputs!$B$16,MOD(Source_Data!E$6-$B$262,3)=0),Inputs!$B$8*Inputs!$B$7*Inputs!$B$34*$B$257*(1-Inputs!$B$15)/Inputs!$B$16,0)</f>
        <v>0</v>
      </c>
      <c r="F271" s="33" t="n">
        <f aca="false">IF(Source_Data!F$6=Inputs!$B$12,-Inputs!$B$7,0)+IF(AND(Source_Data!F$6&gt;=$B$262,Source_Data!F$6&lt;$B$262+3*Inputs!$B$16,MOD(Source_Data!F$6-$B$262,3)=0),Inputs!$B$8*Inputs!$B$7*Inputs!$B$34*$B$257*(1-Inputs!$B$15)/Inputs!$B$16,0)</f>
        <v>0</v>
      </c>
      <c r="G271" s="33" t="n">
        <f aca="false">IF(Source_Data!G$6=Inputs!$B$12,-Inputs!$B$7,0)+IF(AND(Source_Data!G$6&gt;=$B$262,Source_Data!G$6&lt;$B$262+3*Inputs!$B$16,MOD(Source_Data!G$6-$B$262,3)=0),Inputs!$B$8*Inputs!$B$7*Inputs!$B$34*$B$257*(1-Inputs!$B$15)/Inputs!$B$16,0)</f>
        <v>0</v>
      </c>
      <c r="H271" s="33" t="n">
        <f aca="false">IF(Source_Data!H$6=Inputs!$B$12,-Inputs!$B$7,0)+IF(AND(Source_Data!H$6&gt;=$B$262,Source_Data!H$6&lt;$B$262+3*Inputs!$B$16,MOD(Source_Data!H$6-$B$262,3)=0),Inputs!$B$8*Inputs!$B$7*Inputs!$B$34*$B$257*(1-Inputs!$B$15)/Inputs!$B$16,0)</f>
        <v>0</v>
      </c>
      <c r="I271" s="33" t="n">
        <f aca="false">IF(Source_Data!I$6=Inputs!$B$12,-Inputs!$B$7,0)+IF(AND(Source_Data!I$6&gt;=$B$262,Source_Data!I$6&lt;$B$262+3*Inputs!$B$16,MOD(Source_Data!I$6-$B$262,3)=0),Inputs!$B$8*Inputs!$B$7*Inputs!$B$34*$B$257*(1-Inputs!$B$15)/Inputs!$B$16,0)</f>
        <v>0</v>
      </c>
      <c r="J271" s="33" t="n">
        <f aca="false">IF(Source_Data!J$6=Inputs!$B$12,-Inputs!$B$7,0)+IF(AND(Source_Data!J$6&gt;=$B$262,Source_Data!J$6&lt;$B$262+3*Inputs!$B$16,MOD(Source_Data!J$6-$B$262,3)=0),Inputs!$B$8*Inputs!$B$7*Inputs!$B$34*$B$257*(1-Inputs!$B$15)/Inputs!$B$16,0)</f>
        <v>0</v>
      </c>
      <c r="K271" s="33" t="n">
        <f aca="false">IF(Source_Data!K$6=Inputs!$B$12,-Inputs!$B$7,0)+IF(AND(Source_Data!K$6&gt;=$B$262,Source_Data!K$6&lt;$B$262+3*Inputs!$B$16,MOD(Source_Data!K$6-$B$262,3)=0),Inputs!$B$8*Inputs!$B$7*Inputs!$B$34*$B$257*(1-Inputs!$B$15)/Inputs!$B$16,0)</f>
        <v>0</v>
      </c>
      <c r="L271" s="33" t="n">
        <f aca="false">IF(Source_Data!L$6=Inputs!$B$12,-Inputs!$B$7,0)+IF(AND(Source_Data!L$6&gt;=$B$262,Source_Data!L$6&lt;$B$262+3*Inputs!$B$16,MOD(Source_Data!L$6-$B$262,3)=0),Inputs!$B$8*Inputs!$B$7*Inputs!$B$34*$B$257*(1-Inputs!$B$15)/Inputs!$B$16,0)</f>
        <v>0</v>
      </c>
      <c r="M271" s="33" t="n">
        <f aca="false">IF(Source_Data!M$6=Inputs!$B$12,-Inputs!$B$7,0)+IF(AND(Source_Data!M$6&gt;=$B$262,Source_Data!M$6&lt;$B$262+3*Inputs!$B$16,MOD(Source_Data!M$6-$B$262,3)=0),Inputs!$B$8*Inputs!$B$7*Inputs!$B$34*$B$257*(1-Inputs!$B$15)/Inputs!$B$16,0)</f>
        <v>0</v>
      </c>
      <c r="N271" s="33" t="n">
        <f aca="false">IF(Source_Data!N$6=Inputs!$B$12,-Inputs!$B$7,0)+IF(AND(Source_Data!N$6&gt;=$B$262,Source_Data!N$6&lt;$B$262+3*Inputs!$B$16,MOD(Source_Data!N$6-$B$262,3)=0),Inputs!$B$8*Inputs!$B$7*Inputs!$B$34*$B$257*(1-Inputs!$B$15)/Inputs!$B$16,0)</f>
        <v>0</v>
      </c>
      <c r="O271" s="33" t="n">
        <f aca="false">IF(Source_Data!O$6=Inputs!$B$12,-Inputs!$B$7,0)+IF(AND(Source_Data!O$6&gt;=$B$262,Source_Data!O$6&lt;$B$262+3*Inputs!$B$16,MOD(Source_Data!O$6-$B$262,3)=0),Inputs!$B$8*Inputs!$B$7*Inputs!$B$34*$B$257*(1-Inputs!$B$15)/Inputs!$B$16,0)</f>
        <v>0</v>
      </c>
      <c r="P271" s="33" t="n">
        <f aca="false">IF(Source_Data!P$6=Inputs!$B$12,-Inputs!$B$7,0)+IF(AND(Source_Data!P$6&gt;=$B$262,Source_Data!P$6&lt;$B$262+3*Inputs!$B$16,MOD(Source_Data!P$6-$B$262,3)=0),Inputs!$B$8*Inputs!$B$7*Inputs!$B$34*$B$257*(1-Inputs!$B$15)/Inputs!$B$16,0)</f>
        <v>0</v>
      </c>
      <c r="Q271" s="33" t="n">
        <f aca="false">IF(Source_Data!Q$6=Inputs!$B$12,-Inputs!$B$7,0)+IF(AND(Source_Data!Q$6&gt;=$B$262,Source_Data!Q$6&lt;$B$262+3*Inputs!$B$16,MOD(Source_Data!Q$6-$B$262,3)=0),Inputs!$B$8*Inputs!$B$7*Inputs!$B$34*$B$257*(1-Inputs!$B$15)/Inputs!$B$16,0)</f>
        <v>0</v>
      </c>
      <c r="R271" s="33" t="n">
        <f aca="false">IF(Source_Data!R$6=Inputs!$B$12,-Inputs!$B$7,0)+IF(AND(Source_Data!R$6&gt;=$B$262,Source_Data!R$6&lt;$B$262+3*Inputs!$B$16,MOD(Source_Data!R$6-$B$262,3)=0),Inputs!$B$8*Inputs!$B$7*Inputs!$B$34*$B$257*(1-Inputs!$B$15)/Inputs!$B$16,0)</f>
        <v>0</v>
      </c>
      <c r="S271" s="33" t="n">
        <f aca="false">IF(Source_Data!S$6=Inputs!$B$12,-Inputs!$B$7,0)+IF(AND(Source_Data!S$6&gt;=$B$262,Source_Data!S$6&lt;$B$262+3*Inputs!$B$16,MOD(Source_Data!S$6-$B$262,3)=0),Inputs!$B$8*Inputs!$B$7*Inputs!$B$34*$B$257*(1-Inputs!$B$15)/Inputs!$B$16,0)</f>
        <v>0</v>
      </c>
      <c r="T271" s="33" t="n">
        <f aca="false">IF(Source_Data!T$6=Inputs!$B$12,-Inputs!$B$7,0)+IF(AND(Source_Data!T$6&gt;=$B$262,Source_Data!T$6&lt;$B$262+3*Inputs!$B$16,MOD(Source_Data!T$6-$B$262,3)=0),Inputs!$B$8*Inputs!$B$7*Inputs!$B$34*$B$257*(1-Inputs!$B$15)/Inputs!$B$16,0)</f>
        <v>0</v>
      </c>
      <c r="U271" s="33" t="n">
        <f aca="false">IF(Source_Data!U$6=Inputs!$B$12,-Inputs!$B$7,0)+IF(AND(Source_Data!U$6&gt;=$B$262,Source_Data!U$6&lt;$B$262+3*Inputs!$B$16,MOD(Source_Data!U$6-$B$262,3)=0),Inputs!$B$8*Inputs!$B$7*Inputs!$B$34*$B$257*(1-Inputs!$B$15)/Inputs!$B$16,0)</f>
        <v>0</v>
      </c>
      <c r="V271" s="33" t="n">
        <f aca="false">IF(Source_Data!V$6=Inputs!$B$12,-Inputs!$B$7,0)+IF(AND(Source_Data!V$6&gt;=$B$262,Source_Data!V$6&lt;$B$262+3*Inputs!$B$16,MOD(Source_Data!V$6-$B$262,3)=0),Inputs!$B$8*Inputs!$B$7*Inputs!$B$34*$B$257*(1-Inputs!$B$15)/Inputs!$B$16,0)</f>
        <v>0</v>
      </c>
      <c r="W271" s="33" t="n">
        <f aca="false">IF(Source_Data!W$6=Inputs!$B$12,-Inputs!$B$7,0)+IF(AND(Source_Data!W$6&gt;=$B$262,Source_Data!W$6&lt;$B$262+3*Inputs!$B$16,MOD(Source_Data!W$6-$B$262,3)=0),Inputs!$B$8*Inputs!$B$7*Inputs!$B$34*$B$257*(1-Inputs!$B$15)/Inputs!$B$16,0)</f>
        <v>0</v>
      </c>
      <c r="X271" s="33" t="n">
        <f aca="false">IF(Source_Data!X$6=Inputs!$B$12,-Inputs!$B$7,0)+IF(AND(Source_Data!X$6&gt;=$B$262,Source_Data!X$6&lt;$B$262+3*Inputs!$B$16,MOD(Source_Data!X$6-$B$262,3)=0),Inputs!$B$8*Inputs!$B$7*Inputs!$B$34*$B$257*(1-Inputs!$B$15)/Inputs!$B$16,0)</f>
        <v>0</v>
      </c>
      <c r="Y271" s="33" t="n">
        <f aca="false">IF(Source_Data!Y$6=Inputs!$B$12,-Inputs!$B$7,0)+IF(AND(Source_Data!Y$6&gt;=$B$262,Source_Data!Y$6&lt;$B$262+3*Inputs!$B$16,MOD(Source_Data!Y$6-$B$262,3)=0),Inputs!$B$8*Inputs!$B$7*Inputs!$B$34*$B$257*(1-Inputs!$B$15)/Inputs!$B$16,0)</f>
        <v>0</v>
      </c>
      <c r="Z271" s="33" t="n">
        <f aca="false">IF(Source_Data!Z$6=Inputs!$B$12,-Inputs!$B$7,0)+IF(AND(Source_Data!Z$6&gt;=$B$262,Source_Data!Z$6&lt;$B$262+3*Inputs!$B$16,MOD(Source_Data!Z$6-$B$262,3)=0),Inputs!$B$8*Inputs!$B$7*Inputs!$B$34*$B$257*(1-Inputs!$B$15)/Inputs!$B$16,0)</f>
        <v>0</v>
      </c>
      <c r="AA271" s="33" t="n">
        <f aca="false">IF(Source_Data!AA$6=Inputs!$B$12,-Inputs!$B$7,0)+IF(AND(Source_Data!AA$6&gt;=$B$262,Source_Data!AA$6&lt;$B$262+3*Inputs!$B$16,MOD(Source_Data!AA$6-$B$262,3)=0),Inputs!$B$8*Inputs!$B$7*Inputs!$B$34*$B$257*(1-Inputs!$B$15)/Inputs!$B$16,0)</f>
        <v>0</v>
      </c>
      <c r="AB271" s="33" t="n">
        <f aca="false">IF(Source_Data!AB$6=Inputs!$B$12,-Inputs!$B$7,0)+IF(AND(Source_Data!AB$6&gt;=$B$262,Source_Data!AB$6&lt;$B$262+3*Inputs!$B$16,MOD(Source_Data!AB$6-$B$262,3)=0),Inputs!$B$8*Inputs!$B$7*Inputs!$B$34*$B$257*(1-Inputs!$B$15)/Inputs!$B$16,0)</f>
        <v>69.5340501792115</v>
      </c>
      <c r="AC271" s="33" t="n">
        <f aca="false">IF(Source_Data!AC$6=Inputs!$B$12,-Inputs!$B$7,0)+IF(AND(Source_Data!AC$6&gt;=$B$262,Source_Data!AC$6&lt;$B$262+3*Inputs!$B$16,MOD(Source_Data!AC$6-$B$262,3)=0),Inputs!$B$8*Inputs!$B$7*Inputs!$B$34*$B$257*(1-Inputs!$B$15)/Inputs!$B$16,0)</f>
        <v>69.5340501792115</v>
      </c>
      <c r="AD271" s="33" t="n">
        <f aca="false">IF(Source_Data!AD$6=Inputs!$B$12,-Inputs!$B$7,0)+IF(AND(Source_Data!AD$6&gt;=$B$262,Source_Data!AD$6&lt;$B$262+3*Inputs!$B$16,MOD(Source_Data!AD$6-$B$262,3)=0),Inputs!$B$8*Inputs!$B$7*Inputs!$B$34*$B$257*(1-Inputs!$B$15)/Inputs!$B$16,0)</f>
        <v>69.5340501792115</v>
      </c>
      <c r="AE271" s="33" t="n">
        <f aca="false">IF(Source_Data!AE$6=Inputs!$B$12,-Inputs!$B$7,0)+IF(AND(Source_Data!AE$6&gt;=$B$262,Source_Data!AE$6&lt;$B$262+3*Inputs!$B$16,MOD(Source_Data!AE$6-$B$262,3)=0),Inputs!$B$8*Inputs!$B$7*Inputs!$B$34*$B$257*(1-Inputs!$B$15)/Inputs!$B$16,0)</f>
        <v>69.5340501792115</v>
      </c>
      <c r="AF271" s="33" t="n">
        <f aca="false">IF(Source_Data!AF$6=Inputs!$B$12,-Inputs!$B$7,0)+IF(AND(Source_Data!AF$6&gt;=$B$262,Source_Data!AF$6&lt;$B$262+3*Inputs!$B$16,MOD(Source_Data!AF$6-$B$262,3)=0),Inputs!$B$8*Inputs!$B$7*Inputs!$B$34*$B$257*(1-Inputs!$B$15)/Inputs!$B$16,0)</f>
        <v>0</v>
      </c>
      <c r="AG271" s="33" t="n">
        <f aca="false">IF(Source_Data!AG$6=Inputs!$B$12,-Inputs!$B$7,0)+IF(AND(Source_Data!AG$6&gt;=$B$262,Source_Data!AG$6&lt;$B$262+3*Inputs!$B$16,MOD(Source_Data!AG$6-$B$262,3)=0),Inputs!$B$8*Inputs!$B$7*Inputs!$B$34*$B$257*(1-Inputs!$B$15)/Inputs!$B$16,0)</f>
        <v>0</v>
      </c>
      <c r="AH271" s="33" t="n">
        <f aca="false">IF(Source_Data!AH$6=Inputs!$B$12,-Inputs!$B$7,0)+IF(AND(Source_Data!AH$6&gt;=$B$262,Source_Data!AH$6&lt;$B$262+3*Inputs!$B$16,MOD(Source_Data!AH$6-$B$262,3)=0),Inputs!$B$8*Inputs!$B$7*Inputs!$B$34*$B$257*(1-Inputs!$B$15)/Inputs!$B$16,0)</f>
        <v>0</v>
      </c>
      <c r="AI271" s="33" t="n">
        <f aca="false">IF(Source_Data!AI$6=Inputs!$B$12,-Inputs!$B$7,0)+IF(AND(Source_Data!AI$6&gt;=$B$262,Source_Data!AI$6&lt;$B$262+3*Inputs!$B$16,MOD(Source_Data!AI$6-$B$262,3)=0),Inputs!$B$8*Inputs!$B$7*Inputs!$B$34*$B$257*(1-Inputs!$B$15)/Inputs!$B$16,0)</f>
        <v>0</v>
      </c>
      <c r="AJ271" s="33" t="n">
        <f aca="false">IF(Source_Data!AJ$6=Inputs!$B$12,-Inputs!$B$7,0)+IF(AND(Source_Data!AJ$6&gt;=$B$262,Source_Data!AJ$6&lt;$B$262+3*Inputs!$B$16,MOD(Source_Data!AJ$6-$B$262,3)=0),Inputs!$B$8*Inputs!$B$7*Inputs!$B$34*$B$257*(1-Inputs!$B$15)/Inputs!$B$16,0)</f>
        <v>0</v>
      </c>
      <c r="AK271" s="33" t="n">
        <f aca="false">IF(Source_Data!AK$6=Inputs!$B$12,-Inputs!$B$7,0)+IF(AND(Source_Data!AK$6&gt;=$B$262,Source_Data!AK$6&lt;$B$262+3*Inputs!$B$16,MOD(Source_Data!AK$6-$B$262,3)=0),Inputs!$B$8*Inputs!$B$7*Inputs!$B$34*$B$257*(1-Inputs!$B$15)/Inputs!$B$16,0)</f>
        <v>0</v>
      </c>
      <c r="AL271" s="33" t="n">
        <f aca="false">IF(Source_Data!AL$6=Inputs!$B$12,-Inputs!$B$7,0)+IF(AND(Source_Data!AL$6&gt;=$B$262,Source_Data!AL$6&lt;$B$262+3*Inputs!$B$16,MOD(Source_Data!AL$6-$B$262,3)=0),Inputs!$B$8*Inputs!$B$7*Inputs!$B$34*$B$257*(1-Inputs!$B$15)/Inputs!$B$16,0)</f>
        <v>0</v>
      </c>
      <c r="AM271" s="33" t="n">
        <f aca="false">IF(Source_Data!AM$6=Inputs!$B$12,-Inputs!$B$7,0)+IF(AND(Source_Data!AM$6&gt;=$B$262,Source_Data!AM$6&lt;$B$262+3*Inputs!$B$16,MOD(Source_Data!AM$6-$B$262,3)=0),Inputs!$B$8*Inputs!$B$7*Inputs!$B$34*$B$257*(1-Inputs!$B$15)/Inputs!$B$16,0)</f>
        <v>0</v>
      </c>
      <c r="AN271" s="33" t="n">
        <f aca="false">IF(Source_Data!AN$6=Inputs!$B$12,-Inputs!$B$7,0)+IF(AND(Source_Data!AN$6&gt;=$B$262,Source_Data!AN$6&lt;$B$262+3*Inputs!$B$16,MOD(Source_Data!AN$6-$B$262,3)=0),Inputs!$B$8*Inputs!$B$7*Inputs!$B$34*$B$257*(1-Inputs!$B$15)/Inputs!$B$16,0)</f>
        <v>0</v>
      </c>
      <c r="AO271" s="33" t="n">
        <f aca="false">IF(Source_Data!AO$6=Inputs!$B$12,-Inputs!$B$7,0)+IF(AND(Source_Data!AO$6&gt;=$B$262,Source_Data!AO$6&lt;$B$262+3*Inputs!$B$16,MOD(Source_Data!AO$6-$B$262,3)=0),Inputs!$B$8*Inputs!$B$7*Inputs!$B$34*$B$257*(1-Inputs!$B$15)/Inputs!$B$16,0)</f>
        <v>0</v>
      </c>
      <c r="AP271" s="33" t="n">
        <f aca="false">IF(Source_Data!AP$6=Inputs!$B$12,-Inputs!$B$7,0)+IF(AND(Source_Data!AP$6&gt;=$B$262,Source_Data!AP$6&lt;$B$262+3*Inputs!$B$16,MOD(Source_Data!AP$6-$B$262,3)=0),Inputs!$B$8*Inputs!$B$7*Inputs!$B$34*$B$257*(1-Inputs!$B$15)/Inputs!$B$16,0)</f>
        <v>0</v>
      </c>
      <c r="AQ271" s="33" t="n">
        <f aca="false">IF(Source_Data!AQ$6=Inputs!$B$12,-Inputs!$B$7,0)+IF(AND(Source_Data!AQ$6&gt;=$B$262,Source_Data!AQ$6&lt;$B$262+3*Inputs!$B$16,MOD(Source_Data!AQ$6-$B$262,3)=0),Inputs!$B$8*Inputs!$B$7*Inputs!$B$34*$B$257*(1-Inputs!$B$15)/Inputs!$B$16,0)</f>
        <v>0</v>
      </c>
      <c r="AR271" s="33" t="n">
        <f aca="false">IF(Source_Data!AR$6=Inputs!$B$12,-Inputs!$B$7,0)+IF(AND(Source_Data!AR$6&gt;=$B$262,Source_Data!AR$6&lt;$B$262+3*Inputs!$B$16,MOD(Source_Data!AR$6-$B$262,3)=0),Inputs!$B$8*Inputs!$B$7*Inputs!$B$34*$B$257*(1-Inputs!$B$15)/Inputs!$B$16,0)</f>
        <v>0</v>
      </c>
      <c r="AS271" s="33" t="n">
        <f aca="false">IF(Source_Data!AS$6=Inputs!$B$12,-Inputs!$B$7,0)+IF(AND(Source_Data!AS$6&gt;=$B$262,Source_Data!AS$6&lt;$B$262+3*Inputs!$B$16,MOD(Source_Data!AS$6-$B$262,3)=0),Inputs!$B$8*Inputs!$B$7*Inputs!$B$34*$B$257*(1-Inputs!$B$15)/Inputs!$B$16,0)</f>
        <v>0</v>
      </c>
      <c r="AT271" s="33" t="n">
        <f aca="false">IF(Source_Data!AT$6=Inputs!$B$12,-Inputs!$B$7,0)+IF(AND(Source_Data!AT$6&gt;=$B$262,Source_Data!AT$6&lt;$B$262+3*Inputs!$B$16,MOD(Source_Data!AT$6-$B$262,3)=0),Inputs!$B$8*Inputs!$B$7*Inputs!$B$34*$B$257*(1-Inputs!$B$15)/Inputs!$B$16,0)</f>
        <v>0</v>
      </c>
      <c r="AU271" s="33" t="n">
        <f aca="false">IF(Source_Data!AU$6=Inputs!$B$12,-Inputs!$B$7,0)+IF(AND(Source_Data!AU$6&gt;=$B$262,Source_Data!AU$6&lt;$B$262+3*Inputs!$B$16,MOD(Source_Data!AU$6-$B$262,3)=0),Inputs!$B$8*Inputs!$B$7*Inputs!$B$34*$B$257*(1-Inputs!$B$15)/Inputs!$B$16,0)</f>
        <v>0</v>
      </c>
      <c r="AV271" s="33" t="n">
        <f aca="false">IF(Source_Data!AV$6=Inputs!$B$12,-Inputs!$B$7,0)+IF(AND(Source_Data!AV$6&gt;=$B$262,Source_Data!AV$6&lt;$B$262+3*Inputs!$B$16,MOD(Source_Data!AV$6-$B$262,3)=0),Inputs!$B$8*Inputs!$B$7*Inputs!$B$34*$B$257*(1-Inputs!$B$15)/Inputs!$B$16,0)</f>
        <v>0</v>
      </c>
      <c r="AW271" s="33" t="n">
        <f aca="false">IF(Source_Data!AW$6=Inputs!$B$12,-Inputs!$B$7,0)+IF(AND(Source_Data!AW$6&gt;=$B$262,Source_Data!AW$6&lt;$B$262+3*Inputs!$B$16,MOD(Source_Data!AW$6-$B$262,3)=0),Inputs!$B$8*Inputs!$B$7*Inputs!$B$34*$B$257*(1-Inputs!$B$15)/Inputs!$B$16,0)</f>
        <v>0</v>
      </c>
      <c r="AX271" s="33" t="n">
        <f aca="false">IF(Source_Data!AX$6=Inputs!$B$12,-Inputs!$B$7,0)+IF(AND(Source_Data!AX$6&gt;=$B$262,Source_Data!AX$6&lt;$B$262+3*Inputs!$B$16,MOD(Source_Data!AX$6-$B$262,3)=0),Inputs!$B$8*Inputs!$B$7*Inputs!$B$34*$B$257*(1-Inputs!$B$15)/Inputs!$B$16,0)</f>
        <v>0</v>
      </c>
      <c r="AY271" s="33" t="n">
        <f aca="false">IF(Source_Data!AY$6=Inputs!$B$12,-Inputs!$B$7,0)+IF(AND(Source_Data!AY$6&gt;=$B$262,Source_Data!AY$6&lt;$B$262+3*Inputs!$B$16,MOD(Source_Data!AY$6-$B$262,3)=0),Inputs!$B$8*Inputs!$B$7*Inputs!$B$34*$B$257*(1-Inputs!$B$15)/Inputs!$B$16,0)</f>
        <v>0</v>
      </c>
      <c r="AZ271" s="33" t="n">
        <f aca="false">IF(Source_Data!AZ$6=Inputs!$B$12,-Inputs!$B$7,0)+IF(AND(Source_Data!AZ$6&gt;=$B$262,Source_Data!AZ$6&lt;$B$262+3*Inputs!$B$16,MOD(Source_Data!AZ$6-$B$262,3)=0),Inputs!$B$8*Inputs!$B$7*Inputs!$B$34*$B$257*(1-Inputs!$B$15)/Inputs!$B$16,0)</f>
        <v>0</v>
      </c>
      <c r="BA271" s="33" t="n">
        <f aca="false">IF(Source_Data!BA$6=Inputs!$B$12,-Inputs!$B$7,0)+IF(AND(Source_Data!BA$6&gt;=$B$262,Source_Data!BA$6&lt;$B$262+3*Inputs!$B$16,MOD(Source_Data!BA$6-$B$262,3)=0),Inputs!$B$8*Inputs!$B$7*Inputs!$B$34*$B$257*(1-Inputs!$B$15)/Inputs!$B$16,0)</f>
        <v>0</v>
      </c>
      <c r="BB271" s="33" t="n">
        <f aca="false">IF(Source_Data!BB$6=Inputs!$B$12,-Inputs!$B$7,0)+IF(AND(Source_Data!BB$6&gt;=$B$262,Source_Data!BB$6&lt;$B$262+3*Inputs!$B$16,MOD(Source_Data!BB$6-$B$262,3)=0),Inputs!$B$8*Inputs!$B$7*Inputs!$B$34*$B$257*(1-Inputs!$B$15)/Inputs!$B$16,0)</f>
        <v>0</v>
      </c>
      <c r="BC271" s="33" t="n">
        <f aca="false">IF(Source_Data!BC$6=Inputs!$B$12,-Inputs!$B$7,0)+IF(AND(Source_Data!BC$6&gt;=$B$262,Source_Data!BC$6&lt;$B$262+3*Inputs!$B$16,MOD(Source_Data!BC$6-$B$262,3)=0),Inputs!$B$8*Inputs!$B$7*Inputs!$B$34*$B$257*(1-Inputs!$B$15)/Inputs!$B$16,0)</f>
        <v>0</v>
      </c>
      <c r="BD271" s="33" t="n">
        <f aca="false">IF(Source_Data!BD$6=Inputs!$B$12,-Inputs!$B$7,0)+IF(AND(Source_Data!BD$6&gt;=$B$262,Source_Data!BD$6&lt;$B$262+3*Inputs!$B$16,MOD(Source_Data!BD$6-$B$262,3)=0),Inputs!$B$8*Inputs!$B$7*Inputs!$B$34*$B$257*(1-Inputs!$B$15)/Inputs!$B$16,0)</f>
        <v>0</v>
      </c>
      <c r="BE271" s="33" t="n">
        <f aca="false">IF(Source_Data!BE$6=Inputs!$B$12,-Inputs!$B$7,0)+IF(AND(Source_Data!BE$6&gt;=$B$262,Source_Data!BE$6&lt;$B$262+3*Inputs!$B$16,MOD(Source_Data!BE$6-$B$262,3)=0),Inputs!$B$8*Inputs!$B$7*Inputs!$B$34*$B$257*(1-Inputs!$B$15)/Inputs!$B$16,0)</f>
        <v>0</v>
      </c>
      <c r="BF271" s="33" t="n">
        <f aca="false">IF(Source_Data!BF$6=Inputs!$B$12,-Inputs!$B$7,0)+IF(AND(Source_Data!BF$6&gt;=$B$262,Source_Data!BF$6&lt;$B$262+3*Inputs!$B$16,MOD(Source_Data!BF$6-$B$262,3)=0),Inputs!$B$8*Inputs!$B$7*Inputs!$B$34*$B$257*(1-Inputs!$B$15)/Inputs!$B$16,0)</f>
        <v>0</v>
      </c>
      <c r="BG271" s="33" t="n">
        <f aca="false">IF(Source_Data!BG$6=Inputs!$B$12,-Inputs!$B$7,0)+IF(AND(Source_Data!BG$6&gt;=$B$262,Source_Data!BG$6&lt;$B$262+3*Inputs!$B$16,MOD(Source_Data!BG$6-$B$262,3)=0),Inputs!$B$8*Inputs!$B$7*Inputs!$B$34*$B$257*(1-Inputs!$B$15)/Inputs!$B$16,0)</f>
        <v>0</v>
      </c>
      <c r="BH271" s="33" t="n">
        <f aca="false">IF(Source_Data!BH$6=Inputs!$B$12,-Inputs!$B$7,0)+IF(AND(Source_Data!BH$6&gt;=$B$262,Source_Data!BH$6&lt;$B$262+3*Inputs!$B$16,MOD(Source_Data!BH$6-$B$262,3)=0),Inputs!$B$8*Inputs!$B$7*Inputs!$B$34*$B$257*(1-Inputs!$B$15)/Inputs!$B$16,0)</f>
        <v>0</v>
      </c>
      <c r="BI271" s="33" t="n">
        <f aca="false">IF(Source_Data!BI$6=Inputs!$B$12,-Inputs!$B$7,0)+IF(AND(Source_Data!BI$6&gt;=$B$262,Source_Data!BI$6&lt;$B$262+3*Inputs!$B$16,MOD(Source_Data!BI$6-$B$262,3)=0),Inputs!$B$8*Inputs!$B$7*Inputs!$B$34*$B$257*(1-Inputs!$B$15)/Inputs!$B$16,0)</f>
        <v>0</v>
      </c>
      <c r="BJ271" s="33" t="n">
        <f aca="false">IF(Source_Data!BJ$6=Inputs!$B$12,-Inputs!$B$7,0)+IF(AND(Source_Data!BJ$6&gt;=$B$262,Source_Data!BJ$6&lt;$B$262+3*Inputs!$B$16,MOD(Source_Data!BJ$6-$B$262,3)=0),Inputs!$B$8*Inputs!$B$7*Inputs!$B$34*$B$257*(1-Inputs!$B$15)/Inputs!$B$16,0)</f>
        <v>0</v>
      </c>
      <c r="BK271" s="33" t="n">
        <f aca="false">IF(Source_Data!BK$6=Inputs!$B$12,-Inputs!$B$7,0)+IF(AND(Source_Data!BK$6&gt;=$B$262,Source_Data!BK$6&lt;$B$262+3*Inputs!$B$16,MOD(Source_Data!BK$6-$B$262,3)=0),Inputs!$B$8*Inputs!$B$7*Inputs!$B$34*$B$257*(1-Inputs!$B$15)/Inputs!$B$16,0)</f>
        <v>0</v>
      </c>
    </row>
    <row r="272" customFormat="false" ht="15" hidden="false" customHeight="false" outlineLevel="0" collapsed="false">
      <c r="A272" s="3" t="s">
        <v>341</v>
      </c>
      <c r="D272" s="33" t="n">
        <f aca="false">IF(AND(Source_Data!D$6&gt;=Inputs!$B$54,Source_Data!D$6&lt;Inputs!$B$54+3*Inputs!$B$11),Inputs!$B$9*Inputs!$B$7/Inputs!$B$11,0)</f>
        <v>0</v>
      </c>
      <c r="E272" s="33" t="n">
        <f aca="false">IF(AND(Source_Data!E$6&gt;=Inputs!$B$54,Source_Data!E$6&lt;Inputs!$B$54+3*Inputs!$B$11),Inputs!$B$9*Inputs!$B$7/Inputs!$B$11,0)</f>
        <v>0</v>
      </c>
      <c r="F272" s="33" t="n">
        <f aca="false">IF(AND(Source_Data!F$6&gt;=Inputs!$B$54,Source_Data!F$6&lt;Inputs!$B$54+3*Inputs!$B$11),Inputs!$B$9*Inputs!$B$7/Inputs!$B$11,0)</f>
        <v>0</v>
      </c>
      <c r="G272" s="33" t="n">
        <f aca="false">IF(AND(Source_Data!G$6&gt;=Inputs!$B$54,Source_Data!G$6&lt;Inputs!$B$54+3*Inputs!$B$11),Inputs!$B$9*Inputs!$B$7/Inputs!$B$11,0)</f>
        <v>0</v>
      </c>
      <c r="H272" s="33" t="n">
        <f aca="false">IF(AND(Source_Data!H$6&gt;=Inputs!$B$54,Source_Data!H$6&lt;Inputs!$B$54+3*Inputs!$B$11),Inputs!$B$9*Inputs!$B$7/Inputs!$B$11,0)</f>
        <v>0</v>
      </c>
      <c r="I272" s="33" t="n">
        <f aca="false">IF(AND(Source_Data!I$6&gt;=Inputs!$B$54,Source_Data!I$6&lt;Inputs!$B$54+3*Inputs!$B$11),Inputs!$B$9*Inputs!$B$7/Inputs!$B$11,0)</f>
        <v>0</v>
      </c>
      <c r="J272" s="33" t="n">
        <f aca="false">IF(AND(Source_Data!J$6&gt;=Inputs!$B$54,Source_Data!J$6&lt;Inputs!$B$54+3*Inputs!$B$11),Inputs!$B$9*Inputs!$B$7/Inputs!$B$11,0)</f>
        <v>0</v>
      </c>
      <c r="K272" s="33" t="n">
        <f aca="false">IF(AND(Source_Data!K$6&gt;=Inputs!$B$54,Source_Data!K$6&lt;Inputs!$B$54+3*Inputs!$B$11),Inputs!$B$9*Inputs!$B$7/Inputs!$B$11,0)</f>
        <v>0</v>
      </c>
      <c r="L272" s="33" t="n">
        <f aca="false">IF(AND(Source_Data!L$6&gt;=Inputs!$B$54,Source_Data!L$6&lt;Inputs!$B$54+3*Inputs!$B$11),Inputs!$B$9*Inputs!$B$7/Inputs!$B$11,0)</f>
        <v>0</v>
      </c>
      <c r="M272" s="33" t="n">
        <f aca="false">IF(AND(Source_Data!M$6&gt;=Inputs!$B$54,Source_Data!M$6&lt;Inputs!$B$54+3*Inputs!$B$11),Inputs!$B$9*Inputs!$B$7/Inputs!$B$11,0)</f>
        <v>19.1666666666667</v>
      </c>
      <c r="N272" s="33" t="n">
        <f aca="false">IF(AND(Source_Data!N$6&gt;=Inputs!$B$54,Source_Data!N$6&lt;Inputs!$B$54+3*Inputs!$B$11),Inputs!$B$9*Inputs!$B$7/Inputs!$B$11,0)</f>
        <v>19.1666666666667</v>
      </c>
      <c r="O272" s="33" t="n">
        <f aca="false">IF(AND(Source_Data!O$6&gt;=Inputs!$B$54,Source_Data!O$6&lt;Inputs!$B$54+3*Inputs!$B$11),Inputs!$B$9*Inputs!$B$7/Inputs!$B$11,0)</f>
        <v>19.1666666666667</v>
      </c>
      <c r="P272" s="33" t="n">
        <f aca="false">IF(AND(Source_Data!P$6&gt;=Inputs!$B$54,Source_Data!P$6&lt;Inputs!$B$54+3*Inputs!$B$11),Inputs!$B$9*Inputs!$B$7/Inputs!$B$11,0)</f>
        <v>19.1666666666667</v>
      </c>
      <c r="Q272" s="33" t="n">
        <f aca="false">IF(AND(Source_Data!Q$6&gt;=Inputs!$B$54,Source_Data!Q$6&lt;Inputs!$B$54+3*Inputs!$B$11),Inputs!$B$9*Inputs!$B$7/Inputs!$B$11,0)</f>
        <v>19.1666666666667</v>
      </c>
      <c r="R272" s="33" t="n">
        <f aca="false">IF(AND(Source_Data!R$6&gt;=Inputs!$B$54,Source_Data!R$6&lt;Inputs!$B$54+3*Inputs!$B$11),Inputs!$B$9*Inputs!$B$7/Inputs!$B$11,0)</f>
        <v>19.1666666666667</v>
      </c>
      <c r="S272" s="33" t="n">
        <f aca="false">IF(AND(Source_Data!S$6&gt;=Inputs!$B$54,Source_Data!S$6&lt;Inputs!$B$54+3*Inputs!$B$11),Inputs!$B$9*Inputs!$B$7/Inputs!$B$11,0)</f>
        <v>19.1666666666667</v>
      </c>
      <c r="T272" s="33" t="n">
        <f aca="false">IF(AND(Source_Data!T$6&gt;=Inputs!$B$54,Source_Data!T$6&lt;Inputs!$B$54+3*Inputs!$B$11),Inputs!$B$9*Inputs!$B$7/Inputs!$B$11,0)</f>
        <v>19.1666666666667</v>
      </c>
      <c r="U272" s="33" t="n">
        <f aca="false">IF(AND(Source_Data!U$6&gt;=Inputs!$B$54,Source_Data!U$6&lt;Inputs!$B$54+3*Inputs!$B$11),Inputs!$B$9*Inputs!$B$7/Inputs!$B$11,0)</f>
        <v>19.1666666666667</v>
      </c>
      <c r="V272" s="33" t="n">
        <f aca="false">IF(AND(Source_Data!V$6&gt;=Inputs!$B$54,Source_Data!V$6&lt;Inputs!$B$54+3*Inputs!$B$11),Inputs!$B$9*Inputs!$B$7/Inputs!$B$11,0)</f>
        <v>19.1666666666667</v>
      </c>
      <c r="W272" s="33" t="n">
        <f aca="false">IF(AND(Source_Data!W$6&gt;=Inputs!$B$54,Source_Data!W$6&lt;Inputs!$B$54+3*Inputs!$B$11),Inputs!$B$9*Inputs!$B$7/Inputs!$B$11,0)</f>
        <v>19.1666666666667</v>
      </c>
      <c r="X272" s="33" t="n">
        <f aca="false">IF(AND(Source_Data!X$6&gt;=Inputs!$B$54,Source_Data!X$6&lt;Inputs!$B$54+3*Inputs!$B$11),Inputs!$B$9*Inputs!$B$7/Inputs!$B$11,0)</f>
        <v>19.1666666666667</v>
      </c>
      <c r="Y272" s="33" t="n">
        <f aca="false">IF(AND(Source_Data!Y$6&gt;=Inputs!$B$54,Source_Data!Y$6&lt;Inputs!$B$54+3*Inputs!$B$11),Inputs!$B$9*Inputs!$B$7/Inputs!$B$11,0)</f>
        <v>0</v>
      </c>
      <c r="Z272" s="33" t="n">
        <f aca="false">IF(AND(Source_Data!Z$6&gt;=Inputs!$B$54,Source_Data!Z$6&lt;Inputs!$B$54+3*Inputs!$B$11),Inputs!$B$9*Inputs!$B$7/Inputs!$B$11,0)</f>
        <v>0</v>
      </c>
      <c r="AA272" s="33" t="n">
        <f aca="false">IF(AND(Source_Data!AA$6&gt;=Inputs!$B$54,Source_Data!AA$6&lt;Inputs!$B$54+3*Inputs!$B$11),Inputs!$B$9*Inputs!$B$7/Inputs!$B$11,0)</f>
        <v>0</v>
      </c>
      <c r="AB272" s="33" t="n">
        <f aca="false">IF(AND(Source_Data!AB$6&gt;=Inputs!$B$54,Source_Data!AB$6&lt;Inputs!$B$54+3*Inputs!$B$11),Inputs!$B$9*Inputs!$B$7/Inputs!$B$11,0)</f>
        <v>0</v>
      </c>
      <c r="AC272" s="33" t="n">
        <f aca="false">IF(AND(Source_Data!AC$6&gt;=Inputs!$B$54,Source_Data!AC$6&lt;Inputs!$B$54+3*Inputs!$B$11),Inputs!$B$9*Inputs!$B$7/Inputs!$B$11,0)</f>
        <v>0</v>
      </c>
      <c r="AD272" s="33" t="n">
        <f aca="false">IF(AND(Source_Data!AD$6&gt;=Inputs!$B$54,Source_Data!AD$6&lt;Inputs!$B$54+3*Inputs!$B$11),Inputs!$B$9*Inputs!$B$7/Inputs!$B$11,0)</f>
        <v>0</v>
      </c>
      <c r="AE272" s="33" t="n">
        <f aca="false">IF(AND(Source_Data!AE$6&gt;=Inputs!$B$54,Source_Data!AE$6&lt;Inputs!$B$54+3*Inputs!$B$11),Inputs!$B$9*Inputs!$B$7/Inputs!$B$11,0)</f>
        <v>0</v>
      </c>
      <c r="AF272" s="33" t="n">
        <f aca="false">IF(AND(Source_Data!AF$6&gt;=Inputs!$B$54,Source_Data!AF$6&lt;Inputs!$B$54+3*Inputs!$B$11),Inputs!$B$9*Inputs!$B$7/Inputs!$B$11,0)</f>
        <v>0</v>
      </c>
      <c r="AG272" s="33" t="n">
        <f aca="false">IF(AND(Source_Data!AG$6&gt;=Inputs!$B$54,Source_Data!AG$6&lt;Inputs!$B$54+3*Inputs!$B$11),Inputs!$B$9*Inputs!$B$7/Inputs!$B$11,0)</f>
        <v>0</v>
      </c>
      <c r="AH272" s="33" t="n">
        <f aca="false">IF(AND(Source_Data!AH$6&gt;=Inputs!$B$54,Source_Data!AH$6&lt;Inputs!$B$54+3*Inputs!$B$11),Inputs!$B$9*Inputs!$B$7/Inputs!$B$11,0)</f>
        <v>0</v>
      </c>
      <c r="AI272" s="33" t="n">
        <f aca="false">IF(AND(Source_Data!AI$6&gt;=Inputs!$B$54,Source_Data!AI$6&lt;Inputs!$B$54+3*Inputs!$B$11),Inputs!$B$9*Inputs!$B$7/Inputs!$B$11,0)</f>
        <v>0</v>
      </c>
      <c r="AJ272" s="33" t="n">
        <f aca="false">IF(AND(Source_Data!AJ$6&gt;=Inputs!$B$54,Source_Data!AJ$6&lt;Inputs!$B$54+3*Inputs!$B$11),Inputs!$B$9*Inputs!$B$7/Inputs!$B$11,0)</f>
        <v>0</v>
      </c>
      <c r="AK272" s="33" t="n">
        <f aca="false">IF(AND(Source_Data!AK$6&gt;=Inputs!$B$54,Source_Data!AK$6&lt;Inputs!$B$54+3*Inputs!$B$11),Inputs!$B$9*Inputs!$B$7/Inputs!$B$11,0)</f>
        <v>0</v>
      </c>
      <c r="AL272" s="33" t="n">
        <f aca="false">IF(AND(Source_Data!AL$6&gt;=Inputs!$B$54,Source_Data!AL$6&lt;Inputs!$B$54+3*Inputs!$B$11),Inputs!$B$9*Inputs!$B$7/Inputs!$B$11,0)</f>
        <v>0</v>
      </c>
      <c r="AM272" s="33" t="n">
        <f aca="false">IF(AND(Source_Data!AM$6&gt;=Inputs!$B$54,Source_Data!AM$6&lt;Inputs!$B$54+3*Inputs!$B$11),Inputs!$B$9*Inputs!$B$7/Inputs!$B$11,0)</f>
        <v>0</v>
      </c>
      <c r="AN272" s="33" t="n">
        <f aca="false">IF(AND(Source_Data!AN$6&gt;=Inputs!$B$54,Source_Data!AN$6&lt;Inputs!$B$54+3*Inputs!$B$11),Inputs!$B$9*Inputs!$B$7/Inputs!$B$11,0)</f>
        <v>0</v>
      </c>
      <c r="AO272" s="33" t="n">
        <f aca="false">IF(AND(Source_Data!AO$6&gt;=Inputs!$B$54,Source_Data!AO$6&lt;Inputs!$B$54+3*Inputs!$B$11),Inputs!$B$9*Inputs!$B$7/Inputs!$B$11,0)</f>
        <v>0</v>
      </c>
      <c r="AP272" s="33" t="n">
        <f aca="false">IF(AND(Source_Data!AP$6&gt;=Inputs!$B$54,Source_Data!AP$6&lt;Inputs!$B$54+3*Inputs!$B$11),Inputs!$B$9*Inputs!$B$7/Inputs!$B$11,0)</f>
        <v>0</v>
      </c>
      <c r="AQ272" s="33" t="n">
        <f aca="false">IF(AND(Source_Data!AQ$6&gt;=Inputs!$B$54,Source_Data!AQ$6&lt;Inputs!$B$54+3*Inputs!$B$11),Inputs!$B$9*Inputs!$B$7/Inputs!$B$11,0)</f>
        <v>0</v>
      </c>
      <c r="AR272" s="33" t="n">
        <f aca="false">IF(AND(Source_Data!AR$6&gt;=Inputs!$B$54,Source_Data!AR$6&lt;Inputs!$B$54+3*Inputs!$B$11),Inputs!$B$9*Inputs!$B$7/Inputs!$B$11,0)</f>
        <v>0</v>
      </c>
      <c r="AS272" s="33" t="n">
        <f aca="false">IF(AND(Source_Data!AS$6&gt;=Inputs!$B$54,Source_Data!AS$6&lt;Inputs!$B$54+3*Inputs!$B$11),Inputs!$B$9*Inputs!$B$7/Inputs!$B$11,0)</f>
        <v>0</v>
      </c>
      <c r="AT272" s="33" t="n">
        <f aca="false">IF(AND(Source_Data!AT$6&gt;=Inputs!$B$54,Source_Data!AT$6&lt;Inputs!$B$54+3*Inputs!$B$11),Inputs!$B$9*Inputs!$B$7/Inputs!$B$11,0)</f>
        <v>0</v>
      </c>
      <c r="AU272" s="33" t="n">
        <f aca="false">IF(AND(Source_Data!AU$6&gt;=Inputs!$B$54,Source_Data!AU$6&lt;Inputs!$B$54+3*Inputs!$B$11),Inputs!$B$9*Inputs!$B$7/Inputs!$B$11,0)</f>
        <v>0</v>
      </c>
      <c r="AV272" s="33" t="n">
        <f aca="false">IF(AND(Source_Data!AV$6&gt;=Inputs!$B$54,Source_Data!AV$6&lt;Inputs!$B$54+3*Inputs!$B$11),Inputs!$B$9*Inputs!$B$7/Inputs!$B$11,0)</f>
        <v>0</v>
      </c>
      <c r="AW272" s="33" t="n">
        <f aca="false">IF(AND(Source_Data!AW$6&gt;=Inputs!$B$54,Source_Data!AW$6&lt;Inputs!$B$54+3*Inputs!$B$11),Inputs!$B$9*Inputs!$B$7/Inputs!$B$11,0)</f>
        <v>0</v>
      </c>
      <c r="AX272" s="33" t="n">
        <f aca="false">IF(AND(Source_Data!AX$6&gt;=Inputs!$B$54,Source_Data!AX$6&lt;Inputs!$B$54+3*Inputs!$B$11),Inputs!$B$9*Inputs!$B$7/Inputs!$B$11,0)</f>
        <v>0</v>
      </c>
      <c r="AY272" s="33" t="n">
        <f aca="false">IF(AND(Source_Data!AY$6&gt;=Inputs!$B$54,Source_Data!AY$6&lt;Inputs!$B$54+3*Inputs!$B$11),Inputs!$B$9*Inputs!$B$7/Inputs!$B$11,0)</f>
        <v>0</v>
      </c>
      <c r="AZ272" s="33" t="n">
        <f aca="false">IF(AND(Source_Data!AZ$6&gt;=Inputs!$B$54,Source_Data!AZ$6&lt;Inputs!$B$54+3*Inputs!$B$11),Inputs!$B$9*Inputs!$B$7/Inputs!$B$11,0)</f>
        <v>0</v>
      </c>
      <c r="BA272" s="33" t="n">
        <f aca="false">IF(AND(Source_Data!BA$6&gt;=Inputs!$B$54,Source_Data!BA$6&lt;Inputs!$B$54+3*Inputs!$B$11),Inputs!$B$9*Inputs!$B$7/Inputs!$B$11,0)</f>
        <v>0</v>
      </c>
      <c r="BB272" s="33" t="n">
        <f aca="false">IF(AND(Source_Data!BB$6&gt;=Inputs!$B$54,Source_Data!BB$6&lt;Inputs!$B$54+3*Inputs!$B$11),Inputs!$B$9*Inputs!$B$7/Inputs!$B$11,0)</f>
        <v>0</v>
      </c>
      <c r="BC272" s="33" t="n">
        <f aca="false">IF(AND(Source_Data!BC$6&gt;=Inputs!$B$54,Source_Data!BC$6&lt;Inputs!$B$54+3*Inputs!$B$11),Inputs!$B$9*Inputs!$B$7/Inputs!$B$11,0)</f>
        <v>0</v>
      </c>
      <c r="BD272" s="33" t="n">
        <f aca="false">IF(AND(Source_Data!BD$6&gt;=Inputs!$B$54,Source_Data!BD$6&lt;Inputs!$B$54+3*Inputs!$B$11),Inputs!$B$9*Inputs!$B$7/Inputs!$B$11,0)</f>
        <v>0</v>
      </c>
      <c r="BE272" s="33" t="n">
        <f aca="false">IF(AND(Source_Data!BE$6&gt;=Inputs!$B$54,Source_Data!BE$6&lt;Inputs!$B$54+3*Inputs!$B$11),Inputs!$B$9*Inputs!$B$7/Inputs!$B$11,0)</f>
        <v>0</v>
      </c>
      <c r="BF272" s="33" t="n">
        <f aca="false">IF(AND(Source_Data!BF$6&gt;=Inputs!$B$54,Source_Data!BF$6&lt;Inputs!$B$54+3*Inputs!$B$11),Inputs!$B$9*Inputs!$B$7/Inputs!$B$11,0)</f>
        <v>0</v>
      </c>
      <c r="BG272" s="33" t="n">
        <f aca="false">IF(AND(Source_Data!BG$6&gt;=Inputs!$B$54,Source_Data!BG$6&lt;Inputs!$B$54+3*Inputs!$B$11),Inputs!$B$9*Inputs!$B$7/Inputs!$B$11,0)</f>
        <v>0</v>
      </c>
      <c r="BH272" s="33" t="n">
        <f aca="false">IF(AND(Source_Data!BH$6&gt;=Inputs!$B$54,Source_Data!BH$6&lt;Inputs!$B$54+3*Inputs!$B$11),Inputs!$B$9*Inputs!$B$7/Inputs!$B$11,0)</f>
        <v>0</v>
      </c>
      <c r="BI272" s="33" t="n">
        <f aca="false">IF(AND(Source_Data!BI$6&gt;=Inputs!$B$54,Source_Data!BI$6&lt;Inputs!$B$54+3*Inputs!$B$11),Inputs!$B$9*Inputs!$B$7/Inputs!$B$11,0)</f>
        <v>0</v>
      </c>
      <c r="BJ272" s="33" t="n">
        <f aca="false">IF(AND(Source_Data!BJ$6&gt;=Inputs!$B$54,Source_Data!BJ$6&lt;Inputs!$B$54+3*Inputs!$B$11),Inputs!$B$9*Inputs!$B$7/Inputs!$B$11,0)</f>
        <v>0</v>
      </c>
      <c r="BK272" s="33" t="n">
        <f aca="false">IF(AND(Source_Data!BK$6&gt;=Inputs!$B$54,Source_Data!BK$6&lt;Inputs!$B$54+3*Inputs!$B$11),Inputs!$B$9*Inputs!$B$7/Inputs!$B$11,0)</f>
        <v>0</v>
      </c>
    </row>
    <row r="273" customFormat="false" ht="15" hidden="false" customHeight="false" outlineLevel="0" collapsed="false">
      <c r="A273" s="3" t="s">
        <v>342</v>
      </c>
      <c r="D273" s="33" t="n">
        <f aca="false">IF(Source_Data!D$6=Inputs!$B$12,-Inputs!$B$7,0)+D272</f>
        <v>-100</v>
      </c>
      <c r="E273" s="33" t="n">
        <f aca="false">IF(Source_Data!E$6=Inputs!$B$12,-Inputs!$B$7,0)+E272</f>
        <v>0</v>
      </c>
      <c r="F273" s="33" t="n">
        <f aca="false">IF(Source_Data!F$6=Inputs!$B$12,-Inputs!$B$7,0)+F272</f>
        <v>0</v>
      </c>
      <c r="G273" s="33" t="n">
        <f aca="false">IF(Source_Data!G$6=Inputs!$B$12,-Inputs!$B$7,0)+G272</f>
        <v>0</v>
      </c>
      <c r="H273" s="33" t="n">
        <f aca="false">IF(Source_Data!H$6=Inputs!$B$12,-Inputs!$B$7,0)+H272</f>
        <v>0</v>
      </c>
      <c r="I273" s="33" t="n">
        <f aca="false">IF(Source_Data!I$6=Inputs!$B$12,-Inputs!$B$7,0)+I272</f>
        <v>0</v>
      </c>
      <c r="J273" s="33" t="n">
        <f aca="false">IF(Source_Data!J$6=Inputs!$B$12,-Inputs!$B$7,0)+J272</f>
        <v>0</v>
      </c>
      <c r="K273" s="33" t="n">
        <f aca="false">IF(Source_Data!K$6=Inputs!$B$12,-Inputs!$B$7,0)+K272</f>
        <v>0</v>
      </c>
      <c r="L273" s="33" t="n">
        <f aca="false">IF(Source_Data!L$6=Inputs!$B$12,-Inputs!$B$7,0)+L272</f>
        <v>0</v>
      </c>
      <c r="M273" s="33" t="n">
        <f aca="false">IF(Source_Data!M$6=Inputs!$B$12,-Inputs!$B$7,0)+M272</f>
        <v>19.1666666666667</v>
      </c>
      <c r="N273" s="33" t="n">
        <f aca="false">IF(Source_Data!N$6=Inputs!$B$12,-Inputs!$B$7,0)+N272</f>
        <v>19.1666666666667</v>
      </c>
      <c r="O273" s="33" t="n">
        <f aca="false">IF(Source_Data!O$6=Inputs!$B$12,-Inputs!$B$7,0)+O272</f>
        <v>19.1666666666667</v>
      </c>
      <c r="P273" s="33" t="n">
        <f aca="false">IF(Source_Data!P$6=Inputs!$B$12,-Inputs!$B$7,0)+P272</f>
        <v>19.1666666666667</v>
      </c>
      <c r="Q273" s="33" t="n">
        <f aca="false">IF(Source_Data!Q$6=Inputs!$B$12,-Inputs!$B$7,0)+Q272</f>
        <v>19.1666666666667</v>
      </c>
      <c r="R273" s="33" t="n">
        <f aca="false">IF(Source_Data!R$6=Inputs!$B$12,-Inputs!$B$7,0)+R272</f>
        <v>19.1666666666667</v>
      </c>
      <c r="S273" s="33" t="n">
        <f aca="false">IF(Source_Data!S$6=Inputs!$B$12,-Inputs!$B$7,0)+S272</f>
        <v>19.1666666666667</v>
      </c>
      <c r="T273" s="33" t="n">
        <f aca="false">IF(Source_Data!T$6=Inputs!$B$12,-Inputs!$B$7,0)+T272</f>
        <v>19.1666666666667</v>
      </c>
      <c r="U273" s="33" t="n">
        <f aca="false">IF(Source_Data!U$6=Inputs!$B$12,-Inputs!$B$7,0)+U272</f>
        <v>19.1666666666667</v>
      </c>
      <c r="V273" s="33" t="n">
        <f aca="false">IF(Source_Data!V$6=Inputs!$B$12,-Inputs!$B$7,0)+V272</f>
        <v>19.1666666666667</v>
      </c>
      <c r="W273" s="33" t="n">
        <f aca="false">IF(Source_Data!W$6=Inputs!$B$12,-Inputs!$B$7,0)+W272</f>
        <v>19.1666666666667</v>
      </c>
      <c r="X273" s="33" t="n">
        <f aca="false">IF(Source_Data!X$6=Inputs!$B$12,-Inputs!$B$7,0)+X272</f>
        <v>19.1666666666667</v>
      </c>
      <c r="Y273" s="33" t="n">
        <f aca="false">IF(Source_Data!Y$6=Inputs!$B$12,-Inputs!$B$7,0)+Y272</f>
        <v>0</v>
      </c>
      <c r="Z273" s="33" t="n">
        <f aca="false">IF(Source_Data!Z$6=Inputs!$B$12,-Inputs!$B$7,0)+Z272</f>
        <v>0</v>
      </c>
      <c r="AA273" s="33" t="n">
        <f aca="false">IF(Source_Data!AA$6=Inputs!$B$12,-Inputs!$B$7,0)+AA272</f>
        <v>0</v>
      </c>
      <c r="AB273" s="33" t="n">
        <f aca="false">IF(Source_Data!AB$6=Inputs!$B$12,-Inputs!$B$7,0)+AB272</f>
        <v>0</v>
      </c>
      <c r="AC273" s="33" t="n">
        <f aca="false">IF(Source_Data!AC$6=Inputs!$B$12,-Inputs!$B$7,0)+AC272</f>
        <v>0</v>
      </c>
      <c r="AD273" s="33" t="n">
        <f aca="false">IF(Source_Data!AD$6=Inputs!$B$12,-Inputs!$B$7,0)+AD272</f>
        <v>0</v>
      </c>
      <c r="AE273" s="33" t="n">
        <f aca="false">IF(Source_Data!AE$6=Inputs!$B$12,-Inputs!$B$7,0)+AE272</f>
        <v>0</v>
      </c>
      <c r="AF273" s="33" t="n">
        <f aca="false">IF(Source_Data!AF$6=Inputs!$B$12,-Inputs!$B$7,0)+AF272</f>
        <v>0</v>
      </c>
      <c r="AG273" s="33" t="n">
        <f aca="false">IF(Source_Data!AG$6=Inputs!$B$12,-Inputs!$B$7,0)+AG272</f>
        <v>0</v>
      </c>
      <c r="AH273" s="33" t="n">
        <f aca="false">IF(Source_Data!AH$6=Inputs!$B$12,-Inputs!$B$7,0)+AH272</f>
        <v>0</v>
      </c>
      <c r="AI273" s="33" t="n">
        <f aca="false">IF(Source_Data!AI$6=Inputs!$B$12,-Inputs!$B$7,0)+AI272</f>
        <v>0</v>
      </c>
      <c r="AJ273" s="33" t="n">
        <f aca="false">IF(Source_Data!AJ$6=Inputs!$B$12,-Inputs!$B$7,0)+AJ272</f>
        <v>0</v>
      </c>
      <c r="AK273" s="33" t="n">
        <f aca="false">IF(Source_Data!AK$6=Inputs!$B$12,-Inputs!$B$7,0)+AK272</f>
        <v>0</v>
      </c>
      <c r="AL273" s="33" t="n">
        <f aca="false">IF(Source_Data!AL$6=Inputs!$B$12,-Inputs!$B$7,0)+AL272</f>
        <v>0</v>
      </c>
      <c r="AM273" s="33" t="n">
        <f aca="false">IF(Source_Data!AM$6=Inputs!$B$12,-Inputs!$B$7,0)+AM272</f>
        <v>0</v>
      </c>
      <c r="AN273" s="33" t="n">
        <f aca="false">IF(Source_Data!AN$6=Inputs!$B$12,-Inputs!$B$7,0)+AN272</f>
        <v>0</v>
      </c>
      <c r="AO273" s="33" t="n">
        <f aca="false">IF(Source_Data!AO$6=Inputs!$B$12,-Inputs!$B$7,0)+AO272</f>
        <v>0</v>
      </c>
      <c r="AP273" s="33" t="n">
        <f aca="false">IF(Source_Data!AP$6=Inputs!$B$12,-Inputs!$B$7,0)+AP272</f>
        <v>0</v>
      </c>
      <c r="AQ273" s="33" t="n">
        <f aca="false">IF(Source_Data!AQ$6=Inputs!$B$12,-Inputs!$B$7,0)+AQ272</f>
        <v>0</v>
      </c>
      <c r="AR273" s="33" t="n">
        <f aca="false">IF(Source_Data!AR$6=Inputs!$B$12,-Inputs!$B$7,0)+AR272</f>
        <v>0</v>
      </c>
      <c r="AS273" s="33" t="n">
        <f aca="false">IF(Source_Data!AS$6=Inputs!$B$12,-Inputs!$B$7,0)+AS272</f>
        <v>0</v>
      </c>
      <c r="AT273" s="33" t="n">
        <f aca="false">IF(Source_Data!AT$6=Inputs!$B$12,-Inputs!$B$7,0)+AT272</f>
        <v>0</v>
      </c>
      <c r="AU273" s="33" t="n">
        <f aca="false">IF(Source_Data!AU$6=Inputs!$B$12,-Inputs!$B$7,0)+AU272</f>
        <v>0</v>
      </c>
      <c r="AV273" s="33" t="n">
        <f aca="false">IF(Source_Data!AV$6=Inputs!$B$12,-Inputs!$B$7,0)+AV272</f>
        <v>0</v>
      </c>
      <c r="AW273" s="33" t="n">
        <f aca="false">IF(Source_Data!AW$6=Inputs!$B$12,-Inputs!$B$7,0)+AW272</f>
        <v>0</v>
      </c>
      <c r="AX273" s="33" t="n">
        <f aca="false">IF(Source_Data!AX$6=Inputs!$B$12,-Inputs!$B$7,0)+AX272</f>
        <v>0</v>
      </c>
      <c r="AY273" s="33" t="n">
        <f aca="false">IF(Source_Data!AY$6=Inputs!$B$12,-Inputs!$B$7,0)+AY272</f>
        <v>0</v>
      </c>
      <c r="AZ273" s="33" t="n">
        <f aca="false">IF(Source_Data!AZ$6=Inputs!$B$12,-Inputs!$B$7,0)+AZ272</f>
        <v>0</v>
      </c>
      <c r="BA273" s="33" t="n">
        <f aca="false">IF(Source_Data!BA$6=Inputs!$B$12,-Inputs!$B$7,0)+BA272</f>
        <v>0</v>
      </c>
      <c r="BB273" s="33" t="n">
        <f aca="false">IF(Source_Data!BB$6=Inputs!$B$12,-Inputs!$B$7,0)+BB272</f>
        <v>0</v>
      </c>
      <c r="BC273" s="33" t="n">
        <f aca="false">IF(Source_Data!BC$6=Inputs!$B$12,-Inputs!$B$7,0)+BC272</f>
        <v>0</v>
      </c>
      <c r="BD273" s="33" t="n">
        <f aca="false">IF(Source_Data!BD$6=Inputs!$B$12,-Inputs!$B$7,0)+BD272</f>
        <v>0</v>
      </c>
      <c r="BE273" s="33" t="n">
        <f aca="false">IF(Source_Data!BE$6=Inputs!$B$12,-Inputs!$B$7,0)+BE272</f>
        <v>0</v>
      </c>
      <c r="BF273" s="33" t="n">
        <f aca="false">IF(Source_Data!BF$6=Inputs!$B$12,-Inputs!$B$7,0)+BF272</f>
        <v>0</v>
      </c>
      <c r="BG273" s="33" t="n">
        <f aca="false">IF(Source_Data!BG$6=Inputs!$B$12,-Inputs!$B$7,0)+BG272</f>
        <v>0</v>
      </c>
      <c r="BH273" s="33" t="n">
        <f aca="false">IF(Source_Data!BH$6=Inputs!$B$12,-Inputs!$B$7,0)+BH272</f>
        <v>0</v>
      </c>
      <c r="BI273" s="33" t="n">
        <f aca="false">IF(Source_Data!BI$6=Inputs!$B$12,-Inputs!$B$7,0)+BI272</f>
        <v>0</v>
      </c>
      <c r="BJ273" s="33" t="n">
        <f aca="false">IF(Source_Data!BJ$6=Inputs!$B$12,-Inputs!$B$7,0)+BJ272</f>
        <v>0</v>
      </c>
      <c r="BK273" s="33" t="n">
        <f aca="false">IF(Source_Data!BK$6=Inputs!$B$12,-Inputs!$B$7,0)+BK272</f>
        <v>0</v>
      </c>
    </row>
    <row r="274" customFormat="false" ht="15" hidden="false" customHeight="false" outlineLevel="0" collapsed="false">
      <c r="A274" s="3" t="s">
        <v>343</v>
      </c>
      <c r="D274" s="33" t="n">
        <f aca="false">IF(Source_Data!D$6=Inputs!$B$12,Inputs!$B$7,0)+D269-D272</f>
        <v>8.75</v>
      </c>
      <c r="E274" s="33" t="n">
        <f aca="false">D274+IF(Source_Data!E$6=Inputs!$B$12,Inputs!$B$7,0)+E269-E272</f>
        <v>-2.5</v>
      </c>
      <c r="F274" s="33" t="n">
        <f aca="false">E274+IF(Source_Data!F$6=Inputs!$B$12,Inputs!$B$7,0)+F269-F272</f>
        <v>-13.75</v>
      </c>
      <c r="G274" s="33" t="n">
        <f aca="false">F274+IF(Source_Data!G$6=Inputs!$B$12,Inputs!$B$7,0)+G269-G272</f>
        <v>-25</v>
      </c>
      <c r="H274" s="33" t="n">
        <f aca="false">G274+IF(Source_Data!H$6=Inputs!$B$12,Inputs!$B$7,0)+H269-H272</f>
        <v>-70.5</v>
      </c>
      <c r="I274" s="33" t="n">
        <f aca="false">H274+IF(Source_Data!I$6=Inputs!$B$12,Inputs!$B$7,0)+I269-I272</f>
        <v>-123.36</v>
      </c>
      <c r="J274" s="33" t="n">
        <f aca="false">I274+IF(Source_Data!J$6=Inputs!$B$12,Inputs!$B$7,0)+J269-J272</f>
        <v>-191.86</v>
      </c>
      <c r="K274" s="33" t="n">
        <f aca="false">J274+IF(Source_Data!K$6=Inputs!$B$12,Inputs!$B$7,0)+K269-K272</f>
        <v>-244.72</v>
      </c>
      <c r="L274" s="33" t="n">
        <f aca="false">K274+IF(Source_Data!L$6=Inputs!$B$12,Inputs!$B$7,0)+L269-L272</f>
        <v>-308.83</v>
      </c>
      <c r="M274" s="33" t="n">
        <f aca="false">L274+IF(Source_Data!M$6=Inputs!$B$12,Inputs!$B$7,0)+M269-M272</f>
        <v>-392.106666666667</v>
      </c>
      <c r="N274" s="33" t="n">
        <f aca="false">M274+IF(Source_Data!N$6=Inputs!$B$12,Inputs!$B$7,0)+N269-N272</f>
        <v>-435.956095833333</v>
      </c>
      <c r="O274" s="33" t="n">
        <f aca="false">N274+IF(Source_Data!O$6=Inputs!$B$12,Inputs!$B$7,0)+O269-O272</f>
        <v>-464.6662875</v>
      </c>
      <c r="P274" s="33" t="n">
        <f aca="false">O274+IF(Source_Data!P$6=Inputs!$B$12,Inputs!$B$7,0)+P269-P272</f>
        <v>-620.320947916667</v>
      </c>
      <c r="Q274" s="33" t="n">
        <f aca="false">P274+IF(Source_Data!Q$6=Inputs!$B$12,Inputs!$B$7,0)+Q269-Q272</f>
        <v>-759.742077083334</v>
      </c>
      <c r="R274" s="33" t="n">
        <f aca="false">Q274+IF(Source_Data!R$6=Inputs!$B$12,Inputs!$B$7,0)+R269-R272</f>
        <v>-962.25443375</v>
      </c>
      <c r="S274" s="33" t="n">
        <f aca="false">R274+IF(Source_Data!S$6=Inputs!$B$12,Inputs!$B$7,0)+S269-S272</f>
        <v>-1109.60893104167</v>
      </c>
      <c r="T274" s="33" t="n">
        <f aca="false">S274+IF(Source_Data!T$6=Inputs!$B$12,Inputs!$B$7,0)+T269-T272</f>
        <v>-1102.96800927083</v>
      </c>
      <c r="U274" s="33" t="n">
        <f aca="false">T274+IF(Source_Data!U$6=Inputs!$B$12,Inputs!$B$7,0)+U269-U272</f>
        <v>-681.4020984375</v>
      </c>
      <c r="V274" s="33" t="n">
        <f aca="false">U274+IF(Source_Data!V$6=Inputs!$B$12,Inputs!$B$7,0)+V269-V272</f>
        <v>-566.980025104167</v>
      </c>
      <c r="W274" s="33" t="n">
        <f aca="false">V274+IF(Source_Data!W$6=Inputs!$B$12,Inputs!$B$7,0)+W269-W272</f>
        <v>-461.601701770834</v>
      </c>
      <c r="X274" s="33" t="n">
        <f aca="false">W274+IF(Source_Data!X$6=Inputs!$B$12,Inputs!$B$7,0)+X269-X272</f>
        <v>-413.6556584375</v>
      </c>
      <c r="Y274" s="33" t="n">
        <f aca="false">X274+IF(Source_Data!Y$6=Inputs!$B$12,Inputs!$B$7,0)+Y269-Y272</f>
        <v>-374.1064896875</v>
      </c>
      <c r="Z274" s="33" t="n">
        <f aca="false">Y274+IF(Source_Data!Z$6=Inputs!$B$12,Inputs!$B$7,0)+Z269-Z272</f>
        <v>-334.5573209375</v>
      </c>
      <c r="AA274" s="33" t="n">
        <f aca="false">Z274+IF(Source_Data!AA$6=Inputs!$B$12,Inputs!$B$7,0)+AA269-AA272</f>
        <v>-295.6764853125</v>
      </c>
      <c r="AB274" s="33" t="n">
        <f aca="false">AA274+IF(Source_Data!AB$6=Inputs!$B$12,Inputs!$B$7,0)+AB269-AB272</f>
        <v>-234.449845625</v>
      </c>
      <c r="AC274" s="33" t="n">
        <f aca="false">AB274+IF(Source_Data!AC$6=Inputs!$B$12,Inputs!$B$7,0)+AC269-AC272</f>
        <v>-174.7371296875</v>
      </c>
      <c r="AD274" s="33" t="n">
        <f aca="false">AC274+IF(Source_Data!AD$6=Inputs!$B$12,Inputs!$B$7,0)+AD269-AD272</f>
        <v>-121.013185</v>
      </c>
      <c r="AE274" s="33" t="n">
        <f aca="false">AD274+IF(Source_Data!AE$6=Inputs!$B$12,Inputs!$B$7,0)+AE269-AE272</f>
        <v>-71.6302403125004</v>
      </c>
      <c r="AF274" s="33" t="n">
        <f aca="false">AE274+IF(Source_Data!AF$6=Inputs!$B$12,Inputs!$B$7,0)+AF269-AF272</f>
        <v>-130.005505976563</v>
      </c>
      <c r="AG274" s="33" t="n">
        <f aca="false">AF274+IF(Source_Data!AG$6=Inputs!$B$12,Inputs!$B$7,0)+AG269-AG272</f>
        <v>-98.8792924609379</v>
      </c>
      <c r="AH274" s="33" t="n">
        <f aca="false">AG274+IF(Source_Data!AH$6=Inputs!$B$12,Inputs!$B$7,0)+AH269-AH272</f>
        <v>-67.7530789453129</v>
      </c>
      <c r="AI274" s="33" t="n">
        <f aca="false">AH274+IF(Source_Data!AI$6=Inputs!$B$12,Inputs!$B$7,0)+AI269-AI272</f>
        <v>-36.6268654296879</v>
      </c>
      <c r="AJ274" s="33" t="n">
        <f aca="false">AI274+IF(Source_Data!AJ$6=Inputs!$B$12,Inputs!$B$7,0)+AJ269-AJ272</f>
        <v>-11.2886519140629</v>
      </c>
      <c r="AK274" s="33" t="n">
        <f aca="false">AJ274+IF(Source_Data!AK$6=Inputs!$B$12,Inputs!$B$7,0)+AK269-AK272</f>
        <v>11.7289918749997</v>
      </c>
      <c r="AL274" s="33" t="n">
        <f aca="false">AK274+IF(Source_Data!AL$6=Inputs!$B$12,Inputs!$B$7,0)+AL269-AL272</f>
        <v>31.1381794140622</v>
      </c>
      <c r="AM274" s="33" t="n">
        <f aca="false">AL274+IF(Source_Data!AM$6=Inputs!$B$12,Inputs!$B$7,0)+AM269-AM272</f>
        <v>48.0287956249997</v>
      </c>
      <c r="AN274" s="33" t="n">
        <f aca="false">AM274+IF(Source_Data!AN$6=Inputs!$B$12,Inputs!$B$7,0)+AN269-AN272</f>
        <v>68.9065185937497</v>
      </c>
      <c r="AO274" s="33" t="n">
        <f aca="false">AN274+IF(Source_Data!AO$6=Inputs!$B$12,Inputs!$B$7,0)+AO269-AO272</f>
        <v>92.4336081249997</v>
      </c>
      <c r="AP274" s="33" t="n">
        <f aca="false">AO274+IF(Source_Data!AP$6=Inputs!$B$12,Inputs!$B$7,0)+AP269-AP272</f>
        <v>117.522779375</v>
      </c>
      <c r="AQ274" s="33" t="n">
        <f aca="false">AP274+IF(Source_Data!AQ$6=Inputs!$B$12,Inputs!$B$7,0)+AQ269-AQ272</f>
        <v>142.611950625</v>
      </c>
      <c r="AR274" s="33" t="n">
        <f aca="false">AQ274+IF(Source_Data!AR$6=Inputs!$B$12,Inputs!$B$7,0)+AR269-AR272</f>
        <v>167.701121875</v>
      </c>
      <c r="AS274" s="33" t="n">
        <f aca="false">AR274+IF(Source_Data!AS$6=Inputs!$B$12,Inputs!$B$7,0)+AS269-AS272</f>
        <v>190.6062275</v>
      </c>
      <c r="AT274" s="33" t="n">
        <f aca="false">AS274+IF(Source_Data!AT$6=Inputs!$B$12,Inputs!$B$7,0)+AT269-AT272</f>
        <v>213.511333125</v>
      </c>
      <c r="AU274" s="33" t="n">
        <f aca="false">AT274+IF(Source_Data!AU$6=Inputs!$B$12,Inputs!$B$7,0)+AU269-AU272</f>
        <v>232.2508875</v>
      </c>
      <c r="AV274" s="33" t="n">
        <f aca="false">AU274+IF(Source_Data!AV$6=Inputs!$B$12,Inputs!$B$7,0)+AV269-AV272</f>
        <v>241.877055</v>
      </c>
      <c r="AW274" s="33" t="n">
        <f aca="false">AV274+IF(Source_Data!AW$6=Inputs!$B$12,Inputs!$B$7,0)+AW269-AW272</f>
        <v>245.4475275</v>
      </c>
      <c r="AX274" s="33" t="n">
        <f aca="false">AW274+IF(Source_Data!AX$6=Inputs!$B$12,Inputs!$B$7,0)+AX269-AX272</f>
        <v>245.4475275</v>
      </c>
      <c r="AY274" s="33" t="n">
        <f aca="false">AX274+IF(Source_Data!AY$6=Inputs!$B$12,Inputs!$B$7,0)+AY269-AY272</f>
        <v>245.4475275</v>
      </c>
      <c r="AZ274" s="33" t="n">
        <f aca="false">AY274+IF(Source_Data!AZ$6=Inputs!$B$12,Inputs!$B$7,0)+AZ269-AZ272</f>
        <v>245.4475275</v>
      </c>
      <c r="BA274" s="33" t="n">
        <f aca="false">AZ274+IF(Source_Data!BA$6=Inputs!$B$12,Inputs!$B$7,0)+BA269-BA272</f>
        <v>245.4475275</v>
      </c>
      <c r="BB274" s="33" t="n">
        <f aca="false">BA274+IF(Source_Data!BB$6=Inputs!$B$12,Inputs!$B$7,0)+BB269-BB272</f>
        <v>245.4475275</v>
      </c>
      <c r="BC274" s="33" t="n">
        <f aca="false">BB274+IF(Source_Data!BC$6=Inputs!$B$12,Inputs!$B$7,0)+BC269-BC272</f>
        <v>245.4475275</v>
      </c>
      <c r="BD274" s="33" t="n">
        <f aca="false">BC274+IF(Source_Data!BD$6=Inputs!$B$12,Inputs!$B$7,0)+BD269-BD272</f>
        <v>245.4475275</v>
      </c>
      <c r="BE274" s="33" t="n">
        <f aca="false">BD274+IF(Source_Data!BE$6=Inputs!$B$12,Inputs!$B$7,0)+BE269-BE272</f>
        <v>245.4475275</v>
      </c>
      <c r="BF274" s="33" t="n">
        <f aca="false">BE274+IF(Source_Data!BF$6=Inputs!$B$12,Inputs!$B$7,0)+BF269-BF272</f>
        <v>245.4475275</v>
      </c>
      <c r="BG274" s="33" t="n">
        <f aca="false">BF274+IF(Source_Data!BG$6=Inputs!$B$12,Inputs!$B$7,0)+BG269-BG272</f>
        <v>245.4475275</v>
      </c>
      <c r="BH274" s="33" t="n">
        <f aca="false">BG274+IF(Source_Data!BH$6=Inputs!$B$12,Inputs!$B$7,0)+BH269-BH272</f>
        <v>245.4475275</v>
      </c>
      <c r="BI274" s="33" t="n">
        <f aca="false">BH274+IF(Source_Data!BI$6=Inputs!$B$12,Inputs!$B$7,0)+BI269-BI272</f>
        <v>245.4475275</v>
      </c>
      <c r="BJ274" s="33" t="n">
        <f aca="false">BI274+IF(Source_Data!BJ$6=Inputs!$B$12,Inputs!$B$7,0)+BJ269-BJ272</f>
        <v>245.4475275</v>
      </c>
      <c r="BK274" s="33" t="n">
        <f aca="false">BJ274+IF(Source_Data!BK$6=Inputs!$B$12,Inputs!$B$7,0)+BK269-BK272</f>
        <v>245.4475275</v>
      </c>
    </row>
    <row r="275" customFormat="false" ht="15" hidden="false" customHeight="false" outlineLevel="0" collapsed="false">
      <c r="A275" s="3" t="s">
        <v>344</v>
      </c>
      <c r="D275" s="31" t="str">
        <f aca="false">IF(D272&gt;0,D269/D272,"")</f>
        <v/>
      </c>
      <c r="E275" s="31" t="str">
        <f aca="false">IF(E272&gt;0,E269/E272,"")</f>
        <v/>
      </c>
      <c r="F275" s="31" t="str">
        <f aca="false">IF(F272&gt;0,F269/F272,"")</f>
        <v/>
      </c>
      <c r="G275" s="31" t="str">
        <f aca="false">IF(G272&gt;0,G269/G272,"")</f>
        <v/>
      </c>
      <c r="H275" s="31" t="str">
        <f aca="false">IF(H272&gt;0,H269/H272,"")</f>
        <v/>
      </c>
      <c r="I275" s="31" t="str">
        <f aca="false">IF(I272&gt;0,I269/I272,"")</f>
        <v/>
      </c>
      <c r="J275" s="31" t="str">
        <f aca="false">IF(J272&gt;0,J269/J272,"")</f>
        <v/>
      </c>
      <c r="K275" s="31" t="str">
        <f aca="false">IF(K272&gt;0,K269/K272,"")</f>
        <v/>
      </c>
      <c r="L275" s="31" t="str">
        <f aca="false">IF(L272&gt;0,L269/L272,"")</f>
        <v/>
      </c>
      <c r="M275" s="31" t="n">
        <f aca="false">IF(M272&gt;0,M269/M272,"")</f>
        <v>-3.34486956521739</v>
      </c>
      <c r="N275" s="31" t="n">
        <f aca="false">IF(N272&gt;0,N269/N272,"")</f>
        <v>-1.28779630434783</v>
      </c>
      <c r="O275" s="31" t="n">
        <f aca="false">IF(O272&gt;0,O269/O272,"")</f>
        <v>-0.497923043478261</v>
      </c>
      <c r="P275" s="31" t="n">
        <f aca="false">IF(P272&gt;0,P269/P272,"")</f>
        <v>-7.12111271739131</v>
      </c>
      <c r="Q275" s="31" t="n">
        <f aca="false">IF(Q272&gt;0,Q269/Q272,"")</f>
        <v>-6.27414586956522</v>
      </c>
      <c r="R275" s="31" t="n">
        <f aca="false">IF(R272&gt;0,R269/R272,"")</f>
        <v>-9.56586208695652</v>
      </c>
      <c r="S275" s="31" t="n">
        <f aca="false">IF(S272&gt;0,S269/S272,"")</f>
        <v>-6.68806072826087</v>
      </c>
      <c r="T275" s="31" t="n">
        <f aca="false">IF(T272&gt;0,T269/T272,"")</f>
        <v>1.346482875</v>
      </c>
      <c r="U275" s="31" t="n">
        <f aca="false">IF(U272&gt;0,U269/U272,"")</f>
        <v>22.994743173913</v>
      </c>
      <c r="V275" s="31" t="n">
        <f aca="false">IF(V272&gt;0,V269/V272,"")</f>
        <v>6.96984730434783</v>
      </c>
      <c r="W275" s="31" t="n">
        <f aca="false">IF(W272&gt;0,W269/W272,"")</f>
        <v>6.49799947826087</v>
      </c>
      <c r="X275" s="31" t="n">
        <f aca="false">IF(X272&gt;0,X269/X272,"")</f>
        <v>3.50153269565217</v>
      </c>
      <c r="Y275" s="31" t="str">
        <f aca="false">IF(Y272&gt;0,Y269/Y272,"")</f>
        <v/>
      </c>
      <c r="Z275" s="31" t="str">
        <f aca="false">IF(Z272&gt;0,Z269/Z272,"")</f>
        <v/>
      </c>
      <c r="AA275" s="31" t="str">
        <f aca="false">IF(AA272&gt;0,AA269/AA272,"")</f>
        <v/>
      </c>
      <c r="AB275" s="31" t="str">
        <f aca="false">IF(AB272&gt;0,AB269/AB272,"")</f>
        <v/>
      </c>
      <c r="AC275" s="31" t="str">
        <f aca="false">IF(AC272&gt;0,AC269/AC272,"")</f>
        <v/>
      </c>
      <c r="AD275" s="31" t="str">
        <f aca="false">IF(AD272&gt;0,AD269/AD272,"")</f>
        <v/>
      </c>
      <c r="AE275" s="31" t="str">
        <f aca="false">IF(AE272&gt;0,AE269/AE272,"")</f>
        <v/>
      </c>
      <c r="AF275" s="31" t="str">
        <f aca="false">IF(AF272&gt;0,AF269/AF272,"")</f>
        <v/>
      </c>
      <c r="AG275" s="31" t="str">
        <f aca="false">IF(AG272&gt;0,AG269/AG272,"")</f>
        <v/>
      </c>
      <c r="AH275" s="31" t="str">
        <f aca="false">IF(AH272&gt;0,AH269/AH272,"")</f>
        <v/>
      </c>
      <c r="AI275" s="31" t="str">
        <f aca="false">IF(AI272&gt;0,AI269/AI272,"")</f>
        <v/>
      </c>
      <c r="AJ275" s="31" t="str">
        <f aca="false">IF(AJ272&gt;0,AJ269/AJ272,"")</f>
        <v/>
      </c>
      <c r="AK275" s="31" t="str">
        <f aca="false">IF(AK272&gt;0,AK269/AK272,"")</f>
        <v/>
      </c>
      <c r="AL275" s="31" t="str">
        <f aca="false">IF(AL272&gt;0,AL269/AL272,"")</f>
        <v/>
      </c>
      <c r="AM275" s="31" t="str">
        <f aca="false">IF(AM272&gt;0,AM269/AM272,"")</f>
        <v/>
      </c>
      <c r="AN275" s="31" t="str">
        <f aca="false">IF(AN272&gt;0,AN269/AN272,"")</f>
        <v/>
      </c>
      <c r="AO275" s="31" t="str">
        <f aca="false">IF(AO272&gt;0,AO269/AO272,"")</f>
        <v/>
      </c>
      <c r="AP275" s="31" t="str">
        <f aca="false">IF(AP272&gt;0,AP269/AP272,"")</f>
        <v/>
      </c>
      <c r="AQ275" s="31" t="str">
        <f aca="false">IF(AQ272&gt;0,AQ269/AQ272,"")</f>
        <v/>
      </c>
      <c r="AR275" s="31" t="str">
        <f aca="false">IF(AR272&gt;0,AR269/AR272,"")</f>
        <v/>
      </c>
      <c r="AS275" s="31" t="str">
        <f aca="false">IF(AS272&gt;0,AS269/AS272,"")</f>
        <v/>
      </c>
      <c r="AT275" s="31" t="str">
        <f aca="false">IF(AT272&gt;0,AT269/AT272,"")</f>
        <v/>
      </c>
      <c r="AU275" s="31" t="str">
        <f aca="false">IF(AU272&gt;0,AU269/AU272,"")</f>
        <v/>
      </c>
      <c r="AV275" s="31" t="str">
        <f aca="false">IF(AV272&gt;0,AV269/AV272,"")</f>
        <v/>
      </c>
      <c r="AW275" s="31" t="str">
        <f aca="false">IF(AW272&gt;0,AW269/AW272,"")</f>
        <v/>
      </c>
      <c r="AX275" s="31" t="str">
        <f aca="false">IF(AX272&gt;0,AX269/AX272,"")</f>
        <v/>
      </c>
      <c r="AY275" s="31" t="str">
        <f aca="false">IF(AY272&gt;0,AY269/AY272,"")</f>
        <v/>
      </c>
      <c r="AZ275" s="31" t="str">
        <f aca="false">IF(AZ272&gt;0,AZ269/AZ272,"")</f>
        <v/>
      </c>
      <c r="BA275" s="31" t="str">
        <f aca="false">IF(BA272&gt;0,BA269/BA272,"")</f>
        <v/>
      </c>
      <c r="BB275" s="31" t="str">
        <f aca="false">IF(BB272&gt;0,BB269/BB272,"")</f>
        <v/>
      </c>
      <c r="BC275" s="31" t="str">
        <f aca="false">IF(BC272&gt;0,BC269/BC272,"")</f>
        <v/>
      </c>
      <c r="BD275" s="31" t="str">
        <f aca="false">IF(BD272&gt;0,BD269/BD272,"")</f>
        <v/>
      </c>
      <c r="BE275" s="31" t="str">
        <f aca="false">IF(BE272&gt;0,BE269/BE272,"")</f>
        <v/>
      </c>
      <c r="BF275" s="31" t="str">
        <f aca="false">IF(BF272&gt;0,BF269/BF272,"")</f>
        <v/>
      </c>
      <c r="BG275" s="31" t="str">
        <f aca="false">IF(BG272&gt;0,BG269/BG272,"")</f>
        <v/>
      </c>
      <c r="BH275" s="31" t="str">
        <f aca="false">IF(BH272&gt;0,BH269/BH272,"")</f>
        <v/>
      </c>
      <c r="BI275" s="31" t="str">
        <f aca="false">IF(BI272&gt;0,BI269/BI272,"")</f>
        <v/>
      </c>
      <c r="BJ275" s="31" t="str">
        <f aca="false">IF(BJ272&gt;0,BJ269/BJ272,"")</f>
        <v/>
      </c>
      <c r="BK275" s="31" t="str">
        <f aca="false">IF(BK272&gt;0,BK269/BK272,"")</f>
        <v/>
      </c>
    </row>
    <row r="276" customFormat="false" ht="15" hidden="false" customHeight="false" outlineLevel="0" collapsed="false">
      <c r="A276" s="3" t="s">
        <v>345</v>
      </c>
      <c r="D276" s="31" t="str">
        <f aca="false">IF(D272&gt;0,(0+D269+IF(Source_Data!D$6=Inputs!$B$12,Inputs!$B$7,0))/D272,"")</f>
        <v/>
      </c>
      <c r="E276" s="31" t="str">
        <f aca="false">IF(E272&gt;0,(D274+E269+IF(Source_Data!E$6=Inputs!$B$12,Inputs!$B$7,0))/E272,"")</f>
        <v/>
      </c>
      <c r="F276" s="31" t="str">
        <f aca="false">IF(F272&gt;0,(E274+F269+IF(Source_Data!F$6=Inputs!$B$12,Inputs!$B$7,0))/F272,"")</f>
        <v/>
      </c>
      <c r="G276" s="31" t="str">
        <f aca="false">IF(G272&gt;0,(F274+G269+IF(Source_Data!G$6=Inputs!$B$12,Inputs!$B$7,0))/G272,"")</f>
        <v/>
      </c>
      <c r="H276" s="31" t="str">
        <f aca="false">IF(H272&gt;0,(G274+H269+IF(Source_Data!H$6=Inputs!$B$12,Inputs!$B$7,0))/H272,"")</f>
        <v/>
      </c>
      <c r="I276" s="31" t="str">
        <f aca="false">IF(I272&gt;0,(H274+I269+IF(Source_Data!I$6=Inputs!$B$12,Inputs!$B$7,0))/I272,"")</f>
        <v/>
      </c>
      <c r="J276" s="31" t="str">
        <f aca="false">IF(J272&gt;0,(I274+J269+IF(Source_Data!J$6=Inputs!$B$12,Inputs!$B$7,0))/J272,"")</f>
        <v/>
      </c>
      <c r="K276" s="31" t="str">
        <f aca="false">IF(K272&gt;0,(J274+K269+IF(Source_Data!K$6=Inputs!$B$12,Inputs!$B$7,0))/K272,"")</f>
        <v/>
      </c>
      <c r="L276" s="31" t="str">
        <f aca="false">IF(L272&gt;0,(K274+L269+IF(Source_Data!L$6=Inputs!$B$12,Inputs!$B$7,0))/L272,"")</f>
        <v/>
      </c>
      <c r="M276" s="31" t="n">
        <f aca="false">IF(M272&gt;0,(L274+M269+IF(Source_Data!M$6=Inputs!$B$12,Inputs!$B$7,0))/M272,"")</f>
        <v>-19.4577391304348</v>
      </c>
      <c r="N276" s="31" t="n">
        <f aca="false">IF(N272&gt;0,(M274+N269+IF(Source_Data!N$6=Inputs!$B$12,Inputs!$B$7,0))/N272,"")</f>
        <v>-21.7455354347826</v>
      </c>
      <c r="O276" s="31" t="n">
        <f aca="false">IF(O272&gt;0,(N274+O269+IF(Source_Data!O$6=Inputs!$B$12,Inputs!$B$7,0))/O272,"")</f>
        <v>-23.2434584782609</v>
      </c>
      <c r="P276" s="31" t="n">
        <f aca="false">IF(P272&gt;0,(O274+P269+IF(Source_Data!P$6=Inputs!$B$12,Inputs!$B$7,0))/P272,"")</f>
        <v>-31.3645711956522</v>
      </c>
      <c r="Q276" s="31" t="n">
        <f aca="false">IF(Q272&gt;0,(P274+Q269+IF(Source_Data!Q$6=Inputs!$B$12,Inputs!$B$7,0))/Q272,"")</f>
        <v>-38.6387170652174</v>
      </c>
      <c r="R276" s="31" t="n">
        <f aca="false">IF(R272&gt;0,(Q274+R269+IF(Source_Data!R$6=Inputs!$B$12,Inputs!$B$7,0))/R272,"")</f>
        <v>-49.2045791521739</v>
      </c>
      <c r="S276" s="31" t="n">
        <f aca="false">IF(S272&gt;0,(R274+S269+IF(Source_Data!S$6=Inputs!$B$12,Inputs!$B$7,0))/S272,"")</f>
        <v>-56.8926398804348</v>
      </c>
      <c r="T276" s="31" t="n">
        <f aca="false">IF(T272&gt;0,(S274+T269+IF(Source_Data!T$6=Inputs!$B$12,Inputs!$B$7,0))/T272,"")</f>
        <v>-56.5461570054348</v>
      </c>
      <c r="U276" s="31" t="n">
        <f aca="false">IF(U272&gt;0,(T274+U269+IF(Source_Data!U$6=Inputs!$B$12,Inputs!$B$7,0))/U272,"")</f>
        <v>-34.5514138315218</v>
      </c>
      <c r="V276" s="31" t="n">
        <f aca="false">IF(V272&gt;0,(U274+V269+IF(Source_Data!V$6=Inputs!$B$12,Inputs!$B$7,0))/V272,"")</f>
        <v>-28.5815665271739</v>
      </c>
      <c r="W276" s="31" t="n">
        <f aca="false">IF(W272&gt;0,(V274+W269+IF(Source_Data!W$6=Inputs!$B$12,Inputs!$B$7,0))/W272,"")</f>
        <v>-23.0835670489131</v>
      </c>
      <c r="X276" s="31" t="n">
        <f aca="false">IF(X272&gt;0,(W274+X269+IF(Source_Data!X$6=Inputs!$B$12,Inputs!$B$7,0))/X272,"")</f>
        <v>-20.5820343532609</v>
      </c>
      <c r="Y276" s="31" t="str">
        <f aca="false">IF(Y272&gt;0,(X274+Y269+IF(Source_Data!Y$6=Inputs!$B$12,Inputs!$B$7,0))/Y272,"")</f>
        <v/>
      </c>
      <c r="Z276" s="31" t="str">
        <f aca="false">IF(Z272&gt;0,(Y274+Z269+IF(Source_Data!Z$6=Inputs!$B$12,Inputs!$B$7,0))/Z272,"")</f>
        <v/>
      </c>
      <c r="AA276" s="31" t="str">
        <f aca="false">IF(AA272&gt;0,(Z274+AA269+IF(Source_Data!AA$6=Inputs!$B$12,Inputs!$B$7,0))/AA272,"")</f>
        <v/>
      </c>
      <c r="AB276" s="31" t="str">
        <f aca="false">IF(AB272&gt;0,(AA274+AB269+IF(Source_Data!AB$6=Inputs!$B$12,Inputs!$B$7,0))/AB272,"")</f>
        <v/>
      </c>
      <c r="AC276" s="31" t="str">
        <f aca="false">IF(AC272&gt;0,(AB274+AC269+IF(Source_Data!AC$6=Inputs!$B$12,Inputs!$B$7,0))/AC272,"")</f>
        <v/>
      </c>
      <c r="AD276" s="31" t="str">
        <f aca="false">IF(AD272&gt;0,(AC274+AD269+IF(Source_Data!AD$6=Inputs!$B$12,Inputs!$B$7,0))/AD272,"")</f>
        <v/>
      </c>
      <c r="AE276" s="31" t="str">
        <f aca="false">IF(AE272&gt;0,(AD274+AE269+IF(Source_Data!AE$6=Inputs!$B$12,Inputs!$B$7,0))/AE272,"")</f>
        <v/>
      </c>
      <c r="AF276" s="31" t="str">
        <f aca="false">IF(AF272&gt;0,(AE274+AF269+IF(Source_Data!AF$6=Inputs!$B$12,Inputs!$B$7,0))/AF272,"")</f>
        <v/>
      </c>
      <c r="AG276" s="31" t="str">
        <f aca="false">IF(AG272&gt;0,(AF274+AG269+IF(Source_Data!AG$6=Inputs!$B$12,Inputs!$B$7,0))/AG272,"")</f>
        <v/>
      </c>
      <c r="AH276" s="31" t="str">
        <f aca="false">IF(AH272&gt;0,(AG274+AH269+IF(Source_Data!AH$6=Inputs!$B$12,Inputs!$B$7,0))/AH272,"")</f>
        <v/>
      </c>
      <c r="AI276" s="31" t="str">
        <f aca="false">IF(AI272&gt;0,(AH274+AI269+IF(Source_Data!AI$6=Inputs!$B$12,Inputs!$B$7,0))/AI272,"")</f>
        <v/>
      </c>
      <c r="AJ276" s="31" t="str">
        <f aca="false">IF(AJ272&gt;0,(AI274+AJ269+IF(Source_Data!AJ$6=Inputs!$B$12,Inputs!$B$7,0))/AJ272,"")</f>
        <v/>
      </c>
      <c r="AK276" s="31" t="str">
        <f aca="false">IF(AK272&gt;0,(AJ274+AK269+IF(Source_Data!AK$6=Inputs!$B$12,Inputs!$B$7,0))/AK272,"")</f>
        <v/>
      </c>
      <c r="AL276" s="31" t="str">
        <f aca="false">IF(AL272&gt;0,(AK274+AL269+IF(Source_Data!AL$6=Inputs!$B$12,Inputs!$B$7,0))/AL272,"")</f>
        <v/>
      </c>
      <c r="AM276" s="31" t="str">
        <f aca="false">IF(AM272&gt;0,(AL274+AM269+IF(Source_Data!AM$6=Inputs!$B$12,Inputs!$B$7,0))/AM272,"")</f>
        <v/>
      </c>
      <c r="AN276" s="31" t="str">
        <f aca="false">IF(AN272&gt;0,(AM274+AN269+IF(Source_Data!AN$6=Inputs!$B$12,Inputs!$B$7,0))/AN272,"")</f>
        <v/>
      </c>
      <c r="AO276" s="31" t="str">
        <f aca="false">IF(AO272&gt;0,(AN274+AO269+IF(Source_Data!AO$6=Inputs!$B$12,Inputs!$B$7,0))/AO272,"")</f>
        <v/>
      </c>
      <c r="AP276" s="31" t="str">
        <f aca="false">IF(AP272&gt;0,(AO274+AP269+IF(Source_Data!AP$6=Inputs!$B$12,Inputs!$B$7,0))/AP272,"")</f>
        <v/>
      </c>
      <c r="AQ276" s="31" t="str">
        <f aca="false">IF(AQ272&gt;0,(AP274+AQ269+IF(Source_Data!AQ$6=Inputs!$B$12,Inputs!$B$7,0))/AQ272,"")</f>
        <v/>
      </c>
      <c r="AR276" s="31" t="str">
        <f aca="false">IF(AR272&gt;0,(AQ274+AR269+IF(Source_Data!AR$6=Inputs!$B$12,Inputs!$B$7,0))/AR272,"")</f>
        <v/>
      </c>
      <c r="AS276" s="31" t="str">
        <f aca="false">IF(AS272&gt;0,(AR274+AS269+IF(Source_Data!AS$6=Inputs!$B$12,Inputs!$B$7,0))/AS272,"")</f>
        <v/>
      </c>
      <c r="AT276" s="31" t="str">
        <f aca="false">IF(AT272&gt;0,(AS274+AT269+IF(Source_Data!AT$6=Inputs!$B$12,Inputs!$B$7,0))/AT272,"")</f>
        <v/>
      </c>
      <c r="AU276" s="31" t="str">
        <f aca="false">IF(AU272&gt;0,(AT274+AU269+IF(Source_Data!AU$6=Inputs!$B$12,Inputs!$B$7,0))/AU272,"")</f>
        <v/>
      </c>
      <c r="AV276" s="31" t="str">
        <f aca="false">IF(AV272&gt;0,(AU274+AV269+IF(Source_Data!AV$6=Inputs!$B$12,Inputs!$B$7,0))/AV272,"")</f>
        <v/>
      </c>
      <c r="AW276" s="31" t="str">
        <f aca="false">IF(AW272&gt;0,(AV274+AW269+IF(Source_Data!AW$6=Inputs!$B$12,Inputs!$B$7,0))/AW272,"")</f>
        <v/>
      </c>
      <c r="AX276" s="31" t="str">
        <f aca="false">IF(AX272&gt;0,(AW274+AX269+IF(Source_Data!AX$6=Inputs!$B$12,Inputs!$B$7,0))/AX272,"")</f>
        <v/>
      </c>
      <c r="AY276" s="31" t="str">
        <f aca="false">IF(AY272&gt;0,(AX274+AY269+IF(Source_Data!AY$6=Inputs!$B$12,Inputs!$B$7,0))/AY272,"")</f>
        <v/>
      </c>
      <c r="AZ276" s="31" t="str">
        <f aca="false">IF(AZ272&gt;0,(AY274+AZ269+IF(Source_Data!AZ$6=Inputs!$B$12,Inputs!$B$7,0))/AZ272,"")</f>
        <v/>
      </c>
      <c r="BA276" s="31" t="str">
        <f aca="false">IF(BA272&gt;0,(AZ274+BA269+IF(Source_Data!BA$6=Inputs!$B$12,Inputs!$B$7,0))/BA272,"")</f>
        <v/>
      </c>
      <c r="BB276" s="31" t="str">
        <f aca="false">IF(BB272&gt;0,(BA274+BB269+IF(Source_Data!BB$6=Inputs!$B$12,Inputs!$B$7,0))/BB272,"")</f>
        <v/>
      </c>
      <c r="BC276" s="31" t="str">
        <f aca="false">IF(BC272&gt;0,(BB274+BC269+IF(Source_Data!BC$6=Inputs!$B$12,Inputs!$B$7,0))/BC272,"")</f>
        <v/>
      </c>
      <c r="BD276" s="31" t="str">
        <f aca="false">IF(BD272&gt;0,(BC274+BD269+IF(Source_Data!BD$6=Inputs!$B$12,Inputs!$B$7,0))/BD272,"")</f>
        <v/>
      </c>
      <c r="BE276" s="31" t="str">
        <f aca="false">IF(BE272&gt;0,(BD274+BE269+IF(Source_Data!BE$6=Inputs!$B$12,Inputs!$B$7,0))/BE272,"")</f>
        <v/>
      </c>
      <c r="BF276" s="31" t="str">
        <f aca="false">IF(BF272&gt;0,(BE274+BF269+IF(Source_Data!BF$6=Inputs!$B$12,Inputs!$B$7,0))/BF272,"")</f>
        <v/>
      </c>
      <c r="BG276" s="31" t="str">
        <f aca="false">IF(BG272&gt;0,(BF274+BG269+IF(Source_Data!BG$6=Inputs!$B$12,Inputs!$B$7,0))/BG272,"")</f>
        <v/>
      </c>
      <c r="BH276" s="31" t="str">
        <f aca="false">IF(BH272&gt;0,(BG274+BH269+IF(Source_Data!BH$6=Inputs!$B$12,Inputs!$B$7,0))/BH272,"")</f>
        <v/>
      </c>
      <c r="BI276" s="31" t="str">
        <f aca="false">IF(BI272&gt;0,(BH274+BI269+IF(Source_Data!BI$6=Inputs!$B$12,Inputs!$B$7,0))/BI272,"")</f>
        <v/>
      </c>
      <c r="BJ276" s="31" t="str">
        <f aca="false">IF(BJ272&gt;0,(BI274+BJ269+IF(Source_Data!BJ$6=Inputs!$B$12,Inputs!$B$7,0))/BJ272,"")</f>
        <v/>
      </c>
      <c r="BK276" s="31" t="str">
        <f aca="false">IF(BK272&gt;0,(BJ274+BK269+IF(Source_Data!BK$6=Inputs!$B$12,Inputs!$B$7,0))/BK272,"")</f>
        <v/>
      </c>
    </row>
    <row r="278" customFormat="false" ht="15" hidden="false" customHeight="false" outlineLevel="0" collapsed="false">
      <c r="A278" s="2" t="s">
        <v>220</v>
      </c>
      <c r="B278" s="41" t="n">
        <f aca="false">SUM(D269:BK269)</f>
        <v>375.4475275</v>
      </c>
    </row>
    <row r="279" customFormat="false" ht="15" hidden="false" customHeight="false" outlineLevel="0" collapsed="false">
      <c r="A279" s="2" t="s">
        <v>346</v>
      </c>
      <c r="B279" s="41" t="n">
        <f aca="false">SUMPRODUCT(D269:BK269,Project_CF!$D$15:$BK$15)</f>
        <v>-96.7946271765743</v>
      </c>
    </row>
    <row r="280" customFormat="false" ht="15" hidden="false" customHeight="false" outlineLevel="0" collapsed="false">
      <c r="A280" s="2" t="s">
        <v>162</v>
      </c>
      <c r="B280" s="41" t="n">
        <f aca="false">MIN(D270:BK270)</f>
        <v>-1075.442264375</v>
      </c>
    </row>
    <row r="281" customFormat="false" ht="15" hidden="false" customHeight="false" outlineLevel="0" collapsed="false">
      <c r="A281" s="2" t="s">
        <v>347</v>
      </c>
      <c r="B281" s="35" t="n">
        <f aca="false">INDEX(Project_CF!$D$6:$BK$6,MATCH(MIN(D270:BK270),D270:BK270,0))</f>
        <v>48</v>
      </c>
    </row>
    <row r="282" customFormat="false" ht="15" hidden="false" customHeight="false" outlineLevel="0" collapsed="false">
      <c r="A282" s="2" t="s">
        <v>348</v>
      </c>
      <c r="B282" s="39" t="n">
        <f aca="false">(1+IRR(D271:BK271,0.05))^4-1</f>
        <v>0.174237893253424</v>
      </c>
    </row>
    <row r="283" customFormat="false" ht="15" hidden="false" customHeight="false" outlineLevel="0" collapsed="false">
      <c r="A283" s="2" t="s">
        <v>349</v>
      </c>
      <c r="B283" s="40" t="n">
        <f aca="false">SUMIF(D271:BK271,"&gt;0")/-SUMIF(D271:BK271,"&lt;0")</f>
        <v>2.78136200716846</v>
      </c>
    </row>
    <row r="284" customFormat="false" ht="15" hidden="false" customHeight="false" outlineLevel="0" collapsed="false">
      <c r="A284" s="2" t="s">
        <v>350</v>
      </c>
      <c r="B284" s="39" t="n">
        <f aca="false">(1+IRR(D273:BK273,0.05))^4-1</f>
        <v>0.265463994839995</v>
      </c>
    </row>
    <row r="285" customFormat="false" ht="15" hidden="false" customHeight="false" outlineLevel="0" collapsed="false">
      <c r="A285" s="2" t="s">
        <v>351</v>
      </c>
      <c r="B285" s="41" t="n">
        <f aca="false">MIN(D274:BK274)</f>
        <v>-1109.60893104167</v>
      </c>
    </row>
    <row r="286" customFormat="false" ht="15" hidden="false" customHeight="false" outlineLevel="0" collapsed="false">
      <c r="A286" s="2" t="s">
        <v>352</v>
      </c>
      <c r="B286" s="43" t="n">
        <f aca="false">MIN(D275:BK275)</f>
        <v>-9.56586208695652</v>
      </c>
    </row>
    <row r="287" customFormat="false" ht="15" hidden="false" customHeight="false" outlineLevel="0" collapsed="false">
      <c r="A287" s="2" t="s">
        <v>353</v>
      </c>
      <c r="B287" s="35" t="n">
        <f aca="false">COUNTIF(D275:BK275,"&lt;"&amp;Inputs!$B$43)</f>
        <v>8</v>
      </c>
    </row>
    <row r="288" customFormat="false" ht="15" hidden="false" customHeight="false" outlineLevel="0" collapsed="false">
      <c r="A288" s="2" t="s">
        <v>354</v>
      </c>
      <c r="B288" s="43" t="n">
        <f aca="false">MIN(D276:BK276)</f>
        <v>-56.8926398804348</v>
      </c>
    </row>
    <row r="289" customFormat="false" ht="15" hidden="false" customHeight="false" outlineLevel="0" collapsed="false">
      <c r="A289" s="2" t="s">
        <v>355</v>
      </c>
      <c r="B289" s="35" t="n">
        <f aca="false">COUNTIF(D276:BK276,"&lt;"&amp;Inputs!$B$43)</f>
        <v>12</v>
      </c>
    </row>
    <row r="292" customFormat="false" ht="15" hidden="false" customHeight="false" outlineLevel="0" collapsed="false">
      <c r="A292" s="8" t="s">
        <v>366</v>
      </c>
    </row>
    <row r="293" customFormat="false" ht="15" hidden="false" customHeight="false" outlineLevel="0" collapsed="false">
      <c r="A293" s="3" t="s">
        <v>331</v>
      </c>
      <c r="B293" s="45" t="n">
        <v>1</v>
      </c>
    </row>
    <row r="294" customFormat="false" ht="15" hidden="false" customHeight="false" outlineLevel="0" collapsed="false">
      <c r="A294" s="3" t="s">
        <v>332</v>
      </c>
      <c r="B294" s="45" t="n">
        <v>0</v>
      </c>
    </row>
    <row r="295" customFormat="false" ht="15" hidden="false" customHeight="false" outlineLevel="0" collapsed="false">
      <c r="A295" s="3" t="s">
        <v>333</v>
      </c>
      <c r="B295" s="45" t="n">
        <v>1.1</v>
      </c>
    </row>
    <row r="296" customFormat="false" ht="15" hidden="false" customHeight="false" outlineLevel="0" collapsed="false">
      <c r="A296" s="3" t="s">
        <v>334</v>
      </c>
      <c r="B296" s="45" t="n">
        <v>0</v>
      </c>
    </row>
    <row r="297" customFormat="false" ht="15" hidden="false" customHeight="false" outlineLevel="0" collapsed="false">
      <c r="A297" s="3" t="s">
        <v>335</v>
      </c>
      <c r="B297" s="45" t="n">
        <v>0</v>
      </c>
    </row>
    <row r="298" customFormat="false" ht="15" hidden="false" customHeight="false" outlineLevel="0" collapsed="false">
      <c r="A298" s="3" t="s">
        <v>336</v>
      </c>
      <c r="B298" s="3" t="n">
        <f aca="false">Inputs!$B$13+3+3*$B$294</f>
        <v>51</v>
      </c>
    </row>
    <row r="299" customFormat="false" ht="15" hidden="false" customHeight="false" outlineLevel="0" collapsed="false">
      <c r="A299" s="3" t="s">
        <v>337</v>
      </c>
      <c r="D299" s="33" t="n">
        <f aca="false">Source_Data!D$7+IF($B$297=1,IF(Source_Data!D$6=Inputs!$B$13,Source_Data!$C$8,0),Source_Data!D$8)</f>
        <v>0</v>
      </c>
      <c r="E299" s="33" t="n">
        <f aca="false">Source_Data!E$7+IF($B$297=1,IF(Source_Data!E$6=Inputs!$B$13,Source_Data!$C$8,0),Source_Data!E$8)</f>
        <v>0</v>
      </c>
      <c r="F299" s="33" t="n">
        <f aca="false">Source_Data!F$7+IF($B$297=1,IF(Source_Data!F$6=Inputs!$B$13,Source_Data!$C$8,0),Source_Data!F$8)</f>
        <v>15.1392375</v>
      </c>
      <c r="G299" s="33" t="n">
        <f aca="false">Source_Data!G$7+IF($B$297=1,IF(Source_Data!G$6=Inputs!$B$13,Source_Data!$C$8,0),Source_Data!G$8)</f>
        <v>30.278475</v>
      </c>
      <c r="H299" s="33" t="n">
        <f aca="false">Source_Data!H$7+IF($B$297=1,IF(Source_Data!H$6=Inputs!$B$13,Source_Data!$C$8,0),Source_Data!H$8)</f>
        <v>46.51200625</v>
      </c>
      <c r="I299" s="33" t="n">
        <f aca="false">Source_Data!I$7+IF($B$297=1,IF(Source_Data!I$6=Inputs!$B$13,Source_Data!$C$8,0),Source_Data!I$8)</f>
        <v>62.7455375</v>
      </c>
      <c r="J299" s="33" t="n">
        <f aca="false">Source_Data!J$7+IF($B$297=1,IF(Source_Data!J$6=Inputs!$B$13,Source_Data!$C$8,0),Source_Data!J$8)</f>
        <v>62.3657</v>
      </c>
      <c r="K299" s="33" t="n">
        <f aca="false">Source_Data!K$7+IF($B$297=1,IF(Source_Data!K$6=Inputs!$B$13,Source_Data!$C$8,0),Source_Data!K$8)</f>
        <v>63.473559375</v>
      </c>
      <c r="L299" s="33" t="n">
        <f aca="false">Source_Data!L$7+IF($B$297=1,IF(Source_Data!L$6=Inputs!$B$13,Source_Data!$C$8,0),Source_Data!L$8)</f>
        <v>80.3288484375</v>
      </c>
      <c r="M299" s="33" t="n">
        <f aca="false">Source_Data!M$7+IF($B$297=1,IF(Source_Data!M$6=Inputs!$B$13,Source_Data!$C$8,0),Source_Data!M$8)</f>
        <v>495.2538375</v>
      </c>
      <c r="N299" s="33" t="n">
        <f aca="false">Source_Data!N$7+IF($B$297=1,IF(Source_Data!N$6=Inputs!$B$13,Source_Data!$C$8,0),Source_Data!N$8)</f>
        <v>185.57775</v>
      </c>
      <c r="O299" s="33" t="n">
        <f aca="false">Source_Data!O$7+IF($B$297=1,IF(Source_Data!O$6=Inputs!$B$13,Source_Data!$C$8,0),Source_Data!O$8)</f>
        <v>176.534</v>
      </c>
      <c r="P299" s="33" t="n">
        <f aca="false">Source_Data!P$7+IF($B$297=1,IF(Source_Data!P$6=Inputs!$B$13,Source_Data!$C$8,0),Source_Data!P$8)</f>
        <v>97.31075</v>
      </c>
      <c r="Q299" s="33" t="n">
        <f aca="false">Source_Data!Q$7+IF($B$297=1,IF(Source_Data!Q$6=Inputs!$B$13,Source_Data!$C$8,0),Source_Data!Q$8)</f>
        <v>71.30996875</v>
      </c>
      <c r="R299" s="33" t="n">
        <f aca="false">Source_Data!R$7+IF($B$297=1,IF(Source_Data!R$6=Inputs!$B$13,Source_Data!$C$8,0),Source_Data!R$8)</f>
        <v>71.30996875</v>
      </c>
      <c r="S299" s="33" t="n">
        <f aca="false">Source_Data!S$7+IF($B$297=1,IF(Source_Data!S$6=Inputs!$B$13,Source_Data!$C$8,0),Source_Data!S$8)</f>
        <v>68.037035625</v>
      </c>
      <c r="T299" s="33" t="n">
        <f aca="false">Source_Data!T$7+IF($B$297=1,IF(Source_Data!T$6=Inputs!$B$13,Source_Data!$C$8,0),Source_Data!T$8)</f>
        <v>61.2266396875</v>
      </c>
      <c r="U299" s="33" t="n">
        <f aca="false">Source_Data!U$7+IF($B$297=1,IF(Source_Data!U$6=Inputs!$B$13,Source_Data!$C$8,0),Source_Data!U$8)</f>
        <v>59.7127159375</v>
      </c>
      <c r="V299" s="33" t="n">
        <f aca="false">Source_Data!V$7+IF($B$297=1,IF(Source_Data!V$6=Inputs!$B$13,Source_Data!$C$8,0),Source_Data!V$8)</f>
        <v>53.7239446875</v>
      </c>
      <c r="W299" s="33" t="n">
        <f aca="false">Source_Data!W$7+IF($B$297=1,IF(Source_Data!W$6=Inputs!$B$13,Source_Data!$C$8,0),Source_Data!W$8)</f>
        <v>49.3829446875</v>
      </c>
      <c r="X299" s="33" t="n">
        <f aca="false">Source_Data!X$7+IF($B$297=1,IF(Source_Data!X$6=Inputs!$B$13,Source_Data!$C$8,0),Source_Data!X$8)</f>
        <v>49.3829446875</v>
      </c>
      <c r="Y299" s="33" t="n">
        <f aca="false">Source_Data!Y$7+IF($B$297=1,IF(Source_Data!Y$6=Inputs!$B$13,Source_Data!$C$8,0),Source_Data!Y$8)</f>
        <v>42.1027259375</v>
      </c>
      <c r="Z299" s="33" t="n">
        <f aca="false">Source_Data!Z$7+IF($B$297=1,IF(Source_Data!Z$6=Inputs!$B$13,Source_Data!$C$8,0),Source_Data!Z$8)</f>
        <v>42.1027259375</v>
      </c>
      <c r="AA299" s="33" t="n">
        <f aca="false">Source_Data!AA$7+IF($B$297=1,IF(Source_Data!AA$6=Inputs!$B$13,Source_Data!$C$8,0),Source_Data!AA$8)</f>
        <v>42.1027259375</v>
      </c>
      <c r="AB299" s="33" t="n">
        <f aca="false">Source_Data!AB$7+IF($B$297=1,IF(Source_Data!AB$6=Inputs!$B$13,Source_Data!$C$8,0),Source_Data!AB$8)</f>
        <v>36.3147259375</v>
      </c>
      <c r="AC299" s="33" t="n">
        <f aca="false">Source_Data!AC$7+IF($B$297=1,IF(Source_Data!AC$6=Inputs!$B$13,Source_Data!$C$8,0),Source_Data!AC$8)</f>
        <v>33.0386275</v>
      </c>
      <c r="AD299" s="33" t="n">
        <f aca="false">Source_Data!AD$7+IF($B$297=1,IF(Source_Data!AD$6=Inputs!$B$13,Source_Data!$C$8,0),Source_Data!AD$8)</f>
        <v>29.43017125</v>
      </c>
      <c r="AE299" s="33" t="n">
        <f aca="false">Source_Data!AE$7+IF($B$297=1,IF(Source_Data!AE$6=Inputs!$B$13,Source_Data!$C$8,0),Source_Data!AE$8)</f>
        <v>25.08917125</v>
      </c>
      <c r="AF299" s="33" t="n">
        <f aca="false">Source_Data!AF$7+IF($B$297=1,IF(Source_Data!AF$6=Inputs!$B$13,Source_Data!$C$8,0),Source_Data!AF$8)</f>
        <v>25.08917125</v>
      </c>
      <c r="AG299" s="33" t="n">
        <f aca="false">Source_Data!AG$7+IF($B$297=1,IF(Source_Data!AG$6=Inputs!$B$13,Source_Data!$C$8,0),Source_Data!AG$8)</f>
        <v>25.08917125</v>
      </c>
      <c r="AH299" s="33" t="n">
        <f aca="false">Source_Data!AH$7+IF($B$297=1,IF(Source_Data!AH$6=Inputs!$B$13,Source_Data!$C$8,0),Source_Data!AH$8)</f>
        <v>25.08917125</v>
      </c>
      <c r="AI299" s="33" t="n">
        <f aca="false">Source_Data!AI$7+IF($B$297=1,IF(Source_Data!AI$6=Inputs!$B$13,Source_Data!$C$8,0),Source_Data!AI$8)</f>
        <v>25.08917125</v>
      </c>
      <c r="AJ299" s="33" t="n">
        <f aca="false">Source_Data!AJ$7+IF($B$297=1,IF(Source_Data!AJ$6=Inputs!$B$13,Source_Data!$C$8,0),Source_Data!AJ$8)</f>
        <v>25.08917125</v>
      </c>
      <c r="AK299" s="33" t="n">
        <f aca="false">Source_Data!AK$7+IF($B$297=1,IF(Source_Data!AK$6=Inputs!$B$13,Source_Data!$C$8,0),Source_Data!AK$8)</f>
        <v>22.905105625</v>
      </c>
      <c r="AL299" s="33" t="n">
        <f aca="false">Source_Data!AL$7+IF($B$297=1,IF(Source_Data!AL$6=Inputs!$B$13,Source_Data!$C$8,0),Source_Data!AL$8)</f>
        <v>22.905105625</v>
      </c>
      <c r="AM299" s="33" t="n">
        <f aca="false">Source_Data!AM$7+IF($B$297=1,IF(Source_Data!AM$6=Inputs!$B$13,Source_Data!$C$8,0),Source_Data!AM$8)</f>
        <v>18.739554375</v>
      </c>
      <c r="AN299" s="33" t="n">
        <f aca="false">Source_Data!AN$7+IF($B$297=1,IF(Source_Data!AN$6=Inputs!$B$13,Source_Data!$C$8,0),Source_Data!AN$8)</f>
        <v>9.6261675</v>
      </c>
      <c r="AO299" s="33" t="n">
        <f aca="false">Source_Data!AO$7+IF($B$297=1,IF(Source_Data!AO$6=Inputs!$B$13,Source_Data!$C$8,0),Source_Data!AO$8)</f>
        <v>3.5704725</v>
      </c>
      <c r="AP299" s="33" t="n">
        <f aca="false">Source_Data!AP$7+IF($B$297=1,IF(Source_Data!AP$6=Inputs!$B$13,Source_Data!$C$8,0),Source_Data!AP$8)</f>
        <v>0</v>
      </c>
      <c r="AQ299" s="33" t="n">
        <f aca="false">Source_Data!AQ$7+IF($B$297=1,IF(Source_Data!AQ$6=Inputs!$B$13,Source_Data!$C$8,0),Source_Data!AQ$8)</f>
        <v>0</v>
      </c>
      <c r="AR299" s="33" t="n">
        <f aca="false">Source_Data!AR$7+IF($B$297=1,IF(Source_Data!AR$6=Inputs!$B$13,Source_Data!$C$8,0),Source_Data!AR$8)</f>
        <v>0</v>
      </c>
      <c r="AS299" s="33" t="n">
        <f aca="false">Source_Data!AS$7+IF($B$297=1,IF(Source_Data!AS$6=Inputs!$B$13,Source_Data!$C$8,0),Source_Data!AS$8)</f>
        <v>0</v>
      </c>
      <c r="AT299" s="33" t="n">
        <f aca="false">Source_Data!AT$7+IF($B$297=1,IF(Source_Data!AT$6=Inputs!$B$13,Source_Data!$C$8,0),Source_Data!AT$8)</f>
        <v>0</v>
      </c>
      <c r="AU299" s="33" t="n">
        <f aca="false">Source_Data!AU$7+IF($B$297=1,IF(Source_Data!AU$6=Inputs!$B$13,Source_Data!$C$8,0),Source_Data!AU$8)</f>
        <v>0</v>
      </c>
      <c r="AV299" s="33" t="n">
        <f aca="false">Source_Data!AV$7+IF($B$297=1,IF(Source_Data!AV$6=Inputs!$B$13,Source_Data!$C$8,0),Source_Data!AV$8)</f>
        <v>0</v>
      </c>
      <c r="AW299" s="33" t="n">
        <f aca="false">Source_Data!AW$7+IF($B$297=1,IF(Source_Data!AW$6=Inputs!$B$13,Source_Data!$C$8,0),Source_Data!AW$8)</f>
        <v>0</v>
      </c>
      <c r="AX299" s="33" t="n">
        <f aca="false">Source_Data!AX$7+IF($B$297=1,IF(Source_Data!AX$6=Inputs!$B$13,Source_Data!$C$8,0),Source_Data!AX$8)</f>
        <v>0</v>
      </c>
      <c r="AY299" s="33" t="n">
        <f aca="false">Source_Data!AY$7+IF($B$297=1,IF(Source_Data!AY$6=Inputs!$B$13,Source_Data!$C$8,0),Source_Data!AY$8)</f>
        <v>0</v>
      </c>
      <c r="AZ299" s="33" t="n">
        <f aca="false">Source_Data!AZ$7+IF($B$297=1,IF(Source_Data!AZ$6=Inputs!$B$13,Source_Data!$C$8,0),Source_Data!AZ$8)</f>
        <v>0</v>
      </c>
      <c r="BA299" s="33" t="n">
        <f aca="false">Source_Data!BA$7+IF($B$297=1,IF(Source_Data!BA$6=Inputs!$B$13,Source_Data!$C$8,0),Source_Data!BA$8)</f>
        <v>0</v>
      </c>
      <c r="BB299" s="33" t="n">
        <f aca="false">Source_Data!BB$7+IF($B$297=1,IF(Source_Data!BB$6=Inputs!$B$13,Source_Data!$C$8,0),Source_Data!BB$8)</f>
        <v>0</v>
      </c>
      <c r="BC299" s="33" t="n">
        <f aca="false">Source_Data!BC$7+IF($B$297=1,IF(Source_Data!BC$6=Inputs!$B$13,Source_Data!$C$8,0),Source_Data!BC$8)</f>
        <v>0</v>
      </c>
      <c r="BD299" s="33" t="n">
        <f aca="false">Source_Data!BD$7+IF($B$297=1,IF(Source_Data!BD$6=Inputs!$B$13,Source_Data!$C$8,0),Source_Data!BD$8)</f>
        <v>0</v>
      </c>
      <c r="BE299" s="33" t="n">
        <f aca="false">Source_Data!BE$7+IF($B$297=1,IF(Source_Data!BE$6=Inputs!$B$13,Source_Data!$C$8,0),Source_Data!BE$8)</f>
        <v>0</v>
      </c>
      <c r="BF299" s="33" t="n">
        <f aca="false">Source_Data!BF$7+IF($B$297=1,IF(Source_Data!BF$6=Inputs!$B$13,Source_Data!$C$8,0),Source_Data!BF$8)</f>
        <v>0</v>
      </c>
      <c r="BG299" s="33" t="n">
        <f aca="false">Source_Data!BG$7+IF($B$297=1,IF(Source_Data!BG$6=Inputs!$B$13,Source_Data!$C$8,0),Source_Data!BG$8)</f>
        <v>0</v>
      </c>
      <c r="BH299" s="33" t="n">
        <f aca="false">Source_Data!BH$7+IF($B$297=1,IF(Source_Data!BH$6=Inputs!$B$13,Source_Data!$C$8,0),Source_Data!BH$8)</f>
        <v>0</v>
      </c>
      <c r="BI299" s="33" t="n">
        <f aca="false">Source_Data!BI$7+IF($B$297=1,IF(Source_Data!BI$6=Inputs!$B$13,Source_Data!$C$8,0),Source_Data!BI$8)</f>
        <v>0</v>
      </c>
      <c r="BJ299" s="33" t="n">
        <f aca="false">Source_Data!BJ$7+IF($B$297=1,IF(Source_Data!BJ$6=Inputs!$B$13,Source_Data!$C$8,0),Source_Data!BJ$8)</f>
        <v>0</v>
      </c>
      <c r="BK299" s="33" t="n">
        <f aca="false">Source_Data!BK$7+IF($B$297=1,IF(Source_Data!BK$6=Inputs!$B$13,Source_Data!$C$8,0),Source_Data!BK$8)</f>
        <v>0</v>
      </c>
    </row>
    <row r="300" customFormat="false" ht="15" hidden="false" customHeight="false" outlineLevel="0" collapsed="false">
      <c r="A300" s="3" t="s">
        <v>338</v>
      </c>
      <c r="D300" s="33" t="n">
        <f aca="false">$B$293*IF(Source_Data!D$5-($B$294+$B$296)&gt;=1,INDEX($D$299:$BK$299,1,Source_Data!D$5-($B$294+$B$296)),0)</f>
        <v>0</v>
      </c>
      <c r="E300" s="33" t="n">
        <f aca="false">$B$293*IF(Source_Data!E$5-($B$294+$B$296)&gt;=1,INDEX($D$299:$BK$299,1,Source_Data!E$5-($B$294+$B$296)),0)</f>
        <v>0</v>
      </c>
      <c r="F300" s="33" t="n">
        <f aca="false">$B$293*IF(Source_Data!F$5-($B$294+$B$296)&gt;=1,INDEX($D$299:$BK$299,1,Source_Data!F$5-($B$294+$B$296)),0)</f>
        <v>15.1392375</v>
      </c>
      <c r="G300" s="33" t="n">
        <f aca="false">$B$293*IF(Source_Data!G$5-($B$294+$B$296)&gt;=1,INDEX($D$299:$BK$299,1,Source_Data!G$5-($B$294+$B$296)),0)</f>
        <v>30.278475</v>
      </c>
      <c r="H300" s="33" t="n">
        <f aca="false">$B$293*IF(Source_Data!H$5-($B$294+$B$296)&gt;=1,INDEX($D$299:$BK$299,1,Source_Data!H$5-($B$294+$B$296)),0)</f>
        <v>46.51200625</v>
      </c>
      <c r="I300" s="33" t="n">
        <f aca="false">$B$293*IF(Source_Data!I$5-($B$294+$B$296)&gt;=1,INDEX($D$299:$BK$299,1,Source_Data!I$5-($B$294+$B$296)),0)</f>
        <v>62.7455375</v>
      </c>
      <c r="J300" s="33" t="n">
        <f aca="false">$B$293*IF(Source_Data!J$5-($B$294+$B$296)&gt;=1,INDEX($D$299:$BK$299,1,Source_Data!J$5-($B$294+$B$296)),0)</f>
        <v>62.3657</v>
      </c>
      <c r="K300" s="33" t="n">
        <f aca="false">$B$293*IF(Source_Data!K$5-($B$294+$B$296)&gt;=1,INDEX($D$299:$BK$299,1,Source_Data!K$5-($B$294+$B$296)),0)</f>
        <v>63.473559375</v>
      </c>
      <c r="L300" s="33" t="n">
        <f aca="false">$B$293*IF(Source_Data!L$5-($B$294+$B$296)&gt;=1,INDEX($D$299:$BK$299,1,Source_Data!L$5-($B$294+$B$296)),0)</f>
        <v>80.3288484375</v>
      </c>
      <c r="M300" s="33" t="n">
        <f aca="false">$B$293*IF(Source_Data!M$5-($B$294+$B$296)&gt;=1,INDEX($D$299:$BK$299,1,Source_Data!M$5-($B$294+$B$296)),0)</f>
        <v>495.2538375</v>
      </c>
      <c r="N300" s="33" t="n">
        <f aca="false">$B$293*IF(Source_Data!N$5-($B$294+$B$296)&gt;=1,INDEX($D$299:$BK$299,1,Source_Data!N$5-($B$294+$B$296)),0)</f>
        <v>185.57775</v>
      </c>
      <c r="O300" s="33" t="n">
        <f aca="false">$B$293*IF(Source_Data!O$5-($B$294+$B$296)&gt;=1,INDEX($D$299:$BK$299,1,Source_Data!O$5-($B$294+$B$296)),0)</f>
        <v>176.534</v>
      </c>
      <c r="P300" s="33" t="n">
        <f aca="false">$B$293*IF(Source_Data!P$5-($B$294+$B$296)&gt;=1,INDEX($D$299:$BK$299,1,Source_Data!P$5-($B$294+$B$296)),0)</f>
        <v>97.31075</v>
      </c>
      <c r="Q300" s="33" t="n">
        <f aca="false">$B$293*IF(Source_Data!Q$5-($B$294+$B$296)&gt;=1,INDEX($D$299:$BK$299,1,Source_Data!Q$5-($B$294+$B$296)),0)</f>
        <v>71.30996875</v>
      </c>
      <c r="R300" s="33" t="n">
        <f aca="false">$B$293*IF(Source_Data!R$5-($B$294+$B$296)&gt;=1,INDEX($D$299:$BK$299,1,Source_Data!R$5-($B$294+$B$296)),0)</f>
        <v>71.30996875</v>
      </c>
      <c r="S300" s="33" t="n">
        <f aca="false">$B$293*IF(Source_Data!S$5-($B$294+$B$296)&gt;=1,INDEX($D$299:$BK$299,1,Source_Data!S$5-($B$294+$B$296)),0)</f>
        <v>68.037035625</v>
      </c>
      <c r="T300" s="33" t="n">
        <f aca="false">$B$293*IF(Source_Data!T$5-($B$294+$B$296)&gt;=1,INDEX($D$299:$BK$299,1,Source_Data!T$5-($B$294+$B$296)),0)</f>
        <v>61.2266396875</v>
      </c>
      <c r="U300" s="33" t="n">
        <f aca="false">$B$293*IF(Source_Data!U$5-($B$294+$B$296)&gt;=1,INDEX($D$299:$BK$299,1,Source_Data!U$5-($B$294+$B$296)),0)</f>
        <v>59.7127159375</v>
      </c>
      <c r="V300" s="33" t="n">
        <f aca="false">$B$293*IF(Source_Data!V$5-($B$294+$B$296)&gt;=1,INDEX($D$299:$BK$299,1,Source_Data!V$5-($B$294+$B$296)),0)</f>
        <v>53.7239446875</v>
      </c>
      <c r="W300" s="33" t="n">
        <f aca="false">$B$293*IF(Source_Data!W$5-($B$294+$B$296)&gt;=1,INDEX($D$299:$BK$299,1,Source_Data!W$5-($B$294+$B$296)),0)</f>
        <v>49.3829446875</v>
      </c>
      <c r="X300" s="33" t="n">
        <f aca="false">$B$293*IF(Source_Data!X$5-($B$294+$B$296)&gt;=1,INDEX($D$299:$BK$299,1,Source_Data!X$5-($B$294+$B$296)),0)</f>
        <v>49.3829446875</v>
      </c>
      <c r="Y300" s="33" t="n">
        <f aca="false">$B$293*IF(Source_Data!Y$5-($B$294+$B$296)&gt;=1,INDEX($D$299:$BK$299,1,Source_Data!Y$5-($B$294+$B$296)),0)</f>
        <v>42.1027259375</v>
      </c>
      <c r="Z300" s="33" t="n">
        <f aca="false">$B$293*IF(Source_Data!Z$5-($B$294+$B$296)&gt;=1,INDEX($D$299:$BK$299,1,Source_Data!Z$5-($B$294+$B$296)),0)</f>
        <v>42.1027259375</v>
      </c>
      <c r="AA300" s="33" t="n">
        <f aca="false">$B$293*IF(Source_Data!AA$5-($B$294+$B$296)&gt;=1,INDEX($D$299:$BK$299,1,Source_Data!AA$5-($B$294+$B$296)),0)</f>
        <v>42.1027259375</v>
      </c>
      <c r="AB300" s="33" t="n">
        <f aca="false">$B$293*IF(Source_Data!AB$5-($B$294+$B$296)&gt;=1,INDEX($D$299:$BK$299,1,Source_Data!AB$5-($B$294+$B$296)),0)</f>
        <v>36.3147259375</v>
      </c>
      <c r="AC300" s="33" t="n">
        <f aca="false">$B$293*IF(Source_Data!AC$5-($B$294+$B$296)&gt;=1,INDEX($D$299:$BK$299,1,Source_Data!AC$5-($B$294+$B$296)),0)</f>
        <v>33.0386275</v>
      </c>
      <c r="AD300" s="33" t="n">
        <f aca="false">$B$293*IF(Source_Data!AD$5-($B$294+$B$296)&gt;=1,INDEX($D$299:$BK$299,1,Source_Data!AD$5-($B$294+$B$296)),0)</f>
        <v>29.43017125</v>
      </c>
      <c r="AE300" s="33" t="n">
        <f aca="false">$B$293*IF(Source_Data!AE$5-($B$294+$B$296)&gt;=1,INDEX($D$299:$BK$299,1,Source_Data!AE$5-($B$294+$B$296)),0)</f>
        <v>25.08917125</v>
      </c>
      <c r="AF300" s="33" t="n">
        <f aca="false">$B$293*IF(Source_Data!AF$5-($B$294+$B$296)&gt;=1,INDEX($D$299:$BK$299,1,Source_Data!AF$5-($B$294+$B$296)),0)</f>
        <v>25.08917125</v>
      </c>
      <c r="AG300" s="33" t="n">
        <f aca="false">$B$293*IF(Source_Data!AG$5-($B$294+$B$296)&gt;=1,INDEX($D$299:$BK$299,1,Source_Data!AG$5-($B$294+$B$296)),0)</f>
        <v>25.08917125</v>
      </c>
      <c r="AH300" s="33" t="n">
        <f aca="false">$B$293*IF(Source_Data!AH$5-($B$294+$B$296)&gt;=1,INDEX($D$299:$BK$299,1,Source_Data!AH$5-($B$294+$B$296)),0)</f>
        <v>25.08917125</v>
      </c>
      <c r="AI300" s="33" t="n">
        <f aca="false">$B$293*IF(Source_Data!AI$5-($B$294+$B$296)&gt;=1,INDEX($D$299:$BK$299,1,Source_Data!AI$5-($B$294+$B$296)),0)</f>
        <v>25.08917125</v>
      </c>
      <c r="AJ300" s="33" t="n">
        <f aca="false">$B$293*IF(Source_Data!AJ$5-($B$294+$B$296)&gt;=1,INDEX($D$299:$BK$299,1,Source_Data!AJ$5-($B$294+$B$296)),0)</f>
        <v>25.08917125</v>
      </c>
      <c r="AK300" s="33" t="n">
        <f aca="false">$B$293*IF(Source_Data!AK$5-($B$294+$B$296)&gt;=1,INDEX($D$299:$BK$299,1,Source_Data!AK$5-($B$294+$B$296)),0)</f>
        <v>22.905105625</v>
      </c>
      <c r="AL300" s="33" t="n">
        <f aca="false">$B$293*IF(Source_Data!AL$5-($B$294+$B$296)&gt;=1,INDEX($D$299:$BK$299,1,Source_Data!AL$5-($B$294+$B$296)),0)</f>
        <v>22.905105625</v>
      </c>
      <c r="AM300" s="33" t="n">
        <f aca="false">$B$293*IF(Source_Data!AM$5-($B$294+$B$296)&gt;=1,INDEX($D$299:$BK$299,1,Source_Data!AM$5-($B$294+$B$296)),0)</f>
        <v>18.739554375</v>
      </c>
      <c r="AN300" s="33" t="n">
        <f aca="false">$B$293*IF(Source_Data!AN$5-($B$294+$B$296)&gt;=1,INDEX($D$299:$BK$299,1,Source_Data!AN$5-($B$294+$B$296)),0)</f>
        <v>9.6261675</v>
      </c>
      <c r="AO300" s="33" t="n">
        <f aca="false">$B$293*IF(Source_Data!AO$5-($B$294+$B$296)&gt;=1,INDEX($D$299:$BK$299,1,Source_Data!AO$5-($B$294+$B$296)),0)</f>
        <v>3.5704725</v>
      </c>
      <c r="AP300" s="33" t="n">
        <f aca="false">$B$293*IF(Source_Data!AP$5-($B$294+$B$296)&gt;=1,INDEX($D$299:$BK$299,1,Source_Data!AP$5-($B$294+$B$296)),0)</f>
        <v>0</v>
      </c>
      <c r="AQ300" s="33" t="n">
        <f aca="false">$B$293*IF(Source_Data!AQ$5-($B$294+$B$296)&gt;=1,INDEX($D$299:$BK$299,1,Source_Data!AQ$5-($B$294+$B$296)),0)</f>
        <v>0</v>
      </c>
      <c r="AR300" s="33" t="n">
        <f aca="false">$B$293*IF(Source_Data!AR$5-($B$294+$B$296)&gt;=1,INDEX($D$299:$BK$299,1,Source_Data!AR$5-($B$294+$B$296)),0)</f>
        <v>0</v>
      </c>
      <c r="AS300" s="33" t="n">
        <f aca="false">$B$293*IF(Source_Data!AS$5-($B$294+$B$296)&gt;=1,INDEX($D$299:$BK$299,1,Source_Data!AS$5-($B$294+$B$296)),0)</f>
        <v>0</v>
      </c>
      <c r="AT300" s="33" t="n">
        <f aca="false">$B$293*IF(Source_Data!AT$5-($B$294+$B$296)&gt;=1,INDEX($D$299:$BK$299,1,Source_Data!AT$5-($B$294+$B$296)),0)</f>
        <v>0</v>
      </c>
      <c r="AU300" s="33" t="n">
        <f aca="false">$B$293*IF(Source_Data!AU$5-($B$294+$B$296)&gt;=1,INDEX($D$299:$BK$299,1,Source_Data!AU$5-($B$294+$B$296)),0)</f>
        <v>0</v>
      </c>
      <c r="AV300" s="33" t="n">
        <f aca="false">$B$293*IF(Source_Data!AV$5-($B$294+$B$296)&gt;=1,INDEX($D$299:$BK$299,1,Source_Data!AV$5-($B$294+$B$296)),0)</f>
        <v>0</v>
      </c>
      <c r="AW300" s="33" t="n">
        <f aca="false">$B$293*IF(Source_Data!AW$5-($B$294+$B$296)&gt;=1,INDEX($D$299:$BK$299,1,Source_Data!AW$5-($B$294+$B$296)),0)</f>
        <v>0</v>
      </c>
      <c r="AX300" s="33" t="n">
        <f aca="false">$B$293*IF(Source_Data!AX$5-($B$294+$B$296)&gt;=1,INDEX($D$299:$BK$299,1,Source_Data!AX$5-($B$294+$B$296)),0)</f>
        <v>0</v>
      </c>
      <c r="AY300" s="33" t="n">
        <f aca="false">$B$293*IF(Source_Data!AY$5-($B$294+$B$296)&gt;=1,INDEX($D$299:$BK$299,1,Source_Data!AY$5-($B$294+$B$296)),0)</f>
        <v>0</v>
      </c>
      <c r="AZ300" s="33" t="n">
        <f aca="false">$B$293*IF(Source_Data!AZ$5-($B$294+$B$296)&gt;=1,INDEX($D$299:$BK$299,1,Source_Data!AZ$5-($B$294+$B$296)),0)</f>
        <v>0</v>
      </c>
      <c r="BA300" s="33" t="n">
        <f aca="false">$B$293*IF(Source_Data!BA$5-($B$294+$B$296)&gt;=1,INDEX($D$299:$BK$299,1,Source_Data!BA$5-($B$294+$B$296)),0)</f>
        <v>0</v>
      </c>
      <c r="BB300" s="33" t="n">
        <f aca="false">$B$293*IF(Source_Data!BB$5-($B$294+$B$296)&gt;=1,INDEX($D$299:$BK$299,1,Source_Data!BB$5-($B$294+$B$296)),0)</f>
        <v>0</v>
      </c>
      <c r="BC300" s="33" t="n">
        <f aca="false">$B$293*IF(Source_Data!BC$5-($B$294+$B$296)&gt;=1,INDEX($D$299:$BK$299,1,Source_Data!BC$5-($B$294+$B$296)),0)</f>
        <v>0</v>
      </c>
      <c r="BD300" s="33" t="n">
        <f aca="false">$B$293*IF(Source_Data!BD$5-($B$294+$B$296)&gt;=1,INDEX($D$299:$BK$299,1,Source_Data!BD$5-($B$294+$B$296)),0)</f>
        <v>0</v>
      </c>
      <c r="BE300" s="33" t="n">
        <f aca="false">$B$293*IF(Source_Data!BE$5-($B$294+$B$296)&gt;=1,INDEX($D$299:$BK$299,1,Source_Data!BE$5-($B$294+$B$296)),0)</f>
        <v>0</v>
      </c>
      <c r="BF300" s="33" t="n">
        <f aca="false">$B$293*IF(Source_Data!BF$5-($B$294+$B$296)&gt;=1,INDEX($D$299:$BK$299,1,Source_Data!BF$5-($B$294+$B$296)),0)</f>
        <v>0</v>
      </c>
      <c r="BG300" s="33" t="n">
        <f aca="false">$B$293*IF(Source_Data!BG$5-($B$294+$B$296)&gt;=1,INDEX($D$299:$BK$299,1,Source_Data!BG$5-($B$294+$B$296)),0)</f>
        <v>0</v>
      </c>
      <c r="BH300" s="33" t="n">
        <f aca="false">$B$293*IF(Source_Data!BH$5-($B$294+$B$296)&gt;=1,INDEX($D$299:$BK$299,1,Source_Data!BH$5-($B$294+$B$296)),0)</f>
        <v>0</v>
      </c>
      <c r="BI300" s="33" t="n">
        <f aca="false">$B$293*IF(Source_Data!BI$5-($B$294+$B$296)&gt;=1,INDEX($D$299:$BK$299,1,Source_Data!BI$5-($B$294+$B$296)),0)</f>
        <v>0</v>
      </c>
      <c r="BJ300" s="33" t="n">
        <f aca="false">$B$293*IF(Source_Data!BJ$5-($B$294+$B$296)&gt;=1,INDEX($D$299:$BK$299,1,Source_Data!BJ$5-($B$294+$B$296)),0)</f>
        <v>0</v>
      </c>
      <c r="BK300" s="33" t="n">
        <f aca="false">$B$293*IF(Source_Data!BK$5-($B$294+$B$296)&gt;=1,INDEX($D$299:$BK$299,1,Source_Data!BK$5-($B$294+$B$296)),0)</f>
        <v>0</v>
      </c>
    </row>
    <row r="301" customFormat="false" ht="15" hidden="false" customHeight="false" outlineLevel="0" collapsed="false">
      <c r="A301" s="3" t="s">
        <v>339</v>
      </c>
      <c r="D301" s="33" t="n">
        <f aca="false">Source_Data!D$9+Source_Data!D$10*IF(Source_Data!$C$10=0,0,MAX(0,Inputs!$B$19*Inputs!$B$22*$B$293-Inputs!$B$20)/Source_Data!$C$10)</f>
        <v>91.25</v>
      </c>
      <c r="E301" s="33" t="n">
        <f aca="false">Source_Data!E$9+Source_Data!E$10*IF(Source_Data!$C$10=0,0,MAX(0,Inputs!$B$19*Inputs!$B$22*$B$293-Inputs!$B$20)/Source_Data!$C$10)</f>
        <v>11.25</v>
      </c>
      <c r="F301" s="33" t="n">
        <f aca="false">Source_Data!F$9+Source_Data!F$10*IF(Source_Data!$C$10=0,0,MAX(0,Inputs!$B$19*Inputs!$B$22*$B$293-Inputs!$B$20)/Source_Data!$C$10)</f>
        <v>11.25</v>
      </c>
      <c r="G301" s="33" t="n">
        <f aca="false">Source_Data!G$9+Source_Data!G$10*IF(Source_Data!$C$10=0,0,MAX(0,Inputs!$B$19*Inputs!$B$22*$B$293-Inputs!$B$20)/Source_Data!$C$10)</f>
        <v>11.25</v>
      </c>
      <c r="H301" s="33" t="n">
        <f aca="false">Source_Data!H$9+Source_Data!H$10*IF(Source_Data!$C$10=0,0,MAX(0,Inputs!$B$19*Inputs!$B$22*$B$293-Inputs!$B$20)/Source_Data!$C$10)</f>
        <v>22.5</v>
      </c>
      <c r="I301" s="33" t="n">
        <f aca="false">Source_Data!I$9+Source_Data!I$10*IF(Source_Data!$C$10=0,0,MAX(0,Inputs!$B$19*Inputs!$B$22*$B$293-Inputs!$B$20)/Source_Data!$C$10)</f>
        <v>22.5</v>
      </c>
      <c r="J301" s="33" t="n">
        <f aca="false">Source_Data!J$9+Source_Data!J$10*IF(Source_Data!$C$10=0,0,MAX(0,Inputs!$B$19*Inputs!$B$22*$B$293-Inputs!$B$20)/Source_Data!$C$10)</f>
        <v>22.5</v>
      </c>
      <c r="K301" s="33" t="n">
        <f aca="false">Source_Data!K$9+Source_Data!K$10*IF(Source_Data!$C$10=0,0,MAX(0,Inputs!$B$19*Inputs!$B$22*$B$293-Inputs!$B$20)/Source_Data!$C$10)</f>
        <v>22.5</v>
      </c>
      <c r="L301" s="33" t="n">
        <f aca="false">Source_Data!L$9+Source_Data!L$10*IF(Source_Data!$C$10=0,0,MAX(0,Inputs!$B$19*Inputs!$B$22*$B$293-Inputs!$B$20)/Source_Data!$C$10)</f>
        <v>33.75</v>
      </c>
      <c r="M301" s="33" t="n">
        <f aca="false">Source_Data!M$9+Source_Data!M$10*IF(Source_Data!$C$10=0,0,MAX(0,Inputs!$B$19*Inputs!$B$22*$B$293-Inputs!$B$20)/Source_Data!$C$10)</f>
        <v>33.75</v>
      </c>
      <c r="N301" s="33" t="n">
        <f aca="false">Source_Data!N$9+Source_Data!N$10*IF(Source_Data!$C$10=0,0,MAX(0,Inputs!$B$19*Inputs!$B$22*$B$293-Inputs!$B$20)/Source_Data!$C$10)</f>
        <v>33.75</v>
      </c>
      <c r="O301" s="33" t="n">
        <f aca="false">Source_Data!O$9+Source_Data!O$10*IF(Source_Data!$C$10=0,0,MAX(0,Inputs!$B$19*Inputs!$B$22*$B$293-Inputs!$B$20)/Source_Data!$C$10)</f>
        <v>33.75</v>
      </c>
      <c r="P301" s="33" t="n">
        <f aca="false">Source_Data!P$9+Source_Data!P$10*IF(Source_Data!$C$10=0,0,MAX(0,Inputs!$B$19*Inputs!$B$22*$B$293-Inputs!$B$20)/Source_Data!$C$10)</f>
        <v>45</v>
      </c>
      <c r="Q301" s="33" t="n">
        <f aca="false">Source_Data!Q$9+Source_Data!Q$10*IF(Source_Data!$C$10=0,0,MAX(0,Inputs!$B$19*Inputs!$B$22*$B$293-Inputs!$B$20)/Source_Data!$C$10)</f>
        <v>45</v>
      </c>
      <c r="R301" s="33" t="n">
        <f aca="false">Source_Data!R$9+Source_Data!R$10*IF(Source_Data!$C$10=0,0,MAX(0,Inputs!$B$19*Inputs!$B$22*$B$293-Inputs!$B$20)/Source_Data!$C$10)</f>
        <v>45</v>
      </c>
      <c r="S301" s="33" t="n">
        <f aca="false">Source_Data!S$9+Source_Data!S$10*IF(Source_Data!$C$10=0,0,MAX(0,Inputs!$B$19*Inputs!$B$22*$B$293-Inputs!$B$20)/Source_Data!$C$10)</f>
        <v>45</v>
      </c>
      <c r="T301" s="33" t="n">
        <f aca="false">Source_Data!T$9+Source_Data!T$10*IF(Source_Data!$C$10=0,0,MAX(0,Inputs!$B$19*Inputs!$B$22*$B$293-Inputs!$B$20)/Source_Data!$C$10)</f>
        <v>45</v>
      </c>
      <c r="U301" s="33" t="n">
        <f aca="false">Source_Data!U$9+Source_Data!U$10*IF(Source_Data!$C$10=0,0,MAX(0,Inputs!$B$19*Inputs!$B$22*$B$293-Inputs!$B$20)/Source_Data!$C$10)</f>
        <v>45</v>
      </c>
      <c r="V301" s="33" t="n">
        <f aca="false">Source_Data!V$9+Source_Data!V$10*IF(Source_Data!$C$10=0,0,MAX(0,Inputs!$B$19*Inputs!$B$22*$B$293-Inputs!$B$20)/Source_Data!$C$10)</f>
        <v>45</v>
      </c>
      <c r="W301" s="33" t="n">
        <f aca="false">Source_Data!W$9+Source_Data!W$10*IF(Source_Data!$C$10=0,0,MAX(0,Inputs!$B$19*Inputs!$B$22*$B$293-Inputs!$B$20)/Source_Data!$C$10)</f>
        <v>45</v>
      </c>
      <c r="X301" s="33" t="n">
        <f aca="false">Source_Data!X$9+Source_Data!X$10*IF(Source_Data!$C$10=0,0,MAX(0,Inputs!$B$19*Inputs!$B$22*$B$293-Inputs!$B$20)/Source_Data!$C$10)</f>
        <v>22.5</v>
      </c>
      <c r="Y301" s="33" t="n">
        <f aca="false">Source_Data!Y$9+Source_Data!Y$10*IF(Source_Data!$C$10=0,0,MAX(0,Inputs!$B$19*Inputs!$B$22*$B$293-Inputs!$B$20)/Source_Data!$C$10)</f>
        <v>22.5</v>
      </c>
      <c r="Z301" s="33" t="n">
        <f aca="false">Source_Data!Z$9+Source_Data!Z$10*IF(Source_Data!$C$10=0,0,MAX(0,Inputs!$B$19*Inputs!$B$22*$B$293-Inputs!$B$20)/Source_Data!$C$10)</f>
        <v>22.5</v>
      </c>
      <c r="AA301" s="33" t="n">
        <f aca="false">Source_Data!AA$9+Source_Data!AA$10*IF(Source_Data!$C$10=0,0,MAX(0,Inputs!$B$19*Inputs!$B$22*$B$293-Inputs!$B$20)/Source_Data!$C$10)</f>
        <v>22.5</v>
      </c>
      <c r="AB301" s="33" t="n">
        <f aca="false">Source_Data!AB$9+Source_Data!AB$10*IF(Source_Data!$C$10=0,0,MAX(0,Inputs!$B$19*Inputs!$B$22*$B$293-Inputs!$B$20)/Source_Data!$C$10)</f>
        <v>0</v>
      </c>
      <c r="AC301" s="33" t="n">
        <f aca="false">Source_Data!AC$9+Source_Data!AC$10*IF(Source_Data!$C$10=0,0,MAX(0,Inputs!$B$19*Inputs!$B$22*$B$293-Inputs!$B$20)/Source_Data!$C$10)</f>
        <v>0</v>
      </c>
      <c r="AD301" s="33" t="n">
        <f aca="false">Source_Data!AD$9+Source_Data!AD$10*IF(Source_Data!$C$10=0,0,MAX(0,Inputs!$B$19*Inputs!$B$22*$B$293-Inputs!$B$20)/Source_Data!$C$10)</f>
        <v>0</v>
      </c>
      <c r="AE301" s="33" t="n">
        <f aca="false">Source_Data!AE$9+Source_Data!AE$10*IF(Source_Data!$C$10=0,0,MAX(0,Inputs!$B$19*Inputs!$B$22*$B$293-Inputs!$B$20)/Source_Data!$C$10)</f>
        <v>0</v>
      </c>
      <c r="AF301" s="33" t="n">
        <f aca="false">Source_Data!AF$9+Source_Data!AF$10*IF(Source_Data!$C$10=0,0,MAX(0,Inputs!$B$19*Inputs!$B$22*$B$293-Inputs!$B$20)/Source_Data!$C$10)</f>
        <v>107.758210351563</v>
      </c>
      <c r="AG301" s="33" t="n">
        <f aca="false">Source_Data!AG$9+Source_Data!AG$10*IF(Source_Data!$C$10=0,0,MAX(0,Inputs!$B$19*Inputs!$B$22*$B$293-Inputs!$B$20)/Source_Data!$C$10)</f>
        <v>10.976512421875</v>
      </c>
      <c r="AH301" s="33" t="n">
        <f aca="false">Source_Data!AH$9+Source_Data!AH$10*IF(Source_Data!$C$10=0,0,MAX(0,Inputs!$B$19*Inputs!$B$22*$B$293-Inputs!$B$20)/Source_Data!$C$10)</f>
        <v>10.976512421875</v>
      </c>
      <c r="AI301" s="33" t="n">
        <f aca="false">Source_Data!AI$9+Source_Data!AI$10*IF(Source_Data!$C$10=0,0,MAX(0,Inputs!$B$19*Inputs!$B$22*$B$293-Inputs!$B$20)/Source_Data!$C$10)</f>
        <v>10.976512421875</v>
      </c>
      <c r="AJ301" s="33" t="n">
        <f aca="false">Source_Data!AJ$9+Source_Data!AJ$10*IF(Source_Data!$C$10=0,0,MAX(0,Inputs!$B$19*Inputs!$B$22*$B$293-Inputs!$B$20)/Source_Data!$C$10)</f>
        <v>10.976512421875</v>
      </c>
      <c r="AK301" s="33" t="n">
        <f aca="false">Source_Data!AK$9+Source_Data!AK$10*IF(Source_Data!$C$10=0,0,MAX(0,Inputs!$B$19*Inputs!$B$22*$B$293-Inputs!$B$20)/Source_Data!$C$10)</f>
        <v>10.0209837109375</v>
      </c>
      <c r="AL301" s="33" t="n">
        <f aca="false">Source_Data!AL$9+Source_Data!AL$10*IF(Source_Data!$C$10=0,0,MAX(0,Inputs!$B$19*Inputs!$B$22*$B$293-Inputs!$B$20)/Source_Data!$C$10)</f>
        <v>10.0209837109375</v>
      </c>
      <c r="AM301" s="33" t="n">
        <f aca="false">Source_Data!AM$9+Source_Data!AM$10*IF(Source_Data!$C$10=0,0,MAX(0,Inputs!$B$19*Inputs!$B$22*$B$293-Inputs!$B$20)/Source_Data!$C$10)</f>
        <v>8.19855503906249</v>
      </c>
      <c r="AN301" s="33" t="n">
        <f aca="false">Source_Data!AN$9+Source_Data!AN$10*IF(Source_Data!$C$10=0,0,MAX(0,Inputs!$B$19*Inputs!$B$22*$B$293-Inputs!$B$20)/Source_Data!$C$10)</f>
        <v>4.21144828125</v>
      </c>
      <c r="AO301" s="33" t="n">
        <f aca="false">Source_Data!AO$9+Source_Data!AO$10*IF(Source_Data!$C$10=0,0,MAX(0,Inputs!$B$19*Inputs!$B$22*$B$293-Inputs!$B$20)/Source_Data!$C$10)</f>
        <v>1.56208171875</v>
      </c>
      <c r="AP301" s="33" t="n">
        <f aca="false">Source_Data!AP$9+Source_Data!AP$10*IF(Source_Data!$C$10=0,0,MAX(0,Inputs!$B$19*Inputs!$B$22*$B$293-Inputs!$B$20)/Source_Data!$C$10)</f>
        <v>0</v>
      </c>
      <c r="AQ301" s="33" t="n">
        <f aca="false">Source_Data!AQ$9+Source_Data!AQ$10*IF(Source_Data!$C$10=0,0,MAX(0,Inputs!$B$19*Inputs!$B$22*$B$293-Inputs!$B$20)/Source_Data!$C$10)</f>
        <v>0</v>
      </c>
      <c r="AR301" s="33" t="n">
        <f aca="false">Source_Data!AR$9+Source_Data!AR$10*IF(Source_Data!$C$10=0,0,MAX(0,Inputs!$B$19*Inputs!$B$22*$B$293-Inputs!$B$20)/Source_Data!$C$10)</f>
        <v>0</v>
      </c>
      <c r="AS301" s="33" t="n">
        <f aca="false">Source_Data!AS$9+Source_Data!AS$10*IF(Source_Data!$C$10=0,0,MAX(0,Inputs!$B$19*Inputs!$B$22*$B$293-Inputs!$B$20)/Source_Data!$C$10)</f>
        <v>0</v>
      </c>
      <c r="AT301" s="33" t="n">
        <f aca="false">Source_Data!AT$9+Source_Data!AT$10*IF(Source_Data!$C$10=0,0,MAX(0,Inputs!$B$19*Inputs!$B$22*$B$293-Inputs!$B$20)/Source_Data!$C$10)</f>
        <v>0</v>
      </c>
      <c r="AU301" s="33" t="n">
        <f aca="false">Source_Data!AU$9+Source_Data!AU$10*IF(Source_Data!$C$10=0,0,MAX(0,Inputs!$B$19*Inputs!$B$22*$B$293-Inputs!$B$20)/Source_Data!$C$10)</f>
        <v>0</v>
      </c>
      <c r="AV301" s="33" t="n">
        <f aca="false">Source_Data!AV$9+Source_Data!AV$10*IF(Source_Data!$C$10=0,0,MAX(0,Inputs!$B$19*Inputs!$B$22*$B$293-Inputs!$B$20)/Source_Data!$C$10)</f>
        <v>0</v>
      </c>
      <c r="AW301" s="33" t="n">
        <f aca="false">Source_Data!AW$9+Source_Data!AW$10*IF(Source_Data!$C$10=0,0,MAX(0,Inputs!$B$19*Inputs!$B$22*$B$293-Inputs!$B$20)/Source_Data!$C$10)</f>
        <v>0</v>
      </c>
      <c r="AX301" s="33" t="n">
        <f aca="false">Source_Data!AX$9+Source_Data!AX$10*IF(Source_Data!$C$10=0,0,MAX(0,Inputs!$B$19*Inputs!$B$22*$B$293-Inputs!$B$20)/Source_Data!$C$10)</f>
        <v>0</v>
      </c>
      <c r="AY301" s="33" t="n">
        <f aca="false">Source_Data!AY$9+Source_Data!AY$10*IF(Source_Data!$C$10=0,0,MAX(0,Inputs!$B$19*Inputs!$B$22*$B$293-Inputs!$B$20)/Source_Data!$C$10)</f>
        <v>0</v>
      </c>
      <c r="AZ301" s="33" t="n">
        <f aca="false">Source_Data!AZ$9+Source_Data!AZ$10*IF(Source_Data!$C$10=0,0,MAX(0,Inputs!$B$19*Inputs!$B$22*$B$293-Inputs!$B$20)/Source_Data!$C$10)</f>
        <v>0</v>
      </c>
      <c r="BA301" s="33" t="n">
        <f aca="false">Source_Data!BA$9+Source_Data!BA$10*IF(Source_Data!$C$10=0,0,MAX(0,Inputs!$B$19*Inputs!$B$22*$B$293-Inputs!$B$20)/Source_Data!$C$10)</f>
        <v>0</v>
      </c>
      <c r="BB301" s="33" t="n">
        <f aca="false">Source_Data!BB$9+Source_Data!BB$10*IF(Source_Data!$C$10=0,0,MAX(0,Inputs!$B$19*Inputs!$B$22*$B$293-Inputs!$B$20)/Source_Data!$C$10)</f>
        <v>0</v>
      </c>
      <c r="BC301" s="33" t="n">
        <f aca="false">Source_Data!BC$9+Source_Data!BC$10*IF(Source_Data!$C$10=0,0,MAX(0,Inputs!$B$19*Inputs!$B$22*$B$293-Inputs!$B$20)/Source_Data!$C$10)</f>
        <v>0</v>
      </c>
      <c r="BD301" s="33" t="n">
        <f aca="false">Source_Data!BD$9+Source_Data!BD$10*IF(Source_Data!$C$10=0,0,MAX(0,Inputs!$B$19*Inputs!$B$22*$B$293-Inputs!$B$20)/Source_Data!$C$10)</f>
        <v>0</v>
      </c>
      <c r="BE301" s="33" t="n">
        <f aca="false">Source_Data!BE$9+Source_Data!BE$10*IF(Source_Data!$C$10=0,0,MAX(0,Inputs!$B$19*Inputs!$B$22*$B$293-Inputs!$B$20)/Source_Data!$C$10)</f>
        <v>0</v>
      </c>
      <c r="BF301" s="33" t="n">
        <f aca="false">Source_Data!BF$9+Source_Data!BF$10*IF(Source_Data!$C$10=0,0,MAX(0,Inputs!$B$19*Inputs!$B$22*$B$293-Inputs!$B$20)/Source_Data!$C$10)</f>
        <v>0</v>
      </c>
      <c r="BG301" s="33" t="n">
        <f aca="false">Source_Data!BG$9+Source_Data!BG$10*IF(Source_Data!$C$10=0,0,MAX(0,Inputs!$B$19*Inputs!$B$22*$B$293-Inputs!$B$20)/Source_Data!$C$10)</f>
        <v>0</v>
      </c>
      <c r="BH301" s="33" t="n">
        <f aca="false">Source_Data!BH$9+Source_Data!BH$10*IF(Source_Data!$C$10=0,0,MAX(0,Inputs!$B$19*Inputs!$B$22*$B$293-Inputs!$B$20)/Source_Data!$C$10)</f>
        <v>0</v>
      </c>
      <c r="BI301" s="33" t="n">
        <f aca="false">Source_Data!BI$9+Source_Data!BI$10*IF(Source_Data!$C$10=0,0,MAX(0,Inputs!$B$19*Inputs!$B$22*$B$293-Inputs!$B$20)/Source_Data!$C$10)</f>
        <v>0</v>
      </c>
      <c r="BJ301" s="33" t="n">
        <f aca="false">Source_Data!BJ$9+Source_Data!BJ$10*IF(Source_Data!$C$10=0,0,MAX(0,Inputs!$B$19*Inputs!$B$22*$B$293-Inputs!$B$20)/Source_Data!$C$10)</f>
        <v>0</v>
      </c>
      <c r="BK301" s="33" t="n">
        <f aca="false">Source_Data!BK$9+Source_Data!BK$10*IF(Source_Data!$C$10=0,0,MAX(0,Inputs!$B$19*Inputs!$B$22*$B$293-Inputs!$B$20)/Source_Data!$C$10)</f>
        <v>0</v>
      </c>
    </row>
    <row r="302" customFormat="false" ht="15" hidden="false" customHeight="false" outlineLevel="0" collapsed="false">
      <c r="A302" s="3" t="s">
        <v>194</v>
      </c>
      <c r="D302" s="33" t="n">
        <f aca="false">Source_Data!D$11*$B$295</f>
        <v>0</v>
      </c>
      <c r="E302" s="33" t="n">
        <f aca="false">Source_Data!E$11*$B$295</f>
        <v>0</v>
      </c>
      <c r="F302" s="33" t="n">
        <f aca="false">Source_Data!F$11*$B$295</f>
        <v>0</v>
      </c>
      <c r="G302" s="33" t="n">
        <f aca="false">Source_Data!G$11*$B$295</f>
        <v>0</v>
      </c>
      <c r="H302" s="33" t="n">
        <f aca="false">Source_Data!H$11*$B$295</f>
        <v>22</v>
      </c>
      <c r="I302" s="33" t="n">
        <f aca="false">Source_Data!I$11*$B$295</f>
        <v>29.04</v>
      </c>
      <c r="J302" s="33" t="n">
        <f aca="false">Source_Data!J$11*$B$295</f>
        <v>44</v>
      </c>
      <c r="K302" s="33" t="n">
        <f aca="false">Source_Data!K$11*$B$295</f>
        <v>29.04</v>
      </c>
      <c r="L302" s="33" t="n">
        <f aca="false">Source_Data!L$11*$B$295</f>
        <v>29.04</v>
      </c>
      <c r="M302" s="33" t="n">
        <f aca="false">Source_Data!M$11*$B$295</f>
        <v>29.04</v>
      </c>
      <c r="N302" s="33" t="n">
        <f aca="false">Source_Data!N$11*$B$295</f>
        <v>5.808</v>
      </c>
      <c r="O302" s="33" t="n">
        <f aca="false">Source_Data!O$11*$B$295</f>
        <v>5.808</v>
      </c>
      <c r="P302" s="33" t="n">
        <f aca="false">Source_Data!P$11*$B$295</f>
        <v>132</v>
      </c>
      <c r="Q302" s="33" t="n">
        <f aca="false">Source_Data!Q$11*$B$295</f>
        <v>132</v>
      </c>
      <c r="R302" s="33" t="n">
        <f aca="false">Source_Data!R$11*$B$295</f>
        <v>180.4</v>
      </c>
      <c r="S302" s="33" t="n">
        <f aca="false">Source_Data!S$11*$B$295</f>
        <v>128.7</v>
      </c>
      <c r="T302" s="33" t="n">
        <f aca="false">Source_Data!T$11*$B$295</f>
        <v>0</v>
      </c>
      <c r="U302" s="33" t="n">
        <f aca="false">Source_Data!U$11*$B$295</f>
        <v>0</v>
      </c>
      <c r="V302" s="33" t="n">
        <f aca="false">Source_Data!V$11*$B$295</f>
        <v>0</v>
      </c>
      <c r="W302" s="33" t="n">
        <f aca="false">Source_Data!W$11*$B$295</f>
        <v>0</v>
      </c>
      <c r="X302" s="33" t="n">
        <f aca="false">Source_Data!X$11*$B$295</f>
        <v>0</v>
      </c>
      <c r="Y302" s="33" t="n">
        <f aca="false">Source_Data!Y$11*$B$295</f>
        <v>0</v>
      </c>
      <c r="Z302" s="33" t="n">
        <f aca="false">Source_Data!Z$11*$B$295</f>
        <v>0</v>
      </c>
      <c r="AA302" s="33" t="n">
        <f aca="false">Source_Data!AA$11*$B$295</f>
        <v>0</v>
      </c>
      <c r="AB302" s="33" t="n">
        <f aca="false">Source_Data!AB$11*$B$295</f>
        <v>0</v>
      </c>
      <c r="AC302" s="33" t="n">
        <f aca="false">Source_Data!AC$11*$B$295</f>
        <v>0</v>
      </c>
      <c r="AD302" s="33" t="n">
        <f aca="false">Source_Data!AD$11*$B$295</f>
        <v>0</v>
      </c>
      <c r="AE302" s="33" t="n">
        <f aca="false">Source_Data!AE$11*$B$295</f>
        <v>0</v>
      </c>
      <c r="AF302" s="33" t="n">
        <f aca="false">Source_Data!AF$11*$B$295</f>
        <v>0</v>
      </c>
      <c r="AG302" s="33" t="n">
        <f aca="false">Source_Data!AG$11*$B$295</f>
        <v>0</v>
      </c>
      <c r="AH302" s="33" t="n">
        <f aca="false">Source_Data!AH$11*$B$295</f>
        <v>0</v>
      </c>
      <c r="AI302" s="33" t="n">
        <f aca="false">Source_Data!AI$11*$B$295</f>
        <v>0</v>
      </c>
      <c r="AJ302" s="33" t="n">
        <f aca="false">Source_Data!AJ$11*$B$295</f>
        <v>0</v>
      </c>
      <c r="AK302" s="33" t="n">
        <f aca="false">Source_Data!AK$11*$B$295</f>
        <v>0</v>
      </c>
      <c r="AL302" s="33" t="n">
        <f aca="false">Source_Data!AL$11*$B$295</f>
        <v>0</v>
      </c>
      <c r="AM302" s="33" t="n">
        <f aca="false">Source_Data!AM$11*$B$295</f>
        <v>0</v>
      </c>
      <c r="AN302" s="33" t="n">
        <f aca="false">Source_Data!AN$11*$B$295</f>
        <v>0</v>
      </c>
      <c r="AO302" s="33" t="n">
        <f aca="false">Source_Data!AO$11*$B$295</f>
        <v>0</v>
      </c>
      <c r="AP302" s="33" t="n">
        <f aca="false">Source_Data!AP$11*$B$295</f>
        <v>0</v>
      </c>
      <c r="AQ302" s="33" t="n">
        <f aca="false">Source_Data!AQ$11*$B$295</f>
        <v>0</v>
      </c>
      <c r="AR302" s="33" t="n">
        <f aca="false">Source_Data!AR$11*$B$295</f>
        <v>0</v>
      </c>
      <c r="AS302" s="33" t="n">
        <f aca="false">Source_Data!AS$11*$B$295</f>
        <v>0</v>
      </c>
      <c r="AT302" s="33" t="n">
        <f aca="false">Source_Data!AT$11*$B$295</f>
        <v>0</v>
      </c>
      <c r="AU302" s="33" t="n">
        <f aca="false">Source_Data!AU$11*$B$295</f>
        <v>0</v>
      </c>
      <c r="AV302" s="33" t="n">
        <f aca="false">Source_Data!AV$11*$B$295</f>
        <v>0</v>
      </c>
      <c r="AW302" s="33" t="n">
        <f aca="false">Source_Data!AW$11*$B$295</f>
        <v>0</v>
      </c>
      <c r="AX302" s="33" t="n">
        <f aca="false">Source_Data!AX$11*$B$295</f>
        <v>0</v>
      </c>
      <c r="AY302" s="33" t="n">
        <f aca="false">Source_Data!AY$11*$B$295</f>
        <v>0</v>
      </c>
      <c r="AZ302" s="33" t="n">
        <f aca="false">Source_Data!AZ$11*$B$295</f>
        <v>0</v>
      </c>
      <c r="BA302" s="33" t="n">
        <f aca="false">Source_Data!BA$11*$B$295</f>
        <v>0</v>
      </c>
      <c r="BB302" s="33" t="n">
        <f aca="false">Source_Data!BB$11*$B$295</f>
        <v>0</v>
      </c>
      <c r="BC302" s="33" t="n">
        <f aca="false">Source_Data!BC$11*$B$295</f>
        <v>0</v>
      </c>
      <c r="BD302" s="33" t="n">
        <f aca="false">Source_Data!BD$11*$B$295</f>
        <v>0</v>
      </c>
      <c r="BE302" s="33" t="n">
        <f aca="false">Source_Data!BE$11*$B$295</f>
        <v>0</v>
      </c>
      <c r="BF302" s="33" t="n">
        <f aca="false">Source_Data!BF$11*$B$295</f>
        <v>0</v>
      </c>
      <c r="BG302" s="33" t="n">
        <f aca="false">Source_Data!BG$11*$B$295</f>
        <v>0</v>
      </c>
      <c r="BH302" s="33" t="n">
        <f aca="false">Source_Data!BH$11*$B$295</f>
        <v>0</v>
      </c>
      <c r="BI302" s="33" t="n">
        <f aca="false">Source_Data!BI$11*$B$295</f>
        <v>0</v>
      </c>
      <c r="BJ302" s="33" t="n">
        <f aca="false">Source_Data!BJ$11*$B$295</f>
        <v>0</v>
      </c>
      <c r="BK302" s="33" t="n">
        <f aca="false">Source_Data!BK$11*$B$295</f>
        <v>0</v>
      </c>
    </row>
    <row r="303" customFormat="false" ht="15" hidden="false" customHeight="false" outlineLevel="0" collapsed="false">
      <c r="A303" s="3" t="s">
        <v>196</v>
      </c>
      <c r="D303" s="33" t="n">
        <f aca="false">$B$293*IF(Source_Data!D$5-$B$294&gt;=1,INDEX(Source_Data!$D$12:$BK$12,1,Source_Data!D$5-$B$294),0)</f>
        <v>0</v>
      </c>
      <c r="E303" s="33" t="n">
        <f aca="false">$B$293*IF(Source_Data!E$5-$B$294&gt;=1,INDEX(Source_Data!$D$12:$BK$12,1,Source_Data!E$5-$B$294),0)</f>
        <v>0</v>
      </c>
      <c r="F303" s="33" t="n">
        <f aca="false">$B$293*IF(Source_Data!F$5-$B$294&gt;=1,INDEX(Source_Data!$D$12:$BK$12,1,Source_Data!F$5-$B$294),0)</f>
        <v>0</v>
      </c>
      <c r="G303" s="33" t="n">
        <f aca="false">$B$293*IF(Source_Data!G$5-$B$294&gt;=1,INDEX(Source_Data!$D$12:$BK$12,1,Source_Data!G$5-$B$294),0)</f>
        <v>0</v>
      </c>
      <c r="H303" s="33" t="n">
        <f aca="false">$B$293*IF(Source_Data!H$5-$B$294&gt;=1,INDEX(Source_Data!$D$12:$BK$12,1,Source_Data!H$5-$B$294),0)</f>
        <v>0</v>
      </c>
      <c r="I303" s="33" t="n">
        <f aca="false">$B$293*IF(Source_Data!I$5-$B$294&gt;=1,INDEX(Source_Data!$D$12:$BK$12,1,Source_Data!I$5-$B$294),0)</f>
        <v>0</v>
      </c>
      <c r="J303" s="33" t="n">
        <f aca="false">$B$293*IF(Source_Data!J$5-$B$294&gt;=1,INDEX(Source_Data!$D$12:$BK$12,1,Source_Data!J$5-$B$294),0)</f>
        <v>12.11139</v>
      </c>
      <c r="K303" s="33" t="n">
        <f aca="false">$B$293*IF(Source_Data!K$5-$B$294&gt;=1,INDEX(Source_Data!$D$12:$BK$12,1,Source_Data!K$5-$B$294),0)</f>
        <v>12.11139</v>
      </c>
      <c r="L303" s="33" t="n">
        <f aca="false">$B$293*IF(Source_Data!L$5-$B$294&gt;=1,INDEX(Source_Data!$D$12:$BK$12,1,Source_Data!L$5-$B$294),0)</f>
        <v>9.52126</v>
      </c>
      <c r="M303" s="33" t="n">
        <f aca="false">$B$293*IF(Source_Data!M$5-$B$294&gt;=1,INDEX(Source_Data!$D$12:$BK$12,1,Source_Data!M$5-$B$294),0)</f>
        <v>9.52126</v>
      </c>
      <c r="N303" s="33" t="n">
        <f aca="false">$B$293*IF(Source_Data!N$5-$B$294&gt;=1,INDEX(Source_Data!$D$12:$BK$12,1,Source_Data!N$5-$B$294),0)</f>
        <v>6.98901</v>
      </c>
      <c r="O303" s="33" t="n">
        <f aca="false">$B$293*IF(Source_Data!O$5-$B$294&gt;=1,INDEX(Source_Data!$D$12:$BK$12,1,Source_Data!O$5-$B$294),0)</f>
        <v>6.98901</v>
      </c>
      <c r="P303" s="33" t="n">
        <f aca="false">$B$293*IF(Source_Data!P$5-$B$294&gt;=1,INDEX(Source_Data!$D$12:$BK$12,1,Source_Data!P$5-$B$294),0)</f>
        <v>7.69804</v>
      </c>
      <c r="Q303" s="33" t="n">
        <f aca="false">$B$293*IF(Source_Data!Q$5-$B$294&gt;=1,INDEX(Source_Data!$D$12:$BK$12,1,Source_Data!Q$5-$B$294),0)</f>
        <v>9.2608</v>
      </c>
      <c r="R303" s="33" t="n">
        <f aca="false">$B$293*IF(Source_Data!R$5-$B$294&gt;=1,INDEX(Source_Data!$D$12:$BK$12,1,Source_Data!R$5-$B$294),0)</f>
        <v>9.2608</v>
      </c>
      <c r="S303" s="33" t="n">
        <f aca="false">$B$293*IF(Source_Data!S$5-$B$294&gt;=1,INDEX(Source_Data!$D$12:$BK$12,1,Source_Data!S$5-$B$294),0)</f>
        <v>6.6562</v>
      </c>
      <c r="T303" s="33" t="n">
        <f aca="false">$B$293*IF(Source_Data!T$5-$B$294&gt;=1,INDEX(Source_Data!$D$12:$BK$12,1,Source_Data!T$5-$B$294),0)</f>
        <v>0</v>
      </c>
      <c r="U303" s="33" t="n">
        <f aca="false">$B$293*IF(Source_Data!U$5-$B$294&gt;=1,INDEX(Source_Data!$D$12:$BK$12,1,Source_Data!U$5-$B$294),0)</f>
        <v>0</v>
      </c>
      <c r="V303" s="33" t="n">
        <f aca="false">$B$293*IF(Source_Data!V$5-$B$294&gt;=1,INDEX(Source_Data!$D$12:$BK$12,1,Source_Data!V$5-$B$294),0)</f>
        <v>0</v>
      </c>
      <c r="W303" s="33" t="n">
        <f aca="false">$B$293*IF(Source_Data!W$5-$B$294&gt;=1,INDEX(Source_Data!$D$12:$BK$12,1,Source_Data!W$5-$B$294),0)</f>
        <v>0</v>
      </c>
      <c r="X303" s="33" t="n">
        <f aca="false">$B$293*IF(Source_Data!X$5-$B$294&gt;=1,INDEX(Source_Data!$D$12:$BK$12,1,Source_Data!X$5-$B$294),0)</f>
        <v>0</v>
      </c>
      <c r="Y303" s="33" t="n">
        <f aca="false">$B$293*IF(Source_Data!Y$5-$B$294&gt;=1,INDEX(Source_Data!$D$12:$BK$12,1,Source_Data!Y$5-$B$294),0)</f>
        <v>0</v>
      </c>
      <c r="Z303" s="33" t="n">
        <f aca="false">$B$293*IF(Source_Data!Z$5-$B$294&gt;=1,INDEX(Source_Data!$D$12:$BK$12,1,Source_Data!Z$5-$B$294),0)</f>
        <v>0</v>
      </c>
      <c r="AA303" s="33" t="n">
        <f aca="false">$B$293*IF(Source_Data!AA$5-$B$294&gt;=1,INDEX(Source_Data!$D$12:$BK$12,1,Source_Data!AA$5-$B$294),0)</f>
        <v>0</v>
      </c>
      <c r="AB303" s="33" t="n">
        <f aca="false">$B$293*IF(Source_Data!AB$5-$B$294&gt;=1,INDEX(Source_Data!$D$12:$BK$12,1,Source_Data!AB$5-$B$294),0)</f>
        <v>0</v>
      </c>
      <c r="AC303" s="33" t="n">
        <f aca="false">$B$293*IF(Source_Data!AC$5-$B$294&gt;=1,INDEX(Source_Data!$D$12:$BK$12,1,Source_Data!AC$5-$B$294),0)</f>
        <v>0</v>
      </c>
      <c r="AD303" s="33" t="n">
        <f aca="false">$B$293*IF(Source_Data!AD$5-$B$294&gt;=1,INDEX(Source_Data!$D$12:$BK$12,1,Source_Data!AD$5-$B$294),0)</f>
        <v>0</v>
      </c>
      <c r="AE303" s="33" t="n">
        <f aca="false">$B$293*IF(Source_Data!AE$5-$B$294&gt;=1,INDEX(Source_Data!$D$12:$BK$12,1,Source_Data!AE$5-$B$294),0)</f>
        <v>0</v>
      </c>
      <c r="AF303" s="33" t="n">
        <f aca="false">$B$293*IF(Source_Data!AF$5-$B$294&gt;=1,INDEX(Source_Data!$D$12:$BK$12,1,Source_Data!AF$5-$B$294),0)</f>
        <v>0</v>
      </c>
      <c r="AG303" s="33" t="n">
        <f aca="false">$B$293*IF(Source_Data!AG$5-$B$294&gt;=1,INDEX(Source_Data!$D$12:$BK$12,1,Source_Data!AG$5-$B$294),0)</f>
        <v>0</v>
      </c>
      <c r="AH303" s="33" t="n">
        <f aca="false">$B$293*IF(Source_Data!AH$5-$B$294&gt;=1,INDEX(Source_Data!$D$12:$BK$12,1,Source_Data!AH$5-$B$294),0)</f>
        <v>0</v>
      </c>
      <c r="AI303" s="33" t="n">
        <f aca="false">$B$293*IF(Source_Data!AI$5-$B$294&gt;=1,INDEX(Source_Data!$D$12:$BK$12,1,Source_Data!AI$5-$B$294),0)</f>
        <v>0</v>
      </c>
      <c r="AJ303" s="33" t="n">
        <f aca="false">$B$293*IF(Source_Data!AJ$5-$B$294&gt;=1,INDEX(Source_Data!$D$12:$BK$12,1,Source_Data!AJ$5-$B$294),0)</f>
        <v>0</v>
      </c>
      <c r="AK303" s="33" t="n">
        <f aca="false">$B$293*IF(Source_Data!AK$5-$B$294&gt;=1,INDEX(Source_Data!$D$12:$BK$12,1,Source_Data!AK$5-$B$294),0)</f>
        <v>0</v>
      </c>
      <c r="AL303" s="33" t="n">
        <f aca="false">$B$293*IF(Source_Data!AL$5-$B$294&gt;=1,INDEX(Source_Data!$D$12:$BK$12,1,Source_Data!AL$5-$B$294),0)</f>
        <v>0</v>
      </c>
      <c r="AM303" s="33" t="n">
        <f aca="false">$B$293*IF(Source_Data!AM$5-$B$294&gt;=1,INDEX(Source_Data!$D$12:$BK$12,1,Source_Data!AM$5-$B$294),0)</f>
        <v>0</v>
      </c>
      <c r="AN303" s="33" t="n">
        <f aca="false">$B$293*IF(Source_Data!AN$5-$B$294&gt;=1,INDEX(Source_Data!$D$12:$BK$12,1,Source_Data!AN$5-$B$294),0)</f>
        <v>0</v>
      </c>
      <c r="AO303" s="33" t="n">
        <f aca="false">$B$293*IF(Source_Data!AO$5-$B$294&gt;=1,INDEX(Source_Data!$D$12:$BK$12,1,Source_Data!AO$5-$B$294),0)</f>
        <v>0</v>
      </c>
      <c r="AP303" s="33" t="n">
        <f aca="false">$B$293*IF(Source_Data!AP$5-$B$294&gt;=1,INDEX(Source_Data!$D$12:$BK$12,1,Source_Data!AP$5-$B$294),0)</f>
        <v>0</v>
      </c>
      <c r="AQ303" s="33" t="n">
        <f aca="false">$B$293*IF(Source_Data!AQ$5-$B$294&gt;=1,INDEX(Source_Data!$D$12:$BK$12,1,Source_Data!AQ$5-$B$294),0)</f>
        <v>0</v>
      </c>
      <c r="AR303" s="33" t="n">
        <f aca="false">$B$293*IF(Source_Data!AR$5-$B$294&gt;=1,INDEX(Source_Data!$D$12:$BK$12,1,Source_Data!AR$5-$B$294),0)</f>
        <v>0</v>
      </c>
      <c r="AS303" s="33" t="n">
        <f aca="false">$B$293*IF(Source_Data!AS$5-$B$294&gt;=1,INDEX(Source_Data!$D$12:$BK$12,1,Source_Data!AS$5-$B$294),0)</f>
        <v>0</v>
      </c>
      <c r="AT303" s="33" t="n">
        <f aca="false">$B$293*IF(Source_Data!AT$5-$B$294&gt;=1,INDEX(Source_Data!$D$12:$BK$12,1,Source_Data!AT$5-$B$294),0)</f>
        <v>0</v>
      </c>
      <c r="AU303" s="33" t="n">
        <f aca="false">$B$293*IF(Source_Data!AU$5-$B$294&gt;=1,INDEX(Source_Data!$D$12:$BK$12,1,Source_Data!AU$5-$B$294),0)</f>
        <v>0</v>
      </c>
      <c r="AV303" s="33" t="n">
        <f aca="false">$B$293*IF(Source_Data!AV$5-$B$294&gt;=1,INDEX(Source_Data!$D$12:$BK$12,1,Source_Data!AV$5-$B$294),0)</f>
        <v>0</v>
      </c>
      <c r="AW303" s="33" t="n">
        <f aca="false">$B$293*IF(Source_Data!AW$5-$B$294&gt;=1,INDEX(Source_Data!$D$12:$BK$12,1,Source_Data!AW$5-$B$294),0)</f>
        <v>0</v>
      </c>
      <c r="AX303" s="33" t="n">
        <f aca="false">$B$293*IF(Source_Data!AX$5-$B$294&gt;=1,INDEX(Source_Data!$D$12:$BK$12,1,Source_Data!AX$5-$B$294),0)</f>
        <v>0</v>
      </c>
      <c r="AY303" s="33" t="n">
        <f aca="false">$B$293*IF(Source_Data!AY$5-$B$294&gt;=1,INDEX(Source_Data!$D$12:$BK$12,1,Source_Data!AY$5-$B$294),0)</f>
        <v>0</v>
      </c>
      <c r="AZ303" s="33" t="n">
        <f aca="false">$B$293*IF(Source_Data!AZ$5-$B$294&gt;=1,INDEX(Source_Data!$D$12:$BK$12,1,Source_Data!AZ$5-$B$294),0)</f>
        <v>0</v>
      </c>
      <c r="BA303" s="33" t="n">
        <f aca="false">$B$293*IF(Source_Data!BA$5-$B$294&gt;=1,INDEX(Source_Data!$D$12:$BK$12,1,Source_Data!BA$5-$B$294),0)</f>
        <v>0</v>
      </c>
      <c r="BB303" s="33" t="n">
        <f aca="false">$B$293*IF(Source_Data!BB$5-$B$294&gt;=1,INDEX(Source_Data!$D$12:$BK$12,1,Source_Data!BB$5-$B$294),0)</f>
        <v>0</v>
      </c>
      <c r="BC303" s="33" t="n">
        <f aca="false">$B$293*IF(Source_Data!BC$5-$B$294&gt;=1,INDEX(Source_Data!$D$12:$BK$12,1,Source_Data!BC$5-$B$294),0)</f>
        <v>0</v>
      </c>
      <c r="BD303" s="33" t="n">
        <f aca="false">$B$293*IF(Source_Data!BD$5-$B$294&gt;=1,INDEX(Source_Data!$D$12:$BK$12,1,Source_Data!BD$5-$B$294),0)</f>
        <v>0</v>
      </c>
      <c r="BE303" s="33" t="n">
        <f aca="false">$B$293*IF(Source_Data!BE$5-$B$294&gt;=1,INDEX(Source_Data!$D$12:$BK$12,1,Source_Data!BE$5-$B$294),0)</f>
        <v>0</v>
      </c>
      <c r="BF303" s="33" t="n">
        <f aca="false">$B$293*IF(Source_Data!BF$5-$B$294&gt;=1,INDEX(Source_Data!$D$12:$BK$12,1,Source_Data!BF$5-$B$294),0)</f>
        <v>0</v>
      </c>
      <c r="BG303" s="33" t="n">
        <f aca="false">$B$293*IF(Source_Data!BG$5-$B$294&gt;=1,INDEX(Source_Data!$D$12:$BK$12,1,Source_Data!BG$5-$B$294),0)</f>
        <v>0</v>
      </c>
      <c r="BH303" s="33" t="n">
        <f aca="false">$B$293*IF(Source_Data!BH$5-$B$294&gt;=1,INDEX(Source_Data!$D$12:$BK$12,1,Source_Data!BH$5-$B$294),0)</f>
        <v>0</v>
      </c>
      <c r="BI303" s="33" t="n">
        <f aca="false">$B$293*IF(Source_Data!BI$5-$B$294&gt;=1,INDEX(Source_Data!$D$12:$BK$12,1,Source_Data!BI$5-$B$294),0)</f>
        <v>0</v>
      </c>
      <c r="BJ303" s="33" t="n">
        <f aca="false">$B$293*IF(Source_Data!BJ$5-$B$294&gt;=1,INDEX(Source_Data!$D$12:$BK$12,1,Source_Data!BJ$5-$B$294),0)</f>
        <v>0</v>
      </c>
      <c r="BK303" s="33" t="n">
        <f aca="false">$B$293*IF(Source_Data!BK$5-$B$294&gt;=1,INDEX(Source_Data!$D$12:$BK$12,1,Source_Data!BK$5-$B$294),0)</f>
        <v>0</v>
      </c>
    </row>
    <row r="304" customFormat="false" ht="15" hidden="false" customHeight="false" outlineLevel="0" collapsed="false">
      <c r="A304" s="3" t="s">
        <v>215</v>
      </c>
      <c r="D304" s="33" t="n">
        <f aca="false">Source_Data!D$13*$B$295</f>
        <v>0</v>
      </c>
      <c r="E304" s="33" t="n">
        <f aca="false">Source_Data!E$13*$B$295</f>
        <v>0</v>
      </c>
      <c r="F304" s="33" t="n">
        <f aca="false">Source_Data!F$13*$B$295</f>
        <v>0</v>
      </c>
      <c r="G304" s="33" t="n">
        <f aca="false">Source_Data!G$13*$B$295</f>
        <v>0</v>
      </c>
      <c r="H304" s="33" t="n">
        <f aca="false">Source_Data!H$13*$B$295</f>
        <v>3.3</v>
      </c>
      <c r="I304" s="33" t="n">
        <f aca="false">Source_Data!I$13*$B$295</f>
        <v>4.356</v>
      </c>
      <c r="J304" s="33" t="n">
        <f aca="false">Source_Data!J$13*$B$295</f>
        <v>6.6</v>
      </c>
      <c r="K304" s="33" t="n">
        <f aca="false">Source_Data!K$13*$B$295</f>
        <v>4.356</v>
      </c>
      <c r="L304" s="33" t="n">
        <f aca="false">Source_Data!L$13*$B$295</f>
        <v>4.356</v>
      </c>
      <c r="M304" s="33" t="n">
        <f aca="false">Source_Data!M$13*$B$295</f>
        <v>4.356</v>
      </c>
      <c r="N304" s="33" t="n">
        <f aca="false">Source_Data!N$13*$B$295</f>
        <v>0.8712</v>
      </c>
      <c r="O304" s="33" t="n">
        <f aca="false">Source_Data!O$13*$B$295</f>
        <v>0.8712</v>
      </c>
      <c r="P304" s="33" t="n">
        <f aca="false">Source_Data!P$13*$B$295</f>
        <v>19.8</v>
      </c>
      <c r="Q304" s="33" t="n">
        <f aca="false">Source_Data!Q$13*$B$295</f>
        <v>19.8</v>
      </c>
      <c r="R304" s="33" t="n">
        <f aca="false">Source_Data!R$13*$B$295</f>
        <v>27.06</v>
      </c>
      <c r="S304" s="33" t="n">
        <f aca="false">Source_Data!S$13*$B$295</f>
        <v>19.305</v>
      </c>
      <c r="T304" s="33" t="n">
        <f aca="false">Source_Data!T$13*$B$295</f>
        <v>0</v>
      </c>
      <c r="U304" s="33" t="n">
        <f aca="false">Source_Data!U$13*$B$295</f>
        <v>0</v>
      </c>
      <c r="V304" s="33" t="n">
        <f aca="false">Source_Data!V$13*$B$295</f>
        <v>0</v>
      </c>
      <c r="W304" s="33" t="n">
        <f aca="false">Source_Data!W$13*$B$295</f>
        <v>0</v>
      </c>
      <c r="X304" s="33" t="n">
        <f aca="false">Source_Data!X$13*$B$295</f>
        <v>0</v>
      </c>
      <c r="Y304" s="33" t="n">
        <f aca="false">Source_Data!Y$13*$B$295</f>
        <v>0</v>
      </c>
      <c r="Z304" s="33" t="n">
        <f aca="false">Source_Data!Z$13*$B$295</f>
        <v>0</v>
      </c>
      <c r="AA304" s="33" t="n">
        <f aca="false">Source_Data!AA$13*$B$295</f>
        <v>0</v>
      </c>
      <c r="AB304" s="33" t="n">
        <f aca="false">Source_Data!AB$13*$B$295</f>
        <v>0</v>
      </c>
      <c r="AC304" s="33" t="n">
        <f aca="false">Source_Data!AC$13*$B$295</f>
        <v>0</v>
      </c>
      <c r="AD304" s="33" t="n">
        <f aca="false">Source_Data!AD$13*$B$295</f>
        <v>0</v>
      </c>
      <c r="AE304" s="33" t="n">
        <f aca="false">Source_Data!AE$13*$B$295</f>
        <v>0</v>
      </c>
      <c r="AF304" s="33" t="n">
        <f aca="false">Source_Data!AF$13*$B$295</f>
        <v>0</v>
      </c>
      <c r="AG304" s="33" t="n">
        <f aca="false">Source_Data!AG$13*$B$295</f>
        <v>0</v>
      </c>
      <c r="AH304" s="33" t="n">
        <f aca="false">Source_Data!AH$13*$B$295</f>
        <v>0</v>
      </c>
      <c r="AI304" s="33" t="n">
        <f aca="false">Source_Data!AI$13*$B$295</f>
        <v>0</v>
      </c>
      <c r="AJ304" s="33" t="n">
        <f aca="false">Source_Data!AJ$13*$B$295</f>
        <v>0</v>
      </c>
      <c r="AK304" s="33" t="n">
        <f aca="false">Source_Data!AK$13*$B$295</f>
        <v>0</v>
      </c>
      <c r="AL304" s="33" t="n">
        <f aca="false">Source_Data!AL$13*$B$295</f>
        <v>0</v>
      </c>
      <c r="AM304" s="33" t="n">
        <f aca="false">Source_Data!AM$13*$B$295</f>
        <v>0</v>
      </c>
      <c r="AN304" s="33" t="n">
        <f aca="false">Source_Data!AN$13*$B$295</f>
        <v>0</v>
      </c>
      <c r="AO304" s="33" t="n">
        <f aca="false">Source_Data!AO$13*$B$295</f>
        <v>0</v>
      </c>
      <c r="AP304" s="33" t="n">
        <f aca="false">Source_Data!AP$13*$B$295</f>
        <v>0</v>
      </c>
      <c r="AQ304" s="33" t="n">
        <f aca="false">Source_Data!AQ$13*$B$295</f>
        <v>0</v>
      </c>
      <c r="AR304" s="33" t="n">
        <f aca="false">Source_Data!AR$13*$B$295</f>
        <v>0</v>
      </c>
      <c r="AS304" s="33" t="n">
        <f aca="false">Source_Data!AS$13*$B$295</f>
        <v>0</v>
      </c>
      <c r="AT304" s="33" t="n">
        <f aca="false">Source_Data!AT$13*$B$295</f>
        <v>0</v>
      </c>
      <c r="AU304" s="33" t="n">
        <f aca="false">Source_Data!AU$13*$B$295</f>
        <v>0</v>
      </c>
      <c r="AV304" s="33" t="n">
        <f aca="false">Source_Data!AV$13*$B$295</f>
        <v>0</v>
      </c>
      <c r="AW304" s="33" t="n">
        <f aca="false">Source_Data!AW$13*$B$295</f>
        <v>0</v>
      </c>
      <c r="AX304" s="33" t="n">
        <f aca="false">Source_Data!AX$13*$B$295</f>
        <v>0</v>
      </c>
      <c r="AY304" s="33" t="n">
        <f aca="false">Source_Data!AY$13*$B$295</f>
        <v>0</v>
      </c>
      <c r="AZ304" s="33" t="n">
        <f aca="false">Source_Data!AZ$13*$B$295</f>
        <v>0</v>
      </c>
      <c r="BA304" s="33" t="n">
        <f aca="false">Source_Data!BA$13*$B$295</f>
        <v>0</v>
      </c>
      <c r="BB304" s="33" t="n">
        <f aca="false">Source_Data!BB$13*$B$295</f>
        <v>0</v>
      </c>
      <c r="BC304" s="33" t="n">
        <f aca="false">Source_Data!BC$13*$B$295</f>
        <v>0</v>
      </c>
      <c r="BD304" s="33" t="n">
        <f aca="false">Source_Data!BD$13*$B$295</f>
        <v>0</v>
      </c>
      <c r="BE304" s="33" t="n">
        <f aca="false">Source_Data!BE$13*$B$295</f>
        <v>0</v>
      </c>
      <c r="BF304" s="33" t="n">
        <f aca="false">Source_Data!BF$13*$B$295</f>
        <v>0</v>
      </c>
      <c r="BG304" s="33" t="n">
        <f aca="false">Source_Data!BG$13*$B$295</f>
        <v>0</v>
      </c>
      <c r="BH304" s="33" t="n">
        <f aca="false">Source_Data!BH$13*$B$295</f>
        <v>0</v>
      </c>
      <c r="BI304" s="33" t="n">
        <f aca="false">Source_Data!BI$13*$B$295</f>
        <v>0</v>
      </c>
      <c r="BJ304" s="33" t="n">
        <f aca="false">Source_Data!BJ$13*$B$295</f>
        <v>0</v>
      </c>
      <c r="BK304" s="33" t="n">
        <f aca="false">Source_Data!BK$13*$B$295</f>
        <v>0</v>
      </c>
    </row>
    <row r="305" customFormat="false" ht="15" hidden="false" customHeight="false" outlineLevel="0" collapsed="false">
      <c r="A305" s="2" t="s">
        <v>216</v>
      </c>
      <c r="D305" s="33" t="n">
        <f aca="false">D300-D301-D302-D303-D304</f>
        <v>-91.25</v>
      </c>
      <c r="E305" s="33" t="n">
        <f aca="false">E300-E301-E302-E303-E304</f>
        <v>-11.25</v>
      </c>
      <c r="F305" s="33" t="n">
        <f aca="false">F300-F301-F302-F303-F304</f>
        <v>3.8892375</v>
      </c>
      <c r="G305" s="33" t="n">
        <f aca="false">G300-G301-G302-G303-G304</f>
        <v>19.028475</v>
      </c>
      <c r="H305" s="33" t="n">
        <f aca="false">H300-H301-H302-H303-H304</f>
        <v>-1.28799375</v>
      </c>
      <c r="I305" s="33" t="n">
        <f aca="false">I300-I301-I302-I303-I304</f>
        <v>6.8495375</v>
      </c>
      <c r="J305" s="33" t="n">
        <f aca="false">J300-J301-J302-J303-J304</f>
        <v>-22.84569</v>
      </c>
      <c r="K305" s="33" t="n">
        <f aca="false">K300-K301-K302-K303-K304</f>
        <v>-4.53383062499999</v>
      </c>
      <c r="L305" s="33" t="n">
        <f aca="false">L300-L301-L302-L303-L304</f>
        <v>3.66158843750001</v>
      </c>
      <c r="M305" s="33" t="n">
        <f aca="false">M300-M301-M302-M303-M304</f>
        <v>418.5865775</v>
      </c>
      <c r="N305" s="33" t="n">
        <f aca="false">N300-N301-N302-N303-N304</f>
        <v>138.15954</v>
      </c>
      <c r="O305" s="33" t="n">
        <f aca="false">O300-O301-O302-O303-O304</f>
        <v>129.11579</v>
      </c>
      <c r="P305" s="33" t="n">
        <f aca="false">P300-P301-P302-P303-P304</f>
        <v>-107.18729</v>
      </c>
      <c r="Q305" s="33" t="n">
        <f aca="false">Q300-Q301-Q302-Q303-Q304</f>
        <v>-134.75083125</v>
      </c>
      <c r="R305" s="33" t="n">
        <f aca="false">R300-R301-R302-R303-R304</f>
        <v>-190.41083125</v>
      </c>
      <c r="S305" s="33" t="n">
        <f aca="false">S300-S301-S302-S303-S304</f>
        <v>-131.624164375</v>
      </c>
      <c r="T305" s="33" t="n">
        <f aca="false">T300-T301-T302-T303-T304</f>
        <v>16.2266396875</v>
      </c>
      <c r="U305" s="33" t="n">
        <f aca="false">U300-U301-U302-U303-U304</f>
        <v>14.7127159375</v>
      </c>
      <c r="V305" s="33" t="n">
        <f aca="false">V300-V301-V302-V303-V304</f>
        <v>8.7239446875</v>
      </c>
      <c r="W305" s="33" t="n">
        <f aca="false">W300-W301-W302-W303-W304</f>
        <v>4.3829446875</v>
      </c>
      <c r="X305" s="33" t="n">
        <f aca="false">X300-X301-X302-X303-X304</f>
        <v>26.8829446875</v>
      </c>
      <c r="Y305" s="33" t="n">
        <f aca="false">Y300-Y301-Y302-Y303-Y304</f>
        <v>19.6027259375</v>
      </c>
      <c r="Z305" s="33" t="n">
        <f aca="false">Z300-Z301-Z302-Z303-Z304</f>
        <v>19.6027259375</v>
      </c>
      <c r="AA305" s="33" t="n">
        <f aca="false">AA300-AA301-AA302-AA303-AA304</f>
        <v>19.6027259375</v>
      </c>
      <c r="AB305" s="33" t="n">
        <f aca="false">AB300-AB301-AB302-AB303-AB304</f>
        <v>36.3147259375</v>
      </c>
      <c r="AC305" s="33" t="n">
        <f aca="false">AC300-AC301-AC302-AC303-AC304</f>
        <v>33.0386275</v>
      </c>
      <c r="AD305" s="33" t="n">
        <f aca="false">AD300-AD301-AD302-AD303-AD304</f>
        <v>29.43017125</v>
      </c>
      <c r="AE305" s="33" t="n">
        <f aca="false">AE300-AE301-AE302-AE303-AE304</f>
        <v>25.08917125</v>
      </c>
      <c r="AF305" s="33" t="n">
        <f aca="false">AF300-AF301-AF302-AF303-AF304</f>
        <v>-82.6690391015625</v>
      </c>
      <c r="AG305" s="33" t="n">
        <f aca="false">AG300-AG301-AG302-AG303-AG304</f>
        <v>14.112658828125</v>
      </c>
      <c r="AH305" s="33" t="n">
        <f aca="false">AH300-AH301-AH302-AH303-AH304</f>
        <v>14.112658828125</v>
      </c>
      <c r="AI305" s="33" t="n">
        <f aca="false">AI300-AI301-AI302-AI303-AI304</f>
        <v>14.112658828125</v>
      </c>
      <c r="AJ305" s="33" t="n">
        <f aca="false">AJ300-AJ301-AJ302-AJ303-AJ304</f>
        <v>14.112658828125</v>
      </c>
      <c r="AK305" s="33" t="n">
        <f aca="false">AK300-AK301-AK302-AK303-AK304</f>
        <v>12.8841219140625</v>
      </c>
      <c r="AL305" s="33" t="n">
        <f aca="false">AL300-AL301-AL302-AL303-AL304</f>
        <v>12.8841219140625</v>
      </c>
      <c r="AM305" s="33" t="n">
        <f aca="false">AM300-AM301-AM302-AM303-AM304</f>
        <v>10.5409993359375</v>
      </c>
      <c r="AN305" s="33" t="n">
        <f aca="false">AN300-AN301-AN302-AN303-AN304</f>
        <v>5.41471921875</v>
      </c>
      <c r="AO305" s="33" t="n">
        <f aca="false">AO300-AO301-AO302-AO303-AO304</f>
        <v>2.00839078125</v>
      </c>
      <c r="AP305" s="33" t="n">
        <f aca="false">AP300-AP301-AP302-AP303-AP304</f>
        <v>0</v>
      </c>
      <c r="AQ305" s="33" t="n">
        <f aca="false">AQ300-AQ301-AQ302-AQ303-AQ304</f>
        <v>0</v>
      </c>
      <c r="AR305" s="33" t="n">
        <f aca="false">AR300-AR301-AR302-AR303-AR304</f>
        <v>0</v>
      </c>
      <c r="AS305" s="33" t="n">
        <f aca="false">AS300-AS301-AS302-AS303-AS304</f>
        <v>0</v>
      </c>
      <c r="AT305" s="33" t="n">
        <f aca="false">AT300-AT301-AT302-AT303-AT304</f>
        <v>0</v>
      </c>
      <c r="AU305" s="33" t="n">
        <f aca="false">AU300-AU301-AU302-AU303-AU304</f>
        <v>0</v>
      </c>
      <c r="AV305" s="33" t="n">
        <f aca="false">AV300-AV301-AV302-AV303-AV304</f>
        <v>0</v>
      </c>
      <c r="AW305" s="33" t="n">
        <f aca="false">AW300-AW301-AW302-AW303-AW304</f>
        <v>0</v>
      </c>
      <c r="AX305" s="33" t="n">
        <f aca="false">AX300-AX301-AX302-AX303-AX304</f>
        <v>0</v>
      </c>
      <c r="AY305" s="33" t="n">
        <f aca="false">AY300-AY301-AY302-AY303-AY304</f>
        <v>0</v>
      </c>
      <c r="AZ305" s="33" t="n">
        <f aca="false">AZ300-AZ301-AZ302-AZ303-AZ304</f>
        <v>0</v>
      </c>
      <c r="BA305" s="33" t="n">
        <f aca="false">BA300-BA301-BA302-BA303-BA304</f>
        <v>0</v>
      </c>
      <c r="BB305" s="33" t="n">
        <f aca="false">BB300-BB301-BB302-BB303-BB304</f>
        <v>0</v>
      </c>
      <c r="BC305" s="33" t="n">
        <f aca="false">BC300-BC301-BC302-BC303-BC304</f>
        <v>0</v>
      </c>
      <c r="BD305" s="33" t="n">
        <f aca="false">BD300-BD301-BD302-BD303-BD304</f>
        <v>0</v>
      </c>
      <c r="BE305" s="33" t="n">
        <f aca="false">BE300-BE301-BE302-BE303-BE304</f>
        <v>0</v>
      </c>
      <c r="BF305" s="33" t="n">
        <f aca="false">BF300-BF301-BF302-BF303-BF304</f>
        <v>0</v>
      </c>
      <c r="BG305" s="33" t="n">
        <f aca="false">BG300-BG301-BG302-BG303-BG304</f>
        <v>0</v>
      </c>
      <c r="BH305" s="33" t="n">
        <f aca="false">BH300-BH301-BH302-BH303-BH304</f>
        <v>0</v>
      </c>
      <c r="BI305" s="33" t="n">
        <f aca="false">BI300-BI301-BI302-BI303-BI304</f>
        <v>0</v>
      </c>
      <c r="BJ305" s="33" t="n">
        <f aca="false">BJ300-BJ301-BJ302-BJ303-BJ304</f>
        <v>0</v>
      </c>
      <c r="BK305" s="33" t="n">
        <f aca="false">BK300-BK301-BK302-BK303-BK304</f>
        <v>0</v>
      </c>
    </row>
    <row r="306" customFormat="false" ht="15" hidden="false" customHeight="false" outlineLevel="0" collapsed="false">
      <c r="A306" s="2" t="s">
        <v>217</v>
      </c>
      <c r="D306" s="33" t="n">
        <f aca="false">D305</f>
        <v>-91.25</v>
      </c>
      <c r="E306" s="33" t="n">
        <f aca="false">D306+E305</f>
        <v>-102.5</v>
      </c>
      <c r="F306" s="33" t="n">
        <f aca="false">E306+F305</f>
        <v>-98.6107625</v>
      </c>
      <c r="G306" s="33" t="n">
        <f aca="false">F306+G305</f>
        <v>-79.5822875</v>
      </c>
      <c r="H306" s="33" t="n">
        <f aca="false">G306+H305</f>
        <v>-80.87028125</v>
      </c>
      <c r="I306" s="33" t="n">
        <f aca="false">H306+I305</f>
        <v>-74.02074375</v>
      </c>
      <c r="J306" s="33" t="n">
        <f aca="false">I306+J305</f>
        <v>-96.86643375</v>
      </c>
      <c r="K306" s="33" t="n">
        <f aca="false">J306+K305</f>
        <v>-101.400264375</v>
      </c>
      <c r="L306" s="33" t="n">
        <f aca="false">K306+L305</f>
        <v>-97.7386759375</v>
      </c>
      <c r="M306" s="33" t="n">
        <f aca="false">L306+M305</f>
        <v>320.8479015625</v>
      </c>
      <c r="N306" s="33" t="n">
        <f aca="false">M306+N305</f>
        <v>459.0074415625</v>
      </c>
      <c r="O306" s="33" t="n">
        <f aca="false">N306+O305</f>
        <v>588.1232315625</v>
      </c>
      <c r="P306" s="33" t="n">
        <f aca="false">O306+P305</f>
        <v>480.9359415625</v>
      </c>
      <c r="Q306" s="33" t="n">
        <f aca="false">P306+Q305</f>
        <v>346.1851103125</v>
      </c>
      <c r="R306" s="33" t="n">
        <f aca="false">Q306+R305</f>
        <v>155.7742790625</v>
      </c>
      <c r="S306" s="33" t="n">
        <f aca="false">R306+S305</f>
        <v>24.1501146875</v>
      </c>
      <c r="T306" s="33" t="n">
        <f aca="false">S306+T305</f>
        <v>40.376754375</v>
      </c>
      <c r="U306" s="33" t="n">
        <f aca="false">T306+U305</f>
        <v>55.0894703125</v>
      </c>
      <c r="V306" s="33" t="n">
        <f aca="false">U306+V305</f>
        <v>63.813415</v>
      </c>
      <c r="W306" s="33" t="n">
        <f aca="false">V306+W305</f>
        <v>68.1963596875</v>
      </c>
      <c r="X306" s="33" t="n">
        <f aca="false">W306+X305</f>
        <v>95.079304375</v>
      </c>
      <c r="Y306" s="33" t="n">
        <f aca="false">X306+Y305</f>
        <v>114.6820303125</v>
      </c>
      <c r="Z306" s="33" t="n">
        <f aca="false">Y306+Z305</f>
        <v>134.28475625</v>
      </c>
      <c r="AA306" s="33" t="n">
        <f aca="false">Z306+AA305</f>
        <v>153.8874821875</v>
      </c>
      <c r="AB306" s="33" t="n">
        <f aca="false">AA306+AB305</f>
        <v>190.202208125</v>
      </c>
      <c r="AC306" s="33" t="n">
        <f aca="false">AB306+AC305</f>
        <v>223.240835625</v>
      </c>
      <c r="AD306" s="33" t="n">
        <f aca="false">AC306+AD305</f>
        <v>252.671006875</v>
      </c>
      <c r="AE306" s="33" t="n">
        <f aca="false">AD306+AE305</f>
        <v>277.760178125</v>
      </c>
      <c r="AF306" s="33" t="n">
        <f aca="false">AE306+AF305</f>
        <v>195.091139023437</v>
      </c>
      <c r="AG306" s="33" t="n">
        <f aca="false">AF306+AG305</f>
        <v>209.203797851562</v>
      </c>
      <c r="AH306" s="33" t="n">
        <f aca="false">AG306+AH305</f>
        <v>223.316456679687</v>
      </c>
      <c r="AI306" s="33" t="n">
        <f aca="false">AH306+AI305</f>
        <v>237.429115507812</v>
      </c>
      <c r="AJ306" s="33" t="n">
        <f aca="false">AI306+AJ305</f>
        <v>251.541774335937</v>
      </c>
      <c r="AK306" s="33" t="n">
        <f aca="false">AJ306+AK305</f>
        <v>264.42589625</v>
      </c>
      <c r="AL306" s="33" t="n">
        <f aca="false">AK306+AL305</f>
        <v>277.310018164063</v>
      </c>
      <c r="AM306" s="33" t="n">
        <f aca="false">AL306+AM305</f>
        <v>287.8510175</v>
      </c>
      <c r="AN306" s="33" t="n">
        <f aca="false">AM306+AN305</f>
        <v>293.26573671875</v>
      </c>
      <c r="AO306" s="33" t="n">
        <f aca="false">AN306+AO305</f>
        <v>295.2741275</v>
      </c>
      <c r="AP306" s="33" t="n">
        <f aca="false">AO306+AP305</f>
        <v>295.2741275</v>
      </c>
      <c r="AQ306" s="33" t="n">
        <f aca="false">AP306+AQ305</f>
        <v>295.2741275</v>
      </c>
      <c r="AR306" s="33" t="n">
        <f aca="false">AQ306+AR305</f>
        <v>295.2741275</v>
      </c>
      <c r="AS306" s="33" t="n">
        <f aca="false">AR306+AS305</f>
        <v>295.2741275</v>
      </c>
      <c r="AT306" s="33" t="n">
        <f aca="false">AS306+AT305</f>
        <v>295.2741275</v>
      </c>
      <c r="AU306" s="33" t="n">
        <f aca="false">AT306+AU305</f>
        <v>295.2741275</v>
      </c>
      <c r="AV306" s="33" t="n">
        <f aca="false">AU306+AV305</f>
        <v>295.2741275</v>
      </c>
      <c r="AW306" s="33" t="n">
        <f aca="false">AV306+AW305</f>
        <v>295.2741275</v>
      </c>
      <c r="AX306" s="33" t="n">
        <f aca="false">AW306+AX305</f>
        <v>295.2741275</v>
      </c>
      <c r="AY306" s="33" t="n">
        <f aca="false">AX306+AY305</f>
        <v>295.2741275</v>
      </c>
      <c r="AZ306" s="33" t="n">
        <f aca="false">AY306+AZ305</f>
        <v>295.2741275</v>
      </c>
      <c r="BA306" s="33" t="n">
        <f aca="false">AZ306+BA305</f>
        <v>295.2741275</v>
      </c>
      <c r="BB306" s="33" t="n">
        <f aca="false">BA306+BB305</f>
        <v>295.2741275</v>
      </c>
      <c r="BC306" s="33" t="n">
        <f aca="false">BB306+BC305</f>
        <v>295.2741275</v>
      </c>
      <c r="BD306" s="33" t="n">
        <f aca="false">BC306+BD305</f>
        <v>295.2741275</v>
      </c>
      <c r="BE306" s="33" t="n">
        <f aca="false">BD306+BE305</f>
        <v>295.2741275</v>
      </c>
      <c r="BF306" s="33" t="n">
        <f aca="false">BE306+BF305</f>
        <v>295.2741275</v>
      </c>
      <c r="BG306" s="33" t="n">
        <f aca="false">BF306+BG305</f>
        <v>295.2741275</v>
      </c>
      <c r="BH306" s="33" t="n">
        <f aca="false">BG306+BH305</f>
        <v>295.2741275</v>
      </c>
      <c r="BI306" s="33" t="n">
        <f aca="false">BH306+BI305</f>
        <v>295.2741275</v>
      </c>
      <c r="BJ306" s="33" t="n">
        <f aca="false">BI306+BJ305</f>
        <v>295.2741275</v>
      </c>
      <c r="BK306" s="33" t="n">
        <f aca="false">BJ306+BK305</f>
        <v>295.2741275</v>
      </c>
    </row>
    <row r="307" customFormat="false" ht="15" hidden="false" customHeight="false" outlineLevel="0" collapsed="false">
      <c r="A307" s="3" t="s">
        <v>340</v>
      </c>
      <c r="D307" s="33" t="n">
        <f aca="false">IF(Source_Data!D$6=Inputs!$B$12,-Inputs!$B$7,0)+IF(AND(Source_Data!D$6&gt;=$B$298,Source_Data!D$6&lt;$B$298+3*Inputs!$B$16,MOD(Source_Data!D$6-$B$298,3)=0),Inputs!$B$8*Inputs!$B$7*Inputs!$B$34*$B$293*(1-Inputs!$B$15)/Inputs!$B$16,0)</f>
        <v>-100</v>
      </c>
      <c r="E307" s="33" t="n">
        <f aca="false">IF(Source_Data!E$6=Inputs!$B$12,-Inputs!$B$7,0)+IF(AND(Source_Data!E$6&gt;=$B$298,Source_Data!E$6&lt;$B$298+3*Inputs!$B$16,MOD(Source_Data!E$6-$B$298,3)=0),Inputs!$B$8*Inputs!$B$7*Inputs!$B$34*$B$293*(1-Inputs!$B$15)/Inputs!$B$16,0)</f>
        <v>0</v>
      </c>
      <c r="F307" s="33" t="n">
        <f aca="false">IF(Source_Data!F$6=Inputs!$B$12,-Inputs!$B$7,0)+IF(AND(Source_Data!F$6&gt;=$B$298,Source_Data!F$6&lt;$B$298+3*Inputs!$B$16,MOD(Source_Data!F$6-$B$298,3)=0),Inputs!$B$8*Inputs!$B$7*Inputs!$B$34*$B$293*(1-Inputs!$B$15)/Inputs!$B$16,0)</f>
        <v>0</v>
      </c>
      <c r="G307" s="33" t="n">
        <f aca="false">IF(Source_Data!G$6=Inputs!$B$12,-Inputs!$B$7,0)+IF(AND(Source_Data!G$6&gt;=$B$298,Source_Data!G$6&lt;$B$298+3*Inputs!$B$16,MOD(Source_Data!G$6-$B$298,3)=0),Inputs!$B$8*Inputs!$B$7*Inputs!$B$34*$B$293*(1-Inputs!$B$15)/Inputs!$B$16,0)</f>
        <v>0</v>
      </c>
      <c r="H307" s="33" t="n">
        <f aca="false">IF(Source_Data!H$6=Inputs!$B$12,-Inputs!$B$7,0)+IF(AND(Source_Data!H$6&gt;=$B$298,Source_Data!H$6&lt;$B$298+3*Inputs!$B$16,MOD(Source_Data!H$6-$B$298,3)=0),Inputs!$B$8*Inputs!$B$7*Inputs!$B$34*$B$293*(1-Inputs!$B$15)/Inputs!$B$16,0)</f>
        <v>0</v>
      </c>
      <c r="I307" s="33" t="n">
        <f aca="false">IF(Source_Data!I$6=Inputs!$B$12,-Inputs!$B$7,0)+IF(AND(Source_Data!I$6&gt;=$B$298,Source_Data!I$6&lt;$B$298+3*Inputs!$B$16,MOD(Source_Data!I$6-$B$298,3)=0),Inputs!$B$8*Inputs!$B$7*Inputs!$B$34*$B$293*(1-Inputs!$B$15)/Inputs!$B$16,0)</f>
        <v>0</v>
      </c>
      <c r="J307" s="33" t="n">
        <f aca="false">IF(Source_Data!J$6=Inputs!$B$12,-Inputs!$B$7,0)+IF(AND(Source_Data!J$6&gt;=$B$298,Source_Data!J$6&lt;$B$298+3*Inputs!$B$16,MOD(Source_Data!J$6-$B$298,3)=0),Inputs!$B$8*Inputs!$B$7*Inputs!$B$34*$B$293*(1-Inputs!$B$15)/Inputs!$B$16,0)</f>
        <v>0</v>
      </c>
      <c r="K307" s="33" t="n">
        <f aca="false">IF(Source_Data!K$6=Inputs!$B$12,-Inputs!$B$7,0)+IF(AND(Source_Data!K$6&gt;=$B$298,Source_Data!K$6&lt;$B$298+3*Inputs!$B$16,MOD(Source_Data!K$6-$B$298,3)=0),Inputs!$B$8*Inputs!$B$7*Inputs!$B$34*$B$293*(1-Inputs!$B$15)/Inputs!$B$16,0)</f>
        <v>0</v>
      </c>
      <c r="L307" s="33" t="n">
        <f aca="false">IF(Source_Data!L$6=Inputs!$B$12,-Inputs!$B$7,0)+IF(AND(Source_Data!L$6&gt;=$B$298,Source_Data!L$6&lt;$B$298+3*Inputs!$B$16,MOD(Source_Data!L$6-$B$298,3)=0),Inputs!$B$8*Inputs!$B$7*Inputs!$B$34*$B$293*(1-Inputs!$B$15)/Inputs!$B$16,0)</f>
        <v>0</v>
      </c>
      <c r="M307" s="33" t="n">
        <f aca="false">IF(Source_Data!M$6=Inputs!$B$12,-Inputs!$B$7,0)+IF(AND(Source_Data!M$6&gt;=$B$298,Source_Data!M$6&lt;$B$298+3*Inputs!$B$16,MOD(Source_Data!M$6-$B$298,3)=0),Inputs!$B$8*Inputs!$B$7*Inputs!$B$34*$B$293*(1-Inputs!$B$15)/Inputs!$B$16,0)</f>
        <v>0</v>
      </c>
      <c r="N307" s="33" t="n">
        <f aca="false">IF(Source_Data!N$6=Inputs!$B$12,-Inputs!$B$7,0)+IF(AND(Source_Data!N$6&gt;=$B$298,Source_Data!N$6&lt;$B$298+3*Inputs!$B$16,MOD(Source_Data!N$6-$B$298,3)=0),Inputs!$B$8*Inputs!$B$7*Inputs!$B$34*$B$293*(1-Inputs!$B$15)/Inputs!$B$16,0)</f>
        <v>0</v>
      </c>
      <c r="O307" s="33" t="n">
        <f aca="false">IF(Source_Data!O$6=Inputs!$B$12,-Inputs!$B$7,0)+IF(AND(Source_Data!O$6&gt;=$B$298,Source_Data!O$6&lt;$B$298+3*Inputs!$B$16,MOD(Source_Data!O$6-$B$298,3)=0),Inputs!$B$8*Inputs!$B$7*Inputs!$B$34*$B$293*(1-Inputs!$B$15)/Inputs!$B$16,0)</f>
        <v>0</v>
      </c>
      <c r="P307" s="33" t="n">
        <f aca="false">IF(Source_Data!P$6=Inputs!$B$12,-Inputs!$B$7,0)+IF(AND(Source_Data!P$6&gt;=$B$298,Source_Data!P$6&lt;$B$298+3*Inputs!$B$16,MOD(Source_Data!P$6-$B$298,3)=0),Inputs!$B$8*Inputs!$B$7*Inputs!$B$34*$B$293*(1-Inputs!$B$15)/Inputs!$B$16,0)</f>
        <v>0</v>
      </c>
      <c r="Q307" s="33" t="n">
        <f aca="false">IF(Source_Data!Q$6=Inputs!$B$12,-Inputs!$B$7,0)+IF(AND(Source_Data!Q$6&gt;=$B$298,Source_Data!Q$6&lt;$B$298+3*Inputs!$B$16,MOD(Source_Data!Q$6-$B$298,3)=0),Inputs!$B$8*Inputs!$B$7*Inputs!$B$34*$B$293*(1-Inputs!$B$15)/Inputs!$B$16,0)</f>
        <v>0</v>
      </c>
      <c r="R307" s="33" t="n">
        <f aca="false">IF(Source_Data!R$6=Inputs!$B$12,-Inputs!$B$7,0)+IF(AND(Source_Data!R$6&gt;=$B$298,Source_Data!R$6&lt;$B$298+3*Inputs!$B$16,MOD(Source_Data!R$6-$B$298,3)=0),Inputs!$B$8*Inputs!$B$7*Inputs!$B$34*$B$293*(1-Inputs!$B$15)/Inputs!$B$16,0)</f>
        <v>0</v>
      </c>
      <c r="S307" s="33" t="n">
        <f aca="false">IF(Source_Data!S$6=Inputs!$B$12,-Inputs!$B$7,0)+IF(AND(Source_Data!S$6&gt;=$B$298,Source_Data!S$6&lt;$B$298+3*Inputs!$B$16,MOD(Source_Data!S$6-$B$298,3)=0),Inputs!$B$8*Inputs!$B$7*Inputs!$B$34*$B$293*(1-Inputs!$B$15)/Inputs!$B$16,0)</f>
        <v>0</v>
      </c>
      <c r="T307" s="33" t="n">
        <f aca="false">IF(Source_Data!T$6=Inputs!$B$12,-Inputs!$B$7,0)+IF(AND(Source_Data!T$6&gt;=$B$298,Source_Data!T$6&lt;$B$298+3*Inputs!$B$16,MOD(Source_Data!T$6-$B$298,3)=0),Inputs!$B$8*Inputs!$B$7*Inputs!$B$34*$B$293*(1-Inputs!$B$15)/Inputs!$B$16,0)</f>
        <v>69.5340501792115</v>
      </c>
      <c r="U307" s="33" t="n">
        <f aca="false">IF(Source_Data!U$6=Inputs!$B$12,-Inputs!$B$7,0)+IF(AND(Source_Data!U$6&gt;=$B$298,Source_Data!U$6&lt;$B$298+3*Inputs!$B$16,MOD(Source_Data!U$6-$B$298,3)=0),Inputs!$B$8*Inputs!$B$7*Inputs!$B$34*$B$293*(1-Inputs!$B$15)/Inputs!$B$16,0)</f>
        <v>69.5340501792115</v>
      </c>
      <c r="V307" s="33" t="n">
        <f aca="false">IF(Source_Data!V$6=Inputs!$B$12,-Inputs!$B$7,0)+IF(AND(Source_Data!V$6&gt;=$B$298,Source_Data!V$6&lt;$B$298+3*Inputs!$B$16,MOD(Source_Data!V$6-$B$298,3)=0),Inputs!$B$8*Inputs!$B$7*Inputs!$B$34*$B$293*(1-Inputs!$B$15)/Inputs!$B$16,0)</f>
        <v>69.5340501792115</v>
      </c>
      <c r="W307" s="33" t="n">
        <f aca="false">IF(Source_Data!W$6=Inputs!$B$12,-Inputs!$B$7,0)+IF(AND(Source_Data!W$6&gt;=$B$298,Source_Data!W$6&lt;$B$298+3*Inputs!$B$16,MOD(Source_Data!W$6-$B$298,3)=0),Inputs!$B$8*Inputs!$B$7*Inputs!$B$34*$B$293*(1-Inputs!$B$15)/Inputs!$B$16,0)</f>
        <v>69.5340501792115</v>
      </c>
      <c r="X307" s="33" t="n">
        <f aca="false">IF(Source_Data!X$6=Inputs!$B$12,-Inputs!$B$7,0)+IF(AND(Source_Data!X$6&gt;=$B$298,Source_Data!X$6&lt;$B$298+3*Inputs!$B$16,MOD(Source_Data!X$6-$B$298,3)=0),Inputs!$B$8*Inputs!$B$7*Inputs!$B$34*$B$293*(1-Inputs!$B$15)/Inputs!$B$16,0)</f>
        <v>0</v>
      </c>
      <c r="Y307" s="33" t="n">
        <f aca="false">IF(Source_Data!Y$6=Inputs!$B$12,-Inputs!$B$7,0)+IF(AND(Source_Data!Y$6&gt;=$B$298,Source_Data!Y$6&lt;$B$298+3*Inputs!$B$16,MOD(Source_Data!Y$6-$B$298,3)=0),Inputs!$B$8*Inputs!$B$7*Inputs!$B$34*$B$293*(1-Inputs!$B$15)/Inputs!$B$16,0)</f>
        <v>0</v>
      </c>
      <c r="Z307" s="33" t="n">
        <f aca="false">IF(Source_Data!Z$6=Inputs!$B$12,-Inputs!$B$7,0)+IF(AND(Source_Data!Z$6&gt;=$B$298,Source_Data!Z$6&lt;$B$298+3*Inputs!$B$16,MOD(Source_Data!Z$6-$B$298,3)=0),Inputs!$B$8*Inputs!$B$7*Inputs!$B$34*$B$293*(1-Inputs!$B$15)/Inputs!$B$16,0)</f>
        <v>0</v>
      </c>
      <c r="AA307" s="33" t="n">
        <f aca="false">IF(Source_Data!AA$6=Inputs!$B$12,-Inputs!$B$7,0)+IF(AND(Source_Data!AA$6&gt;=$B$298,Source_Data!AA$6&lt;$B$298+3*Inputs!$B$16,MOD(Source_Data!AA$6-$B$298,3)=0),Inputs!$B$8*Inputs!$B$7*Inputs!$B$34*$B$293*(1-Inputs!$B$15)/Inputs!$B$16,0)</f>
        <v>0</v>
      </c>
      <c r="AB307" s="33" t="n">
        <f aca="false">IF(Source_Data!AB$6=Inputs!$B$12,-Inputs!$B$7,0)+IF(AND(Source_Data!AB$6&gt;=$B$298,Source_Data!AB$6&lt;$B$298+3*Inputs!$B$16,MOD(Source_Data!AB$6-$B$298,3)=0),Inputs!$B$8*Inputs!$B$7*Inputs!$B$34*$B$293*(1-Inputs!$B$15)/Inputs!$B$16,0)</f>
        <v>0</v>
      </c>
      <c r="AC307" s="33" t="n">
        <f aca="false">IF(Source_Data!AC$6=Inputs!$B$12,-Inputs!$B$7,0)+IF(AND(Source_Data!AC$6&gt;=$B$298,Source_Data!AC$6&lt;$B$298+3*Inputs!$B$16,MOD(Source_Data!AC$6-$B$298,3)=0),Inputs!$B$8*Inputs!$B$7*Inputs!$B$34*$B$293*(1-Inputs!$B$15)/Inputs!$B$16,0)</f>
        <v>0</v>
      </c>
      <c r="AD307" s="33" t="n">
        <f aca="false">IF(Source_Data!AD$6=Inputs!$B$12,-Inputs!$B$7,0)+IF(AND(Source_Data!AD$6&gt;=$B$298,Source_Data!AD$6&lt;$B$298+3*Inputs!$B$16,MOD(Source_Data!AD$6-$B$298,3)=0),Inputs!$B$8*Inputs!$B$7*Inputs!$B$34*$B$293*(1-Inputs!$B$15)/Inputs!$B$16,0)</f>
        <v>0</v>
      </c>
      <c r="AE307" s="33" t="n">
        <f aca="false">IF(Source_Data!AE$6=Inputs!$B$12,-Inputs!$B$7,0)+IF(AND(Source_Data!AE$6&gt;=$B$298,Source_Data!AE$6&lt;$B$298+3*Inputs!$B$16,MOD(Source_Data!AE$6-$B$298,3)=0),Inputs!$B$8*Inputs!$B$7*Inputs!$B$34*$B$293*(1-Inputs!$B$15)/Inputs!$B$16,0)</f>
        <v>0</v>
      </c>
      <c r="AF307" s="33" t="n">
        <f aca="false">IF(Source_Data!AF$6=Inputs!$B$12,-Inputs!$B$7,0)+IF(AND(Source_Data!AF$6&gt;=$B$298,Source_Data!AF$6&lt;$B$298+3*Inputs!$B$16,MOD(Source_Data!AF$6-$B$298,3)=0),Inputs!$B$8*Inputs!$B$7*Inputs!$B$34*$B$293*(1-Inputs!$B$15)/Inputs!$B$16,0)</f>
        <v>0</v>
      </c>
      <c r="AG307" s="33" t="n">
        <f aca="false">IF(Source_Data!AG$6=Inputs!$B$12,-Inputs!$B$7,0)+IF(AND(Source_Data!AG$6&gt;=$B$298,Source_Data!AG$6&lt;$B$298+3*Inputs!$B$16,MOD(Source_Data!AG$6-$B$298,3)=0),Inputs!$B$8*Inputs!$B$7*Inputs!$B$34*$B$293*(1-Inputs!$B$15)/Inputs!$B$16,0)</f>
        <v>0</v>
      </c>
      <c r="AH307" s="33" t="n">
        <f aca="false">IF(Source_Data!AH$6=Inputs!$B$12,-Inputs!$B$7,0)+IF(AND(Source_Data!AH$6&gt;=$B$298,Source_Data!AH$6&lt;$B$298+3*Inputs!$B$16,MOD(Source_Data!AH$6-$B$298,3)=0),Inputs!$B$8*Inputs!$B$7*Inputs!$B$34*$B$293*(1-Inputs!$B$15)/Inputs!$B$16,0)</f>
        <v>0</v>
      </c>
      <c r="AI307" s="33" t="n">
        <f aca="false">IF(Source_Data!AI$6=Inputs!$B$12,-Inputs!$B$7,0)+IF(AND(Source_Data!AI$6&gt;=$B$298,Source_Data!AI$6&lt;$B$298+3*Inputs!$B$16,MOD(Source_Data!AI$6-$B$298,3)=0),Inputs!$B$8*Inputs!$B$7*Inputs!$B$34*$B$293*(1-Inputs!$B$15)/Inputs!$B$16,0)</f>
        <v>0</v>
      </c>
      <c r="AJ307" s="33" t="n">
        <f aca="false">IF(Source_Data!AJ$6=Inputs!$B$12,-Inputs!$B$7,0)+IF(AND(Source_Data!AJ$6&gt;=$B$298,Source_Data!AJ$6&lt;$B$298+3*Inputs!$B$16,MOD(Source_Data!AJ$6-$B$298,3)=0),Inputs!$B$8*Inputs!$B$7*Inputs!$B$34*$B$293*(1-Inputs!$B$15)/Inputs!$B$16,0)</f>
        <v>0</v>
      </c>
      <c r="AK307" s="33" t="n">
        <f aca="false">IF(Source_Data!AK$6=Inputs!$B$12,-Inputs!$B$7,0)+IF(AND(Source_Data!AK$6&gt;=$B$298,Source_Data!AK$6&lt;$B$298+3*Inputs!$B$16,MOD(Source_Data!AK$6-$B$298,3)=0),Inputs!$B$8*Inputs!$B$7*Inputs!$B$34*$B$293*(1-Inputs!$B$15)/Inputs!$B$16,0)</f>
        <v>0</v>
      </c>
      <c r="AL307" s="33" t="n">
        <f aca="false">IF(Source_Data!AL$6=Inputs!$B$12,-Inputs!$B$7,0)+IF(AND(Source_Data!AL$6&gt;=$B$298,Source_Data!AL$6&lt;$B$298+3*Inputs!$B$16,MOD(Source_Data!AL$6-$B$298,3)=0),Inputs!$B$8*Inputs!$B$7*Inputs!$B$34*$B$293*(1-Inputs!$B$15)/Inputs!$B$16,0)</f>
        <v>0</v>
      </c>
      <c r="AM307" s="33" t="n">
        <f aca="false">IF(Source_Data!AM$6=Inputs!$B$12,-Inputs!$B$7,0)+IF(AND(Source_Data!AM$6&gt;=$B$298,Source_Data!AM$6&lt;$B$298+3*Inputs!$B$16,MOD(Source_Data!AM$6-$B$298,3)=0),Inputs!$B$8*Inputs!$B$7*Inputs!$B$34*$B$293*(1-Inputs!$B$15)/Inputs!$B$16,0)</f>
        <v>0</v>
      </c>
      <c r="AN307" s="33" t="n">
        <f aca="false">IF(Source_Data!AN$6=Inputs!$B$12,-Inputs!$B$7,0)+IF(AND(Source_Data!AN$6&gt;=$B$298,Source_Data!AN$6&lt;$B$298+3*Inputs!$B$16,MOD(Source_Data!AN$6-$B$298,3)=0),Inputs!$B$8*Inputs!$B$7*Inputs!$B$34*$B$293*(1-Inputs!$B$15)/Inputs!$B$16,0)</f>
        <v>0</v>
      </c>
      <c r="AO307" s="33" t="n">
        <f aca="false">IF(Source_Data!AO$6=Inputs!$B$12,-Inputs!$B$7,0)+IF(AND(Source_Data!AO$6&gt;=$B$298,Source_Data!AO$6&lt;$B$298+3*Inputs!$B$16,MOD(Source_Data!AO$6-$B$298,3)=0),Inputs!$B$8*Inputs!$B$7*Inputs!$B$34*$B$293*(1-Inputs!$B$15)/Inputs!$B$16,0)</f>
        <v>0</v>
      </c>
      <c r="AP307" s="33" t="n">
        <f aca="false">IF(Source_Data!AP$6=Inputs!$B$12,-Inputs!$B$7,0)+IF(AND(Source_Data!AP$6&gt;=$B$298,Source_Data!AP$6&lt;$B$298+3*Inputs!$B$16,MOD(Source_Data!AP$6-$B$298,3)=0),Inputs!$B$8*Inputs!$B$7*Inputs!$B$34*$B$293*(1-Inputs!$B$15)/Inputs!$B$16,0)</f>
        <v>0</v>
      </c>
      <c r="AQ307" s="33" t="n">
        <f aca="false">IF(Source_Data!AQ$6=Inputs!$B$12,-Inputs!$B$7,0)+IF(AND(Source_Data!AQ$6&gt;=$B$298,Source_Data!AQ$6&lt;$B$298+3*Inputs!$B$16,MOD(Source_Data!AQ$6-$B$298,3)=0),Inputs!$B$8*Inputs!$B$7*Inputs!$B$34*$B$293*(1-Inputs!$B$15)/Inputs!$B$16,0)</f>
        <v>0</v>
      </c>
      <c r="AR307" s="33" t="n">
        <f aca="false">IF(Source_Data!AR$6=Inputs!$B$12,-Inputs!$B$7,0)+IF(AND(Source_Data!AR$6&gt;=$B$298,Source_Data!AR$6&lt;$B$298+3*Inputs!$B$16,MOD(Source_Data!AR$6-$B$298,3)=0),Inputs!$B$8*Inputs!$B$7*Inputs!$B$34*$B$293*(1-Inputs!$B$15)/Inputs!$B$16,0)</f>
        <v>0</v>
      </c>
      <c r="AS307" s="33" t="n">
        <f aca="false">IF(Source_Data!AS$6=Inputs!$B$12,-Inputs!$B$7,0)+IF(AND(Source_Data!AS$6&gt;=$B$298,Source_Data!AS$6&lt;$B$298+3*Inputs!$B$16,MOD(Source_Data!AS$6-$B$298,3)=0),Inputs!$B$8*Inputs!$B$7*Inputs!$B$34*$B$293*(1-Inputs!$B$15)/Inputs!$B$16,0)</f>
        <v>0</v>
      </c>
      <c r="AT307" s="33" t="n">
        <f aca="false">IF(Source_Data!AT$6=Inputs!$B$12,-Inputs!$B$7,0)+IF(AND(Source_Data!AT$6&gt;=$B$298,Source_Data!AT$6&lt;$B$298+3*Inputs!$B$16,MOD(Source_Data!AT$6-$B$298,3)=0),Inputs!$B$8*Inputs!$B$7*Inputs!$B$34*$B$293*(1-Inputs!$B$15)/Inputs!$B$16,0)</f>
        <v>0</v>
      </c>
      <c r="AU307" s="33" t="n">
        <f aca="false">IF(Source_Data!AU$6=Inputs!$B$12,-Inputs!$B$7,0)+IF(AND(Source_Data!AU$6&gt;=$B$298,Source_Data!AU$6&lt;$B$298+3*Inputs!$B$16,MOD(Source_Data!AU$6-$B$298,3)=0),Inputs!$B$8*Inputs!$B$7*Inputs!$B$34*$B$293*(1-Inputs!$B$15)/Inputs!$B$16,0)</f>
        <v>0</v>
      </c>
      <c r="AV307" s="33" t="n">
        <f aca="false">IF(Source_Data!AV$6=Inputs!$B$12,-Inputs!$B$7,0)+IF(AND(Source_Data!AV$6&gt;=$B$298,Source_Data!AV$6&lt;$B$298+3*Inputs!$B$16,MOD(Source_Data!AV$6-$B$298,3)=0),Inputs!$B$8*Inputs!$B$7*Inputs!$B$34*$B$293*(1-Inputs!$B$15)/Inputs!$B$16,0)</f>
        <v>0</v>
      </c>
      <c r="AW307" s="33" t="n">
        <f aca="false">IF(Source_Data!AW$6=Inputs!$B$12,-Inputs!$B$7,0)+IF(AND(Source_Data!AW$6&gt;=$B$298,Source_Data!AW$6&lt;$B$298+3*Inputs!$B$16,MOD(Source_Data!AW$6-$B$298,3)=0),Inputs!$B$8*Inputs!$B$7*Inputs!$B$34*$B$293*(1-Inputs!$B$15)/Inputs!$B$16,0)</f>
        <v>0</v>
      </c>
      <c r="AX307" s="33" t="n">
        <f aca="false">IF(Source_Data!AX$6=Inputs!$B$12,-Inputs!$B$7,0)+IF(AND(Source_Data!AX$6&gt;=$B$298,Source_Data!AX$6&lt;$B$298+3*Inputs!$B$16,MOD(Source_Data!AX$6-$B$298,3)=0),Inputs!$B$8*Inputs!$B$7*Inputs!$B$34*$B$293*(1-Inputs!$B$15)/Inputs!$B$16,0)</f>
        <v>0</v>
      </c>
      <c r="AY307" s="33" t="n">
        <f aca="false">IF(Source_Data!AY$6=Inputs!$B$12,-Inputs!$B$7,0)+IF(AND(Source_Data!AY$6&gt;=$B$298,Source_Data!AY$6&lt;$B$298+3*Inputs!$B$16,MOD(Source_Data!AY$6-$B$298,3)=0),Inputs!$B$8*Inputs!$B$7*Inputs!$B$34*$B$293*(1-Inputs!$B$15)/Inputs!$B$16,0)</f>
        <v>0</v>
      </c>
      <c r="AZ307" s="33" t="n">
        <f aca="false">IF(Source_Data!AZ$6=Inputs!$B$12,-Inputs!$B$7,0)+IF(AND(Source_Data!AZ$6&gt;=$B$298,Source_Data!AZ$6&lt;$B$298+3*Inputs!$B$16,MOD(Source_Data!AZ$6-$B$298,3)=0),Inputs!$B$8*Inputs!$B$7*Inputs!$B$34*$B$293*(1-Inputs!$B$15)/Inputs!$B$16,0)</f>
        <v>0</v>
      </c>
      <c r="BA307" s="33" t="n">
        <f aca="false">IF(Source_Data!BA$6=Inputs!$B$12,-Inputs!$B$7,0)+IF(AND(Source_Data!BA$6&gt;=$B$298,Source_Data!BA$6&lt;$B$298+3*Inputs!$B$16,MOD(Source_Data!BA$6-$B$298,3)=0),Inputs!$B$8*Inputs!$B$7*Inputs!$B$34*$B$293*(1-Inputs!$B$15)/Inputs!$B$16,0)</f>
        <v>0</v>
      </c>
      <c r="BB307" s="33" t="n">
        <f aca="false">IF(Source_Data!BB$6=Inputs!$B$12,-Inputs!$B$7,0)+IF(AND(Source_Data!BB$6&gt;=$B$298,Source_Data!BB$6&lt;$B$298+3*Inputs!$B$16,MOD(Source_Data!BB$6-$B$298,3)=0),Inputs!$B$8*Inputs!$B$7*Inputs!$B$34*$B$293*(1-Inputs!$B$15)/Inputs!$B$16,0)</f>
        <v>0</v>
      </c>
      <c r="BC307" s="33" t="n">
        <f aca="false">IF(Source_Data!BC$6=Inputs!$B$12,-Inputs!$B$7,0)+IF(AND(Source_Data!BC$6&gt;=$B$298,Source_Data!BC$6&lt;$B$298+3*Inputs!$B$16,MOD(Source_Data!BC$6-$B$298,3)=0),Inputs!$B$8*Inputs!$B$7*Inputs!$B$34*$B$293*(1-Inputs!$B$15)/Inputs!$B$16,0)</f>
        <v>0</v>
      </c>
      <c r="BD307" s="33" t="n">
        <f aca="false">IF(Source_Data!BD$6=Inputs!$B$12,-Inputs!$B$7,0)+IF(AND(Source_Data!BD$6&gt;=$B$298,Source_Data!BD$6&lt;$B$298+3*Inputs!$B$16,MOD(Source_Data!BD$6-$B$298,3)=0),Inputs!$B$8*Inputs!$B$7*Inputs!$B$34*$B$293*(1-Inputs!$B$15)/Inputs!$B$16,0)</f>
        <v>0</v>
      </c>
      <c r="BE307" s="33" t="n">
        <f aca="false">IF(Source_Data!BE$6=Inputs!$B$12,-Inputs!$B$7,0)+IF(AND(Source_Data!BE$6&gt;=$B$298,Source_Data!BE$6&lt;$B$298+3*Inputs!$B$16,MOD(Source_Data!BE$6-$B$298,3)=0),Inputs!$B$8*Inputs!$B$7*Inputs!$B$34*$B$293*(1-Inputs!$B$15)/Inputs!$B$16,0)</f>
        <v>0</v>
      </c>
      <c r="BF307" s="33" t="n">
        <f aca="false">IF(Source_Data!BF$6=Inputs!$B$12,-Inputs!$B$7,0)+IF(AND(Source_Data!BF$6&gt;=$B$298,Source_Data!BF$6&lt;$B$298+3*Inputs!$B$16,MOD(Source_Data!BF$6-$B$298,3)=0),Inputs!$B$8*Inputs!$B$7*Inputs!$B$34*$B$293*(1-Inputs!$B$15)/Inputs!$B$16,0)</f>
        <v>0</v>
      </c>
      <c r="BG307" s="33" t="n">
        <f aca="false">IF(Source_Data!BG$6=Inputs!$B$12,-Inputs!$B$7,0)+IF(AND(Source_Data!BG$6&gt;=$B$298,Source_Data!BG$6&lt;$B$298+3*Inputs!$B$16,MOD(Source_Data!BG$6-$B$298,3)=0),Inputs!$B$8*Inputs!$B$7*Inputs!$B$34*$B$293*(1-Inputs!$B$15)/Inputs!$B$16,0)</f>
        <v>0</v>
      </c>
      <c r="BH307" s="33" t="n">
        <f aca="false">IF(Source_Data!BH$6=Inputs!$B$12,-Inputs!$B$7,0)+IF(AND(Source_Data!BH$6&gt;=$B$298,Source_Data!BH$6&lt;$B$298+3*Inputs!$B$16,MOD(Source_Data!BH$6-$B$298,3)=0),Inputs!$B$8*Inputs!$B$7*Inputs!$B$34*$B$293*(1-Inputs!$B$15)/Inputs!$B$16,0)</f>
        <v>0</v>
      </c>
      <c r="BI307" s="33" t="n">
        <f aca="false">IF(Source_Data!BI$6=Inputs!$B$12,-Inputs!$B$7,0)+IF(AND(Source_Data!BI$6&gt;=$B$298,Source_Data!BI$6&lt;$B$298+3*Inputs!$B$16,MOD(Source_Data!BI$6-$B$298,3)=0),Inputs!$B$8*Inputs!$B$7*Inputs!$B$34*$B$293*(1-Inputs!$B$15)/Inputs!$B$16,0)</f>
        <v>0</v>
      </c>
      <c r="BJ307" s="33" t="n">
        <f aca="false">IF(Source_Data!BJ$6=Inputs!$B$12,-Inputs!$B$7,0)+IF(AND(Source_Data!BJ$6&gt;=$B$298,Source_Data!BJ$6&lt;$B$298+3*Inputs!$B$16,MOD(Source_Data!BJ$6-$B$298,3)=0),Inputs!$B$8*Inputs!$B$7*Inputs!$B$34*$B$293*(1-Inputs!$B$15)/Inputs!$B$16,0)</f>
        <v>0</v>
      </c>
      <c r="BK307" s="33" t="n">
        <f aca="false">IF(Source_Data!BK$6=Inputs!$B$12,-Inputs!$B$7,0)+IF(AND(Source_Data!BK$6&gt;=$B$298,Source_Data!BK$6&lt;$B$298+3*Inputs!$B$16,MOD(Source_Data!BK$6-$B$298,3)=0),Inputs!$B$8*Inputs!$B$7*Inputs!$B$34*$B$293*(1-Inputs!$B$15)/Inputs!$B$16,0)</f>
        <v>0</v>
      </c>
    </row>
    <row r="308" customFormat="false" ht="15" hidden="false" customHeight="false" outlineLevel="0" collapsed="false">
      <c r="A308" s="3" t="s">
        <v>341</v>
      </c>
      <c r="D308" s="33" t="n">
        <f aca="false">IF(AND(Source_Data!D$6&gt;=Inputs!$B$54,Source_Data!D$6&lt;Inputs!$B$54+3*Inputs!$B$11),Inputs!$B$9*Inputs!$B$7/Inputs!$B$11,0)</f>
        <v>0</v>
      </c>
      <c r="E308" s="33" t="n">
        <f aca="false">IF(AND(Source_Data!E$6&gt;=Inputs!$B$54,Source_Data!E$6&lt;Inputs!$B$54+3*Inputs!$B$11),Inputs!$B$9*Inputs!$B$7/Inputs!$B$11,0)</f>
        <v>0</v>
      </c>
      <c r="F308" s="33" t="n">
        <f aca="false">IF(AND(Source_Data!F$6&gt;=Inputs!$B$54,Source_Data!F$6&lt;Inputs!$B$54+3*Inputs!$B$11),Inputs!$B$9*Inputs!$B$7/Inputs!$B$11,0)</f>
        <v>0</v>
      </c>
      <c r="G308" s="33" t="n">
        <f aca="false">IF(AND(Source_Data!G$6&gt;=Inputs!$B$54,Source_Data!G$6&lt;Inputs!$B$54+3*Inputs!$B$11),Inputs!$B$9*Inputs!$B$7/Inputs!$B$11,0)</f>
        <v>0</v>
      </c>
      <c r="H308" s="33" t="n">
        <f aca="false">IF(AND(Source_Data!H$6&gt;=Inputs!$B$54,Source_Data!H$6&lt;Inputs!$B$54+3*Inputs!$B$11),Inputs!$B$9*Inputs!$B$7/Inputs!$B$11,0)</f>
        <v>0</v>
      </c>
      <c r="I308" s="33" t="n">
        <f aca="false">IF(AND(Source_Data!I$6&gt;=Inputs!$B$54,Source_Data!I$6&lt;Inputs!$B$54+3*Inputs!$B$11),Inputs!$B$9*Inputs!$B$7/Inputs!$B$11,0)</f>
        <v>0</v>
      </c>
      <c r="J308" s="33" t="n">
        <f aca="false">IF(AND(Source_Data!J$6&gt;=Inputs!$B$54,Source_Data!J$6&lt;Inputs!$B$54+3*Inputs!$B$11),Inputs!$B$9*Inputs!$B$7/Inputs!$B$11,0)</f>
        <v>0</v>
      </c>
      <c r="K308" s="33" t="n">
        <f aca="false">IF(AND(Source_Data!K$6&gt;=Inputs!$B$54,Source_Data!K$6&lt;Inputs!$B$54+3*Inputs!$B$11),Inputs!$B$9*Inputs!$B$7/Inputs!$B$11,0)</f>
        <v>0</v>
      </c>
      <c r="L308" s="33" t="n">
        <f aca="false">IF(AND(Source_Data!L$6&gt;=Inputs!$B$54,Source_Data!L$6&lt;Inputs!$B$54+3*Inputs!$B$11),Inputs!$B$9*Inputs!$B$7/Inputs!$B$11,0)</f>
        <v>0</v>
      </c>
      <c r="M308" s="33" t="n">
        <f aca="false">IF(AND(Source_Data!M$6&gt;=Inputs!$B$54,Source_Data!M$6&lt;Inputs!$B$54+3*Inputs!$B$11),Inputs!$B$9*Inputs!$B$7/Inputs!$B$11,0)</f>
        <v>19.1666666666667</v>
      </c>
      <c r="N308" s="33" t="n">
        <f aca="false">IF(AND(Source_Data!N$6&gt;=Inputs!$B$54,Source_Data!N$6&lt;Inputs!$B$54+3*Inputs!$B$11),Inputs!$B$9*Inputs!$B$7/Inputs!$B$11,0)</f>
        <v>19.1666666666667</v>
      </c>
      <c r="O308" s="33" t="n">
        <f aca="false">IF(AND(Source_Data!O$6&gt;=Inputs!$B$54,Source_Data!O$6&lt;Inputs!$B$54+3*Inputs!$B$11),Inputs!$B$9*Inputs!$B$7/Inputs!$B$11,0)</f>
        <v>19.1666666666667</v>
      </c>
      <c r="P308" s="33" t="n">
        <f aca="false">IF(AND(Source_Data!P$6&gt;=Inputs!$B$54,Source_Data!P$6&lt;Inputs!$B$54+3*Inputs!$B$11),Inputs!$B$9*Inputs!$B$7/Inputs!$B$11,0)</f>
        <v>19.1666666666667</v>
      </c>
      <c r="Q308" s="33" t="n">
        <f aca="false">IF(AND(Source_Data!Q$6&gt;=Inputs!$B$54,Source_Data!Q$6&lt;Inputs!$B$54+3*Inputs!$B$11),Inputs!$B$9*Inputs!$B$7/Inputs!$B$11,0)</f>
        <v>19.1666666666667</v>
      </c>
      <c r="R308" s="33" t="n">
        <f aca="false">IF(AND(Source_Data!R$6&gt;=Inputs!$B$54,Source_Data!R$6&lt;Inputs!$B$54+3*Inputs!$B$11),Inputs!$B$9*Inputs!$B$7/Inputs!$B$11,0)</f>
        <v>19.1666666666667</v>
      </c>
      <c r="S308" s="33" t="n">
        <f aca="false">IF(AND(Source_Data!S$6&gt;=Inputs!$B$54,Source_Data!S$6&lt;Inputs!$B$54+3*Inputs!$B$11),Inputs!$B$9*Inputs!$B$7/Inputs!$B$11,0)</f>
        <v>19.1666666666667</v>
      </c>
      <c r="T308" s="33" t="n">
        <f aca="false">IF(AND(Source_Data!T$6&gt;=Inputs!$B$54,Source_Data!T$6&lt;Inputs!$B$54+3*Inputs!$B$11),Inputs!$B$9*Inputs!$B$7/Inputs!$B$11,0)</f>
        <v>19.1666666666667</v>
      </c>
      <c r="U308" s="33" t="n">
        <f aca="false">IF(AND(Source_Data!U$6&gt;=Inputs!$B$54,Source_Data!U$6&lt;Inputs!$B$54+3*Inputs!$B$11),Inputs!$B$9*Inputs!$B$7/Inputs!$B$11,0)</f>
        <v>19.1666666666667</v>
      </c>
      <c r="V308" s="33" t="n">
        <f aca="false">IF(AND(Source_Data!V$6&gt;=Inputs!$B$54,Source_Data!V$6&lt;Inputs!$B$54+3*Inputs!$B$11),Inputs!$B$9*Inputs!$B$7/Inputs!$B$11,0)</f>
        <v>19.1666666666667</v>
      </c>
      <c r="W308" s="33" t="n">
        <f aca="false">IF(AND(Source_Data!W$6&gt;=Inputs!$B$54,Source_Data!W$6&lt;Inputs!$B$54+3*Inputs!$B$11),Inputs!$B$9*Inputs!$B$7/Inputs!$B$11,0)</f>
        <v>19.1666666666667</v>
      </c>
      <c r="X308" s="33" t="n">
        <f aca="false">IF(AND(Source_Data!X$6&gt;=Inputs!$B$54,Source_Data!X$6&lt;Inputs!$B$54+3*Inputs!$B$11),Inputs!$B$9*Inputs!$B$7/Inputs!$B$11,0)</f>
        <v>19.1666666666667</v>
      </c>
      <c r="Y308" s="33" t="n">
        <f aca="false">IF(AND(Source_Data!Y$6&gt;=Inputs!$B$54,Source_Data!Y$6&lt;Inputs!$B$54+3*Inputs!$B$11),Inputs!$B$9*Inputs!$B$7/Inputs!$B$11,0)</f>
        <v>0</v>
      </c>
      <c r="Z308" s="33" t="n">
        <f aca="false">IF(AND(Source_Data!Z$6&gt;=Inputs!$B$54,Source_Data!Z$6&lt;Inputs!$B$54+3*Inputs!$B$11),Inputs!$B$9*Inputs!$B$7/Inputs!$B$11,0)</f>
        <v>0</v>
      </c>
      <c r="AA308" s="33" t="n">
        <f aca="false">IF(AND(Source_Data!AA$6&gt;=Inputs!$B$54,Source_Data!AA$6&lt;Inputs!$B$54+3*Inputs!$B$11),Inputs!$B$9*Inputs!$B$7/Inputs!$B$11,0)</f>
        <v>0</v>
      </c>
      <c r="AB308" s="33" t="n">
        <f aca="false">IF(AND(Source_Data!AB$6&gt;=Inputs!$B$54,Source_Data!AB$6&lt;Inputs!$B$54+3*Inputs!$B$11),Inputs!$B$9*Inputs!$B$7/Inputs!$B$11,0)</f>
        <v>0</v>
      </c>
      <c r="AC308" s="33" t="n">
        <f aca="false">IF(AND(Source_Data!AC$6&gt;=Inputs!$B$54,Source_Data!AC$6&lt;Inputs!$B$54+3*Inputs!$B$11),Inputs!$B$9*Inputs!$B$7/Inputs!$B$11,0)</f>
        <v>0</v>
      </c>
      <c r="AD308" s="33" t="n">
        <f aca="false">IF(AND(Source_Data!AD$6&gt;=Inputs!$B$54,Source_Data!AD$6&lt;Inputs!$B$54+3*Inputs!$B$11),Inputs!$B$9*Inputs!$B$7/Inputs!$B$11,0)</f>
        <v>0</v>
      </c>
      <c r="AE308" s="33" t="n">
        <f aca="false">IF(AND(Source_Data!AE$6&gt;=Inputs!$B$54,Source_Data!AE$6&lt;Inputs!$B$54+3*Inputs!$B$11),Inputs!$B$9*Inputs!$B$7/Inputs!$B$11,0)</f>
        <v>0</v>
      </c>
      <c r="AF308" s="33" t="n">
        <f aca="false">IF(AND(Source_Data!AF$6&gt;=Inputs!$B$54,Source_Data!AF$6&lt;Inputs!$B$54+3*Inputs!$B$11),Inputs!$B$9*Inputs!$B$7/Inputs!$B$11,0)</f>
        <v>0</v>
      </c>
      <c r="AG308" s="33" t="n">
        <f aca="false">IF(AND(Source_Data!AG$6&gt;=Inputs!$B$54,Source_Data!AG$6&lt;Inputs!$B$54+3*Inputs!$B$11),Inputs!$B$9*Inputs!$B$7/Inputs!$B$11,0)</f>
        <v>0</v>
      </c>
      <c r="AH308" s="33" t="n">
        <f aca="false">IF(AND(Source_Data!AH$6&gt;=Inputs!$B$54,Source_Data!AH$6&lt;Inputs!$B$54+3*Inputs!$B$11),Inputs!$B$9*Inputs!$B$7/Inputs!$B$11,0)</f>
        <v>0</v>
      </c>
      <c r="AI308" s="33" t="n">
        <f aca="false">IF(AND(Source_Data!AI$6&gt;=Inputs!$B$54,Source_Data!AI$6&lt;Inputs!$B$54+3*Inputs!$B$11),Inputs!$B$9*Inputs!$B$7/Inputs!$B$11,0)</f>
        <v>0</v>
      </c>
      <c r="AJ308" s="33" t="n">
        <f aca="false">IF(AND(Source_Data!AJ$6&gt;=Inputs!$B$54,Source_Data!AJ$6&lt;Inputs!$B$54+3*Inputs!$B$11),Inputs!$B$9*Inputs!$B$7/Inputs!$B$11,0)</f>
        <v>0</v>
      </c>
      <c r="AK308" s="33" t="n">
        <f aca="false">IF(AND(Source_Data!AK$6&gt;=Inputs!$B$54,Source_Data!AK$6&lt;Inputs!$B$54+3*Inputs!$B$11),Inputs!$B$9*Inputs!$B$7/Inputs!$B$11,0)</f>
        <v>0</v>
      </c>
      <c r="AL308" s="33" t="n">
        <f aca="false">IF(AND(Source_Data!AL$6&gt;=Inputs!$B$54,Source_Data!AL$6&lt;Inputs!$B$54+3*Inputs!$B$11),Inputs!$B$9*Inputs!$B$7/Inputs!$B$11,0)</f>
        <v>0</v>
      </c>
      <c r="AM308" s="33" t="n">
        <f aca="false">IF(AND(Source_Data!AM$6&gt;=Inputs!$B$54,Source_Data!AM$6&lt;Inputs!$B$54+3*Inputs!$B$11),Inputs!$B$9*Inputs!$B$7/Inputs!$B$11,0)</f>
        <v>0</v>
      </c>
      <c r="AN308" s="33" t="n">
        <f aca="false">IF(AND(Source_Data!AN$6&gt;=Inputs!$B$54,Source_Data!AN$6&lt;Inputs!$B$54+3*Inputs!$B$11),Inputs!$B$9*Inputs!$B$7/Inputs!$B$11,0)</f>
        <v>0</v>
      </c>
      <c r="AO308" s="33" t="n">
        <f aca="false">IF(AND(Source_Data!AO$6&gt;=Inputs!$B$54,Source_Data!AO$6&lt;Inputs!$B$54+3*Inputs!$B$11),Inputs!$B$9*Inputs!$B$7/Inputs!$B$11,0)</f>
        <v>0</v>
      </c>
      <c r="AP308" s="33" t="n">
        <f aca="false">IF(AND(Source_Data!AP$6&gt;=Inputs!$B$54,Source_Data!AP$6&lt;Inputs!$B$54+3*Inputs!$B$11),Inputs!$B$9*Inputs!$B$7/Inputs!$B$11,0)</f>
        <v>0</v>
      </c>
      <c r="AQ308" s="33" t="n">
        <f aca="false">IF(AND(Source_Data!AQ$6&gt;=Inputs!$B$54,Source_Data!AQ$6&lt;Inputs!$B$54+3*Inputs!$B$11),Inputs!$B$9*Inputs!$B$7/Inputs!$B$11,0)</f>
        <v>0</v>
      </c>
      <c r="AR308" s="33" t="n">
        <f aca="false">IF(AND(Source_Data!AR$6&gt;=Inputs!$B$54,Source_Data!AR$6&lt;Inputs!$B$54+3*Inputs!$B$11),Inputs!$B$9*Inputs!$B$7/Inputs!$B$11,0)</f>
        <v>0</v>
      </c>
      <c r="AS308" s="33" t="n">
        <f aca="false">IF(AND(Source_Data!AS$6&gt;=Inputs!$B$54,Source_Data!AS$6&lt;Inputs!$B$54+3*Inputs!$B$11),Inputs!$B$9*Inputs!$B$7/Inputs!$B$11,0)</f>
        <v>0</v>
      </c>
      <c r="AT308" s="33" t="n">
        <f aca="false">IF(AND(Source_Data!AT$6&gt;=Inputs!$B$54,Source_Data!AT$6&lt;Inputs!$B$54+3*Inputs!$B$11),Inputs!$B$9*Inputs!$B$7/Inputs!$B$11,0)</f>
        <v>0</v>
      </c>
      <c r="AU308" s="33" t="n">
        <f aca="false">IF(AND(Source_Data!AU$6&gt;=Inputs!$B$54,Source_Data!AU$6&lt;Inputs!$B$54+3*Inputs!$B$11),Inputs!$B$9*Inputs!$B$7/Inputs!$B$11,0)</f>
        <v>0</v>
      </c>
      <c r="AV308" s="33" t="n">
        <f aca="false">IF(AND(Source_Data!AV$6&gt;=Inputs!$B$54,Source_Data!AV$6&lt;Inputs!$B$54+3*Inputs!$B$11),Inputs!$B$9*Inputs!$B$7/Inputs!$B$11,0)</f>
        <v>0</v>
      </c>
      <c r="AW308" s="33" t="n">
        <f aca="false">IF(AND(Source_Data!AW$6&gt;=Inputs!$B$54,Source_Data!AW$6&lt;Inputs!$B$54+3*Inputs!$B$11),Inputs!$B$9*Inputs!$B$7/Inputs!$B$11,0)</f>
        <v>0</v>
      </c>
      <c r="AX308" s="33" t="n">
        <f aca="false">IF(AND(Source_Data!AX$6&gt;=Inputs!$B$54,Source_Data!AX$6&lt;Inputs!$B$54+3*Inputs!$B$11),Inputs!$B$9*Inputs!$B$7/Inputs!$B$11,0)</f>
        <v>0</v>
      </c>
      <c r="AY308" s="33" t="n">
        <f aca="false">IF(AND(Source_Data!AY$6&gt;=Inputs!$B$54,Source_Data!AY$6&lt;Inputs!$B$54+3*Inputs!$B$11),Inputs!$B$9*Inputs!$B$7/Inputs!$B$11,0)</f>
        <v>0</v>
      </c>
      <c r="AZ308" s="33" t="n">
        <f aca="false">IF(AND(Source_Data!AZ$6&gt;=Inputs!$B$54,Source_Data!AZ$6&lt;Inputs!$B$54+3*Inputs!$B$11),Inputs!$B$9*Inputs!$B$7/Inputs!$B$11,0)</f>
        <v>0</v>
      </c>
      <c r="BA308" s="33" t="n">
        <f aca="false">IF(AND(Source_Data!BA$6&gt;=Inputs!$B$54,Source_Data!BA$6&lt;Inputs!$B$54+3*Inputs!$B$11),Inputs!$B$9*Inputs!$B$7/Inputs!$B$11,0)</f>
        <v>0</v>
      </c>
      <c r="BB308" s="33" t="n">
        <f aca="false">IF(AND(Source_Data!BB$6&gt;=Inputs!$B$54,Source_Data!BB$6&lt;Inputs!$B$54+3*Inputs!$B$11),Inputs!$B$9*Inputs!$B$7/Inputs!$B$11,0)</f>
        <v>0</v>
      </c>
      <c r="BC308" s="33" t="n">
        <f aca="false">IF(AND(Source_Data!BC$6&gt;=Inputs!$B$54,Source_Data!BC$6&lt;Inputs!$B$54+3*Inputs!$B$11),Inputs!$B$9*Inputs!$B$7/Inputs!$B$11,0)</f>
        <v>0</v>
      </c>
      <c r="BD308" s="33" t="n">
        <f aca="false">IF(AND(Source_Data!BD$6&gt;=Inputs!$B$54,Source_Data!BD$6&lt;Inputs!$B$54+3*Inputs!$B$11),Inputs!$B$9*Inputs!$B$7/Inputs!$B$11,0)</f>
        <v>0</v>
      </c>
      <c r="BE308" s="33" t="n">
        <f aca="false">IF(AND(Source_Data!BE$6&gt;=Inputs!$B$54,Source_Data!BE$6&lt;Inputs!$B$54+3*Inputs!$B$11),Inputs!$B$9*Inputs!$B$7/Inputs!$B$11,0)</f>
        <v>0</v>
      </c>
      <c r="BF308" s="33" t="n">
        <f aca="false">IF(AND(Source_Data!BF$6&gt;=Inputs!$B$54,Source_Data!BF$6&lt;Inputs!$B$54+3*Inputs!$B$11),Inputs!$B$9*Inputs!$B$7/Inputs!$B$11,0)</f>
        <v>0</v>
      </c>
      <c r="BG308" s="33" t="n">
        <f aca="false">IF(AND(Source_Data!BG$6&gt;=Inputs!$B$54,Source_Data!BG$6&lt;Inputs!$B$54+3*Inputs!$B$11),Inputs!$B$9*Inputs!$B$7/Inputs!$B$11,0)</f>
        <v>0</v>
      </c>
      <c r="BH308" s="33" t="n">
        <f aca="false">IF(AND(Source_Data!BH$6&gt;=Inputs!$B$54,Source_Data!BH$6&lt;Inputs!$B$54+3*Inputs!$B$11),Inputs!$B$9*Inputs!$B$7/Inputs!$B$11,0)</f>
        <v>0</v>
      </c>
      <c r="BI308" s="33" t="n">
        <f aca="false">IF(AND(Source_Data!BI$6&gt;=Inputs!$B$54,Source_Data!BI$6&lt;Inputs!$B$54+3*Inputs!$B$11),Inputs!$B$9*Inputs!$B$7/Inputs!$B$11,0)</f>
        <v>0</v>
      </c>
      <c r="BJ308" s="33" t="n">
        <f aca="false">IF(AND(Source_Data!BJ$6&gt;=Inputs!$B$54,Source_Data!BJ$6&lt;Inputs!$B$54+3*Inputs!$B$11),Inputs!$B$9*Inputs!$B$7/Inputs!$B$11,0)</f>
        <v>0</v>
      </c>
      <c r="BK308" s="33" t="n">
        <f aca="false">IF(AND(Source_Data!BK$6&gt;=Inputs!$B$54,Source_Data!BK$6&lt;Inputs!$B$54+3*Inputs!$B$11),Inputs!$B$9*Inputs!$B$7/Inputs!$B$11,0)</f>
        <v>0</v>
      </c>
    </row>
    <row r="309" customFormat="false" ht="15" hidden="false" customHeight="false" outlineLevel="0" collapsed="false">
      <c r="A309" s="3" t="s">
        <v>342</v>
      </c>
      <c r="D309" s="33" t="n">
        <f aca="false">IF(Source_Data!D$6=Inputs!$B$12,-Inputs!$B$7,0)+D308</f>
        <v>-100</v>
      </c>
      <c r="E309" s="33" t="n">
        <f aca="false">IF(Source_Data!E$6=Inputs!$B$12,-Inputs!$B$7,0)+E308</f>
        <v>0</v>
      </c>
      <c r="F309" s="33" t="n">
        <f aca="false">IF(Source_Data!F$6=Inputs!$B$12,-Inputs!$B$7,0)+F308</f>
        <v>0</v>
      </c>
      <c r="G309" s="33" t="n">
        <f aca="false">IF(Source_Data!G$6=Inputs!$B$12,-Inputs!$B$7,0)+G308</f>
        <v>0</v>
      </c>
      <c r="H309" s="33" t="n">
        <f aca="false">IF(Source_Data!H$6=Inputs!$B$12,-Inputs!$B$7,0)+H308</f>
        <v>0</v>
      </c>
      <c r="I309" s="33" t="n">
        <f aca="false">IF(Source_Data!I$6=Inputs!$B$12,-Inputs!$B$7,0)+I308</f>
        <v>0</v>
      </c>
      <c r="J309" s="33" t="n">
        <f aca="false">IF(Source_Data!J$6=Inputs!$B$12,-Inputs!$B$7,0)+J308</f>
        <v>0</v>
      </c>
      <c r="K309" s="33" t="n">
        <f aca="false">IF(Source_Data!K$6=Inputs!$B$12,-Inputs!$B$7,0)+K308</f>
        <v>0</v>
      </c>
      <c r="L309" s="33" t="n">
        <f aca="false">IF(Source_Data!L$6=Inputs!$B$12,-Inputs!$B$7,0)+L308</f>
        <v>0</v>
      </c>
      <c r="M309" s="33" t="n">
        <f aca="false">IF(Source_Data!M$6=Inputs!$B$12,-Inputs!$B$7,0)+M308</f>
        <v>19.1666666666667</v>
      </c>
      <c r="N309" s="33" t="n">
        <f aca="false">IF(Source_Data!N$6=Inputs!$B$12,-Inputs!$B$7,0)+N308</f>
        <v>19.1666666666667</v>
      </c>
      <c r="O309" s="33" t="n">
        <f aca="false">IF(Source_Data!O$6=Inputs!$B$12,-Inputs!$B$7,0)+O308</f>
        <v>19.1666666666667</v>
      </c>
      <c r="P309" s="33" t="n">
        <f aca="false">IF(Source_Data!P$6=Inputs!$B$12,-Inputs!$B$7,0)+P308</f>
        <v>19.1666666666667</v>
      </c>
      <c r="Q309" s="33" t="n">
        <f aca="false">IF(Source_Data!Q$6=Inputs!$B$12,-Inputs!$B$7,0)+Q308</f>
        <v>19.1666666666667</v>
      </c>
      <c r="R309" s="33" t="n">
        <f aca="false">IF(Source_Data!R$6=Inputs!$B$12,-Inputs!$B$7,0)+R308</f>
        <v>19.1666666666667</v>
      </c>
      <c r="S309" s="33" t="n">
        <f aca="false">IF(Source_Data!S$6=Inputs!$B$12,-Inputs!$B$7,0)+S308</f>
        <v>19.1666666666667</v>
      </c>
      <c r="T309" s="33" t="n">
        <f aca="false">IF(Source_Data!T$6=Inputs!$B$12,-Inputs!$B$7,0)+T308</f>
        <v>19.1666666666667</v>
      </c>
      <c r="U309" s="33" t="n">
        <f aca="false">IF(Source_Data!U$6=Inputs!$B$12,-Inputs!$B$7,0)+U308</f>
        <v>19.1666666666667</v>
      </c>
      <c r="V309" s="33" t="n">
        <f aca="false">IF(Source_Data!V$6=Inputs!$B$12,-Inputs!$B$7,0)+V308</f>
        <v>19.1666666666667</v>
      </c>
      <c r="W309" s="33" t="n">
        <f aca="false">IF(Source_Data!W$6=Inputs!$B$12,-Inputs!$B$7,0)+W308</f>
        <v>19.1666666666667</v>
      </c>
      <c r="X309" s="33" t="n">
        <f aca="false">IF(Source_Data!X$6=Inputs!$B$12,-Inputs!$B$7,0)+X308</f>
        <v>19.1666666666667</v>
      </c>
      <c r="Y309" s="33" t="n">
        <f aca="false">IF(Source_Data!Y$6=Inputs!$B$12,-Inputs!$B$7,0)+Y308</f>
        <v>0</v>
      </c>
      <c r="Z309" s="33" t="n">
        <f aca="false">IF(Source_Data!Z$6=Inputs!$B$12,-Inputs!$B$7,0)+Z308</f>
        <v>0</v>
      </c>
      <c r="AA309" s="33" t="n">
        <f aca="false">IF(Source_Data!AA$6=Inputs!$B$12,-Inputs!$B$7,0)+AA308</f>
        <v>0</v>
      </c>
      <c r="AB309" s="33" t="n">
        <f aca="false">IF(Source_Data!AB$6=Inputs!$B$12,-Inputs!$B$7,0)+AB308</f>
        <v>0</v>
      </c>
      <c r="AC309" s="33" t="n">
        <f aca="false">IF(Source_Data!AC$6=Inputs!$B$12,-Inputs!$B$7,0)+AC308</f>
        <v>0</v>
      </c>
      <c r="AD309" s="33" t="n">
        <f aca="false">IF(Source_Data!AD$6=Inputs!$B$12,-Inputs!$B$7,0)+AD308</f>
        <v>0</v>
      </c>
      <c r="AE309" s="33" t="n">
        <f aca="false">IF(Source_Data!AE$6=Inputs!$B$12,-Inputs!$B$7,0)+AE308</f>
        <v>0</v>
      </c>
      <c r="AF309" s="33" t="n">
        <f aca="false">IF(Source_Data!AF$6=Inputs!$B$12,-Inputs!$B$7,0)+AF308</f>
        <v>0</v>
      </c>
      <c r="AG309" s="33" t="n">
        <f aca="false">IF(Source_Data!AG$6=Inputs!$B$12,-Inputs!$B$7,0)+AG308</f>
        <v>0</v>
      </c>
      <c r="AH309" s="33" t="n">
        <f aca="false">IF(Source_Data!AH$6=Inputs!$B$12,-Inputs!$B$7,0)+AH308</f>
        <v>0</v>
      </c>
      <c r="AI309" s="33" t="n">
        <f aca="false">IF(Source_Data!AI$6=Inputs!$B$12,-Inputs!$B$7,0)+AI308</f>
        <v>0</v>
      </c>
      <c r="AJ309" s="33" t="n">
        <f aca="false">IF(Source_Data!AJ$6=Inputs!$B$12,-Inputs!$B$7,0)+AJ308</f>
        <v>0</v>
      </c>
      <c r="AK309" s="33" t="n">
        <f aca="false">IF(Source_Data!AK$6=Inputs!$B$12,-Inputs!$B$7,0)+AK308</f>
        <v>0</v>
      </c>
      <c r="AL309" s="33" t="n">
        <f aca="false">IF(Source_Data!AL$6=Inputs!$B$12,-Inputs!$B$7,0)+AL308</f>
        <v>0</v>
      </c>
      <c r="AM309" s="33" t="n">
        <f aca="false">IF(Source_Data!AM$6=Inputs!$B$12,-Inputs!$B$7,0)+AM308</f>
        <v>0</v>
      </c>
      <c r="AN309" s="33" t="n">
        <f aca="false">IF(Source_Data!AN$6=Inputs!$B$12,-Inputs!$B$7,0)+AN308</f>
        <v>0</v>
      </c>
      <c r="AO309" s="33" t="n">
        <f aca="false">IF(Source_Data!AO$6=Inputs!$B$12,-Inputs!$B$7,0)+AO308</f>
        <v>0</v>
      </c>
      <c r="AP309" s="33" t="n">
        <f aca="false">IF(Source_Data!AP$6=Inputs!$B$12,-Inputs!$B$7,0)+AP308</f>
        <v>0</v>
      </c>
      <c r="AQ309" s="33" t="n">
        <f aca="false">IF(Source_Data!AQ$6=Inputs!$B$12,-Inputs!$B$7,0)+AQ308</f>
        <v>0</v>
      </c>
      <c r="AR309" s="33" t="n">
        <f aca="false">IF(Source_Data!AR$6=Inputs!$B$12,-Inputs!$B$7,0)+AR308</f>
        <v>0</v>
      </c>
      <c r="AS309" s="33" t="n">
        <f aca="false">IF(Source_Data!AS$6=Inputs!$B$12,-Inputs!$B$7,0)+AS308</f>
        <v>0</v>
      </c>
      <c r="AT309" s="33" t="n">
        <f aca="false">IF(Source_Data!AT$6=Inputs!$B$12,-Inputs!$B$7,0)+AT308</f>
        <v>0</v>
      </c>
      <c r="AU309" s="33" t="n">
        <f aca="false">IF(Source_Data!AU$6=Inputs!$B$12,-Inputs!$B$7,0)+AU308</f>
        <v>0</v>
      </c>
      <c r="AV309" s="33" t="n">
        <f aca="false">IF(Source_Data!AV$6=Inputs!$B$12,-Inputs!$B$7,0)+AV308</f>
        <v>0</v>
      </c>
      <c r="AW309" s="33" t="n">
        <f aca="false">IF(Source_Data!AW$6=Inputs!$B$12,-Inputs!$B$7,0)+AW308</f>
        <v>0</v>
      </c>
      <c r="AX309" s="33" t="n">
        <f aca="false">IF(Source_Data!AX$6=Inputs!$B$12,-Inputs!$B$7,0)+AX308</f>
        <v>0</v>
      </c>
      <c r="AY309" s="33" t="n">
        <f aca="false">IF(Source_Data!AY$6=Inputs!$B$12,-Inputs!$B$7,0)+AY308</f>
        <v>0</v>
      </c>
      <c r="AZ309" s="33" t="n">
        <f aca="false">IF(Source_Data!AZ$6=Inputs!$B$12,-Inputs!$B$7,0)+AZ308</f>
        <v>0</v>
      </c>
      <c r="BA309" s="33" t="n">
        <f aca="false">IF(Source_Data!BA$6=Inputs!$B$12,-Inputs!$B$7,0)+BA308</f>
        <v>0</v>
      </c>
      <c r="BB309" s="33" t="n">
        <f aca="false">IF(Source_Data!BB$6=Inputs!$B$12,-Inputs!$B$7,0)+BB308</f>
        <v>0</v>
      </c>
      <c r="BC309" s="33" t="n">
        <f aca="false">IF(Source_Data!BC$6=Inputs!$B$12,-Inputs!$B$7,0)+BC308</f>
        <v>0</v>
      </c>
      <c r="BD309" s="33" t="n">
        <f aca="false">IF(Source_Data!BD$6=Inputs!$B$12,-Inputs!$B$7,0)+BD308</f>
        <v>0</v>
      </c>
      <c r="BE309" s="33" t="n">
        <f aca="false">IF(Source_Data!BE$6=Inputs!$B$12,-Inputs!$B$7,0)+BE308</f>
        <v>0</v>
      </c>
      <c r="BF309" s="33" t="n">
        <f aca="false">IF(Source_Data!BF$6=Inputs!$B$12,-Inputs!$B$7,0)+BF308</f>
        <v>0</v>
      </c>
      <c r="BG309" s="33" t="n">
        <f aca="false">IF(Source_Data!BG$6=Inputs!$B$12,-Inputs!$B$7,0)+BG308</f>
        <v>0</v>
      </c>
      <c r="BH309" s="33" t="n">
        <f aca="false">IF(Source_Data!BH$6=Inputs!$B$12,-Inputs!$B$7,0)+BH308</f>
        <v>0</v>
      </c>
      <c r="BI309" s="33" t="n">
        <f aca="false">IF(Source_Data!BI$6=Inputs!$B$12,-Inputs!$B$7,0)+BI308</f>
        <v>0</v>
      </c>
      <c r="BJ309" s="33" t="n">
        <f aca="false">IF(Source_Data!BJ$6=Inputs!$B$12,-Inputs!$B$7,0)+BJ308</f>
        <v>0</v>
      </c>
      <c r="BK309" s="33" t="n">
        <f aca="false">IF(Source_Data!BK$6=Inputs!$B$12,-Inputs!$B$7,0)+BK308</f>
        <v>0</v>
      </c>
    </row>
    <row r="310" customFormat="false" ht="15" hidden="false" customHeight="false" outlineLevel="0" collapsed="false">
      <c r="A310" s="3" t="s">
        <v>343</v>
      </c>
      <c r="D310" s="33" t="n">
        <f aca="false">IF(Source_Data!D$6=Inputs!$B$12,Inputs!$B$7,0)+D305-D308</f>
        <v>8.75</v>
      </c>
      <c r="E310" s="33" t="n">
        <f aca="false">D310+IF(Source_Data!E$6=Inputs!$B$12,Inputs!$B$7,0)+E305-E308</f>
        <v>-2.5</v>
      </c>
      <c r="F310" s="33" t="n">
        <f aca="false">E310+IF(Source_Data!F$6=Inputs!$B$12,Inputs!$B$7,0)+F305-F308</f>
        <v>1.3892375</v>
      </c>
      <c r="G310" s="33" t="n">
        <f aca="false">F310+IF(Source_Data!G$6=Inputs!$B$12,Inputs!$B$7,0)+G305-G308</f>
        <v>20.4177125</v>
      </c>
      <c r="H310" s="33" t="n">
        <f aca="false">G310+IF(Source_Data!H$6=Inputs!$B$12,Inputs!$B$7,0)+H305-H308</f>
        <v>19.12971875</v>
      </c>
      <c r="I310" s="33" t="n">
        <f aca="false">H310+IF(Source_Data!I$6=Inputs!$B$12,Inputs!$B$7,0)+I305-I308</f>
        <v>25.97925625</v>
      </c>
      <c r="J310" s="33" t="n">
        <f aca="false">I310+IF(Source_Data!J$6=Inputs!$B$12,Inputs!$B$7,0)+J305-J308</f>
        <v>3.13356624999999</v>
      </c>
      <c r="K310" s="33" t="n">
        <f aca="false">J310+IF(Source_Data!K$6=Inputs!$B$12,Inputs!$B$7,0)+K305-K308</f>
        <v>-1.400264375</v>
      </c>
      <c r="L310" s="33" t="n">
        <f aca="false">K310+IF(Source_Data!L$6=Inputs!$B$12,Inputs!$B$7,0)+L305-L308</f>
        <v>2.26132406250001</v>
      </c>
      <c r="M310" s="33" t="n">
        <f aca="false">L310+IF(Source_Data!M$6=Inputs!$B$12,Inputs!$B$7,0)+M305-M308</f>
        <v>401.681234895833</v>
      </c>
      <c r="N310" s="33" t="n">
        <f aca="false">M310+IF(Source_Data!N$6=Inputs!$B$12,Inputs!$B$7,0)+N305-N308</f>
        <v>520.674108229167</v>
      </c>
      <c r="O310" s="33" t="n">
        <f aca="false">N310+IF(Source_Data!O$6=Inputs!$B$12,Inputs!$B$7,0)+O305-O308</f>
        <v>630.6232315625</v>
      </c>
      <c r="P310" s="33" t="n">
        <f aca="false">O310+IF(Source_Data!P$6=Inputs!$B$12,Inputs!$B$7,0)+P305-P308</f>
        <v>504.269274895833</v>
      </c>
      <c r="Q310" s="33" t="n">
        <f aca="false">P310+IF(Source_Data!Q$6=Inputs!$B$12,Inputs!$B$7,0)+Q305-Q308</f>
        <v>350.351776979167</v>
      </c>
      <c r="R310" s="33" t="n">
        <f aca="false">Q310+IF(Source_Data!R$6=Inputs!$B$12,Inputs!$B$7,0)+R305-R308</f>
        <v>140.7742790625</v>
      </c>
      <c r="S310" s="33" t="n">
        <f aca="false">R310+IF(Source_Data!S$6=Inputs!$B$12,Inputs!$B$7,0)+S305-S308</f>
        <v>-10.0165519791665</v>
      </c>
      <c r="T310" s="33" t="n">
        <f aca="false">S310+IF(Source_Data!T$6=Inputs!$B$12,Inputs!$B$7,0)+T305-T308</f>
        <v>-12.9565789583332</v>
      </c>
      <c r="U310" s="33" t="n">
        <f aca="false">T310+IF(Source_Data!U$6=Inputs!$B$12,Inputs!$B$7,0)+U305-U308</f>
        <v>-17.4105296874999</v>
      </c>
      <c r="V310" s="33" t="n">
        <f aca="false">U310+IF(Source_Data!V$6=Inputs!$B$12,Inputs!$B$7,0)+V305-V308</f>
        <v>-27.8532516666665</v>
      </c>
      <c r="W310" s="33" t="n">
        <f aca="false">V310+IF(Source_Data!W$6=Inputs!$B$12,Inputs!$B$7,0)+W305-W308</f>
        <v>-42.6369736458332</v>
      </c>
      <c r="X310" s="33" t="n">
        <f aca="false">W310+IF(Source_Data!X$6=Inputs!$B$12,Inputs!$B$7,0)+X305-X308</f>
        <v>-34.9206956249999</v>
      </c>
      <c r="Y310" s="33" t="n">
        <f aca="false">X310+IF(Source_Data!Y$6=Inputs!$B$12,Inputs!$B$7,0)+Y305-Y308</f>
        <v>-15.3179696874999</v>
      </c>
      <c r="Z310" s="33" t="n">
        <f aca="false">Y310+IF(Source_Data!Z$6=Inputs!$B$12,Inputs!$B$7,0)+Z305-Z308</f>
        <v>4.28475625000013</v>
      </c>
      <c r="AA310" s="33" t="n">
        <f aca="false">Z310+IF(Source_Data!AA$6=Inputs!$B$12,Inputs!$B$7,0)+AA305-AA308</f>
        <v>23.8874821875001</v>
      </c>
      <c r="AB310" s="33" t="n">
        <f aca="false">AA310+IF(Source_Data!AB$6=Inputs!$B$12,Inputs!$B$7,0)+AB305-AB308</f>
        <v>60.2022081250001</v>
      </c>
      <c r="AC310" s="33" t="n">
        <f aca="false">AB310+IF(Source_Data!AC$6=Inputs!$B$12,Inputs!$B$7,0)+AC305-AC308</f>
        <v>93.2408356250001</v>
      </c>
      <c r="AD310" s="33" t="n">
        <f aca="false">AC310+IF(Source_Data!AD$6=Inputs!$B$12,Inputs!$B$7,0)+AD305-AD308</f>
        <v>122.671006875</v>
      </c>
      <c r="AE310" s="33" t="n">
        <f aca="false">AD310+IF(Source_Data!AE$6=Inputs!$B$12,Inputs!$B$7,0)+AE305-AE308</f>
        <v>147.760178125</v>
      </c>
      <c r="AF310" s="33" t="n">
        <f aca="false">AE310+IF(Source_Data!AF$6=Inputs!$B$12,Inputs!$B$7,0)+AF305-AF308</f>
        <v>65.0911390234376</v>
      </c>
      <c r="AG310" s="33" t="n">
        <f aca="false">AF310+IF(Source_Data!AG$6=Inputs!$B$12,Inputs!$B$7,0)+AG305-AG308</f>
        <v>79.2037978515626</v>
      </c>
      <c r="AH310" s="33" t="n">
        <f aca="false">AG310+IF(Source_Data!AH$6=Inputs!$B$12,Inputs!$B$7,0)+AH305-AH308</f>
        <v>93.3164566796876</v>
      </c>
      <c r="AI310" s="33" t="n">
        <f aca="false">AH310+IF(Source_Data!AI$6=Inputs!$B$12,Inputs!$B$7,0)+AI305-AI308</f>
        <v>107.429115507813</v>
      </c>
      <c r="AJ310" s="33" t="n">
        <f aca="false">AI310+IF(Source_Data!AJ$6=Inputs!$B$12,Inputs!$B$7,0)+AJ305-AJ308</f>
        <v>121.541774335938</v>
      </c>
      <c r="AK310" s="33" t="n">
        <f aca="false">AJ310+IF(Source_Data!AK$6=Inputs!$B$12,Inputs!$B$7,0)+AK305-AK308</f>
        <v>134.42589625</v>
      </c>
      <c r="AL310" s="33" t="n">
        <f aca="false">AK310+IF(Source_Data!AL$6=Inputs!$B$12,Inputs!$B$7,0)+AL305-AL308</f>
        <v>147.310018164063</v>
      </c>
      <c r="AM310" s="33" t="n">
        <f aca="false">AL310+IF(Source_Data!AM$6=Inputs!$B$12,Inputs!$B$7,0)+AM305-AM308</f>
        <v>157.8510175</v>
      </c>
      <c r="AN310" s="33" t="n">
        <f aca="false">AM310+IF(Source_Data!AN$6=Inputs!$B$12,Inputs!$B$7,0)+AN305-AN308</f>
        <v>163.26573671875</v>
      </c>
      <c r="AO310" s="33" t="n">
        <f aca="false">AN310+IF(Source_Data!AO$6=Inputs!$B$12,Inputs!$B$7,0)+AO305-AO308</f>
        <v>165.2741275</v>
      </c>
      <c r="AP310" s="33" t="n">
        <f aca="false">AO310+IF(Source_Data!AP$6=Inputs!$B$12,Inputs!$B$7,0)+AP305-AP308</f>
        <v>165.2741275</v>
      </c>
      <c r="AQ310" s="33" t="n">
        <f aca="false">AP310+IF(Source_Data!AQ$6=Inputs!$B$12,Inputs!$B$7,0)+AQ305-AQ308</f>
        <v>165.2741275</v>
      </c>
      <c r="AR310" s="33" t="n">
        <f aca="false">AQ310+IF(Source_Data!AR$6=Inputs!$B$12,Inputs!$B$7,0)+AR305-AR308</f>
        <v>165.2741275</v>
      </c>
      <c r="AS310" s="33" t="n">
        <f aca="false">AR310+IF(Source_Data!AS$6=Inputs!$B$12,Inputs!$B$7,0)+AS305-AS308</f>
        <v>165.2741275</v>
      </c>
      <c r="AT310" s="33" t="n">
        <f aca="false">AS310+IF(Source_Data!AT$6=Inputs!$B$12,Inputs!$B$7,0)+AT305-AT308</f>
        <v>165.2741275</v>
      </c>
      <c r="AU310" s="33" t="n">
        <f aca="false">AT310+IF(Source_Data!AU$6=Inputs!$B$12,Inputs!$B$7,0)+AU305-AU308</f>
        <v>165.2741275</v>
      </c>
      <c r="AV310" s="33" t="n">
        <f aca="false">AU310+IF(Source_Data!AV$6=Inputs!$B$12,Inputs!$B$7,0)+AV305-AV308</f>
        <v>165.2741275</v>
      </c>
      <c r="AW310" s="33" t="n">
        <f aca="false">AV310+IF(Source_Data!AW$6=Inputs!$B$12,Inputs!$B$7,0)+AW305-AW308</f>
        <v>165.2741275</v>
      </c>
      <c r="AX310" s="33" t="n">
        <f aca="false">AW310+IF(Source_Data!AX$6=Inputs!$B$12,Inputs!$B$7,0)+AX305-AX308</f>
        <v>165.2741275</v>
      </c>
      <c r="AY310" s="33" t="n">
        <f aca="false">AX310+IF(Source_Data!AY$6=Inputs!$B$12,Inputs!$B$7,0)+AY305-AY308</f>
        <v>165.2741275</v>
      </c>
      <c r="AZ310" s="33" t="n">
        <f aca="false">AY310+IF(Source_Data!AZ$6=Inputs!$B$12,Inputs!$B$7,0)+AZ305-AZ308</f>
        <v>165.2741275</v>
      </c>
      <c r="BA310" s="33" t="n">
        <f aca="false">AZ310+IF(Source_Data!BA$6=Inputs!$B$12,Inputs!$B$7,0)+BA305-BA308</f>
        <v>165.2741275</v>
      </c>
      <c r="BB310" s="33" t="n">
        <f aca="false">BA310+IF(Source_Data!BB$6=Inputs!$B$12,Inputs!$B$7,0)+BB305-BB308</f>
        <v>165.2741275</v>
      </c>
      <c r="BC310" s="33" t="n">
        <f aca="false">BB310+IF(Source_Data!BC$6=Inputs!$B$12,Inputs!$B$7,0)+BC305-BC308</f>
        <v>165.2741275</v>
      </c>
      <c r="BD310" s="33" t="n">
        <f aca="false">BC310+IF(Source_Data!BD$6=Inputs!$B$12,Inputs!$B$7,0)+BD305-BD308</f>
        <v>165.2741275</v>
      </c>
      <c r="BE310" s="33" t="n">
        <f aca="false">BD310+IF(Source_Data!BE$6=Inputs!$B$12,Inputs!$B$7,0)+BE305-BE308</f>
        <v>165.2741275</v>
      </c>
      <c r="BF310" s="33" t="n">
        <f aca="false">BE310+IF(Source_Data!BF$6=Inputs!$B$12,Inputs!$B$7,0)+BF305-BF308</f>
        <v>165.2741275</v>
      </c>
      <c r="BG310" s="33" t="n">
        <f aca="false">BF310+IF(Source_Data!BG$6=Inputs!$B$12,Inputs!$B$7,0)+BG305-BG308</f>
        <v>165.2741275</v>
      </c>
      <c r="BH310" s="33" t="n">
        <f aca="false">BG310+IF(Source_Data!BH$6=Inputs!$B$12,Inputs!$B$7,0)+BH305-BH308</f>
        <v>165.2741275</v>
      </c>
      <c r="BI310" s="33" t="n">
        <f aca="false">BH310+IF(Source_Data!BI$6=Inputs!$B$12,Inputs!$B$7,0)+BI305-BI308</f>
        <v>165.2741275</v>
      </c>
      <c r="BJ310" s="33" t="n">
        <f aca="false">BI310+IF(Source_Data!BJ$6=Inputs!$B$12,Inputs!$B$7,0)+BJ305-BJ308</f>
        <v>165.2741275</v>
      </c>
      <c r="BK310" s="33" t="n">
        <f aca="false">BJ310+IF(Source_Data!BK$6=Inputs!$B$12,Inputs!$B$7,0)+BK305-BK308</f>
        <v>165.2741275</v>
      </c>
    </row>
    <row r="311" customFormat="false" ht="15" hidden="false" customHeight="false" outlineLevel="0" collapsed="false">
      <c r="A311" s="3" t="s">
        <v>344</v>
      </c>
      <c r="D311" s="31" t="str">
        <f aca="false">IF(D308&gt;0,D305/D308,"")</f>
        <v/>
      </c>
      <c r="E311" s="31" t="str">
        <f aca="false">IF(E308&gt;0,E305/E308,"")</f>
        <v/>
      </c>
      <c r="F311" s="31" t="str">
        <f aca="false">IF(F308&gt;0,F305/F308,"")</f>
        <v/>
      </c>
      <c r="G311" s="31" t="str">
        <f aca="false">IF(G308&gt;0,G305/G308,"")</f>
        <v/>
      </c>
      <c r="H311" s="31" t="str">
        <f aca="false">IF(H308&gt;0,H305/H308,"")</f>
        <v/>
      </c>
      <c r="I311" s="31" t="str">
        <f aca="false">IF(I308&gt;0,I305/I308,"")</f>
        <v/>
      </c>
      <c r="J311" s="31" t="str">
        <f aca="false">IF(J308&gt;0,J305/J308,"")</f>
        <v/>
      </c>
      <c r="K311" s="31" t="str">
        <f aca="false">IF(K308&gt;0,K305/K308,"")</f>
        <v/>
      </c>
      <c r="L311" s="31" t="str">
        <f aca="false">IF(L308&gt;0,L305/L308,"")</f>
        <v/>
      </c>
      <c r="M311" s="31" t="n">
        <f aca="false">IF(M308&gt;0,M305/M308,"")</f>
        <v>21.8392996956522</v>
      </c>
      <c r="N311" s="31" t="n">
        <f aca="false">IF(N308&gt;0,N305/N308,"")</f>
        <v>7.20832382608696</v>
      </c>
      <c r="O311" s="31" t="n">
        <f aca="false">IF(O308&gt;0,O305/O308,"")</f>
        <v>6.736476</v>
      </c>
      <c r="P311" s="31" t="n">
        <f aca="false">IF(P308&gt;0,P305/P308,"")</f>
        <v>-5.59238034782609</v>
      </c>
      <c r="Q311" s="31" t="n">
        <f aca="false">IF(Q308&gt;0,Q305/Q308,"")</f>
        <v>-7.03047815217391</v>
      </c>
      <c r="R311" s="31" t="n">
        <f aca="false">IF(R308&gt;0,R305/R308,"")</f>
        <v>-9.93447815217392</v>
      </c>
      <c r="S311" s="31" t="n">
        <f aca="false">IF(S308&gt;0,S305/S308,"")</f>
        <v>-6.86734770652174</v>
      </c>
      <c r="T311" s="31" t="n">
        <f aca="false">IF(T308&gt;0,T305/T308,"")</f>
        <v>0.846607288043478</v>
      </c>
      <c r="U311" s="31" t="n">
        <f aca="false">IF(U308&gt;0,U305/U308,"")</f>
        <v>0.767619961956522</v>
      </c>
      <c r="V311" s="31" t="n">
        <f aca="false">IF(V308&gt;0,V305/V308,"")</f>
        <v>0.455162331521739</v>
      </c>
      <c r="W311" s="31" t="n">
        <f aca="false">IF(W308&gt;0,W305/W308,"")</f>
        <v>0.228675375</v>
      </c>
      <c r="X311" s="31" t="n">
        <f aca="false">IF(X308&gt;0,X305/X308,"")</f>
        <v>1.40258841847826</v>
      </c>
      <c r="Y311" s="31" t="str">
        <f aca="false">IF(Y308&gt;0,Y305/Y308,"")</f>
        <v/>
      </c>
      <c r="Z311" s="31" t="str">
        <f aca="false">IF(Z308&gt;0,Z305/Z308,"")</f>
        <v/>
      </c>
      <c r="AA311" s="31" t="str">
        <f aca="false">IF(AA308&gt;0,AA305/AA308,"")</f>
        <v/>
      </c>
      <c r="AB311" s="31" t="str">
        <f aca="false">IF(AB308&gt;0,AB305/AB308,"")</f>
        <v/>
      </c>
      <c r="AC311" s="31" t="str">
        <f aca="false">IF(AC308&gt;0,AC305/AC308,"")</f>
        <v/>
      </c>
      <c r="AD311" s="31" t="str">
        <f aca="false">IF(AD308&gt;0,AD305/AD308,"")</f>
        <v/>
      </c>
      <c r="AE311" s="31" t="str">
        <f aca="false">IF(AE308&gt;0,AE305/AE308,"")</f>
        <v/>
      </c>
      <c r="AF311" s="31" t="str">
        <f aca="false">IF(AF308&gt;0,AF305/AF308,"")</f>
        <v/>
      </c>
      <c r="AG311" s="31" t="str">
        <f aca="false">IF(AG308&gt;0,AG305/AG308,"")</f>
        <v/>
      </c>
      <c r="AH311" s="31" t="str">
        <f aca="false">IF(AH308&gt;0,AH305/AH308,"")</f>
        <v/>
      </c>
      <c r="AI311" s="31" t="str">
        <f aca="false">IF(AI308&gt;0,AI305/AI308,"")</f>
        <v/>
      </c>
      <c r="AJ311" s="31" t="str">
        <f aca="false">IF(AJ308&gt;0,AJ305/AJ308,"")</f>
        <v/>
      </c>
      <c r="AK311" s="31" t="str">
        <f aca="false">IF(AK308&gt;0,AK305/AK308,"")</f>
        <v/>
      </c>
      <c r="AL311" s="31" t="str">
        <f aca="false">IF(AL308&gt;0,AL305/AL308,"")</f>
        <v/>
      </c>
      <c r="AM311" s="31" t="str">
        <f aca="false">IF(AM308&gt;0,AM305/AM308,"")</f>
        <v/>
      </c>
      <c r="AN311" s="31" t="str">
        <f aca="false">IF(AN308&gt;0,AN305/AN308,"")</f>
        <v/>
      </c>
      <c r="AO311" s="31" t="str">
        <f aca="false">IF(AO308&gt;0,AO305/AO308,"")</f>
        <v/>
      </c>
      <c r="AP311" s="31" t="str">
        <f aca="false">IF(AP308&gt;0,AP305/AP308,"")</f>
        <v/>
      </c>
      <c r="AQ311" s="31" t="str">
        <f aca="false">IF(AQ308&gt;0,AQ305/AQ308,"")</f>
        <v/>
      </c>
      <c r="AR311" s="31" t="str">
        <f aca="false">IF(AR308&gt;0,AR305/AR308,"")</f>
        <v/>
      </c>
      <c r="AS311" s="31" t="str">
        <f aca="false">IF(AS308&gt;0,AS305/AS308,"")</f>
        <v/>
      </c>
      <c r="AT311" s="31" t="str">
        <f aca="false">IF(AT308&gt;0,AT305/AT308,"")</f>
        <v/>
      </c>
      <c r="AU311" s="31" t="str">
        <f aca="false">IF(AU308&gt;0,AU305/AU308,"")</f>
        <v/>
      </c>
      <c r="AV311" s="31" t="str">
        <f aca="false">IF(AV308&gt;0,AV305/AV308,"")</f>
        <v/>
      </c>
      <c r="AW311" s="31" t="str">
        <f aca="false">IF(AW308&gt;0,AW305/AW308,"")</f>
        <v/>
      </c>
      <c r="AX311" s="31" t="str">
        <f aca="false">IF(AX308&gt;0,AX305/AX308,"")</f>
        <v/>
      </c>
      <c r="AY311" s="31" t="str">
        <f aca="false">IF(AY308&gt;0,AY305/AY308,"")</f>
        <v/>
      </c>
      <c r="AZ311" s="31" t="str">
        <f aca="false">IF(AZ308&gt;0,AZ305/AZ308,"")</f>
        <v/>
      </c>
      <c r="BA311" s="31" t="str">
        <f aca="false">IF(BA308&gt;0,BA305/BA308,"")</f>
        <v/>
      </c>
      <c r="BB311" s="31" t="str">
        <f aca="false">IF(BB308&gt;0,BB305/BB308,"")</f>
        <v/>
      </c>
      <c r="BC311" s="31" t="str">
        <f aca="false">IF(BC308&gt;0,BC305/BC308,"")</f>
        <v/>
      </c>
      <c r="BD311" s="31" t="str">
        <f aca="false">IF(BD308&gt;0,BD305/BD308,"")</f>
        <v/>
      </c>
      <c r="BE311" s="31" t="str">
        <f aca="false">IF(BE308&gt;0,BE305/BE308,"")</f>
        <v/>
      </c>
      <c r="BF311" s="31" t="str">
        <f aca="false">IF(BF308&gt;0,BF305/BF308,"")</f>
        <v/>
      </c>
      <c r="BG311" s="31" t="str">
        <f aca="false">IF(BG308&gt;0,BG305/BG308,"")</f>
        <v/>
      </c>
      <c r="BH311" s="31" t="str">
        <f aca="false">IF(BH308&gt;0,BH305/BH308,"")</f>
        <v/>
      </c>
      <c r="BI311" s="31" t="str">
        <f aca="false">IF(BI308&gt;0,BI305/BI308,"")</f>
        <v/>
      </c>
      <c r="BJ311" s="31" t="str">
        <f aca="false">IF(BJ308&gt;0,BJ305/BJ308,"")</f>
        <v/>
      </c>
      <c r="BK311" s="31" t="str">
        <f aca="false">IF(BK308&gt;0,BK305/BK308,"")</f>
        <v/>
      </c>
    </row>
    <row r="312" customFormat="false" ht="15" hidden="false" customHeight="false" outlineLevel="0" collapsed="false">
      <c r="A312" s="3" t="s">
        <v>345</v>
      </c>
      <c r="D312" s="31" t="str">
        <f aca="false">IF(D308&gt;0,(0+D305+IF(Source_Data!D$6=Inputs!$B$12,Inputs!$B$7,0))/D308,"")</f>
        <v/>
      </c>
      <c r="E312" s="31" t="str">
        <f aca="false">IF(E308&gt;0,(D310+E305+IF(Source_Data!E$6=Inputs!$B$12,Inputs!$B$7,0))/E308,"")</f>
        <v/>
      </c>
      <c r="F312" s="31" t="str">
        <f aca="false">IF(F308&gt;0,(E310+F305+IF(Source_Data!F$6=Inputs!$B$12,Inputs!$B$7,0))/F308,"")</f>
        <v/>
      </c>
      <c r="G312" s="31" t="str">
        <f aca="false">IF(G308&gt;0,(F310+G305+IF(Source_Data!G$6=Inputs!$B$12,Inputs!$B$7,0))/G308,"")</f>
        <v/>
      </c>
      <c r="H312" s="31" t="str">
        <f aca="false">IF(H308&gt;0,(G310+H305+IF(Source_Data!H$6=Inputs!$B$12,Inputs!$B$7,0))/H308,"")</f>
        <v/>
      </c>
      <c r="I312" s="31" t="str">
        <f aca="false">IF(I308&gt;0,(H310+I305+IF(Source_Data!I$6=Inputs!$B$12,Inputs!$B$7,0))/I308,"")</f>
        <v/>
      </c>
      <c r="J312" s="31" t="str">
        <f aca="false">IF(J308&gt;0,(I310+J305+IF(Source_Data!J$6=Inputs!$B$12,Inputs!$B$7,0))/J308,"")</f>
        <v/>
      </c>
      <c r="K312" s="31" t="str">
        <f aca="false">IF(K308&gt;0,(J310+K305+IF(Source_Data!K$6=Inputs!$B$12,Inputs!$B$7,0))/K308,"")</f>
        <v/>
      </c>
      <c r="L312" s="31" t="str">
        <f aca="false">IF(L308&gt;0,(K310+L305+IF(Source_Data!L$6=Inputs!$B$12,Inputs!$B$7,0))/L308,"")</f>
        <v/>
      </c>
      <c r="M312" s="31" t="n">
        <f aca="false">IF(M308&gt;0,(L310+M305+IF(Source_Data!M$6=Inputs!$B$12,Inputs!$B$7,0))/M308,"")</f>
        <v>21.9572818206522</v>
      </c>
      <c r="N312" s="31" t="n">
        <f aca="false">IF(N308&gt;0,(M310+N305+IF(Source_Data!N$6=Inputs!$B$12,Inputs!$B$7,0))/N308,"")</f>
        <v>28.1656056467391</v>
      </c>
      <c r="O312" s="31" t="n">
        <f aca="false">IF(O308&gt;0,(N310+O305+IF(Source_Data!O$6=Inputs!$B$12,Inputs!$B$7,0))/O308,"")</f>
        <v>33.9020816467391</v>
      </c>
      <c r="P312" s="31" t="n">
        <f aca="false">IF(P308&gt;0,(O310+P305+IF(Source_Data!P$6=Inputs!$B$12,Inputs!$B$7,0))/P308,"")</f>
        <v>27.3097012989131</v>
      </c>
      <c r="Q312" s="31" t="n">
        <f aca="false">IF(Q308&gt;0,(P310+Q305+IF(Source_Data!Q$6=Inputs!$B$12,Inputs!$B$7,0))/Q308,"")</f>
        <v>19.2792231467391</v>
      </c>
      <c r="R312" s="31" t="n">
        <f aca="false">IF(R308&gt;0,(Q310+R305+IF(Source_Data!R$6=Inputs!$B$12,Inputs!$B$7,0))/R308,"")</f>
        <v>8.34474499456523</v>
      </c>
      <c r="S312" s="31" t="n">
        <f aca="false">IF(S308&gt;0,(R310+S305+IF(Source_Data!S$6=Inputs!$B$12,Inputs!$B$7,0))/S308,"")</f>
        <v>0.477397288043485</v>
      </c>
      <c r="T312" s="31" t="n">
        <f aca="false">IF(T308&gt;0,(S310+T305+IF(Source_Data!T$6=Inputs!$B$12,Inputs!$B$7,0))/T308,"")</f>
        <v>0.324004576086963</v>
      </c>
      <c r="U312" s="31" t="n">
        <f aca="false">IF(U308&gt;0,(T310+U305+IF(Source_Data!U$6=Inputs!$B$12,Inputs!$B$7,0))/U308,"")</f>
        <v>0.0916245380434847</v>
      </c>
      <c r="V312" s="31" t="n">
        <f aca="false">IF(V308&gt;0,(U310+V305+IF(Source_Data!V$6=Inputs!$B$12,Inputs!$B$7,0))/V308,"")</f>
        <v>-0.453213130434776</v>
      </c>
      <c r="W312" s="31" t="n">
        <f aca="false">IF(W308&gt;0,(V310+W305+IF(Source_Data!W$6=Inputs!$B$12,Inputs!$B$7,0))/W308,"")</f>
        <v>-1.22453775543478</v>
      </c>
      <c r="X312" s="31" t="n">
        <f aca="false">IF(X308&gt;0,(W310+X305+IF(Source_Data!X$6=Inputs!$B$12,Inputs!$B$7,0))/X308,"")</f>
        <v>-0.821949336956515</v>
      </c>
      <c r="Y312" s="31" t="str">
        <f aca="false">IF(Y308&gt;0,(X310+Y305+IF(Source_Data!Y$6=Inputs!$B$12,Inputs!$B$7,0))/Y308,"")</f>
        <v/>
      </c>
      <c r="Z312" s="31" t="str">
        <f aca="false">IF(Z308&gt;0,(Y310+Z305+IF(Source_Data!Z$6=Inputs!$B$12,Inputs!$B$7,0))/Z308,"")</f>
        <v/>
      </c>
      <c r="AA312" s="31" t="str">
        <f aca="false">IF(AA308&gt;0,(Z310+AA305+IF(Source_Data!AA$6=Inputs!$B$12,Inputs!$B$7,0))/AA308,"")</f>
        <v/>
      </c>
      <c r="AB312" s="31" t="str">
        <f aca="false">IF(AB308&gt;0,(AA310+AB305+IF(Source_Data!AB$6=Inputs!$B$12,Inputs!$B$7,0))/AB308,"")</f>
        <v/>
      </c>
      <c r="AC312" s="31" t="str">
        <f aca="false">IF(AC308&gt;0,(AB310+AC305+IF(Source_Data!AC$6=Inputs!$B$12,Inputs!$B$7,0))/AC308,"")</f>
        <v/>
      </c>
      <c r="AD312" s="31" t="str">
        <f aca="false">IF(AD308&gt;0,(AC310+AD305+IF(Source_Data!AD$6=Inputs!$B$12,Inputs!$B$7,0))/AD308,"")</f>
        <v/>
      </c>
      <c r="AE312" s="31" t="str">
        <f aca="false">IF(AE308&gt;0,(AD310+AE305+IF(Source_Data!AE$6=Inputs!$B$12,Inputs!$B$7,0))/AE308,"")</f>
        <v/>
      </c>
      <c r="AF312" s="31" t="str">
        <f aca="false">IF(AF308&gt;0,(AE310+AF305+IF(Source_Data!AF$6=Inputs!$B$12,Inputs!$B$7,0))/AF308,"")</f>
        <v/>
      </c>
      <c r="AG312" s="31" t="str">
        <f aca="false">IF(AG308&gt;0,(AF310+AG305+IF(Source_Data!AG$6=Inputs!$B$12,Inputs!$B$7,0))/AG308,"")</f>
        <v/>
      </c>
      <c r="AH312" s="31" t="str">
        <f aca="false">IF(AH308&gt;0,(AG310+AH305+IF(Source_Data!AH$6=Inputs!$B$12,Inputs!$B$7,0))/AH308,"")</f>
        <v/>
      </c>
      <c r="AI312" s="31" t="str">
        <f aca="false">IF(AI308&gt;0,(AH310+AI305+IF(Source_Data!AI$6=Inputs!$B$12,Inputs!$B$7,0))/AI308,"")</f>
        <v/>
      </c>
      <c r="AJ312" s="31" t="str">
        <f aca="false">IF(AJ308&gt;0,(AI310+AJ305+IF(Source_Data!AJ$6=Inputs!$B$12,Inputs!$B$7,0))/AJ308,"")</f>
        <v/>
      </c>
      <c r="AK312" s="31" t="str">
        <f aca="false">IF(AK308&gt;0,(AJ310+AK305+IF(Source_Data!AK$6=Inputs!$B$12,Inputs!$B$7,0))/AK308,"")</f>
        <v/>
      </c>
      <c r="AL312" s="31" t="str">
        <f aca="false">IF(AL308&gt;0,(AK310+AL305+IF(Source_Data!AL$6=Inputs!$B$12,Inputs!$B$7,0))/AL308,"")</f>
        <v/>
      </c>
      <c r="AM312" s="31" t="str">
        <f aca="false">IF(AM308&gt;0,(AL310+AM305+IF(Source_Data!AM$6=Inputs!$B$12,Inputs!$B$7,0))/AM308,"")</f>
        <v/>
      </c>
      <c r="AN312" s="31" t="str">
        <f aca="false">IF(AN308&gt;0,(AM310+AN305+IF(Source_Data!AN$6=Inputs!$B$12,Inputs!$B$7,0))/AN308,"")</f>
        <v/>
      </c>
      <c r="AO312" s="31" t="str">
        <f aca="false">IF(AO308&gt;0,(AN310+AO305+IF(Source_Data!AO$6=Inputs!$B$12,Inputs!$B$7,0))/AO308,"")</f>
        <v/>
      </c>
      <c r="AP312" s="31" t="str">
        <f aca="false">IF(AP308&gt;0,(AO310+AP305+IF(Source_Data!AP$6=Inputs!$B$12,Inputs!$B$7,0))/AP308,"")</f>
        <v/>
      </c>
      <c r="AQ312" s="31" t="str">
        <f aca="false">IF(AQ308&gt;0,(AP310+AQ305+IF(Source_Data!AQ$6=Inputs!$B$12,Inputs!$B$7,0))/AQ308,"")</f>
        <v/>
      </c>
      <c r="AR312" s="31" t="str">
        <f aca="false">IF(AR308&gt;0,(AQ310+AR305+IF(Source_Data!AR$6=Inputs!$B$12,Inputs!$B$7,0))/AR308,"")</f>
        <v/>
      </c>
      <c r="AS312" s="31" t="str">
        <f aca="false">IF(AS308&gt;0,(AR310+AS305+IF(Source_Data!AS$6=Inputs!$B$12,Inputs!$B$7,0))/AS308,"")</f>
        <v/>
      </c>
      <c r="AT312" s="31" t="str">
        <f aca="false">IF(AT308&gt;0,(AS310+AT305+IF(Source_Data!AT$6=Inputs!$B$12,Inputs!$B$7,0))/AT308,"")</f>
        <v/>
      </c>
      <c r="AU312" s="31" t="str">
        <f aca="false">IF(AU308&gt;0,(AT310+AU305+IF(Source_Data!AU$6=Inputs!$B$12,Inputs!$B$7,0))/AU308,"")</f>
        <v/>
      </c>
      <c r="AV312" s="31" t="str">
        <f aca="false">IF(AV308&gt;0,(AU310+AV305+IF(Source_Data!AV$6=Inputs!$B$12,Inputs!$B$7,0))/AV308,"")</f>
        <v/>
      </c>
      <c r="AW312" s="31" t="str">
        <f aca="false">IF(AW308&gt;0,(AV310+AW305+IF(Source_Data!AW$6=Inputs!$B$12,Inputs!$B$7,0))/AW308,"")</f>
        <v/>
      </c>
      <c r="AX312" s="31" t="str">
        <f aca="false">IF(AX308&gt;0,(AW310+AX305+IF(Source_Data!AX$6=Inputs!$B$12,Inputs!$B$7,0))/AX308,"")</f>
        <v/>
      </c>
      <c r="AY312" s="31" t="str">
        <f aca="false">IF(AY308&gt;0,(AX310+AY305+IF(Source_Data!AY$6=Inputs!$B$12,Inputs!$B$7,0))/AY308,"")</f>
        <v/>
      </c>
      <c r="AZ312" s="31" t="str">
        <f aca="false">IF(AZ308&gt;0,(AY310+AZ305+IF(Source_Data!AZ$6=Inputs!$B$12,Inputs!$B$7,0))/AZ308,"")</f>
        <v/>
      </c>
      <c r="BA312" s="31" t="str">
        <f aca="false">IF(BA308&gt;0,(AZ310+BA305+IF(Source_Data!BA$6=Inputs!$B$12,Inputs!$B$7,0))/BA308,"")</f>
        <v/>
      </c>
      <c r="BB312" s="31" t="str">
        <f aca="false">IF(BB308&gt;0,(BA310+BB305+IF(Source_Data!BB$6=Inputs!$B$12,Inputs!$B$7,0))/BB308,"")</f>
        <v/>
      </c>
      <c r="BC312" s="31" t="str">
        <f aca="false">IF(BC308&gt;0,(BB310+BC305+IF(Source_Data!BC$6=Inputs!$B$12,Inputs!$B$7,0))/BC308,"")</f>
        <v/>
      </c>
      <c r="BD312" s="31" t="str">
        <f aca="false">IF(BD308&gt;0,(BC310+BD305+IF(Source_Data!BD$6=Inputs!$B$12,Inputs!$B$7,0))/BD308,"")</f>
        <v/>
      </c>
      <c r="BE312" s="31" t="str">
        <f aca="false">IF(BE308&gt;0,(BD310+BE305+IF(Source_Data!BE$6=Inputs!$B$12,Inputs!$B$7,0))/BE308,"")</f>
        <v/>
      </c>
      <c r="BF312" s="31" t="str">
        <f aca="false">IF(BF308&gt;0,(BE310+BF305+IF(Source_Data!BF$6=Inputs!$B$12,Inputs!$B$7,0))/BF308,"")</f>
        <v/>
      </c>
      <c r="BG312" s="31" t="str">
        <f aca="false">IF(BG308&gt;0,(BF310+BG305+IF(Source_Data!BG$6=Inputs!$B$12,Inputs!$B$7,0))/BG308,"")</f>
        <v/>
      </c>
      <c r="BH312" s="31" t="str">
        <f aca="false">IF(BH308&gt;0,(BG310+BH305+IF(Source_Data!BH$6=Inputs!$B$12,Inputs!$B$7,0))/BH308,"")</f>
        <v/>
      </c>
      <c r="BI312" s="31" t="str">
        <f aca="false">IF(BI308&gt;0,(BH310+BI305+IF(Source_Data!BI$6=Inputs!$B$12,Inputs!$B$7,0))/BI308,"")</f>
        <v/>
      </c>
      <c r="BJ312" s="31" t="str">
        <f aca="false">IF(BJ308&gt;0,(BI310+BJ305+IF(Source_Data!BJ$6=Inputs!$B$12,Inputs!$B$7,0))/BJ308,"")</f>
        <v/>
      </c>
      <c r="BK312" s="31" t="str">
        <f aca="false">IF(BK308&gt;0,(BJ310+BK305+IF(Source_Data!BK$6=Inputs!$B$12,Inputs!$B$7,0))/BK308,"")</f>
        <v/>
      </c>
    </row>
    <row r="314" customFormat="false" ht="15" hidden="false" customHeight="false" outlineLevel="0" collapsed="false">
      <c r="A314" s="2" t="s">
        <v>220</v>
      </c>
      <c r="B314" s="41" t="n">
        <f aca="false">SUM(D305:BK305)</f>
        <v>295.2741275</v>
      </c>
    </row>
    <row r="315" customFormat="false" ht="15" hidden="false" customHeight="false" outlineLevel="0" collapsed="false">
      <c r="A315" s="2" t="s">
        <v>346</v>
      </c>
      <c r="B315" s="41" t="n">
        <f aca="false">SUMPRODUCT(D305:BK305,Project_CF!$D$15:$BK$15)</f>
        <v>162.345681036619</v>
      </c>
    </row>
    <row r="316" customFormat="false" ht="15" hidden="false" customHeight="false" outlineLevel="0" collapsed="false">
      <c r="A316" s="2" t="s">
        <v>162</v>
      </c>
      <c r="B316" s="41" t="n">
        <f aca="false">MIN(D306:BK306)</f>
        <v>-102.5</v>
      </c>
    </row>
    <row r="317" customFormat="false" ht="15" hidden="false" customHeight="false" outlineLevel="0" collapsed="false">
      <c r="A317" s="2" t="s">
        <v>347</v>
      </c>
      <c r="B317" s="35" t="n">
        <f aca="false">INDEX(Project_CF!$D$6:$BK$6,MATCH(MIN(D306:BK306),D306:BK306,0))</f>
        <v>6</v>
      </c>
    </row>
    <row r="318" customFormat="false" ht="15" hidden="false" customHeight="false" outlineLevel="0" collapsed="false">
      <c r="A318" s="2" t="s">
        <v>348</v>
      </c>
      <c r="B318" s="39" t="n">
        <f aca="false">(1+IRR(D307:BK307,0.05))^4-1</f>
        <v>0.264029906719608</v>
      </c>
    </row>
    <row r="319" customFormat="false" ht="15" hidden="false" customHeight="false" outlineLevel="0" collapsed="false">
      <c r="A319" s="2" t="s">
        <v>349</v>
      </c>
      <c r="B319" s="40" t="n">
        <f aca="false">SUMIF(D307:BK307,"&gt;0")/-SUMIF(D307:BK307,"&lt;0")</f>
        <v>2.78136200716846</v>
      </c>
    </row>
    <row r="320" customFormat="false" ht="15" hidden="false" customHeight="false" outlineLevel="0" collapsed="false">
      <c r="A320" s="2" t="s">
        <v>350</v>
      </c>
      <c r="B320" s="39" t="n">
        <f aca="false">(1+IRR(D309:BK309,0.05))^4-1</f>
        <v>0.265463994839995</v>
      </c>
    </row>
    <row r="321" customFormat="false" ht="15" hidden="false" customHeight="false" outlineLevel="0" collapsed="false">
      <c r="A321" s="2" t="s">
        <v>351</v>
      </c>
      <c r="B321" s="41" t="n">
        <f aca="false">MIN(D310:BK310)</f>
        <v>-42.6369736458332</v>
      </c>
    </row>
    <row r="322" customFormat="false" ht="15" hidden="false" customHeight="false" outlineLevel="0" collapsed="false">
      <c r="A322" s="2" t="s">
        <v>352</v>
      </c>
      <c r="B322" s="43" t="n">
        <f aca="false">MIN(D311:BK311)</f>
        <v>-9.93447815217392</v>
      </c>
    </row>
    <row r="323" customFormat="false" ht="15" hidden="false" customHeight="false" outlineLevel="0" collapsed="false">
      <c r="A323" s="2" t="s">
        <v>353</v>
      </c>
      <c r="B323" s="35" t="n">
        <f aca="false">COUNTIF(D311:BK311,"&lt;"&amp;Inputs!$B$43)</f>
        <v>9</v>
      </c>
    </row>
    <row r="324" customFormat="false" ht="15" hidden="false" customHeight="false" outlineLevel="0" collapsed="false">
      <c r="A324" s="2" t="s">
        <v>354</v>
      </c>
      <c r="B324" s="43" t="n">
        <f aca="false">MIN(D312:BK312)</f>
        <v>-1.22453775543478</v>
      </c>
    </row>
    <row r="325" customFormat="false" ht="15" hidden="false" customHeight="false" outlineLevel="0" collapsed="false">
      <c r="A325" s="2" t="s">
        <v>355</v>
      </c>
      <c r="B325" s="35" t="n">
        <f aca="false">COUNTIF(D312:BK312,"&lt;"&amp;Inputs!$B$43)</f>
        <v>6</v>
      </c>
    </row>
    <row r="328" customFormat="false" ht="15" hidden="false" customHeight="false" outlineLevel="0" collapsed="false">
      <c r="A328" s="8" t="s">
        <v>367</v>
      </c>
    </row>
    <row r="329" customFormat="false" ht="15" hidden="false" customHeight="false" outlineLevel="0" collapsed="false">
      <c r="A329" s="3" t="s">
        <v>331</v>
      </c>
      <c r="B329" s="45" t="n">
        <v>1</v>
      </c>
    </row>
    <row r="330" customFormat="false" ht="15" hidden="false" customHeight="false" outlineLevel="0" collapsed="false">
      <c r="A330" s="3" t="s">
        <v>332</v>
      </c>
      <c r="B330" s="45" t="n">
        <v>0</v>
      </c>
    </row>
    <row r="331" customFormat="false" ht="15" hidden="false" customHeight="false" outlineLevel="0" collapsed="false">
      <c r="A331" s="3" t="s">
        <v>333</v>
      </c>
      <c r="B331" s="45" t="n">
        <v>1.2</v>
      </c>
    </row>
    <row r="332" customFormat="false" ht="15" hidden="false" customHeight="false" outlineLevel="0" collapsed="false">
      <c r="A332" s="3" t="s">
        <v>334</v>
      </c>
      <c r="B332" s="45" t="n">
        <v>0</v>
      </c>
    </row>
    <row r="333" customFormat="false" ht="15" hidden="false" customHeight="false" outlineLevel="0" collapsed="false">
      <c r="A333" s="3" t="s">
        <v>335</v>
      </c>
      <c r="B333" s="45" t="n">
        <v>0</v>
      </c>
    </row>
    <row r="334" customFormat="false" ht="15" hidden="false" customHeight="false" outlineLevel="0" collapsed="false">
      <c r="A334" s="3" t="s">
        <v>336</v>
      </c>
      <c r="B334" s="3" t="n">
        <f aca="false">Inputs!$B$13+3+3*$B$330</f>
        <v>51</v>
      </c>
    </row>
    <row r="335" customFormat="false" ht="15" hidden="false" customHeight="false" outlineLevel="0" collapsed="false">
      <c r="A335" s="3" t="s">
        <v>337</v>
      </c>
      <c r="D335" s="33" t="n">
        <f aca="false">Source_Data!D$7+IF($B$333=1,IF(Source_Data!D$6=Inputs!$B$13,Source_Data!$C$8,0),Source_Data!D$8)</f>
        <v>0</v>
      </c>
      <c r="E335" s="33" t="n">
        <f aca="false">Source_Data!E$7+IF($B$333=1,IF(Source_Data!E$6=Inputs!$B$13,Source_Data!$C$8,0),Source_Data!E$8)</f>
        <v>0</v>
      </c>
      <c r="F335" s="33" t="n">
        <f aca="false">Source_Data!F$7+IF($B$333=1,IF(Source_Data!F$6=Inputs!$B$13,Source_Data!$C$8,0),Source_Data!F$8)</f>
        <v>15.1392375</v>
      </c>
      <c r="G335" s="33" t="n">
        <f aca="false">Source_Data!G$7+IF($B$333=1,IF(Source_Data!G$6=Inputs!$B$13,Source_Data!$C$8,0),Source_Data!G$8)</f>
        <v>30.278475</v>
      </c>
      <c r="H335" s="33" t="n">
        <f aca="false">Source_Data!H$7+IF($B$333=1,IF(Source_Data!H$6=Inputs!$B$13,Source_Data!$C$8,0),Source_Data!H$8)</f>
        <v>46.51200625</v>
      </c>
      <c r="I335" s="33" t="n">
        <f aca="false">Source_Data!I$7+IF($B$333=1,IF(Source_Data!I$6=Inputs!$B$13,Source_Data!$C$8,0),Source_Data!I$8)</f>
        <v>62.7455375</v>
      </c>
      <c r="J335" s="33" t="n">
        <f aca="false">Source_Data!J$7+IF($B$333=1,IF(Source_Data!J$6=Inputs!$B$13,Source_Data!$C$8,0),Source_Data!J$8)</f>
        <v>62.3657</v>
      </c>
      <c r="K335" s="33" t="n">
        <f aca="false">Source_Data!K$7+IF($B$333=1,IF(Source_Data!K$6=Inputs!$B$13,Source_Data!$C$8,0),Source_Data!K$8)</f>
        <v>63.473559375</v>
      </c>
      <c r="L335" s="33" t="n">
        <f aca="false">Source_Data!L$7+IF($B$333=1,IF(Source_Data!L$6=Inputs!$B$13,Source_Data!$C$8,0),Source_Data!L$8)</f>
        <v>80.3288484375</v>
      </c>
      <c r="M335" s="33" t="n">
        <f aca="false">Source_Data!M$7+IF($B$333=1,IF(Source_Data!M$6=Inputs!$B$13,Source_Data!$C$8,0),Source_Data!M$8)</f>
        <v>495.2538375</v>
      </c>
      <c r="N335" s="33" t="n">
        <f aca="false">Source_Data!N$7+IF($B$333=1,IF(Source_Data!N$6=Inputs!$B$13,Source_Data!$C$8,0),Source_Data!N$8)</f>
        <v>185.57775</v>
      </c>
      <c r="O335" s="33" t="n">
        <f aca="false">Source_Data!O$7+IF($B$333=1,IF(Source_Data!O$6=Inputs!$B$13,Source_Data!$C$8,0),Source_Data!O$8)</f>
        <v>176.534</v>
      </c>
      <c r="P335" s="33" t="n">
        <f aca="false">Source_Data!P$7+IF($B$333=1,IF(Source_Data!P$6=Inputs!$B$13,Source_Data!$C$8,0),Source_Data!P$8)</f>
        <v>97.31075</v>
      </c>
      <c r="Q335" s="33" t="n">
        <f aca="false">Source_Data!Q$7+IF($B$333=1,IF(Source_Data!Q$6=Inputs!$B$13,Source_Data!$C$8,0),Source_Data!Q$8)</f>
        <v>71.30996875</v>
      </c>
      <c r="R335" s="33" t="n">
        <f aca="false">Source_Data!R$7+IF($B$333=1,IF(Source_Data!R$6=Inputs!$B$13,Source_Data!$C$8,0),Source_Data!R$8)</f>
        <v>71.30996875</v>
      </c>
      <c r="S335" s="33" t="n">
        <f aca="false">Source_Data!S$7+IF($B$333=1,IF(Source_Data!S$6=Inputs!$B$13,Source_Data!$C$8,0),Source_Data!S$8)</f>
        <v>68.037035625</v>
      </c>
      <c r="T335" s="33" t="n">
        <f aca="false">Source_Data!T$7+IF($B$333=1,IF(Source_Data!T$6=Inputs!$B$13,Source_Data!$C$8,0),Source_Data!T$8)</f>
        <v>61.2266396875</v>
      </c>
      <c r="U335" s="33" t="n">
        <f aca="false">Source_Data!U$7+IF($B$333=1,IF(Source_Data!U$6=Inputs!$B$13,Source_Data!$C$8,0),Source_Data!U$8)</f>
        <v>59.7127159375</v>
      </c>
      <c r="V335" s="33" t="n">
        <f aca="false">Source_Data!V$7+IF($B$333=1,IF(Source_Data!V$6=Inputs!$B$13,Source_Data!$C$8,0),Source_Data!V$8)</f>
        <v>53.7239446875</v>
      </c>
      <c r="W335" s="33" t="n">
        <f aca="false">Source_Data!W$7+IF($B$333=1,IF(Source_Data!W$6=Inputs!$B$13,Source_Data!$C$8,0),Source_Data!W$8)</f>
        <v>49.3829446875</v>
      </c>
      <c r="X335" s="33" t="n">
        <f aca="false">Source_Data!X$7+IF($B$333=1,IF(Source_Data!X$6=Inputs!$B$13,Source_Data!$C$8,0),Source_Data!X$8)</f>
        <v>49.3829446875</v>
      </c>
      <c r="Y335" s="33" t="n">
        <f aca="false">Source_Data!Y$7+IF($B$333=1,IF(Source_Data!Y$6=Inputs!$B$13,Source_Data!$C$8,0),Source_Data!Y$8)</f>
        <v>42.1027259375</v>
      </c>
      <c r="Z335" s="33" t="n">
        <f aca="false">Source_Data!Z$7+IF($B$333=1,IF(Source_Data!Z$6=Inputs!$B$13,Source_Data!$C$8,0),Source_Data!Z$8)</f>
        <v>42.1027259375</v>
      </c>
      <c r="AA335" s="33" t="n">
        <f aca="false">Source_Data!AA$7+IF($B$333=1,IF(Source_Data!AA$6=Inputs!$B$13,Source_Data!$C$8,0),Source_Data!AA$8)</f>
        <v>42.1027259375</v>
      </c>
      <c r="AB335" s="33" t="n">
        <f aca="false">Source_Data!AB$7+IF($B$333=1,IF(Source_Data!AB$6=Inputs!$B$13,Source_Data!$C$8,0),Source_Data!AB$8)</f>
        <v>36.3147259375</v>
      </c>
      <c r="AC335" s="33" t="n">
        <f aca="false">Source_Data!AC$7+IF($B$333=1,IF(Source_Data!AC$6=Inputs!$B$13,Source_Data!$C$8,0),Source_Data!AC$8)</f>
        <v>33.0386275</v>
      </c>
      <c r="AD335" s="33" t="n">
        <f aca="false">Source_Data!AD$7+IF($B$333=1,IF(Source_Data!AD$6=Inputs!$B$13,Source_Data!$C$8,0),Source_Data!AD$8)</f>
        <v>29.43017125</v>
      </c>
      <c r="AE335" s="33" t="n">
        <f aca="false">Source_Data!AE$7+IF($B$333=1,IF(Source_Data!AE$6=Inputs!$B$13,Source_Data!$C$8,0),Source_Data!AE$8)</f>
        <v>25.08917125</v>
      </c>
      <c r="AF335" s="33" t="n">
        <f aca="false">Source_Data!AF$7+IF($B$333=1,IF(Source_Data!AF$6=Inputs!$B$13,Source_Data!$C$8,0),Source_Data!AF$8)</f>
        <v>25.08917125</v>
      </c>
      <c r="AG335" s="33" t="n">
        <f aca="false">Source_Data!AG$7+IF($B$333=1,IF(Source_Data!AG$6=Inputs!$B$13,Source_Data!$C$8,0),Source_Data!AG$8)</f>
        <v>25.08917125</v>
      </c>
      <c r="AH335" s="33" t="n">
        <f aca="false">Source_Data!AH$7+IF($B$333=1,IF(Source_Data!AH$6=Inputs!$B$13,Source_Data!$C$8,0),Source_Data!AH$8)</f>
        <v>25.08917125</v>
      </c>
      <c r="AI335" s="33" t="n">
        <f aca="false">Source_Data!AI$7+IF($B$333=1,IF(Source_Data!AI$6=Inputs!$B$13,Source_Data!$C$8,0),Source_Data!AI$8)</f>
        <v>25.08917125</v>
      </c>
      <c r="AJ335" s="33" t="n">
        <f aca="false">Source_Data!AJ$7+IF($B$333=1,IF(Source_Data!AJ$6=Inputs!$B$13,Source_Data!$C$8,0),Source_Data!AJ$8)</f>
        <v>25.08917125</v>
      </c>
      <c r="AK335" s="33" t="n">
        <f aca="false">Source_Data!AK$7+IF($B$333=1,IF(Source_Data!AK$6=Inputs!$B$13,Source_Data!$C$8,0),Source_Data!AK$8)</f>
        <v>22.905105625</v>
      </c>
      <c r="AL335" s="33" t="n">
        <f aca="false">Source_Data!AL$7+IF($B$333=1,IF(Source_Data!AL$6=Inputs!$B$13,Source_Data!$C$8,0),Source_Data!AL$8)</f>
        <v>22.905105625</v>
      </c>
      <c r="AM335" s="33" t="n">
        <f aca="false">Source_Data!AM$7+IF($B$333=1,IF(Source_Data!AM$6=Inputs!$B$13,Source_Data!$C$8,0),Source_Data!AM$8)</f>
        <v>18.739554375</v>
      </c>
      <c r="AN335" s="33" t="n">
        <f aca="false">Source_Data!AN$7+IF($B$333=1,IF(Source_Data!AN$6=Inputs!$B$13,Source_Data!$C$8,0),Source_Data!AN$8)</f>
        <v>9.6261675</v>
      </c>
      <c r="AO335" s="33" t="n">
        <f aca="false">Source_Data!AO$7+IF($B$333=1,IF(Source_Data!AO$6=Inputs!$B$13,Source_Data!$C$8,0),Source_Data!AO$8)</f>
        <v>3.5704725</v>
      </c>
      <c r="AP335" s="33" t="n">
        <f aca="false">Source_Data!AP$7+IF($B$333=1,IF(Source_Data!AP$6=Inputs!$B$13,Source_Data!$C$8,0),Source_Data!AP$8)</f>
        <v>0</v>
      </c>
      <c r="AQ335" s="33" t="n">
        <f aca="false">Source_Data!AQ$7+IF($B$333=1,IF(Source_Data!AQ$6=Inputs!$B$13,Source_Data!$C$8,0),Source_Data!AQ$8)</f>
        <v>0</v>
      </c>
      <c r="AR335" s="33" t="n">
        <f aca="false">Source_Data!AR$7+IF($B$333=1,IF(Source_Data!AR$6=Inputs!$B$13,Source_Data!$C$8,0),Source_Data!AR$8)</f>
        <v>0</v>
      </c>
      <c r="AS335" s="33" t="n">
        <f aca="false">Source_Data!AS$7+IF($B$333=1,IF(Source_Data!AS$6=Inputs!$B$13,Source_Data!$C$8,0),Source_Data!AS$8)</f>
        <v>0</v>
      </c>
      <c r="AT335" s="33" t="n">
        <f aca="false">Source_Data!AT$7+IF($B$333=1,IF(Source_Data!AT$6=Inputs!$B$13,Source_Data!$C$8,0),Source_Data!AT$8)</f>
        <v>0</v>
      </c>
      <c r="AU335" s="33" t="n">
        <f aca="false">Source_Data!AU$7+IF($B$333=1,IF(Source_Data!AU$6=Inputs!$B$13,Source_Data!$C$8,0),Source_Data!AU$8)</f>
        <v>0</v>
      </c>
      <c r="AV335" s="33" t="n">
        <f aca="false">Source_Data!AV$7+IF($B$333=1,IF(Source_Data!AV$6=Inputs!$B$13,Source_Data!$C$8,0),Source_Data!AV$8)</f>
        <v>0</v>
      </c>
      <c r="AW335" s="33" t="n">
        <f aca="false">Source_Data!AW$7+IF($B$333=1,IF(Source_Data!AW$6=Inputs!$B$13,Source_Data!$C$8,0),Source_Data!AW$8)</f>
        <v>0</v>
      </c>
      <c r="AX335" s="33" t="n">
        <f aca="false">Source_Data!AX$7+IF($B$333=1,IF(Source_Data!AX$6=Inputs!$B$13,Source_Data!$C$8,0),Source_Data!AX$8)</f>
        <v>0</v>
      </c>
      <c r="AY335" s="33" t="n">
        <f aca="false">Source_Data!AY$7+IF($B$333=1,IF(Source_Data!AY$6=Inputs!$B$13,Source_Data!$C$8,0),Source_Data!AY$8)</f>
        <v>0</v>
      </c>
      <c r="AZ335" s="33" t="n">
        <f aca="false">Source_Data!AZ$7+IF($B$333=1,IF(Source_Data!AZ$6=Inputs!$B$13,Source_Data!$C$8,0),Source_Data!AZ$8)</f>
        <v>0</v>
      </c>
      <c r="BA335" s="33" t="n">
        <f aca="false">Source_Data!BA$7+IF($B$333=1,IF(Source_Data!BA$6=Inputs!$B$13,Source_Data!$C$8,0),Source_Data!BA$8)</f>
        <v>0</v>
      </c>
      <c r="BB335" s="33" t="n">
        <f aca="false">Source_Data!BB$7+IF($B$333=1,IF(Source_Data!BB$6=Inputs!$B$13,Source_Data!$C$8,0),Source_Data!BB$8)</f>
        <v>0</v>
      </c>
      <c r="BC335" s="33" t="n">
        <f aca="false">Source_Data!BC$7+IF($B$333=1,IF(Source_Data!BC$6=Inputs!$B$13,Source_Data!$C$8,0),Source_Data!BC$8)</f>
        <v>0</v>
      </c>
      <c r="BD335" s="33" t="n">
        <f aca="false">Source_Data!BD$7+IF($B$333=1,IF(Source_Data!BD$6=Inputs!$B$13,Source_Data!$C$8,0),Source_Data!BD$8)</f>
        <v>0</v>
      </c>
      <c r="BE335" s="33" t="n">
        <f aca="false">Source_Data!BE$7+IF($B$333=1,IF(Source_Data!BE$6=Inputs!$B$13,Source_Data!$C$8,0),Source_Data!BE$8)</f>
        <v>0</v>
      </c>
      <c r="BF335" s="33" t="n">
        <f aca="false">Source_Data!BF$7+IF($B$333=1,IF(Source_Data!BF$6=Inputs!$B$13,Source_Data!$C$8,0),Source_Data!BF$8)</f>
        <v>0</v>
      </c>
      <c r="BG335" s="33" t="n">
        <f aca="false">Source_Data!BG$7+IF($B$333=1,IF(Source_Data!BG$6=Inputs!$B$13,Source_Data!$C$8,0),Source_Data!BG$8)</f>
        <v>0</v>
      </c>
      <c r="BH335" s="33" t="n">
        <f aca="false">Source_Data!BH$7+IF($B$333=1,IF(Source_Data!BH$6=Inputs!$B$13,Source_Data!$C$8,0),Source_Data!BH$8)</f>
        <v>0</v>
      </c>
      <c r="BI335" s="33" t="n">
        <f aca="false">Source_Data!BI$7+IF($B$333=1,IF(Source_Data!BI$6=Inputs!$B$13,Source_Data!$C$8,0),Source_Data!BI$8)</f>
        <v>0</v>
      </c>
      <c r="BJ335" s="33" t="n">
        <f aca="false">Source_Data!BJ$7+IF($B$333=1,IF(Source_Data!BJ$6=Inputs!$B$13,Source_Data!$C$8,0),Source_Data!BJ$8)</f>
        <v>0</v>
      </c>
      <c r="BK335" s="33" t="n">
        <f aca="false">Source_Data!BK$7+IF($B$333=1,IF(Source_Data!BK$6=Inputs!$B$13,Source_Data!$C$8,0),Source_Data!BK$8)</f>
        <v>0</v>
      </c>
    </row>
    <row r="336" customFormat="false" ht="15" hidden="false" customHeight="false" outlineLevel="0" collapsed="false">
      <c r="A336" s="3" t="s">
        <v>338</v>
      </c>
      <c r="D336" s="33" t="n">
        <f aca="false">$B$329*IF(Source_Data!D$5-($B$330+$B$332)&gt;=1,INDEX($D$335:$BK$335,1,Source_Data!D$5-($B$330+$B$332)),0)</f>
        <v>0</v>
      </c>
      <c r="E336" s="33" t="n">
        <f aca="false">$B$329*IF(Source_Data!E$5-($B$330+$B$332)&gt;=1,INDEX($D$335:$BK$335,1,Source_Data!E$5-($B$330+$B$332)),0)</f>
        <v>0</v>
      </c>
      <c r="F336" s="33" t="n">
        <f aca="false">$B$329*IF(Source_Data!F$5-($B$330+$B$332)&gt;=1,INDEX($D$335:$BK$335,1,Source_Data!F$5-($B$330+$B$332)),0)</f>
        <v>15.1392375</v>
      </c>
      <c r="G336" s="33" t="n">
        <f aca="false">$B$329*IF(Source_Data!G$5-($B$330+$B$332)&gt;=1,INDEX($D$335:$BK$335,1,Source_Data!G$5-($B$330+$B$332)),0)</f>
        <v>30.278475</v>
      </c>
      <c r="H336" s="33" t="n">
        <f aca="false">$B$329*IF(Source_Data!H$5-($B$330+$B$332)&gt;=1,INDEX($D$335:$BK$335,1,Source_Data!H$5-($B$330+$B$332)),0)</f>
        <v>46.51200625</v>
      </c>
      <c r="I336" s="33" t="n">
        <f aca="false">$B$329*IF(Source_Data!I$5-($B$330+$B$332)&gt;=1,INDEX($D$335:$BK$335,1,Source_Data!I$5-($B$330+$B$332)),0)</f>
        <v>62.7455375</v>
      </c>
      <c r="J336" s="33" t="n">
        <f aca="false">$B$329*IF(Source_Data!J$5-($B$330+$B$332)&gt;=1,INDEX($D$335:$BK$335,1,Source_Data!J$5-($B$330+$B$332)),0)</f>
        <v>62.3657</v>
      </c>
      <c r="K336" s="33" t="n">
        <f aca="false">$B$329*IF(Source_Data!K$5-($B$330+$B$332)&gt;=1,INDEX($D$335:$BK$335,1,Source_Data!K$5-($B$330+$B$332)),0)</f>
        <v>63.473559375</v>
      </c>
      <c r="L336" s="33" t="n">
        <f aca="false">$B$329*IF(Source_Data!L$5-($B$330+$B$332)&gt;=1,INDEX($D$335:$BK$335,1,Source_Data!L$5-($B$330+$B$332)),0)</f>
        <v>80.3288484375</v>
      </c>
      <c r="M336" s="33" t="n">
        <f aca="false">$B$329*IF(Source_Data!M$5-($B$330+$B$332)&gt;=1,INDEX($D$335:$BK$335,1,Source_Data!M$5-($B$330+$B$332)),0)</f>
        <v>495.2538375</v>
      </c>
      <c r="N336" s="33" t="n">
        <f aca="false">$B$329*IF(Source_Data!N$5-($B$330+$B$332)&gt;=1,INDEX($D$335:$BK$335,1,Source_Data!N$5-($B$330+$B$332)),0)</f>
        <v>185.57775</v>
      </c>
      <c r="O336" s="33" t="n">
        <f aca="false">$B$329*IF(Source_Data!O$5-($B$330+$B$332)&gt;=1,INDEX($D$335:$BK$335,1,Source_Data!O$5-($B$330+$B$332)),0)</f>
        <v>176.534</v>
      </c>
      <c r="P336" s="33" t="n">
        <f aca="false">$B$329*IF(Source_Data!P$5-($B$330+$B$332)&gt;=1,INDEX($D$335:$BK$335,1,Source_Data!P$5-($B$330+$B$332)),0)</f>
        <v>97.31075</v>
      </c>
      <c r="Q336" s="33" t="n">
        <f aca="false">$B$329*IF(Source_Data!Q$5-($B$330+$B$332)&gt;=1,INDEX($D$335:$BK$335,1,Source_Data!Q$5-($B$330+$B$332)),0)</f>
        <v>71.30996875</v>
      </c>
      <c r="R336" s="33" t="n">
        <f aca="false">$B$329*IF(Source_Data!R$5-($B$330+$B$332)&gt;=1,INDEX($D$335:$BK$335,1,Source_Data!R$5-($B$330+$B$332)),0)</f>
        <v>71.30996875</v>
      </c>
      <c r="S336" s="33" t="n">
        <f aca="false">$B$329*IF(Source_Data!S$5-($B$330+$B$332)&gt;=1,INDEX($D$335:$BK$335,1,Source_Data!S$5-($B$330+$B$332)),0)</f>
        <v>68.037035625</v>
      </c>
      <c r="T336" s="33" t="n">
        <f aca="false">$B$329*IF(Source_Data!T$5-($B$330+$B$332)&gt;=1,INDEX($D$335:$BK$335,1,Source_Data!T$5-($B$330+$B$332)),0)</f>
        <v>61.2266396875</v>
      </c>
      <c r="U336" s="33" t="n">
        <f aca="false">$B$329*IF(Source_Data!U$5-($B$330+$B$332)&gt;=1,INDEX($D$335:$BK$335,1,Source_Data!U$5-($B$330+$B$332)),0)</f>
        <v>59.7127159375</v>
      </c>
      <c r="V336" s="33" t="n">
        <f aca="false">$B$329*IF(Source_Data!V$5-($B$330+$B$332)&gt;=1,INDEX($D$335:$BK$335,1,Source_Data!V$5-($B$330+$B$332)),0)</f>
        <v>53.7239446875</v>
      </c>
      <c r="W336" s="33" t="n">
        <f aca="false">$B$329*IF(Source_Data!W$5-($B$330+$B$332)&gt;=1,INDEX($D$335:$BK$335,1,Source_Data!W$5-($B$330+$B$332)),0)</f>
        <v>49.3829446875</v>
      </c>
      <c r="X336" s="33" t="n">
        <f aca="false">$B$329*IF(Source_Data!X$5-($B$330+$B$332)&gt;=1,INDEX($D$335:$BK$335,1,Source_Data!X$5-($B$330+$B$332)),0)</f>
        <v>49.3829446875</v>
      </c>
      <c r="Y336" s="33" t="n">
        <f aca="false">$B$329*IF(Source_Data!Y$5-($B$330+$B$332)&gt;=1,INDEX($D$335:$BK$335,1,Source_Data!Y$5-($B$330+$B$332)),0)</f>
        <v>42.1027259375</v>
      </c>
      <c r="Z336" s="33" t="n">
        <f aca="false">$B$329*IF(Source_Data!Z$5-($B$330+$B$332)&gt;=1,INDEX($D$335:$BK$335,1,Source_Data!Z$5-($B$330+$B$332)),0)</f>
        <v>42.1027259375</v>
      </c>
      <c r="AA336" s="33" t="n">
        <f aca="false">$B$329*IF(Source_Data!AA$5-($B$330+$B$332)&gt;=1,INDEX($D$335:$BK$335,1,Source_Data!AA$5-($B$330+$B$332)),0)</f>
        <v>42.1027259375</v>
      </c>
      <c r="AB336" s="33" t="n">
        <f aca="false">$B$329*IF(Source_Data!AB$5-($B$330+$B$332)&gt;=1,INDEX($D$335:$BK$335,1,Source_Data!AB$5-($B$330+$B$332)),0)</f>
        <v>36.3147259375</v>
      </c>
      <c r="AC336" s="33" t="n">
        <f aca="false">$B$329*IF(Source_Data!AC$5-($B$330+$B$332)&gt;=1,INDEX($D$335:$BK$335,1,Source_Data!AC$5-($B$330+$B$332)),0)</f>
        <v>33.0386275</v>
      </c>
      <c r="AD336" s="33" t="n">
        <f aca="false">$B$329*IF(Source_Data!AD$5-($B$330+$B$332)&gt;=1,INDEX($D$335:$BK$335,1,Source_Data!AD$5-($B$330+$B$332)),0)</f>
        <v>29.43017125</v>
      </c>
      <c r="AE336" s="33" t="n">
        <f aca="false">$B$329*IF(Source_Data!AE$5-($B$330+$B$332)&gt;=1,INDEX($D$335:$BK$335,1,Source_Data!AE$5-($B$330+$B$332)),0)</f>
        <v>25.08917125</v>
      </c>
      <c r="AF336" s="33" t="n">
        <f aca="false">$B$329*IF(Source_Data!AF$5-($B$330+$B$332)&gt;=1,INDEX($D$335:$BK$335,1,Source_Data!AF$5-($B$330+$B$332)),0)</f>
        <v>25.08917125</v>
      </c>
      <c r="AG336" s="33" t="n">
        <f aca="false">$B$329*IF(Source_Data!AG$5-($B$330+$B$332)&gt;=1,INDEX($D$335:$BK$335,1,Source_Data!AG$5-($B$330+$B$332)),0)</f>
        <v>25.08917125</v>
      </c>
      <c r="AH336" s="33" t="n">
        <f aca="false">$B$329*IF(Source_Data!AH$5-($B$330+$B$332)&gt;=1,INDEX($D$335:$BK$335,1,Source_Data!AH$5-($B$330+$B$332)),0)</f>
        <v>25.08917125</v>
      </c>
      <c r="AI336" s="33" t="n">
        <f aca="false">$B$329*IF(Source_Data!AI$5-($B$330+$B$332)&gt;=1,INDEX($D$335:$BK$335,1,Source_Data!AI$5-($B$330+$B$332)),0)</f>
        <v>25.08917125</v>
      </c>
      <c r="AJ336" s="33" t="n">
        <f aca="false">$B$329*IF(Source_Data!AJ$5-($B$330+$B$332)&gt;=1,INDEX($D$335:$BK$335,1,Source_Data!AJ$5-($B$330+$B$332)),0)</f>
        <v>25.08917125</v>
      </c>
      <c r="AK336" s="33" t="n">
        <f aca="false">$B$329*IF(Source_Data!AK$5-($B$330+$B$332)&gt;=1,INDEX($D$335:$BK$335,1,Source_Data!AK$5-($B$330+$B$332)),0)</f>
        <v>22.905105625</v>
      </c>
      <c r="AL336" s="33" t="n">
        <f aca="false">$B$329*IF(Source_Data!AL$5-($B$330+$B$332)&gt;=1,INDEX($D$335:$BK$335,1,Source_Data!AL$5-($B$330+$B$332)),0)</f>
        <v>22.905105625</v>
      </c>
      <c r="AM336" s="33" t="n">
        <f aca="false">$B$329*IF(Source_Data!AM$5-($B$330+$B$332)&gt;=1,INDEX($D$335:$BK$335,1,Source_Data!AM$5-($B$330+$B$332)),0)</f>
        <v>18.739554375</v>
      </c>
      <c r="AN336" s="33" t="n">
        <f aca="false">$B$329*IF(Source_Data!AN$5-($B$330+$B$332)&gt;=1,INDEX($D$335:$BK$335,1,Source_Data!AN$5-($B$330+$B$332)),0)</f>
        <v>9.6261675</v>
      </c>
      <c r="AO336" s="33" t="n">
        <f aca="false">$B$329*IF(Source_Data!AO$5-($B$330+$B$332)&gt;=1,INDEX($D$335:$BK$335,1,Source_Data!AO$5-($B$330+$B$332)),0)</f>
        <v>3.5704725</v>
      </c>
      <c r="AP336" s="33" t="n">
        <f aca="false">$B$329*IF(Source_Data!AP$5-($B$330+$B$332)&gt;=1,INDEX($D$335:$BK$335,1,Source_Data!AP$5-($B$330+$B$332)),0)</f>
        <v>0</v>
      </c>
      <c r="AQ336" s="33" t="n">
        <f aca="false">$B$329*IF(Source_Data!AQ$5-($B$330+$B$332)&gt;=1,INDEX($D$335:$BK$335,1,Source_Data!AQ$5-($B$330+$B$332)),0)</f>
        <v>0</v>
      </c>
      <c r="AR336" s="33" t="n">
        <f aca="false">$B$329*IF(Source_Data!AR$5-($B$330+$B$332)&gt;=1,INDEX($D$335:$BK$335,1,Source_Data!AR$5-($B$330+$B$332)),0)</f>
        <v>0</v>
      </c>
      <c r="AS336" s="33" t="n">
        <f aca="false">$B$329*IF(Source_Data!AS$5-($B$330+$B$332)&gt;=1,INDEX($D$335:$BK$335,1,Source_Data!AS$5-($B$330+$B$332)),0)</f>
        <v>0</v>
      </c>
      <c r="AT336" s="33" t="n">
        <f aca="false">$B$329*IF(Source_Data!AT$5-($B$330+$B$332)&gt;=1,INDEX($D$335:$BK$335,1,Source_Data!AT$5-($B$330+$B$332)),0)</f>
        <v>0</v>
      </c>
      <c r="AU336" s="33" t="n">
        <f aca="false">$B$329*IF(Source_Data!AU$5-($B$330+$B$332)&gt;=1,INDEX($D$335:$BK$335,1,Source_Data!AU$5-($B$330+$B$332)),0)</f>
        <v>0</v>
      </c>
      <c r="AV336" s="33" t="n">
        <f aca="false">$B$329*IF(Source_Data!AV$5-($B$330+$B$332)&gt;=1,INDEX($D$335:$BK$335,1,Source_Data!AV$5-($B$330+$B$332)),0)</f>
        <v>0</v>
      </c>
      <c r="AW336" s="33" t="n">
        <f aca="false">$B$329*IF(Source_Data!AW$5-($B$330+$B$332)&gt;=1,INDEX($D$335:$BK$335,1,Source_Data!AW$5-($B$330+$B$332)),0)</f>
        <v>0</v>
      </c>
      <c r="AX336" s="33" t="n">
        <f aca="false">$B$329*IF(Source_Data!AX$5-($B$330+$B$332)&gt;=1,INDEX($D$335:$BK$335,1,Source_Data!AX$5-($B$330+$B$332)),0)</f>
        <v>0</v>
      </c>
      <c r="AY336" s="33" t="n">
        <f aca="false">$B$329*IF(Source_Data!AY$5-($B$330+$B$332)&gt;=1,INDEX($D$335:$BK$335,1,Source_Data!AY$5-($B$330+$B$332)),0)</f>
        <v>0</v>
      </c>
      <c r="AZ336" s="33" t="n">
        <f aca="false">$B$329*IF(Source_Data!AZ$5-($B$330+$B$332)&gt;=1,INDEX($D$335:$BK$335,1,Source_Data!AZ$5-($B$330+$B$332)),0)</f>
        <v>0</v>
      </c>
      <c r="BA336" s="33" t="n">
        <f aca="false">$B$329*IF(Source_Data!BA$5-($B$330+$B$332)&gt;=1,INDEX($D$335:$BK$335,1,Source_Data!BA$5-($B$330+$B$332)),0)</f>
        <v>0</v>
      </c>
      <c r="BB336" s="33" t="n">
        <f aca="false">$B$329*IF(Source_Data!BB$5-($B$330+$B$332)&gt;=1,INDEX($D$335:$BK$335,1,Source_Data!BB$5-($B$330+$B$332)),0)</f>
        <v>0</v>
      </c>
      <c r="BC336" s="33" t="n">
        <f aca="false">$B$329*IF(Source_Data!BC$5-($B$330+$B$332)&gt;=1,INDEX($D$335:$BK$335,1,Source_Data!BC$5-($B$330+$B$332)),0)</f>
        <v>0</v>
      </c>
      <c r="BD336" s="33" t="n">
        <f aca="false">$B$329*IF(Source_Data!BD$5-($B$330+$B$332)&gt;=1,INDEX($D$335:$BK$335,1,Source_Data!BD$5-($B$330+$B$332)),0)</f>
        <v>0</v>
      </c>
      <c r="BE336" s="33" t="n">
        <f aca="false">$B$329*IF(Source_Data!BE$5-($B$330+$B$332)&gt;=1,INDEX($D$335:$BK$335,1,Source_Data!BE$5-($B$330+$B$332)),0)</f>
        <v>0</v>
      </c>
      <c r="BF336" s="33" t="n">
        <f aca="false">$B$329*IF(Source_Data!BF$5-($B$330+$B$332)&gt;=1,INDEX($D$335:$BK$335,1,Source_Data!BF$5-($B$330+$B$332)),0)</f>
        <v>0</v>
      </c>
      <c r="BG336" s="33" t="n">
        <f aca="false">$B$329*IF(Source_Data!BG$5-($B$330+$B$332)&gt;=1,INDEX($D$335:$BK$335,1,Source_Data!BG$5-($B$330+$B$332)),0)</f>
        <v>0</v>
      </c>
      <c r="BH336" s="33" t="n">
        <f aca="false">$B$329*IF(Source_Data!BH$5-($B$330+$B$332)&gt;=1,INDEX($D$335:$BK$335,1,Source_Data!BH$5-($B$330+$B$332)),0)</f>
        <v>0</v>
      </c>
      <c r="BI336" s="33" t="n">
        <f aca="false">$B$329*IF(Source_Data!BI$5-($B$330+$B$332)&gt;=1,INDEX($D$335:$BK$335,1,Source_Data!BI$5-($B$330+$B$332)),0)</f>
        <v>0</v>
      </c>
      <c r="BJ336" s="33" t="n">
        <f aca="false">$B$329*IF(Source_Data!BJ$5-($B$330+$B$332)&gt;=1,INDEX($D$335:$BK$335,1,Source_Data!BJ$5-($B$330+$B$332)),0)</f>
        <v>0</v>
      </c>
      <c r="BK336" s="33" t="n">
        <f aca="false">$B$329*IF(Source_Data!BK$5-($B$330+$B$332)&gt;=1,INDEX($D$335:$BK$335,1,Source_Data!BK$5-($B$330+$B$332)),0)</f>
        <v>0</v>
      </c>
    </row>
    <row r="337" customFormat="false" ht="15" hidden="false" customHeight="false" outlineLevel="0" collapsed="false">
      <c r="A337" s="3" t="s">
        <v>339</v>
      </c>
      <c r="D337" s="33" t="n">
        <f aca="false">Source_Data!D$9+Source_Data!D$10*IF(Source_Data!$C$10=0,0,MAX(0,Inputs!$B$19*Inputs!$B$22*$B$329-Inputs!$B$20)/Source_Data!$C$10)</f>
        <v>91.25</v>
      </c>
      <c r="E337" s="33" t="n">
        <f aca="false">Source_Data!E$9+Source_Data!E$10*IF(Source_Data!$C$10=0,0,MAX(0,Inputs!$B$19*Inputs!$B$22*$B$329-Inputs!$B$20)/Source_Data!$C$10)</f>
        <v>11.25</v>
      </c>
      <c r="F337" s="33" t="n">
        <f aca="false">Source_Data!F$9+Source_Data!F$10*IF(Source_Data!$C$10=0,0,MAX(0,Inputs!$B$19*Inputs!$B$22*$B$329-Inputs!$B$20)/Source_Data!$C$10)</f>
        <v>11.25</v>
      </c>
      <c r="G337" s="33" t="n">
        <f aca="false">Source_Data!G$9+Source_Data!G$10*IF(Source_Data!$C$10=0,0,MAX(0,Inputs!$B$19*Inputs!$B$22*$B$329-Inputs!$B$20)/Source_Data!$C$10)</f>
        <v>11.25</v>
      </c>
      <c r="H337" s="33" t="n">
        <f aca="false">Source_Data!H$9+Source_Data!H$10*IF(Source_Data!$C$10=0,0,MAX(0,Inputs!$B$19*Inputs!$B$22*$B$329-Inputs!$B$20)/Source_Data!$C$10)</f>
        <v>22.5</v>
      </c>
      <c r="I337" s="33" t="n">
        <f aca="false">Source_Data!I$9+Source_Data!I$10*IF(Source_Data!$C$10=0,0,MAX(0,Inputs!$B$19*Inputs!$B$22*$B$329-Inputs!$B$20)/Source_Data!$C$10)</f>
        <v>22.5</v>
      </c>
      <c r="J337" s="33" t="n">
        <f aca="false">Source_Data!J$9+Source_Data!J$10*IF(Source_Data!$C$10=0,0,MAX(0,Inputs!$B$19*Inputs!$B$22*$B$329-Inputs!$B$20)/Source_Data!$C$10)</f>
        <v>22.5</v>
      </c>
      <c r="K337" s="33" t="n">
        <f aca="false">Source_Data!K$9+Source_Data!K$10*IF(Source_Data!$C$10=0,0,MAX(0,Inputs!$B$19*Inputs!$B$22*$B$329-Inputs!$B$20)/Source_Data!$C$10)</f>
        <v>22.5</v>
      </c>
      <c r="L337" s="33" t="n">
        <f aca="false">Source_Data!L$9+Source_Data!L$10*IF(Source_Data!$C$10=0,0,MAX(0,Inputs!$B$19*Inputs!$B$22*$B$329-Inputs!$B$20)/Source_Data!$C$10)</f>
        <v>33.75</v>
      </c>
      <c r="M337" s="33" t="n">
        <f aca="false">Source_Data!M$9+Source_Data!M$10*IF(Source_Data!$C$10=0,0,MAX(0,Inputs!$B$19*Inputs!$B$22*$B$329-Inputs!$B$20)/Source_Data!$C$10)</f>
        <v>33.75</v>
      </c>
      <c r="N337" s="33" t="n">
        <f aca="false">Source_Data!N$9+Source_Data!N$10*IF(Source_Data!$C$10=0,0,MAX(0,Inputs!$B$19*Inputs!$B$22*$B$329-Inputs!$B$20)/Source_Data!$C$10)</f>
        <v>33.75</v>
      </c>
      <c r="O337" s="33" t="n">
        <f aca="false">Source_Data!O$9+Source_Data!O$10*IF(Source_Data!$C$10=0,0,MAX(0,Inputs!$B$19*Inputs!$B$22*$B$329-Inputs!$B$20)/Source_Data!$C$10)</f>
        <v>33.75</v>
      </c>
      <c r="P337" s="33" t="n">
        <f aca="false">Source_Data!P$9+Source_Data!P$10*IF(Source_Data!$C$10=0,0,MAX(0,Inputs!$B$19*Inputs!$B$22*$B$329-Inputs!$B$20)/Source_Data!$C$10)</f>
        <v>45</v>
      </c>
      <c r="Q337" s="33" t="n">
        <f aca="false">Source_Data!Q$9+Source_Data!Q$10*IF(Source_Data!$C$10=0,0,MAX(0,Inputs!$B$19*Inputs!$B$22*$B$329-Inputs!$B$20)/Source_Data!$C$10)</f>
        <v>45</v>
      </c>
      <c r="R337" s="33" t="n">
        <f aca="false">Source_Data!R$9+Source_Data!R$10*IF(Source_Data!$C$10=0,0,MAX(0,Inputs!$B$19*Inputs!$B$22*$B$329-Inputs!$B$20)/Source_Data!$C$10)</f>
        <v>45</v>
      </c>
      <c r="S337" s="33" t="n">
        <f aca="false">Source_Data!S$9+Source_Data!S$10*IF(Source_Data!$C$10=0,0,MAX(0,Inputs!$B$19*Inputs!$B$22*$B$329-Inputs!$B$20)/Source_Data!$C$10)</f>
        <v>45</v>
      </c>
      <c r="T337" s="33" t="n">
        <f aca="false">Source_Data!T$9+Source_Data!T$10*IF(Source_Data!$C$10=0,0,MAX(0,Inputs!$B$19*Inputs!$B$22*$B$329-Inputs!$B$20)/Source_Data!$C$10)</f>
        <v>45</v>
      </c>
      <c r="U337" s="33" t="n">
        <f aca="false">Source_Data!U$9+Source_Data!U$10*IF(Source_Data!$C$10=0,0,MAX(0,Inputs!$B$19*Inputs!$B$22*$B$329-Inputs!$B$20)/Source_Data!$C$10)</f>
        <v>45</v>
      </c>
      <c r="V337" s="33" t="n">
        <f aca="false">Source_Data!V$9+Source_Data!V$10*IF(Source_Data!$C$10=0,0,MAX(0,Inputs!$B$19*Inputs!$B$22*$B$329-Inputs!$B$20)/Source_Data!$C$10)</f>
        <v>45</v>
      </c>
      <c r="W337" s="33" t="n">
        <f aca="false">Source_Data!W$9+Source_Data!W$10*IF(Source_Data!$C$10=0,0,MAX(0,Inputs!$B$19*Inputs!$B$22*$B$329-Inputs!$B$20)/Source_Data!$C$10)</f>
        <v>45</v>
      </c>
      <c r="X337" s="33" t="n">
        <f aca="false">Source_Data!X$9+Source_Data!X$10*IF(Source_Data!$C$10=0,0,MAX(0,Inputs!$B$19*Inputs!$B$22*$B$329-Inputs!$B$20)/Source_Data!$C$10)</f>
        <v>22.5</v>
      </c>
      <c r="Y337" s="33" t="n">
        <f aca="false">Source_Data!Y$9+Source_Data!Y$10*IF(Source_Data!$C$10=0,0,MAX(0,Inputs!$B$19*Inputs!$B$22*$B$329-Inputs!$B$20)/Source_Data!$C$10)</f>
        <v>22.5</v>
      </c>
      <c r="Z337" s="33" t="n">
        <f aca="false">Source_Data!Z$9+Source_Data!Z$10*IF(Source_Data!$C$10=0,0,MAX(0,Inputs!$B$19*Inputs!$B$22*$B$329-Inputs!$B$20)/Source_Data!$C$10)</f>
        <v>22.5</v>
      </c>
      <c r="AA337" s="33" t="n">
        <f aca="false">Source_Data!AA$9+Source_Data!AA$10*IF(Source_Data!$C$10=0,0,MAX(0,Inputs!$B$19*Inputs!$B$22*$B$329-Inputs!$B$20)/Source_Data!$C$10)</f>
        <v>22.5</v>
      </c>
      <c r="AB337" s="33" t="n">
        <f aca="false">Source_Data!AB$9+Source_Data!AB$10*IF(Source_Data!$C$10=0,0,MAX(0,Inputs!$B$19*Inputs!$B$22*$B$329-Inputs!$B$20)/Source_Data!$C$10)</f>
        <v>0</v>
      </c>
      <c r="AC337" s="33" t="n">
        <f aca="false">Source_Data!AC$9+Source_Data!AC$10*IF(Source_Data!$C$10=0,0,MAX(0,Inputs!$B$19*Inputs!$B$22*$B$329-Inputs!$B$20)/Source_Data!$C$10)</f>
        <v>0</v>
      </c>
      <c r="AD337" s="33" t="n">
        <f aca="false">Source_Data!AD$9+Source_Data!AD$10*IF(Source_Data!$C$10=0,0,MAX(0,Inputs!$B$19*Inputs!$B$22*$B$329-Inputs!$B$20)/Source_Data!$C$10)</f>
        <v>0</v>
      </c>
      <c r="AE337" s="33" t="n">
        <f aca="false">Source_Data!AE$9+Source_Data!AE$10*IF(Source_Data!$C$10=0,0,MAX(0,Inputs!$B$19*Inputs!$B$22*$B$329-Inputs!$B$20)/Source_Data!$C$10)</f>
        <v>0</v>
      </c>
      <c r="AF337" s="33" t="n">
        <f aca="false">Source_Data!AF$9+Source_Data!AF$10*IF(Source_Data!$C$10=0,0,MAX(0,Inputs!$B$19*Inputs!$B$22*$B$329-Inputs!$B$20)/Source_Data!$C$10)</f>
        <v>107.758210351563</v>
      </c>
      <c r="AG337" s="33" t="n">
        <f aca="false">Source_Data!AG$9+Source_Data!AG$10*IF(Source_Data!$C$10=0,0,MAX(0,Inputs!$B$19*Inputs!$B$22*$B$329-Inputs!$B$20)/Source_Data!$C$10)</f>
        <v>10.976512421875</v>
      </c>
      <c r="AH337" s="33" t="n">
        <f aca="false">Source_Data!AH$9+Source_Data!AH$10*IF(Source_Data!$C$10=0,0,MAX(0,Inputs!$B$19*Inputs!$B$22*$B$329-Inputs!$B$20)/Source_Data!$C$10)</f>
        <v>10.976512421875</v>
      </c>
      <c r="AI337" s="33" t="n">
        <f aca="false">Source_Data!AI$9+Source_Data!AI$10*IF(Source_Data!$C$10=0,0,MAX(0,Inputs!$B$19*Inputs!$B$22*$B$329-Inputs!$B$20)/Source_Data!$C$10)</f>
        <v>10.976512421875</v>
      </c>
      <c r="AJ337" s="33" t="n">
        <f aca="false">Source_Data!AJ$9+Source_Data!AJ$10*IF(Source_Data!$C$10=0,0,MAX(0,Inputs!$B$19*Inputs!$B$22*$B$329-Inputs!$B$20)/Source_Data!$C$10)</f>
        <v>10.976512421875</v>
      </c>
      <c r="AK337" s="33" t="n">
        <f aca="false">Source_Data!AK$9+Source_Data!AK$10*IF(Source_Data!$C$10=0,0,MAX(0,Inputs!$B$19*Inputs!$B$22*$B$329-Inputs!$B$20)/Source_Data!$C$10)</f>
        <v>10.0209837109375</v>
      </c>
      <c r="AL337" s="33" t="n">
        <f aca="false">Source_Data!AL$9+Source_Data!AL$10*IF(Source_Data!$C$10=0,0,MAX(0,Inputs!$B$19*Inputs!$B$22*$B$329-Inputs!$B$20)/Source_Data!$C$10)</f>
        <v>10.0209837109375</v>
      </c>
      <c r="AM337" s="33" t="n">
        <f aca="false">Source_Data!AM$9+Source_Data!AM$10*IF(Source_Data!$C$10=0,0,MAX(0,Inputs!$B$19*Inputs!$B$22*$B$329-Inputs!$B$20)/Source_Data!$C$10)</f>
        <v>8.19855503906249</v>
      </c>
      <c r="AN337" s="33" t="n">
        <f aca="false">Source_Data!AN$9+Source_Data!AN$10*IF(Source_Data!$C$10=0,0,MAX(0,Inputs!$B$19*Inputs!$B$22*$B$329-Inputs!$B$20)/Source_Data!$C$10)</f>
        <v>4.21144828125</v>
      </c>
      <c r="AO337" s="33" t="n">
        <f aca="false">Source_Data!AO$9+Source_Data!AO$10*IF(Source_Data!$C$10=0,0,MAX(0,Inputs!$B$19*Inputs!$B$22*$B$329-Inputs!$B$20)/Source_Data!$C$10)</f>
        <v>1.56208171875</v>
      </c>
      <c r="AP337" s="33" t="n">
        <f aca="false">Source_Data!AP$9+Source_Data!AP$10*IF(Source_Data!$C$10=0,0,MAX(0,Inputs!$B$19*Inputs!$B$22*$B$329-Inputs!$B$20)/Source_Data!$C$10)</f>
        <v>0</v>
      </c>
      <c r="AQ337" s="33" t="n">
        <f aca="false">Source_Data!AQ$9+Source_Data!AQ$10*IF(Source_Data!$C$10=0,0,MAX(0,Inputs!$B$19*Inputs!$B$22*$B$329-Inputs!$B$20)/Source_Data!$C$10)</f>
        <v>0</v>
      </c>
      <c r="AR337" s="33" t="n">
        <f aca="false">Source_Data!AR$9+Source_Data!AR$10*IF(Source_Data!$C$10=0,0,MAX(0,Inputs!$B$19*Inputs!$B$22*$B$329-Inputs!$B$20)/Source_Data!$C$10)</f>
        <v>0</v>
      </c>
      <c r="AS337" s="33" t="n">
        <f aca="false">Source_Data!AS$9+Source_Data!AS$10*IF(Source_Data!$C$10=0,0,MAX(0,Inputs!$B$19*Inputs!$B$22*$B$329-Inputs!$B$20)/Source_Data!$C$10)</f>
        <v>0</v>
      </c>
      <c r="AT337" s="33" t="n">
        <f aca="false">Source_Data!AT$9+Source_Data!AT$10*IF(Source_Data!$C$10=0,0,MAX(0,Inputs!$B$19*Inputs!$B$22*$B$329-Inputs!$B$20)/Source_Data!$C$10)</f>
        <v>0</v>
      </c>
      <c r="AU337" s="33" t="n">
        <f aca="false">Source_Data!AU$9+Source_Data!AU$10*IF(Source_Data!$C$10=0,0,MAX(0,Inputs!$B$19*Inputs!$B$22*$B$329-Inputs!$B$20)/Source_Data!$C$10)</f>
        <v>0</v>
      </c>
      <c r="AV337" s="33" t="n">
        <f aca="false">Source_Data!AV$9+Source_Data!AV$10*IF(Source_Data!$C$10=0,0,MAX(0,Inputs!$B$19*Inputs!$B$22*$B$329-Inputs!$B$20)/Source_Data!$C$10)</f>
        <v>0</v>
      </c>
      <c r="AW337" s="33" t="n">
        <f aca="false">Source_Data!AW$9+Source_Data!AW$10*IF(Source_Data!$C$10=0,0,MAX(0,Inputs!$B$19*Inputs!$B$22*$B$329-Inputs!$B$20)/Source_Data!$C$10)</f>
        <v>0</v>
      </c>
      <c r="AX337" s="33" t="n">
        <f aca="false">Source_Data!AX$9+Source_Data!AX$10*IF(Source_Data!$C$10=0,0,MAX(0,Inputs!$B$19*Inputs!$B$22*$B$329-Inputs!$B$20)/Source_Data!$C$10)</f>
        <v>0</v>
      </c>
      <c r="AY337" s="33" t="n">
        <f aca="false">Source_Data!AY$9+Source_Data!AY$10*IF(Source_Data!$C$10=0,0,MAX(0,Inputs!$B$19*Inputs!$B$22*$B$329-Inputs!$B$20)/Source_Data!$C$10)</f>
        <v>0</v>
      </c>
      <c r="AZ337" s="33" t="n">
        <f aca="false">Source_Data!AZ$9+Source_Data!AZ$10*IF(Source_Data!$C$10=0,0,MAX(0,Inputs!$B$19*Inputs!$B$22*$B$329-Inputs!$B$20)/Source_Data!$C$10)</f>
        <v>0</v>
      </c>
      <c r="BA337" s="33" t="n">
        <f aca="false">Source_Data!BA$9+Source_Data!BA$10*IF(Source_Data!$C$10=0,0,MAX(0,Inputs!$B$19*Inputs!$B$22*$B$329-Inputs!$B$20)/Source_Data!$C$10)</f>
        <v>0</v>
      </c>
      <c r="BB337" s="33" t="n">
        <f aca="false">Source_Data!BB$9+Source_Data!BB$10*IF(Source_Data!$C$10=0,0,MAX(0,Inputs!$B$19*Inputs!$B$22*$B$329-Inputs!$B$20)/Source_Data!$C$10)</f>
        <v>0</v>
      </c>
      <c r="BC337" s="33" t="n">
        <f aca="false">Source_Data!BC$9+Source_Data!BC$10*IF(Source_Data!$C$10=0,0,MAX(0,Inputs!$B$19*Inputs!$B$22*$B$329-Inputs!$B$20)/Source_Data!$C$10)</f>
        <v>0</v>
      </c>
      <c r="BD337" s="33" t="n">
        <f aca="false">Source_Data!BD$9+Source_Data!BD$10*IF(Source_Data!$C$10=0,0,MAX(0,Inputs!$B$19*Inputs!$B$22*$B$329-Inputs!$B$20)/Source_Data!$C$10)</f>
        <v>0</v>
      </c>
      <c r="BE337" s="33" t="n">
        <f aca="false">Source_Data!BE$9+Source_Data!BE$10*IF(Source_Data!$C$10=0,0,MAX(0,Inputs!$B$19*Inputs!$B$22*$B$329-Inputs!$B$20)/Source_Data!$C$10)</f>
        <v>0</v>
      </c>
      <c r="BF337" s="33" t="n">
        <f aca="false">Source_Data!BF$9+Source_Data!BF$10*IF(Source_Data!$C$10=0,0,MAX(0,Inputs!$B$19*Inputs!$B$22*$B$329-Inputs!$B$20)/Source_Data!$C$10)</f>
        <v>0</v>
      </c>
      <c r="BG337" s="33" t="n">
        <f aca="false">Source_Data!BG$9+Source_Data!BG$10*IF(Source_Data!$C$10=0,0,MAX(0,Inputs!$B$19*Inputs!$B$22*$B$329-Inputs!$B$20)/Source_Data!$C$10)</f>
        <v>0</v>
      </c>
      <c r="BH337" s="33" t="n">
        <f aca="false">Source_Data!BH$9+Source_Data!BH$10*IF(Source_Data!$C$10=0,0,MAX(0,Inputs!$B$19*Inputs!$B$22*$B$329-Inputs!$B$20)/Source_Data!$C$10)</f>
        <v>0</v>
      </c>
      <c r="BI337" s="33" t="n">
        <f aca="false">Source_Data!BI$9+Source_Data!BI$10*IF(Source_Data!$C$10=0,0,MAX(0,Inputs!$B$19*Inputs!$B$22*$B$329-Inputs!$B$20)/Source_Data!$C$10)</f>
        <v>0</v>
      </c>
      <c r="BJ337" s="33" t="n">
        <f aca="false">Source_Data!BJ$9+Source_Data!BJ$10*IF(Source_Data!$C$10=0,0,MAX(0,Inputs!$B$19*Inputs!$B$22*$B$329-Inputs!$B$20)/Source_Data!$C$10)</f>
        <v>0</v>
      </c>
      <c r="BK337" s="33" t="n">
        <f aca="false">Source_Data!BK$9+Source_Data!BK$10*IF(Source_Data!$C$10=0,0,MAX(0,Inputs!$B$19*Inputs!$B$22*$B$329-Inputs!$B$20)/Source_Data!$C$10)</f>
        <v>0</v>
      </c>
    </row>
    <row r="338" customFormat="false" ht="15" hidden="false" customHeight="false" outlineLevel="0" collapsed="false">
      <c r="A338" s="3" t="s">
        <v>194</v>
      </c>
      <c r="D338" s="33" t="n">
        <f aca="false">Source_Data!D$11*$B$331</f>
        <v>0</v>
      </c>
      <c r="E338" s="33" t="n">
        <f aca="false">Source_Data!E$11*$B$331</f>
        <v>0</v>
      </c>
      <c r="F338" s="33" t="n">
        <f aca="false">Source_Data!F$11*$B$331</f>
        <v>0</v>
      </c>
      <c r="G338" s="33" t="n">
        <f aca="false">Source_Data!G$11*$B$331</f>
        <v>0</v>
      </c>
      <c r="H338" s="33" t="n">
        <f aca="false">Source_Data!H$11*$B$331</f>
        <v>24</v>
      </c>
      <c r="I338" s="33" t="n">
        <f aca="false">Source_Data!I$11*$B$331</f>
        <v>31.68</v>
      </c>
      <c r="J338" s="33" t="n">
        <f aca="false">Source_Data!J$11*$B$331</f>
        <v>48</v>
      </c>
      <c r="K338" s="33" t="n">
        <f aca="false">Source_Data!K$11*$B$331</f>
        <v>31.68</v>
      </c>
      <c r="L338" s="33" t="n">
        <f aca="false">Source_Data!L$11*$B$331</f>
        <v>31.68</v>
      </c>
      <c r="M338" s="33" t="n">
        <f aca="false">Source_Data!M$11*$B$331</f>
        <v>31.68</v>
      </c>
      <c r="N338" s="33" t="n">
        <f aca="false">Source_Data!N$11*$B$331</f>
        <v>6.336</v>
      </c>
      <c r="O338" s="33" t="n">
        <f aca="false">Source_Data!O$11*$B$331</f>
        <v>6.336</v>
      </c>
      <c r="P338" s="33" t="n">
        <f aca="false">Source_Data!P$11*$B$331</f>
        <v>144</v>
      </c>
      <c r="Q338" s="33" t="n">
        <f aca="false">Source_Data!Q$11*$B$331</f>
        <v>144</v>
      </c>
      <c r="R338" s="33" t="n">
        <f aca="false">Source_Data!R$11*$B$331</f>
        <v>196.8</v>
      </c>
      <c r="S338" s="33" t="n">
        <f aca="false">Source_Data!S$11*$B$331</f>
        <v>140.4</v>
      </c>
      <c r="T338" s="33" t="n">
        <f aca="false">Source_Data!T$11*$B$331</f>
        <v>0</v>
      </c>
      <c r="U338" s="33" t="n">
        <f aca="false">Source_Data!U$11*$B$331</f>
        <v>0</v>
      </c>
      <c r="V338" s="33" t="n">
        <f aca="false">Source_Data!V$11*$B$331</f>
        <v>0</v>
      </c>
      <c r="W338" s="33" t="n">
        <f aca="false">Source_Data!W$11*$B$331</f>
        <v>0</v>
      </c>
      <c r="X338" s="33" t="n">
        <f aca="false">Source_Data!X$11*$B$331</f>
        <v>0</v>
      </c>
      <c r="Y338" s="33" t="n">
        <f aca="false">Source_Data!Y$11*$B$331</f>
        <v>0</v>
      </c>
      <c r="Z338" s="33" t="n">
        <f aca="false">Source_Data!Z$11*$B$331</f>
        <v>0</v>
      </c>
      <c r="AA338" s="33" t="n">
        <f aca="false">Source_Data!AA$11*$B$331</f>
        <v>0</v>
      </c>
      <c r="AB338" s="33" t="n">
        <f aca="false">Source_Data!AB$11*$B$331</f>
        <v>0</v>
      </c>
      <c r="AC338" s="33" t="n">
        <f aca="false">Source_Data!AC$11*$B$331</f>
        <v>0</v>
      </c>
      <c r="AD338" s="33" t="n">
        <f aca="false">Source_Data!AD$11*$B$331</f>
        <v>0</v>
      </c>
      <c r="AE338" s="33" t="n">
        <f aca="false">Source_Data!AE$11*$B$331</f>
        <v>0</v>
      </c>
      <c r="AF338" s="33" t="n">
        <f aca="false">Source_Data!AF$11*$B$331</f>
        <v>0</v>
      </c>
      <c r="AG338" s="33" t="n">
        <f aca="false">Source_Data!AG$11*$B$331</f>
        <v>0</v>
      </c>
      <c r="AH338" s="33" t="n">
        <f aca="false">Source_Data!AH$11*$B$331</f>
        <v>0</v>
      </c>
      <c r="AI338" s="33" t="n">
        <f aca="false">Source_Data!AI$11*$B$331</f>
        <v>0</v>
      </c>
      <c r="AJ338" s="33" t="n">
        <f aca="false">Source_Data!AJ$11*$B$331</f>
        <v>0</v>
      </c>
      <c r="AK338" s="33" t="n">
        <f aca="false">Source_Data!AK$11*$B$331</f>
        <v>0</v>
      </c>
      <c r="AL338" s="33" t="n">
        <f aca="false">Source_Data!AL$11*$B$331</f>
        <v>0</v>
      </c>
      <c r="AM338" s="33" t="n">
        <f aca="false">Source_Data!AM$11*$B$331</f>
        <v>0</v>
      </c>
      <c r="AN338" s="33" t="n">
        <f aca="false">Source_Data!AN$11*$B$331</f>
        <v>0</v>
      </c>
      <c r="AO338" s="33" t="n">
        <f aca="false">Source_Data!AO$11*$B$331</f>
        <v>0</v>
      </c>
      <c r="AP338" s="33" t="n">
        <f aca="false">Source_Data!AP$11*$B$331</f>
        <v>0</v>
      </c>
      <c r="AQ338" s="33" t="n">
        <f aca="false">Source_Data!AQ$11*$B$331</f>
        <v>0</v>
      </c>
      <c r="AR338" s="33" t="n">
        <f aca="false">Source_Data!AR$11*$B$331</f>
        <v>0</v>
      </c>
      <c r="AS338" s="33" t="n">
        <f aca="false">Source_Data!AS$11*$B$331</f>
        <v>0</v>
      </c>
      <c r="AT338" s="33" t="n">
        <f aca="false">Source_Data!AT$11*$B$331</f>
        <v>0</v>
      </c>
      <c r="AU338" s="33" t="n">
        <f aca="false">Source_Data!AU$11*$B$331</f>
        <v>0</v>
      </c>
      <c r="AV338" s="33" t="n">
        <f aca="false">Source_Data!AV$11*$B$331</f>
        <v>0</v>
      </c>
      <c r="AW338" s="33" t="n">
        <f aca="false">Source_Data!AW$11*$B$331</f>
        <v>0</v>
      </c>
      <c r="AX338" s="33" t="n">
        <f aca="false">Source_Data!AX$11*$B$331</f>
        <v>0</v>
      </c>
      <c r="AY338" s="33" t="n">
        <f aca="false">Source_Data!AY$11*$B$331</f>
        <v>0</v>
      </c>
      <c r="AZ338" s="33" t="n">
        <f aca="false">Source_Data!AZ$11*$B$331</f>
        <v>0</v>
      </c>
      <c r="BA338" s="33" t="n">
        <f aca="false">Source_Data!BA$11*$B$331</f>
        <v>0</v>
      </c>
      <c r="BB338" s="33" t="n">
        <f aca="false">Source_Data!BB$11*$B$331</f>
        <v>0</v>
      </c>
      <c r="BC338" s="33" t="n">
        <f aca="false">Source_Data!BC$11*$B$331</f>
        <v>0</v>
      </c>
      <c r="BD338" s="33" t="n">
        <f aca="false">Source_Data!BD$11*$B$331</f>
        <v>0</v>
      </c>
      <c r="BE338" s="33" t="n">
        <f aca="false">Source_Data!BE$11*$B$331</f>
        <v>0</v>
      </c>
      <c r="BF338" s="33" t="n">
        <f aca="false">Source_Data!BF$11*$B$331</f>
        <v>0</v>
      </c>
      <c r="BG338" s="33" t="n">
        <f aca="false">Source_Data!BG$11*$B$331</f>
        <v>0</v>
      </c>
      <c r="BH338" s="33" t="n">
        <f aca="false">Source_Data!BH$11*$B$331</f>
        <v>0</v>
      </c>
      <c r="BI338" s="33" t="n">
        <f aca="false">Source_Data!BI$11*$B$331</f>
        <v>0</v>
      </c>
      <c r="BJ338" s="33" t="n">
        <f aca="false">Source_Data!BJ$11*$B$331</f>
        <v>0</v>
      </c>
      <c r="BK338" s="33" t="n">
        <f aca="false">Source_Data!BK$11*$B$331</f>
        <v>0</v>
      </c>
    </row>
    <row r="339" customFormat="false" ht="15" hidden="false" customHeight="false" outlineLevel="0" collapsed="false">
      <c r="A339" s="3" t="s">
        <v>196</v>
      </c>
      <c r="D339" s="33" t="n">
        <f aca="false">$B$329*IF(Source_Data!D$5-$B$330&gt;=1,INDEX(Source_Data!$D$12:$BK$12,1,Source_Data!D$5-$B$330),0)</f>
        <v>0</v>
      </c>
      <c r="E339" s="33" t="n">
        <f aca="false">$B$329*IF(Source_Data!E$5-$B$330&gt;=1,INDEX(Source_Data!$D$12:$BK$12,1,Source_Data!E$5-$B$330),0)</f>
        <v>0</v>
      </c>
      <c r="F339" s="33" t="n">
        <f aca="false">$B$329*IF(Source_Data!F$5-$B$330&gt;=1,INDEX(Source_Data!$D$12:$BK$12,1,Source_Data!F$5-$B$330),0)</f>
        <v>0</v>
      </c>
      <c r="G339" s="33" t="n">
        <f aca="false">$B$329*IF(Source_Data!G$5-$B$330&gt;=1,INDEX(Source_Data!$D$12:$BK$12,1,Source_Data!G$5-$B$330),0)</f>
        <v>0</v>
      </c>
      <c r="H339" s="33" t="n">
        <f aca="false">$B$329*IF(Source_Data!H$5-$B$330&gt;=1,INDEX(Source_Data!$D$12:$BK$12,1,Source_Data!H$5-$B$330),0)</f>
        <v>0</v>
      </c>
      <c r="I339" s="33" t="n">
        <f aca="false">$B$329*IF(Source_Data!I$5-$B$330&gt;=1,INDEX(Source_Data!$D$12:$BK$12,1,Source_Data!I$5-$B$330),0)</f>
        <v>0</v>
      </c>
      <c r="J339" s="33" t="n">
        <f aca="false">$B$329*IF(Source_Data!J$5-$B$330&gt;=1,INDEX(Source_Data!$D$12:$BK$12,1,Source_Data!J$5-$B$330),0)</f>
        <v>12.11139</v>
      </c>
      <c r="K339" s="33" t="n">
        <f aca="false">$B$329*IF(Source_Data!K$5-$B$330&gt;=1,INDEX(Source_Data!$D$12:$BK$12,1,Source_Data!K$5-$B$330),0)</f>
        <v>12.11139</v>
      </c>
      <c r="L339" s="33" t="n">
        <f aca="false">$B$329*IF(Source_Data!L$5-$B$330&gt;=1,INDEX(Source_Data!$D$12:$BK$12,1,Source_Data!L$5-$B$330),0)</f>
        <v>9.52126</v>
      </c>
      <c r="M339" s="33" t="n">
        <f aca="false">$B$329*IF(Source_Data!M$5-$B$330&gt;=1,INDEX(Source_Data!$D$12:$BK$12,1,Source_Data!M$5-$B$330),0)</f>
        <v>9.52126</v>
      </c>
      <c r="N339" s="33" t="n">
        <f aca="false">$B$329*IF(Source_Data!N$5-$B$330&gt;=1,INDEX(Source_Data!$D$12:$BK$12,1,Source_Data!N$5-$B$330),0)</f>
        <v>6.98901</v>
      </c>
      <c r="O339" s="33" t="n">
        <f aca="false">$B$329*IF(Source_Data!O$5-$B$330&gt;=1,INDEX(Source_Data!$D$12:$BK$12,1,Source_Data!O$5-$B$330),0)</f>
        <v>6.98901</v>
      </c>
      <c r="P339" s="33" t="n">
        <f aca="false">$B$329*IF(Source_Data!P$5-$B$330&gt;=1,INDEX(Source_Data!$D$12:$BK$12,1,Source_Data!P$5-$B$330),0)</f>
        <v>7.69804</v>
      </c>
      <c r="Q339" s="33" t="n">
        <f aca="false">$B$329*IF(Source_Data!Q$5-$B$330&gt;=1,INDEX(Source_Data!$D$12:$BK$12,1,Source_Data!Q$5-$B$330),0)</f>
        <v>9.2608</v>
      </c>
      <c r="R339" s="33" t="n">
        <f aca="false">$B$329*IF(Source_Data!R$5-$B$330&gt;=1,INDEX(Source_Data!$D$12:$BK$12,1,Source_Data!R$5-$B$330),0)</f>
        <v>9.2608</v>
      </c>
      <c r="S339" s="33" t="n">
        <f aca="false">$B$329*IF(Source_Data!S$5-$B$330&gt;=1,INDEX(Source_Data!$D$12:$BK$12,1,Source_Data!S$5-$B$330),0)</f>
        <v>6.6562</v>
      </c>
      <c r="T339" s="33" t="n">
        <f aca="false">$B$329*IF(Source_Data!T$5-$B$330&gt;=1,INDEX(Source_Data!$D$12:$BK$12,1,Source_Data!T$5-$B$330),0)</f>
        <v>0</v>
      </c>
      <c r="U339" s="33" t="n">
        <f aca="false">$B$329*IF(Source_Data!U$5-$B$330&gt;=1,INDEX(Source_Data!$D$12:$BK$12,1,Source_Data!U$5-$B$330),0)</f>
        <v>0</v>
      </c>
      <c r="V339" s="33" t="n">
        <f aca="false">$B$329*IF(Source_Data!V$5-$B$330&gt;=1,INDEX(Source_Data!$D$12:$BK$12,1,Source_Data!V$5-$B$330),0)</f>
        <v>0</v>
      </c>
      <c r="W339" s="33" t="n">
        <f aca="false">$B$329*IF(Source_Data!W$5-$B$330&gt;=1,INDEX(Source_Data!$D$12:$BK$12,1,Source_Data!W$5-$B$330),0)</f>
        <v>0</v>
      </c>
      <c r="X339" s="33" t="n">
        <f aca="false">$B$329*IF(Source_Data!X$5-$B$330&gt;=1,INDEX(Source_Data!$D$12:$BK$12,1,Source_Data!X$5-$B$330),0)</f>
        <v>0</v>
      </c>
      <c r="Y339" s="33" t="n">
        <f aca="false">$B$329*IF(Source_Data!Y$5-$B$330&gt;=1,INDEX(Source_Data!$D$12:$BK$12,1,Source_Data!Y$5-$B$330),0)</f>
        <v>0</v>
      </c>
      <c r="Z339" s="33" t="n">
        <f aca="false">$B$329*IF(Source_Data!Z$5-$B$330&gt;=1,INDEX(Source_Data!$D$12:$BK$12,1,Source_Data!Z$5-$B$330),0)</f>
        <v>0</v>
      </c>
      <c r="AA339" s="33" t="n">
        <f aca="false">$B$329*IF(Source_Data!AA$5-$B$330&gt;=1,INDEX(Source_Data!$D$12:$BK$12,1,Source_Data!AA$5-$B$330),0)</f>
        <v>0</v>
      </c>
      <c r="AB339" s="33" t="n">
        <f aca="false">$B$329*IF(Source_Data!AB$5-$B$330&gt;=1,INDEX(Source_Data!$D$12:$BK$12,1,Source_Data!AB$5-$B$330),0)</f>
        <v>0</v>
      </c>
      <c r="AC339" s="33" t="n">
        <f aca="false">$B$329*IF(Source_Data!AC$5-$B$330&gt;=1,INDEX(Source_Data!$D$12:$BK$12,1,Source_Data!AC$5-$B$330),0)</f>
        <v>0</v>
      </c>
      <c r="AD339" s="33" t="n">
        <f aca="false">$B$329*IF(Source_Data!AD$5-$B$330&gt;=1,INDEX(Source_Data!$D$12:$BK$12,1,Source_Data!AD$5-$B$330),0)</f>
        <v>0</v>
      </c>
      <c r="AE339" s="33" t="n">
        <f aca="false">$B$329*IF(Source_Data!AE$5-$B$330&gt;=1,INDEX(Source_Data!$D$12:$BK$12,1,Source_Data!AE$5-$B$330),0)</f>
        <v>0</v>
      </c>
      <c r="AF339" s="33" t="n">
        <f aca="false">$B$329*IF(Source_Data!AF$5-$B$330&gt;=1,INDEX(Source_Data!$D$12:$BK$12,1,Source_Data!AF$5-$B$330),0)</f>
        <v>0</v>
      </c>
      <c r="AG339" s="33" t="n">
        <f aca="false">$B$329*IF(Source_Data!AG$5-$B$330&gt;=1,INDEX(Source_Data!$D$12:$BK$12,1,Source_Data!AG$5-$B$330),0)</f>
        <v>0</v>
      </c>
      <c r="AH339" s="33" t="n">
        <f aca="false">$B$329*IF(Source_Data!AH$5-$B$330&gt;=1,INDEX(Source_Data!$D$12:$BK$12,1,Source_Data!AH$5-$B$330),0)</f>
        <v>0</v>
      </c>
      <c r="AI339" s="33" t="n">
        <f aca="false">$B$329*IF(Source_Data!AI$5-$B$330&gt;=1,INDEX(Source_Data!$D$12:$BK$12,1,Source_Data!AI$5-$B$330),0)</f>
        <v>0</v>
      </c>
      <c r="AJ339" s="33" t="n">
        <f aca="false">$B$329*IF(Source_Data!AJ$5-$B$330&gt;=1,INDEX(Source_Data!$D$12:$BK$12,1,Source_Data!AJ$5-$B$330),0)</f>
        <v>0</v>
      </c>
      <c r="AK339" s="33" t="n">
        <f aca="false">$B$329*IF(Source_Data!AK$5-$B$330&gt;=1,INDEX(Source_Data!$D$12:$BK$12,1,Source_Data!AK$5-$B$330),0)</f>
        <v>0</v>
      </c>
      <c r="AL339" s="33" t="n">
        <f aca="false">$B$329*IF(Source_Data!AL$5-$B$330&gt;=1,INDEX(Source_Data!$D$12:$BK$12,1,Source_Data!AL$5-$B$330),0)</f>
        <v>0</v>
      </c>
      <c r="AM339" s="33" t="n">
        <f aca="false">$B$329*IF(Source_Data!AM$5-$B$330&gt;=1,INDEX(Source_Data!$D$12:$BK$12,1,Source_Data!AM$5-$B$330),0)</f>
        <v>0</v>
      </c>
      <c r="AN339" s="33" t="n">
        <f aca="false">$B$329*IF(Source_Data!AN$5-$B$330&gt;=1,INDEX(Source_Data!$D$12:$BK$12,1,Source_Data!AN$5-$B$330),0)</f>
        <v>0</v>
      </c>
      <c r="AO339" s="33" t="n">
        <f aca="false">$B$329*IF(Source_Data!AO$5-$B$330&gt;=1,INDEX(Source_Data!$D$12:$BK$12,1,Source_Data!AO$5-$B$330),0)</f>
        <v>0</v>
      </c>
      <c r="AP339" s="33" t="n">
        <f aca="false">$B$329*IF(Source_Data!AP$5-$B$330&gt;=1,INDEX(Source_Data!$D$12:$BK$12,1,Source_Data!AP$5-$B$330),0)</f>
        <v>0</v>
      </c>
      <c r="AQ339" s="33" t="n">
        <f aca="false">$B$329*IF(Source_Data!AQ$5-$B$330&gt;=1,INDEX(Source_Data!$D$12:$BK$12,1,Source_Data!AQ$5-$B$330),0)</f>
        <v>0</v>
      </c>
      <c r="AR339" s="33" t="n">
        <f aca="false">$B$329*IF(Source_Data!AR$5-$B$330&gt;=1,INDEX(Source_Data!$D$12:$BK$12,1,Source_Data!AR$5-$B$330),0)</f>
        <v>0</v>
      </c>
      <c r="AS339" s="33" t="n">
        <f aca="false">$B$329*IF(Source_Data!AS$5-$B$330&gt;=1,INDEX(Source_Data!$D$12:$BK$12,1,Source_Data!AS$5-$B$330),0)</f>
        <v>0</v>
      </c>
      <c r="AT339" s="33" t="n">
        <f aca="false">$B$329*IF(Source_Data!AT$5-$B$330&gt;=1,INDEX(Source_Data!$D$12:$BK$12,1,Source_Data!AT$5-$B$330),0)</f>
        <v>0</v>
      </c>
      <c r="AU339" s="33" t="n">
        <f aca="false">$B$329*IF(Source_Data!AU$5-$B$330&gt;=1,INDEX(Source_Data!$D$12:$BK$12,1,Source_Data!AU$5-$B$330),0)</f>
        <v>0</v>
      </c>
      <c r="AV339" s="33" t="n">
        <f aca="false">$B$329*IF(Source_Data!AV$5-$B$330&gt;=1,INDEX(Source_Data!$D$12:$BK$12,1,Source_Data!AV$5-$B$330),0)</f>
        <v>0</v>
      </c>
      <c r="AW339" s="33" t="n">
        <f aca="false">$B$329*IF(Source_Data!AW$5-$B$330&gt;=1,INDEX(Source_Data!$D$12:$BK$12,1,Source_Data!AW$5-$B$330),0)</f>
        <v>0</v>
      </c>
      <c r="AX339" s="33" t="n">
        <f aca="false">$B$329*IF(Source_Data!AX$5-$B$330&gt;=1,INDEX(Source_Data!$D$12:$BK$12,1,Source_Data!AX$5-$B$330),0)</f>
        <v>0</v>
      </c>
      <c r="AY339" s="33" t="n">
        <f aca="false">$B$329*IF(Source_Data!AY$5-$B$330&gt;=1,INDEX(Source_Data!$D$12:$BK$12,1,Source_Data!AY$5-$B$330),0)</f>
        <v>0</v>
      </c>
      <c r="AZ339" s="33" t="n">
        <f aca="false">$B$329*IF(Source_Data!AZ$5-$B$330&gt;=1,INDEX(Source_Data!$D$12:$BK$12,1,Source_Data!AZ$5-$B$330),0)</f>
        <v>0</v>
      </c>
      <c r="BA339" s="33" t="n">
        <f aca="false">$B$329*IF(Source_Data!BA$5-$B$330&gt;=1,INDEX(Source_Data!$D$12:$BK$12,1,Source_Data!BA$5-$B$330),0)</f>
        <v>0</v>
      </c>
      <c r="BB339" s="33" t="n">
        <f aca="false">$B$329*IF(Source_Data!BB$5-$B$330&gt;=1,INDEX(Source_Data!$D$12:$BK$12,1,Source_Data!BB$5-$B$330),0)</f>
        <v>0</v>
      </c>
      <c r="BC339" s="33" t="n">
        <f aca="false">$B$329*IF(Source_Data!BC$5-$B$330&gt;=1,INDEX(Source_Data!$D$12:$BK$12,1,Source_Data!BC$5-$B$330),0)</f>
        <v>0</v>
      </c>
      <c r="BD339" s="33" t="n">
        <f aca="false">$B$329*IF(Source_Data!BD$5-$B$330&gt;=1,INDEX(Source_Data!$D$12:$BK$12,1,Source_Data!BD$5-$B$330),0)</f>
        <v>0</v>
      </c>
      <c r="BE339" s="33" t="n">
        <f aca="false">$B$329*IF(Source_Data!BE$5-$B$330&gt;=1,INDEX(Source_Data!$D$12:$BK$12,1,Source_Data!BE$5-$B$330),0)</f>
        <v>0</v>
      </c>
      <c r="BF339" s="33" t="n">
        <f aca="false">$B$329*IF(Source_Data!BF$5-$B$330&gt;=1,INDEX(Source_Data!$D$12:$BK$12,1,Source_Data!BF$5-$B$330),0)</f>
        <v>0</v>
      </c>
      <c r="BG339" s="33" t="n">
        <f aca="false">$B$329*IF(Source_Data!BG$5-$B$330&gt;=1,INDEX(Source_Data!$D$12:$BK$12,1,Source_Data!BG$5-$B$330),0)</f>
        <v>0</v>
      </c>
      <c r="BH339" s="33" t="n">
        <f aca="false">$B$329*IF(Source_Data!BH$5-$B$330&gt;=1,INDEX(Source_Data!$D$12:$BK$12,1,Source_Data!BH$5-$B$330),0)</f>
        <v>0</v>
      </c>
      <c r="BI339" s="33" t="n">
        <f aca="false">$B$329*IF(Source_Data!BI$5-$B$330&gt;=1,INDEX(Source_Data!$D$12:$BK$12,1,Source_Data!BI$5-$B$330),0)</f>
        <v>0</v>
      </c>
      <c r="BJ339" s="33" t="n">
        <f aca="false">$B$329*IF(Source_Data!BJ$5-$B$330&gt;=1,INDEX(Source_Data!$D$12:$BK$12,1,Source_Data!BJ$5-$B$330),0)</f>
        <v>0</v>
      </c>
      <c r="BK339" s="33" t="n">
        <f aca="false">$B$329*IF(Source_Data!BK$5-$B$330&gt;=1,INDEX(Source_Data!$D$12:$BK$12,1,Source_Data!BK$5-$B$330),0)</f>
        <v>0</v>
      </c>
    </row>
    <row r="340" customFormat="false" ht="15" hidden="false" customHeight="false" outlineLevel="0" collapsed="false">
      <c r="A340" s="3" t="s">
        <v>215</v>
      </c>
      <c r="D340" s="33" t="n">
        <f aca="false">Source_Data!D$13*$B$331</f>
        <v>0</v>
      </c>
      <c r="E340" s="33" t="n">
        <f aca="false">Source_Data!E$13*$B$331</f>
        <v>0</v>
      </c>
      <c r="F340" s="33" t="n">
        <f aca="false">Source_Data!F$13*$B$331</f>
        <v>0</v>
      </c>
      <c r="G340" s="33" t="n">
        <f aca="false">Source_Data!G$13*$B$331</f>
        <v>0</v>
      </c>
      <c r="H340" s="33" t="n">
        <f aca="false">Source_Data!H$13*$B$331</f>
        <v>3.6</v>
      </c>
      <c r="I340" s="33" t="n">
        <f aca="false">Source_Data!I$13*$B$331</f>
        <v>4.752</v>
      </c>
      <c r="J340" s="33" t="n">
        <f aca="false">Source_Data!J$13*$B$331</f>
        <v>7.2</v>
      </c>
      <c r="K340" s="33" t="n">
        <f aca="false">Source_Data!K$13*$B$331</f>
        <v>4.752</v>
      </c>
      <c r="L340" s="33" t="n">
        <f aca="false">Source_Data!L$13*$B$331</f>
        <v>4.752</v>
      </c>
      <c r="M340" s="33" t="n">
        <f aca="false">Source_Data!M$13*$B$331</f>
        <v>4.752</v>
      </c>
      <c r="N340" s="33" t="n">
        <f aca="false">Source_Data!N$13*$B$331</f>
        <v>0.9504</v>
      </c>
      <c r="O340" s="33" t="n">
        <f aca="false">Source_Data!O$13*$B$331</f>
        <v>0.9504</v>
      </c>
      <c r="P340" s="33" t="n">
        <f aca="false">Source_Data!P$13*$B$331</f>
        <v>21.6</v>
      </c>
      <c r="Q340" s="33" t="n">
        <f aca="false">Source_Data!Q$13*$B$331</f>
        <v>21.6</v>
      </c>
      <c r="R340" s="33" t="n">
        <f aca="false">Source_Data!R$13*$B$331</f>
        <v>29.52</v>
      </c>
      <c r="S340" s="33" t="n">
        <f aca="false">Source_Data!S$13*$B$331</f>
        <v>21.06</v>
      </c>
      <c r="T340" s="33" t="n">
        <f aca="false">Source_Data!T$13*$B$331</f>
        <v>0</v>
      </c>
      <c r="U340" s="33" t="n">
        <f aca="false">Source_Data!U$13*$B$331</f>
        <v>0</v>
      </c>
      <c r="V340" s="33" t="n">
        <f aca="false">Source_Data!V$13*$B$331</f>
        <v>0</v>
      </c>
      <c r="W340" s="33" t="n">
        <f aca="false">Source_Data!W$13*$B$331</f>
        <v>0</v>
      </c>
      <c r="X340" s="33" t="n">
        <f aca="false">Source_Data!X$13*$B$331</f>
        <v>0</v>
      </c>
      <c r="Y340" s="33" t="n">
        <f aca="false">Source_Data!Y$13*$B$331</f>
        <v>0</v>
      </c>
      <c r="Z340" s="33" t="n">
        <f aca="false">Source_Data!Z$13*$B$331</f>
        <v>0</v>
      </c>
      <c r="AA340" s="33" t="n">
        <f aca="false">Source_Data!AA$13*$B$331</f>
        <v>0</v>
      </c>
      <c r="AB340" s="33" t="n">
        <f aca="false">Source_Data!AB$13*$B$331</f>
        <v>0</v>
      </c>
      <c r="AC340" s="33" t="n">
        <f aca="false">Source_Data!AC$13*$B$331</f>
        <v>0</v>
      </c>
      <c r="AD340" s="33" t="n">
        <f aca="false">Source_Data!AD$13*$B$331</f>
        <v>0</v>
      </c>
      <c r="AE340" s="33" t="n">
        <f aca="false">Source_Data!AE$13*$B$331</f>
        <v>0</v>
      </c>
      <c r="AF340" s="33" t="n">
        <f aca="false">Source_Data!AF$13*$B$331</f>
        <v>0</v>
      </c>
      <c r="AG340" s="33" t="n">
        <f aca="false">Source_Data!AG$13*$B$331</f>
        <v>0</v>
      </c>
      <c r="AH340" s="33" t="n">
        <f aca="false">Source_Data!AH$13*$B$331</f>
        <v>0</v>
      </c>
      <c r="AI340" s="33" t="n">
        <f aca="false">Source_Data!AI$13*$B$331</f>
        <v>0</v>
      </c>
      <c r="AJ340" s="33" t="n">
        <f aca="false">Source_Data!AJ$13*$B$331</f>
        <v>0</v>
      </c>
      <c r="AK340" s="33" t="n">
        <f aca="false">Source_Data!AK$13*$B$331</f>
        <v>0</v>
      </c>
      <c r="AL340" s="33" t="n">
        <f aca="false">Source_Data!AL$13*$B$331</f>
        <v>0</v>
      </c>
      <c r="AM340" s="33" t="n">
        <f aca="false">Source_Data!AM$13*$B$331</f>
        <v>0</v>
      </c>
      <c r="AN340" s="33" t="n">
        <f aca="false">Source_Data!AN$13*$B$331</f>
        <v>0</v>
      </c>
      <c r="AO340" s="33" t="n">
        <f aca="false">Source_Data!AO$13*$B$331</f>
        <v>0</v>
      </c>
      <c r="AP340" s="33" t="n">
        <f aca="false">Source_Data!AP$13*$B$331</f>
        <v>0</v>
      </c>
      <c r="AQ340" s="33" t="n">
        <f aca="false">Source_Data!AQ$13*$B$331</f>
        <v>0</v>
      </c>
      <c r="AR340" s="33" t="n">
        <f aca="false">Source_Data!AR$13*$B$331</f>
        <v>0</v>
      </c>
      <c r="AS340" s="33" t="n">
        <f aca="false">Source_Data!AS$13*$B$331</f>
        <v>0</v>
      </c>
      <c r="AT340" s="33" t="n">
        <f aca="false">Source_Data!AT$13*$B$331</f>
        <v>0</v>
      </c>
      <c r="AU340" s="33" t="n">
        <f aca="false">Source_Data!AU$13*$B$331</f>
        <v>0</v>
      </c>
      <c r="AV340" s="33" t="n">
        <f aca="false">Source_Data!AV$13*$B$331</f>
        <v>0</v>
      </c>
      <c r="AW340" s="33" t="n">
        <f aca="false">Source_Data!AW$13*$B$331</f>
        <v>0</v>
      </c>
      <c r="AX340" s="33" t="n">
        <f aca="false">Source_Data!AX$13*$B$331</f>
        <v>0</v>
      </c>
      <c r="AY340" s="33" t="n">
        <f aca="false">Source_Data!AY$13*$B$331</f>
        <v>0</v>
      </c>
      <c r="AZ340" s="33" t="n">
        <f aca="false">Source_Data!AZ$13*$B$331</f>
        <v>0</v>
      </c>
      <c r="BA340" s="33" t="n">
        <f aca="false">Source_Data!BA$13*$B$331</f>
        <v>0</v>
      </c>
      <c r="BB340" s="33" t="n">
        <f aca="false">Source_Data!BB$13*$B$331</f>
        <v>0</v>
      </c>
      <c r="BC340" s="33" t="n">
        <f aca="false">Source_Data!BC$13*$B$331</f>
        <v>0</v>
      </c>
      <c r="BD340" s="33" t="n">
        <f aca="false">Source_Data!BD$13*$B$331</f>
        <v>0</v>
      </c>
      <c r="BE340" s="33" t="n">
        <f aca="false">Source_Data!BE$13*$B$331</f>
        <v>0</v>
      </c>
      <c r="BF340" s="33" t="n">
        <f aca="false">Source_Data!BF$13*$B$331</f>
        <v>0</v>
      </c>
      <c r="BG340" s="33" t="n">
        <f aca="false">Source_Data!BG$13*$B$331</f>
        <v>0</v>
      </c>
      <c r="BH340" s="33" t="n">
        <f aca="false">Source_Data!BH$13*$B$331</f>
        <v>0</v>
      </c>
      <c r="BI340" s="33" t="n">
        <f aca="false">Source_Data!BI$13*$B$331</f>
        <v>0</v>
      </c>
      <c r="BJ340" s="33" t="n">
        <f aca="false">Source_Data!BJ$13*$B$331</f>
        <v>0</v>
      </c>
      <c r="BK340" s="33" t="n">
        <f aca="false">Source_Data!BK$13*$B$331</f>
        <v>0</v>
      </c>
    </row>
    <row r="341" customFormat="false" ht="15" hidden="false" customHeight="false" outlineLevel="0" collapsed="false">
      <c r="A341" s="2" t="s">
        <v>216</v>
      </c>
      <c r="D341" s="33" t="n">
        <f aca="false">D336-D337-D338-D339-D340</f>
        <v>-91.25</v>
      </c>
      <c r="E341" s="33" t="n">
        <f aca="false">E336-E337-E338-E339-E340</f>
        <v>-11.25</v>
      </c>
      <c r="F341" s="33" t="n">
        <f aca="false">F336-F337-F338-F339-F340</f>
        <v>3.8892375</v>
      </c>
      <c r="G341" s="33" t="n">
        <f aca="false">G336-G337-G338-G339-G340</f>
        <v>19.028475</v>
      </c>
      <c r="H341" s="33" t="n">
        <f aca="false">H336-H337-H338-H339-H340</f>
        <v>-3.58799375</v>
      </c>
      <c r="I341" s="33" t="n">
        <f aca="false">I336-I337-I338-I339-I340</f>
        <v>3.8135375</v>
      </c>
      <c r="J341" s="33" t="n">
        <f aca="false">J336-J337-J338-J339-J340</f>
        <v>-27.44569</v>
      </c>
      <c r="K341" s="33" t="n">
        <f aca="false">K336-K337-K338-K339-K340</f>
        <v>-7.56983062499999</v>
      </c>
      <c r="L341" s="33" t="n">
        <f aca="false">L336-L337-L338-L339-L340</f>
        <v>0.625588437500017</v>
      </c>
      <c r="M341" s="33" t="n">
        <f aca="false">M336-M337-M338-M339-M340</f>
        <v>415.5505775</v>
      </c>
      <c r="N341" s="33" t="n">
        <f aca="false">N336-N337-N338-N339-N340</f>
        <v>137.55234</v>
      </c>
      <c r="O341" s="33" t="n">
        <f aca="false">O336-O337-O338-O339-O340</f>
        <v>128.50859</v>
      </c>
      <c r="P341" s="33" t="n">
        <f aca="false">P336-P337-P338-P339-P340</f>
        <v>-120.98729</v>
      </c>
      <c r="Q341" s="33" t="n">
        <f aca="false">Q336-Q337-Q338-Q339-Q340</f>
        <v>-148.55083125</v>
      </c>
      <c r="R341" s="33" t="n">
        <f aca="false">R336-R337-R338-R339-R340</f>
        <v>-209.27083125</v>
      </c>
      <c r="S341" s="33" t="n">
        <f aca="false">S336-S337-S338-S339-S340</f>
        <v>-145.079164375</v>
      </c>
      <c r="T341" s="33" t="n">
        <f aca="false">T336-T337-T338-T339-T340</f>
        <v>16.2266396875</v>
      </c>
      <c r="U341" s="33" t="n">
        <f aca="false">U336-U337-U338-U339-U340</f>
        <v>14.7127159375</v>
      </c>
      <c r="V341" s="33" t="n">
        <f aca="false">V336-V337-V338-V339-V340</f>
        <v>8.7239446875</v>
      </c>
      <c r="W341" s="33" t="n">
        <f aca="false">W336-W337-W338-W339-W340</f>
        <v>4.3829446875</v>
      </c>
      <c r="X341" s="33" t="n">
        <f aca="false">X336-X337-X338-X339-X340</f>
        <v>26.8829446875</v>
      </c>
      <c r="Y341" s="33" t="n">
        <f aca="false">Y336-Y337-Y338-Y339-Y340</f>
        <v>19.6027259375</v>
      </c>
      <c r="Z341" s="33" t="n">
        <f aca="false">Z336-Z337-Z338-Z339-Z340</f>
        <v>19.6027259375</v>
      </c>
      <c r="AA341" s="33" t="n">
        <f aca="false">AA336-AA337-AA338-AA339-AA340</f>
        <v>19.6027259375</v>
      </c>
      <c r="AB341" s="33" t="n">
        <f aca="false">AB336-AB337-AB338-AB339-AB340</f>
        <v>36.3147259375</v>
      </c>
      <c r="AC341" s="33" t="n">
        <f aca="false">AC336-AC337-AC338-AC339-AC340</f>
        <v>33.0386275</v>
      </c>
      <c r="AD341" s="33" t="n">
        <f aca="false">AD336-AD337-AD338-AD339-AD340</f>
        <v>29.43017125</v>
      </c>
      <c r="AE341" s="33" t="n">
        <f aca="false">AE336-AE337-AE338-AE339-AE340</f>
        <v>25.08917125</v>
      </c>
      <c r="AF341" s="33" t="n">
        <f aca="false">AF336-AF337-AF338-AF339-AF340</f>
        <v>-82.6690391015625</v>
      </c>
      <c r="AG341" s="33" t="n">
        <f aca="false">AG336-AG337-AG338-AG339-AG340</f>
        <v>14.112658828125</v>
      </c>
      <c r="AH341" s="33" t="n">
        <f aca="false">AH336-AH337-AH338-AH339-AH340</f>
        <v>14.112658828125</v>
      </c>
      <c r="AI341" s="33" t="n">
        <f aca="false">AI336-AI337-AI338-AI339-AI340</f>
        <v>14.112658828125</v>
      </c>
      <c r="AJ341" s="33" t="n">
        <f aca="false">AJ336-AJ337-AJ338-AJ339-AJ340</f>
        <v>14.112658828125</v>
      </c>
      <c r="AK341" s="33" t="n">
        <f aca="false">AK336-AK337-AK338-AK339-AK340</f>
        <v>12.8841219140625</v>
      </c>
      <c r="AL341" s="33" t="n">
        <f aca="false">AL336-AL337-AL338-AL339-AL340</f>
        <v>12.8841219140625</v>
      </c>
      <c r="AM341" s="33" t="n">
        <f aca="false">AM336-AM337-AM338-AM339-AM340</f>
        <v>10.5409993359375</v>
      </c>
      <c r="AN341" s="33" t="n">
        <f aca="false">AN336-AN337-AN338-AN339-AN340</f>
        <v>5.41471921875</v>
      </c>
      <c r="AO341" s="33" t="n">
        <f aca="false">AO336-AO337-AO338-AO339-AO340</f>
        <v>2.00839078125</v>
      </c>
      <c r="AP341" s="33" t="n">
        <f aca="false">AP336-AP337-AP338-AP339-AP340</f>
        <v>0</v>
      </c>
      <c r="AQ341" s="33" t="n">
        <f aca="false">AQ336-AQ337-AQ338-AQ339-AQ340</f>
        <v>0</v>
      </c>
      <c r="AR341" s="33" t="n">
        <f aca="false">AR336-AR337-AR338-AR339-AR340</f>
        <v>0</v>
      </c>
      <c r="AS341" s="33" t="n">
        <f aca="false">AS336-AS337-AS338-AS339-AS340</f>
        <v>0</v>
      </c>
      <c r="AT341" s="33" t="n">
        <f aca="false">AT336-AT337-AT338-AT339-AT340</f>
        <v>0</v>
      </c>
      <c r="AU341" s="33" t="n">
        <f aca="false">AU336-AU337-AU338-AU339-AU340</f>
        <v>0</v>
      </c>
      <c r="AV341" s="33" t="n">
        <f aca="false">AV336-AV337-AV338-AV339-AV340</f>
        <v>0</v>
      </c>
      <c r="AW341" s="33" t="n">
        <f aca="false">AW336-AW337-AW338-AW339-AW340</f>
        <v>0</v>
      </c>
      <c r="AX341" s="33" t="n">
        <f aca="false">AX336-AX337-AX338-AX339-AX340</f>
        <v>0</v>
      </c>
      <c r="AY341" s="33" t="n">
        <f aca="false">AY336-AY337-AY338-AY339-AY340</f>
        <v>0</v>
      </c>
      <c r="AZ341" s="33" t="n">
        <f aca="false">AZ336-AZ337-AZ338-AZ339-AZ340</f>
        <v>0</v>
      </c>
      <c r="BA341" s="33" t="n">
        <f aca="false">BA336-BA337-BA338-BA339-BA340</f>
        <v>0</v>
      </c>
      <c r="BB341" s="33" t="n">
        <f aca="false">BB336-BB337-BB338-BB339-BB340</f>
        <v>0</v>
      </c>
      <c r="BC341" s="33" t="n">
        <f aca="false">BC336-BC337-BC338-BC339-BC340</f>
        <v>0</v>
      </c>
      <c r="BD341" s="33" t="n">
        <f aca="false">BD336-BD337-BD338-BD339-BD340</f>
        <v>0</v>
      </c>
      <c r="BE341" s="33" t="n">
        <f aca="false">BE336-BE337-BE338-BE339-BE340</f>
        <v>0</v>
      </c>
      <c r="BF341" s="33" t="n">
        <f aca="false">BF336-BF337-BF338-BF339-BF340</f>
        <v>0</v>
      </c>
      <c r="BG341" s="33" t="n">
        <f aca="false">BG336-BG337-BG338-BG339-BG340</f>
        <v>0</v>
      </c>
      <c r="BH341" s="33" t="n">
        <f aca="false">BH336-BH337-BH338-BH339-BH340</f>
        <v>0</v>
      </c>
      <c r="BI341" s="33" t="n">
        <f aca="false">BI336-BI337-BI338-BI339-BI340</f>
        <v>0</v>
      </c>
      <c r="BJ341" s="33" t="n">
        <f aca="false">BJ336-BJ337-BJ338-BJ339-BJ340</f>
        <v>0</v>
      </c>
      <c r="BK341" s="33" t="n">
        <f aca="false">BK336-BK337-BK338-BK339-BK340</f>
        <v>0</v>
      </c>
    </row>
    <row r="342" customFormat="false" ht="15" hidden="false" customHeight="false" outlineLevel="0" collapsed="false">
      <c r="A342" s="2" t="s">
        <v>217</v>
      </c>
      <c r="D342" s="33" t="n">
        <f aca="false">D341</f>
        <v>-91.25</v>
      </c>
      <c r="E342" s="33" t="n">
        <f aca="false">D342+E341</f>
        <v>-102.5</v>
      </c>
      <c r="F342" s="33" t="n">
        <f aca="false">E342+F341</f>
        <v>-98.6107625</v>
      </c>
      <c r="G342" s="33" t="n">
        <f aca="false">F342+G341</f>
        <v>-79.5822875</v>
      </c>
      <c r="H342" s="33" t="n">
        <f aca="false">G342+H341</f>
        <v>-83.17028125</v>
      </c>
      <c r="I342" s="33" t="n">
        <f aca="false">H342+I341</f>
        <v>-79.35674375</v>
      </c>
      <c r="J342" s="33" t="n">
        <f aca="false">I342+J341</f>
        <v>-106.80243375</v>
      </c>
      <c r="K342" s="33" t="n">
        <f aca="false">J342+K341</f>
        <v>-114.372264375</v>
      </c>
      <c r="L342" s="33" t="n">
        <f aca="false">K342+L341</f>
        <v>-113.7466759375</v>
      </c>
      <c r="M342" s="33" t="n">
        <f aca="false">L342+M341</f>
        <v>301.8039015625</v>
      </c>
      <c r="N342" s="33" t="n">
        <f aca="false">M342+N341</f>
        <v>439.3562415625</v>
      </c>
      <c r="O342" s="33" t="n">
        <f aca="false">N342+O341</f>
        <v>567.8648315625</v>
      </c>
      <c r="P342" s="33" t="n">
        <f aca="false">O342+P341</f>
        <v>446.8775415625</v>
      </c>
      <c r="Q342" s="33" t="n">
        <f aca="false">P342+Q341</f>
        <v>298.3267103125</v>
      </c>
      <c r="R342" s="33" t="n">
        <f aca="false">Q342+R341</f>
        <v>89.0558790624998</v>
      </c>
      <c r="S342" s="33" t="n">
        <f aca="false">R342+S341</f>
        <v>-56.0232853125002</v>
      </c>
      <c r="T342" s="33" t="n">
        <f aca="false">S342+T341</f>
        <v>-39.7966456250002</v>
      </c>
      <c r="U342" s="33" t="n">
        <f aca="false">T342+U341</f>
        <v>-25.0839296875002</v>
      </c>
      <c r="V342" s="33" t="n">
        <f aca="false">U342+V341</f>
        <v>-16.3599850000002</v>
      </c>
      <c r="W342" s="33" t="n">
        <f aca="false">V342+W341</f>
        <v>-11.9770403125002</v>
      </c>
      <c r="X342" s="33" t="n">
        <f aca="false">W342+X341</f>
        <v>14.9059043749998</v>
      </c>
      <c r="Y342" s="33" t="n">
        <f aca="false">X342+Y341</f>
        <v>34.5086303124998</v>
      </c>
      <c r="Z342" s="33" t="n">
        <f aca="false">Y342+Z341</f>
        <v>54.1113562499998</v>
      </c>
      <c r="AA342" s="33" t="n">
        <f aca="false">Z342+AA341</f>
        <v>73.7140821874998</v>
      </c>
      <c r="AB342" s="33" t="n">
        <f aca="false">AA342+AB341</f>
        <v>110.028808125</v>
      </c>
      <c r="AC342" s="33" t="n">
        <f aca="false">AB342+AC341</f>
        <v>143.067435625</v>
      </c>
      <c r="AD342" s="33" t="n">
        <f aca="false">AC342+AD341</f>
        <v>172.497606875</v>
      </c>
      <c r="AE342" s="33" t="n">
        <f aca="false">AD342+AE341</f>
        <v>197.586778125</v>
      </c>
      <c r="AF342" s="33" t="n">
        <f aca="false">AE342+AF341</f>
        <v>114.917739023437</v>
      </c>
      <c r="AG342" s="33" t="n">
        <f aca="false">AF342+AG341</f>
        <v>129.030397851562</v>
      </c>
      <c r="AH342" s="33" t="n">
        <f aca="false">AG342+AH341</f>
        <v>143.143056679687</v>
      </c>
      <c r="AI342" s="33" t="n">
        <f aca="false">AH342+AI341</f>
        <v>157.255715507812</v>
      </c>
      <c r="AJ342" s="33" t="n">
        <f aca="false">AI342+AJ341</f>
        <v>171.368374335937</v>
      </c>
      <c r="AK342" s="33" t="n">
        <f aca="false">AJ342+AK341</f>
        <v>184.25249625</v>
      </c>
      <c r="AL342" s="33" t="n">
        <f aca="false">AK342+AL341</f>
        <v>197.136618164062</v>
      </c>
      <c r="AM342" s="33" t="n">
        <f aca="false">AL342+AM341</f>
        <v>207.6776175</v>
      </c>
      <c r="AN342" s="33" t="n">
        <f aca="false">AM342+AN341</f>
        <v>213.09233671875</v>
      </c>
      <c r="AO342" s="33" t="n">
        <f aca="false">AN342+AO341</f>
        <v>215.1007275</v>
      </c>
      <c r="AP342" s="33" t="n">
        <f aca="false">AO342+AP341</f>
        <v>215.1007275</v>
      </c>
      <c r="AQ342" s="33" t="n">
        <f aca="false">AP342+AQ341</f>
        <v>215.1007275</v>
      </c>
      <c r="AR342" s="33" t="n">
        <f aca="false">AQ342+AR341</f>
        <v>215.1007275</v>
      </c>
      <c r="AS342" s="33" t="n">
        <f aca="false">AR342+AS341</f>
        <v>215.1007275</v>
      </c>
      <c r="AT342" s="33" t="n">
        <f aca="false">AS342+AT341</f>
        <v>215.1007275</v>
      </c>
      <c r="AU342" s="33" t="n">
        <f aca="false">AT342+AU341</f>
        <v>215.1007275</v>
      </c>
      <c r="AV342" s="33" t="n">
        <f aca="false">AU342+AV341</f>
        <v>215.1007275</v>
      </c>
      <c r="AW342" s="33" t="n">
        <f aca="false">AV342+AW341</f>
        <v>215.1007275</v>
      </c>
      <c r="AX342" s="33" t="n">
        <f aca="false">AW342+AX341</f>
        <v>215.1007275</v>
      </c>
      <c r="AY342" s="33" t="n">
        <f aca="false">AX342+AY341</f>
        <v>215.1007275</v>
      </c>
      <c r="AZ342" s="33" t="n">
        <f aca="false">AY342+AZ341</f>
        <v>215.1007275</v>
      </c>
      <c r="BA342" s="33" t="n">
        <f aca="false">AZ342+BA341</f>
        <v>215.1007275</v>
      </c>
      <c r="BB342" s="33" t="n">
        <f aca="false">BA342+BB341</f>
        <v>215.1007275</v>
      </c>
      <c r="BC342" s="33" t="n">
        <f aca="false">BB342+BC341</f>
        <v>215.1007275</v>
      </c>
      <c r="BD342" s="33" t="n">
        <f aca="false">BC342+BD341</f>
        <v>215.1007275</v>
      </c>
      <c r="BE342" s="33" t="n">
        <f aca="false">BD342+BE341</f>
        <v>215.1007275</v>
      </c>
      <c r="BF342" s="33" t="n">
        <f aca="false">BE342+BF341</f>
        <v>215.1007275</v>
      </c>
      <c r="BG342" s="33" t="n">
        <f aca="false">BF342+BG341</f>
        <v>215.1007275</v>
      </c>
      <c r="BH342" s="33" t="n">
        <f aca="false">BG342+BH341</f>
        <v>215.1007275</v>
      </c>
      <c r="BI342" s="33" t="n">
        <f aca="false">BH342+BI341</f>
        <v>215.1007275</v>
      </c>
      <c r="BJ342" s="33" t="n">
        <f aca="false">BI342+BJ341</f>
        <v>215.1007275</v>
      </c>
      <c r="BK342" s="33" t="n">
        <f aca="false">BJ342+BK341</f>
        <v>215.1007275</v>
      </c>
    </row>
    <row r="343" customFormat="false" ht="15" hidden="false" customHeight="false" outlineLevel="0" collapsed="false">
      <c r="A343" s="3" t="s">
        <v>340</v>
      </c>
      <c r="D343" s="33" t="n">
        <f aca="false">IF(Source_Data!D$6=Inputs!$B$12,-Inputs!$B$7,0)+IF(AND(Source_Data!D$6&gt;=$B$334,Source_Data!D$6&lt;$B$334+3*Inputs!$B$16,MOD(Source_Data!D$6-$B$334,3)=0),Inputs!$B$8*Inputs!$B$7*Inputs!$B$34*$B$329*(1-Inputs!$B$15)/Inputs!$B$16,0)</f>
        <v>-100</v>
      </c>
      <c r="E343" s="33" t="n">
        <f aca="false">IF(Source_Data!E$6=Inputs!$B$12,-Inputs!$B$7,0)+IF(AND(Source_Data!E$6&gt;=$B$334,Source_Data!E$6&lt;$B$334+3*Inputs!$B$16,MOD(Source_Data!E$6-$B$334,3)=0),Inputs!$B$8*Inputs!$B$7*Inputs!$B$34*$B$329*(1-Inputs!$B$15)/Inputs!$B$16,0)</f>
        <v>0</v>
      </c>
      <c r="F343" s="33" t="n">
        <f aca="false">IF(Source_Data!F$6=Inputs!$B$12,-Inputs!$B$7,0)+IF(AND(Source_Data!F$6&gt;=$B$334,Source_Data!F$6&lt;$B$334+3*Inputs!$B$16,MOD(Source_Data!F$6-$B$334,3)=0),Inputs!$B$8*Inputs!$B$7*Inputs!$B$34*$B$329*(1-Inputs!$B$15)/Inputs!$B$16,0)</f>
        <v>0</v>
      </c>
      <c r="G343" s="33" t="n">
        <f aca="false">IF(Source_Data!G$6=Inputs!$B$12,-Inputs!$B$7,0)+IF(AND(Source_Data!G$6&gt;=$B$334,Source_Data!G$6&lt;$B$334+3*Inputs!$B$16,MOD(Source_Data!G$6-$B$334,3)=0),Inputs!$B$8*Inputs!$B$7*Inputs!$B$34*$B$329*(1-Inputs!$B$15)/Inputs!$B$16,0)</f>
        <v>0</v>
      </c>
      <c r="H343" s="33" t="n">
        <f aca="false">IF(Source_Data!H$6=Inputs!$B$12,-Inputs!$B$7,0)+IF(AND(Source_Data!H$6&gt;=$B$334,Source_Data!H$6&lt;$B$334+3*Inputs!$B$16,MOD(Source_Data!H$6-$B$334,3)=0),Inputs!$B$8*Inputs!$B$7*Inputs!$B$34*$B$329*(1-Inputs!$B$15)/Inputs!$B$16,0)</f>
        <v>0</v>
      </c>
      <c r="I343" s="33" t="n">
        <f aca="false">IF(Source_Data!I$6=Inputs!$B$12,-Inputs!$B$7,0)+IF(AND(Source_Data!I$6&gt;=$B$334,Source_Data!I$6&lt;$B$334+3*Inputs!$B$16,MOD(Source_Data!I$6-$B$334,3)=0),Inputs!$B$8*Inputs!$B$7*Inputs!$B$34*$B$329*(1-Inputs!$B$15)/Inputs!$B$16,0)</f>
        <v>0</v>
      </c>
      <c r="J343" s="33" t="n">
        <f aca="false">IF(Source_Data!J$6=Inputs!$B$12,-Inputs!$B$7,0)+IF(AND(Source_Data!J$6&gt;=$B$334,Source_Data!J$6&lt;$B$334+3*Inputs!$B$16,MOD(Source_Data!J$6-$B$334,3)=0),Inputs!$B$8*Inputs!$B$7*Inputs!$B$34*$B$329*(1-Inputs!$B$15)/Inputs!$B$16,0)</f>
        <v>0</v>
      </c>
      <c r="K343" s="33" t="n">
        <f aca="false">IF(Source_Data!K$6=Inputs!$B$12,-Inputs!$B$7,0)+IF(AND(Source_Data!K$6&gt;=$B$334,Source_Data!K$6&lt;$B$334+3*Inputs!$B$16,MOD(Source_Data!K$6-$B$334,3)=0),Inputs!$B$8*Inputs!$B$7*Inputs!$B$34*$B$329*(1-Inputs!$B$15)/Inputs!$B$16,0)</f>
        <v>0</v>
      </c>
      <c r="L343" s="33" t="n">
        <f aca="false">IF(Source_Data!L$6=Inputs!$B$12,-Inputs!$B$7,0)+IF(AND(Source_Data!L$6&gt;=$B$334,Source_Data!L$6&lt;$B$334+3*Inputs!$B$16,MOD(Source_Data!L$6-$B$334,3)=0),Inputs!$B$8*Inputs!$B$7*Inputs!$B$34*$B$329*(1-Inputs!$B$15)/Inputs!$B$16,0)</f>
        <v>0</v>
      </c>
      <c r="M343" s="33" t="n">
        <f aca="false">IF(Source_Data!M$6=Inputs!$B$12,-Inputs!$B$7,0)+IF(AND(Source_Data!M$6&gt;=$B$334,Source_Data!M$6&lt;$B$334+3*Inputs!$B$16,MOD(Source_Data!M$6-$B$334,3)=0),Inputs!$B$8*Inputs!$B$7*Inputs!$B$34*$B$329*(1-Inputs!$B$15)/Inputs!$B$16,0)</f>
        <v>0</v>
      </c>
      <c r="N343" s="33" t="n">
        <f aca="false">IF(Source_Data!N$6=Inputs!$B$12,-Inputs!$B$7,0)+IF(AND(Source_Data!N$6&gt;=$B$334,Source_Data!N$6&lt;$B$334+3*Inputs!$B$16,MOD(Source_Data!N$6-$B$334,3)=0),Inputs!$B$8*Inputs!$B$7*Inputs!$B$34*$B$329*(1-Inputs!$B$15)/Inputs!$B$16,0)</f>
        <v>0</v>
      </c>
      <c r="O343" s="33" t="n">
        <f aca="false">IF(Source_Data!O$6=Inputs!$B$12,-Inputs!$B$7,0)+IF(AND(Source_Data!O$6&gt;=$B$334,Source_Data!O$6&lt;$B$334+3*Inputs!$B$16,MOD(Source_Data!O$6-$B$334,3)=0),Inputs!$B$8*Inputs!$B$7*Inputs!$B$34*$B$329*(1-Inputs!$B$15)/Inputs!$B$16,0)</f>
        <v>0</v>
      </c>
      <c r="P343" s="33" t="n">
        <f aca="false">IF(Source_Data!P$6=Inputs!$B$12,-Inputs!$B$7,0)+IF(AND(Source_Data!P$6&gt;=$B$334,Source_Data!P$6&lt;$B$334+3*Inputs!$B$16,MOD(Source_Data!P$6-$B$334,3)=0),Inputs!$B$8*Inputs!$B$7*Inputs!$B$34*$B$329*(1-Inputs!$B$15)/Inputs!$B$16,0)</f>
        <v>0</v>
      </c>
      <c r="Q343" s="33" t="n">
        <f aca="false">IF(Source_Data!Q$6=Inputs!$B$12,-Inputs!$B$7,0)+IF(AND(Source_Data!Q$6&gt;=$B$334,Source_Data!Q$6&lt;$B$334+3*Inputs!$B$16,MOD(Source_Data!Q$6-$B$334,3)=0),Inputs!$B$8*Inputs!$B$7*Inputs!$B$34*$B$329*(1-Inputs!$B$15)/Inputs!$B$16,0)</f>
        <v>0</v>
      </c>
      <c r="R343" s="33" t="n">
        <f aca="false">IF(Source_Data!R$6=Inputs!$B$12,-Inputs!$B$7,0)+IF(AND(Source_Data!R$6&gt;=$B$334,Source_Data!R$6&lt;$B$334+3*Inputs!$B$16,MOD(Source_Data!R$6-$B$334,3)=0),Inputs!$B$8*Inputs!$B$7*Inputs!$B$34*$B$329*(1-Inputs!$B$15)/Inputs!$B$16,0)</f>
        <v>0</v>
      </c>
      <c r="S343" s="33" t="n">
        <f aca="false">IF(Source_Data!S$6=Inputs!$B$12,-Inputs!$B$7,0)+IF(AND(Source_Data!S$6&gt;=$B$334,Source_Data!S$6&lt;$B$334+3*Inputs!$B$16,MOD(Source_Data!S$6-$B$334,3)=0),Inputs!$B$8*Inputs!$B$7*Inputs!$B$34*$B$329*(1-Inputs!$B$15)/Inputs!$B$16,0)</f>
        <v>0</v>
      </c>
      <c r="T343" s="33" t="n">
        <f aca="false">IF(Source_Data!T$6=Inputs!$B$12,-Inputs!$B$7,0)+IF(AND(Source_Data!T$6&gt;=$B$334,Source_Data!T$6&lt;$B$334+3*Inputs!$B$16,MOD(Source_Data!T$6-$B$334,3)=0),Inputs!$B$8*Inputs!$B$7*Inputs!$B$34*$B$329*(1-Inputs!$B$15)/Inputs!$B$16,0)</f>
        <v>69.5340501792115</v>
      </c>
      <c r="U343" s="33" t="n">
        <f aca="false">IF(Source_Data!U$6=Inputs!$B$12,-Inputs!$B$7,0)+IF(AND(Source_Data!U$6&gt;=$B$334,Source_Data!U$6&lt;$B$334+3*Inputs!$B$16,MOD(Source_Data!U$6-$B$334,3)=0),Inputs!$B$8*Inputs!$B$7*Inputs!$B$34*$B$329*(1-Inputs!$B$15)/Inputs!$B$16,0)</f>
        <v>69.5340501792115</v>
      </c>
      <c r="V343" s="33" t="n">
        <f aca="false">IF(Source_Data!V$6=Inputs!$B$12,-Inputs!$B$7,0)+IF(AND(Source_Data!V$6&gt;=$B$334,Source_Data!V$6&lt;$B$334+3*Inputs!$B$16,MOD(Source_Data!V$6-$B$334,3)=0),Inputs!$B$8*Inputs!$B$7*Inputs!$B$34*$B$329*(1-Inputs!$B$15)/Inputs!$B$16,0)</f>
        <v>69.5340501792115</v>
      </c>
      <c r="W343" s="33" t="n">
        <f aca="false">IF(Source_Data!W$6=Inputs!$B$12,-Inputs!$B$7,0)+IF(AND(Source_Data!W$6&gt;=$B$334,Source_Data!W$6&lt;$B$334+3*Inputs!$B$16,MOD(Source_Data!W$6-$B$334,3)=0),Inputs!$B$8*Inputs!$B$7*Inputs!$B$34*$B$329*(1-Inputs!$B$15)/Inputs!$B$16,0)</f>
        <v>69.5340501792115</v>
      </c>
      <c r="X343" s="33" t="n">
        <f aca="false">IF(Source_Data!X$6=Inputs!$B$12,-Inputs!$B$7,0)+IF(AND(Source_Data!X$6&gt;=$B$334,Source_Data!X$6&lt;$B$334+3*Inputs!$B$16,MOD(Source_Data!X$6-$B$334,3)=0),Inputs!$B$8*Inputs!$B$7*Inputs!$B$34*$B$329*(1-Inputs!$B$15)/Inputs!$B$16,0)</f>
        <v>0</v>
      </c>
      <c r="Y343" s="33" t="n">
        <f aca="false">IF(Source_Data!Y$6=Inputs!$B$12,-Inputs!$B$7,0)+IF(AND(Source_Data!Y$6&gt;=$B$334,Source_Data!Y$6&lt;$B$334+3*Inputs!$B$16,MOD(Source_Data!Y$6-$B$334,3)=0),Inputs!$B$8*Inputs!$B$7*Inputs!$B$34*$B$329*(1-Inputs!$B$15)/Inputs!$B$16,0)</f>
        <v>0</v>
      </c>
      <c r="Z343" s="33" t="n">
        <f aca="false">IF(Source_Data!Z$6=Inputs!$B$12,-Inputs!$B$7,0)+IF(AND(Source_Data!Z$6&gt;=$B$334,Source_Data!Z$6&lt;$B$334+3*Inputs!$B$16,MOD(Source_Data!Z$6-$B$334,3)=0),Inputs!$B$8*Inputs!$B$7*Inputs!$B$34*$B$329*(1-Inputs!$B$15)/Inputs!$B$16,0)</f>
        <v>0</v>
      </c>
      <c r="AA343" s="33" t="n">
        <f aca="false">IF(Source_Data!AA$6=Inputs!$B$12,-Inputs!$B$7,0)+IF(AND(Source_Data!AA$6&gt;=$B$334,Source_Data!AA$6&lt;$B$334+3*Inputs!$B$16,MOD(Source_Data!AA$6-$B$334,3)=0),Inputs!$B$8*Inputs!$B$7*Inputs!$B$34*$B$329*(1-Inputs!$B$15)/Inputs!$B$16,0)</f>
        <v>0</v>
      </c>
      <c r="AB343" s="33" t="n">
        <f aca="false">IF(Source_Data!AB$6=Inputs!$B$12,-Inputs!$B$7,0)+IF(AND(Source_Data!AB$6&gt;=$B$334,Source_Data!AB$6&lt;$B$334+3*Inputs!$B$16,MOD(Source_Data!AB$6-$B$334,3)=0),Inputs!$B$8*Inputs!$B$7*Inputs!$B$34*$B$329*(1-Inputs!$B$15)/Inputs!$B$16,0)</f>
        <v>0</v>
      </c>
      <c r="AC343" s="33" t="n">
        <f aca="false">IF(Source_Data!AC$6=Inputs!$B$12,-Inputs!$B$7,0)+IF(AND(Source_Data!AC$6&gt;=$B$334,Source_Data!AC$6&lt;$B$334+3*Inputs!$B$16,MOD(Source_Data!AC$6-$B$334,3)=0),Inputs!$B$8*Inputs!$B$7*Inputs!$B$34*$B$329*(1-Inputs!$B$15)/Inputs!$B$16,0)</f>
        <v>0</v>
      </c>
      <c r="AD343" s="33" t="n">
        <f aca="false">IF(Source_Data!AD$6=Inputs!$B$12,-Inputs!$B$7,0)+IF(AND(Source_Data!AD$6&gt;=$B$334,Source_Data!AD$6&lt;$B$334+3*Inputs!$B$16,MOD(Source_Data!AD$6-$B$334,3)=0),Inputs!$B$8*Inputs!$B$7*Inputs!$B$34*$B$329*(1-Inputs!$B$15)/Inputs!$B$16,0)</f>
        <v>0</v>
      </c>
      <c r="AE343" s="33" t="n">
        <f aca="false">IF(Source_Data!AE$6=Inputs!$B$12,-Inputs!$B$7,0)+IF(AND(Source_Data!AE$6&gt;=$B$334,Source_Data!AE$6&lt;$B$334+3*Inputs!$B$16,MOD(Source_Data!AE$6-$B$334,3)=0),Inputs!$B$8*Inputs!$B$7*Inputs!$B$34*$B$329*(1-Inputs!$B$15)/Inputs!$B$16,0)</f>
        <v>0</v>
      </c>
      <c r="AF343" s="33" t="n">
        <f aca="false">IF(Source_Data!AF$6=Inputs!$B$12,-Inputs!$B$7,0)+IF(AND(Source_Data!AF$6&gt;=$B$334,Source_Data!AF$6&lt;$B$334+3*Inputs!$B$16,MOD(Source_Data!AF$6-$B$334,3)=0),Inputs!$B$8*Inputs!$B$7*Inputs!$B$34*$B$329*(1-Inputs!$B$15)/Inputs!$B$16,0)</f>
        <v>0</v>
      </c>
      <c r="AG343" s="33" t="n">
        <f aca="false">IF(Source_Data!AG$6=Inputs!$B$12,-Inputs!$B$7,0)+IF(AND(Source_Data!AG$6&gt;=$B$334,Source_Data!AG$6&lt;$B$334+3*Inputs!$B$16,MOD(Source_Data!AG$6-$B$334,3)=0),Inputs!$B$8*Inputs!$B$7*Inputs!$B$34*$B$329*(1-Inputs!$B$15)/Inputs!$B$16,0)</f>
        <v>0</v>
      </c>
      <c r="AH343" s="33" t="n">
        <f aca="false">IF(Source_Data!AH$6=Inputs!$B$12,-Inputs!$B$7,0)+IF(AND(Source_Data!AH$6&gt;=$B$334,Source_Data!AH$6&lt;$B$334+3*Inputs!$B$16,MOD(Source_Data!AH$6-$B$334,3)=0),Inputs!$B$8*Inputs!$B$7*Inputs!$B$34*$B$329*(1-Inputs!$B$15)/Inputs!$B$16,0)</f>
        <v>0</v>
      </c>
      <c r="AI343" s="33" t="n">
        <f aca="false">IF(Source_Data!AI$6=Inputs!$B$12,-Inputs!$B$7,0)+IF(AND(Source_Data!AI$6&gt;=$B$334,Source_Data!AI$6&lt;$B$334+3*Inputs!$B$16,MOD(Source_Data!AI$6-$B$334,3)=0),Inputs!$B$8*Inputs!$B$7*Inputs!$B$34*$B$329*(1-Inputs!$B$15)/Inputs!$B$16,0)</f>
        <v>0</v>
      </c>
      <c r="AJ343" s="33" t="n">
        <f aca="false">IF(Source_Data!AJ$6=Inputs!$B$12,-Inputs!$B$7,0)+IF(AND(Source_Data!AJ$6&gt;=$B$334,Source_Data!AJ$6&lt;$B$334+3*Inputs!$B$16,MOD(Source_Data!AJ$6-$B$334,3)=0),Inputs!$B$8*Inputs!$B$7*Inputs!$B$34*$B$329*(1-Inputs!$B$15)/Inputs!$B$16,0)</f>
        <v>0</v>
      </c>
      <c r="AK343" s="33" t="n">
        <f aca="false">IF(Source_Data!AK$6=Inputs!$B$12,-Inputs!$B$7,0)+IF(AND(Source_Data!AK$6&gt;=$B$334,Source_Data!AK$6&lt;$B$334+3*Inputs!$B$16,MOD(Source_Data!AK$6-$B$334,3)=0),Inputs!$B$8*Inputs!$B$7*Inputs!$B$34*$B$329*(1-Inputs!$B$15)/Inputs!$B$16,0)</f>
        <v>0</v>
      </c>
      <c r="AL343" s="33" t="n">
        <f aca="false">IF(Source_Data!AL$6=Inputs!$B$12,-Inputs!$B$7,0)+IF(AND(Source_Data!AL$6&gt;=$B$334,Source_Data!AL$6&lt;$B$334+3*Inputs!$B$16,MOD(Source_Data!AL$6-$B$334,3)=0),Inputs!$B$8*Inputs!$B$7*Inputs!$B$34*$B$329*(1-Inputs!$B$15)/Inputs!$B$16,0)</f>
        <v>0</v>
      </c>
      <c r="AM343" s="33" t="n">
        <f aca="false">IF(Source_Data!AM$6=Inputs!$B$12,-Inputs!$B$7,0)+IF(AND(Source_Data!AM$6&gt;=$B$334,Source_Data!AM$6&lt;$B$334+3*Inputs!$B$16,MOD(Source_Data!AM$6-$B$334,3)=0),Inputs!$B$8*Inputs!$B$7*Inputs!$B$34*$B$329*(1-Inputs!$B$15)/Inputs!$B$16,0)</f>
        <v>0</v>
      </c>
      <c r="AN343" s="33" t="n">
        <f aca="false">IF(Source_Data!AN$6=Inputs!$B$12,-Inputs!$B$7,0)+IF(AND(Source_Data!AN$6&gt;=$B$334,Source_Data!AN$6&lt;$B$334+3*Inputs!$B$16,MOD(Source_Data!AN$6-$B$334,3)=0),Inputs!$B$8*Inputs!$B$7*Inputs!$B$34*$B$329*(1-Inputs!$B$15)/Inputs!$B$16,0)</f>
        <v>0</v>
      </c>
      <c r="AO343" s="33" t="n">
        <f aca="false">IF(Source_Data!AO$6=Inputs!$B$12,-Inputs!$B$7,0)+IF(AND(Source_Data!AO$6&gt;=$B$334,Source_Data!AO$6&lt;$B$334+3*Inputs!$B$16,MOD(Source_Data!AO$6-$B$334,3)=0),Inputs!$B$8*Inputs!$B$7*Inputs!$B$34*$B$329*(1-Inputs!$B$15)/Inputs!$B$16,0)</f>
        <v>0</v>
      </c>
      <c r="AP343" s="33" t="n">
        <f aca="false">IF(Source_Data!AP$6=Inputs!$B$12,-Inputs!$B$7,0)+IF(AND(Source_Data!AP$6&gt;=$B$334,Source_Data!AP$6&lt;$B$334+3*Inputs!$B$16,MOD(Source_Data!AP$6-$B$334,3)=0),Inputs!$B$8*Inputs!$B$7*Inputs!$B$34*$B$329*(1-Inputs!$B$15)/Inputs!$B$16,0)</f>
        <v>0</v>
      </c>
      <c r="AQ343" s="33" t="n">
        <f aca="false">IF(Source_Data!AQ$6=Inputs!$B$12,-Inputs!$B$7,0)+IF(AND(Source_Data!AQ$6&gt;=$B$334,Source_Data!AQ$6&lt;$B$334+3*Inputs!$B$16,MOD(Source_Data!AQ$6-$B$334,3)=0),Inputs!$B$8*Inputs!$B$7*Inputs!$B$34*$B$329*(1-Inputs!$B$15)/Inputs!$B$16,0)</f>
        <v>0</v>
      </c>
      <c r="AR343" s="33" t="n">
        <f aca="false">IF(Source_Data!AR$6=Inputs!$B$12,-Inputs!$B$7,0)+IF(AND(Source_Data!AR$6&gt;=$B$334,Source_Data!AR$6&lt;$B$334+3*Inputs!$B$16,MOD(Source_Data!AR$6-$B$334,3)=0),Inputs!$B$8*Inputs!$B$7*Inputs!$B$34*$B$329*(1-Inputs!$B$15)/Inputs!$B$16,0)</f>
        <v>0</v>
      </c>
      <c r="AS343" s="33" t="n">
        <f aca="false">IF(Source_Data!AS$6=Inputs!$B$12,-Inputs!$B$7,0)+IF(AND(Source_Data!AS$6&gt;=$B$334,Source_Data!AS$6&lt;$B$334+3*Inputs!$B$16,MOD(Source_Data!AS$6-$B$334,3)=0),Inputs!$B$8*Inputs!$B$7*Inputs!$B$34*$B$329*(1-Inputs!$B$15)/Inputs!$B$16,0)</f>
        <v>0</v>
      </c>
      <c r="AT343" s="33" t="n">
        <f aca="false">IF(Source_Data!AT$6=Inputs!$B$12,-Inputs!$B$7,0)+IF(AND(Source_Data!AT$6&gt;=$B$334,Source_Data!AT$6&lt;$B$334+3*Inputs!$B$16,MOD(Source_Data!AT$6-$B$334,3)=0),Inputs!$B$8*Inputs!$B$7*Inputs!$B$34*$B$329*(1-Inputs!$B$15)/Inputs!$B$16,0)</f>
        <v>0</v>
      </c>
      <c r="AU343" s="33" t="n">
        <f aca="false">IF(Source_Data!AU$6=Inputs!$B$12,-Inputs!$B$7,0)+IF(AND(Source_Data!AU$6&gt;=$B$334,Source_Data!AU$6&lt;$B$334+3*Inputs!$B$16,MOD(Source_Data!AU$6-$B$334,3)=0),Inputs!$B$8*Inputs!$B$7*Inputs!$B$34*$B$329*(1-Inputs!$B$15)/Inputs!$B$16,0)</f>
        <v>0</v>
      </c>
      <c r="AV343" s="33" t="n">
        <f aca="false">IF(Source_Data!AV$6=Inputs!$B$12,-Inputs!$B$7,0)+IF(AND(Source_Data!AV$6&gt;=$B$334,Source_Data!AV$6&lt;$B$334+3*Inputs!$B$16,MOD(Source_Data!AV$6-$B$334,3)=0),Inputs!$B$8*Inputs!$B$7*Inputs!$B$34*$B$329*(1-Inputs!$B$15)/Inputs!$B$16,0)</f>
        <v>0</v>
      </c>
      <c r="AW343" s="33" t="n">
        <f aca="false">IF(Source_Data!AW$6=Inputs!$B$12,-Inputs!$B$7,0)+IF(AND(Source_Data!AW$6&gt;=$B$334,Source_Data!AW$6&lt;$B$334+3*Inputs!$B$16,MOD(Source_Data!AW$6-$B$334,3)=0),Inputs!$B$8*Inputs!$B$7*Inputs!$B$34*$B$329*(1-Inputs!$B$15)/Inputs!$B$16,0)</f>
        <v>0</v>
      </c>
      <c r="AX343" s="33" t="n">
        <f aca="false">IF(Source_Data!AX$6=Inputs!$B$12,-Inputs!$B$7,0)+IF(AND(Source_Data!AX$6&gt;=$B$334,Source_Data!AX$6&lt;$B$334+3*Inputs!$B$16,MOD(Source_Data!AX$6-$B$334,3)=0),Inputs!$B$8*Inputs!$B$7*Inputs!$B$34*$B$329*(1-Inputs!$B$15)/Inputs!$B$16,0)</f>
        <v>0</v>
      </c>
      <c r="AY343" s="33" t="n">
        <f aca="false">IF(Source_Data!AY$6=Inputs!$B$12,-Inputs!$B$7,0)+IF(AND(Source_Data!AY$6&gt;=$B$334,Source_Data!AY$6&lt;$B$334+3*Inputs!$B$16,MOD(Source_Data!AY$6-$B$334,3)=0),Inputs!$B$8*Inputs!$B$7*Inputs!$B$34*$B$329*(1-Inputs!$B$15)/Inputs!$B$16,0)</f>
        <v>0</v>
      </c>
      <c r="AZ343" s="33" t="n">
        <f aca="false">IF(Source_Data!AZ$6=Inputs!$B$12,-Inputs!$B$7,0)+IF(AND(Source_Data!AZ$6&gt;=$B$334,Source_Data!AZ$6&lt;$B$334+3*Inputs!$B$16,MOD(Source_Data!AZ$6-$B$334,3)=0),Inputs!$B$8*Inputs!$B$7*Inputs!$B$34*$B$329*(1-Inputs!$B$15)/Inputs!$B$16,0)</f>
        <v>0</v>
      </c>
      <c r="BA343" s="33" t="n">
        <f aca="false">IF(Source_Data!BA$6=Inputs!$B$12,-Inputs!$B$7,0)+IF(AND(Source_Data!BA$6&gt;=$B$334,Source_Data!BA$6&lt;$B$334+3*Inputs!$B$16,MOD(Source_Data!BA$6-$B$334,3)=0),Inputs!$B$8*Inputs!$B$7*Inputs!$B$34*$B$329*(1-Inputs!$B$15)/Inputs!$B$16,0)</f>
        <v>0</v>
      </c>
      <c r="BB343" s="33" t="n">
        <f aca="false">IF(Source_Data!BB$6=Inputs!$B$12,-Inputs!$B$7,0)+IF(AND(Source_Data!BB$6&gt;=$B$334,Source_Data!BB$6&lt;$B$334+3*Inputs!$B$16,MOD(Source_Data!BB$6-$B$334,3)=0),Inputs!$B$8*Inputs!$B$7*Inputs!$B$34*$B$329*(1-Inputs!$B$15)/Inputs!$B$16,0)</f>
        <v>0</v>
      </c>
      <c r="BC343" s="33" t="n">
        <f aca="false">IF(Source_Data!BC$6=Inputs!$B$12,-Inputs!$B$7,0)+IF(AND(Source_Data!BC$6&gt;=$B$334,Source_Data!BC$6&lt;$B$334+3*Inputs!$B$16,MOD(Source_Data!BC$6-$B$334,3)=0),Inputs!$B$8*Inputs!$B$7*Inputs!$B$34*$B$329*(1-Inputs!$B$15)/Inputs!$B$16,0)</f>
        <v>0</v>
      </c>
      <c r="BD343" s="33" t="n">
        <f aca="false">IF(Source_Data!BD$6=Inputs!$B$12,-Inputs!$B$7,0)+IF(AND(Source_Data!BD$6&gt;=$B$334,Source_Data!BD$6&lt;$B$334+3*Inputs!$B$16,MOD(Source_Data!BD$6-$B$334,3)=0),Inputs!$B$8*Inputs!$B$7*Inputs!$B$34*$B$329*(1-Inputs!$B$15)/Inputs!$B$16,0)</f>
        <v>0</v>
      </c>
      <c r="BE343" s="33" t="n">
        <f aca="false">IF(Source_Data!BE$6=Inputs!$B$12,-Inputs!$B$7,0)+IF(AND(Source_Data!BE$6&gt;=$B$334,Source_Data!BE$6&lt;$B$334+3*Inputs!$B$16,MOD(Source_Data!BE$6-$B$334,3)=0),Inputs!$B$8*Inputs!$B$7*Inputs!$B$34*$B$329*(1-Inputs!$B$15)/Inputs!$B$16,0)</f>
        <v>0</v>
      </c>
      <c r="BF343" s="33" t="n">
        <f aca="false">IF(Source_Data!BF$6=Inputs!$B$12,-Inputs!$B$7,0)+IF(AND(Source_Data!BF$6&gt;=$B$334,Source_Data!BF$6&lt;$B$334+3*Inputs!$B$16,MOD(Source_Data!BF$6-$B$334,3)=0),Inputs!$B$8*Inputs!$B$7*Inputs!$B$34*$B$329*(1-Inputs!$B$15)/Inputs!$B$16,0)</f>
        <v>0</v>
      </c>
      <c r="BG343" s="33" t="n">
        <f aca="false">IF(Source_Data!BG$6=Inputs!$B$12,-Inputs!$B$7,0)+IF(AND(Source_Data!BG$6&gt;=$B$334,Source_Data!BG$6&lt;$B$334+3*Inputs!$B$16,MOD(Source_Data!BG$6-$B$334,3)=0),Inputs!$B$8*Inputs!$B$7*Inputs!$B$34*$B$329*(1-Inputs!$B$15)/Inputs!$B$16,0)</f>
        <v>0</v>
      </c>
      <c r="BH343" s="33" t="n">
        <f aca="false">IF(Source_Data!BH$6=Inputs!$B$12,-Inputs!$B$7,0)+IF(AND(Source_Data!BH$6&gt;=$B$334,Source_Data!BH$6&lt;$B$334+3*Inputs!$B$16,MOD(Source_Data!BH$6-$B$334,3)=0),Inputs!$B$8*Inputs!$B$7*Inputs!$B$34*$B$329*(1-Inputs!$B$15)/Inputs!$B$16,0)</f>
        <v>0</v>
      </c>
      <c r="BI343" s="33" t="n">
        <f aca="false">IF(Source_Data!BI$6=Inputs!$B$12,-Inputs!$B$7,0)+IF(AND(Source_Data!BI$6&gt;=$B$334,Source_Data!BI$6&lt;$B$334+3*Inputs!$B$16,MOD(Source_Data!BI$6-$B$334,3)=0),Inputs!$B$8*Inputs!$B$7*Inputs!$B$34*$B$329*(1-Inputs!$B$15)/Inputs!$B$16,0)</f>
        <v>0</v>
      </c>
      <c r="BJ343" s="33" t="n">
        <f aca="false">IF(Source_Data!BJ$6=Inputs!$B$12,-Inputs!$B$7,0)+IF(AND(Source_Data!BJ$6&gt;=$B$334,Source_Data!BJ$6&lt;$B$334+3*Inputs!$B$16,MOD(Source_Data!BJ$6-$B$334,3)=0),Inputs!$B$8*Inputs!$B$7*Inputs!$B$34*$B$329*(1-Inputs!$B$15)/Inputs!$B$16,0)</f>
        <v>0</v>
      </c>
      <c r="BK343" s="33" t="n">
        <f aca="false">IF(Source_Data!BK$6=Inputs!$B$12,-Inputs!$B$7,0)+IF(AND(Source_Data!BK$6&gt;=$B$334,Source_Data!BK$6&lt;$B$334+3*Inputs!$B$16,MOD(Source_Data!BK$6-$B$334,3)=0),Inputs!$B$8*Inputs!$B$7*Inputs!$B$34*$B$329*(1-Inputs!$B$15)/Inputs!$B$16,0)</f>
        <v>0</v>
      </c>
    </row>
    <row r="344" customFormat="false" ht="15" hidden="false" customHeight="false" outlineLevel="0" collapsed="false">
      <c r="A344" s="3" t="s">
        <v>341</v>
      </c>
      <c r="D344" s="33" t="n">
        <f aca="false">IF(AND(Source_Data!D$6&gt;=Inputs!$B$54,Source_Data!D$6&lt;Inputs!$B$54+3*Inputs!$B$11),Inputs!$B$9*Inputs!$B$7/Inputs!$B$11,0)</f>
        <v>0</v>
      </c>
      <c r="E344" s="33" t="n">
        <f aca="false">IF(AND(Source_Data!E$6&gt;=Inputs!$B$54,Source_Data!E$6&lt;Inputs!$B$54+3*Inputs!$B$11),Inputs!$B$9*Inputs!$B$7/Inputs!$B$11,0)</f>
        <v>0</v>
      </c>
      <c r="F344" s="33" t="n">
        <f aca="false">IF(AND(Source_Data!F$6&gt;=Inputs!$B$54,Source_Data!F$6&lt;Inputs!$B$54+3*Inputs!$B$11),Inputs!$B$9*Inputs!$B$7/Inputs!$B$11,0)</f>
        <v>0</v>
      </c>
      <c r="G344" s="33" t="n">
        <f aca="false">IF(AND(Source_Data!G$6&gt;=Inputs!$B$54,Source_Data!G$6&lt;Inputs!$B$54+3*Inputs!$B$11),Inputs!$B$9*Inputs!$B$7/Inputs!$B$11,0)</f>
        <v>0</v>
      </c>
      <c r="H344" s="33" t="n">
        <f aca="false">IF(AND(Source_Data!H$6&gt;=Inputs!$B$54,Source_Data!H$6&lt;Inputs!$B$54+3*Inputs!$B$11),Inputs!$B$9*Inputs!$B$7/Inputs!$B$11,0)</f>
        <v>0</v>
      </c>
      <c r="I344" s="33" t="n">
        <f aca="false">IF(AND(Source_Data!I$6&gt;=Inputs!$B$54,Source_Data!I$6&lt;Inputs!$B$54+3*Inputs!$B$11),Inputs!$B$9*Inputs!$B$7/Inputs!$B$11,0)</f>
        <v>0</v>
      </c>
      <c r="J344" s="33" t="n">
        <f aca="false">IF(AND(Source_Data!J$6&gt;=Inputs!$B$54,Source_Data!J$6&lt;Inputs!$B$54+3*Inputs!$B$11),Inputs!$B$9*Inputs!$B$7/Inputs!$B$11,0)</f>
        <v>0</v>
      </c>
      <c r="K344" s="33" t="n">
        <f aca="false">IF(AND(Source_Data!K$6&gt;=Inputs!$B$54,Source_Data!K$6&lt;Inputs!$B$54+3*Inputs!$B$11),Inputs!$B$9*Inputs!$B$7/Inputs!$B$11,0)</f>
        <v>0</v>
      </c>
      <c r="L344" s="33" t="n">
        <f aca="false">IF(AND(Source_Data!L$6&gt;=Inputs!$B$54,Source_Data!L$6&lt;Inputs!$B$54+3*Inputs!$B$11),Inputs!$B$9*Inputs!$B$7/Inputs!$B$11,0)</f>
        <v>0</v>
      </c>
      <c r="M344" s="33" t="n">
        <f aca="false">IF(AND(Source_Data!M$6&gt;=Inputs!$B$54,Source_Data!M$6&lt;Inputs!$B$54+3*Inputs!$B$11),Inputs!$B$9*Inputs!$B$7/Inputs!$B$11,0)</f>
        <v>19.1666666666667</v>
      </c>
      <c r="N344" s="33" t="n">
        <f aca="false">IF(AND(Source_Data!N$6&gt;=Inputs!$B$54,Source_Data!N$6&lt;Inputs!$B$54+3*Inputs!$B$11),Inputs!$B$9*Inputs!$B$7/Inputs!$B$11,0)</f>
        <v>19.1666666666667</v>
      </c>
      <c r="O344" s="33" t="n">
        <f aca="false">IF(AND(Source_Data!O$6&gt;=Inputs!$B$54,Source_Data!O$6&lt;Inputs!$B$54+3*Inputs!$B$11),Inputs!$B$9*Inputs!$B$7/Inputs!$B$11,0)</f>
        <v>19.1666666666667</v>
      </c>
      <c r="P344" s="33" t="n">
        <f aca="false">IF(AND(Source_Data!P$6&gt;=Inputs!$B$54,Source_Data!P$6&lt;Inputs!$B$54+3*Inputs!$B$11),Inputs!$B$9*Inputs!$B$7/Inputs!$B$11,0)</f>
        <v>19.1666666666667</v>
      </c>
      <c r="Q344" s="33" t="n">
        <f aca="false">IF(AND(Source_Data!Q$6&gt;=Inputs!$B$54,Source_Data!Q$6&lt;Inputs!$B$54+3*Inputs!$B$11),Inputs!$B$9*Inputs!$B$7/Inputs!$B$11,0)</f>
        <v>19.1666666666667</v>
      </c>
      <c r="R344" s="33" t="n">
        <f aca="false">IF(AND(Source_Data!R$6&gt;=Inputs!$B$54,Source_Data!R$6&lt;Inputs!$B$54+3*Inputs!$B$11),Inputs!$B$9*Inputs!$B$7/Inputs!$B$11,0)</f>
        <v>19.1666666666667</v>
      </c>
      <c r="S344" s="33" t="n">
        <f aca="false">IF(AND(Source_Data!S$6&gt;=Inputs!$B$54,Source_Data!S$6&lt;Inputs!$B$54+3*Inputs!$B$11),Inputs!$B$9*Inputs!$B$7/Inputs!$B$11,0)</f>
        <v>19.1666666666667</v>
      </c>
      <c r="T344" s="33" t="n">
        <f aca="false">IF(AND(Source_Data!T$6&gt;=Inputs!$B$54,Source_Data!T$6&lt;Inputs!$B$54+3*Inputs!$B$11),Inputs!$B$9*Inputs!$B$7/Inputs!$B$11,0)</f>
        <v>19.1666666666667</v>
      </c>
      <c r="U344" s="33" t="n">
        <f aca="false">IF(AND(Source_Data!U$6&gt;=Inputs!$B$54,Source_Data!U$6&lt;Inputs!$B$54+3*Inputs!$B$11),Inputs!$B$9*Inputs!$B$7/Inputs!$B$11,0)</f>
        <v>19.1666666666667</v>
      </c>
      <c r="V344" s="33" t="n">
        <f aca="false">IF(AND(Source_Data!V$6&gt;=Inputs!$B$54,Source_Data!V$6&lt;Inputs!$B$54+3*Inputs!$B$11),Inputs!$B$9*Inputs!$B$7/Inputs!$B$11,0)</f>
        <v>19.1666666666667</v>
      </c>
      <c r="W344" s="33" t="n">
        <f aca="false">IF(AND(Source_Data!W$6&gt;=Inputs!$B$54,Source_Data!W$6&lt;Inputs!$B$54+3*Inputs!$B$11),Inputs!$B$9*Inputs!$B$7/Inputs!$B$11,0)</f>
        <v>19.1666666666667</v>
      </c>
      <c r="X344" s="33" t="n">
        <f aca="false">IF(AND(Source_Data!X$6&gt;=Inputs!$B$54,Source_Data!X$6&lt;Inputs!$B$54+3*Inputs!$B$11),Inputs!$B$9*Inputs!$B$7/Inputs!$B$11,0)</f>
        <v>19.1666666666667</v>
      </c>
      <c r="Y344" s="33" t="n">
        <f aca="false">IF(AND(Source_Data!Y$6&gt;=Inputs!$B$54,Source_Data!Y$6&lt;Inputs!$B$54+3*Inputs!$B$11),Inputs!$B$9*Inputs!$B$7/Inputs!$B$11,0)</f>
        <v>0</v>
      </c>
      <c r="Z344" s="33" t="n">
        <f aca="false">IF(AND(Source_Data!Z$6&gt;=Inputs!$B$54,Source_Data!Z$6&lt;Inputs!$B$54+3*Inputs!$B$11),Inputs!$B$9*Inputs!$B$7/Inputs!$B$11,0)</f>
        <v>0</v>
      </c>
      <c r="AA344" s="33" t="n">
        <f aca="false">IF(AND(Source_Data!AA$6&gt;=Inputs!$B$54,Source_Data!AA$6&lt;Inputs!$B$54+3*Inputs!$B$11),Inputs!$B$9*Inputs!$B$7/Inputs!$B$11,0)</f>
        <v>0</v>
      </c>
      <c r="AB344" s="33" t="n">
        <f aca="false">IF(AND(Source_Data!AB$6&gt;=Inputs!$B$54,Source_Data!AB$6&lt;Inputs!$B$54+3*Inputs!$B$11),Inputs!$B$9*Inputs!$B$7/Inputs!$B$11,0)</f>
        <v>0</v>
      </c>
      <c r="AC344" s="33" t="n">
        <f aca="false">IF(AND(Source_Data!AC$6&gt;=Inputs!$B$54,Source_Data!AC$6&lt;Inputs!$B$54+3*Inputs!$B$11),Inputs!$B$9*Inputs!$B$7/Inputs!$B$11,0)</f>
        <v>0</v>
      </c>
      <c r="AD344" s="33" t="n">
        <f aca="false">IF(AND(Source_Data!AD$6&gt;=Inputs!$B$54,Source_Data!AD$6&lt;Inputs!$B$54+3*Inputs!$B$11),Inputs!$B$9*Inputs!$B$7/Inputs!$B$11,0)</f>
        <v>0</v>
      </c>
      <c r="AE344" s="33" t="n">
        <f aca="false">IF(AND(Source_Data!AE$6&gt;=Inputs!$B$54,Source_Data!AE$6&lt;Inputs!$B$54+3*Inputs!$B$11),Inputs!$B$9*Inputs!$B$7/Inputs!$B$11,0)</f>
        <v>0</v>
      </c>
      <c r="AF344" s="33" t="n">
        <f aca="false">IF(AND(Source_Data!AF$6&gt;=Inputs!$B$54,Source_Data!AF$6&lt;Inputs!$B$54+3*Inputs!$B$11),Inputs!$B$9*Inputs!$B$7/Inputs!$B$11,0)</f>
        <v>0</v>
      </c>
      <c r="AG344" s="33" t="n">
        <f aca="false">IF(AND(Source_Data!AG$6&gt;=Inputs!$B$54,Source_Data!AG$6&lt;Inputs!$B$54+3*Inputs!$B$11),Inputs!$B$9*Inputs!$B$7/Inputs!$B$11,0)</f>
        <v>0</v>
      </c>
      <c r="AH344" s="33" t="n">
        <f aca="false">IF(AND(Source_Data!AH$6&gt;=Inputs!$B$54,Source_Data!AH$6&lt;Inputs!$B$54+3*Inputs!$B$11),Inputs!$B$9*Inputs!$B$7/Inputs!$B$11,0)</f>
        <v>0</v>
      </c>
      <c r="AI344" s="33" t="n">
        <f aca="false">IF(AND(Source_Data!AI$6&gt;=Inputs!$B$54,Source_Data!AI$6&lt;Inputs!$B$54+3*Inputs!$B$11),Inputs!$B$9*Inputs!$B$7/Inputs!$B$11,0)</f>
        <v>0</v>
      </c>
      <c r="AJ344" s="33" t="n">
        <f aca="false">IF(AND(Source_Data!AJ$6&gt;=Inputs!$B$54,Source_Data!AJ$6&lt;Inputs!$B$54+3*Inputs!$B$11),Inputs!$B$9*Inputs!$B$7/Inputs!$B$11,0)</f>
        <v>0</v>
      </c>
      <c r="AK344" s="33" t="n">
        <f aca="false">IF(AND(Source_Data!AK$6&gt;=Inputs!$B$54,Source_Data!AK$6&lt;Inputs!$B$54+3*Inputs!$B$11),Inputs!$B$9*Inputs!$B$7/Inputs!$B$11,0)</f>
        <v>0</v>
      </c>
      <c r="AL344" s="33" t="n">
        <f aca="false">IF(AND(Source_Data!AL$6&gt;=Inputs!$B$54,Source_Data!AL$6&lt;Inputs!$B$54+3*Inputs!$B$11),Inputs!$B$9*Inputs!$B$7/Inputs!$B$11,0)</f>
        <v>0</v>
      </c>
      <c r="AM344" s="33" t="n">
        <f aca="false">IF(AND(Source_Data!AM$6&gt;=Inputs!$B$54,Source_Data!AM$6&lt;Inputs!$B$54+3*Inputs!$B$11),Inputs!$B$9*Inputs!$B$7/Inputs!$B$11,0)</f>
        <v>0</v>
      </c>
      <c r="AN344" s="33" t="n">
        <f aca="false">IF(AND(Source_Data!AN$6&gt;=Inputs!$B$54,Source_Data!AN$6&lt;Inputs!$B$54+3*Inputs!$B$11),Inputs!$B$9*Inputs!$B$7/Inputs!$B$11,0)</f>
        <v>0</v>
      </c>
      <c r="AO344" s="33" t="n">
        <f aca="false">IF(AND(Source_Data!AO$6&gt;=Inputs!$B$54,Source_Data!AO$6&lt;Inputs!$B$54+3*Inputs!$B$11),Inputs!$B$9*Inputs!$B$7/Inputs!$B$11,0)</f>
        <v>0</v>
      </c>
      <c r="AP344" s="33" t="n">
        <f aca="false">IF(AND(Source_Data!AP$6&gt;=Inputs!$B$54,Source_Data!AP$6&lt;Inputs!$B$54+3*Inputs!$B$11),Inputs!$B$9*Inputs!$B$7/Inputs!$B$11,0)</f>
        <v>0</v>
      </c>
      <c r="AQ344" s="33" t="n">
        <f aca="false">IF(AND(Source_Data!AQ$6&gt;=Inputs!$B$54,Source_Data!AQ$6&lt;Inputs!$B$54+3*Inputs!$B$11),Inputs!$B$9*Inputs!$B$7/Inputs!$B$11,0)</f>
        <v>0</v>
      </c>
      <c r="AR344" s="33" t="n">
        <f aca="false">IF(AND(Source_Data!AR$6&gt;=Inputs!$B$54,Source_Data!AR$6&lt;Inputs!$B$54+3*Inputs!$B$11),Inputs!$B$9*Inputs!$B$7/Inputs!$B$11,0)</f>
        <v>0</v>
      </c>
      <c r="AS344" s="33" t="n">
        <f aca="false">IF(AND(Source_Data!AS$6&gt;=Inputs!$B$54,Source_Data!AS$6&lt;Inputs!$B$54+3*Inputs!$B$11),Inputs!$B$9*Inputs!$B$7/Inputs!$B$11,0)</f>
        <v>0</v>
      </c>
      <c r="AT344" s="33" t="n">
        <f aca="false">IF(AND(Source_Data!AT$6&gt;=Inputs!$B$54,Source_Data!AT$6&lt;Inputs!$B$54+3*Inputs!$B$11),Inputs!$B$9*Inputs!$B$7/Inputs!$B$11,0)</f>
        <v>0</v>
      </c>
      <c r="AU344" s="33" t="n">
        <f aca="false">IF(AND(Source_Data!AU$6&gt;=Inputs!$B$54,Source_Data!AU$6&lt;Inputs!$B$54+3*Inputs!$B$11),Inputs!$B$9*Inputs!$B$7/Inputs!$B$11,0)</f>
        <v>0</v>
      </c>
      <c r="AV344" s="33" t="n">
        <f aca="false">IF(AND(Source_Data!AV$6&gt;=Inputs!$B$54,Source_Data!AV$6&lt;Inputs!$B$54+3*Inputs!$B$11),Inputs!$B$9*Inputs!$B$7/Inputs!$B$11,0)</f>
        <v>0</v>
      </c>
      <c r="AW344" s="33" t="n">
        <f aca="false">IF(AND(Source_Data!AW$6&gt;=Inputs!$B$54,Source_Data!AW$6&lt;Inputs!$B$54+3*Inputs!$B$11),Inputs!$B$9*Inputs!$B$7/Inputs!$B$11,0)</f>
        <v>0</v>
      </c>
      <c r="AX344" s="33" t="n">
        <f aca="false">IF(AND(Source_Data!AX$6&gt;=Inputs!$B$54,Source_Data!AX$6&lt;Inputs!$B$54+3*Inputs!$B$11),Inputs!$B$9*Inputs!$B$7/Inputs!$B$11,0)</f>
        <v>0</v>
      </c>
      <c r="AY344" s="33" t="n">
        <f aca="false">IF(AND(Source_Data!AY$6&gt;=Inputs!$B$54,Source_Data!AY$6&lt;Inputs!$B$54+3*Inputs!$B$11),Inputs!$B$9*Inputs!$B$7/Inputs!$B$11,0)</f>
        <v>0</v>
      </c>
      <c r="AZ344" s="33" t="n">
        <f aca="false">IF(AND(Source_Data!AZ$6&gt;=Inputs!$B$54,Source_Data!AZ$6&lt;Inputs!$B$54+3*Inputs!$B$11),Inputs!$B$9*Inputs!$B$7/Inputs!$B$11,0)</f>
        <v>0</v>
      </c>
      <c r="BA344" s="33" t="n">
        <f aca="false">IF(AND(Source_Data!BA$6&gt;=Inputs!$B$54,Source_Data!BA$6&lt;Inputs!$B$54+3*Inputs!$B$11),Inputs!$B$9*Inputs!$B$7/Inputs!$B$11,0)</f>
        <v>0</v>
      </c>
      <c r="BB344" s="33" t="n">
        <f aca="false">IF(AND(Source_Data!BB$6&gt;=Inputs!$B$54,Source_Data!BB$6&lt;Inputs!$B$54+3*Inputs!$B$11),Inputs!$B$9*Inputs!$B$7/Inputs!$B$11,0)</f>
        <v>0</v>
      </c>
      <c r="BC344" s="33" t="n">
        <f aca="false">IF(AND(Source_Data!BC$6&gt;=Inputs!$B$54,Source_Data!BC$6&lt;Inputs!$B$54+3*Inputs!$B$11),Inputs!$B$9*Inputs!$B$7/Inputs!$B$11,0)</f>
        <v>0</v>
      </c>
      <c r="BD344" s="33" t="n">
        <f aca="false">IF(AND(Source_Data!BD$6&gt;=Inputs!$B$54,Source_Data!BD$6&lt;Inputs!$B$54+3*Inputs!$B$11),Inputs!$B$9*Inputs!$B$7/Inputs!$B$11,0)</f>
        <v>0</v>
      </c>
      <c r="BE344" s="33" t="n">
        <f aca="false">IF(AND(Source_Data!BE$6&gt;=Inputs!$B$54,Source_Data!BE$6&lt;Inputs!$B$54+3*Inputs!$B$11),Inputs!$B$9*Inputs!$B$7/Inputs!$B$11,0)</f>
        <v>0</v>
      </c>
      <c r="BF344" s="33" t="n">
        <f aca="false">IF(AND(Source_Data!BF$6&gt;=Inputs!$B$54,Source_Data!BF$6&lt;Inputs!$B$54+3*Inputs!$B$11),Inputs!$B$9*Inputs!$B$7/Inputs!$B$11,0)</f>
        <v>0</v>
      </c>
      <c r="BG344" s="33" t="n">
        <f aca="false">IF(AND(Source_Data!BG$6&gt;=Inputs!$B$54,Source_Data!BG$6&lt;Inputs!$B$54+3*Inputs!$B$11),Inputs!$B$9*Inputs!$B$7/Inputs!$B$11,0)</f>
        <v>0</v>
      </c>
      <c r="BH344" s="33" t="n">
        <f aca="false">IF(AND(Source_Data!BH$6&gt;=Inputs!$B$54,Source_Data!BH$6&lt;Inputs!$B$54+3*Inputs!$B$11),Inputs!$B$9*Inputs!$B$7/Inputs!$B$11,0)</f>
        <v>0</v>
      </c>
      <c r="BI344" s="33" t="n">
        <f aca="false">IF(AND(Source_Data!BI$6&gt;=Inputs!$B$54,Source_Data!BI$6&lt;Inputs!$B$54+3*Inputs!$B$11),Inputs!$B$9*Inputs!$B$7/Inputs!$B$11,0)</f>
        <v>0</v>
      </c>
      <c r="BJ344" s="33" t="n">
        <f aca="false">IF(AND(Source_Data!BJ$6&gt;=Inputs!$B$54,Source_Data!BJ$6&lt;Inputs!$B$54+3*Inputs!$B$11),Inputs!$B$9*Inputs!$B$7/Inputs!$B$11,0)</f>
        <v>0</v>
      </c>
      <c r="BK344" s="33" t="n">
        <f aca="false">IF(AND(Source_Data!BK$6&gt;=Inputs!$B$54,Source_Data!BK$6&lt;Inputs!$B$54+3*Inputs!$B$11),Inputs!$B$9*Inputs!$B$7/Inputs!$B$11,0)</f>
        <v>0</v>
      </c>
    </row>
    <row r="345" customFormat="false" ht="15" hidden="false" customHeight="false" outlineLevel="0" collapsed="false">
      <c r="A345" s="3" t="s">
        <v>342</v>
      </c>
      <c r="D345" s="33" t="n">
        <f aca="false">IF(Source_Data!D$6=Inputs!$B$12,-Inputs!$B$7,0)+D344</f>
        <v>-100</v>
      </c>
      <c r="E345" s="33" t="n">
        <f aca="false">IF(Source_Data!E$6=Inputs!$B$12,-Inputs!$B$7,0)+E344</f>
        <v>0</v>
      </c>
      <c r="F345" s="33" t="n">
        <f aca="false">IF(Source_Data!F$6=Inputs!$B$12,-Inputs!$B$7,0)+F344</f>
        <v>0</v>
      </c>
      <c r="G345" s="33" t="n">
        <f aca="false">IF(Source_Data!G$6=Inputs!$B$12,-Inputs!$B$7,0)+G344</f>
        <v>0</v>
      </c>
      <c r="H345" s="33" t="n">
        <f aca="false">IF(Source_Data!H$6=Inputs!$B$12,-Inputs!$B$7,0)+H344</f>
        <v>0</v>
      </c>
      <c r="I345" s="33" t="n">
        <f aca="false">IF(Source_Data!I$6=Inputs!$B$12,-Inputs!$B$7,0)+I344</f>
        <v>0</v>
      </c>
      <c r="J345" s="33" t="n">
        <f aca="false">IF(Source_Data!J$6=Inputs!$B$12,-Inputs!$B$7,0)+J344</f>
        <v>0</v>
      </c>
      <c r="K345" s="33" t="n">
        <f aca="false">IF(Source_Data!K$6=Inputs!$B$12,-Inputs!$B$7,0)+K344</f>
        <v>0</v>
      </c>
      <c r="L345" s="33" t="n">
        <f aca="false">IF(Source_Data!L$6=Inputs!$B$12,-Inputs!$B$7,0)+L344</f>
        <v>0</v>
      </c>
      <c r="M345" s="33" t="n">
        <f aca="false">IF(Source_Data!M$6=Inputs!$B$12,-Inputs!$B$7,0)+M344</f>
        <v>19.1666666666667</v>
      </c>
      <c r="N345" s="33" t="n">
        <f aca="false">IF(Source_Data!N$6=Inputs!$B$12,-Inputs!$B$7,0)+N344</f>
        <v>19.1666666666667</v>
      </c>
      <c r="O345" s="33" t="n">
        <f aca="false">IF(Source_Data!O$6=Inputs!$B$12,-Inputs!$B$7,0)+O344</f>
        <v>19.1666666666667</v>
      </c>
      <c r="P345" s="33" t="n">
        <f aca="false">IF(Source_Data!P$6=Inputs!$B$12,-Inputs!$B$7,0)+P344</f>
        <v>19.1666666666667</v>
      </c>
      <c r="Q345" s="33" t="n">
        <f aca="false">IF(Source_Data!Q$6=Inputs!$B$12,-Inputs!$B$7,0)+Q344</f>
        <v>19.1666666666667</v>
      </c>
      <c r="R345" s="33" t="n">
        <f aca="false">IF(Source_Data!R$6=Inputs!$B$12,-Inputs!$B$7,0)+R344</f>
        <v>19.1666666666667</v>
      </c>
      <c r="S345" s="33" t="n">
        <f aca="false">IF(Source_Data!S$6=Inputs!$B$12,-Inputs!$B$7,0)+S344</f>
        <v>19.1666666666667</v>
      </c>
      <c r="T345" s="33" t="n">
        <f aca="false">IF(Source_Data!T$6=Inputs!$B$12,-Inputs!$B$7,0)+T344</f>
        <v>19.1666666666667</v>
      </c>
      <c r="U345" s="33" t="n">
        <f aca="false">IF(Source_Data!U$6=Inputs!$B$12,-Inputs!$B$7,0)+U344</f>
        <v>19.1666666666667</v>
      </c>
      <c r="V345" s="33" t="n">
        <f aca="false">IF(Source_Data!V$6=Inputs!$B$12,-Inputs!$B$7,0)+V344</f>
        <v>19.1666666666667</v>
      </c>
      <c r="W345" s="33" t="n">
        <f aca="false">IF(Source_Data!W$6=Inputs!$B$12,-Inputs!$B$7,0)+W344</f>
        <v>19.1666666666667</v>
      </c>
      <c r="X345" s="33" t="n">
        <f aca="false">IF(Source_Data!X$6=Inputs!$B$12,-Inputs!$B$7,0)+X344</f>
        <v>19.1666666666667</v>
      </c>
      <c r="Y345" s="33" t="n">
        <f aca="false">IF(Source_Data!Y$6=Inputs!$B$12,-Inputs!$B$7,0)+Y344</f>
        <v>0</v>
      </c>
      <c r="Z345" s="33" t="n">
        <f aca="false">IF(Source_Data!Z$6=Inputs!$B$12,-Inputs!$B$7,0)+Z344</f>
        <v>0</v>
      </c>
      <c r="AA345" s="33" t="n">
        <f aca="false">IF(Source_Data!AA$6=Inputs!$B$12,-Inputs!$B$7,0)+AA344</f>
        <v>0</v>
      </c>
      <c r="AB345" s="33" t="n">
        <f aca="false">IF(Source_Data!AB$6=Inputs!$B$12,-Inputs!$B$7,0)+AB344</f>
        <v>0</v>
      </c>
      <c r="AC345" s="33" t="n">
        <f aca="false">IF(Source_Data!AC$6=Inputs!$B$12,-Inputs!$B$7,0)+AC344</f>
        <v>0</v>
      </c>
      <c r="AD345" s="33" t="n">
        <f aca="false">IF(Source_Data!AD$6=Inputs!$B$12,-Inputs!$B$7,0)+AD344</f>
        <v>0</v>
      </c>
      <c r="AE345" s="33" t="n">
        <f aca="false">IF(Source_Data!AE$6=Inputs!$B$12,-Inputs!$B$7,0)+AE344</f>
        <v>0</v>
      </c>
      <c r="AF345" s="33" t="n">
        <f aca="false">IF(Source_Data!AF$6=Inputs!$B$12,-Inputs!$B$7,0)+AF344</f>
        <v>0</v>
      </c>
      <c r="AG345" s="33" t="n">
        <f aca="false">IF(Source_Data!AG$6=Inputs!$B$12,-Inputs!$B$7,0)+AG344</f>
        <v>0</v>
      </c>
      <c r="AH345" s="33" t="n">
        <f aca="false">IF(Source_Data!AH$6=Inputs!$B$12,-Inputs!$B$7,0)+AH344</f>
        <v>0</v>
      </c>
      <c r="AI345" s="33" t="n">
        <f aca="false">IF(Source_Data!AI$6=Inputs!$B$12,-Inputs!$B$7,0)+AI344</f>
        <v>0</v>
      </c>
      <c r="AJ345" s="33" t="n">
        <f aca="false">IF(Source_Data!AJ$6=Inputs!$B$12,-Inputs!$B$7,0)+AJ344</f>
        <v>0</v>
      </c>
      <c r="AK345" s="33" t="n">
        <f aca="false">IF(Source_Data!AK$6=Inputs!$B$12,-Inputs!$B$7,0)+AK344</f>
        <v>0</v>
      </c>
      <c r="AL345" s="33" t="n">
        <f aca="false">IF(Source_Data!AL$6=Inputs!$B$12,-Inputs!$B$7,0)+AL344</f>
        <v>0</v>
      </c>
      <c r="AM345" s="33" t="n">
        <f aca="false">IF(Source_Data!AM$6=Inputs!$B$12,-Inputs!$B$7,0)+AM344</f>
        <v>0</v>
      </c>
      <c r="AN345" s="33" t="n">
        <f aca="false">IF(Source_Data!AN$6=Inputs!$B$12,-Inputs!$B$7,0)+AN344</f>
        <v>0</v>
      </c>
      <c r="AO345" s="33" t="n">
        <f aca="false">IF(Source_Data!AO$6=Inputs!$B$12,-Inputs!$B$7,0)+AO344</f>
        <v>0</v>
      </c>
      <c r="AP345" s="33" t="n">
        <f aca="false">IF(Source_Data!AP$6=Inputs!$B$12,-Inputs!$B$7,0)+AP344</f>
        <v>0</v>
      </c>
      <c r="AQ345" s="33" t="n">
        <f aca="false">IF(Source_Data!AQ$6=Inputs!$B$12,-Inputs!$B$7,0)+AQ344</f>
        <v>0</v>
      </c>
      <c r="AR345" s="33" t="n">
        <f aca="false">IF(Source_Data!AR$6=Inputs!$B$12,-Inputs!$B$7,0)+AR344</f>
        <v>0</v>
      </c>
      <c r="AS345" s="33" t="n">
        <f aca="false">IF(Source_Data!AS$6=Inputs!$B$12,-Inputs!$B$7,0)+AS344</f>
        <v>0</v>
      </c>
      <c r="AT345" s="33" t="n">
        <f aca="false">IF(Source_Data!AT$6=Inputs!$B$12,-Inputs!$B$7,0)+AT344</f>
        <v>0</v>
      </c>
      <c r="AU345" s="33" t="n">
        <f aca="false">IF(Source_Data!AU$6=Inputs!$B$12,-Inputs!$B$7,0)+AU344</f>
        <v>0</v>
      </c>
      <c r="AV345" s="33" t="n">
        <f aca="false">IF(Source_Data!AV$6=Inputs!$B$12,-Inputs!$B$7,0)+AV344</f>
        <v>0</v>
      </c>
      <c r="AW345" s="33" t="n">
        <f aca="false">IF(Source_Data!AW$6=Inputs!$B$12,-Inputs!$B$7,0)+AW344</f>
        <v>0</v>
      </c>
      <c r="AX345" s="33" t="n">
        <f aca="false">IF(Source_Data!AX$6=Inputs!$B$12,-Inputs!$B$7,0)+AX344</f>
        <v>0</v>
      </c>
      <c r="AY345" s="33" t="n">
        <f aca="false">IF(Source_Data!AY$6=Inputs!$B$12,-Inputs!$B$7,0)+AY344</f>
        <v>0</v>
      </c>
      <c r="AZ345" s="33" t="n">
        <f aca="false">IF(Source_Data!AZ$6=Inputs!$B$12,-Inputs!$B$7,0)+AZ344</f>
        <v>0</v>
      </c>
      <c r="BA345" s="33" t="n">
        <f aca="false">IF(Source_Data!BA$6=Inputs!$B$12,-Inputs!$B$7,0)+BA344</f>
        <v>0</v>
      </c>
      <c r="BB345" s="33" t="n">
        <f aca="false">IF(Source_Data!BB$6=Inputs!$B$12,-Inputs!$B$7,0)+BB344</f>
        <v>0</v>
      </c>
      <c r="BC345" s="33" t="n">
        <f aca="false">IF(Source_Data!BC$6=Inputs!$B$12,-Inputs!$B$7,0)+BC344</f>
        <v>0</v>
      </c>
      <c r="BD345" s="33" t="n">
        <f aca="false">IF(Source_Data!BD$6=Inputs!$B$12,-Inputs!$B$7,0)+BD344</f>
        <v>0</v>
      </c>
      <c r="BE345" s="33" t="n">
        <f aca="false">IF(Source_Data!BE$6=Inputs!$B$12,-Inputs!$B$7,0)+BE344</f>
        <v>0</v>
      </c>
      <c r="BF345" s="33" t="n">
        <f aca="false">IF(Source_Data!BF$6=Inputs!$B$12,-Inputs!$B$7,0)+BF344</f>
        <v>0</v>
      </c>
      <c r="BG345" s="33" t="n">
        <f aca="false">IF(Source_Data!BG$6=Inputs!$B$12,-Inputs!$B$7,0)+BG344</f>
        <v>0</v>
      </c>
      <c r="BH345" s="33" t="n">
        <f aca="false">IF(Source_Data!BH$6=Inputs!$B$12,-Inputs!$B$7,0)+BH344</f>
        <v>0</v>
      </c>
      <c r="BI345" s="33" t="n">
        <f aca="false">IF(Source_Data!BI$6=Inputs!$B$12,-Inputs!$B$7,0)+BI344</f>
        <v>0</v>
      </c>
      <c r="BJ345" s="33" t="n">
        <f aca="false">IF(Source_Data!BJ$6=Inputs!$B$12,-Inputs!$B$7,0)+BJ344</f>
        <v>0</v>
      </c>
      <c r="BK345" s="33" t="n">
        <f aca="false">IF(Source_Data!BK$6=Inputs!$B$12,-Inputs!$B$7,0)+BK344</f>
        <v>0</v>
      </c>
    </row>
    <row r="346" customFormat="false" ht="15" hidden="false" customHeight="false" outlineLevel="0" collapsed="false">
      <c r="A346" s="3" t="s">
        <v>343</v>
      </c>
      <c r="D346" s="33" t="n">
        <f aca="false">IF(Source_Data!D$6=Inputs!$B$12,Inputs!$B$7,0)+D341-D344</f>
        <v>8.75</v>
      </c>
      <c r="E346" s="33" t="n">
        <f aca="false">D346+IF(Source_Data!E$6=Inputs!$B$12,Inputs!$B$7,0)+E341-E344</f>
        <v>-2.5</v>
      </c>
      <c r="F346" s="33" t="n">
        <f aca="false">E346+IF(Source_Data!F$6=Inputs!$B$12,Inputs!$B$7,0)+F341-F344</f>
        <v>1.3892375</v>
      </c>
      <c r="G346" s="33" t="n">
        <f aca="false">F346+IF(Source_Data!G$6=Inputs!$B$12,Inputs!$B$7,0)+G341-G344</f>
        <v>20.4177125</v>
      </c>
      <c r="H346" s="33" t="n">
        <f aca="false">G346+IF(Source_Data!H$6=Inputs!$B$12,Inputs!$B$7,0)+H341-H344</f>
        <v>16.82971875</v>
      </c>
      <c r="I346" s="33" t="n">
        <f aca="false">H346+IF(Source_Data!I$6=Inputs!$B$12,Inputs!$B$7,0)+I341-I344</f>
        <v>20.64325625</v>
      </c>
      <c r="J346" s="33" t="n">
        <f aca="false">I346+IF(Source_Data!J$6=Inputs!$B$12,Inputs!$B$7,0)+J341-J344</f>
        <v>-6.80243375000001</v>
      </c>
      <c r="K346" s="33" t="n">
        <f aca="false">J346+IF(Source_Data!K$6=Inputs!$B$12,Inputs!$B$7,0)+K341-K344</f>
        <v>-14.372264375</v>
      </c>
      <c r="L346" s="33" t="n">
        <f aca="false">K346+IF(Source_Data!L$6=Inputs!$B$12,Inputs!$B$7,0)+L341-L344</f>
        <v>-13.7466759375</v>
      </c>
      <c r="M346" s="33" t="n">
        <f aca="false">L346+IF(Source_Data!M$6=Inputs!$B$12,Inputs!$B$7,0)+M341-M344</f>
        <v>382.637234895833</v>
      </c>
      <c r="N346" s="33" t="n">
        <f aca="false">M346+IF(Source_Data!N$6=Inputs!$B$12,Inputs!$B$7,0)+N341-N344</f>
        <v>501.022908229167</v>
      </c>
      <c r="O346" s="33" t="n">
        <f aca="false">N346+IF(Source_Data!O$6=Inputs!$B$12,Inputs!$B$7,0)+O341-O344</f>
        <v>610.3648315625</v>
      </c>
      <c r="P346" s="33" t="n">
        <f aca="false">O346+IF(Source_Data!P$6=Inputs!$B$12,Inputs!$B$7,0)+P341-P344</f>
        <v>470.210874895833</v>
      </c>
      <c r="Q346" s="33" t="n">
        <f aca="false">P346+IF(Source_Data!Q$6=Inputs!$B$12,Inputs!$B$7,0)+Q341-Q344</f>
        <v>302.493376979167</v>
      </c>
      <c r="R346" s="33" t="n">
        <f aca="false">Q346+IF(Source_Data!R$6=Inputs!$B$12,Inputs!$B$7,0)+R341-R344</f>
        <v>74.0558790624999</v>
      </c>
      <c r="S346" s="33" t="n">
        <f aca="false">R346+IF(Source_Data!S$6=Inputs!$B$12,Inputs!$B$7,0)+S341-S344</f>
        <v>-90.1899519791668</v>
      </c>
      <c r="T346" s="33" t="n">
        <f aca="false">S346+IF(Source_Data!T$6=Inputs!$B$12,Inputs!$B$7,0)+T341-T344</f>
        <v>-93.1299789583335</v>
      </c>
      <c r="U346" s="33" t="n">
        <f aca="false">T346+IF(Source_Data!U$6=Inputs!$B$12,Inputs!$B$7,0)+U341-U344</f>
        <v>-97.5839296875001</v>
      </c>
      <c r="V346" s="33" t="n">
        <f aca="false">U346+IF(Source_Data!V$6=Inputs!$B$12,Inputs!$B$7,0)+V341-V344</f>
        <v>-108.026651666667</v>
      </c>
      <c r="W346" s="33" t="n">
        <f aca="false">V346+IF(Source_Data!W$6=Inputs!$B$12,Inputs!$B$7,0)+W341-W344</f>
        <v>-122.810373645833</v>
      </c>
      <c r="X346" s="33" t="n">
        <f aca="false">W346+IF(Source_Data!X$6=Inputs!$B$12,Inputs!$B$7,0)+X341-X344</f>
        <v>-115.094095625</v>
      </c>
      <c r="Y346" s="33" t="n">
        <f aca="false">X346+IF(Source_Data!Y$6=Inputs!$B$12,Inputs!$B$7,0)+Y341-Y344</f>
        <v>-95.4913696875001</v>
      </c>
      <c r="Z346" s="33" t="n">
        <f aca="false">Y346+IF(Source_Data!Z$6=Inputs!$B$12,Inputs!$B$7,0)+Z341-Z344</f>
        <v>-75.8886437500001</v>
      </c>
      <c r="AA346" s="33" t="n">
        <f aca="false">Z346+IF(Source_Data!AA$6=Inputs!$B$12,Inputs!$B$7,0)+AA341-AA344</f>
        <v>-56.2859178125001</v>
      </c>
      <c r="AB346" s="33" t="n">
        <f aca="false">AA346+IF(Source_Data!AB$6=Inputs!$B$12,Inputs!$B$7,0)+AB341-AB344</f>
        <v>-19.9711918750001</v>
      </c>
      <c r="AC346" s="33" t="n">
        <f aca="false">AB346+IF(Source_Data!AC$6=Inputs!$B$12,Inputs!$B$7,0)+AC341-AC344</f>
        <v>13.0674356249999</v>
      </c>
      <c r="AD346" s="33" t="n">
        <f aca="false">AC346+IF(Source_Data!AD$6=Inputs!$B$12,Inputs!$B$7,0)+AD341-AD344</f>
        <v>42.4976068749999</v>
      </c>
      <c r="AE346" s="33" t="n">
        <f aca="false">AD346+IF(Source_Data!AE$6=Inputs!$B$12,Inputs!$B$7,0)+AE341-AE344</f>
        <v>67.5867781249999</v>
      </c>
      <c r="AF346" s="33" t="n">
        <f aca="false">AE346+IF(Source_Data!AF$6=Inputs!$B$12,Inputs!$B$7,0)+AF341-AF344</f>
        <v>-15.0822609765627</v>
      </c>
      <c r="AG346" s="33" t="n">
        <f aca="false">AF346+IF(Source_Data!AG$6=Inputs!$B$12,Inputs!$B$7,0)+AG341-AG344</f>
        <v>-0.969602148437671</v>
      </c>
      <c r="AH346" s="33" t="n">
        <f aca="false">AG346+IF(Source_Data!AH$6=Inputs!$B$12,Inputs!$B$7,0)+AH341-AH344</f>
        <v>13.1430566796873</v>
      </c>
      <c r="AI346" s="33" t="n">
        <f aca="false">AH346+IF(Source_Data!AI$6=Inputs!$B$12,Inputs!$B$7,0)+AI341-AI344</f>
        <v>27.2557155078123</v>
      </c>
      <c r="AJ346" s="33" t="n">
        <f aca="false">AI346+IF(Source_Data!AJ$6=Inputs!$B$12,Inputs!$B$7,0)+AJ341-AJ344</f>
        <v>41.3683743359374</v>
      </c>
      <c r="AK346" s="33" t="n">
        <f aca="false">AJ346+IF(Source_Data!AK$6=Inputs!$B$12,Inputs!$B$7,0)+AK341-AK344</f>
        <v>54.2524962499999</v>
      </c>
      <c r="AL346" s="33" t="n">
        <f aca="false">AK346+IF(Source_Data!AL$6=Inputs!$B$12,Inputs!$B$7,0)+AL341-AL344</f>
        <v>67.1366181640624</v>
      </c>
      <c r="AM346" s="33" t="n">
        <f aca="false">AL346+IF(Source_Data!AM$6=Inputs!$B$12,Inputs!$B$7,0)+AM341-AM344</f>
        <v>77.6776174999999</v>
      </c>
      <c r="AN346" s="33" t="n">
        <f aca="false">AM346+IF(Source_Data!AN$6=Inputs!$B$12,Inputs!$B$7,0)+AN341-AN344</f>
        <v>83.0923367187499</v>
      </c>
      <c r="AO346" s="33" t="n">
        <f aca="false">AN346+IF(Source_Data!AO$6=Inputs!$B$12,Inputs!$B$7,0)+AO341-AO344</f>
        <v>85.1007274999999</v>
      </c>
      <c r="AP346" s="33" t="n">
        <f aca="false">AO346+IF(Source_Data!AP$6=Inputs!$B$12,Inputs!$B$7,0)+AP341-AP344</f>
        <v>85.1007274999999</v>
      </c>
      <c r="AQ346" s="33" t="n">
        <f aca="false">AP346+IF(Source_Data!AQ$6=Inputs!$B$12,Inputs!$B$7,0)+AQ341-AQ344</f>
        <v>85.1007274999999</v>
      </c>
      <c r="AR346" s="33" t="n">
        <f aca="false">AQ346+IF(Source_Data!AR$6=Inputs!$B$12,Inputs!$B$7,0)+AR341-AR344</f>
        <v>85.1007274999999</v>
      </c>
      <c r="AS346" s="33" t="n">
        <f aca="false">AR346+IF(Source_Data!AS$6=Inputs!$B$12,Inputs!$B$7,0)+AS341-AS344</f>
        <v>85.1007274999999</v>
      </c>
      <c r="AT346" s="33" t="n">
        <f aca="false">AS346+IF(Source_Data!AT$6=Inputs!$B$12,Inputs!$B$7,0)+AT341-AT344</f>
        <v>85.1007274999999</v>
      </c>
      <c r="AU346" s="33" t="n">
        <f aca="false">AT346+IF(Source_Data!AU$6=Inputs!$B$12,Inputs!$B$7,0)+AU341-AU344</f>
        <v>85.1007274999999</v>
      </c>
      <c r="AV346" s="33" t="n">
        <f aca="false">AU346+IF(Source_Data!AV$6=Inputs!$B$12,Inputs!$B$7,0)+AV341-AV344</f>
        <v>85.1007274999999</v>
      </c>
      <c r="AW346" s="33" t="n">
        <f aca="false">AV346+IF(Source_Data!AW$6=Inputs!$B$12,Inputs!$B$7,0)+AW341-AW344</f>
        <v>85.1007274999999</v>
      </c>
      <c r="AX346" s="33" t="n">
        <f aca="false">AW346+IF(Source_Data!AX$6=Inputs!$B$12,Inputs!$B$7,0)+AX341-AX344</f>
        <v>85.1007274999999</v>
      </c>
      <c r="AY346" s="33" t="n">
        <f aca="false">AX346+IF(Source_Data!AY$6=Inputs!$B$12,Inputs!$B$7,0)+AY341-AY344</f>
        <v>85.1007274999999</v>
      </c>
      <c r="AZ346" s="33" t="n">
        <f aca="false">AY346+IF(Source_Data!AZ$6=Inputs!$B$12,Inputs!$B$7,0)+AZ341-AZ344</f>
        <v>85.1007274999999</v>
      </c>
      <c r="BA346" s="33" t="n">
        <f aca="false">AZ346+IF(Source_Data!BA$6=Inputs!$B$12,Inputs!$B$7,0)+BA341-BA344</f>
        <v>85.1007274999999</v>
      </c>
      <c r="BB346" s="33" t="n">
        <f aca="false">BA346+IF(Source_Data!BB$6=Inputs!$B$12,Inputs!$B$7,0)+BB341-BB344</f>
        <v>85.1007274999999</v>
      </c>
      <c r="BC346" s="33" t="n">
        <f aca="false">BB346+IF(Source_Data!BC$6=Inputs!$B$12,Inputs!$B$7,0)+BC341-BC344</f>
        <v>85.1007274999999</v>
      </c>
      <c r="BD346" s="33" t="n">
        <f aca="false">BC346+IF(Source_Data!BD$6=Inputs!$B$12,Inputs!$B$7,0)+BD341-BD344</f>
        <v>85.1007274999999</v>
      </c>
      <c r="BE346" s="33" t="n">
        <f aca="false">BD346+IF(Source_Data!BE$6=Inputs!$B$12,Inputs!$B$7,0)+BE341-BE344</f>
        <v>85.1007274999999</v>
      </c>
      <c r="BF346" s="33" t="n">
        <f aca="false">BE346+IF(Source_Data!BF$6=Inputs!$B$12,Inputs!$B$7,0)+BF341-BF344</f>
        <v>85.1007274999999</v>
      </c>
      <c r="BG346" s="33" t="n">
        <f aca="false">BF346+IF(Source_Data!BG$6=Inputs!$B$12,Inputs!$B$7,0)+BG341-BG344</f>
        <v>85.1007274999999</v>
      </c>
      <c r="BH346" s="33" t="n">
        <f aca="false">BG346+IF(Source_Data!BH$6=Inputs!$B$12,Inputs!$B$7,0)+BH341-BH344</f>
        <v>85.1007274999999</v>
      </c>
      <c r="BI346" s="33" t="n">
        <f aca="false">BH346+IF(Source_Data!BI$6=Inputs!$B$12,Inputs!$B$7,0)+BI341-BI344</f>
        <v>85.1007274999999</v>
      </c>
      <c r="BJ346" s="33" t="n">
        <f aca="false">BI346+IF(Source_Data!BJ$6=Inputs!$B$12,Inputs!$B$7,0)+BJ341-BJ344</f>
        <v>85.1007274999999</v>
      </c>
      <c r="BK346" s="33" t="n">
        <f aca="false">BJ346+IF(Source_Data!BK$6=Inputs!$B$12,Inputs!$B$7,0)+BK341-BK344</f>
        <v>85.1007274999999</v>
      </c>
    </row>
    <row r="347" customFormat="false" ht="15" hidden="false" customHeight="false" outlineLevel="0" collapsed="false">
      <c r="A347" s="3" t="s">
        <v>344</v>
      </c>
      <c r="D347" s="31" t="str">
        <f aca="false">IF(D344&gt;0,D341/D344,"")</f>
        <v/>
      </c>
      <c r="E347" s="31" t="str">
        <f aca="false">IF(E344&gt;0,E341/E344,"")</f>
        <v/>
      </c>
      <c r="F347" s="31" t="str">
        <f aca="false">IF(F344&gt;0,F341/F344,"")</f>
        <v/>
      </c>
      <c r="G347" s="31" t="str">
        <f aca="false">IF(G344&gt;0,G341/G344,"")</f>
        <v/>
      </c>
      <c r="H347" s="31" t="str">
        <f aca="false">IF(H344&gt;0,H341/H344,"")</f>
        <v/>
      </c>
      <c r="I347" s="31" t="str">
        <f aca="false">IF(I344&gt;0,I341/I344,"")</f>
        <v/>
      </c>
      <c r="J347" s="31" t="str">
        <f aca="false">IF(J344&gt;0,J341/J344,"")</f>
        <v/>
      </c>
      <c r="K347" s="31" t="str">
        <f aca="false">IF(K344&gt;0,K341/K344,"")</f>
        <v/>
      </c>
      <c r="L347" s="31" t="str">
        <f aca="false">IF(L344&gt;0,L341/L344,"")</f>
        <v/>
      </c>
      <c r="M347" s="31" t="n">
        <f aca="false">IF(M344&gt;0,M341/M344,"")</f>
        <v>21.6808996956522</v>
      </c>
      <c r="N347" s="31" t="n">
        <f aca="false">IF(N344&gt;0,N341/N344,"")</f>
        <v>7.17664382608696</v>
      </c>
      <c r="O347" s="31" t="n">
        <f aca="false">IF(O344&gt;0,O341/O344,"")</f>
        <v>6.704796</v>
      </c>
      <c r="P347" s="31" t="n">
        <f aca="false">IF(P344&gt;0,P341/P344,"")</f>
        <v>-6.31238034782609</v>
      </c>
      <c r="Q347" s="31" t="n">
        <f aca="false">IF(Q344&gt;0,Q341/Q344,"")</f>
        <v>-7.75047815217392</v>
      </c>
      <c r="R347" s="31" t="n">
        <f aca="false">IF(R344&gt;0,R341/R344,"")</f>
        <v>-10.9184781521739</v>
      </c>
      <c r="S347" s="31" t="n">
        <f aca="false">IF(S344&gt;0,S341/S344,"")</f>
        <v>-7.56934770652174</v>
      </c>
      <c r="T347" s="31" t="n">
        <f aca="false">IF(T344&gt;0,T341/T344,"")</f>
        <v>0.846607288043478</v>
      </c>
      <c r="U347" s="31" t="n">
        <f aca="false">IF(U344&gt;0,U341/U344,"")</f>
        <v>0.767619961956522</v>
      </c>
      <c r="V347" s="31" t="n">
        <f aca="false">IF(V344&gt;0,V341/V344,"")</f>
        <v>0.455162331521739</v>
      </c>
      <c r="W347" s="31" t="n">
        <f aca="false">IF(W344&gt;0,W341/W344,"")</f>
        <v>0.228675375</v>
      </c>
      <c r="X347" s="31" t="n">
        <f aca="false">IF(X344&gt;0,X341/X344,"")</f>
        <v>1.40258841847826</v>
      </c>
      <c r="Y347" s="31" t="str">
        <f aca="false">IF(Y344&gt;0,Y341/Y344,"")</f>
        <v/>
      </c>
      <c r="Z347" s="31" t="str">
        <f aca="false">IF(Z344&gt;0,Z341/Z344,"")</f>
        <v/>
      </c>
      <c r="AA347" s="31" t="str">
        <f aca="false">IF(AA344&gt;0,AA341/AA344,"")</f>
        <v/>
      </c>
      <c r="AB347" s="31" t="str">
        <f aca="false">IF(AB344&gt;0,AB341/AB344,"")</f>
        <v/>
      </c>
      <c r="AC347" s="31" t="str">
        <f aca="false">IF(AC344&gt;0,AC341/AC344,"")</f>
        <v/>
      </c>
      <c r="AD347" s="31" t="str">
        <f aca="false">IF(AD344&gt;0,AD341/AD344,"")</f>
        <v/>
      </c>
      <c r="AE347" s="31" t="str">
        <f aca="false">IF(AE344&gt;0,AE341/AE344,"")</f>
        <v/>
      </c>
      <c r="AF347" s="31" t="str">
        <f aca="false">IF(AF344&gt;0,AF341/AF344,"")</f>
        <v/>
      </c>
      <c r="AG347" s="31" t="str">
        <f aca="false">IF(AG344&gt;0,AG341/AG344,"")</f>
        <v/>
      </c>
      <c r="AH347" s="31" t="str">
        <f aca="false">IF(AH344&gt;0,AH341/AH344,"")</f>
        <v/>
      </c>
      <c r="AI347" s="31" t="str">
        <f aca="false">IF(AI344&gt;0,AI341/AI344,"")</f>
        <v/>
      </c>
      <c r="AJ347" s="31" t="str">
        <f aca="false">IF(AJ344&gt;0,AJ341/AJ344,"")</f>
        <v/>
      </c>
      <c r="AK347" s="31" t="str">
        <f aca="false">IF(AK344&gt;0,AK341/AK344,"")</f>
        <v/>
      </c>
      <c r="AL347" s="31" t="str">
        <f aca="false">IF(AL344&gt;0,AL341/AL344,"")</f>
        <v/>
      </c>
      <c r="AM347" s="31" t="str">
        <f aca="false">IF(AM344&gt;0,AM341/AM344,"")</f>
        <v/>
      </c>
      <c r="AN347" s="31" t="str">
        <f aca="false">IF(AN344&gt;0,AN341/AN344,"")</f>
        <v/>
      </c>
      <c r="AO347" s="31" t="str">
        <f aca="false">IF(AO344&gt;0,AO341/AO344,"")</f>
        <v/>
      </c>
      <c r="AP347" s="31" t="str">
        <f aca="false">IF(AP344&gt;0,AP341/AP344,"")</f>
        <v/>
      </c>
      <c r="AQ347" s="31" t="str">
        <f aca="false">IF(AQ344&gt;0,AQ341/AQ344,"")</f>
        <v/>
      </c>
      <c r="AR347" s="31" t="str">
        <f aca="false">IF(AR344&gt;0,AR341/AR344,"")</f>
        <v/>
      </c>
      <c r="AS347" s="31" t="str">
        <f aca="false">IF(AS344&gt;0,AS341/AS344,"")</f>
        <v/>
      </c>
      <c r="AT347" s="31" t="str">
        <f aca="false">IF(AT344&gt;0,AT341/AT344,"")</f>
        <v/>
      </c>
      <c r="AU347" s="31" t="str">
        <f aca="false">IF(AU344&gt;0,AU341/AU344,"")</f>
        <v/>
      </c>
      <c r="AV347" s="31" t="str">
        <f aca="false">IF(AV344&gt;0,AV341/AV344,"")</f>
        <v/>
      </c>
      <c r="AW347" s="31" t="str">
        <f aca="false">IF(AW344&gt;0,AW341/AW344,"")</f>
        <v/>
      </c>
      <c r="AX347" s="31" t="str">
        <f aca="false">IF(AX344&gt;0,AX341/AX344,"")</f>
        <v/>
      </c>
      <c r="AY347" s="31" t="str">
        <f aca="false">IF(AY344&gt;0,AY341/AY344,"")</f>
        <v/>
      </c>
      <c r="AZ347" s="31" t="str">
        <f aca="false">IF(AZ344&gt;0,AZ341/AZ344,"")</f>
        <v/>
      </c>
      <c r="BA347" s="31" t="str">
        <f aca="false">IF(BA344&gt;0,BA341/BA344,"")</f>
        <v/>
      </c>
      <c r="BB347" s="31" t="str">
        <f aca="false">IF(BB344&gt;0,BB341/BB344,"")</f>
        <v/>
      </c>
      <c r="BC347" s="31" t="str">
        <f aca="false">IF(BC344&gt;0,BC341/BC344,"")</f>
        <v/>
      </c>
      <c r="BD347" s="31" t="str">
        <f aca="false">IF(BD344&gt;0,BD341/BD344,"")</f>
        <v/>
      </c>
      <c r="BE347" s="31" t="str">
        <f aca="false">IF(BE344&gt;0,BE341/BE344,"")</f>
        <v/>
      </c>
      <c r="BF347" s="31" t="str">
        <f aca="false">IF(BF344&gt;0,BF341/BF344,"")</f>
        <v/>
      </c>
      <c r="BG347" s="31" t="str">
        <f aca="false">IF(BG344&gt;0,BG341/BG344,"")</f>
        <v/>
      </c>
      <c r="BH347" s="31" t="str">
        <f aca="false">IF(BH344&gt;0,BH341/BH344,"")</f>
        <v/>
      </c>
      <c r="BI347" s="31" t="str">
        <f aca="false">IF(BI344&gt;0,BI341/BI344,"")</f>
        <v/>
      </c>
      <c r="BJ347" s="31" t="str">
        <f aca="false">IF(BJ344&gt;0,BJ341/BJ344,"")</f>
        <v/>
      </c>
      <c r="BK347" s="31" t="str">
        <f aca="false">IF(BK344&gt;0,BK341/BK344,"")</f>
        <v/>
      </c>
    </row>
    <row r="348" customFormat="false" ht="15" hidden="false" customHeight="false" outlineLevel="0" collapsed="false">
      <c r="A348" s="3" t="s">
        <v>345</v>
      </c>
      <c r="D348" s="31" t="str">
        <f aca="false">IF(D344&gt;0,(0+D341+IF(Source_Data!D$6=Inputs!$B$12,Inputs!$B$7,0))/D344,"")</f>
        <v/>
      </c>
      <c r="E348" s="31" t="str">
        <f aca="false">IF(E344&gt;0,(D346+E341+IF(Source_Data!E$6=Inputs!$B$12,Inputs!$B$7,0))/E344,"")</f>
        <v/>
      </c>
      <c r="F348" s="31" t="str">
        <f aca="false">IF(F344&gt;0,(E346+F341+IF(Source_Data!F$6=Inputs!$B$12,Inputs!$B$7,0))/F344,"")</f>
        <v/>
      </c>
      <c r="G348" s="31" t="str">
        <f aca="false">IF(G344&gt;0,(F346+G341+IF(Source_Data!G$6=Inputs!$B$12,Inputs!$B$7,0))/G344,"")</f>
        <v/>
      </c>
      <c r="H348" s="31" t="str">
        <f aca="false">IF(H344&gt;0,(G346+H341+IF(Source_Data!H$6=Inputs!$B$12,Inputs!$B$7,0))/H344,"")</f>
        <v/>
      </c>
      <c r="I348" s="31" t="str">
        <f aca="false">IF(I344&gt;0,(H346+I341+IF(Source_Data!I$6=Inputs!$B$12,Inputs!$B$7,0))/I344,"")</f>
        <v/>
      </c>
      <c r="J348" s="31" t="str">
        <f aca="false">IF(J344&gt;0,(I346+J341+IF(Source_Data!J$6=Inputs!$B$12,Inputs!$B$7,0))/J344,"")</f>
        <v/>
      </c>
      <c r="K348" s="31" t="str">
        <f aca="false">IF(K344&gt;0,(J346+K341+IF(Source_Data!K$6=Inputs!$B$12,Inputs!$B$7,0))/K344,"")</f>
        <v/>
      </c>
      <c r="L348" s="31" t="str">
        <f aca="false">IF(L344&gt;0,(K346+L341+IF(Source_Data!L$6=Inputs!$B$12,Inputs!$B$7,0))/L344,"")</f>
        <v/>
      </c>
      <c r="M348" s="31" t="n">
        <f aca="false">IF(M344&gt;0,(L346+M341+IF(Source_Data!M$6=Inputs!$B$12,Inputs!$B$7,0))/M344,"")</f>
        <v>20.9636818206522</v>
      </c>
      <c r="N348" s="31" t="n">
        <f aca="false">IF(N344&gt;0,(M346+N341+IF(Source_Data!N$6=Inputs!$B$12,Inputs!$B$7,0))/N344,"")</f>
        <v>27.1403256467391</v>
      </c>
      <c r="O348" s="31" t="n">
        <f aca="false">IF(O344&gt;0,(N346+O341+IF(Source_Data!O$6=Inputs!$B$12,Inputs!$B$7,0))/O344,"")</f>
        <v>32.8451216467391</v>
      </c>
      <c r="P348" s="31" t="n">
        <f aca="false">IF(P344&gt;0,(O346+P341+IF(Source_Data!P$6=Inputs!$B$12,Inputs!$B$7,0))/P344,"")</f>
        <v>25.532741298913</v>
      </c>
      <c r="Q348" s="31" t="n">
        <f aca="false">IF(Q344&gt;0,(P346+Q341+IF(Source_Data!Q$6=Inputs!$B$12,Inputs!$B$7,0))/Q344,"")</f>
        <v>16.7822631467391</v>
      </c>
      <c r="R348" s="31" t="n">
        <f aca="false">IF(R344&gt;0,(Q346+R341+IF(Source_Data!R$6=Inputs!$B$12,Inputs!$B$7,0))/R344,"")</f>
        <v>4.86378499456521</v>
      </c>
      <c r="S348" s="31" t="n">
        <f aca="false">IF(S344&gt;0,(R346+S341+IF(Source_Data!S$6=Inputs!$B$12,Inputs!$B$7,0))/S344,"")</f>
        <v>-3.70556271195653</v>
      </c>
      <c r="T348" s="31" t="n">
        <f aca="false">IF(T344&gt;0,(S346+T341+IF(Source_Data!T$6=Inputs!$B$12,Inputs!$B$7,0))/T344,"")</f>
        <v>-3.85895542391305</v>
      </c>
      <c r="U348" s="31" t="n">
        <f aca="false">IF(U344&gt;0,(T346+U341+IF(Source_Data!U$6=Inputs!$B$12,Inputs!$B$7,0))/U344,"")</f>
        <v>-4.09133546195653</v>
      </c>
      <c r="V348" s="31" t="n">
        <f aca="false">IF(V344&gt;0,(U346+V341+IF(Source_Data!V$6=Inputs!$B$12,Inputs!$B$7,0))/V344,"")</f>
        <v>-4.63617313043479</v>
      </c>
      <c r="W348" s="31" t="n">
        <f aca="false">IF(W344&gt;0,(V346+W341+IF(Source_Data!W$6=Inputs!$B$12,Inputs!$B$7,0))/W344,"")</f>
        <v>-5.40749775543479</v>
      </c>
      <c r="X348" s="31" t="n">
        <f aca="false">IF(X344&gt;0,(W346+X341+IF(Source_Data!X$6=Inputs!$B$12,Inputs!$B$7,0))/X344,"")</f>
        <v>-5.00490933695653</v>
      </c>
      <c r="Y348" s="31" t="str">
        <f aca="false">IF(Y344&gt;0,(X346+Y341+IF(Source_Data!Y$6=Inputs!$B$12,Inputs!$B$7,0))/Y344,"")</f>
        <v/>
      </c>
      <c r="Z348" s="31" t="str">
        <f aca="false">IF(Z344&gt;0,(Y346+Z341+IF(Source_Data!Z$6=Inputs!$B$12,Inputs!$B$7,0))/Z344,"")</f>
        <v/>
      </c>
      <c r="AA348" s="31" t="str">
        <f aca="false">IF(AA344&gt;0,(Z346+AA341+IF(Source_Data!AA$6=Inputs!$B$12,Inputs!$B$7,0))/AA344,"")</f>
        <v/>
      </c>
      <c r="AB348" s="31" t="str">
        <f aca="false">IF(AB344&gt;0,(AA346+AB341+IF(Source_Data!AB$6=Inputs!$B$12,Inputs!$B$7,0))/AB344,"")</f>
        <v/>
      </c>
      <c r="AC348" s="31" t="str">
        <f aca="false">IF(AC344&gt;0,(AB346+AC341+IF(Source_Data!AC$6=Inputs!$B$12,Inputs!$B$7,0))/AC344,"")</f>
        <v/>
      </c>
      <c r="AD348" s="31" t="str">
        <f aca="false">IF(AD344&gt;0,(AC346+AD341+IF(Source_Data!AD$6=Inputs!$B$12,Inputs!$B$7,0))/AD344,"")</f>
        <v/>
      </c>
      <c r="AE348" s="31" t="str">
        <f aca="false">IF(AE344&gt;0,(AD346+AE341+IF(Source_Data!AE$6=Inputs!$B$12,Inputs!$B$7,0))/AE344,"")</f>
        <v/>
      </c>
      <c r="AF348" s="31" t="str">
        <f aca="false">IF(AF344&gt;0,(AE346+AF341+IF(Source_Data!AF$6=Inputs!$B$12,Inputs!$B$7,0))/AF344,"")</f>
        <v/>
      </c>
      <c r="AG348" s="31" t="str">
        <f aca="false">IF(AG344&gt;0,(AF346+AG341+IF(Source_Data!AG$6=Inputs!$B$12,Inputs!$B$7,0))/AG344,"")</f>
        <v/>
      </c>
      <c r="AH348" s="31" t="str">
        <f aca="false">IF(AH344&gt;0,(AG346+AH341+IF(Source_Data!AH$6=Inputs!$B$12,Inputs!$B$7,0))/AH344,"")</f>
        <v/>
      </c>
      <c r="AI348" s="31" t="str">
        <f aca="false">IF(AI344&gt;0,(AH346+AI341+IF(Source_Data!AI$6=Inputs!$B$12,Inputs!$B$7,0))/AI344,"")</f>
        <v/>
      </c>
      <c r="AJ348" s="31" t="str">
        <f aca="false">IF(AJ344&gt;0,(AI346+AJ341+IF(Source_Data!AJ$6=Inputs!$B$12,Inputs!$B$7,0))/AJ344,"")</f>
        <v/>
      </c>
      <c r="AK348" s="31" t="str">
        <f aca="false">IF(AK344&gt;0,(AJ346+AK341+IF(Source_Data!AK$6=Inputs!$B$12,Inputs!$B$7,0))/AK344,"")</f>
        <v/>
      </c>
      <c r="AL348" s="31" t="str">
        <f aca="false">IF(AL344&gt;0,(AK346+AL341+IF(Source_Data!AL$6=Inputs!$B$12,Inputs!$B$7,0))/AL344,"")</f>
        <v/>
      </c>
      <c r="AM348" s="31" t="str">
        <f aca="false">IF(AM344&gt;0,(AL346+AM341+IF(Source_Data!AM$6=Inputs!$B$12,Inputs!$B$7,0))/AM344,"")</f>
        <v/>
      </c>
      <c r="AN348" s="31" t="str">
        <f aca="false">IF(AN344&gt;0,(AM346+AN341+IF(Source_Data!AN$6=Inputs!$B$12,Inputs!$B$7,0))/AN344,"")</f>
        <v/>
      </c>
      <c r="AO348" s="31" t="str">
        <f aca="false">IF(AO344&gt;0,(AN346+AO341+IF(Source_Data!AO$6=Inputs!$B$12,Inputs!$B$7,0))/AO344,"")</f>
        <v/>
      </c>
      <c r="AP348" s="31" t="str">
        <f aca="false">IF(AP344&gt;0,(AO346+AP341+IF(Source_Data!AP$6=Inputs!$B$12,Inputs!$B$7,0))/AP344,"")</f>
        <v/>
      </c>
      <c r="AQ348" s="31" t="str">
        <f aca="false">IF(AQ344&gt;0,(AP346+AQ341+IF(Source_Data!AQ$6=Inputs!$B$12,Inputs!$B$7,0))/AQ344,"")</f>
        <v/>
      </c>
      <c r="AR348" s="31" t="str">
        <f aca="false">IF(AR344&gt;0,(AQ346+AR341+IF(Source_Data!AR$6=Inputs!$B$12,Inputs!$B$7,0))/AR344,"")</f>
        <v/>
      </c>
      <c r="AS348" s="31" t="str">
        <f aca="false">IF(AS344&gt;0,(AR346+AS341+IF(Source_Data!AS$6=Inputs!$B$12,Inputs!$B$7,0))/AS344,"")</f>
        <v/>
      </c>
      <c r="AT348" s="31" t="str">
        <f aca="false">IF(AT344&gt;0,(AS346+AT341+IF(Source_Data!AT$6=Inputs!$B$12,Inputs!$B$7,0))/AT344,"")</f>
        <v/>
      </c>
      <c r="AU348" s="31" t="str">
        <f aca="false">IF(AU344&gt;0,(AT346+AU341+IF(Source_Data!AU$6=Inputs!$B$12,Inputs!$B$7,0))/AU344,"")</f>
        <v/>
      </c>
      <c r="AV348" s="31" t="str">
        <f aca="false">IF(AV344&gt;0,(AU346+AV341+IF(Source_Data!AV$6=Inputs!$B$12,Inputs!$B$7,0))/AV344,"")</f>
        <v/>
      </c>
      <c r="AW348" s="31" t="str">
        <f aca="false">IF(AW344&gt;0,(AV346+AW341+IF(Source_Data!AW$6=Inputs!$B$12,Inputs!$B$7,0))/AW344,"")</f>
        <v/>
      </c>
      <c r="AX348" s="31" t="str">
        <f aca="false">IF(AX344&gt;0,(AW346+AX341+IF(Source_Data!AX$6=Inputs!$B$12,Inputs!$B$7,0))/AX344,"")</f>
        <v/>
      </c>
      <c r="AY348" s="31" t="str">
        <f aca="false">IF(AY344&gt;0,(AX346+AY341+IF(Source_Data!AY$6=Inputs!$B$12,Inputs!$B$7,0))/AY344,"")</f>
        <v/>
      </c>
      <c r="AZ348" s="31" t="str">
        <f aca="false">IF(AZ344&gt;0,(AY346+AZ341+IF(Source_Data!AZ$6=Inputs!$B$12,Inputs!$B$7,0))/AZ344,"")</f>
        <v/>
      </c>
      <c r="BA348" s="31" t="str">
        <f aca="false">IF(BA344&gt;0,(AZ346+BA341+IF(Source_Data!BA$6=Inputs!$B$12,Inputs!$B$7,0))/BA344,"")</f>
        <v/>
      </c>
      <c r="BB348" s="31" t="str">
        <f aca="false">IF(BB344&gt;0,(BA346+BB341+IF(Source_Data!BB$6=Inputs!$B$12,Inputs!$B$7,0))/BB344,"")</f>
        <v/>
      </c>
      <c r="BC348" s="31" t="str">
        <f aca="false">IF(BC344&gt;0,(BB346+BC341+IF(Source_Data!BC$6=Inputs!$B$12,Inputs!$B$7,0))/BC344,"")</f>
        <v/>
      </c>
      <c r="BD348" s="31" t="str">
        <f aca="false">IF(BD344&gt;0,(BC346+BD341+IF(Source_Data!BD$6=Inputs!$B$12,Inputs!$B$7,0))/BD344,"")</f>
        <v/>
      </c>
      <c r="BE348" s="31" t="str">
        <f aca="false">IF(BE344&gt;0,(BD346+BE341+IF(Source_Data!BE$6=Inputs!$B$12,Inputs!$B$7,0))/BE344,"")</f>
        <v/>
      </c>
      <c r="BF348" s="31" t="str">
        <f aca="false">IF(BF344&gt;0,(BE346+BF341+IF(Source_Data!BF$6=Inputs!$B$12,Inputs!$B$7,0))/BF344,"")</f>
        <v/>
      </c>
      <c r="BG348" s="31" t="str">
        <f aca="false">IF(BG344&gt;0,(BF346+BG341+IF(Source_Data!BG$6=Inputs!$B$12,Inputs!$B$7,0))/BG344,"")</f>
        <v/>
      </c>
      <c r="BH348" s="31" t="str">
        <f aca="false">IF(BH344&gt;0,(BG346+BH341+IF(Source_Data!BH$6=Inputs!$B$12,Inputs!$B$7,0))/BH344,"")</f>
        <v/>
      </c>
      <c r="BI348" s="31" t="str">
        <f aca="false">IF(BI344&gt;0,(BH346+BI341+IF(Source_Data!BI$6=Inputs!$B$12,Inputs!$B$7,0))/BI344,"")</f>
        <v/>
      </c>
      <c r="BJ348" s="31" t="str">
        <f aca="false">IF(BJ344&gt;0,(BI346+BJ341+IF(Source_Data!BJ$6=Inputs!$B$12,Inputs!$B$7,0))/BJ344,"")</f>
        <v/>
      </c>
      <c r="BK348" s="31" t="str">
        <f aca="false">IF(BK344&gt;0,(BJ346+BK341+IF(Source_Data!BK$6=Inputs!$B$12,Inputs!$B$7,0))/BK344,"")</f>
        <v/>
      </c>
    </row>
    <row r="350" customFormat="false" ht="15" hidden="false" customHeight="false" outlineLevel="0" collapsed="false">
      <c r="A350" s="2" t="s">
        <v>220</v>
      </c>
      <c r="B350" s="41" t="n">
        <f aca="false">SUM(D341:BK341)</f>
        <v>215.1007275</v>
      </c>
    </row>
    <row r="351" customFormat="false" ht="15" hidden="false" customHeight="false" outlineLevel="0" collapsed="false">
      <c r="A351" s="2" t="s">
        <v>346</v>
      </c>
      <c r="B351" s="41" t="n">
        <f aca="false">SUMPRODUCT(D341:BK341,Project_CF!$D$15:$BK$15)</f>
        <v>109.379969524313</v>
      </c>
    </row>
    <row r="352" customFormat="false" ht="15" hidden="false" customHeight="false" outlineLevel="0" collapsed="false">
      <c r="A352" s="2" t="s">
        <v>162</v>
      </c>
      <c r="B352" s="41" t="n">
        <f aca="false">MIN(D342:BK342)</f>
        <v>-114.372264375</v>
      </c>
    </row>
    <row r="353" customFormat="false" ht="15" hidden="false" customHeight="false" outlineLevel="0" collapsed="false">
      <c r="A353" s="2" t="s">
        <v>347</v>
      </c>
      <c r="B353" s="35" t="n">
        <f aca="false">INDEX(Project_CF!$D$6:$BK$6,MATCH(MIN(D342:BK342),D342:BK342,0))</f>
        <v>24</v>
      </c>
    </row>
    <row r="354" customFormat="false" ht="15" hidden="false" customHeight="false" outlineLevel="0" collapsed="false">
      <c r="A354" s="2" t="s">
        <v>348</v>
      </c>
      <c r="B354" s="39" t="n">
        <f aca="false">(1+IRR(D343:BK343,0.05))^4-1</f>
        <v>0.264029906719608</v>
      </c>
    </row>
    <row r="355" customFormat="false" ht="15" hidden="false" customHeight="false" outlineLevel="0" collapsed="false">
      <c r="A355" s="2" t="s">
        <v>349</v>
      </c>
      <c r="B355" s="40" t="n">
        <f aca="false">SUMIF(D343:BK343,"&gt;0")/-SUMIF(D343:BK343,"&lt;0")</f>
        <v>2.78136200716846</v>
      </c>
    </row>
    <row r="356" customFormat="false" ht="15" hidden="false" customHeight="false" outlineLevel="0" collapsed="false">
      <c r="A356" s="2" t="s">
        <v>350</v>
      </c>
      <c r="B356" s="39" t="n">
        <f aca="false">(1+IRR(D345:BK345,0.05))^4-1</f>
        <v>0.265463994839995</v>
      </c>
    </row>
    <row r="357" customFormat="false" ht="15" hidden="false" customHeight="false" outlineLevel="0" collapsed="false">
      <c r="A357" s="2" t="s">
        <v>351</v>
      </c>
      <c r="B357" s="41" t="n">
        <f aca="false">MIN(D346:BK346)</f>
        <v>-122.810373645833</v>
      </c>
    </row>
    <row r="358" customFormat="false" ht="15" hidden="false" customHeight="false" outlineLevel="0" collapsed="false">
      <c r="A358" s="2" t="s">
        <v>352</v>
      </c>
      <c r="B358" s="43" t="n">
        <f aca="false">MIN(D347:BK347)</f>
        <v>-10.9184781521739</v>
      </c>
    </row>
    <row r="359" customFormat="false" ht="15" hidden="false" customHeight="false" outlineLevel="0" collapsed="false">
      <c r="A359" s="2" t="s">
        <v>353</v>
      </c>
      <c r="B359" s="35" t="n">
        <f aca="false">COUNTIF(D347:BK347,"&lt;"&amp;Inputs!$B$43)</f>
        <v>9</v>
      </c>
    </row>
    <row r="360" customFormat="false" ht="15" hidden="false" customHeight="false" outlineLevel="0" collapsed="false">
      <c r="A360" s="2" t="s">
        <v>354</v>
      </c>
      <c r="B360" s="43" t="n">
        <f aca="false">MIN(D348:BK348)</f>
        <v>-5.40749775543479</v>
      </c>
    </row>
    <row r="361" customFormat="false" ht="15" hidden="false" customHeight="false" outlineLevel="0" collapsed="false">
      <c r="A361" s="2" t="s">
        <v>355</v>
      </c>
      <c r="B361" s="35" t="n">
        <f aca="false">COUNTIF(D348:BK348,"&lt;"&amp;Inputs!$B$43)</f>
        <v>6</v>
      </c>
    </row>
    <row r="364" customFormat="false" ht="15" hidden="false" customHeight="false" outlineLevel="0" collapsed="false">
      <c r="A364" s="8" t="s">
        <v>368</v>
      </c>
    </row>
    <row r="365" customFormat="false" ht="15" hidden="false" customHeight="false" outlineLevel="0" collapsed="false">
      <c r="A365" s="3" t="s">
        <v>331</v>
      </c>
      <c r="B365" s="45" t="n">
        <v>1</v>
      </c>
    </row>
    <row r="366" customFormat="false" ht="15" hidden="false" customHeight="false" outlineLevel="0" collapsed="false">
      <c r="A366" s="3" t="s">
        <v>332</v>
      </c>
      <c r="B366" s="45" t="n">
        <v>0</v>
      </c>
    </row>
    <row r="367" customFormat="false" ht="15" hidden="false" customHeight="false" outlineLevel="0" collapsed="false">
      <c r="A367" s="3" t="s">
        <v>333</v>
      </c>
      <c r="B367" s="45" t="n">
        <v>1</v>
      </c>
    </row>
    <row r="368" customFormat="false" ht="15" hidden="false" customHeight="false" outlineLevel="0" collapsed="false">
      <c r="A368" s="3" t="s">
        <v>334</v>
      </c>
      <c r="B368" s="45" t="n">
        <v>1</v>
      </c>
    </row>
    <row r="369" customFormat="false" ht="15" hidden="false" customHeight="false" outlineLevel="0" collapsed="false">
      <c r="A369" s="3" t="s">
        <v>335</v>
      </c>
      <c r="B369" s="45" t="n">
        <v>0</v>
      </c>
    </row>
    <row r="370" customFormat="false" ht="15" hidden="false" customHeight="false" outlineLevel="0" collapsed="false">
      <c r="A370" s="3" t="s">
        <v>336</v>
      </c>
      <c r="B370" s="3" t="n">
        <f aca="false">Inputs!$B$13+3+3*$B$366</f>
        <v>51</v>
      </c>
    </row>
    <row r="371" customFormat="false" ht="15" hidden="false" customHeight="false" outlineLevel="0" collapsed="false">
      <c r="A371" s="3" t="s">
        <v>337</v>
      </c>
      <c r="D371" s="33" t="n">
        <f aca="false">Source_Data!D$7+IF($B$369=1,IF(Source_Data!D$6=Inputs!$B$13,Source_Data!$C$8,0),Source_Data!D$8)</f>
        <v>0</v>
      </c>
      <c r="E371" s="33" t="n">
        <f aca="false">Source_Data!E$7+IF($B$369=1,IF(Source_Data!E$6=Inputs!$B$13,Source_Data!$C$8,0),Source_Data!E$8)</f>
        <v>0</v>
      </c>
      <c r="F371" s="33" t="n">
        <f aca="false">Source_Data!F$7+IF($B$369=1,IF(Source_Data!F$6=Inputs!$B$13,Source_Data!$C$8,0),Source_Data!F$8)</f>
        <v>15.1392375</v>
      </c>
      <c r="G371" s="33" t="n">
        <f aca="false">Source_Data!G$7+IF($B$369=1,IF(Source_Data!G$6=Inputs!$B$13,Source_Data!$C$8,0),Source_Data!G$8)</f>
        <v>30.278475</v>
      </c>
      <c r="H371" s="33" t="n">
        <f aca="false">Source_Data!H$7+IF($B$369=1,IF(Source_Data!H$6=Inputs!$B$13,Source_Data!$C$8,0),Source_Data!H$8)</f>
        <v>46.51200625</v>
      </c>
      <c r="I371" s="33" t="n">
        <f aca="false">Source_Data!I$7+IF($B$369=1,IF(Source_Data!I$6=Inputs!$B$13,Source_Data!$C$8,0),Source_Data!I$8)</f>
        <v>62.7455375</v>
      </c>
      <c r="J371" s="33" t="n">
        <f aca="false">Source_Data!J$7+IF($B$369=1,IF(Source_Data!J$6=Inputs!$B$13,Source_Data!$C$8,0),Source_Data!J$8)</f>
        <v>62.3657</v>
      </c>
      <c r="K371" s="33" t="n">
        <f aca="false">Source_Data!K$7+IF($B$369=1,IF(Source_Data!K$6=Inputs!$B$13,Source_Data!$C$8,0),Source_Data!K$8)</f>
        <v>63.473559375</v>
      </c>
      <c r="L371" s="33" t="n">
        <f aca="false">Source_Data!L$7+IF($B$369=1,IF(Source_Data!L$6=Inputs!$B$13,Source_Data!$C$8,0),Source_Data!L$8)</f>
        <v>80.3288484375</v>
      </c>
      <c r="M371" s="33" t="n">
        <f aca="false">Source_Data!M$7+IF($B$369=1,IF(Source_Data!M$6=Inputs!$B$13,Source_Data!$C$8,0),Source_Data!M$8)</f>
        <v>495.2538375</v>
      </c>
      <c r="N371" s="33" t="n">
        <f aca="false">Source_Data!N$7+IF($B$369=1,IF(Source_Data!N$6=Inputs!$B$13,Source_Data!$C$8,0),Source_Data!N$8)</f>
        <v>185.57775</v>
      </c>
      <c r="O371" s="33" t="n">
        <f aca="false">Source_Data!O$7+IF($B$369=1,IF(Source_Data!O$6=Inputs!$B$13,Source_Data!$C$8,0),Source_Data!O$8)</f>
        <v>176.534</v>
      </c>
      <c r="P371" s="33" t="n">
        <f aca="false">Source_Data!P$7+IF($B$369=1,IF(Source_Data!P$6=Inputs!$B$13,Source_Data!$C$8,0),Source_Data!P$8)</f>
        <v>97.31075</v>
      </c>
      <c r="Q371" s="33" t="n">
        <f aca="false">Source_Data!Q$7+IF($B$369=1,IF(Source_Data!Q$6=Inputs!$B$13,Source_Data!$C$8,0),Source_Data!Q$8)</f>
        <v>71.30996875</v>
      </c>
      <c r="R371" s="33" t="n">
        <f aca="false">Source_Data!R$7+IF($B$369=1,IF(Source_Data!R$6=Inputs!$B$13,Source_Data!$C$8,0),Source_Data!R$8)</f>
        <v>71.30996875</v>
      </c>
      <c r="S371" s="33" t="n">
        <f aca="false">Source_Data!S$7+IF($B$369=1,IF(Source_Data!S$6=Inputs!$B$13,Source_Data!$C$8,0),Source_Data!S$8)</f>
        <v>68.037035625</v>
      </c>
      <c r="T371" s="33" t="n">
        <f aca="false">Source_Data!T$7+IF($B$369=1,IF(Source_Data!T$6=Inputs!$B$13,Source_Data!$C$8,0),Source_Data!T$8)</f>
        <v>61.2266396875</v>
      </c>
      <c r="U371" s="33" t="n">
        <f aca="false">Source_Data!U$7+IF($B$369=1,IF(Source_Data!U$6=Inputs!$B$13,Source_Data!$C$8,0),Source_Data!U$8)</f>
        <v>59.7127159375</v>
      </c>
      <c r="V371" s="33" t="n">
        <f aca="false">Source_Data!V$7+IF($B$369=1,IF(Source_Data!V$6=Inputs!$B$13,Source_Data!$C$8,0),Source_Data!V$8)</f>
        <v>53.7239446875</v>
      </c>
      <c r="W371" s="33" t="n">
        <f aca="false">Source_Data!W$7+IF($B$369=1,IF(Source_Data!W$6=Inputs!$B$13,Source_Data!$C$8,0),Source_Data!W$8)</f>
        <v>49.3829446875</v>
      </c>
      <c r="X371" s="33" t="n">
        <f aca="false">Source_Data!X$7+IF($B$369=1,IF(Source_Data!X$6=Inputs!$B$13,Source_Data!$C$8,0),Source_Data!X$8)</f>
        <v>49.3829446875</v>
      </c>
      <c r="Y371" s="33" t="n">
        <f aca="false">Source_Data!Y$7+IF($B$369=1,IF(Source_Data!Y$6=Inputs!$B$13,Source_Data!$C$8,0),Source_Data!Y$8)</f>
        <v>42.1027259375</v>
      </c>
      <c r="Z371" s="33" t="n">
        <f aca="false">Source_Data!Z$7+IF($B$369=1,IF(Source_Data!Z$6=Inputs!$B$13,Source_Data!$C$8,0),Source_Data!Z$8)</f>
        <v>42.1027259375</v>
      </c>
      <c r="AA371" s="33" t="n">
        <f aca="false">Source_Data!AA$7+IF($B$369=1,IF(Source_Data!AA$6=Inputs!$B$13,Source_Data!$C$8,0),Source_Data!AA$8)</f>
        <v>42.1027259375</v>
      </c>
      <c r="AB371" s="33" t="n">
        <f aca="false">Source_Data!AB$7+IF($B$369=1,IF(Source_Data!AB$6=Inputs!$B$13,Source_Data!$C$8,0),Source_Data!AB$8)</f>
        <v>36.3147259375</v>
      </c>
      <c r="AC371" s="33" t="n">
        <f aca="false">Source_Data!AC$7+IF($B$369=1,IF(Source_Data!AC$6=Inputs!$B$13,Source_Data!$C$8,0),Source_Data!AC$8)</f>
        <v>33.0386275</v>
      </c>
      <c r="AD371" s="33" t="n">
        <f aca="false">Source_Data!AD$7+IF($B$369=1,IF(Source_Data!AD$6=Inputs!$B$13,Source_Data!$C$8,0),Source_Data!AD$8)</f>
        <v>29.43017125</v>
      </c>
      <c r="AE371" s="33" t="n">
        <f aca="false">Source_Data!AE$7+IF($B$369=1,IF(Source_Data!AE$6=Inputs!$B$13,Source_Data!$C$8,0),Source_Data!AE$8)</f>
        <v>25.08917125</v>
      </c>
      <c r="AF371" s="33" t="n">
        <f aca="false">Source_Data!AF$7+IF($B$369=1,IF(Source_Data!AF$6=Inputs!$B$13,Source_Data!$C$8,0),Source_Data!AF$8)</f>
        <v>25.08917125</v>
      </c>
      <c r="AG371" s="33" t="n">
        <f aca="false">Source_Data!AG$7+IF($B$369=1,IF(Source_Data!AG$6=Inputs!$B$13,Source_Data!$C$8,0),Source_Data!AG$8)</f>
        <v>25.08917125</v>
      </c>
      <c r="AH371" s="33" t="n">
        <f aca="false">Source_Data!AH$7+IF($B$369=1,IF(Source_Data!AH$6=Inputs!$B$13,Source_Data!$C$8,0),Source_Data!AH$8)</f>
        <v>25.08917125</v>
      </c>
      <c r="AI371" s="33" t="n">
        <f aca="false">Source_Data!AI$7+IF($B$369=1,IF(Source_Data!AI$6=Inputs!$B$13,Source_Data!$C$8,0),Source_Data!AI$8)</f>
        <v>25.08917125</v>
      </c>
      <c r="AJ371" s="33" t="n">
        <f aca="false">Source_Data!AJ$7+IF($B$369=1,IF(Source_Data!AJ$6=Inputs!$B$13,Source_Data!$C$8,0),Source_Data!AJ$8)</f>
        <v>25.08917125</v>
      </c>
      <c r="AK371" s="33" t="n">
        <f aca="false">Source_Data!AK$7+IF($B$369=1,IF(Source_Data!AK$6=Inputs!$B$13,Source_Data!$C$8,0),Source_Data!AK$8)</f>
        <v>22.905105625</v>
      </c>
      <c r="AL371" s="33" t="n">
        <f aca="false">Source_Data!AL$7+IF($B$369=1,IF(Source_Data!AL$6=Inputs!$B$13,Source_Data!$C$8,0),Source_Data!AL$8)</f>
        <v>22.905105625</v>
      </c>
      <c r="AM371" s="33" t="n">
        <f aca="false">Source_Data!AM$7+IF($B$369=1,IF(Source_Data!AM$6=Inputs!$B$13,Source_Data!$C$8,0),Source_Data!AM$8)</f>
        <v>18.739554375</v>
      </c>
      <c r="AN371" s="33" t="n">
        <f aca="false">Source_Data!AN$7+IF($B$369=1,IF(Source_Data!AN$6=Inputs!$B$13,Source_Data!$C$8,0),Source_Data!AN$8)</f>
        <v>9.6261675</v>
      </c>
      <c r="AO371" s="33" t="n">
        <f aca="false">Source_Data!AO$7+IF($B$369=1,IF(Source_Data!AO$6=Inputs!$B$13,Source_Data!$C$8,0),Source_Data!AO$8)</f>
        <v>3.5704725</v>
      </c>
      <c r="AP371" s="33" t="n">
        <f aca="false">Source_Data!AP$7+IF($B$369=1,IF(Source_Data!AP$6=Inputs!$B$13,Source_Data!$C$8,0),Source_Data!AP$8)</f>
        <v>0</v>
      </c>
      <c r="AQ371" s="33" t="n">
        <f aca="false">Source_Data!AQ$7+IF($B$369=1,IF(Source_Data!AQ$6=Inputs!$B$13,Source_Data!$C$8,0),Source_Data!AQ$8)</f>
        <v>0</v>
      </c>
      <c r="AR371" s="33" t="n">
        <f aca="false">Source_Data!AR$7+IF($B$369=1,IF(Source_Data!AR$6=Inputs!$B$13,Source_Data!$C$8,0),Source_Data!AR$8)</f>
        <v>0</v>
      </c>
      <c r="AS371" s="33" t="n">
        <f aca="false">Source_Data!AS$7+IF($B$369=1,IF(Source_Data!AS$6=Inputs!$B$13,Source_Data!$C$8,0),Source_Data!AS$8)</f>
        <v>0</v>
      </c>
      <c r="AT371" s="33" t="n">
        <f aca="false">Source_Data!AT$7+IF($B$369=1,IF(Source_Data!AT$6=Inputs!$B$13,Source_Data!$C$8,0),Source_Data!AT$8)</f>
        <v>0</v>
      </c>
      <c r="AU371" s="33" t="n">
        <f aca="false">Source_Data!AU$7+IF($B$369=1,IF(Source_Data!AU$6=Inputs!$B$13,Source_Data!$C$8,0),Source_Data!AU$8)</f>
        <v>0</v>
      </c>
      <c r="AV371" s="33" t="n">
        <f aca="false">Source_Data!AV$7+IF($B$369=1,IF(Source_Data!AV$6=Inputs!$B$13,Source_Data!$C$8,0),Source_Data!AV$8)</f>
        <v>0</v>
      </c>
      <c r="AW371" s="33" t="n">
        <f aca="false">Source_Data!AW$7+IF($B$369=1,IF(Source_Data!AW$6=Inputs!$B$13,Source_Data!$C$8,0),Source_Data!AW$8)</f>
        <v>0</v>
      </c>
      <c r="AX371" s="33" t="n">
        <f aca="false">Source_Data!AX$7+IF($B$369=1,IF(Source_Data!AX$6=Inputs!$B$13,Source_Data!$C$8,0),Source_Data!AX$8)</f>
        <v>0</v>
      </c>
      <c r="AY371" s="33" t="n">
        <f aca="false">Source_Data!AY$7+IF($B$369=1,IF(Source_Data!AY$6=Inputs!$B$13,Source_Data!$C$8,0),Source_Data!AY$8)</f>
        <v>0</v>
      </c>
      <c r="AZ371" s="33" t="n">
        <f aca="false">Source_Data!AZ$7+IF($B$369=1,IF(Source_Data!AZ$6=Inputs!$B$13,Source_Data!$C$8,0),Source_Data!AZ$8)</f>
        <v>0</v>
      </c>
      <c r="BA371" s="33" t="n">
        <f aca="false">Source_Data!BA$7+IF($B$369=1,IF(Source_Data!BA$6=Inputs!$B$13,Source_Data!$C$8,0),Source_Data!BA$8)</f>
        <v>0</v>
      </c>
      <c r="BB371" s="33" t="n">
        <f aca="false">Source_Data!BB$7+IF($B$369=1,IF(Source_Data!BB$6=Inputs!$B$13,Source_Data!$C$8,0),Source_Data!BB$8)</f>
        <v>0</v>
      </c>
      <c r="BC371" s="33" t="n">
        <f aca="false">Source_Data!BC$7+IF($B$369=1,IF(Source_Data!BC$6=Inputs!$B$13,Source_Data!$C$8,0),Source_Data!BC$8)</f>
        <v>0</v>
      </c>
      <c r="BD371" s="33" t="n">
        <f aca="false">Source_Data!BD$7+IF($B$369=1,IF(Source_Data!BD$6=Inputs!$B$13,Source_Data!$C$8,0),Source_Data!BD$8)</f>
        <v>0</v>
      </c>
      <c r="BE371" s="33" t="n">
        <f aca="false">Source_Data!BE$7+IF($B$369=1,IF(Source_Data!BE$6=Inputs!$B$13,Source_Data!$C$8,0),Source_Data!BE$8)</f>
        <v>0</v>
      </c>
      <c r="BF371" s="33" t="n">
        <f aca="false">Source_Data!BF$7+IF($B$369=1,IF(Source_Data!BF$6=Inputs!$B$13,Source_Data!$C$8,0),Source_Data!BF$8)</f>
        <v>0</v>
      </c>
      <c r="BG371" s="33" t="n">
        <f aca="false">Source_Data!BG$7+IF($B$369=1,IF(Source_Data!BG$6=Inputs!$B$13,Source_Data!$C$8,0),Source_Data!BG$8)</f>
        <v>0</v>
      </c>
      <c r="BH371" s="33" t="n">
        <f aca="false">Source_Data!BH$7+IF($B$369=1,IF(Source_Data!BH$6=Inputs!$B$13,Source_Data!$C$8,0),Source_Data!BH$8)</f>
        <v>0</v>
      </c>
      <c r="BI371" s="33" t="n">
        <f aca="false">Source_Data!BI$7+IF($B$369=1,IF(Source_Data!BI$6=Inputs!$B$13,Source_Data!$C$8,0),Source_Data!BI$8)</f>
        <v>0</v>
      </c>
      <c r="BJ371" s="33" t="n">
        <f aca="false">Source_Data!BJ$7+IF($B$369=1,IF(Source_Data!BJ$6=Inputs!$B$13,Source_Data!$C$8,0),Source_Data!BJ$8)</f>
        <v>0</v>
      </c>
      <c r="BK371" s="33" t="n">
        <f aca="false">Source_Data!BK$7+IF($B$369=1,IF(Source_Data!BK$6=Inputs!$B$13,Source_Data!$C$8,0),Source_Data!BK$8)</f>
        <v>0</v>
      </c>
    </row>
    <row r="372" customFormat="false" ht="15" hidden="false" customHeight="false" outlineLevel="0" collapsed="false">
      <c r="A372" s="3" t="s">
        <v>338</v>
      </c>
      <c r="D372" s="33" t="n">
        <f aca="false">$B$365*IF(Source_Data!D$5-($B$366+$B$368)&gt;=1,INDEX($D$371:$BK$371,1,Source_Data!D$5-($B$366+$B$368)),0)</f>
        <v>0</v>
      </c>
      <c r="E372" s="33" t="n">
        <f aca="false">$B$365*IF(Source_Data!E$5-($B$366+$B$368)&gt;=1,INDEX($D$371:$BK$371,1,Source_Data!E$5-($B$366+$B$368)),0)</f>
        <v>0</v>
      </c>
      <c r="F372" s="33" t="n">
        <f aca="false">$B$365*IF(Source_Data!F$5-($B$366+$B$368)&gt;=1,INDEX($D$371:$BK$371,1,Source_Data!F$5-($B$366+$B$368)),0)</f>
        <v>0</v>
      </c>
      <c r="G372" s="33" t="n">
        <f aca="false">$B$365*IF(Source_Data!G$5-($B$366+$B$368)&gt;=1,INDEX($D$371:$BK$371,1,Source_Data!G$5-($B$366+$B$368)),0)</f>
        <v>15.1392375</v>
      </c>
      <c r="H372" s="33" t="n">
        <f aca="false">$B$365*IF(Source_Data!H$5-($B$366+$B$368)&gt;=1,INDEX($D$371:$BK$371,1,Source_Data!H$5-($B$366+$B$368)),0)</f>
        <v>30.278475</v>
      </c>
      <c r="I372" s="33" t="n">
        <f aca="false">$B$365*IF(Source_Data!I$5-($B$366+$B$368)&gt;=1,INDEX($D$371:$BK$371,1,Source_Data!I$5-($B$366+$B$368)),0)</f>
        <v>46.51200625</v>
      </c>
      <c r="J372" s="33" t="n">
        <f aca="false">$B$365*IF(Source_Data!J$5-($B$366+$B$368)&gt;=1,INDEX($D$371:$BK$371,1,Source_Data!J$5-($B$366+$B$368)),0)</f>
        <v>62.7455375</v>
      </c>
      <c r="K372" s="33" t="n">
        <f aca="false">$B$365*IF(Source_Data!K$5-($B$366+$B$368)&gt;=1,INDEX($D$371:$BK$371,1,Source_Data!K$5-($B$366+$B$368)),0)</f>
        <v>62.3657</v>
      </c>
      <c r="L372" s="33" t="n">
        <f aca="false">$B$365*IF(Source_Data!L$5-($B$366+$B$368)&gt;=1,INDEX($D$371:$BK$371,1,Source_Data!L$5-($B$366+$B$368)),0)</f>
        <v>63.473559375</v>
      </c>
      <c r="M372" s="33" t="n">
        <f aca="false">$B$365*IF(Source_Data!M$5-($B$366+$B$368)&gt;=1,INDEX($D$371:$BK$371,1,Source_Data!M$5-($B$366+$B$368)),0)</f>
        <v>80.3288484375</v>
      </c>
      <c r="N372" s="33" t="n">
        <f aca="false">$B$365*IF(Source_Data!N$5-($B$366+$B$368)&gt;=1,INDEX($D$371:$BK$371,1,Source_Data!N$5-($B$366+$B$368)),0)</f>
        <v>495.2538375</v>
      </c>
      <c r="O372" s="33" t="n">
        <f aca="false">$B$365*IF(Source_Data!O$5-($B$366+$B$368)&gt;=1,INDEX($D$371:$BK$371,1,Source_Data!O$5-($B$366+$B$368)),0)</f>
        <v>185.57775</v>
      </c>
      <c r="P372" s="33" t="n">
        <f aca="false">$B$365*IF(Source_Data!P$5-($B$366+$B$368)&gt;=1,INDEX($D$371:$BK$371,1,Source_Data!P$5-($B$366+$B$368)),0)</f>
        <v>176.534</v>
      </c>
      <c r="Q372" s="33" t="n">
        <f aca="false">$B$365*IF(Source_Data!Q$5-($B$366+$B$368)&gt;=1,INDEX($D$371:$BK$371,1,Source_Data!Q$5-($B$366+$B$368)),0)</f>
        <v>97.31075</v>
      </c>
      <c r="R372" s="33" t="n">
        <f aca="false">$B$365*IF(Source_Data!R$5-($B$366+$B$368)&gt;=1,INDEX($D$371:$BK$371,1,Source_Data!R$5-($B$366+$B$368)),0)</f>
        <v>71.30996875</v>
      </c>
      <c r="S372" s="33" t="n">
        <f aca="false">$B$365*IF(Source_Data!S$5-($B$366+$B$368)&gt;=1,INDEX($D$371:$BK$371,1,Source_Data!S$5-($B$366+$B$368)),0)</f>
        <v>71.30996875</v>
      </c>
      <c r="T372" s="33" t="n">
        <f aca="false">$B$365*IF(Source_Data!T$5-($B$366+$B$368)&gt;=1,INDEX($D$371:$BK$371,1,Source_Data!T$5-($B$366+$B$368)),0)</f>
        <v>68.037035625</v>
      </c>
      <c r="U372" s="33" t="n">
        <f aca="false">$B$365*IF(Source_Data!U$5-($B$366+$B$368)&gt;=1,INDEX($D$371:$BK$371,1,Source_Data!U$5-($B$366+$B$368)),0)</f>
        <v>61.2266396875</v>
      </c>
      <c r="V372" s="33" t="n">
        <f aca="false">$B$365*IF(Source_Data!V$5-($B$366+$B$368)&gt;=1,INDEX($D$371:$BK$371,1,Source_Data!V$5-($B$366+$B$368)),0)</f>
        <v>59.7127159375</v>
      </c>
      <c r="W372" s="33" t="n">
        <f aca="false">$B$365*IF(Source_Data!W$5-($B$366+$B$368)&gt;=1,INDEX($D$371:$BK$371,1,Source_Data!W$5-($B$366+$B$368)),0)</f>
        <v>53.7239446875</v>
      </c>
      <c r="X372" s="33" t="n">
        <f aca="false">$B$365*IF(Source_Data!X$5-($B$366+$B$368)&gt;=1,INDEX($D$371:$BK$371,1,Source_Data!X$5-($B$366+$B$368)),0)</f>
        <v>49.3829446875</v>
      </c>
      <c r="Y372" s="33" t="n">
        <f aca="false">$B$365*IF(Source_Data!Y$5-($B$366+$B$368)&gt;=1,INDEX($D$371:$BK$371,1,Source_Data!Y$5-($B$366+$B$368)),0)</f>
        <v>49.3829446875</v>
      </c>
      <c r="Z372" s="33" t="n">
        <f aca="false">$B$365*IF(Source_Data!Z$5-($B$366+$B$368)&gt;=1,INDEX($D$371:$BK$371,1,Source_Data!Z$5-($B$366+$B$368)),0)</f>
        <v>42.1027259375</v>
      </c>
      <c r="AA372" s="33" t="n">
        <f aca="false">$B$365*IF(Source_Data!AA$5-($B$366+$B$368)&gt;=1,INDEX($D$371:$BK$371,1,Source_Data!AA$5-($B$366+$B$368)),0)</f>
        <v>42.1027259375</v>
      </c>
      <c r="AB372" s="33" t="n">
        <f aca="false">$B$365*IF(Source_Data!AB$5-($B$366+$B$368)&gt;=1,INDEX($D$371:$BK$371,1,Source_Data!AB$5-($B$366+$B$368)),0)</f>
        <v>42.1027259375</v>
      </c>
      <c r="AC372" s="33" t="n">
        <f aca="false">$B$365*IF(Source_Data!AC$5-($B$366+$B$368)&gt;=1,INDEX($D$371:$BK$371,1,Source_Data!AC$5-($B$366+$B$368)),0)</f>
        <v>36.3147259375</v>
      </c>
      <c r="AD372" s="33" t="n">
        <f aca="false">$B$365*IF(Source_Data!AD$5-($B$366+$B$368)&gt;=1,INDEX($D$371:$BK$371,1,Source_Data!AD$5-($B$366+$B$368)),0)</f>
        <v>33.0386275</v>
      </c>
      <c r="AE372" s="33" t="n">
        <f aca="false">$B$365*IF(Source_Data!AE$5-($B$366+$B$368)&gt;=1,INDEX($D$371:$BK$371,1,Source_Data!AE$5-($B$366+$B$368)),0)</f>
        <v>29.43017125</v>
      </c>
      <c r="AF372" s="33" t="n">
        <f aca="false">$B$365*IF(Source_Data!AF$5-($B$366+$B$368)&gt;=1,INDEX($D$371:$BK$371,1,Source_Data!AF$5-($B$366+$B$368)),0)</f>
        <v>25.08917125</v>
      </c>
      <c r="AG372" s="33" t="n">
        <f aca="false">$B$365*IF(Source_Data!AG$5-($B$366+$B$368)&gt;=1,INDEX($D$371:$BK$371,1,Source_Data!AG$5-($B$366+$B$368)),0)</f>
        <v>25.08917125</v>
      </c>
      <c r="AH372" s="33" t="n">
        <f aca="false">$B$365*IF(Source_Data!AH$5-($B$366+$B$368)&gt;=1,INDEX($D$371:$BK$371,1,Source_Data!AH$5-($B$366+$B$368)),0)</f>
        <v>25.08917125</v>
      </c>
      <c r="AI372" s="33" t="n">
        <f aca="false">$B$365*IF(Source_Data!AI$5-($B$366+$B$368)&gt;=1,INDEX($D$371:$BK$371,1,Source_Data!AI$5-($B$366+$B$368)),0)</f>
        <v>25.08917125</v>
      </c>
      <c r="AJ372" s="33" t="n">
        <f aca="false">$B$365*IF(Source_Data!AJ$5-($B$366+$B$368)&gt;=1,INDEX($D$371:$BK$371,1,Source_Data!AJ$5-($B$366+$B$368)),0)</f>
        <v>25.08917125</v>
      </c>
      <c r="AK372" s="33" t="n">
        <f aca="false">$B$365*IF(Source_Data!AK$5-($B$366+$B$368)&gt;=1,INDEX($D$371:$BK$371,1,Source_Data!AK$5-($B$366+$B$368)),0)</f>
        <v>25.08917125</v>
      </c>
      <c r="AL372" s="33" t="n">
        <f aca="false">$B$365*IF(Source_Data!AL$5-($B$366+$B$368)&gt;=1,INDEX($D$371:$BK$371,1,Source_Data!AL$5-($B$366+$B$368)),0)</f>
        <v>22.905105625</v>
      </c>
      <c r="AM372" s="33" t="n">
        <f aca="false">$B$365*IF(Source_Data!AM$5-($B$366+$B$368)&gt;=1,INDEX($D$371:$BK$371,1,Source_Data!AM$5-($B$366+$B$368)),0)</f>
        <v>22.905105625</v>
      </c>
      <c r="AN372" s="33" t="n">
        <f aca="false">$B$365*IF(Source_Data!AN$5-($B$366+$B$368)&gt;=1,INDEX($D$371:$BK$371,1,Source_Data!AN$5-($B$366+$B$368)),0)</f>
        <v>18.739554375</v>
      </c>
      <c r="AO372" s="33" t="n">
        <f aca="false">$B$365*IF(Source_Data!AO$5-($B$366+$B$368)&gt;=1,INDEX($D$371:$BK$371,1,Source_Data!AO$5-($B$366+$B$368)),0)</f>
        <v>9.6261675</v>
      </c>
      <c r="AP372" s="33" t="n">
        <f aca="false">$B$365*IF(Source_Data!AP$5-($B$366+$B$368)&gt;=1,INDEX($D$371:$BK$371,1,Source_Data!AP$5-($B$366+$B$368)),0)</f>
        <v>3.5704725</v>
      </c>
      <c r="AQ372" s="33" t="n">
        <f aca="false">$B$365*IF(Source_Data!AQ$5-($B$366+$B$368)&gt;=1,INDEX($D$371:$BK$371,1,Source_Data!AQ$5-($B$366+$B$368)),0)</f>
        <v>0</v>
      </c>
      <c r="AR372" s="33" t="n">
        <f aca="false">$B$365*IF(Source_Data!AR$5-($B$366+$B$368)&gt;=1,INDEX($D$371:$BK$371,1,Source_Data!AR$5-($B$366+$B$368)),0)</f>
        <v>0</v>
      </c>
      <c r="AS372" s="33" t="n">
        <f aca="false">$B$365*IF(Source_Data!AS$5-($B$366+$B$368)&gt;=1,INDEX($D$371:$BK$371,1,Source_Data!AS$5-($B$366+$B$368)),0)</f>
        <v>0</v>
      </c>
      <c r="AT372" s="33" t="n">
        <f aca="false">$B$365*IF(Source_Data!AT$5-($B$366+$B$368)&gt;=1,INDEX($D$371:$BK$371,1,Source_Data!AT$5-($B$366+$B$368)),0)</f>
        <v>0</v>
      </c>
      <c r="AU372" s="33" t="n">
        <f aca="false">$B$365*IF(Source_Data!AU$5-($B$366+$B$368)&gt;=1,INDEX($D$371:$BK$371,1,Source_Data!AU$5-($B$366+$B$368)),0)</f>
        <v>0</v>
      </c>
      <c r="AV372" s="33" t="n">
        <f aca="false">$B$365*IF(Source_Data!AV$5-($B$366+$B$368)&gt;=1,INDEX($D$371:$BK$371,1,Source_Data!AV$5-($B$366+$B$368)),0)</f>
        <v>0</v>
      </c>
      <c r="AW372" s="33" t="n">
        <f aca="false">$B$365*IF(Source_Data!AW$5-($B$366+$B$368)&gt;=1,INDEX($D$371:$BK$371,1,Source_Data!AW$5-($B$366+$B$368)),0)</f>
        <v>0</v>
      </c>
      <c r="AX372" s="33" t="n">
        <f aca="false">$B$365*IF(Source_Data!AX$5-($B$366+$B$368)&gt;=1,INDEX($D$371:$BK$371,1,Source_Data!AX$5-($B$366+$B$368)),0)</f>
        <v>0</v>
      </c>
      <c r="AY372" s="33" t="n">
        <f aca="false">$B$365*IF(Source_Data!AY$5-($B$366+$B$368)&gt;=1,INDEX($D$371:$BK$371,1,Source_Data!AY$5-($B$366+$B$368)),0)</f>
        <v>0</v>
      </c>
      <c r="AZ372" s="33" t="n">
        <f aca="false">$B$365*IF(Source_Data!AZ$5-($B$366+$B$368)&gt;=1,INDEX($D$371:$BK$371,1,Source_Data!AZ$5-($B$366+$B$368)),0)</f>
        <v>0</v>
      </c>
      <c r="BA372" s="33" t="n">
        <f aca="false">$B$365*IF(Source_Data!BA$5-($B$366+$B$368)&gt;=1,INDEX($D$371:$BK$371,1,Source_Data!BA$5-($B$366+$B$368)),0)</f>
        <v>0</v>
      </c>
      <c r="BB372" s="33" t="n">
        <f aca="false">$B$365*IF(Source_Data!BB$5-($B$366+$B$368)&gt;=1,INDEX($D$371:$BK$371,1,Source_Data!BB$5-($B$366+$B$368)),0)</f>
        <v>0</v>
      </c>
      <c r="BC372" s="33" t="n">
        <f aca="false">$B$365*IF(Source_Data!BC$5-($B$366+$B$368)&gt;=1,INDEX($D$371:$BK$371,1,Source_Data!BC$5-($B$366+$B$368)),0)</f>
        <v>0</v>
      </c>
      <c r="BD372" s="33" t="n">
        <f aca="false">$B$365*IF(Source_Data!BD$5-($B$366+$B$368)&gt;=1,INDEX($D$371:$BK$371,1,Source_Data!BD$5-($B$366+$B$368)),0)</f>
        <v>0</v>
      </c>
      <c r="BE372" s="33" t="n">
        <f aca="false">$B$365*IF(Source_Data!BE$5-($B$366+$B$368)&gt;=1,INDEX($D$371:$BK$371,1,Source_Data!BE$5-($B$366+$B$368)),0)</f>
        <v>0</v>
      </c>
      <c r="BF372" s="33" t="n">
        <f aca="false">$B$365*IF(Source_Data!BF$5-($B$366+$B$368)&gt;=1,INDEX($D$371:$BK$371,1,Source_Data!BF$5-($B$366+$B$368)),0)</f>
        <v>0</v>
      </c>
      <c r="BG372" s="33" t="n">
        <f aca="false">$B$365*IF(Source_Data!BG$5-($B$366+$B$368)&gt;=1,INDEX($D$371:$BK$371,1,Source_Data!BG$5-($B$366+$B$368)),0)</f>
        <v>0</v>
      </c>
      <c r="BH372" s="33" t="n">
        <f aca="false">$B$365*IF(Source_Data!BH$5-($B$366+$B$368)&gt;=1,INDEX($D$371:$BK$371,1,Source_Data!BH$5-($B$366+$B$368)),0)</f>
        <v>0</v>
      </c>
      <c r="BI372" s="33" t="n">
        <f aca="false">$B$365*IF(Source_Data!BI$5-($B$366+$B$368)&gt;=1,INDEX($D$371:$BK$371,1,Source_Data!BI$5-($B$366+$B$368)),0)</f>
        <v>0</v>
      </c>
      <c r="BJ372" s="33" t="n">
        <f aca="false">$B$365*IF(Source_Data!BJ$5-($B$366+$B$368)&gt;=1,INDEX($D$371:$BK$371,1,Source_Data!BJ$5-($B$366+$B$368)),0)</f>
        <v>0</v>
      </c>
      <c r="BK372" s="33" t="n">
        <f aca="false">$B$365*IF(Source_Data!BK$5-($B$366+$B$368)&gt;=1,INDEX($D$371:$BK$371,1,Source_Data!BK$5-($B$366+$B$368)),0)</f>
        <v>0</v>
      </c>
    </row>
    <row r="373" customFormat="false" ht="15" hidden="false" customHeight="false" outlineLevel="0" collapsed="false">
      <c r="A373" s="3" t="s">
        <v>339</v>
      </c>
      <c r="D373" s="33" t="n">
        <f aca="false">Source_Data!D$9+Source_Data!D$10*IF(Source_Data!$C$10=0,0,MAX(0,Inputs!$B$19*Inputs!$B$22*$B$365-Inputs!$B$20)/Source_Data!$C$10)</f>
        <v>91.25</v>
      </c>
      <c r="E373" s="33" t="n">
        <f aca="false">Source_Data!E$9+Source_Data!E$10*IF(Source_Data!$C$10=0,0,MAX(0,Inputs!$B$19*Inputs!$B$22*$B$365-Inputs!$B$20)/Source_Data!$C$10)</f>
        <v>11.25</v>
      </c>
      <c r="F373" s="33" t="n">
        <f aca="false">Source_Data!F$9+Source_Data!F$10*IF(Source_Data!$C$10=0,0,MAX(0,Inputs!$B$19*Inputs!$B$22*$B$365-Inputs!$B$20)/Source_Data!$C$10)</f>
        <v>11.25</v>
      </c>
      <c r="G373" s="33" t="n">
        <f aca="false">Source_Data!G$9+Source_Data!G$10*IF(Source_Data!$C$10=0,0,MAX(0,Inputs!$B$19*Inputs!$B$22*$B$365-Inputs!$B$20)/Source_Data!$C$10)</f>
        <v>11.25</v>
      </c>
      <c r="H373" s="33" t="n">
        <f aca="false">Source_Data!H$9+Source_Data!H$10*IF(Source_Data!$C$10=0,0,MAX(0,Inputs!$B$19*Inputs!$B$22*$B$365-Inputs!$B$20)/Source_Data!$C$10)</f>
        <v>22.5</v>
      </c>
      <c r="I373" s="33" t="n">
        <f aca="false">Source_Data!I$9+Source_Data!I$10*IF(Source_Data!$C$10=0,0,MAX(0,Inputs!$B$19*Inputs!$B$22*$B$365-Inputs!$B$20)/Source_Data!$C$10)</f>
        <v>22.5</v>
      </c>
      <c r="J373" s="33" t="n">
        <f aca="false">Source_Data!J$9+Source_Data!J$10*IF(Source_Data!$C$10=0,0,MAX(0,Inputs!$B$19*Inputs!$B$22*$B$365-Inputs!$B$20)/Source_Data!$C$10)</f>
        <v>22.5</v>
      </c>
      <c r="K373" s="33" t="n">
        <f aca="false">Source_Data!K$9+Source_Data!K$10*IF(Source_Data!$C$10=0,0,MAX(0,Inputs!$B$19*Inputs!$B$22*$B$365-Inputs!$B$20)/Source_Data!$C$10)</f>
        <v>22.5</v>
      </c>
      <c r="L373" s="33" t="n">
        <f aca="false">Source_Data!L$9+Source_Data!L$10*IF(Source_Data!$C$10=0,0,MAX(0,Inputs!$B$19*Inputs!$B$22*$B$365-Inputs!$B$20)/Source_Data!$C$10)</f>
        <v>33.75</v>
      </c>
      <c r="M373" s="33" t="n">
        <f aca="false">Source_Data!M$9+Source_Data!M$10*IF(Source_Data!$C$10=0,0,MAX(0,Inputs!$B$19*Inputs!$B$22*$B$365-Inputs!$B$20)/Source_Data!$C$10)</f>
        <v>33.75</v>
      </c>
      <c r="N373" s="33" t="n">
        <f aca="false">Source_Data!N$9+Source_Data!N$10*IF(Source_Data!$C$10=0,0,MAX(0,Inputs!$B$19*Inputs!$B$22*$B$365-Inputs!$B$20)/Source_Data!$C$10)</f>
        <v>33.75</v>
      </c>
      <c r="O373" s="33" t="n">
        <f aca="false">Source_Data!O$9+Source_Data!O$10*IF(Source_Data!$C$10=0,0,MAX(0,Inputs!$B$19*Inputs!$B$22*$B$365-Inputs!$B$20)/Source_Data!$C$10)</f>
        <v>33.75</v>
      </c>
      <c r="P373" s="33" t="n">
        <f aca="false">Source_Data!P$9+Source_Data!P$10*IF(Source_Data!$C$10=0,0,MAX(0,Inputs!$B$19*Inputs!$B$22*$B$365-Inputs!$B$20)/Source_Data!$C$10)</f>
        <v>45</v>
      </c>
      <c r="Q373" s="33" t="n">
        <f aca="false">Source_Data!Q$9+Source_Data!Q$10*IF(Source_Data!$C$10=0,0,MAX(0,Inputs!$B$19*Inputs!$B$22*$B$365-Inputs!$B$20)/Source_Data!$C$10)</f>
        <v>45</v>
      </c>
      <c r="R373" s="33" t="n">
        <f aca="false">Source_Data!R$9+Source_Data!R$10*IF(Source_Data!$C$10=0,0,MAX(0,Inputs!$B$19*Inputs!$B$22*$B$365-Inputs!$B$20)/Source_Data!$C$10)</f>
        <v>45</v>
      </c>
      <c r="S373" s="33" t="n">
        <f aca="false">Source_Data!S$9+Source_Data!S$10*IF(Source_Data!$C$10=0,0,MAX(0,Inputs!$B$19*Inputs!$B$22*$B$365-Inputs!$B$20)/Source_Data!$C$10)</f>
        <v>45</v>
      </c>
      <c r="T373" s="33" t="n">
        <f aca="false">Source_Data!T$9+Source_Data!T$10*IF(Source_Data!$C$10=0,0,MAX(0,Inputs!$B$19*Inputs!$B$22*$B$365-Inputs!$B$20)/Source_Data!$C$10)</f>
        <v>45</v>
      </c>
      <c r="U373" s="33" t="n">
        <f aca="false">Source_Data!U$9+Source_Data!U$10*IF(Source_Data!$C$10=0,0,MAX(0,Inputs!$B$19*Inputs!$B$22*$B$365-Inputs!$B$20)/Source_Data!$C$10)</f>
        <v>45</v>
      </c>
      <c r="V373" s="33" t="n">
        <f aca="false">Source_Data!V$9+Source_Data!V$10*IF(Source_Data!$C$10=0,0,MAX(0,Inputs!$B$19*Inputs!$B$22*$B$365-Inputs!$B$20)/Source_Data!$C$10)</f>
        <v>45</v>
      </c>
      <c r="W373" s="33" t="n">
        <f aca="false">Source_Data!W$9+Source_Data!W$10*IF(Source_Data!$C$10=0,0,MAX(0,Inputs!$B$19*Inputs!$B$22*$B$365-Inputs!$B$20)/Source_Data!$C$10)</f>
        <v>45</v>
      </c>
      <c r="X373" s="33" t="n">
        <f aca="false">Source_Data!X$9+Source_Data!X$10*IF(Source_Data!$C$10=0,0,MAX(0,Inputs!$B$19*Inputs!$B$22*$B$365-Inputs!$B$20)/Source_Data!$C$10)</f>
        <v>22.5</v>
      </c>
      <c r="Y373" s="33" t="n">
        <f aca="false">Source_Data!Y$9+Source_Data!Y$10*IF(Source_Data!$C$10=0,0,MAX(0,Inputs!$B$19*Inputs!$B$22*$B$365-Inputs!$B$20)/Source_Data!$C$10)</f>
        <v>22.5</v>
      </c>
      <c r="Z373" s="33" t="n">
        <f aca="false">Source_Data!Z$9+Source_Data!Z$10*IF(Source_Data!$C$10=0,0,MAX(0,Inputs!$B$19*Inputs!$B$22*$B$365-Inputs!$B$20)/Source_Data!$C$10)</f>
        <v>22.5</v>
      </c>
      <c r="AA373" s="33" t="n">
        <f aca="false">Source_Data!AA$9+Source_Data!AA$10*IF(Source_Data!$C$10=0,0,MAX(0,Inputs!$B$19*Inputs!$B$22*$B$365-Inputs!$B$20)/Source_Data!$C$10)</f>
        <v>22.5</v>
      </c>
      <c r="AB373" s="33" t="n">
        <f aca="false">Source_Data!AB$9+Source_Data!AB$10*IF(Source_Data!$C$10=0,0,MAX(0,Inputs!$B$19*Inputs!$B$22*$B$365-Inputs!$B$20)/Source_Data!$C$10)</f>
        <v>0</v>
      </c>
      <c r="AC373" s="33" t="n">
        <f aca="false">Source_Data!AC$9+Source_Data!AC$10*IF(Source_Data!$C$10=0,0,MAX(0,Inputs!$B$19*Inputs!$B$22*$B$365-Inputs!$B$20)/Source_Data!$C$10)</f>
        <v>0</v>
      </c>
      <c r="AD373" s="33" t="n">
        <f aca="false">Source_Data!AD$9+Source_Data!AD$10*IF(Source_Data!$C$10=0,0,MAX(0,Inputs!$B$19*Inputs!$B$22*$B$365-Inputs!$B$20)/Source_Data!$C$10)</f>
        <v>0</v>
      </c>
      <c r="AE373" s="33" t="n">
        <f aca="false">Source_Data!AE$9+Source_Data!AE$10*IF(Source_Data!$C$10=0,0,MAX(0,Inputs!$B$19*Inputs!$B$22*$B$365-Inputs!$B$20)/Source_Data!$C$10)</f>
        <v>0</v>
      </c>
      <c r="AF373" s="33" t="n">
        <f aca="false">Source_Data!AF$9+Source_Data!AF$10*IF(Source_Data!$C$10=0,0,MAX(0,Inputs!$B$19*Inputs!$B$22*$B$365-Inputs!$B$20)/Source_Data!$C$10)</f>
        <v>107.758210351563</v>
      </c>
      <c r="AG373" s="33" t="n">
        <f aca="false">Source_Data!AG$9+Source_Data!AG$10*IF(Source_Data!$C$10=0,0,MAX(0,Inputs!$B$19*Inputs!$B$22*$B$365-Inputs!$B$20)/Source_Data!$C$10)</f>
        <v>10.976512421875</v>
      </c>
      <c r="AH373" s="33" t="n">
        <f aca="false">Source_Data!AH$9+Source_Data!AH$10*IF(Source_Data!$C$10=0,0,MAX(0,Inputs!$B$19*Inputs!$B$22*$B$365-Inputs!$B$20)/Source_Data!$C$10)</f>
        <v>10.976512421875</v>
      </c>
      <c r="AI373" s="33" t="n">
        <f aca="false">Source_Data!AI$9+Source_Data!AI$10*IF(Source_Data!$C$10=0,0,MAX(0,Inputs!$B$19*Inputs!$B$22*$B$365-Inputs!$B$20)/Source_Data!$C$10)</f>
        <v>10.976512421875</v>
      </c>
      <c r="AJ373" s="33" t="n">
        <f aca="false">Source_Data!AJ$9+Source_Data!AJ$10*IF(Source_Data!$C$10=0,0,MAX(0,Inputs!$B$19*Inputs!$B$22*$B$365-Inputs!$B$20)/Source_Data!$C$10)</f>
        <v>10.976512421875</v>
      </c>
      <c r="AK373" s="33" t="n">
        <f aca="false">Source_Data!AK$9+Source_Data!AK$10*IF(Source_Data!$C$10=0,0,MAX(0,Inputs!$B$19*Inputs!$B$22*$B$365-Inputs!$B$20)/Source_Data!$C$10)</f>
        <v>10.0209837109375</v>
      </c>
      <c r="AL373" s="33" t="n">
        <f aca="false">Source_Data!AL$9+Source_Data!AL$10*IF(Source_Data!$C$10=0,0,MAX(0,Inputs!$B$19*Inputs!$B$22*$B$365-Inputs!$B$20)/Source_Data!$C$10)</f>
        <v>10.0209837109375</v>
      </c>
      <c r="AM373" s="33" t="n">
        <f aca="false">Source_Data!AM$9+Source_Data!AM$10*IF(Source_Data!$C$10=0,0,MAX(0,Inputs!$B$19*Inputs!$B$22*$B$365-Inputs!$B$20)/Source_Data!$C$10)</f>
        <v>8.19855503906249</v>
      </c>
      <c r="AN373" s="33" t="n">
        <f aca="false">Source_Data!AN$9+Source_Data!AN$10*IF(Source_Data!$C$10=0,0,MAX(0,Inputs!$B$19*Inputs!$B$22*$B$365-Inputs!$B$20)/Source_Data!$C$10)</f>
        <v>4.21144828125</v>
      </c>
      <c r="AO373" s="33" t="n">
        <f aca="false">Source_Data!AO$9+Source_Data!AO$10*IF(Source_Data!$C$10=0,0,MAX(0,Inputs!$B$19*Inputs!$B$22*$B$365-Inputs!$B$20)/Source_Data!$C$10)</f>
        <v>1.56208171875</v>
      </c>
      <c r="AP373" s="33" t="n">
        <f aca="false">Source_Data!AP$9+Source_Data!AP$10*IF(Source_Data!$C$10=0,0,MAX(0,Inputs!$B$19*Inputs!$B$22*$B$365-Inputs!$B$20)/Source_Data!$C$10)</f>
        <v>0</v>
      </c>
      <c r="AQ373" s="33" t="n">
        <f aca="false">Source_Data!AQ$9+Source_Data!AQ$10*IF(Source_Data!$C$10=0,0,MAX(0,Inputs!$B$19*Inputs!$B$22*$B$365-Inputs!$B$20)/Source_Data!$C$10)</f>
        <v>0</v>
      </c>
      <c r="AR373" s="33" t="n">
        <f aca="false">Source_Data!AR$9+Source_Data!AR$10*IF(Source_Data!$C$10=0,0,MAX(0,Inputs!$B$19*Inputs!$B$22*$B$365-Inputs!$B$20)/Source_Data!$C$10)</f>
        <v>0</v>
      </c>
      <c r="AS373" s="33" t="n">
        <f aca="false">Source_Data!AS$9+Source_Data!AS$10*IF(Source_Data!$C$10=0,0,MAX(0,Inputs!$B$19*Inputs!$B$22*$B$365-Inputs!$B$20)/Source_Data!$C$10)</f>
        <v>0</v>
      </c>
      <c r="AT373" s="33" t="n">
        <f aca="false">Source_Data!AT$9+Source_Data!AT$10*IF(Source_Data!$C$10=0,0,MAX(0,Inputs!$B$19*Inputs!$B$22*$B$365-Inputs!$B$20)/Source_Data!$C$10)</f>
        <v>0</v>
      </c>
      <c r="AU373" s="33" t="n">
        <f aca="false">Source_Data!AU$9+Source_Data!AU$10*IF(Source_Data!$C$10=0,0,MAX(0,Inputs!$B$19*Inputs!$B$22*$B$365-Inputs!$B$20)/Source_Data!$C$10)</f>
        <v>0</v>
      </c>
      <c r="AV373" s="33" t="n">
        <f aca="false">Source_Data!AV$9+Source_Data!AV$10*IF(Source_Data!$C$10=0,0,MAX(0,Inputs!$B$19*Inputs!$B$22*$B$365-Inputs!$B$20)/Source_Data!$C$10)</f>
        <v>0</v>
      </c>
      <c r="AW373" s="33" t="n">
        <f aca="false">Source_Data!AW$9+Source_Data!AW$10*IF(Source_Data!$C$10=0,0,MAX(0,Inputs!$B$19*Inputs!$B$22*$B$365-Inputs!$B$20)/Source_Data!$C$10)</f>
        <v>0</v>
      </c>
      <c r="AX373" s="33" t="n">
        <f aca="false">Source_Data!AX$9+Source_Data!AX$10*IF(Source_Data!$C$10=0,0,MAX(0,Inputs!$B$19*Inputs!$B$22*$B$365-Inputs!$B$20)/Source_Data!$C$10)</f>
        <v>0</v>
      </c>
      <c r="AY373" s="33" t="n">
        <f aca="false">Source_Data!AY$9+Source_Data!AY$10*IF(Source_Data!$C$10=0,0,MAX(0,Inputs!$B$19*Inputs!$B$22*$B$365-Inputs!$B$20)/Source_Data!$C$10)</f>
        <v>0</v>
      </c>
      <c r="AZ373" s="33" t="n">
        <f aca="false">Source_Data!AZ$9+Source_Data!AZ$10*IF(Source_Data!$C$10=0,0,MAX(0,Inputs!$B$19*Inputs!$B$22*$B$365-Inputs!$B$20)/Source_Data!$C$10)</f>
        <v>0</v>
      </c>
      <c r="BA373" s="33" t="n">
        <f aca="false">Source_Data!BA$9+Source_Data!BA$10*IF(Source_Data!$C$10=0,0,MAX(0,Inputs!$B$19*Inputs!$B$22*$B$365-Inputs!$B$20)/Source_Data!$C$10)</f>
        <v>0</v>
      </c>
      <c r="BB373" s="33" t="n">
        <f aca="false">Source_Data!BB$9+Source_Data!BB$10*IF(Source_Data!$C$10=0,0,MAX(0,Inputs!$B$19*Inputs!$B$22*$B$365-Inputs!$B$20)/Source_Data!$C$10)</f>
        <v>0</v>
      </c>
      <c r="BC373" s="33" t="n">
        <f aca="false">Source_Data!BC$9+Source_Data!BC$10*IF(Source_Data!$C$10=0,0,MAX(0,Inputs!$B$19*Inputs!$B$22*$B$365-Inputs!$B$20)/Source_Data!$C$10)</f>
        <v>0</v>
      </c>
      <c r="BD373" s="33" t="n">
        <f aca="false">Source_Data!BD$9+Source_Data!BD$10*IF(Source_Data!$C$10=0,0,MAX(0,Inputs!$B$19*Inputs!$B$22*$B$365-Inputs!$B$20)/Source_Data!$C$10)</f>
        <v>0</v>
      </c>
      <c r="BE373" s="33" t="n">
        <f aca="false">Source_Data!BE$9+Source_Data!BE$10*IF(Source_Data!$C$10=0,0,MAX(0,Inputs!$B$19*Inputs!$B$22*$B$365-Inputs!$B$20)/Source_Data!$C$10)</f>
        <v>0</v>
      </c>
      <c r="BF373" s="33" t="n">
        <f aca="false">Source_Data!BF$9+Source_Data!BF$10*IF(Source_Data!$C$10=0,0,MAX(0,Inputs!$B$19*Inputs!$B$22*$B$365-Inputs!$B$20)/Source_Data!$C$10)</f>
        <v>0</v>
      </c>
      <c r="BG373" s="33" t="n">
        <f aca="false">Source_Data!BG$9+Source_Data!BG$10*IF(Source_Data!$C$10=0,0,MAX(0,Inputs!$B$19*Inputs!$B$22*$B$365-Inputs!$B$20)/Source_Data!$C$10)</f>
        <v>0</v>
      </c>
      <c r="BH373" s="33" t="n">
        <f aca="false">Source_Data!BH$9+Source_Data!BH$10*IF(Source_Data!$C$10=0,0,MAX(0,Inputs!$B$19*Inputs!$B$22*$B$365-Inputs!$B$20)/Source_Data!$C$10)</f>
        <v>0</v>
      </c>
      <c r="BI373" s="33" t="n">
        <f aca="false">Source_Data!BI$9+Source_Data!BI$10*IF(Source_Data!$C$10=0,0,MAX(0,Inputs!$B$19*Inputs!$B$22*$B$365-Inputs!$B$20)/Source_Data!$C$10)</f>
        <v>0</v>
      </c>
      <c r="BJ373" s="33" t="n">
        <f aca="false">Source_Data!BJ$9+Source_Data!BJ$10*IF(Source_Data!$C$10=0,0,MAX(0,Inputs!$B$19*Inputs!$B$22*$B$365-Inputs!$B$20)/Source_Data!$C$10)</f>
        <v>0</v>
      </c>
      <c r="BK373" s="33" t="n">
        <f aca="false">Source_Data!BK$9+Source_Data!BK$10*IF(Source_Data!$C$10=0,0,MAX(0,Inputs!$B$19*Inputs!$B$22*$B$365-Inputs!$B$20)/Source_Data!$C$10)</f>
        <v>0</v>
      </c>
    </row>
    <row r="374" customFormat="false" ht="15" hidden="false" customHeight="false" outlineLevel="0" collapsed="false">
      <c r="A374" s="3" t="s">
        <v>194</v>
      </c>
      <c r="D374" s="33" t="n">
        <f aca="false">Source_Data!D$11*$B$367</f>
        <v>0</v>
      </c>
      <c r="E374" s="33" t="n">
        <f aca="false">Source_Data!E$11*$B$367</f>
        <v>0</v>
      </c>
      <c r="F374" s="33" t="n">
        <f aca="false">Source_Data!F$11*$B$367</f>
        <v>0</v>
      </c>
      <c r="G374" s="33" t="n">
        <f aca="false">Source_Data!G$11*$B$367</f>
        <v>0</v>
      </c>
      <c r="H374" s="33" t="n">
        <f aca="false">Source_Data!H$11*$B$367</f>
        <v>20</v>
      </c>
      <c r="I374" s="33" t="n">
        <f aca="false">Source_Data!I$11*$B$367</f>
        <v>26.4</v>
      </c>
      <c r="J374" s="33" t="n">
        <f aca="false">Source_Data!J$11*$B$367</f>
        <v>40</v>
      </c>
      <c r="K374" s="33" t="n">
        <f aca="false">Source_Data!K$11*$B$367</f>
        <v>26.4</v>
      </c>
      <c r="L374" s="33" t="n">
        <f aca="false">Source_Data!L$11*$B$367</f>
        <v>26.4</v>
      </c>
      <c r="M374" s="33" t="n">
        <f aca="false">Source_Data!M$11*$B$367</f>
        <v>26.4</v>
      </c>
      <c r="N374" s="33" t="n">
        <f aca="false">Source_Data!N$11*$B$367</f>
        <v>5.28</v>
      </c>
      <c r="O374" s="33" t="n">
        <f aca="false">Source_Data!O$11*$B$367</f>
        <v>5.28</v>
      </c>
      <c r="P374" s="33" t="n">
        <f aca="false">Source_Data!P$11*$B$367</f>
        <v>120</v>
      </c>
      <c r="Q374" s="33" t="n">
        <f aca="false">Source_Data!Q$11*$B$367</f>
        <v>120</v>
      </c>
      <c r="R374" s="33" t="n">
        <f aca="false">Source_Data!R$11*$B$367</f>
        <v>164</v>
      </c>
      <c r="S374" s="33" t="n">
        <f aca="false">Source_Data!S$11*$B$367</f>
        <v>117</v>
      </c>
      <c r="T374" s="33" t="n">
        <f aca="false">Source_Data!T$11*$B$367</f>
        <v>0</v>
      </c>
      <c r="U374" s="33" t="n">
        <f aca="false">Source_Data!U$11*$B$367</f>
        <v>0</v>
      </c>
      <c r="V374" s="33" t="n">
        <f aca="false">Source_Data!V$11*$B$367</f>
        <v>0</v>
      </c>
      <c r="W374" s="33" t="n">
        <f aca="false">Source_Data!W$11*$B$367</f>
        <v>0</v>
      </c>
      <c r="X374" s="33" t="n">
        <f aca="false">Source_Data!X$11*$B$367</f>
        <v>0</v>
      </c>
      <c r="Y374" s="33" t="n">
        <f aca="false">Source_Data!Y$11*$B$367</f>
        <v>0</v>
      </c>
      <c r="Z374" s="33" t="n">
        <f aca="false">Source_Data!Z$11*$B$367</f>
        <v>0</v>
      </c>
      <c r="AA374" s="33" t="n">
        <f aca="false">Source_Data!AA$11*$B$367</f>
        <v>0</v>
      </c>
      <c r="AB374" s="33" t="n">
        <f aca="false">Source_Data!AB$11*$B$367</f>
        <v>0</v>
      </c>
      <c r="AC374" s="33" t="n">
        <f aca="false">Source_Data!AC$11*$B$367</f>
        <v>0</v>
      </c>
      <c r="AD374" s="33" t="n">
        <f aca="false">Source_Data!AD$11*$B$367</f>
        <v>0</v>
      </c>
      <c r="AE374" s="33" t="n">
        <f aca="false">Source_Data!AE$11*$B$367</f>
        <v>0</v>
      </c>
      <c r="AF374" s="33" t="n">
        <f aca="false">Source_Data!AF$11*$B$367</f>
        <v>0</v>
      </c>
      <c r="AG374" s="33" t="n">
        <f aca="false">Source_Data!AG$11*$B$367</f>
        <v>0</v>
      </c>
      <c r="AH374" s="33" t="n">
        <f aca="false">Source_Data!AH$11*$B$367</f>
        <v>0</v>
      </c>
      <c r="AI374" s="33" t="n">
        <f aca="false">Source_Data!AI$11*$B$367</f>
        <v>0</v>
      </c>
      <c r="AJ374" s="33" t="n">
        <f aca="false">Source_Data!AJ$11*$B$367</f>
        <v>0</v>
      </c>
      <c r="AK374" s="33" t="n">
        <f aca="false">Source_Data!AK$11*$B$367</f>
        <v>0</v>
      </c>
      <c r="AL374" s="33" t="n">
        <f aca="false">Source_Data!AL$11*$B$367</f>
        <v>0</v>
      </c>
      <c r="AM374" s="33" t="n">
        <f aca="false">Source_Data!AM$11*$B$367</f>
        <v>0</v>
      </c>
      <c r="AN374" s="33" t="n">
        <f aca="false">Source_Data!AN$11*$B$367</f>
        <v>0</v>
      </c>
      <c r="AO374" s="33" t="n">
        <f aca="false">Source_Data!AO$11*$B$367</f>
        <v>0</v>
      </c>
      <c r="AP374" s="33" t="n">
        <f aca="false">Source_Data!AP$11*$B$367</f>
        <v>0</v>
      </c>
      <c r="AQ374" s="33" t="n">
        <f aca="false">Source_Data!AQ$11*$B$367</f>
        <v>0</v>
      </c>
      <c r="AR374" s="33" t="n">
        <f aca="false">Source_Data!AR$11*$B$367</f>
        <v>0</v>
      </c>
      <c r="AS374" s="33" t="n">
        <f aca="false">Source_Data!AS$11*$B$367</f>
        <v>0</v>
      </c>
      <c r="AT374" s="33" t="n">
        <f aca="false">Source_Data!AT$11*$B$367</f>
        <v>0</v>
      </c>
      <c r="AU374" s="33" t="n">
        <f aca="false">Source_Data!AU$11*$B$367</f>
        <v>0</v>
      </c>
      <c r="AV374" s="33" t="n">
        <f aca="false">Source_Data!AV$11*$B$367</f>
        <v>0</v>
      </c>
      <c r="AW374" s="33" t="n">
        <f aca="false">Source_Data!AW$11*$B$367</f>
        <v>0</v>
      </c>
      <c r="AX374" s="33" t="n">
        <f aca="false">Source_Data!AX$11*$B$367</f>
        <v>0</v>
      </c>
      <c r="AY374" s="33" t="n">
        <f aca="false">Source_Data!AY$11*$B$367</f>
        <v>0</v>
      </c>
      <c r="AZ374" s="33" t="n">
        <f aca="false">Source_Data!AZ$11*$B$367</f>
        <v>0</v>
      </c>
      <c r="BA374" s="33" t="n">
        <f aca="false">Source_Data!BA$11*$B$367</f>
        <v>0</v>
      </c>
      <c r="BB374" s="33" t="n">
        <f aca="false">Source_Data!BB$11*$B$367</f>
        <v>0</v>
      </c>
      <c r="BC374" s="33" t="n">
        <f aca="false">Source_Data!BC$11*$B$367</f>
        <v>0</v>
      </c>
      <c r="BD374" s="33" t="n">
        <f aca="false">Source_Data!BD$11*$B$367</f>
        <v>0</v>
      </c>
      <c r="BE374" s="33" t="n">
        <f aca="false">Source_Data!BE$11*$B$367</f>
        <v>0</v>
      </c>
      <c r="BF374" s="33" t="n">
        <f aca="false">Source_Data!BF$11*$B$367</f>
        <v>0</v>
      </c>
      <c r="BG374" s="33" t="n">
        <f aca="false">Source_Data!BG$11*$B$367</f>
        <v>0</v>
      </c>
      <c r="BH374" s="33" t="n">
        <f aca="false">Source_Data!BH$11*$B$367</f>
        <v>0</v>
      </c>
      <c r="BI374" s="33" t="n">
        <f aca="false">Source_Data!BI$11*$B$367</f>
        <v>0</v>
      </c>
      <c r="BJ374" s="33" t="n">
        <f aca="false">Source_Data!BJ$11*$B$367</f>
        <v>0</v>
      </c>
      <c r="BK374" s="33" t="n">
        <f aca="false">Source_Data!BK$11*$B$367</f>
        <v>0</v>
      </c>
    </row>
    <row r="375" customFormat="false" ht="15" hidden="false" customHeight="false" outlineLevel="0" collapsed="false">
      <c r="A375" s="3" t="s">
        <v>196</v>
      </c>
      <c r="D375" s="33" t="n">
        <f aca="false">$B$365*IF(Source_Data!D$5-$B$366&gt;=1,INDEX(Source_Data!$D$12:$BK$12,1,Source_Data!D$5-$B$366),0)</f>
        <v>0</v>
      </c>
      <c r="E375" s="33" t="n">
        <f aca="false">$B$365*IF(Source_Data!E$5-$B$366&gt;=1,INDEX(Source_Data!$D$12:$BK$12,1,Source_Data!E$5-$B$366),0)</f>
        <v>0</v>
      </c>
      <c r="F375" s="33" t="n">
        <f aca="false">$B$365*IF(Source_Data!F$5-$B$366&gt;=1,INDEX(Source_Data!$D$12:$BK$12,1,Source_Data!F$5-$B$366),0)</f>
        <v>0</v>
      </c>
      <c r="G375" s="33" t="n">
        <f aca="false">$B$365*IF(Source_Data!G$5-$B$366&gt;=1,INDEX(Source_Data!$D$12:$BK$12,1,Source_Data!G$5-$B$366),0)</f>
        <v>0</v>
      </c>
      <c r="H375" s="33" t="n">
        <f aca="false">$B$365*IF(Source_Data!H$5-$B$366&gt;=1,INDEX(Source_Data!$D$12:$BK$12,1,Source_Data!H$5-$B$366),0)</f>
        <v>0</v>
      </c>
      <c r="I375" s="33" t="n">
        <f aca="false">$B$365*IF(Source_Data!I$5-$B$366&gt;=1,INDEX(Source_Data!$D$12:$BK$12,1,Source_Data!I$5-$B$366),0)</f>
        <v>0</v>
      </c>
      <c r="J375" s="33" t="n">
        <f aca="false">$B$365*IF(Source_Data!J$5-$B$366&gt;=1,INDEX(Source_Data!$D$12:$BK$12,1,Source_Data!J$5-$B$366),0)</f>
        <v>12.11139</v>
      </c>
      <c r="K375" s="33" t="n">
        <f aca="false">$B$365*IF(Source_Data!K$5-$B$366&gt;=1,INDEX(Source_Data!$D$12:$BK$12,1,Source_Data!K$5-$B$366),0)</f>
        <v>12.11139</v>
      </c>
      <c r="L375" s="33" t="n">
        <f aca="false">$B$365*IF(Source_Data!L$5-$B$366&gt;=1,INDEX(Source_Data!$D$12:$BK$12,1,Source_Data!L$5-$B$366),0)</f>
        <v>9.52126</v>
      </c>
      <c r="M375" s="33" t="n">
        <f aca="false">$B$365*IF(Source_Data!M$5-$B$366&gt;=1,INDEX(Source_Data!$D$12:$BK$12,1,Source_Data!M$5-$B$366),0)</f>
        <v>9.52126</v>
      </c>
      <c r="N375" s="33" t="n">
        <f aca="false">$B$365*IF(Source_Data!N$5-$B$366&gt;=1,INDEX(Source_Data!$D$12:$BK$12,1,Source_Data!N$5-$B$366),0)</f>
        <v>6.98901</v>
      </c>
      <c r="O375" s="33" t="n">
        <f aca="false">$B$365*IF(Source_Data!O$5-$B$366&gt;=1,INDEX(Source_Data!$D$12:$BK$12,1,Source_Data!O$5-$B$366),0)</f>
        <v>6.98901</v>
      </c>
      <c r="P375" s="33" t="n">
        <f aca="false">$B$365*IF(Source_Data!P$5-$B$366&gt;=1,INDEX(Source_Data!$D$12:$BK$12,1,Source_Data!P$5-$B$366),0)</f>
        <v>7.69804</v>
      </c>
      <c r="Q375" s="33" t="n">
        <f aca="false">$B$365*IF(Source_Data!Q$5-$B$366&gt;=1,INDEX(Source_Data!$D$12:$BK$12,1,Source_Data!Q$5-$B$366),0)</f>
        <v>9.2608</v>
      </c>
      <c r="R375" s="33" t="n">
        <f aca="false">$B$365*IF(Source_Data!R$5-$B$366&gt;=1,INDEX(Source_Data!$D$12:$BK$12,1,Source_Data!R$5-$B$366),0)</f>
        <v>9.2608</v>
      </c>
      <c r="S375" s="33" t="n">
        <f aca="false">$B$365*IF(Source_Data!S$5-$B$366&gt;=1,INDEX(Source_Data!$D$12:$BK$12,1,Source_Data!S$5-$B$366),0)</f>
        <v>6.6562</v>
      </c>
      <c r="T375" s="33" t="n">
        <f aca="false">$B$365*IF(Source_Data!T$5-$B$366&gt;=1,INDEX(Source_Data!$D$12:$BK$12,1,Source_Data!T$5-$B$366),0)</f>
        <v>0</v>
      </c>
      <c r="U375" s="33" t="n">
        <f aca="false">$B$365*IF(Source_Data!U$5-$B$366&gt;=1,INDEX(Source_Data!$D$12:$BK$12,1,Source_Data!U$5-$B$366),0)</f>
        <v>0</v>
      </c>
      <c r="V375" s="33" t="n">
        <f aca="false">$B$365*IF(Source_Data!V$5-$B$366&gt;=1,INDEX(Source_Data!$D$12:$BK$12,1,Source_Data!V$5-$B$366),0)</f>
        <v>0</v>
      </c>
      <c r="W375" s="33" t="n">
        <f aca="false">$B$365*IF(Source_Data!W$5-$B$366&gt;=1,INDEX(Source_Data!$D$12:$BK$12,1,Source_Data!W$5-$B$366),0)</f>
        <v>0</v>
      </c>
      <c r="X375" s="33" t="n">
        <f aca="false">$B$365*IF(Source_Data!X$5-$B$366&gt;=1,INDEX(Source_Data!$D$12:$BK$12,1,Source_Data!X$5-$B$366),0)</f>
        <v>0</v>
      </c>
      <c r="Y375" s="33" t="n">
        <f aca="false">$B$365*IF(Source_Data!Y$5-$B$366&gt;=1,INDEX(Source_Data!$D$12:$BK$12,1,Source_Data!Y$5-$B$366),0)</f>
        <v>0</v>
      </c>
      <c r="Z375" s="33" t="n">
        <f aca="false">$B$365*IF(Source_Data!Z$5-$B$366&gt;=1,INDEX(Source_Data!$D$12:$BK$12,1,Source_Data!Z$5-$B$366),0)</f>
        <v>0</v>
      </c>
      <c r="AA375" s="33" t="n">
        <f aca="false">$B$365*IF(Source_Data!AA$5-$B$366&gt;=1,INDEX(Source_Data!$D$12:$BK$12,1,Source_Data!AA$5-$B$366),0)</f>
        <v>0</v>
      </c>
      <c r="AB375" s="33" t="n">
        <f aca="false">$B$365*IF(Source_Data!AB$5-$B$366&gt;=1,INDEX(Source_Data!$D$12:$BK$12,1,Source_Data!AB$5-$B$366),0)</f>
        <v>0</v>
      </c>
      <c r="AC375" s="33" t="n">
        <f aca="false">$B$365*IF(Source_Data!AC$5-$B$366&gt;=1,INDEX(Source_Data!$D$12:$BK$12,1,Source_Data!AC$5-$B$366),0)</f>
        <v>0</v>
      </c>
      <c r="AD375" s="33" t="n">
        <f aca="false">$B$365*IF(Source_Data!AD$5-$B$366&gt;=1,INDEX(Source_Data!$D$12:$BK$12,1,Source_Data!AD$5-$B$366),0)</f>
        <v>0</v>
      </c>
      <c r="AE375" s="33" t="n">
        <f aca="false">$B$365*IF(Source_Data!AE$5-$B$366&gt;=1,INDEX(Source_Data!$D$12:$BK$12,1,Source_Data!AE$5-$B$366),0)</f>
        <v>0</v>
      </c>
      <c r="AF375" s="33" t="n">
        <f aca="false">$B$365*IF(Source_Data!AF$5-$B$366&gt;=1,INDEX(Source_Data!$D$12:$BK$12,1,Source_Data!AF$5-$B$366),0)</f>
        <v>0</v>
      </c>
      <c r="AG375" s="33" t="n">
        <f aca="false">$B$365*IF(Source_Data!AG$5-$B$366&gt;=1,INDEX(Source_Data!$D$12:$BK$12,1,Source_Data!AG$5-$B$366),0)</f>
        <v>0</v>
      </c>
      <c r="AH375" s="33" t="n">
        <f aca="false">$B$365*IF(Source_Data!AH$5-$B$366&gt;=1,INDEX(Source_Data!$D$12:$BK$12,1,Source_Data!AH$5-$B$366),0)</f>
        <v>0</v>
      </c>
      <c r="AI375" s="33" t="n">
        <f aca="false">$B$365*IF(Source_Data!AI$5-$B$366&gt;=1,INDEX(Source_Data!$D$12:$BK$12,1,Source_Data!AI$5-$B$366),0)</f>
        <v>0</v>
      </c>
      <c r="AJ375" s="33" t="n">
        <f aca="false">$B$365*IF(Source_Data!AJ$5-$B$366&gt;=1,INDEX(Source_Data!$D$12:$BK$12,1,Source_Data!AJ$5-$B$366),0)</f>
        <v>0</v>
      </c>
      <c r="AK375" s="33" t="n">
        <f aca="false">$B$365*IF(Source_Data!AK$5-$B$366&gt;=1,INDEX(Source_Data!$D$12:$BK$12,1,Source_Data!AK$5-$B$366),0)</f>
        <v>0</v>
      </c>
      <c r="AL375" s="33" t="n">
        <f aca="false">$B$365*IF(Source_Data!AL$5-$B$366&gt;=1,INDEX(Source_Data!$D$12:$BK$12,1,Source_Data!AL$5-$B$366),0)</f>
        <v>0</v>
      </c>
      <c r="AM375" s="33" t="n">
        <f aca="false">$B$365*IF(Source_Data!AM$5-$B$366&gt;=1,INDEX(Source_Data!$D$12:$BK$12,1,Source_Data!AM$5-$B$366),0)</f>
        <v>0</v>
      </c>
      <c r="AN375" s="33" t="n">
        <f aca="false">$B$365*IF(Source_Data!AN$5-$B$366&gt;=1,INDEX(Source_Data!$D$12:$BK$12,1,Source_Data!AN$5-$B$366),0)</f>
        <v>0</v>
      </c>
      <c r="AO375" s="33" t="n">
        <f aca="false">$B$365*IF(Source_Data!AO$5-$B$366&gt;=1,INDEX(Source_Data!$D$12:$BK$12,1,Source_Data!AO$5-$B$366),0)</f>
        <v>0</v>
      </c>
      <c r="AP375" s="33" t="n">
        <f aca="false">$B$365*IF(Source_Data!AP$5-$B$366&gt;=1,INDEX(Source_Data!$D$12:$BK$12,1,Source_Data!AP$5-$B$366),0)</f>
        <v>0</v>
      </c>
      <c r="AQ375" s="33" t="n">
        <f aca="false">$B$365*IF(Source_Data!AQ$5-$B$366&gt;=1,INDEX(Source_Data!$D$12:$BK$12,1,Source_Data!AQ$5-$B$366),0)</f>
        <v>0</v>
      </c>
      <c r="AR375" s="33" t="n">
        <f aca="false">$B$365*IF(Source_Data!AR$5-$B$366&gt;=1,INDEX(Source_Data!$D$12:$BK$12,1,Source_Data!AR$5-$B$366),0)</f>
        <v>0</v>
      </c>
      <c r="AS375" s="33" t="n">
        <f aca="false">$B$365*IF(Source_Data!AS$5-$B$366&gt;=1,INDEX(Source_Data!$D$12:$BK$12,1,Source_Data!AS$5-$B$366),0)</f>
        <v>0</v>
      </c>
      <c r="AT375" s="33" t="n">
        <f aca="false">$B$365*IF(Source_Data!AT$5-$B$366&gt;=1,INDEX(Source_Data!$D$12:$BK$12,1,Source_Data!AT$5-$B$366),0)</f>
        <v>0</v>
      </c>
      <c r="AU375" s="33" t="n">
        <f aca="false">$B$365*IF(Source_Data!AU$5-$B$366&gt;=1,INDEX(Source_Data!$D$12:$BK$12,1,Source_Data!AU$5-$B$366),0)</f>
        <v>0</v>
      </c>
      <c r="AV375" s="33" t="n">
        <f aca="false">$B$365*IF(Source_Data!AV$5-$B$366&gt;=1,INDEX(Source_Data!$D$12:$BK$12,1,Source_Data!AV$5-$B$366),0)</f>
        <v>0</v>
      </c>
      <c r="AW375" s="33" t="n">
        <f aca="false">$B$365*IF(Source_Data!AW$5-$B$366&gt;=1,INDEX(Source_Data!$D$12:$BK$12,1,Source_Data!AW$5-$B$366),0)</f>
        <v>0</v>
      </c>
      <c r="AX375" s="33" t="n">
        <f aca="false">$B$365*IF(Source_Data!AX$5-$B$366&gt;=1,INDEX(Source_Data!$D$12:$BK$12,1,Source_Data!AX$5-$B$366),0)</f>
        <v>0</v>
      </c>
      <c r="AY375" s="33" t="n">
        <f aca="false">$B$365*IF(Source_Data!AY$5-$B$366&gt;=1,INDEX(Source_Data!$D$12:$BK$12,1,Source_Data!AY$5-$B$366),0)</f>
        <v>0</v>
      </c>
      <c r="AZ375" s="33" t="n">
        <f aca="false">$B$365*IF(Source_Data!AZ$5-$B$366&gt;=1,INDEX(Source_Data!$D$12:$BK$12,1,Source_Data!AZ$5-$B$366),0)</f>
        <v>0</v>
      </c>
      <c r="BA375" s="33" t="n">
        <f aca="false">$B$365*IF(Source_Data!BA$5-$B$366&gt;=1,INDEX(Source_Data!$D$12:$BK$12,1,Source_Data!BA$5-$B$366),0)</f>
        <v>0</v>
      </c>
      <c r="BB375" s="33" t="n">
        <f aca="false">$B$365*IF(Source_Data!BB$5-$B$366&gt;=1,INDEX(Source_Data!$D$12:$BK$12,1,Source_Data!BB$5-$B$366),0)</f>
        <v>0</v>
      </c>
      <c r="BC375" s="33" t="n">
        <f aca="false">$B$365*IF(Source_Data!BC$5-$B$366&gt;=1,INDEX(Source_Data!$D$12:$BK$12,1,Source_Data!BC$5-$B$366),0)</f>
        <v>0</v>
      </c>
      <c r="BD375" s="33" t="n">
        <f aca="false">$B$365*IF(Source_Data!BD$5-$B$366&gt;=1,INDEX(Source_Data!$D$12:$BK$12,1,Source_Data!BD$5-$B$366),0)</f>
        <v>0</v>
      </c>
      <c r="BE375" s="33" t="n">
        <f aca="false">$B$365*IF(Source_Data!BE$5-$B$366&gt;=1,INDEX(Source_Data!$D$12:$BK$12,1,Source_Data!BE$5-$B$366),0)</f>
        <v>0</v>
      </c>
      <c r="BF375" s="33" t="n">
        <f aca="false">$B$365*IF(Source_Data!BF$5-$B$366&gt;=1,INDEX(Source_Data!$D$12:$BK$12,1,Source_Data!BF$5-$B$366),0)</f>
        <v>0</v>
      </c>
      <c r="BG375" s="33" t="n">
        <f aca="false">$B$365*IF(Source_Data!BG$5-$B$366&gt;=1,INDEX(Source_Data!$D$12:$BK$12,1,Source_Data!BG$5-$B$366),0)</f>
        <v>0</v>
      </c>
      <c r="BH375" s="33" t="n">
        <f aca="false">$B$365*IF(Source_Data!BH$5-$B$366&gt;=1,INDEX(Source_Data!$D$12:$BK$12,1,Source_Data!BH$5-$B$366),0)</f>
        <v>0</v>
      </c>
      <c r="BI375" s="33" t="n">
        <f aca="false">$B$365*IF(Source_Data!BI$5-$B$366&gt;=1,INDEX(Source_Data!$D$12:$BK$12,1,Source_Data!BI$5-$B$366),0)</f>
        <v>0</v>
      </c>
      <c r="BJ375" s="33" t="n">
        <f aca="false">$B$365*IF(Source_Data!BJ$5-$B$366&gt;=1,INDEX(Source_Data!$D$12:$BK$12,1,Source_Data!BJ$5-$B$366),0)</f>
        <v>0</v>
      </c>
      <c r="BK375" s="33" t="n">
        <f aca="false">$B$365*IF(Source_Data!BK$5-$B$366&gt;=1,INDEX(Source_Data!$D$12:$BK$12,1,Source_Data!BK$5-$B$366),0)</f>
        <v>0</v>
      </c>
    </row>
    <row r="376" customFormat="false" ht="15" hidden="false" customHeight="false" outlineLevel="0" collapsed="false">
      <c r="A376" s="3" t="s">
        <v>215</v>
      </c>
      <c r="D376" s="33" t="n">
        <f aca="false">Source_Data!D$13*$B$367</f>
        <v>0</v>
      </c>
      <c r="E376" s="33" t="n">
        <f aca="false">Source_Data!E$13*$B$367</f>
        <v>0</v>
      </c>
      <c r="F376" s="33" t="n">
        <f aca="false">Source_Data!F$13*$B$367</f>
        <v>0</v>
      </c>
      <c r="G376" s="33" t="n">
        <f aca="false">Source_Data!G$13*$B$367</f>
        <v>0</v>
      </c>
      <c r="H376" s="33" t="n">
        <f aca="false">Source_Data!H$13*$B$367</f>
        <v>3</v>
      </c>
      <c r="I376" s="33" t="n">
        <f aca="false">Source_Data!I$13*$B$367</f>
        <v>3.96</v>
      </c>
      <c r="J376" s="33" t="n">
        <f aca="false">Source_Data!J$13*$B$367</f>
        <v>6</v>
      </c>
      <c r="K376" s="33" t="n">
        <f aca="false">Source_Data!K$13*$B$367</f>
        <v>3.96</v>
      </c>
      <c r="L376" s="33" t="n">
        <f aca="false">Source_Data!L$13*$B$367</f>
        <v>3.96</v>
      </c>
      <c r="M376" s="33" t="n">
        <f aca="false">Source_Data!M$13*$B$367</f>
        <v>3.96</v>
      </c>
      <c r="N376" s="33" t="n">
        <f aca="false">Source_Data!N$13*$B$367</f>
        <v>0.792</v>
      </c>
      <c r="O376" s="33" t="n">
        <f aca="false">Source_Data!O$13*$B$367</f>
        <v>0.792</v>
      </c>
      <c r="P376" s="33" t="n">
        <f aca="false">Source_Data!P$13*$B$367</f>
        <v>18</v>
      </c>
      <c r="Q376" s="33" t="n">
        <f aca="false">Source_Data!Q$13*$B$367</f>
        <v>18</v>
      </c>
      <c r="R376" s="33" t="n">
        <f aca="false">Source_Data!R$13*$B$367</f>
        <v>24.6</v>
      </c>
      <c r="S376" s="33" t="n">
        <f aca="false">Source_Data!S$13*$B$367</f>
        <v>17.55</v>
      </c>
      <c r="T376" s="33" t="n">
        <f aca="false">Source_Data!T$13*$B$367</f>
        <v>0</v>
      </c>
      <c r="U376" s="33" t="n">
        <f aca="false">Source_Data!U$13*$B$367</f>
        <v>0</v>
      </c>
      <c r="V376" s="33" t="n">
        <f aca="false">Source_Data!V$13*$B$367</f>
        <v>0</v>
      </c>
      <c r="W376" s="33" t="n">
        <f aca="false">Source_Data!W$13*$B$367</f>
        <v>0</v>
      </c>
      <c r="X376" s="33" t="n">
        <f aca="false">Source_Data!X$13*$B$367</f>
        <v>0</v>
      </c>
      <c r="Y376" s="33" t="n">
        <f aca="false">Source_Data!Y$13*$B$367</f>
        <v>0</v>
      </c>
      <c r="Z376" s="33" t="n">
        <f aca="false">Source_Data!Z$13*$B$367</f>
        <v>0</v>
      </c>
      <c r="AA376" s="33" t="n">
        <f aca="false">Source_Data!AA$13*$B$367</f>
        <v>0</v>
      </c>
      <c r="AB376" s="33" t="n">
        <f aca="false">Source_Data!AB$13*$B$367</f>
        <v>0</v>
      </c>
      <c r="AC376" s="33" t="n">
        <f aca="false">Source_Data!AC$13*$B$367</f>
        <v>0</v>
      </c>
      <c r="AD376" s="33" t="n">
        <f aca="false">Source_Data!AD$13*$B$367</f>
        <v>0</v>
      </c>
      <c r="AE376" s="33" t="n">
        <f aca="false">Source_Data!AE$13*$B$367</f>
        <v>0</v>
      </c>
      <c r="AF376" s="33" t="n">
        <f aca="false">Source_Data!AF$13*$B$367</f>
        <v>0</v>
      </c>
      <c r="AG376" s="33" t="n">
        <f aca="false">Source_Data!AG$13*$B$367</f>
        <v>0</v>
      </c>
      <c r="AH376" s="33" t="n">
        <f aca="false">Source_Data!AH$13*$B$367</f>
        <v>0</v>
      </c>
      <c r="AI376" s="33" t="n">
        <f aca="false">Source_Data!AI$13*$B$367</f>
        <v>0</v>
      </c>
      <c r="AJ376" s="33" t="n">
        <f aca="false">Source_Data!AJ$13*$B$367</f>
        <v>0</v>
      </c>
      <c r="AK376" s="33" t="n">
        <f aca="false">Source_Data!AK$13*$B$367</f>
        <v>0</v>
      </c>
      <c r="AL376" s="33" t="n">
        <f aca="false">Source_Data!AL$13*$B$367</f>
        <v>0</v>
      </c>
      <c r="AM376" s="33" t="n">
        <f aca="false">Source_Data!AM$13*$B$367</f>
        <v>0</v>
      </c>
      <c r="AN376" s="33" t="n">
        <f aca="false">Source_Data!AN$13*$B$367</f>
        <v>0</v>
      </c>
      <c r="AO376" s="33" t="n">
        <f aca="false">Source_Data!AO$13*$B$367</f>
        <v>0</v>
      </c>
      <c r="AP376" s="33" t="n">
        <f aca="false">Source_Data!AP$13*$B$367</f>
        <v>0</v>
      </c>
      <c r="AQ376" s="33" t="n">
        <f aca="false">Source_Data!AQ$13*$B$367</f>
        <v>0</v>
      </c>
      <c r="AR376" s="33" t="n">
        <f aca="false">Source_Data!AR$13*$B$367</f>
        <v>0</v>
      </c>
      <c r="AS376" s="33" t="n">
        <f aca="false">Source_Data!AS$13*$B$367</f>
        <v>0</v>
      </c>
      <c r="AT376" s="33" t="n">
        <f aca="false">Source_Data!AT$13*$B$367</f>
        <v>0</v>
      </c>
      <c r="AU376" s="33" t="n">
        <f aca="false">Source_Data!AU$13*$B$367</f>
        <v>0</v>
      </c>
      <c r="AV376" s="33" t="n">
        <f aca="false">Source_Data!AV$13*$B$367</f>
        <v>0</v>
      </c>
      <c r="AW376" s="33" t="n">
        <f aca="false">Source_Data!AW$13*$B$367</f>
        <v>0</v>
      </c>
      <c r="AX376" s="33" t="n">
        <f aca="false">Source_Data!AX$13*$B$367</f>
        <v>0</v>
      </c>
      <c r="AY376" s="33" t="n">
        <f aca="false">Source_Data!AY$13*$B$367</f>
        <v>0</v>
      </c>
      <c r="AZ376" s="33" t="n">
        <f aca="false">Source_Data!AZ$13*$B$367</f>
        <v>0</v>
      </c>
      <c r="BA376" s="33" t="n">
        <f aca="false">Source_Data!BA$13*$B$367</f>
        <v>0</v>
      </c>
      <c r="BB376" s="33" t="n">
        <f aca="false">Source_Data!BB$13*$B$367</f>
        <v>0</v>
      </c>
      <c r="BC376" s="33" t="n">
        <f aca="false">Source_Data!BC$13*$B$367</f>
        <v>0</v>
      </c>
      <c r="BD376" s="33" t="n">
        <f aca="false">Source_Data!BD$13*$B$367</f>
        <v>0</v>
      </c>
      <c r="BE376" s="33" t="n">
        <f aca="false">Source_Data!BE$13*$B$367</f>
        <v>0</v>
      </c>
      <c r="BF376" s="33" t="n">
        <f aca="false">Source_Data!BF$13*$B$367</f>
        <v>0</v>
      </c>
      <c r="BG376" s="33" t="n">
        <f aca="false">Source_Data!BG$13*$B$367</f>
        <v>0</v>
      </c>
      <c r="BH376" s="33" t="n">
        <f aca="false">Source_Data!BH$13*$B$367</f>
        <v>0</v>
      </c>
      <c r="BI376" s="33" t="n">
        <f aca="false">Source_Data!BI$13*$B$367</f>
        <v>0</v>
      </c>
      <c r="BJ376" s="33" t="n">
        <f aca="false">Source_Data!BJ$13*$B$367</f>
        <v>0</v>
      </c>
      <c r="BK376" s="33" t="n">
        <f aca="false">Source_Data!BK$13*$B$367</f>
        <v>0</v>
      </c>
    </row>
    <row r="377" customFormat="false" ht="15" hidden="false" customHeight="false" outlineLevel="0" collapsed="false">
      <c r="A377" s="2" t="s">
        <v>216</v>
      </c>
      <c r="D377" s="33" t="n">
        <f aca="false">D372-D373-D374-D375-D376</f>
        <v>-91.25</v>
      </c>
      <c r="E377" s="33" t="n">
        <f aca="false">E372-E373-E374-E375-E376</f>
        <v>-11.25</v>
      </c>
      <c r="F377" s="33" t="n">
        <f aca="false">F372-F373-F374-F375-F376</f>
        <v>-11.25</v>
      </c>
      <c r="G377" s="33" t="n">
        <f aca="false">G372-G373-G374-G375-G376</f>
        <v>3.8892375</v>
      </c>
      <c r="H377" s="33" t="n">
        <f aca="false">H372-H373-H374-H375-H376</f>
        <v>-15.221525</v>
      </c>
      <c r="I377" s="33" t="n">
        <f aca="false">I372-I373-I374-I375-I376</f>
        <v>-6.34799375</v>
      </c>
      <c r="J377" s="33" t="n">
        <f aca="false">J372-J373-J374-J375-J376</f>
        <v>-17.8658525</v>
      </c>
      <c r="K377" s="33" t="n">
        <f aca="false">K372-K373-K374-K375-K376</f>
        <v>-2.60569</v>
      </c>
      <c r="L377" s="33" t="n">
        <f aca="false">L372-L373-L374-L375-L376</f>
        <v>-10.157700625</v>
      </c>
      <c r="M377" s="33" t="n">
        <f aca="false">M372-M373-M374-M375-M376</f>
        <v>6.69758843750001</v>
      </c>
      <c r="N377" s="33" t="n">
        <f aca="false">N372-N373-N374-N375-N376</f>
        <v>448.4428275</v>
      </c>
      <c r="O377" s="33" t="n">
        <f aca="false">O372-O373-O374-O375-O376</f>
        <v>138.76674</v>
      </c>
      <c r="P377" s="33" t="n">
        <f aca="false">P372-P373-P374-P375-P376</f>
        <v>-14.16404</v>
      </c>
      <c r="Q377" s="33" t="n">
        <f aca="false">Q372-Q373-Q374-Q375-Q376</f>
        <v>-94.95005</v>
      </c>
      <c r="R377" s="33" t="n">
        <f aca="false">R372-R373-R374-R375-R376</f>
        <v>-171.55083125</v>
      </c>
      <c r="S377" s="33" t="n">
        <f aca="false">S372-S373-S374-S375-S376</f>
        <v>-114.89623125</v>
      </c>
      <c r="T377" s="33" t="n">
        <f aca="false">T372-T373-T374-T375-T376</f>
        <v>23.037035625</v>
      </c>
      <c r="U377" s="33" t="n">
        <f aca="false">U372-U373-U374-U375-U376</f>
        <v>16.2266396875</v>
      </c>
      <c r="V377" s="33" t="n">
        <f aca="false">V372-V373-V374-V375-V376</f>
        <v>14.7127159375</v>
      </c>
      <c r="W377" s="33" t="n">
        <f aca="false">W372-W373-W374-W375-W376</f>
        <v>8.7239446875</v>
      </c>
      <c r="X377" s="33" t="n">
        <f aca="false">X372-X373-X374-X375-X376</f>
        <v>26.8829446875</v>
      </c>
      <c r="Y377" s="33" t="n">
        <f aca="false">Y372-Y373-Y374-Y375-Y376</f>
        <v>26.8829446875</v>
      </c>
      <c r="Z377" s="33" t="n">
        <f aca="false">Z372-Z373-Z374-Z375-Z376</f>
        <v>19.6027259375</v>
      </c>
      <c r="AA377" s="33" t="n">
        <f aca="false">AA372-AA373-AA374-AA375-AA376</f>
        <v>19.6027259375</v>
      </c>
      <c r="AB377" s="33" t="n">
        <f aca="false">AB372-AB373-AB374-AB375-AB376</f>
        <v>42.1027259375</v>
      </c>
      <c r="AC377" s="33" t="n">
        <f aca="false">AC372-AC373-AC374-AC375-AC376</f>
        <v>36.3147259375</v>
      </c>
      <c r="AD377" s="33" t="n">
        <f aca="false">AD372-AD373-AD374-AD375-AD376</f>
        <v>33.0386275</v>
      </c>
      <c r="AE377" s="33" t="n">
        <f aca="false">AE372-AE373-AE374-AE375-AE376</f>
        <v>29.43017125</v>
      </c>
      <c r="AF377" s="33" t="n">
        <f aca="false">AF372-AF373-AF374-AF375-AF376</f>
        <v>-82.6690391015625</v>
      </c>
      <c r="AG377" s="33" t="n">
        <f aca="false">AG372-AG373-AG374-AG375-AG376</f>
        <v>14.112658828125</v>
      </c>
      <c r="AH377" s="33" t="n">
        <f aca="false">AH372-AH373-AH374-AH375-AH376</f>
        <v>14.112658828125</v>
      </c>
      <c r="AI377" s="33" t="n">
        <f aca="false">AI372-AI373-AI374-AI375-AI376</f>
        <v>14.112658828125</v>
      </c>
      <c r="AJ377" s="33" t="n">
        <f aca="false">AJ372-AJ373-AJ374-AJ375-AJ376</f>
        <v>14.112658828125</v>
      </c>
      <c r="AK377" s="33" t="n">
        <f aca="false">AK372-AK373-AK374-AK375-AK376</f>
        <v>15.0681875390625</v>
      </c>
      <c r="AL377" s="33" t="n">
        <f aca="false">AL372-AL373-AL374-AL375-AL376</f>
        <v>12.8841219140625</v>
      </c>
      <c r="AM377" s="33" t="n">
        <f aca="false">AM372-AM373-AM374-AM375-AM376</f>
        <v>14.7065505859375</v>
      </c>
      <c r="AN377" s="33" t="n">
        <f aca="false">AN372-AN373-AN374-AN375-AN376</f>
        <v>14.52810609375</v>
      </c>
      <c r="AO377" s="33" t="n">
        <f aca="false">AO372-AO373-AO374-AO375-AO376</f>
        <v>8.06408578125</v>
      </c>
      <c r="AP377" s="33" t="n">
        <f aca="false">AP372-AP373-AP374-AP375-AP376</f>
        <v>3.5704725</v>
      </c>
      <c r="AQ377" s="33" t="n">
        <f aca="false">AQ372-AQ373-AQ374-AQ375-AQ376</f>
        <v>0</v>
      </c>
      <c r="AR377" s="33" t="n">
        <f aca="false">AR372-AR373-AR374-AR375-AR376</f>
        <v>0</v>
      </c>
      <c r="AS377" s="33" t="n">
        <f aca="false">AS372-AS373-AS374-AS375-AS376</f>
        <v>0</v>
      </c>
      <c r="AT377" s="33" t="n">
        <f aca="false">AT372-AT373-AT374-AT375-AT376</f>
        <v>0</v>
      </c>
      <c r="AU377" s="33" t="n">
        <f aca="false">AU372-AU373-AU374-AU375-AU376</f>
        <v>0</v>
      </c>
      <c r="AV377" s="33" t="n">
        <f aca="false">AV372-AV373-AV374-AV375-AV376</f>
        <v>0</v>
      </c>
      <c r="AW377" s="33" t="n">
        <f aca="false">AW372-AW373-AW374-AW375-AW376</f>
        <v>0</v>
      </c>
      <c r="AX377" s="33" t="n">
        <f aca="false">AX372-AX373-AX374-AX375-AX376</f>
        <v>0</v>
      </c>
      <c r="AY377" s="33" t="n">
        <f aca="false">AY372-AY373-AY374-AY375-AY376</f>
        <v>0</v>
      </c>
      <c r="AZ377" s="33" t="n">
        <f aca="false">AZ372-AZ373-AZ374-AZ375-AZ376</f>
        <v>0</v>
      </c>
      <c r="BA377" s="33" t="n">
        <f aca="false">BA372-BA373-BA374-BA375-BA376</f>
        <v>0</v>
      </c>
      <c r="BB377" s="33" t="n">
        <f aca="false">BB372-BB373-BB374-BB375-BB376</f>
        <v>0</v>
      </c>
      <c r="BC377" s="33" t="n">
        <f aca="false">BC372-BC373-BC374-BC375-BC376</f>
        <v>0</v>
      </c>
      <c r="BD377" s="33" t="n">
        <f aca="false">BD372-BD373-BD374-BD375-BD376</f>
        <v>0</v>
      </c>
      <c r="BE377" s="33" t="n">
        <f aca="false">BE372-BE373-BE374-BE375-BE376</f>
        <v>0</v>
      </c>
      <c r="BF377" s="33" t="n">
        <f aca="false">BF372-BF373-BF374-BF375-BF376</f>
        <v>0</v>
      </c>
      <c r="BG377" s="33" t="n">
        <f aca="false">BG372-BG373-BG374-BG375-BG376</f>
        <v>0</v>
      </c>
      <c r="BH377" s="33" t="n">
        <f aca="false">BH372-BH373-BH374-BH375-BH376</f>
        <v>0</v>
      </c>
      <c r="BI377" s="33" t="n">
        <f aca="false">BI372-BI373-BI374-BI375-BI376</f>
        <v>0</v>
      </c>
      <c r="BJ377" s="33" t="n">
        <f aca="false">BJ372-BJ373-BJ374-BJ375-BJ376</f>
        <v>0</v>
      </c>
      <c r="BK377" s="33" t="n">
        <f aca="false">BK372-BK373-BK374-BK375-BK376</f>
        <v>0</v>
      </c>
    </row>
    <row r="378" customFormat="false" ht="15" hidden="false" customHeight="false" outlineLevel="0" collapsed="false">
      <c r="A378" s="2" t="s">
        <v>217</v>
      </c>
      <c r="D378" s="33" t="n">
        <f aca="false">D377</f>
        <v>-91.25</v>
      </c>
      <c r="E378" s="33" t="n">
        <f aca="false">D378+E377</f>
        <v>-102.5</v>
      </c>
      <c r="F378" s="33" t="n">
        <f aca="false">E378+F377</f>
        <v>-113.75</v>
      </c>
      <c r="G378" s="33" t="n">
        <f aca="false">F378+G377</f>
        <v>-109.8607625</v>
      </c>
      <c r="H378" s="33" t="n">
        <f aca="false">G378+H377</f>
        <v>-125.0822875</v>
      </c>
      <c r="I378" s="33" t="n">
        <f aca="false">H378+I377</f>
        <v>-131.43028125</v>
      </c>
      <c r="J378" s="33" t="n">
        <f aca="false">I378+J377</f>
        <v>-149.29613375</v>
      </c>
      <c r="K378" s="33" t="n">
        <f aca="false">J378+K377</f>
        <v>-151.90182375</v>
      </c>
      <c r="L378" s="33" t="n">
        <f aca="false">K378+L377</f>
        <v>-162.059524375</v>
      </c>
      <c r="M378" s="33" t="n">
        <f aca="false">L378+M377</f>
        <v>-155.3619359375</v>
      </c>
      <c r="N378" s="33" t="n">
        <f aca="false">M378+N377</f>
        <v>293.0808915625</v>
      </c>
      <c r="O378" s="33" t="n">
        <f aca="false">N378+O377</f>
        <v>431.8476315625</v>
      </c>
      <c r="P378" s="33" t="n">
        <f aca="false">O378+P377</f>
        <v>417.6835915625</v>
      </c>
      <c r="Q378" s="33" t="n">
        <f aca="false">P378+Q377</f>
        <v>322.7335415625</v>
      </c>
      <c r="R378" s="33" t="n">
        <f aca="false">Q378+R377</f>
        <v>151.1827103125</v>
      </c>
      <c r="S378" s="33" t="n">
        <f aca="false">R378+S377</f>
        <v>36.2864790625</v>
      </c>
      <c r="T378" s="33" t="n">
        <f aca="false">S378+T377</f>
        <v>59.3235146875</v>
      </c>
      <c r="U378" s="33" t="n">
        <f aca="false">T378+U377</f>
        <v>75.550154375</v>
      </c>
      <c r="V378" s="33" t="n">
        <f aca="false">U378+V377</f>
        <v>90.2628703125</v>
      </c>
      <c r="W378" s="33" t="n">
        <f aca="false">V378+W377</f>
        <v>98.986815</v>
      </c>
      <c r="X378" s="33" t="n">
        <f aca="false">W378+X377</f>
        <v>125.8697596875</v>
      </c>
      <c r="Y378" s="33" t="n">
        <f aca="false">X378+Y377</f>
        <v>152.752704375</v>
      </c>
      <c r="Z378" s="33" t="n">
        <f aca="false">Y378+Z377</f>
        <v>172.3554303125</v>
      </c>
      <c r="AA378" s="33" t="n">
        <f aca="false">Z378+AA377</f>
        <v>191.95815625</v>
      </c>
      <c r="AB378" s="33" t="n">
        <f aca="false">AA378+AB377</f>
        <v>234.0608821875</v>
      </c>
      <c r="AC378" s="33" t="n">
        <f aca="false">AB378+AC377</f>
        <v>270.375608125</v>
      </c>
      <c r="AD378" s="33" t="n">
        <f aca="false">AC378+AD377</f>
        <v>303.414235625</v>
      </c>
      <c r="AE378" s="33" t="n">
        <f aca="false">AD378+AE377</f>
        <v>332.844406875</v>
      </c>
      <c r="AF378" s="33" t="n">
        <f aca="false">AE378+AF377</f>
        <v>250.175367773437</v>
      </c>
      <c r="AG378" s="33" t="n">
        <f aca="false">AF378+AG377</f>
        <v>264.288026601563</v>
      </c>
      <c r="AH378" s="33" t="n">
        <f aca="false">AG378+AH377</f>
        <v>278.400685429688</v>
      </c>
      <c r="AI378" s="33" t="n">
        <f aca="false">AH378+AI377</f>
        <v>292.513344257813</v>
      </c>
      <c r="AJ378" s="33" t="n">
        <f aca="false">AI378+AJ377</f>
        <v>306.626003085938</v>
      </c>
      <c r="AK378" s="33" t="n">
        <f aca="false">AJ378+AK377</f>
        <v>321.694190625</v>
      </c>
      <c r="AL378" s="33" t="n">
        <f aca="false">AK378+AL377</f>
        <v>334.578312539063</v>
      </c>
      <c r="AM378" s="33" t="n">
        <f aca="false">AL378+AM377</f>
        <v>349.284863125</v>
      </c>
      <c r="AN378" s="33" t="n">
        <f aca="false">AM378+AN377</f>
        <v>363.81296921875</v>
      </c>
      <c r="AO378" s="33" t="n">
        <f aca="false">AN378+AO377</f>
        <v>371.877055</v>
      </c>
      <c r="AP378" s="33" t="n">
        <f aca="false">AO378+AP377</f>
        <v>375.4475275</v>
      </c>
      <c r="AQ378" s="33" t="n">
        <f aca="false">AP378+AQ377</f>
        <v>375.4475275</v>
      </c>
      <c r="AR378" s="33" t="n">
        <f aca="false">AQ378+AR377</f>
        <v>375.4475275</v>
      </c>
      <c r="AS378" s="33" t="n">
        <f aca="false">AR378+AS377</f>
        <v>375.4475275</v>
      </c>
      <c r="AT378" s="33" t="n">
        <f aca="false">AS378+AT377</f>
        <v>375.4475275</v>
      </c>
      <c r="AU378" s="33" t="n">
        <f aca="false">AT378+AU377</f>
        <v>375.4475275</v>
      </c>
      <c r="AV378" s="33" t="n">
        <f aca="false">AU378+AV377</f>
        <v>375.4475275</v>
      </c>
      <c r="AW378" s="33" t="n">
        <f aca="false">AV378+AW377</f>
        <v>375.4475275</v>
      </c>
      <c r="AX378" s="33" t="n">
        <f aca="false">AW378+AX377</f>
        <v>375.4475275</v>
      </c>
      <c r="AY378" s="33" t="n">
        <f aca="false">AX378+AY377</f>
        <v>375.4475275</v>
      </c>
      <c r="AZ378" s="33" t="n">
        <f aca="false">AY378+AZ377</f>
        <v>375.4475275</v>
      </c>
      <c r="BA378" s="33" t="n">
        <f aca="false">AZ378+BA377</f>
        <v>375.4475275</v>
      </c>
      <c r="BB378" s="33" t="n">
        <f aca="false">BA378+BB377</f>
        <v>375.4475275</v>
      </c>
      <c r="BC378" s="33" t="n">
        <f aca="false">BB378+BC377</f>
        <v>375.4475275</v>
      </c>
      <c r="BD378" s="33" t="n">
        <f aca="false">BC378+BD377</f>
        <v>375.4475275</v>
      </c>
      <c r="BE378" s="33" t="n">
        <f aca="false">BD378+BE377</f>
        <v>375.4475275</v>
      </c>
      <c r="BF378" s="33" t="n">
        <f aca="false">BE378+BF377</f>
        <v>375.4475275</v>
      </c>
      <c r="BG378" s="33" t="n">
        <f aca="false">BF378+BG377</f>
        <v>375.4475275</v>
      </c>
      <c r="BH378" s="33" t="n">
        <f aca="false">BG378+BH377</f>
        <v>375.4475275</v>
      </c>
      <c r="BI378" s="33" t="n">
        <f aca="false">BH378+BI377</f>
        <v>375.4475275</v>
      </c>
      <c r="BJ378" s="33" t="n">
        <f aca="false">BI378+BJ377</f>
        <v>375.4475275</v>
      </c>
      <c r="BK378" s="33" t="n">
        <f aca="false">BJ378+BK377</f>
        <v>375.4475275</v>
      </c>
    </row>
    <row r="379" customFormat="false" ht="15" hidden="false" customHeight="false" outlineLevel="0" collapsed="false">
      <c r="A379" s="3" t="s">
        <v>340</v>
      </c>
      <c r="D379" s="33" t="n">
        <f aca="false">IF(Source_Data!D$6=Inputs!$B$12,-Inputs!$B$7,0)+IF(AND(Source_Data!D$6&gt;=$B$370,Source_Data!D$6&lt;$B$370+3*Inputs!$B$16,MOD(Source_Data!D$6-$B$370,3)=0),Inputs!$B$8*Inputs!$B$7*Inputs!$B$34*$B$365*(1-Inputs!$B$15)/Inputs!$B$16,0)</f>
        <v>-100</v>
      </c>
      <c r="E379" s="33" t="n">
        <f aca="false">IF(Source_Data!E$6=Inputs!$B$12,-Inputs!$B$7,0)+IF(AND(Source_Data!E$6&gt;=$B$370,Source_Data!E$6&lt;$B$370+3*Inputs!$B$16,MOD(Source_Data!E$6-$B$370,3)=0),Inputs!$B$8*Inputs!$B$7*Inputs!$B$34*$B$365*(1-Inputs!$B$15)/Inputs!$B$16,0)</f>
        <v>0</v>
      </c>
      <c r="F379" s="33" t="n">
        <f aca="false">IF(Source_Data!F$6=Inputs!$B$12,-Inputs!$B$7,0)+IF(AND(Source_Data!F$6&gt;=$B$370,Source_Data!F$6&lt;$B$370+3*Inputs!$B$16,MOD(Source_Data!F$6-$B$370,3)=0),Inputs!$B$8*Inputs!$B$7*Inputs!$B$34*$B$365*(1-Inputs!$B$15)/Inputs!$B$16,0)</f>
        <v>0</v>
      </c>
      <c r="G379" s="33" t="n">
        <f aca="false">IF(Source_Data!G$6=Inputs!$B$12,-Inputs!$B$7,0)+IF(AND(Source_Data!G$6&gt;=$B$370,Source_Data!G$6&lt;$B$370+3*Inputs!$B$16,MOD(Source_Data!G$6-$B$370,3)=0),Inputs!$B$8*Inputs!$B$7*Inputs!$B$34*$B$365*(1-Inputs!$B$15)/Inputs!$B$16,0)</f>
        <v>0</v>
      </c>
      <c r="H379" s="33" t="n">
        <f aca="false">IF(Source_Data!H$6=Inputs!$B$12,-Inputs!$B$7,0)+IF(AND(Source_Data!H$6&gt;=$B$370,Source_Data!H$6&lt;$B$370+3*Inputs!$B$16,MOD(Source_Data!H$6-$B$370,3)=0),Inputs!$B$8*Inputs!$B$7*Inputs!$B$34*$B$365*(1-Inputs!$B$15)/Inputs!$B$16,0)</f>
        <v>0</v>
      </c>
      <c r="I379" s="33" t="n">
        <f aca="false">IF(Source_Data!I$6=Inputs!$B$12,-Inputs!$B$7,0)+IF(AND(Source_Data!I$6&gt;=$B$370,Source_Data!I$6&lt;$B$370+3*Inputs!$B$16,MOD(Source_Data!I$6-$B$370,3)=0),Inputs!$B$8*Inputs!$B$7*Inputs!$B$34*$B$365*(1-Inputs!$B$15)/Inputs!$B$16,0)</f>
        <v>0</v>
      </c>
      <c r="J379" s="33" t="n">
        <f aca="false">IF(Source_Data!J$6=Inputs!$B$12,-Inputs!$B$7,0)+IF(AND(Source_Data!J$6&gt;=$B$370,Source_Data!J$6&lt;$B$370+3*Inputs!$B$16,MOD(Source_Data!J$6-$B$370,3)=0),Inputs!$B$8*Inputs!$B$7*Inputs!$B$34*$B$365*(1-Inputs!$B$15)/Inputs!$B$16,0)</f>
        <v>0</v>
      </c>
      <c r="K379" s="33" t="n">
        <f aca="false">IF(Source_Data!K$6=Inputs!$B$12,-Inputs!$B$7,0)+IF(AND(Source_Data!K$6&gt;=$B$370,Source_Data!K$6&lt;$B$370+3*Inputs!$B$16,MOD(Source_Data!K$6-$B$370,3)=0),Inputs!$B$8*Inputs!$B$7*Inputs!$B$34*$B$365*(1-Inputs!$B$15)/Inputs!$B$16,0)</f>
        <v>0</v>
      </c>
      <c r="L379" s="33" t="n">
        <f aca="false">IF(Source_Data!L$6=Inputs!$B$12,-Inputs!$B$7,0)+IF(AND(Source_Data!L$6&gt;=$B$370,Source_Data!L$6&lt;$B$370+3*Inputs!$B$16,MOD(Source_Data!L$6-$B$370,3)=0),Inputs!$B$8*Inputs!$B$7*Inputs!$B$34*$B$365*(1-Inputs!$B$15)/Inputs!$B$16,0)</f>
        <v>0</v>
      </c>
      <c r="M379" s="33" t="n">
        <f aca="false">IF(Source_Data!M$6=Inputs!$B$12,-Inputs!$B$7,0)+IF(AND(Source_Data!M$6&gt;=$B$370,Source_Data!M$6&lt;$B$370+3*Inputs!$B$16,MOD(Source_Data!M$6-$B$370,3)=0),Inputs!$B$8*Inputs!$B$7*Inputs!$B$34*$B$365*(1-Inputs!$B$15)/Inputs!$B$16,0)</f>
        <v>0</v>
      </c>
      <c r="N379" s="33" t="n">
        <f aca="false">IF(Source_Data!N$6=Inputs!$B$12,-Inputs!$B$7,0)+IF(AND(Source_Data!N$6&gt;=$B$370,Source_Data!N$6&lt;$B$370+3*Inputs!$B$16,MOD(Source_Data!N$6-$B$370,3)=0),Inputs!$B$8*Inputs!$B$7*Inputs!$B$34*$B$365*(1-Inputs!$B$15)/Inputs!$B$16,0)</f>
        <v>0</v>
      </c>
      <c r="O379" s="33" t="n">
        <f aca="false">IF(Source_Data!O$6=Inputs!$B$12,-Inputs!$B$7,0)+IF(AND(Source_Data!O$6&gt;=$B$370,Source_Data!O$6&lt;$B$370+3*Inputs!$B$16,MOD(Source_Data!O$6-$B$370,3)=0),Inputs!$B$8*Inputs!$B$7*Inputs!$B$34*$B$365*(1-Inputs!$B$15)/Inputs!$B$16,0)</f>
        <v>0</v>
      </c>
      <c r="P379" s="33" t="n">
        <f aca="false">IF(Source_Data!P$6=Inputs!$B$12,-Inputs!$B$7,0)+IF(AND(Source_Data!P$6&gt;=$B$370,Source_Data!P$6&lt;$B$370+3*Inputs!$B$16,MOD(Source_Data!P$6-$B$370,3)=0),Inputs!$B$8*Inputs!$B$7*Inputs!$B$34*$B$365*(1-Inputs!$B$15)/Inputs!$B$16,0)</f>
        <v>0</v>
      </c>
      <c r="Q379" s="33" t="n">
        <f aca="false">IF(Source_Data!Q$6=Inputs!$B$12,-Inputs!$B$7,0)+IF(AND(Source_Data!Q$6&gt;=$B$370,Source_Data!Q$6&lt;$B$370+3*Inputs!$B$16,MOD(Source_Data!Q$6-$B$370,3)=0),Inputs!$B$8*Inputs!$B$7*Inputs!$B$34*$B$365*(1-Inputs!$B$15)/Inputs!$B$16,0)</f>
        <v>0</v>
      </c>
      <c r="R379" s="33" t="n">
        <f aca="false">IF(Source_Data!R$6=Inputs!$B$12,-Inputs!$B$7,0)+IF(AND(Source_Data!R$6&gt;=$B$370,Source_Data!R$6&lt;$B$370+3*Inputs!$B$16,MOD(Source_Data!R$6-$B$370,3)=0),Inputs!$B$8*Inputs!$B$7*Inputs!$B$34*$B$365*(1-Inputs!$B$15)/Inputs!$B$16,0)</f>
        <v>0</v>
      </c>
      <c r="S379" s="33" t="n">
        <f aca="false">IF(Source_Data!S$6=Inputs!$B$12,-Inputs!$B$7,0)+IF(AND(Source_Data!S$6&gt;=$B$370,Source_Data!S$6&lt;$B$370+3*Inputs!$B$16,MOD(Source_Data!S$6-$B$370,3)=0),Inputs!$B$8*Inputs!$B$7*Inputs!$B$34*$B$365*(1-Inputs!$B$15)/Inputs!$B$16,0)</f>
        <v>0</v>
      </c>
      <c r="T379" s="33" t="n">
        <f aca="false">IF(Source_Data!T$6=Inputs!$B$12,-Inputs!$B$7,0)+IF(AND(Source_Data!T$6&gt;=$B$370,Source_Data!T$6&lt;$B$370+3*Inputs!$B$16,MOD(Source_Data!T$6-$B$370,3)=0),Inputs!$B$8*Inputs!$B$7*Inputs!$B$34*$B$365*(1-Inputs!$B$15)/Inputs!$B$16,0)</f>
        <v>69.5340501792115</v>
      </c>
      <c r="U379" s="33" t="n">
        <f aca="false">IF(Source_Data!U$6=Inputs!$B$12,-Inputs!$B$7,0)+IF(AND(Source_Data!U$6&gt;=$B$370,Source_Data!U$6&lt;$B$370+3*Inputs!$B$16,MOD(Source_Data!U$6-$B$370,3)=0),Inputs!$B$8*Inputs!$B$7*Inputs!$B$34*$B$365*(1-Inputs!$B$15)/Inputs!$B$16,0)</f>
        <v>69.5340501792115</v>
      </c>
      <c r="V379" s="33" t="n">
        <f aca="false">IF(Source_Data!V$6=Inputs!$B$12,-Inputs!$B$7,0)+IF(AND(Source_Data!V$6&gt;=$B$370,Source_Data!V$6&lt;$B$370+3*Inputs!$B$16,MOD(Source_Data!V$6-$B$370,3)=0),Inputs!$B$8*Inputs!$B$7*Inputs!$B$34*$B$365*(1-Inputs!$B$15)/Inputs!$B$16,0)</f>
        <v>69.5340501792115</v>
      </c>
      <c r="W379" s="33" t="n">
        <f aca="false">IF(Source_Data!W$6=Inputs!$B$12,-Inputs!$B$7,0)+IF(AND(Source_Data!W$6&gt;=$B$370,Source_Data!W$6&lt;$B$370+3*Inputs!$B$16,MOD(Source_Data!W$6-$B$370,3)=0),Inputs!$B$8*Inputs!$B$7*Inputs!$B$34*$B$365*(1-Inputs!$B$15)/Inputs!$B$16,0)</f>
        <v>69.5340501792115</v>
      </c>
      <c r="X379" s="33" t="n">
        <f aca="false">IF(Source_Data!X$6=Inputs!$B$12,-Inputs!$B$7,0)+IF(AND(Source_Data!X$6&gt;=$B$370,Source_Data!X$6&lt;$B$370+3*Inputs!$B$16,MOD(Source_Data!X$6-$B$370,3)=0),Inputs!$B$8*Inputs!$B$7*Inputs!$B$34*$B$365*(1-Inputs!$B$15)/Inputs!$B$16,0)</f>
        <v>0</v>
      </c>
      <c r="Y379" s="33" t="n">
        <f aca="false">IF(Source_Data!Y$6=Inputs!$B$12,-Inputs!$B$7,0)+IF(AND(Source_Data!Y$6&gt;=$B$370,Source_Data!Y$6&lt;$B$370+3*Inputs!$B$16,MOD(Source_Data!Y$6-$B$370,3)=0),Inputs!$B$8*Inputs!$B$7*Inputs!$B$34*$B$365*(1-Inputs!$B$15)/Inputs!$B$16,0)</f>
        <v>0</v>
      </c>
      <c r="Z379" s="33" t="n">
        <f aca="false">IF(Source_Data!Z$6=Inputs!$B$12,-Inputs!$B$7,0)+IF(AND(Source_Data!Z$6&gt;=$B$370,Source_Data!Z$6&lt;$B$370+3*Inputs!$B$16,MOD(Source_Data!Z$6-$B$370,3)=0),Inputs!$B$8*Inputs!$B$7*Inputs!$B$34*$B$365*(1-Inputs!$B$15)/Inputs!$B$16,0)</f>
        <v>0</v>
      </c>
      <c r="AA379" s="33" t="n">
        <f aca="false">IF(Source_Data!AA$6=Inputs!$B$12,-Inputs!$B$7,0)+IF(AND(Source_Data!AA$6&gt;=$B$370,Source_Data!AA$6&lt;$B$370+3*Inputs!$B$16,MOD(Source_Data!AA$6-$B$370,3)=0),Inputs!$B$8*Inputs!$B$7*Inputs!$B$34*$B$365*(1-Inputs!$B$15)/Inputs!$B$16,0)</f>
        <v>0</v>
      </c>
      <c r="AB379" s="33" t="n">
        <f aca="false">IF(Source_Data!AB$6=Inputs!$B$12,-Inputs!$B$7,0)+IF(AND(Source_Data!AB$6&gt;=$B$370,Source_Data!AB$6&lt;$B$370+3*Inputs!$B$16,MOD(Source_Data!AB$6-$B$370,3)=0),Inputs!$B$8*Inputs!$B$7*Inputs!$B$34*$B$365*(1-Inputs!$B$15)/Inputs!$B$16,0)</f>
        <v>0</v>
      </c>
      <c r="AC379" s="33" t="n">
        <f aca="false">IF(Source_Data!AC$6=Inputs!$B$12,-Inputs!$B$7,0)+IF(AND(Source_Data!AC$6&gt;=$B$370,Source_Data!AC$6&lt;$B$370+3*Inputs!$B$16,MOD(Source_Data!AC$6-$B$370,3)=0),Inputs!$B$8*Inputs!$B$7*Inputs!$B$34*$B$365*(1-Inputs!$B$15)/Inputs!$B$16,0)</f>
        <v>0</v>
      </c>
      <c r="AD379" s="33" t="n">
        <f aca="false">IF(Source_Data!AD$6=Inputs!$B$12,-Inputs!$B$7,0)+IF(AND(Source_Data!AD$6&gt;=$B$370,Source_Data!AD$6&lt;$B$370+3*Inputs!$B$16,MOD(Source_Data!AD$6-$B$370,3)=0),Inputs!$B$8*Inputs!$B$7*Inputs!$B$34*$B$365*(1-Inputs!$B$15)/Inputs!$B$16,0)</f>
        <v>0</v>
      </c>
      <c r="AE379" s="33" t="n">
        <f aca="false">IF(Source_Data!AE$6=Inputs!$B$12,-Inputs!$B$7,0)+IF(AND(Source_Data!AE$6&gt;=$B$370,Source_Data!AE$6&lt;$B$370+3*Inputs!$B$16,MOD(Source_Data!AE$6-$B$370,3)=0),Inputs!$B$8*Inputs!$B$7*Inputs!$B$34*$B$365*(1-Inputs!$B$15)/Inputs!$B$16,0)</f>
        <v>0</v>
      </c>
      <c r="AF379" s="33" t="n">
        <f aca="false">IF(Source_Data!AF$6=Inputs!$B$12,-Inputs!$B$7,0)+IF(AND(Source_Data!AF$6&gt;=$B$370,Source_Data!AF$6&lt;$B$370+3*Inputs!$B$16,MOD(Source_Data!AF$6-$B$370,3)=0),Inputs!$B$8*Inputs!$B$7*Inputs!$B$34*$B$365*(1-Inputs!$B$15)/Inputs!$B$16,0)</f>
        <v>0</v>
      </c>
      <c r="AG379" s="33" t="n">
        <f aca="false">IF(Source_Data!AG$6=Inputs!$B$12,-Inputs!$B$7,0)+IF(AND(Source_Data!AG$6&gt;=$B$370,Source_Data!AG$6&lt;$B$370+3*Inputs!$B$16,MOD(Source_Data!AG$6-$B$370,3)=0),Inputs!$B$8*Inputs!$B$7*Inputs!$B$34*$B$365*(1-Inputs!$B$15)/Inputs!$B$16,0)</f>
        <v>0</v>
      </c>
      <c r="AH379" s="33" t="n">
        <f aca="false">IF(Source_Data!AH$6=Inputs!$B$12,-Inputs!$B$7,0)+IF(AND(Source_Data!AH$6&gt;=$B$370,Source_Data!AH$6&lt;$B$370+3*Inputs!$B$16,MOD(Source_Data!AH$6-$B$370,3)=0),Inputs!$B$8*Inputs!$B$7*Inputs!$B$34*$B$365*(1-Inputs!$B$15)/Inputs!$B$16,0)</f>
        <v>0</v>
      </c>
      <c r="AI379" s="33" t="n">
        <f aca="false">IF(Source_Data!AI$6=Inputs!$B$12,-Inputs!$B$7,0)+IF(AND(Source_Data!AI$6&gt;=$B$370,Source_Data!AI$6&lt;$B$370+3*Inputs!$B$16,MOD(Source_Data!AI$6-$B$370,3)=0),Inputs!$B$8*Inputs!$B$7*Inputs!$B$34*$B$365*(1-Inputs!$B$15)/Inputs!$B$16,0)</f>
        <v>0</v>
      </c>
      <c r="AJ379" s="33" t="n">
        <f aca="false">IF(Source_Data!AJ$6=Inputs!$B$12,-Inputs!$B$7,0)+IF(AND(Source_Data!AJ$6&gt;=$B$370,Source_Data!AJ$6&lt;$B$370+3*Inputs!$B$16,MOD(Source_Data!AJ$6-$B$370,3)=0),Inputs!$B$8*Inputs!$B$7*Inputs!$B$34*$B$365*(1-Inputs!$B$15)/Inputs!$B$16,0)</f>
        <v>0</v>
      </c>
      <c r="AK379" s="33" t="n">
        <f aca="false">IF(Source_Data!AK$6=Inputs!$B$12,-Inputs!$B$7,0)+IF(AND(Source_Data!AK$6&gt;=$B$370,Source_Data!AK$6&lt;$B$370+3*Inputs!$B$16,MOD(Source_Data!AK$6-$B$370,3)=0),Inputs!$B$8*Inputs!$B$7*Inputs!$B$34*$B$365*(1-Inputs!$B$15)/Inputs!$B$16,0)</f>
        <v>0</v>
      </c>
      <c r="AL379" s="33" t="n">
        <f aca="false">IF(Source_Data!AL$6=Inputs!$B$12,-Inputs!$B$7,0)+IF(AND(Source_Data!AL$6&gt;=$B$370,Source_Data!AL$6&lt;$B$370+3*Inputs!$B$16,MOD(Source_Data!AL$6-$B$370,3)=0),Inputs!$B$8*Inputs!$B$7*Inputs!$B$34*$B$365*(1-Inputs!$B$15)/Inputs!$B$16,0)</f>
        <v>0</v>
      </c>
      <c r="AM379" s="33" t="n">
        <f aca="false">IF(Source_Data!AM$6=Inputs!$B$12,-Inputs!$B$7,0)+IF(AND(Source_Data!AM$6&gt;=$B$370,Source_Data!AM$6&lt;$B$370+3*Inputs!$B$16,MOD(Source_Data!AM$6-$B$370,3)=0),Inputs!$B$8*Inputs!$B$7*Inputs!$B$34*$B$365*(1-Inputs!$B$15)/Inputs!$B$16,0)</f>
        <v>0</v>
      </c>
      <c r="AN379" s="33" t="n">
        <f aca="false">IF(Source_Data!AN$6=Inputs!$B$12,-Inputs!$B$7,0)+IF(AND(Source_Data!AN$6&gt;=$B$370,Source_Data!AN$6&lt;$B$370+3*Inputs!$B$16,MOD(Source_Data!AN$6-$B$370,3)=0),Inputs!$B$8*Inputs!$B$7*Inputs!$B$34*$B$365*(1-Inputs!$B$15)/Inputs!$B$16,0)</f>
        <v>0</v>
      </c>
      <c r="AO379" s="33" t="n">
        <f aca="false">IF(Source_Data!AO$6=Inputs!$B$12,-Inputs!$B$7,0)+IF(AND(Source_Data!AO$6&gt;=$B$370,Source_Data!AO$6&lt;$B$370+3*Inputs!$B$16,MOD(Source_Data!AO$6-$B$370,3)=0),Inputs!$B$8*Inputs!$B$7*Inputs!$B$34*$B$365*(1-Inputs!$B$15)/Inputs!$B$16,0)</f>
        <v>0</v>
      </c>
      <c r="AP379" s="33" t="n">
        <f aca="false">IF(Source_Data!AP$6=Inputs!$B$12,-Inputs!$B$7,0)+IF(AND(Source_Data!AP$6&gt;=$B$370,Source_Data!AP$6&lt;$B$370+3*Inputs!$B$16,MOD(Source_Data!AP$6-$B$370,3)=0),Inputs!$B$8*Inputs!$B$7*Inputs!$B$34*$B$365*(1-Inputs!$B$15)/Inputs!$B$16,0)</f>
        <v>0</v>
      </c>
      <c r="AQ379" s="33" t="n">
        <f aca="false">IF(Source_Data!AQ$6=Inputs!$B$12,-Inputs!$B$7,0)+IF(AND(Source_Data!AQ$6&gt;=$B$370,Source_Data!AQ$6&lt;$B$370+3*Inputs!$B$16,MOD(Source_Data!AQ$6-$B$370,3)=0),Inputs!$B$8*Inputs!$B$7*Inputs!$B$34*$B$365*(1-Inputs!$B$15)/Inputs!$B$16,0)</f>
        <v>0</v>
      </c>
      <c r="AR379" s="33" t="n">
        <f aca="false">IF(Source_Data!AR$6=Inputs!$B$12,-Inputs!$B$7,0)+IF(AND(Source_Data!AR$6&gt;=$B$370,Source_Data!AR$6&lt;$B$370+3*Inputs!$B$16,MOD(Source_Data!AR$6-$B$370,3)=0),Inputs!$B$8*Inputs!$B$7*Inputs!$B$34*$B$365*(1-Inputs!$B$15)/Inputs!$B$16,0)</f>
        <v>0</v>
      </c>
      <c r="AS379" s="33" t="n">
        <f aca="false">IF(Source_Data!AS$6=Inputs!$B$12,-Inputs!$B$7,0)+IF(AND(Source_Data!AS$6&gt;=$B$370,Source_Data!AS$6&lt;$B$370+3*Inputs!$B$16,MOD(Source_Data!AS$6-$B$370,3)=0),Inputs!$B$8*Inputs!$B$7*Inputs!$B$34*$B$365*(1-Inputs!$B$15)/Inputs!$B$16,0)</f>
        <v>0</v>
      </c>
      <c r="AT379" s="33" t="n">
        <f aca="false">IF(Source_Data!AT$6=Inputs!$B$12,-Inputs!$B$7,0)+IF(AND(Source_Data!AT$6&gt;=$B$370,Source_Data!AT$6&lt;$B$370+3*Inputs!$B$16,MOD(Source_Data!AT$6-$B$370,3)=0),Inputs!$B$8*Inputs!$B$7*Inputs!$B$34*$B$365*(1-Inputs!$B$15)/Inputs!$B$16,0)</f>
        <v>0</v>
      </c>
      <c r="AU379" s="33" t="n">
        <f aca="false">IF(Source_Data!AU$6=Inputs!$B$12,-Inputs!$B$7,0)+IF(AND(Source_Data!AU$6&gt;=$B$370,Source_Data!AU$6&lt;$B$370+3*Inputs!$B$16,MOD(Source_Data!AU$6-$B$370,3)=0),Inputs!$B$8*Inputs!$B$7*Inputs!$B$34*$B$365*(1-Inputs!$B$15)/Inputs!$B$16,0)</f>
        <v>0</v>
      </c>
      <c r="AV379" s="33" t="n">
        <f aca="false">IF(Source_Data!AV$6=Inputs!$B$12,-Inputs!$B$7,0)+IF(AND(Source_Data!AV$6&gt;=$B$370,Source_Data!AV$6&lt;$B$370+3*Inputs!$B$16,MOD(Source_Data!AV$6-$B$370,3)=0),Inputs!$B$8*Inputs!$B$7*Inputs!$B$34*$B$365*(1-Inputs!$B$15)/Inputs!$B$16,0)</f>
        <v>0</v>
      </c>
      <c r="AW379" s="33" t="n">
        <f aca="false">IF(Source_Data!AW$6=Inputs!$B$12,-Inputs!$B$7,0)+IF(AND(Source_Data!AW$6&gt;=$B$370,Source_Data!AW$6&lt;$B$370+3*Inputs!$B$16,MOD(Source_Data!AW$6-$B$370,3)=0),Inputs!$B$8*Inputs!$B$7*Inputs!$B$34*$B$365*(1-Inputs!$B$15)/Inputs!$B$16,0)</f>
        <v>0</v>
      </c>
      <c r="AX379" s="33" t="n">
        <f aca="false">IF(Source_Data!AX$6=Inputs!$B$12,-Inputs!$B$7,0)+IF(AND(Source_Data!AX$6&gt;=$B$370,Source_Data!AX$6&lt;$B$370+3*Inputs!$B$16,MOD(Source_Data!AX$6-$B$370,3)=0),Inputs!$B$8*Inputs!$B$7*Inputs!$B$34*$B$365*(1-Inputs!$B$15)/Inputs!$B$16,0)</f>
        <v>0</v>
      </c>
      <c r="AY379" s="33" t="n">
        <f aca="false">IF(Source_Data!AY$6=Inputs!$B$12,-Inputs!$B$7,0)+IF(AND(Source_Data!AY$6&gt;=$B$370,Source_Data!AY$6&lt;$B$370+3*Inputs!$B$16,MOD(Source_Data!AY$6-$B$370,3)=0),Inputs!$B$8*Inputs!$B$7*Inputs!$B$34*$B$365*(1-Inputs!$B$15)/Inputs!$B$16,0)</f>
        <v>0</v>
      </c>
      <c r="AZ379" s="33" t="n">
        <f aca="false">IF(Source_Data!AZ$6=Inputs!$B$12,-Inputs!$B$7,0)+IF(AND(Source_Data!AZ$6&gt;=$B$370,Source_Data!AZ$6&lt;$B$370+3*Inputs!$B$16,MOD(Source_Data!AZ$6-$B$370,3)=0),Inputs!$B$8*Inputs!$B$7*Inputs!$B$34*$B$365*(1-Inputs!$B$15)/Inputs!$B$16,0)</f>
        <v>0</v>
      </c>
      <c r="BA379" s="33" t="n">
        <f aca="false">IF(Source_Data!BA$6=Inputs!$B$12,-Inputs!$B$7,0)+IF(AND(Source_Data!BA$6&gt;=$B$370,Source_Data!BA$6&lt;$B$370+3*Inputs!$B$16,MOD(Source_Data!BA$6-$B$370,3)=0),Inputs!$B$8*Inputs!$B$7*Inputs!$B$34*$B$365*(1-Inputs!$B$15)/Inputs!$B$16,0)</f>
        <v>0</v>
      </c>
      <c r="BB379" s="33" t="n">
        <f aca="false">IF(Source_Data!BB$6=Inputs!$B$12,-Inputs!$B$7,0)+IF(AND(Source_Data!BB$6&gt;=$B$370,Source_Data!BB$6&lt;$B$370+3*Inputs!$B$16,MOD(Source_Data!BB$6-$B$370,3)=0),Inputs!$B$8*Inputs!$B$7*Inputs!$B$34*$B$365*(1-Inputs!$B$15)/Inputs!$B$16,0)</f>
        <v>0</v>
      </c>
      <c r="BC379" s="33" t="n">
        <f aca="false">IF(Source_Data!BC$6=Inputs!$B$12,-Inputs!$B$7,0)+IF(AND(Source_Data!BC$6&gt;=$B$370,Source_Data!BC$6&lt;$B$370+3*Inputs!$B$16,MOD(Source_Data!BC$6-$B$370,3)=0),Inputs!$B$8*Inputs!$B$7*Inputs!$B$34*$B$365*(1-Inputs!$B$15)/Inputs!$B$16,0)</f>
        <v>0</v>
      </c>
      <c r="BD379" s="33" t="n">
        <f aca="false">IF(Source_Data!BD$6=Inputs!$B$12,-Inputs!$B$7,0)+IF(AND(Source_Data!BD$6&gt;=$B$370,Source_Data!BD$6&lt;$B$370+3*Inputs!$B$16,MOD(Source_Data!BD$6-$B$370,3)=0),Inputs!$B$8*Inputs!$B$7*Inputs!$B$34*$B$365*(1-Inputs!$B$15)/Inputs!$B$16,0)</f>
        <v>0</v>
      </c>
      <c r="BE379" s="33" t="n">
        <f aca="false">IF(Source_Data!BE$6=Inputs!$B$12,-Inputs!$B$7,0)+IF(AND(Source_Data!BE$6&gt;=$B$370,Source_Data!BE$6&lt;$B$370+3*Inputs!$B$16,MOD(Source_Data!BE$6-$B$370,3)=0),Inputs!$B$8*Inputs!$B$7*Inputs!$B$34*$B$365*(1-Inputs!$B$15)/Inputs!$B$16,0)</f>
        <v>0</v>
      </c>
      <c r="BF379" s="33" t="n">
        <f aca="false">IF(Source_Data!BF$6=Inputs!$B$12,-Inputs!$B$7,0)+IF(AND(Source_Data!BF$6&gt;=$B$370,Source_Data!BF$6&lt;$B$370+3*Inputs!$B$16,MOD(Source_Data!BF$6-$B$370,3)=0),Inputs!$B$8*Inputs!$B$7*Inputs!$B$34*$B$365*(1-Inputs!$B$15)/Inputs!$B$16,0)</f>
        <v>0</v>
      </c>
      <c r="BG379" s="33" t="n">
        <f aca="false">IF(Source_Data!BG$6=Inputs!$B$12,-Inputs!$B$7,0)+IF(AND(Source_Data!BG$6&gt;=$B$370,Source_Data!BG$6&lt;$B$370+3*Inputs!$B$16,MOD(Source_Data!BG$6-$B$370,3)=0),Inputs!$B$8*Inputs!$B$7*Inputs!$B$34*$B$365*(1-Inputs!$B$15)/Inputs!$B$16,0)</f>
        <v>0</v>
      </c>
      <c r="BH379" s="33" t="n">
        <f aca="false">IF(Source_Data!BH$6=Inputs!$B$12,-Inputs!$B$7,0)+IF(AND(Source_Data!BH$6&gt;=$B$370,Source_Data!BH$6&lt;$B$370+3*Inputs!$B$16,MOD(Source_Data!BH$6-$B$370,3)=0),Inputs!$B$8*Inputs!$B$7*Inputs!$B$34*$B$365*(1-Inputs!$B$15)/Inputs!$B$16,0)</f>
        <v>0</v>
      </c>
      <c r="BI379" s="33" t="n">
        <f aca="false">IF(Source_Data!BI$6=Inputs!$B$12,-Inputs!$B$7,0)+IF(AND(Source_Data!BI$6&gt;=$B$370,Source_Data!BI$6&lt;$B$370+3*Inputs!$B$16,MOD(Source_Data!BI$6-$B$370,3)=0),Inputs!$B$8*Inputs!$B$7*Inputs!$B$34*$B$365*(1-Inputs!$B$15)/Inputs!$B$16,0)</f>
        <v>0</v>
      </c>
      <c r="BJ379" s="33" t="n">
        <f aca="false">IF(Source_Data!BJ$6=Inputs!$B$12,-Inputs!$B$7,0)+IF(AND(Source_Data!BJ$6&gt;=$B$370,Source_Data!BJ$6&lt;$B$370+3*Inputs!$B$16,MOD(Source_Data!BJ$6-$B$370,3)=0),Inputs!$B$8*Inputs!$B$7*Inputs!$B$34*$B$365*(1-Inputs!$B$15)/Inputs!$B$16,0)</f>
        <v>0</v>
      </c>
      <c r="BK379" s="33" t="n">
        <f aca="false">IF(Source_Data!BK$6=Inputs!$B$12,-Inputs!$B$7,0)+IF(AND(Source_Data!BK$6&gt;=$B$370,Source_Data!BK$6&lt;$B$370+3*Inputs!$B$16,MOD(Source_Data!BK$6-$B$370,3)=0),Inputs!$B$8*Inputs!$B$7*Inputs!$B$34*$B$365*(1-Inputs!$B$15)/Inputs!$B$16,0)</f>
        <v>0</v>
      </c>
    </row>
    <row r="380" customFormat="false" ht="15" hidden="false" customHeight="false" outlineLevel="0" collapsed="false">
      <c r="A380" s="3" t="s">
        <v>341</v>
      </c>
      <c r="D380" s="33" t="n">
        <f aca="false">IF(AND(Source_Data!D$6&gt;=Inputs!$B$54,Source_Data!D$6&lt;Inputs!$B$54+3*Inputs!$B$11),Inputs!$B$9*Inputs!$B$7/Inputs!$B$11,0)</f>
        <v>0</v>
      </c>
      <c r="E380" s="33" t="n">
        <f aca="false">IF(AND(Source_Data!E$6&gt;=Inputs!$B$54,Source_Data!E$6&lt;Inputs!$B$54+3*Inputs!$B$11),Inputs!$B$9*Inputs!$B$7/Inputs!$B$11,0)</f>
        <v>0</v>
      </c>
      <c r="F380" s="33" t="n">
        <f aca="false">IF(AND(Source_Data!F$6&gt;=Inputs!$B$54,Source_Data!F$6&lt;Inputs!$B$54+3*Inputs!$B$11),Inputs!$B$9*Inputs!$B$7/Inputs!$B$11,0)</f>
        <v>0</v>
      </c>
      <c r="G380" s="33" t="n">
        <f aca="false">IF(AND(Source_Data!G$6&gt;=Inputs!$B$54,Source_Data!G$6&lt;Inputs!$B$54+3*Inputs!$B$11),Inputs!$B$9*Inputs!$B$7/Inputs!$B$11,0)</f>
        <v>0</v>
      </c>
      <c r="H380" s="33" t="n">
        <f aca="false">IF(AND(Source_Data!H$6&gt;=Inputs!$B$54,Source_Data!H$6&lt;Inputs!$B$54+3*Inputs!$B$11),Inputs!$B$9*Inputs!$B$7/Inputs!$B$11,0)</f>
        <v>0</v>
      </c>
      <c r="I380" s="33" t="n">
        <f aca="false">IF(AND(Source_Data!I$6&gt;=Inputs!$B$54,Source_Data!I$6&lt;Inputs!$B$54+3*Inputs!$B$11),Inputs!$B$9*Inputs!$B$7/Inputs!$B$11,0)</f>
        <v>0</v>
      </c>
      <c r="J380" s="33" t="n">
        <f aca="false">IF(AND(Source_Data!J$6&gt;=Inputs!$B$54,Source_Data!J$6&lt;Inputs!$B$54+3*Inputs!$B$11),Inputs!$B$9*Inputs!$B$7/Inputs!$B$11,0)</f>
        <v>0</v>
      </c>
      <c r="K380" s="33" t="n">
        <f aca="false">IF(AND(Source_Data!K$6&gt;=Inputs!$B$54,Source_Data!K$6&lt;Inputs!$B$54+3*Inputs!$B$11),Inputs!$B$9*Inputs!$B$7/Inputs!$B$11,0)</f>
        <v>0</v>
      </c>
      <c r="L380" s="33" t="n">
        <f aca="false">IF(AND(Source_Data!L$6&gt;=Inputs!$B$54,Source_Data!L$6&lt;Inputs!$B$54+3*Inputs!$B$11),Inputs!$B$9*Inputs!$B$7/Inputs!$B$11,0)</f>
        <v>0</v>
      </c>
      <c r="M380" s="33" t="n">
        <f aca="false">IF(AND(Source_Data!M$6&gt;=Inputs!$B$54,Source_Data!M$6&lt;Inputs!$B$54+3*Inputs!$B$11),Inputs!$B$9*Inputs!$B$7/Inputs!$B$11,0)</f>
        <v>19.1666666666667</v>
      </c>
      <c r="N380" s="33" t="n">
        <f aca="false">IF(AND(Source_Data!N$6&gt;=Inputs!$B$54,Source_Data!N$6&lt;Inputs!$B$54+3*Inputs!$B$11),Inputs!$B$9*Inputs!$B$7/Inputs!$B$11,0)</f>
        <v>19.1666666666667</v>
      </c>
      <c r="O380" s="33" t="n">
        <f aca="false">IF(AND(Source_Data!O$6&gt;=Inputs!$B$54,Source_Data!O$6&lt;Inputs!$B$54+3*Inputs!$B$11),Inputs!$B$9*Inputs!$B$7/Inputs!$B$11,0)</f>
        <v>19.1666666666667</v>
      </c>
      <c r="P380" s="33" t="n">
        <f aca="false">IF(AND(Source_Data!P$6&gt;=Inputs!$B$54,Source_Data!P$6&lt;Inputs!$B$54+3*Inputs!$B$11),Inputs!$B$9*Inputs!$B$7/Inputs!$B$11,0)</f>
        <v>19.1666666666667</v>
      </c>
      <c r="Q380" s="33" t="n">
        <f aca="false">IF(AND(Source_Data!Q$6&gt;=Inputs!$B$54,Source_Data!Q$6&lt;Inputs!$B$54+3*Inputs!$B$11),Inputs!$B$9*Inputs!$B$7/Inputs!$B$11,0)</f>
        <v>19.1666666666667</v>
      </c>
      <c r="R380" s="33" t="n">
        <f aca="false">IF(AND(Source_Data!R$6&gt;=Inputs!$B$54,Source_Data!R$6&lt;Inputs!$B$54+3*Inputs!$B$11),Inputs!$B$9*Inputs!$B$7/Inputs!$B$11,0)</f>
        <v>19.1666666666667</v>
      </c>
      <c r="S380" s="33" t="n">
        <f aca="false">IF(AND(Source_Data!S$6&gt;=Inputs!$B$54,Source_Data!S$6&lt;Inputs!$B$54+3*Inputs!$B$11),Inputs!$B$9*Inputs!$B$7/Inputs!$B$11,0)</f>
        <v>19.1666666666667</v>
      </c>
      <c r="T380" s="33" t="n">
        <f aca="false">IF(AND(Source_Data!T$6&gt;=Inputs!$B$54,Source_Data!T$6&lt;Inputs!$B$54+3*Inputs!$B$11),Inputs!$B$9*Inputs!$B$7/Inputs!$B$11,0)</f>
        <v>19.1666666666667</v>
      </c>
      <c r="U380" s="33" t="n">
        <f aca="false">IF(AND(Source_Data!U$6&gt;=Inputs!$B$54,Source_Data!U$6&lt;Inputs!$B$54+3*Inputs!$B$11),Inputs!$B$9*Inputs!$B$7/Inputs!$B$11,0)</f>
        <v>19.1666666666667</v>
      </c>
      <c r="V380" s="33" t="n">
        <f aca="false">IF(AND(Source_Data!V$6&gt;=Inputs!$B$54,Source_Data!V$6&lt;Inputs!$B$54+3*Inputs!$B$11),Inputs!$B$9*Inputs!$B$7/Inputs!$B$11,0)</f>
        <v>19.1666666666667</v>
      </c>
      <c r="W380" s="33" t="n">
        <f aca="false">IF(AND(Source_Data!W$6&gt;=Inputs!$B$54,Source_Data!W$6&lt;Inputs!$B$54+3*Inputs!$B$11),Inputs!$B$9*Inputs!$B$7/Inputs!$B$11,0)</f>
        <v>19.1666666666667</v>
      </c>
      <c r="X380" s="33" t="n">
        <f aca="false">IF(AND(Source_Data!X$6&gt;=Inputs!$B$54,Source_Data!X$6&lt;Inputs!$B$54+3*Inputs!$B$11),Inputs!$B$9*Inputs!$B$7/Inputs!$B$11,0)</f>
        <v>19.1666666666667</v>
      </c>
      <c r="Y380" s="33" t="n">
        <f aca="false">IF(AND(Source_Data!Y$6&gt;=Inputs!$B$54,Source_Data!Y$6&lt;Inputs!$B$54+3*Inputs!$B$11),Inputs!$B$9*Inputs!$B$7/Inputs!$B$11,0)</f>
        <v>0</v>
      </c>
      <c r="Z380" s="33" t="n">
        <f aca="false">IF(AND(Source_Data!Z$6&gt;=Inputs!$B$54,Source_Data!Z$6&lt;Inputs!$B$54+3*Inputs!$B$11),Inputs!$B$9*Inputs!$B$7/Inputs!$B$11,0)</f>
        <v>0</v>
      </c>
      <c r="AA380" s="33" t="n">
        <f aca="false">IF(AND(Source_Data!AA$6&gt;=Inputs!$B$54,Source_Data!AA$6&lt;Inputs!$B$54+3*Inputs!$B$11),Inputs!$B$9*Inputs!$B$7/Inputs!$B$11,0)</f>
        <v>0</v>
      </c>
      <c r="AB380" s="33" t="n">
        <f aca="false">IF(AND(Source_Data!AB$6&gt;=Inputs!$B$54,Source_Data!AB$6&lt;Inputs!$B$54+3*Inputs!$B$11),Inputs!$B$9*Inputs!$B$7/Inputs!$B$11,0)</f>
        <v>0</v>
      </c>
      <c r="AC380" s="33" t="n">
        <f aca="false">IF(AND(Source_Data!AC$6&gt;=Inputs!$B$54,Source_Data!AC$6&lt;Inputs!$B$54+3*Inputs!$B$11),Inputs!$B$9*Inputs!$B$7/Inputs!$B$11,0)</f>
        <v>0</v>
      </c>
      <c r="AD380" s="33" t="n">
        <f aca="false">IF(AND(Source_Data!AD$6&gt;=Inputs!$B$54,Source_Data!AD$6&lt;Inputs!$B$54+3*Inputs!$B$11),Inputs!$B$9*Inputs!$B$7/Inputs!$B$11,0)</f>
        <v>0</v>
      </c>
      <c r="AE380" s="33" t="n">
        <f aca="false">IF(AND(Source_Data!AE$6&gt;=Inputs!$B$54,Source_Data!AE$6&lt;Inputs!$B$54+3*Inputs!$B$11),Inputs!$B$9*Inputs!$B$7/Inputs!$B$11,0)</f>
        <v>0</v>
      </c>
      <c r="AF380" s="33" t="n">
        <f aca="false">IF(AND(Source_Data!AF$6&gt;=Inputs!$B$54,Source_Data!AF$6&lt;Inputs!$B$54+3*Inputs!$B$11),Inputs!$B$9*Inputs!$B$7/Inputs!$B$11,0)</f>
        <v>0</v>
      </c>
      <c r="AG380" s="33" t="n">
        <f aca="false">IF(AND(Source_Data!AG$6&gt;=Inputs!$B$54,Source_Data!AG$6&lt;Inputs!$B$54+3*Inputs!$B$11),Inputs!$B$9*Inputs!$B$7/Inputs!$B$11,0)</f>
        <v>0</v>
      </c>
      <c r="AH380" s="33" t="n">
        <f aca="false">IF(AND(Source_Data!AH$6&gt;=Inputs!$B$54,Source_Data!AH$6&lt;Inputs!$B$54+3*Inputs!$B$11),Inputs!$B$9*Inputs!$B$7/Inputs!$B$11,0)</f>
        <v>0</v>
      </c>
      <c r="AI380" s="33" t="n">
        <f aca="false">IF(AND(Source_Data!AI$6&gt;=Inputs!$B$54,Source_Data!AI$6&lt;Inputs!$B$54+3*Inputs!$B$11),Inputs!$B$9*Inputs!$B$7/Inputs!$B$11,0)</f>
        <v>0</v>
      </c>
      <c r="AJ380" s="33" t="n">
        <f aca="false">IF(AND(Source_Data!AJ$6&gt;=Inputs!$B$54,Source_Data!AJ$6&lt;Inputs!$B$54+3*Inputs!$B$11),Inputs!$B$9*Inputs!$B$7/Inputs!$B$11,0)</f>
        <v>0</v>
      </c>
      <c r="AK380" s="33" t="n">
        <f aca="false">IF(AND(Source_Data!AK$6&gt;=Inputs!$B$54,Source_Data!AK$6&lt;Inputs!$B$54+3*Inputs!$B$11),Inputs!$B$9*Inputs!$B$7/Inputs!$B$11,0)</f>
        <v>0</v>
      </c>
      <c r="AL380" s="33" t="n">
        <f aca="false">IF(AND(Source_Data!AL$6&gt;=Inputs!$B$54,Source_Data!AL$6&lt;Inputs!$B$54+3*Inputs!$B$11),Inputs!$B$9*Inputs!$B$7/Inputs!$B$11,0)</f>
        <v>0</v>
      </c>
      <c r="AM380" s="33" t="n">
        <f aca="false">IF(AND(Source_Data!AM$6&gt;=Inputs!$B$54,Source_Data!AM$6&lt;Inputs!$B$54+3*Inputs!$B$11),Inputs!$B$9*Inputs!$B$7/Inputs!$B$11,0)</f>
        <v>0</v>
      </c>
      <c r="AN380" s="33" t="n">
        <f aca="false">IF(AND(Source_Data!AN$6&gt;=Inputs!$B$54,Source_Data!AN$6&lt;Inputs!$B$54+3*Inputs!$B$11),Inputs!$B$9*Inputs!$B$7/Inputs!$B$11,0)</f>
        <v>0</v>
      </c>
      <c r="AO380" s="33" t="n">
        <f aca="false">IF(AND(Source_Data!AO$6&gt;=Inputs!$B$54,Source_Data!AO$6&lt;Inputs!$B$54+3*Inputs!$B$11),Inputs!$B$9*Inputs!$B$7/Inputs!$B$11,0)</f>
        <v>0</v>
      </c>
      <c r="AP380" s="33" t="n">
        <f aca="false">IF(AND(Source_Data!AP$6&gt;=Inputs!$B$54,Source_Data!AP$6&lt;Inputs!$B$54+3*Inputs!$B$11),Inputs!$B$9*Inputs!$B$7/Inputs!$B$11,0)</f>
        <v>0</v>
      </c>
      <c r="AQ380" s="33" t="n">
        <f aca="false">IF(AND(Source_Data!AQ$6&gt;=Inputs!$B$54,Source_Data!AQ$6&lt;Inputs!$B$54+3*Inputs!$B$11),Inputs!$B$9*Inputs!$B$7/Inputs!$B$11,0)</f>
        <v>0</v>
      </c>
      <c r="AR380" s="33" t="n">
        <f aca="false">IF(AND(Source_Data!AR$6&gt;=Inputs!$B$54,Source_Data!AR$6&lt;Inputs!$B$54+3*Inputs!$B$11),Inputs!$B$9*Inputs!$B$7/Inputs!$B$11,0)</f>
        <v>0</v>
      </c>
      <c r="AS380" s="33" t="n">
        <f aca="false">IF(AND(Source_Data!AS$6&gt;=Inputs!$B$54,Source_Data!AS$6&lt;Inputs!$B$54+3*Inputs!$B$11),Inputs!$B$9*Inputs!$B$7/Inputs!$B$11,0)</f>
        <v>0</v>
      </c>
      <c r="AT380" s="33" t="n">
        <f aca="false">IF(AND(Source_Data!AT$6&gt;=Inputs!$B$54,Source_Data!AT$6&lt;Inputs!$B$54+3*Inputs!$B$11),Inputs!$B$9*Inputs!$B$7/Inputs!$B$11,0)</f>
        <v>0</v>
      </c>
      <c r="AU380" s="33" t="n">
        <f aca="false">IF(AND(Source_Data!AU$6&gt;=Inputs!$B$54,Source_Data!AU$6&lt;Inputs!$B$54+3*Inputs!$B$11),Inputs!$B$9*Inputs!$B$7/Inputs!$B$11,0)</f>
        <v>0</v>
      </c>
      <c r="AV380" s="33" t="n">
        <f aca="false">IF(AND(Source_Data!AV$6&gt;=Inputs!$B$54,Source_Data!AV$6&lt;Inputs!$B$54+3*Inputs!$B$11),Inputs!$B$9*Inputs!$B$7/Inputs!$B$11,0)</f>
        <v>0</v>
      </c>
      <c r="AW380" s="33" t="n">
        <f aca="false">IF(AND(Source_Data!AW$6&gt;=Inputs!$B$54,Source_Data!AW$6&lt;Inputs!$B$54+3*Inputs!$B$11),Inputs!$B$9*Inputs!$B$7/Inputs!$B$11,0)</f>
        <v>0</v>
      </c>
      <c r="AX380" s="33" t="n">
        <f aca="false">IF(AND(Source_Data!AX$6&gt;=Inputs!$B$54,Source_Data!AX$6&lt;Inputs!$B$54+3*Inputs!$B$11),Inputs!$B$9*Inputs!$B$7/Inputs!$B$11,0)</f>
        <v>0</v>
      </c>
      <c r="AY380" s="33" t="n">
        <f aca="false">IF(AND(Source_Data!AY$6&gt;=Inputs!$B$54,Source_Data!AY$6&lt;Inputs!$B$54+3*Inputs!$B$11),Inputs!$B$9*Inputs!$B$7/Inputs!$B$11,0)</f>
        <v>0</v>
      </c>
      <c r="AZ380" s="33" t="n">
        <f aca="false">IF(AND(Source_Data!AZ$6&gt;=Inputs!$B$54,Source_Data!AZ$6&lt;Inputs!$B$54+3*Inputs!$B$11),Inputs!$B$9*Inputs!$B$7/Inputs!$B$11,0)</f>
        <v>0</v>
      </c>
      <c r="BA380" s="33" t="n">
        <f aca="false">IF(AND(Source_Data!BA$6&gt;=Inputs!$B$54,Source_Data!BA$6&lt;Inputs!$B$54+3*Inputs!$B$11),Inputs!$B$9*Inputs!$B$7/Inputs!$B$11,0)</f>
        <v>0</v>
      </c>
      <c r="BB380" s="33" t="n">
        <f aca="false">IF(AND(Source_Data!BB$6&gt;=Inputs!$B$54,Source_Data!BB$6&lt;Inputs!$B$54+3*Inputs!$B$11),Inputs!$B$9*Inputs!$B$7/Inputs!$B$11,0)</f>
        <v>0</v>
      </c>
      <c r="BC380" s="33" t="n">
        <f aca="false">IF(AND(Source_Data!BC$6&gt;=Inputs!$B$54,Source_Data!BC$6&lt;Inputs!$B$54+3*Inputs!$B$11),Inputs!$B$9*Inputs!$B$7/Inputs!$B$11,0)</f>
        <v>0</v>
      </c>
      <c r="BD380" s="33" t="n">
        <f aca="false">IF(AND(Source_Data!BD$6&gt;=Inputs!$B$54,Source_Data!BD$6&lt;Inputs!$B$54+3*Inputs!$B$11),Inputs!$B$9*Inputs!$B$7/Inputs!$B$11,0)</f>
        <v>0</v>
      </c>
      <c r="BE380" s="33" t="n">
        <f aca="false">IF(AND(Source_Data!BE$6&gt;=Inputs!$B$54,Source_Data!BE$6&lt;Inputs!$B$54+3*Inputs!$B$11),Inputs!$B$9*Inputs!$B$7/Inputs!$B$11,0)</f>
        <v>0</v>
      </c>
      <c r="BF380" s="33" t="n">
        <f aca="false">IF(AND(Source_Data!BF$6&gt;=Inputs!$B$54,Source_Data!BF$6&lt;Inputs!$B$54+3*Inputs!$B$11),Inputs!$B$9*Inputs!$B$7/Inputs!$B$11,0)</f>
        <v>0</v>
      </c>
      <c r="BG380" s="33" t="n">
        <f aca="false">IF(AND(Source_Data!BG$6&gt;=Inputs!$B$54,Source_Data!BG$6&lt;Inputs!$B$54+3*Inputs!$B$11),Inputs!$B$9*Inputs!$B$7/Inputs!$B$11,0)</f>
        <v>0</v>
      </c>
      <c r="BH380" s="33" t="n">
        <f aca="false">IF(AND(Source_Data!BH$6&gt;=Inputs!$B$54,Source_Data!BH$6&lt;Inputs!$B$54+3*Inputs!$B$11),Inputs!$B$9*Inputs!$B$7/Inputs!$B$11,0)</f>
        <v>0</v>
      </c>
      <c r="BI380" s="33" t="n">
        <f aca="false">IF(AND(Source_Data!BI$6&gt;=Inputs!$B$54,Source_Data!BI$6&lt;Inputs!$B$54+3*Inputs!$B$11),Inputs!$B$9*Inputs!$B$7/Inputs!$B$11,0)</f>
        <v>0</v>
      </c>
      <c r="BJ380" s="33" t="n">
        <f aca="false">IF(AND(Source_Data!BJ$6&gt;=Inputs!$B$54,Source_Data!BJ$6&lt;Inputs!$B$54+3*Inputs!$B$11),Inputs!$B$9*Inputs!$B$7/Inputs!$B$11,0)</f>
        <v>0</v>
      </c>
      <c r="BK380" s="33" t="n">
        <f aca="false">IF(AND(Source_Data!BK$6&gt;=Inputs!$B$54,Source_Data!BK$6&lt;Inputs!$B$54+3*Inputs!$B$11),Inputs!$B$9*Inputs!$B$7/Inputs!$B$11,0)</f>
        <v>0</v>
      </c>
    </row>
    <row r="381" customFormat="false" ht="15" hidden="false" customHeight="false" outlineLevel="0" collapsed="false">
      <c r="A381" s="3" t="s">
        <v>342</v>
      </c>
      <c r="D381" s="33" t="n">
        <f aca="false">IF(Source_Data!D$6=Inputs!$B$12,-Inputs!$B$7,0)+D380</f>
        <v>-100</v>
      </c>
      <c r="E381" s="33" t="n">
        <f aca="false">IF(Source_Data!E$6=Inputs!$B$12,-Inputs!$B$7,0)+E380</f>
        <v>0</v>
      </c>
      <c r="F381" s="33" t="n">
        <f aca="false">IF(Source_Data!F$6=Inputs!$B$12,-Inputs!$B$7,0)+F380</f>
        <v>0</v>
      </c>
      <c r="G381" s="33" t="n">
        <f aca="false">IF(Source_Data!G$6=Inputs!$B$12,-Inputs!$B$7,0)+G380</f>
        <v>0</v>
      </c>
      <c r="H381" s="33" t="n">
        <f aca="false">IF(Source_Data!H$6=Inputs!$B$12,-Inputs!$B$7,0)+H380</f>
        <v>0</v>
      </c>
      <c r="I381" s="33" t="n">
        <f aca="false">IF(Source_Data!I$6=Inputs!$B$12,-Inputs!$B$7,0)+I380</f>
        <v>0</v>
      </c>
      <c r="J381" s="33" t="n">
        <f aca="false">IF(Source_Data!J$6=Inputs!$B$12,-Inputs!$B$7,0)+J380</f>
        <v>0</v>
      </c>
      <c r="K381" s="33" t="n">
        <f aca="false">IF(Source_Data!K$6=Inputs!$B$12,-Inputs!$B$7,0)+K380</f>
        <v>0</v>
      </c>
      <c r="L381" s="33" t="n">
        <f aca="false">IF(Source_Data!L$6=Inputs!$B$12,-Inputs!$B$7,0)+L380</f>
        <v>0</v>
      </c>
      <c r="M381" s="33" t="n">
        <f aca="false">IF(Source_Data!M$6=Inputs!$B$12,-Inputs!$B$7,0)+M380</f>
        <v>19.1666666666667</v>
      </c>
      <c r="N381" s="33" t="n">
        <f aca="false">IF(Source_Data!N$6=Inputs!$B$12,-Inputs!$B$7,0)+N380</f>
        <v>19.1666666666667</v>
      </c>
      <c r="O381" s="33" t="n">
        <f aca="false">IF(Source_Data!O$6=Inputs!$B$12,-Inputs!$B$7,0)+O380</f>
        <v>19.1666666666667</v>
      </c>
      <c r="P381" s="33" t="n">
        <f aca="false">IF(Source_Data!P$6=Inputs!$B$12,-Inputs!$B$7,0)+P380</f>
        <v>19.1666666666667</v>
      </c>
      <c r="Q381" s="33" t="n">
        <f aca="false">IF(Source_Data!Q$6=Inputs!$B$12,-Inputs!$B$7,0)+Q380</f>
        <v>19.1666666666667</v>
      </c>
      <c r="R381" s="33" t="n">
        <f aca="false">IF(Source_Data!R$6=Inputs!$B$12,-Inputs!$B$7,0)+R380</f>
        <v>19.1666666666667</v>
      </c>
      <c r="S381" s="33" t="n">
        <f aca="false">IF(Source_Data!S$6=Inputs!$B$12,-Inputs!$B$7,0)+S380</f>
        <v>19.1666666666667</v>
      </c>
      <c r="T381" s="33" t="n">
        <f aca="false">IF(Source_Data!T$6=Inputs!$B$12,-Inputs!$B$7,0)+T380</f>
        <v>19.1666666666667</v>
      </c>
      <c r="U381" s="33" t="n">
        <f aca="false">IF(Source_Data!U$6=Inputs!$B$12,-Inputs!$B$7,0)+U380</f>
        <v>19.1666666666667</v>
      </c>
      <c r="V381" s="33" t="n">
        <f aca="false">IF(Source_Data!V$6=Inputs!$B$12,-Inputs!$B$7,0)+V380</f>
        <v>19.1666666666667</v>
      </c>
      <c r="W381" s="33" t="n">
        <f aca="false">IF(Source_Data!W$6=Inputs!$B$12,-Inputs!$B$7,0)+W380</f>
        <v>19.1666666666667</v>
      </c>
      <c r="X381" s="33" t="n">
        <f aca="false">IF(Source_Data!X$6=Inputs!$B$12,-Inputs!$B$7,0)+X380</f>
        <v>19.1666666666667</v>
      </c>
      <c r="Y381" s="33" t="n">
        <f aca="false">IF(Source_Data!Y$6=Inputs!$B$12,-Inputs!$B$7,0)+Y380</f>
        <v>0</v>
      </c>
      <c r="Z381" s="33" t="n">
        <f aca="false">IF(Source_Data!Z$6=Inputs!$B$12,-Inputs!$B$7,0)+Z380</f>
        <v>0</v>
      </c>
      <c r="AA381" s="33" t="n">
        <f aca="false">IF(Source_Data!AA$6=Inputs!$B$12,-Inputs!$B$7,0)+AA380</f>
        <v>0</v>
      </c>
      <c r="AB381" s="33" t="n">
        <f aca="false">IF(Source_Data!AB$6=Inputs!$B$12,-Inputs!$B$7,0)+AB380</f>
        <v>0</v>
      </c>
      <c r="AC381" s="33" t="n">
        <f aca="false">IF(Source_Data!AC$6=Inputs!$B$12,-Inputs!$B$7,0)+AC380</f>
        <v>0</v>
      </c>
      <c r="AD381" s="33" t="n">
        <f aca="false">IF(Source_Data!AD$6=Inputs!$B$12,-Inputs!$B$7,0)+AD380</f>
        <v>0</v>
      </c>
      <c r="AE381" s="33" t="n">
        <f aca="false">IF(Source_Data!AE$6=Inputs!$B$12,-Inputs!$B$7,0)+AE380</f>
        <v>0</v>
      </c>
      <c r="AF381" s="33" t="n">
        <f aca="false">IF(Source_Data!AF$6=Inputs!$B$12,-Inputs!$B$7,0)+AF380</f>
        <v>0</v>
      </c>
      <c r="AG381" s="33" t="n">
        <f aca="false">IF(Source_Data!AG$6=Inputs!$B$12,-Inputs!$B$7,0)+AG380</f>
        <v>0</v>
      </c>
      <c r="AH381" s="33" t="n">
        <f aca="false">IF(Source_Data!AH$6=Inputs!$B$12,-Inputs!$B$7,0)+AH380</f>
        <v>0</v>
      </c>
      <c r="AI381" s="33" t="n">
        <f aca="false">IF(Source_Data!AI$6=Inputs!$B$12,-Inputs!$B$7,0)+AI380</f>
        <v>0</v>
      </c>
      <c r="AJ381" s="33" t="n">
        <f aca="false">IF(Source_Data!AJ$6=Inputs!$B$12,-Inputs!$B$7,0)+AJ380</f>
        <v>0</v>
      </c>
      <c r="AK381" s="33" t="n">
        <f aca="false">IF(Source_Data!AK$6=Inputs!$B$12,-Inputs!$B$7,0)+AK380</f>
        <v>0</v>
      </c>
      <c r="AL381" s="33" t="n">
        <f aca="false">IF(Source_Data!AL$6=Inputs!$B$12,-Inputs!$B$7,0)+AL380</f>
        <v>0</v>
      </c>
      <c r="AM381" s="33" t="n">
        <f aca="false">IF(Source_Data!AM$6=Inputs!$B$12,-Inputs!$B$7,0)+AM380</f>
        <v>0</v>
      </c>
      <c r="AN381" s="33" t="n">
        <f aca="false">IF(Source_Data!AN$6=Inputs!$B$12,-Inputs!$B$7,0)+AN380</f>
        <v>0</v>
      </c>
      <c r="AO381" s="33" t="n">
        <f aca="false">IF(Source_Data!AO$6=Inputs!$B$12,-Inputs!$B$7,0)+AO380</f>
        <v>0</v>
      </c>
      <c r="AP381" s="33" t="n">
        <f aca="false">IF(Source_Data!AP$6=Inputs!$B$12,-Inputs!$B$7,0)+AP380</f>
        <v>0</v>
      </c>
      <c r="AQ381" s="33" t="n">
        <f aca="false">IF(Source_Data!AQ$6=Inputs!$B$12,-Inputs!$B$7,0)+AQ380</f>
        <v>0</v>
      </c>
      <c r="AR381" s="33" t="n">
        <f aca="false">IF(Source_Data!AR$6=Inputs!$B$12,-Inputs!$B$7,0)+AR380</f>
        <v>0</v>
      </c>
      <c r="AS381" s="33" t="n">
        <f aca="false">IF(Source_Data!AS$6=Inputs!$B$12,-Inputs!$B$7,0)+AS380</f>
        <v>0</v>
      </c>
      <c r="AT381" s="33" t="n">
        <f aca="false">IF(Source_Data!AT$6=Inputs!$B$12,-Inputs!$B$7,0)+AT380</f>
        <v>0</v>
      </c>
      <c r="AU381" s="33" t="n">
        <f aca="false">IF(Source_Data!AU$6=Inputs!$B$12,-Inputs!$B$7,0)+AU380</f>
        <v>0</v>
      </c>
      <c r="AV381" s="33" t="n">
        <f aca="false">IF(Source_Data!AV$6=Inputs!$B$12,-Inputs!$B$7,0)+AV380</f>
        <v>0</v>
      </c>
      <c r="AW381" s="33" t="n">
        <f aca="false">IF(Source_Data!AW$6=Inputs!$B$12,-Inputs!$B$7,0)+AW380</f>
        <v>0</v>
      </c>
      <c r="AX381" s="33" t="n">
        <f aca="false">IF(Source_Data!AX$6=Inputs!$B$12,-Inputs!$B$7,0)+AX380</f>
        <v>0</v>
      </c>
      <c r="AY381" s="33" t="n">
        <f aca="false">IF(Source_Data!AY$6=Inputs!$B$12,-Inputs!$B$7,0)+AY380</f>
        <v>0</v>
      </c>
      <c r="AZ381" s="33" t="n">
        <f aca="false">IF(Source_Data!AZ$6=Inputs!$B$12,-Inputs!$B$7,0)+AZ380</f>
        <v>0</v>
      </c>
      <c r="BA381" s="33" t="n">
        <f aca="false">IF(Source_Data!BA$6=Inputs!$B$12,-Inputs!$B$7,0)+BA380</f>
        <v>0</v>
      </c>
      <c r="BB381" s="33" t="n">
        <f aca="false">IF(Source_Data!BB$6=Inputs!$B$12,-Inputs!$B$7,0)+BB380</f>
        <v>0</v>
      </c>
      <c r="BC381" s="33" t="n">
        <f aca="false">IF(Source_Data!BC$6=Inputs!$B$12,-Inputs!$B$7,0)+BC380</f>
        <v>0</v>
      </c>
      <c r="BD381" s="33" t="n">
        <f aca="false">IF(Source_Data!BD$6=Inputs!$B$12,-Inputs!$B$7,0)+BD380</f>
        <v>0</v>
      </c>
      <c r="BE381" s="33" t="n">
        <f aca="false">IF(Source_Data!BE$6=Inputs!$B$12,-Inputs!$B$7,0)+BE380</f>
        <v>0</v>
      </c>
      <c r="BF381" s="33" t="n">
        <f aca="false">IF(Source_Data!BF$6=Inputs!$B$12,-Inputs!$B$7,0)+BF380</f>
        <v>0</v>
      </c>
      <c r="BG381" s="33" t="n">
        <f aca="false">IF(Source_Data!BG$6=Inputs!$B$12,-Inputs!$B$7,0)+BG380</f>
        <v>0</v>
      </c>
      <c r="BH381" s="33" t="n">
        <f aca="false">IF(Source_Data!BH$6=Inputs!$B$12,-Inputs!$B$7,0)+BH380</f>
        <v>0</v>
      </c>
      <c r="BI381" s="33" t="n">
        <f aca="false">IF(Source_Data!BI$6=Inputs!$B$12,-Inputs!$B$7,0)+BI380</f>
        <v>0</v>
      </c>
      <c r="BJ381" s="33" t="n">
        <f aca="false">IF(Source_Data!BJ$6=Inputs!$B$12,-Inputs!$B$7,0)+BJ380</f>
        <v>0</v>
      </c>
      <c r="BK381" s="33" t="n">
        <f aca="false">IF(Source_Data!BK$6=Inputs!$B$12,-Inputs!$B$7,0)+BK380</f>
        <v>0</v>
      </c>
    </row>
    <row r="382" customFormat="false" ht="15" hidden="false" customHeight="false" outlineLevel="0" collapsed="false">
      <c r="A382" s="3" t="s">
        <v>343</v>
      </c>
      <c r="D382" s="33" t="n">
        <f aca="false">IF(Source_Data!D$6=Inputs!$B$12,Inputs!$B$7,0)+D377-D380</f>
        <v>8.75</v>
      </c>
      <c r="E382" s="33" t="n">
        <f aca="false">D382+IF(Source_Data!E$6=Inputs!$B$12,Inputs!$B$7,0)+E377-E380</f>
        <v>-2.5</v>
      </c>
      <c r="F382" s="33" t="n">
        <f aca="false">E382+IF(Source_Data!F$6=Inputs!$B$12,Inputs!$B$7,0)+F377-F380</f>
        <v>-13.75</v>
      </c>
      <c r="G382" s="33" t="n">
        <f aca="false">F382+IF(Source_Data!G$6=Inputs!$B$12,Inputs!$B$7,0)+G377-G380</f>
        <v>-9.8607625</v>
      </c>
      <c r="H382" s="33" t="n">
        <f aca="false">G382+IF(Source_Data!H$6=Inputs!$B$12,Inputs!$B$7,0)+H377-H380</f>
        <v>-25.0822875</v>
      </c>
      <c r="I382" s="33" t="n">
        <f aca="false">H382+IF(Source_Data!I$6=Inputs!$B$12,Inputs!$B$7,0)+I377-I380</f>
        <v>-31.43028125</v>
      </c>
      <c r="J382" s="33" t="n">
        <f aca="false">I382+IF(Source_Data!J$6=Inputs!$B$12,Inputs!$B$7,0)+J377-J380</f>
        <v>-49.29613375</v>
      </c>
      <c r="K382" s="33" t="n">
        <f aca="false">J382+IF(Source_Data!K$6=Inputs!$B$12,Inputs!$B$7,0)+K377-K380</f>
        <v>-51.90182375</v>
      </c>
      <c r="L382" s="33" t="n">
        <f aca="false">K382+IF(Source_Data!L$6=Inputs!$B$12,Inputs!$B$7,0)+L377-L380</f>
        <v>-62.059524375</v>
      </c>
      <c r="M382" s="33" t="n">
        <f aca="false">L382+IF(Source_Data!M$6=Inputs!$B$12,Inputs!$B$7,0)+M377-M380</f>
        <v>-74.5286026041667</v>
      </c>
      <c r="N382" s="33" t="n">
        <f aca="false">M382+IF(Source_Data!N$6=Inputs!$B$12,Inputs!$B$7,0)+N377-N380</f>
        <v>354.747558229167</v>
      </c>
      <c r="O382" s="33" t="n">
        <f aca="false">N382+IF(Source_Data!O$6=Inputs!$B$12,Inputs!$B$7,0)+O377-O380</f>
        <v>474.3476315625</v>
      </c>
      <c r="P382" s="33" t="n">
        <f aca="false">O382+IF(Source_Data!P$6=Inputs!$B$12,Inputs!$B$7,0)+P377-P380</f>
        <v>441.016924895833</v>
      </c>
      <c r="Q382" s="33" t="n">
        <f aca="false">P382+IF(Source_Data!Q$6=Inputs!$B$12,Inputs!$B$7,0)+Q377-Q380</f>
        <v>326.900208229167</v>
      </c>
      <c r="R382" s="33" t="n">
        <f aca="false">Q382+IF(Source_Data!R$6=Inputs!$B$12,Inputs!$B$7,0)+R377-R380</f>
        <v>136.1827103125</v>
      </c>
      <c r="S382" s="33" t="n">
        <f aca="false">R382+IF(Source_Data!S$6=Inputs!$B$12,Inputs!$B$7,0)+S377-S380</f>
        <v>2.11981239583329</v>
      </c>
      <c r="T382" s="33" t="n">
        <f aca="false">S382+IF(Source_Data!T$6=Inputs!$B$12,Inputs!$B$7,0)+T377-T380</f>
        <v>5.99018135416661</v>
      </c>
      <c r="U382" s="33" t="n">
        <f aca="false">T382+IF(Source_Data!U$6=Inputs!$B$12,Inputs!$B$7,0)+U377-U380</f>
        <v>3.05015437499994</v>
      </c>
      <c r="V382" s="33" t="n">
        <f aca="false">U382+IF(Source_Data!V$6=Inputs!$B$12,Inputs!$B$7,0)+V377-V380</f>
        <v>-1.40379635416672</v>
      </c>
      <c r="W382" s="33" t="n">
        <f aca="false">V382+IF(Source_Data!W$6=Inputs!$B$12,Inputs!$B$7,0)+W377-W380</f>
        <v>-11.8465183333334</v>
      </c>
      <c r="X382" s="33" t="n">
        <f aca="false">W382+IF(Source_Data!X$6=Inputs!$B$12,Inputs!$B$7,0)+X377-X380</f>
        <v>-4.13024031250005</v>
      </c>
      <c r="Y382" s="33" t="n">
        <f aca="false">X382+IF(Source_Data!Y$6=Inputs!$B$12,Inputs!$B$7,0)+Y377-Y380</f>
        <v>22.752704375</v>
      </c>
      <c r="Z382" s="33" t="n">
        <f aca="false">Y382+IF(Source_Data!Z$6=Inputs!$B$12,Inputs!$B$7,0)+Z377-Z380</f>
        <v>42.3554303125</v>
      </c>
      <c r="AA382" s="33" t="n">
        <f aca="false">Z382+IF(Source_Data!AA$6=Inputs!$B$12,Inputs!$B$7,0)+AA377-AA380</f>
        <v>61.9581562499999</v>
      </c>
      <c r="AB382" s="33" t="n">
        <f aca="false">AA382+IF(Source_Data!AB$6=Inputs!$B$12,Inputs!$B$7,0)+AB377-AB380</f>
        <v>104.0608821875</v>
      </c>
      <c r="AC382" s="33" t="n">
        <f aca="false">AB382+IF(Source_Data!AC$6=Inputs!$B$12,Inputs!$B$7,0)+AC377-AC380</f>
        <v>140.375608125</v>
      </c>
      <c r="AD382" s="33" t="n">
        <f aca="false">AC382+IF(Source_Data!AD$6=Inputs!$B$12,Inputs!$B$7,0)+AD377-AD380</f>
        <v>173.414235625</v>
      </c>
      <c r="AE382" s="33" t="n">
        <f aca="false">AD382+IF(Source_Data!AE$6=Inputs!$B$12,Inputs!$B$7,0)+AE377-AE380</f>
        <v>202.844406875</v>
      </c>
      <c r="AF382" s="33" t="n">
        <f aca="false">AE382+IF(Source_Data!AF$6=Inputs!$B$12,Inputs!$B$7,0)+AF377-AF380</f>
        <v>120.175367773437</v>
      </c>
      <c r="AG382" s="33" t="n">
        <f aca="false">AF382+IF(Source_Data!AG$6=Inputs!$B$12,Inputs!$B$7,0)+AG377-AG380</f>
        <v>134.288026601562</v>
      </c>
      <c r="AH382" s="33" t="n">
        <f aca="false">AG382+IF(Source_Data!AH$6=Inputs!$B$12,Inputs!$B$7,0)+AH377-AH380</f>
        <v>148.400685429687</v>
      </c>
      <c r="AI382" s="33" t="n">
        <f aca="false">AH382+IF(Source_Data!AI$6=Inputs!$B$12,Inputs!$B$7,0)+AI377-AI380</f>
        <v>162.513344257812</v>
      </c>
      <c r="AJ382" s="33" t="n">
        <f aca="false">AI382+IF(Source_Data!AJ$6=Inputs!$B$12,Inputs!$B$7,0)+AJ377-AJ380</f>
        <v>176.626003085937</v>
      </c>
      <c r="AK382" s="33" t="n">
        <f aca="false">AJ382+IF(Source_Data!AK$6=Inputs!$B$12,Inputs!$B$7,0)+AK377-AK380</f>
        <v>191.694190625</v>
      </c>
      <c r="AL382" s="33" t="n">
        <f aca="false">AK382+IF(Source_Data!AL$6=Inputs!$B$12,Inputs!$B$7,0)+AL377-AL380</f>
        <v>204.578312539062</v>
      </c>
      <c r="AM382" s="33" t="n">
        <f aca="false">AL382+IF(Source_Data!AM$6=Inputs!$B$12,Inputs!$B$7,0)+AM377-AM380</f>
        <v>219.284863125</v>
      </c>
      <c r="AN382" s="33" t="n">
        <f aca="false">AM382+IF(Source_Data!AN$6=Inputs!$B$12,Inputs!$B$7,0)+AN377-AN380</f>
        <v>233.81296921875</v>
      </c>
      <c r="AO382" s="33" t="n">
        <f aca="false">AN382+IF(Source_Data!AO$6=Inputs!$B$12,Inputs!$B$7,0)+AO377-AO380</f>
        <v>241.877055</v>
      </c>
      <c r="AP382" s="33" t="n">
        <f aca="false">AO382+IF(Source_Data!AP$6=Inputs!$B$12,Inputs!$B$7,0)+AP377-AP380</f>
        <v>245.4475275</v>
      </c>
      <c r="AQ382" s="33" t="n">
        <f aca="false">AP382+IF(Source_Data!AQ$6=Inputs!$B$12,Inputs!$B$7,0)+AQ377-AQ380</f>
        <v>245.4475275</v>
      </c>
      <c r="AR382" s="33" t="n">
        <f aca="false">AQ382+IF(Source_Data!AR$6=Inputs!$B$12,Inputs!$B$7,0)+AR377-AR380</f>
        <v>245.4475275</v>
      </c>
      <c r="AS382" s="33" t="n">
        <f aca="false">AR382+IF(Source_Data!AS$6=Inputs!$B$12,Inputs!$B$7,0)+AS377-AS380</f>
        <v>245.4475275</v>
      </c>
      <c r="AT382" s="33" t="n">
        <f aca="false">AS382+IF(Source_Data!AT$6=Inputs!$B$12,Inputs!$B$7,0)+AT377-AT380</f>
        <v>245.4475275</v>
      </c>
      <c r="AU382" s="33" t="n">
        <f aca="false">AT382+IF(Source_Data!AU$6=Inputs!$B$12,Inputs!$B$7,0)+AU377-AU380</f>
        <v>245.4475275</v>
      </c>
      <c r="AV382" s="33" t="n">
        <f aca="false">AU382+IF(Source_Data!AV$6=Inputs!$B$12,Inputs!$B$7,0)+AV377-AV380</f>
        <v>245.4475275</v>
      </c>
      <c r="AW382" s="33" t="n">
        <f aca="false">AV382+IF(Source_Data!AW$6=Inputs!$B$12,Inputs!$B$7,0)+AW377-AW380</f>
        <v>245.4475275</v>
      </c>
      <c r="AX382" s="33" t="n">
        <f aca="false">AW382+IF(Source_Data!AX$6=Inputs!$B$12,Inputs!$B$7,0)+AX377-AX380</f>
        <v>245.4475275</v>
      </c>
      <c r="AY382" s="33" t="n">
        <f aca="false">AX382+IF(Source_Data!AY$6=Inputs!$B$12,Inputs!$B$7,0)+AY377-AY380</f>
        <v>245.4475275</v>
      </c>
      <c r="AZ382" s="33" t="n">
        <f aca="false">AY382+IF(Source_Data!AZ$6=Inputs!$B$12,Inputs!$B$7,0)+AZ377-AZ380</f>
        <v>245.4475275</v>
      </c>
      <c r="BA382" s="33" t="n">
        <f aca="false">AZ382+IF(Source_Data!BA$6=Inputs!$B$12,Inputs!$B$7,0)+BA377-BA380</f>
        <v>245.4475275</v>
      </c>
      <c r="BB382" s="33" t="n">
        <f aca="false">BA382+IF(Source_Data!BB$6=Inputs!$B$12,Inputs!$B$7,0)+BB377-BB380</f>
        <v>245.4475275</v>
      </c>
      <c r="BC382" s="33" t="n">
        <f aca="false">BB382+IF(Source_Data!BC$6=Inputs!$B$12,Inputs!$B$7,0)+BC377-BC380</f>
        <v>245.4475275</v>
      </c>
      <c r="BD382" s="33" t="n">
        <f aca="false">BC382+IF(Source_Data!BD$6=Inputs!$B$12,Inputs!$B$7,0)+BD377-BD380</f>
        <v>245.4475275</v>
      </c>
      <c r="BE382" s="33" t="n">
        <f aca="false">BD382+IF(Source_Data!BE$6=Inputs!$B$12,Inputs!$B$7,0)+BE377-BE380</f>
        <v>245.4475275</v>
      </c>
      <c r="BF382" s="33" t="n">
        <f aca="false">BE382+IF(Source_Data!BF$6=Inputs!$B$12,Inputs!$B$7,0)+BF377-BF380</f>
        <v>245.4475275</v>
      </c>
      <c r="BG382" s="33" t="n">
        <f aca="false">BF382+IF(Source_Data!BG$6=Inputs!$B$12,Inputs!$B$7,0)+BG377-BG380</f>
        <v>245.4475275</v>
      </c>
      <c r="BH382" s="33" t="n">
        <f aca="false">BG382+IF(Source_Data!BH$6=Inputs!$B$12,Inputs!$B$7,0)+BH377-BH380</f>
        <v>245.4475275</v>
      </c>
      <c r="BI382" s="33" t="n">
        <f aca="false">BH382+IF(Source_Data!BI$6=Inputs!$B$12,Inputs!$B$7,0)+BI377-BI380</f>
        <v>245.4475275</v>
      </c>
      <c r="BJ382" s="33" t="n">
        <f aca="false">BI382+IF(Source_Data!BJ$6=Inputs!$B$12,Inputs!$B$7,0)+BJ377-BJ380</f>
        <v>245.4475275</v>
      </c>
      <c r="BK382" s="33" t="n">
        <f aca="false">BJ382+IF(Source_Data!BK$6=Inputs!$B$12,Inputs!$B$7,0)+BK377-BK380</f>
        <v>245.4475275</v>
      </c>
    </row>
    <row r="383" customFormat="false" ht="15" hidden="false" customHeight="false" outlineLevel="0" collapsed="false">
      <c r="A383" s="3" t="s">
        <v>344</v>
      </c>
      <c r="D383" s="31" t="str">
        <f aca="false">IF(D380&gt;0,D377/D380,"")</f>
        <v/>
      </c>
      <c r="E383" s="31" t="str">
        <f aca="false">IF(E380&gt;0,E377/E380,"")</f>
        <v/>
      </c>
      <c r="F383" s="31" t="str">
        <f aca="false">IF(F380&gt;0,F377/F380,"")</f>
        <v/>
      </c>
      <c r="G383" s="31" t="str">
        <f aca="false">IF(G380&gt;0,G377/G380,"")</f>
        <v/>
      </c>
      <c r="H383" s="31" t="str">
        <f aca="false">IF(H380&gt;0,H377/H380,"")</f>
        <v/>
      </c>
      <c r="I383" s="31" t="str">
        <f aca="false">IF(I380&gt;0,I377/I380,"")</f>
        <v/>
      </c>
      <c r="J383" s="31" t="str">
        <f aca="false">IF(J380&gt;0,J377/J380,"")</f>
        <v/>
      </c>
      <c r="K383" s="31" t="str">
        <f aca="false">IF(K380&gt;0,K377/K380,"")</f>
        <v/>
      </c>
      <c r="L383" s="31" t="str">
        <f aca="false">IF(L380&gt;0,L377/L380,"")</f>
        <v/>
      </c>
      <c r="M383" s="31" t="n">
        <f aca="false">IF(M380&gt;0,M377/M380,"")</f>
        <v>0.349439396739131</v>
      </c>
      <c r="N383" s="31" t="n">
        <f aca="false">IF(N380&gt;0,N377/N380,"")</f>
        <v>23.3970170869565</v>
      </c>
      <c r="O383" s="31" t="n">
        <f aca="false">IF(O380&gt;0,O377/O380,"")</f>
        <v>7.24000382608696</v>
      </c>
      <c r="P383" s="31" t="n">
        <f aca="false">IF(P380&gt;0,P377/P380,"")</f>
        <v>-0.738993391304348</v>
      </c>
      <c r="Q383" s="31" t="n">
        <f aca="false">IF(Q380&gt;0,Q377/Q380,"")</f>
        <v>-4.95391565217391</v>
      </c>
      <c r="R383" s="31" t="n">
        <f aca="false">IF(R380&gt;0,R377/R380,"")</f>
        <v>-8.95047815217391</v>
      </c>
      <c r="S383" s="31" t="n">
        <f aca="false">IF(S380&gt;0,S377/S380,"")</f>
        <v>-5.99458597826087</v>
      </c>
      <c r="T383" s="31" t="n">
        <f aca="false">IF(T380&gt;0,T377/T380,"")</f>
        <v>1.20193229347826</v>
      </c>
      <c r="U383" s="31" t="n">
        <f aca="false">IF(U380&gt;0,U377/U380,"")</f>
        <v>0.846607288043478</v>
      </c>
      <c r="V383" s="31" t="n">
        <f aca="false">IF(V380&gt;0,V377/V380,"")</f>
        <v>0.767619961956522</v>
      </c>
      <c r="W383" s="31" t="n">
        <f aca="false">IF(W380&gt;0,W377/W380,"")</f>
        <v>0.455162331521739</v>
      </c>
      <c r="X383" s="31" t="n">
        <f aca="false">IF(X380&gt;0,X377/X380,"")</f>
        <v>1.40258841847826</v>
      </c>
      <c r="Y383" s="31" t="str">
        <f aca="false">IF(Y380&gt;0,Y377/Y380,"")</f>
        <v/>
      </c>
      <c r="Z383" s="31" t="str">
        <f aca="false">IF(Z380&gt;0,Z377/Z380,"")</f>
        <v/>
      </c>
      <c r="AA383" s="31" t="str">
        <f aca="false">IF(AA380&gt;0,AA377/AA380,"")</f>
        <v/>
      </c>
      <c r="AB383" s="31" t="str">
        <f aca="false">IF(AB380&gt;0,AB377/AB380,"")</f>
        <v/>
      </c>
      <c r="AC383" s="31" t="str">
        <f aca="false">IF(AC380&gt;0,AC377/AC380,"")</f>
        <v/>
      </c>
      <c r="AD383" s="31" t="str">
        <f aca="false">IF(AD380&gt;0,AD377/AD380,"")</f>
        <v/>
      </c>
      <c r="AE383" s="31" t="str">
        <f aca="false">IF(AE380&gt;0,AE377/AE380,"")</f>
        <v/>
      </c>
      <c r="AF383" s="31" t="str">
        <f aca="false">IF(AF380&gt;0,AF377/AF380,"")</f>
        <v/>
      </c>
      <c r="AG383" s="31" t="str">
        <f aca="false">IF(AG380&gt;0,AG377/AG380,"")</f>
        <v/>
      </c>
      <c r="AH383" s="31" t="str">
        <f aca="false">IF(AH380&gt;0,AH377/AH380,"")</f>
        <v/>
      </c>
      <c r="AI383" s="31" t="str">
        <f aca="false">IF(AI380&gt;0,AI377/AI380,"")</f>
        <v/>
      </c>
      <c r="AJ383" s="31" t="str">
        <f aca="false">IF(AJ380&gt;0,AJ377/AJ380,"")</f>
        <v/>
      </c>
      <c r="AK383" s="31" t="str">
        <f aca="false">IF(AK380&gt;0,AK377/AK380,"")</f>
        <v/>
      </c>
      <c r="AL383" s="31" t="str">
        <f aca="false">IF(AL380&gt;0,AL377/AL380,"")</f>
        <v/>
      </c>
      <c r="AM383" s="31" t="str">
        <f aca="false">IF(AM380&gt;0,AM377/AM380,"")</f>
        <v/>
      </c>
      <c r="AN383" s="31" t="str">
        <f aca="false">IF(AN380&gt;0,AN377/AN380,"")</f>
        <v/>
      </c>
      <c r="AO383" s="31" t="str">
        <f aca="false">IF(AO380&gt;0,AO377/AO380,"")</f>
        <v/>
      </c>
      <c r="AP383" s="31" t="str">
        <f aca="false">IF(AP380&gt;0,AP377/AP380,"")</f>
        <v/>
      </c>
      <c r="AQ383" s="31" t="str">
        <f aca="false">IF(AQ380&gt;0,AQ377/AQ380,"")</f>
        <v/>
      </c>
      <c r="AR383" s="31" t="str">
        <f aca="false">IF(AR380&gt;0,AR377/AR380,"")</f>
        <v/>
      </c>
      <c r="AS383" s="31" t="str">
        <f aca="false">IF(AS380&gt;0,AS377/AS380,"")</f>
        <v/>
      </c>
      <c r="AT383" s="31" t="str">
        <f aca="false">IF(AT380&gt;0,AT377/AT380,"")</f>
        <v/>
      </c>
      <c r="AU383" s="31" t="str">
        <f aca="false">IF(AU380&gt;0,AU377/AU380,"")</f>
        <v/>
      </c>
      <c r="AV383" s="31" t="str">
        <f aca="false">IF(AV380&gt;0,AV377/AV380,"")</f>
        <v/>
      </c>
      <c r="AW383" s="31" t="str">
        <f aca="false">IF(AW380&gt;0,AW377/AW380,"")</f>
        <v/>
      </c>
      <c r="AX383" s="31" t="str">
        <f aca="false">IF(AX380&gt;0,AX377/AX380,"")</f>
        <v/>
      </c>
      <c r="AY383" s="31" t="str">
        <f aca="false">IF(AY380&gt;0,AY377/AY380,"")</f>
        <v/>
      </c>
      <c r="AZ383" s="31" t="str">
        <f aca="false">IF(AZ380&gt;0,AZ377/AZ380,"")</f>
        <v/>
      </c>
      <c r="BA383" s="31" t="str">
        <f aca="false">IF(BA380&gt;0,BA377/BA380,"")</f>
        <v/>
      </c>
      <c r="BB383" s="31" t="str">
        <f aca="false">IF(BB380&gt;0,BB377/BB380,"")</f>
        <v/>
      </c>
      <c r="BC383" s="31" t="str">
        <f aca="false">IF(BC380&gt;0,BC377/BC380,"")</f>
        <v/>
      </c>
      <c r="BD383" s="31" t="str">
        <f aca="false">IF(BD380&gt;0,BD377/BD380,"")</f>
        <v/>
      </c>
      <c r="BE383" s="31" t="str">
        <f aca="false">IF(BE380&gt;0,BE377/BE380,"")</f>
        <v/>
      </c>
      <c r="BF383" s="31" t="str">
        <f aca="false">IF(BF380&gt;0,BF377/BF380,"")</f>
        <v/>
      </c>
      <c r="BG383" s="31" t="str">
        <f aca="false">IF(BG380&gt;0,BG377/BG380,"")</f>
        <v/>
      </c>
      <c r="BH383" s="31" t="str">
        <f aca="false">IF(BH380&gt;0,BH377/BH380,"")</f>
        <v/>
      </c>
      <c r="BI383" s="31" t="str">
        <f aca="false">IF(BI380&gt;0,BI377/BI380,"")</f>
        <v/>
      </c>
      <c r="BJ383" s="31" t="str">
        <f aca="false">IF(BJ380&gt;0,BJ377/BJ380,"")</f>
        <v/>
      </c>
      <c r="BK383" s="31" t="str">
        <f aca="false">IF(BK380&gt;0,BK377/BK380,"")</f>
        <v/>
      </c>
    </row>
    <row r="384" customFormat="false" ht="15" hidden="false" customHeight="false" outlineLevel="0" collapsed="false">
      <c r="A384" s="3" t="s">
        <v>345</v>
      </c>
      <c r="D384" s="31" t="str">
        <f aca="false">IF(D380&gt;0,(0+D377+IF(Source_Data!D$6=Inputs!$B$12,Inputs!$B$7,0))/D380,"")</f>
        <v/>
      </c>
      <c r="E384" s="31" t="str">
        <f aca="false">IF(E380&gt;0,(D382+E377+IF(Source_Data!E$6=Inputs!$B$12,Inputs!$B$7,0))/E380,"")</f>
        <v/>
      </c>
      <c r="F384" s="31" t="str">
        <f aca="false">IF(F380&gt;0,(E382+F377+IF(Source_Data!F$6=Inputs!$B$12,Inputs!$B$7,0))/F380,"")</f>
        <v/>
      </c>
      <c r="G384" s="31" t="str">
        <f aca="false">IF(G380&gt;0,(F382+G377+IF(Source_Data!G$6=Inputs!$B$12,Inputs!$B$7,0))/G380,"")</f>
        <v/>
      </c>
      <c r="H384" s="31" t="str">
        <f aca="false">IF(H380&gt;0,(G382+H377+IF(Source_Data!H$6=Inputs!$B$12,Inputs!$B$7,0))/H380,"")</f>
        <v/>
      </c>
      <c r="I384" s="31" t="str">
        <f aca="false">IF(I380&gt;0,(H382+I377+IF(Source_Data!I$6=Inputs!$B$12,Inputs!$B$7,0))/I380,"")</f>
        <v/>
      </c>
      <c r="J384" s="31" t="str">
        <f aca="false">IF(J380&gt;0,(I382+J377+IF(Source_Data!J$6=Inputs!$B$12,Inputs!$B$7,0))/J380,"")</f>
        <v/>
      </c>
      <c r="K384" s="31" t="str">
        <f aca="false">IF(K380&gt;0,(J382+K377+IF(Source_Data!K$6=Inputs!$B$12,Inputs!$B$7,0))/K380,"")</f>
        <v/>
      </c>
      <c r="L384" s="31" t="str">
        <f aca="false">IF(L380&gt;0,(K382+L377+IF(Source_Data!L$6=Inputs!$B$12,Inputs!$B$7,0))/L380,"")</f>
        <v/>
      </c>
      <c r="M384" s="31" t="n">
        <f aca="false">IF(M380&gt;0,(L382+M377+IF(Source_Data!M$6=Inputs!$B$12,Inputs!$B$7,0))/M380,"")</f>
        <v>-2.88844883152174</v>
      </c>
      <c r="N384" s="31" t="n">
        <f aca="false">IF(N380&gt;0,(M382+N377+IF(Source_Data!N$6=Inputs!$B$12,Inputs!$B$7,0))/N380,"")</f>
        <v>19.5085682554348</v>
      </c>
      <c r="O384" s="31" t="n">
        <f aca="false">IF(O380&gt;0,(N382+O377+IF(Source_Data!O$6=Inputs!$B$12,Inputs!$B$7,0))/O380,"")</f>
        <v>25.7485720815217</v>
      </c>
      <c r="P384" s="31" t="n">
        <f aca="false">IF(P380&gt;0,(O382+P377+IF(Source_Data!P$6=Inputs!$B$12,Inputs!$B$7,0))/P380,"")</f>
        <v>24.0095786902174</v>
      </c>
      <c r="Q384" s="31" t="n">
        <f aca="false">IF(Q380&gt;0,(P382+Q377+IF(Source_Data!Q$6=Inputs!$B$12,Inputs!$B$7,0))/Q380,"")</f>
        <v>18.0556630380435</v>
      </c>
      <c r="R384" s="31" t="n">
        <f aca="false">IF(R380&gt;0,(Q382+R377+IF(Source_Data!R$6=Inputs!$B$12,Inputs!$B$7,0))/R380,"")</f>
        <v>8.10518488586956</v>
      </c>
      <c r="S384" s="31" t="n">
        <f aca="false">IF(S380&gt;0,(R382+S377+IF(Source_Data!S$6=Inputs!$B$12,Inputs!$B$7,0))/S380,"")</f>
        <v>1.11059890760869</v>
      </c>
      <c r="T384" s="31" t="n">
        <f aca="false">IF(T380&gt;0,(S382+T377+IF(Source_Data!T$6=Inputs!$B$12,Inputs!$B$7,0))/T380,"")</f>
        <v>1.31253120108695</v>
      </c>
      <c r="U384" s="31" t="n">
        <f aca="false">IF(U380&gt;0,(T382+U377+IF(Source_Data!U$6=Inputs!$B$12,Inputs!$B$7,0))/U380,"")</f>
        <v>1.15913848913043</v>
      </c>
      <c r="V384" s="31" t="n">
        <f aca="false">IF(V380&gt;0,(U382+V377+IF(Source_Data!V$6=Inputs!$B$12,Inputs!$B$7,0))/V380,"")</f>
        <v>0.926758451086954</v>
      </c>
      <c r="W384" s="31" t="n">
        <f aca="false">IF(W380&gt;0,(V382+W377+IF(Source_Data!W$6=Inputs!$B$12,Inputs!$B$7,0))/W380,"")</f>
        <v>0.381920782608693</v>
      </c>
      <c r="X384" s="31" t="n">
        <f aca="false">IF(X380&gt;0,(W382+X377+IF(Source_Data!X$6=Inputs!$B$12,Inputs!$B$7,0))/X380,"")</f>
        <v>0.784509201086954</v>
      </c>
      <c r="Y384" s="31" t="str">
        <f aca="false">IF(Y380&gt;0,(X382+Y377+IF(Source_Data!Y$6=Inputs!$B$12,Inputs!$B$7,0))/Y380,"")</f>
        <v/>
      </c>
      <c r="Z384" s="31" t="str">
        <f aca="false">IF(Z380&gt;0,(Y382+Z377+IF(Source_Data!Z$6=Inputs!$B$12,Inputs!$B$7,0))/Z380,"")</f>
        <v/>
      </c>
      <c r="AA384" s="31" t="str">
        <f aca="false">IF(AA380&gt;0,(Z382+AA377+IF(Source_Data!AA$6=Inputs!$B$12,Inputs!$B$7,0))/AA380,"")</f>
        <v/>
      </c>
      <c r="AB384" s="31" t="str">
        <f aca="false">IF(AB380&gt;0,(AA382+AB377+IF(Source_Data!AB$6=Inputs!$B$12,Inputs!$B$7,0))/AB380,"")</f>
        <v/>
      </c>
      <c r="AC384" s="31" t="str">
        <f aca="false">IF(AC380&gt;0,(AB382+AC377+IF(Source_Data!AC$6=Inputs!$B$12,Inputs!$B$7,0))/AC380,"")</f>
        <v/>
      </c>
      <c r="AD384" s="31" t="str">
        <f aca="false">IF(AD380&gt;0,(AC382+AD377+IF(Source_Data!AD$6=Inputs!$B$12,Inputs!$B$7,0))/AD380,"")</f>
        <v/>
      </c>
      <c r="AE384" s="31" t="str">
        <f aca="false">IF(AE380&gt;0,(AD382+AE377+IF(Source_Data!AE$6=Inputs!$B$12,Inputs!$B$7,0))/AE380,"")</f>
        <v/>
      </c>
      <c r="AF384" s="31" t="str">
        <f aca="false">IF(AF380&gt;0,(AE382+AF377+IF(Source_Data!AF$6=Inputs!$B$12,Inputs!$B$7,0))/AF380,"")</f>
        <v/>
      </c>
      <c r="AG384" s="31" t="str">
        <f aca="false">IF(AG380&gt;0,(AF382+AG377+IF(Source_Data!AG$6=Inputs!$B$12,Inputs!$B$7,0))/AG380,"")</f>
        <v/>
      </c>
      <c r="AH384" s="31" t="str">
        <f aca="false">IF(AH380&gt;0,(AG382+AH377+IF(Source_Data!AH$6=Inputs!$B$12,Inputs!$B$7,0))/AH380,"")</f>
        <v/>
      </c>
      <c r="AI384" s="31" t="str">
        <f aca="false">IF(AI380&gt;0,(AH382+AI377+IF(Source_Data!AI$6=Inputs!$B$12,Inputs!$B$7,0))/AI380,"")</f>
        <v/>
      </c>
      <c r="AJ384" s="31" t="str">
        <f aca="false">IF(AJ380&gt;0,(AI382+AJ377+IF(Source_Data!AJ$6=Inputs!$B$12,Inputs!$B$7,0))/AJ380,"")</f>
        <v/>
      </c>
      <c r="AK384" s="31" t="str">
        <f aca="false">IF(AK380&gt;0,(AJ382+AK377+IF(Source_Data!AK$6=Inputs!$B$12,Inputs!$B$7,0))/AK380,"")</f>
        <v/>
      </c>
      <c r="AL384" s="31" t="str">
        <f aca="false">IF(AL380&gt;0,(AK382+AL377+IF(Source_Data!AL$6=Inputs!$B$12,Inputs!$B$7,0))/AL380,"")</f>
        <v/>
      </c>
      <c r="AM384" s="31" t="str">
        <f aca="false">IF(AM380&gt;0,(AL382+AM377+IF(Source_Data!AM$6=Inputs!$B$12,Inputs!$B$7,0))/AM380,"")</f>
        <v/>
      </c>
      <c r="AN384" s="31" t="str">
        <f aca="false">IF(AN380&gt;0,(AM382+AN377+IF(Source_Data!AN$6=Inputs!$B$12,Inputs!$B$7,0))/AN380,"")</f>
        <v/>
      </c>
      <c r="AO384" s="31" t="str">
        <f aca="false">IF(AO380&gt;0,(AN382+AO377+IF(Source_Data!AO$6=Inputs!$B$12,Inputs!$B$7,0))/AO380,"")</f>
        <v/>
      </c>
      <c r="AP384" s="31" t="str">
        <f aca="false">IF(AP380&gt;0,(AO382+AP377+IF(Source_Data!AP$6=Inputs!$B$12,Inputs!$B$7,0))/AP380,"")</f>
        <v/>
      </c>
      <c r="AQ384" s="31" t="str">
        <f aca="false">IF(AQ380&gt;0,(AP382+AQ377+IF(Source_Data!AQ$6=Inputs!$B$12,Inputs!$B$7,0))/AQ380,"")</f>
        <v/>
      </c>
      <c r="AR384" s="31" t="str">
        <f aca="false">IF(AR380&gt;0,(AQ382+AR377+IF(Source_Data!AR$6=Inputs!$B$12,Inputs!$B$7,0))/AR380,"")</f>
        <v/>
      </c>
      <c r="AS384" s="31" t="str">
        <f aca="false">IF(AS380&gt;0,(AR382+AS377+IF(Source_Data!AS$6=Inputs!$B$12,Inputs!$B$7,0))/AS380,"")</f>
        <v/>
      </c>
      <c r="AT384" s="31" t="str">
        <f aca="false">IF(AT380&gt;0,(AS382+AT377+IF(Source_Data!AT$6=Inputs!$B$12,Inputs!$B$7,0))/AT380,"")</f>
        <v/>
      </c>
      <c r="AU384" s="31" t="str">
        <f aca="false">IF(AU380&gt;0,(AT382+AU377+IF(Source_Data!AU$6=Inputs!$B$12,Inputs!$B$7,0))/AU380,"")</f>
        <v/>
      </c>
      <c r="AV384" s="31" t="str">
        <f aca="false">IF(AV380&gt;0,(AU382+AV377+IF(Source_Data!AV$6=Inputs!$B$12,Inputs!$B$7,0))/AV380,"")</f>
        <v/>
      </c>
      <c r="AW384" s="31" t="str">
        <f aca="false">IF(AW380&gt;0,(AV382+AW377+IF(Source_Data!AW$6=Inputs!$B$12,Inputs!$B$7,0))/AW380,"")</f>
        <v/>
      </c>
      <c r="AX384" s="31" t="str">
        <f aca="false">IF(AX380&gt;0,(AW382+AX377+IF(Source_Data!AX$6=Inputs!$B$12,Inputs!$B$7,0))/AX380,"")</f>
        <v/>
      </c>
      <c r="AY384" s="31" t="str">
        <f aca="false">IF(AY380&gt;0,(AX382+AY377+IF(Source_Data!AY$6=Inputs!$B$12,Inputs!$B$7,0))/AY380,"")</f>
        <v/>
      </c>
      <c r="AZ384" s="31" t="str">
        <f aca="false">IF(AZ380&gt;0,(AY382+AZ377+IF(Source_Data!AZ$6=Inputs!$B$12,Inputs!$B$7,0))/AZ380,"")</f>
        <v/>
      </c>
      <c r="BA384" s="31" t="str">
        <f aca="false">IF(BA380&gt;0,(AZ382+BA377+IF(Source_Data!BA$6=Inputs!$B$12,Inputs!$B$7,0))/BA380,"")</f>
        <v/>
      </c>
      <c r="BB384" s="31" t="str">
        <f aca="false">IF(BB380&gt;0,(BA382+BB377+IF(Source_Data!BB$6=Inputs!$B$12,Inputs!$B$7,0))/BB380,"")</f>
        <v/>
      </c>
      <c r="BC384" s="31" t="str">
        <f aca="false">IF(BC380&gt;0,(BB382+BC377+IF(Source_Data!BC$6=Inputs!$B$12,Inputs!$B$7,0))/BC380,"")</f>
        <v/>
      </c>
      <c r="BD384" s="31" t="str">
        <f aca="false">IF(BD380&gt;0,(BC382+BD377+IF(Source_Data!BD$6=Inputs!$B$12,Inputs!$B$7,0))/BD380,"")</f>
        <v/>
      </c>
      <c r="BE384" s="31" t="str">
        <f aca="false">IF(BE380&gt;0,(BD382+BE377+IF(Source_Data!BE$6=Inputs!$B$12,Inputs!$B$7,0))/BE380,"")</f>
        <v/>
      </c>
      <c r="BF384" s="31" t="str">
        <f aca="false">IF(BF380&gt;0,(BE382+BF377+IF(Source_Data!BF$6=Inputs!$B$12,Inputs!$B$7,0))/BF380,"")</f>
        <v/>
      </c>
      <c r="BG384" s="31" t="str">
        <f aca="false">IF(BG380&gt;0,(BF382+BG377+IF(Source_Data!BG$6=Inputs!$B$12,Inputs!$B$7,0))/BG380,"")</f>
        <v/>
      </c>
      <c r="BH384" s="31" t="str">
        <f aca="false">IF(BH380&gt;0,(BG382+BH377+IF(Source_Data!BH$6=Inputs!$B$12,Inputs!$B$7,0))/BH380,"")</f>
        <v/>
      </c>
      <c r="BI384" s="31" t="str">
        <f aca="false">IF(BI380&gt;0,(BH382+BI377+IF(Source_Data!BI$6=Inputs!$B$12,Inputs!$B$7,0))/BI380,"")</f>
        <v/>
      </c>
      <c r="BJ384" s="31" t="str">
        <f aca="false">IF(BJ380&gt;0,(BI382+BJ377+IF(Source_Data!BJ$6=Inputs!$B$12,Inputs!$B$7,0))/BJ380,"")</f>
        <v/>
      </c>
      <c r="BK384" s="31" t="str">
        <f aca="false">IF(BK380&gt;0,(BJ382+BK377+IF(Source_Data!BK$6=Inputs!$B$12,Inputs!$B$7,0))/BK380,"")</f>
        <v/>
      </c>
    </row>
    <row r="386" customFormat="false" ht="15" hidden="false" customHeight="false" outlineLevel="0" collapsed="false">
      <c r="A386" s="2" t="s">
        <v>220</v>
      </c>
      <c r="B386" s="41" t="n">
        <f aca="false">SUM(D377:BK377)</f>
        <v>375.4475275</v>
      </c>
    </row>
    <row r="387" customFormat="false" ht="15" hidden="false" customHeight="false" outlineLevel="0" collapsed="false">
      <c r="A387" s="2" t="s">
        <v>346</v>
      </c>
      <c r="B387" s="41" t="n">
        <f aca="false">SUMPRODUCT(D377:BK377,Project_CF!$D$15:$BK$15)</f>
        <v>169.652089267269</v>
      </c>
    </row>
    <row r="388" customFormat="false" ht="15" hidden="false" customHeight="false" outlineLevel="0" collapsed="false">
      <c r="A388" s="2" t="s">
        <v>162</v>
      </c>
      <c r="B388" s="41" t="n">
        <f aca="false">MIN(D378:BK378)</f>
        <v>-162.059524375</v>
      </c>
    </row>
    <row r="389" customFormat="false" ht="15" hidden="false" customHeight="false" outlineLevel="0" collapsed="false">
      <c r="A389" s="2" t="s">
        <v>347</v>
      </c>
      <c r="B389" s="35" t="n">
        <f aca="false">INDEX(Project_CF!$D$6:$BK$6,MATCH(MIN(D378:BK378),D378:BK378,0))</f>
        <v>27</v>
      </c>
    </row>
    <row r="390" customFormat="false" ht="15" hidden="false" customHeight="false" outlineLevel="0" collapsed="false">
      <c r="A390" s="2" t="s">
        <v>348</v>
      </c>
      <c r="B390" s="39" t="n">
        <f aca="false">(1+IRR(D379:BK379,0.05))^4-1</f>
        <v>0.264029906719608</v>
      </c>
    </row>
    <row r="391" customFormat="false" ht="15" hidden="false" customHeight="false" outlineLevel="0" collapsed="false">
      <c r="A391" s="2" t="s">
        <v>349</v>
      </c>
      <c r="B391" s="40" t="n">
        <f aca="false">SUMIF(D379:BK379,"&gt;0")/-SUMIF(D379:BK379,"&lt;0")</f>
        <v>2.78136200716846</v>
      </c>
    </row>
    <row r="392" customFormat="false" ht="15" hidden="false" customHeight="false" outlineLevel="0" collapsed="false">
      <c r="A392" s="2" t="s">
        <v>350</v>
      </c>
      <c r="B392" s="39" t="n">
        <f aca="false">(1+IRR(D381:BK381,0.05))^4-1</f>
        <v>0.265463994839995</v>
      </c>
    </row>
    <row r="393" customFormat="false" ht="15" hidden="false" customHeight="false" outlineLevel="0" collapsed="false">
      <c r="A393" s="2" t="s">
        <v>351</v>
      </c>
      <c r="B393" s="41" t="n">
        <f aca="false">MIN(D382:BK382)</f>
        <v>-74.5286026041667</v>
      </c>
    </row>
    <row r="394" customFormat="false" ht="15" hidden="false" customHeight="false" outlineLevel="0" collapsed="false">
      <c r="A394" s="2" t="s">
        <v>352</v>
      </c>
      <c r="B394" s="43" t="n">
        <f aca="false">MIN(D383:BK383)</f>
        <v>-8.95047815217391</v>
      </c>
    </row>
    <row r="395" customFormat="false" ht="15" hidden="false" customHeight="false" outlineLevel="0" collapsed="false">
      <c r="A395" s="2" t="s">
        <v>353</v>
      </c>
      <c r="B395" s="35" t="n">
        <f aca="false">COUNTIF(D383:BK383,"&lt;"&amp;Inputs!$B$43)</f>
        <v>10</v>
      </c>
    </row>
    <row r="396" customFormat="false" ht="15" hidden="false" customHeight="false" outlineLevel="0" collapsed="false">
      <c r="A396" s="2" t="s">
        <v>354</v>
      </c>
      <c r="B396" s="43" t="n">
        <f aca="false">MIN(D384:BK384)</f>
        <v>-2.88844883152174</v>
      </c>
    </row>
    <row r="397" customFormat="false" ht="15" hidden="false" customHeight="false" outlineLevel="0" collapsed="false">
      <c r="A397" s="2" t="s">
        <v>355</v>
      </c>
      <c r="B397" s="35" t="n">
        <f aca="false">COUNTIF(D384:BK384,"&lt;"&amp;Inputs!$B$43)</f>
        <v>7</v>
      </c>
    </row>
    <row r="400" customFormat="false" ht="15" hidden="false" customHeight="false" outlineLevel="0" collapsed="false">
      <c r="A400" s="8" t="s">
        <v>369</v>
      </c>
    </row>
    <row r="401" customFormat="false" ht="15" hidden="false" customHeight="false" outlineLevel="0" collapsed="false">
      <c r="A401" s="3" t="s">
        <v>331</v>
      </c>
      <c r="B401" s="45" t="n">
        <v>1</v>
      </c>
    </row>
    <row r="402" customFormat="false" ht="15" hidden="false" customHeight="false" outlineLevel="0" collapsed="false">
      <c r="A402" s="3" t="s">
        <v>332</v>
      </c>
      <c r="B402" s="45" t="n">
        <v>0</v>
      </c>
    </row>
    <row r="403" customFormat="false" ht="15" hidden="false" customHeight="false" outlineLevel="0" collapsed="false">
      <c r="A403" s="3" t="s">
        <v>333</v>
      </c>
      <c r="B403" s="45" t="n">
        <v>1</v>
      </c>
    </row>
    <row r="404" customFormat="false" ht="15" hidden="false" customHeight="false" outlineLevel="0" collapsed="false">
      <c r="A404" s="3" t="s">
        <v>334</v>
      </c>
      <c r="B404" s="45" t="n">
        <v>2</v>
      </c>
    </row>
    <row r="405" customFormat="false" ht="15" hidden="false" customHeight="false" outlineLevel="0" collapsed="false">
      <c r="A405" s="3" t="s">
        <v>335</v>
      </c>
      <c r="B405" s="45" t="n">
        <v>0</v>
      </c>
    </row>
    <row r="406" customFormat="false" ht="15" hidden="false" customHeight="false" outlineLevel="0" collapsed="false">
      <c r="A406" s="3" t="s">
        <v>336</v>
      </c>
      <c r="B406" s="3" t="n">
        <f aca="false">Inputs!$B$13+3+3*$B$402</f>
        <v>51</v>
      </c>
    </row>
    <row r="407" customFormat="false" ht="15" hidden="false" customHeight="false" outlineLevel="0" collapsed="false">
      <c r="A407" s="3" t="s">
        <v>337</v>
      </c>
      <c r="D407" s="33" t="n">
        <f aca="false">Source_Data!D$7+IF($B$405=1,IF(Source_Data!D$6=Inputs!$B$13,Source_Data!$C$8,0),Source_Data!D$8)</f>
        <v>0</v>
      </c>
      <c r="E407" s="33" t="n">
        <f aca="false">Source_Data!E$7+IF($B$405=1,IF(Source_Data!E$6=Inputs!$B$13,Source_Data!$C$8,0),Source_Data!E$8)</f>
        <v>0</v>
      </c>
      <c r="F407" s="33" t="n">
        <f aca="false">Source_Data!F$7+IF($B$405=1,IF(Source_Data!F$6=Inputs!$B$13,Source_Data!$C$8,0),Source_Data!F$8)</f>
        <v>15.1392375</v>
      </c>
      <c r="G407" s="33" t="n">
        <f aca="false">Source_Data!G$7+IF($B$405=1,IF(Source_Data!G$6=Inputs!$B$13,Source_Data!$C$8,0),Source_Data!G$8)</f>
        <v>30.278475</v>
      </c>
      <c r="H407" s="33" t="n">
        <f aca="false">Source_Data!H$7+IF($B$405=1,IF(Source_Data!H$6=Inputs!$B$13,Source_Data!$C$8,0),Source_Data!H$8)</f>
        <v>46.51200625</v>
      </c>
      <c r="I407" s="33" t="n">
        <f aca="false">Source_Data!I$7+IF($B$405=1,IF(Source_Data!I$6=Inputs!$B$13,Source_Data!$C$8,0),Source_Data!I$8)</f>
        <v>62.7455375</v>
      </c>
      <c r="J407" s="33" t="n">
        <f aca="false">Source_Data!J$7+IF($B$405=1,IF(Source_Data!J$6=Inputs!$B$13,Source_Data!$C$8,0),Source_Data!J$8)</f>
        <v>62.3657</v>
      </c>
      <c r="K407" s="33" t="n">
        <f aca="false">Source_Data!K$7+IF($B$405=1,IF(Source_Data!K$6=Inputs!$B$13,Source_Data!$C$8,0),Source_Data!K$8)</f>
        <v>63.473559375</v>
      </c>
      <c r="L407" s="33" t="n">
        <f aca="false">Source_Data!L$7+IF($B$405=1,IF(Source_Data!L$6=Inputs!$B$13,Source_Data!$C$8,0),Source_Data!L$8)</f>
        <v>80.3288484375</v>
      </c>
      <c r="M407" s="33" t="n">
        <f aca="false">Source_Data!M$7+IF($B$405=1,IF(Source_Data!M$6=Inputs!$B$13,Source_Data!$C$8,0),Source_Data!M$8)</f>
        <v>495.2538375</v>
      </c>
      <c r="N407" s="33" t="n">
        <f aca="false">Source_Data!N$7+IF($B$405=1,IF(Source_Data!N$6=Inputs!$B$13,Source_Data!$C$8,0),Source_Data!N$8)</f>
        <v>185.57775</v>
      </c>
      <c r="O407" s="33" t="n">
        <f aca="false">Source_Data!O$7+IF($B$405=1,IF(Source_Data!O$6=Inputs!$B$13,Source_Data!$C$8,0),Source_Data!O$8)</f>
        <v>176.534</v>
      </c>
      <c r="P407" s="33" t="n">
        <f aca="false">Source_Data!P$7+IF($B$405=1,IF(Source_Data!P$6=Inputs!$B$13,Source_Data!$C$8,0),Source_Data!P$8)</f>
        <v>97.31075</v>
      </c>
      <c r="Q407" s="33" t="n">
        <f aca="false">Source_Data!Q$7+IF($B$405=1,IF(Source_Data!Q$6=Inputs!$B$13,Source_Data!$C$8,0),Source_Data!Q$8)</f>
        <v>71.30996875</v>
      </c>
      <c r="R407" s="33" t="n">
        <f aca="false">Source_Data!R$7+IF($B$405=1,IF(Source_Data!R$6=Inputs!$B$13,Source_Data!$C$8,0),Source_Data!R$8)</f>
        <v>71.30996875</v>
      </c>
      <c r="S407" s="33" t="n">
        <f aca="false">Source_Data!S$7+IF($B$405=1,IF(Source_Data!S$6=Inputs!$B$13,Source_Data!$C$8,0),Source_Data!S$8)</f>
        <v>68.037035625</v>
      </c>
      <c r="T407" s="33" t="n">
        <f aca="false">Source_Data!T$7+IF($B$405=1,IF(Source_Data!T$6=Inputs!$B$13,Source_Data!$C$8,0),Source_Data!T$8)</f>
        <v>61.2266396875</v>
      </c>
      <c r="U407" s="33" t="n">
        <f aca="false">Source_Data!U$7+IF($B$405=1,IF(Source_Data!U$6=Inputs!$B$13,Source_Data!$C$8,0),Source_Data!U$8)</f>
        <v>59.7127159375</v>
      </c>
      <c r="V407" s="33" t="n">
        <f aca="false">Source_Data!V$7+IF($B$405=1,IF(Source_Data!V$6=Inputs!$B$13,Source_Data!$C$8,0),Source_Data!V$8)</f>
        <v>53.7239446875</v>
      </c>
      <c r="W407" s="33" t="n">
        <f aca="false">Source_Data!W$7+IF($B$405=1,IF(Source_Data!W$6=Inputs!$B$13,Source_Data!$C$8,0),Source_Data!W$8)</f>
        <v>49.3829446875</v>
      </c>
      <c r="X407" s="33" t="n">
        <f aca="false">Source_Data!X$7+IF($B$405=1,IF(Source_Data!X$6=Inputs!$B$13,Source_Data!$C$8,0),Source_Data!X$8)</f>
        <v>49.3829446875</v>
      </c>
      <c r="Y407" s="33" t="n">
        <f aca="false">Source_Data!Y$7+IF($B$405=1,IF(Source_Data!Y$6=Inputs!$B$13,Source_Data!$C$8,0),Source_Data!Y$8)</f>
        <v>42.1027259375</v>
      </c>
      <c r="Z407" s="33" t="n">
        <f aca="false">Source_Data!Z$7+IF($B$405=1,IF(Source_Data!Z$6=Inputs!$B$13,Source_Data!$C$8,0),Source_Data!Z$8)</f>
        <v>42.1027259375</v>
      </c>
      <c r="AA407" s="33" t="n">
        <f aca="false">Source_Data!AA$7+IF($B$405=1,IF(Source_Data!AA$6=Inputs!$B$13,Source_Data!$C$8,0),Source_Data!AA$8)</f>
        <v>42.1027259375</v>
      </c>
      <c r="AB407" s="33" t="n">
        <f aca="false">Source_Data!AB$7+IF($B$405=1,IF(Source_Data!AB$6=Inputs!$B$13,Source_Data!$C$8,0),Source_Data!AB$8)</f>
        <v>36.3147259375</v>
      </c>
      <c r="AC407" s="33" t="n">
        <f aca="false">Source_Data!AC$7+IF($B$405=1,IF(Source_Data!AC$6=Inputs!$B$13,Source_Data!$C$8,0),Source_Data!AC$8)</f>
        <v>33.0386275</v>
      </c>
      <c r="AD407" s="33" t="n">
        <f aca="false">Source_Data!AD$7+IF($B$405=1,IF(Source_Data!AD$6=Inputs!$B$13,Source_Data!$C$8,0),Source_Data!AD$8)</f>
        <v>29.43017125</v>
      </c>
      <c r="AE407" s="33" t="n">
        <f aca="false">Source_Data!AE$7+IF($B$405=1,IF(Source_Data!AE$6=Inputs!$B$13,Source_Data!$C$8,0),Source_Data!AE$8)</f>
        <v>25.08917125</v>
      </c>
      <c r="AF407" s="33" t="n">
        <f aca="false">Source_Data!AF$7+IF($B$405=1,IF(Source_Data!AF$6=Inputs!$B$13,Source_Data!$C$8,0),Source_Data!AF$8)</f>
        <v>25.08917125</v>
      </c>
      <c r="AG407" s="33" t="n">
        <f aca="false">Source_Data!AG$7+IF($B$405=1,IF(Source_Data!AG$6=Inputs!$B$13,Source_Data!$C$8,0),Source_Data!AG$8)</f>
        <v>25.08917125</v>
      </c>
      <c r="AH407" s="33" t="n">
        <f aca="false">Source_Data!AH$7+IF($B$405=1,IF(Source_Data!AH$6=Inputs!$B$13,Source_Data!$C$8,0),Source_Data!AH$8)</f>
        <v>25.08917125</v>
      </c>
      <c r="AI407" s="33" t="n">
        <f aca="false">Source_Data!AI$7+IF($B$405=1,IF(Source_Data!AI$6=Inputs!$B$13,Source_Data!$C$8,0),Source_Data!AI$8)</f>
        <v>25.08917125</v>
      </c>
      <c r="AJ407" s="33" t="n">
        <f aca="false">Source_Data!AJ$7+IF($B$405=1,IF(Source_Data!AJ$6=Inputs!$B$13,Source_Data!$C$8,0),Source_Data!AJ$8)</f>
        <v>25.08917125</v>
      </c>
      <c r="AK407" s="33" t="n">
        <f aca="false">Source_Data!AK$7+IF($B$405=1,IF(Source_Data!AK$6=Inputs!$B$13,Source_Data!$C$8,0),Source_Data!AK$8)</f>
        <v>22.905105625</v>
      </c>
      <c r="AL407" s="33" t="n">
        <f aca="false">Source_Data!AL$7+IF($B$405=1,IF(Source_Data!AL$6=Inputs!$B$13,Source_Data!$C$8,0),Source_Data!AL$8)</f>
        <v>22.905105625</v>
      </c>
      <c r="AM407" s="33" t="n">
        <f aca="false">Source_Data!AM$7+IF($B$405=1,IF(Source_Data!AM$6=Inputs!$B$13,Source_Data!$C$8,0),Source_Data!AM$8)</f>
        <v>18.739554375</v>
      </c>
      <c r="AN407" s="33" t="n">
        <f aca="false">Source_Data!AN$7+IF($B$405=1,IF(Source_Data!AN$6=Inputs!$B$13,Source_Data!$C$8,0),Source_Data!AN$8)</f>
        <v>9.6261675</v>
      </c>
      <c r="AO407" s="33" t="n">
        <f aca="false">Source_Data!AO$7+IF($B$405=1,IF(Source_Data!AO$6=Inputs!$B$13,Source_Data!$C$8,0),Source_Data!AO$8)</f>
        <v>3.5704725</v>
      </c>
      <c r="AP407" s="33" t="n">
        <f aca="false">Source_Data!AP$7+IF($B$405=1,IF(Source_Data!AP$6=Inputs!$B$13,Source_Data!$C$8,0),Source_Data!AP$8)</f>
        <v>0</v>
      </c>
      <c r="AQ407" s="33" t="n">
        <f aca="false">Source_Data!AQ$7+IF($B$405=1,IF(Source_Data!AQ$6=Inputs!$B$13,Source_Data!$C$8,0),Source_Data!AQ$8)</f>
        <v>0</v>
      </c>
      <c r="AR407" s="33" t="n">
        <f aca="false">Source_Data!AR$7+IF($B$405=1,IF(Source_Data!AR$6=Inputs!$B$13,Source_Data!$C$8,0),Source_Data!AR$8)</f>
        <v>0</v>
      </c>
      <c r="AS407" s="33" t="n">
        <f aca="false">Source_Data!AS$7+IF($B$405=1,IF(Source_Data!AS$6=Inputs!$B$13,Source_Data!$C$8,0),Source_Data!AS$8)</f>
        <v>0</v>
      </c>
      <c r="AT407" s="33" t="n">
        <f aca="false">Source_Data!AT$7+IF($B$405=1,IF(Source_Data!AT$6=Inputs!$B$13,Source_Data!$C$8,0),Source_Data!AT$8)</f>
        <v>0</v>
      </c>
      <c r="AU407" s="33" t="n">
        <f aca="false">Source_Data!AU$7+IF($B$405=1,IF(Source_Data!AU$6=Inputs!$B$13,Source_Data!$C$8,0),Source_Data!AU$8)</f>
        <v>0</v>
      </c>
      <c r="AV407" s="33" t="n">
        <f aca="false">Source_Data!AV$7+IF($B$405=1,IF(Source_Data!AV$6=Inputs!$B$13,Source_Data!$C$8,0),Source_Data!AV$8)</f>
        <v>0</v>
      </c>
      <c r="AW407" s="33" t="n">
        <f aca="false">Source_Data!AW$7+IF($B$405=1,IF(Source_Data!AW$6=Inputs!$B$13,Source_Data!$C$8,0),Source_Data!AW$8)</f>
        <v>0</v>
      </c>
      <c r="AX407" s="33" t="n">
        <f aca="false">Source_Data!AX$7+IF($B$405=1,IF(Source_Data!AX$6=Inputs!$B$13,Source_Data!$C$8,0),Source_Data!AX$8)</f>
        <v>0</v>
      </c>
      <c r="AY407" s="33" t="n">
        <f aca="false">Source_Data!AY$7+IF($B$405=1,IF(Source_Data!AY$6=Inputs!$B$13,Source_Data!$C$8,0),Source_Data!AY$8)</f>
        <v>0</v>
      </c>
      <c r="AZ407" s="33" t="n">
        <f aca="false">Source_Data!AZ$7+IF($B$405=1,IF(Source_Data!AZ$6=Inputs!$B$13,Source_Data!$C$8,0),Source_Data!AZ$8)</f>
        <v>0</v>
      </c>
      <c r="BA407" s="33" t="n">
        <f aca="false">Source_Data!BA$7+IF($B$405=1,IF(Source_Data!BA$6=Inputs!$B$13,Source_Data!$C$8,0),Source_Data!BA$8)</f>
        <v>0</v>
      </c>
      <c r="BB407" s="33" t="n">
        <f aca="false">Source_Data!BB$7+IF($B$405=1,IF(Source_Data!BB$6=Inputs!$B$13,Source_Data!$C$8,0),Source_Data!BB$8)</f>
        <v>0</v>
      </c>
      <c r="BC407" s="33" t="n">
        <f aca="false">Source_Data!BC$7+IF($B$405=1,IF(Source_Data!BC$6=Inputs!$B$13,Source_Data!$C$8,0),Source_Data!BC$8)</f>
        <v>0</v>
      </c>
      <c r="BD407" s="33" t="n">
        <f aca="false">Source_Data!BD$7+IF($B$405=1,IF(Source_Data!BD$6=Inputs!$B$13,Source_Data!$C$8,0),Source_Data!BD$8)</f>
        <v>0</v>
      </c>
      <c r="BE407" s="33" t="n">
        <f aca="false">Source_Data!BE$7+IF($B$405=1,IF(Source_Data!BE$6=Inputs!$B$13,Source_Data!$C$8,0),Source_Data!BE$8)</f>
        <v>0</v>
      </c>
      <c r="BF407" s="33" t="n">
        <f aca="false">Source_Data!BF$7+IF($B$405=1,IF(Source_Data!BF$6=Inputs!$B$13,Source_Data!$C$8,0),Source_Data!BF$8)</f>
        <v>0</v>
      </c>
      <c r="BG407" s="33" t="n">
        <f aca="false">Source_Data!BG$7+IF($B$405=1,IF(Source_Data!BG$6=Inputs!$B$13,Source_Data!$C$8,0),Source_Data!BG$8)</f>
        <v>0</v>
      </c>
      <c r="BH407" s="33" t="n">
        <f aca="false">Source_Data!BH$7+IF($B$405=1,IF(Source_Data!BH$6=Inputs!$B$13,Source_Data!$C$8,0),Source_Data!BH$8)</f>
        <v>0</v>
      </c>
      <c r="BI407" s="33" t="n">
        <f aca="false">Source_Data!BI$7+IF($B$405=1,IF(Source_Data!BI$6=Inputs!$B$13,Source_Data!$C$8,0),Source_Data!BI$8)</f>
        <v>0</v>
      </c>
      <c r="BJ407" s="33" t="n">
        <f aca="false">Source_Data!BJ$7+IF($B$405=1,IF(Source_Data!BJ$6=Inputs!$B$13,Source_Data!$C$8,0),Source_Data!BJ$8)</f>
        <v>0</v>
      </c>
      <c r="BK407" s="33" t="n">
        <f aca="false">Source_Data!BK$7+IF($B$405=1,IF(Source_Data!BK$6=Inputs!$B$13,Source_Data!$C$8,0),Source_Data!BK$8)</f>
        <v>0</v>
      </c>
    </row>
    <row r="408" customFormat="false" ht="15" hidden="false" customHeight="false" outlineLevel="0" collapsed="false">
      <c r="A408" s="3" t="s">
        <v>338</v>
      </c>
      <c r="D408" s="33" t="n">
        <f aca="false">$B$401*IF(Source_Data!D$5-($B$402+$B$404)&gt;=1,INDEX($D$407:$BK$407,1,Source_Data!D$5-($B$402+$B$404)),0)</f>
        <v>0</v>
      </c>
      <c r="E408" s="33" t="n">
        <f aca="false">$B$401*IF(Source_Data!E$5-($B$402+$B$404)&gt;=1,INDEX($D$407:$BK$407,1,Source_Data!E$5-($B$402+$B$404)),0)</f>
        <v>0</v>
      </c>
      <c r="F408" s="33" t="n">
        <f aca="false">$B$401*IF(Source_Data!F$5-($B$402+$B$404)&gt;=1,INDEX($D$407:$BK$407,1,Source_Data!F$5-($B$402+$B$404)),0)</f>
        <v>0</v>
      </c>
      <c r="G408" s="33" t="n">
        <f aca="false">$B$401*IF(Source_Data!G$5-($B$402+$B$404)&gt;=1,INDEX($D$407:$BK$407,1,Source_Data!G$5-($B$402+$B$404)),0)</f>
        <v>0</v>
      </c>
      <c r="H408" s="33" t="n">
        <f aca="false">$B$401*IF(Source_Data!H$5-($B$402+$B$404)&gt;=1,INDEX($D$407:$BK$407,1,Source_Data!H$5-($B$402+$B$404)),0)</f>
        <v>15.1392375</v>
      </c>
      <c r="I408" s="33" t="n">
        <f aca="false">$B$401*IF(Source_Data!I$5-($B$402+$B$404)&gt;=1,INDEX($D$407:$BK$407,1,Source_Data!I$5-($B$402+$B$404)),0)</f>
        <v>30.278475</v>
      </c>
      <c r="J408" s="33" t="n">
        <f aca="false">$B$401*IF(Source_Data!J$5-($B$402+$B$404)&gt;=1,INDEX($D$407:$BK$407,1,Source_Data!J$5-($B$402+$B$404)),0)</f>
        <v>46.51200625</v>
      </c>
      <c r="K408" s="33" t="n">
        <f aca="false">$B$401*IF(Source_Data!K$5-($B$402+$B$404)&gt;=1,INDEX($D$407:$BK$407,1,Source_Data!K$5-($B$402+$B$404)),0)</f>
        <v>62.7455375</v>
      </c>
      <c r="L408" s="33" t="n">
        <f aca="false">$B$401*IF(Source_Data!L$5-($B$402+$B$404)&gt;=1,INDEX($D$407:$BK$407,1,Source_Data!L$5-($B$402+$B$404)),0)</f>
        <v>62.3657</v>
      </c>
      <c r="M408" s="33" t="n">
        <f aca="false">$B$401*IF(Source_Data!M$5-($B$402+$B$404)&gt;=1,INDEX($D$407:$BK$407,1,Source_Data!M$5-($B$402+$B$404)),0)</f>
        <v>63.473559375</v>
      </c>
      <c r="N408" s="33" t="n">
        <f aca="false">$B$401*IF(Source_Data!N$5-($B$402+$B$404)&gt;=1,INDEX($D$407:$BK$407,1,Source_Data!N$5-($B$402+$B$404)),0)</f>
        <v>80.3288484375</v>
      </c>
      <c r="O408" s="33" t="n">
        <f aca="false">$B$401*IF(Source_Data!O$5-($B$402+$B$404)&gt;=1,INDEX($D$407:$BK$407,1,Source_Data!O$5-($B$402+$B$404)),0)</f>
        <v>495.2538375</v>
      </c>
      <c r="P408" s="33" t="n">
        <f aca="false">$B$401*IF(Source_Data!P$5-($B$402+$B$404)&gt;=1,INDEX($D$407:$BK$407,1,Source_Data!P$5-($B$402+$B$404)),0)</f>
        <v>185.57775</v>
      </c>
      <c r="Q408" s="33" t="n">
        <f aca="false">$B$401*IF(Source_Data!Q$5-($B$402+$B$404)&gt;=1,INDEX($D$407:$BK$407,1,Source_Data!Q$5-($B$402+$B$404)),0)</f>
        <v>176.534</v>
      </c>
      <c r="R408" s="33" t="n">
        <f aca="false">$B$401*IF(Source_Data!R$5-($B$402+$B$404)&gt;=1,INDEX($D$407:$BK$407,1,Source_Data!R$5-($B$402+$B$404)),0)</f>
        <v>97.31075</v>
      </c>
      <c r="S408" s="33" t="n">
        <f aca="false">$B$401*IF(Source_Data!S$5-($B$402+$B$404)&gt;=1,INDEX($D$407:$BK$407,1,Source_Data!S$5-($B$402+$B$404)),0)</f>
        <v>71.30996875</v>
      </c>
      <c r="T408" s="33" t="n">
        <f aca="false">$B$401*IF(Source_Data!T$5-($B$402+$B$404)&gt;=1,INDEX($D$407:$BK$407,1,Source_Data!T$5-($B$402+$B$404)),0)</f>
        <v>71.30996875</v>
      </c>
      <c r="U408" s="33" t="n">
        <f aca="false">$B$401*IF(Source_Data!U$5-($B$402+$B$404)&gt;=1,INDEX($D$407:$BK$407,1,Source_Data!U$5-($B$402+$B$404)),0)</f>
        <v>68.037035625</v>
      </c>
      <c r="V408" s="33" t="n">
        <f aca="false">$B$401*IF(Source_Data!V$5-($B$402+$B$404)&gt;=1,INDEX($D$407:$BK$407,1,Source_Data!V$5-($B$402+$B$404)),0)</f>
        <v>61.2266396875</v>
      </c>
      <c r="W408" s="33" t="n">
        <f aca="false">$B$401*IF(Source_Data!W$5-($B$402+$B$404)&gt;=1,INDEX($D$407:$BK$407,1,Source_Data!W$5-($B$402+$B$404)),0)</f>
        <v>59.7127159375</v>
      </c>
      <c r="X408" s="33" t="n">
        <f aca="false">$B$401*IF(Source_Data!X$5-($B$402+$B$404)&gt;=1,INDEX($D$407:$BK$407,1,Source_Data!X$5-($B$402+$B$404)),0)</f>
        <v>53.7239446875</v>
      </c>
      <c r="Y408" s="33" t="n">
        <f aca="false">$B$401*IF(Source_Data!Y$5-($B$402+$B$404)&gt;=1,INDEX($D$407:$BK$407,1,Source_Data!Y$5-($B$402+$B$404)),0)</f>
        <v>49.3829446875</v>
      </c>
      <c r="Z408" s="33" t="n">
        <f aca="false">$B$401*IF(Source_Data!Z$5-($B$402+$B$404)&gt;=1,INDEX($D$407:$BK$407,1,Source_Data!Z$5-($B$402+$B$404)),0)</f>
        <v>49.3829446875</v>
      </c>
      <c r="AA408" s="33" t="n">
        <f aca="false">$B$401*IF(Source_Data!AA$5-($B$402+$B$404)&gt;=1,INDEX($D$407:$BK$407,1,Source_Data!AA$5-($B$402+$B$404)),0)</f>
        <v>42.1027259375</v>
      </c>
      <c r="AB408" s="33" t="n">
        <f aca="false">$B$401*IF(Source_Data!AB$5-($B$402+$B$404)&gt;=1,INDEX($D$407:$BK$407,1,Source_Data!AB$5-($B$402+$B$404)),0)</f>
        <v>42.1027259375</v>
      </c>
      <c r="AC408" s="33" t="n">
        <f aca="false">$B$401*IF(Source_Data!AC$5-($B$402+$B$404)&gt;=1,INDEX($D$407:$BK$407,1,Source_Data!AC$5-($B$402+$B$404)),0)</f>
        <v>42.1027259375</v>
      </c>
      <c r="AD408" s="33" t="n">
        <f aca="false">$B$401*IF(Source_Data!AD$5-($B$402+$B$404)&gt;=1,INDEX($D$407:$BK$407,1,Source_Data!AD$5-($B$402+$B$404)),0)</f>
        <v>36.3147259375</v>
      </c>
      <c r="AE408" s="33" t="n">
        <f aca="false">$B$401*IF(Source_Data!AE$5-($B$402+$B$404)&gt;=1,INDEX($D$407:$BK$407,1,Source_Data!AE$5-($B$402+$B$404)),0)</f>
        <v>33.0386275</v>
      </c>
      <c r="AF408" s="33" t="n">
        <f aca="false">$B$401*IF(Source_Data!AF$5-($B$402+$B$404)&gt;=1,INDEX($D$407:$BK$407,1,Source_Data!AF$5-($B$402+$B$404)),0)</f>
        <v>29.43017125</v>
      </c>
      <c r="AG408" s="33" t="n">
        <f aca="false">$B$401*IF(Source_Data!AG$5-($B$402+$B$404)&gt;=1,INDEX($D$407:$BK$407,1,Source_Data!AG$5-($B$402+$B$404)),0)</f>
        <v>25.08917125</v>
      </c>
      <c r="AH408" s="33" t="n">
        <f aca="false">$B$401*IF(Source_Data!AH$5-($B$402+$B$404)&gt;=1,INDEX($D$407:$BK$407,1,Source_Data!AH$5-($B$402+$B$404)),0)</f>
        <v>25.08917125</v>
      </c>
      <c r="AI408" s="33" t="n">
        <f aca="false">$B$401*IF(Source_Data!AI$5-($B$402+$B$404)&gt;=1,INDEX($D$407:$BK$407,1,Source_Data!AI$5-($B$402+$B$404)),0)</f>
        <v>25.08917125</v>
      </c>
      <c r="AJ408" s="33" t="n">
        <f aca="false">$B$401*IF(Source_Data!AJ$5-($B$402+$B$404)&gt;=1,INDEX($D$407:$BK$407,1,Source_Data!AJ$5-($B$402+$B$404)),0)</f>
        <v>25.08917125</v>
      </c>
      <c r="AK408" s="33" t="n">
        <f aca="false">$B$401*IF(Source_Data!AK$5-($B$402+$B$404)&gt;=1,INDEX($D$407:$BK$407,1,Source_Data!AK$5-($B$402+$B$404)),0)</f>
        <v>25.08917125</v>
      </c>
      <c r="AL408" s="33" t="n">
        <f aca="false">$B$401*IF(Source_Data!AL$5-($B$402+$B$404)&gt;=1,INDEX($D$407:$BK$407,1,Source_Data!AL$5-($B$402+$B$404)),0)</f>
        <v>25.08917125</v>
      </c>
      <c r="AM408" s="33" t="n">
        <f aca="false">$B$401*IF(Source_Data!AM$5-($B$402+$B$404)&gt;=1,INDEX($D$407:$BK$407,1,Source_Data!AM$5-($B$402+$B$404)),0)</f>
        <v>22.905105625</v>
      </c>
      <c r="AN408" s="33" t="n">
        <f aca="false">$B$401*IF(Source_Data!AN$5-($B$402+$B$404)&gt;=1,INDEX($D$407:$BK$407,1,Source_Data!AN$5-($B$402+$B$404)),0)</f>
        <v>22.905105625</v>
      </c>
      <c r="AO408" s="33" t="n">
        <f aca="false">$B$401*IF(Source_Data!AO$5-($B$402+$B$404)&gt;=1,INDEX($D$407:$BK$407,1,Source_Data!AO$5-($B$402+$B$404)),0)</f>
        <v>18.739554375</v>
      </c>
      <c r="AP408" s="33" t="n">
        <f aca="false">$B$401*IF(Source_Data!AP$5-($B$402+$B$404)&gt;=1,INDEX($D$407:$BK$407,1,Source_Data!AP$5-($B$402+$B$404)),0)</f>
        <v>9.6261675</v>
      </c>
      <c r="AQ408" s="33" t="n">
        <f aca="false">$B$401*IF(Source_Data!AQ$5-($B$402+$B$404)&gt;=1,INDEX($D$407:$BK$407,1,Source_Data!AQ$5-($B$402+$B$404)),0)</f>
        <v>3.5704725</v>
      </c>
      <c r="AR408" s="33" t="n">
        <f aca="false">$B$401*IF(Source_Data!AR$5-($B$402+$B$404)&gt;=1,INDEX($D$407:$BK$407,1,Source_Data!AR$5-($B$402+$B$404)),0)</f>
        <v>0</v>
      </c>
      <c r="AS408" s="33" t="n">
        <f aca="false">$B$401*IF(Source_Data!AS$5-($B$402+$B$404)&gt;=1,INDEX($D$407:$BK$407,1,Source_Data!AS$5-($B$402+$B$404)),0)</f>
        <v>0</v>
      </c>
      <c r="AT408" s="33" t="n">
        <f aca="false">$B$401*IF(Source_Data!AT$5-($B$402+$B$404)&gt;=1,INDEX($D$407:$BK$407,1,Source_Data!AT$5-($B$402+$B$404)),0)</f>
        <v>0</v>
      </c>
      <c r="AU408" s="33" t="n">
        <f aca="false">$B$401*IF(Source_Data!AU$5-($B$402+$B$404)&gt;=1,INDEX($D$407:$BK$407,1,Source_Data!AU$5-($B$402+$B$404)),0)</f>
        <v>0</v>
      </c>
      <c r="AV408" s="33" t="n">
        <f aca="false">$B$401*IF(Source_Data!AV$5-($B$402+$B$404)&gt;=1,INDEX($D$407:$BK$407,1,Source_Data!AV$5-($B$402+$B$404)),0)</f>
        <v>0</v>
      </c>
      <c r="AW408" s="33" t="n">
        <f aca="false">$B$401*IF(Source_Data!AW$5-($B$402+$B$404)&gt;=1,INDEX($D$407:$BK$407,1,Source_Data!AW$5-($B$402+$B$404)),0)</f>
        <v>0</v>
      </c>
      <c r="AX408" s="33" t="n">
        <f aca="false">$B$401*IF(Source_Data!AX$5-($B$402+$B$404)&gt;=1,INDEX($D$407:$BK$407,1,Source_Data!AX$5-($B$402+$B$404)),0)</f>
        <v>0</v>
      </c>
      <c r="AY408" s="33" t="n">
        <f aca="false">$B$401*IF(Source_Data!AY$5-($B$402+$B$404)&gt;=1,INDEX($D$407:$BK$407,1,Source_Data!AY$5-($B$402+$B$404)),0)</f>
        <v>0</v>
      </c>
      <c r="AZ408" s="33" t="n">
        <f aca="false">$B$401*IF(Source_Data!AZ$5-($B$402+$B$404)&gt;=1,INDEX($D$407:$BK$407,1,Source_Data!AZ$5-($B$402+$B$404)),0)</f>
        <v>0</v>
      </c>
      <c r="BA408" s="33" t="n">
        <f aca="false">$B$401*IF(Source_Data!BA$5-($B$402+$B$404)&gt;=1,INDEX($D$407:$BK$407,1,Source_Data!BA$5-($B$402+$B$404)),0)</f>
        <v>0</v>
      </c>
      <c r="BB408" s="33" t="n">
        <f aca="false">$B$401*IF(Source_Data!BB$5-($B$402+$B$404)&gt;=1,INDEX($D$407:$BK$407,1,Source_Data!BB$5-($B$402+$B$404)),0)</f>
        <v>0</v>
      </c>
      <c r="BC408" s="33" t="n">
        <f aca="false">$B$401*IF(Source_Data!BC$5-($B$402+$B$404)&gt;=1,INDEX($D$407:$BK$407,1,Source_Data!BC$5-($B$402+$B$404)),0)</f>
        <v>0</v>
      </c>
      <c r="BD408" s="33" t="n">
        <f aca="false">$B$401*IF(Source_Data!BD$5-($B$402+$B$404)&gt;=1,INDEX($D$407:$BK$407,1,Source_Data!BD$5-($B$402+$B$404)),0)</f>
        <v>0</v>
      </c>
      <c r="BE408" s="33" t="n">
        <f aca="false">$B$401*IF(Source_Data!BE$5-($B$402+$B$404)&gt;=1,INDEX($D$407:$BK$407,1,Source_Data!BE$5-($B$402+$B$404)),0)</f>
        <v>0</v>
      </c>
      <c r="BF408" s="33" t="n">
        <f aca="false">$B$401*IF(Source_Data!BF$5-($B$402+$B$404)&gt;=1,INDEX($D$407:$BK$407,1,Source_Data!BF$5-($B$402+$B$404)),0)</f>
        <v>0</v>
      </c>
      <c r="BG408" s="33" t="n">
        <f aca="false">$B$401*IF(Source_Data!BG$5-($B$402+$B$404)&gt;=1,INDEX($D$407:$BK$407,1,Source_Data!BG$5-($B$402+$B$404)),0)</f>
        <v>0</v>
      </c>
      <c r="BH408" s="33" t="n">
        <f aca="false">$B$401*IF(Source_Data!BH$5-($B$402+$B$404)&gt;=1,INDEX($D$407:$BK$407,1,Source_Data!BH$5-($B$402+$B$404)),0)</f>
        <v>0</v>
      </c>
      <c r="BI408" s="33" t="n">
        <f aca="false">$B$401*IF(Source_Data!BI$5-($B$402+$B$404)&gt;=1,INDEX($D$407:$BK$407,1,Source_Data!BI$5-($B$402+$B$404)),0)</f>
        <v>0</v>
      </c>
      <c r="BJ408" s="33" t="n">
        <f aca="false">$B$401*IF(Source_Data!BJ$5-($B$402+$B$404)&gt;=1,INDEX($D$407:$BK$407,1,Source_Data!BJ$5-($B$402+$B$404)),0)</f>
        <v>0</v>
      </c>
      <c r="BK408" s="33" t="n">
        <f aca="false">$B$401*IF(Source_Data!BK$5-($B$402+$B$404)&gt;=1,INDEX($D$407:$BK$407,1,Source_Data!BK$5-($B$402+$B$404)),0)</f>
        <v>0</v>
      </c>
    </row>
    <row r="409" customFormat="false" ht="15" hidden="false" customHeight="false" outlineLevel="0" collapsed="false">
      <c r="A409" s="3" t="s">
        <v>339</v>
      </c>
      <c r="D409" s="33" t="n">
        <f aca="false">Source_Data!D$9+Source_Data!D$10*IF(Source_Data!$C$10=0,0,MAX(0,Inputs!$B$19*Inputs!$B$22*$B$401-Inputs!$B$20)/Source_Data!$C$10)</f>
        <v>91.25</v>
      </c>
      <c r="E409" s="33" t="n">
        <f aca="false">Source_Data!E$9+Source_Data!E$10*IF(Source_Data!$C$10=0,0,MAX(0,Inputs!$B$19*Inputs!$B$22*$B$401-Inputs!$B$20)/Source_Data!$C$10)</f>
        <v>11.25</v>
      </c>
      <c r="F409" s="33" t="n">
        <f aca="false">Source_Data!F$9+Source_Data!F$10*IF(Source_Data!$C$10=0,0,MAX(0,Inputs!$B$19*Inputs!$B$22*$B$401-Inputs!$B$20)/Source_Data!$C$10)</f>
        <v>11.25</v>
      </c>
      <c r="G409" s="33" t="n">
        <f aca="false">Source_Data!G$9+Source_Data!G$10*IF(Source_Data!$C$10=0,0,MAX(0,Inputs!$B$19*Inputs!$B$22*$B$401-Inputs!$B$20)/Source_Data!$C$10)</f>
        <v>11.25</v>
      </c>
      <c r="H409" s="33" t="n">
        <f aca="false">Source_Data!H$9+Source_Data!H$10*IF(Source_Data!$C$10=0,0,MAX(0,Inputs!$B$19*Inputs!$B$22*$B$401-Inputs!$B$20)/Source_Data!$C$10)</f>
        <v>22.5</v>
      </c>
      <c r="I409" s="33" t="n">
        <f aca="false">Source_Data!I$9+Source_Data!I$10*IF(Source_Data!$C$10=0,0,MAX(0,Inputs!$B$19*Inputs!$B$22*$B$401-Inputs!$B$20)/Source_Data!$C$10)</f>
        <v>22.5</v>
      </c>
      <c r="J409" s="33" t="n">
        <f aca="false">Source_Data!J$9+Source_Data!J$10*IF(Source_Data!$C$10=0,0,MAX(0,Inputs!$B$19*Inputs!$B$22*$B$401-Inputs!$B$20)/Source_Data!$C$10)</f>
        <v>22.5</v>
      </c>
      <c r="K409" s="33" t="n">
        <f aca="false">Source_Data!K$9+Source_Data!K$10*IF(Source_Data!$C$10=0,0,MAX(0,Inputs!$B$19*Inputs!$B$22*$B$401-Inputs!$B$20)/Source_Data!$C$10)</f>
        <v>22.5</v>
      </c>
      <c r="L409" s="33" t="n">
        <f aca="false">Source_Data!L$9+Source_Data!L$10*IF(Source_Data!$C$10=0,0,MAX(0,Inputs!$B$19*Inputs!$B$22*$B$401-Inputs!$B$20)/Source_Data!$C$10)</f>
        <v>33.75</v>
      </c>
      <c r="M409" s="33" t="n">
        <f aca="false">Source_Data!M$9+Source_Data!M$10*IF(Source_Data!$C$10=0,0,MAX(0,Inputs!$B$19*Inputs!$B$22*$B$401-Inputs!$B$20)/Source_Data!$C$10)</f>
        <v>33.75</v>
      </c>
      <c r="N409" s="33" t="n">
        <f aca="false">Source_Data!N$9+Source_Data!N$10*IF(Source_Data!$C$10=0,0,MAX(0,Inputs!$B$19*Inputs!$B$22*$B$401-Inputs!$B$20)/Source_Data!$C$10)</f>
        <v>33.75</v>
      </c>
      <c r="O409" s="33" t="n">
        <f aca="false">Source_Data!O$9+Source_Data!O$10*IF(Source_Data!$C$10=0,0,MAX(0,Inputs!$B$19*Inputs!$B$22*$B$401-Inputs!$B$20)/Source_Data!$C$10)</f>
        <v>33.75</v>
      </c>
      <c r="P409" s="33" t="n">
        <f aca="false">Source_Data!P$9+Source_Data!P$10*IF(Source_Data!$C$10=0,0,MAX(0,Inputs!$B$19*Inputs!$B$22*$B$401-Inputs!$B$20)/Source_Data!$C$10)</f>
        <v>45</v>
      </c>
      <c r="Q409" s="33" t="n">
        <f aca="false">Source_Data!Q$9+Source_Data!Q$10*IF(Source_Data!$C$10=0,0,MAX(0,Inputs!$B$19*Inputs!$B$22*$B$401-Inputs!$B$20)/Source_Data!$C$10)</f>
        <v>45</v>
      </c>
      <c r="R409" s="33" t="n">
        <f aca="false">Source_Data!R$9+Source_Data!R$10*IF(Source_Data!$C$10=0,0,MAX(0,Inputs!$B$19*Inputs!$B$22*$B$401-Inputs!$B$20)/Source_Data!$C$10)</f>
        <v>45</v>
      </c>
      <c r="S409" s="33" t="n">
        <f aca="false">Source_Data!S$9+Source_Data!S$10*IF(Source_Data!$C$10=0,0,MAX(0,Inputs!$B$19*Inputs!$B$22*$B$401-Inputs!$B$20)/Source_Data!$C$10)</f>
        <v>45</v>
      </c>
      <c r="T409" s="33" t="n">
        <f aca="false">Source_Data!T$9+Source_Data!T$10*IF(Source_Data!$C$10=0,0,MAX(0,Inputs!$B$19*Inputs!$B$22*$B$401-Inputs!$B$20)/Source_Data!$C$10)</f>
        <v>45</v>
      </c>
      <c r="U409" s="33" t="n">
        <f aca="false">Source_Data!U$9+Source_Data!U$10*IF(Source_Data!$C$10=0,0,MAX(0,Inputs!$B$19*Inputs!$B$22*$B$401-Inputs!$B$20)/Source_Data!$C$10)</f>
        <v>45</v>
      </c>
      <c r="V409" s="33" t="n">
        <f aca="false">Source_Data!V$9+Source_Data!V$10*IF(Source_Data!$C$10=0,0,MAX(0,Inputs!$B$19*Inputs!$B$22*$B$401-Inputs!$B$20)/Source_Data!$C$10)</f>
        <v>45</v>
      </c>
      <c r="W409" s="33" t="n">
        <f aca="false">Source_Data!W$9+Source_Data!W$10*IF(Source_Data!$C$10=0,0,MAX(0,Inputs!$B$19*Inputs!$B$22*$B$401-Inputs!$B$20)/Source_Data!$C$10)</f>
        <v>45</v>
      </c>
      <c r="X409" s="33" t="n">
        <f aca="false">Source_Data!X$9+Source_Data!X$10*IF(Source_Data!$C$10=0,0,MAX(0,Inputs!$B$19*Inputs!$B$22*$B$401-Inputs!$B$20)/Source_Data!$C$10)</f>
        <v>22.5</v>
      </c>
      <c r="Y409" s="33" t="n">
        <f aca="false">Source_Data!Y$9+Source_Data!Y$10*IF(Source_Data!$C$10=0,0,MAX(0,Inputs!$B$19*Inputs!$B$22*$B$401-Inputs!$B$20)/Source_Data!$C$10)</f>
        <v>22.5</v>
      </c>
      <c r="Z409" s="33" t="n">
        <f aca="false">Source_Data!Z$9+Source_Data!Z$10*IF(Source_Data!$C$10=0,0,MAX(0,Inputs!$B$19*Inputs!$B$22*$B$401-Inputs!$B$20)/Source_Data!$C$10)</f>
        <v>22.5</v>
      </c>
      <c r="AA409" s="33" t="n">
        <f aca="false">Source_Data!AA$9+Source_Data!AA$10*IF(Source_Data!$C$10=0,0,MAX(0,Inputs!$B$19*Inputs!$B$22*$B$401-Inputs!$B$20)/Source_Data!$C$10)</f>
        <v>22.5</v>
      </c>
      <c r="AB409" s="33" t="n">
        <f aca="false">Source_Data!AB$9+Source_Data!AB$10*IF(Source_Data!$C$10=0,0,MAX(0,Inputs!$B$19*Inputs!$B$22*$B$401-Inputs!$B$20)/Source_Data!$C$10)</f>
        <v>0</v>
      </c>
      <c r="AC409" s="33" t="n">
        <f aca="false">Source_Data!AC$9+Source_Data!AC$10*IF(Source_Data!$C$10=0,0,MAX(0,Inputs!$B$19*Inputs!$B$22*$B$401-Inputs!$B$20)/Source_Data!$C$10)</f>
        <v>0</v>
      </c>
      <c r="AD409" s="33" t="n">
        <f aca="false">Source_Data!AD$9+Source_Data!AD$10*IF(Source_Data!$C$10=0,0,MAX(0,Inputs!$B$19*Inputs!$B$22*$B$401-Inputs!$B$20)/Source_Data!$C$10)</f>
        <v>0</v>
      </c>
      <c r="AE409" s="33" t="n">
        <f aca="false">Source_Data!AE$9+Source_Data!AE$10*IF(Source_Data!$C$10=0,0,MAX(0,Inputs!$B$19*Inputs!$B$22*$B$401-Inputs!$B$20)/Source_Data!$C$10)</f>
        <v>0</v>
      </c>
      <c r="AF409" s="33" t="n">
        <f aca="false">Source_Data!AF$9+Source_Data!AF$10*IF(Source_Data!$C$10=0,0,MAX(0,Inputs!$B$19*Inputs!$B$22*$B$401-Inputs!$B$20)/Source_Data!$C$10)</f>
        <v>107.758210351563</v>
      </c>
      <c r="AG409" s="33" t="n">
        <f aca="false">Source_Data!AG$9+Source_Data!AG$10*IF(Source_Data!$C$10=0,0,MAX(0,Inputs!$B$19*Inputs!$B$22*$B$401-Inputs!$B$20)/Source_Data!$C$10)</f>
        <v>10.976512421875</v>
      </c>
      <c r="AH409" s="33" t="n">
        <f aca="false">Source_Data!AH$9+Source_Data!AH$10*IF(Source_Data!$C$10=0,0,MAX(0,Inputs!$B$19*Inputs!$B$22*$B$401-Inputs!$B$20)/Source_Data!$C$10)</f>
        <v>10.976512421875</v>
      </c>
      <c r="AI409" s="33" t="n">
        <f aca="false">Source_Data!AI$9+Source_Data!AI$10*IF(Source_Data!$C$10=0,0,MAX(0,Inputs!$B$19*Inputs!$B$22*$B$401-Inputs!$B$20)/Source_Data!$C$10)</f>
        <v>10.976512421875</v>
      </c>
      <c r="AJ409" s="33" t="n">
        <f aca="false">Source_Data!AJ$9+Source_Data!AJ$10*IF(Source_Data!$C$10=0,0,MAX(0,Inputs!$B$19*Inputs!$B$22*$B$401-Inputs!$B$20)/Source_Data!$C$10)</f>
        <v>10.976512421875</v>
      </c>
      <c r="AK409" s="33" t="n">
        <f aca="false">Source_Data!AK$9+Source_Data!AK$10*IF(Source_Data!$C$10=0,0,MAX(0,Inputs!$B$19*Inputs!$B$22*$B$401-Inputs!$B$20)/Source_Data!$C$10)</f>
        <v>10.0209837109375</v>
      </c>
      <c r="AL409" s="33" t="n">
        <f aca="false">Source_Data!AL$9+Source_Data!AL$10*IF(Source_Data!$C$10=0,0,MAX(0,Inputs!$B$19*Inputs!$B$22*$B$401-Inputs!$B$20)/Source_Data!$C$10)</f>
        <v>10.0209837109375</v>
      </c>
      <c r="AM409" s="33" t="n">
        <f aca="false">Source_Data!AM$9+Source_Data!AM$10*IF(Source_Data!$C$10=0,0,MAX(0,Inputs!$B$19*Inputs!$B$22*$B$401-Inputs!$B$20)/Source_Data!$C$10)</f>
        <v>8.19855503906249</v>
      </c>
      <c r="AN409" s="33" t="n">
        <f aca="false">Source_Data!AN$9+Source_Data!AN$10*IF(Source_Data!$C$10=0,0,MAX(0,Inputs!$B$19*Inputs!$B$22*$B$401-Inputs!$B$20)/Source_Data!$C$10)</f>
        <v>4.21144828125</v>
      </c>
      <c r="AO409" s="33" t="n">
        <f aca="false">Source_Data!AO$9+Source_Data!AO$10*IF(Source_Data!$C$10=0,0,MAX(0,Inputs!$B$19*Inputs!$B$22*$B$401-Inputs!$B$20)/Source_Data!$C$10)</f>
        <v>1.56208171875</v>
      </c>
      <c r="AP409" s="33" t="n">
        <f aca="false">Source_Data!AP$9+Source_Data!AP$10*IF(Source_Data!$C$10=0,0,MAX(0,Inputs!$B$19*Inputs!$B$22*$B$401-Inputs!$B$20)/Source_Data!$C$10)</f>
        <v>0</v>
      </c>
      <c r="AQ409" s="33" t="n">
        <f aca="false">Source_Data!AQ$9+Source_Data!AQ$10*IF(Source_Data!$C$10=0,0,MAX(0,Inputs!$B$19*Inputs!$B$22*$B$401-Inputs!$B$20)/Source_Data!$C$10)</f>
        <v>0</v>
      </c>
      <c r="AR409" s="33" t="n">
        <f aca="false">Source_Data!AR$9+Source_Data!AR$10*IF(Source_Data!$C$10=0,0,MAX(0,Inputs!$B$19*Inputs!$B$22*$B$401-Inputs!$B$20)/Source_Data!$C$10)</f>
        <v>0</v>
      </c>
      <c r="AS409" s="33" t="n">
        <f aca="false">Source_Data!AS$9+Source_Data!AS$10*IF(Source_Data!$C$10=0,0,MAX(0,Inputs!$B$19*Inputs!$B$22*$B$401-Inputs!$B$20)/Source_Data!$C$10)</f>
        <v>0</v>
      </c>
      <c r="AT409" s="33" t="n">
        <f aca="false">Source_Data!AT$9+Source_Data!AT$10*IF(Source_Data!$C$10=0,0,MAX(0,Inputs!$B$19*Inputs!$B$22*$B$401-Inputs!$B$20)/Source_Data!$C$10)</f>
        <v>0</v>
      </c>
      <c r="AU409" s="33" t="n">
        <f aca="false">Source_Data!AU$9+Source_Data!AU$10*IF(Source_Data!$C$10=0,0,MAX(0,Inputs!$B$19*Inputs!$B$22*$B$401-Inputs!$B$20)/Source_Data!$C$10)</f>
        <v>0</v>
      </c>
      <c r="AV409" s="33" t="n">
        <f aca="false">Source_Data!AV$9+Source_Data!AV$10*IF(Source_Data!$C$10=0,0,MAX(0,Inputs!$B$19*Inputs!$B$22*$B$401-Inputs!$B$20)/Source_Data!$C$10)</f>
        <v>0</v>
      </c>
      <c r="AW409" s="33" t="n">
        <f aca="false">Source_Data!AW$9+Source_Data!AW$10*IF(Source_Data!$C$10=0,0,MAX(0,Inputs!$B$19*Inputs!$B$22*$B$401-Inputs!$B$20)/Source_Data!$C$10)</f>
        <v>0</v>
      </c>
      <c r="AX409" s="33" t="n">
        <f aca="false">Source_Data!AX$9+Source_Data!AX$10*IF(Source_Data!$C$10=0,0,MAX(0,Inputs!$B$19*Inputs!$B$22*$B$401-Inputs!$B$20)/Source_Data!$C$10)</f>
        <v>0</v>
      </c>
      <c r="AY409" s="33" t="n">
        <f aca="false">Source_Data!AY$9+Source_Data!AY$10*IF(Source_Data!$C$10=0,0,MAX(0,Inputs!$B$19*Inputs!$B$22*$B$401-Inputs!$B$20)/Source_Data!$C$10)</f>
        <v>0</v>
      </c>
      <c r="AZ409" s="33" t="n">
        <f aca="false">Source_Data!AZ$9+Source_Data!AZ$10*IF(Source_Data!$C$10=0,0,MAX(0,Inputs!$B$19*Inputs!$B$22*$B$401-Inputs!$B$20)/Source_Data!$C$10)</f>
        <v>0</v>
      </c>
      <c r="BA409" s="33" t="n">
        <f aca="false">Source_Data!BA$9+Source_Data!BA$10*IF(Source_Data!$C$10=0,0,MAX(0,Inputs!$B$19*Inputs!$B$22*$B$401-Inputs!$B$20)/Source_Data!$C$10)</f>
        <v>0</v>
      </c>
      <c r="BB409" s="33" t="n">
        <f aca="false">Source_Data!BB$9+Source_Data!BB$10*IF(Source_Data!$C$10=0,0,MAX(0,Inputs!$B$19*Inputs!$B$22*$B$401-Inputs!$B$20)/Source_Data!$C$10)</f>
        <v>0</v>
      </c>
      <c r="BC409" s="33" t="n">
        <f aca="false">Source_Data!BC$9+Source_Data!BC$10*IF(Source_Data!$C$10=0,0,MAX(0,Inputs!$B$19*Inputs!$B$22*$B$401-Inputs!$B$20)/Source_Data!$C$10)</f>
        <v>0</v>
      </c>
      <c r="BD409" s="33" t="n">
        <f aca="false">Source_Data!BD$9+Source_Data!BD$10*IF(Source_Data!$C$10=0,0,MAX(0,Inputs!$B$19*Inputs!$B$22*$B$401-Inputs!$B$20)/Source_Data!$C$10)</f>
        <v>0</v>
      </c>
      <c r="BE409" s="33" t="n">
        <f aca="false">Source_Data!BE$9+Source_Data!BE$10*IF(Source_Data!$C$10=0,0,MAX(0,Inputs!$B$19*Inputs!$B$22*$B$401-Inputs!$B$20)/Source_Data!$C$10)</f>
        <v>0</v>
      </c>
      <c r="BF409" s="33" t="n">
        <f aca="false">Source_Data!BF$9+Source_Data!BF$10*IF(Source_Data!$C$10=0,0,MAX(0,Inputs!$B$19*Inputs!$B$22*$B$401-Inputs!$B$20)/Source_Data!$C$10)</f>
        <v>0</v>
      </c>
      <c r="BG409" s="33" t="n">
        <f aca="false">Source_Data!BG$9+Source_Data!BG$10*IF(Source_Data!$C$10=0,0,MAX(0,Inputs!$B$19*Inputs!$B$22*$B$401-Inputs!$B$20)/Source_Data!$C$10)</f>
        <v>0</v>
      </c>
      <c r="BH409" s="33" t="n">
        <f aca="false">Source_Data!BH$9+Source_Data!BH$10*IF(Source_Data!$C$10=0,0,MAX(0,Inputs!$B$19*Inputs!$B$22*$B$401-Inputs!$B$20)/Source_Data!$C$10)</f>
        <v>0</v>
      </c>
      <c r="BI409" s="33" t="n">
        <f aca="false">Source_Data!BI$9+Source_Data!BI$10*IF(Source_Data!$C$10=0,0,MAX(0,Inputs!$B$19*Inputs!$B$22*$B$401-Inputs!$B$20)/Source_Data!$C$10)</f>
        <v>0</v>
      </c>
      <c r="BJ409" s="33" t="n">
        <f aca="false">Source_Data!BJ$9+Source_Data!BJ$10*IF(Source_Data!$C$10=0,0,MAX(0,Inputs!$B$19*Inputs!$B$22*$B$401-Inputs!$B$20)/Source_Data!$C$10)</f>
        <v>0</v>
      </c>
      <c r="BK409" s="33" t="n">
        <f aca="false">Source_Data!BK$9+Source_Data!BK$10*IF(Source_Data!$C$10=0,0,MAX(0,Inputs!$B$19*Inputs!$B$22*$B$401-Inputs!$B$20)/Source_Data!$C$10)</f>
        <v>0</v>
      </c>
    </row>
    <row r="410" customFormat="false" ht="15" hidden="false" customHeight="false" outlineLevel="0" collapsed="false">
      <c r="A410" s="3" t="s">
        <v>194</v>
      </c>
      <c r="D410" s="33" t="n">
        <f aca="false">Source_Data!D$11*$B$403</f>
        <v>0</v>
      </c>
      <c r="E410" s="33" t="n">
        <f aca="false">Source_Data!E$11*$B$403</f>
        <v>0</v>
      </c>
      <c r="F410" s="33" t="n">
        <f aca="false">Source_Data!F$11*$B$403</f>
        <v>0</v>
      </c>
      <c r="G410" s="33" t="n">
        <f aca="false">Source_Data!G$11*$B$403</f>
        <v>0</v>
      </c>
      <c r="H410" s="33" t="n">
        <f aca="false">Source_Data!H$11*$B$403</f>
        <v>20</v>
      </c>
      <c r="I410" s="33" t="n">
        <f aca="false">Source_Data!I$11*$B$403</f>
        <v>26.4</v>
      </c>
      <c r="J410" s="33" t="n">
        <f aca="false">Source_Data!J$11*$B$403</f>
        <v>40</v>
      </c>
      <c r="K410" s="33" t="n">
        <f aca="false">Source_Data!K$11*$B$403</f>
        <v>26.4</v>
      </c>
      <c r="L410" s="33" t="n">
        <f aca="false">Source_Data!L$11*$B$403</f>
        <v>26.4</v>
      </c>
      <c r="M410" s="33" t="n">
        <f aca="false">Source_Data!M$11*$B$403</f>
        <v>26.4</v>
      </c>
      <c r="N410" s="33" t="n">
        <f aca="false">Source_Data!N$11*$B$403</f>
        <v>5.28</v>
      </c>
      <c r="O410" s="33" t="n">
        <f aca="false">Source_Data!O$11*$B$403</f>
        <v>5.28</v>
      </c>
      <c r="P410" s="33" t="n">
        <f aca="false">Source_Data!P$11*$B$403</f>
        <v>120</v>
      </c>
      <c r="Q410" s="33" t="n">
        <f aca="false">Source_Data!Q$11*$B$403</f>
        <v>120</v>
      </c>
      <c r="R410" s="33" t="n">
        <f aca="false">Source_Data!R$11*$B$403</f>
        <v>164</v>
      </c>
      <c r="S410" s="33" t="n">
        <f aca="false">Source_Data!S$11*$B$403</f>
        <v>117</v>
      </c>
      <c r="T410" s="33" t="n">
        <f aca="false">Source_Data!T$11*$B$403</f>
        <v>0</v>
      </c>
      <c r="U410" s="33" t="n">
        <f aca="false">Source_Data!U$11*$B$403</f>
        <v>0</v>
      </c>
      <c r="V410" s="33" t="n">
        <f aca="false">Source_Data!V$11*$B$403</f>
        <v>0</v>
      </c>
      <c r="W410" s="33" t="n">
        <f aca="false">Source_Data!W$11*$B$403</f>
        <v>0</v>
      </c>
      <c r="X410" s="33" t="n">
        <f aca="false">Source_Data!X$11*$B$403</f>
        <v>0</v>
      </c>
      <c r="Y410" s="33" t="n">
        <f aca="false">Source_Data!Y$11*$B$403</f>
        <v>0</v>
      </c>
      <c r="Z410" s="33" t="n">
        <f aca="false">Source_Data!Z$11*$B$403</f>
        <v>0</v>
      </c>
      <c r="AA410" s="33" t="n">
        <f aca="false">Source_Data!AA$11*$B$403</f>
        <v>0</v>
      </c>
      <c r="AB410" s="33" t="n">
        <f aca="false">Source_Data!AB$11*$B$403</f>
        <v>0</v>
      </c>
      <c r="AC410" s="33" t="n">
        <f aca="false">Source_Data!AC$11*$B$403</f>
        <v>0</v>
      </c>
      <c r="AD410" s="33" t="n">
        <f aca="false">Source_Data!AD$11*$B$403</f>
        <v>0</v>
      </c>
      <c r="AE410" s="33" t="n">
        <f aca="false">Source_Data!AE$11*$B$403</f>
        <v>0</v>
      </c>
      <c r="AF410" s="33" t="n">
        <f aca="false">Source_Data!AF$11*$B$403</f>
        <v>0</v>
      </c>
      <c r="AG410" s="33" t="n">
        <f aca="false">Source_Data!AG$11*$B$403</f>
        <v>0</v>
      </c>
      <c r="AH410" s="33" t="n">
        <f aca="false">Source_Data!AH$11*$B$403</f>
        <v>0</v>
      </c>
      <c r="AI410" s="33" t="n">
        <f aca="false">Source_Data!AI$11*$B$403</f>
        <v>0</v>
      </c>
      <c r="AJ410" s="33" t="n">
        <f aca="false">Source_Data!AJ$11*$B$403</f>
        <v>0</v>
      </c>
      <c r="AK410" s="33" t="n">
        <f aca="false">Source_Data!AK$11*$B$403</f>
        <v>0</v>
      </c>
      <c r="AL410" s="33" t="n">
        <f aca="false">Source_Data!AL$11*$B$403</f>
        <v>0</v>
      </c>
      <c r="AM410" s="33" t="n">
        <f aca="false">Source_Data!AM$11*$B$403</f>
        <v>0</v>
      </c>
      <c r="AN410" s="33" t="n">
        <f aca="false">Source_Data!AN$11*$B$403</f>
        <v>0</v>
      </c>
      <c r="AO410" s="33" t="n">
        <f aca="false">Source_Data!AO$11*$B$403</f>
        <v>0</v>
      </c>
      <c r="AP410" s="33" t="n">
        <f aca="false">Source_Data!AP$11*$B$403</f>
        <v>0</v>
      </c>
      <c r="AQ410" s="33" t="n">
        <f aca="false">Source_Data!AQ$11*$B$403</f>
        <v>0</v>
      </c>
      <c r="AR410" s="33" t="n">
        <f aca="false">Source_Data!AR$11*$B$403</f>
        <v>0</v>
      </c>
      <c r="AS410" s="33" t="n">
        <f aca="false">Source_Data!AS$11*$B$403</f>
        <v>0</v>
      </c>
      <c r="AT410" s="33" t="n">
        <f aca="false">Source_Data!AT$11*$B$403</f>
        <v>0</v>
      </c>
      <c r="AU410" s="33" t="n">
        <f aca="false">Source_Data!AU$11*$B$403</f>
        <v>0</v>
      </c>
      <c r="AV410" s="33" t="n">
        <f aca="false">Source_Data!AV$11*$B$403</f>
        <v>0</v>
      </c>
      <c r="AW410" s="33" t="n">
        <f aca="false">Source_Data!AW$11*$B$403</f>
        <v>0</v>
      </c>
      <c r="AX410" s="33" t="n">
        <f aca="false">Source_Data!AX$11*$B$403</f>
        <v>0</v>
      </c>
      <c r="AY410" s="33" t="n">
        <f aca="false">Source_Data!AY$11*$B$403</f>
        <v>0</v>
      </c>
      <c r="AZ410" s="33" t="n">
        <f aca="false">Source_Data!AZ$11*$B$403</f>
        <v>0</v>
      </c>
      <c r="BA410" s="33" t="n">
        <f aca="false">Source_Data!BA$11*$B$403</f>
        <v>0</v>
      </c>
      <c r="BB410" s="33" t="n">
        <f aca="false">Source_Data!BB$11*$B$403</f>
        <v>0</v>
      </c>
      <c r="BC410" s="33" t="n">
        <f aca="false">Source_Data!BC$11*$B$403</f>
        <v>0</v>
      </c>
      <c r="BD410" s="33" t="n">
        <f aca="false">Source_Data!BD$11*$B$403</f>
        <v>0</v>
      </c>
      <c r="BE410" s="33" t="n">
        <f aca="false">Source_Data!BE$11*$B$403</f>
        <v>0</v>
      </c>
      <c r="BF410" s="33" t="n">
        <f aca="false">Source_Data!BF$11*$B$403</f>
        <v>0</v>
      </c>
      <c r="BG410" s="33" t="n">
        <f aca="false">Source_Data!BG$11*$B$403</f>
        <v>0</v>
      </c>
      <c r="BH410" s="33" t="n">
        <f aca="false">Source_Data!BH$11*$B$403</f>
        <v>0</v>
      </c>
      <c r="BI410" s="33" t="n">
        <f aca="false">Source_Data!BI$11*$B$403</f>
        <v>0</v>
      </c>
      <c r="BJ410" s="33" t="n">
        <f aca="false">Source_Data!BJ$11*$B$403</f>
        <v>0</v>
      </c>
      <c r="BK410" s="33" t="n">
        <f aca="false">Source_Data!BK$11*$B$403</f>
        <v>0</v>
      </c>
    </row>
    <row r="411" customFormat="false" ht="15" hidden="false" customHeight="false" outlineLevel="0" collapsed="false">
      <c r="A411" s="3" t="s">
        <v>196</v>
      </c>
      <c r="D411" s="33" t="n">
        <f aca="false">$B$401*IF(Source_Data!D$5-$B$402&gt;=1,INDEX(Source_Data!$D$12:$BK$12,1,Source_Data!D$5-$B$402),0)</f>
        <v>0</v>
      </c>
      <c r="E411" s="33" t="n">
        <f aca="false">$B$401*IF(Source_Data!E$5-$B$402&gt;=1,INDEX(Source_Data!$D$12:$BK$12,1,Source_Data!E$5-$B$402),0)</f>
        <v>0</v>
      </c>
      <c r="F411" s="33" t="n">
        <f aca="false">$B$401*IF(Source_Data!F$5-$B$402&gt;=1,INDEX(Source_Data!$D$12:$BK$12,1,Source_Data!F$5-$B$402),0)</f>
        <v>0</v>
      </c>
      <c r="G411" s="33" t="n">
        <f aca="false">$B$401*IF(Source_Data!G$5-$B$402&gt;=1,INDEX(Source_Data!$D$12:$BK$12,1,Source_Data!G$5-$B$402),0)</f>
        <v>0</v>
      </c>
      <c r="H411" s="33" t="n">
        <f aca="false">$B$401*IF(Source_Data!H$5-$B$402&gt;=1,INDEX(Source_Data!$D$12:$BK$12,1,Source_Data!H$5-$B$402),0)</f>
        <v>0</v>
      </c>
      <c r="I411" s="33" t="n">
        <f aca="false">$B$401*IF(Source_Data!I$5-$B$402&gt;=1,INDEX(Source_Data!$D$12:$BK$12,1,Source_Data!I$5-$B$402),0)</f>
        <v>0</v>
      </c>
      <c r="J411" s="33" t="n">
        <f aca="false">$B$401*IF(Source_Data!J$5-$B$402&gt;=1,INDEX(Source_Data!$D$12:$BK$12,1,Source_Data!J$5-$B$402),0)</f>
        <v>12.11139</v>
      </c>
      <c r="K411" s="33" t="n">
        <f aca="false">$B$401*IF(Source_Data!K$5-$B$402&gt;=1,INDEX(Source_Data!$D$12:$BK$12,1,Source_Data!K$5-$B$402),0)</f>
        <v>12.11139</v>
      </c>
      <c r="L411" s="33" t="n">
        <f aca="false">$B$401*IF(Source_Data!L$5-$B$402&gt;=1,INDEX(Source_Data!$D$12:$BK$12,1,Source_Data!L$5-$B$402),0)</f>
        <v>9.52126</v>
      </c>
      <c r="M411" s="33" t="n">
        <f aca="false">$B$401*IF(Source_Data!M$5-$B$402&gt;=1,INDEX(Source_Data!$D$12:$BK$12,1,Source_Data!M$5-$B$402),0)</f>
        <v>9.52126</v>
      </c>
      <c r="N411" s="33" t="n">
        <f aca="false">$B$401*IF(Source_Data!N$5-$B$402&gt;=1,INDEX(Source_Data!$D$12:$BK$12,1,Source_Data!N$5-$B$402),0)</f>
        <v>6.98901</v>
      </c>
      <c r="O411" s="33" t="n">
        <f aca="false">$B$401*IF(Source_Data!O$5-$B$402&gt;=1,INDEX(Source_Data!$D$12:$BK$12,1,Source_Data!O$5-$B$402),0)</f>
        <v>6.98901</v>
      </c>
      <c r="P411" s="33" t="n">
        <f aca="false">$B$401*IF(Source_Data!P$5-$B$402&gt;=1,INDEX(Source_Data!$D$12:$BK$12,1,Source_Data!P$5-$B$402),0)</f>
        <v>7.69804</v>
      </c>
      <c r="Q411" s="33" t="n">
        <f aca="false">$B$401*IF(Source_Data!Q$5-$B$402&gt;=1,INDEX(Source_Data!$D$12:$BK$12,1,Source_Data!Q$5-$B$402),0)</f>
        <v>9.2608</v>
      </c>
      <c r="R411" s="33" t="n">
        <f aca="false">$B$401*IF(Source_Data!R$5-$B$402&gt;=1,INDEX(Source_Data!$D$12:$BK$12,1,Source_Data!R$5-$B$402),0)</f>
        <v>9.2608</v>
      </c>
      <c r="S411" s="33" t="n">
        <f aca="false">$B$401*IF(Source_Data!S$5-$B$402&gt;=1,INDEX(Source_Data!$D$12:$BK$12,1,Source_Data!S$5-$B$402),0)</f>
        <v>6.6562</v>
      </c>
      <c r="T411" s="33" t="n">
        <f aca="false">$B$401*IF(Source_Data!T$5-$B$402&gt;=1,INDEX(Source_Data!$D$12:$BK$12,1,Source_Data!T$5-$B$402),0)</f>
        <v>0</v>
      </c>
      <c r="U411" s="33" t="n">
        <f aca="false">$B$401*IF(Source_Data!U$5-$B$402&gt;=1,INDEX(Source_Data!$D$12:$BK$12,1,Source_Data!U$5-$B$402),0)</f>
        <v>0</v>
      </c>
      <c r="V411" s="33" t="n">
        <f aca="false">$B$401*IF(Source_Data!V$5-$B$402&gt;=1,INDEX(Source_Data!$D$12:$BK$12,1,Source_Data!V$5-$B$402),0)</f>
        <v>0</v>
      </c>
      <c r="W411" s="33" t="n">
        <f aca="false">$B$401*IF(Source_Data!W$5-$B$402&gt;=1,INDEX(Source_Data!$D$12:$BK$12,1,Source_Data!W$5-$B$402),0)</f>
        <v>0</v>
      </c>
      <c r="X411" s="33" t="n">
        <f aca="false">$B$401*IF(Source_Data!X$5-$B$402&gt;=1,INDEX(Source_Data!$D$12:$BK$12,1,Source_Data!X$5-$B$402),0)</f>
        <v>0</v>
      </c>
      <c r="Y411" s="33" t="n">
        <f aca="false">$B$401*IF(Source_Data!Y$5-$B$402&gt;=1,INDEX(Source_Data!$D$12:$BK$12,1,Source_Data!Y$5-$B$402),0)</f>
        <v>0</v>
      </c>
      <c r="Z411" s="33" t="n">
        <f aca="false">$B$401*IF(Source_Data!Z$5-$B$402&gt;=1,INDEX(Source_Data!$D$12:$BK$12,1,Source_Data!Z$5-$B$402),0)</f>
        <v>0</v>
      </c>
      <c r="AA411" s="33" t="n">
        <f aca="false">$B$401*IF(Source_Data!AA$5-$B$402&gt;=1,INDEX(Source_Data!$D$12:$BK$12,1,Source_Data!AA$5-$B$402),0)</f>
        <v>0</v>
      </c>
      <c r="AB411" s="33" t="n">
        <f aca="false">$B$401*IF(Source_Data!AB$5-$B$402&gt;=1,INDEX(Source_Data!$D$12:$BK$12,1,Source_Data!AB$5-$B$402),0)</f>
        <v>0</v>
      </c>
      <c r="AC411" s="33" t="n">
        <f aca="false">$B$401*IF(Source_Data!AC$5-$B$402&gt;=1,INDEX(Source_Data!$D$12:$BK$12,1,Source_Data!AC$5-$B$402),0)</f>
        <v>0</v>
      </c>
      <c r="AD411" s="33" t="n">
        <f aca="false">$B$401*IF(Source_Data!AD$5-$B$402&gt;=1,INDEX(Source_Data!$D$12:$BK$12,1,Source_Data!AD$5-$B$402),0)</f>
        <v>0</v>
      </c>
      <c r="AE411" s="33" t="n">
        <f aca="false">$B$401*IF(Source_Data!AE$5-$B$402&gt;=1,INDEX(Source_Data!$D$12:$BK$12,1,Source_Data!AE$5-$B$402),0)</f>
        <v>0</v>
      </c>
      <c r="AF411" s="33" t="n">
        <f aca="false">$B$401*IF(Source_Data!AF$5-$B$402&gt;=1,INDEX(Source_Data!$D$12:$BK$12,1,Source_Data!AF$5-$B$402),0)</f>
        <v>0</v>
      </c>
      <c r="AG411" s="33" t="n">
        <f aca="false">$B$401*IF(Source_Data!AG$5-$B$402&gt;=1,INDEX(Source_Data!$D$12:$BK$12,1,Source_Data!AG$5-$B$402),0)</f>
        <v>0</v>
      </c>
      <c r="AH411" s="33" t="n">
        <f aca="false">$B$401*IF(Source_Data!AH$5-$B$402&gt;=1,INDEX(Source_Data!$D$12:$BK$12,1,Source_Data!AH$5-$B$402),0)</f>
        <v>0</v>
      </c>
      <c r="AI411" s="33" t="n">
        <f aca="false">$B$401*IF(Source_Data!AI$5-$B$402&gt;=1,INDEX(Source_Data!$D$12:$BK$12,1,Source_Data!AI$5-$B$402),0)</f>
        <v>0</v>
      </c>
      <c r="AJ411" s="33" t="n">
        <f aca="false">$B$401*IF(Source_Data!AJ$5-$B$402&gt;=1,INDEX(Source_Data!$D$12:$BK$12,1,Source_Data!AJ$5-$B$402),0)</f>
        <v>0</v>
      </c>
      <c r="AK411" s="33" t="n">
        <f aca="false">$B$401*IF(Source_Data!AK$5-$B$402&gt;=1,INDEX(Source_Data!$D$12:$BK$12,1,Source_Data!AK$5-$B$402),0)</f>
        <v>0</v>
      </c>
      <c r="AL411" s="33" t="n">
        <f aca="false">$B$401*IF(Source_Data!AL$5-$B$402&gt;=1,INDEX(Source_Data!$D$12:$BK$12,1,Source_Data!AL$5-$B$402),0)</f>
        <v>0</v>
      </c>
      <c r="AM411" s="33" t="n">
        <f aca="false">$B$401*IF(Source_Data!AM$5-$B$402&gt;=1,INDEX(Source_Data!$D$12:$BK$12,1,Source_Data!AM$5-$B$402),0)</f>
        <v>0</v>
      </c>
      <c r="AN411" s="33" t="n">
        <f aca="false">$B$401*IF(Source_Data!AN$5-$B$402&gt;=1,INDEX(Source_Data!$D$12:$BK$12,1,Source_Data!AN$5-$B$402),0)</f>
        <v>0</v>
      </c>
      <c r="AO411" s="33" t="n">
        <f aca="false">$B$401*IF(Source_Data!AO$5-$B$402&gt;=1,INDEX(Source_Data!$D$12:$BK$12,1,Source_Data!AO$5-$B$402),0)</f>
        <v>0</v>
      </c>
      <c r="AP411" s="33" t="n">
        <f aca="false">$B$401*IF(Source_Data!AP$5-$B$402&gt;=1,INDEX(Source_Data!$D$12:$BK$12,1,Source_Data!AP$5-$B$402),0)</f>
        <v>0</v>
      </c>
      <c r="AQ411" s="33" t="n">
        <f aca="false">$B$401*IF(Source_Data!AQ$5-$B$402&gt;=1,INDEX(Source_Data!$D$12:$BK$12,1,Source_Data!AQ$5-$B$402),0)</f>
        <v>0</v>
      </c>
      <c r="AR411" s="33" t="n">
        <f aca="false">$B$401*IF(Source_Data!AR$5-$B$402&gt;=1,INDEX(Source_Data!$D$12:$BK$12,1,Source_Data!AR$5-$B$402),0)</f>
        <v>0</v>
      </c>
      <c r="AS411" s="33" t="n">
        <f aca="false">$B$401*IF(Source_Data!AS$5-$B$402&gt;=1,INDEX(Source_Data!$D$12:$BK$12,1,Source_Data!AS$5-$B$402),0)</f>
        <v>0</v>
      </c>
      <c r="AT411" s="33" t="n">
        <f aca="false">$B$401*IF(Source_Data!AT$5-$B$402&gt;=1,INDEX(Source_Data!$D$12:$BK$12,1,Source_Data!AT$5-$B$402),0)</f>
        <v>0</v>
      </c>
      <c r="AU411" s="33" t="n">
        <f aca="false">$B$401*IF(Source_Data!AU$5-$B$402&gt;=1,INDEX(Source_Data!$D$12:$BK$12,1,Source_Data!AU$5-$B$402),0)</f>
        <v>0</v>
      </c>
      <c r="AV411" s="33" t="n">
        <f aca="false">$B$401*IF(Source_Data!AV$5-$B$402&gt;=1,INDEX(Source_Data!$D$12:$BK$12,1,Source_Data!AV$5-$B$402),0)</f>
        <v>0</v>
      </c>
      <c r="AW411" s="33" t="n">
        <f aca="false">$B$401*IF(Source_Data!AW$5-$B$402&gt;=1,INDEX(Source_Data!$D$12:$BK$12,1,Source_Data!AW$5-$B$402),0)</f>
        <v>0</v>
      </c>
      <c r="AX411" s="33" t="n">
        <f aca="false">$B$401*IF(Source_Data!AX$5-$B$402&gt;=1,INDEX(Source_Data!$D$12:$BK$12,1,Source_Data!AX$5-$B$402),0)</f>
        <v>0</v>
      </c>
      <c r="AY411" s="33" t="n">
        <f aca="false">$B$401*IF(Source_Data!AY$5-$B$402&gt;=1,INDEX(Source_Data!$D$12:$BK$12,1,Source_Data!AY$5-$B$402),0)</f>
        <v>0</v>
      </c>
      <c r="AZ411" s="33" t="n">
        <f aca="false">$B$401*IF(Source_Data!AZ$5-$B$402&gt;=1,INDEX(Source_Data!$D$12:$BK$12,1,Source_Data!AZ$5-$B$402),0)</f>
        <v>0</v>
      </c>
      <c r="BA411" s="33" t="n">
        <f aca="false">$B$401*IF(Source_Data!BA$5-$B$402&gt;=1,INDEX(Source_Data!$D$12:$BK$12,1,Source_Data!BA$5-$B$402),0)</f>
        <v>0</v>
      </c>
      <c r="BB411" s="33" t="n">
        <f aca="false">$B$401*IF(Source_Data!BB$5-$B$402&gt;=1,INDEX(Source_Data!$D$12:$BK$12,1,Source_Data!BB$5-$B$402),0)</f>
        <v>0</v>
      </c>
      <c r="BC411" s="33" t="n">
        <f aca="false">$B$401*IF(Source_Data!BC$5-$B$402&gt;=1,INDEX(Source_Data!$D$12:$BK$12,1,Source_Data!BC$5-$B$402),0)</f>
        <v>0</v>
      </c>
      <c r="BD411" s="33" t="n">
        <f aca="false">$B$401*IF(Source_Data!BD$5-$B$402&gt;=1,INDEX(Source_Data!$D$12:$BK$12,1,Source_Data!BD$5-$B$402),0)</f>
        <v>0</v>
      </c>
      <c r="BE411" s="33" t="n">
        <f aca="false">$B$401*IF(Source_Data!BE$5-$B$402&gt;=1,INDEX(Source_Data!$D$12:$BK$12,1,Source_Data!BE$5-$B$402),0)</f>
        <v>0</v>
      </c>
      <c r="BF411" s="33" t="n">
        <f aca="false">$B$401*IF(Source_Data!BF$5-$B$402&gt;=1,INDEX(Source_Data!$D$12:$BK$12,1,Source_Data!BF$5-$B$402),0)</f>
        <v>0</v>
      </c>
      <c r="BG411" s="33" t="n">
        <f aca="false">$B$401*IF(Source_Data!BG$5-$B$402&gt;=1,INDEX(Source_Data!$D$12:$BK$12,1,Source_Data!BG$5-$B$402),0)</f>
        <v>0</v>
      </c>
      <c r="BH411" s="33" t="n">
        <f aca="false">$B$401*IF(Source_Data!BH$5-$B$402&gt;=1,INDEX(Source_Data!$D$12:$BK$12,1,Source_Data!BH$5-$B$402),0)</f>
        <v>0</v>
      </c>
      <c r="BI411" s="33" t="n">
        <f aca="false">$B$401*IF(Source_Data!BI$5-$B$402&gt;=1,INDEX(Source_Data!$D$12:$BK$12,1,Source_Data!BI$5-$B$402),0)</f>
        <v>0</v>
      </c>
      <c r="BJ411" s="33" t="n">
        <f aca="false">$B$401*IF(Source_Data!BJ$5-$B$402&gt;=1,INDEX(Source_Data!$D$12:$BK$12,1,Source_Data!BJ$5-$B$402),0)</f>
        <v>0</v>
      </c>
      <c r="BK411" s="33" t="n">
        <f aca="false">$B$401*IF(Source_Data!BK$5-$B$402&gt;=1,INDEX(Source_Data!$D$12:$BK$12,1,Source_Data!BK$5-$B$402),0)</f>
        <v>0</v>
      </c>
    </row>
    <row r="412" customFormat="false" ht="15" hidden="false" customHeight="false" outlineLevel="0" collapsed="false">
      <c r="A412" s="3" t="s">
        <v>215</v>
      </c>
      <c r="D412" s="33" t="n">
        <f aca="false">Source_Data!D$13*$B$403</f>
        <v>0</v>
      </c>
      <c r="E412" s="33" t="n">
        <f aca="false">Source_Data!E$13*$B$403</f>
        <v>0</v>
      </c>
      <c r="F412" s="33" t="n">
        <f aca="false">Source_Data!F$13*$B$403</f>
        <v>0</v>
      </c>
      <c r="G412" s="33" t="n">
        <f aca="false">Source_Data!G$13*$B$403</f>
        <v>0</v>
      </c>
      <c r="H412" s="33" t="n">
        <f aca="false">Source_Data!H$13*$B$403</f>
        <v>3</v>
      </c>
      <c r="I412" s="33" t="n">
        <f aca="false">Source_Data!I$13*$B$403</f>
        <v>3.96</v>
      </c>
      <c r="J412" s="33" t="n">
        <f aca="false">Source_Data!J$13*$B$403</f>
        <v>6</v>
      </c>
      <c r="K412" s="33" t="n">
        <f aca="false">Source_Data!K$13*$B$403</f>
        <v>3.96</v>
      </c>
      <c r="L412" s="33" t="n">
        <f aca="false">Source_Data!L$13*$B$403</f>
        <v>3.96</v>
      </c>
      <c r="M412" s="33" t="n">
        <f aca="false">Source_Data!M$13*$B$403</f>
        <v>3.96</v>
      </c>
      <c r="N412" s="33" t="n">
        <f aca="false">Source_Data!N$13*$B$403</f>
        <v>0.792</v>
      </c>
      <c r="O412" s="33" t="n">
        <f aca="false">Source_Data!O$13*$B$403</f>
        <v>0.792</v>
      </c>
      <c r="P412" s="33" t="n">
        <f aca="false">Source_Data!P$13*$B$403</f>
        <v>18</v>
      </c>
      <c r="Q412" s="33" t="n">
        <f aca="false">Source_Data!Q$13*$B$403</f>
        <v>18</v>
      </c>
      <c r="R412" s="33" t="n">
        <f aca="false">Source_Data!R$13*$B$403</f>
        <v>24.6</v>
      </c>
      <c r="S412" s="33" t="n">
        <f aca="false">Source_Data!S$13*$B$403</f>
        <v>17.55</v>
      </c>
      <c r="T412" s="33" t="n">
        <f aca="false">Source_Data!T$13*$B$403</f>
        <v>0</v>
      </c>
      <c r="U412" s="33" t="n">
        <f aca="false">Source_Data!U$13*$B$403</f>
        <v>0</v>
      </c>
      <c r="V412" s="33" t="n">
        <f aca="false">Source_Data!V$13*$B$403</f>
        <v>0</v>
      </c>
      <c r="W412" s="33" t="n">
        <f aca="false">Source_Data!W$13*$B$403</f>
        <v>0</v>
      </c>
      <c r="X412" s="33" t="n">
        <f aca="false">Source_Data!X$13*$B$403</f>
        <v>0</v>
      </c>
      <c r="Y412" s="33" t="n">
        <f aca="false">Source_Data!Y$13*$B$403</f>
        <v>0</v>
      </c>
      <c r="Z412" s="33" t="n">
        <f aca="false">Source_Data!Z$13*$B$403</f>
        <v>0</v>
      </c>
      <c r="AA412" s="33" t="n">
        <f aca="false">Source_Data!AA$13*$B$403</f>
        <v>0</v>
      </c>
      <c r="AB412" s="33" t="n">
        <f aca="false">Source_Data!AB$13*$B$403</f>
        <v>0</v>
      </c>
      <c r="AC412" s="33" t="n">
        <f aca="false">Source_Data!AC$13*$B$403</f>
        <v>0</v>
      </c>
      <c r="AD412" s="33" t="n">
        <f aca="false">Source_Data!AD$13*$B$403</f>
        <v>0</v>
      </c>
      <c r="AE412" s="33" t="n">
        <f aca="false">Source_Data!AE$13*$B$403</f>
        <v>0</v>
      </c>
      <c r="AF412" s="33" t="n">
        <f aca="false">Source_Data!AF$13*$B$403</f>
        <v>0</v>
      </c>
      <c r="AG412" s="33" t="n">
        <f aca="false">Source_Data!AG$13*$B$403</f>
        <v>0</v>
      </c>
      <c r="AH412" s="33" t="n">
        <f aca="false">Source_Data!AH$13*$B$403</f>
        <v>0</v>
      </c>
      <c r="AI412" s="33" t="n">
        <f aca="false">Source_Data!AI$13*$B$403</f>
        <v>0</v>
      </c>
      <c r="AJ412" s="33" t="n">
        <f aca="false">Source_Data!AJ$13*$B$403</f>
        <v>0</v>
      </c>
      <c r="AK412" s="33" t="n">
        <f aca="false">Source_Data!AK$13*$B$403</f>
        <v>0</v>
      </c>
      <c r="AL412" s="33" t="n">
        <f aca="false">Source_Data!AL$13*$B$403</f>
        <v>0</v>
      </c>
      <c r="AM412" s="33" t="n">
        <f aca="false">Source_Data!AM$13*$B$403</f>
        <v>0</v>
      </c>
      <c r="AN412" s="33" t="n">
        <f aca="false">Source_Data!AN$13*$B$403</f>
        <v>0</v>
      </c>
      <c r="AO412" s="33" t="n">
        <f aca="false">Source_Data!AO$13*$B$403</f>
        <v>0</v>
      </c>
      <c r="AP412" s="33" t="n">
        <f aca="false">Source_Data!AP$13*$B$403</f>
        <v>0</v>
      </c>
      <c r="AQ412" s="33" t="n">
        <f aca="false">Source_Data!AQ$13*$B$403</f>
        <v>0</v>
      </c>
      <c r="AR412" s="33" t="n">
        <f aca="false">Source_Data!AR$13*$B$403</f>
        <v>0</v>
      </c>
      <c r="AS412" s="33" t="n">
        <f aca="false">Source_Data!AS$13*$B$403</f>
        <v>0</v>
      </c>
      <c r="AT412" s="33" t="n">
        <f aca="false">Source_Data!AT$13*$B$403</f>
        <v>0</v>
      </c>
      <c r="AU412" s="33" t="n">
        <f aca="false">Source_Data!AU$13*$B$403</f>
        <v>0</v>
      </c>
      <c r="AV412" s="33" t="n">
        <f aca="false">Source_Data!AV$13*$B$403</f>
        <v>0</v>
      </c>
      <c r="AW412" s="33" t="n">
        <f aca="false">Source_Data!AW$13*$B$403</f>
        <v>0</v>
      </c>
      <c r="AX412" s="33" t="n">
        <f aca="false">Source_Data!AX$13*$B$403</f>
        <v>0</v>
      </c>
      <c r="AY412" s="33" t="n">
        <f aca="false">Source_Data!AY$13*$B$403</f>
        <v>0</v>
      </c>
      <c r="AZ412" s="33" t="n">
        <f aca="false">Source_Data!AZ$13*$B$403</f>
        <v>0</v>
      </c>
      <c r="BA412" s="33" t="n">
        <f aca="false">Source_Data!BA$13*$B$403</f>
        <v>0</v>
      </c>
      <c r="BB412" s="33" t="n">
        <f aca="false">Source_Data!BB$13*$B$403</f>
        <v>0</v>
      </c>
      <c r="BC412" s="33" t="n">
        <f aca="false">Source_Data!BC$13*$B$403</f>
        <v>0</v>
      </c>
      <c r="BD412" s="33" t="n">
        <f aca="false">Source_Data!BD$13*$B$403</f>
        <v>0</v>
      </c>
      <c r="BE412" s="33" t="n">
        <f aca="false">Source_Data!BE$13*$B$403</f>
        <v>0</v>
      </c>
      <c r="BF412" s="33" t="n">
        <f aca="false">Source_Data!BF$13*$B$403</f>
        <v>0</v>
      </c>
      <c r="BG412" s="33" t="n">
        <f aca="false">Source_Data!BG$13*$B$403</f>
        <v>0</v>
      </c>
      <c r="BH412" s="33" t="n">
        <f aca="false">Source_Data!BH$13*$B$403</f>
        <v>0</v>
      </c>
      <c r="BI412" s="33" t="n">
        <f aca="false">Source_Data!BI$13*$B$403</f>
        <v>0</v>
      </c>
      <c r="BJ412" s="33" t="n">
        <f aca="false">Source_Data!BJ$13*$B$403</f>
        <v>0</v>
      </c>
      <c r="BK412" s="33" t="n">
        <f aca="false">Source_Data!BK$13*$B$403</f>
        <v>0</v>
      </c>
    </row>
    <row r="413" customFormat="false" ht="15" hidden="false" customHeight="false" outlineLevel="0" collapsed="false">
      <c r="A413" s="2" t="s">
        <v>216</v>
      </c>
      <c r="D413" s="33" t="n">
        <f aca="false">D408-D409-D410-D411-D412</f>
        <v>-91.25</v>
      </c>
      <c r="E413" s="33" t="n">
        <f aca="false">E408-E409-E410-E411-E412</f>
        <v>-11.25</v>
      </c>
      <c r="F413" s="33" t="n">
        <f aca="false">F408-F409-F410-F411-F412</f>
        <v>-11.25</v>
      </c>
      <c r="G413" s="33" t="n">
        <f aca="false">G408-G409-G410-G411-G412</f>
        <v>-11.25</v>
      </c>
      <c r="H413" s="33" t="n">
        <f aca="false">H408-H409-H410-H411-H412</f>
        <v>-30.3607625</v>
      </c>
      <c r="I413" s="33" t="n">
        <f aca="false">I408-I409-I410-I411-I412</f>
        <v>-22.581525</v>
      </c>
      <c r="J413" s="33" t="n">
        <f aca="false">J408-J409-J410-J411-J412</f>
        <v>-34.09938375</v>
      </c>
      <c r="K413" s="33" t="n">
        <f aca="false">K408-K409-K410-K411-K412</f>
        <v>-2.2258525</v>
      </c>
      <c r="L413" s="33" t="n">
        <f aca="false">L408-L409-L410-L411-L412</f>
        <v>-11.26556</v>
      </c>
      <c r="M413" s="33" t="n">
        <f aca="false">M408-M409-M410-M411-M412</f>
        <v>-10.157700625</v>
      </c>
      <c r="N413" s="33" t="n">
        <f aca="false">N408-N409-N410-N411-N412</f>
        <v>33.5178384375</v>
      </c>
      <c r="O413" s="33" t="n">
        <f aca="false">O408-O409-O410-O411-O412</f>
        <v>448.4428275</v>
      </c>
      <c r="P413" s="33" t="n">
        <f aca="false">P408-P409-P410-P411-P412</f>
        <v>-5.12028999999999</v>
      </c>
      <c r="Q413" s="33" t="n">
        <f aca="false">Q408-Q409-Q410-Q411-Q412</f>
        <v>-15.7268</v>
      </c>
      <c r="R413" s="33" t="n">
        <f aca="false">R408-R409-R410-R411-R412</f>
        <v>-145.55005</v>
      </c>
      <c r="S413" s="33" t="n">
        <f aca="false">S408-S409-S410-S411-S412</f>
        <v>-114.89623125</v>
      </c>
      <c r="T413" s="33" t="n">
        <f aca="false">T408-T409-T410-T411-T412</f>
        <v>26.30996875</v>
      </c>
      <c r="U413" s="33" t="n">
        <f aca="false">U408-U409-U410-U411-U412</f>
        <v>23.037035625</v>
      </c>
      <c r="V413" s="33" t="n">
        <f aca="false">V408-V409-V410-V411-V412</f>
        <v>16.2266396875</v>
      </c>
      <c r="W413" s="33" t="n">
        <f aca="false">W408-W409-W410-W411-W412</f>
        <v>14.7127159375</v>
      </c>
      <c r="X413" s="33" t="n">
        <f aca="false">X408-X409-X410-X411-X412</f>
        <v>31.2239446875</v>
      </c>
      <c r="Y413" s="33" t="n">
        <f aca="false">Y408-Y409-Y410-Y411-Y412</f>
        <v>26.8829446875</v>
      </c>
      <c r="Z413" s="33" t="n">
        <f aca="false">Z408-Z409-Z410-Z411-Z412</f>
        <v>26.8829446875</v>
      </c>
      <c r="AA413" s="33" t="n">
        <f aca="false">AA408-AA409-AA410-AA411-AA412</f>
        <v>19.6027259375</v>
      </c>
      <c r="AB413" s="33" t="n">
        <f aca="false">AB408-AB409-AB410-AB411-AB412</f>
        <v>42.1027259375</v>
      </c>
      <c r="AC413" s="33" t="n">
        <f aca="false">AC408-AC409-AC410-AC411-AC412</f>
        <v>42.1027259375</v>
      </c>
      <c r="AD413" s="33" t="n">
        <f aca="false">AD408-AD409-AD410-AD411-AD412</f>
        <v>36.3147259375</v>
      </c>
      <c r="AE413" s="33" t="n">
        <f aca="false">AE408-AE409-AE410-AE411-AE412</f>
        <v>33.0386275</v>
      </c>
      <c r="AF413" s="33" t="n">
        <f aca="false">AF408-AF409-AF410-AF411-AF412</f>
        <v>-78.3280391015625</v>
      </c>
      <c r="AG413" s="33" t="n">
        <f aca="false">AG408-AG409-AG410-AG411-AG412</f>
        <v>14.112658828125</v>
      </c>
      <c r="AH413" s="33" t="n">
        <f aca="false">AH408-AH409-AH410-AH411-AH412</f>
        <v>14.112658828125</v>
      </c>
      <c r="AI413" s="33" t="n">
        <f aca="false">AI408-AI409-AI410-AI411-AI412</f>
        <v>14.112658828125</v>
      </c>
      <c r="AJ413" s="33" t="n">
        <f aca="false">AJ408-AJ409-AJ410-AJ411-AJ412</f>
        <v>14.112658828125</v>
      </c>
      <c r="AK413" s="33" t="n">
        <f aca="false">AK408-AK409-AK410-AK411-AK412</f>
        <v>15.0681875390625</v>
      </c>
      <c r="AL413" s="33" t="n">
        <f aca="false">AL408-AL409-AL410-AL411-AL412</f>
        <v>15.0681875390625</v>
      </c>
      <c r="AM413" s="33" t="n">
        <f aca="false">AM408-AM409-AM410-AM411-AM412</f>
        <v>14.7065505859375</v>
      </c>
      <c r="AN413" s="33" t="n">
        <f aca="false">AN408-AN409-AN410-AN411-AN412</f>
        <v>18.69365734375</v>
      </c>
      <c r="AO413" s="33" t="n">
        <f aca="false">AO408-AO409-AO410-AO411-AO412</f>
        <v>17.17747265625</v>
      </c>
      <c r="AP413" s="33" t="n">
        <f aca="false">AP408-AP409-AP410-AP411-AP412</f>
        <v>9.6261675</v>
      </c>
      <c r="AQ413" s="33" t="n">
        <f aca="false">AQ408-AQ409-AQ410-AQ411-AQ412</f>
        <v>3.5704725</v>
      </c>
      <c r="AR413" s="33" t="n">
        <f aca="false">AR408-AR409-AR410-AR411-AR412</f>
        <v>0</v>
      </c>
      <c r="AS413" s="33" t="n">
        <f aca="false">AS408-AS409-AS410-AS411-AS412</f>
        <v>0</v>
      </c>
      <c r="AT413" s="33" t="n">
        <f aca="false">AT408-AT409-AT410-AT411-AT412</f>
        <v>0</v>
      </c>
      <c r="AU413" s="33" t="n">
        <f aca="false">AU408-AU409-AU410-AU411-AU412</f>
        <v>0</v>
      </c>
      <c r="AV413" s="33" t="n">
        <f aca="false">AV408-AV409-AV410-AV411-AV412</f>
        <v>0</v>
      </c>
      <c r="AW413" s="33" t="n">
        <f aca="false">AW408-AW409-AW410-AW411-AW412</f>
        <v>0</v>
      </c>
      <c r="AX413" s="33" t="n">
        <f aca="false">AX408-AX409-AX410-AX411-AX412</f>
        <v>0</v>
      </c>
      <c r="AY413" s="33" t="n">
        <f aca="false">AY408-AY409-AY410-AY411-AY412</f>
        <v>0</v>
      </c>
      <c r="AZ413" s="33" t="n">
        <f aca="false">AZ408-AZ409-AZ410-AZ411-AZ412</f>
        <v>0</v>
      </c>
      <c r="BA413" s="33" t="n">
        <f aca="false">BA408-BA409-BA410-BA411-BA412</f>
        <v>0</v>
      </c>
      <c r="BB413" s="33" t="n">
        <f aca="false">BB408-BB409-BB410-BB411-BB412</f>
        <v>0</v>
      </c>
      <c r="BC413" s="33" t="n">
        <f aca="false">BC408-BC409-BC410-BC411-BC412</f>
        <v>0</v>
      </c>
      <c r="BD413" s="33" t="n">
        <f aca="false">BD408-BD409-BD410-BD411-BD412</f>
        <v>0</v>
      </c>
      <c r="BE413" s="33" t="n">
        <f aca="false">BE408-BE409-BE410-BE411-BE412</f>
        <v>0</v>
      </c>
      <c r="BF413" s="33" t="n">
        <f aca="false">BF408-BF409-BF410-BF411-BF412</f>
        <v>0</v>
      </c>
      <c r="BG413" s="33" t="n">
        <f aca="false">BG408-BG409-BG410-BG411-BG412</f>
        <v>0</v>
      </c>
      <c r="BH413" s="33" t="n">
        <f aca="false">BH408-BH409-BH410-BH411-BH412</f>
        <v>0</v>
      </c>
      <c r="BI413" s="33" t="n">
        <f aca="false">BI408-BI409-BI410-BI411-BI412</f>
        <v>0</v>
      </c>
      <c r="BJ413" s="33" t="n">
        <f aca="false">BJ408-BJ409-BJ410-BJ411-BJ412</f>
        <v>0</v>
      </c>
      <c r="BK413" s="33" t="n">
        <f aca="false">BK408-BK409-BK410-BK411-BK412</f>
        <v>0</v>
      </c>
    </row>
    <row r="414" customFormat="false" ht="15" hidden="false" customHeight="false" outlineLevel="0" collapsed="false">
      <c r="A414" s="2" t="s">
        <v>217</v>
      </c>
      <c r="D414" s="33" t="n">
        <f aca="false">D413</f>
        <v>-91.25</v>
      </c>
      <c r="E414" s="33" t="n">
        <f aca="false">D414+E413</f>
        <v>-102.5</v>
      </c>
      <c r="F414" s="33" t="n">
        <f aca="false">E414+F413</f>
        <v>-113.75</v>
      </c>
      <c r="G414" s="33" t="n">
        <f aca="false">F414+G413</f>
        <v>-125</v>
      </c>
      <c r="H414" s="33" t="n">
        <f aca="false">G414+H413</f>
        <v>-155.3607625</v>
      </c>
      <c r="I414" s="33" t="n">
        <f aca="false">H414+I413</f>
        <v>-177.9422875</v>
      </c>
      <c r="J414" s="33" t="n">
        <f aca="false">I414+J413</f>
        <v>-212.04167125</v>
      </c>
      <c r="K414" s="33" t="n">
        <f aca="false">J414+K413</f>
        <v>-214.26752375</v>
      </c>
      <c r="L414" s="33" t="n">
        <f aca="false">K414+L413</f>
        <v>-225.53308375</v>
      </c>
      <c r="M414" s="33" t="n">
        <f aca="false">L414+M413</f>
        <v>-235.690784375</v>
      </c>
      <c r="N414" s="33" t="n">
        <f aca="false">M414+N413</f>
        <v>-202.1729459375</v>
      </c>
      <c r="O414" s="33" t="n">
        <f aca="false">N414+O413</f>
        <v>246.2698815625</v>
      </c>
      <c r="P414" s="33" t="n">
        <f aca="false">O414+P413</f>
        <v>241.1495915625</v>
      </c>
      <c r="Q414" s="33" t="n">
        <f aca="false">P414+Q413</f>
        <v>225.4227915625</v>
      </c>
      <c r="R414" s="33" t="n">
        <f aca="false">Q414+R413</f>
        <v>79.8727415625001</v>
      </c>
      <c r="S414" s="33" t="n">
        <f aca="false">R414+S413</f>
        <v>-35.0234896874999</v>
      </c>
      <c r="T414" s="33" t="n">
        <f aca="false">S414+T413</f>
        <v>-8.71352093749991</v>
      </c>
      <c r="U414" s="33" t="n">
        <f aca="false">T414+U413</f>
        <v>14.3235146875001</v>
      </c>
      <c r="V414" s="33" t="n">
        <f aca="false">U414+V413</f>
        <v>30.5501543750001</v>
      </c>
      <c r="W414" s="33" t="n">
        <f aca="false">V414+W413</f>
        <v>45.2628703125001</v>
      </c>
      <c r="X414" s="33" t="n">
        <f aca="false">W414+X413</f>
        <v>76.4868150000001</v>
      </c>
      <c r="Y414" s="33" t="n">
        <f aca="false">X414+Y413</f>
        <v>103.3697596875</v>
      </c>
      <c r="Z414" s="33" t="n">
        <f aca="false">Y414+Z413</f>
        <v>130.252704375</v>
      </c>
      <c r="AA414" s="33" t="n">
        <f aca="false">Z414+AA413</f>
        <v>149.8554303125</v>
      </c>
      <c r="AB414" s="33" t="n">
        <f aca="false">AA414+AB413</f>
        <v>191.95815625</v>
      </c>
      <c r="AC414" s="33" t="n">
        <f aca="false">AB414+AC413</f>
        <v>234.0608821875</v>
      </c>
      <c r="AD414" s="33" t="n">
        <f aca="false">AC414+AD413</f>
        <v>270.375608125</v>
      </c>
      <c r="AE414" s="33" t="n">
        <f aca="false">AD414+AE413</f>
        <v>303.414235625</v>
      </c>
      <c r="AF414" s="33" t="n">
        <f aca="false">AE414+AF413</f>
        <v>225.086196523438</v>
      </c>
      <c r="AG414" s="33" t="n">
        <f aca="false">AF414+AG413</f>
        <v>239.198855351563</v>
      </c>
      <c r="AH414" s="33" t="n">
        <f aca="false">AG414+AH413</f>
        <v>253.311514179688</v>
      </c>
      <c r="AI414" s="33" t="n">
        <f aca="false">AH414+AI413</f>
        <v>267.424173007813</v>
      </c>
      <c r="AJ414" s="33" t="n">
        <f aca="false">AI414+AJ413</f>
        <v>281.536831835938</v>
      </c>
      <c r="AK414" s="33" t="n">
        <f aca="false">AJ414+AK413</f>
        <v>296.605019375</v>
      </c>
      <c r="AL414" s="33" t="n">
        <f aca="false">AK414+AL413</f>
        <v>311.673206914063</v>
      </c>
      <c r="AM414" s="33" t="n">
        <f aca="false">AL414+AM413</f>
        <v>326.3797575</v>
      </c>
      <c r="AN414" s="33" t="n">
        <f aca="false">AM414+AN413</f>
        <v>345.07341484375</v>
      </c>
      <c r="AO414" s="33" t="n">
        <f aca="false">AN414+AO413</f>
        <v>362.2508875</v>
      </c>
      <c r="AP414" s="33" t="n">
        <f aca="false">AO414+AP413</f>
        <v>371.877055</v>
      </c>
      <c r="AQ414" s="33" t="n">
        <f aca="false">AP414+AQ413</f>
        <v>375.4475275</v>
      </c>
      <c r="AR414" s="33" t="n">
        <f aca="false">AQ414+AR413</f>
        <v>375.4475275</v>
      </c>
      <c r="AS414" s="33" t="n">
        <f aca="false">AR414+AS413</f>
        <v>375.4475275</v>
      </c>
      <c r="AT414" s="33" t="n">
        <f aca="false">AS414+AT413</f>
        <v>375.4475275</v>
      </c>
      <c r="AU414" s="33" t="n">
        <f aca="false">AT414+AU413</f>
        <v>375.4475275</v>
      </c>
      <c r="AV414" s="33" t="n">
        <f aca="false">AU414+AV413</f>
        <v>375.4475275</v>
      </c>
      <c r="AW414" s="33" t="n">
        <f aca="false">AV414+AW413</f>
        <v>375.4475275</v>
      </c>
      <c r="AX414" s="33" t="n">
        <f aca="false">AW414+AX413</f>
        <v>375.4475275</v>
      </c>
      <c r="AY414" s="33" t="n">
        <f aca="false">AX414+AY413</f>
        <v>375.4475275</v>
      </c>
      <c r="AZ414" s="33" t="n">
        <f aca="false">AY414+AZ413</f>
        <v>375.4475275</v>
      </c>
      <c r="BA414" s="33" t="n">
        <f aca="false">AZ414+BA413</f>
        <v>375.4475275</v>
      </c>
      <c r="BB414" s="33" t="n">
        <f aca="false">BA414+BB413</f>
        <v>375.4475275</v>
      </c>
      <c r="BC414" s="33" t="n">
        <f aca="false">BB414+BC413</f>
        <v>375.4475275</v>
      </c>
      <c r="BD414" s="33" t="n">
        <f aca="false">BC414+BD413</f>
        <v>375.4475275</v>
      </c>
      <c r="BE414" s="33" t="n">
        <f aca="false">BD414+BE413</f>
        <v>375.4475275</v>
      </c>
      <c r="BF414" s="33" t="n">
        <f aca="false">BE414+BF413</f>
        <v>375.4475275</v>
      </c>
      <c r="BG414" s="33" t="n">
        <f aca="false">BF414+BG413</f>
        <v>375.4475275</v>
      </c>
      <c r="BH414" s="33" t="n">
        <f aca="false">BG414+BH413</f>
        <v>375.4475275</v>
      </c>
      <c r="BI414" s="33" t="n">
        <f aca="false">BH414+BI413</f>
        <v>375.4475275</v>
      </c>
      <c r="BJ414" s="33" t="n">
        <f aca="false">BI414+BJ413</f>
        <v>375.4475275</v>
      </c>
      <c r="BK414" s="33" t="n">
        <f aca="false">BJ414+BK413</f>
        <v>375.4475275</v>
      </c>
    </row>
    <row r="415" customFormat="false" ht="15" hidden="false" customHeight="false" outlineLevel="0" collapsed="false">
      <c r="A415" s="3" t="s">
        <v>340</v>
      </c>
      <c r="D415" s="33" t="n">
        <f aca="false">IF(Source_Data!D$6=Inputs!$B$12,-Inputs!$B$7,0)+IF(AND(Source_Data!D$6&gt;=$B$406,Source_Data!D$6&lt;$B$406+3*Inputs!$B$16,MOD(Source_Data!D$6-$B$406,3)=0),Inputs!$B$8*Inputs!$B$7*Inputs!$B$34*$B$401*(1-Inputs!$B$15)/Inputs!$B$16,0)</f>
        <v>-100</v>
      </c>
      <c r="E415" s="33" t="n">
        <f aca="false">IF(Source_Data!E$6=Inputs!$B$12,-Inputs!$B$7,0)+IF(AND(Source_Data!E$6&gt;=$B$406,Source_Data!E$6&lt;$B$406+3*Inputs!$B$16,MOD(Source_Data!E$6-$B$406,3)=0),Inputs!$B$8*Inputs!$B$7*Inputs!$B$34*$B$401*(1-Inputs!$B$15)/Inputs!$B$16,0)</f>
        <v>0</v>
      </c>
      <c r="F415" s="33" t="n">
        <f aca="false">IF(Source_Data!F$6=Inputs!$B$12,-Inputs!$B$7,0)+IF(AND(Source_Data!F$6&gt;=$B$406,Source_Data!F$6&lt;$B$406+3*Inputs!$B$16,MOD(Source_Data!F$6-$B$406,3)=0),Inputs!$B$8*Inputs!$B$7*Inputs!$B$34*$B$401*(1-Inputs!$B$15)/Inputs!$B$16,0)</f>
        <v>0</v>
      </c>
      <c r="G415" s="33" t="n">
        <f aca="false">IF(Source_Data!G$6=Inputs!$B$12,-Inputs!$B$7,0)+IF(AND(Source_Data!G$6&gt;=$B$406,Source_Data!G$6&lt;$B$406+3*Inputs!$B$16,MOD(Source_Data!G$6-$B$406,3)=0),Inputs!$B$8*Inputs!$B$7*Inputs!$B$34*$B$401*(1-Inputs!$B$15)/Inputs!$B$16,0)</f>
        <v>0</v>
      </c>
      <c r="H415" s="33" t="n">
        <f aca="false">IF(Source_Data!H$6=Inputs!$B$12,-Inputs!$B$7,0)+IF(AND(Source_Data!H$6&gt;=$B$406,Source_Data!H$6&lt;$B$406+3*Inputs!$B$16,MOD(Source_Data!H$6-$B$406,3)=0),Inputs!$B$8*Inputs!$B$7*Inputs!$B$34*$B$401*(1-Inputs!$B$15)/Inputs!$B$16,0)</f>
        <v>0</v>
      </c>
      <c r="I415" s="33" t="n">
        <f aca="false">IF(Source_Data!I$6=Inputs!$B$12,-Inputs!$B$7,0)+IF(AND(Source_Data!I$6&gt;=$B$406,Source_Data!I$6&lt;$B$406+3*Inputs!$B$16,MOD(Source_Data!I$6-$B$406,3)=0),Inputs!$B$8*Inputs!$B$7*Inputs!$B$34*$B$401*(1-Inputs!$B$15)/Inputs!$B$16,0)</f>
        <v>0</v>
      </c>
      <c r="J415" s="33" t="n">
        <f aca="false">IF(Source_Data!J$6=Inputs!$B$12,-Inputs!$B$7,0)+IF(AND(Source_Data!J$6&gt;=$B$406,Source_Data!J$6&lt;$B$406+3*Inputs!$B$16,MOD(Source_Data!J$6-$B$406,3)=0),Inputs!$B$8*Inputs!$B$7*Inputs!$B$34*$B$401*(1-Inputs!$B$15)/Inputs!$B$16,0)</f>
        <v>0</v>
      </c>
      <c r="K415" s="33" t="n">
        <f aca="false">IF(Source_Data!K$6=Inputs!$B$12,-Inputs!$B$7,0)+IF(AND(Source_Data!K$6&gt;=$B$406,Source_Data!K$6&lt;$B$406+3*Inputs!$B$16,MOD(Source_Data!K$6-$B$406,3)=0),Inputs!$B$8*Inputs!$B$7*Inputs!$B$34*$B$401*(1-Inputs!$B$15)/Inputs!$B$16,0)</f>
        <v>0</v>
      </c>
      <c r="L415" s="33" t="n">
        <f aca="false">IF(Source_Data!L$6=Inputs!$B$12,-Inputs!$B$7,0)+IF(AND(Source_Data!L$6&gt;=$B$406,Source_Data!L$6&lt;$B$406+3*Inputs!$B$16,MOD(Source_Data!L$6-$B$406,3)=0),Inputs!$B$8*Inputs!$B$7*Inputs!$B$34*$B$401*(1-Inputs!$B$15)/Inputs!$B$16,0)</f>
        <v>0</v>
      </c>
      <c r="M415" s="33" t="n">
        <f aca="false">IF(Source_Data!M$6=Inputs!$B$12,-Inputs!$B$7,0)+IF(AND(Source_Data!M$6&gt;=$B$406,Source_Data!M$6&lt;$B$406+3*Inputs!$B$16,MOD(Source_Data!M$6-$B$406,3)=0),Inputs!$B$8*Inputs!$B$7*Inputs!$B$34*$B$401*(1-Inputs!$B$15)/Inputs!$B$16,0)</f>
        <v>0</v>
      </c>
      <c r="N415" s="33" t="n">
        <f aca="false">IF(Source_Data!N$6=Inputs!$B$12,-Inputs!$B$7,0)+IF(AND(Source_Data!N$6&gt;=$B$406,Source_Data!N$6&lt;$B$406+3*Inputs!$B$16,MOD(Source_Data!N$6-$B$406,3)=0),Inputs!$B$8*Inputs!$B$7*Inputs!$B$34*$B$401*(1-Inputs!$B$15)/Inputs!$B$16,0)</f>
        <v>0</v>
      </c>
      <c r="O415" s="33" t="n">
        <f aca="false">IF(Source_Data!O$6=Inputs!$B$12,-Inputs!$B$7,0)+IF(AND(Source_Data!O$6&gt;=$B$406,Source_Data!O$6&lt;$B$406+3*Inputs!$B$16,MOD(Source_Data!O$6-$B$406,3)=0),Inputs!$B$8*Inputs!$B$7*Inputs!$B$34*$B$401*(1-Inputs!$B$15)/Inputs!$B$16,0)</f>
        <v>0</v>
      </c>
      <c r="P415" s="33" t="n">
        <f aca="false">IF(Source_Data!P$6=Inputs!$B$12,-Inputs!$B$7,0)+IF(AND(Source_Data!P$6&gt;=$B$406,Source_Data!P$6&lt;$B$406+3*Inputs!$B$16,MOD(Source_Data!P$6-$B$406,3)=0),Inputs!$B$8*Inputs!$B$7*Inputs!$B$34*$B$401*(1-Inputs!$B$15)/Inputs!$B$16,0)</f>
        <v>0</v>
      </c>
      <c r="Q415" s="33" t="n">
        <f aca="false">IF(Source_Data!Q$6=Inputs!$B$12,-Inputs!$B$7,0)+IF(AND(Source_Data!Q$6&gt;=$B$406,Source_Data!Q$6&lt;$B$406+3*Inputs!$B$16,MOD(Source_Data!Q$6-$B$406,3)=0),Inputs!$B$8*Inputs!$B$7*Inputs!$B$34*$B$401*(1-Inputs!$B$15)/Inputs!$B$16,0)</f>
        <v>0</v>
      </c>
      <c r="R415" s="33" t="n">
        <f aca="false">IF(Source_Data!R$6=Inputs!$B$12,-Inputs!$B$7,0)+IF(AND(Source_Data!R$6&gt;=$B$406,Source_Data!R$6&lt;$B$406+3*Inputs!$B$16,MOD(Source_Data!R$6-$B$406,3)=0),Inputs!$B$8*Inputs!$B$7*Inputs!$B$34*$B$401*(1-Inputs!$B$15)/Inputs!$B$16,0)</f>
        <v>0</v>
      </c>
      <c r="S415" s="33" t="n">
        <f aca="false">IF(Source_Data!S$6=Inputs!$B$12,-Inputs!$B$7,0)+IF(AND(Source_Data!S$6&gt;=$B$406,Source_Data!S$6&lt;$B$406+3*Inputs!$B$16,MOD(Source_Data!S$6-$B$406,3)=0),Inputs!$B$8*Inputs!$B$7*Inputs!$B$34*$B$401*(1-Inputs!$B$15)/Inputs!$B$16,0)</f>
        <v>0</v>
      </c>
      <c r="T415" s="33" t="n">
        <f aca="false">IF(Source_Data!T$6=Inputs!$B$12,-Inputs!$B$7,0)+IF(AND(Source_Data!T$6&gt;=$B$406,Source_Data!T$6&lt;$B$406+3*Inputs!$B$16,MOD(Source_Data!T$6-$B$406,3)=0),Inputs!$B$8*Inputs!$B$7*Inputs!$B$34*$B$401*(1-Inputs!$B$15)/Inputs!$B$16,0)</f>
        <v>69.5340501792115</v>
      </c>
      <c r="U415" s="33" t="n">
        <f aca="false">IF(Source_Data!U$6=Inputs!$B$12,-Inputs!$B$7,0)+IF(AND(Source_Data!U$6&gt;=$B$406,Source_Data!U$6&lt;$B$406+3*Inputs!$B$16,MOD(Source_Data!U$6-$B$406,3)=0),Inputs!$B$8*Inputs!$B$7*Inputs!$B$34*$B$401*(1-Inputs!$B$15)/Inputs!$B$16,0)</f>
        <v>69.5340501792115</v>
      </c>
      <c r="V415" s="33" t="n">
        <f aca="false">IF(Source_Data!V$6=Inputs!$B$12,-Inputs!$B$7,0)+IF(AND(Source_Data!V$6&gt;=$B$406,Source_Data!V$6&lt;$B$406+3*Inputs!$B$16,MOD(Source_Data!V$6-$B$406,3)=0),Inputs!$B$8*Inputs!$B$7*Inputs!$B$34*$B$401*(1-Inputs!$B$15)/Inputs!$B$16,0)</f>
        <v>69.5340501792115</v>
      </c>
      <c r="W415" s="33" t="n">
        <f aca="false">IF(Source_Data!W$6=Inputs!$B$12,-Inputs!$B$7,0)+IF(AND(Source_Data!W$6&gt;=$B$406,Source_Data!W$6&lt;$B$406+3*Inputs!$B$16,MOD(Source_Data!W$6-$B$406,3)=0),Inputs!$B$8*Inputs!$B$7*Inputs!$B$34*$B$401*(1-Inputs!$B$15)/Inputs!$B$16,0)</f>
        <v>69.5340501792115</v>
      </c>
      <c r="X415" s="33" t="n">
        <f aca="false">IF(Source_Data!X$6=Inputs!$B$12,-Inputs!$B$7,0)+IF(AND(Source_Data!X$6&gt;=$B$406,Source_Data!X$6&lt;$B$406+3*Inputs!$B$16,MOD(Source_Data!X$6-$B$406,3)=0),Inputs!$B$8*Inputs!$B$7*Inputs!$B$34*$B$401*(1-Inputs!$B$15)/Inputs!$B$16,0)</f>
        <v>0</v>
      </c>
      <c r="Y415" s="33" t="n">
        <f aca="false">IF(Source_Data!Y$6=Inputs!$B$12,-Inputs!$B$7,0)+IF(AND(Source_Data!Y$6&gt;=$B$406,Source_Data!Y$6&lt;$B$406+3*Inputs!$B$16,MOD(Source_Data!Y$6-$B$406,3)=0),Inputs!$B$8*Inputs!$B$7*Inputs!$B$34*$B$401*(1-Inputs!$B$15)/Inputs!$B$16,0)</f>
        <v>0</v>
      </c>
      <c r="Z415" s="33" t="n">
        <f aca="false">IF(Source_Data!Z$6=Inputs!$B$12,-Inputs!$B$7,0)+IF(AND(Source_Data!Z$6&gt;=$B$406,Source_Data!Z$6&lt;$B$406+3*Inputs!$B$16,MOD(Source_Data!Z$6-$B$406,3)=0),Inputs!$B$8*Inputs!$B$7*Inputs!$B$34*$B$401*(1-Inputs!$B$15)/Inputs!$B$16,0)</f>
        <v>0</v>
      </c>
      <c r="AA415" s="33" t="n">
        <f aca="false">IF(Source_Data!AA$6=Inputs!$B$12,-Inputs!$B$7,0)+IF(AND(Source_Data!AA$6&gt;=$B$406,Source_Data!AA$6&lt;$B$406+3*Inputs!$B$16,MOD(Source_Data!AA$6-$B$406,3)=0),Inputs!$B$8*Inputs!$B$7*Inputs!$B$34*$B$401*(1-Inputs!$B$15)/Inputs!$B$16,0)</f>
        <v>0</v>
      </c>
      <c r="AB415" s="33" t="n">
        <f aca="false">IF(Source_Data!AB$6=Inputs!$B$12,-Inputs!$B$7,0)+IF(AND(Source_Data!AB$6&gt;=$B$406,Source_Data!AB$6&lt;$B$406+3*Inputs!$B$16,MOD(Source_Data!AB$6-$B$406,3)=0),Inputs!$B$8*Inputs!$B$7*Inputs!$B$34*$B$401*(1-Inputs!$B$15)/Inputs!$B$16,0)</f>
        <v>0</v>
      </c>
      <c r="AC415" s="33" t="n">
        <f aca="false">IF(Source_Data!AC$6=Inputs!$B$12,-Inputs!$B$7,0)+IF(AND(Source_Data!AC$6&gt;=$B$406,Source_Data!AC$6&lt;$B$406+3*Inputs!$B$16,MOD(Source_Data!AC$6-$B$406,3)=0),Inputs!$B$8*Inputs!$B$7*Inputs!$B$34*$B$401*(1-Inputs!$B$15)/Inputs!$B$16,0)</f>
        <v>0</v>
      </c>
      <c r="AD415" s="33" t="n">
        <f aca="false">IF(Source_Data!AD$6=Inputs!$B$12,-Inputs!$B$7,0)+IF(AND(Source_Data!AD$6&gt;=$B$406,Source_Data!AD$6&lt;$B$406+3*Inputs!$B$16,MOD(Source_Data!AD$6-$B$406,3)=0),Inputs!$B$8*Inputs!$B$7*Inputs!$B$34*$B$401*(1-Inputs!$B$15)/Inputs!$B$16,0)</f>
        <v>0</v>
      </c>
      <c r="AE415" s="33" t="n">
        <f aca="false">IF(Source_Data!AE$6=Inputs!$B$12,-Inputs!$B$7,0)+IF(AND(Source_Data!AE$6&gt;=$B$406,Source_Data!AE$6&lt;$B$406+3*Inputs!$B$16,MOD(Source_Data!AE$6-$B$406,3)=0),Inputs!$B$8*Inputs!$B$7*Inputs!$B$34*$B$401*(1-Inputs!$B$15)/Inputs!$B$16,0)</f>
        <v>0</v>
      </c>
      <c r="AF415" s="33" t="n">
        <f aca="false">IF(Source_Data!AF$6=Inputs!$B$12,-Inputs!$B$7,0)+IF(AND(Source_Data!AF$6&gt;=$B$406,Source_Data!AF$6&lt;$B$406+3*Inputs!$B$16,MOD(Source_Data!AF$6-$B$406,3)=0),Inputs!$B$8*Inputs!$B$7*Inputs!$B$34*$B$401*(1-Inputs!$B$15)/Inputs!$B$16,0)</f>
        <v>0</v>
      </c>
      <c r="AG415" s="33" t="n">
        <f aca="false">IF(Source_Data!AG$6=Inputs!$B$12,-Inputs!$B$7,0)+IF(AND(Source_Data!AG$6&gt;=$B$406,Source_Data!AG$6&lt;$B$406+3*Inputs!$B$16,MOD(Source_Data!AG$6-$B$406,3)=0),Inputs!$B$8*Inputs!$B$7*Inputs!$B$34*$B$401*(1-Inputs!$B$15)/Inputs!$B$16,0)</f>
        <v>0</v>
      </c>
      <c r="AH415" s="33" t="n">
        <f aca="false">IF(Source_Data!AH$6=Inputs!$B$12,-Inputs!$B$7,0)+IF(AND(Source_Data!AH$6&gt;=$B$406,Source_Data!AH$6&lt;$B$406+3*Inputs!$B$16,MOD(Source_Data!AH$6-$B$406,3)=0),Inputs!$B$8*Inputs!$B$7*Inputs!$B$34*$B$401*(1-Inputs!$B$15)/Inputs!$B$16,0)</f>
        <v>0</v>
      </c>
      <c r="AI415" s="33" t="n">
        <f aca="false">IF(Source_Data!AI$6=Inputs!$B$12,-Inputs!$B$7,0)+IF(AND(Source_Data!AI$6&gt;=$B$406,Source_Data!AI$6&lt;$B$406+3*Inputs!$B$16,MOD(Source_Data!AI$6-$B$406,3)=0),Inputs!$B$8*Inputs!$B$7*Inputs!$B$34*$B$401*(1-Inputs!$B$15)/Inputs!$B$16,0)</f>
        <v>0</v>
      </c>
      <c r="AJ415" s="33" t="n">
        <f aca="false">IF(Source_Data!AJ$6=Inputs!$B$12,-Inputs!$B$7,0)+IF(AND(Source_Data!AJ$6&gt;=$B$406,Source_Data!AJ$6&lt;$B$406+3*Inputs!$B$16,MOD(Source_Data!AJ$6-$B$406,3)=0),Inputs!$B$8*Inputs!$B$7*Inputs!$B$34*$B$401*(1-Inputs!$B$15)/Inputs!$B$16,0)</f>
        <v>0</v>
      </c>
      <c r="AK415" s="33" t="n">
        <f aca="false">IF(Source_Data!AK$6=Inputs!$B$12,-Inputs!$B$7,0)+IF(AND(Source_Data!AK$6&gt;=$B$406,Source_Data!AK$6&lt;$B$406+3*Inputs!$B$16,MOD(Source_Data!AK$6-$B$406,3)=0),Inputs!$B$8*Inputs!$B$7*Inputs!$B$34*$B$401*(1-Inputs!$B$15)/Inputs!$B$16,0)</f>
        <v>0</v>
      </c>
      <c r="AL415" s="33" t="n">
        <f aca="false">IF(Source_Data!AL$6=Inputs!$B$12,-Inputs!$B$7,0)+IF(AND(Source_Data!AL$6&gt;=$B$406,Source_Data!AL$6&lt;$B$406+3*Inputs!$B$16,MOD(Source_Data!AL$6-$B$406,3)=0),Inputs!$B$8*Inputs!$B$7*Inputs!$B$34*$B$401*(1-Inputs!$B$15)/Inputs!$B$16,0)</f>
        <v>0</v>
      </c>
      <c r="AM415" s="33" t="n">
        <f aca="false">IF(Source_Data!AM$6=Inputs!$B$12,-Inputs!$B$7,0)+IF(AND(Source_Data!AM$6&gt;=$B$406,Source_Data!AM$6&lt;$B$406+3*Inputs!$B$16,MOD(Source_Data!AM$6-$B$406,3)=0),Inputs!$B$8*Inputs!$B$7*Inputs!$B$34*$B$401*(1-Inputs!$B$15)/Inputs!$B$16,0)</f>
        <v>0</v>
      </c>
      <c r="AN415" s="33" t="n">
        <f aca="false">IF(Source_Data!AN$6=Inputs!$B$12,-Inputs!$B$7,0)+IF(AND(Source_Data!AN$6&gt;=$B$406,Source_Data!AN$6&lt;$B$406+3*Inputs!$B$16,MOD(Source_Data!AN$6-$B$406,3)=0),Inputs!$B$8*Inputs!$B$7*Inputs!$B$34*$B$401*(1-Inputs!$B$15)/Inputs!$B$16,0)</f>
        <v>0</v>
      </c>
      <c r="AO415" s="33" t="n">
        <f aca="false">IF(Source_Data!AO$6=Inputs!$B$12,-Inputs!$B$7,0)+IF(AND(Source_Data!AO$6&gt;=$B$406,Source_Data!AO$6&lt;$B$406+3*Inputs!$B$16,MOD(Source_Data!AO$6-$B$406,3)=0),Inputs!$B$8*Inputs!$B$7*Inputs!$B$34*$B$401*(1-Inputs!$B$15)/Inputs!$B$16,0)</f>
        <v>0</v>
      </c>
      <c r="AP415" s="33" t="n">
        <f aca="false">IF(Source_Data!AP$6=Inputs!$B$12,-Inputs!$B$7,0)+IF(AND(Source_Data!AP$6&gt;=$B$406,Source_Data!AP$6&lt;$B$406+3*Inputs!$B$16,MOD(Source_Data!AP$6-$B$406,3)=0),Inputs!$B$8*Inputs!$B$7*Inputs!$B$34*$B$401*(1-Inputs!$B$15)/Inputs!$B$16,0)</f>
        <v>0</v>
      </c>
      <c r="AQ415" s="33" t="n">
        <f aca="false">IF(Source_Data!AQ$6=Inputs!$B$12,-Inputs!$B$7,0)+IF(AND(Source_Data!AQ$6&gt;=$B$406,Source_Data!AQ$6&lt;$B$406+3*Inputs!$B$16,MOD(Source_Data!AQ$6-$B$406,3)=0),Inputs!$B$8*Inputs!$B$7*Inputs!$B$34*$B$401*(1-Inputs!$B$15)/Inputs!$B$16,0)</f>
        <v>0</v>
      </c>
      <c r="AR415" s="33" t="n">
        <f aca="false">IF(Source_Data!AR$6=Inputs!$B$12,-Inputs!$B$7,0)+IF(AND(Source_Data!AR$6&gt;=$B$406,Source_Data!AR$6&lt;$B$406+3*Inputs!$B$16,MOD(Source_Data!AR$6-$B$406,3)=0),Inputs!$B$8*Inputs!$B$7*Inputs!$B$34*$B$401*(1-Inputs!$B$15)/Inputs!$B$16,0)</f>
        <v>0</v>
      </c>
      <c r="AS415" s="33" t="n">
        <f aca="false">IF(Source_Data!AS$6=Inputs!$B$12,-Inputs!$B$7,0)+IF(AND(Source_Data!AS$6&gt;=$B$406,Source_Data!AS$6&lt;$B$406+3*Inputs!$B$16,MOD(Source_Data!AS$6-$B$406,3)=0),Inputs!$B$8*Inputs!$B$7*Inputs!$B$34*$B$401*(1-Inputs!$B$15)/Inputs!$B$16,0)</f>
        <v>0</v>
      </c>
      <c r="AT415" s="33" t="n">
        <f aca="false">IF(Source_Data!AT$6=Inputs!$B$12,-Inputs!$B$7,0)+IF(AND(Source_Data!AT$6&gt;=$B$406,Source_Data!AT$6&lt;$B$406+3*Inputs!$B$16,MOD(Source_Data!AT$6-$B$406,3)=0),Inputs!$B$8*Inputs!$B$7*Inputs!$B$34*$B$401*(1-Inputs!$B$15)/Inputs!$B$16,0)</f>
        <v>0</v>
      </c>
      <c r="AU415" s="33" t="n">
        <f aca="false">IF(Source_Data!AU$6=Inputs!$B$12,-Inputs!$B$7,0)+IF(AND(Source_Data!AU$6&gt;=$B$406,Source_Data!AU$6&lt;$B$406+3*Inputs!$B$16,MOD(Source_Data!AU$6-$B$406,3)=0),Inputs!$B$8*Inputs!$B$7*Inputs!$B$34*$B$401*(1-Inputs!$B$15)/Inputs!$B$16,0)</f>
        <v>0</v>
      </c>
      <c r="AV415" s="33" t="n">
        <f aca="false">IF(Source_Data!AV$6=Inputs!$B$12,-Inputs!$B$7,0)+IF(AND(Source_Data!AV$6&gt;=$B$406,Source_Data!AV$6&lt;$B$406+3*Inputs!$B$16,MOD(Source_Data!AV$6-$B$406,3)=0),Inputs!$B$8*Inputs!$B$7*Inputs!$B$34*$B$401*(1-Inputs!$B$15)/Inputs!$B$16,0)</f>
        <v>0</v>
      </c>
      <c r="AW415" s="33" t="n">
        <f aca="false">IF(Source_Data!AW$6=Inputs!$B$12,-Inputs!$B$7,0)+IF(AND(Source_Data!AW$6&gt;=$B$406,Source_Data!AW$6&lt;$B$406+3*Inputs!$B$16,MOD(Source_Data!AW$6-$B$406,3)=0),Inputs!$B$8*Inputs!$B$7*Inputs!$B$34*$B$401*(1-Inputs!$B$15)/Inputs!$B$16,0)</f>
        <v>0</v>
      </c>
      <c r="AX415" s="33" t="n">
        <f aca="false">IF(Source_Data!AX$6=Inputs!$B$12,-Inputs!$B$7,0)+IF(AND(Source_Data!AX$6&gt;=$B$406,Source_Data!AX$6&lt;$B$406+3*Inputs!$B$16,MOD(Source_Data!AX$6-$B$406,3)=0),Inputs!$B$8*Inputs!$B$7*Inputs!$B$34*$B$401*(1-Inputs!$B$15)/Inputs!$B$16,0)</f>
        <v>0</v>
      </c>
      <c r="AY415" s="33" t="n">
        <f aca="false">IF(Source_Data!AY$6=Inputs!$B$12,-Inputs!$B$7,0)+IF(AND(Source_Data!AY$6&gt;=$B$406,Source_Data!AY$6&lt;$B$406+3*Inputs!$B$16,MOD(Source_Data!AY$6-$B$406,3)=0),Inputs!$B$8*Inputs!$B$7*Inputs!$B$34*$B$401*(1-Inputs!$B$15)/Inputs!$B$16,0)</f>
        <v>0</v>
      </c>
      <c r="AZ415" s="33" t="n">
        <f aca="false">IF(Source_Data!AZ$6=Inputs!$B$12,-Inputs!$B$7,0)+IF(AND(Source_Data!AZ$6&gt;=$B$406,Source_Data!AZ$6&lt;$B$406+3*Inputs!$B$16,MOD(Source_Data!AZ$6-$B$406,3)=0),Inputs!$B$8*Inputs!$B$7*Inputs!$B$34*$B$401*(1-Inputs!$B$15)/Inputs!$B$16,0)</f>
        <v>0</v>
      </c>
      <c r="BA415" s="33" t="n">
        <f aca="false">IF(Source_Data!BA$6=Inputs!$B$12,-Inputs!$B$7,0)+IF(AND(Source_Data!BA$6&gt;=$B$406,Source_Data!BA$6&lt;$B$406+3*Inputs!$B$16,MOD(Source_Data!BA$6-$B$406,3)=0),Inputs!$B$8*Inputs!$B$7*Inputs!$B$34*$B$401*(1-Inputs!$B$15)/Inputs!$B$16,0)</f>
        <v>0</v>
      </c>
      <c r="BB415" s="33" t="n">
        <f aca="false">IF(Source_Data!BB$6=Inputs!$B$12,-Inputs!$B$7,0)+IF(AND(Source_Data!BB$6&gt;=$B$406,Source_Data!BB$6&lt;$B$406+3*Inputs!$B$16,MOD(Source_Data!BB$6-$B$406,3)=0),Inputs!$B$8*Inputs!$B$7*Inputs!$B$34*$B$401*(1-Inputs!$B$15)/Inputs!$B$16,0)</f>
        <v>0</v>
      </c>
      <c r="BC415" s="33" t="n">
        <f aca="false">IF(Source_Data!BC$6=Inputs!$B$12,-Inputs!$B$7,0)+IF(AND(Source_Data!BC$6&gt;=$B$406,Source_Data!BC$6&lt;$B$406+3*Inputs!$B$16,MOD(Source_Data!BC$6-$B$406,3)=0),Inputs!$B$8*Inputs!$B$7*Inputs!$B$34*$B$401*(1-Inputs!$B$15)/Inputs!$B$16,0)</f>
        <v>0</v>
      </c>
      <c r="BD415" s="33" t="n">
        <f aca="false">IF(Source_Data!BD$6=Inputs!$B$12,-Inputs!$B$7,0)+IF(AND(Source_Data!BD$6&gt;=$B$406,Source_Data!BD$6&lt;$B$406+3*Inputs!$B$16,MOD(Source_Data!BD$6-$B$406,3)=0),Inputs!$B$8*Inputs!$B$7*Inputs!$B$34*$B$401*(1-Inputs!$B$15)/Inputs!$B$16,0)</f>
        <v>0</v>
      </c>
      <c r="BE415" s="33" t="n">
        <f aca="false">IF(Source_Data!BE$6=Inputs!$B$12,-Inputs!$B$7,0)+IF(AND(Source_Data!BE$6&gt;=$B$406,Source_Data!BE$6&lt;$B$406+3*Inputs!$B$16,MOD(Source_Data!BE$6-$B$406,3)=0),Inputs!$B$8*Inputs!$B$7*Inputs!$B$34*$B$401*(1-Inputs!$B$15)/Inputs!$B$16,0)</f>
        <v>0</v>
      </c>
      <c r="BF415" s="33" t="n">
        <f aca="false">IF(Source_Data!BF$6=Inputs!$B$12,-Inputs!$B$7,0)+IF(AND(Source_Data!BF$6&gt;=$B$406,Source_Data!BF$6&lt;$B$406+3*Inputs!$B$16,MOD(Source_Data!BF$6-$B$406,3)=0),Inputs!$B$8*Inputs!$B$7*Inputs!$B$34*$B$401*(1-Inputs!$B$15)/Inputs!$B$16,0)</f>
        <v>0</v>
      </c>
      <c r="BG415" s="33" t="n">
        <f aca="false">IF(Source_Data!BG$6=Inputs!$B$12,-Inputs!$B$7,0)+IF(AND(Source_Data!BG$6&gt;=$B$406,Source_Data!BG$6&lt;$B$406+3*Inputs!$B$16,MOD(Source_Data!BG$6-$B$406,3)=0),Inputs!$B$8*Inputs!$B$7*Inputs!$B$34*$B$401*(1-Inputs!$B$15)/Inputs!$B$16,0)</f>
        <v>0</v>
      </c>
      <c r="BH415" s="33" t="n">
        <f aca="false">IF(Source_Data!BH$6=Inputs!$B$12,-Inputs!$B$7,0)+IF(AND(Source_Data!BH$6&gt;=$B$406,Source_Data!BH$6&lt;$B$406+3*Inputs!$B$16,MOD(Source_Data!BH$6-$B$406,3)=0),Inputs!$B$8*Inputs!$B$7*Inputs!$B$34*$B$401*(1-Inputs!$B$15)/Inputs!$B$16,0)</f>
        <v>0</v>
      </c>
      <c r="BI415" s="33" t="n">
        <f aca="false">IF(Source_Data!BI$6=Inputs!$B$12,-Inputs!$B$7,0)+IF(AND(Source_Data!BI$6&gt;=$B$406,Source_Data!BI$6&lt;$B$406+3*Inputs!$B$16,MOD(Source_Data!BI$6-$B$406,3)=0),Inputs!$B$8*Inputs!$B$7*Inputs!$B$34*$B$401*(1-Inputs!$B$15)/Inputs!$B$16,0)</f>
        <v>0</v>
      </c>
      <c r="BJ415" s="33" t="n">
        <f aca="false">IF(Source_Data!BJ$6=Inputs!$B$12,-Inputs!$B$7,0)+IF(AND(Source_Data!BJ$6&gt;=$B$406,Source_Data!BJ$6&lt;$B$406+3*Inputs!$B$16,MOD(Source_Data!BJ$6-$B$406,3)=0),Inputs!$B$8*Inputs!$B$7*Inputs!$B$34*$B$401*(1-Inputs!$B$15)/Inputs!$B$16,0)</f>
        <v>0</v>
      </c>
      <c r="BK415" s="33" t="n">
        <f aca="false">IF(Source_Data!BK$6=Inputs!$B$12,-Inputs!$B$7,0)+IF(AND(Source_Data!BK$6&gt;=$B$406,Source_Data!BK$6&lt;$B$406+3*Inputs!$B$16,MOD(Source_Data!BK$6-$B$406,3)=0),Inputs!$B$8*Inputs!$B$7*Inputs!$B$34*$B$401*(1-Inputs!$B$15)/Inputs!$B$16,0)</f>
        <v>0</v>
      </c>
    </row>
    <row r="416" customFormat="false" ht="15" hidden="false" customHeight="false" outlineLevel="0" collapsed="false">
      <c r="A416" s="3" t="s">
        <v>341</v>
      </c>
      <c r="D416" s="33" t="n">
        <f aca="false">IF(AND(Source_Data!D$6&gt;=Inputs!$B$54,Source_Data!D$6&lt;Inputs!$B$54+3*Inputs!$B$11),Inputs!$B$9*Inputs!$B$7/Inputs!$B$11,0)</f>
        <v>0</v>
      </c>
      <c r="E416" s="33" t="n">
        <f aca="false">IF(AND(Source_Data!E$6&gt;=Inputs!$B$54,Source_Data!E$6&lt;Inputs!$B$54+3*Inputs!$B$11),Inputs!$B$9*Inputs!$B$7/Inputs!$B$11,0)</f>
        <v>0</v>
      </c>
      <c r="F416" s="33" t="n">
        <f aca="false">IF(AND(Source_Data!F$6&gt;=Inputs!$B$54,Source_Data!F$6&lt;Inputs!$B$54+3*Inputs!$B$11),Inputs!$B$9*Inputs!$B$7/Inputs!$B$11,0)</f>
        <v>0</v>
      </c>
      <c r="G416" s="33" t="n">
        <f aca="false">IF(AND(Source_Data!G$6&gt;=Inputs!$B$54,Source_Data!G$6&lt;Inputs!$B$54+3*Inputs!$B$11),Inputs!$B$9*Inputs!$B$7/Inputs!$B$11,0)</f>
        <v>0</v>
      </c>
      <c r="H416" s="33" t="n">
        <f aca="false">IF(AND(Source_Data!H$6&gt;=Inputs!$B$54,Source_Data!H$6&lt;Inputs!$B$54+3*Inputs!$B$11),Inputs!$B$9*Inputs!$B$7/Inputs!$B$11,0)</f>
        <v>0</v>
      </c>
      <c r="I416" s="33" t="n">
        <f aca="false">IF(AND(Source_Data!I$6&gt;=Inputs!$B$54,Source_Data!I$6&lt;Inputs!$B$54+3*Inputs!$B$11),Inputs!$B$9*Inputs!$B$7/Inputs!$B$11,0)</f>
        <v>0</v>
      </c>
      <c r="J416" s="33" t="n">
        <f aca="false">IF(AND(Source_Data!J$6&gt;=Inputs!$B$54,Source_Data!J$6&lt;Inputs!$B$54+3*Inputs!$B$11),Inputs!$B$9*Inputs!$B$7/Inputs!$B$11,0)</f>
        <v>0</v>
      </c>
      <c r="K416" s="33" t="n">
        <f aca="false">IF(AND(Source_Data!K$6&gt;=Inputs!$B$54,Source_Data!K$6&lt;Inputs!$B$54+3*Inputs!$B$11),Inputs!$B$9*Inputs!$B$7/Inputs!$B$11,0)</f>
        <v>0</v>
      </c>
      <c r="L416" s="33" t="n">
        <f aca="false">IF(AND(Source_Data!L$6&gt;=Inputs!$B$54,Source_Data!L$6&lt;Inputs!$B$54+3*Inputs!$B$11),Inputs!$B$9*Inputs!$B$7/Inputs!$B$11,0)</f>
        <v>0</v>
      </c>
      <c r="M416" s="33" t="n">
        <f aca="false">IF(AND(Source_Data!M$6&gt;=Inputs!$B$54,Source_Data!M$6&lt;Inputs!$B$54+3*Inputs!$B$11),Inputs!$B$9*Inputs!$B$7/Inputs!$B$11,0)</f>
        <v>19.1666666666667</v>
      </c>
      <c r="N416" s="33" t="n">
        <f aca="false">IF(AND(Source_Data!N$6&gt;=Inputs!$B$54,Source_Data!N$6&lt;Inputs!$B$54+3*Inputs!$B$11),Inputs!$B$9*Inputs!$B$7/Inputs!$B$11,0)</f>
        <v>19.1666666666667</v>
      </c>
      <c r="O416" s="33" t="n">
        <f aca="false">IF(AND(Source_Data!O$6&gt;=Inputs!$B$54,Source_Data!O$6&lt;Inputs!$B$54+3*Inputs!$B$11),Inputs!$B$9*Inputs!$B$7/Inputs!$B$11,0)</f>
        <v>19.1666666666667</v>
      </c>
      <c r="P416" s="33" t="n">
        <f aca="false">IF(AND(Source_Data!P$6&gt;=Inputs!$B$54,Source_Data!P$6&lt;Inputs!$B$54+3*Inputs!$B$11),Inputs!$B$9*Inputs!$B$7/Inputs!$B$11,0)</f>
        <v>19.1666666666667</v>
      </c>
      <c r="Q416" s="33" t="n">
        <f aca="false">IF(AND(Source_Data!Q$6&gt;=Inputs!$B$54,Source_Data!Q$6&lt;Inputs!$B$54+3*Inputs!$B$11),Inputs!$B$9*Inputs!$B$7/Inputs!$B$11,0)</f>
        <v>19.1666666666667</v>
      </c>
      <c r="R416" s="33" t="n">
        <f aca="false">IF(AND(Source_Data!R$6&gt;=Inputs!$B$54,Source_Data!R$6&lt;Inputs!$B$54+3*Inputs!$B$11),Inputs!$B$9*Inputs!$B$7/Inputs!$B$11,0)</f>
        <v>19.1666666666667</v>
      </c>
      <c r="S416" s="33" t="n">
        <f aca="false">IF(AND(Source_Data!S$6&gt;=Inputs!$B$54,Source_Data!S$6&lt;Inputs!$B$54+3*Inputs!$B$11),Inputs!$B$9*Inputs!$B$7/Inputs!$B$11,0)</f>
        <v>19.1666666666667</v>
      </c>
      <c r="T416" s="33" t="n">
        <f aca="false">IF(AND(Source_Data!T$6&gt;=Inputs!$B$54,Source_Data!T$6&lt;Inputs!$B$54+3*Inputs!$B$11),Inputs!$B$9*Inputs!$B$7/Inputs!$B$11,0)</f>
        <v>19.1666666666667</v>
      </c>
      <c r="U416" s="33" t="n">
        <f aca="false">IF(AND(Source_Data!U$6&gt;=Inputs!$B$54,Source_Data!U$6&lt;Inputs!$B$54+3*Inputs!$B$11),Inputs!$B$9*Inputs!$B$7/Inputs!$B$11,0)</f>
        <v>19.1666666666667</v>
      </c>
      <c r="V416" s="33" t="n">
        <f aca="false">IF(AND(Source_Data!V$6&gt;=Inputs!$B$54,Source_Data!V$6&lt;Inputs!$B$54+3*Inputs!$B$11),Inputs!$B$9*Inputs!$B$7/Inputs!$B$11,0)</f>
        <v>19.1666666666667</v>
      </c>
      <c r="W416" s="33" t="n">
        <f aca="false">IF(AND(Source_Data!W$6&gt;=Inputs!$B$54,Source_Data!W$6&lt;Inputs!$B$54+3*Inputs!$B$11),Inputs!$B$9*Inputs!$B$7/Inputs!$B$11,0)</f>
        <v>19.1666666666667</v>
      </c>
      <c r="X416" s="33" t="n">
        <f aca="false">IF(AND(Source_Data!X$6&gt;=Inputs!$B$54,Source_Data!X$6&lt;Inputs!$B$54+3*Inputs!$B$11),Inputs!$B$9*Inputs!$B$7/Inputs!$B$11,0)</f>
        <v>19.1666666666667</v>
      </c>
      <c r="Y416" s="33" t="n">
        <f aca="false">IF(AND(Source_Data!Y$6&gt;=Inputs!$B$54,Source_Data!Y$6&lt;Inputs!$B$54+3*Inputs!$B$11),Inputs!$B$9*Inputs!$B$7/Inputs!$B$11,0)</f>
        <v>0</v>
      </c>
      <c r="Z416" s="33" t="n">
        <f aca="false">IF(AND(Source_Data!Z$6&gt;=Inputs!$B$54,Source_Data!Z$6&lt;Inputs!$B$54+3*Inputs!$B$11),Inputs!$B$9*Inputs!$B$7/Inputs!$B$11,0)</f>
        <v>0</v>
      </c>
      <c r="AA416" s="33" t="n">
        <f aca="false">IF(AND(Source_Data!AA$6&gt;=Inputs!$B$54,Source_Data!AA$6&lt;Inputs!$B$54+3*Inputs!$B$11),Inputs!$B$9*Inputs!$B$7/Inputs!$B$11,0)</f>
        <v>0</v>
      </c>
      <c r="AB416" s="33" t="n">
        <f aca="false">IF(AND(Source_Data!AB$6&gt;=Inputs!$B$54,Source_Data!AB$6&lt;Inputs!$B$54+3*Inputs!$B$11),Inputs!$B$9*Inputs!$B$7/Inputs!$B$11,0)</f>
        <v>0</v>
      </c>
      <c r="AC416" s="33" t="n">
        <f aca="false">IF(AND(Source_Data!AC$6&gt;=Inputs!$B$54,Source_Data!AC$6&lt;Inputs!$B$54+3*Inputs!$B$11),Inputs!$B$9*Inputs!$B$7/Inputs!$B$11,0)</f>
        <v>0</v>
      </c>
      <c r="AD416" s="33" t="n">
        <f aca="false">IF(AND(Source_Data!AD$6&gt;=Inputs!$B$54,Source_Data!AD$6&lt;Inputs!$B$54+3*Inputs!$B$11),Inputs!$B$9*Inputs!$B$7/Inputs!$B$11,0)</f>
        <v>0</v>
      </c>
      <c r="AE416" s="33" t="n">
        <f aca="false">IF(AND(Source_Data!AE$6&gt;=Inputs!$B$54,Source_Data!AE$6&lt;Inputs!$B$54+3*Inputs!$B$11),Inputs!$B$9*Inputs!$B$7/Inputs!$B$11,0)</f>
        <v>0</v>
      </c>
      <c r="AF416" s="33" t="n">
        <f aca="false">IF(AND(Source_Data!AF$6&gt;=Inputs!$B$54,Source_Data!AF$6&lt;Inputs!$B$54+3*Inputs!$B$11),Inputs!$B$9*Inputs!$B$7/Inputs!$B$11,0)</f>
        <v>0</v>
      </c>
      <c r="AG416" s="33" t="n">
        <f aca="false">IF(AND(Source_Data!AG$6&gt;=Inputs!$B$54,Source_Data!AG$6&lt;Inputs!$B$54+3*Inputs!$B$11),Inputs!$B$9*Inputs!$B$7/Inputs!$B$11,0)</f>
        <v>0</v>
      </c>
      <c r="AH416" s="33" t="n">
        <f aca="false">IF(AND(Source_Data!AH$6&gt;=Inputs!$B$54,Source_Data!AH$6&lt;Inputs!$B$54+3*Inputs!$B$11),Inputs!$B$9*Inputs!$B$7/Inputs!$B$11,0)</f>
        <v>0</v>
      </c>
      <c r="AI416" s="33" t="n">
        <f aca="false">IF(AND(Source_Data!AI$6&gt;=Inputs!$B$54,Source_Data!AI$6&lt;Inputs!$B$54+3*Inputs!$B$11),Inputs!$B$9*Inputs!$B$7/Inputs!$B$11,0)</f>
        <v>0</v>
      </c>
      <c r="AJ416" s="33" t="n">
        <f aca="false">IF(AND(Source_Data!AJ$6&gt;=Inputs!$B$54,Source_Data!AJ$6&lt;Inputs!$B$54+3*Inputs!$B$11),Inputs!$B$9*Inputs!$B$7/Inputs!$B$11,0)</f>
        <v>0</v>
      </c>
      <c r="AK416" s="33" t="n">
        <f aca="false">IF(AND(Source_Data!AK$6&gt;=Inputs!$B$54,Source_Data!AK$6&lt;Inputs!$B$54+3*Inputs!$B$11),Inputs!$B$9*Inputs!$B$7/Inputs!$B$11,0)</f>
        <v>0</v>
      </c>
      <c r="AL416" s="33" t="n">
        <f aca="false">IF(AND(Source_Data!AL$6&gt;=Inputs!$B$54,Source_Data!AL$6&lt;Inputs!$B$54+3*Inputs!$B$11),Inputs!$B$9*Inputs!$B$7/Inputs!$B$11,0)</f>
        <v>0</v>
      </c>
      <c r="AM416" s="33" t="n">
        <f aca="false">IF(AND(Source_Data!AM$6&gt;=Inputs!$B$54,Source_Data!AM$6&lt;Inputs!$B$54+3*Inputs!$B$11),Inputs!$B$9*Inputs!$B$7/Inputs!$B$11,0)</f>
        <v>0</v>
      </c>
      <c r="AN416" s="33" t="n">
        <f aca="false">IF(AND(Source_Data!AN$6&gt;=Inputs!$B$54,Source_Data!AN$6&lt;Inputs!$B$54+3*Inputs!$B$11),Inputs!$B$9*Inputs!$B$7/Inputs!$B$11,0)</f>
        <v>0</v>
      </c>
      <c r="AO416" s="33" t="n">
        <f aca="false">IF(AND(Source_Data!AO$6&gt;=Inputs!$B$54,Source_Data!AO$6&lt;Inputs!$B$54+3*Inputs!$B$11),Inputs!$B$9*Inputs!$B$7/Inputs!$B$11,0)</f>
        <v>0</v>
      </c>
      <c r="AP416" s="33" t="n">
        <f aca="false">IF(AND(Source_Data!AP$6&gt;=Inputs!$B$54,Source_Data!AP$6&lt;Inputs!$B$54+3*Inputs!$B$11),Inputs!$B$9*Inputs!$B$7/Inputs!$B$11,0)</f>
        <v>0</v>
      </c>
      <c r="AQ416" s="33" t="n">
        <f aca="false">IF(AND(Source_Data!AQ$6&gt;=Inputs!$B$54,Source_Data!AQ$6&lt;Inputs!$B$54+3*Inputs!$B$11),Inputs!$B$9*Inputs!$B$7/Inputs!$B$11,0)</f>
        <v>0</v>
      </c>
      <c r="AR416" s="33" t="n">
        <f aca="false">IF(AND(Source_Data!AR$6&gt;=Inputs!$B$54,Source_Data!AR$6&lt;Inputs!$B$54+3*Inputs!$B$11),Inputs!$B$9*Inputs!$B$7/Inputs!$B$11,0)</f>
        <v>0</v>
      </c>
      <c r="AS416" s="33" t="n">
        <f aca="false">IF(AND(Source_Data!AS$6&gt;=Inputs!$B$54,Source_Data!AS$6&lt;Inputs!$B$54+3*Inputs!$B$11),Inputs!$B$9*Inputs!$B$7/Inputs!$B$11,0)</f>
        <v>0</v>
      </c>
      <c r="AT416" s="33" t="n">
        <f aca="false">IF(AND(Source_Data!AT$6&gt;=Inputs!$B$54,Source_Data!AT$6&lt;Inputs!$B$54+3*Inputs!$B$11),Inputs!$B$9*Inputs!$B$7/Inputs!$B$11,0)</f>
        <v>0</v>
      </c>
      <c r="AU416" s="33" t="n">
        <f aca="false">IF(AND(Source_Data!AU$6&gt;=Inputs!$B$54,Source_Data!AU$6&lt;Inputs!$B$54+3*Inputs!$B$11),Inputs!$B$9*Inputs!$B$7/Inputs!$B$11,0)</f>
        <v>0</v>
      </c>
      <c r="AV416" s="33" t="n">
        <f aca="false">IF(AND(Source_Data!AV$6&gt;=Inputs!$B$54,Source_Data!AV$6&lt;Inputs!$B$54+3*Inputs!$B$11),Inputs!$B$9*Inputs!$B$7/Inputs!$B$11,0)</f>
        <v>0</v>
      </c>
      <c r="AW416" s="33" t="n">
        <f aca="false">IF(AND(Source_Data!AW$6&gt;=Inputs!$B$54,Source_Data!AW$6&lt;Inputs!$B$54+3*Inputs!$B$11),Inputs!$B$9*Inputs!$B$7/Inputs!$B$11,0)</f>
        <v>0</v>
      </c>
      <c r="AX416" s="33" t="n">
        <f aca="false">IF(AND(Source_Data!AX$6&gt;=Inputs!$B$54,Source_Data!AX$6&lt;Inputs!$B$54+3*Inputs!$B$11),Inputs!$B$9*Inputs!$B$7/Inputs!$B$11,0)</f>
        <v>0</v>
      </c>
      <c r="AY416" s="33" t="n">
        <f aca="false">IF(AND(Source_Data!AY$6&gt;=Inputs!$B$54,Source_Data!AY$6&lt;Inputs!$B$54+3*Inputs!$B$11),Inputs!$B$9*Inputs!$B$7/Inputs!$B$11,0)</f>
        <v>0</v>
      </c>
      <c r="AZ416" s="33" t="n">
        <f aca="false">IF(AND(Source_Data!AZ$6&gt;=Inputs!$B$54,Source_Data!AZ$6&lt;Inputs!$B$54+3*Inputs!$B$11),Inputs!$B$9*Inputs!$B$7/Inputs!$B$11,0)</f>
        <v>0</v>
      </c>
      <c r="BA416" s="33" t="n">
        <f aca="false">IF(AND(Source_Data!BA$6&gt;=Inputs!$B$54,Source_Data!BA$6&lt;Inputs!$B$54+3*Inputs!$B$11),Inputs!$B$9*Inputs!$B$7/Inputs!$B$11,0)</f>
        <v>0</v>
      </c>
      <c r="BB416" s="33" t="n">
        <f aca="false">IF(AND(Source_Data!BB$6&gt;=Inputs!$B$54,Source_Data!BB$6&lt;Inputs!$B$54+3*Inputs!$B$11),Inputs!$B$9*Inputs!$B$7/Inputs!$B$11,0)</f>
        <v>0</v>
      </c>
      <c r="BC416" s="33" t="n">
        <f aca="false">IF(AND(Source_Data!BC$6&gt;=Inputs!$B$54,Source_Data!BC$6&lt;Inputs!$B$54+3*Inputs!$B$11),Inputs!$B$9*Inputs!$B$7/Inputs!$B$11,0)</f>
        <v>0</v>
      </c>
      <c r="BD416" s="33" t="n">
        <f aca="false">IF(AND(Source_Data!BD$6&gt;=Inputs!$B$54,Source_Data!BD$6&lt;Inputs!$B$54+3*Inputs!$B$11),Inputs!$B$9*Inputs!$B$7/Inputs!$B$11,0)</f>
        <v>0</v>
      </c>
      <c r="BE416" s="33" t="n">
        <f aca="false">IF(AND(Source_Data!BE$6&gt;=Inputs!$B$54,Source_Data!BE$6&lt;Inputs!$B$54+3*Inputs!$B$11),Inputs!$B$9*Inputs!$B$7/Inputs!$B$11,0)</f>
        <v>0</v>
      </c>
      <c r="BF416" s="33" t="n">
        <f aca="false">IF(AND(Source_Data!BF$6&gt;=Inputs!$B$54,Source_Data!BF$6&lt;Inputs!$B$54+3*Inputs!$B$11),Inputs!$B$9*Inputs!$B$7/Inputs!$B$11,0)</f>
        <v>0</v>
      </c>
      <c r="BG416" s="33" t="n">
        <f aca="false">IF(AND(Source_Data!BG$6&gt;=Inputs!$B$54,Source_Data!BG$6&lt;Inputs!$B$54+3*Inputs!$B$11),Inputs!$B$9*Inputs!$B$7/Inputs!$B$11,0)</f>
        <v>0</v>
      </c>
      <c r="BH416" s="33" t="n">
        <f aca="false">IF(AND(Source_Data!BH$6&gt;=Inputs!$B$54,Source_Data!BH$6&lt;Inputs!$B$54+3*Inputs!$B$11),Inputs!$B$9*Inputs!$B$7/Inputs!$B$11,0)</f>
        <v>0</v>
      </c>
      <c r="BI416" s="33" t="n">
        <f aca="false">IF(AND(Source_Data!BI$6&gt;=Inputs!$B$54,Source_Data!BI$6&lt;Inputs!$B$54+3*Inputs!$B$11),Inputs!$B$9*Inputs!$B$7/Inputs!$B$11,0)</f>
        <v>0</v>
      </c>
      <c r="BJ416" s="33" t="n">
        <f aca="false">IF(AND(Source_Data!BJ$6&gt;=Inputs!$B$54,Source_Data!BJ$6&lt;Inputs!$B$54+3*Inputs!$B$11),Inputs!$B$9*Inputs!$B$7/Inputs!$B$11,0)</f>
        <v>0</v>
      </c>
      <c r="BK416" s="33" t="n">
        <f aca="false">IF(AND(Source_Data!BK$6&gt;=Inputs!$B$54,Source_Data!BK$6&lt;Inputs!$B$54+3*Inputs!$B$11),Inputs!$B$9*Inputs!$B$7/Inputs!$B$11,0)</f>
        <v>0</v>
      </c>
    </row>
    <row r="417" customFormat="false" ht="15" hidden="false" customHeight="false" outlineLevel="0" collapsed="false">
      <c r="A417" s="3" t="s">
        <v>342</v>
      </c>
      <c r="D417" s="33" t="n">
        <f aca="false">IF(Source_Data!D$6=Inputs!$B$12,-Inputs!$B$7,0)+D416</f>
        <v>-100</v>
      </c>
      <c r="E417" s="33" t="n">
        <f aca="false">IF(Source_Data!E$6=Inputs!$B$12,-Inputs!$B$7,0)+E416</f>
        <v>0</v>
      </c>
      <c r="F417" s="33" t="n">
        <f aca="false">IF(Source_Data!F$6=Inputs!$B$12,-Inputs!$B$7,0)+F416</f>
        <v>0</v>
      </c>
      <c r="G417" s="33" t="n">
        <f aca="false">IF(Source_Data!G$6=Inputs!$B$12,-Inputs!$B$7,0)+G416</f>
        <v>0</v>
      </c>
      <c r="H417" s="33" t="n">
        <f aca="false">IF(Source_Data!H$6=Inputs!$B$12,-Inputs!$B$7,0)+H416</f>
        <v>0</v>
      </c>
      <c r="I417" s="33" t="n">
        <f aca="false">IF(Source_Data!I$6=Inputs!$B$12,-Inputs!$B$7,0)+I416</f>
        <v>0</v>
      </c>
      <c r="J417" s="33" t="n">
        <f aca="false">IF(Source_Data!J$6=Inputs!$B$12,-Inputs!$B$7,0)+J416</f>
        <v>0</v>
      </c>
      <c r="K417" s="33" t="n">
        <f aca="false">IF(Source_Data!K$6=Inputs!$B$12,-Inputs!$B$7,0)+K416</f>
        <v>0</v>
      </c>
      <c r="L417" s="33" t="n">
        <f aca="false">IF(Source_Data!L$6=Inputs!$B$12,-Inputs!$B$7,0)+L416</f>
        <v>0</v>
      </c>
      <c r="M417" s="33" t="n">
        <f aca="false">IF(Source_Data!M$6=Inputs!$B$12,-Inputs!$B$7,0)+M416</f>
        <v>19.1666666666667</v>
      </c>
      <c r="N417" s="33" t="n">
        <f aca="false">IF(Source_Data!N$6=Inputs!$B$12,-Inputs!$B$7,0)+N416</f>
        <v>19.1666666666667</v>
      </c>
      <c r="O417" s="33" t="n">
        <f aca="false">IF(Source_Data!O$6=Inputs!$B$12,-Inputs!$B$7,0)+O416</f>
        <v>19.1666666666667</v>
      </c>
      <c r="P417" s="33" t="n">
        <f aca="false">IF(Source_Data!P$6=Inputs!$B$12,-Inputs!$B$7,0)+P416</f>
        <v>19.1666666666667</v>
      </c>
      <c r="Q417" s="33" t="n">
        <f aca="false">IF(Source_Data!Q$6=Inputs!$B$12,-Inputs!$B$7,0)+Q416</f>
        <v>19.1666666666667</v>
      </c>
      <c r="R417" s="33" t="n">
        <f aca="false">IF(Source_Data!R$6=Inputs!$B$12,-Inputs!$B$7,0)+R416</f>
        <v>19.1666666666667</v>
      </c>
      <c r="S417" s="33" t="n">
        <f aca="false">IF(Source_Data!S$6=Inputs!$B$12,-Inputs!$B$7,0)+S416</f>
        <v>19.1666666666667</v>
      </c>
      <c r="T417" s="33" t="n">
        <f aca="false">IF(Source_Data!T$6=Inputs!$B$12,-Inputs!$B$7,0)+T416</f>
        <v>19.1666666666667</v>
      </c>
      <c r="U417" s="33" t="n">
        <f aca="false">IF(Source_Data!U$6=Inputs!$B$12,-Inputs!$B$7,0)+U416</f>
        <v>19.1666666666667</v>
      </c>
      <c r="V417" s="33" t="n">
        <f aca="false">IF(Source_Data!V$6=Inputs!$B$12,-Inputs!$B$7,0)+V416</f>
        <v>19.1666666666667</v>
      </c>
      <c r="W417" s="33" t="n">
        <f aca="false">IF(Source_Data!W$6=Inputs!$B$12,-Inputs!$B$7,0)+W416</f>
        <v>19.1666666666667</v>
      </c>
      <c r="X417" s="33" t="n">
        <f aca="false">IF(Source_Data!X$6=Inputs!$B$12,-Inputs!$B$7,0)+X416</f>
        <v>19.1666666666667</v>
      </c>
      <c r="Y417" s="33" t="n">
        <f aca="false">IF(Source_Data!Y$6=Inputs!$B$12,-Inputs!$B$7,0)+Y416</f>
        <v>0</v>
      </c>
      <c r="Z417" s="33" t="n">
        <f aca="false">IF(Source_Data!Z$6=Inputs!$B$12,-Inputs!$B$7,0)+Z416</f>
        <v>0</v>
      </c>
      <c r="AA417" s="33" t="n">
        <f aca="false">IF(Source_Data!AA$6=Inputs!$B$12,-Inputs!$B$7,0)+AA416</f>
        <v>0</v>
      </c>
      <c r="AB417" s="33" t="n">
        <f aca="false">IF(Source_Data!AB$6=Inputs!$B$12,-Inputs!$B$7,0)+AB416</f>
        <v>0</v>
      </c>
      <c r="AC417" s="33" t="n">
        <f aca="false">IF(Source_Data!AC$6=Inputs!$B$12,-Inputs!$B$7,0)+AC416</f>
        <v>0</v>
      </c>
      <c r="AD417" s="33" t="n">
        <f aca="false">IF(Source_Data!AD$6=Inputs!$B$12,-Inputs!$B$7,0)+AD416</f>
        <v>0</v>
      </c>
      <c r="AE417" s="33" t="n">
        <f aca="false">IF(Source_Data!AE$6=Inputs!$B$12,-Inputs!$B$7,0)+AE416</f>
        <v>0</v>
      </c>
      <c r="AF417" s="33" t="n">
        <f aca="false">IF(Source_Data!AF$6=Inputs!$B$12,-Inputs!$B$7,0)+AF416</f>
        <v>0</v>
      </c>
      <c r="AG417" s="33" t="n">
        <f aca="false">IF(Source_Data!AG$6=Inputs!$B$12,-Inputs!$B$7,0)+AG416</f>
        <v>0</v>
      </c>
      <c r="AH417" s="33" t="n">
        <f aca="false">IF(Source_Data!AH$6=Inputs!$B$12,-Inputs!$B$7,0)+AH416</f>
        <v>0</v>
      </c>
      <c r="AI417" s="33" t="n">
        <f aca="false">IF(Source_Data!AI$6=Inputs!$B$12,-Inputs!$B$7,0)+AI416</f>
        <v>0</v>
      </c>
      <c r="AJ417" s="33" t="n">
        <f aca="false">IF(Source_Data!AJ$6=Inputs!$B$12,-Inputs!$B$7,0)+AJ416</f>
        <v>0</v>
      </c>
      <c r="AK417" s="33" t="n">
        <f aca="false">IF(Source_Data!AK$6=Inputs!$B$12,-Inputs!$B$7,0)+AK416</f>
        <v>0</v>
      </c>
      <c r="AL417" s="33" t="n">
        <f aca="false">IF(Source_Data!AL$6=Inputs!$B$12,-Inputs!$B$7,0)+AL416</f>
        <v>0</v>
      </c>
      <c r="AM417" s="33" t="n">
        <f aca="false">IF(Source_Data!AM$6=Inputs!$B$12,-Inputs!$B$7,0)+AM416</f>
        <v>0</v>
      </c>
      <c r="AN417" s="33" t="n">
        <f aca="false">IF(Source_Data!AN$6=Inputs!$B$12,-Inputs!$B$7,0)+AN416</f>
        <v>0</v>
      </c>
      <c r="AO417" s="33" t="n">
        <f aca="false">IF(Source_Data!AO$6=Inputs!$B$12,-Inputs!$B$7,0)+AO416</f>
        <v>0</v>
      </c>
      <c r="AP417" s="33" t="n">
        <f aca="false">IF(Source_Data!AP$6=Inputs!$B$12,-Inputs!$B$7,0)+AP416</f>
        <v>0</v>
      </c>
      <c r="AQ417" s="33" t="n">
        <f aca="false">IF(Source_Data!AQ$6=Inputs!$B$12,-Inputs!$B$7,0)+AQ416</f>
        <v>0</v>
      </c>
      <c r="AR417" s="33" t="n">
        <f aca="false">IF(Source_Data!AR$6=Inputs!$B$12,-Inputs!$B$7,0)+AR416</f>
        <v>0</v>
      </c>
      <c r="AS417" s="33" t="n">
        <f aca="false">IF(Source_Data!AS$6=Inputs!$B$12,-Inputs!$B$7,0)+AS416</f>
        <v>0</v>
      </c>
      <c r="AT417" s="33" t="n">
        <f aca="false">IF(Source_Data!AT$6=Inputs!$B$12,-Inputs!$B$7,0)+AT416</f>
        <v>0</v>
      </c>
      <c r="AU417" s="33" t="n">
        <f aca="false">IF(Source_Data!AU$6=Inputs!$B$12,-Inputs!$B$7,0)+AU416</f>
        <v>0</v>
      </c>
      <c r="AV417" s="33" t="n">
        <f aca="false">IF(Source_Data!AV$6=Inputs!$B$12,-Inputs!$B$7,0)+AV416</f>
        <v>0</v>
      </c>
      <c r="AW417" s="33" t="n">
        <f aca="false">IF(Source_Data!AW$6=Inputs!$B$12,-Inputs!$B$7,0)+AW416</f>
        <v>0</v>
      </c>
      <c r="AX417" s="33" t="n">
        <f aca="false">IF(Source_Data!AX$6=Inputs!$B$12,-Inputs!$B$7,0)+AX416</f>
        <v>0</v>
      </c>
      <c r="AY417" s="33" t="n">
        <f aca="false">IF(Source_Data!AY$6=Inputs!$B$12,-Inputs!$B$7,0)+AY416</f>
        <v>0</v>
      </c>
      <c r="AZ417" s="33" t="n">
        <f aca="false">IF(Source_Data!AZ$6=Inputs!$B$12,-Inputs!$B$7,0)+AZ416</f>
        <v>0</v>
      </c>
      <c r="BA417" s="33" t="n">
        <f aca="false">IF(Source_Data!BA$6=Inputs!$B$12,-Inputs!$B$7,0)+BA416</f>
        <v>0</v>
      </c>
      <c r="BB417" s="33" t="n">
        <f aca="false">IF(Source_Data!BB$6=Inputs!$B$12,-Inputs!$B$7,0)+BB416</f>
        <v>0</v>
      </c>
      <c r="BC417" s="33" t="n">
        <f aca="false">IF(Source_Data!BC$6=Inputs!$B$12,-Inputs!$B$7,0)+BC416</f>
        <v>0</v>
      </c>
      <c r="BD417" s="33" t="n">
        <f aca="false">IF(Source_Data!BD$6=Inputs!$B$12,-Inputs!$B$7,0)+BD416</f>
        <v>0</v>
      </c>
      <c r="BE417" s="33" t="n">
        <f aca="false">IF(Source_Data!BE$6=Inputs!$B$12,-Inputs!$B$7,0)+BE416</f>
        <v>0</v>
      </c>
      <c r="BF417" s="33" t="n">
        <f aca="false">IF(Source_Data!BF$6=Inputs!$B$12,-Inputs!$B$7,0)+BF416</f>
        <v>0</v>
      </c>
      <c r="BG417" s="33" t="n">
        <f aca="false">IF(Source_Data!BG$6=Inputs!$B$12,-Inputs!$B$7,0)+BG416</f>
        <v>0</v>
      </c>
      <c r="BH417" s="33" t="n">
        <f aca="false">IF(Source_Data!BH$6=Inputs!$B$12,-Inputs!$B$7,0)+BH416</f>
        <v>0</v>
      </c>
      <c r="BI417" s="33" t="n">
        <f aca="false">IF(Source_Data!BI$6=Inputs!$B$12,-Inputs!$B$7,0)+BI416</f>
        <v>0</v>
      </c>
      <c r="BJ417" s="33" t="n">
        <f aca="false">IF(Source_Data!BJ$6=Inputs!$B$12,-Inputs!$B$7,0)+BJ416</f>
        <v>0</v>
      </c>
      <c r="BK417" s="33" t="n">
        <f aca="false">IF(Source_Data!BK$6=Inputs!$B$12,-Inputs!$B$7,0)+BK416</f>
        <v>0</v>
      </c>
    </row>
    <row r="418" customFormat="false" ht="15" hidden="false" customHeight="false" outlineLevel="0" collapsed="false">
      <c r="A418" s="3" t="s">
        <v>343</v>
      </c>
      <c r="D418" s="33" t="n">
        <f aca="false">IF(Source_Data!D$6=Inputs!$B$12,Inputs!$B$7,0)+D413-D416</f>
        <v>8.75</v>
      </c>
      <c r="E418" s="33" t="n">
        <f aca="false">D418+IF(Source_Data!E$6=Inputs!$B$12,Inputs!$B$7,0)+E413-E416</f>
        <v>-2.5</v>
      </c>
      <c r="F418" s="33" t="n">
        <f aca="false">E418+IF(Source_Data!F$6=Inputs!$B$12,Inputs!$B$7,0)+F413-F416</f>
        <v>-13.75</v>
      </c>
      <c r="G418" s="33" t="n">
        <f aca="false">F418+IF(Source_Data!G$6=Inputs!$B$12,Inputs!$B$7,0)+G413-G416</f>
        <v>-25</v>
      </c>
      <c r="H418" s="33" t="n">
        <f aca="false">G418+IF(Source_Data!H$6=Inputs!$B$12,Inputs!$B$7,0)+H413-H416</f>
        <v>-55.3607625</v>
      </c>
      <c r="I418" s="33" t="n">
        <f aca="false">H418+IF(Source_Data!I$6=Inputs!$B$12,Inputs!$B$7,0)+I413-I416</f>
        <v>-77.9422875</v>
      </c>
      <c r="J418" s="33" t="n">
        <f aca="false">I418+IF(Source_Data!J$6=Inputs!$B$12,Inputs!$B$7,0)+J413-J416</f>
        <v>-112.04167125</v>
      </c>
      <c r="K418" s="33" t="n">
        <f aca="false">J418+IF(Source_Data!K$6=Inputs!$B$12,Inputs!$B$7,0)+K413-K416</f>
        <v>-114.26752375</v>
      </c>
      <c r="L418" s="33" t="n">
        <f aca="false">K418+IF(Source_Data!L$6=Inputs!$B$12,Inputs!$B$7,0)+L413-L416</f>
        <v>-125.53308375</v>
      </c>
      <c r="M418" s="33" t="n">
        <f aca="false">L418+IF(Source_Data!M$6=Inputs!$B$12,Inputs!$B$7,0)+M413-M416</f>
        <v>-154.857451041667</v>
      </c>
      <c r="N418" s="33" t="n">
        <f aca="false">M418+IF(Source_Data!N$6=Inputs!$B$12,Inputs!$B$7,0)+N413-N416</f>
        <v>-140.506279270833</v>
      </c>
      <c r="O418" s="33" t="n">
        <f aca="false">N418+IF(Source_Data!O$6=Inputs!$B$12,Inputs!$B$7,0)+O413-O416</f>
        <v>288.7698815625</v>
      </c>
      <c r="P418" s="33" t="n">
        <f aca="false">O418+IF(Source_Data!P$6=Inputs!$B$12,Inputs!$B$7,0)+P413-P416</f>
        <v>264.482924895833</v>
      </c>
      <c r="Q418" s="33" t="n">
        <f aca="false">P418+IF(Source_Data!Q$6=Inputs!$B$12,Inputs!$B$7,0)+Q413-Q416</f>
        <v>229.589458229167</v>
      </c>
      <c r="R418" s="33" t="n">
        <f aca="false">Q418+IF(Source_Data!R$6=Inputs!$B$12,Inputs!$B$7,0)+R413-R416</f>
        <v>64.8727415625001</v>
      </c>
      <c r="S418" s="33" t="n">
        <f aca="false">R418+IF(Source_Data!S$6=Inputs!$B$12,Inputs!$B$7,0)+S413-S416</f>
        <v>-69.1901563541666</v>
      </c>
      <c r="T418" s="33" t="n">
        <f aca="false">S418+IF(Source_Data!T$6=Inputs!$B$12,Inputs!$B$7,0)+T413-T416</f>
        <v>-62.0468542708333</v>
      </c>
      <c r="U418" s="33" t="n">
        <f aca="false">T418+IF(Source_Data!U$6=Inputs!$B$12,Inputs!$B$7,0)+U413-U416</f>
        <v>-58.1764853124999</v>
      </c>
      <c r="V418" s="33" t="n">
        <f aca="false">U418+IF(Source_Data!V$6=Inputs!$B$12,Inputs!$B$7,0)+V413-V416</f>
        <v>-61.1165122916666</v>
      </c>
      <c r="W418" s="33" t="n">
        <f aca="false">V418+IF(Source_Data!W$6=Inputs!$B$12,Inputs!$B$7,0)+W413-W416</f>
        <v>-65.5704630208333</v>
      </c>
      <c r="X418" s="33" t="n">
        <f aca="false">W418+IF(Source_Data!X$6=Inputs!$B$12,Inputs!$B$7,0)+X413-X416</f>
        <v>-53.5131849999999</v>
      </c>
      <c r="Y418" s="33" t="n">
        <f aca="false">X418+IF(Source_Data!Y$6=Inputs!$B$12,Inputs!$B$7,0)+Y413-Y416</f>
        <v>-26.6302403124999</v>
      </c>
      <c r="Z418" s="33" t="n">
        <f aca="false">Y418+IF(Source_Data!Z$6=Inputs!$B$12,Inputs!$B$7,0)+Z413-Z416</f>
        <v>0.252704375000064</v>
      </c>
      <c r="AA418" s="33" t="n">
        <f aca="false">Z418+IF(Source_Data!AA$6=Inputs!$B$12,Inputs!$B$7,0)+AA413-AA416</f>
        <v>19.8554303125001</v>
      </c>
      <c r="AB418" s="33" t="n">
        <f aca="false">AA418+IF(Source_Data!AB$6=Inputs!$B$12,Inputs!$B$7,0)+AB413-AB416</f>
        <v>61.9581562500001</v>
      </c>
      <c r="AC418" s="33" t="n">
        <f aca="false">AB418+IF(Source_Data!AC$6=Inputs!$B$12,Inputs!$B$7,0)+AC413-AC416</f>
        <v>104.0608821875</v>
      </c>
      <c r="AD418" s="33" t="n">
        <f aca="false">AC418+IF(Source_Data!AD$6=Inputs!$B$12,Inputs!$B$7,0)+AD413-AD416</f>
        <v>140.375608125</v>
      </c>
      <c r="AE418" s="33" t="n">
        <f aca="false">AD418+IF(Source_Data!AE$6=Inputs!$B$12,Inputs!$B$7,0)+AE413-AE416</f>
        <v>173.414235625</v>
      </c>
      <c r="AF418" s="33" t="n">
        <f aca="false">AE418+IF(Source_Data!AF$6=Inputs!$B$12,Inputs!$B$7,0)+AF413-AF416</f>
        <v>95.0861965234375</v>
      </c>
      <c r="AG418" s="33" t="n">
        <f aca="false">AF418+IF(Source_Data!AG$6=Inputs!$B$12,Inputs!$B$7,0)+AG413-AG416</f>
        <v>109.198855351563</v>
      </c>
      <c r="AH418" s="33" t="n">
        <f aca="false">AG418+IF(Source_Data!AH$6=Inputs!$B$12,Inputs!$B$7,0)+AH413-AH416</f>
        <v>123.311514179688</v>
      </c>
      <c r="AI418" s="33" t="n">
        <f aca="false">AH418+IF(Source_Data!AI$6=Inputs!$B$12,Inputs!$B$7,0)+AI413-AI416</f>
        <v>137.424173007813</v>
      </c>
      <c r="AJ418" s="33" t="n">
        <f aca="false">AI418+IF(Source_Data!AJ$6=Inputs!$B$12,Inputs!$B$7,0)+AJ413-AJ416</f>
        <v>151.536831835938</v>
      </c>
      <c r="AK418" s="33" t="n">
        <f aca="false">AJ418+IF(Source_Data!AK$6=Inputs!$B$12,Inputs!$B$7,0)+AK413-AK416</f>
        <v>166.605019375</v>
      </c>
      <c r="AL418" s="33" t="n">
        <f aca="false">AK418+IF(Source_Data!AL$6=Inputs!$B$12,Inputs!$B$7,0)+AL413-AL416</f>
        <v>181.673206914063</v>
      </c>
      <c r="AM418" s="33" t="n">
        <f aca="false">AL418+IF(Source_Data!AM$6=Inputs!$B$12,Inputs!$B$7,0)+AM413-AM416</f>
        <v>196.3797575</v>
      </c>
      <c r="AN418" s="33" t="n">
        <f aca="false">AM418+IF(Source_Data!AN$6=Inputs!$B$12,Inputs!$B$7,0)+AN413-AN416</f>
        <v>215.07341484375</v>
      </c>
      <c r="AO418" s="33" t="n">
        <f aca="false">AN418+IF(Source_Data!AO$6=Inputs!$B$12,Inputs!$B$7,0)+AO413-AO416</f>
        <v>232.2508875</v>
      </c>
      <c r="AP418" s="33" t="n">
        <f aca="false">AO418+IF(Source_Data!AP$6=Inputs!$B$12,Inputs!$B$7,0)+AP413-AP416</f>
        <v>241.877055</v>
      </c>
      <c r="AQ418" s="33" t="n">
        <f aca="false">AP418+IF(Source_Data!AQ$6=Inputs!$B$12,Inputs!$B$7,0)+AQ413-AQ416</f>
        <v>245.4475275</v>
      </c>
      <c r="AR418" s="33" t="n">
        <f aca="false">AQ418+IF(Source_Data!AR$6=Inputs!$B$12,Inputs!$B$7,0)+AR413-AR416</f>
        <v>245.4475275</v>
      </c>
      <c r="AS418" s="33" t="n">
        <f aca="false">AR418+IF(Source_Data!AS$6=Inputs!$B$12,Inputs!$B$7,0)+AS413-AS416</f>
        <v>245.4475275</v>
      </c>
      <c r="AT418" s="33" t="n">
        <f aca="false">AS418+IF(Source_Data!AT$6=Inputs!$B$12,Inputs!$B$7,0)+AT413-AT416</f>
        <v>245.4475275</v>
      </c>
      <c r="AU418" s="33" t="n">
        <f aca="false">AT418+IF(Source_Data!AU$6=Inputs!$B$12,Inputs!$B$7,0)+AU413-AU416</f>
        <v>245.4475275</v>
      </c>
      <c r="AV418" s="33" t="n">
        <f aca="false">AU418+IF(Source_Data!AV$6=Inputs!$B$12,Inputs!$B$7,0)+AV413-AV416</f>
        <v>245.4475275</v>
      </c>
      <c r="AW418" s="33" t="n">
        <f aca="false">AV418+IF(Source_Data!AW$6=Inputs!$B$12,Inputs!$B$7,0)+AW413-AW416</f>
        <v>245.4475275</v>
      </c>
      <c r="AX418" s="33" t="n">
        <f aca="false">AW418+IF(Source_Data!AX$6=Inputs!$B$12,Inputs!$B$7,0)+AX413-AX416</f>
        <v>245.4475275</v>
      </c>
      <c r="AY418" s="33" t="n">
        <f aca="false">AX418+IF(Source_Data!AY$6=Inputs!$B$12,Inputs!$B$7,0)+AY413-AY416</f>
        <v>245.4475275</v>
      </c>
      <c r="AZ418" s="33" t="n">
        <f aca="false">AY418+IF(Source_Data!AZ$6=Inputs!$B$12,Inputs!$B$7,0)+AZ413-AZ416</f>
        <v>245.4475275</v>
      </c>
      <c r="BA418" s="33" t="n">
        <f aca="false">AZ418+IF(Source_Data!BA$6=Inputs!$B$12,Inputs!$B$7,0)+BA413-BA416</f>
        <v>245.4475275</v>
      </c>
      <c r="BB418" s="33" t="n">
        <f aca="false">BA418+IF(Source_Data!BB$6=Inputs!$B$12,Inputs!$B$7,0)+BB413-BB416</f>
        <v>245.4475275</v>
      </c>
      <c r="BC418" s="33" t="n">
        <f aca="false">BB418+IF(Source_Data!BC$6=Inputs!$B$12,Inputs!$B$7,0)+BC413-BC416</f>
        <v>245.4475275</v>
      </c>
      <c r="BD418" s="33" t="n">
        <f aca="false">BC418+IF(Source_Data!BD$6=Inputs!$B$12,Inputs!$B$7,0)+BD413-BD416</f>
        <v>245.4475275</v>
      </c>
      <c r="BE418" s="33" t="n">
        <f aca="false">BD418+IF(Source_Data!BE$6=Inputs!$B$12,Inputs!$B$7,0)+BE413-BE416</f>
        <v>245.4475275</v>
      </c>
      <c r="BF418" s="33" t="n">
        <f aca="false">BE418+IF(Source_Data!BF$6=Inputs!$B$12,Inputs!$B$7,0)+BF413-BF416</f>
        <v>245.4475275</v>
      </c>
      <c r="BG418" s="33" t="n">
        <f aca="false">BF418+IF(Source_Data!BG$6=Inputs!$B$12,Inputs!$B$7,0)+BG413-BG416</f>
        <v>245.4475275</v>
      </c>
      <c r="BH418" s="33" t="n">
        <f aca="false">BG418+IF(Source_Data!BH$6=Inputs!$B$12,Inputs!$B$7,0)+BH413-BH416</f>
        <v>245.4475275</v>
      </c>
      <c r="BI418" s="33" t="n">
        <f aca="false">BH418+IF(Source_Data!BI$6=Inputs!$B$12,Inputs!$B$7,0)+BI413-BI416</f>
        <v>245.4475275</v>
      </c>
      <c r="BJ418" s="33" t="n">
        <f aca="false">BI418+IF(Source_Data!BJ$6=Inputs!$B$12,Inputs!$B$7,0)+BJ413-BJ416</f>
        <v>245.4475275</v>
      </c>
      <c r="BK418" s="33" t="n">
        <f aca="false">BJ418+IF(Source_Data!BK$6=Inputs!$B$12,Inputs!$B$7,0)+BK413-BK416</f>
        <v>245.4475275</v>
      </c>
    </row>
    <row r="419" customFormat="false" ht="15" hidden="false" customHeight="false" outlineLevel="0" collapsed="false">
      <c r="A419" s="3" t="s">
        <v>344</v>
      </c>
      <c r="D419" s="31" t="str">
        <f aca="false">IF(D416&gt;0,D413/D416,"")</f>
        <v/>
      </c>
      <c r="E419" s="31" t="str">
        <f aca="false">IF(E416&gt;0,E413/E416,"")</f>
        <v/>
      </c>
      <c r="F419" s="31" t="str">
        <f aca="false">IF(F416&gt;0,F413/F416,"")</f>
        <v/>
      </c>
      <c r="G419" s="31" t="str">
        <f aca="false">IF(G416&gt;0,G413/G416,"")</f>
        <v/>
      </c>
      <c r="H419" s="31" t="str">
        <f aca="false">IF(H416&gt;0,H413/H416,"")</f>
        <v/>
      </c>
      <c r="I419" s="31" t="str">
        <f aca="false">IF(I416&gt;0,I413/I416,"")</f>
        <v/>
      </c>
      <c r="J419" s="31" t="str">
        <f aca="false">IF(J416&gt;0,J413/J416,"")</f>
        <v/>
      </c>
      <c r="K419" s="31" t="str">
        <f aca="false">IF(K416&gt;0,K413/K416,"")</f>
        <v/>
      </c>
      <c r="L419" s="31" t="str">
        <f aca="false">IF(L416&gt;0,L413/L416,"")</f>
        <v/>
      </c>
      <c r="M419" s="31" t="n">
        <f aca="false">IF(M416&gt;0,M413/M416,"")</f>
        <v>-0.529966989130434</v>
      </c>
      <c r="N419" s="31" t="n">
        <f aca="false">IF(N416&gt;0,N413/N416,"")</f>
        <v>1.74875678804348</v>
      </c>
      <c r="O419" s="31" t="n">
        <f aca="false">IF(O416&gt;0,O413/O416,"")</f>
        <v>23.3970170869565</v>
      </c>
      <c r="P419" s="31" t="n">
        <f aca="false">IF(P416&gt;0,P413/P416,"")</f>
        <v>-0.267145565217391</v>
      </c>
      <c r="Q419" s="31" t="n">
        <f aca="false">IF(Q416&gt;0,Q413/Q416,"")</f>
        <v>-0.820528695652175</v>
      </c>
      <c r="R419" s="31" t="n">
        <f aca="false">IF(R416&gt;0,R413/R416,"")</f>
        <v>-7.59391565217391</v>
      </c>
      <c r="S419" s="31" t="n">
        <f aca="false">IF(S416&gt;0,S413/S416,"")</f>
        <v>-5.99458597826087</v>
      </c>
      <c r="T419" s="31" t="n">
        <f aca="false">IF(T416&gt;0,T413/T416,"")</f>
        <v>1.37269402173913</v>
      </c>
      <c r="U419" s="31" t="n">
        <f aca="false">IF(U416&gt;0,U413/U416,"")</f>
        <v>1.20193229347826</v>
      </c>
      <c r="V419" s="31" t="n">
        <f aca="false">IF(V416&gt;0,V413/V416,"")</f>
        <v>0.846607288043478</v>
      </c>
      <c r="W419" s="31" t="n">
        <f aca="false">IF(W416&gt;0,W413/W416,"")</f>
        <v>0.767619961956522</v>
      </c>
      <c r="X419" s="31" t="n">
        <f aca="false">IF(X416&gt;0,X413/X416,"")</f>
        <v>1.629075375</v>
      </c>
      <c r="Y419" s="31" t="str">
        <f aca="false">IF(Y416&gt;0,Y413/Y416,"")</f>
        <v/>
      </c>
      <c r="Z419" s="31" t="str">
        <f aca="false">IF(Z416&gt;0,Z413/Z416,"")</f>
        <v/>
      </c>
      <c r="AA419" s="31" t="str">
        <f aca="false">IF(AA416&gt;0,AA413/AA416,"")</f>
        <v/>
      </c>
      <c r="AB419" s="31" t="str">
        <f aca="false">IF(AB416&gt;0,AB413/AB416,"")</f>
        <v/>
      </c>
      <c r="AC419" s="31" t="str">
        <f aca="false">IF(AC416&gt;0,AC413/AC416,"")</f>
        <v/>
      </c>
      <c r="AD419" s="31" t="str">
        <f aca="false">IF(AD416&gt;0,AD413/AD416,"")</f>
        <v/>
      </c>
      <c r="AE419" s="31" t="str">
        <f aca="false">IF(AE416&gt;0,AE413/AE416,"")</f>
        <v/>
      </c>
      <c r="AF419" s="31" t="str">
        <f aca="false">IF(AF416&gt;0,AF413/AF416,"")</f>
        <v/>
      </c>
      <c r="AG419" s="31" t="str">
        <f aca="false">IF(AG416&gt;0,AG413/AG416,"")</f>
        <v/>
      </c>
      <c r="AH419" s="31" t="str">
        <f aca="false">IF(AH416&gt;0,AH413/AH416,"")</f>
        <v/>
      </c>
      <c r="AI419" s="31" t="str">
        <f aca="false">IF(AI416&gt;0,AI413/AI416,"")</f>
        <v/>
      </c>
      <c r="AJ419" s="31" t="str">
        <f aca="false">IF(AJ416&gt;0,AJ413/AJ416,"")</f>
        <v/>
      </c>
      <c r="AK419" s="31" t="str">
        <f aca="false">IF(AK416&gt;0,AK413/AK416,"")</f>
        <v/>
      </c>
      <c r="AL419" s="31" t="str">
        <f aca="false">IF(AL416&gt;0,AL413/AL416,"")</f>
        <v/>
      </c>
      <c r="AM419" s="31" t="str">
        <f aca="false">IF(AM416&gt;0,AM413/AM416,"")</f>
        <v/>
      </c>
      <c r="AN419" s="31" t="str">
        <f aca="false">IF(AN416&gt;0,AN413/AN416,"")</f>
        <v/>
      </c>
      <c r="AO419" s="31" t="str">
        <f aca="false">IF(AO416&gt;0,AO413/AO416,"")</f>
        <v/>
      </c>
      <c r="AP419" s="31" t="str">
        <f aca="false">IF(AP416&gt;0,AP413/AP416,"")</f>
        <v/>
      </c>
      <c r="AQ419" s="31" t="str">
        <f aca="false">IF(AQ416&gt;0,AQ413/AQ416,"")</f>
        <v/>
      </c>
      <c r="AR419" s="31" t="str">
        <f aca="false">IF(AR416&gt;0,AR413/AR416,"")</f>
        <v/>
      </c>
      <c r="AS419" s="31" t="str">
        <f aca="false">IF(AS416&gt;0,AS413/AS416,"")</f>
        <v/>
      </c>
      <c r="AT419" s="31" t="str">
        <f aca="false">IF(AT416&gt;0,AT413/AT416,"")</f>
        <v/>
      </c>
      <c r="AU419" s="31" t="str">
        <f aca="false">IF(AU416&gt;0,AU413/AU416,"")</f>
        <v/>
      </c>
      <c r="AV419" s="31" t="str">
        <f aca="false">IF(AV416&gt;0,AV413/AV416,"")</f>
        <v/>
      </c>
      <c r="AW419" s="31" t="str">
        <f aca="false">IF(AW416&gt;0,AW413/AW416,"")</f>
        <v/>
      </c>
      <c r="AX419" s="31" t="str">
        <f aca="false">IF(AX416&gt;0,AX413/AX416,"")</f>
        <v/>
      </c>
      <c r="AY419" s="31" t="str">
        <f aca="false">IF(AY416&gt;0,AY413/AY416,"")</f>
        <v/>
      </c>
      <c r="AZ419" s="31" t="str">
        <f aca="false">IF(AZ416&gt;0,AZ413/AZ416,"")</f>
        <v/>
      </c>
      <c r="BA419" s="31" t="str">
        <f aca="false">IF(BA416&gt;0,BA413/BA416,"")</f>
        <v/>
      </c>
      <c r="BB419" s="31" t="str">
        <f aca="false">IF(BB416&gt;0,BB413/BB416,"")</f>
        <v/>
      </c>
      <c r="BC419" s="31" t="str">
        <f aca="false">IF(BC416&gt;0,BC413/BC416,"")</f>
        <v/>
      </c>
      <c r="BD419" s="31" t="str">
        <f aca="false">IF(BD416&gt;0,BD413/BD416,"")</f>
        <v/>
      </c>
      <c r="BE419" s="31" t="str">
        <f aca="false">IF(BE416&gt;0,BE413/BE416,"")</f>
        <v/>
      </c>
      <c r="BF419" s="31" t="str">
        <f aca="false">IF(BF416&gt;0,BF413/BF416,"")</f>
        <v/>
      </c>
      <c r="BG419" s="31" t="str">
        <f aca="false">IF(BG416&gt;0,BG413/BG416,"")</f>
        <v/>
      </c>
      <c r="BH419" s="31" t="str">
        <f aca="false">IF(BH416&gt;0,BH413/BH416,"")</f>
        <v/>
      </c>
      <c r="BI419" s="31" t="str">
        <f aca="false">IF(BI416&gt;0,BI413/BI416,"")</f>
        <v/>
      </c>
      <c r="BJ419" s="31" t="str">
        <f aca="false">IF(BJ416&gt;0,BJ413/BJ416,"")</f>
        <v/>
      </c>
      <c r="BK419" s="31" t="str">
        <f aca="false">IF(BK416&gt;0,BK413/BK416,"")</f>
        <v/>
      </c>
    </row>
    <row r="420" customFormat="false" ht="15" hidden="false" customHeight="false" outlineLevel="0" collapsed="false">
      <c r="A420" s="3" t="s">
        <v>345</v>
      </c>
      <c r="D420" s="31" t="str">
        <f aca="false">IF(D416&gt;0,(0+D413+IF(Source_Data!D$6=Inputs!$B$12,Inputs!$B$7,0))/D416,"")</f>
        <v/>
      </c>
      <c r="E420" s="31" t="str">
        <f aca="false">IF(E416&gt;0,(D418+E413+IF(Source_Data!E$6=Inputs!$B$12,Inputs!$B$7,0))/E416,"")</f>
        <v/>
      </c>
      <c r="F420" s="31" t="str">
        <f aca="false">IF(F416&gt;0,(E418+F413+IF(Source_Data!F$6=Inputs!$B$12,Inputs!$B$7,0))/F416,"")</f>
        <v/>
      </c>
      <c r="G420" s="31" t="str">
        <f aca="false">IF(G416&gt;0,(F418+G413+IF(Source_Data!G$6=Inputs!$B$12,Inputs!$B$7,0))/G416,"")</f>
        <v/>
      </c>
      <c r="H420" s="31" t="str">
        <f aca="false">IF(H416&gt;0,(G418+H413+IF(Source_Data!H$6=Inputs!$B$12,Inputs!$B$7,0))/H416,"")</f>
        <v/>
      </c>
      <c r="I420" s="31" t="str">
        <f aca="false">IF(I416&gt;0,(H418+I413+IF(Source_Data!I$6=Inputs!$B$12,Inputs!$B$7,0))/I416,"")</f>
        <v/>
      </c>
      <c r="J420" s="31" t="str">
        <f aca="false">IF(J416&gt;0,(I418+J413+IF(Source_Data!J$6=Inputs!$B$12,Inputs!$B$7,0))/J416,"")</f>
        <v/>
      </c>
      <c r="K420" s="31" t="str">
        <f aca="false">IF(K416&gt;0,(J418+K413+IF(Source_Data!K$6=Inputs!$B$12,Inputs!$B$7,0))/K416,"")</f>
        <v/>
      </c>
      <c r="L420" s="31" t="str">
        <f aca="false">IF(L416&gt;0,(K418+L413+IF(Source_Data!L$6=Inputs!$B$12,Inputs!$B$7,0))/L416,"")</f>
        <v/>
      </c>
      <c r="M420" s="31" t="n">
        <f aca="false">IF(M416&gt;0,(L418+M413+IF(Source_Data!M$6=Inputs!$B$12,Inputs!$B$7,0))/M416,"")</f>
        <v>-7.07951918478261</v>
      </c>
      <c r="N420" s="31" t="n">
        <f aca="false">IF(N416&gt;0,(M418+N413+IF(Source_Data!N$6=Inputs!$B$12,Inputs!$B$7,0))/N416,"")</f>
        <v>-6.33076239673913</v>
      </c>
      <c r="O420" s="31" t="n">
        <f aca="false">IF(O416&gt;0,(N418+O413+IF(Source_Data!O$6=Inputs!$B$12,Inputs!$B$7,0))/O416,"")</f>
        <v>16.0662546902174</v>
      </c>
      <c r="P420" s="31" t="n">
        <f aca="false">IF(P416&gt;0,(O418+P413+IF(Source_Data!P$6=Inputs!$B$12,Inputs!$B$7,0))/P416,"")</f>
        <v>14.799109125</v>
      </c>
      <c r="Q420" s="31" t="n">
        <f aca="false">IF(Q416&gt;0,(P418+Q413+IF(Source_Data!Q$6=Inputs!$B$12,Inputs!$B$7,0))/Q416,"")</f>
        <v>12.9785804293478</v>
      </c>
      <c r="R420" s="31" t="n">
        <f aca="false">IF(R416&gt;0,(Q418+R413+IF(Source_Data!R$6=Inputs!$B$12,Inputs!$B$7,0))/R416,"")</f>
        <v>4.38466477717392</v>
      </c>
      <c r="S420" s="31" t="n">
        <f aca="false">IF(S416&gt;0,(R418+S413+IF(Source_Data!S$6=Inputs!$B$12,Inputs!$B$7,0))/S416,"")</f>
        <v>-2.60992120108695</v>
      </c>
      <c r="T420" s="31" t="n">
        <f aca="false">IF(T416&gt;0,(S418+T413+IF(Source_Data!T$6=Inputs!$B$12,Inputs!$B$7,0))/T416,"")</f>
        <v>-2.23722717934782</v>
      </c>
      <c r="U420" s="31" t="n">
        <f aca="false">IF(U416&gt;0,(T418+U413+IF(Source_Data!U$6=Inputs!$B$12,Inputs!$B$7,0))/U416,"")</f>
        <v>-2.03529488586956</v>
      </c>
      <c r="V420" s="31" t="n">
        <f aca="false">IF(V416&gt;0,(U418+V413+IF(Source_Data!V$6=Inputs!$B$12,Inputs!$B$7,0))/V416,"")</f>
        <v>-2.18868759782608</v>
      </c>
      <c r="W420" s="31" t="n">
        <f aca="false">IF(W416&gt;0,(V418+W413+IF(Source_Data!W$6=Inputs!$B$12,Inputs!$B$7,0))/W416,"")</f>
        <v>-2.42106763586956</v>
      </c>
      <c r="X420" s="31" t="n">
        <f aca="false">IF(X416&gt;0,(W418+X413+IF(Source_Data!X$6=Inputs!$B$12,Inputs!$B$7,0))/X416,"")</f>
        <v>-1.79199226086956</v>
      </c>
      <c r="Y420" s="31" t="str">
        <f aca="false">IF(Y416&gt;0,(X418+Y413+IF(Source_Data!Y$6=Inputs!$B$12,Inputs!$B$7,0))/Y416,"")</f>
        <v/>
      </c>
      <c r="Z420" s="31" t="str">
        <f aca="false">IF(Z416&gt;0,(Y418+Z413+IF(Source_Data!Z$6=Inputs!$B$12,Inputs!$B$7,0))/Z416,"")</f>
        <v/>
      </c>
      <c r="AA420" s="31" t="str">
        <f aca="false">IF(AA416&gt;0,(Z418+AA413+IF(Source_Data!AA$6=Inputs!$B$12,Inputs!$B$7,0))/AA416,"")</f>
        <v/>
      </c>
      <c r="AB420" s="31" t="str">
        <f aca="false">IF(AB416&gt;0,(AA418+AB413+IF(Source_Data!AB$6=Inputs!$B$12,Inputs!$B$7,0))/AB416,"")</f>
        <v/>
      </c>
      <c r="AC420" s="31" t="str">
        <f aca="false">IF(AC416&gt;0,(AB418+AC413+IF(Source_Data!AC$6=Inputs!$B$12,Inputs!$B$7,0))/AC416,"")</f>
        <v/>
      </c>
      <c r="AD420" s="31" t="str">
        <f aca="false">IF(AD416&gt;0,(AC418+AD413+IF(Source_Data!AD$6=Inputs!$B$12,Inputs!$B$7,0))/AD416,"")</f>
        <v/>
      </c>
      <c r="AE420" s="31" t="str">
        <f aca="false">IF(AE416&gt;0,(AD418+AE413+IF(Source_Data!AE$6=Inputs!$B$12,Inputs!$B$7,0))/AE416,"")</f>
        <v/>
      </c>
      <c r="AF420" s="31" t="str">
        <f aca="false">IF(AF416&gt;0,(AE418+AF413+IF(Source_Data!AF$6=Inputs!$B$12,Inputs!$B$7,0))/AF416,"")</f>
        <v/>
      </c>
      <c r="AG420" s="31" t="str">
        <f aca="false">IF(AG416&gt;0,(AF418+AG413+IF(Source_Data!AG$6=Inputs!$B$12,Inputs!$B$7,0))/AG416,"")</f>
        <v/>
      </c>
      <c r="AH420" s="31" t="str">
        <f aca="false">IF(AH416&gt;0,(AG418+AH413+IF(Source_Data!AH$6=Inputs!$B$12,Inputs!$B$7,0))/AH416,"")</f>
        <v/>
      </c>
      <c r="AI420" s="31" t="str">
        <f aca="false">IF(AI416&gt;0,(AH418+AI413+IF(Source_Data!AI$6=Inputs!$B$12,Inputs!$B$7,0))/AI416,"")</f>
        <v/>
      </c>
      <c r="AJ420" s="31" t="str">
        <f aca="false">IF(AJ416&gt;0,(AI418+AJ413+IF(Source_Data!AJ$6=Inputs!$B$12,Inputs!$B$7,0))/AJ416,"")</f>
        <v/>
      </c>
      <c r="AK420" s="31" t="str">
        <f aca="false">IF(AK416&gt;0,(AJ418+AK413+IF(Source_Data!AK$6=Inputs!$B$12,Inputs!$B$7,0))/AK416,"")</f>
        <v/>
      </c>
      <c r="AL420" s="31" t="str">
        <f aca="false">IF(AL416&gt;0,(AK418+AL413+IF(Source_Data!AL$6=Inputs!$B$12,Inputs!$B$7,0))/AL416,"")</f>
        <v/>
      </c>
      <c r="AM420" s="31" t="str">
        <f aca="false">IF(AM416&gt;0,(AL418+AM413+IF(Source_Data!AM$6=Inputs!$B$12,Inputs!$B$7,0))/AM416,"")</f>
        <v/>
      </c>
      <c r="AN420" s="31" t="str">
        <f aca="false">IF(AN416&gt;0,(AM418+AN413+IF(Source_Data!AN$6=Inputs!$B$12,Inputs!$B$7,0))/AN416,"")</f>
        <v/>
      </c>
      <c r="AO420" s="31" t="str">
        <f aca="false">IF(AO416&gt;0,(AN418+AO413+IF(Source_Data!AO$6=Inputs!$B$12,Inputs!$B$7,0))/AO416,"")</f>
        <v/>
      </c>
      <c r="AP420" s="31" t="str">
        <f aca="false">IF(AP416&gt;0,(AO418+AP413+IF(Source_Data!AP$6=Inputs!$B$12,Inputs!$B$7,0))/AP416,"")</f>
        <v/>
      </c>
      <c r="AQ420" s="31" t="str">
        <f aca="false">IF(AQ416&gt;0,(AP418+AQ413+IF(Source_Data!AQ$6=Inputs!$B$12,Inputs!$B$7,0))/AQ416,"")</f>
        <v/>
      </c>
      <c r="AR420" s="31" t="str">
        <f aca="false">IF(AR416&gt;0,(AQ418+AR413+IF(Source_Data!AR$6=Inputs!$B$12,Inputs!$B$7,0))/AR416,"")</f>
        <v/>
      </c>
      <c r="AS420" s="31" t="str">
        <f aca="false">IF(AS416&gt;0,(AR418+AS413+IF(Source_Data!AS$6=Inputs!$B$12,Inputs!$B$7,0))/AS416,"")</f>
        <v/>
      </c>
      <c r="AT420" s="31" t="str">
        <f aca="false">IF(AT416&gt;0,(AS418+AT413+IF(Source_Data!AT$6=Inputs!$B$12,Inputs!$B$7,0))/AT416,"")</f>
        <v/>
      </c>
      <c r="AU420" s="31" t="str">
        <f aca="false">IF(AU416&gt;0,(AT418+AU413+IF(Source_Data!AU$6=Inputs!$B$12,Inputs!$B$7,0))/AU416,"")</f>
        <v/>
      </c>
      <c r="AV420" s="31" t="str">
        <f aca="false">IF(AV416&gt;0,(AU418+AV413+IF(Source_Data!AV$6=Inputs!$B$12,Inputs!$B$7,0))/AV416,"")</f>
        <v/>
      </c>
      <c r="AW420" s="31" t="str">
        <f aca="false">IF(AW416&gt;0,(AV418+AW413+IF(Source_Data!AW$6=Inputs!$B$12,Inputs!$B$7,0))/AW416,"")</f>
        <v/>
      </c>
      <c r="AX420" s="31" t="str">
        <f aca="false">IF(AX416&gt;0,(AW418+AX413+IF(Source_Data!AX$6=Inputs!$B$12,Inputs!$B$7,0))/AX416,"")</f>
        <v/>
      </c>
      <c r="AY420" s="31" t="str">
        <f aca="false">IF(AY416&gt;0,(AX418+AY413+IF(Source_Data!AY$6=Inputs!$B$12,Inputs!$B$7,0))/AY416,"")</f>
        <v/>
      </c>
      <c r="AZ420" s="31" t="str">
        <f aca="false">IF(AZ416&gt;0,(AY418+AZ413+IF(Source_Data!AZ$6=Inputs!$B$12,Inputs!$B$7,0))/AZ416,"")</f>
        <v/>
      </c>
      <c r="BA420" s="31" t="str">
        <f aca="false">IF(BA416&gt;0,(AZ418+BA413+IF(Source_Data!BA$6=Inputs!$B$12,Inputs!$B$7,0))/BA416,"")</f>
        <v/>
      </c>
      <c r="BB420" s="31" t="str">
        <f aca="false">IF(BB416&gt;0,(BA418+BB413+IF(Source_Data!BB$6=Inputs!$B$12,Inputs!$B$7,0))/BB416,"")</f>
        <v/>
      </c>
      <c r="BC420" s="31" t="str">
        <f aca="false">IF(BC416&gt;0,(BB418+BC413+IF(Source_Data!BC$6=Inputs!$B$12,Inputs!$B$7,0))/BC416,"")</f>
        <v/>
      </c>
      <c r="BD420" s="31" t="str">
        <f aca="false">IF(BD416&gt;0,(BC418+BD413+IF(Source_Data!BD$6=Inputs!$B$12,Inputs!$B$7,0))/BD416,"")</f>
        <v/>
      </c>
      <c r="BE420" s="31" t="str">
        <f aca="false">IF(BE416&gt;0,(BD418+BE413+IF(Source_Data!BE$6=Inputs!$B$12,Inputs!$B$7,0))/BE416,"")</f>
        <v/>
      </c>
      <c r="BF420" s="31" t="str">
        <f aca="false">IF(BF416&gt;0,(BE418+BF413+IF(Source_Data!BF$6=Inputs!$B$12,Inputs!$B$7,0))/BF416,"")</f>
        <v/>
      </c>
      <c r="BG420" s="31" t="str">
        <f aca="false">IF(BG416&gt;0,(BF418+BG413+IF(Source_Data!BG$6=Inputs!$B$12,Inputs!$B$7,0))/BG416,"")</f>
        <v/>
      </c>
      <c r="BH420" s="31" t="str">
        <f aca="false">IF(BH416&gt;0,(BG418+BH413+IF(Source_Data!BH$6=Inputs!$B$12,Inputs!$B$7,0))/BH416,"")</f>
        <v/>
      </c>
      <c r="BI420" s="31" t="str">
        <f aca="false">IF(BI416&gt;0,(BH418+BI413+IF(Source_Data!BI$6=Inputs!$B$12,Inputs!$B$7,0))/BI416,"")</f>
        <v/>
      </c>
      <c r="BJ420" s="31" t="str">
        <f aca="false">IF(BJ416&gt;0,(BI418+BJ413+IF(Source_Data!BJ$6=Inputs!$B$12,Inputs!$B$7,0))/BJ416,"")</f>
        <v/>
      </c>
      <c r="BK420" s="31" t="str">
        <f aca="false">IF(BK416&gt;0,(BJ418+BK413+IF(Source_Data!BK$6=Inputs!$B$12,Inputs!$B$7,0))/BK416,"")</f>
        <v/>
      </c>
    </row>
    <row r="422" customFormat="false" ht="15" hidden="false" customHeight="false" outlineLevel="0" collapsed="false">
      <c r="A422" s="2" t="s">
        <v>220</v>
      </c>
      <c r="B422" s="41" t="n">
        <f aca="false">SUM(D413:BK413)</f>
        <v>375.4475275</v>
      </c>
    </row>
    <row r="423" customFormat="false" ht="15" hidden="false" customHeight="false" outlineLevel="0" collapsed="false">
      <c r="A423" s="2" t="s">
        <v>346</v>
      </c>
      <c r="B423" s="41" t="n">
        <f aca="false">SUMPRODUCT(D413:BK413,Project_CF!$D$15:$BK$15)</f>
        <v>125.464219288503</v>
      </c>
    </row>
    <row r="424" customFormat="false" ht="15" hidden="false" customHeight="false" outlineLevel="0" collapsed="false">
      <c r="A424" s="2" t="s">
        <v>162</v>
      </c>
      <c r="B424" s="41" t="n">
        <f aca="false">MIN(D414:BK414)</f>
        <v>-235.690784375</v>
      </c>
    </row>
    <row r="425" customFormat="false" ht="15" hidden="false" customHeight="false" outlineLevel="0" collapsed="false">
      <c r="A425" s="2" t="s">
        <v>347</v>
      </c>
      <c r="B425" s="35" t="n">
        <f aca="false">INDEX(Project_CF!$D$6:$BK$6,MATCH(MIN(D414:BK414),D414:BK414,0))</f>
        <v>30</v>
      </c>
    </row>
    <row r="426" customFormat="false" ht="15" hidden="false" customHeight="false" outlineLevel="0" collapsed="false">
      <c r="A426" s="2" t="s">
        <v>348</v>
      </c>
      <c r="B426" s="39" t="n">
        <f aca="false">(1+IRR(D415:BK415,0.05))^4-1</f>
        <v>0.264029906719608</v>
      </c>
    </row>
    <row r="427" customFormat="false" ht="15" hidden="false" customHeight="false" outlineLevel="0" collapsed="false">
      <c r="A427" s="2" t="s">
        <v>349</v>
      </c>
      <c r="B427" s="40" t="n">
        <f aca="false">SUMIF(D415:BK415,"&gt;0")/-SUMIF(D415:BK415,"&lt;0")</f>
        <v>2.78136200716846</v>
      </c>
    </row>
    <row r="428" customFormat="false" ht="15" hidden="false" customHeight="false" outlineLevel="0" collapsed="false">
      <c r="A428" s="2" t="s">
        <v>350</v>
      </c>
      <c r="B428" s="39" t="n">
        <f aca="false">(1+IRR(D417:BK417,0.05))^4-1</f>
        <v>0.265463994839995</v>
      </c>
    </row>
    <row r="429" customFormat="false" ht="15" hidden="false" customHeight="false" outlineLevel="0" collapsed="false">
      <c r="A429" s="2" t="s">
        <v>351</v>
      </c>
      <c r="B429" s="41" t="n">
        <f aca="false">MIN(D418:BK418)</f>
        <v>-154.857451041667</v>
      </c>
    </row>
    <row r="430" customFormat="false" ht="15" hidden="false" customHeight="false" outlineLevel="0" collapsed="false">
      <c r="A430" s="2" t="s">
        <v>352</v>
      </c>
      <c r="B430" s="43" t="n">
        <f aca="false">MIN(D419:BK419)</f>
        <v>-7.59391565217391</v>
      </c>
    </row>
    <row r="431" customFormat="false" ht="15" hidden="false" customHeight="false" outlineLevel="0" collapsed="false">
      <c r="A431" s="2" t="s">
        <v>353</v>
      </c>
      <c r="B431" s="35" t="n">
        <f aca="false">COUNTIF(D419:BK419,"&lt;"&amp;Inputs!$B$43)</f>
        <v>9</v>
      </c>
    </row>
    <row r="432" customFormat="false" ht="15" hidden="false" customHeight="false" outlineLevel="0" collapsed="false">
      <c r="A432" s="2" t="s">
        <v>354</v>
      </c>
      <c r="B432" s="43" t="n">
        <f aca="false">MIN(D420:BK420)</f>
        <v>-7.07951918478261</v>
      </c>
    </row>
    <row r="433" customFormat="false" ht="15" hidden="false" customHeight="false" outlineLevel="0" collapsed="false">
      <c r="A433" s="2" t="s">
        <v>355</v>
      </c>
      <c r="B433" s="35" t="n">
        <f aca="false">COUNTIF(D420:BK420,"&lt;"&amp;Inputs!$B$43)</f>
        <v>8</v>
      </c>
    </row>
    <row r="436" customFormat="false" ht="15" hidden="false" customHeight="false" outlineLevel="0" collapsed="false">
      <c r="A436" s="8" t="s">
        <v>370</v>
      </c>
    </row>
    <row r="437" customFormat="false" ht="15" hidden="false" customHeight="false" outlineLevel="0" collapsed="false">
      <c r="A437" s="3" t="s">
        <v>331</v>
      </c>
      <c r="B437" s="45" t="n">
        <v>1</v>
      </c>
    </row>
    <row r="438" customFormat="false" ht="15" hidden="false" customHeight="false" outlineLevel="0" collapsed="false">
      <c r="A438" s="3" t="s">
        <v>332</v>
      </c>
      <c r="B438" s="45" t="n">
        <v>0</v>
      </c>
    </row>
    <row r="439" customFormat="false" ht="15" hidden="false" customHeight="false" outlineLevel="0" collapsed="false">
      <c r="A439" s="3" t="s">
        <v>333</v>
      </c>
      <c r="B439" s="45" t="n">
        <v>1</v>
      </c>
    </row>
    <row r="440" customFormat="false" ht="15" hidden="false" customHeight="false" outlineLevel="0" collapsed="false">
      <c r="A440" s="3" t="s">
        <v>334</v>
      </c>
      <c r="B440" s="45" t="n">
        <v>4</v>
      </c>
    </row>
    <row r="441" customFormat="false" ht="15" hidden="false" customHeight="false" outlineLevel="0" collapsed="false">
      <c r="A441" s="3" t="s">
        <v>335</v>
      </c>
      <c r="B441" s="45" t="n">
        <v>0</v>
      </c>
    </row>
    <row r="442" customFormat="false" ht="15" hidden="false" customHeight="false" outlineLevel="0" collapsed="false">
      <c r="A442" s="3" t="s">
        <v>336</v>
      </c>
      <c r="B442" s="3" t="n">
        <f aca="false">Inputs!$B$13+3+3*$B$438</f>
        <v>51</v>
      </c>
    </row>
    <row r="443" customFormat="false" ht="15" hidden="false" customHeight="false" outlineLevel="0" collapsed="false">
      <c r="A443" s="3" t="s">
        <v>337</v>
      </c>
      <c r="D443" s="33" t="n">
        <f aca="false">Source_Data!D$7+IF($B$441=1,IF(Source_Data!D$6=Inputs!$B$13,Source_Data!$C$8,0),Source_Data!D$8)</f>
        <v>0</v>
      </c>
      <c r="E443" s="33" t="n">
        <f aca="false">Source_Data!E$7+IF($B$441=1,IF(Source_Data!E$6=Inputs!$B$13,Source_Data!$C$8,0),Source_Data!E$8)</f>
        <v>0</v>
      </c>
      <c r="F443" s="33" t="n">
        <f aca="false">Source_Data!F$7+IF($B$441=1,IF(Source_Data!F$6=Inputs!$B$13,Source_Data!$C$8,0),Source_Data!F$8)</f>
        <v>15.1392375</v>
      </c>
      <c r="G443" s="33" t="n">
        <f aca="false">Source_Data!G$7+IF($B$441=1,IF(Source_Data!G$6=Inputs!$B$13,Source_Data!$C$8,0),Source_Data!G$8)</f>
        <v>30.278475</v>
      </c>
      <c r="H443" s="33" t="n">
        <f aca="false">Source_Data!H$7+IF($B$441=1,IF(Source_Data!H$6=Inputs!$B$13,Source_Data!$C$8,0),Source_Data!H$8)</f>
        <v>46.51200625</v>
      </c>
      <c r="I443" s="33" t="n">
        <f aca="false">Source_Data!I$7+IF($B$441=1,IF(Source_Data!I$6=Inputs!$B$13,Source_Data!$C$8,0),Source_Data!I$8)</f>
        <v>62.7455375</v>
      </c>
      <c r="J443" s="33" t="n">
        <f aca="false">Source_Data!J$7+IF($B$441=1,IF(Source_Data!J$6=Inputs!$B$13,Source_Data!$C$8,0),Source_Data!J$8)</f>
        <v>62.3657</v>
      </c>
      <c r="K443" s="33" t="n">
        <f aca="false">Source_Data!K$7+IF($B$441=1,IF(Source_Data!K$6=Inputs!$B$13,Source_Data!$C$8,0),Source_Data!K$8)</f>
        <v>63.473559375</v>
      </c>
      <c r="L443" s="33" t="n">
        <f aca="false">Source_Data!L$7+IF($B$441=1,IF(Source_Data!L$6=Inputs!$B$13,Source_Data!$C$8,0),Source_Data!L$8)</f>
        <v>80.3288484375</v>
      </c>
      <c r="M443" s="33" t="n">
        <f aca="false">Source_Data!M$7+IF($B$441=1,IF(Source_Data!M$6=Inputs!$B$13,Source_Data!$C$8,0),Source_Data!M$8)</f>
        <v>495.2538375</v>
      </c>
      <c r="N443" s="33" t="n">
        <f aca="false">Source_Data!N$7+IF($B$441=1,IF(Source_Data!N$6=Inputs!$B$13,Source_Data!$C$8,0),Source_Data!N$8)</f>
        <v>185.57775</v>
      </c>
      <c r="O443" s="33" t="n">
        <f aca="false">Source_Data!O$7+IF($B$441=1,IF(Source_Data!O$6=Inputs!$B$13,Source_Data!$C$8,0),Source_Data!O$8)</f>
        <v>176.534</v>
      </c>
      <c r="P443" s="33" t="n">
        <f aca="false">Source_Data!P$7+IF($B$441=1,IF(Source_Data!P$6=Inputs!$B$13,Source_Data!$C$8,0),Source_Data!P$8)</f>
        <v>97.31075</v>
      </c>
      <c r="Q443" s="33" t="n">
        <f aca="false">Source_Data!Q$7+IF($B$441=1,IF(Source_Data!Q$6=Inputs!$B$13,Source_Data!$C$8,0),Source_Data!Q$8)</f>
        <v>71.30996875</v>
      </c>
      <c r="R443" s="33" t="n">
        <f aca="false">Source_Data!R$7+IF($B$441=1,IF(Source_Data!R$6=Inputs!$B$13,Source_Data!$C$8,0),Source_Data!R$8)</f>
        <v>71.30996875</v>
      </c>
      <c r="S443" s="33" t="n">
        <f aca="false">Source_Data!S$7+IF($B$441=1,IF(Source_Data!S$6=Inputs!$B$13,Source_Data!$C$8,0),Source_Data!S$8)</f>
        <v>68.037035625</v>
      </c>
      <c r="T443" s="33" t="n">
        <f aca="false">Source_Data!T$7+IF($B$441=1,IF(Source_Data!T$6=Inputs!$B$13,Source_Data!$C$8,0),Source_Data!T$8)</f>
        <v>61.2266396875</v>
      </c>
      <c r="U443" s="33" t="n">
        <f aca="false">Source_Data!U$7+IF($B$441=1,IF(Source_Data!U$6=Inputs!$B$13,Source_Data!$C$8,0),Source_Data!U$8)</f>
        <v>59.7127159375</v>
      </c>
      <c r="V443" s="33" t="n">
        <f aca="false">Source_Data!V$7+IF($B$441=1,IF(Source_Data!V$6=Inputs!$B$13,Source_Data!$C$8,0),Source_Data!V$8)</f>
        <v>53.7239446875</v>
      </c>
      <c r="W443" s="33" t="n">
        <f aca="false">Source_Data!W$7+IF($B$441=1,IF(Source_Data!W$6=Inputs!$B$13,Source_Data!$C$8,0),Source_Data!W$8)</f>
        <v>49.3829446875</v>
      </c>
      <c r="X443" s="33" t="n">
        <f aca="false">Source_Data!X$7+IF($B$441=1,IF(Source_Data!X$6=Inputs!$B$13,Source_Data!$C$8,0),Source_Data!X$8)</f>
        <v>49.3829446875</v>
      </c>
      <c r="Y443" s="33" t="n">
        <f aca="false">Source_Data!Y$7+IF($B$441=1,IF(Source_Data!Y$6=Inputs!$B$13,Source_Data!$C$8,0),Source_Data!Y$8)</f>
        <v>42.1027259375</v>
      </c>
      <c r="Z443" s="33" t="n">
        <f aca="false">Source_Data!Z$7+IF($B$441=1,IF(Source_Data!Z$6=Inputs!$B$13,Source_Data!$C$8,0),Source_Data!Z$8)</f>
        <v>42.1027259375</v>
      </c>
      <c r="AA443" s="33" t="n">
        <f aca="false">Source_Data!AA$7+IF($B$441=1,IF(Source_Data!AA$6=Inputs!$B$13,Source_Data!$C$8,0),Source_Data!AA$8)</f>
        <v>42.1027259375</v>
      </c>
      <c r="AB443" s="33" t="n">
        <f aca="false">Source_Data!AB$7+IF($B$441=1,IF(Source_Data!AB$6=Inputs!$B$13,Source_Data!$C$8,0),Source_Data!AB$8)</f>
        <v>36.3147259375</v>
      </c>
      <c r="AC443" s="33" t="n">
        <f aca="false">Source_Data!AC$7+IF($B$441=1,IF(Source_Data!AC$6=Inputs!$B$13,Source_Data!$C$8,0),Source_Data!AC$8)</f>
        <v>33.0386275</v>
      </c>
      <c r="AD443" s="33" t="n">
        <f aca="false">Source_Data!AD$7+IF($B$441=1,IF(Source_Data!AD$6=Inputs!$B$13,Source_Data!$C$8,0),Source_Data!AD$8)</f>
        <v>29.43017125</v>
      </c>
      <c r="AE443" s="33" t="n">
        <f aca="false">Source_Data!AE$7+IF($B$441=1,IF(Source_Data!AE$6=Inputs!$B$13,Source_Data!$C$8,0),Source_Data!AE$8)</f>
        <v>25.08917125</v>
      </c>
      <c r="AF443" s="33" t="n">
        <f aca="false">Source_Data!AF$7+IF($B$441=1,IF(Source_Data!AF$6=Inputs!$B$13,Source_Data!$C$8,0),Source_Data!AF$8)</f>
        <v>25.08917125</v>
      </c>
      <c r="AG443" s="33" t="n">
        <f aca="false">Source_Data!AG$7+IF($B$441=1,IF(Source_Data!AG$6=Inputs!$B$13,Source_Data!$C$8,0),Source_Data!AG$8)</f>
        <v>25.08917125</v>
      </c>
      <c r="AH443" s="33" t="n">
        <f aca="false">Source_Data!AH$7+IF($B$441=1,IF(Source_Data!AH$6=Inputs!$B$13,Source_Data!$C$8,0),Source_Data!AH$8)</f>
        <v>25.08917125</v>
      </c>
      <c r="AI443" s="33" t="n">
        <f aca="false">Source_Data!AI$7+IF($B$441=1,IF(Source_Data!AI$6=Inputs!$B$13,Source_Data!$C$8,0),Source_Data!AI$8)</f>
        <v>25.08917125</v>
      </c>
      <c r="AJ443" s="33" t="n">
        <f aca="false">Source_Data!AJ$7+IF($B$441=1,IF(Source_Data!AJ$6=Inputs!$B$13,Source_Data!$C$8,0),Source_Data!AJ$8)</f>
        <v>25.08917125</v>
      </c>
      <c r="AK443" s="33" t="n">
        <f aca="false">Source_Data!AK$7+IF($B$441=1,IF(Source_Data!AK$6=Inputs!$B$13,Source_Data!$C$8,0),Source_Data!AK$8)</f>
        <v>22.905105625</v>
      </c>
      <c r="AL443" s="33" t="n">
        <f aca="false">Source_Data!AL$7+IF($B$441=1,IF(Source_Data!AL$6=Inputs!$B$13,Source_Data!$C$8,0),Source_Data!AL$8)</f>
        <v>22.905105625</v>
      </c>
      <c r="AM443" s="33" t="n">
        <f aca="false">Source_Data!AM$7+IF($B$441=1,IF(Source_Data!AM$6=Inputs!$B$13,Source_Data!$C$8,0),Source_Data!AM$8)</f>
        <v>18.739554375</v>
      </c>
      <c r="AN443" s="33" t="n">
        <f aca="false">Source_Data!AN$7+IF($B$441=1,IF(Source_Data!AN$6=Inputs!$B$13,Source_Data!$C$8,0),Source_Data!AN$8)</f>
        <v>9.6261675</v>
      </c>
      <c r="AO443" s="33" t="n">
        <f aca="false">Source_Data!AO$7+IF($B$441=1,IF(Source_Data!AO$6=Inputs!$B$13,Source_Data!$C$8,0),Source_Data!AO$8)</f>
        <v>3.5704725</v>
      </c>
      <c r="AP443" s="33" t="n">
        <f aca="false">Source_Data!AP$7+IF($B$441=1,IF(Source_Data!AP$6=Inputs!$B$13,Source_Data!$C$8,0),Source_Data!AP$8)</f>
        <v>0</v>
      </c>
      <c r="AQ443" s="33" t="n">
        <f aca="false">Source_Data!AQ$7+IF($B$441=1,IF(Source_Data!AQ$6=Inputs!$B$13,Source_Data!$C$8,0),Source_Data!AQ$8)</f>
        <v>0</v>
      </c>
      <c r="AR443" s="33" t="n">
        <f aca="false">Source_Data!AR$7+IF($B$441=1,IF(Source_Data!AR$6=Inputs!$B$13,Source_Data!$C$8,0),Source_Data!AR$8)</f>
        <v>0</v>
      </c>
      <c r="AS443" s="33" t="n">
        <f aca="false">Source_Data!AS$7+IF($B$441=1,IF(Source_Data!AS$6=Inputs!$B$13,Source_Data!$C$8,0),Source_Data!AS$8)</f>
        <v>0</v>
      </c>
      <c r="AT443" s="33" t="n">
        <f aca="false">Source_Data!AT$7+IF($B$441=1,IF(Source_Data!AT$6=Inputs!$B$13,Source_Data!$C$8,0),Source_Data!AT$8)</f>
        <v>0</v>
      </c>
      <c r="AU443" s="33" t="n">
        <f aca="false">Source_Data!AU$7+IF($B$441=1,IF(Source_Data!AU$6=Inputs!$B$13,Source_Data!$C$8,0),Source_Data!AU$8)</f>
        <v>0</v>
      </c>
      <c r="AV443" s="33" t="n">
        <f aca="false">Source_Data!AV$7+IF($B$441=1,IF(Source_Data!AV$6=Inputs!$B$13,Source_Data!$C$8,0),Source_Data!AV$8)</f>
        <v>0</v>
      </c>
      <c r="AW443" s="33" t="n">
        <f aca="false">Source_Data!AW$7+IF($B$441=1,IF(Source_Data!AW$6=Inputs!$B$13,Source_Data!$C$8,0),Source_Data!AW$8)</f>
        <v>0</v>
      </c>
      <c r="AX443" s="33" t="n">
        <f aca="false">Source_Data!AX$7+IF($B$441=1,IF(Source_Data!AX$6=Inputs!$B$13,Source_Data!$C$8,0),Source_Data!AX$8)</f>
        <v>0</v>
      </c>
      <c r="AY443" s="33" t="n">
        <f aca="false">Source_Data!AY$7+IF($B$441=1,IF(Source_Data!AY$6=Inputs!$B$13,Source_Data!$C$8,0),Source_Data!AY$8)</f>
        <v>0</v>
      </c>
      <c r="AZ443" s="33" t="n">
        <f aca="false">Source_Data!AZ$7+IF($B$441=1,IF(Source_Data!AZ$6=Inputs!$B$13,Source_Data!$C$8,0),Source_Data!AZ$8)</f>
        <v>0</v>
      </c>
      <c r="BA443" s="33" t="n">
        <f aca="false">Source_Data!BA$7+IF($B$441=1,IF(Source_Data!BA$6=Inputs!$B$13,Source_Data!$C$8,0),Source_Data!BA$8)</f>
        <v>0</v>
      </c>
      <c r="BB443" s="33" t="n">
        <f aca="false">Source_Data!BB$7+IF($B$441=1,IF(Source_Data!BB$6=Inputs!$B$13,Source_Data!$C$8,0),Source_Data!BB$8)</f>
        <v>0</v>
      </c>
      <c r="BC443" s="33" t="n">
        <f aca="false">Source_Data!BC$7+IF($B$441=1,IF(Source_Data!BC$6=Inputs!$B$13,Source_Data!$C$8,0),Source_Data!BC$8)</f>
        <v>0</v>
      </c>
      <c r="BD443" s="33" t="n">
        <f aca="false">Source_Data!BD$7+IF($B$441=1,IF(Source_Data!BD$6=Inputs!$B$13,Source_Data!$C$8,0),Source_Data!BD$8)</f>
        <v>0</v>
      </c>
      <c r="BE443" s="33" t="n">
        <f aca="false">Source_Data!BE$7+IF($B$441=1,IF(Source_Data!BE$6=Inputs!$B$13,Source_Data!$C$8,0),Source_Data!BE$8)</f>
        <v>0</v>
      </c>
      <c r="BF443" s="33" t="n">
        <f aca="false">Source_Data!BF$7+IF($B$441=1,IF(Source_Data!BF$6=Inputs!$B$13,Source_Data!$C$8,0),Source_Data!BF$8)</f>
        <v>0</v>
      </c>
      <c r="BG443" s="33" t="n">
        <f aca="false">Source_Data!BG$7+IF($B$441=1,IF(Source_Data!BG$6=Inputs!$B$13,Source_Data!$C$8,0),Source_Data!BG$8)</f>
        <v>0</v>
      </c>
      <c r="BH443" s="33" t="n">
        <f aca="false">Source_Data!BH$7+IF($B$441=1,IF(Source_Data!BH$6=Inputs!$B$13,Source_Data!$C$8,0),Source_Data!BH$8)</f>
        <v>0</v>
      </c>
      <c r="BI443" s="33" t="n">
        <f aca="false">Source_Data!BI$7+IF($B$441=1,IF(Source_Data!BI$6=Inputs!$B$13,Source_Data!$C$8,0),Source_Data!BI$8)</f>
        <v>0</v>
      </c>
      <c r="BJ443" s="33" t="n">
        <f aca="false">Source_Data!BJ$7+IF($B$441=1,IF(Source_Data!BJ$6=Inputs!$B$13,Source_Data!$C$8,0),Source_Data!BJ$8)</f>
        <v>0</v>
      </c>
      <c r="BK443" s="33" t="n">
        <f aca="false">Source_Data!BK$7+IF($B$441=1,IF(Source_Data!BK$6=Inputs!$B$13,Source_Data!$C$8,0),Source_Data!BK$8)</f>
        <v>0</v>
      </c>
    </row>
    <row r="444" customFormat="false" ht="15" hidden="false" customHeight="false" outlineLevel="0" collapsed="false">
      <c r="A444" s="3" t="s">
        <v>338</v>
      </c>
      <c r="D444" s="33" t="n">
        <f aca="false">$B$437*IF(Source_Data!D$5-($B$438+$B$440)&gt;=1,INDEX($D$443:$BK$443,1,Source_Data!D$5-($B$438+$B$440)),0)</f>
        <v>0</v>
      </c>
      <c r="E444" s="33" t="n">
        <f aca="false">$B$437*IF(Source_Data!E$5-($B$438+$B$440)&gt;=1,INDEX($D$443:$BK$443,1,Source_Data!E$5-($B$438+$B$440)),0)</f>
        <v>0</v>
      </c>
      <c r="F444" s="33" t="n">
        <f aca="false">$B$437*IF(Source_Data!F$5-($B$438+$B$440)&gt;=1,INDEX($D$443:$BK$443,1,Source_Data!F$5-($B$438+$B$440)),0)</f>
        <v>0</v>
      </c>
      <c r="G444" s="33" t="n">
        <f aca="false">$B$437*IF(Source_Data!G$5-($B$438+$B$440)&gt;=1,INDEX($D$443:$BK$443,1,Source_Data!G$5-($B$438+$B$440)),0)</f>
        <v>0</v>
      </c>
      <c r="H444" s="33" t="n">
        <f aca="false">$B$437*IF(Source_Data!H$5-($B$438+$B$440)&gt;=1,INDEX($D$443:$BK$443,1,Source_Data!H$5-($B$438+$B$440)),0)</f>
        <v>0</v>
      </c>
      <c r="I444" s="33" t="n">
        <f aca="false">$B$437*IF(Source_Data!I$5-($B$438+$B$440)&gt;=1,INDEX($D$443:$BK$443,1,Source_Data!I$5-($B$438+$B$440)),0)</f>
        <v>0</v>
      </c>
      <c r="J444" s="33" t="n">
        <f aca="false">$B$437*IF(Source_Data!J$5-($B$438+$B$440)&gt;=1,INDEX($D$443:$BK$443,1,Source_Data!J$5-($B$438+$B$440)),0)</f>
        <v>15.1392375</v>
      </c>
      <c r="K444" s="33" t="n">
        <f aca="false">$B$437*IF(Source_Data!K$5-($B$438+$B$440)&gt;=1,INDEX($D$443:$BK$443,1,Source_Data!K$5-($B$438+$B$440)),0)</f>
        <v>30.278475</v>
      </c>
      <c r="L444" s="33" t="n">
        <f aca="false">$B$437*IF(Source_Data!L$5-($B$438+$B$440)&gt;=1,INDEX($D$443:$BK$443,1,Source_Data!L$5-($B$438+$B$440)),0)</f>
        <v>46.51200625</v>
      </c>
      <c r="M444" s="33" t="n">
        <f aca="false">$B$437*IF(Source_Data!M$5-($B$438+$B$440)&gt;=1,INDEX($D$443:$BK$443,1,Source_Data!M$5-($B$438+$B$440)),0)</f>
        <v>62.7455375</v>
      </c>
      <c r="N444" s="33" t="n">
        <f aca="false">$B$437*IF(Source_Data!N$5-($B$438+$B$440)&gt;=1,INDEX($D$443:$BK$443,1,Source_Data!N$5-($B$438+$B$440)),0)</f>
        <v>62.3657</v>
      </c>
      <c r="O444" s="33" t="n">
        <f aca="false">$B$437*IF(Source_Data!O$5-($B$438+$B$440)&gt;=1,INDEX($D$443:$BK$443,1,Source_Data!O$5-($B$438+$B$440)),0)</f>
        <v>63.473559375</v>
      </c>
      <c r="P444" s="33" t="n">
        <f aca="false">$B$437*IF(Source_Data!P$5-($B$438+$B$440)&gt;=1,INDEX($D$443:$BK$443,1,Source_Data!P$5-($B$438+$B$440)),0)</f>
        <v>80.3288484375</v>
      </c>
      <c r="Q444" s="33" t="n">
        <f aca="false">$B$437*IF(Source_Data!Q$5-($B$438+$B$440)&gt;=1,INDEX($D$443:$BK$443,1,Source_Data!Q$5-($B$438+$B$440)),0)</f>
        <v>495.2538375</v>
      </c>
      <c r="R444" s="33" t="n">
        <f aca="false">$B$437*IF(Source_Data!R$5-($B$438+$B$440)&gt;=1,INDEX($D$443:$BK$443,1,Source_Data!R$5-($B$438+$B$440)),0)</f>
        <v>185.57775</v>
      </c>
      <c r="S444" s="33" t="n">
        <f aca="false">$B$437*IF(Source_Data!S$5-($B$438+$B$440)&gt;=1,INDEX($D$443:$BK$443,1,Source_Data!S$5-($B$438+$B$440)),0)</f>
        <v>176.534</v>
      </c>
      <c r="T444" s="33" t="n">
        <f aca="false">$B$437*IF(Source_Data!T$5-($B$438+$B$440)&gt;=1,INDEX($D$443:$BK$443,1,Source_Data!T$5-($B$438+$B$440)),0)</f>
        <v>97.31075</v>
      </c>
      <c r="U444" s="33" t="n">
        <f aca="false">$B$437*IF(Source_Data!U$5-($B$438+$B$440)&gt;=1,INDEX($D$443:$BK$443,1,Source_Data!U$5-($B$438+$B$440)),0)</f>
        <v>71.30996875</v>
      </c>
      <c r="V444" s="33" t="n">
        <f aca="false">$B$437*IF(Source_Data!V$5-($B$438+$B$440)&gt;=1,INDEX($D$443:$BK$443,1,Source_Data!V$5-($B$438+$B$440)),0)</f>
        <v>71.30996875</v>
      </c>
      <c r="W444" s="33" t="n">
        <f aca="false">$B$437*IF(Source_Data!W$5-($B$438+$B$440)&gt;=1,INDEX($D$443:$BK$443,1,Source_Data!W$5-($B$438+$B$440)),0)</f>
        <v>68.037035625</v>
      </c>
      <c r="X444" s="33" t="n">
        <f aca="false">$B$437*IF(Source_Data!X$5-($B$438+$B$440)&gt;=1,INDEX($D$443:$BK$443,1,Source_Data!X$5-($B$438+$B$440)),0)</f>
        <v>61.2266396875</v>
      </c>
      <c r="Y444" s="33" t="n">
        <f aca="false">$B$437*IF(Source_Data!Y$5-($B$438+$B$440)&gt;=1,INDEX($D$443:$BK$443,1,Source_Data!Y$5-($B$438+$B$440)),0)</f>
        <v>59.7127159375</v>
      </c>
      <c r="Z444" s="33" t="n">
        <f aca="false">$B$437*IF(Source_Data!Z$5-($B$438+$B$440)&gt;=1,INDEX($D$443:$BK$443,1,Source_Data!Z$5-($B$438+$B$440)),0)</f>
        <v>53.7239446875</v>
      </c>
      <c r="AA444" s="33" t="n">
        <f aca="false">$B$437*IF(Source_Data!AA$5-($B$438+$B$440)&gt;=1,INDEX($D$443:$BK$443,1,Source_Data!AA$5-($B$438+$B$440)),0)</f>
        <v>49.3829446875</v>
      </c>
      <c r="AB444" s="33" t="n">
        <f aca="false">$B$437*IF(Source_Data!AB$5-($B$438+$B$440)&gt;=1,INDEX($D$443:$BK$443,1,Source_Data!AB$5-($B$438+$B$440)),0)</f>
        <v>49.3829446875</v>
      </c>
      <c r="AC444" s="33" t="n">
        <f aca="false">$B$437*IF(Source_Data!AC$5-($B$438+$B$440)&gt;=1,INDEX($D$443:$BK$443,1,Source_Data!AC$5-($B$438+$B$440)),0)</f>
        <v>42.1027259375</v>
      </c>
      <c r="AD444" s="33" t="n">
        <f aca="false">$B$437*IF(Source_Data!AD$5-($B$438+$B$440)&gt;=1,INDEX($D$443:$BK$443,1,Source_Data!AD$5-($B$438+$B$440)),0)</f>
        <v>42.1027259375</v>
      </c>
      <c r="AE444" s="33" t="n">
        <f aca="false">$B$437*IF(Source_Data!AE$5-($B$438+$B$440)&gt;=1,INDEX($D$443:$BK$443,1,Source_Data!AE$5-($B$438+$B$440)),0)</f>
        <v>42.1027259375</v>
      </c>
      <c r="AF444" s="33" t="n">
        <f aca="false">$B$437*IF(Source_Data!AF$5-($B$438+$B$440)&gt;=1,INDEX($D$443:$BK$443,1,Source_Data!AF$5-($B$438+$B$440)),0)</f>
        <v>36.3147259375</v>
      </c>
      <c r="AG444" s="33" t="n">
        <f aca="false">$B$437*IF(Source_Data!AG$5-($B$438+$B$440)&gt;=1,INDEX($D$443:$BK$443,1,Source_Data!AG$5-($B$438+$B$440)),0)</f>
        <v>33.0386275</v>
      </c>
      <c r="AH444" s="33" t="n">
        <f aca="false">$B$437*IF(Source_Data!AH$5-($B$438+$B$440)&gt;=1,INDEX($D$443:$BK$443,1,Source_Data!AH$5-($B$438+$B$440)),0)</f>
        <v>29.43017125</v>
      </c>
      <c r="AI444" s="33" t="n">
        <f aca="false">$B$437*IF(Source_Data!AI$5-($B$438+$B$440)&gt;=1,INDEX($D$443:$BK$443,1,Source_Data!AI$5-($B$438+$B$440)),0)</f>
        <v>25.08917125</v>
      </c>
      <c r="AJ444" s="33" t="n">
        <f aca="false">$B$437*IF(Source_Data!AJ$5-($B$438+$B$440)&gt;=1,INDEX($D$443:$BK$443,1,Source_Data!AJ$5-($B$438+$B$440)),0)</f>
        <v>25.08917125</v>
      </c>
      <c r="AK444" s="33" t="n">
        <f aca="false">$B$437*IF(Source_Data!AK$5-($B$438+$B$440)&gt;=1,INDEX($D$443:$BK$443,1,Source_Data!AK$5-($B$438+$B$440)),0)</f>
        <v>25.08917125</v>
      </c>
      <c r="AL444" s="33" t="n">
        <f aca="false">$B$437*IF(Source_Data!AL$5-($B$438+$B$440)&gt;=1,INDEX($D$443:$BK$443,1,Source_Data!AL$5-($B$438+$B$440)),0)</f>
        <v>25.08917125</v>
      </c>
      <c r="AM444" s="33" t="n">
        <f aca="false">$B$437*IF(Source_Data!AM$5-($B$438+$B$440)&gt;=1,INDEX($D$443:$BK$443,1,Source_Data!AM$5-($B$438+$B$440)),0)</f>
        <v>25.08917125</v>
      </c>
      <c r="AN444" s="33" t="n">
        <f aca="false">$B$437*IF(Source_Data!AN$5-($B$438+$B$440)&gt;=1,INDEX($D$443:$BK$443,1,Source_Data!AN$5-($B$438+$B$440)),0)</f>
        <v>25.08917125</v>
      </c>
      <c r="AO444" s="33" t="n">
        <f aca="false">$B$437*IF(Source_Data!AO$5-($B$438+$B$440)&gt;=1,INDEX($D$443:$BK$443,1,Source_Data!AO$5-($B$438+$B$440)),0)</f>
        <v>22.905105625</v>
      </c>
      <c r="AP444" s="33" t="n">
        <f aca="false">$B$437*IF(Source_Data!AP$5-($B$438+$B$440)&gt;=1,INDEX($D$443:$BK$443,1,Source_Data!AP$5-($B$438+$B$440)),0)</f>
        <v>22.905105625</v>
      </c>
      <c r="AQ444" s="33" t="n">
        <f aca="false">$B$437*IF(Source_Data!AQ$5-($B$438+$B$440)&gt;=1,INDEX($D$443:$BK$443,1,Source_Data!AQ$5-($B$438+$B$440)),0)</f>
        <v>18.739554375</v>
      </c>
      <c r="AR444" s="33" t="n">
        <f aca="false">$B$437*IF(Source_Data!AR$5-($B$438+$B$440)&gt;=1,INDEX($D$443:$BK$443,1,Source_Data!AR$5-($B$438+$B$440)),0)</f>
        <v>9.6261675</v>
      </c>
      <c r="AS444" s="33" t="n">
        <f aca="false">$B$437*IF(Source_Data!AS$5-($B$438+$B$440)&gt;=1,INDEX($D$443:$BK$443,1,Source_Data!AS$5-($B$438+$B$440)),0)</f>
        <v>3.5704725</v>
      </c>
      <c r="AT444" s="33" t="n">
        <f aca="false">$B$437*IF(Source_Data!AT$5-($B$438+$B$440)&gt;=1,INDEX($D$443:$BK$443,1,Source_Data!AT$5-($B$438+$B$440)),0)</f>
        <v>0</v>
      </c>
      <c r="AU444" s="33" t="n">
        <f aca="false">$B$437*IF(Source_Data!AU$5-($B$438+$B$440)&gt;=1,INDEX($D$443:$BK$443,1,Source_Data!AU$5-($B$438+$B$440)),0)</f>
        <v>0</v>
      </c>
      <c r="AV444" s="33" t="n">
        <f aca="false">$B$437*IF(Source_Data!AV$5-($B$438+$B$440)&gt;=1,INDEX($D$443:$BK$443,1,Source_Data!AV$5-($B$438+$B$440)),0)</f>
        <v>0</v>
      </c>
      <c r="AW444" s="33" t="n">
        <f aca="false">$B$437*IF(Source_Data!AW$5-($B$438+$B$440)&gt;=1,INDEX($D$443:$BK$443,1,Source_Data!AW$5-($B$438+$B$440)),0)</f>
        <v>0</v>
      </c>
      <c r="AX444" s="33" t="n">
        <f aca="false">$B$437*IF(Source_Data!AX$5-($B$438+$B$440)&gt;=1,INDEX($D$443:$BK$443,1,Source_Data!AX$5-($B$438+$B$440)),0)</f>
        <v>0</v>
      </c>
      <c r="AY444" s="33" t="n">
        <f aca="false">$B$437*IF(Source_Data!AY$5-($B$438+$B$440)&gt;=1,INDEX($D$443:$BK$443,1,Source_Data!AY$5-($B$438+$B$440)),0)</f>
        <v>0</v>
      </c>
      <c r="AZ444" s="33" t="n">
        <f aca="false">$B$437*IF(Source_Data!AZ$5-($B$438+$B$440)&gt;=1,INDEX($D$443:$BK$443,1,Source_Data!AZ$5-($B$438+$B$440)),0)</f>
        <v>0</v>
      </c>
      <c r="BA444" s="33" t="n">
        <f aca="false">$B$437*IF(Source_Data!BA$5-($B$438+$B$440)&gt;=1,INDEX($D$443:$BK$443,1,Source_Data!BA$5-($B$438+$B$440)),0)</f>
        <v>0</v>
      </c>
      <c r="BB444" s="33" t="n">
        <f aca="false">$B$437*IF(Source_Data!BB$5-($B$438+$B$440)&gt;=1,INDEX($D$443:$BK$443,1,Source_Data!BB$5-($B$438+$B$440)),0)</f>
        <v>0</v>
      </c>
      <c r="BC444" s="33" t="n">
        <f aca="false">$B$437*IF(Source_Data!BC$5-($B$438+$B$440)&gt;=1,INDEX($D$443:$BK$443,1,Source_Data!BC$5-($B$438+$B$440)),0)</f>
        <v>0</v>
      </c>
      <c r="BD444" s="33" t="n">
        <f aca="false">$B$437*IF(Source_Data!BD$5-($B$438+$B$440)&gt;=1,INDEX($D$443:$BK$443,1,Source_Data!BD$5-($B$438+$B$440)),0)</f>
        <v>0</v>
      </c>
      <c r="BE444" s="33" t="n">
        <f aca="false">$B$437*IF(Source_Data!BE$5-($B$438+$B$440)&gt;=1,INDEX($D$443:$BK$443,1,Source_Data!BE$5-($B$438+$B$440)),0)</f>
        <v>0</v>
      </c>
      <c r="BF444" s="33" t="n">
        <f aca="false">$B$437*IF(Source_Data!BF$5-($B$438+$B$440)&gt;=1,INDEX($D$443:$BK$443,1,Source_Data!BF$5-($B$438+$B$440)),0)</f>
        <v>0</v>
      </c>
      <c r="BG444" s="33" t="n">
        <f aca="false">$B$437*IF(Source_Data!BG$5-($B$438+$B$440)&gt;=1,INDEX($D$443:$BK$443,1,Source_Data!BG$5-($B$438+$B$440)),0)</f>
        <v>0</v>
      </c>
      <c r="BH444" s="33" t="n">
        <f aca="false">$B$437*IF(Source_Data!BH$5-($B$438+$B$440)&gt;=1,INDEX($D$443:$BK$443,1,Source_Data!BH$5-($B$438+$B$440)),0)</f>
        <v>0</v>
      </c>
      <c r="BI444" s="33" t="n">
        <f aca="false">$B$437*IF(Source_Data!BI$5-($B$438+$B$440)&gt;=1,INDEX($D$443:$BK$443,1,Source_Data!BI$5-($B$438+$B$440)),0)</f>
        <v>0</v>
      </c>
      <c r="BJ444" s="33" t="n">
        <f aca="false">$B$437*IF(Source_Data!BJ$5-($B$438+$B$440)&gt;=1,INDEX($D$443:$BK$443,1,Source_Data!BJ$5-($B$438+$B$440)),0)</f>
        <v>0</v>
      </c>
      <c r="BK444" s="33" t="n">
        <f aca="false">$B$437*IF(Source_Data!BK$5-($B$438+$B$440)&gt;=1,INDEX($D$443:$BK$443,1,Source_Data!BK$5-($B$438+$B$440)),0)</f>
        <v>0</v>
      </c>
    </row>
    <row r="445" customFormat="false" ht="15" hidden="false" customHeight="false" outlineLevel="0" collapsed="false">
      <c r="A445" s="3" t="s">
        <v>339</v>
      </c>
      <c r="D445" s="33" t="n">
        <f aca="false">Source_Data!D$9+Source_Data!D$10*IF(Source_Data!$C$10=0,0,MAX(0,Inputs!$B$19*Inputs!$B$22*$B$437-Inputs!$B$20)/Source_Data!$C$10)</f>
        <v>91.25</v>
      </c>
      <c r="E445" s="33" t="n">
        <f aca="false">Source_Data!E$9+Source_Data!E$10*IF(Source_Data!$C$10=0,0,MAX(0,Inputs!$B$19*Inputs!$B$22*$B$437-Inputs!$B$20)/Source_Data!$C$10)</f>
        <v>11.25</v>
      </c>
      <c r="F445" s="33" t="n">
        <f aca="false">Source_Data!F$9+Source_Data!F$10*IF(Source_Data!$C$10=0,0,MAX(0,Inputs!$B$19*Inputs!$B$22*$B$437-Inputs!$B$20)/Source_Data!$C$10)</f>
        <v>11.25</v>
      </c>
      <c r="G445" s="33" t="n">
        <f aca="false">Source_Data!G$9+Source_Data!G$10*IF(Source_Data!$C$10=0,0,MAX(0,Inputs!$B$19*Inputs!$B$22*$B$437-Inputs!$B$20)/Source_Data!$C$10)</f>
        <v>11.25</v>
      </c>
      <c r="H445" s="33" t="n">
        <f aca="false">Source_Data!H$9+Source_Data!H$10*IF(Source_Data!$C$10=0,0,MAX(0,Inputs!$B$19*Inputs!$B$22*$B$437-Inputs!$B$20)/Source_Data!$C$10)</f>
        <v>22.5</v>
      </c>
      <c r="I445" s="33" t="n">
        <f aca="false">Source_Data!I$9+Source_Data!I$10*IF(Source_Data!$C$10=0,0,MAX(0,Inputs!$B$19*Inputs!$B$22*$B$437-Inputs!$B$20)/Source_Data!$C$10)</f>
        <v>22.5</v>
      </c>
      <c r="J445" s="33" t="n">
        <f aca="false">Source_Data!J$9+Source_Data!J$10*IF(Source_Data!$C$10=0,0,MAX(0,Inputs!$B$19*Inputs!$B$22*$B$437-Inputs!$B$20)/Source_Data!$C$10)</f>
        <v>22.5</v>
      </c>
      <c r="K445" s="33" t="n">
        <f aca="false">Source_Data!K$9+Source_Data!K$10*IF(Source_Data!$C$10=0,0,MAX(0,Inputs!$B$19*Inputs!$B$22*$B$437-Inputs!$B$20)/Source_Data!$C$10)</f>
        <v>22.5</v>
      </c>
      <c r="L445" s="33" t="n">
        <f aca="false">Source_Data!L$9+Source_Data!L$10*IF(Source_Data!$C$10=0,0,MAX(0,Inputs!$B$19*Inputs!$B$22*$B$437-Inputs!$B$20)/Source_Data!$C$10)</f>
        <v>33.75</v>
      </c>
      <c r="M445" s="33" t="n">
        <f aca="false">Source_Data!M$9+Source_Data!M$10*IF(Source_Data!$C$10=0,0,MAX(0,Inputs!$B$19*Inputs!$B$22*$B$437-Inputs!$B$20)/Source_Data!$C$10)</f>
        <v>33.75</v>
      </c>
      <c r="N445" s="33" t="n">
        <f aca="false">Source_Data!N$9+Source_Data!N$10*IF(Source_Data!$C$10=0,0,MAX(0,Inputs!$B$19*Inputs!$B$22*$B$437-Inputs!$B$20)/Source_Data!$C$10)</f>
        <v>33.75</v>
      </c>
      <c r="O445" s="33" t="n">
        <f aca="false">Source_Data!O$9+Source_Data!O$10*IF(Source_Data!$C$10=0,0,MAX(0,Inputs!$B$19*Inputs!$B$22*$B$437-Inputs!$B$20)/Source_Data!$C$10)</f>
        <v>33.75</v>
      </c>
      <c r="P445" s="33" t="n">
        <f aca="false">Source_Data!P$9+Source_Data!P$10*IF(Source_Data!$C$10=0,0,MAX(0,Inputs!$B$19*Inputs!$B$22*$B$437-Inputs!$B$20)/Source_Data!$C$10)</f>
        <v>45</v>
      </c>
      <c r="Q445" s="33" t="n">
        <f aca="false">Source_Data!Q$9+Source_Data!Q$10*IF(Source_Data!$C$10=0,0,MAX(0,Inputs!$B$19*Inputs!$B$22*$B$437-Inputs!$B$20)/Source_Data!$C$10)</f>
        <v>45</v>
      </c>
      <c r="R445" s="33" t="n">
        <f aca="false">Source_Data!R$9+Source_Data!R$10*IF(Source_Data!$C$10=0,0,MAX(0,Inputs!$B$19*Inputs!$B$22*$B$437-Inputs!$B$20)/Source_Data!$C$10)</f>
        <v>45</v>
      </c>
      <c r="S445" s="33" t="n">
        <f aca="false">Source_Data!S$9+Source_Data!S$10*IF(Source_Data!$C$10=0,0,MAX(0,Inputs!$B$19*Inputs!$B$22*$B$437-Inputs!$B$20)/Source_Data!$C$10)</f>
        <v>45</v>
      </c>
      <c r="T445" s="33" t="n">
        <f aca="false">Source_Data!T$9+Source_Data!T$10*IF(Source_Data!$C$10=0,0,MAX(0,Inputs!$B$19*Inputs!$B$22*$B$437-Inputs!$B$20)/Source_Data!$C$10)</f>
        <v>45</v>
      </c>
      <c r="U445" s="33" t="n">
        <f aca="false">Source_Data!U$9+Source_Data!U$10*IF(Source_Data!$C$10=0,0,MAX(0,Inputs!$B$19*Inputs!$B$22*$B$437-Inputs!$B$20)/Source_Data!$C$10)</f>
        <v>45</v>
      </c>
      <c r="V445" s="33" t="n">
        <f aca="false">Source_Data!V$9+Source_Data!V$10*IF(Source_Data!$C$10=0,0,MAX(0,Inputs!$B$19*Inputs!$B$22*$B$437-Inputs!$B$20)/Source_Data!$C$10)</f>
        <v>45</v>
      </c>
      <c r="W445" s="33" t="n">
        <f aca="false">Source_Data!W$9+Source_Data!W$10*IF(Source_Data!$C$10=0,0,MAX(0,Inputs!$B$19*Inputs!$B$22*$B$437-Inputs!$B$20)/Source_Data!$C$10)</f>
        <v>45</v>
      </c>
      <c r="X445" s="33" t="n">
        <f aca="false">Source_Data!X$9+Source_Data!X$10*IF(Source_Data!$C$10=0,0,MAX(0,Inputs!$B$19*Inputs!$B$22*$B$437-Inputs!$B$20)/Source_Data!$C$10)</f>
        <v>22.5</v>
      </c>
      <c r="Y445" s="33" t="n">
        <f aca="false">Source_Data!Y$9+Source_Data!Y$10*IF(Source_Data!$C$10=0,0,MAX(0,Inputs!$B$19*Inputs!$B$22*$B$437-Inputs!$B$20)/Source_Data!$C$10)</f>
        <v>22.5</v>
      </c>
      <c r="Z445" s="33" t="n">
        <f aca="false">Source_Data!Z$9+Source_Data!Z$10*IF(Source_Data!$C$10=0,0,MAX(0,Inputs!$B$19*Inputs!$B$22*$B$437-Inputs!$B$20)/Source_Data!$C$10)</f>
        <v>22.5</v>
      </c>
      <c r="AA445" s="33" t="n">
        <f aca="false">Source_Data!AA$9+Source_Data!AA$10*IF(Source_Data!$C$10=0,0,MAX(0,Inputs!$B$19*Inputs!$B$22*$B$437-Inputs!$B$20)/Source_Data!$C$10)</f>
        <v>22.5</v>
      </c>
      <c r="AB445" s="33" t="n">
        <f aca="false">Source_Data!AB$9+Source_Data!AB$10*IF(Source_Data!$C$10=0,0,MAX(0,Inputs!$B$19*Inputs!$B$22*$B$437-Inputs!$B$20)/Source_Data!$C$10)</f>
        <v>0</v>
      </c>
      <c r="AC445" s="33" t="n">
        <f aca="false">Source_Data!AC$9+Source_Data!AC$10*IF(Source_Data!$C$10=0,0,MAX(0,Inputs!$B$19*Inputs!$B$22*$B$437-Inputs!$B$20)/Source_Data!$C$10)</f>
        <v>0</v>
      </c>
      <c r="AD445" s="33" t="n">
        <f aca="false">Source_Data!AD$9+Source_Data!AD$10*IF(Source_Data!$C$10=0,0,MAX(0,Inputs!$B$19*Inputs!$B$22*$B$437-Inputs!$B$20)/Source_Data!$C$10)</f>
        <v>0</v>
      </c>
      <c r="AE445" s="33" t="n">
        <f aca="false">Source_Data!AE$9+Source_Data!AE$10*IF(Source_Data!$C$10=0,0,MAX(0,Inputs!$B$19*Inputs!$B$22*$B$437-Inputs!$B$20)/Source_Data!$C$10)</f>
        <v>0</v>
      </c>
      <c r="AF445" s="33" t="n">
        <f aca="false">Source_Data!AF$9+Source_Data!AF$10*IF(Source_Data!$C$10=0,0,MAX(0,Inputs!$B$19*Inputs!$B$22*$B$437-Inputs!$B$20)/Source_Data!$C$10)</f>
        <v>107.758210351563</v>
      </c>
      <c r="AG445" s="33" t="n">
        <f aca="false">Source_Data!AG$9+Source_Data!AG$10*IF(Source_Data!$C$10=0,0,MAX(0,Inputs!$B$19*Inputs!$B$22*$B$437-Inputs!$B$20)/Source_Data!$C$10)</f>
        <v>10.976512421875</v>
      </c>
      <c r="AH445" s="33" t="n">
        <f aca="false">Source_Data!AH$9+Source_Data!AH$10*IF(Source_Data!$C$10=0,0,MAX(0,Inputs!$B$19*Inputs!$B$22*$B$437-Inputs!$B$20)/Source_Data!$C$10)</f>
        <v>10.976512421875</v>
      </c>
      <c r="AI445" s="33" t="n">
        <f aca="false">Source_Data!AI$9+Source_Data!AI$10*IF(Source_Data!$C$10=0,0,MAX(0,Inputs!$B$19*Inputs!$B$22*$B$437-Inputs!$B$20)/Source_Data!$C$10)</f>
        <v>10.976512421875</v>
      </c>
      <c r="AJ445" s="33" t="n">
        <f aca="false">Source_Data!AJ$9+Source_Data!AJ$10*IF(Source_Data!$C$10=0,0,MAX(0,Inputs!$B$19*Inputs!$B$22*$B$437-Inputs!$B$20)/Source_Data!$C$10)</f>
        <v>10.976512421875</v>
      </c>
      <c r="AK445" s="33" t="n">
        <f aca="false">Source_Data!AK$9+Source_Data!AK$10*IF(Source_Data!$C$10=0,0,MAX(0,Inputs!$B$19*Inputs!$B$22*$B$437-Inputs!$B$20)/Source_Data!$C$10)</f>
        <v>10.0209837109375</v>
      </c>
      <c r="AL445" s="33" t="n">
        <f aca="false">Source_Data!AL$9+Source_Data!AL$10*IF(Source_Data!$C$10=0,0,MAX(0,Inputs!$B$19*Inputs!$B$22*$B$437-Inputs!$B$20)/Source_Data!$C$10)</f>
        <v>10.0209837109375</v>
      </c>
      <c r="AM445" s="33" t="n">
        <f aca="false">Source_Data!AM$9+Source_Data!AM$10*IF(Source_Data!$C$10=0,0,MAX(0,Inputs!$B$19*Inputs!$B$22*$B$437-Inputs!$B$20)/Source_Data!$C$10)</f>
        <v>8.19855503906249</v>
      </c>
      <c r="AN445" s="33" t="n">
        <f aca="false">Source_Data!AN$9+Source_Data!AN$10*IF(Source_Data!$C$10=0,0,MAX(0,Inputs!$B$19*Inputs!$B$22*$B$437-Inputs!$B$20)/Source_Data!$C$10)</f>
        <v>4.21144828125</v>
      </c>
      <c r="AO445" s="33" t="n">
        <f aca="false">Source_Data!AO$9+Source_Data!AO$10*IF(Source_Data!$C$10=0,0,MAX(0,Inputs!$B$19*Inputs!$B$22*$B$437-Inputs!$B$20)/Source_Data!$C$10)</f>
        <v>1.56208171875</v>
      </c>
      <c r="AP445" s="33" t="n">
        <f aca="false">Source_Data!AP$9+Source_Data!AP$10*IF(Source_Data!$C$10=0,0,MAX(0,Inputs!$B$19*Inputs!$B$22*$B$437-Inputs!$B$20)/Source_Data!$C$10)</f>
        <v>0</v>
      </c>
      <c r="AQ445" s="33" t="n">
        <f aca="false">Source_Data!AQ$9+Source_Data!AQ$10*IF(Source_Data!$C$10=0,0,MAX(0,Inputs!$B$19*Inputs!$B$22*$B$437-Inputs!$B$20)/Source_Data!$C$10)</f>
        <v>0</v>
      </c>
      <c r="AR445" s="33" t="n">
        <f aca="false">Source_Data!AR$9+Source_Data!AR$10*IF(Source_Data!$C$10=0,0,MAX(0,Inputs!$B$19*Inputs!$B$22*$B$437-Inputs!$B$20)/Source_Data!$C$10)</f>
        <v>0</v>
      </c>
      <c r="AS445" s="33" t="n">
        <f aca="false">Source_Data!AS$9+Source_Data!AS$10*IF(Source_Data!$C$10=0,0,MAX(0,Inputs!$B$19*Inputs!$B$22*$B$437-Inputs!$B$20)/Source_Data!$C$10)</f>
        <v>0</v>
      </c>
      <c r="AT445" s="33" t="n">
        <f aca="false">Source_Data!AT$9+Source_Data!AT$10*IF(Source_Data!$C$10=0,0,MAX(0,Inputs!$B$19*Inputs!$B$22*$B$437-Inputs!$B$20)/Source_Data!$C$10)</f>
        <v>0</v>
      </c>
      <c r="AU445" s="33" t="n">
        <f aca="false">Source_Data!AU$9+Source_Data!AU$10*IF(Source_Data!$C$10=0,0,MAX(0,Inputs!$B$19*Inputs!$B$22*$B$437-Inputs!$B$20)/Source_Data!$C$10)</f>
        <v>0</v>
      </c>
      <c r="AV445" s="33" t="n">
        <f aca="false">Source_Data!AV$9+Source_Data!AV$10*IF(Source_Data!$C$10=0,0,MAX(0,Inputs!$B$19*Inputs!$B$22*$B$437-Inputs!$B$20)/Source_Data!$C$10)</f>
        <v>0</v>
      </c>
      <c r="AW445" s="33" t="n">
        <f aca="false">Source_Data!AW$9+Source_Data!AW$10*IF(Source_Data!$C$10=0,0,MAX(0,Inputs!$B$19*Inputs!$B$22*$B$437-Inputs!$B$20)/Source_Data!$C$10)</f>
        <v>0</v>
      </c>
      <c r="AX445" s="33" t="n">
        <f aca="false">Source_Data!AX$9+Source_Data!AX$10*IF(Source_Data!$C$10=0,0,MAX(0,Inputs!$B$19*Inputs!$B$22*$B$437-Inputs!$B$20)/Source_Data!$C$10)</f>
        <v>0</v>
      </c>
      <c r="AY445" s="33" t="n">
        <f aca="false">Source_Data!AY$9+Source_Data!AY$10*IF(Source_Data!$C$10=0,0,MAX(0,Inputs!$B$19*Inputs!$B$22*$B$437-Inputs!$B$20)/Source_Data!$C$10)</f>
        <v>0</v>
      </c>
      <c r="AZ445" s="33" t="n">
        <f aca="false">Source_Data!AZ$9+Source_Data!AZ$10*IF(Source_Data!$C$10=0,0,MAX(0,Inputs!$B$19*Inputs!$B$22*$B$437-Inputs!$B$20)/Source_Data!$C$10)</f>
        <v>0</v>
      </c>
      <c r="BA445" s="33" t="n">
        <f aca="false">Source_Data!BA$9+Source_Data!BA$10*IF(Source_Data!$C$10=0,0,MAX(0,Inputs!$B$19*Inputs!$B$22*$B$437-Inputs!$B$20)/Source_Data!$C$10)</f>
        <v>0</v>
      </c>
      <c r="BB445" s="33" t="n">
        <f aca="false">Source_Data!BB$9+Source_Data!BB$10*IF(Source_Data!$C$10=0,0,MAX(0,Inputs!$B$19*Inputs!$B$22*$B$437-Inputs!$B$20)/Source_Data!$C$10)</f>
        <v>0</v>
      </c>
      <c r="BC445" s="33" t="n">
        <f aca="false">Source_Data!BC$9+Source_Data!BC$10*IF(Source_Data!$C$10=0,0,MAX(0,Inputs!$B$19*Inputs!$B$22*$B$437-Inputs!$B$20)/Source_Data!$C$10)</f>
        <v>0</v>
      </c>
      <c r="BD445" s="33" t="n">
        <f aca="false">Source_Data!BD$9+Source_Data!BD$10*IF(Source_Data!$C$10=0,0,MAX(0,Inputs!$B$19*Inputs!$B$22*$B$437-Inputs!$B$20)/Source_Data!$C$10)</f>
        <v>0</v>
      </c>
      <c r="BE445" s="33" t="n">
        <f aca="false">Source_Data!BE$9+Source_Data!BE$10*IF(Source_Data!$C$10=0,0,MAX(0,Inputs!$B$19*Inputs!$B$22*$B$437-Inputs!$B$20)/Source_Data!$C$10)</f>
        <v>0</v>
      </c>
      <c r="BF445" s="33" t="n">
        <f aca="false">Source_Data!BF$9+Source_Data!BF$10*IF(Source_Data!$C$10=0,0,MAX(0,Inputs!$B$19*Inputs!$B$22*$B$437-Inputs!$B$20)/Source_Data!$C$10)</f>
        <v>0</v>
      </c>
      <c r="BG445" s="33" t="n">
        <f aca="false">Source_Data!BG$9+Source_Data!BG$10*IF(Source_Data!$C$10=0,0,MAX(0,Inputs!$B$19*Inputs!$B$22*$B$437-Inputs!$B$20)/Source_Data!$C$10)</f>
        <v>0</v>
      </c>
      <c r="BH445" s="33" t="n">
        <f aca="false">Source_Data!BH$9+Source_Data!BH$10*IF(Source_Data!$C$10=0,0,MAX(0,Inputs!$B$19*Inputs!$B$22*$B$437-Inputs!$B$20)/Source_Data!$C$10)</f>
        <v>0</v>
      </c>
      <c r="BI445" s="33" t="n">
        <f aca="false">Source_Data!BI$9+Source_Data!BI$10*IF(Source_Data!$C$10=0,0,MAX(0,Inputs!$B$19*Inputs!$B$22*$B$437-Inputs!$B$20)/Source_Data!$C$10)</f>
        <v>0</v>
      </c>
      <c r="BJ445" s="33" t="n">
        <f aca="false">Source_Data!BJ$9+Source_Data!BJ$10*IF(Source_Data!$C$10=0,0,MAX(0,Inputs!$B$19*Inputs!$B$22*$B$437-Inputs!$B$20)/Source_Data!$C$10)</f>
        <v>0</v>
      </c>
      <c r="BK445" s="33" t="n">
        <f aca="false">Source_Data!BK$9+Source_Data!BK$10*IF(Source_Data!$C$10=0,0,MAX(0,Inputs!$B$19*Inputs!$B$22*$B$437-Inputs!$B$20)/Source_Data!$C$10)</f>
        <v>0</v>
      </c>
    </row>
    <row r="446" customFormat="false" ht="15" hidden="false" customHeight="false" outlineLevel="0" collapsed="false">
      <c r="A446" s="3" t="s">
        <v>194</v>
      </c>
      <c r="D446" s="33" t="n">
        <f aca="false">Source_Data!D$11*$B$439</f>
        <v>0</v>
      </c>
      <c r="E446" s="33" t="n">
        <f aca="false">Source_Data!E$11*$B$439</f>
        <v>0</v>
      </c>
      <c r="F446" s="33" t="n">
        <f aca="false">Source_Data!F$11*$B$439</f>
        <v>0</v>
      </c>
      <c r="G446" s="33" t="n">
        <f aca="false">Source_Data!G$11*$B$439</f>
        <v>0</v>
      </c>
      <c r="H446" s="33" t="n">
        <f aca="false">Source_Data!H$11*$B$439</f>
        <v>20</v>
      </c>
      <c r="I446" s="33" t="n">
        <f aca="false">Source_Data!I$11*$B$439</f>
        <v>26.4</v>
      </c>
      <c r="J446" s="33" t="n">
        <f aca="false">Source_Data!J$11*$B$439</f>
        <v>40</v>
      </c>
      <c r="K446" s="33" t="n">
        <f aca="false">Source_Data!K$11*$B$439</f>
        <v>26.4</v>
      </c>
      <c r="L446" s="33" t="n">
        <f aca="false">Source_Data!L$11*$B$439</f>
        <v>26.4</v>
      </c>
      <c r="M446" s="33" t="n">
        <f aca="false">Source_Data!M$11*$B$439</f>
        <v>26.4</v>
      </c>
      <c r="N446" s="33" t="n">
        <f aca="false">Source_Data!N$11*$B$439</f>
        <v>5.28</v>
      </c>
      <c r="O446" s="33" t="n">
        <f aca="false">Source_Data!O$11*$B$439</f>
        <v>5.28</v>
      </c>
      <c r="P446" s="33" t="n">
        <f aca="false">Source_Data!P$11*$B$439</f>
        <v>120</v>
      </c>
      <c r="Q446" s="33" t="n">
        <f aca="false">Source_Data!Q$11*$B$439</f>
        <v>120</v>
      </c>
      <c r="R446" s="33" t="n">
        <f aca="false">Source_Data!R$11*$B$439</f>
        <v>164</v>
      </c>
      <c r="S446" s="33" t="n">
        <f aca="false">Source_Data!S$11*$B$439</f>
        <v>117</v>
      </c>
      <c r="T446" s="33" t="n">
        <f aca="false">Source_Data!T$11*$B$439</f>
        <v>0</v>
      </c>
      <c r="U446" s="33" t="n">
        <f aca="false">Source_Data!U$11*$B$439</f>
        <v>0</v>
      </c>
      <c r="V446" s="33" t="n">
        <f aca="false">Source_Data!V$11*$B$439</f>
        <v>0</v>
      </c>
      <c r="W446" s="33" t="n">
        <f aca="false">Source_Data!W$11*$B$439</f>
        <v>0</v>
      </c>
      <c r="X446" s="33" t="n">
        <f aca="false">Source_Data!X$11*$B$439</f>
        <v>0</v>
      </c>
      <c r="Y446" s="33" t="n">
        <f aca="false">Source_Data!Y$11*$B$439</f>
        <v>0</v>
      </c>
      <c r="Z446" s="33" t="n">
        <f aca="false">Source_Data!Z$11*$B$439</f>
        <v>0</v>
      </c>
      <c r="AA446" s="33" t="n">
        <f aca="false">Source_Data!AA$11*$B$439</f>
        <v>0</v>
      </c>
      <c r="AB446" s="33" t="n">
        <f aca="false">Source_Data!AB$11*$B$439</f>
        <v>0</v>
      </c>
      <c r="AC446" s="33" t="n">
        <f aca="false">Source_Data!AC$11*$B$439</f>
        <v>0</v>
      </c>
      <c r="AD446" s="33" t="n">
        <f aca="false">Source_Data!AD$11*$B$439</f>
        <v>0</v>
      </c>
      <c r="AE446" s="33" t="n">
        <f aca="false">Source_Data!AE$11*$B$439</f>
        <v>0</v>
      </c>
      <c r="AF446" s="33" t="n">
        <f aca="false">Source_Data!AF$11*$B$439</f>
        <v>0</v>
      </c>
      <c r="AG446" s="33" t="n">
        <f aca="false">Source_Data!AG$11*$B$439</f>
        <v>0</v>
      </c>
      <c r="AH446" s="33" t="n">
        <f aca="false">Source_Data!AH$11*$B$439</f>
        <v>0</v>
      </c>
      <c r="AI446" s="33" t="n">
        <f aca="false">Source_Data!AI$11*$B$439</f>
        <v>0</v>
      </c>
      <c r="AJ446" s="33" t="n">
        <f aca="false">Source_Data!AJ$11*$B$439</f>
        <v>0</v>
      </c>
      <c r="AK446" s="33" t="n">
        <f aca="false">Source_Data!AK$11*$B$439</f>
        <v>0</v>
      </c>
      <c r="AL446" s="33" t="n">
        <f aca="false">Source_Data!AL$11*$B$439</f>
        <v>0</v>
      </c>
      <c r="AM446" s="33" t="n">
        <f aca="false">Source_Data!AM$11*$B$439</f>
        <v>0</v>
      </c>
      <c r="AN446" s="33" t="n">
        <f aca="false">Source_Data!AN$11*$B$439</f>
        <v>0</v>
      </c>
      <c r="AO446" s="33" t="n">
        <f aca="false">Source_Data!AO$11*$B$439</f>
        <v>0</v>
      </c>
      <c r="AP446" s="33" t="n">
        <f aca="false">Source_Data!AP$11*$B$439</f>
        <v>0</v>
      </c>
      <c r="AQ446" s="33" t="n">
        <f aca="false">Source_Data!AQ$11*$B$439</f>
        <v>0</v>
      </c>
      <c r="AR446" s="33" t="n">
        <f aca="false">Source_Data!AR$11*$B$439</f>
        <v>0</v>
      </c>
      <c r="AS446" s="33" t="n">
        <f aca="false">Source_Data!AS$11*$B$439</f>
        <v>0</v>
      </c>
      <c r="AT446" s="33" t="n">
        <f aca="false">Source_Data!AT$11*$B$439</f>
        <v>0</v>
      </c>
      <c r="AU446" s="33" t="n">
        <f aca="false">Source_Data!AU$11*$B$439</f>
        <v>0</v>
      </c>
      <c r="AV446" s="33" t="n">
        <f aca="false">Source_Data!AV$11*$B$439</f>
        <v>0</v>
      </c>
      <c r="AW446" s="33" t="n">
        <f aca="false">Source_Data!AW$11*$B$439</f>
        <v>0</v>
      </c>
      <c r="AX446" s="33" t="n">
        <f aca="false">Source_Data!AX$11*$B$439</f>
        <v>0</v>
      </c>
      <c r="AY446" s="33" t="n">
        <f aca="false">Source_Data!AY$11*$B$439</f>
        <v>0</v>
      </c>
      <c r="AZ446" s="33" t="n">
        <f aca="false">Source_Data!AZ$11*$B$439</f>
        <v>0</v>
      </c>
      <c r="BA446" s="33" t="n">
        <f aca="false">Source_Data!BA$11*$B$439</f>
        <v>0</v>
      </c>
      <c r="BB446" s="33" t="n">
        <f aca="false">Source_Data!BB$11*$B$439</f>
        <v>0</v>
      </c>
      <c r="BC446" s="33" t="n">
        <f aca="false">Source_Data!BC$11*$B$439</f>
        <v>0</v>
      </c>
      <c r="BD446" s="33" t="n">
        <f aca="false">Source_Data!BD$11*$B$439</f>
        <v>0</v>
      </c>
      <c r="BE446" s="33" t="n">
        <f aca="false">Source_Data!BE$11*$B$439</f>
        <v>0</v>
      </c>
      <c r="BF446" s="33" t="n">
        <f aca="false">Source_Data!BF$11*$B$439</f>
        <v>0</v>
      </c>
      <c r="BG446" s="33" t="n">
        <f aca="false">Source_Data!BG$11*$B$439</f>
        <v>0</v>
      </c>
      <c r="BH446" s="33" t="n">
        <f aca="false">Source_Data!BH$11*$B$439</f>
        <v>0</v>
      </c>
      <c r="BI446" s="33" t="n">
        <f aca="false">Source_Data!BI$11*$B$439</f>
        <v>0</v>
      </c>
      <c r="BJ446" s="33" t="n">
        <f aca="false">Source_Data!BJ$11*$B$439</f>
        <v>0</v>
      </c>
      <c r="BK446" s="33" t="n">
        <f aca="false">Source_Data!BK$11*$B$439</f>
        <v>0</v>
      </c>
    </row>
    <row r="447" customFormat="false" ht="15" hidden="false" customHeight="false" outlineLevel="0" collapsed="false">
      <c r="A447" s="3" t="s">
        <v>196</v>
      </c>
      <c r="D447" s="33" t="n">
        <f aca="false">$B$437*IF(Source_Data!D$5-$B$438&gt;=1,INDEX(Source_Data!$D$12:$BK$12,1,Source_Data!D$5-$B$438),0)</f>
        <v>0</v>
      </c>
      <c r="E447" s="33" t="n">
        <f aca="false">$B$437*IF(Source_Data!E$5-$B$438&gt;=1,INDEX(Source_Data!$D$12:$BK$12,1,Source_Data!E$5-$B$438),0)</f>
        <v>0</v>
      </c>
      <c r="F447" s="33" t="n">
        <f aca="false">$B$437*IF(Source_Data!F$5-$B$438&gt;=1,INDEX(Source_Data!$D$12:$BK$12,1,Source_Data!F$5-$B$438),0)</f>
        <v>0</v>
      </c>
      <c r="G447" s="33" t="n">
        <f aca="false">$B$437*IF(Source_Data!G$5-$B$438&gt;=1,INDEX(Source_Data!$D$12:$BK$12,1,Source_Data!G$5-$B$438),0)</f>
        <v>0</v>
      </c>
      <c r="H447" s="33" t="n">
        <f aca="false">$B$437*IF(Source_Data!H$5-$B$438&gt;=1,INDEX(Source_Data!$D$12:$BK$12,1,Source_Data!H$5-$B$438),0)</f>
        <v>0</v>
      </c>
      <c r="I447" s="33" t="n">
        <f aca="false">$B$437*IF(Source_Data!I$5-$B$438&gt;=1,INDEX(Source_Data!$D$12:$BK$12,1,Source_Data!I$5-$B$438),0)</f>
        <v>0</v>
      </c>
      <c r="J447" s="33" t="n">
        <f aca="false">$B$437*IF(Source_Data!J$5-$B$438&gt;=1,INDEX(Source_Data!$D$12:$BK$12,1,Source_Data!J$5-$B$438),0)</f>
        <v>12.11139</v>
      </c>
      <c r="K447" s="33" t="n">
        <f aca="false">$B$437*IF(Source_Data!K$5-$B$438&gt;=1,INDEX(Source_Data!$D$12:$BK$12,1,Source_Data!K$5-$B$438),0)</f>
        <v>12.11139</v>
      </c>
      <c r="L447" s="33" t="n">
        <f aca="false">$B$437*IF(Source_Data!L$5-$B$438&gt;=1,INDEX(Source_Data!$D$12:$BK$12,1,Source_Data!L$5-$B$438),0)</f>
        <v>9.52126</v>
      </c>
      <c r="M447" s="33" t="n">
        <f aca="false">$B$437*IF(Source_Data!M$5-$B$438&gt;=1,INDEX(Source_Data!$D$12:$BK$12,1,Source_Data!M$5-$B$438),0)</f>
        <v>9.52126</v>
      </c>
      <c r="N447" s="33" t="n">
        <f aca="false">$B$437*IF(Source_Data!N$5-$B$438&gt;=1,INDEX(Source_Data!$D$12:$BK$12,1,Source_Data!N$5-$B$438),0)</f>
        <v>6.98901</v>
      </c>
      <c r="O447" s="33" t="n">
        <f aca="false">$B$437*IF(Source_Data!O$5-$B$438&gt;=1,INDEX(Source_Data!$D$12:$BK$12,1,Source_Data!O$5-$B$438),0)</f>
        <v>6.98901</v>
      </c>
      <c r="P447" s="33" t="n">
        <f aca="false">$B$437*IF(Source_Data!P$5-$B$438&gt;=1,INDEX(Source_Data!$D$12:$BK$12,1,Source_Data!P$5-$B$438),0)</f>
        <v>7.69804</v>
      </c>
      <c r="Q447" s="33" t="n">
        <f aca="false">$B$437*IF(Source_Data!Q$5-$B$438&gt;=1,INDEX(Source_Data!$D$12:$BK$12,1,Source_Data!Q$5-$B$438),0)</f>
        <v>9.2608</v>
      </c>
      <c r="R447" s="33" t="n">
        <f aca="false">$B$437*IF(Source_Data!R$5-$B$438&gt;=1,INDEX(Source_Data!$D$12:$BK$12,1,Source_Data!R$5-$B$438),0)</f>
        <v>9.2608</v>
      </c>
      <c r="S447" s="33" t="n">
        <f aca="false">$B$437*IF(Source_Data!S$5-$B$438&gt;=1,INDEX(Source_Data!$D$12:$BK$12,1,Source_Data!S$5-$B$438),0)</f>
        <v>6.6562</v>
      </c>
      <c r="T447" s="33" t="n">
        <f aca="false">$B$437*IF(Source_Data!T$5-$B$438&gt;=1,INDEX(Source_Data!$D$12:$BK$12,1,Source_Data!T$5-$B$438),0)</f>
        <v>0</v>
      </c>
      <c r="U447" s="33" t="n">
        <f aca="false">$B$437*IF(Source_Data!U$5-$B$438&gt;=1,INDEX(Source_Data!$D$12:$BK$12,1,Source_Data!U$5-$B$438),0)</f>
        <v>0</v>
      </c>
      <c r="V447" s="33" t="n">
        <f aca="false">$B$437*IF(Source_Data!V$5-$B$438&gt;=1,INDEX(Source_Data!$D$12:$BK$12,1,Source_Data!V$5-$B$438),0)</f>
        <v>0</v>
      </c>
      <c r="W447" s="33" t="n">
        <f aca="false">$B$437*IF(Source_Data!W$5-$B$438&gt;=1,INDEX(Source_Data!$D$12:$BK$12,1,Source_Data!W$5-$B$438),0)</f>
        <v>0</v>
      </c>
      <c r="X447" s="33" t="n">
        <f aca="false">$B$437*IF(Source_Data!X$5-$B$438&gt;=1,INDEX(Source_Data!$D$12:$BK$12,1,Source_Data!X$5-$B$438),0)</f>
        <v>0</v>
      </c>
      <c r="Y447" s="33" t="n">
        <f aca="false">$B$437*IF(Source_Data!Y$5-$B$438&gt;=1,INDEX(Source_Data!$D$12:$BK$12,1,Source_Data!Y$5-$B$438),0)</f>
        <v>0</v>
      </c>
      <c r="Z447" s="33" t="n">
        <f aca="false">$B$437*IF(Source_Data!Z$5-$B$438&gt;=1,INDEX(Source_Data!$D$12:$BK$12,1,Source_Data!Z$5-$B$438),0)</f>
        <v>0</v>
      </c>
      <c r="AA447" s="33" t="n">
        <f aca="false">$B$437*IF(Source_Data!AA$5-$B$438&gt;=1,INDEX(Source_Data!$D$12:$BK$12,1,Source_Data!AA$5-$B$438),0)</f>
        <v>0</v>
      </c>
      <c r="AB447" s="33" t="n">
        <f aca="false">$B$437*IF(Source_Data!AB$5-$B$438&gt;=1,INDEX(Source_Data!$D$12:$BK$12,1,Source_Data!AB$5-$B$438),0)</f>
        <v>0</v>
      </c>
      <c r="AC447" s="33" t="n">
        <f aca="false">$B$437*IF(Source_Data!AC$5-$B$438&gt;=1,INDEX(Source_Data!$D$12:$BK$12,1,Source_Data!AC$5-$B$438),0)</f>
        <v>0</v>
      </c>
      <c r="AD447" s="33" t="n">
        <f aca="false">$B$437*IF(Source_Data!AD$5-$B$438&gt;=1,INDEX(Source_Data!$D$12:$BK$12,1,Source_Data!AD$5-$B$438),0)</f>
        <v>0</v>
      </c>
      <c r="AE447" s="33" t="n">
        <f aca="false">$B$437*IF(Source_Data!AE$5-$B$438&gt;=1,INDEX(Source_Data!$D$12:$BK$12,1,Source_Data!AE$5-$B$438),0)</f>
        <v>0</v>
      </c>
      <c r="AF447" s="33" t="n">
        <f aca="false">$B$437*IF(Source_Data!AF$5-$B$438&gt;=1,INDEX(Source_Data!$D$12:$BK$12,1,Source_Data!AF$5-$B$438),0)</f>
        <v>0</v>
      </c>
      <c r="AG447" s="33" t="n">
        <f aca="false">$B$437*IF(Source_Data!AG$5-$B$438&gt;=1,INDEX(Source_Data!$D$12:$BK$12,1,Source_Data!AG$5-$B$438),0)</f>
        <v>0</v>
      </c>
      <c r="AH447" s="33" t="n">
        <f aca="false">$B$437*IF(Source_Data!AH$5-$B$438&gt;=1,INDEX(Source_Data!$D$12:$BK$12,1,Source_Data!AH$5-$B$438),0)</f>
        <v>0</v>
      </c>
      <c r="AI447" s="33" t="n">
        <f aca="false">$B$437*IF(Source_Data!AI$5-$B$438&gt;=1,INDEX(Source_Data!$D$12:$BK$12,1,Source_Data!AI$5-$B$438),0)</f>
        <v>0</v>
      </c>
      <c r="AJ447" s="33" t="n">
        <f aca="false">$B$437*IF(Source_Data!AJ$5-$B$438&gt;=1,INDEX(Source_Data!$D$12:$BK$12,1,Source_Data!AJ$5-$B$438),0)</f>
        <v>0</v>
      </c>
      <c r="AK447" s="33" t="n">
        <f aca="false">$B$437*IF(Source_Data!AK$5-$B$438&gt;=1,INDEX(Source_Data!$D$12:$BK$12,1,Source_Data!AK$5-$B$438),0)</f>
        <v>0</v>
      </c>
      <c r="AL447" s="33" t="n">
        <f aca="false">$B$437*IF(Source_Data!AL$5-$B$438&gt;=1,INDEX(Source_Data!$D$12:$BK$12,1,Source_Data!AL$5-$B$438),0)</f>
        <v>0</v>
      </c>
      <c r="AM447" s="33" t="n">
        <f aca="false">$B$437*IF(Source_Data!AM$5-$B$438&gt;=1,INDEX(Source_Data!$D$12:$BK$12,1,Source_Data!AM$5-$B$438),0)</f>
        <v>0</v>
      </c>
      <c r="AN447" s="33" t="n">
        <f aca="false">$B$437*IF(Source_Data!AN$5-$B$438&gt;=1,INDEX(Source_Data!$D$12:$BK$12,1,Source_Data!AN$5-$B$438),0)</f>
        <v>0</v>
      </c>
      <c r="AO447" s="33" t="n">
        <f aca="false">$B$437*IF(Source_Data!AO$5-$B$438&gt;=1,INDEX(Source_Data!$D$12:$BK$12,1,Source_Data!AO$5-$B$438),0)</f>
        <v>0</v>
      </c>
      <c r="AP447" s="33" t="n">
        <f aca="false">$B$437*IF(Source_Data!AP$5-$B$438&gt;=1,INDEX(Source_Data!$D$12:$BK$12,1,Source_Data!AP$5-$B$438),0)</f>
        <v>0</v>
      </c>
      <c r="AQ447" s="33" t="n">
        <f aca="false">$B$437*IF(Source_Data!AQ$5-$B$438&gt;=1,INDEX(Source_Data!$D$12:$BK$12,1,Source_Data!AQ$5-$B$438),0)</f>
        <v>0</v>
      </c>
      <c r="AR447" s="33" t="n">
        <f aca="false">$B$437*IF(Source_Data!AR$5-$B$438&gt;=1,INDEX(Source_Data!$D$12:$BK$12,1,Source_Data!AR$5-$B$438),0)</f>
        <v>0</v>
      </c>
      <c r="AS447" s="33" t="n">
        <f aca="false">$B$437*IF(Source_Data!AS$5-$B$438&gt;=1,INDEX(Source_Data!$D$12:$BK$12,1,Source_Data!AS$5-$B$438),0)</f>
        <v>0</v>
      </c>
      <c r="AT447" s="33" t="n">
        <f aca="false">$B$437*IF(Source_Data!AT$5-$B$438&gt;=1,INDEX(Source_Data!$D$12:$BK$12,1,Source_Data!AT$5-$B$438),0)</f>
        <v>0</v>
      </c>
      <c r="AU447" s="33" t="n">
        <f aca="false">$B$437*IF(Source_Data!AU$5-$B$438&gt;=1,INDEX(Source_Data!$D$12:$BK$12,1,Source_Data!AU$5-$B$438),0)</f>
        <v>0</v>
      </c>
      <c r="AV447" s="33" t="n">
        <f aca="false">$B$437*IF(Source_Data!AV$5-$B$438&gt;=1,INDEX(Source_Data!$D$12:$BK$12,1,Source_Data!AV$5-$B$438),0)</f>
        <v>0</v>
      </c>
      <c r="AW447" s="33" t="n">
        <f aca="false">$B$437*IF(Source_Data!AW$5-$B$438&gt;=1,INDEX(Source_Data!$D$12:$BK$12,1,Source_Data!AW$5-$B$438),0)</f>
        <v>0</v>
      </c>
      <c r="AX447" s="33" t="n">
        <f aca="false">$B$437*IF(Source_Data!AX$5-$B$438&gt;=1,INDEX(Source_Data!$D$12:$BK$12,1,Source_Data!AX$5-$B$438),0)</f>
        <v>0</v>
      </c>
      <c r="AY447" s="33" t="n">
        <f aca="false">$B$437*IF(Source_Data!AY$5-$B$438&gt;=1,INDEX(Source_Data!$D$12:$BK$12,1,Source_Data!AY$5-$B$438),0)</f>
        <v>0</v>
      </c>
      <c r="AZ447" s="33" t="n">
        <f aca="false">$B$437*IF(Source_Data!AZ$5-$B$438&gt;=1,INDEX(Source_Data!$D$12:$BK$12,1,Source_Data!AZ$5-$B$438),0)</f>
        <v>0</v>
      </c>
      <c r="BA447" s="33" t="n">
        <f aca="false">$B$437*IF(Source_Data!BA$5-$B$438&gt;=1,INDEX(Source_Data!$D$12:$BK$12,1,Source_Data!BA$5-$B$438),0)</f>
        <v>0</v>
      </c>
      <c r="BB447" s="33" t="n">
        <f aca="false">$B$437*IF(Source_Data!BB$5-$B$438&gt;=1,INDEX(Source_Data!$D$12:$BK$12,1,Source_Data!BB$5-$B$438),0)</f>
        <v>0</v>
      </c>
      <c r="BC447" s="33" t="n">
        <f aca="false">$B$437*IF(Source_Data!BC$5-$B$438&gt;=1,INDEX(Source_Data!$D$12:$BK$12,1,Source_Data!BC$5-$B$438),0)</f>
        <v>0</v>
      </c>
      <c r="BD447" s="33" t="n">
        <f aca="false">$B$437*IF(Source_Data!BD$5-$B$438&gt;=1,INDEX(Source_Data!$D$12:$BK$12,1,Source_Data!BD$5-$B$438),0)</f>
        <v>0</v>
      </c>
      <c r="BE447" s="33" t="n">
        <f aca="false">$B$437*IF(Source_Data!BE$5-$B$438&gt;=1,INDEX(Source_Data!$D$12:$BK$12,1,Source_Data!BE$5-$B$438),0)</f>
        <v>0</v>
      </c>
      <c r="BF447" s="33" t="n">
        <f aca="false">$B$437*IF(Source_Data!BF$5-$B$438&gt;=1,INDEX(Source_Data!$D$12:$BK$12,1,Source_Data!BF$5-$B$438),0)</f>
        <v>0</v>
      </c>
      <c r="BG447" s="33" t="n">
        <f aca="false">$B$437*IF(Source_Data!BG$5-$B$438&gt;=1,INDEX(Source_Data!$D$12:$BK$12,1,Source_Data!BG$5-$B$438),0)</f>
        <v>0</v>
      </c>
      <c r="BH447" s="33" t="n">
        <f aca="false">$B$437*IF(Source_Data!BH$5-$B$438&gt;=1,INDEX(Source_Data!$D$12:$BK$12,1,Source_Data!BH$5-$B$438),0)</f>
        <v>0</v>
      </c>
      <c r="BI447" s="33" t="n">
        <f aca="false">$B$437*IF(Source_Data!BI$5-$B$438&gt;=1,INDEX(Source_Data!$D$12:$BK$12,1,Source_Data!BI$5-$B$438),0)</f>
        <v>0</v>
      </c>
      <c r="BJ447" s="33" t="n">
        <f aca="false">$B$437*IF(Source_Data!BJ$5-$B$438&gt;=1,INDEX(Source_Data!$D$12:$BK$12,1,Source_Data!BJ$5-$B$438),0)</f>
        <v>0</v>
      </c>
      <c r="BK447" s="33" t="n">
        <f aca="false">$B$437*IF(Source_Data!BK$5-$B$438&gt;=1,INDEX(Source_Data!$D$12:$BK$12,1,Source_Data!BK$5-$B$438),0)</f>
        <v>0</v>
      </c>
    </row>
    <row r="448" customFormat="false" ht="15" hidden="false" customHeight="false" outlineLevel="0" collapsed="false">
      <c r="A448" s="3" t="s">
        <v>215</v>
      </c>
      <c r="D448" s="33" t="n">
        <f aca="false">Source_Data!D$13*$B$439</f>
        <v>0</v>
      </c>
      <c r="E448" s="33" t="n">
        <f aca="false">Source_Data!E$13*$B$439</f>
        <v>0</v>
      </c>
      <c r="F448" s="33" t="n">
        <f aca="false">Source_Data!F$13*$B$439</f>
        <v>0</v>
      </c>
      <c r="G448" s="33" t="n">
        <f aca="false">Source_Data!G$13*$B$439</f>
        <v>0</v>
      </c>
      <c r="H448" s="33" t="n">
        <f aca="false">Source_Data!H$13*$B$439</f>
        <v>3</v>
      </c>
      <c r="I448" s="33" t="n">
        <f aca="false">Source_Data!I$13*$B$439</f>
        <v>3.96</v>
      </c>
      <c r="J448" s="33" t="n">
        <f aca="false">Source_Data!J$13*$B$439</f>
        <v>6</v>
      </c>
      <c r="K448" s="33" t="n">
        <f aca="false">Source_Data!K$13*$B$439</f>
        <v>3.96</v>
      </c>
      <c r="L448" s="33" t="n">
        <f aca="false">Source_Data!L$13*$B$439</f>
        <v>3.96</v>
      </c>
      <c r="M448" s="33" t="n">
        <f aca="false">Source_Data!M$13*$B$439</f>
        <v>3.96</v>
      </c>
      <c r="N448" s="33" t="n">
        <f aca="false">Source_Data!N$13*$B$439</f>
        <v>0.792</v>
      </c>
      <c r="O448" s="33" t="n">
        <f aca="false">Source_Data!O$13*$B$439</f>
        <v>0.792</v>
      </c>
      <c r="P448" s="33" t="n">
        <f aca="false">Source_Data!P$13*$B$439</f>
        <v>18</v>
      </c>
      <c r="Q448" s="33" t="n">
        <f aca="false">Source_Data!Q$13*$B$439</f>
        <v>18</v>
      </c>
      <c r="R448" s="33" t="n">
        <f aca="false">Source_Data!R$13*$B$439</f>
        <v>24.6</v>
      </c>
      <c r="S448" s="33" t="n">
        <f aca="false">Source_Data!S$13*$B$439</f>
        <v>17.55</v>
      </c>
      <c r="T448" s="33" t="n">
        <f aca="false">Source_Data!T$13*$B$439</f>
        <v>0</v>
      </c>
      <c r="U448" s="33" t="n">
        <f aca="false">Source_Data!U$13*$B$439</f>
        <v>0</v>
      </c>
      <c r="V448" s="33" t="n">
        <f aca="false">Source_Data!V$13*$B$439</f>
        <v>0</v>
      </c>
      <c r="W448" s="33" t="n">
        <f aca="false">Source_Data!W$13*$B$439</f>
        <v>0</v>
      </c>
      <c r="X448" s="33" t="n">
        <f aca="false">Source_Data!X$13*$B$439</f>
        <v>0</v>
      </c>
      <c r="Y448" s="33" t="n">
        <f aca="false">Source_Data!Y$13*$B$439</f>
        <v>0</v>
      </c>
      <c r="Z448" s="33" t="n">
        <f aca="false">Source_Data!Z$13*$B$439</f>
        <v>0</v>
      </c>
      <c r="AA448" s="33" t="n">
        <f aca="false">Source_Data!AA$13*$B$439</f>
        <v>0</v>
      </c>
      <c r="AB448" s="33" t="n">
        <f aca="false">Source_Data!AB$13*$B$439</f>
        <v>0</v>
      </c>
      <c r="AC448" s="33" t="n">
        <f aca="false">Source_Data!AC$13*$B$439</f>
        <v>0</v>
      </c>
      <c r="AD448" s="33" t="n">
        <f aca="false">Source_Data!AD$13*$B$439</f>
        <v>0</v>
      </c>
      <c r="AE448" s="33" t="n">
        <f aca="false">Source_Data!AE$13*$B$439</f>
        <v>0</v>
      </c>
      <c r="AF448" s="33" t="n">
        <f aca="false">Source_Data!AF$13*$B$439</f>
        <v>0</v>
      </c>
      <c r="AG448" s="33" t="n">
        <f aca="false">Source_Data!AG$13*$B$439</f>
        <v>0</v>
      </c>
      <c r="AH448" s="33" t="n">
        <f aca="false">Source_Data!AH$13*$B$439</f>
        <v>0</v>
      </c>
      <c r="AI448" s="33" t="n">
        <f aca="false">Source_Data!AI$13*$B$439</f>
        <v>0</v>
      </c>
      <c r="AJ448" s="33" t="n">
        <f aca="false">Source_Data!AJ$13*$B$439</f>
        <v>0</v>
      </c>
      <c r="AK448" s="33" t="n">
        <f aca="false">Source_Data!AK$13*$B$439</f>
        <v>0</v>
      </c>
      <c r="AL448" s="33" t="n">
        <f aca="false">Source_Data!AL$13*$B$439</f>
        <v>0</v>
      </c>
      <c r="AM448" s="33" t="n">
        <f aca="false">Source_Data!AM$13*$B$439</f>
        <v>0</v>
      </c>
      <c r="AN448" s="33" t="n">
        <f aca="false">Source_Data!AN$13*$B$439</f>
        <v>0</v>
      </c>
      <c r="AO448" s="33" t="n">
        <f aca="false">Source_Data!AO$13*$B$439</f>
        <v>0</v>
      </c>
      <c r="AP448" s="33" t="n">
        <f aca="false">Source_Data!AP$13*$B$439</f>
        <v>0</v>
      </c>
      <c r="AQ448" s="33" t="n">
        <f aca="false">Source_Data!AQ$13*$B$439</f>
        <v>0</v>
      </c>
      <c r="AR448" s="33" t="n">
        <f aca="false">Source_Data!AR$13*$B$439</f>
        <v>0</v>
      </c>
      <c r="AS448" s="33" t="n">
        <f aca="false">Source_Data!AS$13*$B$439</f>
        <v>0</v>
      </c>
      <c r="AT448" s="33" t="n">
        <f aca="false">Source_Data!AT$13*$B$439</f>
        <v>0</v>
      </c>
      <c r="AU448" s="33" t="n">
        <f aca="false">Source_Data!AU$13*$B$439</f>
        <v>0</v>
      </c>
      <c r="AV448" s="33" t="n">
        <f aca="false">Source_Data!AV$13*$B$439</f>
        <v>0</v>
      </c>
      <c r="AW448" s="33" t="n">
        <f aca="false">Source_Data!AW$13*$B$439</f>
        <v>0</v>
      </c>
      <c r="AX448" s="33" t="n">
        <f aca="false">Source_Data!AX$13*$B$439</f>
        <v>0</v>
      </c>
      <c r="AY448" s="33" t="n">
        <f aca="false">Source_Data!AY$13*$B$439</f>
        <v>0</v>
      </c>
      <c r="AZ448" s="33" t="n">
        <f aca="false">Source_Data!AZ$13*$B$439</f>
        <v>0</v>
      </c>
      <c r="BA448" s="33" t="n">
        <f aca="false">Source_Data!BA$13*$B$439</f>
        <v>0</v>
      </c>
      <c r="BB448" s="33" t="n">
        <f aca="false">Source_Data!BB$13*$B$439</f>
        <v>0</v>
      </c>
      <c r="BC448" s="33" t="n">
        <f aca="false">Source_Data!BC$13*$B$439</f>
        <v>0</v>
      </c>
      <c r="BD448" s="33" t="n">
        <f aca="false">Source_Data!BD$13*$B$439</f>
        <v>0</v>
      </c>
      <c r="BE448" s="33" t="n">
        <f aca="false">Source_Data!BE$13*$B$439</f>
        <v>0</v>
      </c>
      <c r="BF448" s="33" t="n">
        <f aca="false">Source_Data!BF$13*$B$439</f>
        <v>0</v>
      </c>
      <c r="BG448" s="33" t="n">
        <f aca="false">Source_Data!BG$13*$B$439</f>
        <v>0</v>
      </c>
      <c r="BH448" s="33" t="n">
        <f aca="false">Source_Data!BH$13*$B$439</f>
        <v>0</v>
      </c>
      <c r="BI448" s="33" t="n">
        <f aca="false">Source_Data!BI$13*$B$439</f>
        <v>0</v>
      </c>
      <c r="BJ448" s="33" t="n">
        <f aca="false">Source_Data!BJ$13*$B$439</f>
        <v>0</v>
      </c>
      <c r="BK448" s="33" t="n">
        <f aca="false">Source_Data!BK$13*$B$439</f>
        <v>0</v>
      </c>
    </row>
    <row r="449" customFormat="false" ht="15" hidden="false" customHeight="false" outlineLevel="0" collapsed="false">
      <c r="A449" s="2" t="s">
        <v>216</v>
      </c>
      <c r="D449" s="33" t="n">
        <f aca="false">D444-D445-D446-D447-D448</f>
        <v>-91.25</v>
      </c>
      <c r="E449" s="33" t="n">
        <f aca="false">E444-E445-E446-E447-E448</f>
        <v>-11.25</v>
      </c>
      <c r="F449" s="33" t="n">
        <f aca="false">F444-F445-F446-F447-F448</f>
        <v>-11.25</v>
      </c>
      <c r="G449" s="33" t="n">
        <f aca="false">G444-G445-G446-G447-G448</f>
        <v>-11.25</v>
      </c>
      <c r="H449" s="33" t="n">
        <f aca="false">H444-H445-H446-H447-H448</f>
        <v>-45.5</v>
      </c>
      <c r="I449" s="33" t="n">
        <f aca="false">I444-I445-I446-I447-I448</f>
        <v>-52.86</v>
      </c>
      <c r="J449" s="33" t="n">
        <f aca="false">J444-J445-J446-J447-J448</f>
        <v>-65.4721525</v>
      </c>
      <c r="K449" s="33" t="n">
        <f aca="false">K444-K445-K446-K447-K448</f>
        <v>-34.692915</v>
      </c>
      <c r="L449" s="33" t="n">
        <f aca="false">L444-L445-L446-L447-L448</f>
        <v>-27.11925375</v>
      </c>
      <c r="M449" s="33" t="n">
        <f aca="false">M444-M445-M446-M447-M448</f>
        <v>-10.8857225</v>
      </c>
      <c r="N449" s="33" t="n">
        <f aca="false">N444-N445-N446-N447-N448</f>
        <v>15.55469</v>
      </c>
      <c r="O449" s="33" t="n">
        <f aca="false">O444-O445-O446-O447-O448</f>
        <v>16.662549375</v>
      </c>
      <c r="P449" s="33" t="n">
        <f aca="false">P444-P445-P446-P447-P448</f>
        <v>-110.3691915625</v>
      </c>
      <c r="Q449" s="33" t="n">
        <f aca="false">Q444-Q445-Q446-Q447-Q448</f>
        <v>302.9930375</v>
      </c>
      <c r="R449" s="33" t="n">
        <f aca="false">R444-R445-R446-R447-R448</f>
        <v>-57.28305</v>
      </c>
      <c r="S449" s="33" t="n">
        <f aca="false">S444-S445-S446-S447-S448</f>
        <v>-9.67220000000001</v>
      </c>
      <c r="T449" s="33" t="n">
        <f aca="false">T444-T445-T446-T447-T448</f>
        <v>52.31075</v>
      </c>
      <c r="U449" s="33" t="n">
        <f aca="false">U444-U445-U446-U447-U448</f>
        <v>26.30996875</v>
      </c>
      <c r="V449" s="33" t="n">
        <f aca="false">V444-V445-V446-V447-V448</f>
        <v>26.30996875</v>
      </c>
      <c r="W449" s="33" t="n">
        <f aca="false">W444-W445-W446-W447-W448</f>
        <v>23.037035625</v>
      </c>
      <c r="X449" s="33" t="n">
        <f aca="false">X444-X445-X446-X447-X448</f>
        <v>38.7266396875</v>
      </c>
      <c r="Y449" s="33" t="n">
        <f aca="false">Y444-Y445-Y446-Y447-Y448</f>
        <v>37.2127159375</v>
      </c>
      <c r="Z449" s="33" t="n">
        <f aca="false">Z444-Z445-Z446-Z447-Z448</f>
        <v>31.2239446875</v>
      </c>
      <c r="AA449" s="33" t="n">
        <f aca="false">AA444-AA445-AA446-AA447-AA448</f>
        <v>26.8829446875</v>
      </c>
      <c r="AB449" s="33" t="n">
        <f aca="false">AB444-AB445-AB446-AB447-AB448</f>
        <v>49.3829446875</v>
      </c>
      <c r="AC449" s="33" t="n">
        <f aca="false">AC444-AC445-AC446-AC447-AC448</f>
        <v>42.1027259375</v>
      </c>
      <c r="AD449" s="33" t="n">
        <f aca="false">AD444-AD445-AD446-AD447-AD448</f>
        <v>42.1027259375</v>
      </c>
      <c r="AE449" s="33" t="n">
        <f aca="false">AE444-AE445-AE446-AE447-AE448</f>
        <v>42.1027259375</v>
      </c>
      <c r="AF449" s="33" t="n">
        <f aca="false">AF444-AF445-AF446-AF447-AF448</f>
        <v>-71.4434844140625</v>
      </c>
      <c r="AG449" s="33" t="n">
        <f aca="false">AG444-AG445-AG446-AG447-AG448</f>
        <v>22.062115078125</v>
      </c>
      <c r="AH449" s="33" t="n">
        <f aca="false">AH444-AH445-AH446-AH447-AH448</f>
        <v>18.453658828125</v>
      </c>
      <c r="AI449" s="33" t="n">
        <f aca="false">AI444-AI445-AI446-AI447-AI448</f>
        <v>14.112658828125</v>
      </c>
      <c r="AJ449" s="33" t="n">
        <f aca="false">AJ444-AJ445-AJ446-AJ447-AJ448</f>
        <v>14.112658828125</v>
      </c>
      <c r="AK449" s="33" t="n">
        <f aca="false">AK444-AK445-AK446-AK447-AK448</f>
        <v>15.0681875390625</v>
      </c>
      <c r="AL449" s="33" t="n">
        <f aca="false">AL444-AL445-AL446-AL447-AL448</f>
        <v>15.0681875390625</v>
      </c>
      <c r="AM449" s="33" t="n">
        <f aca="false">AM444-AM445-AM446-AM447-AM448</f>
        <v>16.8906162109375</v>
      </c>
      <c r="AN449" s="33" t="n">
        <f aca="false">AN444-AN445-AN446-AN447-AN448</f>
        <v>20.87772296875</v>
      </c>
      <c r="AO449" s="33" t="n">
        <f aca="false">AO444-AO445-AO446-AO447-AO448</f>
        <v>21.34302390625</v>
      </c>
      <c r="AP449" s="33" t="n">
        <f aca="false">AP444-AP445-AP446-AP447-AP448</f>
        <v>22.905105625</v>
      </c>
      <c r="AQ449" s="33" t="n">
        <f aca="false">AQ444-AQ445-AQ446-AQ447-AQ448</f>
        <v>18.739554375</v>
      </c>
      <c r="AR449" s="33" t="n">
        <f aca="false">AR444-AR445-AR446-AR447-AR448</f>
        <v>9.6261675</v>
      </c>
      <c r="AS449" s="33" t="n">
        <f aca="false">AS444-AS445-AS446-AS447-AS448</f>
        <v>3.5704725</v>
      </c>
      <c r="AT449" s="33" t="n">
        <f aca="false">AT444-AT445-AT446-AT447-AT448</f>
        <v>0</v>
      </c>
      <c r="AU449" s="33" t="n">
        <f aca="false">AU444-AU445-AU446-AU447-AU448</f>
        <v>0</v>
      </c>
      <c r="AV449" s="33" t="n">
        <f aca="false">AV444-AV445-AV446-AV447-AV448</f>
        <v>0</v>
      </c>
      <c r="AW449" s="33" t="n">
        <f aca="false">AW444-AW445-AW446-AW447-AW448</f>
        <v>0</v>
      </c>
      <c r="AX449" s="33" t="n">
        <f aca="false">AX444-AX445-AX446-AX447-AX448</f>
        <v>0</v>
      </c>
      <c r="AY449" s="33" t="n">
        <f aca="false">AY444-AY445-AY446-AY447-AY448</f>
        <v>0</v>
      </c>
      <c r="AZ449" s="33" t="n">
        <f aca="false">AZ444-AZ445-AZ446-AZ447-AZ448</f>
        <v>0</v>
      </c>
      <c r="BA449" s="33" t="n">
        <f aca="false">BA444-BA445-BA446-BA447-BA448</f>
        <v>0</v>
      </c>
      <c r="BB449" s="33" t="n">
        <f aca="false">BB444-BB445-BB446-BB447-BB448</f>
        <v>0</v>
      </c>
      <c r="BC449" s="33" t="n">
        <f aca="false">BC444-BC445-BC446-BC447-BC448</f>
        <v>0</v>
      </c>
      <c r="BD449" s="33" t="n">
        <f aca="false">BD444-BD445-BD446-BD447-BD448</f>
        <v>0</v>
      </c>
      <c r="BE449" s="33" t="n">
        <f aca="false">BE444-BE445-BE446-BE447-BE448</f>
        <v>0</v>
      </c>
      <c r="BF449" s="33" t="n">
        <f aca="false">BF444-BF445-BF446-BF447-BF448</f>
        <v>0</v>
      </c>
      <c r="BG449" s="33" t="n">
        <f aca="false">BG444-BG445-BG446-BG447-BG448</f>
        <v>0</v>
      </c>
      <c r="BH449" s="33" t="n">
        <f aca="false">BH444-BH445-BH446-BH447-BH448</f>
        <v>0</v>
      </c>
      <c r="BI449" s="33" t="n">
        <f aca="false">BI444-BI445-BI446-BI447-BI448</f>
        <v>0</v>
      </c>
      <c r="BJ449" s="33" t="n">
        <f aca="false">BJ444-BJ445-BJ446-BJ447-BJ448</f>
        <v>0</v>
      </c>
      <c r="BK449" s="33" t="n">
        <f aca="false">BK444-BK445-BK446-BK447-BK448</f>
        <v>0</v>
      </c>
    </row>
    <row r="450" customFormat="false" ht="15" hidden="false" customHeight="false" outlineLevel="0" collapsed="false">
      <c r="A450" s="2" t="s">
        <v>217</v>
      </c>
      <c r="D450" s="33" t="n">
        <f aca="false">D449</f>
        <v>-91.25</v>
      </c>
      <c r="E450" s="33" t="n">
        <f aca="false">D450+E449</f>
        <v>-102.5</v>
      </c>
      <c r="F450" s="33" t="n">
        <f aca="false">E450+F449</f>
        <v>-113.75</v>
      </c>
      <c r="G450" s="33" t="n">
        <f aca="false">F450+G449</f>
        <v>-125</v>
      </c>
      <c r="H450" s="33" t="n">
        <f aca="false">G450+H449</f>
        <v>-170.5</v>
      </c>
      <c r="I450" s="33" t="n">
        <f aca="false">H450+I449</f>
        <v>-223.36</v>
      </c>
      <c r="J450" s="33" t="n">
        <f aca="false">I450+J449</f>
        <v>-288.8321525</v>
      </c>
      <c r="K450" s="33" t="n">
        <f aca="false">J450+K449</f>
        <v>-323.5250675</v>
      </c>
      <c r="L450" s="33" t="n">
        <f aca="false">K450+L449</f>
        <v>-350.64432125</v>
      </c>
      <c r="M450" s="33" t="n">
        <f aca="false">L450+M449</f>
        <v>-361.53004375</v>
      </c>
      <c r="N450" s="33" t="n">
        <f aca="false">M450+N449</f>
        <v>-345.97535375</v>
      </c>
      <c r="O450" s="33" t="n">
        <f aca="false">N450+O449</f>
        <v>-329.312804375</v>
      </c>
      <c r="P450" s="33" t="n">
        <f aca="false">O450+P449</f>
        <v>-439.6819959375</v>
      </c>
      <c r="Q450" s="33" t="n">
        <f aca="false">P450+Q449</f>
        <v>-136.6889584375</v>
      </c>
      <c r="R450" s="33" t="n">
        <f aca="false">Q450+R449</f>
        <v>-193.9720084375</v>
      </c>
      <c r="S450" s="33" t="n">
        <f aca="false">R450+S449</f>
        <v>-203.6442084375</v>
      </c>
      <c r="T450" s="33" t="n">
        <f aca="false">S450+T449</f>
        <v>-151.3334584375</v>
      </c>
      <c r="U450" s="33" t="n">
        <f aca="false">T450+U449</f>
        <v>-125.0234896875</v>
      </c>
      <c r="V450" s="33" t="n">
        <f aca="false">U450+V449</f>
        <v>-98.7135209374999</v>
      </c>
      <c r="W450" s="33" t="n">
        <f aca="false">V450+W449</f>
        <v>-75.6764853125</v>
      </c>
      <c r="X450" s="33" t="n">
        <f aca="false">W450+X449</f>
        <v>-36.949845625</v>
      </c>
      <c r="Y450" s="33" t="n">
        <f aca="false">X450+Y449</f>
        <v>0.262870312500048</v>
      </c>
      <c r="Z450" s="33" t="n">
        <f aca="false">Y450+Z449</f>
        <v>31.4868150000001</v>
      </c>
      <c r="AA450" s="33" t="n">
        <f aca="false">Z450+AA449</f>
        <v>58.3697596875001</v>
      </c>
      <c r="AB450" s="33" t="n">
        <f aca="false">AA450+AB449</f>
        <v>107.752704375</v>
      </c>
      <c r="AC450" s="33" t="n">
        <f aca="false">AB450+AC449</f>
        <v>149.8554303125</v>
      </c>
      <c r="AD450" s="33" t="n">
        <f aca="false">AC450+AD449</f>
        <v>191.95815625</v>
      </c>
      <c r="AE450" s="33" t="n">
        <f aca="false">AD450+AE449</f>
        <v>234.0608821875</v>
      </c>
      <c r="AF450" s="33" t="n">
        <f aca="false">AE450+AF449</f>
        <v>162.617397773438</v>
      </c>
      <c r="AG450" s="33" t="n">
        <f aca="false">AF450+AG449</f>
        <v>184.679512851563</v>
      </c>
      <c r="AH450" s="33" t="n">
        <f aca="false">AG450+AH449</f>
        <v>203.133171679688</v>
      </c>
      <c r="AI450" s="33" t="n">
        <f aca="false">AH450+AI449</f>
        <v>217.245830507813</v>
      </c>
      <c r="AJ450" s="33" t="n">
        <f aca="false">AI450+AJ449</f>
        <v>231.358489335938</v>
      </c>
      <c r="AK450" s="33" t="n">
        <f aca="false">AJ450+AK449</f>
        <v>246.426676875</v>
      </c>
      <c r="AL450" s="33" t="n">
        <f aca="false">AK450+AL449</f>
        <v>261.494864414063</v>
      </c>
      <c r="AM450" s="33" t="n">
        <f aca="false">AL450+AM449</f>
        <v>278.385480625</v>
      </c>
      <c r="AN450" s="33" t="n">
        <f aca="false">AM450+AN449</f>
        <v>299.26320359375</v>
      </c>
      <c r="AO450" s="33" t="n">
        <f aca="false">AN450+AO449</f>
        <v>320.6062275</v>
      </c>
      <c r="AP450" s="33" t="n">
        <f aca="false">AO450+AP449</f>
        <v>343.511333125</v>
      </c>
      <c r="AQ450" s="33" t="n">
        <f aca="false">AP450+AQ449</f>
        <v>362.2508875</v>
      </c>
      <c r="AR450" s="33" t="n">
        <f aca="false">AQ450+AR449</f>
        <v>371.877055</v>
      </c>
      <c r="AS450" s="33" t="n">
        <f aca="false">AR450+AS449</f>
        <v>375.4475275</v>
      </c>
      <c r="AT450" s="33" t="n">
        <f aca="false">AS450+AT449</f>
        <v>375.4475275</v>
      </c>
      <c r="AU450" s="33" t="n">
        <f aca="false">AT450+AU449</f>
        <v>375.4475275</v>
      </c>
      <c r="AV450" s="33" t="n">
        <f aca="false">AU450+AV449</f>
        <v>375.4475275</v>
      </c>
      <c r="AW450" s="33" t="n">
        <f aca="false">AV450+AW449</f>
        <v>375.4475275</v>
      </c>
      <c r="AX450" s="33" t="n">
        <f aca="false">AW450+AX449</f>
        <v>375.4475275</v>
      </c>
      <c r="AY450" s="33" t="n">
        <f aca="false">AX450+AY449</f>
        <v>375.4475275</v>
      </c>
      <c r="AZ450" s="33" t="n">
        <f aca="false">AY450+AZ449</f>
        <v>375.4475275</v>
      </c>
      <c r="BA450" s="33" t="n">
        <f aca="false">AZ450+BA449</f>
        <v>375.4475275</v>
      </c>
      <c r="BB450" s="33" t="n">
        <f aca="false">BA450+BB449</f>
        <v>375.4475275</v>
      </c>
      <c r="BC450" s="33" t="n">
        <f aca="false">BB450+BC449</f>
        <v>375.4475275</v>
      </c>
      <c r="BD450" s="33" t="n">
        <f aca="false">BC450+BD449</f>
        <v>375.4475275</v>
      </c>
      <c r="BE450" s="33" t="n">
        <f aca="false">BD450+BE449</f>
        <v>375.4475275</v>
      </c>
      <c r="BF450" s="33" t="n">
        <f aca="false">BE450+BF449</f>
        <v>375.4475275</v>
      </c>
      <c r="BG450" s="33" t="n">
        <f aca="false">BF450+BG449</f>
        <v>375.4475275</v>
      </c>
      <c r="BH450" s="33" t="n">
        <f aca="false">BG450+BH449</f>
        <v>375.4475275</v>
      </c>
      <c r="BI450" s="33" t="n">
        <f aca="false">BH450+BI449</f>
        <v>375.4475275</v>
      </c>
      <c r="BJ450" s="33" t="n">
        <f aca="false">BI450+BJ449</f>
        <v>375.4475275</v>
      </c>
      <c r="BK450" s="33" t="n">
        <f aca="false">BJ450+BK449</f>
        <v>375.4475275</v>
      </c>
    </row>
    <row r="451" customFormat="false" ht="15" hidden="false" customHeight="false" outlineLevel="0" collapsed="false">
      <c r="A451" s="3" t="s">
        <v>340</v>
      </c>
      <c r="D451" s="33" t="n">
        <f aca="false">IF(Source_Data!D$6=Inputs!$B$12,-Inputs!$B$7,0)+IF(AND(Source_Data!D$6&gt;=$B$442,Source_Data!D$6&lt;$B$442+3*Inputs!$B$16,MOD(Source_Data!D$6-$B$442,3)=0),Inputs!$B$8*Inputs!$B$7*Inputs!$B$34*$B$437*(1-Inputs!$B$15)/Inputs!$B$16,0)</f>
        <v>-100</v>
      </c>
      <c r="E451" s="33" t="n">
        <f aca="false">IF(Source_Data!E$6=Inputs!$B$12,-Inputs!$B$7,0)+IF(AND(Source_Data!E$6&gt;=$B$442,Source_Data!E$6&lt;$B$442+3*Inputs!$B$16,MOD(Source_Data!E$6-$B$442,3)=0),Inputs!$B$8*Inputs!$B$7*Inputs!$B$34*$B$437*(1-Inputs!$B$15)/Inputs!$B$16,0)</f>
        <v>0</v>
      </c>
      <c r="F451" s="33" t="n">
        <f aca="false">IF(Source_Data!F$6=Inputs!$B$12,-Inputs!$B$7,0)+IF(AND(Source_Data!F$6&gt;=$B$442,Source_Data!F$6&lt;$B$442+3*Inputs!$B$16,MOD(Source_Data!F$6-$B$442,3)=0),Inputs!$B$8*Inputs!$B$7*Inputs!$B$34*$B$437*(1-Inputs!$B$15)/Inputs!$B$16,0)</f>
        <v>0</v>
      </c>
      <c r="G451" s="33" t="n">
        <f aca="false">IF(Source_Data!G$6=Inputs!$B$12,-Inputs!$B$7,0)+IF(AND(Source_Data!G$6&gt;=$B$442,Source_Data!G$6&lt;$B$442+3*Inputs!$B$16,MOD(Source_Data!G$6-$B$442,3)=0),Inputs!$B$8*Inputs!$B$7*Inputs!$B$34*$B$437*(1-Inputs!$B$15)/Inputs!$B$16,0)</f>
        <v>0</v>
      </c>
      <c r="H451" s="33" t="n">
        <f aca="false">IF(Source_Data!H$6=Inputs!$B$12,-Inputs!$B$7,0)+IF(AND(Source_Data!H$6&gt;=$B$442,Source_Data!H$6&lt;$B$442+3*Inputs!$B$16,MOD(Source_Data!H$6-$B$442,3)=0),Inputs!$B$8*Inputs!$B$7*Inputs!$B$34*$B$437*(1-Inputs!$B$15)/Inputs!$B$16,0)</f>
        <v>0</v>
      </c>
      <c r="I451" s="33" t="n">
        <f aca="false">IF(Source_Data!I$6=Inputs!$B$12,-Inputs!$B$7,0)+IF(AND(Source_Data!I$6&gt;=$B$442,Source_Data!I$6&lt;$B$442+3*Inputs!$B$16,MOD(Source_Data!I$6-$B$442,3)=0),Inputs!$B$8*Inputs!$B$7*Inputs!$B$34*$B$437*(1-Inputs!$B$15)/Inputs!$B$16,0)</f>
        <v>0</v>
      </c>
      <c r="J451" s="33" t="n">
        <f aca="false">IF(Source_Data!J$6=Inputs!$B$12,-Inputs!$B$7,0)+IF(AND(Source_Data!J$6&gt;=$B$442,Source_Data!J$6&lt;$B$442+3*Inputs!$B$16,MOD(Source_Data!J$6-$B$442,3)=0),Inputs!$B$8*Inputs!$B$7*Inputs!$B$34*$B$437*(1-Inputs!$B$15)/Inputs!$B$16,0)</f>
        <v>0</v>
      </c>
      <c r="K451" s="33" t="n">
        <f aca="false">IF(Source_Data!K$6=Inputs!$B$12,-Inputs!$B$7,0)+IF(AND(Source_Data!K$6&gt;=$B$442,Source_Data!K$6&lt;$B$442+3*Inputs!$B$16,MOD(Source_Data!K$6-$B$442,3)=0),Inputs!$B$8*Inputs!$B$7*Inputs!$B$34*$B$437*(1-Inputs!$B$15)/Inputs!$B$16,0)</f>
        <v>0</v>
      </c>
      <c r="L451" s="33" t="n">
        <f aca="false">IF(Source_Data!L$6=Inputs!$B$12,-Inputs!$B$7,0)+IF(AND(Source_Data!L$6&gt;=$B$442,Source_Data!L$6&lt;$B$442+3*Inputs!$B$16,MOD(Source_Data!L$6-$B$442,3)=0),Inputs!$B$8*Inputs!$B$7*Inputs!$B$34*$B$437*(1-Inputs!$B$15)/Inputs!$B$16,0)</f>
        <v>0</v>
      </c>
      <c r="M451" s="33" t="n">
        <f aca="false">IF(Source_Data!M$6=Inputs!$B$12,-Inputs!$B$7,0)+IF(AND(Source_Data!M$6&gt;=$B$442,Source_Data!M$6&lt;$B$442+3*Inputs!$B$16,MOD(Source_Data!M$6-$B$442,3)=0),Inputs!$B$8*Inputs!$B$7*Inputs!$B$34*$B$437*(1-Inputs!$B$15)/Inputs!$B$16,0)</f>
        <v>0</v>
      </c>
      <c r="N451" s="33" t="n">
        <f aca="false">IF(Source_Data!N$6=Inputs!$B$12,-Inputs!$B$7,0)+IF(AND(Source_Data!N$6&gt;=$B$442,Source_Data!N$6&lt;$B$442+3*Inputs!$B$16,MOD(Source_Data!N$6-$B$442,3)=0),Inputs!$B$8*Inputs!$B$7*Inputs!$B$34*$B$437*(1-Inputs!$B$15)/Inputs!$B$16,0)</f>
        <v>0</v>
      </c>
      <c r="O451" s="33" t="n">
        <f aca="false">IF(Source_Data!O$6=Inputs!$B$12,-Inputs!$B$7,0)+IF(AND(Source_Data!O$6&gt;=$B$442,Source_Data!O$6&lt;$B$442+3*Inputs!$B$16,MOD(Source_Data!O$6-$B$442,3)=0),Inputs!$B$8*Inputs!$B$7*Inputs!$B$34*$B$437*(1-Inputs!$B$15)/Inputs!$B$16,0)</f>
        <v>0</v>
      </c>
      <c r="P451" s="33" t="n">
        <f aca="false">IF(Source_Data!P$6=Inputs!$B$12,-Inputs!$B$7,0)+IF(AND(Source_Data!P$6&gt;=$B$442,Source_Data!P$6&lt;$B$442+3*Inputs!$B$16,MOD(Source_Data!P$6-$B$442,3)=0),Inputs!$B$8*Inputs!$B$7*Inputs!$B$34*$B$437*(1-Inputs!$B$15)/Inputs!$B$16,0)</f>
        <v>0</v>
      </c>
      <c r="Q451" s="33" t="n">
        <f aca="false">IF(Source_Data!Q$6=Inputs!$B$12,-Inputs!$B$7,0)+IF(AND(Source_Data!Q$6&gt;=$B$442,Source_Data!Q$6&lt;$B$442+3*Inputs!$B$16,MOD(Source_Data!Q$6-$B$442,3)=0),Inputs!$B$8*Inputs!$B$7*Inputs!$B$34*$B$437*(1-Inputs!$B$15)/Inputs!$B$16,0)</f>
        <v>0</v>
      </c>
      <c r="R451" s="33" t="n">
        <f aca="false">IF(Source_Data!R$6=Inputs!$B$12,-Inputs!$B$7,0)+IF(AND(Source_Data!R$6&gt;=$B$442,Source_Data!R$6&lt;$B$442+3*Inputs!$B$16,MOD(Source_Data!R$6-$B$442,3)=0),Inputs!$B$8*Inputs!$B$7*Inputs!$B$34*$B$437*(1-Inputs!$B$15)/Inputs!$B$16,0)</f>
        <v>0</v>
      </c>
      <c r="S451" s="33" t="n">
        <f aca="false">IF(Source_Data!S$6=Inputs!$B$12,-Inputs!$B$7,0)+IF(AND(Source_Data!S$6&gt;=$B$442,Source_Data!S$6&lt;$B$442+3*Inputs!$B$16,MOD(Source_Data!S$6-$B$442,3)=0),Inputs!$B$8*Inputs!$B$7*Inputs!$B$34*$B$437*(1-Inputs!$B$15)/Inputs!$B$16,0)</f>
        <v>0</v>
      </c>
      <c r="T451" s="33" t="n">
        <f aca="false">IF(Source_Data!T$6=Inputs!$B$12,-Inputs!$B$7,0)+IF(AND(Source_Data!T$6&gt;=$B$442,Source_Data!T$6&lt;$B$442+3*Inputs!$B$16,MOD(Source_Data!T$6-$B$442,3)=0),Inputs!$B$8*Inputs!$B$7*Inputs!$B$34*$B$437*(1-Inputs!$B$15)/Inputs!$B$16,0)</f>
        <v>69.5340501792115</v>
      </c>
      <c r="U451" s="33" t="n">
        <f aca="false">IF(Source_Data!U$6=Inputs!$B$12,-Inputs!$B$7,0)+IF(AND(Source_Data!U$6&gt;=$B$442,Source_Data!U$6&lt;$B$442+3*Inputs!$B$16,MOD(Source_Data!U$6-$B$442,3)=0),Inputs!$B$8*Inputs!$B$7*Inputs!$B$34*$B$437*(1-Inputs!$B$15)/Inputs!$B$16,0)</f>
        <v>69.5340501792115</v>
      </c>
      <c r="V451" s="33" t="n">
        <f aca="false">IF(Source_Data!V$6=Inputs!$B$12,-Inputs!$B$7,0)+IF(AND(Source_Data!V$6&gt;=$B$442,Source_Data!V$6&lt;$B$442+3*Inputs!$B$16,MOD(Source_Data!V$6-$B$442,3)=0),Inputs!$B$8*Inputs!$B$7*Inputs!$B$34*$B$437*(1-Inputs!$B$15)/Inputs!$B$16,0)</f>
        <v>69.5340501792115</v>
      </c>
      <c r="W451" s="33" t="n">
        <f aca="false">IF(Source_Data!W$6=Inputs!$B$12,-Inputs!$B$7,0)+IF(AND(Source_Data!W$6&gt;=$B$442,Source_Data!W$6&lt;$B$442+3*Inputs!$B$16,MOD(Source_Data!W$6-$B$442,3)=0),Inputs!$B$8*Inputs!$B$7*Inputs!$B$34*$B$437*(1-Inputs!$B$15)/Inputs!$B$16,0)</f>
        <v>69.5340501792115</v>
      </c>
      <c r="X451" s="33" t="n">
        <f aca="false">IF(Source_Data!X$6=Inputs!$B$12,-Inputs!$B$7,0)+IF(AND(Source_Data!X$6&gt;=$B$442,Source_Data!X$6&lt;$B$442+3*Inputs!$B$16,MOD(Source_Data!X$6-$B$442,3)=0),Inputs!$B$8*Inputs!$B$7*Inputs!$B$34*$B$437*(1-Inputs!$B$15)/Inputs!$B$16,0)</f>
        <v>0</v>
      </c>
      <c r="Y451" s="33" t="n">
        <f aca="false">IF(Source_Data!Y$6=Inputs!$B$12,-Inputs!$B$7,0)+IF(AND(Source_Data!Y$6&gt;=$B$442,Source_Data!Y$6&lt;$B$442+3*Inputs!$B$16,MOD(Source_Data!Y$6-$B$442,3)=0),Inputs!$B$8*Inputs!$B$7*Inputs!$B$34*$B$437*(1-Inputs!$B$15)/Inputs!$B$16,0)</f>
        <v>0</v>
      </c>
      <c r="Z451" s="33" t="n">
        <f aca="false">IF(Source_Data!Z$6=Inputs!$B$12,-Inputs!$B$7,0)+IF(AND(Source_Data!Z$6&gt;=$B$442,Source_Data!Z$6&lt;$B$442+3*Inputs!$B$16,MOD(Source_Data!Z$6-$B$442,3)=0),Inputs!$B$8*Inputs!$B$7*Inputs!$B$34*$B$437*(1-Inputs!$B$15)/Inputs!$B$16,0)</f>
        <v>0</v>
      </c>
      <c r="AA451" s="33" t="n">
        <f aca="false">IF(Source_Data!AA$6=Inputs!$B$12,-Inputs!$B$7,0)+IF(AND(Source_Data!AA$6&gt;=$B$442,Source_Data!AA$6&lt;$B$442+3*Inputs!$B$16,MOD(Source_Data!AA$6-$B$442,3)=0),Inputs!$B$8*Inputs!$B$7*Inputs!$B$34*$B$437*(1-Inputs!$B$15)/Inputs!$B$16,0)</f>
        <v>0</v>
      </c>
      <c r="AB451" s="33" t="n">
        <f aca="false">IF(Source_Data!AB$6=Inputs!$B$12,-Inputs!$B$7,0)+IF(AND(Source_Data!AB$6&gt;=$B$442,Source_Data!AB$6&lt;$B$442+3*Inputs!$B$16,MOD(Source_Data!AB$6-$B$442,3)=0),Inputs!$B$8*Inputs!$B$7*Inputs!$B$34*$B$437*(1-Inputs!$B$15)/Inputs!$B$16,0)</f>
        <v>0</v>
      </c>
      <c r="AC451" s="33" t="n">
        <f aca="false">IF(Source_Data!AC$6=Inputs!$B$12,-Inputs!$B$7,0)+IF(AND(Source_Data!AC$6&gt;=$B$442,Source_Data!AC$6&lt;$B$442+3*Inputs!$B$16,MOD(Source_Data!AC$6-$B$442,3)=0),Inputs!$B$8*Inputs!$B$7*Inputs!$B$34*$B$437*(1-Inputs!$B$15)/Inputs!$B$16,0)</f>
        <v>0</v>
      </c>
      <c r="AD451" s="33" t="n">
        <f aca="false">IF(Source_Data!AD$6=Inputs!$B$12,-Inputs!$B$7,0)+IF(AND(Source_Data!AD$6&gt;=$B$442,Source_Data!AD$6&lt;$B$442+3*Inputs!$B$16,MOD(Source_Data!AD$6-$B$442,3)=0),Inputs!$B$8*Inputs!$B$7*Inputs!$B$34*$B$437*(1-Inputs!$B$15)/Inputs!$B$16,0)</f>
        <v>0</v>
      </c>
      <c r="AE451" s="33" t="n">
        <f aca="false">IF(Source_Data!AE$6=Inputs!$B$12,-Inputs!$B$7,0)+IF(AND(Source_Data!AE$6&gt;=$B$442,Source_Data!AE$6&lt;$B$442+3*Inputs!$B$16,MOD(Source_Data!AE$6-$B$442,3)=0),Inputs!$B$8*Inputs!$B$7*Inputs!$B$34*$B$437*(1-Inputs!$B$15)/Inputs!$B$16,0)</f>
        <v>0</v>
      </c>
      <c r="AF451" s="33" t="n">
        <f aca="false">IF(Source_Data!AF$6=Inputs!$B$12,-Inputs!$B$7,0)+IF(AND(Source_Data!AF$6&gt;=$B$442,Source_Data!AF$6&lt;$B$442+3*Inputs!$B$16,MOD(Source_Data!AF$6-$B$442,3)=0),Inputs!$B$8*Inputs!$B$7*Inputs!$B$34*$B$437*(1-Inputs!$B$15)/Inputs!$B$16,0)</f>
        <v>0</v>
      </c>
      <c r="AG451" s="33" t="n">
        <f aca="false">IF(Source_Data!AG$6=Inputs!$B$12,-Inputs!$B$7,0)+IF(AND(Source_Data!AG$6&gt;=$B$442,Source_Data!AG$6&lt;$B$442+3*Inputs!$B$16,MOD(Source_Data!AG$6-$B$442,3)=0),Inputs!$B$8*Inputs!$B$7*Inputs!$B$34*$B$437*(1-Inputs!$B$15)/Inputs!$B$16,0)</f>
        <v>0</v>
      </c>
      <c r="AH451" s="33" t="n">
        <f aca="false">IF(Source_Data!AH$6=Inputs!$B$12,-Inputs!$B$7,0)+IF(AND(Source_Data!AH$6&gt;=$B$442,Source_Data!AH$6&lt;$B$442+3*Inputs!$B$16,MOD(Source_Data!AH$6-$B$442,3)=0),Inputs!$B$8*Inputs!$B$7*Inputs!$B$34*$B$437*(1-Inputs!$B$15)/Inputs!$B$16,0)</f>
        <v>0</v>
      </c>
      <c r="AI451" s="33" t="n">
        <f aca="false">IF(Source_Data!AI$6=Inputs!$B$12,-Inputs!$B$7,0)+IF(AND(Source_Data!AI$6&gt;=$B$442,Source_Data!AI$6&lt;$B$442+3*Inputs!$B$16,MOD(Source_Data!AI$6-$B$442,3)=0),Inputs!$B$8*Inputs!$B$7*Inputs!$B$34*$B$437*(1-Inputs!$B$15)/Inputs!$B$16,0)</f>
        <v>0</v>
      </c>
      <c r="AJ451" s="33" t="n">
        <f aca="false">IF(Source_Data!AJ$6=Inputs!$B$12,-Inputs!$B$7,0)+IF(AND(Source_Data!AJ$6&gt;=$B$442,Source_Data!AJ$6&lt;$B$442+3*Inputs!$B$16,MOD(Source_Data!AJ$6-$B$442,3)=0),Inputs!$B$8*Inputs!$B$7*Inputs!$B$34*$B$437*(1-Inputs!$B$15)/Inputs!$B$16,0)</f>
        <v>0</v>
      </c>
      <c r="AK451" s="33" t="n">
        <f aca="false">IF(Source_Data!AK$6=Inputs!$B$12,-Inputs!$B$7,0)+IF(AND(Source_Data!AK$6&gt;=$B$442,Source_Data!AK$6&lt;$B$442+3*Inputs!$B$16,MOD(Source_Data!AK$6-$B$442,3)=0),Inputs!$B$8*Inputs!$B$7*Inputs!$B$34*$B$437*(1-Inputs!$B$15)/Inputs!$B$16,0)</f>
        <v>0</v>
      </c>
      <c r="AL451" s="33" t="n">
        <f aca="false">IF(Source_Data!AL$6=Inputs!$B$12,-Inputs!$B$7,0)+IF(AND(Source_Data!AL$6&gt;=$B$442,Source_Data!AL$6&lt;$B$442+3*Inputs!$B$16,MOD(Source_Data!AL$6-$B$442,3)=0),Inputs!$B$8*Inputs!$B$7*Inputs!$B$34*$B$437*(1-Inputs!$B$15)/Inputs!$B$16,0)</f>
        <v>0</v>
      </c>
      <c r="AM451" s="33" t="n">
        <f aca="false">IF(Source_Data!AM$6=Inputs!$B$12,-Inputs!$B$7,0)+IF(AND(Source_Data!AM$6&gt;=$B$442,Source_Data!AM$6&lt;$B$442+3*Inputs!$B$16,MOD(Source_Data!AM$6-$B$442,3)=0),Inputs!$B$8*Inputs!$B$7*Inputs!$B$34*$B$437*(1-Inputs!$B$15)/Inputs!$B$16,0)</f>
        <v>0</v>
      </c>
      <c r="AN451" s="33" t="n">
        <f aca="false">IF(Source_Data!AN$6=Inputs!$B$12,-Inputs!$B$7,0)+IF(AND(Source_Data!AN$6&gt;=$B$442,Source_Data!AN$6&lt;$B$442+3*Inputs!$B$16,MOD(Source_Data!AN$6-$B$442,3)=0),Inputs!$B$8*Inputs!$B$7*Inputs!$B$34*$B$437*(1-Inputs!$B$15)/Inputs!$B$16,0)</f>
        <v>0</v>
      </c>
      <c r="AO451" s="33" t="n">
        <f aca="false">IF(Source_Data!AO$6=Inputs!$B$12,-Inputs!$B$7,0)+IF(AND(Source_Data!AO$6&gt;=$B$442,Source_Data!AO$6&lt;$B$442+3*Inputs!$B$16,MOD(Source_Data!AO$6-$B$442,3)=0),Inputs!$B$8*Inputs!$B$7*Inputs!$B$34*$B$437*(1-Inputs!$B$15)/Inputs!$B$16,0)</f>
        <v>0</v>
      </c>
      <c r="AP451" s="33" t="n">
        <f aca="false">IF(Source_Data!AP$6=Inputs!$B$12,-Inputs!$B$7,0)+IF(AND(Source_Data!AP$6&gt;=$B$442,Source_Data!AP$6&lt;$B$442+3*Inputs!$B$16,MOD(Source_Data!AP$6-$B$442,3)=0),Inputs!$B$8*Inputs!$B$7*Inputs!$B$34*$B$437*(1-Inputs!$B$15)/Inputs!$B$16,0)</f>
        <v>0</v>
      </c>
      <c r="AQ451" s="33" t="n">
        <f aca="false">IF(Source_Data!AQ$6=Inputs!$B$12,-Inputs!$B$7,0)+IF(AND(Source_Data!AQ$6&gt;=$B$442,Source_Data!AQ$6&lt;$B$442+3*Inputs!$B$16,MOD(Source_Data!AQ$6-$B$442,3)=0),Inputs!$B$8*Inputs!$B$7*Inputs!$B$34*$B$437*(1-Inputs!$B$15)/Inputs!$B$16,0)</f>
        <v>0</v>
      </c>
      <c r="AR451" s="33" t="n">
        <f aca="false">IF(Source_Data!AR$6=Inputs!$B$12,-Inputs!$B$7,0)+IF(AND(Source_Data!AR$6&gt;=$B$442,Source_Data!AR$6&lt;$B$442+3*Inputs!$B$16,MOD(Source_Data!AR$6-$B$442,3)=0),Inputs!$B$8*Inputs!$B$7*Inputs!$B$34*$B$437*(1-Inputs!$B$15)/Inputs!$B$16,0)</f>
        <v>0</v>
      </c>
      <c r="AS451" s="33" t="n">
        <f aca="false">IF(Source_Data!AS$6=Inputs!$B$12,-Inputs!$B$7,0)+IF(AND(Source_Data!AS$6&gt;=$B$442,Source_Data!AS$6&lt;$B$442+3*Inputs!$B$16,MOD(Source_Data!AS$6-$B$442,3)=0),Inputs!$B$8*Inputs!$B$7*Inputs!$B$34*$B$437*(1-Inputs!$B$15)/Inputs!$B$16,0)</f>
        <v>0</v>
      </c>
      <c r="AT451" s="33" t="n">
        <f aca="false">IF(Source_Data!AT$6=Inputs!$B$12,-Inputs!$B$7,0)+IF(AND(Source_Data!AT$6&gt;=$B$442,Source_Data!AT$6&lt;$B$442+3*Inputs!$B$16,MOD(Source_Data!AT$6-$B$442,3)=0),Inputs!$B$8*Inputs!$B$7*Inputs!$B$34*$B$437*(1-Inputs!$B$15)/Inputs!$B$16,0)</f>
        <v>0</v>
      </c>
      <c r="AU451" s="33" t="n">
        <f aca="false">IF(Source_Data!AU$6=Inputs!$B$12,-Inputs!$B$7,0)+IF(AND(Source_Data!AU$6&gt;=$B$442,Source_Data!AU$6&lt;$B$442+3*Inputs!$B$16,MOD(Source_Data!AU$6-$B$442,3)=0),Inputs!$B$8*Inputs!$B$7*Inputs!$B$34*$B$437*(1-Inputs!$B$15)/Inputs!$B$16,0)</f>
        <v>0</v>
      </c>
      <c r="AV451" s="33" t="n">
        <f aca="false">IF(Source_Data!AV$6=Inputs!$B$12,-Inputs!$B$7,0)+IF(AND(Source_Data!AV$6&gt;=$B$442,Source_Data!AV$6&lt;$B$442+3*Inputs!$B$16,MOD(Source_Data!AV$6-$B$442,3)=0),Inputs!$B$8*Inputs!$B$7*Inputs!$B$34*$B$437*(1-Inputs!$B$15)/Inputs!$B$16,0)</f>
        <v>0</v>
      </c>
      <c r="AW451" s="33" t="n">
        <f aca="false">IF(Source_Data!AW$6=Inputs!$B$12,-Inputs!$B$7,0)+IF(AND(Source_Data!AW$6&gt;=$B$442,Source_Data!AW$6&lt;$B$442+3*Inputs!$B$16,MOD(Source_Data!AW$6-$B$442,3)=0),Inputs!$B$8*Inputs!$B$7*Inputs!$B$34*$B$437*(1-Inputs!$B$15)/Inputs!$B$16,0)</f>
        <v>0</v>
      </c>
      <c r="AX451" s="33" t="n">
        <f aca="false">IF(Source_Data!AX$6=Inputs!$B$12,-Inputs!$B$7,0)+IF(AND(Source_Data!AX$6&gt;=$B$442,Source_Data!AX$6&lt;$B$442+3*Inputs!$B$16,MOD(Source_Data!AX$6-$B$442,3)=0),Inputs!$B$8*Inputs!$B$7*Inputs!$B$34*$B$437*(1-Inputs!$B$15)/Inputs!$B$16,0)</f>
        <v>0</v>
      </c>
      <c r="AY451" s="33" t="n">
        <f aca="false">IF(Source_Data!AY$6=Inputs!$B$12,-Inputs!$B$7,0)+IF(AND(Source_Data!AY$6&gt;=$B$442,Source_Data!AY$6&lt;$B$442+3*Inputs!$B$16,MOD(Source_Data!AY$6-$B$442,3)=0),Inputs!$B$8*Inputs!$B$7*Inputs!$B$34*$B$437*(1-Inputs!$B$15)/Inputs!$B$16,0)</f>
        <v>0</v>
      </c>
      <c r="AZ451" s="33" t="n">
        <f aca="false">IF(Source_Data!AZ$6=Inputs!$B$12,-Inputs!$B$7,0)+IF(AND(Source_Data!AZ$6&gt;=$B$442,Source_Data!AZ$6&lt;$B$442+3*Inputs!$B$16,MOD(Source_Data!AZ$6-$B$442,3)=0),Inputs!$B$8*Inputs!$B$7*Inputs!$B$34*$B$437*(1-Inputs!$B$15)/Inputs!$B$16,0)</f>
        <v>0</v>
      </c>
      <c r="BA451" s="33" t="n">
        <f aca="false">IF(Source_Data!BA$6=Inputs!$B$12,-Inputs!$B$7,0)+IF(AND(Source_Data!BA$6&gt;=$B$442,Source_Data!BA$6&lt;$B$442+3*Inputs!$B$16,MOD(Source_Data!BA$6-$B$442,3)=0),Inputs!$B$8*Inputs!$B$7*Inputs!$B$34*$B$437*(1-Inputs!$B$15)/Inputs!$B$16,0)</f>
        <v>0</v>
      </c>
      <c r="BB451" s="33" t="n">
        <f aca="false">IF(Source_Data!BB$6=Inputs!$B$12,-Inputs!$B$7,0)+IF(AND(Source_Data!BB$6&gt;=$B$442,Source_Data!BB$6&lt;$B$442+3*Inputs!$B$16,MOD(Source_Data!BB$6-$B$442,3)=0),Inputs!$B$8*Inputs!$B$7*Inputs!$B$34*$B$437*(1-Inputs!$B$15)/Inputs!$B$16,0)</f>
        <v>0</v>
      </c>
      <c r="BC451" s="33" t="n">
        <f aca="false">IF(Source_Data!BC$6=Inputs!$B$12,-Inputs!$B$7,0)+IF(AND(Source_Data!BC$6&gt;=$B$442,Source_Data!BC$6&lt;$B$442+3*Inputs!$B$16,MOD(Source_Data!BC$6-$B$442,3)=0),Inputs!$B$8*Inputs!$B$7*Inputs!$B$34*$B$437*(1-Inputs!$B$15)/Inputs!$B$16,0)</f>
        <v>0</v>
      </c>
      <c r="BD451" s="33" t="n">
        <f aca="false">IF(Source_Data!BD$6=Inputs!$B$12,-Inputs!$B$7,0)+IF(AND(Source_Data!BD$6&gt;=$B$442,Source_Data!BD$6&lt;$B$442+3*Inputs!$B$16,MOD(Source_Data!BD$6-$B$442,3)=0),Inputs!$B$8*Inputs!$B$7*Inputs!$B$34*$B$437*(1-Inputs!$B$15)/Inputs!$B$16,0)</f>
        <v>0</v>
      </c>
      <c r="BE451" s="33" t="n">
        <f aca="false">IF(Source_Data!BE$6=Inputs!$B$12,-Inputs!$B$7,0)+IF(AND(Source_Data!BE$6&gt;=$B$442,Source_Data!BE$6&lt;$B$442+3*Inputs!$B$16,MOD(Source_Data!BE$6-$B$442,3)=0),Inputs!$B$8*Inputs!$B$7*Inputs!$B$34*$B$437*(1-Inputs!$B$15)/Inputs!$B$16,0)</f>
        <v>0</v>
      </c>
      <c r="BF451" s="33" t="n">
        <f aca="false">IF(Source_Data!BF$6=Inputs!$B$12,-Inputs!$B$7,0)+IF(AND(Source_Data!BF$6&gt;=$B$442,Source_Data!BF$6&lt;$B$442+3*Inputs!$B$16,MOD(Source_Data!BF$6-$B$442,3)=0),Inputs!$B$8*Inputs!$B$7*Inputs!$B$34*$B$437*(1-Inputs!$B$15)/Inputs!$B$16,0)</f>
        <v>0</v>
      </c>
      <c r="BG451" s="33" t="n">
        <f aca="false">IF(Source_Data!BG$6=Inputs!$B$12,-Inputs!$B$7,0)+IF(AND(Source_Data!BG$6&gt;=$B$442,Source_Data!BG$6&lt;$B$442+3*Inputs!$B$16,MOD(Source_Data!BG$6-$B$442,3)=0),Inputs!$B$8*Inputs!$B$7*Inputs!$B$34*$B$437*(1-Inputs!$B$15)/Inputs!$B$16,0)</f>
        <v>0</v>
      </c>
      <c r="BH451" s="33" t="n">
        <f aca="false">IF(Source_Data!BH$6=Inputs!$B$12,-Inputs!$B$7,0)+IF(AND(Source_Data!BH$6&gt;=$B$442,Source_Data!BH$6&lt;$B$442+3*Inputs!$B$16,MOD(Source_Data!BH$6-$B$442,3)=0),Inputs!$B$8*Inputs!$B$7*Inputs!$B$34*$B$437*(1-Inputs!$B$15)/Inputs!$B$16,0)</f>
        <v>0</v>
      </c>
      <c r="BI451" s="33" t="n">
        <f aca="false">IF(Source_Data!BI$6=Inputs!$B$12,-Inputs!$B$7,0)+IF(AND(Source_Data!BI$6&gt;=$B$442,Source_Data!BI$6&lt;$B$442+3*Inputs!$B$16,MOD(Source_Data!BI$6-$B$442,3)=0),Inputs!$B$8*Inputs!$B$7*Inputs!$B$34*$B$437*(1-Inputs!$B$15)/Inputs!$B$16,0)</f>
        <v>0</v>
      </c>
      <c r="BJ451" s="33" t="n">
        <f aca="false">IF(Source_Data!BJ$6=Inputs!$B$12,-Inputs!$B$7,0)+IF(AND(Source_Data!BJ$6&gt;=$B$442,Source_Data!BJ$6&lt;$B$442+3*Inputs!$B$16,MOD(Source_Data!BJ$6-$B$442,3)=0),Inputs!$B$8*Inputs!$B$7*Inputs!$B$34*$B$437*(1-Inputs!$B$15)/Inputs!$B$16,0)</f>
        <v>0</v>
      </c>
      <c r="BK451" s="33" t="n">
        <f aca="false">IF(Source_Data!BK$6=Inputs!$B$12,-Inputs!$B$7,0)+IF(AND(Source_Data!BK$6&gt;=$B$442,Source_Data!BK$6&lt;$B$442+3*Inputs!$B$16,MOD(Source_Data!BK$6-$B$442,3)=0),Inputs!$B$8*Inputs!$B$7*Inputs!$B$34*$B$437*(1-Inputs!$B$15)/Inputs!$B$16,0)</f>
        <v>0</v>
      </c>
    </row>
    <row r="452" customFormat="false" ht="15" hidden="false" customHeight="false" outlineLevel="0" collapsed="false">
      <c r="A452" s="3" t="s">
        <v>341</v>
      </c>
      <c r="D452" s="33" t="n">
        <f aca="false">IF(AND(Source_Data!D$6&gt;=Inputs!$B$54,Source_Data!D$6&lt;Inputs!$B$54+3*Inputs!$B$11),Inputs!$B$9*Inputs!$B$7/Inputs!$B$11,0)</f>
        <v>0</v>
      </c>
      <c r="E452" s="33" t="n">
        <f aca="false">IF(AND(Source_Data!E$6&gt;=Inputs!$B$54,Source_Data!E$6&lt;Inputs!$B$54+3*Inputs!$B$11),Inputs!$B$9*Inputs!$B$7/Inputs!$B$11,0)</f>
        <v>0</v>
      </c>
      <c r="F452" s="33" t="n">
        <f aca="false">IF(AND(Source_Data!F$6&gt;=Inputs!$B$54,Source_Data!F$6&lt;Inputs!$B$54+3*Inputs!$B$11),Inputs!$B$9*Inputs!$B$7/Inputs!$B$11,0)</f>
        <v>0</v>
      </c>
      <c r="G452" s="33" t="n">
        <f aca="false">IF(AND(Source_Data!G$6&gt;=Inputs!$B$54,Source_Data!G$6&lt;Inputs!$B$54+3*Inputs!$B$11),Inputs!$B$9*Inputs!$B$7/Inputs!$B$11,0)</f>
        <v>0</v>
      </c>
      <c r="H452" s="33" t="n">
        <f aca="false">IF(AND(Source_Data!H$6&gt;=Inputs!$B$54,Source_Data!H$6&lt;Inputs!$B$54+3*Inputs!$B$11),Inputs!$B$9*Inputs!$B$7/Inputs!$B$11,0)</f>
        <v>0</v>
      </c>
      <c r="I452" s="33" t="n">
        <f aca="false">IF(AND(Source_Data!I$6&gt;=Inputs!$B$54,Source_Data!I$6&lt;Inputs!$B$54+3*Inputs!$B$11),Inputs!$B$9*Inputs!$B$7/Inputs!$B$11,0)</f>
        <v>0</v>
      </c>
      <c r="J452" s="33" t="n">
        <f aca="false">IF(AND(Source_Data!J$6&gt;=Inputs!$B$54,Source_Data!J$6&lt;Inputs!$B$54+3*Inputs!$B$11),Inputs!$B$9*Inputs!$B$7/Inputs!$B$11,0)</f>
        <v>0</v>
      </c>
      <c r="K452" s="33" t="n">
        <f aca="false">IF(AND(Source_Data!K$6&gt;=Inputs!$B$54,Source_Data!K$6&lt;Inputs!$B$54+3*Inputs!$B$11),Inputs!$B$9*Inputs!$B$7/Inputs!$B$11,0)</f>
        <v>0</v>
      </c>
      <c r="L452" s="33" t="n">
        <f aca="false">IF(AND(Source_Data!L$6&gt;=Inputs!$B$54,Source_Data!L$6&lt;Inputs!$B$54+3*Inputs!$B$11),Inputs!$B$9*Inputs!$B$7/Inputs!$B$11,0)</f>
        <v>0</v>
      </c>
      <c r="M452" s="33" t="n">
        <f aca="false">IF(AND(Source_Data!M$6&gt;=Inputs!$B$54,Source_Data!M$6&lt;Inputs!$B$54+3*Inputs!$B$11),Inputs!$B$9*Inputs!$B$7/Inputs!$B$11,0)</f>
        <v>19.1666666666667</v>
      </c>
      <c r="N452" s="33" t="n">
        <f aca="false">IF(AND(Source_Data!N$6&gt;=Inputs!$B$54,Source_Data!N$6&lt;Inputs!$B$54+3*Inputs!$B$11),Inputs!$B$9*Inputs!$B$7/Inputs!$B$11,0)</f>
        <v>19.1666666666667</v>
      </c>
      <c r="O452" s="33" t="n">
        <f aca="false">IF(AND(Source_Data!O$6&gt;=Inputs!$B$54,Source_Data!O$6&lt;Inputs!$B$54+3*Inputs!$B$11),Inputs!$B$9*Inputs!$B$7/Inputs!$B$11,0)</f>
        <v>19.1666666666667</v>
      </c>
      <c r="P452" s="33" t="n">
        <f aca="false">IF(AND(Source_Data!P$6&gt;=Inputs!$B$54,Source_Data!P$6&lt;Inputs!$B$54+3*Inputs!$B$11),Inputs!$B$9*Inputs!$B$7/Inputs!$B$11,0)</f>
        <v>19.1666666666667</v>
      </c>
      <c r="Q452" s="33" t="n">
        <f aca="false">IF(AND(Source_Data!Q$6&gt;=Inputs!$B$54,Source_Data!Q$6&lt;Inputs!$B$54+3*Inputs!$B$11),Inputs!$B$9*Inputs!$B$7/Inputs!$B$11,0)</f>
        <v>19.1666666666667</v>
      </c>
      <c r="R452" s="33" t="n">
        <f aca="false">IF(AND(Source_Data!R$6&gt;=Inputs!$B$54,Source_Data!R$6&lt;Inputs!$B$54+3*Inputs!$B$11),Inputs!$B$9*Inputs!$B$7/Inputs!$B$11,0)</f>
        <v>19.1666666666667</v>
      </c>
      <c r="S452" s="33" t="n">
        <f aca="false">IF(AND(Source_Data!S$6&gt;=Inputs!$B$54,Source_Data!S$6&lt;Inputs!$B$54+3*Inputs!$B$11),Inputs!$B$9*Inputs!$B$7/Inputs!$B$11,0)</f>
        <v>19.1666666666667</v>
      </c>
      <c r="T452" s="33" t="n">
        <f aca="false">IF(AND(Source_Data!T$6&gt;=Inputs!$B$54,Source_Data!T$6&lt;Inputs!$B$54+3*Inputs!$B$11),Inputs!$B$9*Inputs!$B$7/Inputs!$B$11,0)</f>
        <v>19.1666666666667</v>
      </c>
      <c r="U452" s="33" t="n">
        <f aca="false">IF(AND(Source_Data!U$6&gt;=Inputs!$B$54,Source_Data!U$6&lt;Inputs!$B$54+3*Inputs!$B$11),Inputs!$B$9*Inputs!$B$7/Inputs!$B$11,0)</f>
        <v>19.1666666666667</v>
      </c>
      <c r="V452" s="33" t="n">
        <f aca="false">IF(AND(Source_Data!V$6&gt;=Inputs!$B$54,Source_Data!V$6&lt;Inputs!$B$54+3*Inputs!$B$11),Inputs!$B$9*Inputs!$B$7/Inputs!$B$11,0)</f>
        <v>19.1666666666667</v>
      </c>
      <c r="W452" s="33" t="n">
        <f aca="false">IF(AND(Source_Data!W$6&gt;=Inputs!$B$54,Source_Data!W$6&lt;Inputs!$B$54+3*Inputs!$B$11),Inputs!$B$9*Inputs!$B$7/Inputs!$B$11,0)</f>
        <v>19.1666666666667</v>
      </c>
      <c r="X452" s="33" t="n">
        <f aca="false">IF(AND(Source_Data!X$6&gt;=Inputs!$B$54,Source_Data!X$6&lt;Inputs!$B$54+3*Inputs!$B$11),Inputs!$B$9*Inputs!$B$7/Inputs!$B$11,0)</f>
        <v>19.1666666666667</v>
      </c>
      <c r="Y452" s="33" t="n">
        <f aca="false">IF(AND(Source_Data!Y$6&gt;=Inputs!$B$54,Source_Data!Y$6&lt;Inputs!$B$54+3*Inputs!$B$11),Inputs!$B$9*Inputs!$B$7/Inputs!$B$11,0)</f>
        <v>0</v>
      </c>
      <c r="Z452" s="33" t="n">
        <f aca="false">IF(AND(Source_Data!Z$6&gt;=Inputs!$B$54,Source_Data!Z$6&lt;Inputs!$B$54+3*Inputs!$B$11),Inputs!$B$9*Inputs!$B$7/Inputs!$B$11,0)</f>
        <v>0</v>
      </c>
      <c r="AA452" s="33" t="n">
        <f aca="false">IF(AND(Source_Data!AA$6&gt;=Inputs!$B$54,Source_Data!AA$6&lt;Inputs!$B$54+3*Inputs!$B$11),Inputs!$B$9*Inputs!$B$7/Inputs!$B$11,0)</f>
        <v>0</v>
      </c>
      <c r="AB452" s="33" t="n">
        <f aca="false">IF(AND(Source_Data!AB$6&gt;=Inputs!$B$54,Source_Data!AB$6&lt;Inputs!$B$54+3*Inputs!$B$11),Inputs!$B$9*Inputs!$B$7/Inputs!$B$11,0)</f>
        <v>0</v>
      </c>
      <c r="AC452" s="33" t="n">
        <f aca="false">IF(AND(Source_Data!AC$6&gt;=Inputs!$B$54,Source_Data!AC$6&lt;Inputs!$B$54+3*Inputs!$B$11),Inputs!$B$9*Inputs!$B$7/Inputs!$B$11,0)</f>
        <v>0</v>
      </c>
      <c r="AD452" s="33" t="n">
        <f aca="false">IF(AND(Source_Data!AD$6&gt;=Inputs!$B$54,Source_Data!AD$6&lt;Inputs!$B$54+3*Inputs!$B$11),Inputs!$B$9*Inputs!$B$7/Inputs!$B$11,0)</f>
        <v>0</v>
      </c>
      <c r="AE452" s="33" t="n">
        <f aca="false">IF(AND(Source_Data!AE$6&gt;=Inputs!$B$54,Source_Data!AE$6&lt;Inputs!$B$54+3*Inputs!$B$11),Inputs!$B$9*Inputs!$B$7/Inputs!$B$11,0)</f>
        <v>0</v>
      </c>
      <c r="AF452" s="33" t="n">
        <f aca="false">IF(AND(Source_Data!AF$6&gt;=Inputs!$B$54,Source_Data!AF$6&lt;Inputs!$B$54+3*Inputs!$B$11),Inputs!$B$9*Inputs!$B$7/Inputs!$B$11,0)</f>
        <v>0</v>
      </c>
      <c r="AG452" s="33" t="n">
        <f aca="false">IF(AND(Source_Data!AG$6&gt;=Inputs!$B$54,Source_Data!AG$6&lt;Inputs!$B$54+3*Inputs!$B$11),Inputs!$B$9*Inputs!$B$7/Inputs!$B$11,0)</f>
        <v>0</v>
      </c>
      <c r="AH452" s="33" t="n">
        <f aca="false">IF(AND(Source_Data!AH$6&gt;=Inputs!$B$54,Source_Data!AH$6&lt;Inputs!$B$54+3*Inputs!$B$11),Inputs!$B$9*Inputs!$B$7/Inputs!$B$11,0)</f>
        <v>0</v>
      </c>
      <c r="AI452" s="33" t="n">
        <f aca="false">IF(AND(Source_Data!AI$6&gt;=Inputs!$B$54,Source_Data!AI$6&lt;Inputs!$B$54+3*Inputs!$B$11),Inputs!$B$9*Inputs!$B$7/Inputs!$B$11,0)</f>
        <v>0</v>
      </c>
      <c r="AJ452" s="33" t="n">
        <f aca="false">IF(AND(Source_Data!AJ$6&gt;=Inputs!$B$54,Source_Data!AJ$6&lt;Inputs!$B$54+3*Inputs!$B$11),Inputs!$B$9*Inputs!$B$7/Inputs!$B$11,0)</f>
        <v>0</v>
      </c>
      <c r="AK452" s="33" t="n">
        <f aca="false">IF(AND(Source_Data!AK$6&gt;=Inputs!$B$54,Source_Data!AK$6&lt;Inputs!$B$54+3*Inputs!$B$11),Inputs!$B$9*Inputs!$B$7/Inputs!$B$11,0)</f>
        <v>0</v>
      </c>
      <c r="AL452" s="33" t="n">
        <f aca="false">IF(AND(Source_Data!AL$6&gt;=Inputs!$B$54,Source_Data!AL$6&lt;Inputs!$B$54+3*Inputs!$B$11),Inputs!$B$9*Inputs!$B$7/Inputs!$B$11,0)</f>
        <v>0</v>
      </c>
      <c r="AM452" s="33" t="n">
        <f aca="false">IF(AND(Source_Data!AM$6&gt;=Inputs!$B$54,Source_Data!AM$6&lt;Inputs!$B$54+3*Inputs!$B$11),Inputs!$B$9*Inputs!$B$7/Inputs!$B$11,0)</f>
        <v>0</v>
      </c>
      <c r="AN452" s="33" t="n">
        <f aca="false">IF(AND(Source_Data!AN$6&gt;=Inputs!$B$54,Source_Data!AN$6&lt;Inputs!$B$54+3*Inputs!$B$11),Inputs!$B$9*Inputs!$B$7/Inputs!$B$11,0)</f>
        <v>0</v>
      </c>
      <c r="AO452" s="33" t="n">
        <f aca="false">IF(AND(Source_Data!AO$6&gt;=Inputs!$B$54,Source_Data!AO$6&lt;Inputs!$B$54+3*Inputs!$B$11),Inputs!$B$9*Inputs!$B$7/Inputs!$B$11,0)</f>
        <v>0</v>
      </c>
      <c r="AP452" s="33" t="n">
        <f aca="false">IF(AND(Source_Data!AP$6&gt;=Inputs!$B$54,Source_Data!AP$6&lt;Inputs!$B$54+3*Inputs!$B$11),Inputs!$B$9*Inputs!$B$7/Inputs!$B$11,0)</f>
        <v>0</v>
      </c>
      <c r="AQ452" s="33" t="n">
        <f aca="false">IF(AND(Source_Data!AQ$6&gt;=Inputs!$B$54,Source_Data!AQ$6&lt;Inputs!$B$54+3*Inputs!$B$11),Inputs!$B$9*Inputs!$B$7/Inputs!$B$11,0)</f>
        <v>0</v>
      </c>
      <c r="AR452" s="33" t="n">
        <f aca="false">IF(AND(Source_Data!AR$6&gt;=Inputs!$B$54,Source_Data!AR$6&lt;Inputs!$B$54+3*Inputs!$B$11),Inputs!$B$9*Inputs!$B$7/Inputs!$B$11,0)</f>
        <v>0</v>
      </c>
      <c r="AS452" s="33" t="n">
        <f aca="false">IF(AND(Source_Data!AS$6&gt;=Inputs!$B$54,Source_Data!AS$6&lt;Inputs!$B$54+3*Inputs!$B$11),Inputs!$B$9*Inputs!$B$7/Inputs!$B$11,0)</f>
        <v>0</v>
      </c>
      <c r="AT452" s="33" t="n">
        <f aca="false">IF(AND(Source_Data!AT$6&gt;=Inputs!$B$54,Source_Data!AT$6&lt;Inputs!$B$54+3*Inputs!$B$11),Inputs!$B$9*Inputs!$B$7/Inputs!$B$11,0)</f>
        <v>0</v>
      </c>
      <c r="AU452" s="33" t="n">
        <f aca="false">IF(AND(Source_Data!AU$6&gt;=Inputs!$B$54,Source_Data!AU$6&lt;Inputs!$B$54+3*Inputs!$B$11),Inputs!$B$9*Inputs!$B$7/Inputs!$B$11,0)</f>
        <v>0</v>
      </c>
      <c r="AV452" s="33" t="n">
        <f aca="false">IF(AND(Source_Data!AV$6&gt;=Inputs!$B$54,Source_Data!AV$6&lt;Inputs!$B$54+3*Inputs!$B$11),Inputs!$B$9*Inputs!$B$7/Inputs!$B$11,0)</f>
        <v>0</v>
      </c>
      <c r="AW452" s="33" t="n">
        <f aca="false">IF(AND(Source_Data!AW$6&gt;=Inputs!$B$54,Source_Data!AW$6&lt;Inputs!$B$54+3*Inputs!$B$11),Inputs!$B$9*Inputs!$B$7/Inputs!$B$11,0)</f>
        <v>0</v>
      </c>
      <c r="AX452" s="33" t="n">
        <f aca="false">IF(AND(Source_Data!AX$6&gt;=Inputs!$B$54,Source_Data!AX$6&lt;Inputs!$B$54+3*Inputs!$B$11),Inputs!$B$9*Inputs!$B$7/Inputs!$B$11,0)</f>
        <v>0</v>
      </c>
      <c r="AY452" s="33" t="n">
        <f aca="false">IF(AND(Source_Data!AY$6&gt;=Inputs!$B$54,Source_Data!AY$6&lt;Inputs!$B$54+3*Inputs!$B$11),Inputs!$B$9*Inputs!$B$7/Inputs!$B$11,0)</f>
        <v>0</v>
      </c>
      <c r="AZ452" s="33" t="n">
        <f aca="false">IF(AND(Source_Data!AZ$6&gt;=Inputs!$B$54,Source_Data!AZ$6&lt;Inputs!$B$54+3*Inputs!$B$11),Inputs!$B$9*Inputs!$B$7/Inputs!$B$11,0)</f>
        <v>0</v>
      </c>
      <c r="BA452" s="33" t="n">
        <f aca="false">IF(AND(Source_Data!BA$6&gt;=Inputs!$B$54,Source_Data!BA$6&lt;Inputs!$B$54+3*Inputs!$B$11),Inputs!$B$9*Inputs!$B$7/Inputs!$B$11,0)</f>
        <v>0</v>
      </c>
      <c r="BB452" s="33" t="n">
        <f aca="false">IF(AND(Source_Data!BB$6&gt;=Inputs!$B$54,Source_Data!BB$6&lt;Inputs!$B$54+3*Inputs!$B$11),Inputs!$B$9*Inputs!$B$7/Inputs!$B$11,0)</f>
        <v>0</v>
      </c>
      <c r="BC452" s="33" t="n">
        <f aca="false">IF(AND(Source_Data!BC$6&gt;=Inputs!$B$54,Source_Data!BC$6&lt;Inputs!$B$54+3*Inputs!$B$11),Inputs!$B$9*Inputs!$B$7/Inputs!$B$11,0)</f>
        <v>0</v>
      </c>
      <c r="BD452" s="33" t="n">
        <f aca="false">IF(AND(Source_Data!BD$6&gt;=Inputs!$B$54,Source_Data!BD$6&lt;Inputs!$B$54+3*Inputs!$B$11),Inputs!$B$9*Inputs!$B$7/Inputs!$B$11,0)</f>
        <v>0</v>
      </c>
      <c r="BE452" s="33" t="n">
        <f aca="false">IF(AND(Source_Data!BE$6&gt;=Inputs!$B$54,Source_Data!BE$6&lt;Inputs!$B$54+3*Inputs!$B$11),Inputs!$B$9*Inputs!$B$7/Inputs!$B$11,0)</f>
        <v>0</v>
      </c>
      <c r="BF452" s="33" t="n">
        <f aca="false">IF(AND(Source_Data!BF$6&gt;=Inputs!$B$54,Source_Data!BF$6&lt;Inputs!$B$54+3*Inputs!$B$11),Inputs!$B$9*Inputs!$B$7/Inputs!$B$11,0)</f>
        <v>0</v>
      </c>
      <c r="BG452" s="33" t="n">
        <f aca="false">IF(AND(Source_Data!BG$6&gt;=Inputs!$B$54,Source_Data!BG$6&lt;Inputs!$B$54+3*Inputs!$B$11),Inputs!$B$9*Inputs!$B$7/Inputs!$B$11,0)</f>
        <v>0</v>
      </c>
      <c r="BH452" s="33" t="n">
        <f aca="false">IF(AND(Source_Data!BH$6&gt;=Inputs!$B$54,Source_Data!BH$6&lt;Inputs!$B$54+3*Inputs!$B$11),Inputs!$B$9*Inputs!$B$7/Inputs!$B$11,0)</f>
        <v>0</v>
      </c>
      <c r="BI452" s="33" t="n">
        <f aca="false">IF(AND(Source_Data!BI$6&gt;=Inputs!$B$54,Source_Data!BI$6&lt;Inputs!$B$54+3*Inputs!$B$11),Inputs!$B$9*Inputs!$B$7/Inputs!$B$11,0)</f>
        <v>0</v>
      </c>
      <c r="BJ452" s="33" t="n">
        <f aca="false">IF(AND(Source_Data!BJ$6&gt;=Inputs!$B$54,Source_Data!BJ$6&lt;Inputs!$B$54+3*Inputs!$B$11),Inputs!$B$9*Inputs!$B$7/Inputs!$B$11,0)</f>
        <v>0</v>
      </c>
      <c r="BK452" s="33" t="n">
        <f aca="false">IF(AND(Source_Data!BK$6&gt;=Inputs!$B$54,Source_Data!BK$6&lt;Inputs!$B$54+3*Inputs!$B$11),Inputs!$B$9*Inputs!$B$7/Inputs!$B$11,0)</f>
        <v>0</v>
      </c>
    </row>
    <row r="453" customFormat="false" ht="15" hidden="false" customHeight="false" outlineLevel="0" collapsed="false">
      <c r="A453" s="3" t="s">
        <v>342</v>
      </c>
      <c r="D453" s="33" t="n">
        <f aca="false">IF(Source_Data!D$6=Inputs!$B$12,-Inputs!$B$7,0)+D452</f>
        <v>-100</v>
      </c>
      <c r="E453" s="33" t="n">
        <f aca="false">IF(Source_Data!E$6=Inputs!$B$12,-Inputs!$B$7,0)+E452</f>
        <v>0</v>
      </c>
      <c r="F453" s="33" t="n">
        <f aca="false">IF(Source_Data!F$6=Inputs!$B$12,-Inputs!$B$7,0)+F452</f>
        <v>0</v>
      </c>
      <c r="G453" s="33" t="n">
        <f aca="false">IF(Source_Data!G$6=Inputs!$B$12,-Inputs!$B$7,0)+G452</f>
        <v>0</v>
      </c>
      <c r="H453" s="33" t="n">
        <f aca="false">IF(Source_Data!H$6=Inputs!$B$12,-Inputs!$B$7,0)+H452</f>
        <v>0</v>
      </c>
      <c r="I453" s="33" t="n">
        <f aca="false">IF(Source_Data!I$6=Inputs!$B$12,-Inputs!$B$7,0)+I452</f>
        <v>0</v>
      </c>
      <c r="J453" s="33" t="n">
        <f aca="false">IF(Source_Data!J$6=Inputs!$B$12,-Inputs!$B$7,0)+J452</f>
        <v>0</v>
      </c>
      <c r="K453" s="33" t="n">
        <f aca="false">IF(Source_Data!K$6=Inputs!$B$12,-Inputs!$B$7,0)+K452</f>
        <v>0</v>
      </c>
      <c r="L453" s="33" t="n">
        <f aca="false">IF(Source_Data!L$6=Inputs!$B$12,-Inputs!$B$7,0)+L452</f>
        <v>0</v>
      </c>
      <c r="M453" s="33" t="n">
        <f aca="false">IF(Source_Data!M$6=Inputs!$B$12,-Inputs!$B$7,0)+M452</f>
        <v>19.1666666666667</v>
      </c>
      <c r="N453" s="33" t="n">
        <f aca="false">IF(Source_Data!N$6=Inputs!$B$12,-Inputs!$B$7,0)+N452</f>
        <v>19.1666666666667</v>
      </c>
      <c r="O453" s="33" t="n">
        <f aca="false">IF(Source_Data!O$6=Inputs!$B$12,-Inputs!$B$7,0)+O452</f>
        <v>19.1666666666667</v>
      </c>
      <c r="P453" s="33" t="n">
        <f aca="false">IF(Source_Data!P$6=Inputs!$B$12,-Inputs!$B$7,0)+P452</f>
        <v>19.1666666666667</v>
      </c>
      <c r="Q453" s="33" t="n">
        <f aca="false">IF(Source_Data!Q$6=Inputs!$B$12,-Inputs!$B$7,0)+Q452</f>
        <v>19.1666666666667</v>
      </c>
      <c r="R453" s="33" t="n">
        <f aca="false">IF(Source_Data!R$6=Inputs!$B$12,-Inputs!$B$7,0)+R452</f>
        <v>19.1666666666667</v>
      </c>
      <c r="S453" s="33" t="n">
        <f aca="false">IF(Source_Data!S$6=Inputs!$B$12,-Inputs!$B$7,0)+S452</f>
        <v>19.1666666666667</v>
      </c>
      <c r="T453" s="33" t="n">
        <f aca="false">IF(Source_Data!T$6=Inputs!$B$12,-Inputs!$B$7,0)+T452</f>
        <v>19.1666666666667</v>
      </c>
      <c r="U453" s="33" t="n">
        <f aca="false">IF(Source_Data!U$6=Inputs!$B$12,-Inputs!$B$7,0)+U452</f>
        <v>19.1666666666667</v>
      </c>
      <c r="V453" s="33" t="n">
        <f aca="false">IF(Source_Data!V$6=Inputs!$B$12,-Inputs!$B$7,0)+V452</f>
        <v>19.1666666666667</v>
      </c>
      <c r="W453" s="33" t="n">
        <f aca="false">IF(Source_Data!W$6=Inputs!$B$12,-Inputs!$B$7,0)+W452</f>
        <v>19.1666666666667</v>
      </c>
      <c r="X453" s="33" t="n">
        <f aca="false">IF(Source_Data!X$6=Inputs!$B$12,-Inputs!$B$7,0)+X452</f>
        <v>19.1666666666667</v>
      </c>
      <c r="Y453" s="33" t="n">
        <f aca="false">IF(Source_Data!Y$6=Inputs!$B$12,-Inputs!$B$7,0)+Y452</f>
        <v>0</v>
      </c>
      <c r="Z453" s="33" t="n">
        <f aca="false">IF(Source_Data!Z$6=Inputs!$B$12,-Inputs!$B$7,0)+Z452</f>
        <v>0</v>
      </c>
      <c r="AA453" s="33" t="n">
        <f aca="false">IF(Source_Data!AA$6=Inputs!$B$12,-Inputs!$B$7,0)+AA452</f>
        <v>0</v>
      </c>
      <c r="AB453" s="33" t="n">
        <f aca="false">IF(Source_Data!AB$6=Inputs!$B$12,-Inputs!$B$7,0)+AB452</f>
        <v>0</v>
      </c>
      <c r="AC453" s="33" t="n">
        <f aca="false">IF(Source_Data!AC$6=Inputs!$B$12,-Inputs!$B$7,0)+AC452</f>
        <v>0</v>
      </c>
      <c r="AD453" s="33" t="n">
        <f aca="false">IF(Source_Data!AD$6=Inputs!$B$12,-Inputs!$B$7,0)+AD452</f>
        <v>0</v>
      </c>
      <c r="AE453" s="33" t="n">
        <f aca="false">IF(Source_Data!AE$6=Inputs!$B$12,-Inputs!$B$7,0)+AE452</f>
        <v>0</v>
      </c>
      <c r="AF453" s="33" t="n">
        <f aca="false">IF(Source_Data!AF$6=Inputs!$B$12,-Inputs!$B$7,0)+AF452</f>
        <v>0</v>
      </c>
      <c r="AG453" s="33" t="n">
        <f aca="false">IF(Source_Data!AG$6=Inputs!$B$12,-Inputs!$B$7,0)+AG452</f>
        <v>0</v>
      </c>
      <c r="AH453" s="33" t="n">
        <f aca="false">IF(Source_Data!AH$6=Inputs!$B$12,-Inputs!$B$7,0)+AH452</f>
        <v>0</v>
      </c>
      <c r="AI453" s="33" t="n">
        <f aca="false">IF(Source_Data!AI$6=Inputs!$B$12,-Inputs!$B$7,0)+AI452</f>
        <v>0</v>
      </c>
      <c r="AJ453" s="33" t="n">
        <f aca="false">IF(Source_Data!AJ$6=Inputs!$B$12,-Inputs!$B$7,0)+AJ452</f>
        <v>0</v>
      </c>
      <c r="AK453" s="33" t="n">
        <f aca="false">IF(Source_Data!AK$6=Inputs!$B$12,-Inputs!$B$7,0)+AK452</f>
        <v>0</v>
      </c>
      <c r="AL453" s="33" t="n">
        <f aca="false">IF(Source_Data!AL$6=Inputs!$B$12,-Inputs!$B$7,0)+AL452</f>
        <v>0</v>
      </c>
      <c r="AM453" s="33" t="n">
        <f aca="false">IF(Source_Data!AM$6=Inputs!$B$12,-Inputs!$B$7,0)+AM452</f>
        <v>0</v>
      </c>
      <c r="AN453" s="33" t="n">
        <f aca="false">IF(Source_Data!AN$6=Inputs!$B$12,-Inputs!$B$7,0)+AN452</f>
        <v>0</v>
      </c>
      <c r="AO453" s="33" t="n">
        <f aca="false">IF(Source_Data!AO$6=Inputs!$B$12,-Inputs!$B$7,0)+AO452</f>
        <v>0</v>
      </c>
      <c r="AP453" s="33" t="n">
        <f aca="false">IF(Source_Data!AP$6=Inputs!$B$12,-Inputs!$B$7,0)+AP452</f>
        <v>0</v>
      </c>
      <c r="AQ453" s="33" t="n">
        <f aca="false">IF(Source_Data!AQ$6=Inputs!$B$12,-Inputs!$B$7,0)+AQ452</f>
        <v>0</v>
      </c>
      <c r="AR453" s="33" t="n">
        <f aca="false">IF(Source_Data!AR$6=Inputs!$B$12,-Inputs!$B$7,0)+AR452</f>
        <v>0</v>
      </c>
      <c r="AS453" s="33" t="n">
        <f aca="false">IF(Source_Data!AS$6=Inputs!$B$12,-Inputs!$B$7,0)+AS452</f>
        <v>0</v>
      </c>
      <c r="AT453" s="33" t="n">
        <f aca="false">IF(Source_Data!AT$6=Inputs!$B$12,-Inputs!$B$7,0)+AT452</f>
        <v>0</v>
      </c>
      <c r="AU453" s="33" t="n">
        <f aca="false">IF(Source_Data!AU$6=Inputs!$B$12,-Inputs!$B$7,0)+AU452</f>
        <v>0</v>
      </c>
      <c r="AV453" s="33" t="n">
        <f aca="false">IF(Source_Data!AV$6=Inputs!$B$12,-Inputs!$B$7,0)+AV452</f>
        <v>0</v>
      </c>
      <c r="AW453" s="33" t="n">
        <f aca="false">IF(Source_Data!AW$6=Inputs!$B$12,-Inputs!$B$7,0)+AW452</f>
        <v>0</v>
      </c>
      <c r="AX453" s="33" t="n">
        <f aca="false">IF(Source_Data!AX$6=Inputs!$B$12,-Inputs!$B$7,0)+AX452</f>
        <v>0</v>
      </c>
      <c r="AY453" s="33" t="n">
        <f aca="false">IF(Source_Data!AY$6=Inputs!$B$12,-Inputs!$B$7,0)+AY452</f>
        <v>0</v>
      </c>
      <c r="AZ453" s="33" t="n">
        <f aca="false">IF(Source_Data!AZ$6=Inputs!$B$12,-Inputs!$B$7,0)+AZ452</f>
        <v>0</v>
      </c>
      <c r="BA453" s="33" t="n">
        <f aca="false">IF(Source_Data!BA$6=Inputs!$B$12,-Inputs!$B$7,0)+BA452</f>
        <v>0</v>
      </c>
      <c r="BB453" s="33" t="n">
        <f aca="false">IF(Source_Data!BB$6=Inputs!$B$12,-Inputs!$B$7,0)+BB452</f>
        <v>0</v>
      </c>
      <c r="BC453" s="33" t="n">
        <f aca="false">IF(Source_Data!BC$6=Inputs!$B$12,-Inputs!$B$7,0)+BC452</f>
        <v>0</v>
      </c>
      <c r="BD453" s="33" t="n">
        <f aca="false">IF(Source_Data!BD$6=Inputs!$B$12,-Inputs!$B$7,0)+BD452</f>
        <v>0</v>
      </c>
      <c r="BE453" s="33" t="n">
        <f aca="false">IF(Source_Data!BE$6=Inputs!$B$12,-Inputs!$B$7,0)+BE452</f>
        <v>0</v>
      </c>
      <c r="BF453" s="33" t="n">
        <f aca="false">IF(Source_Data!BF$6=Inputs!$B$12,-Inputs!$B$7,0)+BF452</f>
        <v>0</v>
      </c>
      <c r="BG453" s="33" t="n">
        <f aca="false">IF(Source_Data!BG$6=Inputs!$B$12,-Inputs!$B$7,0)+BG452</f>
        <v>0</v>
      </c>
      <c r="BH453" s="33" t="n">
        <f aca="false">IF(Source_Data!BH$6=Inputs!$B$12,-Inputs!$B$7,0)+BH452</f>
        <v>0</v>
      </c>
      <c r="BI453" s="33" t="n">
        <f aca="false">IF(Source_Data!BI$6=Inputs!$B$12,-Inputs!$B$7,0)+BI452</f>
        <v>0</v>
      </c>
      <c r="BJ453" s="33" t="n">
        <f aca="false">IF(Source_Data!BJ$6=Inputs!$B$12,-Inputs!$B$7,0)+BJ452</f>
        <v>0</v>
      </c>
      <c r="BK453" s="33" t="n">
        <f aca="false">IF(Source_Data!BK$6=Inputs!$B$12,-Inputs!$B$7,0)+BK452</f>
        <v>0</v>
      </c>
    </row>
    <row r="454" customFormat="false" ht="15" hidden="false" customHeight="false" outlineLevel="0" collapsed="false">
      <c r="A454" s="3" t="s">
        <v>343</v>
      </c>
      <c r="D454" s="33" t="n">
        <f aca="false">IF(Source_Data!D$6=Inputs!$B$12,Inputs!$B$7,0)+D449-D452</f>
        <v>8.75</v>
      </c>
      <c r="E454" s="33" t="n">
        <f aca="false">D454+IF(Source_Data!E$6=Inputs!$B$12,Inputs!$B$7,0)+E449-E452</f>
        <v>-2.5</v>
      </c>
      <c r="F454" s="33" t="n">
        <f aca="false">E454+IF(Source_Data!F$6=Inputs!$B$12,Inputs!$B$7,0)+F449-F452</f>
        <v>-13.75</v>
      </c>
      <c r="G454" s="33" t="n">
        <f aca="false">F454+IF(Source_Data!G$6=Inputs!$B$12,Inputs!$B$7,0)+G449-G452</f>
        <v>-25</v>
      </c>
      <c r="H454" s="33" t="n">
        <f aca="false">G454+IF(Source_Data!H$6=Inputs!$B$12,Inputs!$B$7,0)+H449-H452</f>
        <v>-70.5</v>
      </c>
      <c r="I454" s="33" t="n">
        <f aca="false">H454+IF(Source_Data!I$6=Inputs!$B$12,Inputs!$B$7,0)+I449-I452</f>
        <v>-123.36</v>
      </c>
      <c r="J454" s="33" t="n">
        <f aca="false">I454+IF(Source_Data!J$6=Inputs!$B$12,Inputs!$B$7,0)+J449-J452</f>
        <v>-188.8321525</v>
      </c>
      <c r="K454" s="33" t="n">
        <f aca="false">J454+IF(Source_Data!K$6=Inputs!$B$12,Inputs!$B$7,0)+K449-K452</f>
        <v>-223.5250675</v>
      </c>
      <c r="L454" s="33" t="n">
        <f aca="false">K454+IF(Source_Data!L$6=Inputs!$B$12,Inputs!$B$7,0)+L449-L452</f>
        <v>-250.64432125</v>
      </c>
      <c r="M454" s="33" t="n">
        <f aca="false">L454+IF(Source_Data!M$6=Inputs!$B$12,Inputs!$B$7,0)+M449-M452</f>
        <v>-280.696710416667</v>
      </c>
      <c r="N454" s="33" t="n">
        <f aca="false">M454+IF(Source_Data!N$6=Inputs!$B$12,Inputs!$B$7,0)+N449-N452</f>
        <v>-284.308687083333</v>
      </c>
      <c r="O454" s="33" t="n">
        <f aca="false">N454+IF(Source_Data!O$6=Inputs!$B$12,Inputs!$B$7,0)+O449-O452</f>
        <v>-286.812804375</v>
      </c>
      <c r="P454" s="33" t="n">
        <f aca="false">O454+IF(Source_Data!P$6=Inputs!$B$12,Inputs!$B$7,0)+P449-P452</f>
        <v>-416.348662604167</v>
      </c>
      <c r="Q454" s="33" t="n">
        <f aca="false">P454+IF(Source_Data!Q$6=Inputs!$B$12,Inputs!$B$7,0)+Q449-Q452</f>
        <v>-132.522291770833</v>
      </c>
      <c r="R454" s="33" t="n">
        <f aca="false">Q454+IF(Source_Data!R$6=Inputs!$B$12,Inputs!$B$7,0)+R449-R452</f>
        <v>-208.9720084375</v>
      </c>
      <c r="S454" s="33" t="n">
        <f aca="false">R454+IF(Source_Data!S$6=Inputs!$B$12,Inputs!$B$7,0)+S449-S452</f>
        <v>-237.810875104167</v>
      </c>
      <c r="T454" s="33" t="n">
        <f aca="false">S454+IF(Source_Data!T$6=Inputs!$B$12,Inputs!$B$7,0)+T449-T452</f>
        <v>-204.666791770833</v>
      </c>
      <c r="U454" s="33" t="n">
        <f aca="false">T454+IF(Source_Data!U$6=Inputs!$B$12,Inputs!$B$7,0)+U449-U452</f>
        <v>-197.5234896875</v>
      </c>
      <c r="V454" s="33" t="n">
        <f aca="false">U454+IF(Source_Data!V$6=Inputs!$B$12,Inputs!$B$7,0)+V449-V452</f>
        <v>-190.380187604167</v>
      </c>
      <c r="W454" s="33" t="n">
        <f aca="false">V454+IF(Source_Data!W$6=Inputs!$B$12,Inputs!$B$7,0)+W449-W452</f>
        <v>-186.509818645833</v>
      </c>
      <c r="X454" s="33" t="n">
        <f aca="false">W454+IF(Source_Data!X$6=Inputs!$B$12,Inputs!$B$7,0)+X449-X452</f>
        <v>-166.949845625</v>
      </c>
      <c r="Y454" s="33" t="n">
        <f aca="false">X454+IF(Source_Data!Y$6=Inputs!$B$12,Inputs!$B$7,0)+Y449-Y452</f>
        <v>-129.7371296875</v>
      </c>
      <c r="Z454" s="33" t="n">
        <f aca="false">Y454+IF(Source_Data!Z$6=Inputs!$B$12,Inputs!$B$7,0)+Z449-Z452</f>
        <v>-98.5131850000001</v>
      </c>
      <c r="AA454" s="33" t="n">
        <f aca="false">Z454+IF(Source_Data!AA$6=Inputs!$B$12,Inputs!$B$7,0)+AA449-AA452</f>
        <v>-71.6302403125001</v>
      </c>
      <c r="AB454" s="33" t="n">
        <f aca="false">AA454+IF(Source_Data!AB$6=Inputs!$B$12,Inputs!$B$7,0)+AB449-AB452</f>
        <v>-22.2472956250001</v>
      </c>
      <c r="AC454" s="33" t="n">
        <f aca="false">AB454+IF(Source_Data!AC$6=Inputs!$B$12,Inputs!$B$7,0)+AC449-AC452</f>
        <v>19.8554303124999</v>
      </c>
      <c r="AD454" s="33" t="n">
        <f aca="false">AC454+IF(Source_Data!AD$6=Inputs!$B$12,Inputs!$B$7,0)+AD449-AD452</f>
        <v>61.9581562499999</v>
      </c>
      <c r="AE454" s="33" t="n">
        <f aca="false">AD454+IF(Source_Data!AE$6=Inputs!$B$12,Inputs!$B$7,0)+AE449-AE452</f>
        <v>104.0608821875</v>
      </c>
      <c r="AF454" s="33" t="n">
        <f aca="false">AE454+IF(Source_Data!AF$6=Inputs!$B$12,Inputs!$B$7,0)+AF449-AF452</f>
        <v>32.6173977734374</v>
      </c>
      <c r="AG454" s="33" t="n">
        <f aca="false">AF454+IF(Source_Data!AG$6=Inputs!$B$12,Inputs!$B$7,0)+AG449-AG452</f>
        <v>54.6795128515624</v>
      </c>
      <c r="AH454" s="33" t="n">
        <f aca="false">AG454+IF(Source_Data!AH$6=Inputs!$B$12,Inputs!$B$7,0)+AH449-AH452</f>
        <v>73.1331716796874</v>
      </c>
      <c r="AI454" s="33" t="n">
        <f aca="false">AH454+IF(Source_Data!AI$6=Inputs!$B$12,Inputs!$B$7,0)+AI449-AI452</f>
        <v>87.2458305078124</v>
      </c>
      <c r="AJ454" s="33" t="n">
        <f aca="false">AI454+IF(Source_Data!AJ$6=Inputs!$B$12,Inputs!$B$7,0)+AJ449-AJ452</f>
        <v>101.358489335937</v>
      </c>
      <c r="AK454" s="33" t="n">
        <f aca="false">AJ454+IF(Source_Data!AK$6=Inputs!$B$12,Inputs!$B$7,0)+AK449-AK452</f>
        <v>116.426676875</v>
      </c>
      <c r="AL454" s="33" t="n">
        <f aca="false">AK454+IF(Source_Data!AL$6=Inputs!$B$12,Inputs!$B$7,0)+AL449-AL452</f>
        <v>131.494864414062</v>
      </c>
      <c r="AM454" s="33" t="n">
        <f aca="false">AL454+IF(Source_Data!AM$6=Inputs!$B$12,Inputs!$B$7,0)+AM449-AM452</f>
        <v>148.385480625</v>
      </c>
      <c r="AN454" s="33" t="n">
        <f aca="false">AM454+IF(Source_Data!AN$6=Inputs!$B$12,Inputs!$B$7,0)+AN449-AN452</f>
        <v>169.26320359375</v>
      </c>
      <c r="AO454" s="33" t="n">
        <f aca="false">AN454+IF(Source_Data!AO$6=Inputs!$B$12,Inputs!$B$7,0)+AO449-AO452</f>
        <v>190.6062275</v>
      </c>
      <c r="AP454" s="33" t="n">
        <f aca="false">AO454+IF(Source_Data!AP$6=Inputs!$B$12,Inputs!$B$7,0)+AP449-AP452</f>
        <v>213.511333125</v>
      </c>
      <c r="AQ454" s="33" t="n">
        <f aca="false">AP454+IF(Source_Data!AQ$6=Inputs!$B$12,Inputs!$B$7,0)+AQ449-AQ452</f>
        <v>232.2508875</v>
      </c>
      <c r="AR454" s="33" t="n">
        <f aca="false">AQ454+IF(Source_Data!AR$6=Inputs!$B$12,Inputs!$B$7,0)+AR449-AR452</f>
        <v>241.877055</v>
      </c>
      <c r="AS454" s="33" t="n">
        <f aca="false">AR454+IF(Source_Data!AS$6=Inputs!$B$12,Inputs!$B$7,0)+AS449-AS452</f>
        <v>245.4475275</v>
      </c>
      <c r="AT454" s="33" t="n">
        <f aca="false">AS454+IF(Source_Data!AT$6=Inputs!$B$12,Inputs!$B$7,0)+AT449-AT452</f>
        <v>245.4475275</v>
      </c>
      <c r="AU454" s="33" t="n">
        <f aca="false">AT454+IF(Source_Data!AU$6=Inputs!$B$12,Inputs!$B$7,0)+AU449-AU452</f>
        <v>245.4475275</v>
      </c>
      <c r="AV454" s="33" t="n">
        <f aca="false">AU454+IF(Source_Data!AV$6=Inputs!$B$12,Inputs!$B$7,0)+AV449-AV452</f>
        <v>245.4475275</v>
      </c>
      <c r="AW454" s="33" t="n">
        <f aca="false">AV454+IF(Source_Data!AW$6=Inputs!$B$12,Inputs!$B$7,0)+AW449-AW452</f>
        <v>245.4475275</v>
      </c>
      <c r="AX454" s="33" t="n">
        <f aca="false">AW454+IF(Source_Data!AX$6=Inputs!$B$12,Inputs!$B$7,0)+AX449-AX452</f>
        <v>245.4475275</v>
      </c>
      <c r="AY454" s="33" t="n">
        <f aca="false">AX454+IF(Source_Data!AY$6=Inputs!$B$12,Inputs!$B$7,0)+AY449-AY452</f>
        <v>245.4475275</v>
      </c>
      <c r="AZ454" s="33" t="n">
        <f aca="false">AY454+IF(Source_Data!AZ$6=Inputs!$B$12,Inputs!$B$7,0)+AZ449-AZ452</f>
        <v>245.4475275</v>
      </c>
      <c r="BA454" s="33" t="n">
        <f aca="false">AZ454+IF(Source_Data!BA$6=Inputs!$B$12,Inputs!$B$7,0)+BA449-BA452</f>
        <v>245.4475275</v>
      </c>
      <c r="BB454" s="33" t="n">
        <f aca="false">BA454+IF(Source_Data!BB$6=Inputs!$B$12,Inputs!$B$7,0)+BB449-BB452</f>
        <v>245.4475275</v>
      </c>
      <c r="BC454" s="33" t="n">
        <f aca="false">BB454+IF(Source_Data!BC$6=Inputs!$B$12,Inputs!$B$7,0)+BC449-BC452</f>
        <v>245.4475275</v>
      </c>
      <c r="BD454" s="33" t="n">
        <f aca="false">BC454+IF(Source_Data!BD$6=Inputs!$B$12,Inputs!$B$7,0)+BD449-BD452</f>
        <v>245.4475275</v>
      </c>
      <c r="BE454" s="33" t="n">
        <f aca="false">BD454+IF(Source_Data!BE$6=Inputs!$B$12,Inputs!$B$7,0)+BE449-BE452</f>
        <v>245.4475275</v>
      </c>
      <c r="BF454" s="33" t="n">
        <f aca="false">BE454+IF(Source_Data!BF$6=Inputs!$B$12,Inputs!$B$7,0)+BF449-BF452</f>
        <v>245.4475275</v>
      </c>
      <c r="BG454" s="33" t="n">
        <f aca="false">BF454+IF(Source_Data!BG$6=Inputs!$B$12,Inputs!$B$7,0)+BG449-BG452</f>
        <v>245.4475275</v>
      </c>
      <c r="BH454" s="33" t="n">
        <f aca="false">BG454+IF(Source_Data!BH$6=Inputs!$B$12,Inputs!$B$7,0)+BH449-BH452</f>
        <v>245.4475275</v>
      </c>
      <c r="BI454" s="33" t="n">
        <f aca="false">BH454+IF(Source_Data!BI$6=Inputs!$B$12,Inputs!$B$7,0)+BI449-BI452</f>
        <v>245.4475275</v>
      </c>
      <c r="BJ454" s="33" t="n">
        <f aca="false">BI454+IF(Source_Data!BJ$6=Inputs!$B$12,Inputs!$B$7,0)+BJ449-BJ452</f>
        <v>245.4475275</v>
      </c>
      <c r="BK454" s="33" t="n">
        <f aca="false">BJ454+IF(Source_Data!BK$6=Inputs!$B$12,Inputs!$B$7,0)+BK449-BK452</f>
        <v>245.4475275</v>
      </c>
    </row>
    <row r="455" customFormat="false" ht="15" hidden="false" customHeight="false" outlineLevel="0" collapsed="false">
      <c r="A455" s="3" t="s">
        <v>344</v>
      </c>
      <c r="D455" s="31" t="str">
        <f aca="false">IF(D452&gt;0,D449/D452,"")</f>
        <v/>
      </c>
      <c r="E455" s="31" t="str">
        <f aca="false">IF(E452&gt;0,E449/E452,"")</f>
        <v/>
      </c>
      <c r="F455" s="31" t="str">
        <f aca="false">IF(F452&gt;0,F449/F452,"")</f>
        <v/>
      </c>
      <c r="G455" s="31" t="str">
        <f aca="false">IF(G452&gt;0,G449/G452,"")</f>
        <v/>
      </c>
      <c r="H455" s="31" t="str">
        <f aca="false">IF(H452&gt;0,H449/H452,"")</f>
        <v/>
      </c>
      <c r="I455" s="31" t="str">
        <f aca="false">IF(I452&gt;0,I449/I452,"")</f>
        <v/>
      </c>
      <c r="J455" s="31" t="str">
        <f aca="false">IF(J452&gt;0,J449/J452,"")</f>
        <v/>
      </c>
      <c r="K455" s="31" t="str">
        <f aca="false">IF(K452&gt;0,K449/K452,"")</f>
        <v/>
      </c>
      <c r="L455" s="31" t="str">
        <f aca="false">IF(L452&gt;0,L449/L452,"")</f>
        <v/>
      </c>
      <c r="M455" s="31" t="n">
        <f aca="false">IF(M452&gt;0,M449/M452,"")</f>
        <v>-0.567950739130435</v>
      </c>
      <c r="N455" s="31" t="n">
        <f aca="false">IF(N452&gt;0,N449/N452,"")</f>
        <v>0.811549043478261</v>
      </c>
      <c r="O455" s="31" t="n">
        <f aca="false">IF(O452&gt;0,O449/O452,"")</f>
        <v>0.869350402173913</v>
      </c>
      <c r="P455" s="31" t="n">
        <f aca="false">IF(P452&gt;0,P449/P452,"")</f>
        <v>-5.75839260326087</v>
      </c>
      <c r="Q455" s="31" t="n">
        <f aca="false">IF(Q452&gt;0,Q449/Q452,"")</f>
        <v>15.8083323913043</v>
      </c>
      <c r="R455" s="31" t="n">
        <f aca="false">IF(R452&gt;0,R449/R452,"")</f>
        <v>-2.98868086956522</v>
      </c>
      <c r="S455" s="31" t="n">
        <f aca="false">IF(S452&gt;0,S449/S452,"")</f>
        <v>-0.504636521739131</v>
      </c>
      <c r="T455" s="31" t="n">
        <f aca="false">IF(T452&gt;0,T449/T452,"")</f>
        <v>2.72925652173913</v>
      </c>
      <c r="U455" s="31" t="n">
        <f aca="false">IF(U452&gt;0,U449/U452,"")</f>
        <v>1.37269402173913</v>
      </c>
      <c r="V455" s="31" t="n">
        <f aca="false">IF(V452&gt;0,V449/V452,"")</f>
        <v>1.37269402173913</v>
      </c>
      <c r="W455" s="31" t="n">
        <f aca="false">IF(W452&gt;0,W449/W452,"")</f>
        <v>1.20193229347826</v>
      </c>
      <c r="X455" s="31" t="n">
        <f aca="false">IF(X452&gt;0,X449/X452,"")</f>
        <v>2.02052033152174</v>
      </c>
      <c r="Y455" s="31" t="str">
        <f aca="false">IF(Y452&gt;0,Y449/Y452,"")</f>
        <v/>
      </c>
      <c r="Z455" s="31" t="str">
        <f aca="false">IF(Z452&gt;0,Z449/Z452,"")</f>
        <v/>
      </c>
      <c r="AA455" s="31" t="str">
        <f aca="false">IF(AA452&gt;0,AA449/AA452,"")</f>
        <v/>
      </c>
      <c r="AB455" s="31" t="str">
        <f aca="false">IF(AB452&gt;0,AB449/AB452,"")</f>
        <v/>
      </c>
      <c r="AC455" s="31" t="str">
        <f aca="false">IF(AC452&gt;0,AC449/AC452,"")</f>
        <v/>
      </c>
      <c r="AD455" s="31" t="str">
        <f aca="false">IF(AD452&gt;0,AD449/AD452,"")</f>
        <v/>
      </c>
      <c r="AE455" s="31" t="str">
        <f aca="false">IF(AE452&gt;0,AE449/AE452,"")</f>
        <v/>
      </c>
      <c r="AF455" s="31" t="str">
        <f aca="false">IF(AF452&gt;0,AF449/AF452,"")</f>
        <v/>
      </c>
      <c r="AG455" s="31" t="str">
        <f aca="false">IF(AG452&gt;0,AG449/AG452,"")</f>
        <v/>
      </c>
      <c r="AH455" s="31" t="str">
        <f aca="false">IF(AH452&gt;0,AH449/AH452,"")</f>
        <v/>
      </c>
      <c r="AI455" s="31" t="str">
        <f aca="false">IF(AI452&gt;0,AI449/AI452,"")</f>
        <v/>
      </c>
      <c r="AJ455" s="31" t="str">
        <f aca="false">IF(AJ452&gt;0,AJ449/AJ452,"")</f>
        <v/>
      </c>
      <c r="AK455" s="31" t="str">
        <f aca="false">IF(AK452&gt;0,AK449/AK452,"")</f>
        <v/>
      </c>
      <c r="AL455" s="31" t="str">
        <f aca="false">IF(AL452&gt;0,AL449/AL452,"")</f>
        <v/>
      </c>
      <c r="AM455" s="31" t="str">
        <f aca="false">IF(AM452&gt;0,AM449/AM452,"")</f>
        <v/>
      </c>
      <c r="AN455" s="31" t="str">
        <f aca="false">IF(AN452&gt;0,AN449/AN452,"")</f>
        <v/>
      </c>
      <c r="AO455" s="31" t="str">
        <f aca="false">IF(AO452&gt;0,AO449/AO452,"")</f>
        <v/>
      </c>
      <c r="AP455" s="31" t="str">
        <f aca="false">IF(AP452&gt;0,AP449/AP452,"")</f>
        <v/>
      </c>
      <c r="AQ455" s="31" t="str">
        <f aca="false">IF(AQ452&gt;0,AQ449/AQ452,"")</f>
        <v/>
      </c>
      <c r="AR455" s="31" t="str">
        <f aca="false">IF(AR452&gt;0,AR449/AR452,"")</f>
        <v/>
      </c>
      <c r="AS455" s="31" t="str">
        <f aca="false">IF(AS452&gt;0,AS449/AS452,"")</f>
        <v/>
      </c>
      <c r="AT455" s="31" t="str">
        <f aca="false">IF(AT452&gt;0,AT449/AT452,"")</f>
        <v/>
      </c>
      <c r="AU455" s="31" t="str">
        <f aca="false">IF(AU452&gt;0,AU449/AU452,"")</f>
        <v/>
      </c>
      <c r="AV455" s="31" t="str">
        <f aca="false">IF(AV452&gt;0,AV449/AV452,"")</f>
        <v/>
      </c>
      <c r="AW455" s="31" t="str">
        <f aca="false">IF(AW452&gt;0,AW449/AW452,"")</f>
        <v/>
      </c>
      <c r="AX455" s="31" t="str">
        <f aca="false">IF(AX452&gt;0,AX449/AX452,"")</f>
        <v/>
      </c>
      <c r="AY455" s="31" t="str">
        <f aca="false">IF(AY452&gt;0,AY449/AY452,"")</f>
        <v/>
      </c>
      <c r="AZ455" s="31" t="str">
        <f aca="false">IF(AZ452&gt;0,AZ449/AZ452,"")</f>
        <v/>
      </c>
      <c r="BA455" s="31" t="str">
        <f aca="false">IF(BA452&gt;0,BA449/BA452,"")</f>
        <v/>
      </c>
      <c r="BB455" s="31" t="str">
        <f aca="false">IF(BB452&gt;0,BB449/BB452,"")</f>
        <v/>
      </c>
      <c r="BC455" s="31" t="str">
        <f aca="false">IF(BC452&gt;0,BC449/BC452,"")</f>
        <v/>
      </c>
      <c r="BD455" s="31" t="str">
        <f aca="false">IF(BD452&gt;0,BD449/BD452,"")</f>
        <v/>
      </c>
      <c r="BE455" s="31" t="str">
        <f aca="false">IF(BE452&gt;0,BE449/BE452,"")</f>
        <v/>
      </c>
      <c r="BF455" s="31" t="str">
        <f aca="false">IF(BF452&gt;0,BF449/BF452,"")</f>
        <v/>
      </c>
      <c r="BG455" s="31" t="str">
        <f aca="false">IF(BG452&gt;0,BG449/BG452,"")</f>
        <v/>
      </c>
      <c r="BH455" s="31" t="str">
        <f aca="false">IF(BH452&gt;0,BH449/BH452,"")</f>
        <v/>
      </c>
      <c r="BI455" s="31" t="str">
        <f aca="false">IF(BI452&gt;0,BI449/BI452,"")</f>
        <v/>
      </c>
      <c r="BJ455" s="31" t="str">
        <f aca="false">IF(BJ452&gt;0,BJ449/BJ452,"")</f>
        <v/>
      </c>
      <c r="BK455" s="31" t="str">
        <f aca="false">IF(BK452&gt;0,BK449/BK452,"")</f>
        <v/>
      </c>
    </row>
    <row r="456" customFormat="false" ht="15" hidden="false" customHeight="false" outlineLevel="0" collapsed="false">
      <c r="A456" s="3" t="s">
        <v>345</v>
      </c>
      <c r="D456" s="31" t="str">
        <f aca="false">IF(D452&gt;0,(0+D449+IF(Source_Data!D$6=Inputs!$B$12,Inputs!$B$7,0))/D452,"")</f>
        <v/>
      </c>
      <c r="E456" s="31" t="str">
        <f aca="false">IF(E452&gt;0,(D454+E449+IF(Source_Data!E$6=Inputs!$B$12,Inputs!$B$7,0))/E452,"")</f>
        <v/>
      </c>
      <c r="F456" s="31" t="str">
        <f aca="false">IF(F452&gt;0,(E454+F449+IF(Source_Data!F$6=Inputs!$B$12,Inputs!$B$7,0))/F452,"")</f>
        <v/>
      </c>
      <c r="G456" s="31" t="str">
        <f aca="false">IF(G452&gt;0,(F454+G449+IF(Source_Data!G$6=Inputs!$B$12,Inputs!$B$7,0))/G452,"")</f>
        <v/>
      </c>
      <c r="H456" s="31" t="str">
        <f aca="false">IF(H452&gt;0,(G454+H449+IF(Source_Data!H$6=Inputs!$B$12,Inputs!$B$7,0))/H452,"")</f>
        <v/>
      </c>
      <c r="I456" s="31" t="str">
        <f aca="false">IF(I452&gt;0,(H454+I449+IF(Source_Data!I$6=Inputs!$B$12,Inputs!$B$7,0))/I452,"")</f>
        <v/>
      </c>
      <c r="J456" s="31" t="str">
        <f aca="false">IF(J452&gt;0,(I454+J449+IF(Source_Data!J$6=Inputs!$B$12,Inputs!$B$7,0))/J452,"")</f>
        <v/>
      </c>
      <c r="K456" s="31" t="str">
        <f aca="false">IF(K452&gt;0,(J454+K449+IF(Source_Data!K$6=Inputs!$B$12,Inputs!$B$7,0))/K452,"")</f>
        <v/>
      </c>
      <c r="L456" s="31" t="str">
        <f aca="false">IF(L452&gt;0,(K454+L449+IF(Source_Data!L$6=Inputs!$B$12,Inputs!$B$7,0))/L452,"")</f>
        <v/>
      </c>
      <c r="M456" s="31" t="n">
        <f aca="false">IF(M452&gt;0,(L454+M449+IF(Source_Data!M$6=Inputs!$B$12,Inputs!$B$7,0))/M452,"")</f>
        <v>-13.6450457608696</v>
      </c>
      <c r="N456" s="31" t="n">
        <f aca="false">IF(N452&gt;0,(M454+N449+IF(Source_Data!N$6=Inputs!$B$12,Inputs!$B$7,0))/N452,"")</f>
        <v>-13.8334967173913</v>
      </c>
      <c r="O456" s="31" t="n">
        <f aca="false">IF(O452&gt;0,(N454+O449+IF(Source_Data!O$6=Inputs!$B$12,Inputs!$B$7,0))/O452,"")</f>
        <v>-13.9641463152174</v>
      </c>
      <c r="P456" s="31" t="n">
        <f aca="false">IF(P452&gt;0,(O454+P449+IF(Source_Data!P$6=Inputs!$B$12,Inputs!$B$7,0))/P452,"")</f>
        <v>-20.7225389184783</v>
      </c>
      <c r="Q456" s="31" t="n">
        <f aca="false">IF(Q452&gt;0,(P454+Q449+IF(Source_Data!Q$6=Inputs!$B$12,Inputs!$B$7,0))/Q452,"")</f>
        <v>-5.91420652717392</v>
      </c>
      <c r="R456" s="31" t="n">
        <f aca="false">IF(R452&gt;0,(Q454+R449+IF(Source_Data!R$6=Inputs!$B$12,Inputs!$B$7,0))/R452,"")</f>
        <v>-9.90288739673914</v>
      </c>
      <c r="S456" s="31" t="n">
        <f aca="false">IF(S452&gt;0,(R454+S449+IF(Source_Data!S$6=Inputs!$B$12,Inputs!$B$7,0))/S452,"")</f>
        <v>-11.4075239184783</v>
      </c>
      <c r="T456" s="31" t="n">
        <f aca="false">IF(T452&gt;0,(S454+T449+IF(Source_Data!T$6=Inputs!$B$12,Inputs!$B$7,0))/T452,"")</f>
        <v>-9.67826739673913</v>
      </c>
      <c r="U456" s="31" t="n">
        <f aca="false">IF(U452&gt;0,(T454+U449+IF(Source_Data!U$6=Inputs!$B$12,Inputs!$B$7,0))/U452,"")</f>
        <v>-9.305573375</v>
      </c>
      <c r="V456" s="31" t="n">
        <f aca="false">IF(V452&gt;0,(U454+V449+IF(Source_Data!V$6=Inputs!$B$12,Inputs!$B$7,0))/V452,"")</f>
        <v>-8.93287935326087</v>
      </c>
      <c r="W456" s="31" t="n">
        <f aca="false">IF(W452&gt;0,(V454+W449+IF(Source_Data!W$6=Inputs!$B$12,Inputs!$B$7,0))/W452,"")</f>
        <v>-8.73094705978261</v>
      </c>
      <c r="X456" s="31" t="n">
        <f aca="false">IF(X452&gt;0,(W454+X449+IF(Source_Data!X$6=Inputs!$B$12,Inputs!$B$7,0))/X452,"")</f>
        <v>-7.71042672826087</v>
      </c>
      <c r="Y456" s="31" t="str">
        <f aca="false">IF(Y452&gt;0,(X454+Y449+IF(Source_Data!Y$6=Inputs!$B$12,Inputs!$B$7,0))/Y452,"")</f>
        <v/>
      </c>
      <c r="Z456" s="31" t="str">
        <f aca="false">IF(Z452&gt;0,(Y454+Z449+IF(Source_Data!Z$6=Inputs!$B$12,Inputs!$B$7,0))/Z452,"")</f>
        <v/>
      </c>
      <c r="AA456" s="31" t="str">
        <f aca="false">IF(AA452&gt;0,(Z454+AA449+IF(Source_Data!AA$6=Inputs!$B$12,Inputs!$B$7,0))/AA452,"")</f>
        <v/>
      </c>
      <c r="AB456" s="31" t="str">
        <f aca="false">IF(AB452&gt;0,(AA454+AB449+IF(Source_Data!AB$6=Inputs!$B$12,Inputs!$B$7,0))/AB452,"")</f>
        <v/>
      </c>
      <c r="AC456" s="31" t="str">
        <f aca="false">IF(AC452&gt;0,(AB454+AC449+IF(Source_Data!AC$6=Inputs!$B$12,Inputs!$B$7,0))/AC452,"")</f>
        <v/>
      </c>
      <c r="AD456" s="31" t="str">
        <f aca="false">IF(AD452&gt;0,(AC454+AD449+IF(Source_Data!AD$6=Inputs!$B$12,Inputs!$B$7,0))/AD452,"")</f>
        <v/>
      </c>
      <c r="AE456" s="31" t="str">
        <f aca="false">IF(AE452&gt;0,(AD454+AE449+IF(Source_Data!AE$6=Inputs!$B$12,Inputs!$B$7,0))/AE452,"")</f>
        <v/>
      </c>
      <c r="AF456" s="31" t="str">
        <f aca="false">IF(AF452&gt;0,(AE454+AF449+IF(Source_Data!AF$6=Inputs!$B$12,Inputs!$B$7,0))/AF452,"")</f>
        <v/>
      </c>
      <c r="AG456" s="31" t="str">
        <f aca="false">IF(AG452&gt;0,(AF454+AG449+IF(Source_Data!AG$6=Inputs!$B$12,Inputs!$B$7,0))/AG452,"")</f>
        <v/>
      </c>
      <c r="AH456" s="31" t="str">
        <f aca="false">IF(AH452&gt;0,(AG454+AH449+IF(Source_Data!AH$6=Inputs!$B$12,Inputs!$B$7,0))/AH452,"")</f>
        <v/>
      </c>
      <c r="AI456" s="31" t="str">
        <f aca="false">IF(AI452&gt;0,(AH454+AI449+IF(Source_Data!AI$6=Inputs!$B$12,Inputs!$B$7,0))/AI452,"")</f>
        <v/>
      </c>
      <c r="AJ456" s="31" t="str">
        <f aca="false">IF(AJ452&gt;0,(AI454+AJ449+IF(Source_Data!AJ$6=Inputs!$B$12,Inputs!$B$7,0))/AJ452,"")</f>
        <v/>
      </c>
      <c r="AK456" s="31" t="str">
        <f aca="false">IF(AK452&gt;0,(AJ454+AK449+IF(Source_Data!AK$6=Inputs!$B$12,Inputs!$B$7,0))/AK452,"")</f>
        <v/>
      </c>
      <c r="AL456" s="31" t="str">
        <f aca="false">IF(AL452&gt;0,(AK454+AL449+IF(Source_Data!AL$6=Inputs!$B$12,Inputs!$B$7,0))/AL452,"")</f>
        <v/>
      </c>
      <c r="AM456" s="31" t="str">
        <f aca="false">IF(AM452&gt;0,(AL454+AM449+IF(Source_Data!AM$6=Inputs!$B$12,Inputs!$B$7,0))/AM452,"")</f>
        <v/>
      </c>
      <c r="AN456" s="31" t="str">
        <f aca="false">IF(AN452&gt;0,(AM454+AN449+IF(Source_Data!AN$6=Inputs!$B$12,Inputs!$B$7,0))/AN452,"")</f>
        <v/>
      </c>
      <c r="AO456" s="31" t="str">
        <f aca="false">IF(AO452&gt;0,(AN454+AO449+IF(Source_Data!AO$6=Inputs!$B$12,Inputs!$B$7,0))/AO452,"")</f>
        <v/>
      </c>
      <c r="AP456" s="31" t="str">
        <f aca="false">IF(AP452&gt;0,(AO454+AP449+IF(Source_Data!AP$6=Inputs!$B$12,Inputs!$B$7,0))/AP452,"")</f>
        <v/>
      </c>
      <c r="AQ456" s="31" t="str">
        <f aca="false">IF(AQ452&gt;0,(AP454+AQ449+IF(Source_Data!AQ$6=Inputs!$B$12,Inputs!$B$7,0))/AQ452,"")</f>
        <v/>
      </c>
      <c r="AR456" s="31" t="str">
        <f aca="false">IF(AR452&gt;0,(AQ454+AR449+IF(Source_Data!AR$6=Inputs!$B$12,Inputs!$B$7,0))/AR452,"")</f>
        <v/>
      </c>
      <c r="AS456" s="31" t="str">
        <f aca="false">IF(AS452&gt;0,(AR454+AS449+IF(Source_Data!AS$6=Inputs!$B$12,Inputs!$B$7,0))/AS452,"")</f>
        <v/>
      </c>
      <c r="AT456" s="31" t="str">
        <f aca="false">IF(AT452&gt;0,(AS454+AT449+IF(Source_Data!AT$6=Inputs!$B$12,Inputs!$B$7,0))/AT452,"")</f>
        <v/>
      </c>
      <c r="AU456" s="31" t="str">
        <f aca="false">IF(AU452&gt;0,(AT454+AU449+IF(Source_Data!AU$6=Inputs!$B$12,Inputs!$B$7,0))/AU452,"")</f>
        <v/>
      </c>
      <c r="AV456" s="31" t="str">
        <f aca="false">IF(AV452&gt;0,(AU454+AV449+IF(Source_Data!AV$6=Inputs!$B$12,Inputs!$B$7,0))/AV452,"")</f>
        <v/>
      </c>
      <c r="AW456" s="31" t="str">
        <f aca="false">IF(AW452&gt;0,(AV454+AW449+IF(Source_Data!AW$6=Inputs!$B$12,Inputs!$B$7,0))/AW452,"")</f>
        <v/>
      </c>
      <c r="AX456" s="31" t="str">
        <f aca="false">IF(AX452&gt;0,(AW454+AX449+IF(Source_Data!AX$6=Inputs!$B$12,Inputs!$B$7,0))/AX452,"")</f>
        <v/>
      </c>
      <c r="AY456" s="31" t="str">
        <f aca="false">IF(AY452&gt;0,(AX454+AY449+IF(Source_Data!AY$6=Inputs!$B$12,Inputs!$B$7,0))/AY452,"")</f>
        <v/>
      </c>
      <c r="AZ456" s="31" t="str">
        <f aca="false">IF(AZ452&gt;0,(AY454+AZ449+IF(Source_Data!AZ$6=Inputs!$B$12,Inputs!$B$7,0))/AZ452,"")</f>
        <v/>
      </c>
      <c r="BA456" s="31" t="str">
        <f aca="false">IF(BA452&gt;0,(AZ454+BA449+IF(Source_Data!BA$6=Inputs!$B$12,Inputs!$B$7,0))/BA452,"")</f>
        <v/>
      </c>
      <c r="BB456" s="31" t="str">
        <f aca="false">IF(BB452&gt;0,(BA454+BB449+IF(Source_Data!BB$6=Inputs!$B$12,Inputs!$B$7,0))/BB452,"")</f>
        <v/>
      </c>
      <c r="BC456" s="31" t="str">
        <f aca="false">IF(BC452&gt;0,(BB454+BC449+IF(Source_Data!BC$6=Inputs!$B$12,Inputs!$B$7,0))/BC452,"")</f>
        <v/>
      </c>
      <c r="BD456" s="31" t="str">
        <f aca="false">IF(BD452&gt;0,(BC454+BD449+IF(Source_Data!BD$6=Inputs!$B$12,Inputs!$B$7,0))/BD452,"")</f>
        <v/>
      </c>
      <c r="BE456" s="31" t="str">
        <f aca="false">IF(BE452&gt;0,(BD454+BE449+IF(Source_Data!BE$6=Inputs!$B$12,Inputs!$B$7,0))/BE452,"")</f>
        <v/>
      </c>
      <c r="BF456" s="31" t="str">
        <f aca="false">IF(BF452&gt;0,(BE454+BF449+IF(Source_Data!BF$6=Inputs!$B$12,Inputs!$B$7,0))/BF452,"")</f>
        <v/>
      </c>
      <c r="BG456" s="31" t="str">
        <f aca="false">IF(BG452&gt;0,(BF454+BG449+IF(Source_Data!BG$6=Inputs!$B$12,Inputs!$B$7,0))/BG452,"")</f>
        <v/>
      </c>
      <c r="BH456" s="31" t="str">
        <f aca="false">IF(BH452&gt;0,(BG454+BH449+IF(Source_Data!BH$6=Inputs!$B$12,Inputs!$B$7,0))/BH452,"")</f>
        <v/>
      </c>
      <c r="BI456" s="31" t="str">
        <f aca="false">IF(BI452&gt;0,(BH454+BI449+IF(Source_Data!BI$6=Inputs!$B$12,Inputs!$B$7,0))/BI452,"")</f>
        <v/>
      </c>
      <c r="BJ456" s="31" t="str">
        <f aca="false">IF(BJ452&gt;0,(BI454+BJ449+IF(Source_Data!BJ$6=Inputs!$B$12,Inputs!$B$7,0))/BJ452,"")</f>
        <v/>
      </c>
      <c r="BK456" s="31" t="str">
        <f aca="false">IF(BK452&gt;0,(BJ454+BK449+IF(Source_Data!BK$6=Inputs!$B$12,Inputs!$B$7,0))/BK452,"")</f>
        <v/>
      </c>
    </row>
    <row r="458" customFormat="false" ht="15" hidden="false" customHeight="false" outlineLevel="0" collapsed="false">
      <c r="A458" s="2" t="s">
        <v>220</v>
      </c>
      <c r="B458" s="41" t="n">
        <f aca="false">SUM(D449:BK449)</f>
        <v>375.4475275</v>
      </c>
    </row>
    <row r="459" customFormat="false" ht="15" hidden="false" customHeight="false" outlineLevel="0" collapsed="false">
      <c r="A459" s="2" t="s">
        <v>346</v>
      </c>
      <c r="B459" s="41" t="n">
        <f aca="false">SUMPRODUCT(D449:BK449,Project_CF!$D$15:$BK$15)</f>
        <v>41.314631602071</v>
      </c>
    </row>
    <row r="460" customFormat="false" ht="15" hidden="false" customHeight="false" outlineLevel="0" collapsed="false">
      <c r="A460" s="2" t="s">
        <v>162</v>
      </c>
      <c r="B460" s="41" t="n">
        <f aca="false">MIN(D450:BK450)</f>
        <v>-439.6819959375</v>
      </c>
    </row>
    <row r="461" customFormat="false" ht="15" hidden="false" customHeight="false" outlineLevel="0" collapsed="false">
      <c r="A461" s="2" t="s">
        <v>347</v>
      </c>
      <c r="B461" s="35" t="n">
        <f aca="false">INDEX(Project_CF!$D$6:$BK$6,MATCH(MIN(D450:BK450),D450:BK450,0))</f>
        <v>39</v>
      </c>
    </row>
    <row r="462" customFormat="false" ht="15" hidden="false" customHeight="false" outlineLevel="0" collapsed="false">
      <c r="A462" s="2" t="s">
        <v>348</v>
      </c>
      <c r="B462" s="39" t="n">
        <f aca="false">(1+IRR(D451:BK451,0.05))^4-1</f>
        <v>0.264029906719608</v>
      </c>
    </row>
    <row r="463" customFormat="false" ht="15" hidden="false" customHeight="false" outlineLevel="0" collapsed="false">
      <c r="A463" s="2" t="s">
        <v>349</v>
      </c>
      <c r="B463" s="40" t="n">
        <f aca="false">SUMIF(D451:BK451,"&gt;0")/-SUMIF(D451:BK451,"&lt;0")</f>
        <v>2.78136200716846</v>
      </c>
    </row>
    <row r="464" customFormat="false" ht="15" hidden="false" customHeight="false" outlineLevel="0" collapsed="false">
      <c r="A464" s="2" t="s">
        <v>350</v>
      </c>
      <c r="B464" s="39" t="n">
        <f aca="false">(1+IRR(D453:BK453,0.05))^4-1</f>
        <v>0.265463994839995</v>
      </c>
    </row>
    <row r="465" customFormat="false" ht="15" hidden="false" customHeight="false" outlineLevel="0" collapsed="false">
      <c r="A465" s="2" t="s">
        <v>351</v>
      </c>
      <c r="B465" s="41" t="n">
        <f aca="false">MIN(D454:BK454)</f>
        <v>-416.348662604167</v>
      </c>
    </row>
    <row r="466" customFormat="false" ht="15" hidden="false" customHeight="false" outlineLevel="0" collapsed="false">
      <c r="A466" s="2" t="s">
        <v>352</v>
      </c>
      <c r="B466" s="43" t="n">
        <f aca="false">MIN(D455:BK455)</f>
        <v>-5.75839260326087</v>
      </c>
    </row>
    <row r="467" customFormat="false" ht="15" hidden="false" customHeight="false" outlineLevel="0" collapsed="false">
      <c r="A467" s="2" t="s">
        <v>353</v>
      </c>
      <c r="B467" s="35" t="n">
        <f aca="false">COUNTIF(D455:BK455,"&lt;"&amp;Inputs!$B$43)</f>
        <v>9</v>
      </c>
    </row>
    <row r="468" customFormat="false" ht="15" hidden="false" customHeight="false" outlineLevel="0" collapsed="false">
      <c r="A468" s="2" t="s">
        <v>354</v>
      </c>
      <c r="B468" s="43" t="n">
        <f aca="false">MIN(D456:BK456)</f>
        <v>-20.7225389184783</v>
      </c>
    </row>
    <row r="469" customFormat="false" ht="15" hidden="false" customHeight="false" outlineLevel="0" collapsed="false">
      <c r="A469" s="2" t="s">
        <v>355</v>
      </c>
      <c r="B469" s="35" t="n">
        <f aca="false">COUNTIF(D456:BK456,"&lt;"&amp;Inputs!$B$43)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371</v>
      </c>
    </row>
    <row r="2" customFormat="false" ht="15" hidden="false" customHeight="false" outlineLevel="0" collapsed="false">
      <c r="A2" s="6" t="s">
        <v>372</v>
      </c>
    </row>
    <row r="4" customFormat="false" ht="15" hidden="false" customHeight="false" outlineLevel="0" collapsed="false">
      <c r="A4" s="7" t="s">
        <v>373</v>
      </c>
      <c r="B4" s="7" t="s">
        <v>374</v>
      </c>
      <c r="C4" s="7" t="s">
        <v>375</v>
      </c>
      <c r="D4" s="7" t="s">
        <v>376</v>
      </c>
      <c r="E4" s="7" t="s">
        <v>377</v>
      </c>
    </row>
    <row r="5" customFormat="false" ht="15" hidden="false" customHeight="false" outlineLevel="0" collapsed="false">
      <c r="A5" s="3" t="s">
        <v>220</v>
      </c>
      <c r="B5" s="46" t="n">
        <f aca="false">Project_CF!$B$18</f>
        <v>375.4475275</v>
      </c>
      <c r="C5" s="46" t="n">
        <f aca="false">Inputs!$B$46</f>
        <v>375.4475275</v>
      </c>
      <c r="D5" s="47" t="n">
        <f aca="false">ROUND(B5-C5,5)</f>
        <v>0</v>
      </c>
      <c r="E5" s="6" t="s">
        <v>228</v>
      </c>
    </row>
    <row r="6" customFormat="false" ht="15" hidden="false" customHeight="false" outlineLevel="0" collapsed="false">
      <c r="A6" s="3" t="s">
        <v>378</v>
      </c>
      <c r="B6" s="46" t="n">
        <f aca="false">Project_CF!$B$19</f>
        <v>215.311392548924</v>
      </c>
      <c r="C6" s="46" t="n">
        <f aca="false">Inputs!$B$47</f>
        <v>215.311392548924</v>
      </c>
      <c r="D6" s="47" t="n">
        <f aca="false">ROUND(B6-C6,5)</f>
        <v>0</v>
      </c>
      <c r="E6" s="6" t="s">
        <v>228</v>
      </c>
    </row>
    <row r="7" customFormat="false" ht="15" hidden="false" customHeight="false" outlineLevel="0" collapsed="false">
      <c r="A7" s="3" t="s">
        <v>379</v>
      </c>
      <c r="B7" s="46" t="n">
        <f aca="false">Project_CF!$B$20</f>
        <v>-102.5</v>
      </c>
      <c r="C7" s="46" t="n">
        <f aca="false">Inputs!$B$48</f>
        <v>-102.5</v>
      </c>
      <c r="D7" s="47" t="n">
        <f aca="false">ROUND(B7-C7,5)</f>
        <v>0</v>
      </c>
      <c r="E7" s="6" t="s">
        <v>228</v>
      </c>
    </row>
    <row r="8" customFormat="false" ht="15" hidden="false" customHeight="false" outlineLevel="0" collapsed="false">
      <c r="A8" s="3" t="s">
        <v>380</v>
      </c>
      <c r="B8" s="46" t="n">
        <f aca="false">Project_CF!$C$8</f>
        <v>2252.979</v>
      </c>
      <c r="C8" s="46" t="n">
        <f aca="false">Inputs!$B$49</f>
        <v>2252.979</v>
      </c>
      <c r="D8" s="47" t="n">
        <f aca="false">ROUND(B8-C8,5)</f>
        <v>0</v>
      </c>
      <c r="E8" s="6" t="s">
        <v>228</v>
      </c>
    </row>
    <row r="9" customFormat="false" ht="15" hidden="false" customHeight="false" outlineLevel="0" collapsed="false">
      <c r="A9" s="3" t="s">
        <v>166</v>
      </c>
      <c r="B9" s="46" t="n">
        <f aca="false">Project_CF!$C$9</f>
        <v>985.6783125</v>
      </c>
      <c r="C9" s="46" t="n">
        <f aca="false">Inputs!$B$50</f>
        <v>985.6783125</v>
      </c>
      <c r="D9" s="47" t="n">
        <f aca="false">ROUND(B9-C9,5)</f>
        <v>0</v>
      </c>
      <c r="E9" s="6" t="s">
        <v>228</v>
      </c>
    </row>
    <row r="10" customFormat="false" ht="15" hidden="false" customHeight="false" outlineLevel="0" collapsed="false">
      <c r="A10" s="3" t="s">
        <v>381</v>
      </c>
      <c r="B10" s="46" t="n">
        <f aca="false">Project_CF!$C$10+Project_CF!$C$11+Project_CF!$C$12</f>
        <v>891.85316</v>
      </c>
      <c r="C10" s="46" t="n">
        <f aca="false">Inputs!$B$51</f>
        <v>891.85316</v>
      </c>
      <c r="D10" s="47" t="n">
        <f aca="false">ROUND(B10-C10,5)</f>
        <v>0</v>
      </c>
      <c r="E10" s="6" t="s">
        <v>228</v>
      </c>
    </row>
    <row r="11" customFormat="false" ht="15" hidden="false" customHeight="false" outlineLevel="0" collapsed="false">
      <c r="A11" s="3" t="s">
        <v>382</v>
      </c>
      <c r="B11" s="46" t="n">
        <f aca="false">Scenarios!$B$26</f>
        <v>375.4475275</v>
      </c>
      <c r="C11" s="46" t="n">
        <f aca="false">Project_CF!$B$18</f>
        <v>375.4475275</v>
      </c>
      <c r="D11" s="47" t="n">
        <f aca="false">ROUND(B11-C11,5)</f>
        <v>0</v>
      </c>
      <c r="E11" s="6" t="s">
        <v>383</v>
      </c>
    </row>
    <row r="12" customFormat="false" ht="15" hidden="false" customHeight="false" outlineLevel="0" collapsed="false">
      <c r="A12" s="3" t="s">
        <v>384</v>
      </c>
      <c r="B12" s="46" t="n">
        <f aca="false">Scenarios!$B$27</f>
        <v>215.311392548924</v>
      </c>
      <c r="C12" s="46" t="n">
        <f aca="false">Project_CF!$B$19</f>
        <v>215.311392548924</v>
      </c>
      <c r="D12" s="47" t="n">
        <f aca="false">ROUND(B12-C12,5)</f>
        <v>0</v>
      </c>
      <c r="E12" s="6" t="s">
        <v>383</v>
      </c>
    </row>
    <row r="13" customFormat="false" ht="15" hidden="false" customHeight="false" outlineLevel="0" collapsed="false">
      <c r="A13" s="3" t="s">
        <v>385</v>
      </c>
      <c r="B13" s="46" t="n">
        <f aca="false">Option_A!B17</f>
        <v>178.136200716846</v>
      </c>
      <c r="C13" s="46" t="n">
        <f aca="false">Option_A!B5*Inputs!$B$34*(1-Inputs!$B$15)-Inputs!$B$7</f>
        <v>178.136200716846</v>
      </c>
      <c r="D13" s="47" t="n">
        <f aca="false">ROUND(B13-C13,5)</f>
        <v>0</v>
      </c>
      <c r="E13" s="6" t="s">
        <v>386</v>
      </c>
    </row>
    <row r="14" customFormat="false" ht="15" hidden="false" customHeight="false" outlineLevel="0" collapsed="false">
      <c r="A14" s="3" t="s">
        <v>387</v>
      </c>
      <c r="B14" s="46" t="n">
        <f aca="false">Option_B!B9</f>
        <v>230</v>
      </c>
      <c r="C14" s="46" t="n">
        <f aca="false">Inputs!$B$9*Inputs!$B$7</f>
        <v>230</v>
      </c>
      <c r="D14" s="47" t="n">
        <f aca="false">ROUND(B14-C14,5)</f>
        <v>0</v>
      </c>
      <c r="E14" s="6" t="s">
        <v>386</v>
      </c>
    </row>
    <row r="15" customFormat="false" ht="15" hidden="false" customHeight="false" outlineLevel="0" collapsed="false">
      <c r="A15" s="3" t="s">
        <v>388</v>
      </c>
      <c r="B15" s="46" t="n">
        <f aca="false">Sources_Uses!B14</f>
        <v>112.9574</v>
      </c>
      <c r="C15" s="46" t="n">
        <f aca="false">MAX(Sources_Uses!B8,Sources_Uses!B12)</f>
        <v>112.9574</v>
      </c>
      <c r="D15" s="47" t="n">
        <f aca="false">ROUND(B15-C15,5)</f>
        <v>0</v>
      </c>
      <c r="E15" s="6" t="s">
        <v>383</v>
      </c>
    </row>
    <row r="16" customFormat="false" ht="15" hidden="false" customHeight="false" outlineLevel="0" collapsed="false">
      <c r="A16" s="3" t="s">
        <v>389</v>
      </c>
      <c r="B16" s="46" t="n">
        <f aca="false">Option_A!B26</f>
        <v>0.264029906719608</v>
      </c>
      <c r="C16" s="25" t="n">
        <v>0.264029906719613</v>
      </c>
      <c r="D16" s="47" t="n">
        <f aca="false">ROUND(B16-C16,5)</f>
        <v>-0</v>
      </c>
      <c r="E16" s="6" t="s">
        <v>390</v>
      </c>
    </row>
    <row r="17" customFormat="false" ht="15" hidden="false" customHeight="false" outlineLevel="0" collapsed="false">
      <c r="A17" s="3" t="s">
        <v>391</v>
      </c>
      <c r="B17" s="46" t="n">
        <f aca="false">Option_A!B29</f>
        <v>0.20741957336111</v>
      </c>
      <c r="C17" s="25" t="n">
        <v>0.207419573361089</v>
      </c>
      <c r="D17" s="47" t="n">
        <f aca="false">ROUND(B17-C17,5)</f>
        <v>0</v>
      </c>
      <c r="E17" s="6" t="s">
        <v>392</v>
      </c>
    </row>
    <row r="18" customFormat="false" ht="15" hidden="false" customHeight="false" outlineLevel="0" collapsed="false">
      <c r="A18" s="3" t="s">
        <v>393</v>
      </c>
      <c r="B18" s="46" t="n">
        <f aca="false">Option_B!B34</f>
        <v>0.265463994839995</v>
      </c>
      <c r="C18" s="25" t="n">
        <v>0.265463994839995</v>
      </c>
      <c r="D18" s="47" t="n">
        <f aca="false">ROUND(B18-C18,5)</f>
        <v>0</v>
      </c>
      <c r="E18" s="6" t="s">
        <v>392</v>
      </c>
    </row>
    <row r="19" customFormat="false" ht="15" hidden="false" customHeight="false" outlineLevel="0" collapsed="false">
      <c r="A19" s="3" t="s">
        <v>394</v>
      </c>
      <c r="B19" s="46" t="n">
        <f aca="false">Option_B!C34</f>
        <v>0.290276628628477</v>
      </c>
      <c r="C19" s="25" t="n">
        <v>0.290276628628476</v>
      </c>
      <c r="D19" s="47" t="n">
        <f aca="false">ROUND(B19-C19,5)</f>
        <v>0</v>
      </c>
      <c r="E19" s="6" t="s">
        <v>392</v>
      </c>
    </row>
    <row r="20" customFormat="false" ht="15" hidden="false" customHeight="false" outlineLevel="0" collapsed="false">
      <c r="A20" s="3" t="s">
        <v>395</v>
      </c>
      <c r="B20" s="46" t="n">
        <f aca="false">Option_B!D34</f>
        <v>0.27835276492556</v>
      </c>
      <c r="C20" s="25" t="n">
        <v>0.278352764925566</v>
      </c>
      <c r="D20" s="47" t="n">
        <f aca="false">ROUND(B20-C20,5)</f>
        <v>-0</v>
      </c>
      <c r="E20" s="6" t="s">
        <v>392</v>
      </c>
    </row>
    <row r="21" customFormat="false" ht="15" hidden="false" customHeight="false" outlineLevel="0" collapsed="false">
      <c r="A21" s="3" t="s">
        <v>396</v>
      </c>
      <c r="B21" s="46" t="n">
        <f aca="false">-Scenarios!$B$64</f>
        <v>441.19460834375</v>
      </c>
      <c r="C21" s="25" t="n">
        <v>441.19460834375</v>
      </c>
      <c r="D21" s="47" t="n">
        <f aca="false">ROUND(B21-C21,5)</f>
        <v>0</v>
      </c>
      <c r="E21" s="6" t="s">
        <v>392</v>
      </c>
    </row>
    <row r="22" customFormat="false" ht="15" hidden="false" customHeight="false" outlineLevel="0" collapsed="false">
      <c r="A22" s="3" t="s">
        <v>397</v>
      </c>
      <c r="B22" s="46" t="n">
        <f aca="false">Option_B!B42</f>
        <v>-2.5</v>
      </c>
      <c r="C22" s="25" t="n">
        <v>-2.5</v>
      </c>
      <c r="D22" s="47" t="n">
        <f aca="false">ROUND(B22-C22,5)</f>
        <v>0</v>
      </c>
      <c r="E22" s="6" t="s">
        <v>392</v>
      </c>
    </row>
    <row r="24" customFormat="false" ht="15" hidden="false" customHeight="false" outlineLevel="0" collapsed="false">
      <c r="A24" s="2" t="s">
        <v>398</v>
      </c>
      <c r="D24" s="48" t="n">
        <f aca="false">SUMPRODUCT(ABS(D5:D22))</f>
        <v>0</v>
      </c>
    </row>
    <row r="25" customFormat="false" ht="15" hidden="false" customHeight="false" outlineLevel="0" collapsed="false">
      <c r="A25" s="2" t="s">
        <v>399</v>
      </c>
      <c r="D25" s="2" t="str">
        <f aca="false">IF(D24=0,"ALL CHECKS ZERO","CHECK FAILED")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2026-10-08T08:56:35Z</dcterms:created>
  <dc:creator>Jalour Developments</dc:creator>
  <dc:description/>
  <dc:language>en-US</dc:language>
  <cp:lastModifiedBy/>
  <dcterms:modified xsi:type="dcterms:W3CDTF">2026-10-08T08:56:35Z</dcterms:modified>
  <cp:revision>0</cp:revision>
  <dc:subject>Confidential</dc:subject>
  <dc:title>Financial Annex - Green Square - Ticket 100m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