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<sst xmlns="http://schemas.openxmlformats.org/spreadsheetml/2006/main" count="1147" uniqueCount="400">
  <si>
    <t xml:space="preserve">L'avenir - Financial Annex</t>
  </si>
  <si>
    <t xml:space="preserve">Investor ticket EGP 100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</si>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</sst>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30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1169.759390625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908.68343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12.4754625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0.980218576489825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200</v>
      </c>
      <c r="C20" s="10" t="n">
        <f aca="false">B20/Inputs!$B$52</f>
        <v>4.16666666666667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0.276004449191721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296.296296296296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0.292473250549915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2.87407407407407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60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0.204061973864954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2.58666666666667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0.32283998534566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3.16148148148148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0.225573897725612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-20.8025106753166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-92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54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-38.5552850909852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-6.74262926086957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4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3.50099315217391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-2.01806250000001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0.286576617841086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0.273781615486059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-2.01806250000001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-863.604283875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-16.9499475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-357.973235416667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-240.140669583334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-863.604283875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100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12</v>
      </c>
      <c r="C12" s="3" t="s">
        <v>102</v>
      </c>
      <c r="D12" s="6" t="s">
        <v>103</v>
      </c>
    </row>
    <row r="13" customFormat="false" ht="15" hidden="false" customHeight="false" outlineLevel="0" collapsed="false">
      <c r="A13" s="3" t="s">
        <v>104</v>
      </c>
      <c r="B13" s="19" t="n">
        <v>54</v>
      </c>
      <c r="C13" s="3" t="s">
        <v>102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20" t="n">
        <v>0.14</v>
      </c>
      <c r="C14" s="3" t="s">
        <v>107</v>
      </c>
      <c r="D14" s="6" t="s">
        <v>108</v>
      </c>
    </row>
    <row r="15" customFormat="false" ht="15" hidden="false" customHeight="false" outlineLevel="0" collapsed="false">
      <c r="A15" s="3" t="s">
        <v>109</v>
      </c>
      <c r="B15" s="20" t="n">
        <v>0.03</v>
      </c>
      <c r="C15" s="3" t="s">
        <v>110</v>
      </c>
      <c r="D15" s="6" t="s">
        <v>111</v>
      </c>
    </row>
    <row r="16" customFormat="false" ht="15" hidden="false" customHeight="false" outlineLevel="0" collapsed="false">
      <c r="A16" s="3" t="s">
        <v>112</v>
      </c>
      <c r="B16" s="19" t="n">
        <v>4</v>
      </c>
      <c r="C16" s="3" t="s">
        <v>99</v>
      </c>
      <c r="D16" s="6" t="s">
        <v>113</v>
      </c>
    </row>
    <row r="18" customFormat="false" ht="15" hidden="false" customHeight="false" outlineLevel="0" collapsed="false">
      <c r="A18" s="8" t="s">
        <v>114</v>
      </c>
    </row>
    <row r="19" customFormat="false" ht="15" hidden="false" customHeight="false" outlineLevel="0" collapsed="false">
      <c r="A19" s="3" t="s">
        <v>115</v>
      </c>
      <c r="B19" s="20" t="n">
        <v>0.35</v>
      </c>
      <c r="C19" s="3" t="s">
        <v>110</v>
      </c>
      <c r="D19" s="6" t="s">
        <v>116</v>
      </c>
    </row>
    <row r="20" customFormat="false" ht="15" hidden="false" customHeight="false" outlineLevel="0" collapsed="false">
      <c r="A20" s="3" t="s">
        <v>117</v>
      </c>
      <c r="B20" s="17" t="n">
        <v>850</v>
      </c>
      <c r="C20" s="3" t="s">
        <v>89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85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3342.1696875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20" t="n">
        <v>0.04</v>
      </c>
      <c r="C23" s="3" t="s">
        <v>110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0.05</v>
      </c>
      <c r="C24" s="3" t="s">
        <v>110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0.3</v>
      </c>
      <c r="C25" s="3" t="s">
        <v>110</v>
      </c>
      <c r="D25" s="6" t="s">
        <v>128</v>
      </c>
    </row>
    <row r="27" customFormat="false" ht="15" hidden="false" customHeight="false" outlineLevel="0" collapsed="false">
      <c r="A27" s="8" t="s">
        <v>129</v>
      </c>
    </row>
    <row r="28" customFormat="false" ht="15" hidden="false" customHeight="false" outlineLevel="0" collapsed="false">
      <c r="A28" s="3" t="s">
        <v>130</v>
      </c>
      <c r="B28" s="21" t="n">
        <v>250</v>
      </c>
      <c r="C28" s="3" t="s">
        <v>131</v>
      </c>
      <c r="D28" s="6" t="s">
        <v>132</v>
      </c>
    </row>
    <row r="29" customFormat="false" ht="15" hidden="false" customHeight="false" outlineLevel="0" collapsed="false">
      <c r="A29" s="3" t="s">
        <v>133</v>
      </c>
      <c r="B29" s="21" t="n">
        <v>160</v>
      </c>
      <c r="C29" s="3" t="s">
        <v>131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360</v>
      </c>
      <c r="C30" s="3" t="s">
        <v>131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240</v>
      </c>
      <c r="C31" s="3" t="s">
        <v>131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17" t="n">
        <v>223.65</v>
      </c>
      <c r="C32" s="3" t="s">
        <v>89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500.976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22" t="n">
        <f aca="false">($B$32/($B$32+$B$33))*($B$30/$B$28)+($B$33/($B$32+$B$33))*($B$31/$B$29)</f>
        <v>1.48148148148148</v>
      </c>
      <c r="C34" s="3" t="s">
        <v>92</v>
      </c>
      <c r="D34" s="6" t="s">
        <v>144</v>
      </c>
    </row>
    <row r="36" customFormat="false" ht="15" hidden="false" customHeight="false" outlineLevel="0" collapsed="false">
      <c r="A36" s="8" t="s">
        <v>145</v>
      </c>
    </row>
    <row r="37" customFormat="false" ht="15" hidden="false" customHeight="false" outlineLevel="0" collapsed="false">
      <c r="A37" s="3" t="s">
        <v>146</v>
      </c>
      <c r="B37" s="23" t="n">
        <v>0.197111396035636</v>
      </c>
      <c r="C37" s="3" t="s">
        <v>110</v>
      </c>
      <c r="D37" s="6" t="s">
        <v>147</v>
      </c>
    </row>
    <row r="38" customFormat="false" ht="15" hidden="false" customHeight="false" outlineLevel="0" collapsed="false">
      <c r="A38" s="3" t="s">
        <v>148</v>
      </c>
      <c r="B38" s="24" t="n">
        <v>0.4</v>
      </c>
      <c r="C38" s="3" t="s">
        <v>92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1.5</v>
      </c>
      <c r="C39" s="3" t="s">
        <v>92</v>
      </c>
      <c r="D39" s="6" t="s">
        <v>149</v>
      </c>
    </row>
    <row r="40" customFormat="false" ht="15" hidden="false" customHeight="false" outlineLevel="0" collapsed="false">
      <c r="A40" s="3" t="s">
        <v>151</v>
      </c>
      <c r="B40" s="18" t="n">
        <v>1.8</v>
      </c>
      <c r="C40" s="3" t="s">
        <v>92</v>
      </c>
      <c r="D40" s="6" t="s">
        <v>149</v>
      </c>
    </row>
    <row r="41" customFormat="false" ht="15" hidden="false" customHeight="false" outlineLevel="0" collapsed="false">
      <c r="A41" s="3" t="s">
        <v>152</v>
      </c>
      <c r="B41" s="18" t="n">
        <v>2.8</v>
      </c>
      <c r="C41" s="3" t="s">
        <v>92</v>
      </c>
      <c r="D41" s="6" t="s">
        <v>149</v>
      </c>
    </row>
    <row r="42" customFormat="false" ht="15" hidden="false" customHeight="false" outlineLevel="0" collapsed="false">
      <c r="A42" s="3" t="s">
        <v>153</v>
      </c>
      <c r="B42" s="23" t="n">
        <v>0.0289039008210653</v>
      </c>
      <c r="C42" s="3" t="s">
        <v>110</v>
      </c>
      <c r="D42" s="6" t="s">
        <v>154</v>
      </c>
    </row>
    <row r="43" customFormat="false" ht="15" hidden="false" customHeight="false" outlineLevel="0" collapsed="false">
      <c r="A43" s="3" t="s">
        <v>155</v>
      </c>
      <c r="B43" s="18" t="n">
        <v>1.5</v>
      </c>
      <c r="C43" s="3" t="s">
        <v>92</v>
      </c>
      <c r="D43" s="6" t="s">
        <v>156</v>
      </c>
    </row>
    <row r="45" customFormat="false" ht="15" hidden="false" customHeight="false" outlineLevel="0" collapsed="false">
      <c r="A45" s="8" t="s">
        <v>157</v>
      </c>
    </row>
    <row r="46" customFormat="false" ht="15" hidden="false" customHeight="false" outlineLevel="0" collapsed="false">
      <c r="A46" s="3" t="s">
        <v>158</v>
      </c>
      <c r="B46" s="25" t="n">
        <v>595.292929375</v>
      </c>
      <c r="C46" s="3" t="s">
        <v>89</v>
      </c>
      <c r="D46" s="6" t="s">
        <v>159</v>
      </c>
    </row>
    <row r="47" customFormat="false" ht="15" hidden="false" customHeight="false" outlineLevel="0" collapsed="false">
      <c r="A47" s="3" t="s">
        <v>160</v>
      </c>
      <c r="B47" s="25" t="n">
        <v>307.532371091529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-102.0180625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2673.73575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1169.759390625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908.68343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4" t="n">
        <v>48</v>
      </c>
      <c r="C52" s="3" t="s">
        <v>171</v>
      </c>
      <c r="D52" s="6" t="s">
        <v>172</v>
      </c>
    </row>
    <row r="54" customFormat="false" ht="15" hidden="false" customHeight="false" outlineLevel="0" collapsed="false">
      <c r="A54" s="3" t="s">
        <v>173</v>
      </c>
      <c r="B54" s="3" t="n">
        <f aca="false">Inputs!$B$12+Inputs!$B$10+3</f>
        <v>39</v>
      </c>
      <c r="C54" s="26" t="s">
        <v>102</v>
      </c>
      <c r="D54" s="6" t="s">
        <v>174</v>
      </c>
    </row>
    <row r="55" customFormat="false" ht="15" hidden="false" customHeight="false" outlineLevel="0" collapsed="false">
      <c r="A55" s="3" t="s">
        <v>175</v>
      </c>
      <c r="B55" s="27" t="n">
        <f aca="false">Inputs!$B$32+Inputs!$B$33</f>
        <v>724.626</v>
      </c>
      <c r="C55" s="26" t="s">
        <v>89</v>
      </c>
      <c r="D55" s="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177</v>
      </c>
    </row>
    <row r="2" customFormat="false" ht="15" hidden="false" customHeight="false" outlineLevel="0" collapsed="false">
      <c r="A2" s="6" t="s">
        <v>178</v>
      </c>
    </row>
    <row r="4" customFormat="false" ht="15" hidden="false" customHeight="false" outlineLevel="0" collapsed="false">
      <c r="A4" s="7" t="s">
        <v>179</v>
      </c>
      <c r="B4" s="7" t="s">
        <v>180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182</v>
      </c>
      <c r="B5" s="6" t="s">
        <v>183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184</v>
      </c>
      <c r="B6" s="6" t="s">
        <v>185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186</v>
      </c>
      <c r="B7" s="6" t="s">
        <v>187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188</v>
      </c>
      <c r="B8" s="6" t="s">
        <v>189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190</v>
      </c>
      <c r="B9" s="6" t="s">
        <v>191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192</v>
      </c>
      <c r="B10" s="6" t="s">
        <v>193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194</v>
      </c>
      <c r="B11" s="6" t="s">
        <v>195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196</v>
      </c>
      <c r="B12" s="6" t="s">
        <v>197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198</v>
      </c>
      <c r="B13" s="6" t="s">
        <v>199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200</v>
      </c>
      <c r="B14" s="6" t="s">
        <v>201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202</v>
      </c>
      <c r="B15" s="6" t="s">
        <v>203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204</v>
      </c>
      <c r="B16" s="6" t="s">
        <v>205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206</v>
      </c>
      <c r="B17" s="6" t="s">
        <v>207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208</v>
      </c>
    </row>
    <row r="2" customFormat="false" ht="15" hidden="false" customHeight="false" outlineLevel="0" collapsed="false">
      <c r="A2" s="6" t="s">
        <v>209</v>
      </c>
    </row>
    <row r="4" customFormat="false" ht="15" hidden="false" customHeight="false" outlineLevel="0" collapsed="false">
      <c r="A4" s="7" t="s">
        <v>210</v>
      </c>
      <c r="B4" s="7" t="s">
        <v>85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211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184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212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213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214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194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196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215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216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217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218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219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220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221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162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222</v>
      </c>
    </row>
    <row r="2" customFormat="false" ht="15" hidden="false" customHeight="false" outlineLevel="0" collapsed="false">
      <c r="A2" s="6" t="s">
        <v>223</v>
      </c>
    </row>
    <row r="4" customFormat="false" ht="15" hidden="false" customHeight="false" outlineLevel="0" collapsed="false">
      <c r="A4" s="7" t="s">
        <v>224</v>
      </c>
      <c r="B4" s="7" t="s">
        <v>225</v>
      </c>
      <c r="C4" s="7" t="s">
        <v>226</v>
      </c>
    </row>
    <row r="5" customFormat="false" ht="15" hidden="false" customHeight="false" outlineLevel="0" collapsed="false">
      <c r="A5" s="3" t="s">
        <v>227</v>
      </c>
      <c r="B5" s="27" t="n">
        <f aca="false">Inputs!$B$21</f>
        <v>85</v>
      </c>
      <c r="C5" s="6" t="s">
        <v>228</v>
      </c>
    </row>
    <row r="6" customFormat="false" ht="15" hidden="false" customHeight="false" outlineLevel="0" collapsed="false">
      <c r="A6" s="3" t="s">
        <v>229</v>
      </c>
      <c r="B6" s="27" t="n">
        <f aca="false">-Project_CF!$B$20-Inputs!$B$21</f>
        <v>17.0180625</v>
      </c>
      <c r="C6" s="6" t="s">
        <v>230</v>
      </c>
    </row>
    <row r="7" customFormat="false" ht="15" hidden="false" customHeight="false" outlineLevel="0" collapsed="false">
      <c r="A7" s="3" t="s">
        <v>231</v>
      </c>
      <c r="B7" s="27" t="n">
        <f aca="false">Inputs!$B$24*Project_CF!$C$10*Inputs!$B$25</f>
        <v>10.4574</v>
      </c>
      <c r="C7" s="6" t="s">
        <v>232</v>
      </c>
    </row>
    <row r="8" customFormat="false" ht="15" hidden="false" customHeight="false" outlineLevel="0" collapsed="false">
      <c r="A8" s="2" t="s">
        <v>233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234</v>
      </c>
      <c r="B11" s="7" t="s">
        <v>225</v>
      </c>
      <c r="C11" s="7" t="s">
        <v>226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100</v>
      </c>
      <c r="C12" s="6" t="s">
        <v>235</v>
      </c>
    </row>
    <row r="13" customFormat="false" ht="15" hidden="false" customHeight="false" outlineLevel="0" collapsed="false">
      <c r="A13" s="3" t="s">
        <v>236</v>
      </c>
      <c r="B13" s="27" t="n">
        <f aca="false">MAX(0,B8-B12)</f>
        <v>12.4754625</v>
      </c>
      <c r="C13" s="6" t="s">
        <v>7</v>
      </c>
    </row>
    <row r="14" customFormat="false" ht="15" hidden="false" customHeight="false" outlineLevel="0" collapsed="false">
      <c r="A14" s="3" t="s">
        <v>237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238</v>
      </c>
      <c r="B15" s="27" t="n">
        <f aca="false">MAX(0,B12-B8)</f>
        <v>0</v>
      </c>
      <c r="C15" s="6" t="s">
        <v>239</v>
      </c>
    </row>
    <row r="16" customFormat="false" ht="15" hidden="false" customHeight="false" outlineLevel="0" collapsed="false">
      <c r="A16" s="3" t="s">
        <v>240</v>
      </c>
      <c r="B16" s="36" t="n">
        <f aca="false">B12/-Project_CF!$B$20</f>
        <v>0.980218576489825</v>
      </c>
      <c r="C16" s="6"/>
    </row>
    <row r="17" customFormat="false" ht="15" hidden="false" customHeight="false" outlineLevel="0" collapsed="false">
      <c r="A17" s="3" t="s">
        <v>241</v>
      </c>
      <c r="B17" s="36" t="n">
        <f aca="false">MIN(B12,B8)/B8</f>
        <v>0.889082807727952</v>
      </c>
      <c r="C17" s="6"/>
    </row>
    <row r="18" customFormat="false" ht="15" hidden="false" customHeight="false" outlineLevel="0" collapsed="false">
      <c r="A18" s="3" t="s">
        <v>242</v>
      </c>
      <c r="B18" s="27" t="n">
        <f aca="false">MAX(0,B12+Project_CF!$B$20)</f>
        <v>0</v>
      </c>
      <c r="C18" s="6" t="s">
        <v>239</v>
      </c>
    </row>
    <row r="20" customFormat="false" ht="15" hidden="false" customHeight="false" outlineLevel="0" collapsed="false">
      <c r="A20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244</v>
      </c>
    </row>
    <row r="2" customFormat="false" ht="15" hidden="false" customHeight="false" outlineLevel="0" collapsed="false">
      <c r="A2" s="6" t="s">
        <v>245</v>
      </c>
    </row>
    <row r="4" customFormat="false" ht="15" hidden="false" customHeight="false" outlineLevel="0" collapsed="false">
      <c r="A4" s="7" t="s">
        <v>246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247</v>
      </c>
      <c r="B5" s="27" t="n">
        <f aca="false">Inputs!$B$8*Inputs!$B$7</f>
        <v>200</v>
      </c>
      <c r="C5" s="26" t="s">
        <v>89</v>
      </c>
    </row>
    <row r="6" customFormat="false" ht="15" hidden="false" customHeight="false" outlineLevel="0" collapsed="false">
      <c r="A6" s="3" t="s">
        <v>248</v>
      </c>
      <c r="B6" s="36" t="n">
        <f aca="false">B5/Inputs!$B$55</f>
        <v>0.276004449191721</v>
      </c>
    </row>
    <row r="7" customFormat="false" ht="15" hidden="false" customHeight="false" outlineLevel="0" collapsed="false">
      <c r="A7" s="3" t="s">
        <v>249</v>
      </c>
      <c r="B7" s="27" t="n">
        <f aca="false">B5*Inputs!$B$32/Inputs!$B$55</f>
        <v>61.7283950617284</v>
      </c>
      <c r="C7" s="26" t="s">
        <v>89</v>
      </c>
    </row>
    <row r="8" customFormat="false" ht="15" hidden="false" customHeight="false" outlineLevel="0" collapsed="false">
      <c r="A8" s="3" t="s">
        <v>250</v>
      </c>
      <c r="B8" s="27" t="n">
        <f aca="false">B5*Inputs!$B$33/Inputs!$B$55</f>
        <v>138.271604938272</v>
      </c>
      <c r="C8" s="26" t="s">
        <v>89</v>
      </c>
    </row>
    <row r="9" customFormat="false" ht="15" hidden="false" customHeight="false" outlineLevel="0" collapsed="false">
      <c r="A9" s="3" t="s">
        <v>251</v>
      </c>
      <c r="B9" s="37" t="n">
        <f aca="false">B7*1000/Inputs!$B$28</f>
        <v>246.913580246914</v>
      </c>
      <c r="C9" s="26" t="s">
        <v>252</v>
      </c>
    </row>
    <row r="10" customFormat="false" ht="15" hidden="false" customHeight="false" outlineLevel="0" collapsed="false">
      <c r="A10" s="3" t="s">
        <v>253</v>
      </c>
      <c r="B10" s="37" t="n">
        <f aca="false">B8*1000/Inputs!$B$29</f>
        <v>864.197530864198</v>
      </c>
      <c r="C10" s="26" t="s">
        <v>252</v>
      </c>
    </row>
    <row r="11" customFormat="false" ht="15" hidden="false" customHeight="false" outlineLevel="0" collapsed="false">
      <c r="A11" s="3" t="s">
        <v>254</v>
      </c>
      <c r="B11" s="27" t="n">
        <f aca="false">B5*Inputs!$B$34</f>
        <v>296.296296296296</v>
      </c>
      <c r="C11" s="26" t="s">
        <v>89</v>
      </c>
    </row>
    <row r="12" customFormat="false" ht="15" hidden="false" customHeight="false" outlineLevel="0" collapsed="false">
      <c r="A12" s="3" t="s">
        <v>255</v>
      </c>
      <c r="B12" s="27" t="n">
        <f aca="false">Inputs!$B$19*B5</f>
        <v>70</v>
      </c>
      <c r="C12" s="26" t="s">
        <v>89</v>
      </c>
    </row>
    <row r="15" customFormat="false" ht="15" hidden="false" customHeight="false" outlineLevel="0" collapsed="false">
      <c r="A15" s="7" t="s">
        <v>256</v>
      </c>
      <c r="B15" s="7" t="s">
        <v>181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184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257</v>
      </c>
      <c r="B17" s="38" t="n">
        <f aca="false">SUM(D17:BK17)</f>
        <v>187.407407407407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-100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71.8518518518519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71.8518518518519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71.8518518518519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71.8518518518519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258</v>
      </c>
      <c r="B18" s="38" t="n">
        <f aca="false">SUM(D18:BK18)</f>
        <v>100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100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259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-5</v>
      </c>
      <c r="I19" s="33" t="n">
        <f aca="false">-$B$6*Source_Data!I$14</f>
        <v>-10</v>
      </c>
      <c r="J19" s="33" t="n">
        <f aca="false">-$B$6*Source_Data!J$14</f>
        <v>-7.5</v>
      </c>
      <c r="K19" s="33" t="n">
        <f aca="false">-$B$6*Source_Data!K$14</f>
        <v>-5.5</v>
      </c>
      <c r="L19" s="33" t="n">
        <f aca="false">-$B$6*Source_Data!L$14</f>
        <v>-5.5</v>
      </c>
      <c r="M19" s="33" t="n">
        <f aca="false">-$B$6*Source_Data!M$14</f>
        <v>-5.5</v>
      </c>
      <c r="N19" s="33" t="n">
        <f aca="false">-$B$6*Source_Data!N$14</f>
        <v>-5.5</v>
      </c>
      <c r="O19" s="33" t="n">
        <f aca="false">-$B$6*Source_Data!O$14</f>
        <v>-5.5</v>
      </c>
      <c r="P19" s="33" t="n">
        <f aca="false">-$B$6*Source_Data!P$14</f>
        <v>-5.5</v>
      </c>
      <c r="Q19" s="33" t="n">
        <f aca="false">-$B$6*Source_Data!Q$14</f>
        <v>-5.5</v>
      </c>
      <c r="R19" s="33" t="n">
        <f aca="false">-$B$6*Source_Data!R$14</f>
        <v>-45.5</v>
      </c>
      <c r="S19" s="33" t="n">
        <f aca="false">-$B$6*Source_Data!S$14</f>
        <v>-5.5</v>
      </c>
      <c r="T19" s="33" t="n">
        <f aca="false">-$B$6*Source_Data!T$14</f>
        <v>-5.5</v>
      </c>
      <c r="U19" s="33" t="n">
        <f aca="false">-$B$6*Source_Data!U$14</f>
        <v>-5.5</v>
      </c>
      <c r="V19" s="33" t="n">
        <f aca="false">-$B$6*Source_Data!V$14</f>
        <v>-5</v>
      </c>
      <c r="W19" s="33" t="n">
        <f aca="false">-$B$6*Source_Data!W$14</f>
        <v>-4.5</v>
      </c>
      <c r="X19" s="33" t="n">
        <f aca="false">-$B$6*Source_Data!X$14</f>
        <v>-4.5</v>
      </c>
      <c r="Y19" s="33" t="n">
        <f aca="false">-$B$6*Source_Data!Y$14</f>
        <v>-4.5</v>
      </c>
      <c r="Z19" s="33" t="n">
        <f aca="false">-$B$6*Source_Data!Z$14</f>
        <v>-4.5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-2</v>
      </c>
      <c r="AN19" s="33" t="n">
        <f aca="false">-$B$6*Source_Data!AN$14</f>
        <v>-2</v>
      </c>
      <c r="AO19" s="33" t="n">
        <f aca="false">-$B$6*Source_Data!AO$14</f>
        <v>-2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260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4</v>
      </c>
      <c r="M20" s="33" t="n">
        <f aca="false">$B$6*Source_Data!M$17*Inputs!$B$23</f>
        <v>4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261</v>
      </c>
      <c r="B21" s="38" t="n">
        <f aca="false">SUM(D21:BK21)</f>
        <v>-92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100</v>
      </c>
      <c r="H21" s="33" t="n">
        <f aca="false">H18+H19+H20</f>
        <v>-5</v>
      </c>
      <c r="I21" s="33" t="n">
        <f aca="false">I18+I19+I20</f>
        <v>-10</v>
      </c>
      <c r="J21" s="33" t="n">
        <f aca="false">J18+J19+J20</f>
        <v>-7.5</v>
      </c>
      <c r="K21" s="33" t="n">
        <f aca="false">K18+K19+K20</f>
        <v>-5.5</v>
      </c>
      <c r="L21" s="33" t="n">
        <f aca="false">L18+L19+L20</f>
        <v>-1.5</v>
      </c>
      <c r="M21" s="33" t="n">
        <f aca="false">M18+M19+M20</f>
        <v>-1.5</v>
      </c>
      <c r="N21" s="33" t="n">
        <f aca="false">N18+N19+N20</f>
        <v>-5.5</v>
      </c>
      <c r="O21" s="33" t="n">
        <f aca="false">O18+O19+O20</f>
        <v>-5.5</v>
      </c>
      <c r="P21" s="33" t="n">
        <f aca="false">P18+P19+P20</f>
        <v>-5.5</v>
      </c>
      <c r="Q21" s="33" t="n">
        <f aca="false">Q18+Q19+Q20</f>
        <v>-5.5</v>
      </c>
      <c r="R21" s="33" t="n">
        <f aca="false">R18+R19+R20</f>
        <v>-45.5</v>
      </c>
      <c r="S21" s="33" t="n">
        <f aca="false">S18+S19+S20</f>
        <v>-5.5</v>
      </c>
      <c r="T21" s="33" t="n">
        <f aca="false">T18+T19+T20</f>
        <v>-5.5</v>
      </c>
      <c r="U21" s="33" t="n">
        <f aca="false">U18+U19+U20</f>
        <v>-5.5</v>
      </c>
      <c r="V21" s="33" t="n">
        <f aca="false">V18+V19+V20</f>
        <v>-5</v>
      </c>
      <c r="W21" s="33" t="n">
        <f aca="false">W18+W19+W20</f>
        <v>-4.5</v>
      </c>
      <c r="X21" s="33" t="n">
        <f aca="false">X18+X19+X20</f>
        <v>-4.5</v>
      </c>
      <c r="Y21" s="33" t="n">
        <f aca="false">Y18+Y19+Y20</f>
        <v>-4.5</v>
      </c>
      <c r="Z21" s="33" t="n">
        <f aca="false">Z18+Z19+Z20</f>
        <v>-4.5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-2</v>
      </c>
      <c r="AN21" s="33" t="n">
        <f aca="false">AN18+AN19+AN20</f>
        <v>-2</v>
      </c>
      <c r="AO21" s="33" t="n">
        <f aca="false">AO18+AO19+AO20</f>
        <v>-2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262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100</v>
      </c>
      <c r="H22" s="33" t="n">
        <f aca="false">G22+H21</f>
        <v>95</v>
      </c>
      <c r="I22" s="33" t="n">
        <f aca="false">H22+I21</f>
        <v>85</v>
      </c>
      <c r="J22" s="33" t="n">
        <f aca="false">I22+J21</f>
        <v>77.5</v>
      </c>
      <c r="K22" s="33" t="n">
        <f aca="false">J22+K21</f>
        <v>72</v>
      </c>
      <c r="L22" s="33" t="n">
        <f aca="false">K22+L21</f>
        <v>70.5</v>
      </c>
      <c r="M22" s="33" t="n">
        <f aca="false">L22+M21</f>
        <v>69</v>
      </c>
      <c r="N22" s="33" t="n">
        <f aca="false">M22+N21</f>
        <v>63.5</v>
      </c>
      <c r="O22" s="33" t="n">
        <f aca="false">N22+O21</f>
        <v>58</v>
      </c>
      <c r="P22" s="33" t="n">
        <f aca="false">O22+P21</f>
        <v>52.5</v>
      </c>
      <c r="Q22" s="33" t="n">
        <f aca="false">P22+Q21</f>
        <v>47</v>
      </c>
      <c r="R22" s="33" t="n">
        <f aca="false">Q22+R21</f>
        <v>1.5</v>
      </c>
      <c r="S22" s="33" t="n">
        <f aca="false">R22+S21</f>
        <v>-4</v>
      </c>
      <c r="T22" s="33" t="n">
        <f aca="false">S22+T21</f>
        <v>-9.5</v>
      </c>
      <c r="U22" s="33" t="n">
        <f aca="false">T22+U21</f>
        <v>-15</v>
      </c>
      <c r="V22" s="33" t="n">
        <f aca="false">U22+V21</f>
        <v>-20</v>
      </c>
      <c r="W22" s="33" t="n">
        <f aca="false">V22+W21</f>
        <v>-24.5</v>
      </c>
      <c r="X22" s="33" t="n">
        <f aca="false">W22+X21</f>
        <v>-29</v>
      </c>
      <c r="Y22" s="33" t="n">
        <f aca="false">X22+Y21</f>
        <v>-33.5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-88</v>
      </c>
      <c r="AN22" s="33" t="n">
        <f aca="false">AM22+AN21</f>
        <v>-90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263</v>
      </c>
      <c r="B25" s="7" t="s">
        <v>13</v>
      </c>
      <c r="C25" s="7" t="s">
        <v>264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0.292473250549915</v>
      </c>
      <c r="C26" s="6" t="s">
        <v>265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60</v>
      </c>
      <c r="C28" s="6" t="s">
        <v>266</v>
      </c>
    </row>
    <row r="29" customFormat="false" ht="15" hidden="false" customHeight="false" outlineLevel="0" collapsed="false">
      <c r="A29" s="3" t="s">
        <v>267</v>
      </c>
      <c r="B29" s="39" t="n">
        <f aca="false">(1+IRR(D21:BK21,0.05))^4-1</f>
        <v>0.225573897725612</v>
      </c>
      <c r="C29" s="6" t="s">
        <v>268</v>
      </c>
    </row>
    <row r="30" customFormat="false" ht="15" hidden="false" customHeight="false" outlineLevel="0" collapsed="false">
      <c r="A30" s="3" t="s">
        <v>269</v>
      </c>
      <c r="B30" s="41" t="n">
        <f aca="false">SUMPRODUCT(D21:BK21,Project_CF!$D$15:$BK$15)</f>
        <v>-20.8025106753166</v>
      </c>
      <c r="C30" s="6"/>
    </row>
    <row r="31" customFormat="false" ht="15" hidden="false" customHeight="false" outlineLevel="0" collapsed="false">
      <c r="A31" s="3" t="s">
        <v>270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271</v>
      </c>
      <c r="B32" s="41" t="n">
        <f aca="false">Project_CF!$B$19+B30</f>
        <v>286.729860416213</v>
      </c>
      <c r="C32" s="6" t="s">
        <v>272</v>
      </c>
    </row>
    <row r="33" customFormat="false" ht="15" hidden="false" customHeight="false" outlineLevel="0" collapsed="false">
      <c r="A33" s="3" t="s">
        <v>273</v>
      </c>
      <c r="B33" s="41" t="n">
        <f aca="false">MIN(D38:BK38)</f>
        <v>-137.4419475</v>
      </c>
      <c r="C33" s="6" t="s">
        <v>274</v>
      </c>
    </row>
    <row r="35" customFormat="false" ht="15" hidden="false" customHeight="false" outlineLevel="0" collapsed="false">
      <c r="A35" s="3" t="s">
        <v>275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-100</v>
      </c>
      <c r="U35" s="33" t="n">
        <f aca="false">T35+U17</f>
        <v>-100</v>
      </c>
      <c r="V35" s="33" t="n">
        <f aca="false">U35+V17</f>
        <v>-28.1481481481482</v>
      </c>
      <c r="W35" s="33" t="n">
        <f aca="false">V35+W17</f>
        <v>43.7037037037037</v>
      </c>
      <c r="X35" s="33" t="n">
        <f aca="false">W35+X17</f>
        <v>115.555555555556</v>
      </c>
      <c r="Y35" s="33" t="n">
        <f aca="false">X35+Y17</f>
        <v>187.407407407407</v>
      </c>
      <c r="Z35" s="33" t="n">
        <f aca="false">Y35+Z17</f>
        <v>187.407407407407</v>
      </c>
      <c r="AA35" s="33" t="n">
        <f aca="false">Z35+AA17</f>
        <v>187.407407407407</v>
      </c>
      <c r="AB35" s="33" t="n">
        <f aca="false">AA35+AB17</f>
        <v>187.407407407407</v>
      </c>
      <c r="AC35" s="33" t="n">
        <f aca="false">AB35+AC17</f>
        <v>187.407407407407</v>
      </c>
      <c r="AD35" s="33" t="n">
        <f aca="false">AC35+AD17</f>
        <v>187.407407407407</v>
      </c>
      <c r="AE35" s="33" t="n">
        <f aca="false">AD35+AE17</f>
        <v>187.407407407407</v>
      </c>
      <c r="AF35" s="33" t="n">
        <f aca="false">AE35+AF17</f>
        <v>187.407407407407</v>
      </c>
      <c r="AG35" s="33" t="n">
        <f aca="false">AF35+AG17</f>
        <v>187.407407407407</v>
      </c>
      <c r="AH35" s="33" t="n">
        <f aca="false">AG35+AH17</f>
        <v>187.407407407407</v>
      </c>
      <c r="AI35" s="33" t="n">
        <f aca="false">AH35+AI17</f>
        <v>187.407407407407</v>
      </c>
      <c r="AJ35" s="33" t="n">
        <f aca="false">AI35+AJ17</f>
        <v>187.407407407407</v>
      </c>
      <c r="AK35" s="33" t="n">
        <f aca="false">AJ35+AK17</f>
        <v>187.407407407407</v>
      </c>
      <c r="AL35" s="33" t="n">
        <f aca="false">AK35+AL17</f>
        <v>187.407407407407</v>
      </c>
      <c r="AM35" s="33" t="n">
        <f aca="false">AL35+AM17</f>
        <v>187.407407407407</v>
      </c>
      <c r="AN35" s="33" t="n">
        <f aca="false">AM35+AN17</f>
        <v>187.407407407407</v>
      </c>
      <c r="AO35" s="33" t="n">
        <f aca="false">AN35+AO17</f>
        <v>187.407407407407</v>
      </c>
      <c r="AP35" s="33" t="n">
        <f aca="false">AO35+AP17</f>
        <v>187.407407407407</v>
      </c>
      <c r="AQ35" s="33" t="n">
        <f aca="false">AP35+AQ17</f>
        <v>187.407407407407</v>
      </c>
      <c r="AR35" s="33" t="n">
        <f aca="false">AQ35+AR17</f>
        <v>187.407407407407</v>
      </c>
      <c r="AS35" s="33" t="n">
        <f aca="false">AR35+AS17</f>
        <v>187.407407407407</v>
      </c>
      <c r="AT35" s="33" t="n">
        <f aca="false">AS35+AT17</f>
        <v>187.407407407407</v>
      </c>
      <c r="AU35" s="33" t="n">
        <f aca="false">AT35+AU17</f>
        <v>187.407407407407</v>
      </c>
      <c r="AV35" s="33" t="n">
        <f aca="false">AU35+AV17</f>
        <v>187.407407407407</v>
      </c>
      <c r="AW35" s="33" t="n">
        <f aca="false">AV35+AW17</f>
        <v>187.407407407407</v>
      </c>
      <c r="AX35" s="33" t="n">
        <f aca="false">AW35+AX17</f>
        <v>187.407407407407</v>
      </c>
      <c r="AY35" s="33" t="n">
        <f aca="false">AX35+AY17</f>
        <v>187.407407407407</v>
      </c>
      <c r="AZ35" s="33" t="n">
        <f aca="false">AY35+AZ17</f>
        <v>187.407407407407</v>
      </c>
      <c r="BA35" s="33" t="n">
        <f aca="false">AZ35+BA17</f>
        <v>187.407407407407</v>
      </c>
      <c r="BB35" s="33" t="n">
        <f aca="false">BA35+BB17</f>
        <v>187.407407407407</v>
      </c>
      <c r="BC35" s="33" t="n">
        <f aca="false">BB35+BC17</f>
        <v>187.407407407407</v>
      </c>
      <c r="BD35" s="33" t="n">
        <f aca="false">BC35+BD17</f>
        <v>187.407407407407</v>
      </c>
      <c r="BE35" s="33" t="n">
        <f aca="false">BD35+BE17</f>
        <v>187.407407407407</v>
      </c>
      <c r="BF35" s="33" t="n">
        <f aca="false">BE35+BF17</f>
        <v>187.407407407407</v>
      </c>
      <c r="BG35" s="33" t="n">
        <f aca="false">BF35+BG17</f>
        <v>187.407407407407</v>
      </c>
      <c r="BH35" s="33" t="n">
        <f aca="false">BG35+BH17</f>
        <v>187.407407407407</v>
      </c>
      <c r="BI35" s="33" t="n">
        <f aca="false">BH35+BI17</f>
        <v>187.407407407407</v>
      </c>
      <c r="BJ35" s="33" t="n">
        <f aca="false">BI35+BJ17</f>
        <v>187.407407407407</v>
      </c>
      <c r="BK35" s="33" t="n">
        <f aca="false">BJ35+BK17</f>
        <v>187.407407407407</v>
      </c>
    </row>
    <row r="36" customFormat="false" ht="15" hidden="false" customHeight="false" outlineLevel="0" collapsed="false">
      <c r="A36" s="3" t="s">
        <v>276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277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278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-94.38435</v>
      </c>
      <c r="I38" s="33" t="n">
        <f aca="false">Project_CF!I14+I22-I37</f>
        <v>-90.65305</v>
      </c>
      <c r="J38" s="33" t="n">
        <f aca="false">Project_CF!J14+J22-J37</f>
        <v>-85.392225</v>
      </c>
      <c r="K38" s="33" t="n">
        <f aca="false">Project_CF!K14+K22-K37</f>
        <v>-74.733835</v>
      </c>
      <c r="L38" s="33" t="n">
        <f aca="false">Project_CF!L14+L22-L37</f>
        <v>-114.63881</v>
      </c>
      <c r="M38" s="33" t="n">
        <f aca="false">Project_CF!M14+M22-M37</f>
        <v>-133.0180625</v>
      </c>
      <c r="N38" s="33" t="n">
        <f aca="false">Project_CF!N14+N22-N37</f>
        <v>-137.4419475</v>
      </c>
      <c r="O38" s="33" t="n">
        <f aca="false">Project_CF!O14+O22-O37</f>
        <v>-119.8959475</v>
      </c>
      <c r="P38" s="33" t="n">
        <f aca="false">Project_CF!P14+P22-P37</f>
        <v>-80.39763125</v>
      </c>
      <c r="Q38" s="33" t="n">
        <f aca="false">Project_CF!Q14+Q22-Q37</f>
        <v>-30.71764875</v>
      </c>
      <c r="R38" s="33" t="n">
        <f aca="false">Project_CF!R14+R22-R37</f>
        <v>405.07835875</v>
      </c>
      <c r="S38" s="33" t="n">
        <f aca="false">Project_CF!S14+S22-S37</f>
        <v>369.42409125</v>
      </c>
      <c r="T38" s="33" t="n">
        <f aca="false">Project_CF!T14+T22-T37</f>
        <v>234.69036375</v>
      </c>
      <c r="U38" s="33" t="n">
        <f aca="false">Project_CF!U14+U22-U37</f>
        <v>130.74703625</v>
      </c>
      <c r="V38" s="33" t="n">
        <f aca="false">Project_CF!V14+V22-V37</f>
        <v>162.54702375</v>
      </c>
      <c r="W38" s="33" t="n">
        <f aca="false">Project_CF!W14+W22-W37</f>
        <v>193.03544625</v>
      </c>
      <c r="X38" s="33" t="n">
        <f aca="false">Project_CF!X14+X22-X37</f>
        <v>243.314908125</v>
      </c>
      <c r="Y38" s="33" t="n">
        <f aca="false">Project_CF!Y14+Y22-Y37</f>
        <v>286.468321875</v>
      </c>
      <c r="Z38" s="33" t="n">
        <f aca="false">Project_CF!Z14+Z22-Z37</f>
        <v>320.806198125</v>
      </c>
      <c r="AA38" s="33" t="n">
        <f aca="false">Project_CF!AA14+AA22-AA37</f>
        <v>345.352446875</v>
      </c>
      <c r="AB38" s="33" t="n">
        <f aca="false">Project_CF!AB14+AB22-AB37</f>
        <v>392.398695625</v>
      </c>
      <c r="AC38" s="33" t="n">
        <f aca="false">Project_CF!AC14+AC22-AC37</f>
        <v>439.444944375</v>
      </c>
      <c r="AD38" s="33" t="n">
        <f aca="false">Project_CF!AD14+AD22-AD37</f>
        <v>486.491193125</v>
      </c>
      <c r="AE38" s="33" t="n">
        <f aca="false">Project_CF!AE14+AE22-AE37</f>
        <v>533.537441875</v>
      </c>
      <c r="AF38" s="33" t="n">
        <f aca="false">Project_CF!AF14+AF22-AF37</f>
        <v>332.2772134375</v>
      </c>
      <c r="AG38" s="33" t="n">
        <f aca="false">Project_CF!AG14+AG22-AG37</f>
        <v>348.98650453125</v>
      </c>
      <c r="AH38" s="33" t="n">
        <f aca="false">Project_CF!AH14+AH22-AH37</f>
        <v>363.52569171875</v>
      </c>
      <c r="AI38" s="33" t="n">
        <f aca="false">Project_CF!AI14+AI22-AI37</f>
        <v>375.894775</v>
      </c>
      <c r="AJ38" s="33" t="n">
        <f aca="false">Project_CF!AJ14+AJ22-AJ37</f>
        <v>384.76653140625</v>
      </c>
      <c r="AK38" s="33" t="n">
        <f aca="false">Project_CF!AK14+AK22-AK37</f>
        <v>391.6128575</v>
      </c>
      <c r="AL38" s="33" t="n">
        <f aca="false">Project_CF!AL14+AL22-AL37</f>
        <v>397.064865625</v>
      </c>
      <c r="AM38" s="33" t="n">
        <f aca="false">Project_CF!AM14+AM22-AM37</f>
        <v>399.140886875</v>
      </c>
      <c r="AN38" s="33" t="n">
        <f aca="false">Project_CF!AN14+AN22-AN37</f>
        <v>401.216908125</v>
      </c>
      <c r="AO38" s="33" t="n">
        <f aca="false">Project_CF!AO14+AO22-AO37</f>
        <v>403.292929375</v>
      </c>
      <c r="AP38" s="33" t="n">
        <f aca="false">Project_CF!AP14+AP22-AP37</f>
        <v>403.292929375</v>
      </c>
      <c r="AQ38" s="33" t="n">
        <f aca="false">Project_CF!AQ14+AQ22-AQ37</f>
        <v>403.292929375</v>
      </c>
      <c r="AR38" s="33" t="n">
        <f aca="false">Project_CF!AR14+AR22-AR37</f>
        <v>403.292929375</v>
      </c>
      <c r="AS38" s="33" t="n">
        <f aca="false">Project_CF!AS14+AS22-AS37</f>
        <v>403.292929375</v>
      </c>
      <c r="AT38" s="33" t="n">
        <f aca="false">Project_CF!AT14+AT22-AT37</f>
        <v>403.292929375</v>
      </c>
      <c r="AU38" s="33" t="n">
        <f aca="false">Project_CF!AU14+AU22-AU37</f>
        <v>403.292929375</v>
      </c>
      <c r="AV38" s="33" t="n">
        <f aca="false">Project_CF!AV14+AV22-AV37</f>
        <v>403.292929375</v>
      </c>
      <c r="AW38" s="33" t="n">
        <f aca="false">Project_CF!AW14+AW22-AW37</f>
        <v>403.292929375</v>
      </c>
      <c r="AX38" s="33" t="n">
        <f aca="false">Project_CF!AX14+AX22-AX37</f>
        <v>403.292929375</v>
      </c>
      <c r="AY38" s="33" t="n">
        <f aca="false">Project_CF!AY14+AY22-AY37</f>
        <v>403.292929375</v>
      </c>
      <c r="AZ38" s="33" t="n">
        <f aca="false">Project_CF!AZ14+AZ22-AZ37</f>
        <v>403.292929375</v>
      </c>
      <c r="BA38" s="33" t="n">
        <f aca="false">Project_CF!BA14+BA22-BA37</f>
        <v>403.292929375</v>
      </c>
      <c r="BB38" s="33" t="n">
        <f aca="false">Project_CF!BB14+BB22-BB37</f>
        <v>403.292929375</v>
      </c>
      <c r="BC38" s="33" t="n">
        <f aca="false">Project_CF!BC14+BC22-BC37</f>
        <v>403.292929375</v>
      </c>
      <c r="BD38" s="33" t="n">
        <f aca="false">Project_CF!BD14+BD22-BD37</f>
        <v>403.292929375</v>
      </c>
      <c r="BE38" s="33" t="n">
        <f aca="false">Project_CF!BE14+BE22-BE37</f>
        <v>403.292929375</v>
      </c>
      <c r="BF38" s="33" t="n">
        <f aca="false">Project_CF!BF14+BF22-BF37</f>
        <v>403.292929375</v>
      </c>
      <c r="BG38" s="33" t="n">
        <f aca="false">Project_CF!BG14+BG22-BG37</f>
        <v>403.292929375</v>
      </c>
      <c r="BH38" s="33" t="n">
        <f aca="false">Project_CF!BH14+BH22-BH37</f>
        <v>403.292929375</v>
      </c>
      <c r="BI38" s="33" t="n">
        <f aca="false">Project_CF!BI14+BI22-BI37</f>
        <v>403.292929375</v>
      </c>
      <c r="BJ38" s="33" t="n">
        <f aca="false">Project_CF!BJ14+BJ22-BJ37</f>
        <v>403.292929375</v>
      </c>
      <c r="BK38" s="33" t="n">
        <f aca="false">Project_CF!BK14+BK22-BK37</f>
        <v>403.292929375</v>
      </c>
    </row>
    <row r="40" customFormat="false" ht="23.85" hidden="false" customHeight="false" outlineLevel="0" collapsed="false">
      <c r="A40" s="7" t="s">
        <v>279</v>
      </c>
      <c r="B40" s="7" t="s">
        <v>280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281</v>
      </c>
      <c r="B47" s="7" t="s">
        <v>280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-100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53.8888888888889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53.8888888888889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53.8888888888889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53.8888888888889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-100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62.8703703703704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62.8703703703704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62.8703703703704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62.8703703703704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282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-100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71.8518518518519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71.8518518518519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71.8518518518519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71.8518518518519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283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-100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80.8333333333333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80.8333333333333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80.8333333333333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80.8333333333333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284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-100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89.8148148148148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89.8148148148148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89.8148148148148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89.8148148148148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285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-100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194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286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-100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174.6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287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-100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155.2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288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-100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135.8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289</v>
      </c>
    </row>
    <row r="2" customFormat="false" ht="15" hidden="false" customHeight="false" outlineLevel="0" collapsed="false">
      <c r="A2" s="6" t="s">
        <v>290</v>
      </c>
    </row>
    <row r="4" customFormat="false" ht="15" hidden="false" customHeight="false" outlineLevel="0" collapsed="false">
      <c r="A4" s="7" t="s">
        <v>256</v>
      </c>
      <c r="B4" s="7" t="s">
        <v>181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291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292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293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294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19.1666666666667</v>
      </c>
      <c r="Z9" s="33" t="n">
        <f aca="false">Z6*(Inputs!$B$9*Inputs!$B$7/Inputs!$B$11)</f>
        <v>19.1666666666667</v>
      </c>
      <c r="AA9" s="33" t="n">
        <f aca="false">AA6*(Inputs!$B$9*Inputs!$B$7/Inputs!$B$11)</f>
        <v>19.1666666666667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295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22.7175686057456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24.6186895413159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28.75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28.75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22.1940715365306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17.6093393093001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17.2522592031408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16.8951790969815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15.2326626150639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13.8280373209281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12.0903944174986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10.0617973534948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296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15</v>
      </c>
      <c r="Z11" s="33" t="n">
        <f aca="false">Z6*Inputs!$B$40*Inputs!$B$7/Inputs!$B$11</f>
        <v>15</v>
      </c>
      <c r="AA11" s="33" t="n">
        <f aca="false">AA6*Inputs!$B$40*Inputs!$B$7/Inputs!$B$11</f>
        <v>15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297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3.33124498675615</v>
      </c>
      <c r="Q12" s="33" t="n">
        <f aca="false">IF(Q6=1,MAX(0,MIN(Inputs!$B$42*Q8,Inputs!$B$41*Inputs!$B$7-Inputs!$B$40*Inputs!$B$7-SUM($D$12:P12))),0)</f>
        <v>3.61002040043462</v>
      </c>
      <c r="R12" s="33" t="n">
        <f aca="false">IF(R6=1,MAX(0,MIN(Inputs!$B$42*R8,Inputs!$B$41*Inputs!$B$7-Inputs!$B$40*Inputs!$B$7-SUM($D$12:Q12))),0)</f>
        <v>19.7439791244351</v>
      </c>
      <c r="S12" s="33" t="n">
        <f aca="false">IF(S6=1,MAX(0,MIN(Inputs!$B$42*S8,Inputs!$B$41*Inputs!$B$7-Inputs!$B$40*Inputs!$B$7-SUM($D$12:R12))),0)</f>
        <v>4.96107110092855</v>
      </c>
      <c r="T12" s="33" t="n">
        <f aca="false">IF(T6=1,MAX(0,MIN(Inputs!$B$42*T8,Inputs!$B$41*Inputs!$B$7-Inputs!$B$40*Inputs!$B$7-SUM($D$12:S12))),0)</f>
        <v>3.2544807424099</v>
      </c>
      <c r="U12" s="33" t="n">
        <f aca="false">IF(U6=1,MAX(0,MIN(Inputs!$B$42*U8,Inputs!$B$41*Inputs!$B$7-Inputs!$B$40*Inputs!$B$7-SUM($D$12:T12))),0)</f>
        <v>2.58218757087225</v>
      </c>
      <c r="V12" s="33" t="n">
        <f aca="false">IF(V6=1,MAX(0,MIN(Inputs!$B$42*V8,Inputs!$B$41*Inputs!$B$7-Inputs!$B$40*Inputs!$B$7-SUM($D$12:U12))),0)</f>
        <v>2.52982627578134</v>
      </c>
      <c r="W12" s="33" t="n">
        <f aca="false">IF(W6=1,MAX(0,MIN(Inputs!$B$42*W8,Inputs!$B$41*Inputs!$B$7-Inputs!$B$40*Inputs!$B$7-SUM($D$12:V12))),0)</f>
        <v>2.47746498069042</v>
      </c>
      <c r="X12" s="33" t="n">
        <f aca="false">IF(X6=1,MAX(0,MIN(Inputs!$B$42*X8,Inputs!$B$41*Inputs!$B$7-Inputs!$B$40*Inputs!$B$7-SUM($D$12:W12))),0)</f>
        <v>2.23367790154029</v>
      </c>
      <c r="Y12" s="33" t="n">
        <f aca="false">IF(Y6=1,MAX(0,MIN(Inputs!$B$42*Y8,Inputs!$B$41*Inputs!$B$7-Inputs!$B$40*Inputs!$B$7-SUM($D$12:X12))),0)</f>
        <v>2.02770731328916</v>
      </c>
      <c r="Z12" s="33" t="n">
        <f aca="false">IF(Z6=1,MAX(0,MIN(Inputs!$B$42*Z8,Inputs!$B$41*Inputs!$B$7-Inputs!$B$40*Inputs!$B$7-SUM($D$12:Y12))),0)</f>
        <v>1.77290389170477</v>
      </c>
      <c r="AA12" s="33" t="n">
        <f aca="false">IF(AA6=1,MAX(0,MIN(Inputs!$B$42*AA8,Inputs!$B$41*Inputs!$B$7-Inputs!$B$40*Inputs!$B$7-SUM($D$12:Z12))),0)</f>
        <v>1.47543571115743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298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18.3312449867561</v>
      </c>
      <c r="Q13" s="33" t="n">
        <f aca="false">Q11+Q12</f>
        <v>18.6100204004346</v>
      </c>
      <c r="R13" s="33" t="n">
        <f aca="false">R11+R12</f>
        <v>34.7439791244351</v>
      </c>
      <c r="S13" s="33" t="n">
        <f aca="false">S11+S12</f>
        <v>19.9610711009285</v>
      </c>
      <c r="T13" s="33" t="n">
        <f aca="false">T11+T12</f>
        <v>18.2544807424099</v>
      </c>
      <c r="U13" s="33" t="n">
        <f aca="false">U11+U12</f>
        <v>17.5821875708723</v>
      </c>
      <c r="V13" s="33" t="n">
        <f aca="false">V11+V12</f>
        <v>17.5298262757813</v>
      </c>
      <c r="W13" s="33" t="n">
        <f aca="false">W11+W12</f>
        <v>17.4774649806904</v>
      </c>
      <c r="X13" s="33" t="n">
        <f aca="false">X11+X12</f>
        <v>17.2336779015403</v>
      </c>
      <c r="Y13" s="33" t="n">
        <f aca="false">Y11+Y12</f>
        <v>17.0277073132892</v>
      </c>
      <c r="Z13" s="33" t="n">
        <f aca="false">Z11+Z12</f>
        <v>16.7729038917048</v>
      </c>
      <c r="AA13" s="33" t="n">
        <f aca="false">AA11+AA12</f>
        <v>16.4754357111574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299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-100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19.1666666666667</v>
      </c>
      <c r="Z14" s="33" t="n">
        <f aca="false">-IF(Source_Data!Z$6=Inputs!$B$12,Inputs!$B$7,0)+Z9</f>
        <v>19.1666666666667</v>
      </c>
      <c r="AA14" s="33" t="n">
        <f aca="false">-IF(Source_Data!AA$6=Inputs!$B$12,Inputs!$B$7,0)+AA9</f>
        <v>19.1666666666667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300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-100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22.7175686057456</v>
      </c>
      <c r="Q15" s="33" t="n">
        <f aca="false">-IF(Source_Data!Q$6=Inputs!$B$12,Inputs!$B$7,0)+Q10</f>
        <v>24.6186895413159</v>
      </c>
      <c r="R15" s="33" t="n">
        <f aca="false">-IF(Source_Data!R$6=Inputs!$B$12,Inputs!$B$7,0)+R10</f>
        <v>28.75</v>
      </c>
      <c r="S15" s="33" t="n">
        <f aca="false">-IF(Source_Data!S$6=Inputs!$B$12,Inputs!$B$7,0)+S10</f>
        <v>28.75</v>
      </c>
      <c r="T15" s="33" t="n">
        <f aca="false">-IF(Source_Data!T$6=Inputs!$B$12,Inputs!$B$7,0)+T10</f>
        <v>22.1940715365306</v>
      </c>
      <c r="U15" s="33" t="n">
        <f aca="false">-IF(Source_Data!U$6=Inputs!$B$12,Inputs!$B$7,0)+U10</f>
        <v>17.6093393093001</v>
      </c>
      <c r="V15" s="33" t="n">
        <f aca="false">-IF(Source_Data!V$6=Inputs!$B$12,Inputs!$B$7,0)+V10</f>
        <v>17.2522592031408</v>
      </c>
      <c r="W15" s="33" t="n">
        <f aca="false">-IF(Source_Data!W$6=Inputs!$B$12,Inputs!$B$7,0)+W10</f>
        <v>16.8951790969815</v>
      </c>
      <c r="X15" s="33" t="n">
        <f aca="false">-IF(Source_Data!X$6=Inputs!$B$12,Inputs!$B$7,0)+X10</f>
        <v>15.2326626150639</v>
      </c>
      <c r="Y15" s="33" t="n">
        <f aca="false">-IF(Source_Data!Y$6=Inputs!$B$12,Inputs!$B$7,0)+Y10</f>
        <v>13.8280373209281</v>
      </c>
      <c r="Z15" s="33" t="n">
        <f aca="false">-IF(Source_Data!Z$6=Inputs!$B$12,Inputs!$B$7,0)+Z10</f>
        <v>12.0903944174986</v>
      </c>
      <c r="AA15" s="33" t="n">
        <f aca="false">-IF(Source_Data!AA$6=Inputs!$B$12,Inputs!$B$7,0)+AA10</f>
        <v>10.0617973534948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301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-100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18.3312449867561</v>
      </c>
      <c r="Q16" s="33" t="n">
        <f aca="false">-IF(Source_Data!Q$6=Inputs!$B$12,Inputs!$B$7,0)+Q13</f>
        <v>18.6100204004346</v>
      </c>
      <c r="R16" s="33" t="n">
        <f aca="false">-IF(Source_Data!R$6=Inputs!$B$12,Inputs!$B$7,0)+R13</f>
        <v>34.7439791244351</v>
      </c>
      <c r="S16" s="33" t="n">
        <f aca="false">-IF(Source_Data!S$6=Inputs!$B$12,Inputs!$B$7,0)+S13</f>
        <v>19.9610711009285</v>
      </c>
      <c r="T16" s="33" t="n">
        <f aca="false">-IF(Source_Data!T$6=Inputs!$B$12,Inputs!$B$7,0)+T13</f>
        <v>18.2544807424099</v>
      </c>
      <c r="U16" s="33" t="n">
        <f aca="false">-IF(Source_Data!U$6=Inputs!$B$12,Inputs!$B$7,0)+U13</f>
        <v>17.5821875708723</v>
      </c>
      <c r="V16" s="33" t="n">
        <f aca="false">-IF(Source_Data!V$6=Inputs!$B$12,Inputs!$B$7,0)+V13</f>
        <v>17.5298262757813</v>
      </c>
      <c r="W16" s="33" t="n">
        <f aca="false">-IF(Source_Data!W$6=Inputs!$B$12,Inputs!$B$7,0)+W13</f>
        <v>17.4774649806904</v>
      </c>
      <c r="X16" s="33" t="n">
        <f aca="false">-IF(Source_Data!X$6=Inputs!$B$12,Inputs!$B$7,0)+X13</f>
        <v>17.2336779015403</v>
      </c>
      <c r="Y16" s="33" t="n">
        <f aca="false">-IF(Source_Data!Y$6=Inputs!$B$12,Inputs!$B$7,0)+Y13</f>
        <v>17.0277073132892</v>
      </c>
      <c r="Z16" s="33" t="n">
        <f aca="false">-IF(Source_Data!Z$6=Inputs!$B$12,Inputs!$B$7,0)+Z13</f>
        <v>16.7729038917048</v>
      </c>
      <c r="AA16" s="33" t="n">
        <f aca="false">-IF(Source_Data!AA$6=Inputs!$B$12,Inputs!$B$7,0)+AA13</f>
        <v>16.4754357111574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302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100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-19.1666666666667</v>
      </c>
      <c r="Z17" s="33" t="n">
        <f aca="false">IF(Source_Data!Z$6=Inputs!$B$12,Inputs!$B$7,0)-Z9</f>
        <v>-19.1666666666667</v>
      </c>
      <c r="AA17" s="33" t="n">
        <f aca="false">IF(Source_Data!AA$6=Inputs!$B$12,Inputs!$B$7,0)-AA9</f>
        <v>-19.1666666666667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303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100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-22.7175686057456</v>
      </c>
      <c r="Q18" s="33" t="n">
        <f aca="false">IF(Source_Data!Q$6=Inputs!$B$12,Inputs!$B$7,0)-Q10</f>
        <v>-24.6186895413159</v>
      </c>
      <c r="R18" s="33" t="n">
        <f aca="false">IF(Source_Data!R$6=Inputs!$B$12,Inputs!$B$7,0)-R10</f>
        <v>-28.75</v>
      </c>
      <c r="S18" s="33" t="n">
        <f aca="false">IF(Source_Data!S$6=Inputs!$B$12,Inputs!$B$7,0)-S10</f>
        <v>-28.75</v>
      </c>
      <c r="T18" s="33" t="n">
        <f aca="false">IF(Source_Data!T$6=Inputs!$B$12,Inputs!$B$7,0)-T10</f>
        <v>-22.1940715365306</v>
      </c>
      <c r="U18" s="33" t="n">
        <f aca="false">IF(Source_Data!U$6=Inputs!$B$12,Inputs!$B$7,0)-U10</f>
        <v>-17.6093393093001</v>
      </c>
      <c r="V18" s="33" t="n">
        <f aca="false">IF(Source_Data!V$6=Inputs!$B$12,Inputs!$B$7,0)-V10</f>
        <v>-17.2522592031408</v>
      </c>
      <c r="W18" s="33" t="n">
        <f aca="false">IF(Source_Data!W$6=Inputs!$B$12,Inputs!$B$7,0)-W10</f>
        <v>-16.8951790969815</v>
      </c>
      <c r="X18" s="33" t="n">
        <f aca="false">IF(Source_Data!X$6=Inputs!$B$12,Inputs!$B$7,0)-X10</f>
        <v>-15.2326626150639</v>
      </c>
      <c r="Y18" s="33" t="n">
        <f aca="false">IF(Source_Data!Y$6=Inputs!$B$12,Inputs!$B$7,0)-Y10</f>
        <v>-13.8280373209281</v>
      </c>
      <c r="Z18" s="33" t="n">
        <f aca="false">IF(Source_Data!Z$6=Inputs!$B$12,Inputs!$B$7,0)-Z10</f>
        <v>-12.0903944174986</v>
      </c>
      <c r="AA18" s="33" t="n">
        <f aca="false">IF(Source_Data!AA$6=Inputs!$B$12,Inputs!$B$7,0)-AA10</f>
        <v>-10.0617973534948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304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100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-18.3312449867561</v>
      </c>
      <c r="Q19" s="33" t="n">
        <f aca="false">IF(Source_Data!Q$6=Inputs!$B$12,Inputs!$B$7,0)-Q13</f>
        <v>-18.6100204004346</v>
      </c>
      <c r="R19" s="33" t="n">
        <f aca="false">IF(Source_Data!R$6=Inputs!$B$12,Inputs!$B$7,0)-R13</f>
        <v>-34.7439791244351</v>
      </c>
      <c r="S19" s="33" t="n">
        <f aca="false">IF(Source_Data!S$6=Inputs!$B$12,Inputs!$B$7,0)-S13</f>
        <v>-19.9610711009285</v>
      </c>
      <c r="T19" s="33" t="n">
        <f aca="false">IF(Source_Data!T$6=Inputs!$B$12,Inputs!$B$7,0)-T13</f>
        <v>-18.2544807424099</v>
      </c>
      <c r="U19" s="33" t="n">
        <f aca="false">IF(Source_Data!U$6=Inputs!$B$12,Inputs!$B$7,0)-U13</f>
        <v>-17.5821875708723</v>
      </c>
      <c r="V19" s="33" t="n">
        <f aca="false">IF(Source_Data!V$6=Inputs!$B$12,Inputs!$B$7,0)-V13</f>
        <v>-17.5298262757813</v>
      </c>
      <c r="W19" s="33" t="n">
        <f aca="false">IF(Source_Data!W$6=Inputs!$B$12,Inputs!$B$7,0)-W13</f>
        <v>-17.4774649806904</v>
      </c>
      <c r="X19" s="33" t="n">
        <f aca="false">IF(Source_Data!X$6=Inputs!$B$12,Inputs!$B$7,0)-X13</f>
        <v>-17.2336779015403</v>
      </c>
      <c r="Y19" s="33" t="n">
        <f aca="false">IF(Source_Data!Y$6=Inputs!$B$12,Inputs!$B$7,0)-Y13</f>
        <v>-17.0277073132892</v>
      </c>
      <c r="Z19" s="33" t="n">
        <f aca="false">IF(Source_Data!Z$6=Inputs!$B$12,Inputs!$B$7,0)-Z13</f>
        <v>-16.7729038917048</v>
      </c>
      <c r="AA19" s="33" t="n">
        <f aca="false">IF(Source_Data!AA$6=Inputs!$B$12,Inputs!$B$7,0)-AA13</f>
        <v>-16.4754357111574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305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15</v>
      </c>
      <c r="H20" s="33" t="n">
        <f aca="false">G20+IF(Source_Data!H$6=Inputs!$B$12,Inputs!$B$7,0)+H7-H9</f>
        <v>10.61565</v>
      </c>
      <c r="I20" s="33" t="n">
        <f aca="false">H20+IF(Source_Data!I$6=Inputs!$B$12,Inputs!$B$7,0)+I7-I9</f>
        <v>24.34695</v>
      </c>
      <c r="J20" s="33" t="n">
        <f aca="false">I20+IF(Source_Data!J$6=Inputs!$B$12,Inputs!$B$7,0)+J7-J9</f>
        <v>37.107775</v>
      </c>
      <c r="K20" s="33" t="n">
        <f aca="false">J20+IF(Source_Data!K$6=Inputs!$B$12,Inputs!$B$7,0)+K7-K9</f>
        <v>53.266165</v>
      </c>
      <c r="L20" s="33" t="n">
        <f aca="false">K20+IF(Source_Data!L$6=Inputs!$B$12,Inputs!$B$7,0)+L7-L9</f>
        <v>14.86119</v>
      </c>
      <c r="M20" s="33" t="n">
        <f aca="false">L20+IF(Source_Data!M$6=Inputs!$B$12,Inputs!$B$7,0)+M7-M9</f>
        <v>-2.01806250000001</v>
      </c>
      <c r="N20" s="33" t="n">
        <f aca="false">M20+IF(Source_Data!N$6=Inputs!$B$12,Inputs!$B$7,0)+N7-N9</f>
        <v>-0.9419475</v>
      </c>
      <c r="O20" s="33" t="n">
        <f aca="false">N20+IF(Source_Data!O$6=Inputs!$B$12,Inputs!$B$7,0)+O7-O9</f>
        <v>22.1040525</v>
      </c>
      <c r="P20" s="33" t="n">
        <f aca="false">O20+IF(Source_Data!P$6=Inputs!$B$12,Inputs!$B$7,0)+P7-P9</f>
        <v>47.9357020833334</v>
      </c>
      <c r="Q20" s="33" t="n">
        <f aca="false">P20+IF(Source_Data!Q$6=Inputs!$B$12,Inputs!$B$7,0)+Q7-Q9</f>
        <v>83.9490179166667</v>
      </c>
      <c r="R20" s="33" t="n">
        <f aca="false">Q20+IF(Source_Data!R$6=Inputs!$B$12,Inputs!$B$7,0)+R7-R9</f>
        <v>546.07835875</v>
      </c>
      <c r="S20" s="33" t="n">
        <f aca="false">R20+IF(Source_Data!S$6=Inputs!$B$12,Inputs!$B$7,0)+S7-S9</f>
        <v>496.757424583333</v>
      </c>
      <c r="T20" s="33" t="n">
        <f aca="false">S20+IF(Source_Data!T$6=Inputs!$B$12,Inputs!$B$7,0)+T7-T9</f>
        <v>348.357030416666</v>
      </c>
      <c r="U20" s="33" t="n">
        <f aca="false">T20+IF(Source_Data!U$6=Inputs!$B$12,Inputs!$B$7,0)+U7-U9</f>
        <v>230.74703625</v>
      </c>
      <c r="V20" s="33" t="n">
        <f aca="false">U20+IF(Source_Data!V$6=Inputs!$B$12,Inputs!$B$7,0)+V7-V9</f>
        <v>248.380357083333</v>
      </c>
      <c r="W20" s="33" t="n">
        <f aca="false">V20+IF(Source_Data!W$6=Inputs!$B$12,Inputs!$B$7,0)+W7-W9</f>
        <v>264.202112916666</v>
      </c>
      <c r="X20" s="33" t="n">
        <f aca="false">W20+IF(Source_Data!X$6=Inputs!$B$12,Inputs!$B$7,0)+X7-X9</f>
        <v>299.814908125</v>
      </c>
      <c r="Y20" s="33" t="n">
        <f aca="false">X20+IF(Source_Data!Y$6=Inputs!$B$12,Inputs!$B$7,0)+Y7-Y9</f>
        <v>328.301655208333</v>
      </c>
      <c r="Z20" s="33" t="n">
        <f aca="false">Y20+IF(Source_Data!Z$6=Inputs!$B$12,Inputs!$B$7,0)+Z7-Z9</f>
        <v>347.972864791666</v>
      </c>
      <c r="AA20" s="33" t="n">
        <f aca="false">Z20+IF(Source_Data!AA$6=Inputs!$B$12,Inputs!$B$7,0)+AA7-AA9</f>
        <v>357.352446874999</v>
      </c>
      <c r="AB20" s="33" t="n">
        <f aca="false">AA20+IF(Source_Data!AB$6=Inputs!$B$12,Inputs!$B$7,0)+AB7-AB9</f>
        <v>408.398695624999</v>
      </c>
      <c r="AC20" s="33" t="n">
        <f aca="false">AB20+IF(Source_Data!AC$6=Inputs!$B$12,Inputs!$B$7,0)+AC7-AC9</f>
        <v>459.444944374999</v>
      </c>
      <c r="AD20" s="33" t="n">
        <f aca="false">AC20+IF(Source_Data!AD$6=Inputs!$B$12,Inputs!$B$7,0)+AD7-AD9</f>
        <v>510.491193124999</v>
      </c>
      <c r="AE20" s="33" t="n">
        <f aca="false">AD20+IF(Source_Data!AE$6=Inputs!$B$12,Inputs!$B$7,0)+AE7-AE9</f>
        <v>561.537441874999</v>
      </c>
      <c r="AF20" s="33" t="n">
        <f aca="false">AE20+IF(Source_Data!AF$6=Inputs!$B$12,Inputs!$B$7,0)+AF7-AF9</f>
        <v>364.2772134375</v>
      </c>
      <c r="AG20" s="33" t="n">
        <f aca="false">AF20+IF(Source_Data!AG$6=Inputs!$B$12,Inputs!$B$7,0)+AG7-AG9</f>
        <v>384.98650453125</v>
      </c>
      <c r="AH20" s="33" t="n">
        <f aca="false">AG20+IF(Source_Data!AH$6=Inputs!$B$12,Inputs!$B$7,0)+AH7-AH9</f>
        <v>403.52569171875</v>
      </c>
      <c r="AI20" s="33" t="n">
        <f aca="false">AH20+IF(Source_Data!AI$6=Inputs!$B$12,Inputs!$B$7,0)+AI7-AI9</f>
        <v>419.894774999999</v>
      </c>
      <c r="AJ20" s="33" t="n">
        <f aca="false">AI20+IF(Source_Data!AJ$6=Inputs!$B$12,Inputs!$B$7,0)+AJ7-AJ9</f>
        <v>432.766531406249</v>
      </c>
      <c r="AK20" s="33" t="n">
        <f aca="false">AJ20+IF(Source_Data!AK$6=Inputs!$B$12,Inputs!$B$7,0)+AK7-AK9</f>
        <v>443.612857499999</v>
      </c>
      <c r="AL20" s="33" t="n">
        <f aca="false">AK20+IF(Source_Data!AL$6=Inputs!$B$12,Inputs!$B$7,0)+AL7-AL9</f>
        <v>453.064865624999</v>
      </c>
      <c r="AM20" s="33" t="n">
        <f aca="false">AL20+IF(Source_Data!AM$6=Inputs!$B$12,Inputs!$B$7,0)+AM7-AM9</f>
        <v>457.140886874999</v>
      </c>
      <c r="AN20" s="33" t="n">
        <f aca="false">AM20+IF(Source_Data!AN$6=Inputs!$B$12,Inputs!$B$7,0)+AN7-AN9</f>
        <v>461.216908124999</v>
      </c>
      <c r="AO20" s="33" t="n">
        <f aca="false">AN20+IF(Source_Data!AO$6=Inputs!$B$12,Inputs!$B$7,0)+AO7-AO9</f>
        <v>465.292929374999</v>
      </c>
      <c r="AP20" s="33" t="n">
        <f aca="false">AO20+IF(Source_Data!AP$6=Inputs!$B$12,Inputs!$B$7,0)+AP7-AP9</f>
        <v>465.292929374999</v>
      </c>
      <c r="AQ20" s="33" t="n">
        <f aca="false">AP20+IF(Source_Data!AQ$6=Inputs!$B$12,Inputs!$B$7,0)+AQ7-AQ9</f>
        <v>465.292929374999</v>
      </c>
      <c r="AR20" s="33" t="n">
        <f aca="false">AQ20+IF(Source_Data!AR$6=Inputs!$B$12,Inputs!$B$7,0)+AR7-AR9</f>
        <v>465.292929374999</v>
      </c>
      <c r="AS20" s="33" t="n">
        <f aca="false">AR20+IF(Source_Data!AS$6=Inputs!$B$12,Inputs!$B$7,0)+AS7-AS9</f>
        <v>465.292929374999</v>
      </c>
      <c r="AT20" s="33" t="n">
        <f aca="false">AS20+IF(Source_Data!AT$6=Inputs!$B$12,Inputs!$B$7,0)+AT7-AT9</f>
        <v>465.292929374999</v>
      </c>
      <c r="AU20" s="33" t="n">
        <f aca="false">AT20+IF(Source_Data!AU$6=Inputs!$B$12,Inputs!$B$7,0)+AU7-AU9</f>
        <v>465.292929374999</v>
      </c>
      <c r="AV20" s="33" t="n">
        <f aca="false">AU20+IF(Source_Data!AV$6=Inputs!$B$12,Inputs!$B$7,0)+AV7-AV9</f>
        <v>465.292929374999</v>
      </c>
      <c r="AW20" s="33" t="n">
        <f aca="false">AV20+IF(Source_Data!AW$6=Inputs!$B$12,Inputs!$B$7,0)+AW7-AW9</f>
        <v>465.292929374999</v>
      </c>
      <c r="AX20" s="33" t="n">
        <f aca="false">AW20+IF(Source_Data!AX$6=Inputs!$B$12,Inputs!$B$7,0)+AX7-AX9</f>
        <v>465.292929374999</v>
      </c>
      <c r="AY20" s="33" t="n">
        <f aca="false">AX20+IF(Source_Data!AY$6=Inputs!$B$12,Inputs!$B$7,0)+AY7-AY9</f>
        <v>465.292929374999</v>
      </c>
      <c r="AZ20" s="33" t="n">
        <f aca="false">AY20+IF(Source_Data!AZ$6=Inputs!$B$12,Inputs!$B$7,0)+AZ7-AZ9</f>
        <v>465.292929374999</v>
      </c>
      <c r="BA20" s="33" t="n">
        <f aca="false">AZ20+IF(Source_Data!BA$6=Inputs!$B$12,Inputs!$B$7,0)+BA7-BA9</f>
        <v>465.292929374999</v>
      </c>
      <c r="BB20" s="33" t="n">
        <f aca="false">BA20+IF(Source_Data!BB$6=Inputs!$B$12,Inputs!$B$7,0)+BB7-BB9</f>
        <v>465.292929374999</v>
      </c>
      <c r="BC20" s="33" t="n">
        <f aca="false">BB20+IF(Source_Data!BC$6=Inputs!$B$12,Inputs!$B$7,0)+BC7-BC9</f>
        <v>465.292929374999</v>
      </c>
      <c r="BD20" s="33" t="n">
        <f aca="false">BC20+IF(Source_Data!BD$6=Inputs!$B$12,Inputs!$B$7,0)+BD7-BD9</f>
        <v>465.292929374999</v>
      </c>
      <c r="BE20" s="33" t="n">
        <f aca="false">BD20+IF(Source_Data!BE$6=Inputs!$B$12,Inputs!$B$7,0)+BE7-BE9</f>
        <v>465.292929374999</v>
      </c>
      <c r="BF20" s="33" t="n">
        <f aca="false">BE20+IF(Source_Data!BF$6=Inputs!$B$12,Inputs!$B$7,0)+BF7-BF9</f>
        <v>465.292929374999</v>
      </c>
      <c r="BG20" s="33" t="n">
        <f aca="false">BF20+IF(Source_Data!BG$6=Inputs!$B$12,Inputs!$B$7,0)+BG7-BG9</f>
        <v>465.292929374999</v>
      </c>
      <c r="BH20" s="33" t="n">
        <f aca="false">BG20+IF(Source_Data!BH$6=Inputs!$B$12,Inputs!$B$7,0)+BH7-BH9</f>
        <v>465.292929374999</v>
      </c>
      <c r="BI20" s="33" t="n">
        <f aca="false">BH20+IF(Source_Data!BI$6=Inputs!$B$12,Inputs!$B$7,0)+BI7-BI9</f>
        <v>465.292929374999</v>
      </c>
      <c r="BJ20" s="33" t="n">
        <f aca="false">BI20+IF(Source_Data!BJ$6=Inputs!$B$12,Inputs!$B$7,0)+BJ7-BJ9</f>
        <v>465.292929374999</v>
      </c>
      <c r="BK20" s="33" t="n">
        <f aca="false">BJ20+IF(Source_Data!BK$6=Inputs!$B$12,Inputs!$B$7,0)+BK7-BK9</f>
        <v>465.292929374999</v>
      </c>
    </row>
    <row r="21" customFormat="false" ht="15" hidden="false" customHeight="false" outlineLevel="0" collapsed="false">
      <c r="A21" s="3" t="s">
        <v>306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15</v>
      </c>
      <c r="H21" s="33" t="n">
        <f aca="false">G21+IF(Source_Data!H$6=Inputs!$B$12,Inputs!$B$7,0)+H7-H10</f>
        <v>10.61565</v>
      </c>
      <c r="I21" s="33" t="n">
        <f aca="false">H21+IF(Source_Data!I$6=Inputs!$B$12,Inputs!$B$7,0)+I7-I10</f>
        <v>24.34695</v>
      </c>
      <c r="J21" s="33" t="n">
        <f aca="false">I21+IF(Source_Data!J$6=Inputs!$B$12,Inputs!$B$7,0)+J7-J10</f>
        <v>37.107775</v>
      </c>
      <c r="K21" s="33" t="n">
        <f aca="false">J21+IF(Source_Data!K$6=Inputs!$B$12,Inputs!$B$7,0)+K7-K10</f>
        <v>53.266165</v>
      </c>
      <c r="L21" s="33" t="n">
        <f aca="false">K21+IF(Source_Data!L$6=Inputs!$B$12,Inputs!$B$7,0)+L7-L10</f>
        <v>14.86119</v>
      </c>
      <c r="M21" s="33" t="n">
        <f aca="false">L21+IF(Source_Data!M$6=Inputs!$B$12,Inputs!$B$7,0)+M7-M10</f>
        <v>-2.01806250000001</v>
      </c>
      <c r="N21" s="33" t="n">
        <f aca="false">M21+IF(Source_Data!N$6=Inputs!$B$12,Inputs!$B$7,0)+N7-N10</f>
        <v>-0.9419475</v>
      </c>
      <c r="O21" s="33" t="n">
        <f aca="false">N21+IF(Source_Data!O$6=Inputs!$B$12,Inputs!$B$7,0)+O7-O10</f>
        <v>22.1040525</v>
      </c>
      <c r="P21" s="33" t="n">
        <f aca="false">O21+IF(Source_Data!P$6=Inputs!$B$12,Inputs!$B$7,0)+P7-P10</f>
        <v>44.3848001442544</v>
      </c>
      <c r="Q21" s="33" t="n">
        <f aca="false">P21+IF(Source_Data!Q$6=Inputs!$B$12,Inputs!$B$7,0)+Q7-Q10</f>
        <v>74.9460931029385</v>
      </c>
      <c r="R21" s="33" t="n">
        <f aca="false">Q21+IF(Source_Data!R$6=Inputs!$B$12,Inputs!$B$7,0)+R7-R10</f>
        <v>527.492100602938</v>
      </c>
      <c r="S21" s="33" t="n">
        <f aca="false">R21+IF(Source_Data!S$6=Inputs!$B$12,Inputs!$B$7,0)+S7-S10</f>
        <v>468.587833102938</v>
      </c>
      <c r="T21" s="33" t="n">
        <f aca="false">S21+IF(Source_Data!T$6=Inputs!$B$12,Inputs!$B$7,0)+T7-T10</f>
        <v>317.160034066408</v>
      </c>
      <c r="U21" s="33" t="n">
        <f aca="false">T21+IF(Source_Data!U$6=Inputs!$B$12,Inputs!$B$7,0)+U7-U10</f>
        <v>201.107367257107</v>
      </c>
      <c r="V21" s="33" t="n">
        <f aca="false">U21+IF(Source_Data!V$6=Inputs!$B$12,Inputs!$B$7,0)+V7-V10</f>
        <v>220.655095553967</v>
      </c>
      <c r="W21" s="33" t="n">
        <f aca="false">V21+IF(Source_Data!W$6=Inputs!$B$12,Inputs!$B$7,0)+W7-W10</f>
        <v>238.748338956985</v>
      </c>
      <c r="X21" s="33" t="n">
        <f aca="false">W21+IF(Source_Data!X$6=Inputs!$B$12,Inputs!$B$7,0)+X7-X10</f>
        <v>278.295138216921</v>
      </c>
      <c r="Y21" s="33" t="n">
        <f aca="false">X21+IF(Source_Data!Y$6=Inputs!$B$12,Inputs!$B$7,0)+Y7-Y10</f>
        <v>312.120514645993</v>
      </c>
      <c r="Z21" s="33" t="n">
        <f aca="false">Y21+IF(Source_Data!Z$6=Inputs!$B$12,Inputs!$B$7,0)+Z7-Z10</f>
        <v>338.867996478495</v>
      </c>
      <c r="AA21" s="33" t="n">
        <f aca="false">Z21+IF(Source_Data!AA$6=Inputs!$B$12,Inputs!$B$7,0)+AA7-AA10</f>
        <v>357.352447875</v>
      </c>
      <c r="AB21" s="33" t="n">
        <f aca="false">AA21+IF(Source_Data!AB$6=Inputs!$B$12,Inputs!$B$7,0)+AB7-AB10</f>
        <v>408.398695625</v>
      </c>
      <c r="AC21" s="33" t="n">
        <f aca="false">AB21+IF(Source_Data!AC$6=Inputs!$B$12,Inputs!$B$7,0)+AC7-AC10</f>
        <v>459.444944375</v>
      </c>
      <c r="AD21" s="33" t="n">
        <f aca="false">AC21+IF(Source_Data!AD$6=Inputs!$B$12,Inputs!$B$7,0)+AD7-AD10</f>
        <v>510.491193125</v>
      </c>
      <c r="AE21" s="33" t="n">
        <f aca="false">AD21+IF(Source_Data!AE$6=Inputs!$B$12,Inputs!$B$7,0)+AE7-AE10</f>
        <v>561.537441875</v>
      </c>
      <c r="AF21" s="33" t="n">
        <f aca="false">AE21+IF(Source_Data!AF$6=Inputs!$B$12,Inputs!$B$7,0)+AF7-AF10</f>
        <v>364.2772134375</v>
      </c>
      <c r="AG21" s="33" t="n">
        <f aca="false">AF21+IF(Source_Data!AG$6=Inputs!$B$12,Inputs!$B$7,0)+AG7-AG10</f>
        <v>384.98650453125</v>
      </c>
      <c r="AH21" s="33" t="n">
        <f aca="false">AG21+IF(Source_Data!AH$6=Inputs!$B$12,Inputs!$B$7,0)+AH7-AH10</f>
        <v>403.52569171875</v>
      </c>
      <c r="AI21" s="33" t="n">
        <f aca="false">AH21+IF(Source_Data!AI$6=Inputs!$B$12,Inputs!$B$7,0)+AI7-AI10</f>
        <v>419.894775</v>
      </c>
      <c r="AJ21" s="33" t="n">
        <f aca="false">AI21+IF(Source_Data!AJ$6=Inputs!$B$12,Inputs!$B$7,0)+AJ7-AJ10</f>
        <v>432.76653140625</v>
      </c>
      <c r="AK21" s="33" t="n">
        <f aca="false">AJ21+IF(Source_Data!AK$6=Inputs!$B$12,Inputs!$B$7,0)+AK7-AK10</f>
        <v>443.6128575</v>
      </c>
      <c r="AL21" s="33" t="n">
        <f aca="false">AK21+IF(Source_Data!AL$6=Inputs!$B$12,Inputs!$B$7,0)+AL7-AL10</f>
        <v>453.064865625</v>
      </c>
      <c r="AM21" s="33" t="n">
        <f aca="false">AL21+IF(Source_Data!AM$6=Inputs!$B$12,Inputs!$B$7,0)+AM7-AM10</f>
        <v>457.140886875</v>
      </c>
      <c r="AN21" s="33" t="n">
        <f aca="false">AM21+IF(Source_Data!AN$6=Inputs!$B$12,Inputs!$B$7,0)+AN7-AN10</f>
        <v>461.216908125</v>
      </c>
      <c r="AO21" s="33" t="n">
        <f aca="false">AN21+IF(Source_Data!AO$6=Inputs!$B$12,Inputs!$B$7,0)+AO7-AO10</f>
        <v>465.292929375</v>
      </c>
      <c r="AP21" s="33" t="n">
        <f aca="false">AO21+IF(Source_Data!AP$6=Inputs!$B$12,Inputs!$B$7,0)+AP7-AP10</f>
        <v>465.292929375</v>
      </c>
      <c r="AQ21" s="33" t="n">
        <f aca="false">AP21+IF(Source_Data!AQ$6=Inputs!$B$12,Inputs!$B$7,0)+AQ7-AQ10</f>
        <v>465.292929375</v>
      </c>
      <c r="AR21" s="33" t="n">
        <f aca="false">AQ21+IF(Source_Data!AR$6=Inputs!$B$12,Inputs!$B$7,0)+AR7-AR10</f>
        <v>465.292929375</v>
      </c>
      <c r="AS21" s="33" t="n">
        <f aca="false">AR21+IF(Source_Data!AS$6=Inputs!$B$12,Inputs!$B$7,0)+AS7-AS10</f>
        <v>465.292929375</v>
      </c>
      <c r="AT21" s="33" t="n">
        <f aca="false">AS21+IF(Source_Data!AT$6=Inputs!$B$12,Inputs!$B$7,0)+AT7-AT10</f>
        <v>465.292929375</v>
      </c>
      <c r="AU21" s="33" t="n">
        <f aca="false">AT21+IF(Source_Data!AU$6=Inputs!$B$12,Inputs!$B$7,0)+AU7-AU10</f>
        <v>465.292929375</v>
      </c>
      <c r="AV21" s="33" t="n">
        <f aca="false">AU21+IF(Source_Data!AV$6=Inputs!$B$12,Inputs!$B$7,0)+AV7-AV10</f>
        <v>465.292929375</v>
      </c>
      <c r="AW21" s="33" t="n">
        <f aca="false">AV21+IF(Source_Data!AW$6=Inputs!$B$12,Inputs!$B$7,0)+AW7-AW10</f>
        <v>465.292929375</v>
      </c>
      <c r="AX21" s="33" t="n">
        <f aca="false">AW21+IF(Source_Data!AX$6=Inputs!$B$12,Inputs!$B$7,0)+AX7-AX10</f>
        <v>465.292929375</v>
      </c>
      <c r="AY21" s="33" t="n">
        <f aca="false">AX21+IF(Source_Data!AY$6=Inputs!$B$12,Inputs!$B$7,0)+AY7-AY10</f>
        <v>465.292929375</v>
      </c>
      <c r="AZ21" s="33" t="n">
        <f aca="false">AY21+IF(Source_Data!AZ$6=Inputs!$B$12,Inputs!$B$7,0)+AZ7-AZ10</f>
        <v>465.292929375</v>
      </c>
      <c r="BA21" s="33" t="n">
        <f aca="false">AZ21+IF(Source_Data!BA$6=Inputs!$B$12,Inputs!$B$7,0)+BA7-BA10</f>
        <v>465.292929375</v>
      </c>
      <c r="BB21" s="33" t="n">
        <f aca="false">BA21+IF(Source_Data!BB$6=Inputs!$B$12,Inputs!$B$7,0)+BB7-BB10</f>
        <v>465.292929375</v>
      </c>
      <c r="BC21" s="33" t="n">
        <f aca="false">BB21+IF(Source_Data!BC$6=Inputs!$B$12,Inputs!$B$7,0)+BC7-BC10</f>
        <v>465.292929375</v>
      </c>
      <c r="BD21" s="33" t="n">
        <f aca="false">BC21+IF(Source_Data!BD$6=Inputs!$B$12,Inputs!$B$7,0)+BD7-BD10</f>
        <v>465.292929375</v>
      </c>
      <c r="BE21" s="33" t="n">
        <f aca="false">BD21+IF(Source_Data!BE$6=Inputs!$B$12,Inputs!$B$7,0)+BE7-BE10</f>
        <v>465.292929375</v>
      </c>
      <c r="BF21" s="33" t="n">
        <f aca="false">BE21+IF(Source_Data!BF$6=Inputs!$B$12,Inputs!$B$7,0)+BF7-BF10</f>
        <v>465.292929375</v>
      </c>
      <c r="BG21" s="33" t="n">
        <f aca="false">BF21+IF(Source_Data!BG$6=Inputs!$B$12,Inputs!$B$7,0)+BG7-BG10</f>
        <v>465.292929375</v>
      </c>
      <c r="BH21" s="33" t="n">
        <f aca="false">BG21+IF(Source_Data!BH$6=Inputs!$B$12,Inputs!$B$7,0)+BH7-BH10</f>
        <v>465.292929375</v>
      </c>
      <c r="BI21" s="33" t="n">
        <f aca="false">BH21+IF(Source_Data!BI$6=Inputs!$B$12,Inputs!$B$7,0)+BI7-BI10</f>
        <v>465.292929375</v>
      </c>
      <c r="BJ21" s="33" t="n">
        <f aca="false">BI21+IF(Source_Data!BJ$6=Inputs!$B$12,Inputs!$B$7,0)+BJ7-BJ10</f>
        <v>465.292929375</v>
      </c>
      <c r="BK21" s="33" t="n">
        <f aca="false">BJ21+IF(Source_Data!BK$6=Inputs!$B$12,Inputs!$B$7,0)+BK7-BK10</f>
        <v>465.292929375</v>
      </c>
    </row>
    <row r="22" customFormat="false" ht="15" hidden="false" customHeight="false" outlineLevel="0" collapsed="false">
      <c r="A22" s="3" t="s">
        <v>307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15</v>
      </c>
      <c r="H22" s="33" t="n">
        <f aca="false">G22+IF(Source_Data!H$6=Inputs!$B$12,Inputs!$B$7,0)+H7-H13</f>
        <v>10.61565</v>
      </c>
      <c r="I22" s="33" t="n">
        <f aca="false">H22+IF(Source_Data!I$6=Inputs!$B$12,Inputs!$B$7,0)+I7-I13</f>
        <v>24.34695</v>
      </c>
      <c r="J22" s="33" t="n">
        <f aca="false">I22+IF(Source_Data!J$6=Inputs!$B$12,Inputs!$B$7,0)+J7-J13</f>
        <v>37.107775</v>
      </c>
      <c r="K22" s="33" t="n">
        <f aca="false">J22+IF(Source_Data!K$6=Inputs!$B$12,Inputs!$B$7,0)+K7-K13</f>
        <v>53.266165</v>
      </c>
      <c r="L22" s="33" t="n">
        <f aca="false">K22+IF(Source_Data!L$6=Inputs!$B$12,Inputs!$B$7,0)+L7-L13</f>
        <v>14.86119</v>
      </c>
      <c r="M22" s="33" t="n">
        <f aca="false">L22+IF(Source_Data!M$6=Inputs!$B$12,Inputs!$B$7,0)+M7-M13</f>
        <v>-2.01806250000001</v>
      </c>
      <c r="N22" s="33" t="n">
        <f aca="false">M22+IF(Source_Data!N$6=Inputs!$B$12,Inputs!$B$7,0)+N7-N13</f>
        <v>-0.9419475</v>
      </c>
      <c r="O22" s="33" t="n">
        <f aca="false">N22+IF(Source_Data!O$6=Inputs!$B$12,Inputs!$B$7,0)+O7-O13</f>
        <v>22.1040525</v>
      </c>
      <c r="P22" s="33" t="n">
        <f aca="false">O22+IF(Source_Data!P$6=Inputs!$B$12,Inputs!$B$7,0)+P7-P13</f>
        <v>48.7711237632439</v>
      </c>
      <c r="Q22" s="33" t="n">
        <f aca="false">P22+IF(Source_Data!Q$6=Inputs!$B$12,Inputs!$B$7,0)+Q7-Q13</f>
        <v>85.3410858628092</v>
      </c>
      <c r="R22" s="33" t="n">
        <f aca="false">Q22+IF(Source_Data!R$6=Inputs!$B$12,Inputs!$B$7,0)+R7-R13</f>
        <v>531.893114238374</v>
      </c>
      <c r="S22" s="33" t="n">
        <f aca="false">R22+IF(Source_Data!S$6=Inputs!$B$12,Inputs!$B$7,0)+S7-S13</f>
        <v>481.777775637445</v>
      </c>
      <c r="T22" s="33" t="n">
        <f aca="false">S22+IF(Source_Data!T$6=Inputs!$B$12,Inputs!$B$7,0)+T7-T13</f>
        <v>334.289567395035</v>
      </c>
      <c r="U22" s="33" t="n">
        <f aca="false">T22+IF(Source_Data!U$6=Inputs!$B$12,Inputs!$B$7,0)+U7-U13</f>
        <v>218.264052324163</v>
      </c>
      <c r="V22" s="33" t="n">
        <f aca="false">U22+IF(Source_Data!V$6=Inputs!$B$12,Inputs!$B$7,0)+V7-V13</f>
        <v>237.534213548382</v>
      </c>
      <c r="W22" s="33" t="n">
        <f aca="false">V22+IF(Source_Data!W$6=Inputs!$B$12,Inputs!$B$7,0)+W7-W13</f>
        <v>255.045171067691</v>
      </c>
      <c r="X22" s="33" t="n">
        <f aca="false">W22+IF(Source_Data!X$6=Inputs!$B$12,Inputs!$B$7,0)+X7-X13</f>
        <v>292.590955041151</v>
      </c>
      <c r="Y22" s="33" t="n">
        <f aca="false">X22+IF(Source_Data!Y$6=Inputs!$B$12,Inputs!$B$7,0)+Y7-Y13</f>
        <v>323.216661477862</v>
      </c>
      <c r="Z22" s="33" t="n">
        <f aca="false">Y22+IF(Source_Data!Z$6=Inputs!$B$12,Inputs!$B$7,0)+Z7-Z13</f>
        <v>345.281633836157</v>
      </c>
      <c r="AA22" s="33" t="n">
        <f aca="false">Z22+IF(Source_Data!AA$6=Inputs!$B$12,Inputs!$B$7,0)+AA7-AA13</f>
        <v>357.352446875</v>
      </c>
      <c r="AB22" s="33" t="n">
        <f aca="false">AA22+IF(Source_Data!AB$6=Inputs!$B$12,Inputs!$B$7,0)+AB7-AB13</f>
        <v>408.398695624999</v>
      </c>
      <c r="AC22" s="33" t="n">
        <f aca="false">AB22+IF(Source_Data!AC$6=Inputs!$B$12,Inputs!$B$7,0)+AC7-AC13</f>
        <v>459.444944374999</v>
      </c>
      <c r="AD22" s="33" t="n">
        <f aca="false">AC22+IF(Source_Data!AD$6=Inputs!$B$12,Inputs!$B$7,0)+AD7-AD13</f>
        <v>510.491193124999</v>
      </c>
      <c r="AE22" s="33" t="n">
        <f aca="false">AD22+IF(Source_Data!AE$6=Inputs!$B$12,Inputs!$B$7,0)+AE7-AE13</f>
        <v>561.537441874999</v>
      </c>
      <c r="AF22" s="33" t="n">
        <f aca="false">AE22+IF(Source_Data!AF$6=Inputs!$B$12,Inputs!$B$7,0)+AF7-AF13</f>
        <v>364.2772134375</v>
      </c>
      <c r="AG22" s="33" t="n">
        <f aca="false">AF22+IF(Source_Data!AG$6=Inputs!$B$12,Inputs!$B$7,0)+AG7-AG13</f>
        <v>384.98650453125</v>
      </c>
      <c r="AH22" s="33" t="n">
        <f aca="false">AG22+IF(Source_Data!AH$6=Inputs!$B$12,Inputs!$B$7,0)+AH7-AH13</f>
        <v>403.52569171875</v>
      </c>
      <c r="AI22" s="33" t="n">
        <f aca="false">AH22+IF(Source_Data!AI$6=Inputs!$B$12,Inputs!$B$7,0)+AI7-AI13</f>
        <v>419.894774999999</v>
      </c>
      <c r="AJ22" s="33" t="n">
        <f aca="false">AI22+IF(Source_Data!AJ$6=Inputs!$B$12,Inputs!$B$7,0)+AJ7-AJ13</f>
        <v>432.766531406249</v>
      </c>
      <c r="AK22" s="33" t="n">
        <f aca="false">AJ22+IF(Source_Data!AK$6=Inputs!$B$12,Inputs!$B$7,0)+AK7-AK13</f>
        <v>443.612857499999</v>
      </c>
      <c r="AL22" s="33" t="n">
        <f aca="false">AK22+IF(Source_Data!AL$6=Inputs!$B$12,Inputs!$B$7,0)+AL7-AL13</f>
        <v>453.064865624999</v>
      </c>
      <c r="AM22" s="33" t="n">
        <f aca="false">AL22+IF(Source_Data!AM$6=Inputs!$B$12,Inputs!$B$7,0)+AM7-AM13</f>
        <v>457.140886874999</v>
      </c>
      <c r="AN22" s="33" t="n">
        <f aca="false">AM22+IF(Source_Data!AN$6=Inputs!$B$12,Inputs!$B$7,0)+AN7-AN13</f>
        <v>461.216908124999</v>
      </c>
      <c r="AO22" s="33" t="n">
        <f aca="false">AN22+IF(Source_Data!AO$6=Inputs!$B$12,Inputs!$B$7,0)+AO7-AO13</f>
        <v>465.292929374999</v>
      </c>
      <c r="AP22" s="33" t="n">
        <f aca="false">AO22+IF(Source_Data!AP$6=Inputs!$B$12,Inputs!$B$7,0)+AP7-AP13</f>
        <v>465.292929374999</v>
      </c>
      <c r="AQ22" s="33" t="n">
        <f aca="false">AP22+IF(Source_Data!AQ$6=Inputs!$B$12,Inputs!$B$7,0)+AQ7-AQ13</f>
        <v>465.292929374999</v>
      </c>
      <c r="AR22" s="33" t="n">
        <f aca="false">AQ22+IF(Source_Data!AR$6=Inputs!$B$12,Inputs!$B$7,0)+AR7-AR13</f>
        <v>465.292929374999</v>
      </c>
      <c r="AS22" s="33" t="n">
        <f aca="false">AR22+IF(Source_Data!AS$6=Inputs!$B$12,Inputs!$B$7,0)+AS7-AS13</f>
        <v>465.292929374999</v>
      </c>
      <c r="AT22" s="33" t="n">
        <f aca="false">AS22+IF(Source_Data!AT$6=Inputs!$B$12,Inputs!$B$7,0)+AT7-AT13</f>
        <v>465.292929374999</v>
      </c>
      <c r="AU22" s="33" t="n">
        <f aca="false">AT22+IF(Source_Data!AU$6=Inputs!$B$12,Inputs!$B$7,0)+AU7-AU13</f>
        <v>465.292929374999</v>
      </c>
      <c r="AV22" s="33" t="n">
        <f aca="false">AU22+IF(Source_Data!AV$6=Inputs!$B$12,Inputs!$B$7,0)+AV7-AV13</f>
        <v>465.292929374999</v>
      </c>
      <c r="AW22" s="33" t="n">
        <f aca="false">AV22+IF(Source_Data!AW$6=Inputs!$B$12,Inputs!$B$7,0)+AW7-AW13</f>
        <v>465.292929374999</v>
      </c>
      <c r="AX22" s="33" t="n">
        <f aca="false">AW22+IF(Source_Data!AX$6=Inputs!$B$12,Inputs!$B$7,0)+AX7-AX13</f>
        <v>465.292929374999</v>
      </c>
      <c r="AY22" s="33" t="n">
        <f aca="false">AX22+IF(Source_Data!AY$6=Inputs!$B$12,Inputs!$B$7,0)+AY7-AY13</f>
        <v>465.292929374999</v>
      </c>
      <c r="AZ22" s="33" t="n">
        <f aca="false">AY22+IF(Source_Data!AZ$6=Inputs!$B$12,Inputs!$B$7,0)+AZ7-AZ13</f>
        <v>465.292929374999</v>
      </c>
      <c r="BA22" s="33" t="n">
        <f aca="false">AZ22+IF(Source_Data!BA$6=Inputs!$B$12,Inputs!$B$7,0)+BA7-BA13</f>
        <v>465.292929374999</v>
      </c>
      <c r="BB22" s="33" t="n">
        <f aca="false">BA22+IF(Source_Data!BB$6=Inputs!$B$12,Inputs!$B$7,0)+BB7-BB13</f>
        <v>465.292929374999</v>
      </c>
      <c r="BC22" s="33" t="n">
        <f aca="false">BB22+IF(Source_Data!BC$6=Inputs!$B$12,Inputs!$B$7,0)+BC7-BC13</f>
        <v>465.292929374999</v>
      </c>
      <c r="BD22" s="33" t="n">
        <f aca="false">BC22+IF(Source_Data!BD$6=Inputs!$B$12,Inputs!$B$7,0)+BD7-BD13</f>
        <v>465.292929374999</v>
      </c>
      <c r="BE22" s="33" t="n">
        <f aca="false">BD22+IF(Source_Data!BE$6=Inputs!$B$12,Inputs!$B$7,0)+BE7-BE13</f>
        <v>465.292929374999</v>
      </c>
      <c r="BF22" s="33" t="n">
        <f aca="false">BE22+IF(Source_Data!BF$6=Inputs!$B$12,Inputs!$B$7,0)+BF7-BF13</f>
        <v>465.292929374999</v>
      </c>
      <c r="BG22" s="33" t="n">
        <f aca="false">BF22+IF(Source_Data!BG$6=Inputs!$B$12,Inputs!$B$7,0)+BG7-BG13</f>
        <v>465.292929374999</v>
      </c>
      <c r="BH22" s="33" t="n">
        <f aca="false">BG22+IF(Source_Data!BH$6=Inputs!$B$12,Inputs!$B$7,0)+BH7-BH13</f>
        <v>465.292929374999</v>
      </c>
      <c r="BI22" s="33" t="n">
        <f aca="false">BH22+IF(Source_Data!BI$6=Inputs!$B$12,Inputs!$B$7,0)+BI7-BI13</f>
        <v>465.292929374999</v>
      </c>
      <c r="BJ22" s="33" t="n">
        <f aca="false">BI22+IF(Source_Data!BJ$6=Inputs!$B$12,Inputs!$B$7,0)+BJ7-BJ13</f>
        <v>465.292929374999</v>
      </c>
      <c r="BK22" s="33" t="n">
        <f aca="false">BJ22+IF(Source_Data!BK$6=Inputs!$B$12,Inputs!$B$7,0)+BK7-BK13</f>
        <v>465.292929374999</v>
      </c>
    </row>
    <row r="23" customFormat="false" ht="15" hidden="false" customHeight="false" outlineLevel="0" collapsed="false">
      <c r="A23" s="3" t="s">
        <v>308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2.34773823913044</v>
      </c>
      <c r="Q23" s="31" t="n">
        <f aca="false">IF(Q9&gt;0,Q7/Q9,"")</f>
        <v>2.87895560869565</v>
      </c>
      <c r="R23" s="31" t="n">
        <f aca="false">IF(R9&gt;0,R7/R9,"")</f>
        <v>25.1110960434783</v>
      </c>
      <c r="S23" s="31" t="n">
        <f aca="false">IF(S9&gt;0,S7/S9,"")</f>
        <v>-1.57326613043478</v>
      </c>
      <c r="T23" s="31" t="n">
        <f aca="false">IF(T9&gt;0,T7/T9,"")</f>
        <v>-6.74262926086957</v>
      </c>
      <c r="U23" s="31" t="n">
        <f aca="false">IF(U9&gt;0,U7/U9,"")</f>
        <v>-5.13617360869566</v>
      </c>
      <c r="V23" s="31" t="n">
        <f aca="false">IF(V9&gt;0,V7/V9,"")</f>
        <v>1.91999934782609</v>
      </c>
      <c r="W23" s="31" t="n">
        <f aca="false">IF(W9&gt;0,W7/W9,"")</f>
        <v>1.82548291304348</v>
      </c>
      <c r="X23" s="31" t="n">
        <f aca="false">IF(X9&gt;0,X7/X9,"")</f>
        <v>2.85805888043478</v>
      </c>
      <c r="Y23" s="31" t="n">
        <f aca="false">IF(Y9&gt;0,Y7/Y9,"")</f>
        <v>2.48626506521739</v>
      </c>
      <c r="Z23" s="31" t="n">
        <f aca="false">IF(Z9&gt;0,Z7/Z9,"")</f>
        <v>2.02632397826087</v>
      </c>
      <c r="AA23" s="31" t="n">
        <f aca="false">IF(AA9&gt;0,AA7/AA9,"")</f>
        <v>1.4893695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309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3.50099315217391</v>
      </c>
      <c r="Q24" s="31" t="n">
        <f aca="false">IF(Q9&gt;0,(P20+IF(Source_Data!Q$6=Inputs!$B$12,Inputs!$B$7,0)+Q7)/Q9,"")</f>
        <v>5.37994876086957</v>
      </c>
      <c r="R24" s="31" t="n">
        <f aca="false">IF(R9&gt;0,(Q20+IF(Source_Data!R$6=Inputs!$B$12,Inputs!$B$7,0)+R7)/R9,"")</f>
        <v>29.4910448043478</v>
      </c>
      <c r="S24" s="31" t="n">
        <f aca="false">IF(S9&gt;0,(R20+IF(Source_Data!S$6=Inputs!$B$12,Inputs!$B$7,0)+S7)/S9,"")</f>
        <v>26.917778673913</v>
      </c>
      <c r="T24" s="31" t="n">
        <f aca="false">IF(T9&gt;0,(S20+IF(Source_Data!T$6=Inputs!$B$12,Inputs!$B$7,0)+T7)/T9,"")</f>
        <v>19.1751494130435</v>
      </c>
      <c r="U24" s="31" t="n">
        <f aca="false">IF(U9&gt;0,(T20+IF(Source_Data!U$6=Inputs!$B$12,Inputs!$B$7,0)+U7)/U9,"")</f>
        <v>13.0389758043478</v>
      </c>
      <c r="V24" s="31" t="n">
        <f aca="false">IF(V9&gt;0,(U20+IF(Source_Data!V$6=Inputs!$B$12,Inputs!$B$7,0)+V7)/V9,"")</f>
        <v>13.9589751521739</v>
      </c>
      <c r="W24" s="31" t="n">
        <f aca="false">IF(W9&gt;0,(V20+IF(Source_Data!W$6=Inputs!$B$12,Inputs!$B$7,0)+W7)/W9,"")</f>
        <v>14.7844580652174</v>
      </c>
      <c r="X24" s="31" t="n">
        <f aca="false">IF(X9&gt;0,(W20+IF(Source_Data!X$6=Inputs!$B$12,Inputs!$B$7,0)+X7)/X9,"")</f>
        <v>16.6425169456522</v>
      </c>
      <c r="Y24" s="31" t="n">
        <f aca="false">IF(Y9&gt;0,(X20+IF(Source_Data!Y$6=Inputs!$B$12,Inputs!$B$7,0)+Y7)/Y9,"")</f>
        <v>18.1287820108695</v>
      </c>
      <c r="Z24" s="31" t="n">
        <f aca="false">IF(Z9&gt;0,(Y20+IF(Source_Data!Z$6=Inputs!$B$12,Inputs!$B$7,0)+Z7)/Z9,"")</f>
        <v>19.1551059891304</v>
      </c>
      <c r="AA24" s="31" t="n">
        <f aca="false">IF(AA9&gt;0,(Z20+IF(Source_Data!AA$6=Inputs!$B$12,Inputs!$B$7,0)+AA7)/AA9,"")</f>
        <v>19.6444754891304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310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1.9807716675551</v>
      </c>
      <c r="Q25" s="31" t="n">
        <f aca="false">IF(Q10&gt;0,Q7/Q10,"")</f>
        <v>2.24138585473427</v>
      </c>
      <c r="R25" s="31" t="n">
        <f aca="false">IF(R10&gt;0,R7/R10,"")</f>
        <v>16.7407306956522</v>
      </c>
      <c r="S25" s="31" t="n">
        <f aca="false">IF(S10&gt;0,S7/S10,"")</f>
        <v>-1.04884408695652</v>
      </c>
      <c r="T25" s="31" t="n">
        <f aca="false">IF(T10&gt;0,T7/T10,"")</f>
        <v>-5.82289406823288</v>
      </c>
      <c r="U25" s="31" t="n">
        <f aca="false">IF(U10&gt;0,U7/U10,"")</f>
        <v>-5.59040437411577</v>
      </c>
      <c r="V25" s="31" t="n">
        <f aca="false">IF(V10&gt;0,V7/V10,"")</f>
        <v>2.1330532463424</v>
      </c>
      <c r="W25" s="31" t="n">
        <f aca="false">IF(W10&gt;0,W7/W10,"")</f>
        <v>2.07091160733839</v>
      </c>
      <c r="X25" s="31" t="n">
        <f aca="false">IF(X10&gt;0,X7/X10,"")</f>
        <v>3.59618428237407</v>
      </c>
      <c r="Y25" s="31" t="n">
        <f aca="false">IF(Y10&gt;0,Y7/Y10,"")</f>
        <v>3.44614442700982</v>
      </c>
      <c r="Z25" s="31" t="n">
        <f aca="false">IF(Z10&gt;0,Z7/Z10,"")</f>
        <v>3.21229191611727</v>
      </c>
      <c r="AA25" s="31" t="n">
        <f aca="false">IF(AA10&gt;0,AA7/AA10,"")</f>
        <v>2.83709239483787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311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2.95376542774163</v>
      </c>
      <c r="Q26" s="31" t="n">
        <f aca="false">IF(Q10&gt;0,(P21+IF(Source_Data!Q$6=Inputs!$B$12,Inputs!$B$7,0)+Q7)/Q10,"")</f>
        <v>4.04427629980716</v>
      </c>
      <c r="R26" s="31" t="n">
        <f aca="false">IF(R10&gt;0,(Q21+IF(Source_Data!R$6=Inputs!$B$12,Inputs!$B$7,0)+R7)/R10,"")</f>
        <v>19.3475513253196</v>
      </c>
      <c r="S26" s="31" t="n">
        <f aca="false">IF(S10&gt;0,(R21+IF(Source_Data!S$6=Inputs!$B$12,Inputs!$B$7,0)+S7)/S10,"")</f>
        <v>17.2987072383631</v>
      </c>
      <c r="T26" s="31" t="n">
        <f aca="false">IF(T10&gt;0,(S21+IF(Source_Data!T$6=Inputs!$B$12,Inputs!$B$7,0)+T7)/T10,"")</f>
        <v>15.2903042167984</v>
      </c>
      <c r="U26" s="31" t="n">
        <f aca="false">IF(U10&gt;0,(T21+IF(Source_Data!U$6=Inputs!$B$12,Inputs!$B$7,0)+U7)/U10,"")</f>
        <v>12.4204947570574</v>
      </c>
      <c r="V26" s="31" t="n">
        <f aca="false">IF(V10&gt;0,(U21+IF(Source_Data!V$6=Inputs!$B$12,Inputs!$B$7,0)+V7)/V10,"")</f>
        <v>13.7899246675934</v>
      </c>
      <c r="W26" s="31" t="n">
        <f aca="false">IF(W10&gt;0,(V21+IF(Source_Data!W$6=Inputs!$B$12,Inputs!$B$7,0)+W7)/W10,"")</f>
        <v>15.1311517082195</v>
      </c>
      <c r="X26" s="31" t="n">
        <f aca="false">IF(X10&gt;0,(W21+IF(Source_Data!X$6=Inputs!$B$12,Inputs!$B$7,0)+X7)/X10,"")</f>
        <v>19.2696318594826</v>
      </c>
      <c r="Y26" s="31" t="n">
        <f aca="false">IF(Y10&gt;0,(X21+IF(Source_Data!Y$6=Inputs!$B$12,Inputs!$B$7,0)+Y7)/Y10,"")</f>
        <v>23.5715701658987</v>
      </c>
      <c r="Z26" s="31" t="n">
        <f aca="false">IF(Z10&gt;0,(Y21+IF(Source_Data!Z$6=Inputs!$B$12,Inputs!$B$7,0)+Z7)/Z10,"")</f>
        <v>29.0278694620621</v>
      </c>
      <c r="AA26" s="31" t="n">
        <f aca="false">IF(AA10&gt;0,(Z21+IF(Source_Data!AA$6=Inputs!$B$12,Inputs!$B$7,0)+AA7)/AA10,"")</f>
        <v>36.5157667482618</v>
      </c>
      <c r="AB26" s="31" t="n">
        <f aca="false">IF(AB10&gt;0,(AA21+IF(Source_Data!AB$6=Inputs!$B$12,Inputs!$B$7,0)+AB7)/AB10,"")</f>
        <v>408398674.44133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312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2.45473323184051</v>
      </c>
      <c r="Q27" s="31" t="n">
        <f aca="false">IF(Q13&gt;0,Q7/Q13,"")</f>
        <v>2.96506835095739</v>
      </c>
      <c r="R27" s="31" t="n">
        <f aca="false">IF(R13&gt;0,R7/R13,"")</f>
        <v>13.8526449655132</v>
      </c>
      <c r="S27" s="31" t="n">
        <f aca="false">IF(S13&gt;0,S7/S13,"")</f>
        <v>-1.51065377942556</v>
      </c>
      <c r="T27" s="31" t="n">
        <f aca="false">IF(T13&gt;0,T7/T13,"")</f>
        <v>-7.07956196199855</v>
      </c>
      <c r="U27" s="31" t="n">
        <f aca="false">IF(U13&gt;0,U7/U13,"")</f>
        <v>-5.59903749764833</v>
      </c>
      <c r="V27" s="31" t="n">
        <f aca="false">IF(V13&gt;0,V7/V13,"")</f>
        <v>2.09927850516361</v>
      </c>
      <c r="W27" s="31" t="n">
        <f aca="false">IF(W13&gt;0,W7/W13,"")</f>
        <v>2.00191632703348</v>
      </c>
      <c r="X27" s="31" t="n">
        <f aca="false">IF(X13&gt;0,X7/X13,"")</f>
        <v>3.17862862402134</v>
      </c>
      <c r="Y27" s="31" t="n">
        <f aca="false">IF(Y13&gt;0,Y7/Y13,"")</f>
        <v>2.7985807409791</v>
      </c>
      <c r="Z27" s="31" t="n">
        <f aca="false">IF(Z13&gt;0,Z7/Z13,"")</f>
        <v>2.31551295474886</v>
      </c>
      <c r="AA27" s="31" t="n">
        <f aca="false">IF(AA13&gt;0,AA7/AA13,"")</f>
        <v>1.73265516314497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313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3.66054617667702</v>
      </c>
      <c r="Q28" s="31" t="n">
        <f aca="false">IF(Q13&gt;0,(P22+IF(Source_Data!Q$6=Inputs!$B$12,Inputs!$B$7,0)+Q7)/Q13,"")</f>
        <v>5.58575993075302</v>
      </c>
      <c r="R28" s="31" t="n">
        <f aca="false">IF(R13&gt;0,(Q22+IF(Source_Data!R$6=Inputs!$B$12,Inputs!$B$7,0)+R7)/R13,"")</f>
        <v>16.3089291336898</v>
      </c>
      <c r="S28" s="31" t="n">
        <f aca="false">IF(S13&gt;0,(R22+IF(Source_Data!S$6=Inputs!$B$12,Inputs!$B$7,0)+S7)/S13,"")</f>
        <v>25.1358679201856</v>
      </c>
      <c r="T28" s="31" t="n">
        <f aca="false">IF(T13&gt;0,(S22+IF(Source_Data!T$6=Inputs!$B$12,Inputs!$B$7,0)+T7)/T13,"")</f>
        <v>19.3127404231441</v>
      </c>
      <c r="U28" s="31" t="n">
        <f aca="false">IF(U13&gt;0,(T22+IF(Source_Data!U$6=Inputs!$B$12,Inputs!$B$7,0)+U7)/U13,"")</f>
        <v>13.413930373815</v>
      </c>
      <c r="V28" s="31" t="n">
        <f aca="false">IF(V13&gt;0,(U22+IF(Source_Data!V$6=Inputs!$B$12,Inputs!$B$7,0)+V7)/V13,"")</f>
        <v>14.5502890793933</v>
      </c>
      <c r="W28" s="31" t="n">
        <f aca="false">IF(W13&gt;0,(V22+IF(Source_Data!W$6=Inputs!$B$12,Inputs!$B$7,0)+W7)/W13,"")</f>
        <v>15.5928011499077</v>
      </c>
      <c r="X28" s="31" t="n">
        <f aca="false">IF(X13&gt;0,(W22+IF(Source_Data!X$6=Inputs!$B$12,Inputs!$B$7,0)+X7)/X13,"")</f>
        <v>17.9778590915292</v>
      </c>
      <c r="Y28" s="31" t="n">
        <f aca="false">IF(Y13&gt;0,(X22+IF(Source_Data!Y$6=Inputs!$B$12,Inputs!$B$7,0)+Y7)/Y13,"")</f>
        <v>19.9818074465967</v>
      </c>
      <c r="Z28" s="31" t="n">
        <f aca="false">IF(Z13&gt;0,(Y22+IF(Source_Data!Z$6=Inputs!$B$12,Inputs!$B$7,0)+Z7)/Z13,"")</f>
        <v>21.5856800984187</v>
      </c>
      <c r="AA28" s="31" t="n">
        <f aca="false">IF(AA13&gt;0,(Z22+IF(Source_Data!AA$6=Inputs!$B$12,Inputs!$B$7,0)+AA7)/AA13,"")</f>
        <v>22.6900149495285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314</v>
      </c>
      <c r="B31" s="7" t="s">
        <v>315</v>
      </c>
      <c r="C31" s="7" t="s">
        <v>316</v>
      </c>
      <c r="D31" s="7" t="s">
        <v>317</v>
      </c>
    </row>
    <row r="32" customFormat="false" ht="15" hidden="false" customHeight="false" outlineLevel="0" collapsed="false">
      <c r="A32" s="3" t="s">
        <v>318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319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280</v>
      </c>
      <c r="B34" s="39" t="n">
        <f aca="false">(1+IRR(D14:BK14,0.05))^4-1</f>
        <v>0.265463994839995</v>
      </c>
      <c r="C34" s="39" t="n">
        <f aca="false">(1+IRR(D15:BK15,0.05))^4-1</f>
        <v>0.286576617841086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0.286576617841086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269</v>
      </c>
      <c r="B36" s="41" t="n">
        <f aca="false">SUMPRODUCT(D17:BK17,Project_CF!$D$15:$BK$15)</f>
        <v>-38.5552850909852</v>
      </c>
      <c r="C36" s="41" t="n">
        <f aca="false">SUMPRODUCT(D18:BK18,Project_CF!$D$15:$BK$15)</f>
        <v>-42.4690282390568</v>
      </c>
      <c r="D36" s="41" t="n">
        <f aca="false">SUMPRODUCT(D19:BK19,Project_CF!$D$15:$BK$15)</f>
        <v>-40.136077090864</v>
      </c>
    </row>
    <row r="37" customFormat="false" ht="15" hidden="false" customHeight="false" outlineLevel="0" collapsed="false">
      <c r="A37" s="3" t="s">
        <v>320</v>
      </c>
      <c r="B37" s="43" t="n">
        <f aca="false">MIN(D23:BK23)</f>
        <v>-6.74262926086957</v>
      </c>
      <c r="C37" s="43" t="n">
        <f aca="false">MIN(D25:BK25)</f>
        <v>-5.82289406823288</v>
      </c>
      <c r="D37" s="43" t="n">
        <f aca="false">MIN(D27:BK27)</f>
        <v>-7.07956196199855</v>
      </c>
    </row>
    <row r="38" customFormat="false" ht="15" hidden="false" customHeight="false" outlineLevel="0" collapsed="false">
      <c r="A38" s="3" t="s">
        <v>321</v>
      </c>
      <c r="B38" s="35" t="n">
        <f aca="false">COUNTIF(D23:BK23,"&lt;"&amp;Inputs!$B$43)</f>
        <v>4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322</v>
      </c>
      <c r="B40" s="43" t="n">
        <f aca="false">MIN(D24:BK24)</f>
        <v>3.50099315217391</v>
      </c>
      <c r="C40" s="43" t="n">
        <f aca="false">MIN(D26:BK26)</f>
        <v>2.95376542774163</v>
      </c>
      <c r="D40" s="43" t="n">
        <f aca="false">MIN(D28:BK28)</f>
        <v>3.66054617667702</v>
      </c>
    </row>
    <row r="41" customFormat="false" ht="15" hidden="false" customHeight="false" outlineLevel="0" collapsed="false">
      <c r="A41" s="3" t="s">
        <v>323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324</v>
      </c>
      <c r="B42" s="41" t="n">
        <f aca="false">MIN(D20:BK20)</f>
        <v>-2.01806250000001</v>
      </c>
      <c r="C42" s="41" t="n">
        <f aca="false">MIN(D21:BK21)</f>
        <v>-2.01806250000001</v>
      </c>
      <c r="D42" s="41" t="n">
        <f aca="false">MIN(D22:BK22)</f>
        <v>-2.01806250000001</v>
      </c>
    </row>
    <row r="43" customFormat="false" ht="15" hidden="false" customHeight="false" outlineLevel="0" collapsed="false">
      <c r="A43" s="3" t="s">
        <v>325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326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327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-100</v>
      </c>
      <c r="N47" s="33" t="n">
        <f aca="false">M47+N14</f>
        <v>-100</v>
      </c>
      <c r="O47" s="33" t="n">
        <f aca="false">N47+O14</f>
        <v>-100</v>
      </c>
      <c r="P47" s="33" t="n">
        <f aca="false">O47+P14</f>
        <v>-80.8333333333333</v>
      </c>
      <c r="Q47" s="33" t="n">
        <f aca="false">P47+Q14</f>
        <v>-61.6666666666667</v>
      </c>
      <c r="R47" s="33" t="n">
        <f aca="false">Q47+R14</f>
        <v>-42.5</v>
      </c>
      <c r="S47" s="33" t="n">
        <f aca="false">R47+S14</f>
        <v>-23.3333333333334</v>
      </c>
      <c r="T47" s="33" t="n">
        <f aca="false">S47+T14</f>
        <v>-4.16666666666669</v>
      </c>
      <c r="U47" s="33" t="n">
        <f aca="false">T47+U14</f>
        <v>15</v>
      </c>
      <c r="V47" s="33" t="n">
        <f aca="false">U47+V14</f>
        <v>34.1666666666666</v>
      </c>
      <c r="W47" s="33" t="n">
        <f aca="false">V47+W14</f>
        <v>53.3333333333333</v>
      </c>
      <c r="X47" s="33" t="n">
        <f aca="false">W47+X14</f>
        <v>72.5</v>
      </c>
      <c r="Y47" s="33" t="n">
        <f aca="false">X47+Y14</f>
        <v>91.6666666666666</v>
      </c>
      <c r="Z47" s="33" t="n">
        <f aca="false">Y47+Z14</f>
        <v>110.833333333333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328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329</v>
      </c>
    </row>
    <row r="2" customFormat="false" ht="15" hidden="false" customHeight="false" outlineLevel="0" collapsed="false">
      <c r="A2" s="6" t="s">
        <v>330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331</v>
      </c>
      <c r="B5" s="45" t="n">
        <v>1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10.61565</v>
      </c>
      <c r="I22" s="33" t="n">
        <f aca="false">H22+IF(Source_Data!I$6=Inputs!$B$12,Inputs!$B$7,0)+I17-I20</f>
        <v>24.34695</v>
      </c>
      <c r="J22" s="33" t="n">
        <f aca="false">I22+IF(Source_Data!J$6=Inputs!$B$12,Inputs!$B$7,0)+J17-J20</f>
        <v>37.107775</v>
      </c>
      <c r="K22" s="33" t="n">
        <f aca="false">J22+IF(Source_Data!K$6=Inputs!$B$12,Inputs!$B$7,0)+K17-K20</f>
        <v>53.266165</v>
      </c>
      <c r="L22" s="33" t="n">
        <f aca="false">K22+IF(Source_Data!L$6=Inputs!$B$12,Inputs!$B$7,0)+L17-L20</f>
        <v>14.86119</v>
      </c>
      <c r="M22" s="33" t="n">
        <f aca="false">L22+IF(Source_Data!M$6=Inputs!$B$12,Inputs!$B$7,0)+M17-M20</f>
        <v>-2.01806250000001</v>
      </c>
      <c r="N22" s="33" t="n">
        <f aca="false">M22+IF(Source_Data!N$6=Inputs!$B$12,Inputs!$B$7,0)+N17-N20</f>
        <v>-0.9419475</v>
      </c>
      <c r="O22" s="33" t="n">
        <f aca="false">N22+IF(Source_Data!O$6=Inputs!$B$12,Inputs!$B$7,0)+O17-O20</f>
        <v>22.1040525</v>
      </c>
      <c r="P22" s="33" t="n">
        <f aca="false">O22+IF(Source_Data!P$6=Inputs!$B$12,Inputs!$B$7,0)+P17-P20</f>
        <v>47.9357020833334</v>
      </c>
      <c r="Q22" s="33" t="n">
        <f aca="false">P22+IF(Source_Data!Q$6=Inputs!$B$12,Inputs!$B$7,0)+Q17-Q20</f>
        <v>83.9490179166667</v>
      </c>
      <c r="R22" s="33" t="n">
        <f aca="false">Q22+IF(Source_Data!R$6=Inputs!$B$12,Inputs!$B$7,0)+R17-R20</f>
        <v>546.07835875</v>
      </c>
      <c r="S22" s="33" t="n">
        <f aca="false">R22+IF(Source_Data!S$6=Inputs!$B$12,Inputs!$B$7,0)+S17-S20</f>
        <v>496.757424583333</v>
      </c>
      <c r="T22" s="33" t="n">
        <f aca="false">S22+IF(Source_Data!T$6=Inputs!$B$12,Inputs!$B$7,0)+T17-T20</f>
        <v>348.357030416666</v>
      </c>
      <c r="U22" s="33" t="n">
        <f aca="false">T22+IF(Source_Data!U$6=Inputs!$B$12,Inputs!$B$7,0)+U17-U20</f>
        <v>230.74703625</v>
      </c>
      <c r="V22" s="33" t="n">
        <f aca="false">U22+IF(Source_Data!V$6=Inputs!$B$12,Inputs!$B$7,0)+V17-V20</f>
        <v>248.380357083333</v>
      </c>
      <c r="W22" s="33" t="n">
        <f aca="false">V22+IF(Source_Data!W$6=Inputs!$B$12,Inputs!$B$7,0)+W17-W20</f>
        <v>264.202112916666</v>
      </c>
      <c r="X22" s="33" t="n">
        <f aca="false">W22+IF(Source_Data!X$6=Inputs!$B$12,Inputs!$B$7,0)+X17-X20</f>
        <v>299.814908125</v>
      </c>
      <c r="Y22" s="33" t="n">
        <f aca="false">X22+IF(Source_Data!Y$6=Inputs!$B$12,Inputs!$B$7,0)+Y17-Y20</f>
        <v>328.301655208333</v>
      </c>
      <c r="Z22" s="33" t="n">
        <f aca="false">Y22+IF(Source_Data!Z$6=Inputs!$B$12,Inputs!$B$7,0)+Z17-Z20</f>
        <v>347.972864791666</v>
      </c>
      <c r="AA22" s="33" t="n">
        <f aca="false">Z22+IF(Source_Data!AA$6=Inputs!$B$12,Inputs!$B$7,0)+AA17-AA20</f>
        <v>357.352446874999</v>
      </c>
      <c r="AB22" s="33" t="n">
        <f aca="false">AA22+IF(Source_Data!AB$6=Inputs!$B$12,Inputs!$B$7,0)+AB17-AB20</f>
        <v>408.398695624999</v>
      </c>
      <c r="AC22" s="33" t="n">
        <f aca="false">AB22+IF(Source_Data!AC$6=Inputs!$B$12,Inputs!$B$7,0)+AC17-AC20</f>
        <v>459.444944374999</v>
      </c>
      <c r="AD22" s="33" t="n">
        <f aca="false">AC22+IF(Source_Data!AD$6=Inputs!$B$12,Inputs!$B$7,0)+AD17-AD20</f>
        <v>510.491193124999</v>
      </c>
      <c r="AE22" s="33" t="n">
        <f aca="false">AD22+IF(Source_Data!AE$6=Inputs!$B$12,Inputs!$B$7,0)+AE17-AE20</f>
        <v>561.537441874999</v>
      </c>
      <c r="AF22" s="33" t="n">
        <f aca="false">AE22+IF(Source_Data!AF$6=Inputs!$B$12,Inputs!$B$7,0)+AF17-AF20</f>
        <v>364.2772134375</v>
      </c>
      <c r="AG22" s="33" t="n">
        <f aca="false">AF22+IF(Source_Data!AG$6=Inputs!$B$12,Inputs!$B$7,0)+AG17-AG20</f>
        <v>384.98650453125</v>
      </c>
      <c r="AH22" s="33" t="n">
        <f aca="false">AG22+IF(Source_Data!AH$6=Inputs!$B$12,Inputs!$B$7,0)+AH17-AH20</f>
        <v>403.52569171875</v>
      </c>
      <c r="AI22" s="33" t="n">
        <f aca="false">AH22+IF(Source_Data!AI$6=Inputs!$B$12,Inputs!$B$7,0)+AI17-AI20</f>
        <v>419.894774999999</v>
      </c>
      <c r="AJ22" s="33" t="n">
        <f aca="false">AI22+IF(Source_Data!AJ$6=Inputs!$B$12,Inputs!$B$7,0)+AJ17-AJ20</f>
        <v>432.766531406249</v>
      </c>
      <c r="AK22" s="33" t="n">
        <f aca="false">AJ22+IF(Source_Data!AK$6=Inputs!$B$12,Inputs!$B$7,0)+AK17-AK20</f>
        <v>443.612857499999</v>
      </c>
      <c r="AL22" s="33" t="n">
        <f aca="false">AK22+IF(Source_Data!AL$6=Inputs!$B$12,Inputs!$B$7,0)+AL17-AL20</f>
        <v>453.064865624999</v>
      </c>
      <c r="AM22" s="33" t="n">
        <f aca="false">AL22+IF(Source_Data!AM$6=Inputs!$B$12,Inputs!$B$7,0)+AM17-AM20</f>
        <v>457.140886874999</v>
      </c>
      <c r="AN22" s="33" t="n">
        <f aca="false">AM22+IF(Source_Data!AN$6=Inputs!$B$12,Inputs!$B$7,0)+AN17-AN20</f>
        <v>461.216908124999</v>
      </c>
      <c r="AO22" s="33" t="n">
        <f aca="false">AN22+IF(Source_Data!AO$6=Inputs!$B$12,Inputs!$B$7,0)+AO17-AO20</f>
        <v>465.292929374999</v>
      </c>
      <c r="AP22" s="33" t="n">
        <f aca="false">AO22+IF(Source_Data!AP$6=Inputs!$B$12,Inputs!$B$7,0)+AP17-AP20</f>
        <v>465.292929374999</v>
      </c>
      <c r="AQ22" s="33" t="n">
        <f aca="false">AP22+IF(Source_Data!AQ$6=Inputs!$B$12,Inputs!$B$7,0)+AQ17-AQ20</f>
        <v>465.292929374999</v>
      </c>
      <c r="AR22" s="33" t="n">
        <f aca="false">AQ22+IF(Source_Data!AR$6=Inputs!$B$12,Inputs!$B$7,0)+AR17-AR20</f>
        <v>465.292929374999</v>
      </c>
      <c r="AS22" s="33" t="n">
        <f aca="false">AR22+IF(Source_Data!AS$6=Inputs!$B$12,Inputs!$B$7,0)+AS17-AS20</f>
        <v>465.292929374999</v>
      </c>
      <c r="AT22" s="33" t="n">
        <f aca="false">AS22+IF(Source_Data!AT$6=Inputs!$B$12,Inputs!$B$7,0)+AT17-AT20</f>
        <v>465.292929374999</v>
      </c>
      <c r="AU22" s="33" t="n">
        <f aca="false">AT22+IF(Source_Data!AU$6=Inputs!$B$12,Inputs!$B$7,0)+AU17-AU20</f>
        <v>465.292929374999</v>
      </c>
      <c r="AV22" s="33" t="n">
        <f aca="false">AU22+IF(Source_Data!AV$6=Inputs!$B$12,Inputs!$B$7,0)+AV17-AV20</f>
        <v>465.292929374999</v>
      </c>
      <c r="AW22" s="33" t="n">
        <f aca="false">AV22+IF(Source_Data!AW$6=Inputs!$B$12,Inputs!$B$7,0)+AW17-AW20</f>
        <v>465.292929374999</v>
      </c>
      <c r="AX22" s="33" t="n">
        <f aca="false">AW22+IF(Source_Data!AX$6=Inputs!$B$12,Inputs!$B$7,0)+AX17-AX20</f>
        <v>465.292929374999</v>
      </c>
      <c r="AY22" s="33" t="n">
        <f aca="false">AX22+IF(Source_Data!AY$6=Inputs!$B$12,Inputs!$B$7,0)+AY17-AY20</f>
        <v>465.292929374999</v>
      </c>
      <c r="AZ22" s="33" t="n">
        <f aca="false">AY22+IF(Source_Data!AZ$6=Inputs!$B$12,Inputs!$B$7,0)+AZ17-AZ20</f>
        <v>465.292929374999</v>
      </c>
      <c r="BA22" s="33" t="n">
        <f aca="false">AZ22+IF(Source_Data!BA$6=Inputs!$B$12,Inputs!$B$7,0)+BA17-BA20</f>
        <v>465.292929374999</v>
      </c>
      <c r="BB22" s="33" t="n">
        <f aca="false">BA22+IF(Source_Data!BB$6=Inputs!$B$12,Inputs!$B$7,0)+BB17-BB20</f>
        <v>465.292929374999</v>
      </c>
      <c r="BC22" s="33" t="n">
        <f aca="false">BB22+IF(Source_Data!BC$6=Inputs!$B$12,Inputs!$B$7,0)+BC17-BC20</f>
        <v>465.292929374999</v>
      </c>
      <c r="BD22" s="33" t="n">
        <f aca="false">BC22+IF(Source_Data!BD$6=Inputs!$B$12,Inputs!$B$7,0)+BD17-BD20</f>
        <v>465.292929374999</v>
      </c>
      <c r="BE22" s="33" t="n">
        <f aca="false">BD22+IF(Source_Data!BE$6=Inputs!$B$12,Inputs!$B$7,0)+BE17-BE20</f>
        <v>465.292929374999</v>
      </c>
      <c r="BF22" s="33" t="n">
        <f aca="false">BE22+IF(Source_Data!BF$6=Inputs!$B$12,Inputs!$B$7,0)+BF17-BF20</f>
        <v>465.292929374999</v>
      </c>
      <c r="BG22" s="33" t="n">
        <f aca="false">BF22+IF(Source_Data!BG$6=Inputs!$B$12,Inputs!$B$7,0)+BG17-BG20</f>
        <v>465.292929374999</v>
      </c>
      <c r="BH22" s="33" t="n">
        <f aca="false">BG22+IF(Source_Data!BH$6=Inputs!$B$12,Inputs!$B$7,0)+BH17-BH20</f>
        <v>465.292929374999</v>
      </c>
      <c r="BI22" s="33" t="n">
        <f aca="false">BH22+IF(Source_Data!BI$6=Inputs!$B$12,Inputs!$B$7,0)+BI17-BI20</f>
        <v>465.292929374999</v>
      </c>
      <c r="BJ22" s="33" t="n">
        <f aca="false">BI22+IF(Source_Data!BJ$6=Inputs!$B$12,Inputs!$B$7,0)+BJ17-BJ20</f>
        <v>465.292929374999</v>
      </c>
      <c r="BK22" s="33" t="n">
        <f aca="false">BJ22+IF(Source_Data!BK$6=Inputs!$B$12,Inputs!$B$7,0)+BK17-BK20</f>
        <v>465.292929374999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2.34773823913044</v>
      </c>
      <c r="Q23" s="31" t="n">
        <f aca="false">IF(Q20&gt;0,Q17/Q20,"")</f>
        <v>2.87895560869565</v>
      </c>
      <c r="R23" s="31" t="n">
        <f aca="false">IF(R20&gt;0,R17/R20,"")</f>
        <v>25.1110960434783</v>
      </c>
      <c r="S23" s="31" t="n">
        <f aca="false">IF(S20&gt;0,S17/S20,"")</f>
        <v>-1.57326613043478</v>
      </c>
      <c r="T23" s="31" t="n">
        <f aca="false">IF(T20&gt;0,T17/T20,"")</f>
        <v>-6.74262926086957</v>
      </c>
      <c r="U23" s="31" t="n">
        <f aca="false">IF(U20&gt;0,U17/U20,"")</f>
        <v>-5.13617360869566</v>
      </c>
      <c r="V23" s="31" t="n">
        <f aca="false">IF(V20&gt;0,V17/V20,"")</f>
        <v>1.91999934782609</v>
      </c>
      <c r="W23" s="31" t="n">
        <f aca="false">IF(W20&gt;0,W17/W20,"")</f>
        <v>1.82548291304348</v>
      </c>
      <c r="X23" s="31" t="n">
        <f aca="false">IF(X20&gt;0,X17/X20,"")</f>
        <v>2.85805888043478</v>
      </c>
      <c r="Y23" s="31" t="n">
        <f aca="false">IF(Y20&gt;0,Y17/Y20,"")</f>
        <v>2.48626506521739</v>
      </c>
      <c r="Z23" s="31" t="n">
        <f aca="false">IF(Z20&gt;0,Z17/Z20,"")</f>
        <v>2.02632397826087</v>
      </c>
      <c r="AA23" s="31" t="n">
        <f aca="false">IF(AA20&gt;0,AA17/AA20,"")</f>
        <v>1.4893695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3.50099315217391</v>
      </c>
      <c r="Q24" s="31" t="n">
        <f aca="false">IF(Q20&gt;0,(P22+Q17+IF(Source_Data!Q$6=Inputs!$B$12,Inputs!$B$7,0))/Q20,"")</f>
        <v>5.37994876086957</v>
      </c>
      <c r="R24" s="31" t="n">
        <f aca="false">IF(R20&gt;0,(Q22+R17+IF(Source_Data!R$6=Inputs!$B$12,Inputs!$B$7,0))/R20,"")</f>
        <v>29.4910448043478</v>
      </c>
      <c r="S24" s="31" t="n">
        <f aca="false">IF(S20&gt;0,(R22+S17+IF(Source_Data!S$6=Inputs!$B$12,Inputs!$B$7,0))/S20,"")</f>
        <v>26.917778673913</v>
      </c>
      <c r="T24" s="31" t="n">
        <f aca="false">IF(T20&gt;0,(S22+T17+IF(Source_Data!T$6=Inputs!$B$12,Inputs!$B$7,0))/T20,"")</f>
        <v>19.1751494130435</v>
      </c>
      <c r="U24" s="31" t="n">
        <f aca="false">IF(U20&gt;0,(T22+U17+IF(Source_Data!U$6=Inputs!$B$12,Inputs!$B$7,0))/U20,"")</f>
        <v>13.0389758043478</v>
      </c>
      <c r="V24" s="31" t="n">
        <f aca="false">IF(V20&gt;0,(U22+V17+IF(Source_Data!V$6=Inputs!$B$12,Inputs!$B$7,0))/V20,"")</f>
        <v>13.9589751521739</v>
      </c>
      <c r="W24" s="31" t="n">
        <f aca="false">IF(W20&gt;0,(V22+W17+IF(Source_Data!W$6=Inputs!$B$12,Inputs!$B$7,0))/W20,"")</f>
        <v>14.7844580652174</v>
      </c>
      <c r="X24" s="31" t="n">
        <f aca="false">IF(X20&gt;0,(W22+X17+IF(Source_Data!X$6=Inputs!$B$12,Inputs!$B$7,0))/X20,"")</f>
        <v>16.6425169456522</v>
      </c>
      <c r="Y24" s="31" t="n">
        <f aca="false">IF(Y20&gt;0,(X22+Y17+IF(Source_Data!Y$6=Inputs!$B$12,Inputs!$B$7,0))/Y20,"")</f>
        <v>18.1287820108695</v>
      </c>
      <c r="Z24" s="31" t="n">
        <f aca="false">IF(Z20&gt;0,(Y22+Z17+IF(Source_Data!Z$6=Inputs!$B$12,Inputs!$B$7,0))/Z20,"")</f>
        <v>19.1551059891304</v>
      </c>
      <c r="AA24" s="31" t="n">
        <f aca="false">IF(AA20&gt;0,(Z22+AA17+IF(Source_Data!AA$6=Inputs!$B$12,Inputs!$B$7,0))/AA20,"")</f>
        <v>19.6444754891304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-2.01806250000001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-6.74262926086957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4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3.50099315217391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4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64.6666666666667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64.6666666666667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64.6666666666667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64.6666666666667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-7.5</v>
      </c>
      <c r="I58" s="33" t="n">
        <f aca="false">H58+IF(Source_Data!I$6=Inputs!$B$12,Inputs!$B$7,0)+I53-I56</f>
        <v>-30</v>
      </c>
      <c r="J58" s="33" t="n">
        <f aca="false">I58+IF(Source_Data!J$6=Inputs!$B$12,Inputs!$B$7,0)+J53-J56</f>
        <v>-75.5</v>
      </c>
      <c r="K58" s="33" t="n">
        <f aca="false">J58+IF(Source_Data!K$6=Inputs!$B$12,Inputs!$B$7,0)+K53-K56</f>
        <v>-128.36</v>
      </c>
      <c r="L58" s="33" t="n">
        <f aca="false">K58+IF(Source_Data!L$6=Inputs!$B$12,Inputs!$B$7,0)+L53-L56</f>
        <v>-203.055915</v>
      </c>
      <c r="M58" s="33" t="n">
        <f aca="false">L58+IF(Source_Data!M$6=Inputs!$B$12,Inputs!$B$7,0)+M53-M56</f>
        <v>-245.807745</v>
      </c>
      <c r="N58" s="33" t="n">
        <f aca="false">M58+IF(Source_Data!N$6=Inputs!$B$12,Inputs!$B$7,0)+N53-N56</f>
        <v>-268.7330025</v>
      </c>
      <c r="O58" s="33" t="n">
        <f aca="false">N58+IF(Source_Data!O$6=Inputs!$B$12,Inputs!$B$7,0)+O53-O56</f>
        <v>-281.9764515</v>
      </c>
      <c r="P58" s="33" t="n">
        <f aca="false">O58+IF(Source_Data!P$6=Inputs!$B$12,Inputs!$B$7,0)+P53-P56</f>
        <v>-316.129595666667</v>
      </c>
      <c r="Q58" s="33" t="n">
        <f aca="false">P58+IF(Source_Data!Q$6=Inputs!$B$12,Inputs!$B$7,0)+Q53-Q56</f>
        <v>-344.985589583333</v>
      </c>
      <c r="R58" s="33" t="n">
        <f aca="false">Q58+IF(Source_Data!R$6=Inputs!$B$12,Inputs!$B$7,0)+R53-R56</f>
        <v>-489.60975275</v>
      </c>
      <c r="S58" s="33" t="n">
        <f aca="false">R58+IF(Source_Data!S$6=Inputs!$B$12,Inputs!$B$7,0)+S53-S56</f>
        <v>-614.461019416667</v>
      </c>
      <c r="T58" s="33" t="n">
        <f aca="false">S58+IF(Source_Data!T$6=Inputs!$B$12,Inputs!$B$7,0)+T53-T56</f>
        <v>-770.639401458333</v>
      </c>
      <c r="U58" s="33" t="n">
        <f aca="false">T58+IF(Source_Data!U$6=Inputs!$B$12,Inputs!$B$7,0)+U53-U56</f>
        <v>-863.604283875</v>
      </c>
      <c r="V58" s="33" t="n">
        <f aca="false">U58+IF(Source_Data!V$6=Inputs!$B$12,Inputs!$B$7,0)+V53-V56</f>
        <v>-319.779543791667</v>
      </c>
      <c r="W58" s="33" t="n">
        <f aca="false">V58+IF(Source_Data!W$6=Inputs!$B$12,Inputs!$B$7,0)+W53-W56</f>
        <v>-236.260051208334</v>
      </c>
      <c r="X58" s="33" t="n">
        <f aca="false">W58+IF(Source_Data!X$6=Inputs!$B$12,Inputs!$B$7,0)+X53-X56</f>
        <v>-183.997072625</v>
      </c>
      <c r="Y58" s="33" t="n">
        <f aca="false">X58+IF(Source_Data!Y$6=Inputs!$B$12,Inputs!$B$7,0)+Y53-Y56</f>
        <v>-152.667734041667</v>
      </c>
      <c r="Z58" s="33" t="n">
        <f aca="false">Y58+IF(Source_Data!Z$6=Inputs!$B$12,Inputs!$B$7,0)+Z53-Z56</f>
        <v>-120.714411958334</v>
      </c>
      <c r="AA58" s="33" t="n">
        <f aca="false">Z58+IF(Source_Data!AA$6=Inputs!$B$12,Inputs!$B$7,0)+AA53-AA56</f>
        <v>-90.3914983750005</v>
      </c>
      <c r="AB58" s="33" t="n">
        <f aca="false">AA58+IF(Source_Data!AB$6=Inputs!$B$12,Inputs!$B$7,0)+AB53-AB56</f>
        <v>-20.8399826875005</v>
      </c>
      <c r="AC58" s="33" t="n">
        <f aca="false">AB58+IF(Source_Data!AC$6=Inputs!$B$12,Inputs!$B$7,0)+AC53-AC56</f>
        <v>42.2980896874996</v>
      </c>
      <c r="AD58" s="33" t="n">
        <f aca="false">AC58+IF(Source_Data!AD$6=Inputs!$B$12,Inputs!$B$7,0)+AD53-AD56</f>
        <v>97.5021783124996</v>
      </c>
      <c r="AE58" s="33" t="n">
        <f aca="false">AD58+IF(Source_Data!AE$6=Inputs!$B$12,Inputs!$B$7,0)+AE53-AE56</f>
        <v>143.4438021875</v>
      </c>
      <c r="AF58" s="33" t="n">
        <f aca="false">AE58+IF(Source_Data!AF$6=Inputs!$B$12,Inputs!$B$7,0)+AF53-AF56</f>
        <v>36.4277056184903</v>
      </c>
      <c r="AG58" s="33" t="n">
        <f aca="false">AF58+IF(Source_Data!AG$6=Inputs!$B$12,Inputs!$B$7,0)+AG53-AG56</f>
        <v>72.154527171739</v>
      </c>
      <c r="AH58" s="33" t="n">
        <f aca="false">AG58+IF(Source_Data!AH$6=Inputs!$B$12,Inputs!$B$7,0)+AH53-AH56</f>
        <v>108.951746659888</v>
      </c>
      <c r="AI58" s="33" t="n">
        <f aca="false">AH58+IF(Source_Data!AI$6=Inputs!$B$12,Inputs!$B$7,0)+AI53-AI56</f>
        <v>146.819364082938</v>
      </c>
      <c r="AJ58" s="33" t="n">
        <f aca="false">AI58+IF(Source_Data!AJ$6=Inputs!$B$12,Inputs!$B$7,0)+AJ53-AJ56</f>
        <v>180.008649550168</v>
      </c>
      <c r="AK58" s="33" t="n">
        <f aca="false">AJ58+IF(Source_Data!AK$6=Inputs!$B$12,Inputs!$B$7,0)+AK53-AK56</f>
        <v>207.793594027472</v>
      </c>
      <c r="AL58" s="33" t="n">
        <f aca="false">AK58+IF(Source_Data!AL$6=Inputs!$B$12,Inputs!$B$7,0)+AL53-AL56</f>
        <v>232.794115855461</v>
      </c>
      <c r="AM58" s="33" t="n">
        <f aca="false">AL58+IF(Source_Data!AM$6=Inputs!$B$12,Inputs!$B$7,0)+AM53-AM56</f>
        <v>256.974162549474</v>
      </c>
      <c r="AN58" s="33" t="n">
        <f aca="false">AM58+IF(Source_Data!AN$6=Inputs!$B$12,Inputs!$B$7,0)+AN53-AN56</f>
        <v>275.558486243487</v>
      </c>
      <c r="AO58" s="33" t="n">
        <f aca="false">AN58+IF(Source_Data!AO$6=Inputs!$B$12,Inputs!$B$7,0)+AO53-AO56</f>
        <v>290.902121437499</v>
      </c>
      <c r="AP58" s="33" t="n">
        <f aca="false">AO58+IF(Source_Data!AP$6=Inputs!$B$12,Inputs!$B$7,0)+AP53-AP56</f>
        <v>306.025334437499</v>
      </c>
      <c r="AQ58" s="33" t="n">
        <f aca="false">AP58+IF(Source_Data!AQ$6=Inputs!$B$12,Inputs!$B$7,0)+AQ53-AQ56</f>
        <v>312.546968437499</v>
      </c>
      <c r="AR58" s="33" t="n">
        <f aca="false">AQ58+IF(Source_Data!AR$6=Inputs!$B$12,Inputs!$B$7,0)+AR53-AR56</f>
        <v>319.068602437499</v>
      </c>
      <c r="AS58" s="33" t="n">
        <f aca="false">AR58+IF(Source_Data!AS$6=Inputs!$B$12,Inputs!$B$7,0)+AS53-AS56</f>
        <v>325.590236437499</v>
      </c>
      <c r="AT58" s="33" t="n">
        <f aca="false">AS58+IF(Source_Data!AT$6=Inputs!$B$12,Inputs!$B$7,0)+AT53-AT56</f>
        <v>325.590236437499</v>
      </c>
      <c r="AU58" s="33" t="n">
        <f aca="false">AT58+IF(Source_Data!AU$6=Inputs!$B$12,Inputs!$B$7,0)+AU53-AU56</f>
        <v>325.590236437499</v>
      </c>
      <c r="AV58" s="33" t="n">
        <f aca="false">AU58+IF(Source_Data!AV$6=Inputs!$B$12,Inputs!$B$7,0)+AV53-AV56</f>
        <v>325.590236437499</v>
      </c>
      <c r="AW58" s="33" t="n">
        <f aca="false">AV58+IF(Source_Data!AW$6=Inputs!$B$12,Inputs!$B$7,0)+AW53-AW56</f>
        <v>325.590236437499</v>
      </c>
      <c r="AX58" s="33" t="n">
        <f aca="false">AW58+IF(Source_Data!AX$6=Inputs!$B$12,Inputs!$B$7,0)+AX53-AX56</f>
        <v>325.590236437499</v>
      </c>
      <c r="AY58" s="33" t="n">
        <f aca="false">AX58+IF(Source_Data!AY$6=Inputs!$B$12,Inputs!$B$7,0)+AY53-AY56</f>
        <v>325.590236437499</v>
      </c>
      <c r="AZ58" s="33" t="n">
        <f aca="false">AY58+IF(Source_Data!AZ$6=Inputs!$B$12,Inputs!$B$7,0)+AZ53-AZ56</f>
        <v>325.590236437499</v>
      </c>
      <c r="BA58" s="33" t="n">
        <f aca="false">AZ58+IF(Source_Data!BA$6=Inputs!$B$12,Inputs!$B$7,0)+BA53-BA56</f>
        <v>325.590236437499</v>
      </c>
      <c r="BB58" s="33" t="n">
        <f aca="false">BA58+IF(Source_Data!BB$6=Inputs!$B$12,Inputs!$B$7,0)+BB53-BB56</f>
        <v>325.590236437499</v>
      </c>
      <c r="BC58" s="33" t="n">
        <f aca="false">BB58+IF(Source_Data!BC$6=Inputs!$B$12,Inputs!$B$7,0)+BC53-BC56</f>
        <v>325.590236437499</v>
      </c>
      <c r="BD58" s="33" t="n">
        <f aca="false">BC58+IF(Source_Data!BD$6=Inputs!$B$12,Inputs!$B$7,0)+BD53-BD56</f>
        <v>325.590236437499</v>
      </c>
      <c r="BE58" s="33" t="n">
        <f aca="false">BD58+IF(Source_Data!BE$6=Inputs!$B$12,Inputs!$B$7,0)+BE53-BE56</f>
        <v>325.590236437499</v>
      </c>
      <c r="BF58" s="33" t="n">
        <f aca="false">BE58+IF(Source_Data!BF$6=Inputs!$B$12,Inputs!$B$7,0)+BF53-BF56</f>
        <v>325.590236437499</v>
      </c>
      <c r="BG58" s="33" t="n">
        <f aca="false">BF58+IF(Source_Data!BG$6=Inputs!$B$12,Inputs!$B$7,0)+BG53-BG56</f>
        <v>325.590236437499</v>
      </c>
      <c r="BH58" s="33" t="n">
        <f aca="false">BG58+IF(Source_Data!BH$6=Inputs!$B$12,Inputs!$B$7,0)+BH53-BH56</f>
        <v>325.590236437499</v>
      </c>
      <c r="BI58" s="33" t="n">
        <f aca="false">BH58+IF(Source_Data!BI$6=Inputs!$B$12,Inputs!$B$7,0)+BI53-BI56</f>
        <v>325.590236437499</v>
      </c>
      <c r="BJ58" s="33" t="n">
        <f aca="false">BI58+IF(Source_Data!BJ$6=Inputs!$B$12,Inputs!$B$7,0)+BJ53-BJ56</f>
        <v>325.590236437499</v>
      </c>
      <c r="BK58" s="33" t="n">
        <f aca="false">BJ58+IF(Source_Data!BK$6=Inputs!$B$12,Inputs!$B$7,0)+BK53-BK56</f>
        <v>325.590236437499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-0.781903173913044</v>
      </c>
      <c r="Q59" s="31" t="n">
        <f aca="false">IF(Q56&gt;0,Q53/Q56,"")</f>
        <v>-0.505530117391304</v>
      </c>
      <c r="R59" s="31" t="n">
        <f aca="false">IF(R56&gt;0,R53/R56,"")</f>
        <v>-6.54560851304348</v>
      </c>
      <c r="S59" s="31" t="n">
        <f aca="false">IF(S56&gt;0,S53/S56,"")</f>
        <v>-5.51397913043478</v>
      </c>
      <c r="T59" s="31" t="n">
        <f aca="false">IF(T56&gt;0,T53/T56,"")</f>
        <v>-7.14843732391304</v>
      </c>
      <c r="U59" s="31" t="n">
        <f aca="false">IF(U56&gt;0,U53/U56,"")</f>
        <v>-3.85034169130435</v>
      </c>
      <c r="V59" s="31" t="n">
        <f aca="false">IF(V56&gt;0,V53/V56,"")</f>
        <v>29.3734647</v>
      </c>
      <c r="W59" s="31" t="n">
        <f aca="false">IF(W56&gt;0,W53/W56,"")</f>
        <v>5.35753874347826</v>
      </c>
      <c r="X59" s="31" t="n">
        <f aca="false">IF(X56&gt;0,X53/X56,"")</f>
        <v>3.7267641</v>
      </c>
      <c r="Y59" s="31" t="n">
        <f aca="false">IF(Y56&gt;0,Y53/Y56,"")</f>
        <v>2.63457418695652</v>
      </c>
      <c r="Z59" s="31" t="n">
        <f aca="false">IF(Z56&gt;0,Z53/Z56,"")</f>
        <v>2.66712984782609</v>
      </c>
      <c r="AA59" s="31" t="n">
        <f aca="false">IF(AA56&gt;0,AA53/AA56,"")</f>
        <v>2.58206505652174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-15.4937180347826</v>
      </c>
      <c r="Q60" s="31" t="n">
        <f aca="false">IF(Q56&gt;0,(P58+Q53+IF(Source_Data!Q$6=Inputs!$B$12,Inputs!$B$7,0))/Q56,"")</f>
        <v>-16.9992481521739</v>
      </c>
      <c r="R60" s="31" t="n">
        <f aca="false">IF(R56&gt;0,(Q58+R53+IF(Source_Data!R$6=Inputs!$B$12,Inputs!$B$7,0))/R56,"")</f>
        <v>-24.5448566652174</v>
      </c>
      <c r="S60" s="31" t="n">
        <f aca="false">IF(S56&gt;0,(R58+S53+IF(Source_Data!S$6=Inputs!$B$12,Inputs!$B$7,0))/S56,"")</f>
        <v>-31.0588357956522</v>
      </c>
      <c r="T60" s="31" t="n">
        <f aca="false">IF(T56&gt;0,(S58+T53+IF(Source_Data!T$6=Inputs!$B$12,Inputs!$B$7,0))/T56,"")</f>
        <v>-39.2072731195652</v>
      </c>
      <c r="U60" s="31" t="n">
        <f aca="false">IF(U56&gt;0,(T58+U53+IF(Source_Data!U$6=Inputs!$B$12,Inputs!$B$7,0))/U56,"")</f>
        <v>-44.0576148108696</v>
      </c>
      <c r="V60" s="31" t="n">
        <f aca="false">IF(V56&gt;0,(U58+V53+IF(Source_Data!V$6=Inputs!$B$12,Inputs!$B$7,0))/V56,"")</f>
        <v>-15.6841501108696</v>
      </c>
      <c r="W60" s="31" t="n">
        <f aca="false">IF(W56&gt;0,(V58+W53+IF(Source_Data!W$6=Inputs!$B$12,Inputs!$B$7,0))/W56,"")</f>
        <v>-11.3266113673913</v>
      </c>
      <c r="X60" s="31" t="n">
        <f aca="false">IF(X56&gt;0,(W58+X53+IF(Source_Data!X$6=Inputs!$B$12,Inputs!$B$7,0))/X56,"")</f>
        <v>-8.59984726739133</v>
      </c>
      <c r="Y60" s="31" t="n">
        <f aca="false">IF(Y56&gt;0,(X58+Y53+IF(Source_Data!Y$6=Inputs!$B$12,Inputs!$B$7,0))/Y56,"")</f>
        <v>-6.96527308043481</v>
      </c>
      <c r="Z60" s="31" t="n">
        <f aca="false">IF(Z56&gt;0,(Y58+Z53+IF(Source_Data!Z$6=Inputs!$B$12,Inputs!$B$7,0))/Z56,"")</f>
        <v>-5.29814323260872</v>
      </c>
      <c r="AA60" s="31" t="n">
        <f aca="false">IF(AA56&gt;0,(Z58+AA53+IF(Source_Data!AA$6=Inputs!$B$12,Inputs!$B$7,0))/AA56,"")</f>
        <v>-3.71607817608698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-863.604283875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-7.14843732391304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-44.0576148108696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331</v>
      </c>
      <c r="B113" s="45" t="n">
        <v>1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1.1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71.8518518518519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71.8518518518519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71.8518518518519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71.8518518518519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10.61565</v>
      </c>
      <c r="I130" s="33" t="n">
        <f aca="false">H130+IF(Source_Data!I$6=Inputs!$B$12,Inputs!$B$7,0)+I125-I128</f>
        <v>24.34695</v>
      </c>
      <c r="J130" s="33" t="n">
        <f aca="false">I130+IF(Source_Data!J$6=Inputs!$B$12,Inputs!$B$7,0)+J125-J128</f>
        <v>34.807775</v>
      </c>
      <c r="K130" s="33" t="n">
        <f aca="false">J130+IF(Source_Data!K$6=Inputs!$B$12,Inputs!$B$7,0)+K125-K128</f>
        <v>47.930165</v>
      </c>
      <c r="L130" s="33" t="n">
        <f aca="false">K130+IF(Source_Data!L$6=Inputs!$B$12,Inputs!$B$7,0)+L125-L128</f>
        <v>4.92518999999998</v>
      </c>
      <c r="M130" s="33" t="n">
        <f aca="false">L130+IF(Source_Data!M$6=Inputs!$B$12,Inputs!$B$7,0)+M125-M128</f>
        <v>-14.9900625</v>
      </c>
      <c r="N130" s="33" t="n">
        <f aca="false">M130+IF(Source_Data!N$6=Inputs!$B$12,Inputs!$B$7,0)+N125-N128</f>
        <v>-16.9499475</v>
      </c>
      <c r="O130" s="33" t="n">
        <f aca="false">N130+IF(Source_Data!O$6=Inputs!$B$12,Inputs!$B$7,0)+O125-O128</f>
        <v>3.0600525</v>
      </c>
      <c r="P130" s="33" t="n">
        <f aca="false">O130+IF(Source_Data!P$6=Inputs!$B$12,Inputs!$B$7,0)+P125-P128</f>
        <v>28.2845020833333</v>
      </c>
      <c r="Q130" s="33" t="n">
        <f aca="false">P130+IF(Source_Data!Q$6=Inputs!$B$12,Inputs!$B$7,0)+Q125-Q128</f>
        <v>63.6906179166667</v>
      </c>
      <c r="R130" s="33" t="n">
        <f aca="false">Q130+IF(Source_Data!R$6=Inputs!$B$12,Inputs!$B$7,0)+R125-R128</f>
        <v>512.01995875</v>
      </c>
      <c r="S130" s="33" t="n">
        <f aca="false">R130+IF(Source_Data!S$6=Inputs!$B$12,Inputs!$B$7,0)+S125-S128</f>
        <v>448.899024583333</v>
      </c>
      <c r="T130" s="33" t="n">
        <f aca="false">S130+IF(Source_Data!T$6=Inputs!$B$12,Inputs!$B$7,0)+T125-T128</f>
        <v>281.638630416666</v>
      </c>
      <c r="U130" s="33" t="n">
        <f aca="false">T130+IF(Source_Data!U$6=Inputs!$B$12,Inputs!$B$7,0)+U125-U128</f>
        <v>150.57363625</v>
      </c>
      <c r="V130" s="33" t="n">
        <f aca="false">U130+IF(Source_Data!V$6=Inputs!$B$12,Inputs!$B$7,0)+V125-V128</f>
        <v>168.206957083333</v>
      </c>
      <c r="W130" s="33" t="n">
        <f aca="false">V130+IF(Source_Data!W$6=Inputs!$B$12,Inputs!$B$7,0)+W125-W128</f>
        <v>184.028712916666</v>
      </c>
      <c r="X130" s="33" t="n">
        <f aca="false">W130+IF(Source_Data!X$6=Inputs!$B$12,Inputs!$B$7,0)+X125-X128</f>
        <v>219.641508125</v>
      </c>
      <c r="Y130" s="33" t="n">
        <f aca="false">X130+IF(Source_Data!Y$6=Inputs!$B$12,Inputs!$B$7,0)+Y125-Y128</f>
        <v>248.128255208333</v>
      </c>
      <c r="Z130" s="33" t="n">
        <f aca="false">Y130+IF(Source_Data!Z$6=Inputs!$B$12,Inputs!$B$7,0)+Z125-Z128</f>
        <v>267.799464791666</v>
      </c>
      <c r="AA130" s="33" t="n">
        <f aca="false">Z130+IF(Source_Data!AA$6=Inputs!$B$12,Inputs!$B$7,0)+AA125-AA128</f>
        <v>277.179046874999</v>
      </c>
      <c r="AB130" s="33" t="n">
        <f aca="false">AA130+IF(Source_Data!AB$6=Inputs!$B$12,Inputs!$B$7,0)+AB125-AB128</f>
        <v>328.225295624999</v>
      </c>
      <c r="AC130" s="33" t="n">
        <f aca="false">AB130+IF(Source_Data!AC$6=Inputs!$B$12,Inputs!$B$7,0)+AC125-AC128</f>
        <v>379.271544374999</v>
      </c>
      <c r="AD130" s="33" t="n">
        <f aca="false">AC130+IF(Source_Data!AD$6=Inputs!$B$12,Inputs!$B$7,0)+AD125-AD128</f>
        <v>430.317793124999</v>
      </c>
      <c r="AE130" s="33" t="n">
        <f aca="false">AD130+IF(Source_Data!AE$6=Inputs!$B$12,Inputs!$B$7,0)+AE125-AE128</f>
        <v>481.364041874999</v>
      </c>
      <c r="AF130" s="33" t="n">
        <f aca="false">AE130+IF(Source_Data!AF$6=Inputs!$B$12,Inputs!$B$7,0)+AF125-AF128</f>
        <v>284.103813437499</v>
      </c>
      <c r="AG130" s="33" t="n">
        <f aca="false">AF130+IF(Source_Data!AG$6=Inputs!$B$12,Inputs!$B$7,0)+AG125-AG128</f>
        <v>304.813104531249</v>
      </c>
      <c r="AH130" s="33" t="n">
        <f aca="false">AG130+IF(Source_Data!AH$6=Inputs!$B$12,Inputs!$B$7,0)+AH125-AH128</f>
        <v>323.352291718749</v>
      </c>
      <c r="AI130" s="33" t="n">
        <f aca="false">AH130+IF(Source_Data!AI$6=Inputs!$B$12,Inputs!$B$7,0)+AI125-AI128</f>
        <v>339.721374999999</v>
      </c>
      <c r="AJ130" s="33" t="n">
        <f aca="false">AI130+IF(Source_Data!AJ$6=Inputs!$B$12,Inputs!$B$7,0)+AJ125-AJ128</f>
        <v>352.593131406249</v>
      </c>
      <c r="AK130" s="33" t="n">
        <f aca="false">AJ130+IF(Source_Data!AK$6=Inputs!$B$12,Inputs!$B$7,0)+AK125-AK128</f>
        <v>363.439457499999</v>
      </c>
      <c r="AL130" s="33" t="n">
        <f aca="false">AK130+IF(Source_Data!AL$6=Inputs!$B$12,Inputs!$B$7,0)+AL125-AL128</f>
        <v>372.891465624999</v>
      </c>
      <c r="AM130" s="33" t="n">
        <f aca="false">AL130+IF(Source_Data!AM$6=Inputs!$B$12,Inputs!$B$7,0)+AM125-AM128</f>
        <v>376.967486874999</v>
      </c>
      <c r="AN130" s="33" t="n">
        <f aca="false">AM130+IF(Source_Data!AN$6=Inputs!$B$12,Inputs!$B$7,0)+AN125-AN128</f>
        <v>381.043508124999</v>
      </c>
      <c r="AO130" s="33" t="n">
        <f aca="false">AN130+IF(Source_Data!AO$6=Inputs!$B$12,Inputs!$B$7,0)+AO125-AO128</f>
        <v>385.119529374999</v>
      </c>
      <c r="AP130" s="33" t="n">
        <f aca="false">AO130+IF(Source_Data!AP$6=Inputs!$B$12,Inputs!$B$7,0)+AP125-AP128</f>
        <v>385.119529374999</v>
      </c>
      <c r="AQ130" s="33" t="n">
        <f aca="false">AP130+IF(Source_Data!AQ$6=Inputs!$B$12,Inputs!$B$7,0)+AQ125-AQ128</f>
        <v>385.119529374999</v>
      </c>
      <c r="AR130" s="33" t="n">
        <f aca="false">AQ130+IF(Source_Data!AR$6=Inputs!$B$12,Inputs!$B$7,0)+AR125-AR128</f>
        <v>385.119529374999</v>
      </c>
      <c r="AS130" s="33" t="n">
        <f aca="false">AR130+IF(Source_Data!AS$6=Inputs!$B$12,Inputs!$B$7,0)+AS125-AS128</f>
        <v>385.119529374999</v>
      </c>
      <c r="AT130" s="33" t="n">
        <f aca="false">AS130+IF(Source_Data!AT$6=Inputs!$B$12,Inputs!$B$7,0)+AT125-AT128</f>
        <v>385.119529374999</v>
      </c>
      <c r="AU130" s="33" t="n">
        <f aca="false">AT130+IF(Source_Data!AU$6=Inputs!$B$12,Inputs!$B$7,0)+AU125-AU128</f>
        <v>385.119529374999</v>
      </c>
      <c r="AV130" s="33" t="n">
        <f aca="false">AU130+IF(Source_Data!AV$6=Inputs!$B$12,Inputs!$B$7,0)+AV125-AV128</f>
        <v>385.119529374999</v>
      </c>
      <c r="AW130" s="33" t="n">
        <f aca="false">AV130+IF(Source_Data!AW$6=Inputs!$B$12,Inputs!$B$7,0)+AW125-AW128</f>
        <v>385.119529374999</v>
      </c>
      <c r="AX130" s="33" t="n">
        <f aca="false">AW130+IF(Source_Data!AX$6=Inputs!$B$12,Inputs!$B$7,0)+AX125-AX128</f>
        <v>385.119529374999</v>
      </c>
      <c r="AY130" s="33" t="n">
        <f aca="false">AX130+IF(Source_Data!AY$6=Inputs!$B$12,Inputs!$B$7,0)+AY125-AY128</f>
        <v>385.119529374999</v>
      </c>
      <c r="AZ130" s="33" t="n">
        <f aca="false">AY130+IF(Source_Data!AZ$6=Inputs!$B$12,Inputs!$B$7,0)+AZ125-AZ128</f>
        <v>385.119529374999</v>
      </c>
      <c r="BA130" s="33" t="n">
        <f aca="false">AZ130+IF(Source_Data!BA$6=Inputs!$B$12,Inputs!$B$7,0)+BA125-BA128</f>
        <v>385.119529374999</v>
      </c>
      <c r="BB130" s="33" t="n">
        <f aca="false">BA130+IF(Source_Data!BB$6=Inputs!$B$12,Inputs!$B$7,0)+BB125-BB128</f>
        <v>385.119529374999</v>
      </c>
      <c r="BC130" s="33" t="n">
        <f aca="false">BB130+IF(Source_Data!BC$6=Inputs!$B$12,Inputs!$B$7,0)+BC125-BC128</f>
        <v>385.119529374999</v>
      </c>
      <c r="BD130" s="33" t="n">
        <f aca="false">BC130+IF(Source_Data!BD$6=Inputs!$B$12,Inputs!$B$7,0)+BD125-BD128</f>
        <v>385.119529374999</v>
      </c>
      <c r="BE130" s="33" t="n">
        <f aca="false">BD130+IF(Source_Data!BE$6=Inputs!$B$12,Inputs!$B$7,0)+BE125-BE128</f>
        <v>385.119529374999</v>
      </c>
      <c r="BF130" s="33" t="n">
        <f aca="false">BE130+IF(Source_Data!BF$6=Inputs!$B$12,Inputs!$B$7,0)+BF125-BF128</f>
        <v>385.119529374999</v>
      </c>
      <c r="BG130" s="33" t="n">
        <f aca="false">BF130+IF(Source_Data!BG$6=Inputs!$B$12,Inputs!$B$7,0)+BG125-BG128</f>
        <v>385.119529374999</v>
      </c>
      <c r="BH130" s="33" t="n">
        <f aca="false">BG130+IF(Source_Data!BH$6=Inputs!$B$12,Inputs!$B$7,0)+BH125-BH128</f>
        <v>385.119529374999</v>
      </c>
      <c r="BI130" s="33" t="n">
        <f aca="false">BH130+IF(Source_Data!BI$6=Inputs!$B$12,Inputs!$B$7,0)+BI125-BI128</f>
        <v>385.119529374999</v>
      </c>
      <c r="BJ130" s="33" t="n">
        <f aca="false">BI130+IF(Source_Data!BJ$6=Inputs!$B$12,Inputs!$B$7,0)+BJ125-BJ128</f>
        <v>385.119529374999</v>
      </c>
      <c r="BK130" s="33" t="n">
        <f aca="false">BJ130+IF(Source_Data!BK$6=Inputs!$B$12,Inputs!$B$7,0)+BK125-BK128</f>
        <v>385.119529374999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2.31605823913044</v>
      </c>
      <c r="Q131" s="31" t="n">
        <f aca="false">IF(Q128&gt;0,Q125/Q128,"")</f>
        <v>2.84727560869565</v>
      </c>
      <c r="R131" s="31" t="n">
        <f aca="false">IF(R128&gt;0,R125/R128,"")</f>
        <v>24.3910960434783</v>
      </c>
      <c r="S131" s="31" t="n">
        <f aca="false">IF(S128&gt;0,S125/S128,"")</f>
        <v>-2.29326613043478</v>
      </c>
      <c r="T131" s="31" t="n">
        <f aca="false">IF(T128&gt;0,T125/T128,"")</f>
        <v>-7.72662926086957</v>
      </c>
      <c r="U131" s="31" t="n">
        <f aca="false">IF(U128&gt;0,U125/U128,"")</f>
        <v>-5.83817360869566</v>
      </c>
      <c r="V131" s="31" t="n">
        <f aca="false">IF(V128&gt;0,V125/V128,"")</f>
        <v>1.91999934782609</v>
      </c>
      <c r="W131" s="31" t="n">
        <f aca="false">IF(W128&gt;0,W125/W128,"")</f>
        <v>1.82548291304348</v>
      </c>
      <c r="X131" s="31" t="n">
        <f aca="false">IF(X128&gt;0,X125/X128,"")</f>
        <v>2.85805888043478</v>
      </c>
      <c r="Y131" s="31" t="n">
        <f aca="false">IF(Y128&gt;0,Y125/Y128,"")</f>
        <v>2.48626506521739</v>
      </c>
      <c r="Z131" s="31" t="n">
        <f aca="false">IF(Z128&gt;0,Z125/Z128,"")</f>
        <v>2.02632397826087</v>
      </c>
      <c r="AA131" s="31" t="n">
        <f aca="false">IF(AA128&gt;0,AA125/AA128,"")</f>
        <v>1.4893695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2.47571315217391</v>
      </c>
      <c r="Q132" s="31" t="n">
        <f aca="false">IF(Q128&gt;0,(P130+Q125+IF(Source_Data!Q$6=Inputs!$B$12,Inputs!$B$7,0))/Q128,"")</f>
        <v>4.32298876086957</v>
      </c>
      <c r="R132" s="31" t="n">
        <f aca="false">IF(R128&gt;0,(Q130+R125+IF(Source_Data!R$6=Inputs!$B$12,Inputs!$B$7,0))/R128,"")</f>
        <v>27.7140848043478</v>
      </c>
      <c r="S132" s="31" t="n">
        <f aca="false">IF(S128&gt;0,(R130+S125+IF(Source_Data!S$6=Inputs!$B$12,Inputs!$B$7,0))/S128,"")</f>
        <v>24.420818673913</v>
      </c>
      <c r="T132" s="31" t="n">
        <f aca="false">IF(T128&gt;0,(S130+T125+IF(Source_Data!T$6=Inputs!$B$12,Inputs!$B$7,0))/T128,"")</f>
        <v>15.6941894130435</v>
      </c>
      <c r="U132" s="31" t="n">
        <f aca="false">IF(U128&gt;0,(T130+U125+IF(Source_Data!U$6=Inputs!$B$12,Inputs!$B$7,0))/U128,"")</f>
        <v>8.8560158043478</v>
      </c>
      <c r="V132" s="31" t="n">
        <f aca="false">IF(V128&gt;0,(U130+V125+IF(Source_Data!V$6=Inputs!$B$12,Inputs!$B$7,0))/V128,"")</f>
        <v>9.77601515217389</v>
      </c>
      <c r="W132" s="31" t="n">
        <f aca="false">IF(W128&gt;0,(V130+W125+IF(Source_Data!W$6=Inputs!$B$12,Inputs!$B$7,0))/W128,"")</f>
        <v>10.6014980652174</v>
      </c>
      <c r="X132" s="31" t="n">
        <f aca="false">IF(X128&gt;0,(W130+X125+IF(Source_Data!X$6=Inputs!$B$12,Inputs!$B$7,0))/X128,"")</f>
        <v>12.4595569456521</v>
      </c>
      <c r="Y132" s="31" t="n">
        <f aca="false">IF(Y128&gt;0,(X130+Y125+IF(Source_Data!Y$6=Inputs!$B$12,Inputs!$B$7,0))/Y128,"")</f>
        <v>13.9458220108695</v>
      </c>
      <c r="Z132" s="31" t="n">
        <f aca="false">IF(Z128&gt;0,(Y130+Z125+IF(Source_Data!Z$6=Inputs!$B$12,Inputs!$B$7,0))/Z128,"")</f>
        <v>14.9721459891304</v>
      </c>
      <c r="AA132" s="31" t="n">
        <f aca="false">IF(AA128&gt;0,(Z130+AA125+IF(Source_Data!AA$6=Inputs!$B$12,Inputs!$B$7,0))/AA128,"")</f>
        <v>15.4615154891304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-16.9499475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-7.72662926086957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4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2.47571315217391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0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2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71.8518518518519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71.8518518518519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-121.244745</v>
      </c>
      <c r="M166" s="33" t="n">
        <f aca="false">L166+IF(Source_Data!M$6=Inputs!$B$12,Inputs!$B$7,0)+M161-M164</f>
        <v>-142.078875</v>
      </c>
      <c r="N166" s="33" t="n">
        <f aca="false">M166+IF(Source_Data!N$6=Inputs!$B$12,Inputs!$B$7,0)+N161-N164</f>
        <v>-162.78627</v>
      </c>
      <c r="O166" s="33" t="n">
        <f aca="false">N166+IF(Source_Data!O$6=Inputs!$B$12,Inputs!$B$7,0)+O161-O164</f>
        <v>-172.3745325</v>
      </c>
      <c r="P166" s="33" t="n">
        <f aca="false">O166+IF(Source_Data!P$6=Inputs!$B$12,Inputs!$B$7,0)+P161-P164</f>
        <v>-172.924264166667</v>
      </c>
      <c r="Q166" s="33" t="n">
        <f aca="false">P166+IF(Source_Data!Q$6=Inputs!$B$12,Inputs!$B$7,0)+Q161-Q164</f>
        <v>-156.200760833333</v>
      </c>
      <c r="R166" s="33" t="n">
        <f aca="false">Q166+IF(Source_Data!R$6=Inputs!$B$12,Inputs!$B$7,0)+R161-R164</f>
        <v>-261.90945125</v>
      </c>
      <c r="S166" s="33" t="n">
        <f aca="false">R166+IF(Source_Data!S$6=Inputs!$B$12,Inputs!$B$7,0)+S161-S164</f>
        <v>-357.973235416667</v>
      </c>
      <c r="T166" s="33" t="n">
        <f aca="false">S166+IF(Source_Data!T$6=Inputs!$B$12,Inputs!$B$7,0)+T161-T164</f>
        <v>64.1202454166665</v>
      </c>
      <c r="U166" s="33" t="n">
        <f aca="false">T166+IF(Source_Data!U$6=Inputs!$B$12,Inputs!$B$7,0)+U161-U164</f>
        <v>28.8134512499998</v>
      </c>
      <c r="V166" s="33" t="n">
        <f aca="false">U166+IF(Source_Data!V$6=Inputs!$B$12,Inputs!$B$7,0)+V161-V164</f>
        <v>71.517937083333</v>
      </c>
      <c r="W166" s="33" t="n">
        <f aca="false">V166+IF(Source_Data!W$6=Inputs!$B$12,Inputs!$B$7,0)+W161-W164</f>
        <v>90.9628229166663</v>
      </c>
      <c r="X166" s="33" t="n">
        <f aca="false">W166+IF(Source_Data!X$6=Inputs!$B$12,Inputs!$B$7,0)+X161-X164</f>
        <v>136.82158375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459.444944375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0.971318347826088</v>
      </c>
      <c r="Q167" s="31" t="n">
        <f aca="false">IF(Q164&gt;0,Q161/Q164,"")</f>
        <v>1.87253060869565</v>
      </c>
      <c r="R167" s="31" t="n">
        <f aca="false">IF(R164&gt;0,R161/R164,"")</f>
        <v>-4.51523602173913</v>
      </c>
      <c r="S167" s="31" t="n">
        <f aca="false">IF(S164&gt;0,S161/S164,"")</f>
        <v>-4.01202352173913</v>
      </c>
      <c r="T167" s="31" t="n">
        <f aca="false">IF(T164&gt;0,T161/T164,"")</f>
        <v>23.0222685652174</v>
      </c>
      <c r="U167" s="31" t="n">
        <f aca="false">IF(U164&gt;0,U161/U164,"")</f>
        <v>-0.842093608695653</v>
      </c>
      <c r="V167" s="31" t="n">
        <f aca="false">IF(V164&gt;0,V161/V164,"")</f>
        <v>3.22806013043478</v>
      </c>
      <c r="W167" s="31" t="n">
        <f aca="false">IF(W164&gt;0,W161/W164,"")</f>
        <v>2.01451578260869</v>
      </c>
      <c r="X167" s="31" t="n">
        <f aca="false">IF(X164&gt;0,X161/X164,"")</f>
        <v>3.392631</v>
      </c>
      <c r="Y167" s="31" t="n">
        <f aca="false">IF(Y164&gt;0,Y161/Y164,"")</f>
        <v>3.29811456521739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-8.02213552173913</v>
      </c>
      <c r="Q168" s="31" t="n">
        <f aca="false">IF(Q164&gt;0,(P166+Q161+IF(Source_Data!Q$6=Inputs!$B$12,Inputs!$B$7,0))/Q164,"")</f>
        <v>-7.14960491304348</v>
      </c>
      <c r="R168" s="31" t="n">
        <f aca="false">IF(R164&gt;0,(Q166+R161+IF(Source_Data!R$6=Inputs!$B$12,Inputs!$B$7,0))/R164,"")</f>
        <v>-12.6648409347826</v>
      </c>
      <c r="S168" s="31" t="n">
        <f aca="false">IF(S164&gt;0,(R166+S161+IF(Source_Data!S$6=Inputs!$B$12,Inputs!$B$7,0))/S164,"")</f>
        <v>-17.6768644565217</v>
      </c>
      <c r="T168" s="31" t="n">
        <f aca="false">IF(T164&gt;0,(S166+T161+IF(Source_Data!T$6=Inputs!$B$12,Inputs!$B$7,0))/T164,"")</f>
        <v>4.34540410869564</v>
      </c>
      <c r="U168" s="31" t="n">
        <f aca="false">IF(U164&gt;0,(T166+U161+IF(Source_Data!U$6=Inputs!$B$12,Inputs!$B$7,0))/U164,"")</f>
        <v>2.50331049999999</v>
      </c>
      <c r="V168" s="31" t="n">
        <f aca="false">IF(V164&gt;0,(U166+V161+IF(Source_Data!V$6=Inputs!$B$12,Inputs!$B$7,0))/V164,"")</f>
        <v>4.73137063043477</v>
      </c>
      <c r="W168" s="31" t="n">
        <f aca="false">IF(W164&gt;0,(V166+W161+IF(Source_Data!W$6=Inputs!$B$12,Inputs!$B$7,0))/W164,"")</f>
        <v>5.74588641304346</v>
      </c>
      <c r="X168" s="31" t="n">
        <f aca="false">IF(X164&gt;0,(W166+X161+IF(Source_Data!X$6=Inputs!$B$12,Inputs!$B$7,0))/X164,"")</f>
        <v>8.13851741304346</v>
      </c>
      <c r="Y168" s="31" t="n">
        <f aca="false">IF(Y164&gt;0,(X166+Y161+IF(Source_Data!Y$6=Inputs!$B$12,Inputs!$B$7,0))/Y164,"")</f>
        <v>10.4366319782609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-357.973235416667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-4.51523602173913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-17.6768644565217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0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1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71.8518518518519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71.8518518518519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71.8518518518519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71.8518518518519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10.61565</v>
      </c>
      <c r="I202" s="33" t="n">
        <f aca="false">H202+IF(Source_Data!I$6=Inputs!$B$12,Inputs!$B$7,0)+I197-I200</f>
        <v>24.34695</v>
      </c>
      <c r="J202" s="33" t="n">
        <f aca="false">I202+IF(Source_Data!J$6=Inputs!$B$12,Inputs!$B$7,0)+J197-J200</f>
        <v>37.107775</v>
      </c>
      <c r="K202" s="33" t="n">
        <f aca="false">J202+IF(Source_Data!K$6=Inputs!$B$12,Inputs!$B$7,0)+K197-K200</f>
        <v>53.266165</v>
      </c>
      <c r="L202" s="33" t="n">
        <f aca="false">K202+IF(Source_Data!L$6=Inputs!$B$12,Inputs!$B$7,0)+L197-L200</f>
        <v>14.86119</v>
      </c>
      <c r="M202" s="33" t="n">
        <f aca="false">L202+IF(Source_Data!M$6=Inputs!$B$12,Inputs!$B$7,0)+M197-M200</f>
        <v>-2.01806250000001</v>
      </c>
      <c r="N202" s="33" t="n">
        <f aca="false">M202+IF(Source_Data!N$6=Inputs!$B$12,Inputs!$B$7,0)+N197-N200</f>
        <v>-0.9419475</v>
      </c>
      <c r="O202" s="33" t="n">
        <f aca="false">N202+IF(Source_Data!O$6=Inputs!$B$12,Inputs!$B$7,0)+O197-O200</f>
        <v>22.1040525</v>
      </c>
      <c r="P202" s="33" t="n">
        <f aca="false">O202+IF(Source_Data!P$6=Inputs!$B$12,Inputs!$B$7,0)+P197-P200</f>
        <v>47.9357020833334</v>
      </c>
      <c r="Q202" s="33" t="n">
        <f aca="false">P202+IF(Source_Data!Q$6=Inputs!$B$12,Inputs!$B$7,0)+Q197-Q200</f>
        <v>83.9490179166667</v>
      </c>
      <c r="R202" s="33" t="n">
        <f aca="false">Q202+IF(Source_Data!R$6=Inputs!$B$12,Inputs!$B$7,0)+R197-R200</f>
        <v>-6.63534125000009</v>
      </c>
      <c r="S202" s="33" t="n">
        <f aca="false">R202+IF(Source_Data!S$6=Inputs!$B$12,Inputs!$B$7,0)+S197-S200</f>
        <v>-91.7402754166668</v>
      </c>
      <c r="T202" s="33" t="n">
        <f aca="false">S202+IF(Source_Data!T$6=Inputs!$B$12,Inputs!$B$7,0)+T197-T200</f>
        <v>-240.140669583334</v>
      </c>
      <c r="U202" s="33" t="n">
        <f aca="false">T202+IF(Source_Data!U$6=Inputs!$B$12,Inputs!$B$7,0)+U197-U200</f>
        <v>230.74703625</v>
      </c>
      <c r="V202" s="33" t="n">
        <f aca="false">U202+IF(Source_Data!V$6=Inputs!$B$12,Inputs!$B$7,0)+V197-V200</f>
        <v>248.380357083333</v>
      </c>
      <c r="W202" s="33" t="n">
        <f aca="false">V202+IF(Source_Data!W$6=Inputs!$B$12,Inputs!$B$7,0)+W197-W200</f>
        <v>264.202112916666</v>
      </c>
      <c r="X202" s="33" t="n">
        <f aca="false">W202+IF(Source_Data!X$6=Inputs!$B$12,Inputs!$B$7,0)+X197-X200</f>
        <v>299.814908125</v>
      </c>
      <c r="Y202" s="33" t="n">
        <f aca="false">X202+IF(Source_Data!Y$6=Inputs!$B$12,Inputs!$B$7,0)+Y197-Y200</f>
        <v>328.301655208333</v>
      </c>
      <c r="Z202" s="33" t="n">
        <f aca="false">Y202+IF(Source_Data!Z$6=Inputs!$B$12,Inputs!$B$7,0)+Z197-Z200</f>
        <v>347.972864791666</v>
      </c>
      <c r="AA202" s="33" t="n">
        <f aca="false">Z202+IF(Source_Data!AA$6=Inputs!$B$12,Inputs!$B$7,0)+AA197-AA200</f>
        <v>357.352446875</v>
      </c>
      <c r="AB202" s="33" t="n">
        <f aca="false">AA202+IF(Source_Data!AB$6=Inputs!$B$12,Inputs!$B$7,0)+AB197-AB200</f>
        <v>408.398695624999</v>
      </c>
      <c r="AC202" s="33" t="n">
        <f aca="false">AB202+IF(Source_Data!AC$6=Inputs!$B$12,Inputs!$B$7,0)+AC197-AC200</f>
        <v>459.444944374999</v>
      </c>
      <c r="AD202" s="33" t="n">
        <f aca="false">AC202+IF(Source_Data!AD$6=Inputs!$B$12,Inputs!$B$7,0)+AD197-AD200</f>
        <v>510.491193124999</v>
      </c>
      <c r="AE202" s="33" t="n">
        <f aca="false">AD202+IF(Source_Data!AE$6=Inputs!$B$12,Inputs!$B$7,0)+AE197-AE200</f>
        <v>561.537441874999</v>
      </c>
      <c r="AF202" s="33" t="n">
        <f aca="false">AE202+IF(Source_Data!AF$6=Inputs!$B$12,Inputs!$B$7,0)+AF197-AF200</f>
        <v>364.2772134375</v>
      </c>
      <c r="AG202" s="33" t="n">
        <f aca="false">AF202+IF(Source_Data!AG$6=Inputs!$B$12,Inputs!$B$7,0)+AG197-AG200</f>
        <v>384.98650453125</v>
      </c>
      <c r="AH202" s="33" t="n">
        <f aca="false">AG202+IF(Source_Data!AH$6=Inputs!$B$12,Inputs!$B$7,0)+AH197-AH200</f>
        <v>403.52569171875</v>
      </c>
      <c r="AI202" s="33" t="n">
        <f aca="false">AH202+IF(Source_Data!AI$6=Inputs!$B$12,Inputs!$B$7,0)+AI197-AI200</f>
        <v>419.894774999999</v>
      </c>
      <c r="AJ202" s="33" t="n">
        <f aca="false">AI202+IF(Source_Data!AJ$6=Inputs!$B$12,Inputs!$B$7,0)+AJ197-AJ200</f>
        <v>432.766531406249</v>
      </c>
      <c r="AK202" s="33" t="n">
        <f aca="false">AJ202+IF(Source_Data!AK$6=Inputs!$B$12,Inputs!$B$7,0)+AK197-AK200</f>
        <v>443.612857499999</v>
      </c>
      <c r="AL202" s="33" t="n">
        <f aca="false">AK202+IF(Source_Data!AL$6=Inputs!$B$12,Inputs!$B$7,0)+AL197-AL200</f>
        <v>453.064865624999</v>
      </c>
      <c r="AM202" s="33" t="n">
        <f aca="false">AL202+IF(Source_Data!AM$6=Inputs!$B$12,Inputs!$B$7,0)+AM197-AM200</f>
        <v>457.140886874999</v>
      </c>
      <c r="AN202" s="33" t="n">
        <f aca="false">AM202+IF(Source_Data!AN$6=Inputs!$B$12,Inputs!$B$7,0)+AN197-AN200</f>
        <v>461.216908124999</v>
      </c>
      <c r="AO202" s="33" t="n">
        <f aca="false">AN202+IF(Source_Data!AO$6=Inputs!$B$12,Inputs!$B$7,0)+AO197-AO200</f>
        <v>465.292929374999</v>
      </c>
      <c r="AP202" s="33" t="n">
        <f aca="false">AO202+IF(Source_Data!AP$6=Inputs!$B$12,Inputs!$B$7,0)+AP197-AP200</f>
        <v>465.292929374999</v>
      </c>
      <c r="AQ202" s="33" t="n">
        <f aca="false">AP202+IF(Source_Data!AQ$6=Inputs!$B$12,Inputs!$B$7,0)+AQ197-AQ200</f>
        <v>465.292929374999</v>
      </c>
      <c r="AR202" s="33" t="n">
        <f aca="false">AQ202+IF(Source_Data!AR$6=Inputs!$B$12,Inputs!$B$7,0)+AR197-AR200</f>
        <v>465.292929374999</v>
      </c>
      <c r="AS202" s="33" t="n">
        <f aca="false">AR202+IF(Source_Data!AS$6=Inputs!$B$12,Inputs!$B$7,0)+AS197-AS200</f>
        <v>465.292929374999</v>
      </c>
      <c r="AT202" s="33" t="n">
        <f aca="false">AS202+IF(Source_Data!AT$6=Inputs!$B$12,Inputs!$B$7,0)+AT197-AT200</f>
        <v>465.292929374999</v>
      </c>
      <c r="AU202" s="33" t="n">
        <f aca="false">AT202+IF(Source_Data!AU$6=Inputs!$B$12,Inputs!$B$7,0)+AU197-AU200</f>
        <v>465.292929374999</v>
      </c>
      <c r="AV202" s="33" t="n">
        <f aca="false">AU202+IF(Source_Data!AV$6=Inputs!$B$12,Inputs!$B$7,0)+AV197-AV200</f>
        <v>465.292929374999</v>
      </c>
      <c r="AW202" s="33" t="n">
        <f aca="false">AV202+IF(Source_Data!AW$6=Inputs!$B$12,Inputs!$B$7,0)+AW197-AW200</f>
        <v>465.292929374999</v>
      </c>
      <c r="AX202" s="33" t="n">
        <f aca="false">AW202+IF(Source_Data!AX$6=Inputs!$B$12,Inputs!$B$7,0)+AX197-AX200</f>
        <v>465.292929374999</v>
      </c>
      <c r="AY202" s="33" t="n">
        <f aca="false">AX202+IF(Source_Data!AY$6=Inputs!$B$12,Inputs!$B$7,0)+AY197-AY200</f>
        <v>465.292929374999</v>
      </c>
      <c r="AZ202" s="33" t="n">
        <f aca="false">AY202+IF(Source_Data!AZ$6=Inputs!$B$12,Inputs!$B$7,0)+AZ197-AZ200</f>
        <v>465.292929374999</v>
      </c>
      <c r="BA202" s="33" t="n">
        <f aca="false">AZ202+IF(Source_Data!BA$6=Inputs!$B$12,Inputs!$B$7,0)+BA197-BA200</f>
        <v>465.292929374999</v>
      </c>
      <c r="BB202" s="33" t="n">
        <f aca="false">BA202+IF(Source_Data!BB$6=Inputs!$B$12,Inputs!$B$7,0)+BB197-BB200</f>
        <v>465.292929374999</v>
      </c>
      <c r="BC202" s="33" t="n">
        <f aca="false">BB202+IF(Source_Data!BC$6=Inputs!$B$12,Inputs!$B$7,0)+BC197-BC200</f>
        <v>465.292929374999</v>
      </c>
      <c r="BD202" s="33" t="n">
        <f aca="false">BC202+IF(Source_Data!BD$6=Inputs!$B$12,Inputs!$B$7,0)+BD197-BD200</f>
        <v>465.292929374999</v>
      </c>
      <c r="BE202" s="33" t="n">
        <f aca="false">BD202+IF(Source_Data!BE$6=Inputs!$B$12,Inputs!$B$7,0)+BE197-BE200</f>
        <v>465.292929374999</v>
      </c>
      <c r="BF202" s="33" t="n">
        <f aca="false">BE202+IF(Source_Data!BF$6=Inputs!$B$12,Inputs!$B$7,0)+BF197-BF200</f>
        <v>465.292929374999</v>
      </c>
      <c r="BG202" s="33" t="n">
        <f aca="false">BF202+IF(Source_Data!BG$6=Inputs!$B$12,Inputs!$B$7,0)+BG197-BG200</f>
        <v>465.292929374999</v>
      </c>
      <c r="BH202" s="33" t="n">
        <f aca="false">BG202+IF(Source_Data!BH$6=Inputs!$B$12,Inputs!$B$7,0)+BH197-BH200</f>
        <v>465.292929374999</v>
      </c>
      <c r="BI202" s="33" t="n">
        <f aca="false">BH202+IF(Source_Data!BI$6=Inputs!$B$12,Inputs!$B$7,0)+BI197-BI200</f>
        <v>465.292929374999</v>
      </c>
      <c r="BJ202" s="33" t="n">
        <f aca="false">BI202+IF(Source_Data!BJ$6=Inputs!$B$12,Inputs!$B$7,0)+BJ197-BJ200</f>
        <v>465.292929374999</v>
      </c>
      <c r="BK202" s="33" t="n">
        <f aca="false">BJ202+IF(Source_Data!BK$6=Inputs!$B$12,Inputs!$B$7,0)+BK197-BK200</f>
        <v>465.292929374999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2.34773823913044</v>
      </c>
      <c r="Q203" s="31" t="n">
        <f aca="false">IF(Q200&gt;0,Q197/Q200,"")</f>
        <v>2.87895560869565</v>
      </c>
      <c r="R203" s="31" t="n">
        <f aca="false">IF(R200&gt;0,R197/R200,"")</f>
        <v>-3.72614047826088</v>
      </c>
      <c r="S203" s="31" t="n">
        <f aca="false">IF(S200&gt;0,S197/S200,"")</f>
        <v>-3.44025743478261</v>
      </c>
      <c r="T203" s="31" t="n">
        <f aca="false">IF(T200&gt;0,T197/T200,"")</f>
        <v>-6.74262926086957</v>
      </c>
      <c r="U203" s="31" t="n">
        <f aca="false">IF(U200&gt;0,U197/U200,"")</f>
        <v>25.5680542173913</v>
      </c>
      <c r="V203" s="31" t="n">
        <f aca="false">IF(V200&gt;0,V197/V200,"")</f>
        <v>1.91999934782609</v>
      </c>
      <c r="W203" s="31" t="n">
        <f aca="false">IF(W200&gt;0,W197/W200,"")</f>
        <v>1.82548291304348</v>
      </c>
      <c r="X203" s="31" t="n">
        <f aca="false">IF(X200&gt;0,X197/X200,"")</f>
        <v>2.85805888043478</v>
      </c>
      <c r="Y203" s="31" t="n">
        <f aca="false">IF(Y200&gt;0,Y197/Y200,"")</f>
        <v>2.48626506521739</v>
      </c>
      <c r="Z203" s="31" t="n">
        <f aca="false">IF(Z200&gt;0,Z197/Z200,"")</f>
        <v>2.02632397826087</v>
      </c>
      <c r="AA203" s="31" t="n">
        <f aca="false">IF(AA200&gt;0,AA197/AA200,"")</f>
        <v>1.4893695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3.50099315217391</v>
      </c>
      <c r="Q204" s="31" t="n">
        <f aca="false">IF(Q200&gt;0,(P202+Q197+IF(Source_Data!Q$6=Inputs!$B$12,Inputs!$B$7,0))/Q200,"")</f>
        <v>5.37994876086957</v>
      </c>
      <c r="R204" s="31" t="n">
        <f aca="false">IF(R200&gt;0,(Q202+R197+IF(Source_Data!R$6=Inputs!$B$12,Inputs!$B$7,0))/R200,"")</f>
        <v>0.653808282608691</v>
      </c>
      <c r="S204" s="31" t="n">
        <f aca="false">IF(S200&gt;0,(R202+S197+IF(Source_Data!S$6=Inputs!$B$12,Inputs!$B$7,0))/S200,"")</f>
        <v>-3.78644915217392</v>
      </c>
      <c r="T204" s="31" t="n">
        <f aca="false">IF(T200&gt;0,(S202+T197+IF(Source_Data!T$6=Inputs!$B$12,Inputs!$B$7,0))/T200,"")</f>
        <v>-11.5290784130435</v>
      </c>
      <c r="U204" s="31" t="n">
        <f aca="false">IF(U200&gt;0,(T202+U197+IF(Source_Data!U$6=Inputs!$B$12,Inputs!$B$7,0))/U200,"")</f>
        <v>13.0389758043478</v>
      </c>
      <c r="V204" s="31" t="n">
        <f aca="false">IF(V200&gt;0,(U202+V197+IF(Source_Data!V$6=Inputs!$B$12,Inputs!$B$7,0))/V200,"")</f>
        <v>13.9589751521739</v>
      </c>
      <c r="W204" s="31" t="n">
        <f aca="false">IF(W200&gt;0,(V202+W197+IF(Source_Data!W$6=Inputs!$B$12,Inputs!$B$7,0))/W200,"")</f>
        <v>14.7844580652174</v>
      </c>
      <c r="X204" s="31" t="n">
        <f aca="false">IF(X200&gt;0,(W202+X197+IF(Source_Data!X$6=Inputs!$B$12,Inputs!$B$7,0))/X200,"")</f>
        <v>16.6425169456522</v>
      </c>
      <c r="Y204" s="31" t="n">
        <f aca="false">IF(Y200&gt;0,(X202+Y197+IF(Source_Data!Y$6=Inputs!$B$12,Inputs!$B$7,0))/Y200,"")</f>
        <v>18.1287820108695</v>
      </c>
      <c r="Z204" s="31" t="n">
        <f aca="false">IF(Z200&gt;0,(Y202+Z197+IF(Source_Data!Z$6=Inputs!$B$12,Inputs!$B$7,0))/Z200,"")</f>
        <v>19.1551059891304</v>
      </c>
      <c r="AA204" s="31" t="n">
        <f aca="false">IF(AA200&gt;0,(Z202+AA197+IF(Source_Data!AA$6=Inputs!$B$12,Inputs!$B$7,0))/AA200,"")</f>
        <v>19.6444754891304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-240.140669583334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-6.74262926086957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4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-11.5290784130435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331</v>
      </c>
      <c r="B221" s="45" t="n">
        <v>0.9</v>
      </c>
    </row>
    <row r="222" customFormat="false" ht="15" hidden="false" customHeight="false" outlineLevel="0" collapsed="false">
      <c r="A222" s="3" t="s">
        <v>332</v>
      </c>
      <c r="B222" s="45" t="n">
        <v>4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1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64.6666666666667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64.6666666666667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64.6666666666667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64.6666666666667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-203.055915</v>
      </c>
      <c r="M238" s="33" t="n">
        <f aca="false">L238+IF(Source_Data!M$6=Inputs!$B$12,Inputs!$B$7,0)+M233-M236</f>
        <v>-245.807745</v>
      </c>
      <c r="N238" s="33" t="n">
        <f aca="false">M238+IF(Source_Data!N$6=Inputs!$B$12,Inputs!$B$7,0)+N233-N236</f>
        <v>-268.7330025</v>
      </c>
      <c r="O238" s="33" t="n">
        <f aca="false">N238+IF(Source_Data!O$6=Inputs!$B$12,Inputs!$B$7,0)+O233-O236</f>
        <v>-281.9764515</v>
      </c>
      <c r="P238" s="33" t="n">
        <f aca="false">O238+IF(Source_Data!P$6=Inputs!$B$12,Inputs!$B$7,0)+P233-P236</f>
        <v>-316.129595666667</v>
      </c>
      <c r="Q238" s="33" t="n">
        <f aca="false">P238+IF(Source_Data!Q$6=Inputs!$B$12,Inputs!$B$7,0)+Q233-Q236</f>
        <v>-344.985589583333</v>
      </c>
      <c r="R238" s="33" t="n">
        <f aca="false">Q238+IF(Source_Data!R$6=Inputs!$B$12,Inputs!$B$7,0)+R233-R236</f>
        <v>-489.60975275</v>
      </c>
      <c r="S238" s="33" t="n">
        <f aca="false">R238+IF(Source_Data!S$6=Inputs!$B$12,Inputs!$B$7,0)+S233-S236</f>
        <v>-614.461019416667</v>
      </c>
      <c r="T238" s="33" t="n">
        <f aca="false">S238+IF(Source_Data!T$6=Inputs!$B$12,Inputs!$B$7,0)+T233-T236</f>
        <v>-770.639401458333</v>
      </c>
      <c r="U238" s="33" t="n">
        <f aca="false">T238+IF(Source_Data!U$6=Inputs!$B$12,Inputs!$B$7,0)+U233-U236</f>
        <v>-863.604283875</v>
      </c>
      <c r="V238" s="33" t="n">
        <f aca="false">U238+IF(Source_Data!V$6=Inputs!$B$12,Inputs!$B$7,0)+V233-V236</f>
        <v>-817.221873791667</v>
      </c>
      <c r="W238" s="33" t="n">
        <f aca="false">V238+IF(Source_Data!W$6=Inputs!$B$12,Inputs!$B$7,0)+W233-W236</f>
        <v>-765.907981208333</v>
      </c>
      <c r="X238" s="33" t="n">
        <f aca="false">W238+IF(Source_Data!X$6=Inputs!$B$12,Inputs!$B$7,0)+X233-X236</f>
        <v>-713.645002625</v>
      </c>
      <c r="Y238" s="33" t="n">
        <f aca="false">X238+IF(Source_Data!Y$6=Inputs!$B$12,Inputs!$B$7,0)+Y233-Y236</f>
        <v>-152.667734041667</v>
      </c>
      <c r="Z238" s="33" t="n">
        <f aca="false">Y238+IF(Source_Data!Z$6=Inputs!$B$12,Inputs!$B$7,0)+Z233-Z236</f>
        <v>-120.714411958334</v>
      </c>
      <c r="AA238" s="33" t="n">
        <f aca="false">Z238+IF(Source_Data!AA$6=Inputs!$B$12,Inputs!$B$7,0)+AA233-AA236</f>
        <v>-90.3914983750002</v>
      </c>
      <c r="AB238" s="33" t="n">
        <f aca="false">AA238+IF(Source_Data!AB$6=Inputs!$B$12,Inputs!$B$7,0)+AB233-AB236</f>
        <v>-20.8399826875002</v>
      </c>
      <c r="AC238" s="33" t="n">
        <f aca="false">AB238+IF(Source_Data!AC$6=Inputs!$B$12,Inputs!$B$7,0)+AC233-AC236</f>
        <v>42.2980896874998</v>
      </c>
      <c r="AD238" s="33" t="n">
        <f aca="false">AC238+IF(Source_Data!AD$6=Inputs!$B$12,Inputs!$B$7,0)+AD233-AD236</f>
        <v>97.5021783124998</v>
      </c>
      <c r="AE238" s="33" t="n">
        <f aca="false">AD238+IF(Source_Data!AE$6=Inputs!$B$12,Inputs!$B$7,0)+AE233-AE236</f>
        <v>143.4438021875</v>
      </c>
      <c r="AF238" s="33" t="n">
        <f aca="false">AE238+IF(Source_Data!AF$6=Inputs!$B$12,Inputs!$B$7,0)+AF233-AF236</f>
        <v>36.4277056184905</v>
      </c>
      <c r="AG238" s="33" t="n">
        <f aca="false">AF238+IF(Source_Data!AG$6=Inputs!$B$12,Inputs!$B$7,0)+AG233-AG236</f>
        <v>72.1545271717393</v>
      </c>
      <c r="AH238" s="33" t="n">
        <f aca="false">AG238+IF(Source_Data!AH$6=Inputs!$B$12,Inputs!$B$7,0)+AH233-AH236</f>
        <v>108.951746659888</v>
      </c>
      <c r="AI238" s="33" t="n">
        <f aca="false">AH238+IF(Source_Data!AI$6=Inputs!$B$12,Inputs!$B$7,0)+AI233-AI236</f>
        <v>146.819364082938</v>
      </c>
      <c r="AJ238" s="33" t="n">
        <f aca="false">AI238+IF(Source_Data!AJ$6=Inputs!$B$12,Inputs!$B$7,0)+AJ233-AJ236</f>
        <v>180.008649550168</v>
      </c>
      <c r="AK238" s="33" t="n">
        <f aca="false">AJ238+IF(Source_Data!AK$6=Inputs!$B$12,Inputs!$B$7,0)+AK233-AK236</f>
        <v>207.793594027472</v>
      </c>
      <c r="AL238" s="33" t="n">
        <f aca="false">AK238+IF(Source_Data!AL$6=Inputs!$B$12,Inputs!$B$7,0)+AL233-AL236</f>
        <v>232.794115855461</v>
      </c>
      <c r="AM238" s="33" t="n">
        <f aca="false">AL238+IF(Source_Data!AM$6=Inputs!$B$12,Inputs!$B$7,0)+AM233-AM236</f>
        <v>256.974162549474</v>
      </c>
      <c r="AN238" s="33" t="n">
        <f aca="false">AM238+IF(Source_Data!AN$6=Inputs!$B$12,Inputs!$B$7,0)+AN233-AN236</f>
        <v>275.558486243487</v>
      </c>
      <c r="AO238" s="33" t="n">
        <f aca="false">AN238+IF(Source_Data!AO$6=Inputs!$B$12,Inputs!$B$7,0)+AO233-AO236</f>
        <v>290.9021214375</v>
      </c>
      <c r="AP238" s="33" t="n">
        <f aca="false">AO238+IF(Source_Data!AP$6=Inputs!$B$12,Inputs!$B$7,0)+AP233-AP236</f>
        <v>306.0253344375</v>
      </c>
      <c r="AQ238" s="33" t="n">
        <f aca="false">AP238+IF(Source_Data!AQ$6=Inputs!$B$12,Inputs!$B$7,0)+AQ233-AQ236</f>
        <v>312.5469684375</v>
      </c>
      <c r="AR238" s="33" t="n">
        <f aca="false">AQ238+IF(Source_Data!AR$6=Inputs!$B$12,Inputs!$B$7,0)+AR233-AR236</f>
        <v>319.0686024375</v>
      </c>
      <c r="AS238" s="33" t="n">
        <f aca="false">AR238+IF(Source_Data!AS$6=Inputs!$B$12,Inputs!$B$7,0)+AS233-AS236</f>
        <v>325.5902364375</v>
      </c>
      <c r="AT238" s="33" t="n">
        <f aca="false">AS238+IF(Source_Data!AT$6=Inputs!$B$12,Inputs!$B$7,0)+AT233-AT236</f>
        <v>325.5902364375</v>
      </c>
      <c r="AU238" s="33" t="n">
        <f aca="false">AT238+IF(Source_Data!AU$6=Inputs!$B$12,Inputs!$B$7,0)+AU233-AU236</f>
        <v>325.5902364375</v>
      </c>
      <c r="AV238" s="33" t="n">
        <f aca="false">AU238+IF(Source_Data!AV$6=Inputs!$B$12,Inputs!$B$7,0)+AV233-AV236</f>
        <v>325.5902364375</v>
      </c>
      <c r="AW238" s="33" t="n">
        <f aca="false">AV238+IF(Source_Data!AW$6=Inputs!$B$12,Inputs!$B$7,0)+AW233-AW236</f>
        <v>325.5902364375</v>
      </c>
      <c r="AX238" s="33" t="n">
        <f aca="false">AW238+IF(Source_Data!AX$6=Inputs!$B$12,Inputs!$B$7,0)+AX233-AX236</f>
        <v>325.5902364375</v>
      </c>
      <c r="AY238" s="33" t="n">
        <f aca="false">AX238+IF(Source_Data!AY$6=Inputs!$B$12,Inputs!$B$7,0)+AY233-AY236</f>
        <v>325.5902364375</v>
      </c>
      <c r="AZ238" s="33" t="n">
        <f aca="false">AY238+IF(Source_Data!AZ$6=Inputs!$B$12,Inputs!$B$7,0)+AZ233-AZ236</f>
        <v>325.5902364375</v>
      </c>
      <c r="BA238" s="33" t="n">
        <f aca="false">AZ238+IF(Source_Data!BA$6=Inputs!$B$12,Inputs!$B$7,0)+BA233-BA236</f>
        <v>325.5902364375</v>
      </c>
      <c r="BB238" s="33" t="n">
        <f aca="false">BA238+IF(Source_Data!BB$6=Inputs!$B$12,Inputs!$B$7,0)+BB233-BB236</f>
        <v>325.5902364375</v>
      </c>
      <c r="BC238" s="33" t="n">
        <f aca="false">BB238+IF(Source_Data!BC$6=Inputs!$B$12,Inputs!$B$7,0)+BC233-BC236</f>
        <v>325.5902364375</v>
      </c>
      <c r="BD238" s="33" t="n">
        <f aca="false">BC238+IF(Source_Data!BD$6=Inputs!$B$12,Inputs!$B$7,0)+BD233-BD236</f>
        <v>325.5902364375</v>
      </c>
      <c r="BE238" s="33" t="n">
        <f aca="false">BD238+IF(Source_Data!BE$6=Inputs!$B$12,Inputs!$B$7,0)+BE233-BE236</f>
        <v>325.5902364375</v>
      </c>
      <c r="BF238" s="33" t="n">
        <f aca="false">BE238+IF(Source_Data!BF$6=Inputs!$B$12,Inputs!$B$7,0)+BF233-BF236</f>
        <v>325.5902364375</v>
      </c>
      <c r="BG238" s="33" t="n">
        <f aca="false">BF238+IF(Source_Data!BG$6=Inputs!$B$12,Inputs!$B$7,0)+BG233-BG236</f>
        <v>325.5902364375</v>
      </c>
      <c r="BH238" s="33" t="n">
        <f aca="false">BG238+IF(Source_Data!BH$6=Inputs!$B$12,Inputs!$B$7,0)+BH233-BH236</f>
        <v>325.5902364375</v>
      </c>
      <c r="BI238" s="33" t="n">
        <f aca="false">BH238+IF(Source_Data!BI$6=Inputs!$B$12,Inputs!$B$7,0)+BI233-BI236</f>
        <v>325.5902364375</v>
      </c>
      <c r="BJ238" s="33" t="n">
        <f aca="false">BI238+IF(Source_Data!BJ$6=Inputs!$B$12,Inputs!$B$7,0)+BJ233-BJ236</f>
        <v>325.5902364375</v>
      </c>
      <c r="BK238" s="33" t="n">
        <f aca="false">BJ238+IF(Source_Data!BK$6=Inputs!$B$12,Inputs!$B$7,0)+BK233-BK236</f>
        <v>325.5902364375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-0.781903173913044</v>
      </c>
      <c r="Q239" s="31" t="n">
        <f aca="false">IF(Q236&gt;0,Q233/Q236,"")</f>
        <v>-0.505530117391304</v>
      </c>
      <c r="R239" s="31" t="n">
        <f aca="false">IF(R236&gt;0,R233/R236,"")</f>
        <v>-6.54560851304348</v>
      </c>
      <c r="S239" s="31" t="n">
        <f aca="false">IF(S236&gt;0,S233/S236,"")</f>
        <v>-5.51397913043478</v>
      </c>
      <c r="T239" s="31" t="n">
        <f aca="false">IF(T236&gt;0,T233/T236,"")</f>
        <v>-7.14843732391304</v>
      </c>
      <c r="U239" s="31" t="n">
        <f aca="false">IF(U236&gt;0,U233/U236,"")</f>
        <v>-3.85034169130435</v>
      </c>
      <c r="V239" s="31" t="n">
        <f aca="false">IF(V236&gt;0,V233/V236,"")</f>
        <v>3.41995183043478</v>
      </c>
      <c r="W239" s="31" t="n">
        <f aca="false">IF(W236&gt;0,W233/W236,"")</f>
        <v>3.67724656956522</v>
      </c>
      <c r="X239" s="31" t="n">
        <f aca="false">IF(X236&gt;0,X233/X236,"")</f>
        <v>3.7267641</v>
      </c>
      <c r="Y239" s="31" t="n">
        <f aca="false">IF(Y236&gt;0,Y233/Y236,"")</f>
        <v>30.2683792304348</v>
      </c>
      <c r="Z239" s="31" t="n">
        <f aca="false">IF(Z236&gt;0,Z233/Z236,"")</f>
        <v>2.66712984782609</v>
      </c>
      <c r="AA239" s="31" t="n">
        <f aca="false">IF(AA236&gt;0,AA233/AA236,"")</f>
        <v>2.58206505652174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-15.4937180347826</v>
      </c>
      <c r="Q240" s="31" t="n">
        <f aca="false">IF(Q236&gt;0,(P238+Q233+IF(Source_Data!Q$6=Inputs!$B$12,Inputs!$B$7,0))/Q236,"")</f>
        <v>-16.9992481521739</v>
      </c>
      <c r="R240" s="31" t="n">
        <f aca="false">IF(R236&gt;0,(Q238+R233+IF(Source_Data!R$6=Inputs!$B$12,Inputs!$B$7,0))/R236,"")</f>
        <v>-24.5448566652174</v>
      </c>
      <c r="S240" s="31" t="n">
        <f aca="false">IF(S236&gt;0,(R238+S233+IF(Source_Data!S$6=Inputs!$B$12,Inputs!$B$7,0))/S236,"")</f>
        <v>-31.0588357956522</v>
      </c>
      <c r="T240" s="31" t="n">
        <f aca="false">IF(T236&gt;0,(S238+T233+IF(Source_Data!T$6=Inputs!$B$12,Inputs!$B$7,0))/T236,"")</f>
        <v>-39.2072731195652</v>
      </c>
      <c r="U240" s="31" t="n">
        <f aca="false">IF(U236&gt;0,(T238+U233+IF(Source_Data!U$6=Inputs!$B$12,Inputs!$B$7,0))/U236,"")</f>
        <v>-44.0576148108696</v>
      </c>
      <c r="V240" s="31" t="n">
        <f aca="false">IF(V236&gt;0,(U238+V233+IF(Source_Data!V$6=Inputs!$B$12,Inputs!$B$7,0))/V236,"")</f>
        <v>-41.6376629804348</v>
      </c>
      <c r="W240" s="31" t="n">
        <f aca="false">IF(W236&gt;0,(V238+W233+IF(Source_Data!W$6=Inputs!$B$12,Inputs!$B$7,0))/W236,"")</f>
        <v>-38.9604164108696</v>
      </c>
      <c r="X240" s="31" t="n">
        <f aca="false">IF(X236&gt;0,(W238+X233+IF(Source_Data!X$6=Inputs!$B$12,Inputs!$B$7,0))/X236,"")</f>
        <v>-36.2336523108696</v>
      </c>
      <c r="Y240" s="31" t="n">
        <f aca="false">IF(Y236&gt;0,(X238+Y233+IF(Source_Data!Y$6=Inputs!$B$12,Inputs!$B$7,0))/Y236,"")</f>
        <v>-6.96527308043479</v>
      </c>
      <c r="Z240" s="31" t="n">
        <f aca="false">IF(Z236&gt;0,(Y238+Z233+IF(Source_Data!Z$6=Inputs!$B$12,Inputs!$B$7,0))/Z236,"")</f>
        <v>-5.29814323260871</v>
      </c>
      <c r="AA240" s="31" t="n">
        <f aca="false">IF(AA236&gt;0,(Z238+AA233+IF(Source_Data!AA$6=Inputs!$B$12,Inputs!$B$7,0))/AA236,"")</f>
        <v>-3.71607817608697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-863.604283875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-7.14843732391304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-44.0576148108696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356</v>
      </c>
    </row>
    <row r="2" customFormat="false" ht="15" hidden="false" customHeight="false" outlineLevel="0" collapsed="false">
      <c r="A2" s="6" t="s">
        <v>357</v>
      </c>
    </row>
    <row r="4" customFormat="false" ht="15" hidden="false" customHeight="false" outlineLevel="0" collapsed="false">
      <c r="A4" s="8" t="s">
        <v>358</v>
      </c>
    </row>
    <row r="5" customFormat="false" ht="15" hidden="false" customHeight="false" outlineLevel="0" collapsed="false">
      <c r="A5" s="3" t="s">
        <v>331</v>
      </c>
      <c r="B5" s="45" t="n">
        <v>0.8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57.4814814814815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57.4814814814815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57.4814814814815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57.4814814814815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6.99252</v>
      </c>
      <c r="I22" s="33" t="n">
        <f aca="false">H22+IF(Source_Data!I$6=Inputs!$B$12,Inputs!$B$7,0)+I17-I20</f>
        <v>13.47756</v>
      </c>
      <c r="J22" s="33" t="n">
        <f aca="false">I22+IF(Source_Data!J$6=Inputs!$B$12,Inputs!$B$7,0)+J17-J20</f>
        <v>14.58622</v>
      </c>
      <c r="K22" s="33" t="n">
        <f aca="false">J22+IF(Source_Data!K$6=Inputs!$B$12,Inputs!$B$7,0)+K17-K20</f>
        <v>16.940932</v>
      </c>
      <c r="L22" s="33" t="n">
        <f aca="false">K22+IF(Source_Data!L$6=Inputs!$B$12,Inputs!$B$7,0)+L17-L20</f>
        <v>-31.983048</v>
      </c>
      <c r="M22" s="33" t="n">
        <f aca="false">L22+IF(Source_Data!M$6=Inputs!$B$12,Inputs!$B$7,0)+M17-M20</f>
        <v>-60.55845</v>
      </c>
      <c r="N22" s="33" t="n">
        <f aca="false">M22+IF(Source_Data!N$6=Inputs!$B$12,Inputs!$B$7,0)+N17-N20</f>
        <v>-74.769558</v>
      </c>
      <c r="O22" s="33" t="n">
        <f aca="false">N22+IF(Source_Data!O$6=Inputs!$B$12,Inputs!$B$7,0)+O17-O20</f>
        <v>-71.404758</v>
      </c>
      <c r="P22" s="33" t="n">
        <f aca="false">O22+IF(Source_Data!P$6=Inputs!$B$12,Inputs!$B$7,0)+P17-P20</f>
        <v>-67.0371716666666</v>
      </c>
      <c r="Q22" s="33" t="n">
        <f aca="false">P22+IF(Source_Data!Q$6=Inputs!$B$12,Inputs!$B$7,0)+Q17-Q20</f>
        <v>-54.5242523333333</v>
      </c>
      <c r="R22" s="33" t="n">
        <f aca="false">Q22+IF(Source_Data!R$6=Inputs!$B$12,Inputs!$B$7,0)+R17-R20</f>
        <v>272.495887</v>
      </c>
      <c r="S22" s="33" t="n">
        <f aca="false">R22+IF(Source_Data!S$6=Inputs!$B$12,Inputs!$B$7,0)+S17-S20</f>
        <v>190.355806333333</v>
      </c>
      <c r="T22" s="33" t="n">
        <f aca="false">S22+IF(Source_Data!T$6=Inputs!$B$12,Inputs!$B$7,0)+T17-T20</f>
        <v>21.0821576666664</v>
      </c>
      <c r="U22" s="33" t="n">
        <f aca="false">T22+IF(Source_Data!U$6=Inputs!$B$12,Inputs!$B$7,0)+U17-U20</f>
        <v>-112.749171</v>
      </c>
      <c r="V22" s="33" t="n">
        <f aca="false">U22+IF(Source_Data!V$6=Inputs!$B$12,Inputs!$B$7,0)+V17-V20</f>
        <v>-111.475847666667</v>
      </c>
      <c r="W22" s="33" t="n">
        <f aca="false">V22+IF(Source_Data!W$6=Inputs!$B$12,Inputs!$B$7,0)+W17-W20</f>
        <v>-111.651776333334</v>
      </c>
      <c r="X22" s="33" t="n">
        <f aca="false">W22+IF(Source_Data!X$6=Inputs!$B$12,Inputs!$B$7,0)+X17-X20</f>
        <v>-91.4948735000003</v>
      </c>
      <c r="Y22" s="33" t="n">
        <f aca="false">X22+IF(Source_Data!Y$6=Inputs!$B$12,Inputs!$B$7,0)+Y17-Y20</f>
        <v>-77.038809166667</v>
      </c>
      <c r="Z22" s="33" t="n">
        <f aca="false">Y22+IF(Source_Data!Z$6=Inputs!$B$12,Inputs!$B$7,0)+Z17-Z20</f>
        <v>-69.6351748333336</v>
      </c>
      <c r="AA22" s="33" t="n">
        <f aca="false">Z22+IF(Source_Data!AA$6=Inputs!$B$12,Inputs!$B$7,0)+AA17-AA20</f>
        <v>-70.4648425000003</v>
      </c>
      <c r="AB22" s="33" t="n">
        <f aca="false">AA22+IF(Source_Data!AB$6=Inputs!$B$12,Inputs!$B$7,0)+AB17-AB20</f>
        <v>-29.6278435000003</v>
      </c>
      <c r="AC22" s="33" t="n">
        <f aca="false">AB22+IF(Source_Data!AC$6=Inputs!$B$12,Inputs!$B$7,0)+AC17-AC20</f>
        <v>11.2091554999997</v>
      </c>
      <c r="AD22" s="33" t="n">
        <f aca="false">AC22+IF(Source_Data!AD$6=Inputs!$B$12,Inputs!$B$7,0)+AD17-AD20</f>
        <v>52.0461544999997</v>
      </c>
      <c r="AE22" s="33" t="n">
        <f aca="false">AD22+IF(Source_Data!AE$6=Inputs!$B$12,Inputs!$B$7,0)+AE17-AE20</f>
        <v>92.8831534999997</v>
      </c>
      <c r="AF22" s="33" t="n">
        <f aca="false">AE22+IF(Source_Data!AF$6=Inputs!$B$12,Inputs!$B$7,0)+AF17-AF20</f>
        <v>63.304430674481</v>
      </c>
      <c r="AG22" s="33" t="n">
        <f aca="false">AF22+IF(Source_Data!AG$6=Inputs!$B$12,Inputs!$B$7,0)+AG17-AG20</f>
        <v>88.4352664372284</v>
      </c>
      <c r="AH22" s="33" t="n">
        <f aca="false">AG22+IF(Source_Data!AH$6=Inputs!$B$12,Inputs!$B$7,0)+AH17-AH20</f>
        <v>110.932669476027</v>
      </c>
      <c r="AI22" s="33" t="n">
        <f aca="false">AH22+IF(Source_Data!AI$6=Inputs!$B$12,Inputs!$B$7,0)+AI17-AI20</f>
        <v>130.796639790877</v>
      </c>
      <c r="AJ22" s="33" t="n">
        <f aca="false">AI22+IF(Source_Data!AJ$6=Inputs!$B$12,Inputs!$B$7,0)+AJ17-AJ20</f>
        <v>146.416585194087</v>
      </c>
      <c r="AK22" s="33" t="n">
        <f aca="false">AJ22+IF(Source_Data!AK$6=Inputs!$B$12,Inputs!$B$7,0)+AK17-AK20</f>
        <v>159.578660054945</v>
      </c>
      <c r="AL22" s="33" t="n">
        <f aca="false">AK22+IF(Source_Data!AL$6=Inputs!$B$12,Inputs!$B$7,0)+AL17-AL20</f>
        <v>171.048722585922</v>
      </c>
      <c r="AM22" s="33" t="n">
        <f aca="false">AL22+IF(Source_Data!AM$6=Inputs!$B$12,Inputs!$B$7,0)+AM17-AM20</f>
        <v>175.994996223948</v>
      </c>
      <c r="AN22" s="33" t="n">
        <f aca="false">AM22+IF(Source_Data!AN$6=Inputs!$B$12,Inputs!$B$7,0)+AN17-AN20</f>
        <v>180.941269861974</v>
      </c>
      <c r="AO22" s="33" t="n">
        <f aca="false">AN22+IF(Source_Data!AO$6=Inputs!$B$12,Inputs!$B$7,0)+AO17-AO20</f>
        <v>185.8875435</v>
      </c>
      <c r="AP22" s="33" t="n">
        <f aca="false">AO22+IF(Source_Data!AP$6=Inputs!$B$12,Inputs!$B$7,0)+AP17-AP20</f>
        <v>185.8875435</v>
      </c>
      <c r="AQ22" s="33" t="n">
        <f aca="false">AP22+IF(Source_Data!AQ$6=Inputs!$B$12,Inputs!$B$7,0)+AQ17-AQ20</f>
        <v>185.8875435</v>
      </c>
      <c r="AR22" s="33" t="n">
        <f aca="false">AQ22+IF(Source_Data!AR$6=Inputs!$B$12,Inputs!$B$7,0)+AR17-AR20</f>
        <v>185.8875435</v>
      </c>
      <c r="AS22" s="33" t="n">
        <f aca="false">AR22+IF(Source_Data!AS$6=Inputs!$B$12,Inputs!$B$7,0)+AS17-AS20</f>
        <v>185.8875435</v>
      </c>
      <c r="AT22" s="33" t="n">
        <f aca="false">AS22+IF(Source_Data!AT$6=Inputs!$B$12,Inputs!$B$7,0)+AT17-AT20</f>
        <v>185.8875435</v>
      </c>
      <c r="AU22" s="33" t="n">
        <f aca="false">AT22+IF(Source_Data!AU$6=Inputs!$B$12,Inputs!$B$7,0)+AU17-AU20</f>
        <v>185.8875435</v>
      </c>
      <c r="AV22" s="33" t="n">
        <f aca="false">AU22+IF(Source_Data!AV$6=Inputs!$B$12,Inputs!$B$7,0)+AV17-AV20</f>
        <v>185.8875435</v>
      </c>
      <c r="AW22" s="33" t="n">
        <f aca="false">AV22+IF(Source_Data!AW$6=Inputs!$B$12,Inputs!$B$7,0)+AW17-AW20</f>
        <v>185.8875435</v>
      </c>
      <c r="AX22" s="33" t="n">
        <f aca="false">AW22+IF(Source_Data!AX$6=Inputs!$B$12,Inputs!$B$7,0)+AX17-AX20</f>
        <v>185.8875435</v>
      </c>
      <c r="AY22" s="33" t="n">
        <f aca="false">AX22+IF(Source_Data!AY$6=Inputs!$B$12,Inputs!$B$7,0)+AY17-AY20</f>
        <v>185.8875435</v>
      </c>
      <c r="AZ22" s="33" t="n">
        <f aca="false">AY22+IF(Source_Data!AZ$6=Inputs!$B$12,Inputs!$B$7,0)+AZ17-AZ20</f>
        <v>185.8875435</v>
      </c>
      <c r="BA22" s="33" t="n">
        <f aca="false">AZ22+IF(Source_Data!BA$6=Inputs!$B$12,Inputs!$B$7,0)+BA17-BA20</f>
        <v>185.8875435</v>
      </c>
      <c r="BB22" s="33" t="n">
        <f aca="false">BA22+IF(Source_Data!BB$6=Inputs!$B$12,Inputs!$B$7,0)+BB17-BB20</f>
        <v>185.8875435</v>
      </c>
      <c r="BC22" s="33" t="n">
        <f aca="false">BB22+IF(Source_Data!BC$6=Inputs!$B$12,Inputs!$B$7,0)+BC17-BC20</f>
        <v>185.8875435</v>
      </c>
      <c r="BD22" s="33" t="n">
        <f aca="false">BC22+IF(Source_Data!BD$6=Inputs!$B$12,Inputs!$B$7,0)+BD17-BD20</f>
        <v>185.8875435</v>
      </c>
      <c r="BE22" s="33" t="n">
        <f aca="false">BD22+IF(Source_Data!BE$6=Inputs!$B$12,Inputs!$B$7,0)+BE17-BE20</f>
        <v>185.8875435</v>
      </c>
      <c r="BF22" s="33" t="n">
        <f aca="false">BE22+IF(Source_Data!BF$6=Inputs!$B$12,Inputs!$B$7,0)+BF17-BF20</f>
        <v>185.8875435</v>
      </c>
      <c r="BG22" s="33" t="n">
        <f aca="false">BF22+IF(Source_Data!BG$6=Inputs!$B$12,Inputs!$B$7,0)+BG17-BG20</f>
        <v>185.8875435</v>
      </c>
      <c r="BH22" s="33" t="n">
        <f aca="false">BG22+IF(Source_Data!BH$6=Inputs!$B$12,Inputs!$B$7,0)+BH17-BH20</f>
        <v>185.8875435</v>
      </c>
      <c r="BI22" s="33" t="n">
        <f aca="false">BH22+IF(Source_Data!BI$6=Inputs!$B$12,Inputs!$B$7,0)+BI17-BI20</f>
        <v>185.8875435</v>
      </c>
      <c r="BJ22" s="33" t="n">
        <f aca="false">BI22+IF(Source_Data!BJ$6=Inputs!$B$12,Inputs!$B$7,0)+BJ17-BJ20</f>
        <v>185.8875435</v>
      </c>
      <c r="BK22" s="33" t="n">
        <f aca="false">BJ22+IF(Source_Data!BK$6=Inputs!$B$12,Inputs!$B$7,0)+BK17-BK20</f>
        <v>185.8875435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1.22787406956522</v>
      </c>
      <c r="Q23" s="31" t="n">
        <f aca="false">IF(Q20&gt;0,Q17/Q20,"")</f>
        <v>1.65284796521739</v>
      </c>
      <c r="R23" s="31" t="n">
        <f aca="false">IF(R20&gt;0,R17/R20,"")</f>
        <v>18.0619203130435</v>
      </c>
      <c r="S23" s="31" t="n">
        <f aca="false">IF(S20&gt;0,S17/S20,"")</f>
        <v>-3.28556942608696</v>
      </c>
      <c r="T23" s="31" t="n">
        <f aca="false">IF(T20&gt;0,T17/T20,"")</f>
        <v>-7.83166862608696</v>
      </c>
      <c r="U23" s="31" t="n">
        <f aca="false">IF(U20&gt;0,U17/U20,"")</f>
        <v>-5.98250410434783</v>
      </c>
      <c r="V23" s="31" t="n">
        <f aca="false">IF(V20&gt;0,V17/V20,"")</f>
        <v>1.06643426086956</v>
      </c>
      <c r="W23" s="31" t="n">
        <f aca="false">IF(W20&gt;0,W17/W20,"")</f>
        <v>0.990821113043477</v>
      </c>
      <c r="X23" s="31" t="n">
        <f aca="false">IF(X20&gt;0,X17/X20,"")</f>
        <v>2.05166449565217</v>
      </c>
      <c r="Y23" s="31" t="n">
        <f aca="false">IF(Y20&gt;0,Y17/Y20,"")</f>
        <v>1.75422944347826</v>
      </c>
      <c r="Z23" s="31" t="n">
        <f aca="false">IF(Z20&gt;0,Z17/Z20,"")</f>
        <v>1.38627657391304</v>
      </c>
      <c r="AA23" s="31" t="n">
        <f aca="false">IF(AA20&gt;0,AA17/AA20,"")</f>
        <v>0.956712991304348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-2.49759156521739</v>
      </c>
      <c r="Q24" s="31" t="n">
        <f aca="false">IF(Q20&gt;0,(P22+Q17+IF(Source_Data!Q$6=Inputs!$B$12,Inputs!$B$7,0))/Q20,"")</f>
        <v>-1.8447436</v>
      </c>
      <c r="R24" s="31" t="n">
        <f aca="false">IF(R20&gt;0,(Q22+R17+IF(Source_Data!R$6=Inputs!$B$12,Inputs!$B$7,0))/R20,"")</f>
        <v>15.2171767130435</v>
      </c>
      <c r="S24" s="31" t="n">
        <f aca="false">IF(S20&gt;0,(R22+S17+IF(Source_Data!S$6=Inputs!$B$12,Inputs!$B$7,0))/S20,"")</f>
        <v>10.9316072869565</v>
      </c>
      <c r="T24" s="31" t="n">
        <f aca="false">IF(T20&gt;0,(S22+T17+IF(Source_Data!T$6=Inputs!$B$12,Inputs!$B$7,0))/T20,"")</f>
        <v>2.09993866086955</v>
      </c>
      <c r="U24" s="31" t="n">
        <f aca="false">IF(U20&gt;0,(T22+U17+IF(Source_Data!U$6=Inputs!$B$12,Inputs!$B$7,0))/U20,"")</f>
        <v>-4.88256544347828</v>
      </c>
      <c r="V24" s="31" t="n">
        <f aca="false">IF(V20&gt;0,(U22+V17+IF(Source_Data!V$6=Inputs!$B$12,Inputs!$B$7,0))/V20,"")</f>
        <v>-4.81613118260871</v>
      </c>
      <c r="W24" s="31" t="n">
        <f aca="false">IF(W20&gt;0,(V22+W17+IF(Source_Data!W$6=Inputs!$B$12,Inputs!$B$7,0))/W20,"")</f>
        <v>-4.82531006956524</v>
      </c>
      <c r="X24" s="31" t="n">
        <f aca="false">IF(X20&gt;0,(W22+X17+IF(Source_Data!X$6=Inputs!$B$12,Inputs!$B$7,0))/X20,"")</f>
        <v>-3.77364557391306</v>
      </c>
      <c r="Y24" s="31" t="n">
        <f aca="false">IF(Y20&gt;0,(X22+Y17+IF(Source_Data!Y$6=Inputs!$B$12,Inputs!$B$7,0))/Y20,"")</f>
        <v>-3.0194161304348</v>
      </c>
      <c r="Z24" s="31" t="n">
        <f aca="false">IF(Z20&gt;0,(Y22+Z17+IF(Source_Data!Z$6=Inputs!$B$12,Inputs!$B$7,0))/Z20,"")</f>
        <v>-2.63313955652176</v>
      </c>
      <c r="AA24" s="31" t="n">
        <f aca="false">IF(AA20&gt;0,(Z22+AA17+IF(Source_Data!AA$6=Inputs!$B$12,Inputs!$B$7,0))/AA20,"")</f>
        <v>-2.67642656521741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-112.749171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-7.83166862608696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-4.88256544347828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359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0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64.6666666666667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64.6666666666667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64.6666666666667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64.6666666666667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8.804085</v>
      </c>
      <c r="I58" s="33" t="n">
        <f aca="false">H58+IF(Source_Data!I$6=Inputs!$B$12,Inputs!$B$7,0)+I53-I56</f>
        <v>18.912255</v>
      </c>
      <c r="J58" s="33" t="n">
        <f aca="false">I58+IF(Source_Data!J$6=Inputs!$B$12,Inputs!$B$7,0)+J53-J56</f>
        <v>25.8469975</v>
      </c>
      <c r="K58" s="33" t="n">
        <f aca="false">J58+IF(Source_Data!K$6=Inputs!$B$12,Inputs!$B$7,0)+K53-K56</f>
        <v>35.1035485</v>
      </c>
      <c r="L58" s="33" t="n">
        <f aca="false">K58+IF(Source_Data!L$6=Inputs!$B$12,Inputs!$B$7,0)+L53-L56</f>
        <v>-8.560929</v>
      </c>
      <c r="M58" s="33" t="n">
        <f aca="false">L58+IF(Source_Data!M$6=Inputs!$B$12,Inputs!$B$7,0)+M53-M56</f>
        <v>-31.28825625</v>
      </c>
      <c r="N58" s="33" t="n">
        <f aca="false">M58+IF(Source_Data!N$6=Inputs!$B$12,Inputs!$B$7,0)+N53-N56</f>
        <v>-37.85575275</v>
      </c>
      <c r="O58" s="33" t="n">
        <f aca="false">N58+IF(Source_Data!O$6=Inputs!$B$12,Inputs!$B$7,0)+O53-O56</f>
        <v>-24.65035275</v>
      </c>
      <c r="P58" s="33" t="n">
        <f aca="false">O58+IF(Source_Data!P$6=Inputs!$B$12,Inputs!$B$7,0)+P53-P56</f>
        <v>-9.55073479166664</v>
      </c>
      <c r="Q58" s="33" t="n">
        <f aca="false">P58+IF(Source_Data!Q$6=Inputs!$B$12,Inputs!$B$7,0)+Q53-Q56</f>
        <v>14.7123827916667</v>
      </c>
      <c r="R58" s="33" t="n">
        <f aca="false">Q58+IF(Source_Data!R$6=Inputs!$B$12,Inputs!$B$7,0)+R53-R56</f>
        <v>409.287122875</v>
      </c>
      <c r="S58" s="33" t="n">
        <f aca="false">R58+IF(Source_Data!S$6=Inputs!$B$12,Inputs!$B$7,0)+S53-S56</f>
        <v>343.556615458333</v>
      </c>
      <c r="T58" s="33" t="n">
        <f aca="false">S58+IF(Source_Data!T$6=Inputs!$B$12,Inputs!$B$7,0)+T53-T56</f>
        <v>184.719594041666</v>
      </c>
      <c r="U58" s="33" t="n">
        <f aca="false">T58+IF(Source_Data!U$6=Inputs!$B$12,Inputs!$B$7,0)+U53-U56</f>
        <v>58.9989326249997</v>
      </c>
      <c r="V58" s="33" t="n">
        <f aca="false">U58+IF(Source_Data!V$6=Inputs!$B$12,Inputs!$B$7,0)+V53-V56</f>
        <v>68.452254708333</v>
      </c>
      <c r="W58" s="33" t="n">
        <f aca="false">V58+IF(Source_Data!W$6=Inputs!$B$12,Inputs!$B$7,0)+W53-W56</f>
        <v>76.2751682916664</v>
      </c>
      <c r="X58" s="33" t="n">
        <f aca="false">W58+IF(Source_Data!X$6=Inputs!$B$12,Inputs!$B$7,0)+X53-X56</f>
        <v>104.1600173125</v>
      </c>
      <c r="Y58" s="33" t="n">
        <f aca="false">X58+IF(Source_Data!Y$6=Inputs!$B$12,Inputs!$B$7,0)+Y53-Y56</f>
        <v>125.631423020833</v>
      </c>
      <c r="Z58" s="33" t="n">
        <f aca="false">Y58+IF(Source_Data!Z$6=Inputs!$B$12,Inputs!$B$7,0)+Z53-Z56</f>
        <v>139.168844979166</v>
      </c>
      <c r="AA58" s="33" t="n">
        <f aca="false">Z58+IF(Source_Data!AA$6=Inputs!$B$12,Inputs!$B$7,0)+AA53-AA56</f>
        <v>143.4438021875</v>
      </c>
      <c r="AB58" s="33" t="n">
        <f aca="false">AA58+IF(Source_Data!AB$6=Inputs!$B$12,Inputs!$B$7,0)+AB53-AB56</f>
        <v>189.3854260625</v>
      </c>
      <c r="AC58" s="33" t="n">
        <f aca="false">AB58+IF(Source_Data!AC$6=Inputs!$B$12,Inputs!$B$7,0)+AC53-AC56</f>
        <v>235.3270499375</v>
      </c>
      <c r="AD58" s="33" t="n">
        <f aca="false">AC58+IF(Source_Data!AD$6=Inputs!$B$12,Inputs!$B$7,0)+AD53-AD56</f>
        <v>281.2686738125</v>
      </c>
      <c r="AE58" s="33" t="n">
        <f aca="false">AD58+IF(Source_Data!AE$6=Inputs!$B$12,Inputs!$B$7,0)+AE53-AE56</f>
        <v>327.2102976875</v>
      </c>
      <c r="AF58" s="33" t="n">
        <f aca="false">AE58+IF(Source_Data!AF$6=Inputs!$B$12,Inputs!$B$7,0)+AF53-AF56</f>
        <v>213.79082205599</v>
      </c>
      <c r="AG58" s="33" t="n">
        <f aca="false">AF58+IF(Source_Data!AG$6=Inputs!$B$12,Inputs!$B$7,0)+AG53-AG56</f>
        <v>236.710885484239</v>
      </c>
      <c r="AH58" s="33" t="n">
        <f aca="false">AG58+IF(Source_Data!AH$6=Inputs!$B$12,Inputs!$B$7,0)+AH53-AH56</f>
        <v>257.229180597388</v>
      </c>
      <c r="AI58" s="33" t="n">
        <f aca="false">AH58+IF(Source_Data!AI$6=Inputs!$B$12,Inputs!$B$7,0)+AI53-AI56</f>
        <v>275.345707395438</v>
      </c>
      <c r="AJ58" s="33" t="n">
        <f aca="false">AI58+IF(Source_Data!AJ$6=Inputs!$B$12,Inputs!$B$7,0)+AJ53-AJ56</f>
        <v>289.591558300168</v>
      </c>
      <c r="AK58" s="33" t="n">
        <f aca="false">AJ58+IF(Source_Data!AK$6=Inputs!$B$12,Inputs!$B$7,0)+AK53-AK56</f>
        <v>301.595758777472</v>
      </c>
      <c r="AL58" s="33" t="n">
        <f aca="false">AK58+IF(Source_Data!AL$6=Inputs!$B$12,Inputs!$B$7,0)+AL53-AL56</f>
        <v>312.056794105461</v>
      </c>
      <c r="AM58" s="33" t="n">
        <f aca="false">AL58+IF(Source_Data!AM$6=Inputs!$B$12,Inputs!$B$7,0)+AM53-AM56</f>
        <v>316.567941549474</v>
      </c>
      <c r="AN58" s="33" t="n">
        <f aca="false">AM58+IF(Source_Data!AN$6=Inputs!$B$12,Inputs!$B$7,0)+AN53-AN56</f>
        <v>321.079088993487</v>
      </c>
      <c r="AO58" s="33" t="n">
        <f aca="false">AN58+IF(Source_Data!AO$6=Inputs!$B$12,Inputs!$B$7,0)+AO53-AO56</f>
        <v>325.5902364375</v>
      </c>
      <c r="AP58" s="33" t="n">
        <f aca="false">AO58+IF(Source_Data!AP$6=Inputs!$B$12,Inputs!$B$7,0)+AP53-AP56</f>
        <v>325.5902364375</v>
      </c>
      <c r="AQ58" s="33" t="n">
        <f aca="false">AP58+IF(Source_Data!AQ$6=Inputs!$B$12,Inputs!$B$7,0)+AQ53-AQ56</f>
        <v>325.5902364375</v>
      </c>
      <c r="AR58" s="33" t="n">
        <f aca="false">AQ58+IF(Source_Data!AR$6=Inputs!$B$12,Inputs!$B$7,0)+AR53-AR56</f>
        <v>325.5902364375</v>
      </c>
      <c r="AS58" s="33" t="n">
        <f aca="false">AR58+IF(Source_Data!AS$6=Inputs!$B$12,Inputs!$B$7,0)+AS53-AS56</f>
        <v>325.5902364375</v>
      </c>
      <c r="AT58" s="33" t="n">
        <f aca="false">AS58+IF(Source_Data!AT$6=Inputs!$B$12,Inputs!$B$7,0)+AT53-AT56</f>
        <v>325.5902364375</v>
      </c>
      <c r="AU58" s="33" t="n">
        <f aca="false">AT58+IF(Source_Data!AU$6=Inputs!$B$12,Inputs!$B$7,0)+AU53-AU56</f>
        <v>325.5902364375</v>
      </c>
      <c r="AV58" s="33" t="n">
        <f aca="false">AU58+IF(Source_Data!AV$6=Inputs!$B$12,Inputs!$B$7,0)+AV53-AV56</f>
        <v>325.5902364375</v>
      </c>
      <c r="AW58" s="33" t="n">
        <f aca="false">AV58+IF(Source_Data!AW$6=Inputs!$B$12,Inputs!$B$7,0)+AW53-AW56</f>
        <v>325.5902364375</v>
      </c>
      <c r="AX58" s="33" t="n">
        <f aca="false">AW58+IF(Source_Data!AX$6=Inputs!$B$12,Inputs!$B$7,0)+AX53-AX56</f>
        <v>325.5902364375</v>
      </c>
      <c r="AY58" s="33" t="n">
        <f aca="false">AX58+IF(Source_Data!AY$6=Inputs!$B$12,Inputs!$B$7,0)+AY53-AY56</f>
        <v>325.5902364375</v>
      </c>
      <c r="AZ58" s="33" t="n">
        <f aca="false">AY58+IF(Source_Data!AZ$6=Inputs!$B$12,Inputs!$B$7,0)+AZ53-AZ56</f>
        <v>325.5902364375</v>
      </c>
      <c r="BA58" s="33" t="n">
        <f aca="false">AZ58+IF(Source_Data!BA$6=Inputs!$B$12,Inputs!$B$7,0)+BA53-BA56</f>
        <v>325.5902364375</v>
      </c>
      <c r="BB58" s="33" t="n">
        <f aca="false">BA58+IF(Source_Data!BB$6=Inputs!$B$12,Inputs!$B$7,0)+BB53-BB56</f>
        <v>325.5902364375</v>
      </c>
      <c r="BC58" s="33" t="n">
        <f aca="false">BB58+IF(Source_Data!BC$6=Inputs!$B$12,Inputs!$B$7,0)+BC53-BC56</f>
        <v>325.5902364375</v>
      </c>
      <c r="BD58" s="33" t="n">
        <f aca="false">BC58+IF(Source_Data!BD$6=Inputs!$B$12,Inputs!$B$7,0)+BD53-BD56</f>
        <v>325.5902364375</v>
      </c>
      <c r="BE58" s="33" t="n">
        <f aca="false">BD58+IF(Source_Data!BE$6=Inputs!$B$12,Inputs!$B$7,0)+BE53-BE56</f>
        <v>325.5902364375</v>
      </c>
      <c r="BF58" s="33" t="n">
        <f aca="false">BE58+IF(Source_Data!BF$6=Inputs!$B$12,Inputs!$B$7,0)+BF53-BF56</f>
        <v>325.5902364375</v>
      </c>
      <c r="BG58" s="33" t="n">
        <f aca="false">BF58+IF(Source_Data!BG$6=Inputs!$B$12,Inputs!$B$7,0)+BG53-BG56</f>
        <v>325.5902364375</v>
      </c>
      <c r="BH58" s="33" t="n">
        <f aca="false">BG58+IF(Source_Data!BH$6=Inputs!$B$12,Inputs!$B$7,0)+BH53-BH56</f>
        <v>325.5902364375</v>
      </c>
      <c r="BI58" s="33" t="n">
        <f aca="false">BH58+IF(Source_Data!BI$6=Inputs!$B$12,Inputs!$B$7,0)+BI53-BI56</f>
        <v>325.5902364375</v>
      </c>
      <c r="BJ58" s="33" t="n">
        <f aca="false">BI58+IF(Source_Data!BJ$6=Inputs!$B$12,Inputs!$B$7,0)+BJ53-BJ56</f>
        <v>325.5902364375</v>
      </c>
      <c r="BK58" s="33" t="n">
        <f aca="false">BJ58+IF(Source_Data!BK$6=Inputs!$B$12,Inputs!$B$7,0)+BK53-BK56</f>
        <v>325.5902364375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1.78780615434783</v>
      </c>
      <c r="Q59" s="31" t="n">
        <f aca="false">IF(Q56&gt;0,Q53/Q56,"")</f>
        <v>2.26590178695652</v>
      </c>
      <c r="R59" s="31" t="n">
        <f aca="false">IF(R56&gt;0,R53/R56,"")</f>
        <v>21.5865081782609</v>
      </c>
      <c r="S59" s="31" t="n">
        <f aca="false">IF(S56&gt;0,S53/S56,"")</f>
        <v>-2.42941777826087</v>
      </c>
      <c r="T59" s="31" t="n">
        <f aca="false">IF(T56&gt;0,T53/T56,"")</f>
        <v>-7.28714894347827</v>
      </c>
      <c r="U59" s="31" t="n">
        <f aca="false">IF(U56&gt;0,U53/U56,"")</f>
        <v>-5.55933885652174</v>
      </c>
      <c r="V59" s="31" t="n">
        <f aca="false">IF(V56&gt;0,V53/V56,"")</f>
        <v>1.49321680434783</v>
      </c>
      <c r="W59" s="31" t="n">
        <f aca="false">IF(W56&gt;0,W53/W56,"")</f>
        <v>1.40815201304348</v>
      </c>
      <c r="X59" s="31" t="n">
        <f aca="false">IF(X56&gt;0,X53/X56,"")</f>
        <v>2.45486168804348</v>
      </c>
      <c r="Y59" s="31" t="n">
        <f aca="false">IF(Y56&gt;0,Y53/Y56,"")</f>
        <v>2.12024725434783</v>
      </c>
      <c r="Z59" s="31" t="n">
        <f aca="false">IF(Z56&gt;0,Z53/Z56,"")</f>
        <v>1.70630027608696</v>
      </c>
      <c r="AA59" s="31" t="n">
        <f aca="false">IF(AA56&gt;0,AA53/AA56,"")</f>
        <v>1.22304124565217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0.501700793478262</v>
      </c>
      <c r="Q60" s="31" t="n">
        <f aca="false">IF(Q56&gt;0,(P58+Q53+IF(Source_Data!Q$6=Inputs!$B$12,Inputs!$B$7,0))/Q56,"")</f>
        <v>1.76760258043478</v>
      </c>
      <c r="R60" s="31" t="n">
        <f aca="false">IF(R56&gt;0,(Q58+R53+IF(Source_Data!R$6=Inputs!$B$12,Inputs!$B$7,0))/R56,"")</f>
        <v>22.3541107586956</v>
      </c>
      <c r="S60" s="31" t="n">
        <f aca="false">IF(S56&gt;0,(R58+S53+IF(Source_Data!S$6=Inputs!$B$12,Inputs!$B$7,0))/S56,"")</f>
        <v>18.9246929804348</v>
      </c>
      <c r="T60" s="31" t="n">
        <f aca="false">IF(T56&gt;0,(S58+T53+IF(Source_Data!T$6=Inputs!$B$12,Inputs!$B$7,0))/T56,"")</f>
        <v>10.6375440369565</v>
      </c>
      <c r="U60" s="31" t="n">
        <f aca="false">IF(U56&gt;0,(T58+U53+IF(Source_Data!U$6=Inputs!$B$12,Inputs!$B$7,0))/U56,"")</f>
        <v>4.07820518043477</v>
      </c>
      <c r="V60" s="31" t="n">
        <f aca="false">IF(V56&gt;0,(U58+V53+IF(Source_Data!V$6=Inputs!$B$12,Inputs!$B$7,0))/V56,"")</f>
        <v>4.57142198478259</v>
      </c>
      <c r="W60" s="31" t="n">
        <f aca="false">IF(W56&gt;0,(V58+W53+IF(Source_Data!W$6=Inputs!$B$12,Inputs!$B$7,0))/W56,"")</f>
        <v>4.97957399782607</v>
      </c>
      <c r="X60" s="31" t="n">
        <f aca="false">IF(X56&gt;0,(W58+X53+IF(Source_Data!X$6=Inputs!$B$12,Inputs!$B$7,0))/X56,"")</f>
        <v>6.43443568586955</v>
      </c>
      <c r="Y60" s="31" t="n">
        <f aca="false">IF(Y56&gt;0,(X58+Y53+IF(Source_Data!Y$6=Inputs!$B$12,Inputs!$B$7,0))/Y56,"")</f>
        <v>7.55468294021738</v>
      </c>
      <c r="Z60" s="31" t="n">
        <f aca="false">IF(Z56&gt;0,(Y58+Z53+IF(Source_Data!Z$6=Inputs!$B$12,Inputs!$B$7,0))/Z56,"")</f>
        <v>8.26098321630433</v>
      </c>
      <c r="AA60" s="31" t="n">
        <f aca="false">IF(AA56&gt;0,(Z58+AA53+IF(Source_Data!AA$6=Inputs!$B$12,Inputs!$B$7,0))/AA56,"")</f>
        <v>8.48402446195651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-37.85575275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-7.28714894347827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0.501700793478262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360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361</v>
      </c>
    </row>
    <row r="113" customFormat="false" ht="15" hidden="false" customHeight="false" outlineLevel="0" collapsed="false">
      <c r="A113" s="3" t="s">
        <v>331</v>
      </c>
      <c r="B113" s="45" t="n">
        <v>1.2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86.2222222222222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86.2222222222222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86.2222222222222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86.2222222222222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14.23878</v>
      </c>
      <c r="I130" s="33" t="n">
        <f aca="false">H130+IF(Source_Data!I$6=Inputs!$B$12,Inputs!$B$7,0)+I125-I128</f>
        <v>35.21634</v>
      </c>
      <c r="J130" s="33" t="n">
        <f aca="false">I130+IF(Source_Data!J$6=Inputs!$B$12,Inputs!$B$7,0)+J125-J128</f>
        <v>59.62933</v>
      </c>
      <c r="K130" s="33" t="n">
        <f aca="false">J130+IF(Source_Data!K$6=Inputs!$B$12,Inputs!$B$7,0)+K125-K128</f>
        <v>89.591398</v>
      </c>
      <c r="L130" s="33" t="n">
        <f aca="false">K130+IF(Source_Data!L$6=Inputs!$B$12,Inputs!$B$7,0)+L125-L128</f>
        <v>61.705428</v>
      </c>
      <c r="M130" s="33" t="n">
        <f aca="false">L130+IF(Source_Data!M$6=Inputs!$B$12,Inputs!$B$7,0)+M125-M128</f>
        <v>56.522325</v>
      </c>
      <c r="N130" s="33" t="n">
        <f aca="false">M130+IF(Source_Data!N$6=Inputs!$B$12,Inputs!$B$7,0)+N125-N128</f>
        <v>72.885663</v>
      </c>
      <c r="O130" s="33" t="n">
        <f aca="false">N130+IF(Source_Data!O$6=Inputs!$B$12,Inputs!$B$7,0)+O125-O128</f>
        <v>115.612863</v>
      </c>
      <c r="P130" s="33" t="n">
        <f aca="false">O130+IF(Source_Data!P$6=Inputs!$B$12,Inputs!$B$7,0)+P125-P128</f>
        <v>162.908575833333</v>
      </c>
      <c r="Q130" s="33" t="n">
        <f aca="false">P130+IF(Source_Data!Q$6=Inputs!$B$12,Inputs!$B$7,0)+Q125-Q128</f>
        <v>222.422288166667</v>
      </c>
      <c r="R130" s="33" t="n">
        <f aca="false">Q130+IF(Source_Data!R$6=Inputs!$B$12,Inputs!$B$7,0)+R125-R128</f>
        <v>819.6608305</v>
      </c>
      <c r="S130" s="33" t="n">
        <f aca="false">R130+IF(Source_Data!S$6=Inputs!$B$12,Inputs!$B$7,0)+S125-S128</f>
        <v>803.159042833333</v>
      </c>
      <c r="T130" s="33" t="n">
        <f aca="false">S130+IF(Source_Data!T$6=Inputs!$B$12,Inputs!$B$7,0)+T125-T128</f>
        <v>675.631903166666</v>
      </c>
      <c r="U130" s="33" t="n">
        <f aca="false">T130+IF(Source_Data!U$6=Inputs!$B$12,Inputs!$B$7,0)+U125-U128</f>
        <v>574.2432435</v>
      </c>
      <c r="V130" s="33" t="n">
        <f aca="false">U130+IF(Source_Data!V$6=Inputs!$B$12,Inputs!$B$7,0)+V125-V128</f>
        <v>608.236561833333</v>
      </c>
      <c r="W130" s="33" t="n">
        <f aca="false">V130+IF(Source_Data!W$6=Inputs!$B$12,Inputs!$B$7,0)+W125-W128</f>
        <v>640.056002166666</v>
      </c>
      <c r="X130" s="33" t="n">
        <f aca="false">W130+IF(Source_Data!X$6=Inputs!$B$12,Inputs!$B$7,0)+X125-X128</f>
        <v>691.12468975</v>
      </c>
      <c r="Y130" s="33" t="n">
        <f aca="false">X130+IF(Source_Data!Y$6=Inputs!$B$12,Inputs!$B$7,0)+Y125-Y128</f>
        <v>733.642119583333</v>
      </c>
      <c r="Z130" s="33" t="n">
        <f aca="false">Y130+IF(Source_Data!Z$6=Inputs!$B$12,Inputs!$B$7,0)+Z125-Z128</f>
        <v>765.580904416667</v>
      </c>
      <c r="AA130" s="33" t="n">
        <f aca="false">Z130+IF(Source_Data!AA$6=Inputs!$B$12,Inputs!$B$7,0)+AA125-AA128</f>
        <v>785.16973625</v>
      </c>
      <c r="AB130" s="33" t="n">
        <f aca="false">AA130+IF(Source_Data!AB$6=Inputs!$B$12,Inputs!$B$7,0)+AB125-AB128</f>
        <v>846.42523475</v>
      </c>
      <c r="AC130" s="33" t="n">
        <f aca="false">AB130+IF(Source_Data!AC$6=Inputs!$B$12,Inputs!$B$7,0)+AC125-AC128</f>
        <v>907.68073325</v>
      </c>
      <c r="AD130" s="33" t="n">
        <f aca="false">AC130+IF(Source_Data!AD$6=Inputs!$B$12,Inputs!$B$7,0)+AD125-AD128</f>
        <v>968.93623175</v>
      </c>
      <c r="AE130" s="33" t="n">
        <f aca="false">AD130+IF(Source_Data!AE$6=Inputs!$B$12,Inputs!$B$7,0)+AE125-AE128</f>
        <v>1030.19173025</v>
      </c>
      <c r="AF130" s="33" t="n">
        <f aca="false">AE130+IF(Source_Data!AF$6=Inputs!$B$12,Inputs!$B$7,0)+AF125-AF128</f>
        <v>665.249996200519</v>
      </c>
      <c r="AG130" s="33" t="n">
        <f aca="false">AF130+IF(Source_Data!AG$6=Inputs!$B$12,Inputs!$B$7,0)+AG125-AG128</f>
        <v>681.537742625271</v>
      </c>
      <c r="AH130" s="33" t="n">
        <f aca="false">AG130+IF(Source_Data!AH$6=Inputs!$B$12,Inputs!$B$7,0)+AH125-AH128</f>
        <v>696.118713961473</v>
      </c>
      <c r="AI130" s="33" t="n">
        <f aca="false">AH130+IF(Source_Data!AI$6=Inputs!$B$12,Inputs!$B$7,0)+AI125-AI128</f>
        <v>708.992910209123</v>
      </c>
      <c r="AJ130" s="33" t="n">
        <f aca="false">AI130+IF(Source_Data!AJ$6=Inputs!$B$12,Inputs!$B$7,0)+AJ125-AJ128</f>
        <v>719.116477618413</v>
      </c>
      <c r="AK130" s="33" t="n">
        <f aca="false">AJ130+IF(Source_Data!AK$6=Inputs!$B$12,Inputs!$B$7,0)+AK125-AK128</f>
        <v>727.647054945055</v>
      </c>
      <c r="AL130" s="33" t="n">
        <f aca="false">AK130+IF(Source_Data!AL$6=Inputs!$B$12,Inputs!$B$7,0)+AL125-AL128</f>
        <v>735.081008664078</v>
      </c>
      <c r="AM130" s="33" t="n">
        <f aca="false">AL130+IF(Source_Data!AM$6=Inputs!$B$12,Inputs!$B$7,0)+AM125-AM128</f>
        <v>738.286777526052</v>
      </c>
      <c r="AN130" s="33" t="n">
        <f aca="false">AM130+IF(Source_Data!AN$6=Inputs!$B$12,Inputs!$B$7,0)+AN125-AN128</f>
        <v>741.492546388026</v>
      </c>
      <c r="AO130" s="33" t="n">
        <f aca="false">AN130+IF(Source_Data!AO$6=Inputs!$B$12,Inputs!$B$7,0)+AO125-AO128</f>
        <v>744.69831525</v>
      </c>
      <c r="AP130" s="33" t="n">
        <f aca="false">AO130+IF(Source_Data!AP$6=Inputs!$B$12,Inputs!$B$7,0)+AP125-AP128</f>
        <v>744.69831525</v>
      </c>
      <c r="AQ130" s="33" t="n">
        <f aca="false">AP130+IF(Source_Data!AQ$6=Inputs!$B$12,Inputs!$B$7,0)+AQ125-AQ128</f>
        <v>744.69831525</v>
      </c>
      <c r="AR130" s="33" t="n">
        <f aca="false">AQ130+IF(Source_Data!AR$6=Inputs!$B$12,Inputs!$B$7,0)+AR125-AR128</f>
        <v>744.69831525</v>
      </c>
      <c r="AS130" s="33" t="n">
        <f aca="false">AR130+IF(Source_Data!AS$6=Inputs!$B$12,Inputs!$B$7,0)+AS125-AS128</f>
        <v>744.69831525</v>
      </c>
      <c r="AT130" s="33" t="n">
        <f aca="false">AS130+IF(Source_Data!AT$6=Inputs!$B$12,Inputs!$B$7,0)+AT125-AT128</f>
        <v>744.69831525</v>
      </c>
      <c r="AU130" s="33" t="n">
        <f aca="false">AT130+IF(Source_Data!AU$6=Inputs!$B$12,Inputs!$B$7,0)+AU125-AU128</f>
        <v>744.69831525</v>
      </c>
      <c r="AV130" s="33" t="n">
        <f aca="false">AU130+IF(Source_Data!AV$6=Inputs!$B$12,Inputs!$B$7,0)+AV125-AV128</f>
        <v>744.69831525</v>
      </c>
      <c r="AW130" s="33" t="n">
        <f aca="false">AV130+IF(Source_Data!AW$6=Inputs!$B$12,Inputs!$B$7,0)+AW125-AW128</f>
        <v>744.69831525</v>
      </c>
      <c r="AX130" s="33" t="n">
        <f aca="false">AW130+IF(Source_Data!AX$6=Inputs!$B$12,Inputs!$B$7,0)+AX125-AX128</f>
        <v>744.69831525</v>
      </c>
      <c r="AY130" s="33" t="n">
        <f aca="false">AX130+IF(Source_Data!AY$6=Inputs!$B$12,Inputs!$B$7,0)+AY125-AY128</f>
        <v>744.69831525</v>
      </c>
      <c r="AZ130" s="33" t="n">
        <f aca="false">AY130+IF(Source_Data!AZ$6=Inputs!$B$12,Inputs!$B$7,0)+AZ125-AZ128</f>
        <v>744.69831525</v>
      </c>
      <c r="BA130" s="33" t="n">
        <f aca="false">AZ130+IF(Source_Data!BA$6=Inputs!$B$12,Inputs!$B$7,0)+BA125-BA128</f>
        <v>744.69831525</v>
      </c>
      <c r="BB130" s="33" t="n">
        <f aca="false">BA130+IF(Source_Data!BB$6=Inputs!$B$12,Inputs!$B$7,0)+BB125-BB128</f>
        <v>744.69831525</v>
      </c>
      <c r="BC130" s="33" t="n">
        <f aca="false">BB130+IF(Source_Data!BC$6=Inputs!$B$12,Inputs!$B$7,0)+BC125-BC128</f>
        <v>744.69831525</v>
      </c>
      <c r="BD130" s="33" t="n">
        <f aca="false">BC130+IF(Source_Data!BD$6=Inputs!$B$12,Inputs!$B$7,0)+BD125-BD128</f>
        <v>744.69831525</v>
      </c>
      <c r="BE130" s="33" t="n">
        <f aca="false">BD130+IF(Source_Data!BE$6=Inputs!$B$12,Inputs!$B$7,0)+BE125-BE128</f>
        <v>744.69831525</v>
      </c>
      <c r="BF130" s="33" t="n">
        <f aca="false">BE130+IF(Source_Data!BF$6=Inputs!$B$12,Inputs!$B$7,0)+BF125-BF128</f>
        <v>744.69831525</v>
      </c>
      <c r="BG130" s="33" t="n">
        <f aca="false">BF130+IF(Source_Data!BG$6=Inputs!$B$12,Inputs!$B$7,0)+BG125-BG128</f>
        <v>744.69831525</v>
      </c>
      <c r="BH130" s="33" t="n">
        <f aca="false">BG130+IF(Source_Data!BH$6=Inputs!$B$12,Inputs!$B$7,0)+BH125-BH128</f>
        <v>744.69831525</v>
      </c>
      <c r="BI130" s="33" t="n">
        <f aca="false">BH130+IF(Source_Data!BI$6=Inputs!$B$12,Inputs!$B$7,0)+BI125-BI128</f>
        <v>744.69831525</v>
      </c>
      <c r="BJ130" s="33" t="n">
        <f aca="false">BI130+IF(Source_Data!BJ$6=Inputs!$B$12,Inputs!$B$7,0)+BJ125-BJ128</f>
        <v>744.69831525</v>
      </c>
      <c r="BK130" s="33" t="n">
        <f aca="false">BJ130+IF(Source_Data!BK$6=Inputs!$B$12,Inputs!$B$7,0)+BK125-BK128</f>
        <v>744.69831525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3.46760240869565</v>
      </c>
      <c r="Q131" s="31" t="n">
        <f aca="false">IF(Q128&gt;0,Q125/Q128,"")</f>
        <v>4.10506325217391</v>
      </c>
      <c r="R131" s="31" t="n">
        <f aca="false">IF(R128&gt;0,R125/R128,"")</f>
        <v>32.160271773913</v>
      </c>
      <c r="S131" s="31" t="n">
        <f aca="false">IF(S128&gt;0,S125/S128,"")</f>
        <v>0.13903716521739</v>
      </c>
      <c r="T131" s="31" t="n">
        <f aca="false">IF(T128&gt;0,T125/T128,"")</f>
        <v>-5.65358989565218</v>
      </c>
      <c r="U131" s="31" t="n">
        <f aca="false">IF(U128&gt;0,U125/U128,"")</f>
        <v>-4.28984311304348</v>
      </c>
      <c r="V131" s="31" t="n">
        <f aca="false">IF(V128&gt;0,V125/V128,"")</f>
        <v>2.77356443478261</v>
      </c>
      <c r="W131" s="31" t="n">
        <f aca="false">IF(W128&gt;0,W125/W128,"")</f>
        <v>2.66014471304348</v>
      </c>
      <c r="X131" s="31" t="n">
        <f aca="false">IF(X128&gt;0,X125/X128,"")</f>
        <v>3.66445326521739</v>
      </c>
      <c r="Y131" s="31" t="n">
        <f aca="false">IF(Y128&gt;0,Y125/Y128,"")</f>
        <v>3.21830068695652</v>
      </c>
      <c r="Z131" s="31" t="n">
        <f aca="false">IF(Z128&gt;0,Z125/Z128,"")</f>
        <v>2.6663713826087</v>
      </c>
      <c r="AA131" s="31" t="n">
        <f aca="false">IF(AA128&gt;0,AA125/AA128,"")</f>
        <v>2.02202600869565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9.49957786956522</v>
      </c>
      <c r="Q132" s="31" t="n">
        <f aca="false">IF(Q128&gt;0,(P130+Q125+IF(Source_Data!Q$6=Inputs!$B$12,Inputs!$B$7,0))/Q128,"")</f>
        <v>12.6046411217391</v>
      </c>
      <c r="R132" s="31" t="n">
        <f aca="false">IF(R128&gt;0,(Q130+R125+IF(Source_Data!R$6=Inputs!$B$12,Inputs!$B$7,0))/R128,"")</f>
        <v>43.7649128956522</v>
      </c>
      <c r="S132" s="31" t="n">
        <f aca="false">IF(S128&gt;0,(R130+S125+IF(Source_Data!S$6=Inputs!$B$12,Inputs!$B$7,0))/S128,"")</f>
        <v>42.9039500608696</v>
      </c>
      <c r="T132" s="31" t="n">
        <f aca="false">IF(T128&gt;0,(S130+T125+IF(Source_Data!T$6=Inputs!$B$12,Inputs!$B$7,0))/T128,"")</f>
        <v>36.2503601652174</v>
      </c>
      <c r="U132" s="31" t="n">
        <f aca="false">IF(U128&gt;0,(T130+U125+IF(Source_Data!U$6=Inputs!$B$12,Inputs!$B$7,0))/U128,"")</f>
        <v>30.9605170521739</v>
      </c>
      <c r="V132" s="31" t="n">
        <f aca="false">IF(V128&gt;0,(U130+V125+IF(Source_Data!V$6=Inputs!$B$12,Inputs!$B$7,0))/V128,"")</f>
        <v>32.7340814869565</v>
      </c>
      <c r="W132" s="31" t="n">
        <f aca="false">IF(W128&gt;0,(V130+W125+IF(Source_Data!W$6=Inputs!$B$12,Inputs!$B$7,0))/W128,"")</f>
        <v>34.3942262</v>
      </c>
      <c r="X132" s="31" t="n">
        <f aca="false">IF(X128&gt;0,(W130+X125+IF(Source_Data!X$6=Inputs!$B$12,Inputs!$B$7,0))/X128,"")</f>
        <v>37.0586794652174</v>
      </c>
      <c r="Y132" s="31" t="n">
        <f aca="false">IF(Y128&gt;0,(X130+Y125+IF(Source_Data!Y$6=Inputs!$B$12,Inputs!$B$7,0))/Y128,"")</f>
        <v>39.2769801521739</v>
      </c>
      <c r="Z132" s="31" t="n">
        <f aca="false">IF(Z128&gt;0,(Y130+Z125+IF(Source_Data!Z$6=Inputs!$B$12,Inputs!$B$7,0))/Z128,"")</f>
        <v>40.9433515347826</v>
      </c>
      <c r="AA132" s="31" t="n">
        <f aca="false">IF(AA128&gt;0,(Z130+AA125+IF(Source_Data!AA$6=Inputs!$B$12,Inputs!$B$7,0))/AA128,"")</f>
        <v>41.9653775434783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-5.65358989565218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9.49957786956522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362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2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0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71.8518518518519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71.8518518518519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-106.752225</v>
      </c>
      <c r="M166" s="33" t="n">
        <f aca="false">L166+IF(Source_Data!M$6=Inputs!$B$12,Inputs!$B$7,0)+M161-M164</f>
        <v>-113.093835</v>
      </c>
      <c r="N166" s="33" t="n">
        <f aca="false">M166+IF(Source_Data!N$6=Inputs!$B$12,Inputs!$B$7,0)+N161-N164</f>
        <v>-135.85881</v>
      </c>
      <c r="O166" s="33" t="n">
        <f aca="false">N166+IF(Source_Data!O$6=Inputs!$B$12,Inputs!$B$7,0)+O161-O164</f>
        <v>-152.7380625</v>
      </c>
      <c r="P166" s="33" t="n">
        <f aca="false">O166+IF(Source_Data!P$6=Inputs!$B$12,Inputs!$B$7,0)+P161-P164</f>
        <v>-157.790614166667</v>
      </c>
      <c r="Q166" s="33" t="n">
        <f aca="false">P166+IF(Source_Data!Q$6=Inputs!$B$12,Inputs!$B$7,0)+Q161-Q164</f>
        <v>-140.873280833333</v>
      </c>
      <c r="R166" s="33" t="n">
        <f aca="false">Q166+IF(Source_Data!R$6=Inputs!$B$12,Inputs!$B$7,0)+R161-R164</f>
        <v>-246.96963125</v>
      </c>
      <c r="S166" s="33" t="n">
        <f aca="false">R166+IF(Source_Data!S$6=Inputs!$B$12,Inputs!$B$7,0)+S161-S164</f>
        <v>-342.884315416667</v>
      </c>
      <c r="T166" s="33" t="n">
        <f aca="false">S166+IF(Source_Data!T$6=Inputs!$B$12,Inputs!$B$7,0)+T161-T164</f>
        <v>79.8950254166665</v>
      </c>
      <c r="U166" s="33" t="n">
        <f aca="false">T166+IF(Source_Data!U$6=Inputs!$B$12,Inputs!$B$7,0)+U161-U164</f>
        <v>45.2740912499998</v>
      </c>
      <c r="V166" s="33" t="n">
        <f aca="false">U166+IF(Source_Data!V$6=Inputs!$B$12,Inputs!$B$7,0)+V161-V164</f>
        <v>85.473697083333</v>
      </c>
      <c r="W166" s="33" t="n">
        <f aca="false">V166+IF(Source_Data!W$6=Inputs!$B$12,Inputs!$B$7,0)+W161-W164</f>
        <v>102.413702916666</v>
      </c>
      <c r="X166" s="33" t="n">
        <f aca="false">W166+IF(Source_Data!X$6=Inputs!$B$12,Inputs!$B$7,0)+X161-X164</f>
        <v>142.54702375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459.444944374999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0.736388608695653</v>
      </c>
      <c r="Q167" s="31" t="n">
        <f aca="false">IF(Q164&gt;0,Q161/Q164,"")</f>
        <v>1.88264347826087</v>
      </c>
      <c r="R167" s="31" t="n">
        <f aca="false">IF(R164&gt;0,R161/R164,"")</f>
        <v>-4.53546176086957</v>
      </c>
      <c r="S167" s="31" t="n">
        <f aca="false">IF(S164&gt;0,S161/S164,"")</f>
        <v>-4.00424439130435</v>
      </c>
      <c r="T167" s="31" t="n">
        <f aca="false">IF(T164&gt;0,T161/T164,"")</f>
        <v>23.0580525652174</v>
      </c>
      <c r="U167" s="31" t="n">
        <f aca="false">IF(U164&gt;0,U161/U164,"")</f>
        <v>-0.806309608695653</v>
      </c>
      <c r="V167" s="31" t="n">
        <f aca="false">IF(V164&gt;0,V161/V164,"")</f>
        <v>3.09737073913043</v>
      </c>
      <c r="W167" s="31" t="n">
        <f aca="false">IF(W164&gt;0,W161/W164,"")</f>
        <v>1.88382639130435</v>
      </c>
      <c r="X167" s="31" t="n">
        <f aca="false">IF(X164&gt;0,X161/X164,"")</f>
        <v>3.09391239130435</v>
      </c>
      <c r="Y167" s="31" t="n">
        <f aca="false">IF(Y164&gt;0,Y161/Y164,"")</f>
        <v>2.99939595652174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-7.2325537826087</v>
      </c>
      <c r="Q168" s="31" t="n">
        <f aca="false">IF(Q164&gt;0,(P166+Q161+IF(Source_Data!Q$6=Inputs!$B$12,Inputs!$B$7,0))/Q164,"")</f>
        <v>-6.34991030434783</v>
      </c>
      <c r="R168" s="31" t="n">
        <f aca="false">IF(R164&gt;0,(Q166+R161+IF(Source_Data!R$6=Inputs!$B$12,Inputs!$B$7,0))/R164,"")</f>
        <v>-11.8853720652174</v>
      </c>
      <c r="S168" s="31" t="n">
        <f aca="false">IF(S164&gt;0,(R166+S161+IF(Source_Data!S$6=Inputs!$B$12,Inputs!$B$7,0))/S164,"")</f>
        <v>-16.8896164565217</v>
      </c>
      <c r="T168" s="31" t="n">
        <f aca="false">IF(T164&gt;0,(S166+T161+IF(Source_Data!T$6=Inputs!$B$12,Inputs!$B$7,0))/T164,"")</f>
        <v>5.16843610869564</v>
      </c>
      <c r="U168" s="31" t="n">
        <f aca="false">IF(U164&gt;0,(T166+U161+IF(Source_Data!U$6=Inputs!$B$12,Inputs!$B$7,0))/U164,"")</f>
        <v>3.36212649999999</v>
      </c>
      <c r="V168" s="31" t="n">
        <f aca="false">IF(V164&gt;0,(U166+V161+IF(Source_Data!V$6=Inputs!$B$12,Inputs!$B$7,0))/V164,"")</f>
        <v>5.45949723913042</v>
      </c>
      <c r="W168" s="31" t="n">
        <f aca="false">IF(W164&gt;0,(V166+W161+IF(Source_Data!W$6=Inputs!$B$12,Inputs!$B$7,0))/W164,"")</f>
        <v>6.34332363043477</v>
      </c>
      <c r="X168" s="31" t="n">
        <f aca="false">IF(X164&gt;0,(W166+X161+IF(Source_Data!X$6=Inputs!$B$12,Inputs!$B$7,0))/X164,"")</f>
        <v>8.43723602173911</v>
      </c>
      <c r="Y168" s="31" t="n">
        <f aca="false">IF(Y164&gt;0,(X166+Y161+IF(Source_Data!Y$6=Inputs!$B$12,Inputs!$B$7,0))/Y164,"")</f>
        <v>10.4366319782608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-342.884315416667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-4.53546176086957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-16.8896164565217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363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4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0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71.8518518518519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71.8518518518519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71.8518518518519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71.8518518518519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-7.5</v>
      </c>
      <c r="I202" s="33" t="n">
        <f aca="false">H202+IF(Source_Data!I$6=Inputs!$B$12,Inputs!$B$7,0)+I197-I200</f>
        <v>-30</v>
      </c>
      <c r="J202" s="33" t="n">
        <f aca="false">I202+IF(Source_Data!J$6=Inputs!$B$12,Inputs!$B$7,0)+J197-J200</f>
        <v>-75.5</v>
      </c>
      <c r="K202" s="33" t="n">
        <f aca="false">J202+IF(Source_Data!K$6=Inputs!$B$12,Inputs!$B$7,0)+K197-K200</f>
        <v>-128.36</v>
      </c>
      <c r="L202" s="33" t="n">
        <f aca="false">K202+IF(Source_Data!L$6=Inputs!$B$12,Inputs!$B$7,0)+L197-L200</f>
        <v>-201.24435</v>
      </c>
      <c r="M202" s="33" t="n">
        <f aca="false">L202+IF(Source_Data!M$6=Inputs!$B$12,Inputs!$B$7,0)+M197-M200</f>
        <v>-240.37305</v>
      </c>
      <c r="N202" s="33" t="n">
        <f aca="false">M202+IF(Source_Data!N$6=Inputs!$B$12,Inputs!$B$7,0)+N197-N200</f>
        <v>-257.472225</v>
      </c>
      <c r="O202" s="33" t="n">
        <f aca="false">N202+IF(Source_Data!O$6=Inputs!$B$12,Inputs!$B$7,0)+O197-O200</f>
        <v>-263.813835</v>
      </c>
      <c r="P202" s="33" t="n">
        <f aca="false">O202+IF(Source_Data!P$6=Inputs!$B$12,Inputs!$B$7,0)+P197-P200</f>
        <v>-292.707476666667</v>
      </c>
      <c r="Q202" s="33" t="n">
        <f aca="false">P202+IF(Source_Data!Q$6=Inputs!$B$12,Inputs!$B$7,0)+Q197-Q200</f>
        <v>-315.715395833333</v>
      </c>
      <c r="R202" s="33" t="n">
        <f aca="false">Q202+IF(Source_Data!R$6=Inputs!$B$12,Inputs!$B$7,0)+R197-R200</f>
        <v>-452.6959475</v>
      </c>
      <c r="S202" s="33" t="n">
        <f aca="false">R202+IF(Source_Data!S$6=Inputs!$B$12,Inputs!$B$7,0)+S197-S200</f>
        <v>-567.706614166667</v>
      </c>
      <c r="T202" s="33" t="n">
        <f aca="false">S202+IF(Source_Data!T$6=Inputs!$B$12,Inputs!$B$7,0)+T197-T200</f>
        <v>-713.152964583333</v>
      </c>
      <c r="U202" s="33" t="n">
        <f aca="false">T202+IF(Source_Data!U$6=Inputs!$B$12,Inputs!$B$7,0)+U197-U200</f>
        <v>-794.36764875</v>
      </c>
      <c r="V202" s="33" t="n">
        <f aca="false">U202+IF(Source_Data!V$6=Inputs!$B$12,Inputs!$B$7,0)+V197-V200</f>
        <v>-182.988307916667</v>
      </c>
      <c r="W202" s="33" t="n">
        <f aca="false">V202+IF(Source_Data!W$6=Inputs!$B$12,Inputs!$B$7,0)+W197-W200</f>
        <v>-83.0592420833334</v>
      </c>
      <c r="X202" s="33" t="n">
        <f aca="false">W202+IF(Source_Data!X$6=Inputs!$B$12,Inputs!$B$7,0)+X197-X200</f>
        <v>-20.3596362500002</v>
      </c>
      <c r="Y202" s="33" t="n">
        <f aca="false">X202+IF(Source_Data!Y$6=Inputs!$B$12,Inputs!$B$7,0)+Y197-Y200</f>
        <v>19.0803695833331</v>
      </c>
      <c r="Z202" s="33" t="n">
        <f aca="false">Y202+IF(Source_Data!Z$6=Inputs!$B$12,Inputs!$B$7,0)+Z197-Z200</f>
        <v>59.2136904166664</v>
      </c>
      <c r="AA202" s="33" t="n">
        <f aca="false">Z202+IF(Source_Data!AA$6=Inputs!$B$12,Inputs!$B$7,0)+AA197-AA200</f>
        <v>97.5354462499997</v>
      </c>
      <c r="AB202" s="33" t="n">
        <f aca="false">AA202+IF(Source_Data!AB$6=Inputs!$B$12,Inputs!$B$7,0)+AB197-AB200</f>
        <v>174.814908125</v>
      </c>
      <c r="AC202" s="33" t="n">
        <f aca="false">AB202+IF(Source_Data!AC$6=Inputs!$B$12,Inputs!$B$7,0)+AC197-AC200</f>
        <v>244.968321875</v>
      </c>
      <c r="AD202" s="33" t="n">
        <f aca="false">AC202+IF(Source_Data!AD$6=Inputs!$B$12,Inputs!$B$7,0)+AD197-AD200</f>
        <v>306.306198125</v>
      </c>
      <c r="AE202" s="33" t="n">
        <f aca="false">AD202+IF(Source_Data!AE$6=Inputs!$B$12,Inputs!$B$7,0)+AE197-AE200</f>
        <v>357.352446875</v>
      </c>
      <c r="AF202" s="33" t="n">
        <f aca="false">AE202+IF(Source_Data!AF$6=Inputs!$B$12,Inputs!$B$7,0)+AF197-AF200</f>
        <v>167.2070840625</v>
      </c>
      <c r="AG202" s="33" t="n">
        <f aca="false">AF202+IF(Source_Data!AG$6=Inputs!$B$12,Inputs!$B$7,0)+AG197-AG200</f>
        <v>202.14610640625</v>
      </c>
      <c r="AH202" s="33" t="n">
        <f aca="false">AG202+IF(Source_Data!AH$6=Inputs!$B$12,Inputs!$B$7,0)+AH197-AH200</f>
        <v>238.77298734375</v>
      </c>
      <c r="AI202" s="33" t="n">
        <f aca="false">AH202+IF(Source_Data!AI$6=Inputs!$B$12,Inputs!$B$7,0)+AI197-AI200</f>
        <v>277.087726875</v>
      </c>
      <c r="AJ202" s="33" t="n">
        <f aca="false">AI202+IF(Source_Data!AJ$6=Inputs!$B$12,Inputs!$B$7,0)+AJ197-AJ200</f>
        <v>311.00774390625</v>
      </c>
      <c r="AK202" s="33" t="n">
        <f aca="false">AJ202+IF(Source_Data!AK$6=Inputs!$B$12,Inputs!$B$7,0)+AK197-AK200</f>
        <v>339.38823</v>
      </c>
      <c r="AL202" s="33" t="n">
        <f aca="false">AK202+IF(Source_Data!AL$6=Inputs!$B$12,Inputs!$B$7,0)+AL197-AL200</f>
        <v>364.995223125</v>
      </c>
      <c r="AM202" s="33" t="n">
        <f aca="false">AL202+IF(Source_Data!AM$6=Inputs!$B$12,Inputs!$B$7,0)+AM197-AM200</f>
        <v>390.925576875</v>
      </c>
      <c r="AN202" s="33" t="n">
        <f aca="false">AM202+IF(Source_Data!AN$6=Inputs!$B$12,Inputs!$B$7,0)+AN197-AN200</f>
        <v>410.638460625</v>
      </c>
      <c r="AO202" s="33" t="n">
        <f aca="false">AN202+IF(Source_Data!AO$6=Inputs!$B$12,Inputs!$B$7,0)+AO197-AO200</f>
        <v>426.750579375</v>
      </c>
      <c r="AP202" s="33" t="n">
        <f aca="false">AO202+IF(Source_Data!AP$6=Inputs!$B$12,Inputs!$B$7,0)+AP197-AP200</f>
        <v>443.554149375</v>
      </c>
      <c r="AQ202" s="33" t="n">
        <f aca="false">AP202+IF(Source_Data!AQ$6=Inputs!$B$12,Inputs!$B$7,0)+AQ197-AQ200</f>
        <v>450.800409375</v>
      </c>
      <c r="AR202" s="33" t="n">
        <f aca="false">AQ202+IF(Source_Data!AR$6=Inputs!$B$12,Inputs!$B$7,0)+AR197-AR200</f>
        <v>458.046669375</v>
      </c>
      <c r="AS202" s="33" t="n">
        <f aca="false">AR202+IF(Source_Data!AS$6=Inputs!$B$12,Inputs!$B$7,0)+AS197-AS200</f>
        <v>465.292929375</v>
      </c>
      <c r="AT202" s="33" t="n">
        <f aca="false">AS202+IF(Source_Data!AT$6=Inputs!$B$12,Inputs!$B$7,0)+AT197-AT200</f>
        <v>465.292929375</v>
      </c>
      <c r="AU202" s="33" t="n">
        <f aca="false">AT202+IF(Source_Data!AU$6=Inputs!$B$12,Inputs!$B$7,0)+AU197-AU200</f>
        <v>465.292929375</v>
      </c>
      <c r="AV202" s="33" t="n">
        <f aca="false">AU202+IF(Source_Data!AV$6=Inputs!$B$12,Inputs!$B$7,0)+AV197-AV200</f>
        <v>465.292929375</v>
      </c>
      <c r="AW202" s="33" t="n">
        <f aca="false">AV202+IF(Source_Data!AW$6=Inputs!$B$12,Inputs!$B$7,0)+AW197-AW200</f>
        <v>465.292929375</v>
      </c>
      <c r="AX202" s="33" t="n">
        <f aca="false">AW202+IF(Source_Data!AX$6=Inputs!$B$12,Inputs!$B$7,0)+AX197-AX200</f>
        <v>465.292929375</v>
      </c>
      <c r="AY202" s="33" t="n">
        <f aca="false">AX202+IF(Source_Data!AY$6=Inputs!$B$12,Inputs!$B$7,0)+AY197-AY200</f>
        <v>465.292929375</v>
      </c>
      <c r="AZ202" s="33" t="n">
        <f aca="false">AY202+IF(Source_Data!AZ$6=Inputs!$B$12,Inputs!$B$7,0)+AZ197-AZ200</f>
        <v>465.292929375</v>
      </c>
      <c r="BA202" s="33" t="n">
        <f aca="false">AZ202+IF(Source_Data!BA$6=Inputs!$B$12,Inputs!$B$7,0)+BA197-BA200</f>
        <v>465.292929375</v>
      </c>
      <c r="BB202" s="33" t="n">
        <f aca="false">BA202+IF(Source_Data!BB$6=Inputs!$B$12,Inputs!$B$7,0)+BB197-BB200</f>
        <v>465.292929375</v>
      </c>
      <c r="BC202" s="33" t="n">
        <f aca="false">BB202+IF(Source_Data!BC$6=Inputs!$B$12,Inputs!$B$7,0)+BC197-BC200</f>
        <v>465.292929375</v>
      </c>
      <c r="BD202" s="33" t="n">
        <f aca="false">BC202+IF(Source_Data!BD$6=Inputs!$B$12,Inputs!$B$7,0)+BD197-BD200</f>
        <v>465.292929375</v>
      </c>
      <c r="BE202" s="33" t="n">
        <f aca="false">BD202+IF(Source_Data!BE$6=Inputs!$B$12,Inputs!$B$7,0)+BE197-BE200</f>
        <v>465.292929375</v>
      </c>
      <c r="BF202" s="33" t="n">
        <f aca="false">BE202+IF(Source_Data!BF$6=Inputs!$B$12,Inputs!$B$7,0)+BF197-BF200</f>
        <v>465.292929375</v>
      </c>
      <c r="BG202" s="33" t="n">
        <f aca="false">BF202+IF(Source_Data!BG$6=Inputs!$B$12,Inputs!$B$7,0)+BG197-BG200</f>
        <v>465.292929375</v>
      </c>
      <c r="BH202" s="33" t="n">
        <f aca="false">BG202+IF(Source_Data!BH$6=Inputs!$B$12,Inputs!$B$7,0)+BH197-BH200</f>
        <v>465.292929375</v>
      </c>
      <c r="BI202" s="33" t="n">
        <f aca="false">BH202+IF(Source_Data!BI$6=Inputs!$B$12,Inputs!$B$7,0)+BI197-BI200</f>
        <v>465.292929375</v>
      </c>
      <c r="BJ202" s="33" t="n">
        <f aca="false">BI202+IF(Source_Data!BJ$6=Inputs!$B$12,Inputs!$B$7,0)+BJ197-BJ200</f>
        <v>465.292929375</v>
      </c>
      <c r="BK202" s="33" t="n">
        <f aca="false">BJ202+IF(Source_Data!BK$6=Inputs!$B$12,Inputs!$B$7,0)+BK197-BK200</f>
        <v>465.292929375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-0.507494347826088</v>
      </c>
      <c r="Q203" s="31" t="n">
        <f aca="false">IF(Q200&gt;0,Q197/Q200,"")</f>
        <v>-0.200413173913043</v>
      </c>
      <c r="R203" s="31" t="n">
        <f aca="false">IF(R200&gt;0,R197/R200,"")</f>
        <v>-6.14681139130435</v>
      </c>
      <c r="S203" s="31" t="n">
        <f aca="false">IF(S200&gt;0,S197/S200,"")</f>
        <v>-5.00055652173913</v>
      </c>
      <c r="T203" s="31" t="n">
        <f aca="false">IF(T200&gt;0,T197/T200,"")</f>
        <v>-6.58850523913044</v>
      </c>
      <c r="U203" s="31" t="n">
        <f aca="false">IF(U200&gt;0,U197/U200,"")</f>
        <v>-3.23728786956522</v>
      </c>
      <c r="V203" s="31" t="n">
        <f aca="false">IF(V200&gt;0,V197/V200,"")</f>
        <v>32.8980525652174</v>
      </c>
      <c r="W203" s="31" t="n">
        <f aca="false">IF(W200&gt;0,W197/W200,"")</f>
        <v>6.21369039130435</v>
      </c>
      <c r="X203" s="31" t="n">
        <f aca="false">IF(X200&gt;0,X197/X200,"")</f>
        <v>4.27128378260869</v>
      </c>
      <c r="Y203" s="31" t="n">
        <f aca="false">IF(Y200&gt;0,Y197/Y200,"")</f>
        <v>3.05773943478261</v>
      </c>
      <c r="Z203" s="31" t="n">
        <f aca="false">IF(Z200&gt;0,Z197/Z200,"")</f>
        <v>3.09391239130435</v>
      </c>
      <c r="AA203" s="31" t="n">
        <f aca="false">IF(AA200&gt;0,AA197/AA200,"")</f>
        <v>2.99939595652174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-14.2716944347826</v>
      </c>
      <c r="Q204" s="31" t="n">
        <f aca="false">IF(Q200&gt;0,(P202+Q197+IF(Source_Data!Q$6=Inputs!$B$12,Inputs!$B$7,0))/Q200,"")</f>
        <v>-15.4721076086957</v>
      </c>
      <c r="R204" s="31" t="n">
        <f aca="false">IF(R200&gt;0,(Q202+R197+IF(Source_Data!R$6=Inputs!$B$12,Inputs!$B$7,0))/R200,"")</f>
        <v>-22.618919</v>
      </c>
      <c r="S204" s="31" t="n">
        <f aca="false">IF(S200&gt;0,(R202+S197+IF(Source_Data!S$6=Inputs!$B$12,Inputs!$B$7,0))/S200,"")</f>
        <v>-28.6194755217391</v>
      </c>
      <c r="T204" s="31" t="n">
        <f aca="false">IF(T200&gt;0,(S202+T197+IF(Source_Data!T$6=Inputs!$B$12,Inputs!$B$7,0))/T200,"")</f>
        <v>-36.2079807608696</v>
      </c>
      <c r="U204" s="31" t="n">
        <f aca="false">IF(U200&gt;0,(T202+U197+IF(Source_Data!U$6=Inputs!$B$12,Inputs!$B$7,0))/U200,"")</f>
        <v>-40.4452686304348</v>
      </c>
      <c r="V204" s="31" t="n">
        <f aca="false">IF(V200&gt;0,(U202+V197+IF(Source_Data!V$6=Inputs!$B$12,Inputs!$B$7,0))/V200,"")</f>
        <v>-8.5472160652174</v>
      </c>
      <c r="W204" s="31" t="n">
        <f aca="false">IF(W200&gt;0,(V202+W197+IF(Source_Data!W$6=Inputs!$B$12,Inputs!$B$7,0))/W200,"")</f>
        <v>-3.33352567391305</v>
      </c>
      <c r="X204" s="31" t="n">
        <f aca="false">IF(X200&gt;0,(W202+X197+IF(Source_Data!X$6=Inputs!$B$12,Inputs!$B$7,0))/X200,"")</f>
        <v>-0.0622418913043584</v>
      </c>
      <c r="Y204" s="31" t="n">
        <f aca="false">IF(Y200&gt;0,(X202+Y197+IF(Source_Data!Y$6=Inputs!$B$12,Inputs!$B$7,0))/Y200,"")</f>
        <v>1.99549754347825</v>
      </c>
      <c r="Z204" s="31" t="n">
        <f aca="false">IF(Z200&gt;0,(Y202+Z197+IF(Source_Data!Z$6=Inputs!$B$12,Inputs!$B$7,0))/Z200,"")</f>
        <v>4.08940993478259</v>
      </c>
      <c r="AA204" s="31" t="n">
        <f aca="false">IF(AA200&gt;0,(Z202+AA197+IF(Source_Data!AA$6=Inputs!$B$12,Inputs!$B$7,0))/AA200,"")</f>
        <v>6.08880589130433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-794.36764875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-6.58850523913044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-40.4452686304348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364</v>
      </c>
    </row>
    <row r="221" customFormat="false" ht="15" hidden="false" customHeight="false" outlineLevel="0" collapsed="false">
      <c r="A221" s="3" t="s">
        <v>331</v>
      </c>
      <c r="B221" s="45" t="n">
        <v>1</v>
      </c>
    </row>
    <row r="222" customFormat="false" ht="15" hidden="false" customHeight="false" outlineLevel="0" collapsed="false">
      <c r="A222" s="3" t="s">
        <v>332</v>
      </c>
      <c r="B222" s="45" t="n">
        <v>6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0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71.8518518518519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71.8518518518519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71.8518518518519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71.8518518518519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-219.36</v>
      </c>
      <c r="M238" s="33" t="n">
        <f aca="false">L238+IF(Source_Data!M$6=Inputs!$B$12,Inputs!$B$7,0)+M233-M236</f>
        <v>-294.72</v>
      </c>
      <c r="N238" s="33" t="n">
        <f aca="false">M238+IF(Source_Data!N$6=Inputs!$B$12,Inputs!$B$7,0)+N233-N236</f>
        <v>-351.96435</v>
      </c>
      <c r="O238" s="33" t="n">
        <f aca="false">N238+IF(Source_Data!O$6=Inputs!$B$12,Inputs!$B$7,0)+O233-O236</f>
        <v>-391.09305</v>
      </c>
      <c r="P238" s="33" t="n">
        <f aca="false">O238+IF(Source_Data!P$6=Inputs!$B$12,Inputs!$B$7,0)+P233-P236</f>
        <v>-414.320891666667</v>
      </c>
      <c r="Q238" s="33" t="n">
        <f aca="false">P238+IF(Source_Data!Q$6=Inputs!$B$12,Inputs!$B$7,0)+Q233-Q236</f>
        <v>-426.791168333333</v>
      </c>
      <c r="R238" s="33" t="n">
        <f aca="false">Q238+IF(Source_Data!R$6=Inputs!$B$12,Inputs!$B$7,0)+R233-R236</f>
        <v>-587.61281</v>
      </c>
      <c r="S238" s="33" t="n">
        <f aca="false">R238+IF(Source_Data!S$6=Inputs!$B$12,Inputs!$B$7,0)+S233-S236</f>
        <v>-742.548729166667</v>
      </c>
      <c r="T238" s="33" t="n">
        <f aca="false">S238+IF(Source_Data!T$6=Inputs!$B$12,Inputs!$B$7,0)+T233-T236</f>
        <v>-918.879280833333</v>
      </c>
      <c r="U238" s="33" t="n">
        <f aca="false">T238+IF(Source_Data!U$6=Inputs!$B$12,Inputs!$B$7,0)+U233-U236</f>
        <v>-1019.1899475</v>
      </c>
      <c r="V238" s="33" t="n">
        <f aca="false">U238+IF(Source_Data!V$6=Inputs!$B$12,Inputs!$B$7,0)+V233-V236</f>
        <v>-976.036297916666</v>
      </c>
      <c r="W238" s="33" t="n">
        <f aca="false">V238+IF(Source_Data!W$6=Inputs!$B$12,Inputs!$B$7,0)+W233-W236</f>
        <v>-922.700982083333</v>
      </c>
      <c r="X238" s="33" t="n">
        <f aca="false">W238+IF(Source_Data!X$6=Inputs!$B$12,Inputs!$B$7,0)+X233-X236</f>
        <v>-288.82164125</v>
      </c>
      <c r="Y238" s="33" t="n">
        <f aca="false">X238+IF(Source_Data!Y$6=Inputs!$B$12,Inputs!$B$7,0)+Y233-Y236</f>
        <v>-166.392575416667</v>
      </c>
      <c r="Z238" s="33" t="n">
        <f aca="false">Y238+IF(Source_Data!Z$6=Inputs!$B$12,Inputs!$B$7,0)+Z233-Z236</f>
        <v>-103.692969583333</v>
      </c>
      <c r="AA238" s="33" t="n">
        <f aca="false">Z238+IF(Source_Data!AA$6=Inputs!$B$12,Inputs!$B$7,0)+AA233-AA236</f>
        <v>-64.2529637500001</v>
      </c>
      <c r="AB238" s="33" t="n">
        <f aca="false">AA238+IF(Source_Data!AB$6=Inputs!$B$12,Inputs!$B$7,0)+AB233-AB236</f>
        <v>17.5470237499999</v>
      </c>
      <c r="AC238" s="33" t="n">
        <f aca="false">AB238+IF(Source_Data!AC$6=Inputs!$B$12,Inputs!$B$7,0)+AC233-AC236</f>
        <v>97.5354462499999</v>
      </c>
      <c r="AD238" s="33" t="n">
        <f aca="false">AC238+IF(Source_Data!AD$6=Inputs!$B$12,Inputs!$B$7,0)+AD233-AD236</f>
        <v>174.814908125</v>
      </c>
      <c r="AE238" s="33" t="n">
        <f aca="false">AD238+IF(Source_Data!AE$6=Inputs!$B$12,Inputs!$B$7,0)+AE233-AE236</f>
        <v>244.968321875</v>
      </c>
      <c r="AF238" s="33" t="n">
        <f aca="false">AE238+IF(Source_Data!AF$6=Inputs!$B$12,Inputs!$B$7,0)+AF233-AF236</f>
        <v>65.1145865625001</v>
      </c>
      <c r="AG238" s="33" t="n">
        <f aca="false">AF238+IF(Source_Data!AG$6=Inputs!$B$12,Inputs!$B$7,0)+AG233-AG236</f>
        <v>100.05360890625</v>
      </c>
      <c r="AH238" s="33" t="n">
        <f aca="false">AG238+IF(Source_Data!AH$6=Inputs!$B$12,Inputs!$B$7,0)+AH233-AH236</f>
        <v>136.68048984375</v>
      </c>
      <c r="AI238" s="33" t="n">
        <f aca="false">AH238+IF(Source_Data!AI$6=Inputs!$B$12,Inputs!$B$7,0)+AI233-AI236</f>
        <v>174.995229375</v>
      </c>
      <c r="AJ238" s="33" t="n">
        <f aca="false">AI238+IF(Source_Data!AJ$6=Inputs!$B$12,Inputs!$B$7,0)+AJ233-AJ236</f>
        <v>216.03011203125</v>
      </c>
      <c r="AK238" s="33" t="n">
        <f aca="false">AJ238+IF(Source_Data!AK$6=Inputs!$B$12,Inputs!$B$7,0)+AK233-AK236</f>
        <v>258.640329375</v>
      </c>
      <c r="AL238" s="33" t="n">
        <f aca="false">AK238+IF(Source_Data!AL$6=Inputs!$B$12,Inputs!$B$7,0)+AL233-AL236</f>
        <v>295.220150625</v>
      </c>
      <c r="AM238" s="33" t="n">
        <f aca="false">AL238+IF(Source_Data!AM$6=Inputs!$B$12,Inputs!$B$7,0)+AM233-AM236</f>
        <v>328.866429375</v>
      </c>
      <c r="AN238" s="33" t="n">
        <f aca="false">AM238+IF(Source_Data!AN$6=Inputs!$B$12,Inputs!$B$7,0)+AN233-AN236</f>
        <v>358.654745625</v>
      </c>
      <c r="AO238" s="33" t="n">
        <f aca="false">AN238+IF(Source_Data!AO$6=Inputs!$B$12,Inputs!$B$7,0)+AO233-AO236</f>
        <v>384.585099375</v>
      </c>
      <c r="AP238" s="33" t="n">
        <f aca="false">AO238+IF(Source_Data!AP$6=Inputs!$B$12,Inputs!$B$7,0)+AP233-AP236</f>
        <v>407.468221875</v>
      </c>
      <c r="AQ238" s="33" t="n">
        <f aca="false">AP238+IF(Source_Data!AQ$6=Inputs!$B$12,Inputs!$B$7,0)+AQ233-AQ236</f>
        <v>426.750579375</v>
      </c>
      <c r="AR238" s="33" t="n">
        <f aca="false">AQ238+IF(Source_Data!AR$6=Inputs!$B$12,Inputs!$B$7,0)+AR233-AR236</f>
        <v>443.554149375</v>
      </c>
      <c r="AS238" s="33" t="n">
        <f aca="false">AR238+IF(Source_Data!AS$6=Inputs!$B$12,Inputs!$B$7,0)+AS233-AS236</f>
        <v>450.800409375</v>
      </c>
      <c r="AT238" s="33" t="n">
        <f aca="false">AS238+IF(Source_Data!AT$6=Inputs!$B$12,Inputs!$B$7,0)+AT233-AT236</f>
        <v>458.046669375</v>
      </c>
      <c r="AU238" s="33" t="n">
        <f aca="false">AT238+IF(Source_Data!AU$6=Inputs!$B$12,Inputs!$B$7,0)+AU233-AU236</f>
        <v>465.292929375</v>
      </c>
      <c r="AV238" s="33" t="n">
        <f aca="false">AU238+IF(Source_Data!AV$6=Inputs!$B$12,Inputs!$B$7,0)+AV233-AV236</f>
        <v>465.292929375</v>
      </c>
      <c r="AW238" s="33" t="n">
        <f aca="false">AV238+IF(Source_Data!AW$6=Inputs!$B$12,Inputs!$B$7,0)+AW233-AW236</f>
        <v>465.292929375</v>
      </c>
      <c r="AX238" s="33" t="n">
        <f aca="false">AW238+IF(Source_Data!AX$6=Inputs!$B$12,Inputs!$B$7,0)+AX233-AX236</f>
        <v>465.292929375</v>
      </c>
      <c r="AY238" s="33" t="n">
        <f aca="false">AX238+IF(Source_Data!AY$6=Inputs!$B$12,Inputs!$B$7,0)+AY233-AY236</f>
        <v>465.292929375</v>
      </c>
      <c r="AZ238" s="33" t="n">
        <f aca="false">AY238+IF(Source_Data!AZ$6=Inputs!$B$12,Inputs!$B$7,0)+AZ233-AZ236</f>
        <v>465.292929375</v>
      </c>
      <c r="BA238" s="33" t="n">
        <f aca="false">AZ238+IF(Source_Data!BA$6=Inputs!$B$12,Inputs!$B$7,0)+BA233-BA236</f>
        <v>465.292929375</v>
      </c>
      <c r="BB238" s="33" t="n">
        <f aca="false">BA238+IF(Source_Data!BB$6=Inputs!$B$12,Inputs!$B$7,0)+BB233-BB236</f>
        <v>465.292929375</v>
      </c>
      <c r="BC238" s="33" t="n">
        <f aca="false">BB238+IF(Source_Data!BC$6=Inputs!$B$12,Inputs!$B$7,0)+BC233-BC236</f>
        <v>465.292929375</v>
      </c>
      <c r="BD238" s="33" t="n">
        <f aca="false">BC238+IF(Source_Data!BD$6=Inputs!$B$12,Inputs!$B$7,0)+BD233-BD236</f>
        <v>465.292929375</v>
      </c>
      <c r="BE238" s="33" t="n">
        <f aca="false">BD238+IF(Source_Data!BE$6=Inputs!$B$12,Inputs!$B$7,0)+BE233-BE236</f>
        <v>465.292929375</v>
      </c>
      <c r="BF238" s="33" t="n">
        <f aca="false">BE238+IF(Source_Data!BF$6=Inputs!$B$12,Inputs!$B$7,0)+BF233-BF236</f>
        <v>465.292929375</v>
      </c>
      <c r="BG238" s="33" t="n">
        <f aca="false">BF238+IF(Source_Data!BG$6=Inputs!$B$12,Inputs!$B$7,0)+BG233-BG236</f>
        <v>465.292929375</v>
      </c>
      <c r="BH238" s="33" t="n">
        <f aca="false">BG238+IF(Source_Data!BH$6=Inputs!$B$12,Inputs!$B$7,0)+BH233-BH236</f>
        <v>465.292929375</v>
      </c>
      <c r="BI238" s="33" t="n">
        <f aca="false">BH238+IF(Source_Data!BI$6=Inputs!$B$12,Inputs!$B$7,0)+BI233-BI236</f>
        <v>465.292929375</v>
      </c>
      <c r="BJ238" s="33" t="n">
        <f aca="false">BI238+IF(Source_Data!BJ$6=Inputs!$B$12,Inputs!$B$7,0)+BJ233-BJ236</f>
        <v>465.292929375</v>
      </c>
      <c r="BK238" s="33" t="n">
        <f aca="false">BJ238+IF(Source_Data!BK$6=Inputs!$B$12,Inputs!$B$7,0)+BK233-BK236</f>
        <v>465.292929375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-0.211887391304348</v>
      </c>
      <c r="Q239" s="31" t="n">
        <f aca="false">IF(Q236&gt;0,Q233/Q236,"")</f>
        <v>0.349376869565217</v>
      </c>
      <c r="R239" s="31" t="n">
        <f aca="false">IF(R236&gt;0,R233/R236,"")</f>
        <v>-7.39069434782609</v>
      </c>
      <c r="S239" s="31" t="n">
        <f aca="false">IF(S236&gt;0,S233/S236,"")</f>
        <v>-7.08361317391304</v>
      </c>
      <c r="T239" s="31" t="n">
        <f aca="false">IF(T236&gt;0,T233/T236,"")</f>
        <v>-8.19985486956522</v>
      </c>
      <c r="U239" s="31" t="n">
        <f aca="false">IF(U236&gt;0,U233/U236,"")</f>
        <v>-4.2336</v>
      </c>
      <c r="V239" s="31" t="n">
        <f aca="false">IF(V236&gt;0,V233/V236,"")</f>
        <v>3.25149476086957</v>
      </c>
      <c r="W239" s="31" t="n">
        <f aca="false">IF(W236&gt;0,W233/W236,"")</f>
        <v>3.78271213043478</v>
      </c>
      <c r="X239" s="31" t="n">
        <f aca="false">IF(X236&gt;0,X233/X236,"")</f>
        <v>34.0719656086957</v>
      </c>
      <c r="Y239" s="31" t="n">
        <f aca="false">IF(Y236&gt;0,Y233/Y236,"")</f>
        <v>7.38760343478261</v>
      </c>
      <c r="Z239" s="31" t="n">
        <f aca="false">IF(Z236&gt;0,Z233/Z236,"")</f>
        <v>4.27128378260869</v>
      </c>
      <c r="AA239" s="31" t="n">
        <f aca="false">IF(AA236&gt;0,AA233/AA236,"")</f>
        <v>3.05773943478261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-20.616742173913</v>
      </c>
      <c r="Q240" s="31" t="n">
        <f aca="false">IF(Q236&gt;0,(P238+Q233+IF(Source_Data!Q$6=Inputs!$B$12,Inputs!$B$7,0))/Q236,"")</f>
        <v>-21.2673653043478</v>
      </c>
      <c r="R240" s="31" t="n">
        <f aca="false">IF(R236&gt;0,(Q238+R233+IF(Source_Data!R$6=Inputs!$B$12,Inputs!$B$7,0))/R236,"")</f>
        <v>-29.6580596521739</v>
      </c>
      <c r="S240" s="31" t="n">
        <f aca="false">IF(S236&gt;0,(R238+S233+IF(Source_Data!S$6=Inputs!$B$12,Inputs!$B$7,0))/S236,"")</f>
        <v>-37.741672826087</v>
      </c>
      <c r="T240" s="31" t="n">
        <f aca="false">IF(T236&gt;0,(S238+T233+IF(Source_Data!T$6=Inputs!$B$12,Inputs!$B$7,0))/T236,"")</f>
        <v>-46.9415276956522</v>
      </c>
      <c r="U240" s="31" t="n">
        <f aca="false">IF(U236&gt;0,(T238+U233+IF(Source_Data!U$6=Inputs!$B$12,Inputs!$B$7,0))/U236,"")</f>
        <v>-52.1751276956522</v>
      </c>
      <c r="V240" s="31" t="n">
        <f aca="false">IF(V236&gt;0,(U238+V233+IF(Source_Data!V$6=Inputs!$B$12,Inputs!$B$7,0))/V236,"")</f>
        <v>-49.9236329347826</v>
      </c>
      <c r="W240" s="31" t="n">
        <f aca="false">IF(W236&gt;0,(V238+W233+IF(Source_Data!W$6=Inputs!$B$12,Inputs!$B$7,0))/W236,"")</f>
        <v>-47.1409208043478</v>
      </c>
      <c r="X240" s="31" t="n">
        <f aca="false">IF(X236&gt;0,(W238+X233+IF(Source_Data!X$6=Inputs!$B$12,Inputs!$B$7,0))/X236,"")</f>
        <v>-14.0689551956522</v>
      </c>
      <c r="Y240" s="31" t="n">
        <f aca="false">IF(Y236&gt;0,(X238+Y233+IF(Source_Data!Y$6=Inputs!$B$12,Inputs!$B$7,0))/Y236,"")</f>
        <v>-7.68135176086956</v>
      </c>
      <c r="Z240" s="31" t="n">
        <f aca="false">IF(Z236&gt;0,(Y238+Z233+IF(Source_Data!Z$6=Inputs!$B$12,Inputs!$B$7,0))/Z236,"")</f>
        <v>-4.41006797826087</v>
      </c>
      <c r="AA240" s="31" t="n">
        <f aca="false">IF(AA236&gt;0,(Z238+AA233+IF(Source_Data!AA$6=Inputs!$B$12,Inputs!$B$7,0))/AA236,"")</f>
        <v>-2.35232854347826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-1019.1899475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-8.19985486956522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-52.1751276956522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365</v>
      </c>
    </row>
    <row r="257" customFormat="false" ht="15" hidden="false" customHeight="false" outlineLevel="0" collapsed="false">
      <c r="A257" s="3" t="s">
        <v>331</v>
      </c>
      <c r="B257" s="45" t="n">
        <v>1</v>
      </c>
    </row>
    <row r="258" customFormat="false" ht="15" hidden="false" customHeight="false" outlineLevel="0" collapsed="false">
      <c r="A258" s="3" t="s">
        <v>332</v>
      </c>
      <c r="B258" s="45" t="n">
        <v>8</v>
      </c>
    </row>
    <row r="259" customFormat="false" ht="15" hidden="false" customHeight="false" outlineLevel="0" collapsed="false">
      <c r="A259" s="3" t="s">
        <v>333</v>
      </c>
      <c r="B259" s="45" t="n">
        <v>1</v>
      </c>
    </row>
    <row r="260" customFormat="false" ht="15" hidden="false" customHeight="false" outlineLevel="0" collapsed="false">
      <c r="A260" s="3" t="s">
        <v>334</v>
      </c>
      <c r="B260" s="45" t="n">
        <v>0</v>
      </c>
    </row>
    <row r="261" customFormat="false" ht="15" hidden="false" customHeight="false" outlineLevel="0" collapsed="false">
      <c r="A261" s="3" t="s">
        <v>335</v>
      </c>
      <c r="B261" s="45" t="n">
        <v>0</v>
      </c>
    </row>
    <row r="262" customFormat="false" ht="15" hidden="false" customHeight="false" outlineLevel="0" collapsed="false">
      <c r="A262" s="3" t="s">
        <v>336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337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338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339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194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196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215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216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217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340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-100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71.8518518518519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71.8518518518519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71.8518518518519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71.8518518518519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341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19.1666666666667</v>
      </c>
      <c r="Z272" s="33" t="n">
        <f aca="false">IF(AND(Source_Data!Z$6&gt;=Inputs!$B$54,Source_Data!Z$6&lt;Inputs!$B$54+3*Inputs!$B$11),Inputs!$B$9*Inputs!$B$7/Inputs!$B$11,0)</f>
        <v>19.1666666666667</v>
      </c>
      <c r="AA272" s="33" t="n">
        <f aca="false">IF(AND(Source_Data!AA$6&gt;=Inputs!$B$54,Source_Data!AA$6&lt;Inputs!$B$54+3*Inputs!$B$11),Inputs!$B$9*Inputs!$B$7/Inputs!$B$11,0)</f>
        <v>19.1666666666667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342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-100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19.1666666666667</v>
      </c>
      <c r="Z273" s="33" t="n">
        <f aca="false">IF(Source_Data!Z$6=Inputs!$B$12,-Inputs!$B$7,0)+Z272</f>
        <v>19.1666666666667</v>
      </c>
      <c r="AA273" s="33" t="n">
        <f aca="false">IF(Source_Data!AA$6=Inputs!$B$12,-Inputs!$B$7,0)+AA272</f>
        <v>19.1666666666667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343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15</v>
      </c>
      <c r="H274" s="33" t="n">
        <f aca="false">G274+IF(Source_Data!H$6=Inputs!$B$12,Inputs!$B$7,0)+H269-H272</f>
        <v>-7.5</v>
      </c>
      <c r="I274" s="33" t="n">
        <f aca="false">H274+IF(Source_Data!I$6=Inputs!$B$12,Inputs!$B$7,0)+I269-I272</f>
        <v>-30</v>
      </c>
      <c r="J274" s="33" t="n">
        <f aca="false">I274+IF(Source_Data!J$6=Inputs!$B$12,Inputs!$B$7,0)+J269-J272</f>
        <v>-75.5</v>
      </c>
      <c r="K274" s="33" t="n">
        <f aca="false">J274+IF(Source_Data!K$6=Inputs!$B$12,Inputs!$B$7,0)+K269-K272</f>
        <v>-128.36</v>
      </c>
      <c r="L274" s="33" t="n">
        <f aca="false">K274+IF(Source_Data!L$6=Inputs!$B$12,Inputs!$B$7,0)+L269-L272</f>
        <v>-219.36</v>
      </c>
      <c r="M274" s="33" t="n">
        <f aca="false">L274+IF(Source_Data!M$6=Inputs!$B$12,Inputs!$B$7,0)+M269-M272</f>
        <v>-294.72</v>
      </c>
      <c r="N274" s="33" t="n">
        <f aca="false">M274+IF(Source_Data!N$6=Inputs!$B$12,Inputs!$B$7,0)+N269-N272</f>
        <v>-370.08</v>
      </c>
      <c r="O274" s="33" t="n">
        <f aca="false">N274+IF(Source_Data!O$6=Inputs!$B$12,Inputs!$B$7,0)+O269-O272</f>
        <v>-445.44</v>
      </c>
      <c r="P274" s="33" t="n">
        <f aca="false">O274+IF(Source_Data!P$6=Inputs!$B$12,Inputs!$B$7,0)+P269-P272</f>
        <v>-508.813016666667</v>
      </c>
      <c r="Q274" s="33" t="n">
        <f aca="false">P274+IF(Source_Data!Q$6=Inputs!$B$12,Inputs!$B$7,0)+Q269-Q272</f>
        <v>-554.070383333333</v>
      </c>
      <c r="R274" s="33" t="n">
        <f aca="false">Q274+IF(Source_Data!R$6=Inputs!$B$12,Inputs!$B$7,0)+R269-R272</f>
        <v>-709.226225</v>
      </c>
      <c r="S274" s="33" t="n">
        <f aca="false">R274+IF(Source_Data!S$6=Inputs!$B$12,Inputs!$B$7,0)+S269-S272</f>
        <v>-853.624501666667</v>
      </c>
      <c r="T274" s="33" t="n">
        <f aca="false">S274+IF(Source_Data!T$6=Inputs!$B$12,Inputs!$B$7,0)+T269-T272</f>
        <v>-1053.79614333333</v>
      </c>
      <c r="U274" s="33" t="n">
        <f aca="false">T274+IF(Source_Data!U$6=Inputs!$B$12,Inputs!$B$7,0)+U269-U272</f>
        <v>-1194.0320625</v>
      </c>
      <c r="V274" s="33" t="n">
        <f aca="false">U274+IF(Source_Data!V$6=Inputs!$B$12,Inputs!$B$7,0)+V269-V272</f>
        <v>-1181.76261416667</v>
      </c>
      <c r="W274" s="33" t="n">
        <f aca="false">V274+IF(Source_Data!W$6=Inputs!$B$12,Inputs!$B$7,0)+W269-W272</f>
        <v>-1147.52328083333</v>
      </c>
      <c r="X274" s="33" t="n">
        <f aca="false">W274+IF(Source_Data!X$6=Inputs!$B$12,Inputs!$B$7,0)+X269-X272</f>
        <v>-1081.86963125</v>
      </c>
      <c r="Y274" s="33" t="n">
        <f aca="false">X274+IF(Source_Data!Y$6=Inputs!$B$12,Inputs!$B$7,0)+Y269-Y272</f>
        <v>-1006.03431541667</v>
      </c>
      <c r="Z274" s="33" t="n">
        <f aca="false">Y274+IF(Source_Data!Z$6=Inputs!$B$12,Inputs!$B$7,0)+Z269-Z272</f>
        <v>-372.154974583334</v>
      </c>
      <c r="AA274" s="33" t="n">
        <f aca="false">Z274+IF(Source_Data!AA$6=Inputs!$B$12,Inputs!$B$7,0)+AA269-AA272</f>
        <v>-249.725908750001</v>
      </c>
      <c r="AB274" s="33" t="n">
        <f aca="false">AA274+IF(Source_Data!AB$6=Inputs!$B$12,Inputs!$B$7,0)+AB269-AB272</f>
        <v>-145.359636250001</v>
      </c>
      <c r="AC274" s="33" t="n">
        <f aca="false">AB274+IF(Source_Data!AC$6=Inputs!$B$12,Inputs!$B$7,0)+AC269-AC272</f>
        <v>-64.2529637500009</v>
      </c>
      <c r="AD274" s="33" t="n">
        <f aca="false">AC274+IF(Source_Data!AD$6=Inputs!$B$12,Inputs!$B$7,0)+AD269-AD272</f>
        <v>17.5470237499991</v>
      </c>
      <c r="AE274" s="33" t="n">
        <f aca="false">AD274+IF(Source_Data!AE$6=Inputs!$B$12,Inputs!$B$7,0)+AE269-AE272</f>
        <v>97.535446249999</v>
      </c>
      <c r="AF274" s="33" t="n">
        <f aca="false">AE274+IF(Source_Data!AF$6=Inputs!$B$12,Inputs!$B$7,0)+AF269-AF272</f>
        <v>-66.3767034375008</v>
      </c>
      <c r="AG274" s="33" t="n">
        <f aca="false">AF274+IF(Source_Data!AG$6=Inputs!$B$12,Inputs!$B$7,0)+AG269-AG272</f>
        <v>-12.3305160937508</v>
      </c>
      <c r="AH274" s="33" t="n">
        <f aca="false">AG274+IF(Source_Data!AH$6=Inputs!$B$12,Inputs!$B$7,0)+AH269-AH272</f>
        <v>34.5879923437492</v>
      </c>
      <c r="AI274" s="33" t="n">
        <f aca="false">AH274+IF(Source_Data!AI$6=Inputs!$B$12,Inputs!$B$7,0)+AI269-AI272</f>
        <v>72.9027318749992</v>
      </c>
      <c r="AJ274" s="33" t="n">
        <f aca="false">AI274+IF(Source_Data!AJ$6=Inputs!$B$12,Inputs!$B$7,0)+AJ269-AJ272</f>
        <v>113.937614531249</v>
      </c>
      <c r="AK274" s="33" t="n">
        <f aca="false">AJ274+IF(Source_Data!AK$6=Inputs!$B$12,Inputs!$B$7,0)+AK269-AK272</f>
        <v>156.547831874999</v>
      </c>
      <c r="AL274" s="33" t="n">
        <f aca="false">AK274+IF(Source_Data!AL$6=Inputs!$B$12,Inputs!$B$7,0)+AL269-AL272</f>
        <v>200.242518749999</v>
      </c>
      <c r="AM274" s="33" t="n">
        <f aca="false">AL274+IF(Source_Data!AM$6=Inputs!$B$12,Inputs!$B$7,0)+AM269-AM272</f>
        <v>248.118528749999</v>
      </c>
      <c r="AN274" s="33" t="n">
        <f aca="false">AM274+IF(Source_Data!AN$6=Inputs!$B$12,Inputs!$B$7,0)+AN269-AN272</f>
        <v>288.879673124999</v>
      </c>
      <c r="AO274" s="33" t="n">
        <f aca="false">AN274+IF(Source_Data!AO$6=Inputs!$B$12,Inputs!$B$7,0)+AO269-AO272</f>
        <v>322.525951874999</v>
      </c>
      <c r="AP274" s="33" t="n">
        <f aca="false">AO274+IF(Source_Data!AP$6=Inputs!$B$12,Inputs!$B$7,0)+AP269-AP272</f>
        <v>355.484506874999</v>
      </c>
      <c r="AQ274" s="33" t="n">
        <f aca="false">AP274+IF(Source_Data!AQ$6=Inputs!$B$12,Inputs!$B$7,0)+AQ269-AQ272</f>
        <v>384.585099374999</v>
      </c>
      <c r="AR274" s="33" t="n">
        <f aca="false">AQ274+IF(Source_Data!AR$6=Inputs!$B$12,Inputs!$B$7,0)+AR269-AR272</f>
        <v>407.468221874999</v>
      </c>
      <c r="AS274" s="33" t="n">
        <f aca="false">AR274+IF(Source_Data!AS$6=Inputs!$B$12,Inputs!$B$7,0)+AS269-AS272</f>
        <v>426.750579374999</v>
      </c>
      <c r="AT274" s="33" t="n">
        <f aca="false">AS274+IF(Source_Data!AT$6=Inputs!$B$12,Inputs!$B$7,0)+AT269-AT272</f>
        <v>443.554149374999</v>
      </c>
      <c r="AU274" s="33" t="n">
        <f aca="false">AT274+IF(Source_Data!AU$6=Inputs!$B$12,Inputs!$B$7,0)+AU269-AU272</f>
        <v>450.800409374999</v>
      </c>
      <c r="AV274" s="33" t="n">
        <f aca="false">AU274+IF(Source_Data!AV$6=Inputs!$B$12,Inputs!$B$7,0)+AV269-AV272</f>
        <v>458.046669374999</v>
      </c>
      <c r="AW274" s="33" t="n">
        <f aca="false">AV274+IF(Source_Data!AW$6=Inputs!$B$12,Inputs!$B$7,0)+AW269-AW272</f>
        <v>465.292929374999</v>
      </c>
      <c r="AX274" s="33" t="n">
        <f aca="false">AW274+IF(Source_Data!AX$6=Inputs!$B$12,Inputs!$B$7,0)+AX269-AX272</f>
        <v>465.292929374999</v>
      </c>
      <c r="AY274" s="33" t="n">
        <f aca="false">AX274+IF(Source_Data!AY$6=Inputs!$B$12,Inputs!$B$7,0)+AY269-AY272</f>
        <v>465.292929374999</v>
      </c>
      <c r="AZ274" s="33" t="n">
        <f aca="false">AY274+IF(Source_Data!AZ$6=Inputs!$B$12,Inputs!$B$7,0)+AZ269-AZ272</f>
        <v>465.292929374999</v>
      </c>
      <c r="BA274" s="33" t="n">
        <f aca="false">AZ274+IF(Source_Data!BA$6=Inputs!$B$12,Inputs!$B$7,0)+BA269-BA272</f>
        <v>465.292929374999</v>
      </c>
      <c r="BB274" s="33" t="n">
        <f aca="false">BA274+IF(Source_Data!BB$6=Inputs!$B$12,Inputs!$B$7,0)+BB269-BB272</f>
        <v>465.292929374999</v>
      </c>
      <c r="BC274" s="33" t="n">
        <f aca="false">BB274+IF(Source_Data!BC$6=Inputs!$B$12,Inputs!$B$7,0)+BC269-BC272</f>
        <v>465.292929374999</v>
      </c>
      <c r="BD274" s="33" t="n">
        <f aca="false">BC274+IF(Source_Data!BD$6=Inputs!$B$12,Inputs!$B$7,0)+BD269-BD272</f>
        <v>465.292929374999</v>
      </c>
      <c r="BE274" s="33" t="n">
        <f aca="false">BD274+IF(Source_Data!BE$6=Inputs!$B$12,Inputs!$B$7,0)+BE269-BE272</f>
        <v>465.292929374999</v>
      </c>
      <c r="BF274" s="33" t="n">
        <f aca="false">BE274+IF(Source_Data!BF$6=Inputs!$B$12,Inputs!$B$7,0)+BF269-BF272</f>
        <v>465.292929374999</v>
      </c>
      <c r="BG274" s="33" t="n">
        <f aca="false">BF274+IF(Source_Data!BG$6=Inputs!$B$12,Inputs!$B$7,0)+BG269-BG272</f>
        <v>465.292929374999</v>
      </c>
      <c r="BH274" s="33" t="n">
        <f aca="false">BG274+IF(Source_Data!BH$6=Inputs!$B$12,Inputs!$B$7,0)+BH269-BH272</f>
        <v>465.292929374999</v>
      </c>
      <c r="BI274" s="33" t="n">
        <f aca="false">BH274+IF(Source_Data!BI$6=Inputs!$B$12,Inputs!$B$7,0)+BI269-BI272</f>
        <v>465.292929374999</v>
      </c>
      <c r="BJ274" s="33" t="n">
        <f aca="false">BI274+IF(Source_Data!BJ$6=Inputs!$B$12,Inputs!$B$7,0)+BJ269-BJ272</f>
        <v>465.292929374999</v>
      </c>
      <c r="BK274" s="33" t="n">
        <f aca="false">BJ274+IF(Source_Data!BK$6=Inputs!$B$12,Inputs!$B$7,0)+BK269-BK272</f>
        <v>465.292929374999</v>
      </c>
    </row>
    <row r="275" customFormat="false" ht="15" hidden="false" customHeight="false" outlineLevel="0" collapsed="false">
      <c r="A275" s="3" t="s">
        <v>344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-2.30641826086957</v>
      </c>
      <c r="Q275" s="31" t="n">
        <f aca="false">IF(Q272&gt;0,Q269/Q272,"")</f>
        <v>-1.36125391304348</v>
      </c>
      <c r="R275" s="31" t="n">
        <f aca="false">IF(R272&gt;0,R269/R272,"")</f>
        <v>-7.09508739130435</v>
      </c>
      <c r="S275" s="31" t="n">
        <f aca="false">IF(S272&gt;0,S269/S272,"")</f>
        <v>-6.53382313043478</v>
      </c>
      <c r="T275" s="31" t="n">
        <f aca="false">IF(T272&gt;0,T269/T272,"")</f>
        <v>-9.44373782608696</v>
      </c>
      <c r="U275" s="31" t="n">
        <f aca="false">IF(U272&gt;0,U269/U272,"")</f>
        <v>-6.31665665217391</v>
      </c>
      <c r="V275" s="31" t="n">
        <f aca="false">IF(V272&gt;0,V269/V272,"")</f>
        <v>1.64014513043478</v>
      </c>
      <c r="W275" s="31" t="n">
        <f aca="false">IF(W272&gt;0,W269/W272,"")</f>
        <v>2.7864</v>
      </c>
      <c r="X275" s="31" t="n">
        <f aca="false">IF(X272&gt;0,X269/X272,"")</f>
        <v>4.42540780434783</v>
      </c>
      <c r="Y275" s="31" t="n">
        <f aca="false">IF(Y272&gt;0,Y269/Y272,"")</f>
        <v>4.95662517391304</v>
      </c>
      <c r="Z275" s="31" t="n">
        <f aca="false">IF(Z272&gt;0,Z269/Z272,"")</f>
        <v>34.0719656086957</v>
      </c>
      <c r="AA275" s="31" t="n">
        <f aca="false">IF(AA272&gt;0,AA269/AA272,"")</f>
        <v>7.38760343478261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345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-25.5467660869565</v>
      </c>
      <c r="Q276" s="31" t="n">
        <f aca="false">IF(Q272&gt;0,(P274+Q269+IF(Source_Data!Q$6=Inputs!$B$12,Inputs!$B$7,0))/Q272,"")</f>
        <v>-27.90802</v>
      </c>
      <c r="R276" s="31" t="n">
        <f aca="false">IF(R272&gt;0,(Q274+R269+IF(Source_Data!R$6=Inputs!$B$12,Inputs!$B$7,0))/R272,"")</f>
        <v>-36.0031073913044</v>
      </c>
      <c r="S276" s="31" t="n">
        <f aca="false">IF(S272&gt;0,(R274+S269+IF(Source_Data!S$6=Inputs!$B$12,Inputs!$B$7,0))/S272,"")</f>
        <v>-43.5369305217391</v>
      </c>
      <c r="T276" s="31" t="n">
        <f aca="false">IF(T272&gt;0,(S274+T269+IF(Source_Data!T$6=Inputs!$B$12,Inputs!$B$7,0))/T272,"")</f>
        <v>-53.9806683478261</v>
      </c>
      <c r="U276" s="31" t="n">
        <f aca="false">IF(U272&gt;0,(T274+U269+IF(Source_Data!U$6=Inputs!$B$12,Inputs!$B$7,0))/U272,"")</f>
        <v>-61.297325</v>
      </c>
      <c r="V276" s="31" t="n">
        <f aca="false">IF(V272&gt;0,(U274+V269+IF(Source_Data!V$6=Inputs!$B$12,Inputs!$B$7,0))/V272,"")</f>
        <v>-60.6571798695652</v>
      </c>
      <c r="W276" s="31" t="n">
        <f aca="false">IF(W272&gt;0,(V274+W269+IF(Source_Data!W$6=Inputs!$B$12,Inputs!$B$7,0))/W272,"")</f>
        <v>-58.8707798695652</v>
      </c>
      <c r="X276" s="31" t="n">
        <f aca="false">IF(X272&gt;0,(W274+X269+IF(Source_Data!X$6=Inputs!$B$12,Inputs!$B$7,0))/X272,"")</f>
        <v>-55.4453720652174</v>
      </c>
      <c r="Y276" s="31" t="n">
        <f aca="false">IF(Y272&gt;0,(X274+Y269+IF(Source_Data!Y$6=Inputs!$B$12,Inputs!$B$7,0))/Y272,"")</f>
        <v>-51.4887468913044</v>
      </c>
      <c r="Z276" s="31" t="n">
        <f aca="false">IF(Z272&gt;0,(Y274+Z269+IF(Source_Data!Z$6=Inputs!$B$12,Inputs!$B$7,0))/Z272,"")</f>
        <v>-18.4167812826087</v>
      </c>
      <c r="AA276" s="31" t="n">
        <f aca="false">IF(AA272&gt;0,(Z274+AA269+IF(Source_Data!AA$6=Inputs!$B$12,Inputs!$B$7,0))/AA272,"")</f>
        <v>-12.0291778478261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220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346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162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347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348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349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350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351</v>
      </c>
      <c r="B285" s="41" t="n">
        <f aca="false">MIN(D274:BK274)</f>
        <v>-1194.0320625</v>
      </c>
    </row>
    <row r="286" customFormat="false" ht="15" hidden="false" customHeight="false" outlineLevel="0" collapsed="false">
      <c r="A286" s="2" t="s">
        <v>352</v>
      </c>
      <c r="B286" s="43" t="n">
        <f aca="false">MIN(D275:BK275)</f>
        <v>-9.44373782608696</v>
      </c>
    </row>
    <row r="287" customFormat="false" ht="15" hidden="false" customHeight="false" outlineLevel="0" collapsed="false">
      <c r="A287" s="2" t="s">
        <v>353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354</v>
      </c>
      <c r="B288" s="43" t="n">
        <f aca="false">MIN(D276:BK276)</f>
        <v>-61.297325</v>
      </c>
    </row>
    <row r="289" customFormat="false" ht="15" hidden="false" customHeight="false" outlineLevel="0" collapsed="false">
      <c r="A289" s="2" t="s">
        <v>355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366</v>
      </c>
    </row>
    <row r="293" customFormat="false" ht="15" hidden="false" customHeight="false" outlineLevel="0" collapsed="false">
      <c r="A293" s="3" t="s">
        <v>331</v>
      </c>
      <c r="B293" s="45" t="n">
        <v>1</v>
      </c>
    </row>
    <row r="294" customFormat="false" ht="15" hidden="false" customHeight="false" outlineLevel="0" collapsed="false">
      <c r="A294" s="3" t="s">
        <v>332</v>
      </c>
      <c r="B294" s="45" t="n">
        <v>0</v>
      </c>
    </row>
    <row r="295" customFormat="false" ht="15" hidden="false" customHeight="false" outlineLevel="0" collapsed="false">
      <c r="A295" s="3" t="s">
        <v>333</v>
      </c>
      <c r="B295" s="45" t="n">
        <v>1.1</v>
      </c>
    </row>
    <row r="296" customFormat="false" ht="15" hidden="false" customHeight="false" outlineLevel="0" collapsed="false">
      <c r="A296" s="3" t="s">
        <v>334</v>
      </c>
      <c r="B296" s="45" t="n">
        <v>0</v>
      </c>
    </row>
    <row r="297" customFormat="false" ht="15" hidden="false" customHeight="false" outlineLevel="0" collapsed="false">
      <c r="A297" s="3" t="s">
        <v>335</v>
      </c>
      <c r="B297" s="45" t="n">
        <v>0</v>
      </c>
    </row>
    <row r="298" customFormat="false" ht="15" hidden="false" customHeight="false" outlineLevel="0" collapsed="false">
      <c r="A298" s="3" t="s">
        <v>336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337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338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339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194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196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215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216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217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340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-100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71.8518518518519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71.8518518518519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71.8518518518519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71.8518518518519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341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19.1666666666667</v>
      </c>
      <c r="Z308" s="33" t="n">
        <f aca="false">IF(AND(Source_Data!Z$6&gt;=Inputs!$B$54,Source_Data!Z$6&lt;Inputs!$B$54+3*Inputs!$B$11),Inputs!$B$9*Inputs!$B$7/Inputs!$B$11,0)</f>
        <v>19.1666666666667</v>
      </c>
      <c r="AA308" s="33" t="n">
        <f aca="false">IF(AND(Source_Data!AA$6&gt;=Inputs!$B$54,Source_Data!AA$6&lt;Inputs!$B$54+3*Inputs!$B$11),Inputs!$B$9*Inputs!$B$7/Inputs!$B$11,0)</f>
        <v>19.1666666666667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342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-100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19.1666666666667</v>
      </c>
      <c r="Z309" s="33" t="n">
        <f aca="false">IF(Source_Data!Z$6=Inputs!$B$12,-Inputs!$B$7,0)+Z308</f>
        <v>19.1666666666667</v>
      </c>
      <c r="AA309" s="33" t="n">
        <f aca="false">IF(Source_Data!AA$6=Inputs!$B$12,-Inputs!$B$7,0)+AA308</f>
        <v>19.1666666666667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343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15</v>
      </c>
      <c r="H310" s="33" t="n">
        <f aca="false">G310+IF(Source_Data!H$6=Inputs!$B$12,Inputs!$B$7,0)+H305-H308</f>
        <v>10.61565</v>
      </c>
      <c r="I310" s="33" t="n">
        <f aca="false">H310+IF(Source_Data!I$6=Inputs!$B$12,Inputs!$B$7,0)+I305-I308</f>
        <v>24.34695</v>
      </c>
      <c r="J310" s="33" t="n">
        <f aca="false">I310+IF(Source_Data!J$6=Inputs!$B$12,Inputs!$B$7,0)+J305-J308</f>
        <v>34.807775</v>
      </c>
      <c r="K310" s="33" t="n">
        <f aca="false">J310+IF(Source_Data!K$6=Inputs!$B$12,Inputs!$B$7,0)+K305-K308</f>
        <v>47.930165</v>
      </c>
      <c r="L310" s="33" t="n">
        <f aca="false">K310+IF(Source_Data!L$6=Inputs!$B$12,Inputs!$B$7,0)+L305-L308</f>
        <v>4.92518999999998</v>
      </c>
      <c r="M310" s="33" t="n">
        <f aca="false">L310+IF(Source_Data!M$6=Inputs!$B$12,Inputs!$B$7,0)+M305-M308</f>
        <v>-14.9900625</v>
      </c>
      <c r="N310" s="33" t="n">
        <f aca="false">M310+IF(Source_Data!N$6=Inputs!$B$12,Inputs!$B$7,0)+N305-N308</f>
        <v>-16.9499475</v>
      </c>
      <c r="O310" s="33" t="n">
        <f aca="false">N310+IF(Source_Data!O$6=Inputs!$B$12,Inputs!$B$7,0)+O305-O308</f>
        <v>3.0600525</v>
      </c>
      <c r="P310" s="33" t="n">
        <f aca="false">O310+IF(Source_Data!P$6=Inputs!$B$12,Inputs!$B$7,0)+P305-P308</f>
        <v>28.2845020833333</v>
      </c>
      <c r="Q310" s="33" t="n">
        <f aca="false">P310+IF(Source_Data!Q$6=Inputs!$B$12,Inputs!$B$7,0)+Q305-Q308</f>
        <v>63.6906179166667</v>
      </c>
      <c r="R310" s="33" t="n">
        <f aca="false">Q310+IF(Source_Data!R$6=Inputs!$B$12,Inputs!$B$7,0)+R305-R308</f>
        <v>512.01995875</v>
      </c>
      <c r="S310" s="33" t="n">
        <f aca="false">R310+IF(Source_Data!S$6=Inputs!$B$12,Inputs!$B$7,0)+S305-S308</f>
        <v>448.899024583333</v>
      </c>
      <c r="T310" s="33" t="n">
        <f aca="false">S310+IF(Source_Data!T$6=Inputs!$B$12,Inputs!$B$7,0)+T305-T308</f>
        <v>281.638630416666</v>
      </c>
      <c r="U310" s="33" t="n">
        <f aca="false">T310+IF(Source_Data!U$6=Inputs!$B$12,Inputs!$B$7,0)+U305-U308</f>
        <v>150.57363625</v>
      </c>
      <c r="V310" s="33" t="n">
        <f aca="false">U310+IF(Source_Data!V$6=Inputs!$B$12,Inputs!$B$7,0)+V305-V308</f>
        <v>168.206957083333</v>
      </c>
      <c r="W310" s="33" t="n">
        <f aca="false">V310+IF(Source_Data!W$6=Inputs!$B$12,Inputs!$B$7,0)+W305-W308</f>
        <v>184.028712916666</v>
      </c>
      <c r="X310" s="33" t="n">
        <f aca="false">W310+IF(Source_Data!X$6=Inputs!$B$12,Inputs!$B$7,0)+X305-X308</f>
        <v>219.641508125</v>
      </c>
      <c r="Y310" s="33" t="n">
        <f aca="false">X310+IF(Source_Data!Y$6=Inputs!$B$12,Inputs!$B$7,0)+Y305-Y308</f>
        <v>248.128255208333</v>
      </c>
      <c r="Z310" s="33" t="n">
        <f aca="false">Y310+IF(Source_Data!Z$6=Inputs!$B$12,Inputs!$B$7,0)+Z305-Z308</f>
        <v>267.799464791666</v>
      </c>
      <c r="AA310" s="33" t="n">
        <f aca="false">Z310+IF(Source_Data!AA$6=Inputs!$B$12,Inputs!$B$7,0)+AA305-AA308</f>
        <v>277.179046874999</v>
      </c>
      <c r="AB310" s="33" t="n">
        <f aca="false">AA310+IF(Source_Data!AB$6=Inputs!$B$12,Inputs!$B$7,0)+AB305-AB308</f>
        <v>328.225295624999</v>
      </c>
      <c r="AC310" s="33" t="n">
        <f aca="false">AB310+IF(Source_Data!AC$6=Inputs!$B$12,Inputs!$B$7,0)+AC305-AC308</f>
        <v>379.271544374999</v>
      </c>
      <c r="AD310" s="33" t="n">
        <f aca="false">AC310+IF(Source_Data!AD$6=Inputs!$B$12,Inputs!$B$7,0)+AD305-AD308</f>
        <v>430.317793124999</v>
      </c>
      <c r="AE310" s="33" t="n">
        <f aca="false">AD310+IF(Source_Data!AE$6=Inputs!$B$12,Inputs!$B$7,0)+AE305-AE308</f>
        <v>481.364041874999</v>
      </c>
      <c r="AF310" s="33" t="n">
        <f aca="false">AE310+IF(Source_Data!AF$6=Inputs!$B$12,Inputs!$B$7,0)+AF305-AF308</f>
        <v>284.103813437499</v>
      </c>
      <c r="AG310" s="33" t="n">
        <f aca="false">AF310+IF(Source_Data!AG$6=Inputs!$B$12,Inputs!$B$7,0)+AG305-AG308</f>
        <v>304.813104531249</v>
      </c>
      <c r="AH310" s="33" t="n">
        <f aca="false">AG310+IF(Source_Data!AH$6=Inputs!$B$12,Inputs!$B$7,0)+AH305-AH308</f>
        <v>323.352291718749</v>
      </c>
      <c r="AI310" s="33" t="n">
        <f aca="false">AH310+IF(Source_Data!AI$6=Inputs!$B$12,Inputs!$B$7,0)+AI305-AI308</f>
        <v>339.721374999999</v>
      </c>
      <c r="AJ310" s="33" t="n">
        <f aca="false">AI310+IF(Source_Data!AJ$6=Inputs!$B$12,Inputs!$B$7,0)+AJ305-AJ308</f>
        <v>352.593131406249</v>
      </c>
      <c r="AK310" s="33" t="n">
        <f aca="false">AJ310+IF(Source_Data!AK$6=Inputs!$B$12,Inputs!$B$7,0)+AK305-AK308</f>
        <v>363.439457499999</v>
      </c>
      <c r="AL310" s="33" t="n">
        <f aca="false">AK310+IF(Source_Data!AL$6=Inputs!$B$12,Inputs!$B$7,0)+AL305-AL308</f>
        <v>372.891465624999</v>
      </c>
      <c r="AM310" s="33" t="n">
        <f aca="false">AL310+IF(Source_Data!AM$6=Inputs!$B$12,Inputs!$B$7,0)+AM305-AM308</f>
        <v>376.967486874999</v>
      </c>
      <c r="AN310" s="33" t="n">
        <f aca="false">AM310+IF(Source_Data!AN$6=Inputs!$B$12,Inputs!$B$7,0)+AN305-AN308</f>
        <v>381.043508124999</v>
      </c>
      <c r="AO310" s="33" t="n">
        <f aca="false">AN310+IF(Source_Data!AO$6=Inputs!$B$12,Inputs!$B$7,0)+AO305-AO308</f>
        <v>385.119529374999</v>
      </c>
      <c r="AP310" s="33" t="n">
        <f aca="false">AO310+IF(Source_Data!AP$6=Inputs!$B$12,Inputs!$B$7,0)+AP305-AP308</f>
        <v>385.119529374999</v>
      </c>
      <c r="AQ310" s="33" t="n">
        <f aca="false">AP310+IF(Source_Data!AQ$6=Inputs!$B$12,Inputs!$B$7,0)+AQ305-AQ308</f>
        <v>385.119529374999</v>
      </c>
      <c r="AR310" s="33" t="n">
        <f aca="false">AQ310+IF(Source_Data!AR$6=Inputs!$B$12,Inputs!$B$7,0)+AR305-AR308</f>
        <v>385.119529374999</v>
      </c>
      <c r="AS310" s="33" t="n">
        <f aca="false">AR310+IF(Source_Data!AS$6=Inputs!$B$12,Inputs!$B$7,0)+AS305-AS308</f>
        <v>385.119529374999</v>
      </c>
      <c r="AT310" s="33" t="n">
        <f aca="false">AS310+IF(Source_Data!AT$6=Inputs!$B$12,Inputs!$B$7,0)+AT305-AT308</f>
        <v>385.119529374999</v>
      </c>
      <c r="AU310" s="33" t="n">
        <f aca="false">AT310+IF(Source_Data!AU$6=Inputs!$B$12,Inputs!$B$7,0)+AU305-AU308</f>
        <v>385.119529374999</v>
      </c>
      <c r="AV310" s="33" t="n">
        <f aca="false">AU310+IF(Source_Data!AV$6=Inputs!$B$12,Inputs!$B$7,0)+AV305-AV308</f>
        <v>385.119529374999</v>
      </c>
      <c r="AW310" s="33" t="n">
        <f aca="false">AV310+IF(Source_Data!AW$6=Inputs!$B$12,Inputs!$B$7,0)+AW305-AW308</f>
        <v>385.119529374999</v>
      </c>
      <c r="AX310" s="33" t="n">
        <f aca="false">AW310+IF(Source_Data!AX$6=Inputs!$B$12,Inputs!$B$7,0)+AX305-AX308</f>
        <v>385.119529374999</v>
      </c>
      <c r="AY310" s="33" t="n">
        <f aca="false">AX310+IF(Source_Data!AY$6=Inputs!$B$12,Inputs!$B$7,0)+AY305-AY308</f>
        <v>385.119529374999</v>
      </c>
      <c r="AZ310" s="33" t="n">
        <f aca="false">AY310+IF(Source_Data!AZ$6=Inputs!$B$12,Inputs!$B$7,0)+AZ305-AZ308</f>
        <v>385.119529374999</v>
      </c>
      <c r="BA310" s="33" t="n">
        <f aca="false">AZ310+IF(Source_Data!BA$6=Inputs!$B$12,Inputs!$B$7,0)+BA305-BA308</f>
        <v>385.119529374999</v>
      </c>
      <c r="BB310" s="33" t="n">
        <f aca="false">BA310+IF(Source_Data!BB$6=Inputs!$B$12,Inputs!$B$7,0)+BB305-BB308</f>
        <v>385.119529374999</v>
      </c>
      <c r="BC310" s="33" t="n">
        <f aca="false">BB310+IF(Source_Data!BC$6=Inputs!$B$12,Inputs!$B$7,0)+BC305-BC308</f>
        <v>385.119529374999</v>
      </c>
      <c r="BD310" s="33" t="n">
        <f aca="false">BC310+IF(Source_Data!BD$6=Inputs!$B$12,Inputs!$B$7,0)+BD305-BD308</f>
        <v>385.119529374999</v>
      </c>
      <c r="BE310" s="33" t="n">
        <f aca="false">BD310+IF(Source_Data!BE$6=Inputs!$B$12,Inputs!$B$7,0)+BE305-BE308</f>
        <v>385.119529374999</v>
      </c>
      <c r="BF310" s="33" t="n">
        <f aca="false">BE310+IF(Source_Data!BF$6=Inputs!$B$12,Inputs!$B$7,0)+BF305-BF308</f>
        <v>385.119529374999</v>
      </c>
      <c r="BG310" s="33" t="n">
        <f aca="false">BF310+IF(Source_Data!BG$6=Inputs!$B$12,Inputs!$B$7,0)+BG305-BG308</f>
        <v>385.119529374999</v>
      </c>
      <c r="BH310" s="33" t="n">
        <f aca="false">BG310+IF(Source_Data!BH$6=Inputs!$B$12,Inputs!$B$7,0)+BH305-BH308</f>
        <v>385.119529374999</v>
      </c>
      <c r="BI310" s="33" t="n">
        <f aca="false">BH310+IF(Source_Data!BI$6=Inputs!$B$12,Inputs!$B$7,0)+BI305-BI308</f>
        <v>385.119529374999</v>
      </c>
      <c r="BJ310" s="33" t="n">
        <f aca="false">BI310+IF(Source_Data!BJ$6=Inputs!$B$12,Inputs!$B$7,0)+BJ305-BJ308</f>
        <v>385.119529374999</v>
      </c>
      <c r="BK310" s="33" t="n">
        <f aca="false">BJ310+IF(Source_Data!BK$6=Inputs!$B$12,Inputs!$B$7,0)+BK305-BK308</f>
        <v>385.119529374999</v>
      </c>
    </row>
    <row r="311" customFormat="false" ht="15" hidden="false" customHeight="false" outlineLevel="0" collapsed="false">
      <c r="A311" s="3" t="s">
        <v>344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2.31605823913044</v>
      </c>
      <c r="Q311" s="31" t="n">
        <f aca="false">IF(Q308&gt;0,Q305/Q308,"")</f>
        <v>2.84727560869565</v>
      </c>
      <c r="R311" s="31" t="n">
        <f aca="false">IF(R308&gt;0,R305/R308,"")</f>
        <v>24.3910960434783</v>
      </c>
      <c r="S311" s="31" t="n">
        <f aca="false">IF(S308&gt;0,S305/S308,"")</f>
        <v>-2.29326613043478</v>
      </c>
      <c r="T311" s="31" t="n">
        <f aca="false">IF(T308&gt;0,T305/T308,"")</f>
        <v>-7.72662926086957</v>
      </c>
      <c r="U311" s="31" t="n">
        <f aca="false">IF(U308&gt;0,U305/U308,"")</f>
        <v>-5.83817360869566</v>
      </c>
      <c r="V311" s="31" t="n">
        <f aca="false">IF(V308&gt;0,V305/V308,"")</f>
        <v>1.91999934782609</v>
      </c>
      <c r="W311" s="31" t="n">
        <f aca="false">IF(W308&gt;0,W305/W308,"")</f>
        <v>1.82548291304348</v>
      </c>
      <c r="X311" s="31" t="n">
        <f aca="false">IF(X308&gt;0,X305/X308,"")</f>
        <v>2.85805888043478</v>
      </c>
      <c r="Y311" s="31" t="n">
        <f aca="false">IF(Y308&gt;0,Y305/Y308,"")</f>
        <v>2.48626506521739</v>
      </c>
      <c r="Z311" s="31" t="n">
        <f aca="false">IF(Z308&gt;0,Z305/Z308,"")</f>
        <v>2.02632397826087</v>
      </c>
      <c r="AA311" s="31" t="n">
        <f aca="false">IF(AA308&gt;0,AA305/AA308,"")</f>
        <v>1.4893695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345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2.47571315217391</v>
      </c>
      <c r="Q312" s="31" t="n">
        <f aca="false">IF(Q308&gt;0,(P310+Q305+IF(Source_Data!Q$6=Inputs!$B$12,Inputs!$B$7,0))/Q308,"")</f>
        <v>4.32298876086957</v>
      </c>
      <c r="R312" s="31" t="n">
        <f aca="false">IF(R308&gt;0,(Q310+R305+IF(Source_Data!R$6=Inputs!$B$12,Inputs!$B$7,0))/R308,"")</f>
        <v>27.7140848043478</v>
      </c>
      <c r="S312" s="31" t="n">
        <f aca="false">IF(S308&gt;0,(R310+S305+IF(Source_Data!S$6=Inputs!$B$12,Inputs!$B$7,0))/S308,"")</f>
        <v>24.420818673913</v>
      </c>
      <c r="T312" s="31" t="n">
        <f aca="false">IF(T308&gt;0,(S310+T305+IF(Source_Data!T$6=Inputs!$B$12,Inputs!$B$7,0))/T308,"")</f>
        <v>15.6941894130435</v>
      </c>
      <c r="U312" s="31" t="n">
        <f aca="false">IF(U308&gt;0,(T310+U305+IF(Source_Data!U$6=Inputs!$B$12,Inputs!$B$7,0))/U308,"")</f>
        <v>8.8560158043478</v>
      </c>
      <c r="V312" s="31" t="n">
        <f aca="false">IF(V308&gt;0,(U310+V305+IF(Source_Data!V$6=Inputs!$B$12,Inputs!$B$7,0))/V308,"")</f>
        <v>9.77601515217389</v>
      </c>
      <c r="W312" s="31" t="n">
        <f aca="false">IF(W308&gt;0,(V310+W305+IF(Source_Data!W$6=Inputs!$B$12,Inputs!$B$7,0))/W308,"")</f>
        <v>10.6014980652174</v>
      </c>
      <c r="X312" s="31" t="n">
        <f aca="false">IF(X308&gt;0,(W310+X305+IF(Source_Data!X$6=Inputs!$B$12,Inputs!$B$7,0))/X308,"")</f>
        <v>12.4595569456521</v>
      </c>
      <c r="Y312" s="31" t="n">
        <f aca="false">IF(Y308&gt;0,(X310+Y305+IF(Source_Data!Y$6=Inputs!$B$12,Inputs!$B$7,0))/Y308,"")</f>
        <v>13.9458220108695</v>
      </c>
      <c r="Z312" s="31" t="n">
        <f aca="false">IF(Z308&gt;0,(Y310+Z305+IF(Source_Data!Z$6=Inputs!$B$12,Inputs!$B$7,0))/Z308,"")</f>
        <v>14.9721459891304</v>
      </c>
      <c r="AA312" s="31" t="n">
        <f aca="false">IF(AA308&gt;0,(Z310+AA305+IF(Source_Data!AA$6=Inputs!$B$12,Inputs!$B$7,0))/AA308,"")</f>
        <v>15.4615154891304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220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346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162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347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348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349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350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351</v>
      </c>
      <c r="B321" s="41" t="n">
        <f aca="false">MIN(D310:BK310)</f>
        <v>-16.9499475</v>
      </c>
    </row>
    <row r="322" customFormat="false" ht="15" hidden="false" customHeight="false" outlineLevel="0" collapsed="false">
      <c r="A322" s="2" t="s">
        <v>352</v>
      </c>
      <c r="B322" s="43" t="n">
        <f aca="false">MIN(D311:BK311)</f>
        <v>-7.72662926086957</v>
      </c>
    </row>
    <row r="323" customFormat="false" ht="15" hidden="false" customHeight="false" outlineLevel="0" collapsed="false">
      <c r="A323" s="2" t="s">
        <v>353</v>
      </c>
      <c r="B323" s="35" t="n">
        <f aca="false">COUNTIF(D311:BK311,"&lt;"&amp;Inputs!$B$43)</f>
        <v>4</v>
      </c>
    </row>
    <row r="324" customFormat="false" ht="15" hidden="false" customHeight="false" outlineLevel="0" collapsed="false">
      <c r="A324" s="2" t="s">
        <v>354</v>
      </c>
      <c r="B324" s="43" t="n">
        <f aca="false">MIN(D312:BK312)</f>
        <v>2.47571315217391</v>
      </c>
    </row>
    <row r="325" customFormat="false" ht="15" hidden="false" customHeight="false" outlineLevel="0" collapsed="false">
      <c r="A325" s="2" t="s">
        <v>355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367</v>
      </c>
    </row>
    <row r="329" customFormat="false" ht="15" hidden="false" customHeight="false" outlineLevel="0" collapsed="false">
      <c r="A329" s="3" t="s">
        <v>331</v>
      </c>
      <c r="B329" s="45" t="n">
        <v>1</v>
      </c>
    </row>
    <row r="330" customFormat="false" ht="15" hidden="false" customHeight="false" outlineLevel="0" collapsed="false">
      <c r="A330" s="3" t="s">
        <v>332</v>
      </c>
      <c r="B330" s="45" t="n">
        <v>0</v>
      </c>
    </row>
    <row r="331" customFormat="false" ht="15" hidden="false" customHeight="false" outlineLevel="0" collapsed="false">
      <c r="A331" s="3" t="s">
        <v>333</v>
      </c>
      <c r="B331" s="45" t="n">
        <v>1.2</v>
      </c>
    </row>
    <row r="332" customFormat="false" ht="15" hidden="false" customHeight="false" outlineLevel="0" collapsed="false">
      <c r="A332" s="3" t="s">
        <v>334</v>
      </c>
      <c r="B332" s="45" t="n">
        <v>0</v>
      </c>
    </row>
    <row r="333" customFormat="false" ht="15" hidden="false" customHeight="false" outlineLevel="0" collapsed="false">
      <c r="A333" s="3" t="s">
        <v>335</v>
      </c>
      <c r="B333" s="45" t="n">
        <v>0</v>
      </c>
    </row>
    <row r="334" customFormat="false" ht="15" hidden="false" customHeight="false" outlineLevel="0" collapsed="false">
      <c r="A334" s="3" t="s">
        <v>336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337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338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339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194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196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215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216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217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340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-100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71.8518518518519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71.8518518518519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71.8518518518519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71.8518518518519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341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19.1666666666667</v>
      </c>
      <c r="Z344" s="33" t="n">
        <f aca="false">IF(AND(Source_Data!Z$6&gt;=Inputs!$B$54,Source_Data!Z$6&lt;Inputs!$B$54+3*Inputs!$B$11),Inputs!$B$9*Inputs!$B$7/Inputs!$B$11,0)</f>
        <v>19.1666666666667</v>
      </c>
      <c r="AA344" s="33" t="n">
        <f aca="false">IF(AND(Source_Data!AA$6&gt;=Inputs!$B$54,Source_Data!AA$6&lt;Inputs!$B$54+3*Inputs!$B$11),Inputs!$B$9*Inputs!$B$7/Inputs!$B$11,0)</f>
        <v>19.1666666666667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342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-100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19.1666666666667</v>
      </c>
      <c r="Z345" s="33" t="n">
        <f aca="false">IF(Source_Data!Z$6=Inputs!$B$12,-Inputs!$B$7,0)+Z344</f>
        <v>19.1666666666667</v>
      </c>
      <c r="AA345" s="33" t="n">
        <f aca="false">IF(Source_Data!AA$6=Inputs!$B$12,-Inputs!$B$7,0)+AA344</f>
        <v>19.1666666666667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343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15</v>
      </c>
      <c r="H346" s="33" t="n">
        <f aca="false">G346+IF(Source_Data!H$6=Inputs!$B$12,Inputs!$B$7,0)+H341-H344</f>
        <v>10.61565</v>
      </c>
      <c r="I346" s="33" t="n">
        <f aca="false">H346+IF(Source_Data!I$6=Inputs!$B$12,Inputs!$B$7,0)+I341-I344</f>
        <v>24.34695</v>
      </c>
      <c r="J346" s="33" t="n">
        <f aca="false">I346+IF(Source_Data!J$6=Inputs!$B$12,Inputs!$B$7,0)+J341-J344</f>
        <v>32.507775</v>
      </c>
      <c r="K346" s="33" t="n">
        <f aca="false">J346+IF(Source_Data!K$6=Inputs!$B$12,Inputs!$B$7,0)+K341-K344</f>
        <v>42.594165</v>
      </c>
      <c r="L346" s="33" t="n">
        <f aca="false">K346+IF(Source_Data!L$6=Inputs!$B$12,Inputs!$B$7,0)+L341-L344</f>
        <v>-5.01081000000001</v>
      </c>
      <c r="M346" s="33" t="n">
        <f aca="false">L346+IF(Source_Data!M$6=Inputs!$B$12,Inputs!$B$7,0)+M341-M344</f>
        <v>-27.9620625</v>
      </c>
      <c r="N346" s="33" t="n">
        <f aca="false">M346+IF(Source_Data!N$6=Inputs!$B$12,Inputs!$B$7,0)+N341-N344</f>
        <v>-32.9579475</v>
      </c>
      <c r="O346" s="33" t="n">
        <f aca="false">N346+IF(Source_Data!O$6=Inputs!$B$12,Inputs!$B$7,0)+O341-O344</f>
        <v>-15.9839475</v>
      </c>
      <c r="P346" s="33" t="n">
        <f aca="false">O346+IF(Source_Data!P$6=Inputs!$B$12,Inputs!$B$7,0)+P341-P344</f>
        <v>8.63330208333335</v>
      </c>
      <c r="Q346" s="33" t="n">
        <f aca="false">P346+IF(Source_Data!Q$6=Inputs!$B$12,Inputs!$B$7,0)+Q341-Q344</f>
        <v>43.4322179166667</v>
      </c>
      <c r="R346" s="33" t="n">
        <f aca="false">Q346+IF(Source_Data!R$6=Inputs!$B$12,Inputs!$B$7,0)+R341-R344</f>
        <v>477.96155875</v>
      </c>
      <c r="S346" s="33" t="n">
        <f aca="false">R346+IF(Source_Data!S$6=Inputs!$B$12,Inputs!$B$7,0)+S341-S344</f>
        <v>401.040624583333</v>
      </c>
      <c r="T346" s="33" t="n">
        <f aca="false">S346+IF(Source_Data!T$6=Inputs!$B$12,Inputs!$B$7,0)+T341-T344</f>
        <v>214.920230416666</v>
      </c>
      <c r="U346" s="33" t="n">
        <f aca="false">T346+IF(Source_Data!U$6=Inputs!$B$12,Inputs!$B$7,0)+U341-U344</f>
        <v>70.4002362499996</v>
      </c>
      <c r="V346" s="33" t="n">
        <f aca="false">U346+IF(Source_Data!V$6=Inputs!$B$12,Inputs!$B$7,0)+V341-V344</f>
        <v>88.0335570833329</v>
      </c>
      <c r="W346" s="33" t="n">
        <f aca="false">V346+IF(Source_Data!W$6=Inputs!$B$12,Inputs!$B$7,0)+W341-W344</f>
        <v>103.855312916666</v>
      </c>
      <c r="X346" s="33" t="n">
        <f aca="false">W346+IF(Source_Data!X$6=Inputs!$B$12,Inputs!$B$7,0)+X341-X344</f>
        <v>139.468108125</v>
      </c>
      <c r="Y346" s="33" t="n">
        <f aca="false">X346+IF(Source_Data!Y$6=Inputs!$B$12,Inputs!$B$7,0)+Y341-Y344</f>
        <v>167.954855208333</v>
      </c>
      <c r="Z346" s="33" t="n">
        <f aca="false">Y346+IF(Source_Data!Z$6=Inputs!$B$12,Inputs!$B$7,0)+Z341-Z344</f>
        <v>187.626064791666</v>
      </c>
      <c r="AA346" s="33" t="n">
        <f aca="false">Z346+IF(Source_Data!AA$6=Inputs!$B$12,Inputs!$B$7,0)+AA341-AA344</f>
        <v>197.005646875</v>
      </c>
      <c r="AB346" s="33" t="n">
        <f aca="false">AA346+IF(Source_Data!AB$6=Inputs!$B$12,Inputs!$B$7,0)+AB341-AB344</f>
        <v>248.051895625</v>
      </c>
      <c r="AC346" s="33" t="n">
        <f aca="false">AB346+IF(Source_Data!AC$6=Inputs!$B$12,Inputs!$B$7,0)+AC341-AC344</f>
        <v>299.098144375</v>
      </c>
      <c r="AD346" s="33" t="n">
        <f aca="false">AC346+IF(Source_Data!AD$6=Inputs!$B$12,Inputs!$B$7,0)+AD341-AD344</f>
        <v>350.144393124999</v>
      </c>
      <c r="AE346" s="33" t="n">
        <f aca="false">AD346+IF(Source_Data!AE$6=Inputs!$B$12,Inputs!$B$7,0)+AE341-AE344</f>
        <v>401.190641874999</v>
      </c>
      <c r="AF346" s="33" t="n">
        <f aca="false">AE346+IF(Source_Data!AF$6=Inputs!$B$12,Inputs!$B$7,0)+AF341-AF344</f>
        <v>203.9304134375</v>
      </c>
      <c r="AG346" s="33" t="n">
        <f aca="false">AF346+IF(Source_Data!AG$6=Inputs!$B$12,Inputs!$B$7,0)+AG341-AG344</f>
        <v>224.63970453125</v>
      </c>
      <c r="AH346" s="33" t="n">
        <f aca="false">AG346+IF(Source_Data!AH$6=Inputs!$B$12,Inputs!$B$7,0)+AH341-AH344</f>
        <v>243.17889171875</v>
      </c>
      <c r="AI346" s="33" t="n">
        <f aca="false">AH346+IF(Source_Data!AI$6=Inputs!$B$12,Inputs!$B$7,0)+AI341-AI344</f>
        <v>259.547975</v>
      </c>
      <c r="AJ346" s="33" t="n">
        <f aca="false">AI346+IF(Source_Data!AJ$6=Inputs!$B$12,Inputs!$B$7,0)+AJ341-AJ344</f>
        <v>272.41973140625</v>
      </c>
      <c r="AK346" s="33" t="n">
        <f aca="false">AJ346+IF(Source_Data!AK$6=Inputs!$B$12,Inputs!$B$7,0)+AK341-AK344</f>
        <v>283.2660575</v>
      </c>
      <c r="AL346" s="33" t="n">
        <f aca="false">AK346+IF(Source_Data!AL$6=Inputs!$B$12,Inputs!$B$7,0)+AL341-AL344</f>
        <v>292.718065625</v>
      </c>
      <c r="AM346" s="33" t="n">
        <f aca="false">AL346+IF(Source_Data!AM$6=Inputs!$B$12,Inputs!$B$7,0)+AM341-AM344</f>
        <v>296.794086875</v>
      </c>
      <c r="AN346" s="33" t="n">
        <f aca="false">AM346+IF(Source_Data!AN$6=Inputs!$B$12,Inputs!$B$7,0)+AN341-AN344</f>
        <v>300.870108125</v>
      </c>
      <c r="AO346" s="33" t="n">
        <f aca="false">AN346+IF(Source_Data!AO$6=Inputs!$B$12,Inputs!$B$7,0)+AO341-AO344</f>
        <v>304.946129375</v>
      </c>
      <c r="AP346" s="33" t="n">
        <f aca="false">AO346+IF(Source_Data!AP$6=Inputs!$B$12,Inputs!$B$7,0)+AP341-AP344</f>
        <v>304.946129375</v>
      </c>
      <c r="AQ346" s="33" t="n">
        <f aca="false">AP346+IF(Source_Data!AQ$6=Inputs!$B$12,Inputs!$B$7,0)+AQ341-AQ344</f>
        <v>304.946129375</v>
      </c>
      <c r="AR346" s="33" t="n">
        <f aca="false">AQ346+IF(Source_Data!AR$6=Inputs!$B$12,Inputs!$B$7,0)+AR341-AR344</f>
        <v>304.946129375</v>
      </c>
      <c r="AS346" s="33" t="n">
        <f aca="false">AR346+IF(Source_Data!AS$6=Inputs!$B$12,Inputs!$B$7,0)+AS341-AS344</f>
        <v>304.946129375</v>
      </c>
      <c r="AT346" s="33" t="n">
        <f aca="false">AS346+IF(Source_Data!AT$6=Inputs!$B$12,Inputs!$B$7,0)+AT341-AT344</f>
        <v>304.946129375</v>
      </c>
      <c r="AU346" s="33" t="n">
        <f aca="false">AT346+IF(Source_Data!AU$6=Inputs!$B$12,Inputs!$B$7,0)+AU341-AU344</f>
        <v>304.946129375</v>
      </c>
      <c r="AV346" s="33" t="n">
        <f aca="false">AU346+IF(Source_Data!AV$6=Inputs!$B$12,Inputs!$B$7,0)+AV341-AV344</f>
        <v>304.946129375</v>
      </c>
      <c r="AW346" s="33" t="n">
        <f aca="false">AV346+IF(Source_Data!AW$6=Inputs!$B$12,Inputs!$B$7,0)+AW341-AW344</f>
        <v>304.946129375</v>
      </c>
      <c r="AX346" s="33" t="n">
        <f aca="false">AW346+IF(Source_Data!AX$6=Inputs!$B$12,Inputs!$B$7,0)+AX341-AX344</f>
        <v>304.946129375</v>
      </c>
      <c r="AY346" s="33" t="n">
        <f aca="false">AX346+IF(Source_Data!AY$6=Inputs!$B$12,Inputs!$B$7,0)+AY341-AY344</f>
        <v>304.946129375</v>
      </c>
      <c r="AZ346" s="33" t="n">
        <f aca="false">AY346+IF(Source_Data!AZ$6=Inputs!$B$12,Inputs!$B$7,0)+AZ341-AZ344</f>
        <v>304.946129375</v>
      </c>
      <c r="BA346" s="33" t="n">
        <f aca="false">AZ346+IF(Source_Data!BA$6=Inputs!$B$12,Inputs!$B$7,0)+BA341-BA344</f>
        <v>304.946129375</v>
      </c>
      <c r="BB346" s="33" t="n">
        <f aca="false">BA346+IF(Source_Data!BB$6=Inputs!$B$12,Inputs!$B$7,0)+BB341-BB344</f>
        <v>304.946129375</v>
      </c>
      <c r="BC346" s="33" t="n">
        <f aca="false">BB346+IF(Source_Data!BC$6=Inputs!$B$12,Inputs!$B$7,0)+BC341-BC344</f>
        <v>304.946129375</v>
      </c>
      <c r="BD346" s="33" t="n">
        <f aca="false">BC346+IF(Source_Data!BD$6=Inputs!$B$12,Inputs!$B$7,0)+BD341-BD344</f>
        <v>304.946129375</v>
      </c>
      <c r="BE346" s="33" t="n">
        <f aca="false">BD346+IF(Source_Data!BE$6=Inputs!$B$12,Inputs!$B$7,0)+BE341-BE344</f>
        <v>304.946129375</v>
      </c>
      <c r="BF346" s="33" t="n">
        <f aca="false">BE346+IF(Source_Data!BF$6=Inputs!$B$12,Inputs!$B$7,0)+BF341-BF344</f>
        <v>304.946129375</v>
      </c>
      <c r="BG346" s="33" t="n">
        <f aca="false">BF346+IF(Source_Data!BG$6=Inputs!$B$12,Inputs!$B$7,0)+BG341-BG344</f>
        <v>304.946129375</v>
      </c>
      <c r="BH346" s="33" t="n">
        <f aca="false">BG346+IF(Source_Data!BH$6=Inputs!$B$12,Inputs!$B$7,0)+BH341-BH344</f>
        <v>304.946129375</v>
      </c>
      <c r="BI346" s="33" t="n">
        <f aca="false">BH346+IF(Source_Data!BI$6=Inputs!$B$12,Inputs!$B$7,0)+BI341-BI344</f>
        <v>304.946129375</v>
      </c>
      <c r="BJ346" s="33" t="n">
        <f aca="false">BI346+IF(Source_Data!BJ$6=Inputs!$B$12,Inputs!$B$7,0)+BJ341-BJ344</f>
        <v>304.946129375</v>
      </c>
      <c r="BK346" s="33" t="n">
        <f aca="false">BJ346+IF(Source_Data!BK$6=Inputs!$B$12,Inputs!$B$7,0)+BK341-BK344</f>
        <v>304.946129375</v>
      </c>
    </row>
    <row r="347" customFormat="false" ht="15" hidden="false" customHeight="false" outlineLevel="0" collapsed="false">
      <c r="A347" s="3" t="s">
        <v>344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2.28437823913044</v>
      </c>
      <c r="Q347" s="31" t="n">
        <f aca="false">IF(Q344&gt;0,Q341/Q344,"")</f>
        <v>2.81559560869565</v>
      </c>
      <c r="R347" s="31" t="n">
        <f aca="false">IF(R344&gt;0,R341/R344,"")</f>
        <v>23.6710960434783</v>
      </c>
      <c r="S347" s="31" t="n">
        <f aca="false">IF(S344&gt;0,S341/S344,"")</f>
        <v>-3.01326613043478</v>
      </c>
      <c r="T347" s="31" t="n">
        <f aca="false">IF(T344&gt;0,T341/T344,"")</f>
        <v>-8.71062926086957</v>
      </c>
      <c r="U347" s="31" t="n">
        <f aca="false">IF(U344&gt;0,U341/U344,"")</f>
        <v>-6.54017360869566</v>
      </c>
      <c r="V347" s="31" t="n">
        <f aca="false">IF(V344&gt;0,V341/V344,"")</f>
        <v>1.91999934782609</v>
      </c>
      <c r="W347" s="31" t="n">
        <f aca="false">IF(W344&gt;0,W341/W344,"")</f>
        <v>1.82548291304348</v>
      </c>
      <c r="X347" s="31" t="n">
        <f aca="false">IF(X344&gt;0,X341/X344,"")</f>
        <v>2.85805888043478</v>
      </c>
      <c r="Y347" s="31" t="n">
        <f aca="false">IF(Y344&gt;0,Y341/Y344,"")</f>
        <v>2.48626506521739</v>
      </c>
      <c r="Z347" s="31" t="n">
        <f aca="false">IF(Z344&gt;0,Z341/Z344,"")</f>
        <v>2.02632397826087</v>
      </c>
      <c r="AA347" s="31" t="n">
        <f aca="false">IF(AA344&gt;0,AA341/AA344,"")</f>
        <v>1.4893695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345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1.45043315217391</v>
      </c>
      <c r="Q348" s="31" t="n">
        <f aca="false">IF(Q344&gt;0,(P346+Q341+IF(Source_Data!Q$6=Inputs!$B$12,Inputs!$B$7,0))/Q344,"")</f>
        <v>3.26602876086957</v>
      </c>
      <c r="R348" s="31" t="n">
        <f aca="false">IF(R344&gt;0,(Q346+R341+IF(Source_Data!R$6=Inputs!$B$12,Inputs!$B$7,0))/R344,"")</f>
        <v>25.9371248043478</v>
      </c>
      <c r="S348" s="31" t="n">
        <f aca="false">IF(S344&gt;0,(R346+S341+IF(Source_Data!S$6=Inputs!$B$12,Inputs!$B$7,0))/S344,"")</f>
        <v>21.923858673913</v>
      </c>
      <c r="T348" s="31" t="n">
        <f aca="false">IF(T344&gt;0,(S346+T341+IF(Source_Data!T$6=Inputs!$B$12,Inputs!$B$7,0))/T344,"")</f>
        <v>12.2132294130435</v>
      </c>
      <c r="U348" s="31" t="n">
        <f aca="false">IF(U344&gt;0,(T346+U341+IF(Source_Data!U$6=Inputs!$B$12,Inputs!$B$7,0))/U344,"")</f>
        <v>4.6730558043478</v>
      </c>
      <c r="V348" s="31" t="n">
        <f aca="false">IF(V344&gt;0,(U346+V341+IF(Source_Data!V$6=Inputs!$B$12,Inputs!$B$7,0))/V344,"")</f>
        <v>5.59305515217389</v>
      </c>
      <c r="W348" s="31" t="n">
        <f aca="false">IF(W344&gt;0,(V346+W341+IF(Source_Data!W$6=Inputs!$B$12,Inputs!$B$7,0))/W344,"")</f>
        <v>6.41853806521737</v>
      </c>
      <c r="X348" s="31" t="n">
        <f aca="false">IF(X344&gt;0,(W346+X341+IF(Source_Data!X$6=Inputs!$B$12,Inputs!$B$7,0))/X344,"")</f>
        <v>8.27659694565215</v>
      </c>
      <c r="Y348" s="31" t="n">
        <f aca="false">IF(Y344&gt;0,(X346+Y341+IF(Source_Data!Y$6=Inputs!$B$12,Inputs!$B$7,0))/Y344,"")</f>
        <v>9.76286201086954</v>
      </c>
      <c r="Z348" s="31" t="n">
        <f aca="false">IF(Z344&gt;0,(Y346+Z341+IF(Source_Data!Z$6=Inputs!$B$12,Inputs!$B$7,0))/Z344,"")</f>
        <v>10.7891859891304</v>
      </c>
      <c r="AA348" s="31" t="n">
        <f aca="false">IF(AA344&gt;0,(Z346+AA341+IF(Source_Data!AA$6=Inputs!$B$12,Inputs!$B$7,0))/AA344,"")</f>
        <v>11.2785554891304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220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346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162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347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348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349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350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351</v>
      </c>
      <c r="B357" s="41" t="n">
        <f aca="false">MIN(D346:BK346)</f>
        <v>-32.9579475</v>
      </c>
    </row>
    <row r="358" customFormat="false" ht="15" hidden="false" customHeight="false" outlineLevel="0" collapsed="false">
      <c r="A358" s="2" t="s">
        <v>352</v>
      </c>
      <c r="B358" s="43" t="n">
        <f aca="false">MIN(D347:BK347)</f>
        <v>-8.71062926086957</v>
      </c>
    </row>
    <row r="359" customFormat="false" ht="15" hidden="false" customHeight="false" outlineLevel="0" collapsed="false">
      <c r="A359" s="2" t="s">
        <v>353</v>
      </c>
      <c r="B359" s="35" t="n">
        <f aca="false">COUNTIF(D347:BK347,"&lt;"&amp;Inputs!$B$43)</f>
        <v>4</v>
      </c>
    </row>
    <row r="360" customFormat="false" ht="15" hidden="false" customHeight="false" outlineLevel="0" collapsed="false">
      <c r="A360" s="2" t="s">
        <v>354</v>
      </c>
      <c r="B360" s="43" t="n">
        <f aca="false">MIN(D348:BK348)</f>
        <v>1.45043315217391</v>
      </c>
    </row>
    <row r="361" customFormat="false" ht="15" hidden="false" customHeight="false" outlineLevel="0" collapsed="false">
      <c r="A361" s="2" t="s">
        <v>355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368</v>
      </c>
    </row>
    <row r="365" customFormat="false" ht="15" hidden="false" customHeight="false" outlineLevel="0" collapsed="false">
      <c r="A365" s="3" t="s">
        <v>331</v>
      </c>
      <c r="B365" s="45" t="n">
        <v>1</v>
      </c>
    </row>
    <row r="366" customFormat="false" ht="15" hidden="false" customHeight="false" outlineLevel="0" collapsed="false">
      <c r="A366" s="3" t="s">
        <v>332</v>
      </c>
      <c r="B366" s="45" t="n">
        <v>0</v>
      </c>
    </row>
    <row r="367" customFormat="false" ht="15" hidden="false" customHeight="false" outlineLevel="0" collapsed="false">
      <c r="A367" s="3" t="s">
        <v>333</v>
      </c>
      <c r="B367" s="45" t="n">
        <v>1</v>
      </c>
    </row>
    <row r="368" customFormat="false" ht="15" hidden="false" customHeight="false" outlineLevel="0" collapsed="false">
      <c r="A368" s="3" t="s">
        <v>334</v>
      </c>
      <c r="B368" s="45" t="n">
        <v>1</v>
      </c>
    </row>
    <row r="369" customFormat="false" ht="15" hidden="false" customHeight="false" outlineLevel="0" collapsed="false">
      <c r="A369" s="3" t="s">
        <v>335</v>
      </c>
      <c r="B369" s="45" t="n">
        <v>0</v>
      </c>
    </row>
    <row r="370" customFormat="false" ht="15" hidden="false" customHeight="false" outlineLevel="0" collapsed="false">
      <c r="A370" s="3" t="s">
        <v>336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337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338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339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194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196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215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216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217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340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-100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71.8518518518519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71.8518518518519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71.8518518518519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71.8518518518519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341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19.1666666666667</v>
      </c>
      <c r="Z380" s="33" t="n">
        <f aca="false">IF(AND(Source_Data!Z$6&gt;=Inputs!$B$54,Source_Data!Z$6&lt;Inputs!$B$54+3*Inputs!$B$11),Inputs!$B$9*Inputs!$B$7/Inputs!$B$11,0)</f>
        <v>19.1666666666667</v>
      </c>
      <c r="AA380" s="33" t="n">
        <f aca="false">IF(AND(Source_Data!AA$6&gt;=Inputs!$B$54,Source_Data!AA$6&lt;Inputs!$B$54+3*Inputs!$B$11),Inputs!$B$9*Inputs!$B$7/Inputs!$B$11,0)</f>
        <v>19.1666666666667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342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-100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19.1666666666667</v>
      </c>
      <c r="Z381" s="33" t="n">
        <f aca="false">IF(Source_Data!Z$6=Inputs!$B$12,-Inputs!$B$7,0)+Z380</f>
        <v>19.1666666666667</v>
      </c>
      <c r="AA381" s="33" t="n">
        <f aca="false">IF(Source_Data!AA$6=Inputs!$B$12,-Inputs!$B$7,0)+AA380</f>
        <v>19.1666666666667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343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15</v>
      </c>
      <c r="H382" s="33" t="n">
        <f aca="false">G382+IF(Source_Data!H$6=Inputs!$B$12,Inputs!$B$7,0)+H377-H380</f>
        <v>-7.5</v>
      </c>
      <c r="I382" s="33" t="n">
        <f aca="false">H382+IF(Source_Data!I$6=Inputs!$B$12,Inputs!$B$7,0)+I377-I380</f>
        <v>-11.88435</v>
      </c>
      <c r="J382" s="33" t="n">
        <f aca="false">I382+IF(Source_Data!J$6=Inputs!$B$12,Inputs!$B$7,0)+J377-J380</f>
        <v>-21.15305</v>
      </c>
      <c r="K382" s="33" t="n">
        <f aca="false">J382+IF(Source_Data!K$6=Inputs!$B$12,Inputs!$B$7,0)+K377-K380</f>
        <v>-15.752225</v>
      </c>
      <c r="L382" s="33" t="n">
        <f aca="false">K382+IF(Source_Data!L$6=Inputs!$B$12,Inputs!$B$7,0)+L377-L380</f>
        <v>-52.226355</v>
      </c>
      <c r="M382" s="33" t="n">
        <f aca="false">L382+IF(Source_Data!M$6=Inputs!$B$12,Inputs!$B$7,0)+M377-M380</f>
        <v>-74.99133</v>
      </c>
      <c r="N382" s="33" t="n">
        <f aca="false">M382+IF(Source_Data!N$6=Inputs!$B$12,Inputs!$B$7,0)+N377-N380</f>
        <v>-89.8130025</v>
      </c>
      <c r="O382" s="33" t="n">
        <f aca="false">N382+IF(Source_Data!O$6=Inputs!$B$12,Inputs!$B$7,0)+O377-O380</f>
        <v>-83.5034775</v>
      </c>
      <c r="P382" s="33" t="n">
        <f aca="false">O382+IF(Source_Data!P$6=Inputs!$B$12,Inputs!$B$7,0)+P377-P380</f>
        <v>-67.3167341666667</v>
      </c>
      <c r="Q382" s="33" t="n">
        <f aca="false">P382+IF(Source_Data!Q$6=Inputs!$B$12,Inputs!$B$7,0)+Q377-Q380</f>
        <v>-40.9483245833333</v>
      </c>
      <c r="R382" s="33" t="n">
        <f aca="false">Q382+IF(Source_Data!R$6=Inputs!$B$12,Inputs!$B$7,0)+R377-R380</f>
        <v>-137.01210875</v>
      </c>
      <c r="S382" s="33" t="n">
        <f aca="false">R382+IF(Source_Data!S$6=Inputs!$B$12,Inputs!$B$7,0)+S377-S380</f>
        <v>325.117232083333</v>
      </c>
      <c r="T382" s="33" t="n">
        <f aca="false">S382+IF(Source_Data!T$6=Inputs!$B$12,Inputs!$B$7,0)+T377-T380</f>
        <v>235.760437916666</v>
      </c>
      <c r="U382" s="33" t="n">
        <f aca="false">T382+IF(Source_Data!U$6=Inputs!$B$12,Inputs!$B$7,0)+U377-U380</f>
        <v>141.41004375</v>
      </c>
      <c r="V382" s="33" t="n">
        <f aca="false">U382+IF(Source_Data!V$6=Inputs!$B$12,Inputs!$B$7,0)+V377-V380</f>
        <v>160.854929583333</v>
      </c>
      <c r="W382" s="33" t="n">
        <f aca="false">V382+IF(Source_Data!W$6=Inputs!$B$12,Inputs!$B$7,0)+W377-W380</f>
        <v>178.488250416666</v>
      </c>
      <c r="X382" s="33" t="n">
        <f aca="false">W382+IF(Source_Data!X$6=Inputs!$B$12,Inputs!$B$7,0)+X377-X380</f>
        <v>222.53544625</v>
      </c>
      <c r="Y382" s="33" t="n">
        <f aca="false">X382+IF(Source_Data!Y$6=Inputs!$B$12,Inputs!$B$7,0)+Y377-Y380</f>
        <v>258.148241458333</v>
      </c>
      <c r="Z382" s="33" t="n">
        <f aca="false">Y382+IF(Source_Data!Z$6=Inputs!$B$12,Inputs!$B$7,0)+Z377-Z380</f>
        <v>286.634988541666</v>
      </c>
      <c r="AA382" s="33" t="n">
        <f aca="false">Z382+IF(Source_Data!AA$6=Inputs!$B$12,Inputs!$B$7,0)+AA377-AA380</f>
        <v>306.306198125</v>
      </c>
      <c r="AB382" s="33" t="n">
        <f aca="false">AA382+IF(Source_Data!AB$6=Inputs!$B$12,Inputs!$B$7,0)+AB377-AB380</f>
        <v>357.352446875</v>
      </c>
      <c r="AC382" s="33" t="n">
        <f aca="false">AB382+IF(Source_Data!AC$6=Inputs!$B$12,Inputs!$B$7,0)+AC377-AC380</f>
        <v>408.398695624999</v>
      </c>
      <c r="AD382" s="33" t="n">
        <f aca="false">AC382+IF(Source_Data!AD$6=Inputs!$B$12,Inputs!$B$7,0)+AD377-AD380</f>
        <v>459.444944374999</v>
      </c>
      <c r="AE382" s="33" t="n">
        <f aca="false">AD382+IF(Source_Data!AE$6=Inputs!$B$12,Inputs!$B$7,0)+AE377-AE380</f>
        <v>510.491193124999</v>
      </c>
      <c r="AF382" s="33" t="n">
        <f aca="false">AE382+IF(Source_Data!AF$6=Inputs!$B$12,Inputs!$B$7,0)+AF377-AF380</f>
        <v>320.3458303125</v>
      </c>
      <c r="AG382" s="33" t="n">
        <f aca="false">AF382+IF(Source_Data!AG$6=Inputs!$B$12,Inputs!$B$7,0)+AG377-AG380</f>
        <v>348.16998703125</v>
      </c>
      <c r="AH382" s="33" t="n">
        <f aca="false">AG382+IF(Source_Data!AH$6=Inputs!$B$12,Inputs!$B$7,0)+AH377-AH380</f>
        <v>370.56713671875</v>
      </c>
      <c r="AI382" s="33" t="n">
        <f aca="false">AH382+IF(Source_Data!AI$6=Inputs!$B$12,Inputs!$B$7,0)+AI377-AI380</f>
        <v>390.794182499999</v>
      </c>
      <c r="AJ382" s="33" t="n">
        <f aca="false">AI382+IF(Source_Data!AJ$6=Inputs!$B$12,Inputs!$B$7,0)+AJ377-AJ380</f>
        <v>409.883408906249</v>
      </c>
      <c r="AK382" s="33" t="n">
        <f aca="false">AJ382+IF(Source_Data!AK$6=Inputs!$B$12,Inputs!$B$7,0)+AK377-AK380</f>
        <v>424.330499999999</v>
      </c>
      <c r="AL382" s="33" t="n">
        <f aca="false">AK382+IF(Source_Data!AL$6=Inputs!$B$12,Inputs!$B$7,0)+AL377-AL380</f>
        <v>436.261295624999</v>
      </c>
      <c r="AM382" s="33" t="n">
        <f aca="false">AL382+IF(Source_Data!AM$6=Inputs!$B$12,Inputs!$B$7,0)+AM377-AM380</f>
        <v>449.894626874999</v>
      </c>
      <c r="AN382" s="33" t="n">
        <f aca="false">AM382+IF(Source_Data!AN$6=Inputs!$B$12,Inputs!$B$7,0)+AN377-AN380</f>
        <v>453.970648124999</v>
      </c>
      <c r="AO382" s="33" t="n">
        <f aca="false">AN382+IF(Source_Data!AO$6=Inputs!$B$12,Inputs!$B$7,0)+AO377-AO380</f>
        <v>458.046669374999</v>
      </c>
      <c r="AP382" s="33" t="n">
        <f aca="false">AO382+IF(Source_Data!AP$6=Inputs!$B$12,Inputs!$B$7,0)+AP377-AP380</f>
        <v>465.292929374999</v>
      </c>
      <c r="AQ382" s="33" t="n">
        <f aca="false">AP382+IF(Source_Data!AQ$6=Inputs!$B$12,Inputs!$B$7,0)+AQ377-AQ380</f>
        <v>465.292929374999</v>
      </c>
      <c r="AR382" s="33" t="n">
        <f aca="false">AQ382+IF(Source_Data!AR$6=Inputs!$B$12,Inputs!$B$7,0)+AR377-AR380</f>
        <v>465.292929374999</v>
      </c>
      <c r="AS382" s="33" t="n">
        <f aca="false">AR382+IF(Source_Data!AS$6=Inputs!$B$12,Inputs!$B$7,0)+AS377-AS380</f>
        <v>465.292929374999</v>
      </c>
      <c r="AT382" s="33" t="n">
        <f aca="false">AS382+IF(Source_Data!AT$6=Inputs!$B$12,Inputs!$B$7,0)+AT377-AT380</f>
        <v>465.292929374999</v>
      </c>
      <c r="AU382" s="33" t="n">
        <f aca="false">AT382+IF(Source_Data!AU$6=Inputs!$B$12,Inputs!$B$7,0)+AU377-AU380</f>
        <v>465.292929374999</v>
      </c>
      <c r="AV382" s="33" t="n">
        <f aca="false">AU382+IF(Source_Data!AV$6=Inputs!$B$12,Inputs!$B$7,0)+AV377-AV380</f>
        <v>465.292929374999</v>
      </c>
      <c r="AW382" s="33" t="n">
        <f aca="false">AV382+IF(Source_Data!AW$6=Inputs!$B$12,Inputs!$B$7,0)+AW377-AW380</f>
        <v>465.292929374999</v>
      </c>
      <c r="AX382" s="33" t="n">
        <f aca="false">AW382+IF(Source_Data!AX$6=Inputs!$B$12,Inputs!$B$7,0)+AX377-AX380</f>
        <v>465.292929374999</v>
      </c>
      <c r="AY382" s="33" t="n">
        <f aca="false">AX382+IF(Source_Data!AY$6=Inputs!$B$12,Inputs!$B$7,0)+AY377-AY380</f>
        <v>465.292929374999</v>
      </c>
      <c r="AZ382" s="33" t="n">
        <f aca="false">AY382+IF(Source_Data!AZ$6=Inputs!$B$12,Inputs!$B$7,0)+AZ377-AZ380</f>
        <v>465.292929374999</v>
      </c>
      <c r="BA382" s="33" t="n">
        <f aca="false">AZ382+IF(Source_Data!BA$6=Inputs!$B$12,Inputs!$B$7,0)+BA377-BA380</f>
        <v>465.292929374999</v>
      </c>
      <c r="BB382" s="33" t="n">
        <f aca="false">BA382+IF(Source_Data!BB$6=Inputs!$B$12,Inputs!$B$7,0)+BB377-BB380</f>
        <v>465.292929374999</v>
      </c>
      <c r="BC382" s="33" t="n">
        <f aca="false">BB382+IF(Source_Data!BC$6=Inputs!$B$12,Inputs!$B$7,0)+BC377-BC380</f>
        <v>465.292929374999</v>
      </c>
      <c r="BD382" s="33" t="n">
        <f aca="false">BC382+IF(Source_Data!BD$6=Inputs!$B$12,Inputs!$B$7,0)+BD377-BD380</f>
        <v>465.292929374999</v>
      </c>
      <c r="BE382" s="33" t="n">
        <f aca="false">BD382+IF(Source_Data!BE$6=Inputs!$B$12,Inputs!$B$7,0)+BE377-BE380</f>
        <v>465.292929374999</v>
      </c>
      <c r="BF382" s="33" t="n">
        <f aca="false">BE382+IF(Source_Data!BF$6=Inputs!$B$12,Inputs!$B$7,0)+BF377-BF380</f>
        <v>465.292929374999</v>
      </c>
      <c r="BG382" s="33" t="n">
        <f aca="false">BF382+IF(Source_Data!BG$6=Inputs!$B$12,Inputs!$B$7,0)+BG377-BG380</f>
        <v>465.292929374999</v>
      </c>
      <c r="BH382" s="33" t="n">
        <f aca="false">BG382+IF(Source_Data!BH$6=Inputs!$B$12,Inputs!$B$7,0)+BH377-BH380</f>
        <v>465.292929374999</v>
      </c>
      <c r="BI382" s="33" t="n">
        <f aca="false">BH382+IF(Source_Data!BI$6=Inputs!$B$12,Inputs!$B$7,0)+BI377-BI380</f>
        <v>465.292929374999</v>
      </c>
      <c r="BJ382" s="33" t="n">
        <f aca="false">BI382+IF(Source_Data!BJ$6=Inputs!$B$12,Inputs!$B$7,0)+BJ377-BJ380</f>
        <v>465.292929374999</v>
      </c>
      <c r="BK382" s="33" t="n">
        <f aca="false">BJ382+IF(Source_Data!BK$6=Inputs!$B$12,Inputs!$B$7,0)+BK377-BK380</f>
        <v>465.292929374999</v>
      </c>
    </row>
    <row r="383" customFormat="false" ht="15" hidden="false" customHeight="false" outlineLevel="0" collapsed="false">
      <c r="A383" s="3" t="s">
        <v>344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1.84452573913043</v>
      </c>
      <c r="Q383" s="31" t="n">
        <f aca="false">IF(Q380&gt;0,Q377/Q380,"")</f>
        <v>2.37574310869565</v>
      </c>
      <c r="R383" s="31" t="n">
        <f aca="false">IF(R380&gt;0,R377/R380,"")</f>
        <v>-4.01202352173913</v>
      </c>
      <c r="S383" s="31" t="n">
        <f aca="false">IF(S380&gt;0,S377/S380,"")</f>
        <v>25.1110960434783</v>
      </c>
      <c r="T383" s="31" t="n">
        <f aca="false">IF(T380&gt;0,T377/T380,"")</f>
        <v>-3.66209360869565</v>
      </c>
      <c r="U383" s="31" t="n">
        <f aca="false">IF(U380&gt;0,U377/U380,"")</f>
        <v>-3.92262926086957</v>
      </c>
      <c r="V383" s="31" t="n">
        <f aca="false">IF(V380&gt;0,V377/V380,"")</f>
        <v>2.01451578260869</v>
      </c>
      <c r="W383" s="31" t="n">
        <f aca="false">IF(W380&gt;0,W377/W380,"")</f>
        <v>1.91999934782609</v>
      </c>
      <c r="X383" s="31" t="n">
        <f aca="false">IF(X380&gt;0,X377/X380,"")</f>
        <v>3.29811456521739</v>
      </c>
      <c r="Y383" s="31" t="n">
        <f aca="false">IF(Y380&gt;0,Y377/Y380,"")</f>
        <v>2.85805888043478</v>
      </c>
      <c r="Z383" s="31" t="n">
        <f aca="false">IF(Z380&gt;0,Z377/Z380,"")</f>
        <v>2.48626506521739</v>
      </c>
      <c r="AA383" s="31" t="n">
        <f aca="false">IF(AA380&gt;0,AA377/AA380,"")</f>
        <v>2.02632397826087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345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-2.51217743478261</v>
      </c>
      <c r="Q384" s="31" t="n">
        <f aca="false">IF(Q380&gt;0,(P382+Q377+IF(Source_Data!Q$6=Inputs!$B$12,Inputs!$B$7,0))/Q380,"")</f>
        <v>-1.13643432608696</v>
      </c>
      <c r="R384" s="31" t="n">
        <f aca="false">IF(R380&gt;0,(Q382+R377+IF(Source_Data!R$6=Inputs!$B$12,Inputs!$B$7,0))/R380,"")</f>
        <v>-6.14845784782609</v>
      </c>
      <c r="S384" s="31" t="n">
        <f aca="false">IF(S380&gt;0,(R382+S377+IF(Source_Data!S$6=Inputs!$B$12,Inputs!$B$7,0))/S380,"")</f>
        <v>17.9626381956522</v>
      </c>
      <c r="T384" s="31" t="n">
        <f aca="false">IF(T380&gt;0,(S382+T377+IF(Source_Data!T$6=Inputs!$B$12,Inputs!$B$7,0))/T380,"")</f>
        <v>13.3005445869565</v>
      </c>
      <c r="U384" s="31" t="n">
        <f aca="false">IF(U380&gt;0,(T382+U377+IF(Source_Data!U$6=Inputs!$B$12,Inputs!$B$7,0))/U380,"")</f>
        <v>8.37791532608694</v>
      </c>
      <c r="V384" s="31" t="n">
        <f aca="false">IF(V380&gt;0,(U382+V377+IF(Source_Data!V$6=Inputs!$B$12,Inputs!$B$7,0))/V380,"")</f>
        <v>9.39243110869563</v>
      </c>
      <c r="W384" s="31" t="n">
        <f aca="false">IF(W380&gt;0,(V382+W377+IF(Source_Data!W$6=Inputs!$B$12,Inputs!$B$7,0))/W380,"")</f>
        <v>10.3124304565217</v>
      </c>
      <c r="X384" s="31" t="n">
        <f aca="false">IF(X380&gt;0,(W382+X377+IF(Source_Data!X$6=Inputs!$B$12,Inputs!$B$7,0))/X380,"")</f>
        <v>12.6105450217391</v>
      </c>
      <c r="Y384" s="31" t="n">
        <f aca="false">IF(Y380&gt;0,(X382+Y377+IF(Source_Data!Y$6=Inputs!$B$12,Inputs!$B$7,0))/Y380,"")</f>
        <v>14.4686039021739</v>
      </c>
      <c r="Z384" s="31" t="n">
        <f aca="false">IF(Z380&gt;0,(Y382+Z377+IF(Source_Data!Z$6=Inputs!$B$12,Inputs!$B$7,0))/Z380,"")</f>
        <v>15.9548689673913</v>
      </c>
      <c r="AA384" s="31" t="n">
        <f aca="false">IF(AA380&gt;0,(Z382+AA377+IF(Source_Data!AA$6=Inputs!$B$12,Inputs!$B$7,0))/AA380,"")</f>
        <v>16.9811929456522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220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346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162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347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348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349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350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351</v>
      </c>
      <c r="B393" s="41" t="n">
        <f aca="false">MIN(D382:BK382)</f>
        <v>-137.01210875</v>
      </c>
    </row>
    <row r="394" customFormat="false" ht="15" hidden="false" customHeight="false" outlineLevel="0" collapsed="false">
      <c r="A394" s="2" t="s">
        <v>352</v>
      </c>
      <c r="B394" s="43" t="n">
        <f aca="false">MIN(D383:BK383)</f>
        <v>-4.01202352173913</v>
      </c>
    </row>
    <row r="395" customFormat="false" ht="15" hidden="false" customHeight="false" outlineLevel="0" collapsed="false">
      <c r="A395" s="2" t="s">
        <v>353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354</v>
      </c>
      <c r="B396" s="43" t="n">
        <f aca="false">MIN(D384:BK384)</f>
        <v>-6.14845784782609</v>
      </c>
    </row>
    <row r="397" customFormat="false" ht="15" hidden="false" customHeight="false" outlineLevel="0" collapsed="false">
      <c r="A397" s="2" t="s">
        <v>355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369</v>
      </c>
    </row>
    <row r="401" customFormat="false" ht="15" hidden="false" customHeight="false" outlineLevel="0" collapsed="false">
      <c r="A401" s="3" t="s">
        <v>331</v>
      </c>
      <c r="B401" s="45" t="n">
        <v>1</v>
      </c>
    </row>
    <row r="402" customFormat="false" ht="15" hidden="false" customHeight="false" outlineLevel="0" collapsed="false">
      <c r="A402" s="3" t="s">
        <v>332</v>
      </c>
      <c r="B402" s="45" t="n">
        <v>0</v>
      </c>
    </row>
    <row r="403" customFormat="false" ht="15" hidden="false" customHeight="false" outlineLevel="0" collapsed="false">
      <c r="A403" s="3" t="s">
        <v>333</v>
      </c>
      <c r="B403" s="45" t="n">
        <v>1</v>
      </c>
    </row>
    <row r="404" customFormat="false" ht="15" hidden="false" customHeight="false" outlineLevel="0" collapsed="false">
      <c r="A404" s="3" t="s">
        <v>334</v>
      </c>
      <c r="B404" s="45" t="n">
        <v>2</v>
      </c>
    </row>
    <row r="405" customFormat="false" ht="15" hidden="false" customHeight="false" outlineLevel="0" collapsed="false">
      <c r="A405" s="3" t="s">
        <v>335</v>
      </c>
      <c r="B405" s="45" t="n">
        <v>0</v>
      </c>
    </row>
    <row r="406" customFormat="false" ht="15" hidden="false" customHeight="false" outlineLevel="0" collapsed="false">
      <c r="A406" s="3" t="s">
        <v>336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337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338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339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194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196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215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216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217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340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-100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71.8518518518519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71.8518518518519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71.8518518518519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71.8518518518519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341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19.1666666666667</v>
      </c>
      <c r="Z416" s="33" t="n">
        <f aca="false">IF(AND(Source_Data!Z$6&gt;=Inputs!$B$54,Source_Data!Z$6&lt;Inputs!$B$54+3*Inputs!$B$11),Inputs!$B$9*Inputs!$B$7/Inputs!$B$11,0)</f>
        <v>19.1666666666667</v>
      </c>
      <c r="AA416" s="33" t="n">
        <f aca="false">IF(AND(Source_Data!AA$6&gt;=Inputs!$B$54,Source_Data!AA$6&lt;Inputs!$B$54+3*Inputs!$B$11),Inputs!$B$9*Inputs!$B$7/Inputs!$B$11,0)</f>
        <v>19.1666666666667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342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-100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19.1666666666667</v>
      </c>
      <c r="Z417" s="33" t="n">
        <f aca="false">IF(Source_Data!Z$6=Inputs!$B$12,-Inputs!$B$7,0)+Z416</f>
        <v>19.1666666666667</v>
      </c>
      <c r="AA417" s="33" t="n">
        <f aca="false">IF(Source_Data!AA$6=Inputs!$B$12,-Inputs!$B$7,0)+AA416</f>
        <v>19.1666666666667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343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15</v>
      </c>
      <c r="H418" s="33" t="n">
        <f aca="false">G418+IF(Source_Data!H$6=Inputs!$B$12,Inputs!$B$7,0)+H413-H416</f>
        <v>-7.5</v>
      </c>
      <c r="I418" s="33" t="n">
        <f aca="false">H418+IF(Source_Data!I$6=Inputs!$B$12,Inputs!$B$7,0)+I413-I416</f>
        <v>-30</v>
      </c>
      <c r="J418" s="33" t="n">
        <f aca="false">I418+IF(Source_Data!J$6=Inputs!$B$12,Inputs!$B$7,0)+J413-J416</f>
        <v>-57.38435</v>
      </c>
      <c r="K418" s="33" t="n">
        <f aca="false">J418+IF(Source_Data!K$6=Inputs!$B$12,Inputs!$B$7,0)+K413-K416</f>
        <v>-74.01305</v>
      </c>
      <c r="L418" s="33" t="n">
        <f aca="false">K418+IF(Source_Data!L$6=Inputs!$B$12,Inputs!$B$7,0)+L413-L416</f>
        <v>-121.244745</v>
      </c>
      <c r="M418" s="33" t="n">
        <f aca="false">L418+IF(Source_Data!M$6=Inputs!$B$12,Inputs!$B$7,0)+M413-M416</f>
        <v>-142.078875</v>
      </c>
      <c r="N418" s="33" t="n">
        <f aca="false">M418+IF(Source_Data!N$6=Inputs!$B$12,Inputs!$B$7,0)+N413-N416</f>
        <v>-162.78627</v>
      </c>
      <c r="O418" s="33" t="n">
        <f aca="false">N418+IF(Source_Data!O$6=Inputs!$B$12,Inputs!$B$7,0)+O413-O416</f>
        <v>-172.3745325</v>
      </c>
      <c r="P418" s="33" t="n">
        <f aca="false">O418+IF(Source_Data!P$6=Inputs!$B$12,Inputs!$B$7,0)+P413-P416</f>
        <v>-172.924264166667</v>
      </c>
      <c r="Q418" s="33" t="n">
        <f aca="false">P418+IF(Source_Data!Q$6=Inputs!$B$12,Inputs!$B$7,0)+Q413-Q416</f>
        <v>-156.200760833333</v>
      </c>
      <c r="R418" s="33" t="n">
        <f aca="false">Q418+IF(Source_Data!R$6=Inputs!$B$12,Inputs!$B$7,0)+R413-R416</f>
        <v>-261.90945125</v>
      </c>
      <c r="S418" s="33" t="n">
        <f aca="false">R418+IF(Source_Data!S$6=Inputs!$B$12,Inputs!$B$7,0)+S413-S416</f>
        <v>-357.973235416667</v>
      </c>
      <c r="T418" s="33" t="n">
        <f aca="false">S418+IF(Source_Data!T$6=Inputs!$B$12,Inputs!$B$7,0)+T413-T416</f>
        <v>64.1202454166665</v>
      </c>
      <c r="U418" s="33" t="n">
        <f aca="false">T418+IF(Source_Data!U$6=Inputs!$B$12,Inputs!$B$7,0)+U413-U416</f>
        <v>28.8134512499998</v>
      </c>
      <c r="V418" s="33" t="n">
        <f aca="false">U418+IF(Source_Data!V$6=Inputs!$B$12,Inputs!$B$7,0)+V413-V416</f>
        <v>71.517937083333</v>
      </c>
      <c r="W418" s="33" t="n">
        <f aca="false">V418+IF(Source_Data!W$6=Inputs!$B$12,Inputs!$B$7,0)+W413-W416</f>
        <v>90.9628229166663</v>
      </c>
      <c r="X418" s="33" t="n">
        <f aca="false">W418+IF(Source_Data!X$6=Inputs!$B$12,Inputs!$B$7,0)+X413-X416</f>
        <v>136.82158375</v>
      </c>
      <c r="Y418" s="33" t="n">
        <f aca="false">X418+IF(Source_Data!Y$6=Inputs!$B$12,Inputs!$B$7,0)+Y413-Y416</f>
        <v>180.868779583333</v>
      </c>
      <c r="Z418" s="33" t="n">
        <f aca="false">Y418+IF(Source_Data!Z$6=Inputs!$B$12,Inputs!$B$7,0)+Z413-Z416</f>
        <v>216.481574791666</v>
      </c>
      <c r="AA418" s="33" t="n">
        <f aca="false">Z418+IF(Source_Data!AA$6=Inputs!$B$12,Inputs!$B$7,0)+AA413-AA416</f>
        <v>244.968321875</v>
      </c>
      <c r="AB418" s="33" t="n">
        <f aca="false">AA418+IF(Source_Data!AB$6=Inputs!$B$12,Inputs!$B$7,0)+AB413-AB416</f>
        <v>306.306198125</v>
      </c>
      <c r="AC418" s="33" t="n">
        <f aca="false">AB418+IF(Source_Data!AC$6=Inputs!$B$12,Inputs!$B$7,0)+AC413-AC416</f>
        <v>357.352446875</v>
      </c>
      <c r="AD418" s="33" t="n">
        <f aca="false">AC418+IF(Source_Data!AD$6=Inputs!$B$12,Inputs!$B$7,0)+AD413-AD416</f>
        <v>408.398695625</v>
      </c>
      <c r="AE418" s="33" t="n">
        <f aca="false">AD418+IF(Source_Data!AE$6=Inputs!$B$12,Inputs!$B$7,0)+AE413-AE416</f>
        <v>459.444944375</v>
      </c>
      <c r="AF418" s="33" t="n">
        <f aca="false">AE418+IF(Source_Data!AF$6=Inputs!$B$12,Inputs!$B$7,0)+AF413-AF416</f>
        <v>269.2995815625</v>
      </c>
      <c r="AG418" s="33" t="n">
        <f aca="false">AF418+IF(Source_Data!AG$6=Inputs!$B$12,Inputs!$B$7,0)+AG413-AG416</f>
        <v>304.23860390625</v>
      </c>
      <c r="AH418" s="33" t="n">
        <f aca="false">AG418+IF(Source_Data!AH$6=Inputs!$B$12,Inputs!$B$7,0)+AH413-AH416</f>
        <v>333.75061921875</v>
      </c>
      <c r="AI418" s="33" t="n">
        <f aca="false">AH418+IF(Source_Data!AI$6=Inputs!$B$12,Inputs!$B$7,0)+AI413-AI416</f>
        <v>357.8356275</v>
      </c>
      <c r="AJ418" s="33" t="n">
        <f aca="false">AI418+IF(Source_Data!AJ$6=Inputs!$B$12,Inputs!$B$7,0)+AJ413-AJ416</f>
        <v>380.78281640625</v>
      </c>
      <c r="AK418" s="33" t="n">
        <f aca="false">AJ418+IF(Source_Data!AK$6=Inputs!$B$12,Inputs!$B$7,0)+AK413-AK416</f>
        <v>401.4473775</v>
      </c>
      <c r="AL418" s="33" t="n">
        <f aca="false">AK418+IF(Source_Data!AL$6=Inputs!$B$12,Inputs!$B$7,0)+AL413-AL416</f>
        <v>416.978938125</v>
      </c>
      <c r="AM418" s="33" t="n">
        <f aca="false">AL418+IF(Source_Data!AM$6=Inputs!$B$12,Inputs!$B$7,0)+AM413-AM416</f>
        <v>433.091056875</v>
      </c>
      <c r="AN418" s="33" t="n">
        <f aca="false">AM418+IF(Source_Data!AN$6=Inputs!$B$12,Inputs!$B$7,0)+AN413-AN416</f>
        <v>446.724388125</v>
      </c>
      <c r="AO418" s="33" t="n">
        <f aca="false">AN418+IF(Source_Data!AO$6=Inputs!$B$12,Inputs!$B$7,0)+AO413-AO416</f>
        <v>450.800409375</v>
      </c>
      <c r="AP418" s="33" t="n">
        <f aca="false">AO418+IF(Source_Data!AP$6=Inputs!$B$12,Inputs!$B$7,0)+AP413-AP416</f>
        <v>458.046669375</v>
      </c>
      <c r="AQ418" s="33" t="n">
        <f aca="false">AP418+IF(Source_Data!AQ$6=Inputs!$B$12,Inputs!$B$7,0)+AQ413-AQ416</f>
        <v>465.292929375</v>
      </c>
      <c r="AR418" s="33" t="n">
        <f aca="false">AQ418+IF(Source_Data!AR$6=Inputs!$B$12,Inputs!$B$7,0)+AR413-AR416</f>
        <v>465.292929375</v>
      </c>
      <c r="AS418" s="33" t="n">
        <f aca="false">AR418+IF(Source_Data!AS$6=Inputs!$B$12,Inputs!$B$7,0)+AS413-AS416</f>
        <v>465.292929375</v>
      </c>
      <c r="AT418" s="33" t="n">
        <f aca="false">AS418+IF(Source_Data!AT$6=Inputs!$B$12,Inputs!$B$7,0)+AT413-AT416</f>
        <v>465.292929375</v>
      </c>
      <c r="AU418" s="33" t="n">
        <f aca="false">AT418+IF(Source_Data!AU$6=Inputs!$B$12,Inputs!$B$7,0)+AU413-AU416</f>
        <v>465.292929375</v>
      </c>
      <c r="AV418" s="33" t="n">
        <f aca="false">AU418+IF(Source_Data!AV$6=Inputs!$B$12,Inputs!$B$7,0)+AV413-AV416</f>
        <v>465.292929375</v>
      </c>
      <c r="AW418" s="33" t="n">
        <f aca="false">AV418+IF(Source_Data!AW$6=Inputs!$B$12,Inputs!$B$7,0)+AW413-AW416</f>
        <v>465.292929375</v>
      </c>
      <c r="AX418" s="33" t="n">
        <f aca="false">AW418+IF(Source_Data!AX$6=Inputs!$B$12,Inputs!$B$7,0)+AX413-AX416</f>
        <v>465.292929375</v>
      </c>
      <c r="AY418" s="33" t="n">
        <f aca="false">AX418+IF(Source_Data!AY$6=Inputs!$B$12,Inputs!$B$7,0)+AY413-AY416</f>
        <v>465.292929375</v>
      </c>
      <c r="AZ418" s="33" t="n">
        <f aca="false">AY418+IF(Source_Data!AZ$6=Inputs!$B$12,Inputs!$B$7,0)+AZ413-AZ416</f>
        <v>465.292929375</v>
      </c>
      <c r="BA418" s="33" t="n">
        <f aca="false">AZ418+IF(Source_Data!BA$6=Inputs!$B$12,Inputs!$B$7,0)+BA413-BA416</f>
        <v>465.292929375</v>
      </c>
      <c r="BB418" s="33" t="n">
        <f aca="false">BA418+IF(Source_Data!BB$6=Inputs!$B$12,Inputs!$B$7,0)+BB413-BB416</f>
        <v>465.292929375</v>
      </c>
      <c r="BC418" s="33" t="n">
        <f aca="false">BB418+IF(Source_Data!BC$6=Inputs!$B$12,Inputs!$B$7,0)+BC413-BC416</f>
        <v>465.292929375</v>
      </c>
      <c r="BD418" s="33" t="n">
        <f aca="false">BC418+IF(Source_Data!BD$6=Inputs!$B$12,Inputs!$B$7,0)+BD413-BD416</f>
        <v>465.292929375</v>
      </c>
      <c r="BE418" s="33" t="n">
        <f aca="false">BD418+IF(Source_Data!BE$6=Inputs!$B$12,Inputs!$B$7,0)+BE413-BE416</f>
        <v>465.292929375</v>
      </c>
      <c r="BF418" s="33" t="n">
        <f aca="false">BE418+IF(Source_Data!BF$6=Inputs!$B$12,Inputs!$B$7,0)+BF413-BF416</f>
        <v>465.292929375</v>
      </c>
      <c r="BG418" s="33" t="n">
        <f aca="false">BF418+IF(Source_Data!BG$6=Inputs!$B$12,Inputs!$B$7,0)+BG413-BG416</f>
        <v>465.292929375</v>
      </c>
      <c r="BH418" s="33" t="n">
        <f aca="false">BG418+IF(Source_Data!BH$6=Inputs!$B$12,Inputs!$B$7,0)+BH413-BH416</f>
        <v>465.292929375</v>
      </c>
      <c r="BI418" s="33" t="n">
        <f aca="false">BH418+IF(Source_Data!BI$6=Inputs!$B$12,Inputs!$B$7,0)+BI413-BI416</f>
        <v>465.292929375</v>
      </c>
      <c r="BJ418" s="33" t="n">
        <f aca="false">BI418+IF(Source_Data!BJ$6=Inputs!$B$12,Inputs!$B$7,0)+BJ413-BJ416</f>
        <v>465.292929375</v>
      </c>
      <c r="BK418" s="33" t="n">
        <f aca="false">BJ418+IF(Source_Data!BK$6=Inputs!$B$12,Inputs!$B$7,0)+BK413-BK416</f>
        <v>465.292929375</v>
      </c>
    </row>
    <row r="419" customFormat="false" ht="15" hidden="false" customHeight="false" outlineLevel="0" collapsed="false">
      <c r="A419" s="3" t="s">
        <v>344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0.971318347826088</v>
      </c>
      <c r="Q419" s="31" t="n">
        <f aca="false">IF(Q416&gt;0,Q413/Q416,"")</f>
        <v>1.87253060869565</v>
      </c>
      <c r="R419" s="31" t="n">
        <f aca="false">IF(R416&gt;0,R413/R416,"")</f>
        <v>-4.51523602173913</v>
      </c>
      <c r="S419" s="31" t="n">
        <f aca="false">IF(S416&gt;0,S413/S416,"")</f>
        <v>-4.01202352173913</v>
      </c>
      <c r="T419" s="31" t="n">
        <f aca="false">IF(T416&gt;0,T413/T416,"")</f>
        <v>23.0222685652174</v>
      </c>
      <c r="U419" s="31" t="n">
        <f aca="false">IF(U416&gt;0,U413/U416,"")</f>
        <v>-0.842093608695653</v>
      </c>
      <c r="V419" s="31" t="n">
        <f aca="false">IF(V416&gt;0,V413/V416,"")</f>
        <v>3.22806013043478</v>
      </c>
      <c r="W419" s="31" t="n">
        <f aca="false">IF(W416&gt;0,W413/W416,"")</f>
        <v>2.01451578260869</v>
      </c>
      <c r="X419" s="31" t="n">
        <f aca="false">IF(X416&gt;0,X413/X416,"")</f>
        <v>3.392631</v>
      </c>
      <c r="Y419" s="31" t="n">
        <f aca="false">IF(Y416&gt;0,Y413/Y416,"")</f>
        <v>3.29811456521739</v>
      </c>
      <c r="Z419" s="31" t="n">
        <f aca="false">IF(Z416&gt;0,Z413/Z416,"")</f>
        <v>2.85805888043478</v>
      </c>
      <c r="AA419" s="31" t="n">
        <f aca="false">IF(AA416&gt;0,AA413/AA416,"")</f>
        <v>2.48626506521739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345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-8.02213552173913</v>
      </c>
      <c r="Q420" s="31" t="n">
        <f aca="false">IF(Q416&gt;0,(P418+Q413+IF(Source_Data!Q$6=Inputs!$B$12,Inputs!$B$7,0))/Q416,"")</f>
        <v>-7.14960491304348</v>
      </c>
      <c r="R420" s="31" t="n">
        <f aca="false">IF(R416&gt;0,(Q418+R413+IF(Source_Data!R$6=Inputs!$B$12,Inputs!$B$7,0))/R416,"")</f>
        <v>-12.6648409347826</v>
      </c>
      <c r="S420" s="31" t="n">
        <f aca="false">IF(S416&gt;0,(R418+S413+IF(Source_Data!S$6=Inputs!$B$12,Inputs!$B$7,0))/S416,"")</f>
        <v>-17.6768644565217</v>
      </c>
      <c r="T420" s="31" t="n">
        <f aca="false">IF(T416&gt;0,(S418+T413+IF(Source_Data!T$6=Inputs!$B$12,Inputs!$B$7,0))/T416,"")</f>
        <v>4.34540410869564</v>
      </c>
      <c r="U420" s="31" t="n">
        <f aca="false">IF(U416&gt;0,(T418+U413+IF(Source_Data!U$6=Inputs!$B$12,Inputs!$B$7,0))/U416,"")</f>
        <v>2.50331049999999</v>
      </c>
      <c r="V420" s="31" t="n">
        <f aca="false">IF(V416&gt;0,(U418+V413+IF(Source_Data!V$6=Inputs!$B$12,Inputs!$B$7,0))/V416,"")</f>
        <v>4.73137063043477</v>
      </c>
      <c r="W420" s="31" t="n">
        <f aca="false">IF(W416&gt;0,(V418+W413+IF(Source_Data!W$6=Inputs!$B$12,Inputs!$B$7,0))/W416,"")</f>
        <v>5.74588641304346</v>
      </c>
      <c r="X420" s="31" t="n">
        <f aca="false">IF(X416&gt;0,(W418+X413+IF(Source_Data!X$6=Inputs!$B$12,Inputs!$B$7,0))/X416,"")</f>
        <v>8.13851741304346</v>
      </c>
      <c r="Y420" s="31" t="n">
        <f aca="false">IF(Y416&gt;0,(X418+Y413+IF(Source_Data!Y$6=Inputs!$B$12,Inputs!$B$7,0))/Y416,"")</f>
        <v>10.4366319782609</v>
      </c>
      <c r="Z420" s="31" t="n">
        <f aca="false">IF(Z416&gt;0,(Y418+Z413+IF(Source_Data!Z$6=Inputs!$B$12,Inputs!$B$7,0))/Z416,"")</f>
        <v>12.2946908586956</v>
      </c>
      <c r="AA420" s="31" t="n">
        <f aca="false">IF(AA416&gt;0,(Z418+AA413+IF(Source_Data!AA$6=Inputs!$B$12,Inputs!$B$7,0))/AA416,"")</f>
        <v>13.780955923913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220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346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162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347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348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349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350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351</v>
      </c>
      <c r="B429" s="41" t="n">
        <f aca="false">MIN(D418:BK418)</f>
        <v>-357.973235416667</v>
      </c>
    </row>
    <row r="430" customFormat="false" ht="15" hidden="false" customHeight="false" outlineLevel="0" collapsed="false">
      <c r="A430" s="2" t="s">
        <v>352</v>
      </c>
      <c r="B430" s="43" t="n">
        <f aca="false">MIN(D419:BK419)</f>
        <v>-4.51523602173913</v>
      </c>
    </row>
    <row r="431" customFormat="false" ht="15" hidden="false" customHeight="false" outlineLevel="0" collapsed="false">
      <c r="A431" s="2" t="s">
        <v>353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354</v>
      </c>
      <c r="B432" s="43" t="n">
        <f aca="false">MIN(D420:BK420)</f>
        <v>-17.6768644565217</v>
      </c>
    </row>
    <row r="433" customFormat="false" ht="15" hidden="false" customHeight="false" outlineLevel="0" collapsed="false">
      <c r="A433" s="2" t="s">
        <v>355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370</v>
      </c>
    </row>
    <row r="437" customFormat="false" ht="15" hidden="false" customHeight="false" outlineLevel="0" collapsed="false">
      <c r="A437" s="3" t="s">
        <v>331</v>
      </c>
      <c r="B437" s="45" t="n">
        <v>1</v>
      </c>
    </row>
    <row r="438" customFormat="false" ht="15" hidden="false" customHeight="false" outlineLevel="0" collapsed="false">
      <c r="A438" s="3" t="s">
        <v>332</v>
      </c>
      <c r="B438" s="45" t="n">
        <v>0</v>
      </c>
    </row>
    <row r="439" customFormat="false" ht="15" hidden="false" customHeight="false" outlineLevel="0" collapsed="false">
      <c r="A439" s="3" t="s">
        <v>333</v>
      </c>
      <c r="B439" s="45" t="n">
        <v>1</v>
      </c>
    </row>
    <row r="440" customFormat="false" ht="15" hidden="false" customHeight="false" outlineLevel="0" collapsed="false">
      <c r="A440" s="3" t="s">
        <v>334</v>
      </c>
      <c r="B440" s="45" t="n">
        <v>4</v>
      </c>
    </row>
    <row r="441" customFormat="false" ht="15" hidden="false" customHeight="false" outlineLevel="0" collapsed="false">
      <c r="A441" s="3" t="s">
        <v>335</v>
      </c>
      <c r="B441" s="45" t="n">
        <v>0</v>
      </c>
    </row>
    <row r="442" customFormat="false" ht="15" hidden="false" customHeight="false" outlineLevel="0" collapsed="false">
      <c r="A442" s="3" t="s">
        <v>336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337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338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339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194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196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215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216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217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340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-100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71.8518518518519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71.8518518518519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71.8518518518519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71.8518518518519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341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19.1666666666667</v>
      </c>
      <c r="Z452" s="33" t="n">
        <f aca="false">IF(AND(Source_Data!Z$6&gt;=Inputs!$B$54,Source_Data!Z$6&lt;Inputs!$B$54+3*Inputs!$B$11),Inputs!$B$9*Inputs!$B$7/Inputs!$B$11,0)</f>
        <v>19.1666666666667</v>
      </c>
      <c r="AA452" s="33" t="n">
        <f aca="false">IF(AND(Source_Data!AA$6&gt;=Inputs!$B$54,Source_Data!AA$6&lt;Inputs!$B$54+3*Inputs!$B$11),Inputs!$B$9*Inputs!$B$7/Inputs!$B$11,0)</f>
        <v>19.1666666666667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342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-100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19.1666666666667</v>
      </c>
      <c r="Z453" s="33" t="n">
        <f aca="false">IF(Source_Data!Z$6=Inputs!$B$12,-Inputs!$B$7,0)+Z452</f>
        <v>19.1666666666667</v>
      </c>
      <c r="AA453" s="33" t="n">
        <f aca="false">IF(Source_Data!AA$6=Inputs!$B$12,-Inputs!$B$7,0)+AA452</f>
        <v>19.1666666666667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343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15</v>
      </c>
      <c r="H454" s="33" t="n">
        <f aca="false">G454+IF(Source_Data!H$6=Inputs!$B$12,Inputs!$B$7,0)+H449-H452</f>
        <v>-7.5</v>
      </c>
      <c r="I454" s="33" t="n">
        <f aca="false">H454+IF(Source_Data!I$6=Inputs!$B$12,Inputs!$B$7,0)+I449-I452</f>
        <v>-30</v>
      </c>
      <c r="J454" s="33" t="n">
        <f aca="false">I454+IF(Source_Data!J$6=Inputs!$B$12,Inputs!$B$7,0)+J449-J452</f>
        <v>-75.5</v>
      </c>
      <c r="K454" s="33" t="n">
        <f aca="false">J454+IF(Source_Data!K$6=Inputs!$B$12,Inputs!$B$7,0)+K449-K452</f>
        <v>-128.36</v>
      </c>
      <c r="L454" s="33" t="n">
        <f aca="false">K454+IF(Source_Data!L$6=Inputs!$B$12,Inputs!$B$7,0)+L449-L452</f>
        <v>-215.73687</v>
      </c>
      <c r="M454" s="33" t="n">
        <f aca="false">L454+IF(Source_Data!M$6=Inputs!$B$12,Inputs!$B$7,0)+M449-M452</f>
        <v>-269.35809</v>
      </c>
      <c r="N454" s="33" t="n">
        <f aca="false">M454+IF(Source_Data!N$6=Inputs!$B$12,Inputs!$B$7,0)+N449-N452</f>
        <v>-298.892205</v>
      </c>
      <c r="O454" s="33" t="n">
        <f aca="false">N454+IF(Source_Data!O$6=Inputs!$B$12,Inputs!$B$7,0)+O449-O452</f>
        <v>-312.435345</v>
      </c>
      <c r="P454" s="33" t="n">
        <f aca="false">O454+IF(Source_Data!P$6=Inputs!$B$12,Inputs!$B$7,0)+P449-P452</f>
        <v>-334.768586666667</v>
      </c>
      <c r="Q454" s="33" t="n">
        <f aca="false">P454+IF(Source_Data!Q$6=Inputs!$B$12,Inputs!$B$7,0)+Q449-Q452</f>
        <v>-350.679345833333</v>
      </c>
      <c r="R454" s="33" t="n">
        <f aca="false">Q454+IF(Source_Data!R$6=Inputs!$B$12,Inputs!$B$7,0)+R449-R452</f>
        <v>-482.7694175</v>
      </c>
      <c r="S454" s="33" t="n">
        <f aca="false">R454+IF(Source_Data!S$6=Inputs!$B$12,Inputs!$B$7,0)+S449-S452</f>
        <v>-598.123014166667</v>
      </c>
      <c r="T454" s="33" t="n">
        <f aca="false">S454+IF(Source_Data!T$6=Inputs!$B$12,Inputs!$B$7,0)+T449-T452</f>
        <v>-743.867564583333</v>
      </c>
      <c r="U454" s="33" t="n">
        <f aca="false">T454+IF(Source_Data!U$6=Inputs!$B$12,Inputs!$B$7,0)+U449-U452</f>
        <v>-825.91720875</v>
      </c>
      <c r="V454" s="33" t="n">
        <f aca="false">U454+IF(Source_Data!V$6=Inputs!$B$12,Inputs!$B$7,0)+V449-V452</f>
        <v>-212.718847916667</v>
      </c>
      <c r="W454" s="33" t="n">
        <f aca="false">V454+IF(Source_Data!W$6=Inputs!$B$12,Inputs!$B$7,0)+W449-W452</f>
        <v>-110.970762083334</v>
      </c>
      <c r="X454" s="33" t="n">
        <f aca="false">W454+IF(Source_Data!X$6=Inputs!$B$12,Inputs!$B$7,0)+X449-X452</f>
        <v>-40.0408362500003</v>
      </c>
      <c r="Y454" s="33" t="n">
        <f aca="false">X454+IF(Source_Data!Y$6=Inputs!$B$12,Inputs!$B$7,0)+Y449-Y452</f>
        <v>7.62948958333296</v>
      </c>
      <c r="Z454" s="33" t="n">
        <f aca="false">Y454+IF(Source_Data!Z$6=Inputs!$B$12,Inputs!$B$7,0)+Z449-Z452</f>
        <v>53.4882504166663</v>
      </c>
      <c r="AA454" s="33" t="n">
        <f aca="false">Z454+IF(Source_Data!AA$6=Inputs!$B$12,Inputs!$B$7,0)+AA449-AA452</f>
        <v>97.5354462499996</v>
      </c>
      <c r="AB454" s="33" t="n">
        <f aca="false">AA454+IF(Source_Data!AB$6=Inputs!$B$12,Inputs!$B$7,0)+AB449-AB452</f>
        <v>174.814908125</v>
      </c>
      <c r="AC454" s="33" t="n">
        <f aca="false">AB454+IF(Source_Data!AC$6=Inputs!$B$12,Inputs!$B$7,0)+AC449-AC452</f>
        <v>244.968321875</v>
      </c>
      <c r="AD454" s="33" t="n">
        <f aca="false">AC454+IF(Source_Data!AD$6=Inputs!$B$12,Inputs!$B$7,0)+AD449-AD452</f>
        <v>306.306198125</v>
      </c>
      <c r="AE454" s="33" t="n">
        <f aca="false">AD454+IF(Source_Data!AE$6=Inputs!$B$12,Inputs!$B$7,0)+AE449-AE452</f>
        <v>357.352446875</v>
      </c>
      <c r="AF454" s="33" t="n">
        <f aca="false">AE454+IF(Source_Data!AF$6=Inputs!$B$12,Inputs!$B$7,0)+AF449-AF452</f>
        <v>167.2070840625</v>
      </c>
      <c r="AG454" s="33" t="n">
        <f aca="false">AF454+IF(Source_Data!AG$6=Inputs!$B$12,Inputs!$B$7,0)+AG449-AG452</f>
        <v>202.14610640625</v>
      </c>
      <c r="AH454" s="33" t="n">
        <f aca="false">AG454+IF(Source_Data!AH$6=Inputs!$B$12,Inputs!$B$7,0)+AH449-AH452</f>
        <v>238.77298734375</v>
      </c>
      <c r="AI454" s="33" t="n">
        <f aca="false">AH454+IF(Source_Data!AI$6=Inputs!$B$12,Inputs!$B$7,0)+AI449-AI452</f>
        <v>277.087726875</v>
      </c>
      <c r="AJ454" s="33" t="n">
        <f aca="false">AI454+IF(Source_Data!AJ$6=Inputs!$B$12,Inputs!$B$7,0)+AJ449-AJ452</f>
        <v>311.00774390625</v>
      </c>
      <c r="AK454" s="33" t="n">
        <f aca="false">AJ454+IF(Source_Data!AK$6=Inputs!$B$12,Inputs!$B$7,0)+AK449-AK452</f>
        <v>339.38823</v>
      </c>
      <c r="AL454" s="33" t="n">
        <f aca="false">AK454+IF(Source_Data!AL$6=Inputs!$B$12,Inputs!$B$7,0)+AL449-AL452</f>
        <v>364.995223125</v>
      </c>
      <c r="AM454" s="33" t="n">
        <f aca="false">AL454+IF(Source_Data!AM$6=Inputs!$B$12,Inputs!$B$7,0)+AM449-AM452</f>
        <v>390.925576875</v>
      </c>
      <c r="AN454" s="33" t="n">
        <f aca="false">AM454+IF(Source_Data!AN$6=Inputs!$B$12,Inputs!$B$7,0)+AN449-AN452</f>
        <v>410.638460625</v>
      </c>
      <c r="AO454" s="33" t="n">
        <f aca="false">AN454+IF(Source_Data!AO$6=Inputs!$B$12,Inputs!$B$7,0)+AO449-AO452</f>
        <v>426.750579375</v>
      </c>
      <c r="AP454" s="33" t="n">
        <f aca="false">AO454+IF(Source_Data!AP$6=Inputs!$B$12,Inputs!$B$7,0)+AP449-AP452</f>
        <v>443.554149375</v>
      </c>
      <c r="AQ454" s="33" t="n">
        <f aca="false">AP454+IF(Source_Data!AQ$6=Inputs!$B$12,Inputs!$B$7,0)+AQ449-AQ452</f>
        <v>450.800409375</v>
      </c>
      <c r="AR454" s="33" t="n">
        <f aca="false">AQ454+IF(Source_Data!AR$6=Inputs!$B$12,Inputs!$B$7,0)+AR449-AR452</f>
        <v>458.046669375</v>
      </c>
      <c r="AS454" s="33" t="n">
        <f aca="false">AR454+IF(Source_Data!AS$6=Inputs!$B$12,Inputs!$B$7,0)+AS449-AS452</f>
        <v>465.292929375</v>
      </c>
      <c r="AT454" s="33" t="n">
        <f aca="false">AS454+IF(Source_Data!AT$6=Inputs!$B$12,Inputs!$B$7,0)+AT449-AT452</f>
        <v>465.292929375</v>
      </c>
      <c r="AU454" s="33" t="n">
        <f aca="false">AT454+IF(Source_Data!AU$6=Inputs!$B$12,Inputs!$B$7,0)+AU449-AU452</f>
        <v>465.292929375</v>
      </c>
      <c r="AV454" s="33" t="n">
        <f aca="false">AU454+IF(Source_Data!AV$6=Inputs!$B$12,Inputs!$B$7,0)+AV449-AV452</f>
        <v>465.292929375</v>
      </c>
      <c r="AW454" s="33" t="n">
        <f aca="false">AV454+IF(Source_Data!AW$6=Inputs!$B$12,Inputs!$B$7,0)+AW449-AW452</f>
        <v>465.292929375</v>
      </c>
      <c r="AX454" s="33" t="n">
        <f aca="false">AW454+IF(Source_Data!AX$6=Inputs!$B$12,Inputs!$B$7,0)+AX449-AX452</f>
        <v>465.292929375</v>
      </c>
      <c r="AY454" s="33" t="n">
        <f aca="false">AX454+IF(Source_Data!AY$6=Inputs!$B$12,Inputs!$B$7,0)+AY449-AY452</f>
        <v>465.292929375</v>
      </c>
      <c r="AZ454" s="33" t="n">
        <f aca="false">AY454+IF(Source_Data!AZ$6=Inputs!$B$12,Inputs!$B$7,0)+AZ449-AZ452</f>
        <v>465.292929375</v>
      </c>
      <c r="BA454" s="33" t="n">
        <f aca="false">AZ454+IF(Source_Data!BA$6=Inputs!$B$12,Inputs!$B$7,0)+BA449-BA452</f>
        <v>465.292929375</v>
      </c>
      <c r="BB454" s="33" t="n">
        <f aca="false">BA454+IF(Source_Data!BB$6=Inputs!$B$12,Inputs!$B$7,0)+BB449-BB452</f>
        <v>465.292929375</v>
      </c>
      <c r="BC454" s="33" t="n">
        <f aca="false">BB454+IF(Source_Data!BC$6=Inputs!$B$12,Inputs!$B$7,0)+BC449-BC452</f>
        <v>465.292929375</v>
      </c>
      <c r="BD454" s="33" t="n">
        <f aca="false">BC454+IF(Source_Data!BD$6=Inputs!$B$12,Inputs!$B$7,0)+BD449-BD452</f>
        <v>465.292929375</v>
      </c>
      <c r="BE454" s="33" t="n">
        <f aca="false">BD454+IF(Source_Data!BE$6=Inputs!$B$12,Inputs!$B$7,0)+BE449-BE452</f>
        <v>465.292929375</v>
      </c>
      <c r="BF454" s="33" t="n">
        <f aca="false">BE454+IF(Source_Data!BF$6=Inputs!$B$12,Inputs!$B$7,0)+BF449-BF452</f>
        <v>465.292929375</v>
      </c>
      <c r="BG454" s="33" t="n">
        <f aca="false">BF454+IF(Source_Data!BG$6=Inputs!$B$12,Inputs!$B$7,0)+BG449-BG452</f>
        <v>465.292929375</v>
      </c>
      <c r="BH454" s="33" t="n">
        <f aca="false">BG454+IF(Source_Data!BH$6=Inputs!$B$12,Inputs!$B$7,0)+BH449-BH452</f>
        <v>465.292929375</v>
      </c>
      <c r="BI454" s="33" t="n">
        <f aca="false">BH454+IF(Source_Data!BI$6=Inputs!$B$12,Inputs!$B$7,0)+BI449-BI452</f>
        <v>465.292929375</v>
      </c>
      <c r="BJ454" s="33" t="n">
        <f aca="false">BI454+IF(Source_Data!BJ$6=Inputs!$B$12,Inputs!$B$7,0)+BJ449-BJ452</f>
        <v>465.292929375</v>
      </c>
      <c r="BK454" s="33" t="n">
        <f aca="false">BJ454+IF(Source_Data!BK$6=Inputs!$B$12,Inputs!$B$7,0)+BK449-BK452</f>
        <v>465.292929375</v>
      </c>
    </row>
    <row r="455" customFormat="false" ht="15" hidden="false" customHeight="false" outlineLevel="0" collapsed="false">
      <c r="A455" s="3" t="s">
        <v>344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-0.165212608695653</v>
      </c>
      <c r="Q455" s="31" t="n">
        <f aca="false">IF(Q452&gt;0,Q449/Q452,"")</f>
        <v>0.169873434782609</v>
      </c>
      <c r="R455" s="31" t="n">
        <f aca="false">IF(R452&gt;0,R449/R452,"")</f>
        <v>-5.89165591304348</v>
      </c>
      <c r="S455" s="31" t="n">
        <f aca="false">IF(S452&gt;0,S449/S452,"")</f>
        <v>-5.01844852173913</v>
      </c>
      <c r="T455" s="31" t="n">
        <f aca="false">IF(T452&gt;0,T449/T452,"")</f>
        <v>-6.6040635</v>
      </c>
      <c r="U455" s="31" t="n">
        <f aca="false">IF(U452&gt;0,U449/U452,"")</f>
        <v>-3.280851</v>
      </c>
      <c r="V455" s="31" t="n">
        <f aca="false">IF(V452&gt;0,V449/V452,"")</f>
        <v>32.9929579565217</v>
      </c>
      <c r="W455" s="31" t="n">
        <f aca="false">IF(W452&gt;0,W449/W452,"")</f>
        <v>6.3085957826087</v>
      </c>
      <c r="X455" s="31" t="n">
        <f aca="false">IF(X452&gt;0,X449/X452,"")</f>
        <v>4.70069178260869</v>
      </c>
      <c r="Y455" s="31" t="n">
        <f aca="false">IF(Y452&gt;0,Y449/Y452,"")</f>
        <v>3.48714743478261</v>
      </c>
      <c r="Z455" s="31" t="n">
        <f aca="false">IF(Z452&gt;0,Z449/Z452,"")</f>
        <v>3.392631</v>
      </c>
      <c r="AA455" s="31" t="n">
        <f aca="false">IF(AA452&gt;0,AA449/AA452,"")</f>
        <v>3.29811456521739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345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-16.4661871304348</v>
      </c>
      <c r="Q456" s="31" t="n">
        <f aca="false">IF(Q452&gt;0,(P454+Q449+IF(Source_Data!Q$6=Inputs!$B$12,Inputs!$B$7,0))/Q452,"")</f>
        <v>-17.2963136956522</v>
      </c>
      <c r="R456" s="31" t="n">
        <f aca="false">IF(R452&gt;0,(Q454+R449+IF(Source_Data!R$6=Inputs!$B$12,Inputs!$B$7,0))/R452,"")</f>
        <v>-24.1879696086957</v>
      </c>
      <c r="S456" s="31" t="n">
        <f aca="false">IF(S452&gt;0,(R454+S449+IF(Source_Data!S$6=Inputs!$B$12,Inputs!$B$7,0))/S452,"")</f>
        <v>-30.2064181304348</v>
      </c>
      <c r="T456" s="31" t="n">
        <f aca="false">IF(T452&gt;0,(S454+T449+IF(Source_Data!T$6=Inputs!$B$12,Inputs!$B$7,0))/T452,"")</f>
        <v>-37.8104816304348</v>
      </c>
      <c r="U456" s="31" t="n">
        <f aca="false">IF(U452&gt;0,(T454+U449+IF(Source_Data!U$6=Inputs!$B$12,Inputs!$B$7,0))/U452,"")</f>
        <v>-42.0913326304348</v>
      </c>
      <c r="V456" s="31" t="n">
        <f aca="false">IF(V452&gt;0,(U454+V449+IF(Source_Data!V$6=Inputs!$B$12,Inputs!$B$7,0))/V452,"")</f>
        <v>-10.0983746739131</v>
      </c>
      <c r="W456" s="31" t="n">
        <f aca="false">IF(W452&gt;0,(V454+W449+IF(Source_Data!W$6=Inputs!$B$12,Inputs!$B$7,0))/W452,"")</f>
        <v>-4.78977889130436</v>
      </c>
      <c r="X456" s="31" t="n">
        <f aca="false">IF(X452&gt;0,(W454+X449+IF(Source_Data!X$6=Inputs!$B$12,Inputs!$B$7,0))/X452,"")</f>
        <v>-1.08908710869567</v>
      </c>
      <c r="Y456" s="31" t="n">
        <f aca="false">IF(Y452&gt;0,(X454+Y449+IF(Source_Data!Y$6=Inputs!$B$12,Inputs!$B$7,0))/Y452,"")</f>
        <v>1.39806032608694</v>
      </c>
      <c r="Z456" s="31" t="n">
        <f aca="false">IF(Z452&gt;0,(Y454+Z449+IF(Source_Data!Z$6=Inputs!$B$12,Inputs!$B$7,0))/Z452,"")</f>
        <v>3.79069132608694</v>
      </c>
      <c r="AA456" s="31" t="n">
        <f aca="false">IF(AA452&gt;0,(Z454+AA449+IF(Source_Data!AA$6=Inputs!$B$12,Inputs!$B$7,0))/AA452,"")</f>
        <v>6.08880589130432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220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346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162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347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348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349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350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351</v>
      </c>
      <c r="B465" s="41" t="n">
        <f aca="false">MIN(D454:BK454)</f>
        <v>-825.91720875</v>
      </c>
    </row>
    <row r="466" customFormat="false" ht="15" hidden="false" customHeight="false" outlineLevel="0" collapsed="false">
      <c r="A466" s="2" t="s">
        <v>352</v>
      </c>
      <c r="B466" s="43" t="n">
        <f aca="false">MIN(D455:BK455)</f>
        <v>-6.6040635</v>
      </c>
    </row>
    <row r="467" customFormat="false" ht="15" hidden="false" customHeight="false" outlineLevel="0" collapsed="false">
      <c r="A467" s="2" t="s">
        <v>353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354</v>
      </c>
      <c r="B468" s="43" t="n">
        <f aca="false">MIN(D456:BK456)</f>
        <v>-42.0913326304348</v>
      </c>
    </row>
    <row r="469" customFormat="false" ht="15" hidden="false" customHeight="false" outlineLevel="0" collapsed="false">
      <c r="A469" s="2" t="s">
        <v>355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371</v>
      </c>
    </row>
    <row r="2" customFormat="false" ht="15" hidden="false" customHeight="false" outlineLevel="0" collapsed="false">
      <c r="A2" s="6" t="s">
        <v>372</v>
      </c>
    </row>
    <row r="4" customFormat="false" ht="15" hidden="false" customHeight="false" outlineLevel="0" collapsed="false">
      <c r="A4" s="7" t="s">
        <v>373</v>
      </c>
      <c r="B4" s="7" t="s">
        <v>374</v>
      </c>
      <c r="C4" s="7" t="s">
        <v>375</v>
      </c>
      <c r="D4" s="7" t="s">
        <v>376</v>
      </c>
      <c r="E4" s="7" t="s">
        <v>377</v>
      </c>
    </row>
    <row r="5" customFormat="false" ht="15" hidden="false" customHeight="false" outlineLevel="0" collapsed="false">
      <c r="A5" s="3" t="s">
        <v>220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228</v>
      </c>
    </row>
    <row r="6" customFormat="false" ht="15" hidden="false" customHeight="false" outlineLevel="0" collapsed="false">
      <c r="A6" s="3" t="s">
        <v>378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228</v>
      </c>
    </row>
    <row r="7" customFormat="false" ht="15" hidden="false" customHeight="false" outlineLevel="0" collapsed="false">
      <c r="A7" s="3" t="s">
        <v>379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228</v>
      </c>
    </row>
    <row r="8" customFormat="false" ht="15" hidden="false" customHeight="false" outlineLevel="0" collapsed="false">
      <c r="A8" s="3" t="s">
        <v>380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228</v>
      </c>
    </row>
    <row r="9" customFormat="false" ht="15" hidden="false" customHeight="false" outlineLevel="0" collapsed="false">
      <c r="A9" s="3" t="s">
        <v>166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228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228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187.407407407407</v>
      </c>
      <c r="C13" s="46" t="n">
        <f aca="false">Option_A!B5*Inputs!$B$34*(1-Inputs!$B$15)-Inputs!$B$7</f>
        <v>187.407407407407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0.286576617841086</v>
      </c>
      <c r="C19" s="25" t="n">
        <v>0.286576617841085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-2.01806250000001</v>
      </c>
      <c r="C22" s="25" t="n">
        <v>-2.0180625</v>
      </c>
      <c r="D22" s="47" t="n">
        <f aca="false">ROUND(B22-C22,5)</f>
        <v>-0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2026-10-08T08:57:55Z</dcterms:created>
  <dc:creator>Jalour Developments</dc:creator>
  <dc:description/>
  <dc:language>en-US</dc:language>
  <cp:lastModifiedBy/>
  <dcterms:modified xsi:type="dcterms:W3CDTF">2026-10-08T08:57:56Z</dcterms:modified>
  <cp:revision>0</cp:revision>
  <dc:subject>Confidential</dc:subject>
  <dc:title>Financial Annex - L'avenir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