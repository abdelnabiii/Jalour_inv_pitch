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<sst xmlns="http://schemas.openxmlformats.org/spreadsheetml/2006/main" count="1150" uniqueCount="400">
  <si>
    <t xml:space="preserve">Green Square - Financial Annex</t>
  </si>
  <si>
    <t xml:space="preserve">Investor ticket EGP 75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</si>
  <si>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</si>
  <si>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</si>
  <si>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</si>
  <si>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</si>
  <si>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</si>
  <si>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</si>
  <si>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</si>
  <si>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</si>
  <si>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75m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</si>
  <si>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</si>
  <si>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</si>
  <si>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</si>
  <si>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</si>
  <si>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</si>
  <si>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</si>
  <si>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</si>
  <si>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</si>
  <si>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</si>
  <si>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</si>
  <si>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</si>
  <si>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</si>
  <si>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</si>
  <si>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</si>
  <si>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</si>
  <si>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</si>
  <si>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</si>
  <si>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</si>
  <si>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</si>
  <si>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</si>
  <si>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</si>
  <si>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</si>
  <si>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</si>
  <si>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</si>
  <si>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</si>
  <si>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</si>
  <si>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</si>
  <si>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</si>
  <si>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</si>
  <si>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</si>
  <si>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</si>
  <si>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</si>
  <si>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</si>
  <si>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</si>
  <si>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</si>
  <si>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</si>
  <si>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</si>
  <si>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</si>
  <si>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</si>
  <si>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</si>
  <si>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</si>
  <si>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</si>
  <si>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</si>
  <si>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</si>
  <si>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</si>
  <si>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</si>
  <si>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</si>
  <si>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</si>
  <si>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</si>
  <si>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</si>
  <si>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</si>
  <si>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</si>
  <si>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</si>
  <si>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</si>
  <si>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</si>
  <si>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</si>
  <si>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</si>
  <si>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</si>
  <si>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</si>
  <si>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</si>
  <si>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</si>
  <si>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</si>
  <si>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</si>
  <si>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</si>
  <si>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</si>
  <si>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</si>
  <si>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</si>
  <si>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</si>
  <si>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</si>
  <si>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</si>
  <si>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</si>
  <si>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75m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</si>
  <si>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</si>
  <si>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</si>
  <si>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</si>
  <si>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</si>
  <si>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</si>
  <si>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</si>
  <si>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</si>
  <si>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</si>
  <si>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</si>
  <si>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</si>
  <si>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</si>
  <si>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</si>
  <si>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</si>
  <si>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</si>
  <si>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</si>
  <si>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</si>
  <si>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</si>
  <si>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</si>
  <si>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Calendar offset: months removed so that month 1 is this project's own sales launch</t>
  </si>
  <si>
    <t xml:space="preserve">Standalone model: Assumptions!C15 (calendar offset removed from the shared timeline)</t>
  </si>
  <si>
    <t xml:space="preserve">Investor funding month (t0)</t>
  </si>
  <si>
    <t xml:space="preserve">month</t>
  </si>
  <si>
    <t xml:space="preserve">ASSUMPTION: month the landlord down payment falls due (first column of 'Net Cash Flow -With DP', own timeline)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</si>
  <si>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</si>
  <si>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</si>
  <si>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</si>
  <si>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</si>
  <si>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</si>
  <si>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</si>
  <si>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</si>
  <si>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</si>
  <si>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</si>
  <si>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</si>
  <si>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</si>
  <si>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</si>
  <si>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</si>
  <si>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</si>
  <si>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</si>
  <si>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</si>
  <si>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</si>
  <si>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Full project sales value (basis of the landlord share)</t>
  </si>
  <si>
    <t xml:space="preserve">Summary C27 (at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</si>
  <si>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</si>
  <si>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</si>
  <si>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</si>
  <si>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</si>
  <si>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</si>
  <si>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</si>
  <si>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</si>
  <si>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</si>
  <si>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</si>
  <si>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</si>
  <si>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</si>
  <si>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</si>
  <si>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</si>
  <si>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</si>
  <si>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</si>
  <si>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</si>
  <si>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</si>
  <si>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3 and 6),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</si>
  <si>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</si>
  <si>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</si>
  <si>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</si>
  <si>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</si>
  <si>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</si>
  <si>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</si>
  <si>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</si>
  <si>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</si>
  <si>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</si>
  <si>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</si>
  <si>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</si>
  <si>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</si>
  <si>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</si>
  <si>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</si>
  <si>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</si>
  <si>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</si>
  <si>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</si>
  <si>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</si>
  <si>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</si>
  <si>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</si>
  <si>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</si>
  <si>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</si>
  <si>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</si>
  <si>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</si>
  <si>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</si>
  <si>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</si>
  <si>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</si>
  <si>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</si>
  <si>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</si>
  <si>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</si>
  <si>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</si>
  <si>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</si>
  <si>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</si>
  <si>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</si>
  <si>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</si>
  <si>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</si>
  <si>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</si>
  <si>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</si>
  <si>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</si>
  <si>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</si>
  <si>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</si>
  <si>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</si>
  <si>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</si>
  <si>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</si>
  <si>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</si>
  <si>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</si>
  <si>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</si>
  <si>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</si>
  <si>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</si>
  <si>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</si>
  <si>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</si>
  <si>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</si>
  <si>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</si>
  <si>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</si>
  <si>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</si>
  <si>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</si>
  <si>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</si>
  <si>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</si>
  <si>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</si>
  <si>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</si>
  <si>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</si>
  <si>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</si>
  <si>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</si>
  <si>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</si>
  <si>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</si>
  <si>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</si>
  <si>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</si>
  <si>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</si>
  <si>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</si>
  <si>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</si>
  <si>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</si>
  <si>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</si>
  <si>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</si>
  <si>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</si>
  <si>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</si>
  <si>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</si>
  <si>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</si>
  <si>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</si>
  <si>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</si>
  <si>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</si>
  <si>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</si>
  <si>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75m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</si>
  <si>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</si>
  <si>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</si>
  <si>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</si>
  <si>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</si>
  <si>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</si>
  <si>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</si>
  <si>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</si>
  <si>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</si>
  <si>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</si>
  <si>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</si>
  <si>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</si>
  <si>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</si>
  <si>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</si>
  <si>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</si>
  <si>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</si>
  <si>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</si>
  <si>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</si>
  <si>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</si>
  <si>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</si>
  <si>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</si>
  <si>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</si>
  <si>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75m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</si>
  <si>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</si>
  <si>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</si>
  <si>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</si>
  <si>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</si>
  <si>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</si>
  <si>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</si>
  <si>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</si>
  <si>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</si>
  <si>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</si>
  <si>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</si>
  <si>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</si>
  <si>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</si>
  <si>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</si>
  <si>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</si>
  <si>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</si>
  <si>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</si>
  <si>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</si>
  <si>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</si>
  <si>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</si>
  <si>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</si>
  <si>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</si>
  <si>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</si>
  <si>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</si>
  <si>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</si>
  <si>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</si>
  <si>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</si>
  <si>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</si>
  <si>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</si>
  <si>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</si>
  <si>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</si>
  <si>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</si>
  <si>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</si>
  <si>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</si>
  <si>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</si>
  <si>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</si>
  <si>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</si>
  <si>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</si>
  <si>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</si>
  <si>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</si>
  <si>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</si>
  <si>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</si>
  <si>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</si>
  <si>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</si>
  <si>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</si>
  <si>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75m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</si>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</sst>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375.4475275</v>
      </c>
      <c r="C6" s="10" t="n">
        <f aca="false">B6/Inputs!$B$53</f>
        <v>7.82182348958334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229.889658679869</v>
      </c>
      <c r="C7" s="10" t="n">
        <f aca="false">B7/Inputs!$B$53</f>
        <v>4.78936788916394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102.5</v>
      </c>
      <c r="C8" s="10" t="n">
        <f aca="false">B8/Inputs!$B$53</f>
        <v>2.13541666666667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0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2252.979</v>
      </c>
      <c r="C10" s="10" t="n">
        <f aca="false">B10/Inputs!$B$53</f>
        <v>46.9370625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985.6783125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891.85316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112.9574</v>
      </c>
      <c r="C14" s="10" t="n">
        <f aca="false">B14/Inputs!$B$53</f>
        <v>2.35327916666667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37.9574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0.731707317073171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150</v>
      </c>
      <c r="C20" s="10" t="n">
        <f aca="false">B20/Inputs!$B$53</f>
        <v>3.125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0.247700718084382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215.05376344086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0.264029906719608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2.78136200716846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48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0.18640160567242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2.50322580645161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0.291992838668679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3.05949820788531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0.20741957336111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-15.2893258799607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-69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39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-34.0624785674585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-11.9339708695652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8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5.53876589130435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-27.5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0.290276628472317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0.27835276492556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102.5</v>
      </c>
      <c r="C48" s="15" t="n">
        <f aca="false">Scenarios!$B$27</f>
        <v>229.889658679869</v>
      </c>
      <c r="D48" s="15" t="n">
        <f aca="false">Scenarios!$B$33</f>
        <v>-27.5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441.19460834375</v>
      </c>
      <c r="C49" s="15" t="n">
        <f aca="false">Scenarios!$B$63</f>
        <v>-35.8693076406178</v>
      </c>
      <c r="D49" s="15" t="n">
        <f aca="false">Scenarios!$B$69</f>
        <v>-423.69460834375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102.5</v>
      </c>
      <c r="C50" s="15" t="n">
        <f aca="false">Scenarios!$B$99</f>
        <v>335.881228466562</v>
      </c>
      <c r="D50" s="15" t="n">
        <f aca="false">Scenarios!$B$105</f>
        <v>-27.5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102.5</v>
      </c>
      <c r="C51" s="15" t="n">
        <f aca="false">Scenarios!$B$135</f>
        <v>173.337754030729</v>
      </c>
      <c r="D51" s="15" t="n">
        <f aca="false">Scenarios!$B$141</f>
        <v>-27.5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235.690784375</v>
      </c>
      <c r="C52" s="15" t="n">
        <f aca="false">Scenarios!$B$171</f>
        <v>133.959128717337</v>
      </c>
      <c r="D52" s="15" t="n">
        <f aca="false">Scenarios!$B$177</f>
        <v>-175.065784375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269.1979209375</v>
      </c>
      <c r="C53" s="15" t="n">
        <f aca="false">Scenarios!$B$207</f>
        <v>165.846335680564</v>
      </c>
      <c r="D53" s="15" t="n">
        <f aca="false">Scenarios!$B$213</f>
        <v>-280.4479209375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729.38647159375</v>
      </c>
      <c r="C54" s="15" t="n">
        <f aca="false">Scenarios!$B$243</f>
        <v>-86.4298257979639</v>
      </c>
      <c r="D54" s="15" t="n">
        <f aca="false">Scenarios!$B$249</f>
        <v>-755.01147159375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183.65099225</v>
      </c>
      <c r="C57" s="15" t="n">
        <f aca="false">Sensitivity!$B$27</f>
        <v>13.4243865094059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114.44060834375</v>
      </c>
      <c r="C58" s="15" t="n">
        <f aca="false">Sensitivity!$B$63</f>
        <v>123.898088893176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102.5</v>
      </c>
      <c r="C59" s="15" t="n">
        <f aca="false">Sensitivity!$B$99</f>
        <v>335.881228466562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102.5</v>
      </c>
      <c r="C60" s="15" t="n">
        <f aca="false">Sensitivity!$B$135</f>
        <v>441.872798253255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216.648264375</v>
      </c>
      <c r="C61" s="15" t="n">
        <f aca="false">Sensitivity!$B$171</f>
        <v>138.223527274618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408.4846759375</v>
      </c>
      <c r="C62" s="15" t="n">
        <f aca="false">Sensitivity!$B$207</f>
        <v>52.3703291978759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825.0846759375</v>
      </c>
      <c r="C63" s="15" t="n">
        <f aca="false">Sensitivity!$B$243</f>
        <v>-28.0385579997132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1075.442264375</v>
      </c>
      <c r="C64" s="15" t="n">
        <f aca="false">Sensitivity!$B$279</f>
        <v>-103.348380874048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102.5</v>
      </c>
      <c r="C65" s="15" t="n">
        <f aca="false">Sensitivity!$B$315</f>
        <v>173.337754030729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114.372264375</v>
      </c>
      <c r="C66" s="15" t="n">
        <f aca="false">Sensitivity!$B$351</f>
        <v>116.785849381589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162.059524375</v>
      </c>
      <c r="C67" s="15" t="n">
        <f aca="false">Sensitivity!$B$387</f>
        <v>181.138863272724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235.690784375</v>
      </c>
      <c r="C68" s="15" t="n">
        <f aca="false">Sensitivity!$B$423</f>
        <v>133.959128717337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439.6819959375</v>
      </c>
      <c r="C69" s="15" t="n">
        <f aca="false">Sensitivity!$B$459</f>
        <v>44.1119554569158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75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6</v>
      </c>
      <c r="C12" s="3" t="s">
        <v>97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-3</v>
      </c>
      <c r="C13" s="3" t="s">
        <v>104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19" t="n">
        <v>42</v>
      </c>
      <c r="C14" s="3" t="s">
        <v>104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0.14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20" t="n">
        <v>0.03</v>
      </c>
      <c r="C16" s="3" t="s">
        <v>112</v>
      </c>
      <c r="D16" s="6" t="s">
        <v>113</v>
      </c>
    </row>
    <row r="17" customFormat="false" ht="15" hidden="false" customHeight="false" outlineLevel="0" collapsed="false">
      <c r="A17" s="3" t="s">
        <v>114</v>
      </c>
      <c r="B17" s="19" t="n">
        <v>4</v>
      </c>
      <c r="C17" s="3" t="s">
        <v>99</v>
      </c>
      <c r="D17" s="6" t="s">
        <v>115</v>
      </c>
    </row>
    <row r="19" customFormat="false" ht="15" hidden="false" customHeight="false" outlineLevel="0" collapsed="false">
      <c r="A19" s="8" t="s">
        <v>116</v>
      </c>
    </row>
    <row r="20" customFormat="false" ht="15" hidden="false" customHeight="false" outlineLevel="0" collapsed="false">
      <c r="A20" s="3" t="s">
        <v>117</v>
      </c>
      <c r="B20" s="20" t="n">
        <v>0.35</v>
      </c>
      <c r="C20" s="3" t="s">
        <v>112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800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80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17" t="n">
        <v>2816.22375</v>
      </c>
      <c r="C23" s="3" t="s">
        <v>89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0.04</v>
      </c>
      <c r="C24" s="3" t="s">
        <v>112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0.05</v>
      </c>
      <c r="C25" s="3" t="s">
        <v>112</v>
      </c>
      <c r="D25" s="6" t="s">
        <v>128</v>
      </c>
    </row>
    <row r="26" customFormat="false" ht="15" hidden="false" customHeight="false" outlineLevel="0" collapsed="false">
      <c r="A26" s="3" t="s">
        <v>129</v>
      </c>
      <c r="B26" s="20" t="n">
        <v>0.3</v>
      </c>
      <c r="C26" s="3" t="s">
        <v>112</v>
      </c>
      <c r="D26" s="6" t="s">
        <v>130</v>
      </c>
    </row>
    <row r="28" customFormat="false" ht="15" hidden="false" customHeight="false" outlineLevel="0" collapsed="false">
      <c r="A28" s="8" t="s">
        <v>131</v>
      </c>
    </row>
    <row r="29" customFormat="false" ht="15" hidden="false" customHeight="false" outlineLevel="0" collapsed="false">
      <c r="A29" s="3" t="s">
        <v>132</v>
      </c>
      <c r="B29" s="21" t="n">
        <v>225</v>
      </c>
      <c r="C29" s="3" t="s">
        <v>133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135</v>
      </c>
      <c r="C30" s="3" t="s">
        <v>133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300</v>
      </c>
      <c r="C31" s="3" t="s">
        <v>133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21" t="n">
        <v>200</v>
      </c>
      <c r="C32" s="3" t="s">
        <v>133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195.345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17" t="n">
        <v>410.2245</v>
      </c>
      <c r="C34" s="3" t="s">
        <v>89</v>
      </c>
      <c r="D34" s="6" t="s">
        <v>144</v>
      </c>
    </row>
    <row r="35" customFormat="false" ht="15" hidden="false" customHeight="false" outlineLevel="0" collapsed="false">
      <c r="A35" s="3" t="s">
        <v>145</v>
      </c>
      <c r="B35" s="22" t="n">
        <f aca="false">($B$33/($B$33+$B$34))*($B$31/$B$29)+($B$34/($B$33+$B$34))*($B$32/$B$30)</f>
        <v>1.4336917562724</v>
      </c>
      <c r="C35" s="3" t="s">
        <v>92</v>
      </c>
      <c r="D35" s="6" t="s">
        <v>146</v>
      </c>
    </row>
    <row r="37" customFormat="false" ht="15" hidden="false" customHeight="false" outlineLevel="0" collapsed="false">
      <c r="A37" s="8" t="s">
        <v>147</v>
      </c>
    </row>
    <row r="38" customFormat="false" ht="15" hidden="false" customHeight="false" outlineLevel="0" collapsed="false">
      <c r="A38" s="3" t="s">
        <v>148</v>
      </c>
      <c r="B38" s="23" t="n">
        <v>0.185436999447518</v>
      </c>
      <c r="C38" s="3" t="s">
        <v>112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0.4</v>
      </c>
      <c r="C39" s="3" t="s">
        <v>92</v>
      </c>
      <c r="D39" s="6" t="s">
        <v>151</v>
      </c>
    </row>
    <row r="40" customFormat="false" ht="15" hidden="false" customHeight="false" outlineLevel="0" collapsed="false">
      <c r="A40" s="3" t="s">
        <v>152</v>
      </c>
      <c r="B40" s="24" t="n">
        <v>1.5</v>
      </c>
      <c r="C40" s="3" t="s">
        <v>92</v>
      </c>
      <c r="D40" s="6" t="s">
        <v>151</v>
      </c>
    </row>
    <row r="41" customFormat="false" ht="15" hidden="false" customHeight="false" outlineLevel="0" collapsed="false">
      <c r="A41" s="3" t="s">
        <v>153</v>
      </c>
      <c r="B41" s="18" t="n">
        <v>1.8</v>
      </c>
      <c r="C41" s="3" t="s">
        <v>92</v>
      </c>
      <c r="D41" s="6" t="s">
        <v>151</v>
      </c>
    </row>
    <row r="42" customFormat="false" ht="15" hidden="false" customHeight="false" outlineLevel="0" collapsed="false">
      <c r="A42" s="3" t="s">
        <v>154</v>
      </c>
      <c r="B42" s="18" t="n">
        <v>2.8</v>
      </c>
      <c r="C42" s="3" t="s">
        <v>92</v>
      </c>
      <c r="D42" s="6" t="s">
        <v>151</v>
      </c>
    </row>
    <row r="43" customFormat="false" ht="15" hidden="false" customHeight="false" outlineLevel="0" collapsed="false">
      <c r="A43" s="3" t="s">
        <v>155</v>
      </c>
      <c r="B43" s="23" t="n">
        <v>0.0260640654672713</v>
      </c>
      <c r="C43" s="3" t="s">
        <v>112</v>
      </c>
      <c r="D43" s="6" t="s">
        <v>156</v>
      </c>
    </row>
    <row r="44" customFormat="false" ht="15" hidden="false" customHeight="false" outlineLevel="0" collapsed="false">
      <c r="A44" s="3" t="s">
        <v>157</v>
      </c>
      <c r="B44" s="18" t="n">
        <v>1.5</v>
      </c>
      <c r="C44" s="3" t="s">
        <v>92</v>
      </c>
      <c r="D44" s="6" t="s">
        <v>158</v>
      </c>
    </row>
    <row r="46" customFormat="false" ht="15" hidden="false" customHeight="false" outlineLevel="0" collapsed="false">
      <c r="A46" s="8" t="s">
        <v>159</v>
      </c>
    </row>
    <row r="47" customFormat="false" ht="15" hidden="false" customHeight="false" outlineLevel="0" collapsed="false">
      <c r="A47" s="3" t="s">
        <v>160</v>
      </c>
      <c r="B47" s="25" t="n">
        <v>375.4475275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229.889658679869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-102.5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2252.979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985.6783125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5" t="n">
        <v>891.85316</v>
      </c>
      <c r="C52" s="3" t="s">
        <v>89</v>
      </c>
      <c r="D52" s="6" t="s">
        <v>171</v>
      </c>
    </row>
    <row r="53" customFormat="false" ht="15" hidden="false" customHeight="false" outlineLevel="0" collapsed="false">
      <c r="A53" s="3" t="s">
        <v>172</v>
      </c>
      <c r="B53" s="24" t="n">
        <v>48</v>
      </c>
      <c r="C53" s="3" t="s">
        <v>173</v>
      </c>
      <c r="D53" s="6" t="s">
        <v>174</v>
      </c>
    </row>
    <row r="55" customFormat="false" ht="15" hidden="false" customHeight="false" outlineLevel="0" collapsed="false">
      <c r="A55" s="3" t="s">
        <v>175</v>
      </c>
      <c r="B55" s="3" t="n">
        <f aca="false">Inputs!$B$13+Inputs!$B$10+3</f>
        <v>24</v>
      </c>
      <c r="C55" s="26" t="s">
        <v>104</v>
      </c>
      <c r="D55" s="6" t="s">
        <v>176</v>
      </c>
    </row>
    <row r="56" customFormat="false" ht="15" hidden="false" customHeight="false" outlineLevel="0" collapsed="false">
      <c r="A56" s="3" t="s">
        <v>177</v>
      </c>
      <c r="B56" s="27" t="n">
        <f aca="false">Inputs!$B$33+Inputs!$B$34</f>
        <v>605.5695</v>
      </c>
      <c r="C56" s="26" t="s">
        <v>89</v>
      </c>
      <c r="D56" s="6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179</v>
      </c>
    </row>
    <row r="2" customFormat="false" ht="15" hidden="false" customHeight="false" outlineLevel="0" collapsed="false">
      <c r="A2" s="6" t="s">
        <v>180</v>
      </c>
    </row>
    <row r="4" customFormat="false" ht="15" hidden="false" customHeight="false" outlineLevel="0" collapsed="false">
      <c r="A4" s="7" t="s">
        <v>181</v>
      </c>
      <c r="B4" s="7" t="s">
        <v>182</v>
      </c>
      <c r="C4" s="7" t="s">
        <v>183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B5" s="6" t="s">
        <v>185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186</v>
      </c>
      <c r="B6" s="6" t="s">
        <v>187</v>
      </c>
      <c r="D6" s="3" t="n">
        <f aca="false">D5*3-Inputs!$B$12</f>
        <v>-3</v>
      </c>
      <c r="E6" s="3" t="n">
        <f aca="false">E5*3-Inputs!$B$12</f>
        <v>0</v>
      </c>
      <c r="F6" s="3" t="n">
        <f aca="false">F5*3-Inputs!$B$12</f>
        <v>3</v>
      </c>
      <c r="G6" s="3" t="n">
        <f aca="false">G5*3-Inputs!$B$12</f>
        <v>6</v>
      </c>
      <c r="H6" s="3" t="n">
        <f aca="false">H5*3-Inputs!$B$12</f>
        <v>9</v>
      </c>
      <c r="I6" s="3" t="n">
        <f aca="false">I5*3-Inputs!$B$12</f>
        <v>12</v>
      </c>
      <c r="J6" s="3" t="n">
        <f aca="false">J5*3-Inputs!$B$12</f>
        <v>15</v>
      </c>
      <c r="K6" s="3" t="n">
        <f aca="false">K5*3-Inputs!$B$12</f>
        <v>18</v>
      </c>
      <c r="L6" s="3" t="n">
        <f aca="false">L5*3-Inputs!$B$12</f>
        <v>21</v>
      </c>
      <c r="M6" s="3" t="n">
        <f aca="false">M5*3-Inputs!$B$12</f>
        <v>24</v>
      </c>
      <c r="N6" s="3" t="n">
        <f aca="false">N5*3-Inputs!$B$12</f>
        <v>27</v>
      </c>
      <c r="O6" s="3" t="n">
        <f aca="false">O5*3-Inputs!$B$12</f>
        <v>30</v>
      </c>
      <c r="P6" s="3" t="n">
        <f aca="false">P5*3-Inputs!$B$12</f>
        <v>33</v>
      </c>
      <c r="Q6" s="3" t="n">
        <f aca="false">Q5*3-Inputs!$B$12</f>
        <v>36</v>
      </c>
      <c r="R6" s="3" t="n">
        <f aca="false">R5*3-Inputs!$B$12</f>
        <v>39</v>
      </c>
      <c r="S6" s="3" t="n">
        <f aca="false">S5*3-Inputs!$B$12</f>
        <v>42</v>
      </c>
      <c r="T6" s="3" t="n">
        <f aca="false">T5*3-Inputs!$B$12</f>
        <v>45</v>
      </c>
      <c r="U6" s="3" t="n">
        <f aca="false">U5*3-Inputs!$B$12</f>
        <v>48</v>
      </c>
      <c r="V6" s="3" t="n">
        <f aca="false">V5*3-Inputs!$B$12</f>
        <v>51</v>
      </c>
      <c r="W6" s="3" t="n">
        <f aca="false">W5*3-Inputs!$B$12</f>
        <v>54</v>
      </c>
      <c r="X6" s="3" t="n">
        <f aca="false">X5*3-Inputs!$B$12</f>
        <v>57</v>
      </c>
      <c r="Y6" s="3" t="n">
        <f aca="false">Y5*3-Inputs!$B$12</f>
        <v>60</v>
      </c>
      <c r="Z6" s="3" t="n">
        <f aca="false">Z5*3-Inputs!$B$12</f>
        <v>63</v>
      </c>
      <c r="AA6" s="3" t="n">
        <f aca="false">AA5*3-Inputs!$B$12</f>
        <v>66</v>
      </c>
      <c r="AB6" s="3" t="n">
        <f aca="false">AB5*3-Inputs!$B$12</f>
        <v>69</v>
      </c>
      <c r="AC6" s="3" t="n">
        <f aca="false">AC5*3-Inputs!$B$12</f>
        <v>72</v>
      </c>
      <c r="AD6" s="3" t="n">
        <f aca="false">AD5*3-Inputs!$B$12</f>
        <v>75</v>
      </c>
      <c r="AE6" s="3" t="n">
        <f aca="false">AE5*3-Inputs!$B$12</f>
        <v>78</v>
      </c>
      <c r="AF6" s="3" t="n">
        <f aca="false">AF5*3-Inputs!$B$12</f>
        <v>81</v>
      </c>
      <c r="AG6" s="3" t="n">
        <f aca="false">AG5*3-Inputs!$B$12</f>
        <v>84</v>
      </c>
      <c r="AH6" s="3" t="n">
        <f aca="false">AH5*3-Inputs!$B$12</f>
        <v>87</v>
      </c>
      <c r="AI6" s="3" t="n">
        <f aca="false">AI5*3-Inputs!$B$12</f>
        <v>90</v>
      </c>
      <c r="AJ6" s="3" t="n">
        <f aca="false">AJ5*3-Inputs!$B$12</f>
        <v>93</v>
      </c>
      <c r="AK6" s="3" t="n">
        <f aca="false">AK5*3-Inputs!$B$12</f>
        <v>96</v>
      </c>
      <c r="AL6" s="3" t="n">
        <f aca="false">AL5*3-Inputs!$B$12</f>
        <v>99</v>
      </c>
      <c r="AM6" s="3" t="n">
        <f aca="false">AM5*3-Inputs!$B$12</f>
        <v>102</v>
      </c>
      <c r="AN6" s="3" t="n">
        <f aca="false">AN5*3-Inputs!$B$12</f>
        <v>105</v>
      </c>
      <c r="AO6" s="3" t="n">
        <f aca="false">AO5*3-Inputs!$B$12</f>
        <v>108</v>
      </c>
      <c r="AP6" s="3" t="n">
        <f aca="false">AP5*3-Inputs!$B$12</f>
        <v>111</v>
      </c>
      <c r="AQ6" s="3" t="n">
        <f aca="false">AQ5*3-Inputs!$B$12</f>
        <v>114</v>
      </c>
      <c r="AR6" s="3" t="n">
        <f aca="false">AR5*3-Inputs!$B$12</f>
        <v>117</v>
      </c>
      <c r="AS6" s="3" t="n">
        <f aca="false">AS5*3-Inputs!$B$12</f>
        <v>120</v>
      </c>
      <c r="AT6" s="3" t="n">
        <f aca="false">AT5*3-Inputs!$B$12</f>
        <v>123</v>
      </c>
      <c r="AU6" s="3" t="n">
        <f aca="false">AU5*3-Inputs!$B$12</f>
        <v>126</v>
      </c>
      <c r="AV6" s="3" t="n">
        <f aca="false">AV5*3-Inputs!$B$12</f>
        <v>129</v>
      </c>
      <c r="AW6" s="3" t="n">
        <f aca="false">AW5*3-Inputs!$B$12</f>
        <v>132</v>
      </c>
      <c r="AX6" s="3" t="n">
        <f aca="false">AX5*3-Inputs!$B$12</f>
        <v>135</v>
      </c>
      <c r="AY6" s="3" t="n">
        <f aca="false">AY5*3-Inputs!$B$12</f>
        <v>138</v>
      </c>
      <c r="AZ6" s="3" t="n">
        <f aca="false">AZ5*3-Inputs!$B$12</f>
        <v>141</v>
      </c>
      <c r="BA6" s="3" t="n">
        <f aca="false">BA5*3-Inputs!$B$12</f>
        <v>144</v>
      </c>
      <c r="BB6" s="3" t="n">
        <f aca="false">BB5*3-Inputs!$B$12</f>
        <v>147</v>
      </c>
      <c r="BC6" s="3" t="n">
        <f aca="false">BC5*3-Inputs!$B$12</f>
        <v>150</v>
      </c>
      <c r="BD6" s="3" t="n">
        <f aca="false">BD5*3-Inputs!$B$12</f>
        <v>153</v>
      </c>
      <c r="BE6" s="3" t="n">
        <f aca="false">BE5*3-Inputs!$B$12</f>
        <v>156</v>
      </c>
      <c r="BF6" s="3" t="n">
        <f aca="false">BF5*3-Inputs!$B$12</f>
        <v>159</v>
      </c>
      <c r="BG6" s="3" t="n">
        <f aca="false">BG5*3-Inputs!$B$12</f>
        <v>162</v>
      </c>
      <c r="BH6" s="3" t="n">
        <f aca="false">BH5*3-Inputs!$B$12</f>
        <v>165</v>
      </c>
      <c r="BI6" s="3" t="n">
        <f aca="false">BI5*3-Inputs!$B$12</f>
        <v>168</v>
      </c>
      <c r="BJ6" s="3" t="n">
        <f aca="false">BJ5*3-Inputs!$B$12</f>
        <v>171</v>
      </c>
      <c r="BK6" s="3" t="n">
        <f aca="false">BK5*3-Inputs!$B$12</f>
        <v>174</v>
      </c>
    </row>
    <row r="7" customFormat="false" ht="15" hidden="false" customHeight="false" outlineLevel="0" collapsed="false">
      <c r="A7" s="3" t="s">
        <v>188</v>
      </c>
      <c r="B7" s="6" t="s">
        <v>189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190</v>
      </c>
      <c r="B8" s="6" t="s">
        <v>191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192</v>
      </c>
      <c r="B9" s="6" t="s">
        <v>193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194</v>
      </c>
      <c r="B10" s="6" t="s">
        <v>195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196</v>
      </c>
      <c r="B11" s="6" t="s">
        <v>197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198</v>
      </c>
      <c r="B12" s="6" t="s">
        <v>199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200</v>
      </c>
      <c r="B13" s="6" t="s">
        <v>201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202</v>
      </c>
      <c r="B14" s="6" t="s">
        <v>203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204</v>
      </c>
      <c r="B15" s="6" t="s">
        <v>205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206</v>
      </c>
      <c r="B16" s="6" t="s">
        <v>207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208</v>
      </c>
      <c r="B17" s="6" t="s">
        <v>209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210</v>
      </c>
    </row>
    <row r="2" customFormat="false" ht="15" hidden="false" customHeight="false" outlineLevel="0" collapsed="false">
      <c r="A2" s="6" t="s">
        <v>211</v>
      </c>
    </row>
    <row r="4" customFormat="false" ht="15" hidden="false" customHeight="false" outlineLevel="0" collapsed="false">
      <c r="A4" s="7" t="s">
        <v>212</v>
      </c>
      <c r="B4" s="7" t="s">
        <v>85</v>
      </c>
      <c r="C4" s="7" t="s">
        <v>183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213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186</v>
      </c>
      <c r="D6" s="30" t="n">
        <f aca="false">Source_Data!D$6</f>
        <v>-3</v>
      </c>
      <c r="E6" s="30" t="n">
        <f aca="false">Source_Data!E$6</f>
        <v>0</v>
      </c>
      <c r="F6" s="30" t="n">
        <f aca="false">Source_Data!F$6</f>
        <v>3</v>
      </c>
      <c r="G6" s="30" t="n">
        <f aca="false">Source_Data!G$6</f>
        <v>6</v>
      </c>
      <c r="H6" s="30" t="n">
        <f aca="false">Source_Data!H$6</f>
        <v>9</v>
      </c>
      <c r="I6" s="30" t="n">
        <f aca="false">Source_Data!I$6</f>
        <v>12</v>
      </c>
      <c r="J6" s="30" t="n">
        <f aca="false">Source_Data!J$6</f>
        <v>15</v>
      </c>
      <c r="K6" s="30" t="n">
        <f aca="false">Source_Data!K$6</f>
        <v>18</v>
      </c>
      <c r="L6" s="30" t="n">
        <f aca="false">Source_Data!L$6</f>
        <v>21</v>
      </c>
      <c r="M6" s="30" t="n">
        <f aca="false">Source_Data!M$6</f>
        <v>24</v>
      </c>
      <c r="N6" s="30" t="n">
        <f aca="false">Source_Data!N$6</f>
        <v>27</v>
      </c>
      <c r="O6" s="30" t="n">
        <f aca="false">Source_Data!O$6</f>
        <v>30</v>
      </c>
      <c r="P6" s="30" t="n">
        <f aca="false">Source_Data!P$6</f>
        <v>33</v>
      </c>
      <c r="Q6" s="30" t="n">
        <f aca="false">Source_Data!Q$6</f>
        <v>36</v>
      </c>
      <c r="R6" s="30" t="n">
        <f aca="false">Source_Data!R$6</f>
        <v>39</v>
      </c>
      <c r="S6" s="30" t="n">
        <f aca="false">Source_Data!S$6</f>
        <v>42</v>
      </c>
      <c r="T6" s="30" t="n">
        <f aca="false">Source_Data!T$6</f>
        <v>45</v>
      </c>
      <c r="U6" s="30" t="n">
        <f aca="false">Source_Data!U$6</f>
        <v>48</v>
      </c>
      <c r="V6" s="30" t="n">
        <f aca="false">Source_Data!V$6</f>
        <v>51</v>
      </c>
      <c r="W6" s="30" t="n">
        <f aca="false">Source_Data!W$6</f>
        <v>54</v>
      </c>
      <c r="X6" s="30" t="n">
        <f aca="false">Source_Data!X$6</f>
        <v>57</v>
      </c>
      <c r="Y6" s="30" t="n">
        <f aca="false">Source_Data!Y$6</f>
        <v>60</v>
      </c>
      <c r="Z6" s="30" t="n">
        <f aca="false">Source_Data!Z$6</f>
        <v>63</v>
      </c>
      <c r="AA6" s="30" t="n">
        <f aca="false">Source_Data!AA$6</f>
        <v>66</v>
      </c>
      <c r="AB6" s="30" t="n">
        <f aca="false">Source_Data!AB$6</f>
        <v>69</v>
      </c>
      <c r="AC6" s="30" t="n">
        <f aca="false">Source_Data!AC$6</f>
        <v>72</v>
      </c>
      <c r="AD6" s="30" t="n">
        <f aca="false">Source_Data!AD$6</f>
        <v>75</v>
      </c>
      <c r="AE6" s="30" t="n">
        <f aca="false">Source_Data!AE$6</f>
        <v>78</v>
      </c>
      <c r="AF6" s="30" t="n">
        <f aca="false">Source_Data!AF$6</f>
        <v>81</v>
      </c>
      <c r="AG6" s="30" t="n">
        <f aca="false">Source_Data!AG$6</f>
        <v>84</v>
      </c>
      <c r="AH6" s="30" t="n">
        <f aca="false">Source_Data!AH$6</f>
        <v>87</v>
      </c>
      <c r="AI6" s="30" t="n">
        <f aca="false">Source_Data!AI$6</f>
        <v>90</v>
      </c>
      <c r="AJ6" s="30" t="n">
        <f aca="false">Source_Data!AJ$6</f>
        <v>93</v>
      </c>
      <c r="AK6" s="30" t="n">
        <f aca="false">Source_Data!AK$6</f>
        <v>96</v>
      </c>
      <c r="AL6" s="30" t="n">
        <f aca="false">Source_Data!AL$6</f>
        <v>99</v>
      </c>
      <c r="AM6" s="30" t="n">
        <f aca="false">Source_Data!AM$6</f>
        <v>102</v>
      </c>
      <c r="AN6" s="30" t="n">
        <f aca="false">Source_Data!AN$6</f>
        <v>105</v>
      </c>
      <c r="AO6" s="30" t="n">
        <f aca="false">Source_Data!AO$6</f>
        <v>108</v>
      </c>
      <c r="AP6" s="30" t="n">
        <f aca="false">Source_Data!AP$6</f>
        <v>111</v>
      </c>
      <c r="AQ6" s="30" t="n">
        <f aca="false">Source_Data!AQ$6</f>
        <v>114</v>
      </c>
      <c r="AR6" s="30" t="n">
        <f aca="false">Source_Data!AR$6</f>
        <v>117</v>
      </c>
      <c r="AS6" s="30" t="n">
        <f aca="false">Source_Data!AS$6</f>
        <v>120</v>
      </c>
      <c r="AT6" s="30" t="n">
        <f aca="false">Source_Data!AT$6</f>
        <v>123</v>
      </c>
      <c r="AU6" s="30" t="n">
        <f aca="false">Source_Data!AU$6</f>
        <v>126</v>
      </c>
      <c r="AV6" s="30" t="n">
        <f aca="false">Source_Data!AV$6</f>
        <v>129</v>
      </c>
      <c r="AW6" s="30" t="n">
        <f aca="false">Source_Data!AW$6</f>
        <v>132</v>
      </c>
      <c r="AX6" s="30" t="n">
        <f aca="false">Source_Data!AX$6</f>
        <v>135</v>
      </c>
      <c r="AY6" s="30" t="n">
        <f aca="false">Source_Data!AY$6</f>
        <v>138</v>
      </c>
      <c r="AZ6" s="30" t="n">
        <f aca="false">Source_Data!AZ$6</f>
        <v>141</v>
      </c>
      <c r="BA6" s="30" t="n">
        <f aca="false">Source_Data!BA$6</f>
        <v>144</v>
      </c>
      <c r="BB6" s="30" t="n">
        <f aca="false">Source_Data!BB$6</f>
        <v>147</v>
      </c>
      <c r="BC6" s="30" t="n">
        <f aca="false">Source_Data!BC$6</f>
        <v>150</v>
      </c>
      <c r="BD6" s="30" t="n">
        <f aca="false">Source_Data!BD$6</f>
        <v>153</v>
      </c>
      <c r="BE6" s="30" t="n">
        <f aca="false">Source_Data!BE$6</f>
        <v>156</v>
      </c>
      <c r="BF6" s="30" t="n">
        <f aca="false">Source_Data!BF$6</f>
        <v>159</v>
      </c>
      <c r="BG6" s="30" t="n">
        <f aca="false">Source_Data!BG$6</f>
        <v>162</v>
      </c>
      <c r="BH6" s="30" t="n">
        <f aca="false">Source_Data!BH$6</f>
        <v>165</v>
      </c>
      <c r="BI6" s="30" t="n">
        <f aca="false">Source_Data!BI$6</f>
        <v>168</v>
      </c>
      <c r="BJ6" s="30" t="n">
        <f aca="false">Source_Data!BJ$6</f>
        <v>171</v>
      </c>
      <c r="BK6" s="30" t="n">
        <f aca="false">Source_Data!BK$6</f>
        <v>174</v>
      </c>
    </row>
    <row r="7" customFormat="false" ht="15" hidden="false" customHeight="false" outlineLevel="0" collapsed="false">
      <c r="A7" s="3" t="s">
        <v>214</v>
      </c>
      <c r="D7" s="31" t="n">
        <f aca="false">D6/12</f>
        <v>-0.25</v>
      </c>
      <c r="E7" s="31" t="n">
        <f aca="false">E6/12</f>
        <v>0</v>
      </c>
      <c r="F7" s="31" t="n">
        <f aca="false">F6/12</f>
        <v>0.25</v>
      </c>
      <c r="G7" s="31" t="n">
        <f aca="false">G6/12</f>
        <v>0.5</v>
      </c>
      <c r="H7" s="31" t="n">
        <f aca="false">H6/12</f>
        <v>0.75</v>
      </c>
      <c r="I7" s="31" t="n">
        <f aca="false">I6/12</f>
        <v>1</v>
      </c>
      <c r="J7" s="31" t="n">
        <f aca="false">J6/12</f>
        <v>1.25</v>
      </c>
      <c r="K7" s="31" t="n">
        <f aca="false">K6/12</f>
        <v>1.5</v>
      </c>
      <c r="L7" s="31" t="n">
        <f aca="false">L6/12</f>
        <v>1.75</v>
      </c>
      <c r="M7" s="31" t="n">
        <f aca="false">M6/12</f>
        <v>2</v>
      </c>
      <c r="N7" s="31" t="n">
        <f aca="false">N6/12</f>
        <v>2.25</v>
      </c>
      <c r="O7" s="31" t="n">
        <f aca="false">O6/12</f>
        <v>2.5</v>
      </c>
      <c r="P7" s="31" t="n">
        <f aca="false">P6/12</f>
        <v>2.75</v>
      </c>
      <c r="Q7" s="31" t="n">
        <f aca="false">Q6/12</f>
        <v>3</v>
      </c>
      <c r="R7" s="31" t="n">
        <f aca="false">R6/12</f>
        <v>3.25</v>
      </c>
      <c r="S7" s="31" t="n">
        <f aca="false">S6/12</f>
        <v>3.5</v>
      </c>
      <c r="T7" s="31" t="n">
        <f aca="false">T6/12</f>
        <v>3.75</v>
      </c>
      <c r="U7" s="31" t="n">
        <f aca="false">U6/12</f>
        <v>4</v>
      </c>
      <c r="V7" s="31" t="n">
        <f aca="false">V6/12</f>
        <v>4.25</v>
      </c>
      <c r="W7" s="31" t="n">
        <f aca="false">W6/12</f>
        <v>4.5</v>
      </c>
      <c r="X7" s="31" t="n">
        <f aca="false">X6/12</f>
        <v>4.75</v>
      </c>
      <c r="Y7" s="31" t="n">
        <f aca="false">Y6/12</f>
        <v>5</v>
      </c>
      <c r="Z7" s="31" t="n">
        <f aca="false">Z6/12</f>
        <v>5.25</v>
      </c>
      <c r="AA7" s="31" t="n">
        <f aca="false">AA6/12</f>
        <v>5.5</v>
      </c>
      <c r="AB7" s="31" t="n">
        <f aca="false">AB6/12</f>
        <v>5.75</v>
      </c>
      <c r="AC7" s="31" t="n">
        <f aca="false">AC6/12</f>
        <v>6</v>
      </c>
      <c r="AD7" s="31" t="n">
        <f aca="false">AD6/12</f>
        <v>6.25</v>
      </c>
      <c r="AE7" s="31" t="n">
        <f aca="false">AE6/12</f>
        <v>6.5</v>
      </c>
      <c r="AF7" s="31" t="n">
        <f aca="false">AF6/12</f>
        <v>6.75</v>
      </c>
      <c r="AG7" s="31" t="n">
        <f aca="false">AG6/12</f>
        <v>7</v>
      </c>
      <c r="AH7" s="31" t="n">
        <f aca="false">AH6/12</f>
        <v>7.25</v>
      </c>
      <c r="AI7" s="31" t="n">
        <f aca="false">AI6/12</f>
        <v>7.5</v>
      </c>
      <c r="AJ7" s="31" t="n">
        <f aca="false">AJ6/12</f>
        <v>7.75</v>
      </c>
      <c r="AK7" s="31" t="n">
        <f aca="false">AK6/12</f>
        <v>8</v>
      </c>
      <c r="AL7" s="31" t="n">
        <f aca="false">AL6/12</f>
        <v>8.25</v>
      </c>
      <c r="AM7" s="31" t="n">
        <f aca="false">AM6/12</f>
        <v>8.5</v>
      </c>
      <c r="AN7" s="31" t="n">
        <f aca="false">AN6/12</f>
        <v>8.75</v>
      </c>
      <c r="AO7" s="31" t="n">
        <f aca="false">AO6/12</f>
        <v>9</v>
      </c>
      <c r="AP7" s="31" t="n">
        <f aca="false">AP6/12</f>
        <v>9.25</v>
      </c>
      <c r="AQ7" s="31" t="n">
        <f aca="false">AQ6/12</f>
        <v>9.5</v>
      </c>
      <c r="AR7" s="31" t="n">
        <f aca="false">AR6/12</f>
        <v>9.75</v>
      </c>
      <c r="AS7" s="31" t="n">
        <f aca="false">AS6/12</f>
        <v>10</v>
      </c>
      <c r="AT7" s="31" t="n">
        <f aca="false">AT6/12</f>
        <v>10.25</v>
      </c>
      <c r="AU7" s="31" t="n">
        <f aca="false">AU6/12</f>
        <v>10.5</v>
      </c>
      <c r="AV7" s="31" t="n">
        <f aca="false">AV6/12</f>
        <v>10.75</v>
      </c>
      <c r="AW7" s="31" t="n">
        <f aca="false">AW6/12</f>
        <v>11</v>
      </c>
      <c r="AX7" s="31" t="n">
        <f aca="false">AX6/12</f>
        <v>11.25</v>
      </c>
      <c r="AY7" s="31" t="n">
        <f aca="false">AY6/12</f>
        <v>11.5</v>
      </c>
      <c r="AZ7" s="31" t="n">
        <f aca="false">AZ6/12</f>
        <v>11.75</v>
      </c>
      <c r="BA7" s="31" t="n">
        <f aca="false">BA6/12</f>
        <v>12</v>
      </c>
      <c r="BB7" s="31" t="n">
        <f aca="false">BB6/12</f>
        <v>12.25</v>
      </c>
      <c r="BC7" s="31" t="n">
        <f aca="false">BC6/12</f>
        <v>12.5</v>
      </c>
      <c r="BD7" s="31" t="n">
        <f aca="false">BD6/12</f>
        <v>12.75</v>
      </c>
      <c r="BE7" s="31" t="n">
        <f aca="false">BE6/12</f>
        <v>13</v>
      </c>
      <c r="BF7" s="31" t="n">
        <f aca="false">BF6/12</f>
        <v>13.25</v>
      </c>
      <c r="BG7" s="31" t="n">
        <f aca="false">BG6/12</f>
        <v>13.5</v>
      </c>
      <c r="BH7" s="31" t="n">
        <f aca="false">BH6/12</f>
        <v>13.75</v>
      </c>
      <c r="BI7" s="31" t="n">
        <f aca="false">BI6/12</f>
        <v>14</v>
      </c>
      <c r="BJ7" s="31" t="n">
        <f aca="false">BJ6/12</f>
        <v>14.25</v>
      </c>
      <c r="BK7" s="31" t="n">
        <f aca="false">BK6/12</f>
        <v>14.5</v>
      </c>
    </row>
    <row r="8" customFormat="false" ht="15" hidden="false" customHeight="false" outlineLevel="0" collapsed="false">
      <c r="A8" s="3" t="s">
        <v>215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216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196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198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217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218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219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220</v>
      </c>
      <c r="D15" s="22" t="n">
        <f aca="false">1/(1+Inputs!$B$15)^D7</f>
        <v>1.03329948475896</v>
      </c>
      <c r="E15" s="22" t="n">
        <f aca="false">1/(1+Inputs!$B$15)^E7</f>
        <v>1</v>
      </c>
      <c r="F15" s="22" t="n">
        <f aca="false">1/(1+Inputs!$B$15)^F7</f>
        <v>0.967773636539916</v>
      </c>
      <c r="G15" s="22" t="n">
        <f aca="false">1/(1+Inputs!$B$15)^G7</f>
        <v>0.936585811581694</v>
      </c>
      <c r="H15" s="22" t="n">
        <f aca="false">1/(1+Inputs!$B$15)^H7</f>
        <v>0.906403056806105</v>
      </c>
      <c r="I15" s="22" t="n">
        <f aca="false">1/(1+Inputs!$B$15)^I7</f>
        <v>0.87719298245614</v>
      </c>
      <c r="J15" s="22" t="n">
        <f aca="false">1/(1+Inputs!$B$15)^J7</f>
        <v>0.848924242578874</v>
      </c>
      <c r="K15" s="22" t="n">
        <f aca="false">1/(1+Inputs!$B$15)^K7</f>
        <v>0.821566501387451</v>
      </c>
      <c r="L15" s="22" t="n">
        <f aca="false">1/(1+Inputs!$B$15)^L7</f>
        <v>0.795090400707109</v>
      </c>
      <c r="M15" s="22" t="n">
        <f aca="false">1/(1+Inputs!$B$15)^M7</f>
        <v>0.769467528470298</v>
      </c>
      <c r="N15" s="22" t="n">
        <f aca="false">1/(1+Inputs!$B$15)^N7</f>
        <v>0.744670388227082</v>
      </c>
      <c r="O15" s="22" t="n">
        <f aca="false">1/(1+Inputs!$B$15)^O7</f>
        <v>0.720672369638115</v>
      </c>
      <c r="P15" s="22" t="n">
        <f aca="false">1/(1+Inputs!$B$15)^P7</f>
        <v>0.697447719918517</v>
      </c>
      <c r="Q15" s="22" t="n">
        <f aca="false">1/(1+Inputs!$B$15)^Q7</f>
        <v>0.674971516202016</v>
      </c>
      <c r="R15" s="22" t="n">
        <f aca="false">1/(1+Inputs!$B$15)^R7</f>
        <v>0.653219638795686</v>
      </c>
      <c r="S15" s="22" t="n">
        <f aca="false">1/(1+Inputs!$B$15)^S7</f>
        <v>0.632168745296592</v>
      </c>
      <c r="T15" s="22" t="n">
        <f aca="false">1/(1+Inputs!$B$15)^T7</f>
        <v>0.611796245542559</v>
      </c>
      <c r="U15" s="22" t="n">
        <f aca="false">1/(1+Inputs!$B$15)^U7</f>
        <v>0.592080277370189</v>
      </c>
      <c r="V15" s="22" t="n">
        <f aca="false">1/(1+Inputs!$B$15)^V7</f>
        <v>0.572999683154111</v>
      </c>
      <c r="W15" s="22" t="n">
        <f aca="false">1/(1+Inputs!$B$15)^W7</f>
        <v>0.554533987102273</v>
      </c>
      <c r="X15" s="22" t="n">
        <f aca="false">1/(1+Inputs!$B$15)^X7</f>
        <v>0.536663373282946</v>
      </c>
      <c r="Y15" s="22" t="n">
        <f aca="false">1/(1+Inputs!$B$15)^Y7</f>
        <v>0.519368664359815</v>
      </c>
      <c r="Z15" s="22" t="n">
        <f aca="false">1/(1+Inputs!$B$15)^Z7</f>
        <v>0.502631301012378</v>
      </c>
      <c r="AA15" s="22" t="n">
        <f aca="false">1/(1+Inputs!$B$15)^AA7</f>
        <v>0.486433322019538</v>
      </c>
      <c r="AB15" s="22" t="n">
        <f aca="false">1/(1+Inputs!$B$15)^AB7</f>
        <v>0.47075734498504</v>
      </c>
      <c r="AC15" s="22" t="n">
        <f aca="false">1/(1+Inputs!$B$15)^AC7</f>
        <v>0.455586547684048</v>
      </c>
      <c r="AD15" s="22" t="n">
        <f aca="false">1/(1+Inputs!$B$15)^AD7</f>
        <v>0.440904650010858</v>
      </c>
      <c r="AE15" s="22" t="n">
        <f aca="false">1/(1+Inputs!$B$15)^AE7</f>
        <v>0.426695896508367</v>
      </c>
      <c r="AF15" s="22" t="n">
        <f aca="false">1/(1+Inputs!$B$15)^AF7</f>
        <v>0.412945039460562</v>
      </c>
      <c r="AG15" s="22" t="n">
        <f aca="false">1/(1+Inputs!$B$15)^AG7</f>
        <v>0.399637322529867</v>
      </c>
      <c r="AH15" s="22" t="n">
        <f aca="false">1/(1+Inputs!$B$15)^AH7</f>
        <v>0.386758464921805</v>
      </c>
      <c r="AI15" s="22" t="n">
        <f aca="false">1/(1+Inputs!$B$15)^AI7</f>
        <v>0.374294646059971</v>
      </c>
      <c r="AJ15" s="22" t="n">
        <f aca="false">1/(1+Inputs!$B$15)^AJ7</f>
        <v>0.362232490754879</v>
      </c>
      <c r="AK15" s="22" t="n">
        <f aca="false">1/(1+Inputs!$B$15)^AK7</f>
        <v>0.350559054850761</v>
      </c>
      <c r="AL15" s="22" t="n">
        <f aca="false">1/(1+Inputs!$B$15)^AL7</f>
        <v>0.339261811334916</v>
      </c>
      <c r="AM15" s="22" t="n">
        <f aca="false">1/(1+Inputs!$B$15)^AM7</f>
        <v>0.328328636894711</v>
      </c>
      <c r="AN15" s="22" t="n">
        <f aca="false">1/(1+Inputs!$B$15)^AN7</f>
        <v>0.317747798907788</v>
      </c>
      <c r="AO15" s="22" t="n">
        <f aca="false">1/(1+Inputs!$B$15)^AO7</f>
        <v>0.307507942851544</v>
      </c>
      <c r="AP15" s="22" t="n">
        <f aca="false">1/(1+Inputs!$B$15)^AP7</f>
        <v>0.297598080118348</v>
      </c>
      <c r="AQ15" s="22" t="n">
        <f aca="false">1/(1+Inputs!$B$15)^AQ7</f>
        <v>0.288007576223431</v>
      </c>
      <c r="AR15" s="22" t="n">
        <f aca="false">1/(1+Inputs!$B$15)^AR7</f>
        <v>0.278726139392797</v>
      </c>
      <c r="AS15" s="22" t="n">
        <f aca="false">1/(1+Inputs!$B$15)^AS7</f>
        <v>0.269743809518898</v>
      </c>
      <c r="AT15" s="22" t="n">
        <f aca="false">1/(1+Inputs!$B$15)^AT7</f>
        <v>0.261050947472235</v>
      </c>
      <c r="AU15" s="22" t="n">
        <f aca="false">1/(1+Inputs!$B$15)^AU7</f>
        <v>0.252638224757395</v>
      </c>
      <c r="AV15" s="22" t="n">
        <f aca="false">1/(1+Inputs!$B$15)^AV7</f>
        <v>0.244496613502453</v>
      </c>
      <c r="AW15" s="22" t="n">
        <f aca="false">1/(1+Inputs!$B$15)^AW7</f>
        <v>0.236617376770964</v>
      </c>
      <c r="AX15" s="22" t="n">
        <f aca="false">1/(1+Inputs!$B$15)^AX7</f>
        <v>0.228992059186171</v>
      </c>
      <c r="AY15" s="22" t="n">
        <f aca="false">1/(1+Inputs!$B$15)^AY7</f>
        <v>0.221612477857364</v>
      </c>
      <c r="AZ15" s="22" t="n">
        <f aca="false">1/(1+Inputs!$B$15)^AZ7</f>
        <v>0.214470713598643</v>
      </c>
      <c r="BA15" s="22" t="n">
        <f aca="false">1/(1+Inputs!$B$15)^BA7</f>
        <v>0.20755910243067</v>
      </c>
      <c r="BB15" s="22" t="n">
        <f aca="false">1/(1+Inputs!$B$15)^BB7</f>
        <v>0.20087022735629</v>
      </c>
      <c r="BC15" s="22" t="n">
        <f aca="false">1/(1+Inputs!$B$15)^BC7</f>
        <v>0.194396910401197</v>
      </c>
      <c r="BD15" s="22" t="n">
        <f aca="false">1/(1+Inputs!$B$15)^BD7</f>
        <v>0.18813220491109</v>
      </c>
      <c r="BE15" s="22" t="n">
        <f aca="false">1/(1+Inputs!$B$15)^BE7</f>
        <v>0.182069388097079</v>
      </c>
      <c r="BF15" s="22" t="n">
        <f aca="false">1/(1+Inputs!$B$15)^BF7</f>
        <v>0.176201953821307</v>
      </c>
      <c r="BG15" s="22" t="n">
        <f aca="false">1/(1+Inputs!$B$15)^BG7</f>
        <v>0.170523605615085</v>
      </c>
      <c r="BH15" s="22" t="n">
        <f aca="false">1/(1+Inputs!$B$15)^BH7</f>
        <v>0.165028249922009</v>
      </c>
      <c r="BI15" s="22" t="n">
        <f aca="false">1/(1+Inputs!$B$15)^BI7</f>
        <v>0.159709989558841</v>
      </c>
      <c r="BJ15" s="22" t="n">
        <f aca="false">1/(1+Inputs!$B$15)^BJ7</f>
        <v>0.154563117387112</v>
      </c>
      <c r="BK15" s="22" t="n">
        <f aca="false">1/(1+Inputs!$B$15)^BK7</f>
        <v>0.149582110188671</v>
      </c>
    </row>
    <row r="16" customFormat="false" ht="15" hidden="false" customHeight="false" outlineLevel="0" collapsed="false">
      <c r="A16" s="3" t="s">
        <v>221</v>
      </c>
      <c r="C16" s="28" t="n">
        <f aca="false">SUM(D16:BK16)</f>
        <v>229.889658679869</v>
      </c>
      <c r="D16" s="33" t="n">
        <f aca="false">D13*D15</f>
        <v>-94.2885779842551</v>
      </c>
      <c r="E16" s="33" t="n">
        <f aca="false">E13*E15</f>
        <v>-11.25</v>
      </c>
      <c r="F16" s="33" t="n">
        <f aca="false">F13*F15</f>
        <v>3.76390151874241</v>
      </c>
      <c r="G16" s="33" t="n">
        <f aca="false">G13*G15</f>
        <v>17.821799701037</v>
      </c>
      <c r="H16" s="33" t="n">
        <f aca="false">H13*H15</f>
        <v>0.917285558506881</v>
      </c>
      <c r="I16" s="33" t="n">
        <f aca="false">I13*I15</f>
        <v>8.67152412280702</v>
      </c>
      <c r="J16" s="33" t="n">
        <f aca="false">J13*J15</f>
        <v>-15.4892085635789</v>
      </c>
      <c r="K16" s="33" t="n">
        <f aca="false">K13*K15</f>
        <v>-1.23056746625222</v>
      </c>
      <c r="L16" s="33" t="n">
        <f aca="false">L13*L15</f>
        <v>5.32518827454319</v>
      </c>
      <c r="M16" s="33" t="n">
        <f aca="false">M13*M15</f>
        <v>324.424882656202</v>
      </c>
      <c r="N16" s="33" t="n">
        <f aca="false">N13*N15</f>
        <v>103.335482148807</v>
      </c>
      <c r="O16" s="33" t="n">
        <f aca="false">O13*O15</f>
        <v>93.4877745998414</v>
      </c>
      <c r="P16" s="33" t="n">
        <f aca="false">P13*P15</f>
        <v>-65.1327524798693</v>
      </c>
      <c r="Q16" s="33" t="n">
        <f aca="false">Q13*Q15</f>
        <v>-81.6383659547067</v>
      </c>
      <c r="R16" s="33" t="n">
        <f aca="false">R13*R15</f>
        <v>-112.060372024225</v>
      </c>
      <c r="S16" s="33" t="n">
        <f aca="false">S13*S15</f>
        <v>-74.7028523756905</v>
      </c>
      <c r="T16" s="33" t="n">
        <f aca="false">T13*T15</f>
        <v>9.92739723858438</v>
      </c>
      <c r="U16" s="33" t="n">
        <f aca="false">U13*U15</f>
        <v>8.71110893314381</v>
      </c>
      <c r="V16" s="33" t="n">
        <f aca="false">V13*V15</f>
        <v>4.99881754179149</v>
      </c>
      <c r="W16" s="33" t="n">
        <f aca="false">W13*W15</f>
        <v>2.4304917928081</v>
      </c>
      <c r="X16" s="33" t="n">
        <f aca="false">X13*X15</f>
        <v>14.4270917797726</v>
      </c>
      <c r="Y16" s="33" t="n">
        <f aca="false">Y13*Y15</f>
        <v>10.1810415879709</v>
      </c>
      <c r="Z16" s="33" t="n">
        <f aca="false">Z13*Z15</f>
        <v>9.8529436413547</v>
      </c>
      <c r="AA16" s="33" t="n">
        <f aca="false">AA13*AA15</f>
        <v>9.53541909841668</v>
      </c>
      <c r="AB16" s="33" t="n">
        <f aca="false">AB13*AB15</f>
        <v>17.0954239661969</v>
      </c>
      <c r="AC16" s="33" t="n">
        <f aca="false">AC13*AC15</f>
        <v>15.0519542429443</v>
      </c>
      <c r="AD16" s="33" t="n">
        <f aca="false">AD13*AD15</f>
        <v>12.9758993547409</v>
      </c>
      <c r="AE16" s="33" t="n">
        <f aca="false">AE13*AE15</f>
        <v>10.7054464191707</v>
      </c>
      <c r="AF16" s="33" t="n">
        <f aca="false">AF13*AF15</f>
        <v>-34.1377696139614</v>
      </c>
      <c r="AG16" s="33" t="n">
        <f aca="false">AG13*AG15</f>
        <v>5.63994518784937</v>
      </c>
      <c r="AH16" s="33" t="n">
        <f aca="false">AH13*AH15</f>
        <v>5.45819026433079</v>
      </c>
      <c r="AI16" s="33" t="n">
        <f aca="false">AI13*AI15</f>
        <v>5.28229264103817</v>
      </c>
      <c r="AJ16" s="33" t="n">
        <f aca="false">AJ13*AJ15</f>
        <v>5.11206355848555</v>
      </c>
      <c r="AK16" s="33" t="n">
        <f aca="false">AK13*AK15</f>
        <v>4.51664560077573</v>
      </c>
      <c r="AL16" s="33" t="n">
        <f aca="false">AL13*AL15</f>
        <v>4.37109053802474</v>
      </c>
      <c r="AM16" s="33" t="n">
        <f aca="false">AM13*AM15</f>
        <v>3.46091194347642</v>
      </c>
      <c r="AN16" s="33" t="n">
        <f aca="false">AN13*AN15</f>
        <v>1.72051511346151</v>
      </c>
      <c r="AO16" s="33" t="n">
        <f aca="false">AO13*AO15</f>
        <v>0.617596117584194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222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223</v>
      </c>
      <c r="B19" s="34" t="n">
        <f aca="false">C16</f>
        <v>229.889658679869</v>
      </c>
    </row>
    <row r="20" customFormat="false" ht="15" hidden="false" customHeight="false" outlineLevel="0" collapsed="false">
      <c r="A20" s="2" t="s">
        <v>164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224</v>
      </c>
    </row>
    <row r="2" customFormat="false" ht="15" hidden="false" customHeight="false" outlineLevel="0" collapsed="false">
      <c r="A2" s="6" t="s">
        <v>225</v>
      </c>
    </row>
    <row r="4" customFormat="false" ht="15" hidden="false" customHeight="false" outlineLevel="0" collapsed="false">
      <c r="A4" s="7" t="s">
        <v>226</v>
      </c>
      <c r="B4" s="7" t="s">
        <v>227</v>
      </c>
      <c r="C4" s="7" t="s">
        <v>228</v>
      </c>
    </row>
    <row r="5" customFormat="false" ht="15" hidden="false" customHeight="false" outlineLevel="0" collapsed="false">
      <c r="A5" s="3" t="s">
        <v>229</v>
      </c>
      <c r="B5" s="27" t="n">
        <f aca="false">Inputs!$B$22</f>
        <v>80</v>
      </c>
      <c r="C5" s="6" t="s">
        <v>230</v>
      </c>
    </row>
    <row r="6" customFormat="false" ht="15" hidden="false" customHeight="false" outlineLevel="0" collapsed="false">
      <c r="A6" s="3" t="s">
        <v>231</v>
      </c>
      <c r="B6" s="27" t="n">
        <f aca="false">-Project_CF!$B$20-Inputs!$B$22</f>
        <v>22.5</v>
      </c>
      <c r="C6" s="6" t="s">
        <v>232</v>
      </c>
    </row>
    <row r="7" customFormat="false" ht="15" hidden="false" customHeight="false" outlineLevel="0" collapsed="false">
      <c r="A7" s="3" t="s">
        <v>233</v>
      </c>
      <c r="B7" s="27" t="n">
        <f aca="false">Inputs!$B$25*Project_CF!$C$10*Inputs!$B$26</f>
        <v>10.4574</v>
      </c>
      <c r="C7" s="6" t="s">
        <v>234</v>
      </c>
    </row>
    <row r="8" customFormat="false" ht="15" hidden="false" customHeight="false" outlineLevel="0" collapsed="false">
      <c r="A8" s="2" t="s">
        <v>235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236</v>
      </c>
      <c r="B11" s="7" t="s">
        <v>227</v>
      </c>
      <c r="C11" s="7" t="s">
        <v>228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75</v>
      </c>
      <c r="C12" s="6" t="s">
        <v>237</v>
      </c>
    </row>
    <row r="13" customFormat="false" ht="15" hidden="false" customHeight="false" outlineLevel="0" collapsed="false">
      <c r="A13" s="3" t="s">
        <v>238</v>
      </c>
      <c r="B13" s="27" t="n">
        <f aca="false">MAX(0,B8-B12)</f>
        <v>37.9574</v>
      </c>
      <c r="C13" s="6" t="s">
        <v>7</v>
      </c>
    </row>
    <row r="14" customFormat="false" ht="15" hidden="false" customHeight="false" outlineLevel="0" collapsed="false">
      <c r="A14" s="3" t="s">
        <v>239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240</v>
      </c>
      <c r="B15" s="27" t="n">
        <f aca="false">MAX(0,B12-B8)</f>
        <v>0</v>
      </c>
      <c r="C15" s="6" t="s">
        <v>241</v>
      </c>
    </row>
    <row r="16" customFormat="false" ht="15" hidden="false" customHeight="false" outlineLevel="0" collapsed="false">
      <c r="A16" s="3" t="s">
        <v>242</v>
      </c>
      <c r="B16" s="36" t="n">
        <f aca="false">B12/-Project_CF!$B$20</f>
        <v>0.731707317073171</v>
      </c>
      <c r="C16" s="6"/>
    </row>
    <row r="17" customFormat="false" ht="15" hidden="false" customHeight="false" outlineLevel="0" collapsed="false">
      <c r="A17" s="3" t="s">
        <v>243</v>
      </c>
      <c r="B17" s="36" t="n">
        <f aca="false">MIN(B12,B8)/B8</f>
        <v>0.663967123889183</v>
      </c>
      <c r="C17" s="6"/>
    </row>
    <row r="18" customFormat="false" ht="15" hidden="false" customHeight="false" outlineLevel="0" collapsed="false">
      <c r="A18" s="3" t="s">
        <v>244</v>
      </c>
      <c r="B18" s="27" t="n">
        <f aca="false">MAX(0,B12+Project_CF!$B$20)</f>
        <v>0</v>
      </c>
      <c r="C18" s="6" t="s">
        <v>241</v>
      </c>
    </row>
    <row r="20" customFormat="false" ht="15" hidden="false" customHeight="false" outlineLevel="0" collapsed="false">
      <c r="A20" s="2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246</v>
      </c>
    </row>
    <row r="2" customFormat="false" ht="15" hidden="false" customHeight="false" outlineLevel="0" collapsed="false">
      <c r="A2" s="6" t="s">
        <v>247</v>
      </c>
    </row>
    <row r="4" customFormat="false" ht="15" hidden="false" customHeight="false" outlineLevel="0" collapsed="false">
      <c r="A4" s="7" t="s">
        <v>248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249</v>
      </c>
      <c r="B5" s="27" t="n">
        <f aca="false">Inputs!$B$8*Inputs!$B$7</f>
        <v>150</v>
      </c>
      <c r="C5" s="26" t="s">
        <v>89</v>
      </c>
    </row>
    <row r="6" customFormat="false" ht="15" hidden="false" customHeight="false" outlineLevel="0" collapsed="false">
      <c r="A6" s="3" t="s">
        <v>250</v>
      </c>
      <c r="B6" s="36" t="n">
        <f aca="false">B5/Inputs!$B$56</f>
        <v>0.247700718084382</v>
      </c>
    </row>
    <row r="7" customFormat="false" ht="15" hidden="false" customHeight="false" outlineLevel="0" collapsed="false">
      <c r="A7" s="3" t="s">
        <v>251</v>
      </c>
      <c r="B7" s="27" t="n">
        <f aca="false">B5*Inputs!$B$33/Inputs!$B$56</f>
        <v>48.3870967741936</v>
      </c>
      <c r="C7" s="26" t="s">
        <v>89</v>
      </c>
    </row>
    <row r="8" customFormat="false" ht="15" hidden="false" customHeight="false" outlineLevel="0" collapsed="false">
      <c r="A8" s="3" t="s">
        <v>252</v>
      </c>
      <c r="B8" s="27" t="n">
        <f aca="false">B5*Inputs!$B$34/Inputs!$B$56</f>
        <v>101.612903225806</v>
      </c>
      <c r="C8" s="26" t="s">
        <v>89</v>
      </c>
    </row>
    <row r="9" customFormat="false" ht="15" hidden="false" customHeight="false" outlineLevel="0" collapsed="false">
      <c r="A9" s="3" t="s">
        <v>253</v>
      </c>
      <c r="B9" s="37" t="n">
        <f aca="false">B7*1000/Inputs!$B$29</f>
        <v>215.05376344086</v>
      </c>
      <c r="C9" s="26" t="s">
        <v>254</v>
      </c>
    </row>
    <row r="10" customFormat="false" ht="15" hidden="false" customHeight="false" outlineLevel="0" collapsed="false">
      <c r="A10" s="3" t="s">
        <v>255</v>
      </c>
      <c r="B10" s="37" t="n">
        <f aca="false">B8*1000/Inputs!$B$30</f>
        <v>752.688172043011</v>
      </c>
      <c r="C10" s="26" t="s">
        <v>254</v>
      </c>
    </row>
    <row r="11" customFormat="false" ht="15" hidden="false" customHeight="false" outlineLevel="0" collapsed="false">
      <c r="A11" s="3" t="s">
        <v>256</v>
      </c>
      <c r="B11" s="27" t="n">
        <f aca="false">B5*Inputs!$B$35</f>
        <v>215.05376344086</v>
      </c>
      <c r="C11" s="26" t="s">
        <v>89</v>
      </c>
    </row>
    <row r="12" customFormat="false" ht="15" hidden="false" customHeight="false" outlineLevel="0" collapsed="false">
      <c r="A12" s="3" t="s">
        <v>257</v>
      </c>
      <c r="B12" s="27" t="n">
        <f aca="false">Inputs!$B$20*B5</f>
        <v>52.5</v>
      </c>
      <c r="C12" s="26" t="s">
        <v>89</v>
      </c>
    </row>
    <row r="15" customFormat="false" ht="15" hidden="false" customHeight="false" outlineLevel="0" collapsed="false">
      <c r="A15" s="7" t="s">
        <v>258</v>
      </c>
      <c r="B15" s="7" t="s">
        <v>183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186</v>
      </c>
      <c r="D16" s="30" t="n">
        <f aca="false">Source_Data!D$6</f>
        <v>-3</v>
      </c>
      <c r="E16" s="30" t="n">
        <f aca="false">Source_Data!E$6</f>
        <v>0</v>
      </c>
      <c r="F16" s="30" t="n">
        <f aca="false">Source_Data!F$6</f>
        <v>3</v>
      </c>
      <c r="G16" s="30" t="n">
        <f aca="false">Source_Data!G$6</f>
        <v>6</v>
      </c>
      <c r="H16" s="30" t="n">
        <f aca="false">Source_Data!H$6</f>
        <v>9</v>
      </c>
      <c r="I16" s="30" t="n">
        <f aca="false">Source_Data!I$6</f>
        <v>12</v>
      </c>
      <c r="J16" s="30" t="n">
        <f aca="false">Source_Data!J$6</f>
        <v>15</v>
      </c>
      <c r="K16" s="30" t="n">
        <f aca="false">Source_Data!K$6</f>
        <v>18</v>
      </c>
      <c r="L16" s="30" t="n">
        <f aca="false">Source_Data!L$6</f>
        <v>21</v>
      </c>
      <c r="M16" s="30" t="n">
        <f aca="false">Source_Data!M$6</f>
        <v>24</v>
      </c>
      <c r="N16" s="30" t="n">
        <f aca="false">Source_Data!N$6</f>
        <v>27</v>
      </c>
      <c r="O16" s="30" t="n">
        <f aca="false">Source_Data!O$6</f>
        <v>30</v>
      </c>
      <c r="P16" s="30" t="n">
        <f aca="false">Source_Data!P$6</f>
        <v>33</v>
      </c>
      <c r="Q16" s="30" t="n">
        <f aca="false">Source_Data!Q$6</f>
        <v>36</v>
      </c>
      <c r="R16" s="30" t="n">
        <f aca="false">Source_Data!R$6</f>
        <v>39</v>
      </c>
      <c r="S16" s="30" t="n">
        <f aca="false">Source_Data!S$6</f>
        <v>42</v>
      </c>
      <c r="T16" s="30" t="n">
        <f aca="false">Source_Data!T$6</f>
        <v>45</v>
      </c>
      <c r="U16" s="30" t="n">
        <f aca="false">Source_Data!U$6</f>
        <v>48</v>
      </c>
      <c r="V16" s="30" t="n">
        <f aca="false">Source_Data!V$6</f>
        <v>51</v>
      </c>
      <c r="W16" s="30" t="n">
        <f aca="false">Source_Data!W$6</f>
        <v>54</v>
      </c>
      <c r="X16" s="30" t="n">
        <f aca="false">Source_Data!X$6</f>
        <v>57</v>
      </c>
      <c r="Y16" s="30" t="n">
        <f aca="false">Source_Data!Y$6</f>
        <v>60</v>
      </c>
      <c r="Z16" s="30" t="n">
        <f aca="false">Source_Data!Z$6</f>
        <v>63</v>
      </c>
      <c r="AA16" s="30" t="n">
        <f aca="false">Source_Data!AA$6</f>
        <v>66</v>
      </c>
      <c r="AB16" s="30" t="n">
        <f aca="false">Source_Data!AB$6</f>
        <v>69</v>
      </c>
      <c r="AC16" s="30" t="n">
        <f aca="false">Source_Data!AC$6</f>
        <v>72</v>
      </c>
      <c r="AD16" s="30" t="n">
        <f aca="false">Source_Data!AD$6</f>
        <v>75</v>
      </c>
      <c r="AE16" s="30" t="n">
        <f aca="false">Source_Data!AE$6</f>
        <v>78</v>
      </c>
      <c r="AF16" s="30" t="n">
        <f aca="false">Source_Data!AF$6</f>
        <v>81</v>
      </c>
      <c r="AG16" s="30" t="n">
        <f aca="false">Source_Data!AG$6</f>
        <v>84</v>
      </c>
      <c r="AH16" s="30" t="n">
        <f aca="false">Source_Data!AH$6</f>
        <v>87</v>
      </c>
      <c r="AI16" s="30" t="n">
        <f aca="false">Source_Data!AI$6</f>
        <v>90</v>
      </c>
      <c r="AJ16" s="30" t="n">
        <f aca="false">Source_Data!AJ$6</f>
        <v>93</v>
      </c>
      <c r="AK16" s="30" t="n">
        <f aca="false">Source_Data!AK$6</f>
        <v>96</v>
      </c>
      <c r="AL16" s="30" t="n">
        <f aca="false">Source_Data!AL$6</f>
        <v>99</v>
      </c>
      <c r="AM16" s="30" t="n">
        <f aca="false">Source_Data!AM$6</f>
        <v>102</v>
      </c>
      <c r="AN16" s="30" t="n">
        <f aca="false">Source_Data!AN$6</f>
        <v>105</v>
      </c>
      <c r="AO16" s="30" t="n">
        <f aca="false">Source_Data!AO$6</f>
        <v>108</v>
      </c>
      <c r="AP16" s="30" t="n">
        <f aca="false">Source_Data!AP$6</f>
        <v>111</v>
      </c>
      <c r="AQ16" s="30" t="n">
        <f aca="false">Source_Data!AQ$6</f>
        <v>114</v>
      </c>
      <c r="AR16" s="30" t="n">
        <f aca="false">Source_Data!AR$6</f>
        <v>117</v>
      </c>
      <c r="AS16" s="30" t="n">
        <f aca="false">Source_Data!AS$6</f>
        <v>120</v>
      </c>
      <c r="AT16" s="30" t="n">
        <f aca="false">Source_Data!AT$6</f>
        <v>123</v>
      </c>
      <c r="AU16" s="30" t="n">
        <f aca="false">Source_Data!AU$6</f>
        <v>126</v>
      </c>
      <c r="AV16" s="30" t="n">
        <f aca="false">Source_Data!AV$6</f>
        <v>129</v>
      </c>
      <c r="AW16" s="30" t="n">
        <f aca="false">Source_Data!AW$6</f>
        <v>132</v>
      </c>
      <c r="AX16" s="30" t="n">
        <f aca="false">Source_Data!AX$6</f>
        <v>135</v>
      </c>
      <c r="AY16" s="30" t="n">
        <f aca="false">Source_Data!AY$6</f>
        <v>138</v>
      </c>
      <c r="AZ16" s="30" t="n">
        <f aca="false">Source_Data!AZ$6</f>
        <v>141</v>
      </c>
      <c r="BA16" s="30" t="n">
        <f aca="false">Source_Data!BA$6</f>
        <v>144</v>
      </c>
      <c r="BB16" s="30" t="n">
        <f aca="false">Source_Data!BB$6</f>
        <v>147</v>
      </c>
      <c r="BC16" s="30" t="n">
        <f aca="false">Source_Data!BC$6</f>
        <v>150</v>
      </c>
      <c r="BD16" s="30" t="n">
        <f aca="false">Source_Data!BD$6</f>
        <v>153</v>
      </c>
      <c r="BE16" s="30" t="n">
        <f aca="false">Source_Data!BE$6</f>
        <v>156</v>
      </c>
      <c r="BF16" s="30" t="n">
        <f aca="false">Source_Data!BF$6</f>
        <v>159</v>
      </c>
      <c r="BG16" s="30" t="n">
        <f aca="false">Source_Data!BG$6</f>
        <v>162</v>
      </c>
      <c r="BH16" s="30" t="n">
        <f aca="false">Source_Data!BH$6</f>
        <v>165</v>
      </c>
      <c r="BI16" s="30" t="n">
        <f aca="false">Source_Data!BI$6</f>
        <v>168</v>
      </c>
      <c r="BJ16" s="30" t="n">
        <f aca="false">Source_Data!BJ$6</f>
        <v>171</v>
      </c>
      <c r="BK16" s="30" t="n">
        <f aca="false">Source_Data!BK$6</f>
        <v>174</v>
      </c>
    </row>
    <row r="17" customFormat="false" ht="15" hidden="false" customHeight="false" outlineLevel="0" collapsed="false">
      <c r="A17" s="3" t="s">
        <v>259</v>
      </c>
      <c r="B17" s="38" t="n">
        <f aca="false">SUM(D17:BK17)</f>
        <v>133.602150537634</v>
      </c>
      <c r="D17" s="33" t="n">
        <f aca="false">IF(Source_Data!D$6=Inputs!$B$13,-Inputs!$B$7,0)+IF(AND(Source_Data!D$6&gt;=Inputs!$B$14+3,Source_Data!D$6&lt;Inputs!$B$14+3+3*Inputs!$B$17,MOD(Source_Data!D$6-(Inputs!$B$14+3),3)=0),$B$5*Inputs!$B$35*(1-Inputs!$B$16)/Inputs!$B$17,0)</f>
        <v>-75</v>
      </c>
      <c r="E17" s="33" t="n">
        <f aca="false">IF(Source_Data!E$6=Inputs!$B$13,-Inputs!$B$7,0)+IF(AND(Source_Data!E$6&gt;=Inputs!$B$14+3,Source_Data!E$6&lt;Inputs!$B$14+3+3*Inputs!$B$17,MOD(Source_Data!E$6-(Inputs!$B$14+3),3)=0),$B$5*Inputs!$B$35*(1-Inputs!$B$16)/Inputs!$B$17,0)</f>
        <v>0</v>
      </c>
      <c r="F17" s="33" t="n">
        <f aca="false">IF(Source_Data!F$6=Inputs!$B$13,-Inputs!$B$7,0)+IF(AND(Source_Data!F$6&gt;=Inputs!$B$14+3,Source_Data!F$6&lt;Inputs!$B$14+3+3*Inputs!$B$17,MOD(Source_Data!F$6-(Inputs!$B$14+3),3)=0),$B$5*Inputs!$B$35*(1-Inputs!$B$16)/Inputs!$B$17,0)</f>
        <v>0</v>
      </c>
      <c r="G17" s="33" t="n">
        <f aca="false">IF(Source_Data!G$6=Inputs!$B$13,-Inputs!$B$7,0)+IF(AND(Source_Data!G$6&gt;=Inputs!$B$14+3,Source_Data!G$6&lt;Inputs!$B$14+3+3*Inputs!$B$17,MOD(Source_Data!G$6-(Inputs!$B$14+3),3)=0),$B$5*Inputs!$B$35*(1-Inputs!$B$16)/Inputs!$B$17,0)</f>
        <v>0</v>
      </c>
      <c r="H17" s="33" t="n">
        <f aca="false">IF(Source_Data!H$6=Inputs!$B$13,-Inputs!$B$7,0)+IF(AND(Source_Data!H$6&gt;=Inputs!$B$14+3,Source_Data!H$6&lt;Inputs!$B$14+3+3*Inputs!$B$17,MOD(Source_Data!H$6-(Inputs!$B$14+3),3)=0),$B$5*Inputs!$B$35*(1-Inputs!$B$16)/Inputs!$B$17,0)</f>
        <v>0</v>
      </c>
      <c r="I17" s="33" t="n">
        <f aca="false">IF(Source_Data!I$6=Inputs!$B$13,-Inputs!$B$7,0)+IF(AND(Source_Data!I$6&gt;=Inputs!$B$14+3,Source_Data!I$6&lt;Inputs!$B$14+3+3*Inputs!$B$17,MOD(Source_Data!I$6-(Inputs!$B$14+3),3)=0),$B$5*Inputs!$B$35*(1-Inputs!$B$16)/Inputs!$B$17,0)</f>
        <v>0</v>
      </c>
      <c r="J17" s="33" t="n">
        <f aca="false">IF(Source_Data!J$6=Inputs!$B$13,-Inputs!$B$7,0)+IF(AND(Source_Data!J$6&gt;=Inputs!$B$14+3,Source_Data!J$6&lt;Inputs!$B$14+3+3*Inputs!$B$17,MOD(Source_Data!J$6-(Inputs!$B$14+3),3)=0),$B$5*Inputs!$B$35*(1-Inputs!$B$16)/Inputs!$B$17,0)</f>
        <v>0</v>
      </c>
      <c r="K17" s="33" t="n">
        <f aca="false">IF(Source_Data!K$6=Inputs!$B$13,-Inputs!$B$7,0)+IF(AND(Source_Data!K$6&gt;=Inputs!$B$14+3,Source_Data!K$6&lt;Inputs!$B$14+3+3*Inputs!$B$17,MOD(Source_Data!K$6-(Inputs!$B$14+3),3)=0),$B$5*Inputs!$B$35*(1-Inputs!$B$16)/Inputs!$B$17,0)</f>
        <v>0</v>
      </c>
      <c r="L17" s="33" t="n">
        <f aca="false">IF(Source_Data!L$6=Inputs!$B$13,-Inputs!$B$7,0)+IF(AND(Source_Data!L$6&gt;=Inputs!$B$14+3,Source_Data!L$6&lt;Inputs!$B$14+3+3*Inputs!$B$17,MOD(Source_Data!L$6-(Inputs!$B$14+3),3)=0),$B$5*Inputs!$B$35*(1-Inputs!$B$16)/Inputs!$B$17,0)</f>
        <v>0</v>
      </c>
      <c r="M17" s="33" t="n">
        <f aca="false">IF(Source_Data!M$6=Inputs!$B$13,-Inputs!$B$7,0)+IF(AND(Source_Data!M$6&gt;=Inputs!$B$14+3,Source_Data!M$6&lt;Inputs!$B$14+3+3*Inputs!$B$17,MOD(Source_Data!M$6-(Inputs!$B$14+3),3)=0),$B$5*Inputs!$B$35*(1-Inputs!$B$16)/Inputs!$B$17,0)</f>
        <v>0</v>
      </c>
      <c r="N17" s="33" t="n">
        <f aca="false">IF(Source_Data!N$6=Inputs!$B$13,-Inputs!$B$7,0)+IF(AND(Source_Data!N$6&gt;=Inputs!$B$14+3,Source_Data!N$6&lt;Inputs!$B$14+3+3*Inputs!$B$17,MOD(Source_Data!N$6-(Inputs!$B$14+3),3)=0),$B$5*Inputs!$B$35*(1-Inputs!$B$16)/Inputs!$B$17,0)</f>
        <v>0</v>
      </c>
      <c r="O17" s="33" t="n">
        <f aca="false">IF(Source_Data!O$6=Inputs!$B$13,-Inputs!$B$7,0)+IF(AND(Source_Data!O$6&gt;=Inputs!$B$14+3,Source_Data!O$6&lt;Inputs!$B$14+3+3*Inputs!$B$17,MOD(Source_Data!O$6-(Inputs!$B$14+3),3)=0),$B$5*Inputs!$B$35*(1-Inputs!$B$16)/Inputs!$B$17,0)</f>
        <v>0</v>
      </c>
      <c r="P17" s="33" t="n">
        <f aca="false">IF(Source_Data!P$6=Inputs!$B$13,-Inputs!$B$7,0)+IF(AND(Source_Data!P$6&gt;=Inputs!$B$14+3,Source_Data!P$6&lt;Inputs!$B$14+3+3*Inputs!$B$17,MOD(Source_Data!P$6-(Inputs!$B$14+3),3)=0),$B$5*Inputs!$B$35*(1-Inputs!$B$16)/Inputs!$B$17,0)</f>
        <v>0</v>
      </c>
      <c r="Q17" s="33" t="n">
        <f aca="false">IF(Source_Data!Q$6=Inputs!$B$13,-Inputs!$B$7,0)+IF(AND(Source_Data!Q$6&gt;=Inputs!$B$14+3,Source_Data!Q$6&lt;Inputs!$B$14+3+3*Inputs!$B$17,MOD(Source_Data!Q$6-(Inputs!$B$14+3),3)=0),$B$5*Inputs!$B$35*(1-Inputs!$B$16)/Inputs!$B$17,0)</f>
        <v>0</v>
      </c>
      <c r="R17" s="33" t="n">
        <f aca="false">IF(Source_Data!R$6=Inputs!$B$13,-Inputs!$B$7,0)+IF(AND(Source_Data!R$6&gt;=Inputs!$B$14+3,Source_Data!R$6&lt;Inputs!$B$14+3+3*Inputs!$B$17,MOD(Source_Data!R$6-(Inputs!$B$14+3),3)=0),$B$5*Inputs!$B$35*(1-Inputs!$B$16)/Inputs!$B$17,0)</f>
        <v>0</v>
      </c>
      <c r="S17" s="33" t="n">
        <f aca="false">IF(Source_Data!S$6=Inputs!$B$13,-Inputs!$B$7,0)+IF(AND(Source_Data!S$6&gt;=Inputs!$B$14+3,Source_Data!S$6&lt;Inputs!$B$14+3+3*Inputs!$B$17,MOD(Source_Data!S$6-(Inputs!$B$14+3),3)=0),$B$5*Inputs!$B$35*(1-Inputs!$B$16)/Inputs!$B$17,0)</f>
        <v>0</v>
      </c>
      <c r="T17" s="33" t="n">
        <f aca="false">IF(Source_Data!T$6=Inputs!$B$13,-Inputs!$B$7,0)+IF(AND(Source_Data!T$6&gt;=Inputs!$B$14+3,Source_Data!T$6&lt;Inputs!$B$14+3+3*Inputs!$B$17,MOD(Source_Data!T$6-(Inputs!$B$14+3),3)=0),$B$5*Inputs!$B$35*(1-Inputs!$B$16)/Inputs!$B$17,0)</f>
        <v>52.1505376344086</v>
      </c>
      <c r="U17" s="33" t="n">
        <f aca="false">IF(Source_Data!U$6=Inputs!$B$13,-Inputs!$B$7,0)+IF(AND(Source_Data!U$6&gt;=Inputs!$B$14+3,Source_Data!U$6&lt;Inputs!$B$14+3+3*Inputs!$B$17,MOD(Source_Data!U$6-(Inputs!$B$14+3),3)=0),$B$5*Inputs!$B$35*(1-Inputs!$B$16)/Inputs!$B$17,0)</f>
        <v>52.1505376344086</v>
      </c>
      <c r="V17" s="33" t="n">
        <f aca="false">IF(Source_Data!V$6=Inputs!$B$13,-Inputs!$B$7,0)+IF(AND(Source_Data!V$6&gt;=Inputs!$B$14+3,Source_Data!V$6&lt;Inputs!$B$14+3+3*Inputs!$B$17,MOD(Source_Data!V$6-(Inputs!$B$14+3),3)=0),$B$5*Inputs!$B$35*(1-Inputs!$B$16)/Inputs!$B$17,0)</f>
        <v>52.1505376344086</v>
      </c>
      <c r="W17" s="33" t="n">
        <f aca="false">IF(Source_Data!W$6=Inputs!$B$13,-Inputs!$B$7,0)+IF(AND(Source_Data!W$6&gt;=Inputs!$B$14+3,Source_Data!W$6&lt;Inputs!$B$14+3+3*Inputs!$B$17,MOD(Source_Data!W$6-(Inputs!$B$14+3),3)=0),$B$5*Inputs!$B$35*(1-Inputs!$B$16)/Inputs!$B$17,0)</f>
        <v>52.1505376344086</v>
      </c>
      <c r="X17" s="33" t="n">
        <f aca="false">IF(Source_Data!X$6=Inputs!$B$13,-Inputs!$B$7,0)+IF(AND(Source_Data!X$6&gt;=Inputs!$B$14+3,Source_Data!X$6&lt;Inputs!$B$14+3+3*Inputs!$B$17,MOD(Source_Data!X$6-(Inputs!$B$14+3),3)=0),$B$5*Inputs!$B$35*(1-Inputs!$B$16)/Inputs!$B$17,0)</f>
        <v>0</v>
      </c>
      <c r="Y17" s="33" t="n">
        <f aca="false">IF(Source_Data!Y$6=Inputs!$B$13,-Inputs!$B$7,0)+IF(AND(Source_Data!Y$6&gt;=Inputs!$B$14+3,Source_Data!Y$6&lt;Inputs!$B$14+3+3*Inputs!$B$17,MOD(Source_Data!Y$6-(Inputs!$B$14+3),3)=0),$B$5*Inputs!$B$35*(1-Inputs!$B$16)/Inputs!$B$17,0)</f>
        <v>0</v>
      </c>
      <c r="Z17" s="33" t="n">
        <f aca="false">IF(Source_Data!Z$6=Inputs!$B$13,-Inputs!$B$7,0)+IF(AND(Source_Data!Z$6&gt;=Inputs!$B$14+3,Source_Data!Z$6&lt;Inputs!$B$14+3+3*Inputs!$B$17,MOD(Source_Data!Z$6-(Inputs!$B$14+3),3)=0),$B$5*Inputs!$B$35*(1-Inputs!$B$16)/Inputs!$B$17,0)</f>
        <v>0</v>
      </c>
      <c r="AA17" s="33" t="n">
        <f aca="false">IF(Source_Data!AA$6=Inputs!$B$13,-Inputs!$B$7,0)+IF(AND(Source_Data!AA$6&gt;=Inputs!$B$14+3,Source_Data!AA$6&lt;Inputs!$B$14+3+3*Inputs!$B$17,MOD(Source_Data!AA$6-(Inputs!$B$14+3),3)=0),$B$5*Inputs!$B$35*(1-Inputs!$B$16)/Inputs!$B$17,0)</f>
        <v>0</v>
      </c>
      <c r="AB17" s="33" t="n">
        <f aca="false">IF(Source_Data!AB$6=Inputs!$B$13,-Inputs!$B$7,0)+IF(AND(Source_Data!AB$6&gt;=Inputs!$B$14+3,Source_Data!AB$6&lt;Inputs!$B$14+3+3*Inputs!$B$17,MOD(Source_Data!AB$6-(Inputs!$B$14+3),3)=0),$B$5*Inputs!$B$35*(1-Inputs!$B$16)/Inputs!$B$17,0)</f>
        <v>0</v>
      </c>
      <c r="AC17" s="33" t="n">
        <f aca="false">IF(Source_Data!AC$6=Inputs!$B$13,-Inputs!$B$7,0)+IF(AND(Source_Data!AC$6&gt;=Inputs!$B$14+3,Source_Data!AC$6&lt;Inputs!$B$14+3+3*Inputs!$B$17,MOD(Source_Data!AC$6-(Inputs!$B$14+3),3)=0),$B$5*Inputs!$B$35*(1-Inputs!$B$16)/Inputs!$B$17,0)</f>
        <v>0</v>
      </c>
      <c r="AD17" s="33" t="n">
        <f aca="false">IF(Source_Data!AD$6=Inputs!$B$13,-Inputs!$B$7,0)+IF(AND(Source_Data!AD$6&gt;=Inputs!$B$14+3,Source_Data!AD$6&lt;Inputs!$B$14+3+3*Inputs!$B$17,MOD(Source_Data!AD$6-(Inputs!$B$14+3),3)=0),$B$5*Inputs!$B$35*(1-Inputs!$B$16)/Inputs!$B$17,0)</f>
        <v>0</v>
      </c>
      <c r="AE17" s="33" t="n">
        <f aca="false">IF(Source_Data!AE$6=Inputs!$B$13,-Inputs!$B$7,0)+IF(AND(Source_Data!AE$6&gt;=Inputs!$B$14+3,Source_Data!AE$6&lt;Inputs!$B$14+3+3*Inputs!$B$17,MOD(Source_Data!AE$6-(Inputs!$B$14+3),3)=0),$B$5*Inputs!$B$35*(1-Inputs!$B$16)/Inputs!$B$17,0)</f>
        <v>0</v>
      </c>
      <c r="AF17" s="33" t="n">
        <f aca="false">IF(Source_Data!AF$6=Inputs!$B$13,-Inputs!$B$7,0)+IF(AND(Source_Data!AF$6&gt;=Inputs!$B$14+3,Source_Data!AF$6&lt;Inputs!$B$14+3+3*Inputs!$B$17,MOD(Source_Data!AF$6-(Inputs!$B$14+3),3)=0),$B$5*Inputs!$B$35*(1-Inputs!$B$16)/Inputs!$B$17,0)</f>
        <v>0</v>
      </c>
      <c r="AG17" s="33" t="n">
        <f aca="false">IF(Source_Data!AG$6=Inputs!$B$13,-Inputs!$B$7,0)+IF(AND(Source_Data!AG$6&gt;=Inputs!$B$14+3,Source_Data!AG$6&lt;Inputs!$B$14+3+3*Inputs!$B$17,MOD(Source_Data!AG$6-(Inputs!$B$14+3),3)=0),$B$5*Inputs!$B$35*(1-Inputs!$B$16)/Inputs!$B$17,0)</f>
        <v>0</v>
      </c>
      <c r="AH17" s="33" t="n">
        <f aca="false">IF(Source_Data!AH$6=Inputs!$B$13,-Inputs!$B$7,0)+IF(AND(Source_Data!AH$6&gt;=Inputs!$B$14+3,Source_Data!AH$6&lt;Inputs!$B$14+3+3*Inputs!$B$17,MOD(Source_Data!AH$6-(Inputs!$B$14+3),3)=0),$B$5*Inputs!$B$35*(1-Inputs!$B$16)/Inputs!$B$17,0)</f>
        <v>0</v>
      </c>
      <c r="AI17" s="33" t="n">
        <f aca="false">IF(Source_Data!AI$6=Inputs!$B$13,-Inputs!$B$7,0)+IF(AND(Source_Data!AI$6&gt;=Inputs!$B$14+3,Source_Data!AI$6&lt;Inputs!$B$14+3+3*Inputs!$B$17,MOD(Source_Data!AI$6-(Inputs!$B$14+3),3)=0),$B$5*Inputs!$B$35*(1-Inputs!$B$16)/Inputs!$B$17,0)</f>
        <v>0</v>
      </c>
      <c r="AJ17" s="33" t="n">
        <f aca="false">IF(Source_Data!AJ$6=Inputs!$B$13,-Inputs!$B$7,0)+IF(AND(Source_Data!AJ$6&gt;=Inputs!$B$14+3,Source_Data!AJ$6&lt;Inputs!$B$14+3+3*Inputs!$B$17,MOD(Source_Data!AJ$6-(Inputs!$B$14+3),3)=0),$B$5*Inputs!$B$35*(1-Inputs!$B$16)/Inputs!$B$17,0)</f>
        <v>0</v>
      </c>
      <c r="AK17" s="33" t="n">
        <f aca="false">IF(Source_Data!AK$6=Inputs!$B$13,-Inputs!$B$7,0)+IF(AND(Source_Data!AK$6&gt;=Inputs!$B$14+3,Source_Data!AK$6&lt;Inputs!$B$14+3+3*Inputs!$B$17,MOD(Source_Data!AK$6-(Inputs!$B$14+3),3)=0),$B$5*Inputs!$B$35*(1-Inputs!$B$16)/Inputs!$B$17,0)</f>
        <v>0</v>
      </c>
      <c r="AL17" s="33" t="n">
        <f aca="false">IF(Source_Data!AL$6=Inputs!$B$13,-Inputs!$B$7,0)+IF(AND(Source_Data!AL$6&gt;=Inputs!$B$14+3,Source_Data!AL$6&lt;Inputs!$B$14+3+3*Inputs!$B$17,MOD(Source_Data!AL$6-(Inputs!$B$14+3),3)=0),$B$5*Inputs!$B$35*(1-Inputs!$B$16)/Inputs!$B$17,0)</f>
        <v>0</v>
      </c>
      <c r="AM17" s="33" t="n">
        <f aca="false">IF(Source_Data!AM$6=Inputs!$B$13,-Inputs!$B$7,0)+IF(AND(Source_Data!AM$6&gt;=Inputs!$B$14+3,Source_Data!AM$6&lt;Inputs!$B$14+3+3*Inputs!$B$17,MOD(Source_Data!AM$6-(Inputs!$B$14+3),3)=0),$B$5*Inputs!$B$35*(1-Inputs!$B$16)/Inputs!$B$17,0)</f>
        <v>0</v>
      </c>
      <c r="AN17" s="33" t="n">
        <f aca="false">IF(Source_Data!AN$6=Inputs!$B$13,-Inputs!$B$7,0)+IF(AND(Source_Data!AN$6&gt;=Inputs!$B$14+3,Source_Data!AN$6&lt;Inputs!$B$14+3+3*Inputs!$B$17,MOD(Source_Data!AN$6-(Inputs!$B$14+3),3)=0),$B$5*Inputs!$B$35*(1-Inputs!$B$16)/Inputs!$B$17,0)</f>
        <v>0</v>
      </c>
      <c r="AO17" s="33" t="n">
        <f aca="false">IF(Source_Data!AO$6=Inputs!$B$13,-Inputs!$B$7,0)+IF(AND(Source_Data!AO$6&gt;=Inputs!$B$14+3,Source_Data!AO$6&lt;Inputs!$B$14+3+3*Inputs!$B$17,MOD(Source_Data!AO$6-(Inputs!$B$14+3),3)=0),$B$5*Inputs!$B$35*(1-Inputs!$B$16)/Inputs!$B$17,0)</f>
        <v>0</v>
      </c>
      <c r="AP17" s="33" t="n">
        <f aca="false">IF(Source_Data!AP$6=Inputs!$B$13,-Inputs!$B$7,0)+IF(AND(Source_Data!AP$6&gt;=Inputs!$B$14+3,Source_Data!AP$6&lt;Inputs!$B$14+3+3*Inputs!$B$17,MOD(Source_Data!AP$6-(Inputs!$B$14+3),3)=0),$B$5*Inputs!$B$35*(1-Inputs!$B$16)/Inputs!$B$17,0)</f>
        <v>0</v>
      </c>
      <c r="AQ17" s="33" t="n">
        <f aca="false">IF(Source_Data!AQ$6=Inputs!$B$13,-Inputs!$B$7,0)+IF(AND(Source_Data!AQ$6&gt;=Inputs!$B$14+3,Source_Data!AQ$6&lt;Inputs!$B$14+3+3*Inputs!$B$17,MOD(Source_Data!AQ$6-(Inputs!$B$14+3),3)=0),$B$5*Inputs!$B$35*(1-Inputs!$B$16)/Inputs!$B$17,0)</f>
        <v>0</v>
      </c>
      <c r="AR17" s="33" t="n">
        <f aca="false">IF(Source_Data!AR$6=Inputs!$B$13,-Inputs!$B$7,0)+IF(AND(Source_Data!AR$6&gt;=Inputs!$B$14+3,Source_Data!AR$6&lt;Inputs!$B$14+3+3*Inputs!$B$17,MOD(Source_Data!AR$6-(Inputs!$B$14+3),3)=0),$B$5*Inputs!$B$35*(1-Inputs!$B$16)/Inputs!$B$17,0)</f>
        <v>0</v>
      </c>
      <c r="AS17" s="33" t="n">
        <f aca="false">IF(Source_Data!AS$6=Inputs!$B$13,-Inputs!$B$7,0)+IF(AND(Source_Data!AS$6&gt;=Inputs!$B$14+3,Source_Data!AS$6&lt;Inputs!$B$14+3+3*Inputs!$B$17,MOD(Source_Data!AS$6-(Inputs!$B$14+3),3)=0),$B$5*Inputs!$B$35*(1-Inputs!$B$16)/Inputs!$B$17,0)</f>
        <v>0</v>
      </c>
      <c r="AT17" s="33" t="n">
        <f aca="false">IF(Source_Data!AT$6=Inputs!$B$13,-Inputs!$B$7,0)+IF(AND(Source_Data!AT$6&gt;=Inputs!$B$14+3,Source_Data!AT$6&lt;Inputs!$B$14+3+3*Inputs!$B$17,MOD(Source_Data!AT$6-(Inputs!$B$14+3),3)=0),$B$5*Inputs!$B$35*(1-Inputs!$B$16)/Inputs!$B$17,0)</f>
        <v>0</v>
      </c>
      <c r="AU17" s="33" t="n">
        <f aca="false">IF(Source_Data!AU$6=Inputs!$B$13,-Inputs!$B$7,0)+IF(AND(Source_Data!AU$6&gt;=Inputs!$B$14+3,Source_Data!AU$6&lt;Inputs!$B$14+3+3*Inputs!$B$17,MOD(Source_Data!AU$6-(Inputs!$B$14+3),3)=0),$B$5*Inputs!$B$35*(1-Inputs!$B$16)/Inputs!$B$17,0)</f>
        <v>0</v>
      </c>
      <c r="AV17" s="33" t="n">
        <f aca="false">IF(Source_Data!AV$6=Inputs!$B$13,-Inputs!$B$7,0)+IF(AND(Source_Data!AV$6&gt;=Inputs!$B$14+3,Source_Data!AV$6&lt;Inputs!$B$14+3+3*Inputs!$B$17,MOD(Source_Data!AV$6-(Inputs!$B$14+3),3)=0),$B$5*Inputs!$B$35*(1-Inputs!$B$16)/Inputs!$B$17,0)</f>
        <v>0</v>
      </c>
      <c r="AW17" s="33" t="n">
        <f aca="false">IF(Source_Data!AW$6=Inputs!$B$13,-Inputs!$B$7,0)+IF(AND(Source_Data!AW$6&gt;=Inputs!$B$14+3,Source_Data!AW$6&lt;Inputs!$B$14+3+3*Inputs!$B$17,MOD(Source_Data!AW$6-(Inputs!$B$14+3),3)=0),$B$5*Inputs!$B$35*(1-Inputs!$B$16)/Inputs!$B$17,0)</f>
        <v>0</v>
      </c>
      <c r="AX17" s="33" t="n">
        <f aca="false">IF(Source_Data!AX$6=Inputs!$B$13,-Inputs!$B$7,0)+IF(AND(Source_Data!AX$6&gt;=Inputs!$B$14+3,Source_Data!AX$6&lt;Inputs!$B$14+3+3*Inputs!$B$17,MOD(Source_Data!AX$6-(Inputs!$B$14+3),3)=0),$B$5*Inputs!$B$35*(1-Inputs!$B$16)/Inputs!$B$17,0)</f>
        <v>0</v>
      </c>
      <c r="AY17" s="33" t="n">
        <f aca="false">IF(Source_Data!AY$6=Inputs!$B$13,-Inputs!$B$7,0)+IF(AND(Source_Data!AY$6&gt;=Inputs!$B$14+3,Source_Data!AY$6&lt;Inputs!$B$14+3+3*Inputs!$B$17,MOD(Source_Data!AY$6-(Inputs!$B$14+3),3)=0),$B$5*Inputs!$B$35*(1-Inputs!$B$16)/Inputs!$B$17,0)</f>
        <v>0</v>
      </c>
      <c r="AZ17" s="33" t="n">
        <f aca="false">IF(Source_Data!AZ$6=Inputs!$B$13,-Inputs!$B$7,0)+IF(AND(Source_Data!AZ$6&gt;=Inputs!$B$14+3,Source_Data!AZ$6&lt;Inputs!$B$14+3+3*Inputs!$B$17,MOD(Source_Data!AZ$6-(Inputs!$B$14+3),3)=0),$B$5*Inputs!$B$35*(1-Inputs!$B$16)/Inputs!$B$17,0)</f>
        <v>0</v>
      </c>
      <c r="BA17" s="33" t="n">
        <f aca="false">IF(Source_Data!BA$6=Inputs!$B$13,-Inputs!$B$7,0)+IF(AND(Source_Data!BA$6&gt;=Inputs!$B$14+3,Source_Data!BA$6&lt;Inputs!$B$14+3+3*Inputs!$B$17,MOD(Source_Data!BA$6-(Inputs!$B$14+3),3)=0),$B$5*Inputs!$B$35*(1-Inputs!$B$16)/Inputs!$B$17,0)</f>
        <v>0</v>
      </c>
      <c r="BB17" s="33" t="n">
        <f aca="false">IF(Source_Data!BB$6=Inputs!$B$13,-Inputs!$B$7,0)+IF(AND(Source_Data!BB$6&gt;=Inputs!$B$14+3,Source_Data!BB$6&lt;Inputs!$B$14+3+3*Inputs!$B$17,MOD(Source_Data!BB$6-(Inputs!$B$14+3),3)=0),$B$5*Inputs!$B$35*(1-Inputs!$B$16)/Inputs!$B$17,0)</f>
        <v>0</v>
      </c>
      <c r="BC17" s="33" t="n">
        <f aca="false">IF(Source_Data!BC$6=Inputs!$B$13,-Inputs!$B$7,0)+IF(AND(Source_Data!BC$6&gt;=Inputs!$B$14+3,Source_Data!BC$6&lt;Inputs!$B$14+3+3*Inputs!$B$17,MOD(Source_Data!BC$6-(Inputs!$B$14+3),3)=0),$B$5*Inputs!$B$35*(1-Inputs!$B$16)/Inputs!$B$17,0)</f>
        <v>0</v>
      </c>
      <c r="BD17" s="33" t="n">
        <f aca="false">IF(Source_Data!BD$6=Inputs!$B$13,-Inputs!$B$7,0)+IF(AND(Source_Data!BD$6&gt;=Inputs!$B$14+3,Source_Data!BD$6&lt;Inputs!$B$14+3+3*Inputs!$B$17,MOD(Source_Data!BD$6-(Inputs!$B$14+3),3)=0),$B$5*Inputs!$B$35*(1-Inputs!$B$16)/Inputs!$B$17,0)</f>
        <v>0</v>
      </c>
      <c r="BE17" s="33" t="n">
        <f aca="false">IF(Source_Data!BE$6=Inputs!$B$13,-Inputs!$B$7,0)+IF(AND(Source_Data!BE$6&gt;=Inputs!$B$14+3,Source_Data!BE$6&lt;Inputs!$B$14+3+3*Inputs!$B$17,MOD(Source_Data!BE$6-(Inputs!$B$14+3),3)=0),$B$5*Inputs!$B$35*(1-Inputs!$B$16)/Inputs!$B$17,0)</f>
        <v>0</v>
      </c>
      <c r="BF17" s="33" t="n">
        <f aca="false">IF(Source_Data!BF$6=Inputs!$B$13,-Inputs!$B$7,0)+IF(AND(Source_Data!BF$6&gt;=Inputs!$B$14+3,Source_Data!BF$6&lt;Inputs!$B$14+3+3*Inputs!$B$17,MOD(Source_Data!BF$6-(Inputs!$B$14+3),3)=0),$B$5*Inputs!$B$35*(1-Inputs!$B$16)/Inputs!$B$17,0)</f>
        <v>0</v>
      </c>
      <c r="BG17" s="33" t="n">
        <f aca="false">IF(Source_Data!BG$6=Inputs!$B$13,-Inputs!$B$7,0)+IF(AND(Source_Data!BG$6&gt;=Inputs!$B$14+3,Source_Data!BG$6&lt;Inputs!$B$14+3+3*Inputs!$B$17,MOD(Source_Data!BG$6-(Inputs!$B$14+3),3)=0),$B$5*Inputs!$B$35*(1-Inputs!$B$16)/Inputs!$B$17,0)</f>
        <v>0</v>
      </c>
      <c r="BH17" s="33" t="n">
        <f aca="false">IF(Source_Data!BH$6=Inputs!$B$13,-Inputs!$B$7,0)+IF(AND(Source_Data!BH$6&gt;=Inputs!$B$14+3,Source_Data!BH$6&lt;Inputs!$B$14+3+3*Inputs!$B$17,MOD(Source_Data!BH$6-(Inputs!$B$14+3),3)=0),$B$5*Inputs!$B$35*(1-Inputs!$B$16)/Inputs!$B$17,0)</f>
        <v>0</v>
      </c>
      <c r="BI17" s="33" t="n">
        <f aca="false">IF(Source_Data!BI$6=Inputs!$B$13,-Inputs!$B$7,0)+IF(AND(Source_Data!BI$6&gt;=Inputs!$B$14+3,Source_Data!BI$6&lt;Inputs!$B$14+3+3*Inputs!$B$17,MOD(Source_Data!BI$6-(Inputs!$B$14+3),3)=0),$B$5*Inputs!$B$35*(1-Inputs!$B$16)/Inputs!$B$17,0)</f>
        <v>0</v>
      </c>
      <c r="BJ17" s="33" t="n">
        <f aca="false">IF(Source_Data!BJ$6=Inputs!$B$13,-Inputs!$B$7,0)+IF(AND(Source_Data!BJ$6&gt;=Inputs!$B$14+3,Source_Data!BJ$6&lt;Inputs!$B$14+3+3*Inputs!$B$17,MOD(Source_Data!BJ$6-(Inputs!$B$14+3),3)=0),$B$5*Inputs!$B$35*(1-Inputs!$B$16)/Inputs!$B$17,0)</f>
        <v>0</v>
      </c>
      <c r="BK17" s="33" t="n">
        <f aca="false">IF(Source_Data!BK$6=Inputs!$B$13,-Inputs!$B$7,0)+IF(AND(Source_Data!BK$6&gt;=Inputs!$B$14+3,Source_Data!BK$6&lt;Inputs!$B$14+3+3*Inputs!$B$17,MOD(Source_Data!BK$6-(Inputs!$B$14+3),3)=0),$B$5*Inputs!$B$35*(1-Inputs!$B$16)/Inputs!$B$17,0)</f>
        <v>0</v>
      </c>
    </row>
    <row r="18" customFormat="false" ht="15" hidden="false" customHeight="false" outlineLevel="0" collapsed="false">
      <c r="A18" s="3" t="s">
        <v>260</v>
      </c>
      <c r="B18" s="38" t="n">
        <f aca="false">SUM(D18:BK18)</f>
        <v>75</v>
      </c>
      <c r="D18" s="33" t="n">
        <f aca="false">IF(Source_Data!D$6=Inputs!$B$13,Inputs!$B$7,0)</f>
        <v>75</v>
      </c>
      <c r="E18" s="33" t="n">
        <f aca="false">IF(Source_Data!E$6=Inputs!$B$13,Inputs!$B$7,0)</f>
        <v>0</v>
      </c>
      <c r="F18" s="33" t="n">
        <f aca="false">IF(Source_Data!F$6=Inputs!$B$13,Inputs!$B$7,0)</f>
        <v>0</v>
      </c>
      <c r="G18" s="33" t="n">
        <f aca="false">IF(Source_Data!G$6=Inputs!$B$13,Inputs!$B$7,0)</f>
        <v>0</v>
      </c>
      <c r="H18" s="33" t="n">
        <f aca="false">IF(Source_Data!H$6=Inputs!$B$13,Inputs!$B$7,0)</f>
        <v>0</v>
      </c>
      <c r="I18" s="33" t="n">
        <f aca="false">IF(Source_Data!I$6=Inputs!$B$13,Inputs!$B$7,0)</f>
        <v>0</v>
      </c>
      <c r="J18" s="33" t="n">
        <f aca="false">IF(Source_Data!J$6=Inputs!$B$13,Inputs!$B$7,0)</f>
        <v>0</v>
      </c>
      <c r="K18" s="33" t="n">
        <f aca="false">IF(Source_Data!K$6=Inputs!$B$13,Inputs!$B$7,0)</f>
        <v>0</v>
      </c>
      <c r="L18" s="33" t="n">
        <f aca="false">IF(Source_Data!L$6=Inputs!$B$13,Inputs!$B$7,0)</f>
        <v>0</v>
      </c>
      <c r="M18" s="33" t="n">
        <f aca="false">IF(Source_Data!M$6=Inputs!$B$13,Inputs!$B$7,0)</f>
        <v>0</v>
      </c>
      <c r="N18" s="33" t="n">
        <f aca="false">IF(Source_Data!N$6=Inputs!$B$13,Inputs!$B$7,0)</f>
        <v>0</v>
      </c>
      <c r="O18" s="33" t="n">
        <f aca="false">IF(Source_Data!O$6=Inputs!$B$13,Inputs!$B$7,0)</f>
        <v>0</v>
      </c>
      <c r="P18" s="33" t="n">
        <f aca="false">IF(Source_Data!P$6=Inputs!$B$13,Inputs!$B$7,0)</f>
        <v>0</v>
      </c>
      <c r="Q18" s="33" t="n">
        <f aca="false">IF(Source_Data!Q$6=Inputs!$B$13,Inputs!$B$7,0)</f>
        <v>0</v>
      </c>
      <c r="R18" s="33" t="n">
        <f aca="false">IF(Source_Data!R$6=Inputs!$B$13,Inputs!$B$7,0)</f>
        <v>0</v>
      </c>
      <c r="S18" s="33" t="n">
        <f aca="false">IF(Source_Data!S$6=Inputs!$B$13,Inputs!$B$7,0)</f>
        <v>0</v>
      </c>
      <c r="T18" s="33" t="n">
        <f aca="false">IF(Source_Data!T$6=Inputs!$B$13,Inputs!$B$7,0)</f>
        <v>0</v>
      </c>
      <c r="U18" s="33" t="n">
        <f aca="false">IF(Source_Data!U$6=Inputs!$B$13,Inputs!$B$7,0)</f>
        <v>0</v>
      </c>
      <c r="V18" s="33" t="n">
        <f aca="false">IF(Source_Data!V$6=Inputs!$B$13,Inputs!$B$7,0)</f>
        <v>0</v>
      </c>
      <c r="W18" s="33" t="n">
        <f aca="false">IF(Source_Data!W$6=Inputs!$B$13,Inputs!$B$7,0)</f>
        <v>0</v>
      </c>
      <c r="X18" s="33" t="n">
        <f aca="false">IF(Source_Data!X$6=Inputs!$B$13,Inputs!$B$7,0)</f>
        <v>0</v>
      </c>
      <c r="Y18" s="33" t="n">
        <f aca="false">IF(Source_Data!Y$6=Inputs!$B$13,Inputs!$B$7,0)</f>
        <v>0</v>
      </c>
      <c r="Z18" s="33" t="n">
        <f aca="false">IF(Source_Data!Z$6=Inputs!$B$13,Inputs!$B$7,0)</f>
        <v>0</v>
      </c>
      <c r="AA18" s="33" t="n">
        <f aca="false">IF(Source_Data!AA$6=Inputs!$B$13,Inputs!$B$7,0)</f>
        <v>0</v>
      </c>
      <c r="AB18" s="33" t="n">
        <f aca="false">IF(Source_Data!AB$6=Inputs!$B$13,Inputs!$B$7,0)</f>
        <v>0</v>
      </c>
      <c r="AC18" s="33" t="n">
        <f aca="false">IF(Source_Data!AC$6=Inputs!$B$13,Inputs!$B$7,0)</f>
        <v>0</v>
      </c>
      <c r="AD18" s="33" t="n">
        <f aca="false">IF(Source_Data!AD$6=Inputs!$B$13,Inputs!$B$7,0)</f>
        <v>0</v>
      </c>
      <c r="AE18" s="33" t="n">
        <f aca="false">IF(Source_Data!AE$6=Inputs!$B$13,Inputs!$B$7,0)</f>
        <v>0</v>
      </c>
      <c r="AF18" s="33" t="n">
        <f aca="false">IF(Source_Data!AF$6=Inputs!$B$13,Inputs!$B$7,0)</f>
        <v>0</v>
      </c>
      <c r="AG18" s="33" t="n">
        <f aca="false">IF(Source_Data!AG$6=Inputs!$B$13,Inputs!$B$7,0)</f>
        <v>0</v>
      </c>
      <c r="AH18" s="33" t="n">
        <f aca="false">IF(Source_Data!AH$6=Inputs!$B$13,Inputs!$B$7,0)</f>
        <v>0</v>
      </c>
      <c r="AI18" s="33" t="n">
        <f aca="false">IF(Source_Data!AI$6=Inputs!$B$13,Inputs!$B$7,0)</f>
        <v>0</v>
      </c>
      <c r="AJ18" s="33" t="n">
        <f aca="false">IF(Source_Data!AJ$6=Inputs!$B$13,Inputs!$B$7,0)</f>
        <v>0</v>
      </c>
      <c r="AK18" s="33" t="n">
        <f aca="false">IF(Source_Data!AK$6=Inputs!$B$13,Inputs!$B$7,0)</f>
        <v>0</v>
      </c>
      <c r="AL18" s="33" t="n">
        <f aca="false">IF(Source_Data!AL$6=Inputs!$B$13,Inputs!$B$7,0)</f>
        <v>0</v>
      </c>
      <c r="AM18" s="33" t="n">
        <f aca="false">IF(Source_Data!AM$6=Inputs!$B$13,Inputs!$B$7,0)</f>
        <v>0</v>
      </c>
      <c r="AN18" s="33" t="n">
        <f aca="false">IF(Source_Data!AN$6=Inputs!$B$13,Inputs!$B$7,0)</f>
        <v>0</v>
      </c>
      <c r="AO18" s="33" t="n">
        <f aca="false">IF(Source_Data!AO$6=Inputs!$B$13,Inputs!$B$7,0)</f>
        <v>0</v>
      </c>
      <c r="AP18" s="33" t="n">
        <f aca="false">IF(Source_Data!AP$6=Inputs!$B$13,Inputs!$B$7,0)</f>
        <v>0</v>
      </c>
      <c r="AQ18" s="33" t="n">
        <f aca="false">IF(Source_Data!AQ$6=Inputs!$B$13,Inputs!$B$7,0)</f>
        <v>0</v>
      </c>
      <c r="AR18" s="33" t="n">
        <f aca="false">IF(Source_Data!AR$6=Inputs!$B$13,Inputs!$B$7,0)</f>
        <v>0</v>
      </c>
      <c r="AS18" s="33" t="n">
        <f aca="false">IF(Source_Data!AS$6=Inputs!$B$13,Inputs!$B$7,0)</f>
        <v>0</v>
      </c>
      <c r="AT18" s="33" t="n">
        <f aca="false">IF(Source_Data!AT$6=Inputs!$B$13,Inputs!$B$7,0)</f>
        <v>0</v>
      </c>
      <c r="AU18" s="33" t="n">
        <f aca="false">IF(Source_Data!AU$6=Inputs!$B$13,Inputs!$B$7,0)</f>
        <v>0</v>
      </c>
      <c r="AV18" s="33" t="n">
        <f aca="false">IF(Source_Data!AV$6=Inputs!$B$13,Inputs!$B$7,0)</f>
        <v>0</v>
      </c>
      <c r="AW18" s="33" t="n">
        <f aca="false">IF(Source_Data!AW$6=Inputs!$B$13,Inputs!$B$7,0)</f>
        <v>0</v>
      </c>
      <c r="AX18" s="33" t="n">
        <f aca="false">IF(Source_Data!AX$6=Inputs!$B$13,Inputs!$B$7,0)</f>
        <v>0</v>
      </c>
      <c r="AY18" s="33" t="n">
        <f aca="false">IF(Source_Data!AY$6=Inputs!$B$13,Inputs!$B$7,0)</f>
        <v>0</v>
      </c>
      <c r="AZ18" s="33" t="n">
        <f aca="false">IF(Source_Data!AZ$6=Inputs!$B$13,Inputs!$B$7,0)</f>
        <v>0</v>
      </c>
      <c r="BA18" s="33" t="n">
        <f aca="false">IF(Source_Data!BA$6=Inputs!$B$13,Inputs!$B$7,0)</f>
        <v>0</v>
      </c>
      <c r="BB18" s="33" t="n">
        <f aca="false">IF(Source_Data!BB$6=Inputs!$B$13,Inputs!$B$7,0)</f>
        <v>0</v>
      </c>
      <c r="BC18" s="33" t="n">
        <f aca="false">IF(Source_Data!BC$6=Inputs!$B$13,Inputs!$B$7,0)</f>
        <v>0</v>
      </c>
      <c r="BD18" s="33" t="n">
        <f aca="false">IF(Source_Data!BD$6=Inputs!$B$13,Inputs!$B$7,0)</f>
        <v>0</v>
      </c>
      <c r="BE18" s="33" t="n">
        <f aca="false">IF(Source_Data!BE$6=Inputs!$B$13,Inputs!$B$7,0)</f>
        <v>0</v>
      </c>
      <c r="BF18" s="33" t="n">
        <f aca="false">IF(Source_Data!BF$6=Inputs!$B$13,Inputs!$B$7,0)</f>
        <v>0</v>
      </c>
      <c r="BG18" s="33" t="n">
        <f aca="false">IF(Source_Data!BG$6=Inputs!$B$13,Inputs!$B$7,0)</f>
        <v>0</v>
      </c>
      <c r="BH18" s="33" t="n">
        <f aca="false">IF(Source_Data!BH$6=Inputs!$B$13,Inputs!$B$7,0)</f>
        <v>0</v>
      </c>
      <c r="BI18" s="33" t="n">
        <f aca="false">IF(Source_Data!BI$6=Inputs!$B$13,Inputs!$B$7,0)</f>
        <v>0</v>
      </c>
      <c r="BJ18" s="33" t="n">
        <f aca="false">IF(Source_Data!BJ$6=Inputs!$B$13,Inputs!$B$7,0)</f>
        <v>0</v>
      </c>
      <c r="BK18" s="33" t="n">
        <f aca="false">IF(Source_Data!BK$6=Inputs!$B$13,Inputs!$B$7,0)</f>
        <v>0</v>
      </c>
    </row>
    <row r="19" customFormat="false" ht="15" hidden="false" customHeight="false" outlineLevel="0" collapsed="false">
      <c r="A19" s="3" t="s">
        <v>261</v>
      </c>
      <c r="B19" s="38" t="n">
        <f aca="false">SUM(D19:BK19)</f>
        <v>-150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-3.75</v>
      </c>
      <c r="G19" s="33" t="n">
        <f aca="false">-$B$6*Source_Data!G$14</f>
        <v>-7.5</v>
      </c>
      <c r="H19" s="33" t="n">
        <f aca="false">-$B$6*Source_Data!H$14</f>
        <v>-5.625</v>
      </c>
      <c r="I19" s="33" t="n">
        <f aca="false">-$B$6*Source_Data!I$14</f>
        <v>-3.75</v>
      </c>
      <c r="J19" s="33" t="n">
        <f aca="false">-$B$6*Source_Data!J$14</f>
        <v>-3.75</v>
      </c>
      <c r="K19" s="33" t="n">
        <f aca="false">-$B$6*Source_Data!K$14</f>
        <v>-3.75</v>
      </c>
      <c r="L19" s="33" t="n">
        <f aca="false">-$B$6*Source_Data!L$14</f>
        <v>-3.75</v>
      </c>
      <c r="M19" s="33" t="n">
        <f aca="false">-$B$6*Source_Data!M$14</f>
        <v>-33.75</v>
      </c>
      <c r="N19" s="33" t="n">
        <f aca="false">-$B$6*Source_Data!N$14</f>
        <v>-3.75</v>
      </c>
      <c r="O19" s="33" t="n">
        <f aca="false">-$B$6*Source_Data!O$14</f>
        <v>-3.75</v>
      </c>
      <c r="P19" s="33" t="n">
        <f aca="false">-$B$6*Source_Data!P$14</f>
        <v>-3.75</v>
      </c>
      <c r="Q19" s="33" t="n">
        <f aca="false">-$B$6*Source_Data!Q$14</f>
        <v>-3.75</v>
      </c>
      <c r="R19" s="33" t="n">
        <f aca="false">-$B$6*Source_Data!R$14</f>
        <v>-3.75</v>
      </c>
      <c r="S19" s="33" t="n">
        <f aca="false">-$B$6*Source_Data!S$14</f>
        <v>-3.75</v>
      </c>
      <c r="T19" s="33" t="n">
        <f aca="false">-$B$6*Source_Data!T$14</f>
        <v>-3.375</v>
      </c>
      <c r="U19" s="33" t="n">
        <f aca="false">-$B$6*Source_Data!U$14</f>
        <v>-3</v>
      </c>
      <c r="V19" s="33" t="n">
        <f aca="false">-$B$6*Source_Data!V$14</f>
        <v>-3</v>
      </c>
      <c r="W19" s="33" t="n">
        <f aca="false">-$B$6*Source_Data!W$14</f>
        <v>-3</v>
      </c>
      <c r="X19" s="33" t="n">
        <f aca="false">-$B$6*Source_Data!X$14</f>
        <v>-3</v>
      </c>
      <c r="Y19" s="33" t="n">
        <f aca="false">-$B$6*Source_Data!Y$14</f>
        <v>-3</v>
      </c>
      <c r="Z19" s="33" t="n">
        <f aca="false">-$B$6*Source_Data!Z$14</f>
        <v>-3</v>
      </c>
      <c r="AA19" s="33" t="n">
        <f aca="false">-$B$6*Source_Data!AA$14</f>
        <v>-3</v>
      </c>
      <c r="AB19" s="33" t="n">
        <f aca="false">-$B$6*Source_Data!AB$14</f>
        <v>-3</v>
      </c>
      <c r="AC19" s="33" t="n">
        <f aca="false">-$B$6*Source_Data!AC$14</f>
        <v>-3</v>
      </c>
      <c r="AD19" s="33" t="n">
        <f aca="false">-$B$6*Source_Data!AD$14</f>
        <v>-3</v>
      </c>
      <c r="AE19" s="33" t="n">
        <f aca="false">-$B$6*Source_Data!AE$14</f>
        <v>-3</v>
      </c>
      <c r="AF19" s="33" t="n">
        <f aca="false">-$B$6*Source_Data!AF$14</f>
        <v>-3</v>
      </c>
      <c r="AG19" s="33" t="n">
        <f aca="false">-$B$6*Source_Data!AG$14</f>
        <v>-3</v>
      </c>
      <c r="AH19" s="33" t="n">
        <f aca="false">-$B$6*Source_Data!AH$14</f>
        <v>-3</v>
      </c>
      <c r="AI19" s="33" t="n">
        <f aca="false">-$B$6*Source_Data!AI$14</f>
        <v>-3</v>
      </c>
      <c r="AJ19" s="33" t="n">
        <f aca="false">-$B$6*Source_Data!AJ$14</f>
        <v>-3</v>
      </c>
      <c r="AK19" s="33" t="n">
        <f aca="false">-$B$6*Source_Data!AK$14</f>
        <v>-3</v>
      </c>
      <c r="AL19" s="33" t="n">
        <f aca="false">-$B$6*Source_Data!AL$14</f>
        <v>-3</v>
      </c>
      <c r="AM19" s="33" t="n">
        <f aca="false">-$B$6*Source_Data!AM$14</f>
        <v>-3</v>
      </c>
      <c r="AN19" s="33" t="n">
        <f aca="false">-$B$6*Source_Data!AN$14</f>
        <v>-1.5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262</v>
      </c>
      <c r="B20" s="38" t="n">
        <f aca="false">SUM(D20:BK20)</f>
        <v>6</v>
      </c>
      <c r="D20" s="33" t="n">
        <f aca="false">$B$6*Source_Data!D$17*Inputs!$B$24</f>
        <v>0</v>
      </c>
      <c r="E20" s="33" t="n">
        <f aca="false">$B$6*Source_Data!E$17*Inputs!$B$24</f>
        <v>0</v>
      </c>
      <c r="F20" s="33" t="n">
        <f aca="false">$B$6*Source_Data!F$17*Inputs!$B$24</f>
        <v>0</v>
      </c>
      <c r="G20" s="33" t="n">
        <f aca="false">$B$6*Source_Data!G$17*Inputs!$B$24</f>
        <v>0</v>
      </c>
      <c r="H20" s="33" t="n">
        <f aca="false">$B$6*Source_Data!H$17*Inputs!$B$24</f>
        <v>0</v>
      </c>
      <c r="I20" s="33" t="n">
        <f aca="false">$B$6*Source_Data!I$17*Inputs!$B$24</f>
        <v>0</v>
      </c>
      <c r="J20" s="33" t="n">
        <f aca="false">$B$6*Source_Data!J$17*Inputs!$B$24</f>
        <v>3</v>
      </c>
      <c r="K20" s="33" t="n">
        <f aca="false">$B$6*Source_Data!K$17*Inputs!$B$24</f>
        <v>3</v>
      </c>
      <c r="L20" s="33" t="n">
        <f aca="false">$B$6*Source_Data!L$17*Inputs!$B$24</f>
        <v>0</v>
      </c>
      <c r="M20" s="33" t="n">
        <f aca="false">$B$6*Source_Data!M$17*Inputs!$B$24</f>
        <v>0</v>
      </c>
      <c r="N20" s="33" t="n">
        <f aca="false">$B$6*Source_Data!N$17*Inputs!$B$24</f>
        <v>0</v>
      </c>
      <c r="O20" s="33" t="n">
        <f aca="false">$B$6*Source_Data!O$17*Inputs!$B$24</f>
        <v>0</v>
      </c>
      <c r="P20" s="33" t="n">
        <f aca="false">$B$6*Source_Data!P$17*Inputs!$B$24</f>
        <v>0</v>
      </c>
      <c r="Q20" s="33" t="n">
        <f aca="false">$B$6*Source_Data!Q$17*Inputs!$B$24</f>
        <v>0</v>
      </c>
      <c r="R20" s="33" t="n">
        <f aca="false">$B$6*Source_Data!R$17*Inputs!$B$24</f>
        <v>0</v>
      </c>
      <c r="S20" s="33" t="n">
        <f aca="false">$B$6*Source_Data!S$17*Inputs!$B$24</f>
        <v>0</v>
      </c>
      <c r="T20" s="33" t="n">
        <f aca="false">$B$6*Source_Data!T$17*Inputs!$B$24</f>
        <v>0</v>
      </c>
      <c r="U20" s="33" t="n">
        <f aca="false">$B$6*Source_Data!U$17*Inputs!$B$24</f>
        <v>0</v>
      </c>
      <c r="V20" s="33" t="n">
        <f aca="false">$B$6*Source_Data!V$17*Inputs!$B$24</f>
        <v>0</v>
      </c>
      <c r="W20" s="33" t="n">
        <f aca="false">$B$6*Source_Data!W$17*Inputs!$B$24</f>
        <v>0</v>
      </c>
      <c r="X20" s="33" t="n">
        <f aca="false">$B$6*Source_Data!X$17*Inputs!$B$24</f>
        <v>0</v>
      </c>
      <c r="Y20" s="33" t="n">
        <f aca="false">$B$6*Source_Data!Y$17*Inputs!$B$24</f>
        <v>0</v>
      </c>
      <c r="Z20" s="33" t="n">
        <f aca="false">$B$6*Source_Data!Z$17*Inputs!$B$24</f>
        <v>0</v>
      </c>
      <c r="AA20" s="33" t="n">
        <f aca="false">$B$6*Source_Data!AA$17*Inputs!$B$24</f>
        <v>0</v>
      </c>
      <c r="AB20" s="33" t="n">
        <f aca="false">$B$6*Source_Data!AB$17*Inputs!$B$24</f>
        <v>0</v>
      </c>
      <c r="AC20" s="33" t="n">
        <f aca="false">$B$6*Source_Data!AC$17*Inputs!$B$24</f>
        <v>0</v>
      </c>
      <c r="AD20" s="33" t="n">
        <f aca="false">$B$6*Source_Data!AD$17*Inputs!$B$24</f>
        <v>0</v>
      </c>
      <c r="AE20" s="33" t="n">
        <f aca="false">$B$6*Source_Data!AE$17*Inputs!$B$24</f>
        <v>0</v>
      </c>
      <c r="AF20" s="33" t="n">
        <f aca="false">$B$6*Source_Data!AF$17*Inputs!$B$24</f>
        <v>0</v>
      </c>
      <c r="AG20" s="33" t="n">
        <f aca="false">$B$6*Source_Data!AG$17*Inputs!$B$24</f>
        <v>0</v>
      </c>
      <c r="AH20" s="33" t="n">
        <f aca="false">$B$6*Source_Data!AH$17*Inputs!$B$24</f>
        <v>0</v>
      </c>
      <c r="AI20" s="33" t="n">
        <f aca="false">$B$6*Source_Data!AI$17*Inputs!$B$24</f>
        <v>0</v>
      </c>
      <c r="AJ20" s="33" t="n">
        <f aca="false">$B$6*Source_Data!AJ$17*Inputs!$B$24</f>
        <v>0</v>
      </c>
      <c r="AK20" s="33" t="n">
        <f aca="false">$B$6*Source_Data!AK$17*Inputs!$B$24</f>
        <v>0</v>
      </c>
      <c r="AL20" s="33" t="n">
        <f aca="false">$B$6*Source_Data!AL$17*Inputs!$B$24</f>
        <v>0</v>
      </c>
      <c r="AM20" s="33" t="n">
        <f aca="false">$B$6*Source_Data!AM$17*Inputs!$B$24</f>
        <v>0</v>
      </c>
      <c r="AN20" s="33" t="n">
        <f aca="false">$B$6*Source_Data!AN$17*Inputs!$B$24</f>
        <v>0</v>
      </c>
      <c r="AO20" s="33" t="n">
        <f aca="false">$B$6*Source_Data!AO$17*Inputs!$B$24</f>
        <v>0</v>
      </c>
      <c r="AP20" s="33" t="n">
        <f aca="false">$B$6*Source_Data!AP$17*Inputs!$B$24</f>
        <v>0</v>
      </c>
      <c r="AQ20" s="33" t="n">
        <f aca="false">$B$6*Source_Data!AQ$17*Inputs!$B$24</f>
        <v>0</v>
      </c>
      <c r="AR20" s="33" t="n">
        <f aca="false">$B$6*Source_Data!AR$17*Inputs!$B$24</f>
        <v>0</v>
      </c>
      <c r="AS20" s="33" t="n">
        <f aca="false">$B$6*Source_Data!AS$17*Inputs!$B$24</f>
        <v>0</v>
      </c>
      <c r="AT20" s="33" t="n">
        <f aca="false">$B$6*Source_Data!AT$17*Inputs!$B$24</f>
        <v>0</v>
      </c>
      <c r="AU20" s="33" t="n">
        <f aca="false">$B$6*Source_Data!AU$17*Inputs!$B$24</f>
        <v>0</v>
      </c>
      <c r="AV20" s="33" t="n">
        <f aca="false">$B$6*Source_Data!AV$17*Inputs!$B$24</f>
        <v>0</v>
      </c>
      <c r="AW20" s="33" t="n">
        <f aca="false">$B$6*Source_Data!AW$17*Inputs!$B$24</f>
        <v>0</v>
      </c>
      <c r="AX20" s="33" t="n">
        <f aca="false">$B$6*Source_Data!AX$17*Inputs!$B$24</f>
        <v>0</v>
      </c>
      <c r="AY20" s="33" t="n">
        <f aca="false">$B$6*Source_Data!AY$17*Inputs!$B$24</f>
        <v>0</v>
      </c>
      <c r="AZ20" s="33" t="n">
        <f aca="false">$B$6*Source_Data!AZ$17*Inputs!$B$24</f>
        <v>0</v>
      </c>
      <c r="BA20" s="33" t="n">
        <f aca="false">$B$6*Source_Data!BA$17*Inputs!$B$24</f>
        <v>0</v>
      </c>
      <c r="BB20" s="33" t="n">
        <f aca="false">$B$6*Source_Data!BB$17*Inputs!$B$24</f>
        <v>0</v>
      </c>
      <c r="BC20" s="33" t="n">
        <f aca="false">$B$6*Source_Data!BC$17*Inputs!$B$24</f>
        <v>0</v>
      </c>
      <c r="BD20" s="33" t="n">
        <f aca="false">$B$6*Source_Data!BD$17*Inputs!$B$24</f>
        <v>0</v>
      </c>
      <c r="BE20" s="33" t="n">
        <f aca="false">$B$6*Source_Data!BE$17*Inputs!$B$24</f>
        <v>0</v>
      </c>
      <c r="BF20" s="33" t="n">
        <f aca="false">$B$6*Source_Data!BF$17*Inputs!$B$24</f>
        <v>0</v>
      </c>
      <c r="BG20" s="33" t="n">
        <f aca="false">$B$6*Source_Data!BG$17*Inputs!$B$24</f>
        <v>0</v>
      </c>
      <c r="BH20" s="33" t="n">
        <f aca="false">$B$6*Source_Data!BH$17*Inputs!$B$24</f>
        <v>0</v>
      </c>
      <c r="BI20" s="33" t="n">
        <f aca="false">$B$6*Source_Data!BI$17*Inputs!$B$24</f>
        <v>0</v>
      </c>
      <c r="BJ20" s="33" t="n">
        <f aca="false">$B$6*Source_Data!BJ$17*Inputs!$B$24</f>
        <v>0</v>
      </c>
      <c r="BK20" s="33" t="n">
        <f aca="false">$B$6*Source_Data!BK$17*Inputs!$B$24</f>
        <v>0</v>
      </c>
    </row>
    <row r="21" customFormat="false" ht="15" hidden="false" customHeight="false" outlineLevel="0" collapsed="false">
      <c r="A21" s="3" t="s">
        <v>263</v>
      </c>
      <c r="B21" s="38" t="n">
        <f aca="false">SUM(D21:BK21)</f>
        <v>-69</v>
      </c>
      <c r="D21" s="33" t="n">
        <f aca="false">D18+D19+D20</f>
        <v>75</v>
      </c>
      <c r="E21" s="33" t="n">
        <f aca="false">E18+E19+E20</f>
        <v>0</v>
      </c>
      <c r="F21" s="33" t="n">
        <f aca="false">F18+F19+F20</f>
        <v>-3.75</v>
      </c>
      <c r="G21" s="33" t="n">
        <f aca="false">G18+G19+G20</f>
        <v>-7.5</v>
      </c>
      <c r="H21" s="33" t="n">
        <f aca="false">H18+H19+H20</f>
        <v>-5.625</v>
      </c>
      <c r="I21" s="33" t="n">
        <f aca="false">I18+I19+I20</f>
        <v>-3.75</v>
      </c>
      <c r="J21" s="33" t="n">
        <f aca="false">J18+J19+J20</f>
        <v>-0.75</v>
      </c>
      <c r="K21" s="33" t="n">
        <f aca="false">K18+K19+K20</f>
        <v>-0.75</v>
      </c>
      <c r="L21" s="33" t="n">
        <f aca="false">L18+L19+L20</f>
        <v>-3.75</v>
      </c>
      <c r="M21" s="33" t="n">
        <f aca="false">M18+M19+M20</f>
        <v>-33.75</v>
      </c>
      <c r="N21" s="33" t="n">
        <f aca="false">N18+N19+N20</f>
        <v>-3.75</v>
      </c>
      <c r="O21" s="33" t="n">
        <f aca="false">O18+O19+O20</f>
        <v>-3.75</v>
      </c>
      <c r="P21" s="33" t="n">
        <f aca="false">P18+P19+P20</f>
        <v>-3.75</v>
      </c>
      <c r="Q21" s="33" t="n">
        <f aca="false">Q18+Q19+Q20</f>
        <v>-3.75</v>
      </c>
      <c r="R21" s="33" t="n">
        <f aca="false">R18+R19+R20</f>
        <v>-3.75</v>
      </c>
      <c r="S21" s="33" t="n">
        <f aca="false">S18+S19+S20</f>
        <v>-3.75</v>
      </c>
      <c r="T21" s="33" t="n">
        <f aca="false">T18+T19+T20</f>
        <v>-3.375</v>
      </c>
      <c r="U21" s="33" t="n">
        <f aca="false">U18+U19+U20</f>
        <v>-3</v>
      </c>
      <c r="V21" s="33" t="n">
        <f aca="false">V18+V19+V20</f>
        <v>-3</v>
      </c>
      <c r="W21" s="33" t="n">
        <f aca="false">W18+W19+W20</f>
        <v>-3</v>
      </c>
      <c r="X21" s="33" t="n">
        <f aca="false">X18+X19+X20</f>
        <v>-3</v>
      </c>
      <c r="Y21" s="33" t="n">
        <f aca="false">Y18+Y19+Y20</f>
        <v>-3</v>
      </c>
      <c r="Z21" s="33" t="n">
        <f aca="false">Z18+Z19+Z20</f>
        <v>-3</v>
      </c>
      <c r="AA21" s="33" t="n">
        <f aca="false">AA18+AA19+AA20</f>
        <v>-3</v>
      </c>
      <c r="AB21" s="33" t="n">
        <f aca="false">AB18+AB19+AB20</f>
        <v>-3</v>
      </c>
      <c r="AC21" s="33" t="n">
        <f aca="false">AC18+AC19+AC20</f>
        <v>-3</v>
      </c>
      <c r="AD21" s="33" t="n">
        <f aca="false">AD18+AD19+AD20</f>
        <v>-3</v>
      </c>
      <c r="AE21" s="33" t="n">
        <f aca="false">AE18+AE19+AE20</f>
        <v>-3</v>
      </c>
      <c r="AF21" s="33" t="n">
        <f aca="false">AF18+AF19+AF20</f>
        <v>-3</v>
      </c>
      <c r="AG21" s="33" t="n">
        <f aca="false">AG18+AG19+AG20</f>
        <v>-3</v>
      </c>
      <c r="AH21" s="33" t="n">
        <f aca="false">AH18+AH19+AH20</f>
        <v>-3</v>
      </c>
      <c r="AI21" s="33" t="n">
        <f aca="false">AI18+AI19+AI20</f>
        <v>-3</v>
      </c>
      <c r="AJ21" s="33" t="n">
        <f aca="false">AJ18+AJ19+AJ20</f>
        <v>-3</v>
      </c>
      <c r="AK21" s="33" t="n">
        <f aca="false">AK18+AK19+AK20</f>
        <v>-3</v>
      </c>
      <c r="AL21" s="33" t="n">
        <f aca="false">AL18+AL19+AL20</f>
        <v>-3</v>
      </c>
      <c r="AM21" s="33" t="n">
        <f aca="false">AM18+AM19+AM20</f>
        <v>-3</v>
      </c>
      <c r="AN21" s="33" t="n">
        <f aca="false">AN18+AN19+AN20</f>
        <v>-1.5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264</v>
      </c>
      <c r="D22" s="33" t="n">
        <f aca="false">D21</f>
        <v>75</v>
      </c>
      <c r="E22" s="33" t="n">
        <f aca="false">D22+E21</f>
        <v>75</v>
      </c>
      <c r="F22" s="33" t="n">
        <f aca="false">E22+F21</f>
        <v>71.25</v>
      </c>
      <c r="G22" s="33" t="n">
        <f aca="false">F22+G21</f>
        <v>63.75</v>
      </c>
      <c r="H22" s="33" t="n">
        <f aca="false">G22+H21</f>
        <v>58.125</v>
      </c>
      <c r="I22" s="33" t="n">
        <f aca="false">H22+I21</f>
        <v>54.375</v>
      </c>
      <c r="J22" s="33" t="n">
        <f aca="false">I22+J21</f>
        <v>53.625</v>
      </c>
      <c r="K22" s="33" t="n">
        <f aca="false">J22+K21</f>
        <v>52.875</v>
      </c>
      <c r="L22" s="33" t="n">
        <f aca="false">K22+L21</f>
        <v>49.125</v>
      </c>
      <c r="M22" s="33" t="n">
        <f aca="false">L22+M21</f>
        <v>15.375</v>
      </c>
      <c r="N22" s="33" t="n">
        <f aca="false">M22+N21</f>
        <v>11.625</v>
      </c>
      <c r="O22" s="33" t="n">
        <f aca="false">N22+O21</f>
        <v>7.87499999999999</v>
      </c>
      <c r="P22" s="33" t="n">
        <f aca="false">O22+P21</f>
        <v>4.12499999999999</v>
      </c>
      <c r="Q22" s="33" t="n">
        <f aca="false">P22+Q21</f>
        <v>0.374999999999993</v>
      </c>
      <c r="R22" s="33" t="n">
        <f aca="false">Q22+R21</f>
        <v>-3.37500000000001</v>
      </c>
      <c r="S22" s="33" t="n">
        <f aca="false">R22+S21</f>
        <v>-7.12500000000001</v>
      </c>
      <c r="T22" s="33" t="n">
        <f aca="false">S22+T21</f>
        <v>-10.5</v>
      </c>
      <c r="U22" s="33" t="n">
        <f aca="false">T22+U21</f>
        <v>-13.5</v>
      </c>
      <c r="V22" s="33" t="n">
        <f aca="false">U22+V21</f>
        <v>-16.5</v>
      </c>
      <c r="W22" s="33" t="n">
        <f aca="false">V22+W21</f>
        <v>-19.5</v>
      </c>
      <c r="X22" s="33" t="n">
        <f aca="false">W22+X21</f>
        <v>-22.5</v>
      </c>
      <c r="Y22" s="33" t="n">
        <f aca="false">X22+Y21</f>
        <v>-25.5</v>
      </c>
      <c r="Z22" s="33" t="n">
        <f aca="false">Y22+Z21</f>
        <v>-28.5</v>
      </c>
      <c r="AA22" s="33" t="n">
        <f aca="false">Z22+AA21</f>
        <v>-31.5</v>
      </c>
      <c r="AB22" s="33" t="n">
        <f aca="false">AA22+AB21</f>
        <v>-34.5</v>
      </c>
      <c r="AC22" s="33" t="n">
        <f aca="false">AB22+AC21</f>
        <v>-37.5</v>
      </c>
      <c r="AD22" s="33" t="n">
        <f aca="false">AC22+AD21</f>
        <v>-40.5</v>
      </c>
      <c r="AE22" s="33" t="n">
        <f aca="false">AD22+AE21</f>
        <v>-43.5</v>
      </c>
      <c r="AF22" s="33" t="n">
        <f aca="false">AE22+AF21</f>
        <v>-46.5</v>
      </c>
      <c r="AG22" s="33" t="n">
        <f aca="false">AF22+AG21</f>
        <v>-49.5</v>
      </c>
      <c r="AH22" s="33" t="n">
        <f aca="false">AG22+AH21</f>
        <v>-52.5</v>
      </c>
      <c r="AI22" s="33" t="n">
        <f aca="false">AH22+AI21</f>
        <v>-55.5</v>
      </c>
      <c r="AJ22" s="33" t="n">
        <f aca="false">AI22+AJ21</f>
        <v>-58.5</v>
      </c>
      <c r="AK22" s="33" t="n">
        <f aca="false">AJ22+AK21</f>
        <v>-61.5</v>
      </c>
      <c r="AL22" s="33" t="n">
        <f aca="false">AK22+AL21</f>
        <v>-64.5</v>
      </c>
      <c r="AM22" s="33" t="n">
        <f aca="false">AL22+AM21</f>
        <v>-67.5</v>
      </c>
      <c r="AN22" s="33" t="n">
        <f aca="false">AM22+AN21</f>
        <v>-69</v>
      </c>
      <c r="AO22" s="33" t="n">
        <f aca="false">AN22+AO21</f>
        <v>-69</v>
      </c>
      <c r="AP22" s="33" t="n">
        <f aca="false">AO22+AP21</f>
        <v>-69</v>
      </c>
      <c r="AQ22" s="33" t="n">
        <f aca="false">AP22+AQ21</f>
        <v>-69</v>
      </c>
      <c r="AR22" s="33" t="n">
        <f aca="false">AQ22+AR21</f>
        <v>-69</v>
      </c>
      <c r="AS22" s="33" t="n">
        <f aca="false">AR22+AS21</f>
        <v>-69</v>
      </c>
      <c r="AT22" s="33" t="n">
        <f aca="false">AS22+AT21</f>
        <v>-69</v>
      </c>
      <c r="AU22" s="33" t="n">
        <f aca="false">AT22+AU21</f>
        <v>-69</v>
      </c>
      <c r="AV22" s="33" t="n">
        <f aca="false">AU22+AV21</f>
        <v>-69</v>
      </c>
      <c r="AW22" s="33" t="n">
        <f aca="false">AV22+AW21</f>
        <v>-69</v>
      </c>
      <c r="AX22" s="33" t="n">
        <f aca="false">AW22+AX21</f>
        <v>-69</v>
      </c>
      <c r="AY22" s="33" t="n">
        <f aca="false">AX22+AY21</f>
        <v>-69</v>
      </c>
      <c r="AZ22" s="33" t="n">
        <f aca="false">AY22+AZ21</f>
        <v>-69</v>
      </c>
      <c r="BA22" s="33" t="n">
        <f aca="false">AZ22+BA21</f>
        <v>-69</v>
      </c>
      <c r="BB22" s="33" t="n">
        <f aca="false">BA22+BB21</f>
        <v>-69</v>
      </c>
      <c r="BC22" s="33" t="n">
        <f aca="false">BB22+BC21</f>
        <v>-69</v>
      </c>
      <c r="BD22" s="33" t="n">
        <f aca="false">BC22+BD21</f>
        <v>-69</v>
      </c>
      <c r="BE22" s="33" t="n">
        <f aca="false">BD22+BE21</f>
        <v>-69</v>
      </c>
      <c r="BF22" s="33" t="n">
        <f aca="false">BE22+BF21</f>
        <v>-69</v>
      </c>
      <c r="BG22" s="33" t="n">
        <f aca="false">BF22+BG21</f>
        <v>-69</v>
      </c>
      <c r="BH22" s="33" t="n">
        <f aca="false">BG22+BH21</f>
        <v>-69</v>
      </c>
      <c r="BI22" s="33" t="n">
        <f aca="false">BH22+BI21</f>
        <v>-69</v>
      </c>
      <c r="BJ22" s="33" t="n">
        <f aca="false">BI22+BJ21</f>
        <v>-69</v>
      </c>
      <c r="BK22" s="33" t="n">
        <f aca="false">BJ22+BK21</f>
        <v>-69</v>
      </c>
    </row>
    <row r="25" customFormat="false" ht="15" hidden="false" customHeight="false" outlineLevel="0" collapsed="false">
      <c r="A25" s="7" t="s">
        <v>265</v>
      </c>
      <c r="B25" s="7" t="s">
        <v>13</v>
      </c>
      <c r="C25" s="7" t="s">
        <v>266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0.264029906719608</v>
      </c>
      <c r="C26" s="6" t="s">
        <v>267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48</v>
      </c>
      <c r="C28" s="6" t="s">
        <v>268</v>
      </c>
    </row>
    <row r="29" customFormat="false" ht="15" hidden="false" customHeight="false" outlineLevel="0" collapsed="false">
      <c r="A29" s="3" t="s">
        <v>269</v>
      </c>
      <c r="B29" s="39" t="n">
        <f aca="false">(1+IRR(D21:BK21,0.05))^4-1</f>
        <v>0.20741957336111</v>
      </c>
      <c r="C29" s="6" t="s">
        <v>270</v>
      </c>
    </row>
    <row r="30" customFormat="false" ht="15" hidden="false" customHeight="false" outlineLevel="0" collapsed="false">
      <c r="A30" s="3" t="s">
        <v>271</v>
      </c>
      <c r="B30" s="41" t="n">
        <f aca="false">SUMPRODUCT(D21:BK21,Project_CF!$D$15:$BK$15)</f>
        <v>-15.2893258799607</v>
      </c>
      <c r="C30" s="6"/>
    </row>
    <row r="31" customFormat="false" ht="15" hidden="false" customHeight="false" outlineLevel="0" collapsed="false">
      <c r="A31" s="3" t="s">
        <v>272</v>
      </c>
      <c r="B31" s="41" t="n">
        <f aca="false">B21</f>
        <v>-69</v>
      </c>
      <c r="C31" s="6"/>
    </row>
    <row r="32" customFormat="false" ht="15" hidden="false" customHeight="false" outlineLevel="0" collapsed="false">
      <c r="A32" s="3" t="s">
        <v>273</v>
      </c>
      <c r="B32" s="41" t="n">
        <f aca="false">Project_CF!$B$19+B30</f>
        <v>214.600332799909</v>
      </c>
      <c r="C32" s="6" t="s">
        <v>274</v>
      </c>
    </row>
    <row r="33" customFormat="false" ht="15" hidden="false" customHeight="false" outlineLevel="0" collapsed="false">
      <c r="A33" s="3" t="s">
        <v>275</v>
      </c>
      <c r="B33" s="41" t="n">
        <f aca="false">MIN(D38:BK38)</f>
        <v>-110.553264375</v>
      </c>
      <c r="C33" s="6" t="s">
        <v>276</v>
      </c>
    </row>
    <row r="35" customFormat="false" ht="15" hidden="false" customHeight="false" outlineLevel="0" collapsed="false">
      <c r="A35" s="3" t="s">
        <v>277</v>
      </c>
      <c r="D35" s="33" t="n">
        <f aca="false">D17</f>
        <v>-75</v>
      </c>
      <c r="E35" s="33" t="n">
        <f aca="false">D35+E17</f>
        <v>-75</v>
      </c>
      <c r="F35" s="33" t="n">
        <f aca="false">E35+F17</f>
        <v>-75</v>
      </c>
      <c r="G35" s="33" t="n">
        <f aca="false">F35+G17</f>
        <v>-75</v>
      </c>
      <c r="H35" s="33" t="n">
        <f aca="false">G35+H17</f>
        <v>-75</v>
      </c>
      <c r="I35" s="33" t="n">
        <f aca="false">H35+I17</f>
        <v>-75</v>
      </c>
      <c r="J35" s="33" t="n">
        <f aca="false">I35+J17</f>
        <v>-75</v>
      </c>
      <c r="K35" s="33" t="n">
        <f aca="false">J35+K17</f>
        <v>-75</v>
      </c>
      <c r="L35" s="33" t="n">
        <f aca="false">K35+L17</f>
        <v>-75</v>
      </c>
      <c r="M35" s="33" t="n">
        <f aca="false">L35+M17</f>
        <v>-75</v>
      </c>
      <c r="N35" s="33" t="n">
        <f aca="false">M35+N17</f>
        <v>-75</v>
      </c>
      <c r="O35" s="33" t="n">
        <f aca="false">N35+O17</f>
        <v>-75</v>
      </c>
      <c r="P35" s="33" t="n">
        <f aca="false">O35+P17</f>
        <v>-75</v>
      </c>
      <c r="Q35" s="33" t="n">
        <f aca="false">P35+Q17</f>
        <v>-75</v>
      </c>
      <c r="R35" s="33" t="n">
        <f aca="false">Q35+R17</f>
        <v>-75</v>
      </c>
      <c r="S35" s="33" t="n">
        <f aca="false">R35+S17</f>
        <v>-75</v>
      </c>
      <c r="T35" s="33" t="n">
        <f aca="false">S35+T17</f>
        <v>-22.8494623655914</v>
      </c>
      <c r="U35" s="33" t="n">
        <f aca="false">T35+U17</f>
        <v>29.3010752688172</v>
      </c>
      <c r="V35" s="33" t="n">
        <f aca="false">U35+V17</f>
        <v>81.4516129032258</v>
      </c>
      <c r="W35" s="33" t="n">
        <f aca="false">V35+W17</f>
        <v>133.602150537634</v>
      </c>
      <c r="X35" s="33" t="n">
        <f aca="false">W35+X17</f>
        <v>133.602150537634</v>
      </c>
      <c r="Y35" s="33" t="n">
        <f aca="false">X35+Y17</f>
        <v>133.602150537634</v>
      </c>
      <c r="Z35" s="33" t="n">
        <f aca="false">Y35+Z17</f>
        <v>133.602150537634</v>
      </c>
      <c r="AA35" s="33" t="n">
        <f aca="false">Z35+AA17</f>
        <v>133.602150537634</v>
      </c>
      <c r="AB35" s="33" t="n">
        <f aca="false">AA35+AB17</f>
        <v>133.602150537634</v>
      </c>
      <c r="AC35" s="33" t="n">
        <f aca="false">AB35+AC17</f>
        <v>133.602150537634</v>
      </c>
      <c r="AD35" s="33" t="n">
        <f aca="false">AC35+AD17</f>
        <v>133.602150537634</v>
      </c>
      <c r="AE35" s="33" t="n">
        <f aca="false">AD35+AE17</f>
        <v>133.602150537634</v>
      </c>
      <c r="AF35" s="33" t="n">
        <f aca="false">AE35+AF17</f>
        <v>133.602150537634</v>
      </c>
      <c r="AG35" s="33" t="n">
        <f aca="false">AF35+AG17</f>
        <v>133.602150537634</v>
      </c>
      <c r="AH35" s="33" t="n">
        <f aca="false">AG35+AH17</f>
        <v>133.602150537634</v>
      </c>
      <c r="AI35" s="33" t="n">
        <f aca="false">AH35+AI17</f>
        <v>133.602150537634</v>
      </c>
      <c r="AJ35" s="33" t="n">
        <f aca="false">AI35+AJ17</f>
        <v>133.602150537634</v>
      </c>
      <c r="AK35" s="33" t="n">
        <f aca="false">AJ35+AK17</f>
        <v>133.602150537634</v>
      </c>
      <c r="AL35" s="33" t="n">
        <f aca="false">AK35+AL17</f>
        <v>133.602150537634</v>
      </c>
      <c r="AM35" s="33" t="n">
        <f aca="false">AL35+AM17</f>
        <v>133.602150537634</v>
      </c>
      <c r="AN35" s="33" t="n">
        <f aca="false">AM35+AN17</f>
        <v>133.602150537634</v>
      </c>
      <c r="AO35" s="33" t="n">
        <f aca="false">AN35+AO17</f>
        <v>133.602150537634</v>
      </c>
      <c r="AP35" s="33" t="n">
        <f aca="false">AO35+AP17</f>
        <v>133.602150537634</v>
      </c>
      <c r="AQ35" s="33" t="n">
        <f aca="false">AP35+AQ17</f>
        <v>133.602150537634</v>
      </c>
      <c r="AR35" s="33" t="n">
        <f aca="false">AQ35+AR17</f>
        <v>133.602150537634</v>
      </c>
      <c r="AS35" s="33" t="n">
        <f aca="false">AR35+AS17</f>
        <v>133.602150537634</v>
      </c>
      <c r="AT35" s="33" t="n">
        <f aca="false">AS35+AT17</f>
        <v>133.602150537634</v>
      </c>
      <c r="AU35" s="33" t="n">
        <f aca="false">AT35+AU17</f>
        <v>133.602150537634</v>
      </c>
      <c r="AV35" s="33" t="n">
        <f aca="false">AU35+AV17</f>
        <v>133.602150537634</v>
      </c>
      <c r="AW35" s="33" t="n">
        <f aca="false">AV35+AW17</f>
        <v>133.602150537634</v>
      </c>
      <c r="AX35" s="33" t="n">
        <f aca="false">AW35+AX17</f>
        <v>133.602150537634</v>
      </c>
      <c r="AY35" s="33" t="n">
        <f aca="false">AX35+AY17</f>
        <v>133.602150537634</v>
      </c>
      <c r="AZ35" s="33" t="n">
        <f aca="false">AY35+AZ17</f>
        <v>133.602150537634</v>
      </c>
      <c r="BA35" s="33" t="n">
        <f aca="false">AZ35+BA17</f>
        <v>133.602150537634</v>
      </c>
      <c r="BB35" s="33" t="n">
        <f aca="false">BA35+BB17</f>
        <v>133.602150537634</v>
      </c>
      <c r="BC35" s="33" t="n">
        <f aca="false">BB35+BC17</f>
        <v>133.602150537634</v>
      </c>
      <c r="BD35" s="33" t="n">
        <f aca="false">BC35+BD17</f>
        <v>133.602150537634</v>
      </c>
      <c r="BE35" s="33" t="n">
        <f aca="false">BD35+BE17</f>
        <v>133.602150537634</v>
      </c>
      <c r="BF35" s="33" t="n">
        <f aca="false">BE35+BF17</f>
        <v>133.602150537634</v>
      </c>
      <c r="BG35" s="33" t="n">
        <f aca="false">BF35+BG17</f>
        <v>133.602150537634</v>
      </c>
      <c r="BH35" s="33" t="n">
        <f aca="false">BG35+BH17</f>
        <v>133.602150537634</v>
      </c>
      <c r="BI35" s="33" t="n">
        <f aca="false">BH35+BI17</f>
        <v>133.602150537634</v>
      </c>
      <c r="BJ35" s="33" t="n">
        <f aca="false">BI35+BJ17</f>
        <v>133.602150537634</v>
      </c>
      <c r="BK35" s="33" t="n">
        <f aca="false">BJ35+BK17</f>
        <v>133.602150537634</v>
      </c>
    </row>
    <row r="36" customFormat="false" ht="15" hidden="false" customHeight="false" outlineLevel="0" collapsed="false">
      <c r="A36" s="3" t="s">
        <v>278</v>
      </c>
      <c r="D36" s="3" t="n">
        <f aca="false">IF(AND(D35&gt;=0,D16&gt;Inputs!$B$13),1,0)</f>
        <v>0</v>
      </c>
      <c r="E36" s="3" t="n">
        <f aca="false">IF(AND(E35&gt;=0,E16&gt;Inputs!$B$13),1,0)</f>
        <v>0</v>
      </c>
      <c r="F36" s="3" t="n">
        <f aca="false">IF(AND(F35&gt;=0,F16&gt;Inputs!$B$13),1,0)</f>
        <v>0</v>
      </c>
      <c r="G36" s="3" t="n">
        <f aca="false">IF(AND(G35&gt;=0,G16&gt;Inputs!$B$13),1,0)</f>
        <v>0</v>
      </c>
      <c r="H36" s="3" t="n">
        <f aca="false">IF(AND(H35&gt;=0,H16&gt;Inputs!$B$13),1,0)</f>
        <v>0</v>
      </c>
      <c r="I36" s="3" t="n">
        <f aca="false">IF(AND(I35&gt;=0,I16&gt;Inputs!$B$13),1,0)</f>
        <v>0</v>
      </c>
      <c r="J36" s="3" t="n">
        <f aca="false">IF(AND(J35&gt;=0,J16&gt;Inputs!$B$13),1,0)</f>
        <v>0</v>
      </c>
      <c r="K36" s="3" t="n">
        <f aca="false">IF(AND(K35&gt;=0,K16&gt;Inputs!$B$13),1,0)</f>
        <v>0</v>
      </c>
      <c r="L36" s="3" t="n">
        <f aca="false">IF(AND(L35&gt;=0,L16&gt;Inputs!$B$13),1,0)</f>
        <v>0</v>
      </c>
      <c r="M36" s="3" t="n">
        <f aca="false">IF(AND(M35&gt;=0,M16&gt;Inputs!$B$13),1,0)</f>
        <v>0</v>
      </c>
      <c r="N36" s="3" t="n">
        <f aca="false">IF(AND(N35&gt;=0,N16&gt;Inputs!$B$13),1,0)</f>
        <v>0</v>
      </c>
      <c r="O36" s="3" t="n">
        <f aca="false">IF(AND(O35&gt;=0,O16&gt;Inputs!$B$13),1,0)</f>
        <v>0</v>
      </c>
      <c r="P36" s="3" t="n">
        <f aca="false">IF(AND(P35&gt;=0,P16&gt;Inputs!$B$13),1,0)</f>
        <v>0</v>
      </c>
      <c r="Q36" s="3" t="n">
        <f aca="false">IF(AND(Q35&gt;=0,Q16&gt;Inputs!$B$13),1,0)</f>
        <v>0</v>
      </c>
      <c r="R36" s="3" t="n">
        <f aca="false">IF(AND(R35&gt;=0,R16&gt;Inputs!$B$13),1,0)</f>
        <v>0</v>
      </c>
      <c r="S36" s="3" t="n">
        <f aca="false">IF(AND(S35&gt;=0,S16&gt;Inputs!$B$13),1,0)</f>
        <v>0</v>
      </c>
      <c r="T36" s="3" t="n">
        <f aca="false">IF(AND(T35&gt;=0,T16&gt;Inputs!$B$13),1,0)</f>
        <v>0</v>
      </c>
      <c r="U36" s="3" t="n">
        <f aca="false">IF(AND(U35&gt;=0,U16&gt;Inputs!$B$13),1,0)</f>
        <v>1</v>
      </c>
      <c r="V36" s="3" t="n">
        <f aca="false">IF(AND(V35&gt;=0,V16&gt;Inputs!$B$13),1,0)</f>
        <v>1</v>
      </c>
      <c r="W36" s="3" t="n">
        <f aca="false">IF(AND(W35&gt;=0,W16&gt;Inputs!$B$13),1,0)</f>
        <v>1</v>
      </c>
      <c r="X36" s="3" t="n">
        <f aca="false">IF(AND(X35&gt;=0,X16&gt;Inputs!$B$13),1,0)</f>
        <v>1</v>
      </c>
      <c r="Y36" s="3" t="n">
        <f aca="false">IF(AND(Y35&gt;=0,Y16&gt;Inputs!$B$13),1,0)</f>
        <v>1</v>
      </c>
      <c r="Z36" s="3" t="n">
        <f aca="false">IF(AND(Z35&gt;=0,Z16&gt;Inputs!$B$13),1,0)</f>
        <v>1</v>
      </c>
      <c r="AA36" s="3" t="n">
        <f aca="false">IF(AND(AA35&gt;=0,AA16&gt;Inputs!$B$13),1,0)</f>
        <v>1</v>
      </c>
      <c r="AB36" s="3" t="n">
        <f aca="false">IF(AND(AB35&gt;=0,AB16&gt;Inputs!$B$13),1,0)</f>
        <v>1</v>
      </c>
      <c r="AC36" s="3" t="n">
        <f aca="false">IF(AND(AC35&gt;=0,AC16&gt;Inputs!$B$13),1,0)</f>
        <v>1</v>
      </c>
      <c r="AD36" s="3" t="n">
        <f aca="false">IF(AND(AD35&gt;=0,AD16&gt;Inputs!$B$13),1,0)</f>
        <v>1</v>
      </c>
      <c r="AE36" s="3" t="n">
        <f aca="false">IF(AND(AE35&gt;=0,AE16&gt;Inputs!$B$13),1,0)</f>
        <v>1</v>
      </c>
      <c r="AF36" s="3" t="n">
        <f aca="false">IF(AND(AF35&gt;=0,AF16&gt;Inputs!$B$13),1,0)</f>
        <v>1</v>
      </c>
      <c r="AG36" s="3" t="n">
        <f aca="false">IF(AND(AG35&gt;=0,AG16&gt;Inputs!$B$13),1,0)</f>
        <v>1</v>
      </c>
      <c r="AH36" s="3" t="n">
        <f aca="false">IF(AND(AH35&gt;=0,AH16&gt;Inputs!$B$13),1,0)</f>
        <v>1</v>
      </c>
      <c r="AI36" s="3" t="n">
        <f aca="false">IF(AND(AI35&gt;=0,AI16&gt;Inputs!$B$13),1,0)</f>
        <v>1</v>
      </c>
      <c r="AJ36" s="3" t="n">
        <f aca="false">IF(AND(AJ35&gt;=0,AJ16&gt;Inputs!$B$13),1,0)</f>
        <v>1</v>
      </c>
      <c r="AK36" s="3" t="n">
        <f aca="false">IF(AND(AK35&gt;=0,AK16&gt;Inputs!$B$13),1,0)</f>
        <v>1</v>
      </c>
      <c r="AL36" s="3" t="n">
        <f aca="false">IF(AND(AL35&gt;=0,AL16&gt;Inputs!$B$13),1,0)</f>
        <v>1</v>
      </c>
      <c r="AM36" s="3" t="n">
        <f aca="false">IF(AND(AM35&gt;=0,AM16&gt;Inputs!$B$13),1,0)</f>
        <v>1</v>
      </c>
      <c r="AN36" s="3" t="n">
        <f aca="false">IF(AND(AN35&gt;=0,AN16&gt;Inputs!$B$13),1,0)</f>
        <v>1</v>
      </c>
      <c r="AO36" s="3" t="n">
        <f aca="false">IF(AND(AO35&gt;=0,AO16&gt;Inputs!$B$13),1,0)</f>
        <v>1</v>
      </c>
      <c r="AP36" s="3" t="n">
        <f aca="false">IF(AND(AP35&gt;=0,AP16&gt;Inputs!$B$13),1,0)</f>
        <v>1</v>
      </c>
      <c r="AQ36" s="3" t="n">
        <f aca="false">IF(AND(AQ35&gt;=0,AQ16&gt;Inputs!$B$13),1,0)</f>
        <v>1</v>
      </c>
      <c r="AR36" s="3" t="n">
        <f aca="false">IF(AND(AR35&gt;=0,AR16&gt;Inputs!$B$13),1,0)</f>
        <v>1</v>
      </c>
      <c r="AS36" s="3" t="n">
        <f aca="false">IF(AND(AS35&gt;=0,AS16&gt;Inputs!$B$13),1,0)</f>
        <v>1</v>
      </c>
      <c r="AT36" s="3" t="n">
        <f aca="false">IF(AND(AT35&gt;=0,AT16&gt;Inputs!$B$13),1,0)</f>
        <v>1</v>
      </c>
      <c r="AU36" s="3" t="n">
        <f aca="false">IF(AND(AU35&gt;=0,AU16&gt;Inputs!$B$13),1,0)</f>
        <v>1</v>
      </c>
      <c r="AV36" s="3" t="n">
        <f aca="false">IF(AND(AV35&gt;=0,AV16&gt;Inputs!$B$13),1,0)</f>
        <v>1</v>
      </c>
      <c r="AW36" s="3" t="n">
        <f aca="false">IF(AND(AW35&gt;=0,AW16&gt;Inputs!$B$13),1,0)</f>
        <v>1</v>
      </c>
      <c r="AX36" s="3" t="n">
        <f aca="false">IF(AND(AX35&gt;=0,AX16&gt;Inputs!$B$13),1,0)</f>
        <v>1</v>
      </c>
      <c r="AY36" s="3" t="n">
        <f aca="false">IF(AND(AY35&gt;=0,AY16&gt;Inputs!$B$13),1,0)</f>
        <v>1</v>
      </c>
      <c r="AZ36" s="3" t="n">
        <f aca="false">IF(AND(AZ35&gt;=0,AZ16&gt;Inputs!$B$13),1,0)</f>
        <v>1</v>
      </c>
      <c r="BA36" s="3" t="n">
        <f aca="false">IF(AND(BA35&gt;=0,BA16&gt;Inputs!$B$13),1,0)</f>
        <v>1</v>
      </c>
      <c r="BB36" s="3" t="n">
        <f aca="false">IF(AND(BB35&gt;=0,BB16&gt;Inputs!$B$13),1,0)</f>
        <v>1</v>
      </c>
      <c r="BC36" s="3" t="n">
        <f aca="false">IF(AND(BC35&gt;=0,BC16&gt;Inputs!$B$13),1,0)</f>
        <v>1</v>
      </c>
      <c r="BD36" s="3" t="n">
        <f aca="false">IF(AND(BD35&gt;=0,BD16&gt;Inputs!$B$13),1,0)</f>
        <v>1</v>
      </c>
      <c r="BE36" s="3" t="n">
        <f aca="false">IF(AND(BE35&gt;=0,BE16&gt;Inputs!$B$13),1,0)</f>
        <v>1</v>
      </c>
      <c r="BF36" s="3" t="n">
        <f aca="false">IF(AND(BF35&gt;=0,BF16&gt;Inputs!$B$13),1,0)</f>
        <v>1</v>
      </c>
      <c r="BG36" s="3" t="n">
        <f aca="false">IF(AND(BG35&gt;=0,BG16&gt;Inputs!$B$13),1,0)</f>
        <v>1</v>
      </c>
      <c r="BH36" s="3" t="n">
        <f aca="false">IF(AND(BH35&gt;=0,BH16&gt;Inputs!$B$13),1,0)</f>
        <v>1</v>
      </c>
      <c r="BI36" s="3" t="n">
        <f aca="false">IF(AND(BI35&gt;=0,BI16&gt;Inputs!$B$13),1,0)</f>
        <v>1</v>
      </c>
      <c r="BJ36" s="3" t="n">
        <f aca="false">IF(AND(BJ35&gt;=0,BJ16&gt;Inputs!$B$13),1,0)</f>
        <v>1</v>
      </c>
      <c r="BK36" s="3" t="n">
        <f aca="false">IF(AND(BK35&gt;=0,BK16&gt;Inputs!$B$13),1,0)</f>
        <v>1</v>
      </c>
    </row>
    <row r="37" customFormat="false" ht="15" hidden="false" customHeight="false" outlineLevel="0" collapsed="false">
      <c r="A37" s="3" t="s">
        <v>279</v>
      </c>
      <c r="D37" s="27" t="n">
        <f aca="false">IF(D16&gt;=Inputs!$B$13,Inputs!$B$7,0)</f>
        <v>75</v>
      </c>
      <c r="E37" s="27" t="n">
        <f aca="false">IF(E16&gt;=Inputs!$B$13,Inputs!$B$7,0)</f>
        <v>75</v>
      </c>
      <c r="F37" s="27" t="n">
        <f aca="false">IF(F16&gt;=Inputs!$B$13,Inputs!$B$7,0)</f>
        <v>75</v>
      </c>
      <c r="G37" s="27" t="n">
        <f aca="false">IF(G16&gt;=Inputs!$B$13,Inputs!$B$7,0)</f>
        <v>75</v>
      </c>
      <c r="H37" s="27" t="n">
        <f aca="false">IF(H16&gt;=Inputs!$B$13,Inputs!$B$7,0)</f>
        <v>75</v>
      </c>
      <c r="I37" s="27" t="n">
        <f aca="false">IF(I16&gt;=Inputs!$B$13,Inputs!$B$7,0)</f>
        <v>75</v>
      </c>
      <c r="J37" s="27" t="n">
        <f aca="false">IF(J16&gt;=Inputs!$B$13,Inputs!$B$7,0)</f>
        <v>75</v>
      </c>
      <c r="K37" s="27" t="n">
        <f aca="false">IF(K16&gt;=Inputs!$B$13,Inputs!$B$7,0)</f>
        <v>75</v>
      </c>
      <c r="L37" s="27" t="n">
        <f aca="false">IF(L16&gt;=Inputs!$B$13,Inputs!$B$7,0)</f>
        <v>75</v>
      </c>
      <c r="M37" s="27" t="n">
        <f aca="false">IF(M16&gt;=Inputs!$B$13,Inputs!$B$7,0)</f>
        <v>75</v>
      </c>
      <c r="N37" s="27" t="n">
        <f aca="false">IF(N16&gt;=Inputs!$B$13,Inputs!$B$7,0)</f>
        <v>75</v>
      </c>
      <c r="O37" s="27" t="n">
        <f aca="false">IF(O16&gt;=Inputs!$B$13,Inputs!$B$7,0)</f>
        <v>75</v>
      </c>
      <c r="P37" s="27" t="n">
        <f aca="false">IF(P16&gt;=Inputs!$B$13,Inputs!$B$7,0)</f>
        <v>75</v>
      </c>
      <c r="Q37" s="27" t="n">
        <f aca="false">IF(Q16&gt;=Inputs!$B$13,Inputs!$B$7,0)</f>
        <v>75</v>
      </c>
      <c r="R37" s="27" t="n">
        <f aca="false">IF(R16&gt;=Inputs!$B$13,Inputs!$B$7,0)</f>
        <v>75</v>
      </c>
      <c r="S37" s="27" t="n">
        <f aca="false">IF(S16&gt;=Inputs!$B$13,Inputs!$B$7,0)</f>
        <v>75</v>
      </c>
      <c r="T37" s="27" t="n">
        <f aca="false">IF(T16&gt;=Inputs!$B$13,Inputs!$B$7,0)</f>
        <v>75</v>
      </c>
      <c r="U37" s="27" t="n">
        <f aca="false">IF(U16&gt;=Inputs!$B$13,Inputs!$B$7,0)</f>
        <v>75</v>
      </c>
      <c r="V37" s="27" t="n">
        <f aca="false">IF(V16&gt;=Inputs!$B$13,Inputs!$B$7,0)</f>
        <v>75</v>
      </c>
      <c r="W37" s="27" t="n">
        <f aca="false">IF(W16&gt;=Inputs!$B$13,Inputs!$B$7,0)</f>
        <v>75</v>
      </c>
      <c r="X37" s="27" t="n">
        <f aca="false">IF(X16&gt;=Inputs!$B$13,Inputs!$B$7,0)</f>
        <v>75</v>
      </c>
      <c r="Y37" s="27" t="n">
        <f aca="false">IF(Y16&gt;=Inputs!$B$13,Inputs!$B$7,0)</f>
        <v>75</v>
      </c>
      <c r="Z37" s="27" t="n">
        <f aca="false">IF(Z16&gt;=Inputs!$B$13,Inputs!$B$7,0)</f>
        <v>75</v>
      </c>
      <c r="AA37" s="27" t="n">
        <f aca="false">IF(AA16&gt;=Inputs!$B$13,Inputs!$B$7,0)</f>
        <v>75</v>
      </c>
      <c r="AB37" s="27" t="n">
        <f aca="false">IF(AB16&gt;=Inputs!$B$13,Inputs!$B$7,0)</f>
        <v>75</v>
      </c>
      <c r="AC37" s="27" t="n">
        <f aca="false">IF(AC16&gt;=Inputs!$B$13,Inputs!$B$7,0)</f>
        <v>75</v>
      </c>
      <c r="AD37" s="27" t="n">
        <f aca="false">IF(AD16&gt;=Inputs!$B$13,Inputs!$B$7,0)</f>
        <v>75</v>
      </c>
      <c r="AE37" s="27" t="n">
        <f aca="false">IF(AE16&gt;=Inputs!$B$13,Inputs!$B$7,0)</f>
        <v>75</v>
      </c>
      <c r="AF37" s="27" t="n">
        <f aca="false">IF(AF16&gt;=Inputs!$B$13,Inputs!$B$7,0)</f>
        <v>75</v>
      </c>
      <c r="AG37" s="27" t="n">
        <f aca="false">IF(AG16&gt;=Inputs!$B$13,Inputs!$B$7,0)</f>
        <v>75</v>
      </c>
      <c r="AH37" s="27" t="n">
        <f aca="false">IF(AH16&gt;=Inputs!$B$13,Inputs!$B$7,0)</f>
        <v>75</v>
      </c>
      <c r="AI37" s="27" t="n">
        <f aca="false">IF(AI16&gt;=Inputs!$B$13,Inputs!$B$7,0)</f>
        <v>75</v>
      </c>
      <c r="AJ37" s="27" t="n">
        <f aca="false">IF(AJ16&gt;=Inputs!$B$13,Inputs!$B$7,0)</f>
        <v>75</v>
      </c>
      <c r="AK37" s="27" t="n">
        <f aca="false">IF(AK16&gt;=Inputs!$B$13,Inputs!$B$7,0)</f>
        <v>75</v>
      </c>
      <c r="AL37" s="27" t="n">
        <f aca="false">IF(AL16&gt;=Inputs!$B$13,Inputs!$B$7,0)</f>
        <v>75</v>
      </c>
      <c r="AM37" s="27" t="n">
        <f aca="false">IF(AM16&gt;=Inputs!$B$13,Inputs!$B$7,0)</f>
        <v>75</v>
      </c>
      <c r="AN37" s="27" t="n">
        <f aca="false">IF(AN16&gt;=Inputs!$B$13,Inputs!$B$7,0)</f>
        <v>75</v>
      </c>
      <c r="AO37" s="27" t="n">
        <f aca="false">IF(AO16&gt;=Inputs!$B$13,Inputs!$B$7,0)</f>
        <v>75</v>
      </c>
      <c r="AP37" s="27" t="n">
        <f aca="false">IF(AP16&gt;=Inputs!$B$13,Inputs!$B$7,0)</f>
        <v>75</v>
      </c>
      <c r="AQ37" s="27" t="n">
        <f aca="false">IF(AQ16&gt;=Inputs!$B$13,Inputs!$B$7,0)</f>
        <v>75</v>
      </c>
      <c r="AR37" s="27" t="n">
        <f aca="false">IF(AR16&gt;=Inputs!$B$13,Inputs!$B$7,0)</f>
        <v>75</v>
      </c>
      <c r="AS37" s="27" t="n">
        <f aca="false">IF(AS16&gt;=Inputs!$B$13,Inputs!$B$7,0)</f>
        <v>75</v>
      </c>
      <c r="AT37" s="27" t="n">
        <f aca="false">IF(AT16&gt;=Inputs!$B$13,Inputs!$B$7,0)</f>
        <v>75</v>
      </c>
      <c r="AU37" s="27" t="n">
        <f aca="false">IF(AU16&gt;=Inputs!$B$13,Inputs!$B$7,0)</f>
        <v>75</v>
      </c>
      <c r="AV37" s="27" t="n">
        <f aca="false">IF(AV16&gt;=Inputs!$B$13,Inputs!$B$7,0)</f>
        <v>75</v>
      </c>
      <c r="AW37" s="27" t="n">
        <f aca="false">IF(AW16&gt;=Inputs!$B$13,Inputs!$B$7,0)</f>
        <v>75</v>
      </c>
      <c r="AX37" s="27" t="n">
        <f aca="false">IF(AX16&gt;=Inputs!$B$13,Inputs!$B$7,0)</f>
        <v>75</v>
      </c>
      <c r="AY37" s="27" t="n">
        <f aca="false">IF(AY16&gt;=Inputs!$B$13,Inputs!$B$7,0)</f>
        <v>75</v>
      </c>
      <c r="AZ37" s="27" t="n">
        <f aca="false">IF(AZ16&gt;=Inputs!$B$13,Inputs!$B$7,0)</f>
        <v>75</v>
      </c>
      <c r="BA37" s="27" t="n">
        <f aca="false">IF(BA16&gt;=Inputs!$B$13,Inputs!$B$7,0)</f>
        <v>75</v>
      </c>
      <c r="BB37" s="27" t="n">
        <f aca="false">IF(BB16&gt;=Inputs!$B$13,Inputs!$B$7,0)</f>
        <v>75</v>
      </c>
      <c r="BC37" s="27" t="n">
        <f aca="false">IF(BC16&gt;=Inputs!$B$13,Inputs!$B$7,0)</f>
        <v>75</v>
      </c>
      <c r="BD37" s="27" t="n">
        <f aca="false">IF(BD16&gt;=Inputs!$B$13,Inputs!$B$7,0)</f>
        <v>75</v>
      </c>
      <c r="BE37" s="27" t="n">
        <f aca="false">IF(BE16&gt;=Inputs!$B$13,Inputs!$B$7,0)</f>
        <v>75</v>
      </c>
      <c r="BF37" s="27" t="n">
        <f aca="false">IF(BF16&gt;=Inputs!$B$13,Inputs!$B$7,0)</f>
        <v>75</v>
      </c>
      <c r="BG37" s="27" t="n">
        <f aca="false">IF(BG16&gt;=Inputs!$B$13,Inputs!$B$7,0)</f>
        <v>75</v>
      </c>
      <c r="BH37" s="27" t="n">
        <f aca="false">IF(BH16&gt;=Inputs!$B$13,Inputs!$B$7,0)</f>
        <v>75</v>
      </c>
      <c r="BI37" s="27" t="n">
        <f aca="false">IF(BI16&gt;=Inputs!$B$13,Inputs!$B$7,0)</f>
        <v>75</v>
      </c>
      <c r="BJ37" s="27" t="n">
        <f aca="false">IF(BJ16&gt;=Inputs!$B$13,Inputs!$B$7,0)</f>
        <v>75</v>
      </c>
      <c r="BK37" s="27" t="n">
        <f aca="false">IF(BK16&gt;=Inputs!$B$13,Inputs!$B$7,0)</f>
        <v>75</v>
      </c>
    </row>
    <row r="38" customFormat="false" ht="15" hidden="false" customHeight="false" outlineLevel="0" collapsed="false">
      <c r="A38" s="3" t="s">
        <v>280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-102.3607625</v>
      </c>
      <c r="G38" s="33" t="n">
        <f aca="false">Project_CF!G14+G22-G37</f>
        <v>-90.8322875</v>
      </c>
      <c r="H38" s="33" t="n">
        <f aca="false">Project_CF!H14+H22-H37</f>
        <v>-95.44528125</v>
      </c>
      <c r="I38" s="33" t="n">
        <f aca="false">Project_CF!I14+I22-I37</f>
        <v>-89.30974375</v>
      </c>
      <c r="J38" s="33" t="n">
        <f aca="false">Project_CF!J14+J22-J37</f>
        <v>-108.30543375</v>
      </c>
      <c r="K38" s="33" t="n">
        <f aca="false">Project_CF!K14+K22-K37</f>
        <v>-110.553264375</v>
      </c>
      <c r="L38" s="33" t="n">
        <f aca="false">Project_CF!L14+L22-L37</f>
        <v>-107.6056759375</v>
      </c>
      <c r="M38" s="33" t="n">
        <f aca="false">Project_CF!M14+M22-M37</f>
        <v>280.2669015625</v>
      </c>
      <c r="N38" s="33" t="n">
        <f aca="false">Project_CF!N14+N22-N37</f>
        <v>415.2836415625</v>
      </c>
      <c r="O38" s="33" t="n">
        <f aca="false">Project_CF!O14+O22-O37</f>
        <v>541.2566315625</v>
      </c>
      <c r="P38" s="33" t="n">
        <f aca="false">Project_CF!P14+P22-P37</f>
        <v>444.1193415625</v>
      </c>
      <c r="Q38" s="33" t="n">
        <f aca="false">Project_CF!Q14+Q22-Q37</f>
        <v>319.4185103125</v>
      </c>
      <c r="R38" s="33" t="n">
        <f aca="false">Project_CF!R14+R22-R37</f>
        <v>144.1176790625</v>
      </c>
      <c r="S38" s="33" t="n">
        <f aca="false">Project_CF!S14+S22-S37</f>
        <v>22.1985146875</v>
      </c>
      <c r="T38" s="33" t="n">
        <f aca="false">Project_CF!T14+T22-T37</f>
        <v>35.050154375</v>
      </c>
      <c r="U38" s="33" t="n">
        <f aca="false">Project_CF!U14+U22-U37</f>
        <v>46.7628703125</v>
      </c>
      <c r="V38" s="33" t="n">
        <f aca="false">Project_CF!V14+V22-V37</f>
        <v>52.486815</v>
      </c>
      <c r="W38" s="33" t="n">
        <f aca="false">Project_CF!W14+W22-W37</f>
        <v>53.8697596875</v>
      </c>
      <c r="X38" s="33" t="n">
        <f aca="false">Project_CF!X14+X22-X37</f>
        <v>77.752704375</v>
      </c>
      <c r="Y38" s="33" t="n">
        <f aca="false">Project_CF!Y14+Y22-Y37</f>
        <v>94.3554303125</v>
      </c>
      <c r="Z38" s="33" t="n">
        <f aca="false">Project_CF!Z14+Z22-Z37</f>
        <v>110.95815625</v>
      </c>
      <c r="AA38" s="33" t="n">
        <f aca="false">Project_CF!AA14+AA22-AA37</f>
        <v>127.5608821875</v>
      </c>
      <c r="AB38" s="33" t="n">
        <f aca="false">Project_CF!AB14+AB22-AB37</f>
        <v>160.875608125</v>
      </c>
      <c r="AC38" s="33" t="n">
        <f aca="false">Project_CF!AC14+AC22-AC37</f>
        <v>190.914235625</v>
      </c>
      <c r="AD38" s="33" t="n">
        <f aca="false">Project_CF!AD14+AD22-AD37</f>
        <v>217.344406875</v>
      </c>
      <c r="AE38" s="33" t="n">
        <f aca="false">Project_CF!AE14+AE22-AE37</f>
        <v>239.433578125</v>
      </c>
      <c r="AF38" s="33" t="n">
        <f aca="false">Project_CF!AF14+AF22-AF37</f>
        <v>153.764539023437</v>
      </c>
      <c r="AG38" s="33" t="n">
        <f aca="false">Project_CF!AG14+AG22-AG37</f>
        <v>164.877197851562</v>
      </c>
      <c r="AH38" s="33" t="n">
        <f aca="false">Project_CF!AH14+AH22-AH37</f>
        <v>175.989856679687</v>
      </c>
      <c r="AI38" s="33" t="n">
        <f aca="false">Project_CF!AI14+AI22-AI37</f>
        <v>187.102515507812</v>
      </c>
      <c r="AJ38" s="33" t="n">
        <f aca="false">Project_CF!AJ14+AJ22-AJ37</f>
        <v>198.215174335938</v>
      </c>
      <c r="AK38" s="33" t="n">
        <f aca="false">Project_CF!AK14+AK22-AK37</f>
        <v>208.09929625</v>
      </c>
      <c r="AL38" s="33" t="n">
        <f aca="false">Project_CF!AL14+AL22-AL37</f>
        <v>217.983418164063</v>
      </c>
      <c r="AM38" s="33" t="n">
        <f aca="false">Project_CF!AM14+AM22-AM37</f>
        <v>225.5244175</v>
      </c>
      <c r="AN38" s="33" t="n">
        <f aca="false">Project_CF!AN14+AN22-AN37</f>
        <v>229.43913671875</v>
      </c>
      <c r="AO38" s="33" t="n">
        <f aca="false">Project_CF!AO14+AO22-AO37</f>
        <v>231.4475275</v>
      </c>
      <c r="AP38" s="33" t="n">
        <f aca="false">Project_CF!AP14+AP22-AP37</f>
        <v>231.4475275</v>
      </c>
      <c r="AQ38" s="33" t="n">
        <f aca="false">Project_CF!AQ14+AQ22-AQ37</f>
        <v>231.4475275</v>
      </c>
      <c r="AR38" s="33" t="n">
        <f aca="false">Project_CF!AR14+AR22-AR37</f>
        <v>231.4475275</v>
      </c>
      <c r="AS38" s="33" t="n">
        <f aca="false">Project_CF!AS14+AS22-AS37</f>
        <v>231.4475275</v>
      </c>
      <c r="AT38" s="33" t="n">
        <f aca="false">Project_CF!AT14+AT22-AT37</f>
        <v>231.4475275</v>
      </c>
      <c r="AU38" s="33" t="n">
        <f aca="false">Project_CF!AU14+AU22-AU37</f>
        <v>231.4475275</v>
      </c>
      <c r="AV38" s="33" t="n">
        <f aca="false">Project_CF!AV14+AV22-AV37</f>
        <v>231.4475275</v>
      </c>
      <c r="AW38" s="33" t="n">
        <f aca="false">Project_CF!AW14+AW22-AW37</f>
        <v>231.4475275</v>
      </c>
      <c r="AX38" s="33" t="n">
        <f aca="false">Project_CF!AX14+AX22-AX37</f>
        <v>231.4475275</v>
      </c>
      <c r="AY38" s="33" t="n">
        <f aca="false">Project_CF!AY14+AY22-AY37</f>
        <v>231.4475275</v>
      </c>
      <c r="AZ38" s="33" t="n">
        <f aca="false">Project_CF!AZ14+AZ22-AZ37</f>
        <v>231.4475275</v>
      </c>
      <c r="BA38" s="33" t="n">
        <f aca="false">Project_CF!BA14+BA22-BA37</f>
        <v>231.4475275</v>
      </c>
      <c r="BB38" s="33" t="n">
        <f aca="false">Project_CF!BB14+BB22-BB37</f>
        <v>231.4475275</v>
      </c>
      <c r="BC38" s="33" t="n">
        <f aca="false">Project_CF!BC14+BC22-BC37</f>
        <v>231.4475275</v>
      </c>
      <c r="BD38" s="33" t="n">
        <f aca="false">Project_CF!BD14+BD22-BD37</f>
        <v>231.4475275</v>
      </c>
      <c r="BE38" s="33" t="n">
        <f aca="false">Project_CF!BE14+BE22-BE37</f>
        <v>231.4475275</v>
      </c>
      <c r="BF38" s="33" t="n">
        <f aca="false">Project_CF!BF14+BF22-BF37</f>
        <v>231.4475275</v>
      </c>
      <c r="BG38" s="33" t="n">
        <f aca="false">Project_CF!BG14+BG22-BG37</f>
        <v>231.4475275</v>
      </c>
      <c r="BH38" s="33" t="n">
        <f aca="false">Project_CF!BH14+BH22-BH37</f>
        <v>231.4475275</v>
      </c>
      <c r="BI38" s="33" t="n">
        <f aca="false">Project_CF!BI14+BI22-BI37</f>
        <v>231.4475275</v>
      </c>
      <c r="BJ38" s="33" t="n">
        <f aca="false">Project_CF!BJ14+BJ22-BJ37</f>
        <v>231.4475275</v>
      </c>
      <c r="BK38" s="33" t="n">
        <f aca="false">Project_CF!BK14+BK22-BK37</f>
        <v>231.4475275</v>
      </c>
    </row>
    <row r="40" customFormat="false" ht="23.85" hidden="false" customHeight="false" outlineLevel="0" collapsed="false">
      <c r="A40" s="7" t="s">
        <v>281</v>
      </c>
      <c r="B40" s="7" t="s">
        <v>282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283</v>
      </c>
      <c r="B47" s="7" t="s">
        <v>282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IF(Source_Data!D$6=Inputs!$B$13,-Inputs!$B$7,0)+IF(AND(Source_Data!D$6&gt;=Inputs!$B$14+3,Source_Data!D$6&lt;Inputs!$B$14+3+3*Inputs!$B$17,MOD(Source_Data!D$6-(Inputs!$B$14+3),3)=0),$A$41*Inputs!$B$7*Inputs!$B$35*(1-Inputs!$B$16)/Inputs!$B$17,0)</f>
        <v>-75</v>
      </c>
      <c r="E50" s="33" t="n">
        <f aca="false">IF(Source_Data!E$6=Inputs!$B$13,-Inputs!$B$7,0)+IF(AND(Source_Data!E$6&gt;=Inputs!$B$14+3,Source_Data!E$6&lt;Inputs!$B$14+3+3*Inputs!$B$17,MOD(Source_Data!E$6-(Inputs!$B$14+3),3)=0),$A$41*Inputs!$B$7*Inputs!$B$35*(1-Inputs!$B$16)/Inputs!$B$17,0)</f>
        <v>0</v>
      </c>
      <c r="F50" s="33" t="n">
        <f aca="false">IF(Source_Data!F$6=Inputs!$B$13,-Inputs!$B$7,0)+IF(AND(Source_Data!F$6&gt;=Inputs!$B$14+3,Source_Data!F$6&lt;Inputs!$B$14+3+3*Inputs!$B$17,MOD(Source_Data!F$6-(Inputs!$B$14+3),3)=0),$A$41*Inputs!$B$7*Inputs!$B$35*(1-Inputs!$B$16)/Inputs!$B$17,0)</f>
        <v>0</v>
      </c>
      <c r="G50" s="33" t="n">
        <f aca="false">IF(Source_Data!G$6=Inputs!$B$13,-Inputs!$B$7,0)+IF(AND(Source_Data!G$6&gt;=Inputs!$B$14+3,Source_Data!G$6&lt;Inputs!$B$14+3+3*Inputs!$B$17,MOD(Source_Data!G$6-(Inputs!$B$14+3),3)=0),$A$41*Inputs!$B$7*Inputs!$B$35*(1-Inputs!$B$16)/Inputs!$B$17,0)</f>
        <v>0</v>
      </c>
      <c r="H50" s="33" t="n">
        <f aca="false">IF(Source_Data!H$6=Inputs!$B$13,-Inputs!$B$7,0)+IF(AND(Source_Data!H$6&gt;=Inputs!$B$14+3,Source_Data!H$6&lt;Inputs!$B$14+3+3*Inputs!$B$17,MOD(Source_Data!H$6-(Inputs!$B$14+3),3)=0),$A$41*Inputs!$B$7*Inputs!$B$35*(1-Inputs!$B$16)/Inputs!$B$17,0)</f>
        <v>0</v>
      </c>
      <c r="I50" s="33" t="n">
        <f aca="false">IF(Source_Data!I$6=Inputs!$B$13,-Inputs!$B$7,0)+IF(AND(Source_Data!I$6&gt;=Inputs!$B$14+3,Source_Data!I$6&lt;Inputs!$B$14+3+3*Inputs!$B$17,MOD(Source_Data!I$6-(Inputs!$B$14+3),3)=0),$A$41*Inputs!$B$7*Inputs!$B$35*(1-Inputs!$B$16)/Inputs!$B$17,0)</f>
        <v>0</v>
      </c>
      <c r="J50" s="33" t="n">
        <f aca="false">IF(Source_Data!J$6=Inputs!$B$13,-Inputs!$B$7,0)+IF(AND(Source_Data!J$6&gt;=Inputs!$B$14+3,Source_Data!J$6&lt;Inputs!$B$14+3+3*Inputs!$B$17,MOD(Source_Data!J$6-(Inputs!$B$14+3),3)=0),$A$41*Inputs!$B$7*Inputs!$B$35*(1-Inputs!$B$16)/Inputs!$B$17,0)</f>
        <v>0</v>
      </c>
      <c r="K50" s="33" t="n">
        <f aca="false">IF(Source_Data!K$6=Inputs!$B$13,-Inputs!$B$7,0)+IF(AND(Source_Data!K$6&gt;=Inputs!$B$14+3,Source_Data!K$6&lt;Inputs!$B$14+3+3*Inputs!$B$17,MOD(Source_Data!K$6-(Inputs!$B$14+3),3)=0),$A$41*Inputs!$B$7*Inputs!$B$35*(1-Inputs!$B$16)/Inputs!$B$17,0)</f>
        <v>0</v>
      </c>
      <c r="L50" s="33" t="n">
        <f aca="false">IF(Source_Data!L$6=Inputs!$B$13,-Inputs!$B$7,0)+IF(AND(Source_Data!L$6&gt;=Inputs!$B$14+3,Source_Data!L$6&lt;Inputs!$B$14+3+3*Inputs!$B$17,MOD(Source_Data!L$6-(Inputs!$B$14+3),3)=0),$A$41*Inputs!$B$7*Inputs!$B$35*(1-Inputs!$B$16)/Inputs!$B$17,0)</f>
        <v>0</v>
      </c>
      <c r="M50" s="33" t="n">
        <f aca="false">IF(Source_Data!M$6=Inputs!$B$13,-Inputs!$B$7,0)+IF(AND(Source_Data!M$6&gt;=Inputs!$B$14+3,Source_Data!M$6&lt;Inputs!$B$14+3+3*Inputs!$B$17,MOD(Source_Data!M$6-(Inputs!$B$14+3),3)=0),$A$41*Inputs!$B$7*Inputs!$B$35*(1-Inputs!$B$16)/Inputs!$B$17,0)</f>
        <v>0</v>
      </c>
      <c r="N50" s="33" t="n">
        <f aca="false">IF(Source_Data!N$6=Inputs!$B$13,-Inputs!$B$7,0)+IF(AND(Source_Data!N$6&gt;=Inputs!$B$14+3,Source_Data!N$6&lt;Inputs!$B$14+3+3*Inputs!$B$17,MOD(Source_Data!N$6-(Inputs!$B$14+3),3)=0),$A$41*Inputs!$B$7*Inputs!$B$35*(1-Inputs!$B$16)/Inputs!$B$17,0)</f>
        <v>0</v>
      </c>
      <c r="O50" s="33" t="n">
        <f aca="false">IF(Source_Data!O$6=Inputs!$B$13,-Inputs!$B$7,0)+IF(AND(Source_Data!O$6&gt;=Inputs!$B$14+3,Source_Data!O$6&lt;Inputs!$B$14+3+3*Inputs!$B$17,MOD(Source_Data!O$6-(Inputs!$B$14+3),3)=0),$A$41*Inputs!$B$7*Inputs!$B$35*(1-Inputs!$B$16)/Inputs!$B$17,0)</f>
        <v>0</v>
      </c>
      <c r="P50" s="33" t="n">
        <f aca="false">IF(Source_Data!P$6=Inputs!$B$13,-Inputs!$B$7,0)+IF(AND(Source_Data!P$6&gt;=Inputs!$B$14+3,Source_Data!P$6&lt;Inputs!$B$14+3+3*Inputs!$B$17,MOD(Source_Data!P$6-(Inputs!$B$14+3),3)=0),$A$41*Inputs!$B$7*Inputs!$B$35*(1-Inputs!$B$16)/Inputs!$B$17,0)</f>
        <v>0</v>
      </c>
      <c r="Q50" s="33" t="n">
        <f aca="false">IF(Source_Data!Q$6=Inputs!$B$13,-Inputs!$B$7,0)+IF(AND(Source_Data!Q$6&gt;=Inputs!$B$14+3,Source_Data!Q$6&lt;Inputs!$B$14+3+3*Inputs!$B$17,MOD(Source_Data!Q$6-(Inputs!$B$14+3),3)=0),$A$41*Inputs!$B$7*Inputs!$B$35*(1-Inputs!$B$16)/Inputs!$B$17,0)</f>
        <v>0</v>
      </c>
      <c r="R50" s="33" t="n">
        <f aca="false">IF(Source_Data!R$6=Inputs!$B$13,-Inputs!$B$7,0)+IF(AND(Source_Data!R$6&gt;=Inputs!$B$14+3,Source_Data!R$6&lt;Inputs!$B$14+3+3*Inputs!$B$17,MOD(Source_Data!R$6-(Inputs!$B$14+3),3)=0),$A$41*Inputs!$B$7*Inputs!$B$35*(1-Inputs!$B$16)/Inputs!$B$17,0)</f>
        <v>0</v>
      </c>
      <c r="S50" s="33" t="n">
        <f aca="false">IF(Source_Data!S$6=Inputs!$B$13,-Inputs!$B$7,0)+IF(AND(Source_Data!S$6&gt;=Inputs!$B$14+3,Source_Data!S$6&lt;Inputs!$B$14+3+3*Inputs!$B$17,MOD(Source_Data!S$6-(Inputs!$B$14+3),3)=0),$A$41*Inputs!$B$7*Inputs!$B$35*(1-Inputs!$B$16)/Inputs!$B$17,0)</f>
        <v>0</v>
      </c>
      <c r="T50" s="33" t="n">
        <f aca="false">IF(Source_Data!T$6=Inputs!$B$13,-Inputs!$B$7,0)+IF(AND(Source_Data!T$6&gt;=Inputs!$B$14+3,Source_Data!T$6&lt;Inputs!$B$14+3+3*Inputs!$B$17,MOD(Source_Data!T$6-(Inputs!$B$14+3),3)=0),$A$41*Inputs!$B$7*Inputs!$B$35*(1-Inputs!$B$16)/Inputs!$B$17,0)</f>
        <v>39.1129032258065</v>
      </c>
      <c r="U50" s="33" t="n">
        <f aca="false">IF(Source_Data!U$6=Inputs!$B$13,-Inputs!$B$7,0)+IF(AND(Source_Data!U$6&gt;=Inputs!$B$14+3,Source_Data!U$6&lt;Inputs!$B$14+3+3*Inputs!$B$17,MOD(Source_Data!U$6-(Inputs!$B$14+3),3)=0),$A$41*Inputs!$B$7*Inputs!$B$35*(1-Inputs!$B$16)/Inputs!$B$17,0)</f>
        <v>39.1129032258065</v>
      </c>
      <c r="V50" s="33" t="n">
        <f aca="false">IF(Source_Data!V$6=Inputs!$B$13,-Inputs!$B$7,0)+IF(AND(Source_Data!V$6&gt;=Inputs!$B$14+3,Source_Data!V$6&lt;Inputs!$B$14+3+3*Inputs!$B$17,MOD(Source_Data!V$6-(Inputs!$B$14+3),3)=0),$A$41*Inputs!$B$7*Inputs!$B$35*(1-Inputs!$B$16)/Inputs!$B$17,0)</f>
        <v>39.1129032258065</v>
      </c>
      <c r="W50" s="33" t="n">
        <f aca="false">IF(Source_Data!W$6=Inputs!$B$13,-Inputs!$B$7,0)+IF(AND(Source_Data!W$6&gt;=Inputs!$B$14+3,Source_Data!W$6&lt;Inputs!$B$14+3+3*Inputs!$B$17,MOD(Source_Data!W$6-(Inputs!$B$14+3),3)=0),$A$41*Inputs!$B$7*Inputs!$B$35*(1-Inputs!$B$16)/Inputs!$B$17,0)</f>
        <v>39.1129032258065</v>
      </c>
      <c r="X50" s="33" t="n">
        <f aca="false">IF(Source_Data!X$6=Inputs!$B$13,-Inputs!$B$7,0)+IF(AND(Source_Data!X$6&gt;=Inputs!$B$14+3,Source_Data!X$6&lt;Inputs!$B$14+3+3*Inputs!$B$17,MOD(Source_Data!X$6-(Inputs!$B$14+3),3)=0),$A$41*Inputs!$B$7*Inputs!$B$35*(1-Inputs!$B$16)/Inputs!$B$17,0)</f>
        <v>0</v>
      </c>
      <c r="Y50" s="33" t="n">
        <f aca="false">IF(Source_Data!Y$6=Inputs!$B$13,-Inputs!$B$7,0)+IF(AND(Source_Data!Y$6&gt;=Inputs!$B$14+3,Source_Data!Y$6&lt;Inputs!$B$14+3+3*Inputs!$B$17,MOD(Source_Data!Y$6-(Inputs!$B$14+3),3)=0),$A$41*Inputs!$B$7*Inputs!$B$35*(1-Inputs!$B$16)/Inputs!$B$17,0)</f>
        <v>0</v>
      </c>
      <c r="Z50" s="33" t="n">
        <f aca="false">IF(Source_Data!Z$6=Inputs!$B$13,-Inputs!$B$7,0)+IF(AND(Source_Data!Z$6&gt;=Inputs!$B$14+3,Source_Data!Z$6&lt;Inputs!$B$14+3+3*Inputs!$B$17,MOD(Source_Data!Z$6-(Inputs!$B$14+3),3)=0),$A$41*Inputs!$B$7*Inputs!$B$35*(1-Inputs!$B$16)/Inputs!$B$17,0)</f>
        <v>0</v>
      </c>
      <c r="AA50" s="33" t="n">
        <f aca="false">IF(Source_Data!AA$6=Inputs!$B$13,-Inputs!$B$7,0)+IF(AND(Source_Data!AA$6&gt;=Inputs!$B$14+3,Source_Data!AA$6&lt;Inputs!$B$14+3+3*Inputs!$B$17,MOD(Source_Data!AA$6-(Inputs!$B$14+3),3)=0),$A$41*Inputs!$B$7*Inputs!$B$35*(1-Inputs!$B$16)/Inputs!$B$17,0)</f>
        <v>0</v>
      </c>
      <c r="AB50" s="33" t="n">
        <f aca="false">IF(Source_Data!AB$6=Inputs!$B$13,-Inputs!$B$7,0)+IF(AND(Source_Data!AB$6&gt;=Inputs!$B$14+3,Source_Data!AB$6&lt;Inputs!$B$14+3+3*Inputs!$B$17,MOD(Source_Data!AB$6-(Inputs!$B$14+3),3)=0),$A$41*Inputs!$B$7*Inputs!$B$35*(1-Inputs!$B$16)/Inputs!$B$17,0)</f>
        <v>0</v>
      </c>
      <c r="AC50" s="33" t="n">
        <f aca="false">IF(Source_Data!AC$6=Inputs!$B$13,-Inputs!$B$7,0)+IF(AND(Source_Data!AC$6&gt;=Inputs!$B$14+3,Source_Data!AC$6&lt;Inputs!$B$14+3+3*Inputs!$B$17,MOD(Source_Data!AC$6-(Inputs!$B$14+3),3)=0),$A$41*Inputs!$B$7*Inputs!$B$35*(1-Inputs!$B$16)/Inputs!$B$17,0)</f>
        <v>0</v>
      </c>
      <c r="AD50" s="33" t="n">
        <f aca="false">IF(Source_Data!AD$6=Inputs!$B$13,-Inputs!$B$7,0)+IF(AND(Source_Data!AD$6&gt;=Inputs!$B$14+3,Source_Data!AD$6&lt;Inputs!$B$14+3+3*Inputs!$B$17,MOD(Source_Data!AD$6-(Inputs!$B$14+3),3)=0),$A$41*Inputs!$B$7*Inputs!$B$35*(1-Inputs!$B$16)/Inputs!$B$17,0)</f>
        <v>0</v>
      </c>
      <c r="AE50" s="33" t="n">
        <f aca="false">IF(Source_Data!AE$6=Inputs!$B$13,-Inputs!$B$7,0)+IF(AND(Source_Data!AE$6&gt;=Inputs!$B$14+3,Source_Data!AE$6&lt;Inputs!$B$14+3+3*Inputs!$B$17,MOD(Source_Data!AE$6-(Inputs!$B$14+3),3)=0),$A$41*Inputs!$B$7*Inputs!$B$35*(1-Inputs!$B$16)/Inputs!$B$17,0)</f>
        <v>0</v>
      </c>
      <c r="AF50" s="33" t="n">
        <f aca="false">IF(Source_Data!AF$6=Inputs!$B$13,-Inputs!$B$7,0)+IF(AND(Source_Data!AF$6&gt;=Inputs!$B$14+3,Source_Data!AF$6&lt;Inputs!$B$14+3+3*Inputs!$B$17,MOD(Source_Data!AF$6-(Inputs!$B$14+3),3)=0),$A$41*Inputs!$B$7*Inputs!$B$35*(1-Inputs!$B$16)/Inputs!$B$17,0)</f>
        <v>0</v>
      </c>
      <c r="AG50" s="33" t="n">
        <f aca="false">IF(Source_Data!AG$6=Inputs!$B$13,-Inputs!$B$7,0)+IF(AND(Source_Data!AG$6&gt;=Inputs!$B$14+3,Source_Data!AG$6&lt;Inputs!$B$14+3+3*Inputs!$B$17,MOD(Source_Data!AG$6-(Inputs!$B$14+3),3)=0),$A$41*Inputs!$B$7*Inputs!$B$35*(1-Inputs!$B$16)/Inputs!$B$17,0)</f>
        <v>0</v>
      </c>
      <c r="AH50" s="33" t="n">
        <f aca="false">IF(Source_Data!AH$6=Inputs!$B$13,-Inputs!$B$7,0)+IF(AND(Source_Data!AH$6&gt;=Inputs!$B$14+3,Source_Data!AH$6&lt;Inputs!$B$14+3+3*Inputs!$B$17,MOD(Source_Data!AH$6-(Inputs!$B$14+3),3)=0),$A$41*Inputs!$B$7*Inputs!$B$35*(1-Inputs!$B$16)/Inputs!$B$17,0)</f>
        <v>0</v>
      </c>
      <c r="AI50" s="33" t="n">
        <f aca="false">IF(Source_Data!AI$6=Inputs!$B$13,-Inputs!$B$7,0)+IF(AND(Source_Data!AI$6&gt;=Inputs!$B$14+3,Source_Data!AI$6&lt;Inputs!$B$14+3+3*Inputs!$B$17,MOD(Source_Data!AI$6-(Inputs!$B$14+3),3)=0),$A$41*Inputs!$B$7*Inputs!$B$35*(1-Inputs!$B$16)/Inputs!$B$17,0)</f>
        <v>0</v>
      </c>
      <c r="AJ50" s="33" t="n">
        <f aca="false">IF(Source_Data!AJ$6=Inputs!$B$13,-Inputs!$B$7,0)+IF(AND(Source_Data!AJ$6&gt;=Inputs!$B$14+3,Source_Data!AJ$6&lt;Inputs!$B$14+3+3*Inputs!$B$17,MOD(Source_Data!AJ$6-(Inputs!$B$14+3),3)=0),$A$41*Inputs!$B$7*Inputs!$B$35*(1-Inputs!$B$16)/Inputs!$B$17,0)</f>
        <v>0</v>
      </c>
      <c r="AK50" s="33" t="n">
        <f aca="false">IF(Source_Data!AK$6=Inputs!$B$13,-Inputs!$B$7,0)+IF(AND(Source_Data!AK$6&gt;=Inputs!$B$14+3,Source_Data!AK$6&lt;Inputs!$B$14+3+3*Inputs!$B$17,MOD(Source_Data!AK$6-(Inputs!$B$14+3),3)=0),$A$41*Inputs!$B$7*Inputs!$B$35*(1-Inputs!$B$16)/Inputs!$B$17,0)</f>
        <v>0</v>
      </c>
      <c r="AL50" s="33" t="n">
        <f aca="false">IF(Source_Data!AL$6=Inputs!$B$13,-Inputs!$B$7,0)+IF(AND(Source_Data!AL$6&gt;=Inputs!$B$14+3,Source_Data!AL$6&lt;Inputs!$B$14+3+3*Inputs!$B$17,MOD(Source_Data!AL$6-(Inputs!$B$14+3),3)=0),$A$41*Inputs!$B$7*Inputs!$B$35*(1-Inputs!$B$16)/Inputs!$B$17,0)</f>
        <v>0</v>
      </c>
      <c r="AM50" s="33" t="n">
        <f aca="false">IF(Source_Data!AM$6=Inputs!$B$13,-Inputs!$B$7,0)+IF(AND(Source_Data!AM$6&gt;=Inputs!$B$14+3,Source_Data!AM$6&lt;Inputs!$B$14+3+3*Inputs!$B$17,MOD(Source_Data!AM$6-(Inputs!$B$14+3),3)=0),$A$41*Inputs!$B$7*Inputs!$B$35*(1-Inputs!$B$16)/Inputs!$B$17,0)</f>
        <v>0</v>
      </c>
      <c r="AN50" s="33" t="n">
        <f aca="false">IF(Source_Data!AN$6=Inputs!$B$13,-Inputs!$B$7,0)+IF(AND(Source_Data!AN$6&gt;=Inputs!$B$14+3,Source_Data!AN$6&lt;Inputs!$B$14+3+3*Inputs!$B$17,MOD(Source_Data!AN$6-(Inputs!$B$14+3),3)=0),$A$41*Inputs!$B$7*Inputs!$B$35*(1-Inputs!$B$16)/Inputs!$B$17,0)</f>
        <v>0</v>
      </c>
      <c r="AO50" s="33" t="n">
        <f aca="false">IF(Source_Data!AO$6=Inputs!$B$13,-Inputs!$B$7,0)+IF(AND(Source_Data!AO$6&gt;=Inputs!$B$14+3,Source_Data!AO$6&lt;Inputs!$B$14+3+3*Inputs!$B$17,MOD(Source_Data!AO$6-(Inputs!$B$14+3),3)=0),$A$41*Inputs!$B$7*Inputs!$B$35*(1-Inputs!$B$16)/Inputs!$B$17,0)</f>
        <v>0</v>
      </c>
      <c r="AP50" s="33" t="n">
        <f aca="false">IF(Source_Data!AP$6=Inputs!$B$13,-Inputs!$B$7,0)+IF(AND(Source_Data!AP$6&gt;=Inputs!$B$14+3,Source_Data!AP$6&lt;Inputs!$B$14+3+3*Inputs!$B$17,MOD(Source_Data!AP$6-(Inputs!$B$14+3),3)=0),$A$41*Inputs!$B$7*Inputs!$B$35*(1-Inputs!$B$16)/Inputs!$B$17,0)</f>
        <v>0</v>
      </c>
      <c r="AQ50" s="33" t="n">
        <f aca="false">IF(Source_Data!AQ$6=Inputs!$B$13,-Inputs!$B$7,0)+IF(AND(Source_Data!AQ$6&gt;=Inputs!$B$14+3,Source_Data!AQ$6&lt;Inputs!$B$14+3+3*Inputs!$B$17,MOD(Source_Data!AQ$6-(Inputs!$B$14+3),3)=0),$A$41*Inputs!$B$7*Inputs!$B$35*(1-Inputs!$B$16)/Inputs!$B$17,0)</f>
        <v>0</v>
      </c>
      <c r="AR50" s="33" t="n">
        <f aca="false">IF(Source_Data!AR$6=Inputs!$B$13,-Inputs!$B$7,0)+IF(AND(Source_Data!AR$6&gt;=Inputs!$B$14+3,Source_Data!AR$6&lt;Inputs!$B$14+3+3*Inputs!$B$17,MOD(Source_Data!AR$6-(Inputs!$B$14+3),3)=0),$A$41*Inputs!$B$7*Inputs!$B$35*(1-Inputs!$B$16)/Inputs!$B$17,0)</f>
        <v>0</v>
      </c>
      <c r="AS50" s="33" t="n">
        <f aca="false">IF(Source_Data!AS$6=Inputs!$B$13,-Inputs!$B$7,0)+IF(AND(Source_Data!AS$6&gt;=Inputs!$B$14+3,Source_Data!AS$6&lt;Inputs!$B$14+3+3*Inputs!$B$17,MOD(Source_Data!AS$6-(Inputs!$B$14+3),3)=0),$A$41*Inputs!$B$7*Inputs!$B$35*(1-Inputs!$B$16)/Inputs!$B$17,0)</f>
        <v>0</v>
      </c>
      <c r="AT50" s="33" t="n">
        <f aca="false">IF(Source_Data!AT$6=Inputs!$B$13,-Inputs!$B$7,0)+IF(AND(Source_Data!AT$6&gt;=Inputs!$B$14+3,Source_Data!AT$6&lt;Inputs!$B$14+3+3*Inputs!$B$17,MOD(Source_Data!AT$6-(Inputs!$B$14+3),3)=0),$A$41*Inputs!$B$7*Inputs!$B$35*(1-Inputs!$B$16)/Inputs!$B$17,0)</f>
        <v>0</v>
      </c>
      <c r="AU50" s="33" t="n">
        <f aca="false">IF(Source_Data!AU$6=Inputs!$B$13,-Inputs!$B$7,0)+IF(AND(Source_Data!AU$6&gt;=Inputs!$B$14+3,Source_Data!AU$6&lt;Inputs!$B$14+3+3*Inputs!$B$17,MOD(Source_Data!AU$6-(Inputs!$B$14+3),3)=0),$A$41*Inputs!$B$7*Inputs!$B$35*(1-Inputs!$B$16)/Inputs!$B$17,0)</f>
        <v>0</v>
      </c>
      <c r="AV50" s="33" t="n">
        <f aca="false">IF(Source_Data!AV$6=Inputs!$B$13,-Inputs!$B$7,0)+IF(AND(Source_Data!AV$6&gt;=Inputs!$B$14+3,Source_Data!AV$6&lt;Inputs!$B$14+3+3*Inputs!$B$17,MOD(Source_Data!AV$6-(Inputs!$B$14+3),3)=0),$A$41*Inputs!$B$7*Inputs!$B$35*(1-Inputs!$B$16)/Inputs!$B$17,0)</f>
        <v>0</v>
      </c>
      <c r="AW50" s="33" t="n">
        <f aca="false">IF(Source_Data!AW$6=Inputs!$B$13,-Inputs!$B$7,0)+IF(AND(Source_Data!AW$6&gt;=Inputs!$B$14+3,Source_Data!AW$6&lt;Inputs!$B$14+3+3*Inputs!$B$17,MOD(Source_Data!AW$6-(Inputs!$B$14+3),3)=0),$A$41*Inputs!$B$7*Inputs!$B$35*(1-Inputs!$B$16)/Inputs!$B$17,0)</f>
        <v>0</v>
      </c>
      <c r="AX50" s="33" t="n">
        <f aca="false">IF(Source_Data!AX$6=Inputs!$B$13,-Inputs!$B$7,0)+IF(AND(Source_Data!AX$6&gt;=Inputs!$B$14+3,Source_Data!AX$6&lt;Inputs!$B$14+3+3*Inputs!$B$17,MOD(Source_Data!AX$6-(Inputs!$B$14+3),3)=0),$A$41*Inputs!$B$7*Inputs!$B$35*(1-Inputs!$B$16)/Inputs!$B$17,0)</f>
        <v>0</v>
      </c>
      <c r="AY50" s="33" t="n">
        <f aca="false">IF(Source_Data!AY$6=Inputs!$B$13,-Inputs!$B$7,0)+IF(AND(Source_Data!AY$6&gt;=Inputs!$B$14+3,Source_Data!AY$6&lt;Inputs!$B$14+3+3*Inputs!$B$17,MOD(Source_Data!AY$6-(Inputs!$B$14+3),3)=0),$A$41*Inputs!$B$7*Inputs!$B$35*(1-Inputs!$B$16)/Inputs!$B$17,0)</f>
        <v>0</v>
      </c>
      <c r="AZ50" s="33" t="n">
        <f aca="false">IF(Source_Data!AZ$6=Inputs!$B$13,-Inputs!$B$7,0)+IF(AND(Source_Data!AZ$6&gt;=Inputs!$B$14+3,Source_Data!AZ$6&lt;Inputs!$B$14+3+3*Inputs!$B$17,MOD(Source_Data!AZ$6-(Inputs!$B$14+3),3)=0),$A$41*Inputs!$B$7*Inputs!$B$35*(1-Inputs!$B$16)/Inputs!$B$17,0)</f>
        <v>0</v>
      </c>
      <c r="BA50" s="33" t="n">
        <f aca="false">IF(Source_Data!BA$6=Inputs!$B$13,-Inputs!$B$7,0)+IF(AND(Source_Data!BA$6&gt;=Inputs!$B$14+3,Source_Data!BA$6&lt;Inputs!$B$14+3+3*Inputs!$B$17,MOD(Source_Data!BA$6-(Inputs!$B$14+3),3)=0),$A$41*Inputs!$B$7*Inputs!$B$35*(1-Inputs!$B$16)/Inputs!$B$17,0)</f>
        <v>0</v>
      </c>
      <c r="BB50" s="33" t="n">
        <f aca="false">IF(Source_Data!BB$6=Inputs!$B$13,-Inputs!$B$7,0)+IF(AND(Source_Data!BB$6&gt;=Inputs!$B$14+3,Source_Data!BB$6&lt;Inputs!$B$14+3+3*Inputs!$B$17,MOD(Source_Data!BB$6-(Inputs!$B$14+3),3)=0),$A$41*Inputs!$B$7*Inputs!$B$35*(1-Inputs!$B$16)/Inputs!$B$17,0)</f>
        <v>0</v>
      </c>
      <c r="BC50" s="33" t="n">
        <f aca="false">IF(Source_Data!BC$6=Inputs!$B$13,-Inputs!$B$7,0)+IF(AND(Source_Data!BC$6&gt;=Inputs!$B$14+3,Source_Data!BC$6&lt;Inputs!$B$14+3+3*Inputs!$B$17,MOD(Source_Data!BC$6-(Inputs!$B$14+3),3)=0),$A$41*Inputs!$B$7*Inputs!$B$35*(1-Inputs!$B$16)/Inputs!$B$17,0)</f>
        <v>0</v>
      </c>
      <c r="BD50" s="33" t="n">
        <f aca="false">IF(Source_Data!BD$6=Inputs!$B$13,-Inputs!$B$7,0)+IF(AND(Source_Data!BD$6&gt;=Inputs!$B$14+3,Source_Data!BD$6&lt;Inputs!$B$14+3+3*Inputs!$B$17,MOD(Source_Data!BD$6-(Inputs!$B$14+3),3)=0),$A$41*Inputs!$B$7*Inputs!$B$35*(1-Inputs!$B$16)/Inputs!$B$17,0)</f>
        <v>0</v>
      </c>
      <c r="BE50" s="33" t="n">
        <f aca="false">IF(Source_Data!BE$6=Inputs!$B$13,-Inputs!$B$7,0)+IF(AND(Source_Data!BE$6&gt;=Inputs!$B$14+3,Source_Data!BE$6&lt;Inputs!$B$14+3+3*Inputs!$B$17,MOD(Source_Data!BE$6-(Inputs!$B$14+3),3)=0),$A$41*Inputs!$B$7*Inputs!$B$35*(1-Inputs!$B$16)/Inputs!$B$17,0)</f>
        <v>0</v>
      </c>
      <c r="BF50" s="33" t="n">
        <f aca="false">IF(Source_Data!BF$6=Inputs!$B$13,-Inputs!$B$7,0)+IF(AND(Source_Data!BF$6&gt;=Inputs!$B$14+3,Source_Data!BF$6&lt;Inputs!$B$14+3+3*Inputs!$B$17,MOD(Source_Data!BF$6-(Inputs!$B$14+3),3)=0),$A$41*Inputs!$B$7*Inputs!$B$35*(1-Inputs!$B$16)/Inputs!$B$17,0)</f>
        <v>0</v>
      </c>
      <c r="BG50" s="33" t="n">
        <f aca="false">IF(Source_Data!BG$6=Inputs!$B$13,-Inputs!$B$7,0)+IF(AND(Source_Data!BG$6&gt;=Inputs!$B$14+3,Source_Data!BG$6&lt;Inputs!$B$14+3+3*Inputs!$B$17,MOD(Source_Data!BG$6-(Inputs!$B$14+3),3)=0),$A$41*Inputs!$B$7*Inputs!$B$35*(1-Inputs!$B$16)/Inputs!$B$17,0)</f>
        <v>0</v>
      </c>
      <c r="BH50" s="33" t="n">
        <f aca="false">IF(Source_Data!BH$6=Inputs!$B$13,-Inputs!$B$7,0)+IF(AND(Source_Data!BH$6&gt;=Inputs!$B$14+3,Source_Data!BH$6&lt;Inputs!$B$14+3+3*Inputs!$B$17,MOD(Source_Data!BH$6-(Inputs!$B$14+3),3)=0),$A$41*Inputs!$B$7*Inputs!$B$35*(1-Inputs!$B$16)/Inputs!$B$17,0)</f>
        <v>0</v>
      </c>
      <c r="BI50" s="33" t="n">
        <f aca="false">IF(Source_Data!BI$6=Inputs!$B$13,-Inputs!$B$7,0)+IF(AND(Source_Data!BI$6&gt;=Inputs!$B$14+3,Source_Data!BI$6&lt;Inputs!$B$14+3+3*Inputs!$B$17,MOD(Source_Data!BI$6-(Inputs!$B$14+3),3)=0),$A$41*Inputs!$B$7*Inputs!$B$35*(1-Inputs!$B$16)/Inputs!$B$17,0)</f>
        <v>0</v>
      </c>
      <c r="BJ50" s="33" t="n">
        <f aca="false">IF(Source_Data!BJ$6=Inputs!$B$13,-Inputs!$B$7,0)+IF(AND(Source_Data!BJ$6&gt;=Inputs!$B$14+3,Source_Data!BJ$6&lt;Inputs!$B$14+3+3*Inputs!$B$17,MOD(Source_Data!BJ$6-(Inputs!$B$14+3),3)=0),$A$41*Inputs!$B$7*Inputs!$B$35*(1-Inputs!$B$16)/Inputs!$B$17,0)</f>
        <v>0</v>
      </c>
      <c r="BK50" s="33" t="n">
        <f aca="false">IF(Source_Data!BK$6=Inputs!$B$13,-Inputs!$B$7,0)+IF(AND(Source_Data!BK$6&gt;=Inputs!$B$14+3,Source_Data!BK$6&lt;Inputs!$B$14+3+3*Inputs!$B$17,MOD(Source_Data!BK$6-(Inputs!$B$14+3),3)=0),$A$41*Inputs!$B$7*Inputs!$B$35*(1-Inputs!$B$16)/Inputs!$B$17,0)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IF(Source_Data!D$6=Inputs!$B$13,-Inputs!$B$7,0)+IF(AND(Source_Data!D$6&gt;=Inputs!$B$14+3,Source_Data!D$6&lt;Inputs!$B$14+3+3*Inputs!$B$17,MOD(Source_Data!D$6-(Inputs!$B$14+3),3)=0),$A$42*Inputs!$B$7*Inputs!$B$35*(1-Inputs!$B$16)/Inputs!$B$17,0)</f>
        <v>-75</v>
      </c>
      <c r="E51" s="33" t="n">
        <f aca="false">IF(Source_Data!E$6=Inputs!$B$13,-Inputs!$B$7,0)+IF(AND(Source_Data!E$6&gt;=Inputs!$B$14+3,Source_Data!E$6&lt;Inputs!$B$14+3+3*Inputs!$B$17,MOD(Source_Data!E$6-(Inputs!$B$14+3),3)=0),$A$42*Inputs!$B$7*Inputs!$B$35*(1-Inputs!$B$16)/Inputs!$B$17,0)</f>
        <v>0</v>
      </c>
      <c r="F51" s="33" t="n">
        <f aca="false">IF(Source_Data!F$6=Inputs!$B$13,-Inputs!$B$7,0)+IF(AND(Source_Data!F$6&gt;=Inputs!$B$14+3,Source_Data!F$6&lt;Inputs!$B$14+3+3*Inputs!$B$17,MOD(Source_Data!F$6-(Inputs!$B$14+3),3)=0),$A$42*Inputs!$B$7*Inputs!$B$35*(1-Inputs!$B$16)/Inputs!$B$17,0)</f>
        <v>0</v>
      </c>
      <c r="G51" s="33" t="n">
        <f aca="false">IF(Source_Data!G$6=Inputs!$B$13,-Inputs!$B$7,0)+IF(AND(Source_Data!G$6&gt;=Inputs!$B$14+3,Source_Data!G$6&lt;Inputs!$B$14+3+3*Inputs!$B$17,MOD(Source_Data!G$6-(Inputs!$B$14+3),3)=0),$A$42*Inputs!$B$7*Inputs!$B$35*(1-Inputs!$B$16)/Inputs!$B$17,0)</f>
        <v>0</v>
      </c>
      <c r="H51" s="33" t="n">
        <f aca="false">IF(Source_Data!H$6=Inputs!$B$13,-Inputs!$B$7,0)+IF(AND(Source_Data!H$6&gt;=Inputs!$B$14+3,Source_Data!H$6&lt;Inputs!$B$14+3+3*Inputs!$B$17,MOD(Source_Data!H$6-(Inputs!$B$14+3),3)=0),$A$42*Inputs!$B$7*Inputs!$B$35*(1-Inputs!$B$16)/Inputs!$B$17,0)</f>
        <v>0</v>
      </c>
      <c r="I51" s="33" t="n">
        <f aca="false">IF(Source_Data!I$6=Inputs!$B$13,-Inputs!$B$7,0)+IF(AND(Source_Data!I$6&gt;=Inputs!$B$14+3,Source_Data!I$6&lt;Inputs!$B$14+3+3*Inputs!$B$17,MOD(Source_Data!I$6-(Inputs!$B$14+3),3)=0),$A$42*Inputs!$B$7*Inputs!$B$35*(1-Inputs!$B$16)/Inputs!$B$17,0)</f>
        <v>0</v>
      </c>
      <c r="J51" s="33" t="n">
        <f aca="false">IF(Source_Data!J$6=Inputs!$B$13,-Inputs!$B$7,0)+IF(AND(Source_Data!J$6&gt;=Inputs!$B$14+3,Source_Data!J$6&lt;Inputs!$B$14+3+3*Inputs!$B$17,MOD(Source_Data!J$6-(Inputs!$B$14+3),3)=0),$A$42*Inputs!$B$7*Inputs!$B$35*(1-Inputs!$B$16)/Inputs!$B$17,0)</f>
        <v>0</v>
      </c>
      <c r="K51" s="33" t="n">
        <f aca="false">IF(Source_Data!K$6=Inputs!$B$13,-Inputs!$B$7,0)+IF(AND(Source_Data!K$6&gt;=Inputs!$B$14+3,Source_Data!K$6&lt;Inputs!$B$14+3+3*Inputs!$B$17,MOD(Source_Data!K$6-(Inputs!$B$14+3),3)=0),$A$42*Inputs!$B$7*Inputs!$B$35*(1-Inputs!$B$16)/Inputs!$B$17,0)</f>
        <v>0</v>
      </c>
      <c r="L51" s="33" t="n">
        <f aca="false">IF(Source_Data!L$6=Inputs!$B$13,-Inputs!$B$7,0)+IF(AND(Source_Data!L$6&gt;=Inputs!$B$14+3,Source_Data!L$6&lt;Inputs!$B$14+3+3*Inputs!$B$17,MOD(Source_Data!L$6-(Inputs!$B$14+3),3)=0),$A$42*Inputs!$B$7*Inputs!$B$35*(1-Inputs!$B$16)/Inputs!$B$17,0)</f>
        <v>0</v>
      </c>
      <c r="M51" s="33" t="n">
        <f aca="false">IF(Source_Data!M$6=Inputs!$B$13,-Inputs!$B$7,0)+IF(AND(Source_Data!M$6&gt;=Inputs!$B$14+3,Source_Data!M$6&lt;Inputs!$B$14+3+3*Inputs!$B$17,MOD(Source_Data!M$6-(Inputs!$B$14+3),3)=0),$A$42*Inputs!$B$7*Inputs!$B$35*(1-Inputs!$B$16)/Inputs!$B$17,0)</f>
        <v>0</v>
      </c>
      <c r="N51" s="33" t="n">
        <f aca="false">IF(Source_Data!N$6=Inputs!$B$13,-Inputs!$B$7,0)+IF(AND(Source_Data!N$6&gt;=Inputs!$B$14+3,Source_Data!N$6&lt;Inputs!$B$14+3+3*Inputs!$B$17,MOD(Source_Data!N$6-(Inputs!$B$14+3),3)=0),$A$42*Inputs!$B$7*Inputs!$B$35*(1-Inputs!$B$16)/Inputs!$B$17,0)</f>
        <v>0</v>
      </c>
      <c r="O51" s="33" t="n">
        <f aca="false">IF(Source_Data!O$6=Inputs!$B$13,-Inputs!$B$7,0)+IF(AND(Source_Data!O$6&gt;=Inputs!$B$14+3,Source_Data!O$6&lt;Inputs!$B$14+3+3*Inputs!$B$17,MOD(Source_Data!O$6-(Inputs!$B$14+3),3)=0),$A$42*Inputs!$B$7*Inputs!$B$35*(1-Inputs!$B$16)/Inputs!$B$17,0)</f>
        <v>0</v>
      </c>
      <c r="P51" s="33" t="n">
        <f aca="false">IF(Source_Data!P$6=Inputs!$B$13,-Inputs!$B$7,0)+IF(AND(Source_Data!P$6&gt;=Inputs!$B$14+3,Source_Data!P$6&lt;Inputs!$B$14+3+3*Inputs!$B$17,MOD(Source_Data!P$6-(Inputs!$B$14+3),3)=0),$A$42*Inputs!$B$7*Inputs!$B$35*(1-Inputs!$B$16)/Inputs!$B$17,0)</f>
        <v>0</v>
      </c>
      <c r="Q51" s="33" t="n">
        <f aca="false">IF(Source_Data!Q$6=Inputs!$B$13,-Inputs!$B$7,0)+IF(AND(Source_Data!Q$6&gt;=Inputs!$B$14+3,Source_Data!Q$6&lt;Inputs!$B$14+3+3*Inputs!$B$17,MOD(Source_Data!Q$6-(Inputs!$B$14+3),3)=0),$A$42*Inputs!$B$7*Inputs!$B$35*(1-Inputs!$B$16)/Inputs!$B$17,0)</f>
        <v>0</v>
      </c>
      <c r="R51" s="33" t="n">
        <f aca="false">IF(Source_Data!R$6=Inputs!$B$13,-Inputs!$B$7,0)+IF(AND(Source_Data!R$6&gt;=Inputs!$B$14+3,Source_Data!R$6&lt;Inputs!$B$14+3+3*Inputs!$B$17,MOD(Source_Data!R$6-(Inputs!$B$14+3),3)=0),$A$42*Inputs!$B$7*Inputs!$B$35*(1-Inputs!$B$16)/Inputs!$B$17,0)</f>
        <v>0</v>
      </c>
      <c r="S51" s="33" t="n">
        <f aca="false">IF(Source_Data!S$6=Inputs!$B$13,-Inputs!$B$7,0)+IF(AND(Source_Data!S$6&gt;=Inputs!$B$14+3,Source_Data!S$6&lt;Inputs!$B$14+3+3*Inputs!$B$17,MOD(Source_Data!S$6-(Inputs!$B$14+3),3)=0),$A$42*Inputs!$B$7*Inputs!$B$35*(1-Inputs!$B$16)/Inputs!$B$17,0)</f>
        <v>0</v>
      </c>
      <c r="T51" s="33" t="n">
        <f aca="false">IF(Source_Data!T$6=Inputs!$B$13,-Inputs!$B$7,0)+IF(AND(Source_Data!T$6&gt;=Inputs!$B$14+3,Source_Data!T$6&lt;Inputs!$B$14+3+3*Inputs!$B$17,MOD(Source_Data!T$6-(Inputs!$B$14+3),3)=0),$A$42*Inputs!$B$7*Inputs!$B$35*(1-Inputs!$B$16)/Inputs!$B$17,0)</f>
        <v>45.6317204301075</v>
      </c>
      <c r="U51" s="33" t="n">
        <f aca="false">IF(Source_Data!U$6=Inputs!$B$13,-Inputs!$B$7,0)+IF(AND(Source_Data!U$6&gt;=Inputs!$B$14+3,Source_Data!U$6&lt;Inputs!$B$14+3+3*Inputs!$B$17,MOD(Source_Data!U$6-(Inputs!$B$14+3),3)=0),$A$42*Inputs!$B$7*Inputs!$B$35*(1-Inputs!$B$16)/Inputs!$B$17,0)</f>
        <v>45.6317204301075</v>
      </c>
      <c r="V51" s="33" t="n">
        <f aca="false">IF(Source_Data!V$6=Inputs!$B$13,-Inputs!$B$7,0)+IF(AND(Source_Data!V$6&gt;=Inputs!$B$14+3,Source_Data!V$6&lt;Inputs!$B$14+3+3*Inputs!$B$17,MOD(Source_Data!V$6-(Inputs!$B$14+3),3)=0),$A$42*Inputs!$B$7*Inputs!$B$35*(1-Inputs!$B$16)/Inputs!$B$17,0)</f>
        <v>45.6317204301075</v>
      </c>
      <c r="W51" s="33" t="n">
        <f aca="false">IF(Source_Data!W$6=Inputs!$B$13,-Inputs!$B$7,0)+IF(AND(Source_Data!W$6&gt;=Inputs!$B$14+3,Source_Data!W$6&lt;Inputs!$B$14+3+3*Inputs!$B$17,MOD(Source_Data!W$6-(Inputs!$B$14+3),3)=0),$A$42*Inputs!$B$7*Inputs!$B$35*(1-Inputs!$B$16)/Inputs!$B$17,0)</f>
        <v>45.6317204301075</v>
      </c>
      <c r="X51" s="33" t="n">
        <f aca="false">IF(Source_Data!X$6=Inputs!$B$13,-Inputs!$B$7,0)+IF(AND(Source_Data!X$6&gt;=Inputs!$B$14+3,Source_Data!X$6&lt;Inputs!$B$14+3+3*Inputs!$B$17,MOD(Source_Data!X$6-(Inputs!$B$14+3),3)=0),$A$42*Inputs!$B$7*Inputs!$B$35*(1-Inputs!$B$16)/Inputs!$B$17,0)</f>
        <v>0</v>
      </c>
      <c r="Y51" s="33" t="n">
        <f aca="false">IF(Source_Data!Y$6=Inputs!$B$13,-Inputs!$B$7,0)+IF(AND(Source_Data!Y$6&gt;=Inputs!$B$14+3,Source_Data!Y$6&lt;Inputs!$B$14+3+3*Inputs!$B$17,MOD(Source_Data!Y$6-(Inputs!$B$14+3),3)=0),$A$42*Inputs!$B$7*Inputs!$B$35*(1-Inputs!$B$16)/Inputs!$B$17,0)</f>
        <v>0</v>
      </c>
      <c r="Z51" s="33" t="n">
        <f aca="false">IF(Source_Data!Z$6=Inputs!$B$13,-Inputs!$B$7,0)+IF(AND(Source_Data!Z$6&gt;=Inputs!$B$14+3,Source_Data!Z$6&lt;Inputs!$B$14+3+3*Inputs!$B$17,MOD(Source_Data!Z$6-(Inputs!$B$14+3),3)=0),$A$42*Inputs!$B$7*Inputs!$B$35*(1-Inputs!$B$16)/Inputs!$B$17,0)</f>
        <v>0</v>
      </c>
      <c r="AA51" s="33" t="n">
        <f aca="false">IF(Source_Data!AA$6=Inputs!$B$13,-Inputs!$B$7,0)+IF(AND(Source_Data!AA$6&gt;=Inputs!$B$14+3,Source_Data!AA$6&lt;Inputs!$B$14+3+3*Inputs!$B$17,MOD(Source_Data!AA$6-(Inputs!$B$14+3),3)=0),$A$42*Inputs!$B$7*Inputs!$B$35*(1-Inputs!$B$16)/Inputs!$B$17,0)</f>
        <v>0</v>
      </c>
      <c r="AB51" s="33" t="n">
        <f aca="false">IF(Source_Data!AB$6=Inputs!$B$13,-Inputs!$B$7,0)+IF(AND(Source_Data!AB$6&gt;=Inputs!$B$14+3,Source_Data!AB$6&lt;Inputs!$B$14+3+3*Inputs!$B$17,MOD(Source_Data!AB$6-(Inputs!$B$14+3),3)=0),$A$42*Inputs!$B$7*Inputs!$B$35*(1-Inputs!$B$16)/Inputs!$B$17,0)</f>
        <v>0</v>
      </c>
      <c r="AC51" s="33" t="n">
        <f aca="false">IF(Source_Data!AC$6=Inputs!$B$13,-Inputs!$B$7,0)+IF(AND(Source_Data!AC$6&gt;=Inputs!$B$14+3,Source_Data!AC$6&lt;Inputs!$B$14+3+3*Inputs!$B$17,MOD(Source_Data!AC$6-(Inputs!$B$14+3),3)=0),$A$42*Inputs!$B$7*Inputs!$B$35*(1-Inputs!$B$16)/Inputs!$B$17,0)</f>
        <v>0</v>
      </c>
      <c r="AD51" s="33" t="n">
        <f aca="false">IF(Source_Data!AD$6=Inputs!$B$13,-Inputs!$B$7,0)+IF(AND(Source_Data!AD$6&gt;=Inputs!$B$14+3,Source_Data!AD$6&lt;Inputs!$B$14+3+3*Inputs!$B$17,MOD(Source_Data!AD$6-(Inputs!$B$14+3),3)=0),$A$42*Inputs!$B$7*Inputs!$B$35*(1-Inputs!$B$16)/Inputs!$B$17,0)</f>
        <v>0</v>
      </c>
      <c r="AE51" s="33" t="n">
        <f aca="false">IF(Source_Data!AE$6=Inputs!$B$13,-Inputs!$B$7,0)+IF(AND(Source_Data!AE$6&gt;=Inputs!$B$14+3,Source_Data!AE$6&lt;Inputs!$B$14+3+3*Inputs!$B$17,MOD(Source_Data!AE$6-(Inputs!$B$14+3),3)=0),$A$42*Inputs!$B$7*Inputs!$B$35*(1-Inputs!$B$16)/Inputs!$B$17,0)</f>
        <v>0</v>
      </c>
      <c r="AF51" s="33" t="n">
        <f aca="false">IF(Source_Data!AF$6=Inputs!$B$13,-Inputs!$B$7,0)+IF(AND(Source_Data!AF$6&gt;=Inputs!$B$14+3,Source_Data!AF$6&lt;Inputs!$B$14+3+3*Inputs!$B$17,MOD(Source_Data!AF$6-(Inputs!$B$14+3),3)=0),$A$42*Inputs!$B$7*Inputs!$B$35*(1-Inputs!$B$16)/Inputs!$B$17,0)</f>
        <v>0</v>
      </c>
      <c r="AG51" s="33" t="n">
        <f aca="false">IF(Source_Data!AG$6=Inputs!$B$13,-Inputs!$B$7,0)+IF(AND(Source_Data!AG$6&gt;=Inputs!$B$14+3,Source_Data!AG$6&lt;Inputs!$B$14+3+3*Inputs!$B$17,MOD(Source_Data!AG$6-(Inputs!$B$14+3),3)=0),$A$42*Inputs!$B$7*Inputs!$B$35*(1-Inputs!$B$16)/Inputs!$B$17,0)</f>
        <v>0</v>
      </c>
      <c r="AH51" s="33" t="n">
        <f aca="false">IF(Source_Data!AH$6=Inputs!$B$13,-Inputs!$B$7,0)+IF(AND(Source_Data!AH$6&gt;=Inputs!$B$14+3,Source_Data!AH$6&lt;Inputs!$B$14+3+3*Inputs!$B$17,MOD(Source_Data!AH$6-(Inputs!$B$14+3),3)=0),$A$42*Inputs!$B$7*Inputs!$B$35*(1-Inputs!$B$16)/Inputs!$B$17,0)</f>
        <v>0</v>
      </c>
      <c r="AI51" s="33" t="n">
        <f aca="false">IF(Source_Data!AI$6=Inputs!$B$13,-Inputs!$B$7,0)+IF(AND(Source_Data!AI$6&gt;=Inputs!$B$14+3,Source_Data!AI$6&lt;Inputs!$B$14+3+3*Inputs!$B$17,MOD(Source_Data!AI$6-(Inputs!$B$14+3),3)=0),$A$42*Inputs!$B$7*Inputs!$B$35*(1-Inputs!$B$16)/Inputs!$B$17,0)</f>
        <v>0</v>
      </c>
      <c r="AJ51" s="33" t="n">
        <f aca="false">IF(Source_Data!AJ$6=Inputs!$B$13,-Inputs!$B$7,0)+IF(AND(Source_Data!AJ$6&gt;=Inputs!$B$14+3,Source_Data!AJ$6&lt;Inputs!$B$14+3+3*Inputs!$B$17,MOD(Source_Data!AJ$6-(Inputs!$B$14+3),3)=0),$A$42*Inputs!$B$7*Inputs!$B$35*(1-Inputs!$B$16)/Inputs!$B$17,0)</f>
        <v>0</v>
      </c>
      <c r="AK51" s="33" t="n">
        <f aca="false">IF(Source_Data!AK$6=Inputs!$B$13,-Inputs!$B$7,0)+IF(AND(Source_Data!AK$6&gt;=Inputs!$B$14+3,Source_Data!AK$6&lt;Inputs!$B$14+3+3*Inputs!$B$17,MOD(Source_Data!AK$6-(Inputs!$B$14+3),3)=0),$A$42*Inputs!$B$7*Inputs!$B$35*(1-Inputs!$B$16)/Inputs!$B$17,0)</f>
        <v>0</v>
      </c>
      <c r="AL51" s="33" t="n">
        <f aca="false">IF(Source_Data!AL$6=Inputs!$B$13,-Inputs!$B$7,0)+IF(AND(Source_Data!AL$6&gt;=Inputs!$B$14+3,Source_Data!AL$6&lt;Inputs!$B$14+3+3*Inputs!$B$17,MOD(Source_Data!AL$6-(Inputs!$B$14+3),3)=0),$A$42*Inputs!$B$7*Inputs!$B$35*(1-Inputs!$B$16)/Inputs!$B$17,0)</f>
        <v>0</v>
      </c>
      <c r="AM51" s="33" t="n">
        <f aca="false">IF(Source_Data!AM$6=Inputs!$B$13,-Inputs!$B$7,0)+IF(AND(Source_Data!AM$6&gt;=Inputs!$B$14+3,Source_Data!AM$6&lt;Inputs!$B$14+3+3*Inputs!$B$17,MOD(Source_Data!AM$6-(Inputs!$B$14+3),3)=0),$A$42*Inputs!$B$7*Inputs!$B$35*(1-Inputs!$B$16)/Inputs!$B$17,0)</f>
        <v>0</v>
      </c>
      <c r="AN51" s="33" t="n">
        <f aca="false">IF(Source_Data!AN$6=Inputs!$B$13,-Inputs!$B$7,0)+IF(AND(Source_Data!AN$6&gt;=Inputs!$B$14+3,Source_Data!AN$6&lt;Inputs!$B$14+3+3*Inputs!$B$17,MOD(Source_Data!AN$6-(Inputs!$B$14+3),3)=0),$A$42*Inputs!$B$7*Inputs!$B$35*(1-Inputs!$B$16)/Inputs!$B$17,0)</f>
        <v>0</v>
      </c>
      <c r="AO51" s="33" t="n">
        <f aca="false">IF(Source_Data!AO$6=Inputs!$B$13,-Inputs!$B$7,0)+IF(AND(Source_Data!AO$6&gt;=Inputs!$B$14+3,Source_Data!AO$6&lt;Inputs!$B$14+3+3*Inputs!$B$17,MOD(Source_Data!AO$6-(Inputs!$B$14+3),3)=0),$A$42*Inputs!$B$7*Inputs!$B$35*(1-Inputs!$B$16)/Inputs!$B$17,0)</f>
        <v>0</v>
      </c>
      <c r="AP51" s="33" t="n">
        <f aca="false">IF(Source_Data!AP$6=Inputs!$B$13,-Inputs!$B$7,0)+IF(AND(Source_Data!AP$6&gt;=Inputs!$B$14+3,Source_Data!AP$6&lt;Inputs!$B$14+3+3*Inputs!$B$17,MOD(Source_Data!AP$6-(Inputs!$B$14+3),3)=0),$A$42*Inputs!$B$7*Inputs!$B$35*(1-Inputs!$B$16)/Inputs!$B$17,0)</f>
        <v>0</v>
      </c>
      <c r="AQ51" s="33" t="n">
        <f aca="false">IF(Source_Data!AQ$6=Inputs!$B$13,-Inputs!$B$7,0)+IF(AND(Source_Data!AQ$6&gt;=Inputs!$B$14+3,Source_Data!AQ$6&lt;Inputs!$B$14+3+3*Inputs!$B$17,MOD(Source_Data!AQ$6-(Inputs!$B$14+3),3)=0),$A$42*Inputs!$B$7*Inputs!$B$35*(1-Inputs!$B$16)/Inputs!$B$17,0)</f>
        <v>0</v>
      </c>
      <c r="AR51" s="33" t="n">
        <f aca="false">IF(Source_Data!AR$6=Inputs!$B$13,-Inputs!$B$7,0)+IF(AND(Source_Data!AR$6&gt;=Inputs!$B$14+3,Source_Data!AR$6&lt;Inputs!$B$14+3+3*Inputs!$B$17,MOD(Source_Data!AR$6-(Inputs!$B$14+3),3)=0),$A$42*Inputs!$B$7*Inputs!$B$35*(1-Inputs!$B$16)/Inputs!$B$17,0)</f>
        <v>0</v>
      </c>
      <c r="AS51" s="33" t="n">
        <f aca="false">IF(Source_Data!AS$6=Inputs!$B$13,-Inputs!$B$7,0)+IF(AND(Source_Data!AS$6&gt;=Inputs!$B$14+3,Source_Data!AS$6&lt;Inputs!$B$14+3+3*Inputs!$B$17,MOD(Source_Data!AS$6-(Inputs!$B$14+3),3)=0),$A$42*Inputs!$B$7*Inputs!$B$35*(1-Inputs!$B$16)/Inputs!$B$17,0)</f>
        <v>0</v>
      </c>
      <c r="AT51" s="33" t="n">
        <f aca="false">IF(Source_Data!AT$6=Inputs!$B$13,-Inputs!$B$7,0)+IF(AND(Source_Data!AT$6&gt;=Inputs!$B$14+3,Source_Data!AT$6&lt;Inputs!$B$14+3+3*Inputs!$B$17,MOD(Source_Data!AT$6-(Inputs!$B$14+3),3)=0),$A$42*Inputs!$B$7*Inputs!$B$35*(1-Inputs!$B$16)/Inputs!$B$17,0)</f>
        <v>0</v>
      </c>
      <c r="AU51" s="33" t="n">
        <f aca="false">IF(Source_Data!AU$6=Inputs!$B$13,-Inputs!$B$7,0)+IF(AND(Source_Data!AU$6&gt;=Inputs!$B$14+3,Source_Data!AU$6&lt;Inputs!$B$14+3+3*Inputs!$B$17,MOD(Source_Data!AU$6-(Inputs!$B$14+3),3)=0),$A$42*Inputs!$B$7*Inputs!$B$35*(1-Inputs!$B$16)/Inputs!$B$17,0)</f>
        <v>0</v>
      </c>
      <c r="AV51" s="33" t="n">
        <f aca="false">IF(Source_Data!AV$6=Inputs!$B$13,-Inputs!$B$7,0)+IF(AND(Source_Data!AV$6&gt;=Inputs!$B$14+3,Source_Data!AV$6&lt;Inputs!$B$14+3+3*Inputs!$B$17,MOD(Source_Data!AV$6-(Inputs!$B$14+3),3)=0),$A$42*Inputs!$B$7*Inputs!$B$35*(1-Inputs!$B$16)/Inputs!$B$17,0)</f>
        <v>0</v>
      </c>
      <c r="AW51" s="33" t="n">
        <f aca="false">IF(Source_Data!AW$6=Inputs!$B$13,-Inputs!$B$7,0)+IF(AND(Source_Data!AW$6&gt;=Inputs!$B$14+3,Source_Data!AW$6&lt;Inputs!$B$14+3+3*Inputs!$B$17,MOD(Source_Data!AW$6-(Inputs!$B$14+3),3)=0),$A$42*Inputs!$B$7*Inputs!$B$35*(1-Inputs!$B$16)/Inputs!$B$17,0)</f>
        <v>0</v>
      </c>
      <c r="AX51" s="33" t="n">
        <f aca="false">IF(Source_Data!AX$6=Inputs!$B$13,-Inputs!$B$7,0)+IF(AND(Source_Data!AX$6&gt;=Inputs!$B$14+3,Source_Data!AX$6&lt;Inputs!$B$14+3+3*Inputs!$B$17,MOD(Source_Data!AX$6-(Inputs!$B$14+3),3)=0),$A$42*Inputs!$B$7*Inputs!$B$35*(1-Inputs!$B$16)/Inputs!$B$17,0)</f>
        <v>0</v>
      </c>
      <c r="AY51" s="33" t="n">
        <f aca="false">IF(Source_Data!AY$6=Inputs!$B$13,-Inputs!$B$7,0)+IF(AND(Source_Data!AY$6&gt;=Inputs!$B$14+3,Source_Data!AY$6&lt;Inputs!$B$14+3+3*Inputs!$B$17,MOD(Source_Data!AY$6-(Inputs!$B$14+3),3)=0),$A$42*Inputs!$B$7*Inputs!$B$35*(1-Inputs!$B$16)/Inputs!$B$17,0)</f>
        <v>0</v>
      </c>
      <c r="AZ51" s="33" t="n">
        <f aca="false">IF(Source_Data!AZ$6=Inputs!$B$13,-Inputs!$B$7,0)+IF(AND(Source_Data!AZ$6&gt;=Inputs!$B$14+3,Source_Data!AZ$6&lt;Inputs!$B$14+3+3*Inputs!$B$17,MOD(Source_Data!AZ$6-(Inputs!$B$14+3),3)=0),$A$42*Inputs!$B$7*Inputs!$B$35*(1-Inputs!$B$16)/Inputs!$B$17,0)</f>
        <v>0</v>
      </c>
      <c r="BA51" s="33" t="n">
        <f aca="false">IF(Source_Data!BA$6=Inputs!$B$13,-Inputs!$B$7,0)+IF(AND(Source_Data!BA$6&gt;=Inputs!$B$14+3,Source_Data!BA$6&lt;Inputs!$B$14+3+3*Inputs!$B$17,MOD(Source_Data!BA$6-(Inputs!$B$14+3),3)=0),$A$42*Inputs!$B$7*Inputs!$B$35*(1-Inputs!$B$16)/Inputs!$B$17,0)</f>
        <v>0</v>
      </c>
      <c r="BB51" s="33" t="n">
        <f aca="false">IF(Source_Data!BB$6=Inputs!$B$13,-Inputs!$B$7,0)+IF(AND(Source_Data!BB$6&gt;=Inputs!$B$14+3,Source_Data!BB$6&lt;Inputs!$B$14+3+3*Inputs!$B$17,MOD(Source_Data!BB$6-(Inputs!$B$14+3),3)=0),$A$42*Inputs!$B$7*Inputs!$B$35*(1-Inputs!$B$16)/Inputs!$B$17,0)</f>
        <v>0</v>
      </c>
      <c r="BC51" s="33" t="n">
        <f aca="false">IF(Source_Data!BC$6=Inputs!$B$13,-Inputs!$B$7,0)+IF(AND(Source_Data!BC$6&gt;=Inputs!$B$14+3,Source_Data!BC$6&lt;Inputs!$B$14+3+3*Inputs!$B$17,MOD(Source_Data!BC$6-(Inputs!$B$14+3),3)=0),$A$42*Inputs!$B$7*Inputs!$B$35*(1-Inputs!$B$16)/Inputs!$B$17,0)</f>
        <v>0</v>
      </c>
      <c r="BD51" s="33" t="n">
        <f aca="false">IF(Source_Data!BD$6=Inputs!$B$13,-Inputs!$B$7,0)+IF(AND(Source_Data!BD$6&gt;=Inputs!$B$14+3,Source_Data!BD$6&lt;Inputs!$B$14+3+3*Inputs!$B$17,MOD(Source_Data!BD$6-(Inputs!$B$14+3),3)=0),$A$42*Inputs!$B$7*Inputs!$B$35*(1-Inputs!$B$16)/Inputs!$B$17,0)</f>
        <v>0</v>
      </c>
      <c r="BE51" s="33" t="n">
        <f aca="false">IF(Source_Data!BE$6=Inputs!$B$13,-Inputs!$B$7,0)+IF(AND(Source_Data!BE$6&gt;=Inputs!$B$14+3,Source_Data!BE$6&lt;Inputs!$B$14+3+3*Inputs!$B$17,MOD(Source_Data!BE$6-(Inputs!$B$14+3),3)=0),$A$42*Inputs!$B$7*Inputs!$B$35*(1-Inputs!$B$16)/Inputs!$B$17,0)</f>
        <v>0</v>
      </c>
      <c r="BF51" s="33" t="n">
        <f aca="false">IF(Source_Data!BF$6=Inputs!$B$13,-Inputs!$B$7,0)+IF(AND(Source_Data!BF$6&gt;=Inputs!$B$14+3,Source_Data!BF$6&lt;Inputs!$B$14+3+3*Inputs!$B$17,MOD(Source_Data!BF$6-(Inputs!$B$14+3),3)=0),$A$42*Inputs!$B$7*Inputs!$B$35*(1-Inputs!$B$16)/Inputs!$B$17,0)</f>
        <v>0</v>
      </c>
      <c r="BG51" s="33" t="n">
        <f aca="false">IF(Source_Data!BG$6=Inputs!$B$13,-Inputs!$B$7,0)+IF(AND(Source_Data!BG$6&gt;=Inputs!$B$14+3,Source_Data!BG$6&lt;Inputs!$B$14+3+3*Inputs!$B$17,MOD(Source_Data!BG$6-(Inputs!$B$14+3),3)=0),$A$42*Inputs!$B$7*Inputs!$B$35*(1-Inputs!$B$16)/Inputs!$B$17,0)</f>
        <v>0</v>
      </c>
      <c r="BH51" s="33" t="n">
        <f aca="false">IF(Source_Data!BH$6=Inputs!$B$13,-Inputs!$B$7,0)+IF(AND(Source_Data!BH$6&gt;=Inputs!$B$14+3,Source_Data!BH$6&lt;Inputs!$B$14+3+3*Inputs!$B$17,MOD(Source_Data!BH$6-(Inputs!$B$14+3),3)=0),$A$42*Inputs!$B$7*Inputs!$B$35*(1-Inputs!$B$16)/Inputs!$B$17,0)</f>
        <v>0</v>
      </c>
      <c r="BI51" s="33" t="n">
        <f aca="false">IF(Source_Data!BI$6=Inputs!$B$13,-Inputs!$B$7,0)+IF(AND(Source_Data!BI$6&gt;=Inputs!$B$14+3,Source_Data!BI$6&lt;Inputs!$B$14+3+3*Inputs!$B$17,MOD(Source_Data!BI$6-(Inputs!$B$14+3),3)=0),$A$42*Inputs!$B$7*Inputs!$B$35*(1-Inputs!$B$16)/Inputs!$B$17,0)</f>
        <v>0</v>
      </c>
      <c r="BJ51" s="33" t="n">
        <f aca="false">IF(Source_Data!BJ$6=Inputs!$B$13,-Inputs!$B$7,0)+IF(AND(Source_Data!BJ$6&gt;=Inputs!$B$14+3,Source_Data!BJ$6&lt;Inputs!$B$14+3+3*Inputs!$B$17,MOD(Source_Data!BJ$6-(Inputs!$B$14+3),3)=0),$A$42*Inputs!$B$7*Inputs!$B$35*(1-Inputs!$B$16)/Inputs!$B$17,0)</f>
        <v>0</v>
      </c>
      <c r="BK51" s="33" t="n">
        <f aca="false">IF(Source_Data!BK$6=Inputs!$B$13,-Inputs!$B$7,0)+IF(AND(Source_Data!BK$6&gt;=Inputs!$B$14+3,Source_Data!BK$6&lt;Inputs!$B$14+3+3*Inputs!$B$17,MOD(Source_Data!BK$6-(Inputs!$B$14+3),3)=0),$A$42*Inputs!$B$7*Inputs!$B$35*(1-Inputs!$B$16)/Inputs!$B$17,0)</f>
        <v>0</v>
      </c>
    </row>
    <row r="52" customFormat="false" ht="15" hidden="false" customHeight="false" outlineLevel="0" collapsed="false">
      <c r="A52" s="6" t="s">
        <v>284</v>
      </c>
      <c r="D52" s="33" t="n">
        <f aca="false">IF(Source_Data!D$6=Inputs!$B$13,-Inputs!$B$7,0)+IF(AND(Source_Data!D$6&gt;=Inputs!$B$14+3,Source_Data!D$6&lt;Inputs!$B$14+3+3*Inputs!$B$17,MOD(Source_Data!D$6-(Inputs!$B$14+3),3)=0),$A$43*Inputs!$B$7*Inputs!$B$35*(1-Inputs!$B$16)/Inputs!$B$17,0)</f>
        <v>-75</v>
      </c>
      <c r="E52" s="33" t="n">
        <f aca="false">IF(Source_Data!E$6=Inputs!$B$13,-Inputs!$B$7,0)+IF(AND(Source_Data!E$6&gt;=Inputs!$B$14+3,Source_Data!E$6&lt;Inputs!$B$14+3+3*Inputs!$B$17,MOD(Source_Data!E$6-(Inputs!$B$14+3),3)=0),$A$43*Inputs!$B$7*Inputs!$B$35*(1-Inputs!$B$16)/Inputs!$B$17,0)</f>
        <v>0</v>
      </c>
      <c r="F52" s="33" t="n">
        <f aca="false">IF(Source_Data!F$6=Inputs!$B$13,-Inputs!$B$7,0)+IF(AND(Source_Data!F$6&gt;=Inputs!$B$14+3,Source_Data!F$6&lt;Inputs!$B$14+3+3*Inputs!$B$17,MOD(Source_Data!F$6-(Inputs!$B$14+3),3)=0),$A$43*Inputs!$B$7*Inputs!$B$35*(1-Inputs!$B$16)/Inputs!$B$17,0)</f>
        <v>0</v>
      </c>
      <c r="G52" s="33" t="n">
        <f aca="false">IF(Source_Data!G$6=Inputs!$B$13,-Inputs!$B$7,0)+IF(AND(Source_Data!G$6&gt;=Inputs!$B$14+3,Source_Data!G$6&lt;Inputs!$B$14+3+3*Inputs!$B$17,MOD(Source_Data!G$6-(Inputs!$B$14+3),3)=0),$A$43*Inputs!$B$7*Inputs!$B$35*(1-Inputs!$B$16)/Inputs!$B$17,0)</f>
        <v>0</v>
      </c>
      <c r="H52" s="33" t="n">
        <f aca="false">IF(Source_Data!H$6=Inputs!$B$13,-Inputs!$B$7,0)+IF(AND(Source_Data!H$6&gt;=Inputs!$B$14+3,Source_Data!H$6&lt;Inputs!$B$14+3+3*Inputs!$B$17,MOD(Source_Data!H$6-(Inputs!$B$14+3),3)=0),$A$43*Inputs!$B$7*Inputs!$B$35*(1-Inputs!$B$16)/Inputs!$B$17,0)</f>
        <v>0</v>
      </c>
      <c r="I52" s="33" t="n">
        <f aca="false">IF(Source_Data!I$6=Inputs!$B$13,-Inputs!$B$7,0)+IF(AND(Source_Data!I$6&gt;=Inputs!$B$14+3,Source_Data!I$6&lt;Inputs!$B$14+3+3*Inputs!$B$17,MOD(Source_Data!I$6-(Inputs!$B$14+3),3)=0),$A$43*Inputs!$B$7*Inputs!$B$35*(1-Inputs!$B$16)/Inputs!$B$17,0)</f>
        <v>0</v>
      </c>
      <c r="J52" s="33" t="n">
        <f aca="false">IF(Source_Data!J$6=Inputs!$B$13,-Inputs!$B$7,0)+IF(AND(Source_Data!J$6&gt;=Inputs!$B$14+3,Source_Data!J$6&lt;Inputs!$B$14+3+3*Inputs!$B$17,MOD(Source_Data!J$6-(Inputs!$B$14+3),3)=0),$A$43*Inputs!$B$7*Inputs!$B$35*(1-Inputs!$B$16)/Inputs!$B$17,0)</f>
        <v>0</v>
      </c>
      <c r="K52" s="33" t="n">
        <f aca="false">IF(Source_Data!K$6=Inputs!$B$13,-Inputs!$B$7,0)+IF(AND(Source_Data!K$6&gt;=Inputs!$B$14+3,Source_Data!K$6&lt;Inputs!$B$14+3+3*Inputs!$B$17,MOD(Source_Data!K$6-(Inputs!$B$14+3),3)=0),$A$43*Inputs!$B$7*Inputs!$B$35*(1-Inputs!$B$16)/Inputs!$B$17,0)</f>
        <v>0</v>
      </c>
      <c r="L52" s="33" t="n">
        <f aca="false">IF(Source_Data!L$6=Inputs!$B$13,-Inputs!$B$7,0)+IF(AND(Source_Data!L$6&gt;=Inputs!$B$14+3,Source_Data!L$6&lt;Inputs!$B$14+3+3*Inputs!$B$17,MOD(Source_Data!L$6-(Inputs!$B$14+3),3)=0),$A$43*Inputs!$B$7*Inputs!$B$35*(1-Inputs!$B$16)/Inputs!$B$17,0)</f>
        <v>0</v>
      </c>
      <c r="M52" s="33" t="n">
        <f aca="false">IF(Source_Data!M$6=Inputs!$B$13,-Inputs!$B$7,0)+IF(AND(Source_Data!M$6&gt;=Inputs!$B$14+3,Source_Data!M$6&lt;Inputs!$B$14+3+3*Inputs!$B$17,MOD(Source_Data!M$6-(Inputs!$B$14+3),3)=0),$A$43*Inputs!$B$7*Inputs!$B$35*(1-Inputs!$B$16)/Inputs!$B$17,0)</f>
        <v>0</v>
      </c>
      <c r="N52" s="33" t="n">
        <f aca="false">IF(Source_Data!N$6=Inputs!$B$13,-Inputs!$B$7,0)+IF(AND(Source_Data!N$6&gt;=Inputs!$B$14+3,Source_Data!N$6&lt;Inputs!$B$14+3+3*Inputs!$B$17,MOD(Source_Data!N$6-(Inputs!$B$14+3),3)=0),$A$43*Inputs!$B$7*Inputs!$B$35*(1-Inputs!$B$16)/Inputs!$B$17,0)</f>
        <v>0</v>
      </c>
      <c r="O52" s="33" t="n">
        <f aca="false">IF(Source_Data!O$6=Inputs!$B$13,-Inputs!$B$7,0)+IF(AND(Source_Data!O$6&gt;=Inputs!$B$14+3,Source_Data!O$6&lt;Inputs!$B$14+3+3*Inputs!$B$17,MOD(Source_Data!O$6-(Inputs!$B$14+3),3)=0),$A$43*Inputs!$B$7*Inputs!$B$35*(1-Inputs!$B$16)/Inputs!$B$17,0)</f>
        <v>0</v>
      </c>
      <c r="P52" s="33" t="n">
        <f aca="false">IF(Source_Data!P$6=Inputs!$B$13,-Inputs!$B$7,0)+IF(AND(Source_Data!P$6&gt;=Inputs!$B$14+3,Source_Data!P$6&lt;Inputs!$B$14+3+3*Inputs!$B$17,MOD(Source_Data!P$6-(Inputs!$B$14+3),3)=0),$A$43*Inputs!$B$7*Inputs!$B$35*(1-Inputs!$B$16)/Inputs!$B$17,0)</f>
        <v>0</v>
      </c>
      <c r="Q52" s="33" t="n">
        <f aca="false">IF(Source_Data!Q$6=Inputs!$B$13,-Inputs!$B$7,0)+IF(AND(Source_Data!Q$6&gt;=Inputs!$B$14+3,Source_Data!Q$6&lt;Inputs!$B$14+3+3*Inputs!$B$17,MOD(Source_Data!Q$6-(Inputs!$B$14+3),3)=0),$A$43*Inputs!$B$7*Inputs!$B$35*(1-Inputs!$B$16)/Inputs!$B$17,0)</f>
        <v>0</v>
      </c>
      <c r="R52" s="33" t="n">
        <f aca="false">IF(Source_Data!R$6=Inputs!$B$13,-Inputs!$B$7,0)+IF(AND(Source_Data!R$6&gt;=Inputs!$B$14+3,Source_Data!R$6&lt;Inputs!$B$14+3+3*Inputs!$B$17,MOD(Source_Data!R$6-(Inputs!$B$14+3),3)=0),$A$43*Inputs!$B$7*Inputs!$B$35*(1-Inputs!$B$16)/Inputs!$B$17,0)</f>
        <v>0</v>
      </c>
      <c r="S52" s="33" t="n">
        <f aca="false">IF(Source_Data!S$6=Inputs!$B$13,-Inputs!$B$7,0)+IF(AND(Source_Data!S$6&gt;=Inputs!$B$14+3,Source_Data!S$6&lt;Inputs!$B$14+3+3*Inputs!$B$17,MOD(Source_Data!S$6-(Inputs!$B$14+3),3)=0),$A$43*Inputs!$B$7*Inputs!$B$35*(1-Inputs!$B$16)/Inputs!$B$17,0)</f>
        <v>0</v>
      </c>
      <c r="T52" s="33" t="n">
        <f aca="false">IF(Source_Data!T$6=Inputs!$B$13,-Inputs!$B$7,0)+IF(AND(Source_Data!T$6&gt;=Inputs!$B$14+3,Source_Data!T$6&lt;Inputs!$B$14+3+3*Inputs!$B$17,MOD(Source_Data!T$6-(Inputs!$B$14+3),3)=0),$A$43*Inputs!$B$7*Inputs!$B$35*(1-Inputs!$B$16)/Inputs!$B$17,0)</f>
        <v>52.1505376344086</v>
      </c>
      <c r="U52" s="33" t="n">
        <f aca="false">IF(Source_Data!U$6=Inputs!$B$13,-Inputs!$B$7,0)+IF(AND(Source_Data!U$6&gt;=Inputs!$B$14+3,Source_Data!U$6&lt;Inputs!$B$14+3+3*Inputs!$B$17,MOD(Source_Data!U$6-(Inputs!$B$14+3),3)=0),$A$43*Inputs!$B$7*Inputs!$B$35*(1-Inputs!$B$16)/Inputs!$B$17,0)</f>
        <v>52.1505376344086</v>
      </c>
      <c r="V52" s="33" t="n">
        <f aca="false">IF(Source_Data!V$6=Inputs!$B$13,-Inputs!$B$7,0)+IF(AND(Source_Data!V$6&gt;=Inputs!$B$14+3,Source_Data!V$6&lt;Inputs!$B$14+3+3*Inputs!$B$17,MOD(Source_Data!V$6-(Inputs!$B$14+3),3)=0),$A$43*Inputs!$B$7*Inputs!$B$35*(1-Inputs!$B$16)/Inputs!$B$17,0)</f>
        <v>52.1505376344086</v>
      </c>
      <c r="W52" s="33" t="n">
        <f aca="false">IF(Source_Data!W$6=Inputs!$B$13,-Inputs!$B$7,0)+IF(AND(Source_Data!W$6&gt;=Inputs!$B$14+3,Source_Data!W$6&lt;Inputs!$B$14+3+3*Inputs!$B$17,MOD(Source_Data!W$6-(Inputs!$B$14+3),3)=0),$A$43*Inputs!$B$7*Inputs!$B$35*(1-Inputs!$B$16)/Inputs!$B$17,0)</f>
        <v>52.1505376344086</v>
      </c>
      <c r="X52" s="33" t="n">
        <f aca="false">IF(Source_Data!X$6=Inputs!$B$13,-Inputs!$B$7,0)+IF(AND(Source_Data!X$6&gt;=Inputs!$B$14+3,Source_Data!X$6&lt;Inputs!$B$14+3+3*Inputs!$B$17,MOD(Source_Data!X$6-(Inputs!$B$14+3),3)=0),$A$43*Inputs!$B$7*Inputs!$B$35*(1-Inputs!$B$16)/Inputs!$B$17,0)</f>
        <v>0</v>
      </c>
      <c r="Y52" s="33" t="n">
        <f aca="false">IF(Source_Data!Y$6=Inputs!$B$13,-Inputs!$B$7,0)+IF(AND(Source_Data!Y$6&gt;=Inputs!$B$14+3,Source_Data!Y$6&lt;Inputs!$B$14+3+3*Inputs!$B$17,MOD(Source_Data!Y$6-(Inputs!$B$14+3),3)=0),$A$43*Inputs!$B$7*Inputs!$B$35*(1-Inputs!$B$16)/Inputs!$B$17,0)</f>
        <v>0</v>
      </c>
      <c r="Z52" s="33" t="n">
        <f aca="false">IF(Source_Data!Z$6=Inputs!$B$13,-Inputs!$B$7,0)+IF(AND(Source_Data!Z$6&gt;=Inputs!$B$14+3,Source_Data!Z$6&lt;Inputs!$B$14+3+3*Inputs!$B$17,MOD(Source_Data!Z$6-(Inputs!$B$14+3),3)=0),$A$43*Inputs!$B$7*Inputs!$B$35*(1-Inputs!$B$16)/Inputs!$B$17,0)</f>
        <v>0</v>
      </c>
      <c r="AA52" s="33" t="n">
        <f aca="false">IF(Source_Data!AA$6=Inputs!$B$13,-Inputs!$B$7,0)+IF(AND(Source_Data!AA$6&gt;=Inputs!$B$14+3,Source_Data!AA$6&lt;Inputs!$B$14+3+3*Inputs!$B$17,MOD(Source_Data!AA$6-(Inputs!$B$14+3),3)=0),$A$43*Inputs!$B$7*Inputs!$B$35*(1-Inputs!$B$16)/Inputs!$B$17,0)</f>
        <v>0</v>
      </c>
      <c r="AB52" s="33" t="n">
        <f aca="false">IF(Source_Data!AB$6=Inputs!$B$13,-Inputs!$B$7,0)+IF(AND(Source_Data!AB$6&gt;=Inputs!$B$14+3,Source_Data!AB$6&lt;Inputs!$B$14+3+3*Inputs!$B$17,MOD(Source_Data!AB$6-(Inputs!$B$14+3),3)=0),$A$43*Inputs!$B$7*Inputs!$B$35*(1-Inputs!$B$16)/Inputs!$B$17,0)</f>
        <v>0</v>
      </c>
      <c r="AC52" s="33" t="n">
        <f aca="false">IF(Source_Data!AC$6=Inputs!$B$13,-Inputs!$B$7,0)+IF(AND(Source_Data!AC$6&gt;=Inputs!$B$14+3,Source_Data!AC$6&lt;Inputs!$B$14+3+3*Inputs!$B$17,MOD(Source_Data!AC$6-(Inputs!$B$14+3),3)=0),$A$43*Inputs!$B$7*Inputs!$B$35*(1-Inputs!$B$16)/Inputs!$B$17,0)</f>
        <v>0</v>
      </c>
      <c r="AD52" s="33" t="n">
        <f aca="false">IF(Source_Data!AD$6=Inputs!$B$13,-Inputs!$B$7,0)+IF(AND(Source_Data!AD$6&gt;=Inputs!$B$14+3,Source_Data!AD$6&lt;Inputs!$B$14+3+3*Inputs!$B$17,MOD(Source_Data!AD$6-(Inputs!$B$14+3),3)=0),$A$43*Inputs!$B$7*Inputs!$B$35*(1-Inputs!$B$16)/Inputs!$B$17,0)</f>
        <v>0</v>
      </c>
      <c r="AE52" s="33" t="n">
        <f aca="false">IF(Source_Data!AE$6=Inputs!$B$13,-Inputs!$B$7,0)+IF(AND(Source_Data!AE$6&gt;=Inputs!$B$14+3,Source_Data!AE$6&lt;Inputs!$B$14+3+3*Inputs!$B$17,MOD(Source_Data!AE$6-(Inputs!$B$14+3),3)=0),$A$43*Inputs!$B$7*Inputs!$B$35*(1-Inputs!$B$16)/Inputs!$B$17,0)</f>
        <v>0</v>
      </c>
      <c r="AF52" s="33" t="n">
        <f aca="false">IF(Source_Data!AF$6=Inputs!$B$13,-Inputs!$B$7,0)+IF(AND(Source_Data!AF$6&gt;=Inputs!$B$14+3,Source_Data!AF$6&lt;Inputs!$B$14+3+3*Inputs!$B$17,MOD(Source_Data!AF$6-(Inputs!$B$14+3),3)=0),$A$43*Inputs!$B$7*Inputs!$B$35*(1-Inputs!$B$16)/Inputs!$B$17,0)</f>
        <v>0</v>
      </c>
      <c r="AG52" s="33" t="n">
        <f aca="false">IF(Source_Data!AG$6=Inputs!$B$13,-Inputs!$B$7,0)+IF(AND(Source_Data!AG$6&gt;=Inputs!$B$14+3,Source_Data!AG$6&lt;Inputs!$B$14+3+3*Inputs!$B$17,MOD(Source_Data!AG$6-(Inputs!$B$14+3),3)=0),$A$43*Inputs!$B$7*Inputs!$B$35*(1-Inputs!$B$16)/Inputs!$B$17,0)</f>
        <v>0</v>
      </c>
      <c r="AH52" s="33" t="n">
        <f aca="false">IF(Source_Data!AH$6=Inputs!$B$13,-Inputs!$B$7,0)+IF(AND(Source_Data!AH$6&gt;=Inputs!$B$14+3,Source_Data!AH$6&lt;Inputs!$B$14+3+3*Inputs!$B$17,MOD(Source_Data!AH$6-(Inputs!$B$14+3),3)=0),$A$43*Inputs!$B$7*Inputs!$B$35*(1-Inputs!$B$16)/Inputs!$B$17,0)</f>
        <v>0</v>
      </c>
      <c r="AI52" s="33" t="n">
        <f aca="false">IF(Source_Data!AI$6=Inputs!$B$13,-Inputs!$B$7,0)+IF(AND(Source_Data!AI$6&gt;=Inputs!$B$14+3,Source_Data!AI$6&lt;Inputs!$B$14+3+3*Inputs!$B$17,MOD(Source_Data!AI$6-(Inputs!$B$14+3),3)=0),$A$43*Inputs!$B$7*Inputs!$B$35*(1-Inputs!$B$16)/Inputs!$B$17,0)</f>
        <v>0</v>
      </c>
      <c r="AJ52" s="33" t="n">
        <f aca="false">IF(Source_Data!AJ$6=Inputs!$B$13,-Inputs!$B$7,0)+IF(AND(Source_Data!AJ$6&gt;=Inputs!$B$14+3,Source_Data!AJ$6&lt;Inputs!$B$14+3+3*Inputs!$B$17,MOD(Source_Data!AJ$6-(Inputs!$B$14+3),3)=0),$A$43*Inputs!$B$7*Inputs!$B$35*(1-Inputs!$B$16)/Inputs!$B$17,0)</f>
        <v>0</v>
      </c>
      <c r="AK52" s="33" t="n">
        <f aca="false">IF(Source_Data!AK$6=Inputs!$B$13,-Inputs!$B$7,0)+IF(AND(Source_Data!AK$6&gt;=Inputs!$B$14+3,Source_Data!AK$6&lt;Inputs!$B$14+3+3*Inputs!$B$17,MOD(Source_Data!AK$6-(Inputs!$B$14+3),3)=0),$A$43*Inputs!$B$7*Inputs!$B$35*(1-Inputs!$B$16)/Inputs!$B$17,0)</f>
        <v>0</v>
      </c>
      <c r="AL52" s="33" t="n">
        <f aca="false">IF(Source_Data!AL$6=Inputs!$B$13,-Inputs!$B$7,0)+IF(AND(Source_Data!AL$6&gt;=Inputs!$B$14+3,Source_Data!AL$6&lt;Inputs!$B$14+3+3*Inputs!$B$17,MOD(Source_Data!AL$6-(Inputs!$B$14+3),3)=0),$A$43*Inputs!$B$7*Inputs!$B$35*(1-Inputs!$B$16)/Inputs!$B$17,0)</f>
        <v>0</v>
      </c>
      <c r="AM52" s="33" t="n">
        <f aca="false">IF(Source_Data!AM$6=Inputs!$B$13,-Inputs!$B$7,0)+IF(AND(Source_Data!AM$6&gt;=Inputs!$B$14+3,Source_Data!AM$6&lt;Inputs!$B$14+3+3*Inputs!$B$17,MOD(Source_Data!AM$6-(Inputs!$B$14+3),3)=0),$A$43*Inputs!$B$7*Inputs!$B$35*(1-Inputs!$B$16)/Inputs!$B$17,0)</f>
        <v>0</v>
      </c>
      <c r="AN52" s="33" t="n">
        <f aca="false">IF(Source_Data!AN$6=Inputs!$B$13,-Inputs!$B$7,0)+IF(AND(Source_Data!AN$6&gt;=Inputs!$B$14+3,Source_Data!AN$6&lt;Inputs!$B$14+3+3*Inputs!$B$17,MOD(Source_Data!AN$6-(Inputs!$B$14+3),3)=0),$A$43*Inputs!$B$7*Inputs!$B$35*(1-Inputs!$B$16)/Inputs!$B$17,0)</f>
        <v>0</v>
      </c>
      <c r="AO52" s="33" t="n">
        <f aca="false">IF(Source_Data!AO$6=Inputs!$B$13,-Inputs!$B$7,0)+IF(AND(Source_Data!AO$6&gt;=Inputs!$B$14+3,Source_Data!AO$6&lt;Inputs!$B$14+3+3*Inputs!$B$17,MOD(Source_Data!AO$6-(Inputs!$B$14+3),3)=0),$A$43*Inputs!$B$7*Inputs!$B$35*(1-Inputs!$B$16)/Inputs!$B$17,0)</f>
        <v>0</v>
      </c>
      <c r="AP52" s="33" t="n">
        <f aca="false">IF(Source_Data!AP$6=Inputs!$B$13,-Inputs!$B$7,0)+IF(AND(Source_Data!AP$6&gt;=Inputs!$B$14+3,Source_Data!AP$6&lt;Inputs!$B$14+3+3*Inputs!$B$17,MOD(Source_Data!AP$6-(Inputs!$B$14+3),3)=0),$A$43*Inputs!$B$7*Inputs!$B$35*(1-Inputs!$B$16)/Inputs!$B$17,0)</f>
        <v>0</v>
      </c>
      <c r="AQ52" s="33" t="n">
        <f aca="false">IF(Source_Data!AQ$6=Inputs!$B$13,-Inputs!$B$7,0)+IF(AND(Source_Data!AQ$6&gt;=Inputs!$B$14+3,Source_Data!AQ$6&lt;Inputs!$B$14+3+3*Inputs!$B$17,MOD(Source_Data!AQ$6-(Inputs!$B$14+3),3)=0),$A$43*Inputs!$B$7*Inputs!$B$35*(1-Inputs!$B$16)/Inputs!$B$17,0)</f>
        <v>0</v>
      </c>
      <c r="AR52" s="33" t="n">
        <f aca="false">IF(Source_Data!AR$6=Inputs!$B$13,-Inputs!$B$7,0)+IF(AND(Source_Data!AR$6&gt;=Inputs!$B$14+3,Source_Data!AR$6&lt;Inputs!$B$14+3+3*Inputs!$B$17,MOD(Source_Data!AR$6-(Inputs!$B$14+3),3)=0),$A$43*Inputs!$B$7*Inputs!$B$35*(1-Inputs!$B$16)/Inputs!$B$17,0)</f>
        <v>0</v>
      </c>
      <c r="AS52" s="33" t="n">
        <f aca="false">IF(Source_Data!AS$6=Inputs!$B$13,-Inputs!$B$7,0)+IF(AND(Source_Data!AS$6&gt;=Inputs!$B$14+3,Source_Data!AS$6&lt;Inputs!$B$14+3+3*Inputs!$B$17,MOD(Source_Data!AS$6-(Inputs!$B$14+3),3)=0),$A$43*Inputs!$B$7*Inputs!$B$35*(1-Inputs!$B$16)/Inputs!$B$17,0)</f>
        <v>0</v>
      </c>
      <c r="AT52" s="33" t="n">
        <f aca="false">IF(Source_Data!AT$6=Inputs!$B$13,-Inputs!$B$7,0)+IF(AND(Source_Data!AT$6&gt;=Inputs!$B$14+3,Source_Data!AT$6&lt;Inputs!$B$14+3+3*Inputs!$B$17,MOD(Source_Data!AT$6-(Inputs!$B$14+3),3)=0),$A$43*Inputs!$B$7*Inputs!$B$35*(1-Inputs!$B$16)/Inputs!$B$17,0)</f>
        <v>0</v>
      </c>
      <c r="AU52" s="33" t="n">
        <f aca="false">IF(Source_Data!AU$6=Inputs!$B$13,-Inputs!$B$7,0)+IF(AND(Source_Data!AU$6&gt;=Inputs!$B$14+3,Source_Data!AU$6&lt;Inputs!$B$14+3+3*Inputs!$B$17,MOD(Source_Data!AU$6-(Inputs!$B$14+3),3)=0),$A$43*Inputs!$B$7*Inputs!$B$35*(1-Inputs!$B$16)/Inputs!$B$17,0)</f>
        <v>0</v>
      </c>
      <c r="AV52" s="33" t="n">
        <f aca="false">IF(Source_Data!AV$6=Inputs!$B$13,-Inputs!$B$7,0)+IF(AND(Source_Data!AV$6&gt;=Inputs!$B$14+3,Source_Data!AV$6&lt;Inputs!$B$14+3+3*Inputs!$B$17,MOD(Source_Data!AV$6-(Inputs!$B$14+3),3)=0),$A$43*Inputs!$B$7*Inputs!$B$35*(1-Inputs!$B$16)/Inputs!$B$17,0)</f>
        <v>0</v>
      </c>
      <c r="AW52" s="33" t="n">
        <f aca="false">IF(Source_Data!AW$6=Inputs!$B$13,-Inputs!$B$7,0)+IF(AND(Source_Data!AW$6&gt;=Inputs!$B$14+3,Source_Data!AW$6&lt;Inputs!$B$14+3+3*Inputs!$B$17,MOD(Source_Data!AW$6-(Inputs!$B$14+3),3)=0),$A$43*Inputs!$B$7*Inputs!$B$35*(1-Inputs!$B$16)/Inputs!$B$17,0)</f>
        <v>0</v>
      </c>
      <c r="AX52" s="33" t="n">
        <f aca="false">IF(Source_Data!AX$6=Inputs!$B$13,-Inputs!$B$7,0)+IF(AND(Source_Data!AX$6&gt;=Inputs!$B$14+3,Source_Data!AX$6&lt;Inputs!$B$14+3+3*Inputs!$B$17,MOD(Source_Data!AX$6-(Inputs!$B$14+3),3)=0),$A$43*Inputs!$B$7*Inputs!$B$35*(1-Inputs!$B$16)/Inputs!$B$17,0)</f>
        <v>0</v>
      </c>
      <c r="AY52" s="33" t="n">
        <f aca="false">IF(Source_Data!AY$6=Inputs!$B$13,-Inputs!$B$7,0)+IF(AND(Source_Data!AY$6&gt;=Inputs!$B$14+3,Source_Data!AY$6&lt;Inputs!$B$14+3+3*Inputs!$B$17,MOD(Source_Data!AY$6-(Inputs!$B$14+3),3)=0),$A$43*Inputs!$B$7*Inputs!$B$35*(1-Inputs!$B$16)/Inputs!$B$17,0)</f>
        <v>0</v>
      </c>
      <c r="AZ52" s="33" t="n">
        <f aca="false">IF(Source_Data!AZ$6=Inputs!$B$13,-Inputs!$B$7,0)+IF(AND(Source_Data!AZ$6&gt;=Inputs!$B$14+3,Source_Data!AZ$6&lt;Inputs!$B$14+3+3*Inputs!$B$17,MOD(Source_Data!AZ$6-(Inputs!$B$14+3),3)=0),$A$43*Inputs!$B$7*Inputs!$B$35*(1-Inputs!$B$16)/Inputs!$B$17,0)</f>
        <v>0</v>
      </c>
      <c r="BA52" s="33" t="n">
        <f aca="false">IF(Source_Data!BA$6=Inputs!$B$13,-Inputs!$B$7,0)+IF(AND(Source_Data!BA$6&gt;=Inputs!$B$14+3,Source_Data!BA$6&lt;Inputs!$B$14+3+3*Inputs!$B$17,MOD(Source_Data!BA$6-(Inputs!$B$14+3),3)=0),$A$43*Inputs!$B$7*Inputs!$B$35*(1-Inputs!$B$16)/Inputs!$B$17,0)</f>
        <v>0</v>
      </c>
      <c r="BB52" s="33" t="n">
        <f aca="false">IF(Source_Data!BB$6=Inputs!$B$13,-Inputs!$B$7,0)+IF(AND(Source_Data!BB$6&gt;=Inputs!$B$14+3,Source_Data!BB$6&lt;Inputs!$B$14+3+3*Inputs!$B$17,MOD(Source_Data!BB$6-(Inputs!$B$14+3),3)=0),$A$43*Inputs!$B$7*Inputs!$B$35*(1-Inputs!$B$16)/Inputs!$B$17,0)</f>
        <v>0</v>
      </c>
      <c r="BC52" s="33" t="n">
        <f aca="false">IF(Source_Data!BC$6=Inputs!$B$13,-Inputs!$B$7,0)+IF(AND(Source_Data!BC$6&gt;=Inputs!$B$14+3,Source_Data!BC$6&lt;Inputs!$B$14+3+3*Inputs!$B$17,MOD(Source_Data!BC$6-(Inputs!$B$14+3),3)=0),$A$43*Inputs!$B$7*Inputs!$B$35*(1-Inputs!$B$16)/Inputs!$B$17,0)</f>
        <v>0</v>
      </c>
      <c r="BD52" s="33" t="n">
        <f aca="false">IF(Source_Data!BD$6=Inputs!$B$13,-Inputs!$B$7,0)+IF(AND(Source_Data!BD$6&gt;=Inputs!$B$14+3,Source_Data!BD$6&lt;Inputs!$B$14+3+3*Inputs!$B$17,MOD(Source_Data!BD$6-(Inputs!$B$14+3),3)=0),$A$43*Inputs!$B$7*Inputs!$B$35*(1-Inputs!$B$16)/Inputs!$B$17,0)</f>
        <v>0</v>
      </c>
      <c r="BE52" s="33" t="n">
        <f aca="false">IF(Source_Data!BE$6=Inputs!$B$13,-Inputs!$B$7,0)+IF(AND(Source_Data!BE$6&gt;=Inputs!$B$14+3,Source_Data!BE$6&lt;Inputs!$B$14+3+3*Inputs!$B$17,MOD(Source_Data!BE$6-(Inputs!$B$14+3),3)=0),$A$43*Inputs!$B$7*Inputs!$B$35*(1-Inputs!$B$16)/Inputs!$B$17,0)</f>
        <v>0</v>
      </c>
      <c r="BF52" s="33" t="n">
        <f aca="false">IF(Source_Data!BF$6=Inputs!$B$13,-Inputs!$B$7,0)+IF(AND(Source_Data!BF$6&gt;=Inputs!$B$14+3,Source_Data!BF$6&lt;Inputs!$B$14+3+3*Inputs!$B$17,MOD(Source_Data!BF$6-(Inputs!$B$14+3),3)=0),$A$43*Inputs!$B$7*Inputs!$B$35*(1-Inputs!$B$16)/Inputs!$B$17,0)</f>
        <v>0</v>
      </c>
      <c r="BG52" s="33" t="n">
        <f aca="false">IF(Source_Data!BG$6=Inputs!$B$13,-Inputs!$B$7,0)+IF(AND(Source_Data!BG$6&gt;=Inputs!$B$14+3,Source_Data!BG$6&lt;Inputs!$B$14+3+3*Inputs!$B$17,MOD(Source_Data!BG$6-(Inputs!$B$14+3),3)=0),$A$43*Inputs!$B$7*Inputs!$B$35*(1-Inputs!$B$16)/Inputs!$B$17,0)</f>
        <v>0</v>
      </c>
      <c r="BH52" s="33" t="n">
        <f aca="false">IF(Source_Data!BH$6=Inputs!$B$13,-Inputs!$B$7,0)+IF(AND(Source_Data!BH$6&gt;=Inputs!$B$14+3,Source_Data!BH$6&lt;Inputs!$B$14+3+3*Inputs!$B$17,MOD(Source_Data!BH$6-(Inputs!$B$14+3),3)=0),$A$43*Inputs!$B$7*Inputs!$B$35*(1-Inputs!$B$16)/Inputs!$B$17,0)</f>
        <v>0</v>
      </c>
      <c r="BI52" s="33" t="n">
        <f aca="false">IF(Source_Data!BI$6=Inputs!$B$13,-Inputs!$B$7,0)+IF(AND(Source_Data!BI$6&gt;=Inputs!$B$14+3,Source_Data!BI$6&lt;Inputs!$B$14+3+3*Inputs!$B$17,MOD(Source_Data!BI$6-(Inputs!$B$14+3),3)=0),$A$43*Inputs!$B$7*Inputs!$B$35*(1-Inputs!$B$16)/Inputs!$B$17,0)</f>
        <v>0</v>
      </c>
      <c r="BJ52" s="33" t="n">
        <f aca="false">IF(Source_Data!BJ$6=Inputs!$B$13,-Inputs!$B$7,0)+IF(AND(Source_Data!BJ$6&gt;=Inputs!$B$14+3,Source_Data!BJ$6&lt;Inputs!$B$14+3+3*Inputs!$B$17,MOD(Source_Data!BJ$6-(Inputs!$B$14+3),3)=0),$A$43*Inputs!$B$7*Inputs!$B$35*(1-Inputs!$B$16)/Inputs!$B$17,0)</f>
        <v>0</v>
      </c>
      <c r="BK52" s="33" t="n">
        <f aca="false">IF(Source_Data!BK$6=Inputs!$B$13,-Inputs!$B$7,0)+IF(AND(Source_Data!BK$6&gt;=Inputs!$B$14+3,Source_Data!BK$6&lt;Inputs!$B$14+3+3*Inputs!$B$17,MOD(Source_Data!BK$6-(Inputs!$B$14+3),3)=0),$A$43*Inputs!$B$7*Inputs!$B$35*(1-Inputs!$B$16)/Inputs!$B$17,0)</f>
        <v>0</v>
      </c>
    </row>
    <row r="53" customFormat="false" ht="15" hidden="false" customHeight="false" outlineLevel="0" collapsed="false">
      <c r="A53" s="6" t="s">
        <v>285</v>
      </c>
      <c r="D53" s="33" t="n">
        <f aca="false">IF(Source_Data!D$6=Inputs!$B$13,-Inputs!$B$7,0)+IF(AND(Source_Data!D$6&gt;=Inputs!$B$14+3,Source_Data!D$6&lt;Inputs!$B$14+3+3*Inputs!$B$17,MOD(Source_Data!D$6-(Inputs!$B$14+3),3)=0),$A$44*Inputs!$B$7*Inputs!$B$35*(1-Inputs!$B$16)/Inputs!$B$17,0)</f>
        <v>-75</v>
      </c>
      <c r="E53" s="33" t="n">
        <f aca="false">IF(Source_Data!E$6=Inputs!$B$13,-Inputs!$B$7,0)+IF(AND(Source_Data!E$6&gt;=Inputs!$B$14+3,Source_Data!E$6&lt;Inputs!$B$14+3+3*Inputs!$B$17,MOD(Source_Data!E$6-(Inputs!$B$14+3),3)=0),$A$44*Inputs!$B$7*Inputs!$B$35*(1-Inputs!$B$16)/Inputs!$B$17,0)</f>
        <v>0</v>
      </c>
      <c r="F53" s="33" t="n">
        <f aca="false">IF(Source_Data!F$6=Inputs!$B$13,-Inputs!$B$7,0)+IF(AND(Source_Data!F$6&gt;=Inputs!$B$14+3,Source_Data!F$6&lt;Inputs!$B$14+3+3*Inputs!$B$17,MOD(Source_Data!F$6-(Inputs!$B$14+3),3)=0),$A$44*Inputs!$B$7*Inputs!$B$35*(1-Inputs!$B$16)/Inputs!$B$17,0)</f>
        <v>0</v>
      </c>
      <c r="G53" s="33" t="n">
        <f aca="false">IF(Source_Data!G$6=Inputs!$B$13,-Inputs!$B$7,0)+IF(AND(Source_Data!G$6&gt;=Inputs!$B$14+3,Source_Data!G$6&lt;Inputs!$B$14+3+3*Inputs!$B$17,MOD(Source_Data!G$6-(Inputs!$B$14+3),3)=0),$A$44*Inputs!$B$7*Inputs!$B$35*(1-Inputs!$B$16)/Inputs!$B$17,0)</f>
        <v>0</v>
      </c>
      <c r="H53" s="33" t="n">
        <f aca="false">IF(Source_Data!H$6=Inputs!$B$13,-Inputs!$B$7,0)+IF(AND(Source_Data!H$6&gt;=Inputs!$B$14+3,Source_Data!H$6&lt;Inputs!$B$14+3+3*Inputs!$B$17,MOD(Source_Data!H$6-(Inputs!$B$14+3),3)=0),$A$44*Inputs!$B$7*Inputs!$B$35*(1-Inputs!$B$16)/Inputs!$B$17,0)</f>
        <v>0</v>
      </c>
      <c r="I53" s="33" t="n">
        <f aca="false">IF(Source_Data!I$6=Inputs!$B$13,-Inputs!$B$7,0)+IF(AND(Source_Data!I$6&gt;=Inputs!$B$14+3,Source_Data!I$6&lt;Inputs!$B$14+3+3*Inputs!$B$17,MOD(Source_Data!I$6-(Inputs!$B$14+3),3)=0),$A$44*Inputs!$B$7*Inputs!$B$35*(1-Inputs!$B$16)/Inputs!$B$17,0)</f>
        <v>0</v>
      </c>
      <c r="J53" s="33" t="n">
        <f aca="false">IF(Source_Data!J$6=Inputs!$B$13,-Inputs!$B$7,0)+IF(AND(Source_Data!J$6&gt;=Inputs!$B$14+3,Source_Data!J$6&lt;Inputs!$B$14+3+3*Inputs!$B$17,MOD(Source_Data!J$6-(Inputs!$B$14+3),3)=0),$A$44*Inputs!$B$7*Inputs!$B$35*(1-Inputs!$B$16)/Inputs!$B$17,0)</f>
        <v>0</v>
      </c>
      <c r="K53" s="33" t="n">
        <f aca="false">IF(Source_Data!K$6=Inputs!$B$13,-Inputs!$B$7,0)+IF(AND(Source_Data!K$6&gt;=Inputs!$B$14+3,Source_Data!K$6&lt;Inputs!$B$14+3+3*Inputs!$B$17,MOD(Source_Data!K$6-(Inputs!$B$14+3),3)=0),$A$44*Inputs!$B$7*Inputs!$B$35*(1-Inputs!$B$16)/Inputs!$B$17,0)</f>
        <v>0</v>
      </c>
      <c r="L53" s="33" t="n">
        <f aca="false">IF(Source_Data!L$6=Inputs!$B$13,-Inputs!$B$7,0)+IF(AND(Source_Data!L$6&gt;=Inputs!$B$14+3,Source_Data!L$6&lt;Inputs!$B$14+3+3*Inputs!$B$17,MOD(Source_Data!L$6-(Inputs!$B$14+3),3)=0),$A$44*Inputs!$B$7*Inputs!$B$35*(1-Inputs!$B$16)/Inputs!$B$17,0)</f>
        <v>0</v>
      </c>
      <c r="M53" s="33" t="n">
        <f aca="false">IF(Source_Data!M$6=Inputs!$B$13,-Inputs!$B$7,0)+IF(AND(Source_Data!M$6&gt;=Inputs!$B$14+3,Source_Data!M$6&lt;Inputs!$B$14+3+3*Inputs!$B$17,MOD(Source_Data!M$6-(Inputs!$B$14+3),3)=0),$A$44*Inputs!$B$7*Inputs!$B$35*(1-Inputs!$B$16)/Inputs!$B$17,0)</f>
        <v>0</v>
      </c>
      <c r="N53" s="33" t="n">
        <f aca="false">IF(Source_Data!N$6=Inputs!$B$13,-Inputs!$B$7,0)+IF(AND(Source_Data!N$6&gt;=Inputs!$B$14+3,Source_Data!N$6&lt;Inputs!$B$14+3+3*Inputs!$B$17,MOD(Source_Data!N$6-(Inputs!$B$14+3),3)=0),$A$44*Inputs!$B$7*Inputs!$B$35*(1-Inputs!$B$16)/Inputs!$B$17,0)</f>
        <v>0</v>
      </c>
      <c r="O53" s="33" t="n">
        <f aca="false">IF(Source_Data!O$6=Inputs!$B$13,-Inputs!$B$7,0)+IF(AND(Source_Data!O$6&gt;=Inputs!$B$14+3,Source_Data!O$6&lt;Inputs!$B$14+3+3*Inputs!$B$17,MOD(Source_Data!O$6-(Inputs!$B$14+3),3)=0),$A$44*Inputs!$B$7*Inputs!$B$35*(1-Inputs!$B$16)/Inputs!$B$17,0)</f>
        <v>0</v>
      </c>
      <c r="P53" s="33" t="n">
        <f aca="false">IF(Source_Data!P$6=Inputs!$B$13,-Inputs!$B$7,0)+IF(AND(Source_Data!P$6&gt;=Inputs!$B$14+3,Source_Data!P$6&lt;Inputs!$B$14+3+3*Inputs!$B$17,MOD(Source_Data!P$6-(Inputs!$B$14+3),3)=0),$A$44*Inputs!$B$7*Inputs!$B$35*(1-Inputs!$B$16)/Inputs!$B$17,0)</f>
        <v>0</v>
      </c>
      <c r="Q53" s="33" t="n">
        <f aca="false">IF(Source_Data!Q$6=Inputs!$B$13,-Inputs!$B$7,0)+IF(AND(Source_Data!Q$6&gt;=Inputs!$B$14+3,Source_Data!Q$6&lt;Inputs!$B$14+3+3*Inputs!$B$17,MOD(Source_Data!Q$6-(Inputs!$B$14+3),3)=0),$A$44*Inputs!$B$7*Inputs!$B$35*(1-Inputs!$B$16)/Inputs!$B$17,0)</f>
        <v>0</v>
      </c>
      <c r="R53" s="33" t="n">
        <f aca="false">IF(Source_Data!R$6=Inputs!$B$13,-Inputs!$B$7,0)+IF(AND(Source_Data!R$6&gt;=Inputs!$B$14+3,Source_Data!R$6&lt;Inputs!$B$14+3+3*Inputs!$B$17,MOD(Source_Data!R$6-(Inputs!$B$14+3),3)=0),$A$44*Inputs!$B$7*Inputs!$B$35*(1-Inputs!$B$16)/Inputs!$B$17,0)</f>
        <v>0</v>
      </c>
      <c r="S53" s="33" t="n">
        <f aca="false">IF(Source_Data!S$6=Inputs!$B$13,-Inputs!$B$7,0)+IF(AND(Source_Data!S$6&gt;=Inputs!$B$14+3,Source_Data!S$6&lt;Inputs!$B$14+3+3*Inputs!$B$17,MOD(Source_Data!S$6-(Inputs!$B$14+3),3)=0),$A$44*Inputs!$B$7*Inputs!$B$35*(1-Inputs!$B$16)/Inputs!$B$17,0)</f>
        <v>0</v>
      </c>
      <c r="T53" s="33" t="n">
        <f aca="false">IF(Source_Data!T$6=Inputs!$B$13,-Inputs!$B$7,0)+IF(AND(Source_Data!T$6&gt;=Inputs!$B$14+3,Source_Data!T$6&lt;Inputs!$B$14+3+3*Inputs!$B$17,MOD(Source_Data!T$6-(Inputs!$B$14+3),3)=0),$A$44*Inputs!$B$7*Inputs!$B$35*(1-Inputs!$B$16)/Inputs!$B$17,0)</f>
        <v>58.6693548387097</v>
      </c>
      <c r="U53" s="33" t="n">
        <f aca="false">IF(Source_Data!U$6=Inputs!$B$13,-Inputs!$B$7,0)+IF(AND(Source_Data!U$6&gt;=Inputs!$B$14+3,Source_Data!U$6&lt;Inputs!$B$14+3+3*Inputs!$B$17,MOD(Source_Data!U$6-(Inputs!$B$14+3),3)=0),$A$44*Inputs!$B$7*Inputs!$B$35*(1-Inputs!$B$16)/Inputs!$B$17,0)</f>
        <v>58.6693548387097</v>
      </c>
      <c r="V53" s="33" t="n">
        <f aca="false">IF(Source_Data!V$6=Inputs!$B$13,-Inputs!$B$7,0)+IF(AND(Source_Data!V$6&gt;=Inputs!$B$14+3,Source_Data!V$6&lt;Inputs!$B$14+3+3*Inputs!$B$17,MOD(Source_Data!V$6-(Inputs!$B$14+3),3)=0),$A$44*Inputs!$B$7*Inputs!$B$35*(1-Inputs!$B$16)/Inputs!$B$17,0)</f>
        <v>58.6693548387097</v>
      </c>
      <c r="W53" s="33" t="n">
        <f aca="false">IF(Source_Data!W$6=Inputs!$B$13,-Inputs!$B$7,0)+IF(AND(Source_Data!W$6&gt;=Inputs!$B$14+3,Source_Data!W$6&lt;Inputs!$B$14+3+3*Inputs!$B$17,MOD(Source_Data!W$6-(Inputs!$B$14+3),3)=0),$A$44*Inputs!$B$7*Inputs!$B$35*(1-Inputs!$B$16)/Inputs!$B$17,0)</f>
        <v>58.6693548387097</v>
      </c>
      <c r="X53" s="33" t="n">
        <f aca="false">IF(Source_Data!X$6=Inputs!$B$13,-Inputs!$B$7,0)+IF(AND(Source_Data!X$6&gt;=Inputs!$B$14+3,Source_Data!X$6&lt;Inputs!$B$14+3+3*Inputs!$B$17,MOD(Source_Data!X$6-(Inputs!$B$14+3),3)=0),$A$44*Inputs!$B$7*Inputs!$B$35*(1-Inputs!$B$16)/Inputs!$B$17,0)</f>
        <v>0</v>
      </c>
      <c r="Y53" s="33" t="n">
        <f aca="false">IF(Source_Data!Y$6=Inputs!$B$13,-Inputs!$B$7,0)+IF(AND(Source_Data!Y$6&gt;=Inputs!$B$14+3,Source_Data!Y$6&lt;Inputs!$B$14+3+3*Inputs!$B$17,MOD(Source_Data!Y$6-(Inputs!$B$14+3),3)=0),$A$44*Inputs!$B$7*Inputs!$B$35*(1-Inputs!$B$16)/Inputs!$B$17,0)</f>
        <v>0</v>
      </c>
      <c r="Z53" s="33" t="n">
        <f aca="false">IF(Source_Data!Z$6=Inputs!$B$13,-Inputs!$B$7,0)+IF(AND(Source_Data!Z$6&gt;=Inputs!$B$14+3,Source_Data!Z$6&lt;Inputs!$B$14+3+3*Inputs!$B$17,MOD(Source_Data!Z$6-(Inputs!$B$14+3),3)=0),$A$44*Inputs!$B$7*Inputs!$B$35*(1-Inputs!$B$16)/Inputs!$B$17,0)</f>
        <v>0</v>
      </c>
      <c r="AA53" s="33" t="n">
        <f aca="false">IF(Source_Data!AA$6=Inputs!$B$13,-Inputs!$B$7,0)+IF(AND(Source_Data!AA$6&gt;=Inputs!$B$14+3,Source_Data!AA$6&lt;Inputs!$B$14+3+3*Inputs!$B$17,MOD(Source_Data!AA$6-(Inputs!$B$14+3),3)=0),$A$44*Inputs!$B$7*Inputs!$B$35*(1-Inputs!$B$16)/Inputs!$B$17,0)</f>
        <v>0</v>
      </c>
      <c r="AB53" s="33" t="n">
        <f aca="false">IF(Source_Data!AB$6=Inputs!$B$13,-Inputs!$B$7,0)+IF(AND(Source_Data!AB$6&gt;=Inputs!$B$14+3,Source_Data!AB$6&lt;Inputs!$B$14+3+3*Inputs!$B$17,MOD(Source_Data!AB$6-(Inputs!$B$14+3),3)=0),$A$44*Inputs!$B$7*Inputs!$B$35*(1-Inputs!$B$16)/Inputs!$B$17,0)</f>
        <v>0</v>
      </c>
      <c r="AC53" s="33" t="n">
        <f aca="false">IF(Source_Data!AC$6=Inputs!$B$13,-Inputs!$B$7,0)+IF(AND(Source_Data!AC$6&gt;=Inputs!$B$14+3,Source_Data!AC$6&lt;Inputs!$B$14+3+3*Inputs!$B$17,MOD(Source_Data!AC$6-(Inputs!$B$14+3),3)=0),$A$44*Inputs!$B$7*Inputs!$B$35*(1-Inputs!$B$16)/Inputs!$B$17,0)</f>
        <v>0</v>
      </c>
      <c r="AD53" s="33" t="n">
        <f aca="false">IF(Source_Data!AD$6=Inputs!$B$13,-Inputs!$B$7,0)+IF(AND(Source_Data!AD$6&gt;=Inputs!$B$14+3,Source_Data!AD$6&lt;Inputs!$B$14+3+3*Inputs!$B$17,MOD(Source_Data!AD$6-(Inputs!$B$14+3),3)=0),$A$44*Inputs!$B$7*Inputs!$B$35*(1-Inputs!$B$16)/Inputs!$B$17,0)</f>
        <v>0</v>
      </c>
      <c r="AE53" s="33" t="n">
        <f aca="false">IF(Source_Data!AE$6=Inputs!$B$13,-Inputs!$B$7,0)+IF(AND(Source_Data!AE$6&gt;=Inputs!$B$14+3,Source_Data!AE$6&lt;Inputs!$B$14+3+3*Inputs!$B$17,MOD(Source_Data!AE$6-(Inputs!$B$14+3),3)=0),$A$44*Inputs!$B$7*Inputs!$B$35*(1-Inputs!$B$16)/Inputs!$B$17,0)</f>
        <v>0</v>
      </c>
      <c r="AF53" s="33" t="n">
        <f aca="false">IF(Source_Data!AF$6=Inputs!$B$13,-Inputs!$B$7,0)+IF(AND(Source_Data!AF$6&gt;=Inputs!$B$14+3,Source_Data!AF$6&lt;Inputs!$B$14+3+3*Inputs!$B$17,MOD(Source_Data!AF$6-(Inputs!$B$14+3),3)=0),$A$44*Inputs!$B$7*Inputs!$B$35*(1-Inputs!$B$16)/Inputs!$B$17,0)</f>
        <v>0</v>
      </c>
      <c r="AG53" s="33" t="n">
        <f aca="false">IF(Source_Data!AG$6=Inputs!$B$13,-Inputs!$B$7,0)+IF(AND(Source_Data!AG$6&gt;=Inputs!$B$14+3,Source_Data!AG$6&lt;Inputs!$B$14+3+3*Inputs!$B$17,MOD(Source_Data!AG$6-(Inputs!$B$14+3),3)=0),$A$44*Inputs!$B$7*Inputs!$B$35*(1-Inputs!$B$16)/Inputs!$B$17,0)</f>
        <v>0</v>
      </c>
      <c r="AH53" s="33" t="n">
        <f aca="false">IF(Source_Data!AH$6=Inputs!$B$13,-Inputs!$B$7,0)+IF(AND(Source_Data!AH$6&gt;=Inputs!$B$14+3,Source_Data!AH$6&lt;Inputs!$B$14+3+3*Inputs!$B$17,MOD(Source_Data!AH$6-(Inputs!$B$14+3),3)=0),$A$44*Inputs!$B$7*Inputs!$B$35*(1-Inputs!$B$16)/Inputs!$B$17,0)</f>
        <v>0</v>
      </c>
      <c r="AI53" s="33" t="n">
        <f aca="false">IF(Source_Data!AI$6=Inputs!$B$13,-Inputs!$B$7,0)+IF(AND(Source_Data!AI$6&gt;=Inputs!$B$14+3,Source_Data!AI$6&lt;Inputs!$B$14+3+3*Inputs!$B$17,MOD(Source_Data!AI$6-(Inputs!$B$14+3),3)=0),$A$44*Inputs!$B$7*Inputs!$B$35*(1-Inputs!$B$16)/Inputs!$B$17,0)</f>
        <v>0</v>
      </c>
      <c r="AJ53" s="33" t="n">
        <f aca="false">IF(Source_Data!AJ$6=Inputs!$B$13,-Inputs!$B$7,0)+IF(AND(Source_Data!AJ$6&gt;=Inputs!$B$14+3,Source_Data!AJ$6&lt;Inputs!$B$14+3+3*Inputs!$B$17,MOD(Source_Data!AJ$6-(Inputs!$B$14+3),3)=0),$A$44*Inputs!$B$7*Inputs!$B$35*(1-Inputs!$B$16)/Inputs!$B$17,0)</f>
        <v>0</v>
      </c>
      <c r="AK53" s="33" t="n">
        <f aca="false">IF(Source_Data!AK$6=Inputs!$B$13,-Inputs!$B$7,0)+IF(AND(Source_Data!AK$6&gt;=Inputs!$B$14+3,Source_Data!AK$6&lt;Inputs!$B$14+3+3*Inputs!$B$17,MOD(Source_Data!AK$6-(Inputs!$B$14+3),3)=0),$A$44*Inputs!$B$7*Inputs!$B$35*(1-Inputs!$B$16)/Inputs!$B$17,0)</f>
        <v>0</v>
      </c>
      <c r="AL53" s="33" t="n">
        <f aca="false">IF(Source_Data!AL$6=Inputs!$B$13,-Inputs!$B$7,0)+IF(AND(Source_Data!AL$6&gt;=Inputs!$B$14+3,Source_Data!AL$6&lt;Inputs!$B$14+3+3*Inputs!$B$17,MOD(Source_Data!AL$6-(Inputs!$B$14+3),3)=0),$A$44*Inputs!$B$7*Inputs!$B$35*(1-Inputs!$B$16)/Inputs!$B$17,0)</f>
        <v>0</v>
      </c>
      <c r="AM53" s="33" t="n">
        <f aca="false">IF(Source_Data!AM$6=Inputs!$B$13,-Inputs!$B$7,0)+IF(AND(Source_Data!AM$6&gt;=Inputs!$B$14+3,Source_Data!AM$6&lt;Inputs!$B$14+3+3*Inputs!$B$17,MOD(Source_Data!AM$6-(Inputs!$B$14+3),3)=0),$A$44*Inputs!$B$7*Inputs!$B$35*(1-Inputs!$B$16)/Inputs!$B$17,0)</f>
        <v>0</v>
      </c>
      <c r="AN53" s="33" t="n">
        <f aca="false">IF(Source_Data!AN$6=Inputs!$B$13,-Inputs!$B$7,0)+IF(AND(Source_Data!AN$6&gt;=Inputs!$B$14+3,Source_Data!AN$6&lt;Inputs!$B$14+3+3*Inputs!$B$17,MOD(Source_Data!AN$6-(Inputs!$B$14+3),3)=0),$A$44*Inputs!$B$7*Inputs!$B$35*(1-Inputs!$B$16)/Inputs!$B$17,0)</f>
        <v>0</v>
      </c>
      <c r="AO53" s="33" t="n">
        <f aca="false">IF(Source_Data!AO$6=Inputs!$B$13,-Inputs!$B$7,0)+IF(AND(Source_Data!AO$6&gt;=Inputs!$B$14+3,Source_Data!AO$6&lt;Inputs!$B$14+3+3*Inputs!$B$17,MOD(Source_Data!AO$6-(Inputs!$B$14+3),3)=0),$A$44*Inputs!$B$7*Inputs!$B$35*(1-Inputs!$B$16)/Inputs!$B$17,0)</f>
        <v>0</v>
      </c>
      <c r="AP53" s="33" t="n">
        <f aca="false">IF(Source_Data!AP$6=Inputs!$B$13,-Inputs!$B$7,0)+IF(AND(Source_Data!AP$6&gt;=Inputs!$B$14+3,Source_Data!AP$6&lt;Inputs!$B$14+3+3*Inputs!$B$17,MOD(Source_Data!AP$6-(Inputs!$B$14+3),3)=0),$A$44*Inputs!$B$7*Inputs!$B$35*(1-Inputs!$B$16)/Inputs!$B$17,0)</f>
        <v>0</v>
      </c>
      <c r="AQ53" s="33" t="n">
        <f aca="false">IF(Source_Data!AQ$6=Inputs!$B$13,-Inputs!$B$7,0)+IF(AND(Source_Data!AQ$6&gt;=Inputs!$B$14+3,Source_Data!AQ$6&lt;Inputs!$B$14+3+3*Inputs!$B$17,MOD(Source_Data!AQ$6-(Inputs!$B$14+3),3)=0),$A$44*Inputs!$B$7*Inputs!$B$35*(1-Inputs!$B$16)/Inputs!$B$17,0)</f>
        <v>0</v>
      </c>
      <c r="AR53" s="33" t="n">
        <f aca="false">IF(Source_Data!AR$6=Inputs!$B$13,-Inputs!$B$7,0)+IF(AND(Source_Data!AR$6&gt;=Inputs!$B$14+3,Source_Data!AR$6&lt;Inputs!$B$14+3+3*Inputs!$B$17,MOD(Source_Data!AR$6-(Inputs!$B$14+3),3)=0),$A$44*Inputs!$B$7*Inputs!$B$35*(1-Inputs!$B$16)/Inputs!$B$17,0)</f>
        <v>0</v>
      </c>
      <c r="AS53" s="33" t="n">
        <f aca="false">IF(Source_Data!AS$6=Inputs!$B$13,-Inputs!$B$7,0)+IF(AND(Source_Data!AS$6&gt;=Inputs!$B$14+3,Source_Data!AS$6&lt;Inputs!$B$14+3+3*Inputs!$B$17,MOD(Source_Data!AS$6-(Inputs!$B$14+3),3)=0),$A$44*Inputs!$B$7*Inputs!$B$35*(1-Inputs!$B$16)/Inputs!$B$17,0)</f>
        <v>0</v>
      </c>
      <c r="AT53" s="33" t="n">
        <f aca="false">IF(Source_Data!AT$6=Inputs!$B$13,-Inputs!$B$7,0)+IF(AND(Source_Data!AT$6&gt;=Inputs!$B$14+3,Source_Data!AT$6&lt;Inputs!$B$14+3+3*Inputs!$B$17,MOD(Source_Data!AT$6-(Inputs!$B$14+3),3)=0),$A$44*Inputs!$B$7*Inputs!$B$35*(1-Inputs!$B$16)/Inputs!$B$17,0)</f>
        <v>0</v>
      </c>
      <c r="AU53" s="33" t="n">
        <f aca="false">IF(Source_Data!AU$6=Inputs!$B$13,-Inputs!$B$7,0)+IF(AND(Source_Data!AU$6&gt;=Inputs!$B$14+3,Source_Data!AU$6&lt;Inputs!$B$14+3+3*Inputs!$B$17,MOD(Source_Data!AU$6-(Inputs!$B$14+3),3)=0),$A$44*Inputs!$B$7*Inputs!$B$35*(1-Inputs!$B$16)/Inputs!$B$17,0)</f>
        <v>0</v>
      </c>
      <c r="AV53" s="33" t="n">
        <f aca="false">IF(Source_Data!AV$6=Inputs!$B$13,-Inputs!$B$7,0)+IF(AND(Source_Data!AV$6&gt;=Inputs!$B$14+3,Source_Data!AV$6&lt;Inputs!$B$14+3+3*Inputs!$B$17,MOD(Source_Data!AV$6-(Inputs!$B$14+3),3)=0),$A$44*Inputs!$B$7*Inputs!$B$35*(1-Inputs!$B$16)/Inputs!$B$17,0)</f>
        <v>0</v>
      </c>
      <c r="AW53" s="33" t="n">
        <f aca="false">IF(Source_Data!AW$6=Inputs!$B$13,-Inputs!$B$7,0)+IF(AND(Source_Data!AW$6&gt;=Inputs!$B$14+3,Source_Data!AW$6&lt;Inputs!$B$14+3+3*Inputs!$B$17,MOD(Source_Data!AW$6-(Inputs!$B$14+3),3)=0),$A$44*Inputs!$B$7*Inputs!$B$35*(1-Inputs!$B$16)/Inputs!$B$17,0)</f>
        <v>0</v>
      </c>
      <c r="AX53" s="33" t="n">
        <f aca="false">IF(Source_Data!AX$6=Inputs!$B$13,-Inputs!$B$7,0)+IF(AND(Source_Data!AX$6&gt;=Inputs!$B$14+3,Source_Data!AX$6&lt;Inputs!$B$14+3+3*Inputs!$B$17,MOD(Source_Data!AX$6-(Inputs!$B$14+3),3)=0),$A$44*Inputs!$B$7*Inputs!$B$35*(1-Inputs!$B$16)/Inputs!$B$17,0)</f>
        <v>0</v>
      </c>
      <c r="AY53" s="33" t="n">
        <f aca="false">IF(Source_Data!AY$6=Inputs!$B$13,-Inputs!$B$7,0)+IF(AND(Source_Data!AY$6&gt;=Inputs!$B$14+3,Source_Data!AY$6&lt;Inputs!$B$14+3+3*Inputs!$B$17,MOD(Source_Data!AY$6-(Inputs!$B$14+3),3)=0),$A$44*Inputs!$B$7*Inputs!$B$35*(1-Inputs!$B$16)/Inputs!$B$17,0)</f>
        <v>0</v>
      </c>
      <c r="AZ53" s="33" t="n">
        <f aca="false">IF(Source_Data!AZ$6=Inputs!$B$13,-Inputs!$B$7,0)+IF(AND(Source_Data!AZ$6&gt;=Inputs!$B$14+3,Source_Data!AZ$6&lt;Inputs!$B$14+3+3*Inputs!$B$17,MOD(Source_Data!AZ$6-(Inputs!$B$14+3),3)=0),$A$44*Inputs!$B$7*Inputs!$B$35*(1-Inputs!$B$16)/Inputs!$B$17,0)</f>
        <v>0</v>
      </c>
      <c r="BA53" s="33" t="n">
        <f aca="false">IF(Source_Data!BA$6=Inputs!$B$13,-Inputs!$B$7,0)+IF(AND(Source_Data!BA$6&gt;=Inputs!$B$14+3,Source_Data!BA$6&lt;Inputs!$B$14+3+3*Inputs!$B$17,MOD(Source_Data!BA$6-(Inputs!$B$14+3),3)=0),$A$44*Inputs!$B$7*Inputs!$B$35*(1-Inputs!$B$16)/Inputs!$B$17,0)</f>
        <v>0</v>
      </c>
      <c r="BB53" s="33" t="n">
        <f aca="false">IF(Source_Data!BB$6=Inputs!$B$13,-Inputs!$B$7,0)+IF(AND(Source_Data!BB$6&gt;=Inputs!$B$14+3,Source_Data!BB$6&lt;Inputs!$B$14+3+3*Inputs!$B$17,MOD(Source_Data!BB$6-(Inputs!$B$14+3),3)=0),$A$44*Inputs!$B$7*Inputs!$B$35*(1-Inputs!$B$16)/Inputs!$B$17,0)</f>
        <v>0</v>
      </c>
      <c r="BC53" s="33" t="n">
        <f aca="false">IF(Source_Data!BC$6=Inputs!$B$13,-Inputs!$B$7,0)+IF(AND(Source_Data!BC$6&gt;=Inputs!$B$14+3,Source_Data!BC$6&lt;Inputs!$B$14+3+3*Inputs!$B$17,MOD(Source_Data!BC$6-(Inputs!$B$14+3),3)=0),$A$44*Inputs!$B$7*Inputs!$B$35*(1-Inputs!$B$16)/Inputs!$B$17,0)</f>
        <v>0</v>
      </c>
      <c r="BD53" s="33" t="n">
        <f aca="false">IF(Source_Data!BD$6=Inputs!$B$13,-Inputs!$B$7,0)+IF(AND(Source_Data!BD$6&gt;=Inputs!$B$14+3,Source_Data!BD$6&lt;Inputs!$B$14+3+3*Inputs!$B$17,MOD(Source_Data!BD$6-(Inputs!$B$14+3),3)=0),$A$44*Inputs!$B$7*Inputs!$B$35*(1-Inputs!$B$16)/Inputs!$B$17,0)</f>
        <v>0</v>
      </c>
      <c r="BE53" s="33" t="n">
        <f aca="false">IF(Source_Data!BE$6=Inputs!$B$13,-Inputs!$B$7,0)+IF(AND(Source_Data!BE$6&gt;=Inputs!$B$14+3,Source_Data!BE$6&lt;Inputs!$B$14+3+3*Inputs!$B$17,MOD(Source_Data!BE$6-(Inputs!$B$14+3),3)=0),$A$44*Inputs!$B$7*Inputs!$B$35*(1-Inputs!$B$16)/Inputs!$B$17,0)</f>
        <v>0</v>
      </c>
      <c r="BF53" s="33" t="n">
        <f aca="false">IF(Source_Data!BF$6=Inputs!$B$13,-Inputs!$B$7,0)+IF(AND(Source_Data!BF$6&gt;=Inputs!$B$14+3,Source_Data!BF$6&lt;Inputs!$B$14+3+3*Inputs!$B$17,MOD(Source_Data!BF$6-(Inputs!$B$14+3),3)=0),$A$44*Inputs!$B$7*Inputs!$B$35*(1-Inputs!$B$16)/Inputs!$B$17,0)</f>
        <v>0</v>
      </c>
      <c r="BG53" s="33" t="n">
        <f aca="false">IF(Source_Data!BG$6=Inputs!$B$13,-Inputs!$B$7,0)+IF(AND(Source_Data!BG$6&gt;=Inputs!$B$14+3,Source_Data!BG$6&lt;Inputs!$B$14+3+3*Inputs!$B$17,MOD(Source_Data!BG$6-(Inputs!$B$14+3),3)=0),$A$44*Inputs!$B$7*Inputs!$B$35*(1-Inputs!$B$16)/Inputs!$B$17,0)</f>
        <v>0</v>
      </c>
      <c r="BH53" s="33" t="n">
        <f aca="false">IF(Source_Data!BH$6=Inputs!$B$13,-Inputs!$B$7,0)+IF(AND(Source_Data!BH$6&gt;=Inputs!$B$14+3,Source_Data!BH$6&lt;Inputs!$B$14+3+3*Inputs!$B$17,MOD(Source_Data!BH$6-(Inputs!$B$14+3),3)=0),$A$44*Inputs!$B$7*Inputs!$B$35*(1-Inputs!$B$16)/Inputs!$B$17,0)</f>
        <v>0</v>
      </c>
      <c r="BI53" s="33" t="n">
        <f aca="false">IF(Source_Data!BI$6=Inputs!$B$13,-Inputs!$B$7,0)+IF(AND(Source_Data!BI$6&gt;=Inputs!$B$14+3,Source_Data!BI$6&lt;Inputs!$B$14+3+3*Inputs!$B$17,MOD(Source_Data!BI$6-(Inputs!$B$14+3),3)=0),$A$44*Inputs!$B$7*Inputs!$B$35*(1-Inputs!$B$16)/Inputs!$B$17,0)</f>
        <v>0</v>
      </c>
      <c r="BJ53" s="33" t="n">
        <f aca="false">IF(Source_Data!BJ$6=Inputs!$B$13,-Inputs!$B$7,0)+IF(AND(Source_Data!BJ$6&gt;=Inputs!$B$14+3,Source_Data!BJ$6&lt;Inputs!$B$14+3+3*Inputs!$B$17,MOD(Source_Data!BJ$6-(Inputs!$B$14+3),3)=0),$A$44*Inputs!$B$7*Inputs!$B$35*(1-Inputs!$B$16)/Inputs!$B$17,0)</f>
        <v>0</v>
      </c>
      <c r="BK53" s="33" t="n">
        <f aca="false">IF(Source_Data!BK$6=Inputs!$B$13,-Inputs!$B$7,0)+IF(AND(Source_Data!BK$6&gt;=Inputs!$B$14+3,Source_Data!BK$6&lt;Inputs!$B$14+3+3*Inputs!$B$17,MOD(Source_Data!BK$6-(Inputs!$B$14+3),3)=0),$A$44*Inputs!$B$7*Inputs!$B$35*(1-Inputs!$B$16)/Inputs!$B$17,0)</f>
        <v>0</v>
      </c>
    </row>
    <row r="54" customFormat="false" ht="15" hidden="false" customHeight="false" outlineLevel="0" collapsed="false">
      <c r="A54" s="6" t="s">
        <v>286</v>
      </c>
      <c r="D54" s="33" t="n">
        <f aca="false">IF(Source_Data!D$6=Inputs!$B$13,-Inputs!$B$7,0)+IF(AND(Source_Data!D$6&gt;=Inputs!$B$14+3,Source_Data!D$6&lt;Inputs!$B$14+3+3*Inputs!$B$17,MOD(Source_Data!D$6-(Inputs!$B$14+3),3)=0),$A$45*Inputs!$B$7*Inputs!$B$35*(1-Inputs!$B$16)/Inputs!$B$17,0)</f>
        <v>-75</v>
      </c>
      <c r="E54" s="33" t="n">
        <f aca="false">IF(Source_Data!E$6=Inputs!$B$13,-Inputs!$B$7,0)+IF(AND(Source_Data!E$6&gt;=Inputs!$B$14+3,Source_Data!E$6&lt;Inputs!$B$14+3+3*Inputs!$B$17,MOD(Source_Data!E$6-(Inputs!$B$14+3),3)=0),$A$45*Inputs!$B$7*Inputs!$B$35*(1-Inputs!$B$16)/Inputs!$B$17,0)</f>
        <v>0</v>
      </c>
      <c r="F54" s="33" t="n">
        <f aca="false">IF(Source_Data!F$6=Inputs!$B$13,-Inputs!$B$7,0)+IF(AND(Source_Data!F$6&gt;=Inputs!$B$14+3,Source_Data!F$6&lt;Inputs!$B$14+3+3*Inputs!$B$17,MOD(Source_Data!F$6-(Inputs!$B$14+3),3)=0),$A$45*Inputs!$B$7*Inputs!$B$35*(1-Inputs!$B$16)/Inputs!$B$17,0)</f>
        <v>0</v>
      </c>
      <c r="G54" s="33" t="n">
        <f aca="false">IF(Source_Data!G$6=Inputs!$B$13,-Inputs!$B$7,0)+IF(AND(Source_Data!G$6&gt;=Inputs!$B$14+3,Source_Data!G$6&lt;Inputs!$B$14+3+3*Inputs!$B$17,MOD(Source_Data!G$6-(Inputs!$B$14+3),3)=0),$A$45*Inputs!$B$7*Inputs!$B$35*(1-Inputs!$B$16)/Inputs!$B$17,0)</f>
        <v>0</v>
      </c>
      <c r="H54" s="33" t="n">
        <f aca="false">IF(Source_Data!H$6=Inputs!$B$13,-Inputs!$B$7,0)+IF(AND(Source_Data!H$6&gt;=Inputs!$B$14+3,Source_Data!H$6&lt;Inputs!$B$14+3+3*Inputs!$B$17,MOD(Source_Data!H$6-(Inputs!$B$14+3),3)=0),$A$45*Inputs!$B$7*Inputs!$B$35*(1-Inputs!$B$16)/Inputs!$B$17,0)</f>
        <v>0</v>
      </c>
      <c r="I54" s="33" t="n">
        <f aca="false">IF(Source_Data!I$6=Inputs!$B$13,-Inputs!$B$7,0)+IF(AND(Source_Data!I$6&gt;=Inputs!$B$14+3,Source_Data!I$6&lt;Inputs!$B$14+3+3*Inputs!$B$17,MOD(Source_Data!I$6-(Inputs!$B$14+3),3)=0),$A$45*Inputs!$B$7*Inputs!$B$35*(1-Inputs!$B$16)/Inputs!$B$17,0)</f>
        <v>0</v>
      </c>
      <c r="J54" s="33" t="n">
        <f aca="false">IF(Source_Data!J$6=Inputs!$B$13,-Inputs!$B$7,0)+IF(AND(Source_Data!J$6&gt;=Inputs!$B$14+3,Source_Data!J$6&lt;Inputs!$B$14+3+3*Inputs!$B$17,MOD(Source_Data!J$6-(Inputs!$B$14+3),3)=0),$A$45*Inputs!$B$7*Inputs!$B$35*(1-Inputs!$B$16)/Inputs!$B$17,0)</f>
        <v>0</v>
      </c>
      <c r="K54" s="33" t="n">
        <f aca="false">IF(Source_Data!K$6=Inputs!$B$13,-Inputs!$B$7,0)+IF(AND(Source_Data!K$6&gt;=Inputs!$B$14+3,Source_Data!K$6&lt;Inputs!$B$14+3+3*Inputs!$B$17,MOD(Source_Data!K$6-(Inputs!$B$14+3),3)=0),$A$45*Inputs!$B$7*Inputs!$B$35*(1-Inputs!$B$16)/Inputs!$B$17,0)</f>
        <v>0</v>
      </c>
      <c r="L54" s="33" t="n">
        <f aca="false">IF(Source_Data!L$6=Inputs!$B$13,-Inputs!$B$7,0)+IF(AND(Source_Data!L$6&gt;=Inputs!$B$14+3,Source_Data!L$6&lt;Inputs!$B$14+3+3*Inputs!$B$17,MOD(Source_Data!L$6-(Inputs!$B$14+3),3)=0),$A$45*Inputs!$B$7*Inputs!$B$35*(1-Inputs!$B$16)/Inputs!$B$17,0)</f>
        <v>0</v>
      </c>
      <c r="M54" s="33" t="n">
        <f aca="false">IF(Source_Data!M$6=Inputs!$B$13,-Inputs!$B$7,0)+IF(AND(Source_Data!M$6&gt;=Inputs!$B$14+3,Source_Data!M$6&lt;Inputs!$B$14+3+3*Inputs!$B$17,MOD(Source_Data!M$6-(Inputs!$B$14+3),3)=0),$A$45*Inputs!$B$7*Inputs!$B$35*(1-Inputs!$B$16)/Inputs!$B$17,0)</f>
        <v>0</v>
      </c>
      <c r="N54" s="33" t="n">
        <f aca="false">IF(Source_Data!N$6=Inputs!$B$13,-Inputs!$B$7,0)+IF(AND(Source_Data!N$6&gt;=Inputs!$B$14+3,Source_Data!N$6&lt;Inputs!$B$14+3+3*Inputs!$B$17,MOD(Source_Data!N$6-(Inputs!$B$14+3),3)=0),$A$45*Inputs!$B$7*Inputs!$B$35*(1-Inputs!$B$16)/Inputs!$B$17,0)</f>
        <v>0</v>
      </c>
      <c r="O54" s="33" t="n">
        <f aca="false">IF(Source_Data!O$6=Inputs!$B$13,-Inputs!$B$7,0)+IF(AND(Source_Data!O$6&gt;=Inputs!$B$14+3,Source_Data!O$6&lt;Inputs!$B$14+3+3*Inputs!$B$17,MOD(Source_Data!O$6-(Inputs!$B$14+3),3)=0),$A$45*Inputs!$B$7*Inputs!$B$35*(1-Inputs!$B$16)/Inputs!$B$17,0)</f>
        <v>0</v>
      </c>
      <c r="P54" s="33" t="n">
        <f aca="false">IF(Source_Data!P$6=Inputs!$B$13,-Inputs!$B$7,0)+IF(AND(Source_Data!P$6&gt;=Inputs!$B$14+3,Source_Data!P$6&lt;Inputs!$B$14+3+3*Inputs!$B$17,MOD(Source_Data!P$6-(Inputs!$B$14+3),3)=0),$A$45*Inputs!$B$7*Inputs!$B$35*(1-Inputs!$B$16)/Inputs!$B$17,0)</f>
        <v>0</v>
      </c>
      <c r="Q54" s="33" t="n">
        <f aca="false">IF(Source_Data!Q$6=Inputs!$B$13,-Inputs!$B$7,0)+IF(AND(Source_Data!Q$6&gt;=Inputs!$B$14+3,Source_Data!Q$6&lt;Inputs!$B$14+3+3*Inputs!$B$17,MOD(Source_Data!Q$6-(Inputs!$B$14+3),3)=0),$A$45*Inputs!$B$7*Inputs!$B$35*(1-Inputs!$B$16)/Inputs!$B$17,0)</f>
        <v>0</v>
      </c>
      <c r="R54" s="33" t="n">
        <f aca="false">IF(Source_Data!R$6=Inputs!$B$13,-Inputs!$B$7,0)+IF(AND(Source_Data!R$6&gt;=Inputs!$B$14+3,Source_Data!R$6&lt;Inputs!$B$14+3+3*Inputs!$B$17,MOD(Source_Data!R$6-(Inputs!$B$14+3),3)=0),$A$45*Inputs!$B$7*Inputs!$B$35*(1-Inputs!$B$16)/Inputs!$B$17,0)</f>
        <v>0</v>
      </c>
      <c r="S54" s="33" t="n">
        <f aca="false">IF(Source_Data!S$6=Inputs!$B$13,-Inputs!$B$7,0)+IF(AND(Source_Data!S$6&gt;=Inputs!$B$14+3,Source_Data!S$6&lt;Inputs!$B$14+3+3*Inputs!$B$17,MOD(Source_Data!S$6-(Inputs!$B$14+3),3)=0),$A$45*Inputs!$B$7*Inputs!$B$35*(1-Inputs!$B$16)/Inputs!$B$17,0)</f>
        <v>0</v>
      </c>
      <c r="T54" s="33" t="n">
        <f aca="false">IF(Source_Data!T$6=Inputs!$B$13,-Inputs!$B$7,0)+IF(AND(Source_Data!T$6&gt;=Inputs!$B$14+3,Source_Data!T$6&lt;Inputs!$B$14+3+3*Inputs!$B$17,MOD(Source_Data!T$6-(Inputs!$B$14+3),3)=0),$A$45*Inputs!$B$7*Inputs!$B$35*(1-Inputs!$B$16)/Inputs!$B$17,0)</f>
        <v>65.1881720430108</v>
      </c>
      <c r="U54" s="33" t="n">
        <f aca="false">IF(Source_Data!U$6=Inputs!$B$13,-Inputs!$B$7,0)+IF(AND(Source_Data!U$6&gt;=Inputs!$B$14+3,Source_Data!U$6&lt;Inputs!$B$14+3+3*Inputs!$B$17,MOD(Source_Data!U$6-(Inputs!$B$14+3),3)=0),$A$45*Inputs!$B$7*Inputs!$B$35*(1-Inputs!$B$16)/Inputs!$B$17,0)</f>
        <v>65.1881720430108</v>
      </c>
      <c r="V54" s="33" t="n">
        <f aca="false">IF(Source_Data!V$6=Inputs!$B$13,-Inputs!$B$7,0)+IF(AND(Source_Data!V$6&gt;=Inputs!$B$14+3,Source_Data!V$6&lt;Inputs!$B$14+3+3*Inputs!$B$17,MOD(Source_Data!V$6-(Inputs!$B$14+3),3)=0),$A$45*Inputs!$B$7*Inputs!$B$35*(1-Inputs!$B$16)/Inputs!$B$17,0)</f>
        <v>65.1881720430108</v>
      </c>
      <c r="W54" s="33" t="n">
        <f aca="false">IF(Source_Data!W$6=Inputs!$B$13,-Inputs!$B$7,0)+IF(AND(Source_Data!W$6&gt;=Inputs!$B$14+3,Source_Data!W$6&lt;Inputs!$B$14+3+3*Inputs!$B$17,MOD(Source_Data!W$6-(Inputs!$B$14+3),3)=0),$A$45*Inputs!$B$7*Inputs!$B$35*(1-Inputs!$B$16)/Inputs!$B$17,0)</f>
        <v>65.1881720430108</v>
      </c>
      <c r="X54" s="33" t="n">
        <f aca="false">IF(Source_Data!X$6=Inputs!$B$13,-Inputs!$B$7,0)+IF(AND(Source_Data!X$6&gt;=Inputs!$B$14+3,Source_Data!X$6&lt;Inputs!$B$14+3+3*Inputs!$B$17,MOD(Source_Data!X$6-(Inputs!$B$14+3),3)=0),$A$45*Inputs!$B$7*Inputs!$B$35*(1-Inputs!$B$16)/Inputs!$B$17,0)</f>
        <v>0</v>
      </c>
      <c r="Y54" s="33" t="n">
        <f aca="false">IF(Source_Data!Y$6=Inputs!$B$13,-Inputs!$B$7,0)+IF(AND(Source_Data!Y$6&gt;=Inputs!$B$14+3,Source_Data!Y$6&lt;Inputs!$B$14+3+3*Inputs!$B$17,MOD(Source_Data!Y$6-(Inputs!$B$14+3),3)=0),$A$45*Inputs!$B$7*Inputs!$B$35*(1-Inputs!$B$16)/Inputs!$B$17,0)</f>
        <v>0</v>
      </c>
      <c r="Z54" s="33" t="n">
        <f aca="false">IF(Source_Data!Z$6=Inputs!$B$13,-Inputs!$B$7,0)+IF(AND(Source_Data!Z$6&gt;=Inputs!$B$14+3,Source_Data!Z$6&lt;Inputs!$B$14+3+3*Inputs!$B$17,MOD(Source_Data!Z$6-(Inputs!$B$14+3),3)=0),$A$45*Inputs!$B$7*Inputs!$B$35*(1-Inputs!$B$16)/Inputs!$B$17,0)</f>
        <v>0</v>
      </c>
      <c r="AA54" s="33" t="n">
        <f aca="false">IF(Source_Data!AA$6=Inputs!$B$13,-Inputs!$B$7,0)+IF(AND(Source_Data!AA$6&gt;=Inputs!$B$14+3,Source_Data!AA$6&lt;Inputs!$B$14+3+3*Inputs!$B$17,MOD(Source_Data!AA$6-(Inputs!$B$14+3),3)=0),$A$45*Inputs!$B$7*Inputs!$B$35*(1-Inputs!$B$16)/Inputs!$B$17,0)</f>
        <v>0</v>
      </c>
      <c r="AB54" s="33" t="n">
        <f aca="false">IF(Source_Data!AB$6=Inputs!$B$13,-Inputs!$B$7,0)+IF(AND(Source_Data!AB$6&gt;=Inputs!$B$14+3,Source_Data!AB$6&lt;Inputs!$B$14+3+3*Inputs!$B$17,MOD(Source_Data!AB$6-(Inputs!$B$14+3),3)=0),$A$45*Inputs!$B$7*Inputs!$B$35*(1-Inputs!$B$16)/Inputs!$B$17,0)</f>
        <v>0</v>
      </c>
      <c r="AC54" s="33" t="n">
        <f aca="false">IF(Source_Data!AC$6=Inputs!$B$13,-Inputs!$B$7,0)+IF(AND(Source_Data!AC$6&gt;=Inputs!$B$14+3,Source_Data!AC$6&lt;Inputs!$B$14+3+3*Inputs!$B$17,MOD(Source_Data!AC$6-(Inputs!$B$14+3),3)=0),$A$45*Inputs!$B$7*Inputs!$B$35*(1-Inputs!$B$16)/Inputs!$B$17,0)</f>
        <v>0</v>
      </c>
      <c r="AD54" s="33" t="n">
        <f aca="false">IF(Source_Data!AD$6=Inputs!$B$13,-Inputs!$B$7,0)+IF(AND(Source_Data!AD$6&gt;=Inputs!$B$14+3,Source_Data!AD$6&lt;Inputs!$B$14+3+3*Inputs!$B$17,MOD(Source_Data!AD$6-(Inputs!$B$14+3),3)=0),$A$45*Inputs!$B$7*Inputs!$B$35*(1-Inputs!$B$16)/Inputs!$B$17,0)</f>
        <v>0</v>
      </c>
      <c r="AE54" s="33" t="n">
        <f aca="false">IF(Source_Data!AE$6=Inputs!$B$13,-Inputs!$B$7,0)+IF(AND(Source_Data!AE$6&gt;=Inputs!$B$14+3,Source_Data!AE$6&lt;Inputs!$B$14+3+3*Inputs!$B$17,MOD(Source_Data!AE$6-(Inputs!$B$14+3),3)=0),$A$45*Inputs!$B$7*Inputs!$B$35*(1-Inputs!$B$16)/Inputs!$B$17,0)</f>
        <v>0</v>
      </c>
      <c r="AF54" s="33" t="n">
        <f aca="false">IF(Source_Data!AF$6=Inputs!$B$13,-Inputs!$B$7,0)+IF(AND(Source_Data!AF$6&gt;=Inputs!$B$14+3,Source_Data!AF$6&lt;Inputs!$B$14+3+3*Inputs!$B$17,MOD(Source_Data!AF$6-(Inputs!$B$14+3),3)=0),$A$45*Inputs!$B$7*Inputs!$B$35*(1-Inputs!$B$16)/Inputs!$B$17,0)</f>
        <v>0</v>
      </c>
      <c r="AG54" s="33" t="n">
        <f aca="false">IF(Source_Data!AG$6=Inputs!$B$13,-Inputs!$B$7,0)+IF(AND(Source_Data!AG$6&gt;=Inputs!$B$14+3,Source_Data!AG$6&lt;Inputs!$B$14+3+3*Inputs!$B$17,MOD(Source_Data!AG$6-(Inputs!$B$14+3),3)=0),$A$45*Inputs!$B$7*Inputs!$B$35*(1-Inputs!$B$16)/Inputs!$B$17,0)</f>
        <v>0</v>
      </c>
      <c r="AH54" s="33" t="n">
        <f aca="false">IF(Source_Data!AH$6=Inputs!$B$13,-Inputs!$B$7,0)+IF(AND(Source_Data!AH$6&gt;=Inputs!$B$14+3,Source_Data!AH$6&lt;Inputs!$B$14+3+3*Inputs!$B$17,MOD(Source_Data!AH$6-(Inputs!$B$14+3),3)=0),$A$45*Inputs!$B$7*Inputs!$B$35*(1-Inputs!$B$16)/Inputs!$B$17,0)</f>
        <v>0</v>
      </c>
      <c r="AI54" s="33" t="n">
        <f aca="false">IF(Source_Data!AI$6=Inputs!$B$13,-Inputs!$B$7,0)+IF(AND(Source_Data!AI$6&gt;=Inputs!$B$14+3,Source_Data!AI$6&lt;Inputs!$B$14+3+3*Inputs!$B$17,MOD(Source_Data!AI$6-(Inputs!$B$14+3),3)=0),$A$45*Inputs!$B$7*Inputs!$B$35*(1-Inputs!$B$16)/Inputs!$B$17,0)</f>
        <v>0</v>
      </c>
      <c r="AJ54" s="33" t="n">
        <f aca="false">IF(Source_Data!AJ$6=Inputs!$B$13,-Inputs!$B$7,0)+IF(AND(Source_Data!AJ$6&gt;=Inputs!$B$14+3,Source_Data!AJ$6&lt;Inputs!$B$14+3+3*Inputs!$B$17,MOD(Source_Data!AJ$6-(Inputs!$B$14+3),3)=0),$A$45*Inputs!$B$7*Inputs!$B$35*(1-Inputs!$B$16)/Inputs!$B$17,0)</f>
        <v>0</v>
      </c>
      <c r="AK54" s="33" t="n">
        <f aca="false">IF(Source_Data!AK$6=Inputs!$B$13,-Inputs!$B$7,0)+IF(AND(Source_Data!AK$6&gt;=Inputs!$B$14+3,Source_Data!AK$6&lt;Inputs!$B$14+3+3*Inputs!$B$17,MOD(Source_Data!AK$6-(Inputs!$B$14+3),3)=0),$A$45*Inputs!$B$7*Inputs!$B$35*(1-Inputs!$B$16)/Inputs!$B$17,0)</f>
        <v>0</v>
      </c>
      <c r="AL54" s="33" t="n">
        <f aca="false">IF(Source_Data!AL$6=Inputs!$B$13,-Inputs!$B$7,0)+IF(AND(Source_Data!AL$6&gt;=Inputs!$B$14+3,Source_Data!AL$6&lt;Inputs!$B$14+3+3*Inputs!$B$17,MOD(Source_Data!AL$6-(Inputs!$B$14+3),3)=0),$A$45*Inputs!$B$7*Inputs!$B$35*(1-Inputs!$B$16)/Inputs!$B$17,0)</f>
        <v>0</v>
      </c>
      <c r="AM54" s="33" t="n">
        <f aca="false">IF(Source_Data!AM$6=Inputs!$B$13,-Inputs!$B$7,0)+IF(AND(Source_Data!AM$6&gt;=Inputs!$B$14+3,Source_Data!AM$6&lt;Inputs!$B$14+3+3*Inputs!$B$17,MOD(Source_Data!AM$6-(Inputs!$B$14+3),3)=0),$A$45*Inputs!$B$7*Inputs!$B$35*(1-Inputs!$B$16)/Inputs!$B$17,0)</f>
        <v>0</v>
      </c>
      <c r="AN54" s="33" t="n">
        <f aca="false">IF(Source_Data!AN$6=Inputs!$B$13,-Inputs!$B$7,0)+IF(AND(Source_Data!AN$6&gt;=Inputs!$B$14+3,Source_Data!AN$6&lt;Inputs!$B$14+3+3*Inputs!$B$17,MOD(Source_Data!AN$6-(Inputs!$B$14+3),3)=0),$A$45*Inputs!$B$7*Inputs!$B$35*(1-Inputs!$B$16)/Inputs!$B$17,0)</f>
        <v>0</v>
      </c>
      <c r="AO54" s="33" t="n">
        <f aca="false">IF(Source_Data!AO$6=Inputs!$B$13,-Inputs!$B$7,0)+IF(AND(Source_Data!AO$6&gt;=Inputs!$B$14+3,Source_Data!AO$6&lt;Inputs!$B$14+3+3*Inputs!$B$17,MOD(Source_Data!AO$6-(Inputs!$B$14+3),3)=0),$A$45*Inputs!$B$7*Inputs!$B$35*(1-Inputs!$B$16)/Inputs!$B$17,0)</f>
        <v>0</v>
      </c>
      <c r="AP54" s="33" t="n">
        <f aca="false">IF(Source_Data!AP$6=Inputs!$B$13,-Inputs!$B$7,0)+IF(AND(Source_Data!AP$6&gt;=Inputs!$B$14+3,Source_Data!AP$6&lt;Inputs!$B$14+3+3*Inputs!$B$17,MOD(Source_Data!AP$6-(Inputs!$B$14+3),3)=0),$A$45*Inputs!$B$7*Inputs!$B$35*(1-Inputs!$B$16)/Inputs!$B$17,0)</f>
        <v>0</v>
      </c>
      <c r="AQ54" s="33" t="n">
        <f aca="false">IF(Source_Data!AQ$6=Inputs!$B$13,-Inputs!$B$7,0)+IF(AND(Source_Data!AQ$6&gt;=Inputs!$B$14+3,Source_Data!AQ$6&lt;Inputs!$B$14+3+3*Inputs!$B$17,MOD(Source_Data!AQ$6-(Inputs!$B$14+3),3)=0),$A$45*Inputs!$B$7*Inputs!$B$35*(1-Inputs!$B$16)/Inputs!$B$17,0)</f>
        <v>0</v>
      </c>
      <c r="AR54" s="33" t="n">
        <f aca="false">IF(Source_Data!AR$6=Inputs!$B$13,-Inputs!$B$7,0)+IF(AND(Source_Data!AR$6&gt;=Inputs!$B$14+3,Source_Data!AR$6&lt;Inputs!$B$14+3+3*Inputs!$B$17,MOD(Source_Data!AR$6-(Inputs!$B$14+3),3)=0),$A$45*Inputs!$B$7*Inputs!$B$35*(1-Inputs!$B$16)/Inputs!$B$17,0)</f>
        <v>0</v>
      </c>
      <c r="AS54" s="33" t="n">
        <f aca="false">IF(Source_Data!AS$6=Inputs!$B$13,-Inputs!$B$7,0)+IF(AND(Source_Data!AS$6&gt;=Inputs!$B$14+3,Source_Data!AS$6&lt;Inputs!$B$14+3+3*Inputs!$B$17,MOD(Source_Data!AS$6-(Inputs!$B$14+3),3)=0),$A$45*Inputs!$B$7*Inputs!$B$35*(1-Inputs!$B$16)/Inputs!$B$17,0)</f>
        <v>0</v>
      </c>
      <c r="AT54" s="33" t="n">
        <f aca="false">IF(Source_Data!AT$6=Inputs!$B$13,-Inputs!$B$7,0)+IF(AND(Source_Data!AT$6&gt;=Inputs!$B$14+3,Source_Data!AT$6&lt;Inputs!$B$14+3+3*Inputs!$B$17,MOD(Source_Data!AT$6-(Inputs!$B$14+3),3)=0),$A$45*Inputs!$B$7*Inputs!$B$35*(1-Inputs!$B$16)/Inputs!$B$17,0)</f>
        <v>0</v>
      </c>
      <c r="AU54" s="33" t="n">
        <f aca="false">IF(Source_Data!AU$6=Inputs!$B$13,-Inputs!$B$7,0)+IF(AND(Source_Data!AU$6&gt;=Inputs!$B$14+3,Source_Data!AU$6&lt;Inputs!$B$14+3+3*Inputs!$B$17,MOD(Source_Data!AU$6-(Inputs!$B$14+3),3)=0),$A$45*Inputs!$B$7*Inputs!$B$35*(1-Inputs!$B$16)/Inputs!$B$17,0)</f>
        <v>0</v>
      </c>
      <c r="AV54" s="33" t="n">
        <f aca="false">IF(Source_Data!AV$6=Inputs!$B$13,-Inputs!$B$7,0)+IF(AND(Source_Data!AV$6&gt;=Inputs!$B$14+3,Source_Data!AV$6&lt;Inputs!$B$14+3+3*Inputs!$B$17,MOD(Source_Data!AV$6-(Inputs!$B$14+3),3)=0),$A$45*Inputs!$B$7*Inputs!$B$35*(1-Inputs!$B$16)/Inputs!$B$17,0)</f>
        <v>0</v>
      </c>
      <c r="AW54" s="33" t="n">
        <f aca="false">IF(Source_Data!AW$6=Inputs!$B$13,-Inputs!$B$7,0)+IF(AND(Source_Data!AW$6&gt;=Inputs!$B$14+3,Source_Data!AW$6&lt;Inputs!$B$14+3+3*Inputs!$B$17,MOD(Source_Data!AW$6-(Inputs!$B$14+3),3)=0),$A$45*Inputs!$B$7*Inputs!$B$35*(1-Inputs!$B$16)/Inputs!$B$17,0)</f>
        <v>0</v>
      </c>
      <c r="AX54" s="33" t="n">
        <f aca="false">IF(Source_Data!AX$6=Inputs!$B$13,-Inputs!$B$7,0)+IF(AND(Source_Data!AX$6&gt;=Inputs!$B$14+3,Source_Data!AX$6&lt;Inputs!$B$14+3+3*Inputs!$B$17,MOD(Source_Data!AX$6-(Inputs!$B$14+3),3)=0),$A$45*Inputs!$B$7*Inputs!$B$35*(1-Inputs!$B$16)/Inputs!$B$17,0)</f>
        <v>0</v>
      </c>
      <c r="AY54" s="33" t="n">
        <f aca="false">IF(Source_Data!AY$6=Inputs!$B$13,-Inputs!$B$7,0)+IF(AND(Source_Data!AY$6&gt;=Inputs!$B$14+3,Source_Data!AY$6&lt;Inputs!$B$14+3+3*Inputs!$B$17,MOD(Source_Data!AY$6-(Inputs!$B$14+3),3)=0),$A$45*Inputs!$B$7*Inputs!$B$35*(1-Inputs!$B$16)/Inputs!$B$17,0)</f>
        <v>0</v>
      </c>
      <c r="AZ54" s="33" t="n">
        <f aca="false">IF(Source_Data!AZ$6=Inputs!$B$13,-Inputs!$B$7,0)+IF(AND(Source_Data!AZ$6&gt;=Inputs!$B$14+3,Source_Data!AZ$6&lt;Inputs!$B$14+3+3*Inputs!$B$17,MOD(Source_Data!AZ$6-(Inputs!$B$14+3),3)=0),$A$45*Inputs!$B$7*Inputs!$B$35*(1-Inputs!$B$16)/Inputs!$B$17,0)</f>
        <v>0</v>
      </c>
      <c r="BA54" s="33" t="n">
        <f aca="false">IF(Source_Data!BA$6=Inputs!$B$13,-Inputs!$B$7,0)+IF(AND(Source_Data!BA$6&gt;=Inputs!$B$14+3,Source_Data!BA$6&lt;Inputs!$B$14+3+3*Inputs!$B$17,MOD(Source_Data!BA$6-(Inputs!$B$14+3),3)=0),$A$45*Inputs!$B$7*Inputs!$B$35*(1-Inputs!$B$16)/Inputs!$B$17,0)</f>
        <v>0</v>
      </c>
      <c r="BB54" s="33" t="n">
        <f aca="false">IF(Source_Data!BB$6=Inputs!$B$13,-Inputs!$B$7,0)+IF(AND(Source_Data!BB$6&gt;=Inputs!$B$14+3,Source_Data!BB$6&lt;Inputs!$B$14+3+3*Inputs!$B$17,MOD(Source_Data!BB$6-(Inputs!$B$14+3),3)=0),$A$45*Inputs!$B$7*Inputs!$B$35*(1-Inputs!$B$16)/Inputs!$B$17,0)</f>
        <v>0</v>
      </c>
      <c r="BC54" s="33" t="n">
        <f aca="false">IF(Source_Data!BC$6=Inputs!$B$13,-Inputs!$B$7,0)+IF(AND(Source_Data!BC$6&gt;=Inputs!$B$14+3,Source_Data!BC$6&lt;Inputs!$B$14+3+3*Inputs!$B$17,MOD(Source_Data!BC$6-(Inputs!$B$14+3),3)=0),$A$45*Inputs!$B$7*Inputs!$B$35*(1-Inputs!$B$16)/Inputs!$B$17,0)</f>
        <v>0</v>
      </c>
      <c r="BD54" s="33" t="n">
        <f aca="false">IF(Source_Data!BD$6=Inputs!$B$13,-Inputs!$B$7,0)+IF(AND(Source_Data!BD$6&gt;=Inputs!$B$14+3,Source_Data!BD$6&lt;Inputs!$B$14+3+3*Inputs!$B$17,MOD(Source_Data!BD$6-(Inputs!$B$14+3),3)=0),$A$45*Inputs!$B$7*Inputs!$B$35*(1-Inputs!$B$16)/Inputs!$B$17,0)</f>
        <v>0</v>
      </c>
      <c r="BE54" s="33" t="n">
        <f aca="false">IF(Source_Data!BE$6=Inputs!$B$13,-Inputs!$B$7,0)+IF(AND(Source_Data!BE$6&gt;=Inputs!$B$14+3,Source_Data!BE$6&lt;Inputs!$B$14+3+3*Inputs!$B$17,MOD(Source_Data!BE$6-(Inputs!$B$14+3),3)=0),$A$45*Inputs!$B$7*Inputs!$B$35*(1-Inputs!$B$16)/Inputs!$B$17,0)</f>
        <v>0</v>
      </c>
      <c r="BF54" s="33" t="n">
        <f aca="false">IF(Source_Data!BF$6=Inputs!$B$13,-Inputs!$B$7,0)+IF(AND(Source_Data!BF$6&gt;=Inputs!$B$14+3,Source_Data!BF$6&lt;Inputs!$B$14+3+3*Inputs!$B$17,MOD(Source_Data!BF$6-(Inputs!$B$14+3),3)=0),$A$45*Inputs!$B$7*Inputs!$B$35*(1-Inputs!$B$16)/Inputs!$B$17,0)</f>
        <v>0</v>
      </c>
      <c r="BG54" s="33" t="n">
        <f aca="false">IF(Source_Data!BG$6=Inputs!$B$13,-Inputs!$B$7,0)+IF(AND(Source_Data!BG$6&gt;=Inputs!$B$14+3,Source_Data!BG$6&lt;Inputs!$B$14+3+3*Inputs!$B$17,MOD(Source_Data!BG$6-(Inputs!$B$14+3),3)=0),$A$45*Inputs!$B$7*Inputs!$B$35*(1-Inputs!$B$16)/Inputs!$B$17,0)</f>
        <v>0</v>
      </c>
      <c r="BH54" s="33" t="n">
        <f aca="false">IF(Source_Data!BH$6=Inputs!$B$13,-Inputs!$B$7,0)+IF(AND(Source_Data!BH$6&gt;=Inputs!$B$14+3,Source_Data!BH$6&lt;Inputs!$B$14+3+3*Inputs!$B$17,MOD(Source_Data!BH$6-(Inputs!$B$14+3),3)=0),$A$45*Inputs!$B$7*Inputs!$B$35*(1-Inputs!$B$16)/Inputs!$B$17,0)</f>
        <v>0</v>
      </c>
      <c r="BI54" s="33" t="n">
        <f aca="false">IF(Source_Data!BI$6=Inputs!$B$13,-Inputs!$B$7,0)+IF(AND(Source_Data!BI$6&gt;=Inputs!$B$14+3,Source_Data!BI$6&lt;Inputs!$B$14+3+3*Inputs!$B$17,MOD(Source_Data!BI$6-(Inputs!$B$14+3),3)=0),$A$45*Inputs!$B$7*Inputs!$B$35*(1-Inputs!$B$16)/Inputs!$B$17,0)</f>
        <v>0</v>
      </c>
      <c r="BJ54" s="33" t="n">
        <f aca="false">IF(Source_Data!BJ$6=Inputs!$B$13,-Inputs!$B$7,0)+IF(AND(Source_Data!BJ$6&gt;=Inputs!$B$14+3,Source_Data!BJ$6&lt;Inputs!$B$14+3+3*Inputs!$B$17,MOD(Source_Data!BJ$6-(Inputs!$B$14+3),3)=0),$A$45*Inputs!$B$7*Inputs!$B$35*(1-Inputs!$B$16)/Inputs!$B$17,0)</f>
        <v>0</v>
      </c>
      <c r="BK54" s="33" t="n">
        <f aca="false">IF(Source_Data!BK$6=Inputs!$B$13,-Inputs!$B$7,0)+IF(AND(Source_Data!BK$6&gt;=Inputs!$B$14+3,Source_Data!BK$6&lt;Inputs!$B$14+3+3*Inputs!$B$17,MOD(Source_Data!BK$6-(Inputs!$B$14+3),3)=0),$A$45*Inputs!$B$7*Inputs!$B$35*(1-Inputs!$B$16)/Inputs!$B$17,0)</f>
        <v>0</v>
      </c>
    </row>
    <row r="56" customFormat="false" ht="15" hidden="false" customHeight="false" outlineLevel="0" collapsed="false">
      <c r="A56" s="6" t="s">
        <v>287</v>
      </c>
      <c r="D56" s="33" t="n">
        <f aca="false">IF(Source_Data!D$6=Inputs!$B$13,-Inputs!$B$7,0)+IF(Source_Data!D$6=Inputs!$B$13+24,Inputs!$B$8*Inputs!$B$7*(1-$A$48)*(1-Inputs!$B$16),0)</f>
        <v>-75</v>
      </c>
      <c r="E56" s="33" t="n">
        <f aca="false">IF(Source_Data!E$6=Inputs!$B$13,-Inputs!$B$7,0)+IF(Source_Data!E$6=Inputs!$B$13+24,Inputs!$B$8*Inputs!$B$7*(1-$A$48)*(1-Inputs!$B$16),0)</f>
        <v>0</v>
      </c>
      <c r="F56" s="33" t="n">
        <f aca="false">IF(Source_Data!F$6=Inputs!$B$13,-Inputs!$B$7,0)+IF(Source_Data!F$6=Inputs!$B$13+24,Inputs!$B$8*Inputs!$B$7*(1-$A$48)*(1-Inputs!$B$16),0)</f>
        <v>0</v>
      </c>
      <c r="G56" s="33" t="n">
        <f aca="false">IF(Source_Data!G$6=Inputs!$B$13,-Inputs!$B$7,0)+IF(Source_Data!G$6=Inputs!$B$13+24,Inputs!$B$8*Inputs!$B$7*(1-$A$48)*(1-Inputs!$B$16),0)</f>
        <v>0</v>
      </c>
      <c r="H56" s="33" t="n">
        <f aca="false">IF(Source_Data!H$6=Inputs!$B$13,-Inputs!$B$7,0)+IF(Source_Data!H$6=Inputs!$B$13+24,Inputs!$B$8*Inputs!$B$7*(1-$A$48)*(1-Inputs!$B$16),0)</f>
        <v>0</v>
      </c>
      <c r="I56" s="33" t="n">
        <f aca="false">IF(Source_Data!I$6=Inputs!$B$13,-Inputs!$B$7,0)+IF(Source_Data!I$6=Inputs!$B$13+24,Inputs!$B$8*Inputs!$B$7*(1-$A$48)*(1-Inputs!$B$16),0)</f>
        <v>0</v>
      </c>
      <c r="J56" s="33" t="n">
        <f aca="false">IF(Source_Data!J$6=Inputs!$B$13,-Inputs!$B$7,0)+IF(Source_Data!J$6=Inputs!$B$13+24,Inputs!$B$8*Inputs!$B$7*(1-$A$48)*(1-Inputs!$B$16),0)</f>
        <v>0</v>
      </c>
      <c r="K56" s="33" t="n">
        <f aca="false">IF(Source_Data!K$6=Inputs!$B$13,-Inputs!$B$7,0)+IF(Source_Data!K$6=Inputs!$B$13+24,Inputs!$B$8*Inputs!$B$7*(1-$A$48)*(1-Inputs!$B$16),0)</f>
        <v>0</v>
      </c>
      <c r="L56" s="33" t="n">
        <f aca="false">IF(Source_Data!L$6=Inputs!$B$13,-Inputs!$B$7,0)+IF(Source_Data!L$6=Inputs!$B$13+24,Inputs!$B$8*Inputs!$B$7*(1-$A$48)*(1-Inputs!$B$16),0)</f>
        <v>145.5</v>
      </c>
      <c r="M56" s="33" t="n">
        <f aca="false">IF(Source_Data!M$6=Inputs!$B$13,-Inputs!$B$7,0)+IF(Source_Data!M$6=Inputs!$B$13+24,Inputs!$B$8*Inputs!$B$7*(1-$A$48)*(1-Inputs!$B$16),0)</f>
        <v>0</v>
      </c>
      <c r="N56" s="33" t="n">
        <f aca="false">IF(Source_Data!N$6=Inputs!$B$13,-Inputs!$B$7,0)+IF(Source_Data!N$6=Inputs!$B$13+24,Inputs!$B$8*Inputs!$B$7*(1-$A$48)*(1-Inputs!$B$16),0)</f>
        <v>0</v>
      </c>
      <c r="O56" s="33" t="n">
        <f aca="false">IF(Source_Data!O$6=Inputs!$B$13,-Inputs!$B$7,0)+IF(Source_Data!O$6=Inputs!$B$13+24,Inputs!$B$8*Inputs!$B$7*(1-$A$48)*(1-Inputs!$B$16),0)</f>
        <v>0</v>
      </c>
      <c r="P56" s="33" t="n">
        <f aca="false">IF(Source_Data!P$6=Inputs!$B$13,-Inputs!$B$7,0)+IF(Source_Data!P$6=Inputs!$B$13+24,Inputs!$B$8*Inputs!$B$7*(1-$A$48)*(1-Inputs!$B$16),0)</f>
        <v>0</v>
      </c>
      <c r="Q56" s="33" t="n">
        <f aca="false">IF(Source_Data!Q$6=Inputs!$B$13,-Inputs!$B$7,0)+IF(Source_Data!Q$6=Inputs!$B$13+24,Inputs!$B$8*Inputs!$B$7*(1-$A$48)*(1-Inputs!$B$16),0)</f>
        <v>0</v>
      </c>
      <c r="R56" s="33" t="n">
        <f aca="false">IF(Source_Data!R$6=Inputs!$B$13,-Inputs!$B$7,0)+IF(Source_Data!R$6=Inputs!$B$13+24,Inputs!$B$8*Inputs!$B$7*(1-$A$48)*(1-Inputs!$B$16),0)</f>
        <v>0</v>
      </c>
      <c r="S56" s="33" t="n">
        <f aca="false">IF(Source_Data!S$6=Inputs!$B$13,-Inputs!$B$7,0)+IF(Source_Data!S$6=Inputs!$B$13+24,Inputs!$B$8*Inputs!$B$7*(1-$A$48)*(1-Inputs!$B$16),0)</f>
        <v>0</v>
      </c>
      <c r="T56" s="33" t="n">
        <f aca="false">IF(Source_Data!T$6=Inputs!$B$13,-Inputs!$B$7,0)+IF(Source_Data!T$6=Inputs!$B$13+24,Inputs!$B$8*Inputs!$B$7*(1-$A$48)*(1-Inputs!$B$16),0)</f>
        <v>0</v>
      </c>
      <c r="U56" s="33" t="n">
        <f aca="false">IF(Source_Data!U$6=Inputs!$B$13,-Inputs!$B$7,0)+IF(Source_Data!U$6=Inputs!$B$13+24,Inputs!$B$8*Inputs!$B$7*(1-$A$48)*(1-Inputs!$B$16),0)</f>
        <v>0</v>
      </c>
      <c r="V56" s="33" t="n">
        <f aca="false">IF(Source_Data!V$6=Inputs!$B$13,-Inputs!$B$7,0)+IF(Source_Data!V$6=Inputs!$B$13+24,Inputs!$B$8*Inputs!$B$7*(1-$A$48)*(1-Inputs!$B$16),0)</f>
        <v>0</v>
      </c>
      <c r="W56" s="33" t="n">
        <f aca="false">IF(Source_Data!W$6=Inputs!$B$13,-Inputs!$B$7,0)+IF(Source_Data!W$6=Inputs!$B$13+24,Inputs!$B$8*Inputs!$B$7*(1-$A$48)*(1-Inputs!$B$16),0)</f>
        <v>0</v>
      </c>
      <c r="X56" s="33" t="n">
        <f aca="false">IF(Source_Data!X$6=Inputs!$B$13,-Inputs!$B$7,0)+IF(Source_Data!X$6=Inputs!$B$13+24,Inputs!$B$8*Inputs!$B$7*(1-$A$48)*(1-Inputs!$B$16),0)</f>
        <v>0</v>
      </c>
      <c r="Y56" s="33" t="n">
        <f aca="false">IF(Source_Data!Y$6=Inputs!$B$13,-Inputs!$B$7,0)+IF(Source_Data!Y$6=Inputs!$B$13+24,Inputs!$B$8*Inputs!$B$7*(1-$A$48)*(1-Inputs!$B$16),0)</f>
        <v>0</v>
      </c>
      <c r="Z56" s="33" t="n">
        <f aca="false">IF(Source_Data!Z$6=Inputs!$B$13,-Inputs!$B$7,0)+IF(Source_Data!Z$6=Inputs!$B$13+24,Inputs!$B$8*Inputs!$B$7*(1-$A$48)*(1-Inputs!$B$16),0)</f>
        <v>0</v>
      </c>
      <c r="AA56" s="33" t="n">
        <f aca="false">IF(Source_Data!AA$6=Inputs!$B$13,-Inputs!$B$7,0)+IF(Source_Data!AA$6=Inputs!$B$13+24,Inputs!$B$8*Inputs!$B$7*(1-$A$48)*(1-Inputs!$B$16),0)</f>
        <v>0</v>
      </c>
      <c r="AB56" s="33" t="n">
        <f aca="false">IF(Source_Data!AB$6=Inputs!$B$13,-Inputs!$B$7,0)+IF(Source_Data!AB$6=Inputs!$B$13+24,Inputs!$B$8*Inputs!$B$7*(1-$A$48)*(1-Inputs!$B$16),0)</f>
        <v>0</v>
      </c>
      <c r="AC56" s="33" t="n">
        <f aca="false">IF(Source_Data!AC$6=Inputs!$B$13,-Inputs!$B$7,0)+IF(Source_Data!AC$6=Inputs!$B$13+24,Inputs!$B$8*Inputs!$B$7*(1-$A$48)*(1-Inputs!$B$16),0)</f>
        <v>0</v>
      </c>
      <c r="AD56" s="33" t="n">
        <f aca="false">IF(Source_Data!AD$6=Inputs!$B$13,-Inputs!$B$7,0)+IF(Source_Data!AD$6=Inputs!$B$13+24,Inputs!$B$8*Inputs!$B$7*(1-$A$48)*(1-Inputs!$B$16),0)</f>
        <v>0</v>
      </c>
      <c r="AE56" s="33" t="n">
        <f aca="false">IF(Source_Data!AE$6=Inputs!$B$13,-Inputs!$B$7,0)+IF(Source_Data!AE$6=Inputs!$B$13+24,Inputs!$B$8*Inputs!$B$7*(1-$A$48)*(1-Inputs!$B$16),0)</f>
        <v>0</v>
      </c>
      <c r="AF56" s="33" t="n">
        <f aca="false">IF(Source_Data!AF$6=Inputs!$B$13,-Inputs!$B$7,0)+IF(Source_Data!AF$6=Inputs!$B$13+24,Inputs!$B$8*Inputs!$B$7*(1-$A$48)*(1-Inputs!$B$16),0)</f>
        <v>0</v>
      </c>
      <c r="AG56" s="33" t="n">
        <f aca="false">IF(Source_Data!AG$6=Inputs!$B$13,-Inputs!$B$7,0)+IF(Source_Data!AG$6=Inputs!$B$13+24,Inputs!$B$8*Inputs!$B$7*(1-$A$48)*(1-Inputs!$B$16),0)</f>
        <v>0</v>
      </c>
      <c r="AH56" s="33" t="n">
        <f aca="false">IF(Source_Data!AH$6=Inputs!$B$13,-Inputs!$B$7,0)+IF(Source_Data!AH$6=Inputs!$B$13+24,Inputs!$B$8*Inputs!$B$7*(1-$A$48)*(1-Inputs!$B$16),0)</f>
        <v>0</v>
      </c>
      <c r="AI56" s="33" t="n">
        <f aca="false">IF(Source_Data!AI$6=Inputs!$B$13,-Inputs!$B$7,0)+IF(Source_Data!AI$6=Inputs!$B$13+24,Inputs!$B$8*Inputs!$B$7*(1-$A$48)*(1-Inputs!$B$16),0)</f>
        <v>0</v>
      </c>
      <c r="AJ56" s="33" t="n">
        <f aca="false">IF(Source_Data!AJ$6=Inputs!$B$13,-Inputs!$B$7,0)+IF(Source_Data!AJ$6=Inputs!$B$13+24,Inputs!$B$8*Inputs!$B$7*(1-$A$48)*(1-Inputs!$B$16),0)</f>
        <v>0</v>
      </c>
      <c r="AK56" s="33" t="n">
        <f aca="false">IF(Source_Data!AK$6=Inputs!$B$13,-Inputs!$B$7,0)+IF(Source_Data!AK$6=Inputs!$B$13+24,Inputs!$B$8*Inputs!$B$7*(1-$A$48)*(1-Inputs!$B$16),0)</f>
        <v>0</v>
      </c>
      <c r="AL56" s="33" t="n">
        <f aca="false">IF(Source_Data!AL$6=Inputs!$B$13,-Inputs!$B$7,0)+IF(Source_Data!AL$6=Inputs!$B$13+24,Inputs!$B$8*Inputs!$B$7*(1-$A$48)*(1-Inputs!$B$16),0)</f>
        <v>0</v>
      </c>
      <c r="AM56" s="33" t="n">
        <f aca="false">IF(Source_Data!AM$6=Inputs!$B$13,-Inputs!$B$7,0)+IF(Source_Data!AM$6=Inputs!$B$13+24,Inputs!$B$8*Inputs!$B$7*(1-$A$48)*(1-Inputs!$B$16),0)</f>
        <v>0</v>
      </c>
      <c r="AN56" s="33" t="n">
        <f aca="false">IF(Source_Data!AN$6=Inputs!$B$13,-Inputs!$B$7,0)+IF(Source_Data!AN$6=Inputs!$B$13+24,Inputs!$B$8*Inputs!$B$7*(1-$A$48)*(1-Inputs!$B$16),0)</f>
        <v>0</v>
      </c>
      <c r="AO56" s="33" t="n">
        <f aca="false">IF(Source_Data!AO$6=Inputs!$B$13,-Inputs!$B$7,0)+IF(Source_Data!AO$6=Inputs!$B$13+24,Inputs!$B$8*Inputs!$B$7*(1-$A$48)*(1-Inputs!$B$16),0)</f>
        <v>0</v>
      </c>
      <c r="AP56" s="33" t="n">
        <f aca="false">IF(Source_Data!AP$6=Inputs!$B$13,-Inputs!$B$7,0)+IF(Source_Data!AP$6=Inputs!$B$13+24,Inputs!$B$8*Inputs!$B$7*(1-$A$48)*(1-Inputs!$B$16),0)</f>
        <v>0</v>
      </c>
      <c r="AQ56" s="33" t="n">
        <f aca="false">IF(Source_Data!AQ$6=Inputs!$B$13,-Inputs!$B$7,0)+IF(Source_Data!AQ$6=Inputs!$B$13+24,Inputs!$B$8*Inputs!$B$7*(1-$A$48)*(1-Inputs!$B$16),0)</f>
        <v>0</v>
      </c>
      <c r="AR56" s="33" t="n">
        <f aca="false">IF(Source_Data!AR$6=Inputs!$B$13,-Inputs!$B$7,0)+IF(Source_Data!AR$6=Inputs!$B$13+24,Inputs!$B$8*Inputs!$B$7*(1-$A$48)*(1-Inputs!$B$16),0)</f>
        <v>0</v>
      </c>
      <c r="AS56" s="33" t="n">
        <f aca="false">IF(Source_Data!AS$6=Inputs!$B$13,-Inputs!$B$7,0)+IF(Source_Data!AS$6=Inputs!$B$13+24,Inputs!$B$8*Inputs!$B$7*(1-$A$48)*(1-Inputs!$B$16),0)</f>
        <v>0</v>
      </c>
      <c r="AT56" s="33" t="n">
        <f aca="false">IF(Source_Data!AT$6=Inputs!$B$13,-Inputs!$B$7,0)+IF(Source_Data!AT$6=Inputs!$B$13+24,Inputs!$B$8*Inputs!$B$7*(1-$A$48)*(1-Inputs!$B$16),0)</f>
        <v>0</v>
      </c>
      <c r="AU56" s="33" t="n">
        <f aca="false">IF(Source_Data!AU$6=Inputs!$B$13,-Inputs!$B$7,0)+IF(Source_Data!AU$6=Inputs!$B$13+24,Inputs!$B$8*Inputs!$B$7*(1-$A$48)*(1-Inputs!$B$16),0)</f>
        <v>0</v>
      </c>
      <c r="AV56" s="33" t="n">
        <f aca="false">IF(Source_Data!AV$6=Inputs!$B$13,-Inputs!$B$7,0)+IF(Source_Data!AV$6=Inputs!$B$13+24,Inputs!$B$8*Inputs!$B$7*(1-$A$48)*(1-Inputs!$B$16),0)</f>
        <v>0</v>
      </c>
      <c r="AW56" s="33" t="n">
        <f aca="false">IF(Source_Data!AW$6=Inputs!$B$13,-Inputs!$B$7,0)+IF(Source_Data!AW$6=Inputs!$B$13+24,Inputs!$B$8*Inputs!$B$7*(1-$A$48)*(1-Inputs!$B$16),0)</f>
        <v>0</v>
      </c>
      <c r="AX56" s="33" t="n">
        <f aca="false">IF(Source_Data!AX$6=Inputs!$B$13,-Inputs!$B$7,0)+IF(Source_Data!AX$6=Inputs!$B$13+24,Inputs!$B$8*Inputs!$B$7*(1-$A$48)*(1-Inputs!$B$16),0)</f>
        <v>0</v>
      </c>
      <c r="AY56" s="33" t="n">
        <f aca="false">IF(Source_Data!AY$6=Inputs!$B$13,-Inputs!$B$7,0)+IF(Source_Data!AY$6=Inputs!$B$13+24,Inputs!$B$8*Inputs!$B$7*(1-$A$48)*(1-Inputs!$B$16),0)</f>
        <v>0</v>
      </c>
      <c r="AZ56" s="33" t="n">
        <f aca="false">IF(Source_Data!AZ$6=Inputs!$B$13,-Inputs!$B$7,0)+IF(Source_Data!AZ$6=Inputs!$B$13+24,Inputs!$B$8*Inputs!$B$7*(1-$A$48)*(1-Inputs!$B$16),0)</f>
        <v>0</v>
      </c>
      <c r="BA56" s="33" t="n">
        <f aca="false">IF(Source_Data!BA$6=Inputs!$B$13,-Inputs!$B$7,0)+IF(Source_Data!BA$6=Inputs!$B$13+24,Inputs!$B$8*Inputs!$B$7*(1-$A$48)*(1-Inputs!$B$16),0)</f>
        <v>0</v>
      </c>
      <c r="BB56" s="33" t="n">
        <f aca="false">IF(Source_Data!BB$6=Inputs!$B$13,-Inputs!$B$7,0)+IF(Source_Data!BB$6=Inputs!$B$13+24,Inputs!$B$8*Inputs!$B$7*(1-$A$48)*(1-Inputs!$B$16),0)</f>
        <v>0</v>
      </c>
      <c r="BC56" s="33" t="n">
        <f aca="false">IF(Source_Data!BC$6=Inputs!$B$13,-Inputs!$B$7,0)+IF(Source_Data!BC$6=Inputs!$B$13+24,Inputs!$B$8*Inputs!$B$7*(1-$A$48)*(1-Inputs!$B$16),0)</f>
        <v>0</v>
      </c>
      <c r="BD56" s="33" t="n">
        <f aca="false">IF(Source_Data!BD$6=Inputs!$B$13,-Inputs!$B$7,0)+IF(Source_Data!BD$6=Inputs!$B$13+24,Inputs!$B$8*Inputs!$B$7*(1-$A$48)*(1-Inputs!$B$16),0)</f>
        <v>0</v>
      </c>
      <c r="BE56" s="33" t="n">
        <f aca="false">IF(Source_Data!BE$6=Inputs!$B$13,-Inputs!$B$7,0)+IF(Source_Data!BE$6=Inputs!$B$13+24,Inputs!$B$8*Inputs!$B$7*(1-$A$48)*(1-Inputs!$B$16),0)</f>
        <v>0</v>
      </c>
      <c r="BF56" s="33" t="n">
        <f aca="false">IF(Source_Data!BF$6=Inputs!$B$13,-Inputs!$B$7,0)+IF(Source_Data!BF$6=Inputs!$B$13+24,Inputs!$B$8*Inputs!$B$7*(1-$A$48)*(1-Inputs!$B$16),0)</f>
        <v>0</v>
      </c>
      <c r="BG56" s="33" t="n">
        <f aca="false">IF(Source_Data!BG$6=Inputs!$B$13,-Inputs!$B$7,0)+IF(Source_Data!BG$6=Inputs!$B$13+24,Inputs!$B$8*Inputs!$B$7*(1-$A$48)*(1-Inputs!$B$16),0)</f>
        <v>0</v>
      </c>
      <c r="BH56" s="33" t="n">
        <f aca="false">IF(Source_Data!BH$6=Inputs!$B$13,-Inputs!$B$7,0)+IF(Source_Data!BH$6=Inputs!$B$13+24,Inputs!$B$8*Inputs!$B$7*(1-$A$48)*(1-Inputs!$B$16),0)</f>
        <v>0</v>
      </c>
      <c r="BI56" s="33" t="n">
        <f aca="false">IF(Source_Data!BI$6=Inputs!$B$13,-Inputs!$B$7,0)+IF(Source_Data!BI$6=Inputs!$B$13+24,Inputs!$B$8*Inputs!$B$7*(1-$A$48)*(1-Inputs!$B$16),0)</f>
        <v>0</v>
      </c>
      <c r="BJ56" s="33" t="n">
        <f aca="false">IF(Source_Data!BJ$6=Inputs!$B$13,-Inputs!$B$7,0)+IF(Source_Data!BJ$6=Inputs!$B$13+24,Inputs!$B$8*Inputs!$B$7*(1-$A$48)*(1-Inputs!$B$16),0)</f>
        <v>0</v>
      </c>
      <c r="BK56" s="33" t="n">
        <f aca="false">IF(Source_Data!BK$6=Inputs!$B$13,-Inputs!$B$7,0)+IF(Source_Data!BK$6=Inputs!$B$13+24,Inputs!$B$8*Inputs!$B$7*(1-$A$48)*(1-Inputs!$B$16),0)</f>
        <v>0</v>
      </c>
    </row>
    <row r="57" customFormat="false" ht="15" hidden="false" customHeight="false" outlineLevel="0" collapsed="false">
      <c r="A57" s="6" t="s">
        <v>288</v>
      </c>
      <c r="D57" s="33" t="n">
        <f aca="false">IF(Source_Data!D$6=Inputs!$B$13,-Inputs!$B$7,0)+IF(Source_Data!D$6=Inputs!$B$13+24,Inputs!$B$8*Inputs!$B$7*(1-$A$49)*(1-Inputs!$B$16),0)</f>
        <v>-75</v>
      </c>
      <c r="E57" s="33" t="n">
        <f aca="false">IF(Source_Data!E$6=Inputs!$B$13,-Inputs!$B$7,0)+IF(Source_Data!E$6=Inputs!$B$13+24,Inputs!$B$8*Inputs!$B$7*(1-$A$49)*(1-Inputs!$B$16),0)</f>
        <v>0</v>
      </c>
      <c r="F57" s="33" t="n">
        <f aca="false">IF(Source_Data!F$6=Inputs!$B$13,-Inputs!$B$7,0)+IF(Source_Data!F$6=Inputs!$B$13+24,Inputs!$B$8*Inputs!$B$7*(1-$A$49)*(1-Inputs!$B$16),0)</f>
        <v>0</v>
      </c>
      <c r="G57" s="33" t="n">
        <f aca="false">IF(Source_Data!G$6=Inputs!$B$13,-Inputs!$B$7,0)+IF(Source_Data!G$6=Inputs!$B$13+24,Inputs!$B$8*Inputs!$B$7*(1-$A$49)*(1-Inputs!$B$16),0)</f>
        <v>0</v>
      </c>
      <c r="H57" s="33" t="n">
        <f aca="false">IF(Source_Data!H$6=Inputs!$B$13,-Inputs!$B$7,0)+IF(Source_Data!H$6=Inputs!$B$13+24,Inputs!$B$8*Inputs!$B$7*(1-$A$49)*(1-Inputs!$B$16),0)</f>
        <v>0</v>
      </c>
      <c r="I57" s="33" t="n">
        <f aca="false">IF(Source_Data!I$6=Inputs!$B$13,-Inputs!$B$7,0)+IF(Source_Data!I$6=Inputs!$B$13+24,Inputs!$B$8*Inputs!$B$7*(1-$A$49)*(1-Inputs!$B$16),0)</f>
        <v>0</v>
      </c>
      <c r="J57" s="33" t="n">
        <f aca="false">IF(Source_Data!J$6=Inputs!$B$13,-Inputs!$B$7,0)+IF(Source_Data!J$6=Inputs!$B$13+24,Inputs!$B$8*Inputs!$B$7*(1-$A$49)*(1-Inputs!$B$16),0)</f>
        <v>0</v>
      </c>
      <c r="K57" s="33" t="n">
        <f aca="false">IF(Source_Data!K$6=Inputs!$B$13,-Inputs!$B$7,0)+IF(Source_Data!K$6=Inputs!$B$13+24,Inputs!$B$8*Inputs!$B$7*(1-$A$49)*(1-Inputs!$B$16),0)</f>
        <v>0</v>
      </c>
      <c r="L57" s="33" t="n">
        <f aca="false">IF(Source_Data!L$6=Inputs!$B$13,-Inputs!$B$7,0)+IF(Source_Data!L$6=Inputs!$B$13+24,Inputs!$B$8*Inputs!$B$7*(1-$A$49)*(1-Inputs!$B$16),0)</f>
        <v>130.95</v>
      </c>
      <c r="M57" s="33" t="n">
        <f aca="false">IF(Source_Data!M$6=Inputs!$B$13,-Inputs!$B$7,0)+IF(Source_Data!M$6=Inputs!$B$13+24,Inputs!$B$8*Inputs!$B$7*(1-$A$49)*(1-Inputs!$B$16),0)</f>
        <v>0</v>
      </c>
      <c r="N57" s="33" t="n">
        <f aca="false">IF(Source_Data!N$6=Inputs!$B$13,-Inputs!$B$7,0)+IF(Source_Data!N$6=Inputs!$B$13+24,Inputs!$B$8*Inputs!$B$7*(1-$A$49)*(1-Inputs!$B$16),0)</f>
        <v>0</v>
      </c>
      <c r="O57" s="33" t="n">
        <f aca="false">IF(Source_Data!O$6=Inputs!$B$13,-Inputs!$B$7,0)+IF(Source_Data!O$6=Inputs!$B$13+24,Inputs!$B$8*Inputs!$B$7*(1-$A$49)*(1-Inputs!$B$16),0)</f>
        <v>0</v>
      </c>
      <c r="P57" s="33" t="n">
        <f aca="false">IF(Source_Data!P$6=Inputs!$B$13,-Inputs!$B$7,0)+IF(Source_Data!P$6=Inputs!$B$13+24,Inputs!$B$8*Inputs!$B$7*(1-$A$49)*(1-Inputs!$B$16),0)</f>
        <v>0</v>
      </c>
      <c r="Q57" s="33" t="n">
        <f aca="false">IF(Source_Data!Q$6=Inputs!$B$13,-Inputs!$B$7,0)+IF(Source_Data!Q$6=Inputs!$B$13+24,Inputs!$B$8*Inputs!$B$7*(1-$A$49)*(1-Inputs!$B$16),0)</f>
        <v>0</v>
      </c>
      <c r="R57" s="33" t="n">
        <f aca="false">IF(Source_Data!R$6=Inputs!$B$13,-Inputs!$B$7,0)+IF(Source_Data!R$6=Inputs!$B$13+24,Inputs!$B$8*Inputs!$B$7*(1-$A$49)*(1-Inputs!$B$16),0)</f>
        <v>0</v>
      </c>
      <c r="S57" s="33" t="n">
        <f aca="false">IF(Source_Data!S$6=Inputs!$B$13,-Inputs!$B$7,0)+IF(Source_Data!S$6=Inputs!$B$13+24,Inputs!$B$8*Inputs!$B$7*(1-$A$49)*(1-Inputs!$B$16),0)</f>
        <v>0</v>
      </c>
      <c r="T57" s="33" t="n">
        <f aca="false">IF(Source_Data!T$6=Inputs!$B$13,-Inputs!$B$7,0)+IF(Source_Data!T$6=Inputs!$B$13+24,Inputs!$B$8*Inputs!$B$7*(1-$A$49)*(1-Inputs!$B$16),0)</f>
        <v>0</v>
      </c>
      <c r="U57" s="33" t="n">
        <f aca="false">IF(Source_Data!U$6=Inputs!$B$13,-Inputs!$B$7,0)+IF(Source_Data!U$6=Inputs!$B$13+24,Inputs!$B$8*Inputs!$B$7*(1-$A$49)*(1-Inputs!$B$16),0)</f>
        <v>0</v>
      </c>
      <c r="V57" s="33" t="n">
        <f aca="false">IF(Source_Data!V$6=Inputs!$B$13,-Inputs!$B$7,0)+IF(Source_Data!V$6=Inputs!$B$13+24,Inputs!$B$8*Inputs!$B$7*(1-$A$49)*(1-Inputs!$B$16),0)</f>
        <v>0</v>
      </c>
      <c r="W57" s="33" t="n">
        <f aca="false">IF(Source_Data!W$6=Inputs!$B$13,-Inputs!$B$7,0)+IF(Source_Data!W$6=Inputs!$B$13+24,Inputs!$B$8*Inputs!$B$7*(1-$A$49)*(1-Inputs!$B$16),0)</f>
        <v>0</v>
      </c>
      <c r="X57" s="33" t="n">
        <f aca="false">IF(Source_Data!X$6=Inputs!$B$13,-Inputs!$B$7,0)+IF(Source_Data!X$6=Inputs!$B$13+24,Inputs!$B$8*Inputs!$B$7*(1-$A$49)*(1-Inputs!$B$16),0)</f>
        <v>0</v>
      </c>
      <c r="Y57" s="33" t="n">
        <f aca="false">IF(Source_Data!Y$6=Inputs!$B$13,-Inputs!$B$7,0)+IF(Source_Data!Y$6=Inputs!$B$13+24,Inputs!$B$8*Inputs!$B$7*(1-$A$49)*(1-Inputs!$B$16),0)</f>
        <v>0</v>
      </c>
      <c r="Z57" s="33" t="n">
        <f aca="false">IF(Source_Data!Z$6=Inputs!$B$13,-Inputs!$B$7,0)+IF(Source_Data!Z$6=Inputs!$B$13+24,Inputs!$B$8*Inputs!$B$7*(1-$A$49)*(1-Inputs!$B$16),0)</f>
        <v>0</v>
      </c>
      <c r="AA57" s="33" t="n">
        <f aca="false">IF(Source_Data!AA$6=Inputs!$B$13,-Inputs!$B$7,0)+IF(Source_Data!AA$6=Inputs!$B$13+24,Inputs!$B$8*Inputs!$B$7*(1-$A$49)*(1-Inputs!$B$16),0)</f>
        <v>0</v>
      </c>
      <c r="AB57" s="33" t="n">
        <f aca="false">IF(Source_Data!AB$6=Inputs!$B$13,-Inputs!$B$7,0)+IF(Source_Data!AB$6=Inputs!$B$13+24,Inputs!$B$8*Inputs!$B$7*(1-$A$49)*(1-Inputs!$B$16),0)</f>
        <v>0</v>
      </c>
      <c r="AC57" s="33" t="n">
        <f aca="false">IF(Source_Data!AC$6=Inputs!$B$13,-Inputs!$B$7,0)+IF(Source_Data!AC$6=Inputs!$B$13+24,Inputs!$B$8*Inputs!$B$7*(1-$A$49)*(1-Inputs!$B$16),0)</f>
        <v>0</v>
      </c>
      <c r="AD57" s="33" t="n">
        <f aca="false">IF(Source_Data!AD$6=Inputs!$B$13,-Inputs!$B$7,0)+IF(Source_Data!AD$6=Inputs!$B$13+24,Inputs!$B$8*Inputs!$B$7*(1-$A$49)*(1-Inputs!$B$16),0)</f>
        <v>0</v>
      </c>
      <c r="AE57" s="33" t="n">
        <f aca="false">IF(Source_Data!AE$6=Inputs!$B$13,-Inputs!$B$7,0)+IF(Source_Data!AE$6=Inputs!$B$13+24,Inputs!$B$8*Inputs!$B$7*(1-$A$49)*(1-Inputs!$B$16),0)</f>
        <v>0</v>
      </c>
      <c r="AF57" s="33" t="n">
        <f aca="false">IF(Source_Data!AF$6=Inputs!$B$13,-Inputs!$B$7,0)+IF(Source_Data!AF$6=Inputs!$B$13+24,Inputs!$B$8*Inputs!$B$7*(1-$A$49)*(1-Inputs!$B$16),0)</f>
        <v>0</v>
      </c>
      <c r="AG57" s="33" t="n">
        <f aca="false">IF(Source_Data!AG$6=Inputs!$B$13,-Inputs!$B$7,0)+IF(Source_Data!AG$6=Inputs!$B$13+24,Inputs!$B$8*Inputs!$B$7*(1-$A$49)*(1-Inputs!$B$16),0)</f>
        <v>0</v>
      </c>
      <c r="AH57" s="33" t="n">
        <f aca="false">IF(Source_Data!AH$6=Inputs!$B$13,-Inputs!$B$7,0)+IF(Source_Data!AH$6=Inputs!$B$13+24,Inputs!$B$8*Inputs!$B$7*(1-$A$49)*(1-Inputs!$B$16),0)</f>
        <v>0</v>
      </c>
      <c r="AI57" s="33" t="n">
        <f aca="false">IF(Source_Data!AI$6=Inputs!$B$13,-Inputs!$B$7,0)+IF(Source_Data!AI$6=Inputs!$B$13+24,Inputs!$B$8*Inputs!$B$7*(1-$A$49)*(1-Inputs!$B$16),0)</f>
        <v>0</v>
      </c>
      <c r="AJ57" s="33" t="n">
        <f aca="false">IF(Source_Data!AJ$6=Inputs!$B$13,-Inputs!$B$7,0)+IF(Source_Data!AJ$6=Inputs!$B$13+24,Inputs!$B$8*Inputs!$B$7*(1-$A$49)*(1-Inputs!$B$16),0)</f>
        <v>0</v>
      </c>
      <c r="AK57" s="33" t="n">
        <f aca="false">IF(Source_Data!AK$6=Inputs!$B$13,-Inputs!$B$7,0)+IF(Source_Data!AK$6=Inputs!$B$13+24,Inputs!$B$8*Inputs!$B$7*(1-$A$49)*(1-Inputs!$B$16),0)</f>
        <v>0</v>
      </c>
      <c r="AL57" s="33" t="n">
        <f aca="false">IF(Source_Data!AL$6=Inputs!$B$13,-Inputs!$B$7,0)+IF(Source_Data!AL$6=Inputs!$B$13+24,Inputs!$B$8*Inputs!$B$7*(1-$A$49)*(1-Inputs!$B$16),0)</f>
        <v>0</v>
      </c>
      <c r="AM57" s="33" t="n">
        <f aca="false">IF(Source_Data!AM$6=Inputs!$B$13,-Inputs!$B$7,0)+IF(Source_Data!AM$6=Inputs!$B$13+24,Inputs!$B$8*Inputs!$B$7*(1-$A$49)*(1-Inputs!$B$16),0)</f>
        <v>0</v>
      </c>
      <c r="AN57" s="33" t="n">
        <f aca="false">IF(Source_Data!AN$6=Inputs!$B$13,-Inputs!$B$7,0)+IF(Source_Data!AN$6=Inputs!$B$13+24,Inputs!$B$8*Inputs!$B$7*(1-$A$49)*(1-Inputs!$B$16),0)</f>
        <v>0</v>
      </c>
      <c r="AO57" s="33" t="n">
        <f aca="false">IF(Source_Data!AO$6=Inputs!$B$13,-Inputs!$B$7,0)+IF(Source_Data!AO$6=Inputs!$B$13+24,Inputs!$B$8*Inputs!$B$7*(1-$A$49)*(1-Inputs!$B$16),0)</f>
        <v>0</v>
      </c>
      <c r="AP57" s="33" t="n">
        <f aca="false">IF(Source_Data!AP$6=Inputs!$B$13,-Inputs!$B$7,0)+IF(Source_Data!AP$6=Inputs!$B$13+24,Inputs!$B$8*Inputs!$B$7*(1-$A$49)*(1-Inputs!$B$16),0)</f>
        <v>0</v>
      </c>
      <c r="AQ57" s="33" t="n">
        <f aca="false">IF(Source_Data!AQ$6=Inputs!$B$13,-Inputs!$B$7,0)+IF(Source_Data!AQ$6=Inputs!$B$13+24,Inputs!$B$8*Inputs!$B$7*(1-$A$49)*(1-Inputs!$B$16),0)</f>
        <v>0</v>
      </c>
      <c r="AR57" s="33" t="n">
        <f aca="false">IF(Source_Data!AR$6=Inputs!$B$13,-Inputs!$B$7,0)+IF(Source_Data!AR$6=Inputs!$B$13+24,Inputs!$B$8*Inputs!$B$7*(1-$A$49)*(1-Inputs!$B$16),0)</f>
        <v>0</v>
      </c>
      <c r="AS57" s="33" t="n">
        <f aca="false">IF(Source_Data!AS$6=Inputs!$B$13,-Inputs!$B$7,0)+IF(Source_Data!AS$6=Inputs!$B$13+24,Inputs!$B$8*Inputs!$B$7*(1-$A$49)*(1-Inputs!$B$16),0)</f>
        <v>0</v>
      </c>
      <c r="AT57" s="33" t="n">
        <f aca="false">IF(Source_Data!AT$6=Inputs!$B$13,-Inputs!$B$7,0)+IF(Source_Data!AT$6=Inputs!$B$13+24,Inputs!$B$8*Inputs!$B$7*(1-$A$49)*(1-Inputs!$B$16),0)</f>
        <v>0</v>
      </c>
      <c r="AU57" s="33" t="n">
        <f aca="false">IF(Source_Data!AU$6=Inputs!$B$13,-Inputs!$B$7,0)+IF(Source_Data!AU$6=Inputs!$B$13+24,Inputs!$B$8*Inputs!$B$7*(1-$A$49)*(1-Inputs!$B$16),0)</f>
        <v>0</v>
      </c>
      <c r="AV57" s="33" t="n">
        <f aca="false">IF(Source_Data!AV$6=Inputs!$B$13,-Inputs!$B$7,0)+IF(Source_Data!AV$6=Inputs!$B$13+24,Inputs!$B$8*Inputs!$B$7*(1-$A$49)*(1-Inputs!$B$16),0)</f>
        <v>0</v>
      </c>
      <c r="AW57" s="33" t="n">
        <f aca="false">IF(Source_Data!AW$6=Inputs!$B$13,-Inputs!$B$7,0)+IF(Source_Data!AW$6=Inputs!$B$13+24,Inputs!$B$8*Inputs!$B$7*(1-$A$49)*(1-Inputs!$B$16),0)</f>
        <v>0</v>
      </c>
      <c r="AX57" s="33" t="n">
        <f aca="false">IF(Source_Data!AX$6=Inputs!$B$13,-Inputs!$B$7,0)+IF(Source_Data!AX$6=Inputs!$B$13+24,Inputs!$B$8*Inputs!$B$7*(1-$A$49)*(1-Inputs!$B$16),0)</f>
        <v>0</v>
      </c>
      <c r="AY57" s="33" t="n">
        <f aca="false">IF(Source_Data!AY$6=Inputs!$B$13,-Inputs!$B$7,0)+IF(Source_Data!AY$6=Inputs!$B$13+24,Inputs!$B$8*Inputs!$B$7*(1-$A$49)*(1-Inputs!$B$16),0)</f>
        <v>0</v>
      </c>
      <c r="AZ57" s="33" t="n">
        <f aca="false">IF(Source_Data!AZ$6=Inputs!$B$13,-Inputs!$B$7,0)+IF(Source_Data!AZ$6=Inputs!$B$13+24,Inputs!$B$8*Inputs!$B$7*(1-$A$49)*(1-Inputs!$B$16),0)</f>
        <v>0</v>
      </c>
      <c r="BA57" s="33" t="n">
        <f aca="false">IF(Source_Data!BA$6=Inputs!$B$13,-Inputs!$B$7,0)+IF(Source_Data!BA$6=Inputs!$B$13+24,Inputs!$B$8*Inputs!$B$7*(1-$A$49)*(1-Inputs!$B$16),0)</f>
        <v>0</v>
      </c>
      <c r="BB57" s="33" t="n">
        <f aca="false">IF(Source_Data!BB$6=Inputs!$B$13,-Inputs!$B$7,0)+IF(Source_Data!BB$6=Inputs!$B$13+24,Inputs!$B$8*Inputs!$B$7*(1-$A$49)*(1-Inputs!$B$16),0)</f>
        <v>0</v>
      </c>
      <c r="BC57" s="33" t="n">
        <f aca="false">IF(Source_Data!BC$6=Inputs!$B$13,-Inputs!$B$7,0)+IF(Source_Data!BC$6=Inputs!$B$13+24,Inputs!$B$8*Inputs!$B$7*(1-$A$49)*(1-Inputs!$B$16),0)</f>
        <v>0</v>
      </c>
      <c r="BD57" s="33" t="n">
        <f aca="false">IF(Source_Data!BD$6=Inputs!$B$13,-Inputs!$B$7,0)+IF(Source_Data!BD$6=Inputs!$B$13+24,Inputs!$B$8*Inputs!$B$7*(1-$A$49)*(1-Inputs!$B$16),0)</f>
        <v>0</v>
      </c>
      <c r="BE57" s="33" t="n">
        <f aca="false">IF(Source_Data!BE$6=Inputs!$B$13,-Inputs!$B$7,0)+IF(Source_Data!BE$6=Inputs!$B$13+24,Inputs!$B$8*Inputs!$B$7*(1-$A$49)*(1-Inputs!$B$16),0)</f>
        <v>0</v>
      </c>
      <c r="BF57" s="33" t="n">
        <f aca="false">IF(Source_Data!BF$6=Inputs!$B$13,-Inputs!$B$7,0)+IF(Source_Data!BF$6=Inputs!$B$13+24,Inputs!$B$8*Inputs!$B$7*(1-$A$49)*(1-Inputs!$B$16),0)</f>
        <v>0</v>
      </c>
      <c r="BG57" s="33" t="n">
        <f aca="false">IF(Source_Data!BG$6=Inputs!$B$13,-Inputs!$B$7,0)+IF(Source_Data!BG$6=Inputs!$B$13+24,Inputs!$B$8*Inputs!$B$7*(1-$A$49)*(1-Inputs!$B$16),0)</f>
        <v>0</v>
      </c>
      <c r="BH57" s="33" t="n">
        <f aca="false">IF(Source_Data!BH$6=Inputs!$B$13,-Inputs!$B$7,0)+IF(Source_Data!BH$6=Inputs!$B$13+24,Inputs!$B$8*Inputs!$B$7*(1-$A$49)*(1-Inputs!$B$16),0)</f>
        <v>0</v>
      </c>
      <c r="BI57" s="33" t="n">
        <f aca="false">IF(Source_Data!BI$6=Inputs!$B$13,-Inputs!$B$7,0)+IF(Source_Data!BI$6=Inputs!$B$13+24,Inputs!$B$8*Inputs!$B$7*(1-$A$49)*(1-Inputs!$B$16),0)</f>
        <v>0</v>
      </c>
      <c r="BJ57" s="33" t="n">
        <f aca="false">IF(Source_Data!BJ$6=Inputs!$B$13,-Inputs!$B$7,0)+IF(Source_Data!BJ$6=Inputs!$B$13+24,Inputs!$B$8*Inputs!$B$7*(1-$A$49)*(1-Inputs!$B$16),0)</f>
        <v>0</v>
      </c>
      <c r="BK57" s="33" t="n">
        <f aca="false">IF(Source_Data!BK$6=Inputs!$B$13,-Inputs!$B$7,0)+IF(Source_Data!BK$6=Inputs!$B$13+24,Inputs!$B$8*Inputs!$B$7*(1-$A$49)*(1-Inputs!$B$16),0)</f>
        <v>0</v>
      </c>
    </row>
    <row r="58" customFormat="false" ht="15" hidden="false" customHeight="false" outlineLevel="0" collapsed="false">
      <c r="A58" s="6" t="s">
        <v>289</v>
      </c>
      <c r="D58" s="33" t="n">
        <f aca="false">IF(Source_Data!D$6=Inputs!$B$13,-Inputs!$B$7,0)+IF(Source_Data!D$6=Inputs!$B$13+24,Inputs!$B$8*Inputs!$B$7*(1-$A$50)*(1-Inputs!$B$16),0)</f>
        <v>-75</v>
      </c>
      <c r="E58" s="33" t="n">
        <f aca="false">IF(Source_Data!E$6=Inputs!$B$13,-Inputs!$B$7,0)+IF(Source_Data!E$6=Inputs!$B$13+24,Inputs!$B$8*Inputs!$B$7*(1-$A$50)*(1-Inputs!$B$16),0)</f>
        <v>0</v>
      </c>
      <c r="F58" s="33" t="n">
        <f aca="false">IF(Source_Data!F$6=Inputs!$B$13,-Inputs!$B$7,0)+IF(Source_Data!F$6=Inputs!$B$13+24,Inputs!$B$8*Inputs!$B$7*(1-$A$50)*(1-Inputs!$B$16),0)</f>
        <v>0</v>
      </c>
      <c r="G58" s="33" t="n">
        <f aca="false">IF(Source_Data!G$6=Inputs!$B$13,-Inputs!$B$7,0)+IF(Source_Data!G$6=Inputs!$B$13+24,Inputs!$B$8*Inputs!$B$7*(1-$A$50)*(1-Inputs!$B$16),0)</f>
        <v>0</v>
      </c>
      <c r="H58" s="33" t="n">
        <f aca="false">IF(Source_Data!H$6=Inputs!$B$13,-Inputs!$B$7,0)+IF(Source_Data!H$6=Inputs!$B$13+24,Inputs!$B$8*Inputs!$B$7*(1-$A$50)*(1-Inputs!$B$16),0)</f>
        <v>0</v>
      </c>
      <c r="I58" s="33" t="n">
        <f aca="false">IF(Source_Data!I$6=Inputs!$B$13,-Inputs!$B$7,0)+IF(Source_Data!I$6=Inputs!$B$13+24,Inputs!$B$8*Inputs!$B$7*(1-$A$50)*(1-Inputs!$B$16),0)</f>
        <v>0</v>
      </c>
      <c r="J58" s="33" t="n">
        <f aca="false">IF(Source_Data!J$6=Inputs!$B$13,-Inputs!$B$7,0)+IF(Source_Data!J$6=Inputs!$B$13+24,Inputs!$B$8*Inputs!$B$7*(1-$A$50)*(1-Inputs!$B$16),0)</f>
        <v>0</v>
      </c>
      <c r="K58" s="33" t="n">
        <f aca="false">IF(Source_Data!K$6=Inputs!$B$13,-Inputs!$B$7,0)+IF(Source_Data!K$6=Inputs!$B$13+24,Inputs!$B$8*Inputs!$B$7*(1-$A$50)*(1-Inputs!$B$16),0)</f>
        <v>0</v>
      </c>
      <c r="L58" s="33" t="n">
        <f aca="false">IF(Source_Data!L$6=Inputs!$B$13,-Inputs!$B$7,0)+IF(Source_Data!L$6=Inputs!$B$13+24,Inputs!$B$8*Inputs!$B$7*(1-$A$50)*(1-Inputs!$B$16),0)</f>
        <v>116.4</v>
      </c>
      <c r="M58" s="33" t="n">
        <f aca="false">IF(Source_Data!M$6=Inputs!$B$13,-Inputs!$B$7,0)+IF(Source_Data!M$6=Inputs!$B$13+24,Inputs!$B$8*Inputs!$B$7*(1-$A$50)*(1-Inputs!$B$16),0)</f>
        <v>0</v>
      </c>
      <c r="N58" s="33" t="n">
        <f aca="false">IF(Source_Data!N$6=Inputs!$B$13,-Inputs!$B$7,0)+IF(Source_Data!N$6=Inputs!$B$13+24,Inputs!$B$8*Inputs!$B$7*(1-$A$50)*(1-Inputs!$B$16),0)</f>
        <v>0</v>
      </c>
      <c r="O58" s="33" t="n">
        <f aca="false">IF(Source_Data!O$6=Inputs!$B$13,-Inputs!$B$7,0)+IF(Source_Data!O$6=Inputs!$B$13+24,Inputs!$B$8*Inputs!$B$7*(1-$A$50)*(1-Inputs!$B$16),0)</f>
        <v>0</v>
      </c>
      <c r="P58" s="33" t="n">
        <f aca="false">IF(Source_Data!P$6=Inputs!$B$13,-Inputs!$B$7,0)+IF(Source_Data!P$6=Inputs!$B$13+24,Inputs!$B$8*Inputs!$B$7*(1-$A$50)*(1-Inputs!$B$16),0)</f>
        <v>0</v>
      </c>
      <c r="Q58" s="33" t="n">
        <f aca="false">IF(Source_Data!Q$6=Inputs!$B$13,-Inputs!$B$7,0)+IF(Source_Data!Q$6=Inputs!$B$13+24,Inputs!$B$8*Inputs!$B$7*(1-$A$50)*(1-Inputs!$B$16),0)</f>
        <v>0</v>
      </c>
      <c r="R58" s="33" t="n">
        <f aca="false">IF(Source_Data!R$6=Inputs!$B$13,-Inputs!$B$7,0)+IF(Source_Data!R$6=Inputs!$B$13+24,Inputs!$B$8*Inputs!$B$7*(1-$A$50)*(1-Inputs!$B$16),0)</f>
        <v>0</v>
      </c>
      <c r="S58" s="33" t="n">
        <f aca="false">IF(Source_Data!S$6=Inputs!$B$13,-Inputs!$B$7,0)+IF(Source_Data!S$6=Inputs!$B$13+24,Inputs!$B$8*Inputs!$B$7*(1-$A$50)*(1-Inputs!$B$16),0)</f>
        <v>0</v>
      </c>
      <c r="T58" s="33" t="n">
        <f aca="false">IF(Source_Data!T$6=Inputs!$B$13,-Inputs!$B$7,0)+IF(Source_Data!T$6=Inputs!$B$13+24,Inputs!$B$8*Inputs!$B$7*(1-$A$50)*(1-Inputs!$B$16),0)</f>
        <v>0</v>
      </c>
      <c r="U58" s="33" t="n">
        <f aca="false">IF(Source_Data!U$6=Inputs!$B$13,-Inputs!$B$7,0)+IF(Source_Data!U$6=Inputs!$B$13+24,Inputs!$B$8*Inputs!$B$7*(1-$A$50)*(1-Inputs!$B$16),0)</f>
        <v>0</v>
      </c>
      <c r="V58" s="33" t="n">
        <f aca="false">IF(Source_Data!V$6=Inputs!$B$13,-Inputs!$B$7,0)+IF(Source_Data!V$6=Inputs!$B$13+24,Inputs!$B$8*Inputs!$B$7*(1-$A$50)*(1-Inputs!$B$16),0)</f>
        <v>0</v>
      </c>
      <c r="W58" s="33" t="n">
        <f aca="false">IF(Source_Data!W$6=Inputs!$B$13,-Inputs!$B$7,0)+IF(Source_Data!W$6=Inputs!$B$13+24,Inputs!$B$8*Inputs!$B$7*(1-$A$50)*(1-Inputs!$B$16),0)</f>
        <v>0</v>
      </c>
      <c r="X58" s="33" t="n">
        <f aca="false">IF(Source_Data!X$6=Inputs!$B$13,-Inputs!$B$7,0)+IF(Source_Data!X$6=Inputs!$B$13+24,Inputs!$B$8*Inputs!$B$7*(1-$A$50)*(1-Inputs!$B$16),0)</f>
        <v>0</v>
      </c>
      <c r="Y58" s="33" t="n">
        <f aca="false">IF(Source_Data!Y$6=Inputs!$B$13,-Inputs!$B$7,0)+IF(Source_Data!Y$6=Inputs!$B$13+24,Inputs!$B$8*Inputs!$B$7*(1-$A$50)*(1-Inputs!$B$16),0)</f>
        <v>0</v>
      </c>
      <c r="Z58" s="33" t="n">
        <f aca="false">IF(Source_Data!Z$6=Inputs!$B$13,-Inputs!$B$7,0)+IF(Source_Data!Z$6=Inputs!$B$13+24,Inputs!$B$8*Inputs!$B$7*(1-$A$50)*(1-Inputs!$B$16),0)</f>
        <v>0</v>
      </c>
      <c r="AA58" s="33" t="n">
        <f aca="false">IF(Source_Data!AA$6=Inputs!$B$13,-Inputs!$B$7,0)+IF(Source_Data!AA$6=Inputs!$B$13+24,Inputs!$B$8*Inputs!$B$7*(1-$A$50)*(1-Inputs!$B$16),0)</f>
        <v>0</v>
      </c>
      <c r="AB58" s="33" t="n">
        <f aca="false">IF(Source_Data!AB$6=Inputs!$B$13,-Inputs!$B$7,0)+IF(Source_Data!AB$6=Inputs!$B$13+24,Inputs!$B$8*Inputs!$B$7*(1-$A$50)*(1-Inputs!$B$16),0)</f>
        <v>0</v>
      </c>
      <c r="AC58" s="33" t="n">
        <f aca="false">IF(Source_Data!AC$6=Inputs!$B$13,-Inputs!$B$7,0)+IF(Source_Data!AC$6=Inputs!$B$13+24,Inputs!$B$8*Inputs!$B$7*(1-$A$50)*(1-Inputs!$B$16),0)</f>
        <v>0</v>
      </c>
      <c r="AD58" s="33" t="n">
        <f aca="false">IF(Source_Data!AD$6=Inputs!$B$13,-Inputs!$B$7,0)+IF(Source_Data!AD$6=Inputs!$B$13+24,Inputs!$B$8*Inputs!$B$7*(1-$A$50)*(1-Inputs!$B$16),0)</f>
        <v>0</v>
      </c>
      <c r="AE58" s="33" t="n">
        <f aca="false">IF(Source_Data!AE$6=Inputs!$B$13,-Inputs!$B$7,0)+IF(Source_Data!AE$6=Inputs!$B$13+24,Inputs!$B$8*Inputs!$B$7*(1-$A$50)*(1-Inputs!$B$16),0)</f>
        <v>0</v>
      </c>
      <c r="AF58" s="33" t="n">
        <f aca="false">IF(Source_Data!AF$6=Inputs!$B$13,-Inputs!$B$7,0)+IF(Source_Data!AF$6=Inputs!$B$13+24,Inputs!$B$8*Inputs!$B$7*(1-$A$50)*(1-Inputs!$B$16),0)</f>
        <v>0</v>
      </c>
      <c r="AG58" s="33" t="n">
        <f aca="false">IF(Source_Data!AG$6=Inputs!$B$13,-Inputs!$B$7,0)+IF(Source_Data!AG$6=Inputs!$B$13+24,Inputs!$B$8*Inputs!$B$7*(1-$A$50)*(1-Inputs!$B$16),0)</f>
        <v>0</v>
      </c>
      <c r="AH58" s="33" t="n">
        <f aca="false">IF(Source_Data!AH$6=Inputs!$B$13,-Inputs!$B$7,0)+IF(Source_Data!AH$6=Inputs!$B$13+24,Inputs!$B$8*Inputs!$B$7*(1-$A$50)*(1-Inputs!$B$16),0)</f>
        <v>0</v>
      </c>
      <c r="AI58" s="33" t="n">
        <f aca="false">IF(Source_Data!AI$6=Inputs!$B$13,-Inputs!$B$7,0)+IF(Source_Data!AI$6=Inputs!$B$13+24,Inputs!$B$8*Inputs!$B$7*(1-$A$50)*(1-Inputs!$B$16),0)</f>
        <v>0</v>
      </c>
      <c r="AJ58" s="33" t="n">
        <f aca="false">IF(Source_Data!AJ$6=Inputs!$B$13,-Inputs!$B$7,0)+IF(Source_Data!AJ$6=Inputs!$B$13+24,Inputs!$B$8*Inputs!$B$7*(1-$A$50)*(1-Inputs!$B$16),0)</f>
        <v>0</v>
      </c>
      <c r="AK58" s="33" t="n">
        <f aca="false">IF(Source_Data!AK$6=Inputs!$B$13,-Inputs!$B$7,0)+IF(Source_Data!AK$6=Inputs!$B$13+24,Inputs!$B$8*Inputs!$B$7*(1-$A$50)*(1-Inputs!$B$16),0)</f>
        <v>0</v>
      </c>
      <c r="AL58" s="33" t="n">
        <f aca="false">IF(Source_Data!AL$6=Inputs!$B$13,-Inputs!$B$7,0)+IF(Source_Data!AL$6=Inputs!$B$13+24,Inputs!$B$8*Inputs!$B$7*(1-$A$50)*(1-Inputs!$B$16),0)</f>
        <v>0</v>
      </c>
      <c r="AM58" s="33" t="n">
        <f aca="false">IF(Source_Data!AM$6=Inputs!$B$13,-Inputs!$B$7,0)+IF(Source_Data!AM$6=Inputs!$B$13+24,Inputs!$B$8*Inputs!$B$7*(1-$A$50)*(1-Inputs!$B$16),0)</f>
        <v>0</v>
      </c>
      <c r="AN58" s="33" t="n">
        <f aca="false">IF(Source_Data!AN$6=Inputs!$B$13,-Inputs!$B$7,0)+IF(Source_Data!AN$6=Inputs!$B$13+24,Inputs!$B$8*Inputs!$B$7*(1-$A$50)*(1-Inputs!$B$16),0)</f>
        <v>0</v>
      </c>
      <c r="AO58" s="33" t="n">
        <f aca="false">IF(Source_Data!AO$6=Inputs!$B$13,-Inputs!$B$7,0)+IF(Source_Data!AO$6=Inputs!$B$13+24,Inputs!$B$8*Inputs!$B$7*(1-$A$50)*(1-Inputs!$B$16),0)</f>
        <v>0</v>
      </c>
      <c r="AP58" s="33" t="n">
        <f aca="false">IF(Source_Data!AP$6=Inputs!$B$13,-Inputs!$B$7,0)+IF(Source_Data!AP$6=Inputs!$B$13+24,Inputs!$B$8*Inputs!$B$7*(1-$A$50)*(1-Inputs!$B$16),0)</f>
        <v>0</v>
      </c>
      <c r="AQ58" s="33" t="n">
        <f aca="false">IF(Source_Data!AQ$6=Inputs!$B$13,-Inputs!$B$7,0)+IF(Source_Data!AQ$6=Inputs!$B$13+24,Inputs!$B$8*Inputs!$B$7*(1-$A$50)*(1-Inputs!$B$16),0)</f>
        <v>0</v>
      </c>
      <c r="AR58" s="33" t="n">
        <f aca="false">IF(Source_Data!AR$6=Inputs!$B$13,-Inputs!$B$7,0)+IF(Source_Data!AR$6=Inputs!$B$13+24,Inputs!$B$8*Inputs!$B$7*(1-$A$50)*(1-Inputs!$B$16),0)</f>
        <v>0</v>
      </c>
      <c r="AS58" s="33" t="n">
        <f aca="false">IF(Source_Data!AS$6=Inputs!$B$13,-Inputs!$B$7,0)+IF(Source_Data!AS$6=Inputs!$B$13+24,Inputs!$B$8*Inputs!$B$7*(1-$A$50)*(1-Inputs!$B$16),0)</f>
        <v>0</v>
      </c>
      <c r="AT58" s="33" t="n">
        <f aca="false">IF(Source_Data!AT$6=Inputs!$B$13,-Inputs!$B$7,0)+IF(Source_Data!AT$6=Inputs!$B$13+24,Inputs!$B$8*Inputs!$B$7*(1-$A$50)*(1-Inputs!$B$16),0)</f>
        <v>0</v>
      </c>
      <c r="AU58" s="33" t="n">
        <f aca="false">IF(Source_Data!AU$6=Inputs!$B$13,-Inputs!$B$7,0)+IF(Source_Data!AU$6=Inputs!$B$13+24,Inputs!$B$8*Inputs!$B$7*(1-$A$50)*(1-Inputs!$B$16),0)</f>
        <v>0</v>
      </c>
      <c r="AV58" s="33" t="n">
        <f aca="false">IF(Source_Data!AV$6=Inputs!$B$13,-Inputs!$B$7,0)+IF(Source_Data!AV$6=Inputs!$B$13+24,Inputs!$B$8*Inputs!$B$7*(1-$A$50)*(1-Inputs!$B$16),0)</f>
        <v>0</v>
      </c>
      <c r="AW58" s="33" t="n">
        <f aca="false">IF(Source_Data!AW$6=Inputs!$B$13,-Inputs!$B$7,0)+IF(Source_Data!AW$6=Inputs!$B$13+24,Inputs!$B$8*Inputs!$B$7*(1-$A$50)*(1-Inputs!$B$16),0)</f>
        <v>0</v>
      </c>
      <c r="AX58" s="33" t="n">
        <f aca="false">IF(Source_Data!AX$6=Inputs!$B$13,-Inputs!$B$7,0)+IF(Source_Data!AX$6=Inputs!$B$13+24,Inputs!$B$8*Inputs!$B$7*(1-$A$50)*(1-Inputs!$B$16),0)</f>
        <v>0</v>
      </c>
      <c r="AY58" s="33" t="n">
        <f aca="false">IF(Source_Data!AY$6=Inputs!$B$13,-Inputs!$B$7,0)+IF(Source_Data!AY$6=Inputs!$B$13+24,Inputs!$B$8*Inputs!$B$7*(1-$A$50)*(1-Inputs!$B$16),0)</f>
        <v>0</v>
      </c>
      <c r="AZ58" s="33" t="n">
        <f aca="false">IF(Source_Data!AZ$6=Inputs!$B$13,-Inputs!$B$7,0)+IF(Source_Data!AZ$6=Inputs!$B$13+24,Inputs!$B$8*Inputs!$B$7*(1-$A$50)*(1-Inputs!$B$16),0)</f>
        <v>0</v>
      </c>
      <c r="BA58" s="33" t="n">
        <f aca="false">IF(Source_Data!BA$6=Inputs!$B$13,-Inputs!$B$7,0)+IF(Source_Data!BA$6=Inputs!$B$13+24,Inputs!$B$8*Inputs!$B$7*(1-$A$50)*(1-Inputs!$B$16),0)</f>
        <v>0</v>
      </c>
      <c r="BB58" s="33" t="n">
        <f aca="false">IF(Source_Data!BB$6=Inputs!$B$13,-Inputs!$B$7,0)+IF(Source_Data!BB$6=Inputs!$B$13+24,Inputs!$B$8*Inputs!$B$7*(1-$A$50)*(1-Inputs!$B$16),0)</f>
        <v>0</v>
      </c>
      <c r="BC58" s="33" t="n">
        <f aca="false">IF(Source_Data!BC$6=Inputs!$B$13,-Inputs!$B$7,0)+IF(Source_Data!BC$6=Inputs!$B$13+24,Inputs!$B$8*Inputs!$B$7*(1-$A$50)*(1-Inputs!$B$16),0)</f>
        <v>0</v>
      </c>
      <c r="BD58" s="33" t="n">
        <f aca="false">IF(Source_Data!BD$6=Inputs!$B$13,-Inputs!$B$7,0)+IF(Source_Data!BD$6=Inputs!$B$13+24,Inputs!$B$8*Inputs!$B$7*(1-$A$50)*(1-Inputs!$B$16),0)</f>
        <v>0</v>
      </c>
      <c r="BE58" s="33" t="n">
        <f aca="false">IF(Source_Data!BE$6=Inputs!$B$13,-Inputs!$B$7,0)+IF(Source_Data!BE$6=Inputs!$B$13+24,Inputs!$B$8*Inputs!$B$7*(1-$A$50)*(1-Inputs!$B$16),0)</f>
        <v>0</v>
      </c>
      <c r="BF58" s="33" t="n">
        <f aca="false">IF(Source_Data!BF$6=Inputs!$B$13,-Inputs!$B$7,0)+IF(Source_Data!BF$6=Inputs!$B$13+24,Inputs!$B$8*Inputs!$B$7*(1-$A$50)*(1-Inputs!$B$16),0)</f>
        <v>0</v>
      </c>
      <c r="BG58" s="33" t="n">
        <f aca="false">IF(Source_Data!BG$6=Inputs!$B$13,-Inputs!$B$7,0)+IF(Source_Data!BG$6=Inputs!$B$13+24,Inputs!$B$8*Inputs!$B$7*(1-$A$50)*(1-Inputs!$B$16),0)</f>
        <v>0</v>
      </c>
      <c r="BH58" s="33" t="n">
        <f aca="false">IF(Source_Data!BH$6=Inputs!$B$13,-Inputs!$B$7,0)+IF(Source_Data!BH$6=Inputs!$B$13+24,Inputs!$B$8*Inputs!$B$7*(1-$A$50)*(1-Inputs!$B$16),0)</f>
        <v>0</v>
      </c>
      <c r="BI58" s="33" t="n">
        <f aca="false">IF(Source_Data!BI$6=Inputs!$B$13,-Inputs!$B$7,0)+IF(Source_Data!BI$6=Inputs!$B$13+24,Inputs!$B$8*Inputs!$B$7*(1-$A$50)*(1-Inputs!$B$16),0)</f>
        <v>0</v>
      </c>
      <c r="BJ58" s="33" t="n">
        <f aca="false">IF(Source_Data!BJ$6=Inputs!$B$13,-Inputs!$B$7,0)+IF(Source_Data!BJ$6=Inputs!$B$13+24,Inputs!$B$8*Inputs!$B$7*(1-$A$50)*(1-Inputs!$B$16),0)</f>
        <v>0</v>
      </c>
      <c r="BK58" s="33" t="n">
        <f aca="false">IF(Source_Data!BK$6=Inputs!$B$13,-Inputs!$B$7,0)+IF(Source_Data!BK$6=Inputs!$B$13+24,Inputs!$B$8*Inputs!$B$7*(1-$A$50)*(1-Inputs!$B$16),0)</f>
        <v>0</v>
      </c>
    </row>
    <row r="59" customFormat="false" ht="15" hidden="false" customHeight="false" outlineLevel="0" collapsed="false">
      <c r="A59" s="6" t="s">
        <v>290</v>
      </c>
      <c r="D59" s="33" t="n">
        <f aca="false">IF(Source_Data!D$6=Inputs!$B$13,-Inputs!$B$7,0)+IF(Source_Data!D$6=Inputs!$B$13+24,Inputs!$B$8*Inputs!$B$7*(1-$A$51)*(1-Inputs!$B$16),0)</f>
        <v>-75</v>
      </c>
      <c r="E59" s="33" t="n">
        <f aca="false">IF(Source_Data!E$6=Inputs!$B$13,-Inputs!$B$7,0)+IF(Source_Data!E$6=Inputs!$B$13+24,Inputs!$B$8*Inputs!$B$7*(1-$A$51)*(1-Inputs!$B$16),0)</f>
        <v>0</v>
      </c>
      <c r="F59" s="33" t="n">
        <f aca="false">IF(Source_Data!F$6=Inputs!$B$13,-Inputs!$B$7,0)+IF(Source_Data!F$6=Inputs!$B$13+24,Inputs!$B$8*Inputs!$B$7*(1-$A$51)*(1-Inputs!$B$16),0)</f>
        <v>0</v>
      </c>
      <c r="G59" s="33" t="n">
        <f aca="false">IF(Source_Data!G$6=Inputs!$B$13,-Inputs!$B$7,0)+IF(Source_Data!G$6=Inputs!$B$13+24,Inputs!$B$8*Inputs!$B$7*(1-$A$51)*(1-Inputs!$B$16),0)</f>
        <v>0</v>
      </c>
      <c r="H59" s="33" t="n">
        <f aca="false">IF(Source_Data!H$6=Inputs!$B$13,-Inputs!$B$7,0)+IF(Source_Data!H$6=Inputs!$B$13+24,Inputs!$B$8*Inputs!$B$7*(1-$A$51)*(1-Inputs!$B$16),0)</f>
        <v>0</v>
      </c>
      <c r="I59" s="33" t="n">
        <f aca="false">IF(Source_Data!I$6=Inputs!$B$13,-Inputs!$B$7,0)+IF(Source_Data!I$6=Inputs!$B$13+24,Inputs!$B$8*Inputs!$B$7*(1-$A$51)*(1-Inputs!$B$16),0)</f>
        <v>0</v>
      </c>
      <c r="J59" s="33" t="n">
        <f aca="false">IF(Source_Data!J$6=Inputs!$B$13,-Inputs!$B$7,0)+IF(Source_Data!J$6=Inputs!$B$13+24,Inputs!$B$8*Inputs!$B$7*(1-$A$51)*(1-Inputs!$B$16),0)</f>
        <v>0</v>
      </c>
      <c r="K59" s="33" t="n">
        <f aca="false">IF(Source_Data!K$6=Inputs!$B$13,-Inputs!$B$7,0)+IF(Source_Data!K$6=Inputs!$B$13+24,Inputs!$B$8*Inputs!$B$7*(1-$A$51)*(1-Inputs!$B$16),0)</f>
        <v>0</v>
      </c>
      <c r="L59" s="33" t="n">
        <f aca="false">IF(Source_Data!L$6=Inputs!$B$13,-Inputs!$B$7,0)+IF(Source_Data!L$6=Inputs!$B$13+24,Inputs!$B$8*Inputs!$B$7*(1-$A$51)*(1-Inputs!$B$16),0)</f>
        <v>101.85</v>
      </c>
      <c r="M59" s="33" t="n">
        <f aca="false">IF(Source_Data!M$6=Inputs!$B$13,-Inputs!$B$7,0)+IF(Source_Data!M$6=Inputs!$B$13+24,Inputs!$B$8*Inputs!$B$7*(1-$A$51)*(1-Inputs!$B$16),0)</f>
        <v>0</v>
      </c>
      <c r="N59" s="33" t="n">
        <f aca="false">IF(Source_Data!N$6=Inputs!$B$13,-Inputs!$B$7,0)+IF(Source_Data!N$6=Inputs!$B$13+24,Inputs!$B$8*Inputs!$B$7*(1-$A$51)*(1-Inputs!$B$16),0)</f>
        <v>0</v>
      </c>
      <c r="O59" s="33" t="n">
        <f aca="false">IF(Source_Data!O$6=Inputs!$B$13,-Inputs!$B$7,0)+IF(Source_Data!O$6=Inputs!$B$13+24,Inputs!$B$8*Inputs!$B$7*(1-$A$51)*(1-Inputs!$B$16),0)</f>
        <v>0</v>
      </c>
      <c r="P59" s="33" t="n">
        <f aca="false">IF(Source_Data!P$6=Inputs!$B$13,-Inputs!$B$7,0)+IF(Source_Data!P$6=Inputs!$B$13+24,Inputs!$B$8*Inputs!$B$7*(1-$A$51)*(1-Inputs!$B$16),0)</f>
        <v>0</v>
      </c>
      <c r="Q59" s="33" t="n">
        <f aca="false">IF(Source_Data!Q$6=Inputs!$B$13,-Inputs!$B$7,0)+IF(Source_Data!Q$6=Inputs!$B$13+24,Inputs!$B$8*Inputs!$B$7*(1-$A$51)*(1-Inputs!$B$16),0)</f>
        <v>0</v>
      </c>
      <c r="R59" s="33" t="n">
        <f aca="false">IF(Source_Data!R$6=Inputs!$B$13,-Inputs!$B$7,0)+IF(Source_Data!R$6=Inputs!$B$13+24,Inputs!$B$8*Inputs!$B$7*(1-$A$51)*(1-Inputs!$B$16),0)</f>
        <v>0</v>
      </c>
      <c r="S59" s="33" t="n">
        <f aca="false">IF(Source_Data!S$6=Inputs!$B$13,-Inputs!$B$7,0)+IF(Source_Data!S$6=Inputs!$B$13+24,Inputs!$B$8*Inputs!$B$7*(1-$A$51)*(1-Inputs!$B$16),0)</f>
        <v>0</v>
      </c>
      <c r="T59" s="33" t="n">
        <f aca="false">IF(Source_Data!T$6=Inputs!$B$13,-Inputs!$B$7,0)+IF(Source_Data!T$6=Inputs!$B$13+24,Inputs!$B$8*Inputs!$B$7*(1-$A$51)*(1-Inputs!$B$16),0)</f>
        <v>0</v>
      </c>
      <c r="U59" s="33" t="n">
        <f aca="false">IF(Source_Data!U$6=Inputs!$B$13,-Inputs!$B$7,0)+IF(Source_Data!U$6=Inputs!$B$13+24,Inputs!$B$8*Inputs!$B$7*(1-$A$51)*(1-Inputs!$B$16),0)</f>
        <v>0</v>
      </c>
      <c r="V59" s="33" t="n">
        <f aca="false">IF(Source_Data!V$6=Inputs!$B$13,-Inputs!$B$7,0)+IF(Source_Data!V$6=Inputs!$B$13+24,Inputs!$B$8*Inputs!$B$7*(1-$A$51)*(1-Inputs!$B$16),0)</f>
        <v>0</v>
      </c>
      <c r="W59" s="33" t="n">
        <f aca="false">IF(Source_Data!W$6=Inputs!$B$13,-Inputs!$B$7,0)+IF(Source_Data!W$6=Inputs!$B$13+24,Inputs!$B$8*Inputs!$B$7*(1-$A$51)*(1-Inputs!$B$16),0)</f>
        <v>0</v>
      </c>
      <c r="X59" s="33" t="n">
        <f aca="false">IF(Source_Data!X$6=Inputs!$B$13,-Inputs!$B$7,0)+IF(Source_Data!X$6=Inputs!$B$13+24,Inputs!$B$8*Inputs!$B$7*(1-$A$51)*(1-Inputs!$B$16),0)</f>
        <v>0</v>
      </c>
      <c r="Y59" s="33" t="n">
        <f aca="false">IF(Source_Data!Y$6=Inputs!$B$13,-Inputs!$B$7,0)+IF(Source_Data!Y$6=Inputs!$B$13+24,Inputs!$B$8*Inputs!$B$7*(1-$A$51)*(1-Inputs!$B$16),0)</f>
        <v>0</v>
      </c>
      <c r="Z59" s="33" t="n">
        <f aca="false">IF(Source_Data!Z$6=Inputs!$B$13,-Inputs!$B$7,0)+IF(Source_Data!Z$6=Inputs!$B$13+24,Inputs!$B$8*Inputs!$B$7*(1-$A$51)*(1-Inputs!$B$16),0)</f>
        <v>0</v>
      </c>
      <c r="AA59" s="33" t="n">
        <f aca="false">IF(Source_Data!AA$6=Inputs!$B$13,-Inputs!$B$7,0)+IF(Source_Data!AA$6=Inputs!$B$13+24,Inputs!$B$8*Inputs!$B$7*(1-$A$51)*(1-Inputs!$B$16),0)</f>
        <v>0</v>
      </c>
      <c r="AB59" s="33" t="n">
        <f aca="false">IF(Source_Data!AB$6=Inputs!$B$13,-Inputs!$B$7,0)+IF(Source_Data!AB$6=Inputs!$B$13+24,Inputs!$B$8*Inputs!$B$7*(1-$A$51)*(1-Inputs!$B$16),0)</f>
        <v>0</v>
      </c>
      <c r="AC59" s="33" t="n">
        <f aca="false">IF(Source_Data!AC$6=Inputs!$B$13,-Inputs!$B$7,0)+IF(Source_Data!AC$6=Inputs!$B$13+24,Inputs!$B$8*Inputs!$B$7*(1-$A$51)*(1-Inputs!$B$16),0)</f>
        <v>0</v>
      </c>
      <c r="AD59" s="33" t="n">
        <f aca="false">IF(Source_Data!AD$6=Inputs!$B$13,-Inputs!$B$7,0)+IF(Source_Data!AD$6=Inputs!$B$13+24,Inputs!$B$8*Inputs!$B$7*(1-$A$51)*(1-Inputs!$B$16),0)</f>
        <v>0</v>
      </c>
      <c r="AE59" s="33" t="n">
        <f aca="false">IF(Source_Data!AE$6=Inputs!$B$13,-Inputs!$B$7,0)+IF(Source_Data!AE$6=Inputs!$B$13+24,Inputs!$B$8*Inputs!$B$7*(1-$A$51)*(1-Inputs!$B$16),0)</f>
        <v>0</v>
      </c>
      <c r="AF59" s="33" t="n">
        <f aca="false">IF(Source_Data!AF$6=Inputs!$B$13,-Inputs!$B$7,0)+IF(Source_Data!AF$6=Inputs!$B$13+24,Inputs!$B$8*Inputs!$B$7*(1-$A$51)*(1-Inputs!$B$16),0)</f>
        <v>0</v>
      </c>
      <c r="AG59" s="33" t="n">
        <f aca="false">IF(Source_Data!AG$6=Inputs!$B$13,-Inputs!$B$7,0)+IF(Source_Data!AG$6=Inputs!$B$13+24,Inputs!$B$8*Inputs!$B$7*(1-$A$51)*(1-Inputs!$B$16),0)</f>
        <v>0</v>
      </c>
      <c r="AH59" s="33" t="n">
        <f aca="false">IF(Source_Data!AH$6=Inputs!$B$13,-Inputs!$B$7,0)+IF(Source_Data!AH$6=Inputs!$B$13+24,Inputs!$B$8*Inputs!$B$7*(1-$A$51)*(1-Inputs!$B$16),0)</f>
        <v>0</v>
      </c>
      <c r="AI59" s="33" t="n">
        <f aca="false">IF(Source_Data!AI$6=Inputs!$B$13,-Inputs!$B$7,0)+IF(Source_Data!AI$6=Inputs!$B$13+24,Inputs!$B$8*Inputs!$B$7*(1-$A$51)*(1-Inputs!$B$16),0)</f>
        <v>0</v>
      </c>
      <c r="AJ59" s="33" t="n">
        <f aca="false">IF(Source_Data!AJ$6=Inputs!$B$13,-Inputs!$B$7,0)+IF(Source_Data!AJ$6=Inputs!$B$13+24,Inputs!$B$8*Inputs!$B$7*(1-$A$51)*(1-Inputs!$B$16),0)</f>
        <v>0</v>
      </c>
      <c r="AK59" s="33" t="n">
        <f aca="false">IF(Source_Data!AK$6=Inputs!$B$13,-Inputs!$B$7,0)+IF(Source_Data!AK$6=Inputs!$B$13+24,Inputs!$B$8*Inputs!$B$7*(1-$A$51)*(1-Inputs!$B$16),0)</f>
        <v>0</v>
      </c>
      <c r="AL59" s="33" t="n">
        <f aca="false">IF(Source_Data!AL$6=Inputs!$B$13,-Inputs!$B$7,0)+IF(Source_Data!AL$6=Inputs!$B$13+24,Inputs!$B$8*Inputs!$B$7*(1-$A$51)*(1-Inputs!$B$16),0)</f>
        <v>0</v>
      </c>
      <c r="AM59" s="33" t="n">
        <f aca="false">IF(Source_Data!AM$6=Inputs!$B$13,-Inputs!$B$7,0)+IF(Source_Data!AM$6=Inputs!$B$13+24,Inputs!$B$8*Inputs!$B$7*(1-$A$51)*(1-Inputs!$B$16),0)</f>
        <v>0</v>
      </c>
      <c r="AN59" s="33" t="n">
        <f aca="false">IF(Source_Data!AN$6=Inputs!$B$13,-Inputs!$B$7,0)+IF(Source_Data!AN$6=Inputs!$B$13+24,Inputs!$B$8*Inputs!$B$7*(1-$A$51)*(1-Inputs!$B$16),0)</f>
        <v>0</v>
      </c>
      <c r="AO59" s="33" t="n">
        <f aca="false">IF(Source_Data!AO$6=Inputs!$B$13,-Inputs!$B$7,0)+IF(Source_Data!AO$6=Inputs!$B$13+24,Inputs!$B$8*Inputs!$B$7*(1-$A$51)*(1-Inputs!$B$16),0)</f>
        <v>0</v>
      </c>
      <c r="AP59" s="33" t="n">
        <f aca="false">IF(Source_Data!AP$6=Inputs!$B$13,-Inputs!$B$7,0)+IF(Source_Data!AP$6=Inputs!$B$13+24,Inputs!$B$8*Inputs!$B$7*(1-$A$51)*(1-Inputs!$B$16),0)</f>
        <v>0</v>
      </c>
      <c r="AQ59" s="33" t="n">
        <f aca="false">IF(Source_Data!AQ$6=Inputs!$B$13,-Inputs!$B$7,0)+IF(Source_Data!AQ$6=Inputs!$B$13+24,Inputs!$B$8*Inputs!$B$7*(1-$A$51)*(1-Inputs!$B$16),0)</f>
        <v>0</v>
      </c>
      <c r="AR59" s="33" t="n">
        <f aca="false">IF(Source_Data!AR$6=Inputs!$B$13,-Inputs!$B$7,0)+IF(Source_Data!AR$6=Inputs!$B$13+24,Inputs!$B$8*Inputs!$B$7*(1-$A$51)*(1-Inputs!$B$16),0)</f>
        <v>0</v>
      </c>
      <c r="AS59" s="33" t="n">
        <f aca="false">IF(Source_Data!AS$6=Inputs!$B$13,-Inputs!$B$7,0)+IF(Source_Data!AS$6=Inputs!$B$13+24,Inputs!$B$8*Inputs!$B$7*(1-$A$51)*(1-Inputs!$B$16),0)</f>
        <v>0</v>
      </c>
      <c r="AT59" s="33" t="n">
        <f aca="false">IF(Source_Data!AT$6=Inputs!$B$13,-Inputs!$B$7,0)+IF(Source_Data!AT$6=Inputs!$B$13+24,Inputs!$B$8*Inputs!$B$7*(1-$A$51)*(1-Inputs!$B$16),0)</f>
        <v>0</v>
      </c>
      <c r="AU59" s="33" t="n">
        <f aca="false">IF(Source_Data!AU$6=Inputs!$B$13,-Inputs!$B$7,0)+IF(Source_Data!AU$6=Inputs!$B$13+24,Inputs!$B$8*Inputs!$B$7*(1-$A$51)*(1-Inputs!$B$16),0)</f>
        <v>0</v>
      </c>
      <c r="AV59" s="33" t="n">
        <f aca="false">IF(Source_Data!AV$6=Inputs!$B$13,-Inputs!$B$7,0)+IF(Source_Data!AV$6=Inputs!$B$13+24,Inputs!$B$8*Inputs!$B$7*(1-$A$51)*(1-Inputs!$B$16),0)</f>
        <v>0</v>
      </c>
      <c r="AW59" s="33" t="n">
        <f aca="false">IF(Source_Data!AW$6=Inputs!$B$13,-Inputs!$B$7,0)+IF(Source_Data!AW$6=Inputs!$B$13+24,Inputs!$B$8*Inputs!$B$7*(1-$A$51)*(1-Inputs!$B$16),0)</f>
        <v>0</v>
      </c>
      <c r="AX59" s="33" t="n">
        <f aca="false">IF(Source_Data!AX$6=Inputs!$B$13,-Inputs!$B$7,0)+IF(Source_Data!AX$6=Inputs!$B$13+24,Inputs!$B$8*Inputs!$B$7*(1-$A$51)*(1-Inputs!$B$16),0)</f>
        <v>0</v>
      </c>
      <c r="AY59" s="33" t="n">
        <f aca="false">IF(Source_Data!AY$6=Inputs!$B$13,-Inputs!$B$7,0)+IF(Source_Data!AY$6=Inputs!$B$13+24,Inputs!$B$8*Inputs!$B$7*(1-$A$51)*(1-Inputs!$B$16),0)</f>
        <v>0</v>
      </c>
      <c r="AZ59" s="33" t="n">
        <f aca="false">IF(Source_Data!AZ$6=Inputs!$B$13,-Inputs!$B$7,0)+IF(Source_Data!AZ$6=Inputs!$B$13+24,Inputs!$B$8*Inputs!$B$7*(1-$A$51)*(1-Inputs!$B$16),0)</f>
        <v>0</v>
      </c>
      <c r="BA59" s="33" t="n">
        <f aca="false">IF(Source_Data!BA$6=Inputs!$B$13,-Inputs!$B$7,0)+IF(Source_Data!BA$6=Inputs!$B$13+24,Inputs!$B$8*Inputs!$B$7*(1-$A$51)*(1-Inputs!$B$16),0)</f>
        <v>0</v>
      </c>
      <c r="BB59" s="33" t="n">
        <f aca="false">IF(Source_Data!BB$6=Inputs!$B$13,-Inputs!$B$7,0)+IF(Source_Data!BB$6=Inputs!$B$13+24,Inputs!$B$8*Inputs!$B$7*(1-$A$51)*(1-Inputs!$B$16),0)</f>
        <v>0</v>
      </c>
      <c r="BC59" s="33" t="n">
        <f aca="false">IF(Source_Data!BC$6=Inputs!$B$13,-Inputs!$B$7,0)+IF(Source_Data!BC$6=Inputs!$B$13+24,Inputs!$B$8*Inputs!$B$7*(1-$A$51)*(1-Inputs!$B$16),0)</f>
        <v>0</v>
      </c>
      <c r="BD59" s="33" t="n">
        <f aca="false">IF(Source_Data!BD$6=Inputs!$B$13,-Inputs!$B$7,0)+IF(Source_Data!BD$6=Inputs!$B$13+24,Inputs!$B$8*Inputs!$B$7*(1-$A$51)*(1-Inputs!$B$16),0)</f>
        <v>0</v>
      </c>
      <c r="BE59" s="33" t="n">
        <f aca="false">IF(Source_Data!BE$6=Inputs!$B$13,-Inputs!$B$7,0)+IF(Source_Data!BE$6=Inputs!$B$13+24,Inputs!$B$8*Inputs!$B$7*(1-$A$51)*(1-Inputs!$B$16),0)</f>
        <v>0</v>
      </c>
      <c r="BF59" s="33" t="n">
        <f aca="false">IF(Source_Data!BF$6=Inputs!$B$13,-Inputs!$B$7,0)+IF(Source_Data!BF$6=Inputs!$B$13+24,Inputs!$B$8*Inputs!$B$7*(1-$A$51)*(1-Inputs!$B$16),0)</f>
        <v>0</v>
      </c>
      <c r="BG59" s="33" t="n">
        <f aca="false">IF(Source_Data!BG$6=Inputs!$B$13,-Inputs!$B$7,0)+IF(Source_Data!BG$6=Inputs!$B$13+24,Inputs!$B$8*Inputs!$B$7*(1-$A$51)*(1-Inputs!$B$16),0)</f>
        <v>0</v>
      </c>
      <c r="BH59" s="33" t="n">
        <f aca="false">IF(Source_Data!BH$6=Inputs!$B$13,-Inputs!$B$7,0)+IF(Source_Data!BH$6=Inputs!$B$13+24,Inputs!$B$8*Inputs!$B$7*(1-$A$51)*(1-Inputs!$B$16),0)</f>
        <v>0</v>
      </c>
      <c r="BI59" s="33" t="n">
        <f aca="false">IF(Source_Data!BI$6=Inputs!$B$13,-Inputs!$B$7,0)+IF(Source_Data!BI$6=Inputs!$B$13+24,Inputs!$B$8*Inputs!$B$7*(1-$A$51)*(1-Inputs!$B$16),0)</f>
        <v>0</v>
      </c>
      <c r="BJ59" s="33" t="n">
        <f aca="false">IF(Source_Data!BJ$6=Inputs!$B$13,-Inputs!$B$7,0)+IF(Source_Data!BJ$6=Inputs!$B$13+24,Inputs!$B$8*Inputs!$B$7*(1-$A$51)*(1-Inputs!$B$16),0)</f>
        <v>0</v>
      </c>
      <c r="BK59" s="33" t="n">
        <f aca="false">IF(Source_Data!BK$6=Inputs!$B$13,-Inputs!$B$7,0)+IF(Source_Data!BK$6=Inputs!$B$13+24,Inputs!$B$8*Inputs!$B$7*(1-$A$51)*(1-Inputs!$B$16),0)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291</v>
      </c>
    </row>
    <row r="2" customFormat="false" ht="15" hidden="false" customHeight="false" outlineLevel="0" collapsed="false">
      <c r="A2" s="6" t="s">
        <v>292</v>
      </c>
    </row>
    <row r="4" customFormat="false" ht="15" hidden="false" customHeight="false" outlineLevel="0" collapsed="false">
      <c r="A4" s="7" t="s">
        <v>258</v>
      </c>
      <c r="B4" s="7" t="s">
        <v>183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186</v>
      </c>
      <c r="D5" s="30" t="n">
        <f aca="false">Source_Data!D$6</f>
        <v>-3</v>
      </c>
      <c r="E5" s="30" t="n">
        <f aca="false">Source_Data!E$6</f>
        <v>0</v>
      </c>
      <c r="F5" s="30" t="n">
        <f aca="false">Source_Data!F$6</f>
        <v>3</v>
      </c>
      <c r="G5" s="30" t="n">
        <f aca="false">Source_Data!G$6</f>
        <v>6</v>
      </c>
      <c r="H5" s="30" t="n">
        <f aca="false">Source_Data!H$6</f>
        <v>9</v>
      </c>
      <c r="I5" s="30" t="n">
        <f aca="false">Source_Data!I$6</f>
        <v>12</v>
      </c>
      <c r="J5" s="30" t="n">
        <f aca="false">Source_Data!J$6</f>
        <v>15</v>
      </c>
      <c r="K5" s="30" t="n">
        <f aca="false">Source_Data!K$6</f>
        <v>18</v>
      </c>
      <c r="L5" s="30" t="n">
        <f aca="false">Source_Data!L$6</f>
        <v>21</v>
      </c>
      <c r="M5" s="30" t="n">
        <f aca="false">Source_Data!M$6</f>
        <v>24</v>
      </c>
      <c r="N5" s="30" t="n">
        <f aca="false">Source_Data!N$6</f>
        <v>27</v>
      </c>
      <c r="O5" s="30" t="n">
        <f aca="false">Source_Data!O$6</f>
        <v>30</v>
      </c>
      <c r="P5" s="30" t="n">
        <f aca="false">Source_Data!P$6</f>
        <v>33</v>
      </c>
      <c r="Q5" s="30" t="n">
        <f aca="false">Source_Data!Q$6</f>
        <v>36</v>
      </c>
      <c r="R5" s="30" t="n">
        <f aca="false">Source_Data!R$6</f>
        <v>39</v>
      </c>
      <c r="S5" s="30" t="n">
        <f aca="false">Source_Data!S$6</f>
        <v>42</v>
      </c>
      <c r="T5" s="30" t="n">
        <f aca="false">Source_Data!T$6</f>
        <v>45</v>
      </c>
      <c r="U5" s="30" t="n">
        <f aca="false">Source_Data!U$6</f>
        <v>48</v>
      </c>
      <c r="V5" s="30" t="n">
        <f aca="false">Source_Data!V$6</f>
        <v>51</v>
      </c>
      <c r="W5" s="30" t="n">
        <f aca="false">Source_Data!W$6</f>
        <v>54</v>
      </c>
      <c r="X5" s="30" t="n">
        <f aca="false">Source_Data!X$6</f>
        <v>57</v>
      </c>
      <c r="Y5" s="30" t="n">
        <f aca="false">Source_Data!Y$6</f>
        <v>60</v>
      </c>
      <c r="Z5" s="30" t="n">
        <f aca="false">Source_Data!Z$6</f>
        <v>63</v>
      </c>
      <c r="AA5" s="30" t="n">
        <f aca="false">Source_Data!AA$6</f>
        <v>66</v>
      </c>
      <c r="AB5" s="30" t="n">
        <f aca="false">Source_Data!AB$6</f>
        <v>69</v>
      </c>
      <c r="AC5" s="30" t="n">
        <f aca="false">Source_Data!AC$6</f>
        <v>72</v>
      </c>
      <c r="AD5" s="30" t="n">
        <f aca="false">Source_Data!AD$6</f>
        <v>75</v>
      </c>
      <c r="AE5" s="30" t="n">
        <f aca="false">Source_Data!AE$6</f>
        <v>78</v>
      </c>
      <c r="AF5" s="30" t="n">
        <f aca="false">Source_Data!AF$6</f>
        <v>81</v>
      </c>
      <c r="AG5" s="30" t="n">
        <f aca="false">Source_Data!AG$6</f>
        <v>84</v>
      </c>
      <c r="AH5" s="30" t="n">
        <f aca="false">Source_Data!AH$6</f>
        <v>87</v>
      </c>
      <c r="AI5" s="30" t="n">
        <f aca="false">Source_Data!AI$6</f>
        <v>90</v>
      </c>
      <c r="AJ5" s="30" t="n">
        <f aca="false">Source_Data!AJ$6</f>
        <v>93</v>
      </c>
      <c r="AK5" s="30" t="n">
        <f aca="false">Source_Data!AK$6</f>
        <v>96</v>
      </c>
      <c r="AL5" s="30" t="n">
        <f aca="false">Source_Data!AL$6</f>
        <v>99</v>
      </c>
      <c r="AM5" s="30" t="n">
        <f aca="false">Source_Data!AM$6</f>
        <v>102</v>
      </c>
      <c r="AN5" s="30" t="n">
        <f aca="false">Source_Data!AN$6</f>
        <v>105</v>
      </c>
      <c r="AO5" s="30" t="n">
        <f aca="false">Source_Data!AO$6</f>
        <v>108</v>
      </c>
      <c r="AP5" s="30" t="n">
        <f aca="false">Source_Data!AP$6</f>
        <v>111</v>
      </c>
      <c r="AQ5" s="30" t="n">
        <f aca="false">Source_Data!AQ$6</f>
        <v>114</v>
      </c>
      <c r="AR5" s="30" t="n">
        <f aca="false">Source_Data!AR$6</f>
        <v>117</v>
      </c>
      <c r="AS5" s="30" t="n">
        <f aca="false">Source_Data!AS$6</f>
        <v>120</v>
      </c>
      <c r="AT5" s="30" t="n">
        <f aca="false">Source_Data!AT$6</f>
        <v>123</v>
      </c>
      <c r="AU5" s="30" t="n">
        <f aca="false">Source_Data!AU$6</f>
        <v>126</v>
      </c>
      <c r="AV5" s="30" t="n">
        <f aca="false">Source_Data!AV$6</f>
        <v>129</v>
      </c>
      <c r="AW5" s="30" t="n">
        <f aca="false">Source_Data!AW$6</f>
        <v>132</v>
      </c>
      <c r="AX5" s="30" t="n">
        <f aca="false">Source_Data!AX$6</f>
        <v>135</v>
      </c>
      <c r="AY5" s="30" t="n">
        <f aca="false">Source_Data!AY$6</f>
        <v>138</v>
      </c>
      <c r="AZ5" s="30" t="n">
        <f aca="false">Source_Data!AZ$6</f>
        <v>141</v>
      </c>
      <c r="BA5" s="30" t="n">
        <f aca="false">Source_Data!BA$6</f>
        <v>144</v>
      </c>
      <c r="BB5" s="30" t="n">
        <f aca="false">Source_Data!BB$6</f>
        <v>147</v>
      </c>
      <c r="BC5" s="30" t="n">
        <f aca="false">Source_Data!BC$6</f>
        <v>150</v>
      </c>
      <c r="BD5" s="30" t="n">
        <f aca="false">Source_Data!BD$6</f>
        <v>153</v>
      </c>
      <c r="BE5" s="30" t="n">
        <f aca="false">Source_Data!BE$6</f>
        <v>156</v>
      </c>
      <c r="BF5" s="30" t="n">
        <f aca="false">Source_Data!BF$6</f>
        <v>159</v>
      </c>
      <c r="BG5" s="30" t="n">
        <f aca="false">Source_Data!BG$6</f>
        <v>162</v>
      </c>
      <c r="BH5" s="30" t="n">
        <f aca="false">Source_Data!BH$6</f>
        <v>165</v>
      </c>
      <c r="BI5" s="30" t="n">
        <f aca="false">Source_Data!BI$6</f>
        <v>168</v>
      </c>
      <c r="BJ5" s="30" t="n">
        <f aca="false">Source_Data!BJ$6</f>
        <v>171</v>
      </c>
      <c r="BK5" s="30" t="n">
        <f aca="false">Source_Data!BK$6</f>
        <v>174</v>
      </c>
    </row>
    <row r="6" customFormat="false" ht="15" hidden="false" customHeight="false" outlineLevel="0" collapsed="false">
      <c r="A6" s="3" t="s">
        <v>293</v>
      </c>
      <c r="D6" s="30" t="n">
        <f aca="false">IF(AND(Source_Data!D$6&gt;=Inputs!$B$55,Source_Data!D$6&lt;Inputs!$B$55+3*Inputs!$B$11),1,0)</f>
        <v>0</v>
      </c>
      <c r="E6" s="30" t="n">
        <f aca="false">IF(AND(Source_Data!E$6&gt;=Inputs!$B$55,Source_Data!E$6&lt;Inputs!$B$55+3*Inputs!$B$11),1,0)</f>
        <v>0</v>
      </c>
      <c r="F6" s="30" t="n">
        <f aca="false">IF(AND(Source_Data!F$6&gt;=Inputs!$B$55,Source_Data!F$6&lt;Inputs!$B$55+3*Inputs!$B$11),1,0)</f>
        <v>0</v>
      </c>
      <c r="G6" s="30" t="n">
        <f aca="false">IF(AND(Source_Data!G$6&gt;=Inputs!$B$55,Source_Data!G$6&lt;Inputs!$B$55+3*Inputs!$B$11),1,0)</f>
        <v>0</v>
      </c>
      <c r="H6" s="30" t="n">
        <f aca="false">IF(AND(Source_Data!H$6&gt;=Inputs!$B$55,Source_Data!H$6&lt;Inputs!$B$55+3*Inputs!$B$11),1,0)</f>
        <v>0</v>
      </c>
      <c r="I6" s="30" t="n">
        <f aca="false">IF(AND(Source_Data!I$6&gt;=Inputs!$B$55,Source_Data!I$6&lt;Inputs!$B$55+3*Inputs!$B$11),1,0)</f>
        <v>0</v>
      </c>
      <c r="J6" s="30" t="n">
        <f aca="false">IF(AND(Source_Data!J$6&gt;=Inputs!$B$55,Source_Data!J$6&lt;Inputs!$B$55+3*Inputs!$B$11),1,0)</f>
        <v>0</v>
      </c>
      <c r="K6" s="30" t="n">
        <f aca="false">IF(AND(Source_Data!K$6&gt;=Inputs!$B$55,Source_Data!K$6&lt;Inputs!$B$55+3*Inputs!$B$11),1,0)</f>
        <v>0</v>
      </c>
      <c r="L6" s="30" t="n">
        <f aca="false">IF(AND(Source_Data!L$6&gt;=Inputs!$B$55,Source_Data!L$6&lt;Inputs!$B$55+3*Inputs!$B$11),1,0)</f>
        <v>0</v>
      </c>
      <c r="M6" s="30" t="n">
        <f aca="false">IF(AND(Source_Data!M$6&gt;=Inputs!$B$55,Source_Data!M$6&lt;Inputs!$B$55+3*Inputs!$B$11),1,0)</f>
        <v>1</v>
      </c>
      <c r="N6" s="30" t="n">
        <f aca="false">IF(AND(Source_Data!N$6&gt;=Inputs!$B$55,Source_Data!N$6&lt;Inputs!$B$55+3*Inputs!$B$11),1,0)</f>
        <v>1</v>
      </c>
      <c r="O6" s="30" t="n">
        <f aca="false">IF(AND(Source_Data!O$6&gt;=Inputs!$B$55,Source_Data!O$6&lt;Inputs!$B$55+3*Inputs!$B$11),1,0)</f>
        <v>1</v>
      </c>
      <c r="P6" s="30" t="n">
        <f aca="false">IF(AND(Source_Data!P$6&gt;=Inputs!$B$55,Source_Data!P$6&lt;Inputs!$B$55+3*Inputs!$B$11),1,0)</f>
        <v>1</v>
      </c>
      <c r="Q6" s="30" t="n">
        <f aca="false">IF(AND(Source_Data!Q$6&gt;=Inputs!$B$55,Source_Data!Q$6&lt;Inputs!$B$55+3*Inputs!$B$11),1,0)</f>
        <v>1</v>
      </c>
      <c r="R6" s="30" t="n">
        <f aca="false">IF(AND(Source_Data!R$6&gt;=Inputs!$B$55,Source_Data!R$6&lt;Inputs!$B$55+3*Inputs!$B$11),1,0)</f>
        <v>1</v>
      </c>
      <c r="S6" s="30" t="n">
        <f aca="false">IF(AND(Source_Data!S$6&gt;=Inputs!$B$55,Source_Data!S$6&lt;Inputs!$B$55+3*Inputs!$B$11),1,0)</f>
        <v>1</v>
      </c>
      <c r="T6" s="30" t="n">
        <f aca="false">IF(AND(Source_Data!T$6&gt;=Inputs!$B$55,Source_Data!T$6&lt;Inputs!$B$55+3*Inputs!$B$11),1,0)</f>
        <v>1</v>
      </c>
      <c r="U6" s="30" t="n">
        <f aca="false">IF(AND(Source_Data!U$6&gt;=Inputs!$B$55,Source_Data!U$6&lt;Inputs!$B$55+3*Inputs!$B$11),1,0)</f>
        <v>1</v>
      </c>
      <c r="V6" s="30" t="n">
        <f aca="false">IF(AND(Source_Data!V$6&gt;=Inputs!$B$55,Source_Data!V$6&lt;Inputs!$B$55+3*Inputs!$B$11),1,0)</f>
        <v>1</v>
      </c>
      <c r="W6" s="30" t="n">
        <f aca="false">IF(AND(Source_Data!W$6&gt;=Inputs!$B$55,Source_Data!W$6&lt;Inputs!$B$55+3*Inputs!$B$11),1,0)</f>
        <v>1</v>
      </c>
      <c r="X6" s="30" t="n">
        <f aca="false">IF(AND(Source_Data!X$6&gt;=Inputs!$B$55,Source_Data!X$6&lt;Inputs!$B$55+3*Inputs!$B$11),1,0)</f>
        <v>1</v>
      </c>
      <c r="Y6" s="30" t="n">
        <f aca="false">IF(AND(Source_Data!Y$6&gt;=Inputs!$B$55,Source_Data!Y$6&lt;Inputs!$B$55+3*Inputs!$B$11),1,0)</f>
        <v>0</v>
      </c>
      <c r="Z6" s="30" t="n">
        <f aca="false">IF(AND(Source_Data!Z$6&gt;=Inputs!$B$55,Source_Data!Z$6&lt;Inputs!$B$55+3*Inputs!$B$11),1,0)</f>
        <v>0</v>
      </c>
      <c r="AA6" s="30" t="n">
        <f aca="false">IF(AND(Source_Data!AA$6&gt;=Inputs!$B$55,Source_Data!AA$6&lt;Inputs!$B$55+3*Inputs!$B$11),1,0)</f>
        <v>0</v>
      </c>
      <c r="AB6" s="30" t="n">
        <f aca="false">IF(AND(Source_Data!AB$6&gt;=Inputs!$B$55,Source_Data!AB$6&lt;Inputs!$B$55+3*Inputs!$B$11),1,0)</f>
        <v>0</v>
      </c>
      <c r="AC6" s="30" t="n">
        <f aca="false">IF(AND(Source_Data!AC$6&gt;=Inputs!$B$55,Source_Data!AC$6&lt;Inputs!$B$55+3*Inputs!$B$11),1,0)</f>
        <v>0</v>
      </c>
      <c r="AD6" s="30" t="n">
        <f aca="false">IF(AND(Source_Data!AD$6&gt;=Inputs!$B$55,Source_Data!AD$6&lt;Inputs!$B$55+3*Inputs!$B$11),1,0)</f>
        <v>0</v>
      </c>
      <c r="AE6" s="30" t="n">
        <f aca="false">IF(AND(Source_Data!AE$6&gt;=Inputs!$B$55,Source_Data!AE$6&lt;Inputs!$B$55+3*Inputs!$B$11),1,0)</f>
        <v>0</v>
      </c>
      <c r="AF6" s="30" t="n">
        <f aca="false">IF(AND(Source_Data!AF$6&gt;=Inputs!$B$55,Source_Data!AF$6&lt;Inputs!$B$55+3*Inputs!$B$11),1,0)</f>
        <v>0</v>
      </c>
      <c r="AG6" s="30" t="n">
        <f aca="false">IF(AND(Source_Data!AG$6&gt;=Inputs!$B$55,Source_Data!AG$6&lt;Inputs!$B$55+3*Inputs!$B$11),1,0)</f>
        <v>0</v>
      </c>
      <c r="AH6" s="30" t="n">
        <f aca="false">IF(AND(Source_Data!AH$6&gt;=Inputs!$B$55,Source_Data!AH$6&lt;Inputs!$B$55+3*Inputs!$B$11),1,0)</f>
        <v>0</v>
      </c>
      <c r="AI6" s="30" t="n">
        <f aca="false">IF(AND(Source_Data!AI$6&gt;=Inputs!$B$55,Source_Data!AI$6&lt;Inputs!$B$55+3*Inputs!$B$11),1,0)</f>
        <v>0</v>
      </c>
      <c r="AJ6" s="30" t="n">
        <f aca="false">IF(AND(Source_Data!AJ$6&gt;=Inputs!$B$55,Source_Data!AJ$6&lt;Inputs!$B$55+3*Inputs!$B$11),1,0)</f>
        <v>0</v>
      </c>
      <c r="AK6" s="30" t="n">
        <f aca="false">IF(AND(Source_Data!AK$6&gt;=Inputs!$B$55,Source_Data!AK$6&lt;Inputs!$B$55+3*Inputs!$B$11),1,0)</f>
        <v>0</v>
      </c>
      <c r="AL6" s="30" t="n">
        <f aca="false">IF(AND(Source_Data!AL$6&gt;=Inputs!$B$55,Source_Data!AL$6&lt;Inputs!$B$55+3*Inputs!$B$11),1,0)</f>
        <v>0</v>
      </c>
      <c r="AM6" s="30" t="n">
        <f aca="false">IF(AND(Source_Data!AM$6&gt;=Inputs!$B$55,Source_Data!AM$6&lt;Inputs!$B$55+3*Inputs!$B$11),1,0)</f>
        <v>0</v>
      </c>
      <c r="AN6" s="30" t="n">
        <f aca="false">IF(AND(Source_Data!AN$6&gt;=Inputs!$B$55,Source_Data!AN$6&lt;Inputs!$B$55+3*Inputs!$B$11),1,0)</f>
        <v>0</v>
      </c>
      <c r="AO6" s="30" t="n">
        <f aca="false">IF(AND(Source_Data!AO$6&gt;=Inputs!$B$55,Source_Data!AO$6&lt;Inputs!$B$55+3*Inputs!$B$11),1,0)</f>
        <v>0</v>
      </c>
      <c r="AP6" s="30" t="n">
        <f aca="false">IF(AND(Source_Data!AP$6&gt;=Inputs!$B$55,Source_Data!AP$6&lt;Inputs!$B$55+3*Inputs!$B$11),1,0)</f>
        <v>0</v>
      </c>
      <c r="AQ6" s="30" t="n">
        <f aca="false">IF(AND(Source_Data!AQ$6&gt;=Inputs!$B$55,Source_Data!AQ$6&lt;Inputs!$B$55+3*Inputs!$B$11),1,0)</f>
        <v>0</v>
      </c>
      <c r="AR6" s="30" t="n">
        <f aca="false">IF(AND(Source_Data!AR$6&gt;=Inputs!$B$55,Source_Data!AR$6&lt;Inputs!$B$55+3*Inputs!$B$11),1,0)</f>
        <v>0</v>
      </c>
      <c r="AS6" s="30" t="n">
        <f aca="false">IF(AND(Source_Data!AS$6&gt;=Inputs!$B$55,Source_Data!AS$6&lt;Inputs!$B$55+3*Inputs!$B$11),1,0)</f>
        <v>0</v>
      </c>
      <c r="AT6" s="30" t="n">
        <f aca="false">IF(AND(Source_Data!AT$6&gt;=Inputs!$B$55,Source_Data!AT$6&lt;Inputs!$B$55+3*Inputs!$B$11),1,0)</f>
        <v>0</v>
      </c>
      <c r="AU6" s="30" t="n">
        <f aca="false">IF(AND(Source_Data!AU$6&gt;=Inputs!$B$55,Source_Data!AU$6&lt;Inputs!$B$55+3*Inputs!$B$11),1,0)</f>
        <v>0</v>
      </c>
      <c r="AV6" s="30" t="n">
        <f aca="false">IF(AND(Source_Data!AV$6&gt;=Inputs!$B$55,Source_Data!AV$6&lt;Inputs!$B$55+3*Inputs!$B$11),1,0)</f>
        <v>0</v>
      </c>
      <c r="AW6" s="30" t="n">
        <f aca="false">IF(AND(Source_Data!AW$6&gt;=Inputs!$B$55,Source_Data!AW$6&lt;Inputs!$B$55+3*Inputs!$B$11),1,0)</f>
        <v>0</v>
      </c>
      <c r="AX6" s="30" t="n">
        <f aca="false">IF(AND(Source_Data!AX$6&gt;=Inputs!$B$55,Source_Data!AX$6&lt;Inputs!$B$55+3*Inputs!$B$11),1,0)</f>
        <v>0</v>
      </c>
      <c r="AY6" s="30" t="n">
        <f aca="false">IF(AND(Source_Data!AY$6&gt;=Inputs!$B$55,Source_Data!AY$6&lt;Inputs!$B$55+3*Inputs!$B$11),1,0)</f>
        <v>0</v>
      </c>
      <c r="AZ6" s="30" t="n">
        <f aca="false">IF(AND(Source_Data!AZ$6&gt;=Inputs!$B$55,Source_Data!AZ$6&lt;Inputs!$B$55+3*Inputs!$B$11),1,0)</f>
        <v>0</v>
      </c>
      <c r="BA6" s="30" t="n">
        <f aca="false">IF(AND(Source_Data!BA$6&gt;=Inputs!$B$55,Source_Data!BA$6&lt;Inputs!$B$55+3*Inputs!$B$11),1,0)</f>
        <v>0</v>
      </c>
      <c r="BB6" s="30" t="n">
        <f aca="false">IF(AND(Source_Data!BB$6&gt;=Inputs!$B$55,Source_Data!BB$6&lt;Inputs!$B$55+3*Inputs!$B$11),1,0)</f>
        <v>0</v>
      </c>
      <c r="BC6" s="30" t="n">
        <f aca="false">IF(AND(Source_Data!BC$6&gt;=Inputs!$B$55,Source_Data!BC$6&lt;Inputs!$B$55+3*Inputs!$B$11),1,0)</f>
        <v>0</v>
      </c>
      <c r="BD6" s="30" t="n">
        <f aca="false">IF(AND(Source_Data!BD$6&gt;=Inputs!$B$55,Source_Data!BD$6&lt;Inputs!$B$55+3*Inputs!$B$11),1,0)</f>
        <v>0</v>
      </c>
      <c r="BE6" s="30" t="n">
        <f aca="false">IF(AND(Source_Data!BE$6&gt;=Inputs!$B$55,Source_Data!BE$6&lt;Inputs!$B$55+3*Inputs!$B$11),1,0)</f>
        <v>0</v>
      </c>
      <c r="BF6" s="30" t="n">
        <f aca="false">IF(AND(Source_Data!BF$6&gt;=Inputs!$B$55,Source_Data!BF$6&lt;Inputs!$B$55+3*Inputs!$B$11),1,0)</f>
        <v>0</v>
      </c>
      <c r="BG6" s="30" t="n">
        <f aca="false">IF(AND(Source_Data!BG$6&gt;=Inputs!$B$55,Source_Data!BG$6&lt;Inputs!$B$55+3*Inputs!$B$11),1,0)</f>
        <v>0</v>
      </c>
      <c r="BH6" s="30" t="n">
        <f aca="false">IF(AND(Source_Data!BH$6&gt;=Inputs!$B$55,Source_Data!BH$6&lt;Inputs!$B$55+3*Inputs!$B$11),1,0)</f>
        <v>0</v>
      </c>
      <c r="BI6" s="30" t="n">
        <f aca="false">IF(AND(Source_Data!BI$6&gt;=Inputs!$B$55,Source_Data!BI$6&lt;Inputs!$B$55+3*Inputs!$B$11),1,0)</f>
        <v>0</v>
      </c>
      <c r="BJ6" s="30" t="n">
        <f aca="false">IF(AND(Source_Data!BJ$6&gt;=Inputs!$B$55,Source_Data!BJ$6&lt;Inputs!$B$55+3*Inputs!$B$11),1,0)</f>
        <v>0</v>
      </c>
      <c r="BK6" s="30" t="n">
        <f aca="false">IF(AND(Source_Data!BK$6&gt;=Inputs!$B$55,Source_Data!BK$6&lt;Inputs!$B$55+3*Inputs!$B$11),1,0)</f>
        <v>0</v>
      </c>
    </row>
    <row r="7" customFormat="false" ht="15" hidden="false" customHeight="false" outlineLevel="0" collapsed="false">
      <c r="A7" s="3" t="s">
        <v>294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295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296</v>
      </c>
      <c r="B9" s="38" t="n">
        <f aca="false">SUM(D9:BK9)</f>
        <v>172.5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14.375</v>
      </c>
      <c r="N9" s="33" t="n">
        <f aca="false">N6*(Inputs!$B$9*Inputs!$B$7/Inputs!$B$11)</f>
        <v>14.375</v>
      </c>
      <c r="O9" s="33" t="n">
        <f aca="false">O6*(Inputs!$B$9*Inputs!$B$7/Inputs!$B$11)</f>
        <v>14.375</v>
      </c>
      <c r="P9" s="33" t="n">
        <f aca="false">P6*(Inputs!$B$9*Inputs!$B$7/Inputs!$B$11)</f>
        <v>14.375</v>
      </c>
      <c r="Q9" s="33" t="n">
        <f aca="false">Q6*(Inputs!$B$9*Inputs!$B$7/Inputs!$B$11)</f>
        <v>14.375</v>
      </c>
      <c r="R9" s="33" t="n">
        <f aca="false">R6*(Inputs!$B$9*Inputs!$B$7/Inputs!$B$11)</f>
        <v>14.375</v>
      </c>
      <c r="S9" s="33" t="n">
        <f aca="false">S6*(Inputs!$B$9*Inputs!$B$7/Inputs!$B$11)</f>
        <v>14.375</v>
      </c>
      <c r="T9" s="33" t="n">
        <f aca="false">T6*(Inputs!$B$9*Inputs!$B$7/Inputs!$B$11)</f>
        <v>14.375</v>
      </c>
      <c r="U9" s="33" t="n">
        <f aca="false">U6*(Inputs!$B$9*Inputs!$B$7/Inputs!$B$11)</f>
        <v>14.375</v>
      </c>
      <c r="V9" s="33" t="n">
        <f aca="false">V6*(Inputs!$B$9*Inputs!$B$7/Inputs!$B$11)</f>
        <v>14.375</v>
      </c>
      <c r="W9" s="33" t="n">
        <f aca="false">W6*(Inputs!$B$9*Inputs!$B$7/Inputs!$B$11)</f>
        <v>14.375</v>
      </c>
      <c r="X9" s="33" t="n">
        <f aca="false">X6*(Inputs!$B$9*Inputs!$B$7/Inputs!$B$11)</f>
        <v>14.375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297</v>
      </c>
      <c r="B10" s="38" t="n">
        <f aca="false">SUM(D10:BK10)</f>
        <v>172.5</v>
      </c>
      <c r="D10" s="33" t="n">
        <f aca="false">IF(Source_Data!D$6&gt;=Inputs!$B$55,MAX(0,MIN(MAX(MIN(Inputs!$B$38*D8,Inputs!$B$40*(Inputs!$B$9*Inputs!$B$7/Inputs!$B$11)),Inputs!$B$39*(Inputs!$B$9*Inputs!$B$7/Inputs!$B$11)),Inputs!$B$9*Inputs!$B$7-0)),0)</f>
        <v>0</v>
      </c>
      <c r="E10" s="33" t="n">
        <f aca="false">IF(Source_Data!E$6&gt;=Inputs!$B$55,MAX(0,MIN(MAX(MIN(Inputs!$B$38*E8,Inputs!$B$40*(Inputs!$B$9*Inputs!$B$7/Inputs!$B$11)),Inputs!$B$39*(Inputs!$B$9*Inputs!$B$7/Inputs!$B$11)),Inputs!$B$9*Inputs!$B$7-SUM($D$10:D10))),0)</f>
        <v>0</v>
      </c>
      <c r="F10" s="33" t="n">
        <f aca="false">IF(Source_Data!F$6&gt;=Inputs!$B$55,MAX(0,MIN(MAX(MIN(Inputs!$B$38*F8,Inputs!$B$40*(Inputs!$B$9*Inputs!$B$7/Inputs!$B$11)),Inputs!$B$39*(Inputs!$B$9*Inputs!$B$7/Inputs!$B$11)),Inputs!$B$9*Inputs!$B$7-SUM($D$10:E10))),0)</f>
        <v>0</v>
      </c>
      <c r="G10" s="33" t="n">
        <f aca="false">IF(Source_Data!G$6&gt;=Inputs!$B$55,MAX(0,MIN(MAX(MIN(Inputs!$B$38*G8,Inputs!$B$40*(Inputs!$B$9*Inputs!$B$7/Inputs!$B$11)),Inputs!$B$39*(Inputs!$B$9*Inputs!$B$7/Inputs!$B$11)),Inputs!$B$9*Inputs!$B$7-SUM($D$10:F10))),0)</f>
        <v>0</v>
      </c>
      <c r="H10" s="33" t="n">
        <f aca="false">IF(Source_Data!H$6&gt;=Inputs!$B$55,MAX(0,MIN(MAX(MIN(Inputs!$B$38*H8,Inputs!$B$40*(Inputs!$B$9*Inputs!$B$7/Inputs!$B$11)),Inputs!$B$39*(Inputs!$B$9*Inputs!$B$7/Inputs!$B$11)),Inputs!$B$9*Inputs!$B$7-SUM($D$10:G10))),0)</f>
        <v>0</v>
      </c>
      <c r="I10" s="33" t="n">
        <f aca="false">IF(Source_Data!I$6&gt;=Inputs!$B$55,MAX(0,MIN(MAX(MIN(Inputs!$B$38*I8,Inputs!$B$40*(Inputs!$B$9*Inputs!$B$7/Inputs!$B$11)),Inputs!$B$39*(Inputs!$B$9*Inputs!$B$7/Inputs!$B$11)),Inputs!$B$9*Inputs!$B$7-SUM($D$10:H10))),0)</f>
        <v>0</v>
      </c>
      <c r="J10" s="33" t="n">
        <f aca="false">IF(Source_Data!J$6&gt;=Inputs!$B$55,MAX(0,MIN(MAX(MIN(Inputs!$B$38*J8,Inputs!$B$40*(Inputs!$B$9*Inputs!$B$7/Inputs!$B$11)),Inputs!$B$39*(Inputs!$B$9*Inputs!$B$7/Inputs!$B$11)),Inputs!$B$9*Inputs!$B$7-SUM($D$10:I10))),0)</f>
        <v>0</v>
      </c>
      <c r="K10" s="33" t="n">
        <f aca="false">IF(Source_Data!K$6&gt;=Inputs!$B$55,MAX(0,MIN(MAX(MIN(Inputs!$B$38*K8,Inputs!$B$40*(Inputs!$B$9*Inputs!$B$7/Inputs!$B$11)),Inputs!$B$39*(Inputs!$B$9*Inputs!$B$7/Inputs!$B$11)),Inputs!$B$9*Inputs!$B$7-SUM($D$10:J10))),0)</f>
        <v>0</v>
      </c>
      <c r="L10" s="33" t="n">
        <f aca="false">IF(Source_Data!L$6&gt;=Inputs!$B$55,MAX(0,MIN(MAX(MIN(Inputs!$B$38*L8,Inputs!$B$40*(Inputs!$B$9*Inputs!$B$7/Inputs!$B$11)),Inputs!$B$39*(Inputs!$B$9*Inputs!$B$7/Inputs!$B$11)),Inputs!$B$9*Inputs!$B$7-SUM($D$10:K10))),0)</f>
        <v>0</v>
      </c>
      <c r="M10" s="33" t="n">
        <f aca="false">IF(Source_Data!M$6&gt;=Inputs!$B$55,MAX(0,MIN(MAX(MIN(Inputs!$B$38*M8,Inputs!$B$40*(Inputs!$B$9*Inputs!$B$7/Inputs!$B$11)),Inputs!$B$39*(Inputs!$B$9*Inputs!$B$7/Inputs!$B$11)),Inputs!$B$9*Inputs!$B$7-SUM($D$10:L10))),0)</f>
        <v>21.5625</v>
      </c>
      <c r="N10" s="33" t="n">
        <f aca="false">IF(Source_Data!N$6&gt;=Inputs!$B$55,MAX(0,MIN(MAX(MIN(Inputs!$B$38*N8,Inputs!$B$40*(Inputs!$B$9*Inputs!$B$7/Inputs!$B$11)),Inputs!$B$39*(Inputs!$B$9*Inputs!$B$7/Inputs!$B$11)),Inputs!$B$9*Inputs!$B$7-SUM($D$10:M10))),0)</f>
        <v>21.5625</v>
      </c>
      <c r="O10" s="33" t="n">
        <f aca="false">IF(Source_Data!O$6&gt;=Inputs!$B$55,MAX(0,MIN(MAX(MIN(Inputs!$B$38*O8,Inputs!$B$40*(Inputs!$B$9*Inputs!$B$7/Inputs!$B$11)),Inputs!$B$39*(Inputs!$B$9*Inputs!$B$7/Inputs!$B$11)),Inputs!$B$9*Inputs!$B$7-SUM($D$10:N10))),0)</f>
        <v>21.5625</v>
      </c>
      <c r="P10" s="33" t="n">
        <f aca="false">IF(Source_Data!P$6&gt;=Inputs!$B$55,MAX(0,MIN(MAX(MIN(Inputs!$B$38*P8,Inputs!$B$40*(Inputs!$B$9*Inputs!$B$7/Inputs!$B$11)),Inputs!$B$39*(Inputs!$B$9*Inputs!$B$7/Inputs!$B$11)),Inputs!$B$9*Inputs!$B$7-SUM($D$10:O10))),0)</f>
        <v>18.0450134939875</v>
      </c>
      <c r="Q10" s="33" t="n">
        <f aca="false">IF(Source_Data!Q$6&gt;=Inputs!$B$55,MAX(0,MIN(MAX(MIN(Inputs!$B$38*Q8,Inputs!$B$40*(Inputs!$B$9*Inputs!$B$7/Inputs!$B$11)),Inputs!$B$39*(Inputs!$B$9*Inputs!$B$7/Inputs!$B$11)),Inputs!$B$9*Inputs!$B$7-SUM($D$10:P10))),0)</f>
        <v>13.2235066356962</v>
      </c>
      <c r="R10" s="33" t="n">
        <f aca="false">IF(Source_Data!R$6&gt;=Inputs!$B$55,MAX(0,MIN(MAX(MIN(Inputs!$B$38*R8,Inputs!$B$40*(Inputs!$B$9*Inputs!$B$7/Inputs!$B$11)),Inputs!$B$39*(Inputs!$B$9*Inputs!$B$7/Inputs!$B$11)),Inputs!$B$9*Inputs!$B$7-SUM($D$10:Q10))),0)</f>
        <v>13.2235066356962</v>
      </c>
      <c r="S10" s="33" t="n">
        <f aca="false">IF(Source_Data!S$6&gt;=Inputs!$B$55,MAX(0,MIN(MAX(MIN(Inputs!$B$38*S8,Inputs!$B$40*(Inputs!$B$9*Inputs!$B$7/Inputs!$B$11)),Inputs!$B$39*(Inputs!$B$9*Inputs!$B$7/Inputs!$B$11)),Inputs!$B$9*Inputs!$B$7-SUM($D$10:R10))),0)</f>
        <v>12.6165837376039</v>
      </c>
      <c r="T10" s="33" t="n">
        <f aca="false">IF(Source_Data!T$6&gt;=Inputs!$B$55,MAX(0,MIN(MAX(MIN(Inputs!$B$38*T8,Inputs!$B$40*(Inputs!$B$9*Inputs!$B$7/Inputs!$B$11)),Inputs!$B$39*(Inputs!$B$9*Inputs!$B$7/Inputs!$B$11)),Inputs!$B$9*Inputs!$B$7-SUM($D$10:S10))),0)</f>
        <v>11.3536843499043</v>
      </c>
      <c r="U10" s="33" t="n">
        <f aca="false">IF(Source_Data!U$6&gt;=Inputs!$B$55,MAX(0,MIN(MAX(MIN(Inputs!$B$38*U8,Inputs!$B$40*(Inputs!$B$9*Inputs!$B$7/Inputs!$B$11)),Inputs!$B$39*(Inputs!$B$9*Inputs!$B$7/Inputs!$B$11)),Inputs!$B$9*Inputs!$B$7-SUM($D$10:T10))),0)</f>
        <v>11.072946872312</v>
      </c>
      <c r="V10" s="33" t="n">
        <f aca="false">IF(Source_Data!V$6&gt;=Inputs!$B$55,MAX(0,MIN(MAX(MIN(Inputs!$B$38*V8,Inputs!$B$40*(Inputs!$B$9*Inputs!$B$7/Inputs!$B$11)),Inputs!$B$39*(Inputs!$B$9*Inputs!$B$7/Inputs!$B$11)),Inputs!$B$9*Inputs!$B$7-SUM($D$10:U10))),0)</f>
        <v>9.9624071013344</v>
      </c>
      <c r="W10" s="33" t="n">
        <f aca="false">IF(Source_Data!W$6&gt;=Inputs!$B$55,MAX(0,MIN(MAX(MIN(Inputs!$B$38*W8,Inputs!$B$40*(Inputs!$B$9*Inputs!$B$7/Inputs!$B$11)),Inputs!$B$39*(Inputs!$B$9*Inputs!$B$7/Inputs!$B$11)),Inputs!$B$9*Inputs!$B$7-SUM($D$10:V10))),0)</f>
        <v>9.15742508673273</v>
      </c>
      <c r="X10" s="33" t="n">
        <f aca="false">IF(Source_Data!X$6&gt;=Inputs!$B$55,MAX(0,MIN(MAX(MIN(Inputs!$B$38*X8,Inputs!$B$40*(Inputs!$B$9*Inputs!$B$7/Inputs!$B$11)),Inputs!$B$39*(Inputs!$B$9*Inputs!$B$7/Inputs!$B$11)),Inputs!$B$9*Inputs!$B$7-SUM($D$10:W10))),0)</f>
        <v>9.15742508673273</v>
      </c>
      <c r="Y10" s="33" t="n">
        <f aca="false">IF(Source_Data!Y$6&gt;=Inputs!$B$55,MAX(0,MIN(MAX(MIN(Inputs!$B$38*Y8,Inputs!$B$40*(Inputs!$B$9*Inputs!$B$7/Inputs!$B$11)),Inputs!$B$39*(Inputs!$B$9*Inputs!$B$7/Inputs!$B$11)),Inputs!$B$9*Inputs!$B$7-SUM($D$10:X10))),0)</f>
        <v>9.99999997475243E-007</v>
      </c>
      <c r="Z10" s="33" t="n">
        <f aca="false">IF(Source_Data!Z$6&gt;=Inputs!$B$55,MAX(0,MIN(MAX(MIN(Inputs!$B$38*Z8,Inputs!$B$40*(Inputs!$B$9*Inputs!$B$7/Inputs!$B$11)),Inputs!$B$39*(Inputs!$B$9*Inputs!$B$7/Inputs!$B$11)),Inputs!$B$9*Inputs!$B$7-SUM($D$10:Y10))),0)</f>
        <v>0</v>
      </c>
      <c r="AA10" s="33" t="n">
        <f aca="false">IF(Source_Data!AA$6&gt;=Inputs!$B$55,MAX(0,MIN(MAX(MIN(Inputs!$B$38*AA8,Inputs!$B$40*(Inputs!$B$9*Inputs!$B$7/Inputs!$B$11)),Inputs!$B$39*(Inputs!$B$9*Inputs!$B$7/Inputs!$B$11)),Inputs!$B$9*Inputs!$B$7-SUM($D$10:Z10))),0)</f>
        <v>0</v>
      </c>
      <c r="AB10" s="33" t="n">
        <f aca="false">IF(Source_Data!AB$6&gt;=Inputs!$B$55,MAX(0,MIN(MAX(MIN(Inputs!$B$38*AB8,Inputs!$B$40*(Inputs!$B$9*Inputs!$B$7/Inputs!$B$11)),Inputs!$B$39*(Inputs!$B$9*Inputs!$B$7/Inputs!$B$11)),Inputs!$B$9*Inputs!$B$7-SUM($D$10:AA10))),0)</f>
        <v>0</v>
      </c>
      <c r="AC10" s="33" t="n">
        <f aca="false">IF(Source_Data!AC$6&gt;=Inputs!$B$55,MAX(0,MIN(MAX(MIN(Inputs!$B$38*AC8,Inputs!$B$40*(Inputs!$B$9*Inputs!$B$7/Inputs!$B$11)),Inputs!$B$39*(Inputs!$B$9*Inputs!$B$7/Inputs!$B$11)),Inputs!$B$9*Inputs!$B$7-SUM($D$10:AB10))),0)</f>
        <v>0</v>
      </c>
      <c r="AD10" s="33" t="n">
        <f aca="false">IF(Source_Data!AD$6&gt;=Inputs!$B$55,MAX(0,MIN(MAX(MIN(Inputs!$B$38*AD8,Inputs!$B$40*(Inputs!$B$9*Inputs!$B$7/Inputs!$B$11)),Inputs!$B$39*(Inputs!$B$9*Inputs!$B$7/Inputs!$B$11)),Inputs!$B$9*Inputs!$B$7-SUM($D$10:AC10))),0)</f>
        <v>0</v>
      </c>
      <c r="AE10" s="33" t="n">
        <f aca="false">IF(Source_Data!AE$6&gt;=Inputs!$B$55,MAX(0,MIN(MAX(MIN(Inputs!$B$38*AE8,Inputs!$B$40*(Inputs!$B$9*Inputs!$B$7/Inputs!$B$11)),Inputs!$B$39*(Inputs!$B$9*Inputs!$B$7/Inputs!$B$11)),Inputs!$B$9*Inputs!$B$7-SUM($D$10:AD10))),0)</f>
        <v>0</v>
      </c>
      <c r="AF10" s="33" t="n">
        <f aca="false">IF(Source_Data!AF$6&gt;=Inputs!$B$55,MAX(0,MIN(MAX(MIN(Inputs!$B$38*AF8,Inputs!$B$40*(Inputs!$B$9*Inputs!$B$7/Inputs!$B$11)),Inputs!$B$39*(Inputs!$B$9*Inputs!$B$7/Inputs!$B$11)),Inputs!$B$9*Inputs!$B$7-SUM($D$10:AE10))),0)</f>
        <v>0</v>
      </c>
      <c r="AG10" s="33" t="n">
        <f aca="false">IF(Source_Data!AG$6&gt;=Inputs!$B$55,MAX(0,MIN(MAX(MIN(Inputs!$B$38*AG8,Inputs!$B$40*(Inputs!$B$9*Inputs!$B$7/Inputs!$B$11)),Inputs!$B$39*(Inputs!$B$9*Inputs!$B$7/Inputs!$B$11)),Inputs!$B$9*Inputs!$B$7-SUM($D$10:AF10))),0)</f>
        <v>0</v>
      </c>
      <c r="AH10" s="33" t="n">
        <f aca="false">IF(Source_Data!AH$6&gt;=Inputs!$B$55,MAX(0,MIN(MAX(MIN(Inputs!$B$38*AH8,Inputs!$B$40*(Inputs!$B$9*Inputs!$B$7/Inputs!$B$11)),Inputs!$B$39*(Inputs!$B$9*Inputs!$B$7/Inputs!$B$11)),Inputs!$B$9*Inputs!$B$7-SUM($D$10:AG10))),0)</f>
        <v>0</v>
      </c>
      <c r="AI10" s="33" t="n">
        <f aca="false">IF(Source_Data!AI$6&gt;=Inputs!$B$55,MAX(0,MIN(MAX(MIN(Inputs!$B$38*AI8,Inputs!$B$40*(Inputs!$B$9*Inputs!$B$7/Inputs!$B$11)),Inputs!$B$39*(Inputs!$B$9*Inputs!$B$7/Inputs!$B$11)),Inputs!$B$9*Inputs!$B$7-SUM($D$10:AH10))),0)</f>
        <v>0</v>
      </c>
      <c r="AJ10" s="33" t="n">
        <f aca="false">IF(Source_Data!AJ$6&gt;=Inputs!$B$55,MAX(0,MIN(MAX(MIN(Inputs!$B$38*AJ8,Inputs!$B$40*(Inputs!$B$9*Inputs!$B$7/Inputs!$B$11)),Inputs!$B$39*(Inputs!$B$9*Inputs!$B$7/Inputs!$B$11)),Inputs!$B$9*Inputs!$B$7-SUM($D$10:AI10))),0)</f>
        <v>0</v>
      </c>
      <c r="AK10" s="33" t="n">
        <f aca="false">IF(Source_Data!AK$6&gt;=Inputs!$B$55,MAX(0,MIN(MAX(MIN(Inputs!$B$38*AK8,Inputs!$B$40*(Inputs!$B$9*Inputs!$B$7/Inputs!$B$11)),Inputs!$B$39*(Inputs!$B$9*Inputs!$B$7/Inputs!$B$11)),Inputs!$B$9*Inputs!$B$7-SUM($D$10:AJ10))),0)</f>
        <v>0</v>
      </c>
      <c r="AL10" s="33" t="n">
        <f aca="false">IF(Source_Data!AL$6&gt;=Inputs!$B$55,MAX(0,MIN(MAX(MIN(Inputs!$B$38*AL8,Inputs!$B$40*(Inputs!$B$9*Inputs!$B$7/Inputs!$B$11)),Inputs!$B$39*(Inputs!$B$9*Inputs!$B$7/Inputs!$B$11)),Inputs!$B$9*Inputs!$B$7-SUM($D$10:AK10))),0)</f>
        <v>0</v>
      </c>
      <c r="AM10" s="33" t="n">
        <f aca="false">IF(Source_Data!AM$6&gt;=Inputs!$B$55,MAX(0,MIN(MAX(MIN(Inputs!$B$38*AM8,Inputs!$B$40*(Inputs!$B$9*Inputs!$B$7/Inputs!$B$11)),Inputs!$B$39*(Inputs!$B$9*Inputs!$B$7/Inputs!$B$11)),Inputs!$B$9*Inputs!$B$7-SUM($D$10:AL10))),0)</f>
        <v>0</v>
      </c>
      <c r="AN10" s="33" t="n">
        <f aca="false">IF(Source_Data!AN$6&gt;=Inputs!$B$55,MAX(0,MIN(MAX(MIN(Inputs!$B$38*AN8,Inputs!$B$40*(Inputs!$B$9*Inputs!$B$7/Inputs!$B$11)),Inputs!$B$39*(Inputs!$B$9*Inputs!$B$7/Inputs!$B$11)),Inputs!$B$9*Inputs!$B$7-SUM($D$10:AM10))),0)</f>
        <v>0</v>
      </c>
      <c r="AO10" s="33" t="n">
        <f aca="false">IF(Source_Data!AO$6&gt;=Inputs!$B$55,MAX(0,MIN(MAX(MIN(Inputs!$B$38*AO8,Inputs!$B$40*(Inputs!$B$9*Inputs!$B$7/Inputs!$B$11)),Inputs!$B$39*(Inputs!$B$9*Inputs!$B$7/Inputs!$B$11)),Inputs!$B$9*Inputs!$B$7-SUM($D$10:AN10))),0)</f>
        <v>0</v>
      </c>
      <c r="AP10" s="33" t="n">
        <f aca="false">IF(Source_Data!AP$6&gt;=Inputs!$B$55,MAX(0,MIN(MAX(MIN(Inputs!$B$38*AP8,Inputs!$B$40*(Inputs!$B$9*Inputs!$B$7/Inputs!$B$11)),Inputs!$B$39*(Inputs!$B$9*Inputs!$B$7/Inputs!$B$11)),Inputs!$B$9*Inputs!$B$7-SUM($D$10:AO10))),0)</f>
        <v>0</v>
      </c>
      <c r="AQ10" s="33" t="n">
        <f aca="false">IF(Source_Data!AQ$6&gt;=Inputs!$B$55,MAX(0,MIN(MAX(MIN(Inputs!$B$38*AQ8,Inputs!$B$40*(Inputs!$B$9*Inputs!$B$7/Inputs!$B$11)),Inputs!$B$39*(Inputs!$B$9*Inputs!$B$7/Inputs!$B$11)),Inputs!$B$9*Inputs!$B$7-SUM($D$10:AP10))),0)</f>
        <v>0</v>
      </c>
      <c r="AR10" s="33" t="n">
        <f aca="false">IF(Source_Data!AR$6&gt;=Inputs!$B$55,MAX(0,MIN(MAX(MIN(Inputs!$B$38*AR8,Inputs!$B$40*(Inputs!$B$9*Inputs!$B$7/Inputs!$B$11)),Inputs!$B$39*(Inputs!$B$9*Inputs!$B$7/Inputs!$B$11)),Inputs!$B$9*Inputs!$B$7-SUM($D$10:AQ10))),0)</f>
        <v>0</v>
      </c>
      <c r="AS10" s="33" t="n">
        <f aca="false">IF(Source_Data!AS$6&gt;=Inputs!$B$55,MAX(0,MIN(MAX(MIN(Inputs!$B$38*AS8,Inputs!$B$40*(Inputs!$B$9*Inputs!$B$7/Inputs!$B$11)),Inputs!$B$39*(Inputs!$B$9*Inputs!$B$7/Inputs!$B$11)),Inputs!$B$9*Inputs!$B$7-SUM($D$10:AR10))),0)</f>
        <v>0</v>
      </c>
      <c r="AT10" s="33" t="n">
        <f aca="false">IF(Source_Data!AT$6&gt;=Inputs!$B$55,MAX(0,MIN(MAX(MIN(Inputs!$B$38*AT8,Inputs!$B$40*(Inputs!$B$9*Inputs!$B$7/Inputs!$B$11)),Inputs!$B$39*(Inputs!$B$9*Inputs!$B$7/Inputs!$B$11)),Inputs!$B$9*Inputs!$B$7-SUM($D$10:AS10))),0)</f>
        <v>0</v>
      </c>
      <c r="AU10" s="33" t="n">
        <f aca="false">IF(Source_Data!AU$6&gt;=Inputs!$B$55,MAX(0,MIN(MAX(MIN(Inputs!$B$38*AU8,Inputs!$B$40*(Inputs!$B$9*Inputs!$B$7/Inputs!$B$11)),Inputs!$B$39*(Inputs!$B$9*Inputs!$B$7/Inputs!$B$11)),Inputs!$B$9*Inputs!$B$7-SUM($D$10:AT10))),0)</f>
        <v>0</v>
      </c>
      <c r="AV10" s="33" t="n">
        <f aca="false">IF(Source_Data!AV$6&gt;=Inputs!$B$55,MAX(0,MIN(MAX(MIN(Inputs!$B$38*AV8,Inputs!$B$40*(Inputs!$B$9*Inputs!$B$7/Inputs!$B$11)),Inputs!$B$39*(Inputs!$B$9*Inputs!$B$7/Inputs!$B$11)),Inputs!$B$9*Inputs!$B$7-SUM($D$10:AU10))),0)</f>
        <v>0</v>
      </c>
      <c r="AW10" s="33" t="n">
        <f aca="false">IF(Source_Data!AW$6&gt;=Inputs!$B$55,MAX(0,MIN(MAX(MIN(Inputs!$B$38*AW8,Inputs!$B$40*(Inputs!$B$9*Inputs!$B$7/Inputs!$B$11)),Inputs!$B$39*(Inputs!$B$9*Inputs!$B$7/Inputs!$B$11)),Inputs!$B$9*Inputs!$B$7-SUM($D$10:AV10))),0)</f>
        <v>0</v>
      </c>
      <c r="AX10" s="33" t="n">
        <f aca="false">IF(Source_Data!AX$6&gt;=Inputs!$B$55,MAX(0,MIN(MAX(MIN(Inputs!$B$38*AX8,Inputs!$B$40*(Inputs!$B$9*Inputs!$B$7/Inputs!$B$11)),Inputs!$B$39*(Inputs!$B$9*Inputs!$B$7/Inputs!$B$11)),Inputs!$B$9*Inputs!$B$7-SUM($D$10:AW10))),0)</f>
        <v>0</v>
      </c>
      <c r="AY10" s="33" t="n">
        <f aca="false">IF(Source_Data!AY$6&gt;=Inputs!$B$55,MAX(0,MIN(MAX(MIN(Inputs!$B$38*AY8,Inputs!$B$40*(Inputs!$B$9*Inputs!$B$7/Inputs!$B$11)),Inputs!$B$39*(Inputs!$B$9*Inputs!$B$7/Inputs!$B$11)),Inputs!$B$9*Inputs!$B$7-SUM($D$10:AX10))),0)</f>
        <v>0</v>
      </c>
      <c r="AZ10" s="33" t="n">
        <f aca="false">IF(Source_Data!AZ$6&gt;=Inputs!$B$55,MAX(0,MIN(MAX(MIN(Inputs!$B$38*AZ8,Inputs!$B$40*(Inputs!$B$9*Inputs!$B$7/Inputs!$B$11)),Inputs!$B$39*(Inputs!$B$9*Inputs!$B$7/Inputs!$B$11)),Inputs!$B$9*Inputs!$B$7-SUM($D$10:AY10))),0)</f>
        <v>0</v>
      </c>
      <c r="BA10" s="33" t="n">
        <f aca="false">IF(Source_Data!BA$6&gt;=Inputs!$B$55,MAX(0,MIN(MAX(MIN(Inputs!$B$38*BA8,Inputs!$B$40*(Inputs!$B$9*Inputs!$B$7/Inputs!$B$11)),Inputs!$B$39*(Inputs!$B$9*Inputs!$B$7/Inputs!$B$11)),Inputs!$B$9*Inputs!$B$7-SUM($D$10:AZ10))),0)</f>
        <v>0</v>
      </c>
      <c r="BB10" s="33" t="n">
        <f aca="false">IF(Source_Data!BB$6&gt;=Inputs!$B$55,MAX(0,MIN(MAX(MIN(Inputs!$B$38*BB8,Inputs!$B$40*(Inputs!$B$9*Inputs!$B$7/Inputs!$B$11)),Inputs!$B$39*(Inputs!$B$9*Inputs!$B$7/Inputs!$B$11)),Inputs!$B$9*Inputs!$B$7-SUM($D$10:BA10))),0)</f>
        <v>0</v>
      </c>
      <c r="BC10" s="33" t="n">
        <f aca="false">IF(Source_Data!BC$6&gt;=Inputs!$B$55,MAX(0,MIN(MAX(MIN(Inputs!$B$38*BC8,Inputs!$B$40*(Inputs!$B$9*Inputs!$B$7/Inputs!$B$11)),Inputs!$B$39*(Inputs!$B$9*Inputs!$B$7/Inputs!$B$11)),Inputs!$B$9*Inputs!$B$7-SUM($D$10:BB10))),0)</f>
        <v>0</v>
      </c>
      <c r="BD10" s="33" t="n">
        <f aca="false">IF(Source_Data!BD$6&gt;=Inputs!$B$55,MAX(0,MIN(MAX(MIN(Inputs!$B$38*BD8,Inputs!$B$40*(Inputs!$B$9*Inputs!$B$7/Inputs!$B$11)),Inputs!$B$39*(Inputs!$B$9*Inputs!$B$7/Inputs!$B$11)),Inputs!$B$9*Inputs!$B$7-SUM($D$10:BC10))),0)</f>
        <v>0</v>
      </c>
      <c r="BE10" s="33" t="n">
        <f aca="false">IF(Source_Data!BE$6&gt;=Inputs!$B$55,MAX(0,MIN(MAX(MIN(Inputs!$B$38*BE8,Inputs!$B$40*(Inputs!$B$9*Inputs!$B$7/Inputs!$B$11)),Inputs!$B$39*(Inputs!$B$9*Inputs!$B$7/Inputs!$B$11)),Inputs!$B$9*Inputs!$B$7-SUM($D$10:BD10))),0)</f>
        <v>0</v>
      </c>
      <c r="BF10" s="33" t="n">
        <f aca="false">IF(Source_Data!BF$6&gt;=Inputs!$B$55,MAX(0,MIN(MAX(MIN(Inputs!$B$38*BF8,Inputs!$B$40*(Inputs!$B$9*Inputs!$B$7/Inputs!$B$11)),Inputs!$B$39*(Inputs!$B$9*Inputs!$B$7/Inputs!$B$11)),Inputs!$B$9*Inputs!$B$7-SUM($D$10:BE10))),0)</f>
        <v>0</v>
      </c>
      <c r="BG10" s="33" t="n">
        <f aca="false">IF(Source_Data!BG$6&gt;=Inputs!$B$55,MAX(0,MIN(MAX(MIN(Inputs!$B$38*BG8,Inputs!$B$40*(Inputs!$B$9*Inputs!$B$7/Inputs!$B$11)),Inputs!$B$39*(Inputs!$B$9*Inputs!$B$7/Inputs!$B$11)),Inputs!$B$9*Inputs!$B$7-SUM($D$10:BF10))),0)</f>
        <v>0</v>
      </c>
      <c r="BH10" s="33" t="n">
        <f aca="false">IF(Source_Data!BH$6&gt;=Inputs!$B$55,MAX(0,MIN(MAX(MIN(Inputs!$B$38*BH8,Inputs!$B$40*(Inputs!$B$9*Inputs!$B$7/Inputs!$B$11)),Inputs!$B$39*(Inputs!$B$9*Inputs!$B$7/Inputs!$B$11)),Inputs!$B$9*Inputs!$B$7-SUM($D$10:BG10))),0)</f>
        <v>0</v>
      </c>
      <c r="BI10" s="33" t="n">
        <f aca="false">IF(Source_Data!BI$6&gt;=Inputs!$B$55,MAX(0,MIN(MAX(MIN(Inputs!$B$38*BI8,Inputs!$B$40*(Inputs!$B$9*Inputs!$B$7/Inputs!$B$11)),Inputs!$B$39*(Inputs!$B$9*Inputs!$B$7/Inputs!$B$11)),Inputs!$B$9*Inputs!$B$7-SUM($D$10:BH10))),0)</f>
        <v>0</v>
      </c>
      <c r="BJ10" s="33" t="n">
        <f aca="false">IF(Source_Data!BJ$6&gt;=Inputs!$B$55,MAX(0,MIN(MAX(MIN(Inputs!$B$38*BJ8,Inputs!$B$40*(Inputs!$B$9*Inputs!$B$7/Inputs!$B$11)),Inputs!$B$39*(Inputs!$B$9*Inputs!$B$7/Inputs!$B$11)),Inputs!$B$9*Inputs!$B$7-SUM($D$10:BI10))),0)</f>
        <v>0</v>
      </c>
      <c r="BK10" s="33" t="n">
        <f aca="false">IF(Source_Data!BK$6&gt;=Inputs!$B$55,MAX(0,MIN(MAX(MIN(Inputs!$B$38*BK8,Inputs!$B$40*(Inputs!$B$9*Inputs!$B$7/Inputs!$B$11)),Inputs!$B$39*(Inputs!$B$9*Inputs!$B$7/Inputs!$B$11)),Inputs!$B$9*Inputs!$B$7-SUM($D$10:BJ10))),0)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298</v>
      </c>
      <c r="B11" s="38" t="n">
        <f aca="false">SUM(D11:BK11)</f>
        <v>135</v>
      </c>
      <c r="D11" s="33" t="n">
        <f aca="false">D6*Inputs!$B$41*Inputs!$B$7/Inputs!$B$11</f>
        <v>0</v>
      </c>
      <c r="E11" s="33" t="n">
        <f aca="false">E6*Inputs!$B$41*Inputs!$B$7/Inputs!$B$11</f>
        <v>0</v>
      </c>
      <c r="F11" s="33" t="n">
        <f aca="false">F6*Inputs!$B$41*Inputs!$B$7/Inputs!$B$11</f>
        <v>0</v>
      </c>
      <c r="G11" s="33" t="n">
        <f aca="false">G6*Inputs!$B$41*Inputs!$B$7/Inputs!$B$11</f>
        <v>0</v>
      </c>
      <c r="H11" s="33" t="n">
        <f aca="false">H6*Inputs!$B$41*Inputs!$B$7/Inputs!$B$11</f>
        <v>0</v>
      </c>
      <c r="I11" s="33" t="n">
        <f aca="false">I6*Inputs!$B$41*Inputs!$B$7/Inputs!$B$11</f>
        <v>0</v>
      </c>
      <c r="J11" s="33" t="n">
        <f aca="false">J6*Inputs!$B$41*Inputs!$B$7/Inputs!$B$11</f>
        <v>0</v>
      </c>
      <c r="K11" s="33" t="n">
        <f aca="false">K6*Inputs!$B$41*Inputs!$B$7/Inputs!$B$11</f>
        <v>0</v>
      </c>
      <c r="L11" s="33" t="n">
        <f aca="false">L6*Inputs!$B$41*Inputs!$B$7/Inputs!$B$11</f>
        <v>0</v>
      </c>
      <c r="M11" s="33" t="n">
        <f aca="false">M6*Inputs!$B$41*Inputs!$B$7/Inputs!$B$11</f>
        <v>11.25</v>
      </c>
      <c r="N11" s="33" t="n">
        <f aca="false">N6*Inputs!$B$41*Inputs!$B$7/Inputs!$B$11</f>
        <v>11.25</v>
      </c>
      <c r="O11" s="33" t="n">
        <f aca="false">O6*Inputs!$B$41*Inputs!$B$7/Inputs!$B$11</f>
        <v>11.25</v>
      </c>
      <c r="P11" s="33" t="n">
        <f aca="false">P6*Inputs!$B$41*Inputs!$B$7/Inputs!$B$11</f>
        <v>11.25</v>
      </c>
      <c r="Q11" s="33" t="n">
        <f aca="false">Q6*Inputs!$B$41*Inputs!$B$7/Inputs!$B$11</f>
        <v>11.25</v>
      </c>
      <c r="R11" s="33" t="n">
        <f aca="false">R6*Inputs!$B$41*Inputs!$B$7/Inputs!$B$11</f>
        <v>11.25</v>
      </c>
      <c r="S11" s="33" t="n">
        <f aca="false">S6*Inputs!$B$41*Inputs!$B$7/Inputs!$B$11</f>
        <v>11.25</v>
      </c>
      <c r="T11" s="33" t="n">
        <f aca="false">T6*Inputs!$B$41*Inputs!$B$7/Inputs!$B$11</f>
        <v>11.25</v>
      </c>
      <c r="U11" s="33" t="n">
        <f aca="false">U6*Inputs!$B$41*Inputs!$B$7/Inputs!$B$11</f>
        <v>11.25</v>
      </c>
      <c r="V11" s="33" t="n">
        <f aca="false">V6*Inputs!$B$41*Inputs!$B$7/Inputs!$B$11</f>
        <v>11.25</v>
      </c>
      <c r="W11" s="33" t="n">
        <f aca="false">W6*Inputs!$B$41*Inputs!$B$7/Inputs!$B$11</f>
        <v>11.25</v>
      </c>
      <c r="X11" s="33" t="n">
        <f aca="false">X6*Inputs!$B$41*Inputs!$B$7/Inputs!$B$11</f>
        <v>11.25</v>
      </c>
      <c r="Y11" s="33" t="n">
        <f aca="false">Y6*Inputs!$B$41*Inputs!$B$7/Inputs!$B$11</f>
        <v>0</v>
      </c>
      <c r="Z11" s="33" t="n">
        <f aca="false">Z6*Inputs!$B$41*Inputs!$B$7/Inputs!$B$11</f>
        <v>0</v>
      </c>
      <c r="AA11" s="33" t="n">
        <f aca="false">AA6*Inputs!$B$41*Inputs!$B$7/Inputs!$B$11</f>
        <v>0</v>
      </c>
      <c r="AB11" s="33" t="n">
        <f aca="false">AB6*Inputs!$B$41*Inputs!$B$7/Inputs!$B$11</f>
        <v>0</v>
      </c>
      <c r="AC11" s="33" t="n">
        <f aca="false">AC6*Inputs!$B$41*Inputs!$B$7/Inputs!$B$11</f>
        <v>0</v>
      </c>
      <c r="AD11" s="33" t="n">
        <f aca="false">AD6*Inputs!$B$41*Inputs!$B$7/Inputs!$B$11</f>
        <v>0</v>
      </c>
      <c r="AE11" s="33" t="n">
        <f aca="false">AE6*Inputs!$B$41*Inputs!$B$7/Inputs!$B$11</f>
        <v>0</v>
      </c>
      <c r="AF11" s="33" t="n">
        <f aca="false">AF6*Inputs!$B$41*Inputs!$B$7/Inputs!$B$11</f>
        <v>0</v>
      </c>
      <c r="AG11" s="33" t="n">
        <f aca="false">AG6*Inputs!$B$41*Inputs!$B$7/Inputs!$B$11</f>
        <v>0</v>
      </c>
      <c r="AH11" s="33" t="n">
        <f aca="false">AH6*Inputs!$B$41*Inputs!$B$7/Inputs!$B$11</f>
        <v>0</v>
      </c>
      <c r="AI11" s="33" t="n">
        <f aca="false">AI6*Inputs!$B$41*Inputs!$B$7/Inputs!$B$11</f>
        <v>0</v>
      </c>
      <c r="AJ11" s="33" t="n">
        <f aca="false">AJ6*Inputs!$B$41*Inputs!$B$7/Inputs!$B$11</f>
        <v>0</v>
      </c>
      <c r="AK11" s="33" t="n">
        <f aca="false">AK6*Inputs!$B$41*Inputs!$B$7/Inputs!$B$11</f>
        <v>0</v>
      </c>
      <c r="AL11" s="33" t="n">
        <f aca="false">AL6*Inputs!$B$41*Inputs!$B$7/Inputs!$B$11</f>
        <v>0</v>
      </c>
      <c r="AM11" s="33" t="n">
        <f aca="false">AM6*Inputs!$B$41*Inputs!$B$7/Inputs!$B$11</f>
        <v>0</v>
      </c>
      <c r="AN11" s="33" t="n">
        <f aca="false">AN6*Inputs!$B$41*Inputs!$B$7/Inputs!$B$11</f>
        <v>0</v>
      </c>
      <c r="AO11" s="33" t="n">
        <f aca="false">AO6*Inputs!$B$41*Inputs!$B$7/Inputs!$B$11</f>
        <v>0</v>
      </c>
      <c r="AP11" s="33" t="n">
        <f aca="false">AP6*Inputs!$B$41*Inputs!$B$7/Inputs!$B$11</f>
        <v>0</v>
      </c>
      <c r="AQ11" s="33" t="n">
        <f aca="false">AQ6*Inputs!$B$41*Inputs!$B$7/Inputs!$B$11</f>
        <v>0</v>
      </c>
      <c r="AR11" s="33" t="n">
        <f aca="false">AR6*Inputs!$B$41*Inputs!$B$7/Inputs!$B$11</f>
        <v>0</v>
      </c>
      <c r="AS11" s="33" t="n">
        <f aca="false">AS6*Inputs!$B$41*Inputs!$B$7/Inputs!$B$11</f>
        <v>0</v>
      </c>
      <c r="AT11" s="33" t="n">
        <f aca="false">AT6*Inputs!$B$41*Inputs!$B$7/Inputs!$B$11</f>
        <v>0</v>
      </c>
      <c r="AU11" s="33" t="n">
        <f aca="false">AU6*Inputs!$B$41*Inputs!$B$7/Inputs!$B$11</f>
        <v>0</v>
      </c>
      <c r="AV11" s="33" t="n">
        <f aca="false">AV6*Inputs!$B$41*Inputs!$B$7/Inputs!$B$11</f>
        <v>0</v>
      </c>
      <c r="AW11" s="33" t="n">
        <f aca="false">AW6*Inputs!$B$41*Inputs!$B$7/Inputs!$B$11</f>
        <v>0</v>
      </c>
      <c r="AX11" s="33" t="n">
        <f aca="false">AX6*Inputs!$B$41*Inputs!$B$7/Inputs!$B$11</f>
        <v>0</v>
      </c>
      <c r="AY11" s="33" t="n">
        <f aca="false">AY6*Inputs!$B$41*Inputs!$B$7/Inputs!$B$11</f>
        <v>0</v>
      </c>
      <c r="AZ11" s="33" t="n">
        <f aca="false">AZ6*Inputs!$B$41*Inputs!$B$7/Inputs!$B$11</f>
        <v>0</v>
      </c>
      <c r="BA11" s="33" t="n">
        <f aca="false">BA6*Inputs!$B$41*Inputs!$B$7/Inputs!$B$11</f>
        <v>0</v>
      </c>
      <c r="BB11" s="33" t="n">
        <f aca="false">BB6*Inputs!$B$41*Inputs!$B$7/Inputs!$B$11</f>
        <v>0</v>
      </c>
      <c r="BC11" s="33" t="n">
        <f aca="false">BC6*Inputs!$B$41*Inputs!$B$7/Inputs!$B$11</f>
        <v>0</v>
      </c>
      <c r="BD11" s="33" t="n">
        <f aca="false">BD6*Inputs!$B$41*Inputs!$B$7/Inputs!$B$11</f>
        <v>0</v>
      </c>
      <c r="BE11" s="33" t="n">
        <f aca="false">BE6*Inputs!$B$41*Inputs!$B$7/Inputs!$B$11</f>
        <v>0</v>
      </c>
      <c r="BF11" s="33" t="n">
        <f aca="false">BF6*Inputs!$B$41*Inputs!$B$7/Inputs!$B$11</f>
        <v>0</v>
      </c>
      <c r="BG11" s="33" t="n">
        <f aca="false">BG6*Inputs!$B$41*Inputs!$B$7/Inputs!$B$11</f>
        <v>0</v>
      </c>
      <c r="BH11" s="33" t="n">
        <f aca="false">BH6*Inputs!$B$41*Inputs!$B$7/Inputs!$B$11</f>
        <v>0</v>
      </c>
      <c r="BI11" s="33" t="n">
        <f aca="false">BI6*Inputs!$B$41*Inputs!$B$7/Inputs!$B$11</f>
        <v>0</v>
      </c>
      <c r="BJ11" s="33" t="n">
        <f aca="false">BJ6*Inputs!$B$41*Inputs!$B$7/Inputs!$B$11</f>
        <v>0</v>
      </c>
      <c r="BK11" s="33" t="n">
        <f aca="false">BK6*Inputs!$B$41*Inputs!$B$7/Inputs!$B$11</f>
        <v>0</v>
      </c>
    </row>
    <row r="12" customFormat="false" ht="15" hidden="false" customHeight="false" outlineLevel="0" collapsed="false">
      <c r="A12" s="3" t="s">
        <v>299</v>
      </c>
      <c r="B12" s="38" t="n">
        <f aca="false">SUM(D12:BK12)</f>
        <v>37.5</v>
      </c>
      <c r="D12" s="33" t="n">
        <f aca="false">IF(D6=1,MAX(0,MIN(Inputs!$B$43*D8,Inputs!$B$42*Inputs!$B$7-Inputs!$B$41*Inputs!$B$7-0)),0)</f>
        <v>0</v>
      </c>
      <c r="E12" s="33" t="n">
        <f aca="false">IF(E6=1,MAX(0,MIN(Inputs!$B$43*E8,Inputs!$B$42*Inputs!$B$7-Inputs!$B$41*Inputs!$B$7-SUM($D$12:D12))),0)</f>
        <v>0</v>
      </c>
      <c r="F12" s="33" t="n">
        <f aca="false">IF(F6=1,MAX(0,MIN(Inputs!$B$43*F8,Inputs!$B$42*Inputs!$B$7-Inputs!$B$41*Inputs!$B$7-SUM($D$12:E12))),0)</f>
        <v>0</v>
      </c>
      <c r="G12" s="33" t="n">
        <f aca="false">IF(G6=1,MAX(0,MIN(Inputs!$B$43*G8,Inputs!$B$42*Inputs!$B$7-Inputs!$B$41*Inputs!$B$7-SUM($D$12:F12))),0)</f>
        <v>0</v>
      </c>
      <c r="H12" s="33" t="n">
        <f aca="false">IF(H6=1,MAX(0,MIN(Inputs!$B$43*H8,Inputs!$B$42*Inputs!$B$7-Inputs!$B$41*Inputs!$B$7-SUM($D$12:G12))),0)</f>
        <v>0</v>
      </c>
      <c r="I12" s="33" t="n">
        <f aca="false">IF(I6=1,MAX(0,MIN(Inputs!$B$43*I8,Inputs!$B$42*Inputs!$B$7-Inputs!$B$41*Inputs!$B$7-SUM($D$12:H12))),0)</f>
        <v>0</v>
      </c>
      <c r="J12" s="33" t="n">
        <f aca="false">IF(J6=1,MAX(0,MIN(Inputs!$B$43*J8,Inputs!$B$42*Inputs!$B$7-Inputs!$B$41*Inputs!$B$7-SUM($D$12:I12))),0)</f>
        <v>0</v>
      </c>
      <c r="K12" s="33" t="n">
        <f aca="false">IF(K6=1,MAX(0,MIN(Inputs!$B$43*K8,Inputs!$B$42*Inputs!$B$7-Inputs!$B$41*Inputs!$B$7-SUM($D$12:J12))),0)</f>
        <v>0</v>
      </c>
      <c r="L12" s="33" t="n">
        <f aca="false">IF(L6=1,MAX(0,MIN(Inputs!$B$43*L8,Inputs!$B$42*Inputs!$B$7-Inputs!$B$41*Inputs!$B$7-SUM($D$12:K12))),0)</f>
        <v>0</v>
      </c>
      <c r="M12" s="33" t="n">
        <f aca="false">IF(M6=1,MAX(0,MIN(Inputs!$B$43*M8,Inputs!$B$42*Inputs!$B$7-Inputs!$B$41*Inputs!$B$7-SUM($D$12:L12))),0)</f>
        <v>12.9083284435174</v>
      </c>
      <c r="N12" s="33" t="n">
        <f aca="false">IF(N6=1,MAX(0,MIN(Inputs!$B$43*N8,Inputs!$B$42*Inputs!$B$7-Inputs!$B$41*Inputs!$B$7-SUM($D$12:M12))),0)</f>
        <v>4.83691062526891</v>
      </c>
      <c r="O12" s="33" t="n">
        <f aca="false">IF(O6=1,MAX(0,MIN(Inputs!$B$43*O8,Inputs!$B$42*Inputs!$B$7-Inputs!$B$41*Inputs!$B$7-SUM($D$12:N12))),0)</f>
        <v>4.60119373319928</v>
      </c>
      <c r="P12" s="33" t="n">
        <f aca="false">IF(P6=1,MAX(0,MIN(Inputs!$B$43*P8,Inputs!$B$42*Inputs!$B$7-Inputs!$B$41*Inputs!$B$7-SUM($D$12:O12))),0)</f>
        <v>2.53631375866927</v>
      </c>
      <c r="Q12" s="33" t="n">
        <f aca="false">IF(Q6=1,MAX(0,MIN(Inputs!$B$43*Q8,Inputs!$B$42*Inputs!$B$7-Inputs!$B$41*Inputs!$B$7-SUM($D$12:P12))),0)</f>
        <v>1.85862769396907</v>
      </c>
      <c r="R12" s="33" t="n">
        <f aca="false">IF(R6=1,MAX(0,MIN(Inputs!$B$43*R8,Inputs!$B$42*Inputs!$B$7-Inputs!$B$41*Inputs!$B$7-SUM($D$12:Q12))),0)</f>
        <v>1.85862769396907</v>
      </c>
      <c r="S12" s="33" t="n">
        <f aca="false">IF(S6=1,MAX(0,MIN(Inputs!$B$43*S8,Inputs!$B$42*Inputs!$B$7-Inputs!$B$41*Inputs!$B$7-SUM($D$12:R12))),0)</f>
        <v>1.77332175072907</v>
      </c>
      <c r="T12" s="33" t="n">
        <f aca="false">IF(T6=1,MAX(0,MIN(Inputs!$B$43*T8,Inputs!$B$42*Inputs!$B$7-Inputs!$B$41*Inputs!$B$7-SUM($D$12:S12))),0)</f>
        <v>1.59581514515603</v>
      </c>
      <c r="U12" s="33" t="n">
        <f aca="false">IF(U6=1,MAX(0,MIN(Inputs!$B$43*U8,Inputs!$B$42*Inputs!$B$7-Inputs!$B$41*Inputs!$B$7-SUM($D$12:T12))),0)</f>
        <v>1.55635613742358</v>
      </c>
      <c r="V12" s="33" t="n">
        <f aca="false">IF(V6=1,MAX(0,MIN(Inputs!$B$43*V8,Inputs!$B$42*Inputs!$B$7-Inputs!$B$41*Inputs!$B$7-SUM($D$12:U12))),0)</f>
        <v>1.40026441149506</v>
      </c>
      <c r="W12" s="33" t="n">
        <f aca="false">IF(W6=1,MAX(0,MIN(Inputs!$B$43*W8,Inputs!$B$42*Inputs!$B$7-Inputs!$B$41*Inputs!$B$7-SUM($D$12:V12))),0)</f>
        <v>1.28712030330164</v>
      </c>
      <c r="X12" s="33" t="n">
        <f aca="false">IF(X6=1,MAX(0,MIN(Inputs!$B$43*X8,Inputs!$B$42*Inputs!$B$7-Inputs!$B$41*Inputs!$B$7-SUM($D$12:W12))),0)</f>
        <v>1.28712030330164</v>
      </c>
      <c r="Y12" s="33" t="n">
        <f aca="false">IF(Y6=1,MAX(0,MIN(Inputs!$B$43*Y8,Inputs!$B$42*Inputs!$B$7-Inputs!$B$41*Inputs!$B$7-SUM($D$12:X12))),0)</f>
        <v>0</v>
      </c>
      <c r="Z12" s="33" t="n">
        <f aca="false">IF(Z6=1,MAX(0,MIN(Inputs!$B$43*Z8,Inputs!$B$42*Inputs!$B$7-Inputs!$B$41*Inputs!$B$7-SUM($D$12:Y12))),0)</f>
        <v>0</v>
      </c>
      <c r="AA12" s="33" t="n">
        <f aca="false">IF(AA6=1,MAX(0,MIN(Inputs!$B$43*AA8,Inputs!$B$42*Inputs!$B$7-Inputs!$B$41*Inputs!$B$7-SUM($D$12:Z12))),0)</f>
        <v>0</v>
      </c>
      <c r="AB12" s="33" t="n">
        <f aca="false">IF(AB6=1,MAX(0,MIN(Inputs!$B$43*AB8,Inputs!$B$42*Inputs!$B$7-Inputs!$B$41*Inputs!$B$7-SUM($D$12:AA12))),0)</f>
        <v>0</v>
      </c>
      <c r="AC12" s="33" t="n">
        <f aca="false">IF(AC6=1,MAX(0,MIN(Inputs!$B$43*AC8,Inputs!$B$42*Inputs!$B$7-Inputs!$B$41*Inputs!$B$7-SUM($D$12:AB12))),0)</f>
        <v>0</v>
      </c>
      <c r="AD12" s="33" t="n">
        <f aca="false">IF(AD6=1,MAX(0,MIN(Inputs!$B$43*AD8,Inputs!$B$42*Inputs!$B$7-Inputs!$B$41*Inputs!$B$7-SUM($D$12:AC12))),0)</f>
        <v>0</v>
      </c>
      <c r="AE12" s="33" t="n">
        <f aca="false">IF(AE6=1,MAX(0,MIN(Inputs!$B$43*AE8,Inputs!$B$42*Inputs!$B$7-Inputs!$B$41*Inputs!$B$7-SUM($D$12:AD12))),0)</f>
        <v>0</v>
      </c>
      <c r="AF12" s="33" t="n">
        <f aca="false">IF(AF6=1,MAX(0,MIN(Inputs!$B$43*AF8,Inputs!$B$42*Inputs!$B$7-Inputs!$B$41*Inputs!$B$7-SUM($D$12:AE12))),0)</f>
        <v>0</v>
      </c>
      <c r="AG12" s="33" t="n">
        <f aca="false">IF(AG6=1,MAX(0,MIN(Inputs!$B$43*AG8,Inputs!$B$42*Inputs!$B$7-Inputs!$B$41*Inputs!$B$7-SUM($D$12:AF12))),0)</f>
        <v>0</v>
      </c>
      <c r="AH12" s="33" t="n">
        <f aca="false">IF(AH6=1,MAX(0,MIN(Inputs!$B$43*AH8,Inputs!$B$42*Inputs!$B$7-Inputs!$B$41*Inputs!$B$7-SUM($D$12:AG12))),0)</f>
        <v>0</v>
      </c>
      <c r="AI12" s="33" t="n">
        <f aca="false">IF(AI6=1,MAX(0,MIN(Inputs!$B$43*AI8,Inputs!$B$42*Inputs!$B$7-Inputs!$B$41*Inputs!$B$7-SUM($D$12:AH12))),0)</f>
        <v>0</v>
      </c>
      <c r="AJ12" s="33" t="n">
        <f aca="false">IF(AJ6=1,MAX(0,MIN(Inputs!$B$43*AJ8,Inputs!$B$42*Inputs!$B$7-Inputs!$B$41*Inputs!$B$7-SUM($D$12:AI12))),0)</f>
        <v>0</v>
      </c>
      <c r="AK12" s="33" t="n">
        <f aca="false">IF(AK6=1,MAX(0,MIN(Inputs!$B$43*AK8,Inputs!$B$42*Inputs!$B$7-Inputs!$B$41*Inputs!$B$7-SUM($D$12:AJ12))),0)</f>
        <v>0</v>
      </c>
      <c r="AL12" s="33" t="n">
        <f aca="false">IF(AL6=1,MAX(0,MIN(Inputs!$B$43*AL8,Inputs!$B$42*Inputs!$B$7-Inputs!$B$41*Inputs!$B$7-SUM($D$12:AK12))),0)</f>
        <v>0</v>
      </c>
      <c r="AM12" s="33" t="n">
        <f aca="false">IF(AM6=1,MAX(0,MIN(Inputs!$B$43*AM8,Inputs!$B$42*Inputs!$B$7-Inputs!$B$41*Inputs!$B$7-SUM($D$12:AL12))),0)</f>
        <v>0</v>
      </c>
      <c r="AN12" s="33" t="n">
        <f aca="false">IF(AN6=1,MAX(0,MIN(Inputs!$B$43*AN8,Inputs!$B$42*Inputs!$B$7-Inputs!$B$41*Inputs!$B$7-SUM($D$12:AM12))),0)</f>
        <v>0</v>
      </c>
      <c r="AO12" s="33" t="n">
        <f aca="false">IF(AO6=1,MAX(0,MIN(Inputs!$B$43*AO8,Inputs!$B$42*Inputs!$B$7-Inputs!$B$41*Inputs!$B$7-SUM($D$12:AN12))),0)</f>
        <v>0</v>
      </c>
      <c r="AP12" s="33" t="n">
        <f aca="false">IF(AP6=1,MAX(0,MIN(Inputs!$B$43*AP8,Inputs!$B$42*Inputs!$B$7-Inputs!$B$41*Inputs!$B$7-SUM($D$12:AO12))),0)</f>
        <v>0</v>
      </c>
      <c r="AQ12" s="33" t="n">
        <f aca="false">IF(AQ6=1,MAX(0,MIN(Inputs!$B$43*AQ8,Inputs!$B$42*Inputs!$B$7-Inputs!$B$41*Inputs!$B$7-SUM($D$12:AP12))),0)</f>
        <v>0</v>
      </c>
      <c r="AR12" s="33" t="n">
        <f aca="false">IF(AR6=1,MAX(0,MIN(Inputs!$B$43*AR8,Inputs!$B$42*Inputs!$B$7-Inputs!$B$41*Inputs!$B$7-SUM($D$12:AQ12))),0)</f>
        <v>0</v>
      </c>
      <c r="AS12" s="33" t="n">
        <f aca="false">IF(AS6=1,MAX(0,MIN(Inputs!$B$43*AS8,Inputs!$B$42*Inputs!$B$7-Inputs!$B$41*Inputs!$B$7-SUM($D$12:AR12))),0)</f>
        <v>0</v>
      </c>
      <c r="AT12" s="33" t="n">
        <f aca="false">IF(AT6=1,MAX(0,MIN(Inputs!$B$43*AT8,Inputs!$B$42*Inputs!$B$7-Inputs!$B$41*Inputs!$B$7-SUM($D$12:AS12))),0)</f>
        <v>0</v>
      </c>
      <c r="AU12" s="33" t="n">
        <f aca="false">IF(AU6=1,MAX(0,MIN(Inputs!$B$43*AU8,Inputs!$B$42*Inputs!$B$7-Inputs!$B$41*Inputs!$B$7-SUM($D$12:AT12))),0)</f>
        <v>0</v>
      </c>
      <c r="AV12" s="33" t="n">
        <f aca="false">IF(AV6=1,MAX(0,MIN(Inputs!$B$43*AV8,Inputs!$B$42*Inputs!$B$7-Inputs!$B$41*Inputs!$B$7-SUM($D$12:AU12))),0)</f>
        <v>0</v>
      </c>
      <c r="AW12" s="33" t="n">
        <f aca="false">IF(AW6=1,MAX(0,MIN(Inputs!$B$43*AW8,Inputs!$B$42*Inputs!$B$7-Inputs!$B$41*Inputs!$B$7-SUM($D$12:AV12))),0)</f>
        <v>0</v>
      </c>
      <c r="AX12" s="33" t="n">
        <f aca="false">IF(AX6=1,MAX(0,MIN(Inputs!$B$43*AX8,Inputs!$B$42*Inputs!$B$7-Inputs!$B$41*Inputs!$B$7-SUM($D$12:AW12))),0)</f>
        <v>0</v>
      </c>
      <c r="AY12" s="33" t="n">
        <f aca="false">IF(AY6=1,MAX(0,MIN(Inputs!$B$43*AY8,Inputs!$B$42*Inputs!$B$7-Inputs!$B$41*Inputs!$B$7-SUM($D$12:AX12))),0)</f>
        <v>0</v>
      </c>
      <c r="AZ12" s="33" t="n">
        <f aca="false">IF(AZ6=1,MAX(0,MIN(Inputs!$B$43*AZ8,Inputs!$B$42*Inputs!$B$7-Inputs!$B$41*Inputs!$B$7-SUM($D$12:AY12))),0)</f>
        <v>0</v>
      </c>
      <c r="BA12" s="33" t="n">
        <f aca="false">IF(BA6=1,MAX(0,MIN(Inputs!$B$43*BA8,Inputs!$B$42*Inputs!$B$7-Inputs!$B$41*Inputs!$B$7-SUM($D$12:AZ12))),0)</f>
        <v>0</v>
      </c>
      <c r="BB12" s="33" t="n">
        <f aca="false">IF(BB6=1,MAX(0,MIN(Inputs!$B$43*BB8,Inputs!$B$42*Inputs!$B$7-Inputs!$B$41*Inputs!$B$7-SUM($D$12:BA12))),0)</f>
        <v>0</v>
      </c>
      <c r="BC12" s="33" t="n">
        <f aca="false">IF(BC6=1,MAX(0,MIN(Inputs!$B$43*BC8,Inputs!$B$42*Inputs!$B$7-Inputs!$B$41*Inputs!$B$7-SUM($D$12:BB12))),0)</f>
        <v>0</v>
      </c>
      <c r="BD12" s="33" t="n">
        <f aca="false">IF(BD6=1,MAX(0,MIN(Inputs!$B$43*BD8,Inputs!$B$42*Inputs!$B$7-Inputs!$B$41*Inputs!$B$7-SUM($D$12:BC12))),0)</f>
        <v>0</v>
      </c>
      <c r="BE12" s="33" t="n">
        <f aca="false">IF(BE6=1,MAX(0,MIN(Inputs!$B$43*BE8,Inputs!$B$42*Inputs!$B$7-Inputs!$B$41*Inputs!$B$7-SUM($D$12:BD12))),0)</f>
        <v>0</v>
      </c>
      <c r="BF12" s="33" t="n">
        <f aca="false">IF(BF6=1,MAX(0,MIN(Inputs!$B$43*BF8,Inputs!$B$42*Inputs!$B$7-Inputs!$B$41*Inputs!$B$7-SUM($D$12:BE12))),0)</f>
        <v>0</v>
      </c>
      <c r="BG12" s="33" t="n">
        <f aca="false">IF(BG6=1,MAX(0,MIN(Inputs!$B$43*BG8,Inputs!$B$42*Inputs!$B$7-Inputs!$B$41*Inputs!$B$7-SUM($D$12:BF12))),0)</f>
        <v>0</v>
      </c>
      <c r="BH12" s="33" t="n">
        <f aca="false">IF(BH6=1,MAX(0,MIN(Inputs!$B$43*BH8,Inputs!$B$42*Inputs!$B$7-Inputs!$B$41*Inputs!$B$7-SUM($D$12:BG12))),0)</f>
        <v>0</v>
      </c>
      <c r="BI12" s="33" t="n">
        <f aca="false">IF(BI6=1,MAX(0,MIN(Inputs!$B$43*BI8,Inputs!$B$42*Inputs!$B$7-Inputs!$B$41*Inputs!$B$7-SUM($D$12:BH12))),0)</f>
        <v>0</v>
      </c>
      <c r="BJ12" s="33" t="n">
        <f aca="false">IF(BJ6=1,MAX(0,MIN(Inputs!$B$43*BJ8,Inputs!$B$42*Inputs!$B$7-Inputs!$B$41*Inputs!$B$7-SUM($D$12:BI12))),0)</f>
        <v>0</v>
      </c>
      <c r="BK12" s="33" t="n">
        <f aca="false">IF(BK6=1,MAX(0,MIN(Inputs!$B$43*BK8,Inputs!$B$42*Inputs!$B$7-Inputs!$B$41*Inputs!$B$7-SUM($D$12:BJ12))),0)</f>
        <v>0</v>
      </c>
    </row>
    <row r="13" customFormat="false" ht="15" hidden="false" customHeight="false" outlineLevel="0" collapsed="false">
      <c r="A13" s="2" t="s">
        <v>300</v>
      </c>
      <c r="B13" s="38" t="n">
        <f aca="false">SUM(D13:BK13)</f>
        <v>172.5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24.1583284435174</v>
      </c>
      <c r="N13" s="33" t="n">
        <f aca="false">N11+N12</f>
        <v>16.0869106252689</v>
      </c>
      <c r="O13" s="33" t="n">
        <f aca="false">O11+O12</f>
        <v>15.8511937331993</v>
      </c>
      <c r="P13" s="33" t="n">
        <f aca="false">P11+P12</f>
        <v>13.7863137586693</v>
      </c>
      <c r="Q13" s="33" t="n">
        <f aca="false">Q11+Q12</f>
        <v>13.1086276939691</v>
      </c>
      <c r="R13" s="33" t="n">
        <f aca="false">R11+R12</f>
        <v>13.1086276939691</v>
      </c>
      <c r="S13" s="33" t="n">
        <f aca="false">S11+S12</f>
        <v>13.0233217507291</v>
      </c>
      <c r="T13" s="33" t="n">
        <f aca="false">T11+T12</f>
        <v>12.845815145156</v>
      </c>
      <c r="U13" s="33" t="n">
        <f aca="false">U11+U12</f>
        <v>12.8063561374236</v>
      </c>
      <c r="V13" s="33" t="n">
        <f aca="false">V11+V12</f>
        <v>12.6502644114951</v>
      </c>
      <c r="W13" s="33" t="n">
        <f aca="false">W11+W12</f>
        <v>12.5371203033016</v>
      </c>
      <c r="X13" s="33" t="n">
        <f aca="false">X11+X12</f>
        <v>12.5371203033016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301</v>
      </c>
      <c r="D14" s="33" t="n">
        <f aca="false">-IF(Source_Data!D$6=Inputs!$B$13,Inputs!$B$7,0)+D9</f>
        <v>-75</v>
      </c>
      <c r="E14" s="33" t="n">
        <f aca="false">-IF(Source_Data!E$6=Inputs!$B$13,Inputs!$B$7,0)+E9</f>
        <v>0</v>
      </c>
      <c r="F14" s="33" t="n">
        <f aca="false">-IF(Source_Data!F$6=Inputs!$B$13,Inputs!$B$7,0)+F9</f>
        <v>0</v>
      </c>
      <c r="G14" s="33" t="n">
        <f aca="false">-IF(Source_Data!G$6=Inputs!$B$13,Inputs!$B$7,0)+G9</f>
        <v>0</v>
      </c>
      <c r="H14" s="33" t="n">
        <f aca="false">-IF(Source_Data!H$6=Inputs!$B$13,Inputs!$B$7,0)+H9</f>
        <v>0</v>
      </c>
      <c r="I14" s="33" t="n">
        <f aca="false">-IF(Source_Data!I$6=Inputs!$B$13,Inputs!$B$7,0)+I9</f>
        <v>0</v>
      </c>
      <c r="J14" s="33" t="n">
        <f aca="false">-IF(Source_Data!J$6=Inputs!$B$13,Inputs!$B$7,0)+J9</f>
        <v>0</v>
      </c>
      <c r="K14" s="33" t="n">
        <f aca="false">-IF(Source_Data!K$6=Inputs!$B$13,Inputs!$B$7,0)+K9</f>
        <v>0</v>
      </c>
      <c r="L14" s="33" t="n">
        <f aca="false">-IF(Source_Data!L$6=Inputs!$B$13,Inputs!$B$7,0)+L9</f>
        <v>0</v>
      </c>
      <c r="M14" s="33" t="n">
        <f aca="false">-IF(Source_Data!M$6=Inputs!$B$13,Inputs!$B$7,0)+M9</f>
        <v>14.375</v>
      </c>
      <c r="N14" s="33" t="n">
        <f aca="false">-IF(Source_Data!N$6=Inputs!$B$13,Inputs!$B$7,0)+N9</f>
        <v>14.375</v>
      </c>
      <c r="O14" s="33" t="n">
        <f aca="false">-IF(Source_Data!O$6=Inputs!$B$13,Inputs!$B$7,0)+O9</f>
        <v>14.375</v>
      </c>
      <c r="P14" s="33" t="n">
        <f aca="false">-IF(Source_Data!P$6=Inputs!$B$13,Inputs!$B$7,0)+P9</f>
        <v>14.375</v>
      </c>
      <c r="Q14" s="33" t="n">
        <f aca="false">-IF(Source_Data!Q$6=Inputs!$B$13,Inputs!$B$7,0)+Q9</f>
        <v>14.375</v>
      </c>
      <c r="R14" s="33" t="n">
        <f aca="false">-IF(Source_Data!R$6=Inputs!$B$13,Inputs!$B$7,0)+R9</f>
        <v>14.375</v>
      </c>
      <c r="S14" s="33" t="n">
        <f aca="false">-IF(Source_Data!S$6=Inputs!$B$13,Inputs!$B$7,0)+S9</f>
        <v>14.375</v>
      </c>
      <c r="T14" s="33" t="n">
        <f aca="false">-IF(Source_Data!T$6=Inputs!$B$13,Inputs!$B$7,0)+T9</f>
        <v>14.375</v>
      </c>
      <c r="U14" s="33" t="n">
        <f aca="false">-IF(Source_Data!U$6=Inputs!$B$13,Inputs!$B$7,0)+U9</f>
        <v>14.375</v>
      </c>
      <c r="V14" s="33" t="n">
        <f aca="false">-IF(Source_Data!V$6=Inputs!$B$13,Inputs!$B$7,0)+V9</f>
        <v>14.375</v>
      </c>
      <c r="W14" s="33" t="n">
        <f aca="false">-IF(Source_Data!W$6=Inputs!$B$13,Inputs!$B$7,0)+W9</f>
        <v>14.375</v>
      </c>
      <c r="X14" s="33" t="n">
        <f aca="false">-IF(Source_Data!X$6=Inputs!$B$13,Inputs!$B$7,0)+X9</f>
        <v>14.375</v>
      </c>
      <c r="Y14" s="33" t="n">
        <f aca="false">-IF(Source_Data!Y$6=Inputs!$B$13,Inputs!$B$7,0)+Y9</f>
        <v>0</v>
      </c>
      <c r="Z14" s="33" t="n">
        <f aca="false">-IF(Source_Data!Z$6=Inputs!$B$13,Inputs!$B$7,0)+Z9</f>
        <v>0</v>
      </c>
      <c r="AA14" s="33" t="n">
        <f aca="false">-IF(Source_Data!AA$6=Inputs!$B$13,Inputs!$B$7,0)+AA9</f>
        <v>0</v>
      </c>
      <c r="AB14" s="33" t="n">
        <f aca="false">-IF(Source_Data!AB$6=Inputs!$B$13,Inputs!$B$7,0)+AB9</f>
        <v>0</v>
      </c>
      <c r="AC14" s="33" t="n">
        <f aca="false">-IF(Source_Data!AC$6=Inputs!$B$13,Inputs!$B$7,0)+AC9</f>
        <v>0</v>
      </c>
      <c r="AD14" s="33" t="n">
        <f aca="false">-IF(Source_Data!AD$6=Inputs!$B$13,Inputs!$B$7,0)+AD9</f>
        <v>0</v>
      </c>
      <c r="AE14" s="33" t="n">
        <f aca="false">-IF(Source_Data!AE$6=Inputs!$B$13,Inputs!$B$7,0)+AE9</f>
        <v>0</v>
      </c>
      <c r="AF14" s="33" t="n">
        <f aca="false">-IF(Source_Data!AF$6=Inputs!$B$13,Inputs!$B$7,0)+AF9</f>
        <v>0</v>
      </c>
      <c r="AG14" s="33" t="n">
        <f aca="false">-IF(Source_Data!AG$6=Inputs!$B$13,Inputs!$B$7,0)+AG9</f>
        <v>0</v>
      </c>
      <c r="AH14" s="33" t="n">
        <f aca="false">-IF(Source_Data!AH$6=Inputs!$B$13,Inputs!$B$7,0)+AH9</f>
        <v>0</v>
      </c>
      <c r="AI14" s="33" t="n">
        <f aca="false">-IF(Source_Data!AI$6=Inputs!$B$13,Inputs!$B$7,0)+AI9</f>
        <v>0</v>
      </c>
      <c r="AJ14" s="33" t="n">
        <f aca="false">-IF(Source_Data!AJ$6=Inputs!$B$13,Inputs!$B$7,0)+AJ9</f>
        <v>0</v>
      </c>
      <c r="AK14" s="33" t="n">
        <f aca="false">-IF(Source_Data!AK$6=Inputs!$B$13,Inputs!$B$7,0)+AK9</f>
        <v>0</v>
      </c>
      <c r="AL14" s="33" t="n">
        <f aca="false">-IF(Source_Data!AL$6=Inputs!$B$13,Inputs!$B$7,0)+AL9</f>
        <v>0</v>
      </c>
      <c r="AM14" s="33" t="n">
        <f aca="false">-IF(Source_Data!AM$6=Inputs!$B$13,Inputs!$B$7,0)+AM9</f>
        <v>0</v>
      </c>
      <c r="AN14" s="33" t="n">
        <f aca="false">-IF(Source_Data!AN$6=Inputs!$B$13,Inputs!$B$7,0)+AN9</f>
        <v>0</v>
      </c>
      <c r="AO14" s="33" t="n">
        <f aca="false">-IF(Source_Data!AO$6=Inputs!$B$13,Inputs!$B$7,0)+AO9</f>
        <v>0</v>
      </c>
      <c r="AP14" s="33" t="n">
        <f aca="false">-IF(Source_Data!AP$6=Inputs!$B$13,Inputs!$B$7,0)+AP9</f>
        <v>0</v>
      </c>
      <c r="AQ14" s="33" t="n">
        <f aca="false">-IF(Source_Data!AQ$6=Inputs!$B$13,Inputs!$B$7,0)+AQ9</f>
        <v>0</v>
      </c>
      <c r="AR14" s="33" t="n">
        <f aca="false">-IF(Source_Data!AR$6=Inputs!$B$13,Inputs!$B$7,0)+AR9</f>
        <v>0</v>
      </c>
      <c r="AS14" s="33" t="n">
        <f aca="false">-IF(Source_Data!AS$6=Inputs!$B$13,Inputs!$B$7,0)+AS9</f>
        <v>0</v>
      </c>
      <c r="AT14" s="33" t="n">
        <f aca="false">-IF(Source_Data!AT$6=Inputs!$B$13,Inputs!$B$7,0)+AT9</f>
        <v>0</v>
      </c>
      <c r="AU14" s="33" t="n">
        <f aca="false">-IF(Source_Data!AU$6=Inputs!$B$13,Inputs!$B$7,0)+AU9</f>
        <v>0</v>
      </c>
      <c r="AV14" s="33" t="n">
        <f aca="false">-IF(Source_Data!AV$6=Inputs!$B$13,Inputs!$B$7,0)+AV9</f>
        <v>0</v>
      </c>
      <c r="AW14" s="33" t="n">
        <f aca="false">-IF(Source_Data!AW$6=Inputs!$B$13,Inputs!$B$7,0)+AW9</f>
        <v>0</v>
      </c>
      <c r="AX14" s="33" t="n">
        <f aca="false">-IF(Source_Data!AX$6=Inputs!$B$13,Inputs!$B$7,0)+AX9</f>
        <v>0</v>
      </c>
      <c r="AY14" s="33" t="n">
        <f aca="false">-IF(Source_Data!AY$6=Inputs!$B$13,Inputs!$B$7,0)+AY9</f>
        <v>0</v>
      </c>
      <c r="AZ14" s="33" t="n">
        <f aca="false">-IF(Source_Data!AZ$6=Inputs!$B$13,Inputs!$B$7,0)+AZ9</f>
        <v>0</v>
      </c>
      <c r="BA14" s="33" t="n">
        <f aca="false">-IF(Source_Data!BA$6=Inputs!$B$13,Inputs!$B$7,0)+BA9</f>
        <v>0</v>
      </c>
      <c r="BB14" s="33" t="n">
        <f aca="false">-IF(Source_Data!BB$6=Inputs!$B$13,Inputs!$B$7,0)+BB9</f>
        <v>0</v>
      </c>
      <c r="BC14" s="33" t="n">
        <f aca="false">-IF(Source_Data!BC$6=Inputs!$B$13,Inputs!$B$7,0)+BC9</f>
        <v>0</v>
      </c>
      <c r="BD14" s="33" t="n">
        <f aca="false">-IF(Source_Data!BD$6=Inputs!$B$13,Inputs!$B$7,0)+BD9</f>
        <v>0</v>
      </c>
      <c r="BE14" s="33" t="n">
        <f aca="false">-IF(Source_Data!BE$6=Inputs!$B$13,Inputs!$B$7,0)+BE9</f>
        <v>0</v>
      </c>
      <c r="BF14" s="33" t="n">
        <f aca="false">-IF(Source_Data!BF$6=Inputs!$B$13,Inputs!$B$7,0)+BF9</f>
        <v>0</v>
      </c>
      <c r="BG14" s="33" t="n">
        <f aca="false">-IF(Source_Data!BG$6=Inputs!$B$13,Inputs!$B$7,0)+BG9</f>
        <v>0</v>
      </c>
      <c r="BH14" s="33" t="n">
        <f aca="false">-IF(Source_Data!BH$6=Inputs!$B$13,Inputs!$B$7,0)+BH9</f>
        <v>0</v>
      </c>
      <c r="BI14" s="33" t="n">
        <f aca="false">-IF(Source_Data!BI$6=Inputs!$B$13,Inputs!$B$7,0)+BI9</f>
        <v>0</v>
      </c>
      <c r="BJ14" s="33" t="n">
        <f aca="false">-IF(Source_Data!BJ$6=Inputs!$B$13,Inputs!$B$7,0)+BJ9</f>
        <v>0</v>
      </c>
      <c r="BK14" s="33" t="n">
        <f aca="false">-IF(Source_Data!BK$6=Inputs!$B$13,Inputs!$B$7,0)+BK9</f>
        <v>0</v>
      </c>
    </row>
    <row r="15" customFormat="false" ht="15" hidden="false" customHeight="false" outlineLevel="0" collapsed="false">
      <c r="A15" s="3" t="s">
        <v>302</v>
      </c>
      <c r="D15" s="33" t="n">
        <f aca="false">-IF(Source_Data!D$6=Inputs!$B$13,Inputs!$B$7,0)+D10</f>
        <v>-75</v>
      </c>
      <c r="E15" s="33" t="n">
        <f aca="false">-IF(Source_Data!E$6=Inputs!$B$13,Inputs!$B$7,0)+E10</f>
        <v>0</v>
      </c>
      <c r="F15" s="33" t="n">
        <f aca="false">-IF(Source_Data!F$6=Inputs!$B$13,Inputs!$B$7,0)+F10</f>
        <v>0</v>
      </c>
      <c r="G15" s="33" t="n">
        <f aca="false">-IF(Source_Data!G$6=Inputs!$B$13,Inputs!$B$7,0)+G10</f>
        <v>0</v>
      </c>
      <c r="H15" s="33" t="n">
        <f aca="false">-IF(Source_Data!H$6=Inputs!$B$13,Inputs!$B$7,0)+H10</f>
        <v>0</v>
      </c>
      <c r="I15" s="33" t="n">
        <f aca="false">-IF(Source_Data!I$6=Inputs!$B$13,Inputs!$B$7,0)+I10</f>
        <v>0</v>
      </c>
      <c r="J15" s="33" t="n">
        <f aca="false">-IF(Source_Data!J$6=Inputs!$B$13,Inputs!$B$7,0)+J10</f>
        <v>0</v>
      </c>
      <c r="K15" s="33" t="n">
        <f aca="false">-IF(Source_Data!K$6=Inputs!$B$13,Inputs!$B$7,0)+K10</f>
        <v>0</v>
      </c>
      <c r="L15" s="33" t="n">
        <f aca="false">-IF(Source_Data!L$6=Inputs!$B$13,Inputs!$B$7,0)+L10</f>
        <v>0</v>
      </c>
      <c r="M15" s="33" t="n">
        <f aca="false">-IF(Source_Data!M$6=Inputs!$B$13,Inputs!$B$7,0)+M10</f>
        <v>21.5625</v>
      </c>
      <c r="N15" s="33" t="n">
        <f aca="false">-IF(Source_Data!N$6=Inputs!$B$13,Inputs!$B$7,0)+N10</f>
        <v>21.5625</v>
      </c>
      <c r="O15" s="33" t="n">
        <f aca="false">-IF(Source_Data!O$6=Inputs!$B$13,Inputs!$B$7,0)+O10</f>
        <v>21.5625</v>
      </c>
      <c r="P15" s="33" t="n">
        <f aca="false">-IF(Source_Data!P$6=Inputs!$B$13,Inputs!$B$7,0)+P10</f>
        <v>18.0450134939875</v>
      </c>
      <c r="Q15" s="33" t="n">
        <f aca="false">-IF(Source_Data!Q$6=Inputs!$B$13,Inputs!$B$7,0)+Q10</f>
        <v>13.2235066356962</v>
      </c>
      <c r="R15" s="33" t="n">
        <f aca="false">-IF(Source_Data!R$6=Inputs!$B$13,Inputs!$B$7,0)+R10</f>
        <v>13.2235066356962</v>
      </c>
      <c r="S15" s="33" t="n">
        <f aca="false">-IF(Source_Data!S$6=Inputs!$B$13,Inputs!$B$7,0)+S10</f>
        <v>12.6165837376039</v>
      </c>
      <c r="T15" s="33" t="n">
        <f aca="false">-IF(Source_Data!T$6=Inputs!$B$13,Inputs!$B$7,0)+T10</f>
        <v>11.3536843499043</v>
      </c>
      <c r="U15" s="33" t="n">
        <f aca="false">-IF(Source_Data!U$6=Inputs!$B$13,Inputs!$B$7,0)+U10</f>
        <v>11.072946872312</v>
      </c>
      <c r="V15" s="33" t="n">
        <f aca="false">-IF(Source_Data!V$6=Inputs!$B$13,Inputs!$B$7,0)+V10</f>
        <v>9.9624071013344</v>
      </c>
      <c r="W15" s="33" t="n">
        <f aca="false">-IF(Source_Data!W$6=Inputs!$B$13,Inputs!$B$7,0)+W10</f>
        <v>9.15742508673273</v>
      </c>
      <c r="X15" s="33" t="n">
        <f aca="false">-IF(Source_Data!X$6=Inputs!$B$13,Inputs!$B$7,0)+X10</f>
        <v>9.15742508673273</v>
      </c>
      <c r="Y15" s="33" t="n">
        <f aca="false">-IF(Source_Data!Y$6=Inputs!$B$13,Inputs!$B$7,0)+Y10</f>
        <v>9.99999997475243E-007</v>
      </c>
      <c r="Z15" s="33" t="n">
        <f aca="false">-IF(Source_Data!Z$6=Inputs!$B$13,Inputs!$B$7,0)+Z10</f>
        <v>0</v>
      </c>
      <c r="AA15" s="33" t="n">
        <f aca="false">-IF(Source_Data!AA$6=Inputs!$B$13,Inputs!$B$7,0)+AA10</f>
        <v>0</v>
      </c>
      <c r="AB15" s="33" t="n">
        <f aca="false">-IF(Source_Data!AB$6=Inputs!$B$13,Inputs!$B$7,0)+AB10</f>
        <v>0</v>
      </c>
      <c r="AC15" s="33" t="n">
        <f aca="false">-IF(Source_Data!AC$6=Inputs!$B$13,Inputs!$B$7,0)+AC10</f>
        <v>0</v>
      </c>
      <c r="AD15" s="33" t="n">
        <f aca="false">-IF(Source_Data!AD$6=Inputs!$B$13,Inputs!$B$7,0)+AD10</f>
        <v>0</v>
      </c>
      <c r="AE15" s="33" t="n">
        <f aca="false">-IF(Source_Data!AE$6=Inputs!$B$13,Inputs!$B$7,0)+AE10</f>
        <v>0</v>
      </c>
      <c r="AF15" s="33" t="n">
        <f aca="false">-IF(Source_Data!AF$6=Inputs!$B$13,Inputs!$B$7,0)+AF10</f>
        <v>0</v>
      </c>
      <c r="AG15" s="33" t="n">
        <f aca="false">-IF(Source_Data!AG$6=Inputs!$B$13,Inputs!$B$7,0)+AG10</f>
        <v>0</v>
      </c>
      <c r="AH15" s="33" t="n">
        <f aca="false">-IF(Source_Data!AH$6=Inputs!$B$13,Inputs!$B$7,0)+AH10</f>
        <v>0</v>
      </c>
      <c r="AI15" s="33" t="n">
        <f aca="false">-IF(Source_Data!AI$6=Inputs!$B$13,Inputs!$B$7,0)+AI10</f>
        <v>0</v>
      </c>
      <c r="AJ15" s="33" t="n">
        <f aca="false">-IF(Source_Data!AJ$6=Inputs!$B$13,Inputs!$B$7,0)+AJ10</f>
        <v>0</v>
      </c>
      <c r="AK15" s="33" t="n">
        <f aca="false">-IF(Source_Data!AK$6=Inputs!$B$13,Inputs!$B$7,0)+AK10</f>
        <v>0</v>
      </c>
      <c r="AL15" s="33" t="n">
        <f aca="false">-IF(Source_Data!AL$6=Inputs!$B$13,Inputs!$B$7,0)+AL10</f>
        <v>0</v>
      </c>
      <c r="AM15" s="33" t="n">
        <f aca="false">-IF(Source_Data!AM$6=Inputs!$B$13,Inputs!$B$7,0)+AM10</f>
        <v>0</v>
      </c>
      <c r="AN15" s="33" t="n">
        <f aca="false">-IF(Source_Data!AN$6=Inputs!$B$13,Inputs!$B$7,0)+AN10</f>
        <v>0</v>
      </c>
      <c r="AO15" s="33" t="n">
        <f aca="false">-IF(Source_Data!AO$6=Inputs!$B$13,Inputs!$B$7,0)+AO10</f>
        <v>0</v>
      </c>
      <c r="AP15" s="33" t="n">
        <f aca="false">-IF(Source_Data!AP$6=Inputs!$B$13,Inputs!$B$7,0)+AP10</f>
        <v>0</v>
      </c>
      <c r="AQ15" s="33" t="n">
        <f aca="false">-IF(Source_Data!AQ$6=Inputs!$B$13,Inputs!$B$7,0)+AQ10</f>
        <v>0</v>
      </c>
      <c r="AR15" s="33" t="n">
        <f aca="false">-IF(Source_Data!AR$6=Inputs!$B$13,Inputs!$B$7,0)+AR10</f>
        <v>0</v>
      </c>
      <c r="AS15" s="33" t="n">
        <f aca="false">-IF(Source_Data!AS$6=Inputs!$B$13,Inputs!$B$7,0)+AS10</f>
        <v>0</v>
      </c>
      <c r="AT15" s="33" t="n">
        <f aca="false">-IF(Source_Data!AT$6=Inputs!$B$13,Inputs!$B$7,0)+AT10</f>
        <v>0</v>
      </c>
      <c r="AU15" s="33" t="n">
        <f aca="false">-IF(Source_Data!AU$6=Inputs!$B$13,Inputs!$B$7,0)+AU10</f>
        <v>0</v>
      </c>
      <c r="AV15" s="33" t="n">
        <f aca="false">-IF(Source_Data!AV$6=Inputs!$B$13,Inputs!$B$7,0)+AV10</f>
        <v>0</v>
      </c>
      <c r="AW15" s="33" t="n">
        <f aca="false">-IF(Source_Data!AW$6=Inputs!$B$13,Inputs!$B$7,0)+AW10</f>
        <v>0</v>
      </c>
      <c r="AX15" s="33" t="n">
        <f aca="false">-IF(Source_Data!AX$6=Inputs!$B$13,Inputs!$B$7,0)+AX10</f>
        <v>0</v>
      </c>
      <c r="AY15" s="33" t="n">
        <f aca="false">-IF(Source_Data!AY$6=Inputs!$B$13,Inputs!$B$7,0)+AY10</f>
        <v>0</v>
      </c>
      <c r="AZ15" s="33" t="n">
        <f aca="false">-IF(Source_Data!AZ$6=Inputs!$B$13,Inputs!$B$7,0)+AZ10</f>
        <v>0</v>
      </c>
      <c r="BA15" s="33" t="n">
        <f aca="false">-IF(Source_Data!BA$6=Inputs!$B$13,Inputs!$B$7,0)+BA10</f>
        <v>0</v>
      </c>
      <c r="BB15" s="33" t="n">
        <f aca="false">-IF(Source_Data!BB$6=Inputs!$B$13,Inputs!$B$7,0)+BB10</f>
        <v>0</v>
      </c>
      <c r="BC15" s="33" t="n">
        <f aca="false">-IF(Source_Data!BC$6=Inputs!$B$13,Inputs!$B$7,0)+BC10</f>
        <v>0</v>
      </c>
      <c r="BD15" s="33" t="n">
        <f aca="false">-IF(Source_Data!BD$6=Inputs!$B$13,Inputs!$B$7,0)+BD10</f>
        <v>0</v>
      </c>
      <c r="BE15" s="33" t="n">
        <f aca="false">-IF(Source_Data!BE$6=Inputs!$B$13,Inputs!$B$7,0)+BE10</f>
        <v>0</v>
      </c>
      <c r="BF15" s="33" t="n">
        <f aca="false">-IF(Source_Data!BF$6=Inputs!$B$13,Inputs!$B$7,0)+BF10</f>
        <v>0</v>
      </c>
      <c r="BG15" s="33" t="n">
        <f aca="false">-IF(Source_Data!BG$6=Inputs!$B$13,Inputs!$B$7,0)+BG10</f>
        <v>0</v>
      </c>
      <c r="BH15" s="33" t="n">
        <f aca="false">-IF(Source_Data!BH$6=Inputs!$B$13,Inputs!$B$7,0)+BH10</f>
        <v>0</v>
      </c>
      <c r="BI15" s="33" t="n">
        <f aca="false">-IF(Source_Data!BI$6=Inputs!$B$13,Inputs!$B$7,0)+BI10</f>
        <v>0</v>
      </c>
      <c r="BJ15" s="33" t="n">
        <f aca="false">-IF(Source_Data!BJ$6=Inputs!$B$13,Inputs!$B$7,0)+BJ10</f>
        <v>0</v>
      </c>
      <c r="BK15" s="33" t="n">
        <f aca="false">-IF(Source_Data!BK$6=Inputs!$B$13,Inputs!$B$7,0)+BK10</f>
        <v>0</v>
      </c>
    </row>
    <row r="16" customFormat="false" ht="15" hidden="false" customHeight="false" outlineLevel="0" collapsed="false">
      <c r="A16" s="3" t="s">
        <v>303</v>
      </c>
      <c r="D16" s="33" t="n">
        <f aca="false">-IF(Source_Data!D$6=Inputs!$B$13,Inputs!$B$7,0)+D13</f>
        <v>-75</v>
      </c>
      <c r="E16" s="33" t="n">
        <f aca="false">-IF(Source_Data!E$6=Inputs!$B$13,Inputs!$B$7,0)+E13</f>
        <v>0</v>
      </c>
      <c r="F16" s="33" t="n">
        <f aca="false">-IF(Source_Data!F$6=Inputs!$B$13,Inputs!$B$7,0)+F13</f>
        <v>0</v>
      </c>
      <c r="G16" s="33" t="n">
        <f aca="false">-IF(Source_Data!G$6=Inputs!$B$13,Inputs!$B$7,0)+G13</f>
        <v>0</v>
      </c>
      <c r="H16" s="33" t="n">
        <f aca="false">-IF(Source_Data!H$6=Inputs!$B$13,Inputs!$B$7,0)+H13</f>
        <v>0</v>
      </c>
      <c r="I16" s="33" t="n">
        <f aca="false">-IF(Source_Data!I$6=Inputs!$B$13,Inputs!$B$7,0)+I13</f>
        <v>0</v>
      </c>
      <c r="J16" s="33" t="n">
        <f aca="false">-IF(Source_Data!J$6=Inputs!$B$13,Inputs!$B$7,0)+J13</f>
        <v>0</v>
      </c>
      <c r="K16" s="33" t="n">
        <f aca="false">-IF(Source_Data!K$6=Inputs!$B$13,Inputs!$B$7,0)+K13</f>
        <v>0</v>
      </c>
      <c r="L16" s="33" t="n">
        <f aca="false">-IF(Source_Data!L$6=Inputs!$B$13,Inputs!$B$7,0)+L13</f>
        <v>0</v>
      </c>
      <c r="M16" s="33" t="n">
        <f aca="false">-IF(Source_Data!M$6=Inputs!$B$13,Inputs!$B$7,0)+M13</f>
        <v>24.1583284435174</v>
      </c>
      <c r="N16" s="33" t="n">
        <f aca="false">-IF(Source_Data!N$6=Inputs!$B$13,Inputs!$B$7,0)+N13</f>
        <v>16.0869106252689</v>
      </c>
      <c r="O16" s="33" t="n">
        <f aca="false">-IF(Source_Data!O$6=Inputs!$B$13,Inputs!$B$7,0)+O13</f>
        <v>15.8511937331993</v>
      </c>
      <c r="P16" s="33" t="n">
        <f aca="false">-IF(Source_Data!P$6=Inputs!$B$13,Inputs!$B$7,0)+P13</f>
        <v>13.7863137586693</v>
      </c>
      <c r="Q16" s="33" t="n">
        <f aca="false">-IF(Source_Data!Q$6=Inputs!$B$13,Inputs!$B$7,0)+Q13</f>
        <v>13.1086276939691</v>
      </c>
      <c r="R16" s="33" t="n">
        <f aca="false">-IF(Source_Data!R$6=Inputs!$B$13,Inputs!$B$7,0)+R13</f>
        <v>13.1086276939691</v>
      </c>
      <c r="S16" s="33" t="n">
        <f aca="false">-IF(Source_Data!S$6=Inputs!$B$13,Inputs!$B$7,0)+S13</f>
        <v>13.0233217507291</v>
      </c>
      <c r="T16" s="33" t="n">
        <f aca="false">-IF(Source_Data!T$6=Inputs!$B$13,Inputs!$B$7,0)+T13</f>
        <v>12.845815145156</v>
      </c>
      <c r="U16" s="33" t="n">
        <f aca="false">-IF(Source_Data!U$6=Inputs!$B$13,Inputs!$B$7,0)+U13</f>
        <v>12.8063561374236</v>
      </c>
      <c r="V16" s="33" t="n">
        <f aca="false">-IF(Source_Data!V$6=Inputs!$B$13,Inputs!$B$7,0)+V13</f>
        <v>12.6502644114951</v>
      </c>
      <c r="W16" s="33" t="n">
        <f aca="false">-IF(Source_Data!W$6=Inputs!$B$13,Inputs!$B$7,0)+W13</f>
        <v>12.5371203033016</v>
      </c>
      <c r="X16" s="33" t="n">
        <f aca="false">-IF(Source_Data!X$6=Inputs!$B$13,Inputs!$B$7,0)+X13</f>
        <v>12.5371203033016</v>
      </c>
      <c r="Y16" s="33" t="n">
        <f aca="false">-IF(Source_Data!Y$6=Inputs!$B$13,Inputs!$B$7,0)+Y13</f>
        <v>0</v>
      </c>
      <c r="Z16" s="33" t="n">
        <f aca="false">-IF(Source_Data!Z$6=Inputs!$B$13,Inputs!$B$7,0)+Z13</f>
        <v>0</v>
      </c>
      <c r="AA16" s="33" t="n">
        <f aca="false">-IF(Source_Data!AA$6=Inputs!$B$13,Inputs!$B$7,0)+AA13</f>
        <v>0</v>
      </c>
      <c r="AB16" s="33" t="n">
        <f aca="false">-IF(Source_Data!AB$6=Inputs!$B$13,Inputs!$B$7,0)+AB13</f>
        <v>0</v>
      </c>
      <c r="AC16" s="33" t="n">
        <f aca="false">-IF(Source_Data!AC$6=Inputs!$B$13,Inputs!$B$7,0)+AC13</f>
        <v>0</v>
      </c>
      <c r="AD16" s="33" t="n">
        <f aca="false">-IF(Source_Data!AD$6=Inputs!$B$13,Inputs!$B$7,0)+AD13</f>
        <v>0</v>
      </c>
      <c r="AE16" s="33" t="n">
        <f aca="false">-IF(Source_Data!AE$6=Inputs!$B$13,Inputs!$B$7,0)+AE13</f>
        <v>0</v>
      </c>
      <c r="AF16" s="33" t="n">
        <f aca="false">-IF(Source_Data!AF$6=Inputs!$B$13,Inputs!$B$7,0)+AF13</f>
        <v>0</v>
      </c>
      <c r="AG16" s="33" t="n">
        <f aca="false">-IF(Source_Data!AG$6=Inputs!$B$13,Inputs!$B$7,0)+AG13</f>
        <v>0</v>
      </c>
      <c r="AH16" s="33" t="n">
        <f aca="false">-IF(Source_Data!AH$6=Inputs!$B$13,Inputs!$B$7,0)+AH13</f>
        <v>0</v>
      </c>
      <c r="AI16" s="33" t="n">
        <f aca="false">-IF(Source_Data!AI$6=Inputs!$B$13,Inputs!$B$7,0)+AI13</f>
        <v>0</v>
      </c>
      <c r="AJ16" s="33" t="n">
        <f aca="false">-IF(Source_Data!AJ$6=Inputs!$B$13,Inputs!$B$7,0)+AJ13</f>
        <v>0</v>
      </c>
      <c r="AK16" s="33" t="n">
        <f aca="false">-IF(Source_Data!AK$6=Inputs!$B$13,Inputs!$B$7,0)+AK13</f>
        <v>0</v>
      </c>
      <c r="AL16" s="33" t="n">
        <f aca="false">-IF(Source_Data!AL$6=Inputs!$B$13,Inputs!$B$7,0)+AL13</f>
        <v>0</v>
      </c>
      <c r="AM16" s="33" t="n">
        <f aca="false">-IF(Source_Data!AM$6=Inputs!$B$13,Inputs!$B$7,0)+AM13</f>
        <v>0</v>
      </c>
      <c r="AN16" s="33" t="n">
        <f aca="false">-IF(Source_Data!AN$6=Inputs!$B$13,Inputs!$B$7,0)+AN13</f>
        <v>0</v>
      </c>
      <c r="AO16" s="33" t="n">
        <f aca="false">-IF(Source_Data!AO$6=Inputs!$B$13,Inputs!$B$7,0)+AO13</f>
        <v>0</v>
      </c>
      <c r="AP16" s="33" t="n">
        <f aca="false">-IF(Source_Data!AP$6=Inputs!$B$13,Inputs!$B$7,0)+AP13</f>
        <v>0</v>
      </c>
      <c r="AQ16" s="33" t="n">
        <f aca="false">-IF(Source_Data!AQ$6=Inputs!$B$13,Inputs!$B$7,0)+AQ13</f>
        <v>0</v>
      </c>
      <c r="AR16" s="33" t="n">
        <f aca="false">-IF(Source_Data!AR$6=Inputs!$B$13,Inputs!$B$7,0)+AR13</f>
        <v>0</v>
      </c>
      <c r="AS16" s="33" t="n">
        <f aca="false">-IF(Source_Data!AS$6=Inputs!$B$13,Inputs!$B$7,0)+AS13</f>
        <v>0</v>
      </c>
      <c r="AT16" s="33" t="n">
        <f aca="false">-IF(Source_Data!AT$6=Inputs!$B$13,Inputs!$B$7,0)+AT13</f>
        <v>0</v>
      </c>
      <c r="AU16" s="33" t="n">
        <f aca="false">-IF(Source_Data!AU$6=Inputs!$B$13,Inputs!$B$7,0)+AU13</f>
        <v>0</v>
      </c>
      <c r="AV16" s="33" t="n">
        <f aca="false">-IF(Source_Data!AV$6=Inputs!$B$13,Inputs!$B$7,0)+AV13</f>
        <v>0</v>
      </c>
      <c r="AW16" s="33" t="n">
        <f aca="false">-IF(Source_Data!AW$6=Inputs!$B$13,Inputs!$B$7,0)+AW13</f>
        <v>0</v>
      </c>
      <c r="AX16" s="33" t="n">
        <f aca="false">-IF(Source_Data!AX$6=Inputs!$B$13,Inputs!$B$7,0)+AX13</f>
        <v>0</v>
      </c>
      <c r="AY16" s="33" t="n">
        <f aca="false">-IF(Source_Data!AY$6=Inputs!$B$13,Inputs!$B$7,0)+AY13</f>
        <v>0</v>
      </c>
      <c r="AZ16" s="33" t="n">
        <f aca="false">-IF(Source_Data!AZ$6=Inputs!$B$13,Inputs!$B$7,0)+AZ13</f>
        <v>0</v>
      </c>
      <c r="BA16" s="33" t="n">
        <f aca="false">-IF(Source_Data!BA$6=Inputs!$B$13,Inputs!$B$7,0)+BA13</f>
        <v>0</v>
      </c>
      <c r="BB16" s="33" t="n">
        <f aca="false">-IF(Source_Data!BB$6=Inputs!$B$13,Inputs!$B$7,0)+BB13</f>
        <v>0</v>
      </c>
      <c r="BC16" s="33" t="n">
        <f aca="false">-IF(Source_Data!BC$6=Inputs!$B$13,Inputs!$B$7,0)+BC13</f>
        <v>0</v>
      </c>
      <c r="BD16" s="33" t="n">
        <f aca="false">-IF(Source_Data!BD$6=Inputs!$B$13,Inputs!$B$7,0)+BD13</f>
        <v>0</v>
      </c>
      <c r="BE16" s="33" t="n">
        <f aca="false">-IF(Source_Data!BE$6=Inputs!$B$13,Inputs!$B$7,0)+BE13</f>
        <v>0</v>
      </c>
      <c r="BF16" s="33" t="n">
        <f aca="false">-IF(Source_Data!BF$6=Inputs!$B$13,Inputs!$B$7,0)+BF13</f>
        <v>0</v>
      </c>
      <c r="BG16" s="33" t="n">
        <f aca="false">-IF(Source_Data!BG$6=Inputs!$B$13,Inputs!$B$7,0)+BG13</f>
        <v>0</v>
      </c>
      <c r="BH16" s="33" t="n">
        <f aca="false">-IF(Source_Data!BH$6=Inputs!$B$13,Inputs!$B$7,0)+BH13</f>
        <v>0</v>
      </c>
      <c r="BI16" s="33" t="n">
        <f aca="false">-IF(Source_Data!BI$6=Inputs!$B$13,Inputs!$B$7,0)+BI13</f>
        <v>0</v>
      </c>
      <c r="BJ16" s="33" t="n">
        <f aca="false">-IF(Source_Data!BJ$6=Inputs!$B$13,Inputs!$B$7,0)+BJ13</f>
        <v>0</v>
      </c>
      <c r="BK16" s="33" t="n">
        <f aca="false">-IF(Source_Data!BK$6=Inputs!$B$13,Inputs!$B$7,0)+BK13</f>
        <v>0</v>
      </c>
    </row>
    <row r="17" customFormat="false" ht="15" hidden="false" customHeight="false" outlineLevel="0" collapsed="false">
      <c r="A17" s="3" t="s">
        <v>304</v>
      </c>
      <c r="D17" s="33" t="n">
        <f aca="false">IF(Source_Data!D$6=Inputs!$B$13,Inputs!$B$7,0)-D9</f>
        <v>75</v>
      </c>
      <c r="E17" s="33" t="n">
        <f aca="false">IF(Source_Data!E$6=Inputs!$B$13,Inputs!$B$7,0)-E9</f>
        <v>0</v>
      </c>
      <c r="F17" s="33" t="n">
        <f aca="false">IF(Source_Data!F$6=Inputs!$B$13,Inputs!$B$7,0)-F9</f>
        <v>0</v>
      </c>
      <c r="G17" s="33" t="n">
        <f aca="false">IF(Source_Data!G$6=Inputs!$B$13,Inputs!$B$7,0)-G9</f>
        <v>0</v>
      </c>
      <c r="H17" s="33" t="n">
        <f aca="false">IF(Source_Data!H$6=Inputs!$B$13,Inputs!$B$7,0)-H9</f>
        <v>0</v>
      </c>
      <c r="I17" s="33" t="n">
        <f aca="false">IF(Source_Data!I$6=Inputs!$B$13,Inputs!$B$7,0)-I9</f>
        <v>0</v>
      </c>
      <c r="J17" s="33" t="n">
        <f aca="false">IF(Source_Data!J$6=Inputs!$B$13,Inputs!$B$7,0)-J9</f>
        <v>0</v>
      </c>
      <c r="K17" s="33" t="n">
        <f aca="false">IF(Source_Data!K$6=Inputs!$B$13,Inputs!$B$7,0)-K9</f>
        <v>0</v>
      </c>
      <c r="L17" s="33" t="n">
        <f aca="false">IF(Source_Data!L$6=Inputs!$B$13,Inputs!$B$7,0)-L9</f>
        <v>0</v>
      </c>
      <c r="M17" s="33" t="n">
        <f aca="false">IF(Source_Data!M$6=Inputs!$B$13,Inputs!$B$7,0)-M9</f>
        <v>-14.375</v>
      </c>
      <c r="N17" s="33" t="n">
        <f aca="false">IF(Source_Data!N$6=Inputs!$B$13,Inputs!$B$7,0)-N9</f>
        <v>-14.375</v>
      </c>
      <c r="O17" s="33" t="n">
        <f aca="false">IF(Source_Data!O$6=Inputs!$B$13,Inputs!$B$7,0)-O9</f>
        <v>-14.375</v>
      </c>
      <c r="P17" s="33" t="n">
        <f aca="false">IF(Source_Data!P$6=Inputs!$B$13,Inputs!$B$7,0)-P9</f>
        <v>-14.375</v>
      </c>
      <c r="Q17" s="33" t="n">
        <f aca="false">IF(Source_Data!Q$6=Inputs!$B$13,Inputs!$B$7,0)-Q9</f>
        <v>-14.375</v>
      </c>
      <c r="R17" s="33" t="n">
        <f aca="false">IF(Source_Data!R$6=Inputs!$B$13,Inputs!$B$7,0)-R9</f>
        <v>-14.375</v>
      </c>
      <c r="S17" s="33" t="n">
        <f aca="false">IF(Source_Data!S$6=Inputs!$B$13,Inputs!$B$7,0)-S9</f>
        <v>-14.375</v>
      </c>
      <c r="T17" s="33" t="n">
        <f aca="false">IF(Source_Data!T$6=Inputs!$B$13,Inputs!$B$7,0)-T9</f>
        <v>-14.375</v>
      </c>
      <c r="U17" s="33" t="n">
        <f aca="false">IF(Source_Data!U$6=Inputs!$B$13,Inputs!$B$7,0)-U9</f>
        <v>-14.375</v>
      </c>
      <c r="V17" s="33" t="n">
        <f aca="false">IF(Source_Data!V$6=Inputs!$B$13,Inputs!$B$7,0)-V9</f>
        <v>-14.375</v>
      </c>
      <c r="W17" s="33" t="n">
        <f aca="false">IF(Source_Data!W$6=Inputs!$B$13,Inputs!$B$7,0)-W9</f>
        <v>-14.375</v>
      </c>
      <c r="X17" s="33" t="n">
        <f aca="false">IF(Source_Data!X$6=Inputs!$B$13,Inputs!$B$7,0)-X9</f>
        <v>-14.375</v>
      </c>
      <c r="Y17" s="33" t="n">
        <f aca="false">IF(Source_Data!Y$6=Inputs!$B$13,Inputs!$B$7,0)-Y9</f>
        <v>0</v>
      </c>
      <c r="Z17" s="33" t="n">
        <f aca="false">IF(Source_Data!Z$6=Inputs!$B$13,Inputs!$B$7,0)-Z9</f>
        <v>0</v>
      </c>
      <c r="AA17" s="33" t="n">
        <f aca="false">IF(Source_Data!AA$6=Inputs!$B$13,Inputs!$B$7,0)-AA9</f>
        <v>0</v>
      </c>
      <c r="AB17" s="33" t="n">
        <f aca="false">IF(Source_Data!AB$6=Inputs!$B$13,Inputs!$B$7,0)-AB9</f>
        <v>0</v>
      </c>
      <c r="AC17" s="33" t="n">
        <f aca="false">IF(Source_Data!AC$6=Inputs!$B$13,Inputs!$B$7,0)-AC9</f>
        <v>0</v>
      </c>
      <c r="AD17" s="33" t="n">
        <f aca="false">IF(Source_Data!AD$6=Inputs!$B$13,Inputs!$B$7,0)-AD9</f>
        <v>0</v>
      </c>
      <c r="AE17" s="33" t="n">
        <f aca="false">IF(Source_Data!AE$6=Inputs!$B$13,Inputs!$B$7,0)-AE9</f>
        <v>0</v>
      </c>
      <c r="AF17" s="33" t="n">
        <f aca="false">IF(Source_Data!AF$6=Inputs!$B$13,Inputs!$B$7,0)-AF9</f>
        <v>0</v>
      </c>
      <c r="AG17" s="33" t="n">
        <f aca="false">IF(Source_Data!AG$6=Inputs!$B$13,Inputs!$B$7,0)-AG9</f>
        <v>0</v>
      </c>
      <c r="AH17" s="33" t="n">
        <f aca="false">IF(Source_Data!AH$6=Inputs!$B$13,Inputs!$B$7,0)-AH9</f>
        <v>0</v>
      </c>
      <c r="AI17" s="33" t="n">
        <f aca="false">IF(Source_Data!AI$6=Inputs!$B$13,Inputs!$B$7,0)-AI9</f>
        <v>0</v>
      </c>
      <c r="AJ17" s="33" t="n">
        <f aca="false">IF(Source_Data!AJ$6=Inputs!$B$13,Inputs!$B$7,0)-AJ9</f>
        <v>0</v>
      </c>
      <c r="AK17" s="33" t="n">
        <f aca="false">IF(Source_Data!AK$6=Inputs!$B$13,Inputs!$B$7,0)-AK9</f>
        <v>0</v>
      </c>
      <c r="AL17" s="33" t="n">
        <f aca="false">IF(Source_Data!AL$6=Inputs!$B$13,Inputs!$B$7,0)-AL9</f>
        <v>0</v>
      </c>
      <c r="AM17" s="33" t="n">
        <f aca="false">IF(Source_Data!AM$6=Inputs!$B$13,Inputs!$B$7,0)-AM9</f>
        <v>0</v>
      </c>
      <c r="AN17" s="33" t="n">
        <f aca="false">IF(Source_Data!AN$6=Inputs!$B$13,Inputs!$B$7,0)-AN9</f>
        <v>0</v>
      </c>
      <c r="AO17" s="33" t="n">
        <f aca="false">IF(Source_Data!AO$6=Inputs!$B$13,Inputs!$B$7,0)-AO9</f>
        <v>0</v>
      </c>
      <c r="AP17" s="33" t="n">
        <f aca="false">IF(Source_Data!AP$6=Inputs!$B$13,Inputs!$B$7,0)-AP9</f>
        <v>0</v>
      </c>
      <c r="AQ17" s="33" t="n">
        <f aca="false">IF(Source_Data!AQ$6=Inputs!$B$13,Inputs!$B$7,0)-AQ9</f>
        <v>0</v>
      </c>
      <c r="AR17" s="33" t="n">
        <f aca="false">IF(Source_Data!AR$6=Inputs!$B$13,Inputs!$B$7,0)-AR9</f>
        <v>0</v>
      </c>
      <c r="AS17" s="33" t="n">
        <f aca="false">IF(Source_Data!AS$6=Inputs!$B$13,Inputs!$B$7,0)-AS9</f>
        <v>0</v>
      </c>
      <c r="AT17" s="33" t="n">
        <f aca="false">IF(Source_Data!AT$6=Inputs!$B$13,Inputs!$B$7,0)-AT9</f>
        <v>0</v>
      </c>
      <c r="AU17" s="33" t="n">
        <f aca="false">IF(Source_Data!AU$6=Inputs!$B$13,Inputs!$B$7,0)-AU9</f>
        <v>0</v>
      </c>
      <c r="AV17" s="33" t="n">
        <f aca="false">IF(Source_Data!AV$6=Inputs!$B$13,Inputs!$B$7,0)-AV9</f>
        <v>0</v>
      </c>
      <c r="AW17" s="33" t="n">
        <f aca="false">IF(Source_Data!AW$6=Inputs!$B$13,Inputs!$B$7,0)-AW9</f>
        <v>0</v>
      </c>
      <c r="AX17" s="33" t="n">
        <f aca="false">IF(Source_Data!AX$6=Inputs!$B$13,Inputs!$B$7,0)-AX9</f>
        <v>0</v>
      </c>
      <c r="AY17" s="33" t="n">
        <f aca="false">IF(Source_Data!AY$6=Inputs!$B$13,Inputs!$B$7,0)-AY9</f>
        <v>0</v>
      </c>
      <c r="AZ17" s="33" t="n">
        <f aca="false">IF(Source_Data!AZ$6=Inputs!$B$13,Inputs!$B$7,0)-AZ9</f>
        <v>0</v>
      </c>
      <c r="BA17" s="33" t="n">
        <f aca="false">IF(Source_Data!BA$6=Inputs!$B$13,Inputs!$B$7,0)-BA9</f>
        <v>0</v>
      </c>
      <c r="BB17" s="33" t="n">
        <f aca="false">IF(Source_Data!BB$6=Inputs!$B$13,Inputs!$B$7,0)-BB9</f>
        <v>0</v>
      </c>
      <c r="BC17" s="33" t="n">
        <f aca="false">IF(Source_Data!BC$6=Inputs!$B$13,Inputs!$B$7,0)-BC9</f>
        <v>0</v>
      </c>
      <c r="BD17" s="33" t="n">
        <f aca="false">IF(Source_Data!BD$6=Inputs!$B$13,Inputs!$B$7,0)-BD9</f>
        <v>0</v>
      </c>
      <c r="BE17" s="33" t="n">
        <f aca="false">IF(Source_Data!BE$6=Inputs!$B$13,Inputs!$B$7,0)-BE9</f>
        <v>0</v>
      </c>
      <c r="BF17" s="33" t="n">
        <f aca="false">IF(Source_Data!BF$6=Inputs!$B$13,Inputs!$B$7,0)-BF9</f>
        <v>0</v>
      </c>
      <c r="BG17" s="33" t="n">
        <f aca="false">IF(Source_Data!BG$6=Inputs!$B$13,Inputs!$B$7,0)-BG9</f>
        <v>0</v>
      </c>
      <c r="BH17" s="33" t="n">
        <f aca="false">IF(Source_Data!BH$6=Inputs!$B$13,Inputs!$B$7,0)-BH9</f>
        <v>0</v>
      </c>
      <c r="BI17" s="33" t="n">
        <f aca="false">IF(Source_Data!BI$6=Inputs!$B$13,Inputs!$B$7,0)-BI9</f>
        <v>0</v>
      </c>
      <c r="BJ17" s="33" t="n">
        <f aca="false">IF(Source_Data!BJ$6=Inputs!$B$13,Inputs!$B$7,0)-BJ9</f>
        <v>0</v>
      </c>
      <c r="BK17" s="33" t="n">
        <f aca="false">IF(Source_Data!BK$6=Inputs!$B$13,Inputs!$B$7,0)-BK9</f>
        <v>0</v>
      </c>
    </row>
    <row r="18" customFormat="false" ht="15" hidden="false" customHeight="false" outlineLevel="0" collapsed="false">
      <c r="A18" s="3" t="s">
        <v>305</v>
      </c>
      <c r="D18" s="33" t="n">
        <f aca="false">IF(Source_Data!D$6=Inputs!$B$13,Inputs!$B$7,0)-D10</f>
        <v>75</v>
      </c>
      <c r="E18" s="33" t="n">
        <f aca="false">IF(Source_Data!E$6=Inputs!$B$13,Inputs!$B$7,0)-E10</f>
        <v>0</v>
      </c>
      <c r="F18" s="33" t="n">
        <f aca="false">IF(Source_Data!F$6=Inputs!$B$13,Inputs!$B$7,0)-F10</f>
        <v>0</v>
      </c>
      <c r="G18" s="33" t="n">
        <f aca="false">IF(Source_Data!G$6=Inputs!$B$13,Inputs!$B$7,0)-G10</f>
        <v>0</v>
      </c>
      <c r="H18" s="33" t="n">
        <f aca="false">IF(Source_Data!H$6=Inputs!$B$13,Inputs!$B$7,0)-H10</f>
        <v>0</v>
      </c>
      <c r="I18" s="33" t="n">
        <f aca="false">IF(Source_Data!I$6=Inputs!$B$13,Inputs!$B$7,0)-I10</f>
        <v>0</v>
      </c>
      <c r="J18" s="33" t="n">
        <f aca="false">IF(Source_Data!J$6=Inputs!$B$13,Inputs!$B$7,0)-J10</f>
        <v>0</v>
      </c>
      <c r="K18" s="33" t="n">
        <f aca="false">IF(Source_Data!K$6=Inputs!$B$13,Inputs!$B$7,0)-K10</f>
        <v>0</v>
      </c>
      <c r="L18" s="33" t="n">
        <f aca="false">IF(Source_Data!L$6=Inputs!$B$13,Inputs!$B$7,0)-L10</f>
        <v>0</v>
      </c>
      <c r="M18" s="33" t="n">
        <f aca="false">IF(Source_Data!M$6=Inputs!$B$13,Inputs!$B$7,0)-M10</f>
        <v>-21.5625</v>
      </c>
      <c r="N18" s="33" t="n">
        <f aca="false">IF(Source_Data!N$6=Inputs!$B$13,Inputs!$B$7,0)-N10</f>
        <v>-21.5625</v>
      </c>
      <c r="O18" s="33" t="n">
        <f aca="false">IF(Source_Data!O$6=Inputs!$B$13,Inputs!$B$7,0)-O10</f>
        <v>-21.5625</v>
      </c>
      <c r="P18" s="33" t="n">
        <f aca="false">IF(Source_Data!P$6=Inputs!$B$13,Inputs!$B$7,0)-P10</f>
        <v>-18.0450134939875</v>
      </c>
      <c r="Q18" s="33" t="n">
        <f aca="false">IF(Source_Data!Q$6=Inputs!$B$13,Inputs!$B$7,0)-Q10</f>
        <v>-13.2235066356962</v>
      </c>
      <c r="R18" s="33" t="n">
        <f aca="false">IF(Source_Data!R$6=Inputs!$B$13,Inputs!$B$7,0)-R10</f>
        <v>-13.2235066356962</v>
      </c>
      <c r="S18" s="33" t="n">
        <f aca="false">IF(Source_Data!S$6=Inputs!$B$13,Inputs!$B$7,0)-S10</f>
        <v>-12.6165837376039</v>
      </c>
      <c r="T18" s="33" t="n">
        <f aca="false">IF(Source_Data!T$6=Inputs!$B$13,Inputs!$B$7,0)-T10</f>
        <v>-11.3536843499043</v>
      </c>
      <c r="U18" s="33" t="n">
        <f aca="false">IF(Source_Data!U$6=Inputs!$B$13,Inputs!$B$7,0)-U10</f>
        <v>-11.072946872312</v>
      </c>
      <c r="V18" s="33" t="n">
        <f aca="false">IF(Source_Data!V$6=Inputs!$B$13,Inputs!$B$7,0)-V10</f>
        <v>-9.9624071013344</v>
      </c>
      <c r="W18" s="33" t="n">
        <f aca="false">IF(Source_Data!W$6=Inputs!$B$13,Inputs!$B$7,0)-W10</f>
        <v>-9.15742508673273</v>
      </c>
      <c r="X18" s="33" t="n">
        <f aca="false">IF(Source_Data!X$6=Inputs!$B$13,Inputs!$B$7,0)-X10</f>
        <v>-9.15742508673273</v>
      </c>
      <c r="Y18" s="33" t="n">
        <f aca="false">IF(Source_Data!Y$6=Inputs!$B$13,Inputs!$B$7,0)-Y10</f>
        <v>-9.99999997475243E-007</v>
      </c>
      <c r="Z18" s="33" t="n">
        <f aca="false">IF(Source_Data!Z$6=Inputs!$B$13,Inputs!$B$7,0)-Z10</f>
        <v>0</v>
      </c>
      <c r="AA18" s="33" t="n">
        <f aca="false">IF(Source_Data!AA$6=Inputs!$B$13,Inputs!$B$7,0)-AA10</f>
        <v>0</v>
      </c>
      <c r="AB18" s="33" t="n">
        <f aca="false">IF(Source_Data!AB$6=Inputs!$B$13,Inputs!$B$7,0)-AB10</f>
        <v>0</v>
      </c>
      <c r="AC18" s="33" t="n">
        <f aca="false">IF(Source_Data!AC$6=Inputs!$B$13,Inputs!$B$7,0)-AC10</f>
        <v>0</v>
      </c>
      <c r="AD18" s="33" t="n">
        <f aca="false">IF(Source_Data!AD$6=Inputs!$B$13,Inputs!$B$7,0)-AD10</f>
        <v>0</v>
      </c>
      <c r="AE18" s="33" t="n">
        <f aca="false">IF(Source_Data!AE$6=Inputs!$B$13,Inputs!$B$7,0)-AE10</f>
        <v>0</v>
      </c>
      <c r="AF18" s="33" t="n">
        <f aca="false">IF(Source_Data!AF$6=Inputs!$B$13,Inputs!$B$7,0)-AF10</f>
        <v>0</v>
      </c>
      <c r="AG18" s="33" t="n">
        <f aca="false">IF(Source_Data!AG$6=Inputs!$B$13,Inputs!$B$7,0)-AG10</f>
        <v>0</v>
      </c>
      <c r="AH18" s="33" t="n">
        <f aca="false">IF(Source_Data!AH$6=Inputs!$B$13,Inputs!$B$7,0)-AH10</f>
        <v>0</v>
      </c>
      <c r="AI18" s="33" t="n">
        <f aca="false">IF(Source_Data!AI$6=Inputs!$B$13,Inputs!$B$7,0)-AI10</f>
        <v>0</v>
      </c>
      <c r="AJ18" s="33" t="n">
        <f aca="false">IF(Source_Data!AJ$6=Inputs!$B$13,Inputs!$B$7,0)-AJ10</f>
        <v>0</v>
      </c>
      <c r="AK18" s="33" t="n">
        <f aca="false">IF(Source_Data!AK$6=Inputs!$B$13,Inputs!$B$7,0)-AK10</f>
        <v>0</v>
      </c>
      <c r="AL18" s="33" t="n">
        <f aca="false">IF(Source_Data!AL$6=Inputs!$B$13,Inputs!$B$7,0)-AL10</f>
        <v>0</v>
      </c>
      <c r="AM18" s="33" t="n">
        <f aca="false">IF(Source_Data!AM$6=Inputs!$B$13,Inputs!$B$7,0)-AM10</f>
        <v>0</v>
      </c>
      <c r="AN18" s="33" t="n">
        <f aca="false">IF(Source_Data!AN$6=Inputs!$B$13,Inputs!$B$7,0)-AN10</f>
        <v>0</v>
      </c>
      <c r="AO18" s="33" t="n">
        <f aca="false">IF(Source_Data!AO$6=Inputs!$B$13,Inputs!$B$7,0)-AO10</f>
        <v>0</v>
      </c>
      <c r="AP18" s="33" t="n">
        <f aca="false">IF(Source_Data!AP$6=Inputs!$B$13,Inputs!$B$7,0)-AP10</f>
        <v>0</v>
      </c>
      <c r="AQ18" s="33" t="n">
        <f aca="false">IF(Source_Data!AQ$6=Inputs!$B$13,Inputs!$B$7,0)-AQ10</f>
        <v>0</v>
      </c>
      <c r="AR18" s="33" t="n">
        <f aca="false">IF(Source_Data!AR$6=Inputs!$B$13,Inputs!$B$7,0)-AR10</f>
        <v>0</v>
      </c>
      <c r="AS18" s="33" t="n">
        <f aca="false">IF(Source_Data!AS$6=Inputs!$B$13,Inputs!$B$7,0)-AS10</f>
        <v>0</v>
      </c>
      <c r="AT18" s="33" t="n">
        <f aca="false">IF(Source_Data!AT$6=Inputs!$B$13,Inputs!$B$7,0)-AT10</f>
        <v>0</v>
      </c>
      <c r="AU18" s="33" t="n">
        <f aca="false">IF(Source_Data!AU$6=Inputs!$B$13,Inputs!$B$7,0)-AU10</f>
        <v>0</v>
      </c>
      <c r="AV18" s="33" t="n">
        <f aca="false">IF(Source_Data!AV$6=Inputs!$B$13,Inputs!$B$7,0)-AV10</f>
        <v>0</v>
      </c>
      <c r="AW18" s="33" t="n">
        <f aca="false">IF(Source_Data!AW$6=Inputs!$B$13,Inputs!$B$7,0)-AW10</f>
        <v>0</v>
      </c>
      <c r="AX18" s="33" t="n">
        <f aca="false">IF(Source_Data!AX$6=Inputs!$B$13,Inputs!$B$7,0)-AX10</f>
        <v>0</v>
      </c>
      <c r="AY18" s="33" t="n">
        <f aca="false">IF(Source_Data!AY$6=Inputs!$B$13,Inputs!$B$7,0)-AY10</f>
        <v>0</v>
      </c>
      <c r="AZ18" s="33" t="n">
        <f aca="false">IF(Source_Data!AZ$6=Inputs!$B$13,Inputs!$B$7,0)-AZ10</f>
        <v>0</v>
      </c>
      <c r="BA18" s="33" t="n">
        <f aca="false">IF(Source_Data!BA$6=Inputs!$B$13,Inputs!$B$7,0)-BA10</f>
        <v>0</v>
      </c>
      <c r="BB18" s="33" t="n">
        <f aca="false">IF(Source_Data!BB$6=Inputs!$B$13,Inputs!$B$7,0)-BB10</f>
        <v>0</v>
      </c>
      <c r="BC18" s="33" t="n">
        <f aca="false">IF(Source_Data!BC$6=Inputs!$B$13,Inputs!$B$7,0)-BC10</f>
        <v>0</v>
      </c>
      <c r="BD18" s="33" t="n">
        <f aca="false">IF(Source_Data!BD$6=Inputs!$B$13,Inputs!$B$7,0)-BD10</f>
        <v>0</v>
      </c>
      <c r="BE18" s="33" t="n">
        <f aca="false">IF(Source_Data!BE$6=Inputs!$B$13,Inputs!$B$7,0)-BE10</f>
        <v>0</v>
      </c>
      <c r="BF18" s="33" t="n">
        <f aca="false">IF(Source_Data!BF$6=Inputs!$B$13,Inputs!$B$7,0)-BF10</f>
        <v>0</v>
      </c>
      <c r="BG18" s="33" t="n">
        <f aca="false">IF(Source_Data!BG$6=Inputs!$B$13,Inputs!$B$7,0)-BG10</f>
        <v>0</v>
      </c>
      <c r="BH18" s="33" t="n">
        <f aca="false">IF(Source_Data!BH$6=Inputs!$B$13,Inputs!$B$7,0)-BH10</f>
        <v>0</v>
      </c>
      <c r="BI18" s="33" t="n">
        <f aca="false">IF(Source_Data!BI$6=Inputs!$B$13,Inputs!$B$7,0)-BI10</f>
        <v>0</v>
      </c>
      <c r="BJ18" s="33" t="n">
        <f aca="false">IF(Source_Data!BJ$6=Inputs!$B$13,Inputs!$B$7,0)-BJ10</f>
        <v>0</v>
      </c>
      <c r="BK18" s="33" t="n">
        <f aca="false">IF(Source_Data!BK$6=Inputs!$B$13,Inputs!$B$7,0)-BK10</f>
        <v>0</v>
      </c>
    </row>
    <row r="19" customFormat="false" ht="15" hidden="false" customHeight="false" outlineLevel="0" collapsed="false">
      <c r="A19" s="3" t="s">
        <v>306</v>
      </c>
      <c r="D19" s="33" t="n">
        <f aca="false">IF(Source_Data!D$6=Inputs!$B$13,Inputs!$B$7,0)-D13</f>
        <v>75</v>
      </c>
      <c r="E19" s="33" t="n">
        <f aca="false">IF(Source_Data!E$6=Inputs!$B$13,Inputs!$B$7,0)-E13</f>
        <v>0</v>
      </c>
      <c r="F19" s="33" t="n">
        <f aca="false">IF(Source_Data!F$6=Inputs!$B$13,Inputs!$B$7,0)-F13</f>
        <v>0</v>
      </c>
      <c r="G19" s="33" t="n">
        <f aca="false">IF(Source_Data!G$6=Inputs!$B$13,Inputs!$B$7,0)-G13</f>
        <v>0</v>
      </c>
      <c r="H19" s="33" t="n">
        <f aca="false">IF(Source_Data!H$6=Inputs!$B$13,Inputs!$B$7,0)-H13</f>
        <v>0</v>
      </c>
      <c r="I19" s="33" t="n">
        <f aca="false">IF(Source_Data!I$6=Inputs!$B$13,Inputs!$B$7,0)-I13</f>
        <v>0</v>
      </c>
      <c r="J19" s="33" t="n">
        <f aca="false">IF(Source_Data!J$6=Inputs!$B$13,Inputs!$B$7,0)-J13</f>
        <v>0</v>
      </c>
      <c r="K19" s="33" t="n">
        <f aca="false">IF(Source_Data!K$6=Inputs!$B$13,Inputs!$B$7,0)-K13</f>
        <v>0</v>
      </c>
      <c r="L19" s="33" t="n">
        <f aca="false">IF(Source_Data!L$6=Inputs!$B$13,Inputs!$B$7,0)-L13</f>
        <v>0</v>
      </c>
      <c r="M19" s="33" t="n">
        <f aca="false">IF(Source_Data!M$6=Inputs!$B$13,Inputs!$B$7,0)-M13</f>
        <v>-24.1583284435174</v>
      </c>
      <c r="N19" s="33" t="n">
        <f aca="false">IF(Source_Data!N$6=Inputs!$B$13,Inputs!$B$7,0)-N13</f>
        <v>-16.0869106252689</v>
      </c>
      <c r="O19" s="33" t="n">
        <f aca="false">IF(Source_Data!O$6=Inputs!$B$13,Inputs!$B$7,0)-O13</f>
        <v>-15.8511937331993</v>
      </c>
      <c r="P19" s="33" t="n">
        <f aca="false">IF(Source_Data!P$6=Inputs!$B$13,Inputs!$B$7,0)-P13</f>
        <v>-13.7863137586693</v>
      </c>
      <c r="Q19" s="33" t="n">
        <f aca="false">IF(Source_Data!Q$6=Inputs!$B$13,Inputs!$B$7,0)-Q13</f>
        <v>-13.1086276939691</v>
      </c>
      <c r="R19" s="33" t="n">
        <f aca="false">IF(Source_Data!R$6=Inputs!$B$13,Inputs!$B$7,0)-R13</f>
        <v>-13.1086276939691</v>
      </c>
      <c r="S19" s="33" t="n">
        <f aca="false">IF(Source_Data!S$6=Inputs!$B$13,Inputs!$B$7,0)-S13</f>
        <v>-13.0233217507291</v>
      </c>
      <c r="T19" s="33" t="n">
        <f aca="false">IF(Source_Data!T$6=Inputs!$B$13,Inputs!$B$7,0)-T13</f>
        <v>-12.845815145156</v>
      </c>
      <c r="U19" s="33" t="n">
        <f aca="false">IF(Source_Data!U$6=Inputs!$B$13,Inputs!$B$7,0)-U13</f>
        <v>-12.8063561374236</v>
      </c>
      <c r="V19" s="33" t="n">
        <f aca="false">IF(Source_Data!V$6=Inputs!$B$13,Inputs!$B$7,0)-V13</f>
        <v>-12.6502644114951</v>
      </c>
      <c r="W19" s="33" t="n">
        <f aca="false">IF(Source_Data!W$6=Inputs!$B$13,Inputs!$B$7,0)-W13</f>
        <v>-12.5371203033016</v>
      </c>
      <c r="X19" s="33" t="n">
        <f aca="false">IF(Source_Data!X$6=Inputs!$B$13,Inputs!$B$7,0)-X13</f>
        <v>-12.5371203033016</v>
      </c>
      <c r="Y19" s="33" t="n">
        <f aca="false">IF(Source_Data!Y$6=Inputs!$B$13,Inputs!$B$7,0)-Y13</f>
        <v>0</v>
      </c>
      <c r="Z19" s="33" t="n">
        <f aca="false">IF(Source_Data!Z$6=Inputs!$B$13,Inputs!$B$7,0)-Z13</f>
        <v>0</v>
      </c>
      <c r="AA19" s="33" t="n">
        <f aca="false">IF(Source_Data!AA$6=Inputs!$B$13,Inputs!$B$7,0)-AA13</f>
        <v>0</v>
      </c>
      <c r="AB19" s="33" t="n">
        <f aca="false">IF(Source_Data!AB$6=Inputs!$B$13,Inputs!$B$7,0)-AB13</f>
        <v>0</v>
      </c>
      <c r="AC19" s="33" t="n">
        <f aca="false">IF(Source_Data!AC$6=Inputs!$B$13,Inputs!$B$7,0)-AC13</f>
        <v>0</v>
      </c>
      <c r="AD19" s="33" t="n">
        <f aca="false">IF(Source_Data!AD$6=Inputs!$B$13,Inputs!$B$7,0)-AD13</f>
        <v>0</v>
      </c>
      <c r="AE19" s="33" t="n">
        <f aca="false">IF(Source_Data!AE$6=Inputs!$B$13,Inputs!$B$7,0)-AE13</f>
        <v>0</v>
      </c>
      <c r="AF19" s="33" t="n">
        <f aca="false">IF(Source_Data!AF$6=Inputs!$B$13,Inputs!$B$7,0)-AF13</f>
        <v>0</v>
      </c>
      <c r="AG19" s="33" t="n">
        <f aca="false">IF(Source_Data!AG$6=Inputs!$B$13,Inputs!$B$7,0)-AG13</f>
        <v>0</v>
      </c>
      <c r="AH19" s="33" t="n">
        <f aca="false">IF(Source_Data!AH$6=Inputs!$B$13,Inputs!$B$7,0)-AH13</f>
        <v>0</v>
      </c>
      <c r="AI19" s="33" t="n">
        <f aca="false">IF(Source_Data!AI$6=Inputs!$B$13,Inputs!$B$7,0)-AI13</f>
        <v>0</v>
      </c>
      <c r="AJ19" s="33" t="n">
        <f aca="false">IF(Source_Data!AJ$6=Inputs!$B$13,Inputs!$B$7,0)-AJ13</f>
        <v>0</v>
      </c>
      <c r="AK19" s="33" t="n">
        <f aca="false">IF(Source_Data!AK$6=Inputs!$B$13,Inputs!$B$7,0)-AK13</f>
        <v>0</v>
      </c>
      <c r="AL19" s="33" t="n">
        <f aca="false">IF(Source_Data!AL$6=Inputs!$B$13,Inputs!$B$7,0)-AL13</f>
        <v>0</v>
      </c>
      <c r="AM19" s="33" t="n">
        <f aca="false">IF(Source_Data!AM$6=Inputs!$B$13,Inputs!$B$7,0)-AM13</f>
        <v>0</v>
      </c>
      <c r="AN19" s="33" t="n">
        <f aca="false">IF(Source_Data!AN$6=Inputs!$B$13,Inputs!$B$7,0)-AN13</f>
        <v>0</v>
      </c>
      <c r="AO19" s="33" t="n">
        <f aca="false">IF(Source_Data!AO$6=Inputs!$B$13,Inputs!$B$7,0)-AO13</f>
        <v>0</v>
      </c>
      <c r="AP19" s="33" t="n">
        <f aca="false">IF(Source_Data!AP$6=Inputs!$B$13,Inputs!$B$7,0)-AP13</f>
        <v>0</v>
      </c>
      <c r="AQ19" s="33" t="n">
        <f aca="false">IF(Source_Data!AQ$6=Inputs!$B$13,Inputs!$B$7,0)-AQ13</f>
        <v>0</v>
      </c>
      <c r="AR19" s="33" t="n">
        <f aca="false">IF(Source_Data!AR$6=Inputs!$B$13,Inputs!$B$7,0)-AR13</f>
        <v>0</v>
      </c>
      <c r="AS19" s="33" t="n">
        <f aca="false">IF(Source_Data!AS$6=Inputs!$B$13,Inputs!$B$7,0)-AS13</f>
        <v>0</v>
      </c>
      <c r="AT19" s="33" t="n">
        <f aca="false">IF(Source_Data!AT$6=Inputs!$B$13,Inputs!$B$7,0)-AT13</f>
        <v>0</v>
      </c>
      <c r="AU19" s="33" t="n">
        <f aca="false">IF(Source_Data!AU$6=Inputs!$B$13,Inputs!$B$7,0)-AU13</f>
        <v>0</v>
      </c>
      <c r="AV19" s="33" t="n">
        <f aca="false">IF(Source_Data!AV$6=Inputs!$B$13,Inputs!$B$7,0)-AV13</f>
        <v>0</v>
      </c>
      <c r="AW19" s="33" t="n">
        <f aca="false">IF(Source_Data!AW$6=Inputs!$B$13,Inputs!$B$7,0)-AW13</f>
        <v>0</v>
      </c>
      <c r="AX19" s="33" t="n">
        <f aca="false">IF(Source_Data!AX$6=Inputs!$B$13,Inputs!$B$7,0)-AX13</f>
        <v>0</v>
      </c>
      <c r="AY19" s="33" t="n">
        <f aca="false">IF(Source_Data!AY$6=Inputs!$B$13,Inputs!$B$7,0)-AY13</f>
        <v>0</v>
      </c>
      <c r="AZ19" s="33" t="n">
        <f aca="false">IF(Source_Data!AZ$6=Inputs!$B$13,Inputs!$B$7,0)-AZ13</f>
        <v>0</v>
      </c>
      <c r="BA19" s="33" t="n">
        <f aca="false">IF(Source_Data!BA$6=Inputs!$B$13,Inputs!$B$7,0)-BA13</f>
        <v>0</v>
      </c>
      <c r="BB19" s="33" t="n">
        <f aca="false">IF(Source_Data!BB$6=Inputs!$B$13,Inputs!$B$7,0)-BB13</f>
        <v>0</v>
      </c>
      <c r="BC19" s="33" t="n">
        <f aca="false">IF(Source_Data!BC$6=Inputs!$B$13,Inputs!$B$7,0)-BC13</f>
        <v>0</v>
      </c>
      <c r="BD19" s="33" t="n">
        <f aca="false">IF(Source_Data!BD$6=Inputs!$B$13,Inputs!$B$7,0)-BD13</f>
        <v>0</v>
      </c>
      <c r="BE19" s="33" t="n">
        <f aca="false">IF(Source_Data!BE$6=Inputs!$B$13,Inputs!$B$7,0)-BE13</f>
        <v>0</v>
      </c>
      <c r="BF19" s="33" t="n">
        <f aca="false">IF(Source_Data!BF$6=Inputs!$B$13,Inputs!$B$7,0)-BF13</f>
        <v>0</v>
      </c>
      <c r="BG19" s="33" t="n">
        <f aca="false">IF(Source_Data!BG$6=Inputs!$B$13,Inputs!$B$7,0)-BG13</f>
        <v>0</v>
      </c>
      <c r="BH19" s="33" t="n">
        <f aca="false">IF(Source_Data!BH$6=Inputs!$B$13,Inputs!$B$7,0)-BH13</f>
        <v>0</v>
      </c>
      <c r="BI19" s="33" t="n">
        <f aca="false">IF(Source_Data!BI$6=Inputs!$B$13,Inputs!$B$7,0)-BI13</f>
        <v>0</v>
      </c>
      <c r="BJ19" s="33" t="n">
        <f aca="false">IF(Source_Data!BJ$6=Inputs!$B$13,Inputs!$B$7,0)-BJ13</f>
        <v>0</v>
      </c>
      <c r="BK19" s="33" t="n">
        <f aca="false">IF(Source_Data!BK$6=Inputs!$B$13,Inputs!$B$7,0)-BK13</f>
        <v>0</v>
      </c>
    </row>
    <row r="20" customFormat="false" ht="15" hidden="false" customHeight="false" outlineLevel="0" collapsed="false">
      <c r="A20" s="3" t="s">
        <v>307</v>
      </c>
      <c r="D20" s="33" t="n">
        <f aca="false">0+IF(Source_Data!D$6=Inputs!$B$13,Inputs!$B$7,0)+D7-D9</f>
        <v>-16.25</v>
      </c>
      <c r="E20" s="33" t="n">
        <f aca="false">D20+IF(Source_Data!E$6=Inputs!$B$13,Inputs!$B$7,0)+E7-E9</f>
        <v>-27.5</v>
      </c>
      <c r="F20" s="33" t="n">
        <f aca="false">E20+IF(Source_Data!F$6=Inputs!$B$13,Inputs!$B$7,0)+F7-F9</f>
        <v>-23.6107625</v>
      </c>
      <c r="G20" s="33" t="n">
        <f aca="false">F20+IF(Source_Data!G$6=Inputs!$B$13,Inputs!$B$7,0)+G7-G9</f>
        <v>-4.5822875</v>
      </c>
      <c r="H20" s="33" t="n">
        <f aca="false">G20+IF(Source_Data!H$6=Inputs!$B$13,Inputs!$B$7,0)+H7-H9</f>
        <v>-3.57028125</v>
      </c>
      <c r="I20" s="33" t="n">
        <f aca="false">H20+IF(Source_Data!I$6=Inputs!$B$13,Inputs!$B$7,0)+I7-I9</f>
        <v>6.31525625</v>
      </c>
      <c r="J20" s="33" t="n">
        <f aca="false">I20+IF(Source_Data!J$6=Inputs!$B$13,Inputs!$B$7,0)+J7-J9</f>
        <v>-11.93043375</v>
      </c>
      <c r="K20" s="33" t="n">
        <f aca="false">J20+IF(Source_Data!K$6=Inputs!$B$13,Inputs!$B$7,0)+K7-K9</f>
        <v>-13.428264375</v>
      </c>
      <c r="L20" s="33" t="n">
        <f aca="false">K20+IF(Source_Data!L$6=Inputs!$B$13,Inputs!$B$7,0)+L7-L9</f>
        <v>-6.73067593749998</v>
      </c>
      <c r="M20" s="33" t="n">
        <f aca="false">L20+IF(Source_Data!M$6=Inputs!$B$13,Inputs!$B$7,0)+M7-M9</f>
        <v>400.5169015625</v>
      </c>
      <c r="N20" s="33" t="n">
        <f aca="false">M20+IF(Source_Data!N$6=Inputs!$B$13,Inputs!$B$7,0)+N7-N9</f>
        <v>524.9086415625</v>
      </c>
      <c r="O20" s="33" t="n">
        <f aca="false">N20+IF(Source_Data!O$6=Inputs!$B$13,Inputs!$B$7,0)+O7-O9</f>
        <v>640.2566315625</v>
      </c>
      <c r="P20" s="33" t="n">
        <f aca="false">O20+IF(Source_Data!P$6=Inputs!$B$13,Inputs!$B$7,0)+P7-P9</f>
        <v>532.4943415625</v>
      </c>
      <c r="Q20" s="33" t="n">
        <f aca="false">P20+IF(Source_Data!Q$6=Inputs!$B$13,Inputs!$B$7,0)+Q7-Q9</f>
        <v>397.1685103125</v>
      </c>
      <c r="R20" s="33" t="n">
        <f aca="false">Q20+IF(Source_Data!R$6=Inputs!$B$13,Inputs!$B$7,0)+R7-R9</f>
        <v>211.2426790625</v>
      </c>
      <c r="S20" s="33" t="n">
        <f aca="false">R20+IF(Source_Data!S$6=Inputs!$B$13,Inputs!$B$7,0)+S7-S9</f>
        <v>78.6985146875</v>
      </c>
      <c r="T20" s="33" t="n">
        <f aca="false">S20+IF(Source_Data!T$6=Inputs!$B$13,Inputs!$B$7,0)+T7-T9</f>
        <v>80.550154375</v>
      </c>
      <c r="U20" s="33" t="n">
        <f aca="false">T20+IF(Source_Data!U$6=Inputs!$B$13,Inputs!$B$7,0)+U7-U9</f>
        <v>80.8878703125</v>
      </c>
      <c r="V20" s="33" t="n">
        <f aca="false">U20+IF(Source_Data!V$6=Inputs!$B$13,Inputs!$B$7,0)+V7-V9</f>
        <v>75.236815</v>
      </c>
      <c r="W20" s="33" t="n">
        <f aca="false">V20+IF(Source_Data!W$6=Inputs!$B$13,Inputs!$B$7,0)+W7-W9</f>
        <v>65.2447596875</v>
      </c>
      <c r="X20" s="33" t="n">
        <f aca="false">W20+IF(Source_Data!X$6=Inputs!$B$13,Inputs!$B$7,0)+X7-X9</f>
        <v>77.752704375</v>
      </c>
      <c r="Y20" s="33" t="n">
        <f aca="false">X20+IF(Source_Data!Y$6=Inputs!$B$13,Inputs!$B$7,0)+Y7-Y9</f>
        <v>97.3554303125</v>
      </c>
      <c r="Z20" s="33" t="n">
        <f aca="false">Y20+IF(Source_Data!Z$6=Inputs!$B$13,Inputs!$B$7,0)+Z7-Z9</f>
        <v>116.95815625</v>
      </c>
      <c r="AA20" s="33" t="n">
        <f aca="false">Z20+IF(Source_Data!AA$6=Inputs!$B$13,Inputs!$B$7,0)+AA7-AA9</f>
        <v>136.5608821875</v>
      </c>
      <c r="AB20" s="33" t="n">
        <f aca="false">AA20+IF(Source_Data!AB$6=Inputs!$B$13,Inputs!$B$7,0)+AB7-AB9</f>
        <v>172.875608125</v>
      </c>
      <c r="AC20" s="33" t="n">
        <f aca="false">AB20+IF(Source_Data!AC$6=Inputs!$B$13,Inputs!$B$7,0)+AC7-AC9</f>
        <v>205.914235625</v>
      </c>
      <c r="AD20" s="33" t="n">
        <f aca="false">AC20+IF(Source_Data!AD$6=Inputs!$B$13,Inputs!$B$7,0)+AD7-AD9</f>
        <v>235.344406875</v>
      </c>
      <c r="AE20" s="33" t="n">
        <f aca="false">AD20+IF(Source_Data!AE$6=Inputs!$B$13,Inputs!$B$7,0)+AE7-AE9</f>
        <v>260.433578125</v>
      </c>
      <c r="AF20" s="33" t="n">
        <f aca="false">AE20+IF(Source_Data!AF$6=Inputs!$B$13,Inputs!$B$7,0)+AF7-AF9</f>
        <v>177.764539023438</v>
      </c>
      <c r="AG20" s="33" t="n">
        <f aca="false">AF20+IF(Source_Data!AG$6=Inputs!$B$13,Inputs!$B$7,0)+AG7-AG9</f>
        <v>191.877197851563</v>
      </c>
      <c r="AH20" s="33" t="n">
        <f aca="false">AG20+IF(Source_Data!AH$6=Inputs!$B$13,Inputs!$B$7,0)+AH7-AH9</f>
        <v>205.989856679688</v>
      </c>
      <c r="AI20" s="33" t="n">
        <f aca="false">AH20+IF(Source_Data!AI$6=Inputs!$B$13,Inputs!$B$7,0)+AI7-AI9</f>
        <v>220.102515507813</v>
      </c>
      <c r="AJ20" s="33" t="n">
        <f aca="false">AI20+IF(Source_Data!AJ$6=Inputs!$B$13,Inputs!$B$7,0)+AJ7-AJ9</f>
        <v>234.215174335938</v>
      </c>
      <c r="AK20" s="33" t="n">
        <f aca="false">AJ20+IF(Source_Data!AK$6=Inputs!$B$13,Inputs!$B$7,0)+AK7-AK9</f>
        <v>247.09929625</v>
      </c>
      <c r="AL20" s="33" t="n">
        <f aca="false">AK20+IF(Source_Data!AL$6=Inputs!$B$13,Inputs!$B$7,0)+AL7-AL9</f>
        <v>259.983418164063</v>
      </c>
      <c r="AM20" s="33" t="n">
        <f aca="false">AL20+IF(Source_Data!AM$6=Inputs!$B$13,Inputs!$B$7,0)+AM7-AM9</f>
        <v>270.5244175</v>
      </c>
      <c r="AN20" s="33" t="n">
        <f aca="false">AM20+IF(Source_Data!AN$6=Inputs!$B$13,Inputs!$B$7,0)+AN7-AN9</f>
        <v>275.93913671875</v>
      </c>
      <c r="AO20" s="33" t="n">
        <f aca="false">AN20+IF(Source_Data!AO$6=Inputs!$B$13,Inputs!$B$7,0)+AO7-AO9</f>
        <v>277.9475275</v>
      </c>
      <c r="AP20" s="33" t="n">
        <f aca="false">AO20+IF(Source_Data!AP$6=Inputs!$B$13,Inputs!$B$7,0)+AP7-AP9</f>
        <v>277.9475275</v>
      </c>
      <c r="AQ20" s="33" t="n">
        <f aca="false">AP20+IF(Source_Data!AQ$6=Inputs!$B$13,Inputs!$B$7,0)+AQ7-AQ9</f>
        <v>277.9475275</v>
      </c>
      <c r="AR20" s="33" t="n">
        <f aca="false">AQ20+IF(Source_Data!AR$6=Inputs!$B$13,Inputs!$B$7,0)+AR7-AR9</f>
        <v>277.9475275</v>
      </c>
      <c r="AS20" s="33" t="n">
        <f aca="false">AR20+IF(Source_Data!AS$6=Inputs!$B$13,Inputs!$B$7,0)+AS7-AS9</f>
        <v>277.9475275</v>
      </c>
      <c r="AT20" s="33" t="n">
        <f aca="false">AS20+IF(Source_Data!AT$6=Inputs!$B$13,Inputs!$B$7,0)+AT7-AT9</f>
        <v>277.9475275</v>
      </c>
      <c r="AU20" s="33" t="n">
        <f aca="false">AT20+IF(Source_Data!AU$6=Inputs!$B$13,Inputs!$B$7,0)+AU7-AU9</f>
        <v>277.9475275</v>
      </c>
      <c r="AV20" s="33" t="n">
        <f aca="false">AU20+IF(Source_Data!AV$6=Inputs!$B$13,Inputs!$B$7,0)+AV7-AV9</f>
        <v>277.9475275</v>
      </c>
      <c r="AW20" s="33" t="n">
        <f aca="false">AV20+IF(Source_Data!AW$6=Inputs!$B$13,Inputs!$B$7,0)+AW7-AW9</f>
        <v>277.9475275</v>
      </c>
      <c r="AX20" s="33" t="n">
        <f aca="false">AW20+IF(Source_Data!AX$6=Inputs!$B$13,Inputs!$B$7,0)+AX7-AX9</f>
        <v>277.9475275</v>
      </c>
      <c r="AY20" s="33" t="n">
        <f aca="false">AX20+IF(Source_Data!AY$6=Inputs!$B$13,Inputs!$B$7,0)+AY7-AY9</f>
        <v>277.9475275</v>
      </c>
      <c r="AZ20" s="33" t="n">
        <f aca="false">AY20+IF(Source_Data!AZ$6=Inputs!$B$13,Inputs!$B$7,0)+AZ7-AZ9</f>
        <v>277.9475275</v>
      </c>
      <c r="BA20" s="33" t="n">
        <f aca="false">AZ20+IF(Source_Data!BA$6=Inputs!$B$13,Inputs!$B$7,0)+BA7-BA9</f>
        <v>277.9475275</v>
      </c>
      <c r="BB20" s="33" t="n">
        <f aca="false">BA20+IF(Source_Data!BB$6=Inputs!$B$13,Inputs!$B$7,0)+BB7-BB9</f>
        <v>277.9475275</v>
      </c>
      <c r="BC20" s="33" t="n">
        <f aca="false">BB20+IF(Source_Data!BC$6=Inputs!$B$13,Inputs!$B$7,0)+BC7-BC9</f>
        <v>277.9475275</v>
      </c>
      <c r="BD20" s="33" t="n">
        <f aca="false">BC20+IF(Source_Data!BD$6=Inputs!$B$13,Inputs!$B$7,0)+BD7-BD9</f>
        <v>277.9475275</v>
      </c>
      <c r="BE20" s="33" t="n">
        <f aca="false">BD20+IF(Source_Data!BE$6=Inputs!$B$13,Inputs!$B$7,0)+BE7-BE9</f>
        <v>277.9475275</v>
      </c>
      <c r="BF20" s="33" t="n">
        <f aca="false">BE20+IF(Source_Data!BF$6=Inputs!$B$13,Inputs!$B$7,0)+BF7-BF9</f>
        <v>277.9475275</v>
      </c>
      <c r="BG20" s="33" t="n">
        <f aca="false">BF20+IF(Source_Data!BG$6=Inputs!$B$13,Inputs!$B$7,0)+BG7-BG9</f>
        <v>277.9475275</v>
      </c>
      <c r="BH20" s="33" t="n">
        <f aca="false">BG20+IF(Source_Data!BH$6=Inputs!$B$13,Inputs!$B$7,0)+BH7-BH9</f>
        <v>277.9475275</v>
      </c>
      <c r="BI20" s="33" t="n">
        <f aca="false">BH20+IF(Source_Data!BI$6=Inputs!$B$13,Inputs!$B$7,0)+BI7-BI9</f>
        <v>277.9475275</v>
      </c>
      <c r="BJ20" s="33" t="n">
        <f aca="false">BI20+IF(Source_Data!BJ$6=Inputs!$B$13,Inputs!$B$7,0)+BJ7-BJ9</f>
        <v>277.9475275</v>
      </c>
      <c r="BK20" s="33" t="n">
        <f aca="false">BJ20+IF(Source_Data!BK$6=Inputs!$B$13,Inputs!$B$7,0)+BK7-BK9</f>
        <v>277.9475275</v>
      </c>
    </row>
    <row r="21" customFormat="false" ht="15" hidden="false" customHeight="false" outlineLevel="0" collapsed="false">
      <c r="A21" s="3" t="s">
        <v>308</v>
      </c>
      <c r="D21" s="33" t="n">
        <f aca="false">0+IF(Source_Data!D$6=Inputs!$B$13,Inputs!$B$7,0)+D7-D10</f>
        <v>-16.25</v>
      </c>
      <c r="E21" s="33" t="n">
        <f aca="false">D21+IF(Source_Data!E$6=Inputs!$B$13,Inputs!$B$7,0)+E7-E10</f>
        <v>-27.5</v>
      </c>
      <c r="F21" s="33" t="n">
        <f aca="false">E21+IF(Source_Data!F$6=Inputs!$B$13,Inputs!$B$7,0)+F7-F10</f>
        <v>-23.6107625</v>
      </c>
      <c r="G21" s="33" t="n">
        <f aca="false">F21+IF(Source_Data!G$6=Inputs!$B$13,Inputs!$B$7,0)+G7-G10</f>
        <v>-4.5822875</v>
      </c>
      <c r="H21" s="33" t="n">
        <f aca="false">G21+IF(Source_Data!H$6=Inputs!$B$13,Inputs!$B$7,0)+H7-H10</f>
        <v>-3.57028125</v>
      </c>
      <c r="I21" s="33" t="n">
        <f aca="false">H21+IF(Source_Data!I$6=Inputs!$B$13,Inputs!$B$7,0)+I7-I10</f>
        <v>6.31525625</v>
      </c>
      <c r="J21" s="33" t="n">
        <f aca="false">I21+IF(Source_Data!J$6=Inputs!$B$13,Inputs!$B$7,0)+J7-J10</f>
        <v>-11.93043375</v>
      </c>
      <c r="K21" s="33" t="n">
        <f aca="false">J21+IF(Source_Data!K$6=Inputs!$B$13,Inputs!$B$7,0)+K7-K10</f>
        <v>-13.428264375</v>
      </c>
      <c r="L21" s="33" t="n">
        <f aca="false">K21+IF(Source_Data!L$6=Inputs!$B$13,Inputs!$B$7,0)+L7-L10</f>
        <v>-6.73067593749998</v>
      </c>
      <c r="M21" s="33" t="n">
        <f aca="false">L21+IF(Source_Data!M$6=Inputs!$B$13,Inputs!$B$7,0)+M7-M10</f>
        <v>393.3294015625</v>
      </c>
      <c r="N21" s="33" t="n">
        <f aca="false">M21+IF(Source_Data!N$6=Inputs!$B$13,Inputs!$B$7,0)+N7-N10</f>
        <v>510.5336415625</v>
      </c>
      <c r="O21" s="33" t="n">
        <f aca="false">N21+IF(Source_Data!O$6=Inputs!$B$13,Inputs!$B$7,0)+O7-O10</f>
        <v>618.6941315625</v>
      </c>
      <c r="P21" s="33" t="n">
        <f aca="false">O21+IF(Source_Data!P$6=Inputs!$B$13,Inputs!$B$7,0)+P7-P10</f>
        <v>507.261828068513</v>
      </c>
      <c r="Q21" s="33" t="n">
        <f aca="false">P21+IF(Source_Data!Q$6=Inputs!$B$13,Inputs!$B$7,0)+Q7-Q10</f>
        <v>373.087490182816</v>
      </c>
      <c r="R21" s="33" t="n">
        <f aca="false">Q21+IF(Source_Data!R$6=Inputs!$B$13,Inputs!$B$7,0)+R7-R10</f>
        <v>188.31315229712</v>
      </c>
      <c r="S21" s="33" t="n">
        <f aca="false">R21+IF(Source_Data!S$6=Inputs!$B$13,Inputs!$B$7,0)+S7-S10</f>
        <v>57.5274041845161</v>
      </c>
      <c r="T21" s="33" t="n">
        <f aca="false">S21+IF(Source_Data!T$6=Inputs!$B$13,Inputs!$B$7,0)+T7-T10</f>
        <v>62.4003595221118</v>
      </c>
      <c r="U21" s="33" t="n">
        <f aca="false">T21+IF(Source_Data!U$6=Inputs!$B$13,Inputs!$B$7,0)+U7-U10</f>
        <v>66.0401285872999</v>
      </c>
      <c r="V21" s="33" t="n">
        <f aca="false">U21+IF(Source_Data!V$6=Inputs!$B$13,Inputs!$B$7,0)+V7-V10</f>
        <v>64.8016661734655</v>
      </c>
      <c r="W21" s="33" t="n">
        <f aca="false">V21+IF(Source_Data!W$6=Inputs!$B$13,Inputs!$B$7,0)+W7-W10</f>
        <v>60.0271857742327</v>
      </c>
      <c r="X21" s="33" t="n">
        <f aca="false">W21+IF(Source_Data!X$6=Inputs!$B$13,Inputs!$B$7,0)+X7-X10</f>
        <v>77.752705375</v>
      </c>
      <c r="Y21" s="33" t="n">
        <f aca="false">X21+IF(Source_Data!Y$6=Inputs!$B$13,Inputs!$B$7,0)+Y7-Y10</f>
        <v>97.3554303125</v>
      </c>
      <c r="Z21" s="33" t="n">
        <f aca="false">Y21+IF(Source_Data!Z$6=Inputs!$B$13,Inputs!$B$7,0)+Z7-Z10</f>
        <v>116.95815625</v>
      </c>
      <c r="AA21" s="33" t="n">
        <f aca="false">Z21+IF(Source_Data!AA$6=Inputs!$B$13,Inputs!$B$7,0)+AA7-AA10</f>
        <v>136.5608821875</v>
      </c>
      <c r="AB21" s="33" t="n">
        <f aca="false">AA21+IF(Source_Data!AB$6=Inputs!$B$13,Inputs!$B$7,0)+AB7-AB10</f>
        <v>172.875608125</v>
      </c>
      <c r="AC21" s="33" t="n">
        <f aca="false">AB21+IF(Source_Data!AC$6=Inputs!$B$13,Inputs!$B$7,0)+AC7-AC10</f>
        <v>205.914235625</v>
      </c>
      <c r="AD21" s="33" t="n">
        <f aca="false">AC21+IF(Source_Data!AD$6=Inputs!$B$13,Inputs!$B$7,0)+AD7-AD10</f>
        <v>235.344406875</v>
      </c>
      <c r="AE21" s="33" t="n">
        <f aca="false">AD21+IF(Source_Data!AE$6=Inputs!$B$13,Inputs!$B$7,0)+AE7-AE10</f>
        <v>260.433578125</v>
      </c>
      <c r="AF21" s="33" t="n">
        <f aca="false">AE21+IF(Source_Data!AF$6=Inputs!$B$13,Inputs!$B$7,0)+AF7-AF10</f>
        <v>177.764539023438</v>
      </c>
      <c r="AG21" s="33" t="n">
        <f aca="false">AF21+IF(Source_Data!AG$6=Inputs!$B$13,Inputs!$B$7,0)+AG7-AG10</f>
        <v>191.877197851563</v>
      </c>
      <c r="AH21" s="33" t="n">
        <f aca="false">AG21+IF(Source_Data!AH$6=Inputs!$B$13,Inputs!$B$7,0)+AH7-AH10</f>
        <v>205.989856679688</v>
      </c>
      <c r="AI21" s="33" t="n">
        <f aca="false">AH21+IF(Source_Data!AI$6=Inputs!$B$13,Inputs!$B$7,0)+AI7-AI10</f>
        <v>220.102515507813</v>
      </c>
      <c r="AJ21" s="33" t="n">
        <f aca="false">AI21+IF(Source_Data!AJ$6=Inputs!$B$13,Inputs!$B$7,0)+AJ7-AJ10</f>
        <v>234.215174335938</v>
      </c>
      <c r="AK21" s="33" t="n">
        <f aca="false">AJ21+IF(Source_Data!AK$6=Inputs!$B$13,Inputs!$B$7,0)+AK7-AK10</f>
        <v>247.09929625</v>
      </c>
      <c r="AL21" s="33" t="n">
        <f aca="false">AK21+IF(Source_Data!AL$6=Inputs!$B$13,Inputs!$B$7,0)+AL7-AL10</f>
        <v>259.983418164063</v>
      </c>
      <c r="AM21" s="33" t="n">
        <f aca="false">AL21+IF(Source_Data!AM$6=Inputs!$B$13,Inputs!$B$7,0)+AM7-AM10</f>
        <v>270.5244175</v>
      </c>
      <c r="AN21" s="33" t="n">
        <f aca="false">AM21+IF(Source_Data!AN$6=Inputs!$B$13,Inputs!$B$7,0)+AN7-AN10</f>
        <v>275.93913671875</v>
      </c>
      <c r="AO21" s="33" t="n">
        <f aca="false">AN21+IF(Source_Data!AO$6=Inputs!$B$13,Inputs!$B$7,0)+AO7-AO10</f>
        <v>277.9475275</v>
      </c>
      <c r="AP21" s="33" t="n">
        <f aca="false">AO21+IF(Source_Data!AP$6=Inputs!$B$13,Inputs!$B$7,0)+AP7-AP10</f>
        <v>277.9475275</v>
      </c>
      <c r="AQ21" s="33" t="n">
        <f aca="false">AP21+IF(Source_Data!AQ$6=Inputs!$B$13,Inputs!$B$7,0)+AQ7-AQ10</f>
        <v>277.9475275</v>
      </c>
      <c r="AR21" s="33" t="n">
        <f aca="false">AQ21+IF(Source_Data!AR$6=Inputs!$B$13,Inputs!$B$7,0)+AR7-AR10</f>
        <v>277.9475275</v>
      </c>
      <c r="AS21" s="33" t="n">
        <f aca="false">AR21+IF(Source_Data!AS$6=Inputs!$B$13,Inputs!$B$7,0)+AS7-AS10</f>
        <v>277.9475275</v>
      </c>
      <c r="AT21" s="33" t="n">
        <f aca="false">AS21+IF(Source_Data!AT$6=Inputs!$B$13,Inputs!$B$7,0)+AT7-AT10</f>
        <v>277.9475275</v>
      </c>
      <c r="AU21" s="33" t="n">
        <f aca="false">AT21+IF(Source_Data!AU$6=Inputs!$B$13,Inputs!$B$7,0)+AU7-AU10</f>
        <v>277.9475275</v>
      </c>
      <c r="AV21" s="33" t="n">
        <f aca="false">AU21+IF(Source_Data!AV$6=Inputs!$B$13,Inputs!$B$7,0)+AV7-AV10</f>
        <v>277.9475275</v>
      </c>
      <c r="AW21" s="33" t="n">
        <f aca="false">AV21+IF(Source_Data!AW$6=Inputs!$B$13,Inputs!$B$7,0)+AW7-AW10</f>
        <v>277.9475275</v>
      </c>
      <c r="AX21" s="33" t="n">
        <f aca="false">AW21+IF(Source_Data!AX$6=Inputs!$B$13,Inputs!$B$7,0)+AX7-AX10</f>
        <v>277.9475275</v>
      </c>
      <c r="AY21" s="33" t="n">
        <f aca="false">AX21+IF(Source_Data!AY$6=Inputs!$B$13,Inputs!$B$7,0)+AY7-AY10</f>
        <v>277.9475275</v>
      </c>
      <c r="AZ21" s="33" t="n">
        <f aca="false">AY21+IF(Source_Data!AZ$6=Inputs!$B$13,Inputs!$B$7,0)+AZ7-AZ10</f>
        <v>277.9475275</v>
      </c>
      <c r="BA21" s="33" t="n">
        <f aca="false">AZ21+IF(Source_Data!BA$6=Inputs!$B$13,Inputs!$B$7,0)+BA7-BA10</f>
        <v>277.9475275</v>
      </c>
      <c r="BB21" s="33" t="n">
        <f aca="false">BA21+IF(Source_Data!BB$6=Inputs!$B$13,Inputs!$B$7,0)+BB7-BB10</f>
        <v>277.9475275</v>
      </c>
      <c r="BC21" s="33" t="n">
        <f aca="false">BB21+IF(Source_Data!BC$6=Inputs!$B$13,Inputs!$B$7,0)+BC7-BC10</f>
        <v>277.9475275</v>
      </c>
      <c r="BD21" s="33" t="n">
        <f aca="false">BC21+IF(Source_Data!BD$6=Inputs!$B$13,Inputs!$B$7,0)+BD7-BD10</f>
        <v>277.9475275</v>
      </c>
      <c r="BE21" s="33" t="n">
        <f aca="false">BD21+IF(Source_Data!BE$6=Inputs!$B$13,Inputs!$B$7,0)+BE7-BE10</f>
        <v>277.9475275</v>
      </c>
      <c r="BF21" s="33" t="n">
        <f aca="false">BE21+IF(Source_Data!BF$6=Inputs!$B$13,Inputs!$B$7,0)+BF7-BF10</f>
        <v>277.9475275</v>
      </c>
      <c r="BG21" s="33" t="n">
        <f aca="false">BF21+IF(Source_Data!BG$6=Inputs!$B$13,Inputs!$B$7,0)+BG7-BG10</f>
        <v>277.9475275</v>
      </c>
      <c r="BH21" s="33" t="n">
        <f aca="false">BG21+IF(Source_Data!BH$6=Inputs!$B$13,Inputs!$B$7,0)+BH7-BH10</f>
        <v>277.9475275</v>
      </c>
      <c r="BI21" s="33" t="n">
        <f aca="false">BH21+IF(Source_Data!BI$6=Inputs!$B$13,Inputs!$B$7,0)+BI7-BI10</f>
        <v>277.9475275</v>
      </c>
      <c r="BJ21" s="33" t="n">
        <f aca="false">BI21+IF(Source_Data!BJ$6=Inputs!$B$13,Inputs!$B$7,0)+BJ7-BJ10</f>
        <v>277.9475275</v>
      </c>
      <c r="BK21" s="33" t="n">
        <f aca="false">BJ21+IF(Source_Data!BK$6=Inputs!$B$13,Inputs!$B$7,0)+BK7-BK10</f>
        <v>277.9475275</v>
      </c>
    </row>
    <row r="22" customFormat="false" ht="15" hidden="false" customHeight="false" outlineLevel="0" collapsed="false">
      <c r="A22" s="3" t="s">
        <v>309</v>
      </c>
      <c r="D22" s="33" t="n">
        <f aca="false">0+IF(Source_Data!D$6=Inputs!$B$13,Inputs!$B$7,0)+D7-D13</f>
        <v>-16.25</v>
      </c>
      <c r="E22" s="33" t="n">
        <f aca="false">D22+IF(Source_Data!E$6=Inputs!$B$13,Inputs!$B$7,0)+E7-E13</f>
        <v>-27.5</v>
      </c>
      <c r="F22" s="33" t="n">
        <f aca="false">E22+IF(Source_Data!F$6=Inputs!$B$13,Inputs!$B$7,0)+F7-F13</f>
        <v>-23.6107625</v>
      </c>
      <c r="G22" s="33" t="n">
        <f aca="false">F22+IF(Source_Data!G$6=Inputs!$B$13,Inputs!$B$7,0)+G7-G13</f>
        <v>-4.5822875</v>
      </c>
      <c r="H22" s="33" t="n">
        <f aca="false">G22+IF(Source_Data!H$6=Inputs!$B$13,Inputs!$B$7,0)+H7-H13</f>
        <v>-3.57028125</v>
      </c>
      <c r="I22" s="33" t="n">
        <f aca="false">H22+IF(Source_Data!I$6=Inputs!$B$13,Inputs!$B$7,0)+I7-I13</f>
        <v>6.31525625</v>
      </c>
      <c r="J22" s="33" t="n">
        <f aca="false">I22+IF(Source_Data!J$6=Inputs!$B$13,Inputs!$B$7,0)+J7-J13</f>
        <v>-11.93043375</v>
      </c>
      <c r="K22" s="33" t="n">
        <f aca="false">J22+IF(Source_Data!K$6=Inputs!$B$13,Inputs!$B$7,0)+K7-K13</f>
        <v>-13.428264375</v>
      </c>
      <c r="L22" s="33" t="n">
        <f aca="false">K22+IF(Source_Data!L$6=Inputs!$B$13,Inputs!$B$7,0)+L7-L13</f>
        <v>-6.73067593749998</v>
      </c>
      <c r="M22" s="33" t="n">
        <f aca="false">L22+IF(Source_Data!M$6=Inputs!$B$13,Inputs!$B$7,0)+M7-M13</f>
        <v>390.733573118983</v>
      </c>
      <c r="N22" s="33" t="n">
        <f aca="false">M22+IF(Source_Data!N$6=Inputs!$B$13,Inputs!$B$7,0)+N7-N13</f>
        <v>513.413402493714</v>
      </c>
      <c r="O22" s="33" t="n">
        <f aca="false">N22+IF(Source_Data!O$6=Inputs!$B$13,Inputs!$B$7,0)+O7-O13</f>
        <v>627.285198760515</v>
      </c>
      <c r="P22" s="33" t="n">
        <f aca="false">O22+IF(Source_Data!P$6=Inputs!$B$13,Inputs!$B$7,0)+P7-P13</f>
        <v>520.111595001845</v>
      </c>
      <c r="Q22" s="33" t="n">
        <f aca="false">P22+IF(Source_Data!Q$6=Inputs!$B$13,Inputs!$B$7,0)+Q7-Q13</f>
        <v>386.052136057876</v>
      </c>
      <c r="R22" s="33" t="n">
        <f aca="false">Q22+IF(Source_Data!R$6=Inputs!$B$13,Inputs!$B$7,0)+R7-R13</f>
        <v>201.392677113907</v>
      </c>
      <c r="S22" s="33" t="n">
        <f aca="false">R22+IF(Source_Data!S$6=Inputs!$B$13,Inputs!$B$7,0)+S7-S13</f>
        <v>70.200190988178</v>
      </c>
      <c r="T22" s="33" t="n">
        <f aca="false">S22+IF(Source_Data!T$6=Inputs!$B$13,Inputs!$B$7,0)+T7-T13</f>
        <v>73.5810155305219</v>
      </c>
      <c r="U22" s="33" t="n">
        <f aca="false">T22+IF(Source_Data!U$6=Inputs!$B$13,Inputs!$B$7,0)+U7-U13</f>
        <v>75.4873753305983</v>
      </c>
      <c r="V22" s="33" t="n">
        <f aca="false">U22+IF(Source_Data!V$6=Inputs!$B$13,Inputs!$B$7,0)+V7-V13</f>
        <v>71.5610556066033</v>
      </c>
      <c r="W22" s="33" t="n">
        <f aca="false">V22+IF(Source_Data!W$6=Inputs!$B$13,Inputs!$B$7,0)+W7-W13</f>
        <v>63.4068799908017</v>
      </c>
      <c r="X22" s="33" t="n">
        <f aca="false">W22+IF(Source_Data!X$6=Inputs!$B$13,Inputs!$B$7,0)+X7-X13</f>
        <v>77.752704375</v>
      </c>
      <c r="Y22" s="33" t="n">
        <f aca="false">X22+IF(Source_Data!Y$6=Inputs!$B$13,Inputs!$B$7,0)+Y7-Y13</f>
        <v>97.3554303125</v>
      </c>
      <c r="Z22" s="33" t="n">
        <f aca="false">Y22+IF(Source_Data!Z$6=Inputs!$B$13,Inputs!$B$7,0)+Z7-Z13</f>
        <v>116.95815625</v>
      </c>
      <c r="AA22" s="33" t="n">
        <f aca="false">Z22+IF(Source_Data!AA$6=Inputs!$B$13,Inputs!$B$7,0)+AA7-AA13</f>
        <v>136.5608821875</v>
      </c>
      <c r="AB22" s="33" t="n">
        <f aca="false">AA22+IF(Source_Data!AB$6=Inputs!$B$13,Inputs!$B$7,0)+AB7-AB13</f>
        <v>172.875608125</v>
      </c>
      <c r="AC22" s="33" t="n">
        <f aca="false">AB22+IF(Source_Data!AC$6=Inputs!$B$13,Inputs!$B$7,0)+AC7-AC13</f>
        <v>205.914235625</v>
      </c>
      <c r="AD22" s="33" t="n">
        <f aca="false">AC22+IF(Source_Data!AD$6=Inputs!$B$13,Inputs!$B$7,0)+AD7-AD13</f>
        <v>235.344406875</v>
      </c>
      <c r="AE22" s="33" t="n">
        <f aca="false">AD22+IF(Source_Data!AE$6=Inputs!$B$13,Inputs!$B$7,0)+AE7-AE13</f>
        <v>260.433578125</v>
      </c>
      <c r="AF22" s="33" t="n">
        <f aca="false">AE22+IF(Source_Data!AF$6=Inputs!$B$13,Inputs!$B$7,0)+AF7-AF13</f>
        <v>177.764539023438</v>
      </c>
      <c r="AG22" s="33" t="n">
        <f aca="false">AF22+IF(Source_Data!AG$6=Inputs!$B$13,Inputs!$B$7,0)+AG7-AG13</f>
        <v>191.877197851563</v>
      </c>
      <c r="AH22" s="33" t="n">
        <f aca="false">AG22+IF(Source_Data!AH$6=Inputs!$B$13,Inputs!$B$7,0)+AH7-AH13</f>
        <v>205.989856679688</v>
      </c>
      <c r="AI22" s="33" t="n">
        <f aca="false">AH22+IF(Source_Data!AI$6=Inputs!$B$13,Inputs!$B$7,0)+AI7-AI13</f>
        <v>220.102515507813</v>
      </c>
      <c r="AJ22" s="33" t="n">
        <f aca="false">AI22+IF(Source_Data!AJ$6=Inputs!$B$13,Inputs!$B$7,0)+AJ7-AJ13</f>
        <v>234.215174335938</v>
      </c>
      <c r="AK22" s="33" t="n">
        <f aca="false">AJ22+IF(Source_Data!AK$6=Inputs!$B$13,Inputs!$B$7,0)+AK7-AK13</f>
        <v>247.09929625</v>
      </c>
      <c r="AL22" s="33" t="n">
        <f aca="false">AK22+IF(Source_Data!AL$6=Inputs!$B$13,Inputs!$B$7,0)+AL7-AL13</f>
        <v>259.983418164063</v>
      </c>
      <c r="AM22" s="33" t="n">
        <f aca="false">AL22+IF(Source_Data!AM$6=Inputs!$B$13,Inputs!$B$7,0)+AM7-AM13</f>
        <v>270.5244175</v>
      </c>
      <c r="AN22" s="33" t="n">
        <f aca="false">AM22+IF(Source_Data!AN$6=Inputs!$B$13,Inputs!$B$7,0)+AN7-AN13</f>
        <v>275.93913671875</v>
      </c>
      <c r="AO22" s="33" t="n">
        <f aca="false">AN22+IF(Source_Data!AO$6=Inputs!$B$13,Inputs!$B$7,0)+AO7-AO13</f>
        <v>277.9475275</v>
      </c>
      <c r="AP22" s="33" t="n">
        <f aca="false">AO22+IF(Source_Data!AP$6=Inputs!$B$13,Inputs!$B$7,0)+AP7-AP13</f>
        <v>277.9475275</v>
      </c>
      <c r="AQ22" s="33" t="n">
        <f aca="false">AP22+IF(Source_Data!AQ$6=Inputs!$B$13,Inputs!$B$7,0)+AQ7-AQ13</f>
        <v>277.9475275</v>
      </c>
      <c r="AR22" s="33" t="n">
        <f aca="false">AQ22+IF(Source_Data!AR$6=Inputs!$B$13,Inputs!$B$7,0)+AR7-AR13</f>
        <v>277.9475275</v>
      </c>
      <c r="AS22" s="33" t="n">
        <f aca="false">AR22+IF(Source_Data!AS$6=Inputs!$B$13,Inputs!$B$7,0)+AS7-AS13</f>
        <v>277.9475275</v>
      </c>
      <c r="AT22" s="33" t="n">
        <f aca="false">AS22+IF(Source_Data!AT$6=Inputs!$B$13,Inputs!$B$7,0)+AT7-AT13</f>
        <v>277.9475275</v>
      </c>
      <c r="AU22" s="33" t="n">
        <f aca="false">AT22+IF(Source_Data!AU$6=Inputs!$B$13,Inputs!$B$7,0)+AU7-AU13</f>
        <v>277.9475275</v>
      </c>
      <c r="AV22" s="33" t="n">
        <f aca="false">AU22+IF(Source_Data!AV$6=Inputs!$B$13,Inputs!$B$7,0)+AV7-AV13</f>
        <v>277.9475275</v>
      </c>
      <c r="AW22" s="33" t="n">
        <f aca="false">AV22+IF(Source_Data!AW$6=Inputs!$B$13,Inputs!$B$7,0)+AW7-AW13</f>
        <v>277.9475275</v>
      </c>
      <c r="AX22" s="33" t="n">
        <f aca="false">AW22+IF(Source_Data!AX$6=Inputs!$B$13,Inputs!$B$7,0)+AX7-AX13</f>
        <v>277.9475275</v>
      </c>
      <c r="AY22" s="33" t="n">
        <f aca="false">AX22+IF(Source_Data!AY$6=Inputs!$B$13,Inputs!$B$7,0)+AY7-AY13</f>
        <v>277.9475275</v>
      </c>
      <c r="AZ22" s="33" t="n">
        <f aca="false">AY22+IF(Source_Data!AZ$6=Inputs!$B$13,Inputs!$B$7,0)+AZ7-AZ13</f>
        <v>277.9475275</v>
      </c>
      <c r="BA22" s="33" t="n">
        <f aca="false">AZ22+IF(Source_Data!BA$6=Inputs!$B$13,Inputs!$B$7,0)+BA7-BA13</f>
        <v>277.9475275</v>
      </c>
      <c r="BB22" s="33" t="n">
        <f aca="false">BA22+IF(Source_Data!BB$6=Inputs!$B$13,Inputs!$B$7,0)+BB7-BB13</f>
        <v>277.9475275</v>
      </c>
      <c r="BC22" s="33" t="n">
        <f aca="false">BB22+IF(Source_Data!BC$6=Inputs!$B$13,Inputs!$B$7,0)+BC7-BC13</f>
        <v>277.9475275</v>
      </c>
      <c r="BD22" s="33" t="n">
        <f aca="false">BC22+IF(Source_Data!BD$6=Inputs!$B$13,Inputs!$B$7,0)+BD7-BD13</f>
        <v>277.9475275</v>
      </c>
      <c r="BE22" s="33" t="n">
        <f aca="false">BD22+IF(Source_Data!BE$6=Inputs!$B$13,Inputs!$B$7,0)+BE7-BE13</f>
        <v>277.9475275</v>
      </c>
      <c r="BF22" s="33" t="n">
        <f aca="false">BE22+IF(Source_Data!BF$6=Inputs!$B$13,Inputs!$B$7,0)+BF7-BF13</f>
        <v>277.9475275</v>
      </c>
      <c r="BG22" s="33" t="n">
        <f aca="false">BF22+IF(Source_Data!BG$6=Inputs!$B$13,Inputs!$B$7,0)+BG7-BG13</f>
        <v>277.9475275</v>
      </c>
      <c r="BH22" s="33" t="n">
        <f aca="false">BG22+IF(Source_Data!BH$6=Inputs!$B$13,Inputs!$B$7,0)+BH7-BH13</f>
        <v>277.9475275</v>
      </c>
      <c r="BI22" s="33" t="n">
        <f aca="false">BH22+IF(Source_Data!BI$6=Inputs!$B$13,Inputs!$B$7,0)+BI7-BI13</f>
        <v>277.9475275</v>
      </c>
      <c r="BJ22" s="33" t="n">
        <f aca="false">BI22+IF(Source_Data!BJ$6=Inputs!$B$13,Inputs!$B$7,0)+BJ7-BJ13</f>
        <v>277.9475275</v>
      </c>
      <c r="BK22" s="33" t="n">
        <f aca="false">BJ22+IF(Source_Data!BK$6=Inputs!$B$13,Inputs!$B$7,0)+BK7-BK13</f>
        <v>277.9475275</v>
      </c>
    </row>
    <row r="23" customFormat="false" ht="15" hidden="false" customHeight="false" outlineLevel="0" collapsed="false">
      <c r="A23" s="3" t="s">
        <v>310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29.3302662608696</v>
      </c>
      <c r="N23" s="31" t="n">
        <f aca="false">IF(N9&gt;0,N7/N9,"")</f>
        <v>9.65333843478261</v>
      </c>
      <c r="O23" s="31" t="n">
        <f aca="false">IF(O9&gt;0,O7/O9,"")</f>
        <v>9.024208</v>
      </c>
      <c r="P23" s="31" t="n">
        <f aca="false">IF(P9&gt;0,P7/P9,"")</f>
        <v>-6.49650713043478</v>
      </c>
      <c r="Q23" s="31" t="n">
        <f aca="false">IF(Q9&gt;0,Q7/Q9,"")</f>
        <v>-8.41397086956522</v>
      </c>
      <c r="R23" s="31" t="n">
        <f aca="false">IF(R9&gt;0,R7/R9,"")</f>
        <v>-11.9339708695652</v>
      </c>
      <c r="S23" s="31" t="n">
        <f aca="false">IF(S9&gt;0,S7/S9,"")</f>
        <v>-8.22046360869565</v>
      </c>
      <c r="T23" s="31" t="n">
        <f aca="false">IF(T9&gt;0,T7/T9,"")</f>
        <v>1.1288097173913</v>
      </c>
      <c r="U23" s="31" t="n">
        <f aca="false">IF(U9&gt;0,U7/U9,"")</f>
        <v>1.0234932826087</v>
      </c>
      <c r="V23" s="31" t="n">
        <f aca="false">IF(V9&gt;0,V7/V9,"")</f>
        <v>0.606883108695652</v>
      </c>
      <c r="W23" s="31" t="n">
        <f aca="false">IF(W9&gt;0,W7/W9,"")</f>
        <v>0.3049005</v>
      </c>
      <c r="X23" s="31" t="n">
        <f aca="false">IF(X9&gt;0,X7/X9,"")</f>
        <v>1.87011789130435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311</v>
      </c>
      <c r="D24" s="31" t="str">
        <f aca="false">IF(D9&gt;0,(0+IF(Source_Data!D$6=Inputs!$B$13,Inputs!$B$7,0)+D7)/D9,"")</f>
        <v/>
      </c>
      <c r="E24" s="31" t="str">
        <f aca="false">IF(E9&gt;0,(D20+IF(Source_Data!E$6=Inputs!$B$13,Inputs!$B$7,0)+E7)/E9,"")</f>
        <v/>
      </c>
      <c r="F24" s="31" t="str">
        <f aca="false">IF(F9&gt;0,(E20+IF(Source_Data!F$6=Inputs!$B$13,Inputs!$B$7,0)+F7)/F9,"")</f>
        <v/>
      </c>
      <c r="G24" s="31" t="str">
        <f aca="false">IF(G9&gt;0,(F20+IF(Source_Data!G$6=Inputs!$B$13,Inputs!$B$7,0)+G7)/G9,"")</f>
        <v/>
      </c>
      <c r="H24" s="31" t="str">
        <f aca="false">IF(H9&gt;0,(G20+IF(Source_Data!H$6=Inputs!$B$13,Inputs!$B$7,0)+H7)/H9,"")</f>
        <v/>
      </c>
      <c r="I24" s="31" t="str">
        <f aca="false">IF(I9&gt;0,(H20+IF(Source_Data!I$6=Inputs!$B$13,Inputs!$B$7,0)+I7)/I9,"")</f>
        <v/>
      </c>
      <c r="J24" s="31" t="str">
        <f aca="false">IF(J9&gt;0,(I20+IF(Source_Data!J$6=Inputs!$B$13,Inputs!$B$7,0)+J7)/J9,"")</f>
        <v/>
      </c>
      <c r="K24" s="31" t="str">
        <f aca="false">IF(K9&gt;0,(J20+IF(Source_Data!K$6=Inputs!$B$13,Inputs!$B$7,0)+K7)/K9,"")</f>
        <v/>
      </c>
      <c r="L24" s="31" t="str">
        <f aca="false">IF(L9&gt;0,(K20+IF(Source_Data!L$6=Inputs!$B$13,Inputs!$B$7,0)+L7)/L9,"")</f>
        <v/>
      </c>
      <c r="M24" s="31" t="n">
        <f aca="false">IF(M9&gt;0,(L20+IF(Source_Data!M$6=Inputs!$B$13,Inputs!$B$7,0)+M7)/M9,"")</f>
        <v>28.862045326087</v>
      </c>
      <c r="N24" s="31" t="n">
        <f aca="false">IF(N9&gt;0,(M20+IF(Source_Data!N$6=Inputs!$B$13,Inputs!$B$7,0)+N7)/N9,"")</f>
        <v>37.5153837608696</v>
      </c>
      <c r="O24" s="31" t="n">
        <f aca="false">IF(O9&gt;0,(N20+IF(Source_Data!O$6=Inputs!$B$13,Inputs!$B$7,0)+O7)/O9,"")</f>
        <v>45.5395917608696</v>
      </c>
      <c r="P24" s="31" t="n">
        <f aca="false">IF(P9&gt;0,(O20+IF(Source_Data!P$6=Inputs!$B$13,Inputs!$B$7,0)+P7)/P9,"")</f>
        <v>38.0430846304348</v>
      </c>
      <c r="Q24" s="31" t="n">
        <f aca="false">IF(Q9&gt;0,(P20+IF(Source_Data!Q$6=Inputs!$B$13,Inputs!$B$7,0)+Q7)/Q9,"")</f>
        <v>28.6291137608696</v>
      </c>
      <c r="R24" s="31" t="n">
        <f aca="false">IF(R9&gt;0,(Q20+IF(Source_Data!R$6=Inputs!$B$13,Inputs!$B$7,0)+R7)/R9,"")</f>
        <v>15.6951428913044</v>
      </c>
      <c r="S24" s="31" t="n">
        <f aca="false">IF(S9&gt;0,(R20+IF(Source_Data!S$6=Inputs!$B$13,Inputs!$B$7,0)+S7)/S9,"")</f>
        <v>6.4746792826087</v>
      </c>
      <c r="T24" s="31" t="n">
        <f aca="false">IF(T9&gt;0,(S20+IF(Source_Data!T$6=Inputs!$B$13,Inputs!$B$7,0)+T7)/T9,"")</f>
        <v>6.603489</v>
      </c>
      <c r="U24" s="31" t="n">
        <f aca="false">IF(U9&gt;0,(T20+IF(Source_Data!U$6=Inputs!$B$13,Inputs!$B$7,0)+U7)/U9,"")</f>
        <v>6.6269822826087</v>
      </c>
      <c r="V24" s="31" t="n">
        <f aca="false">IF(V9&gt;0,(U20+IF(Source_Data!V$6=Inputs!$B$13,Inputs!$B$7,0)+V7)/V9,"")</f>
        <v>6.23386539130435</v>
      </c>
      <c r="W24" s="31" t="n">
        <f aca="false">IF(W9&gt;0,(V20+IF(Source_Data!W$6=Inputs!$B$13,Inputs!$B$7,0)+W7)/W9,"")</f>
        <v>5.53876589130435</v>
      </c>
      <c r="X24" s="31" t="n">
        <f aca="false">IF(X9&gt;0,(W20+IF(Source_Data!X$6=Inputs!$B$13,Inputs!$B$7,0)+X7)/X9,"")</f>
        <v>6.4088837826087</v>
      </c>
      <c r="Y24" s="31" t="str">
        <f aca="false">IF(Y9&gt;0,(X20+IF(Source_Data!Y$6=Inputs!$B$13,Inputs!$B$7,0)+Y7)/Y9,"")</f>
        <v/>
      </c>
      <c r="Z24" s="31" t="str">
        <f aca="false">IF(Z9&gt;0,(Y20+IF(Source_Data!Z$6=Inputs!$B$13,Inputs!$B$7,0)+Z7)/Z9,"")</f>
        <v/>
      </c>
      <c r="AA24" s="31" t="str">
        <f aca="false">IF(AA9&gt;0,(Z20+IF(Source_Data!AA$6=Inputs!$B$13,Inputs!$B$7,0)+AA7)/AA9,"")</f>
        <v/>
      </c>
      <c r="AB24" s="31" t="str">
        <f aca="false">IF(AB9&gt;0,(AA20+IF(Source_Data!AB$6=Inputs!$B$13,Inputs!$B$7,0)+AB7)/AB9,"")</f>
        <v/>
      </c>
      <c r="AC24" s="31" t="str">
        <f aca="false">IF(AC9&gt;0,(AB20+IF(Source_Data!AC$6=Inputs!$B$13,Inputs!$B$7,0)+AC7)/AC9,"")</f>
        <v/>
      </c>
      <c r="AD24" s="31" t="str">
        <f aca="false">IF(AD9&gt;0,(AC20+IF(Source_Data!AD$6=Inputs!$B$13,Inputs!$B$7,0)+AD7)/AD9,"")</f>
        <v/>
      </c>
      <c r="AE24" s="31" t="str">
        <f aca="false">IF(AE9&gt;0,(AD20+IF(Source_Data!AE$6=Inputs!$B$13,Inputs!$B$7,0)+AE7)/AE9,"")</f>
        <v/>
      </c>
      <c r="AF24" s="31" t="str">
        <f aca="false">IF(AF9&gt;0,(AE20+IF(Source_Data!AF$6=Inputs!$B$13,Inputs!$B$7,0)+AF7)/AF9,"")</f>
        <v/>
      </c>
      <c r="AG24" s="31" t="str">
        <f aca="false">IF(AG9&gt;0,(AF20+IF(Source_Data!AG$6=Inputs!$B$13,Inputs!$B$7,0)+AG7)/AG9,"")</f>
        <v/>
      </c>
      <c r="AH24" s="31" t="str">
        <f aca="false">IF(AH9&gt;0,(AG20+IF(Source_Data!AH$6=Inputs!$B$13,Inputs!$B$7,0)+AH7)/AH9,"")</f>
        <v/>
      </c>
      <c r="AI24" s="31" t="str">
        <f aca="false">IF(AI9&gt;0,(AH20+IF(Source_Data!AI$6=Inputs!$B$13,Inputs!$B$7,0)+AI7)/AI9,"")</f>
        <v/>
      </c>
      <c r="AJ24" s="31" t="str">
        <f aca="false">IF(AJ9&gt;0,(AI20+IF(Source_Data!AJ$6=Inputs!$B$13,Inputs!$B$7,0)+AJ7)/AJ9,"")</f>
        <v/>
      </c>
      <c r="AK24" s="31" t="str">
        <f aca="false">IF(AK9&gt;0,(AJ20+IF(Source_Data!AK$6=Inputs!$B$13,Inputs!$B$7,0)+AK7)/AK9,"")</f>
        <v/>
      </c>
      <c r="AL24" s="31" t="str">
        <f aca="false">IF(AL9&gt;0,(AK20+IF(Source_Data!AL$6=Inputs!$B$13,Inputs!$B$7,0)+AL7)/AL9,"")</f>
        <v/>
      </c>
      <c r="AM24" s="31" t="str">
        <f aca="false">IF(AM9&gt;0,(AL20+IF(Source_Data!AM$6=Inputs!$B$13,Inputs!$B$7,0)+AM7)/AM9,"")</f>
        <v/>
      </c>
      <c r="AN24" s="31" t="str">
        <f aca="false">IF(AN9&gt;0,(AM20+IF(Source_Data!AN$6=Inputs!$B$13,Inputs!$B$7,0)+AN7)/AN9,"")</f>
        <v/>
      </c>
      <c r="AO24" s="31" t="str">
        <f aca="false">IF(AO9&gt;0,(AN20+IF(Source_Data!AO$6=Inputs!$B$13,Inputs!$B$7,0)+AO7)/AO9,"")</f>
        <v/>
      </c>
      <c r="AP24" s="31" t="str">
        <f aca="false">IF(AP9&gt;0,(AO20+IF(Source_Data!AP$6=Inputs!$B$13,Inputs!$B$7,0)+AP7)/AP9,"")</f>
        <v/>
      </c>
      <c r="AQ24" s="31" t="str">
        <f aca="false">IF(AQ9&gt;0,(AP20+IF(Source_Data!AQ$6=Inputs!$B$13,Inputs!$B$7,0)+AQ7)/AQ9,"")</f>
        <v/>
      </c>
      <c r="AR24" s="31" t="str">
        <f aca="false">IF(AR9&gt;0,(AQ20+IF(Source_Data!AR$6=Inputs!$B$13,Inputs!$B$7,0)+AR7)/AR9,"")</f>
        <v/>
      </c>
      <c r="AS24" s="31" t="str">
        <f aca="false">IF(AS9&gt;0,(AR20+IF(Source_Data!AS$6=Inputs!$B$13,Inputs!$B$7,0)+AS7)/AS9,"")</f>
        <v/>
      </c>
      <c r="AT24" s="31" t="str">
        <f aca="false">IF(AT9&gt;0,(AS20+IF(Source_Data!AT$6=Inputs!$B$13,Inputs!$B$7,0)+AT7)/AT9,"")</f>
        <v/>
      </c>
      <c r="AU24" s="31" t="str">
        <f aca="false">IF(AU9&gt;0,(AT20+IF(Source_Data!AU$6=Inputs!$B$13,Inputs!$B$7,0)+AU7)/AU9,"")</f>
        <v/>
      </c>
      <c r="AV24" s="31" t="str">
        <f aca="false">IF(AV9&gt;0,(AU20+IF(Source_Data!AV$6=Inputs!$B$13,Inputs!$B$7,0)+AV7)/AV9,"")</f>
        <v/>
      </c>
      <c r="AW24" s="31" t="str">
        <f aca="false">IF(AW9&gt;0,(AV20+IF(Source_Data!AW$6=Inputs!$B$13,Inputs!$B$7,0)+AW7)/AW9,"")</f>
        <v/>
      </c>
      <c r="AX24" s="31" t="str">
        <f aca="false">IF(AX9&gt;0,(AW20+IF(Source_Data!AX$6=Inputs!$B$13,Inputs!$B$7,0)+AX7)/AX9,"")</f>
        <v/>
      </c>
      <c r="AY24" s="31" t="str">
        <f aca="false">IF(AY9&gt;0,(AX20+IF(Source_Data!AY$6=Inputs!$B$13,Inputs!$B$7,0)+AY7)/AY9,"")</f>
        <v/>
      </c>
      <c r="AZ24" s="31" t="str">
        <f aca="false">IF(AZ9&gt;0,(AY20+IF(Source_Data!AZ$6=Inputs!$B$13,Inputs!$B$7,0)+AZ7)/AZ9,"")</f>
        <v/>
      </c>
      <c r="BA24" s="31" t="str">
        <f aca="false">IF(BA9&gt;0,(AZ20+IF(Source_Data!BA$6=Inputs!$B$13,Inputs!$B$7,0)+BA7)/BA9,"")</f>
        <v/>
      </c>
      <c r="BB24" s="31" t="str">
        <f aca="false">IF(BB9&gt;0,(BA20+IF(Source_Data!BB$6=Inputs!$B$13,Inputs!$B$7,0)+BB7)/BB9,"")</f>
        <v/>
      </c>
      <c r="BC24" s="31" t="str">
        <f aca="false">IF(BC9&gt;0,(BB20+IF(Source_Data!BC$6=Inputs!$B$13,Inputs!$B$7,0)+BC7)/BC9,"")</f>
        <v/>
      </c>
      <c r="BD24" s="31" t="str">
        <f aca="false">IF(BD9&gt;0,(BC20+IF(Source_Data!BD$6=Inputs!$B$13,Inputs!$B$7,0)+BD7)/BD9,"")</f>
        <v/>
      </c>
      <c r="BE24" s="31" t="str">
        <f aca="false">IF(BE9&gt;0,(BD20+IF(Source_Data!BE$6=Inputs!$B$13,Inputs!$B$7,0)+BE7)/BE9,"")</f>
        <v/>
      </c>
      <c r="BF24" s="31" t="str">
        <f aca="false">IF(BF9&gt;0,(BE20+IF(Source_Data!BF$6=Inputs!$B$13,Inputs!$B$7,0)+BF7)/BF9,"")</f>
        <v/>
      </c>
      <c r="BG24" s="31" t="str">
        <f aca="false">IF(BG9&gt;0,(BF20+IF(Source_Data!BG$6=Inputs!$B$13,Inputs!$B$7,0)+BG7)/BG9,"")</f>
        <v/>
      </c>
      <c r="BH24" s="31" t="str">
        <f aca="false">IF(BH9&gt;0,(BG20+IF(Source_Data!BH$6=Inputs!$B$13,Inputs!$B$7,0)+BH7)/BH9,"")</f>
        <v/>
      </c>
      <c r="BI24" s="31" t="str">
        <f aca="false">IF(BI9&gt;0,(BH20+IF(Source_Data!BI$6=Inputs!$B$13,Inputs!$B$7,0)+BI7)/BI9,"")</f>
        <v/>
      </c>
      <c r="BJ24" s="31" t="str">
        <f aca="false">IF(BJ9&gt;0,(BI20+IF(Source_Data!BJ$6=Inputs!$B$13,Inputs!$B$7,0)+BJ7)/BJ9,"")</f>
        <v/>
      </c>
      <c r="BK24" s="31" t="str">
        <f aca="false">IF(BK9&gt;0,(BJ20+IF(Source_Data!BK$6=Inputs!$B$13,Inputs!$B$7,0)+BK7)/BK9,"")</f>
        <v/>
      </c>
    </row>
    <row r="25" customFormat="false" ht="15" hidden="false" customHeight="false" outlineLevel="0" collapsed="false">
      <c r="A25" s="3" t="s">
        <v>312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19.5535108405797</v>
      </c>
      <c r="N25" s="31" t="n">
        <f aca="false">IF(N10&gt;0,N7/N10,"")</f>
        <v>6.43555895652174</v>
      </c>
      <c r="O25" s="31" t="n">
        <f aca="false">IF(O10&gt;0,O7/O10,"")</f>
        <v>6.01613866666667</v>
      </c>
      <c r="P25" s="31" t="n">
        <f aca="false">IF(P10&gt;0,P7/P10,"")</f>
        <v>-5.17524079608564</v>
      </c>
      <c r="Q25" s="31" t="n">
        <f aca="false">IF(Q10&gt;0,Q7/Q10,"")</f>
        <v>-9.14665334862833</v>
      </c>
      <c r="R25" s="31" t="n">
        <f aca="false">IF(R10&gt;0,R7/R10,"")</f>
        <v>-12.9731723949006</v>
      </c>
      <c r="S25" s="31" t="n">
        <f aca="false">IF(S10&gt;0,S7/S10,"")</f>
        <v>-9.36617763038307</v>
      </c>
      <c r="T25" s="31" t="n">
        <f aca="false">IF(T10&gt;0,T7/T10,"")</f>
        <v>1.42919594973915</v>
      </c>
      <c r="U25" s="31" t="n">
        <f aca="false">IF(U10&gt;0,U7/U10,"")</f>
        <v>1.32870825690398</v>
      </c>
      <c r="V25" s="31" t="n">
        <f aca="false">IF(V10&gt;0,V7/V10,"")</f>
        <v>0.875686427864555</v>
      </c>
      <c r="W25" s="31" t="n">
        <f aca="false">IF(W10&gt;0,W7/W10,"")</f>
        <v>0.478621953877625</v>
      </c>
      <c r="X25" s="31" t="n">
        <f aca="false">IF(X10&gt;0,X7/X10,"")</f>
        <v>2.93564451064394</v>
      </c>
      <c r="Y25" s="31" t="n">
        <f aca="false">IF(Y10&gt;0,Y7/Y10,"")</f>
        <v>19602725.9869921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313</v>
      </c>
      <c r="D26" s="31" t="str">
        <f aca="false">IF(D10&gt;0,(0+IF(Source_Data!D$6=Inputs!$B$13,Inputs!$B$7,0)+D7)/D10,"")</f>
        <v/>
      </c>
      <c r="E26" s="31" t="str">
        <f aca="false">IF(E10&gt;0,(D21+IF(Source_Data!E$6=Inputs!$B$13,Inputs!$B$7,0)+E7)/E10,"")</f>
        <v/>
      </c>
      <c r="F26" s="31" t="str">
        <f aca="false">IF(F10&gt;0,(E21+IF(Source_Data!F$6=Inputs!$B$13,Inputs!$B$7,0)+F7)/F10,"")</f>
        <v/>
      </c>
      <c r="G26" s="31" t="str">
        <f aca="false">IF(G10&gt;0,(F21+IF(Source_Data!G$6=Inputs!$B$13,Inputs!$B$7,0)+G7)/G10,"")</f>
        <v/>
      </c>
      <c r="H26" s="31" t="str">
        <f aca="false">IF(H10&gt;0,(G21+IF(Source_Data!H$6=Inputs!$B$13,Inputs!$B$7,0)+H7)/H10,"")</f>
        <v/>
      </c>
      <c r="I26" s="31" t="str">
        <f aca="false">IF(I10&gt;0,(H21+IF(Source_Data!I$6=Inputs!$B$13,Inputs!$B$7,0)+I7)/I10,"")</f>
        <v/>
      </c>
      <c r="J26" s="31" t="str">
        <f aca="false">IF(J10&gt;0,(I21+IF(Source_Data!J$6=Inputs!$B$13,Inputs!$B$7,0)+J7)/J10,"")</f>
        <v/>
      </c>
      <c r="K26" s="31" t="str">
        <f aca="false">IF(K10&gt;0,(J21+IF(Source_Data!K$6=Inputs!$B$13,Inputs!$B$7,0)+K7)/K10,"")</f>
        <v/>
      </c>
      <c r="L26" s="31" t="str">
        <f aca="false">IF(L10&gt;0,(K21+IF(Source_Data!L$6=Inputs!$B$13,Inputs!$B$7,0)+L7)/L10,"")</f>
        <v/>
      </c>
      <c r="M26" s="31" t="n">
        <f aca="false">IF(M10&gt;0,(L21+IF(Source_Data!M$6=Inputs!$B$13,Inputs!$B$7,0)+M7)/M10,"")</f>
        <v>19.2413635507246</v>
      </c>
      <c r="N26" s="31" t="n">
        <f aca="false">IF(N10&gt;0,(M21+IF(Source_Data!N$6=Inputs!$B$13,Inputs!$B$7,0)+N7)/N10,"")</f>
        <v>24.6769225072464</v>
      </c>
      <c r="O26" s="31" t="n">
        <f aca="false">IF(O10&gt;0,(N21+IF(Source_Data!O$6=Inputs!$B$13,Inputs!$B$7,0)+O7)/O10,"")</f>
        <v>29.693061173913</v>
      </c>
      <c r="P26" s="31" t="n">
        <f aca="false">IF(P10&gt;0,(O21+IF(Source_Data!P$6=Inputs!$B$13,Inputs!$B$7,0)+P7)/P10,"")</f>
        <v>29.1109143108997</v>
      </c>
      <c r="Q26" s="31" t="n">
        <f aca="false">IF(Q10&gt;0,(P21+IF(Source_Data!Q$6=Inputs!$B$13,Inputs!$B$7,0)+Q7)/Q10,"")</f>
        <v>29.2139602195747</v>
      </c>
      <c r="R26" s="31" t="n">
        <f aca="false">IF(R10&gt;0,(Q21+IF(Source_Data!R$6=Inputs!$B$13,Inputs!$B$7,0)+R7)/R10,"")</f>
        <v>15.2407878246741</v>
      </c>
      <c r="S26" s="31" t="n">
        <f aca="false">IF(S10&gt;0,(R21+IF(Source_Data!S$6=Inputs!$B$13,Inputs!$B$7,0)+S7)/S10,"")</f>
        <v>5.55966570515084</v>
      </c>
      <c r="T26" s="31" t="n">
        <f aca="false">IF(T10&gt;0,(S21+IF(Source_Data!T$6=Inputs!$B$13,Inputs!$B$7,0)+T7)/T10,"")</f>
        <v>6.4960449488485</v>
      </c>
      <c r="U26" s="31" t="n">
        <f aca="false">IF(U10&gt;0,(T21+IF(Source_Data!U$6=Inputs!$B$13,Inputs!$B$7,0)+U7)/U10,"")</f>
        <v>6.96409694265164</v>
      </c>
      <c r="V26" s="31" t="n">
        <f aca="false">IF(V10&gt;0,(U21+IF(Source_Data!V$6=Inputs!$B$13,Inputs!$B$7,0)+V7)/V10,"")</f>
        <v>7.50461936701881</v>
      </c>
      <c r="W26" s="31" t="n">
        <f aca="false">IF(W10&gt;0,(V21+IF(Source_Data!W$6=Inputs!$B$13,Inputs!$B$7,0)+W7)/W10,"")</f>
        <v>7.5550288651774</v>
      </c>
      <c r="X26" s="31" t="n">
        <f aca="false">IF(X10&gt;0,(W21+IF(Source_Data!X$6=Inputs!$B$13,Inputs!$B$7,0)+X7)/X10,"")</f>
        <v>9.49067337582134</v>
      </c>
      <c r="Y26" s="31" t="n">
        <f aca="false">IF(Y10&gt;0,(X21+IF(Source_Data!Y$6=Inputs!$B$13,Inputs!$B$7,0)+Y7)/Y10,"")</f>
        <v>97355431.5582988</v>
      </c>
      <c r="Z26" s="31" t="str">
        <f aca="false">IF(Z10&gt;0,(Y21+IF(Source_Data!Z$6=Inputs!$B$13,Inputs!$B$7,0)+Z7)/Z10,"")</f>
        <v/>
      </c>
      <c r="AA26" s="31" t="str">
        <f aca="false">IF(AA10&gt;0,(Z21+IF(Source_Data!AA$6=Inputs!$B$13,Inputs!$B$7,0)+AA7)/AA10,"")</f>
        <v/>
      </c>
      <c r="AB26" s="31" t="str">
        <f aca="false">IF(AB10&gt;0,(AA21+IF(Source_Data!AB$6=Inputs!$B$13,Inputs!$B$7,0)+AB7)/AB10,"")</f>
        <v/>
      </c>
      <c r="AC26" s="31" t="str">
        <f aca="false">IF(AC10&gt;0,(AB21+IF(Source_Data!AC$6=Inputs!$B$13,Inputs!$B$7,0)+AC7)/AC10,"")</f>
        <v/>
      </c>
      <c r="AD26" s="31" t="str">
        <f aca="false">IF(AD10&gt;0,(AC21+IF(Source_Data!AD$6=Inputs!$B$13,Inputs!$B$7,0)+AD7)/AD10,"")</f>
        <v/>
      </c>
      <c r="AE26" s="31" t="str">
        <f aca="false">IF(AE10&gt;0,(AD21+IF(Source_Data!AE$6=Inputs!$B$13,Inputs!$B$7,0)+AE7)/AE10,"")</f>
        <v/>
      </c>
      <c r="AF26" s="31" t="str">
        <f aca="false">IF(AF10&gt;0,(AE21+IF(Source_Data!AF$6=Inputs!$B$13,Inputs!$B$7,0)+AF7)/AF10,"")</f>
        <v/>
      </c>
      <c r="AG26" s="31" t="str">
        <f aca="false">IF(AG10&gt;0,(AF21+IF(Source_Data!AG$6=Inputs!$B$13,Inputs!$B$7,0)+AG7)/AG10,"")</f>
        <v/>
      </c>
      <c r="AH26" s="31" t="str">
        <f aca="false">IF(AH10&gt;0,(AG21+IF(Source_Data!AH$6=Inputs!$B$13,Inputs!$B$7,0)+AH7)/AH10,"")</f>
        <v/>
      </c>
      <c r="AI26" s="31" t="str">
        <f aca="false">IF(AI10&gt;0,(AH21+IF(Source_Data!AI$6=Inputs!$B$13,Inputs!$B$7,0)+AI7)/AI10,"")</f>
        <v/>
      </c>
      <c r="AJ26" s="31" t="str">
        <f aca="false">IF(AJ10&gt;0,(AI21+IF(Source_Data!AJ$6=Inputs!$B$13,Inputs!$B$7,0)+AJ7)/AJ10,"")</f>
        <v/>
      </c>
      <c r="AK26" s="31" t="str">
        <f aca="false">IF(AK10&gt;0,(AJ21+IF(Source_Data!AK$6=Inputs!$B$13,Inputs!$B$7,0)+AK7)/AK10,"")</f>
        <v/>
      </c>
      <c r="AL26" s="31" t="str">
        <f aca="false">IF(AL10&gt;0,(AK21+IF(Source_Data!AL$6=Inputs!$B$13,Inputs!$B$7,0)+AL7)/AL10,"")</f>
        <v/>
      </c>
      <c r="AM26" s="31" t="str">
        <f aca="false">IF(AM10&gt;0,(AL21+IF(Source_Data!AM$6=Inputs!$B$13,Inputs!$B$7,0)+AM7)/AM10,"")</f>
        <v/>
      </c>
      <c r="AN26" s="31" t="str">
        <f aca="false">IF(AN10&gt;0,(AM21+IF(Source_Data!AN$6=Inputs!$B$13,Inputs!$B$7,0)+AN7)/AN10,"")</f>
        <v/>
      </c>
      <c r="AO26" s="31" t="str">
        <f aca="false">IF(AO10&gt;0,(AN21+IF(Source_Data!AO$6=Inputs!$B$13,Inputs!$B$7,0)+AO7)/AO10,"")</f>
        <v/>
      </c>
      <c r="AP26" s="31" t="str">
        <f aca="false">IF(AP10&gt;0,(AO21+IF(Source_Data!AP$6=Inputs!$B$13,Inputs!$B$7,0)+AP7)/AP10,"")</f>
        <v/>
      </c>
      <c r="AQ26" s="31" t="str">
        <f aca="false">IF(AQ10&gt;0,(AP21+IF(Source_Data!AQ$6=Inputs!$B$13,Inputs!$B$7,0)+AQ7)/AQ10,"")</f>
        <v/>
      </c>
      <c r="AR26" s="31" t="str">
        <f aca="false">IF(AR10&gt;0,(AQ21+IF(Source_Data!AR$6=Inputs!$B$13,Inputs!$B$7,0)+AR7)/AR10,"")</f>
        <v/>
      </c>
      <c r="AS26" s="31" t="str">
        <f aca="false">IF(AS10&gt;0,(AR21+IF(Source_Data!AS$6=Inputs!$B$13,Inputs!$B$7,0)+AS7)/AS10,"")</f>
        <v/>
      </c>
      <c r="AT26" s="31" t="str">
        <f aca="false">IF(AT10&gt;0,(AS21+IF(Source_Data!AT$6=Inputs!$B$13,Inputs!$B$7,0)+AT7)/AT10,"")</f>
        <v/>
      </c>
      <c r="AU26" s="31" t="str">
        <f aca="false">IF(AU10&gt;0,(AT21+IF(Source_Data!AU$6=Inputs!$B$13,Inputs!$B$7,0)+AU7)/AU10,"")</f>
        <v/>
      </c>
      <c r="AV26" s="31" t="str">
        <f aca="false">IF(AV10&gt;0,(AU21+IF(Source_Data!AV$6=Inputs!$B$13,Inputs!$B$7,0)+AV7)/AV10,"")</f>
        <v/>
      </c>
      <c r="AW26" s="31" t="str">
        <f aca="false">IF(AW10&gt;0,(AV21+IF(Source_Data!AW$6=Inputs!$B$13,Inputs!$B$7,0)+AW7)/AW10,"")</f>
        <v/>
      </c>
      <c r="AX26" s="31" t="str">
        <f aca="false">IF(AX10&gt;0,(AW21+IF(Source_Data!AX$6=Inputs!$B$13,Inputs!$B$7,0)+AX7)/AX10,"")</f>
        <v/>
      </c>
      <c r="AY26" s="31" t="str">
        <f aca="false">IF(AY10&gt;0,(AX21+IF(Source_Data!AY$6=Inputs!$B$13,Inputs!$B$7,0)+AY7)/AY10,"")</f>
        <v/>
      </c>
      <c r="AZ26" s="31" t="str">
        <f aca="false">IF(AZ10&gt;0,(AY21+IF(Source_Data!AZ$6=Inputs!$B$13,Inputs!$B$7,0)+AZ7)/AZ10,"")</f>
        <v/>
      </c>
      <c r="BA26" s="31" t="str">
        <f aca="false">IF(BA10&gt;0,(AZ21+IF(Source_Data!BA$6=Inputs!$B$13,Inputs!$B$7,0)+BA7)/BA10,"")</f>
        <v/>
      </c>
      <c r="BB26" s="31" t="str">
        <f aca="false">IF(BB10&gt;0,(BA21+IF(Source_Data!BB$6=Inputs!$B$13,Inputs!$B$7,0)+BB7)/BB10,"")</f>
        <v/>
      </c>
      <c r="BC26" s="31" t="str">
        <f aca="false">IF(BC10&gt;0,(BB21+IF(Source_Data!BC$6=Inputs!$B$13,Inputs!$B$7,0)+BC7)/BC10,"")</f>
        <v/>
      </c>
      <c r="BD26" s="31" t="str">
        <f aca="false">IF(BD10&gt;0,(BC21+IF(Source_Data!BD$6=Inputs!$B$13,Inputs!$B$7,0)+BD7)/BD10,"")</f>
        <v/>
      </c>
      <c r="BE26" s="31" t="str">
        <f aca="false">IF(BE10&gt;0,(BD21+IF(Source_Data!BE$6=Inputs!$B$13,Inputs!$B$7,0)+BE7)/BE10,"")</f>
        <v/>
      </c>
      <c r="BF26" s="31" t="str">
        <f aca="false">IF(BF10&gt;0,(BE21+IF(Source_Data!BF$6=Inputs!$B$13,Inputs!$B$7,0)+BF7)/BF10,"")</f>
        <v/>
      </c>
      <c r="BG26" s="31" t="str">
        <f aca="false">IF(BG10&gt;0,(BF21+IF(Source_Data!BG$6=Inputs!$B$13,Inputs!$B$7,0)+BG7)/BG10,"")</f>
        <v/>
      </c>
      <c r="BH26" s="31" t="str">
        <f aca="false">IF(BH10&gt;0,(BG21+IF(Source_Data!BH$6=Inputs!$B$13,Inputs!$B$7,0)+BH7)/BH10,"")</f>
        <v/>
      </c>
      <c r="BI26" s="31" t="str">
        <f aca="false">IF(BI10&gt;0,(BH21+IF(Source_Data!BI$6=Inputs!$B$13,Inputs!$B$7,0)+BI7)/BI10,"")</f>
        <v/>
      </c>
      <c r="BJ26" s="31" t="str">
        <f aca="false">IF(BJ10&gt;0,(BI21+IF(Source_Data!BJ$6=Inputs!$B$13,Inputs!$B$7,0)+BJ7)/BJ10,"")</f>
        <v/>
      </c>
      <c r="BK26" s="31" t="str">
        <f aca="false">IF(BK10&gt;0,(BJ21+IF(Source_Data!BK$6=Inputs!$B$13,Inputs!$B$7,0)+BK7)/BK10,"")</f>
        <v/>
      </c>
    </row>
    <row r="27" customFormat="false" ht="15" hidden="false" customHeight="false" outlineLevel="0" collapsed="false">
      <c r="A27" s="3" t="s">
        <v>314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17.4524731082186</v>
      </c>
      <c r="N27" s="31" t="n">
        <f aca="false">IF(N13&gt;0,N7/N13,"")</f>
        <v>8.62606520496413</v>
      </c>
      <c r="O27" s="31" t="n">
        <f aca="false">IF(O13&gt;0,O7/O13,"")</f>
        <v>8.18379941494903</v>
      </c>
      <c r="P27" s="31" t="n">
        <f aca="false">IF(P13&gt;0,P7/P13,"")</f>
        <v>-6.77391300058546</v>
      </c>
      <c r="Q27" s="31" t="n">
        <f aca="false">IF(Q13&gt;0,Q7/Q13,"")</f>
        <v>-9.22681107997645</v>
      </c>
      <c r="R27" s="31" t="n">
        <f aca="false">IF(R13&gt;0,R7/R13,"")</f>
        <v>-13.0868642587909</v>
      </c>
      <c r="S27" s="31" t="n">
        <f aca="false">IF(S13&gt;0,S7/S13,"")</f>
        <v>-9.07365775312928</v>
      </c>
      <c r="T27" s="31" t="n">
        <f aca="false">IF(T13&gt;0,T7/T13,"")</f>
        <v>1.26318489750484</v>
      </c>
      <c r="U27" s="31" t="n">
        <f aca="false">IF(U13&gt;0,U7/U13,"")</f>
        <v>1.1488604392709</v>
      </c>
      <c r="V27" s="31" t="n">
        <f aca="false">IF(V13&gt;0,V7/V13,"")</f>
        <v>0.689625481628093</v>
      </c>
      <c r="W27" s="31" t="n">
        <f aca="false">IF(W13&gt;0,W7/W13,"")</f>
        <v>0.349597402072129</v>
      </c>
      <c r="X27" s="31" t="n">
        <f aca="false">IF(X13&gt;0,X7/X13,"")</f>
        <v>2.14426790500051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315</v>
      </c>
      <c r="D28" s="31" t="str">
        <f aca="false">IF(D13&gt;0,(0+IF(Source_Data!D$6=Inputs!$B$13,Inputs!$B$7,0)+D7)/D13,"")</f>
        <v/>
      </c>
      <c r="E28" s="31" t="str">
        <f aca="false">IF(E13&gt;0,(D22+IF(Source_Data!E$6=Inputs!$B$13,Inputs!$B$7,0)+E7)/E13,"")</f>
        <v/>
      </c>
      <c r="F28" s="31" t="str">
        <f aca="false">IF(F13&gt;0,(E22+IF(Source_Data!F$6=Inputs!$B$13,Inputs!$B$7,0)+F7)/F13,"")</f>
        <v/>
      </c>
      <c r="G28" s="31" t="str">
        <f aca="false">IF(G13&gt;0,(F22+IF(Source_Data!G$6=Inputs!$B$13,Inputs!$B$7,0)+G7)/G13,"")</f>
        <v/>
      </c>
      <c r="H28" s="31" t="str">
        <f aca="false">IF(H13&gt;0,(G22+IF(Source_Data!H$6=Inputs!$B$13,Inputs!$B$7,0)+H7)/H13,"")</f>
        <v/>
      </c>
      <c r="I28" s="31" t="str">
        <f aca="false">IF(I13&gt;0,(H22+IF(Source_Data!I$6=Inputs!$B$13,Inputs!$B$7,0)+I7)/I13,"")</f>
        <v/>
      </c>
      <c r="J28" s="31" t="str">
        <f aca="false">IF(J13&gt;0,(I22+IF(Source_Data!J$6=Inputs!$B$13,Inputs!$B$7,0)+J7)/J13,"")</f>
        <v/>
      </c>
      <c r="K28" s="31" t="str">
        <f aca="false">IF(K13&gt;0,(J22+IF(Source_Data!K$6=Inputs!$B$13,Inputs!$B$7,0)+K7)/K13,"")</f>
        <v/>
      </c>
      <c r="L28" s="31" t="str">
        <f aca="false">IF(L13&gt;0,(K22+IF(Source_Data!L$6=Inputs!$B$13,Inputs!$B$7,0)+L7)/L13,"")</f>
        <v/>
      </c>
      <c r="M28" s="31" t="n">
        <f aca="false">IF(M13&gt;0,(L22+IF(Source_Data!M$6=Inputs!$B$13,Inputs!$B$7,0)+M7)/M13,"")</f>
        <v>17.1738662520681</v>
      </c>
      <c r="N28" s="31" t="n">
        <f aca="false">IF(N13&gt;0,(M22+IF(Source_Data!N$6=Inputs!$B$13,Inputs!$B$7,0)+N7)/N13,"")</f>
        <v>32.9149782362349</v>
      </c>
      <c r="O28" s="31" t="n">
        <f aca="false">IF(O13&gt;0,(N22+IF(Source_Data!O$6=Inputs!$B$13,Inputs!$B$7,0)+O7)/O13,"")</f>
        <v>40.5733727893759</v>
      </c>
      <c r="P28" s="31" t="n">
        <f aca="false">IF(P13&gt;0,(O22+IF(Source_Data!P$6=Inputs!$B$13,Inputs!$B$7,0)+P7)/P13,"")</f>
        <v>38.72666168103</v>
      </c>
      <c r="Q28" s="31" t="n">
        <f aca="false">IF(Q13&gt;0,(P22+IF(Source_Data!Q$6=Inputs!$B$13,Inputs!$B$7,0)+Q7)/Q13,"")</f>
        <v>30.450232707081</v>
      </c>
      <c r="R28" s="31" t="n">
        <f aca="false">IF(R13&gt;0,(Q22+IF(Source_Data!R$6=Inputs!$B$13,Inputs!$B$7,0)+R7)/R13,"")</f>
        <v>16.3633684482902</v>
      </c>
      <c r="S28" s="31" t="n">
        <f aca="false">IF(S13&gt;0,(R22+IF(Source_Data!S$6=Inputs!$B$13,Inputs!$B$7,0)+S7)/S13,"")</f>
        <v>6.39034451669352</v>
      </c>
      <c r="T28" s="31" t="n">
        <f aca="false">IF(T13&gt;0,(S22+IF(Source_Data!T$6=Inputs!$B$13,Inputs!$B$7,0)+T7)/T13,"")</f>
        <v>6.72801450893276</v>
      </c>
      <c r="U28" s="31" t="n">
        <f aca="false">IF(U13&gt;0,(T22+IF(Source_Data!U$6=Inputs!$B$13,Inputs!$B$7,0)+U7)/U13,"")</f>
        <v>6.89452413477743</v>
      </c>
      <c r="V28" s="31" t="n">
        <f aca="false">IF(V13&gt;0,(U22+IF(Source_Data!V$6=Inputs!$B$13,Inputs!$B$7,0)+V7)/V13,"")</f>
        <v>6.65688220252354</v>
      </c>
      <c r="W28" s="31" t="n">
        <f aca="false">IF(W13&gt;0,(V22+IF(Source_Data!W$6=Inputs!$B$13,Inputs!$B$7,0)+W7)/W13,"")</f>
        <v>6.05753143120941</v>
      </c>
      <c r="X28" s="31" t="n">
        <f aca="false">IF(X13&gt;0,(W22+IF(Source_Data!X$6=Inputs!$B$13,Inputs!$B$7,0)+X7)/X13,"")</f>
        <v>7.20179933620992</v>
      </c>
      <c r="Y28" s="31" t="str">
        <f aca="false">IF(Y13&gt;0,(X22+IF(Source_Data!Y$6=Inputs!$B$13,Inputs!$B$7,0)+Y7)/Y13,"")</f>
        <v/>
      </c>
      <c r="Z28" s="31" t="str">
        <f aca="false">IF(Z13&gt;0,(Y22+IF(Source_Data!Z$6=Inputs!$B$13,Inputs!$B$7,0)+Z7)/Z13,"")</f>
        <v/>
      </c>
      <c r="AA28" s="31" t="str">
        <f aca="false">IF(AA13&gt;0,(Z22+IF(Source_Data!AA$6=Inputs!$B$13,Inputs!$B$7,0)+AA7)/AA13,"")</f>
        <v/>
      </c>
      <c r="AB28" s="31" t="str">
        <f aca="false">IF(AB13&gt;0,(AA22+IF(Source_Data!AB$6=Inputs!$B$13,Inputs!$B$7,0)+AB7)/AB13,"")</f>
        <v/>
      </c>
      <c r="AC28" s="31" t="str">
        <f aca="false">IF(AC13&gt;0,(AB22+IF(Source_Data!AC$6=Inputs!$B$13,Inputs!$B$7,0)+AC7)/AC13,"")</f>
        <v/>
      </c>
      <c r="AD28" s="31" t="str">
        <f aca="false">IF(AD13&gt;0,(AC22+IF(Source_Data!AD$6=Inputs!$B$13,Inputs!$B$7,0)+AD7)/AD13,"")</f>
        <v/>
      </c>
      <c r="AE28" s="31" t="str">
        <f aca="false">IF(AE13&gt;0,(AD22+IF(Source_Data!AE$6=Inputs!$B$13,Inputs!$B$7,0)+AE7)/AE13,"")</f>
        <v/>
      </c>
      <c r="AF28" s="31" t="str">
        <f aca="false">IF(AF13&gt;0,(AE22+IF(Source_Data!AF$6=Inputs!$B$13,Inputs!$B$7,0)+AF7)/AF13,"")</f>
        <v/>
      </c>
      <c r="AG28" s="31" t="str">
        <f aca="false">IF(AG13&gt;0,(AF22+IF(Source_Data!AG$6=Inputs!$B$13,Inputs!$B$7,0)+AG7)/AG13,"")</f>
        <v/>
      </c>
      <c r="AH28" s="31" t="str">
        <f aca="false">IF(AH13&gt;0,(AG22+IF(Source_Data!AH$6=Inputs!$B$13,Inputs!$B$7,0)+AH7)/AH13,"")</f>
        <v/>
      </c>
      <c r="AI28" s="31" t="str">
        <f aca="false">IF(AI13&gt;0,(AH22+IF(Source_Data!AI$6=Inputs!$B$13,Inputs!$B$7,0)+AI7)/AI13,"")</f>
        <v/>
      </c>
      <c r="AJ28" s="31" t="str">
        <f aca="false">IF(AJ13&gt;0,(AI22+IF(Source_Data!AJ$6=Inputs!$B$13,Inputs!$B$7,0)+AJ7)/AJ13,"")</f>
        <v/>
      </c>
      <c r="AK28" s="31" t="str">
        <f aca="false">IF(AK13&gt;0,(AJ22+IF(Source_Data!AK$6=Inputs!$B$13,Inputs!$B$7,0)+AK7)/AK13,"")</f>
        <v/>
      </c>
      <c r="AL28" s="31" t="str">
        <f aca="false">IF(AL13&gt;0,(AK22+IF(Source_Data!AL$6=Inputs!$B$13,Inputs!$B$7,0)+AL7)/AL13,"")</f>
        <v/>
      </c>
      <c r="AM28" s="31" t="str">
        <f aca="false">IF(AM13&gt;0,(AL22+IF(Source_Data!AM$6=Inputs!$B$13,Inputs!$B$7,0)+AM7)/AM13,"")</f>
        <v/>
      </c>
      <c r="AN28" s="31" t="str">
        <f aca="false">IF(AN13&gt;0,(AM22+IF(Source_Data!AN$6=Inputs!$B$13,Inputs!$B$7,0)+AN7)/AN13,"")</f>
        <v/>
      </c>
      <c r="AO28" s="31" t="str">
        <f aca="false">IF(AO13&gt;0,(AN22+IF(Source_Data!AO$6=Inputs!$B$13,Inputs!$B$7,0)+AO7)/AO13,"")</f>
        <v/>
      </c>
      <c r="AP28" s="31" t="str">
        <f aca="false">IF(AP13&gt;0,(AO22+IF(Source_Data!AP$6=Inputs!$B$13,Inputs!$B$7,0)+AP7)/AP13,"")</f>
        <v/>
      </c>
      <c r="AQ28" s="31" t="str">
        <f aca="false">IF(AQ13&gt;0,(AP22+IF(Source_Data!AQ$6=Inputs!$B$13,Inputs!$B$7,0)+AQ7)/AQ13,"")</f>
        <v/>
      </c>
      <c r="AR28" s="31" t="str">
        <f aca="false">IF(AR13&gt;0,(AQ22+IF(Source_Data!AR$6=Inputs!$B$13,Inputs!$B$7,0)+AR7)/AR13,"")</f>
        <v/>
      </c>
      <c r="AS28" s="31" t="str">
        <f aca="false">IF(AS13&gt;0,(AR22+IF(Source_Data!AS$6=Inputs!$B$13,Inputs!$B$7,0)+AS7)/AS13,"")</f>
        <v/>
      </c>
      <c r="AT28" s="31" t="str">
        <f aca="false">IF(AT13&gt;0,(AS22+IF(Source_Data!AT$6=Inputs!$B$13,Inputs!$B$7,0)+AT7)/AT13,"")</f>
        <v/>
      </c>
      <c r="AU28" s="31" t="str">
        <f aca="false">IF(AU13&gt;0,(AT22+IF(Source_Data!AU$6=Inputs!$B$13,Inputs!$B$7,0)+AU7)/AU13,"")</f>
        <v/>
      </c>
      <c r="AV28" s="31" t="str">
        <f aca="false">IF(AV13&gt;0,(AU22+IF(Source_Data!AV$6=Inputs!$B$13,Inputs!$B$7,0)+AV7)/AV13,"")</f>
        <v/>
      </c>
      <c r="AW28" s="31" t="str">
        <f aca="false">IF(AW13&gt;0,(AV22+IF(Source_Data!AW$6=Inputs!$B$13,Inputs!$B$7,0)+AW7)/AW13,"")</f>
        <v/>
      </c>
      <c r="AX28" s="31" t="str">
        <f aca="false">IF(AX13&gt;0,(AW22+IF(Source_Data!AX$6=Inputs!$B$13,Inputs!$B$7,0)+AX7)/AX13,"")</f>
        <v/>
      </c>
      <c r="AY28" s="31" t="str">
        <f aca="false">IF(AY13&gt;0,(AX22+IF(Source_Data!AY$6=Inputs!$B$13,Inputs!$B$7,0)+AY7)/AY13,"")</f>
        <v/>
      </c>
      <c r="AZ28" s="31" t="str">
        <f aca="false">IF(AZ13&gt;0,(AY22+IF(Source_Data!AZ$6=Inputs!$B$13,Inputs!$B$7,0)+AZ7)/AZ13,"")</f>
        <v/>
      </c>
      <c r="BA28" s="31" t="str">
        <f aca="false">IF(BA13&gt;0,(AZ22+IF(Source_Data!BA$6=Inputs!$B$13,Inputs!$B$7,0)+BA7)/BA13,"")</f>
        <v/>
      </c>
      <c r="BB28" s="31" t="str">
        <f aca="false">IF(BB13&gt;0,(BA22+IF(Source_Data!BB$6=Inputs!$B$13,Inputs!$B$7,0)+BB7)/BB13,"")</f>
        <v/>
      </c>
      <c r="BC28" s="31" t="str">
        <f aca="false">IF(BC13&gt;0,(BB22+IF(Source_Data!BC$6=Inputs!$B$13,Inputs!$B$7,0)+BC7)/BC13,"")</f>
        <v/>
      </c>
      <c r="BD28" s="31" t="str">
        <f aca="false">IF(BD13&gt;0,(BC22+IF(Source_Data!BD$6=Inputs!$B$13,Inputs!$B$7,0)+BD7)/BD13,"")</f>
        <v/>
      </c>
      <c r="BE28" s="31" t="str">
        <f aca="false">IF(BE13&gt;0,(BD22+IF(Source_Data!BE$6=Inputs!$B$13,Inputs!$B$7,0)+BE7)/BE13,"")</f>
        <v/>
      </c>
      <c r="BF28" s="31" t="str">
        <f aca="false">IF(BF13&gt;0,(BE22+IF(Source_Data!BF$6=Inputs!$B$13,Inputs!$B$7,0)+BF7)/BF13,"")</f>
        <v/>
      </c>
      <c r="BG28" s="31" t="str">
        <f aca="false">IF(BG13&gt;0,(BF22+IF(Source_Data!BG$6=Inputs!$B$13,Inputs!$B$7,0)+BG7)/BG13,"")</f>
        <v/>
      </c>
      <c r="BH28" s="31" t="str">
        <f aca="false">IF(BH13&gt;0,(BG22+IF(Source_Data!BH$6=Inputs!$B$13,Inputs!$B$7,0)+BH7)/BH13,"")</f>
        <v/>
      </c>
      <c r="BI28" s="31" t="str">
        <f aca="false">IF(BI13&gt;0,(BH22+IF(Source_Data!BI$6=Inputs!$B$13,Inputs!$B$7,0)+BI7)/BI13,"")</f>
        <v/>
      </c>
      <c r="BJ28" s="31" t="str">
        <f aca="false">IF(BJ13&gt;0,(BI22+IF(Source_Data!BJ$6=Inputs!$B$13,Inputs!$B$7,0)+BJ7)/BJ13,"")</f>
        <v/>
      </c>
      <c r="BK28" s="31" t="str">
        <f aca="false">IF(BK13&gt;0,(BJ22+IF(Source_Data!BK$6=Inputs!$B$13,Inputs!$B$7,0)+BK7)/BK13,"")</f>
        <v/>
      </c>
    </row>
    <row r="31" customFormat="false" ht="35.05" hidden="false" customHeight="false" outlineLevel="0" collapsed="false">
      <c r="A31" s="7" t="s">
        <v>316</v>
      </c>
      <c r="B31" s="7" t="s">
        <v>317</v>
      </c>
      <c r="C31" s="7" t="s">
        <v>318</v>
      </c>
      <c r="D31" s="7" t="s">
        <v>319</v>
      </c>
    </row>
    <row r="32" customFormat="false" ht="15" hidden="false" customHeight="false" outlineLevel="0" collapsed="false">
      <c r="A32" s="3" t="s">
        <v>320</v>
      </c>
      <c r="B32" s="41" t="n">
        <f aca="false">SUM(D9:BK9)</f>
        <v>172.5</v>
      </c>
      <c r="C32" s="41" t="n">
        <f aca="false">SUM(D10:BK10)</f>
        <v>172.5</v>
      </c>
      <c r="D32" s="41" t="n">
        <f aca="false">SUM(D13:BK13)</f>
        <v>172.5</v>
      </c>
    </row>
    <row r="33" customFormat="false" ht="15" hidden="false" customHeight="false" outlineLevel="0" collapsed="false">
      <c r="A33" s="3" t="s">
        <v>321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282</v>
      </c>
      <c r="B34" s="39" t="n">
        <f aca="false">(1+IRR(D14:BK14,0.05))^4-1</f>
        <v>0.265463994839995</v>
      </c>
      <c r="C34" s="39" t="n">
        <f aca="false">(1+IRR(D15:BK15,0.05))^4-1</f>
        <v>0.290276628472317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0.290276628472317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271</v>
      </c>
      <c r="B36" s="41" t="n">
        <f aca="false">SUMPRODUCT(D17:BK17,Project_CF!$D$15:$BK$15)</f>
        <v>-34.0624785674585</v>
      </c>
      <c r="C36" s="41" t="n">
        <f aca="false">SUMPRODUCT(D18:BK18,Project_CF!$D$15:$BK$15)</f>
        <v>-38.0184730506475</v>
      </c>
      <c r="D36" s="41" t="n">
        <f aca="false">SUMPRODUCT(D19:BK19,Project_CF!$D$15:$BK$15)</f>
        <v>-36.1239671296655</v>
      </c>
    </row>
    <row r="37" customFormat="false" ht="15" hidden="false" customHeight="false" outlineLevel="0" collapsed="false">
      <c r="A37" s="3" t="s">
        <v>322</v>
      </c>
      <c r="B37" s="43" t="n">
        <f aca="false">MIN(D23:BK23)</f>
        <v>-11.9339708695652</v>
      </c>
      <c r="C37" s="43" t="n">
        <f aca="false">MIN(D25:BK25)</f>
        <v>-12.9731723949006</v>
      </c>
      <c r="D37" s="43" t="n">
        <f aca="false">MIN(D27:BK27)</f>
        <v>-13.0868642587909</v>
      </c>
    </row>
    <row r="38" customFormat="false" ht="15" hidden="false" customHeight="false" outlineLevel="0" collapsed="false">
      <c r="A38" s="3" t="s">
        <v>323</v>
      </c>
      <c r="B38" s="35" t="n">
        <f aca="false">COUNTIF(D23:BK23,"&lt;"&amp;Inputs!$B$44)</f>
        <v>8</v>
      </c>
      <c r="C38" s="35" t="n">
        <f aca="false">COUNTIF(D25:BK25,"&lt;"&amp;Inputs!$B$44)</f>
        <v>8</v>
      </c>
      <c r="D38" s="35" t="n">
        <f aca="false">COUNTIF(D27:BK27,"&lt;"&amp;Inputs!$B$44)</f>
        <v>8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324</v>
      </c>
      <c r="B40" s="43" t="n">
        <f aca="false">MIN(D24:BK24)</f>
        <v>5.53876589130435</v>
      </c>
      <c r="C40" s="43" t="n">
        <f aca="false">MIN(D26:BK26)</f>
        <v>5.55966570515084</v>
      </c>
      <c r="D40" s="43" t="n">
        <f aca="false">MIN(D28:BK28)</f>
        <v>6.05753143120941</v>
      </c>
    </row>
    <row r="41" customFormat="false" ht="15" hidden="false" customHeight="false" outlineLevel="0" collapsed="false">
      <c r="A41" s="3" t="s">
        <v>325</v>
      </c>
      <c r="B41" s="35" t="n">
        <f aca="false">COUNTIF(D24:BK24,"&lt;"&amp;Inputs!$B$44)</f>
        <v>0</v>
      </c>
      <c r="C41" s="35" t="n">
        <f aca="false">COUNTIF(D26:BK26,"&lt;"&amp;Inputs!$B$44)</f>
        <v>0</v>
      </c>
      <c r="D41" s="35" t="n">
        <f aca="false">COUNTIF(D28:BK28,"&lt;"&amp;Inputs!$B$44)</f>
        <v>0</v>
      </c>
    </row>
    <row r="42" customFormat="false" ht="15" hidden="false" customHeight="false" outlineLevel="0" collapsed="false">
      <c r="A42" s="3" t="s">
        <v>326</v>
      </c>
      <c r="B42" s="41" t="n">
        <f aca="false">MIN(D20:BK20)</f>
        <v>-27.5</v>
      </c>
      <c r="C42" s="41" t="n">
        <f aca="false">MIN(D21:BK21)</f>
        <v>-27.5</v>
      </c>
      <c r="D42" s="41" t="n">
        <f aca="false">MIN(D22:BK22)</f>
        <v>-27.5</v>
      </c>
    </row>
    <row r="43" customFormat="false" ht="15" hidden="false" customHeight="false" outlineLevel="0" collapsed="false">
      <c r="A43" s="3" t="s">
        <v>327</v>
      </c>
      <c r="B43" s="35" t="n">
        <f aca="false">SUMPRODUCT(MAX((D9:BK9&gt;0)*D5:BK5))</f>
        <v>57</v>
      </c>
      <c r="C43" s="35" t="n">
        <f aca="false">SUMPRODUCT(MAX((D10:BK10&gt;0)*D5:BK5))</f>
        <v>60</v>
      </c>
      <c r="D43" s="35" t="n">
        <f aca="false">SUMPRODUCT(MAX((D13:BK13&gt;0)*D5:BK5))</f>
        <v>57</v>
      </c>
    </row>
    <row r="46" customFormat="false" ht="15" hidden="false" customHeight="false" outlineLevel="0" collapsed="false">
      <c r="A46" s="3" t="s">
        <v>328</v>
      </c>
      <c r="B46" s="44" t="n">
        <f aca="false">INDEX(D5:BK5,MATCH(1,D48:BK48,0))</f>
        <v>39</v>
      </c>
    </row>
    <row r="47" customFormat="false" ht="15" hidden="false" customHeight="false" outlineLevel="0" collapsed="false">
      <c r="A47" s="3" t="s">
        <v>329</v>
      </c>
      <c r="D47" s="33" t="n">
        <f aca="false">D14</f>
        <v>-75</v>
      </c>
      <c r="E47" s="33" t="n">
        <f aca="false">D47+E14</f>
        <v>-75</v>
      </c>
      <c r="F47" s="33" t="n">
        <f aca="false">E47+F14</f>
        <v>-75</v>
      </c>
      <c r="G47" s="33" t="n">
        <f aca="false">F47+G14</f>
        <v>-75</v>
      </c>
      <c r="H47" s="33" t="n">
        <f aca="false">G47+H14</f>
        <v>-75</v>
      </c>
      <c r="I47" s="33" t="n">
        <f aca="false">H47+I14</f>
        <v>-75</v>
      </c>
      <c r="J47" s="33" t="n">
        <f aca="false">I47+J14</f>
        <v>-75</v>
      </c>
      <c r="K47" s="33" t="n">
        <f aca="false">J47+K14</f>
        <v>-75</v>
      </c>
      <c r="L47" s="33" t="n">
        <f aca="false">K47+L14</f>
        <v>-75</v>
      </c>
      <c r="M47" s="33" t="n">
        <f aca="false">L47+M14</f>
        <v>-60.625</v>
      </c>
      <c r="N47" s="33" t="n">
        <f aca="false">M47+N14</f>
        <v>-46.25</v>
      </c>
      <c r="O47" s="33" t="n">
        <f aca="false">N47+O14</f>
        <v>-31.875</v>
      </c>
      <c r="P47" s="33" t="n">
        <f aca="false">O47+P14</f>
        <v>-17.5</v>
      </c>
      <c r="Q47" s="33" t="n">
        <f aca="false">P47+Q14</f>
        <v>-3.125</v>
      </c>
      <c r="R47" s="33" t="n">
        <f aca="false">Q47+R14</f>
        <v>11.25</v>
      </c>
      <c r="S47" s="33" t="n">
        <f aca="false">R47+S14</f>
        <v>25.625</v>
      </c>
      <c r="T47" s="33" t="n">
        <f aca="false">S47+T14</f>
        <v>40</v>
      </c>
      <c r="U47" s="33" t="n">
        <f aca="false">T47+U14</f>
        <v>54.375</v>
      </c>
      <c r="V47" s="33" t="n">
        <f aca="false">U47+V14</f>
        <v>68.75</v>
      </c>
      <c r="W47" s="33" t="n">
        <f aca="false">V47+W14</f>
        <v>83.125</v>
      </c>
      <c r="X47" s="33" t="n">
        <f aca="false">W47+X14</f>
        <v>97.5</v>
      </c>
      <c r="Y47" s="33" t="n">
        <f aca="false">X47+Y14</f>
        <v>97.5</v>
      </c>
      <c r="Z47" s="33" t="n">
        <f aca="false">Y47+Z14</f>
        <v>97.5</v>
      </c>
      <c r="AA47" s="33" t="n">
        <f aca="false">Z47+AA14</f>
        <v>97.5</v>
      </c>
      <c r="AB47" s="33" t="n">
        <f aca="false">AA47+AB14</f>
        <v>97.5</v>
      </c>
      <c r="AC47" s="33" t="n">
        <f aca="false">AB47+AC14</f>
        <v>97.5</v>
      </c>
      <c r="AD47" s="33" t="n">
        <f aca="false">AC47+AD14</f>
        <v>97.5</v>
      </c>
      <c r="AE47" s="33" t="n">
        <f aca="false">AD47+AE14</f>
        <v>97.5</v>
      </c>
      <c r="AF47" s="33" t="n">
        <f aca="false">AE47+AF14</f>
        <v>97.5</v>
      </c>
      <c r="AG47" s="33" t="n">
        <f aca="false">AF47+AG14</f>
        <v>97.5</v>
      </c>
      <c r="AH47" s="33" t="n">
        <f aca="false">AG47+AH14</f>
        <v>97.5</v>
      </c>
      <c r="AI47" s="33" t="n">
        <f aca="false">AH47+AI14</f>
        <v>97.5</v>
      </c>
      <c r="AJ47" s="33" t="n">
        <f aca="false">AI47+AJ14</f>
        <v>97.5</v>
      </c>
      <c r="AK47" s="33" t="n">
        <f aca="false">AJ47+AK14</f>
        <v>97.5</v>
      </c>
      <c r="AL47" s="33" t="n">
        <f aca="false">AK47+AL14</f>
        <v>97.5</v>
      </c>
      <c r="AM47" s="33" t="n">
        <f aca="false">AL47+AM14</f>
        <v>97.5</v>
      </c>
      <c r="AN47" s="33" t="n">
        <f aca="false">AM47+AN14</f>
        <v>97.5</v>
      </c>
      <c r="AO47" s="33" t="n">
        <f aca="false">AN47+AO14</f>
        <v>97.5</v>
      </c>
      <c r="AP47" s="33" t="n">
        <f aca="false">AO47+AP14</f>
        <v>97.5</v>
      </c>
      <c r="AQ47" s="33" t="n">
        <f aca="false">AP47+AQ14</f>
        <v>97.5</v>
      </c>
      <c r="AR47" s="33" t="n">
        <f aca="false">AQ47+AR14</f>
        <v>97.5</v>
      </c>
      <c r="AS47" s="33" t="n">
        <f aca="false">AR47+AS14</f>
        <v>97.5</v>
      </c>
      <c r="AT47" s="33" t="n">
        <f aca="false">AS47+AT14</f>
        <v>97.5</v>
      </c>
      <c r="AU47" s="33" t="n">
        <f aca="false">AT47+AU14</f>
        <v>97.5</v>
      </c>
      <c r="AV47" s="33" t="n">
        <f aca="false">AU47+AV14</f>
        <v>97.5</v>
      </c>
      <c r="AW47" s="33" t="n">
        <f aca="false">AV47+AW14</f>
        <v>97.5</v>
      </c>
      <c r="AX47" s="33" t="n">
        <f aca="false">AW47+AX14</f>
        <v>97.5</v>
      </c>
      <c r="AY47" s="33" t="n">
        <f aca="false">AX47+AY14</f>
        <v>97.5</v>
      </c>
      <c r="AZ47" s="33" t="n">
        <f aca="false">AY47+AZ14</f>
        <v>97.5</v>
      </c>
      <c r="BA47" s="33" t="n">
        <f aca="false">AZ47+BA14</f>
        <v>97.5</v>
      </c>
      <c r="BB47" s="33" t="n">
        <f aca="false">BA47+BB14</f>
        <v>97.5</v>
      </c>
      <c r="BC47" s="33" t="n">
        <f aca="false">BB47+BC14</f>
        <v>97.5</v>
      </c>
      <c r="BD47" s="33" t="n">
        <f aca="false">BC47+BD14</f>
        <v>97.5</v>
      </c>
      <c r="BE47" s="33" t="n">
        <f aca="false">BD47+BE14</f>
        <v>97.5</v>
      </c>
      <c r="BF47" s="33" t="n">
        <f aca="false">BE47+BF14</f>
        <v>97.5</v>
      </c>
      <c r="BG47" s="33" t="n">
        <f aca="false">BF47+BG14</f>
        <v>97.5</v>
      </c>
      <c r="BH47" s="33" t="n">
        <f aca="false">BG47+BH14</f>
        <v>97.5</v>
      </c>
      <c r="BI47" s="33" t="n">
        <f aca="false">BH47+BI14</f>
        <v>97.5</v>
      </c>
      <c r="BJ47" s="33" t="n">
        <f aca="false">BI47+BJ14</f>
        <v>97.5</v>
      </c>
      <c r="BK47" s="33" t="n">
        <f aca="false">BJ47+BK14</f>
        <v>97.5</v>
      </c>
    </row>
    <row r="48" customFormat="false" ht="15" hidden="false" customHeight="false" outlineLevel="0" collapsed="false">
      <c r="A48" s="3" t="s">
        <v>330</v>
      </c>
      <c r="D48" s="3" t="n">
        <f aca="false">IF(AND(D47&gt;=0,D5&gt;Inputs!$B$13),1,0)</f>
        <v>0</v>
      </c>
      <c r="E48" s="3" t="n">
        <f aca="false">IF(AND(E47&gt;=0,E5&gt;Inputs!$B$13),1,0)</f>
        <v>0</v>
      </c>
      <c r="F48" s="3" t="n">
        <f aca="false">IF(AND(F47&gt;=0,F5&gt;Inputs!$B$13),1,0)</f>
        <v>0</v>
      </c>
      <c r="G48" s="3" t="n">
        <f aca="false">IF(AND(G47&gt;=0,G5&gt;Inputs!$B$13),1,0)</f>
        <v>0</v>
      </c>
      <c r="H48" s="3" t="n">
        <f aca="false">IF(AND(H47&gt;=0,H5&gt;Inputs!$B$13),1,0)</f>
        <v>0</v>
      </c>
      <c r="I48" s="3" t="n">
        <f aca="false">IF(AND(I47&gt;=0,I5&gt;Inputs!$B$13),1,0)</f>
        <v>0</v>
      </c>
      <c r="J48" s="3" t="n">
        <f aca="false">IF(AND(J47&gt;=0,J5&gt;Inputs!$B$13),1,0)</f>
        <v>0</v>
      </c>
      <c r="K48" s="3" t="n">
        <f aca="false">IF(AND(K47&gt;=0,K5&gt;Inputs!$B$13),1,0)</f>
        <v>0</v>
      </c>
      <c r="L48" s="3" t="n">
        <f aca="false">IF(AND(L47&gt;=0,L5&gt;Inputs!$B$13),1,0)</f>
        <v>0</v>
      </c>
      <c r="M48" s="3" t="n">
        <f aca="false">IF(AND(M47&gt;=0,M5&gt;Inputs!$B$13),1,0)</f>
        <v>0</v>
      </c>
      <c r="N48" s="3" t="n">
        <f aca="false">IF(AND(N47&gt;=0,N5&gt;Inputs!$B$13),1,0)</f>
        <v>0</v>
      </c>
      <c r="O48" s="3" t="n">
        <f aca="false">IF(AND(O47&gt;=0,O5&gt;Inputs!$B$13),1,0)</f>
        <v>0</v>
      </c>
      <c r="P48" s="3" t="n">
        <f aca="false">IF(AND(P47&gt;=0,P5&gt;Inputs!$B$13),1,0)</f>
        <v>0</v>
      </c>
      <c r="Q48" s="3" t="n">
        <f aca="false">IF(AND(Q47&gt;=0,Q5&gt;Inputs!$B$13),1,0)</f>
        <v>0</v>
      </c>
      <c r="R48" s="3" t="n">
        <f aca="false">IF(AND(R47&gt;=0,R5&gt;Inputs!$B$13),1,0)</f>
        <v>1</v>
      </c>
      <c r="S48" s="3" t="n">
        <f aca="false">IF(AND(S47&gt;=0,S5&gt;Inputs!$B$13),1,0)</f>
        <v>1</v>
      </c>
      <c r="T48" s="3" t="n">
        <f aca="false">IF(AND(T47&gt;=0,T5&gt;Inputs!$B$13),1,0)</f>
        <v>1</v>
      </c>
      <c r="U48" s="3" t="n">
        <f aca="false">IF(AND(U47&gt;=0,U5&gt;Inputs!$B$13),1,0)</f>
        <v>1</v>
      </c>
      <c r="V48" s="3" t="n">
        <f aca="false">IF(AND(V47&gt;=0,V5&gt;Inputs!$B$13),1,0)</f>
        <v>1</v>
      </c>
      <c r="W48" s="3" t="n">
        <f aca="false">IF(AND(W47&gt;=0,W5&gt;Inputs!$B$13),1,0)</f>
        <v>1</v>
      </c>
      <c r="X48" s="3" t="n">
        <f aca="false">IF(AND(X47&gt;=0,X5&gt;Inputs!$B$13),1,0)</f>
        <v>1</v>
      </c>
      <c r="Y48" s="3" t="n">
        <f aca="false">IF(AND(Y47&gt;=0,Y5&gt;Inputs!$B$13),1,0)</f>
        <v>1</v>
      </c>
      <c r="Z48" s="3" t="n">
        <f aca="false">IF(AND(Z47&gt;=0,Z5&gt;Inputs!$B$13),1,0)</f>
        <v>1</v>
      </c>
      <c r="AA48" s="3" t="n">
        <f aca="false">IF(AND(AA47&gt;=0,AA5&gt;Inputs!$B$13),1,0)</f>
        <v>1</v>
      </c>
      <c r="AB48" s="3" t="n">
        <f aca="false">IF(AND(AB47&gt;=0,AB5&gt;Inputs!$B$13),1,0)</f>
        <v>1</v>
      </c>
      <c r="AC48" s="3" t="n">
        <f aca="false">IF(AND(AC47&gt;=0,AC5&gt;Inputs!$B$13),1,0)</f>
        <v>1</v>
      </c>
      <c r="AD48" s="3" t="n">
        <f aca="false">IF(AND(AD47&gt;=0,AD5&gt;Inputs!$B$13),1,0)</f>
        <v>1</v>
      </c>
      <c r="AE48" s="3" t="n">
        <f aca="false">IF(AND(AE47&gt;=0,AE5&gt;Inputs!$B$13),1,0)</f>
        <v>1</v>
      </c>
      <c r="AF48" s="3" t="n">
        <f aca="false">IF(AND(AF47&gt;=0,AF5&gt;Inputs!$B$13),1,0)</f>
        <v>1</v>
      </c>
      <c r="AG48" s="3" t="n">
        <f aca="false">IF(AND(AG47&gt;=0,AG5&gt;Inputs!$B$13),1,0)</f>
        <v>1</v>
      </c>
      <c r="AH48" s="3" t="n">
        <f aca="false">IF(AND(AH47&gt;=0,AH5&gt;Inputs!$B$13),1,0)</f>
        <v>1</v>
      </c>
      <c r="AI48" s="3" t="n">
        <f aca="false">IF(AND(AI47&gt;=0,AI5&gt;Inputs!$B$13),1,0)</f>
        <v>1</v>
      </c>
      <c r="AJ48" s="3" t="n">
        <f aca="false">IF(AND(AJ47&gt;=0,AJ5&gt;Inputs!$B$13),1,0)</f>
        <v>1</v>
      </c>
      <c r="AK48" s="3" t="n">
        <f aca="false">IF(AND(AK47&gt;=0,AK5&gt;Inputs!$B$13),1,0)</f>
        <v>1</v>
      </c>
      <c r="AL48" s="3" t="n">
        <f aca="false">IF(AND(AL47&gt;=0,AL5&gt;Inputs!$B$13),1,0)</f>
        <v>1</v>
      </c>
      <c r="AM48" s="3" t="n">
        <f aca="false">IF(AND(AM47&gt;=0,AM5&gt;Inputs!$B$13),1,0)</f>
        <v>1</v>
      </c>
      <c r="AN48" s="3" t="n">
        <f aca="false">IF(AND(AN47&gt;=0,AN5&gt;Inputs!$B$13),1,0)</f>
        <v>1</v>
      </c>
      <c r="AO48" s="3" t="n">
        <f aca="false">IF(AND(AO47&gt;=0,AO5&gt;Inputs!$B$13),1,0)</f>
        <v>1</v>
      </c>
      <c r="AP48" s="3" t="n">
        <f aca="false">IF(AND(AP47&gt;=0,AP5&gt;Inputs!$B$13),1,0)</f>
        <v>1</v>
      </c>
      <c r="AQ48" s="3" t="n">
        <f aca="false">IF(AND(AQ47&gt;=0,AQ5&gt;Inputs!$B$13),1,0)</f>
        <v>1</v>
      </c>
      <c r="AR48" s="3" t="n">
        <f aca="false">IF(AND(AR47&gt;=0,AR5&gt;Inputs!$B$13),1,0)</f>
        <v>1</v>
      </c>
      <c r="AS48" s="3" t="n">
        <f aca="false">IF(AND(AS47&gt;=0,AS5&gt;Inputs!$B$13),1,0)</f>
        <v>1</v>
      </c>
      <c r="AT48" s="3" t="n">
        <f aca="false">IF(AND(AT47&gt;=0,AT5&gt;Inputs!$B$13),1,0)</f>
        <v>1</v>
      </c>
      <c r="AU48" s="3" t="n">
        <f aca="false">IF(AND(AU47&gt;=0,AU5&gt;Inputs!$B$13),1,0)</f>
        <v>1</v>
      </c>
      <c r="AV48" s="3" t="n">
        <f aca="false">IF(AND(AV47&gt;=0,AV5&gt;Inputs!$B$13),1,0)</f>
        <v>1</v>
      </c>
      <c r="AW48" s="3" t="n">
        <f aca="false">IF(AND(AW47&gt;=0,AW5&gt;Inputs!$B$13),1,0)</f>
        <v>1</v>
      </c>
      <c r="AX48" s="3" t="n">
        <f aca="false">IF(AND(AX47&gt;=0,AX5&gt;Inputs!$B$13),1,0)</f>
        <v>1</v>
      </c>
      <c r="AY48" s="3" t="n">
        <f aca="false">IF(AND(AY47&gt;=0,AY5&gt;Inputs!$B$13),1,0)</f>
        <v>1</v>
      </c>
      <c r="AZ48" s="3" t="n">
        <f aca="false">IF(AND(AZ47&gt;=0,AZ5&gt;Inputs!$B$13),1,0)</f>
        <v>1</v>
      </c>
      <c r="BA48" s="3" t="n">
        <f aca="false">IF(AND(BA47&gt;=0,BA5&gt;Inputs!$B$13),1,0)</f>
        <v>1</v>
      </c>
      <c r="BB48" s="3" t="n">
        <f aca="false">IF(AND(BB47&gt;=0,BB5&gt;Inputs!$B$13),1,0)</f>
        <v>1</v>
      </c>
      <c r="BC48" s="3" t="n">
        <f aca="false">IF(AND(BC47&gt;=0,BC5&gt;Inputs!$B$13),1,0)</f>
        <v>1</v>
      </c>
      <c r="BD48" s="3" t="n">
        <f aca="false">IF(AND(BD47&gt;=0,BD5&gt;Inputs!$B$13),1,0)</f>
        <v>1</v>
      </c>
      <c r="BE48" s="3" t="n">
        <f aca="false">IF(AND(BE47&gt;=0,BE5&gt;Inputs!$B$13),1,0)</f>
        <v>1</v>
      </c>
      <c r="BF48" s="3" t="n">
        <f aca="false">IF(AND(BF47&gt;=0,BF5&gt;Inputs!$B$13),1,0)</f>
        <v>1</v>
      </c>
      <c r="BG48" s="3" t="n">
        <f aca="false">IF(AND(BG47&gt;=0,BG5&gt;Inputs!$B$13),1,0)</f>
        <v>1</v>
      </c>
      <c r="BH48" s="3" t="n">
        <f aca="false">IF(AND(BH47&gt;=0,BH5&gt;Inputs!$B$13),1,0)</f>
        <v>1</v>
      </c>
      <c r="BI48" s="3" t="n">
        <f aca="false">IF(AND(BI47&gt;=0,BI5&gt;Inputs!$B$13),1,0)</f>
        <v>1</v>
      </c>
      <c r="BJ48" s="3" t="n">
        <f aca="false">IF(AND(BJ47&gt;=0,BJ5&gt;Inputs!$B$13),1,0)</f>
        <v>1</v>
      </c>
      <c r="BK48" s="3" t="n">
        <f aca="false">IF(AND(BK47&gt;=0,BK5&gt;Inputs!$B$13),1,0)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331</v>
      </c>
    </row>
    <row r="2" customFormat="false" ht="15" hidden="false" customHeight="false" outlineLevel="0" collapsed="false">
      <c r="A2" s="6" t="s">
        <v>332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333</v>
      </c>
      <c r="B5" s="45" t="n">
        <v>1</v>
      </c>
    </row>
    <row r="6" customFormat="false" ht="15" hidden="false" customHeight="false" outlineLevel="0" collapsed="false">
      <c r="A6" s="3" t="s">
        <v>334</v>
      </c>
      <c r="B6" s="45" t="n">
        <v>0</v>
      </c>
    </row>
    <row r="7" customFormat="false" ht="15" hidden="false" customHeight="false" outlineLevel="0" collapsed="false">
      <c r="A7" s="3" t="s">
        <v>335</v>
      </c>
      <c r="B7" s="45" t="n">
        <v>1</v>
      </c>
    </row>
    <row r="8" customFormat="false" ht="15" hidden="false" customHeight="false" outlineLevel="0" collapsed="false">
      <c r="A8" s="3" t="s">
        <v>336</v>
      </c>
      <c r="B8" s="45" t="n">
        <v>0</v>
      </c>
    </row>
    <row r="9" customFormat="false" ht="15" hidden="false" customHeight="false" outlineLevel="0" collapsed="false">
      <c r="A9" s="3" t="s">
        <v>337</v>
      </c>
      <c r="B9" s="45" t="n">
        <v>0</v>
      </c>
    </row>
    <row r="10" customFormat="false" ht="15" hidden="false" customHeight="false" outlineLevel="0" collapsed="false">
      <c r="A10" s="3" t="s">
        <v>338</v>
      </c>
      <c r="B10" s="3" t="n">
        <f aca="false">Inputs!$B$14+3+3*$B$6</f>
        <v>45</v>
      </c>
    </row>
    <row r="11" customFormat="false" ht="15" hidden="false" customHeight="false" outlineLevel="0" collapsed="false">
      <c r="A11" s="3" t="s">
        <v>339</v>
      </c>
      <c r="D11" s="33" t="n">
        <f aca="false">Source_Data!D$7+IF($B$9=1,IF(Source_Data!D$6=Inputs!$B$14,Source_Data!$C$8,0),Source_Data!D$8)</f>
        <v>0</v>
      </c>
      <c r="E11" s="33" t="n">
        <f aca="false">Source_Data!E$7+IF($B$9=1,IF(Source_Data!E$6=Inputs!$B$14,Source_Data!$C$8,0),Source_Data!E$8)</f>
        <v>0</v>
      </c>
      <c r="F11" s="33" t="n">
        <f aca="false">Source_Data!F$7+IF($B$9=1,IF(Source_Data!F$6=Inputs!$B$14,Source_Data!$C$8,0),Source_Data!F$8)</f>
        <v>15.1392375</v>
      </c>
      <c r="G11" s="33" t="n">
        <f aca="false">Source_Data!G$7+IF($B$9=1,IF(Source_Data!G$6=Inputs!$B$14,Source_Data!$C$8,0),Source_Data!G$8)</f>
        <v>30.278475</v>
      </c>
      <c r="H11" s="33" t="n">
        <f aca="false">Source_Data!H$7+IF($B$9=1,IF(Source_Data!H$6=Inputs!$B$14,Source_Data!$C$8,0),Source_Data!H$8)</f>
        <v>46.51200625</v>
      </c>
      <c r="I11" s="33" t="n">
        <f aca="false">Source_Data!I$7+IF($B$9=1,IF(Source_Data!I$6=Inputs!$B$14,Source_Data!$C$8,0),Source_Data!I$8)</f>
        <v>62.7455375</v>
      </c>
      <c r="J11" s="33" t="n">
        <f aca="false">Source_Data!J$7+IF($B$9=1,IF(Source_Data!J$6=Inputs!$B$14,Source_Data!$C$8,0),Source_Data!J$8)</f>
        <v>62.3657</v>
      </c>
      <c r="K11" s="33" t="n">
        <f aca="false">Source_Data!K$7+IF($B$9=1,IF(Source_Data!K$6=Inputs!$B$14,Source_Data!$C$8,0),Source_Data!K$8)</f>
        <v>63.473559375</v>
      </c>
      <c r="L11" s="33" t="n">
        <f aca="false">Source_Data!L$7+IF($B$9=1,IF(Source_Data!L$6=Inputs!$B$14,Source_Data!$C$8,0),Source_Data!L$8)</f>
        <v>80.3288484375</v>
      </c>
      <c r="M11" s="33" t="n">
        <f aca="false">Source_Data!M$7+IF($B$9=1,IF(Source_Data!M$6=Inputs!$B$14,Source_Data!$C$8,0),Source_Data!M$8)</f>
        <v>495.2538375</v>
      </c>
      <c r="N11" s="33" t="n">
        <f aca="false">Source_Data!N$7+IF($B$9=1,IF(Source_Data!N$6=Inputs!$B$14,Source_Data!$C$8,0),Source_Data!N$8)</f>
        <v>185.57775</v>
      </c>
      <c r="O11" s="33" t="n">
        <f aca="false">Source_Data!O$7+IF($B$9=1,IF(Source_Data!O$6=Inputs!$B$14,Source_Data!$C$8,0),Source_Data!O$8)</f>
        <v>176.534</v>
      </c>
      <c r="P11" s="33" t="n">
        <f aca="false">Source_Data!P$7+IF($B$9=1,IF(Source_Data!P$6=Inputs!$B$14,Source_Data!$C$8,0),Source_Data!P$8)</f>
        <v>97.31075</v>
      </c>
      <c r="Q11" s="33" t="n">
        <f aca="false">Source_Data!Q$7+IF($B$9=1,IF(Source_Data!Q$6=Inputs!$B$14,Source_Data!$C$8,0),Source_Data!Q$8)</f>
        <v>71.30996875</v>
      </c>
      <c r="R11" s="33" t="n">
        <f aca="false">Source_Data!R$7+IF($B$9=1,IF(Source_Data!R$6=Inputs!$B$14,Source_Data!$C$8,0),Source_Data!R$8)</f>
        <v>71.30996875</v>
      </c>
      <c r="S11" s="33" t="n">
        <f aca="false">Source_Data!S$7+IF($B$9=1,IF(Source_Data!S$6=Inputs!$B$14,Source_Data!$C$8,0),Source_Data!S$8)</f>
        <v>68.037035625</v>
      </c>
      <c r="T11" s="33" t="n">
        <f aca="false">Source_Data!T$7+IF($B$9=1,IF(Source_Data!T$6=Inputs!$B$14,Source_Data!$C$8,0),Source_Data!T$8)</f>
        <v>61.2266396875</v>
      </c>
      <c r="U11" s="33" t="n">
        <f aca="false">Source_Data!U$7+IF($B$9=1,IF(Source_Data!U$6=Inputs!$B$14,Source_Data!$C$8,0),Source_Data!U$8)</f>
        <v>59.7127159375</v>
      </c>
      <c r="V11" s="33" t="n">
        <f aca="false">Source_Data!V$7+IF($B$9=1,IF(Source_Data!V$6=Inputs!$B$14,Source_Data!$C$8,0),Source_Data!V$8)</f>
        <v>53.7239446875</v>
      </c>
      <c r="W11" s="33" t="n">
        <f aca="false">Source_Data!W$7+IF($B$9=1,IF(Source_Data!W$6=Inputs!$B$14,Source_Data!$C$8,0),Source_Data!W$8)</f>
        <v>49.3829446875</v>
      </c>
      <c r="X11" s="33" t="n">
        <f aca="false">Source_Data!X$7+IF($B$9=1,IF(Source_Data!X$6=Inputs!$B$14,Source_Data!$C$8,0),Source_Data!X$8)</f>
        <v>49.3829446875</v>
      </c>
      <c r="Y11" s="33" t="n">
        <f aca="false">Source_Data!Y$7+IF($B$9=1,IF(Source_Data!Y$6=Inputs!$B$14,Source_Data!$C$8,0),Source_Data!Y$8)</f>
        <v>42.1027259375</v>
      </c>
      <c r="Z11" s="33" t="n">
        <f aca="false">Source_Data!Z$7+IF($B$9=1,IF(Source_Data!Z$6=Inputs!$B$14,Source_Data!$C$8,0),Source_Data!Z$8)</f>
        <v>42.1027259375</v>
      </c>
      <c r="AA11" s="33" t="n">
        <f aca="false">Source_Data!AA$7+IF($B$9=1,IF(Source_Data!AA$6=Inputs!$B$14,Source_Data!$C$8,0),Source_Data!AA$8)</f>
        <v>42.1027259375</v>
      </c>
      <c r="AB11" s="33" t="n">
        <f aca="false">Source_Data!AB$7+IF($B$9=1,IF(Source_Data!AB$6=Inputs!$B$14,Source_Data!$C$8,0),Source_Data!AB$8)</f>
        <v>36.3147259375</v>
      </c>
      <c r="AC11" s="33" t="n">
        <f aca="false">Source_Data!AC$7+IF($B$9=1,IF(Source_Data!AC$6=Inputs!$B$14,Source_Data!$C$8,0),Source_Data!AC$8)</f>
        <v>33.0386275</v>
      </c>
      <c r="AD11" s="33" t="n">
        <f aca="false">Source_Data!AD$7+IF($B$9=1,IF(Source_Data!AD$6=Inputs!$B$14,Source_Data!$C$8,0),Source_Data!AD$8)</f>
        <v>29.43017125</v>
      </c>
      <c r="AE11" s="33" t="n">
        <f aca="false">Source_Data!AE$7+IF($B$9=1,IF(Source_Data!AE$6=Inputs!$B$14,Source_Data!$C$8,0),Source_Data!AE$8)</f>
        <v>25.08917125</v>
      </c>
      <c r="AF11" s="33" t="n">
        <f aca="false">Source_Data!AF$7+IF($B$9=1,IF(Source_Data!AF$6=Inputs!$B$14,Source_Data!$C$8,0),Source_Data!AF$8)</f>
        <v>25.08917125</v>
      </c>
      <c r="AG11" s="33" t="n">
        <f aca="false">Source_Data!AG$7+IF($B$9=1,IF(Source_Data!AG$6=Inputs!$B$14,Source_Data!$C$8,0),Source_Data!AG$8)</f>
        <v>25.08917125</v>
      </c>
      <c r="AH11" s="33" t="n">
        <f aca="false">Source_Data!AH$7+IF($B$9=1,IF(Source_Data!AH$6=Inputs!$B$14,Source_Data!$C$8,0),Source_Data!AH$8)</f>
        <v>25.08917125</v>
      </c>
      <c r="AI11" s="33" t="n">
        <f aca="false">Source_Data!AI$7+IF($B$9=1,IF(Source_Data!AI$6=Inputs!$B$14,Source_Data!$C$8,0),Source_Data!AI$8)</f>
        <v>25.08917125</v>
      </c>
      <c r="AJ11" s="33" t="n">
        <f aca="false">Source_Data!AJ$7+IF($B$9=1,IF(Source_Data!AJ$6=Inputs!$B$14,Source_Data!$C$8,0),Source_Data!AJ$8)</f>
        <v>25.08917125</v>
      </c>
      <c r="AK11" s="33" t="n">
        <f aca="false">Source_Data!AK$7+IF($B$9=1,IF(Source_Data!AK$6=Inputs!$B$14,Source_Data!$C$8,0),Source_Data!AK$8)</f>
        <v>22.905105625</v>
      </c>
      <c r="AL11" s="33" t="n">
        <f aca="false">Source_Data!AL$7+IF($B$9=1,IF(Source_Data!AL$6=Inputs!$B$14,Source_Data!$C$8,0),Source_Data!AL$8)</f>
        <v>22.905105625</v>
      </c>
      <c r="AM11" s="33" t="n">
        <f aca="false">Source_Data!AM$7+IF($B$9=1,IF(Source_Data!AM$6=Inputs!$B$14,Source_Data!$C$8,0),Source_Data!AM$8)</f>
        <v>18.739554375</v>
      </c>
      <c r="AN11" s="33" t="n">
        <f aca="false">Source_Data!AN$7+IF($B$9=1,IF(Source_Data!AN$6=Inputs!$B$14,Source_Data!$C$8,0),Source_Data!AN$8)</f>
        <v>9.6261675</v>
      </c>
      <c r="AO11" s="33" t="n">
        <f aca="false">Source_Data!AO$7+IF($B$9=1,IF(Source_Data!AO$6=Inputs!$B$14,Source_Data!$C$8,0),Source_Data!AO$8)</f>
        <v>3.5704725</v>
      </c>
      <c r="AP11" s="33" t="n">
        <f aca="false">Source_Data!AP$7+IF($B$9=1,IF(Source_Data!AP$6=Inputs!$B$14,Source_Data!$C$8,0),Source_Data!AP$8)</f>
        <v>0</v>
      </c>
      <c r="AQ11" s="33" t="n">
        <f aca="false">Source_Data!AQ$7+IF($B$9=1,IF(Source_Data!AQ$6=Inputs!$B$14,Source_Data!$C$8,0),Source_Data!AQ$8)</f>
        <v>0</v>
      </c>
      <c r="AR11" s="33" t="n">
        <f aca="false">Source_Data!AR$7+IF($B$9=1,IF(Source_Data!AR$6=Inputs!$B$14,Source_Data!$C$8,0),Source_Data!AR$8)</f>
        <v>0</v>
      </c>
      <c r="AS11" s="33" t="n">
        <f aca="false">Source_Data!AS$7+IF($B$9=1,IF(Source_Data!AS$6=Inputs!$B$14,Source_Data!$C$8,0),Source_Data!AS$8)</f>
        <v>0</v>
      </c>
      <c r="AT11" s="33" t="n">
        <f aca="false">Source_Data!AT$7+IF($B$9=1,IF(Source_Data!AT$6=Inputs!$B$14,Source_Data!$C$8,0),Source_Data!AT$8)</f>
        <v>0</v>
      </c>
      <c r="AU11" s="33" t="n">
        <f aca="false">Source_Data!AU$7+IF($B$9=1,IF(Source_Data!AU$6=Inputs!$B$14,Source_Data!$C$8,0),Source_Data!AU$8)</f>
        <v>0</v>
      </c>
      <c r="AV11" s="33" t="n">
        <f aca="false">Source_Data!AV$7+IF($B$9=1,IF(Source_Data!AV$6=Inputs!$B$14,Source_Data!$C$8,0),Source_Data!AV$8)</f>
        <v>0</v>
      </c>
      <c r="AW11" s="33" t="n">
        <f aca="false">Source_Data!AW$7+IF($B$9=1,IF(Source_Data!AW$6=Inputs!$B$14,Source_Data!$C$8,0),Source_Data!AW$8)</f>
        <v>0</v>
      </c>
      <c r="AX11" s="33" t="n">
        <f aca="false">Source_Data!AX$7+IF($B$9=1,IF(Source_Data!AX$6=Inputs!$B$14,Source_Data!$C$8,0),Source_Data!AX$8)</f>
        <v>0</v>
      </c>
      <c r="AY11" s="33" t="n">
        <f aca="false">Source_Data!AY$7+IF($B$9=1,IF(Source_Data!AY$6=Inputs!$B$14,Source_Data!$C$8,0),Source_Data!AY$8)</f>
        <v>0</v>
      </c>
      <c r="AZ11" s="33" t="n">
        <f aca="false">Source_Data!AZ$7+IF($B$9=1,IF(Source_Data!AZ$6=Inputs!$B$14,Source_Data!$C$8,0),Source_Data!AZ$8)</f>
        <v>0</v>
      </c>
      <c r="BA11" s="33" t="n">
        <f aca="false">Source_Data!BA$7+IF($B$9=1,IF(Source_Data!BA$6=Inputs!$B$14,Source_Data!$C$8,0),Source_Data!BA$8)</f>
        <v>0</v>
      </c>
      <c r="BB11" s="33" t="n">
        <f aca="false">Source_Data!BB$7+IF($B$9=1,IF(Source_Data!BB$6=Inputs!$B$14,Source_Data!$C$8,0),Source_Data!BB$8)</f>
        <v>0</v>
      </c>
      <c r="BC11" s="33" t="n">
        <f aca="false">Source_Data!BC$7+IF($B$9=1,IF(Source_Data!BC$6=Inputs!$B$14,Source_Data!$C$8,0),Source_Data!BC$8)</f>
        <v>0</v>
      </c>
      <c r="BD11" s="33" t="n">
        <f aca="false">Source_Data!BD$7+IF($B$9=1,IF(Source_Data!BD$6=Inputs!$B$14,Source_Data!$C$8,0),Source_Data!BD$8)</f>
        <v>0</v>
      </c>
      <c r="BE11" s="33" t="n">
        <f aca="false">Source_Data!BE$7+IF($B$9=1,IF(Source_Data!BE$6=Inputs!$B$14,Source_Data!$C$8,0),Source_Data!BE$8)</f>
        <v>0</v>
      </c>
      <c r="BF11" s="33" t="n">
        <f aca="false">Source_Data!BF$7+IF($B$9=1,IF(Source_Data!BF$6=Inputs!$B$14,Source_Data!$C$8,0),Source_Data!BF$8)</f>
        <v>0</v>
      </c>
      <c r="BG11" s="33" t="n">
        <f aca="false">Source_Data!BG$7+IF($B$9=1,IF(Source_Data!BG$6=Inputs!$B$14,Source_Data!$C$8,0),Source_Data!BG$8)</f>
        <v>0</v>
      </c>
      <c r="BH11" s="33" t="n">
        <f aca="false">Source_Data!BH$7+IF($B$9=1,IF(Source_Data!BH$6=Inputs!$B$14,Source_Data!$C$8,0),Source_Data!BH$8)</f>
        <v>0</v>
      </c>
      <c r="BI11" s="33" t="n">
        <f aca="false">Source_Data!BI$7+IF($B$9=1,IF(Source_Data!BI$6=Inputs!$B$14,Source_Data!$C$8,0),Source_Data!BI$8)</f>
        <v>0</v>
      </c>
      <c r="BJ11" s="33" t="n">
        <f aca="false">Source_Data!BJ$7+IF($B$9=1,IF(Source_Data!BJ$6=Inputs!$B$14,Source_Data!$C$8,0),Source_Data!BJ$8)</f>
        <v>0</v>
      </c>
      <c r="BK11" s="33" t="n">
        <f aca="false">Source_Data!BK$7+IF($B$9=1,IF(Source_Data!BK$6=Inputs!$B$14,Source_Data!$C$8,0),Source_Data!BK$8)</f>
        <v>0</v>
      </c>
    </row>
    <row r="12" customFormat="false" ht="15" hidden="false" customHeight="false" outlineLevel="0" collapsed="false">
      <c r="A12" s="3" t="s">
        <v>215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340</v>
      </c>
      <c r="D13" s="33" t="n">
        <f aca="false">Source_Data!D$9+Source_Data!D$10*IF(Source_Data!$C$10=0,0,MAX(0,Inputs!$B$20*Inputs!$B$23*$B$5-Inputs!$B$21)/Source_Data!$C$10)</f>
        <v>91.25</v>
      </c>
      <c r="E13" s="33" t="n">
        <f aca="false">Source_Data!E$9+Source_Data!E$10*IF(Source_Data!$C$10=0,0,MAX(0,Inputs!$B$20*Inputs!$B$23*$B$5-Inputs!$B$21)/Source_Data!$C$10)</f>
        <v>11.25</v>
      </c>
      <c r="F13" s="33" t="n">
        <f aca="false">Source_Data!F$9+Source_Data!F$10*IF(Source_Data!$C$10=0,0,MAX(0,Inputs!$B$20*Inputs!$B$23*$B$5-Inputs!$B$21)/Source_Data!$C$10)</f>
        <v>11.25</v>
      </c>
      <c r="G13" s="33" t="n">
        <f aca="false">Source_Data!G$9+Source_Data!G$10*IF(Source_Data!$C$10=0,0,MAX(0,Inputs!$B$20*Inputs!$B$23*$B$5-Inputs!$B$21)/Source_Data!$C$10)</f>
        <v>11.25</v>
      </c>
      <c r="H13" s="33" t="n">
        <f aca="false">Source_Data!H$9+Source_Data!H$10*IF(Source_Data!$C$10=0,0,MAX(0,Inputs!$B$20*Inputs!$B$23*$B$5-Inputs!$B$21)/Source_Data!$C$10)</f>
        <v>22.5</v>
      </c>
      <c r="I13" s="33" t="n">
        <f aca="false">Source_Data!I$9+Source_Data!I$10*IF(Source_Data!$C$10=0,0,MAX(0,Inputs!$B$20*Inputs!$B$23*$B$5-Inputs!$B$21)/Source_Data!$C$10)</f>
        <v>22.5</v>
      </c>
      <c r="J13" s="33" t="n">
        <f aca="false">Source_Data!J$9+Source_Data!J$10*IF(Source_Data!$C$10=0,0,MAX(0,Inputs!$B$20*Inputs!$B$23*$B$5-Inputs!$B$21)/Source_Data!$C$10)</f>
        <v>22.5</v>
      </c>
      <c r="K13" s="33" t="n">
        <f aca="false">Source_Data!K$9+Source_Data!K$10*IF(Source_Data!$C$10=0,0,MAX(0,Inputs!$B$20*Inputs!$B$23*$B$5-Inputs!$B$21)/Source_Data!$C$10)</f>
        <v>22.5</v>
      </c>
      <c r="L13" s="33" t="n">
        <f aca="false">Source_Data!L$9+Source_Data!L$10*IF(Source_Data!$C$10=0,0,MAX(0,Inputs!$B$20*Inputs!$B$23*$B$5-Inputs!$B$21)/Source_Data!$C$10)</f>
        <v>33.75</v>
      </c>
      <c r="M13" s="33" t="n">
        <f aca="false">Source_Data!M$9+Source_Data!M$10*IF(Source_Data!$C$10=0,0,MAX(0,Inputs!$B$20*Inputs!$B$23*$B$5-Inputs!$B$21)/Source_Data!$C$10)</f>
        <v>33.75</v>
      </c>
      <c r="N13" s="33" t="n">
        <f aca="false">Source_Data!N$9+Source_Data!N$10*IF(Source_Data!$C$10=0,0,MAX(0,Inputs!$B$20*Inputs!$B$23*$B$5-Inputs!$B$21)/Source_Data!$C$10)</f>
        <v>33.75</v>
      </c>
      <c r="O13" s="33" t="n">
        <f aca="false">Source_Data!O$9+Source_Data!O$10*IF(Source_Data!$C$10=0,0,MAX(0,Inputs!$B$20*Inputs!$B$23*$B$5-Inputs!$B$21)/Source_Data!$C$10)</f>
        <v>33.75</v>
      </c>
      <c r="P13" s="33" t="n">
        <f aca="false">Source_Data!P$9+Source_Data!P$10*IF(Source_Data!$C$10=0,0,MAX(0,Inputs!$B$20*Inputs!$B$23*$B$5-Inputs!$B$21)/Source_Data!$C$10)</f>
        <v>45</v>
      </c>
      <c r="Q13" s="33" t="n">
        <f aca="false">Source_Data!Q$9+Source_Data!Q$10*IF(Source_Data!$C$10=0,0,MAX(0,Inputs!$B$20*Inputs!$B$23*$B$5-Inputs!$B$21)/Source_Data!$C$10)</f>
        <v>45</v>
      </c>
      <c r="R13" s="33" t="n">
        <f aca="false">Source_Data!R$9+Source_Data!R$10*IF(Source_Data!$C$10=0,0,MAX(0,Inputs!$B$20*Inputs!$B$23*$B$5-Inputs!$B$21)/Source_Data!$C$10)</f>
        <v>45</v>
      </c>
      <c r="S13" s="33" t="n">
        <f aca="false">Source_Data!S$9+Source_Data!S$10*IF(Source_Data!$C$10=0,0,MAX(0,Inputs!$B$20*Inputs!$B$23*$B$5-Inputs!$B$21)/Source_Data!$C$10)</f>
        <v>45</v>
      </c>
      <c r="T13" s="33" t="n">
        <f aca="false">Source_Data!T$9+Source_Data!T$10*IF(Source_Data!$C$10=0,0,MAX(0,Inputs!$B$20*Inputs!$B$23*$B$5-Inputs!$B$21)/Source_Data!$C$10)</f>
        <v>45</v>
      </c>
      <c r="U13" s="33" t="n">
        <f aca="false">Source_Data!U$9+Source_Data!U$10*IF(Source_Data!$C$10=0,0,MAX(0,Inputs!$B$20*Inputs!$B$23*$B$5-Inputs!$B$21)/Source_Data!$C$10)</f>
        <v>45</v>
      </c>
      <c r="V13" s="33" t="n">
        <f aca="false">Source_Data!V$9+Source_Data!V$10*IF(Source_Data!$C$10=0,0,MAX(0,Inputs!$B$20*Inputs!$B$23*$B$5-Inputs!$B$21)/Source_Data!$C$10)</f>
        <v>45</v>
      </c>
      <c r="W13" s="33" t="n">
        <f aca="false">Source_Data!W$9+Source_Data!W$10*IF(Source_Data!$C$10=0,0,MAX(0,Inputs!$B$20*Inputs!$B$23*$B$5-Inputs!$B$21)/Source_Data!$C$10)</f>
        <v>45</v>
      </c>
      <c r="X13" s="33" t="n">
        <f aca="false">Source_Data!X$9+Source_Data!X$10*IF(Source_Data!$C$10=0,0,MAX(0,Inputs!$B$20*Inputs!$B$23*$B$5-Inputs!$B$21)/Source_Data!$C$10)</f>
        <v>22.5</v>
      </c>
      <c r="Y13" s="33" t="n">
        <f aca="false">Source_Data!Y$9+Source_Data!Y$10*IF(Source_Data!$C$10=0,0,MAX(0,Inputs!$B$20*Inputs!$B$23*$B$5-Inputs!$B$21)/Source_Data!$C$10)</f>
        <v>22.5</v>
      </c>
      <c r="Z13" s="33" t="n">
        <f aca="false">Source_Data!Z$9+Source_Data!Z$10*IF(Source_Data!$C$10=0,0,MAX(0,Inputs!$B$20*Inputs!$B$23*$B$5-Inputs!$B$21)/Source_Data!$C$10)</f>
        <v>22.5</v>
      </c>
      <c r="AA13" s="33" t="n">
        <f aca="false">Source_Data!AA$9+Source_Data!AA$10*IF(Source_Data!$C$10=0,0,MAX(0,Inputs!$B$20*Inputs!$B$23*$B$5-Inputs!$B$21)/Source_Data!$C$10)</f>
        <v>22.5</v>
      </c>
      <c r="AB13" s="33" t="n">
        <f aca="false">Source_Data!AB$9+Source_Data!AB$10*IF(Source_Data!$C$10=0,0,MAX(0,Inputs!$B$20*Inputs!$B$23*$B$5-Inputs!$B$21)/Source_Data!$C$10)</f>
        <v>0</v>
      </c>
      <c r="AC13" s="33" t="n">
        <f aca="false">Source_Data!AC$9+Source_Data!AC$10*IF(Source_Data!$C$10=0,0,MAX(0,Inputs!$B$20*Inputs!$B$23*$B$5-Inputs!$B$21)/Source_Data!$C$10)</f>
        <v>0</v>
      </c>
      <c r="AD13" s="33" t="n">
        <f aca="false">Source_Data!AD$9+Source_Data!AD$10*IF(Source_Data!$C$10=0,0,MAX(0,Inputs!$B$20*Inputs!$B$23*$B$5-Inputs!$B$21)/Source_Data!$C$10)</f>
        <v>0</v>
      </c>
      <c r="AE13" s="33" t="n">
        <f aca="false">Source_Data!AE$9+Source_Data!AE$10*IF(Source_Data!$C$10=0,0,MAX(0,Inputs!$B$20*Inputs!$B$23*$B$5-Inputs!$B$21)/Source_Data!$C$10)</f>
        <v>0</v>
      </c>
      <c r="AF13" s="33" t="n">
        <f aca="false">Source_Data!AF$9+Source_Data!AF$10*IF(Source_Data!$C$10=0,0,MAX(0,Inputs!$B$20*Inputs!$B$23*$B$5-Inputs!$B$21)/Source_Data!$C$10)</f>
        <v>107.758210351563</v>
      </c>
      <c r="AG13" s="33" t="n">
        <f aca="false">Source_Data!AG$9+Source_Data!AG$10*IF(Source_Data!$C$10=0,0,MAX(0,Inputs!$B$20*Inputs!$B$23*$B$5-Inputs!$B$21)/Source_Data!$C$10)</f>
        <v>10.976512421875</v>
      </c>
      <c r="AH13" s="33" t="n">
        <f aca="false">Source_Data!AH$9+Source_Data!AH$10*IF(Source_Data!$C$10=0,0,MAX(0,Inputs!$B$20*Inputs!$B$23*$B$5-Inputs!$B$21)/Source_Data!$C$10)</f>
        <v>10.976512421875</v>
      </c>
      <c r="AI13" s="33" t="n">
        <f aca="false">Source_Data!AI$9+Source_Data!AI$10*IF(Source_Data!$C$10=0,0,MAX(0,Inputs!$B$20*Inputs!$B$23*$B$5-Inputs!$B$21)/Source_Data!$C$10)</f>
        <v>10.976512421875</v>
      </c>
      <c r="AJ13" s="33" t="n">
        <f aca="false">Source_Data!AJ$9+Source_Data!AJ$10*IF(Source_Data!$C$10=0,0,MAX(0,Inputs!$B$20*Inputs!$B$23*$B$5-Inputs!$B$21)/Source_Data!$C$10)</f>
        <v>10.976512421875</v>
      </c>
      <c r="AK13" s="33" t="n">
        <f aca="false">Source_Data!AK$9+Source_Data!AK$10*IF(Source_Data!$C$10=0,0,MAX(0,Inputs!$B$20*Inputs!$B$23*$B$5-Inputs!$B$21)/Source_Data!$C$10)</f>
        <v>10.0209837109375</v>
      </c>
      <c r="AL13" s="33" t="n">
        <f aca="false">Source_Data!AL$9+Source_Data!AL$10*IF(Source_Data!$C$10=0,0,MAX(0,Inputs!$B$20*Inputs!$B$23*$B$5-Inputs!$B$21)/Source_Data!$C$10)</f>
        <v>10.0209837109375</v>
      </c>
      <c r="AM13" s="33" t="n">
        <f aca="false">Source_Data!AM$9+Source_Data!AM$10*IF(Source_Data!$C$10=0,0,MAX(0,Inputs!$B$20*Inputs!$B$23*$B$5-Inputs!$B$21)/Source_Data!$C$10)</f>
        <v>8.19855503906249</v>
      </c>
      <c r="AN13" s="33" t="n">
        <f aca="false">Source_Data!AN$9+Source_Data!AN$10*IF(Source_Data!$C$10=0,0,MAX(0,Inputs!$B$20*Inputs!$B$23*$B$5-Inputs!$B$21)/Source_Data!$C$10)</f>
        <v>4.21144828125</v>
      </c>
      <c r="AO13" s="33" t="n">
        <f aca="false">Source_Data!AO$9+Source_Data!AO$10*IF(Source_Data!$C$10=0,0,MAX(0,Inputs!$B$20*Inputs!$B$23*$B$5-Inputs!$B$21)/Source_Data!$C$10)</f>
        <v>1.56208171875</v>
      </c>
      <c r="AP13" s="33" t="n">
        <f aca="false">Source_Data!AP$9+Source_Data!AP$10*IF(Source_Data!$C$10=0,0,MAX(0,Inputs!$B$20*Inputs!$B$23*$B$5-Inputs!$B$21)/Source_Data!$C$10)</f>
        <v>0</v>
      </c>
      <c r="AQ13" s="33" t="n">
        <f aca="false">Source_Data!AQ$9+Source_Data!AQ$10*IF(Source_Data!$C$10=0,0,MAX(0,Inputs!$B$20*Inputs!$B$23*$B$5-Inputs!$B$21)/Source_Data!$C$10)</f>
        <v>0</v>
      </c>
      <c r="AR13" s="33" t="n">
        <f aca="false">Source_Data!AR$9+Source_Data!AR$10*IF(Source_Data!$C$10=0,0,MAX(0,Inputs!$B$20*Inputs!$B$23*$B$5-Inputs!$B$21)/Source_Data!$C$10)</f>
        <v>0</v>
      </c>
      <c r="AS13" s="33" t="n">
        <f aca="false">Source_Data!AS$9+Source_Data!AS$10*IF(Source_Data!$C$10=0,0,MAX(0,Inputs!$B$20*Inputs!$B$23*$B$5-Inputs!$B$21)/Source_Data!$C$10)</f>
        <v>0</v>
      </c>
      <c r="AT13" s="33" t="n">
        <f aca="false">Source_Data!AT$9+Source_Data!AT$10*IF(Source_Data!$C$10=0,0,MAX(0,Inputs!$B$20*Inputs!$B$23*$B$5-Inputs!$B$21)/Source_Data!$C$10)</f>
        <v>0</v>
      </c>
      <c r="AU13" s="33" t="n">
        <f aca="false">Source_Data!AU$9+Source_Data!AU$10*IF(Source_Data!$C$10=0,0,MAX(0,Inputs!$B$20*Inputs!$B$23*$B$5-Inputs!$B$21)/Source_Data!$C$10)</f>
        <v>0</v>
      </c>
      <c r="AV13" s="33" t="n">
        <f aca="false">Source_Data!AV$9+Source_Data!AV$10*IF(Source_Data!$C$10=0,0,MAX(0,Inputs!$B$20*Inputs!$B$23*$B$5-Inputs!$B$21)/Source_Data!$C$10)</f>
        <v>0</v>
      </c>
      <c r="AW13" s="33" t="n">
        <f aca="false">Source_Data!AW$9+Source_Data!AW$10*IF(Source_Data!$C$10=0,0,MAX(0,Inputs!$B$20*Inputs!$B$23*$B$5-Inputs!$B$21)/Source_Data!$C$10)</f>
        <v>0</v>
      </c>
      <c r="AX13" s="33" t="n">
        <f aca="false">Source_Data!AX$9+Source_Data!AX$10*IF(Source_Data!$C$10=0,0,MAX(0,Inputs!$B$20*Inputs!$B$23*$B$5-Inputs!$B$21)/Source_Data!$C$10)</f>
        <v>0</v>
      </c>
      <c r="AY13" s="33" t="n">
        <f aca="false">Source_Data!AY$9+Source_Data!AY$10*IF(Source_Data!$C$10=0,0,MAX(0,Inputs!$B$20*Inputs!$B$23*$B$5-Inputs!$B$21)/Source_Data!$C$10)</f>
        <v>0</v>
      </c>
      <c r="AZ13" s="33" t="n">
        <f aca="false">Source_Data!AZ$9+Source_Data!AZ$10*IF(Source_Data!$C$10=0,0,MAX(0,Inputs!$B$20*Inputs!$B$23*$B$5-Inputs!$B$21)/Source_Data!$C$10)</f>
        <v>0</v>
      </c>
      <c r="BA13" s="33" t="n">
        <f aca="false">Source_Data!BA$9+Source_Data!BA$10*IF(Source_Data!$C$10=0,0,MAX(0,Inputs!$B$20*Inputs!$B$23*$B$5-Inputs!$B$21)/Source_Data!$C$10)</f>
        <v>0</v>
      </c>
      <c r="BB13" s="33" t="n">
        <f aca="false">Source_Data!BB$9+Source_Data!BB$10*IF(Source_Data!$C$10=0,0,MAX(0,Inputs!$B$20*Inputs!$B$23*$B$5-Inputs!$B$21)/Source_Data!$C$10)</f>
        <v>0</v>
      </c>
      <c r="BC13" s="33" t="n">
        <f aca="false">Source_Data!BC$9+Source_Data!BC$10*IF(Source_Data!$C$10=0,0,MAX(0,Inputs!$B$20*Inputs!$B$23*$B$5-Inputs!$B$21)/Source_Data!$C$10)</f>
        <v>0</v>
      </c>
      <c r="BD13" s="33" t="n">
        <f aca="false">Source_Data!BD$9+Source_Data!BD$10*IF(Source_Data!$C$10=0,0,MAX(0,Inputs!$B$20*Inputs!$B$23*$B$5-Inputs!$B$21)/Source_Data!$C$10)</f>
        <v>0</v>
      </c>
      <c r="BE13" s="33" t="n">
        <f aca="false">Source_Data!BE$9+Source_Data!BE$10*IF(Source_Data!$C$10=0,0,MAX(0,Inputs!$B$20*Inputs!$B$23*$B$5-Inputs!$B$21)/Source_Data!$C$10)</f>
        <v>0</v>
      </c>
      <c r="BF13" s="33" t="n">
        <f aca="false">Source_Data!BF$9+Source_Data!BF$10*IF(Source_Data!$C$10=0,0,MAX(0,Inputs!$B$20*Inputs!$B$23*$B$5-Inputs!$B$21)/Source_Data!$C$10)</f>
        <v>0</v>
      </c>
      <c r="BG13" s="33" t="n">
        <f aca="false">Source_Data!BG$9+Source_Data!BG$10*IF(Source_Data!$C$10=0,0,MAX(0,Inputs!$B$20*Inputs!$B$23*$B$5-Inputs!$B$21)/Source_Data!$C$10)</f>
        <v>0</v>
      </c>
      <c r="BH13" s="33" t="n">
        <f aca="false">Source_Data!BH$9+Source_Data!BH$10*IF(Source_Data!$C$10=0,0,MAX(0,Inputs!$B$20*Inputs!$B$23*$B$5-Inputs!$B$21)/Source_Data!$C$10)</f>
        <v>0</v>
      </c>
      <c r="BI13" s="33" t="n">
        <f aca="false">Source_Data!BI$9+Source_Data!BI$10*IF(Source_Data!$C$10=0,0,MAX(0,Inputs!$B$20*Inputs!$B$23*$B$5-Inputs!$B$21)/Source_Data!$C$10)</f>
        <v>0</v>
      </c>
      <c r="BJ13" s="33" t="n">
        <f aca="false">Source_Data!BJ$9+Source_Data!BJ$10*IF(Source_Data!$C$10=0,0,MAX(0,Inputs!$B$20*Inputs!$B$23*$B$5-Inputs!$B$21)/Source_Data!$C$10)</f>
        <v>0</v>
      </c>
      <c r="BK13" s="33" t="n">
        <f aca="false">Source_Data!BK$9+Source_Data!BK$10*IF(Source_Data!$C$10=0,0,MAX(0,Inputs!$B$20*Inputs!$B$23*$B$5-Inputs!$B$21)/Source_Data!$C$10)</f>
        <v>0</v>
      </c>
    </row>
    <row r="14" customFormat="false" ht="15" hidden="false" customHeight="false" outlineLevel="0" collapsed="false">
      <c r="A14" s="3" t="s">
        <v>196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198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217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218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219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341</v>
      </c>
      <c r="D19" s="33" t="n">
        <f aca="false">IF(Source_Data!D$6=Inputs!$B$13,-Inputs!$B$7,0)+IF(AND(Source_Data!D$6&gt;=$B$10,Source_Data!D$6&lt;$B$10+3*Inputs!$B$17,MOD(Source_Data!D$6-$B$10,3)=0),Inputs!$B$8*Inputs!$B$7*Inputs!$B$35*$B$5*(1-Inputs!$B$16)/Inputs!$B$17,0)</f>
        <v>-75</v>
      </c>
      <c r="E19" s="33" t="n">
        <f aca="false">IF(Source_Data!E$6=Inputs!$B$13,-Inputs!$B$7,0)+IF(AND(Source_Data!E$6&gt;=$B$10,Source_Data!E$6&lt;$B$10+3*Inputs!$B$17,MOD(Source_Data!E$6-$B$10,3)=0),Inputs!$B$8*Inputs!$B$7*Inputs!$B$35*$B$5*(1-Inputs!$B$16)/Inputs!$B$17,0)</f>
        <v>0</v>
      </c>
      <c r="F19" s="33" t="n">
        <f aca="false">IF(Source_Data!F$6=Inputs!$B$13,-Inputs!$B$7,0)+IF(AND(Source_Data!F$6&gt;=$B$10,Source_Data!F$6&lt;$B$10+3*Inputs!$B$17,MOD(Source_Data!F$6-$B$10,3)=0),Inputs!$B$8*Inputs!$B$7*Inputs!$B$35*$B$5*(1-Inputs!$B$16)/Inputs!$B$17,0)</f>
        <v>0</v>
      </c>
      <c r="G19" s="33" t="n">
        <f aca="false">IF(Source_Data!G$6=Inputs!$B$13,-Inputs!$B$7,0)+IF(AND(Source_Data!G$6&gt;=$B$10,Source_Data!G$6&lt;$B$10+3*Inputs!$B$17,MOD(Source_Data!G$6-$B$10,3)=0),Inputs!$B$8*Inputs!$B$7*Inputs!$B$35*$B$5*(1-Inputs!$B$16)/Inputs!$B$17,0)</f>
        <v>0</v>
      </c>
      <c r="H19" s="33" t="n">
        <f aca="false">IF(Source_Data!H$6=Inputs!$B$13,-Inputs!$B$7,0)+IF(AND(Source_Data!H$6&gt;=$B$10,Source_Data!H$6&lt;$B$10+3*Inputs!$B$17,MOD(Source_Data!H$6-$B$10,3)=0),Inputs!$B$8*Inputs!$B$7*Inputs!$B$35*$B$5*(1-Inputs!$B$16)/Inputs!$B$17,0)</f>
        <v>0</v>
      </c>
      <c r="I19" s="33" t="n">
        <f aca="false">IF(Source_Data!I$6=Inputs!$B$13,-Inputs!$B$7,0)+IF(AND(Source_Data!I$6&gt;=$B$10,Source_Data!I$6&lt;$B$10+3*Inputs!$B$17,MOD(Source_Data!I$6-$B$10,3)=0),Inputs!$B$8*Inputs!$B$7*Inputs!$B$35*$B$5*(1-Inputs!$B$16)/Inputs!$B$17,0)</f>
        <v>0</v>
      </c>
      <c r="J19" s="33" t="n">
        <f aca="false">IF(Source_Data!J$6=Inputs!$B$13,-Inputs!$B$7,0)+IF(AND(Source_Data!J$6&gt;=$B$10,Source_Data!J$6&lt;$B$10+3*Inputs!$B$17,MOD(Source_Data!J$6-$B$10,3)=0),Inputs!$B$8*Inputs!$B$7*Inputs!$B$35*$B$5*(1-Inputs!$B$16)/Inputs!$B$17,0)</f>
        <v>0</v>
      </c>
      <c r="K19" s="33" t="n">
        <f aca="false">IF(Source_Data!K$6=Inputs!$B$13,-Inputs!$B$7,0)+IF(AND(Source_Data!K$6&gt;=$B$10,Source_Data!K$6&lt;$B$10+3*Inputs!$B$17,MOD(Source_Data!K$6-$B$10,3)=0),Inputs!$B$8*Inputs!$B$7*Inputs!$B$35*$B$5*(1-Inputs!$B$16)/Inputs!$B$17,0)</f>
        <v>0</v>
      </c>
      <c r="L19" s="33" t="n">
        <f aca="false">IF(Source_Data!L$6=Inputs!$B$13,-Inputs!$B$7,0)+IF(AND(Source_Data!L$6&gt;=$B$10,Source_Data!L$6&lt;$B$10+3*Inputs!$B$17,MOD(Source_Data!L$6-$B$10,3)=0),Inputs!$B$8*Inputs!$B$7*Inputs!$B$35*$B$5*(1-Inputs!$B$16)/Inputs!$B$17,0)</f>
        <v>0</v>
      </c>
      <c r="M19" s="33" t="n">
        <f aca="false">IF(Source_Data!M$6=Inputs!$B$13,-Inputs!$B$7,0)+IF(AND(Source_Data!M$6&gt;=$B$10,Source_Data!M$6&lt;$B$10+3*Inputs!$B$17,MOD(Source_Data!M$6-$B$10,3)=0),Inputs!$B$8*Inputs!$B$7*Inputs!$B$35*$B$5*(1-Inputs!$B$16)/Inputs!$B$17,0)</f>
        <v>0</v>
      </c>
      <c r="N19" s="33" t="n">
        <f aca="false">IF(Source_Data!N$6=Inputs!$B$13,-Inputs!$B$7,0)+IF(AND(Source_Data!N$6&gt;=$B$10,Source_Data!N$6&lt;$B$10+3*Inputs!$B$17,MOD(Source_Data!N$6-$B$10,3)=0),Inputs!$B$8*Inputs!$B$7*Inputs!$B$35*$B$5*(1-Inputs!$B$16)/Inputs!$B$17,0)</f>
        <v>0</v>
      </c>
      <c r="O19" s="33" t="n">
        <f aca="false">IF(Source_Data!O$6=Inputs!$B$13,-Inputs!$B$7,0)+IF(AND(Source_Data!O$6&gt;=$B$10,Source_Data!O$6&lt;$B$10+3*Inputs!$B$17,MOD(Source_Data!O$6-$B$10,3)=0),Inputs!$B$8*Inputs!$B$7*Inputs!$B$35*$B$5*(1-Inputs!$B$16)/Inputs!$B$17,0)</f>
        <v>0</v>
      </c>
      <c r="P19" s="33" t="n">
        <f aca="false">IF(Source_Data!P$6=Inputs!$B$13,-Inputs!$B$7,0)+IF(AND(Source_Data!P$6&gt;=$B$10,Source_Data!P$6&lt;$B$10+3*Inputs!$B$17,MOD(Source_Data!P$6-$B$10,3)=0),Inputs!$B$8*Inputs!$B$7*Inputs!$B$35*$B$5*(1-Inputs!$B$16)/Inputs!$B$17,0)</f>
        <v>0</v>
      </c>
      <c r="Q19" s="33" t="n">
        <f aca="false">IF(Source_Data!Q$6=Inputs!$B$13,-Inputs!$B$7,0)+IF(AND(Source_Data!Q$6&gt;=$B$10,Source_Data!Q$6&lt;$B$10+3*Inputs!$B$17,MOD(Source_Data!Q$6-$B$10,3)=0),Inputs!$B$8*Inputs!$B$7*Inputs!$B$35*$B$5*(1-Inputs!$B$16)/Inputs!$B$17,0)</f>
        <v>0</v>
      </c>
      <c r="R19" s="33" t="n">
        <f aca="false">IF(Source_Data!R$6=Inputs!$B$13,-Inputs!$B$7,0)+IF(AND(Source_Data!R$6&gt;=$B$10,Source_Data!R$6&lt;$B$10+3*Inputs!$B$17,MOD(Source_Data!R$6-$B$10,3)=0),Inputs!$B$8*Inputs!$B$7*Inputs!$B$35*$B$5*(1-Inputs!$B$16)/Inputs!$B$17,0)</f>
        <v>0</v>
      </c>
      <c r="S19" s="33" t="n">
        <f aca="false">IF(Source_Data!S$6=Inputs!$B$13,-Inputs!$B$7,0)+IF(AND(Source_Data!S$6&gt;=$B$10,Source_Data!S$6&lt;$B$10+3*Inputs!$B$17,MOD(Source_Data!S$6-$B$10,3)=0),Inputs!$B$8*Inputs!$B$7*Inputs!$B$35*$B$5*(1-Inputs!$B$16)/Inputs!$B$17,0)</f>
        <v>0</v>
      </c>
      <c r="T19" s="33" t="n">
        <f aca="false">IF(Source_Data!T$6=Inputs!$B$13,-Inputs!$B$7,0)+IF(AND(Source_Data!T$6&gt;=$B$10,Source_Data!T$6&lt;$B$10+3*Inputs!$B$17,MOD(Source_Data!T$6-$B$10,3)=0),Inputs!$B$8*Inputs!$B$7*Inputs!$B$35*$B$5*(1-Inputs!$B$16)/Inputs!$B$17,0)</f>
        <v>52.1505376344086</v>
      </c>
      <c r="U19" s="33" t="n">
        <f aca="false">IF(Source_Data!U$6=Inputs!$B$13,-Inputs!$B$7,0)+IF(AND(Source_Data!U$6&gt;=$B$10,Source_Data!U$6&lt;$B$10+3*Inputs!$B$17,MOD(Source_Data!U$6-$B$10,3)=0),Inputs!$B$8*Inputs!$B$7*Inputs!$B$35*$B$5*(1-Inputs!$B$16)/Inputs!$B$17,0)</f>
        <v>52.1505376344086</v>
      </c>
      <c r="V19" s="33" t="n">
        <f aca="false">IF(Source_Data!V$6=Inputs!$B$13,-Inputs!$B$7,0)+IF(AND(Source_Data!V$6&gt;=$B$10,Source_Data!V$6&lt;$B$10+3*Inputs!$B$17,MOD(Source_Data!V$6-$B$10,3)=0),Inputs!$B$8*Inputs!$B$7*Inputs!$B$35*$B$5*(1-Inputs!$B$16)/Inputs!$B$17,0)</f>
        <v>52.1505376344086</v>
      </c>
      <c r="W19" s="33" t="n">
        <f aca="false">IF(Source_Data!W$6=Inputs!$B$13,-Inputs!$B$7,0)+IF(AND(Source_Data!W$6&gt;=$B$10,Source_Data!W$6&lt;$B$10+3*Inputs!$B$17,MOD(Source_Data!W$6-$B$10,3)=0),Inputs!$B$8*Inputs!$B$7*Inputs!$B$35*$B$5*(1-Inputs!$B$16)/Inputs!$B$17,0)</f>
        <v>52.1505376344086</v>
      </c>
      <c r="X19" s="33" t="n">
        <f aca="false">IF(Source_Data!X$6=Inputs!$B$13,-Inputs!$B$7,0)+IF(AND(Source_Data!X$6&gt;=$B$10,Source_Data!X$6&lt;$B$10+3*Inputs!$B$17,MOD(Source_Data!X$6-$B$10,3)=0),Inputs!$B$8*Inputs!$B$7*Inputs!$B$35*$B$5*(1-Inputs!$B$16)/Inputs!$B$17,0)</f>
        <v>0</v>
      </c>
      <c r="Y19" s="33" t="n">
        <f aca="false">IF(Source_Data!Y$6=Inputs!$B$13,-Inputs!$B$7,0)+IF(AND(Source_Data!Y$6&gt;=$B$10,Source_Data!Y$6&lt;$B$10+3*Inputs!$B$17,MOD(Source_Data!Y$6-$B$10,3)=0),Inputs!$B$8*Inputs!$B$7*Inputs!$B$35*$B$5*(1-Inputs!$B$16)/Inputs!$B$17,0)</f>
        <v>0</v>
      </c>
      <c r="Z19" s="33" t="n">
        <f aca="false">IF(Source_Data!Z$6=Inputs!$B$13,-Inputs!$B$7,0)+IF(AND(Source_Data!Z$6&gt;=$B$10,Source_Data!Z$6&lt;$B$10+3*Inputs!$B$17,MOD(Source_Data!Z$6-$B$10,3)=0),Inputs!$B$8*Inputs!$B$7*Inputs!$B$35*$B$5*(1-Inputs!$B$16)/Inputs!$B$17,0)</f>
        <v>0</v>
      </c>
      <c r="AA19" s="33" t="n">
        <f aca="false">IF(Source_Data!AA$6=Inputs!$B$13,-Inputs!$B$7,0)+IF(AND(Source_Data!AA$6&gt;=$B$10,Source_Data!AA$6&lt;$B$10+3*Inputs!$B$17,MOD(Source_Data!AA$6-$B$10,3)=0),Inputs!$B$8*Inputs!$B$7*Inputs!$B$35*$B$5*(1-Inputs!$B$16)/Inputs!$B$17,0)</f>
        <v>0</v>
      </c>
      <c r="AB19" s="33" t="n">
        <f aca="false">IF(Source_Data!AB$6=Inputs!$B$13,-Inputs!$B$7,0)+IF(AND(Source_Data!AB$6&gt;=$B$10,Source_Data!AB$6&lt;$B$10+3*Inputs!$B$17,MOD(Source_Data!AB$6-$B$10,3)=0),Inputs!$B$8*Inputs!$B$7*Inputs!$B$35*$B$5*(1-Inputs!$B$16)/Inputs!$B$17,0)</f>
        <v>0</v>
      </c>
      <c r="AC19" s="33" t="n">
        <f aca="false">IF(Source_Data!AC$6=Inputs!$B$13,-Inputs!$B$7,0)+IF(AND(Source_Data!AC$6&gt;=$B$10,Source_Data!AC$6&lt;$B$10+3*Inputs!$B$17,MOD(Source_Data!AC$6-$B$10,3)=0),Inputs!$B$8*Inputs!$B$7*Inputs!$B$35*$B$5*(1-Inputs!$B$16)/Inputs!$B$17,0)</f>
        <v>0</v>
      </c>
      <c r="AD19" s="33" t="n">
        <f aca="false">IF(Source_Data!AD$6=Inputs!$B$13,-Inputs!$B$7,0)+IF(AND(Source_Data!AD$6&gt;=$B$10,Source_Data!AD$6&lt;$B$10+3*Inputs!$B$17,MOD(Source_Data!AD$6-$B$10,3)=0),Inputs!$B$8*Inputs!$B$7*Inputs!$B$35*$B$5*(1-Inputs!$B$16)/Inputs!$B$17,0)</f>
        <v>0</v>
      </c>
      <c r="AE19" s="33" t="n">
        <f aca="false">IF(Source_Data!AE$6=Inputs!$B$13,-Inputs!$B$7,0)+IF(AND(Source_Data!AE$6&gt;=$B$10,Source_Data!AE$6&lt;$B$10+3*Inputs!$B$17,MOD(Source_Data!AE$6-$B$10,3)=0),Inputs!$B$8*Inputs!$B$7*Inputs!$B$35*$B$5*(1-Inputs!$B$16)/Inputs!$B$17,0)</f>
        <v>0</v>
      </c>
      <c r="AF19" s="33" t="n">
        <f aca="false">IF(Source_Data!AF$6=Inputs!$B$13,-Inputs!$B$7,0)+IF(AND(Source_Data!AF$6&gt;=$B$10,Source_Data!AF$6&lt;$B$10+3*Inputs!$B$17,MOD(Source_Data!AF$6-$B$10,3)=0),Inputs!$B$8*Inputs!$B$7*Inputs!$B$35*$B$5*(1-Inputs!$B$16)/Inputs!$B$17,0)</f>
        <v>0</v>
      </c>
      <c r="AG19" s="33" t="n">
        <f aca="false">IF(Source_Data!AG$6=Inputs!$B$13,-Inputs!$B$7,0)+IF(AND(Source_Data!AG$6&gt;=$B$10,Source_Data!AG$6&lt;$B$10+3*Inputs!$B$17,MOD(Source_Data!AG$6-$B$10,3)=0),Inputs!$B$8*Inputs!$B$7*Inputs!$B$35*$B$5*(1-Inputs!$B$16)/Inputs!$B$17,0)</f>
        <v>0</v>
      </c>
      <c r="AH19" s="33" t="n">
        <f aca="false">IF(Source_Data!AH$6=Inputs!$B$13,-Inputs!$B$7,0)+IF(AND(Source_Data!AH$6&gt;=$B$10,Source_Data!AH$6&lt;$B$10+3*Inputs!$B$17,MOD(Source_Data!AH$6-$B$10,3)=0),Inputs!$B$8*Inputs!$B$7*Inputs!$B$35*$B$5*(1-Inputs!$B$16)/Inputs!$B$17,0)</f>
        <v>0</v>
      </c>
      <c r="AI19" s="33" t="n">
        <f aca="false">IF(Source_Data!AI$6=Inputs!$B$13,-Inputs!$B$7,0)+IF(AND(Source_Data!AI$6&gt;=$B$10,Source_Data!AI$6&lt;$B$10+3*Inputs!$B$17,MOD(Source_Data!AI$6-$B$10,3)=0),Inputs!$B$8*Inputs!$B$7*Inputs!$B$35*$B$5*(1-Inputs!$B$16)/Inputs!$B$17,0)</f>
        <v>0</v>
      </c>
      <c r="AJ19" s="33" t="n">
        <f aca="false">IF(Source_Data!AJ$6=Inputs!$B$13,-Inputs!$B$7,0)+IF(AND(Source_Data!AJ$6&gt;=$B$10,Source_Data!AJ$6&lt;$B$10+3*Inputs!$B$17,MOD(Source_Data!AJ$6-$B$10,3)=0),Inputs!$B$8*Inputs!$B$7*Inputs!$B$35*$B$5*(1-Inputs!$B$16)/Inputs!$B$17,0)</f>
        <v>0</v>
      </c>
      <c r="AK19" s="33" t="n">
        <f aca="false">IF(Source_Data!AK$6=Inputs!$B$13,-Inputs!$B$7,0)+IF(AND(Source_Data!AK$6&gt;=$B$10,Source_Data!AK$6&lt;$B$10+3*Inputs!$B$17,MOD(Source_Data!AK$6-$B$10,3)=0),Inputs!$B$8*Inputs!$B$7*Inputs!$B$35*$B$5*(1-Inputs!$B$16)/Inputs!$B$17,0)</f>
        <v>0</v>
      </c>
      <c r="AL19" s="33" t="n">
        <f aca="false">IF(Source_Data!AL$6=Inputs!$B$13,-Inputs!$B$7,0)+IF(AND(Source_Data!AL$6&gt;=$B$10,Source_Data!AL$6&lt;$B$10+3*Inputs!$B$17,MOD(Source_Data!AL$6-$B$10,3)=0),Inputs!$B$8*Inputs!$B$7*Inputs!$B$35*$B$5*(1-Inputs!$B$16)/Inputs!$B$17,0)</f>
        <v>0</v>
      </c>
      <c r="AM19" s="33" t="n">
        <f aca="false">IF(Source_Data!AM$6=Inputs!$B$13,-Inputs!$B$7,0)+IF(AND(Source_Data!AM$6&gt;=$B$10,Source_Data!AM$6&lt;$B$10+3*Inputs!$B$17,MOD(Source_Data!AM$6-$B$10,3)=0),Inputs!$B$8*Inputs!$B$7*Inputs!$B$35*$B$5*(1-Inputs!$B$16)/Inputs!$B$17,0)</f>
        <v>0</v>
      </c>
      <c r="AN19" s="33" t="n">
        <f aca="false">IF(Source_Data!AN$6=Inputs!$B$13,-Inputs!$B$7,0)+IF(AND(Source_Data!AN$6&gt;=$B$10,Source_Data!AN$6&lt;$B$10+3*Inputs!$B$17,MOD(Source_Data!AN$6-$B$10,3)=0),Inputs!$B$8*Inputs!$B$7*Inputs!$B$35*$B$5*(1-Inputs!$B$16)/Inputs!$B$17,0)</f>
        <v>0</v>
      </c>
      <c r="AO19" s="33" t="n">
        <f aca="false">IF(Source_Data!AO$6=Inputs!$B$13,-Inputs!$B$7,0)+IF(AND(Source_Data!AO$6&gt;=$B$10,Source_Data!AO$6&lt;$B$10+3*Inputs!$B$17,MOD(Source_Data!AO$6-$B$10,3)=0),Inputs!$B$8*Inputs!$B$7*Inputs!$B$35*$B$5*(1-Inputs!$B$16)/Inputs!$B$17,0)</f>
        <v>0</v>
      </c>
      <c r="AP19" s="33" t="n">
        <f aca="false">IF(Source_Data!AP$6=Inputs!$B$13,-Inputs!$B$7,0)+IF(AND(Source_Data!AP$6&gt;=$B$10,Source_Data!AP$6&lt;$B$10+3*Inputs!$B$17,MOD(Source_Data!AP$6-$B$10,3)=0),Inputs!$B$8*Inputs!$B$7*Inputs!$B$35*$B$5*(1-Inputs!$B$16)/Inputs!$B$17,0)</f>
        <v>0</v>
      </c>
      <c r="AQ19" s="33" t="n">
        <f aca="false">IF(Source_Data!AQ$6=Inputs!$B$13,-Inputs!$B$7,0)+IF(AND(Source_Data!AQ$6&gt;=$B$10,Source_Data!AQ$6&lt;$B$10+3*Inputs!$B$17,MOD(Source_Data!AQ$6-$B$10,3)=0),Inputs!$B$8*Inputs!$B$7*Inputs!$B$35*$B$5*(1-Inputs!$B$16)/Inputs!$B$17,0)</f>
        <v>0</v>
      </c>
      <c r="AR19" s="33" t="n">
        <f aca="false">IF(Source_Data!AR$6=Inputs!$B$13,-Inputs!$B$7,0)+IF(AND(Source_Data!AR$6&gt;=$B$10,Source_Data!AR$6&lt;$B$10+3*Inputs!$B$17,MOD(Source_Data!AR$6-$B$10,3)=0),Inputs!$B$8*Inputs!$B$7*Inputs!$B$35*$B$5*(1-Inputs!$B$16)/Inputs!$B$17,0)</f>
        <v>0</v>
      </c>
      <c r="AS19" s="33" t="n">
        <f aca="false">IF(Source_Data!AS$6=Inputs!$B$13,-Inputs!$B$7,0)+IF(AND(Source_Data!AS$6&gt;=$B$10,Source_Data!AS$6&lt;$B$10+3*Inputs!$B$17,MOD(Source_Data!AS$6-$B$10,3)=0),Inputs!$B$8*Inputs!$B$7*Inputs!$B$35*$B$5*(1-Inputs!$B$16)/Inputs!$B$17,0)</f>
        <v>0</v>
      </c>
      <c r="AT19" s="33" t="n">
        <f aca="false">IF(Source_Data!AT$6=Inputs!$B$13,-Inputs!$B$7,0)+IF(AND(Source_Data!AT$6&gt;=$B$10,Source_Data!AT$6&lt;$B$10+3*Inputs!$B$17,MOD(Source_Data!AT$6-$B$10,3)=0),Inputs!$B$8*Inputs!$B$7*Inputs!$B$35*$B$5*(1-Inputs!$B$16)/Inputs!$B$17,0)</f>
        <v>0</v>
      </c>
      <c r="AU19" s="33" t="n">
        <f aca="false">IF(Source_Data!AU$6=Inputs!$B$13,-Inputs!$B$7,0)+IF(AND(Source_Data!AU$6&gt;=$B$10,Source_Data!AU$6&lt;$B$10+3*Inputs!$B$17,MOD(Source_Data!AU$6-$B$10,3)=0),Inputs!$B$8*Inputs!$B$7*Inputs!$B$35*$B$5*(1-Inputs!$B$16)/Inputs!$B$17,0)</f>
        <v>0</v>
      </c>
      <c r="AV19" s="33" t="n">
        <f aca="false">IF(Source_Data!AV$6=Inputs!$B$13,-Inputs!$B$7,0)+IF(AND(Source_Data!AV$6&gt;=$B$10,Source_Data!AV$6&lt;$B$10+3*Inputs!$B$17,MOD(Source_Data!AV$6-$B$10,3)=0),Inputs!$B$8*Inputs!$B$7*Inputs!$B$35*$B$5*(1-Inputs!$B$16)/Inputs!$B$17,0)</f>
        <v>0</v>
      </c>
      <c r="AW19" s="33" t="n">
        <f aca="false">IF(Source_Data!AW$6=Inputs!$B$13,-Inputs!$B$7,0)+IF(AND(Source_Data!AW$6&gt;=$B$10,Source_Data!AW$6&lt;$B$10+3*Inputs!$B$17,MOD(Source_Data!AW$6-$B$10,3)=0),Inputs!$B$8*Inputs!$B$7*Inputs!$B$35*$B$5*(1-Inputs!$B$16)/Inputs!$B$17,0)</f>
        <v>0</v>
      </c>
      <c r="AX19" s="33" t="n">
        <f aca="false">IF(Source_Data!AX$6=Inputs!$B$13,-Inputs!$B$7,0)+IF(AND(Source_Data!AX$6&gt;=$B$10,Source_Data!AX$6&lt;$B$10+3*Inputs!$B$17,MOD(Source_Data!AX$6-$B$10,3)=0),Inputs!$B$8*Inputs!$B$7*Inputs!$B$35*$B$5*(1-Inputs!$B$16)/Inputs!$B$17,0)</f>
        <v>0</v>
      </c>
      <c r="AY19" s="33" t="n">
        <f aca="false">IF(Source_Data!AY$6=Inputs!$B$13,-Inputs!$B$7,0)+IF(AND(Source_Data!AY$6&gt;=$B$10,Source_Data!AY$6&lt;$B$10+3*Inputs!$B$17,MOD(Source_Data!AY$6-$B$10,3)=0),Inputs!$B$8*Inputs!$B$7*Inputs!$B$35*$B$5*(1-Inputs!$B$16)/Inputs!$B$17,0)</f>
        <v>0</v>
      </c>
      <c r="AZ19" s="33" t="n">
        <f aca="false">IF(Source_Data!AZ$6=Inputs!$B$13,-Inputs!$B$7,0)+IF(AND(Source_Data!AZ$6&gt;=$B$10,Source_Data!AZ$6&lt;$B$10+3*Inputs!$B$17,MOD(Source_Data!AZ$6-$B$10,3)=0),Inputs!$B$8*Inputs!$B$7*Inputs!$B$35*$B$5*(1-Inputs!$B$16)/Inputs!$B$17,0)</f>
        <v>0</v>
      </c>
      <c r="BA19" s="33" t="n">
        <f aca="false">IF(Source_Data!BA$6=Inputs!$B$13,-Inputs!$B$7,0)+IF(AND(Source_Data!BA$6&gt;=$B$10,Source_Data!BA$6&lt;$B$10+3*Inputs!$B$17,MOD(Source_Data!BA$6-$B$10,3)=0),Inputs!$B$8*Inputs!$B$7*Inputs!$B$35*$B$5*(1-Inputs!$B$16)/Inputs!$B$17,0)</f>
        <v>0</v>
      </c>
      <c r="BB19" s="33" t="n">
        <f aca="false">IF(Source_Data!BB$6=Inputs!$B$13,-Inputs!$B$7,0)+IF(AND(Source_Data!BB$6&gt;=$B$10,Source_Data!BB$6&lt;$B$10+3*Inputs!$B$17,MOD(Source_Data!BB$6-$B$10,3)=0),Inputs!$B$8*Inputs!$B$7*Inputs!$B$35*$B$5*(1-Inputs!$B$16)/Inputs!$B$17,0)</f>
        <v>0</v>
      </c>
      <c r="BC19" s="33" t="n">
        <f aca="false">IF(Source_Data!BC$6=Inputs!$B$13,-Inputs!$B$7,0)+IF(AND(Source_Data!BC$6&gt;=$B$10,Source_Data!BC$6&lt;$B$10+3*Inputs!$B$17,MOD(Source_Data!BC$6-$B$10,3)=0),Inputs!$B$8*Inputs!$B$7*Inputs!$B$35*$B$5*(1-Inputs!$B$16)/Inputs!$B$17,0)</f>
        <v>0</v>
      </c>
      <c r="BD19" s="33" t="n">
        <f aca="false">IF(Source_Data!BD$6=Inputs!$B$13,-Inputs!$B$7,0)+IF(AND(Source_Data!BD$6&gt;=$B$10,Source_Data!BD$6&lt;$B$10+3*Inputs!$B$17,MOD(Source_Data!BD$6-$B$10,3)=0),Inputs!$B$8*Inputs!$B$7*Inputs!$B$35*$B$5*(1-Inputs!$B$16)/Inputs!$B$17,0)</f>
        <v>0</v>
      </c>
      <c r="BE19" s="33" t="n">
        <f aca="false">IF(Source_Data!BE$6=Inputs!$B$13,-Inputs!$B$7,0)+IF(AND(Source_Data!BE$6&gt;=$B$10,Source_Data!BE$6&lt;$B$10+3*Inputs!$B$17,MOD(Source_Data!BE$6-$B$10,3)=0),Inputs!$B$8*Inputs!$B$7*Inputs!$B$35*$B$5*(1-Inputs!$B$16)/Inputs!$B$17,0)</f>
        <v>0</v>
      </c>
      <c r="BF19" s="33" t="n">
        <f aca="false">IF(Source_Data!BF$6=Inputs!$B$13,-Inputs!$B$7,0)+IF(AND(Source_Data!BF$6&gt;=$B$10,Source_Data!BF$6&lt;$B$10+3*Inputs!$B$17,MOD(Source_Data!BF$6-$B$10,3)=0),Inputs!$B$8*Inputs!$B$7*Inputs!$B$35*$B$5*(1-Inputs!$B$16)/Inputs!$B$17,0)</f>
        <v>0</v>
      </c>
      <c r="BG19" s="33" t="n">
        <f aca="false">IF(Source_Data!BG$6=Inputs!$B$13,-Inputs!$B$7,0)+IF(AND(Source_Data!BG$6&gt;=$B$10,Source_Data!BG$6&lt;$B$10+3*Inputs!$B$17,MOD(Source_Data!BG$6-$B$10,3)=0),Inputs!$B$8*Inputs!$B$7*Inputs!$B$35*$B$5*(1-Inputs!$B$16)/Inputs!$B$17,0)</f>
        <v>0</v>
      </c>
      <c r="BH19" s="33" t="n">
        <f aca="false">IF(Source_Data!BH$6=Inputs!$B$13,-Inputs!$B$7,0)+IF(AND(Source_Data!BH$6&gt;=$B$10,Source_Data!BH$6&lt;$B$10+3*Inputs!$B$17,MOD(Source_Data!BH$6-$B$10,3)=0),Inputs!$B$8*Inputs!$B$7*Inputs!$B$35*$B$5*(1-Inputs!$B$16)/Inputs!$B$17,0)</f>
        <v>0</v>
      </c>
      <c r="BI19" s="33" t="n">
        <f aca="false">IF(Source_Data!BI$6=Inputs!$B$13,-Inputs!$B$7,0)+IF(AND(Source_Data!BI$6&gt;=$B$10,Source_Data!BI$6&lt;$B$10+3*Inputs!$B$17,MOD(Source_Data!BI$6-$B$10,3)=0),Inputs!$B$8*Inputs!$B$7*Inputs!$B$35*$B$5*(1-Inputs!$B$16)/Inputs!$B$17,0)</f>
        <v>0</v>
      </c>
      <c r="BJ19" s="33" t="n">
        <f aca="false">IF(Source_Data!BJ$6=Inputs!$B$13,-Inputs!$B$7,0)+IF(AND(Source_Data!BJ$6&gt;=$B$10,Source_Data!BJ$6&lt;$B$10+3*Inputs!$B$17,MOD(Source_Data!BJ$6-$B$10,3)=0),Inputs!$B$8*Inputs!$B$7*Inputs!$B$35*$B$5*(1-Inputs!$B$16)/Inputs!$B$17,0)</f>
        <v>0</v>
      </c>
      <c r="BK19" s="33" t="n">
        <f aca="false">IF(Source_Data!BK$6=Inputs!$B$13,-Inputs!$B$7,0)+IF(AND(Source_Data!BK$6&gt;=$B$10,Source_Data!BK$6&lt;$B$10+3*Inputs!$B$17,MOD(Source_Data!BK$6-$B$10,3)=0),Inputs!$B$8*Inputs!$B$7*Inputs!$B$35*$B$5*(1-Inputs!$B$16)/Inputs!$B$17,0)</f>
        <v>0</v>
      </c>
    </row>
    <row r="20" customFormat="false" ht="15" hidden="false" customHeight="false" outlineLevel="0" collapsed="false">
      <c r="A20" s="3" t="s">
        <v>342</v>
      </c>
      <c r="D20" s="33" t="n">
        <f aca="false">IF(AND(Source_Data!D$6&gt;=Inputs!$B$55,Source_Data!D$6&lt;Inputs!$B$55+3*Inputs!$B$11),Inputs!$B$9*Inputs!$B$7/Inputs!$B$11,0)</f>
        <v>0</v>
      </c>
      <c r="E20" s="33" t="n">
        <f aca="false">IF(AND(Source_Data!E$6&gt;=Inputs!$B$55,Source_Data!E$6&lt;Inputs!$B$55+3*Inputs!$B$11),Inputs!$B$9*Inputs!$B$7/Inputs!$B$11,0)</f>
        <v>0</v>
      </c>
      <c r="F20" s="33" t="n">
        <f aca="false">IF(AND(Source_Data!F$6&gt;=Inputs!$B$55,Source_Data!F$6&lt;Inputs!$B$55+3*Inputs!$B$11),Inputs!$B$9*Inputs!$B$7/Inputs!$B$11,0)</f>
        <v>0</v>
      </c>
      <c r="G20" s="33" t="n">
        <f aca="false">IF(AND(Source_Data!G$6&gt;=Inputs!$B$55,Source_Data!G$6&lt;Inputs!$B$55+3*Inputs!$B$11),Inputs!$B$9*Inputs!$B$7/Inputs!$B$11,0)</f>
        <v>0</v>
      </c>
      <c r="H20" s="33" t="n">
        <f aca="false">IF(AND(Source_Data!H$6&gt;=Inputs!$B$55,Source_Data!H$6&lt;Inputs!$B$55+3*Inputs!$B$11),Inputs!$B$9*Inputs!$B$7/Inputs!$B$11,0)</f>
        <v>0</v>
      </c>
      <c r="I20" s="33" t="n">
        <f aca="false">IF(AND(Source_Data!I$6&gt;=Inputs!$B$55,Source_Data!I$6&lt;Inputs!$B$55+3*Inputs!$B$11),Inputs!$B$9*Inputs!$B$7/Inputs!$B$11,0)</f>
        <v>0</v>
      </c>
      <c r="J20" s="33" t="n">
        <f aca="false">IF(AND(Source_Data!J$6&gt;=Inputs!$B$55,Source_Data!J$6&lt;Inputs!$B$55+3*Inputs!$B$11),Inputs!$B$9*Inputs!$B$7/Inputs!$B$11,0)</f>
        <v>0</v>
      </c>
      <c r="K20" s="33" t="n">
        <f aca="false">IF(AND(Source_Data!K$6&gt;=Inputs!$B$55,Source_Data!K$6&lt;Inputs!$B$55+3*Inputs!$B$11),Inputs!$B$9*Inputs!$B$7/Inputs!$B$11,0)</f>
        <v>0</v>
      </c>
      <c r="L20" s="33" t="n">
        <f aca="false">IF(AND(Source_Data!L$6&gt;=Inputs!$B$55,Source_Data!L$6&lt;Inputs!$B$55+3*Inputs!$B$11),Inputs!$B$9*Inputs!$B$7/Inputs!$B$11,0)</f>
        <v>0</v>
      </c>
      <c r="M20" s="33" t="n">
        <f aca="false">IF(AND(Source_Data!M$6&gt;=Inputs!$B$55,Source_Data!M$6&lt;Inputs!$B$55+3*Inputs!$B$11),Inputs!$B$9*Inputs!$B$7/Inputs!$B$11,0)</f>
        <v>14.375</v>
      </c>
      <c r="N20" s="33" t="n">
        <f aca="false">IF(AND(Source_Data!N$6&gt;=Inputs!$B$55,Source_Data!N$6&lt;Inputs!$B$55+3*Inputs!$B$11),Inputs!$B$9*Inputs!$B$7/Inputs!$B$11,0)</f>
        <v>14.375</v>
      </c>
      <c r="O20" s="33" t="n">
        <f aca="false">IF(AND(Source_Data!O$6&gt;=Inputs!$B$55,Source_Data!O$6&lt;Inputs!$B$55+3*Inputs!$B$11),Inputs!$B$9*Inputs!$B$7/Inputs!$B$11,0)</f>
        <v>14.375</v>
      </c>
      <c r="P20" s="33" t="n">
        <f aca="false">IF(AND(Source_Data!P$6&gt;=Inputs!$B$55,Source_Data!P$6&lt;Inputs!$B$55+3*Inputs!$B$11),Inputs!$B$9*Inputs!$B$7/Inputs!$B$11,0)</f>
        <v>14.375</v>
      </c>
      <c r="Q20" s="33" t="n">
        <f aca="false">IF(AND(Source_Data!Q$6&gt;=Inputs!$B$55,Source_Data!Q$6&lt;Inputs!$B$55+3*Inputs!$B$11),Inputs!$B$9*Inputs!$B$7/Inputs!$B$11,0)</f>
        <v>14.375</v>
      </c>
      <c r="R20" s="33" t="n">
        <f aca="false">IF(AND(Source_Data!R$6&gt;=Inputs!$B$55,Source_Data!R$6&lt;Inputs!$B$55+3*Inputs!$B$11),Inputs!$B$9*Inputs!$B$7/Inputs!$B$11,0)</f>
        <v>14.375</v>
      </c>
      <c r="S20" s="33" t="n">
        <f aca="false">IF(AND(Source_Data!S$6&gt;=Inputs!$B$55,Source_Data!S$6&lt;Inputs!$B$55+3*Inputs!$B$11),Inputs!$B$9*Inputs!$B$7/Inputs!$B$11,0)</f>
        <v>14.375</v>
      </c>
      <c r="T20" s="33" t="n">
        <f aca="false">IF(AND(Source_Data!T$6&gt;=Inputs!$B$55,Source_Data!T$6&lt;Inputs!$B$55+3*Inputs!$B$11),Inputs!$B$9*Inputs!$B$7/Inputs!$B$11,0)</f>
        <v>14.375</v>
      </c>
      <c r="U20" s="33" t="n">
        <f aca="false">IF(AND(Source_Data!U$6&gt;=Inputs!$B$55,Source_Data!U$6&lt;Inputs!$B$55+3*Inputs!$B$11),Inputs!$B$9*Inputs!$B$7/Inputs!$B$11,0)</f>
        <v>14.375</v>
      </c>
      <c r="V20" s="33" t="n">
        <f aca="false">IF(AND(Source_Data!V$6&gt;=Inputs!$B$55,Source_Data!V$6&lt;Inputs!$B$55+3*Inputs!$B$11),Inputs!$B$9*Inputs!$B$7/Inputs!$B$11,0)</f>
        <v>14.375</v>
      </c>
      <c r="W20" s="33" t="n">
        <f aca="false">IF(AND(Source_Data!W$6&gt;=Inputs!$B$55,Source_Data!W$6&lt;Inputs!$B$55+3*Inputs!$B$11),Inputs!$B$9*Inputs!$B$7/Inputs!$B$11,0)</f>
        <v>14.375</v>
      </c>
      <c r="X20" s="33" t="n">
        <f aca="false">IF(AND(Source_Data!X$6&gt;=Inputs!$B$55,Source_Data!X$6&lt;Inputs!$B$55+3*Inputs!$B$11),Inputs!$B$9*Inputs!$B$7/Inputs!$B$11,0)</f>
        <v>14.375</v>
      </c>
      <c r="Y20" s="33" t="n">
        <f aca="false">IF(AND(Source_Data!Y$6&gt;=Inputs!$B$55,Source_Data!Y$6&lt;Inputs!$B$55+3*Inputs!$B$11),Inputs!$B$9*Inputs!$B$7/Inputs!$B$11,0)</f>
        <v>0</v>
      </c>
      <c r="Z20" s="33" t="n">
        <f aca="false">IF(AND(Source_Data!Z$6&gt;=Inputs!$B$55,Source_Data!Z$6&lt;Inputs!$B$55+3*Inputs!$B$11),Inputs!$B$9*Inputs!$B$7/Inputs!$B$11,0)</f>
        <v>0</v>
      </c>
      <c r="AA20" s="33" t="n">
        <f aca="false">IF(AND(Source_Data!AA$6&gt;=Inputs!$B$55,Source_Data!AA$6&lt;Inputs!$B$55+3*Inputs!$B$11),Inputs!$B$9*Inputs!$B$7/Inputs!$B$11,0)</f>
        <v>0</v>
      </c>
      <c r="AB20" s="33" t="n">
        <f aca="false">IF(AND(Source_Data!AB$6&gt;=Inputs!$B$55,Source_Data!AB$6&lt;Inputs!$B$55+3*Inputs!$B$11),Inputs!$B$9*Inputs!$B$7/Inputs!$B$11,0)</f>
        <v>0</v>
      </c>
      <c r="AC20" s="33" t="n">
        <f aca="false">IF(AND(Source_Data!AC$6&gt;=Inputs!$B$55,Source_Data!AC$6&lt;Inputs!$B$55+3*Inputs!$B$11),Inputs!$B$9*Inputs!$B$7/Inputs!$B$11,0)</f>
        <v>0</v>
      </c>
      <c r="AD20" s="33" t="n">
        <f aca="false">IF(AND(Source_Data!AD$6&gt;=Inputs!$B$55,Source_Data!AD$6&lt;Inputs!$B$55+3*Inputs!$B$11),Inputs!$B$9*Inputs!$B$7/Inputs!$B$11,0)</f>
        <v>0</v>
      </c>
      <c r="AE20" s="33" t="n">
        <f aca="false">IF(AND(Source_Data!AE$6&gt;=Inputs!$B$55,Source_Data!AE$6&lt;Inputs!$B$55+3*Inputs!$B$11),Inputs!$B$9*Inputs!$B$7/Inputs!$B$11,0)</f>
        <v>0</v>
      </c>
      <c r="AF20" s="33" t="n">
        <f aca="false">IF(AND(Source_Data!AF$6&gt;=Inputs!$B$55,Source_Data!AF$6&lt;Inputs!$B$55+3*Inputs!$B$11),Inputs!$B$9*Inputs!$B$7/Inputs!$B$11,0)</f>
        <v>0</v>
      </c>
      <c r="AG20" s="33" t="n">
        <f aca="false">IF(AND(Source_Data!AG$6&gt;=Inputs!$B$55,Source_Data!AG$6&lt;Inputs!$B$55+3*Inputs!$B$11),Inputs!$B$9*Inputs!$B$7/Inputs!$B$11,0)</f>
        <v>0</v>
      </c>
      <c r="AH20" s="33" t="n">
        <f aca="false">IF(AND(Source_Data!AH$6&gt;=Inputs!$B$55,Source_Data!AH$6&lt;Inputs!$B$55+3*Inputs!$B$11),Inputs!$B$9*Inputs!$B$7/Inputs!$B$11,0)</f>
        <v>0</v>
      </c>
      <c r="AI20" s="33" t="n">
        <f aca="false">IF(AND(Source_Data!AI$6&gt;=Inputs!$B$55,Source_Data!AI$6&lt;Inputs!$B$55+3*Inputs!$B$11),Inputs!$B$9*Inputs!$B$7/Inputs!$B$11,0)</f>
        <v>0</v>
      </c>
      <c r="AJ20" s="33" t="n">
        <f aca="false">IF(AND(Source_Data!AJ$6&gt;=Inputs!$B$55,Source_Data!AJ$6&lt;Inputs!$B$55+3*Inputs!$B$11),Inputs!$B$9*Inputs!$B$7/Inputs!$B$11,0)</f>
        <v>0</v>
      </c>
      <c r="AK20" s="33" t="n">
        <f aca="false">IF(AND(Source_Data!AK$6&gt;=Inputs!$B$55,Source_Data!AK$6&lt;Inputs!$B$55+3*Inputs!$B$11),Inputs!$B$9*Inputs!$B$7/Inputs!$B$11,0)</f>
        <v>0</v>
      </c>
      <c r="AL20" s="33" t="n">
        <f aca="false">IF(AND(Source_Data!AL$6&gt;=Inputs!$B$55,Source_Data!AL$6&lt;Inputs!$B$55+3*Inputs!$B$11),Inputs!$B$9*Inputs!$B$7/Inputs!$B$11,0)</f>
        <v>0</v>
      </c>
      <c r="AM20" s="33" t="n">
        <f aca="false">IF(AND(Source_Data!AM$6&gt;=Inputs!$B$55,Source_Data!AM$6&lt;Inputs!$B$55+3*Inputs!$B$11),Inputs!$B$9*Inputs!$B$7/Inputs!$B$11,0)</f>
        <v>0</v>
      </c>
      <c r="AN20" s="33" t="n">
        <f aca="false">IF(AND(Source_Data!AN$6&gt;=Inputs!$B$55,Source_Data!AN$6&lt;Inputs!$B$55+3*Inputs!$B$11),Inputs!$B$9*Inputs!$B$7/Inputs!$B$11,0)</f>
        <v>0</v>
      </c>
      <c r="AO20" s="33" t="n">
        <f aca="false">IF(AND(Source_Data!AO$6&gt;=Inputs!$B$55,Source_Data!AO$6&lt;Inputs!$B$55+3*Inputs!$B$11),Inputs!$B$9*Inputs!$B$7/Inputs!$B$11,0)</f>
        <v>0</v>
      </c>
      <c r="AP20" s="33" t="n">
        <f aca="false">IF(AND(Source_Data!AP$6&gt;=Inputs!$B$55,Source_Data!AP$6&lt;Inputs!$B$55+3*Inputs!$B$11),Inputs!$B$9*Inputs!$B$7/Inputs!$B$11,0)</f>
        <v>0</v>
      </c>
      <c r="AQ20" s="33" t="n">
        <f aca="false">IF(AND(Source_Data!AQ$6&gt;=Inputs!$B$55,Source_Data!AQ$6&lt;Inputs!$B$55+3*Inputs!$B$11),Inputs!$B$9*Inputs!$B$7/Inputs!$B$11,0)</f>
        <v>0</v>
      </c>
      <c r="AR20" s="33" t="n">
        <f aca="false">IF(AND(Source_Data!AR$6&gt;=Inputs!$B$55,Source_Data!AR$6&lt;Inputs!$B$55+3*Inputs!$B$11),Inputs!$B$9*Inputs!$B$7/Inputs!$B$11,0)</f>
        <v>0</v>
      </c>
      <c r="AS20" s="33" t="n">
        <f aca="false">IF(AND(Source_Data!AS$6&gt;=Inputs!$B$55,Source_Data!AS$6&lt;Inputs!$B$55+3*Inputs!$B$11),Inputs!$B$9*Inputs!$B$7/Inputs!$B$11,0)</f>
        <v>0</v>
      </c>
      <c r="AT20" s="33" t="n">
        <f aca="false">IF(AND(Source_Data!AT$6&gt;=Inputs!$B$55,Source_Data!AT$6&lt;Inputs!$B$55+3*Inputs!$B$11),Inputs!$B$9*Inputs!$B$7/Inputs!$B$11,0)</f>
        <v>0</v>
      </c>
      <c r="AU20" s="33" t="n">
        <f aca="false">IF(AND(Source_Data!AU$6&gt;=Inputs!$B$55,Source_Data!AU$6&lt;Inputs!$B$55+3*Inputs!$B$11),Inputs!$B$9*Inputs!$B$7/Inputs!$B$11,0)</f>
        <v>0</v>
      </c>
      <c r="AV20" s="33" t="n">
        <f aca="false">IF(AND(Source_Data!AV$6&gt;=Inputs!$B$55,Source_Data!AV$6&lt;Inputs!$B$55+3*Inputs!$B$11),Inputs!$B$9*Inputs!$B$7/Inputs!$B$11,0)</f>
        <v>0</v>
      </c>
      <c r="AW20" s="33" t="n">
        <f aca="false">IF(AND(Source_Data!AW$6&gt;=Inputs!$B$55,Source_Data!AW$6&lt;Inputs!$B$55+3*Inputs!$B$11),Inputs!$B$9*Inputs!$B$7/Inputs!$B$11,0)</f>
        <v>0</v>
      </c>
      <c r="AX20" s="33" t="n">
        <f aca="false">IF(AND(Source_Data!AX$6&gt;=Inputs!$B$55,Source_Data!AX$6&lt;Inputs!$B$55+3*Inputs!$B$11),Inputs!$B$9*Inputs!$B$7/Inputs!$B$11,0)</f>
        <v>0</v>
      </c>
      <c r="AY20" s="33" t="n">
        <f aca="false">IF(AND(Source_Data!AY$6&gt;=Inputs!$B$55,Source_Data!AY$6&lt;Inputs!$B$55+3*Inputs!$B$11),Inputs!$B$9*Inputs!$B$7/Inputs!$B$11,0)</f>
        <v>0</v>
      </c>
      <c r="AZ20" s="33" t="n">
        <f aca="false">IF(AND(Source_Data!AZ$6&gt;=Inputs!$B$55,Source_Data!AZ$6&lt;Inputs!$B$55+3*Inputs!$B$11),Inputs!$B$9*Inputs!$B$7/Inputs!$B$11,0)</f>
        <v>0</v>
      </c>
      <c r="BA20" s="33" t="n">
        <f aca="false">IF(AND(Source_Data!BA$6&gt;=Inputs!$B$55,Source_Data!BA$6&lt;Inputs!$B$55+3*Inputs!$B$11),Inputs!$B$9*Inputs!$B$7/Inputs!$B$11,0)</f>
        <v>0</v>
      </c>
      <c r="BB20" s="33" t="n">
        <f aca="false">IF(AND(Source_Data!BB$6&gt;=Inputs!$B$55,Source_Data!BB$6&lt;Inputs!$B$55+3*Inputs!$B$11),Inputs!$B$9*Inputs!$B$7/Inputs!$B$11,0)</f>
        <v>0</v>
      </c>
      <c r="BC20" s="33" t="n">
        <f aca="false">IF(AND(Source_Data!BC$6&gt;=Inputs!$B$55,Source_Data!BC$6&lt;Inputs!$B$55+3*Inputs!$B$11),Inputs!$B$9*Inputs!$B$7/Inputs!$B$11,0)</f>
        <v>0</v>
      </c>
      <c r="BD20" s="33" t="n">
        <f aca="false">IF(AND(Source_Data!BD$6&gt;=Inputs!$B$55,Source_Data!BD$6&lt;Inputs!$B$55+3*Inputs!$B$11),Inputs!$B$9*Inputs!$B$7/Inputs!$B$11,0)</f>
        <v>0</v>
      </c>
      <c r="BE20" s="33" t="n">
        <f aca="false">IF(AND(Source_Data!BE$6&gt;=Inputs!$B$55,Source_Data!BE$6&lt;Inputs!$B$55+3*Inputs!$B$11),Inputs!$B$9*Inputs!$B$7/Inputs!$B$11,0)</f>
        <v>0</v>
      </c>
      <c r="BF20" s="33" t="n">
        <f aca="false">IF(AND(Source_Data!BF$6&gt;=Inputs!$B$55,Source_Data!BF$6&lt;Inputs!$B$55+3*Inputs!$B$11),Inputs!$B$9*Inputs!$B$7/Inputs!$B$11,0)</f>
        <v>0</v>
      </c>
      <c r="BG20" s="33" t="n">
        <f aca="false">IF(AND(Source_Data!BG$6&gt;=Inputs!$B$55,Source_Data!BG$6&lt;Inputs!$B$55+3*Inputs!$B$11),Inputs!$B$9*Inputs!$B$7/Inputs!$B$11,0)</f>
        <v>0</v>
      </c>
      <c r="BH20" s="33" t="n">
        <f aca="false">IF(AND(Source_Data!BH$6&gt;=Inputs!$B$55,Source_Data!BH$6&lt;Inputs!$B$55+3*Inputs!$B$11),Inputs!$B$9*Inputs!$B$7/Inputs!$B$11,0)</f>
        <v>0</v>
      </c>
      <c r="BI20" s="33" t="n">
        <f aca="false">IF(AND(Source_Data!BI$6&gt;=Inputs!$B$55,Source_Data!BI$6&lt;Inputs!$B$55+3*Inputs!$B$11),Inputs!$B$9*Inputs!$B$7/Inputs!$B$11,0)</f>
        <v>0</v>
      </c>
      <c r="BJ20" s="33" t="n">
        <f aca="false">IF(AND(Source_Data!BJ$6&gt;=Inputs!$B$55,Source_Data!BJ$6&lt;Inputs!$B$55+3*Inputs!$B$11),Inputs!$B$9*Inputs!$B$7/Inputs!$B$11,0)</f>
        <v>0</v>
      </c>
      <c r="BK20" s="33" t="n">
        <f aca="false">IF(AND(Source_Data!BK$6&gt;=Inputs!$B$55,Source_Data!BK$6&lt;Inputs!$B$55+3*Inputs!$B$11),Inputs!$B$9*Inputs!$B$7/Inputs!$B$11,0)</f>
        <v>0</v>
      </c>
    </row>
    <row r="21" customFormat="false" ht="15" hidden="false" customHeight="false" outlineLevel="0" collapsed="false">
      <c r="A21" s="3" t="s">
        <v>343</v>
      </c>
      <c r="D21" s="33" t="n">
        <f aca="false">IF(Source_Data!D$6=Inputs!$B$13,-Inputs!$B$7,0)+D20</f>
        <v>-75</v>
      </c>
      <c r="E21" s="33" t="n">
        <f aca="false">IF(Source_Data!E$6=Inputs!$B$13,-Inputs!$B$7,0)+E20</f>
        <v>0</v>
      </c>
      <c r="F21" s="33" t="n">
        <f aca="false">IF(Source_Data!F$6=Inputs!$B$13,-Inputs!$B$7,0)+F20</f>
        <v>0</v>
      </c>
      <c r="G21" s="33" t="n">
        <f aca="false">IF(Source_Data!G$6=Inputs!$B$13,-Inputs!$B$7,0)+G20</f>
        <v>0</v>
      </c>
      <c r="H21" s="33" t="n">
        <f aca="false">IF(Source_Data!H$6=Inputs!$B$13,-Inputs!$B$7,0)+H20</f>
        <v>0</v>
      </c>
      <c r="I21" s="33" t="n">
        <f aca="false">IF(Source_Data!I$6=Inputs!$B$13,-Inputs!$B$7,0)+I20</f>
        <v>0</v>
      </c>
      <c r="J21" s="33" t="n">
        <f aca="false">IF(Source_Data!J$6=Inputs!$B$13,-Inputs!$B$7,0)+J20</f>
        <v>0</v>
      </c>
      <c r="K21" s="33" t="n">
        <f aca="false">IF(Source_Data!K$6=Inputs!$B$13,-Inputs!$B$7,0)+K20</f>
        <v>0</v>
      </c>
      <c r="L21" s="33" t="n">
        <f aca="false">IF(Source_Data!L$6=Inputs!$B$13,-Inputs!$B$7,0)+L20</f>
        <v>0</v>
      </c>
      <c r="M21" s="33" t="n">
        <f aca="false">IF(Source_Data!M$6=Inputs!$B$13,-Inputs!$B$7,0)+M20</f>
        <v>14.375</v>
      </c>
      <c r="N21" s="33" t="n">
        <f aca="false">IF(Source_Data!N$6=Inputs!$B$13,-Inputs!$B$7,0)+N20</f>
        <v>14.375</v>
      </c>
      <c r="O21" s="33" t="n">
        <f aca="false">IF(Source_Data!O$6=Inputs!$B$13,-Inputs!$B$7,0)+O20</f>
        <v>14.375</v>
      </c>
      <c r="P21" s="33" t="n">
        <f aca="false">IF(Source_Data!P$6=Inputs!$B$13,-Inputs!$B$7,0)+P20</f>
        <v>14.375</v>
      </c>
      <c r="Q21" s="33" t="n">
        <f aca="false">IF(Source_Data!Q$6=Inputs!$B$13,-Inputs!$B$7,0)+Q20</f>
        <v>14.375</v>
      </c>
      <c r="R21" s="33" t="n">
        <f aca="false">IF(Source_Data!R$6=Inputs!$B$13,-Inputs!$B$7,0)+R20</f>
        <v>14.375</v>
      </c>
      <c r="S21" s="33" t="n">
        <f aca="false">IF(Source_Data!S$6=Inputs!$B$13,-Inputs!$B$7,0)+S20</f>
        <v>14.375</v>
      </c>
      <c r="T21" s="33" t="n">
        <f aca="false">IF(Source_Data!T$6=Inputs!$B$13,-Inputs!$B$7,0)+T20</f>
        <v>14.375</v>
      </c>
      <c r="U21" s="33" t="n">
        <f aca="false">IF(Source_Data!U$6=Inputs!$B$13,-Inputs!$B$7,0)+U20</f>
        <v>14.375</v>
      </c>
      <c r="V21" s="33" t="n">
        <f aca="false">IF(Source_Data!V$6=Inputs!$B$13,-Inputs!$B$7,0)+V20</f>
        <v>14.375</v>
      </c>
      <c r="W21" s="33" t="n">
        <f aca="false">IF(Source_Data!W$6=Inputs!$B$13,-Inputs!$B$7,0)+W20</f>
        <v>14.375</v>
      </c>
      <c r="X21" s="33" t="n">
        <f aca="false">IF(Source_Data!X$6=Inputs!$B$13,-Inputs!$B$7,0)+X20</f>
        <v>14.375</v>
      </c>
      <c r="Y21" s="33" t="n">
        <f aca="false">IF(Source_Data!Y$6=Inputs!$B$13,-Inputs!$B$7,0)+Y20</f>
        <v>0</v>
      </c>
      <c r="Z21" s="33" t="n">
        <f aca="false">IF(Source_Data!Z$6=Inputs!$B$13,-Inputs!$B$7,0)+Z20</f>
        <v>0</v>
      </c>
      <c r="AA21" s="33" t="n">
        <f aca="false">IF(Source_Data!AA$6=Inputs!$B$13,-Inputs!$B$7,0)+AA20</f>
        <v>0</v>
      </c>
      <c r="AB21" s="33" t="n">
        <f aca="false">IF(Source_Data!AB$6=Inputs!$B$13,-Inputs!$B$7,0)+AB20</f>
        <v>0</v>
      </c>
      <c r="AC21" s="33" t="n">
        <f aca="false">IF(Source_Data!AC$6=Inputs!$B$13,-Inputs!$B$7,0)+AC20</f>
        <v>0</v>
      </c>
      <c r="AD21" s="33" t="n">
        <f aca="false">IF(Source_Data!AD$6=Inputs!$B$13,-Inputs!$B$7,0)+AD20</f>
        <v>0</v>
      </c>
      <c r="AE21" s="33" t="n">
        <f aca="false">IF(Source_Data!AE$6=Inputs!$B$13,-Inputs!$B$7,0)+AE20</f>
        <v>0</v>
      </c>
      <c r="AF21" s="33" t="n">
        <f aca="false">IF(Source_Data!AF$6=Inputs!$B$13,-Inputs!$B$7,0)+AF20</f>
        <v>0</v>
      </c>
      <c r="AG21" s="33" t="n">
        <f aca="false">IF(Source_Data!AG$6=Inputs!$B$13,-Inputs!$B$7,0)+AG20</f>
        <v>0</v>
      </c>
      <c r="AH21" s="33" t="n">
        <f aca="false">IF(Source_Data!AH$6=Inputs!$B$13,-Inputs!$B$7,0)+AH20</f>
        <v>0</v>
      </c>
      <c r="AI21" s="33" t="n">
        <f aca="false">IF(Source_Data!AI$6=Inputs!$B$13,-Inputs!$B$7,0)+AI20</f>
        <v>0</v>
      </c>
      <c r="AJ21" s="33" t="n">
        <f aca="false">IF(Source_Data!AJ$6=Inputs!$B$13,-Inputs!$B$7,0)+AJ20</f>
        <v>0</v>
      </c>
      <c r="AK21" s="33" t="n">
        <f aca="false">IF(Source_Data!AK$6=Inputs!$B$13,-Inputs!$B$7,0)+AK20</f>
        <v>0</v>
      </c>
      <c r="AL21" s="33" t="n">
        <f aca="false">IF(Source_Data!AL$6=Inputs!$B$13,-Inputs!$B$7,0)+AL20</f>
        <v>0</v>
      </c>
      <c r="AM21" s="33" t="n">
        <f aca="false">IF(Source_Data!AM$6=Inputs!$B$13,-Inputs!$B$7,0)+AM20</f>
        <v>0</v>
      </c>
      <c r="AN21" s="33" t="n">
        <f aca="false">IF(Source_Data!AN$6=Inputs!$B$13,-Inputs!$B$7,0)+AN20</f>
        <v>0</v>
      </c>
      <c r="AO21" s="33" t="n">
        <f aca="false">IF(Source_Data!AO$6=Inputs!$B$13,-Inputs!$B$7,0)+AO20</f>
        <v>0</v>
      </c>
      <c r="AP21" s="33" t="n">
        <f aca="false">IF(Source_Data!AP$6=Inputs!$B$13,-Inputs!$B$7,0)+AP20</f>
        <v>0</v>
      </c>
      <c r="AQ21" s="33" t="n">
        <f aca="false">IF(Source_Data!AQ$6=Inputs!$B$13,-Inputs!$B$7,0)+AQ20</f>
        <v>0</v>
      </c>
      <c r="AR21" s="33" t="n">
        <f aca="false">IF(Source_Data!AR$6=Inputs!$B$13,-Inputs!$B$7,0)+AR20</f>
        <v>0</v>
      </c>
      <c r="AS21" s="33" t="n">
        <f aca="false">IF(Source_Data!AS$6=Inputs!$B$13,-Inputs!$B$7,0)+AS20</f>
        <v>0</v>
      </c>
      <c r="AT21" s="33" t="n">
        <f aca="false">IF(Source_Data!AT$6=Inputs!$B$13,-Inputs!$B$7,0)+AT20</f>
        <v>0</v>
      </c>
      <c r="AU21" s="33" t="n">
        <f aca="false">IF(Source_Data!AU$6=Inputs!$B$13,-Inputs!$B$7,0)+AU20</f>
        <v>0</v>
      </c>
      <c r="AV21" s="33" t="n">
        <f aca="false">IF(Source_Data!AV$6=Inputs!$B$13,-Inputs!$B$7,0)+AV20</f>
        <v>0</v>
      </c>
      <c r="AW21" s="33" t="n">
        <f aca="false">IF(Source_Data!AW$6=Inputs!$B$13,-Inputs!$B$7,0)+AW20</f>
        <v>0</v>
      </c>
      <c r="AX21" s="33" t="n">
        <f aca="false">IF(Source_Data!AX$6=Inputs!$B$13,-Inputs!$B$7,0)+AX20</f>
        <v>0</v>
      </c>
      <c r="AY21" s="33" t="n">
        <f aca="false">IF(Source_Data!AY$6=Inputs!$B$13,-Inputs!$B$7,0)+AY20</f>
        <v>0</v>
      </c>
      <c r="AZ21" s="33" t="n">
        <f aca="false">IF(Source_Data!AZ$6=Inputs!$B$13,-Inputs!$B$7,0)+AZ20</f>
        <v>0</v>
      </c>
      <c r="BA21" s="33" t="n">
        <f aca="false">IF(Source_Data!BA$6=Inputs!$B$13,-Inputs!$B$7,0)+BA20</f>
        <v>0</v>
      </c>
      <c r="BB21" s="33" t="n">
        <f aca="false">IF(Source_Data!BB$6=Inputs!$B$13,-Inputs!$B$7,0)+BB20</f>
        <v>0</v>
      </c>
      <c r="BC21" s="33" t="n">
        <f aca="false">IF(Source_Data!BC$6=Inputs!$B$13,-Inputs!$B$7,0)+BC20</f>
        <v>0</v>
      </c>
      <c r="BD21" s="33" t="n">
        <f aca="false">IF(Source_Data!BD$6=Inputs!$B$13,-Inputs!$B$7,0)+BD20</f>
        <v>0</v>
      </c>
      <c r="BE21" s="33" t="n">
        <f aca="false">IF(Source_Data!BE$6=Inputs!$B$13,-Inputs!$B$7,0)+BE20</f>
        <v>0</v>
      </c>
      <c r="BF21" s="33" t="n">
        <f aca="false">IF(Source_Data!BF$6=Inputs!$B$13,-Inputs!$B$7,0)+BF20</f>
        <v>0</v>
      </c>
      <c r="BG21" s="33" t="n">
        <f aca="false">IF(Source_Data!BG$6=Inputs!$B$13,-Inputs!$B$7,0)+BG20</f>
        <v>0</v>
      </c>
      <c r="BH21" s="33" t="n">
        <f aca="false">IF(Source_Data!BH$6=Inputs!$B$13,-Inputs!$B$7,0)+BH20</f>
        <v>0</v>
      </c>
      <c r="BI21" s="33" t="n">
        <f aca="false">IF(Source_Data!BI$6=Inputs!$B$13,-Inputs!$B$7,0)+BI20</f>
        <v>0</v>
      </c>
      <c r="BJ21" s="33" t="n">
        <f aca="false">IF(Source_Data!BJ$6=Inputs!$B$13,-Inputs!$B$7,0)+BJ20</f>
        <v>0</v>
      </c>
      <c r="BK21" s="33" t="n">
        <f aca="false">IF(Source_Data!BK$6=Inputs!$B$13,-Inputs!$B$7,0)+BK20</f>
        <v>0</v>
      </c>
    </row>
    <row r="22" customFormat="false" ht="15" hidden="false" customHeight="false" outlineLevel="0" collapsed="false">
      <c r="A22" s="3" t="s">
        <v>344</v>
      </c>
      <c r="D22" s="33" t="n">
        <f aca="false">IF(Source_Data!D$6=Inputs!$B$13,Inputs!$B$7,0)+D17-D20</f>
        <v>-16.25</v>
      </c>
      <c r="E22" s="33" t="n">
        <f aca="false">D22+IF(Source_Data!E$6=Inputs!$B$13,Inputs!$B$7,0)+E17-E20</f>
        <v>-27.5</v>
      </c>
      <c r="F22" s="33" t="n">
        <f aca="false">E22+IF(Source_Data!F$6=Inputs!$B$13,Inputs!$B$7,0)+F17-F20</f>
        <v>-23.6107625</v>
      </c>
      <c r="G22" s="33" t="n">
        <f aca="false">F22+IF(Source_Data!G$6=Inputs!$B$13,Inputs!$B$7,0)+G17-G20</f>
        <v>-4.5822875</v>
      </c>
      <c r="H22" s="33" t="n">
        <f aca="false">G22+IF(Source_Data!H$6=Inputs!$B$13,Inputs!$B$7,0)+H17-H20</f>
        <v>-3.57028125</v>
      </c>
      <c r="I22" s="33" t="n">
        <f aca="false">H22+IF(Source_Data!I$6=Inputs!$B$13,Inputs!$B$7,0)+I17-I20</f>
        <v>6.31525625</v>
      </c>
      <c r="J22" s="33" t="n">
        <f aca="false">I22+IF(Source_Data!J$6=Inputs!$B$13,Inputs!$B$7,0)+J17-J20</f>
        <v>-11.93043375</v>
      </c>
      <c r="K22" s="33" t="n">
        <f aca="false">J22+IF(Source_Data!K$6=Inputs!$B$13,Inputs!$B$7,0)+K17-K20</f>
        <v>-13.428264375</v>
      </c>
      <c r="L22" s="33" t="n">
        <f aca="false">K22+IF(Source_Data!L$6=Inputs!$B$13,Inputs!$B$7,0)+L17-L20</f>
        <v>-6.73067593749998</v>
      </c>
      <c r="M22" s="33" t="n">
        <f aca="false">L22+IF(Source_Data!M$6=Inputs!$B$13,Inputs!$B$7,0)+M17-M20</f>
        <v>400.5169015625</v>
      </c>
      <c r="N22" s="33" t="n">
        <f aca="false">M22+IF(Source_Data!N$6=Inputs!$B$13,Inputs!$B$7,0)+N17-N20</f>
        <v>524.9086415625</v>
      </c>
      <c r="O22" s="33" t="n">
        <f aca="false">N22+IF(Source_Data!O$6=Inputs!$B$13,Inputs!$B$7,0)+O17-O20</f>
        <v>640.2566315625</v>
      </c>
      <c r="P22" s="33" t="n">
        <f aca="false">O22+IF(Source_Data!P$6=Inputs!$B$13,Inputs!$B$7,0)+P17-P20</f>
        <v>532.4943415625</v>
      </c>
      <c r="Q22" s="33" t="n">
        <f aca="false">P22+IF(Source_Data!Q$6=Inputs!$B$13,Inputs!$B$7,0)+Q17-Q20</f>
        <v>397.1685103125</v>
      </c>
      <c r="R22" s="33" t="n">
        <f aca="false">Q22+IF(Source_Data!R$6=Inputs!$B$13,Inputs!$B$7,0)+R17-R20</f>
        <v>211.2426790625</v>
      </c>
      <c r="S22" s="33" t="n">
        <f aca="false">R22+IF(Source_Data!S$6=Inputs!$B$13,Inputs!$B$7,0)+S17-S20</f>
        <v>78.6985146875</v>
      </c>
      <c r="T22" s="33" t="n">
        <f aca="false">S22+IF(Source_Data!T$6=Inputs!$B$13,Inputs!$B$7,0)+T17-T20</f>
        <v>80.550154375</v>
      </c>
      <c r="U22" s="33" t="n">
        <f aca="false">T22+IF(Source_Data!U$6=Inputs!$B$13,Inputs!$B$7,0)+U17-U20</f>
        <v>80.8878703125</v>
      </c>
      <c r="V22" s="33" t="n">
        <f aca="false">U22+IF(Source_Data!V$6=Inputs!$B$13,Inputs!$B$7,0)+V17-V20</f>
        <v>75.236815</v>
      </c>
      <c r="W22" s="33" t="n">
        <f aca="false">V22+IF(Source_Data!W$6=Inputs!$B$13,Inputs!$B$7,0)+W17-W20</f>
        <v>65.2447596875</v>
      </c>
      <c r="X22" s="33" t="n">
        <f aca="false">W22+IF(Source_Data!X$6=Inputs!$B$13,Inputs!$B$7,0)+X17-X20</f>
        <v>77.752704375</v>
      </c>
      <c r="Y22" s="33" t="n">
        <f aca="false">X22+IF(Source_Data!Y$6=Inputs!$B$13,Inputs!$B$7,0)+Y17-Y20</f>
        <v>97.3554303125</v>
      </c>
      <c r="Z22" s="33" t="n">
        <f aca="false">Y22+IF(Source_Data!Z$6=Inputs!$B$13,Inputs!$B$7,0)+Z17-Z20</f>
        <v>116.95815625</v>
      </c>
      <c r="AA22" s="33" t="n">
        <f aca="false">Z22+IF(Source_Data!AA$6=Inputs!$B$13,Inputs!$B$7,0)+AA17-AA20</f>
        <v>136.5608821875</v>
      </c>
      <c r="AB22" s="33" t="n">
        <f aca="false">AA22+IF(Source_Data!AB$6=Inputs!$B$13,Inputs!$B$7,0)+AB17-AB20</f>
        <v>172.875608125</v>
      </c>
      <c r="AC22" s="33" t="n">
        <f aca="false">AB22+IF(Source_Data!AC$6=Inputs!$B$13,Inputs!$B$7,0)+AC17-AC20</f>
        <v>205.914235625</v>
      </c>
      <c r="AD22" s="33" t="n">
        <f aca="false">AC22+IF(Source_Data!AD$6=Inputs!$B$13,Inputs!$B$7,0)+AD17-AD20</f>
        <v>235.344406875</v>
      </c>
      <c r="AE22" s="33" t="n">
        <f aca="false">AD22+IF(Source_Data!AE$6=Inputs!$B$13,Inputs!$B$7,0)+AE17-AE20</f>
        <v>260.433578125</v>
      </c>
      <c r="AF22" s="33" t="n">
        <f aca="false">AE22+IF(Source_Data!AF$6=Inputs!$B$13,Inputs!$B$7,0)+AF17-AF20</f>
        <v>177.764539023437</v>
      </c>
      <c r="AG22" s="33" t="n">
        <f aca="false">AF22+IF(Source_Data!AG$6=Inputs!$B$13,Inputs!$B$7,0)+AG17-AG20</f>
        <v>191.877197851562</v>
      </c>
      <c r="AH22" s="33" t="n">
        <f aca="false">AG22+IF(Source_Data!AH$6=Inputs!$B$13,Inputs!$B$7,0)+AH17-AH20</f>
        <v>205.989856679687</v>
      </c>
      <c r="AI22" s="33" t="n">
        <f aca="false">AH22+IF(Source_Data!AI$6=Inputs!$B$13,Inputs!$B$7,0)+AI17-AI20</f>
        <v>220.102515507812</v>
      </c>
      <c r="AJ22" s="33" t="n">
        <f aca="false">AI22+IF(Source_Data!AJ$6=Inputs!$B$13,Inputs!$B$7,0)+AJ17-AJ20</f>
        <v>234.215174335938</v>
      </c>
      <c r="AK22" s="33" t="n">
        <f aca="false">AJ22+IF(Source_Data!AK$6=Inputs!$B$13,Inputs!$B$7,0)+AK17-AK20</f>
        <v>247.09929625</v>
      </c>
      <c r="AL22" s="33" t="n">
        <f aca="false">AK22+IF(Source_Data!AL$6=Inputs!$B$13,Inputs!$B$7,0)+AL17-AL20</f>
        <v>259.983418164063</v>
      </c>
      <c r="AM22" s="33" t="n">
        <f aca="false">AL22+IF(Source_Data!AM$6=Inputs!$B$13,Inputs!$B$7,0)+AM17-AM20</f>
        <v>270.5244175</v>
      </c>
      <c r="AN22" s="33" t="n">
        <f aca="false">AM22+IF(Source_Data!AN$6=Inputs!$B$13,Inputs!$B$7,0)+AN17-AN20</f>
        <v>275.93913671875</v>
      </c>
      <c r="AO22" s="33" t="n">
        <f aca="false">AN22+IF(Source_Data!AO$6=Inputs!$B$13,Inputs!$B$7,0)+AO17-AO20</f>
        <v>277.9475275</v>
      </c>
      <c r="AP22" s="33" t="n">
        <f aca="false">AO22+IF(Source_Data!AP$6=Inputs!$B$13,Inputs!$B$7,0)+AP17-AP20</f>
        <v>277.9475275</v>
      </c>
      <c r="AQ22" s="33" t="n">
        <f aca="false">AP22+IF(Source_Data!AQ$6=Inputs!$B$13,Inputs!$B$7,0)+AQ17-AQ20</f>
        <v>277.9475275</v>
      </c>
      <c r="AR22" s="33" t="n">
        <f aca="false">AQ22+IF(Source_Data!AR$6=Inputs!$B$13,Inputs!$B$7,0)+AR17-AR20</f>
        <v>277.9475275</v>
      </c>
      <c r="AS22" s="33" t="n">
        <f aca="false">AR22+IF(Source_Data!AS$6=Inputs!$B$13,Inputs!$B$7,0)+AS17-AS20</f>
        <v>277.9475275</v>
      </c>
      <c r="AT22" s="33" t="n">
        <f aca="false">AS22+IF(Source_Data!AT$6=Inputs!$B$13,Inputs!$B$7,0)+AT17-AT20</f>
        <v>277.9475275</v>
      </c>
      <c r="AU22" s="33" t="n">
        <f aca="false">AT22+IF(Source_Data!AU$6=Inputs!$B$13,Inputs!$B$7,0)+AU17-AU20</f>
        <v>277.9475275</v>
      </c>
      <c r="AV22" s="33" t="n">
        <f aca="false">AU22+IF(Source_Data!AV$6=Inputs!$B$13,Inputs!$B$7,0)+AV17-AV20</f>
        <v>277.9475275</v>
      </c>
      <c r="AW22" s="33" t="n">
        <f aca="false">AV22+IF(Source_Data!AW$6=Inputs!$B$13,Inputs!$B$7,0)+AW17-AW20</f>
        <v>277.9475275</v>
      </c>
      <c r="AX22" s="33" t="n">
        <f aca="false">AW22+IF(Source_Data!AX$6=Inputs!$B$13,Inputs!$B$7,0)+AX17-AX20</f>
        <v>277.9475275</v>
      </c>
      <c r="AY22" s="33" t="n">
        <f aca="false">AX22+IF(Source_Data!AY$6=Inputs!$B$13,Inputs!$B$7,0)+AY17-AY20</f>
        <v>277.9475275</v>
      </c>
      <c r="AZ22" s="33" t="n">
        <f aca="false">AY22+IF(Source_Data!AZ$6=Inputs!$B$13,Inputs!$B$7,0)+AZ17-AZ20</f>
        <v>277.9475275</v>
      </c>
      <c r="BA22" s="33" t="n">
        <f aca="false">AZ22+IF(Source_Data!BA$6=Inputs!$B$13,Inputs!$B$7,0)+BA17-BA20</f>
        <v>277.9475275</v>
      </c>
      <c r="BB22" s="33" t="n">
        <f aca="false">BA22+IF(Source_Data!BB$6=Inputs!$B$13,Inputs!$B$7,0)+BB17-BB20</f>
        <v>277.9475275</v>
      </c>
      <c r="BC22" s="33" t="n">
        <f aca="false">BB22+IF(Source_Data!BC$6=Inputs!$B$13,Inputs!$B$7,0)+BC17-BC20</f>
        <v>277.9475275</v>
      </c>
      <c r="BD22" s="33" t="n">
        <f aca="false">BC22+IF(Source_Data!BD$6=Inputs!$B$13,Inputs!$B$7,0)+BD17-BD20</f>
        <v>277.9475275</v>
      </c>
      <c r="BE22" s="33" t="n">
        <f aca="false">BD22+IF(Source_Data!BE$6=Inputs!$B$13,Inputs!$B$7,0)+BE17-BE20</f>
        <v>277.9475275</v>
      </c>
      <c r="BF22" s="33" t="n">
        <f aca="false">BE22+IF(Source_Data!BF$6=Inputs!$B$13,Inputs!$B$7,0)+BF17-BF20</f>
        <v>277.9475275</v>
      </c>
      <c r="BG22" s="33" t="n">
        <f aca="false">BF22+IF(Source_Data!BG$6=Inputs!$B$13,Inputs!$B$7,0)+BG17-BG20</f>
        <v>277.9475275</v>
      </c>
      <c r="BH22" s="33" t="n">
        <f aca="false">BG22+IF(Source_Data!BH$6=Inputs!$B$13,Inputs!$B$7,0)+BH17-BH20</f>
        <v>277.9475275</v>
      </c>
      <c r="BI22" s="33" t="n">
        <f aca="false">BH22+IF(Source_Data!BI$6=Inputs!$B$13,Inputs!$B$7,0)+BI17-BI20</f>
        <v>277.9475275</v>
      </c>
      <c r="BJ22" s="33" t="n">
        <f aca="false">BI22+IF(Source_Data!BJ$6=Inputs!$B$13,Inputs!$B$7,0)+BJ17-BJ20</f>
        <v>277.9475275</v>
      </c>
      <c r="BK22" s="33" t="n">
        <f aca="false">BJ22+IF(Source_Data!BK$6=Inputs!$B$13,Inputs!$B$7,0)+BK17-BK20</f>
        <v>277.9475275</v>
      </c>
    </row>
    <row r="23" customFormat="false" ht="15" hidden="false" customHeight="false" outlineLevel="0" collapsed="false">
      <c r="A23" s="3" t="s">
        <v>345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29.3302662608696</v>
      </c>
      <c r="N23" s="31" t="n">
        <f aca="false">IF(N20&gt;0,N17/N20,"")</f>
        <v>9.65333843478261</v>
      </c>
      <c r="O23" s="31" t="n">
        <f aca="false">IF(O20&gt;0,O17/O20,"")</f>
        <v>9.024208</v>
      </c>
      <c r="P23" s="31" t="n">
        <f aca="false">IF(P20&gt;0,P17/P20,"")</f>
        <v>-6.49650713043478</v>
      </c>
      <c r="Q23" s="31" t="n">
        <f aca="false">IF(Q20&gt;0,Q17/Q20,"")</f>
        <v>-8.41397086956522</v>
      </c>
      <c r="R23" s="31" t="n">
        <f aca="false">IF(R20&gt;0,R17/R20,"")</f>
        <v>-11.9339708695652</v>
      </c>
      <c r="S23" s="31" t="n">
        <f aca="false">IF(S20&gt;0,S17/S20,"")</f>
        <v>-8.22046360869565</v>
      </c>
      <c r="T23" s="31" t="n">
        <f aca="false">IF(T20&gt;0,T17/T20,"")</f>
        <v>1.1288097173913</v>
      </c>
      <c r="U23" s="31" t="n">
        <f aca="false">IF(U20&gt;0,U17/U20,"")</f>
        <v>1.0234932826087</v>
      </c>
      <c r="V23" s="31" t="n">
        <f aca="false">IF(V20&gt;0,V17/V20,"")</f>
        <v>0.606883108695652</v>
      </c>
      <c r="W23" s="31" t="n">
        <f aca="false">IF(W20&gt;0,W17/W20,"")</f>
        <v>0.3049005</v>
      </c>
      <c r="X23" s="31" t="n">
        <f aca="false">IF(X20&gt;0,X17/X20,"")</f>
        <v>1.87011789130435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346</v>
      </c>
      <c r="D24" s="31" t="str">
        <f aca="false">IF(D20&gt;0,(0+D17+IF(Source_Data!D$6=Inputs!$B$13,Inputs!$B$7,0))/D20,"")</f>
        <v/>
      </c>
      <c r="E24" s="31" t="str">
        <f aca="false">IF(E20&gt;0,(D22+E17+IF(Source_Data!E$6=Inputs!$B$13,Inputs!$B$7,0))/E20,"")</f>
        <v/>
      </c>
      <c r="F24" s="31" t="str">
        <f aca="false">IF(F20&gt;0,(E22+F17+IF(Source_Data!F$6=Inputs!$B$13,Inputs!$B$7,0))/F20,"")</f>
        <v/>
      </c>
      <c r="G24" s="31" t="str">
        <f aca="false">IF(G20&gt;0,(F22+G17+IF(Source_Data!G$6=Inputs!$B$13,Inputs!$B$7,0))/G20,"")</f>
        <v/>
      </c>
      <c r="H24" s="31" t="str">
        <f aca="false">IF(H20&gt;0,(G22+H17+IF(Source_Data!H$6=Inputs!$B$13,Inputs!$B$7,0))/H20,"")</f>
        <v/>
      </c>
      <c r="I24" s="31" t="str">
        <f aca="false">IF(I20&gt;0,(H22+I17+IF(Source_Data!I$6=Inputs!$B$13,Inputs!$B$7,0))/I20,"")</f>
        <v/>
      </c>
      <c r="J24" s="31" t="str">
        <f aca="false">IF(J20&gt;0,(I22+J17+IF(Source_Data!J$6=Inputs!$B$13,Inputs!$B$7,0))/J20,"")</f>
        <v/>
      </c>
      <c r="K24" s="31" t="str">
        <f aca="false">IF(K20&gt;0,(J22+K17+IF(Source_Data!K$6=Inputs!$B$13,Inputs!$B$7,0))/K20,"")</f>
        <v/>
      </c>
      <c r="L24" s="31" t="str">
        <f aca="false">IF(L20&gt;0,(K22+L17+IF(Source_Data!L$6=Inputs!$B$13,Inputs!$B$7,0))/L20,"")</f>
        <v/>
      </c>
      <c r="M24" s="31" t="n">
        <f aca="false">IF(M20&gt;0,(L22+M17+IF(Source_Data!M$6=Inputs!$B$13,Inputs!$B$7,0))/M20,"")</f>
        <v>28.862045326087</v>
      </c>
      <c r="N24" s="31" t="n">
        <f aca="false">IF(N20&gt;0,(M22+N17+IF(Source_Data!N$6=Inputs!$B$13,Inputs!$B$7,0))/N20,"")</f>
        <v>37.5153837608696</v>
      </c>
      <c r="O24" s="31" t="n">
        <f aca="false">IF(O20&gt;0,(N22+O17+IF(Source_Data!O$6=Inputs!$B$13,Inputs!$B$7,0))/O20,"")</f>
        <v>45.5395917608696</v>
      </c>
      <c r="P24" s="31" t="n">
        <f aca="false">IF(P20&gt;0,(O22+P17+IF(Source_Data!P$6=Inputs!$B$13,Inputs!$B$7,0))/P20,"")</f>
        <v>38.0430846304348</v>
      </c>
      <c r="Q24" s="31" t="n">
        <f aca="false">IF(Q20&gt;0,(P22+Q17+IF(Source_Data!Q$6=Inputs!$B$13,Inputs!$B$7,0))/Q20,"")</f>
        <v>28.6291137608696</v>
      </c>
      <c r="R24" s="31" t="n">
        <f aca="false">IF(R20&gt;0,(Q22+R17+IF(Source_Data!R$6=Inputs!$B$13,Inputs!$B$7,0))/R20,"")</f>
        <v>15.6951428913044</v>
      </c>
      <c r="S24" s="31" t="n">
        <f aca="false">IF(S20&gt;0,(R22+S17+IF(Source_Data!S$6=Inputs!$B$13,Inputs!$B$7,0))/S20,"")</f>
        <v>6.4746792826087</v>
      </c>
      <c r="T24" s="31" t="n">
        <f aca="false">IF(T20&gt;0,(S22+T17+IF(Source_Data!T$6=Inputs!$B$13,Inputs!$B$7,0))/T20,"")</f>
        <v>6.603489</v>
      </c>
      <c r="U24" s="31" t="n">
        <f aca="false">IF(U20&gt;0,(T22+U17+IF(Source_Data!U$6=Inputs!$B$13,Inputs!$B$7,0))/U20,"")</f>
        <v>6.6269822826087</v>
      </c>
      <c r="V24" s="31" t="n">
        <f aca="false">IF(V20&gt;0,(U22+V17+IF(Source_Data!V$6=Inputs!$B$13,Inputs!$B$7,0))/V20,"")</f>
        <v>6.23386539130435</v>
      </c>
      <c r="W24" s="31" t="n">
        <f aca="false">IF(W20&gt;0,(V22+W17+IF(Source_Data!W$6=Inputs!$B$13,Inputs!$B$7,0))/W20,"")</f>
        <v>5.53876589130435</v>
      </c>
      <c r="X24" s="31" t="n">
        <f aca="false">IF(X20&gt;0,(W22+X17+IF(Source_Data!X$6=Inputs!$B$13,Inputs!$B$7,0))/X20,"")</f>
        <v>6.4088837826087</v>
      </c>
      <c r="Y24" s="31" t="str">
        <f aca="false">IF(Y20&gt;0,(X22+Y17+IF(Source_Data!Y$6=Inputs!$B$13,Inputs!$B$7,0))/Y20,"")</f>
        <v/>
      </c>
      <c r="Z24" s="31" t="str">
        <f aca="false">IF(Z20&gt;0,(Y22+Z17+IF(Source_Data!Z$6=Inputs!$B$13,Inputs!$B$7,0))/Z20,"")</f>
        <v/>
      </c>
      <c r="AA24" s="31" t="str">
        <f aca="false">IF(AA20&gt;0,(Z22+AA17+IF(Source_Data!AA$6=Inputs!$B$13,Inputs!$B$7,0))/AA20,"")</f>
        <v/>
      </c>
      <c r="AB24" s="31" t="str">
        <f aca="false">IF(AB20&gt;0,(AA22+AB17+IF(Source_Data!AB$6=Inputs!$B$13,Inputs!$B$7,0))/AB20,"")</f>
        <v/>
      </c>
      <c r="AC24" s="31" t="str">
        <f aca="false">IF(AC20&gt;0,(AB22+AC17+IF(Source_Data!AC$6=Inputs!$B$13,Inputs!$B$7,0))/AC20,"")</f>
        <v/>
      </c>
      <c r="AD24" s="31" t="str">
        <f aca="false">IF(AD20&gt;0,(AC22+AD17+IF(Source_Data!AD$6=Inputs!$B$13,Inputs!$B$7,0))/AD20,"")</f>
        <v/>
      </c>
      <c r="AE24" s="31" t="str">
        <f aca="false">IF(AE20&gt;0,(AD22+AE17+IF(Source_Data!AE$6=Inputs!$B$13,Inputs!$B$7,0))/AE20,"")</f>
        <v/>
      </c>
      <c r="AF24" s="31" t="str">
        <f aca="false">IF(AF20&gt;0,(AE22+AF17+IF(Source_Data!AF$6=Inputs!$B$13,Inputs!$B$7,0))/AF20,"")</f>
        <v/>
      </c>
      <c r="AG24" s="31" t="str">
        <f aca="false">IF(AG20&gt;0,(AF22+AG17+IF(Source_Data!AG$6=Inputs!$B$13,Inputs!$B$7,0))/AG20,"")</f>
        <v/>
      </c>
      <c r="AH24" s="31" t="str">
        <f aca="false">IF(AH20&gt;0,(AG22+AH17+IF(Source_Data!AH$6=Inputs!$B$13,Inputs!$B$7,0))/AH20,"")</f>
        <v/>
      </c>
      <c r="AI24" s="31" t="str">
        <f aca="false">IF(AI20&gt;0,(AH22+AI17+IF(Source_Data!AI$6=Inputs!$B$13,Inputs!$B$7,0))/AI20,"")</f>
        <v/>
      </c>
      <c r="AJ24" s="31" t="str">
        <f aca="false">IF(AJ20&gt;0,(AI22+AJ17+IF(Source_Data!AJ$6=Inputs!$B$13,Inputs!$B$7,0))/AJ20,"")</f>
        <v/>
      </c>
      <c r="AK24" s="31" t="str">
        <f aca="false">IF(AK20&gt;0,(AJ22+AK17+IF(Source_Data!AK$6=Inputs!$B$13,Inputs!$B$7,0))/AK20,"")</f>
        <v/>
      </c>
      <c r="AL24" s="31" t="str">
        <f aca="false">IF(AL20&gt;0,(AK22+AL17+IF(Source_Data!AL$6=Inputs!$B$13,Inputs!$B$7,0))/AL20,"")</f>
        <v/>
      </c>
      <c r="AM24" s="31" t="str">
        <f aca="false">IF(AM20&gt;0,(AL22+AM17+IF(Source_Data!AM$6=Inputs!$B$13,Inputs!$B$7,0))/AM20,"")</f>
        <v/>
      </c>
      <c r="AN24" s="31" t="str">
        <f aca="false">IF(AN20&gt;0,(AM22+AN17+IF(Source_Data!AN$6=Inputs!$B$13,Inputs!$B$7,0))/AN20,"")</f>
        <v/>
      </c>
      <c r="AO24" s="31" t="str">
        <f aca="false">IF(AO20&gt;0,(AN22+AO17+IF(Source_Data!AO$6=Inputs!$B$13,Inputs!$B$7,0))/AO20,"")</f>
        <v/>
      </c>
      <c r="AP24" s="31" t="str">
        <f aca="false">IF(AP20&gt;0,(AO22+AP17+IF(Source_Data!AP$6=Inputs!$B$13,Inputs!$B$7,0))/AP20,"")</f>
        <v/>
      </c>
      <c r="AQ24" s="31" t="str">
        <f aca="false">IF(AQ20&gt;0,(AP22+AQ17+IF(Source_Data!AQ$6=Inputs!$B$13,Inputs!$B$7,0))/AQ20,"")</f>
        <v/>
      </c>
      <c r="AR24" s="31" t="str">
        <f aca="false">IF(AR20&gt;0,(AQ22+AR17+IF(Source_Data!AR$6=Inputs!$B$13,Inputs!$B$7,0))/AR20,"")</f>
        <v/>
      </c>
      <c r="AS24" s="31" t="str">
        <f aca="false">IF(AS20&gt;0,(AR22+AS17+IF(Source_Data!AS$6=Inputs!$B$13,Inputs!$B$7,0))/AS20,"")</f>
        <v/>
      </c>
      <c r="AT24" s="31" t="str">
        <f aca="false">IF(AT20&gt;0,(AS22+AT17+IF(Source_Data!AT$6=Inputs!$B$13,Inputs!$B$7,0))/AT20,"")</f>
        <v/>
      </c>
      <c r="AU24" s="31" t="str">
        <f aca="false">IF(AU20&gt;0,(AT22+AU17+IF(Source_Data!AU$6=Inputs!$B$13,Inputs!$B$7,0))/AU20,"")</f>
        <v/>
      </c>
      <c r="AV24" s="31" t="str">
        <f aca="false">IF(AV20&gt;0,(AU22+AV17+IF(Source_Data!AV$6=Inputs!$B$13,Inputs!$B$7,0))/AV20,"")</f>
        <v/>
      </c>
      <c r="AW24" s="31" t="str">
        <f aca="false">IF(AW20&gt;0,(AV22+AW17+IF(Source_Data!AW$6=Inputs!$B$13,Inputs!$B$7,0))/AW20,"")</f>
        <v/>
      </c>
      <c r="AX24" s="31" t="str">
        <f aca="false">IF(AX20&gt;0,(AW22+AX17+IF(Source_Data!AX$6=Inputs!$B$13,Inputs!$B$7,0))/AX20,"")</f>
        <v/>
      </c>
      <c r="AY24" s="31" t="str">
        <f aca="false">IF(AY20&gt;0,(AX22+AY17+IF(Source_Data!AY$6=Inputs!$B$13,Inputs!$B$7,0))/AY20,"")</f>
        <v/>
      </c>
      <c r="AZ24" s="31" t="str">
        <f aca="false">IF(AZ20&gt;0,(AY22+AZ17+IF(Source_Data!AZ$6=Inputs!$B$13,Inputs!$B$7,0))/AZ20,"")</f>
        <v/>
      </c>
      <c r="BA24" s="31" t="str">
        <f aca="false">IF(BA20&gt;0,(AZ22+BA17+IF(Source_Data!BA$6=Inputs!$B$13,Inputs!$B$7,0))/BA20,"")</f>
        <v/>
      </c>
      <c r="BB24" s="31" t="str">
        <f aca="false">IF(BB20&gt;0,(BA22+BB17+IF(Source_Data!BB$6=Inputs!$B$13,Inputs!$B$7,0))/BB20,"")</f>
        <v/>
      </c>
      <c r="BC24" s="31" t="str">
        <f aca="false">IF(BC20&gt;0,(BB22+BC17+IF(Source_Data!BC$6=Inputs!$B$13,Inputs!$B$7,0))/BC20,"")</f>
        <v/>
      </c>
      <c r="BD24" s="31" t="str">
        <f aca="false">IF(BD20&gt;0,(BC22+BD17+IF(Source_Data!BD$6=Inputs!$B$13,Inputs!$B$7,0))/BD20,"")</f>
        <v/>
      </c>
      <c r="BE24" s="31" t="str">
        <f aca="false">IF(BE20&gt;0,(BD22+BE17+IF(Source_Data!BE$6=Inputs!$B$13,Inputs!$B$7,0))/BE20,"")</f>
        <v/>
      </c>
      <c r="BF24" s="31" t="str">
        <f aca="false">IF(BF20&gt;0,(BE22+BF17+IF(Source_Data!BF$6=Inputs!$B$13,Inputs!$B$7,0))/BF20,"")</f>
        <v/>
      </c>
      <c r="BG24" s="31" t="str">
        <f aca="false">IF(BG20&gt;0,(BF22+BG17+IF(Source_Data!BG$6=Inputs!$B$13,Inputs!$B$7,0))/BG20,"")</f>
        <v/>
      </c>
      <c r="BH24" s="31" t="str">
        <f aca="false">IF(BH20&gt;0,(BG22+BH17+IF(Source_Data!BH$6=Inputs!$B$13,Inputs!$B$7,0))/BH20,"")</f>
        <v/>
      </c>
      <c r="BI24" s="31" t="str">
        <f aca="false">IF(BI20&gt;0,(BH22+BI17+IF(Source_Data!BI$6=Inputs!$B$13,Inputs!$B$7,0))/BI20,"")</f>
        <v/>
      </c>
      <c r="BJ24" s="31" t="str">
        <f aca="false">IF(BJ20&gt;0,(BI22+BJ17+IF(Source_Data!BJ$6=Inputs!$B$13,Inputs!$B$7,0))/BJ20,"")</f>
        <v/>
      </c>
      <c r="BK24" s="31" t="str">
        <f aca="false">IF(BK20&gt;0,(BJ22+BK17+IF(Source_Data!BK$6=Inputs!$B$13,Inputs!$B$7,0))/BK20,"")</f>
        <v/>
      </c>
    </row>
    <row r="26" customFormat="false" ht="15" hidden="false" customHeight="false" outlineLevel="0" collapsed="false">
      <c r="A26" s="2" t="s">
        <v>222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347</v>
      </c>
      <c r="B27" s="41" t="n">
        <f aca="false">SUMPRODUCT(D17:BK17,Project_CF!$D$15:$BK$15)</f>
        <v>229.889658679869</v>
      </c>
    </row>
    <row r="28" customFormat="false" ht="15" hidden="false" customHeight="false" outlineLevel="0" collapsed="false">
      <c r="A28" s="2" t="s">
        <v>164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348</v>
      </c>
      <c r="B29" s="35" t="n">
        <f aca="false">INDEX(Project_CF!$D$6:$BK$6,MATCH(MIN(D18:BK18),D18:BK18,0))</f>
        <v>0</v>
      </c>
    </row>
    <row r="30" customFormat="false" ht="15" hidden="false" customHeight="false" outlineLevel="0" collapsed="false">
      <c r="A30" s="2" t="s">
        <v>349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350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351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352</v>
      </c>
      <c r="B33" s="41" t="n">
        <f aca="false">MIN(D22:BK22)</f>
        <v>-27.5</v>
      </c>
    </row>
    <row r="34" customFormat="false" ht="15" hidden="false" customHeight="false" outlineLevel="0" collapsed="false">
      <c r="A34" s="2" t="s">
        <v>353</v>
      </c>
      <c r="B34" s="43" t="n">
        <f aca="false">MIN(D23:BK23)</f>
        <v>-11.9339708695652</v>
      </c>
    </row>
    <row r="35" customFormat="false" ht="15" hidden="false" customHeight="false" outlineLevel="0" collapsed="false">
      <c r="A35" s="2" t="s">
        <v>354</v>
      </c>
      <c r="B35" s="35" t="n">
        <f aca="false">COUNTIF(D23:BK23,"&lt;"&amp;Inputs!$B$44)</f>
        <v>8</v>
      </c>
    </row>
    <row r="36" customFormat="false" ht="15" hidden="false" customHeight="false" outlineLevel="0" collapsed="false">
      <c r="A36" s="2" t="s">
        <v>355</v>
      </c>
      <c r="B36" s="43" t="n">
        <f aca="false">MIN(D24:BK24)</f>
        <v>5.53876589130435</v>
      </c>
    </row>
    <row r="37" customFormat="false" ht="15" hidden="false" customHeight="false" outlineLevel="0" collapsed="false">
      <c r="A37" s="2" t="s">
        <v>356</v>
      </c>
      <c r="B37" s="35" t="n">
        <f aca="false">COUNTIF(D24:BK24,"&lt;"&amp;Inputs!$B$44)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333</v>
      </c>
      <c r="B41" s="45" t="n">
        <v>0.9</v>
      </c>
    </row>
    <row r="42" customFormat="false" ht="15" hidden="false" customHeight="false" outlineLevel="0" collapsed="false">
      <c r="A42" s="3" t="s">
        <v>334</v>
      </c>
      <c r="B42" s="45" t="n">
        <v>4</v>
      </c>
    </row>
    <row r="43" customFormat="false" ht="15" hidden="false" customHeight="false" outlineLevel="0" collapsed="false">
      <c r="A43" s="3" t="s">
        <v>335</v>
      </c>
      <c r="B43" s="45" t="n">
        <v>1</v>
      </c>
    </row>
    <row r="44" customFormat="false" ht="15" hidden="false" customHeight="false" outlineLevel="0" collapsed="false">
      <c r="A44" s="3" t="s">
        <v>336</v>
      </c>
      <c r="B44" s="45" t="n">
        <v>0</v>
      </c>
    </row>
    <row r="45" customFormat="false" ht="15" hidden="false" customHeight="false" outlineLevel="0" collapsed="false">
      <c r="A45" s="3" t="s">
        <v>337</v>
      </c>
      <c r="B45" s="45" t="n">
        <v>0</v>
      </c>
    </row>
    <row r="46" customFormat="false" ht="15" hidden="false" customHeight="false" outlineLevel="0" collapsed="false">
      <c r="A46" s="3" t="s">
        <v>338</v>
      </c>
      <c r="B46" s="3" t="n">
        <f aca="false">Inputs!$B$14+3+3*$B$42</f>
        <v>57</v>
      </c>
    </row>
    <row r="47" customFormat="false" ht="15" hidden="false" customHeight="false" outlineLevel="0" collapsed="false">
      <c r="A47" s="3" t="s">
        <v>339</v>
      </c>
      <c r="D47" s="33" t="n">
        <f aca="false">Source_Data!D$7+IF($B$45=1,IF(Source_Data!D$6=Inputs!$B$14,Source_Data!$C$8,0),Source_Data!D$8)</f>
        <v>0</v>
      </c>
      <c r="E47" s="33" t="n">
        <f aca="false">Source_Data!E$7+IF($B$45=1,IF(Source_Data!E$6=Inputs!$B$14,Source_Data!$C$8,0),Source_Data!E$8)</f>
        <v>0</v>
      </c>
      <c r="F47" s="33" t="n">
        <f aca="false">Source_Data!F$7+IF($B$45=1,IF(Source_Data!F$6=Inputs!$B$14,Source_Data!$C$8,0),Source_Data!F$8)</f>
        <v>15.1392375</v>
      </c>
      <c r="G47" s="33" t="n">
        <f aca="false">Source_Data!G$7+IF($B$45=1,IF(Source_Data!G$6=Inputs!$B$14,Source_Data!$C$8,0),Source_Data!G$8)</f>
        <v>30.278475</v>
      </c>
      <c r="H47" s="33" t="n">
        <f aca="false">Source_Data!H$7+IF($B$45=1,IF(Source_Data!H$6=Inputs!$B$14,Source_Data!$C$8,0),Source_Data!H$8)</f>
        <v>46.51200625</v>
      </c>
      <c r="I47" s="33" t="n">
        <f aca="false">Source_Data!I$7+IF($B$45=1,IF(Source_Data!I$6=Inputs!$B$14,Source_Data!$C$8,0),Source_Data!I$8)</f>
        <v>62.7455375</v>
      </c>
      <c r="J47" s="33" t="n">
        <f aca="false">Source_Data!J$7+IF($B$45=1,IF(Source_Data!J$6=Inputs!$B$14,Source_Data!$C$8,0),Source_Data!J$8)</f>
        <v>62.3657</v>
      </c>
      <c r="K47" s="33" t="n">
        <f aca="false">Source_Data!K$7+IF($B$45=1,IF(Source_Data!K$6=Inputs!$B$14,Source_Data!$C$8,0),Source_Data!K$8)</f>
        <v>63.473559375</v>
      </c>
      <c r="L47" s="33" t="n">
        <f aca="false">Source_Data!L$7+IF($B$45=1,IF(Source_Data!L$6=Inputs!$B$14,Source_Data!$C$8,0),Source_Data!L$8)</f>
        <v>80.3288484375</v>
      </c>
      <c r="M47" s="33" t="n">
        <f aca="false">Source_Data!M$7+IF($B$45=1,IF(Source_Data!M$6=Inputs!$B$14,Source_Data!$C$8,0),Source_Data!M$8)</f>
        <v>495.2538375</v>
      </c>
      <c r="N47" s="33" t="n">
        <f aca="false">Source_Data!N$7+IF($B$45=1,IF(Source_Data!N$6=Inputs!$B$14,Source_Data!$C$8,0),Source_Data!N$8)</f>
        <v>185.57775</v>
      </c>
      <c r="O47" s="33" t="n">
        <f aca="false">Source_Data!O$7+IF($B$45=1,IF(Source_Data!O$6=Inputs!$B$14,Source_Data!$C$8,0),Source_Data!O$8)</f>
        <v>176.534</v>
      </c>
      <c r="P47" s="33" t="n">
        <f aca="false">Source_Data!P$7+IF($B$45=1,IF(Source_Data!P$6=Inputs!$B$14,Source_Data!$C$8,0),Source_Data!P$8)</f>
        <v>97.31075</v>
      </c>
      <c r="Q47" s="33" t="n">
        <f aca="false">Source_Data!Q$7+IF($B$45=1,IF(Source_Data!Q$6=Inputs!$B$14,Source_Data!$C$8,0),Source_Data!Q$8)</f>
        <v>71.30996875</v>
      </c>
      <c r="R47" s="33" t="n">
        <f aca="false">Source_Data!R$7+IF($B$45=1,IF(Source_Data!R$6=Inputs!$B$14,Source_Data!$C$8,0),Source_Data!R$8)</f>
        <v>71.30996875</v>
      </c>
      <c r="S47" s="33" t="n">
        <f aca="false">Source_Data!S$7+IF($B$45=1,IF(Source_Data!S$6=Inputs!$B$14,Source_Data!$C$8,0),Source_Data!S$8)</f>
        <v>68.037035625</v>
      </c>
      <c r="T47" s="33" t="n">
        <f aca="false">Source_Data!T$7+IF($B$45=1,IF(Source_Data!T$6=Inputs!$B$14,Source_Data!$C$8,0),Source_Data!T$8)</f>
        <v>61.2266396875</v>
      </c>
      <c r="U47" s="33" t="n">
        <f aca="false">Source_Data!U$7+IF($B$45=1,IF(Source_Data!U$6=Inputs!$B$14,Source_Data!$C$8,0),Source_Data!U$8)</f>
        <v>59.7127159375</v>
      </c>
      <c r="V47" s="33" t="n">
        <f aca="false">Source_Data!V$7+IF($B$45=1,IF(Source_Data!V$6=Inputs!$B$14,Source_Data!$C$8,0),Source_Data!V$8)</f>
        <v>53.7239446875</v>
      </c>
      <c r="W47" s="33" t="n">
        <f aca="false">Source_Data!W$7+IF($B$45=1,IF(Source_Data!W$6=Inputs!$B$14,Source_Data!$C$8,0),Source_Data!W$8)</f>
        <v>49.3829446875</v>
      </c>
      <c r="X47" s="33" t="n">
        <f aca="false">Source_Data!X$7+IF($B$45=1,IF(Source_Data!X$6=Inputs!$B$14,Source_Data!$C$8,0),Source_Data!X$8)</f>
        <v>49.3829446875</v>
      </c>
      <c r="Y47" s="33" t="n">
        <f aca="false">Source_Data!Y$7+IF($B$45=1,IF(Source_Data!Y$6=Inputs!$B$14,Source_Data!$C$8,0),Source_Data!Y$8)</f>
        <v>42.1027259375</v>
      </c>
      <c r="Z47" s="33" t="n">
        <f aca="false">Source_Data!Z$7+IF($B$45=1,IF(Source_Data!Z$6=Inputs!$B$14,Source_Data!$C$8,0),Source_Data!Z$8)</f>
        <v>42.1027259375</v>
      </c>
      <c r="AA47" s="33" t="n">
        <f aca="false">Source_Data!AA$7+IF($B$45=1,IF(Source_Data!AA$6=Inputs!$B$14,Source_Data!$C$8,0),Source_Data!AA$8)</f>
        <v>42.1027259375</v>
      </c>
      <c r="AB47" s="33" t="n">
        <f aca="false">Source_Data!AB$7+IF($B$45=1,IF(Source_Data!AB$6=Inputs!$B$14,Source_Data!$C$8,0),Source_Data!AB$8)</f>
        <v>36.3147259375</v>
      </c>
      <c r="AC47" s="33" t="n">
        <f aca="false">Source_Data!AC$7+IF($B$45=1,IF(Source_Data!AC$6=Inputs!$B$14,Source_Data!$C$8,0),Source_Data!AC$8)</f>
        <v>33.0386275</v>
      </c>
      <c r="AD47" s="33" t="n">
        <f aca="false">Source_Data!AD$7+IF($B$45=1,IF(Source_Data!AD$6=Inputs!$B$14,Source_Data!$C$8,0),Source_Data!AD$8)</f>
        <v>29.43017125</v>
      </c>
      <c r="AE47" s="33" t="n">
        <f aca="false">Source_Data!AE$7+IF($B$45=1,IF(Source_Data!AE$6=Inputs!$B$14,Source_Data!$C$8,0),Source_Data!AE$8)</f>
        <v>25.08917125</v>
      </c>
      <c r="AF47" s="33" t="n">
        <f aca="false">Source_Data!AF$7+IF($B$45=1,IF(Source_Data!AF$6=Inputs!$B$14,Source_Data!$C$8,0),Source_Data!AF$8)</f>
        <v>25.08917125</v>
      </c>
      <c r="AG47" s="33" t="n">
        <f aca="false">Source_Data!AG$7+IF($B$45=1,IF(Source_Data!AG$6=Inputs!$B$14,Source_Data!$C$8,0),Source_Data!AG$8)</f>
        <v>25.08917125</v>
      </c>
      <c r="AH47" s="33" t="n">
        <f aca="false">Source_Data!AH$7+IF($B$45=1,IF(Source_Data!AH$6=Inputs!$B$14,Source_Data!$C$8,0),Source_Data!AH$8)</f>
        <v>25.08917125</v>
      </c>
      <c r="AI47" s="33" t="n">
        <f aca="false">Source_Data!AI$7+IF($B$45=1,IF(Source_Data!AI$6=Inputs!$B$14,Source_Data!$C$8,0),Source_Data!AI$8)</f>
        <v>25.08917125</v>
      </c>
      <c r="AJ47" s="33" t="n">
        <f aca="false">Source_Data!AJ$7+IF($B$45=1,IF(Source_Data!AJ$6=Inputs!$B$14,Source_Data!$C$8,0),Source_Data!AJ$8)</f>
        <v>25.08917125</v>
      </c>
      <c r="AK47" s="33" t="n">
        <f aca="false">Source_Data!AK$7+IF($B$45=1,IF(Source_Data!AK$6=Inputs!$B$14,Source_Data!$C$8,0),Source_Data!AK$8)</f>
        <v>22.905105625</v>
      </c>
      <c r="AL47" s="33" t="n">
        <f aca="false">Source_Data!AL$7+IF($B$45=1,IF(Source_Data!AL$6=Inputs!$B$14,Source_Data!$C$8,0),Source_Data!AL$8)</f>
        <v>22.905105625</v>
      </c>
      <c r="AM47" s="33" t="n">
        <f aca="false">Source_Data!AM$7+IF($B$45=1,IF(Source_Data!AM$6=Inputs!$B$14,Source_Data!$C$8,0),Source_Data!AM$8)</f>
        <v>18.739554375</v>
      </c>
      <c r="AN47" s="33" t="n">
        <f aca="false">Source_Data!AN$7+IF($B$45=1,IF(Source_Data!AN$6=Inputs!$B$14,Source_Data!$C$8,0),Source_Data!AN$8)</f>
        <v>9.6261675</v>
      </c>
      <c r="AO47" s="33" t="n">
        <f aca="false">Source_Data!AO$7+IF($B$45=1,IF(Source_Data!AO$6=Inputs!$B$14,Source_Data!$C$8,0),Source_Data!AO$8)</f>
        <v>3.5704725</v>
      </c>
      <c r="AP47" s="33" t="n">
        <f aca="false">Source_Data!AP$7+IF($B$45=1,IF(Source_Data!AP$6=Inputs!$B$14,Source_Data!$C$8,0),Source_Data!AP$8)</f>
        <v>0</v>
      </c>
      <c r="AQ47" s="33" t="n">
        <f aca="false">Source_Data!AQ$7+IF($B$45=1,IF(Source_Data!AQ$6=Inputs!$B$14,Source_Data!$C$8,0),Source_Data!AQ$8)</f>
        <v>0</v>
      </c>
      <c r="AR47" s="33" t="n">
        <f aca="false">Source_Data!AR$7+IF($B$45=1,IF(Source_Data!AR$6=Inputs!$B$14,Source_Data!$C$8,0),Source_Data!AR$8)</f>
        <v>0</v>
      </c>
      <c r="AS47" s="33" t="n">
        <f aca="false">Source_Data!AS$7+IF($B$45=1,IF(Source_Data!AS$6=Inputs!$B$14,Source_Data!$C$8,0),Source_Data!AS$8)</f>
        <v>0</v>
      </c>
      <c r="AT47" s="33" t="n">
        <f aca="false">Source_Data!AT$7+IF($B$45=1,IF(Source_Data!AT$6=Inputs!$B$14,Source_Data!$C$8,0),Source_Data!AT$8)</f>
        <v>0</v>
      </c>
      <c r="AU47" s="33" t="n">
        <f aca="false">Source_Data!AU$7+IF($B$45=1,IF(Source_Data!AU$6=Inputs!$B$14,Source_Data!$C$8,0),Source_Data!AU$8)</f>
        <v>0</v>
      </c>
      <c r="AV47" s="33" t="n">
        <f aca="false">Source_Data!AV$7+IF($B$45=1,IF(Source_Data!AV$6=Inputs!$B$14,Source_Data!$C$8,0),Source_Data!AV$8)</f>
        <v>0</v>
      </c>
      <c r="AW47" s="33" t="n">
        <f aca="false">Source_Data!AW$7+IF($B$45=1,IF(Source_Data!AW$6=Inputs!$B$14,Source_Data!$C$8,0),Source_Data!AW$8)</f>
        <v>0</v>
      </c>
      <c r="AX47" s="33" t="n">
        <f aca="false">Source_Data!AX$7+IF($B$45=1,IF(Source_Data!AX$6=Inputs!$B$14,Source_Data!$C$8,0),Source_Data!AX$8)</f>
        <v>0</v>
      </c>
      <c r="AY47" s="33" t="n">
        <f aca="false">Source_Data!AY$7+IF($B$45=1,IF(Source_Data!AY$6=Inputs!$B$14,Source_Data!$C$8,0),Source_Data!AY$8)</f>
        <v>0</v>
      </c>
      <c r="AZ47" s="33" t="n">
        <f aca="false">Source_Data!AZ$7+IF($B$45=1,IF(Source_Data!AZ$6=Inputs!$B$14,Source_Data!$C$8,0),Source_Data!AZ$8)</f>
        <v>0</v>
      </c>
      <c r="BA47" s="33" t="n">
        <f aca="false">Source_Data!BA$7+IF($B$45=1,IF(Source_Data!BA$6=Inputs!$B$14,Source_Data!$C$8,0),Source_Data!BA$8)</f>
        <v>0</v>
      </c>
      <c r="BB47" s="33" t="n">
        <f aca="false">Source_Data!BB$7+IF($B$45=1,IF(Source_Data!BB$6=Inputs!$B$14,Source_Data!$C$8,0),Source_Data!BB$8)</f>
        <v>0</v>
      </c>
      <c r="BC47" s="33" t="n">
        <f aca="false">Source_Data!BC$7+IF($B$45=1,IF(Source_Data!BC$6=Inputs!$B$14,Source_Data!$C$8,0),Source_Data!BC$8)</f>
        <v>0</v>
      </c>
      <c r="BD47" s="33" t="n">
        <f aca="false">Source_Data!BD$7+IF($B$45=1,IF(Source_Data!BD$6=Inputs!$B$14,Source_Data!$C$8,0),Source_Data!BD$8)</f>
        <v>0</v>
      </c>
      <c r="BE47" s="33" t="n">
        <f aca="false">Source_Data!BE$7+IF($B$45=1,IF(Source_Data!BE$6=Inputs!$B$14,Source_Data!$C$8,0),Source_Data!BE$8)</f>
        <v>0</v>
      </c>
      <c r="BF47" s="33" t="n">
        <f aca="false">Source_Data!BF$7+IF($B$45=1,IF(Source_Data!BF$6=Inputs!$B$14,Source_Data!$C$8,0),Source_Data!BF$8)</f>
        <v>0</v>
      </c>
      <c r="BG47" s="33" t="n">
        <f aca="false">Source_Data!BG$7+IF($B$45=1,IF(Source_Data!BG$6=Inputs!$B$14,Source_Data!$C$8,0),Source_Data!BG$8)</f>
        <v>0</v>
      </c>
      <c r="BH47" s="33" t="n">
        <f aca="false">Source_Data!BH$7+IF($B$45=1,IF(Source_Data!BH$6=Inputs!$B$14,Source_Data!$C$8,0),Source_Data!BH$8)</f>
        <v>0</v>
      </c>
      <c r="BI47" s="33" t="n">
        <f aca="false">Source_Data!BI$7+IF($B$45=1,IF(Source_Data!BI$6=Inputs!$B$14,Source_Data!$C$8,0),Source_Data!BI$8)</f>
        <v>0</v>
      </c>
      <c r="BJ47" s="33" t="n">
        <f aca="false">Source_Data!BJ$7+IF($B$45=1,IF(Source_Data!BJ$6=Inputs!$B$14,Source_Data!$C$8,0),Source_Data!BJ$8)</f>
        <v>0</v>
      </c>
      <c r="BK47" s="33" t="n">
        <f aca="false">Source_Data!BK$7+IF($B$45=1,IF(Source_Data!BK$6=Inputs!$B$14,Source_Data!$C$8,0),Source_Data!BK$8)</f>
        <v>0</v>
      </c>
    </row>
    <row r="48" customFormat="false" ht="15" hidden="false" customHeight="false" outlineLevel="0" collapsed="false">
      <c r="A48" s="3" t="s">
        <v>215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340</v>
      </c>
      <c r="D49" s="33" t="n">
        <f aca="false">Source_Data!D$9+Source_Data!D$10*IF(Source_Data!$C$10=0,0,MAX(0,Inputs!$B$20*Inputs!$B$23*$B$41-Inputs!$B$21)/Source_Data!$C$10)</f>
        <v>91.25</v>
      </c>
      <c r="E49" s="33" t="n">
        <f aca="false">Source_Data!E$9+Source_Data!E$10*IF(Source_Data!$C$10=0,0,MAX(0,Inputs!$B$20*Inputs!$B$23*$B$41-Inputs!$B$21)/Source_Data!$C$10)</f>
        <v>11.25</v>
      </c>
      <c r="F49" s="33" t="n">
        <f aca="false">Source_Data!F$9+Source_Data!F$10*IF(Source_Data!$C$10=0,0,MAX(0,Inputs!$B$20*Inputs!$B$23*$B$41-Inputs!$B$21)/Source_Data!$C$10)</f>
        <v>11.25</v>
      </c>
      <c r="G49" s="33" t="n">
        <f aca="false">Source_Data!G$9+Source_Data!G$10*IF(Source_Data!$C$10=0,0,MAX(0,Inputs!$B$20*Inputs!$B$23*$B$41-Inputs!$B$21)/Source_Data!$C$10)</f>
        <v>11.25</v>
      </c>
      <c r="H49" s="33" t="n">
        <f aca="false">Source_Data!H$9+Source_Data!H$10*IF(Source_Data!$C$10=0,0,MAX(0,Inputs!$B$20*Inputs!$B$23*$B$41-Inputs!$B$21)/Source_Data!$C$10)</f>
        <v>22.5</v>
      </c>
      <c r="I49" s="33" t="n">
        <f aca="false">Source_Data!I$9+Source_Data!I$10*IF(Source_Data!$C$10=0,0,MAX(0,Inputs!$B$20*Inputs!$B$23*$B$41-Inputs!$B$21)/Source_Data!$C$10)</f>
        <v>22.5</v>
      </c>
      <c r="J49" s="33" t="n">
        <f aca="false">Source_Data!J$9+Source_Data!J$10*IF(Source_Data!$C$10=0,0,MAX(0,Inputs!$B$20*Inputs!$B$23*$B$41-Inputs!$B$21)/Source_Data!$C$10)</f>
        <v>22.5</v>
      </c>
      <c r="K49" s="33" t="n">
        <f aca="false">Source_Data!K$9+Source_Data!K$10*IF(Source_Data!$C$10=0,0,MAX(0,Inputs!$B$20*Inputs!$B$23*$B$41-Inputs!$B$21)/Source_Data!$C$10)</f>
        <v>22.5</v>
      </c>
      <c r="L49" s="33" t="n">
        <f aca="false">Source_Data!L$9+Source_Data!L$10*IF(Source_Data!$C$10=0,0,MAX(0,Inputs!$B$20*Inputs!$B$23*$B$41-Inputs!$B$21)/Source_Data!$C$10)</f>
        <v>33.75</v>
      </c>
      <c r="M49" s="33" t="n">
        <f aca="false">Source_Data!M$9+Source_Data!M$10*IF(Source_Data!$C$10=0,0,MAX(0,Inputs!$B$20*Inputs!$B$23*$B$41-Inputs!$B$21)/Source_Data!$C$10)</f>
        <v>33.75</v>
      </c>
      <c r="N49" s="33" t="n">
        <f aca="false">Source_Data!N$9+Source_Data!N$10*IF(Source_Data!$C$10=0,0,MAX(0,Inputs!$B$20*Inputs!$B$23*$B$41-Inputs!$B$21)/Source_Data!$C$10)</f>
        <v>33.75</v>
      </c>
      <c r="O49" s="33" t="n">
        <f aca="false">Source_Data!O$9+Source_Data!O$10*IF(Source_Data!$C$10=0,0,MAX(0,Inputs!$B$20*Inputs!$B$23*$B$41-Inputs!$B$21)/Source_Data!$C$10)</f>
        <v>33.75</v>
      </c>
      <c r="P49" s="33" t="n">
        <f aca="false">Source_Data!P$9+Source_Data!P$10*IF(Source_Data!$C$10=0,0,MAX(0,Inputs!$B$20*Inputs!$B$23*$B$41-Inputs!$B$21)/Source_Data!$C$10)</f>
        <v>45</v>
      </c>
      <c r="Q49" s="33" t="n">
        <f aca="false">Source_Data!Q$9+Source_Data!Q$10*IF(Source_Data!$C$10=0,0,MAX(0,Inputs!$B$20*Inputs!$B$23*$B$41-Inputs!$B$21)/Source_Data!$C$10)</f>
        <v>45</v>
      </c>
      <c r="R49" s="33" t="n">
        <f aca="false">Source_Data!R$9+Source_Data!R$10*IF(Source_Data!$C$10=0,0,MAX(0,Inputs!$B$20*Inputs!$B$23*$B$41-Inputs!$B$21)/Source_Data!$C$10)</f>
        <v>45</v>
      </c>
      <c r="S49" s="33" t="n">
        <f aca="false">Source_Data!S$9+Source_Data!S$10*IF(Source_Data!$C$10=0,0,MAX(0,Inputs!$B$20*Inputs!$B$23*$B$41-Inputs!$B$21)/Source_Data!$C$10)</f>
        <v>45</v>
      </c>
      <c r="T49" s="33" t="n">
        <f aca="false">Source_Data!T$9+Source_Data!T$10*IF(Source_Data!$C$10=0,0,MAX(0,Inputs!$B$20*Inputs!$B$23*$B$41-Inputs!$B$21)/Source_Data!$C$10)</f>
        <v>45</v>
      </c>
      <c r="U49" s="33" t="n">
        <f aca="false">Source_Data!U$9+Source_Data!U$10*IF(Source_Data!$C$10=0,0,MAX(0,Inputs!$B$20*Inputs!$B$23*$B$41-Inputs!$B$21)/Source_Data!$C$10)</f>
        <v>45</v>
      </c>
      <c r="V49" s="33" t="n">
        <f aca="false">Source_Data!V$9+Source_Data!V$10*IF(Source_Data!$C$10=0,0,MAX(0,Inputs!$B$20*Inputs!$B$23*$B$41-Inputs!$B$21)/Source_Data!$C$10)</f>
        <v>45</v>
      </c>
      <c r="W49" s="33" t="n">
        <f aca="false">Source_Data!W$9+Source_Data!W$10*IF(Source_Data!$C$10=0,0,MAX(0,Inputs!$B$20*Inputs!$B$23*$B$41-Inputs!$B$21)/Source_Data!$C$10)</f>
        <v>45</v>
      </c>
      <c r="X49" s="33" t="n">
        <f aca="false">Source_Data!X$9+Source_Data!X$10*IF(Source_Data!$C$10=0,0,MAX(0,Inputs!$B$20*Inputs!$B$23*$B$41-Inputs!$B$21)/Source_Data!$C$10)</f>
        <v>22.5</v>
      </c>
      <c r="Y49" s="33" t="n">
        <f aca="false">Source_Data!Y$9+Source_Data!Y$10*IF(Source_Data!$C$10=0,0,MAX(0,Inputs!$B$20*Inputs!$B$23*$B$41-Inputs!$B$21)/Source_Data!$C$10)</f>
        <v>22.5</v>
      </c>
      <c r="Z49" s="33" t="n">
        <f aca="false">Source_Data!Z$9+Source_Data!Z$10*IF(Source_Data!$C$10=0,0,MAX(0,Inputs!$B$20*Inputs!$B$23*$B$41-Inputs!$B$21)/Source_Data!$C$10)</f>
        <v>22.5</v>
      </c>
      <c r="AA49" s="33" t="n">
        <f aca="false">Source_Data!AA$9+Source_Data!AA$10*IF(Source_Data!$C$10=0,0,MAX(0,Inputs!$B$20*Inputs!$B$23*$B$41-Inputs!$B$21)/Source_Data!$C$10)</f>
        <v>22.5</v>
      </c>
      <c r="AB49" s="33" t="n">
        <f aca="false">Source_Data!AB$9+Source_Data!AB$10*IF(Source_Data!$C$10=0,0,MAX(0,Inputs!$B$20*Inputs!$B$23*$B$41-Inputs!$B$21)/Source_Data!$C$10)</f>
        <v>0</v>
      </c>
      <c r="AC49" s="33" t="n">
        <f aca="false">Source_Data!AC$9+Source_Data!AC$10*IF(Source_Data!$C$10=0,0,MAX(0,Inputs!$B$20*Inputs!$B$23*$B$41-Inputs!$B$21)/Source_Data!$C$10)</f>
        <v>0</v>
      </c>
      <c r="AD49" s="33" t="n">
        <f aca="false">Source_Data!AD$9+Source_Data!AD$10*IF(Source_Data!$C$10=0,0,MAX(0,Inputs!$B$20*Inputs!$B$23*$B$41-Inputs!$B$21)/Source_Data!$C$10)</f>
        <v>0</v>
      </c>
      <c r="AE49" s="33" t="n">
        <f aca="false">Source_Data!AE$9+Source_Data!AE$10*IF(Source_Data!$C$10=0,0,MAX(0,Inputs!$B$20*Inputs!$B$23*$B$41-Inputs!$B$21)/Source_Data!$C$10)</f>
        <v>0</v>
      </c>
      <c r="AF49" s="33" t="n">
        <f aca="false">Source_Data!AF$9+Source_Data!AF$10*IF(Source_Data!$C$10=0,0,MAX(0,Inputs!$B$20*Inputs!$B$23*$B$41-Inputs!$B$21)/Source_Data!$C$10)</f>
        <v>50.5544747578603</v>
      </c>
      <c r="AG49" s="33" t="n">
        <f aca="false">Source_Data!AG$9+Source_Data!AG$10*IF(Source_Data!$C$10=0,0,MAX(0,Inputs!$B$20*Inputs!$B$23*$B$41-Inputs!$B$21)/Source_Data!$C$10)</f>
        <v>5.14960130045416</v>
      </c>
      <c r="AH49" s="33" t="n">
        <f aca="false">Source_Data!AH$9+Source_Data!AH$10*IF(Source_Data!$C$10=0,0,MAX(0,Inputs!$B$20*Inputs!$B$23*$B$41-Inputs!$B$21)/Source_Data!$C$10)</f>
        <v>5.14960130045416</v>
      </c>
      <c r="AI49" s="33" t="n">
        <f aca="false">Source_Data!AI$9+Source_Data!AI$10*IF(Source_Data!$C$10=0,0,MAX(0,Inputs!$B$20*Inputs!$B$23*$B$41-Inputs!$B$21)/Source_Data!$C$10)</f>
        <v>5.14960130045416</v>
      </c>
      <c r="AJ49" s="33" t="n">
        <f aca="false">Source_Data!AJ$9+Source_Data!AJ$10*IF(Source_Data!$C$10=0,0,MAX(0,Inputs!$B$20*Inputs!$B$23*$B$41-Inputs!$B$21)/Source_Data!$C$10)</f>
        <v>5.14960130045416</v>
      </c>
      <c r="AK49" s="33" t="n">
        <f aca="false">Source_Data!AK$9+Source_Data!AK$10*IF(Source_Data!$C$10=0,0,MAX(0,Inputs!$B$20*Inputs!$B$23*$B$41-Inputs!$B$21)/Source_Data!$C$10)</f>
        <v>4.70131757395294</v>
      </c>
      <c r="AL49" s="33" t="n">
        <f aca="false">Source_Data!AL$9+Source_Data!AL$10*IF(Source_Data!$C$10=0,0,MAX(0,Inputs!$B$20*Inputs!$B$23*$B$41-Inputs!$B$21)/Source_Data!$C$10)</f>
        <v>4.70131757395294</v>
      </c>
      <c r="AM49" s="33" t="n">
        <f aca="false">Source_Data!AM$9+Source_Data!AM$10*IF(Source_Data!$C$10=0,0,MAX(0,Inputs!$B$20*Inputs!$B$23*$B$41-Inputs!$B$21)/Source_Data!$C$10)</f>
        <v>3.84633006079989</v>
      </c>
      <c r="AN49" s="33" t="n">
        <f aca="false">Source_Data!AN$9+Source_Data!AN$10*IF(Source_Data!$C$10=0,0,MAX(0,Inputs!$B$20*Inputs!$B$23*$B$41-Inputs!$B$21)/Source_Data!$C$10)</f>
        <v>1.97578964177183</v>
      </c>
      <c r="AO49" s="33" t="n">
        <f aca="false">Source_Data!AO$9+Source_Data!AO$10*IF(Source_Data!$C$10=0,0,MAX(0,Inputs!$B$20*Inputs!$B$23*$B$41-Inputs!$B$21)/Source_Data!$C$10)</f>
        <v>0.73284643984547</v>
      </c>
      <c r="AP49" s="33" t="n">
        <f aca="false">Source_Data!AP$9+Source_Data!AP$10*IF(Source_Data!$C$10=0,0,MAX(0,Inputs!$B$20*Inputs!$B$23*$B$41-Inputs!$B$21)/Source_Data!$C$10)</f>
        <v>0</v>
      </c>
      <c r="AQ49" s="33" t="n">
        <f aca="false">Source_Data!AQ$9+Source_Data!AQ$10*IF(Source_Data!$C$10=0,0,MAX(0,Inputs!$B$20*Inputs!$B$23*$B$41-Inputs!$B$21)/Source_Data!$C$10)</f>
        <v>0</v>
      </c>
      <c r="AR49" s="33" t="n">
        <f aca="false">Source_Data!AR$9+Source_Data!AR$10*IF(Source_Data!$C$10=0,0,MAX(0,Inputs!$B$20*Inputs!$B$23*$B$41-Inputs!$B$21)/Source_Data!$C$10)</f>
        <v>0</v>
      </c>
      <c r="AS49" s="33" t="n">
        <f aca="false">Source_Data!AS$9+Source_Data!AS$10*IF(Source_Data!$C$10=0,0,MAX(0,Inputs!$B$20*Inputs!$B$23*$B$41-Inputs!$B$21)/Source_Data!$C$10)</f>
        <v>0</v>
      </c>
      <c r="AT49" s="33" t="n">
        <f aca="false">Source_Data!AT$9+Source_Data!AT$10*IF(Source_Data!$C$10=0,0,MAX(0,Inputs!$B$20*Inputs!$B$23*$B$41-Inputs!$B$21)/Source_Data!$C$10)</f>
        <v>0</v>
      </c>
      <c r="AU49" s="33" t="n">
        <f aca="false">Source_Data!AU$9+Source_Data!AU$10*IF(Source_Data!$C$10=0,0,MAX(0,Inputs!$B$20*Inputs!$B$23*$B$41-Inputs!$B$21)/Source_Data!$C$10)</f>
        <v>0</v>
      </c>
      <c r="AV49" s="33" t="n">
        <f aca="false">Source_Data!AV$9+Source_Data!AV$10*IF(Source_Data!$C$10=0,0,MAX(0,Inputs!$B$20*Inputs!$B$23*$B$41-Inputs!$B$21)/Source_Data!$C$10)</f>
        <v>0</v>
      </c>
      <c r="AW49" s="33" t="n">
        <f aca="false">Source_Data!AW$9+Source_Data!AW$10*IF(Source_Data!$C$10=0,0,MAX(0,Inputs!$B$20*Inputs!$B$23*$B$41-Inputs!$B$21)/Source_Data!$C$10)</f>
        <v>0</v>
      </c>
      <c r="AX49" s="33" t="n">
        <f aca="false">Source_Data!AX$9+Source_Data!AX$10*IF(Source_Data!$C$10=0,0,MAX(0,Inputs!$B$20*Inputs!$B$23*$B$41-Inputs!$B$21)/Source_Data!$C$10)</f>
        <v>0</v>
      </c>
      <c r="AY49" s="33" t="n">
        <f aca="false">Source_Data!AY$9+Source_Data!AY$10*IF(Source_Data!$C$10=0,0,MAX(0,Inputs!$B$20*Inputs!$B$23*$B$41-Inputs!$B$21)/Source_Data!$C$10)</f>
        <v>0</v>
      </c>
      <c r="AZ49" s="33" t="n">
        <f aca="false">Source_Data!AZ$9+Source_Data!AZ$10*IF(Source_Data!$C$10=0,0,MAX(0,Inputs!$B$20*Inputs!$B$23*$B$41-Inputs!$B$21)/Source_Data!$C$10)</f>
        <v>0</v>
      </c>
      <c r="BA49" s="33" t="n">
        <f aca="false">Source_Data!BA$9+Source_Data!BA$10*IF(Source_Data!$C$10=0,0,MAX(0,Inputs!$B$20*Inputs!$B$23*$B$41-Inputs!$B$21)/Source_Data!$C$10)</f>
        <v>0</v>
      </c>
      <c r="BB49" s="33" t="n">
        <f aca="false">Source_Data!BB$9+Source_Data!BB$10*IF(Source_Data!$C$10=0,0,MAX(0,Inputs!$B$20*Inputs!$B$23*$B$41-Inputs!$B$21)/Source_Data!$C$10)</f>
        <v>0</v>
      </c>
      <c r="BC49" s="33" t="n">
        <f aca="false">Source_Data!BC$9+Source_Data!BC$10*IF(Source_Data!$C$10=0,0,MAX(0,Inputs!$B$20*Inputs!$B$23*$B$41-Inputs!$B$21)/Source_Data!$C$10)</f>
        <v>0</v>
      </c>
      <c r="BD49" s="33" t="n">
        <f aca="false">Source_Data!BD$9+Source_Data!BD$10*IF(Source_Data!$C$10=0,0,MAX(0,Inputs!$B$20*Inputs!$B$23*$B$41-Inputs!$B$21)/Source_Data!$C$10)</f>
        <v>0</v>
      </c>
      <c r="BE49" s="33" t="n">
        <f aca="false">Source_Data!BE$9+Source_Data!BE$10*IF(Source_Data!$C$10=0,0,MAX(0,Inputs!$B$20*Inputs!$B$23*$B$41-Inputs!$B$21)/Source_Data!$C$10)</f>
        <v>0</v>
      </c>
      <c r="BF49" s="33" t="n">
        <f aca="false">Source_Data!BF$9+Source_Data!BF$10*IF(Source_Data!$C$10=0,0,MAX(0,Inputs!$B$20*Inputs!$B$23*$B$41-Inputs!$B$21)/Source_Data!$C$10)</f>
        <v>0</v>
      </c>
      <c r="BG49" s="33" t="n">
        <f aca="false">Source_Data!BG$9+Source_Data!BG$10*IF(Source_Data!$C$10=0,0,MAX(0,Inputs!$B$20*Inputs!$B$23*$B$41-Inputs!$B$21)/Source_Data!$C$10)</f>
        <v>0</v>
      </c>
      <c r="BH49" s="33" t="n">
        <f aca="false">Source_Data!BH$9+Source_Data!BH$10*IF(Source_Data!$C$10=0,0,MAX(0,Inputs!$B$20*Inputs!$B$23*$B$41-Inputs!$B$21)/Source_Data!$C$10)</f>
        <v>0</v>
      </c>
      <c r="BI49" s="33" t="n">
        <f aca="false">Source_Data!BI$9+Source_Data!BI$10*IF(Source_Data!$C$10=0,0,MAX(0,Inputs!$B$20*Inputs!$B$23*$B$41-Inputs!$B$21)/Source_Data!$C$10)</f>
        <v>0</v>
      </c>
      <c r="BJ49" s="33" t="n">
        <f aca="false">Source_Data!BJ$9+Source_Data!BJ$10*IF(Source_Data!$C$10=0,0,MAX(0,Inputs!$B$20*Inputs!$B$23*$B$41-Inputs!$B$21)/Source_Data!$C$10)</f>
        <v>0</v>
      </c>
      <c r="BK49" s="33" t="n">
        <f aca="false">Source_Data!BK$9+Source_Data!BK$10*IF(Source_Data!$C$10=0,0,MAX(0,Inputs!$B$20*Inputs!$B$23*$B$41-Inputs!$B$21)/Source_Data!$C$10)</f>
        <v>0</v>
      </c>
    </row>
    <row r="50" customFormat="false" ht="15" hidden="false" customHeight="false" outlineLevel="0" collapsed="false">
      <c r="A50" s="3" t="s">
        <v>196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198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217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218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219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341</v>
      </c>
      <c r="D55" s="33" t="n">
        <f aca="false">IF(Source_Data!D$6=Inputs!$B$13,-Inputs!$B$7,0)+IF(AND(Source_Data!D$6&gt;=$B$46,Source_Data!D$6&lt;$B$46+3*Inputs!$B$17,MOD(Source_Data!D$6-$B$46,3)=0),Inputs!$B$8*Inputs!$B$7*Inputs!$B$35*$B$41*(1-Inputs!$B$16)/Inputs!$B$17,0)</f>
        <v>-75</v>
      </c>
      <c r="E55" s="33" t="n">
        <f aca="false">IF(Source_Data!E$6=Inputs!$B$13,-Inputs!$B$7,0)+IF(AND(Source_Data!E$6&gt;=$B$46,Source_Data!E$6&lt;$B$46+3*Inputs!$B$17,MOD(Source_Data!E$6-$B$46,3)=0),Inputs!$B$8*Inputs!$B$7*Inputs!$B$35*$B$41*(1-Inputs!$B$16)/Inputs!$B$17,0)</f>
        <v>0</v>
      </c>
      <c r="F55" s="33" t="n">
        <f aca="false">IF(Source_Data!F$6=Inputs!$B$13,-Inputs!$B$7,0)+IF(AND(Source_Data!F$6&gt;=$B$46,Source_Data!F$6&lt;$B$46+3*Inputs!$B$17,MOD(Source_Data!F$6-$B$46,3)=0),Inputs!$B$8*Inputs!$B$7*Inputs!$B$35*$B$41*(1-Inputs!$B$16)/Inputs!$B$17,0)</f>
        <v>0</v>
      </c>
      <c r="G55" s="33" t="n">
        <f aca="false">IF(Source_Data!G$6=Inputs!$B$13,-Inputs!$B$7,0)+IF(AND(Source_Data!G$6&gt;=$B$46,Source_Data!G$6&lt;$B$46+3*Inputs!$B$17,MOD(Source_Data!G$6-$B$46,3)=0),Inputs!$B$8*Inputs!$B$7*Inputs!$B$35*$B$41*(1-Inputs!$B$16)/Inputs!$B$17,0)</f>
        <v>0</v>
      </c>
      <c r="H55" s="33" t="n">
        <f aca="false">IF(Source_Data!H$6=Inputs!$B$13,-Inputs!$B$7,0)+IF(AND(Source_Data!H$6&gt;=$B$46,Source_Data!H$6&lt;$B$46+3*Inputs!$B$17,MOD(Source_Data!H$6-$B$46,3)=0),Inputs!$B$8*Inputs!$B$7*Inputs!$B$35*$B$41*(1-Inputs!$B$16)/Inputs!$B$17,0)</f>
        <v>0</v>
      </c>
      <c r="I55" s="33" t="n">
        <f aca="false">IF(Source_Data!I$6=Inputs!$B$13,-Inputs!$B$7,0)+IF(AND(Source_Data!I$6&gt;=$B$46,Source_Data!I$6&lt;$B$46+3*Inputs!$B$17,MOD(Source_Data!I$6-$B$46,3)=0),Inputs!$B$8*Inputs!$B$7*Inputs!$B$35*$B$41*(1-Inputs!$B$16)/Inputs!$B$17,0)</f>
        <v>0</v>
      </c>
      <c r="J55" s="33" t="n">
        <f aca="false">IF(Source_Data!J$6=Inputs!$B$13,-Inputs!$B$7,0)+IF(AND(Source_Data!J$6&gt;=$B$46,Source_Data!J$6&lt;$B$46+3*Inputs!$B$17,MOD(Source_Data!J$6-$B$46,3)=0),Inputs!$B$8*Inputs!$B$7*Inputs!$B$35*$B$41*(1-Inputs!$B$16)/Inputs!$B$17,0)</f>
        <v>0</v>
      </c>
      <c r="K55" s="33" t="n">
        <f aca="false">IF(Source_Data!K$6=Inputs!$B$13,-Inputs!$B$7,0)+IF(AND(Source_Data!K$6&gt;=$B$46,Source_Data!K$6&lt;$B$46+3*Inputs!$B$17,MOD(Source_Data!K$6-$B$46,3)=0),Inputs!$B$8*Inputs!$B$7*Inputs!$B$35*$B$41*(1-Inputs!$B$16)/Inputs!$B$17,0)</f>
        <v>0</v>
      </c>
      <c r="L55" s="33" t="n">
        <f aca="false">IF(Source_Data!L$6=Inputs!$B$13,-Inputs!$B$7,0)+IF(AND(Source_Data!L$6&gt;=$B$46,Source_Data!L$6&lt;$B$46+3*Inputs!$B$17,MOD(Source_Data!L$6-$B$46,3)=0),Inputs!$B$8*Inputs!$B$7*Inputs!$B$35*$B$41*(1-Inputs!$B$16)/Inputs!$B$17,0)</f>
        <v>0</v>
      </c>
      <c r="M55" s="33" t="n">
        <f aca="false">IF(Source_Data!M$6=Inputs!$B$13,-Inputs!$B$7,0)+IF(AND(Source_Data!M$6&gt;=$B$46,Source_Data!M$6&lt;$B$46+3*Inputs!$B$17,MOD(Source_Data!M$6-$B$46,3)=0),Inputs!$B$8*Inputs!$B$7*Inputs!$B$35*$B$41*(1-Inputs!$B$16)/Inputs!$B$17,0)</f>
        <v>0</v>
      </c>
      <c r="N55" s="33" t="n">
        <f aca="false">IF(Source_Data!N$6=Inputs!$B$13,-Inputs!$B$7,0)+IF(AND(Source_Data!N$6&gt;=$B$46,Source_Data!N$6&lt;$B$46+3*Inputs!$B$17,MOD(Source_Data!N$6-$B$46,3)=0),Inputs!$B$8*Inputs!$B$7*Inputs!$B$35*$B$41*(1-Inputs!$B$16)/Inputs!$B$17,0)</f>
        <v>0</v>
      </c>
      <c r="O55" s="33" t="n">
        <f aca="false">IF(Source_Data!O$6=Inputs!$B$13,-Inputs!$B$7,0)+IF(AND(Source_Data!O$6&gt;=$B$46,Source_Data!O$6&lt;$B$46+3*Inputs!$B$17,MOD(Source_Data!O$6-$B$46,3)=0),Inputs!$B$8*Inputs!$B$7*Inputs!$B$35*$B$41*(1-Inputs!$B$16)/Inputs!$B$17,0)</f>
        <v>0</v>
      </c>
      <c r="P55" s="33" t="n">
        <f aca="false">IF(Source_Data!P$6=Inputs!$B$13,-Inputs!$B$7,0)+IF(AND(Source_Data!P$6&gt;=$B$46,Source_Data!P$6&lt;$B$46+3*Inputs!$B$17,MOD(Source_Data!P$6-$B$46,3)=0),Inputs!$B$8*Inputs!$B$7*Inputs!$B$35*$B$41*(1-Inputs!$B$16)/Inputs!$B$17,0)</f>
        <v>0</v>
      </c>
      <c r="Q55" s="33" t="n">
        <f aca="false">IF(Source_Data!Q$6=Inputs!$B$13,-Inputs!$B$7,0)+IF(AND(Source_Data!Q$6&gt;=$B$46,Source_Data!Q$6&lt;$B$46+3*Inputs!$B$17,MOD(Source_Data!Q$6-$B$46,3)=0),Inputs!$B$8*Inputs!$B$7*Inputs!$B$35*$B$41*(1-Inputs!$B$16)/Inputs!$B$17,0)</f>
        <v>0</v>
      </c>
      <c r="R55" s="33" t="n">
        <f aca="false">IF(Source_Data!R$6=Inputs!$B$13,-Inputs!$B$7,0)+IF(AND(Source_Data!R$6&gt;=$B$46,Source_Data!R$6&lt;$B$46+3*Inputs!$B$17,MOD(Source_Data!R$6-$B$46,3)=0),Inputs!$B$8*Inputs!$B$7*Inputs!$B$35*$B$41*(1-Inputs!$B$16)/Inputs!$B$17,0)</f>
        <v>0</v>
      </c>
      <c r="S55" s="33" t="n">
        <f aca="false">IF(Source_Data!S$6=Inputs!$B$13,-Inputs!$B$7,0)+IF(AND(Source_Data!S$6&gt;=$B$46,Source_Data!S$6&lt;$B$46+3*Inputs!$B$17,MOD(Source_Data!S$6-$B$46,3)=0),Inputs!$B$8*Inputs!$B$7*Inputs!$B$35*$B$41*(1-Inputs!$B$16)/Inputs!$B$17,0)</f>
        <v>0</v>
      </c>
      <c r="T55" s="33" t="n">
        <f aca="false">IF(Source_Data!T$6=Inputs!$B$13,-Inputs!$B$7,0)+IF(AND(Source_Data!T$6&gt;=$B$46,Source_Data!T$6&lt;$B$46+3*Inputs!$B$17,MOD(Source_Data!T$6-$B$46,3)=0),Inputs!$B$8*Inputs!$B$7*Inputs!$B$35*$B$41*(1-Inputs!$B$16)/Inputs!$B$17,0)</f>
        <v>0</v>
      </c>
      <c r="U55" s="33" t="n">
        <f aca="false">IF(Source_Data!U$6=Inputs!$B$13,-Inputs!$B$7,0)+IF(AND(Source_Data!U$6&gt;=$B$46,Source_Data!U$6&lt;$B$46+3*Inputs!$B$17,MOD(Source_Data!U$6-$B$46,3)=0),Inputs!$B$8*Inputs!$B$7*Inputs!$B$35*$B$41*(1-Inputs!$B$16)/Inputs!$B$17,0)</f>
        <v>0</v>
      </c>
      <c r="V55" s="33" t="n">
        <f aca="false">IF(Source_Data!V$6=Inputs!$B$13,-Inputs!$B$7,0)+IF(AND(Source_Data!V$6&gt;=$B$46,Source_Data!V$6&lt;$B$46+3*Inputs!$B$17,MOD(Source_Data!V$6-$B$46,3)=0),Inputs!$B$8*Inputs!$B$7*Inputs!$B$35*$B$41*(1-Inputs!$B$16)/Inputs!$B$17,0)</f>
        <v>0</v>
      </c>
      <c r="W55" s="33" t="n">
        <f aca="false">IF(Source_Data!W$6=Inputs!$B$13,-Inputs!$B$7,0)+IF(AND(Source_Data!W$6&gt;=$B$46,Source_Data!W$6&lt;$B$46+3*Inputs!$B$17,MOD(Source_Data!W$6-$B$46,3)=0),Inputs!$B$8*Inputs!$B$7*Inputs!$B$35*$B$41*(1-Inputs!$B$16)/Inputs!$B$17,0)</f>
        <v>0</v>
      </c>
      <c r="X55" s="33" t="n">
        <f aca="false">IF(Source_Data!X$6=Inputs!$B$13,-Inputs!$B$7,0)+IF(AND(Source_Data!X$6&gt;=$B$46,Source_Data!X$6&lt;$B$46+3*Inputs!$B$17,MOD(Source_Data!X$6-$B$46,3)=0),Inputs!$B$8*Inputs!$B$7*Inputs!$B$35*$B$41*(1-Inputs!$B$16)/Inputs!$B$17,0)</f>
        <v>46.9354838709678</v>
      </c>
      <c r="Y55" s="33" t="n">
        <f aca="false">IF(Source_Data!Y$6=Inputs!$B$13,-Inputs!$B$7,0)+IF(AND(Source_Data!Y$6&gt;=$B$46,Source_Data!Y$6&lt;$B$46+3*Inputs!$B$17,MOD(Source_Data!Y$6-$B$46,3)=0),Inputs!$B$8*Inputs!$B$7*Inputs!$B$35*$B$41*(1-Inputs!$B$16)/Inputs!$B$17,0)</f>
        <v>46.9354838709678</v>
      </c>
      <c r="Z55" s="33" t="n">
        <f aca="false">IF(Source_Data!Z$6=Inputs!$B$13,-Inputs!$B$7,0)+IF(AND(Source_Data!Z$6&gt;=$B$46,Source_Data!Z$6&lt;$B$46+3*Inputs!$B$17,MOD(Source_Data!Z$6-$B$46,3)=0),Inputs!$B$8*Inputs!$B$7*Inputs!$B$35*$B$41*(1-Inputs!$B$16)/Inputs!$B$17,0)</f>
        <v>46.9354838709678</v>
      </c>
      <c r="AA55" s="33" t="n">
        <f aca="false">IF(Source_Data!AA$6=Inputs!$B$13,-Inputs!$B$7,0)+IF(AND(Source_Data!AA$6&gt;=$B$46,Source_Data!AA$6&lt;$B$46+3*Inputs!$B$17,MOD(Source_Data!AA$6-$B$46,3)=0),Inputs!$B$8*Inputs!$B$7*Inputs!$B$35*$B$41*(1-Inputs!$B$16)/Inputs!$B$17,0)</f>
        <v>46.9354838709678</v>
      </c>
      <c r="AB55" s="33" t="n">
        <f aca="false">IF(Source_Data!AB$6=Inputs!$B$13,-Inputs!$B$7,0)+IF(AND(Source_Data!AB$6&gt;=$B$46,Source_Data!AB$6&lt;$B$46+3*Inputs!$B$17,MOD(Source_Data!AB$6-$B$46,3)=0),Inputs!$B$8*Inputs!$B$7*Inputs!$B$35*$B$41*(1-Inputs!$B$16)/Inputs!$B$17,0)</f>
        <v>0</v>
      </c>
      <c r="AC55" s="33" t="n">
        <f aca="false">IF(Source_Data!AC$6=Inputs!$B$13,-Inputs!$B$7,0)+IF(AND(Source_Data!AC$6&gt;=$B$46,Source_Data!AC$6&lt;$B$46+3*Inputs!$B$17,MOD(Source_Data!AC$6-$B$46,3)=0),Inputs!$B$8*Inputs!$B$7*Inputs!$B$35*$B$41*(1-Inputs!$B$16)/Inputs!$B$17,0)</f>
        <v>0</v>
      </c>
      <c r="AD55" s="33" t="n">
        <f aca="false">IF(Source_Data!AD$6=Inputs!$B$13,-Inputs!$B$7,0)+IF(AND(Source_Data!AD$6&gt;=$B$46,Source_Data!AD$6&lt;$B$46+3*Inputs!$B$17,MOD(Source_Data!AD$6-$B$46,3)=0),Inputs!$B$8*Inputs!$B$7*Inputs!$B$35*$B$41*(1-Inputs!$B$16)/Inputs!$B$17,0)</f>
        <v>0</v>
      </c>
      <c r="AE55" s="33" t="n">
        <f aca="false">IF(Source_Data!AE$6=Inputs!$B$13,-Inputs!$B$7,0)+IF(AND(Source_Data!AE$6&gt;=$B$46,Source_Data!AE$6&lt;$B$46+3*Inputs!$B$17,MOD(Source_Data!AE$6-$B$46,3)=0),Inputs!$B$8*Inputs!$B$7*Inputs!$B$35*$B$41*(1-Inputs!$B$16)/Inputs!$B$17,0)</f>
        <v>0</v>
      </c>
      <c r="AF55" s="33" t="n">
        <f aca="false">IF(Source_Data!AF$6=Inputs!$B$13,-Inputs!$B$7,0)+IF(AND(Source_Data!AF$6&gt;=$B$46,Source_Data!AF$6&lt;$B$46+3*Inputs!$B$17,MOD(Source_Data!AF$6-$B$46,3)=0),Inputs!$B$8*Inputs!$B$7*Inputs!$B$35*$B$41*(1-Inputs!$B$16)/Inputs!$B$17,0)</f>
        <v>0</v>
      </c>
      <c r="AG55" s="33" t="n">
        <f aca="false">IF(Source_Data!AG$6=Inputs!$B$13,-Inputs!$B$7,0)+IF(AND(Source_Data!AG$6&gt;=$B$46,Source_Data!AG$6&lt;$B$46+3*Inputs!$B$17,MOD(Source_Data!AG$6-$B$46,3)=0),Inputs!$B$8*Inputs!$B$7*Inputs!$B$35*$B$41*(1-Inputs!$B$16)/Inputs!$B$17,0)</f>
        <v>0</v>
      </c>
      <c r="AH55" s="33" t="n">
        <f aca="false">IF(Source_Data!AH$6=Inputs!$B$13,-Inputs!$B$7,0)+IF(AND(Source_Data!AH$6&gt;=$B$46,Source_Data!AH$6&lt;$B$46+3*Inputs!$B$17,MOD(Source_Data!AH$6-$B$46,3)=0),Inputs!$B$8*Inputs!$B$7*Inputs!$B$35*$B$41*(1-Inputs!$B$16)/Inputs!$B$17,0)</f>
        <v>0</v>
      </c>
      <c r="AI55" s="33" t="n">
        <f aca="false">IF(Source_Data!AI$6=Inputs!$B$13,-Inputs!$B$7,0)+IF(AND(Source_Data!AI$6&gt;=$B$46,Source_Data!AI$6&lt;$B$46+3*Inputs!$B$17,MOD(Source_Data!AI$6-$B$46,3)=0),Inputs!$B$8*Inputs!$B$7*Inputs!$B$35*$B$41*(1-Inputs!$B$16)/Inputs!$B$17,0)</f>
        <v>0</v>
      </c>
      <c r="AJ55" s="33" t="n">
        <f aca="false">IF(Source_Data!AJ$6=Inputs!$B$13,-Inputs!$B$7,0)+IF(AND(Source_Data!AJ$6&gt;=$B$46,Source_Data!AJ$6&lt;$B$46+3*Inputs!$B$17,MOD(Source_Data!AJ$6-$B$46,3)=0),Inputs!$B$8*Inputs!$B$7*Inputs!$B$35*$B$41*(1-Inputs!$B$16)/Inputs!$B$17,0)</f>
        <v>0</v>
      </c>
      <c r="AK55" s="33" t="n">
        <f aca="false">IF(Source_Data!AK$6=Inputs!$B$13,-Inputs!$B$7,0)+IF(AND(Source_Data!AK$6&gt;=$B$46,Source_Data!AK$6&lt;$B$46+3*Inputs!$B$17,MOD(Source_Data!AK$6-$B$46,3)=0),Inputs!$B$8*Inputs!$B$7*Inputs!$B$35*$B$41*(1-Inputs!$B$16)/Inputs!$B$17,0)</f>
        <v>0</v>
      </c>
      <c r="AL55" s="33" t="n">
        <f aca="false">IF(Source_Data!AL$6=Inputs!$B$13,-Inputs!$B$7,0)+IF(AND(Source_Data!AL$6&gt;=$B$46,Source_Data!AL$6&lt;$B$46+3*Inputs!$B$17,MOD(Source_Data!AL$6-$B$46,3)=0),Inputs!$B$8*Inputs!$B$7*Inputs!$B$35*$B$41*(1-Inputs!$B$16)/Inputs!$B$17,0)</f>
        <v>0</v>
      </c>
      <c r="AM55" s="33" t="n">
        <f aca="false">IF(Source_Data!AM$6=Inputs!$B$13,-Inputs!$B$7,0)+IF(AND(Source_Data!AM$6&gt;=$B$46,Source_Data!AM$6&lt;$B$46+3*Inputs!$B$17,MOD(Source_Data!AM$6-$B$46,3)=0),Inputs!$B$8*Inputs!$B$7*Inputs!$B$35*$B$41*(1-Inputs!$B$16)/Inputs!$B$17,0)</f>
        <v>0</v>
      </c>
      <c r="AN55" s="33" t="n">
        <f aca="false">IF(Source_Data!AN$6=Inputs!$B$13,-Inputs!$B$7,0)+IF(AND(Source_Data!AN$6&gt;=$B$46,Source_Data!AN$6&lt;$B$46+3*Inputs!$B$17,MOD(Source_Data!AN$6-$B$46,3)=0),Inputs!$B$8*Inputs!$B$7*Inputs!$B$35*$B$41*(1-Inputs!$B$16)/Inputs!$B$17,0)</f>
        <v>0</v>
      </c>
      <c r="AO55" s="33" t="n">
        <f aca="false">IF(Source_Data!AO$6=Inputs!$B$13,-Inputs!$B$7,0)+IF(AND(Source_Data!AO$6&gt;=$B$46,Source_Data!AO$6&lt;$B$46+3*Inputs!$B$17,MOD(Source_Data!AO$6-$B$46,3)=0),Inputs!$B$8*Inputs!$B$7*Inputs!$B$35*$B$41*(1-Inputs!$B$16)/Inputs!$B$17,0)</f>
        <v>0</v>
      </c>
      <c r="AP55" s="33" t="n">
        <f aca="false">IF(Source_Data!AP$6=Inputs!$B$13,-Inputs!$B$7,0)+IF(AND(Source_Data!AP$6&gt;=$B$46,Source_Data!AP$6&lt;$B$46+3*Inputs!$B$17,MOD(Source_Data!AP$6-$B$46,3)=0),Inputs!$B$8*Inputs!$B$7*Inputs!$B$35*$B$41*(1-Inputs!$B$16)/Inputs!$B$17,0)</f>
        <v>0</v>
      </c>
      <c r="AQ55" s="33" t="n">
        <f aca="false">IF(Source_Data!AQ$6=Inputs!$B$13,-Inputs!$B$7,0)+IF(AND(Source_Data!AQ$6&gt;=$B$46,Source_Data!AQ$6&lt;$B$46+3*Inputs!$B$17,MOD(Source_Data!AQ$6-$B$46,3)=0),Inputs!$B$8*Inputs!$B$7*Inputs!$B$35*$B$41*(1-Inputs!$B$16)/Inputs!$B$17,0)</f>
        <v>0</v>
      </c>
      <c r="AR55" s="33" t="n">
        <f aca="false">IF(Source_Data!AR$6=Inputs!$B$13,-Inputs!$B$7,0)+IF(AND(Source_Data!AR$6&gt;=$B$46,Source_Data!AR$6&lt;$B$46+3*Inputs!$B$17,MOD(Source_Data!AR$6-$B$46,3)=0),Inputs!$B$8*Inputs!$B$7*Inputs!$B$35*$B$41*(1-Inputs!$B$16)/Inputs!$B$17,0)</f>
        <v>0</v>
      </c>
      <c r="AS55" s="33" t="n">
        <f aca="false">IF(Source_Data!AS$6=Inputs!$B$13,-Inputs!$B$7,0)+IF(AND(Source_Data!AS$6&gt;=$B$46,Source_Data!AS$6&lt;$B$46+3*Inputs!$B$17,MOD(Source_Data!AS$6-$B$46,3)=0),Inputs!$B$8*Inputs!$B$7*Inputs!$B$35*$B$41*(1-Inputs!$B$16)/Inputs!$B$17,0)</f>
        <v>0</v>
      </c>
      <c r="AT55" s="33" t="n">
        <f aca="false">IF(Source_Data!AT$6=Inputs!$B$13,-Inputs!$B$7,0)+IF(AND(Source_Data!AT$6&gt;=$B$46,Source_Data!AT$6&lt;$B$46+3*Inputs!$B$17,MOD(Source_Data!AT$6-$B$46,3)=0),Inputs!$B$8*Inputs!$B$7*Inputs!$B$35*$B$41*(1-Inputs!$B$16)/Inputs!$B$17,0)</f>
        <v>0</v>
      </c>
      <c r="AU55" s="33" t="n">
        <f aca="false">IF(Source_Data!AU$6=Inputs!$B$13,-Inputs!$B$7,0)+IF(AND(Source_Data!AU$6&gt;=$B$46,Source_Data!AU$6&lt;$B$46+3*Inputs!$B$17,MOD(Source_Data!AU$6-$B$46,3)=0),Inputs!$B$8*Inputs!$B$7*Inputs!$B$35*$B$41*(1-Inputs!$B$16)/Inputs!$B$17,0)</f>
        <v>0</v>
      </c>
      <c r="AV55" s="33" t="n">
        <f aca="false">IF(Source_Data!AV$6=Inputs!$B$13,-Inputs!$B$7,0)+IF(AND(Source_Data!AV$6&gt;=$B$46,Source_Data!AV$6&lt;$B$46+3*Inputs!$B$17,MOD(Source_Data!AV$6-$B$46,3)=0),Inputs!$B$8*Inputs!$B$7*Inputs!$B$35*$B$41*(1-Inputs!$B$16)/Inputs!$B$17,0)</f>
        <v>0</v>
      </c>
      <c r="AW55" s="33" t="n">
        <f aca="false">IF(Source_Data!AW$6=Inputs!$B$13,-Inputs!$B$7,0)+IF(AND(Source_Data!AW$6&gt;=$B$46,Source_Data!AW$6&lt;$B$46+3*Inputs!$B$17,MOD(Source_Data!AW$6-$B$46,3)=0),Inputs!$B$8*Inputs!$B$7*Inputs!$B$35*$B$41*(1-Inputs!$B$16)/Inputs!$B$17,0)</f>
        <v>0</v>
      </c>
      <c r="AX55" s="33" t="n">
        <f aca="false">IF(Source_Data!AX$6=Inputs!$B$13,-Inputs!$B$7,0)+IF(AND(Source_Data!AX$6&gt;=$B$46,Source_Data!AX$6&lt;$B$46+3*Inputs!$B$17,MOD(Source_Data!AX$6-$B$46,3)=0),Inputs!$B$8*Inputs!$B$7*Inputs!$B$35*$B$41*(1-Inputs!$B$16)/Inputs!$B$17,0)</f>
        <v>0</v>
      </c>
      <c r="AY55" s="33" t="n">
        <f aca="false">IF(Source_Data!AY$6=Inputs!$B$13,-Inputs!$B$7,0)+IF(AND(Source_Data!AY$6&gt;=$B$46,Source_Data!AY$6&lt;$B$46+3*Inputs!$B$17,MOD(Source_Data!AY$6-$B$46,3)=0),Inputs!$B$8*Inputs!$B$7*Inputs!$B$35*$B$41*(1-Inputs!$B$16)/Inputs!$B$17,0)</f>
        <v>0</v>
      </c>
      <c r="AZ55" s="33" t="n">
        <f aca="false">IF(Source_Data!AZ$6=Inputs!$B$13,-Inputs!$B$7,0)+IF(AND(Source_Data!AZ$6&gt;=$B$46,Source_Data!AZ$6&lt;$B$46+3*Inputs!$B$17,MOD(Source_Data!AZ$6-$B$46,3)=0),Inputs!$B$8*Inputs!$B$7*Inputs!$B$35*$B$41*(1-Inputs!$B$16)/Inputs!$B$17,0)</f>
        <v>0</v>
      </c>
      <c r="BA55" s="33" t="n">
        <f aca="false">IF(Source_Data!BA$6=Inputs!$B$13,-Inputs!$B$7,0)+IF(AND(Source_Data!BA$6&gt;=$B$46,Source_Data!BA$6&lt;$B$46+3*Inputs!$B$17,MOD(Source_Data!BA$6-$B$46,3)=0),Inputs!$B$8*Inputs!$B$7*Inputs!$B$35*$B$41*(1-Inputs!$B$16)/Inputs!$B$17,0)</f>
        <v>0</v>
      </c>
      <c r="BB55" s="33" t="n">
        <f aca="false">IF(Source_Data!BB$6=Inputs!$B$13,-Inputs!$B$7,0)+IF(AND(Source_Data!BB$6&gt;=$B$46,Source_Data!BB$6&lt;$B$46+3*Inputs!$B$17,MOD(Source_Data!BB$6-$B$46,3)=0),Inputs!$B$8*Inputs!$B$7*Inputs!$B$35*$B$41*(1-Inputs!$B$16)/Inputs!$B$17,0)</f>
        <v>0</v>
      </c>
      <c r="BC55" s="33" t="n">
        <f aca="false">IF(Source_Data!BC$6=Inputs!$B$13,-Inputs!$B$7,0)+IF(AND(Source_Data!BC$6&gt;=$B$46,Source_Data!BC$6&lt;$B$46+3*Inputs!$B$17,MOD(Source_Data!BC$6-$B$46,3)=0),Inputs!$B$8*Inputs!$B$7*Inputs!$B$35*$B$41*(1-Inputs!$B$16)/Inputs!$B$17,0)</f>
        <v>0</v>
      </c>
      <c r="BD55" s="33" t="n">
        <f aca="false">IF(Source_Data!BD$6=Inputs!$B$13,-Inputs!$B$7,0)+IF(AND(Source_Data!BD$6&gt;=$B$46,Source_Data!BD$6&lt;$B$46+3*Inputs!$B$17,MOD(Source_Data!BD$6-$B$46,3)=0),Inputs!$B$8*Inputs!$B$7*Inputs!$B$35*$B$41*(1-Inputs!$B$16)/Inputs!$B$17,0)</f>
        <v>0</v>
      </c>
      <c r="BE55" s="33" t="n">
        <f aca="false">IF(Source_Data!BE$6=Inputs!$B$13,-Inputs!$B$7,0)+IF(AND(Source_Data!BE$6&gt;=$B$46,Source_Data!BE$6&lt;$B$46+3*Inputs!$B$17,MOD(Source_Data!BE$6-$B$46,3)=0),Inputs!$B$8*Inputs!$B$7*Inputs!$B$35*$B$41*(1-Inputs!$B$16)/Inputs!$B$17,0)</f>
        <v>0</v>
      </c>
      <c r="BF55" s="33" t="n">
        <f aca="false">IF(Source_Data!BF$6=Inputs!$B$13,-Inputs!$B$7,0)+IF(AND(Source_Data!BF$6&gt;=$B$46,Source_Data!BF$6&lt;$B$46+3*Inputs!$B$17,MOD(Source_Data!BF$6-$B$46,3)=0),Inputs!$B$8*Inputs!$B$7*Inputs!$B$35*$B$41*(1-Inputs!$B$16)/Inputs!$B$17,0)</f>
        <v>0</v>
      </c>
      <c r="BG55" s="33" t="n">
        <f aca="false">IF(Source_Data!BG$6=Inputs!$B$13,-Inputs!$B$7,0)+IF(AND(Source_Data!BG$6&gt;=$B$46,Source_Data!BG$6&lt;$B$46+3*Inputs!$B$17,MOD(Source_Data!BG$6-$B$46,3)=0),Inputs!$B$8*Inputs!$B$7*Inputs!$B$35*$B$41*(1-Inputs!$B$16)/Inputs!$B$17,0)</f>
        <v>0</v>
      </c>
      <c r="BH55" s="33" t="n">
        <f aca="false">IF(Source_Data!BH$6=Inputs!$B$13,-Inputs!$B$7,0)+IF(AND(Source_Data!BH$6&gt;=$B$46,Source_Data!BH$6&lt;$B$46+3*Inputs!$B$17,MOD(Source_Data!BH$6-$B$46,3)=0),Inputs!$B$8*Inputs!$B$7*Inputs!$B$35*$B$41*(1-Inputs!$B$16)/Inputs!$B$17,0)</f>
        <v>0</v>
      </c>
      <c r="BI55" s="33" t="n">
        <f aca="false">IF(Source_Data!BI$6=Inputs!$B$13,-Inputs!$B$7,0)+IF(AND(Source_Data!BI$6&gt;=$B$46,Source_Data!BI$6&lt;$B$46+3*Inputs!$B$17,MOD(Source_Data!BI$6-$B$46,3)=0),Inputs!$B$8*Inputs!$B$7*Inputs!$B$35*$B$41*(1-Inputs!$B$16)/Inputs!$B$17,0)</f>
        <v>0</v>
      </c>
      <c r="BJ55" s="33" t="n">
        <f aca="false">IF(Source_Data!BJ$6=Inputs!$B$13,-Inputs!$B$7,0)+IF(AND(Source_Data!BJ$6&gt;=$B$46,Source_Data!BJ$6&lt;$B$46+3*Inputs!$B$17,MOD(Source_Data!BJ$6-$B$46,3)=0),Inputs!$B$8*Inputs!$B$7*Inputs!$B$35*$B$41*(1-Inputs!$B$16)/Inputs!$B$17,0)</f>
        <v>0</v>
      </c>
      <c r="BK55" s="33" t="n">
        <f aca="false">IF(Source_Data!BK$6=Inputs!$B$13,-Inputs!$B$7,0)+IF(AND(Source_Data!BK$6&gt;=$B$46,Source_Data!BK$6&lt;$B$46+3*Inputs!$B$17,MOD(Source_Data!BK$6-$B$46,3)=0),Inputs!$B$8*Inputs!$B$7*Inputs!$B$35*$B$41*(1-Inputs!$B$16)/Inputs!$B$17,0)</f>
        <v>0</v>
      </c>
    </row>
    <row r="56" customFormat="false" ht="15" hidden="false" customHeight="false" outlineLevel="0" collapsed="false">
      <c r="A56" s="3" t="s">
        <v>342</v>
      </c>
      <c r="D56" s="33" t="n">
        <f aca="false">IF(AND(Source_Data!D$6&gt;=Inputs!$B$55,Source_Data!D$6&lt;Inputs!$B$55+3*Inputs!$B$11),Inputs!$B$9*Inputs!$B$7/Inputs!$B$11,0)</f>
        <v>0</v>
      </c>
      <c r="E56" s="33" t="n">
        <f aca="false">IF(AND(Source_Data!E$6&gt;=Inputs!$B$55,Source_Data!E$6&lt;Inputs!$B$55+3*Inputs!$B$11),Inputs!$B$9*Inputs!$B$7/Inputs!$B$11,0)</f>
        <v>0</v>
      </c>
      <c r="F56" s="33" t="n">
        <f aca="false">IF(AND(Source_Data!F$6&gt;=Inputs!$B$55,Source_Data!F$6&lt;Inputs!$B$55+3*Inputs!$B$11),Inputs!$B$9*Inputs!$B$7/Inputs!$B$11,0)</f>
        <v>0</v>
      </c>
      <c r="G56" s="33" t="n">
        <f aca="false">IF(AND(Source_Data!G$6&gt;=Inputs!$B$55,Source_Data!G$6&lt;Inputs!$B$55+3*Inputs!$B$11),Inputs!$B$9*Inputs!$B$7/Inputs!$B$11,0)</f>
        <v>0</v>
      </c>
      <c r="H56" s="33" t="n">
        <f aca="false">IF(AND(Source_Data!H$6&gt;=Inputs!$B$55,Source_Data!H$6&lt;Inputs!$B$55+3*Inputs!$B$11),Inputs!$B$9*Inputs!$B$7/Inputs!$B$11,0)</f>
        <v>0</v>
      </c>
      <c r="I56" s="33" t="n">
        <f aca="false">IF(AND(Source_Data!I$6&gt;=Inputs!$B$55,Source_Data!I$6&lt;Inputs!$B$55+3*Inputs!$B$11),Inputs!$B$9*Inputs!$B$7/Inputs!$B$11,0)</f>
        <v>0</v>
      </c>
      <c r="J56" s="33" t="n">
        <f aca="false">IF(AND(Source_Data!J$6&gt;=Inputs!$B$55,Source_Data!J$6&lt;Inputs!$B$55+3*Inputs!$B$11),Inputs!$B$9*Inputs!$B$7/Inputs!$B$11,0)</f>
        <v>0</v>
      </c>
      <c r="K56" s="33" t="n">
        <f aca="false">IF(AND(Source_Data!K$6&gt;=Inputs!$B$55,Source_Data!K$6&lt;Inputs!$B$55+3*Inputs!$B$11),Inputs!$B$9*Inputs!$B$7/Inputs!$B$11,0)</f>
        <v>0</v>
      </c>
      <c r="L56" s="33" t="n">
        <f aca="false">IF(AND(Source_Data!L$6&gt;=Inputs!$B$55,Source_Data!L$6&lt;Inputs!$B$55+3*Inputs!$B$11),Inputs!$B$9*Inputs!$B$7/Inputs!$B$11,0)</f>
        <v>0</v>
      </c>
      <c r="M56" s="33" t="n">
        <f aca="false">IF(AND(Source_Data!M$6&gt;=Inputs!$B$55,Source_Data!M$6&lt;Inputs!$B$55+3*Inputs!$B$11),Inputs!$B$9*Inputs!$B$7/Inputs!$B$11,0)</f>
        <v>14.375</v>
      </c>
      <c r="N56" s="33" t="n">
        <f aca="false">IF(AND(Source_Data!N$6&gt;=Inputs!$B$55,Source_Data!N$6&lt;Inputs!$B$55+3*Inputs!$B$11),Inputs!$B$9*Inputs!$B$7/Inputs!$B$11,0)</f>
        <v>14.375</v>
      </c>
      <c r="O56" s="33" t="n">
        <f aca="false">IF(AND(Source_Data!O$6&gt;=Inputs!$B$55,Source_Data!O$6&lt;Inputs!$B$55+3*Inputs!$B$11),Inputs!$B$9*Inputs!$B$7/Inputs!$B$11,0)</f>
        <v>14.375</v>
      </c>
      <c r="P56" s="33" t="n">
        <f aca="false">IF(AND(Source_Data!P$6&gt;=Inputs!$B$55,Source_Data!P$6&lt;Inputs!$B$55+3*Inputs!$B$11),Inputs!$B$9*Inputs!$B$7/Inputs!$B$11,0)</f>
        <v>14.375</v>
      </c>
      <c r="Q56" s="33" t="n">
        <f aca="false">IF(AND(Source_Data!Q$6&gt;=Inputs!$B$55,Source_Data!Q$6&lt;Inputs!$B$55+3*Inputs!$B$11),Inputs!$B$9*Inputs!$B$7/Inputs!$B$11,0)</f>
        <v>14.375</v>
      </c>
      <c r="R56" s="33" t="n">
        <f aca="false">IF(AND(Source_Data!R$6&gt;=Inputs!$B$55,Source_Data!R$6&lt;Inputs!$B$55+3*Inputs!$B$11),Inputs!$B$9*Inputs!$B$7/Inputs!$B$11,0)</f>
        <v>14.375</v>
      </c>
      <c r="S56" s="33" t="n">
        <f aca="false">IF(AND(Source_Data!S$6&gt;=Inputs!$B$55,Source_Data!S$6&lt;Inputs!$B$55+3*Inputs!$B$11),Inputs!$B$9*Inputs!$B$7/Inputs!$B$11,0)</f>
        <v>14.375</v>
      </c>
      <c r="T56" s="33" t="n">
        <f aca="false">IF(AND(Source_Data!T$6&gt;=Inputs!$B$55,Source_Data!T$6&lt;Inputs!$B$55+3*Inputs!$B$11),Inputs!$B$9*Inputs!$B$7/Inputs!$B$11,0)</f>
        <v>14.375</v>
      </c>
      <c r="U56" s="33" t="n">
        <f aca="false">IF(AND(Source_Data!U$6&gt;=Inputs!$B$55,Source_Data!U$6&lt;Inputs!$B$55+3*Inputs!$B$11),Inputs!$B$9*Inputs!$B$7/Inputs!$B$11,0)</f>
        <v>14.375</v>
      </c>
      <c r="V56" s="33" t="n">
        <f aca="false">IF(AND(Source_Data!V$6&gt;=Inputs!$B$55,Source_Data!V$6&lt;Inputs!$B$55+3*Inputs!$B$11),Inputs!$B$9*Inputs!$B$7/Inputs!$B$11,0)</f>
        <v>14.375</v>
      </c>
      <c r="W56" s="33" t="n">
        <f aca="false">IF(AND(Source_Data!W$6&gt;=Inputs!$B$55,Source_Data!W$6&lt;Inputs!$B$55+3*Inputs!$B$11),Inputs!$B$9*Inputs!$B$7/Inputs!$B$11,0)</f>
        <v>14.375</v>
      </c>
      <c r="X56" s="33" t="n">
        <f aca="false">IF(AND(Source_Data!X$6&gt;=Inputs!$B$55,Source_Data!X$6&lt;Inputs!$B$55+3*Inputs!$B$11),Inputs!$B$9*Inputs!$B$7/Inputs!$B$11,0)</f>
        <v>14.375</v>
      </c>
      <c r="Y56" s="33" t="n">
        <f aca="false">IF(AND(Source_Data!Y$6&gt;=Inputs!$B$55,Source_Data!Y$6&lt;Inputs!$B$55+3*Inputs!$B$11),Inputs!$B$9*Inputs!$B$7/Inputs!$B$11,0)</f>
        <v>0</v>
      </c>
      <c r="Z56" s="33" t="n">
        <f aca="false">IF(AND(Source_Data!Z$6&gt;=Inputs!$B$55,Source_Data!Z$6&lt;Inputs!$B$55+3*Inputs!$B$11),Inputs!$B$9*Inputs!$B$7/Inputs!$B$11,0)</f>
        <v>0</v>
      </c>
      <c r="AA56" s="33" t="n">
        <f aca="false">IF(AND(Source_Data!AA$6&gt;=Inputs!$B$55,Source_Data!AA$6&lt;Inputs!$B$55+3*Inputs!$B$11),Inputs!$B$9*Inputs!$B$7/Inputs!$B$11,0)</f>
        <v>0</v>
      </c>
      <c r="AB56" s="33" t="n">
        <f aca="false">IF(AND(Source_Data!AB$6&gt;=Inputs!$B$55,Source_Data!AB$6&lt;Inputs!$B$55+3*Inputs!$B$11),Inputs!$B$9*Inputs!$B$7/Inputs!$B$11,0)</f>
        <v>0</v>
      </c>
      <c r="AC56" s="33" t="n">
        <f aca="false">IF(AND(Source_Data!AC$6&gt;=Inputs!$B$55,Source_Data!AC$6&lt;Inputs!$B$55+3*Inputs!$B$11),Inputs!$B$9*Inputs!$B$7/Inputs!$B$11,0)</f>
        <v>0</v>
      </c>
      <c r="AD56" s="33" t="n">
        <f aca="false">IF(AND(Source_Data!AD$6&gt;=Inputs!$B$55,Source_Data!AD$6&lt;Inputs!$B$55+3*Inputs!$B$11),Inputs!$B$9*Inputs!$B$7/Inputs!$B$11,0)</f>
        <v>0</v>
      </c>
      <c r="AE56" s="33" t="n">
        <f aca="false">IF(AND(Source_Data!AE$6&gt;=Inputs!$B$55,Source_Data!AE$6&lt;Inputs!$B$55+3*Inputs!$B$11),Inputs!$B$9*Inputs!$B$7/Inputs!$B$11,0)</f>
        <v>0</v>
      </c>
      <c r="AF56" s="33" t="n">
        <f aca="false">IF(AND(Source_Data!AF$6&gt;=Inputs!$B$55,Source_Data!AF$6&lt;Inputs!$B$55+3*Inputs!$B$11),Inputs!$B$9*Inputs!$B$7/Inputs!$B$11,0)</f>
        <v>0</v>
      </c>
      <c r="AG56" s="33" t="n">
        <f aca="false">IF(AND(Source_Data!AG$6&gt;=Inputs!$B$55,Source_Data!AG$6&lt;Inputs!$B$55+3*Inputs!$B$11),Inputs!$B$9*Inputs!$B$7/Inputs!$B$11,0)</f>
        <v>0</v>
      </c>
      <c r="AH56" s="33" t="n">
        <f aca="false">IF(AND(Source_Data!AH$6&gt;=Inputs!$B$55,Source_Data!AH$6&lt;Inputs!$B$55+3*Inputs!$B$11),Inputs!$B$9*Inputs!$B$7/Inputs!$B$11,0)</f>
        <v>0</v>
      </c>
      <c r="AI56" s="33" t="n">
        <f aca="false">IF(AND(Source_Data!AI$6&gt;=Inputs!$B$55,Source_Data!AI$6&lt;Inputs!$B$55+3*Inputs!$B$11),Inputs!$B$9*Inputs!$B$7/Inputs!$B$11,0)</f>
        <v>0</v>
      </c>
      <c r="AJ56" s="33" t="n">
        <f aca="false">IF(AND(Source_Data!AJ$6&gt;=Inputs!$B$55,Source_Data!AJ$6&lt;Inputs!$B$55+3*Inputs!$B$11),Inputs!$B$9*Inputs!$B$7/Inputs!$B$11,0)</f>
        <v>0</v>
      </c>
      <c r="AK56" s="33" t="n">
        <f aca="false">IF(AND(Source_Data!AK$6&gt;=Inputs!$B$55,Source_Data!AK$6&lt;Inputs!$B$55+3*Inputs!$B$11),Inputs!$B$9*Inputs!$B$7/Inputs!$B$11,0)</f>
        <v>0</v>
      </c>
      <c r="AL56" s="33" t="n">
        <f aca="false">IF(AND(Source_Data!AL$6&gt;=Inputs!$B$55,Source_Data!AL$6&lt;Inputs!$B$55+3*Inputs!$B$11),Inputs!$B$9*Inputs!$B$7/Inputs!$B$11,0)</f>
        <v>0</v>
      </c>
      <c r="AM56" s="33" t="n">
        <f aca="false">IF(AND(Source_Data!AM$6&gt;=Inputs!$B$55,Source_Data!AM$6&lt;Inputs!$B$55+3*Inputs!$B$11),Inputs!$B$9*Inputs!$B$7/Inputs!$B$11,0)</f>
        <v>0</v>
      </c>
      <c r="AN56" s="33" t="n">
        <f aca="false">IF(AND(Source_Data!AN$6&gt;=Inputs!$B$55,Source_Data!AN$6&lt;Inputs!$B$55+3*Inputs!$B$11),Inputs!$B$9*Inputs!$B$7/Inputs!$B$11,0)</f>
        <v>0</v>
      </c>
      <c r="AO56" s="33" t="n">
        <f aca="false">IF(AND(Source_Data!AO$6&gt;=Inputs!$B$55,Source_Data!AO$6&lt;Inputs!$B$55+3*Inputs!$B$11),Inputs!$B$9*Inputs!$B$7/Inputs!$B$11,0)</f>
        <v>0</v>
      </c>
      <c r="AP56" s="33" t="n">
        <f aca="false">IF(AND(Source_Data!AP$6&gt;=Inputs!$B$55,Source_Data!AP$6&lt;Inputs!$B$55+3*Inputs!$B$11),Inputs!$B$9*Inputs!$B$7/Inputs!$B$11,0)</f>
        <v>0</v>
      </c>
      <c r="AQ56" s="33" t="n">
        <f aca="false">IF(AND(Source_Data!AQ$6&gt;=Inputs!$B$55,Source_Data!AQ$6&lt;Inputs!$B$55+3*Inputs!$B$11),Inputs!$B$9*Inputs!$B$7/Inputs!$B$11,0)</f>
        <v>0</v>
      </c>
      <c r="AR56" s="33" t="n">
        <f aca="false">IF(AND(Source_Data!AR$6&gt;=Inputs!$B$55,Source_Data!AR$6&lt;Inputs!$B$55+3*Inputs!$B$11),Inputs!$B$9*Inputs!$B$7/Inputs!$B$11,0)</f>
        <v>0</v>
      </c>
      <c r="AS56" s="33" t="n">
        <f aca="false">IF(AND(Source_Data!AS$6&gt;=Inputs!$B$55,Source_Data!AS$6&lt;Inputs!$B$55+3*Inputs!$B$11),Inputs!$B$9*Inputs!$B$7/Inputs!$B$11,0)</f>
        <v>0</v>
      </c>
      <c r="AT56" s="33" t="n">
        <f aca="false">IF(AND(Source_Data!AT$6&gt;=Inputs!$B$55,Source_Data!AT$6&lt;Inputs!$B$55+3*Inputs!$B$11),Inputs!$B$9*Inputs!$B$7/Inputs!$B$11,0)</f>
        <v>0</v>
      </c>
      <c r="AU56" s="33" t="n">
        <f aca="false">IF(AND(Source_Data!AU$6&gt;=Inputs!$B$55,Source_Data!AU$6&lt;Inputs!$B$55+3*Inputs!$B$11),Inputs!$B$9*Inputs!$B$7/Inputs!$B$11,0)</f>
        <v>0</v>
      </c>
      <c r="AV56" s="33" t="n">
        <f aca="false">IF(AND(Source_Data!AV$6&gt;=Inputs!$B$55,Source_Data!AV$6&lt;Inputs!$B$55+3*Inputs!$B$11),Inputs!$B$9*Inputs!$B$7/Inputs!$B$11,0)</f>
        <v>0</v>
      </c>
      <c r="AW56" s="33" t="n">
        <f aca="false">IF(AND(Source_Data!AW$6&gt;=Inputs!$B$55,Source_Data!AW$6&lt;Inputs!$B$55+3*Inputs!$B$11),Inputs!$B$9*Inputs!$B$7/Inputs!$B$11,0)</f>
        <v>0</v>
      </c>
      <c r="AX56" s="33" t="n">
        <f aca="false">IF(AND(Source_Data!AX$6&gt;=Inputs!$B$55,Source_Data!AX$6&lt;Inputs!$B$55+3*Inputs!$B$11),Inputs!$B$9*Inputs!$B$7/Inputs!$B$11,0)</f>
        <v>0</v>
      </c>
      <c r="AY56" s="33" t="n">
        <f aca="false">IF(AND(Source_Data!AY$6&gt;=Inputs!$B$55,Source_Data!AY$6&lt;Inputs!$B$55+3*Inputs!$B$11),Inputs!$B$9*Inputs!$B$7/Inputs!$B$11,0)</f>
        <v>0</v>
      </c>
      <c r="AZ56" s="33" t="n">
        <f aca="false">IF(AND(Source_Data!AZ$6&gt;=Inputs!$B$55,Source_Data!AZ$6&lt;Inputs!$B$55+3*Inputs!$B$11),Inputs!$B$9*Inputs!$B$7/Inputs!$B$11,0)</f>
        <v>0</v>
      </c>
      <c r="BA56" s="33" t="n">
        <f aca="false">IF(AND(Source_Data!BA$6&gt;=Inputs!$B$55,Source_Data!BA$6&lt;Inputs!$B$55+3*Inputs!$B$11),Inputs!$B$9*Inputs!$B$7/Inputs!$B$11,0)</f>
        <v>0</v>
      </c>
      <c r="BB56" s="33" t="n">
        <f aca="false">IF(AND(Source_Data!BB$6&gt;=Inputs!$B$55,Source_Data!BB$6&lt;Inputs!$B$55+3*Inputs!$B$11),Inputs!$B$9*Inputs!$B$7/Inputs!$B$11,0)</f>
        <v>0</v>
      </c>
      <c r="BC56" s="33" t="n">
        <f aca="false">IF(AND(Source_Data!BC$6&gt;=Inputs!$B$55,Source_Data!BC$6&lt;Inputs!$B$55+3*Inputs!$B$11),Inputs!$B$9*Inputs!$B$7/Inputs!$B$11,0)</f>
        <v>0</v>
      </c>
      <c r="BD56" s="33" t="n">
        <f aca="false">IF(AND(Source_Data!BD$6&gt;=Inputs!$B$55,Source_Data!BD$6&lt;Inputs!$B$55+3*Inputs!$B$11),Inputs!$B$9*Inputs!$B$7/Inputs!$B$11,0)</f>
        <v>0</v>
      </c>
      <c r="BE56" s="33" t="n">
        <f aca="false">IF(AND(Source_Data!BE$6&gt;=Inputs!$B$55,Source_Data!BE$6&lt;Inputs!$B$55+3*Inputs!$B$11),Inputs!$B$9*Inputs!$B$7/Inputs!$B$11,0)</f>
        <v>0</v>
      </c>
      <c r="BF56" s="33" t="n">
        <f aca="false">IF(AND(Source_Data!BF$6&gt;=Inputs!$B$55,Source_Data!BF$6&lt;Inputs!$B$55+3*Inputs!$B$11),Inputs!$B$9*Inputs!$B$7/Inputs!$B$11,0)</f>
        <v>0</v>
      </c>
      <c r="BG56" s="33" t="n">
        <f aca="false">IF(AND(Source_Data!BG$6&gt;=Inputs!$B$55,Source_Data!BG$6&lt;Inputs!$B$55+3*Inputs!$B$11),Inputs!$B$9*Inputs!$B$7/Inputs!$B$11,0)</f>
        <v>0</v>
      </c>
      <c r="BH56" s="33" t="n">
        <f aca="false">IF(AND(Source_Data!BH$6&gt;=Inputs!$B$55,Source_Data!BH$6&lt;Inputs!$B$55+3*Inputs!$B$11),Inputs!$B$9*Inputs!$B$7/Inputs!$B$11,0)</f>
        <v>0</v>
      </c>
      <c r="BI56" s="33" t="n">
        <f aca="false">IF(AND(Source_Data!BI$6&gt;=Inputs!$B$55,Source_Data!BI$6&lt;Inputs!$B$55+3*Inputs!$B$11),Inputs!$B$9*Inputs!$B$7/Inputs!$B$11,0)</f>
        <v>0</v>
      </c>
      <c r="BJ56" s="33" t="n">
        <f aca="false">IF(AND(Source_Data!BJ$6&gt;=Inputs!$B$55,Source_Data!BJ$6&lt;Inputs!$B$55+3*Inputs!$B$11),Inputs!$B$9*Inputs!$B$7/Inputs!$B$11,0)</f>
        <v>0</v>
      </c>
      <c r="BK56" s="33" t="n">
        <f aca="false">IF(AND(Source_Data!BK$6&gt;=Inputs!$B$55,Source_Data!BK$6&lt;Inputs!$B$55+3*Inputs!$B$11),Inputs!$B$9*Inputs!$B$7/Inputs!$B$11,0)</f>
        <v>0</v>
      </c>
    </row>
    <row r="57" customFormat="false" ht="15" hidden="false" customHeight="false" outlineLevel="0" collapsed="false">
      <c r="A57" s="3" t="s">
        <v>343</v>
      </c>
      <c r="D57" s="33" t="n">
        <f aca="false">IF(Source_Data!D$6=Inputs!$B$13,-Inputs!$B$7,0)+D56</f>
        <v>-75</v>
      </c>
      <c r="E57" s="33" t="n">
        <f aca="false">IF(Source_Data!E$6=Inputs!$B$13,-Inputs!$B$7,0)+E56</f>
        <v>0</v>
      </c>
      <c r="F57" s="33" t="n">
        <f aca="false">IF(Source_Data!F$6=Inputs!$B$13,-Inputs!$B$7,0)+F56</f>
        <v>0</v>
      </c>
      <c r="G57" s="33" t="n">
        <f aca="false">IF(Source_Data!G$6=Inputs!$B$13,-Inputs!$B$7,0)+G56</f>
        <v>0</v>
      </c>
      <c r="H57" s="33" t="n">
        <f aca="false">IF(Source_Data!H$6=Inputs!$B$13,-Inputs!$B$7,0)+H56</f>
        <v>0</v>
      </c>
      <c r="I57" s="33" t="n">
        <f aca="false">IF(Source_Data!I$6=Inputs!$B$13,-Inputs!$B$7,0)+I56</f>
        <v>0</v>
      </c>
      <c r="J57" s="33" t="n">
        <f aca="false">IF(Source_Data!J$6=Inputs!$B$13,-Inputs!$B$7,0)+J56</f>
        <v>0</v>
      </c>
      <c r="K57" s="33" t="n">
        <f aca="false">IF(Source_Data!K$6=Inputs!$B$13,-Inputs!$B$7,0)+K56</f>
        <v>0</v>
      </c>
      <c r="L57" s="33" t="n">
        <f aca="false">IF(Source_Data!L$6=Inputs!$B$13,-Inputs!$B$7,0)+L56</f>
        <v>0</v>
      </c>
      <c r="M57" s="33" t="n">
        <f aca="false">IF(Source_Data!M$6=Inputs!$B$13,-Inputs!$B$7,0)+M56</f>
        <v>14.375</v>
      </c>
      <c r="N57" s="33" t="n">
        <f aca="false">IF(Source_Data!N$6=Inputs!$B$13,-Inputs!$B$7,0)+N56</f>
        <v>14.375</v>
      </c>
      <c r="O57" s="33" t="n">
        <f aca="false">IF(Source_Data!O$6=Inputs!$B$13,-Inputs!$B$7,0)+O56</f>
        <v>14.375</v>
      </c>
      <c r="P57" s="33" t="n">
        <f aca="false">IF(Source_Data!P$6=Inputs!$B$13,-Inputs!$B$7,0)+P56</f>
        <v>14.375</v>
      </c>
      <c r="Q57" s="33" t="n">
        <f aca="false">IF(Source_Data!Q$6=Inputs!$B$13,-Inputs!$B$7,0)+Q56</f>
        <v>14.375</v>
      </c>
      <c r="R57" s="33" t="n">
        <f aca="false">IF(Source_Data!R$6=Inputs!$B$13,-Inputs!$B$7,0)+R56</f>
        <v>14.375</v>
      </c>
      <c r="S57" s="33" t="n">
        <f aca="false">IF(Source_Data!S$6=Inputs!$B$13,-Inputs!$B$7,0)+S56</f>
        <v>14.375</v>
      </c>
      <c r="T57" s="33" t="n">
        <f aca="false">IF(Source_Data!T$6=Inputs!$B$13,-Inputs!$B$7,0)+T56</f>
        <v>14.375</v>
      </c>
      <c r="U57" s="33" t="n">
        <f aca="false">IF(Source_Data!U$6=Inputs!$B$13,-Inputs!$B$7,0)+U56</f>
        <v>14.375</v>
      </c>
      <c r="V57" s="33" t="n">
        <f aca="false">IF(Source_Data!V$6=Inputs!$B$13,-Inputs!$B$7,0)+V56</f>
        <v>14.375</v>
      </c>
      <c r="W57" s="33" t="n">
        <f aca="false">IF(Source_Data!W$6=Inputs!$B$13,-Inputs!$B$7,0)+W56</f>
        <v>14.375</v>
      </c>
      <c r="X57" s="33" t="n">
        <f aca="false">IF(Source_Data!X$6=Inputs!$B$13,-Inputs!$B$7,0)+X56</f>
        <v>14.375</v>
      </c>
      <c r="Y57" s="33" t="n">
        <f aca="false">IF(Source_Data!Y$6=Inputs!$B$13,-Inputs!$B$7,0)+Y56</f>
        <v>0</v>
      </c>
      <c r="Z57" s="33" t="n">
        <f aca="false">IF(Source_Data!Z$6=Inputs!$B$13,-Inputs!$B$7,0)+Z56</f>
        <v>0</v>
      </c>
      <c r="AA57" s="33" t="n">
        <f aca="false">IF(Source_Data!AA$6=Inputs!$B$13,-Inputs!$B$7,0)+AA56</f>
        <v>0</v>
      </c>
      <c r="AB57" s="33" t="n">
        <f aca="false">IF(Source_Data!AB$6=Inputs!$B$13,-Inputs!$B$7,0)+AB56</f>
        <v>0</v>
      </c>
      <c r="AC57" s="33" t="n">
        <f aca="false">IF(Source_Data!AC$6=Inputs!$B$13,-Inputs!$B$7,0)+AC56</f>
        <v>0</v>
      </c>
      <c r="AD57" s="33" t="n">
        <f aca="false">IF(Source_Data!AD$6=Inputs!$B$13,-Inputs!$B$7,0)+AD56</f>
        <v>0</v>
      </c>
      <c r="AE57" s="33" t="n">
        <f aca="false">IF(Source_Data!AE$6=Inputs!$B$13,-Inputs!$B$7,0)+AE56</f>
        <v>0</v>
      </c>
      <c r="AF57" s="33" t="n">
        <f aca="false">IF(Source_Data!AF$6=Inputs!$B$13,-Inputs!$B$7,0)+AF56</f>
        <v>0</v>
      </c>
      <c r="AG57" s="33" t="n">
        <f aca="false">IF(Source_Data!AG$6=Inputs!$B$13,-Inputs!$B$7,0)+AG56</f>
        <v>0</v>
      </c>
      <c r="AH57" s="33" t="n">
        <f aca="false">IF(Source_Data!AH$6=Inputs!$B$13,-Inputs!$B$7,0)+AH56</f>
        <v>0</v>
      </c>
      <c r="AI57" s="33" t="n">
        <f aca="false">IF(Source_Data!AI$6=Inputs!$B$13,-Inputs!$B$7,0)+AI56</f>
        <v>0</v>
      </c>
      <c r="AJ57" s="33" t="n">
        <f aca="false">IF(Source_Data!AJ$6=Inputs!$B$13,-Inputs!$B$7,0)+AJ56</f>
        <v>0</v>
      </c>
      <c r="AK57" s="33" t="n">
        <f aca="false">IF(Source_Data!AK$6=Inputs!$B$13,-Inputs!$B$7,0)+AK56</f>
        <v>0</v>
      </c>
      <c r="AL57" s="33" t="n">
        <f aca="false">IF(Source_Data!AL$6=Inputs!$B$13,-Inputs!$B$7,0)+AL56</f>
        <v>0</v>
      </c>
      <c r="AM57" s="33" t="n">
        <f aca="false">IF(Source_Data!AM$6=Inputs!$B$13,-Inputs!$B$7,0)+AM56</f>
        <v>0</v>
      </c>
      <c r="AN57" s="33" t="n">
        <f aca="false">IF(Source_Data!AN$6=Inputs!$B$13,-Inputs!$B$7,0)+AN56</f>
        <v>0</v>
      </c>
      <c r="AO57" s="33" t="n">
        <f aca="false">IF(Source_Data!AO$6=Inputs!$B$13,-Inputs!$B$7,0)+AO56</f>
        <v>0</v>
      </c>
      <c r="AP57" s="33" t="n">
        <f aca="false">IF(Source_Data!AP$6=Inputs!$B$13,-Inputs!$B$7,0)+AP56</f>
        <v>0</v>
      </c>
      <c r="AQ57" s="33" t="n">
        <f aca="false">IF(Source_Data!AQ$6=Inputs!$B$13,-Inputs!$B$7,0)+AQ56</f>
        <v>0</v>
      </c>
      <c r="AR57" s="33" t="n">
        <f aca="false">IF(Source_Data!AR$6=Inputs!$B$13,-Inputs!$B$7,0)+AR56</f>
        <v>0</v>
      </c>
      <c r="AS57" s="33" t="n">
        <f aca="false">IF(Source_Data!AS$6=Inputs!$B$13,-Inputs!$B$7,0)+AS56</f>
        <v>0</v>
      </c>
      <c r="AT57" s="33" t="n">
        <f aca="false">IF(Source_Data!AT$6=Inputs!$B$13,-Inputs!$B$7,0)+AT56</f>
        <v>0</v>
      </c>
      <c r="AU57" s="33" t="n">
        <f aca="false">IF(Source_Data!AU$6=Inputs!$B$13,-Inputs!$B$7,0)+AU56</f>
        <v>0</v>
      </c>
      <c r="AV57" s="33" t="n">
        <f aca="false">IF(Source_Data!AV$6=Inputs!$B$13,-Inputs!$B$7,0)+AV56</f>
        <v>0</v>
      </c>
      <c r="AW57" s="33" t="n">
        <f aca="false">IF(Source_Data!AW$6=Inputs!$B$13,-Inputs!$B$7,0)+AW56</f>
        <v>0</v>
      </c>
      <c r="AX57" s="33" t="n">
        <f aca="false">IF(Source_Data!AX$6=Inputs!$B$13,-Inputs!$B$7,0)+AX56</f>
        <v>0</v>
      </c>
      <c r="AY57" s="33" t="n">
        <f aca="false">IF(Source_Data!AY$6=Inputs!$B$13,-Inputs!$B$7,0)+AY56</f>
        <v>0</v>
      </c>
      <c r="AZ57" s="33" t="n">
        <f aca="false">IF(Source_Data!AZ$6=Inputs!$B$13,-Inputs!$B$7,0)+AZ56</f>
        <v>0</v>
      </c>
      <c r="BA57" s="33" t="n">
        <f aca="false">IF(Source_Data!BA$6=Inputs!$B$13,-Inputs!$B$7,0)+BA56</f>
        <v>0</v>
      </c>
      <c r="BB57" s="33" t="n">
        <f aca="false">IF(Source_Data!BB$6=Inputs!$B$13,-Inputs!$B$7,0)+BB56</f>
        <v>0</v>
      </c>
      <c r="BC57" s="33" t="n">
        <f aca="false">IF(Source_Data!BC$6=Inputs!$B$13,-Inputs!$B$7,0)+BC56</f>
        <v>0</v>
      </c>
      <c r="BD57" s="33" t="n">
        <f aca="false">IF(Source_Data!BD$6=Inputs!$B$13,-Inputs!$B$7,0)+BD56</f>
        <v>0</v>
      </c>
      <c r="BE57" s="33" t="n">
        <f aca="false">IF(Source_Data!BE$6=Inputs!$B$13,-Inputs!$B$7,0)+BE56</f>
        <v>0</v>
      </c>
      <c r="BF57" s="33" t="n">
        <f aca="false">IF(Source_Data!BF$6=Inputs!$B$13,-Inputs!$B$7,0)+BF56</f>
        <v>0</v>
      </c>
      <c r="BG57" s="33" t="n">
        <f aca="false">IF(Source_Data!BG$6=Inputs!$B$13,-Inputs!$B$7,0)+BG56</f>
        <v>0</v>
      </c>
      <c r="BH57" s="33" t="n">
        <f aca="false">IF(Source_Data!BH$6=Inputs!$B$13,-Inputs!$B$7,0)+BH56</f>
        <v>0</v>
      </c>
      <c r="BI57" s="33" t="n">
        <f aca="false">IF(Source_Data!BI$6=Inputs!$B$13,-Inputs!$B$7,0)+BI56</f>
        <v>0</v>
      </c>
      <c r="BJ57" s="33" t="n">
        <f aca="false">IF(Source_Data!BJ$6=Inputs!$B$13,-Inputs!$B$7,0)+BJ56</f>
        <v>0</v>
      </c>
      <c r="BK57" s="33" t="n">
        <f aca="false">IF(Source_Data!BK$6=Inputs!$B$13,-Inputs!$B$7,0)+BK56</f>
        <v>0</v>
      </c>
    </row>
    <row r="58" customFormat="false" ht="15" hidden="false" customHeight="false" outlineLevel="0" collapsed="false">
      <c r="A58" s="3" t="s">
        <v>344</v>
      </c>
      <c r="D58" s="33" t="n">
        <f aca="false">IF(Source_Data!D$6=Inputs!$B$13,Inputs!$B$7,0)+D53-D56</f>
        <v>-16.25</v>
      </c>
      <c r="E58" s="33" t="n">
        <f aca="false">D58+IF(Source_Data!E$6=Inputs!$B$13,Inputs!$B$7,0)+E53-E56</f>
        <v>-27.5</v>
      </c>
      <c r="F58" s="33" t="n">
        <f aca="false">E58+IF(Source_Data!F$6=Inputs!$B$13,Inputs!$B$7,0)+F53-F56</f>
        <v>-38.75</v>
      </c>
      <c r="G58" s="33" t="n">
        <f aca="false">F58+IF(Source_Data!G$6=Inputs!$B$13,Inputs!$B$7,0)+G53-G56</f>
        <v>-50</v>
      </c>
      <c r="H58" s="33" t="n">
        <f aca="false">G58+IF(Source_Data!H$6=Inputs!$B$13,Inputs!$B$7,0)+H53-H56</f>
        <v>-95.5</v>
      </c>
      <c r="I58" s="33" t="n">
        <f aca="false">H58+IF(Source_Data!I$6=Inputs!$B$13,Inputs!$B$7,0)+I53-I56</f>
        <v>-148.36</v>
      </c>
      <c r="J58" s="33" t="n">
        <f aca="false">I58+IF(Source_Data!J$6=Inputs!$B$13,Inputs!$B$7,0)+J53-J56</f>
        <v>-203.23468625</v>
      </c>
      <c r="K58" s="33" t="n">
        <f aca="false">J58+IF(Source_Data!K$6=Inputs!$B$13,Inputs!$B$7,0)+K53-K56</f>
        <v>-228.84405875</v>
      </c>
      <c r="L58" s="33" t="n">
        <f aca="false">K58+IF(Source_Data!L$6=Inputs!$B$13,Inputs!$B$7,0)+L53-L56</f>
        <v>-251.093253125</v>
      </c>
      <c r="M58" s="33" t="n">
        <f aca="false">L58+IF(Source_Data!M$6=Inputs!$B$13,Inputs!$B$7,0)+M53-M56</f>
        <v>-273.107269375</v>
      </c>
      <c r="N58" s="33" t="n">
        <f aca="false">M58+IF(Source_Data!N$6=Inputs!$B$13,Inputs!$B$7,0)+N53-N56</f>
        <v>-282.075390375</v>
      </c>
      <c r="O58" s="33" t="n">
        <f aca="false">N58+IF(Source_Data!O$6=Inputs!$B$13,Inputs!$B$7,0)+O53-O56</f>
        <v>-290.0464379375</v>
      </c>
      <c r="P58" s="33" t="n">
        <f aca="false">O58+IF(Source_Data!P$6=Inputs!$B$13,Inputs!$B$7,0)+P53-P56</f>
        <v>-423.69460834375</v>
      </c>
      <c r="Q58" s="33" t="n">
        <f aca="false">P58+IF(Source_Data!Q$6=Inputs!$B$13,Inputs!$B$7,0)+Q53-Q56</f>
        <v>-183.91028859375</v>
      </c>
      <c r="R58" s="33" t="n">
        <f aca="false">Q58+IF(Source_Data!R$6=Inputs!$B$13,Inputs!$B$7,0)+R53-R56</f>
        <v>-271.15542259375</v>
      </c>
      <c r="S58" s="33" t="n">
        <f aca="false">R58+IF(Source_Data!S$6=Inputs!$B$13,Inputs!$B$7,0)+S53-S56</f>
        <v>-312.48993159375</v>
      </c>
      <c r="T58" s="33" t="n">
        <f aca="false">S58+IF(Source_Data!T$6=Inputs!$B$13,Inputs!$B$7,0)+T53-T56</f>
        <v>-291.21349259375</v>
      </c>
      <c r="U58" s="33" t="n">
        <f aca="false">T58+IF(Source_Data!U$6=Inputs!$B$13,Inputs!$B$7,0)+U53-U56</f>
        <v>-294.74424071875</v>
      </c>
      <c r="V58" s="33" t="n">
        <f aca="false">U58+IF(Source_Data!V$6=Inputs!$B$13,Inputs!$B$7,0)+V53-V56</f>
        <v>-298.27498884375</v>
      </c>
      <c r="W58" s="33" t="n">
        <f aca="false">V58+IF(Source_Data!W$6=Inputs!$B$13,Inputs!$B$7,0)+W53-W56</f>
        <v>-302.40723678125</v>
      </c>
      <c r="X58" s="33" t="n">
        <f aca="false">W58+IF(Source_Data!X$6=Inputs!$B$13,Inputs!$B$7,0)+X53-X56</f>
        <v>-284.1782610625</v>
      </c>
      <c r="Y58" s="33" t="n">
        <f aca="false">X58+IF(Source_Data!Y$6=Inputs!$B$13,Inputs!$B$7,0)+Y53-Y56</f>
        <v>-252.93681671875</v>
      </c>
      <c r="Z58" s="33" t="n">
        <f aca="false">Y58+IF(Source_Data!Z$6=Inputs!$B$13,Inputs!$B$7,0)+Z53-Z56</f>
        <v>-227.0852665</v>
      </c>
      <c r="AA58" s="33" t="n">
        <f aca="false">Z58+IF(Source_Data!AA$6=Inputs!$B$13,Inputs!$B$7,0)+AA53-AA56</f>
        <v>-205.14061628125</v>
      </c>
      <c r="AB58" s="33" t="n">
        <f aca="false">AA58+IF(Source_Data!AB$6=Inputs!$B$13,Inputs!$B$7,0)+AB53-AB56</f>
        <v>-160.6959660625</v>
      </c>
      <c r="AC58" s="33" t="n">
        <f aca="false">AB58+IF(Source_Data!AC$6=Inputs!$B$13,Inputs!$B$7,0)+AC53-AC56</f>
        <v>-122.80351271875</v>
      </c>
      <c r="AD58" s="33" t="n">
        <f aca="false">AC58+IF(Source_Data!AD$6=Inputs!$B$13,Inputs!$B$7,0)+AD53-AD56</f>
        <v>-84.9110593750001</v>
      </c>
      <c r="AE58" s="33" t="n">
        <f aca="false">AD58+IF(Source_Data!AE$6=Inputs!$B$13,Inputs!$B$7,0)+AE53-AE56</f>
        <v>-47.0186060312501</v>
      </c>
      <c r="AF58" s="33" t="n">
        <f aca="false">AE58+IF(Source_Data!AF$6=Inputs!$B$13,Inputs!$B$7,0)+AF53-AF56</f>
        <v>-64.8898274453604</v>
      </c>
      <c r="AG58" s="33" t="n">
        <f aca="false">AF58+IF(Source_Data!AG$6=Inputs!$B$13,Inputs!$B$7,0)+AG53-AG56</f>
        <v>-40.3046639958146</v>
      </c>
      <c r="AH58" s="33" t="n">
        <f aca="false">AG58+IF(Source_Data!AH$6=Inputs!$B$13,Inputs!$B$7,0)+AH53-AH56</f>
        <v>-18.9671111712687</v>
      </c>
      <c r="AI58" s="33" t="n">
        <f aca="false">AH58+IF(Source_Data!AI$6=Inputs!$B$13,Inputs!$B$7,0)+AI53-AI56</f>
        <v>-1.53645834672289</v>
      </c>
      <c r="AJ58" s="33" t="n">
        <f aca="false">AI58+IF(Source_Data!AJ$6=Inputs!$B$13,Inputs!$B$7,0)+AJ53-AJ56</f>
        <v>15.894194477823</v>
      </c>
      <c r="AK58" s="33" t="n">
        <f aca="false">AJ58+IF(Source_Data!AK$6=Inputs!$B$13,Inputs!$B$7,0)+AK53-AK56</f>
        <v>33.77313102887</v>
      </c>
      <c r="AL58" s="33" t="n">
        <f aca="false">AK58+IF(Source_Data!AL$6=Inputs!$B$13,Inputs!$B$7,0)+AL53-AL56</f>
        <v>51.6520675799171</v>
      </c>
      <c r="AM58" s="33" t="n">
        <f aca="false">AL58+IF(Source_Data!AM$6=Inputs!$B$13,Inputs!$B$7,0)+AM53-AM56</f>
        <v>70.3859916441172</v>
      </c>
      <c r="AN58" s="33" t="n">
        <f aca="false">AM58+IF(Source_Data!AN$6=Inputs!$B$13,Inputs!$B$7,0)+AN53-AN56</f>
        <v>90.9904561273454</v>
      </c>
      <c r="AO58" s="33" t="n">
        <f aca="false">AN58+IF(Source_Data!AO$6=Inputs!$B$13,Inputs!$B$7,0)+AO53-AO56</f>
        <v>110.87220475</v>
      </c>
      <c r="AP58" s="33" t="n">
        <f aca="false">AO58+IF(Source_Data!AP$6=Inputs!$B$13,Inputs!$B$7,0)+AP53-AP56</f>
        <v>131.4867998125</v>
      </c>
      <c r="AQ58" s="33" t="n">
        <f aca="false">AP58+IF(Source_Data!AQ$6=Inputs!$B$13,Inputs!$B$7,0)+AQ53-AQ56</f>
        <v>148.35239875</v>
      </c>
      <c r="AR58" s="33" t="n">
        <f aca="false">AQ58+IF(Source_Data!AR$6=Inputs!$B$13,Inputs!$B$7,0)+AR53-AR56</f>
        <v>157.0159495</v>
      </c>
      <c r="AS58" s="33" t="n">
        <f aca="false">AR58+IF(Source_Data!AS$6=Inputs!$B$13,Inputs!$B$7,0)+AS53-AS56</f>
        <v>160.22937475</v>
      </c>
      <c r="AT58" s="33" t="n">
        <f aca="false">AS58+IF(Source_Data!AT$6=Inputs!$B$13,Inputs!$B$7,0)+AT53-AT56</f>
        <v>160.22937475</v>
      </c>
      <c r="AU58" s="33" t="n">
        <f aca="false">AT58+IF(Source_Data!AU$6=Inputs!$B$13,Inputs!$B$7,0)+AU53-AU56</f>
        <v>160.22937475</v>
      </c>
      <c r="AV58" s="33" t="n">
        <f aca="false">AU58+IF(Source_Data!AV$6=Inputs!$B$13,Inputs!$B$7,0)+AV53-AV56</f>
        <v>160.22937475</v>
      </c>
      <c r="AW58" s="33" t="n">
        <f aca="false">AV58+IF(Source_Data!AW$6=Inputs!$B$13,Inputs!$B$7,0)+AW53-AW56</f>
        <v>160.22937475</v>
      </c>
      <c r="AX58" s="33" t="n">
        <f aca="false">AW58+IF(Source_Data!AX$6=Inputs!$B$13,Inputs!$B$7,0)+AX53-AX56</f>
        <v>160.22937475</v>
      </c>
      <c r="AY58" s="33" t="n">
        <f aca="false">AX58+IF(Source_Data!AY$6=Inputs!$B$13,Inputs!$B$7,0)+AY53-AY56</f>
        <v>160.22937475</v>
      </c>
      <c r="AZ58" s="33" t="n">
        <f aca="false">AY58+IF(Source_Data!AZ$6=Inputs!$B$13,Inputs!$B$7,0)+AZ53-AZ56</f>
        <v>160.22937475</v>
      </c>
      <c r="BA58" s="33" t="n">
        <f aca="false">AZ58+IF(Source_Data!BA$6=Inputs!$B$13,Inputs!$B$7,0)+BA53-BA56</f>
        <v>160.22937475</v>
      </c>
      <c r="BB58" s="33" t="n">
        <f aca="false">BA58+IF(Source_Data!BB$6=Inputs!$B$13,Inputs!$B$7,0)+BB53-BB56</f>
        <v>160.22937475</v>
      </c>
      <c r="BC58" s="33" t="n">
        <f aca="false">BB58+IF(Source_Data!BC$6=Inputs!$B$13,Inputs!$B$7,0)+BC53-BC56</f>
        <v>160.22937475</v>
      </c>
      <c r="BD58" s="33" t="n">
        <f aca="false">BC58+IF(Source_Data!BD$6=Inputs!$B$13,Inputs!$B$7,0)+BD53-BD56</f>
        <v>160.22937475</v>
      </c>
      <c r="BE58" s="33" t="n">
        <f aca="false">BD58+IF(Source_Data!BE$6=Inputs!$B$13,Inputs!$B$7,0)+BE53-BE56</f>
        <v>160.22937475</v>
      </c>
      <c r="BF58" s="33" t="n">
        <f aca="false">BE58+IF(Source_Data!BF$6=Inputs!$B$13,Inputs!$B$7,0)+BF53-BF56</f>
        <v>160.22937475</v>
      </c>
      <c r="BG58" s="33" t="n">
        <f aca="false">BF58+IF(Source_Data!BG$6=Inputs!$B$13,Inputs!$B$7,0)+BG53-BG56</f>
        <v>160.22937475</v>
      </c>
      <c r="BH58" s="33" t="n">
        <f aca="false">BG58+IF(Source_Data!BH$6=Inputs!$B$13,Inputs!$B$7,0)+BH53-BH56</f>
        <v>160.22937475</v>
      </c>
      <c r="BI58" s="33" t="n">
        <f aca="false">BH58+IF(Source_Data!BI$6=Inputs!$B$13,Inputs!$B$7,0)+BI53-BI56</f>
        <v>160.22937475</v>
      </c>
      <c r="BJ58" s="33" t="n">
        <f aca="false">BI58+IF(Source_Data!BJ$6=Inputs!$B$13,Inputs!$B$7,0)+BJ53-BJ56</f>
        <v>160.22937475</v>
      </c>
      <c r="BK58" s="33" t="n">
        <f aca="false">BJ58+IF(Source_Data!BK$6=Inputs!$B$13,Inputs!$B$7,0)+BK53-BK56</f>
        <v>160.22937475</v>
      </c>
    </row>
    <row r="59" customFormat="false" ht="15" hidden="false" customHeight="false" outlineLevel="0" collapsed="false">
      <c r="A59" s="3" t="s">
        <v>345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-0.531409826086956</v>
      </c>
      <c r="N59" s="31" t="n">
        <f aca="false">IF(N56&gt;0,N53/N56,"")</f>
        <v>0.376130713043478</v>
      </c>
      <c r="O59" s="31" t="n">
        <f aca="false">IF(O56&gt;0,O53/O56,"")</f>
        <v>0.445492343478261</v>
      </c>
      <c r="P59" s="31" t="n">
        <f aca="false">IF(P56&gt;0,P53/P56,"")</f>
        <v>-8.29726402826087</v>
      </c>
      <c r="Q59" s="31" t="n">
        <f aca="false">IF(Q56&gt;0,Q53/Q56,"")</f>
        <v>17.6806483304348</v>
      </c>
      <c r="R59" s="31" t="n">
        <f aca="false">IF(R56&gt;0,R53/R56,"")</f>
        <v>-5.06922671304348</v>
      </c>
      <c r="S59" s="31" t="n">
        <f aca="false">IF(S56&gt;0,S53/S56,"")</f>
        <v>-1.87544410434783</v>
      </c>
      <c r="T59" s="31" t="n">
        <f aca="false">IF(T56&gt;0,T53/T56,"")</f>
        <v>2.48010010434783</v>
      </c>
      <c r="U59" s="31" t="n">
        <f aca="false">IF(U56&gt;0,U53/U56,"")</f>
        <v>0.754382739130435</v>
      </c>
      <c r="V59" s="31" t="n">
        <f aca="false">IF(V56&gt;0,V53/V56,"")</f>
        <v>0.754382739130435</v>
      </c>
      <c r="W59" s="31" t="n">
        <f aca="false">IF(W56&gt;0,W53/W56,"")</f>
        <v>0.712539273913043</v>
      </c>
      <c r="X59" s="31" t="n">
        <f aca="false">IF(X56&gt;0,X53/X56,"")</f>
        <v>2.26810265869565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346</v>
      </c>
      <c r="D60" s="31" t="str">
        <f aca="false">IF(D56&gt;0,(0+D53+IF(Source_Data!D$6=Inputs!$B$13,Inputs!$B$7,0))/D56,"")</f>
        <v/>
      </c>
      <c r="E60" s="31" t="str">
        <f aca="false">IF(E56&gt;0,(D58+E53+IF(Source_Data!E$6=Inputs!$B$13,Inputs!$B$7,0))/E56,"")</f>
        <v/>
      </c>
      <c r="F60" s="31" t="str">
        <f aca="false">IF(F56&gt;0,(E58+F53+IF(Source_Data!F$6=Inputs!$B$13,Inputs!$B$7,0))/F56,"")</f>
        <v/>
      </c>
      <c r="G60" s="31" t="str">
        <f aca="false">IF(G56&gt;0,(F58+G53+IF(Source_Data!G$6=Inputs!$B$13,Inputs!$B$7,0))/G56,"")</f>
        <v/>
      </c>
      <c r="H60" s="31" t="str">
        <f aca="false">IF(H56&gt;0,(G58+H53+IF(Source_Data!H$6=Inputs!$B$13,Inputs!$B$7,0))/H56,"")</f>
        <v/>
      </c>
      <c r="I60" s="31" t="str">
        <f aca="false">IF(I56&gt;0,(H58+I53+IF(Source_Data!I$6=Inputs!$B$13,Inputs!$B$7,0))/I56,"")</f>
        <v/>
      </c>
      <c r="J60" s="31" t="str">
        <f aca="false">IF(J56&gt;0,(I58+J53+IF(Source_Data!J$6=Inputs!$B$13,Inputs!$B$7,0))/J56,"")</f>
        <v/>
      </c>
      <c r="K60" s="31" t="str">
        <f aca="false">IF(K56&gt;0,(J58+K53+IF(Source_Data!K$6=Inputs!$B$13,Inputs!$B$7,0))/K56,"")</f>
        <v/>
      </c>
      <c r="L60" s="31" t="str">
        <f aca="false">IF(L56&gt;0,(K58+L53+IF(Source_Data!L$6=Inputs!$B$13,Inputs!$B$7,0))/L56,"")</f>
        <v/>
      </c>
      <c r="M60" s="31" t="n">
        <f aca="false">IF(M56&gt;0,(L58+M53+IF(Source_Data!M$6=Inputs!$B$13,Inputs!$B$7,0))/M56,"")</f>
        <v>-17.9987665652174</v>
      </c>
      <c r="N60" s="31" t="n">
        <f aca="false">IF(N56&gt;0,(M58+N53+IF(Source_Data!N$6=Inputs!$B$13,Inputs!$B$7,0))/N56,"")</f>
        <v>-18.6226358521739</v>
      </c>
      <c r="O60" s="31" t="n">
        <f aca="false">IF(O56&gt;0,(N58+O53+IF(Source_Data!O$6=Inputs!$B$13,Inputs!$B$7,0))/O56,"")</f>
        <v>-19.1771435086957</v>
      </c>
      <c r="P60" s="31" t="n">
        <f aca="false">IF(P56&gt;0,(O58+P53+IF(Source_Data!P$6=Inputs!$B$13,Inputs!$B$7,0))/P56,"")</f>
        <v>-28.4744075369565</v>
      </c>
      <c r="Q60" s="31" t="n">
        <f aca="false">IF(Q56&gt;0,(P58+Q53+IF(Source_Data!Q$6=Inputs!$B$13,Inputs!$B$7,0))/Q56,"")</f>
        <v>-11.7937592065217</v>
      </c>
      <c r="R60" s="31" t="n">
        <f aca="false">IF(R56&gt;0,(Q58+R53+IF(Source_Data!R$6=Inputs!$B$13,Inputs!$B$7,0))/R56,"")</f>
        <v>-17.8629859195652</v>
      </c>
      <c r="S60" s="31" t="n">
        <f aca="false">IF(S56&gt;0,(R58+S53+IF(Source_Data!S$6=Inputs!$B$13,Inputs!$B$7,0))/S56,"")</f>
        <v>-20.738430023913</v>
      </c>
      <c r="T60" s="31" t="n">
        <f aca="false">IF(T56&gt;0,(S58+T53+IF(Source_Data!T$6=Inputs!$B$13,Inputs!$B$7,0))/T56,"")</f>
        <v>-19.2583299195652</v>
      </c>
      <c r="U60" s="31" t="n">
        <f aca="false">IF(U56&gt;0,(T58+U53+IF(Source_Data!U$6=Inputs!$B$13,Inputs!$B$7,0))/U56,"")</f>
        <v>-19.5039471804348</v>
      </c>
      <c r="V60" s="31" t="n">
        <f aca="false">IF(V56&gt;0,(U58+V53+IF(Source_Data!V$6=Inputs!$B$13,Inputs!$B$7,0))/V56,"")</f>
        <v>-19.7495644413044</v>
      </c>
      <c r="W60" s="31" t="n">
        <f aca="false">IF(W56&gt;0,(V58+W53+IF(Source_Data!W$6=Inputs!$B$13,Inputs!$B$7,0))/W56,"")</f>
        <v>-20.0370251673913</v>
      </c>
      <c r="X60" s="31" t="n">
        <f aca="false">IF(X56&gt;0,(W58+X53+IF(Source_Data!X$6=Inputs!$B$13,Inputs!$B$7,0))/X56,"")</f>
        <v>-18.7689225086957</v>
      </c>
      <c r="Y60" s="31" t="str">
        <f aca="false">IF(Y56&gt;0,(X58+Y53+IF(Source_Data!Y$6=Inputs!$B$13,Inputs!$B$7,0))/Y56,"")</f>
        <v/>
      </c>
      <c r="Z60" s="31" t="str">
        <f aca="false">IF(Z56&gt;0,(Y58+Z53+IF(Source_Data!Z$6=Inputs!$B$13,Inputs!$B$7,0))/Z56,"")</f>
        <v/>
      </c>
      <c r="AA60" s="31" t="str">
        <f aca="false">IF(AA56&gt;0,(Z58+AA53+IF(Source_Data!AA$6=Inputs!$B$13,Inputs!$B$7,0))/AA56,"")</f>
        <v/>
      </c>
      <c r="AB60" s="31" t="str">
        <f aca="false">IF(AB56&gt;0,(AA58+AB53+IF(Source_Data!AB$6=Inputs!$B$13,Inputs!$B$7,0))/AB56,"")</f>
        <v/>
      </c>
      <c r="AC60" s="31" t="str">
        <f aca="false">IF(AC56&gt;0,(AB58+AC53+IF(Source_Data!AC$6=Inputs!$B$13,Inputs!$B$7,0))/AC56,"")</f>
        <v/>
      </c>
      <c r="AD60" s="31" t="str">
        <f aca="false">IF(AD56&gt;0,(AC58+AD53+IF(Source_Data!AD$6=Inputs!$B$13,Inputs!$B$7,0))/AD56,"")</f>
        <v/>
      </c>
      <c r="AE60" s="31" t="str">
        <f aca="false">IF(AE56&gt;0,(AD58+AE53+IF(Source_Data!AE$6=Inputs!$B$13,Inputs!$B$7,0))/AE56,"")</f>
        <v/>
      </c>
      <c r="AF60" s="31" t="str">
        <f aca="false">IF(AF56&gt;0,(AE58+AF53+IF(Source_Data!AF$6=Inputs!$B$13,Inputs!$B$7,0))/AF56,"")</f>
        <v/>
      </c>
      <c r="AG60" s="31" t="str">
        <f aca="false">IF(AG56&gt;0,(AF58+AG53+IF(Source_Data!AG$6=Inputs!$B$13,Inputs!$B$7,0))/AG56,"")</f>
        <v/>
      </c>
      <c r="AH60" s="31" t="str">
        <f aca="false">IF(AH56&gt;0,(AG58+AH53+IF(Source_Data!AH$6=Inputs!$B$13,Inputs!$B$7,0))/AH56,"")</f>
        <v/>
      </c>
      <c r="AI60" s="31" t="str">
        <f aca="false">IF(AI56&gt;0,(AH58+AI53+IF(Source_Data!AI$6=Inputs!$B$13,Inputs!$B$7,0))/AI56,"")</f>
        <v/>
      </c>
      <c r="AJ60" s="31" t="str">
        <f aca="false">IF(AJ56&gt;0,(AI58+AJ53+IF(Source_Data!AJ$6=Inputs!$B$13,Inputs!$B$7,0))/AJ56,"")</f>
        <v/>
      </c>
      <c r="AK60" s="31" t="str">
        <f aca="false">IF(AK56&gt;0,(AJ58+AK53+IF(Source_Data!AK$6=Inputs!$B$13,Inputs!$B$7,0))/AK56,"")</f>
        <v/>
      </c>
      <c r="AL60" s="31" t="str">
        <f aca="false">IF(AL56&gt;0,(AK58+AL53+IF(Source_Data!AL$6=Inputs!$B$13,Inputs!$B$7,0))/AL56,"")</f>
        <v/>
      </c>
      <c r="AM60" s="31" t="str">
        <f aca="false">IF(AM56&gt;0,(AL58+AM53+IF(Source_Data!AM$6=Inputs!$B$13,Inputs!$B$7,0))/AM56,"")</f>
        <v/>
      </c>
      <c r="AN60" s="31" t="str">
        <f aca="false">IF(AN56&gt;0,(AM58+AN53+IF(Source_Data!AN$6=Inputs!$B$13,Inputs!$B$7,0))/AN56,"")</f>
        <v/>
      </c>
      <c r="AO60" s="31" t="str">
        <f aca="false">IF(AO56&gt;0,(AN58+AO53+IF(Source_Data!AO$6=Inputs!$B$13,Inputs!$B$7,0))/AO56,"")</f>
        <v/>
      </c>
      <c r="AP60" s="31" t="str">
        <f aca="false">IF(AP56&gt;0,(AO58+AP53+IF(Source_Data!AP$6=Inputs!$B$13,Inputs!$B$7,0))/AP56,"")</f>
        <v/>
      </c>
      <c r="AQ60" s="31" t="str">
        <f aca="false">IF(AQ56&gt;0,(AP58+AQ53+IF(Source_Data!AQ$6=Inputs!$B$13,Inputs!$B$7,0))/AQ56,"")</f>
        <v/>
      </c>
      <c r="AR60" s="31" t="str">
        <f aca="false">IF(AR56&gt;0,(AQ58+AR53+IF(Source_Data!AR$6=Inputs!$B$13,Inputs!$B$7,0))/AR56,"")</f>
        <v/>
      </c>
      <c r="AS60" s="31" t="str">
        <f aca="false">IF(AS56&gt;0,(AR58+AS53+IF(Source_Data!AS$6=Inputs!$B$13,Inputs!$B$7,0))/AS56,"")</f>
        <v/>
      </c>
      <c r="AT60" s="31" t="str">
        <f aca="false">IF(AT56&gt;0,(AS58+AT53+IF(Source_Data!AT$6=Inputs!$B$13,Inputs!$B$7,0))/AT56,"")</f>
        <v/>
      </c>
      <c r="AU60" s="31" t="str">
        <f aca="false">IF(AU56&gt;0,(AT58+AU53+IF(Source_Data!AU$6=Inputs!$B$13,Inputs!$B$7,0))/AU56,"")</f>
        <v/>
      </c>
      <c r="AV60" s="31" t="str">
        <f aca="false">IF(AV56&gt;0,(AU58+AV53+IF(Source_Data!AV$6=Inputs!$B$13,Inputs!$B$7,0))/AV56,"")</f>
        <v/>
      </c>
      <c r="AW60" s="31" t="str">
        <f aca="false">IF(AW56&gt;0,(AV58+AW53+IF(Source_Data!AW$6=Inputs!$B$13,Inputs!$B$7,0))/AW56,"")</f>
        <v/>
      </c>
      <c r="AX60" s="31" t="str">
        <f aca="false">IF(AX56&gt;0,(AW58+AX53+IF(Source_Data!AX$6=Inputs!$B$13,Inputs!$B$7,0))/AX56,"")</f>
        <v/>
      </c>
      <c r="AY60" s="31" t="str">
        <f aca="false">IF(AY56&gt;0,(AX58+AY53+IF(Source_Data!AY$6=Inputs!$B$13,Inputs!$B$7,0))/AY56,"")</f>
        <v/>
      </c>
      <c r="AZ60" s="31" t="str">
        <f aca="false">IF(AZ56&gt;0,(AY58+AZ53+IF(Source_Data!AZ$6=Inputs!$B$13,Inputs!$B$7,0))/AZ56,"")</f>
        <v/>
      </c>
      <c r="BA60" s="31" t="str">
        <f aca="false">IF(BA56&gt;0,(AZ58+BA53+IF(Source_Data!BA$6=Inputs!$B$13,Inputs!$B$7,0))/BA56,"")</f>
        <v/>
      </c>
      <c r="BB60" s="31" t="str">
        <f aca="false">IF(BB56&gt;0,(BA58+BB53+IF(Source_Data!BB$6=Inputs!$B$13,Inputs!$B$7,0))/BB56,"")</f>
        <v/>
      </c>
      <c r="BC60" s="31" t="str">
        <f aca="false">IF(BC56&gt;0,(BB58+BC53+IF(Source_Data!BC$6=Inputs!$B$13,Inputs!$B$7,0))/BC56,"")</f>
        <v/>
      </c>
      <c r="BD60" s="31" t="str">
        <f aca="false">IF(BD56&gt;0,(BC58+BD53+IF(Source_Data!BD$6=Inputs!$B$13,Inputs!$B$7,0))/BD56,"")</f>
        <v/>
      </c>
      <c r="BE60" s="31" t="str">
        <f aca="false">IF(BE56&gt;0,(BD58+BE53+IF(Source_Data!BE$6=Inputs!$B$13,Inputs!$B$7,0))/BE56,"")</f>
        <v/>
      </c>
      <c r="BF60" s="31" t="str">
        <f aca="false">IF(BF56&gt;0,(BE58+BF53+IF(Source_Data!BF$6=Inputs!$B$13,Inputs!$B$7,0))/BF56,"")</f>
        <v/>
      </c>
      <c r="BG60" s="31" t="str">
        <f aca="false">IF(BG56&gt;0,(BF58+BG53+IF(Source_Data!BG$6=Inputs!$B$13,Inputs!$B$7,0))/BG56,"")</f>
        <v/>
      </c>
      <c r="BH60" s="31" t="str">
        <f aca="false">IF(BH56&gt;0,(BG58+BH53+IF(Source_Data!BH$6=Inputs!$B$13,Inputs!$B$7,0))/BH56,"")</f>
        <v/>
      </c>
      <c r="BI60" s="31" t="str">
        <f aca="false">IF(BI56&gt;0,(BH58+BI53+IF(Source_Data!BI$6=Inputs!$B$13,Inputs!$B$7,0))/BI56,"")</f>
        <v/>
      </c>
      <c r="BJ60" s="31" t="str">
        <f aca="false">IF(BJ56&gt;0,(BI58+BJ53+IF(Source_Data!BJ$6=Inputs!$B$13,Inputs!$B$7,0))/BJ56,"")</f>
        <v/>
      </c>
      <c r="BK60" s="31" t="str">
        <f aca="false">IF(BK56&gt;0,(BJ58+BK53+IF(Source_Data!BK$6=Inputs!$B$13,Inputs!$B$7,0))/BK56,"")</f>
        <v/>
      </c>
    </row>
    <row r="62" customFormat="false" ht="15" hidden="false" customHeight="false" outlineLevel="0" collapsed="false">
      <c r="A62" s="2" t="s">
        <v>222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347</v>
      </c>
      <c r="B63" s="41" t="n">
        <f aca="false">SUMPRODUCT(D53:BK53,Project_CF!$D$15:$BK$15)</f>
        <v>-35.8693076406178</v>
      </c>
    </row>
    <row r="64" customFormat="false" ht="15" hidden="false" customHeight="false" outlineLevel="0" collapsed="false">
      <c r="A64" s="2" t="s">
        <v>164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348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349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350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351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352</v>
      </c>
      <c r="B69" s="41" t="n">
        <f aca="false">MIN(D58:BK58)</f>
        <v>-423.69460834375</v>
      </c>
    </row>
    <row r="70" customFormat="false" ht="15" hidden="false" customHeight="false" outlineLevel="0" collapsed="false">
      <c r="A70" s="2" t="s">
        <v>353</v>
      </c>
      <c r="B70" s="43" t="n">
        <f aca="false">MIN(D59:BK59)</f>
        <v>-8.29726402826087</v>
      </c>
    </row>
    <row r="71" customFormat="false" ht="15" hidden="false" customHeight="false" outlineLevel="0" collapsed="false">
      <c r="A71" s="2" t="s">
        <v>354</v>
      </c>
      <c r="B71" s="35" t="n">
        <f aca="false">COUNTIF(D59:BK59,"&lt;"&amp;Inputs!$B$44)</f>
        <v>9</v>
      </c>
    </row>
    <row r="72" customFormat="false" ht="15" hidden="false" customHeight="false" outlineLevel="0" collapsed="false">
      <c r="A72" s="2" t="s">
        <v>355</v>
      </c>
      <c r="B72" s="43" t="n">
        <f aca="false">MIN(D60:BK60)</f>
        <v>-28.4744075369565</v>
      </c>
    </row>
    <row r="73" customFormat="false" ht="15" hidden="false" customHeight="false" outlineLevel="0" collapsed="false">
      <c r="A73" s="2" t="s">
        <v>356</v>
      </c>
      <c r="B73" s="35" t="n">
        <f aca="false">COUNTIF(D60:BK60,"&lt;"&amp;Inputs!$B$44)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333</v>
      </c>
      <c r="B77" s="45" t="n">
        <v>1.1</v>
      </c>
    </row>
    <row r="78" customFormat="false" ht="15" hidden="false" customHeight="false" outlineLevel="0" collapsed="false">
      <c r="A78" s="3" t="s">
        <v>334</v>
      </c>
      <c r="B78" s="45" t="n">
        <v>0</v>
      </c>
    </row>
    <row r="79" customFormat="false" ht="15" hidden="false" customHeight="false" outlineLevel="0" collapsed="false">
      <c r="A79" s="3" t="s">
        <v>335</v>
      </c>
      <c r="B79" s="45" t="n">
        <v>1</v>
      </c>
    </row>
    <row r="80" customFormat="false" ht="15" hidden="false" customHeight="false" outlineLevel="0" collapsed="false">
      <c r="A80" s="3" t="s">
        <v>336</v>
      </c>
      <c r="B80" s="45" t="n">
        <v>0</v>
      </c>
    </row>
    <row r="81" customFormat="false" ht="15" hidden="false" customHeight="false" outlineLevel="0" collapsed="false">
      <c r="A81" s="3" t="s">
        <v>337</v>
      </c>
      <c r="B81" s="45" t="n">
        <v>0</v>
      </c>
    </row>
    <row r="82" customFormat="false" ht="15" hidden="false" customHeight="false" outlineLevel="0" collapsed="false">
      <c r="A82" s="3" t="s">
        <v>338</v>
      </c>
      <c r="B82" s="3" t="n">
        <f aca="false">Inputs!$B$14+3+3*$B$78</f>
        <v>45</v>
      </c>
    </row>
    <row r="83" customFormat="false" ht="15" hidden="false" customHeight="false" outlineLevel="0" collapsed="false">
      <c r="A83" s="3" t="s">
        <v>339</v>
      </c>
      <c r="D83" s="33" t="n">
        <f aca="false">Source_Data!D$7+IF($B$81=1,IF(Source_Data!D$6=Inputs!$B$14,Source_Data!$C$8,0),Source_Data!D$8)</f>
        <v>0</v>
      </c>
      <c r="E83" s="33" t="n">
        <f aca="false">Source_Data!E$7+IF($B$81=1,IF(Source_Data!E$6=Inputs!$B$14,Source_Data!$C$8,0),Source_Data!E$8)</f>
        <v>0</v>
      </c>
      <c r="F83" s="33" t="n">
        <f aca="false">Source_Data!F$7+IF($B$81=1,IF(Source_Data!F$6=Inputs!$B$14,Source_Data!$C$8,0),Source_Data!F$8)</f>
        <v>15.1392375</v>
      </c>
      <c r="G83" s="33" t="n">
        <f aca="false">Source_Data!G$7+IF($B$81=1,IF(Source_Data!G$6=Inputs!$B$14,Source_Data!$C$8,0),Source_Data!G$8)</f>
        <v>30.278475</v>
      </c>
      <c r="H83" s="33" t="n">
        <f aca="false">Source_Data!H$7+IF($B$81=1,IF(Source_Data!H$6=Inputs!$B$14,Source_Data!$C$8,0),Source_Data!H$8)</f>
        <v>46.51200625</v>
      </c>
      <c r="I83" s="33" t="n">
        <f aca="false">Source_Data!I$7+IF($B$81=1,IF(Source_Data!I$6=Inputs!$B$14,Source_Data!$C$8,0),Source_Data!I$8)</f>
        <v>62.7455375</v>
      </c>
      <c r="J83" s="33" t="n">
        <f aca="false">Source_Data!J$7+IF($B$81=1,IF(Source_Data!J$6=Inputs!$B$14,Source_Data!$C$8,0),Source_Data!J$8)</f>
        <v>62.3657</v>
      </c>
      <c r="K83" s="33" t="n">
        <f aca="false">Source_Data!K$7+IF($B$81=1,IF(Source_Data!K$6=Inputs!$B$14,Source_Data!$C$8,0),Source_Data!K$8)</f>
        <v>63.473559375</v>
      </c>
      <c r="L83" s="33" t="n">
        <f aca="false">Source_Data!L$7+IF($B$81=1,IF(Source_Data!L$6=Inputs!$B$14,Source_Data!$C$8,0),Source_Data!L$8)</f>
        <v>80.3288484375</v>
      </c>
      <c r="M83" s="33" t="n">
        <f aca="false">Source_Data!M$7+IF($B$81=1,IF(Source_Data!M$6=Inputs!$B$14,Source_Data!$C$8,0),Source_Data!M$8)</f>
        <v>495.2538375</v>
      </c>
      <c r="N83" s="33" t="n">
        <f aca="false">Source_Data!N$7+IF($B$81=1,IF(Source_Data!N$6=Inputs!$B$14,Source_Data!$C$8,0),Source_Data!N$8)</f>
        <v>185.57775</v>
      </c>
      <c r="O83" s="33" t="n">
        <f aca="false">Source_Data!O$7+IF($B$81=1,IF(Source_Data!O$6=Inputs!$B$14,Source_Data!$C$8,0),Source_Data!O$8)</f>
        <v>176.534</v>
      </c>
      <c r="P83" s="33" t="n">
        <f aca="false">Source_Data!P$7+IF($B$81=1,IF(Source_Data!P$6=Inputs!$B$14,Source_Data!$C$8,0),Source_Data!P$8)</f>
        <v>97.31075</v>
      </c>
      <c r="Q83" s="33" t="n">
        <f aca="false">Source_Data!Q$7+IF($B$81=1,IF(Source_Data!Q$6=Inputs!$B$14,Source_Data!$C$8,0),Source_Data!Q$8)</f>
        <v>71.30996875</v>
      </c>
      <c r="R83" s="33" t="n">
        <f aca="false">Source_Data!R$7+IF($B$81=1,IF(Source_Data!R$6=Inputs!$B$14,Source_Data!$C$8,0),Source_Data!R$8)</f>
        <v>71.30996875</v>
      </c>
      <c r="S83" s="33" t="n">
        <f aca="false">Source_Data!S$7+IF($B$81=1,IF(Source_Data!S$6=Inputs!$B$14,Source_Data!$C$8,0),Source_Data!S$8)</f>
        <v>68.037035625</v>
      </c>
      <c r="T83" s="33" t="n">
        <f aca="false">Source_Data!T$7+IF($B$81=1,IF(Source_Data!T$6=Inputs!$B$14,Source_Data!$C$8,0),Source_Data!T$8)</f>
        <v>61.2266396875</v>
      </c>
      <c r="U83" s="33" t="n">
        <f aca="false">Source_Data!U$7+IF($B$81=1,IF(Source_Data!U$6=Inputs!$B$14,Source_Data!$C$8,0),Source_Data!U$8)</f>
        <v>59.7127159375</v>
      </c>
      <c r="V83" s="33" t="n">
        <f aca="false">Source_Data!V$7+IF($B$81=1,IF(Source_Data!V$6=Inputs!$B$14,Source_Data!$C$8,0),Source_Data!V$8)</f>
        <v>53.7239446875</v>
      </c>
      <c r="W83" s="33" t="n">
        <f aca="false">Source_Data!W$7+IF($B$81=1,IF(Source_Data!W$6=Inputs!$B$14,Source_Data!$C$8,0),Source_Data!W$8)</f>
        <v>49.3829446875</v>
      </c>
      <c r="X83" s="33" t="n">
        <f aca="false">Source_Data!X$7+IF($B$81=1,IF(Source_Data!X$6=Inputs!$B$14,Source_Data!$C$8,0),Source_Data!X$8)</f>
        <v>49.3829446875</v>
      </c>
      <c r="Y83" s="33" t="n">
        <f aca="false">Source_Data!Y$7+IF($B$81=1,IF(Source_Data!Y$6=Inputs!$B$14,Source_Data!$C$8,0),Source_Data!Y$8)</f>
        <v>42.1027259375</v>
      </c>
      <c r="Z83" s="33" t="n">
        <f aca="false">Source_Data!Z$7+IF($B$81=1,IF(Source_Data!Z$6=Inputs!$B$14,Source_Data!$C$8,0),Source_Data!Z$8)</f>
        <v>42.1027259375</v>
      </c>
      <c r="AA83" s="33" t="n">
        <f aca="false">Source_Data!AA$7+IF($B$81=1,IF(Source_Data!AA$6=Inputs!$B$14,Source_Data!$C$8,0),Source_Data!AA$8)</f>
        <v>42.1027259375</v>
      </c>
      <c r="AB83" s="33" t="n">
        <f aca="false">Source_Data!AB$7+IF($B$81=1,IF(Source_Data!AB$6=Inputs!$B$14,Source_Data!$C$8,0),Source_Data!AB$8)</f>
        <v>36.3147259375</v>
      </c>
      <c r="AC83" s="33" t="n">
        <f aca="false">Source_Data!AC$7+IF($B$81=1,IF(Source_Data!AC$6=Inputs!$B$14,Source_Data!$C$8,0),Source_Data!AC$8)</f>
        <v>33.0386275</v>
      </c>
      <c r="AD83" s="33" t="n">
        <f aca="false">Source_Data!AD$7+IF($B$81=1,IF(Source_Data!AD$6=Inputs!$B$14,Source_Data!$C$8,0),Source_Data!AD$8)</f>
        <v>29.43017125</v>
      </c>
      <c r="AE83" s="33" t="n">
        <f aca="false">Source_Data!AE$7+IF($B$81=1,IF(Source_Data!AE$6=Inputs!$B$14,Source_Data!$C$8,0),Source_Data!AE$8)</f>
        <v>25.08917125</v>
      </c>
      <c r="AF83" s="33" t="n">
        <f aca="false">Source_Data!AF$7+IF($B$81=1,IF(Source_Data!AF$6=Inputs!$B$14,Source_Data!$C$8,0),Source_Data!AF$8)</f>
        <v>25.08917125</v>
      </c>
      <c r="AG83" s="33" t="n">
        <f aca="false">Source_Data!AG$7+IF($B$81=1,IF(Source_Data!AG$6=Inputs!$B$14,Source_Data!$C$8,0),Source_Data!AG$8)</f>
        <v>25.08917125</v>
      </c>
      <c r="AH83" s="33" t="n">
        <f aca="false">Source_Data!AH$7+IF($B$81=1,IF(Source_Data!AH$6=Inputs!$B$14,Source_Data!$C$8,0),Source_Data!AH$8)</f>
        <v>25.08917125</v>
      </c>
      <c r="AI83" s="33" t="n">
        <f aca="false">Source_Data!AI$7+IF($B$81=1,IF(Source_Data!AI$6=Inputs!$B$14,Source_Data!$C$8,0),Source_Data!AI$8)</f>
        <v>25.08917125</v>
      </c>
      <c r="AJ83" s="33" t="n">
        <f aca="false">Source_Data!AJ$7+IF($B$81=1,IF(Source_Data!AJ$6=Inputs!$B$14,Source_Data!$C$8,0),Source_Data!AJ$8)</f>
        <v>25.08917125</v>
      </c>
      <c r="AK83" s="33" t="n">
        <f aca="false">Source_Data!AK$7+IF($B$81=1,IF(Source_Data!AK$6=Inputs!$B$14,Source_Data!$C$8,0),Source_Data!AK$8)</f>
        <v>22.905105625</v>
      </c>
      <c r="AL83" s="33" t="n">
        <f aca="false">Source_Data!AL$7+IF($B$81=1,IF(Source_Data!AL$6=Inputs!$B$14,Source_Data!$C$8,0),Source_Data!AL$8)</f>
        <v>22.905105625</v>
      </c>
      <c r="AM83" s="33" t="n">
        <f aca="false">Source_Data!AM$7+IF($B$81=1,IF(Source_Data!AM$6=Inputs!$B$14,Source_Data!$C$8,0),Source_Data!AM$8)</f>
        <v>18.739554375</v>
      </c>
      <c r="AN83" s="33" t="n">
        <f aca="false">Source_Data!AN$7+IF($B$81=1,IF(Source_Data!AN$6=Inputs!$B$14,Source_Data!$C$8,0),Source_Data!AN$8)</f>
        <v>9.6261675</v>
      </c>
      <c r="AO83" s="33" t="n">
        <f aca="false">Source_Data!AO$7+IF($B$81=1,IF(Source_Data!AO$6=Inputs!$B$14,Source_Data!$C$8,0),Source_Data!AO$8)</f>
        <v>3.5704725</v>
      </c>
      <c r="AP83" s="33" t="n">
        <f aca="false">Source_Data!AP$7+IF($B$81=1,IF(Source_Data!AP$6=Inputs!$B$14,Source_Data!$C$8,0),Source_Data!AP$8)</f>
        <v>0</v>
      </c>
      <c r="AQ83" s="33" t="n">
        <f aca="false">Source_Data!AQ$7+IF($B$81=1,IF(Source_Data!AQ$6=Inputs!$B$14,Source_Data!$C$8,0),Source_Data!AQ$8)</f>
        <v>0</v>
      </c>
      <c r="AR83" s="33" t="n">
        <f aca="false">Source_Data!AR$7+IF($B$81=1,IF(Source_Data!AR$6=Inputs!$B$14,Source_Data!$C$8,0),Source_Data!AR$8)</f>
        <v>0</v>
      </c>
      <c r="AS83" s="33" t="n">
        <f aca="false">Source_Data!AS$7+IF($B$81=1,IF(Source_Data!AS$6=Inputs!$B$14,Source_Data!$C$8,0),Source_Data!AS$8)</f>
        <v>0</v>
      </c>
      <c r="AT83" s="33" t="n">
        <f aca="false">Source_Data!AT$7+IF($B$81=1,IF(Source_Data!AT$6=Inputs!$B$14,Source_Data!$C$8,0),Source_Data!AT$8)</f>
        <v>0</v>
      </c>
      <c r="AU83" s="33" t="n">
        <f aca="false">Source_Data!AU$7+IF($B$81=1,IF(Source_Data!AU$6=Inputs!$B$14,Source_Data!$C$8,0),Source_Data!AU$8)</f>
        <v>0</v>
      </c>
      <c r="AV83" s="33" t="n">
        <f aca="false">Source_Data!AV$7+IF($B$81=1,IF(Source_Data!AV$6=Inputs!$B$14,Source_Data!$C$8,0),Source_Data!AV$8)</f>
        <v>0</v>
      </c>
      <c r="AW83" s="33" t="n">
        <f aca="false">Source_Data!AW$7+IF($B$81=1,IF(Source_Data!AW$6=Inputs!$B$14,Source_Data!$C$8,0),Source_Data!AW$8)</f>
        <v>0</v>
      </c>
      <c r="AX83" s="33" t="n">
        <f aca="false">Source_Data!AX$7+IF($B$81=1,IF(Source_Data!AX$6=Inputs!$B$14,Source_Data!$C$8,0),Source_Data!AX$8)</f>
        <v>0</v>
      </c>
      <c r="AY83" s="33" t="n">
        <f aca="false">Source_Data!AY$7+IF($B$81=1,IF(Source_Data!AY$6=Inputs!$B$14,Source_Data!$C$8,0),Source_Data!AY$8)</f>
        <v>0</v>
      </c>
      <c r="AZ83" s="33" t="n">
        <f aca="false">Source_Data!AZ$7+IF($B$81=1,IF(Source_Data!AZ$6=Inputs!$B$14,Source_Data!$C$8,0),Source_Data!AZ$8)</f>
        <v>0</v>
      </c>
      <c r="BA83" s="33" t="n">
        <f aca="false">Source_Data!BA$7+IF($B$81=1,IF(Source_Data!BA$6=Inputs!$B$14,Source_Data!$C$8,0),Source_Data!BA$8)</f>
        <v>0</v>
      </c>
      <c r="BB83" s="33" t="n">
        <f aca="false">Source_Data!BB$7+IF($B$81=1,IF(Source_Data!BB$6=Inputs!$B$14,Source_Data!$C$8,0),Source_Data!BB$8)</f>
        <v>0</v>
      </c>
      <c r="BC83" s="33" t="n">
        <f aca="false">Source_Data!BC$7+IF($B$81=1,IF(Source_Data!BC$6=Inputs!$B$14,Source_Data!$C$8,0),Source_Data!BC$8)</f>
        <v>0</v>
      </c>
      <c r="BD83" s="33" t="n">
        <f aca="false">Source_Data!BD$7+IF($B$81=1,IF(Source_Data!BD$6=Inputs!$B$14,Source_Data!$C$8,0),Source_Data!BD$8)</f>
        <v>0</v>
      </c>
      <c r="BE83" s="33" t="n">
        <f aca="false">Source_Data!BE$7+IF($B$81=1,IF(Source_Data!BE$6=Inputs!$B$14,Source_Data!$C$8,0),Source_Data!BE$8)</f>
        <v>0</v>
      </c>
      <c r="BF83" s="33" t="n">
        <f aca="false">Source_Data!BF$7+IF($B$81=1,IF(Source_Data!BF$6=Inputs!$B$14,Source_Data!$C$8,0),Source_Data!BF$8)</f>
        <v>0</v>
      </c>
      <c r="BG83" s="33" t="n">
        <f aca="false">Source_Data!BG$7+IF($B$81=1,IF(Source_Data!BG$6=Inputs!$B$14,Source_Data!$C$8,0),Source_Data!BG$8)</f>
        <v>0</v>
      </c>
      <c r="BH83" s="33" t="n">
        <f aca="false">Source_Data!BH$7+IF($B$81=1,IF(Source_Data!BH$6=Inputs!$B$14,Source_Data!$C$8,0),Source_Data!BH$8)</f>
        <v>0</v>
      </c>
      <c r="BI83" s="33" t="n">
        <f aca="false">Source_Data!BI$7+IF($B$81=1,IF(Source_Data!BI$6=Inputs!$B$14,Source_Data!$C$8,0),Source_Data!BI$8)</f>
        <v>0</v>
      </c>
      <c r="BJ83" s="33" t="n">
        <f aca="false">Source_Data!BJ$7+IF($B$81=1,IF(Source_Data!BJ$6=Inputs!$B$14,Source_Data!$C$8,0),Source_Data!BJ$8)</f>
        <v>0</v>
      </c>
      <c r="BK83" s="33" t="n">
        <f aca="false">Source_Data!BK$7+IF($B$81=1,IF(Source_Data!BK$6=Inputs!$B$14,Source_Data!$C$8,0),Source_Data!BK$8)</f>
        <v>0</v>
      </c>
    </row>
    <row r="84" customFormat="false" ht="15" hidden="false" customHeight="false" outlineLevel="0" collapsed="false">
      <c r="A84" s="3" t="s">
        <v>215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340</v>
      </c>
      <c r="D85" s="33" t="n">
        <f aca="false">Source_Data!D$9+Source_Data!D$10*IF(Source_Data!$C$10=0,0,MAX(0,Inputs!$B$20*Inputs!$B$23*$B$77-Inputs!$B$21)/Source_Data!$C$10)</f>
        <v>91.25</v>
      </c>
      <c r="E85" s="33" t="n">
        <f aca="false">Source_Data!E$9+Source_Data!E$10*IF(Source_Data!$C$10=0,0,MAX(0,Inputs!$B$20*Inputs!$B$23*$B$77-Inputs!$B$21)/Source_Data!$C$10)</f>
        <v>11.25</v>
      </c>
      <c r="F85" s="33" t="n">
        <f aca="false">Source_Data!F$9+Source_Data!F$10*IF(Source_Data!$C$10=0,0,MAX(0,Inputs!$B$20*Inputs!$B$23*$B$77-Inputs!$B$21)/Source_Data!$C$10)</f>
        <v>11.25</v>
      </c>
      <c r="G85" s="33" t="n">
        <f aca="false">Source_Data!G$9+Source_Data!G$10*IF(Source_Data!$C$10=0,0,MAX(0,Inputs!$B$20*Inputs!$B$23*$B$77-Inputs!$B$21)/Source_Data!$C$10)</f>
        <v>11.25</v>
      </c>
      <c r="H85" s="33" t="n">
        <f aca="false">Source_Data!H$9+Source_Data!H$10*IF(Source_Data!$C$10=0,0,MAX(0,Inputs!$B$20*Inputs!$B$23*$B$77-Inputs!$B$21)/Source_Data!$C$10)</f>
        <v>22.5</v>
      </c>
      <c r="I85" s="33" t="n">
        <f aca="false">Source_Data!I$9+Source_Data!I$10*IF(Source_Data!$C$10=0,0,MAX(0,Inputs!$B$20*Inputs!$B$23*$B$77-Inputs!$B$21)/Source_Data!$C$10)</f>
        <v>22.5</v>
      </c>
      <c r="J85" s="33" t="n">
        <f aca="false">Source_Data!J$9+Source_Data!J$10*IF(Source_Data!$C$10=0,0,MAX(0,Inputs!$B$20*Inputs!$B$23*$B$77-Inputs!$B$21)/Source_Data!$C$10)</f>
        <v>22.5</v>
      </c>
      <c r="K85" s="33" t="n">
        <f aca="false">Source_Data!K$9+Source_Data!K$10*IF(Source_Data!$C$10=0,0,MAX(0,Inputs!$B$20*Inputs!$B$23*$B$77-Inputs!$B$21)/Source_Data!$C$10)</f>
        <v>22.5</v>
      </c>
      <c r="L85" s="33" t="n">
        <f aca="false">Source_Data!L$9+Source_Data!L$10*IF(Source_Data!$C$10=0,0,MAX(0,Inputs!$B$20*Inputs!$B$23*$B$77-Inputs!$B$21)/Source_Data!$C$10)</f>
        <v>33.75</v>
      </c>
      <c r="M85" s="33" t="n">
        <f aca="false">Source_Data!M$9+Source_Data!M$10*IF(Source_Data!$C$10=0,0,MAX(0,Inputs!$B$20*Inputs!$B$23*$B$77-Inputs!$B$21)/Source_Data!$C$10)</f>
        <v>33.75</v>
      </c>
      <c r="N85" s="33" t="n">
        <f aca="false">Source_Data!N$9+Source_Data!N$10*IF(Source_Data!$C$10=0,0,MAX(0,Inputs!$B$20*Inputs!$B$23*$B$77-Inputs!$B$21)/Source_Data!$C$10)</f>
        <v>33.75</v>
      </c>
      <c r="O85" s="33" t="n">
        <f aca="false">Source_Data!O$9+Source_Data!O$10*IF(Source_Data!$C$10=0,0,MAX(0,Inputs!$B$20*Inputs!$B$23*$B$77-Inputs!$B$21)/Source_Data!$C$10)</f>
        <v>33.75</v>
      </c>
      <c r="P85" s="33" t="n">
        <f aca="false">Source_Data!P$9+Source_Data!P$10*IF(Source_Data!$C$10=0,0,MAX(0,Inputs!$B$20*Inputs!$B$23*$B$77-Inputs!$B$21)/Source_Data!$C$10)</f>
        <v>45</v>
      </c>
      <c r="Q85" s="33" t="n">
        <f aca="false">Source_Data!Q$9+Source_Data!Q$10*IF(Source_Data!$C$10=0,0,MAX(0,Inputs!$B$20*Inputs!$B$23*$B$77-Inputs!$B$21)/Source_Data!$C$10)</f>
        <v>45</v>
      </c>
      <c r="R85" s="33" t="n">
        <f aca="false">Source_Data!R$9+Source_Data!R$10*IF(Source_Data!$C$10=0,0,MAX(0,Inputs!$B$20*Inputs!$B$23*$B$77-Inputs!$B$21)/Source_Data!$C$10)</f>
        <v>45</v>
      </c>
      <c r="S85" s="33" t="n">
        <f aca="false">Source_Data!S$9+Source_Data!S$10*IF(Source_Data!$C$10=0,0,MAX(0,Inputs!$B$20*Inputs!$B$23*$B$77-Inputs!$B$21)/Source_Data!$C$10)</f>
        <v>45</v>
      </c>
      <c r="T85" s="33" t="n">
        <f aca="false">Source_Data!T$9+Source_Data!T$10*IF(Source_Data!$C$10=0,0,MAX(0,Inputs!$B$20*Inputs!$B$23*$B$77-Inputs!$B$21)/Source_Data!$C$10)</f>
        <v>45</v>
      </c>
      <c r="U85" s="33" t="n">
        <f aca="false">Source_Data!U$9+Source_Data!U$10*IF(Source_Data!$C$10=0,0,MAX(0,Inputs!$B$20*Inputs!$B$23*$B$77-Inputs!$B$21)/Source_Data!$C$10)</f>
        <v>45</v>
      </c>
      <c r="V85" s="33" t="n">
        <f aca="false">Source_Data!V$9+Source_Data!V$10*IF(Source_Data!$C$10=0,0,MAX(0,Inputs!$B$20*Inputs!$B$23*$B$77-Inputs!$B$21)/Source_Data!$C$10)</f>
        <v>45</v>
      </c>
      <c r="W85" s="33" t="n">
        <f aca="false">Source_Data!W$9+Source_Data!W$10*IF(Source_Data!$C$10=0,0,MAX(0,Inputs!$B$20*Inputs!$B$23*$B$77-Inputs!$B$21)/Source_Data!$C$10)</f>
        <v>45</v>
      </c>
      <c r="X85" s="33" t="n">
        <f aca="false">Source_Data!X$9+Source_Data!X$10*IF(Source_Data!$C$10=0,0,MAX(0,Inputs!$B$20*Inputs!$B$23*$B$77-Inputs!$B$21)/Source_Data!$C$10)</f>
        <v>22.5</v>
      </c>
      <c r="Y85" s="33" t="n">
        <f aca="false">Source_Data!Y$9+Source_Data!Y$10*IF(Source_Data!$C$10=0,0,MAX(0,Inputs!$B$20*Inputs!$B$23*$B$77-Inputs!$B$21)/Source_Data!$C$10)</f>
        <v>22.5</v>
      </c>
      <c r="Z85" s="33" t="n">
        <f aca="false">Source_Data!Z$9+Source_Data!Z$10*IF(Source_Data!$C$10=0,0,MAX(0,Inputs!$B$20*Inputs!$B$23*$B$77-Inputs!$B$21)/Source_Data!$C$10)</f>
        <v>22.5</v>
      </c>
      <c r="AA85" s="33" t="n">
        <f aca="false">Source_Data!AA$9+Source_Data!AA$10*IF(Source_Data!$C$10=0,0,MAX(0,Inputs!$B$20*Inputs!$B$23*$B$77-Inputs!$B$21)/Source_Data!$C$10)</f>
        <v>22.5</v>
      </c>
      <c r="AB85" s="33" t="n">
        <f aca="false">Source_Data!AB$9+Source_Data!AB$10*IF(Source_Data!$C$10=0,0,MAX(0,Inputs!$B$20*Inputs!$B$23*$B$77-Inputs!$B$21)/Source_Data!$C$10)</f>
        <v>0</v>
      </c>
      <c r="AC85" s="33" t="n">
        <f aca="false">Source_Data!AC$9+Source_Data!AC$10*IF(Source_Data!$C$10=0,0,MAX(0,Inputs!$B$20*Inputs!$B$23*$B$77-Inputs!$B$21)/Source_Data!$C$10)</f>
        <v>0</v>
      </c>
      <c r="AD85" s="33" t="n">
        <f aca="false">Source_Data!AD$9+Source_Data!AD$10*IF(Source_Data!$C$10=0,0,MAX(0,Inputs!$B$20*Inputs!$B$23*$B$77-Inputs!$B$21)/Source_Data!$C$10)</f>
        <v>0</v>
      </c>
      <c r="AE85" s="33" t="n">
        <f aca="false">Source_Data!AE$9+Source_Data!AE$10*IF(Source_Data!$C$10=0,0,MAX(0,Inputs!$B$20*Inputs!$B$23*$B$77-Inputs!$B$21)/Source_Data!$C$10)</f>
        <v>0</v>
      </c>
      <c r="AF85" s="33" t="n">
        <f aca="false">Source_Data!AF$9+Source_Data!AF$10*IF(Source_Data!$C$10=0,0,MAX(0,Inputs!$B$20*Inputs!$B$23*$B$77-Inputs!$B$21)/Source_Data!$C$10)</f>
        <v>164.961945945265</v>
      </c>
      <c r="AG85" s="33" t="n">
        <f aca="false">Source_Data!AG$9+Source_Data!AG$10*IF(Source_Data!$C$10=0,0,MAX(0,Inputs!$B$20*Inputs!$B$23*$B$77-Inputs!$B$21)/Source_Data!$C$10)</f>
        <v>16.8034235432958</v>
      </c>
      <c r="AH85" s="33" t="n">
        <f aca="false">Source_Data!AH$9+Source_Data!AH$10*IF(Source_Data!$C$10=0,0,MAX(0,Inputs!$B$20*Inputs!$B$23*$B$77-Inputs!$B$21)/Source_Data!$C$10)</f>
        <v>16.8034235432958</v>
      </c>
      <c r="AI85" s="33" t="n">
        <f aca="false">Source_Data!AI$9+Source_Data!AI$10*IF(Source_Data!$C$10=0,0,MAX(0,Inputs!$B$20*Inputs!$B$23*$B$77-Inputs!$B$21)/Source_Data!$C$10)</f>
        <v>16.8034235432958</v>
      </c>
      <c r="AJ85" s="33" t="n">
        <f aca="false">Source_Data!AJ$9+Source_Data!AJ$10*IF(Source_Data!$C$10=0,0,MAX(0,Inputs!$B$20*Inputs!$B$23*$B$77-Inputs!$B$21)/Source_Data!$C$10)</f>
        <v>16.8034235432958</v>
      </c>
      <c r="AK85" s="33" t="n">
        <f aca="false">Source_Data!AK$9+Source_Data!AK$10*IF(Source_Data!$C$10=0,0,MAX(0,Inputs!$B$20*Inputs!$B$23*$B$77-Inputs!$B$21)/Source_Data!$C$10)</f>
        <v>15.3406498479221</v>
      </c>
      <c r="AL85" s="33" t="n">
        <f aca="false">Source_Data!AL$9+Source_Data!AL$10*IF(Source_Data!$C$10=0,0,MAX(0,Inputs!$B$20*Inputs!$B$23*$B$77-Inputs!$B$21)/Source_Data!$C$10)</f>
        <v>15.3406498479221</v>
      </c>
      <c r="AM85" s="33" t="n">
        <f aca="false">Source_Data!AM$9+Source_Data!AM$10*IF(Source_Data!$C$10=0,0,MAX(0,Inputs!$B$20*Inputs!$B$23*$B$77-Inputs!$B$21)/Source_Data!$C$10)</f>
        <v>12.5507800173251</v>
      </c>
      <c r="AN85" s="33" t="n">
        <f aca="false">Source_Data!AN$9+Source_Data!AN$10*IF(Source_Data!$C$10=0,0,MAX(0,Inputs!$B$20*Inputs!$B$23*$B$77-Inputs!$B$21)/Source_Data!$C$10)</f>
        <v>6.44710692072817</v>
      </c>
      <c r="AO85" s="33" t="n">
        <f aca="false">Source_Data!AO$9+Source_Data!AO$10*IF(Source_Data!$C$10=0,0,MAX(0,Inputs!$B$20*Inputs!$B$23*$B$77-Inputs!$B$21)/Source_Data!$C$10)</f>
        <v>2.39131699765453</v>
      </c>
      <c r="AP85" s="33" t="n">
        <f aca="false">Source_Data!AP$9+Source_Data!AP$10*IF(Source_Data!$C$10=0,0,MAX(0,Inputs!$B$20*Inputs!$B$23*$B$77-Inputs!$B$21)/Source_Data!$C$10)</f>
        <v>0</v>
      </c>
      <c r="AQ85" s="33" t="n">
        <f aca="false">Source_Data!AQ$9+Source_Data!AQ$10*IF(Source_Data!$C$10=0,0,MAX(0,Inputs!$B$20*Inputs!$B$23*$B$77-Inputs!$B$21)/Source_Data!$C$10)</f>
        <v>0</v>
      </c>
      <c r="AR85" s="33" t="n">
        <f aca="false">Source_Data!AR$9+Source_Data!AR$10*IF(Source_Data!$C$10=0,0,MAX(0,Inputs!$B$20*Inputs!$B$23*$B$77-Inputs!$B$21)/Source_Data!$C$10)</f>
        <v>0</v>
      </c>
      <c r="AS85" s="33" t="n">
        <f aca="false">Source_Data!AS$9+Source_Data!AS$10*IF(Source_Data!$C$10=0,0,MAX(0,Inputs!$B$20*Inputs!$B$23*$B$77-Inputs!$B$21)/Source_Data!$C$10)</f>
        <v>0</v>
      </c>
      <c r="AT85" s="33" t="n">
        <f aca="false">Source_Data!AT$9+Source_Data!AT$10*IF(Source_Data!$C$10=0,0,MAX(0,Inputs!$B$20*Inputs!$B$23*$B$77-Inputs!$B$21)/Source_Data!$C$10)</f>
        <v>0</v>
      </c>
      <c r="AU85" s="33" t="n">
        <f aca="false">Source_Data!AU$9+Source_Data!AU$10*IF(Source_Data!$C$10=0,0,MAX(0,Inputs!$B$20*Inputs!$B$23*$B$77-Inputs!$B$21)/Source_Data!$C$10)</f>
        <v>0</v>
      </c>
      <c r="AV85" s="33" t="n">
        <f aca="false">Source_Data!AV$9+Source_Data!AV$10*IF(Source_Data!$C$10=0,0,MAX(0,Inputs!$B$20*Inputs!$B$23*$B$77-Inputs!$B$21)/Source_Data!$C$10)</f>
        <v>0</v>
      </c>
      <c r="AW85" s="33" t="n">
        <f aca="false">Source_Data!AW$9+Source_Data!AW$10*IF(Source_Data!$C$10=0,0,MAX(0,Inputs!$B$20*Inputs!$B$23*$B$77-Inputs!$B$21)/Source_Data!$C$10)</f>
        <v>0</v>
      </c>
      <c r="AX85" s="33" t="n">
        <f aca="false">Source_Data!AX$9+Source_Data!AX$10*IF(Source_Data!$C$10=0,0,MAX(0,Inputs!$B$20*Inputs!$B$23*$B$77-Inputs!$B$21)/Source_Data!$C$10)</f>
        <v>0</v>
      </c>
      <c r="AY85" s="33" t="n">
        <f aca="false">Source_Data!AY$9+Source_Data!AY$10*IF(Source_Data!$C$10=0,0,MAX(0,Inputs!$B$20*Inputs!$B$23*$B$77-Inputs!$B$21)/Source_Data!$C$10)</f>
        <v>0</v>
      </c>
      <c r="AZ85" s="33" t="n">
        <f aca="false">Source_Data!AZ$9+Source_Data!AZ$10*IF(Source_Data!$C$10=0,0,MAX(0,Inputs!$B$20*Inputs!$B$23*$B$77-Inputs!$B$21)/Source_Data!$C$10)</f>
        <v>0</v>
      </c>
      <c r="BA85" s="33" t="n">
        <f aca="false">Source_Data!BA$9+Source_Data!BA$10*IF(Source_Data!$C$10=0,0,MAX(0,Inputs!$B$20*Inputs!$B$23*$B$77-Inputs!$B$21)/Source_Data!$C$10)</f>
        <v>0</v>
      </c>
      <c r="BB85" s="33" t="n">
        <f aca="false">Source_Data!BB$9+Source_Data!BB$10*IF(Source_Data!$C$10=0,0,MAX(0,Inputs!$B$20*Inputs!$B$23*$B$77-Inputs!$B$21)/Source_Data!$C$10)</f>
        <v>0</v>
      </c>
      <c r="BC85" s="33" t="n">
        <f aca="false">Source_Data!BC$9+Source_Data!BC$10*IF(Source_Data!$C$10=0,0,MAX(0,Inputs!$B$20*Inputs!$B$23*$B$77-Inputs!$B$21)/Source_Data!$C$10)</f>
        <v>0</v>
      </c>
      <c r="BD85" s="33" t="n">
        <f aca="false">Source_Data!BD$9+Source_Data!BD$10*IF(Source_Data!$C$10=0,0,MAX(0,Inputs!$B$20*Inputs!$B$23*$B$77-Inputs!$B$21)/Source_Data!$C$10)</f>
        <v>0</v>
      </c>
      <c r="BE85" s="33" t="n">
        <f aca="false">Source_Data!BE$9+Source_Data!BE$10*IF(Source_Data!$C$10=0,0,MAX(0,Inputs!$B$20*Inputs!$B$23*$B$77-Inputs!$B$21)/Source_Data!$C$10)</f>
        <v>0</v>
      </c>
      <c r="BF85" s="33" t="n">
        <f aca="false">Source_Data!BF$9+Source_Data!BF$10*IF(Source_Data!$C$10=0,0,MAX(0,Inputs!$B$20*Inputs!$B$23*$B$77-Inputs!$B$21)/Source_Data!$C$10)</f>
        <v>0</v>
      </c>
      <c r="BG85" s="33" t="n">
        <f aca="false">Source_Data!BG$9+Source_Data!BG$10*IF(Source_Data!$C$10=0,0,MAX(0,Inputs!$B$20*Inputs!$B$23*$B$77-Inputs!$B$21)/Source_Data!$C$10)</f>
        <v>0</v>
      </c>
      <c r="BH85" s="33" t="n">
        <f aca="false">Source_Data!BH$9+Source_Data!BH$10*IF(Source_Data!$C$10=0,0,MAX(0,Inputs!$B$20*Inputs!$B$23*$B$77-Inputs!$B$21)/Source_Data!$C$10)</f>
        <v>0</v>
      </c>
      <c r="BI85" s="33" t="n">
        <f aca="false">Source_Data!BI$9+Source_Data!BI$10*IF(Source_Data!$C$10=0,0,MAX(0,Inputs!$B$20*Inputs!$B$23*$B$77-Inputs!$B$21)/Source_Data!$C$10)</f>
        <v>0</v>
      </c>
      <c r="BJ85" s="33" t="n">
        <f aca="false">Source_Data!BJ$9+Source_Data!BJ$10*IF(Source_Data!$C$10=0,0,MAX(0,Inputs!$B$20*Inputs!$B$23*$B$77-Inputs!$B$21)/Source_Data!$C$10)</f>
        <v>0</v>
      </c>
      <c r="BK85" s="33" t="n">
        <f aca="false">Source_Data!BK$9+Source_Data!BK$10*IF(Source_Data!$C$10=0,0,MAX(0,Inputs!$B$20*Inputs!$B$23*$B$77-Inputs!$B$21)/Source_Data!$C$10)</f>
        <v>0</v>
      </c>
    </row>
    <row r="86" customFormat="false" ht="15" hidden="false" customHeight="false" outlineLevel="0" collapsed="false">
      <c r="A86" s="3" t="s">
        <v>196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198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217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218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219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341</v>
      </c>
      <c r="D91" s="33" t="n">
        <f aca="false">IF(Source_Data!D$6=Inputs!$B$13,-Inputs!$B$7,0)+IF(AND(Source_Data!D$6&gt;=$B$82,Source_Data!D$6&lt;$B$82+3*Inputs!$B$17,MOD(Source_Data!D$6-$B$82,3)=0),Inputs!$B$8*Inputs!$B$7*Inputs!$B$35*$B$77*(1-Inputs!$B$16)/Inputs!$B$17,0)</f>
        <v>-75</v>
      </c>
      <c r="E91" s="33" t="n">
        <f aca="false">IF(Source_Data!E$6=Inputs!$B$13,-Inputs!$B$7,0)+IF(AND(Source_Data!E$6&gt;=$B$82,Source_Data!E$6&lt;$B$82+3*Inputs!$B$17,MOD(Source_Data!E$6-$B$82,3)=0),Inputs!$B$8*Inputs!$B$7*Inputs!$B$35*$B$77*(1-Inputs!$B$16)/Inputs!$B$17,0)</f>
        <v>0</v>
      </c>
      <c r="F91" s="33" t="n">
        <f aca="false">IF(Source_Data!F$6=Inputs!$B$13,-Inputs!$B$7,0)+IF(AND(Source_Data!F$6&gt;=$B$82,Source_Data!F$6&lt;$B$82+3*Inputs!$B$17,MOD(Source_Data!F$6-$B$82,3)=0),Inputs!$B$8*Inputs!$B$7*Inputs!$B$35*$B$77*(1-Inputs!$B$16)/Inputs!$B$17,0)</f>
        <v>0</v>
      </c>
      <c r="G91" s="33" t="n">
        <f aca="false">IF(Source_Data!G$6=Inputs!$B$13,-Inputs!$B$7,0)+IF(AND(Source_Data!G$6&gt;=$B$82,Source_Data!G$6&lt;$B$82+3*Inputs!$B$17,MOD(Source_Data!G$6-$B$82,3)=0),Inputs!$B$8*Inputs!$B$7*Inputs!$B$35*$B$77*(1-Inputs!$B$16)/Inputs!$B$17,0)</f>
        <v>0</v>
      </c>
      <c r="H91" s="33" t="n">
        <f aca="false">IF(Source_Data!H$6=Inputs!$B$13,-Inputs!$B$7,0)+IF(AND(Source_Data!H$6&gt;=$B$82,Source_Data!H$6&lt;$B$82+3*Inputs!$B$17,MOD(Source_Data!H$6-$B$82,3)=0),Inputs!$B$8*Inputs!$B$7*Inputs!$B$35*$B$77*(1-Inputs!$B$16)/Inputs!$B$17,0)</f>
        <v>0</v>
      </c>
      <c r="I91" s="33" t="n">
        <f aca="false">IF(Source_Data!I$6=Inputs!$B$13,-Inputs!$B$7,0)+IF(AND(Source_Data!I$6&gt;=$B$82,Source_Data!I$6&lt;$B$82+3*Inputs!$B$17,MOD(Source_Data!I$6-$B$82,3)=0),Inputs!$B$8*Inputs!$B$7*Inputs!$B$35*$B$77*(1-Inputs!$B$16)/Inputs!$B$17,0)</f>
        <v>0</v>
      </c>
      <c r="J91" s="33" t="n">
        <f aca="false">IF(Source_Data!J$6=Inputs!$B$13,-Inputs!$B$7,0)+IF(AND(Source_Data!J$6&gt;=$B$82,Source_Data!J$6&lt;$B$82+3*Inputs!$B$17,MOD(Source_Data!J$6-$B$82,3)=0),Inputs!$B$8*Inputs!$B$7*Inputs!$B$35*$B$77*(1-Inputs!$B$16)/Inputs!$B$17,0)</f>
        <v>0</v>
      </c>
      <c r="K91" s="33" t="n">
        <f aca="false">IF(Source_Data!K$6=Inputs!$B$13,-Inputs!$B$7,0)+IF(AND(Source_Data!K$6&gt;=$B$82,Source_Data!K$6&lt;$B$82+3*Inputs!$B$17,MOD(Source_Data!K$6-$B$82,3)=0),Inputs!$B$8*Inputs!$B$7*Inputs!$B$35*$B$77*(1-Inputs!$B$16)/Inputs!$B$17,0)</f>
        <v>0</v>
      </c>
      <c r="L91" s="33" t="n">
        <f aca="false">IF(Source_Data!L$6=Inputs!$B$13,-Inputs!$B$7,0)+IF(AND(Source_Data!L$6&gt;=$B$82,Source_Data!L$6&lt;$B$82+3*Inputs!$B$17,MOD(Source_Data!L$6-$B$82,3)=0),Inputs!$B$8*Inputs!$B$7*Inputs!$B$35*$B$77*(1-Inputs!$B$16)/Inputs!$B$17,0)</f>
        <v>0</v>
      </c>
      <c r="M91" s="33" t="n">
        <f aca="false">IF(Source_Data!M$6=Inputs!$B$13,-Inputs!$B$7,0)+IF(AND(Source_Data!M$6&gt;=$B$82,Source_Data!M$6&lt;$B$82+3*Inputs!$B$17,MOD(Source_Data!M$6-$B$82,3)=0),Inputs!$B$8*Inputs!$B$7*Inputs!$B$35*$B$77*(1-Inputs!$B$16)/Inputs!$B$17,0)</f>
        <v>0</v>
      </c>
      <c r="N91" s="33" t="n">
        <f aca="false">IF(Source_Data!N$6=Inputs!$B$13,-Inputs!$B$7,0)+IF(AND(Source_Data!N$6&gt;=$B$82,Source_Data!N$6&lt;$B$82+3*Inputs!$B$17,MOD(Source_Data!N$6-$B$82,3)=0),Inputs!$B$8*Inputs!$B$7*Inputs!$B$35*$B$77*(1-Inputs!$B$16)/Inputs!$B$17,0)</f>
        <v>0</v>
      </c>
      <c r="O91" s="33" t="n">
        <f aca="false">IF(Source_Data!O$6=Inputs!$B$13,-Inputs!$B$7,0)+IF(AND(Source_Data!O$6&gt;=$B$82,Source_Data!O$6&lt;$B$82+3*Inputs!$B$17,MOD(Source_Data!O$6-$B$82,3)=0),Inputs!$B$8*Inputs!$B$7*Inputs!$B$35*$B$77*(1-Inputs!$B$16)/Inputs!$B$17,0)</f>
        <v>0</v>
      </c>
      <c r="P91" s="33" t="n">
        <f aca="false">IF(Source_Data!P$6=Inputs!$B$13,-Inputs!$B$7,0)+IF(AND(Source_Data!P$6&gt;=$B$82,Source_Data!P$6&lt;$B$82+3*Inputs!$B$17,MOD(Source_Data!P$6-$B$82,3)=0),Inputs!$B$8*Inputs!$B$7*Inputs!$B$35*$B$77*(1-Inputs!$B$16)/Inputs!$B$17,0)</f>
        <v>0</v>
      </c>
      <c r="Q91" s="33" t="n">
        <f aca="false">IF(Source_Data!Q$6=Inputs!$B$13,-Inputs!$B$7,0)+IF(AND(Source_Data!Q$6&gt;=$B$82,Source_Data!Q$6&lt;$B$82+3*Inputs!$B$17,MOD(Source_Data!Q$6-$B$82,3)=0),Inputs!$B$8*Inputs!$B$7*Inputs!$B$35*$B$77*(1-Inputs!$B$16)/Inputs!$B$17,0)</f>
        <v>0</v>
      </c>
      <c r="R91" s="33" t="n">
        <f aca="false">IF(Source_Data!R$6=Inputs!$B$13,-Inputs!$B$7,0)+IF(AND(Source_Data!R$6&gt;=$B$82,Source_Data!R$6&lt;$B$82+3*Inputs!$B$17,MOD(Source_Data!R$6-$B$82,3)=0),Inputs!$B$8*Inputs!$B$7*Inputs!$B$35*$B$77*(1-Inputs!$B$16)/Inputs!$B$17,0)</f>
        <v>0</v>
      </c>
      <c r="S91" s="33" t="n">
        <f aca="false">IF(Source_Data!S$6=Inputs!$B$13,-Inputs!$B$7,0)+IF(AND(Source_Data!S$6&gt;=$B$82,Source_Data!S$6&lt;$B$82+3*Inputs!$B$17,MOD(Source_Data!S$6-$B$82,3)=0),Inputs!$B$8*Inputs!$B$7*Inputs!$B$35*$B$77*(1-Inputs!$B$16)/Inputs!$B$17,0)</f>
        <v>0</v>
      </c>
      <c r="T91" s="33" t="n">
        <f aca="false">IF(Source_Data!T$6=Inputs!$B$13,-Inputs!$B$7,0)+IF(AND(Source_Data!T$6&gt;=$B$82,Source_Data!T$6&lt;$B$82+3*Inputs!$B$17,MOD(Source_Data!T$6-$B$82,3)=0),Inputs!$B$8*Inputs!$B$7*Inputs!$B$35*$B$77*(1-Inputs!$B$16)/Inputs!$B$17,0)</f>
        <v>57.3655913978495</v>
      </c>
      <c r="U91" s="33" t="n">
        <f aca="false">IF(Source_Data!U$6=Inputs!$B$13,-Inputs!$B$7,0)+IF(AND(Source_Data!U$6&gt;=$B$82,Source_Data!U$6&lt;$B$82+3*Inputs!$B$17,MOD(Source_Data!U$6-$B$82,3)=0),Inputs!$B$8*Inputs!$B$7*Inputs!$B$35*$B$77*(1-Inputs!$B$16)/Inputs!$B$17,0)</f>
        <v>57.3655913978495</v>
      </c>
      <c r="V91" s="33" t="n">
        <f aca="false">IF(Source_Data!V$6=Inputs!$B$13,-Inputs!$B$7,0)+IF(AND(Source_Data!V$6&gt;=$B$82,Source_Data!V$6&lt;$B$82+3*Inputs!$B$17,MOD(Source_Data!V$6-$B$82,3)=0),Inputs!$B$8*Inputs!$B$7*Inputs!$B$35*$B$77*(1-Inputs!$B$16)/Inputs!$B$17,0)</f>
        <v>57.3655913978495</v>
      </c>
      <c r="W91" s="33" t="n">
        <f aca="false">IF(Source_Data!W$6=Inputs!$B$13,-Inputs!$B$7,0)+IF(AND(Source_Data!W$6&gt;=$B$82,Source_Data!W$6&lt;$B$82+3*Inputs!$B$17,MOD(Source_Data!W$6-$B$82,3)=0),Inputs!$B$8*Inputs!$B$7*Inputs!$B$35*$B$77*(1-Inputs!$B$16)/Inputs!$B$17,0)</f>
        <v>57.3655913978495</v>
      </c>
      <c r="X91" s="33" t="n">
        <f aca="false">IF(Source_Data!X$6=Inputs!$B$13,-Inputs!$B$7,0)+IF(AND(Source_Data!X$6&gt;=$B$82,Source_Data!X$6&lt;$B$82+3*Inputs!$B$17,MOD(Source_Data!X$6-$B$82,3)=0),Inputs!$B$8*Inputs!$B$7*Inputs!$B$35*$B$77*(1-Inputs!$B$16)/Inputs!$B$17,0)</f>
        <v>0</v>
      </c>
      <c r="Y91" s="33" t="n">
        <f aca="false">IF(Source_Data!Y$6=Inputs!$B$13,-Inputs!$B$7,0)+IF(AND(Source_Data!Y$6&gt;=$B$82,Source_Data!Y$6&lt;$B$82+3*Inputs!$B$17,MOD(Source_Data!Y$6-$B$82,3)=0),Inputs!$B$8*Inputs!$B$7*Inputs!$B$35*$B$77*(1-Inputs!$B$16)/Inputs!$B$17,0)</f>
        <v>0</v>
      </c>
      <c r="Z91" s="33" t="n">
        <f aca="false">IF(Source_Data!Z$6=Inputs!$B$13,-Inputs!$B$7,0)+IF(AND(Source_Data!Z$6&gt;=$B$82,Source_Data!Z$6&lt;$B$82+3*Inputs!$B$17,MOD(Source_Data!Z$6-$B$82,3)=0),Inputs!$B$8*Inputs!$B$7*Inputs!$B$35*$B$77*(1-Inputs!$B$16)/Inputs!$B$17,0)</f>
        <v>0</v>
      </c>
      <c r="AA91" s="33" t="n">
        <f aca="false">IF(Source_Data!AA$6=Inputs!$B$13,-Inputs!$B$7,0)+IF(AND(Source_Data!AA$6&gt;=$B$82,Source_Data!AA$6&lt;$B$82+3*Inputs!$B$17,MOD(Source_Data!AA$6-$B$82,3)=0),Inputs!$B$8*Inputs!$B$7*Inputs!$B$35*$B$77*(1-Inputs!$B$16)/Inputs!$B$17,0)</f>
        <v>0</v>
      </c>
      <c r="AB91" s="33" t="n">
        <f aca="false">IF(Source_Data!AB$6=Inputs!$B$13,-Inputs!$B$7,0)+IF(AND(Source_Data!AB$6&gt;=$B$82,Source_Data!AB$6&lt;$B$82+3*Inputs!$B$17,MOD(Source_Data!AB$6-$B$82,3)=0),Inputs!$B$8*Inputs!$B$7*Inputs!$B$35*$B$77*(1-Inputs!$B$16)/Inputs!$B$17,0)</f>
        <v>0</v>
      </c>
      <c r="AC91" s="33" t="n">
        <f aca="false">IF(Source_Data!AC$6=Inputs!$B$13,-Inputs!$B$7,0)+IF(AND(Source_Data!AC$6&gt;=$B$82,Source_Data!AC$6&lt;$B$82+3*Inputs!$B$17,MOD(Source_Data!AC$6-$B$82,3)=0),Inputs!$B$8*Inputs!$B$7*Inputs!$B$35*$B$77*(1-Inputs!$B$16)/Inputs!$B$17,0)</f>
        <v>0</v>
      </c>
      <c r="AD91" s="33" t="n">
        <f aca="false">IF(Source_Data!AD$6=Inputs!$B$13,-Inputs!$B$7,0)+IF(AND(Source_Data!AD$6&gt;=$B$82,Source_Data!AD$6&lt;$B$82+3*Inputs!$B$17,MOD(Source_Data!AD$6-$B$82,3)=0),Inputs!$B$8*Inputs!$B$7*Inputs!$B$35*$B$77*(1-Inputs!$B$16)/Inputs!$B$17,0)</f>
        <v>0</v>
      </c>
      <c r="AE91" s="33" t="n">
        <f aca="false">IF(Source_Data!AE$6=Inputs!$B$13,-Inputs!$B$7,0)+IF(AND(Source_Data!AE$6&gt;=$B$82,Source_Data!AE$6&lt;$B$82+3*Inputs!$B$17,MOD(Source_Data!AE$6-$B$82,3)=0),Inputs!$B$8*Inputs!$B$7*Inputs!$B$35*$B$77*(1-Inputs!$B$16)/Inputs!$B$17,0)</f>
        <v>0</v>
      </c>
      <c r="AF91" s="33" t="n">
        <f aca="false">IF(Source_Data!AF$6=Inputs!$B$13,-Inputs!$B$7,0)+IF(AND(Source_Data!AF$6&gt;=$B$82,Source_Data!AF$6&lt;$B$82+3*Inputs!$B$17,MOD(Source_Data!AF$6-$B$82,3)=0),Inputs!$B$8*Inputs!$B$7*Inputs!$B$35*$B$77*(1-Inputs!$B$16)/Inputs!$B$17,0)</f>
        <v>0</v>
      </c>
      <c r="AG91" s="33" t="n">
        <f aca="false">IF(Source_Data!AG$6=Inputs!$B$13,-Inputs!$B$7,0)+IF(AND(Source_Data!AG$6&gt;=$B$82,Source_Data!AG$6&lt;$B$82+3*Inputs!$B$17,MOD(Source_Data!AG$6-$B$82,3)=0),Inputs!$B$8*Inputs!$B$7*Inputs!$B$35*$B$77*(1-Inputs!$B$16)/Inputs!$B$17,0)</f>
        <v>0</v>
      </c>
      <c r="AH91" s="33" t="n">
        <f aca="false">IF(Source_Data!AH$6=Inputs!$B$13,-Inputs!$B$7,0)+IF(AND(Source_Data!AH$6&gt;=$B$82,Source_Data!AH$6&lt;$B$82+3*Inputs!$B$17,MOD(Source_Data!AH$6-$B$82,3)=0),Inputs!$B$8*Inputs!$B$7*Inputs!$B$35*$B$77*(1-Inputs!$B$16)/Inputs!$B$17,0)</f>
        <v>0</v>
      </c>
      <c r="AI91" s="33" t="n">
        <f aca="false">IF(Source_Data!AI$6=Inputs!$B$13,-Inputs!$B$7,0)+IF(AND(Source_Data!AI$6&gt;=$B$82,Source_Data!AI$6&lt;$B$82+3*Inputs!$B$17,MOD(Source_Data!AI$6-$B$82,3)=0),Inputs!$B$8*Inputs!$B$7*Inputs!$B$35*$B$77*(1-Inputs!$B$16)/Inputs!$B$17,0)</f>
        <v>0</v>
      </c>
      <c r="AJ91" s="33" t="n">
        <f aca="false">IF(Source_Data!AJ$6=Inputs!$B$13,-Inputs!$B$7,0)+IF(AND(Source_Data!AJ$6&gt;=$B$82,Source_Data!AJ$6&lt;$B$82+3*Inputs!$B$17,MOD(Source_Data!AJ$6-$B$82,3)=0),Inputs!$B$8*Inputs!$B$7*Inputs!$B$35*$B$77*(1-Inputs!$B$16)/Inputs!$B$17,0)</f>
        <v>0</v>
      </c>
      <c r="AK91" s="33" t="n">
        <f aca="false">IF(Source_Data!AK$6=Inputs!$B$13,-Inputs!$B$7,0)+IF(AND(Source_Data!AK$6&gt;=$B$82,Source_Data!AK$6&lt;$B$82+3*Inputs!$B$17,MOD(Source_Data!AK$6-$B$82,3)=0),Inputs!$B$8*Inputs!$B$7*Inputs!$B$35*$B$77*(1-Inputs!$B$16)/Inputs!$B$17,0)</f>
        <v>0</v>
      </c>
      <c r="AL91" s="33" t="n">
        <f aca="false">IF(Source_Data!AL$6=Inputs!$B$13,-Inputs!$B$7,0)+IF(AND(Source_Data!AL$6&gt;=$B$82,Source_Data!AL$6&lt;$B$82+3*Inputs!$B$17,MOD(Source_Data!AL$6-$B$82,3)=0),Inputs!$B$8*Inputs!$B$7*Inputs!$B$35*$B$77*(1-Inputs!$B$16)/Inputs!$B$17,0)</f>
        <v>0</v>
      </c>
      <c r="AM91" s="33" t="n">
        <f aca="false">IF(Source_Data!AM$6=Inputs!$B$13,-Inputs!$B$7,0)+IF(AND(Source_Data!AM$6&gt;=$B$82,Source_Data!AM$6&lt;$B$82+3*Inputs!$B$17,MOD(Source_Data!AM$6-$B$82,3)=0),Inputs!$B$8*Inputs!$B$7*Inputs!$B$35*$B$77*(1-Inputs!$B$16)/Inputs!$B$17,0)</f>
        <v>0</v>
      </c>
      <c r="AN91" s="33" t="n">
        <f aca="false">IF(Source_Data!AN$6=Inputs!$B$13,-Inputs!$B$7,0)+IF(AND(Source_Data!AN$6&gt;=$B$82,Source_Data!AN$6&lt;$B$82+3*Inputs!$B$17,MOD(Source_Data!AN$6-$B$82,3)=0),Inputs!$B$8*Inputs!$B$7*Inputs!$B$35*$B$77*(1-Inputs!$B$16)/Inputs!$B$17,0)</f>
        <v>0</v>
      </c>
      <c r="AO91" s="33" t="n">
        <f aca="false">IF(Source_Data!AO$6=Inputs!$B$13,-Inputs!$B$7,0)+IF(AND(Source_Data!AO$6&gt;=$B$82,Source_Data!AO$6&lt;$B$82+3*Inputs!$B$17,MOD(Source_Data!AO$6-$B$82,3)=0),Inputs!$B$8*Inputs!$B$7*Inputs!$B$35*$B$77*(1-Inputs!$B$16)/Inputs!$B$17,0)</f>
        <v>0</v>
      </c>
      <c r="AP91" s="33" t="n">
        <f aca="false">IF(Source_Data!AP$6=Inputs!$B$13,-Inputs!$B$7,0)+IF(AND(Source_Data!AP$6&gt;=$B$82,Source_Data!AP$6&lt;$B$82+3*Inputs!$B$17,MOD(Source_Data!AP$6-$B$82,3)=0),Inputs!$B$8*Inputs!$B$7*Inputs!$B$35*$B$77*(1-Inputs!$B$16)/Inputs!$B$17,0)</f>
        <v>0</v>
      </c>
      <c r="AQ91" s="33" t="n">
        <f aca="false">IF(Source_Data!AQ$6=Inputs!$B$13,-Inputs!$B$7,0)+IF(AND(Source_Data!AQ$6&gt;=$B$82,Source_Data!AQ$6&lt;$B$82+3*Inputs!$B$17,MOD(Source_Data!AQ$6-$B$82,3)=0),Inputs!$B$8*Inputs!$B$7*Inputs!$B$35*$B$77*(1-Inputs!$B$16)/Inputs!$B$17,0)</f>
        <v>0</v>
      </c>
      <c r="AR91" s="33" t="n">
        <f aca="false">IF(Source_Data!AR$6=Inputs!$B$13,-Inputs!$B$7,0)+IF(AND(Source_Data!AR$6&gt;=$B$82,Source_Data!AR$6&lt;$B$82+3*Inputs!$B$17,MOD(Source_Data!AR$6-$B$82,3)=0),Inputs!$B$8*Inputs!$B$7*Inputs!$B$35*$B$77*(1-Inputs!$B$16)/Inputs!$B$17,0)</f>
        <v>0</v>
      </c>
      <c r="AS91" s="33" t="n">
        <f aca="false">IF(Source_Data!AS$6=Inputs!$B$13,-Inputs!$B$7,0)+IF(AND(Source_Data!AS$6&gt;=$B$82,Source_Data!AS$6&lt;$B$82+3*Inputs!$B$17,MOD(Source_Data!AS$6-$B$82,3)=0),Inputs!$B$8*Inputs!$B$7*Inputs!$B$35*$B$77*(1-Inputs!$B$16)/Inputs!$B$17,0)</f>
        <v>0</v>
      </c>
      <c r="AT91" s="33" t="n">
        <f aca="false">IF(Source_Data!AT$6=Inputs!$B$13,-Inputs!$B$7,0)+IF(AND(Source_Data!AT$6&gt;=$B$82,Source_Data!AT$6&lt;$B$82+3*Inputs!$B$17,MOD(Source_Data!AT$6-$B$82,3)=0),Inputs!$B$8*Inputs!$B$7*Inputs!$B$35*$B$77*(1-Inputs!$B$16)/Inputs!$B$17,0)</f>
        <v>0</v>
      </c>
      <c r="AU91" s="33" t="n">
        <f aca="false">IF(Source_Data!AU$6=Inputs!$B$13,-Inputs!$B$7,0)+IF(AND(Source_Data!AU$6&gt;=$B$82,Source_Data!AU$6&lt;$B$82+3*Inputs!$B$17,MOD(Source_Data!AU$6-$B$82,3)=0),Inputs!$B$8*Inputs!$B$7*Inputs!$B$35*$B$77*(1-Inputs!$B$16)/Inputs!$B$17,0)</f>
        <v>0</v>
      </c>
      <c r="AV91" s="33" t="n">
        <f aca="false">IF(Source_Data!AV$6=Inputs!$B$13,-Inputs!$B$7,0)+IF(AND(Source_Data!AV$6&gt;=$B$82,Source_Data!AV$6&lt;$B$82+3*Inputs!$B$17,MOD(Source_Data!AV$6-$B$82,3)=0),Inputs!$B$8*Inputs!$B$7*Inputs!$B$35*$B$77*(1-Inputs!$B$16)/Inputs!$B$17,0)</f>
        <v>0</v>
      </c>
      <c r="AW91" s="33" t="n">
        <f aca="false">IF(Source_Data!AW$6=Inputs!$B$13,-Inputs!$B$7,0)+IF(AND(Source_Data!AW$6&gt;=$B$82,Source_Data!AW$6&lt;$B$82+3*Inputs!$B$17,MOD(Source_Data!AW$6-$B$82,3)=0),Inputs!$B$8*Inputs!$B$7*Inputs!$B$35*$B$77*(1-Inputs!$B$16)/Inputs!$B$17,0)</f>
        <v>0</v>
      </c>
      <c r="AX91" s="33" t="n">
        <f aca="false">IF(Source_Data!AX$6=Inputs!$B$13,-Inputs!$B$7,0)+IF(AND(Source_Data!AX$6&gt;=$B$82,Source_Data!AX$6&lt;$B$82+3*Inputs!$B$17,MOD(Source_Data!AX$6-$B$82,3)=0),Inputs!$B$8*Inputs!$B$7*Inputs!$B$35*$B$77*(1-Inputs!$B$16)/Inputs!$B$17,0)</f>
        <v>0</v>
      </c>
      <c r="AY91" s="33" t="n">
        <f aca="false">IF(Source_Data!AY$6=Inputs!$B$13,-Inputs!$B$7,0)+IF(AND(Source_Data!AY$6&gt;=$B$82,Source_Data!AY$6&lt;$B$82+3*Inputs!$B$17,MOD(Source_Data!AY$6-$B$82,3)=0),Inputs!$B$8*Inputs!$B$7*Inputs!$B$35*$B$77*(1-Inputs!$B$16)/Inputs!$B$17,0)</f>
        <v>0</v>
      </c>
      <c r="AZ91" s="33" t="n">
        <f aca="false">IF(Source_Data!AZ$6=Inputs!$B$13,-Inputs!$B$7,0)+IF(AND(Source_Data!AZ$6&gt;=$B$82,Source_Data!AZ$6&lt;$B$82+3*Inputs!$B$17,MOD(Source_Data!AZ$6-$B$82,3)=0),Inputs!$B$8*Inputs!$B$7*Inputs!$B$35*$B$77*(1-Inputs!$B$16)/Inputs!$B$17,0)</f>
        <v>0</v>
      </c>
      <c r="BA91" s="33" t="n">
        <f aca="false">IF(Source_Data!BA$6=Inputs!$B$13,-Inputs!$B$7,0)+IF(AND(Source_Data!BA$6&gt;=$B$82,Source_Data!BA$6&lt;$B$82+3*Inputs!$B$17,MOD(Source_Data!BA$6-$B$82,3)=0),Inputs!$B$8*Inputs!$B$7*Inputs!$B$35*$B$77*(1-Inputs!$B$16)/Inputs!$B$17,0)</f>
        <v>0</v>
      </c>
      <c r="BB91" s="33" t="n">
        <f aca="false">IF(Source_Data!BB$6=Inputs!$B$13,-Inputs!$B$7,0)+IF(AND(Source_Data!BB$6&gt;=$B$82,Source_Data!BB$6&lt;$B$82+3*Inputs!$B$17,MOD(Source_Data!BB$6-$B$82,3)=0),Inputs!$B$8*Inputs!$B$7*Inputs!$B$35*$B$77*(1-Inputs!$B$16)/Inputs!$B$17,0)</f>
        <v>0</v>
      </c>
      <c r="BC91" s="33" t="n">
        <f aca="false">IF(Source_Data!BC$6=Inputs!$B$13,-Inputs!$B$7,0)+IF(AND(Source_Data!BC$6&gt;=$B$82,Source_Data!BC$6&lt;$B$82+3*Inputs!$B$17,MOD(Source_Data!BC$6-$B$82,3)=0),Inputs!$B$8*Inputs!$B$7*Inputs!$B$35*$B$77*(1-Inputs!$B$16)/Inputs!$B$17,0)</f>
        <v>0</v>
      </c>
      <c r="BD91" s="33" t="n">
        <f aca="false">IF(Source_Data!BD$6=Inputs!$B$13,-Inputs!$B$7,0)+IF(AND(Source_Data!BD$6&gt;=$B$82,Source_Data!BD$6&lt;$B$82+3*Inputs!$B$17,MOD(Source_Data!BD$6-$B$82,3)=0),Inputs!$B$8*Inputs!$B$7*Inputs!$B$35*$B$77*(1-Inputs!$B$16)/Inputs!$B$17,0)</f>
        <v>0</v>
      </c>
      <c r="BE91" s="33" t="n">
        <f aca="false">IF(Source_Data!BE$6=Inputs!$B$13,-Inputs!$B$7,0)+IF(AND(Source_Data!BE$6&gt;=$B$82,Source_Data!BE$6&lt;$B$82+3*Inputs!$B$17,MOD(Source_Data!BE$6-$B$82,3)=0),Inputs!$B$8*Inputs!$B$7*Inputs!$B$35*$B$77*(1-Inputs!$B$16)/Inputs!$B$17,0)</f>
        <v>0</v>
      </c>
      <c r="BF91" s="33" t="n">
        <f aca="false">IF(Source_Data!BF$6=Inputs!$B$13,-Inputs!$B$7,0)+IF(AND(Source_Data!BF$6&gt;=$B$82,Source_Data!BF$6&lt;$B$82+3*Inputs!$B$17,MOD(Source_Data!BF$6-$B$82,3)=0),Inputs!$B$8*Inputs!$B$7*Inputs!$B$35*$B$77*(1-Inputs!$B$16)/Inputs!$B$17,0)</f>
        <v>0</v>
      </c>
      <c r="BG91" s="33" t="n">
        <f aca="false">IF(Source_Data!BG$6=Inputs!$B$13,-Inputs!$B$7,0)+IF(AND(Source_Data!BG$6&gt;=$B$82,Source_Data!BG$6&lt;$B$82+3*Inputs!$B$17,MOD(Source_Data!BG$6-$B$82,3)=0),Inputs!$B$8*Inputs!$B$7*Inputs!$B$35*$B$77*(1-Inputs!$B$16)/Inputs!$B$17,0)</f>
        <v>0</v>
      </c>
      <c r="BH91" s="33" t="n">
        <f aca="false">IF(Source_Data!BH$6=Inputs!$B$13,-Inputs!$B$7,0)+IF(AND(Source_Data!BH$6&gt;=$B$82,Source_Data!BH$6&lt;$B$82+3*Inputs!$B$17,MOD(Source_Data!BH$6-$B$82,3)=0),Inputs!$B$8*Inputs!$B$7*Inputs!$B$35*$B$77*(1-Inputs!$B$16)/Inputs!$B$17,0)</f>
        <v>0</v>
      </c>
      <c r="BI91" s="33" t="n">
        <f aca="false">IF(Source_Data!BI$6=Inputs!$B$13,-Inputs!$B$7,0)+IF(AND(Source_Data!BI$6&gt;=$B$82,Source_Data!BI$6&lt;$B$82+3*Inputs!$B$17,MOD(Source_Data!BI$6-$B$82,3)=0),Inputs!$B$8*Inputs!$B$7*Inputs!$B$35*$B$77*(1-Inputs!$B$16)/Inputs!$B$17,0)</f>
        <v>0</v>
      </c>
      <c r="BJ91" s="33" t="n">
        <f aca="false">IF(Source_Data!BJ$6=Inputs!$B$13,-Inputs!$B$7,0)+IF(AND(Source_Data!BJ$6&gt;=$B$82,Source_Data!BJ$6&lt;$B$82+3*Inputs!$B$17,MOD(Source_Data!BJ$6-$B$82,3)=0),Inputs!$B$8*Inputs!$B$7*Inputs!$B$35*$B$77*(1-Inputs!$B$16)/Inputs!$B$17,0)</f>
        <v>0</v>
      </c>
      <c r="BK91" s="33" t="n">
        <f aca="false">IF(Source_Data!BK$6=Inputs!$B$13,-Inputs!$B$7,0)+IF(AND(Source_Data!BK$6&gt;=$B$82,Source_Data!BK$6&lt;$B$82+3*Inputs!$B$17,MOD(Source_Data!BK$6-$B$82,3)=0),Inputs!$B$8*Inputs!$B$7*Inputs!$B$35*$B$77*(1-Inputs!$B$16)/Inputs!$B$17,0)</f>
        <v>0</v>
      </c>
    </row>
    <row r="92" customFormat="false" ht="15" hidden="false" customHeight="false" outlineLevel="0" collapsed="false">
      <c r="A92" s="3" t="s">
        <v>342</v>
      </c>
      <c r="D92" s="33" t="n">
        <f aca="false">IF(AND(Source_Data!D$6&gt;=Inputs!$B$55,Source_Data!D$6&lt;Inputs!$B$55+3*Inputs!$B$11),Inputs!$B$9*Inputs!$B$7/Inputs!$B$11,0)</f>
        <v>0</v>
      </c>
      <c r="E92" s="33" t="n">
        <f aca="false">IF(AND(Source_Data!E$6&gt;=Inputs!$B$55,Source_Data!E$6&lt;Inputs!$B$55+3*Inputs!$B$11),Inputs!$B$9*Inputs!$B$7/Inputs!$B$11,0)</f>
        <v>0</v>
      </c>
      <c r="F92" s="33" t="n">
        <f aca="false">IF(AND(Source_Data!F$6&gt;=Inputs!$B$55,Source_Data!F$6&lt;Inputs!$B$55+3*Inputs!$B$11),Inputs!$B$9*Inputs!$B$7/Inputs!$B$11,0)</f>
        <v>0</v>
      </c>
      <c r="G92" s="33" t="n">
        <f aca="false">IF(AND(Source_Data!G$6&gt;=Inputs!$B$55,Source_Data!G$6&lt;Inputs!$B$55+3*Inputs!$B$11),Inputs!$B$9*Inputs!$B$7/Inputs!$B$11,0)</f>
        <v>0</v>
      </c>
      <c r="H92" s="33" t="n">
        <f aca="false">IF(AND(Source_Data!H$6&gt;=Inputs!$B$55,Source_Data!H$6&lt;Inputs!$B$55+3*Inputs!$B$11),Inputs!$B$9*Inputs!$B$7/Inputs!$B$11,0)</f>
        <v>0</v>
      </c>
      <c r="I92" s="33" t="n">
        <f aca="false">IF(AND(Source_Data!I$6&gt;=Inputs!$B$55,Source_Data!I$6&lt;Inputs!$B$55+3*Inputs!$B$11),Inputs!$B$9*Inputs!$B$7/Inputs!$B$11,0)</f>
        <v>0</v>
      </c>
      <c r="J92" s="33" t="n">
        <f aca="false">IF(AND(Source_Data!J$6&gt;=Inputs!$B$55,Source_Data!J$6&lt;Inputs!$B$55+3*Inputs!$B$11),Inputs!$B$9*Inputs!$B$7/Inputs!$B$11,0)</f>
        <v>0</v>
      </c>
      <c r="K92" s="33" t="n">
        <f aca="false">IF(AND(Source_Data!K$6&gt;=Inputs!$B$55,Source_Data!K$6&lt;Inputs!$B$55+3*Inputs!$B$11),Inputs!$B$9*Inputs!$B$7/Inputs!$B$11,0)</f>
        <v>0</v>
      </c>
      <c r="L92" s="33" t="n">
        <f aca="false">IF(AND(Source_Data!L$6&gt;=Inputs!$B$55,Source_Data!L$6&lt;Inputs!$B$55+3*Inputs!$B$11),Inputs!$B$9*Inputs!$B$7/Inputs!$B$11,0)</f>
        <v>0</v>
      </c>
      <c r="M92" s="33" t="n">
        <f aca="false">IF(AND(Source_Data!M$6&gt;=Inputs!$B$55,Source_Data!M$6&lt;Inputs!$B$55+3*Inputs!$B$11),Inputs!$B$9*Inputs!$B$7/Inputs!$B$11,0)</f>
        <v>14.375</v>
      </c>
      <c r="N92" s="33" t="n">
        <f aca="false">IF(AND(Source_Data!N$6&gt;=Inputs!$B$55,Source_Data!N$6&lt;Inputs!$B$55+3*Inputs!$B$11),Inputs!$B$9*Inputs!$B$7/Inputs!$B$11,0)</f>
        <v>14.375</v>
      </c>
      <c r="O92" s="33" t="n">
        <f aca="false">IF(AND(Source_Data!O$6&gt;=Inputs!$B$55,Source_Data!O$6&lt;Inputs!$B$55+3*Inputs!$B$11),Inputs!$B$9*Inputs!$B$7/Inputs!$B$11,0)</f>
        <v>14.375</v>
      </c>
      <c r="P92" s="33" t="n">
        <f aca="false">IF(AND(Source_Data!P$6&gt;=Inputs!$B$55,Source_Data!P$6&lt;Inputs!$B$55+3*Inputs!$B$11),Inputs!$B$9*Inputs!$B$7/Inputs!$B$11,0)</f>
        <v>14.375</v>
      </c>
      <c r="Q92" s="33" t="n">
        <f aca="false">IF(AND(Source_Data!Q$6&gt;=Inputs!$B$55,Source_Data!Q$6&lt;Inputs!$B$55+3*Inputs!$B$11),Inputs!$B$9*Inputs!$B$7/Inputs!$B$11,0)</f>
        <v>14.375</v>
      </c>
      <c r="R92" s="33" t="n">
        <f aca="false">IF(AND(Source_Data!R$6&gt;=Inputs!$B$55,Source_Data!R$6&lt;Inputs!$B$55+3*Inputs!$B$11),Inputs!$B$9*Inputs!$B$7/Inputs!$B$11,0)</f>
        <v>14.375</v>
      </c>
      <c r="S92" s="33" t="n">
        <f aca="false">IF(AND(Source_Data!S$6&gt;=Inputs!$B$55,Source_Data!S$6&lt;Inputs!$B$55+3*Inputs!$B$11),Inputs!$B$9*Inputs!$B$7/Inputs!$B$11,0)</f>
        <v>14.375</v>
      </c>
      <c r="T92" s="33" t="n">
        <f aca="false">IF(AND(Source_Data!T$6&gt;=Inputs!$B$55,Source_Data!T$6&lt;Inputs!$B$55+3*Inputs!$B$11),Inputs!$B$9*Inputs!$B$7/Inputs!$B$11,0)</f>
        <v>14.375</v>
      </c>
      <c r="U92" s="33" t="n">
        <f aca="false">IF(AND(Source_Data!U$6&gt;=Inputs!$B$55,Source_Data!U$6&lt;Inputs!$B$55+3*Inputs!$B$11),Inputs!$B$9*Inputs!$B$7/Inputs!$B$11,0)</f>
        <v>14.375</v>
      </c>
      <c r="V92" s="33" t="n">
        <f aca="false">IF(AND(Source_Data!V$6&gt;=Inputs!$B$55,Source_Data!V$6&lt;Inputs!$B$55+3*Inputs!$B$11),Inputs!$B$9*Inputs!$B$7/Inputs!$B$11,0)</f>
        <v>14.375</v>
      </c>
      <c r="W92" s="33" t="n">
        <f aca="false">IF(AND(Source_Data!W$6&gt;=Inputs!$B$55,Source_Data!W$6&lt;Inputs!$B$55+3*Inputs!$B$11),Inputs!$B$9*Inputs!$B$7/Inputs!$B$11,0)</f>
        <v>14.375</v>
      </c>
      <c r="X92" s="33" t="n">
        <f aca="false">IF(AND(Source_Data!X$6&gt;=Inputs!$B$55,Source_Data!X$6&lt;Inputs!$B$55+3*Inputs!$B$11),Inputs!$B$9*Inputs!$B$7/Inputs!$B$11,0)</f>
        <v>14.375</v>
      </c>
      <c r="Y92" s="33" t="n">
        <f aca="false">IF(AND(Source_Data!Y$6&gt;=Inputs!$B$55,Source_Data!Y$6&lt;Inputs!$B$55+3*Inputs!$B$11),Inputs!$B$9*Inputs!$B$7/Inputs!$B$11,0)</f>
        <v>0</v>
      </c>
      <c r="Z92" s="33" t="n">
        <f aca="false">IF(AND(Source_Data!Z$6&gt;=Inputs!$B$55,Source_Data!Z$6&lt;Inputs!$B$55+3*Inputs!$B$11),Inputs!$B$9*Inputs!$B$7/Inputs!$B$11,0)</f>
        <v>0</v>
      </c>
      <c r="AA92" s="33" t="n">
        <f aca="false">IF(AND(Source_Data!AA$6&gt;=Inputs!$B$55,Source_Data!AA$6&lt;Inputs!$B$55+3*Inputs!$B$11),Inputs!$B$9*Inputs!$B$7/Inputs!$B$11,0)</f>
        <v>0</v>
      </c>
      <c r="AB92" s="33" t="n">
        <f aca="false">IF(AND(Source_Data!AB$6&gt;=Inputs!$B$55,Source_Data!AB$6&lt;Inputs!$B$55+3*Inputs!$B$11),Inputs!$B$9*Inputs!$B$7/Inputs!$B$11,0)</f>
        <v>0</v>
      </c>
      <c r="AC92" s="33" t="n">
        <f aca="false">IF(AND(Source_Data!AC$6&gt;=Inputs!$B$55,Source_Data!AC$6&lt;Inputs!$B$55+3*Inputs!$B$11),Inputs!$B$9*Inputs!$B$7/Inputs!$B$11,0)</f>
        <v>0</v>
      </c>
      <c r="AD92" s="33" t="n">
        <f aca="false">IF(AND(Source_Data!AD$6&gt;=Inputs!$B$55,Source_Data!AD$6&lt;Inputs!$B$55+3*Inputs!$B$11),Inputs!$B$9*Inputs!$B$7/Inputs!$B$11,0)</f>
        <v>0</v>
      </c>
      <c r="AE92" s="33" t="n">
        <f aca="false">IF(AND(Source_Data!AE$6&gt;=Inputs!$B$55,Source_Data!AE$6&lt;Inputs!$B$55+3*Inputs!$B$11),Inputs!$B$9*Inputs!$B$7/Inputs!$B$11,0)</f>
        <v>0</v>
      </c>
      <c r="AF92" s="33" t="n">
        <f aca="false">IF(AND(Source_Data!AF$6&gt;=Inputs!$B$55,Source_Data!AF$6&lt;Inputs!$B$55+3*Inputs!$B$11),Inputs!$B$9*Inputs!$B$7/Inputs!$B$11,0)</f>
        <v>0</v>
      </c>
      <c r="AG92" s="33" t="n">
        <f aca="false">IF(AND(Source_Data!AG$6&gt;=Inputs!$B$55,Source_Data!AG$6&lt;Inputs!$B$55+3*Inputs!$B$11),Inputs!$B$9*Inputs!$B$7/Inputs!$B$11,0)</f>
        <v>0</v>
      </c>
      <c r="AH92" s="33" t="n">
        <f aca="false">IF(AND(Source_Data!AH$6&gt;=Inputs!$B$55,Source_Data!AH$6&lt;Inputs!$B$55+3*Inputs!$B$11),Inputs!$B$9*Inputs!$B$7/Inputs!$B$11,0)</f>
        <v>0</v>
      </c>
      <c r="AI92" s="33" t="n">
        <f aca="false">IF(AND(Source_Data!AI$6&gt;=Inputs!$B$55,Source_Data!AI$6&lt;Inputs!$B$55+3*Inputs!$B$11),Inputs!$B$9*Inputs!$B$7/Inputs!$B$11,0)</f>
        <v>0</v>
      </c>
      <c r="AJ92" s="33" t="n">
        <f aca="false">IF(AND(Source_Data!AJ$6&gt;=Inputs!$B$55,Source_Data!AJ$6&lt;Inputs!$B$55+3*Inputs!$B$11),Inputs!$B$9*Inputs!$B$7/Inputs!$B$11,0)</f>
        <v>0</v>
      </c>
      <c r="AK92" s="33" t="n">
        <f aca="false">IF(AND(Source_Data!AK$6&gt;=Inputs!$B$55,Source_Data!AK$6&lt;Inputs!$B$55+3*Inputs!$B$11),Inputs!$B$9*Inputs!$B$7/Inputs!$B$11,0)</f>
        <v>0</v>
      </c>
      <c r="AL92" s="33" t="n">
        <f aca="false">IF(AND(Source_Data!AL$6&gt;=Inputs!$B$55,Source_Data!AL$6&lt;Inputs!$B$55+3*Inputs!$B$11),Inputs!$B$9*Inputs!$B$7/Inputs!$B$11,0)</f>
        <v>0</v>
      </c>
      <c r="AM92" s="33" t="n">
        <f aca="false">IF(AND(Source_Data!AM$6&gt;=Inputs!$B$55,Source_Data!AM$6&lt;Inputs!$B$55+3*Inputs!$B$11),Inputs!$B$9*Inputs!$B$7/Inputs!$B$11,0)</f>
        <v>0</v>
      </c>
      <c r="AN92" s="33" t="n">
        <f aca="false">IF(AND(Source_Data!AN$6&gt;=Inputs!$B$55,Source_Data!AN$6&lt;Inputs!$B$55+3*Inputs!$B$11),Inputs!$B$9*Inputs!$B$7/Inputs!$B$11,0)</f>
        <v>0</v>
      </c>
      <c r="AO92" s="33" t="n">
        <f aca="false">IF(AND(Source_Data!AO$6&gt;=Inputs!$B$55,Source_Data!AO$6&lt;Inputs!$B$55+3*Inputs!$B$11),Inputs!$B$9*Inputs!$B$7/Inputs!$B$11,0)</f>
        <v>0</v>
      </c>
      <c r="AP92" s="33" t="n">
        <f aca="false">IF(AND(Source_Data!AP$6&gt;=Inputs!$B$55,Source_Data!AP$6&lt;Inputs!$B$55+3*Inputs!$B$11),Inputs!$B$9*Inputs!$B$7/Inputs!$B$11,0)</f>
        <v>0</v>
      </c>
      <c r="AQ92" s="33" t="n">
        <f aca="false">IF(AND(Source_Data!AQ$6&gt;=Inputs!$B$55,Source_Data!AQ$6&lt;Inputs!$B$55+3*Inputs!$B$11),Inputs!$B$9*Inputs!$B$7/Inputs!$B$11,0)</f>
        <v>0</v>
      </c>
      <c r="AR92" s="33" t="n">
        <f aca="false">IF(AND(Source_Data!AR$6&gt;=Inputs!$B$55,Source_Data!AR$6&lt;Inputs!$B$55+3*Inputs!$B$11),Inputs!$B$9*Inputs!$B$7/Inputs!$B$11,0)</f>
        <v>0</v>
      </c>
      <c r="AS92" s="33" t="n">
        <f aca="false">IF(AND(Source_Data!AS$6&gt;=Inputs!$B$55,Source_Data!AS$6&lt;Inputs!$B$55+3*Inputs!$B$11),Inputs!$B$9*Inputs!$B$7/Inputs!$B$11,0)</f>
        <v>0</v>
      </c>
      <c r="AT92" s="33" t="n">
        <f aca="false">IF(AND(Source_Data!AT$6&gt;=Inputs!$B$55,Source_Data!AT$6&lt;Inputs!$B$55+3*Inputs!$B$11),Inputs!$B$9*Inputs!$B$7/Inputs!$B$11,0)</f>
        <v>0</v>
      </c>
      <c r="AU92" s="33" t="n">
        <f aca="false">IF(AND(Source_Data!AU$6&gt;=Inputs!$B$55,Source_Data!AU$6&lt;Inputs!$B$55+3*Inputs!$B$11),Inputs!$B$9*Inputs!$B$7/Inputs!$B$11,0)</f>
        <v>0</v>
      </c>
      <c r="AV92" s="33" t="n">
        <f aca="false">IF(AND(Source_Data!AV$6&gt;=Inputs!$B$55,Source_Data!AV$6&lt;Inputs!$B$55+3*Inputs!$B$11),Inputs!$B$9*Inputs!$B$7/Inputs!$B$11,0)</f>
        <v>0</v>
      </c>
      <c r="AW92" s="33" t="n">
        <f aca="false">IF(AND(Source_Data!AW$6&gt;=Inputs!$B$55,Source_Data!AW$6&lt;Inputs!$B$55+3*Inputs!$B$11),Inputs!$B$9*Inputs!$B$7/Inputs!$B$11,0)</f>
        <v>0</v>
      </c>
      <c r="AX92" s="33" t="n">
        <f aca="false">IF(AND(Source_Data!AX$6&gt;=Inputs!$B$55,Source_Data!AX$6&lt;Inputs!$B$55+3*Inputs!$B$11),Inputs!$B$9*Inputs!$B$7/Inputs!$B$11,0)</f>
        <v>0</v>
      </c>
      <c r="AY92" s="33" t="n">
        <f aca="false">IF(AND(Source_Data!AY$6&gt;=Inputs!$B$55,Source_Data!AY$6&lt;Inputs!$B$55+3*Inputs!$B$11),Inputs!$B$9*Inputs!$B$7/Inputs!$B$11,0)</f>
        <v>0</v>
      </c>
      <c r="AZ92" s="33" t="n">
        <f aca="false">IF(AND(Source_Data!AZ$6&gt;=Inputs!$B$55,Source_Data!AZ$6&lt;Inputs!$B$55+3*Inputs!$B$11),Inputs!$B$9*Inputs!$B$7/Inputs!$B$11,0)</f>
        <v>0</v>
      </c>
      <c r="BA92" s="33" t="n">
        <f aca="false">IF(AND(Source_Data!BA$6&gt;=Inputs!$B$55,Source_Data!BA$6&lt;Inputs!$B$55+3*Inputs!$B$11),Inputs!$B$9*Inputs!$B$7/Inputs!$B$11,0)</f>
        <v>0</v>
      </c>
      <c r="BB92" s="33" t="n">
        <f aca="false">IF(AND(Source_Data!BB$6&gt;=Inputs!$B$55,Source_Data!BB$6&lt;Inputs!$B$55+3*Inputs!$B$11),Inputs!$B$9*Inputs!$B$7/Inputs!$B$11,0)</f>
        <v>0</v>
      </c>
      <c r="BC92" s="33" t="n">
        <f aca="false">IF(AND(Source_Data!BC$6&gt;=Inputs!$B$55,Source_Data!BC$6&lt;Inputs!$B$55+3*Inputs!$B$11),Inputs!$B$9*Inputs!$B$7/Inputs!$B$11,0)</f>
        <v>0</v>
      </c>
      <c r="BD92" s="33" t="n">
        <f aca="false">IF(AND(Source_Data!BD$6&gt;=Inputs!$B$55,Source_Data!BD$6&lt;Inputs!$B$55+3*Inputs!$B$11),Inputs!$B$9*Inputs!$B$7/Inputs!$B$11,0)</f>
        <v>0</v>
      </c>
      <c r="BE92" s="33" t="n">
        <f aca="false">IF(AND(Source_Data!BE$6&gt;=Inputs!$B$55,Source_Data!BE$6&lt;Inputs!$B$55+3*Inputs!$B$11),Inputs!$B$9*Inputs!$B$7/Inputs!$B$11,0)</f>
        <v>0</v>
      </c>
      <c r="BF92" s="33" t="n">
        <f aca="false">IF(AND(Source_Data!BF$6&gt;=Inputs!$B$55,Source_Data!BF$6&lt;Inputs!$B$55+3*Inputs!$B$11),Inputs!$B$9*Inputs!$B$7/Inputs!$B$11,0)</f>
        <v>0</v>
      </c>
      <c r="BG92" s="33" t="n">
        <f aca="false">IF(AND(Source_Data!BG$6&gt;=Inputs!$B$55,Source_Data!BG$6&lt;Inputs!$B$55+3*Inputs!$B$11),Inputs!$B$9*Inputs!$B$7/Inputs!$B$11,0)</f>
        <v>0</v>
      </c>
      <c r="BH92" s="33" t="n">
        <f aca="false">IF(AND(Source_Data!BH$6&gt;=Inputs!$B$55,Source_Data!BH$6&lt;Inputs!$B$55+3*Inputs!$B$11),Inputs!$B$9*Inputs!$B$7/Inputs!$B$11,0)</f>
        <v>0</v>
      </c>
      <c r="BI92" s="33" t="n">
        <f aca="false">IF(AND(Source_Data!BI$6&gt;=Inputs!$B$55,Source_Data!BI$6&lt;Inputs!$B$55+3*Inputs!$B$11),Inputs!$B$9*Inputs!$B$7/Inputs!$B$11,0)</f>
        <v>0</v>
      </c>
      <c r="BJ92" s="33" t="n">
        <f aca="false">IF(AND(Source_Data!BJ$6&gt;=Inputs!$B$55,Source_Data!BJ$6&lt;Inputs!$B$55+3*Inputs!$B$11),Inputs!$B$9*Inputs!$B$7/Inputs!$B$11,0)</f>
        <v>0</v>
      </c>
      <c r="BK92" s="33" t="n">
        <f aca="false">IF(AND(Source_Data!BK$6&gt;=Inputs!$B$55,Source_Data!BK$6&lt;Inputs!$B$55+3*Inputs!$B$11),Inputs!$B$9*Inputs!$B$7/Inputs!$B$11,0)</f>
        <v>0</v>
      </c>
    </row>
    <row r="93" customFormat="false" ht="15" hidden="false" customHeight="false" outlineLevel="0" collapsed="false">
      <c r="A93" s="3" t="s">
        <v>343</v>
      </c>
      <c r="D93" s="33" t="n">
        <f aca="false">IF(Source_Data!D$6=Inputs!$B$13,-Inputs!$B$7,0)+D92</f>
        <v>-75</v>
      </c>
      <c r="E93" s="33" t="n">
        <f aca="false">IF(Source_Data!E$6=Inputs!$B$13,-Inputs!$B$7,0)+E92</f>
        <v>0</v>
      </c>
      <c r="F93" s="33" t="n">
        <f aca="false">IF(Source_Data!F$6=Inputs!$B$13,-Inputs!$B$7,0)+F92</f>
        <v>0</v>
      </c>
      <c r="G93" s="33" t="n">
        <f aca="false">IF(Source_Data!G$6=Inputs!$B$13,-Inputs!$B$7,0)+G92</f>
        <v>0</v>
      </c>
      <c r="H93" s="33" t="n">
        <f aca="false">IF(Source_Data!H$6=Inputs!$B$13,-Inputs!$B$7,0)+H92</f>
        <v>0</v>
      </c>
      <c r="I93" s="33" t="n">
        <f aca="false">IF(Source_Data!I$6=Inputs!$B$13,-Inputs!$B$7,0)+I92</f>
        <v>0</v>
      </c>
      <c r="J93" s="33" t="n">
        <f aca="false">IF(Source_Data!J$6=Inputs!$B$13,-Inputs!$B$7,0)+J92</f>
        <v>0</v>
      </c>
      <c r="K93" s="33" t="n">
        <f aca="false">IF(Source_Data!K$6=Inputs!$B$13,-Inputs!$B$7,0)+K92</f>
        <v>0</v>
      </c>
      <c r="L93" s="33" t="n">
        <f aca="false">IF(Source_Data!L$6=Inputs!$B$13,-Inputs!$B$7,0)+L92</f>
        <v>0</v>
      </c>
      <c r="M93" s="33" t="n">
        <f aca="false">IF(Source_Data!M$6=Inputs!$B$13,-Inputs!$B$7,0)+M92</f>
        <v>14.375</v>
      </c>
      <c r="N93" s="33" t="n">
        <f aca="false">IF(Source_Data!N$6=Inputs!$B$13,-Inputs!$B$7,0)+N92</f>
        <v>14.375</v>
      </c>
      <c r="O93" s="33" t="n">
        <f aca="false">IF(Source_Data!O$6=Inputs!$B$13,-Inputs!$B$7,0)+O92</f>
        <v>14.375</v>
      </c>
      <c r="P93" s="33" t="n">
        <f aca="false">IF(Source_Data!P$6=Inputs!$B$13,-Inputs!$B$7,0)+P92</f>
        <v>14.375</v>
      </c>
      <c r="Q93" s="33" t="n">
        <f aca="false">IF(Source_Data!Q$6=Inputs!$B$13,-Inputs!$B$7,0)+Q92</f>
        <v>14.375</v>
      </c>
      <c r="R93" s="33" t="n">
        <f aca="false">IF(Source_Data!R$6=Inputs!$B$13,-Inputs!$B$7,0)+R92</f>
        <v>14.375</v>
      </c>
      <c r="S93" s="33" t="n">
        <f aca="false">IF(Source_Data!S$6=Inputs!$B$13,-Inputs!$B$7,0)+S92</f>
        <v>14.375</v>
      </c>
      <c r="T93" s="33" t="n">
        <f aca="false">IF(Source_Data!T$6=Inputs!$B$13,-Inputs!$B$7,0)+T92</f>
        <v>14.375</v>
      </c>
      <c r="U93" s="33" t="n">
        <f aca="false">IF(Source_Data!U$6=Inputs!$B$13,-Inputs!$B$7,0)+U92</f>
        <v>14.375</v>
      </c>
      <c r="V93" s="33" t="n">
        <f aca="false">IF(Source_Data!V$6=Inputs!$B$13,-Inputs!$B$7,0)+V92</f>
        <v>14.375</v>
      </c>
      <c r="W93" s="33" t="n">
        <f aca="false">IF(Source_Data!W$6=Inputs!$B$13,-Inputs!$B$7,0)+W92</f>
        <v>14.375</v>
      </c>
      <c r="X93" s="33" t="n">
        <f aca="false">IF(Source_Data!X$6=Inputs!$B$13,-Inputs!$B$7,0)+X92</f>
        <v>14.375</v>
      </c>
      <c r="Y93" s="33" t="n">
        <f aca="false">IF(Source_Data!Y$6=Inputs!$B$13,-Inputs!$B$7,0)+Y92</f>
        <v>0</v>
      </c>
      <c r="Z93" s="33" t="n">
        <f aca="false">IF(Source_Data!Z$6=Inputs!$B$13,-Inputs!$B$7,0)+Z92</f>
        <v>0</v>
      </c>
      <c r="AA93" s="33" t="n">
        <f aca="false">IF(Source_Data!AA$6=Inputs!$B$13,-Inputs!$B$7,0)+AA92</f>
        <v>0</v>
      </c>
      <c r="AB93" s="33" t="n">
        <f aca="false">IF(Source_Data!AB$6=Inputs!$B$13,-Inputs!$B$7,0)+AB92</f>
        <v>0</v>
      </c>
      <c r="AC93" s="33" t="n">
        <f aca="false">IF(Source_Data!AC$6=Inputs!$B$13,-Inputs!$B$7,0)+AC92</f>
        <v>0</v>
      </c>
      <c r="AD93" s="33" t="n">
        <f aca="false">IF(Source_Data!AD$6=Inputs!$B$13,-Inputs!$B$7,0)+AD92</f>
        <v>0</v>
      </c>
      <c r="AE93" s="33" t="n">
        <f aca="false">IF(Source_Data!AE$6=Inputs!$B$13,-Inputs!$B$7,0)+AE92</f>
        <v>0</v>
      </c>
      <c r="AF93" s="33" t="n">
        <f aca="false">IF(Source_Data!AF$6=Inputs!$B$13,-Inputs!$B$7,0)+AF92</f>
        <v>0</v>
      </c>
      <c r="AG93" s="33" t="n">
        <f aca="false">IF(Source_Data!AG$6=Inputs!$B$13,-Inputs!$B$7,0)+AG92</f>
        <v>0</v>
      </c>
      <c r="AH93" s="33" t="n">
        <f aca="false">IF(Source_Data!AH$6=Inputs!$B$13,-Inputs!$B$7,0)+AH92</f>
        <v>0</v>
      </c>
      <c r="AI93" s="33" t="n">
        <f aca="false">IF(Source_Data!AI$6=Inputs!$B$13,-Inputs!$B$7,0)+AI92</f>
        <v>0</v>
      </c>
      <c r="AJ93" s="33" t="n">
        <f aca="false">IF(Source_Data!AJ$6=Inputs!$B$13,-Inputs!$B$7,0)+AJ92</f>
        <v>0</v>
      </c>
      <c r="AK93" s="33" t="n">
        <f aca="false">IF(Source_Data!AK$6=Inputs!$B$13,-Inputs!$B$7,0)+AK92</f>
        <v>0</v>
      </c>
      <c r="AL93" s="33" t="n">
        <f aca="false">IF(Source_Data!AL$6=Inputs!$B$13,-Inputs!$B$7,0)+AL92</f>
        <v>0</v>
      </c>
      <c r="AM93" s="33" t="n">
        <f aca="false">IF(Source_Data!AM$6=Inputs!$B$13,-Inputs!$B$7,0)+AM92</f>
        <v>0</v>
      </c>
      <c r="AN93" s="33" t="n">
        <f aca="false">IF(Source_Data!AN$6=Inputs!$B$13,-Inputs!$B$7,0)+AN92</f>
        <v>0</v>
      </c>
      <c r="AO93" s="33" t="n">
        <f aca="false">IF(Source_Data!AO$6=Inputs!$B$13,-Inputs!$B$7,0)+AO92</f>
        <v>0</v>
      </c>
      <c r="AP93" s="33" t="n">
        <f aca="false">IF(Source_Data!AP$6=Inputs!$B$13,-Inputs!$B$7,0)+AP92</f>
        <v>0</v>
      </c>
      <c r="AQ93" s="33" t="n">
        <f aca="false">IF(Source_Data!AQ$6=Inputs!$B$13,-Inputs!$B$7,0)+AQ92</f>
        <v>0</v>
      </c>
      <c r="AR93" s="33" t="n">
        <f aca="false">IF(Source_Data!AR$6=Inputs!$B$13,-Inputs!$B$7,0)+AR92</f>
        <v>0</v>
      </c>
      <c r="AS93" s="33" t="n">
        <f aca="false">IF(Source_Data!AS$6=Inputs!$B$13,-Inputs!$B$7,0)+AS92</f>
        <v>0</v>
      </c>
      <c r="AT93" s="33" t="n">
        <f aca="false">IF(Source_Data!AT$6=Inputs!$B$13,-Inputs!$B$7,0)+AT92</f>
        <v>0</v>
      </c>
      <c r="AU93" s="33" t="n">
        <f aca="false">IF(Source_Data!AU$6=Inputs!$B$13,-Inputs!$B$7,0)+AU92</f>
        <v>0</v>
      </c>
      <c r="AV93" s="33" t="n">
        <f aca="false">IF(Source_Data!AV$6=Inputs!$B$13,-Inputs!$B$7,0)+AV92</f>
        <v>0</v>
      </c>
      <c r="AW93" s="33" t="n">
        <f aca="false">IF(Source_Data!AW$6=Inputs!$B$13,-Inputs!$B$7,0)+AW92</f>
        <v>0</v>
      </c>
      <c r="AX93" s="33" t="n">
        <f aca="false">IF(Source_Data!AX$6=Inputs!$B$13,-Inputs!$B$7,0)+AX92</f>
        <v>0</v>
      </c>
      <c r="AY93" s="33" t="n">
        <f aca="false">IF(Source_Data!AY$6=Inputs!$B$13,-Inputs!$B$7,0)+AY92</f>
        <v>0</v>
      </c>
      <c r="AZ93" s="33" t="n">
        <f aca="false">IF(Source_Data!AZ$6=Inputs!$B$13,-Inputs!$B$7,0)+AZ92</f>
        <v>0</v>
      </c>
      <c r="BA93" s="33" t="n">
        <f aca="false">IF(Source_Data!BA$6=Inputs!$B$13,-Inputs!$B$7,0)+BA92</f>
        <v>0</v>
      </c>
      <c r="BB93" s="33" t="n">
        <f aca="false">IF(Source_Data!BB$6=Inputs!$B$13,-Inputs!$B$7,0)+BB92</f>
        <v>0</v>
      </c>
      <c r="BC93" s="33" t="n">
        <f aca="false">IF(Source_Data!BC$6=Inputs!$B$13,-Inputs!$B$7,0)+BC92</f>
        <v>0</v>
      </c>
      <c r="BD93" s="33" t="n">
        <f aca="false">IF(Source_Data!BD$6=Inputs!$B$13,-Inputs!$B$7,0)+BD92</f>
        <v>0</v>
      </c>
      <c r="BE93" s="33" t="n">
        <f aca="false">IF(Source_Data!BE$6=Inputs!$B$13,-Inputs!$B$7,0)+BE92</f>
        <v>0</v>
      </c>
      <c r="BF93" s="33" t="n">
        <f aca="false">IF(Source_Data!BF$6=Inputs!$B$13,-Inputs!$B$7,0)+BF92</f>
        <v>0</v>
      </c>
      <c r="BG93" s="33" t="n">
        <f aca="false">IF(Source_Data!BG$6=Inputs!$B$13,-Inputs!$B$7,0)+BG92</f>
        <v>0</v>
      </c>
      <c r="BH93" s="33" t="n">
        <f aca="false">IF(Source_Data!BH$6=Inputs!$B$13,-Inputs!$B$7,0)+BH92</f>
        <v>0</v>
      </c>
      <c r="BI93" s="33" t="n">
        <f aca="false">IF(Source_Data!BI$6=Inputs!$B$13,-Inputs!$B$7,0)+BI92</f>
        <v>0</v>
      </c>
      <c r="BJ93" s="33" t="n">
        <f aca="false">IF(Source_Data!BJ$6=Inputs!$B$13,-Inputs!$B$7,0)+BJ92</f>
        <v>0</v>
      </c>
      <c r="BK93" s="33" t="n">
        <f aca="false">IF(Source_Data!BK$6=Inputs!$B$13,-Inputs!$B$7,0)+BK92</f>
        <v>0</v>
      </c>
    </row>
    <row r="94" customFormat="false" ht="15" hidden="false" customHeight="false" outlineLevel="0" collapsed="false">
      <c r="A94" s="3" t="s">
        <v>344</v>
      </c>
      <c r="D94" s="33" t="n">
        <f aca="false">IF(Source_Data!D$6=Inputs!$B$13,Inputs!$B$7,0)+D89-D92</f>
        <v>-16.25</v>
      </c>
      <c r="E94" s="33" t="n">
        <f aca="false">D94+IF(Source_Data!E$6=Inputs!$B$13,Inputs!$B$7,0)+E89-E92</f>
        <v>-27.5</v>
      </c>
      <c r="F94" s="33" t="n">
        <f aca="false">E94+IF(Source_Data!F$6=Inputs!$B$13,Inputs!$B$7,0)+F89-F92</f>
        <v>-22.09683875</v>
      </c>
      <c r="G94" s="33" t="n">
        <f aca="false">F94+IF(Source_Data!G$6=Inputs!$B$13,Inputs!$B$7,0)+G89-G92</f>
        <v>-0.0405162499999996</v>
      </c>
      <c r="H94" s="33" t="n">
        <f aca="false">G94+IF(Source_Data!H$6=Inputs!$B$13,Inputs!$B$7,0)+H89-H92</f>
        <v>5.622690625</v>
      </c>
      <c r="I94" s="33" t="n">
        <f aca="false">H94+IF(Source_Data!I$6=Inputs!$B$13,Inputs!$B$7,0)+I89-I92</f>
        <v>21.782781875</v>
      </c>
      <c r="J94" s="33" t="n">
        <f aca="false">I94+IF(Source_Data!J$6=Inputs!$B$13,Inputs!$B$7,0)+J89-J92</f>
        <v>8.56252287500001</v>
      </c>
      <c r="K94" s="33" t="n">
        <f aca="false">J94+IF(Source_Data!K$6=Inputs!$B$13,Inputs!$B$7,0)+K89-K92</f>
        <v>12.2009091875</v>
      </c>
      <c r="L94" s="33" t="n">
        <f aca="false">K94+IF(Source_Data!L$6=Inputs!$B$13,Inputs!$B$7,0)+L89-L92</f>
        <v>25.9792564687501</v>
      </c>
      <c r="M94" s="33" t="n">
        <f aca="false">L94+IF(Source_Data!M$6=Inputs!$B$13,Inputs!$B$7,0)+M89-M92</f>
        <v>481.80009171875</v>
      </c>
      <c r="N94" s="33" t="n">
        <f aca="false">M94+IF(Source_Data!N$6=Inputs!$B$13,Inputs!$B$7,0)+N89-N92</f>
        <v>624.05070571875</v>
      </c>
      <c r="O94" s="33" t="n">
        <f aca="false">N94+IF(Source_Data!O$6=Inputs!$B$13,Inputs!$B$7,0)+O89-O92</f>
        <v>756.35319471875</v>
      </c>
      <c r="P94" s="33" t="n">
        <f aca="false">O94+IF(Source_Data!P$6=Inputs!$B$13,Inputs!$B$7,0)+P89-P92</f>
        <v>657.55217571875</v>
      </c>
      <c r="Q94" s="33" t="n">
        <f aca="false">P94+IF(Source_Data!Q$6=Inputs!$B$13,Inputs!$B$7,0)+Q89-Q92</f>
        <v>528.43126134375</v>
      </c>
      <c r="R94" s="33" t="n">
        <f aca="false">Q94+IF(Source_Data!R$6=Inputs!$B$13,Inputs!$B$7,0)+R89-R92</f>
        <v>348.71034696875</v>
      </c>
      <c r="S94" s="33" t="n">
        <f aca="false">R94+IF(Source_Data!S$6=Inputs!$B$13,Inputs!$B$7,0)+S89-S92</f>
        <v>222.30426615625</v>
      </c>
      <c r="T94" s="33" t="n">
        <f aca="false">S94+IF(Source_Data!T$6=Inputs!$B$13,Inputs!$B$7,0)+T89-T92</f>
        <v>230.2785698125</v>
      </c>
      <c r="U94" s="33" t="n">
        <f aca="false">T94+IF(Source_Data!U$6=Inputs!$B$13,Inputs!$B$7,0)+U89-U92</f>
        <v>236.58755734375</v>
      </c>
      <c r="V94" s="33" t="n">
        <f aca="false">U94+IF(Source_Data!V$6=Inputs!$B$13,Inputs!$B$7,0)+V89-V92</f>
        <v>236.3088965</v>
      </c>
      <c r="W94" s="33" t="n">
        <f aca="false">V94+IF(Source_Data!W$6=Inputs!$B$13,Inputs!$B$7,0)+W89-W92</f>
        <v>231.25513565625</v>
      </c>
      <c r="X94" s="33" t="n">
        <f aca="false">W94+IF(Source_Data!X$6=Inputs!$B$13,Inputs!$B$7,0)+X89-X92</f>
        <v>248.7013748125</v>
      </c>
      <c r="Y94" s="33" t="n">
        <f aca="false">X94+IF(Source_Data!Y$6=Inputs!$B$13,Inputs!$B$7,0)+Y89-Y92</f>
        <v>272.51437334375</v>
      </c>
      <c r="Z94" s="33" t="n">
        <f aca="false">Y94+IF(Source_Data!Z$6=Inputs!$B$13,Inputs!$B$7,0)+Z89-Z92</f>
        <v>296.327371875</v>
      </c>
      <c r="AA94" s="33" t="n">
        <f aca="false">Z94+IF(Source_Data!AA$6=Inputs!$B$13,Inputs!$B$7,0)+AA89-AA92</f>
        <v>320.14037040625</v>
      </c>
      <c r="AB94" s="33" t="n">
        <f aca="false">AA94+IF(Source_Data!AB$6=Inputs!$B$13,Inputs!$B$7,0)+AB89-AB92</f>
        <v>360.0865689375</v>
      </c>
      <c r="AC94" s="33" t="n">
        <f aca="false">AB94+IF(Source_Data!AC$6=Inputs!$B$13,Inputs!$B$7,0)+AC89-AC92</f>
        <v>396.4290591875</v>
      </c>
      <c r="AD94" s="33" t="n">
        <f aca="false">AC94+IF(Source_Data!AD$6=Inputs!$B$13,Inputs!$B$7,0)+AD89-AD92</f>
        <v>428.8022475625</v>
      </c>
      <c r="AE94" s="33" t="n">
        <f aca="false">AD94+IF(Source_Data!AE$6=Inputs!$B$13,Inputs!$B$7,0)+AE89-AE92</f>
        <v>456.4003359375</v>
      </c>
      <c r="AF94" s="33" t="n">
        <f aca="false">AE94+IF(Source_Data!AF$6=Inputs!$B$13,Inputs!$B$7,0)+AF89-AF92</f>
        <v>319.036478367235</v>
      </c>
      <c r="AG94" s="33" t="n">
        <f aca="false">AF94+IF(Source_Data!AG$6=Inputs!$B$13,Inputs!$B$7,0)+AG89-AG92</f>
        <v>329.831143198939</v>
      </c>
      <c r="AH94" s="33" t="n">
        <f aca="false">AG94+IF(Source_Data!AH$6=Inputs!$B$13,Inputs!$B$7,0)+AH89-AH92</f>
        <v>340.625808030644</v>
      </c>
      <c r="AI94" s="33" t="n">
        <f aca="false">AH94+IF(Source_Data!AI$6=Inputs!$B$13,Inputs!$B$7,0)+AI89-AI92</f>
        <v>351.420472862348</v>
      </c>
      <c r="AJ94" s="33" t="n">
        <f aca="false">AI94+IF(Source_Data!AJ$6=Inputs!$B$13,Inputs!$B$7,0)+AJ89-AJ92</f>
        <v>362.215137694052</v>
      </c>
      <c r="AK94" s="33" t="n">
        <f aca="false">AJ94+IF(Source_Data!AK$6=Inputs!$B$13,Inputs!$B$7,0)+AK89-AK92</f>
        <v>372.07010403363</v>
      </c>
      <c r="AL94" s="33" t="n">
        <f aca="false">AK94+IF(Source_Data!AL$6=Inputs!$B$13,Inputs!$B$7,0)+AL89-AL92</f>
        <v>381.925070373208</v>
      </c>
      <c r="AM94" s="33" t="n">
        <f aca="false">AL94+IF(Source_Data!AM$6=Inputs!$B$13,Inputs!$B$7,0)+AM89-AM92</f>
        <v>389.987800168383</v>
      </c>
      <c r="AN94" s="33" t="n">
        <f aca="false">AM94+IF(Source_Data!AN$6=Inputs!$B$13,Inputs!$B$7,0)+AN89-AN92</f>
        <v>394.129477497655</v>
      </c>
      <c r="AO94" s="33" t="n">
        <f aca="false">AN94+IF(Source_Data!AO$6=Inputs!$B$13,Inputs!$B$7,0)+AO89-AO92</f>
        <v>395.66568025</v>
      </c>
      <c r="AP94" s="33" t="n">
        <f aca="false">AO94+IF(Source_Data!AP$6=Inputs!$B$13,Inputs!$B$7,0)+AP89-AP92</f>
        <v>395.66568025</v>
      </c>
      <c r="AQ94" s="33" t="n">
        <f aca="false">AP94+IF(Source_Data!AQ$6=Inputs!$B$13,Inputs!$B$7,0)+AQ89-AQ92</f>
        <v>395.66568025</v>
      </c>
      <c r="AR94" s="33" t="n">
        <f aca="false">AQ94+IF(Source_Data!AR$6=Inputs!$B$13,Inputs!$B$7,0)+AR89-AR92</f>
        <v>395.66568025</v>
      </c>
      <c r="AS94" s="33" t="n">
        <f aca="false">AR94+IF(Source_Data!AS$6=Inputs!$B$13,Inputs!$B$7,0)+AS89-AS92</f>
        <v>395.66568025</v>
      </c>
      <c r="AT94" s="33" t="n">
        <f aca="false">AS94+IF(Source_Data!AT$6=Inputs!$B$13,Inputs!$B$7,0)+AT89-AT92</f>
        <v>395.66568025</v>
      </c>
      <c r="AU94" s="33" t="n">
        <f aca="false">AT94+IF(Source_Data!AU$6=Inputs!$B$13,Inputs!$B$7,0)+AU89-AU92</f>
        <v>395.66568025</v>
      </c>
      <c r="AV94" s="33" t="n">
        <f aca="false">AU94+IF(Source_Data!AV$6=Inputs!$B$13,Inputs!$B$7,0)+AV89-AV92</f>
        <v>395.66568025</v>
      </c>
      <c r="AW94" s="33" t="n">
        <f aca="false">AV94+IF(Source_Data!AW$6=Inputs!$B$13,Inputs!$B$7,0)+AW89-AW92</f>
        <v>395.66568025</v>
      </c>
      <c r="AX94" s="33" t="n">
        <f aca="false">AW94+IF(Source_Data!AX$6=Inputs!$B$13,Inputs!$B$7,0)+AX89-AX92</f>
        <v>395.66568025</v>
      </c>
      <c r="AY94" s="33" t="n">
        <f aca="false">AX94+IF(Source_Data!AY$6=Inputs!$B$13,Inputs!$B$7,0)+AY89-AY92</f>
        <v>395.66568025</v>
      </c>
      <c r="AZ94" s="33" t="n">
        <f aca="false">AY94+IF(Source_Data!AZ$6=Inputs!$B$13,Inputs!$B$7,0)+AZ89-AZ92</f>
        <v>395.66568025</v>
      </c>
      <c r="BA94" s="33" t="n">
        <f aca="false">AZ94+IF(Source_Data!BA$6=Inputs!$B$13,Inputs!$B$7,0)+BA89-BA92</f>
        <v>395.66568025</v>
      </c>
      <c r="BB94" s="33" t="n">
        <f aca="false">BA94+IF(Source_Data!BB$6=Inputs!$B$13,Inputs!$B$7,0)+BB89-BB92</f>
        <v>395.66568025</v>
      </c>
      <c r="BC94" s="33" t="n">
        <f aca="false">BB94+IF(Source_Data!BC$6=Inputs!$B$13,Inputs!$B$7,0)+BC89-BC92</f>
        <v>395.66568025</v>
      </c>
      <c r="BD94" s="33" t="n">
        <f aca="false">BC94+IF(Source_Data!BD$6=Inputs!$B$13,Inputs!$B$7,0)+BD89-BD92</f>
        <v>395.66568025</v>
      </c>
      <c r="BE94" s="33" t="n">
        <f aca="false">BD94+IF(Source_Data!BE$6=Inputs!$B$13,Inputs!$B$7,0)+BE89-BE92</f>
        <v>395.66568025</v>
      </c>
      <c r="BF94" s="33" t="n">
        <f aca="false">BE94+IF(Source_Data!BF$6=Inputs!$B$13,Inputs!$B$7,0)+BF89-BF92</f>
        <v>395.66568025</v>
      </c>
      <c r="BG94" s="33" t="n">
        <f aca="false">BF94+IF(Source_Data!BG$6=Inputs!$B$13,Inputs!$B$7,0)+BG89-BG92</f>
        <v>395.66568025</v>
      </c>
      <c r="BH94" s="33" t="n">
        <f aca="false">BG94+IF(Source_Data!BH$6=Inputs!$B$13,Inputs!$B$7,0)+BH89-BH92</f>
        <v>395.66568025</v>
      </c>
      <c r="BI94" s="33" t="n">
        <f aca="false">BH94+IF(Source_Data!BI$6=Inputs!$B$13,Inputs!$B$7,0)+BI89-BI92</f>
        <v>395.66568025</v>
      </c>
      <c r="BJ94" s="33" t="n">
        <f aca="false">BI94+IF(Source_Data!BJ$6=Inputs!$B$13,Inputs!$B$7,0)+BJ89-BJ92</f>
        <v>395.66568025</v>
      </c>
      <c r="BK94" s="33" t="n">
        <f aca="false">BJ94+IF(Source_Data!BK$6=Inputs!$B$13,Inputs!$B$7,0)+BK89-BK92</f>
        <v>395.66568025</v>
      </c>
    </row>
    <row r="95" customFormat="false" ht="15" hidden="false" customHeight="false" outlineLevel="0" collapsed="false">
      <c r="A95" s="3" t="s">
        <v>345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32.7092754956522</v>
      </c>
      <c r="N95" s="31" t="n">
        <f aca="false">IF(N92&gt;0,N89/N92,"")</f>
        <v>10.8956948869565</v>
      </c>
      <c r="O95" s="31" t="n">
        <f aca="false">IF(O92&gt;0,O89/O92,"")</f>
        <v>10.2036514086957</v>
      </c>
      <c r="P95" s="31" t="n">
        <f aca="false">IF(P92&gt;0,P89/P92,"")</f>
        <v>-5.87311436521739</v>
      </c>
      <c r="Q95" s="31" t="n">
        <f aca="false">IF(Q92&gt;0,Q89/Q92,"")</f>
        <v>-7.98232447826087</v>
      </c>
      <c r="R95" s="31" t="n">
        <f aca="false">IF(R92&gt;0,R89/R92,"")</f>
        <v>-11.5023244782609</v>
      </c>
      <c r="S95" s="31" t="n">
        <f aca="false">IF(S92&gt;0,S89/S92,"")</f>
        <v>-7.79346649130435</v>
      </c>
      <c r="T95" s="31" t="n">
        <f aca="false">IF(T92&gt;0,T89/T92,"")</f>
        <v>1.5547341673913</v>
      </c>
      <c r="U95" s="31" t="n">
        <f aca="false">IF(U92&gt;0,U89/U92,"")</f>
        <v>1.43888608913044</v>
      </c>
      <c r="V95" s="31" t="n">
        <f aca="false">IF(V92&gt;0,V89/V92,"")</f>
        <v>0.980614897826087</v>
      </c>
      <c r="W95" s="31" t="n">
        <f aca="false">IF(W92&gt;0,W89/W92,"")</f>
        <v>0.64843402826087</v>
      </c>
      <c r="X95" s="31" t="n">
        <f aca="false">IF(X92&gt;0,X89/X92,"")</f>
        <v>2.21365141956522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346</v>
      </c>
      <c r="D96" s="31" t="str">
        <f aca="false">IF(D92&gt;0,(0+D89+IF(Source_Data!D$6=Inputs!$B$13,Inputs!$B$7,0))/D92,"")</f>
        <v/>
      </c>
      <c r="E96" s="31" t="str">
        <f aca="false">IF(E92&gt;0,(D94+E89+IF(Source_Data!E$6=Inputs!$B$13,Inputs!$B$7,0))/E92,"")</f>
        <v/>
      </c>
      <c r="F96" s="31" t="str">
        <f aca="false">IF(F92&gt;0,(E94+F89+IF(Source_Data!F$6=Inputs!$B$13,Inputs!$B$7,0))/F92,"")</f>
        <v/>
      </c>
      <c r="G96" s="31" t="str">
        <f aca="false">IF(G92&gt;0,(F94+G89+IF(Source_Data!G$6=Inputs!$B$13,Inputs!$B$7,0))/G92,"")</f>
        <v/>
      </c>
      <c r="H96" s="31" t="str">
        <f aca="false">IF(H92&gt;0,(G94+H89+IF(Source_Data!H$6=Inputs!$B$13,Inputs!$B$7,0))/H92,"")</f>
        <v/>
      </c>
      <c r="I96" s="31" t="str">
        <f aca="false">IF(I92&gt;0,(H94+I89+IF(Source_Data!I$6=Inputs!$B$13,Inputs!$B$7,0))/I92,"")</f>
        <v/>
      </c>
      <c r="J96" s="31" t="str">
        <f aca="false">IF(J92&gt;0,(I94+J89+IF(Source_Data!J$6=Inputs!$B$13,Inputs!$B$7,0))/J92,"")</f>
        <v/>
      </c>
      <c r="K96" s="31" t="str">
        <f aca="false">IF(K92&gt;0,(J94+K89+IF(Source_Data!K$6=Inputs!$B$13,Inputs!$B$7,0))/K92,"")</f>
        <v/>
      </c>
      <c r="L96" s="31" t="str">
        <f aca="false">IF(L92&gt;0,(K94+L89+IF(Source_Data!L$6=Inputs!$B$13,Inputs!$B$7,0))/L92,"")</f>
        <v/>
      </c>
      <c r="M96" s="31" t="n">
        <f aca="false">IF(M92&gt;0,(L94+M89+IF(Source_Data!M$6=Inputs!$B$13,Inputs!$B$7,0))/M92,"")</f>
        <v>34.5165281195652</v>
      </c>
      <c r="N96" s="31" t="n">
        <f aca="false">IF(N92&gt;0,(M94+N89+IF(Source_Data!N$6=Inputs!$B$13,Inputs!$B$7,0))/N92,"")</f>
        <v>44.4122230065218</v>
      </c>
      <c r="O96" s="31" t="n">
        <f aca="false">IF(O92&gt;0,(N94+O89+IF(Source_Data!O$6=Inputs!$B$13,Inputs!$B$7,0))/O92,"")</f>
        <v>53.6158744152174</v>
      </c>
      <c r="P96" s="31" t="n">
        <f aca="false">IF(P92&gt;0,(O94+P89+IF(Source_Data!P$6=Inputs!$B$13,Inputs!$B$7,0))/P92,"")</f>
        <v>46.74276005</v>
      </c>
      <c r="Q96" s="31" t="n">
        <f aca="false">IF(Q92&gt;0,(P94+Q89+IF(Source_Data!Q$6=Inputs!$B$13,Inputs!$B$7,0))/Q92,"")</f>
        <v>37.7604355717391</v>
      </c>
      <c r="R96" s="31" t="n">
        <f aca="false">IF(R92&gt;0,(Q94+R89+IF(Source_Data!R$6=Inputs!$B$13,Inputs!$B$7,0))/R92,"")</f>
        <v>25.2581110934783</v>
      </c>
      <c r="S96" s="31" t="n">
        <f aca="false">IF(S92&gt;0,(R94+S89+IF(Source_Data!S$6=Inputs!$B$13,Inputs!$B$7,0))/S92,"")</f>
        <v>16.4646446021739</v>
      </c>
      <c r="T96" s="31" t="n">
        <f aca="false">IF(T92&gt;0,(S94+T89+IF(Source_Data!T$6=Inputs!$B$13,Inputs!$B$7,0))/T92,"")</f>
        <v>17.0193787695652</v>
      </c>
      <c r="U96" s="31" t="n">
        <f aca="false">IF(U92&gt;0,(T94+U89+IF(Source_Data!U$6=Inputs!$B$13,Inputs!$B$7,0))/U92,"")</f>
        <v>17.4582648586957</v>
      </c>
      <c r="V96" s="31" t="n">
        <f aca="false">IF(V92&gt;0,(U94+V89+IF(Source_Data!V$6=Inputs!$B$13,Inputs!$B$7,0))/V92,"")</f>
        <v>17.4388797565217</v>
      </c>
      <c r="W96" s="31" t="n">
        <f aca="false">IF(W92&gt;0,(V94+W89+IF(Source_Data!W$6=Inputs!$B$13,Inputs!$B$7,0))/W92,"")</f>
        <v>17.0873137847826</v>
      </c>
      <c r="X96" s="31" t="n">
        <f aca="false">IF(X92&gt;0,(W94+X89+IF(Source_Data!X$6=Inputs!$B$13,Inputs!$B$7,0))/X92,"")</f>
        <v>18.3009652043478</v>
      </c>
      <c r="Y96" s="31" t="str">
        <f aca="false">IF(Y92&gt;0,(X94+Y89+IF(Source_Data!Y$6=Inputs!$B$13,Inputs!$B$7,0))/Y92,"")</f>
        <v/>
      </c>
      <c r="Z96" s="31" t="str">
        <f aca="false">IF(Z92&gt;0,(Y94+Z89+IF(Source_Data!Z$6=Inputs!$B$13,Inputs!$B$7,0))/Z92,"")</f>
        <v/>
      </c>
      <c r="AA96" s="31" t="str">
        <f aca="false">IF(AA92&gt;0,(Z94+AA89+IF(Source_Data!AA$6=Inputs!$B$13,Inputs!$B$7,0))/AA92,"")</f>
        <v/>
      </c>
      <c r="AB96" s="31" t="str">
        <f aca="false">IF(AB92&gt;0,(AA94+AB89+IF(Source_Data!AB$6=Inputs!$B$13,Inputs!$B$7,0))/AB92,"")</f>
        <v/>
      </c>
      <c r="AC96" s="31" t="str">
        <f aca="false">IF(AC92&gt;0,(AB94+AC89+IF(Source_Data!AC$6=Inputs!$B$13,Inputs!$B$7,0))/AC92,"")</f>
        <v/>
      </c>
      <c r="AD96" s="31" t="str">
        <f aca="false">IF(AD92&gt;0,(AC94+AD89+IF(Source_Data!AD$6=Inputs!$B$13,Inputs!$B$7,0))/AD92,"")</f>
        <v/>
      </c>
      <c r="AE96" s="31" t="str">
        <f aca="false">IF(AE92&gt;0,(AD94+AE89+IF(Source_Data!AE$6=Inputs!$B$13,Inputs!$B$7,0))/AE92,"")</f>
        <v/>
      </c>
      <c r="AF96" s="31" t="str">
        <f aca="false">IF(AF92&gt;0,(AE94+AF89+IF(Source_Data!AF$6=Inputs!$B$13,Inputs!$B$7,0))/AF92,"")</f>
        <v/>
      </c>
      <c r="AG96" s="31" t="str">
        <f aca="false">IF(AG92&gt;0,(AF94+AG89+IF(Source_Data!AG$6=Inputs!$B$13,Inputs!$B$7,0))/AG92,"")</f>
        <v/>
      </c>
      <c r="AH96" s="31" t="str">
        <f aca="false">IF(AH92&gt;0,(AG94+AH89+IF(Source_Data!AH$6=Inputs!$B$13,Inputs!$B$7,0))/AH92,"")</f>
        <v/>
      </c>
      <c r="AI96" s="31" t="str">
        <f aca="false">IF(AI92&gt;0,(AH94+AI89+IF(Source_Data!AI$6=Inputs!$B$13,Inputs!$B$7,0))/AI92,"")</f>
        <v/>
      </c>
      <c r="AJ96" s="31" t="str">
        <f aca="false">IF(AJ92&gt;0,(AI94+AJ89+IF(Source_Data!AJ$6=Inputs!$B$13,Inputs!$B$7,0))/AJ92,"")</f>
        <v/>
      </c>
      <c r="AK96" s="31" t="str">
        <f aca="false">IF(AK92&gt;0,(AJ94+AK89+IF(Source_Data!AK$6=Inputs!$B$13,Inputs!$B$7,0))/AK92,"")</f>
        <v/>
      </c>
      <c r="AL96" s="31" t="str">
        <f aca="false">IF(AL92&gt;0,(AK94+AL89+IF(Source_Data!AL$6=Inputs!$B$13,Inputs!$B$7,0))/AL92,"")</f>
        <v/>
      </c>
      <c r="AM96" s="31" t="str">
        <f aca="false">IF(AM92&gt;0,(AL94+AM89+IF(Source_Data!AM$6=Inputs!$B$13,Inputs!$B$7,0))/AM92,"")</f>
        <v/>
      </c>
      <c r="AN96" s="31" t="str">
        <f aca="false">IF(AN92&gt;0,(AM94+AN89+IF(Source_Data!AN$6=Inputs!$B$13,Inputs!$B$7,0))/AN92,"")</f>
        <v/>
      </c>
      <c r="AO96" s="31" t="str">
        <f aca="false">IF(AO92&gt;0,(AN94+AO89+IF(Source_Data!AO$6=Inputs!$B$13,Inputs!$B$7,0))/AO92,"")</f>
        <v/>
      </c>
      <c r="AP96" s="31" t="str">
        <f aca="false">IF(AP92&gt;0,(AO94+AP89+IF(Source_Data!AP$6=Inputs!$B$13,Inputs!$B$7,0))/AP92,"")</f>
        <v/>
      </c>
      <c r="AQ96" s="31" t="str">
        <f aca="false">IF(AQ92&gt;0,(AP94+AQ89+IF(Source_Data!AQ$6=Inputs!$B$13,Inputs!$B$7,0))/AQ92,"")</f>
        <v/>
      </c>
      <c r="AR96" s="31" t="str">
        <f aca="false">IF(AR92&gt;0,(AQ94+AR89+IF(Source_Data!AR$6=Inputs!$B$13,Inputs!$B$7,0))/AR92,"")</f>
        <v/>
      </c>
      <c r="AS96" s="31" t="str">
        <f aca="false">IF(AS92&gt;0,(AR94+AS89+IF(Source_Data!AS$6=Inputs!$B$13,Inputs!$B$7,0))/AS92,"")</f>
        <v/>
      </c>
      <c r="AT96" s="31" t="str">
        <f aca="false">IF(AT92&gt;0,(AS94+AT89+IF(Source_Data!AT$6=Inputs!$B$13,Inputs!$B$7,0))/AT92,"")</f>
        <v/>
      </c>
      <c r="AU96" s="31" t="str">
        <f aca="false">IF(AU92&gt;0,(AT94+AU89+IF(Source_Data!AU$6=Inputs!$B$13,Inputs!$B$7,0))/AU92,"")</f>
        <v/>
      </c>
      <c r="AV96" s="31" t="str">
        <f aca="false">IF(AV92&gt;0,(AU94+AV89+IF(Source_Data!AV$6=Inputs!$B$13,Inputs!$B$7,0))/AV92,"")</f>
        <v/>
      </c>
      <c r="AW96" s="31" t="str">
        <f aca="false">IF(AW92&gt;0,(AV94+AW89+IF(Source_Data!AW$6=Inputs!$B$13,Inputs!$B$7,0))/AW92,"")</f>
        <v/>
      </c>
      <c r="AX96" s="31" t="str">
        <f aca="false">IF(AX92&gt;0,(AW94+AX89+IF(Source_Data!AX$6=Inputs!$B$13,Inputs!$B$7,0))/AX92,"")</f>
        <v/>
      </c>
      <c r="AY96" s="31" t="str">
        <f aca="false">IF(AY92&gt;0,(AX94+AY89+IF(Source_Data!AY$6=Inputs!$B$13,Inputs!$B$7,0))/AY92,"")</f>
        <v/>
      </c>
      <c r="AZ96" s="31" t="str">
        <f aca="false">IF(AZ92&gt;0,(AY94+AZ89+IF(Source_Data!AZ$6=Inputs!$B$13,Inputs!$B$7,0))/AZ92,"")</f>
        <v/>
      </c>
      <c r="BA96" s="31" t="str">
        <f aca="false">IF(BA92&gt;0,(AZ94+BA89+IF(Source_Data!BA$6=Inputs!$B$13,Inputs!$B$7,0))/BA92,"")</f>
        <v/>
      </c>
      <c r="BB96" s="31" t="str">
        <f aca="false">IF(BB92&gt;0,(BA94+BB89+IF(Source_Data!BB$6=Inputs!$B$13,Inputs!$B$7,0))/BB92,"")</f>
        <v/>
      </c>
      <c r="BC96" s="31" t="str">
        <f aca="false">IF(BC92&gt;0,(BB94+BC89+IF(Source_Data!BC$6=Inputs!$B$13,Inputs!$B$7,0))/BC92,"")</f>
        <v/>
      </c>
      <c r="BD96" s="31" t="str">
        <f aca="false">IF(BD92&gt;0,(BC94+BD89+IF(Source_Data!BD$6=Inputs!$B$13,Inputs!$B$7,0))/BD92,"")</f>
        <v/>
      </c>
      <c r="BE96" s="31" t="str">
        <f aca="false">IF(BE92&gt;0,(BD94+BE89+IF(Source_Data!BE$6=Inputs!$B$13,Inputs!$B$7,0))/BE92,"")</f>
        <v/>
      </c>
      <c r="BF96" s="31" t="str">
        <f aca="false">IF(BF92&gt;0,(BE94+BF89+IF(Source_Data!BF$6=Inputs!$B$13,Inputs!$B$7,0))/BF92,"")</f>
        <v/>
      </c>
      <c r="BG96" s="31" t="str">
        <f aca="false">IF(BG92&gt;0,(BF94+BG89+IF(Source_Data!BG$6=Inputs!$B$13,Inputs!$B$7,0))/BG92,"")</f>
        <v/>
      </c>
      <c r="BH96" s="31" t="str">
        <f aca="false">IF(BH92&gt;0,(BG94+BH89+IF(Source_Data!BH$6=Inputs!$B$13,Inputs!$B$7,0))/BH92,"")</f>
        <v/>
      </c>
      <c r="BI96" s="31" t="str">
        <f aca="false">IF(BI92&gt;0,(BH94+BI89+IF(Source_Data!BI$6=Inputs!$B$13,Inputs!$B$7,0))/BI92,"")</f>
        <v/>
      </c>
      <c r="BJ96" s="31" t="str">
        <f aca="false">IF(BJ92&gt;0,(BI94+BJ89+IF(Source_Data!BJ$6=Inputs!$B$13,Inputs!$B$7,0))/BJ92,"")</f>
        <v/>
      </c>
      <c r="BK96" s="31" t="str">
        <f aca="false">IF(BK92&gt;0,(BJ94+BK89+IF(Source_Data!BK$6=Inputs!$B$13,Inputs!$B$7,0))/BK92,"")</f>
        <v/>
      </c>
    </row>
    <row r="98" customFormat="false" ht="15" hidden="false" customHeight="false" outlineLevel="0" collapsed="false">
      <c r="A98" s="2" t="s">
        <v>222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347</v>
      </c>
      <c r="B99" s="41" t="n">
        <f aca="false">SUMPRODUCT(D89:BK89,Project_CF!$D$15:$BK$15)</f>
        <v>335.881228466562</v>
      </c>
    </row>
    <row r="100" customFormat="false" ht="15" hidden="false" customHeight="false" outlineLevel="0" collapsed="false">
      <c r="A100" s="2" t="s">
        <v>164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348</v>
      </c>
      <c r="B101" s="35" t="n">
        <f aca="false">INDEX(Project_CF!$D$6:$BK$6,MATCH(MIN(D90:BK90),D90:BK90,0))</f>
        <v>0</v>
      </c>
    </row>
    <row r="102" customFormat="false" ht="15" hidden="false" customHeight="false" outlineLevel="0" collapsed="false">
      <c r="A102" s="2" t="s">
        <v>349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350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351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352</v>
      </c>
      <c r="B105" s="41" t="n">
        <f aca="false">MIN(D94:BK94)</f>
        <v>-27.5</v>
      </c>
    </row>
    <row r="106" customFormat="false" ht="15" hidden="false" customHeight="false" outlineLevel="0" collapsed="false">
      <c r="A106" s="2" t="s">
        <v>353</v>
      </c>
      <c r="B106" s="43" t="n">
        <f aca="false">MIN(D95:BK95)</f>
        <v>-11.5023244782609</v>
      </c>
    </row>
    <row r="107" customFormat="false" ht="15" hidden="false" customHeight="false" outlineLevel="0" collapsed="false">
      <c r="A107" s="2" t="s">
        <v>354</v>
      </c>
      <c r="B107" s="35" t="n">
        <f aca="false">COUNTIF(D95:BK95,"&lt;"&amp;Inputs!$B$44)</f>
        <v>7</v>
      </c>
    </row>
    <row r="108" customFormat="false" ht="15" hidden="false" customHeight="false" outlineLevel="0" collapsed="false">
      <c r="A108" s="2" t="s">
        <v>355</v>
      </c>
      <c r="B108" s="43" t="n">
        <f aca="false">MIN(D96:BK96)</f>
        <v>16.4646446021739</v>
      </c>
    </row>
    <row r="109" customFormat="false" ht="15" hidden="false" customHeight="false" outlineLevel="0" collapsed="false">
      <c r="A109" s="2" t="s">
        <v>356</v>
      </c>
      <c r="B109" s="35" t="n">
        <f aca="false">COUNTIF(D96:BK96,"&lt;"&amp;Inputs!$B$44)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333</v>
      </c>
      <c r="B113" s="45" t="n">
        <v>1</v>
      </c>
    </row>
    <row r="114" customFormat="false" ht="15" hidden="false" customHeight="false" outlineLevel="0" collapsed="false">
      <c r="A114" s="3" t="s">
        <v>334</v>
      </c>
      <c r="B114" s="45" t="n">
        <v>0</v>
      </c>
    </row>
    <row r="115" customFormat="false" ht="15" hidden="false" customHeight="false" outlineLevel="0" collapsed="false">
      <c r="A115" s="3" t="s">
        <v>335</v>
      </c>
      <c r="B115" s="45" t="n">
        <v>1.1</v>
      </c>
    </row>
    <row r="116" customFormat="false" ht="15" hidden="false" customHeight="false" outlineLevel="0" collapsed="false">
      <c r="A116" s="3" t="s">
        <v>336</v>
      </c>
      <c r="B116" s="45" t="n">
        <v>0</v>
      </c>
    </row>
    <row r="117" customFormat="false" ht="15" hidden="false" customHeight="false" outlineLevel="0" collapsed="false">
      <c r="A117" s="3" t="s">
        <v>337</v>
      </c>
      <c r="B117" s="45" t="n">
        <v>0</v>
      </c>
    </row>
    <row r="118" customFormat="false" ht="15" hidden="false" customHeight="false" outlineLevel="0" collapsed="false">
      <c r="A118" s="3" t="s">
        <v>338</v>
      </c>
      <c r="B118" s="3" t="n">
        <f aca="false">Inputs!$B$14+3+3*$B$114</f>
        <v>45</v>
      </c>
    </row>
    <row r="119" customFormat="false" ht="15" hidden="false" customHeight="false" outlineLevel="0" collapsed="false">
      <c r="A119" s="3" t="s">
        <v>339</v>
      </c>
      <c r="D119" s="33" t="n">
        <f aca="false">Source_Data!D$7+IF($B$117=1,IF(Source_Data!D$6=Inputs!$B$14,Source_Data!$C$8,0),Source_Data!D$8)</f>
        <v>0</v>
      </c>
      <c r="E119" s="33" t="n">
        <f aca="false">Source_Data!E$7+IF($B$117=1,IF(Source_Data!E$6=Inputs!$B$14,Source_Data!$C$8,0),Source_Data!E$8)</f>
        <v>0</v>
      </c>
      <c r="F119" s="33" t="n">
        <f aca="false">Source_Data!F$7+IF($B$117=1,IF(Source_Data!F$6=Inputs!$B$14,Source_Data!$C$8,0),Source_Data!F$8)</f>
        <v>15.1392375</v>
      </c>
      <c r="G119" s="33" t="n">
        <f aca="false">Source_Data!G$7+IF($B$117=1,IF(Source_Data!G$6=Inputs!$B$14,Source_Data!$C$8,0),Source_Data!G$8)</f>
        <v>30.278475</v>
      </c>
      <c r="H119" s="33" t="n">
        <f aca="false">Source_Data!H$7+IF($B$117=1,IF(Source_Data!H$6=Inputs!$B$14,Source_Data!$C$8,0),Source_Data!H$8)</f>
        <v>46.51200625</v>
      </c>
      <c r="I119" s="33" t="n">
        <f aca="false">Source_Data!I$7+IF($B$117=1,IF(Source_Data!I$6=Inputs!$B$14,Source_Data!$C$8,0),Source_Data!I$8)</f>
        <v>62.7455375</v>
      </c>
      <c r="J119" s="33" t="n">
        <f aca="false">Source_Data!J$7+IF($B$117=1,IF(Source_Data!J$6=Inputs!$B$14,Source_Data!$C$8,0),Source_Data!J$8)</f>
        <v>62.3657</v>
      </c>
      <c r="K119" s="33" t="n">
        <f aca="false">Source_Data!K$7+IF($B$117=1,IF(Source_Data!K$6=Inputs!$B$14,Source_Data!$C$8,0),Source_Data!K$8)</f>
        <v>63.473559375</v>
      </c>
      <c r="L119" s="33" t="n">
        <f aca="false">Source_Data!L$7+IF($B$117=1,IF(Source_Data!L$6=Inputs!$B$14,Source_Data!$C$8,0),Source_Data!L$8)</f>
        <v>80.3288484375</v>
      </c>
      <c r="M119" s="33" t="n">
        <f aca="false">Source_Data!M$7+IF($B$117=1,IF(Source_Data!M$6=Inputs!$B$14,Source_Data!$C$8,0),Source_Data!M$8)</f>
        <v>495.2538375</v>
      </c>
      <c r="N119" s="33" t="n">
        <f aca="false">Source_Data!N$7+IF($B$117=1,IF(Source_Data!N$6=Inputs!$B$14,Source_Data!$C$8,0),Source_Data!N$8)</f>
        <v>185.57775</v>
      </c>
      <c r="O119" s="33" t="n">
        <f aca="false">Source_Data!O$7+IF($B$117=1,IF(Source_Data!O$6=Inputs!$B$14,Source_Data!$C$8,0),Source_Data!O$8)</f>
        <v>176.534</v>
      </c>
      <c r="P119" s="33" t="n">
        <f aca="false">Source_Data!P$7+IF($B$117=1,IF(Source_Data!P$6=Inputs!$B$14,Source_Data!$C$8,0),Source_Data!P$8)</f>
        <v>97.31075</v>
      </c>
      <c r="Q119" s="33" t="n">
        <f aca="false">Source_Data!Q$7+IF($B$117=1,IF(Source_Data!Q$6=Inputs!$B$14,Source_Data!$C$8,0),Source_Data!Q$8)</f>
        <v>71.30996875</v>
      </c>
      <c r="R119" s="33" t="n">
        <f aca="false">Source_Data!R$7+IF($B$117=1,IF(Source_Data!R$6=Inputs!$B$14,Source_Data!$C$8,0),Source_Data!R$8)</f>
        <v>71.30996875</v>
      </c>
      <c r="S119" s="33" t="n">
        <f aca="false">Source_Data!S$7+IF($B$117=1,IF(Source_Data!S$6=Inputs!$B$14,Source_Data!$C$8,0),Source_Data!S$8)</f>
        <v>68.037035625</v>
      </c>
      <c r="T119" s="33" t="n">
        <f aca="false">Source_Data!T$7+IF($B$117=1,IF(Source_Data!T$6=Inputs!$B$14,Source_Data!$C$8,0),Source_Data!T$8)</f>
        <v>61.2266396875</v>
      </c>
      <c r="U119" s="33" t="n">
        <f aca="false">Source_Data!U$7+IF($B$117=1,IF(Source_Data!U$6=Inputs!$B$14,Source_Data!$C$8,0),Source_Data!U$8)</f>
        <v>59.7127159375</v>
      </c>
      <c r="V119" s="33" t="n">
        <f aca="false">Source_Data!V$7+IF($B$117=1,IF(Source_Data!V$6=Inputs!$B$14,Source_Data!$C$8,0),Source_Data!V$8)</f>
        <v>53.7239446875</v>
      </c>
      <c r="W119" s="33" t="n">
        <f aca="false">Source_Data!W$7+IF($B$117=1,IF(Source_Data!W$6=Inputs!$B$14,Source_Data!$C$8,0),Source_Data!W$8)</f>
        <v>49.3829446875</v>
      </c>
      <c r="X119" s="33" t="n">
        <f aca="false">Source_Data!X$7+IF($B$117=1,IF(Source_Data!X$6=Inputs!$B$14,Source_Data!$C$8,0),Source_Data!X$8)</f>
        <v>49.3829446875</v>
      </c>
      <c r="Y119" s="33" t="n">
        <f aca="false">Source_Data!Y$7+IF($B$117=1,IF(Source_Data!Y$6=Inputs!$B$14,Source_Data!$C$8,0),Source_Data!Y$8)</f>
        <v>42.1027259375</v>
      </c>
      <c r="Z119" s="33" t="n">
        <f aca="false">Source_Data!Z$7+IF($B$117=1,IF(Source_Data!Z$6=Inputs!$B$14,Source_Data!$C$8,0),Source_Data!Z$8)</f>
        <v>42.1027259375</v>
      </c>
      <c r="AA119" s="33" t="n">
        <f aca="false">Source_Data!AA$7+IF($B$117=1,IF(Source_Data!AA$6=Inputs!$B$14,Source_Data!$C$8,0),Source_Data!AA$8)</f>
        <v>42.1027259375</v>
      </c>
      <c r="AB119" s="33" t="n">
        <f aca="false">Source_Data!AB$7+IF($B$117=1,IF(Source_Data!AB$6=Inputs!$B$14,Source_Data!$C$8,0),Source_Data!AB$8)</f>
        <v>36.3147259375</v>
      </c>
      <c r="AC119" s="33" t="n">
        <f aca="false">Source_Data!AC$7+IF($B$117=1,IF(Source_Data!AC$6=Inputs!$B$14,Source_Data!$C$8,0),Source_Data!AC$8)</f>
        <v>33.0386275</v>
      </c>
      <c r="AD119" s="33" t="n">
        <f aca="false">Source_Data!AD$7+IF($B$117=1,IF(Source_Data!AD$6=Inputs!$B$14,Source_Data!$C$8,0),Source_Data!AD$8)</f>
        <v>29.43017125</v>
      </c>
      <c r="AE119" s="33" t="n">
        <f aca="false">Source_Data!AE$7+IF($B$117=1,IF(Source_Data!AE$6=Inputs!$B$14,Source_Data!$C$8,0),Source_Data!AE$8)</f>
        <v>25.08917125</v>
      </c>
      <c r="AF119" s="33" t="n">
        <f aca="false">Source_Data!AF$7+IF($B$117=1,IF(Source_Data!AF$6=Inputs!$B$14,Source_Data!$C$8,0),Source_Data!AF$8)</f>
        <v>25.08917125</v>
      </c>
      <c r="AG119" s="33" t="n">
        <f aca="false">Source_Data!AG$7+IF($B$117=1,IF(Source_Data!AG$6=Inputs!$B$14,Source_Data!$C$8,0),Source_Data!AG$8)</f>
        <v>25.08917125</v>
      </c>
      <c r="AH119" s="33" t="n">
        <f aca="false">Source_Data!AH$7+IF($B$117=1,IF(Source_Data!AH$6=Inputs!$B$14,Source_Data!$C$8,0),Source_Data!AH$8)</f>
        <v>25.08917125</v>
      </c>
      <c r="AI119" s="33" t="n">
        <f aca="false">Source_Data!AI$7+IF($B$117=1,IF(Source_Data!AI$6=Inputs!$B$14,Source_Data!$C$8,0),Source_Data!AI$8)</f>
        <v>25.08917125</v>
      </c>
      <c r="AJ119" s="33" t="n">
        <f aca="false">Source_Data!AJ$7+IF($B$117=1,IF(Source_Data!AJ$6=Inputs!$B$14,Source_Data!$C$8,0),Source_Data!AJ$8)</f>
        <v>25.08917125</v>
      </c>
      <c r="AK119" s="33" t="n">
        <f aca="false">Source_Data!AK$7+IF($B$117=1,IF(Source_Data!AK$6=Inputs!$B$14,Source_Data!$C$8,0),Source_Data!AK$8)</f>
        <v>22.905105625</v>
      </c>
      <c r="AL119" s="33" t="n">
        <f aca="false">Source_Data!AL$7+IF($B$117=1,IF(Source_Data!AL$6=Inputs!$B$14,Source_Data!$C$8,0),Source_Data!AL$8)</f>
        <v>22.905105625</v>
      </c>
      <c r="AM119" s="33" t="n">
        <f aca="false">Source_Data!AM$7+IF($B$117=1,IF(Source_Data!AM$6=Inputs!$B$14,Source_Data!$C$8,0),Source_Data!AM$8)</f>
        <v>18.739554375</v>
      </c>
      <c r="AN119" s="33" t="n">
        <f aca="false">Source_Data!AN$7+IF($B$117=1,IF(Source_Data!AN$6=Inputs!$B$14,Source_Data!$C$8,0),Source_Data!AN$8)</f>
        <v>9.6261675</v>
      </c>
      <c r="AO119" s="33" t="n">
        <f aca="false">Source_Data!AO$7+IF($B$117=1,IF(Source_Data!AO$6=Inputs!$B$14,Source_Data!$C$8,0),Source_Data!AO$8)</f>
        <v>3.5704725</v>
      </c>
      <c r="AP119" s="33" t="n">
        <f aca="false">Source_Data!AP$7+IF($B$117=1,IF(Source_Data!AP$6=Inputs!$B$14,Source_Data!$C$8,0),Source_Data!AP$8)</f>
        <v>0</v>
      </c>
      <c r="AQ119" s="33" t="n">
        <f aca="false">Source_Data!AQ$7+IF($B$117=1,IF(Source_Data!AQ$6=Inputs!$B$14,Source_Data!$C$8,0),Source_Data!AQ$8)</f>
        <v>0</v>
      </c>
      <c r="AR119" s="33" t="n">
        <f aca="false">Source_Data!AR$7+IF($B$117=1,IF(Source_Data!AR$6=Inputs!$B$14,Source_Data!$C$8,0),Source_Data!AR$8)</f>
        <v>0</v>
      </c>
      <c r="AS119" s="33" t="n">
        <f aca="false">Source_Data!AS$7+IF($B$117=1,IF(Source_Data!AS$6=Inputs!$B$14,Source_Data!$C$8,0),Source_Data!AS$8)</f>
        <v>0</v>
      </c>
      <c r="AT119" s="33" t="n">
        <f aca="false">Source_Data!AT$7+IF($B$117=1,IF(Source_Data!AT$6=Inputs!$B$14,Source_Data!$C$8,0),Source_Data!AT$8)</f>
        <v>0</v>
      </c>
      <c r="AU119" s="33" t="n">
        <f aca="false">Source_Data!AU$7+IF($B$117=1,IF(Source_Data!AU$6=Inputs!$B$14,Source_Data!$C$8,0),Source_Data!AU$8)</f>
        <v>0</v>
      </c>
      <c r="AV119" s="33" t="n">
        <f aca="false">Source_Data!AV$7+IF($B$117=1,IF(Source_Data!AV$6=Inputs!$B$14,Source_Data!$C$8,0),Source_Data!AV$8)</f>
        <v>0</v>
      </c>
      <c r="AW119" s="33" t="n">
        <f aca="false">Source_Data!AW$7+IF($B$117=1,IF(Source_Data!AW$6=Inputs!$B$14,Source_Data!$C$8,0),Source_Data!AW$8)</f>
        <v>0</v>
      </c>
      <c r="AX119" s="33" t="n">
        <f aca="false">Source_Data!AX$7+IF($B$117=1,IF(Source_Data!AX$6=Inputs!$B$14,Source_Data!$C$8,0),Source_Data!AX$8)</f>
        <v>0</v>
      </c>
      <c r="AY119" s="33" t="n">
        <f aca="false">Source_Data!AY$7+IF($B$117=1,IF(Source_Data!AY$6=Inputs!$B$14,Source_Data!$C$8,0),Source_Data!AY$8)</f>
        <v>0</v>
      </c>
      <c r="AZ119" s="33" t="n">
        <f aca="false">Source_Data!AZ$7+IF($B$117=1,IF(Source_Data!AZ$6=Inputs!$B$14,Source_Data!$C$8,0),Source_Data!AZ$8)</f>
        <v>0</v>
      </c>
      <c r="BA119" s="33" t="n">
        <f aca="false">Source_Data!BA$7+IF($B$117=1,IF(Source_Data!BA$6=Inputs!$B$14,Source_Data!$C$8,0),Source_Data!BA$8)</f>
        <v>0</v>
      </c>
      <c r="BB119" s="33" t="n">
        <f aca="false">Source_Data!BB$7+IF($B$117=1,IF(Source_Data!BB$6=Inputs!$B$14,Source_Data!$C$8,0),Source_Data!BB$8)</f>
        <v>0</v>
      </c>
      <c r="BC119" s="33" t="n">
        <f aca="false">Source_Data!BC$7+IF($B$117=1,IF(Source_Data!BC$6=Inputs!$B$14,Source_Data!$C$8,0),Source_Data!BC$8)</f>
        <v>0</v>
      </c>
      <c r="BD119" s="33" t="n">
        <f aca="false">Source_Data!BD$7+IF($B$117=1,IF(Source_Data!BD$6=Inputs!$B$14,Source_Data!$C$8,0),Source_Data!BD$8)</f>
        <v>0</v>
      </c>
      <c r="BE119" s="33" t="n">
        <f aca="false">Source_Data!BE$7+IF($B$117=1,IF(Source_Data!BE$6=Inputs!$B$14,Source_Data!$C$8,0),Source_Data!BE$8)</f>
        <v>0</v>
      </c>
      <c r="BF119" s="33" t="n">
        <f aca="false">Source_Data!BF$7+IF($B$117=1,IF(Source_Data!BF$6=Inputs!$B$14,Source_Data!$C$8,0),Source_Data!BF$8)</f>
        <v>0</v>
      </c>
      <c r="BG119" s="33" t="n">
        <f aca="false">Source_Data!BG$7+IF($B$117=1,IF(Source_Data!BG$6=Inputs!$B$14,Source_Data!$C$8,0),Source_Data!BG$8)</f>
        <v>0</v>
      </c>
      <c r="BH119" s="33" t="n">
        <f aca="false">Source_Data!BH$7+IF($B$117=1,IF(Source_Data!BH$6=Inputs!$B$14,Source_Data!$C$8,0),Source_Data!BH$8)</f>
        <v>0</v>
      </c>
      <c r="BI119" s="33" t="n">
        <f aca="false">Source_Data!BI$7+IF($B$117=1,IF(Source_Data!BI$6=Inputs!$B$14,Source_Data!$C$8,0),Source_Data!BI$8)</f>
        <v>0</v>
      </c>
      <c r="BJ119" s="33" t="n">
        <f aca="false">Source_Data!BJ$7+IF($B$117=1,IF(Source_Data!BJ$6=Inputs!$B$14,Source_Data!$C$8,0),Source_Data!BJ$8)</f>
        <v>0</v>
      </c>
      <c r="BK119" s="33" t="n">
        <f aca="false">Source_Data!BK$7+IF($B$117=1,IF(Source_Data!BK$6=Inputs!$B$14,Source_Data!$C$8,0),Source_Data!BK$8)</f>
        <v>0</v>
      </c>
    </row>
    <row r="120" customFormat="false" ht="15" hidden="false" customHeight="false" outlineLevel="0" collapsed="false">
      <c r="A120" s="3" t="s">
        <v>215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340</v>
      </c>
      <c r="D121" s="33" t="n">
        <f aca="false">Source_Data!D$9+Source_Data!D$10*IF(Source_Data!$C$10=0,0,MAX(0,Inputs!$B$20*Inputs!$B$23*$B$113-Inputs!$B$21)/Source_Data!$C$10)</f>
        <v>91.25</v>
      </c>
      <c r="E121" s="33" t="n">
        <f aca="false">Source_Data!E$9+Source_Data!E$10*IF(Source_Data!$C$10=0,0,MAX(0,Inputs!$B$20*Inputs!$B$23*$B$113-Inputs!$B$21)/Source_Data!$C$10)</f>
        <v>11.25</v>
      </c>
      <c r="F121" s="33" t="n">
        <f aca="false">Source_Data!F$9+Source_Data!F$10*IF(Source_Data!$C$10=0,0,MAX(0,Inputs!$B$20*Inputs!$B$23*$B$113-Inputs!$B$21)/Source_Data!$C$10)</f>
        <v>11.25</v>
      </c>
      <c r="G121" s="33" t="n">
        <f aca="false">Source_Data!G$9+Source_Data!G$10*IF(Source_Data!$C$10=0,0,MAX(0,Inputs!$B$20*Inputs!$B$23*$B$113-Inputs!$B$21)/Source_Data!$C$10)</f>
        <v>11.25</v>
      </c>
      <c r="H121" s="33" t="n">
        <f aca="false">Source_Data!H$9+Source_Data!H$10*IF(Source_Data!$C$10=0,0,MAX(0,Inputs!$B$20*Inputs!$B$23*$B$113-Inputs!$B$21)/Source_Data!$C$10)</f>
        <v>22.5</v>
      </c>
      <c r="I121" s="33" t="n">
        <f aca="false">Source_Data!I$9+Source_Data!I$10*IF(Source_Data!$C$10=0,0,MAX(0,Inputs!$B$20*Inputs!$B$23*$B$113-Inputs!$B$21)/Source_Data!$C$10)</f>
        <v>22.5</v>
      </c>
      <c r="J121" s="33" t="n">
        <f aca="false">Source_Data!J$9+Source_Data!J$10*IF(Source_Data!$C$10=0,0,MAX(0,Inputs!$B$20*Inputs!$B$23*$B$113-Inputs!$B$21)/Source_Data!$C$10)</f>
        <v>22.5</v>
      </c>
      <c r="K121" s="33" t="n">
        <f aca="false">Source_Data!K$9+Source_Data!K$10*IF(Source_Data!$C$10=0,0,MAX(0,Inputs!$B$20*Inputs!$B$23*$B$113-Inputs!$B$21)/Source_Data!$C$10)</f>
        <v>22.5</v>
      </c>
      <c r="L121" s="33" t="n">
        <f aca="false">Source_Data!L$9+Source_Data!L$10*IF(Source_Data!$C$10=0,0,MAX(0,Inputs!$B$20*Inputs!$B$23*$B$113-Inputs!$B$21)/Source_Data!$C$10)</f>
        <v>33.75</v>
      </c>
      <c r="M121" s="33" t="n">
        <f aca="false">Source_Data!M$9+Source_Data!M$10*IF(Source_Data!$C$10=0,0,MAX(0,Inputs!$B$20*Inputs!$B$23*$B$113-Inputs!$B$21)/Source_Data!$C$10)</f>
        <v>33.75</v>
      </c>
      <c r="N121" s="33" t="n">
        <f aca="false">Source_Data!N$9+Source_Data!N$10*IF(Source_Data!$C$10=0,0,MAX(0,Inputs!$B$20*Inputs!$B$23*$B$113-Inputs!$B$21)/Source_Data!$C$10)</f>
        <v>33.75</v>
      </c>
      <c r="O121" s="33" t="n">
        <f aca="false">Source_Data!O$9+Source_Data!O$10*IF(Source_Data!$C$10=0,0,MAX(0,Inputs!$B$20*Inputs!$B$23*$B$113-Inputs!$B$21)/Source_Data!$C$10)</f>
        <v>33.75</v>
      </c>
      <c r="P121" s="33" t="n">
        <f aca="false">Source_Data!P$9+Source_Data!P$10*IF(Source_Data!$C$10=0,0,MAX(0,Inputs!$B$20*Inputs!$B$23*$B$113-Inputs!$B$21)/Source_Data!$C$10)</f>
        <v>45</v>
      </c>
      <c r="Q121" s="33" t="n">
        <f aca="false">Source_Data!Q$9+Source_Data!Q$10*IF(Source_Data!$C$10=0,0,MAX(0,Inputs!$B$20*Inputs!$B$23*$B$113-Inputs!$B$21)/Source_Data!$C$10)</f>
        <v>45</v>
      </c>
      <c r="R121" s="33" t="n">
        <f aca="false">Source_Data!R$9+Source_Data!R$10*IF(Source_Data!$C$10=0,0,MAX(0,Inputs!$B$20*Inputs!$B$23*$B$113-Inputs!$B$21)/Source_Data!$C$10)</f>
        <v>45</v>
      </c>
      <c r="S121" s="33" t="n">
        <f aca="false">Source_Data!S$9+Source_Data!S$10*IF(Source_Data!$C$10=0,0,MAX(0,Inputs!$B$20*Inputs!$B$23*$B$113-Inputs!$B$21)/Source_Data!$C$10)</f>
        <v>45</v>
      </c>
      <c r="T121" s="33" t="n">
        <f aca="false">Source_Data!T$9+Source_Data!T$10*IF(Source_Data!$C$10=0,0,MAX(0,Inputs!$B$20*Inputs!$B$23*$B$113-Inputs!$B$21)/Source_Data!$C$10)</f>
        <v>45</v>
      </c>
      <c r="U121" s="33" t="n">
        <f aca="false">Source_Data!U$9+Source_Data!U$10*IF(Source_Data!$C$10=0,0,MAX(0,Inputs!$B$20*Inputs!$B$23*$B$113-Inputs!$B$21)/Source_Data!$C$10)</f>
        <v>45</v>
      </c>
      <c r="V121" s="33" t="n">
        <f aca="false">Source_Data!V$9+Source_Data!V$10*IF(Source_Data!$C$10=0,0,MAX(0,Inputs!$B$20*Inputs!$B$23*$B$113-Inputs!$B$21)/Source_Data!$C$10)</f>
        <v>45</v>
      </c>
      <c r="W121" s="33" t="n">
        <f aca="false">Source_Data!W$9+Source_Data!W$10*IF(Source_Data!$C$10=0,0,MAX(0,Inputs!$B$20*Inputs!$B$23*$B$113-Inputs!$B$21)/Source_Data!$C$10)</f>
        <v>45</v>
      </c>
      <c r="X121" s="33" t="n">
        <f aca="false">Source_Data!X$9+Source_Data!X$10*IF(Source_Data!$C$10=0,0,MAX(0,Inputs!$B$20*Inputs!$B$23*$B$113-Inputs!$B$21)/Source_Data!$C$10)</f>
        <v>22.5</v>
      </c>
      <c r="Y121" s="33" t="n">
        <f aca="false">Source_Data!Y$9+Source_Data!Y$10*IF(Source_Data!$C$10=0,0,MAX(0,Inputs!$B$20*Inputs!$B$23*$B$113-Inputs!$B$21)/Source_Data!$C$10)</f>
        <v>22.5</v>
      </c>
      <c r="Z121" s="33" t="n">
        <f aca="false">Source_Data!Z$9+Source_Data!Z$10*IF(Source_Data!$C$10=0,0,MAX(0,Inputs!$B$20*Inputs!$B$23*$B$113-Inputs!$B$21)/Source_Data!$C$10)</f>
        <v>22.5</v>
      </c>
      <c r="AA121" s="33" t="n">
        <f aca="false">Source_Data!AA$9+Source_Data!AA$10*IF(Source_Data!$C$10=0,0,MAX(0,Inputs!$B$20*Inputs!$B$23*$B$113-Inputs!$B$21)/Source_Data!$C$10)</f>
        <v>22.5</v>
      </c>
      <c r="AB121" s="33" t="n">
        <f aca="false">Source_Data!AB$9+Source_Data!AB$10*IF(Source_Data!$C$10=0,0,MAX(0,Inputs!$B$20*Inputs!$B$23*$B$113-Inputs!$B$21)/Source_Data!$C$10)</f>
        <v>0</v>
      </c>
      <c r="AC121" s="33" t="n">
        <f aca="false">Source_Data!AC$9+Source_Data!AC$10*IF(Source_Data!$C$10=0,0,MAX(0,Inputs!$B$20*Inputs!$B$23*$B$113-Inputs!$B$21)/Source_Data!$C$10)</f>
        <v>0</v>
      </c>
      <c r="AD121" s="33" t="n">
        <f aca="false">Source_Data!AD$9+Source_Data!AD$10*IF(Source_Data!$C$10=0,0,MAX(0,Inputs!$B$20*Inputs!$B$23*$B$113-Inputs!$B$21)/Source_Data!$C$10)</f>
        <v>0</v>
      </c>
      <c r="AE121" s="33" t="n">
        <f aca="false">Source_Data!AE$9+Source_Data!AE$10*IF(Source_Data!$C$10=0,0,MAX(0,Inputs!$B$20*Inputs!$B$23*$B$113-Inputs!$B$21)/Source_Data!$C$10)</f>
        <v>0</v>
      </c>
      <c r="AF121" s="33" t="n">
        <f aca="false">Source_Data!AF$9+Source_Data!AF$10*IF(Source_Data!$C$10=0,0,MAX(0,Inputs!$B$20*Inputs!$B$23*$B$113-Inputs!$B$21)/Source_Data!$C$10)</f>
        <v>107.758210351563</v>
      </c>
      <c r="AG121" s="33" t="n">
        <f aca="false">Source_Data!AG$9+Source_Data!AG$10*IF(Source_Data!$C$10=0,0,MAX(0,Inputs!$B$20*Inputs!$B$23*$B$113-Inputs!$B$21)/Source_Data!$C$10)</f>
        <v>10.976512421875</v>
      </c>
      <c r="AH121" s="33" t="n">
        <f aca="false">Source_Data!AH$9+Source_Data!AH$10*IF(Source_Data!$C$10=0,0,MAX(0,Inputs!$B$20*Inputs!$B$23*$B$113-Inputs!$B$21)/Source_Data!$C$10)</f>
        <v>10.976512421875</v>
      </c>
      <c r="AI121" s="33" t="n">
        <f aca="false">Source_Data!AI$9+Source_Data!AI$10*IF(Source_Data!$C$10=0,0,MAX(0,Inputs!$B$20*Inputs!$B$23*$B$113-Inputs!$B$21)/Source_Data!$C$10)</f>
        <v>10.976512421875</v>
      </c>
      <c r="AJ121" s="33" t="n">
        <f aca="false">Source_Data!AJ$9+Source_Data!AJ$10*IF(Source_Data!$C$10=0,0,MAX(0,Inputs!$B$20*Inputs!$B$23*$B$113-Inputs!$B$21)/Source_Data!$C$10)</f>
        <v>10.976512421875</v>
      </c>
      <c r="AK121" s="33" t="n">
        <f aca="false">Source_Data!AK$9+Source_Data!AK$10*IF(Source_Data!$C$10=0,0,MAX(0,Inputs!$B$20*Inputs!$B$23*$B$113-Inputs!$B$21)/Source_Data!$C$10)</f>
        <v>10.0209837109375</v>
      </c>
      <c r="AL121" s="33" t="n">
        <f aca="false">Source_Data!AL$9+Source_Data!AL$10*IF(Source_Data!$C$10=0,0,MAX(0,Inputs!$B$20*Inputs!$B$23*$B$113-Inputs!$B$21)/Source_Data!$C$10)</f>
        <v>10.0209837109375</v>
      </c>
      <c r="AM121" s="33" t="n">
        <f aca="false">Source_Data!AM$9+Source_Data!AM$10*IF(Source_Data!$C$10=0,0,MAX(0,Inputs!$B$20*Inputs!$B$23*$B$113-Inputs!$B$21)/Source_Data!$C$10)</f>
        <v>8.19855503906249</v>
      </c>
      <c r="AN121" s="33" t="n">
        <f aca="false">Source_Data!AN$9+Source_Data!AN$10*IF(Source_Data!$C$10=0,0,MAX(0,Inputs!$B$20*Inputs!$B$23*$B$113-Inputs!$B$21)/Source_Data!$C$10)</f>
        <v>4.21144828125</v>
      </c>
      <c r="AO121" s="33" t="n">
        <f aca="false">Source_Data!AO$9+Source_Data!AO$10*IF(Source_Data!$C$10=0,0,MAX(0,Inputs!$B$20*Inputs!$B$23*$B$113-Inputs!$B$21)/Source_Data!$C$10)</f>
        <v>1.56208171875</v>
      </c>
      <c r="AP121" s="33" t="n">
        <f aca="false">Source_Data!AP$9+Source_Data!AP$10*IF(Source_Data!$C$10=0,0,MAX(0,Inputs!$B$20*Inputs!$B$23*$B$113-Inputs!$B$21)/Source_Data!$C$10)</f>
        <v>0</v>
      </c>
      <c r="AQ121" s="33" t="n">
        <f aca="false">Source_Data!AQ$9+Source_Data!AQ$10*IF(Source_Data!$C$10=0,0,MAX(0,Inputs!$B$20*Inputs!$B$23*$B$113-Inputs!$B$21)/Source_Data!$C$10)</f>
        <v>0</v>
      </c>
      <c r="AR121" s="33" t="n">
        <f aca="false">Source_Data!AR$9+Source_Data!AR$10*IF(Source_Data!$C$10=0,0,MAX(0,Inputs!$B$20*Inputs!$B$23*$B$113-Inputs!$B$21)/Source_Data!$C$10)</f>
        <v>0</v>
      </c>
      <c r="AS121" s="33" t="n">
        <f aca="false">Source_Data!AS$9+Source_Data!AS$10*IF(Source_Data!$C$10=0,0,MAX(0,Inputs!$B$20*Inputs!$B$23*$B$113-Inputs!$B$21)/Source_Data!$C$10)</f>
        <v>0</v>
      </c>
      <c r="AT121" s="33" t="n">
        <f aca="false">Source_Data!AT$9+Source_Data!AT$10*IF(Source_Data!$C$10=0,0,MAX(0,Inputs!$B$20*Inputs!$B$23*$B$113-Inputs!$B$21)/Source_Data!$C$10)</f>
        <v>0</v>
      </c>
      <c r="AU121" s="33" t="n">
        <f aca="false">Source_Data!AU$9+Source_Data!AU$10*IF(Source_Data!$C$10=0,0,MAX(0,Inputs!$B$20*Inputs!$B$23*$B$113-Inputs!$B$21)/Source_Data!$C$10)</f>
        <v>0</v>
      </c>
      <c r="AV121" s="33" t="n">
        <f aca="false">Source_Data!AV$9+Source_Data!AV$10*IF(Source_Data!$C$10=0,0,MAX(0,Inputs!$B$20*Inputs!$B$23*$B$113-Inputs!$B$21)/Source_Data!$C$10)</f>
        <v>0</v>
      </c>
      <c r="AW121" s="33" t="n">
        <f aca="false">Source_Data!AW$9+Source_Data!AW$10*IF(Source_Data!$C$10=0,0,MAX(0,Inputs!$B$20*Inputs!$B$23*$B$113-Inputs!$B$21)/Source_Data!$C$10)</f>
        <v>0</v>
      </c>
      <c r="AX121" s="33" t="n">
        <f aca="false">Source_Data!AX$9+Source_Data!AX$10*IF(Source_Data!$C$10=0,0,MAX(0,Inputs!$B$20*Inputs!$B$23*$B$113-Inputs!$B$21)/Source_Data!$C$10)</f>
        <v>0</v>
      </c>
      <c r="AY121" s="33" t="n">
        <f aca="false">Source_Data!AY$9+Source_Data!AY$10*IF(Source_Data!$C$10=0,0,MAX(0,Inputs!$B$20*Inputs!$B$23*$B$113-Inputs!$B$21)/Source_Data!$C$10)</f>
        <v>0</v>
      </c>
      <c r="AZ121" s="33" t="n">
        <f aca="false">Source_Data!AZ$9+Source_Data!AZ$10*IF(Source_Data!$C$10=0,0,MAX(0,Inputs!$B$20*Inputs!$B$23*$B$113-Inputs!$B$21)/Source_Data!$C$10)</f>
        <v>0</v>
      </c>
      <c r="BA121" s="33" t="n">
        <f aca="false">Source_Data!BA$9+Source_Data!BA$10*IF(Source_Data!$C$10=0,0,MAX(0,Inputs!$B$20*Inputs!$B$23*$B$113-Inputs!$B$21)/Source_Data!$C$10)</f>
        <v>0</v>
      </c>
      <c r="BB121" s="33" t="n">
        <f aca="false">Source_Data!BB$9+Source_Data!BB$10*IF(Source_Data!$C$10=0,0,MAX(0,Inputs!$B$20*Inputs!$B$23*$B$113-Inputs!$B$21)/Source_Data!$C$10)</f>
        <v>0</v>
      </c>
      <c r="BC121" s="33" t="n">
        <f aca="false">Source_Data!BC$9+Source_Data!BC$10*IF(Source_Data!$C$10=0,0,MAX(0,Inputs!$B$20*Inputs!$B$23*$B$113-Inputs!$B$21)/Source_Data!$C$10)</f>
        <v>0</v>
      </c>
      <c r="BD121" s="33" t="n">
        <f aca="false">Source_Data!BD$9+Source_Data!BD$10*IF(Source_Data!$C$10=0,0,MAX(0,Inputs!$B$20*Inputs!$B$23*$B$113-Inputs!$B$21)/Source_Data!$C$10)</f>
        <v>0</v>
      </c>
      <c r="BE121" s="33" t="n">
        <f aca="false">Source_Data!BE$9+Source_Data!BE$10*IF(Source_Data!$C$10=0,0,MAX(0,Inputs!$B$20*Inputs!$B$23*$B$113-Inputs!$B$21)/Source_Data!$C$10)</f>
        <v>0</v>
      </c>
      <c r="BF121" s="33" t="n">
        <f aca="false">Source_Data!BF$9+Source_Data!BF$10*IF(Source_Data!$C$10=0,0,MAX(0,Inputs!$B$20*Inputs!$B$23*$B$113-Inputs!$B$21)/Source_Data!$C$10)</f>
        <v>0</v>
      </c>
      <c r="BG121" s="33" t="n">
        <f aca="false">Source_Data!BG$9+Source_Data!BG$10*IF(Source_Data!$C$10=0,0,MAX(0,Inputs!$B$20*Inputs!$B$23*$B$113-Inputs!$B$21)/Source_Data!$C$10)</f>
        <v>0</v>
      </c>
      <c r="BH121" s="33" t="n">
        <f aca="false">Source_Data!BH$9+Source_Data!BH$10*IF(Source_Data!$C$10=0,0,MAX(0,Inputs!$B$20*Inputs!$B$23*$B$113-Inputs!$B$21)/Source_Data!$C$10)</f>
        <v>0</v>
      </c>
      <c r="BI121" s="33" t="n">
        <f aca="false">Source_Data!BI$9+Source_Data!BI$10*IF(Source_Data!$C$10=0,0,MAX(0,Inputs!$B$20*Inputs!$B$23*$B$113-Inputs!$B$21)/Source_Data!$C$10)</f>
        <v>0</v>
      </c>
      <c r="BJ121" s="33" t="n">
        <f aca="false">Source_Data!BJ$9+Source_Data!BJ$10*IF(Source_Data!$C$10=0,0,MAX(0,Inputs!$B$20*Inputs!$B$23*$B$113-Inputs!$B$21)/Source_Data!$C$10)</f>
        <v>0</v>
      </c>
      <c r="BK121" s="33" t="n">
        <f aca="false">Source_Data!BK$9+Source_Data!BK$10*IF(Source_Data!$C$10=0,0,MAX(0,Inputs!$B$20*Inputs!$B$23*$B$113-Inputs!$B$21)/Source_Data!$C$10)</f>
        <v>0</v>
      </c>
    </row>
    <row r="122" customFormat="false" ht="15" hidden="false" customHeight="false" outlineLevel="0" collapsed="false">
      <c r="A122" s="3" t="s">
        <v>196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198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217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218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219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341</v>
      </c>
      <c r="D127" s="33" t="n">
        <f aca="false">IF(Source_Data!D$6=Inputs!$B$13,-Inputs!$B$7,0)+IF(AND(Source_Data!D$6&gt;=$B$118,Source_Data!D$6&lt;$B$118+3*Inputs!$B$17,MOD(Source_Data!D$6-$B$118,3)=0),Inputs!$B$8*Inputs!$B$7*Inputs!$B$35*$B$113*(1-Inputs!$B$16)/Inputs!$B$17,0)</f>
        <v>-75</v>
      </c>
      <c r="E127" s="33" t="n">
        <f aca="false">IF(Source_Data!E$6=Inputs!$B$13,-Inputs!$B$7,0)+IF(AND(Source_Data!E$6&gt;=$B$118,Source_Data!E$6&lt;$B$118+3*Inputs!$B$17,MOD(Source_Data!E$6-$B$118,3)=0),Inputs!$B$8*Inputs!$B$7*Inputs!$B$35*$B$113*(1-Inputs!$B$16)/Inputs!$B$17,0)</f>
        <v>0</v>
      </c>
      <c r="F127" s="33" t="n">
        <f aca="false">IF(Source_Data!F$6=Inputs!$B$13,-Inputs!$B$7,0)+IF(AND(Source_Data!F$6&gt;=$B$118,Source_Data!F$6&lt;$B$118+3*Inputs!$B$17,MOD(Source_Data!F$6-$B$118,3)=0),Inputs!$B$8*Inputs!$B$7*Inputs!$B$35*$B$113*(1-Inputs!$B$16)/Inputs!$B$17,0)</f>
        <v>0</v>
      </c>
      <c r="G127" s="33" t="n">
        <f aca="false">IF(Source_Data!G$6=Inputs!$B$13,-Inputs!$B$7,0)+IF(AND(Source_Data!G$6&gt;=$B$118,Source_Data!G$6&lt;$B$118+3*Inputs!$B$17,MOD(Source_Data!G$6-$B$118,3)=0),Inputs!$B$8*Inputs!$B$7*Inputs!$B$35*$B$113*(1-Inputs!$B$16)/Inputs!$B$17,0)</f>
        <v>0</v>
      </c>
      <c r="H127" s="33" t="n">
        <f aca="false">IF(Source_Data!H$6=Inputs!$B$13,-Inputs!$B$7,0)+IF(AND(Source_Data!H$6&gt;=$B$118,Source_Data!H$6&lt;$B$118+3*Inputs!$B$17,MOD(Source_Data!H$6-$B$118,3)=0),Inputs!$B$8*Inputs!$B$7*Inputs!$B$35*$B$113*(1-Inputs!$B$16)/Inputs!$B$17,0)</f>
        <v>0</v>
      </c>
      <c r="I127" s="33" t="n">
        <f aca="false">IF(Source_Data!I$6=Inputs!$B$13,-Inputs!$B$7,0)+IF(AND(Source_Data!I$6&gt;=$B$118,Source_Data!I$6&lt;$B$118+3*Inputs!$B$17,MOD(Source_Data!I$6-$B$118,3)=0),Inputs!$B$8*Inputs!$B$7*Inputs!$B$35*$B$113*(1-Inputs!$B$16)/Inputs!$B$17,0)</f>
        <v>0</v>
      </c>
      <c r="J127" s="33" t="n">
        <f aca="false">IF(Source_Data!J$6=Inputs!$B$13,-Inputs!$B$7,0)+IF(AND(Source_Data!J$6&gt;=$B$118,Source_Data!J$6&lt;$B$118+3*Inputs!$B$17,MOD(Source_Data!J$6-$B$118,3)=0),Inputs!$B$8*Inputs!$B$7*Inputs!$B$35*$B$113*(1-Inputs!$B$16)/Inputs!$B$17,0)</f>
        <v>0</v>
      </c>
      <c r="K127" s="33" t="n">
        <f aca="false">IF(Source_Data!K$6=Inputs!$B$13,-Inputs!$B$7,0)+IF(AND(Source_Data!K$6&gt;=$B$118,Source_Data!K$6&lt;$B$118+3*Inputs!$B$17,MOD(Source_Data!K$6-$B$118,3)=0),Inputs!$B$8*Inputs!$B$7*Inputs!$B$35*$B$113*(1-Inputs!$B$16)/Inputs!$B$17,0)</f>
        <v>0</v>
      </c>
      <c r="L127" s="33" t="n">
        <f aca="false">IF(Source_Data!L$6=Inputs!$B$13,-Inputs!$B$7,0)+IF(AND(Source_Data!L$6&gt;=$B$118,Source_Data!L$6&lt;$B$118+3*Inputs!$B$17,MOD(Source_Data!L$6-$B$118,3)=0),Inputs!$B$8*Inputs!$B$7*Inputs!$B$35*$B$113*(1-Inputs!$B$16)/Inputs!$B$17,0)</f>
        <v>0</v>
      </c>
      <c r="M127" s="33" t="n">
        <f aca="false">IF(Source_Data!M$6=Inputs!$B$13,-Inputs!$B$7,0)+IF(AND(Source_Data!M$6&gt;=$B$118,Source_Data!M$6&lt;$B$118+3*Inputs!$B$17,MOD(Source_Data!M$6-$B$118,3)=0),Inputs!$B$8*Inputs!$B$7*Inputs!$B$35*$B$113*(1-Inputs!$B$16)/Inputs!$B$17,0)</f>
        <v>0</v>
      </c>
      <c r="N127" s="33" t="n">
        <f aca="false">IF(Source_Data!N$6=Inputs!$B$13,-Inputs!$B$7,0)+IF(AND(Source_Data!N$6&gt;=$B$118,Source_Data!N$6&lt;$B$118+3*Inputs!$B$17,MOD(Source_Data!N$6-$B$118,3)=0),Inputs!$B$8*Inputs!$B$7*Inputs!$B$35*$B$113*(1-Inputs!$B$16)/Inputs!$B$17,0)</f>
        <v>0</v>
      </c>
      <c r="O127" s="33" t="n">
        <f aca="false">IF(Source_Data!O$6=Inputs!$B$13,-Inputs!$B$7,0)+IF(AND(Source_Data!O$6&gt;=$B$118,Source_Data!O$6&lt;$B$118+3*Inputs!$B$17,MOD(Source_Data!O$6-$B$118,3)=0),Inputs!$B$8*Inputs!$B$7*Inputs!$B$35*$B$113*(1-Inputs!$B$16)/Inputs!$B$17,0)</f>
        <v>0</v>
      </c>
      <c r="P127" s="33" t="n">
        <f aca="false">IF(Source_Data!P$6=Inputs!$B$13,-Inputs!$B$7,0)+IF(AND(Source_Data!P$6&gt;=$B$118,Source_Data!P$6&lt;$B$118+3*Inputs!$B$17,MOD(Source_Data!P$6-$B$118,3)=0),Inputs!$B$8*Inputs!$B$7*Inputs!$B$35*$B$113*(1-Inputs!$B$16)/Inputs!$B$17,0)</f>
        <v>0</v>
      </c>
      <c r="Q127" s="33" t="n">
        <f aca="false">IF(Source_Data!Q$6=Inputs!$B$13,-Inputs!$B$7,0)+IF(AND(Source_Data!Q$6&gt;=$B$118,Source_Data!Q$6&lt;$B$118+3*Inputs!$B$17,MOD(Source_Data!Q$6-$B$118,3)=0),Inputs!$B$8*Inputs!$B$7*Inputs!$B$35*$B$113*(1-Inputs!$B$16)/Inputs!$B$17,0)</f>
        <v>0</v>
      </c>
      <c r="R127" s="33" t="n">
        <f aca="false">IF(Source_Data!R$6=Inputs!$B$13,-Inputs!$B$7,0)+IF(AND(Source_Data!R$6&gt;=$B$118,Source_Data!R$6&lt;$B$118+3*Inputs!$B$17,MOD(Source_Data!R$6-$B$118,3)=0),Inputs!$B$8*Inputs!$B$7*Inputs!$B$35*$B$113*(1-Inputs!$B$16)/Inputs!$B$17,0)</f>
        <v>0</v>
      </c>
      <c r="S127" s="33" t="n">
        <f aca="false">IF(Source_Data!S$6=Inputs!$B$13,-Inputs!$B$7,0)+IF(AND(Source_Data!S$6&gt;=$B$118,Source_Data!S$6&lt;$B$118+3*Inputs!$B$17,MOD(Source_Data!S$6-$B$118,3)=0),Inputs!$B$8*Inputs!$B$7*Inputs!$B$35*$B$113*(1-Inputs!$B$16)/Inputs!$B$17,0)</f>
        <v>0</v>
      </c>
      <c r="T127" s="33" t="n">
        <f aca="false">IF(Source_Data!T$6=Inputs!$B$13,-Inputs!$B$7,0)+IF(AND(Source_Data!T$6&gt;=$B$118,Source_Data!T$6&lt;$B$118+3*Inputs!$B$17,MOD(Source_Data!T$6-$B$118,3)=0),Inputs!$B$8*Inputs!$B$7*Inputs!$B$35*$B$113*(1-Inputs!$B$16)/Inputs!$B$17,0)</f>
        <v>52.1505376344086</v>
      </c>
      <c r="U127" s="33" t="n">
        <f aca="false">IF(Source_Data!U$6=Inputs!$B$13,-Inputs!$B$7,0)+IF(AND(Source_Data!U$6&gt;=$B$118,Source_Data!U$6&lt;$B$118+3*Inputs!$B$17,MOD(Source_Data!U$6-$B$118,3)=0),Inputs!$B$8*Inputs!$B$7*Inputs!$B$35*$B$113*(1-Inputs!$B$16)/Inputs!$B$17,0)</f>
        <v>52.1505376344086</v>
      </c>
      <c r="V127" s="33" t="n">
        <f aca="false">IF(Source_Data!V$6=Inputs!$B$13,-Inputs!$B$7,0)+IF(AND(Source_Data!V$6&gt;=$B$118,Source_Data!V$6&lt;$B$118+3*Inputs!$B$17,MOD(Source_Data!V$6-$B$118,3)=0),Inputs!$B$8*Inputs!$B$7*Inputs!$B$35*$B$113*(1-Inputs!$B$16)/Inputs!$B$17,0)</f>
        <v>52.1505376344086</v>
      </c>
      <c r="W127" s="33" t="n">
        <f aca="false">IF(Source_Data!W$6=Inputs!$B$13,-Inputs!$B$7,0)+IF(AND(Source_Data!W$6&gt;=$B$118,Source_Data!W$6&lt;$B$118+3*Inputs!$B$17,MOD(Source_Data!W$6-$B$118,3)=0),Inputs!$B$8*Inputs!$B$7*Inputs!$B$35*$B$113*(1-Inputs!$B$16)/Inputs!$B$17,0)</f>
        <v>52.1505376344086</v>
      </c>
      <c r="X127" s="33" t="n">
        <f aca="false">IF(Source_Data!X$6=Inputs!$B$13,-Inputs!$B$7,0)+IF(AND(Source_Data!X$6&gt;=$B$118,Source_Data!X$6&lt;$B$118+3*Inputs!$B$17,MOD(Source_Data!X$6-$B$118,3)=0),Inputs!$B$8*Inputs!$B$7*Inputs!$B$35*$B$113*(1-Inputs!$B$16)/Inputs!$B$17,0)</f>
        <v>0</v>
      </c>
      <c r="Y127" s="33" t="n">
        <f aca="false">IF(Source_Data!Y$6=Inputs!$B$13,-Inputs!$B$7,0)+IF(AND(Source_Data!Y$6&gt;=$B$118,Source_Data!Y$6&lt;$B$118+3*Inputs!$B$17,MOD(Source_Data!Y$6-$B$118,3)=0),Inputs!$B$8*Inputs!$B$7*Inputs!$B$35*$B$113*(1-Inputs!$B$16)/Inputs!$B$17,0)</f>
        <v>0</v>
      </c>
      <c r="Z127" s="33" t="n">
        <f aca="false">IF(Source_Data!Z$6=Inputs!$B$13,-Inputs!$B$7,0)+IF(AND(Source_Data!Z$6&gt;=$B$118,Source_Data!Z$6&lt;$B$118+3*Inputs!$B$17,MOD(Source_Data!Z$6-$B$118,3)=0),Inputs!$B$8*Inputs!$B$7*Inputs!$B$35*$B$113*(1-Inputs!$B$16)/Inputs!$B$17,0)</f>
        <v>0</v>
      </c>
      <c r="AA127" s="33" t="n">
        <f aca="false">IF(Source_Data!AA$6=Inputs!$B$13,-Inputs!$B$7,0)+IF(AND(Source_Data!AA$6&gt;=$B$118,Source_Data!AA$6&lt;$B$118+3*Inputs!$B$17,MOD(Source_Data!AA$6-$B$118,3)=0),Inputs!$B$8*Inputs!$B$7*Inputs!$B$35*$B$113*(1-Inputs!$B$16)/Inputs!$B$17,0)</f>
        <v>0</v>
      </c>
      <c r="AB127" s="33" t="n">
        <f aca="false">IF(Source_Data!AB$6=Inputs!$B$13,-Inputs!$B$7,0)+IF(AND(Source_Data!AB$6&gt;=$B$118,Source_Data!AB$6&lt;$B$118+3*Inputs!$B$17,MOD(Source_Data!AB$6-$B$118,3)=0),Inputs!$B$8*Inputs!$B$7*Inputs!$B$35*$B$113*(1-Inputs!$B$16)/Inputs!$B$17,0)</f>
        <v>0</v>
      </c>
      <c r="AC127" s="33" t="n">
        <f aca="false">IF(Source_Data!AC$6=Inputs!$B$13,-Inputs!$B$7,0)+IF(AND(Source_Data!AC$6&gt;=$B$118,Source_Data!AC$6&lt;$B$118+3*Inputs!$B$17,MOD(Source_Data!AC$6-$B$118,3)=0),Inputs!$B$8*Inputs!$B$7*Inputs!$B$35*$B$113*(1-Inputs!$B$16)/Inputs!$B$17,0)</f>
        <v>0</v>
      </c>
      <c r="AD127" s="33" t="n">
        <f aca="false">IF(Source_Data!AD$6=Inputs!$B$13,-Inputs!$B$7,0)+IF(AND(Source_Data!AD$6&gt;=$B$118,Source_Data!AD$6&lt;$B$118+3*Inputs!$B$17,MOD(Source_Data!AD$6-$B$118,3)=0),Inputs!$B$8*Inputs!$B$7*Inputs!$B$35*$B$113*(1-Inputs!$B$16)/Inputs!$B$17,0)</f>
        <v>0</v>
      </c>
      <c r="AE127" s="33" t="n">
        <f aca="false">IF(Source_Data!AE$6=Inputs!$B$13,-Inputs!$B$7,0)+IF(AND(Source_Data!AE$6&gt;=$B$118,Source_Data!AE$6&lt;$B$118+3*Inputs!$B$17,MOD(Source_Data!AE$6-$B$118,3)=0),Inputs!$B$8*Inputs!$B$7*Inputs!$B$35*$B$113*(1-Inputs!$B$16)/Inputs!$B$17,0)</f>
        <v>0</v>
      </c>
      <c r="AF127" s="33" t="n">
        <f aca="false">IF(Source_Data!AF$6=Inputs!$B$13,-Inputs!$B$7,0)+IF(AND(Source_Data!AF$6&gt;=$B$118,Source_Data!AF$6&lt;$B$118+3*Inputs!$B$17,MOD(Source_Data!AF$6-$B$118,3)=0),Inputs!$B$8*Inputs!$B$7*Inputs!$B$35*$B$113*(1-Inputs!$B$16)/Inputs!$B$17,0)</f>
        <v>0</v>
      </c>
      <c r="AG127" s="33" t="n">
        <f aca="false">IF(Source_Data!AG$6=Inputs!$B$13,-Inputs!$B$7,0)+IF(AND(Source_Data!AG$6&gt;=$B$118,Source_Data!AG$6&lt;$B$118+3*Inputs!$B$17,MOD(Source_Data!AG$6-$B$118,3)=0),Inputs!$B$8*Inputs!$B$7*Inputs!$B$35*$B$113*(1-Inputs!$B$16)/Inputs!$B$17,0)</f>
        <v>0</v>
      </c>
      <c r="AH127" s="33" t="n">
        <f aca="false">IF(Source_Data!AH$6=Inputs!$B$13,-Inputs!$B$7,0)+IF(AND(Source_Data!AH$6&gt;=$B$118,Source_Data!AH$6&lt;$B$118+3*Inputs!$B$17,MOD(Source_Data!AH$6-$B$118,3)=0),Inputs!$B$8*Inputs!$B$7*Inputs!$B$35*$B$113*(1-Inputs!$B$16)/Inputs!$B$17,0)</f>
        <v>0</v>
      </c>
      <c r="AI127" s="33" t="n">
        <f aca="false">IF(Source_Data!AI$6=Inputs!$B$13,-Inputs!$B$7,0)+IF(AND(Source_Data!AI$6&gt;=$B$118,Source_Data!AI$6&lt;$B$118+3*Inputs!$B$17,MOD(Source_Data!AI$6-$B$118,3)=0),Inputs!$B$8*Inputs!$B$7*Inputs!$B$35*$B$113*(1-Inputs!$B$16)/Inputs!$B$17,0)</f>
        <v>0</v>
      </c>
      <c r="AJ127" s="33" t="n">
        <f aca="false">IF(Source_Data!AJ$6=Inputs!$B$13,-Inputs!$B$7,0)+IF(AND(Source_Data!AJ$6&gt;=$B$118,Source_Data!AJ$6&lt;$B$118+3*Inputs!$B$17,MOD(Source_Data!AJ$6-$B$118,3)=0),Inputs!$B$8*Inputs!$B$7*Inputs!$B$35*$B$113*(1-Inputs!$B$16)/Inputs!$B$17,0)</f>
        <v>0</v>
      </c>
      <c r="AK127" s="33" t="n">
        <f aca="false">IF(Source_Data!AK$6=Inputs!$B$13,-Inputs!$B$7,0)+IF(AND(Source_Data!AK$6&gt;=$B$118,Source_Data!AK$6&lt;$B$118+3*Inputs!$B$17,MOD(Source_Data!AK$6-$B$118,3)=0),Inputs!$B$8*Inputs!$B$7*Inputs!$B$35*$B$113*(1-Inputs!$B$16)/Inputs!$B$17,0)</f>
        <v>0</v>
      </c>
      <c r="AL127" s="33" t="n">
        <f aca="false">IF(Source_Data!AL$6=Inputs!$B$13,-Inputs!$B$7,0)+IF(AND(Source_Data!AL$6&gt;=$B$118,Source_Data!AL$6&lt;$B$118+3*Inputs!$B$17,MOD(Source_Data!AL$6-$B$118,3)=0),Inputs!$B$8*Inputs!$B$7*Inputs!$B$35*$B$113*(1-Inputs!$B$16)/Inputs!$B$17,0)</f>
        <v>0</v>
      </c>
      <c r="AM127" s="33" t="n">
        <f aca="false">IF(Source_Data!AM$6=Inputs!$B$13,-Inputs!$B$7,0)+IF(AND(Source_Data!AM$6&gt;=$B$118,Source_Data!AM$6&lt;$B$118+3*Inputs!$B$17,MOD(Source_Data!AM$6-$B$118,3)=0),Inputs!$B$8*Inputs!$B$7*Inputs!$B$35*$B$113*(1-Inputs!$B$16)/Inputs!$B$17,0)</f>
        <v>0</v>
      </c>
      <c r="AN127" s="33" t="n">
        <f aca="false">IF(Source_Data!AN$6=Inputs!$B$13,-Inputs!$B$7,0)+IF(AND(Source_Data!AN$6&gt;=$B$118,Source_Data!AN$6&lt;$B$118+3*Inputs!$B$17,MOD(Source_Data!AN$6-$B$118,3)=0),Inputs!$B$8*Inputs!$B$7*Inputs!$B$35*$B$113*(1-Inputs!$B$16)/Inputs!$B$17,0)</f>
        <v>0</v>
      </c>
      <c r="AO127" s="33" t="n">
        <f aca="false">IF(Source_Data!AO$6=Inputs!$B$13,-Inputs!$B$7,0)+IF(AND(Source_Data!AO$6&gt;=$B$118,Source_Data!AO$6&lt;$B$118+3*Inputs!$B$17,MOD(Source_Data!AO$6-$B$118,3)=0),Inputs!$B$8*Inputs!$B$7*Inputs!$B$35*$B$113*(1-Inputs!$B$16)/Inputs!$B$17,0)</f>
        <v>0</v>
      </c>
      <c r="AP127" s="33" t="n">
        <f aca="false">IF(Source_Data!AP$6=Inputs!$B$13,-Inputs!$B$7,0)+IF(AND(Source_Data!AP$6&gt;=$B$118,Source_Data!AP$6&lt;$B$118+3*Inputs!$B$17,MOD(Source_Data!AP$6-$B$118,3)=0),Inputs!$B$8*Inputs!$B$7*Inputs!$B$35*$B$113*(1-Inputs!$B$16)/Inputs!$B$17,0)</f>
        <v>0</v>
      </c>
      <c r="AQ127" s="33" t="n">
        <f aca="false">IF(Source_Data!AQ$6=Inputs!$B$13,-Inputs!$B$7,0)+IF(AND(Source_Data!AQ$6&gt;=$B$118,Source_Data!AQ$6&lt;$B$118+3*Inputs!$B$17,MOD(Source_Data!AQ$6-$B$118,3)=0),Inputs!$B$8*Inputs!$B$7*Inputs!$B$35*$B$113*(1-Inputs!$B$16)/Inputs!$B$17,0)</f>
        <v>0</v>
      </c>
      <c r="AR127" s="33" t="n">
        <f aca="false">IF(Source_Data!AR$6=Inputs!$B$13,-Inputs!$B$7,0)+IF(AND(Source_Data!AR$6&gt;=$B$118,Source_Data!AR$6&lt;$B$118+3*Inputs!$B$17,MOD(Source_Data!AR$6-$B$118,3)=0),Inputs!$B$8*Inputs!$B$7*Inputs!$B$35*$B$113*(1-Inputs!$B$16)/Inputs!$B$17,0)</f>
        <v>0</v>
      </c>
      <c r="AS127" s="33" t="n">
        <f aca="false">IF(Source_Data!AS$6=Inputs!$B$13,-Inputs!$B$7,0)+IF(AND(Source_Data!AS$6&gt;=$B$118,Source_Data!AS$6&lt;$B$118+3*Inputs!$B$17,MOD(Source_Data!AS$6-$B$118,3)=0),Inputs!$B$8*Inputs!$B$7*Inputs!$B$35*$B$113*(1-Inputs!$B$16)/Inputs!$B$17,0)</f>
        <v>0</v>
      </c>
      <c r="AT127" s="33" t="n">
        <f aca="false">IF(Source_Data!AT$6=Inputs!$B$13,-Inputs!$B$7,0)+IF(AND(Source_Data!AT$6&gt;=$B$118,Source_Data!AT$6&lt;$B$118+3*Inputs!$B$17,MOD(Source_Data!AT$6-$B$118,3)=0),Inputs!$B$8*Inputs!$B$7*Inputs!$B$35*$B$113*(1-Inputs!$B$16)/Inputs!$B$17,0)</f>
        <v>0</v>
      </c>
      <c r="AU127" s="33" t="n">
        <f aca="false">IF(Source_Data!AU$6=Inputs!$B$13,-Inputs!$B$7,0)+IF(AND(Source_Data!AU$6&gt;=$B$118,Source_Data!AU$6&lt;$B$118+3*Inputs!$B$17,MOD(Source_Data!AU$6-$B$118,3)=0),Inputs!$B$8*Inputs!$B$7*Inputs!$B$35*$B$113*(1-Inputs!$B$16)/Inputs!$B$17,0)</f>
        <v>0</v>
      </c>
      <c r="AV127" s="33" t="n">
        <f aca="false">IF(Source_Data!AV$6=Inputs!$B$13,-Inputs!$B$7,0)+IF(AND(Source_Data!AV$6&gt;=$B$118,Source_Data!AV$6&lt;$B$118+3*Inputs!$B$17,MOD(Source_Data!AV$6-$B$118,3)=0),Inputs!$B$8*Inputs!$B$7*Inputs!$B$35*$B$113*(1-Inputs!$B$16)/Inputs!$B$17,0)</f>
        <v>0</v>
      </c>
      <c r="AW127" s="33" t="n">
        <f aca="false">IF(Source_Data!AW$6=Inputs!$B$13,-Inputs!$B$7,0)+IF(AND(Source_Data!AW$6&gt;=$B$118,Source_Data!AW$6&lt;$B$118+3*Inputs!$B$17,MOD(Source_Data!AW$6-$B$118,3)=0),Inputs!$B$8*Inputs!$B$7*Inputs!$B$35*$B$113*(1-Inputs!$B$16)/Inputs!$B$17,0)</f>
        <v>0</v>
      </c>
      <c r="AX127" s="33" t="n">
        <f aca="false">IF(Source_Data!AX$6=Inputs!$B$13,-Inputs!$B$7,0)+IF(AND(Source_Data!AX$6&gt;=$B$118,Source_Data!AX$6&lt;$B$118+3*Inputs!$B$17,MOD(Source_Data!AX$6-$B$118,3)=0),Inputs!$B$8*Inputs!$B$7*Inputs!$B$35*$B$113*(1-Inputs!$B$16)/Inputs!$B$17,0)</f>
        <v>0</v>
      </c>
      <c r="AY127" s="33" t="n">
        <f aca="false">IF(Source_Data!AY$6=Inputs!$B$13,-Inputs!$B$7,0)+IF(AND(Source_Data!AY$6&gt;=$B$118,Source_Data!AY$6&lt;$B$118+3*Inputs!$B$17,MOD(Source_Data!AY$6-$B$118,3)=0),Inputs!$B$8*Inputs!$B$7*Inputs!$B$35*$B$113*(1-Inputs!$B$16)/Inputs!$B$17,0)</f>
        <v>0</v>
      </c>
      <c r="AZ127" s="33" t="n">
        <f aca="false">IF(Source_Data!AZ$6=Inputs!$B$13,-Inputs!$B$7,0)+IF(AND(Source_Data!AZ$6&gt;=$B$118,Source_Data!AZ$6&lt;$B$118+3*Inputs!$B$17,MOD(Source_Data!AZ$6-$B$118,3)=0),Inputs!$B$8*Inputs!$B$7*Inputs!$B$35*$B$113*(1-Inputs!$B$16)/Inputs!$B$17,0)</f>
        <v>0</v>
      </c>
      <c r="BA127" s="33" t="n">
        <f aca="false">IF(Source_Data!BA$6=Inputs!$B$13,-Inputs!$B$7,0)+IF(AND(Source_Data!BA$6&gt;=$B$118,Source_Data!BA$6&lt;$B$118+3*Inputs!$B$17,MOD(Source_Data!BA$6-$B$118,3)=0),Inputs!$B$8*Inputs!$B$7*Inputs!$B$35*$B$113*(1-Inputs!$B$16)/Inputs!$B$17,0)</f>
        <v>0</v>
      </c>
      <c r="BB127" s="33" t="n">
        <f aca="false">IF(Source_Data!BB$6=Inputs!$B$13,-Inputs!$B$7,0)+IF(AND(Source_Data!BB$6&gt;=$B$118,Source_Data!BB$6&lt;$B$118+3*Inputs!$B$17,MOD(Source_Data!BB$6-$B$118,3)=0),Inputs!$B$8*Inputs!$B$7*Inputs!$B$35*$B$113*(1-Inputs!$B$16)/Inputs!$B$17,0)</f>
        <v>0</v>
      </c>
      <c r="BC127" s="33" t="n">
        <f aca="false">IF(Source_Data!BC$6=Inputs!$B$13,-Inputs!$B$7,0)+IF(AND(Source_Data!BC$6&gt;=$B$118,Source_Data!BC$6&lt;$B$118+3*Inputs!$B$17,MOD(Source_Data!BC$6-$B$118,3)=0),Inputs!$B$8*Inputs!$B$7*Inputs!$B$35*$B$113*(1-Inputs!$B$16)/Inputs!$B$17,0)</f>
        <v>0</v>
      </c>
      <c r="BD127" s="33" t="n">
        <f aca="false">IF(Source_Data!BD$6=Inputs!$B$13,-Inputs!$B$7,0)+IF(AND(Source_Data!BD$6&gt;=$B$118,Source_Data!BD$6&lt;$B$118+3*Inputs!$B$17,MOD(Source_Data!BD$6-$B$118,3)=0),Inputs!$B$8*Inputs!$B$7*Inputs!$B$35*$B$113*(1-Inputs!$B$16)/Inputs!$B$17,0)</f>
        <v>0</v>
      </c>
      <c r="BE127" s="33" t="n">
        <f aca="false">IF(Source_Data!BE$6=Inputs!$B$13,-Inputs!$B$7,0)+IF(AND(Source_Data!BE$6&gt;=$B$118,Source_Data!BE$6&lt;$B$118+3*Inputs!$B$17,MOD(Source_Data!BE$6-$B$118,3)=0),Inputs!$B$8*Inputs!$B$7*Inputs!$B$35*$B$113*(1-Inputs!$B$16)/Inputs!$B$17,0)</f>
        <v>0</v>
      </c>
      <c r="BF127" s="33" t="n">
        <f aca="false">IF(Source_Data!BF$6=Inputs!$B$13,-Inputs!$B$7,0)+IF(AND(Source_Data!BF$6&gt;=$B$118,Source_Data!BF$6&lt;$B$118+3*Inputs!$B$17,MOD(Source_Data!BF$6-$B$118,3)=0),Inputs!$B$8*Inputs!$B$7*Inputs!$B$35*$B$113*(1-Inputs!$B$16)/Inputs!$B$17,0)</f>
        <v>0</v>
      </c>
      <c r="BG127" s="33" t="n">
        <f aca="false">IF(Source_Data!BG$6=Inputs!$B$13,-Inputs!$B$7,0)+IF(AND(Source_Data!BG$6&gt;=$B$118,Source_Data!BG$6&lt;$B$118+3*Inputs!$B$17,MOD(Source_Data!BG$6-$B$118,3)=0),Inputs!$B$8*Inputs!$B$7*Inputs!$B$35*$B$113*(1-Inputs!$B$16)/Inputs!$B$17,0)</f>
        <v>0</v>
      </c>
      <c r="BH127" s="33" t="n">
        <f aca="false">IF(Source_Data!BH$6=Inputs!$B$13,-Inputs!$B$7,0)+IF(AND(Source_Data!BH$6&gt;=$B$118,Source_Data!BH$6&lt;$B$118+3*Inputs!$B$17,MOD(Source_Data!BH$6-$B$118,3)=0),Inputs!$B$8*Inputs!$B$7*Inputs!$B$35*$B$113*(1-Inputs!$B$16)/Inputs!$B$17,0)</f>
        <v>0</v>
      </c>
      <c r="BI127" s="33" t="n">
        <f aca="false">IF(Source_Data!BI$6=Inputs!$B$13,-Inputs!$B$7,0)+IF(AND(Source_Data!BI$6&gt;=$B$118,Source_Data!BI$6&lt;$B$118+3*Inputs!$B$17,MOD(Source_Data!BI$6-$B$118,3)=0),Inputs!$B$8*Inputs!$B$7*Inputs!$B$35*$B$113*(1-Inputs!$B$16)/Inputs!$B$17,0)</f>
        <v>0</v>
      </c>
      <c r="BJ127" s="33" t="n">
        <f aca="false">IF(Source_Data!BJ$6=Inputs!$B$13,-Inputs!$B$7,0)+IF(AND(Source_Data!BJ$6&gt;=$B$118,Source_Data!BJ$6&lt;$B$118+3*Inputs!$B$17,MOD(Source_Data!BJ$6-$B$118,3)=0),Inputs!$B$8*Inputs!$B$7*Inputs!$B$35*$B$113*(1-Inputs!$B$16)/Inputs!$B$17,0)</f>
        <v>0</v>
      </c>
      <c r="BK127" s="33" t="n">
        <f aca="false">IF(Source_Data!BK$6=Inputs!$B$13,-Inputs!$B$7,0)+IF(AND(Source_Data!BK$6&gt;=$B$118,Source_Data!BK$6&lt;$B$118+3*Inputs!$B$17,MOD(Source_Data!BK$6-$B$118,3)=0),Inputs!$B$8*Inputs!$B$7*Inputs!$B$35*$B$113*(1-Inputs!$B$16)/Inputs!$B$17,0)</f>
        <v>0</v>
      </c>
    </row>
    <row r="128" customFormat="false" ht="15" hidden="false" customHeight="false" outlineLevel="0" collapsed="false">
      <c r="A128" s="3" t="s">
        <v>342</v>
      </c>
      <c r="D128" s="33" t="n">
        <f aca="false">IF(AND(Source_Data!D$6&gt;=Inputs!$B$55,Source_Data!D$6&lt;Inputs!$B$55+3*Inputs!$B$11),Inputs!$B$9*Inputs!$B$7/Inputs!$B$11,0)</f>
        <v>0</v>
      </c>
      <c r="E128" s="33" t="n">
        <f aca="false">IF(AND(Source_Data!E$6&gt;=Inputs!$B$55,Source_Data!E$6&lt;Inputs!$B$55+3*Inputs!$B$11),Inputs!$B$9*Inputs!$B$7/Inputs!$B$11,0)</f>
        <v>0</v>
      </c>
      <c r="F128" s="33" t="n">
        <f aca="false">IF(AND(Source_Data!F$6&gt;=Inputs!$B$55,Source_Data!F$6&lt;Inputs!$B$55+3*Inputs!$B$11),Inputs!$B$9*Inputs!$B$7/Inputs!$B$11,0)</f>
        <v>0</v>
      </c>
      <c r="G128" s="33" t="n">
        <f aca="false">IF(AND(Source_Data!G$6&gt;=Inputs!$B$55,Source_Data!G$6&lt;Inputs!$B$55+3*Inputs!$B$11),Inputs!$B$9*Inputs!$B$7/Inputs!$B$11,0)</f>
        <v>0</v>
      </c>
      <c r="H128" s="33" t="n">
        <f aca="false">IF(AND(Source_Data!H$6&gt;=Inputs!$B$55,Source_Data!H$6&lt;Inputs!$B$55+3*Inputs!$B$11),Inputs!$B$9*Inputs!$B$7/Inputs!$B$11,0)</f>
        <v>0</v>
      </c>
      <c r="I128" s="33" t="n">
        <f aca="false">IF(AND(Source_Data!I$6&gt;=Inputs!$B$55,Source_Data!I$6&lt;Inputs!$B$55+3*Inputs!$B$11),Inputs!$B$9*Inputs!$B$7/Inputs!$B$11,0)</f>
        <v>0</v>
      </c>
      <c r="J128" s="33" t="n">
        <f aca="false">IF(AND(Source_Data!J$6&gt;=Inputs!$B$55,Source_Data!J$6&lt;Inputs!$B$55+3*Inputs!$B$11),Inputs!$B$9*Inputs!$B$7/Inputs!$B$11,0)</f>
        <v>0</v>
      </c>
      <c r="K128" s="33" t="n">
        <f aca="false">IF(AND(Source_Data!K$6&gt;=Inputs!$B$55,Source_Data!K$6&lt;Inputs!$B$55+3*Inputs!$B$11),Inputs!$B$9*Inputs!$B$7/Inputs!$B$11,0)</f>
        <v>0</v>
      </c>
      <c r="L128" s="33" t="n">
        <f aca="false">IF(AND(Source_Data!L$6&gt;=Inputs!$B$55,Source_Data!L$6&lt;Inputs!$B$55+3*Inputs!$B$11),Inputs!$B$9*Inputs!$B$7/Inputs!$B$11,0)</f>
        <v>0</v>
      </c>
      <c r="M128" s="33" t="n">
        <f aca="false">IF(AND(Source_Data!M$6&gt;=Inputs!$B$55,Source_Data!M$6&lt;Inputs!$B$55+3*Inputs!$B$11),Inputs!$B$9*Inputs!$B$7/Inputs!$B$11,0)</f>
        <v>14.375</v>
      </c>
      <c r="N128" s="33" t="n">
        <f aca="false">IF(AND(Source_Data!N$6&gt;=Inputs!$B$55,Source_Data!N$6&lt;Inputs!$B$55+3*Inputs!$B$11),Inputs!$B$9*Inputs!$B$7/Inputs!$B$11,0)</f>
        <v>14.375</v>
      </c>
      <c r="O128" s="33" t="n">
        <f aca="false">IF(AND(Source_Data!O$6&gt;=Inputs!$B$55,Source_Data!O$6&lt;Inputs!$B$55+3*Inputs!$B$11),Inputs!$B$9*Inputs!$B$7/Inputs!$B$11,0)</f>
        <v>14.375</v>
      </c>
      <c r="P128" s="33" t="n">
        <f aca="false">IF(AND(Source_Data!P$6&gt;=Inputs!$B$55,Source_Data!P$6&lt;Inputs!$B$55+3*Inputs!$B$11),Inputs!$B$9*Inputs!$B$7/Inputs!$B$11,0)</f>
        <v>14.375</v>
      </c>
      <c r="Q128" s="33" t="n">
        <f aca="false">IF(AND(Source_Data!Q$6&gt;=Inputs!$B$55,Source_Data!Q$6&lt;Inputs!$B$55+3*Inputs!$B$11),Inputs!$B$9*Inputs!$B$7/Inputs!$B$11,0)</f>
        <v>14.375</v>
      </c>
      <c r="R128" s="33" t="n">
        <f aca="false">IF(AND(Source_Data!R$6&gt;=Inputs!$B$55,Source_Data!R$6&lt;Inputs!$B$55+3*Inputs!$B$11),Inputs!$B$9*Inputs!$B$7/Inputs!$B$11,0)</f>
        <v>14.375</v>
      </c>
      <c r="S128" s="33" t="n">
        <f aca="false">IF(AND(Source_Data!S$6&gt;=Inputs!$B$55,Source_Data!S$6&lt;Inputs!$B$55+3*Inputs!$B$11),Inputs!$B$9*Inputs!$B$7/Inputs!$B$11,0)</f>
        <v>14.375</v>
      </c>
      <c r="T128" s="33" t="n">
        <f aca="false">IF(AND(Source_Data!T$6&gt;=Inputs!$B$55,Source_Data!T$6&lt;Inputs!$B$55+3*Inputs!$B$11),Inputs!$B$9*Inputs!$B$7/Inputs!$B$11,0)</f>
        <v>14.375</v>
      </c>
      <c r="U128" s="33" t="n">
        <f aca="false">IF(AND(Source_Data!U$6&gt;=Inputs!$B$55,Source_Data!U$6&lt;Inputs!$B$55+3*Inputs!$B$11),Inputs!$B$9*Inputs!$B$7/Inputs!$B$11,0)</f>
        <v>14.375</v>
      </c>
      <c r="V128" s="33" t="n">
        <f aca="false">IF(AND(Source_Data!V$6&gt;=Inputs!$B$55,Source_Data!V$6&lt;Inputs!$B$55+3*Inputs!$B$11),Inputs!$B$9*Inputs!$B$7/Inputs!$B$11,0)</f>
        <v>14.375</v>
      </c>
      <c r="W128" s="33" t="n">
        <f aca="false">IF(AND(Source_Data!W$6&gt;=Inputs!$B$55,Source_Data!W$6&lt;Inputs!$B$55+3*Inputs!$B$11),Inputs!$B$9*Inputs!$B$7/Inputs!$B$11,0)</f>
        <v>14.375</v>
      </c>
      <c r="X128" s="33" t="n">
        <f aca="false">IF(AND(Source_Data!X$6&gt;=Inputs!$B$55,Source_Data!X$6&lt;Inputs!$B$55+3*Inputs!$B$11),Inputs!$B$9*Inputs!$B$7/Inputs!$B$11,0)</f>
        <v>14.375</v>
      </c>
      <c r="Y128" s="33" t="n">
        <f aca="false">IF(AND(Source_Data!Y$6&gt;=Inputs!$B$55,Source_Data!Y$6&lt;Inputs!$B$55+3*Inputs!$B$11),Inputs!$B$9*Inputs!$B$7/Inputs!$B$11,0)</f>
        <v>0</v>
      </c>
      <c r="Z128" s="33" t="n">
        <f aca="false">IF(AND(Source_Data!Z$6&gt;=Inputs!$B$55,Source_Data!Z$6&lt;Inputs!$B$55+3*Inputs!$B$11),Inputs!$B$9*Inputs!$B$7/Inputs!$B$11,0)</f>
        <v>0</v>
      </c>
      <c r="AA128" s="33" t="n">
        <f aca="false">IF(AND(Source_Data!AA$6&gt;=Inputs!$B$55,Source_Data!AA$6&lt;Inputs!$B$55+3*Inputs!$B$11),Inputs!$B$9*Inputs!$B$7/Inputs!$B$11,0)</f>
        <v>0</v>
      </c>
      <c r="AB128" s="33" t="n">
        <f aca="false">IF(AND(Source_Data!AB$6&gt;=Inputs!$B$55,Source_Data!AB$6&lt;Inputs!$B$55+3*Inputs!$B$11),Inputs!$B$9*Inputs!$B$7/Inputs!$B$11,0)</f>
        <v>0</v>
      </c>
      <c r="AC128" s="33" t="n">
        <f aca="false">IF(AND(Source_Data!AC$6&gt;=Inputs!$B$55,Source_Data!AC$6&lt;Inputs!$B$55+3*Inputs!$B$11),Inputs!$B$9*Inputs!$B$7/Inputs!$B$11,0)</f>
        <v>0</v>
      </c>
      <c r="AD128" s="33" t="n">
        <f aca="false">IF(AND(Source_Data!AD$6&gt;=Inputs!$B$55,Source_Data!AD$6&lt;Inputs!$B$55+3*Inputs!$B$11),Inputs!$B$9*Inputs!$B$7/Inputs!$B$11,0)</f>
        <v>0</v>
      </c>
      <c r="AE128" s="33" t="n">
        <f aca="false">IF(AND(Source_Data!AE$6&gt;=Inputs!$B$55,Source_Data!AE$6&lt;Inputs!$B$55+3*Inputs!$B$11),Inputs!$B$9*Inputs!$B$7/Inputs!$B$11,0)</f>
        <v>0</v>
      </c>
      <c r="AF128" s="33" t="n">
        <f aca="false">IF(AND(Source_Data!AF$6&gt;=Inputs!$B$55,Source_Data!AF$6&lt;Inputs!$B$55+3*Inputs!$B$11),Inputs!$B$9*Inputs!$B$7/Inputs!$B$11,0)</f>
        <v>0</v>
      </c>
      <c r="AG128" s="33" t="n">
        <f aca="false">IF(AND(Source_Data!AG$6&gt;=Inputs!$B$55,Source_Data!AG$6&lt;Inputs!$B$55+3*Inputs!$B$11),Inputs!$B$9*Inputs!$B$7/Inputs!$B$11,0)</f>
        <v>0</v>
      </c>
      <c r="AH128" s="33" t="n">
        <f aca="false">IF(AND(Source_Data!AH$6&gt;=Inputs!$B$55,Source_Data!AH$6&lt;Inputs!$B$55+3*Inputs!$B$11),Inputs!$B$9*Inputs!$B$7/Inputs!$B$11,0)</f>
        <v>0</v>
      </c>
      <c r="AI128" s="33" t="n">
        <f aca="false">IF(AND(Source_Data!AI$6&gt;=Inputs!$B$55,Source_Data!AI$6&lt;Inputs!$B$55+3*Inputs!$B$11),Inputs!$B$9*Inputs!$B$7/Inputs!$B$11,0)</f>
        <v>0</v>
      </c>
      <c r="AJ128" s="33" t="n">
        <f aca="false">IF(AND(Source_Data!AJ$6&gt;=Inputs!$B$55,Source_Data!AJ$6&lt;Inputs!$B$55+3*Inputs!$B$11),Inputs!$B$9*Inputs!$B$7/Inputs!$B$11,0)</f>
        <v>0</v>
      </c>
      <c r="AK128" s="33" t="n">
        <f aca="false">IF(AND(Source_Data!AK$6&gt;=Inputs!$B$55,Source_Data!AK$6&lt;Inputs!$B$55+3*Inputs!$B$11),Inputs!$B$9*Inputs!$B$7/Inputs!$B$11,0)</f>
        <v>0</v>
      </c>
      <c r="AL128" s="33" t="n">
        <f aca="false">IF(AND(Source_Data!AL$6&gt;=Inputs!$B$55,Source_Data!AL$6&lt;Inputs!$B$55+3*Inputs!$B$11),Inputs!$B$9*Inputs!$B$7/Inputs!$B$11,0)</f>
        <v>0</v>
      </c>
      <c r="AM128" s="33" t="n">
        <f aca="false">IF(AND(Source_Data!AM$6&gt;=Inputs!$B$55,Source_Data!AM$6&lt;Inputs!$B$55+3*Inputs!$B$11),Inputs!$B$9*Inputs!$B$7/Inputs!$B$11,0)</f>
        <v>0</v>
      </c>
      <c r="AN128" s="33" t="n">
        <f aca="false">IF(AND(Source_Data!AN$6&gt;=Inputs!$B$55,Source_Data!AN$6&lt;Inputs!$B$55+3*Inputs!$B$11),Inputs!$B$9*Inputs!$B$7/Inputs!$B$11,0)</f>
        <v>0</v>
      </c>
      <c r="AO128" s="33" t="n">
        <f aca="false">IF(AND(Source_Data!AO$6&gt;=Inputs!$B$55,Source_Data!AO$6&lt;Inputs!$B$55+3*Inputs!$B$11),Inputs!$B$9*Inputs!$B$7/Inputs!$B$11,0)</f>
        <v>0</v>
      </c>
      <c r="AP128" s="33" t="n">
        <f aca="false">IF(AND(Source_Data!AP$6&gt;=Inputs!$B$55,Source_Data!AP$6&lt;Inputs!$B$55+3*Inputs!$B$11),Inputs!$B$9*Inputs!$B$7/Inputs!$B$11,0)</f>
        <v>0</v>
      </c>
      <c r="AQ128" s="33" t="n">
        <f aca="false">IF(AND(Source_Data!AQ$6&gt;=Inputs!$B$55,Source_Data!AQ$6&lt;Inputs!$B$55+3*Inputs!$B$11),Inputs!$B$9*Inputs!$B$7/Inputs!$B$11,0)</f>
        <v>0</v>
      </c>
      <c r="AR128" s="33" t="n">
        <f aca="false">IF(AND(Source_Data!AR$6&gt;=Inputs!$B$55,Source_Data!AR$6&lt;Inputs!$B$55+3*Inputs!$B$11),Inputs!$B$9*Inputs!$B$7/Inputs!$B$11,0)</f>
        <v>0</v>
      </c>
      <c r="AS128" s="33" t="n">
        <f aca="false">IF(AND(Source_Data!AS$6&gt;=Inputs!$B$55,Source_Data!AS$6&lt;Inputs!$B$55+3*Inputs!$B$11),Inputs!$B$9*Inputs!$B$7/Inputs!$B$11,0)</f>
        <v>0</v>
      </c>
      <c r="AT128" s="33" t="n">
        <f aca="false">IF(AND(Source_Data!AT$6&gt;=Inputs!$B$55,Source_Data!AT$6&lt;Inputs!$B$55+3*Inputs!$B$11),Inputs!$B$9*Inputs!$B$7/Inputs!$B$11,0)</f>
        <v>0</v>
      </c>
      <c r="AU128" s="33" t="n">
        <f aca="false">IF(AND(Source_Data!AU$6&gt;=Inputs!$B$55,Source_Data!AU$6&lt;Inputs!$B$55+3*Inputs!$B$11),Inputs!$B$9*Inputs!$B$7/Inputs!$B$11,0)</f>
        <v>0</v>
      </c>
      <c r="AV128" s="33" t="n">
        <f aca="false">IF(AND(Source_Data!AV$6&gt;=Inputs!$B$55,Source_Data!AV$6&lt;Inputs!$B$55+3*Inputs!$B$11),Inputs!$B$9*Inputs!$B$7/Inputs!$B$11,0)</f>
        <v>0</v>
      </c>
      <c r="AW128" s="33" t="n">
        <f aca="false">IF(AND(Source_Data!AW$6&gt;=Inputs!$B$55,Source_Data!AW$6&lt;Inputs!$B$55+3*Inputs!$B$11),Inputs!$B$9*Inputs!$B$7/Inputs!$B$11,0)</f>
        <v>0</v>
      </c>
      <c r="AX128" s="33" t="n">
        <f aca="false">IF(AND(Source_Data!AX$6&gt;=Inputs!$B$55,Source_Data!AX$6&lt;Inputs!$B$55+3*Inputs!$B$11),Inputs!$B$9*Inputs!$B$7/Inputs!$B$11,0)</f>
        <v>0</v>
      </c>
      <c r="AY128" s="33" t="n">
        <f aca="false">IF(AND(Source_Data!AY$6&gt;=Inputs!$B$55,Source_Data!AY$6&lt;Inputs!$B$55+3*Inputs!$B$11),Inputs!$B$9*Inputs!$B$7/Inputs!$B$11,0)</f>
        <v>0</v>
      </c>
      <c r="AZ128" s="33" t="n">
        <f aca="false">IF(AND(Source_Data!AZ$6&gt;=Inputs!$B$55,Source_Data!AZ$6&lt;Inputs!$B$55+3*Inputs!$B$11),Inputs!$B$9*Inputs!$B$7/Inputs!$B$11,0)</f>
        <v>0</v>
      </c>
      <c r="BA128" s="33" t="n">
        <f aca="false">IF(AND(Source_Data!BA$6&gt;=Inputs!$B$55,Source_Data!BA$6&lt;Inputs!$B$55+3*Inputs!$B$11),Inputs!$B$9*Inputs!$B$7/Inputs!$B$11,0)</f>
        <v>0</v>
      </c>
      <c r="BB128" s="33" t="n">
        <f aca="false">IF(AND(Source_Data!BB$6&gt;=Inputs!$B$55,Source_Data!BB$6&lt;Inputs!$B$55+3*Inputs!$B$11),Inputs!$B$9*Inputs!$B$7/Inputs!$B$11,0)</f>
        <v>0</v>
      </c>
      <c r="BC128" s="33" t="n">
        <f aca="false">IF(AND(Source_Data!BC$6&gt;=Inputs!$B$55,Source_Data!BC$6&lt;Inputs!$B$55+3*Inputs!$B$11),Inputs!$B$9*Inputs!$B$7/Inputs!$B$11,0)</f>
        <v>0</v>
      </c>
      <c r="BD128" s="33" t="n">
        <f aca="false">IF(AND(Source_Data!BD$6&gt;=Inputs!$B$55,Source_Data!BD$6&lt;Inputs!$B$55+3*Inputs!$B$11),Inputs!$B$9*Inputs!$B$7/Inputs!$B$11,0)</f>
        <v>0</v>
      </c>
      <c r="BE128" s="33" t="n">
        <f aca="false">IF(AND(Source_Data!BE$6&gt;=Inputs!$B$55,Source_Data!BE$6&lt;Inputs!$B$55+3*Inputs!$B$11),Inputs!$B$9*Inputs!$B$7/Inputs!$B$11,0)</f>
        <v>0</v>
      </c>
      <c r="BF128" s="33" t="n">
        <f aca="false">IF(AND(Source_Data!BF$6&gt;=Inputs!$B$55,Source_Data!BF$6&lt;Inputs!$B$55+3*Inputs!$B$11),Inputs!$B$9*Inputs!$B$7/Inputs!$B$11,0)</f>
        <v>0</v>
      </c>
      <c r="BG128" s="33" t="n">
        <f aca="false">IF(AND(Source_Data!BG$6&gt;=Inputs!$B$55,Source_Data!BG$6&lt;Inputs!$B$55+3*Inputs!$B$11),Inputs!$B$9*Inputs!$B$7/Inputs!$B$11,0)</f>
        <v>0</v>
      </c>
      <c r="BH128" s="33" t="n">
        <f aca="false">IF(AND(Source_Data!BH$6&gt;=Inputs!$B$55,Source_Data!BH$6&lt;Inputs!$B$55+3*Inputs!$B$11),Inputs!$B$9*Inputs!$B$7/Inputs!$B$11,0)</f>
        <v>0</v>
      </c>
      <c r="BI128" s="33" t="n">
        <f aca="false">IF(AND(Source_Data!BI$6&gt;=Inputs!$B$55,Source_Data!BI$6&lt;Inputs!$B$55+3*Inputs!$B$11),Inputs!$B$9*Inputs!$B$7/Inputs!$B$11,0)</f>
        <v>0</v>
      </c>
      <c r="BJ128" s="33" t="n">
        <f aca="false">IF(AND(Source_Data!BJ$6&gt;=Inputs!$B$55,Source_Data!BJ$6&lt;Inputs!$B$55+3*Inputs!$B$11),Inputs!$B$9*Inputs!$B$7/Inputs!$B$11,0)</f>
        <v>0</v>
      </c>
      <c r="BK128" s="33" t="n">
        <f aca="false">IF(AND(Source_Data!BK$6&gt;=Inputs!$B$55,Source_Data!BK$6&lt;Inputs!$B$55+3*Inputs!$B$11),Inputs!$B$9*Inputs!$B$7/Inputs!$B$11,0)</f>
        <v>0</v>
      </c>
    </row>
    <row r="129" customFormat="false" ht="15" hidden="false" customHeight="false" outlineLevel="0" collapsed="false">
      <c r="A129" s="3" t="s">
        <v>343</v>
      </c>
      <c r="D129" s="33" t="n">
        <f aca="false">IF(Source_Data!D$6=Inputs!$B$13,-Inputs!$B$7,0)+D128</f>
        <v>-75</v>
      </c>
      <c r="E129" s="33" t="n">
        <f aca="false">IF(Source_Data!E$6=Inputs!$B$13,-Inputs!$B$7,0)+E128</f>
        <v>0</v>
      </c>
      <c r="F129" s="33" t="n">
        <f aca="false">IF(Source_Data!F$6=Inputs!$B$13,-Inputs!$B$7,0)+F128</f>
        <v>0</v>
      </c>
      <c r="G129" s="33" t="n">
        <f aca="false">IF(Source_Data!G$6=Inputs!$B$13,-Inputs!$B$7,0)+G128</f>
        <v>0</v>
      </c>
      <c r="H129" s="33" t="n">
        <f aca="false">IF(Source_Data!H$6=Inputs!$B$13,-Inputs!$B$7,0)+H128</f>
        <v>0</v>
      </c>
      <c r="I129" s="33" t="n">
        <f aca="false">IF(Source_Data!I$6=Inputs!$B$13,-Inputs!$B$7,0)+I128</f>
        <v>0</v>
      </c>
      <c r="J129" s="33" t="n">
        <f aca="false">IF(Source_Data!J$6=Inputs!$B$13,-Inputs!$B$7,0)+J128</f>
        <v>0</v>
      </c>
      <c r="K129" s="33" t="n">
        <f aca="false">IF(Source_Data!K$6=Inputs!$B$13,-Inputs!$B$7,0)+K128</f>
        <v>0</v>
      </c>
      <c r="L129" s="33" t="n">
        <f aca="false">IF(Source_Data!L$6=Inputs!$B$13,-Inputs!$B$7,0)+L128</f>
        <v>0</v>
      </c>
      <c r="M129" s="33" t="n">
        <f aca="false">IF(Source_Data!M$6=Inputs!$B$13,-Inputs!$B$7,0)+M128</f>
        <v>14.375</v>
      </c>
      <c r="N129" s="33" t="n">
        <f aca="false">IF(Source_Data!N$6=Inputs!$B$13,-Inputs!$B$7,0)+N128</f>
        <v>14.375</v>
      </c>
      <c r="O129" s="33" t="n">
        <f aca="false">IF(Source_Data!O$6=Inputs!$B$13,-Inputs!$B$7,0)+O128</f>
        <v>14.375</v>
      </c>
      <c r="P129" s="33" t="n">
        <f aca="false">IF(Source_Data!P$6=Inputs!$B$13,-Inputs!$B$7,0)+P128</f>
        <v>14.375</v>
      </c>
      <c r="Q129" s="33" t="n">
        <f aca="false">IF(Source_Data!Q$6=Inputs!$B$13,-Inputs!$B$7,0)+Q128</f>
        <v>14.375</v>
      </c>
      <c r="R129" s="33" t="n">
        <f aca="false">IF(Source_Data!R$6=Inputs!$B$13,-Inputs!$B$7,0)+R128</f>
        <v>14.375</v>
      </c>
      <c r="S129" s="33" t="n">
        <f aca="false">IF(Source_Data!S$6=Inputs!$B$13,-Inputs!$B$7,0)+S128</f>
        <v>14.375</v>
      </c>
      <c r="T129" s="33" t="n">
        <f aca="false">IF(Source_Data!T$6=Inputs!$B$13,-Inputs!$B$7,0)+T128</f>
        <v>14.375</v>
      </c>
      <c r="U129" s="33" t="n">
        <f aca="false">IF(Source_Data!U$6=Inputs!$B$13,-Inputs!$B$7,0)+U128</f>
        <v>14.375</v>
      </c>
      <c r="V129" s="33" t="n">
        <f aca="false">IF(Source_Data!V$6=Inputs!$B$13,-Inputs!$B$7,0)+V128</f>
        <v>14.375</v>
      </c>
      <c r="W129" s="33" t="n">
        <f aca="false">IF(Source_Data!W$6=Inputs!$B$13,-Inputs!$B$7,0)+W128</f>
        <v>14.375</v>
      </c>
      <c r="X129" s="33" t="n">
        <f aca="false">IF(Source_Data!X$6=Inputs!$B$13,-Inputs!$B$7,0)+X128</f>
        <v>14.375</v>
      </c>
      <c r="Y129" s="33" t="n">
        <f aca="false">IF(Source_Data!Y$6=Inputs!$B$13,-Inputs!$B$7,0)+Y128</f>
        <v>0</v>
      </c>
      <c r="Z129" s="33" t="n">
        <f aca="false">IF(Source_Data!Z$6=Inputs!$B$13,-Inputs!$B$7,0)+Z128</f>
        <v>0</v>
      </c>
      <c r="AA129" s="33" t="n">
        <f aca="false">IF(Source_Data!AA$6=Inputs!$B$13,-Inputs!$B$7,0)+AA128</f>
        <v>0</v>
      </c>
      <c r="AB129" s="33" t="n">
        <f aca="false">IF(Source_Data!AB$6=Inputs!$B$13,-Inputs!$B$7,0)+AB128</f>
        <v>0</v>
      </c>
      <c r="AC129" s="33" t="n">
        <f aca="false">IF(Source_Data!AC$6=Inputs!$B$13,-Inputs!$B$7,0)+AC128</f>
        <v>0</v>
      </c>
      <c r="AD129" s="33" t="n">
        <f aca="false">IF(Source_Data!AD$6=Inputs!$B$13,-Inputs!$B$7,0)+AD128</f>
        <v>0</v>
      </c>
      <c r="AE129" s="33" t="n">
        <f aca="false">IF(Source_Data!AE$6=Inputs!$B$13,-Inputs!$B$7,0)+AE128</f>
        <v>0</v>
      </c>
      <c r="AF129" s="33" t="n">
        <f aca="false">IF(Source_Data!AF$6=Inputs!$B$13,-Inputs!$B$7,0)+AF128</f>
        <v>0</v>
      </c>
      <c r="AG129" s="33" t="n">
        <f aca="false">IF(Source_Data!AG$6=Inputs!$B$13,-Inputs!$B$7,0)+AG128</f>
        <v>0</v>
      </c>
      <c r="AH129" s="33" t="n">
        <f aca="false">IF(Source_Data!AH$6=Inputs!$B$13,-Inputs!$B$7,0)+AH128</f>
        <v>0</v>
      </c>
      <c r="AI129" s="33" t="n">
        <f aca="false">IF(Source_Data!AI$6=Inputs!$B$13,-Inputs!$B$7,0)+AI128</f>
        <v>0</v>
      </c>
      <c r="AJ129" s="33" t="n">
        <f aca="false">IF(Source_Data!AJ$6=Inputs!$B$13,-Inputs!$B$7,0)+AJ128</f>
        <v>0</v>
      </c>
      <c r="AK129" s="33" t="n">
        <f aca="false">IF(Source_Data!AK$6=Inputs!$B$13,-Inputs!$B$7,0)+AK128</f>
        <v>0</v>
      </c>
      <c r="AL129" s="33" t="n">
        <f aca="false">IF(Source_Data!AL$6=Inputs!$B$13,-Inputs!$B$7,0)+AL128</f>
        <v>0</v>
      </c>
      <c r="AM129" s="33" t="n">
        <f aca="false">IF(Source_Data!AM$6=Inputs!$B$13,-Inputs!$B$7,0)+AM128</f>
        <v>0</v>
      </c>
      <c r="AN129" s="33" t="n">
        <f aca="false">IF(Source_Data!AN$6=Inputs!$B$13,-Inputs!$B$7,0)+AN128</f>
        <v>0</v>
      </c>
      <c r="AO129" s="33" t="n">
        <f aca="false">IF(Source_Data!AO$6=Inputs!$B$13,-Inputs!$B$7,0)+AO128</f>
        <v>0</v>
      </c>
      <c r="AP129" s="33" t="n">
        <f aca="false">IF(Source_Data!AP$6=Inputs!$B$13,-Inputs!$B$7,0)+AP128</f>
        <v>0</v>
      </c>
      <c r="AQ129" s="33" t="n">
        <f aca="false">IF(Source_Data!AQ$6=Inputs!$B$13,-Inputs!$B$7,0)+AQ128</f>
        <v>0</v>
      </c>
      <c r="AR129" s="33" t="n">
        <f aca="false">IF(Source_Data!AR$6=Inputs!$B$13,-Inputs!$B$7,0)+AR128</f>
        <v>0</v>
      </c>
      <c r="AS129" s="33" t="n">
        <f aca="false">IF(Source_Data!AS$6=Inputs!$B$13,-Inputs!$B$7,0)+AS128</f>
        <v>0</v>
      </c>
      <c r="AT129" s="33" t="n">
        <f aca="false">IF(Source_Data!AT$6=Inputs!$B$13,-Inputs!$B$7,0)+AT128</f>
        <v>0</v>
      </c>
      <c r="AU129" s="33" t="n">
        <f aca="false">IF(Source_Data!AU$6=Inputs!$B$13,-Inputs!$B$7,0)+AU128</f>
        <v>0</v>
      </c>
      <c r="AV129" s="33" t="n">
        <f aca="false">IF(Source_Data!AV$6=Inputs!$B$13,-Inputs!$B$7,0)+AV128</f>
        <v>0</v>
      </c>
      <c r="AW129" s="33" t="n">
        <f aca="false">IF(Source_Data!AW$6=Inputs!$B$13,-Inputs!$B$7,0)+AW128</f>
        <v>0</v>
      </c>
      <c r="AX129" s="33" t="n">
        <f aca="false">IF(Source_Data!AX$6=Inputs!$B$13,-Inputs!$B$7,0)+AX128</f>
        <v>0</v>
      </c>
      <c r="AY129" s="33" t="n">
        <f aca="false">IF(Source_Data!AY$6=Inputs!$B$13,-Inputs!$B$7,0)+AY128</f>
        <v>0</v>
      </c>
      <c r="AZ129" s="33" t="n">
        <f aca="false">IF(Source_Data!AZ$6=Inputs!$B$13,-Inputs!$B$7,0)+AZ128</f>
        <v>0</v>
      </c>
      <c r="BA129" s="33" t="n">
        <f aca="false">IF(Source_Data!BA$6=Inputs!$B$13,-Inputs!$B$7,0)+BA128</f>
        <v>0</v>
      </c>
      <c r="BB129" s="33" t="n">
        <f aca="false">IF(Source_Data!BB$6=Inputs!$B$13,-Inputs!$B$7,0)+BB128</f>
        <v>0</v>
      </c>
      <c r="BC129" s="33" t="n">
        <f aca="false">IF(Source_Data!BC$6=Inputs!$B$13,-Inputs!$B$7,0)+BC128</f>
        <v>0</v>
      </c>
      <c r="BD129" s="33" t="n">
        <f aca="false">IF(Source_Data!BD$6=Inputs!$B$13,-Inputs!$B$7,0)+BD128</f>
        <v>0</v>
      </c>
      <c r="BE129" s="33" t="n">
        <f aca="false">IF(Source_Data!BE$6=Inputs!$B$13,-Inputs!$B$7,0)+BE128</f>
        <v>0</v>
      </c>
      <c r="BF129" s="33" t="n">
        <f aca="false">IF(Source_Data!BF$6=Inputs!$B$13,-Inputs!$B$7,0)+BF128</f>
        <v>0</v>
      </c>
      <c r="BG129" s="33" t="n">
        <f aca="false">IF(Source_Data!BG$6=Inputs!$B$13,-Inputs!$B$7,0)+BG128</f>
        <v>0</v>
      </c>
      <c r="BH129" s="33" t="n">
        <f aca="false">IF(Source_Data!BH$6=Inputs!$B$13,-Inputs!$B$7,0)+BH128</f>
        <v>0</v>
      </c>
      <c r="BI129" s="33" t="n">
        <f aca="false">IF(Source_Data!BI$6=Inputs!$B$13,-Inputs!$B$7,0)+BI128</f>
        <v>0</v>
      </c>
      <c r="BJ129" s="33" t="n">
        <f aca="false">IF(Source_Data!BJ$6=Inputs!$B$13,-Inputs!$B$7,0)+BJ128</f>
        <v>0</v>
      </c>
      <c r="BK129" s="33" t="n">
        <f aca="false">IF(Source_Data!BK$6=Inputs!$B$13,-Inputs!$B$7,0)+BK128</f>
        <v>0</v>
      </c>
    </row>
    <row r="130" customFormat="false" ht="15" hidden="false" customHeight="false" outlineLevel="0" collapsed="false">
      <c r="A130" s="3" t="s">
        <v>344</v>
      </c>
      <c r="D130" s="33" t="n">
        <f aca="false">IF(Source_Data!D$6=Inputs!$B$13,Inputs!$B$7,0)+D125-D128</f>
        <v>-16.25</v>
      </c>
      <c r="E130" s="33" t="n">
        <f aca="false">D130+IF(Source_Data!E$6=Inputs!$B$13,Inputs!$B$7,0)+E125-E128</f>
        <v>-27.5</v>
      </c>
      <c r="F130" s="33" t="n">
        <f aca="false">E130+IF(Source_Data!F$6=Inputs!$B$13,Inputs!$B$7,0)+F125-F128</f>
        <v>-23.6107625</v>
      </c>
      <c r="G130" s="33" t="n">
        <f aca="false">F130+IF(Source_Data!G$6=Inputs!$B$13,Inputs!$B$7,0)+G125-G128</f>
        <v>-4.5822875</v>
      </c>
      <c r="H130" s="33" t="n">
        <f aca="false">G130+IF(Source_Data!H$6=Inputs!$B$13,Inputs!$B$7,0)+H125-H128</f>
        <v>-5.87028125</v>
      </c>
      <c r="I130" s="33" t="n">
        <f aca="false">H130+IF(Source_Data!I$6=Inputs!$B$13,Inputs!$B$7,0)+I125-I128</f>
        <v>0.979256249999995</v>
      </c>
      <c r="J130" s="33" t="n">
        <f aca="false">I130+IF(Source_Data!J$6=Inputs!$B$13,Inputs!$B$7,0)+J125-J128</f>
        <v>-21.86643375</v>
      </c>
      <c r="K130" s="33" t="n">
        <f aca="false">J130+IF(Source_Data!K$6=Inputs!$B$13,Inputs!$B$7,0)+K125-K128</f>
        <v>-26.400264375</v>
      </c>
      <c r="L130" s="33" t="n">
        <f aca="false">K130+IF(Source_Data!L$6=Inputs!$B$13,Inputs!$B$7,0)+L125-L128</f>
        <v>-22.7386759375</v>
      </c>
      <c r="M130" s="33" t="n">
        <f aca="false">L130+IF(Source_Data!M$6=Inputs!$B$13,Inputs!$B$7,0)+M125-M128</f>
        <v>381.4729015625</v>
      </c>
      <c r="N130" s="33" t="n">
        <f aca="false">M130+IF(Source_Data!N$6=Inputs!$B$13,Inputs!$B$7,0)+N125-N128</f>
        <v>505.2574415625</v>
      </c>
      <c r="O130" s="33" t="n">
        <f aca="false">N130+IF(Source_Data!O$6=Inputs!$B$13,Inputs!$B$7,0)+O125-O128</f>
        <v>619.9982315625</v>
      </c>
      <c r="P130" s="33" t="n">
        <f aca="false">O130+IF(Source_Data!P$6=Inputs!$B$13,Inputs!$B$7,0)+P125-P128</f>
        <v>498.4359415625</v>
      </c>
      <c r="Q130" s="33" t="n">
        <f aca="false">P130+IF(Source_Data!Q$6=Inputs!$B$13,Inputs!$B$7,0)+Q125-Q128</f>
        <v>349.3101103125</v>
      </c>
      <c r="R130" s="33" t="n">
        <f aca="false">Q130+IF(Source_Data!R$6=Inputs!$B$13,Inputs!$B$7,0)+R125-R128</f>
        <v>144.5242790625</v>
      </c>
      <c r="S130" s="33" t="n">
        <f aca="false">R130+IF(Source_Data!S$6=Inputs!$B$13,Inputs!$B$7,0)+S125-S128</f>
        <v>-1.47488531250002</v>
      </c>
      <c r="T130" s="33" t="n">
        <f aca="false">S130+IF(Source_Data!T$6=Inputs!$B$13,Inputs!$B$7,0)+T125-T128</f>
        <v>0.376754374999976</v>
      </c>
      <c r="U130" s="33" t="n">
        <f aca="false">T130+IF(Source_Data!U$6=Inputs!$B$13,Inputs!$B$7,0)+U125-U128</f>
        <v>0.714470312499977</v>
      </c>
      <c r="V130" s="33" t="n">
        <f aca="false">U130+IF(Source_Data!V$6=Inputs!$B$13,Inputs!$B$7,0)+V125-V128</f>
        <v>-4.93658500000002</v>
      </c>
      <c r="W130" s="33" t="n">
        <f aca="false">V130+IF(Source_Data!W$6=Inputs!$B$13,Inputs!$B$7,0)+W125-W128</f>
        <v>-14.9286403125</v>
      </c>
      <c r="X130" s="33" t="n">
        <f aca="false">W130+IF(Source_Data!X$6=Inputs!$B$13,Inputs!$B$7,0)+X125-X128</f>
        <v>-2.42069562500002</v>
      </c>
      <c r="Y130" s="33" t="n">
        <f aca="false">X130+IF(Source_Data!Y$6=Inputs!$B$13,Inputs!$B$7,0)+Y125-Y128</f>
        <v>17.1820303125</v>
      </c>
      <c r="Z130" s="33" t="n">
        <f aca="false">Y130+IF(Source_Data!Z$6=Inputs!$B$13,Inputs!$B$7,0)+Z125-Z128</f>
        <v>36.78475625</v>
      </c>
      <c r="AA130" s="33" t="n">
        <f aca="false">Z130+IF(Source_Data!AA$6=Inputs!$B$13,Inputs!$B$7,0)+AA125-AA128</f>
        <v>56.3874821875</v>
      </c>
      <c r="AB130" s="33" t="n">
        <f aca="false">AA130+IF(Source_Data!AB$6=Inputs!$B$13,Inputs!$B$7,0)+AB125-AB128</f>
        <v>92.702208125</v>
      </c>
      <c r="AC130" s="33" t="n">
        <f aca="false">AB130+IF(Source_Data!AC$6=Inputs!$B$13,Inputs!$B$7,0)+AC125-AC128</f>
        <v>125.740835625</v>
      </c>
      <c r="AD130" s="33" t="n">
        <f aca="false">AC130+IF(Source_Data!AD$6=Inputs!$B$13,Inputs!$B$7,0)+AD125-AD128</f>
        <v>155.171006875</v>
      </c>
      <c r="AE130" s="33" t="n">
        <f aca="false">AD130+IF(Source_Data!AE$6=Inputs!$B$13,Inputs!$B$7,0)+AE125-AE128</f>
        <v>180.260178125</v>
      </c>
      <c r="AF130" s="33" t="n">
        <f aca="false">AE130+IF(Source_Data!AF$6=Inputs!$B$13,Inputs!$B$7,0)+AF125-AF128</f>
        <v>97.5911390234374</v>
      </c>
      <c r="AG130" s="33" t="n">
        <f aca="false">AF130+IF(Source_Data!AG$6=Inputs!$B$13,Inputs!$B$7,0)+AG125-AG128</f>
        <v>111.703797851562</v>
      </c>
      <c r="AH130" s="33" t="n">
        <f aca="false">AG130+IF(Source_Data!AH$6=Inputs!$B$13,Inputs!$B$7,0)+AH125-AH128</f>
        <v>125.816456679687</v>
      </c>
      <c r="AI130" s="33" t="n">
        <f aca="false">AH130+IF(Source_Data!AI$6=Inputs!$B$13,Inputs!$B$7,0)+AI125-AI128</f>
        <v>139.929115507812</v>
      </c>
      <c r="AJ130" s="33" t="n">
        <f aca="false">AI130+IF(Source_Data!AJ$6=Inputs!$B$13,Inputs!$B$7,0)+AJ125-AJ128</f>
        <v>154.041774335937</v>
      </c>
      <c r="AK130" s="33" t="n">
        <f aca="false">AJ130+IF(Source_Data!AK$6=Inputs!$B$13,Inputs!$B$7,0)+AK125-AK128</f>
        <v>166.92589625</v>
      </c>
      <c r="AL130" s="33" t="n">
        <f aca="false">AK130+IF(Source_Data!AL$6=Inputs!$B$13,Inputs!$B$7,0)+AL125-AL128</f>
        <v>179.810018164062</v>
      </c>
      <c r="AM130" s="33" t="n">
        <f aca="false">AL130+IF(Source_Data!AM$6=Inputs!$B$13,Inputs!$B$7,0)+AM125-AM128</f>
        <v>190.3510175</v>
      </c>
      <c r="AN130" s="33" t="n">
        <f aca="false">AM130+IF(Source_Data!AN$6=Inputs!$B$13,Inputs!$B$7,0)+AN125-AN128</f>
        <v>195.76573671875</v>
      </c>
      <c r="AO130" s="33" t="n">
        <f aca="false">AN130+IF(Source_Data!AO$6=Inputs!$B$13,Inputs!$B$7,0)+AO125-AO128</f>
        <v>197.7741275</v>
      </c>
      <c r="AP130" s="33" t="n">
        <f aca="false">AO130+IF(Source_Data!AP$6=Inputs!$B$13,Inputs!$B$7,0)+AP125-AP128</f>
        <v>197.7741275</v>
      </c>
      <c r="AQ130" s="33" t="n">
        <f aca="false">AP130+IF(Source_Data!AQ$6=Inputs!$B$13,Inputs!$B$7,0)+AQ125-AQ128</f>
        <v>197.7741275</v>
      </c>
      <c r="AR130" s="33" t="n">
        <f aca="false">AQ130+IF(Source_Data!AR$6=Inputs!$B$13,Inputs!$B$7,0)+AR125-AR128</f>
        <v>197.7741275</v>
      </c>
      <c r="AS130" s="33" t="n">
        <f aca="false">AR130+IF(Source_Data!AS$6=Inputs!$B$13,Inputs!$B$7,0)+AS125-AS128</f>
        <v>197.7741275</v>
      </c>
      <c r="AT130" s="33" t="n">
        <f aca="false">AS130+IF(Source_Data!AT$6=Inputs!$B$13,Inputs!$B$7,0)+AT125-AT128</f>
        <v>197.7741275</v>
      </c>
      <c r="AU130" s="33" t="n">
        <f aca="false">AT130+IF(Source_Data!AU$6=Inputs!$B$13,Inputs!$B$7,0)+AU125-AU128</f>
        <v>197.7741275</v>
      </c>
      <c r="AV130" s="33" t="n">
        <f aca="false">AU130+IF(Source_Data!AV$6=Inputs!$B$13,Inputs!$B$7,0)+AV125-AV128</f>
        <v>197.7741275</v>
      </c>
      <c r="AW130" s="33" t="n">
        <f aca="false">AV130+IF(Source_Data!AW$6=Inputs!$B$13,Inputs!$B$7,0)+AW125-AW128</f>
        <v>197.7741275</v>
      </c>
      <c r="AX130" s="33" t="n">
        <f aca="false">AW130+IF(Source_Data!AX$6=Inputs!$B$13,Inputs!$B$7,0)+AX125-AX128</f>
        <v>197.7741275</v>
      </c>
      <c r="AY130" s="33" t="n">
        <f aca="false">AX130+IF(Source_Data!AY$6=Inputs!$B$13,Inputs!$B$7,0)+AY125-AY128</f>
        <v>197.7741275</v>
      </c>
      <c r="AZ130" s="33" t="n">
        <f aca="false">AY130+IF(Source_Data!AZ$6=Inputs!$B$13,Inputs!$B$7,0)+AZ125-AZ128</f>
        <v>197.7741275</v>
      </c>
      <c r="BA130" s="33" t="n">
        <f aca="false">AZ130+IF(Source_Data!BA$6=Inputs!$B$13,Inputs!$B$7,0)+BA125-BA128</f>
        <v>197.7741275</v>
      </c>
      <c r="BB130" s="33" t="n">
        <f aca="false">BA130+IF(Source_Data!BB$6=Inputs!$B$13,Inputs!$B$7,0)+BB125-BB128</f>
        <v>197.7741275</v>
      </c>
      <c r="BC130" s="33" t="n">
        <f aca="false">BB130+IF(Source_Data!BC$6=Inputs!$B$13,Inputs!$B$7,0)+BC125-BC128</f>
        <v>197.7741275</v>
      </c>
      <c r="BD130" s="33" t="n">
        <f aca="false">BC130+IF(Source_Data!BD$6=Inputs!$B$13,Inputs!$B$7,0)+BD125-BD128</f>
        <v>197.7741275</v>
      </c>
      <c r="BE130" s="33" t="n">
        <f aca="false">BD130+IF(Source_Data!BE$6=Inputs!$B$13,Inputs!$B$7,0)+BE125-BE128</f>
        <v>197.7741275</v>
      </c>
      <c r="BF130" s="33" t="n">
        <f aca="false">BE130+IF(Source_Data!BF$6=Inputs!$B$13,Inputs!$B$7,0)+BF125-BF128</f>
        <v>197.7741275</v>
      </c>
      <c r="BG130" s="33" t="n">
        <f aca="false">BF130+IF(Source_Data!BG$6=Inputs!$B$13,Inputs!$B$7,0)+BG125-BG128</f>
        <v>197.7741275</v>
      </c>
      <c r="BH130" s="33" t="n">
        <f aca="false">BG130+IF(Source_Data!BH$6=Inputs!$B$13,Inputs!$B$7,0)+BH125-BH128</f>
        <v>197.7741275</v>
      </c>
      <c r="BI130" s="33" t="n">
        <f aca="false">BH130+IF(Source_Data!BI$6=Inputs!$B$13,Inputs!$B$7,0)+BI125-BI128</f>
        <v>197.7741275</v>
      </c>
      <c r="BJ130" s="33" t="n">
        <f aca="false">BI130+IF(Source_Data!BJ$6=Inputs!$B$13,Inputs!$B$7,0)+BJ125-BJ128</f>
        <v>197.7741275</v>
      </c>
      <c r="BK130" s="33" t="n">
        <f aca="false">BJ130+IF(Source_Data!BK$6=Inputs!$B$13,Inputs!$B$7,0)+BK125-BK128</f>
        <v>197.7741275</v>
      </c>
    </row>
    <row r="131" customFormat="false" ht="15" hidden="false" customHeight="false" outlineLevel="0" collapsed="false">
      <c r="A131" s="3" t="s">
        <v>345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29.1190662608696</v>
      </c>
      <c r="N131" s="31" t="n">
        <f aca="false">IF(N128&gt;0,N125/N128,"")</f>
        <v>9.61109843478261</v>
      </c>
      <c r="O131" s="31" t="n">
        <f aca="false">IF(O128&gt;0,O125/O128,"")</f>
        <v>8.981968</v>
      </c>
      <c r="P131" s="31" t="n">
        <f aca="false">IF(P128&gt;0,P125/P128,"")</f>
        <v>-7.45650713043478</v>
      </c>
      <c r="Q131" s="31" t="n">
        <f aca="false">IF(Q128&gt;0,Q125/Q128,"")</f>
        <v>-9.37397086956522</v>
      </c>
      <c r="R131" s="31" t="n">
        <f aca="false">IF(R128&gt;0,R125/R128,"")</f>
        <v>-13.2459708695652</v>
      </c>
      <c r="S131" s="31" t="n">
        <f aca="false">IF(S128&gt;0,S125/S128,"")</f>
        <v>-9.15646360869565</v>
      </c>
      <c r="T131" s="31" t="n">
        <f aca="false">IF(T128&gt;0,T125/T128,"")</f>
        <v>1.1288097173913</v>
      </c>
      <c r="U131" s="31" t="n">
        <f aca="false">IF(U128&gt;0,U125/U128,"")</f>
        <v>1.0234932826087</v>
      </c>
      <c r="V131" s="31" t="n">
        <f aca="false">IF(V128&gt;0,V125/V128,"")</f>
        <v>0.606883108695652</v>
      </c>
      <c r="W131" s="31" t="n">
        <f aca="false">IF(W128&gt;0,W125/W128,"")</f>
        <v>0.3049005</v>
      </c>
      <c r="X131" s="31" t="n">
        <f aca="false">IF(X128&gt;0,X125/X128,"")</f>
        <v>1.87011789130435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346</v>
      </c>
      <c r="D132" s="31" t="str">
        <f aca="false">IF(D128&gt;0,(0+D125+IF(Source_Data!D$6=Inputs!$B$13,Inputs!$B$7,0))/D128,"")</f>
        <v/>
      </c>
      <c r="E132" s="31" t="str">
        <f aca="false">IF(E128&gt;0,(D130+E125+IF(Source_Data!E$6=Inputs!$B$13,Inputs!$B$7,0))/E128,"")</f>
        <v/>
      </c>
      <c r="F132" s="31" t="str">
        <f aca="false">IF(F128&gt;0,(E130+F125+IF(Source_Data!F$6=Inputs!$B$13,Inputs!$B$7,0))/F128,"")</f>
        <v/>
      </c>
      <c r="G132" s="31" t="str">
        <f aca="false">IF(G128&gt;0,(F130+G125+IF(Source_Data!G$6=Inputs!$B$13,Inputs!$B$7,0))/G128,"")</f>
        <v/>
      </c>
      <c r="H132" s="31" t="str">
        <f aca="false">IF(H128&gt;0,(G130+H125+IF(Source_Data!H$6=Inputs!$B$13,Inputs!$B$7,0))/H128,"")</f>
        <v/>
      </c>
      <c r="I132" s="31" t="str">
        <f aca="false">IF(I128&gt;0,(H130+I125+IF(Source_Data!I$6=Inputs!$B$13,Inputs!$B$7,0))/I128,"")</f>
        <v/>
      </c>
      <c r="J132" s="31" t="str">
        <f aca="false">IF(J128&gt;0,(I130+J125+IF(Source_Data!J$6=Inputs!$B$13,Inputs!$B$7,0))/J128,"")</f>
        <v/>
      </c>
      <c r="K132" s="31" t="str">
        <f aca="false">IF(K128&gt;0,(J130+K125+IF(Source_Data!K$6=Inputs!$B$13,Inputs!$B$7,0))/K128,"")</f>
        <v/>
      </c>
      <c r="L132" s="31" t="str">
        <f aca="false">IF(L128&gt;0,(K130+L125+IF(Source_Data!L$6=Inputs!$B$13,Inputs!$B$7,0))/L128,"")</f>
        <v/>
      </c>
      <c r="M132" s="31" t="n">
        <f aca="false">IF(M128&gt;0,(L130+M125+IF(Source_Data!M$6=Inputs!$B$13,Inputs!$B$7,0))/M128,"")</f>
        <v>27.537245326087</v>
      </c>
      <c r="N132" s="31" t="n">
        <f aca="false">IF(N128&gt;0,(M130+N125+IF(Source_Data!N$6=Inputs!$B$13,Inputs!$B$7,0))/N128,"")</f>
        <v>36.1483437608696</v>
      </c>
      <c r="O132" s="31" t="n">
        <f aca="false">IF(O128&gt;0,(N130+O125+IF(Source_Data!O$6=Inputs!$B$13,Inputs!$B$7,0))/O128,"")</f>
        <v>44.1303117608696</v>
      </c>
      <c r="P132" s="31" t="n">
        <f aca="false">IF(P128&gt;0,(O130+P125+IF(Source_Data!P$6=Inputs!$B$13,Inputs!$B$7,0))/P128,"")</f>
        <v>35.6738046304348</v>
      </c>
      <c r="Q132" s="31" t="n">
        <f aca="false">IF(Q128&gt;0,(P130+Q125+IF(Source_Data!Q$6=Inputs!$B$13,Inputs!$B$7,0))/Q128,"")</f>
        <v>25.2998337608696</v>
      </c>
      <c r="R132" s="31" t="n">
        <f aca="false">IF(R128&gt;0,(Q130+R125+IF(Source_Data!R$6=Inputs!$B$13,Inputs!$B$7,0))/R128,"")</f>
        <v>11.0538628913043</v>
      </c>
      <c r="S132" s="31" t="n">
        <f aca="false">IF(S128&gt;0,(R130+S125+IF(Source_Data!S$6=Inputs!$B$13,Inputs!$B$7,0))/S128,"")</f>
        <v>0.897399282608694</v>
      </c>
      <c r="T132" s="31" t="n">
        <f aca="false">IF(T128&gt;0,(S130+T125+IF(Source_Data!T$6=Inputs!$B$13,Inputs!$B$7,0))/T128,"")</f>
        <v>1.026209</v>
      </c>
      <c r="U132" s="31" t="n">
        <f aca="false">IF(U128&gt;0,(T130+U125+IF(Source_Data!U$6=Inputs!$B$13,Inputs!$B$7,0))/U128,"")</f>
        <v>1.04970228260869</v>
      </c>
      <c r="V132" s="31" t="n">
        <f aca="false">IF(V128&gt;0,(U130+V125+IF(Source_Data!V$6=Inputs!$B$13,Inputs!$B$7,0))/V128,"")</f>
        <v>0.656585391304346</v>
      </c>
      <c r="W132" s="31" t="n">
        <f aca="false">IF(W128&gt;0,(V130+W125+IF(Source_Data!W$6=Inputs!$B$13,Inputs!$B$7,0))/W128,"")</f>
        <v>-0.0385141086956537</v>
      </c>
      <c r="X132" s="31" t="n">
        <f aca="false">IF(X128&gt;0,(W130+X125+IF(Source_Data!X$6=Inputs!$B$13,Inputs!$B$7,0))/X128,"")</f>
        <v>0.831603782608694</v>
      </c>
      <c r="Y132" s="31" t="str">
        <f aca="false">IF(Y128&gt;0,(X130+Y125+IF(Source_Data!Y$6=Inputs!$B$13,Inputs!$B$7,0))/Y128,"")</f>
        <v/>
      </c>
      <c r="Z132" s="31" t="str">
        <f aca="false">IF(Z128&gt;0,(Y130+Z125+IF(Source_Data!Z$6=Inputs!$B$13,Inputs!$B$7,0))/Z128,"")</f>
        <v/>
      </c>
      <c r="AA132" s="31" t="str">
        <f aca="false">IF(AA128&gt;0,(Z130+AA125+IF(Source_Data!AA$6=Inputs!$B$13,Inputs!$B$7,0))/AA128,"")</f>
        <v/>
      </c>
      <c r="AB132" s="31" t="str">
        <f aca="false">IF(AB128&gt;0,(AA130+AB125+IF(Source_Data!AB$6=Inputs!$B$13,Inputs!$B$7,0))/AB128,"")</f>
        <v/>
      </c>
      <c r="AC132" s="31" t="str">
        <f aca="false">IF(AC128&gt;0,(AB130+AC125+IF(Source_Data!AC$6=Inputs!$B$13,Inputs!$B$7,0))/AC128,"")</f>
        <v/>
      </c>
      <c r="AD132" s="31" t="str">
        <f aca="false">IF(AD128&gt;0,(AC130+AD125+IF(Source_Data!AD$6=Inputs!$B$13,Inputs!$B$7,0))/AD128,"")</f>
        <v/>
      </c>
      <c r="AE132" s="31" t="str">
        <f aca="false">IF(AE128&gt;0,(AD130+AE125+IF(Source_Data!AE$6=Inputs!$B$13,Inputs!$B$7,0))/AE128,"")</f>
        <v/>
      </c>
      <c r="AF132" s="31" t="str">
        <f aca="false">IF(AF128&gt;0,(AE130+AF125+IF(Source_Data!AF$6=Inputs!$B$13,Inputs!$B$7,0))/AF128,"")</f>
        <v/>
      </c>
      <c r="AG132" s="31" t="str">
        <f aca="false">IF(AG128&gt;0,(AF130+AG125+IF(Source_Data!AG$6=Inputs!$B$13,Inputs!$B$7,0))/AG128,"")</f>
        <v/>
      </c>
      <c r="AH132" s="31" t="str">
        <f aca="false">IF(AH128&gt;0,(AG130+AH125+IF(Source_Data!AH$6=Inputs!$B$13,Inputs!$B$7,0))/AH128,"")</f>
        <v/>
      </c>
      <c r="AI132" s="31" t="str">
        <f aca="false">IF(AI128&gt;0,(AH130+AI125+IF(Source_Data!AI$6=Inputs!$B$13,Inputs!$B$7,0))/AI128,"")</f>
        <v/>
      </c>
      <c r="AJ132" s="31" t="str">
        <f aca="false">IF(AJ128&gt;0,(AI130+AJ125+IF(Source_Data!AJ$6=Inputs!$B$13,Inputs!$B$7,0))/AJ128,"")</f>
        <v/>
      </c>
      <c r="AK132" s="31" t="str">
        <f aca="false">IF(AK128&gt;0,(AJ130+AK125+IF(Source_Data!AK$6=Inputs!$B$13,Inputs!$B$7,0))/AK128,"")</f>
        <v/>
      </c>
      <c r="AL132" s="31" t="str">
        <f aca="false">IF(AL128&gt;0,(AK130+AL125+IF(Source_Data!AL$6=Inputs!$B$13,Inputs!$B$7,0))/AL128,"")</f>
        <v/>
      </c>
      <c r="AM132" s="31" t="str">
        <f aca="false">IF(AM128&gt;0,(AL130+AM125+IF(Source_Data!AM$6=Inputs!$B$13,Inputs!$B$7,0))/AM128,"")</f>
        <v/>
      </c>
      <c r="AN132" s="31" t="str">
        <f aca="false">IF(AN128&gt;0,(AM130+AN125+IF(Source_Data!AN$6=Inputs!$B$13,Inputs!$B$7,0))/AN128,"")</f>
        <v/>
      </c>
      <c r="AO132" s="31" t="str">
        <f aca="false">IF(AO128&gt;0,(AN130+AO125+IF(Source_Data!AO$6=Inputs!$B$13,Inputs!$B$7,0))/AO128,"")</f>
        <v/>
      </c>
      <c r="AP132" s="31" t="str">
        <f aca="false">IF(AP128&gt;0,(AO130+AP125+IF(Source_Data!AP$6=Inputs!$B$13,Inputs!$B$7,0))/AP128,"")</f>
        <v/>
      </c>
      <c r="AQ132" s="31" t="str">
        <f aca="false">IF(AQ128&gt;0,(AP130+AQ125+IF(Source_Data!AQ$6=Inputs!$B$13,Inputs!$B$7,0))/AQ128,"")</f>
        <v/>
      </c>
      <c r="AR132" s="31" t="str">
        <f aca="false">IF(AR128&gt;0,(AQ130+AR125+IF(Source_Data!AR$6=Inputs!$B$13,Inputs!$B$7,0))/AR128,"")</f>
        <v/>
      </c>
      <c r="AS132" s="31" t="str">
        <f aca="false">IF(AS128&gt;0,(AR130+AS125+IF(Source_Data!AS$6=Inputs!$B$13,Inputs!$B$7,0))/AS128,"")</f>
        <v/>
      </c>
      <c r="AT132" s="31" t="str">
        <f aca="false">IF(AT128&gt;0,(AS130+AT125+IF(Source_Data!AT$6=Inputs!$B$13,Inputs!$B$7,0))/AT128,"")</f>
        <v/>
      </c>
      <c r="AU132" s="31" t="str">
        <f aca="false">IF(AU128&gt;0,(AT130+AU125+IF(Source_Data!AU$6=Inputs!$B$13,Inputs!$B$7,0))/AU128,"")</f>
        <v/>
      </c>
      <c r="AV132" s="31" t="str">
        <f aca="false">IF(AV128&gt;0,(AU130+AV125+IF(Source_Data!AV$6=Inputs!$B$13,Inputs!$B$7,0))/AV128,"")</f>
        <v/>
      </c>
      <c r="AW132" s="31" t="str">
        <f aca="false">IF(AW128&gt;0,(AV130+AW125+IF(Source_Data!AW$6=Inputs!$B$13,Inputs!$B$7,0))/AW128,"")</f>
        <v/>
      </c>
      <c r="AX132" s="31" t="str">
        <f aca="false">IF(AX128&gt;0,(AW130+AX125+IF(Source_Data!AX$6=Inputs!$B$13,Inputs!$B$7,0))/AX128,"")</f>
        <v/>
      </c>
      <c r="AY132" s="31" t="str">
        <f aca="false">IF(AY128&gt;0,(AX130+AY125+IF(Source_Data!AY$6=Inputs!$B$13,Inputs!$B$7,0))/AY128,"")</f>
        <v/>
      </c>
      <c r="AZ132" s="31" t="str">
        <f aca="false">IF(AZ128&gt;0,(AY130+AZ125+IF(Source_Data!AZ$6=Inputs!$B$13,Inputs!$B$7,0))/AZ128,"")</f>
        <v/>
      </c>
      <c r="BA132" s="31" t="str">
        <f aca="false">IF(BA128&gt;0,(AZ130+BA125+IF(Source_Data!BA$6=Inputs!$B$13,Inputs!$B$7,0))/BA128,"")</f>
        <v/>
      </c>
      <c r="BB132" s="31" t="str">
        <f aca="false">IF(BB128&gt;0,(BA130+BB125+IF(Source_Data!BB$6=Inputs!$B$13,Inputs!$B$7,0))/BB128,"")</f>
        <v/>
      </c>
      <c r="BC132" s="31" t="str">
        <f aca="false">IF(BC128&gt;0,(BB130+BC125+IF(Source_Data!BC$6=Inputs!$B$13,Inputs!$B$7,0))/BC128,"")</f>
        <v/>
      </c>
      <c r="BD132" s="31" t="str">
        <f aca="false">IF(BD128&gt;0,(BC130+BD125+IF(Source_Data!BD$6=Inputs!$B$13,Inputs!$B$7,0))/BD128,"")</f>
        <v/>
      </c>
      <c r="BE132" s="31" t="str">
        <f aca="false">IF(BE128&gt;0,(BD130+BE125+IF(Source_Data!BE$6=Inputs!$B$13,Inputs!$B$7,0))/BE128,"")</f>
        <v/>
      </c>
      <c r="BF132" s="31" t="str">
        <f aca="false">IF(BF128&gt;0,(BE130+BF125+IF(Source_Data!BF$6=Inputs!$B$13,Inputs!$B$7,0))/BF128,"")</f>
        <v/>
      </c>
      <c r="BG132" s="31" t="str">
        <f aca="false">IF(BG128&gt;0,(BF130+BG125+IF(Source_Data!BG$6=Inputs!$B$13,Inputs!$B$7,0))/BG128,"")</f>
        <v/>
      </c>
      <c r="BH132" s="31" t="str">
        <f aca="false">IF(BH128&gt;0,(BG130+BH125+IF(Source_Data!BH$6=Inputs!$B$13,Inputs!$B$7,0))/BH128,"")</f>
        <v/>
      </c>
      <c r="BI132" s="31" t="str">
        <f aca="false">IF(BI128&gt;0,(BH130+BI125+IF(Source_Data!BI$6=Inputs!$B$13,Inputs!$B$7,0))/BI128,"")</f>
        <v/>
      </c>
      <c r="BJ132" s="31" t="str">
        <f aca="false">IF(BJ128&gt;0,(BI130+BJ125+IF(Source_Data!BJ$6=Inputs!$B$13,Inputs!$B$7,0))/BJ128,"")</f>
        <v/>
      </c>
      <c r="BK132" s="31" t="str">
        <f aca="false">IF(BK128&gt;0,(BJ130+BK125+IF(Source_Data!BK$6=Inputs!$B$13,Inputs!$B$7,0))/BK128,"")</f>
        <v/>
      </c>
    </row>
    <row r="134" customFormat="false" ht="15" hidden="false" customHeight="false" outlineLevel="0" collapsed="false">
      <c r="A134" s="2" t="s">
        <v>222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347</v>
      </c>
      <c r="B135" s="41" t="n">
        <f aca="false">SUMPRODUCT(D125:BK125,Project_CF!$D$15:$BK$15)</f>
        <v>173.337754030729</v>
      </c>
    </row>
    <row r="136" customFormat="false" ht="15" hidden="false" customHeight="false" outlineLevel="0" collapsed="false">
      <c r="A136" s="2" t="s">
        <v>164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348</v>
      </c>
      <c r="B137" s="35" t="n">
        <f aca="false">INDEX(Project_CF!$D$6:$BK$6,MATCH(MIN(D126:BK126),D126:BK126,0))</f>
        <v>0</v>
      </c>
    </row>
    <row r="138" customFormat="false" ht="15" hidden="false" customHeight="false" outlineLevel="0" collapsed="false">
      <c r="A138" s="2" t="s">
        <v>349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350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351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352</v>
      </c>
      <c r="B141" s="41" t="n">
        <f aca="false">MIN(D130:BK130)</f>
        <v>-27.5</v>
      </c>
    </row>
    <row r="142" customFormat="false" ht="15" hidden="false" customHeight="false" outlineLevel="0" collapsed="false">
      <c r="A142" s="2" t="s">
        <v>353</v>
      </c>
      <c r="B142" s="43" t="n">
        <f aca="false">MIN(D131:BK131)</f>
        <v>-13.2459708695652</v>
      </c>
    </row>
    <row r="143" customFormat="false" ht="15" hidden="false" customHeight="false" outlineLevel="0" collapsed="false">
      <c r="A143" s="2" t="s">
        <v>354</v>
      </c>
      <c r="B143" s="35" t="n">
        <f aca="false">COUNTIF(D131:BK131,"&lt;"&amp;Inputs!$B$44)</f>
        <v>8</v>
      </c>
    </row>
    <row r="144" customFormat="false" ht="15" hidden="false" customHeight="false" outlineLevel="0" collapsed="false">
      <c r="A144" s="2" t="s">
        <v>355</v>
      </c>
      <c r="B144" s="43" t="n">
        <f aca="false">MIN(D132:BK132)</f>
        <v>-0.0385141086956537</v>
      </c>
    </row>
    <row r="145" customFormat="false" ht="15" hidden="false" customHeight="false" outlineLevel="0" collapsed="false">
      <c r="A145" s="2" t="s">
        <v>356</v>
      </c>
      <c r="B145" s="35" t="n">
        <f aca="false">COUNTIF(D132:BK132,"&lt;"&amp;Inputs!$B$44)</f>
        <v>6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333</v>
      </c>
      <c r="B149" s="45" t="n">
        <v>1</v>
      </c>
    </row>
    <row r="150" customFormat="false" ht="15" hidden="false" customHeight="false" outlineLevel="0" collapsed="false">
      <c r="A150" s="3" t="s">
        <v>334</v>
      </c>
      <c r="B150" s="45" t="n">
        <v>0</v>
      </c>
    </row>
    <row r="151" customFormat="false" ht="15" hidden="false" customHeight="false" outlineLevel="0" collapsed="false">
      <c r="A151" s="3" t="s">
        <v>335</v>
      </c>
      <c r="B151" s="45" t="n">
        <v>1</v>
      </c>
    </row>
    <row r="152" customFormat="false" ht="15" hidden="false" customHeight="false" outlineLevel="0" collapsed="false">
      <c r="A152" s="3" t="s">
        <v>336</v>
      </c>
      <c r="B152" s="45" t="n">
        <v>2</v>
      </c>
    </row>
    <row r="153" customFormat="false" ht="15" hidden="false" customHeight="false" outlineLevel="0" collapsed="false">
      <c r="A153" s="3" t="s">
        <v>337</v>
      </c>
      <c r="B153" s="45" t="n">
        <v>0</v>
      </c>
    </row>
    <row r="154" customFormat="false" ht="15" hidden="false" customHeight="false" outlineLevel="0" collapsed="false">
      <c r="A154" s="3" t="s">
        <v>338</v>
      </c>
      <c r="B154" s="3" t="n">
        <f aca="false">Inputs!$B$14+3+3*$B$150</f>
        <v>45</v>
      </c>
    </row>
    <row r="155" customFormat="false" ht="15" hidden="false" customHeight="false" outlineLevel="0" collapsed="false">
      <c r="A155" s="3" t="s">
        <v>339</v>
      </c>
      <c r="D155" s="33" t="n">
        <f aca="false">Source_Data!D$7+IF($B$153=1,IF(Source_Data!D$6=Inputs!$B$14,Source_Data!$C$8,0),Source_Data!D$8)</f>
        <v>0</v>
      </c>
      <c r="E155" s="33" t="n">
        <f aca="false">Source_Data!E$7+IF($B$153=1,IF(Source_Data!E$6=Inputs!$B$14,Source_Data!$C$8,0),Source_Data!E$8)</f>
        <v>0</v>
      </c>
      <c r="F155" s="33" t="n">
        <f aca="false">Source_Data!F$7+IF($B$153=1,IF(Source_Data!F$6=Inputs!$B$14,Source_Data!$C$8,0),Source_Data!F$8)</f>
        <v>15.1392375</v>
      </c>
      <c r="G155" s="33" t="n">
        <f aca="false">Source_Data!G$7+IF($B$153=1,IF(Source_Data!G$6=Inputs!$B$14,Source_Data!$C$8,0),Source_Data!G$8)</f>
        <v>30.278475</v>
      </c>
      <c r="H155" s="33" t="n">
        <f aca="false">Source_Data!H$7+IF($B$153=1,IF(Source_Data!H$6=Inputs!$B$14,Source_Data!$C$8,0),Source_Data!H$8)</f>
        <v>46.51200625</v>
      </c>
      <c r="I155" s="33" t="n">
        <f aca="false">Source_Data!I$7+IF($B$153=1,IF(Source_Data!I$6=Inputs!$B$14,Source_Data!$C$8,0),Source_Data!I$8)</f>
        <v>62.7455375</v>
      </c>
      <c r="J155" s="33" t="n">
        <f aca="false">Source_Data!J$7+IF($B$153=1,IF(Source_Data!J$6=Inputs!$B$14,Source_Data!$C$8,0),Source_Data!J$8)</f>
        <v>62.3657</v>
      </c>
      <c r="K155" s="33" t="n">
        <f aca="false">Source_Data!K$7+IF($B$153=1,IF(Source_Data!K$6=Inputs!$B$14,Source_Data!$C$8,0),Source_Data!K$8)</f>
        <v>63.473559375</v>
      </c>
      <c r="L155" s="33" t="n">
        <f aca="false">Source_Data!L$7+IF($B$153=1,IF(Source_Data!L$6=Inputs!$B$14,Source_Data!$C$8,0),Source_Data!L$8)</f>
        <v>80.3288484375</v>
      </c>
      <c r="M155" s="33" t="n">
        <f aca="false">Source_Data!M$7+IF($B$153=1,IF(Source_Data!M$6=Inputs!$B$14,Source_Data!$C$8,0),Source_Data!M$8)</f>
        <v>495.2538375</v>
      </c>
      <c r="N155" s="33" t="n">
        <f aca="false">Source_Data!N$7+IF($B$153=1,IF(Source_Data!N$6=Inputs!$B$14,Source_Data!$C$8,0),Source_Data!N$8)</f>
        <v>185.57775</v>
      </c>
      <c r="O155" s="33" t="n">
        <f aca="false">Source_Data!O$7+IF($B$153=1,IF(Source_Data!O$6=Inputs!$B$14,Source_Data!$C$8,0),Source_Data!O$8)</f>
        <v>176.534</v>
      </c>
      <c r="P155" s="33" t="n">
        <f aca="false">Source_Data!P$7+IF($B$153=1,IF(Source_Data!P$6=Inputs!$B$14,Source_Data!$C$8,0),Source_Data!P$8)</f>
        <v>97.31075</v>
      </c>
      <c r="Q155" s="33" t="n">
        <f aca="false">Source_Data!Q$7+IF($B$153=1,IF(Source_Data!Q$6=Inputs!$B$14,Source_Data!$C$8,0),Source_Data!Q$8)</f>
        <v>71.30996875</v>
      </c>
      <c r="R155" s="33" t="n">
        <f aca="false">Source_Data!R$7+IF($B$153=1,IF(Source_Data!R$6=Inputs!$B$14,Source_Data!$C$8,0),Source_Data!R$8)</f>
        <v>71.30996875</v>
      </c>
      <c r="S155" s="33" t="n">
        <f aca="false">Source_Data!S$7+IF($B$153=1,IF(Source_Data!S$6=Inputs!$B$14,Source_Data!$C$8,0),Source_Data!S$8)</f>
        <v>68.037035625</v>
      </c>
      <c r="T155" s="33" t="n">
        <f aca="false">Source_Data!T$7+IF($B$153=1,IF(Source_Data!T$6=Inputs!$B$14,Source_Data!$C$8,0),Source_Data!T$8)</f>
        <v>61.2266396875</v>
      </c>
      <c r="U155" s="33" t="n">
        <f aca="false">Source_Data!U$7+IF($B$153=1,IF(Source_Data!U$6=Inputs!$B$14,Source_Data!$C$8,0),Source_Data!U$8)</f>
        <v>59.7127159375</v>
      </c>
      <c r="V155" s="33" t="n">
        <f aca="false">Source_Data!V$7+IF($B$153=1,IF(Source_Data!V$6=Inputs!$B$14,Source_Data!$C$8,0),Source_Data!V$8)</f>
        <v>53.7239446875</v>
      </c>
      <c r="W155" s="33" t="n">
        <f aca="false">Source_Data!W$7+IF($B$153=1,IF(Source_Data!W$6=Inputs!$B$14,Source_Data!$C$8,0),Source_Data!W$8)</f>
        <v>49.3829446875</v>
      </c>
      <c r="X155" s="33" t="n">
        <f aca="false">Source_Data!X$7+IF($B$153=1,IF(Source_Data!X$6=Inputs!$B$14,Source_Data!$C$8,0),Source_Data!X$8)</f>
        <v>49.3829446875</v>
      </c>
      <c r="Y155" s="33" t="n">
        <f aca="false">Source_Data!Y$7+IF($B$153=1,IF(Source_Data!Y$6=Inputs!$B$14,Source_Data!$C$8,0),Source_Data!Y$8)</f>
        <v>42.1027259375</v>
      </c>
      <c r="Z155" s="33" t="n">
        <f aca="false">Source_Data!Z$7+IF($B$153=1,IF(Source_Data!Z$6=Inputs!$B$14,Source_Data!$C$8,0),Source_Data!Z$8)</f>
        <v>42.1027259375</v>
      </c>
      <c r="AA155" s="33" t="n">
        <f aca="false">Source_Data!AA$7+IF($B$153=1,IF(Source_Data!AA$6=Inputs!$B$14,Source_Data!$C$8,0),Source_Data!AA$8)</f>
        <v>42.1027259375</v>
      </c>
      <c r="AB155" s="33" t="n">
        <f aca="false">Source_Data!AB$7+IF($B$153=1,IF(Source_Data!AB$6=Inputs!$B$14,Source_Data!$C$8,0),Source_Data!AB$8)</f>
        <v>36.3147259375</v>
      </c>
      <c r="AC155" s="33" t="n">
        <f aca="false">Source_Data!AC$7+IF($B$153=1,IF(Source_Data!AC$6=Inputs!$B$14,Source_Data!$C$8,0),Source_Data!AC$8)</f>
        <v>33.0386275</v>
      </c>
      <c r="AD155" s="33" t="n">
        <f aca="false">Source_Data!AD$7+IF($B$153=1,IF(Source_Data!AD$6=Inputs!$B$14,Source_Data!$C$8,0),Source_Data!AD$8)</f>
        <v>29.43017125</v>
      </c>
      <c r="AE155" s="33" t="n">
        <f aca="false">Source_Data!AE$7+IF($B$153=1,IF(Source_Data!AE$6=Inputs!$B$14,Source_Data!$C$8,0),Source_Data!AE$8)</f>
        <v>25.08917125</v>
      </c>
      <c r="AF155" s="33" t="n">
        <f aca="false">Source_Data!AF$7+IF($B$153=1,IF(Source_Data!AF$6=Inputs!$B$14,Source_Data!$C$8,0),Source_Data!AF$8)</f>
        <v>25.08917125</v>
      </c>
      <c r="AG155" s="33" t="n">
        <f aca="false">Source_Data!AG$7+IF($B$153=1,IF(Source_Data!AG$6=Inputs!$B$14,Source_Data!$C$8,0),Source_Data!AG$8)</f>
        <v>25.08917125</v>
      </c>
      <c r="AH155" s="33" t="n">
        <f aca="false">Source_Data!AH$7+IF($B$153=1,IF(Source_Data!AH$6=Inputs!$B$14,Source_Data!$C$8,0),Source_Data!AH$8)</f>
        <v>25.08917125</v>
      </c>
      <c r="AI155" s="33" t="n">
        <f aca="false">Source_Data!AI$7+IF($B$153=1,IF(Source_Data!AI$6=Inputs!$B$14,Source_Data!$C$8,0),Source_Data!AI$8)</f>
        <v>25.08917125</v>
      </c>
      <c r="AJ155" s="33" t="n">
        <f aca="false">Source_Data!AJ$7+IF($B$153=1,IF(Source_Data!AJ$6=Inputs!$B$14,Source_Data!$C$8,0),Source_Data!AJ$8)</f>
        <v>25.08917125</v>
      </c>
      <c r="AK155" s="33" t="n">
        <f aca="false">Source_Data!AK$7+IF($B$153=1,IF(Source_Data!AK$6=Inputs!$B$14,Source_Data!$C$8,0),Source_Data!AK$8)</f>
        <v>22.905105625</v>
      </c>
      <c r="AL155" s="33" t="n">
        <f aca="false">Source_Data!AL$7+IF($B$153=1,IF(Source_Data!AL$6=Inputs!$B$14,Source_Data!$C$8,0),Source_Data!AL$8)</f>
        <v>22.905105625</v>
      </c>
      <c r="AM155" s="33" t="n">
        <f aca="false">Source_Data!AM$7+IF($B$153=1,IF(Source_Data!AM$6=Inputs!$B$14,Source_Data!$C$8,0),Source_Data!AM$8)</f>
        <v>18.739554375</v>
      </c>
      <c r="AN155" s="33" t="n">
        <f aca="false">Source_Data!AN$7+IF($B$153=1,IF(Source_Data!AN$6=Inputs!$B$14,Source_Data!$C$8,0),Source_Data!AN$8)</f>
        <v>9.6261675</v>
      </c>
      <c r="AO155" s="33" t="n">
        <f aca="false">Source_Data!AO$7+IF($B$153=1,IF(Source_Data!AO$6=Inputs!$B$14,Source_Data!$C$8,0),Source_Data!AO$8)</f>
        <v>3.5704725</v>
      </c>
      <c r="AP155" s="33" t="n">
        <f aca="false">Source_Data!AP$7+IF($B$153=1,IF(Source_Data!AP$6=Inputs!$B$14,Source_Data!$C$8,0),Source_Data!AP$8)</f>
        <v>0</v>
      </c>
      <c r="AQ155" s="33" t="n">
        <f aca="false">Source_Data!AQ$7+IF($B$153=1,IF(Source_Data!AQ$6=Inputs!$B$14,Source_Data!$C$8,0),Source_Data!AQ$8)</f>
        <v>0</v>
      </c>
      <c r="AR155" s="33" t="n">
        <f aca="false">Source_Data!AR$7+IF($B$153=1,IF(Source_Data!AR$6=Inputs!$B$14,Source_Data!$C$8,0),Source_Data!AR$8)</f>
        <v>0</v>
      </c>
      <c r="AS155" s="33" t="n">
        <f aca="false">Source_Data!AS$7+IF($B$153=1,IF(Source_Data!AS$6=Inputs!$B$14,Source_Data!$C$8,0),Source_Data!AS$8)</f>
        <v>0</v>
      </c>
      <c r="AT155" s="33" t="n">
        <f aca="false">Source_Data!AT$7+IF($B$153=1,IF(Source_Data!AT$6=Inputs!$B$14,Source_Data!$C$8,0),Source_Data!AT$8)</f>
        <v>0</v>
      </c>
      <c r="AU155" s="33" t="n">
        <f aca="false">Source_Data!AU$7+IF($B$153=1,IF(Source_Data!AU$6=Inputs!$B$14,Source_Data!$C$8,0),Source_Data!AU$8)</f>
        <v>0</v>
      </c>
      <c r="AV155" s="33" t="n">
        <f aca="false">Source_Data!AV$7+IF($B$153=1,IF(Source_Data!AV$6=Inputs!$B$14,Source_Data!$C$8,0),Source_Data!AV$8)</f>
        <v>0</v>
      </c>
      <c r="AW155" s="33" t="n">
        <f aca="false">Source_Data!AW$7+IF($B$153=1,IF(Source_Data!AW$6=Inputs!$B$14,Source_Data!$C$8,0),Source_Data!AW$8)</f>
        <v>0</v>
      </c>
      <c r="AX155" s="33" t="n">
        <f aca="false">Source_Data!AX$7+IF($B$153=1,IF(Source_Data!AX$6=Inputs!$B$14,Source_Data!$C$8,0),Source_Data!AX$8)</f>
        <v>0</v>
      </c>
      <c r="AY155" s="33" t="n">
        <f aca="false">Source_Data!AY$7+IF($B$153=1,IF(Source_Data!AY$6=Inputs!$B$14,Source_Data!$C$8,0),Source_Data!AY$8)</f>
        <v>0</v>
      </c>
      <c r="AZ155" s="33" t="n">
        <f aca="false">Source_Data!AZ$7+IF($B$153=1,IF(Source_Data!AZ$6=Inputs!$B$14,Source_Data!$C$8,0),Source_Data!AZ$8)</f>
        <v>0</v>
      </c>
      <c r="BA155" s="33" t="n">
        <f aca="false">Source_Data!BA$7+IF($B$153=1,IF(Source_Data!BA$6=Inputs!$B$14,Source_Data!$C$8,0),Source_Data!BA$8)</f>
        <v>0</v>
      </c>
      <c r="BB155" s="33" t="n">
        <f aca="false">Source_Data!BB$7+IF($B$153=1,IF(Source_Data!BB$6=Inputs!$B$14,Source_Data!$C$8,0),Source_Data!BB$8)</f>
        <v>0</v>
      </c>
      <c r="BC155" s="33" t="n">
        <f aca="false">Source_Data!BC$7+IF($B$153=1,IF(Source_Data!BC$6=Inputs!$B$14,Source_Data!$C$8,0),Source_Data!BC$8)</f>
        <v>0</v>
      </c>
      <c r="BD155" s="33" t="n">
        <f aca="false">Source_Data!BD$7+IF($B$153=1,IF(Source_Data!BD$6=Inputs!$B$14,Source_Data!$C$8,0),Source_Data!BD$8)</f>
        <v>0</v>
      </c>
      <c r="BE155" s="33" t="n">
        <f aca="false">Source_Data!BE$7+IF($B$153=1,IF(Source_Data!BE$6=Inputs!$B$14,Source_Data!$C$8,0),Source_Data!BE$8)</f>
        <v>0</v>
      </c>
      <c r="BF155" s="33" t="n">
        <f aca="false">Source_Data!BF$7+IF($B$153=1,IF(Source_Data!BF$6=Inputs!$B$14,Source_Data!$C$8,0),Source_Data!BF$8)</f>
        <v>0</v>
      </c>
      <c r="BG155" s="33" t="n">
        <f aca="false">Source_Data!BG$7+IF($B$153=1,IF(Source_Data!BG$6=Inputs!$B$14,Source_Data!$C$8,0),Source_Data!BG$8)</f>
        <v>0</v>
      </c>
      <c r="BH155" s="33" t="n">
        <f aca="false">Source_Data!BH$7+IF($B$153=1,IF(Source_Data!BH$6=Inputs!$B$14,Source_Data!$C$8,0),Source_Data!BH$8)</f>
        <v>0</v>
      </c>
      <c r="BI155" s="33" t="n">
        <f aca="false">Source_Data!BI$7+IF($B$153=1,IF(Source_Data!BI$6=Inputs!$B$14,Source_Data!$C$8,0),Source_Data!BI$8)</f>
        <v>0</v>
      </c>
      <c r="BJ155" s="33" t="n">
        <f aca="false">Source_Data!BJ$7+IF($B$153=1,IF(Source_Data!BJ$6=Inputs!$B$14,Source_Data!$C$8,0),Source_Data!BJ$8)</f>
        <v>0</v>
      </c>
      <c r="BK155" s="33" t="n">
        <f aca="false">Source_Data!BK$7+IF($B$153=1,IF(Source_Data!BK$6=Inputs!$B$14,Source_Data!$C$8,0),Source_Data!BK$8)</f>
        <v>0</v>
      </c>
    </row>
    <row r="156" customFormat="false" ht="15" hidden="false" customHeight="false" outlineLevel="0" collapsed="false">
      <c r="A156" s="3" t="s">
        <v>215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340</v>
      </c>
      <c r="D157" s="33" t="n">
        <f aca="false">Source_Data!D$9+Source_Data!D$10*IF(Source_Data!$C$10=0,0,MAX(0,Inputs!$B$20*Inputs!$B$23*$B$149-Inputs!$B$21)/Source_Data!$C$10)</f>
        <v>91.25</v>
      </c>
      <c r="E157" s="33" t="n">
        <f aca="false">Source_Data!E$9+Source_Data!E$10*IF(Source_Data!$C$10=0,0,MAX(0,Inputs!$B$20*Inputs!$B$23*$B$149-Inputs!$B$21)/Source_Data!$C$10)</f>
        <v>11.25</v>
      </c>
      <c r="F157" s="33" t="n">
        <f aca="false">Source_Data!F$9+Source_Data!F$10*IF(Source_Data!$C$10=0,0,MAX(0,Inputs!$B$20*Inputs!$B$23*$B$149-Inputs!$B$21)/Source_Data!$C$10)</f>
        <v>11.25</v>
      </c>
      <c r="G157" s="33" t="n">
        <f aca="false">Source_Data!G$9+Source_Data!G$10*IF(Source_Data!$C$10=0,0,MAX(0,Inputs!$B$20*Inputs!$B$23*$B$149-Inputs!$B$21)/Source_Data!$C$10)</f>
        <v>11.25</v>
      </c>
      <c r="H157" s="33" t="n">
        <f aca="false">Source_Data!H$9+Source_Data!H$10*IF(Source_Data!$C$10=0,0,MAX(0,Inputs!$B$20*Inputs!$B$23*$B$149-Inputs!$B$21)/Source_Data!$C$10)</f>
        <v>22.5</v>
      </c>
      <c r="I157" s="33" t="n">
        <f aca="false">Source_Data!I$9+Source_Data!I$10*IF(Source_Data!$C$10=0,0,MAX(0,Inputs!$B$20*Inputs!$B$23*$B$149-Inputs!$B$21)/Source_Data!$C$10)</f>
        <v>22.5</v>
      </c>
      <c r="J157" s="33" t="n">
        <f aca="false">Source_Data!J$9+Source_Data!J$10*IF(Source_Data!$C$10=0,0,MAX(0,Inputs!$B$20*Inputs!$B$23*$B$149-Inputs!$B$21)/Source_Data!$C$10)</f>
        <v>22.5</v>
      </c>
      <c r="K157" s="33" t="n">
        <f aca="false">Source_Data!K$9+Source_Data!K$10*IF(Source_Data!$C$10=0,0,MAX(0,Inputs!$B$20*Inputs!$B$23*$B$149-Inputs!$B$21)/Source_Data!$C$10)</f>
        <v>22.5</v>
      </c>
      <c r="L157" s="33" t="n">
        <f aca="false">Source_Data!L$9+Source_Data!L$10*IF(Source_Data!$C$10=0,0,MAX(0,Inputs!$B$20*Inputs!$B$23*$B$149-Inputs!$B$21)/Source_Data!$C$10)</f>
        <v>33.75</v>
      </c>
      <c r="M157" s="33" t="n">
        <f aca="false">Source_Data!M$9+Source_Data!M$10*IF(Source_Data!$C$10=0,0,MAX(0,Inputs!$B$20*Inputs!$B$23*$B$149-Inputs!$B$21)/Source_Data!$C$10)</f>
        <v>33.75</v>
      </c>
      <c r="N157" s="33" t="n">
        <f aca="false">Source_Data!N$9+Source_Data!N$10*IF(Source_Data!$C$10=0,0,MAX(0,Inputs!$B$20*Inputs!$B$23*$B$149-Inputs!$B$21)/Source_Data!$C$10)</f>
        <v>33.75</v>
      </c>
      <c r="O157" s="33" t="n">
        <f aca="false">Source_Data!O$9+Source_Data!O$10*IF(Source_Data!$C$10=0,0,MAX(0,Inputs!$B$20*Inputs!$B$23*$B$149-Inputs!$B$21)/Source_Data!$C$10)</f>
        <v>33.75</v>
      </c>
      <c r="P157" s="33" t="n">
        <f aca="false">Source_Data!P$9+Source_Data!P$10*IF(Source_Data!$C$10=0,0,MAX(0,Inputs!$B$20*Inputs!$B$23*$B$149-Inputs!$B$21)/Source_Data!$C$10)</f>
        <v>45</v>
      </c>
      <c r="Q157" s="33" t="n">
        <f aca="false">Source_Data!Q$9+Source_Data!Q$10*IF(Source_Data!$C$10=0,0,MAX(0,Inputs!$B$20*Inputs!$B$23*$B$149-Inputs!$B$21)/Source_Data!$C$10)</f>
        <v>45</v>
      </c>
      <c r="R157" s="33" t="n">
        <f aca="false">Source_Data!R$9+Source_Data!R$10*IF(Source_Data!$C$10=0,0,MAX(0,Inputs!$B$20*Inputs!$B$23*$B$149-Inputs!$B$21)/Source_Data!$C$10)</f>
        <v>45</v>
      </c>
      <c r="S157" s="33" t="n">
        <f aca="false">Source_Data!S$9+Source_Data!S$10*IF(Source_Data!$C$10=0,0,MAX(0,Inputs!$B$20*Inputs!$B$23*$B$149-Inputs!$B$21)/Source_Data!$C$10)</f>
        <v>45</v>
      </c>
      <c r="T157" s="33" t="n">
        <f aca="false">Source_Data!T$9+Source_Data!T$10*IF(Source_Data!$C$10=0,0,MAX(0,Inputs!$B$20*Inputs!$B$23*$B$149-Inputs!$B$21)/Source_Data!$C$10)</f>
        <v>45</v>
      </c>
      <c r="U157" s="33" t="n">
        <f aca="false">Source_Data!U$9+Source_Data!U$10*IF(Source_Data!$C$10=0,0,MAX(0,Inputs!$B$20*Inputs!$B$23*$B$149-Inputs!$B$21)/Source_Data!$C$10)</f>
        <v>45</v>
      </c>
      <c r="V157" s="33" t="n">
        <f aca="false">Source_Data!V$9+Source_Data!V$10*IF(Source_Data!$C$10=0,0,MAX(0,Inputs!$B$20*Inputs!$B$23*$B$149-Inputs!$B$21)/Source_Data!$C$10)</f>
        <v>45</v>
      </c>
      <c r="W157" s="33" t="n">
        <f aca="false">Source_Data!W$9+Source_Data!W$10*IF(Source_Data!$C$10=0,0,MAX(0,Inputs!$B$20*Inputs!$B$23*$B$149-Inputs!$B$21)/Source_Data!$C$10)</f>
        <v>45</v>
      </c>
      <c r="X157" s="33" t="n">
        <f aca="false">Source_Data!X$9+Source_Data!X$10*IF(Source_Data!$C$10=0,0,MAX(0,Inputs!$B$20*Inputs!$B$23*$B$149-Inputs!$B$21)/Source_Data!$C$10)</f>
        <v>22.5</v>
      </c>
      <c r="Y157" s="33" t="n">
        <f aca="false">Source_Data!Y$9+Source_Data!Y$10*IF(Source_Data!$C$10=0,0,MAX(0,Inputs!$B$20*Inputs!$B$23*$B$149-Inputs!$B$21)/Source_Data!$C$10)</f>
        <v>22.5</v>
      </c>
      <c r="Z157" s="33" t="n">
        <f aca="false">Source_Data!Z$9+Source_Data!Z$10*IF(Source_Data!$C$10=0,0,MAX(0,Inputs!$B$20*Inputs!$B$23*$B$149-Inputs!$B$21)/Source_Data!$C$10)</f>
        <v>22.5</v>
      </c>
      <c r="AA157" s="33" t="n">
        <f aca="false">Source_Data!AA$9+Source_Data!AA$10*IF(Source_Data!$C$10=0,0,MAX(0,Inputs!$B$20*Inputs!$B$23*$B$149-Inputs!$B$21)/Source_Data!$C$10)</f>
        <v>22.5</v>
      </c>
      <c r="AB157" s="33" t="n">
        <f aca="false">Source_Data!AB$9+Source_Data!AB$10*IF(Source_Data!$C$10=0,0,MAX(0,Inputs!$B$20*Inputs!$B$23*$B$149-Inputs!$B$21)/Source_Data!$C$10)</f>
        <v>0</v>
      </c>
      <c r="AC157" s="33" t="n">
        <f aca="false">Source_Data!AC$9+Source_Data!AC$10*IF(Source_Data!$C$10=0,0,MAX(0,Inputs!$B$20*Inputs!$B$23*$B$149-Inputs!$B$21)/Source_Data!$C$10)</f>
        <v>0</v>
      </c>
      <c r="AD157" s="33" t="n">
        <f aca="false">Source_Data!AD$9+Source_Data!AD$10*IF(Source_Data!$C$10=0,0,MAX(0,Inputs!$B$20*Inputs!$B$23*$B$149-Inputs!$B$21)/Source_Data!$C$10)</f>
        <v>0</v>
      </c>
      <c r="AE157" s="33" t="n">
        <f aca="false">Source_Data!AE$9+Source_Data!AE$10*IF(Source_Data!$C$10=0,0,MAX(0,Inputs!$B$20*Inputs!$B$23*$B$149-Inputs!$B$21)/Source_Data!$C$10)</f>
        <v>0</v>
      </c>
      <c r="AF157" s="33" t="n">
        <f aca="false">Source_Data!AF$9+Source_Data!AF$10*IF(Source_Data!$C$10=0,0,MAX(0,Inputs!$B$20*Inputs!$B$23*$B$149-Inputs!$B$21)/Source_Data!$C$10)</f>
        <v>107.758210351563</v>
      </c>
      <c r="AG157" s="33" t="n">
        <f aca="false">Source_Data!AG$9+Source_Data!AG$10*IF(Source_Data!$C$10=0,0,MAX(0,Inputs!$B$20*Inputs!$B$23*$B$149-Inputs!$B$21)/Source_Data!$C$10)</f>
        <v>10.976512421875</v>
      </c>
      <c r="AH157" s="33" t="n">
        <f aca="false">Source_Data!AH$9+Source_Data!AH$10*IF(Source_Data!$C$10=0,0,MAX(0,Inputs!$B$20*Inputs!$B$23*$B$149-Inputs!$B$21)/Source_Data!$C$10)</f>
        <v>10.976512421875</v>
      </c>
      <c r="AI157" s="33" t="n">
        <f aca="false">Source_Data!AI$9+Source_Data!AI$10*IF(Source_Data!$C$10=0,0,MAX(0,Inputs!$B$20*Inputs!$B$23*$B$149-Inputs!$B$21)/Source_Data!$C$10)</f>
        <v>10.976512421875</v>
      </c>
      <c r="AJ157" s="33" t="n">
        <f aca="false">Source_Data!AJ$9+Source_Data!AJ$10*IF(Source_Data!$C$10=0,0,MAX(0,Inputs!$B$20*Inputs!$B$23*$B$149-Inputs!$B$21)/Source_Data!$C$10)</f>
        <v>10.976512421875</v>
      </c>
      <c r="AK157" s="33" t="n">
        <f aca="false">Source_Data!AK$9+Source_Data!AK$10*IF(Source_Data!$C$10=0,0,MAX(0,Inputs!$B$20*Inputs!$B$23*$B$149-Inputs!$B$21)/Source_Data!$C$10)</f>
        <v>10.0209837109375</v>
      </c>
      <c r="AL157" s="33" t="n">
        <f aca="false">Source_Data!AL$9+Source_Data!AL$10*IF(Source_Data!$C$10=0,0,MAX(0,Inputs!$B$20*Inputs!$B$23*$B$149-Inputs!$B$21)/Source_Data!$C$10)</f>
        <v>10.0209837109375</v>
      </c>
      <c r="AM157" s="33" t="n">
        <f aca="false">Source_Data!AM$9+Source_Data!AM$10*IF(Source_Data!$C$10=0,0,MAX(0,Inputs!$B$20*Inputs!$B$23*$B$149-Inputs!$B$21)/Source_Data!$C$10)</f>
        <v>8.19855503906249</v>
      </c>
      <c r="AN157" s="33" t="n">
        <f aca="false">Source_Data!AN$9+Source_Data!AN$10*IF(Source_Data!$C$10=0,0,MAX(0,Inputs!$B$20*Inputs!$B$23*$B$149-Inputs!$B$21)/Source_Data!$C$10)</f>
        <v>4.21144828125</v>
      </c>
      <c r="AO157" s="33" t="n">
        <f aca="false">Source_Data!AO$9+Source_Data!AO$10*IF(Source_Data!$C$10=0,0,MAX(0,Inputs!$B$20*Inputs!$B$23*$B$149-Inputs!$B$21)/Source_Data!$C$10)</f>
        <v>1.56208171875</v>
      </c>
      <c r="AP157" s="33" t="n">
        <f aca="false">Source_Data!AP$9+Source_Data!AP$10*IF(Source_Data!$C$10=0,0,MAX(0,Inputs!$B$20*Inputs!$B$23*$B$149-Inputs!$B$21)/Source_Data!$C$10)</f>
        <v>0</v>
      </c>
      <c r="AQ157" s="33" t="n">
        <f aca="false">Source_Data!AQ$9+Source_Data!AQ$10*IF(Source_Data!$C$10=0,0,MAX(0,Inputs!$B$20*Inputs!$B$23*$B$149-Inputs!$B$21)/Source_Data!$C$10)</f>
        <v>0</v>
      </c>
      <c r="AR157" s="33" t="n">
        <f aca="false">Source_Data!AR$9+Source_Data!AR$10*IF(Source_Data!$C$10=0,0,MAX(0,Inputs!$B$20*Inputs!$B$23*$B$149-Inputs!$B$21)/Source_Data!$C$10)</f>
        <v>0</v>
      </c>
      <c r="AS157" s="33" t="n">
        <f aca="false">Source_Data!AS$9+Source_Data!AS$10*IF(Source_Data!$C$10=0,0,MAX(0,Inputs!$B$20*Inputs!$B$23*$B$149-Inputs!$B$21)/Source_Data!$C$10)</f>
        <v>0</v>
      </c>
      <c r="AT157" s="33" t="n">
        <f aca="false">Source_Data!AT$9+Source_Data!AT$10*IF(Source_Data!$C$10=0,0,MAX(0,Inputs!$B$20*Inputs!$B$23*$B$149-Inputs!$B$21)/Source_Data!$C$10)</f>
        <v>0</v>
      </c>
      <c r="AU157" s="33" t="n">
        <f aca="false">Source_Data!AU$9+Source_Data!AU$10*IF(Source_Data!$C$10=0,0,MAX(0,Inputs!$B$20*Inputs!$B$23*$B$149-Inputs!$B$21)/Source_Data!$C$10)</f>
        <v>0</v>
      </c>
      <c r="AV157" s="33" t="n">
        <f aca="false">Source_Data!AV$9+Source_Data!AV$10*IF(Source_Data!$C$10=0,0,MAX(0,Inputs!$B$20*Inputs!$B$23*$B$149-Inputs!$B$21)/Source_Data!$C$10)</f>
        <v>0</v>
      </c>
      <c r="AW157" s="33" t="n">
        <f aca="false">Source_Data!AW$9+Source_Data!AW$10*IF(Source_Data!$C$10=0,0,MAX(0,Inputs!$B$20*Inputs!$B$23*$B$149-Inputs!$B$21)/Source_Data!$C$10)</f>
        <v>0</v>
      </c>
      <c r="AX157" s="33" t="n">
        <f aca="false">Source_Data!AX$9+Source_Data!AX$10*IF(Source_Data!$C$10=0,0,MAX(0,Inputs!$B$20*Inputs!$B$23*$B$149-Inputs!$B$21)/Source_Data!$C$10)</f>
        <v>0</v>
      </c>
      <c r="AY157" s="33" t="n">
        <f aca="false">Source_Data!AY$9+Source_Data!AY$10*IF(Source_Data!$C$10=0,0,MAX(0,Inputs!$B$20*Inputs!$B$23*$B$149-Inputs!$B$21)/Source_Data!$C$10)</f>
        <v>0</v>
      </c>
      <c r="AZ157" s="33" t="n">
        <f aca="false">Source_Data!AZ$9+Source_Data!AZ$10*IF(Source_Data!$C$10=0,0,MAX(0,Inputs!$B$20*Inputs!$B$23*$B$149-Inputs!$B$21)/Source_Data!$C$10)</f>
        <v>0</v>
      </c>
      <c r="BA157" s="33" t="n">
        <f aca="false">Source_Data!BA$9+Source_Data!BA$10*IF(Source_Data!$C$10=0,0,MAX(0,Inputs!$B$20*Inputs!$B$23*$B$149-Inputs!$B$21)/Source_Data!$C$10)</f>
        <v>0</v>
      </c>
      <c r="BB157" s="33" t="n">
        <f aca="false">Source_Data!BB$9+Source_Data!BB$10*IF(Source_Data!$C$10=0,0,MAX(0,Inputs!$B$20*Inputs!$B$23*$B$149-Inputs!$B$21)/Source_Data!$C$10)</f>
        <v>0</v>
      </c>
      <c r="BC157" s="33" t="n">
        <f aca="false">Source_Data!BC$9+Source_Data!BC$10*IF(Source_Data!$C$10=0,0,MAX(0,Inputs!$B$20*Inputs!$B$23*$B$149-Inputs!$B$21)/Source_Data!$C$10)</f>
        <v>0</v>
      </c>
      <c r="BD157" s="33" t="n">
        <f aca="false">Source_Data!BD$9+Source_Data!BD$10*IF(Source_Data!$C$10=0,0,MAX(0,Inputs!$B$20*Inputs!$B$23*$B$149-Inputs!$B$21)/Source_Data!$C$10)</f>
        <v>0</v>
      </c>
      <c r="BE157" s="33" t="n">
        <f aca="false">Source_Data!BE$9+Source_Data!BE$10*IF(Source_Data!$C$10=0,0,MAX(0,Inputs!$B$20*Inputs!$B$23*$B$149-Inputs!$B$21)/Source_Data!$C$10)</f>
        <v>0</v>
      </c>
      <c r="BF157" s="33" t="n">
        <f aca="false">Source_Data!BF$9+Source_Data!BF$10*IF(Source_Data!$C$10=0,0,MAX(0,Inputs!$B$20*Inputs!$B$23*$B$149-Inputs!$B$21)/Source_Data!$C$10)</f>
        <v>0</v>
      </c>
      <c r="BG157" s="33" t="n">
        <f aca="false">Source_Data!BG$9+Source_Data!BG$10*IF(Source_Data!$C$10=0,0,MAX(0,Inputs!$B$20*Inputs!$B$23*$B$149-Inputs!$B$21)/Source_Data!$C$10)</f>
        <v>0</v>
      </c>
      <c r="BH157" s="33" t="n">
        <f aca="false">Source_Data!BH$9+Source_Data!BH$10*IF(Source_Data!$C$10=0,0,MAX(0,Inputs!$B$20*Inputs!$B$23*$B$149-Inputs!$B$21)/Source_Data!$C$10)</f>
        <v>0</v>
      </c>
      <c r="BI157" s="33" t="n">
        <f aca="false">Source_Data!BI$9+Source_Data!BI$10*IF(Source_Data!$C$10=0,0,MAX(0,Inputs!$B$20*Inputs!$B$23*$B$149-Inputs!$B$21)/Source_Data!$C$10)</f>
        <v>0</v>
      </c>
      <c r="BJ157" s="33" t="n">
        <f aca="false">Source_Data!BJ$9+Source_Data!BJ$10*IF(Source_Data!$C$10=0,0,MAX(0,Inputs!$B$20*Inputs!$B$23*$B$149-Inputs!$B$21)/Source_Data!$C$10)</f>
        <v>0</v>
      </c>
      <c r="BK157" s="33" t="n">
        <f aca="false">Source_Data!BK$9+Source_Data!BK$10*IF(Source_Data!$C$10=0,0,MAX(0,Inputs!$B$20*Inputs!$B$23*$B$149-Inputs!$B$21)/Source_Data!$C$10)</f>
        <v>0</v>
      </c>
    </row>
    <row r="158" customFormat="false" ht="15" hidden="false" customHeight="false" outlineLevel="0" collapsed="false">
      <c r="A158" s="3" t="s">
        <v>196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198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217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218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219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341</v>
      </c>
      <c r="D163" s="33" t="n">
        <f aca="false">IF(Source_Data!D$6=Inputs!$B$13,-Inputs!$B$7,0)+IF(AND(Source_Data!D$6&gt;=$B$154,Source_Data!D$6&lt;$B$154+3*Inputs!$B$17,MOD(Source_Data!D$6-$B$154,3)=0),Inputs!$B$8*Inputs!$B$7*Inputs!$B$35*$B$149*(1-Inputs!$B$16)/Inputs!$B$17,0)</f>
        <v>-75</v>
      </c>
      <c r="E163" s="33" t="n">
        <f aca="false">IF(Source_Data!E$6=Inputs!$B$13,-Inputs!$B$7,0)+IF(AND(Source_Data!E$6&gt;=$B$154,Source_Data!E$6&lt;$B$154+3*Inputs!$B$17,MOD(Source_Data!E$6-$B$154,3)=0),Inputs!$B$8*Inputs!$B$7*Inputs!$B$35*$B$149*(1-Inputs!$B$16)/Inputs!$B$17,0)</f>
        <v>0</v>
      </c>
      <c r="F163" s="33" t="n">
        <f aca="false">IF(Source_Data!F$6=Inputs!$B$13,-Inputs!$B$7,0)+IF(AND(Source_Data!F$6&gt;=$B$154,Source_Data!F$6&lt;$B$154+3*Inputs!$B$17,MOD(Source_Data!F$6-$B$154,3)=0),Inputs!$B$8*Inputs!$B$7*Inputs!$B$35*$B$149*(1-Inputs!$B$16)/Inputs!$B$17,0)</f>
        <v>0</v>
      </c>
      <c r="G163" s="33" t="n">
        <f aca="false">IF(Source_Data!G$6=Inputs!$B$13,-Inputs!$B$7,0)+IF(AND(Source_Data!G$6&gt;=$B$154,Source_Data!G$6&lt;$B$154+3*Inputs!$B$17,MOD(Source_Data!G$6-$B$154,3)=0),Inputs!$B$8*Inputs!$B$7*Inputs!$B$35*$B$149*(1-Inputs!$B$16)/Inputs!$B$17,0)</f>
        <v>0</v>
      </c>
      <c r="H163" s="33" t="n">
        <f aca="false">IF(Source_Data!H$6=Inputs!$B$13,-Inputs!$B$7,0)+IF(AND(Source_Data!H$6&gt;=$B$154,Source_Data!H$6&lt;$B$154+3*Inputs!$B$17,MOD(Source_Data!H$6-$B$154,3)=0),Inputs!$B$8*Inputs!$B$7*Inputs!$B$35*$B$149*(1-Inputs!$B$16)/Inputs!$B$17,0)</f>
        <v>0</v>
      </c>
      <c r="I163" s="33" t="n">
        <f aca="false">IF(Source_Data!I$6=Inputs!$B$13,-Inputs!$B$7,0)+IF(AND(Source_Data!I$6&gt;=$B$154,Source_Data!I$6&lt;$B$154+3*Inputs!$B$17,MOD(Source_Data!I$6-$B$154,3)=0),Inputs!$B$8*Inputs!$B$7*Inputs!$B$35*$B$149*(1-Inputs!$B$16)/Inputs!$B$17,0)</f>
        <v>0</v>
      </c>
      <c r="J163" s="33" t="n">
        <f aca="false">IF(Source_Data!J$6=Inputs!$B$13,-Inputs!$B$7,0)+IF(AND(Source_Data!J$6&gt;=$B$154,Source_Data!J$6&lt;$B$154+3*Inputs!$B$17,MOD(Source_Data!J$6-$B$154,3)=0),Inputs!$B$8*Inputs!$B$7*Inputs!$B$35*$B$149*(1-Inputs!$B$16)/Inputs!$B$17,0)</f>
        <v>0</v>
      </c>
      <c r="K163" s="33" t="n">
        <f aca="false">IF(Source_Data!K$6=Inputs!$B$13,-Inputs!$B$7,0)+IF(AND(Source_Data!K$6&gt;=$B$154,Source_Data!K$6&lt;$B$154+3*Inputs!$B$17,MOD(Source_Data!K$6-$B$154,3)=0),Inputs!$B$8*Inputs!$B$7*Inputs!$B$35*$B$149*(1-Inputs!$B$16)/Inputs!$B$17,0)</f>
        <v>0</v>
      </c>
      <c r="L163" s="33" t="n">
        <f aca="false">IF(Source_Data!L$6=Inputs!$B$13,-Inputs!$B$7,0)+IF(AND(Source_Data!L$6&gt;=$B$154,Source_Data!L$6&lt;$B$154+3*Inputs!$B$17,MOD(Source_Data!L$6-$B$154,3)=0),Inputs!$B$8*Inputs!$B$7*Inputs!$B$35*$B$149*(1-Inputs!$B$16)/Inputs!$B$17,0)</f>
        <v>0</v>
      </c>
      <c r="M163" s="33" t="n">
        <f aca="false">IF(Source_Data!M$6=Inputs!$B$13,-Inputs!$B$7,0)+IF(AND(Source_Data!M$6&gt;=$B$154,Source_Data!M$6&lt;$B$154+3*Inputs!$B$17,MOD(Source_Data!M$6-$B$154,3)=0),Inputs!$B$8*Inputs!$B$7*Inputs!$B$35*$B$149*(1-Inputs!$B$16)/Inputs!$B$17,0)</f>
        <v>0</v>
      </c>
      <c r="N163" s="33" t="n">
        <f aca="false">IF(Source_Data!N$6=Inputs!$B$13,-Inputs!$B$7,0)+IF(AND(Source_Data!N$6&gt;=$B$154,Source_Data!N$6&lt;$B$154+3*Inputs!$B$17,MOD(Source_Data!N$6-$B$154,3)=0),Inputs!$B$8*Inputs!$B$7*Inputs!$B$35*$B$149*(1-Inputs!$B$16)/Inputs!$B$17,0)</f>
        <v>0</v>
      </c>
      <c r="O163" s="33" t="n">
        <f aca="false">IF(Source_Data!O$6=Inputs!$B$13,-Inputs!$B$7,0)+IF(AND(Source_Data!O$6&gt;=$B$154,Source_Data!O$6&lt;$B$154+3*Inputs!$B$17,MOD(Source_Data!O$6-$B$154,3)=0),Inputs!$B$8*Inputs!$B$7*Inputs!$B$35*$B$149*(1-Inputs!$B$16)/Inputs!$B$17,0)</f>
        <v>0</v>
      </c>
      <c r="P163" s="33" t="n">
        <f aca="false">IF(Source_Data!P$6=Inputs!$B$13,-Inputs!$B$7,0)+IF(AND(Source_Data!P$6&gt;=$B$154,Source_Data!P$6&lt;$B$154+3*Inputs!$B$17,MOD(Source_Data!P$6-$B$154,3)=0),Inputs!$B$8*Inputs!$B$7*Inputs!$B$35*$B$149*(1-Inputs!$B$16)/Inputs!$B$17,0)</f>
        <v>0</v>
      </c>
      <c r="Q163" s="33" t="n">
        <f aca="false">IF(Source_Data!Q$6=Inputs!$B$13,-Inputs!$B$7,0)+IF(AND(Source_Data!Q$6&gt;=$B$154,Source_Data!Q$6&lt;$B$154+3*Inputs!$B$17,MOD(Source_Data!Q$6-$B$154,3)=0),Inputs!$B$8*Inputs!$B$7*Inputs!$B$35*$B$149*(1-Inputs!$B$16)/Inputs!$B$17,0)</f>
        <v>0</v>
      </c>
      <c r="R163" s="33" t="n">
        <f aca="false">IF(Source_Data!R$6=Inputs!$B$13,-Inputs!$B$7,0)+IF(AND(Source_Data!R$6&gt;=$B$154,Source_Data!R$6&lt;$B$154+3*Inputs!$B$17,MOD(Source_Data!R$6-$B$154,3)=0),Inputs!$B$8*Inputs!$B$7*Inputs!$B$35*$B$149*(1-Inputs!$B$16)/Inputs!$B$17,0)</f>
        <v>0</v>
      </c>
      <c r="S163" s="33" t="n">
        <f aca="false">IF(Source_Data!S$6=Inputs!$B$13,-Inputs!$B$7,0)+IF(AND(Source_Data!S$6&gt;=$B$154,Source_Data!S$6&lt;$B$154+3*Inputs!$B$17,MOD(Source_Data!S$6-$B$154,3)=0),Inputs!$B$8*Inputs!$B$7*Inputs!$B$35*$B$149*(1-Inputs!$B$16)/Inputs!$B$17,0)</f>
        <v>0</v>
      </c>
      <c r="T163" s="33" t="n">
        <f aca="false">IF(Source_Data!T$6=Inputs!$B$13,-Inputs!$B$7,0)+IF(AND(Source_Data!T$6&gt;=$B$154,Source_Data!T$6&lt;$B$154+3*Inputs!$B$17,MOD(Source_Data!T$6-$B$154,3)=0),Inputs!$B$8*Inputs!$B$7*Inputs!$B$35*$B$149*(1-Inputs!$B$16)/Inputs!$B$17,0)</f>
        <v>52.1505376344086</v>
      </c>
      <c r="U163" s="33" t="n">
        <f aca="false">IF(Source_Data!U$6=Inputs!$B$13,-Inputs!$B$7,0)+IF(AND(Source_Data!U$6&gt;=$B$154,Source_Data!U$6&lt;$B$154+3*Inputs!$B$17,MOD(Source_Data!U$6-$B$154,3)=0),Inputs!$B$8*Inputs!$B$7*Inputs!$B$35*$B$149*(1-Inputs!$B$16)/Inputs!$B$17,0)</f>
        <v>52.1505376344086</v>
      </c>
      <c r="V163" s="33" t="n">
        <f aca="false">IF(Source_Data!V$6=Inputs!$B$13,-Inputs!$B$7,0)+IF(AND(Source_Data!V$6&gt;=$B$154,Source_Data!V$6&lt;$B$154+3*Inputs!$B$17,MOD(Source_Data!V$6-$B$154,3)=0),Inputs!$B$8*Inputs!$B$7*Inputs!$B$35*$B$149*(1-Inputs!$B$16)/Inputs!$B$17,0)</f>
        <v>52.1505376344086</v>
      </c>
      <c r="W163" s="33" t="n">
        <f aca="false">IF(Source_Data!W$6=Inputs!$B$13,-Inputs!$B$7,0)+IF(AND(Source_Data!W$6&gt;=$B$154,Source_Data!W$6&lt;$B$154+3*Inputs!$B$17,MOD(Source_Data!W$6-$B$154,3)=0),Inputs!$B$8*Inputs!$B$7*Inputs!$B$35*$B$149*(1-Inputs!$B$16)/Inputs!$B$17,0)</f>
        <v>52.1505376344086</v>
      </c>
      <c r="X163" s="33" t="n">
        <f aca="false">IF(Source_Data!X$6=Inputs!$B$13,-Inputs!$B$7,0)+IF(AND(Source_Data!X$6&gt;=$B$154,Source_Data!X$6&lt;$B$154+3*Inputs!$B$17,MOD(Source_Data!X$6-$B$154,3)=0),Inputs!$B$8*Inputs!$B$7*Inputs!$B$35*$B$149*(1-Inputs!$B$16)/Inputs!$B$17,0)</f>
        <v>0</v>
      </c>
      <c r="Y163" s="33" t="n">
        <f aca="false">IF(Source_Data!Y$6=Inputs!$B$13,-Inputs!$B$7,0)+IF(AND(Source_Data!Y$6&gt;=$B$154,Source_Data!Y$6&lt;$B$154+3*Inputs!$B$17,MOD(Source_Data!Y$6-$B$154,3)=0),Inputs!$B$8*Inputs!$B$7*Inputs!$B$35*$B$149*(1-Inputs!$B$16)/Inputs!$B$17,0)</f>
        <v>0</v>
      </c>
      <c r="Z163" s="33" t="n">
        <f aca="false">IF(Source_Data!Z$6=Inputs!$B$13,-Inputs!$B$7,0)+IF(AND(Source_Data!Z$6&gt;=$B$154,Source_Data!Z$6&lt;$B$154+3*Inputs!$B$17,MOD(Source_Data!Z$6-$B$154,3)=0),Inputs!$B$8*Inputs!$B$7*Inputs!$B$35*$B$149*(1-Inputs!$B$16)/Inputs!$B$17,0)</f>
        <v>0</v>
      </c>
      <c r="AA163" s="33" t="n">
        <f aca="false">IF(Source_Data!AA$6=Inputs!$B$13,-Inputs!$B$7,0)+IF(AND(Source_Data!AA$6&gt;=$B$154,Source_Data!AA$6&lt;$B$154+3*Inputs!$B$17,MOD(Source_Data!AA$6-$B$154,3)=0),Inputs!$B$8*Inputs!$B$7*Inputs!$B$35*$B$149*(1-Inputs!$B$16)/Inputs!$B$17,0)</f>
        <v>0</v>
      </c>
      <c r="AB163" s="33" t="n">
        <f aca="false">IF(Source_Data!AB$6=Inputs!$B$13,-Inputs!$B$7,0)+IF(AND(Source_Data!AB$6&gt;=$B$154,Source_Data!AB$6&lt;$B$154+3*Inputs!$B$17,MOD(Source_Data!AB$6-$B$154,3)=0),Inputs!$B$8*Inputs!$B$7*Inputs!$B$35*$B$149*(1-Inputs!$B$16)/Inputs!$B$17,0)</f>
        <v>0</v>
      </c>
      <c r="AC163" s="33" t="n">
        <f aca="false">IF(Source_Data!AC$6=Inputs!$B$13,-Inputs!$B$7,0)+IF(AND(Source_Data!AC$6&gt;=$B$154,Source_Data!AC$6&lt;$B$154+3*Inputs!$B$17,MOD(Source_Data!AC$6-$B$154,3)=0),Inputs!$B$8*Inputs!$B$7*Inputs!$B$35*$B$149*(1-Inputs!$B$16)/Inputs!$B$17,0)</f>
        <v>0</v>
      </c>
      <c r="AD163" s="33" t="n">
        <f aca="false">IF(Source_Data!AD$6=Inputs!$B$13,-Inputs!$B$7,0)+IF(AND(Source_Data!AD$6&gt;=$B$154,Source_Data!AD$6&lt;$B$154+3*Inputs!$B$17,MOD(Source_Data!AD$6-$B$154,3)=0),Inputs!$B$8*Inputs!$B$7*Inputs!$B$35*$B$149*(1-Inputs!$B$16)/Inputs!$B$17,0)</f>
        <v>0</v>
      </c>
      <c r="AE163" s="33" t="n">
        <f aca="false">IF(Source_Data!AE$6=Inputs!$B$13,-Inputs!$B$7,0)+IF(AND(Source_Data!AE$6&gt;=$B$154,Source_Data!AE$6&lt;$B$154+3*Inputs!$B$17,MOD(Source_Data!AE$6-$B$154,3)=0),Inputs!$B$8*Inputs!$B$7*Inputs!$B$35*$B$149*(1-Inputs!$B$16)/Inputs!$B$17,0)</f>
        <v>0</v>
      </c>
      <c r="AF163" s="33" t="n">
        <f aca="false">IF(Source_Data!AF$6=Inputs!$B$13,-Inputs!$B$7,0)+IF(AND(Source_Data!AF$6&gt;=$B$154,Source_Data!AF$6&lt;$B$154+3*Inputs!$B$17,MOD(Source_Data!AF$6-$B$154,3)=0),Inputs!$B$8*Inputs!$B$7*Inputs!$B$35*$B$149*(1-Inputs!$B$16)/Inputs!$B$17,0)</f>
        <v>0</v>
      </c>
      <c r="AG163" s="33" t="n">
        <f aca="false">IF(Source_Data!AG$6=Inputs!$B$13,-Inputs!$B$7,0)+IF(AND(Source_Data!AG$6&gt;=$B$154,Source_Data!AG$6&lt;$B$154+3*Inputs!$B$17,MOD(Source_Data!AG$6-$B$154,3)=0),Inputs!$B$8*Inputs!$B$7*Inputs!$B$35*$B$149*(1-Inputs!$B$16)/Inputs!$B$17,0)</f>
        <v>0</v>
      </c>
      <c r="AH163" s="33" t="n">
        <f aca="false">IF(Source_Data!AH$6=Inputs!$B$13,-Inputs!$B$7,0)+IF(AND(Source_Data!AH$6&gt;=$B$154,Source_Data!AH$6&lt;$B$154+3*Inputs!$B$17,MOD(Source_Data!AH$6-$B$154,3)=0),Inputs!$B$8*Inputs!$B$7*Inputs!$B$35*$B$149*(1-Inputs!$B$16)/Inputs!$B$17,0)</f>
        <v>0</v>
      </c>
      <c r="AI163" s="33" t="n">
        <f aca="false">IF(Source_Data!AI$6=Inputs!$B$13,-Inputs!$B$7,0)+IF(AND(Source_Data!AI$6&gt;=$B$154,Source_Data!AI$6&lt;$B$154+3*Inputs!$B$17,MOD(Source_Data!AI$6-$B$154,3)=0),Inputs!$B$8*Inputs!$B$7*Inputs!$B$35*$B$149*(1-Inputs!$B$16)/Inputs!$B$17,0)</f>
        <v>0</v>
      </c>
      <c r="AJ163" s="33" t="n">
        <f aca="false">IF(Source_Data!AJ$6=Inputs!$B$13,-Inputs!$B$7,0)+IF(AND(Source_Data!AJ$6&gt;=$B$154,Source_Data!AJ$6&lt;$B$154+3*Inputs!$B$17,MOD(Source_Data!AJ$6-$B$154,3)=0),Inputs!$B$8*Inputs!$B$7*Inputs!$B$35*$B$149*(1-Inputs!$B$16)/Inputs!$B$17,0)</f>
        <v>0</v>
      </c>
      <c r="AK163" s="33" t="n">
        <f aca="false">IF(Source_Data!AK$6=Inputs!$B$13,-Inputs!$B$7,0)+IF(AND(Source_Data!AK$6&gt;=$B$154,Source_Data!AK$6&lt;$B$154+3*Inputs!$B$17,MOD(Source_Data!AK$6-$B$154,3)=0),Inputs!$B$8*Inputs!$B$7*Inputs!$B$35*$B$149*(1-Inputs!$B$16)/Inputs!$B$17,0)</f>
        <v>0</v>
      </c>
      <c r="AL163" s="33" t="n">
        <f aca="false">IF(Source_Data!AL$6=Inputs!$B$13,-Inputs!$B$7,0)+IF(AND(Source_Data!AL$6&gt;=$B$154,Source_Data!AL$6&lt;$B$154+3*Inputs!$B$17,MOD(Source_Data!AL$6-$B$154,3)=0),Inputs!$B$8*Inputs!$B$7*Inputs!$B$35*$B$149*(1-Inputs!$B$16)/Inputs!$B$17,0)</f>
        <v>0</v>
      </c>
      <c r="AM163" s="33" t="n">
        <f aca="false">IF(Source_Data!AM$6=Inputs!$B$13,-Inputs!$B$7,0)+IF(AND(Source_Data!AM$6&gt;=$B$154,Source_Data!AM$6&lt;$B$154+3*Inputs!$B$17,MOD(Source_Data!AM$6-$B$154,3)=0),Inputs!$B$8*Inputs!$B$7*Inputs!$B$35*$B$149*(1-Inputs!$B$16)/Inputs!$B$17,0)</f>
        <v>0</v>
      </c>
      <c r="AN163" s="33" t="n">
        <f aca="false">IF(Source_Data!AN$6=Inputs!$B$13,-Inputs!$B$7,0)+IF(AND(Source_Data!AN$6&gt;=$B$154,Source_Data!AN$6&lt;$B$154+3*Inputs!$B$17,MOD(Source_Data!AN$6-$B$154,3)=0),Inputs!$B$8*Inputs!$B$7*Inputs!$B$35*$B$149*(1-Inputs!$B$16)/Inputs!$B$17,0)</f>
        <v>0</v>
      </c>
      <c r="AO163" s="33" t="n">
        <f aca="false">IF(Source_Data!AO$6=Inputs!$B$13,-Inputs!$B$7,0)+IF(AND(Source_Data!AO$6&gt;=$B$154,Source_Data!AO$6&lt;$B$154+3*Inputs!$B$17,MOD(Source_Data!AO$6-$B$154,3)=0),Inputs!$B$8*Inputs!$B$7*Inputs!$B$35*$B$149*(1-Inputs!$B$16)/Inputs!$B$17,0)</f>
        <v>0</v>
      </c>
      <c r="AP163" s="33" t="n">
        <f aca="false">IF(Source_Data!AP$6=Inputs!$B$13,-Inputs!$B$7,0)+IF(AND(Source_Data!AP$6&gt;=$B$154,Source_Data!AP$6&lt;$B$154+3*Inputs!$B$17,MOD(Source_Data!AP$6-$B$154,3)=0),Inputs!$B$8*Inputs!$B$7*Inputs!$B$35*$B$149*(1-Inputs!$B$16)/Inputs!$B$17,0)</f>
        <v>0</v>
      </c>
      <c r="AQ163" s="33" t="n">
        <f aca="false">IF(Source_Data!AQ$6=Inputs!$B$13,-Inputs!$B$7,0)+IF(AND(Source_Data!AQ$6&gt;=$B$154,Source_Data!AQ$6&lt;$B$154+3*Inputs!$B$17,MOD(Source_Data!AQ$6-$B$154,3)=0),Inputs!$B$8*Inputs!$B$7*Inputs!$B$35*$B$149*(1-Inputs!$B$16)/Inputs!$B$17,0)</f>
        <v>0</v>
      </c>
      <c r="AR163" s="33" t="n">
        <f aca="false">IF(Source_Data!AR$6=Inputs!$B$13,-Inputs!$B$7,0)+IF(AND(Source_Data!AR$6&gt;=$B$154,Source_Data!AR$6&lt;$B$154+3*Inputs!$B$17,MOD(Source_Data!AR$6-$B$154,3)=0),Inputs!$B$8*Inputs!$B$7*Inputs!$B$35*$B$149*(1-Inputs!$B$16)/Inputs!$B$17,0)</f>
        <v>0</v>
      </c>
      <c r="AS163" s="33" t="n">
        <f aca="false">IF(Source_Data!AS$6=Inputs!$B$13,-Inputs!$B$7,0)+IF(AND(Source_Data!AS$6&gt;=$B$154,Source_Data!AS$6&lt;$B$154+3*Inputs!$B$17,MOD(Source_Data!AS$6-$B$154,3)=0),Inputs!$B$8*Inputs!$B$7*Inputs!$B$35*$B$149*(1-Inputs!$B$16)/Inputs!$B$17,0)</f>
        <v>0</v>
      </c>
      <c r="AT163" s="33" t="n">
        <f aca="false">IF(Source_Data!AT$6=Inputs!$B$13,-Inputs!$B$7,0)+IF(AND(Source_Data!AT$6&gt;=$B$154,Source_Data!AT$6&lt;$B$154+3*Inputs!$B$17,MOD(Source_Data!AT$6-$B$154,3)=0),Inputs!$B$8*Inputs!$B$7*Inputs!$B$35*$B$149*(1-Inputs!$B$16)/Inputs!$B$17,0)</f>
        <v>0</v>
      </c>
      <c r="AU163" s="33" t="n">
        <f aca="false">IF(Source_Data!AU$6=Inputs!$B$13,-Inputs!$B$7,0)+IF(AND(Source_Data!AU$6&gt;=$B$154,Source_Data!AU$6&lt;$B$154+3*Inputs!$B$17,MOD(Source_Data!AU$6-$B$154,3)=0),Inputs!$B$8*Inputs!$B$7*Inputs!$B$35*$B$149*(1-Inputs!$B$16)/Inputs!$B$17,0)</f>
        <v>0</v>
      </c>
      <c r="AV163" s="33" t="n">
        <f aca="false">IF(Source_Data!AV$6=Inputs!$B$13,-Inputs!$B$7,0)+IF(AND(Source_Data!AV$6&gt;=$B$154,Source_Data!AV$6&lt;$B$154+3*Inputs!$B$17,MOD(Source_Data!AV$6-$B$154,3)=0),Inputs!$B$8*Inputs!$B$7*Inputs!$B$35*$B$149*(1-Inputs!$B$16)/Inputs!$B$17,0)</f>
        <v>0</v>
      </c>
      <c r="AW163" s="33" t="n">
        <f aca="false">IF(Source_Data!AW$6=Inputs!$B$13,-Inputs!$B$7,0)+IF(AND(Source_Data!AW$6&gt;=$B$154,Source_Data!AW$6&lt;$B$154+3*Inputs!$B$17,MOD(Source_Data!AW$6-$B$154,3)=0),Inputs!$B$8*Inputs!$B$7*Inputs!$B$35*$B$149*(1-Inputs!$B$16)/Inputs!$B$17,0)</f>
        <v>0</v>
      </c>
      <c r="AX163" s="33" t="n">
        <f aca="false">IF(Source_Data!AX$6=Inputs!$B$13,-Inputs!$B$7,0)+IF(AND(Source_Data!AX$6&gt;=$B$154,Source_Data!AX$6&lt;$B$154+3*Inputs!$B$17,MOD(Source_Data!AX$6-$B$154,3)=0),Inputs!$B$8*Inputs!$B$7*Inputs!$B$35*$B$149*(1-Inputs!$B$16)/Inputs!$B$17,0)</f>
        <v>0</v>
      </c>
      <c r="AY163" s="33" t="n">
        <f aca="false">IF(Source_Data!AY$6=Inputs!$B$13,-Inputs!$B$7,0)+IF(AND(Source_Data!AY$6&gt;=$B$154,Source_Data!AY$6&lt;$B$154+3*Inputs!$B$17,MOD(Source_Data!AY$6-$B$154,3)=0),Inputs!$B$8*Inputs!$B$7*Inputs!$B$35*$B$149*(1-Inputs!$B$16)/Inputs!$B$17,0)</f>
        <v>0</v>
      </c>
      <c r="AZ163" s="33" t="n">
        <f aca="false">IF(Source_Data!AZ$6=Inputs!$B$13,-Inputs!$B$7,0)+IF(AND(Source_Data!AZ$6&gt;=$B$154,Source_Data!AZ$6&lt;$B$154+3*Inputs!$B$17,MOD(Source_Data!AZ$6-$B$154,3)=0),Inputs!$B$8*Inputs!$B$7*Inputs!$B$35*$B$149*(1-Inputs!$B$16)/Inputs!$B$17,0)</f>
        <v>0</v>
      </c>
      <c r="BA163" s="33" t="n">
        <f aca="false">IF(Source_Data!BA$6=Inputs!$B$13,-Inputs!$B$7,0)+IF(AND(Source_Data!BA$6&gt;=$B$154,Source_Data!BA$6&lt;$B$154+3*Inputs!$B$17,MOD(Source_Data!BA$6-$B$154,3)=0),Inputs!$B$8*Inputs!$B$7*Inputs!$B$35*$B$149*(1-Inputs!$B$16)/Inputs!$B$17,0)</f>
        <v>0</v>
      </c>
      <c r="BB163" s="33" t="n">
        <f aca="false">IF(Source_Data!BB$6=Inputs!$B$13,-Inputs!$B$7,0)+IF(AND(Source_Data!BB$6&gt;=$B$154,Source_Data!BB$6&lt;$B$154+3*Inputs!$B$17,MOD(Source_Data!BB$6-$B$154,3)=0),Inputs!$B$8*Inputs!$B$7*Inputs!$B$35*$B$149*(1-Inputs!$B$16)/Inputs!$B$17,0)</f>
        <v>0</v>
      </c>
      <c r="BC163" s="33" t="n">
        <f aca="false">IF(Source_Data!BC$6=Inputs!$B$13,-Inputs!$B$7,0)+IF(AND(Source_Data!BC$6&gt;=$B$154,Source_Data!BC$6&lt;$B$154+3*Inputs!$B$17,MOD(Source_Data!BC$6-$B$154,3)=0),Inputs!$B$8*Inputs!$B$7*Inputs!$B$35*$B$149*(1-Inputs!$B$16)/Inputs!$B$17,0)</f>
        <v>0</v>
      </c>
      <c r="BD163" s="33" t="n">
        <f aca="false">IF(Source_Data!BD$6=Inputs!$B$13,-Inputs!$B$7,0)+IF(AND(Source_Data!BD$6&gt;=$B$154,Source_Data!BD$6&lt;$B$154+3*Inputs!$B$17,MOD(Source_Data!BD$6-$B$154,3)=0),Inputs!$B$8*Inputs!$B$7*Inputs!$B$35*$B$149*(1-Inputs!$B$16)/Inputs!$B$17,0)</f>
        <v>0</v>
      </c>
      <c r="BE163" s="33" t="n">
        <f aca="false">IF(Source_Data!BE$6=Inputs!$B$13,-Inputs!$B$7,0)+IF(AND(Source_Data!BE$6&gt;=$B$154,Source_Data!BE$6&lt;$B$154+3*Inputs!$B$17,MOD(Source_Data!BE$6-$B$154,3)=0),Inputs!$B$8*Inputs!$B$7*Inputs!$B$35*$B$149*(1-Inputs!$B$16)/Inputs!$B$17,0)</f>
        <v>0</v>
      </c>
      <c r="BF163" s="33" t="n">
        <f aca="false">IF(Source_Data!BF$6=Inputs!$B$13,-Inputs!$B$7,0)+IF(AND(Source_Data!BF$6&gt;=$B$154,Source_Data!BF$6&lt;$B$154+3*Inputs!$B$17,MOD(Source_Data!BF$6-$B$154,3)=0),Inputs!$B$8*Inputs!$B$7*Inputs!$B$35*$B$149*(1-Inputs!$B$16)/Inputs!$B$17,0)</f>
        <v>0</v>
      </c>
      <c r="BG163" s="33" t="n">
        <f aca="false">IF(Source_Data!BG$6=Inputs!$B$13,-Inputs!$B$7,0)+IF(AND(Source_Data!BG$6&gt;=$B$154,Source_Data!BG$6&lt;$B$154+3*Inputs!$B$17,MOD(Source_Data!BG$6-$B$154,3)=0),Inputs!$B$8*Inputs!$B$7*Inputs!$B$35*$B$149*(1-Inputs!$B$16)/Inputs!$B$17,0)</f>
        <v>0</v>
      </c>
      <c r="BH163" s="33" t="n">
        <f aca="false">IF(Source_Data!BH$6=Inputs!$B$13,-Inputs!$B$7,0)+IF(AND(Source_Data!BH$6&gt;=$B$154,Source_Data!BH$6&lt;$B$154+3*Inputs!$B$17,MOD(Source_Data!BH$6-$B$154,3)=0),Inputs!$B$8*Inputs!$B$7*Inputs!$B$35*$B$149*(1-Inputs!$B$16)/Inputs!$B$17,0)</f>
        <v>0</v>
      </c>
      <c r="BI163" s="33" t="n">
        <f aca="false">IF(Source_Data!BI$6=Inputs!$B$13,-Inputs!$B$7,0)+IF(AND(Source_Data!BI$6&gt;=$B$154,Source_Data!BI$6&lt;$B$154+3*Inputs!$B$17,MOD(Source_Data!BI$6-$B$154,3)=0),Inputs!$B$8*Inputs!$B$7*Inputs!$B$35*$B$149*(1-Inputs!$B$16)/Inputs!$B$17,0)</f>
        <v>0</v>
      </c>
      <c r="BJ163" s="33" t="n">
        <f aca="false">IF(Source_Data!BJ$6=Inputs!$B$13,-Inputs!$B$7,0)+IF(AND(Source_Data!BJ$6&gt;=$B$154,Source_Data!BJ$6&lt;$B$154+3*Inputs!$B$17,MOD(Source_Data!BJ$6-$B$154,3)=0),Inputs!$B$8*Inputs!$B$7*Inputs!$B$35*$B$149*(1-Inputs!$B$16)/Inputs!$B$17,0)</f>
        <v>0</v>
      </c>
      <c r="BK163" s="33" t="n">
        <f aca="false">IF(Source_Data!BK$6=Inputs!$B$13,-Inputs!$B$7,0)+IF(AND(Source_Data!BK$6&gt;=$B$154,Source_Data!BK$6&lt;$B$154+3*Inputs!$B$17,MOD(Source_Data!BK$6-$B$154,3)=0),Inputs!$B$8*Inputs!$B$7*Inputs!$B$35*$B$149*(1-Inputs!$B$16)/Inputs!$B$17,0)</f>
        <v>0</v>
      </c>
    </row>
    <row r="164" customFormat="false" ht="15" hidden="false" customHeight="false" outlineLevel="0" collapsed="false">
      <c r="A164" s="3" t="s">
        <v>342</v>
      </c>
      <c r="D164" s="33" t="n">
        <f aca="false">IF(AND(Source_Data!D$6&gt;=Inputs!$B$55,Source_Data!D$6&lt;Inputs!$B$55+3*Inputs!$B$11),Inputs!$B$9*Inputs!$B$7/Inputs!$B$11,0)</f>
        <v>0</v>
      </c>
      <c r="E164" s="33" t="n">
        <f aca="false">IF(AND(Source_Data!E$6&gt;=Inputs!$B$55,Source_Data!E$6&lt;Inputs!$B$55+3*Inputs!$B$11),Inputs!$B$9*Inputs!$B$7/Inputs!$B$11,0)</f>
        <v>0</v>
      </c>
      <c r="F164" s="33" t="n">
        <f aca="false">IF(AND(Source_Data!F$6&gt;=Inputs!$B$55,Source_Data!F$6&lt;Inputs!$B$55+3*Inputs!$B$11),Inputs!$B$9*Inputs!$B$7/Inputs!$B$11,0)</f>
        <v>0</v>
      </c>
      <c r="G164" s="33" t="n">
        <f aca="false">IF(AND(Source_Data!G$6&gt;=Inputs!$B$55,Source_Data!G$6&lt;Inputs!$B$55+3*Inputs!$B$11),Inputs!$B$9*Inputs!$B$7/Inputs!$B$11,0)</f>
        <v>0</v>
      </c>
      <c r="H164" s="33" t="n">
        <f aca="false">IF(AND(Source_Data!H$6&gt;=Inputs!$B$55,Source_Data!H$6&lt;Inputs!$B$55+3*Inputs!$B$11),Inputs!$B$9*Inputs!$B$7/Inputs!$B$11,0)</f>
        <v>0</v>
      </c>
      <c r="I164" s="33" t="n">
        <f aca="false">IF(AND(Source_Data!I$6&gt;=Inputs!$B$55,Source_Data!I$6&lt;Inputs!$B$55+3*Inputs!$B$11),Inputs!$B$9*Inputs!$B$7/Inputs!$B$11,0)</f>
        <v>0</v>
      </c>
      <c r="J164" s="33" t="n">
        <f aca="false">IF(AND(Source_Data!J$6&gt;=Inputs!$B$55,Source_Data!J$6&lt;Inputs!$B$55+3*Inputs!$B$11),Inputs!$B$9*Inputs!$B$7/Inputs!$B$11,0)</f>
        <v>0</v>
      </c>
      <c r="K164" s="33" t="n">
        <f aca="false">IF(AND(Source_Data!K$6&gt;=Inputs!$B$55,Source_Data!K$6&lt;Inputs!$B$55+3*Inputs!$B$11),Inputs!$B$9*Inputs!$B$7/Inputs!$B$11,0)</f>
        <v>0</v>
      </c>
      <c r="L164" s="33" t="n">
        <f aca="false">IF(AND(Source_Data!L$6&gt;=Inputs!$B$55,Source_Data!L$6&lt;Inputs!$B$55+3*Inputs!$B$11),Inputs!$B$9*Inputs!$B$7/Inputs!$B$11,0)</f>
        <v>0</v>
      </c>
      <c r="M164" s="33" t="n">
        <f aca="false">IF(AND(Source_Data!M$6&gt;=Inputs!$B$55,Source_Data!M$6&lt;Inputs!$B$55+3*Inputs!$B$11),Inputs!$B$9*Inputs!$B$7/Inputs!$B$11,0)</f>
        <v>14.375</v>
      </c>
      <c r="N164" s="33" t="n">
        <f aca="false">IF(AND(Source_Data!N$6&gt;=Inputs!$B$55,Source_Data!N$6&lt;Inputs!$B$55+3*Inputs!$B$11),Inputs!$B$9*Inputs!$B$7/Inputs!$B$11,0)</f>
        <v>14.375</v>
      </c>
      <c r="O164" s="33" t="n">
        <f aca="false">IF(AND(Source_Data!O$6&gt;=Inputs!$B$55,Source_Data!O$6&lt;Inputs!$B$55+3*Inputs!$B$11),Inputs!$B$9*Inputs!$B$7/Inputs!$B$11,0)</f>
        <v>14.375</v>
      </c>
      <c r="P164" s="33" t="n">
        <f aca="false">IF(AND(Source_Data!P$6&gt;=Inputs!$B$55,Source_Data!P$6&lt;Inputs!$B$55+3*Inputs!$B$11),Inputs!$B$9*Inputs!$B$7/Inputs!$B$11,0)</f>
        <v>14.375</v>
      </c>
      <c r="Q164" s="33" t="n">
        <f aca="false">IF(AND(Source_Data!Q$6&gt;=Inputs!$B$55,Source_Data!Q$6&lt;Inputs!$B$55+3*Inputs!$B$11),Inputs!$B$9*Inputs!$B$7/Inputs!$B$11,0)</f>
        <v>14.375</v>
      </c>
      <c r="R164" s="33" t="n">
        <f aca="false">IF(AND(Source_Data!R$6&gt;=Inputs!$B$55,Source_Data!R$6&lt;Inputs!$B$55+3*Inputs!$B$11),Inputs!$B$9*Inputs!$B$7/Inputs!$B$11,0)</f>
        <v>14.375</v>
      </c>
      <c r="S164" s="33" t="n">
        <f aca="false">IF(AND(Source_Data!S$6&gt;=Inputs!$B$55,Source_Data!S$6&lt;Inputs!$B$55+3*Inputs!$B$11),Inputs!$B$9*Inputs!$B$7/Inputs!$B$11,0)</f>
        <v>14.375</v>
      </c>
      <c r="T164" s="33" t="n">
        <f aca="false">IF(AND(Source_Data!T$6&gt;=Inputs!$B$55,Source_Data!T$6&lt;Inputs!$B$55+3*Inputs!$B$11),Inputs!$B$9*Inputs!$B$7/Inputs!$B$11,0)</f>
        <v>14.375</v>
      </c>
      <c r="U164" s="33" t="n">
        <f aca="false">IF(AND(Source_Data!U$6&gt;=Inputs!$B$55,Source_Data!U$6&lt;Inputs!$B$55+3*Inputs!$B$11),Inputs!$B$9*Inputs!$B$7/Inputs!$B$11,0)</f>
        <v>14.375</v>
      </c>
      <c r="V164" s="33" t="n">
        <f aca="false">IF(AND(Source_Data!V$6&gt;=Inputs!$B$55,Source_Data!V$6&lt;Inputs!$B$55+3*Inputs!$B$11),Inputs!$B$9*Inputs!$B$7/Inputs!$B$11,0)</f>
        <v>14.375</v>
      </c>
      <c r="W164" s="33" t="n">
        <f aca="false">IF(AND(Source_Data!W$6&gt;=Inputs!$B$55,Source_Data!W$6&lt;Inputs!$B$55+3*Inputs!$B$11),Inputs!$B$9*Inputs!$B$7/Inputs!$B$11,0)</f>
        <v>14.375</v>
      </c>
      <c r="X164" s="33" t="n">
        <f aca="false">IF(AND(Source_Data!X$6&gt;=Inputs!$B$55,Source_Data!X$6&lt;Inputs!$B$55+3*Inputs!$B$11),Inputs!$B$9*Inputs!$B$7/Inputs!$B$11,0)</f>
        <v>14.375</v>
      </c>
      <c r="Y164" s="33" t="n">
        <f aca="false">IF(AND(Source_Data!Y$6&gt;=Inputs!$B$55,Source_Data!Y$6&lt;Inputs!$B$55+3*Inputs!$B$11),Inputs!$B$9*Inputs!$B$7/Inputs!$B$11,0)</f>
        <v>0</v>
      </c>
      <c r="Z164" s="33" t="n">
        <f aca="false">IF(AND(Source_Data!Z$6&gt;=Inputs!$B$55,Source_Data!Z$6&lt;Inputs!$B$55+3*Inputs!$B$11),Inputs!$B$9*Inputs!$B$7/Inputs!$B$11,0)</f>
        <v>0</v>
      </c>
      <c r="AA164" s="33" t="n">
        <f aca="false">IF(AND(Source_Data!AA$6&gt;=Inputs!$B$55,Source_Data!AA$6&lt;Inputs!$B$55+3*Inputs!$B$11),Inputs!$B$9*Inputs!$B$7/Inputs!$B$11,0)</f>
        <v>0</v>
      </c>
      <c r="AB164" s="33" t="n">
        <f aca="false">IF(AND(Source_Data!AB$6&gt;=Inputs!$B$55,Source_Data!AB$6&lt;Inputs!$B$55+3*Inputs!$B$11),Inputs!$B$9*Inputs!$B$7/Inputs!$B$11,0)</f>
        <v>0</v>
      </c>
      <c r="AC164" s="33" t="n">
        <f aca="false">IF(AND(Source_Data!AC$6&gt;=Inputs!$B$55,Source_Data!AC$6&lt;Inputs!$B$55+3*Inputs!$B$11),Inputs!$B$9*Inputs!$B$7/Inputs!$B$11,0)</f>
        <v>0</v>
      </c>
      <c r="AD164" s="33" t="n">
        <f aca="false">IF(AND(Source_Data!AD$6&gt;=Inputs!$B$55,Source_Data!AD$6&lt;Inputs!$B$55+3*Inputs!$B$11),Inputs!$B$9*Inputs!$B$7/Inputs!$B$11,0)</f>
        <v>0</v>
      </c>
      <c r="AE164" s="33" t="n">
        <f aca="false">IF(AND(Source_Data!AE$6&gt;=Inputs!$B$55,Source_Data!AE$6&lt;Inputs!$B$55+3*Inputs!$B$11),Inputs!$B$9*Inputs!$B$7/Inputs!$B$11,0)</f>
        <v>0</v>
      </c>
      <c r="AF164" s="33" t="n">
        <f aca="false">IF(AND(Source_Data!AF$6&gt;=Inputs!$B$55,Source_Data!AF$6&lt;Inputs!$B$55+3*Inputs!$B$11),Inputs!$B$9*Inputs!$B$7/Inputs!$B$11,0)</f>
        <v>0</v>
      </c>
      <c r="AG164" s="33" t="n">
        <f aca="false">IF(AND(Source_Data!AG$6&gt;=Inputs!$B$55,Source_Data!AG$6&lt;Inputs!$B$55+3*Inputs!$B$11),Inputs!$B$9*Inputs!$B$7/Inputs!$B$11,0)</f>
        <v>0</v>
      </c>
      <c r="AH164" s="33" t="n">
        <f aca="false">IF(AND(Source_Data!AH$6&gt;=Inputs!$B$55,Source_Data!AH$6&lt;Inputs!$B$55+3*Inputs!$B$11),Inputs!$B$9*Inputs!$B$7/Inputs!$B$11,0)</f>
        <v>0</v>
      </c>
      <c r="AI164" s="33" t="n">
        <f aca="false">IF(AND(Source_Data!AI$6&gt;=Inputs!$B$55,Source_Data!AI$6&lt;Inputs!$B$55+3*Inputs!$B$11),Inputs!$B$9*Inputs!$B$7/Inputs!$B$11,0)</f>
        <v>0</v>
      </c>
      <c r="AJ164" s="33" t="n">
        <f aca="false">IF(AND(Source_Data!AJ$6&gt;=Inputs!$B$55,Source_Data!AJ$6&lt;Inputs!$B$55+3*Inputs!$B$11),Inputs!$B$9*Inputs!$B$7/Inputs!$B$11,0)</f>
        <v>0</v>
      </c>
      <c r="AK164" s="33" t="n">
        <f aca="false">IF(AND(Source_Data!AK$6&gt;=Inputs!$B$55,Source_Data!AK$6&lt;Inputs!$B$55+3*Inputs!$B$11),Inputs!$B$9*Inputs!$B$7/Inputs!$B$11,0)</f>
        <v>0</v>
      </c>
      <c r="AL164" s="33" t="n">
        <f aca="false">IF(AND(Source_Data!AL$6&gt;=Inputs!$B$55,Source_Data!AL$6&lt;Inputs!$B$55+3*Inputs!$B$11),Inputs!$B$9*Inputs!$B$7/Inputs!$B$11,0)</f>
        <v>0</v>
      </c>
      <c r="AM164" s="33" t="n">
        <f aca="false">IF(AND(Source_Data!AM$6&gt;=Inputs!$B$55,Source_Data!AM$6&lt;Inputs!$B$55+3*Inputs!$B$11),Inputs!$B$9*Inputs!$B$7/Inputs!$B$11,0)</f>
        <v>0</v>
      </c>
      <c r="AN164" s="33" t="n">
        <f aca="false">IF(AND(Source_Data!AN$6&gt;=Inputs!$B$55,Source_Data!AN$6&lt;Inputs!$B$55+3*Inputs!$B$11),Inputs!$B$9*Inputs!$B$7/Inputs!$B$11,0)</f>
        <v>0</v>
      </c>
      <c r="AO164" s="33" t="n">
        <f aca="false">IF(AND(Source_Data!AO$6&gt;=Inputs!$B$55,Source_Data!AO$6&lt;Inputs!$B$55+3*Inputs!$B$11),Inputs!$B$9*Inputs!$B$7/Inputs!$B$11,0)</f>
        <v>0</v>
      </c>
      <c r="AP164" s="33" t="n">
        <f aca="false">IF(AND(Source_Data!AP$6&gt;=Inputs!$B$55,Source_Data!AP$6&lt;Inputs!$B$55+3*Inputs!$B$11),Inputs!$B$9*Inputs!$B$7/Inputs!$B$11,0)</f>
        <v>0</v>
      </c>
      <c r="AQ164" s="33" t="n">
        <f aca="false">IF(AND(Source_Data!AQ$6&gt;=Inputs!$B$55,Source_Data!AQ$6&lt;Inputs!$B$55+3*Inputs!$B$11),Inputs!$B$9*Inputs!$B$7/Inputs!$B$11,0)</f>
        <v>0</v>
      </c>
      <c r="AR164" s="33" t="n">
        <f aca="false">IF(AND(Source_Data!AR$6&gt;=Inputs!$B$55,Source_Data!AR$6&lt;Inputs!$B$55+3*Inputs!$B$11),Inputs!$B$9*Inputs!$B$7/Inputs!$B$11,0)</f>
        <v>0</v>
      </c>
      <c r="AS164" s="33" t="n">
        <f aca="false">IF(AND(Source_Data!AS$6&gt;=Inputs!$B$55,Source_Data!AS$6&lt;Inputs!$B$55+3*Inputs!$B$11),Inputs!$B$9*Inputs!$B$7/Inputs!$B$11,0)</f>
        <v>0</v>
      </c>
      <c r="AT164" s="33" t="n">
        <f aca="false">IF(AND(Source_Data!AT$6&gt;=Inputs!$B$55,Source_Data!AT$6&lt;Inputs!$B$55+3*Inputs!$B$11),Inputs!$B$9*Inputs!$B$7/Inputs!$B$11,0)</f>
        <v>0</v>
      </c>
      <c r="AU164" s="33" t="n">
        <f aca="false">IF(AND(Source_Data!AU$6&gt;=Inputs!$B$55,Source_Data!AU$6&lt;Inputs!$B$55+3*Inputs!$B$11),Inputs!$B$9*Inputs!$B$7/Inputs!$B$11,0)</f>
        <v>0</v>
      </c>
      <c r="AV164" s="33" t="n">
        <f aca="false">IF(AND(Source_Data!AV$6&gt;=Inputs!$B$55,Source_Data!AV$6&lt;Inputs!$B$55+3*Inputs!$B$11),Inputs!$B$9*Inputs!$B$7/Inputs!$B$11,0)</f>
        <v>0</v>
      </c>
      <c r="AW164" s="33" t="n">
        <f aca="false">IF(AND(Source_Data!AW$6&gt;=Inputs!$B$55,Source_Data!AW$6&lt;Inputs!$B$55+3*Inputs!$B$11),Inputs!$B$9*Inputs!$B$7/Inputs!$B$11,0)</f>
        <v>0</v>
      </c>
      <c r="AX164" s="33" t="n">
        <f aca="false">IF(AND(Source_Data!AX$6&gt;=Inputs!$B$55,Source_Data!AX$6&lt;Inputs!$B$55+3*Inputs!$B$11),Inputs!$B$9*Inputs!$B$7/Inputs!$B$11,0)</f>
        <v>0</v>
      </c>
      <c r="AY164" s="33" t="n">
        <f aca="false">IF(AND(Source_Data!AY$6&gt;=Inputs!$B$55,Source_Data!AY$6&lt;Inputs!$B$55+3*Inputs!$B$11),Inputs!$B$9*Inputs!$B$7/Inputs!$B$11,0)</f>
        <v>0</v>
      </c>
      <c r="AZ164" s="33" t="n">
        <f aca="false">IF(AND(Source_Data!AZ$6&gt;=Inputs!$B$55,Source_Data!AZ$6&lt;Inputs!$B$55+3*Inputs!$B$11),Inputs!$B$9*Inputs!$B$7/Inputs!$B$11,0)</f>
        <v>0</v>
      </c>
      <c r="BA164" s="33" t="n">
        <f aca="false">IF(AND(Source_Data!BA$6&gt;=Inputs!$B$55,Source_Data!BA$6&lt;Inputs!$B$55+3*Inputs!$B$11),Inputs!$B$9*Inputs!$B$7/Inputs!$B$11,0)</f>
        <v>0</v>
      </c>
      <c r="BB164" s="33" t="n">
        <f aca="false">IF(AND(Source_Data!BB$6&gt;=Inputs!$B$55,Source_Data!BB$6&lt;Inputs!$B$55+3*Inputs!$B$11),Inputs!$B$9*Inputs!$B$7/Inputs!$B$11,0)</f>
        <v>0</v>
      </c>
      <c r="BC164" s="33" t="n">
        <f aca="false">IF(AND(Source_Data!BC$6&gt;=Inputs!$B$55,Source_Data!BC$6&lt;Inputs!$B$55+3*Inputs!$B$11),Inputs!$B$9*Inputs!$B$7/Inputs!$B$11,0)</f>
        <v>0</v>
      </c>
      <c r="BD164" s="33" t="n">
        <f aca="false">IF(AND(Source_Data!BD$6&gt;=Inputs!$B$55,Source_Data!BD$6&lt;Inputs!$B$55+3*Inputs!$B$11),Inputs!$B$9*Inputs!$B$7/Inputs!$B$11,0)</f>
        <v>0</v>
      </c>
      <c r="BE164" s="33" t="n">
        <f aca="false">IF(AND(Source_Data!BE$6&gt;=Inputs!$B$55,Source_Data!BE$6&lt;Inputs!$B$55+3*Inputs!$B$11),Inputs!$B$9*Inputs!$B$7/Inputs!$B$11,0)</f>
        <v>0</v>
      </c>
      <c r="BF164" s="33" t="n">
        <f aca="false">IF(AND(Source_Data!BF$6&gt;=Inputs!$B$55,Source_Data!BF$6&lt;Inputs!$B$55+3*Inputs!$B$11),Inputs!$B$9*Inputs!$B$7/Inputs!$B$11,0)</f>
        <v>0</v>
      </c>
      <c r="BG164" s="33" t="n">
        <f aca="false">IF(AND(Source_Data!BG$6&gt;=Inputs!$B$55,Source_Data!BG$6&lt;Inputs!$B$55+3*Inputs!$B$11),Inputs!$B$9*Inputs!$B$7/Inputs!$B$11,0)</f>
        <v>0</v>
      </c>
      <c r="BH164" s="33" t="n">
        <f aca="false">IF(AND(Source_Data!BH$6&gt;=Inputs!$B$55,Source_Data!BH$6&lt;Inputs!$B$55+3*Inputs!$B$11),Inputs!$B$9*Inputs!$B$7/Inputs!$B$11,0)</f>
        <v>0</v>
      </c>
      <c r="BI164" s="33" t="n">
        <f aca="false">IF(AND(Source_Data!BI$6&gt;=Inputs!$B$55,Source_Data!BI$6&lt;Inputs!$B$55+3*Inputs!$B$11),Inputs!$B$9*Inputs!$B$7/Inputs!$B$11,0)</f>
        <v>0</v>
      </c>
      <c r="BJ164" s="33" t="n">
        <f aca="false">IF(AND(Source_Data!BJ$6&gt;=Inputs!$B$55,Source_Data!BJ$6&lt;Inputs!$B$55+3*Inputs!$B$11),Inputs!$B$9*Inputs!$B$7/Inputs!$B$11,0)</f>
        <v>0</v>
      </c>
      <c r="BK164" s="33" t="n">
        <f aca="false">IF(AND(Source_Data!BK$6&gt;=Inputs!$B$55,Source_Data!BK$6&lt;Inputs!$B$55+3*Inputs!$B$11),Inputs!$B$9*Inputs!$B$7/Inputs!$B$11,0)</f>
        <v>0</v>
      </c>
    </row>
    <row r="165" customFormat="false" ht="15" hidden="false" customHeight="false" outlineLevel="0" collapsed="false">
      <c r="A165" s="3" t="s">
        <v>343</v>
      </c>
      <c r="D165" s="33" t="n">
        <f aca="false">IF(Source_Data!D$6=Inputs!$B$13,-Inputs!$B$7,0)+D164</f>
        <v>-75</v>
      </c>
      <c r="E165" s="33" t="n">
        <f aca="false">IF(Source_Data!E$6=Inputs!$B$13,-Inputs!$B$7,0)+E164</f>
        <v>0</v>
      </c>
      <c r="F165" s="33" t="n">
        <f aca="false">IF(Source_Data!F$6=Inputs!$B$13,-Inputs!$B$7,0)+F164</f>
        <v>0</v>
      </c>
      <c r="G165" s="33" t="n">
        <f aca="false">IF(Source_Data!G$6=Inputs!$B$13,-Inputs!$B$7,0)+G164</f>
        <v>0</v>
      </c>
      <c r="H165" s="33" t="n">
        <f aca="false">IF(Source_Data!H$6=Inputs!$B$13,-Inputs!$B$7,0)+H164</f>
        <v>0</v>
      </c>
      <c r="I165" s="33" t="n">
        <f aca="false">IF(Source_Data!I$6=Inputs!$B$13,-Inputs!$B$7,0)+I164</f>
        <v>0</v>
      </c>
      <c r="J165" s="33" t="n">
        <f aca="false">IF(Source_Data!J$6=Inputs!$B$13,-Inputs!$B$7,0)+J164</f>
        <v>0</v>
      </c>
      <c r="K165" s="33" t="n">
        <f aca="false">IF(Source_Data!K$6=Inputs!$B$13,-Inputs!$B$7,0)+K164</f>
        <v>0</v>
      </c>
      <c r="L165" s="33" t="n">
        <f aca="false">IF(Source_Data!L$6=Inputs!$B$13,-Inputs!$B$7,0)+L164</f>
        <v>0</v>
      </c>
      <c r="M165" s="33" t="n">
        <f aca="false">IF(Source_Data!M$6=Inputs!$B$13,-Inputs!$B$7,0)+M164</f>
        <v>14.375</v>
      </c>
      <c r="N165" s="33" t="n">
        <f aca="false">IF(Source_Data!N$6=Inputs!$B$13,-Inputs!$B$7,0)+N164</f>
        <v>14.375</v>
      </c>
      <c r="O165" s="33" t="n">
        <f aca="false">IF(Source_Data!O$6=Inputs!$B$13,-Inputs!$B$7,0)+O164</f>
        <v>14.375</v>
      </c>
      <c r="P165" s="33" t="n">
        <f aca="false">IF(Source_Data!P$6=Inputs!$B$13,-Inputs!$B$7,0)+P164</f>
        <v>14.375</v>
      </c>
      <c r="Q165" s="33" t="n">
        <f aca="false">IF(Source_Data!Q$6=Inputs!$B$13,-Inputs!$B$7,0)+Q164</f>
        <v>14.375</v>
      </c>
      <c r="R165" s="33" t="n">
        <f aca="false">IF(Source_Data!R$6=Inputs!$B$13,-Inputs!$B$7,0)+R164</f>
        <v>14.375</v>
      </c>
      <c r="S165" s="33" t="n">
        <f aca="false">IF(Source_Data!S$6=Inputs!$B$13,-Inputs!$B$7,0)+S164</f>
        <v>14.375</v>
      </c>
      <c r="T165" s="33" t="n">
        <f aca="false">IF(Source_Data!T$6=Inputs!$B$13,-Inputs!$B$7,0)+T164</f>
        <v>14.375</v>
      </c>
      <c r="U165" s="33" t="n">
        <f aca="false">IF(Source_Data!U$6=Inputs!$B$13,-Inputs!$B$7,0)+U164</f>
        <v>14.375</v>
      </c>
      <c r="V165" s="33" t="n">
        <f aca="false">IF(Source_Data!V$6=Inputs!$B$13,-Inputs!$B$7,0)+V164</f>
        <v>14.375</v>
      </c>
      <c r="W165" s="33" t="n">
        <f aca="false">IF(Source_Data!W$6=Inputs!$B$13,-Inputs!$B$7,0)+W164</f>
        <v>14.375</v>
      </c>
      <c r="X165" s="33" t="n">
        <f aca="false">IF(Source_Data!X$6=Inputs!$B$13,-Inputs!$B$7,0)+X164</f>
        <v>14.375</v>
      </c>
      <c r="Y165" s="33" t="n">
        <f aca="false">IF(Source_Data!Y$6=Inputs!$B$13,-Inputs!$B$7,0)+Y164</f>
        <v>0</v>
      </c>
      <c r="Z165" s="33" t="n">
        <f aca="false">IF(Source_Data!Z$6=Inputs!$B$13,-Inputs!$B$7,0)+Z164</f>
        <v>0</v>
      </c>
      <c r="AA165" s="33" t="n">
        <f aca="false">IF(Source_Data!AA$6=Inputs!$B$13,-Inputs!$B$7,0)+AA164</f>
        <v>0</v>
      </c>
      <c r="AB165" s="33" t="n">
        <f aca="false">IF(Source_Data!AB$6=Inputs!$B$13,-Inputs!$B$7,0)+AB164</f>
        <v>0</v>
      </c>
      <c r="AC165" s="33" t="n">
        <f aca="false">IF(Source_Data!AC$6=Inputs!$B$13,-Inputs!$B$7,0)+AC164</f>
        <v>0</v>
      </c>
      <c r="AD165" s="33" t="n">
        <f aca="false">IF(Source_Data!AD$6=Inputs!$B$13,-Inputs!$B$7,0)+AD164</f>
        <v>0</v>
      </c>
      <c r="AE165" s="33" t="n">
        <f aca="false">IF(Source_Data!AE$6=Inputs!$B$13,-Inputs!$B$7,0)+AE164</f>
        <v>0</v>
      </c>
      <c r="AF165" s="33" t="n">
        <f aca="false">IF(Source_Data!AF$6=Inputs!$B$13,-Inputs!$B$7,0)+AF164</f>
        <v>0</v>
      </c>
      <c r="AG165" s="33" t="n">
        <f aca="false">IF(Source_Data!AG$6=Inputs!$B$13,-Inputs!$B$7,0)+AG164</f>
        <v>0</v>
      </c>
      <c r="AH165" s="33" t="n">
        <f aca="false">IF(Source_Data!AH$6=Inputs!$B$13,-Inputs!$B$7,0)+AH164</f>
        <v>0</v>
      </c>
      <c r="AI165" s="33" t="n">
        <f aca="false">IF(Source_Data!AI$6=Inputs!$B$13,-Inputs!$B$7,0)+AI164</f>
        <v>0</v>
      </c>
      <c r="AJ165" s="33" t="n">
        <f aca="false">IF(Source_Data!AJ$6=Inputs!$B$13,-Inputs!$B$7,0)+AJ164</f>
        <v>0</v>
      </c>
      <c r="AK165" s="33" t="n">
        <f aca="false">IF(Source_Data!AK$6=Inputs!$B$13,-Inputs!$B$7,0)+AK164</f>
        <v>0</v>
      </c>
      <c r="AL165" s="33" t="n">
        <f aca="false">IF(Source_Data!AL$6=Inputs!$B$13,-Inputs!$B$7,0)+AL164</f>
        <v>0</v>
      </c>
      <c r="AM165" s="33" t="n">
        <f aca="false">IF(Source_Data!AM$6=Inputs!$B$13,-Inputs!$B$7,0)+AM164</f>
        <v>0</v>
      </c>
      <c r="AN165" s="33" t="n">
        <f aca="false">IF(Source_Data!AN$6=Inputs!$B$13,-Inputs!$B$7,0)+AN164</f>
        <v>0</v>
      </c>
      <c r="AO165" s="33" t="n">
        <f aca="false">IF(Source_Data!AO$6=Inputs!$B$13,-Inputs!$B$7,0)+AO164</f>
        <v>0</v>
      </c>
      <c r="AP165" s="33" t="n">
        <f aca="false">IF(Source_Data!AP$6=Inputs!$B$13,-Inputs!$B$7,0)+AP164</f>
        <v>0</v>
      </c>
      <c r="AQ165" s="33" t="n">
        <f aca="false">IF(Source_Data!AQ$6=Inputs!$B$13,-Inputs!$B$7,0)+AQ164</f>
        <v>0</v>
      </c>
      <c r="AR165" s="33" t="n">
        <f aca="false">IF(Source_Data!AR$6=Inputs!$B$13,-Inputs!$B$7,0)+AR164</f>
        <v>0</v>
      </c>
      <c r="AS165" s="33" t="n">
        <f aca="false">IF(Source_Data!AS$6=Inputs!$B$13,-Inputs!$B$7,0)+AS164</f>
        <v>0</v>
      </c>
      <c r="AT165" s="33" t="n">
        <f aca="false">IF(Source_Data!AT$6=Inputs!$B$13,-Inputs!$B$7,0)+AT164</f>
        <v>0</v>
      </c>
      <c r="AU165" s="33" t="n">
        <f aca="false">IF(Source_Data!AU$6=Inputs!$B$13,-Inputs!$B$7,0)+AU164</f>
        <v>0</v>
      </c>
      <c r="AV165" s="33" t="n">
        <f aca="false">IF(Source_Data!AV$6=Inputs!$B$13,-Inputs!$B$7,0)+AV164</f>
        <v>0</v>
      </c>
      <c r="AW165" s="33" t="n">
        <f aca="false">IF(Source_Data!AW$6=Inputs!$B$13,-Inputs!$B$7,0)+AW164</f>
        <v>0</v>
      </c>
      <c r="AX165" s="33" t="n">
        <f aca="false">IF(Source_Data!AX$6=Inputs!$B$13,-Inputs!$B$7,0)+AX164</f>
        <v>0</v>
      </c>
      <c r="AY165" s="33" t="n">
        <f aca="false">IF(Source_Data!AY$6=Inputs!$B$13,-Inputs!$B$7,0)+AY164</f>
        <v>0</v>
      </c>
      <c r="AZ165" s="33" t="n">
        <f aca="false">IF(Source_Data!AZ$6=Inputs!$B$13,-Inputs!$B$7,0)+AZ164</f>
        <v>0</v>
      </c>
      <c r="BA165" s="33" t="n">
        <f aca="false">IF(Source_Data!BA$6=Inputs!$B$13,-Inputs!$B$7,0)+BA164</f>
        <v>0</v>
      </c>
      <c r="BB165" s="33" t="n">
        <f aca="false">IF(Source_Data!BB$6=Inputs!$B$13,-Inputs!$B$7,0)+BB164</f>
        <v>0</v>
      </c>
      <c r="BC165" s="33" t="n">
        <f aca="false">IF(Source_Data!BC$6=Inputs!$B$13,-Inputs!$B$7,0)+BC164</f>
        <v>0</v>
      </c>
      <c r="BD165" s="33" t="n">
        <f aca="false">IF(Source_Data!BD$6=Inputs!$B$13,-Inputs!$B$7,0)+BD164</f>
        <v>0</v>
      </c>
      <c r="BE165" s="33" t="n">
        <f aca="false">IF(Source_Data!BE$6=Inputs!$B$13,-Inputs!$B$7,0)+BE164</f>
        <v>0</v>
      </c>
      <c r="BF165" s="33" t="n">
        <f aca="false">IF(Source_Data!BF$6=Inputs!$B$13,-Inputs!$B$7,0)+BF164</f>
        <v>0</v>
      </c>
      <c r="BG165" s="33" t="n">
        <f aca="false">IF(Source_Data!BG$6=Inputs!$B$13,-Inputs!$B$7,0)+BG164</f>
        <v>0</v>
      </c>
      <c r="BH165" s="33" t="n">
        <f aca="false">IF(Source_Data!BH$6=Inputs!$B$13,-Inputs!$B$7,0)+BH164</f>
        <v>0</v>
      </c>
      <c r="BI165" s="33" t="n">
        <f aca="false">IF(Source_Data!BI$6=Inputs!$B$13,-Inputs!$B$7,0)+BI164</f>
        <v>0</v>
      </c>
      <c r="BJ165" s="33" t="n">
        <f aca="false">IF(Source_Data!BJ$6=Inputs!$B$13,-Inputs!$B$7,0)+BJ164</f>
        <v>0</v>
      </c>
      <c r="BK165" s="33" t="n">
        <f aca="false">IF(Source_Data!BK$6=Inputs!$B$13,-Inputs!$B$7,0)+BK164</f>
        <v>0</v>
      </c>
    </row>
    <row r="166" customFormat="false" ht="15" hidden="false" customHeight="false" outlineLevel="0" collapsed="false">
      <c r="A166" s="3" t="s">
        <v>344</v>
      </c>
      <c r="D166" s="33" t="n">
        <f aca="false">IF(Source_Data!D$6=Inputs!$B$13,Inputs!$B$7,0)+D161-D164</f>
        <v>-16.25</v>
      </c>
      <c r="E166" s="33" t="n">
        <f aca="false">D166+IF(Source_Data!E$6=Inputs!$B$13,Inputs!$B$7,0)+E161-E164</f>
        <v>-27.5</v>
      </c>
      <c r="F166" s="33" t="n">
        <f aca="false">E166+IF(Source_Data!F$6=Inputs!$B$13,Inputs!$B$7,0)+F161-F164</f>
        <v>-38.75</v>
      </c>
      <c r="G166" s="33" t="n">
        <f aca="false">F166+IF(Source_Data!G$6=Inputs!$B$13,Inputs!$B$7,0)+G161-G164</f>
        <v>-50</v>
      </c>
      <c r="H166" s="33" t="n">
        <f aca="false">G166+IF(Source_Data!H$6=Inputs!$B$13,Inputs!$B$7,0)+H161-H164</f>
        <v>-80.3607625</v>
      </c>
      <c r="I166" s="33" t="n">
        <f aca="false">H166+IF(Source_Data!I$6=Inputs!$B$13,Inputs!$B$7,0)+I161-I164</f>
        <v>-102.9422875</v>
      </c>
      <c r="J166" s="33" t="n">
        <f aca="false">I166+IF(Source_Data!J$6=Inputs!$B$13,Inputs!$B$7,0)+J161-J164</f>
        <v>-137.04167125</v>
      </c>
      <c r="K166" s="33" t="n">
        <f aca="false">J166+IF(Source_Data!K$6=Inputs!$B$13,Inputs!$B$7,0)+K161-K164</f>
        <v>-139.26752375</v>
      </c>
      <c r="L166" s="33" t="n">
        <f aca="false">K166+IF(Source_Data!L$6=Inputs!$B$13,Inputs!$B$7,0)+L161-L164</f>
        <v>-150.53308375</v>
      </c>
      <c r="M166" s="33" t="n">
        <f aca="false">L166+IF(Source_Data!M$6=Inputs!$B$13,Inputs!$B$7,0)+M161-M164</f>
        <v>-175.065784375</v>
      </c>
      <c r="N166" s="33" t="n">
        <f aca="false">M166+IF(Source_Data!N$6=Inputs!$B$13,Inputs!$B$7,0)+N161-N164</f>
        <v>-155.9229459375</v>
      </c>
      <c r="O166" s="33" t="n">
        <f aca="false">N166+IF(Source_Data!O$6=Inputs!$B$13,Inputs!$B$7,0)+O161-O164</f>
        <v>278.1448815625</v>
      </c>
      <c r="P166" s="33" t="n">
        <f aca="false">O166+IF(Source_Data!P$6=Inputs!$B$13,Inputs!$B$7,0)+P161-P164</f>
        <v>258.6495915625</v>
      </c>
      <c r="Q166" s="33" t="n">
        <f aca="false">P166+IF(Source_Data!Q$6=Inputs!$B$13,Inputs!$B$7,0)+Q161-Q164</f>
        <v>228.5477915625</v>
      </c>
      <c r="R166" s="33" t="n">
        <f aca="false">Q166+IF(Source_Data!R$6=Inputs!$B$13,Inputs!$B$7,0)+R161-R164</f>
        <v>68.6227415625001</v>
      </c>
      <c r="S166" s="33" t="n">
        <f aca="false">R166+IF(Source_Data!S$6=Inputs!$B$13,Inputs!$B$7,0)+S161-S164</f>
        <v>-60.6484896874999</v>
      </c>
      <c r="T166" s="33" t="n">
        <f aca="false">S166+IF(Source_Data!T$6=Inputs!$B$13,Inputs!$B$7,0)+T161-T164</f>
        <v>-48.7135209374999</v>
      </c>
      <c r="U166" s="33" t="n">
        <f aca="false">T166+IF(Source_Data!U$6=Inputs!$B$13,Inputs!$B$7,0)+U161-U164</f>
        <v>-40.0514853125</v>
      </c>
      <c r="V166" s="33" t="n">
        <f aca="false">U166+IF(Source_Data!V$6=Inputs!$B$13,Inputs!$B$7,0)+V161-V164</f>
        <v>-38.199845625</v>
      </c>
      <c r="W166" s="33" t="n">
        <f aca="false">V166+IF(Source_Data!W$6=Inputs!$B$13,Inputs!$B$7,0)+W161-W164</f>
        <v>-37.8621296875</v>
      </c>
      <c r="X166" s="33" t="n">
        <f aca="false">W166+IF(Source_Data!X$6=Inputs!$B$13,Inputs!$B$7,0)+X161-X164</f>
        <v>-21.013185</v>
      </c>
      <c r="Y166" s="33" t="n">
        <f aca="false">X166+IF(Source_Data!Y$6=Inputs!$B$13,Inputs!$B$7,0)+Y161-Y164</f>
        <v>5.86975968750005</v>
      </c>
      <c r="Z166" s="33" t="n">
        <f aca="false">Y166+IF(Source_Data!Z$6=Inputs!$B$13,Inputs!$B$7,0)+Z161-Z164</f>
        <v>32.7527043750001</v>
      </c>
      <c r="AA166" s="33" t="n">
        <f aca="false">Z166+IF(Source_Data!AA$6=Inputs!$B$13,Inputs!$B$7,0)+AA161-AA164</f>
        <v>52.3554303125001</v>
      </c>
      <c r="AB166" s="33" t="n">
        <f aca="false">AA166+IF(Source_Data!AB$6=Inputs!$B$13,Inputs!$B$7,0)+AB161-AB164</f>
        <v>94.45815625</v>
      </c>
      <c r="AC166" s="33" t="n">
        <f aca="false">AB166+IF(Source_Data!AC$6=Inputs!$B$13,Inputs!$B$7,0)+AC161-AC164</f>
        <v>136.5608821875</v>
      </c>
      <c r="AD166" s="33" t="n">
        <f aca="false">AC166+IF(Source_Data!AD$6=Inputs!$B$13,Inputs!$B$7,0)+AD161-AD164</f>
        <v>172.875608125</v>
      </c>
      <c r="AE166" s="33" t="n">
        <f aca="false">AD166+IF(Source_Data!AE$6=Inputs!$B$13,Inputs!$B$7,0)+AE161-AE164</f>
        <v>205.914235625</v>
      </c>
      <c r="AF166" s="33" t="n">
        <f aca="false">AE166+IF(Source_Data!AF$6=Inputs!$B$13,Inputs!$B$7,0)+AF161-AF164</f>
        <v>127.586196523438</v>
      </c>
      <c r="AG166" s="33" t="n">
        <f aca="false">AF166+IF(Source_Data!AG$6=Inputs!$B$13,Inputs!$B$7,0)+AG161-AG164</f>
        <v>141.698855351563</v>
      </c>
      <c r="AH166" s="33" t="n">
        <f aca="false">AG166+IF(Source_Data!AH$6=Inputs!$B$13,Inputs!$B$7,0)+AH161-AH164</f>
        <v>155.811514179688</v>
      </c>
      <c r="AI166" s="33" t="n">
        <f aca="false">AH166+IF(Source_Data!AI$6=Inputs!$B$13,Inputs!$B$7,0)+AI161-AI164</f>
        <v>169.924173007813</v>
      </c>
      <c r="AJ166" s="33" t="n">
        <f aca="false">AI166+IF(Source_Data!AJ$6=Inputs!$B$13,Inputs!$B$7,0)+AJ161-AJ164</f>
        <v>184.036831835938</v>
      </c>
      <c r="AK166" s="33" t="n">
        <f aca="false">AJ166+IF(Source_Data!AK$6=Inputs!$B$13,Inputs!$B$7,0)+AK161-AK164</f>
        <v>199.105019375</v>
      </c>
      <c r="AL166" s="33" t="n">
        <f aca="false">AK166+IF(Source_Data!AL$6=Inputs!$B$13,Inputs!$B$7,0)+AL161-AL164</f>
        <v>214.173206914063</v>
      </c>
      <c r="AM166" s="33" t="n">
        <f aca="false">AL166+IF(Source_Data!AM$6=Inputs!$B$13,Inputs!$B$7,0)+AM161-AM164</f>
        <v>228.8797575</v>
      </c>
      <c r="AN166" s="33" t="n">
        <f aca="false">AM166+IF(Source_Data!AN$6=Inputs!$B$13,Inputs!$B$7,0)+AN161-AN164</f>
        <v>247.57341484375</v>
      </c>
      <c r="AO166" s="33" t="n">
        <f aca="false">AN166+IF(Source_Data!AO$6=Inputs!$B$13,Inputs!$B$7,0)+AO161-AO164</f>
        <v>264.7508875</v>
      </c>
      <c r="AP166" s="33" t="n">
        <f aca="false">AO166+IF(Source_Data!AP$6=Inputs!$B$13,Inputs!$B$7,0)+AP161-AP164</f>
        <v>274.377055</v>
      </c>
      <c r="AQ166" s="33" t="n">
        <f aca="false">AP166+IF(Source_Data!AQ$6=Inputs!$B$13,Inputs!$B$7,0)+AQ161-AQ164</f>
        <v>277.9475275</v>
      </c>
      <c r="AR166" s="33" t="n">
        <f aca="false">AQ166+IF(Source_Data!AR$6=Inputs!$B$13,Inputs!$B$7,0)+AR161-AR164</f>
        <v>277.9475275</v>
      </c>
      <c r="AS166" s="33" t="n">
        <f aca="false">AR166+IF(Source_Data!AS$6=Inputs!$B$13,Inputs!$B$7,0)+AS161-AS164</f>
        <v>277.9475275</v>
      </c>
      <c r="AT166" s="33" t="n">
        <f aca="false">AS166+IF(Source_Data!AT$6=Inputs!$B$13,Inputs!$B$7,0)+AT161-AT164</f>
        <v>277.9475275</v>
      </c>
      <c r="AU166" s="33" t="n">
        <f aca="false">AT166+IF(Source_Data!AU$6=Inputs!$B$13,Inputs!$B$7,0)+AU161-AU164</f>
        <v>277.9475275</v>
      </c>
      <c r="AV166" s="33" t="n">
        <f aca="false">AU166+IF(Source_Data!AV$6=Inputs!$B$13,Inputs!$B$7,0)+AV161-AV164</f>
        <v>277.9475275</v>
      </c>
      <c r="AW166" s="33" t="n">
        <f aca="false">AV166+IF(Source_Data!AW$6=Inputs!$B$13,Inputs!$B$7,0)+AW161-AW164</f>
        <v>277.9475275</v>
      </c>
      <c r="AX166" s="33" t="n">
        <f aca="false">AW166+IF(Source_Data!AX$6=Inputs!$B$13,Inputs!$B$7,0)+AX161-AX164</f>
        <v>277.9475275</v>
      </c>
      <c r="AY166" s="33" t="n">
        <f aca="false">AX166+IF(Source_Data!AY$6=Inputs!$B$13,Inputs!$B$7,0)+AY161-AY164</f>
        <v>277.9475275</v>
      </c>
      <c r="AZ166" s="33" t="n">
        <f aca="false">AY166+IF(Source_Data!AZ$6=Inputs!$B$13,Inputs!$B$7,0)+AZ161-AZ164</f>
        <v>277.9475275</v>
      </c>
      <c r="BA166" s="33" t="n">
        <f aca="false">AZ166+IF(Source_Data!BA$6=Inputs!$B$13,Inputs!$B$7,0)+BA161-BA164</f>
        <v>277.9475275</v>
      </c>
      <c r="BB166" s="33" t="n">
        <f aca="false">BA166+IF(Source_Data!BB$6=Inputs!$B$13,Inputs!$B$7,0)+BB161-BB164</f>
        <v>277.9475275</v>
      </c>
      <c r="BC166" s="33" t="n">
        <f aca="false">BB166+IF(Source_Data!BC$6=Inputs!$B$13,Inputs!$B$7,0)+BC161-BC164</f>
        <v>277.9475275</v>
      </c>
      <c r="BD166" s="33" t="n">
        <f aca="false">BC166+IF(Source_Data!BD$6=Inputs!$B$13,Inputs!$B$7,0)+BD161-BD164</f>
        <v>277.9475275</v>
      </c>
      <c r="BE166" s="33" t="n">
        <f aca="false">BD166+IF(Source_Data!BE$6=Inputs!$B$13,Inputs!$B$7,0)+BE161-BE164</f>
        <v>277.9475275</v>
      </c>
      <c r="BF166" s="33" t="n">
        <f aca="false">BE166+IF(Source_Data!BF$6=Inputs!$B$13,Inputs!$B$7,0)+BF161-BF164</f>
        <v>277.9475275</v>
      </c>
      <c r="BG166" s="33" t="n">
        <f aca="false">BF166+IF(Source_Data!BG$6=Inputs!$B$13,Inputs!$B$7,0)+BG161-BG164</f>
        <v>277.9475275</v>
      </c>
      <c r="BH166" s="33" t="n">
        <f aca="false">BG166+IF(Source_Data!BH$6=Inputs!$B$13,Inputs!$B$7,0)+BH161-BH164</f>
        <v>277.9475275</v>
      </c>
      <c r="BI166" s="33" t="n">
        <f aca="false">BH166+IF(Source_Data!BI$6=Inputs!$B$13,Inputs!$B$7,0)+BI161-BI164</f>
        <v>277.9475275</v>
      </c>
      <c r="BJ166" s="33" t="n">
        <f aca="false">BI166+IF(Source_Data!BJ$6=Inputs!$B$13,Inputs!$B$7,0)+BJ161-BJ164</f>
        <v>277.9475275</v>
      </c>
      <c r="BK166" s="33" t="n">
        <f aca="false">BJ166+IF(Source_Data!BK$6=Inputs!$B$13,Inputs!$B$7,0)+BK161-BK164</f>
        <v>277.9475275</v>
      </c>
    </row>
    <row r="167" customFormat="false" ht="15" hidden="false" customHeight="false" outlineLevel="0" collapsed="false">
      <c r="A167" s="3" t="s">
        <v>345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-0.706622652173912</v>
      </c>
      <c r="N167" s="31" t="n">
        <f aca="false">IF(N164&gt;0,N161/N164,"")</f>
        <v>2.33167571739131</v>
      </c>
      <c r="O167" s="31" t="n">
        <f aca="false">IF(O164&gt;0,O161/O164,"")</f>
        <v>31.1960227826087</v>
      </c>
      <c r="P167" s="31" t="n">
        <f aca="false">IF(P164&gt;0,P161/P164,"")</f>
        <v>-0.356194086956521</v>
      </c>
      <c r="Q167" s="31" t="n">
        <f aca="false">IF(Q164&gt;0,Q161/Q164,"")</f>
        <v>-1.09403826086957</v>
      </c>
      <c r="R167" s="31" t="n">
        <f aca="false">IF(R164&gt;0,R161/R164,"")</f>
        <v>-10.1252208695652</v>
      </c>
      <c r="S167" s="31" t="n">
        <f aca="false">IF(S164&gt;0,S161/S164,"")</f>
        <v>-7.99278130434783</v>
      </c>
      <c r="T167" s="31" t="n">
        <f aca="false">IF(T164&gt;0,T161/T164,"")</f>
        <v>1.83025869565217</v>
      </c>
      <c r="U167" s="31" t="n">
        <f aca="false">IF(U164&gt;0,U161/U164,"")</f>
        <v>1.60257639130435</v>
      </c>
      <c r="V167" s="31" t="n">
        <f aca="false">IF(V164&gt;0,V161/V164,"")</f>
        <v>1.1288097173913</v>
      </c>
      <c r="W167" s="31" t="n">
        <f aca="false">IF(W164&gt;0,W161/W164,"")</f>
        <v>1.0234932826087</v>
      </c>
      <c r="X167" s="31" t="n">
        <f aca="false">IF(X164&gt;0,X161/X164,"")</f>
        <v>2.1721005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346</v>
      </c>
      <c r="D168" s="31" t="str">
        <f aca="false">IF(D164&gt;0,(0+D161+IF(Source_Data!D$6=Inputs!$B$13,Inputs!$B$7,0))/D164,"")</f>
        <v/>
      </c>
      <c r="E168" s="31" t="str">
        <f aca="false">IF(E164&gt;0,(D166+E161+IF(Source_Data!E$6=Inputs!$B$13,Inputs!$B$7,0))/E164,"")</f>
        <v/>
      </c>
      <c r="F168" s="31" t="str">
        <f aca="false">IF(F164&gt;0,(E166+F161+IF(Source_Data!F$6=Inputs!$B$13,Inputs!$B$7,0))/F164,"")</f>
        <v/>
      </c>
      <c r="G168" s="31" t="str">
        <f aca="false">IF(G164&gt;0,(F166+G161+IF(Source_Data!G$6=Inputs!$B$13,Inputs!$B$7,0))/G164,"")</f>
        <v/>
      </c>
      <c r="H168" s="31" t="str">
        <f aca="false">IF(H164&gt;0,(G166+H161+IF(Source_Data!H$6=Inputs!$B$13,Inputs!$B$7,0))/H164,"")</f>
        <v/>
      </c>
      <c r="I168" s="31" t="str">
        <f aca="false">IF(I164&gt;0,(H166+I161+IF(Source_Data!I$6=Inputs!$B$13,Inputs!$B$7,0))/I164,"")</f>
        <v/>
      </c>
      <c r="J168" s="31" t="str">
        <f aca="false">IF(J164&gt;0,(I166+J161+IF(Source_Data!J$6=Inputs!$B$13,Inputs!$B$7,0))/J164,"")</f>
        <v/>
      </c>
      <c r="K168" s="31" t="str">
        <f aca="false">IF(K164&gt;0,(J166+K161+IF(Source_Data!K$6=Inputs!$B$13,Inputs!$B$7,0))/K164,"")</f>
        <v/>
      </c>
      <c r="L168" s="31" t="str">
        <f aca="false">IF(L164&gt;0,(K166+L161+IF(Source_Data!L$6=Inputs!$B$13,Inputs!$B$7,0))/L164,"")</f>
        <v/>
      </c>
      <c r="M168" s="31" t="n">
        <f aca="false">IF(M164&gt;0,(L166+M161+IF(Source_Data!M$6=Inputs!$B$13,Inputs!$B$7,0))/M164,"")</f>
        <v>-11.1784893478261</v>
      </c>
      <c r="N168" s="31" t="n">
        <f aca="false">IF(N164&gt;0,(M166+N161+IF(Source_Data!N$6=Inputs!$B$13,Inputs!$B$7,0))/N164,"")</f>
        <v>-9.84681363043478</v>
      </c>
      <c r="O168" s="31" t="n">
        <f aca="false">IF(O164&gt;0,(N166+O161+IF(Source_Data!O$6=Inputs!$B$13,Inputs!$B$7,0))/O164,"")</f>
        <v>20.3492091521739</v>
      </c>
      <c r="P168" s="31" t="n">
        <f aca="false">IF(P164&gt;0,(O166+P161+IF(Source_Data!P$6=Inputs!$B$13,Inputs!$B$7,0))/P164,"")</f>
        <v>18.9930150652174</v>
      </c>
      <c r="Q168" s="31" t="n">
        <f aca="false">IF(Q164&gt;0,(P166+Q161+IF(Source_Data!Q$6=Inputs!$B$13,Inputs!$B$7,0))/Q164,"")</f>
        <v>16.8989768043478</v>
      </c>
      <c r="R168" s="31" t="n">
        <f aca="false">IF(R164&gt;0,(Q166+R161+IF(Source_Data!R$6=Inputs!$B$13,Inputs!$B$7,0))/R164,"")</f>
        <v>5.77375593478261</v>
      </c>
      <c r="S168" s="31" t="n">
        <f aca="false">IF(S164&gt;0,(R166+S161+IF(Source_Data!S$6=Inputs!$B$13,Inputs!$B$7,0))/S164,"")</f>
        <v>-3.21902536956521</v>
      </c>
      <c r="T168" s="31" t="n">
        <f aca="false">IF(T164&gt;0,(S166+T161+IF(Source_Data!T$6=Inputs!$B$13,Inputs!$B$7,0))/T164,"")</f>
        <v>-2.38876667391304</v>
      </c>
      <c r="U168" s="31" t="n">
        <f aca="false">IF(U164&gt;0,(T166+U161+IF(Source_Data!U$6=Inputs!$B$13,Inputs!$B$7,0))/U164,"")</f>
        <v>-1.78619028260869</v>
      </c>
      <c r="V168" s="31" t="n">
        <f aca="false">IF(V164&gt;0,(U166+V161+IF(Source_Data!V$6=Inputs!$B$13,Inputs!$B$7,0))/V164,"")</f>
        <v>-1.65738056521739</v>
      </c>
      <c r="W168" s="31" t="n">
        <f aca="false">IF(W164&gt;0,(V166+W161+IF(Source_Data!W$6=Inputs!$B$13,Inputs!$B$7,0))/W164,"")</f>
        <v>-1.63388728260869</v>
      </c>
      <c r="X168" s="31" t="n">
        <f aca="false">IF(X164&gt;0,(W166+X161+IF(Source_Data!X$6=Inputs!$B$13,Inputs!$B$7,0))/X164,"")</f>
        <v>-0.461786782608692</v>
      </c>
      <c r="Y168" s="31" t="str">
        <f aca="false">IF(Y164&gt;0,(X166+Y161+IF(Source_Data!Y$6=Inputs!$B$13,Inputs!$B$7,0))/Y164,"")</f>
        <v/>
      </c>
      <c r="Z168" s="31" t="str">
        <f aca="false">IF(Z164&gt;0,(Y166+Z161+IF(Source_Data!Z$6=Inputs!$B$13,Inputs!$B$7,0))/Z164,"")</f>
        <v/>
      </c>
      <c r="AA168" s="31" t="str">
        <f aca="false">IF(AA164&gt;0,(Z166+AA161+IF(Source_Data!AA$6=Inputs!$B$13,Inputs!$B$7,0))/AA164,"")</f>
        <v/>
      </c>
      <c r="AB168" s="31" t="str">
        <f aca="false">IF(AB164&gt;0,(AA166+AB161+IF(Source_Data!AB$6=Inputs!$B$13,Inputs!$B$7,0))/AB164,"")</f>
        <v/>
      </c>
      <c r="AC168" s="31" t="str">
        <f aca="false">IF(AC164&gt;0,(AB166+AC161+IF(Source_Data!AC$6=Inputs!$B$13,Inputs!$B$7,0))/AC164,"")</f>
        <v/>
      </c>
      <c r="AD168" s="31" t="str">
        <f aca="false">IF(AD164&gt;0,(AC166+AD161+IF(Source_Data!AD$6=Inputs!$B$13,Inputs!$B$7,0))/AD164,"")</f>
        <v/>
      </c>
      <c r="AE168" s="31" t="str">
        <f aca="false">IF(AE164&gt;0,(AD166+AE161+IF(Source_Data!AE$6=Inputs!$B$13,Inputs!$B$7,0))/AE164,"")</f>
        <v/>
      </c>
      <c r="AF168" s="31" t="str">
        <f aca="false">IF(AF164&gt;0,(AE166+AF161+IF(Source_Data!AF$6=Inputs!$B$13,Inputs!$B$7,0))/AF164,"")</f>
        <v/>
      </c>
      <c r="AG168" s="31" t="str">
        <f aca="false">IF(AG164&gt;0,(AF166+AG161+IF(Source_Data!AG$6=Inputs!$B$13,Inputs!$B$7,0))/AG164,"")</f>
        <v/>
      </c>
      <c r="AH168" s="31" t="str">
        <f aca="false">IF(AH164&gt;0,(AG166+AH161+IF(Source_Data!AH$6=Inputs!$B$13,Inputs!$B$7,0))/AH164,"")</f>
        <v/>
      </c>
      <c r="AI168" s="31" t="str">
        <f aca="false">IF(AI164&gt;0,(AH166+AI161+IF(Source_Data!AI$6=Inputs!$B$13,Inputs!$B$7,0))/AI164,"")</f>
        <v/>
      </c>
      <c r="AJ168" s="31" t="str">
        <f aca="false">IF(AJ164&gt;0,(AI166+AJ161+IF(Source_Data!AJ$6=Inputs!$B$13,Inputs!$B$7,0))/AJ164,"")</f>
        <v/>
      </c>
      <c r="AK168" s="31" t="str">
        <f aca="false">IF(AK164&gt;0,(AJ166+AK161+IF(Source_Data!AK$6=Inputs!$B$13,Inputs!$B$7,0))/AK164,"")</f>
        <v/>
      </c>
      <c r="AL168" s="31" t="str">
        <f aca="false">IF(AL164&gt;0,(AK166+AL161+IF(Source_Data!AL$6=Inputs!$B$13,Inputs!$B$7,0))/AL164,"")</f>
        <v/>
      </c>
      <c r="AM168" s="31" t="str">
        <f aca="false">IF(AM164&gt;0,(AL166+AM161+IF(Source_Data!AM$6=Inputs!$B$13,Inputs!$B$7,0))/AM164,"")</f>
        <v/>
      </c>
      <c r="AN168" s="31" t="str">
        <f aca="false">IF(AN164&gt;0,(AM166+AN161+IF(Source_Data!AN$6=Inputs!$B$13,Inputs!$B$7,0))/AN164,"")</f>
        <v/>
      </c>
      <c r="AO168" s="31" t="str">
        <f aca="false">IF(AO164&gt;0,(AN166+AO161+IF(Source_Data!AO$6=Inputs!$B$13,Inputs!$B$7,0))/AO164,"")</f>
        <v/>
      </c>
      <c r="AP168" s="31" t="str">
        <f aca="false">IF(AP164&gt;0,(AO166+AP161+IF(Source_Data!AP$6=Inputs!$B$13,Inputs!$B$7,0))/AP164,"")</f>
        <v/>
      </c>
      <c r="AQ168" s="31" t="str">
        <f aca="false">IF(AQ164&gt;0,(AP166+AQ161+IF(Source_Data!AQ$6=Inputs!$B$13,Inputs!$B$7,0))/AQ164,"")</f>
        <v/>
      </c>
      <c r="AR168" s="31" t="str">
        <f aca="false">IF(AR164&gt;0,(AQ166+AR161+IF(Source_Data!AR$6=Inputs!$B$13,Inputs!$B$7,0))/AR164,"")</f>
        <v/>
      </c>
      <c r="AS168" s="31" t="str">
        <f aca="false">IF(AS164&gt;0,(AR166+AS161+IF(Source_Data!AS$6=Inputs!$B$13,Inputs!$B$7,0))/AS164,"")</f>
        <v/>
      </c>
      <c r="AT168" s="31" t="str">
        <f aca="false">IF(AT164&gt;0,(AS166+AT161+IF(Source_Data!AT$6=Inputs!$B$13,Inputs!$B$7,0))/AT164,"")</f>
        <v/>
      </c>
      <c r="AU168" s="31" t="str">
        <f aca="false">IF(AU164&gt;0,(AT166+AU161+IF(Source_Data!AU$6=Inputs!$B$13,Inputs!$B$7,0))/AU164,"")</f>
        <v/>
      </c>
      <c r="AV168" s="31" t="str">
        <f aca="false">IF(AV164&gt;0,(AU166+AV161+IF(Source_Data!AV$6=Inputs!$B$13,Inputs!$B$7,0))/AV164,"")</f>
        <v/>
      </c>
      <c r="AW168" s="31" t="str">
        <f aca="false">IF(AW164&gt;0,(AV166+AW161+IF(Source_Data!AW$6=Inputs!$B$13,Inputs!$B$7,0))/AW164,"")</f>
        <v/>
      </c>
      <c r="AX168" s="31" t="str">
        <f aca="false">IF(AX164&gt;0,(AW166+AX161+IF(Source_Data!AX$6=Inputs!$B$13,Inputs!$B$7,0))/AX164,"")</f>
        <v/>
      </c>
      <c r="AY168" s="31" t="str">
        <f aca="false">IF(AY164&gt;0,(AX166+AY161+IF(Source_Data!AY$6=Inputs!$B$13,Inputs!$B$7,0))/AY164,"")</f>
        <v/>
      </c>
      <c r="AZ168" s="31" t="str">
        <f aca="false">IF(AZ164&gt;0,(AY166+AZ161+IF(Source_Data!AZ$6=Inputs!$B$13,Inputs!$B$7,0))/AZ164,"")</f>
        <v/>
      </c>
      <c r="BA168" s="31" t="str">
        <f aca="false">IF(BA164&gt;0,(AZ166+BA161+IF(Source_Data!BA$6=Inputs!$B$13,Inputs!$B$7,0))/BA164,"")</f>
        <v/>
      </c>
      <c r="BB168" s="31" t="str">
        <f aca="false">IF(BB164&gt;0,(BA166+BB161+IF(Source_Data!BB$6=Inputs!$B$13,Inputs!$B$7,0))/BB164,"")</f>
        <v/>
      </c>
      <c r="BC168" s="31" t="str">
        <f aca="false">IF(BC164&gt;0,(BB166+BC161+IF(Source_Data!BC$6=Inputs!$B$13,Inputs!$B$7,0))/BC164,"")</f>
        <v/>
      </c>
      <c r="BD168" s="31" t="str">
        <f aca="false">IF(BD164&gt;0,(BC166+BD161+IF(Source_Data!BD$6=Inputs!$B$13,Inputs!$B$7,0))/BD164,"")</f>
        <v/>
      </c>
      <c r="BE168" s="31" t="str">
        <f aca="false">IF(BE164&gt;0,(BD166+BE161+IF(Source_Data!BE$6=Inputs!$B$13,Inputs!$B$7,0))/BE164,"")</f>
        <v/>
      </c>
      <c r="BF168" s="31" t="str">
        <f aca="false">IF(BF164&gt;0,(BE166+BF161+IF(Source_Data!BF$6=Inputs!$B$13,Inputs!$B$7,0))/BF164,"")</f>
        <v/>
      </c>
      <c r="BG168" s="31" t="str">
        <f aca="false">IF(BG164&gt;0,(BF166+BG161+IF(Source_Data!BG$6=Inputs!$B$13,Inputs!$B$7,0))/BG164,"")</f>
        <v/>
      </c>
      <c r="BH168" s="31" t="str">
        <f aca="false">IF(BH164&gt;0,(BG166+BH161+IF(Source_Data!BH$6=Inputs!$B$13,Inputs!$B$7,0))/BH164,"")</f>
        <v/>
      </c>
      <c r="BI168" s="31" t="str">
        <f aca="false">IF(BI164&gt;0,(BH166+BI161+IF(Source_Data!BI$6=Inputs!$B$13,Inputs!$B$7,0))/BI164,"")</f>
        <v/>
      </c>
      <c r="BJ168" s="31" t="str">
        <f aca="false">IF(BJ164&gt;0,(BI166+BJ161+IF(Source_Data!BJ$6=Inputs!$B$13,Inputs!$B$7,0))/BJ164,"")</f>
        <v/>
      </c>
      <c r="BK168" s="31" t="str">
        <f aca="false">IF(BK164&gt;0,(BJ166+BK161+IF(Source_Data!BK$6=Inputs!$B$13,Inputs!$B$7,0))/BK164,"")</f>
        <v/>
      </c>
    </row>
    <row r="170" customFormat="false" ht="15" hidden="false" customHeight="false" outlineLevel="0" collapsed="false">
      <c r="A170" s="2" t="s">
        <v>222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347</v>
      </c>
      <c r="B171" s="41" t="n">
        <f aca="false">SUMPRODUCT(D161:BK161,Project_CF!$D$15:$BK$15)</f>
        <v>133.959128717337</v>
      </c>
    </row>
    <row r="172" customFormat="false" ht="15" hidden="false" customHeight="false" outlineLevel="0" collapsed="false">
      <c r="A172" s="2" t="s">
        <v>164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348</v>
      </c>
      <c r="B173" s="35" t="n">
        <f aca="false">INDEX(Project_CF!$D$6:$BK$6,MATCH(MIN(D162:BK162),D162:BK162,0))</f>
        <v>24</v>
      </c>
    </row>
    <row r="174" customFormat="false" ht="15" hidden="false" customHeight="false" outlineLevel="0" collapsed="false">
      <c r="A174" s="2" t="s">
        <v>349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350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351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352</v>
      </c>
      <c r="B177" s="41" t="n">
        <f aca="false">MIN(D166:BK166)</f>
        <v>-175.065784375</v>
      </c>
    </row>
    <row r="178" customFormat="false" ht="15" hidden="false" customHeight="false" outlineLevel="0" collapsed="false">
      <c r="A178" s="2" t="s">
        <v>353</v>
      </c>
      <c r="B178" s="43" t="n">
        <f aca="false">MIN(D167:BK167)</f>
        <v>-10.1252208695652</v>
      </c>
    </row>
    <row r="179" customFormat="false" ht="15" hidden="false" customHeight="false" outlineLevel="0" collapsed="false">
      <c r="A179" s="2" t="s">
        <v>354</v>
      </c>
      <c r="B179" s="35" t="n">
        <f aca="false">COUNTIF(D167:BK167,"&lt;"&amp;Inputs!$B$44)</f>
        <v>7</v>
      </c>
    </row>
    <row r="180" customFormat="false" ht="15" hidden="false" customHeight="false" outlineLevel="0" collapsed="false">
      <c r="A180" s="2" t="s">
        <v>355</v>
      </c>
      <c r="B180" s="43" t="n">
        <f aca="false">MIN(D168:BK168)</f>
        <v>-11.1784893478261</v>
      </c>
    </row>
    <row r="181" customFormat="false" ht="15" hidden="false" customHeight="false" outlineLevel="0" collapsed="false">
      <c r="A181" s="2" t="s">
        <v>356</v>
      </c>
      <c r="B181" s="35" t="n">
        <f aca="false">COUNTIF(D168:BK168,"&lt;"&amp;Inputs!$B$44)</f>
        <v>8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333</v>
      </c>
      <c r="B185" s="45" t="n">
        <v>1</v>
      </c>
    </row>
    <row r="186" customFormat="false" ht="15" hidden="false" customHeight="false" outlineLevel="0" collapsed="false">
      <c r="A186" s="3" t="s">
        <v>334</v>
      </c>
      <c r="B186" s="45" t="n">
        <v>0</v>
      </c>
    </row>
    <row r="187" customFormat="false" ht="15" hidden="false" customHeight="false" outlineLevel="0" collapsed="false">
      <c r="A187" s="3" t="s">
        <v>335</v>
      </c>
      <c r="B187" s="45" t="n">
        <v>1</v>
      </c>
    </row>
    <row r="188" customFormat="false" ht="15" hidden="false" customHeight="false" outlineLevel="0" collapsed="false">
      <c r="A188" s="3" t="s">
        <v>336</v>
      </c>
      <c r="B188" s="45" t="n">
        <v>0</v>
      </c>
    </row>
    <row r="189" customFormat="false" ht="15" hidden="false" customHeight="false" outlineLevel="0" collapsed="false">
      <c r="A189" s="3" t="s">
        <v>337</v>
      </c>
      <c r="B189" s="45" t="n">
        <v>1</v>
      </c>
    </row>
    <row r="190" customFormat="false" ht="15" hidden="false" customHeight="false" outlineLevel="0" collapsed="false">
      <c r="A190" s="3" t="s">
        <v>338</v>
      </c>
      <c r="B190" s="3" t="n">
        <f aca="false">Inputs!$B$14+3+3*$B$186</f>
        <v>45</v>
      </c>
    </row>
    <row r="191" customFormat="false" ht="15" hidden="false" customHeight="false" outlineLevel="0" collapsed="false">
      <c r="A191" s="3" t="s">
        <v>339</v>
      </c>
      <c r="D191" s="33" t="n">
        <f aca="false">Source_Data!D$7+IF($B$189=1,IF(Source_Data!D$6=Inputs!$B$14,Source_Data!$C$8,0),Source_Data!D$8)</f>
        <v>0</v>
      </c>
      <c r="E191" s="33" t="n">
        <f aca="false">Source_Data!E$7+IF($B$189=1,IF(Source_Data!E$6=Inputs!$B$14,Source_Data!$C$8,0),Source_Data!E$8)</f>
        <v>0</v>
      </c>
      <c r="F191" s="33" t="n">
        <f aca="false">Source_Data!F$7+IF($B$189=1,IF(Source_Data!F$6=Inputs!$B$14,Source_Data!$C$8,0),Source_Data!F$8)</f>
        <v>15.1392375</v>
      </c>
      <c r="G191" s="33" t="n">
        <f aca="false">Source_Data!G$7+IF($B$189=1,IF(Source_Data!G$6=Inputs!$B$14,Source_Data!$C$8,0),Source_Data!G$8)</f>
        <v>30.278475</v>
      </c>
      <c r="H191" s="33" t="n">
        <f aca="false">Source_Data!H$7+IF($B$189=1,IF(Source_Data!H$6=Inputs!$B$14,Source_Data!$C$8,0),Source_Data!H$8)</f>
        <v>46.51200625</v>
      </c>
      <c r="I191" s="33" t="n">
        <f aca="false">Source_Data!I$7+IF($B$189=1,IF(Source_Data!I$6=Inputs!$B$14,Source_Data!$C$8,0),Source_Data!I$8)</f>
        <v>62.7455375</v>
      </c>
      <c r="J191" s="33" t="n">
        <f aca="false">Source_Data!J$7+IF($B$189=1,IF(Source_Data!J$6=Inputs!$B$14,Source_Data!$C$8,0),Source_Data!J$8)</f>
        <v>62.3657</v>
      </c>
      <c r="K191" s="33" t="n">
        <f aca="false">Source_Data!K$7+IF($B$189=1,IF(Source_Data!K$6=Inputs!$B$14,Source_Data!$C$8,0),Source_Data!K$8)</f>
        <v>63.473559375</v>
      </c>
      <c r="L191" s="33" t="n">
        <f aca="false">Source_Data!L$7+IF($B$189=1,IF(Source_Data!L$6=Inputs!$B$14,Source_Data!$C$8,0),Source_Data!L$8)</f>
        <v>80.3288484375</v>
      </c>
      <c r="M191" s="33" t="n">
        <f aca="false">Source_Data!M$7+IF($B$189=1,IF(Source_Data!M$6=Inputs!$B$14,Source_Data!$C$8,0),Source_Data!M$8)</f>
        <v>103.0444875</v>
      </c>
      <c r="N191" s="33" t="n">
        <f aca="false">Source_Data!N$7+IF($B$189=1,IF(Source_Data!N$6=Inputs!$B$14,Source_Data!$C$8,0),Source_Data!N$8)</f>
        <v>127.69775</v>
      </c>
      <c r="O191" s="33" t="n">
        <f aca="false">Source_Data!O$7+IF($B$189=1,IF(Source_Data!O$6=Inputs!$B$14,Source_Data!$C$8,0),Source_Data!O$8)</f>
        <v>134.93275</v>
      </c>
      <c r="P191" s="33" t="n">
        <f aca="false">Source_Data!P$7+IF($B$189=1,IF(Source_Data!P$6=Inputs!$B$14,Source_Data!$C$8,0),Source_Data!P$8)</f>
        <v>97.31075</v>
      </c>
      <c r="Q191" s="33" t="n">
        <f aca="false">Source_Data!Q$7+IF($B$189=1,IF(Source_Data!Q$6=Inputs!$B$14,Source_Data!$C$8,0),Source_Data!Q$8)</f>
        <v>71.30996875</v>
      </c>
      <c r="R191" s="33" t="n">
        <f aca="false">Source_Data!R$7+IF($B$189=1,IF(Source_Data!R$6=Inputs!$B$14,Source_Data!$C$8,0),Source_Data!R$8)</f>
        <v>71.30996875</v>
      </c>
      <c r="S191" s="33" t="n">
        <f aca="false">Source_Data!S$7+IF($B$189=1,IF(Source_Data!S$6=Inputs!$B$14,Source_Data!$C$8,0),Source_Data!S$8)</f>
        <v>559.727635625</v>
      </c>
      <c r="T191" s="33" t="n">
        <f aca="false">Source_Data!T$7+IF($B$189=1,IF(Source_Data!T$6=Inputs!$B$14,Source_Data!$C$8,0),Source_Data!T$8)</f>
        <v>61.2266396875</v>
      </c>
      <c r="U191" s="33" t="n">
        <f aca="false">Source_Data!U$7+IF($B$189=1,IF(Source_Data!U$6=Inputs!$B$14,Source_Data!$C$8,0),Source_Data!U$8)</f>
        <v>59.7127159375</v>
      </c>
      <c r="V191" s="33" t="n">
        <f aca="false">Source_Data!V$7+IF($B$189=1,IF(Source_Data!V$6=Inputs!$B$14,Source_Data!$C$8,0),Source_Data!V$8)</f>
        <v>53.7239446875</v>
      </c>
      <c r="W191" s="33" t="n">
        <f aca="false">Source_Data!W$7+IF($B$189=1,IF(Source_Data!W$6=Inputs!$B$14,Source_Data!$C$8,0),Source_Data!W$8)</f>
        <v>49.3829446875</v>
      </c>
      <c r="X191" s="33" t="n">
        <f aca="false">Source_Data!X$7+IF($B$189=1,IF(Source_Data!X$6=Inputs!$B$14,Source_Data!$C$8,0),Source_Data!X$8)</f>
        <v>49.3829446875</v>
      </c>
      <c r="Y191" s="33" t="n">
        <f aca="false">Source_Data!Y$7+IF($B$189=1,IF(Source_Data!Y$6=Inputs!$B$14,Source_Data!$C$8,0),Source_Data!Y$8)</f>
        <v>42.1027259375</v>
      </c>
      <c r="Z191" s="33" t="n">
        <f aca="false">Source_Data!Z$7+IF($B$189=1,IF(Source_Data!Z$6=Inputs!$B$14,Source_Data!$C$8,0),Source_Data!Z$8)</f>
        <v>42.1027259375</v>
      </c>
      <c r="AA191" s="33" t="n">
        <f aca="false">Source_Data!AA$7+IF($B$189=1,IF(Source_Data!AA$6=Inputs!$B$14,Source_Data!$C$8,0),Source_Data!AA$8)</f>
        <v>42.1027259375</v>
      </c>
      <c r="AB191" s="33" t="n">
        <f aca="false">Source_Data!AB$7+IF($B$189=1,IF(Source_Data!AB$6=Inputs!$B$14,Source_Data!$C$8,0),Source_Data!AB$8)</f>
        <v>36.3147259375</v>
      </c>
      <c r="AC191" s="33" t="n">
        <f aca="false">Source_Data!AC$7+IF($B$189=1,IF(Source_Data!AC$6=Inputs!$B$14,Source_Data!$C$8,0),Source_Data!AC$8)</f>
        <v>33.0386275</v>
      </c>
      <c r="AD191" s="33" t="n">
        <f aca="false">Source_Data!AD$7+IF($B$189=1,IF(Source_Data!AD$6=Inputs!$B$14,Source_Data!$C$8,0),Source_Data!AD$8)</f>
        <v>29.43017125</v>
      </c>
      <c r="AE191" s="33" t="n">
        <f aca="false">Source_Data!AE$7+IF($B$189=1,IF(Source_Data!AE$6=Inputs!$B$14,Source_Data!$C$8,0),Source_Data!AE$8)</f>
        <v>25.08917125</v>
      </c>
      <c r="AF191" s="33" t="n">
        <f aca="false">Source_Data!AF$7+IF($B$189=1,IF(Source_Data!AF$6=Inputs!$B$14,Source_Data!$C$8,0),Source_Data!AF$8)</f>
        <v>25.08917125</v>
      </c>
      <c r="AG191" s="33" t="n">
        <f aca="false">Source_Data!AG$7+IF($B$189=1,IF(Source_Data!AG$6=Inputs!$B$14,Source_Data!$C$8,0),Source_Data!AG$8)</f>
        <v>25.08917125</v>
      </c>
      <c r="AH191" s="33" t="n">
        <f aca="false">Source_Data!AH$7+IF($B$189=1,IF(Source_Data!AH$6=Inputs!$B$14,Source_Data!$C$8,0),Source_Data!AH$8)</f>
        <v>25.08917125</v>
      </c>
      <c r="AI191" s="33" t="n">
        <f aca="false">Source_Data!AI$7+IF($B$189=1,IF(Source_Data!AI$6=Inputs!$B$14,Source_Data!$C$8,0),Source_Data!AI$8)</f>
        <v>25.08917125</v>
      </c>
      <c r="AJ191" s="33" t="n">
        <f aca="false">Source_Data!AJ$7+IF($B$189=1,IF(Source_Data!AJ$6=Inputs!$B$14,Source_Data!$C$8,0),Source_Data!AJ$8)</f>
        <v>25.08917125</v>
      </c>
      <c r="AK191" s="33" t="n">
        <f aca="false">Source_Data!AK$7+IF($B$189=1,IF(Source_Data!AK$6=Inputs!$B$14,Source_Data!$C$8,0),Source_Data!AK$8)</f>
        <v>22.905105625</v>
      </c>
      <c r="AL191" s="33" t="n">
        <f aca="false">Source_Data!AL$7+IF($B$189=1,IF(Source_Data!AL$6=Inputs!$B$14,Source_Data!$C$8,0),Source_Data!AL$8)</f>
        <v>22.905105625</v>
      </c>
      <c r="AM191" s="33" t="n">
        <f aca="false">Source_Data!AM$7+IF($B$189=1,IF(Source_Data!AM$6=Inputs!$B$14,Source_Data!$C$8,0),Source_Data!AM$8)</f>
        <v>18.739554375</v>
      </c>
      <c r="AN191" s="33" t="n">
        <f aca="false">Source_Data!AN$7+IF($B$189=1,IF(Source_Data!AN$6=Inputs!$B$14,Source_Data!$C$8,0),Source_Data!AN$8)</f>
        <v>9.6261675</v>
      </c>
      <c r="AO191" s="33" t="n">
        <f aca="false">Source_Data!AO$7+IF($B$189=1,IF(Source_Data!AO$6=Inputs!$B$14,Source_Data!$C$8,0),Source_Data!AO$8)</f>
        <v>3.5704725</v>
      </c>
      <c r="AP191" s="33" t="n">
        <f aca="false">Source_Data!AP$7+IF($B$189=1,IF(Source_Data!AP$6=Inputs!$B$14,Source_Data!$C$8,0),Source_Data!AP$8)</f>
        <v>0</v>
      </c>
      <c r="AQ191" s="33" t="n">
        <f aca="false">Source_Data!AQ$7+IF($B$189=1,IF(Source_Data!AQ$6=Inputs!$B$14,Source_Data!$C$8,0),Source_Data!AQ$8)</f>
        <v>0</v>
      </c>
      <c r="AR191" s="33" t="n">
        <f aca="false">Source_Data!AR$7+IF($B$189=1,IF(Source_Data!AR$6=Inputs!$B$14,Source_Data!$C$8,0),Source_Data!AR$8)</f>
        <v>0</v>
      </c>
      <c r="AS191" s="33" t="n">
        <f aca="false">Source_Data!AS$7+IF($B$189=1,IF(Source_Data!AS$6=Inputs!$B$14,Source_Data!$C$8,0),Source_Data!AS$8)</f>
        <v>0</v>
      </c>
      <c r="AT191" s="33" t="n">
        <f aca="false">Source_Data!AT$7+IF($B$189=1,IF(Source_Data!AT$6=Inputs!$B$14,Source_Data!$C$8,0),Source_Data!AT$8)</f>
        <v>0</v>
      </c>
      <c r="AU191" s="33" t="n">
        <f aca="false">Source_Data!AU$7+IF($B$189=1,IF(Source_Data!AU$6=Inputs!$B$14,Source_Data!$C$8,0),Source_Data!AU$8)</f>
        <v>0</v>
      </c>
      <c r="AV191" s="33" t="n">
        <f aca="false">Source_Data!AV$7+IF($B$189=1,IF(Source_Data!AV$6=Inputs!$B$14,Source_Data!$C$8,0),Source_Data!AV$8)</f>
        <v>0</v>
      </c>
      <c r="AW191" s="33" t="n">
        <f aca="false">Source_Data!AW$7+IF($B$189=1,IF(Source_Data!AW$6=Inputs!$B$14,Source_Data!$C$8,0),Source_Data!AW$8)</f>
        <v>0</v>
      </c>
      <c r="AX191" s="33" t="n">
        <f aca="false">Source_Data!AX$7+IF($B$189=1,IF(Source_Data!AX$6=Inputs!$B$14,Source_Data!$C$8,0),Source_Data!AX$8)</f>
        <v>0</v>
      </c>
      <c r="AY191" s="33" t="n">
        <f aca="false">Source_Data!AY$7+IF($B$189=1,IF(Source_Data!AY$6=Inputs!$B$14,Source_Data!$C$8,0),Source_Data!AY$8)</f>
        <v>0</v>
      </c>
      <c r="AZ191" s="33" t="n">
        <f aca="false">Source_Data!AZ$7+IF($B$189=1,IF(Source_Data!AZ$6=Inputs!$B$14,Source_Data!$C$8,0),Source_Data!AZ$8)</f>
        <v>0</v>
      </c>
      <c r="BA191" s="33" t="n">
        <f aca="false">Source_Data!BA$7+IF($B$189=1,IF(Source_Data!BA$6=Inputs!$B$14,Source_Data!$C$8,0),Source_Data!BA$8)</f>
        <v>0</v>
      </c>
      <c r="BB191" s="33" t="n">
        <f aca="false">Source_Data!BB$7+IF($B$189=1,IF(Source_Data!BB$6=Inputs!$B$14,Source_Data!$C$8,0),Source_Data!BB$8)</f>
        <v>0</v>
      </c>
      <c r="BC191" s="33" t="n">
        <f aca="false">Source_Data!BC$7+IF($B$189=1,IF(Source_Data!BC$6=Inputs!$B$14,Source_Data!$C$8,0),Source_Data!BC$8)</f>
        <v>0</v>
      </c>
      <c r="BD191" s="33" t="n">
        <f aca="false">Source_Data!BD$7+IF($B$189=1,IF(Source_Data!BD$6=Inputs!$B$14,Source_Data!$C$8,0),Source_Data!BD$8)</f>
        <v>0</v>
      </c>
      <c r="BE191" s="33" t="n">
        <f aca="false">Source_Data!BE$7+IF($B$189=1,IF(Source_Data!BE$6=Inputs!$B$14,Source_Data!$C$8,0),Source_Data!BE$8)</f>
        <v>0</v>
      </c>
      <c r="BF191" s="33" t="n">
        <f aca="false">Source_Data!BF$7+IF($B$189=1,IF(Source_Data!BF$6=Inputs!$B$14,Source_Data!$C$8,0),Source_Data!BF$8)</f>
        <v>0</v>
      </c>
      <c r="BG191" s="33" t="n">
        <f aca="false">Source_Data!BG$7+IF($B$189=1,IF(Source_Data!BG$6=Inputs!$B$14,Source_Data!$C$8,0),Source_Data!BG$8)</f>
        <v>0</v>
      </c>
      <c r="BH191" s="33" t="n">
        <f aca="false">Source_Data!BH$7+IF($B$189=1,IF(Source_Data!BH$6=Inputs!$B$14,Source_Data!$C$8,0),Source_Data!BH$8)</f>
        <v>0</v>
      </c>
      <c r="BI191" s="33" t="n">
        <f aca="false">Source_Data!BI$7+IF($B$189=1,IF(Source_Data!BI$6=Inputs!$B$14,Source_Data!$C$8,0),Source_Data!BI$8)</f>
        <v>0</v>
      </c>
      <c r="BJ191" s="33" t="n">
        <f aca="false">Source_Data!BJ$7+IF($B$189=1,IF(Source_Data!BJ$6=Inputs!$B$14,Source_Data!$C$8,0),Source_Data!BJ$8)</f>
        <v>0</v>
      </c>
      <c r="BK191" s="33" t="n">
        <f aca="false">Source_Data!BK$7+IF($B$189=1,IF(Source_Data!BK$6=Inputs!$B$14,Source_Data!$C$8,0),Source_Data!BK$8)</f>
        <v>0</v>
      </c>
    </row>
    <row r="192" customFormat="false" ht="15" hidden="false" customHeight="false" outlineLevel="0" collapsed="false">
      <c r="A192" s="3" t="s">
        <v>215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340</v>
      </c>
      <c r="D193" s="33" t="n">
        <f aca="false">Source_Data!D$9+Source_Data!D$10*IF(Source_Data!$C$10=0,0,MAX(0,Inputs!$B$20*Inputs!$B$23*$B$185-Inputs!$B$21)/Source_Data!$C$10)</f>
        <v>91.25</v>
      </c>
      <c r="E193" s="33" t="n">
        <f aca="false">Source_Data!E$9+Source_Data!E$10*IF(Source_Data!$C$10=0,0,MAX(0,Inputs!$B$20*Inputs!$B$23*$B$185-Inputs!$B$21)/Source_Data!$C$10)</f>
        <v>11.25</v>
      </c>
      <c r="F193" s="33" t="n">
        <f aca="false">Source_Data!F$9+Source_Data!F$10*IF(Source_Data!$C$10=0,0,MAX(0,Inputs!$B$20*Inputs!$B$23*$B$185-Inputs!$B$21)/Source_Data!$C$10)</f>
        <v>11.25</v>
      </c>
      <c r="G193" s="33" t="n">
        <f aca="false">Source_Data!G$9+Source_Data!G$10*IF(Source_Data!$C$10=0,0,MAX(0,Inputs!$B$20*Inputs!$B$23*$B$185-Inputs!$B$21)/Source_Data!$C$10)</f>
        <v>11.25</v>
      </c>
      <c r="H193" s="33" t="n">
        <f aca="false">Source_Data!H$9+Source_Data!H$10*IF(Source_Data!$C$10=0,0,MAX(0,Inputs!$B$20*Inputs!$B$23*$B$185-Inputs!$B$21)/Source_Data!$C$10)</f>
        <v>22.5</v>
      </c>
      <c r="I193" s="33" t="n">
        <f aca="false">Source_Data!I$9+Source_Data!I$10*IF(Source_Data!$C$10=0,0,MAX(0,Inputs!$B$20*Inputs!$B$23*$B$185-Inputs!$B$21)/Source_Data!$C$10)</f>
        <v>22.5</v>
      </c>
      <c r="J193" s="33" t="n">
        <f aca="false">Source_Data!J$9+Source_Data!J$10*IF(Source_Data!$C$10=0,0,MAX(0,Inputs!$B$20*Inputs!$B$23*$B$185-Inputs!$B$21)/Source_Data!$C$10)</f>
        <v>22.5</v>
      </c>
      <c r="K193" s="33" t="n">
        <f aca="false">Source_Data!K$9+Source_Data!K$10*IF(Source_Data!$C$10=0,0,MAX(0,Inputs!$B$20*Inputs!$B$23*$B$185-Inputs!$B$21)/Source_Data!$C$10)</f>
        <v>22.5</v>
      </c>
      <c r="L193" s="33" t="n">
        <f aca="false">Source_Data!L$9+Source_Data!L$10*IF(Source_Data!$C$10=0,0,MAX(0,Inputs!$B$20*Inputs!$B$23*$B$185-Inputs!$B$21)/Source_Data!$C$10)</f>
        <v>33.75</v>
      </c>
      <c r="M193" s="33" t="n">
        <f aca="false">Source_Data!M$9+Source_Data!M$10*IF(Source_Data!$C$10=0,0,MAX(0,Inputs!$B$20*Inputs!$B$23*$B$185-Inputs!$B$21)/Source_Data!$C$10)</f>
        <v>33.75</v>
      </c>
      <c r="N193" s="33" t="n">
        <f aca="false">Source_Data!N$9+Source_Data!N$10*IF(Source_Data!$C$10=0,0,MAX(0,Inputs!$B$20*Inputs!$B$23*$B$185-Inputs!$B$21)/Source_Data!$C$10)</f>
        <v>33.75</v>
      </c>
      <c r="O193" s="33" t="n">
        <f aca="false">Source_Data!O$9+Source_Data!O$10*IF(Source_Data!$C$10=0,0,MAX(0,Inputs!$B$20*Inputs!$B$23*$B$185-Inputs!$B$21)/Source_Data!$C$10)</f>
        <v>33.75</v>
      </c>
      <c r="P193" s="33" t="n">
        <f aca="false">Source_Data!P$9+Source_Data!P$10*IF(Source_Data!$C$10=0,0,MAX(0,Inputs!$B$20*Inputs!$B$23*$B$185-Inputs!$B$21)/Source_Data!$C$10)</f>
        <v>45</v>
      </c>
      <c r="Q193" s="33" t="n">
        <f aca="false">Source_Data!Q$9+Source_Data!Q$10*IF(Source_Data!$C$10=0,0,MAX(0,Inputs!$B$20*Inputs!$B$23*$B$185-Inputs!$B$21)/Source_Data!$C$10)</f>
        <v>45</v>
      </c>
      <c r="R193" s="33" t="n">
        <f aca="false">Source_Data!R$9+Source_Data!R$10*IF(Source_Data!$C$10=0,0,MAX(0,Inputs!$B$20*Inputs!$B$23*$B$185-Inputs!$B$21)/Source_Data!$C$10)</f>
        <v>45</v>
      </c>
      <c r="S193" s="33" t="n">
        <f aca="false">Source_Data!S$9+Source_Data!S$10*IF(Source_Data!$C$10=0,0,MAX(0,Inputs!$B$20*Inputs!$B$23*$B$185-Inputs!$B$21)/Source_Data!$C$10)</f>
        <v>45</v>
      </c>
      <c r="T193" s="33" t="n">
        <f aca="false">Source_Data!T$9+Source_Data!T$10*IF(Source_Data!$C$10=0,0,MAX(0,Inputs!$B$20*Inputs!$B$23*$B$185-Inputs!$B$21)/Source_Data!$C$10)</f>
        <v>45</v>
      </c>
      <c r="U193" s="33" t="n">
        <f aca="false">Source_Data!U$9+Source_Data!U$10*IF(Source_Data!$C$10=0,0,MAX(0,Inputs!$B$20*Inputs!$B$23*$B$185-Inputs!$B$21)/Source_Data!$C$10)</f>
        <v>45</v>
      </c>
      <c r="V193" s="33" t="n">
        <f aca="false">Source_Data!V$9+Source_Data!V$10*IF(Source_Data!$C$10=0,0,MAX(0,Inputs!$B$20*Inputs!$B$23*$B$185-Inputs!$B$21)/Source_Data!$C$10)</f>
        <v>45</v>
      </c>
      <c r="W193" s="33" t="n">
        <f aca="false">Source_Data!W$9+Source_Data!W$10*IF(Source_Data!$C$10=0,0,MAX(0,Inputs!$B$20*Inputs!$B$23*$B$185-Inputs!$B$21)/Source_Data!$C$10)</f>
        <v>45</v>
      </c>
      <c r="X193" s="33" t="n">
        <f aca="false">Source_Data!X$9+Source_Data!X$10*IF(Source_Data!$C$10=0,0,MAX(0,Inputs!$B$20*Inputs!$B$23*$B$185-Inputs!$B$21)/Source_Data!$C$10)</f>
        <v>22.5</v>
      </c>
      <c r="Y193" s="33" t="n">
        <f aca="false">Source_Data!Y$9+Source_Data!Y$10*IF(Source_Data!$C$10=0,0,MAX(0,Inputs!$B$20*Inputs!$B$23*$B$185-Inputs!$B$21)/Source_Data!$C$10)</f>
        <v>22.5</v>
      </c>
      <c r="Z193" s="33" t="n">
        <f aca="false">Source_Data!Z$9+Source_Data!Z$10*IF(Source_Data!$C$10=0,0,MAX(0,Inputs!$B$20*Inputs!$B$23*$B$185-Inputs!$B$21)/Source_Data!$C$10)</f>
        <v>22.5</v>
      </c>
      <c r="AA193" s="33" t="n">
        <f aca="false">Source_Data!AA$9+Source_Data!AA$10*IF(Source_Data!$C$10=0,0,MAX(0,Inputs!$B$20*Inputs!$B$23*$B$185-Inputs!$B$21)/Source_Data!$C$10)</f>
        <v>22.5</v>
      </c>
      <c r="AB193" s="33" t="n">
        <f aca="false">Source_Data!AB$9+Source_Data!AB$10*IF(Source_Data!$C$10=0,0,MAX(0,Inputs!$B$20*Inputs!$B$23*$B$185-Inputs!$B$21)/Source_Data!$C$10)</f>
        <v>0</v>
      </c>
      <c r="AC193" s="33" t="n">
        <f aca="false">Source_Data!AC$9+Source_Data!AC$10*IF(Source_Data!$C$10=0,0,MAX(0,Inputs!$B$20*Inputs!$B$23*$B$185-Inputs!$B$21)/Source_Data!$C$10)</f>
        <v>0</v>
      </c>
      <c r="AD193" s="33" t="n">
        <f aca="false">Source_Data!AD$9+Source_Data!AD$10*IF(Source_Data!$C$10=0,0,MAX(0,Inputs!$B$20*Inputs!$B$23*$B$185-Inputs!$B$21)/Source_Data!$C$10)</f>
        <v>0</v>
      </c>
      <c r="AE193" s="33" t="n">
        <f aca="false">Source_Data!AE$9+Source_Data!AE$10*IF(Source_Data!$C$10=0,0,MAX(0,Inputs!$B$20*Inputs!$B$23*$B$185-Inputs!$B$21)/Source_Data!$C$10)</f>
        <v>0</v>
      </c>
      <c r="AF193" s="33" t="n">
        <f aca="false">Source_Data!AF$9+Source_Data!AF$10*IF(Source_Data!$C$10=0,0,MAX(0,Inputs!$B$20*Inputs!$B$23*$B$185-Inputs!$B$21)/Source_Data!$C$10)</f>
        <v>107.758210351563</v>
      </c>
      <c r="AG193" s="33" t="n">
        <f aca="false">Source_Data!AG$9+Source_Data!AG$10*IF(Source_Data!$C$10=0,0,MAX(0,Inputs!$B$20*Inputs!$B$23*$B$185-Inputs!$B$21)/Source_Data!$C$10)</f>
        <v>10.976512421875</v>
      </c>
      <c r="AH193" s="33" t="n">
        <f aca="false">Source_Data!AH$9+Source_Data!AH$10*IF(Source_Data!$C$10=0,0,MAX(0,Inputs!$B$20*Inputs!$B$23*$B$185-Inputs!$B$21)/Source_Data!$C$10)</f>
        <v>10.976512421875</v>
      </c>
      <c r="AI193" s="33" t="n">
        <f aca="false">Source_Data!AI$9+Source_Data!AI$10*IF(Source_Data!$C$10=0,0,MAX(0,Inputs!$B$20*Inputs!$B$23*$B$185-Inputs!$B$21)/Source_Data!$C$10)</f>
        <v>10.976512421875</v>
      </c>
      <c r="AJ193" s="33" t="n">
        <f aca="false">Source_Data!AJ$9+Source_Data!AJ$10*IF(Source_Data!$C$10=0,0,MAX(0,Inputs!$B$20*Inputs!$B$23*$B$185-Inputs!$B$21)/Source_Data!$C$10)</f>
        <v>10.976512421875</v>
      </c>
      <c r="AK193" s="33" t="n">
        <f aca="false">Source_Data!AK$9+Source_Data!AK$10*IF(Source_Data!$C$10=0,0,MAX(0,Inputs!$B$20*Inputs!$B$23*$B$185-Inputs!$B$21)/Source_Data!$C$10)</f>
        <v>10.0209837109375</v>
      </c>
      <c r="AL193" s="33" t="n">
        <f aca="false">Source_Data!AL$9+Source_Data!AL$10*IF(Source_Data!$C$10=0,0,MAX(0,Inputs!$B$20*Inputs!$B$23*$B$185-Inputs!$B$21)/Source_Data!$C$10)</f>
        <v>10.0209837109375</v>
      </c>
      <c r="AM193" s="33" t="n">
        <f aca="false">Source_Data!AM$9+Source_Data!AM$10*IF(Source_Data!$C$10=0,0,MAX(0,Inputs!$B$20*Inputs!$B$23*$B$185-Inputs!$B$21)/Source_Data!$C$10)</f>
        <v>8.19855503906249</v>
      </c>
      <c r="AN193" s="33" t="n">
        <f aca="false">Source_Data!AN$9+Source_Data!AN$10*IF(Source_Data!$C$10=0,0,MAX(0,Inputs!$B$20*Inputs!$B$23*$B$185-Inputs!$B$21)/Source_Data!$C$10)</f>
        <v>4.21144828125</v>
      </c>
      <c r="AO193" s="33" t="n">
        <f aca="false">Source_Data!AO$9+Source_Data!AO$10*IF(Source_Data!$C$10=0,0,MAX(0,Inputs!$B$20*Inputs!$B$23*$B$185-Inputs!$B$21)/Source_Data!$C$10)</f>
        <v>1.56208171875</v>
      </c>
      <c r="AP193" s="33" t="n">
        <f aca="false">Source_Data!AP$9+Source_Data!AP$10*IF(Source_Data!$C$10=0,0,MAX(0,Inputs!$B$20*Inputs!$B$23*$B$185-Inputs!$B$21)/Source_Data!$C$10)</f>
        <v>0</v>
      </c>
      <c r="AQ193" s="33" t="n">
        <f aca="false">Source_Data!AQ$9+Source_Data!AQ$10*IF(Source_Data!$C$10=0,0,MAX(0,Inputs!$B$20*Inputs!$B$23*$B$185-Inputs!$B$21)/Source_Data!$C$10)</f>
        <v>0</v>
      </c>
      <c r="AR193" s="33" t="n">
        <f aca="false">Source_Data!AR$9+Source_Data!AR$10*IF(Source_Data!$C$10=0,0,MAX(0,Inputs!$B$20*Inputs!$B$23*$B$185-Inputs!$B$21)/Source_Data!$C$10)</f>
        <v>0</v>
      </c>
      <c r="AS193" s="33" t="n">
        <f aca="false">Source_Data!AS$9+Source_Data!AS$10*IF(Source_Data!$C$10=0,0,MAX(0,Inputs!$B$20*Inputs!$B$23*$B$185-Inputs!$B$21)/Source_Data!$C$10)</f>
        <v>0</v>
      </c>
      <c r="AT193" s="33" t="n">
        <f aca="false">Source_Data!AT$9+Source_Data!AT$10*IF(Source_Data!$C$10=0,0,MAX(0,Inputs!$B$20*Inputs!$B$23*$B$185-Inputs!$B$21)/Source_Data!$C$10)</f>
        <v>0</v>
      </c>
      <c r="AU193" s="33" t="n">
        <f aca="false">Source_Data!AU$9+Source_Data!AU$10*IF(Source_Data!$C$10=0,0,MAX(0,Inputs!$B$20*Inputs!$B$23*$B$185-Inputs!$B$21)/Source_Data!$C$10)</f>
        <v>0</v>
      </c>
      <c r="AV193" s="33" t="n">
        <f aca="false">Source_Data!AV$9+Source_Data!AV$10*IF(Source_Data!$C$10=0,0,MAX(0,Inputs!$B$20*Inputs!$B$23*$B$185-Inputs!$B$21)/Source_Data!$C$10)</f>
        <v>0</v>
      </c>
      <c r="AW193" s="33" t="n">
        <f aca="false">Source_Data!AW$9+Source_Data!AW$10*IF(Source_Data!$C$10=0,0,MAX(0,Inputs!$B$20*Inputs!$B$23*$B$185-Inputs!$B$21)/Source_Data!$C$10)</f>
        <v>0</v>
      </c>
      <c r="AX193" s="33" t="n">
        <f aca="false">Source_Data!AX$9+Source_Data!AX$10*IF(Source_Data!$C$10=0,0,MAX(0,Inputs!$B$20*Inputs!$B$23*$B$185-Inputs!$B$21)/Source_Data!$C$10)</f>
        <v>0</v>
      </c>
      <c r="AY193" s="33" t="n">
        <f aca="false">Source_Data!AY$9+Source_Data!AY$10*IF(Source_Data!$C$10=0,0,MAX(0,Inputs!$B$20*Inputs!$B$23*$B$185-Inputs!$B$21)/Source_Data!$C$10)</f>
        <v>0</v>
      </c>
      <c r="AZ193" s="33" t="n">
        <f aca="false">Source_Data!AZ$9+Source_Data!AZ$10*IF(Source_Data!$C$10=0,0,MAX(0,Inputs!$B$20*Inputs!$B$23*$B$185-Inputs!$B$21)/Source_Data!$C$10)</f>
        <v>0</v>
      </c>
      <c r="BA193" s="33" t="n">
        <f aca="false">Source_Data!BA$9+Source_Data!BA$10*IF(Source_Data!$C$10=0,0,MAX(0,Inputs!$B$20*Inputs!$B$23*$B$185-Inputs!$B$21)/Source_Data!$C$10)</f>
        <v>0</v>
      </c>
      <c r="BB193" s="33" t="n">
        <f aca="false">Source_Data!BB$9+Source_Data!BB$10*IF(Source_Data!$C$10=0,0,MAX(0,Inputs!$B$20*Inputs!$B$23*$B$185-Inputs!$B$21)/Source_Data!$C$10)</f>
        <v>0</v>
      </c>
      <c r="BC193" s="33" t="n">
        <f aca="false">Source_Data!BC$9+Source_Data!BC$10*IF(Source_Data!$C$10=0,0,MAX(0,Inputs!$B$20*Inputs!$B$23*$B$185-Inputs!$B$21)/Source_Data!$C$10)</f>
        <v>0</v>
      </c>
      <c r="BD193" s="33" t="n">
        <f aca="false">Source_Data!BD$9+Source_Data!BD$10*IF(Source_Data!$C$10=0,0,MAX(0,Inputs!$B$20*Inputs!$B$23*$B$185-Inputs!$B$21)/Source_Data!$C$10)</f>
        <v>0</v>
      </c>
      <c r="BE193" s="33" t="n">
        <f aca="false">Source_Data!BE$9+Source_Data!BE$10*IF(Source_Data!$C$10=0,0,MAX(0,Inputs!$B$20*Inputs!$B$23*$B$185-Inputs!$B$21)/Source_Data!$C$10)</f>
        <v>0</v>
      </c>
      <c r="BF193" s="33" t="n">
        <f aca="false">Source_Data!BF$9+Source_Data!BF$10*IF(Source_Data!$C$10=0,0,MAX(0,Inputs!$B$20*Inputs!$B$23*$B$185-Inputs!$B$21)/Source_Data!$C$10)</f>
        <v>0</v>
      </c>
      <c r="BG193" s="33" t="n">
        <f aca="false">Source_Data!BG$9+Source_Data!BG$10*IF(Source_Data!$C$10=0,0,MAX(0,Inputs!$B$20*Inputs!$B$23*$B$185-Inputs!$B$21)/Source_Data!$C$10)</f>
        <v>0</v>
      </c>
      <c r="BH193" s="33" t="n">
        <f aca="false">Source_Data!BH$9+Source_Data!BH$10*IF(Source_Data!$C$10=0,0,MAX(0,Inputs!$B$20*Inputs!$B$23*$B$185-Inputs!$B$21)/Source_Data!$C$10)</f>
        <v>0</v>
      </c>
      <c r="BI193" s="33" t="n">
        <f aca="false">Source_Data!BI$9+Source_Data!BI$10*IF(Source_Data!$C$10=0,0,MAX(0,Inputs!$B$20*Inputs!$B$23*$B$185-Inputs!$B$21)/Source_Data!$C$10)</f>
        <v>0</v>
      </c>
      <c r="BJ193" s="33" t="n">
        <f aca="false">Source_Data!BJ$9+Source_Data!BJ$10*IF(Source_Data!$C$10=0,0,MAX(0,Inputs!$B$20*Inputs!$B$23*$B$185-Inputs!$B$21)/Source_Data!$C$10)</f>
        <v>0</v>
      </c>
      <c r="BK193" s="33" t="n">
        <f aca="false">Source_Data!BK$9+Source_Data!BK$10*IF(Source_Data!$C$10=0,0,MAX(0,Inputs!$B$20*Inputs!$B$23*$B$185-Inputs!$B$21)/Source_Data!$C$10)</f>
        <v>0</v>
      </c>
    </row>
    <row r="194" customFormat="false" ht="15" hidden="false" customHeight="false" outlineLevel="0" collapsed="false">
      <c r="A194" s="3" t="s">
        <v>196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198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217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218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219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341</v>
      </c>
      <c r="D199" s="33" t="n">
        <f aca="false">IF(Source_Data!D$6=Inputs!$B$13,-Inputs!$B$7,0)+IF(AND(Source_Data!D$6&gt;=$B$190,Source_Data!D$6&lt;$B$190+3*Inputs!$B$17,MOD(Source_Data!D$6-$B$190,3)=0),Inputs!$B$8*Inputs!$B$7*Inputs!$B$35*$B$185*(1-Inputs!$B$16)/Inputs!$B$17,0)</f>
        <v>-75</v>
      </c>
      <c r="E199" s="33" t="n">
        <f aca="false">IF(Source_Data!E$6=Inputs!$B$13,-Inputs!$B$7,0)+IF(AND(Source_Data!E$6&gt;=$B$190,Source_Data!E$6&lt;$B$190+3*Inputs!$B$17,MOD(Source_Data!E$6-$B$190,3)=0),Inputs!$B$8*Inputs!$B$7*Inputs!$B$35*$B$185*(1-Inputs!$B$16)/Inputs!$B$17,0)</f>
        <v>0</v>
      </c>
      <c r="F199" s="33" t="n">
        <f aca="false">IF(Source_Data!F$6=Inputs!$B$13,-Inputs!$B$7,0)+IF(AND(Source_Data!F$6&gt;=$B$190,Source_Data!F$6&lt;$B$190+3*Inputs!$B$17,MOD(Source_Data!F$6-$B$190,3)=0),Inputs!$B$8*Inputs!$B$7*Inputs!$B$35*$B$185*(1-Inputs!$B$16)/Inputs!$B$17,0)</f>
        <v>0</v>
      </c>
      <c r="G199" s="33" t="n">
        <f aca="false">IF(Source_Data!G$6=Inputs!$B$13,-Inputs!$B$7,0)+IF(AND(Source_Data!G$6&gt;=$B$190,Source_Data!G$6&lt;$B$190+3*Inputs!$B$17,MOD(Source_Data!G$6-$B$190,3)=0),Inputs!$B$8*Inputs!$B$7*Inputs!$B$35*$B$185*(1-Inputs!$B$16)/Inputs!$B$17,0)</f>
        <v>0</v>
      </c>
      <c r="H199" s="33" t="n">
        <f aca="false">IF(Source_Data!H$6=Inputs!$B$13,-Inputs!$B$7,0)+IF(AND(Source_Data!H$6&gt;=$B$190,Source_Data!H$6&lt;$B$190+3*Inputs!$B$17,MOD(Source_Data!H$6-$B$190,3)=0),Inputs!$B$8*Inputs!$B$7*Inputs!$B$35*$B$185*(1-Inputs!$B$16)/Inputs!$B$17,0)</f>
        <v>0</v>
      </c>
      <c r="I199" s="33" t="n">
        <f aca="false">IF(Source_Data!I$6=Inputs!$B$13,-Inputs!$B$7,0)+IF(AND(Source_Data!I$6&gt;=$B$190,Source_Data!I$6&lt;$B$190+3*Inputs!$B$17,MOD(Source_Data!I$6-$B$190,3)=0),Inputs!$B$8*Inputs!$B$7*Inputs!$B$35*$B$185*(1-Inputs!$B$16)/Inputs!$B$17,0)</f>
        <v>0</v>
      </c>
      <c r="J199" s="33" t="n">
        <f aca="false">IF(Source_Data!J$6=Inputs!$B$13,-Inputs!$B$7,0)+IF(AND(Source_Data!J$6&gt;=$B$190,Source_Data!J$6&lt;$B$190+3*Inputs!$B$17,MOD(Source_Data!J$6-$B$190,3)=0),Inputs!$B$8*Inputs!$B$7*Inputs!$B$35*$B$185*(1-Inputs!$B$16)/Inputs!$B$17,0)</f>
        <v>0</v>
      </c>
      <c r="K199" s="33" t="n">
        <f aca="false">IF(Source_Data!K$6=Inputs!$B$13,-Inputs!$B$7,0)+IF(AND(Source_Data!K$6&gt;=$B$190,Source_Data!K$6&lt;$B$190+3*Inputs!$B$17,MOD(Source_Data!K$6-$B$190,3)=0),Inputs!$B$8*Inputs!$B$7*Inputs!$B$35*$B$185*(1-Inputs!$B$16)/Inputs!$B$17,0)</f>
        <v>0</v>
      </c>
      <c r="L199" s="33" t="n">
        <f aca="false">IF(Source_Data!L$6=Inputs!$B$13,-Inputs!$B$7,0)+IF(AND(Source_Data!L$6&gt;=$B$190,Source_Data!L$6&lt;$B$190+3*Inputs!$B$17,MOD(Source_Data!L$6-$B$190,3)=0),Inputs!$B$8*Inputs!$B$7*Inputs!$B$35*$B$185*(1-Inputs!$B$16)/Inputs!$B$17,0)</f>
        <v>0</v>
      </c>
      <c r="M199" s="33" t="n">
        <f aca="false">IF(Source_Data!M$6=Inputs!$B$13,-Inputs!$B$7,0)+IF(AND(Source_Data!M$6&gt;=$B$190,Source_Data!M$6&lt;$B$190+3*Inputs!$B$17,MOD(Source_Data!M$6-$B$190,3)=0),Inputs!$B$8*Inputs!$B$7*Inputs!$B$35*$B$185*(1-Inputs!$B$16)/Inputs!$B$17,0)</f>
        <v>0</v>
      </c>
      <c r="N199" s="33" t="n">
        <f aca="false">IF(Source_Data!N$6=Inputs!$B$13,-Inputs!$B$7,0)+IF(AND(Source_Data!N$6&gt;=$B$190,Source_Data!N$6&lt;$B$190+3*Inputs!$B$17,MOD(Source_Data!N$6-$B$190,3)=0),Inputs!$B$8*Inputs!$B$7*Inputs!$B$35*$B$185*(1-Inputs!$B$16)/Inputs!$B$17,0)</f>
        <v>0</v>
      </c>
      <c r="O199" s="33" t="n">
        <f aca="false">IF(Source_Data!O$6=Inputs!$B$13,-Inputs!$B$7,0)+IF(AND(Source_Data!O$6&gt;=$B$190,Source_Data!O$6&lt;$B$190+3*Inputs!$B$17,MOD(Source_Data!O$6-$B$190,3)=0),Inputs!$B$8*Inputs!$B$7*Inputs!$B$35*$B$185*(1-Inputs!$B$16)/Inputs!$B$17,0)</f>
        <v>0</v>
      </c>
      <c r="P199" s="33" t="n">
        <f aca="false">IF(Source_Data!P$6=Inputs!$B$13,-Inputs!$B$7,0)+IF(AND(Source_Data!P$6&gt;=$B$190,Source_Data!P$6&lt;$B$190+3*Inputs!$B$17,MOD(Source_Data!P$6-$B$190,3)=0),Inputs!$B$8*Inputs!$B$7*Inputs!$B$35*$B$185*(1-Inputs!$B$16)/Inputs!$B$17,0)</f>
        <v>0</v>
      </c>
      <c r="Q199" s="33" t="n">
        <f aca="false">IF(Source_Data!Q$6=Inputs!$B$13,-Inputs!$B$7,0)+IF(AND(Source_Data!Q$6&gt;=$B$190,Source_Data!Q$6&lt;$B$190+3*Inputs!$B$17,MOD(Source_Data!Q$6-$B$190,3)=0),Inputs!$B$8*Inputs!$B$7*Inputs!$B$35*$B$185*(1-Inputs!$B$16)/Inputs!$B$17,0)</f>
        <v>0</v>
      </c>
      <c r="R199" s="33" t="n">
        <f aca="false">IF(Source_Data!R$6=Inputs!$B$13,-Inputs!$B$7,0)+IF(AND(Source_Data!R$6&gt;=$B$190,Source_Data!R$6&lt;$B$190+3*Inputs!$B$17,MOD(Source_Data!R$6-$B$190,3)=0),Inputs!$B$8*Inputs!$B$7*Inputs!$B$35*$B$185*(1-Inputs!$B$16)/Inputs!$B$17,0)</f>
        <v>0</v>
      </c>
      <c r="S199" s="33" t="n">
        <f aca="false">IF(Source_Data!S$6=Inputs!$B$13,-Inputs!$B$7,0)+IF(AND(Source_Data!S$6&gt;=$B$190,Source_Data!S$6&lt;$B$190+3*Inputs!$B$17,MOD(Source_Data!S$6-$B$190,3)=0),Inputs!$B$8*Inputs!$B$7*Inputs!$B$35*$B$185*(1-Inputs!$B$16)/Inputs!$B$17,0)</f>
        <v>0</v>
      </c>
      <c r="T199" s="33" t="n">
        <f aca="false">IF(Source_Data!T$6=Inputs!$B$13,-Inputs!$B$7,0)+IF(AND(Source_Data!T$6&gt;=$B$190,Source_Data!T$6&lt;$B$190+3*Inputs!$B$17,MOD(Source_Data!T$6-$B$190,3)=0),Inputs!$B$8*Inputs!$B$7*Inputs!$B$35*$B$185*(1-Inputs!$B$16)/Inputs!$B$17,0)</f>
        <v>52.1505376344086</v>
      </c>
      <c r="U199" s="33" t="n">
        <f aca="false">IF(Source_Data!U$6=Inputs!$B$13,-Inputs!$B$7,0)+IF(AND(Source_Data!U$6&gt;=$B$190,Source_Data!U$6&lt;$B$190+3*Inputs!$B$17,MOD(Source_Data!U$6-$B$190,3)=0),Inputs!$B$8*Inputs!$B$7*Inputs!$B$35*$B$185*(1-Inputs!$B$16)/Inputs!$B$17,0)</f>
        <v>52.1505376344086</v>
      </c>
      <c r="V199" s="33" t="n">
        <f aca="false">IF(Source_Data!V$6=Inputs!$B$13,-Inputs!$B$7,0)+IF(AND(Source_Data!V$6&gt;=$B$190,Source_Data!V$6&lt;$B$190+3*Inputs!$B$17,MOD(Source_Data!V$6-$B$190,3)=0),Inputs!$B$8*Inputs!$B$7*Inputs!$B$35*$B$185*(1-Inputs!$B$16)/Inputs!$B$17,0)</f>
        <v>52.1505376344086</v>
      </c>
      <c r="W199" s="33" t="n">
        <f aca="false">IF(Source_Data!W$6=Inputs!$B$13,-Inputs!$B$7,0)+IF(AND(Source_Data!W$6&gt;=$B$190,Source_Data!W$6&lt;$B$190+3*Inputs!$B$17,MOD(Source_Data!W$6-$B$190,3)=0),Inputs!$B$8*Inputs!$B$7*Inputs!$B$35*$B$185*(1-Inputs!$B$16)/Inputs!$B$17,0)</f>
        <v>52.1505376344086</v>
      </c>
      <c r="X199" s="33" t="n">
        <f aca="false">IF(Source_Data!X$6=Inputs!$B$13,-Inputs!$B$7,0)+IF(AND(Source_Data!X$6&gt;=$B$190,Source_Data!X$6&lt;$B$190+3*Inputs!$B$17,MOD(Source_Data!X$6-$B$190,3)=0),Inputs!$B$8*Inputs!$B$7*Inputs!$B$35*$B$185*(1-Inputs!$B$16)/Inputs!$B$17,0)</f>
        <v>0</v>
      </c>
      <c r="Y199" s="33" t="n">
        <f aca="false">IF(Source_Data!Y$6=Inputs!$B$13,-Inputs!$B$7,0)+IF(AND(Source_Data!Y$6&gt;=$B$190,Source_Data!Y$6&lt;$B$190+3*Inputs!$B$17,MOD(Source_Data!Y$6-$B$190,3)=0),Inputs!$B$8*Inputs!$B$7*Inputs!$B$35*$B$185*(1-Inputs!$B$16)/Inputs!$B$17,0)</f>
        <v>0</v>
      </c>
      <c r="Z199" s="33" t="n">
        <f aca="false">IF(Source_Data!Z$6=Inputs!$B$13,-Inputs!$B$7,0)+IF(AND(Source_Data!Z$6&gt;=$B$190,Source_Data!Z$6&lt;$B$190+3*Inputs!$B$17,MOD(Source_Data!Z$6-$B$190,3)=0),Inputs!$B$8*Inputs!$B$7*Inputs!$B$35*$B$185*(1-Inputs!$B$16)/Inputs!$B$17,0)</f>
        <v>0</v>
      </c>
      <c r="AA199" s="33" t="n">
        <f aca="false">IF(Source_Data!AA$6=Inputs!$B$13,-Inputs!$B$7,0)+IF(AND(Source_Data!AA$6&gt;=$B$190,Source_Data!AA$6&lt;$B$190+3*Inputs!$B$17,MOD(Source_Data!AA$6-$B$190,3)=0),Inputs!$B$8*Inputs!$B$7*Inputs!$B$35*$B$185*(1-Inputs!$B$16)/Inputs!$B$17,0)</f>
        <v>0</v>
      </c>
      <c r="AB199" s="33" t="n">
        <f aca="false">IF(Source_Data!AB$6=Inputs!$B$13,-Inputs!$B$7,0)+IF(AND(Source_Data!AB$6&gt;=$B$190,Source_Data!AB$6&lt;$B$190+3*Inputs!$B$17,MOD(Source_Data!AB$6-$B$190,3)=0),Inputs!$B$8*Inputs!$B$7*Inputs!$B$35*$B$185*(1-Inputs!$B$16)/Inputs!$B$17,0)</f>
        <v>0</v>
      </c>
      <c r="AC199" s="33" t="n">
        <f aca="false">IF(Source_Data!AC$6=Inputs!$B$13,-Inputs!$B$7,0)+IF(AND(Source_Data!AC$6&gt;=$B$190,Source_Data!AC$6&lt;$B$190+3*Inputs!$B$17,MOD(Source_Data!AC$6-$B$190,3)=0),Inputs!$B$8*Inputs!$B$7*Inputs!$B$35*$B$185*(1-Inputs!$B$16)/Inputs!$B$17,0)</f>
        <v>0</v>
      </c>
      <c r="AD199" s="33" t="n">
        <f aca="false">IF(Source_Data!AD$6=Inputs!$B$13,-Inputs!$B$7,0)+IF(AND(Source_Data!AD$6&gt;=$B$190,Source_Data!AD$6&lt;$B$190+3*Inputs!$B$17,MOD(Source_Data!AD$6-$B$190,3)=0),Inputs!$B$8*Inputs!$B$7*Inputs!$B$35*$B$185*(1-Inputs!$B$16)/Inputs!$B$17,0)</f>
        <v>0</v>
      </c>
      <c r="AE199" s="33" t="n">
        <f aca="false">IF(Source_Data!AE$6=Inputs!$B$13,-Inputs!$B$7,0)+IF(AND(Source_Data!AE$6&gt;=$B$190,Source_Data!AE$6&lt;$B$190+3*Inputs!$B$17,MOD(Source_Data!AE$6-$B$190,3)=0),Inputs!$B$8*Inputs!$B$7*Inputs!$B$35*$B$185*(1-Inputs!$B$16)/Inputs!$B$17,0)</f>
        <v>0</v>
      </c>
      <c r="AF199" s="33" t="n">
        <f aca="false">IF(Source_Data!AF$6=Inputs!$B$13,-Inputs!$B$7,0)+IF(AND(Source_Data!AF$6&gt;=$B$190,Source_Data!AF$6&lt;$B$190+3*Inputs!$B$17,MOD(Source_Data!AF$6-$B$190,3)=0),Inputs!$B$8*Inputs!$B$7*Inputs!$B$35*$B$185*(1-Inputs!$B$16)/Inputs!$B$17,0)</f>
        <v>0</v>
      </c>
      <c r="AG199" s="33" t="n">
        <f aca="false">IF(Source_Data!AG$6=Inputs!$B$13,-Inputs!$B$7,0)+IF(AND(Source_Data!AG$6&gt;=$B$190,Source_Data!AG$6&lt;$B$190+3*Inputs!$B$17,MOD(Source_Data!AG$6-$B$190,3)=0),Inputs!$B$8*Inputs!$B$7*Inputs!$B$35*$B$185*(1-Inputs!$B$16)/Inputs!$B$17,0)</f>
        <v>0</v>
      </c>
      <c r="AH199" s="33" t="n">
        <f aca="false">IF(Source_Data!AH$6=Inputs!$B$13,-Inputs!$B$7,0)+IF(AND(Source_Data!AH$6&gt;=$B$190,Source_Data!AH$6&lt;$B$190+3*Inputs!$B$17,MOD(Source_Data!AH$6-$B$190,3)=0),Inputs!$B$8*Inputs!$B$7*Inputs!$B$35*$B$185*(1-Inputs!$B$16)/Inputs!$B$17,0)</f>
        <v>0</v>
      </c>
      <c r="AI199" s="33" t="n">
        <f aca="false">IF(Source_Data!AI$6=Inputs!$B$13,-Inputs!$B$7,0)+IF(AND(Source_Data!AI$6&gt;=$B$190,Source_Data!AI$6&lt;$B$190+3*Inputs!$B$17,MOD(Source_Data!AI$6-$B$190,3)=0),Inputs!$B$8*Inputs!$B$7*Inputs!$B$35*$B$185*(1-Inputs!$B$16)/Inputs!$B$17,0)</f>
        <v>0</v>
      </c>
      <c r="AJ199" s="33" t="n">
        <f aca="false">IF(Source_Data!AJ$6=Inputs!$B$13,-Inputs!$B$7,0)+IF(AND(Source_Data!AJ$6&gt;=$B$190,Source_Data!AJ$6&lt;$B$190+3*Inputs!$B$17,MOD(Source_Data!AJ$6-$B$190,3)=0),Inputs!$B$8*Inputs!$B$7*Inputs!$B$35*$B$185*(1-Inputs!$B$16)/Inputs!$B$17,0)</f>
        <v>0</v>
      </c>
      <c r="AK199" s="33" t="n">
        <f aca="false">IF(Source_Data!AK$6=Inputs!$B$13,-Inputs!$B$7,0)+IF(AND(Source_Data!AK$6&gt;=$B$190,Source_Data!AK$6&lt;$B$190+3*Inputs!$B$17,MOD(Source_Data!AK$6-$B$190,3)=0),Inputs!$B$8*Inputs!$B$7*Inputs!$B$35*$B$185*(1-Inputs!$B$16)/Inputs!$B$17,0)</f>
        <v>0</v>
      </c>
      <c r="AL199" s="33" t="n">
        <f aca="false">IF(Source_Data!AL$6=Inputs!$B$13,-Inputs!$B$7,0)+IF(AND(Source_Data!AL$6&gt;=$B$190,Source_Data!AL$6&lt;$B$190+3*Inputs!$B$17,MOD(Source_Data!AL$6-$B$190,3)=0),Inputs!$B$8*Inputs!$B$7*Inputs!$B$35*$B$185*(1-Inputs!$B$16)/Inputs!$B$17,0)</f>
        <v>0</v>
      </c>
      <c r="AM199" s="33" t="n">
        <f aca="false">IF(Source_Data!AM$6=Inputs!$B$13,-Inputs!$B$7,0)+IF(AND(Source_Data!AM$6&gt;=$B$190,Source_Data!AM$6&lt;$B$190+3*Inputs!$B$17,MOD(Source_Data!AM$6-$B$190,3)=0),Inputs!$B$8*Inputs!$B$7*Inputs!$B$35*$B$185*(1-Inputs!$B$16)/Inputs!$B$17,0)</f>
        <v>0</v>
      </c>
      <c r="AN199" s="33" t="n">
        <f aca="false">IF(Source_Data!AN$6=Inputs!$B$13,-Inputs!$B$7,0)+IF(AND(Source_Data!AN$6&gt;=$B$190,Source_Data!AN$6&lt;$B$190+3*Inputs!$B$17,MOD(Source_Data!AN$6-$B$190,3)=0),Inputs!$B$8*Inputs!$B$7*Inputs!$B$35*$B$185*(1-Inputs!$B$16)/Inputs!$B$17,0)</f>
        <v>0</v>
      </c>
      <c r="AO199" s="33" t="n">
        <f aca="false">IF(Source_Data!AO$6=Inputs!$B$13,-Inputs!$B$7,0)+IF(AND(Source_Data!AO$6&gt;=$B$190,Source_Data!AO$6&lt;$B$190+3*Inputs!$B$17,MOD(Source_Data!AO$6-$B$190,3)=0),Inputs!$B$8*Inputs!$B$7*Inputs!$B$35*$B$185*(1-Inputs!$B$16)/Inputs!$B$17,0)</f>
        <v>0</v>
      </c>
      <c r="AP199" s="33" t="n">
        <f aca="false">IF(Source_Data!AP$6=Inputs!$B$13,-Inputs!$B$7,0)+IF(AND(Source_Data!AP$6&gt;=$B$190,Source_Data!AP$6&lt;$B$190+3*Inputs!$B$17,MOD(Source_Data!AP$6-$B$190,3)=0),Inputs!$B$8*Inputs!$B$7*Inputs!$B$35*$B$185*(1-Inputs!$B$16)/Inputs!$B$17,0)</f>
        <v>0</v>
      </c>
      <c r="AQ199" s="33" t="n">
        <f aca="false">IF(Source_Data!AQ$6=Inputs!$B$13,-Inputs!$B$7,0)+IF(AND(Source_Data!AQ$6&gt;=$B$190,Source_Data!AQ$6&lt;$B$190+3*Inputs!$B$17,MOD(Source_Data!AQ$6-$B$190,3)=0),Inputs!$B$8*Inputs!$B$7*Inputs!$B$35*$B$185*(1-Inputs!$B$16)/Inputs!$B$17,0)</f>
        <v>0</v>
      </c>
      <c r="AR199" s="33" t="n">
        <f aca="false">IF(Source_Data!AR$6=Inputs!$B$13,-Inputs!$B$7,0)+IF(AND(Source_Data!AR$6&gt;=$B$190,Source_Data!AR$6&lt;$B$190+3*Inputs!$B$17,MOD(Source_Data!AR$6-$B$190,3)=0),Inputs!$B$8*Inputs!$B$7*Inputs!$B$35*$B$185*(1-Inputs!$B$16)/Inputs!$B$17,0)</f>
        <v>0</v>
      </c>
      <c r="AS199" s="33" t="n">
        <f aca="false">IF(Source_Data!AS$6=Inputs!$B$13,-Inputs!$B$7,0)+IF(AND(Source_Data!AS$6&gt;=$B$190,Source_Data!AS$6&lt;$B$190+3*Inputs!$B$17,MOD(Source_Data!AS$6-$B$190,3)=0),Inputs!$B$8*Inputs!$B$7*Inputs!$B$35*$B$185*(1-Inputs!$B$16)/Inputs!$B$17,0)</f>
        <v>0</v>
      </c>
      <c r="AT199" s="33" t="n">
        <f aca="false">IF(Source_Data!AT$6=Inputs!$B$13,-Inputs!$B$7,0)+IF(AND(Source_Data!AT$6&gt;=$B$190,Source_Data!AT$6&lt;$B$190+3*Inputs!$B$17,MOD(Source_Data!AT$6-$B$190,3)=0),Inputs!$B$8*Inputs!$B$7*Inputs!$B$35*$B$185*(1-Inputs!$B$16)/Inputs!$B$17,0)</f>
        <v>0</v>
      </c>
      <c r="AU199" s="33" t="n">
        <f aca="false">IF(Source_Data!AU$6=Inputs!$B$13,-Inputs!$B$7,0)+IF(AND(Source_Data!AU$6&gt;=$B$190,Source_Data!AU$6&lt;$B$190+3*Inputs!$B$17,MOD(Source_Data!AU$6-$B$190,3)=0),Inputs!$B$8*Inputs!$B$7*Inputs!$B$35*$B$185*(1-Inputs!$B$16)/Inputs!$B$17,0)</f>
        <v>0</v>
      </c>
      <c r="AV199" s="33" t="n">
        <f aca="false">IF(Source_Data!AV$6=Inputs!$B$13,-Inputs!$B$7,0)+IF(AND(Source_Data!AV$6&gt;=$B$190,Source_Data!AV$6&lt;$B$190+3*Inputs!$B$17,MOD(Source_Data!AV$6-$B$190,3)=0),Inputs!$B$8*Inputs!$B$7*Inputs!$B$35*$B$185*(1-Inputs!$B$16)/Inputs!$B$17,0)</f>
        <v>0</v>
      </c>
      <c r="AW199" s="33" t="n">
        <f aca="false">IF(Source_Data!AW$6=Inputs!$B$13,-Inputs!$B$7,0)+IF(AND(Source_Data!AW$6&gt;=$B$190,Source_Data!AW$6&lt;$B$190+3*Inputs!$B$17,MOD(Source_Data!AW$6-$B$190,3)=0),Inputs!$B$8*Inputs!$B$7*Inputs!$B$35*$B$185*(1-Inputs!$B$16)/Inputs!$B$17,0)</f>
        <v>0</v>
      </c>
      <c r="AX199" s="33" t="n">
        <f aca="false">IF(Source_Data!AX$6=Inputs!$B$13,-Inputs!$B$7,0)+IF(AND(Source_Data!AX$6&gt;=$B$190,Source_Data!AX$6&lt;$B$190+3*Inputs!$B$17,MOD(Source_Data!AX$6-$B$190,3)=0),Inputs!$B$8*Inputs!$B$7*Inputs!$B$35*$B$185*(1-Inputs!$B$16)/Inputs!$B$17,0)</f>
        <v>0</v>
      </c>
      <c r="AY199" s="33" t="n">
        <f aca="false">IF(Source_Data!AY$6=Inputs!$B$13,-Inputs!$B$7,0)+IF(AND(Source_Data!AY$6&gt;=$B$190,Source_Data!AY$6&lt;$B$190+3*Inputs!$B$17,MOD(Source_Data!AY$6-$B$190,3)=0),Inputs!$B$8*Inputs!$B$7*Inputs!$B$35*$B$185*(1-Inputs!$B$16)/Inputs!$B$17,0)</f>
        <v>0</v>
      </c>
      <c r="AZ199" s="33" t="n">
        <f aca="false">IF(Source_Data!AZ$6=Inputs!$B$13,-Inputs!$B$7,0)+IF(AND(Source_Data!AZ$6&gt;=$B$190,Source_Data!AZ$6&lt;$B$190+3*Inputs!$B$17,MOD(Source_Data!AZ$6-$B$190,3)=0),Inputs!$B$8*Inputs!$B$7*Inputs!$B$35*$B$185*(1-Inputs!$B$16)/Inputs!$B$17,0)</f>
        <v>0</v>
      </c>
      <c r="BA199" s="33" t="n">
        <f aca="false">IF(Source_Data!BA$6=Inputs!$B$13,-Inputs!$B$7,0)+IF(AND(Source_Data!BA$6&gt;=$B$190,Source_Data!BA$6&lt;$B$190+3*Inputs!$B$17,MOD(Source_Data!BA$6-$B$190,3)=0),Inputs!$B$8*Inputs!$B$7*Inputs!$B$35*$B$185*(1-Inputs!$B$16)/Inputs!$B$17,0)</f>
        <v>0</v>
      </c>
      <c r="BB199" s="33" t="n">
        <f aca="false">IF(Source_Data!BB$6=Inputs!$B$13,-Inputs!$B$7,0)+IF(AND(Source_Data!BB$6&gt;=$B$190,Source_Data!BB$6&lt;$B$190+3*Inputs!$B$17,MOD(Source_Data!BB$6-$B$190,3)=0),Inputs!$B$8*Inputs!$B$7*Inputs!$B$35*$B$185*(1-Inputs!$B$16)/Inputs!$B$17,0)</f>
        <v>0</v>
      </c>
      <c r="BC199" s="33" t="n">
        <f aca="false">IF(Source_Data!BC$6=Inputs!$B$13,-Inputs!$B$7,0)+IF(AND(Source_Data!BC$6&gt;=$B$190,Source_Data!BC$6&lt;$B$190+3*Inputs!$B$17,MOD(Source_Data!BC$6-$B$190,3)=0),Inputs!$B$8*Inputs!$B$7*Inputs!$B$35*$B$185*(1-Inputs!$B$16)/Inputs!$B$17,0)</f>
        <v>0</v>
      </c>
      <c r="BD199" s="33" t="n">
        <f aca="false">IF(Source_Data!BD$6=Inputs!$B$13,-Inputs!$B$7,0)+IF(AND(Source_Data!BD$6&gt;=$B$190,Source_Data!BD$6&lt;$B$190+3*Inputs!$B$17,MOD(Source_Data!BD$6-$B$190,3)=0),Inputs!$B$8*Inputs!$B$7*Inputs!$B$35*$B$185*(1-Inputs!$B$16)/Inputs!$B$17,0)</f>
        <v>0</v>
      </c>
      <c r="BE199" s="33" t="n">
        <f aca="false">IF(Source_Data!BE$6=Inputs!$B$13,-Inputs!$B$7,0)+IF(AND(Source_Data!BE$6&gt;=$B$190,Source_Data!BE$6&lt;$B$190+3*Inputs!$B$17,MOD(Source_Data!BE$6-$B$190,3)=0),Inputs!$B$8*Inputs!$B$7*Inputs!$B$35*$B$185*(1-Inputs!$B$16)/Inputs!$B$17,0)</f>
        <v>0</v>
      </c>
      <c r="BF199" s="33" t="n">
        <f aca="false">IF(Source_Data!BF$6=Inputs!$B$13,-Inputs!$B$7,0)+IF(AND(Source_Data!BF$6&gt;=$B$190,Source_Data!BF$6&lt;$B$190+3*Inputs!$B$17,MOD(Source_Data!BF$6-$B$190,3)=0),Inputs!$B$8*Inputs!$B$7*Inputs!$B$35*$B$185*(1-Inputs!$B$16)/Inputs!$B$17,0)</f>
        <v>0</v>
      </c>
      <c r="BG199" s="33" t="n">
        <f aca="false">IF(Source_Data!BG$6=Inputs!$B$13,-Inputs!$B$7,0)+IF(AND(Source_Data!BG$6&gt;=$B$190,Source_Data!BG$6&lt;$B$190+3*Inputs!$B$17,MOD(Source_Data!BG$6-$B$190,3)=0),Inputs!$B$8*Inputs!$B$7*Inputs!$B$35*$B$185*(1-Inputs!$B$16)/Inputs!$B$17,0)</f>
        <v>0</v>
      </c>
      <c r="BH199" s="33" t="n">
        <f aca="false">IF(Source_Data!BH$6=Inputs!$B$13,-Inputs!$B$7,0)+IF(AND(Source_Data!BH$6&gt;=$B$190,Source_Data!BH$6&lt;$B$190+3*Inputs!$B$17,MOD(Source_Data!BH$6-$B$190,3)=0),Inputs!$B$8*Inputs!$B$7*Inputs!$B$35*$B$185*(1-Inputs!$B$16)/Inputs!$B$17,0)</f>
        <v>0</v>
      </c>
      <c r="BI199" s="33" t="n">
        <f aca="false">IF(Source_Data!BI$6=Inputs!$B$13,-Inputs!$B$7,0)+IF(AND(Source_Data!BI$6&gt;=$B$190,Source_Data!BI$6&lt;$B$190+3*Inputs!$B$17,MOD(Source_Data!BI$6-$B$190,3)=0),Inputs!$B$8*Inputs!$B$7*Inputs!$B$35*$B$185*(1-Inputs!$B$16)/Inputs!$B$17,0)</f>
        <v>0</v>
      </c>
      <c r="BJ199" s="33" t="n">
        <f aca="false">IF(Source_Data!BJ$6=Inputs!$B$13,-Inputs!$B$7,0)+IF(AND(Source_Data!BJ$6&gt;=$B$190,Source_Data!BJ$6&lt;$B$190+3*Inputs!$B$17,MOD(Source_Data!BJ$6-$B$190,3)=0),Inputs!$B$8*Inputs!$B$7*Inputs!$B$35*$B$185*(1-Inputs!$B$16)/Inputs!$B$17,0)</f>
        <v>0</v>
      </c>
      <c r="BK199" s="33" t="n">
        <f aca="false">IF(Source_Data!BK$6=Inputs!$B$13,-Inputs!$B$7,0)+IF(AND(Source_Data!BK$6&gt;=$B$190,Source_Data!BK$6&lt;$B$190+3*Inputs!$B$17,MOD(Source_Data!BK$6-$B$190,3)=0),Inputs!$B$8*Inputs!$B$7*Inputs!$B$35*$B$185*(1-Inputs!$B$16)/Inputs!$B$17,0)</f>
        <v>0</v>
      </c>
    </row>
    <row r="200" customFormat="false" ht="15" hidden="false" customHeight="false" outlineLevel="0" collapsed="false">
      <c r="A200" s="3" t="s">
        <v>342</v>
      </c>
      <c r="D200" s="33" t="n">
        <f aca="false">IF(AND(Source_Data!D$6&gt;=Inputs!$B$55,Source_Data!D$6&lt;Inputs!$B$55+3*Inputs!$B$11),Inputs!$B$9*Inputs!$B$7/Inputs!$B$11,0)</f>
        <v>0</v>
      </c>
      <c r="E200" s="33" t="n">
        <f aca="false">IF(AND(Source_Data!E$6&gt;=Inputs!$B$55,Source_Data!E$6&lt;Inputs!$B$55+3*Inputs!$B$11),Inputs!$B$9*Inputs!$B$7/Inputs!$B$11,0)</f>
        <v>0</v>
      </c>
      <c r="F200" s="33" t="n">
        <f aca="false">IF(AND(Source_Data!F$6&gt;=Inputs!$B$55,Source_Data!F$6&lt;Inputs!$B$55+3*Inputs!$B$11),Inputs!$B$9*Inputs!$B$7/Inputs!$B$11,0)</f>
        <v>0</v>
      </c>
      <c r="G200" s="33" t="n">
        <f aca="false">IF(AND(Source_Data!G$6&gt;=Inputs!$B$55,Source_Data!G$6&lt;Inputs!$B$55+3*Inputs!$B$11),Inputs!$B$9*Inputs!$B$7/Inputs!$B$11,0)</f>
        <v>0</v>
      </c>
      <c r="H200" s="33" t="n">
        <f aca="false">IF(AND(Source_Data!H$6&gt;=Inputs!$B$55,Source_Data!H$6&lt;Inputs!$B$55+3*Inputs!$B$11),Inputs!$B$9*Inputs!$B$7/Inputs!$B$11,0)</f>
        <v>0</v>
      </c>
      <c r="I200" s="33" t="n">
        <f aca="false">IF(AND(Source_Data!I$6&gt;=Inputs!$B$55,Source_Data!I$6&lt;Inputs!$B$55+3*Inputs!$B$11),Inputs!$B$9*Inputs!$B$7/Inputs!$B$11,0)</f>
        <v>0</v>
      </c>
      <c r="J200" s="33" t="n">
        <f aca="false">IF(AND(Source_Data!J$6&gt;=Inputs!$B$55,Source_Data!J$6&lt;Inputs!$B$55+3*Inputs!$B$11),Inputs!$B$9*Inputs!$B$7/Inputs!$B$11,0)</f>
        <v>0</v>
      </c>
      <c r="K200" s="33" t="n">
        <f aca="false">IF(AND(Source_Data!K$6&gt;=Inputs!$B$55,Source_Data!K$6&lt;Inputs!$B$55+3*Inputs!$B$11),Inputs!$B$9*Inputs!$B$7/Inputs!$B$11,0)</f>
        <v>0</v>
      </c>
      <c r="L200" s="33" t="n">
        <f aca="false">IF(AND(Source_Data!L$6&gt;=Inputs!$B$55,Source_Data!L$6&lt;Inputs!$B$55+3*Inputs!$B$11),Inputs!$B$9*Inputs!$B$7/Inputs!$B$11,0)</f>
        <v>0</v>
      </c>
      <c r="M200" s="33" t="n">
        <f aca="false">IF(AND(Source_Data!M$6&gt;=Inputs!$B$55,Source_Data!M$6&lt;Inputs!$B$55+3*Inputs!$B$11),Inputs!$B$9*Inputs!$B$7/Inputs!$B$11,0)</f>
        <v>14.375</v>
      </c>
      <c r="N200" s="33" t="n">
        <f aca="false">IF(AND(Source_Data!N$6&gt;=Inputs!$B$55,Source_Data!N$6&lt;Inputs!$B$55+3*Inputs!$B$11),Inputs!$B$9*Inputs!$B$7/Inputs!$B$11,0)</f>
        <v>14.375</v>
      </c>
      <c r="O200" s="33" t="n">
        <f aca="false">IF(AND(Source_Data!O$6&gt;=Inputs!$B$55,Source_Data!O$6&lt;Inputs!$B$55+3*Inputs!$B$11),Inputs!$B$9*Inputs!$B$7/Inputs!$B$11,0)</f>
        <v>14.375</v>
      </c>
      <c r="P200" s="33" t="n">
        <f aca="false">IF(AND(Source_Data!P$6&gt;=Inputs!$B$55,Source_Data!P$6&lt;Inputs!$B$55+3*Inputs!$B$11),Inputs!$B$9*Inputs!$B$7/Inputs!$B$11,0)</f>
        <v>14.375</v>
      </c>
      <c r="Q200" s="33" t="n">
        <f aca="false">IF(AND(Source_Data!Q$6&gt;=Inputs!$B$55,Source_Data!Q$6&lt;Inputs!$B$55+3*Inputs!$B$11),Inputs!$B$9*Inputs!$B$7/Inputs!$B$11,0)</f>
        <v>14.375</v>
      </c>
      <c r="R200" s="33" t="n">
        <f aca="false">IF(AND(Source_Data!R$6&gt;=Inputs!$B$55,Source_Data!R$6&lt;Inputs!$B$55+3*Inputs!$B$11),Inputs!$B$9*Inputs!$B$7/Inputs!$B$11,0)</f>
        <v>14.375</v>
      </c>
      <c r="S200" s="33" t="n">
        <f aca="false">IF(AND(Source_Data!S$6&gt;=Inputs!$B$55,Source_Data!S$6&lt;Inputs!$B$55+3*Inputs!$B$11),Inputs!$B$9*Inputs!$B$7/Inputs!$B$11,0)</f>
        <v>14.375</v>
      </c>
      <c r="T200" s="33" t="n">
        <f aca="false">IF(AND(Source_Data!T$6&gt;=Inputs!$B$55,Source_Data!T$6&lt;Inputs!$B$55+3*Inputs!$B$11),Inputs!$B$9*Inputs!$B$7/Inputs!$B$11,0)</f>
        <v>14.375</v>
      </c>
      <c r="U200" s="33" t="n">
        <f aca="false">IF(AND(Source_Data!U$6&gt;=Inputs!$B$55,Source_Data!U$6&lt;Inputs!$B$55+3*Inputs!$B$11),Inputs!$B$9*Inputs!$B$7/Inputs!$B$11,0)</f>
        <v>14.375</v>
      </c>
      <c r="V200" s="33" t="n">
        <f aca="false">IF(AND(Source_Data!V$6&gt;=Inputs!$B$55,Source_Data!V$6&lt;Inputs!$B$55+3*Inputs!$B$11),Inputs!$B$9*Inputs!$B$7/Inputs!$B$11,0)</f>
        <v>14.375</v>
      </c>
      <c r="W200" s="33" t="n">
        <f aca="false">IF(AND(Source_Data!W$6&gt;=Inputs!$B$55,Source_Data!W$6&lt;Inputs!$B$55+3*Inputs!$B$11),Inputs!$B$9*Inputs!$B$7/Inputs!$B$11,0)</f>
        <v>14.375</v>
      </c>
      <c r="X200" s="33" t="n">
        <f aca="false">IF(AND(Source_Data!X$6&gt;=Inputs!$B$55,Source_Data!X$6&lt;Inputs!$B$55+3*Inputs!$B$11),Inputs!$B$9*Inputs!$B$7/Inputs!$B$11,0)</f>
        <v>14.375</v>
      </c>
      <c r="Y200" s="33" t="n">
        <f aca="false">IF(AND(Source_Data!Y$6&gt;=Inputs!$B$55,Source_Data!Y$6&lt;Inputs!$B$55+3*Inputs!$B$11),Inputs!$B$9*Inputs!$B$7/Inputs!$B$11,0)</f>
        <v>0</v>
      </c>
      <c r="Z200" s="33" t="n">
        <f aca="false">IF(AND(Source_Data!Z$6&gt;=Inputs!$B$55,Source_Data!Z$6&lt;Inputs!$B$55+3*Inputs!$B$11),Inputs!$B$9*Inputs!$B$7/Inputs!$B$11,0)</f>
        <v>0</v>
      </c>
      <c r="AA200" s="33" t="n">
        <f aca="false">IF(AND(Source_Data!AA$6&gt;=Inputs!$B$55,Source_Data!AA$6&lt;Inputs!$B$55+3*Inputs!$B$11),Inputs!$B$9*Inputs!$B$7/Inputs!$B$11,0)</f>
        <v>0</v>
      </c>
      <c r="AB200" s="33" t="n">
        <f aca="false">IF(AND(Source_Data!AB$6&gt;=Inputs!$B$55,Source_Data!AB$6&lt;Inputs!$B$55+3*Inputs!$B$11),Inputs!$B$9*Inputs!$B$7/Inputs!$B$11,0)</f>
        <v>0</v>
      </c>
      <c r="AC200" s="33" t="n">
        <f aca="false">IF(AND(Source_Data!AC$6&gt;=Inputs!$B$55,Source_Data!AC$6&lt;Inputs!$B$55+3*Inputs!$B$11),Inputs!$B$9*Inputs!$B$7/Inputs!$B$11,0)</f>
        <v>0</v>
      </c>
      <c r="AD200" s="33" t="n">
        <f aca="false">IF(AND(Source_Data!AD$6&gt;=Inputs!$B$55,Source_Data!AD$6&lt;Inputs!$B$55+3*Inputs!$B$11),Inputs!$B$9*Inputs!$B$7/Inputs!$B$11,0)</f>
        <v>0</v>
      </c>
      <c r="AE200" s="33" t="n">
        <f aca="false">IF(AND(Source_Data!AE$6&gt;=Inputs!$B$55,Source_Data!AE$6&lt;Inputs!$B$55+3*Inputs!$B$11),Inputs!$B$9*Inputs!$B$7/Inputs!$B$11,0)</f>
        <v>0</v>
      </c>
      <c r="AF200" s="33" t="n">
        <f aca="false">IF(AND(Source_Data!AF$6&gt;=Inputs!$B$55,Source_Data!AF$6&lt;Inputs!$B$55+3*Inputs!$B$11),Inputs!$B$9*Inputs!$B$7/Inputs!$B$11,0)</f>
        <v>0</v>
      </c>
      <c r="AG200" s="33" t="n">
        <f aca="false">IF(AND(Source_Data!AG$6&gt;=Inputs!$B$55,Source_Data!AG$6&lt;Inputs!$B$55+3*Inputs!$B$11),Inputs!$B$9*Inputs!$B$7/Inputs!$B$11,0)</f>
        <v>0</v>
      </c>
      <c r="AH200" s="33" t="n">
        <f aca="false">IF(AND(Source_Data!AH$6&gt;=Inputs!$B$55,Source_Data!AH$6&lt;Inputs!$B$55+3*Inputs!$B$11),Inputs!$B$9*Inputs!$B$7/Inputs!$B$11,0)</f>
        <v>0</v>
      </c>
      <c r="AI200" s="33" t="n">
        <f aca="false">IF(AND(Source_Data!AI$6&gt;=Inputs!$B$55,Source_Data!AI$6&lt;Inputs!$B$55+3*Inputs!$B$11),Inputs!$B$9*Inputs!$B$7/Inputs!$B$11,0)</f>
        <v>0</v>
      </c>
      <c r="AJ200" s="33" t="n">
        <f aca="false">IF(AND(Source_Data!AJ$6&gt;=Inputs!$B$55,Source_Data!AJ$6&lt;Inputs!$B$55+3*Inputs!$B$11),Inputs!$B$9*Inputs!$B$7/Inputs!$B$11,0)</f>
        <v>0</v>
      </c>
      <c r="AK200" s="33" t="n">
        <f aca="false">IF(AND(Source_Data!AK$6&gt;=Inputs!$B$55,Source_Data!AK$6&lt;Inputs!$B$55+3*Inputs!$B$11),Inputs!$B$9*Inputs!$B$7/Inputs!$B$11,0)</f>
        <v>0</v>
      </c>
      <c r="AL200" s="33" t="n">
        <f aca="false">IF(AND(Source_Data!AL$6&gt;=Inputs!$B$55,Source_Data!AL$6&lt;Inputs!$B$55+3*Inputs!$B$11),Inputs!$B$9*Inputs!$B$7/Inputs!$B$11,0)</f>
        <v>0</v>
      </c>
      <c r="AM200" s="33" t="n">
        <f aca="false">IF(AND(Source_Data!AM$6&gt;=Inputs!$B$55,Source_Data!AM$6&lt;Inputs!$B$55+3*Inputs!$B$11),Inputs!$B$9*Inputs!$B$7/Inputs!$B$11,0)</f>
        <v>0</v>
      </c>
      <c r="AN200" s="33" t="n">
        <f aca="false">IF(AND(Source_Data!AN$6&gt;=Inputs!$B$55,Source_Data!AN$6&lt;Inputs!$B$55+3*Inputs!$B$11),Inputs!$B$9*Inputs!$B$7/Inputs!$B$11,0)</f>
        <v>0</v>
      </c>
      <c r="AO200" s="33" t="n">
        <f aca="false">IF(AND(Source_Data!AO$6&gt;=Inputs!$B$55,Source_Data!AO$6&lt;Inputs!$B$55+3*Inputs!$B$11),Inputs!$B$9*Inputs!$B$7/Inputs!$B$11,0)</f>
        <v>0</v>
      </c>
      <c r="AP200" s="33" t="n">
        <f aca="false">IF(AND(Source_Data!AP$6&gt;=Inputs!$B$55,Source_Data!AP$6&lt;Inputs!$B$55+3*Inputs!$B$11),Inputs!$B$9*Inputs!$B$7/Inputs!$B$11,0)</f>
        <v>0</v>
      </c>
      <c r="AQ200" s="33" t="n">
        <f aca="false">IF(AND(Source_Data!AQ$6&gt;=Inputs!$B$55,Source_Data!AQ$6&lt;Inputs!$B$55+3*Inputs!$B$11),Inputs!$B$9*Inputs!$B$7/Inputs!$B$11,0)</f>
        <v>0</v>
      </c>
      <c r="AR200" s="33" t="n">
        <f aca="false">IF(AND(Source_Data!AR$6&gt;=Inputs!$B$55,Source_Data!AR$6&lt;Inputs!$B$55+3*Inputs!$B$11),Inputs!$B$9*Inputs!$B$7/Inputs!$B$11,0)</f>
        <v>0</v>
      </c>
      <c r="AS200" s="33" t="n">
        <f aca="false">IF(AND(Source_Data!AS$6&gt;=Inputs!$B$55,Source_Data!AS$6&lt;Inputs!$B$55+3*Inputs!$B$11),Inputs!$B$9*Inputs!$B$7/Inputs!$B$11,0)</f>
        <v>0</v>
      </c>
      <c r="AT200" s="33" t="n">
        <f aca="false">IF(AND(Source_Data!AT$6&gt;=Inputs!$B$55,Source_Data!AT$6&lt;Inputs!$B$55+3*Inputs!$B$11),Inputs!$B$9*Inputs!$B$7/Inputs!$B$11,0)</f>
        <v>0</v>
      </c>
      <c r="AU200" s="33" t="n">
        <f aca="false">IF(AND(Source_Data!AU$6&gt;=Inputs!$B$55,Source_Data!AU$6&lt;Inputs!$B$55+3*Inputs!$B$11),Inputs!$B$9*Inputs!$B$7/Inputs!$B$11,0)</f>
        <v>0</v>
      </c>
      <c r="AV200" s="33" t="n">
        <f aca="false">IF(AND(Source_Data!AV$6&gt;=Inputs!$B$55,Source_Data!AV$6&lt;Inputs!$B$55+3*Inputs!$B$11),Inputs!$B$9*Inputs!$B$7/Inputs!$B$11,0)</f>
        <v>0</v>
      </c>
      <c r="AW200" s="33" t="n">
        <f aca="false">IF(AND(Source_Data!AW$6&gt;=Inputs!$B$55,Source_Data!AW$6&lt;Inputs!$B$55+3*Inputs!$B$11),Inputs!$B$9*Inputs!$B$7/Inputs!$B$11,0)</f>
        <v>0</v>
      </c>
      <c r="AX200" s="33" t="n">
        <f aca="false">IF(AND(Source_Data!AX$6&gt;=Inputs!$B$55,Source_Data!AX$6&lt;Inputs!$B$55+3*Inputs!$B$11),Inputs!$B$9*Inputs!$B$7/Inputs!$B$11,0)</f>
        <v>0</v>
      </c>
      <c r="AY200" s="33" t="n">
        <f aca="false">IF(AND(Source_Data!AY$6&gt;=Inputs!$B$55,Source_Data!AY$6&lt;Inputs!$B$55+3*Inputs!$B$11),Inputs!$B$9*Inputs!$B$7/Inputs!$B$11,0)</f>
        <v>0</v>
      </c>
      <c r="AZ200" s="33" t="n">
        <f aca="false">IF(AND(Source_Data!AZ$6&gt;=Inputs!$B$55,Source_Data!AZ$6&lt;Inputs!$B$55+3*Inputs!$B$11),Inputs!$B$9*Inputs!$B$7/Inputs!$B$11,0)</f>
        <v>0</v>
      </c>
      <c r="BA200" s="33" t="n">
        <f aca="false">IF(AND(Source_Data!BA$6&gt;=Inputs!$B$55,Source_Data!BA$6&lt;Inputs!$B$55+3*Inputs!$B$11),Inputs!$B$9*Inputs!$B$7/Inputs!$B$11,0)</f>
        <v>0</v>
      </c>
      <c r="BB200" s="33" t="n">
        <f aca="false">IF(AND(Source_Data!BB$6&gt;=Inputs!$B$55,Source_Data!BB$6&lt;Inputs!$B$55+3*Inputs!$B$11),Inputs!$B$9*Inputs!$B$7/Inputs!$B$11,0)</f>
        <v>0</v>
      </c>
      <c r="BC200" s="33" t="n">
        <f aca="false">IF(AND(Source_Data!BC$6&gt;=Inputs!$B$55,Source_Data!BC$6&lt;Inputs!$B$55+3*Inputs!$B$11),Inputs!$B$9*Inputs!$B$7/Inputs!$B$11,0)</f>
        <v>0</v>
      </c>
      <c r="BD200" s="33" t="n">
        <f aca="false">IF(AND(Source_Data!BD$6&gt;=Inputs!$B$55,Source_Data!BD$6&lt;Inputs!$B$55+3*Inputs!$B$11),Inputs!$B$9*Inputs!$B$7/Inputs!$B$11,0)</f>
        <v>0</v>
      </c>
      <c r="BE200" s="33" t="n">
        <f aca="false">IF(AND(Source_Data!BE$6&gt;=Inputs!$B$55,Source_Data!BE$6&lt;Inputs!$B$55+3*Inputs!$B$11),Inputs!$B$9*Inputs!$B$7/Inputs!$B$11,0)</f>
        <v>0</v>
      </c>
      <c r="BF200" s="33" t="n">
        <f aca="false">IF(AND(Source_Data!BF$6&gt;=Inputs!$B$55,Source_Data!BF$6&lt;Inputs!$B$55+3*Inputs!$B$11),Inputs!$B$9*Inputs!$B$7/Inputs!$B$11,0)</f>
        <v>0</v>
      </c>
      <c r="BG200" s="33" t="n">
        <f aca="false">IF(AND(Source_Data!BG$6&gt;=Inputs!$B$55,Source_Data!BG$6&lt;Inputs!$B$55+3*Inputs!$B$11),Inputs!$B$9*Inputs!$B$7/Inputs!$B$11,0)</f>
        <v>0</v>
      </c>
      <c r="BH200" s="33" t="n">
        <f aca="false">IF(AND(Source_Data!BH$6&gt;=Inputs!$B$55,Source_Data!BH$6&lt;Inputs!$B$55+3*Inputs!$B$11),Inputs!$B$9*Inputs!$B$7/Inputs!$B$11,0)</f>
        <v>0</v>
      </c>
      <c r="BI200" s="33" t="n">
        <f aca="false">IF(AND(Source_Data!BI$6&gt;=Inputs!$B$55,Source_Data!BI$6&lt;Inputs!$B$55+3*Inputs!$B$11),Inputs!$B$9*Inputs!$B$7/Inputs!$B$11,0)</f>
        <v>0</v>
      </c>
      <c r="BJ200" s="33" t="n">
        <f aca="false">IF(AND(Source_Data!BJ$6&gt;=Inputs!$B$55,Source_Data!BJ$6&lt;Inputs!$B$55+3*Inputs!$B$11),Inputs!$B$9*Inputs!$B$7/Inputs!$B$11,0)</f>
        <v>0</v>
      </c>
      <c r="BK200" s="33" t="n">
        <f aca="false">IF(AND(Source_Data!BK$6&gt;=Inputs!$B$55,Source_Data!BK$6&lt;Inputs!$B$55+3*Inputs!$B$11),Inputs!$B$9*Inputs!$B$7/Inputs!$B$11,0)</f>
        <v>0</v>
      </c>
    </row>
    <row r="201" customFormat="false" ht="15" hidden="false" customHeight="false" outlineLevel="0" collapsed="false">
      <c r="A201" s="3" t="s">
        <v>343</v>
      </c>
      <c r="D201" s="33" t="n">
        <f aca="false">IF(Source_Data!D$6=Inputs!$B$13,-Inputs!$B$7,0)+D200</f>
        <v>-75</v>
      </c>
      <c r="E201" s="33" t="n">
        <f aca="false">IF(Source_Data!E$6=Inputs!$B$13,-Inputs!$B$7,0)+E200</f>
        <v>0</v>
      </c>
      <c r="F201" s="33" t="n">
        <f aca="false">IF(Source_Data!F$6=Inputs!$B$13,-Inputs!$B$7,0)+F200</f>
        <v>0</v>
      </c>
      <c r="G201" s="33" t="n">
        <f aca="false">IF(Source_Data!G$6=Inputs!$B$13,-Inputs!$B$7,0)+G200</f>
        <v>0</v>
      </c>
      <c r="H201" s="33" t="n">
        <f aca="false">IF(Source_Data!H$6=Inputs!$B$13,-Inputs!$B$7,0)+H200</f>
        <v>0</v>
      </c>
      <c r="I201" s="33" t="n">
        <f aca="false">IF(Source_Data!I$6=Inputs!$B$13,-Inputs!$B$7,0)+I200</f>
        <v>0</v>
      </c>
      <c r="J201" s="33" t="n">
        <f aca="false">IF(Source_Data!J$6=Inputs!$B$13,-Inputs!$B$7,0)+J200</f>
        <v>0</v>
      </c>
      <c r="K201" s="33" t="n">
        <f aca="false">IF(Source_Data!K$6=Inputs!$B$13,-Inputs!$B$7,0)+K200</f>
        <v>0</v>
      </c>
      <c r="L201" s="33" t="n">
        <f aca="false">IF(Source_Data!L$6=Inputs!$B$13,-Inputs!$B$7,0)+L200</f>
        <v>0</v>
      </c>
      <c r="M201" s="33" t="n">
        <f aca="false">IF(Source_Data!M$6=Inputs!$B$13,-Inputs!$B$7,0)+M200</f>
        <v>14.375</v>
      </c>
      <c r="N201" s="33" t="n">
        <f aca="false">IF(Source_Data!N$6=Inputs!$B$13,-Inputs!$B$7,0)+N200</f>
        <v>14.375</v>
      </c>
      <c r="O201" s="33" t="n">
        <f aca="false">IF(Source_Data!O$6=Inputs!$B$13,-Inputs!$B$7,0)+O200</f>
        <v>14.375</v>
      </c>
      <c r="P201" s="33" t="n">
        <f aca="false">IF(Source_Data!P$6=Inputs!$B$13,-Inputs!$B$7,0)+P200</f>
        <v>14.375</v>
      </c>
      <c r="Q201" s="33" t="n">
        <f aca="false">IF(Source_Data!Q$6=Inputs!$B$13,-Inputs!$B$7,0)+Q200</f>
        <v>14.375</v>
      </c>
      <c r="R201" s="33" t="n">
        <f aca="false">IF(Source_Data!R$6=Inputs!$B$13,-Inputs!$B$7,0)+R200</f>
        <v>14.375</v>
      </c>
      <c r="S201" s="33" t="n">
        <f aca="false">IF(Source_Data!S$6=Inputs!$B$13,-Inputs!$B$7,0)+S200</f>
        <v>14.375</v>
      </c>
      <c r="T201" s="33" t="n">
        <f aca="false">IF(Source_Data!T$6=Inputs!$B$13,-Inputs!$B$7,0)+T200</f>
        <v>14.375</v>
      </c>
      <c r="U201" s="33" t="n">
        <f aca="false">IF(Source_Data!U$6=Inputs!$B$13,-Inputs!$B$7,0)+U200</f>
        <v>14.375</v>
      </c>
      <c r="V201" s="33" t="n">
        <f aca="false">IF(Source_Data!V$6=Inputs!$B$13,-Inputs!$B$7,0)+V200</f>
        <v>14.375</v>
      </c>
      <c r="W201" s="33" t="n">
        <f aca="false">IF(Source_Data!W$6=Inputs!$B$13,-Inputs!$B$7,0)+W200</f>
        <v>14.375</v>
      </c>
      <c r="X201" s="33" t="n">
        <f aca="false">IF(Source_Data!X$6=Inputs!$B$13,-Inputs!$B$7,0)+X200</f>
        <v>14.375</v>
      </c>
      <c r="Y201" s="33" t="n">
        <f aca="false">IF(Source_Data!Y$6=Inputs!$B$13,-Inputs!$B$7,0)+Y200</f>
        <v>0</v>
      </c>
      <c r="Z201" s="33" t="n">
        <f aca="false">IF(Source_Data!Z$6=Inputs!$B$13,-Inputs!$B$7,0)+Z200</f>
        <v>0</v>
      </c>
      <c r="AA201" s="33" t="n">
        <f aca="false">IF(Source_Data!AA$6=Inputs!$B$13,-Inputs!$B$7,0)+AA200</f>
        <v>0</v>
      </c>
      <c r="AB201" s="33" t="n">
        <f aca="false">IF(Source_Data!AB$6=Inputs!$B$13,-Inputs!$B$7,0)+AB200</f>
        <v>0</v>
      </c>
      <c r="AC201" s="33" t="n">
        <f aca="false">IF(Source_Data!AC$6=Inputs!$B$13,-Inputs!$B$7,0)+AC200</f>
        <v>0</v>
      </c>
      <c r="AD201" s="33" t="n">
        <f aca="false">IF(Source_Data!AD$6=Inputs!$B$13,-Inputs!$B$7,0)+AD200</f>
        <v>0</v>
      </c>
      <c r="AE201" s="33" t="n">
        <f aca="false">IF(Source_Data!AE$6=Inputs!$B$13,-Inputs!$B$7,0)+AE200</f>
        <v>0</v>
      </c>
      <c r="AF201" s="33" t="n">
        <f aca="false">IF(Source_Data!AF$6=Inputs!$B$13,-Inputs!$B$7,0)+AF200</f>
        <v>0</v>
      </c>
      <c r="AG201" s="33" t="n">
        <f aca="false">IF(Source_Data!AG$6=Inputs!$B$13,-Inputs!$B$7,0)+AG200</f>
        <v>0</v>
      </c>
      <c r="AH201" s="33" t="n">
        <f aca="false">IF(Source_Data!AH$6=Inputs!$B$13,-Inputs!$B$7,0)+AH200</f>
        <v>0</v>
      </c>
      <c r="AI201" s="33" t="n">
        <f aca="false">IF(Source_Data!AI$6=Inputs!$B$13,-Inputs!$B$7,0)+AI200</f>
        <v>0</v>
      </c>
      <c r="AJ201" s="33" t="n">
        <f aca="false">IF(Source_Data!AJ$6=Inputs!$B$13,-Inputs!$B$7,0)+AJ200</f>
        <v>0</v>
      </c>
      <c r="AK201" s="33" t="n">
        <f aca="false">IF(Source_Data!AK$6=Inputs!$B$13,-Inputs!$B$7,0)+AK200</f>
        <v>0</v>
      </c>
      <c r="AL201" s="33" t="n">
        <f aca="false">IF(Source_Data!AL$6=Inputs!$B$13,-Inputs!$B$7,0)+AL200</f>
        <v>0</v>
      </c>
      <c r="AM201" s="33" t="n">
        <f aca="false">IF(Source_Data!AM$6=Inputs!$B$13,-Inputs!$B$7,0)+AM200</f>
        <v>0</v>
      </c>
      <c r="AN201" s="33" t="n">
        <f aca="false">IF(Source_Data!AN$6=Inputs!$B$13,-Inputs!$B$7,0)+AN200</f>
        <v>0</v>
      </c>
      <c r="AO201" s="33" t="n">
        <f aca="false">IF(Source_Data!AO$6=Inputs!$B$13,-Inputs!$B$7,0)+AO200</f>
        <v>0</v>
      </c>
      <c r="AP201" s="33" t="n">
        <f aca="false">IF(Source_Data!AP$6=Inputs!$B$13,-Inputs!$B$7,0)+AP200</f>
        <v>0</v>
      </c>
      <c r="AQ201" s="33" t="n">
        <f aca="false">IF(Source_Data!AQ$6=Inputs!$B$13,-Inputs!$B$7,0)+AQ200</f>
        <v>0</v>
      </c>
      <c r="AR201" s="33" t="n">
        <f aca="false">IF(Source_Data!AR$6=Inputs!$B$13,-Inputs!$B$7,0)+AR200</f>
        <v>0</v>
      </c>
      <c r="AS201" s="33" t="n">
        <f aca="false">IF(Source_Data!AS$6=Inputs!$B$13,-Inputs!$B$7,0)+AS200</f>
        <v>0</v>
      </c>
      <c r="AT201" s="33" t="n">
        <f aca="false">IF(Source_Data!AT$6=Inputs!$B$13,-Inputs!$B$7,0)+AT200</f>
        <v>0</v>
      </c>
      <c r="AU201" s="33" t="n">
        <f aca="false">IF(Source_Data!AU$6=Inputs!$B$13,-Inputs!$B$7,0)+AU200</f>
        <v>0</v>
      </c>
      <c r="AV201" s="33" t="n">
        <f aca="false">IF(Source_Data!AV$6=Inputs!$B$13,-Inputs!$B$7,0)+AV200</f>
        <v>0</v>
      </c>
      <c r="AW201" s="33" t="n">
        <f aca="false">IF(Source_Data!AW$6=Inputs!$B$13,-Inputs!$B$7,0)+AW200</f>
        <v>0</v>
      </c>
      <c r="AX201" s="33" t="n">
        <f aca="false">IF(Source_Data!AX$6=Inputs!$B$13,-Inputs!$B$7,0)+AX200</f>
        <v>0</v>
      </c>
      <c r="AY201" s="33" t="n">
        <f aca="false">IF(Source_Data!AY$6=Inputs!$B$13,-Inputs!$B$7,0)+AY200</f>
        <v>0</v>
      </c>
      <c r="AZ201" s="33" t="n">
        <f aca="false">IF(Source_Data!AZ$6=Inputs!$B$13,-Inputs!$B$7,0)+AZ200</f>
        <v>0</v>
      </c>
      <c r="BA201" s="33" t="n">
        <f aca="false">IF(Source_Data!BA$6=Inputs!$B$13,-Inputs!$B$7,0)+BA200</f>
        <v>0</v>
      </c>
      <c r="BB201" s="33" t="n">
        <f aca="false">IF(Source_Data!BB$6=Inputs!$B$13,-Inputs!$B$7,0)+BB200</f>
        <v>0</v>
      </c>
      <c r="BC201" s="33" t="n">
        <f aca="false">IF(Source_Data!BC$6=Inputs!$B$13,-Inputs!$B$7,0)+BC200</f>
        <v>0</v>
      </c>
      <c r="BD201" s="33" t="n">
        <f aca="false">IF(Source_Data!BD$6=Inputs!$B$13,-Inputs!$B$7,0)+BD200</f>
        <v>0</v>
      </c>
      <c r="BE201" s="33" t="n">
        <f aca="false">IF(Source_Data!BE$6=Inputs!$B$13,-Inputs!$B$7,0)+BE200</f>
        <v>0</v>
      </c>
      <c r="BF201" s="33" t="n">
        <f aca="false">IF(Source_Data!BF$6=Inputs!$B$13,-Inputs!$B$7,0)+BF200</f>
        <v>0</v>
      </c>
      <c r="BG201" s="33" t="n">
        <f aca="false">IF(Source_Data!BG$6=Inputs!$B$13,-Inputs!$B$7,0)+BG200</f>
        <v>0</v>
      </c>
      <c r="BH201" s="33" t="n">
        <f aca="false">IF(Source_Data!BH$6=Inputs!$B$13,-Inputs!$B$7,0)+BH200</f>
        <v>0</v>
      </c>
      <c r="BI201" s="33" t="n">
        <f aca="false">IF(Source_Data!BI$6=Inputs!$B$13,-Inputs!$B$7,0)+BI200</f>
        <v>0</v>
      </c>
      <c r="BJ201" s="33" t="n">
        <f aca="false">IF(Source_Data!BJ$6=Inputs!$B$13,-Inputs!$B$7,0)+BJ200</f>
        <v>0</v>
      </c>
      <c r="BK201" s="33" t="n">
        <f aca="false">IF(Source_Data!BK$6=Inputs!$B$13,-Inputs!$B$7,0)+BK200</f>
        <v>0</v>
      </c>
    </row>
    <row r="202" customFormat="false" ht="15" hidden="false" customHeight="false" outlineLevel="0" collapsed="false">
      <c r="A202" s="3" t="s">
        <v>344</v>
      </c>
      <c r="D202" s="33" t="n">
        <f aca="false">IF(Source_Data!D$6=Inputs!$B$13,Inputs!$B$7,0)+D197-D200</f>
        <v>-16.25</v>
      </c>
      <c r="E202" s="33" t="n">
        <f aca="false">D202+IF(Source_Data!E$6=Inputs!$B$13,Inputs!$B$7,0)+E197-E200</f>
        <v>-27.5</v>
      </c>
      <c r="F202" s="33" t="n">
        <f aca="false">E202+IF(Source_Data!F$6=Inputs!$B$13,Inputs!$B$7,0)+F197-F200</f>
        <v>-23.6107625</v>
      </c>
      <c r="G202" s="33" t="n">
        <f aca="false">F202+IF(Source_Data!G$6=Inputs!$B$13,Inputs!$B$7,0)+G197-G200</f>
        <v>-4.5822875</v>
      </c>
      <c r="H202" s="33" t="n">
        <f aca="false">G202+IF(Source_Data!H$6=Inputs!$B$13,Inputs!$B$7,0)+H197-H200</f>
        <v>-3.57028125</v>
      </c>
      <c r="I202" s="33" t="n">
        <f aca="false">H202+IF(Source_Data!I$6=Inputs!$B$13,Inputs!$B$7,0)+I197-I200</f>
        <v>6.31525625</v>
      </c>
      <c r="J202" s="33" t="n">
        <f aca="false">I202+IF(Source_Data!J$6=Inputs!$B$13,Inputs!$B$7,0)+J197-J200</f>
        <v>-11.93043375</v>
      </c>
      <c r="K202" s="33" t="n">
        <f aca="false">J202+IF(Source_Data!K$6=Inputs!$B$13,Inputs!$B$7,0)+K197-K200</f>
        <v>-13.428264375</v>
      </c>
      <c r="L202" s="33" t="n">
        <f aca="false">K202+IF(Source_Data!L$6=Inputs!$B$13,Inputs!$B$7,0)+L197-L200</f>
        <v>-6.73067593749998</v>
      </c>
      <c r="M202" s="33" t="n">
        <f aca="false">L202+IF(Source_Data!M$6=Inputs!$B$13,Inputs!$B$7,0)+M197-M200</f>
        <v>8.30755156250002</v>
      </c>
      <c r="N202" s="33" t="n">
        <f aca="false">M202+IF(Source_Data!N$6=Inputs!$B$13,Inputs!$B$7,0)+N197-N200</f>
        <v>74.8192915625</v>
      </c>
      <c r="O202" s="33" t="n">
        <f aca="false">N202+IF(Source_Data!O$6=Inputs!$B$13,Inputs!$B$7,0)+O197-O200</f>
        <v>148.5660315625</v>
      </c>
      <c r="P202" s="33" t="n">
        <f aca="false">O202+IF(Source_Data!P$6=Inputs!$B$13,Inputs!$B$7,0)+P197-P200</f>
        <v>40.8037415625</v>
      </c>
      <c r="Q202" s="33" t="n">
        <f aca="false">P202+IF(Source_Data!Q$6=Inputs!$B$13,Inputs!$B$7,0)+Q197-Q200</f>
        <v>-94.5220896875</v>
      </c>
      <c r="R202" s="33" t="n">
        <f aca="false">Q202+IF(Source_Data!R$6=Inputs!$B$13,Inputs!$B$7,0)+R197-R200</f>
        <v>-280.4479209375</v>
      </c>
      <c r="S202" s="33" t="n">
        <f aca="false">R202+IF(Source_Data!S$6=Inputs!$B$13,Inputs!$B$7,0)+S197-S200</f>
        <v>78.6985146874999</v>
      </c>
      <c r="T202" s="33" t="n">
        <f aca="false">S202+IF(Source_Data!T$6=Inputs!$B$13,Inputs!$B$7,0)+T197-T200</f>
        <v>80.5501543749999</v>
      </c>
      <c r="U202" s="33" t="n">
        <f aca="false">T202+IF(Source_Data!U$6=Inputs!$B$13,Inputs!$B$7,0)+U197-U200</f>
        <v>80.8878703124999</v>
      </c>
      <c r="V202" s="33" t="n">
        <f aca="false">U202+IF(Source_Data!V$6=Inputs!$B$13,Inputs!$B$7,0)+V197-V200</f>
        <v>75.2368149999999</v>
      </c>
      <c r="W202" s="33" t="n">
        <f aca="false">V202+IF(Source_Data!W$6=Inputs!$B$13,Inputs!$B$7,0)+W197-W200</f>
        <v>65.2447596874999</v>
      </c>
      <c r="X202" s="33" t="n">
        <f aca="false">W202+IF(Source_Data!X$6=Inputs!$B$13,Inputs!$B$7,0)+X197-X200</f>
        <v>77.7527043749999</v>
      </c>
      <c r="Y202" s="33" t="n">
        <f aca="false">X202+IF(Source_Data!Y$6=Inputs!$B$13,Inputs!$B$7,0)+Y197-Y200</f>
        <v>97.3554303124999</v>
      </c>
      <c r="Z202" s="33" t="n">
        <f aca="false">Y202+IF(Source_Data!Z$6=Inputs!$B$13,Inputs!$B$7,0)+Z197-Z200</f>
        <v>116.95815625</v>
      </c>
      <c r="AA202" s="33" t="n">
        <f aca="false">Z202+IF(Source_Data!AA$6=Inputs!$B$13,Inputs!$B$7,0)+AA197-AA200</f>
        <v>136.5608821875</v>
      </c>
      <c r="AB202" s="33" t="n">
        <f aca="false">AA202+IF(Source_Data!AB$6=Inputs!$B$13,Inputs!$B$7,0)+AB197-AB200</f>
        <v>172.875608125</v>
      </c>
      <c r="AC202" s="33" t="n">
        <f aca="false">AB202+IF(Source_Data!AC$6=Inputs!$B$13,Inputs!$B$7,0)+AC197-AC200</f>
        <v>205.914235625</v>
      </c>
      <c r="AD202" s="33" t="n">
        <f aca="false">AC202+IF(Source_Data!AD$6=Inputs!$B$13,Inputs!$B$7,0)+AD197-AD200</f>
        <v>235.344406875</v>
      </c>
      <c r="AE202" s="33" t="n">
        <f aca="false">AD202+IF(Source_Data!AE$6=Inputs!$B$13,Inputs!$B$7,0)+AE197-AE200</f>
        <v>260.433578125</v>
      </c>
      <c r="AF202" s="33" t="n">
        <f aca="false">AE202+IF(Source_Data!AF$6=Inputs!$B$13,Inputs!$B$7,0)+AF197-AF200</f>
        <v>177.764539023437</v>
      </c>
      <c r="AG202" s="33" t="n">
        <f aca="false">AF202+IF(Source_Data!AG$6=Inputs!$B$13,Inputs!$B$7,0)+AG197-AG200</f>
        <v>191.877197851562</v>
      </c>
      <c r="AH202" s="33" t="n">
        <f aca="false">AG202+IF(Source_Data!AH$6=Inputs!$B$13,Inputs!$B$7,0)+AH197-AH200</f>
        <v>205.989856679687</v>
      </c>
      <c r="AI202" s="33" t="n">
        <f aca="false">AH202+IF(Source_Data!AI$6=Inputs!$B$13,Inputs!$B$7,0)+AI197-AI200</f>
        <v>220.102515507812</v>
      </c>
      <c r="AJ202" s="33" t="n">
        <f aca="false">AI202+IF(Source_Data!AJ$6=Inputs!$B$13,Inputs!$B$7,0)+AJ197-AJ200</f>
        <v>234.215174335937</v>
      </c>
      <c r="AK202" s="33" t="n">
        <f aca="false">AJ202+IF(Source_Data!AK$6=Inputs!$B$13,Inputs!$B$7,0)+AK197-AK200</f>
        <v>247.09929625</v>
      </c>
      <c r="AL202" s="33" t="n">
        <f aca="false">AK202+IF(Source_Data!AL$6=Inputs!$B$13,Inputs!$B$7,0)+AL197-AL200</f>
        <v>259.983418164062</v>
      </c>
      <c r="AM202" s="33" t="n">
        <f aca="false">AL202+IF(Source_Data!AM$6=Inputs!$B$13,Inputs!$B$7,0)+AM197-AM200</f>
        <v>270.5244175</v>
      </c>
      <c r="AN202" s="33" t="n">
        <f aca="false">AM202+IF(Source_Data!AN$6=Inputs!$B$13,Inputs!$B$7,0)+AN197-AN200</f>
        <v>275.93913671875</v>
      </c>
      <c r="AO202" s="33" t="n">
        <f aca="false">AN202+IF(Source_Data!AO$6=Inputs!$B$13,Inputs!$B$7,0)+AO197-AO200</f>
        <v>277.9475275</v>
      </c>
      <c r="AP202" s="33" t="n">
        <f aca="false">AO202+IF(Source_Data!AP$6=Inputs!$B$13,Inputs!$B$7,0)+AP197-AP200</f>
        <v>277.9475275</v>
      </c>
      <c r="AQ202" s="33" t="n">
        <f aca="false">AP202+IF(Source_Data!AQ$6=Inputs!$B$13,Inputs!$B$7,0)+AQ197-AQ200</f>
        <v>277.9475275</v>
      </c>
      <c r="AR202" s="33" t="n">
        <f aca="false">AQ202+IF(Source_Data!AR$6=Inputs!$B$13,Inputs!$B$7,0)+AR197-AR200</f>
        <v>277.9475275</v>
      </c>
      <c r="AS202" s="33" t="n">
        <f aca="false">AR202+IF(Source_Data!AS$6=Inputs!$B$13,Inputs!$B$7,0)+AS197-AS200</f>
        <v>277.9475275</v>
      </c>
      <c r="AT202" s="33" t="n">
        <f aca="false">AS202+IF(Source_Data!AT$6=Inputs!$B$13,Inputs!$B$7,0)+AT197-AT200</f>
        <v>277.9475275</v>
      </c>
      <c r="AU202" s="33" t="n">
        <f aca="false">AT202+IF(Source_Data!AU$6=Inputs!$B$13,Inputs!$B$7,0)+AU197-AU200</f>
        <v>277.9475275</v>
      </c>
      <c r="AV202" s="33" t="n">
        <f aca="false">AU202+IF(Source_Data!AV$6=Inputs!$B$13,Inputs!$B$7,0)+AV197-AV200</f>
        <v>277.9475275</v>
      </c>
      <c r="AW202" s="33" t="n">
        <f aca="false">AV202+IF(Source_Data!AW$6=Inputs!$B$13,Inputs!$B$7,0)+AW197-AW200</f>
        <v>277.9475275</v>
      </c>
      <c r="AX202" s="33" t="n">
        <f aca="false">AW202+IF(Source_Data!AX$6=Inputs!$B$13,Inputs!$B$7,0)+AX197-AX200</f>
        <v>277.9475275</v>
      </c>
      <c r="AY202" s="33" t="n">
        <f aca="false">AX202+IF(Source_Data!AY$6=Inputs!$B$13,Inputs!$B$7,0)+AY197-AY200</f>
        <v>277.9475275</v>
      </c>
      <c r="AZ202" s="33" t="n">
        <f aca="false">AY202+IF(Source_Data!AZ$6=Inputs!$B$13,Inputs!$B$7,0)+AZ197-AZ200</f>
        <v>277.9475275</v>
      </c>
      <c r="BA202" s="33" t="n">
        <f aca="false">AZ202+IF(Source_Data!BA$6=Inputs!$B$13,Inputs!$B$7,0)+BA197-BA200</f>
        <v>277.9475275</v>
      </c>
      <c r="BB202" s="33" t="n">
        <f aca="false">BA202+IF(Source_Data!BB$6=Inputs!$B$13,Inputs!$B$7,0)+BB197-BB200</f>
        <v>277.9475275</v>
      </c>
      <c r="BC202" s="33" t="n">
        <f aca="false">BB202+IF(Source_Data!BC$6=Inputs!$B$13,Inputs!$B$7,0)+BC197-BC200</f>
        <v>277.9475275</v>
      </c>
      <c r="BD202" s="33" t="n">
        <f aca="false">BC202+IF(Source_Data!BD$6=Inputs!$B$13,Inputs!$B$7,0)+BD197-BD200</f>
        <v>277.9475275</v>
      </c>
      <c r="BE202" s="33" t="n">
        <f aca="false">BD202+IF(Source_Data!BE$6=Inputs!$B$13,Inputs!$B$7,0)+BE197-BE200</f>
        <v>277.9475275</v>
      </c>
      <c r="BF202" s="33" t="n">
        <f aca="false">BE202+IF(Source_Data!BF$6=Inputs!$B$13,Inputs!$B$7,0)+BF197-BF200</f>
        <v>277.9475275</v>
      </c>
      <c r="BG202" s="33" t="n">
        <f aca="false">BF202+IF(Source_Data!BG$6=Inputs!$B$13,Inputs!$B$7,0)+BG197-BG200</f>
        <v>277.9475275</v>
      </c>
      <c r="BH202" s="33" t="n">
        <f aca="false">BG202+IF(Source_Data!BH$6=Inputs!$B$13,Inputs!$B$7,0)+BH197-BH200</f>
        <v>277.9475275</v>
      </c>
      <c r="BI202" s="33" t="n">
        <f aca="false">BH202+IF(Source_Data!BI$6=Inputs!$B$13,Inputs!$B$7,0)+BI197-BI200</f>
        <v>277.9475275</v>
      </c>
      <c r="BJ202" s="33" t="n">
        <f aca="false">BI202+IF(Source_Data!BJ$6=Inputs!$B$13,Inputs!$B$7,0)+BJ197-BJ200</f>
        <v>277.9475275</v>
      </c>
      <c r="BK202" s="33" t="n">
        <f aca="false">BJ202+IF(Source_Data!BK$6=Inputs!$B$13,Inputs!$B$7,0)+BK197-BK200</f>
        <v>277.9475275</v>
      </c>
    </row>
    <row r="203" customFormat="false" ht="15" hidden="false" customHeight="false" outlineLevel="0" collapsed="false">
      <c r="A203" s="3" t="s">
        <v>345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2.04613756521739</v>
      </c>
      <c r="N203" s="31" t="n">
        <f aca="false">IF(N200&gt;0,N197/N200,"")</f>
        <v>5.62690365217391</v>
      </c>
      <c r="O203" s="31" t="n">
        <f aca="false">IF(O200&gt;0,O197/O200,"")</f>
        <v>6.130208</v>
      </c>
      <c r="P203" s="31" t="n">
        <f aca="false">IF(P200&gt;0,P197/P200,"")</f>
        <v>-6.49650713043478</v>
      </c>
      <c r="Q203" s="31" t="n">
        <f aca="false">IF(Q200&gt;0,Q197/Q200,"")</f>
        <v>-8.41397086956522</v>
      </c>
      <c r="R203" s="31" t="n">
        <f aca="false">IF(R200&gt;0,R197/R200,"")</f>
        <v>-11.9339708695652</v>
      </c>
      <c r="S203" s="31" t="n">
        <f aca="false">IF(S200&gt;0,S197/S200,"")</f>
        <v>25.9840998695652</v>
      </c>
      <c r="T203" s="31" t="n">
        <f aca="false">IF(T200&gt;0,T197/T200,"")</f>
        <v>1.1288097173913</v>
      </c>
      <c r="U203" s="31" t="n">
        <f aca="false">IF(U200&gt;0,U197/U200,"")</f>
        <v>1.0234932826087</v>
      </c>
      <c r="V203" s="31" t="n">
        <f aca="false">IF(V200&gt;0,V197/V200,"")</f>
        <v>0.606883108695652</v>
      </c>
      <c r="W203" s="31" t="n">
        <f aca="false">IF(W200&gt;0,W197/W200,"")</f>
        <v>0.3049005</v>
      </c>
      <c r="X203" s="31" t="n">
        <f aca="false">IF(X200&gt;0,X197/X200,"")</f>
        <v>1.87011789130435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346</v>
      </c>
      <c r="D204" s="31" t="str">
        <f aca="false">IF(D200&gt;0,(0+D197+IF(Source_Data!D$6=Inputs!$B$13,Inputs!$B$7,0))/D200,"")</f>
        <v/>
      </c>
      <c r="E204" s="31" t="str">
        <f aca="false">IF(E200&gt;0,(D202+E197+IF(Source_Data!E$6=Inputs!$B$13,Inputs!$B$7,0))/E200,"")</f>
        <v/>
      </c>
      <c r="F204" s="31" t="str">
        <f aca="false">IF(F200&gt;0,(E202+F197+IF(Source_Data!F$6=Inputs!$B$13,Inputs!$B$7,0))/F200,"")</f>
        <v/>
      </c>
      <c r="G204" s="31" t="str">
        <f aca="false">IF(G200&gt;0,(F202+G197+IF(Source_Data!G$6=Inputs!$B$13,Inputs!$B$7,0))/G200,"")</f>
        <v/>
      </c>
      <c r="H204" s="31" t="str">
        <f aca="false">IF(H200&gt;0,(G202+H197+IF(Source_Data!H$6=Inputs!$B$13,Inputs!$B$7,0))/H200,"")</f>
        <v/>
      </c>
      <c r="I204" s="31" t="str">
        <f aca="false">IF(I200&gt;0,(H202+I197+IF(Source_Data!I$6=Inputs!$B$13,Inputs!$B$7,0))/I200,"")</f>
        <v/>
      </c>
      <c r="J204" s="31" t="str">
        <f aca="false">IF(J200&gt;0,(I202+J197+IF(Source_Data!J$6=Inputs!$B$13,Inputs!$B$7,0))/J200,"")</f>
        <v/>
      </c>
      <c r="K204" s="31" t="str">
        <f aca="false">IF(K200&gt;0,(J202+K197+IF(Source_Data!K$6=Inputs!$B$13,Inputs!$B$7,0))/K200,"")</f>
        <v/>
      </c>
      <c r="L204" s="31" t="str">
        <f aca="false">IF(L200&gt;0,(K202+L197+IF(Source_Data!L$6=Inputs!$B$13,Inputs!$B$7,0))/L200,"")</f>
        <v/>
      </c>
      <c r="M204" s="31" t="n">
        <f aca="false">IF(M200&gt;0,(L202+M197+IF(Source_Data!M$6=Inputs!$B$13,Inputs!$B$7,0))/M200,"")</f>
        <v>1.57791663043478</v>
      </c>
      <c r="N204" s="31" t="n">
        <f aca="false">IF(N200&gt;0,(M202+N197+IF(Source_Data!N$6=Inputs!$B$13,Inputs!$B$7,0))/N200,"")</f>
        <v>6.2048202826087</v>
      </c>
      <c r="O204" s="31" t="n">
        <f aca="false">IF(O200&gt;0,(N202+O197+IF(Source_Data!O$6=Inputs!$B$13,Inputs!$B$7,0))/O200,"")</f>
        <v>11.3350282826087</v>
      </c>
      <c r="P204" s="31" t="n">
        <f aca="false">IF(P200&gt;0,(O202+P197+IF(Source_Data!P$6=Inputs!$B$13,Inputs!$B$7,0))/P200,"")</f>
        <v>3.83852115217391</v>
      </c>
      <c r="Q204" s="31" t="n">
        <f aca="false">IF(Q200&gt;0,(P202+Q197+IF(Source_Data!Q$6=Inputs!$B$13,Inputs!$B$7,0))/Q200,"")</f>
        <v>-5.5754497173913</v>
      </c>
      <c r="R204" s="31" t="n">
        <f aca="false">IF(R200&gt;0,(Q202+R197+IF(Source_Data!R$6=Inputs!$B$13,Inputs!$B$7,0))/R200,"")</f>
        <v>-18.5094205869565</v>
      </c>
      <c r="S204" s="31" t="n">
        <f aca="false">IF(S200&gt;0,(R202+S197+IF(Source_Data!S$6=Inputs!$B$13,Inputs!$B$7,0))/S200,"")</f>
        <v>6.47467928260869</v>
      </c>
      <c r="T204" s="31" t="n">
        <f aca="false">IF(T200&gt;0,(S202+T197+IF(Source_Data!T$6=Inputs!$B$13,Inputs!$B$7,0))/T200,"")</f>
        <v>6.603489</v>
      </c>
      <c r="U204" s="31" t="n">
        <f aca="false">IF(U200&gt;0,(T202+U197+IF(Source_Data!U$6=Inputs!$B$13,Inputs!$B$7,0))/U200,"")</f>
        <v>6.62698228260869</v>
      </c>
      <c r="V204" s="31" t="n">
        <f aca="false">IF(V200&gt;0,(U202+V197+IF(Source_Data!V$6=Inputs!$B$13,Inputs!$B$7,0))/V200,"")</f>
        <v>6.23386539130434</v>
      </c>
      <c r="W204" s="31" t="n">
        <f aca="false">IF(W200&gt;0,(V202+W197+IF(Source_Data!W$6=Inputs!$B$13,Inputs!$B$7,0))/W200,"")</f>
        <v>5.53876589130434</v>
      </c>
      <c r="X204" s="31" t="n">
        <f aca="false">IF(X200&gt;0,(W202+X197+IF(Source_Data!X$6=Inputs!$B$13,Inputs!$B$7,0))/X200,"")</f>
        <v>6.40888378260869</v>
      </c>
      <c r="Y204" s="31" t="str">
        <f aca="false">IF(Y200&gt;0,(X202+Y197+IF(Source_Data!Y$6=Inputs!$B$13,Inputs!$B$7,0))/Y200,"")</f>
        <v/>
      </c>
      <c r="Z204" s="31" t="str">
        <f aca="false">IF(Z200&gt;0,(Y202+Z197+IF(Source_Data!Z$6=Inputs!$B$13,Inputs!$B$7,0))/Z200,"")</f>
        <v/>
      </c>
      <c r="AA204" s="31" t="str">
        <f aca="false">IF(AA200&gt;0,(Z202+AA197+IF(Source_Data!AA$6=Inputs!$B$13,Inputs!$B$7,0))/AA200,"")</f>
        <v/>
      </c>
      <c r="AB204" s="31" t="str">
        <f aca="false">IF(AB200&gt;0,(AA202+AB197+IF(Source_Data!AB$6=Inputs!$B$13,Inputs!$B$7,0))/AB200,"")</f>
        <v/>
      </c>
      <c r="AC204" s="31" t="str">
        <f aca="false">IF(AC200&gt;0,(AB202+AC197+IF(Source_Data!AC$6=Inputs!$B$13,Inputs!$B$7,0))/AC200,"")</f>
        <v/>
      </c>
      <c r="AD204" s="31" t="str">
        <f aca="false">IF(AD200&gt;0,(AC202+AD197+IF(Source_Data!AD$6=Inputs!$B$13,Inputs!$B$7,0))/AD200,"")</f>
        <v/>
      </c>
      <c r="AE204" s="31" t="str">
        <f aca="false">IF(AE200&gt;0,(AD202+AE197+IF(Source_Data!AE$6=Inputs!$B$13,Inputs!$B$7,0))/AE200,"")</f>
        <v/>
      </c>
      <c r="AF204" s="31" t="str">
        <f aca="false">IF(AF200&gt;0,(AE202+AF197+IF(Source_Data!AF$6=Inputs!$B$13,Inputs!$B$7,0))/AF200,"")</f>
        <v/>
      </c>
      <c r="AG204" s="31" t="str">
        <f aca="false">IF(AG200&gt;0,(AF202+AG197+IF(Source_Data!AG$6=Inputs!$B$13,Inputs!$B$7,0))/AG200,"")</f>
        <v/>
      </c>
      <c r="AH204" s="31" t="str">
        <f aca="false">IF(AH200&gt;0,(AG202+AH197+IF(Source_Data!AH$6=Inputs!$B$13,Inputs!$B$7,0))/AH200,"")</f>
        <v/>
      </c>
      <c r="AI204" s="31" t="str">
        <f aca="false">IF(AI200&gt;0,(AH202+AI197+IF(Source_Data!AI$6=Inputs!$B$13,Inputs!$B$7,0))/AI200,"")</f>
        <v/>
      </c>
      <c r="AJ204" s="31" t="str">
        <f aca="false">IF(AJ200&gt;0,(AI202+AJ197+IF(Source_Data!AJ$6=Inputs!$B$13,Inputs!$B$7,0))/AJ200,"")</f>
        <v/>
      </c>
      <c r="AK204" s="31" t="str">
        <f aca="false">IF(AK200&gt;0,(AJ202+AK197+IF(Source_Data!AK$6=Inputs!$B$13,Inputs!$B$7,0))/AK200,"")</f>
        <v/>
      </c>
      <c r="AL204" s="31" t="str">
        <f aca="false">IF(AL200&gt;0,(AK202+AL197+IF(Source_Data!AL$6=Inputs!$B$13,Inputs!$B$7,0))/AL200,"")</f>
        <v/>
      </c>
      <c r="AM204" s="31" t="str">
        <f aca="false">IF(AM200&gt;0,(AL202+AM197+IF(Source_Data!AM$6=Inputs!$B$13,Inputs!$B$7,0))/AM200,"")</f>
        <v/>
      </c>
      <c r="AN204" s="31" t="str">
        <f aca="false">IF(AN200&gt;0,(AM202+AN197+IF(Source_Data!AN$6=Inputs!$B$13,Inputs!$B$7,0))/AN200,"")</f>
        <v/>
      </c>
      <c r="AO204" s="31" t="str">
        <f aca="false">IF(AO200&gt;0,(AN202+AO197+IF(Source_Data!AO$6=Inputs!$B$13,Inputs!$B$7,0))/AO200,"")</f>
        <v/>
      </c>
      <c r="AP204" s="31" t="str">
        <f aca="false">IF(AP200&gt;0,(AO202+AP197+IF(Source_Data!AP$6=Inputs!$B$13,Inputs!$B$7,0))/AP200,"")</f>
        <v/>
      </c>
      <c r="AQ204" s="31" t="str">
        <f aca="false">IF(AQ200&gt;0,(AP202+AQ197+IF(Source_Data!AQ$6=Inputs!$B$13,Inputs!$B$7,0))/AQ200,"")</f>
        <v/>
      </c>
      <c r="AR204" s="31" t="str">
        <f aca="false">IF(AR200&gt;0,(AQ202+AR197+IF(Source_Data!AR$6=Inputs!$B$13,Inputs!$B$7,0))/AR200,"")</f>
        <v/>
      </c>
      <c r="AS204" s="31" t="str">
        <f aca="false">IF(AS200&gt;0,(AR202+AS197+IF(Source_Data!AS$6=Inputs!$B$13,Inputs!$B$7,0))/AS200,"")</f>
        <v/>
      </c>
      <c r="AT204" s="31" t="str">
        <f aca="false">IF(AT200&gt;0,(AS202+AT197+IF(Source_Data!AT$6=Inputs!$B$13,Inputs!$B$7,0))/AT200,"")</f>
        <v/>
      </c>
      <c r="AU204" s="31" t="str">
        <f aca="false">IF(AU200&gt;0,(AT202+AU197+IF(Source_Data!AU$6=Inputs!$B$13,Inputs!$B$7,0))/AU200,"")</f>
        <v/>
      </c>
      <c r="AV204" s="31" t="str">
        <f aca="false">IF(AV200&gt;0,(AU202+AV197+IF(Source_Data!AV$6=Inputs!$B$13,Inputs!$B$7,0))/AV200,"")</f>
        <v/>
      </c>
      <c r="AW204" s="31" t="str">
        <f aca="false">IF(AW200&gt;0,(AV202+AW197+IF(Source_Data!AW$6=Inputs!$B$13,Inputs!$B$7,0))/AW200,"")</f>
        <v/>
      </c>
      <c r="AX204" s="31" t="str">
        <f aca="false">IF(AX200&gt;0,(AW202+AX197+IF(Source_Data!AX$6=Inputs!$B$13,Inputs!$B$7,0))/AX200,"")</f>
        <v/>
      </c>
      <c r="AY204" s="31" t="str">
        <f aca="false">IF(AY200&gt;0,(AX202+AY197+IF(Source_Data!AY$6=Inputs!$B$13,Inputs!$B$7,0))/AY200,"")</f>
        <v/>
      </c>
      <c r="AZ204" s="31" t="str">
        <f aca="false">IF(AZ200&gt;0,(AY202+AZ197+IF(Source_Data!AZ$6=Inputs!$B$13,Inputs!$B$7,0))/AZ200,"")</f>
        <v/>
      </c>
      <c r="BA204" s="31" t="str">
        <f aca="false">IF(BA200&gt;0,(AZ202+BA197+IF(Source_Data!BA$6=Inputs!$B$13,Inputs!$B$7,0))/BA200,"")</f>
        <v/>
      </c>
      <c r="BB204" s="31" t="str">
        <f aca="false">IF(BB200&gt;0,(BA202+BB197+IF(Source_Data!BB$6=Inputs!$B$13,Inputs!$B$7,0))/BB200,"")</f>
        <v/>
      </c>
      <c r="BC204" s="31" t="str">
        <f aca="false">IF(BC200&gt;0,(BB202+BC197+IF(Source_Data!BC$6=Inputs!$B$13,Inputs!$B$7,0))/BC200,"")</f>
        <v/>
      </c>
      <c r="BD204" s="31" t="str">
        <f aca="false">IF(BD200&gt;0,(BC202+BD197+IF(Source_Data!BD$6=Inputs!$B$13,Inputs!$B$7,0))/BD200,"")</f>
        <v/>
      </c>
      <c r="BE204" s="31" t="str">
        <f aca="false">IF(BE200&gt;0,(BD202+BE197+IF(Source_Data!BE$6=Inputs!$B$13,Inputs!$B$7,0))/BE200,"")</f>
        <v/>
      </c>
      <c r="BF204" s="31" t="str">
        <f aca="false">IF(BF200&gt;0,(BE202+BF197+IF(Source_Data!BF$6=Inputs!$B$13,Inputs!$B$7,0))/BF200,"")</f>
        <v/>
      </c>
      <c r="BG204" s="31" t="str">
        <f aca="false">IF(BG200&gt;0,(BF202+BG197+IF(Source_Data!BG$6=Inputs!$B$13,Inputs!$B$7,0))/BG200,"")</f>
        <v/>
      </c>
      <c r="BH204" s="31" t="str">
        <f aca="false">IF(BH200&gt;0,(BG202+BH197+IF(Source_Data!BH$6=Inputs!$B$13,Inputs!$B$7,0))/BH200,"")</f>
        <v/>
      </c>
      <c r="BI204" s="31" t="str">
        <f aca="false">IF(BI200&gt;0,(BH202+BI197+IF(Source_Data!BI$6=Inputs!$B$13,Inputs!$B$7,0))/BI200,"")</f>
        <v/>
      </c>
      <c r="BJ204" s="31" t="str">
        <f aca="false">IF(BJ200&gt;0,(BI202+BJ197+IF(Source_Data!BJ$6=Inputs!$B$13,Inputs!$B$7,0))/BJ200,"")</f>
        <v/>
      </c>
      <c r="BK204" s="31" t="str">
        <f aca="false">IF(BK200&gt;0,(BJ202+BK197+IF(Source_Data!BK$6=Inputs!$B$13,Inputs!$B$7,0))/BK200,"")</f>
        <v/>
      </c>
    </row>
    <row r="206" customFormat="false" ht="15" hidden="false" customHeight="false" outlineLevel="0" collapsed="false">
      <c r="A206" s="2" t="s">
        <v>222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347</v>
      </c>
      <c r="B207" s="41" t="n">
        <f aca="false">SUMPRODUCT(D197:BK197,Project_CF!$D$15:$BK$15)</f>
        <v>165.846335680564</v>
      </c>
    </row>
    <row r="208" customFormat="false" ht="15" hidden="false" customHeight="false" outlineLevel="0" collapsed="false">
      <c r="A208" s="2" t="s">
        <v>164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348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349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350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351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352</v>
      </c>
      <c r="B213" s="41" t="n">
        <f aca="false">MIN(D202:BK202)</f>
        <v>-280.4479209375</v>
      </c>
    </row>
    <row r="214" customFormat="false" ht="15" hidden="false" customHeight="false" outlineLevel="0" collapsed="false">
      <c r="A214" s="2" t="s">
        <v>353</v>
      </c>
      <c r="B214" s="43" t="n">
        <f aca="false">MIN(D203:BK203)</f>
        <v>-11.9339708695652</v>
      </c>
    </row>
    <row r="215" customFormat="false" ht="15" hidden="false" customHeight="false" outlineLevel="0" collapsed="false">
      <c r="A215" s="2" t="s">
        <v>354</v>
      </c>
      <c r="B215" s="35" t="n">
        <f aca="false">COUNTIF(D203:BK203,"&lt;"&amp;Inputs!$B$44)</f>
        <v>7</v>
      </c>
    </row>
    <row r="216" customFormat="false" ht="15" hidden="false" customHeight="false" outlineLevel="0" collapsed="false">
      <c r="A216" s="2" t="s">
        <v>355</v>
      </c>
      <c r="B216" s="43" t="n">
        <f aca="false">MIN(D204:BK204)</f>
        <v>-18.5094205869565</v>
      </c>
    </row>
    <row r="217" customFormat="false" ht="15" hidden="false" customHeight="false" outlineLevel="0" collapsed="false">
      <c r="A217" s="2" t="s">
        <v>356</v>
      </c>
      <c r="B217" s="35" t="n">
        <f aca="false">COUNTIF(D204:BK204,"&lt;"&amp;Inputs!$B$44)</f>
        <v>2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333</v>
      </c>
      <c r="B221" s="45" t="n">
        <v>0.9</v>
      </c>
    </row>
    <row r="222" customFormat="false" ht="15" hidden="false" customHeight="false" outlineLevel="0" collapsed="false">
      <c r="A222" s="3" t="s">
        <v>334</v>
      </c>
      <c r="B222" s="45" t="n">
        <v>4</v>
      </c>
    </row>
    <row r="223" customFormat="false" ht="15" hidden="false" customHeight="false" outlineLevel="0" collapsed="false">
      <c r="A223" s="3" t="s">
        <v>335</v>
      </c>
      <c r="B223" s="45" t="n">
        <v>1</v>
      </c>
    </row>
    <row r="224" customFormat="false" ht="15" hidden="false" customHeight="false" outlineLevel="0" collapsed="false">
      <c r="A224" s="3" t="s">
        <v>336</v>
      </c>
      <c r="B224" s="45" t="n">
        <v>0</v>
      </c>
    </row>
    <row r="225" customFormat="false" ht="15" hidden="false" customHeight="false" outlineLevel="0" collapsed="false">
      <c r="A225" s="3" t="s">
        <v>337</v>
      </c>
      <c r="B225" s="45" t="n">
        <v>1</v>
      </c>
    </row>
    <row r="226" customFormat="false" ht="15" hidden="false" customHeight="false" outlineLevel="0" collapsed="false">
      <c r="A226" s="3" t="s">
        <v>338</v>
      </c>
      <c r="B226" s="3" t="n">
        <f aca="false">Inputs!$B$14+3+3*$B$222</f>
        <v>57</v>
      </c>
    </row>
    <row r="227" customFormat="false" ht="15" hidden="false" customHeight="false" outlineLevel="0" collapsed="false">
      <c r="A227" s="3" t="s">
        <v>339</v>
      </c>
      <c r="D227" s="33" t="n">
        <f aca="false">Source_Data!D$7+IF($B$225=1,IF(Source_Data!D$6=Inputs!$B$14,Source_Data!$C$8,0),Source_Data!D$8)</f>
        <v>0</v>
      </c>
      <c r="E227" s="33" t="n">
        <f aca="false">Source_Data!E$7+IF($B$225=1,IF(Source_Data!E$6=Inputs!$B$14,Source_Data!$C$8,0),Source_Data!E$8)</f>
        <v>0</v>
      </c>
      <c r="F227" s="33" t="n">
        <f aca="false">Source_Data!F$7+IF($B$225=1,IF(Source_Data!F$6=Inputs!$B$14,Source_Data!$C$8,0),Source_Data!F$8)</f>
        <v>15.1392375</v>
      </c>
      <c r="G227" s="33" t="n">
        <f aca="false">Source_Data!G$7+IF($B$225=1,IF(Source_Data!G$6=Inputs!$B$14,Source_Data!$C$8,0),Source_Data!G$8)</f>
        <v>30.278475</v>
      </c>
      <c r="H227" s="33" t="n">
        <f aca="false">Source_Data!H$7+IF($B$225=1,IF(Source_Data!H$6=Inputs!$B$14,Source_Data!$C$8,0),Source_Data!H$8)</f>
        <v>46.51200625</v>
      </c>
      <c r="I227" s="33" t="n">
        <f aca="false">Source_Data!I$7+IF($B$225=1,IF(Source_Data!I$6=Inputs!$B$14,Source_Data!$C$8,0),Source_Data!I$8)</f>
        <v>62.7455375</v>
      </c>
      <c r="J227" s="33" t="n">
        <f aca="false">Source_Data!J$7+IF($B$225=1,IF(Source_Data!J$6=Inputs!$B$14,Source_Data!$C$8,0),Source_Data!J$8)</f>
        <v>62.3657</v>
      </c>
      <c r="K227" s="33" t="n">
        <f aca="false">Source_Data!K$7+IF($B$225=1,IF(Source_Data!K$6=Inputs!$B$14,Source_Data!$C$8,0),Source_Data!K$8)</f>
        <v>63.473559375</v>
      </c>
      <c r="L227" s="33" t="n">
        <f aca="false">Source_Data!L$7+IF($B$225=1,IF(Source_Data!L$6=Inputs!$B$14,Source_Data!$C$8,0),Source_Data!L$8)</f>
        <v>80.3288484375</v>
      </c>
      <c r="M227" s="33" t="n">
        <f aca="false">Source_Data!M$7+IF($B$225=1,IF(Source_Data!M$6=Inputs!$B$14,Source_Data!$C$8,0),Source_Data!M$8)</f>
        <v>103.0444875</v>
      </c>
      <c r="N227" s="33" t="n">
        <f aca="false">Source_Data!N$7+IF($B$225=1,IF(Source_Data!N$6=Inputs!$B$14,Source_Data!$C$8,0),Source_Data!N$8)</f>
        <v>127.69775</v>
      </c>
      <c r="O227" s="33" t="n">
        <f aca="false">Source_Data!O$7+IF($B$225=1,IF(Source_Data!O$6=Inputs!$B$14,Source_Data!$C$8,0),Source_Data!O$8)</f>
        <v>134.93275</v>
      </c>
      <c r="P227" s="33" t="n">
        <f aca="false">Source_Data!P$7+IF($B$225=1,IF(Source_Data!P$6=Inputs!$B$14,Source_Data!$C$8,0),Source_Data!P$8)</f>
        <v>97.31075</v>
      </c>
      <c r="Q227" s="33" t="n">
        <f aca="false">Source_Data!Q$7+IF($B$225=1,IF(Source_Data!Q$6=Inputs!$B$14,Source_Data!$C$8,0),Source_Data!Q$8)</f>
        <v>71.30996875</v>
      </c>
      <c r="R227" s="33" t="n">
        <f aca="false">Source_Data!R$7+IF($B$225=1,IF(Source_Data!R$6=Inputs!$B$14,Source_Data!$C$8,0),Source_Data!R$8)</f>
        <v>71.30996875</v>
      </c>
      <c r="S227" s="33" t="n">
        <f aca="false">Source_Data!S$7+IF($B$225=1,IF(Source_Data!S$6=Inputs!$B$14,Source_Data!$C$8,0),Source_Data!S$8)</f>
        <v>559.727635625</v>
      </c>
      <c r="T227" s="33" t="n">
        <f aca="false">Source_Data!T$7+IF($B$225=1,IF(Source_Data!T$6=Inputs!$B$14,Source_Data!$C$8,0),Source_Data!T$8)</f>
        <v>61.2266396875</v>
      </c>
      <c r="U227" s="33" t="n">
        <f aca="false">Source_Data!U$7+IF($B$225=1,IF(Source_Data!U$6=Inputs!$B$14,Source_Data!$C$8,0),Source_Data!U$8)</f>
        <v>59.7127159375</v>
      </c>
      <c r="V227" s="33" t="n">
        <f aca="false">Source_Data!V$7+IF($B$225=1,IF(Source_Data!V$6=Inputs!$B$14,Source_Data!$C$8,0),Source_Data!V$8)</f>
        <v>53.7239446875</v>
      </c>
      <c r="W227" s="33" t="n">
        <f aca="false">Source_Data!W$7+IF($B$225=1,IF(Source_Data!W$6=Inputs!$B$14,Source_Data!$C$8,0),Source_Data!W$8)</f>
        <v>49.3829446875</v>
      </c>
      <c r="X227" s="33" t="n">
        <f aca="false">Source_Data!X$7+IF($B$225=1,IF(Source_Data!X$6=Inputs!$B$14,Source_Data!$C$8,0),Source_Data!X$8)</f>
        <v>49.3829446875</v>
      </c>
      <c r="Y227" s="33" t="n">
        <f aca="false">Source_Data!Y$7+IF($B$225=1,IF(Source_Data!Y$6=Inputs!$B$14,Source_Data!$C$8,0),Source_Data!Y$8)</f>
        <v>42.1027259375</v>
      </c>
      <c r="Z227" s="33" t="n">
        <f aca="false">Source_Data!Z$7+IF($B$225=1,IF(Source_Data!Z$6=Inputs!$B$14,Source_Data!$C$8,0),Source_Data!Z$8)</f>
        <v>42.1027259375</v>
      </c>
      <c r="AA227" s="33" t="n">
        <f aca="false">Source_Data!AA$7+IF($B$225=1,IF(Source_Data!AA$6=Inputs!$B$14,Source_Data!$C$8,0),Source_Data!AA$8)</f>
        <v>42.1027259375</v>
      </c>
      <c r="AB227" s="33" t="n">
        <f aca="false">Source_Data!AB$7+IF($B$225=1,IF(Source_Data!AB$6=Inputs!$B$14,Source_Data!$C$8,0),Source_Data!AB$8)</f>
        <v>36.3147259375</v>
      </c>
      <c r="AC227" s="33" t="n">
        <f aca="false">Source_Data!AC$7+IF($B$225=1,IF(Source_Data!AC$6=Inputs!$B$14,Source_Data!$C$8,0),Source_Data!AC$8)</f>
        <v>33.0386275</v>
      </c>
      <c r="AD227" s="33" t="n">
        <f aca="false">Source_Data!AD$7+IF($B$225=1,IF(Source_Data!AD$6=Inputs!$B$14,Source_Data!$C$8,0),Source_Data!AD$8)</f>
        <v>29.43017125</v>
      </c>
      <c r="AE227" s="33" t="n">
        <f aca="false">Source_Data!AE$7+IF($B$225=1,IF(Source_Data!AE$6=Inputs!$B$14,Source_Data!$C$8,0),Source_Data!AE$8)</f>
        <v>25.08917125</v>
      </c>
      <c r="AF227" s="33" t="n">
        <f aca="false">Source_Data!AF$7+IF($B$225=1,IF(Source_Data!AF$6=Inputs!$B$14,Source_Data!$C$8,0),Source_Data!AF$8)</f>
        <v>25.08917125</v>
      </c>
      <c r="AG227" s="33" t="n">
        <f aca="false">Source_Data!AG$7+IF($B$225=1,IF(Source_Data!AG$6=Inputs!$B$14,Source_Data!$C$8,0),Source_Data!AG$8)</f>
        <v>25.08917125</v>
      </c>
      <c r="AH227" s="33" t="n">
        <f aca="false">Source_Data!AH$7+IF($B$225=1,IF(Source_Data!AH$6=Inputs!$B$14,Source_Data!$C$8,0),Source_Data!AH$8)</f>
        <v>25.08917125</v>
      </c>
      <c r="AI227" s="33" t="n">
        <f aca="false">Source_Data!AI$7+IF($B$225=1,IF(Source_Data!AI$6=Inputs!$B$14,Source_Data!$C$8,0),Source_Data!AI$8)</f>
        <v>25.08917125</v>
      </c>
      <c r="AJ227" s="33" t="n">
        <f aca="false">Source_Data!AJ$7+IF($B$225=1,IF(Source_Data!AJ$6=Inputs!$B$14,Source_Data!$C$8,0),Source_Data!AJ$8)</f>
        <v>25.08917125</v>
      </c>
      <c r="AK227" s="33" t="n">
        <f aca="false">Source_Data!AK$7+IF($B$225=1,IF(Source_Data!AK$6=Inputs!$B$14,Source_Data!$C$8,0),Source_Data!AK$8)</f>
        <v>22.905105625</v>
      </c>
      <c r="AL227" s="33" t="n">
        <f aca="false">Source_Data!AL$7+IF($B$225=1,IF(Source_Data!AL$6=Inputs!$B$14,Source_Data!$C$8,0),Source_Data!AL$8)</f>
        <v>22.905105625</v>
      </c>
      <c r="AM227" s="33" t="n">
        <f aca="false">Source_Data!AM$7+IF($B$225=1,IF(Source_Data!AM$6=Inputs!$B$14,Source_Data!$C$8,0),Source_Data!AM$8)</f>
        <v>18.739554375</v>
      </c>
      <c r="AN227" s="33" t="n">
        <f aca="false">Source_Data!AN$7+IF($B$225=1,IF(Source_Data!AN$6=Inputs!$B$14,Source_Data!$C$8,0),Source_Data!AN$8)</f>
        <v>9.6261675</v>
      </c>
      <c r="AO227" s="33" t="n">
        <f aca="false">Source_Data!AO$7+IF($B$225=1,IF(Source_Data!AO$6=Inputs!$B$14,Source_Data!$C$8,0),Source_Data!AO$8)</f>
        <v>3.5704725</v>
      </c>
      <c r="AP227" s="33" t="n">
        <f aca="false">Source_Data!AP$7+IF($B$225=1,IF(Source_Data!AP$6=Inputs!$B$14,Source_Data!$C$8,0),Source_Data!AP$8)</f>
        <v>0</v>
      </c>
      <c r="AQ227" s="33" t="n">
        <f aca="false">Source_Data!AQ$7+IF($B$225=1,IF(Source_Data!AQ$6=Inputs!$B$14,Source_Data!$C$8,0),Source_Data!AQ$8)</f>
        <v>0</v>
      </c>
      <c r="AR227" s="33" t="n">
        <f aca="false">Source_Data!AR$7+IF($B$225=1,IF(Source_Data!AR$6=Inputs!$B$14,Source_Data!$C$8,0),Source_Data!AR$8)</f>
        <v>0</v>
      </c>
      <c r="AS227" s="33" t="n">
        <f aca="false">Source_Data!AS$7+IF($B$225=1,IF(Source_Data!AS$6=Inputs!$B$14,Source_Data!$C$8,0),Source_Data!AS$8)</f>
        <v>0</v>
      </c>
      <c r="AT227" s="33" t="n">
        <f aca="false">Source_Data!AT$7+IF($B$225=1,IF(Source_Data!AT$6=Inputs!$B$14,Source_Data!$C$8,0),Source_Data!AT$8)</f>
        <v>0</v>
      </c>
      <c r="AU227" s="33" t="n">
        <f aca="false">Source_Data!AU$7+IF($B$225=1,IF(Source_Data!AU$6=Inputs!$B$14,Source_Data!$C$8,0),Source_Data!AU$8)</f>
        <v>0</v>
      </c>
      <c r="AV227" s="33" t="n">
        <f aca="false">Source_Data!AV$7+IF($B$225=1,IF(Source_Data!AV$6=Inputs!$B$14,Source_Data!$C$8,0),Source_Data!AV$8)</f>
        <v>0</v>
      </c>
      <c r="AW227" s="33" t="n">
        <f aca="false">Source_Data!AW$7+IF($B$225=1,IF(Source_Data!AW$6=Inputs!$B$14,Source_Data!$C$8,0),Source_Data!AW$8)</f>
        <v>0</v>
      </c>
      <c r="AX227" s="33" t="n">
        <f aca="false">Source_Data!AX$7+IF($B$225=1,IF(Source_Data!AX$6=Inputs!$B$14,Source_Data!$C$8,0),Source_Data!AX$8)</f>
        <v>0</v>
      </c>
      <c r="AY227" s="33" t="n">
        <f aca="false">Source_Data!AY$7+IF($B$225=1,IF(Source_Data!AY$6=Inputs!$B$14,Source_Data!$C$8,0),Source_Data!AY$8)</f>
        <v>0</v>
      </c>
      <c r="AZ227" s="33" t="n">
        <f aca="false">Source_Data!AZ$7+IF($B$225=1,IF(Source_Data!AZ$6=Inputs!$B$14,Source_Data!$C$8,0),Source_Data!AZ$8)</f>
        <v>0</v>
      </c>
      <c r="BA227" s="33" t="n">
        <f aca="false">Source_Data!BA$7+IF($B$225=1,IF(Source_Data!BA$6=Inputs!$B$14,Source_Data!$C$8,0),Source_Data!BA$8)</f>
        <v>0</v>
      </c>
      <c r="BB227" s="33" t="n">
        <f aca="false">Source_Data!BB$7+IF($B$225=1,IF(Source_Data!BB$6=Inputs!$B$14,Source_Data!$C$8,0),Source_Data!BB$8)</f>
        <v>0</v>
      </c>
      <c r="BC227" s="33" t="n">
        <f aca="false">Source_Data!BC$7+IF($B$225=1,IF(Source_Data!BC$6=Inputs!$B$14,Source_Data!$C$8,0),Source_Data!BC$8)</f>
        <v>0</v>
      </c>
      <c r="BD227" s="33" t="n">
        <f aca="false">Source_Data!BD$7+IF($B$225=1,IF(Source_Data!BD$6=Inputs!$B$14,Source_Data!$C$8,0),Source_Data!BD$8)</f>
        <v>0</v>
      </c>
      <c r="BE227" s="33" t="n">
        <f aca="false">Source_Data!BE$7+IF($B$225=1,IF(Source_Data!BE$6=Inputs!$B$14,Source_Data!$C$8,0),Source_Data!BE$8)</f>
        <v>0</v>
      </c>
      <c r="BF227" s="33" t="n">
        <f aca="false">Source_Data!BF$7+IF($B$225=1,IF(Source_Data!BF$6=Inputs!$B$14,Source_Data!$C$8,0),Source_Data!BF$8)</f>
        <v>0</v>
      </c>
      <c r="BG227" s="33" t="n">
        <f aca="false">Source_Data!BG$7+IF($B$225=1,IF(Source_Data!BG$6=Inputs!$B$14,Source_Data!$C$8,0),Source_Data!BG$8)</f>
        <v>0</v>
      </c>
      <c r="BH227" s="33" t="n">
        <f aca="false">Source_Data!BH$7+IF($B$225=1,IF(Source_Data!BH$6=Inputs!$B$14,Source_Data!$C$8,0),Source_Data!BH$8)</f>
        <v>0</v>
      </c>
      <c r="BI227" s="33" t="n">
        <f aca="false">Source_Data!BI$7+IF($B$225=1,IF(Source_Data!BI$6=Inputs!$B$14,Source_Data!$C$8,0),Source_Data!BI$8)</f>
        <v>0</v>
      </c>
      <c r="BJ227" s="33" t="n">
        <f aca="false">Source_Data!BJ$7+IF($B$225=1,IF(Source_Data!BJ$6=Inputs!$B$14,Source_Data!$C$8,0),Source_Data!BJ$8)</f>
        <v>0</v>
      </c>
      <c r="BK227" s="33" t="n">
        <f aca="false">Source_Data!BK$7+IF($B$225=1,IF(Source_Data!BK$6=Inputs!$B$14,Source_Data!$C$8,0),Source_Data!BK$8)</f>
        <v>0</v>
      </c>
    </row>
    <row r="228" customFormat="false" ht="15" hidden="false" customHeight="false" outlineLevel="0" collapsed="false">
      <c r="A228" s="3" t="s">
        <v>215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340</v>
      </c>
      <c r="D229" s="33" t="n">
        <f aca="false">Source_Data!D$9+Source_Data!D$10*IF(Source_Data!$C$10=0,0,MAX(0,Inputs!$B$20*Inputs!$B$23*$B$221-Inputs!$B$21)/Source_Data!$C$10)</f>
        <v>91.25</v>
      </c>
      <c r="E229" s="33" t="n">
        <f aca="false">Source_Data!E$9+Source_Data!E$10*IF(Source_Data!$C$10=0,0,MAX(0,Inputs!$B$20*Inputs!$B$23*$B$221-Inputs!$B$21)/Source_Data!$C$10)</f>
        <v>11.25</v>
      </c>
      <c r="F229" s="33" t="n">
        <f aca="false">Source_Data!F$9+Source_Data!F$10*IF(Source_Data!$C$10=0,0,MAX(0,Inputs!$B$20*Inputs!$B$23*$B$221-Inputs!$B$21)/Source_Data!$C$10)</f>
        <v>11.25</v>
      </c>
      <c r="G229" s="33" t="n">
        <f aca="false">Source_Data!G$9+Source_Data!G$10*IF(Source_Data!$C$10=0,0,MAX(0,Inputs!$B$20*Inputs!$B$23*$B$221-Inputs!$B$21)/Source_Data!$C$10)</f>
        <v>11.25</v>
      </c>
      <c r="H229" s="33" t="n">
        <f aca="false">Source_Data!H$9+Source_Data!H$10*IF(Source_Data!$C$10=0,0,MAX(0,Inputs!$B$20*Inputs!$B$23*$B$221-Inputs!$B$21)/Source_Data!$C$10)</f>
        <v>22.5</v>
      </c>
      <c r="I229" s="33" t="n">
        <f aca="false">Source_Data!I$9+Source_Data!I$10*IF(Source_Data!$C$10=0,0,MAX(0,Inputs!$B$20*Inputs!$B$23*$B$221-Inputs!$B$21)/Source_Data!$C$10)</f>
        <v>22.5</v>
      </c>
      <c r="J229" s="33" t="n">
        <f aca="false">Source_Data!J$9+Source_Data!J$10*IF(Source_Data!$C$10=0,0,MAX(0,Inputs!$B$20*Inputs!$B$23*$B$221-Inputs!$B$21)/Source_Data!$C$10)</f>
        <v>22.5</v>
      </c>
      <c r="K229" s="33" t="n">
        <f aca="false">Source_Data!K$9+Source_Data!K$10*IF(Source_Data!$C$10=0,0,MAX(0,Inputs!$B$20*Inputs!$B$23*$B$221-Inputs!$B$21)/Source_Data!$C$10)</f>
        <v>22.5</v>
      </c>
      <c r="L229" s="33" t="n">
        <f aca="false">Source_Data!L$9+Source_Data!L$10*IF(Source_Data!$C$10=0,0,MAX(0,Inputs!$B$20*Inputs!$B$23*$B$221-Inputs!$B$21)/Source_Data!$C$10)</f>
        <v>33.75</v>
      </c>
      <c r="M229" s="33" t="n">
        <f aca="false">Source_Data!M$9+Source_Data!M$10*IF(Source_Data!$C$10=0,0,MAX(0,Inputs!$B$20*Inputs!$B$23*$B$221-Inputs!$B$21)/Source_Data!$C$10)</f>
        <v>33.75</v>
      </c>
      <c r="N229" s="33" t="n">
        <f aca="false">Source_Data!N$9+Source_Data!N$10*IF(Source_Data!$C$10=0,0,MAX(0,Inputs!$B$20*Inputs!$B$23*$B$221-Inputs!$B$21)/Source_Data!$C$10)</f>
        <v>33.75</v>
      </c>
      <c r="O229" s="33" t="n">
        <f aca="false">Source_Data!O$9+Source_Data!O$10*IF(Source_Data!$C$10=0,0,MAX(0,Inputs!$B$20*Inputs!$B$23*$B$221-Inputs!$B$21)/Source_Data!$C$10)</f>
        <v>33.75</v>
      </c>
      <c r="P229" s="33" t="n">
        <f aca="false">Source_Data!P$9+Source_Data!P$10*IF(Source_Data!$C$10=0,0,MAX(0,Inputs!$B$20*Inputs!$B$23*$B$221-Inputs!$B$21)/Source_Data!$C$10)</f>
        <v>45</v>
      </c>
      <c r="Q229" s="33" t="n">
        <f aca="false">Source_Data!Q$9+Source_Data!Q$10*IF(Source_Data!$C$10=0,0,MAX(0,Inputs!$B$20*Inputs!$B$23*$B$221-Inputs!$B$21)/Source_Data!$C$10)</f>
        <v>45</v>
      </c>
      <c r="R229" s="33" t="n">
        <f aca="false">Source_Data!R$9+Source_Data!R$10*IF(Source_Data!$C$10=0,0,MAX(0,Inputs!$B$20*Inputs!$B$23*$B$221-Inputs!$B$21)/Source_Data!$C$10)</f>
        <v>45</v>
      </c>
      <c r="S229" s="33" t="n">
        <f aca="false">Source_Data!S$9+Source_Data!S$10*IF(Source_Data!$C$10=0,0,MAX(0,Inputs!$B$20*Inputs!$B$23*$B$221-Inputs!$B$21)/Source_Data!$C$10)</f>
        <v>45</v>
      </c>
      <c r="T229" s="33" t="n">
        <f aca="false">Source_Data!T$9+Source_Data!T$10*IF(Source_Data!$C$10=0,0,MAX(0,Inputs!$B$20*Inputs!$B$23*$B$221-Inputs!$B$21)/Source_Data!$C$10)</f>
        <v>45</v>
      </c>
      <c r="U229" s="33" t="n">
        <f aca="false">Source_Data!U$9+Source_Data!U$10*IF(Source_Data!$C$10=0,0,MAX(0,Inputs!$B$20*Inputs!$B$23*$B$221-Inputs!$B$21)/Source_Data!$C$10)</f>
        <v>45</v>
      </c>
      <c r="V229" s="33" t="n">
        <f aca="false">Source_Data!V$9+Source_Data!V$10*IF(Source_Data!$C$10=0,0,MAX(0,Inputs!$B$20*Inputs!$B$23*$B$221-Inputs!$B$21)/Source_Data!$C$10)</f>
        <v>45</v>
      </c>
      <c r="W229" s="33" t="n">
        <f aca="false">Source_Data!W$9+Source_Data!W$10*IF(Source_Data!$C$10=0,0,MAX(0,Inputs!$B$20*Inputs!$B$23*$B$221-Inputs!$B$21)/Source_Data!$C$10)</f>
        <v>45</v>
      </c>
      <c r="X229" s="33" t="n">
        <f aca="false">Source_Data!X$9+Source_Data!X$10*IF(Source_Data!$C$10=0,0,MAX(0,Inputs!$B$20*Inputs!$B$23*$B$221-Inputs!$B$21)/Source_Data!$C$10)</f>
        <v>22.5</v>
      </c>
      <c r="Y229" s="33" t="n">
        <f aca="false">Source_Data!Y$9+Source_Data!Y$10*IF(Source_Data!$C$10=0,0,MAX(0,Inputs!$B$20*Inputs!$B$23*$B$221-Inputs!$B$21)/Source_Data!$C$10)</f>
        <v>22.5</v>
      </c>
      <c r="Z229" s="33" t="n">
        <f aca="false">Source_Data!Z$9+Source_Data!Z$10*IF(Source_Data!$C$10=0,0,MAX(0,Inputs!$B$20*Inputs!$B$23*$B$221-Inputs!$B$21)/Source_Data!$C$10)</f>
        <v>22.5</v>
      </c>
      <c r="AA229" s="33" t="n">
        <f aca="false">Source_Data!AA$9+Source_Data!AA$10*IF(Source_Data!$C$10=0,0,MAX(0,Inputs!$B$20*Inputs!$B$23*$B$221-Inputs!$B$21)/Source_Data!$C$10)</f>
        <v>22.5</v>
      </c>
      <c r="AB229" s="33" t="n">
        <f aca="false">Source_Data!AB$9+Source_Data!AB$10*IF(Source_Data!$C$10=0,0,MAX(0,Inputs!$B$20*Inputs!$B$23*$B$221-Inputs!$B$21)/Source_Data!$C$10)</f>
        <v>0</v>
      </c>
      <c r="AC229" s="33" t="n">
        <f aca="false">Source_Data!AC$9+Source_Data!AC$10*IF(Source_Data!$C$10=0,0,MAX(0,Inputs!$B$20*Inputs!$B$23*$B$221-Inputs!$B$21)/Source_Data!$C$10)</f>
        <v>0</v>
      </c>
      <c r="AD229" s="33" t="n">
        <f aca="false">Source_Data!AD$9+Source_Data!AD$10*IF(Source_Data!$C$10=0,0,MAX(0,Inputs!$B$20*Inputs!$B$23*$B$221-Inputs!$B$21)/Source_Data!$C$10)</f>
        <v>0</v>
      </c>
      <c r="AE229" s="33" t="n">
        <f aca="false">Source_Data!AE$9+Source_Data!AE$10*IF(Source_Data!$C$10=0,0,MAX(0,Inputs!$B$20*Inputs!$B$23*$B$221-Inputs!$B$21)/Source_Data!$C$10)</f>
        <v>0</v>
      </c>
      <c r="AF229" s="33" t="n">
        <f aca="false">Source_Data!AF$9+Source_Data!AF$10*IF(Source_Data!$C$10=0,0,MAX(0,Inputs!$B$20*Inputs!$B$23*$B$221-Inputs!$B$21)/Source_Data!$C$10)</f>
        <v>50.5544747578603</v>
      </c>
      <c r="AG229" s="33" t="n">
        <f aca="false">Source_Data!AG$9+Source_Data!AG$10*IF(Source_Data!$C$10=0,0,MAX(0,Inputs!$B$20*Inputs!$B$23*$B$221-Inputs!$B$21)/Source_Data!$C$10)</f>
        <v>5.14960130045416</v>
      </c>
      <c r="AH229" s="33" t="n">
        <f aca="false">Source_Data!AH$9+Source_Data!AH$10*IF(Source_Data!$C$10=0,0,MAX(0,Inputs!$B$20*Inputs!$B$23*$B$221-Inputs!$B$21)/Source_Data!$C$10)</f>
        <v>5.14960130045416</v>
      </c>
      <c r="AI229" s="33" t="n">
        <f aca="false">Source_Data!AI$9+Source_Data!AI$10*IF(Source_Data!$C$10=0,0,MAX(0,Inputs!$B$20*Inputs!$B$23*$B$221-Inputs!$B$21)/Source_Data!$C$10)</f>
        <v>5.14960130045416</v>
      </c>
      <c r="AJ229" s="33" t="n">
        <f aca="false">Source_Data!AJ$9+Source_Data!AJ$10*IF(Source_Data!$C$10=0,0,MAX(0,Inputs!$B$20*Inputs!$B$23*$B$221-Inputs!$B$21)/Source_Data!$C$10)</f>
        <v>5.14960130045416</v>
      </c>
      <c r="AK229" s="33" t="n">
        <f aca="false">Source_Data!AK$9+Source_Data!AK$10*IF(Source_Data!$C$10=0,0,MAX(0,Inputs!$B$20*Inputs!$B$23*$B$221-Inputs!$B$21)/Source_Data!$C$10)</f>
        <v>4.70131757395294</v>
      </c>
      <c r="AL229" s="33" t="n">
        <f aca="false">Source_Data!AL$9+Source_Data!AL$10*IF(Source_Data!$C$10=0,0,MAX(0,Inputs!$B$20*Inputs!$B$23*$B$221-Inputs!$B$21)/Source_Data!$C$10)</f>
        <v>4.70131757395294</v>
      </c>
      <c r="AM229" s="33" t="n">
        <f aca="false">Source_Data!AM$9+Source_Data!AM$10*IF(Source_Data!$C$10=0,0,MAX(0,Inputs!$B$20*Inputs!$B$23*$B$221-Inputs!$B$21)/Source_Data!$C$10)</f>
        <v>3.84633006079989</v>
      </c>
      <c r="AN229" s="33" t="n">
        <f aca="false">Source_Data!AN$9+Source_Data!AN$10*IF(Source_Data!$C$10=0,0,MAX(0,Inputs!$B$20*Inputs!$B$23*$B$221-Inputs!$B$21)/Source_Data!$C$10)</f>
        <v>1.97578964177183</v>
      </c>
      <c r="AO229" s="33" t="n">
        <f aca="false">Source_Data!AO$9+Source_Data!AO$10*IF(Source_Data!$C$10=0,0,MAX(0,Inputs!$B$20*Inputs!$B$23*$B$221-Inputs!$B$21)/Source_Data!$C$10)</f>
        <v>0.73284643984547</v>
      </c>
      <c r="AP229" s="33" t="n">
        <f aca="false">Source_Data!AP$9+Source_Data!AP$10*IF(Source_Data!$C$10=0,0,MAX(0,Inputs!$B$20*Inputs!$B$23*$B$221-Inputs!$B$21)/Source_Data!$C$10)</f>
        <v>0</v>
      </c>
      <c r="AQ229" s="33" t="n">
        <f aca="false">Source_Data!AQ$9+Source_Data!AQ$10*IF(Source_Data!$C$10=0,0,MAX(0,Inputs!$B$20*Inputs!$B$23*$B$221-Inputs!$B$21)/Source_Data!$C$10)</f>
        <v>0</v>
      </c>
      <c r="AR229" s="33" t="n">
        <f aca="false">Source_Data!AR$9+Source_Data!AR$10*IF(Source_Data!$C$10=0,0,MAX(0,Inputs!$B$20*Inputs!$B$23*$B$221-Inputs!$B$21)/Source_Data!$C$10)</f>
        <v>0</v>
      </c>
      <c r="AS229" s="33" t="n">
        <f aca="false">Source_Data!AS$9+Source_Data!AS$10*IF(Source_Data!$C$10=0,0,MAX(0,Inputs!$B$20*Inputs!$B$23*$B$221-Inputs!$B$21)/Source_Data!$C$10)</f>
        <v>0</v>
      </c>
      <c r="AT229" s="33" t="n">
        <f aca="false">Source_Data!AT$9+Source_Data!AT$10*IF(Source_Data!$C$10=0,0,MAX(0,Inputs!$B$20*Inputs!$B$23*$B$221-Inputs!$B$21)/Source_Data!$C$10)</f>
        <v>0</v>
      </c>
      <c r="AU229" s="33" t="n">
        <f aca="false">Source_Data!AU$9+Source_Data!AU$10*IF(Source_Data!$C$10=0,0,MAX(0,Inputs!$B$20*Inputs!$B$23*$B$221-Inputs!$B$21)/Source_Data!$C$10)</f>
        <v>0</v>
      </c>
      <c r="AV229" s="33" t="n">
        <f aca="false">Source_Data!AV$9+Source_Data!AV$10*IF(Source_Data!$C$10=0,0,MAX(0,Inputs!$B$20*Inputs!$B$23*$B$221-Inputs!$B$21)/Source_Data!$C$10)</f>
        <v>0</v>
      </c>
      <c r="AW229" s="33" t="n">
        <f aca="false">Source_Data!AW$9+Source_Data!AW$10*IF(Source_Data!$C$10=0,0,MAX(0,Inputs!$B$20*Inputs!$B$23*$B$221-Inputs!$B$21)/Source_Data!$C$10)</f>
        <v>0</v>
      </c>
      <c r="AX229" s="33" t="n">
        <f aca="false">Source_Data!AX$9+Source_Data!AX$10*IF(Source_Data!$C$10=0,0,MAX(0,Inputs!$B$20*Inputs!$B$23*$B$221-Inputs!$B$21)/Source_Data!$C$10)</f>
        <v>0</v>
      </c>
      <c r="AY229" s="33" t="n">
        <f aca="false">Source_Data!AY$9+Source_Data!AY$10*IF(Source_Data!$C$10=0,0,MAX(0,Inputs!$B$20*Inputs!$B$23*$B$221-Inputs!$B$21)/Source_Data!$C$10)</f>
        <v>0</v>
      </c>
      <c r="AZ229" s="33" t="n">
        <f aca="false">Source_Data!AZ$9+Source_Data!AZ$10*IF(Source_Data!$C$10=0,0,MAX(0,Inputs!$B$20*Inputs!$B$23*$B$221-Inputs!$B$21)/Source_Data!$C$10)</f>
        <v>0</v>
      </c>
      <c r="BA229" s="33" t="n">
        <f aca="false">Source_Data!BA$9+Source_Data!BA$10*IF(Source_Data!$C$10=0,0,MAX(0,Inputs!$B$20*Inputs!$B$23*$B$221-Inputs!$B$21)/Source_Data!$C$10)</f>
        <v>0</v>
      </c>
      <c r="BB229" s="33" t="n">
        <f aca="false">Source_Data!BB$9+Source_Data!BB$10*IF(Source_Data!$C$10=0,0,MAX(0,Inputs!$B$20*Inputs!$B$23*$B$221-Inputs!$B$21)/Source_Data!$C$10)</f>
        <v>0</v>
      </c>
      <c r="BC229" s="33" t="n">
        <f aca="false">Source_Data!BC$9+Source_Data!BC$10*IF(Source_Data!$C$10=0,0,MAX(0,Inputs!$B$20*Inputs!$B$23*$B$221-Inputs!$B$21)/Source_Data!$C$10)</f>
        <v>0</v>
      </c>
      <c r="BD229" s="33" t="n">
        <f aca="false">Source_Data!BD$9+Source_Data!BD$10*IF(Source_Data!$C$10=0,0,MAX(0,Inputs!$B$20*Inputs!$B$23*$B$221-Inputs!$B$21)/Source_Data!$C$10)</f>
        <v>0</v>
      </c>
      <c r="BE229" s="33" t="n">
        <f aca="false">Source_Data!BE$9+Source_Data!BE$10*IF(Source_Data!$C$10=0,0,MAX(0,Inputs!$B$20*Inputs!$B$23*$B$221-Inputs!$B$21)/Source_Data!$C$10)</f>
        <v>0</v>
      </c>
      <c r="BF229" s="33" t="n">
        <f aca="false">Source_Data!BF$9+Source_Data!BF$10*IF(Source_Data!$C$10=0,0,MAX(0,Inputs!$B$20*Inputs!$B$23*$B$221-Inputs!$B$21)/Source_Data!$C$10)</f>
        <v>0</v>
      </c>
      <c r="BG229" s="33" t="n">
        <f aca="false">Source_Data!BG$9+Source_Data!BG$10*IF(Source_Data!$C$10=0,0,MAX(0,Inputs!$B$20*Inputs!$B$23*$B$221-Inputs!$B$21)/Source_Data!$C$10)</f>
        <v>0</v>
      </c>
      <c r="BH229" s="33" t="n">
        <f aca="false">Source_Data!BH$9+Source_Data!BH$10*IF(Source_Data!$C$10=0,0,MAX(0,Inputs!$B$20*Inputs!$B$23*$B$221-Inputs!$B$21)/Source_Data!$C$10)</f>
        <v>0</v>
      </c>
      <c r="BI229" s="33" t="n">
        <f aca="false">Source_Data!BI$9+Source_Data!BI$10*IF(Source_Data!$C$10=0,0,MAX(0,Inputs!$B$20*Inputs!$B$23*$B$221-Inputs!$B$21)/Source_Data!$C$10)</f>
        <v>0</v>
      </c>
      <c r="BJ229" s="33" t="n">
        <f aca="false">Source_Data!BJ$9+Source_Data!BJ$10*IF(Source_Data!$C$10=0,0,MAX(0,Inputs!$B$20*Inputs!$B$23*$B$221-Inputs!$B$21)/Source_Data!$C$10)</f>
        <v>0</v>
      </c>
      <c r="BK229" s="33" t="n">
        <f aca="false">Source_Data!BK$9+Source_Data!BK$10*IF(Source_Data!$C$10=0,0,MAX(0,Inputs!$B$20*Inputs!$B$23*$B$221-Inputs!$B$21)/Source_Data!$C$10)</f>
        <v>0</v>
      </c>
    </row>
    <row r="230" customFormat="false" ht="15" hidden="false" customHeight="false" outlineLevel="0" collapsed="false">
      <c r="A230" s="3" t="s">
        <v>196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198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217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218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219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341</v>
      </c>
      <c r="D235" s="33" t="n">
        <f aca="false">IF(Source_Data!D$6=Inputs!$B$13,-Inputs!$B$7,0)+IF(AND(Source_Data!D$6&gt;=$B$226,Source_Data!D$6&lt;$B$226+3*Inputs!$B$17,MOD(Source_Data!D$6-$B$226,3)=0),Inputs!$B$8*Inputs!$B$7*Inputs!$B$35*$B$221*(1-Inputs!$B$16)/Inputs!$B$17,0)</f>
        <v>-75</v>
      </c>
      <c r="E235" s="33" t="n">
        <f aca="false">IF(Source_Data!E$6=Inputs!$B$13,-Inputs!$B$7,0)+IF(AND(Source_Data!E$6&gt;=$B$226,Source_Data!E$6&lt;$B$226+3*Inputs!$B$17,MOD(Source_Data!E$6-$B$226,3)=0),Inputs!$B$8*Inputs!$B$7*Inputs!$B$35*$B$221*(1-Inputs!$B$16)/Inputs!$B$17,0)</f>
        <v>0</v>
      </c>
      <c r="F235" s="33" t="n">
        <f aca="false">IF(Source_Data!F$6=Inputs!$B$13,-Inputs!$B$7,0)+IF(AND(Source_Data!F$6&gt;=$B$226,Source_Data!F$6&lt;$B$226+3*Inputs!$B$17,MOD(Source_Data!F$6-$B$226,3)=0),Inputs!$B$8*Inputs!$B$7*Inputs!$B$35*$B$221*(1-Inputs!$B$16)/Inputs!$B$17,0)</f>
        <v>0</v>
      </c>
      <c r="G235" s="33" t="n">
        <f aca="false">IF(Source_Data!G$6=Inputs!$B$13,-Inputs!$B$7,0)+IF(AND(Source_Data!G$6&gt;=$B$226,Source_Data!G$6&lt;$B$226+3*Inputs!$B$17,MOD(Source_Data!G$6-$B$226,3)=0),Inputs!$B$8*Inputs!$B$7*Inputs!$B$35*$B$221*(1-Inputs!$B$16)/Inputs!$B$17,0)</f>
        <v>0</v>
      </c>
      <c r="H235" s="33" t="n">
        <f aca="false">IF(Source_Data!H$6=Inputs!$B$13,-Inputs!$B$7,0)+IF(AND(Source_Data!H$6&gt;=$B$226,Source_Data!H$6&lt;$B$226+3*Inputs!$B$17,MOD(Source_Data!H$6-$B$226,3)=0),Inputs!$B$8*Inputs!$B$7*Inputs!$B$35*$B$221*(1-Inputs!$B$16)/Inputs!$B$17,0)</f>
        <v>0</v>
      </c>
      <c r="I235" s="33" t="n">
        <f aca="false">IF(Source_Data!I$6=Inputs!$B$13,-Inputs!$B$7,0)+IF(AND(Source_Data!I$6&gt;=$B$226,Source_Data!I$6&lt;$B$226+3*Inputs!$B$17,MOD(Source_Data!I$6-$B$226,3)=0),Inputs!$B$8*Inputs!$B$7*Inputs!$B$35*$B$221*(1-Inputs!$B$16)/Inputs!$B$17,0)</f>
        <v>0</v>
      </c>
      <c r="J235" s="33" t="n">
        <f aca="false">IF(Source_Data!J$6=Inputs!$B$13,-Inputs!$B$7,0)+IF(AND(Source_Data!J$6&gt;=$B$226,Source_Data!J$6&lt;$B$226+3*Inputs!$B$17,MOD(Source_Data!J$6-$B$226,3)=0),Inputs!$B$8*Inputs!$B$7*Inputs!$B$35*$B$221*(1-Inputs!$B$16)/Inputs!$B$17,0)</f>
        <v>0</v>
      </c>
      <c r="K235" s="33" t="n">
        <f aca="false">IF(Source_Data!K$6=Inputs!$B$13,-Inputs!$B$7,0)+IF(AND(Source_Data!K$6&gt;=$B$226,Source_Data!K$6&lt;$B$226+3*Inputs!$B$17,MOD(Source_Data!K$6-$B$226,3)=0),Inputs!$B$8*Inputs!$B$7*Inputs!$B$35*$B$221*(1-Inputs!$B$16)/Inputs!$B$17,0)</f>
        <v>0</v>
      </c>
      <c r="L235" s="33" t="n">
        <f aca="false">IF(Source_Data!L$6=Inputs!$B$13,-Inputs!$B$7,0)+IF(AND(Source_Data!L$6&gt;=$B$226,Source_Data!L$6&lt;$B$226+3*Inputs!$B$17,MOD(Source_Data!L$6-$B$226,3)=0),Inputs!$B$8*Inputs!$B$7*Inputs!$B$35*$B$221*(1-Inputs!$B$16)/Inputs!$B$17,0)</f>
        <v>0</v>
      </c>
      <c r="M235" s="33" t="n">
        <f aca="false">IF(Source_Data!M$6=Inputs!$B$13,-Inputs!$B$7,0)+IF(AND(Source_Data!M$6&gt;=$B$226,Source_Data!M$6&lt;$B$226+3*Inputs!$B$17,MOD(Source_Data!M$6-$B$226,3)=0),Inputs!$B$8*Inputs!$B$7*Inputs!$B$35*$B$221*(1-Inputs!$B$16)/Inputs!$B$17,0)</f>
        <v>0</v>
      </c>
      <c r="N235" s="33" t="n">
        <f aca="false">IF(Source_Data!N$6=Inputs!$B$13,-Inputs!$B$7,0)+IF(AND(Source_Data!N$6&gt;=$B$226,Source_Data!N$6&lt;$B$226+3*Inputs!$B$17,MOD(Source_Data!N$6-$B$226,3)=0),Inputs!$B$8*Inputs!$B$7*Inputs!$B$35*$B$221*(1-Inputs!$B$16)/Inputs!$B$17,0)</f>
        <v>0</v>
      </c>
      <c r="O235" s="33" t="n">
        <f aca="false">IF(Source_Data!O$6=Inputs!$B$13,-Inputs!$B$7,0)+IF(AND(Source_Data!O$6&gt;=$B$226,Source_Data!O$6&lt;$B$226+3*Inputs!$B$17,MOD(Source_Data!O$6-$B$226,3)=0),Inputs!$B$8*Inputs!$B$7*Inputs!$B$35*$B$221*(1-Inputs!$B$16)/Inputs!$B$17,0)</f>
        <v>0</v>
      </c>
      <c r="P235" s="33" t="n">
        <f aca="false">IF(Source_Data!P$6=Inputs!$B$13,-Inputs!$B$7,0)+IF(AND(Source_Data!P$6&gt;=$B$226,Source_Data!P$6&lt;$B$226+3*Inputs!$B$17,MOD(Source_Data!P$6-$B$226,3)=0),Inputs!$B$8*Inputs!$B$7*Inputs!$B$35*$B$221*(1-Inputs!$B$16)/Inputs!$B$17,0)</f>
        <v>0</v>
      </c>
      <c r="Q235" s="33" t="n">
        <f aca="false">IF(Source_Data!Q$6=Inputs!$B$13,-Inputs!$B$7,0)+IF(AND(Source_Data!Q$6&gt;=$B$226,Source_Data!Q$6&lt;$B$226+3*Inputs!$B$17,MOD(Source_Data!Q$6-$B$226,3)=0),Inputs!$B$8*Inputs!$B$7*Inputs!$B$35*$B$221*(1-Inputs!$B$16)/Inputs!$B$17,0)</f>
        <v>0</v>
      </c>
      <c r="R235" s="33" t="n">
        <f aca="false">IF(Source_Data!R$6=Inputs!$B$13,-Inputs!$B$7,0)+IF(AND(Source_Data!R$6&gt;=$B$226,Source_Data!R$6&lt;$B$226+3*Inputs!$B$17,MOD(Source_Data!R$6-$B$226,3)=0),Inputs!$B$8*Inputs!$B$7*Inputs!$B$35*$B$221*(1-Inputs!$B$16)/Inputs!$B$17,0)</f>
        <v>0</v>
      </c>
      <c r="S235" s="33" t="n">
        <f aca="false">IF(Source_Data!S$6=Inputs!$B$13,-Inputs!$B$7,0)+IF(AND(Source_Data!S$6&gt;=$B$226,Source_Data!S$6&lt;$B$226+3*Inputs!$B$17,MOD(Source_Data!S$6-$B$226,3)=0),Inputs!$B$8*Inputs!$B$7*Inputs!$B$35*$B$221*(1-Inputs!$B$16)/Inputs!$B$17,0)</f>
        <v>0</v>
      </c>
      <c r="T235" s="33" t="n">
        <f aca="false">IF(Source_Data!T$6=Inputs!$B$13,-Inputs!$B$7,0)+IF(AND(Source_Data!T$6&gt;=$B$226,Source_Data!T$6&lt;$B$226+3*Inputs!$B$17,MOD(Source_Data!T$6-$B$226,3)=0),Inputs!$B$8*Inputs!$B$7*Inputs!$B$35*$B$221*(1-Inputs!$B$16)/Inputs!$B$17,0)</f>
        <v>0</v>
      </c>
      <c r="U235" s="33" t="n">
        <f aca="false">IF(Source_Data!U$6=Inputs!$B$13,-Inputs!$B$7,0)+IF(AND(Source_Data!U$6&gt;=$B$226,Source_Data!U$6&lt;$B$226+3*Inputs!$B$17,MOD(Source_Data!U$6-$B$226,3)=0),Inputs!$B$8*Inputs!$B$7*Inputs!$B$35*$B$221*(1-Inputs!$B$16)/Inputs!$B$17,0)</f>
        <v>0</v>
      </c>
      <c r="V235" s="33" t="n">
        <f aca="false">IF(Source_Data!V$6=Inputs!$B$13,-Inputs!$B$7,0)+IF(AND(Source_Data!V$6&gt;=$B$226,Source_Data!V$6&lt;$B$226+3*Inputs!$B$17,MOD(Source_Data!V$6-$B$226,3)=0),Inputs!$B$8*Inputs!$B$7*Inputs!$B$35*$B$221*(1-Inputs!$B$16)/Inputs!$B$17,0)</f>
        <v>0</v>
      </c>
      <c r="W235" s="33" t="n">
        <f aca="false">IF(Source_Data!W$6=Inputs!$B$13,-Inputs!$B$7,0)+IF(AND(Source_Data!W$6&gt;=$B$226,Source_Data!W$6&lt;$B$226+3*Inputs!$B$17,MOD(Source_Data!W$6-$B$226,3)=0),Inputs!$B$8*Inputs!$B$7*Inputs!$B$35*$B$221*(1-Inputs!$B$16)/Inputs!$B$17,0)</f>
        <v>0</v>
      </c>
      <c r="X235" s="33" t="n">
        <f aca="false">IF(Source_Data!X$6=Inputs!$B$13,-Inputs!$B$7,0)+IF(AND(Source_Data!X$6&gt;=$B$226,Source_Data!X$6&lt;$B$226+3*Inputs!$B$17,MOD(Source_Data!X$6-$B$226,3)=0),Inputs!$B$8*Inputs!$B$7*Inputs!$B$35*$B$221*(1-Inputs!$B$16)/Inputs!$B$17,0)</f>
        <v>46.9354838709678</v>
      </c>
      <c r="Y235" s="33" t="n">
        <f aca="false">IF(Source_Data!Y$6=Inputs!$B$13,-Inputs!$B$7,0)+IF(AND(Source_Data!Y$6&gt;=$B$226,Source_Data!Y$6&lt;$B$226+3*Inputs!$B$17,MOD(Source_Data!Y$6-$B$226,3)=0),Inputs!$B$8*Inputs!$B$7*Inputs!$B$35*$B$221*(1-Inputs!$B$16)/Inputs!$B$17,0)</f>
        <v>46.9354838709678</v>
      </c>
      <c r="Z235" s="33" t="n">
        <f aca="false">IF(Source_Data!Z$6=Inputs!$B$13,-Inputs!$B$7,0)+IF(AND(Source_Data!Z$6&gt;=$B$226,Source_Data!Z$6&lt;$B$226+3*Inputs!$B$17,MOD(Source_Data!Z$6-$B$226,3)=0),Inputs!$B$8*Inputs!$B$7*Inputs!$B$35*$B$221*(1-Inputs!$B$16)/Inputs!$B$17,0)</f>
        <v>46.9354838709678</v>
      </c>
      <c r="AA235" s="33" t="n">
        <f aca="false">IF(Source_Data!AA$6=Inputs!$B$13,-Inputs!$B$7,0)+IF(AND(Source_Data!AA$6&gt;=$B$226,Source_Data!AA$6&lt;$B$226+3*Inputs!$B$17,MOD(Source_Data!AA$6-$B$226,3)=0),Inputs!$B$8*Inputs!$B$7*Inputs!$B$35*$B$221*(1-Inputs!$B$16)/Inputs!$B$17,0)</f>
        <v>46.9354838709678</v>
      </c>
      <c r="AB235" s="33" t="n">
        <f aca="false">IF(Source_Data!AB$6=Inputs!$B$13,-Inputs!$B$7,0)+IF(AND(Source_Data!AB$6&gt;=$B$226,Source_Data!AB$6&lt;$B$226+3*Inputs!$B$17,MOD(Source_Data!AB$6-$B$226,3)=0),Inputs!$B$8*Inputs!$B$7*Inputs!$B$35*$B$221*(1-Inputs!$B$16)/Inputs!$B$17,0)</f>
        <v>0</v>
      </c>
      <c r="AC235" s="33" t="n">
        <f aca="false">IF(Source_Data!AC$6=Inputs!$B$13,-Inputs!$B$7,0)+IF(AND(Source_Data!AC$6&gt;=$B$226,Source_Data!AC$6&lt;$B$226+3*Inputs!$B$17,MOD(Source_Data!AC$6-$B$226,3)=0),Inputs!$B$8*Inputs!$B$7*Inputs!$B$35*$B$221*(1-Inputs!$B$16)/Inputs!$B$17,0)</f>
        <v>0</v>
      </c>
      <c r="AD235" s="33" t="n">
        <f aca="false">IF(Source_Data!AD$6=Inputs!$B$13,-Inputs!$B$7,0)+IF(AND(Source_Data!AD$6&gt;=$B$226,Source_Data!AD$6&lt;$B$226+3*Inputs!$B$17,MOD(Source_Data!AD$6-$B$226,3)=0),Inputs!$B$8*Inputs!$B$7*Inputs!$B$35*$B$221*(1-Inputs!$B$16)/Inputs!$B$17,0)</f>
        <v>0</v>
      </c>
      <c r="AE235" s="33" t="n">
        <f aca="false">IF(Source_Data!AE$6=Inputs!$B$13,-Inputs!$B$7,0)+IF(AND(Source_Data!AE$6&gt;=$B$226,Source_Data!AE$6&lt;$B$226+3*Inputs!$B$17,MOD(Source_Data!AE$6-$B$226,3)=0),Inputs!$B$8*Inputs!$B$7*Inputs!$B$35*$B$221*(1-Inputs!$B$16)/Inputs!$B$17,0)</f>
        <v>0</v>
      </c>
      <c r="AF235" s="33" t="n">
        <f aca="false">IF(Source_Data!AF$6=Inputs!$B$13,-Inputs!$B$7,0)+IF(AND(Source_Data!AF$6&gt;=$B$226,Source_Data!AF$6&lt;$B$226+3*Inputs!$B$17,MOD(Source_Data!AF$6-$B$226,3)=0),Inputs!$B$8*Inputs!$B$7*Inputs!$B$35*$B$221*(1-Inputs!$B$16)/Inputs!$B$17,0)</f>
        <v>0</v>
      </c>
      <c r="AG235" s="33" t="n">
        <f aca="false">IF(Source_Data!AG$6=Inputs!$B$13,-Inputs!$B$7,0)+IF(AND(Source_Data!AG$6&gt;=$B$226,Source_Data!AG$6&lt;$B$226+3*Inputs!$B$17,MOD(Source_Data!AG$6-$B$226,3)=0),Inputs!$B$8*Inputs!$B$7*Inputs!$B$35*$B$221*(1-Inputs!$B$16)/Inputs!$B$17,0)</f>
        <v>0</v>
      </c>
      <c r="AH235" s="33" t="n">
        <f aca="false">IF(Source_Data!AH$6=Inputs!$B$13,-Inputs!$B$7,0)+IF(AND(Source_Data!AH$6&gt;=$B$226,Source_Data!AH$6&lt;$B$226+3*Inputs!$B$17,MOD(Source_Data!AH$6-$B$226,3)=0),Inputs!$B$8*Inputs!$B$7*Inputs!$B$35*$B$221*(1-Inputs!$B$16)/Inputs!$B$17,0)</f>
        <v>0</v>
      </c>
      <c r="AI235" s="33" t="n">
        <f aca="false">IF(Source_Data!AI$6=Inputs!$B$13,-Inputs!$B$7,0)+IF(AND(Source_Data!AI$6&gt;=$B$226,Source_Data!AI$6&lt;$B$226+3*Inputs!$B$17,MOD(Source_Data!AI$6-$B$226,3)=0),Inputs!$B$8*Inputs!$B$7*Inputs!$B$35*$B$221*(1-Inputs!$B$16)/Inputs!$B$17,0)</f>
        <v>0</v>
      </c>
      <c r="AJ235" s="33" t="n">
        <f aca="false">IF(Source_Data!AJ$6=Inputs!$B$13,-Inputs!$B$7,0)+IF(AND(Source_Data!AJ$6&gt;=$B$226,Source_Data!AJ$6&lt;$B$226+3*Inputs!$B$17,MOD(Source_Data!AJ$6-$B$226,3)=0),Inputs!$B$8*Inputs!$B$7*Inputs!$B$35*$B$221*(1-Inputs!$B$16)/Inputs!$B$17,0)</f>
        <v>0</v>
      </c>
      <c r="AK235" s="33" t="n">
        <f aca="false">IF(Source_Data!AK$6=Inputs!$B$13,-Inputs!$B$7,0)+IF(AND(Source_Data!AK$6&gt;=$B$226,Source_Data!AK$6&lt;$B$226+3*Inputs!$B$17,MOD(Source_Data!AK$6-$B$226,3)=0),Inputs!$B$8*Inputs!$B$7*Inputs!$B$35*$B$221*(1-Inputs!$B$16)/Inputs!$B$17,0)</f>
        <v>0</v>
      </c>
      <c r="AL235" s="33" t="n">
        <f aca="false">IF(Source_Data!AL$6=Inputs!$B$13,-Inputs!$B$7,0)+IF(AND(Source_Data!AL$6&gt;=$B$226,Source_Data!AL$6&lt;$B$226+3*Inputs!$B$17,MOD(Source_Data!AL$6-$B$226,3)=0),Inputs!$B$8*Inputs!$B$7*Inputs!$B$35*$B$221*(1-Inputs!$B$16)/Inputs!$B$17,0)</f>
        <v>0</v>
      </c>
      <c r="AM235" s="33" t="n">
        <f aca="false">IF(Source_Data!AM$6=Inputs!$B$13,-Inputs!$B$7,0)+IF(AND(Source_Data!AM$6&gt;=$B$226,Source_Data!AM$6&lt;$B$226+3*Inputs!$B$17,MOD(Source_Data!AM$6-$B$226,3)=0),Inputs!$B$8*Inputs!$B$7*Inputs!$B$35*$B$221*(1-Inputs!$B$16)/Inputs!$B$17,0)</f>
        <v>0</v>
      </c>
      <c r="AN235" s="33" t="n">
        <f aca="false">IF(Source_Data!AN$6=Inputs!$B$13,-Inputs!$B$7,0)+IF(AND(Source_Data!AN$6&gt;=$B$226,Source_Data!AN$6&lt;$B$226+3*Inputs!$B$17,MOD(Source_Data!AN$6-$B$226,3)=0),Inputs!$B$8*Inputs!$B$7*Inputs!$B$35*$B$221*(1-Inputs!$B$16)/Inputs!$B$17,0)</f>
        <v>0</v>
      </c>
      <c r="AO235" s="33" t="n">
        <f aca="false">IF(Source_Data!AO$6=Inputs!$B$13,-Inputs!$B$7,0)+IF(AND(Source_Data!AO$6&gt;=$B$226,Source_Data!AO$6&lt;$B$226+3*Inputs!$B$17,MOD(Source_Data!AO$6-$B$226,3)=0),Inputs!$B$8*Inputs!$B$7*Inputs!$B$35*$B$221*(1-Inputs!$B$16)/Inputs!$B$17,0)</f>
        <v>0</v>
      </c>
      <c r="AP235" s="33" t="n">
        <f aca="false">IF(Source_Data!AP$6=Inputs!$B$13,-Inputs!$B$7,0)+IF(AND(Source_Data!AP$6&gt;=$B$226,Source_Data!AP$6&lt;$B$226+3*Inputs!$B$17,MOD(Source_Data!AP$6-$B$226,3)=0),Inputs!$B$8*Inputs!$B$7*Inputs!$B$35*$B$221*(1-Inputs!$B$16)/Inputs!$B$17,0)</f>
        <v>0</v>
      </c>
      <c r="AQ235" s="33" t="n">
        <f aca="false">IF(Source_Data!AQ$6=Inputs!$B$13,-Inputs!$B$7,0)+IF(AND(Source_Data!AQ$6&gt;=$B$226,Source_Data!AQ$6&lt;$B$226+3*Inputs!$B$17,MOD(Source_Data!AQ$6-$B$226,3)=0),Inputs!$B$8*Inputs!$B$7*Inputs!$B$35*$B$221*(1-Inputs!$B$16)/Inputs!$B$17,0)</f>
        <v>0</v>
      </c>
      <c r="AR235" s="33" t="n">
        <f aca="false">IF(Source_Data!AR$6=Inputs!$B$13,-Inputs!$B$7,0)+IF(AND(Source_Data!AR$6&gt;=$B$226,Source_Data!AR$6&lt;$B$226+3*Inputs!$B$17,MOD(Source_Data!AR$6-$B$226,3)=0),Inputs!$B$8*Inputs!$B$7*Inputs!$B$35*$B$221*(1-Inputs!$B$16)/Inputs!$B$17,0)</f>
        <v>0</v>
      </c>
      <c r="AS235" s="33" t="n">
        <f aca="false">IF(Source_Data!AS$6=Inputs!$B$13,-Inputs!$B$7,0)+IF(AND(Source_Data!AS$6&gt;=$B$226,Source_Data!AS$6&lt;$B$226+3*Inputs!$B$17,MOD(Source_Data!AS$6-$B$226,3)=0),Inputs!$B$8*Inputs!$B$7*Inputs!$B$35*$B$221*(1-Inputs!$B$16)/Inputs!$B$17,0)</f>
        <v>0</v>
      </c>
      <c r="AT235" s="33" t="n">
        <f aca="false">IF(Source_Data!AT$6=Inputs!$B$13,-Inputs!$B$7,0)+IF(AND(Source_Data!AT$6&gt;=$B$226,Source_Data!AT$6&lt;$B$226+3*Inputs!$B$17,MOD(Source_Data!AT$6-$B$226,3)=0),Inputs!$B$8*Inputs!$B$7*Inputs!$B$35*$B$221*(1-Inputs!$B$16)/Inputs!$B$17,0)</f>
        <v>0</v>
      </c>
      <c r="AU235" s="33" t="n">
        <f aca="false">IF(Source_Data!AU$6=Inputs!$B$13,-Inputs!$B$7,0)+IF(AND(Source_Data!AU$6&gt;=$B$226,Source_Data!AU$6&lt;$B$226+3*Inputs!$B$17,MOD(Source_Data!AU$6-$B$226,3)=0),Inputs!$B$8*Inputs!$B$7*Inputs!$B$35*$B$221*(1-Inputs!$B$16)/Inputs!$B$17,0)</f>
        <v>0</v>
      </c>
      <c r="AV235" s="33" t="n">
        <f aca="false">IF(Source_Data!AV$6=Inputs!$B$13,-Inputs!$B$7,0)+IF(AND(Source_Data!AV$6&gt;=$B$226,Source_Data!AV$6&lt;$B$226+3*Inputs!$B$17,MOD(Source_Data!AV$6-$B$226,3)=0),Inputs!$B$8*Inputs!$B$7*Inputs!$B$35*$B$221*(1-Inputs!$B$16)/Inputs!$B$17,0)</f>
        <v>0</v>
      </c>
      <c r="AW235" s="33" t="n">
        <f aca="false">IF(Source_Data!AW$6=Inputs!$B$13,-Inputs!$B$7,0)+IF(AND(Source_Data!AW$6&gt;=$B$226,Source_Data!AW$6&lt;$B$226+3*Inputs!$B$17,MOD(Source_Data!AW$6-$B$226,3)=0),Inputs!$B$8*Inputs!$B$7*Inputs!$B$35*$B$221*(1-Inputs!$B$16)/Inputs!$B$17,0)</f>
        <v>0</v>
      </c>
      <c r="AX235" s="33" t="n">
        <f aca="false">IF(Source_Data!AX$6=Inputs!$B$13,-Inputs!$B$7,0)+IF(AND(Source_Data!AX$6&gt;=$B$226,Source_Data!AX$6&lt;$B$226+3*Inputs!$B$17,MOD(Source_Data!AX$6-$B$226,3)=0),Inputs!$B$8*Inputs!$B$7*Inputs!$B$35*$B$221*(1-Inputs!$B$16)/Inputs!$B$17,0)</f>
        <v>0</v>
      </c>
      <c r="AY235" s="33" t="n">
        <f aca="false">IF(Source_Data!AY$6=Inputs!$B$13,-Inputs!$B$7,0)+IF(AND(Source_Data!AY$6&gt;=$B$226,Source_Data!AY$6&lt;$B$226+3*Inputs!$B$17,MOD(Source_Data!AY$6-$B$226,3)=0),Inputs!$B$8*Inputs!$B$7*Inputs!$B$35*$B$221*(1-Inputs!$B$16)/Inputs!$B$17,0)</f>
        <v>0</v>
      </c>
      <c r="AZ235" s="33" t="n">
        <f aca="false">IF(Source_Data!AZ$6=Inputs!$B$13,-Inputs!$B$7,0)+IF(AND(Source_Data!AZ$6&gt;=$B$226,Source_Data!AZ$6&lt;$B$226+3*Inputs!$B$17,MOD(Source_Data!AZ$6-$B$226,3)=0),Inputs!$B$8*Inputs!$B$7*Inputs!$B$35*$B$221*(1-Inputs!$B$16)/Inputs!$B$17,0)</f>
        <v>0</v>
      </c>
      <c r="BA235" s="33" t="n">
        <f aca="false">IF(Source_Data!BA$6=Inputs!$B$13,-Inputs!$B$7,0)+IF(AND(Source_Data!BA$6&gt;=$B$226,Source_Data!BA$6&lt;$B$226+3*Inputs!$B$17,MOD(Source_Data!BA$6-$B$226,3)=0),Inputs!$B$8*Inputs!$B$7*Inputs!$B$35*$B$221*(1-Inputs!$B$16)/Inputs!$B$17,0)</f>
        <v>0</v>
      </c>
      <c r="BB235" s="33" t="n">
        <f aca="false">IF(Source_Data!BB$6=Inputs!$B$13,-Inputs!$B$7,0)+IF(AND(Source_Data!BB$6&gt;=$B$226,Source_Data!BB$6&lt;$B$226+3*Inputs!$B$17,MOD(Source_Data!BB$6-$B$226,3)=0),Inputs!$B$8*Inputs!$B$7*Inputs!$B$35*$B$221*(1-Inputs!$B$16)/Inputs!$B$17,0)</f>
        <v>0</v>
      </c>
      <c r="BC235" s="33" t="n">
        <f aca="false">IF(Source_Data!BC$6=Inputs!$B$13,-Inputs!$B$7,0)+IF(AND(Source_Data!BC$6&gt;=$B$226,Source_Data!BC$6&lt;$B$226+3*Inputs!$B$17,MOD(Source_Data!BC$6-$B$226,3)=0),Inputs!$B$8*Inputs!$B$7*Inputs!$B$35*$B$221*(1-Inputs!$B$16)/Inputs!$B$17,0)</f>
        <v>0</v>
      </c>
      <c r="BD235" s="33" t="n">
        <f aca="false">IF(Source_Data!BD$6=Inputs!$B$13,-Inputs!$B$7,0)+IF(AND(Source_Data!BD$6&gt;=$B$226,Source_Data!BD$6&lt;$B$226+3*Inputs!$B$17,MOD(Source_Data!BD$6-$B$226,3)=0),Inputs!$B$8*Inputs!$B$7*Inputs!$B$35*$B$221*(1-Inputs!$B$16)/Inputs!$B$17,0)</f>
        <v>0</v>
      </c>
      <c r="BE235" s="33" t="n">
        <f aca="false">IF(Source_Data!BE$6=Inputs!$B$13,-Inputs!$B$7,0)+IF(AND(Source_Data!BE$6&gt;=$B$226,Source_Data!BE$6&lt;$B$226+3*Inputs!$B$17,MOD(Source_Data!BE$6-$B$226,3)=0),Inputs!$B$8*Inputs!$B$7*Inputs!$B$35*$B$221*(1-Inputs!$B$16)/Inputs!$B$17,0)</f>
        <v>0</v>
      </c>
      <c r="BF235" s="33" t="n">
        <f aca="false">IF(Source_Data!BF$6=Inputs!$B$13,-Inputs!$B$7,0)+IF(AND(Source_Data!BF$6&gt;=$B$226,Source_Data!BF$6&lt;$B$226+3*Inputs!$B$17,MOD(Source_Data!BF$6-$B$226,3)=0),Inputs!$B$8*Inputs!$B$7*Inputs!$B$35*$B$221*(1-Inputs!$B$16)/Inputs!$B$17,0)</f>
        <v>0</v>
      </c>
      <c r="BG235" s="33" t="n">
        <f aca="false">IF(Source_Data!BG$6=Inputs!$B$13,-Inputs!$B$7,0)+IF(AND(Source_Data!BG$6&gt;=$B$226,Source_Data!BG$6&lt;$B$226+3*Inputs!$B$17,MOD(Source_Data!BG$6-$B$226,3)=0),Inputs!$B$8*Inputs!$B$7*Inputs!$B$35*$B$221*(1-Inputs!$B$16)/Inputs!$B$17,0)</f>
        <v>0</v>
      </c>
      <c r="BH235" s="33" t="n">
        <f aca="false">IF(Source_Data!BH$6=Inputs!$B$13,-Inputs!$B$7,0)+IF(AND(Source_Data!BH$6&gt;=$B$226,Source_Data!BH$6&lt;$B$226+3*Inputs!$B$17,MOD(Source_Data!BH$6-$B$226,3)=0),Inputs!$B$8*Inputs!$B$7*Inputs!$B$35*$B$221*(1-Inputs!$B$16)/Inputs!$B$17,0)</f>
        <v>0</v>
      </c>
      <c r="BI235" s="33" t="n">
        <f aca="false">IF(Source_Data!BI$6=Inputs!$B$13,-Inputs!$B$7,0)+IF(AND(Source_Data!BI$6&gt;=$B$226,Source_Data!BI$6&lt;$B$226+3*Inputs!$B$17,MOD(Source_Data!BI$6-$B$226,3)=0),Inputs!$B$8*Inputs!$B$7*Inputs!$B$35*$B$221*(1-Inputs!$B$16)/Inputs!$B$17,0)</f>
        <v>0</v>
      </c>
      <c r="BJ235" s="33" t="n">
        <f aca="false">IF(Source_Data!BJ$6=Inputs!$B$13,-Inputs!$B$7,0)+IF(AND(Source_Data!BJ$6&gt;=$B$226,Source_Data!BJ$6&lt;$B$226+3*Inputs!$B$17,MOD(Source_Data!BJ$6-$B$226,3)=0),Inputs!$B$8*Inputs!$B$7*Inputs!$B$35*$B$221*(1-Inputs!$B$16)/Inputs!$B$17,0)</f>
        <v>0</v>
      </c>
      <c r="BK235" s="33" t="n">
        <f aca="false">IF(Source_Data!BK$6=Inputs!$B$13,-Inputs!$B$7,0)+IF(AND(Source_Data!BK$6&gt;=$B$226,Source_Data!BK$6&lt;$B$226+3*Inputs!$B$17,MOD(Source_Data!BK$6-$B$226,3)=0),Inputs!$B$8*Inputs!$B$7*Inputs!$B$35*$B$221*(1-Inputs!$B$16)/Inputs!$B$17,0)</f>
        <v>0</v>
      </c>
    </row>
    <row r="236" customFormat="false" ht="15" hidden="false" customHeight="false" outlineLevel="0" collapsed="false">
      <c r="A236" s="3" t="s">
        <v>342</v>
      </c>
      <c r="D236" s="33" t="n">
        <f aca="false">IF(AND(Source_Data!D$6&gt;=Inputs!$B$55,Source_Data!D$6&lt;Inputs!$B$55+3*Inputs!$B$11),Inputs!$B$9*Inputs!$B$7/Inputs!$B$11,0)</f>
        <v>0</v>
      </c>
      <c r="E236" s="33" t="n">
        <f aca="false">IF(AND(Source_Data!E$6&gt;=Inputs!$B$55,Source_Data!E$6&lt;Inputs!$B$55+3*Inputs!$B$11),Inputs!$B$9*Inputs!$B$7/Inputs!$B$11,0)</f>
        <v>0</v>
      </c>
      <c r="F236" s="33" t="n">
        <f aca="false">IF(AND(Source_Data!F$6&gt;=Inputs!$B$55,Source_Data!F$6&lt;Inputs!$B$55+3*Inputs!$B$11),Inputs!$B$9*Inputs!$B$7/Inputs!$B$11,0)</f>
        <v>0</v>
      </c>
      <c r="G236" s="33" t="n">
        <f aca="false">IF(AND(Source_Data!G$6&gt;=Inputs!$B$55,Source_Data!G$6&lt;Inputs!$B$55+3*Inputs!$B$11),Inputs!$B$9*Inputs!$B$7/Inputs!$B$11,0)</f>
        <v>0</v>
      </c>
      <c r="H236" s="33" t="n">
        <f aca="false">IF(AND(Source_Data!H$6&gt;=Inputs!$B$55,Source_Data!H$6&lt;Inputs!$B$55+3*Inputs!$B$11),Inputs!$B$9*Inputs!$B$7/Inputs!$B$11,0)</f>
        <v>0</v>
      </c>
      <c r="I236" s="33" t="n">
        <f aca="false">IF(AND(Source_Data!I$6&gt;=Inputs!$B$55,Source_Data!I$6&lt;Inputs!$B$55+3*Inputs!$B$11),Inputs!$B$9*Inputs!$B$7/Inputs!$B$11,0)</f>
        <v>0</v>
      </c>
      <c r="J236" s="33" t="n">
        <f aca="false">IF(AND(Source_Data!J$6&gt;=Inputs!$B$55,Source_Data!J$6&lt;Inputs!$B$55+3*Inputs!$B$11),Inputs!$B$9*Inputs!$B$7/Inputs!$B$11,0)</f>
        <v>0</v>
      </c>
      <c r="K236" s="33" t="n">
        <f aca="false">IF(AND(Source_Data!K$6&gt;=Inputs!$B$55,Source_Data!K$6&lt;Inputs!$B$55+3*Inputs!$B$11),Inputs!$B$9*Inputs!$B$7/Inputs!$B$11,0)</f>
        <v>0</v>
      </c>
      <c r="L236" s="33" t="n">
        <f aca="false">IF(AND(Source_Data!L$6&gt;=Inputs!$B$55,Source_Data!L$6&lt;Inputs!$B$55+3*Inputs!$B$11),Inputs!$B$9*Inputs!$B$7/Inputs!$B$11,0)</f>
        <v>0</v>
      </c>
      <c r="M236" s="33" t="n">
        <f aca="false">IF(AND(Source_Data!M$6&gt;=Inputs!$B$55,Source_Data!M$6&lt;Inputs!$B$55+3*Inputs!$B$11),Inputs!$B$9*Inputs!$B$7/Inputs!$B$11,0)</f>
        <v>14.375</v>
      </c>
      <c r="N236" s="33" t="n">
        <f aca="false">IF(AND(Source_Data!N$6&gt;=Inputs!$B$55,Source_Data!N$6&lt;Inputs!$B$55+3*Inputs!$B$11),Inputs!$B$9*Inputs!$B$7/Inputs!$B$11,0)</f>
        <v>14.375</v>
      </c>
      <c r="O236" s="33" t="n">
        <f aca="false">IF(AND(Source_Data!O$6&gt;=Inputs!$B$55,Source_Data!O$6&lt;Inputs!$B$55+3*Inputs!$B$11),Inputs!$B$9*Inputs!$B$7/Inputs!$B$11,0)</f>
        <v>14.375</v>
      </c>
      <c r="P236" s="33" t="n">
        <f aca="false">IF(AND(Source_Data!P$6&gt;=Inputs!$B$55,Source_Data!P$6&lt;Inputs!$B$55+3*Inputs!$B$11),Inputs!$B$9*Inputs!$B$7/Inputs!$B$11,0)</f>
        <v>14.375</v>
      </c>
      <c r="Q236" s="33" t="n">
        <f aca="false">IF(AND(Source_Data!Q$6&gt;=Inputs!$B$55,Source_Data!Q$6&lt;Inputs!$B$55+3*Inputs!$B$11),Inputs!$B$9*Inputs!$B$7/Inputs!$B$11,0)</f>
        <v>14.375</v>
      </c>
      <c r="R236" s="33" t="n">
        <f aca="false">IF(AND(Source_Data!R$6&gt;=Inputs!$B$55,Source_Data!R$6&lt;Inputs!$B$55+3*Inputs!$B$11),Inputs!$B$9*Inputs!$B$7/Inputs!$B$11,0)</f>
        <v>14.375</v>
      </c>
      <c r="S236" s="33" t="n">
        <f aca="false">IF(AND(Source_Data!S$6&gt;=Inputs!$B$55,Source_Data!S$6&lt;Inputs!$B$55+3*Inputs!$B$11),Inputs!$B$9*Inputs!$B$7/Inputs!$B$11,0)</f>
        <v>14.375</v>
      </c>
      <c r="T236" s="33" t="n">
        <f aca="false">IF(AND(Source_Data!T$6&gt;=Inputs!$B$55,Source_Data!T$6&lt;Inputs!$B$55+3*Inputs!$B$11),Inputs!$B$9*Inputs!$B$7/Inputs!$B$11,0)</f>
        <v>14.375</v>
      </c>
      <c r="U236" s="33" t="n">
        <f aca="false">IF(AND(Source_Data!U$6&gt;=Inputs!$B$55,Source_Data!U$6&lt;Inputs!$B$55+3*Inputs!$B$11),Inputs!$B$9*Inputs!$B$7/Inputs!$B$11,0)</f>
        <v>14.375</v>
      </c>
      <c r="V236" s="33" t="n">
        <f aca="false">IF(AND(Source_Data!V$6&gt;=Inputs!$B$55,Source_Data!V$6&lt;Inputs!$B$55+3*Inputs!$B$11),Inputs!$B$9*Inputs!$B$7/Inputs!$B$11,0)</f>
        <v>14.375</v>
      </c>
      <c r="W236" s="33" t="n">
        <f aca="false">IF(AND(Source_Data!W$6&gt;=Inputs!$B$55,Source_Data!W$6&lt;Inputs!$B$55+3*Inputs!$B$11),Inputs!$B$9*Inputs!$B$7/Inputs!$B$11,0)</f>
        <v>14.375</v>
      </c>
      <c r="X236" s="33" t="n">
        <f aca="false">IF(AND(Source_Data!X$6&gt;=Inputs!$B$55,Source_Data!X$6&lt;Inputs!$B$55+3*Inputs!$B$11),Inputs!$B$9*Inputs!$B$7/Inputs!$B$11,0)</f>
        <v>14.375</v>
      </c>
      <c r="Y236" s="33" t="n">
        <f aca="false">IF(AND(Source_Data!Y$6&gt;=Inputs!$B$55,Source_Data!Y$6&lt;Inputs!$B$55+3*Inputs!$B$11),Inputs!$B$9*Inputs!$B$7/Inputs!$B$11,0)</f>
        <v>0</v>
      </c>
      <c r="Z236" s="33" t="n">
        <f aca="false">IF(AND(Source_Data!Z$6&gt;=Inputs!$B$55,Source_Data!Z$6&lt;Inputs!$B$55+3*Inputs!$B$11),Inputs!$B$9*Inputs!$B$7/Inputs!$B$11,0)</f>
        <v>0</v>
      </c>
      <c r="AA236" s="33" t="n">
        <f aca="false">IF(AND(Source_Data!AA$6&gt;=Inputs!$B$55,Source_Data!AA$6&lt;Inputs!$B$55+3*Inputs!$B$11),Inputs!$B$9*Inputs!$B$7/Inputs!$B$11,0)</f>
        <v>0</v>
      </c>
      <c r="AB236" s="33" t="n">
        <f aca="false">IF(AND(Source_Data!AB$6&gt;=Inputs!$B$55,Source_Data!AB$6&lt;Inputs!$B$55+3*Inputs!$B$11),Inputs!$B$9*Inputs!$B$7/Inputs!$B$11,0)</f>
        <v>0</v>
      </c>
      <c r="AC236" s="33" t="n">
        <f aca="false">IF(AND(Source_Data!AC$6&gt;=Inputs!$B$55,Source_Data!AC$6&lt;Inputs!$B$55+3*Inputs!$B$11),Inputs!$B$9*Inputs!$B$7/Inputs!$B$11,0)</f>
        <v>0</v>
      </c>
      <c r="AD236" s="33" t="n">
        <f aca="false">IF(AND(Source_Data!AD$6&gt;=Inputs!$B$55,Source_Data!AD$6&lt;Inputs!$B$55+3*Inputs!$B$11),Inputs!$B$9*Inputs!$B$7/Inputs!$B$11,0)</f>
        <v>0</v>
      </c>
      <c r="AE236" s="33" t="n">
        <f aca="false">IF(AND(Source_Data!AE$6&gt;=Inputs!$B$55,Source_Data!AE$6&lt;Inputs!$B$55+3*Inputs!$B$11),Inputs!$B$9*Inputs!$B$7/Inputs!$B$11,0)</f>
        <v>0</v>
      </c>
      <c r="AF236" s="33" t="n">
        <f aca="false">IF(AND(Source_Data!AF$6&gt;=Inputs!$B$55,Source_Data!AF$6&lt;Inputs!$B$55+3*Inputs!$B$11),Inputs!$B$9*Inputs!$B$7/Inputs!$B$11,0)</f>
        <v>0</v>
      </c>
      <c r="AG236" s="33" t="n">
        <f aca="false">IF(AND(Source_Data!AG$6&gt;=Inputs!$B$55,Source_Data!AG$6&lt;Inputs!$B$55+3*Inputs!$B$11),Inputs!$B$9*Inputs!$B$7/Inputs!$B$11,0)</f>
        <v>0</v>
      </c>
      <c r="AH236" s="33" t="n">
        <f aca="false">IF(AND(Source_Data!AH$6&gt;=Inputs!$B$55,Source_Data!AH$6&lt;Inputs!$B$55+3*Inputs!$B$11),Inputs!$B$9*Inputs!$B$7/Inputs!$B$11,0)</f>
        <v>0</v>
      </c>
      <c r="AI236" s="33" t="n">
        <f aca="false">IF(AND(Source_Data!AI$6&gt;=Inputs!$B$55,Source_Data!AI$6&lt;Inputs!$B$55+3*Inputs!$B$11),Inputs!$B$9*Inputs!$B$7/Inputs!$B$11,0)</f>
        <v>0</v>
      </c>
      <c r="AJ236" s="33" t="n">
        <f aca="false">IF(AND(Source_Data!AJ$6&gt;=Inputs!$B$55,Source_Data!AJ$6&lt;Inputs!$B$55+3*Inputs!$B$11),Inputs!$B$9*Inputs!$B$7/Inputs!$B$11,0)</f>
        <v>0</v>
      </c>
      <c r="AK236" s="33" t="n">
        <f aca="false">IF(AND(Source_Data!AK$6&gt;=Inputs!$B$55,Source_Data!AK$6&lt;Inputs!$B$55+3*Inputs!$B$11),Inputs!$B$9*Inputs!$B$7/Inputs!$B$11,0)</f>
        <v>0</v>
      </c>
      <c r="AL236" s="33" t="n">
        <f aca="false">IF(AND(Source_Data!AL$6&gt;=Inputs!$B$55,Source_Data!AL$6&lt;Inputs!$B$55+3*Inputs!$B$11),Inputs!$B$9*Inputs!$B$7/Inputs!$B$11,0)</f>
        <v>0</v>
      </c>
      <c r="AM236" s="33" t="n">
        <f aca="false">IF(AND(Source_Data!AM$6&gt;=Inputs!$B$55,Source_Data!AM$6&lt;Inputs!$B$55+3*Inputs!$B$11),Inputs!$B$9*Inputs!$B$7/Inputs!$B$11,0)</f>
        <v>0</v>
      </c>
      <c r="AN236" s="33" t="n">
        <f aca="false">IF(AND(Source_Data!AN$6&gt;=Inputs!$B$55,Source_Data!AN$6&lt;Inputs!$B$55+3*Inputs!$B$11),Inputs!$B$9*Inputs!$B$7/Inputs!$B$11,0)</f>
        <v>0</v>
      </c>
      <c r="AO236" s="33" t="n">
        <f aca="false">IF(AND(Source_Data!AO$6&gt;=Inputs!$B$55,Source_Data!AO$6&lt;Inputs!$B$55+3*Inputs!$B$11),Inputs!$B$9*Inputs!$B$7/Inputs!$B$11,0)</f>
        <v>0</v>
      </c>
      <c r="AP236" s="33" t="n">
        <f aca="false">IF(AND(Source_Data!AP$6&gt;=Inputs!$B$55,Source_Data!AP$6&lt;Inputs!$B$55+3*Inputs!$B$11),Inputs!$B$9*Inputs!$B$7/Inputs!$B$11,0)</f>
        <v>0</v>
      </c>
      <c r="AQ236" s="33" t="n">
        <f aca="false">IF(AND(Source_Data!AQ$6&gt;=Inputs!$B$55,Source_Data!AQ$6&lt;Inputs!$B$55+3*Inputs!$B$11),Inputs!$B$9*Inputs!$B$7/Inputs!$B$11,0)</f>
        <v>0</v>
      </c>
      <c r="AR236" s="33" t="n">
        <f aca="false">IF(AND(Source_Data!AR$6&gt;=Inputs!$B$55,Source_Data!AR$6&lt;Inputs!$B$55+3*Inputs!$B$11),Inputs!$B$9*Inputs!$B$7/Inputs!$B$11,0)</f>
        <v>0</v>
      </c>
      <c r="AS236" s="33" t="n">
        <f aca="false">IF(AND(Source_Data!AS$6&gt;=Inputs!$B$55,Source_Data!AS$6&lt;Inputs!$B$55+3*Inputs!$B$11),Inputs!$B$9*Inputs!$B$7/Inputs!$B$11,0)</f>
        <v>0</v>
      </c>
      <c r="AT236" s="33" t="n">
        <f aca="false">IF(AND(Source_Data!AT$6&gt;=Inputs!$B$55,Source_Data!AT$6&lt;Inputs!$B$55+3*Inputs!$B$11),Inputs!$B$9*Inputs!$B$7/Inputs!$B$11,0)</f>
        <v>0</v>
      </c>
      <c r="AU236" s="33" t="n">
        <f aca="false">IF(AND(Source_Data!AU$6&gt;=Inputs!$B$55,Source_Data!AU$6&lt;Inputs!$B$55+3*Inputs!$B$11),Inputs!$B$9*Inputs!$B$7/Inputs!$B$11,0)</f>
        <v>0</v>
      </c>
      <c r="AV236" s="33" t="n">
        <f aca="false">IF(AND(Source_Data!AV$6&gt;=Inputs!$B$55,Source_Data!AV$6&lt;Inputs!$B$55+3*Inputs!$B$11),Inputs!$B$9*Inputs!$B$7/Inputs!$B$11,0)</f>
        <v>0</v>
      </c>
      <c r="AW236" s="33" t="n">
        <f aca="false">IF(AND(Source_Data!AW$6&gt;=Inputs!$B$55,Source_Data!AW$6&lt;Inputs!$B$55+3*Inputs!$B$11),Inputs!$B$9*Inputs!$B$7/Inputs!$B$11,0)</f>
        <v>0</v>
      </c>
      <c r="AX236" s="33" t="n">
        <f aca="false">IF(AND(Source_Data!AX$6&gt;=Inputs!$B$55,Source_Data!AX$6&lt;Inputs!$B$55+3*Inputs!$B$11),Inputs!$B$9*Inputs!$B$7/Inputs!$B$11,0)</f>
        <v>0</v>
      </c>
      <c r="AY236" s="33" t="n">
        <f aca="false">IF(AND(Source_Data!AY$6&gt;=Inputs!$B$55,Source_Data!AY$6&lt;Inputs!$B$55+3*Inputs!$B$11),Inputs!$B$9*Inputs!$B$7/Inputs!$B$11,0)</f>
        <v>0</v>
      </c>
      <c r="AZ236" s="33" t="n">
        <f aca="false">IF(AND(Source_Data!AZ$6&gt;=Inputs!$B$55,Source_Data!AZ$6&lt;Inputs!$B$55+3*Inputs!$B$11),Inputs!$B$9*Inputs!$B$7/Inputs!$B$11,0)</f>
        <v>0</v>
      </c>
      <c r="BA236" s="33" t="n">
        <f aca="false">IF(AND(Source_Data!BA$6&gt;=Inputs!$B$55,Source_Data!BA$6&lt;Inputs!$B$55+3*Inputs!$B$11),Inputs!$B$9*Inputs!$B$7/Inputs!$B$11,0)</f>
        <v>0</v>
      </c>
      <c r="BB236" s="33" t="n">
        <f aca="false">IF(AND(Source_Data!BB$6&gt;=Inputs!$B$55,Source_Data!BB$6&lt;Inputs!$B$55+3*Inputs!$B$11),Inputs!$B$9*Inputs!$B$7/Inputs!$B$11,0)</f>
        <v>0</v>
      </c>
      <c r="BC236" s="33" t="n">
        <f aca="false">IF(AND(Source_Data!BC$6&gt;=Inputs!$B$55,Source_Data!BC$6&lt;Inputs!$B$55+3*Inputs!$B$11),Inputs!$B$9*Inputs!$B$7/Inputs!$B$11,0)</f>
        <v>0</v>
      </c>
      <c r="BD236" s="33" t="n">
        <f aca="false">IF(AND(Source_Data!BD$6&gt;=Inputs!$B$55,Source_Data!BD$6&lt;Inputs!$B$55+3*Inputs!$B$11),Inputs!$B$9*Inputs!$B$7/Inputs!$B$11,0)</f>
        <v>0</v>
      </c>
      <c r="BE236" s="33" t="n">
        <f aca="false">IF(AND(Source_Data!BE$6&gt;=Inputs!$B$55,Source_Data!BE$6&lt;Inputs!$B$55+3*Inputs!$B$11),Inputs!$B$9*Inputs!$B$7/Inputs!$B$11,0)</f>
        <v>0</v>
      </c>
      <c r="BF236" s="33" t="n">
        <f aca="false">IF(AND(Source_Data!BF$6&gt;=Inputs!$B$55,Source_Data!BF$6&lt;Inputs!$B$55+3*Inputs!$B$11),Inputs!$B$9*Inputs!$B$7/Inputs!$B$11,0)</f>
        <v>0</v>
      </c>
      <c r="BG236" s="33" t="n">
        <f aca="false">IF(AND(Source_Data!BG$6&gt;=Inputs!$B$55,Source_Data!BG$6&lt;Inputs!$B$55+3*Inputs!$B$11),Inputs!$B$9*Inputs!$B$7/Inputs!$B$11,0)</f>
        <v>0</v>
      </c>
      <c r="BH236" s="33" t="n">
        <f aca="false">IF(AND(Source_Data!BH$6&gt;=Inputs!$B$55,Source_Data!BH$6&lt;Inputs!$B$55+3*Inputs!$B$11),Inputs!$B$9*Inputs!$B$7/Inputs!$B$11,0)</f>
        <v>0</v>
      </c>
      <c r="BI236" s="33" t="n">
        <f aca="false">IF(AND(Source_Data!BI$6&gt;=Inputs!$B$55,Source_Data!BI$6&lt;Inputs!$B$55+3*Inputs!$B$11),Inputs!$B$9*Inputs!$B$7/Inputs!$B$11,0)</f>
        <v>0</v>
      </c>
      <c r="BJ236" s="33" t="n">
        <f aca="false">IF(AND(Source_Data!BJ$6&gt;=Inputs!$B$55,Source_Data!BJ$6&lt;Inputs!$B$55+3*Inputs!$B$11),Inputs!$B$9*Inputs!$B$7/Inputs!$B$11,0)</f>
        <v>0</v>
      </c>
      <c r="BK236" s="33" t="n">
        <f aca="false">IF(AND(Source_Data!BK$6&gt;=Inputs!$B$55,Source_Data!BK$6&lt;Inputs!$B$55+3*Inputs!$B$11),Inputs!$B$9*Inputs!$B$7/Inputs!$B$11,0)</f>
        <v>0</v>
      </c>
    </row>
    <row r="237" customFormat="false" ht="15" hidden="false" customHeight="false" outlineLevel="0" collapsed="false">
      <c r="A237" s="3" t="s">
        <v>343</v>
      </c>
      <c r="D237" s="33" t="n">
        <f aca="false">IF(Source_Data!D$6=Inputs!$B$13,-Inputs!$B$7,0)+D236</f>
        <v>-75</v>
      </c>
      <c r="E237" s="33" t="n">
        <f aca="false">IF(Source_Data!E$6=Inputs!$B$13,-Inputs!$B$7,0)+E236</f>
        <v>0</v>
      </c>
      <c r="F237" s="33" t="n">
        <f aca="false">IF(Source_Data!F$6=Inputs!$B$13,-Inputs!$B$7,0)+F236</f>
        <v>0</v>
      </c>
      <c r="G237" s="33" t="n">
        <f aca="false">IF(Source_Data!G$6=Inputs!$B$13,-Inputs!$B$7,0)+G236</f>
        <v>0</v>
      </c>
      <c r="H237" s="33" t="n">
        <f aca="false">IF(Source_Data!H$6=Inputs!$B$13,-Inputs!$B$7,0)+H236</f>
        <v>0</v>
      </c>
      <c r="I237" s="33" t="n">
        <f aca="false">IF(Source_Data!I$6=Inputs!$B$13,-Inputs!$B$7,0)+I236</f>
        <v>0</v>
      </c>
      <c r="J237" s="33" t="n">
        <f aca="false">IF(Source_Data!J$6=Inputs!$B$13,-Inputs!$B$7,0)+J236</f>
        <v>0</v>
      </c>
      <c r="K237" s="33" t="n">
        <f aca="false">IF(Source_Data!K$6=Inputs!$B$13,-Inputs!$B$7,0)+K236</f>
        <v>0</v>
      </c>
      <c r="L237" s="33" t="n">
        <f aca="false">IF(Source_Data!L$6=Inputs!$B$13,-Inputs!$B$7,0)+L236</f>
        <v>0</v>
      </c>
      <c r="M237" s="33" t="n">
        <f aca="false">IF(Source_Data!M$6=Inputs!$B$13,-Inputs!$B$7,0)+M236</f>
        <v>14.375</v>
      </c>
      <c r="N237" s="33" t="n">
        <f aca="false">IF(Source_Data!N$6=Inputs!$B$13,-Inputs!$B$7,0)+N236</f>
        <v>14.375</v>
      </c>
      <c r="O237" s="33" t="n">
        <f aca="false">IF(Source_Data!O$6=Inputs!$B$13,-Inputs!$B$7,0)+O236</f>
        <v>14.375</v>
      </c>
      <c r="P237" s="33" t="n">
        <f aca="false">IF(Source_Data!P$6=Inputs!$B$13,-Inputs!$B$7,0)+P236</f>
        <v>14.375</v>
      </c>
      <c r="Q237" s="33" t="n">
        <f aca="false">IF(Source_Data!Q$6=Inputs!$B$13,-Inputs!$B$7,0)+Q236</f>
        <v>14.375</v>
      </c>
      <c r="R237" s="33" t="n">
        <f aca="false">IF(Source_Data!R$6=Inputs!$B$13,-Inputs!$B$7,0)+R236</f>
        <v>14.375</v>
      </c>
      <c r="S237" s="33" t="n">
        <f aca="false">IF(Source_Data!S$6=Inputs!$B$13,-Inputs!$B$7,0)+S236</f>
        <v>14.375</v>
      </c>
      <c r="T237" s="33" t="n">
        <f aca="false">IF(Source_Data!T$6=Inputs!$B$13,-Inputs!$B$7,0)+T236</f>
        <v>14.375</v>
      </c>
      <c r="U237" s="33" t="n">
        <f aca="false">IF(Source_Data!U$6=Inputs!$B$13,-Inputs!$B$7,0)+U236</f>
        <v>14.375</v>
      </c>
      <c r="V237" s="33" t="n">
        <f aca="false">IF(Source_Data!V$6=Inputs!$B$13,-Inputs!$B$7,0)+V236</f>
        <v>14.375</v>
      </c>
      <c r="W237" s="33" t="n">
        <f aca="false">IF(Source_Data!W$6=Inputs!$B$13,-Inputs!$B$7,0)+W236</f>
        <v>14.375</v>
      </c>
      <c r="X237" s="33" t="n">
        <f aca="false">IF(Source_Data!X$6=Inputs!$B$13,-Inputs!$B$7,0)+X236</f>
        <v>14.375</v>
      </c>
      <c r="Y237" s="33" t="n">
        <f aca="false">IF(Source_Data!Y$6=Inputs!$B$13,-Inputs!$B$7,0)+Y236</f>
        <v>0</v>
      </c>
      <c r="Z237" s="33" t="n">
        <f aca="false">IF(Source_Data!Z$6=Inputs!$B$13,-Inputs!$B$7,0)+Z236</f>
        <v>0</v>
      </c>
      <c r="AA237" s="33" t="n">
        <f aca="false">IF(Source_Data!AA$6=Inputs!$B$13,-Inputs!$B$7,0)+AA236</f>
        <v>0</v>
      </c>
      <c r="AB237" s="33" t="n">
        <f aca="false">IF(Source_Data!AB$6=Inputs!$B$13,-Inputs!$B$7,0)+AB236</f>
        <v>0</v>
      </c>
      <c r="AC237" s="33" t="n">
        <f aca="false">IF(Source_Data!AC$6=Inputs!$B$13,-Inputs!$B$7,0)+AC236</f>
        <v>0</v>
      </c>
      <c r="AD237" s="33" t="n">
        <f aca="false">IF(Source_Data!AD$6=Inputs!$B$13,-Inputs!$B$7,0)+AD236</f>
        <v>0</v>
      </c>
      <c r="AE237" s="33" t="n">
        <f aca="false">IF(Source_Data!AE$6=Inputs!$B$13,-Inputs!$B$7,0)+AE236</f>
        <v>0</v>
      </c>
      <c r="AF237" s="33" t="n">
        <f aca="false">IF(Source_Data!AF$6=Inputs!$B$13,-Inputs!$B$7,0)+AF236</f>
        <v>0</v>
      </c>
      <c r="AG237" s="33" t="n">
        <f aca="false">IF(Source_Data!AG$6=Inputs!$B$13,-Inputs!$B$7,0)+AG236</f>
        <v>0</v>
      </c>
      <c r="AH237" s="33" t="n">
        <f aca="false">IF(Source_Data!AH$6=Inputs!$B$13,-Inputs!$B$7,0)+AH236</f>
        <v>0</v>
      </c>
      <c r="AI237" s="33" t="n">
        <f aca="false">IF(Source_Data!AI$6=Inputs!$B$13,-Inputs!$B$7,0)+AI236</f>
        <v>0</v>
      </c>
      <c r="AJ237" s="33" t="n">
        <f aca="false">IF(Source_Data!AJ$6=Inputs!$B$13,-Inputs!$B$7,0)+AJ236</f>
        <v>0</v>
      </c>
      <c r="AK237" s="33" t="n">
        <f aca="false">IF(Source_Data!AK$6=Inputs!$B$13,-Inputs!$B$7,0)+AK236</f>
        <v>0</v>
      </c>
      <c r="AL237" s="33" t="n">
        <f aca="false">IF(Source_Data!AL$6=Inputs!$B$13,-Inputs!$B$7,0)+AL236</f>
        <v>0</v>
      </c>
      <c r="AM237" s="33" t="n">
        <f aca="false">IF(Source_Data!AM$6=Inputs!$B$13,-Inputs!$B$7,0)+AM236</f>
        <v>0</v>
      </c>
      <c r="AN237" s="33" t="n">
        <f aca="false">IF(Source_Data!AN$6=Inputs!$B$13,-Inputs!$B$7,0)+AN236</f>
        <v>0</v>
      </c>
      <c r="AO237" s="33" t="n">
        <f aca="false">IF(Source_Data!AO$6=Inputs!$B$13,-Inputs!$B$7,0)+AO236</f>
        <v>0</v>
      </c>
      <c r="AP237" s="33" t="n">
        <f aca="false">IF(Source_Data!AP$6=Inputs!$B$13,-Inputs!$B$7,0)+AP236</f>
        <v>0</v>
      </c>
      <c r="AQ237" s="33" t="n">
        <f aca="false">IF(Source_Data!AQ$6=Inputs!$B$13,-Inputs!$B$7,0)+AQ236</f>
        <v>0</v>
      </c>
      <c r="AR237" s="33" t="n">
        <f aca="false">IF(Source_Data!AR$6=Inputs!$B$13,-Inputs!$B$7,0)+AR236</f>
        <v>0</v>
      </c>
      <c r="AS237" s="33" t="n">
        <f aca="false">IF(Source_Data!AS$6=Inputs!$B$13,-Inputs!$B$7,0)+AS236</f>
        <v>0</v>
      </c>
      <c r="AT237" s="33" t="n">
        <f aca="false">IF(Source_Data!AT$6=Inputs!$B$13,-Inputs!$B$7,0)+AT236</f>
        <v>0</v>
      </c>
      <c r="AU237" s="33" t="n">
        <f aca="false">IF(Source_Data!AU$6=Inputs!$B$13,-Inputs!$B$7,0)+AU236</f>
        <v>0</v>
      </c>
      <c r="AV237" s="33" t="n">
        <f aca="false">IF(Source_Data!AV$6=Inputs!$B$13,-Inputs!$B$7,0)+AV236</f>
        <v>0</v>
      </c>
      <c r="AW237" s="33" t="n">
        <f aca="false">IF(Source_Data!AW$6=Inputs!$B$13,-Inputs!$B$7,0)+AW236</f>
        <v>0</v>
      </c>
      <c r="AX237" s="33" t="n">
        <f aca="false">IF(Source_Data!AX$6=Inputs!$B$13,-Inputs!$B$7,0)+AX236</f>
        <v>0</v>
      </c>
      <c r="AY237" s="33" t="n">
        <f aca="false">IF(Source_Data!AY$6=Inputs!$B$13,-Inputs!$B$7,0)+AY236</f>
        <v>0</v>
      </c>
      <c r="AZ237" s="33" t="n">
        <f aca="false">IF(Source_Data!AZ$6=Inputs!$B$13,-Inputs!$B$7,0)+AZ236</f>
        <v>0</v>
      </c>
      <c r="BA237" s="33" t="n">
        <f aca="false">IF(Source_Data!BA$6=Inputs!$B$13,-Inputs!$B$7,0)+BA236</f>
        <v>0</v>
      </c>
      <c r="BB237" s="33" t="n">
        <f aca="false">IF(Source_Data!BB$6=Inputs!$B$13,-Inputs!$B$7,0)+BB236</f>
        <v>0</v>
      </c>
      <c r="BC237" s="33" t="n">
        <f aca="false">IF(Source_Data!BC$6=Inputs!$B$13,-Inputs!$B$7,0)+BC236</f>
        <v>0</v>
      </c>
      <c r="BD237" s="33" t="n">
        <f aca="false">IF(Source_Data!BD$6=Inputs!$B$13,-Inputs!$B$7,0)+BD236</f>
        <v>0</v>
      </c>
      <c r="BE237" s="33" t="n">
        <f aca="false">IF(Source_Data!BE$6=Inputs!$B$13,-Inputs!$B$7,0)+BE236</f>
        <v>0</v>
      </c>
      <c r="BF237" s="33" t="n">
        <f aca="false">IF(Source_Data!BF$6=Inputs!$B$13,-Inputs!$B$7,0)+BF236</f>
        <v>0</v>
      </c>
      <c r="BG237" s="33" t="n">
        <f aca="false">IF(Source_Data!BG$6=Inputs!$B$13,-Inputs!$B$7,0)+BG236</f>
        <v>0</v>
      </c>
      <c r="BH237" s="33" t="n">
        <f aca="false">IF(Source_Data!BH$6=Inputs!$B$13,-Inputs!$B$7,0)+BH236</f>
        <v>0</v>
      </c>
      <c r="BI237" s="33" t="n">
        <f aca="false">IF(Source_Data!BI$6=Inputs!$B$13,-Inputs!$B$7,0)+BI236</f>
        <v>0</v>
      </c>
      <c r="BJ237" s="33" t="n">
        <f aca="false">IF(Source_Data!BJ$6=Inputs!$B$13,-Inputs!$B$7,0)+BJ236</f>
        <v>0</v>
      </c>
      <c r="BK237" s="33" t="n">
        <f aca="false">IF(Source_Data!BK$6=Inputs!$B$13,-Inputs!$B$7,0)+BK236</f>
        <v>0</v>
      </c>
    </row>
    <row r="238" customFormat="false" ht="15" hidden="false" customHeight="false" outlineLevel="0" collapsed="false">
      <c r="A238" s="3" t="s">
        <v>344</v>
      </c>
      <c r="D238" s="33" t="n">
        <f aca="false">IF(Source_Data!D$6=Inputs!$B$13,Inputs!$B$7,0)+D233-D236</f>
        <v>-16.25</v>
      </c>
      <c r="E238" s="33" t="n">
        <f aca="false">D238+IF(Source_Data!E$6=Inputs!$B$13,Inputs!$B$7,0)+E233-E236</f>
        <v>-27.5</v>
      </c>
      <c r="F238" s="33" t="n">
        <f aca="false">E238+IF(Source_Data!F$6=Inputs!$B$13,Inputs!$B$7,0)+F233-F236</f>
        <v>-38.75</v>
      </c>
      <c r="G238" s="33" t="n">
        <f aca="false">F238+IF(Source_Data!G$6=Inputs!$B$13,Inputs!$B$7,0)+G233-G236</f>
        <v>-50</v>
      </c>
      <c r="H238" s="33" t="n">
        <f aca="false">G238+IF(Source_Data!H$6=Inputs!$B$13,Inputs!$B$7,0)+H233-H236</f>
        <v>-95.5</v>
      </c>
      <c r="I238" s="33" t="n">
        <f aca="false">H238+IF(Source_Data!I$6=Inputs!$B$13,Inputs!$B$7,0)+I233-I236</f>
        <v>-148.36</v>
      </c>
      <c r="J238" s="33" t="n">
        <f aca="false">I238+IF(Source_Data!J$6=Inputs!$B$13,Inputs!$B$7,0)+J233-J236</f>
        <v>-203.23468625</v>
      </c>
      <c r="K238" s="33" t="n">
        <f aca="false">J238+IF(Source_Data!K$6=Inputs!$B$13,Inputs!$B$7,0)+K233-K236</f>
        <v>-228.84405875</v>
      </c>
      <c r="L238" s="33" t="n">
        <f aca="false">K238+IF(Source_Data!L$6=Inputs!$B$13,Inputs!$B$7,0)+L233-L236</f>
        <v>-251.093253125</v>
      </c>
      <c r="M238" s="33" t="n">
        <f aca="false">L238+IF(Source_Data!M$6=Inputs!$B$13,Inputs!$B$7,0)+M233-M236</f>
        <v>-273.107269375</v>
      </c>
      <c r="N238" s="33" t="n">
        <f aca="false">M238+IF(Source_Data!N$6=Inputs!$B$13,Inputs!$B$7,0)+N233-N236</f>
        <v>-282.075390375</v>
      </c>
      <c r="O238" s="33" t="n">
        <f aca="false">N238+IF(Source_Data!O$6=Inputs!$B$13,Inputs!$B$7,0)+O233-O236</f>
        <v>-290.0464379375</v>
      </c>
      <c r="P238" s="33" t="n">
        <f aca="false">O238+IF(Source_Data!P$6=Inputs!$B$13,Inputs!$B$7,0)+P233-P236</f>
        <v>-423.69460834375</v>
      </c>
      <c r="Q238" s="33" t="n">
        <f aca="false">P238+IF(Source_Data!Q$6=Inputs!$B$13,Inputs!$B$7,0)+Q233-Q236</f>
        <v>-536.89870359375</v>
      </c>
      <c r="R238" s="33" t="n">
        <f aca="false">Q238+IF(Source_Data!R$6=Inputs!$B$13,Inputs!$B$7,0)+R233-R236</f>
        <v>-676.23583759375</v>
      </c>
      <c r="S238" s="33" t="n">
        <f aca="false">R238+IF(Source_Data!S$6=Inputs!$B$13,Inputs!$B$7,0)+S233-S236</f>
        <v>-755.01147159375</v>
      </c>
      <c r="T238" s="33" t="n">
        <f aca="false">S238+IF(Source_Data!T$6=Inputs!$B$13,Inputs!$B$7,0)+T233-T236</f>
        <v>-733.73503259375</v>
      </c>
      <c r="U238" s="33" t="n">
        <f aca="false">T238+IF(Source_Data!U$6=Inputs!$B$13,Inputs!$B$7,0)+U233-U236</f>
        <v>-737.26578071875</v>
      </c>
      <c r="V238" s="33" t="n">
        <f aca="false">U238+IF(Source_Data!V$6=Inputs!$B$13,Inputs!$B$7,0)+V233-V236</f>
        <v>-740.79652884375</v>
      </c>
      <c r="W238" s="33" t="n">
        <f aca="false">V238+IF(Source_Data!W$6=Inputs!$B$13,Inputs!$B$7,0)+W233-W236</f>
        <v>-302.40723678125</v>
      </c>
      <c r="X238" s="33" t="n">
        <f aca="false">W238+IF(Source_Data!X$6=Inputs!$B$13,Inputs!$B$7,0)+X233-X236</f>
        <v>-284.1782610625</v>
      </c>
      <c r="Y238" s="33" t="n">
        <f aca="false">X238+IF(Source_Data!Y$6=Inputs!$B$13,Inputs!$B$7,0)+Y233-Y236</f>
        <v>-252.93681671875</v>
      </c>
      <c r="Z238" s="33" t="n">
        <f aca="false">Y238+IF(Source_Data!Z$6=Inputs!$B$13,Inputs!$B$7,0)+Z233-Z236</f>
        <v>-227.0852665</v>
      </c>
      <c r="AA238" s="33" t="n">
        <f aca="false">Z238+IF(Source_Data!AA$6=Inputs!$B$13,Inputs!$B$7,0)+AA233-AA236</f>
        <v>-205.14061628125</v>
      </c>
      <c r="AB238" s="33" t="n">
        <f aca="false">AA238+IF(Source_Data!AB$6=Inputs!$B$13,Inputs!$B$7,0)+AB233-AB236</f>
        <v>-160.6959660625</v>
      </c>
      <c r="AC238" s="33" t="n">
        <f aca="false">AB238+IF(Source_Data!AC$6=Inputs!$B$13,Inputs!$B$7,0)+AC233-AC236</f>
        <v>-122.80351271875</v>
      </c>
      <c r="AD238" s="33" t="n">
        <f aca="false">AC238+IF(Source_Data!AD$6=Inputs!$B$13,Inputs!$B$7,0)+AD233-AD236</f>
        <v>-84.911059375</v>
      </c>
      <c r="AE238" s="33" t="n">
        <f aca="false">AD238+IF(Source_Data!AE$6=Inputs!$B$13,Inputs!$B$7,0)+AE233-AE236</f>
        <v>-47.01860603125</v>
      </c>
      <c r="AF238" s="33" t="n">
        <f aca="false">AE238+IF(Source_Data!AF$6=Inputs!$B$13,Inputs!$B$7,0)+AF233-AF236</f>
        <v>-64.8898274453603</v>
      </c>
      <c r="AG238" s="33" t="n">
        <f aca="false">AF238+IF(Source_Data!AG$6=Inputs!$B$13,Inputs!$B$7,0)+AG233-AG236</f>
        <v>-40.3046639958145</v>
      </c>
      <c r="AH238" s="33" t="n">
        <f aca="false">AG238+IF(Source_Data!AH$6=Inputs!$B$13,Inputs!$B$7,0)+AH233-AH236</f>
        <v>-18.9671111712687</v>
      </c>
      <c r="AI238" s="33" t="n">
        <f aca="false">AH238+IF(Source_Data!AI$6=Inputs!$B$13,Inputs!$B$7,0)+AI233-AI236</f>
        <v>-1.53645834672283</v>
      </c>
      <c r="AJ238" s="33" t="n">
        <f aca="false">AI238+IF(Source_Data!AJ$6=Inputs!$B$13,Inputs!$B$7,0)+AJ233-AJ236</f>
        <v>15.894194477823</v>
      </c>
      <c r="AK238" s="33" t="n">
        <f aca="false">AJ238+IF(Source_Data!AK$6=Inputs!$B$13,Inputs!$B$7,0)+AK233-AK236</f>
        <v>33.7731310288701</v>
      </c>
      <c r="AL238" s="33" t="n">
        <f aca="false">AK238+IF(Source_Data!AL$6=Inputs!$B$13,Inputs!$B$7,0)+AL233-AL236</f>
        <v>51.6520675799171</v>
      </c>
      <c r="AM238" s="33" t="n">
        <f aca="false">AL238+IF(Source_Data!AM$6=Inputs!$B$13,Inputs!$B$7,0)+AM233-AM236</f>
        <v>70.3859916441172</v>
      </c>
      <c r="AN238" s="33" t="n">
        <f aca="false">AM238+IF(Source_Data!AN$6=Inputs!$B$13,Inputs!$B$7,0)+AN233-AN236</f>
        <v>90.9904561273454</v>
      </c>
      <c r="AO238" s="33" t="n">
        <f aca="false">AN238+IF(Source_Data!AO$6=Inputs!$B$13,Inputs!$B$7,0)+AO233-AO236</f>
        <v>110.87220475</v>
      </c>
      <c r="AP238" s="33" t="n">
        <f aca="false">AO238+IF(Source_Data!AP$6=Inputs!$B$13,Inputs!$B$7,0)+AP233-AP236</f>
        <v>131.4867998125</v>
      </c>
      <c r="AQ238" s="33" t="n">
        <f aca="false">AP238+IF(Source_Data!AQ$6=Inputs!$B$13,Inputs!$B$7,0)+AQ233-AQ236</f>
        <v>148.35239875</v>
      </c>
      <c r="AR238" s="33" t="n">
        <f aca="false">AQ238+IF(Source_Data!AR$6=Inputs!$B$13,Inputs!$B$7,0)+AR233-AR236</f>
        <v>157.0159495</v>
      </c>
      <c r="AS238" s="33" t="n">
        <f aca="false">AR238+IF(Source_Data!AS$6=Inputs!$B$13,Inputs!$B$7,0)+AS233-AS236</f>
        <v>160.22937475</v>
      </c>
      <c r="AT238" s="33" t="n">
        <f aca="false">AS238+IF(Source_Data!AT$6=Inputs!$B$13,Inputs!$B$7,0)+AT233-AT236</f>
        <v>160.22937475</v>
      </c>
      <c r="AU238" s="33" t="n">
        <f aca="false">AT238+IF(Source_Data!AU$6=Inputs!$B$13,Inputs!$B$7,0)+AU233-AU236</f>
        <v>160.22937475</v>
      </c>
      <c r="AV238" s="33" t="n">
        <f aca="false">AU238+IF(Source_Data!AV$6=Inputs!$B$13,Inputs!$B$7,0)+AV233-AV236</f>
        <v>160.22937475</v>
      </c>
      <c r="AW238" s="33" t="n">
        <f aca="false">AV238+IF(Source_Data!AW$6=Inputs!$B$13,Inputs!$B$7,0)+AW233-AW236</f>
        <v>160.22937475</v>
      </c>
      <c r="AX238" s="33" t="n">
        <f aca="false">AW238+IF(Source_Data!AX$6=Inputs!$B$13,Inputs!$B$7,0)+AX233-AX236</f>
        <v>160.22937475</v>
      </c>
      <c r="AY238" s="33" t="n">
        <f aca="false">AX238+IF(Source_Data!AY$6=Inputs!$B$13,Inputs!$B$7,0)+AY233-AY236</f>
        <v>160.22937475</v>
      </c>
      <c r="AZ238" s="33" t="n">
        <f aca="false">AY238+IF(Source_Data!AZ$6=Inputs!$B$13,Inputs!$B$7,0)+AZ233-AZ236</f>
        <v>160.22937475</v>
      </c>
      <c r="BA238" s="33" t="n">
        <f aca="false">AZ238+IF(Source_Data!BA$6=Inputs!$B$13,Inputs!$B$7,0)+BA233-BA236</f>
        <v>160.22937475</v>
      </c>
      <c r="BB238" s="33" t="n">
        <f aca="false">BA238+IF(Source_Data!BB$6=Inputs!$B$13,Inputs!$B$7,0)+BB233-BB236</f>
        <v>160.22937475</v>
      </c>
      <c r="BC238" s="33" t="n">
        <f aca="false">BB238+IF(Source_Data!BC$6=Inputs!$B$13,Inputs!$B$7,0)+BC233-BC236</f>
        <v>160.22937475</v>
      </c>
      <c r="BD238" s="33" t="n">
        <f aca="false">BC238+IF(Source_Data!BD$6=Inputs!$B$13,Inputs!$B$7,0)+BD233-BD236</f>
        <v>160.22937475</v>
      </c>
      <c r="BE238" s="33" t="n">
        <f aca="false">BD238+IF(Source_Data!BE$6=Inputs!$B$13,Inputs!$B$7,0)+BE233-BE236</f>
        <v>160.22937475</v>
      </c>
      <c r="BF238" s="33" t="n">
        <f aca="false">BE238+IF(Source_Data!BF$6=Inputs!$B$13,Inputs!$B$7,0)+BF233-BF236</f>
        <v>160.22937475</v>
      </c>
      <c r="BG238" s="33" t="n">
        <f aca="false">BF238+IF(Source_Data!BG$6=Inputs!$B$13,Inputs!$B$7,0)+BG233-BG236</f>
        <v>160.22937475</v>
      </c>
      <c r="BH238" s="33" t="n">
        <f aca="false">BG238+IF(Source_Data!BH$6=Inputs!$B$13,Inputs!$B$7,0)+BH233-BH236</f>
        <v>160.22937475</v>
      </c>
      <c r="BI238" s="33" t="n">
        <f aca="false">BH238+IF(Source_Data!BI$6=Inputs!$B$13,Inputs!$B$7,0)+BI233-BI236</f>
        <v>160.22937475</v>
      </c>
      <c r="BJ238" s="33" t="n">
        <f aca="false">BI238+IF(Source_Data!BJ$6=Inputs!$B$13,Inputs!$B$7,0)+BJ233-BJ236</f>
        <v>160.22937475</v>
      </c>
      <c r="BK238" s="33" t="n">
        <f aca="false">BJ238+IF(Source_Data!BK$6=Inputs!$B$13,Inputs!$B$7,0)+BK233-BK236</f>
        <v>160.22937475</v>
      </c>
    </row>
    <row r="239" customFormat="false" ht="15" hidden="false" customHeight="false" outlineLevel="0" collapsed="false">
      <c r="A239" s="3" t="s">
        <v>345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-0.531409826086956</v>
      </c>
      <c r="N239" s="31" t="n">
        <f aca="false">IF(N236&gt;0,N233/N236,"")</f>
        <v>0.376130713043478</v>
      </c>
      <c r="O239" s="31" t="n">
        <f aca="false">IF(O236&gt;0,O233/O236,"")</f>
        <v>0.445492343478261</v>
      </c>
      <c r="P239" s="31" t="n">
        <f aca="false">IF(P236&gt;0,P233/P236,"")</f>
        <v>-8.29726402826087</v>
      </c>
      <c r="Q239" s="31" t="n">
        <f aca="false">IF(Q236&gt;0,Q233/Q236,"")</f>
        <v>-6.87506749565217</v>
      </c>
      <c r="R239" s="31" t="n">
        <f aca="false">IF(R236&gt;0,R233/R236,"")</f>
        <v>-8.6930180173913</v>
      </c>
      <c r="S239" s="31" t="n">
        <f aca="false">IF(S236&gt;0,S233/S236,"")</f>
        <v>-4.48004410434783</v>
      </c>
      <c r="T239" s="31" t="n">
        <f aca="false">IF(T236&gt;0,T233/T236,"")</f>
        <v>2.48010010434783</v>
      </c>
      <c r="U239" s="31" t="n">
        <f aca="false">IF(U236&gt;0,U233/U236,"")</f>
        <v>0.754382739130435</v>
      </c>
      <c r="V239" s="31" t="n">
        <f aca="false">IF(V236&gt;0,V233/V236,"")</f>
        <v>0.754382739130435</v>
      </c>
      <c r="W239" s="31" t="n">
        <f aca="false">IF(W236&gt;0,W233/W236,"")</f>
        <v>31.4966464043478</v>
      </c>
      <c r="X239" s="31" t="n">
        <f aca="false">IF(X236&gt;0,X233/X236,"")</f>
        <v>2.26810265869565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346</v>
      </c>
      <c r="D240" s="31" t="str">
        <f aca="false">IF(D236&gt;0,(0+D233+IF(Source_Data!D$6=Inputs!$B$13,Inputs!$B$7,0))/D236,"")</f>
        <v/>
      </c>
      <c r="E240" s="31" t="str">
        <f aca="false">IF(E236&gt;0,(D238+E233+IF(Source_Data!E$6=Inputs!$B$13,Inputs!$B$7,0))/E236,"")</f>
        <v/>
      </c>
      <c r="F240" s="31" t="str">
        <f aca="false">IF(F236&gt;0,(E238+F233+IF(Source_Data!F$6=Inputs!$B$13,Inputs!$B$7,0))/F236,"")</f>
        <v/>
      </c>
      <c r="G240" s="31" t="str">
        <f aca="false">IF(G236&gt;0,(F238+G233+IF(Source_Data!G$6=Inputs!$B$13,Inputs!$B$7,0))/G236,"")</f>
        <v/>
      </c>
      <c r="H240" s="31" t="str">
        <f aca="false">IF(H236&gt;0,(G238+H233+IF(Source_Data!H$6=Inputs!$B$13,Inputs!$B$7,0))/H236,"")</f>
        <v/>
      </c>
      <c r="I240" s="31" t="str">
        <f aca="false">IF(I236&gt;0,(H238+I233+IF(Source_Data!I$6=Inputs!$B$13,Inputs!$B$7,0))/I236,"")</f>
        <v/>
      </c>
      <c r="J240" s="31" t="str">
        <f aca="false">IF(J236&gt;0,(I238+J233+IF(Source_Data!J$6=Inputs!$B$13,Inputs!$B$7,0))/J236,"")</f>
        <v/>
      </c>
      <c r="K240" s="31" t="str">
        <f aca="false">IF(K236&gt;0,(J238+K233+IF(Source_Data!K$6=Inputs!$B$13,Inputs!$B$7,0))/K236,"")</f>
        <v/>
      </c>
      <c r="L240" s="31" t="str">
        <f aca="false">IF(L236&gt;0,(K238+L233+IF(Source_Data!L$6=Inputs!$B$13,Inputs!$B$7,0))/L236,"")</f>
        <v/>
      </c>
      <c r="M240" s="31" t="n">
        <f aca="false">IF(M236&gt;0,(L238+M233+IF(Source_Data!M$6=Inputs!$B$13,Inputs!$B$7,0))/M236,"")</f>
        <v>-17.9987665652174</v>
      </c>
      <c r="N240" s="31" t="n">
        <f aca="false">IF(N236&gt;0,(M238+N233+IF(Source_Data!N$6=Inputs!$B$13,Inputs!$B$7,0))/N236,"")</f>
        <v>-18.6226358521739</v>
      </c>
      <c r="O240" s="31" t="n">
        <f aca="false">IF(O236&gt;0,(N238+O233+IF(Source_Data!O$6=Inputs!$B$13,Inputs!$B$7,0))/O236,"")</f>
        <v>-19.1771435086957</v>
      </c>
      <c r="P240" s="31" t="n">
        <f aca="false">IF(P236&gt;0,(O238+P233+IF(Source_Data!P$6=Inputs!$B$13,Inputs!$B$7,0))/P236,"")</f>
        <v>-28.4744075369565</v>
      </c>
      <c r="Q240" s="31" t="n">
        <f aca="false">IF(Q236&gt;0,(P238+Q233+IF(Source_Data!Q$6=Inputs!$B$13,Inputs!$B$7,0))/Q236,"")</f>
        <v>-36.3494750326087</v>
      </c>
      <c r="R240" s="31" t="n">
        <f aca="false">IF(R236&gt;0,(Q238+R233+IF(Source_Data!R$6=Inputs!$B$13,Inputs!$B$7,0))/R236,"")</f>
        <v>-46.04249305</v>
      </c>
      <c r="S240" s="31" t="n">
        <f aca="false">IF(S236&gt;0,(R238+S233+IF(Source_Data!S$6=Inputs!$B$13,Inputs!$B$7,0))/S236,"")</f>
        <v>-51.5225371543478</v>
      </c>
      <c r="T240" s="31" t="n">
        <f aca="false">IF(T236&gt;0,(S238+T233+IF(Source_Data!T$6=Inputs!$B$13,Inputs!$B$7,0))/T236,"")</f>
        <v>-50.04243705</v>
      </c>
      <c r="U240" s="31" t="n">
        <f aca="false">IF(U236&gt;0,(T238+U233+IF(Source_Data!U$6=Inputs!$B$13,Inputs!$B$7,0))/U236,"")</f>
        <v>-50.2880543108696</v>
      </c>
      <c r="V240" s="31" t="n">
        <f aca="false">IF(V236&gt;0,(U238+V233+IF(Source_Data!V$6=Inputs!$B$13,Inputs!$B$7,0))/V236,"")</f>
        <v>-50.5336715717391</v>
      </c>
      <c r="W240" s="31" t="n">
        <f aca="false">IF(W236&gt;0,(V238+W233+IF(Source_Data!W$6=Inputs!$B$13,Inputs!$B$7,0))/W236,"")</f>
        <v>-20.0370251673913</v>
      </c>
      <c r="X240" s="31" t="n">
        <f aca="false">IF(X236&gt;0,(W238+X233+IF(Source_Data!X$6=Inputs!$B$13,Inputs!$B$7,0))/X236,"")</f>
        <v>-18.7689225086957</v>
      </c>
      <c r="Y240" s="31" t="str">
        <f aca="false">IF(Y236&gt;0,(X238+Y233+IF(Source_Data!Y$6=Inputs!$B$13,Inputs!$B$7,0))/Y236,"")</f>
        <v/>
      </c>
      <c r="Z240" s="31" t="str">
        <f aca="false">IF(Z236&gt;0,(Y238+Z233+IF(Source_Data!Z$6=Inputs!$B$13,Inputs!$B$7,0))/Z236,"")</f>
        <v/>
      </c>
      <c r="AA240" s="31" t="str">
        <f aca="false">IF(AA236&gt;0,(Z238+AA233+IF(Source_Data!AA$6=Inputs!$B$13,Inputs!$B$7,0))/AA236,"")</f>
        <v/>
      </c>
      <c r="AB240" s="31" t="str">
        <f aca="false">IF(AB236&gt;0,(AA238+AB233+IF(Source_Data!AB$6=Inputs!$B$13,Inputs!$B$7,0))/AB236,"")</f>
        <v/>
      </c>
      <c r="AC240" s="31" t="str">
        <f aca="false">IF(AC236&gt;0,(AB238+AC233+IF(Source_Data!AC$6=Inputs!$B$13,Inputs!$B$7,0))/AC236,"")</f>
        <v/>
      </c>
      <c r="AD240" s="31" t="str">
        <f aca="false">IF(AD236&gt;0,(AC238+AD233+IF(Source_Data!AD$6=Inputs!$B$13,Inputs!$B$7,0))/AD236,"")</f>
        <v/>
      </c>
      <c r="AE240" s="31" t="str">
        <f aca="false">IF(AE236&gt;0,(AD238+AE233+IF(Source_Data!AE$6=Inputs!$B$13,Inputs!$B$7,0))/AE236,"")</f>
        <v/>
      </c>
      <c r="AF240" s="31" t="str">
        <f aca="false">IF(AF236&gt;0,(AE238+AF233+IF(Source_Data!AF$6=Inputs!$B$13,Inputs!$B$7,0))/AF236,"")</f>
        <v/>
      </c>
      <c r="AG240" s="31" t="str">
        <f aca="false">IF(AG236&gt;0,(AF238+AG233+IF(Source_Data!AG$6=Inputs!$B$13,Inputs!$B$7,0))/AG236,"")</f>
        <v/>
      </c>
      <c r="AH240" s="31" t="str">
        <f aca="false">IF(AH236&gt;0,(AG238+AH233+IF(Source_Data!AH$6=Inputs!$B$13,Inputs!$B$7,0))/AH236,"")</f>
        <v/>
      </c>
      <c r="AI240" s="31" t="str">
        <f aca="false">IF(AI236&gt;0,(AH238+AI233+IF(Source_Data!AI$6=Inputs!$B$13,Inputs!$B$7,0))/AI236,"")</f>
        <v/>
      </c>
      <c r="AJ240" s="31" t="str">
        <f aca="false">IF(AJ236&gt;0,(AI238+AJ233+IF(Source_Data!AJ$6=Inputs!$B$13,Inputs!$B$7,0))/AJ236,"")</f>
        <v/>
      </c>
      <c r="AK240" s="31" t="str">
        <f aca="false">IF(AK236&gt;0,(AJ238+AK233+IF(Source_Data!AK$6=Inputs!$B$13,Inputs!$B$7,0))/AK236,"")</f>
        <v/>
      </c>
      <c r="AL240" s="31" t="str">
        <f aca="false">IF(AL236&gt;0,(AK238+AL233+IF(Source_Data!AL$6=Inputs!$B$13,Inputs!$B$7,0))/AL236,"")</f>
        <v/>
      </c>
      <c r="AM240" s="31" t="str">
        <f aca="false">IF(AM236&gt;0,(AL238+AM233+IF(Source_Data!AM$6=Inputs!$B$13,Inputs!$B$7,0))/AM236,"")</f>
        <v/>
      </c>
      <c r="AN240" s="31" t="str">
        <f aca="false">IF(AN236&gt;0,(AM238+AN233+IF(Source_Data!AN$6=Inputs!$B$13,Inputs!$B$7,0))/AN236,"")</f>
        <v/>
      </c>
      <c r="AO240" s="31" t="str">
        <f aca="false">IF(AO236&gt;0,(AN238+AO233+IF(Source_Data!AO$6=Inputs!$B$13,Inputs!$B$7,0))/AO236,"")</f>
        <v/>
      </c>
      <c r="AP240" s="31" t="str">
        <f aca="false">IF(AP236&gt;0,(AO238+AP233+IF(Source_Data!AP$6=Inputs!$B$13,Inputs!$B$7,0))/AP236,"")</f>
        <v/>
      </c>
      <c r="AQ240" s="31" t="str">
        <f aca="false">IF(AQ236&gt;0,(AP238+AQ233+IF(Source_Data!AQ$6=Inputs!$B$13,Inputs!$B$7,0))/AQ236,"")</f>
        <v/>
      </c>
      <c r="AR240" s="31" t="str">
        <f aca="false">IF(AR236&gt;0,(AQ238+AR233+IF(Source_Data!AR$6=Inputs!$B$13,Inputs!$B$7,0))/AR236,"")</f>
        <v/>
      </c>
      <c r="AS240" s="31" t="str">
        <f aca="false">IF(AS236&gt;0,(AR238+AS233+IF(Source_Data!AS$6=Inputs!$B$13,Inputs!$B$7,0))/AS236,"")</f>
        <v/>
      </c>
      <c r="AT240" s="31" t="str">
        <f aca="false">IF(AT236&gt;0,(AS238+AT233+IF(Source_Data!AT$6=Inputs!$B$13,Inputs!$B$7,0))/AT236,"")</f>
        <v/>
      </c>
      <c r="AU240" s="31" t="str">
        <f aca="false">IF(AU236&gt;0,(AT238+AU233+IF(Source_Data!AU$6=Inputs!$B$13,Inputs!$B$7,0))/AU236,"")</f>
        <v/>
      </c>
      <c r="AV240" s="31" t="str">
        <f aca="false">IF(AV236&gt;0,(AU238+AV233+IF(Source_Data!AV$6=Inputs!$B$13,Inputs!$B$7,0))/AV236,"")</f>
        <v/>
      </c>
      <c r="AW240" s="31" t="str">
        <f aca="false">IF(AW236&gt;0,(AV238+AW233+IF(Source_Data!AW$6=Inputs!$B$13,Inputs!$B$7,0))/AW236,"")</f>
        <v/>
      </c>
      <c r="AX240" s="31" t="str">
        <f aca="false">IF(AX236&gt;0,(AW238+AX233+IF(Source_Data!AX$6=Inputs!$B$13,Inputs!$B$7,0))/AX236,"")</f>
        <v/>
      </c>
      <c r="AY240" s="31" t="str">
        <f aca="false">IF(AY236&gt;0,(AX238+AY233+IF(Source_Data!AY$6=Inputs!$B$13,Inputs!$B$7,0))/AY236,"")</f>
        <v/>
      </c>
      <c r="AZ240" s="31" t="str">
        <f aca="false">IF(AZ236&gt;0,(AY238+AZ233+IF(Source_Data!AZ$6=Inputs!$B$13,Inputs!$B$7,0))/AZ236,"")</f>
        <v/>
      </c>
      <c r="BA240" s="31" t="str">
        <f aca="false">IF(BA236&gt;0,(AZ238+BA233+IF(Source_Data!BA$6=Inputs!$B$13,Inputs!$B$7,0))/BA236,"")</f>
        <v/>
      </c>
      <c r="BB240" s="31" t="str">
        <f aca="false">IF(BB236&gt;0,(BA238+BB233+IF(Source_Data!BB$6=Inputs!$B$13,Inputs!$B$7,0))/BB236,"")</f>
        <v/>
      </c>
      <c r="BC240" s="31" t="str">
        <f aca="false">IF(BC236&gt;0,(BB238+BC233+IF(Source_Data!BC$6=Inputs!$B$13,Inputs!$B$7,0))/BC236,"")</f>
        <v/>
      </c>
      <c r="BD240" s="31" t="str">
        <f aca="false">IF(BD236&gt;0,(BC238+BD233+IF(Source_Data!BD$6=Inputs!$B$13,Inputs!$B$7,0))/BD236,"")</f>
        <v/>
      </c>
      <c r="BE240" s="31" t="str">
        <f aca="false">IF(BE236&gt;0,(BD238+BE233+IF(Source_Data!BE$6=Inputs!$B$13,Inputs!$B$7,0))/BE236,"")</f>
        <v/>
      </c>
      <c r="BF240" s="31" t="str">
        <f aca="false">IF(BF236&gt;0,(BE238+BF233+IF(Source_Data!BF$6=Inputs!$B$13,Inputs!$B$7,0))/BF236,"")</f>
        <v/>
      </c>
      <c r="BG240" s="31" t="str">
        <f aca="false">IF(BG236&gt;0,(BF238+BG233+IF(Source_Data!BG$6=Inputs!$B$13,Inputs!$B$7,0))/BG236,"")</f>
        <v/>
      </c>
      <c r="BH240" s="31" t="str">
        <f aca="false">IF(BH236&gt;0,(BG238+BH233+IF(Source_Data!BH$6=Inputs!$B$13,Inputs!$B$7,0))/BH236,"")</f>
        <v/>
      </c>
      <c r="BI240" s="31" t="str">
        <f aca="false">IF(BI236&gt;0,(BH238+BI233+IF(Source_Data!BI$6=Inputs!$B$13,Inputs!$B$7,0))/BI236,"")</f>
        <v/>
      </c>
      <c r="BJ240" s="31" t="str">
        <f aca="false">IF(BJ236&gt;0,(BI238+BJ233+IF(Source_Data!BJ$6=Inputs!$B$13,Inputs!$B$7,0))/BJ236,"")</f>
        <v/>
      </c>
      <c r="BK240" s="31" t="str">
        <f aca="false">IF(BK236&gt;0,(BJ238+BK233+IF(Source_Data!BK$6=Inputs!$B$13,Inputs!$B$7,0))/BK236,"")</f>
        <v/>
      </c>
    </row>
    <row r="242" customFormat="false" ht="15" hidden="false" customHeight="false" outlineLevel="0" collapsed="false">
      <c r="A242" s="2" t="s">
        <v>222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347</v>
      </c>
      <c r="B243" s="41" t="n">
        <f aca="false">SUMPRODUCT(D233:BK233,Project_CF!$D$15:$BK$15)</f>
        <v>-86.4298257979639</v>
      </c>
    </row>
    <row r="244" customFormat="false" ht="15" hidden="false" customHeight="false" outlineLevel="0" collapsed="false">
      <c r="A244" s="2" t="s">
        <v>164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348</v>
      </c>
      <c r="B245" s="35" t="n">
        <f aca="false">INDEX(Project_CF!$D$6:$BK$6,MATCH(MIN(D234:BK234),D234:BK234,0))</f>
        <v>42</v>
      </c>
    </row>
    <row r="246" customFormat="false" ht="15" hidden="false" customHeight="false" outlineLevel="0" collapsed="false">
      <c r="A246" s="2" t="s">
        <v>349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350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351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352</v>
      </c>
      <c r="B249" s="41" t="n">
        <f aca="false">MIN(D238:BK238)</f>
        <v>-755.01147159375</v>
      </c>
    </row>
    <row r="250" customFormat="false" ht="15" hidden="false" customHeight="false" outlineLevel="0" collapsed="false">
      <c r="A250" s="2" t="s">
        <v>353</v>
      </c>
      <c r="B250" s="43" t="n">
        <f aca="false">MIN(D239:BK239)</f>
        <v>-8.6930180173913</v>
      </c>
    </row>
    <row r="251" customFormat="false" ht="15" hidden="false" customHeight="false" outlineLevel="0" collapsed="false">
      <c r="A251" s="2" t="s">
        <v>354</v>
      </c>
      <c r="B251" s="35" t="n">
        <f aca="false">COUNTIF(D239:BK239,"&lt;"&amp;Inputs!$B$44)</f>
        <v>9</v>
      </c>
    </row>
    <row r="252" customFormat="false" ht="15" hidden="false" customHeight="false" outlineLevel="0" collapsed="false">
      <c r="A252" s="2" t="s">
        <v>355</v>
      </c>
      <c r="B252" s="43" t="n">
        <f aca="false">MIN(D240:BK240)</f>
        <v>-51.5225371543478</v>
      </c>
    </row>
    <row r="253" customFormat="false" ht="15" hidden="false" customHeight="false" outlineLevel="0" collapsed="false">
      <c r="A253" s="2" t="s">
        <v>356</v>
      </c>
      <c r="B253" s="35" t="n">
        <f aca="false">COUNTIF(D240:BK240,"&lt;"&amp;Inputs!$B$44)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357</v>
      </c>
    </row>
    <row r="2" customFormat="false" ht="15" hidden="false" customHeight="false" outlineLevel="0" collapsed="false">
      <c r="A2" s="6" t="s">
        <v>358</v>
      </c>
    </row>
    <row r="4" customFormat="false" ht="15" hidden="false" customHeight="false" outlineLevel="0" collapsed="false">
      <c r="A4" s="8" t="s">
        <v>359</v>
      </c>
    </row>
    <row r="5" customFormat="false" ht="15" hidden="false" customHeight="false" outlineLevel="0" collapsed="false">
      <c r="A5" s="3" t="s">
        <v>333</v>
      </c>
      <c r="B5" s="45" t="n">
        <v>0.8</v>
      </c>
    </row>
    <row r="6" customFormat="false" ht="15" hidden="false" customHeight="false" outlineLevel="0" collapsed="false">
      <c r="A6" s="3" t="s">
        <v>334</v>
      </c>
      <c r="B6" s="45" t="n">
        <v>0</v>
      </c>
    </row>
    <row r="7" customFormat="false" ht="15" hidden="false" customHeight="false" outlineLevel="0" collapsed="false">
      <c r="A7" s="3" t="s">
        <v>335</v>
      </c>
      <c r="B7" s="45" t="n">
        <v>1</v>
      </c>
    </row>
    <row r="8" customFormat="false" ht="15" hidden="false" customHeight="false" outlineLevel="0" collapsed="false">
      <c r="A8" s="3" t="s">
        <v>336</v>
      </c>
      <c r="B8" s="45" t="n">
        <v>0</v>
      </c>
    </row>
    <row r="9" customFormat="false" ht="15" hidden="false" customHeight="false" outlineLevel="0" collapsed="false">
      <c r="A9" s="3" t="s">
        <v>337</v>
      </c>
      <c r="B9" s="45" t="n">
        <v>0</v>
      </c>
    </row>
    <row r="10" customFormat="false" ht="15" hidden="false" customHeight="false" outlineLevel="0" collapsed="false">
      <c r="A10" s="3" t="s">
        <v>338</v>
      </c>
      <c r="B10" s="3" t="n">
        <f aca="false">Inputs!$B$14+3+3*$B$6</f>
        <v>45</v>
      </c>
    </row>
    <row r="11" customFormat="false" ht="15" hidden="false" customHeight="false" outlineLevel="0" collapsed="false">
      <c r="A11" s="3" t="s">
        <v>339</v>
      </c>
      <c r="D11" s="33" t="n">
        <f aca="false">Source_Data!D$7+IF($B$9=1,IF(Source_Data!D$6=Inputs!$B$14,Source_Data!$C$8,0),Source_Data!D$8)</f>
        <v>0</v>
      </c>
      <c r="E11" s="33" t="n">
        <f aca="false">Source_Data!E$7+IF($B$9=1,IF(Source_Data!E$6=Inputs!$B$14,Source_Data!$C$8,0),Source_Data!E$8)</f>
        <v>0</v>
      </c>
      <c r="F11" s="33" t="n">
        <f aca="false">Source_Data!F$7+IF($B$9=1,IF(Source_Data!F$6=Inputs!$B$14,Source_Data!$C$8,0),Source_Data!F$8)</f>
        <v>15.1392375</v>
      </c>
      <c r="G11" s="33" t="n">
        <f aca="false">Source_Data!G$7+IF($B$9=1,IF(Source_Data!G$6=Inputs!$B$14,Source_Data!$C$8,0),Source_Data!G$8)</f>
        <v>30.278475</v>
      </c>
      <c r="H11" s="33" t="n">
        <f aca="false">Source_Data!H$7+IF($B$9=1,IF(Source_Data!H$6=Inputs!$B$14,Source_Data!$C$8,0),Source_Data!H$8)</f>
        <v>46.51200625</v>
      </c>
      <c r="I11" s="33" t="n">
        <f aca="false">Source_Data!I$7+IF($B$9=1,IF(Source_Data!I$6=Inputs!$B$14,Source_Data!$C$8,0),Source_Data!I$8)</f>
        <v>62.7455375</v>
      </c>
      <c r="J11" s="33" t="n">
        <f aca="false">Source_Data!J$7+IF($B$9=1,IF(Source_Data!J$6=Inputs!$B$14,Source_Data!$C$8,0),Source_Data!J$8)</f>
        <v>62.3657</v>
      </c>
      <c r="K11" s="33" t="n">
        <f aca="false">Source_Data!K$7+IF($B$9=1,IF(Source_Data!K$6=Inputs!$B$14,Source_Data!$C$8,0),Source_Data!K$8)</f>
        <v>63.473559375</v>
      </c>
      <c r="L11" s="33" t="n">
        <f aca="false">Source_Data!L$7+IF($B$9=1,IF(Source_Data!L$6=Inputs!$B$14,Source_Data!$C$8,0),Source_Data!L$8)</f>
        <v>80.3288484375</v>
      </c>
      <c r="M11" s="33" t="n">
        <f aca="false">Source_Data!M$7+IF($B$9=1,IF(Source_Data!M$6=Inputs!$B$14,Source_Data!$C$8,0),Source_Data!M$8)</f>
        <v>495.2538375</v>
      </c>
      <c r="N11" s="33" t="n">
        <f aca="false">Source_Data!N$7+IF($B$9=1,IF(Source_Data!N$6=Inputs!$B$14,Source_Data!$C$8,0),Source_Data!N$8)</f>
        <v>185.57775</v>
      </c>
      <c r="O11" s="33" t="n">
        <f aca="false">Source_Data!O$7+IF($B$9=1,IF(Source_Data!O$6=Inputs!$B$14,Source_Data!$C$8,0),Source_Data!O$8)</f>
        <v>176.534</v>
      </c>
      <c r="P11" s="33" t="n">
        <f aca="false">Source_Data!P$7+IF($B$9=1,IF(Source_Data!P$6=Inputs!$B$14,Source_Data!$C$8,0),Source_Data!P$8)</f>
        <v>97.31075</v>
      </c>
      <c r="Q11" s="33" t="n">
        <f aca="false">Source_Data!Q$7+IF($B$9=1,IF(Source_Data!Q$6=Inputs!$B$14,Source_Data!$C$8,0),Source_Data!Q$8)</f>
        <v>71.30996875</v>
      </c>
      <c r="R11" s="33" t="n">
        <f aca="false">Source_Data!R$7+IF($B$9=1,IF(Source_Data!R$6=Inputs!$B$14,Source_Data!$C$8,0),Source_Data!R$8)</f>
        <v>71.30996875</v>
      </c>
      <c r="S11" s="33" t="n">
        <f aca="false">Source_Data!S$7+IF($B$9=1,IF(Source_Data!S$6=Inputs!$B$14,Source_Data!$C$8,0),Source_Data!S$8)</f>
        <v>68.037035625</v>
      </c>
      <c r="T11" s="33" t="n">
        <f aca="false">Source_Data!T$7+IF($B$9=1,IF(Source_Data!T$6=Inputs!$B$14,Source_Data!$C$8,0),Source_Data!T$8)</f>
        <v>61.2266396875</v>
      </c>
      <c r="U11" s="33" t="n">
        <f aca="false">Source_Data!U$7+IF($B$9=1,IF(Source_Data!U$6=Inputs!$B$14,Source_Data!$C$8,0),Source_Data!U$8)</f>
        <v>59.7127159375</v>
      </c>
      <c r="V11" s="33" t="n">
        <f aca="false">Source_Data!V$7+IF($B$9=1,IF(Source_Data!V$6=Inputs!$B$14,Source_Data!$C$8,0),Source_Data!V$8)</f>
        <v>53.7239446875</v>
      </c>
      <c r="W11" s="33" t="n">
        <f aca="false">Source_Data!W$7+IF($B$9=1,IF(Source_Data!W$6=Inputs!$B$14,Source_Data!$C$8,0),Source_Data!W$8)</f>
        <v>49.3829446875</v>
      </c>
      <c r="X11" s="33" t="n">
        <f aca="false">Source_Data!X$7+IF($B$9=1,IF(Source_Data!X$6=Inputs!$B$14,Source_Data!$C$8,0),Source_Data!X$8)</f>
        <v>49.3829446875</v>
      </c>
      <c r="Y11" s="33" t="n">
        <f aca="false">Source_Data!Y$7+IF($B$9=1,IF(Source_Data!Y$6=Inputs!$B$14,Source_Data!$C$8,0),Source_Data!Y$8)</f>
        <v>42.1027259375</v>
      </c>
      <c r="Z11" s="33" t="n">
        <f aca="false">Source_Data!Z$7+IF($B$9=1,IF(Source_Data!Z$6=Inputs!$B$14,Source_Data!$C$8,0),Source_Data!Z$8)</f>
        <v>42.1027259375</v>
      </c>
      <c r="AA11" s="33" t="n">
        <f aca="false">Source_Data!AA$7+IF($B$9=1,IF(Source_Data!AA$6=Inputs!$B$14,Source_Data!$C$8,0),Source_Data!AA$8)</f>
        <v>42.1027259375</v>
      </c>
      <c r="AB11" s="33" t="n">
        <f aca="false">Source_Data!AB$7+IF($B$9=1,IF(Source_Data!AB$6=Inputs!$B$14,Source_Data!$C$8,0),Source_Data!AB$8)</f>
        <v>36.3147259375</v>
      </c>
      <c r="AC11" s="33" t="n">
        <f aca="false">Source_Data!AC$7+IF($B$9=1,IF(Source_Data!AC$6=Inputs!$B$14,Source_Data!$C$8,0),Source_Data!AC$8)</f>
        <v>33.0386275</v>
      </c>
      <c r="AD11" s="33" t="n">
        <f aca="false">Source_Data!AD$7+IF($B$9=1,IF(Source_Data!AD$6=Inputs!$B$14,Source_Data!$C$8,0),Source_Data!AD$8)</f>
        <v>29.43017125</v>
      </c>
      <c r="AE11" s="33" t="n">
        <f aca="false">Source_Data!AE$7+IF($B$9=1,IF(Source_Data!AE$6=Inputs!$B$14,Source_Data!$C$8,0),Source_Data!AE$8)</f>
        <v>25.08917125</v>
      </c>
      <c r="AF11" s="33" t="n">
        <f aca="false">Source_Data!AF$7+IF($B$9=1,IF(Source_Data!AF$6=Inputs!$B$14,Source_Data!$C$8,0),Source_Data!AF$8)</f>
        <v>25.08917125</v>
      </c>
      <c r="AG11" s="33" t="n">
        <f aca="false">Source_Data!AG$7+IF($B$9=1,IF(Source_Data!AG$6=Inputs!$B$14,Source_Data!$C$8,0),Source_Data!AG$8)</f>
        <v>25.08917125</v>
      </c>
      <c r="AH11" s="33" t="n">
        <f aca="false">Source_Data!AH$7+IF($B$9=1,IF(Source_Data!AH$6=Inputs!$B$14,Source_Data!$C$8,0),Source_Data!AH$8)</f>
        <v>25.08917125</v>
      </c>
      <c r="AI11" s="33" t="n">
        <f aca="false">Source_Data!AI$7+IF($B$9=1,IF(Source_Data!AI$6=Inputs!$B$14,Source_Data!$C$8,0),Source_Data!AI$8)</f>
        <v>25.08917125</v>
      </c>
      <c r="AJ11" s="33" t="n">
        <f aca="false">Source_Data!AJ$7+IF($B$9=1,IF(Source_Data!AJ$6=Inputs!$B$14,Source_Data!$C$8,0),Source_Data!AJ$8)</f>
        <v>25.08917125</v>
      </c>
      <c r="AK11" s="33" t="n">
        <f aca="false">Source_Data!AK$7+IF($B$9=1,IF(Source_Data!AK$6=Inputs!$B$14,Source_Data!$C$8,0),Source_Data!AK$8)</f>
        <v>22.905105625</v>
      </c>
      <c r="AL11" s="33" t="n">
        <f aca="false">Source_Data!AL$7+IF($B$9=1,IF(Source_Data!AL$6=Inputs!$B$14,Source_Data!$C$8,0),Source_Data!AL$8)</f>
        <v>22.905105625</v>
      </c>
      <c r="AM11" s="33" t="n">
        <f aca="false">Source_Data!AM$7+IF($B$9=1,IF(Source_Data!AM$6=Inputs!$B$14,Source_Data!$C$8,0),Source_Data!AM$8)</f>
        <v>18.739554375</v>
      </c>
      <c r="AN11" s="33" t="n">
        <f aca="false">Source_Data!AN$7+IF($B$9=1,IF(Source_Data!AN$6=Inputs!$B$14,Source_Data!$C$8,0),Source_Data!AN$8)</f>
        <v>9.6261675</v>
      </c>
      <c r="AO11" s="33" t="n">
        <f aca="false">Source_Data!AO$7+IF($B$9=1,IF(Source_Data!AO$6=Inputs!$B$14,Source_Data!$C$8,0),Source_Data!AO$8)</f>
        <v>3.5704725</v>
      </c>
      <c r="AP11" s="33" t="n">
        <f aca="false">Source_Data!AP$7+IF($B$9=1,IF(Source_Data!AP$6=Inputs!$B$14,Source_Data!$C$8,0),Source_Data!AP$8)</f>
        <v>0</v>
      </c>
      <c r="AQ11" s="33" t="n">
        <f aca="false">Source_Data!AQ$7+IF($B$9=1,IF(Source_Data!AQ$6=Inputs!$B$14,Source_Data!$C$8,0),Source_Data!AQ$8)</f>
        <v>0</v>
      </c>
      <c r="AR11" s="33" t="n">
        <f aca="false">Source_Data!AR$7+IF($B$9=1,IF(Source_Data!AR$6=Inputs!$B$14,Source_Data!$C$8,0),Source_Data!AR$8)</f>
        <v>0</v>
      </c>
      <c r="AS11" s="33" t="n">
        <f aca="false">Source_Data!AS$7+IF($B$9=1,IF(Source_Data!AS$6=Inputs!$B$14,Source_Data!$C$8,0),Source_Data!AS$8)</f>
        <v>0</v>
      </c>
      <c r="AT11" s="33" t="n">
        <f aca="false">Source_Data!AT$7+IF($B$9=1,IF(Source_Data!AT$6=Inputs!$B$14,Source_Data!$C$8,0),Source_Data!AT$8)</f>
        <v>0</v>
      </c>
      <c r="AU11" s="33" t="n">
        <f aca="false">Source_Data!AU$7+IF($B$9=1,IF(Source_Data!AU$6=Inputs!$B$14,Source_Data!$C$8,0),Source_Data!AU$8)</f>
        <v>0</v>
      </c>
      <c r="AV11" s="33" t="n">
        <f aca="false">Source_Data!AV$7+IF($B$9=1,IF(Source_Data!AV$6=Inputs!$B$14,Source_Data!$C$8,0),Source_Data!AV$8)</f>
        <v>0</v>
      </c>
      <c r="AW11" s="33" t="n">
        <f aca="false">Source_Data!AW$7+IF($B$9=1,IF(Source_Data!AW$6=Inputs!$B$14,Source_Data!$C$8,0),Source_Data!AW$8)</f>
        <v>0</v>
      </c>
      <c r="AX11" s="33" t="n">
        <f aca="false">Source_Data!AX$7+IF($B$9=1,IF(Source_Data!AX$6=Inputs!$B$14,Source_Data!$C$8,0),Source_Data!AX$8)</f>
        <v>0</v>
      </c>
      <c r="AY11" s="33" t="n">
        <f aca="false">Source_Data!AY$7+IF($B$9=1,IF(Source_Data!AY$6=Inputs!$B$14,Source_Data!$C$8,0),Source_Data!AY$8)</f>
        <v>0</v>
      </c>
      <c r="AZ11" s="33" t="n">
        <f aca="false">Source_Data!AZ$7+IF($B$9=1,IF(Source_Data!AZ$6=Inputs!$B$14,Source_Data!$C$8,0),Source_Data!AZ$8)</f>
        <v>0</v>
      </c>
      <c r="BA11" s="33" t="n">
        <f aca="false">Source_Data!BA$7+IF($B$9=1,IF(Source_Data!BA$6=Inputs!$B$14,Source_Data!$C$8,0),Source_Data!BA$8)</f>
        <v>0</v>
      </c>
      <c r="BB11" s="33" t="n">
        <f aca="false">Source_Data!BB$7+IF($B$9=1,IF(Source_Data!BB$6=Inputs!$B$14,Source_Data!$C$8,0),Source_Data!BB$8)</f>
        <v>0</v>
      </c>
      <c r="BC11" s="33" t="n">
        <f aca="false">Source_Data!BC$7+IF($B$9=1,IF(Source_Data!BC$6=Inputs!$B$14,Source_Data!$C$8,0),Source_Data!BC$8)</f>
        <v>0</v>
      </c>
      <c r="BD11" s="33" t="n">
        <f aca="false">Source_Data!BD$7+IF($B$9=1,IF(Source_Data!BD$6=Inputs!$B$14,Source_Data!$C$8,0),Source_Data!BD$8)</f>
        <v>0</v>
      </c>
      <c r="BE11" s="33" t="n">
        <f aca="false">Source_Data!BE$7+IF($B$9=1,IF(Source_Data!BE$6=Inputs!$B$14,Source_Data!$C$8,0),Source_Data!BE$8)</f>
        <v>0</v>
      </c>
      <c r="BF11" s="33" t="n">
        <f aca="false">Source_Data!BF$7+IF($B$9=1,IF(Source_Data!BF$6=Inputs!$B$14,Source_Data!$C$8,0),Source_Data!BF$8)</f>
        <v>0</v>
      </c>
      <c r="BG11" s="33" t="n">
        <f aca="false">Source_Data!BG$7+IF($B$9=1,IF(Source_Data!BG$6=Inputs!$B$14,Source_Data!$C$8,0),Source_Data!BG$8)</f>
        <v>0</v>
      </c>
      <c r="BH11" s="33" t="n">
        <f aca="false">Source_Data!BH$7+IF($B$9=1,IF(Source_Data!BH$6=Inputs!$B$14,Source_Data!$C$8,0),Source_Data!BH$8)</f>
        <v>0</v>
      </c>
      <c r="BI11" s="33" t="n">
        <f aca="false">Source_Data!BI$7+IF($B$9=1,IF(Source_Data!BI$6=Inputs!$B$14,Source_Data!$C$8,0),Source_Data!BI$8)</f>
        <v>0</v>
      </c>
      <c r="BJ11" s="33" t="n">
        <f aca="false">Source_Data!BJ$7+IF($B$9=1,IF(Source_Data!BJ$6=Inputs!$B$14,Source_Data!$C$8,0),Source_Data!BJ$8)</f>
        <v>0</v>
      </c>
      <c r="BK11" s="33" t="n">
        <f aca="false">Source_Data!BK$7+IF($B$9=1,IF(Source_Data!BK$6=Inputs!$B$14,Source_Data!$C$8,0),Source_Data!BK$8)</f>
        <v>0</v>
      </c>
    </row>
    <row r="12" customFormat="false" ht="15" hidden="false" customHeight="false" outlineLevel="0" collapsed="false">
      <c r="A12" s="3" t="s">
        <v>215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340</v>
      </c>
      <c r="D13" s="33" t="n">
        <f aca="false">Source_Data!D$9+Source_Data!D$10*IF(Source_Data!$C$10=0,0,MAX(0,Inputs!$B$20*Inputs!$B$23*$B$5-Inputs!$B$21)/Source_Data!$C$10)</f>
        <v>91.25</v>
      </c>
      <c r="E13" s="33" t="n">
        <f aca="false">Source_Data!E$9+Source_Data!E$10*IF(Source_Data!$C$10=0,0,MAX(0,Inputs!$B$20*Inputs!$B$23*$B$5-Inputs!$B$21)/Source_Data!$C$10)</f>
        <v>11.25</v>
      </c>
      <c r="F13" s="33" t="n">
        <f aca="false">Source_Data!F$9+Source_Data!F$10*IF(Source_Data!$C$10=0,0,MAX(0,Inputs!$B$20*Inputs!$B$23*$B$5-Inputs!$B$21)/Source_Data!$C$10)</f>
        <v>11.25</v>
      </c>
      <c r="G13" s="33" t="n">
        <f aca="false">Source_Data!G$9+Source_Data!G$10*IF(Source_Data!$C$10=0,0,MAX(0,Inputs!$B$20*Inputs!$B$23*$B$5-Inputs!$B$21)/Source_Data!$C$10)</f>
        <v>11.25</v>
      </c>
      <c r="H13" s="33" t="n">
        <f aca="false">Source_Data!H$9+Source_Data!H$10*IF(Source_Data!$C$10=0,0,MAX(0,Inputs!$B$20*Inputs!$B$23*$B$5-Inputs!$B$21)/Source_Data!$C$10)</f>
        <v>22.5</v>
      </c>
      <c r="I13" s="33" t="n">
        <f aca="false">Source_Data!I$9+Source_Data!I$10*IF(Source_Data!$C$10=0,0,MAX(0,Inputs!$B$20*Inputs!$B$23*$B$5-Inputs!$B$21)/Source_Data!$C$10)</f>
        <v>22.5</v>
      </c>
      <c r="J13" s="33" t="n">
        <f aca="false">Source_Data!J$9+Source_Data!J$10*IF(Source_Data!$C$10=0,0,MAX(0,Inputs!$B$20*Inputs!$B$23*$B$5-Inputs!$B$21)/Source_Data!$C$10)</f>
        <v>22.5</v>
      </c>
      <c r="K13" s="33" t="n">
        <f aca="false">Source_Data!K$9+Source_Data!K$10*IF(Source_Data!$C$10=0,0,MAX(0,Inputs!$B$20*Inputs!$B$23*$B$5-Inputs!$B$21)/Source_Data!$C$10)</f>
        <v>22.5</v>
      </c>
      <c r="L13" s="33" t="n">
        <f aca="false">Source_Data!L$9+Source_Data!L$10*IF(Source_Data!$C$10=0,0,MAX(0,Inputs!$B$20*Inputs!$B$23*$B$5-Inputs!$B$21)/Source_Data!$C$10)</f>
        <v>33.75</v>
      </c>
      <c r="M13" s="33" t="n">
        <f aca="false">Source_Data!M$9+Source_Data!M$10*IF(Source_Data!$C$10=0,0,MAX(0,Inputs!$B$20*Inputs!$B$23*$B$5-Inputs!$B$21)/Source_Data!$C$10)</f>
        <v>33.75</v>
      </c>
      <c r="N13" s="33" t="n">
        <f aca="false">Source_Data!N$9+Source_Data!N$10*IF(Source_Data!$C$10=0,0,MAX(0,Inputs!$B$20*Inputs!$B$23*$B$5-Inputs!$B$21)/Source_Data!$C$10)</f>
        <v>33.75</v>
      </c>
      <c r="O13" s="33" t="n">
        <f aca="false">Source_Data!O$9+Source_Data!O$10*IF(Source_Data!$C$10=0,0,MAX(0,Inputs!$B$20*Inputs!$B$23*$B$5-Inputs!$B$21)/Source_Data!$C$10)</f>
        <v>33.75</v>
      </c>
      <c r="P13" s="33" t="n">
        <f aca="false">Source_Data!P$9+Source_Data!P$10*IF(Source_Data!$C$10=0,0,MAX(0,Inputs!$B$20*Inputs!$B$23*$B$5-Inputs!$B$21)/Source_Data!$C$10)</f>
        <v>45</v>
      </c>
      <c r="Q13" s="33" t="n">
        <f aca="false">Source_Data!Q$9+Source_Data!Q$10*IF(Source_Data!$C$10=0,0,MAX(0,Inputs!$B$20*Inputs!$B$23*$B$5-Inputs!$B$21)/Source_Data!$C$10)</f>
        <v>45</v>
      </c>
      <c r="R13" s="33" t="n">
        <f aca="false">Source_Data!R$9+Source_Data!R$10*IF(Source_Data!$C$10=0,0,MAX(0,Inputs!$B$20*Inputs!$B$23*$B$5-Inputs!$B$21)/Source_Data!$C$10)</f>
        <v>45</v>
      </c>
      <c r="S13" s="33" t="n">
        <f aca="false">Source_Data!S$9+Source_Data!S$10*IF(Source_Data!$C$10=0,0,MAX(0,Inputs!$B$20*Inputs!$B$23*$B$5-Inputs!$B$21)/Source_Data!$C$10)</f>
        <v>45</v>
      </c>
      <c r="T13" s="33" t="n">
        <f aca="false">Source_Data!T$9+Source_Data!T$10*IF(Source_Data!$C$10=0,0,MAX(0,Inputs!$B$20*Inputs!$B$23*$B$5-Inputs!$B$21)/Source_Data!$C$10)</f>
        <v>45</v>
      </c>
      <c r="U13" s="33" t="n">
        <f aca="false">Source_Data!U$9+Source_Data!U$10*IF(Source_Data!$C$10=0,0,MAX(0,Inputs!$B$20*Inputs!$B$23*$B$5-Inputs!$B$21)/Source_Data!$C$10)</f>
        <v>45</v>
      </c>
      <c r="V13" s="33" t="n">
        <f aca="false">Source_Data!V$9+Source_Data!V$10*IF(Source_Data!$C$10=0,0,MAX(0,Inputs!$B$20*Inputs!$B$23*$B$5-Inputs!$B$21)/Source_Data!$C$10)</f>
        <v>45</v>
      </c>
      <c r="W13" s="33" t="n">
        <f aca="false">Source_Data!W$9+Source_Data!W$10*IF(Source_Data!$C$10=0,0,MAX(0,Inputs!$B$20*Inputs!$B$23*$B$5-Inputs!$B$21)/Source_Data!$C$10)</f>
        <v>45</v>
      </c>
      <c r="X13" s="33" t="n">
        <f aca="false">Source_Data!X$9+Source_Data!X$10*IF(Source_Data!$C$10=0,0,MAX(0,Inputs!$B$20*Inputs!$B$23*$B$5-Inputs!$B$21)/Source_Data!$C$10)</f>
        <v>22.5</v>
      </c>
      <c r="Y13" s="33" t="n">
        <f aca="false">Source_Data!Y$9+Source_Data!Y$10*IF(Source_Data!$C$10=0,0,MAX(0,Inputs!$B$20*Inputs!$B$23*$B$5-Inputs!$B$21)/Source_Data!$C$10)</f>
        <v>22.5</v>
      </c>
      <c r="Z13" s="33" t="n">
        <f aca="false">Source_Data!Z$9+Source_Data!Z$10*IF(Source_Data!$C$10=0,0,MAX(0,Inputs!$B$20*Inputs!$B$23*$B$5-Inputs!$B$21)/Source_Data!$C$10)</f>
        <v>22.5</v>
      </c>
      <c r="AA13" s="33" t="n">
        <f aca="false">Source_Data!AA$9+Source_Data!AA$10*IF(Source_Data!$C$10=0,0,MAX(0,Inputs!$B$20*Inputs!$B$23*$B$5-Inputs!$B$21)/Source_Data!$C$10)</f>
        <v>22.5</v>
      </c>
      <c r="AB13" s="33" t="n">
        <f aca="false">Source_Data!AB$9+Source_Data!AB$10*IF(Source_Data!$C$10=0,0,MAX(0,Inputs!$B$20*Inputs!$B$23*$B$5-Inputs!$B$21)/Source_Data!$C$10)</f>
        <v>0</v>
      </c>
      <c r="AC13" s="33" t="n">
        <f aca="false">Source_Data!AC$9+Source_Data!AC$10*IF(Source_Data!$C$10=0,0,MAX(0,Inputs!$B$20*Inputs!$B$23*$B$5-Inputs!$B$21)/Source_Data!$C$10)</f>
        <v>0</v>
      </c>
      <c r="AD13" s="33" t="n">
        <f aca="false">Source_Data!AD$9+Source_Data!AD$10*IF(Source_Data!$C$10=0,0,MAX(0,Inputs!$B$20*Inputs!$B$23*$B$5-Inputs!$B$21)/Source_Data!$C$10)</f>
        <v>0</v>
      </c>
      <c r="AE13" s="33" t="n">
        <f aca="false">Source_Data!AE$9+Source_Data!AE$10*IF(Source_Data!$C$10=0,0,MAX(0,Inputs!$B$20*Inputs!$B$23*$B$5-Inputs!$B$21)/Source_Data!$C$10)</f>
        <v>0</v>
      </c>
      <c r="AF13" s="33" t="n">
        <f aca="false">Source_Data!AF$9+Source_Data!AF$10*IF(Source_Data!$C$10=0,0,MAX(0,Inputs!$B$20*Inputs!$B$23*$B$5-Inputs!$B$21)/Source_Data!$C$10)</f>
        <v>0</v>
      </c>
      <c r="AG13" s="33" t="n">
        <f aca="false">Source_Data!AG$9+Source_Data!AG$10*IF(Source_Data!$C$10=0,0,MAX(0,Inputs!$B$20*Inputs!$B$23*$B$5-Inputs!$B$21)/Source_Data!$C$10)</f>
        <v>0</v>
      </c>
      <c r="AH13" s="33" t="n">
        <f aca="false">Source_Data!AH$9+Source_Data!AH$10*IF(Source_Data!$C$10=0,0,MAX(0,Inputs!$B$20*Inputs!$B$23*$B$5-Inputs!$B$21)/Source_Data!$C$10)</f>
        <v>0</v>
      </c>
      <c r="AI13" s="33" t="n">
        <f aca="false">Source_Data!AI$9+Source_Data!AI$10*IF(Source_Data!$C$10=0,0,MAX(0,Inputs!$B$20*Inputs!$B$23*$B$5-Inputs!$B$21)/Source_Data!$C$10)</f>
        <v>0</v>
      </c>
      <c r="AJ13" s="33" t="n">
        <f aca="false">Source_Data!AJ$9+Source_Data!AJ$10*IF(Source_Data!$C$10=0,0,MAX(0,Inputs!$B$20*Inputs!$B$23*$B$5-Inputs!$B$21)/Source_Data!$C$10)</f>
        <v>0</v>
      </c>
      <c r="AK13" s="33" t="n">
        <f aca="false">Source_Data!AK$9+Source_Data!AK$10*IF(Source_Data!$C$10=0,0,MAX(0,Inputs!$B$20*Inputs!$B$23*$B$5-Inputs!$B$21)/Source_Data!$C$10)</f>
        <v>0</v>
      </c>
      <c r="AL13" s="33" t="n">
        <f aca="false">Source_Data!AL$9+Source_Data!AL$10*IF(Source_Data!$C$10=0,0,MAX(0,Inputs!$B$20*Inputs!$B$23*$B$5-Inputs!$B$21)/Source_Data!$C$10)</f>
        <v>0</v>
      </c>
      <c r="AM13" s="33" t="n">
        <f aca="false">Source_Data!AM$9+Source_Data!AM$10*IF(Source_Data!$C$10=0,0,MAX(0,Inputs!$B$20*Inputs!$B$23*$B$5-Inputs!$B$21)/Source_Data!$C$10)</f>
        <v>0</v>
      </c>
      <c r="AN13" s="33" t="n">
        <f aca="false">Source_Data!AN$9+Source_Data!AN$10*IF(Source_Data!$C$10=0,0,MAX(0,Inputs!$B$20*Inputs!$B$23*$B$5-Inputs!$B$21)/Source_Data!$C$10)</f>
        <v>0</v>
      </c>
      <c r="AO13" s="33" t="n">
        <f aca="false">Source_Data!AO$9+Source_Data!AO$10*IF(Source_Data!$C$10=0,0,MAX(0,Inputs!$B$20*Inputs!$B$23*$B$5-Inputs!$B$21)/Source_Data!$C$10)</f>
        <v>0</v>
      </c>
      <c r="AP13" s="33" t="n">
        <f aca="false">Source_Data!AP$9+Source_Data!AP$10*IF(Source_Data!$C$10=0,0,MAX(0,Inputs!$B$20*Inputs!$B$23*$B$5-Inputs!$B$21)/Source_Data!$C$10)</f>
        <v>0</v>
      </c>
      <c r="AQ13" s="33" t="n">
        <f aca="false">Source_Data!AQ$9+Source_Data!AQ$10*IF(Source_Data!$C$10=0,0,MAX(0,Inputs!$B$20*Inputs!$B$23*$B$5-Inputs!$B$21)/Source_Data!$C$10)</f>
        <v>0</v>
      </c>
      <c r="AR13" s="33" t="n">
        <f aca="false">Source_Data!AR$9+Source_Data!AR$10*IF(Source_Data!$C$10=0,0,MAX(0,Inputs!$B$20*Inputs!$B$23*$B$5-Inputs!$B$21)/Source_Data!$C$10)</f>
        <v>0</v>
      </c>
      <c r="AS13" s="33" t="n">
        <f aca="false">Source_Data!AS$9+Source_Data!AS$10*IF(Source_Data!$C$10=0,0,MAX(0,Inputs!$B$20*Inputs!$B$23*$B$5-Inputs!$B$21)/Source_Data!$C$10)</f>
        <v>0</v>
      </c>
      <c r="AT13" s="33" t="n">
        <f aca="false">Source_Data!AT$9+Source_Data!AT$10*IF(Source_Data!$C$10=0,0,MAX(0,Inputs!$B$20*Inputs!$B$23*$B$5-Inputs!$B$21)/Source_Data!$C$10)</f>
        <v>0</v>
      </c>
      <c r="AU13" s="33" t="n">
        <f aca="false">Source_Data!AU$9+Source_Data!AU$10*IF(Source_Data!$C$10=0,0,MAX(0,Inputs!$B$20*Inputs!$B$23*$B$5-Inputs!$B$21)/Source_Data!$C$10)</f>
        <v>0</v>
      </c>
      <c r="AV13" s="33" t="n">
        <f aca="false">Source_Data!AV$9+Source_Data!AV$10*IF(Source_Data!$C$10=0,0,MAX(0,Inputs!$B$20*Inputs!$B$23*$B$5-Inputs!$B$21)/Source_Data!$C$10)</f>
        <v>0</v>
      </c>
      <c r="AW13" s="33" t="n">
        <f aca="false">Source_Data!AW$9+Source_Data!AW$10*IF(Source_Data!$C$10=0,0,MAX(0,Inputs!$B$20*Inputs!$B$23*$B$5-Inputs!$B$21)/Source_Data!$C$10)</f>
        <v>0</v>
      </c>
      <c r="AX13" s="33" t="n">
        <f aca="false">Source_Data!AX$9+Source_Data!AX$10*IF(Source_Data!$C$10=0,0,MAX(0,Inputs!$B$20*Inputs!$B$23*$B$5-Inputs!$B$21)/Source_Data!$C$10)</f>
        <v>0</v>
      </c>
      <c r="AY13" s="33" t="n">
        <f aca="false">Source_Data!AY$9+Source_Data!AY$10*IF(Source_Data!$C$10=0,0,MAX(0,Inputs!$B$20*Inputs!$B$23*$B$5-Inputs!$B$21)/Source_Data!$C$10)</f>
        <v>0</v>
      </c>
      <c r="AZ13" s="33" t="n">
        <f aca="false">Source_Data!AZ$9+Source_Data!AZ$10*IF(Source_Data!$C$10=0,0,MAX(0,Inputs!$B$20*Inputs!$B$23*$B$5-Inputs!$B$21)/Source_Data!$C$10)</f>
        <v>0</v>
      </c>
      <c r="BA13" s="33" t="n">
        <f aca="false">Source_Data!BA$9+Source_Data!BA$10*IF(Source_Data!$C$10=0,0,MAX(0,Inputs!$B$20*Inputs!$B$23*$B$5-Inputs!$B$21)/Source_Data!$C$10)</f>
        <v>0</v>
      </c>
      <c r="BB13" s="33" t="n">
        <f aca="false">Source_Data!BB$9+Source_Data!BB$10*IF(Source_Data!$C$10=0,0,MAX(0,Inputs!$B$20*Inputs!$B$23*$B$5-Inputs!$B$21)/Source_Data!$C$10)</f>
        <v>0</v>
      </c>
      <c r="BC13" s="33" t="n">
        <f aca="false">Source_Data!BC$9+Source_Data!BC$10*IF(Source_Data!$C$10=0,0,MAX(0,Inputs!$B$20*Inputs!$B$23*$B$5-Inputs!$B$21)/Source_Data!$C$10)</f>
        <v>0</v>
      </c>
      <c r="BD13" s="33" t="n">
        <f aca="false">Source_Data!BD$9+Source_Data!BD$10*IF(Source_Data!$C$10=0,0,MAX(0,Inputs!$B$20*Inputs!$B$23*$B$5-Inputs!$B$21)/Source_Data!$C$10)</f>
        <v>0</v>
      </c>
      <c r="BE13" s="33" t="n">
        <f aca="false">Source_Data!BE$9+Source_Data!BE$10*IF(Source_Data!$C$10=0,0,MAX(0,Inputs!$B$20*Inputs!$B$23*$B$5-Inputs!$B$21)/Source_Data!$C$10)</f>
        <v>0</v>
      </c>
      <c r="BF13" s="33" t="n">
        <f aca="false">Source_Data!BF$9+Source_Data!BF$10*IF(Source_Data!$C$10=0,0,MAX(0,Inputs!$B$20*Inputs!$B$23*$B$5-Inputs!$B$21)/Source_Data!$C$10)</f>
        <v>0</v>
      </c>
      <c r="BG13" s="33" t="n">
        <f aca="false">Source_Data!BG$9+Source_Data!BG$10*IF(Source_Data!$C$10=0,0,MAX(0,Inputs!$B$20*Inputs!$B$23*$B$5-Inputs!$B$21)/Source_Data!$C$10)</f>
        <v>0</v>
      </c>
      <c r="BH13" s="33" t="n">
        <f aca="false">Source_Data!BH$9+Source_Data!BH$10*IF(Source_Data!$C$10=0,0,MAX(0,Inputs!$B$20*Inputs!$B$23*$B$5-Inputs!$B$21)/Source_Data!$C$10)</f>
        <v>0</v>
      </c>
      <c r="BI13" s="33" t="n">
        <f aca="false">Source_Data!BI$9+Source_Data!BI$10*IF(Source_Data!$C$10=0,0,MAX(0,Inputs!$B$20*Inputs!$B$23*$B$5-Inputs!$B$21)/Source_Data!$C$10)</f>
        <v>0</v>
      </c>
      <c r="BJ13" s="33" t="n">
        <f aca="false">Source_Data!BJ$9+Source_Data!BJ$10*IF(Source_Data!$C$10=0,0,MAX(0,Inputs!$B$20*Inputs!$B$23*$B$5-Inputs!$B$21)/Source_Data!$C$10)</f>
        <v>0</v>
      </c>
      <c r="BK13" s="33" t="n">
        <f aca="false">Source_Data!BK$9+Source_Data!BK$10*IF(Source_Data!$C$10=0,0,MAX(0,Inputs!$B$20*Inputs!$B$23*$B$5-Inputs!$B$21)/Source_Data!$C$10)</f>
        <v>0</v>
      </c>
    </row>
    <row r="14" customFormat="false" ht="15" hidden="false" customHeight="false" outlineLevel="0" collapsed="false">
      <c r="A14" s="3" t="s">
        <v>196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198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217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218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219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341</v>
      </c>
      <c r="D19" s="33" t="n">
        <f aca="false">IF(Source_Data!D$6=Inputs!$B$13,-Inputs!$B$7,0)+IF(AND(Source_Data!D$6&gt;=$B$10,Source_Data!D$6&lt;$B$10+3*Inputs!$B$17,MOD(Source_Data!D$6-$B$10,3)=0),Inputs!$B$8*Inputs!$B$7*Inputs!$B$35*$B$5*(1-Inputs!$B$16)/Inputs!$B$17,0)</f>
        <v>-75</v>
      </c>
      <c r="E19" s="33" t="n">
        <f aca="false">IF(Source_Data!E$6=Inputs!$B$13,-Inputs!$B$7,0)+IF(AND(Source_Data!E$6&gt;=$B$10,Source_Data!E$6&lt;$B$10+3*Inputs!$B$17,MOD(Source_Data!E$6-$B$10,3)=0),Inputs!$B$8*Inputs!$B$7*Inputs!$B$35*$B$5*(1-Inputs!$B$16)/Inputs!$B$17,0)</f>
        <v>0</v>
      </c>
      <c r="F19" s="33" t="n">
        <f aca="false">IF(Source_Data!F$6=Inputs!$B$13,-Inputs!$B$7,0)+IF(AND(Source_Data!F$6&gt;=$B$10,Source_Data!F$6&lt;$B$10+3*Inputs!$B$17,MOD(Source_Data!F$6-$B$10,3)=0),Inputs!$B$8*Inputs!$B$7*Inputs!$B$35*$B$5*(1-Inputs!$B$16)/Inputs!$B$17,0)</f>
        <v>0</v>
      </c>
      <c r="G19" s="33" t="n">
        <f aca="false">IF(Source_Data!G$6=Inputs!$B$13,-Inputs!$B$7,0)+IF(AND(Source_Data!G$6&gt;=$B$10,Source_Data!G$6&lt;$B$10+3*Inputs!$B$17,MOD(Source_Data!G$6-$B$10,3)=0),Inputs!$B$8*Inputs!$B$7*Inputs!$B$35*$B$5*(1-Inputs!$B$16)/Inputs!$B$17,0)</f>
        <v>0</v>
      </c>
      <c r="H19" s="33" t="n">
        <f aca="false">IF(Source_Data!H$6=Inputs!$B$13,-Inputs!$B$7,0)+IF(AND(Source_Data!H$6&gt;=$B$10,Source_Data!H$6&lt;$B$10+3*Inputs!$B$17,MOD(Source_Data!H$6-$B$10,3)=0),Inputs!$B$8*Inputs!$B$7*Inputs!$B$35*$B$5*(1-Inputs!$B$16)/Inputs!$B$17,0)</f>
        <v>0</v>
      </c>
      <c r="I19" s="33" t="n">
        <f aca="false">IF(Source_Data!I$6=Inputs!$B$13,-Inputs!$B$7,0)+IF(AND(Source_Data!I$6&gt;=$B$10,Source_Data!I$6&lt;$B$10+3*Inputs!$B$17,MOD(Source_Data!I$6-$B$10,3)=0),Inputs!$B$8*Inputs!$B$7*Inputs!$B$35*$B$5*(1-Inputs!$B$16)/Inputs!$B$17,0)</f>
        <v>0</v>
      </c>
      <c r="J19" s="33" t="n">
        <f aca="false">IF(Source_Data!J$6=Inputs!$B$13,-Inputs!$B$7,0)+IF(AND(Source_Data!J$6&gt;=$B$10,Source_Data!J$6&lt;$B$10+3*Inputs!$B$17,MOD(Source_Data!J$6-$B$10,3)=0),Inputs!$B$8*Inputs!$B$7*Inputs!$B$35*$B$5*(1-Inputs!$B$16)/Inputs!$B$17,0)</f>
        <v>0</v>
      </c>
      <c r="K19" s="33" t="n">
        <f aca="false">IF(Source_Data!K$6=Inputs!$B$13,-Inputs!$B$7,0)+IF(AND(Source_Data!K$6&gt;=$B$10,Source_Data!K$6&lt;$B$10+3*Inputs!$B$17,MOD(Source_Data!K$6-$B$10,3)=0),Inputs!$B$8*Inputs!$B$7*Inputs!$B$35*$B$5*(1-Inputs!$B$16)/Inputs!$B$17,0)</f>
        <v>0</v>
      </c>
      <c r="L19" s="33" t="n">
        <f aca="false">IF(Source_Data!L$6=Inputs!$B$13,-Inputs!$B$7,0)+IF(AND(Source_Data!L$6&gt;=$B$10,Source_Data!L$6&lt;$B$10+3*Inputs!$B$17,MOD(Source_Data!L$6-$B$10,3)=0),Inputs!$B$8*Inputs!$B$7*Inputs!$B$35*$B$5*(1-Inputs!$B$16)/Inputs!$B$17,0)</f>
        <v>0</v>
      </c>
      <c r="M19" s="33" t="n">
        <f aca="false">IF(Source_Data!M$6=Inputs!$B$13,-Inputs!$B$7,0)+IF(AND(Source_Data!M$6&gt;=$B$10,Source_Data!M$6&lt;$B$10+3*Inputs!$B$17,MOD(Source_Data!M$6-$B$10,3)=0),Inputs!$B$8*Inputs!$B$7*Inputs!$B$35*$B$5*(1-Inputs!$B$16)/Inputs!$B$17,0)</f>
        <v>0</v>
      </c>
      <c r="N19" s="33" t="n">
        <f aca="false">IF(Source_Data!N$6=Inputs!$B$13,-Inputs!$B$7,0)+IF(AND(Source_Data!N$6&gt;=$B$10,Source_Data!N$6&lt;$B$10+3*Inputs!$B$17,MOD(Source_Data!N$6-$B$10,3)=0),Inputs!$B$8*Inputs!$B$7*Inputs!$B$35*$B$5*(1-Inputs!$B$16)/Inputs!$B$17,0)</f>
        <v>0</v>
      </c>
      <c r="O19" s="33" t="n">
        <f aca="false">IF(Source_Data!O$6=Inputs!$B$13,-Inputs!$B$7,0)+IF(AND(Source_Data!O$6&gt;=$B$10,Source_Data!O$6&lt;$B$10+3*Inputs!$B$17,MOD(Source_Data!O$6-$B$10,3)=0),Inputs!$B$8*Inputs!$B$7*Inputs!$B$35*$B$5*(1-Inputs!$B$16)/Inputs!$B$17,0)</f>
        <v>0</v>
      </c>
      <c r="P19" s="33" t="n">
        <f aca="false">IF(Source_Data!P$6=Inputs!$B$13,-Inputs!$B$7,0)+IF(AND(Source_Data!P$6&gt;=$B$10,Source_Data!P$6&lt;$B$10+3*Inputs!$B$17,MOD(Source_Data!P$6-$B$10,3)=0),Inputs!$B$8*Inputs!$B$7*Inputs!$B$35*$B$5*(1-Inputs!$B$16)/Inputs!$B$17,0)</f>
        <v>0</v>
      </c>
      <c r="Q19" s="33" t="n">
        <f aca="false">IF(Source_Data!Q$6=Inputs!$B$13,-Inputs!$B$7,0)+IF(AND(Source_Data!Q$6&gt;=$B$10,Source_Data!Q$6&lt;$B$10+3*Inputs!$B$17,MOD(Source_Data!Q$6-$B$10,3)=0),Inputs!$B$8*Inputs!$B$7*Inputs!$B$35*$B$5*(1-Inputs!$B$16)/Inputs!$B$17,0)</f>
        <v>0</v>
      </c>
      <c r="R19" s="33" t="n">
        <f aca="false">IF(Source_Data!R$6=Inputs!$B$13,-Inputs!$B$7,0)+IF(AND(Source_Data!R$6&gt;=$B$10,Source_Data!R$6&lt;$B$10+3*Inputs!$B$17,MOD(Source_Data!R$6-$B$10,3)=0),Inputs!$B$8*Inputs!$B$7*Inputs!$B$35*$B$5*(1-Inputs!$B$16)/Inputs!$B$17,0)</f>
        <v>0</v>
      </c>
      <c r="S19" s="33" t="n">
        <f aca="false">IF(Source_Data!S$6=Inputs!$B$13,-Inputs!$B$7,0)+IF(AND(Source_Data!S$6&gt;=$B$10,Source_Data!S$6&lt;$B$10+3*Inputs!$B$17,MOD(Source_Data!S$6-$B$10,3)=0),Inputs!$B$8*Inputs!$B$7*Inputs!$B$35*$B$5*(1-Inputs!$B$16)/Inputs!$B$17,0)</f>
        <v>0</v>
      </c>
      <c r="T19" s="33" t="n">
        <f aca="false">IF(Source_Data!T$6=Inputs!$B$13,-Inputs!$B$7,0)+IF(AND(Source_Data!T$6&gt;=$B$10,Source_Data!T$6&lt;$B$10+3*Inputs!$B$17,MOD(Source_Data!T$6-$B$10,3)=0),Inputs!$B$8*Inputs!$B$7*Inputs!$B$35*$B$5*(1-Inputs!$B$16)/Inputs!$B$17,0)</f>
        <v>41.7204301075269</v>
      </c>
      <c r="U19" s="33" t="n">
        <f aca="false">IF(Source_Data!U$6=Inputs!$B$13,-Inputs!$B$7,0)+IF(AND(Source_Data!U$6&gt;=$B$10,Source_Data!U$6&lt;$B$10+3*Inputs!$B$17,MOD(Source_Data!U$6-$B$10,3)=0),Inputs!$B$8*Inputs!$B$7*Inputs!$B$35*$B$5*(1-Inputs!$B$16)/Inputs!$B$17,0)</f>
        <v>41.7204301075269</v>
      </c>
      <c r="V19" s="33" t="n">
        <f aca="false">IF(Source_Data!V$6=Inputs!$B$13,-Inputs!$B$7,0)+IF(AND(Source_Data!V$6&gt;=$B$10,Source_Data!V$6&lt;$B$10+3*Inputs!$B$17,MOD(Source_Data!V$6-$B$10,3)=0),Inputs!$B$8*Inputs!$B$7*Inputs!$B$35*$B$5*(1-Inputs!$B$16)/Inputs!$B$17,0)</f>
        <v>41.7204301075269</v>
      </c>
      <c r="W19" s="33" t="n">
        <f aca="false">IF(Source_Data!W$6=Inputs!$B$13,-Inputs!$B$7,0)+IF(AND(Source_Data!W$6&gt;=$B$10,Source_Data!W$6&lt;$B$10+3*Inputs!$B$17,MOD(Source_Data!W$6-$B$10,3)=0),Inputs!$B$8*Inputs!$B$7*Inputs!$B$35*$B$5*(1-Inputs!$B$16)/Inputs!$B$17,0)</f>
        <v>41.7204301075269</v>
      </c>
      <c r="X19" s="33" t="n">
        <f aca="false">IF(Source_Data!X$6=Inputs!$B$13,-Inputs!$B$7,0)+IF(AND(Source_Data!X$6&gt;=$B$10,Source_Data!X$6&lt;$B$10+3*Inputs!$B$17,MOD(Source_Data!X$6-$B$10,3)=0),Inputs!$B$8*Inputs!$B$7*Inputs!$B$35*$B$5*(1-Inputs!$B$16)/Inputs!$B$17,0)</f>
        <v>0</v>
      </c>
      <c r="Y19" s="33" t="n">
        <f aca="false">IF(Source_Data!Y$6=Inputs!$B$13,-Inputs!$B$7,0)+IF(AND(Source_Data!Y$6&gt;=$B$10,Source_Data!Y$6&lt;$B$10+3*Inputs!$B$17,MOD(Source_Data!Y$6-$B$10,3)=0),Inputs!$B$8*Inputs!$B$7*Inputs!$B$35*$B$5*(1-Inputs!$B$16)/Inputs!$B$17,0)</f>
        <v>0</v>
      </c>
      <c r="Z19" s="33" t="n">
        <f aca="false">IF(Source_Data!Z$6=Inputs!$B$13,-Inputs!$B$7,0)+IF(AND(Source_Data!Z$6&gt;=$B$10,Source_Data!Z$6&lt;$B$10+3*Inputs!$B$17,MOD(Source_Data!Z$6-$B$10,3)=0),Inputs!$B$8*Inputs!$B$7*Inputs!$B$35*$B$5*(1-Inputs!$B$16)/Inputs!$B$17,0)</f>
        <v>0</v>
      </c>
      <c r="AA19" s="33" t="n">
        <f aca="false">IF(Source_Data!AA$6=Inputs!$B$13,-Inputs!$B$7,0)+IF(AND(Source_Data!AA$6&gt;=$B$10,Source_Data!AA$6&lt;$B$10+3*Inputs!$B$17,MOD(Source_Data!AA$6-$B$10,3)=0),Inputs!$B$8*Inputs!$B$7*Inputs!$B$35*$B$5*(1-Inputs!$B$16)/Inputs!$B$17,0)</f>
        <v>0</v>
      </c>
      <c r="AB19" s="33" t="n">
        <f aca="false">IF(Source_Data!AB$6=Inputs!$B$13,-Inputs!$B$7,0)+IF(AND(Source_Data!AB$6&gt;=$B$10,Source_Data!AB$6&lt;$B$10+3*Inputs!$B$17,MOD(Source_Data!AB$6-$B$10,3)=0),Inputs!$B$8*Inputs!$B$7*Inputs!$B$35*$B$5*(1-Inputs!$B$16)/Inputs!$B$17,0)</f>
        <v>0</v>
      </c>
      <c r="AC19" s="33" t="n">
        <f aca="false">IF(Source_Data!AC$6=Inputs!$B$13,-Inputs!$B$7,0)+IF(AND(Source_Data!AC$6&gt;=$B$10,Source_Data!AC$6&lt;$B$10+3*Inputs!$B$17,MOD(Source_Data!AC$6-$B$10,3)=0),Inputs!$B$8*Inputs!$B$7*Inputs!$B$35*$B$5*(1-Inputs!$B$16)/Inputs!$B$17,0)</f>
        <v>0</v>
      </c>
      <c r="AD19" s="33" t="n">
        <f aca="false">IF(Source_Data!AD$6=Inputs!$B$13,-Inputs!$B$7,0)+IF(AND(Source_Data!AD$6&gt;=$B$10,Source_Data!AD$6&lt;$B$10+3*Inputs!$B$17,MOD(Source_Data!AD$6-$B$10,3)=0),Inputs!$B$8*Inputs!$B$7*Inputs!$B$35*$B$5*(1-Inputs!$B$16)/Inputs!$B$17,0)</f>
        <v>0</v>
      </c>
      <c r="AE19" s="33" t="n">
        <f aca="false">IF(Source_Data!AE$6=Inputs!$B$13,-Inputs!$B$7,0)+IF(AND(Source_Data!AE$6&gt;=$B$10,Source_Data!AE$6&lt;$B$10+3*Inputs!$B$17,MOD(Source_Data!AE$6-$B$10,3)=0),Inputs!$B$8*Inputs!$B$7*Inputs!$B$35*$B$5*(1-Inputs!$B$16)/Inputs!$B$17,0)</f>
        <v>0</v>
      </c>
      <c r="AF19" s="33" t="n">
        <f aca="false">IF(Source_Data!AF$6=Inputs!$B$13,-Inputs!$B$7,0)+IF(AND(Source_Data!AF$6&gt;=$B$10,Source_Data!AF$6&lt;$B$10+3*Inputs!$B$17,MOD(Source_Data!AF$6-$B$10,3)=0),Inputs!$B$8*Inputs!$B$7*Inputs!$B$35*$B$5*(1-Inputs!$B$16)/Inputs!$B$17,0)</f>
        <v>0</v>
      </c>
      <c r="AG19" s="33" t="n">
        <f aca="false">IF(Source_Data!AG$6=Inputs!$B$13,-Inputs!$B$7,0)+IF(AND(Source_Data!AG$6&gt;=$B$10,Source_Data!AG$6&lt;$B$10+3*Inputs!$B$17,MOD(Source_Data!AG$6-$B$10,3)=0),Inputs!$B$8*Inputs!$B$7*Inputs!$B$35*$B$5*(1-Inputs!$B$16)/Inputs!$B$17,0)</f>
        <v>0</v>
      </c>
      <c r="AH19" s="33" t="n">
        <f aca="false">IF(Source_Data!AH$6=Inputs!$B$13,-Inputs!$B$7,0)+IF(AND(Source_Data!AH$6&gt;=$B$10,Source_Data!AH$6&lt;$B$10+3*Inputs!$B$17,MOD(Source_Data!AH$6-$B$10,3)=0),Inputs!$B$8*Inputs!$B$7*Inputs!$B$35*$B$5*(1-Inputs!$B$16)/Inputs!$B$17,0)</f>
        <v>0</v>
      </c>
      <c r="AI19" s="33" t="n">
        <f aca="false">IF(Source_Data!AI$6=Inputs!$B$13,-Inputs!$B$7,0)+IF(AND(Source_Data!AI$6&gt;=$B$10,Source_Data!AI$6&lt;$B$10+3*Inputs!$B$17,MOD(Source_Data!AI$6-$B$10,3)=0),Inputs!$B$8*Inputs!$B$7*Inputs!$B$35*$B$5*(1-Inputs!$B$16)/Inputs!$B$17,0)</f>
        <v>0</v>
      </c>
      <c r="AJ19" s="33" t="n">
        <f aca="false">IF(Source_Data!AJ$6=Inputs!$B$13,-Inputs!$B$7,0)+IF(AND(Source_Data!AJ$6&gt;=$B$10,Source_Data!AJ$6&lt;$B$10+3*Inputs!$B$17,MOD(Source_Data!AJ$6-$B$10,3)=0),Inputs!$B$8*Inputs!$B$7*Inputs!$B$35*$B$5*(1-Inputs!$B$16)/Inputs!$B$17,0)</f>
        <v>0</v>
      </c>
      <c r="AK19" s="33" t="n">
        <f aca="false">IF(Source_Data!AK$6=Inputs!$B$13,-Inputs!$B$7,0)+IF(AND(Source_Data!AK$6&gt;=$B$10,Source_Data!AK$6&lt;$B$10+3*Inputs!$B$17,MOD(Source_Data!AK$6-$B$10,3)=0),Inputs!$B$8*Inputs!$B$7*Inputs!$B$35*$B$5*(1-Inputs!$B$16)/Inputs!$B$17,0)</f>
        <v>0</v>
      </c>
      <c r="AL19" s="33" t="n">
        <f aca="false">IF(Source_Data!AL$6=Inputs!$B$13,-Inputs!$B$7,0)+IF(AND(Source_Data!AL$6&gt;=$B$10,Source_Data!AL$6&lt;$B$10+3*Inputs!$B$17,MOD(Source_Data!AL$6-$B$10,3)=0),Inputs!$B$8*Inputs!$B$7*Inputs!$B$35*$B$5*(1-Inputs!$B$16)/Inputs!$B$17,0)</f>
        <v>0</v>
      </c>
      <c r="AM19" s="33" t="n">
        <f aca="false">IF(Source_Data!AM$6=Inputs!$B$13,-Inputs!$B$7,0)+IF(AND(Source_Data!AM$6&gt;=$B$10,Source_Data!AM$6&lt;$B$10+3*Inputs!$B$17,MOD(Source_Data!AM$6-$B$10,3)=0),Inputs!$B$8*Inputs!$B$7*Inputs!$B$35*$B$5*(1-Inputs!$B$16)/Inputs!$B$17,0)</f>
        <v>0</v>
      </c>
      <c r="AN19" s="33" t="n">
        <f aca="false">IF(Source_Data!AN$6=Inputs!$B$13,-Inputs!$B$7,0)+IF(AND(Source_Data!AN$6&gt;=$B$10,Source_Data!AN$6&lt;$B$10+3*Inputs!$B$17,MOD(Source_Data!AN$6-$B$10,3)=0),Inputs!$B$8*Inputs!$B$7*Inputs!$B$35*$B$5*(1-Inputs!$B$16)/Inputs!$B$17,0)</f>
        <v>0</v>
      </c>
      <c r="AO19" s="33" t="n">
        <f aca="false">IF(Source_Data!AO$6=Inputs!$B$13,-Inputs!$B$7,0)+IF(AND(Source_Data!AO$6&gt;=$B$10,Source_Data!AO$6&lt;$B$10+3*Inputs!$B$17,MOD(Source_Data!AO$6-$B$10,3)=0),Inputs!$B$8*Inputs!$B$7*Inputs!$B$35*$B$5*(1-Inputs!$B$16)/Inputs!$B$17,0)</f>
        <v>0</v>
      </c>
      <c r="AP19" s="33" t="n">
        <f aca="false">IF(Source_Data!AP$6=Inputs!$B$13,-Inputs!$B$7,0)+IF(AND(Source_Data!AP$6&gt;=$B$10,Source_Data!AP$6&lt;$B$10+3*Inputs!$B$17,MOD(Source_Data!AP$6-$B$10,3)=0),Inputs!$B$8*Inputs!$B$7*Inputs!$B$35*$B$5*(1-Inputs!$B$16)/Inputs!$B$17,0)</f>
        <v>0</v>
      </c>
      <c r="AQ19" s="33" t="n">
        <f aca="false">IF(Source_Data!AQ$6=Inputs!$B$13,-Inputs!$B$7,0)+IF(AND(Source_Data!AQ$6&gt;=$B$10,Source_Data!AQ$6&lt;$B$10+3*Inputs!$B$17,MOD(Source_Data!AQ$6-$B$10,3)=0),Inputs!$B$8*Inputs!$B$7*Inputs!$B$35*$B$5*(1-Inputs!$B$16)/Inputs!$B$17,0)</f>
        <v>0</v>
      </c>
      <c r="AR19" s="33" t="n">
        <f aca="false">IF(Source_Data!AR$6=Inputs!$B$13,-Inputs!$B$7,0)+IF(AND(Source_Data!AR$6&gt;=$B$10,Source_Data!AR$6&lt;$B$10+3*Inputs!$B$17,MOD(Source_Data!AR$6-$B$10,3)=0),Inputs!$B$8*Inputs!$B$7*Inputs!$B$35*$B$5*(1-Inputs!$B$16)/Inputs!$B$17,0)</f>
        <v>0</v>
      </c>
      <c r="AS19" s="33" t="n">
        <f aca="false">IF(Source_Data!AS$6=Inputs!$B$13,-Inputs!$B$7,0)+IF(AND(Source_Data!AS$6&gt;=$B$10,Source_Data!AS$6&lt;$B$10+3*Inputs!$B$17,MOD(Source_Data!AS$6-$B$10,3)=0),Inputs!$B$8*Inputs!$B$7*Inputs!$B$35*$B$5*(1-Inputs!$B$16)/Inputs!$B$17,0)</f>
        <v>0</v>
      </c>
      <c r="AT19" s="33" t="n">
        <f aca="false">IF(Source_Data!AT$6=Inputs!$B$13,-Inputs!$B$7,0)+IF(AND(Source_Data!AT$6&gt;=$B$10,Source_Data!AT$6&lt;$B$10+3*Inputs!$B$17,MOD(Source_Data!AT$6-$B$10,3)=0),Inputs!$B$8*Inputs!$B$7*Inputs!$B$35*$B$5*(1-Inputs!$B$16)/Inputs!$B$17,0)</f>
        <v>0</v>
      </c>
      <c r="AU19" s="33" t="n">
        <f aca="false">IF(Source_Data!AU$6=Inputs!$B$13,-Inputs!$B$7,0)+IF(AND(Source_Data!AU$6&gt;=$B$10,Source_Data!AU$6&lt;$B$10+3*Inputs!$B$17,MOD(Source_Data!AU$6-$B$10,3)=0),Inputs!$B$8*Inputs!$B$7*Inputs!$B$35*$B$5*(1-Inputs!$B$16)/Inputs!$B$17,0)</f>
        <v>0</v>
      </c>
      <c r="AV19" s="33" t="n">
        <f aca="false">IF(Source_Data!AV$6=Inputs!$B$13,-Inputs!$B$7,0)+IF(AND(Source_Data!AV$6&gt;=$B$10,Source_Data!AV$6&lt;$B$10+3*Inputs!$B$17,MOD(Source_Data!AV$6-$B$10,3)=0),Inputs!$B$8*Inputs!$B$7*Inputs!$B$35*$B$5*(1-Inputs!$B$16)/Inputs!$B$17,0)</f>
        <v>0</v>
      </c>
      <c r="AW19" s="33" t="n">
        <f aca="false">IF(Source_Data!AW$6=Inputs!$B$13,-Inputs!$B$7,0)+IF(AND(Source_Data!AW$6&gt;=$B$10,Source_Data!AW$6&lt;$B$10+3*Inputs!$B$17,MOD(Source_Data!AW$6-$B$10,3)=0),Inputs!$B$8*Inputs!$B$7*Inputs!$B$35*$B$5*(1-Inputs!$B$16)/Inputs!$B$17,0)</f>
        <v>0</v>
      </c>
      <c r="AX19" s="33" t="n">
        <f aca="false">IF(Source_Data!AX$6=Inputs!$B$13,-Inputs!$B$7,0)+IF(AND(Source_Data!AX$6&gt;=$B$10,Source_Data!AX$6&lt;$B$10+3*Inputs!$B$17,MOD(Source_Data!AX$6-$B$10,3)=0),Inputs!$B$8*Inputs!$B$7*Inputs!$B$35*$B$5*(1-Inputs!$B$16)/Inputs!$B$17,0)</f>
        <v>0</v>
      </c>
      <c r="AY19" s="33" t="n">
        <f aca="false">IF(Source_Data!AY$6=Inputs!$B$13,-Inputs!$B$7,0)+IF(AND(Source_Data!AY$6&gt;=$B$10,Source_Data!AY$6&lt;$B$10+3*Inputs!$B$17,MOD(Source_Data!AY$6-$B$10,3)=0),Inputs!$B$8*Inputs!$B$7*Inputs!$B$35*$B$5*(1-Inputs!$B$16)/Inputs!$B$17,0)</f>
        <v>0</v>
      </c>
      <c r="AZ19" s="33" t="n">
        <f aca="false">IF(Source_Data!AZ$6=Inputs!$B$13,-Inputs!$B$7,0)+IF(AND(Source_Data!AZ$6&gt;=$B$10,Source_Data!AZ$6&lt;$B$10+3*Inputs!$B$17,MOD(Source_Data!AZ$6-$B$10,3)=0),Inputs!$B$8*Inputs!$B$7*Inputs!$B$35*$B$5*(1-Inputs!$B$16)/Inputs!$B$17,0)</f>
        <v>0</v>
      </c>
      <c r="BA19" s="33" t="n">
        <f aca="false">IF(Source_Data!BA$6=Inputs!$B$13,-Inputs!$B$7,0)+IF(AND(Source_Data!BA$6&gt;=$B$10,Source_Data!BA$6&lt;$B$10+3*Inputs!$B$17,MOD(Source_Data!BA$6-$B$10,3)=0),Inputs!$B$8*Inputs!$B$7*Inputs!$B$35*$B$5*(1-Inputs!$B$16)/Inputs!$B$17,0)</f>
        <v>0</v>
      </c>
      <c r="BB19" s="33" t="n">
        <f aca="false">IF(Source_Data!BB$6=Inputs!$B$13,-Inputs!$B$7,0)+IF(AND(Source_Data!BB$6&gt;=$B$10,Source_Data!BB$6&lt;$B$10+3*Inputs!$B$17,MOD(Source_Data!BB$6-$B$10,3)=0),Inputs!$B$8*Inputs!$B$7*Inputs!$B$35*$B$5*(1-Inputs!$B$16)/Inputs!$B$17,0)</f>
        <v>0</v>
      </c>
      <c r="BC19" s="33" t="n">
        <f aca="false">IF(Source_Data!BC$6=Inputs!$B$13,-Inputs!$B$7,0)+IF(AND(Source_Data!BC$6&gt;=$B$10,Source_Data!BC$6&lt;$B$10+3*Inputs!$B$17,MOD(Source_Data!BC$6-$B$10,3)=0),Inputs!$B$8*Inputs!$B$7*Inputs!$B$35*$B$5*(1-Inputs!$B$16)/Inputs!$B$17,0)</f>
        <v>0</v>
      </c>
      <c r="BD19" s="33" t="n">
        <f aca="false">IF(Source_Data!BD$6=Inputs!$B$13,-Inputs!$B$7,0)+IF(AND(Source_Data!BD$6&gt;=$B$10,Source_Data!BD$6&lt;$B$10+3*Inputs!$B$17,MOD(Source_Data!BD$6-$B$10,3)=0),Inputs!$B$8*Inputs!$B$7*Inputs!$B$35*$B$5*(1-Inputs!$B$16)/Inputs!$B$17,0)</f>
        <v>0</v>
      </c>
      <c r="BE19" s="33" t="n">
        <f aca="false">IF(Source_Data!BE$6=Inputs!$B$13,-Inputs!$B$7,0)+IF(AND(Source_Data!BE$6&gt;=$B$10,Source_Data!BE$6&lt;$B$10+3*Inputs!$B$17,MOD(Source_Data!BE$6-$B$10,3)=0),Inputs!$B$8*Inputs!$B$7*Inputs!$B$35*$B$5*(1-Inputs!$B$16)/Inputs!$B$17,0)</f>
        <v>0</v>
      </c>
      <c r="BF19" s="33" t="n">
        <f aca="false">IF(Source_Data!BF$6=Inputs!$B$13,-Inputs!$B$7,0)+IF(AND(Source_Data!BF$6&gt;=$B$10,Source_Data!BF$6&lt;$B$10+3*Inputs!$B$17,MOD(Source_Data!BF$6-$B$10,3)=0),Inputs!$B$8*Inputs!$B$7*Inputs!$B$35*$B$5*(1-Inputs!$B$16)/Inputs!$B$17,0)</f>
        <v>0</v>
      </c>
      <c r="BG19" s="33" t="n">
        <f aca="false">IF(Source_Data!BG$6=Inputs!$B$13,-Inputs!$B$7,0)+IF(AND(Source_Data!BG$6&gt;=$B$10,Source_Data!BG$6&lt;$B$10+3*Inputs!$B$17,MOD(Source_Data!BG$6-$B$10,3)=0),Inputs!$B$8*Inputs!$B$7*Inputs!$B$35*$B$5*(1-Inputs!$B$16)/Inputs!$B$17,0)</f>
        <v>0</v>
      </c>
      <c r="BH19" s="33" t="n">
        <f aca="false">IF(Source_Data!BH$6=Inputs!$B$13,-Inputs!$B$7,0)+IF(AND(Source_Data!BH$6&gt;=$B$10,Source_Data!BH$6&lt;$B$10+3*Inputs!$B$17,MOD(Source_Data!BH$6-$B$10,3)=0),Inputs!$B$8*Inputs!$B$7*Inputs!$B$35*$B$5*(1-Inputs!$B$16)/Inputs!$B$17,0)</f>
        <v>0</v>
      </c>
      <c r="BI19" s="33" t="n">
        <f aca="false">IF(Source_Data!BI$6=Inputs!$B$13,-Inputs!$B$7,0)+IF(AND(Source_Data!BI$6&gt;=$B$10,Source_Data!BI$6&lt;$B$10+3*Inputs!$B$17,MOD(Source_Data!BI$6-$B$10,3)=0),Inputs!$B$8*Inputs!$B$7*Inputs!$B$35*$B$5*(1-Inputs!$B$16)/Inputs!$B$17,0)</f>
        <v>0</v>
      </c>
      <c r="BJ19" s="33" t="n">
        <f aca="false">IF(Source_Data!BJ$6=Inputs!$B$13,-Inputs!$B$7,0)+IF(AND(Source_Data!BJ$6&gt;=$B$10,Source_Data!BJ$6&lt;$B$10+3*Inputs!$B$17,MOD(Source_Data!BJ$6-$B$10,3)=0),Inputs!$B$8*Inputs!$B$7*Inputs!$B$35*$B$5*(1-Inputs!$B$16)/Inputs!$B$17,0)</f>
        <v>0</v>
      </c>
      <c r="BK19" s="33" t="n">
        <f aca="false">IF(Source_Data!BK$6=Inputs!$B$13,-Inputs!$B$7,0)+IF(AND(Source_Data!BK$6&gt;=$B$10,Source_Data!BK$6&lt;$B$10+3*Inputs!$B$17,MOD(Source_Data!BK$6-$B$10,3)=0),Inputs!$B$8*Inputs!$B$7*Inputs!$B$35*$B$5*(1-Inputs!$B$16)/Inputs!$B$17,0)</f>
        <v>0</v>
      </c>
    </row>
    <row r="20" customFormat="false" ht="15" hidden="false" customHeight="false" outlineLevel="0" collapsed="false">
      <c r="A20" s="3" t="s">
        <v>342</v>
      </c>
      <c r="D20" s="33" t="n">
        <f aca="false">IF(AND(Source_Data!D$6&gt;=Inputs!$B$55,Source_Data!D$6&lt;Inputs!$B$55+3*Inputs!$B$11),Inputs!$B$9*Inputs!$B$7/Inputs!$B$11,0)</f>
        <v>0</v>
      </c>
      <c r="E20" s="33" t="n">
        <f aca="false">IF(AND(Source_Data!E$6&gt;=Inputs!$B$55,Source_Data!E$6&lt;Inputs!$B$55+3*Inputs!$B$11),Inputs!$B$9*Inputs!$B$7/Inputs!$B$11,0)</f>
        <v>0</v>
      </c>
      <c r="F20" s="33" t="n">
        <f aca="false">IF(AND(Source_Data!F$6&gt;=Inputs!$B$55,Source_Data!F$6&lt;Inputs!$B$55+3*Inputs!$B$11),Inputs!$B$9*Inputs!$B$7/Inputs!$B$11,0)</f>
        <v>0</v>
      </c>
      <c r="G20" s="33" t="n">
        <f aca="false">IF(AND(Source_Data!G$6&gt;=Inputs!$B$55,Source_Data!G$6&lt;Inputs!$B$55+3*Inputs!$B$11),Inputs!$B$9*Inputs!$B$7/Inputs!$B$11,0)</f>
        <v>0</v>
      </c>
      <c r="H20" s="33" t="n">
        <f aca="false">IF(AND(Source_Data!H$6&gt;=Inputs!$B$55,Source_Data!H$6&lt;Inputs!$B$55+3*Inputs!$B$11),Inputs!$B$9*Inputs!$B$7/Inputs!$B$11,0)</f>
        <v>0</v>
      </c>
      <c r="I20" s="33" t="n">
        <f aca="false">IF(AND(Source_Data!I$6&gt;=Inputs!$B$55,Source_Data!I$6&lt;Inputs!$B$55+3*Inputs!$B$11),Inputs!$B$9*Inputs!$B$7/Inputs!$B$11,0)</f>
        <v>0</v>
      </c>
      <c r="J20" s="33" t="n">
        <f aca="false">IF(AND(Source_Data!J$6&gt;=Inputs!$B$55,Source_Data!J$6&lt;Inputs!$B$55+3*Inputs!$B$11),Inputs!$B$9*Inputs!$B$7/Inputs!$B$11,0)</f>
        <v>0</v>
      </c>
      <c r="K20" s="33" t="n">
        <f aca="false">IF(AND(Source_Data!K$6&gt;=Inputs!$B$55,Source_Data!K$6&lt;Inputs!$B$55+3*Inputs!$B$11),Inputs!$B$9*Inputs!$B$7/Inputs!$B$11,0)</f>
        <v>0</v>
      </c>
      <c r="L20" s="33" t="n">
        <f aca="false">IF(AND(Source_Data!L$6&gt;=Inputs!$B$55,Source_Data!L$6&lt;Inputs!$B$55+3*Inputs!$B$11),Inputs!$B$9*Inputs!$B$7/Inputs!$B$11,0)</f>
        <v>0</v>
      </c>
      <c r="M20" s="33" t="n">
        <f aca="false">IF(AND(Source_Data!M$6&gt;=Inputs!$B$55,Source_Data!M$6&lt;Inputs!$B$55+3*Inputs!$B$11),Inputs!$B$9*Inputs!$B$7/Inputs!$B$11,0)</f>
        <v>14.375</v>
      </c>
      <c r="N20" s="33" t="n">
        <f aca="false">IF(AND(Source_Data!N$6&gt;=Inputs!$B$55,Source_Data!N$6&lt;Inputs!$B$55+3*Inputs!$B$11),Inputs!$B$9*Inputs!$B$7/Inputs!$B$11,0)</f>
        <v>14.375</v>
      </c>
      <c r="O20" s="33" t="n">
        <f aca="false">IF(AND(Source_Data!O$6&gt;=Inputs!$B$55,Source_Data!O$6&lt;Inputs!$B$55+3*Inputs!$B$11),Inputs!$B$9*Inputs!$B$7/Inputs!$B$11,0)</f>
        <v>14.375</v>
      </c>
      <c r="P20" s="33" t="n">
        <f aca="false">IF(AND(Source_Data!P$6&gt;=Inputs!$B$55,Source_Data!P$6&lt;Inputs!$B$55+3*Inputs!$B$11),Inputs!$B$9*Inputs!$B$7/Inputs!$B$11,0)</f>
        <v>14.375</v>
      </c>
      <c r="Q20" s="33" t="n">
        <f aca="false">IF(AND(Source_Data!Q$6&gt;=Inputs!$B$55,Source_Data!Q$6&lt;Inputs!$B$55+3*Inputs!$B$11),Inputs!$B$9*Inputs!$B$7/Inputs!$B$11,0)</f>
        <v>14.375</v>
      </c>
      <c r="R20" s="33" t="n">
        <f aca="false">IF(AND(Source_Data!R$6&gt;=Inputs!$B$55,Source_Data!R$6&lt;Inputs!$B$55+3*Inputs!$B$11),Inputs!$B$9*Inputs!$B$7/Inputs!$B$11,0)</f>
        <v>14.375</v>
      </c>
      <c r="S20" s="33" t="n">
        <f aca="false">IF(AND(Source_Data!S$6&gt;=Inputs!$B$55,Source_Data!S$6&lt;Inputs!$B$55+3*Inputs!$B$11),Inputs!$B$9*Inputs!$B$7/Inputs!$B$11,0)</f>
        <v>14.375</v>
      </c>
      <c r="T20" s="33" t="n">
        <f aca="false">IF(AND(Source_Data!T$6&gt;=Inputs!$B$55,Source_Data!T$6&lt;Inputs!$B$55+3*Inputs!$B$11),Inputs!$B$9*Inputs!$B$7/Inputs!$B$11,0)</f>
        <v>14.375</v>
      </c>
      <c r="U20" s="33" t="n">
        <f aca="false">IF(AND(Source_Data!U$6&gt;=Inputs!$B$55,Source_Data!U$6&lt;Inputs!$B$55+3*Inputs!$B$11),Inputs!$B$9*Inputs!$B$7/Inputs!$B$11,0)</f>
        <v>14.375</v>
      </c>
      <c r="V20" s="33" t="n">
        <f aca="false">IF(AND(Source_Data!V$6&gt;=Inputs!$B$55,Source_Data!V$6&lt;Inputs!$B$55+3*Inputs!$B$11),Inputs!$B$9*Inputs!$B$7/Inputs!$B$11,0)</f>
        <v>14.375</v>
      </c>
      <c r="W20" s="33" t="n">
        <f aca="false">IF(AND(Source_Data!W$6&gt;=Inputs!$B$55,Source_Data!W$6&lt;Inputs!$B$55+3*Inputs!$B$11),Inputs!$B$9*Inputs!$B$7/Inputs!$B$11,0)</f>
        <v>14.375</v>
      </c>
      <c r="X20" s="33" t="n">
        <f aca="false">IF(AND(Source_Data!X$6&gt;=Inputs!$B$55,Source_Data!X$6&lt;Inputs!$B$55+3*Inputs!$B$11),Inputs!$B$9*Inputs!$B$7/Inputs!$B$11,0)</f>
        <v>14.375</v>
      </c>
      <c r="Y20" s="33" t="n">
        <f aca="false">IF(AND(Source_Data!Y$6&gt;=Inputs!$B$55,Source_Data!Y$6&lt;Inputs!$B$55+3*Inputs!$B$11),Inputs!$B$9*Inputs!$B$7/Inputs!$B$11,0)</f>
        <v>0</v>
      </c>
      <c r="Z20" s="33" t="n">
        <f aca="false">IF(AND(Source_Data!Z$6&gt;=Inputs!$B$55,Source_Data!Z$6&lt;Inputs!$B$55+3*Inputs!$B$11),Inputs!$B$9*Inputs!$B$7/Inputs!$B$11,0)</f>
        <v>0</v>
      </c>
      <c r="AA20" s="33" t="n">
        <f aca="false">IF(AND(Source_Data!AA$6&gt;=Inputs!$B$55,Source_Data!AA$6&lt;Inputs!$B$55+3*Inputs!$B$11),Inputs!$B$9*Inputs!$B$7/Inputs!$B$11,0)</f>
        <v>0</v>
      </c>
      <c r="AB20" s="33" t="n">
        <f aca="false">IF(AND(Source_Data!AB$6&gt;=Inputs!$B$55,Source_Data!AB$6&lt;Inputs!$B$55+3*Inputs!$B$11),Inputs!$B$9*Inputs!$B$7/Inputs!$B$11,0)</f>
        <v>0</v>
      </c>
      <c r="AC20" s="33" t="n">
        <f aca="false">IF(AND(Source_Data!AC$6&gt;=Inputs!$B$55,Source_Data!AC$6&lt;Inputs!$B$55+3*Inputs!$B$11),Inputs!$B$9*Inputs!$B$7/Inputs!$B$11,0)</f>
        <v>0</v>
      </c>
      <c r="AD20" s="33" t="n">
        <f aca="false">IF(AND(Source_Data!AD$6&gt;=Inputs!$B$55,Source_Data!AD$6&lt;Inputs!$B$55+3*Inputs!$B$11),Inputs!$B$9*Inputs!$B$7/Inputs!$B$11,0)</f>
        <v>0</v>
      </c>
      <c r="AE20" s="33" t="n">
        <f aca="false">IF(AND(Source_Data!AE$6&gt;=Inputs!$B$55,Source_Data!AE$6&lt;Inputs!$B$55+3*Inputs!$B$11),Inputs!$B$9*Inputs!$B$7/Inputs!$B$11,0)</f>
        <v>0</v>
      </c>
      <c r="AF20" s="33" t="n">
        <f aca="false">IF(AND(Source_Data!AF$6&gt;=Inputs!$B$55,Source_Data!AF$6&lt;Inputs!$B$55+3*Inputs!$B$11),Inputs!$B$9*Inputs!$B$7/Inputs!$B$11,0)</f>
        <v>0</v>
      </c>
      <c r="AG20" s="33" t="n">
        <f aca="false">IF(AND(Source_Data!AG$6&gt;=Inputs!$B$55,Source_Data!AG$6&lt;Inputs!$B$55+3*Inputs!$B$11),Inputs!$B$9*Inputs!$B$7/Inputs!$B$11,0)</f>
        <v>0</v>
      </c>
      <c r="AH20" s="33" t="n">
        <f aca="false">IF(AND(Source_Data!AH$6&gt;=Inputs!$B$55,Source_Data!AH$6&lt;Inputs!$B$55+3*Inputs!$B$11),Inputs!$B$9*Inputs!$B$7/Inputs!$B$11,0)</f>
        <v>0</v>
      </c>
      <c r="AI20" s="33" t="n">
        <f aca="false">IF(AND(Source_Data!AI$6&gt;=Inputs!$B$55,Source_Data!AI$6&lt;Inputs!$B$55+3*Inputs!$B$11),Inputs!$B$9*Inputs!$B$7/Inputs!$B$11,0)</f>
        <v>0</v>
      </c>
      <c r="AJ20" s="33" t="n">
        <f aca="false">IF(AND(Source_Data!AJ$6&gt;=Inputs!$B$55,Source_Data!AJ$6&lt;Inputs!$B$55+3*Inputs!$B$11),Inputs!$B$9*Inputs!$B$7/Inputs!$B$11,0)</f>
        <v>0</v>
      </c>
      <c r="AK20" s="33" t="n">
        <f aca="false">IF(AND(Source_Data!AK$6&gt;=Inputs!$B$55,Source_Data!AK$6&lt;Inputs!$B$55+3*Inputs!$B$11),Inputs!$B$9*Inputs!$B$7/Inputs!$B$11,0)</f>
        <v>0</v>
      </c>
      <c r="AL20" s="33" t="n">
        <f aca="false">IF(AND(Source_Data!AL$6&gt;=Inputs!$B$55,Source_Data!AL$6&lt;Inputs!$B$55+3*Inputs!$B$11),Inputs!$B$9*Inputs!$B$7/Inputs!$B$11,0)</f>
        <v>0</v>
      </c>
      <c r="AM20" s="33" t="n">
        <f aca="false">IF(AND(Source_Data!AM$6&gt;=Inputs!$B$55,Source_Data!AM$6&lt;Inputs!$B$55+3*Inputs!$B$11),Inputs!$B$9*Inputs!$B$7/Inputs!$B$11,0)</f>
        <v>0</v>
      </c>
      <c r="AN20" s="33" t="n">
        <f aca="false">IF(AND(Source_Data!AN$6&gt;=Inputs!$B$55,Source_Data!AN$6&lt;Inputs!$B$55+3*Inputs!$B$11),Inputs!$B$9*Inputs!$B$7/Inputs!$B$11,0)</f>
        <v>0</v>
      </c>
      <c r="AO20" s="33" t="n">
        <f aca="false">IF(AND(Source_Data!AO$6&gt;=Inputs!$B$55,Source_Data!AO$6&lt;Inputs!$B$55+3*Inputs!$B$11),Inputs!$B$9*Inputs!$B$7/Inputs!$B$11,0)</f>
        <v>0</v>
      </c>
      <c r="AP20" s="33" t="n">
        <f aca="false">IF(AND(Source_Data!AP$6&gt;=Inputs!$B$55,Source_Data!AP$6&lt;Inputs!$B$55+3*Inputs!$B$11),Inputs!$B$9*Inputs!$B$7/Inputs!$B$11,0)</f>
        <v>0</v>
      </c>
      <c r="AQ20" s="33" t="n">
        <f aca="false">IF(AND(Source_Data!AQ$6&gt;=Inputs!$B$55,Source_Data!AQ$6&lt;Inputs!$B$55+3*Inputs!$B$11),Inputs!$B$9*Inputs!$B$7/Inputs!$B$11,0)</f>
        <v>0</v>
      </c>
      <c r="AR20" s="33" t="n">
        <f aca="false">IF(AND(Source_Data!AR$6&gt;=Inputs!$B$55,Source_Data!AR$6&lt;Inputs!$B$55+3*Inputs!$B$11),Inputs!$B$9*Inputs!$B$7/Inputs!$B$11,0)</f>
        <v>0</v>
      </c>
      <c r="AS20" s="33" t="n">
        <f aca="false">IF(AND(Source_Data!AS$6&gt;=Inputs!$B$55,Source_Data!AS$6&lt;Inputs!$B$55+3*Inputs!$B$11),Inputs!$B$9*Inputs!$B$7/Inputs!$B$11,0)</f>
        <v>0</v>
      </c>
      <c r="AT20" s="33" t="n">
        <f aca="false">IF(AND(Source_Data!AT$6&gt;=Inputs!$B$55,Source_Data!AT$6&lt;Inputs!$B$55+3*Inputs!$B$11),Inputs!$B$9*Inputs!$B$7/Inputs!$B$11,0)</f>
        <v>0</v>
      </c>
      <c r="AU20" s="33" t="n">
        <f aca="false">IF(AND(Source_Data!AU$6&gt;=Inputs!$B$55,Source_Data!AU$6&lt;Inputs!$B$55+3*Inputs!$B$11),Inputs!$B$9*Inputs!$B$7/Inputs!$B$11,0)</f>
        <v>0</v>
      </c>
      <c r="AV20" s="33" t="n">
        <f aca="false">IF(AND(Source_Data!AV$6&gt;=Inputs!$B$55,Source_Data!AV$6&lt;Inputs!$B$55+3*Inputs!$B$11),Inputs!$B$9*Inputs!$B$7/Inputs!$B$11,0)</f>
        <v>0</v>
      </c>
      <c r="AW20" s="33" t="n">
        <f aca="false">IF(AND(Source_Data!AW$6&gt;=Inputs!$B$55,Source_Data!AW$6&lt;Inputs!$B$55+3*Inputs!$B$11),Inputs!$B$9*Inputs!$B$7/Inputs!$B$11,0)</f>
        <v>0</v>
      </c>
      <c r="AX20" s="33" t="n">
        <f aca="false">IF(AND(Source_Data!AX$6&gt;=Inputs!$B$55,Source_Data!AX$6&lt;Inputs!$B$55+3*Inputs!$B$11),Inputs!$B$9*Inputs!$B$7/Inputs!$B$11,0)</f>
        <v>0</v>
      </c>
      <c r="AY20" s="33" t="n">
        <f aca="false">IF(AND(Source_Data!AY$6&gt;=Inputs!$B$55,Source_Data!AY$6&lt;Inputs!$B$55+3*Inputs!$B$11),Inputs!$B$9*Inputs!$B$7/Inputs!$B$11,0)</f>
        <v>0</v>
      </c>
      <c r="AZ20" s="33" t="n">
        <f aca="false">IF(AND(Source_Data!AZ$6&gt;=Inputs!$B$55,Source_Data!AZ$6&lt;Inputs!$B$55+3*Inputs!$B$11),Inputs!$B$9*Inputs!$B$7/Inputs!$B$11,0)</f>
        <v>0</v>
      </c>
      <c r="BA20" s="33" t="n">
        <f aca="false">IF(AND(Source_Data!BA$6&gt;=Inputs!$B$55,Source_Data!BA$6&lt;Inputs!$B$55+3*Inputs!$B$11),Inputs!$B$9*Inputs!$B$7/Inputs!$B$11,0)</f>
        <v>0</v>
      </c>
      <c r="BB20" s="33" t="n">
        <f aca="false">IF(AND(Source_Data!BB$6&gt;=Inputs!$B$55,Source_Data!BB$6&lt;Inputs!$B$55+3*Inputs!$B$11),Inputs!$B$9*Inputs!$B$7/Inputs!$B$11,0)</f>
        <v>0</v>
      </c>
      <c r="BC20" s="33" t="n">
        <f aca="false">IF(AND(Source_Data!BC$6&gt;=Inputs!$B$55,Source_Data!BC$6&lt;Inputs!$B$55+3*Inputs!$B$11),Inputs!$B$9*Inputs!$B$7/Inputs!$B$11,0)</f>
        <v>0</v>
      </c>
      <c r="BD20" s="33" t="n">
        <f aca="false">IF(AND(Source_Data!BD$6&gt;=Inputs!$B$55,Source_Data!BD$6&lt;Inputs!$B$55+3*Inputs!$B$11),Inputs!$B$9*Inputs!$B$7/Inputs!$B$11,0)</f>
        <v>0</v>
      </c>
      <c r="BE20" s="33" t="n">
        <f aca="false">IF(AND(Source_Data!BE$6&gt;=Inputs!$B$55,Source_Data!BE$6&lt;Inputs!$B$55+3*Inputs!$B$11),Inputs!$B$9*Inputs!$B$7/Inputs!$B$11,0)</f>
        <v>0</v>
      </c>
      <c r="BF20" s="33" t="n">
        <f aca="false">IF(AND(Source_Data!BF$6&gt;=Inputs!$B$55,Source_Data!BF$6&lt;Inputs!$B$55+3*Inputs!$B$11),Inputs!$B$9*Inputs!$B$7/Inputs!$B$11,0)</f>
        <v>0</v>
      </c>
      <c r="BG20" s="33" t="n">
        <f aca="false">IF(AND(Source_Data!BG$6&gt;=Inputs!$B$55,Source_Data!BG$6&lt;Inputs!$B$55+3*Inputs!$B$11),Inputs!$B$9*Inputs!$B$7/Inputs!$B$11,0)</f>
        <v>0</v>
      </c>
      <c r="BH20" s="33" t="n">
        <f aca="false">IF(AND(Source_Data!BH$6&gt;=Inputs!$B$55,Source_Data!BH$6&lt;Inputs!$B$55+3*Inputs!$B$11),Inputs!$B$9*Inputs!$B$7/Inputs!$B$11,0)</f>
        <v>0</v>
      </c>
      <c r="BI20" s="33" t="n">
        <f aca="false">IF(AND(Source_Data!BI$6&gt;=Inputs!$B$55,Source_Data!BI$6&lt;Inputs!$B$55+3*Inputs!$B$11),Inputs!$B$9*Inputs!$B$7/Inputs!$B$11,0)</f>
        <v>0</v>
      </c>
      <c r="BJ20" s="33" t="n">
        <f aca="false">IF(AND(Source_Data!BJ$6&gt;=Inputs!$B$55,Source_Data!BJ$6&lt;Inputs!$B$55+3*Inputs!$B$11),Inputs!$B$9*Inputs!$B$7/Inputs!$B$11,0)</f>
        <v>0</v>
      </c>
      <c r="BK20" s="33" t="n">
        <f aca="false">IF(AND(Source_Data!BK$6&gt;=Inputs!$B$55,Source_Data!BK$6&lt;Inputs!$B$55+3*Inputs!$B$11),Inputs!$B$9*Inputs!$B$7/Inputs!$B$11,0)</f>
        <v>0</v>
      </c>
    </row>
    <row r="21" customFormat="false" ht="15" hidden="false" customHeight="false" outlineLevel="0" collapsed="false">
      <c r="A21" s="3" t="s">
        <v>343</v>
      </c>
      <c r="D21" s="33" t="n">
        <f aca="false">IF(Source_Data!D$6=Inputs!$B$13,-Inputs!$B$7,0)+D20</f>
        <v>-75</v>
      </c>
      <c r="E21" s="33" t="n">
        <f aca="false">IF(Source_Data!E$6=Inputs!$B$13,-Inputs!$B$7,0)+E20</f>
        <v>0</v>
      </c>
      <c r="F21" s="33" t="n">
        <f aca="false">IF(Source_Data!F$6=Inputs!$B$13,-Inputs!$B$7,0)+F20</f>
        <v>0</v>
      </c>
      <c r="G21" s="33" t="n">
        <f aca="false">IF(Source_Data!G$6=Inputs!$B$13,-Inputs!$B$7,0)+G20</f>
        <v>0</v>
      </c>
      <c r="H21" s="33" t="n">
        <f aca="false">IF(Source_Data!H$6=Inputs!$B$13,-Inputs!$B$7,0)+H20</f>
        <v>0</v>
      </c>
      <c r="I21" s="33" t="n">
        <f aca="false">IF(Source_Data!I$6=Inputs!$B$13,-Inputs!$B$7,0)+I20</f>
        <v>0</v>
      </c>
      <c r="J21" s="33" t="n">
        <f aca="false">IF(Source_Data!J$6=Inputs!$B$13,-Inputs!$B$7,0)+J20</f>
        <v>0</v>
      </c>
      <c r="K21" s="33" t="n">
        <f aca="false">IF(Source_Data!K$6=Inputs!$B$13,-Inputs!$B$7,0)+K20</f>
        <v>0</v>
      </c>
      <c r="L21" s="33" t="n">
        <f aca="false">IF(Source_Data!L$6=Inputs!$B$13,-Inputs!$B$7,0)+L20</f>
        <v>0</v>
      </c>
      <c r="M21" s="33" t="n">
        <f aca="false">IF(Source_Data!M$6=Inputs!$B$13,-Inputs!$B$7,0)+M20</f>
        <v>14.375</v>
      </c>
      <c r="N21" s="33" t="n">
        <f aca="false">IF(Source_Data!N$6=Inputs!$B$13,-Inputs!$B$7,0)+N20</f>
        <v>14.375</v>
      </c>
      <c r="O21" s="33" t="n">
        <f aca="false">IF(Source_Data!O$6=Inputs!$B$13,-Inputs!$B$7,0)+O20</f>
        <v>14.375</v>
      </c>
      <c r="P21" s="33" t="n">
        <f aca="false">IF(Source_Data!P$6=Inputs!$B$13,-Inputs!$B$7,0)+P20</f>
        <v>14.375</v>
      </c>
      <c r="Q21" s="33" t="n">
        <f aca="false">IF(Source_Data!Q$6=Inputs!$B$13,-Inputs!$B$7,0)+Q20</f>
        <v>14.375</v>
      </c>
      <c r="R21" s="33" t="n">
        <f aca="false">IF(Source_Data!R$6=Inputs!$B$13,-Inputs!$B$7,0)+R20</f>
        <v>14.375</v>
      </c>
      <c r="S21" s="33" t="n">
        <f aca="false">IF(Source_Data!S$6=Inputs!$B$13,-Inputs!$B$7,0)+S20</f>
        <v>14.375</v>
      </c>
      <c r="T21" s="33" t="n">
        <f aca="false">IF(Source_Data!T$6=Inputs!$B$13,-Inputs!$B$7,0)+T20</f>
        <v>14.375</v>
      </c>
      <c r="U21" s="33" t="n">
        <f aca="false">IF(Source_Data!U$6=Inputs!$B$13,-Inputs!$B$7,0)+U20</f>
        <v>14.375</v>
      </c>
      <c r="V21" s="33" t="n">
        <f aca="false">IF(Source_Data!V$6=Inputs!$B$13,-Inputs!$B$7,0)+V20</f>
        <v>14.375</v>
      </c>
      <c r="W21" s="33" t="n">
        <f aca="false">IF(Source_Data!W$6=Inputs!$B$13,-Inputs!$B$7,0)+W20</f>
        <v>14.375</v>
      </c>
      <c r="X21" s="33" t="n">
        <f aca="false">IF(Source_Data!X$6=Inputs!$B$13,-Inputs!$B$7,0)+X20</f>
        <v>14.375</v>
      </c>
      <c r="Y21" s="33" t="n">
        <f aca="false">IF(Source_Data!Y$6=Inputs!$B$13,-Inputs!$B$7,0)+Y20</f>
        <v>0</v>
      </c>
      <c r="Z21" s="33" t="n">
        <f aca="false">IF(Source_Data!Z$6=Inputs!$B$13,-Inputs!$B$7,0)+Z20</f>
        <v>0</v>
      </c>
      <c r="AA21" s="33" t="n">
        <f aca="false">IF(Source_Data!AA$6=Inputs!$B$13,-Inputs!$B$7,0)+AA20</f>
        <v>0</v>
      </c>
      <c r="AB21" s="33" t="n">
        <f aca="false">IF(Source_Data!AB$6=Inputs!$B$13,-Inputs!$B$7,0)+AB20</f>
        <v>0</v>
      </c>
      <c r="AC21" s="33" t="n">
        <f aca="false">IF(Source_Data!AC$6=Inputs!$B$13,-Inputs!$B$7,0)+AC20</f>
        <v>0</v>
      </c>
      <c r="AD21" s="33" t="n">
        <f aca="false">IF(Source_Data!AD$6=Inputs!$B$13,-Inputs!$B$7,0)+AD20</f>
        <v>0</v>
      </c>
      <c r="AE21" s="33" t="n">
        <f aca="false">IF(Source_Data!AE$6=Inputs!$B$13,-Inputs!$B$7,0)+AE20</f>
        <v>0</v>
      </c>
      <c r="AF21" s="33" t="n">
        <f aca="false">IF(Source_Data!AF$6=Inputs!$B$13,-Inputs!$B$7,0)+AF20</f>
        <v>0</v>
      </c>
      <c r="AG21" s="33" t="n">
        <f aca="false">IF(Source_Data!AG$6=Inputs!$B$13,-Inputs!$B$7,0)+AG20</f>
        <v>0</v>
      </c>
      <c r="AH21" s="33" t="n">
        <f aca="false">IF(Source_Data!AH$6=Inputs!$B$13,-Inputs!$B$7,0)+AH20</f>
        <v>0</v>
      </c>
      <c r="AI21" s="33" t="n">
        <f aca="false">IF(Source_Data!AI$6=Inputs!$B$13,-Inputs!$B$7,0)+AI20</f>
        <v>0</v>
      </c>
      <c r="AJ21" s="33" t="n">
        <f aca="false">IF(Source_Data!AJ$6=Inputs!$B$13,-Inputs!$B$7,0)+AJ20</f>
        <v>0</v>
      </c>
      <c r="AK21" s="33" t="n">
        <f aca="false">IF(Source_Data!AK$6=Inputs!$B$13,-Inputs!$B$7,0)+AK20</f>
        <v>0</v>
      </c>
      <c r="AL21" s="33" t="n">
        <f aca="false">IF(Source_Data!AL$6=Inputs!$B$13,-Inputs!$B$7,0)+AL20</f>
        <v>0</v>
      </c>
      <c r="AM21" s="33" t="n">
        <f aca="false">IF(Source_Data!AM$6=Inputs!$B$13,-Inputs!$B$7,0)+AM20</f>
        <v>0</v>
      </c>
      <c r="AN21" s="33" t="n">
        <f aca="false">IF(Source_Data!AN$6=Inputs!$B$13,-Inputs!$B$7,0)+AN20</f>
        <v>0</v>
      </c>
      <c r="AO21" s="33" t="n">
        <f aca="false">IF(Source_Data!AO$6=Inputs!$B$13,-Inputs!$B$7,0)+AO20</f>
        <v>0</v>
      </c>
      <c r="AP21" s="33" t="n">
        <f aca="false">IF(Source_Data!AP$6=Inputs!$B$13,-Inputs!$B$7,0)+AP20</f>
        <v>0</v>
      </c>
      <c r="AQ21" s="33" t="n">
        <f aca="false">IF(Source_Data!AQ$6=Inputs!$B$13,-Inputs!$B$7,0)+AQ20</f>
        <v>0</v>
      </c>
      <c r="AR21" s="33" t="n">
        <f aca="false">IF(Source_Data!AR$6=Inputs!$B$13,-Inputs!$B$7,0)+AR20</f>
        <v>0</v>
      </c>
      <c r="AS21" s="33" t="n">
        <f aca="false">IF(Source_Data!AS$6=Inputs!$B$13,-Inputs!$B$7,0)+AS20</f>
        <v>0</v>
      </c>
      <c r="AT21" s="33" t="n">
        <f aca="false">IF(Source_Data!AT$6=Inputs!$B$13,-Inputs!$B$7,0)+AT20</f>
        <v>0</v>
      </c>
      <c r="AU21" s="33" t="n">
        <f aca="false">IF(Source_Data!AU$6=Inputs!$B$13,-Inputs!$B$7,0)+AU20</f>
        <v>0</v>
      </c>
      <c r="AV21" s="33" t="n">
        <f aca="false">IF(Source_Data!AV$6=Inputs!$B$13,-Inputs!$B$7,0)+AV20</f>
        <v>0</v>
      </c>
      <c r="AW21" s="33" t="n">
        <f aca="false">IF(Source_Data!AW$6=Inputs!$B$13,-Inputs!$B$7,0)+AW20</f>
        <v>0</v>
      </c>
      <c r="AX21" s="33" t="n">
        <f aca="false">IF(Source_Data!AX$6=Inputs!$B$13,-Inputs!$B$7,0)+AX20</f>
        <v>0</v>
      </c>
      <c r="AY21" s="33" t="n">
        <f aca="false">IF(Source_Data!AY$6=Inputs!$B$13,-Inputs!$B$7,0)+AY20</f>
        <v>0</v>
      </c>
      <c r="AZ21" s="33" t="n">
        <f aca="false">IF(Source_Data!AZ$6=Inputs!$B$13,-Inputs!$B$7,0)+AZ20</f>
        <v>0</v>
      </c>
      <c r="BA21" s="33" t="n">
        <f aca="false">IF(Source_Data!BA$6=Inputs!$B$13,-Inputs!$B$7,0)+BA20</f>
        <v>0</v>
      </c>
      <c r="BB21" s="33" t="n">
        <f aca="false">IF(Source_Data!BB$6=Inputs!$B$13,-Inputs!$B$7,0)+BB20</f>
        <v>0</v>
      </c>
      <c r="BC21" s="33" t="n">
        <f aca="false">IF(Source_Data!BC$6=Inputs!$B$13,-Inputs!$B$7,0)+BC20</f>
        <v>0</v>
      </c>
      <c r="BD21" s="33" t="n">
        <f aca="false">IF(Source_Data!BD$6=Inputs!$B$13,-Inputs!$B$7,0)+BD20</f>
        <v>0</v>
      </c>
      <c r="BE21" s="33" t="n">
        <f aca="false">IF(Source_Data!BE$6=Inputs!$B$13,-Inputs!$B$7,0)+BE20</f>
        <v>0</v>
      </c>
      <c r="BF21" s="33" t="n">
        <f aca="false">IF(Source_Data!BF$6=Inputs!$B$13,-Inputs!$B$7,0)+BF20</f>
        <v>0</v>
      </c>
      <c r="BG21" s="33" t="n">
        <f aca="false">IF(Source_Data!BG$6=Inputs!$B$13,-Inputs!$B$7,0)+BG20</f>
        <v>0</v>
      </c>
      <c r="BH21" s="33" t="n">
        <f aca="false">IF(Source_Data!BH$6=Inputs!$B$13,-Inputs!$B$7,0)+BH20</f>
        <v>0</v>
      </c>
      <c r="BI21" s="33" t="n">
        <f aca="false">IF(Source_Data!BI$6=Inputs!$B$13,-Inputs!$B$7,0)+BI20</f>
        <v>0</v>
      </c>
      <c r="BJ21" s="33" t="n">
        <f aca="false">IF(Source_Data!BJ$6=Inputs!$B$13,-Inputs!$B$7,0)+BJ20</f>
        <v>0</v>
      </c>
      <c r="BK21" s="33" t="n">
        <f aca="false">IF(Source_Data!BK$6=Inputs!$B$13,-Inputs!$B$7,0)+BK20</f>
        <v>0</v>
      </c>
    </row>
    <row r="22" customFormat="false" ht="15" hidden="false" customHeight="false" outlineLevel="0" collapsed="false">
      <c r="A22" s="3" t="s">
        <v>344</v>
      </c>
      <c r="D22" s="33" t="n">
        <f aca="false">IF(Source_Data!D$6=Inputs!$B$13,Inputs!$B$7,0)+D17-D20</f>
        <v>-16.25</v>
      </c>
      <c r="E22" s="33" t="n">
        <f aca="false">D22+IF(Source_Data!E$6=Inputs!$B$13,Inputs!$B$7,0)+E17-E20</f>
        <v>-27.5</v>
      </c>
      <c r="F22" s="33" t="n">
        <f aca="false">E22+IF(Source_Data!F$6=Inputs!$B$13,Inputs!$B$7,0)+F17-F20</f>
        <v>-26.63861</v>
      </c>
      <c r="G22" s="33" t="n">
        <f aca="false">F22+IF(Source_Data!G$6=Inputs!$B$13,Inputs!$B$7,0)+G17-G20</f>
        <v>-13.66583</v>
      </c>
      <c r="H22" s="33" t="n">
        <f aca="false">G22+IF(Source_Data!H$6=Inputs!$B$13,Inputs!$B$7,0)+H17-H20</f>
        <v>-21.956225</v>
      </c>
      <c r="I22" s="33" t="n">
        <f aca="false">H22+IF(Source_Data!I$6=Inputs!$B$13,Inputs!$B$7,0)+I17-I20</f>
        <v>-24.619795</v>
      </c>
      <c r="J22" s="33" t="n">
        <f aca="false">I22+IF(Source_Data!J$6=Inputs!$B$13,Inputs!$B$7,0)+J17-J20</f>
        <v>-52.916347</v>
      </c>
      <c r="K22" s="33" t="n">
        <f aca="false">J22+IF(Source_Data!K$6=Inputs!$B$13,Inputs!$B$7,0)+K17-K20</f>
        <v>-64.6866115</v>
      </c>
      <c r="L22" s="33" t="n">
        <f aca="false">K22+IF(Source_Data!L$6=Inputs!$B$13,Inputs!$B$7,0)+L17-L20</f>
        <v>-72.15054075</v>
      </c>
      <c r="M22" s="33" t="n">
        <f aca="false">L22+IF(Source_Data!M$6=Inputs!$B$13,Inputs!$B$7,0)+M17-M20</f>
        <v>237.95052125</v>
      </c>
      <c r="N22" s="33" t="n">
        <f aca="false">M22+IF(Source_Data!N$6=Inputs!$B$13,Inputs!$B$7,0)+N17-N20</f>
        <v>326.62451325</v>
      </c>
      <c r="O22" s="33" t="n">
        <f aca="false">N22+IF(Source_Data!O$6=Inputs!$B$13,Inputs!$B$7,0)+O17-O20</f>
        <v>408.06350525</v>
      </c>
      <c r="P22" s="33" t="n">
        <f aca="false">O22+IF(Source_Data!P$6=Inputs!$B$13,Inputs!$B$7,0)+P17-P20</f>
        <v>282.37867325</v>
      </c>
      <c r="Q22" s="33" t="n">
        <f aca="false">P22+IF(Source_Data!Q$6=Inputs!$B$13,Inputs!$B$7,0)+Q17-Q20</f>
        <v>134.64300825</v>
      </c>
      <c r="R22" s="33" t="n">
        <f aca="false">Q22+IF(Source_Data!R$6=Inputs!$B$13,Inputs!$B$7,0)+R17-R20</f>
        <v>-63.6926567499998</v>
      </c>
      <c r="S22" s="33" t="n">
        <f aca="false">R22+IF(Source_Data!S$6=Inputs!$B$13,Inputs!$B$7,0)+S17-S20</f>
        <v>-208.51298825</v>
      </c>
      <c r="T22" s="33" t="n">
        <f aca="false">S22+IF(Source_Data!T$6=Inputs!$B$13,Inputs!$B$7,0)+T17-T20</f>
        <v>-218.9066765</v>
      </c>
      <c r="U22" s="33" t="n">
        <f aca="false">T22+IF(Source_Data!U$6=Inputs!$B$13,Inputs!$B$7,0)+U17-U20</f>
        <v>-230.51150375</v>
      </c>
      <c r="V22" s="33" t="n">
        <f aca="false">U22+IF(Source_Data!V$6=Inputs!$B$13,Inputs!$B$7,0)+V17-V20</f>
        <v>-246.907348</v>
      </c>
      <c r="W22" s="33" t="n">
        <f aca="false">V22+IF(Source_Data!W$6=Inputs!$B$13,Inputs!$B$7,0)+W17-W20</f>
        <v>-266.77599225</v>
      </c>
      <c r="X22" s="33" t="n">
        <f aca="false">W22+IF(Source_Data!X$6=Inputs!$B$13,Inputs!$B$7,0)+X17-X20</f>
        <v>-264.1446365</v>
      </c>
      <c r="Y22" s="33" t="n">
        <f aca="false">X22+IF(Source_Data!Y$6=Inputs!$B$13,Inputs!$B$7,0)+Y17-Y20</f>
        <v>-252.96245575</v>
      </c>
      <c r="Z22" s="33" t="n">
        <f aca="false">Y22+IF(Source_Data!Z$6=Inputs!$B$13,Inputs!$B$7,0)+Z17-Z20</f>
        <v>-241.780275</v>
      </c>
      <c r="AA22" s="33" t="n">
        <f aca="false">Z22+IF(Source_Data!AA$6=Inputs!$B$13,Inputs!$B$7,0)+AA17-AA20</f>
        <v>-230.59809425</v>
      </c>
      <c r="AB22" s="33" t="n">
        <f aca="false">AA22+IF(Source_Data!AB$6=Inputs!$B$13,Inputs!$B$7,0)+AB17-AB20</f>
        <v>-201.5463135</v>
      </c>
      <c r="AC22" s="33" t="n">
        <f aca="false">AB22+IF(Source_Data!AC$6=Inputs!$B$13,Inputs!$B$7,0)+AC17-AC20</f>
        <v>-175.1154115</v>
      </c>
      <c r="AD22" s="33" t="n">
        <f aca="false">AC22+IF(Source_Data!AD$6=Inputs!$B$13,Inputs!$B$7,0)+AD17-AD20</f>
        <v>-151.5712745</v>
      </c>
      <c r="AE22" s="33" t="n">
        <f aca="false">AD22+IF(Source_Data!AE$6=Inputs!$B$13,Inputs!$B$7,0)+AE17-AE20</f>
        <v>-131.4999375</v>
      </c>
      <c r="AF22" s="33" t="n">
        <f aca="false">AE22+IF(Source_Data!AF$6=Inputs!$B$13,Inputs!$B$7,0)+AF17-AF20</f>
        <v>-111.4286005</v>
      </c>
      <c r="AG22" s="33" t="n">
        <f aca="false">AF22+IF(Source_Data!AG$6=Inputs!$B$13,Inputs!$B$7,0)+AG17-AG20</f>
        <v>-91.3572634999999</v>
      </c>
      <c r="AH22" s="33" t="n">
        <f aca="false">AG22+IF(Source_Data!AH$6=Inputs!$B$13,Inputs!$B$7,0)+AH17-AH20</f>
        <v>-71.2859264999999</v>
      </c>
      <c r="AI22" s="33" t="n">
        <f aca="false">AH22+IF(Source_Data!AI$6=Inputs!$B$13,Inputs!$B$7,0)+AI17-AI20</f>
        <v>-51.2145894999998</v>
      </c>
      <c r="AJ22" s="33" t="n">
        <f aca="false">AI22+IF(Source_Data!AJ$6=Inputs!$B$13,Inputs!$B$7,0)+AJ17-AJ20</f>
        <v>-31.1432524999998</v>
      </c>
      <c r="AK22" s="33" t="n">
        <f aca="false">AJ22+IF(Source_Data!AK$6=Inputs!$B$13,Inputs!$B$7,0)+AK17-AK20</f>
        <v>-12.8191679999998</v>
      </c>
      <c r="AL22" s="33" t="n">
        <f aca="false">AK22+IF(Source_Data!AL$6=Inputs!$B$13,Inputs!$B$7,0)+AL17-AL20</f>
        <v>5.50491650000016</v>
      </c>
      <c r="AM22" s="33" t="n">
        <f aca="false">AL22+IF(Source_Data!AM$6=Inputs!$B$13,Inputs!$B$7,0)+AM17-AM20</f>
        <v>20.4965600000002</v>
      </c>
      <c r="AN22" s="33" t="n">
        <f aca="false">AM22+IF(Source_Data!AN$6=Inputs!$B$13,Inputs!$B$7,0)+AN17-AN20</f>
        <v>28.1974940000002</v>
      </c>
      <c r="AO22" s="33" t="n">
        <f aca="false">AN22+IF(Source_Data!AO$6=Inputs!$B$13,Inputs!$B$7,0)+AO17-AO20</f>
        <v>31.0538720000002</v>
      </c>
      <c r="AP22" s="33" t="n">
        <f aca="false">AO22+IF(Source_Data!AP$6=Inputs!$B$13,Inputs!$B$7,0)+AP17-AP20</f>
        <v>31.0538720000002</v>
      </c>
      <c r="AQ22" s="33" t="n">
        <f aca="false">AP22+IF(Source_Data!AQ$6=Inputs!$B$13,Inputs!$B$7,0)+AQ17-AQ20</f>
        <v>31.0538720000002</v>
      </c>
      <c r="AR22" s="33" t="n">
        <f aca="false">AQ22+IF(Source_Data!AR$6=Inputs!$B$13,Inputs!$B$7,0)+AR17-AR20</f>
        <v>31.0538720000002</v>
      </c>
      <c r="AS22" s="33" t="n">
        <f aca="false">AR22+IF(Source_Data!AS$6=Inputs!$B$13,Inputs!$B$7,0)+AS17-AS20</f>
        <v>31.0538720000002</v>
      </c>
      <c r="AT22" s="33" t="n">
        <f aca="false">AS22+IF(Source_Data!AT$6=Inputs!$B$13,Inputs!$B$7,0)+AT17-AT20</f>
        <v>31.0538720000002</v>
      </c>
      <c r="AU22" s="33" t="n">
        <f aca="false">AT22+IF(Source_Data!AU$6=Inputs!$B$13,Inputs!$B$7,0)+AU17-AU20</f>
        <v>31.0538720000002</v>
      </c>
      <c r="AV22" s="33" t="n">
        <f aca="false">AU22+IF(Source_Data!AV$6=Inputs!$B$13,Inputs!$B$7,0)+AV17-AV20</f>
        <v>31.0538720000002</v>
      </c>
      <c r="AW22" s="33" t="n">
        <f aca="false">AV22+IF(Source_Data!AW$6=Inputs!$B$13,Inputs!$B$7,0)+AW17-AW20</f>
        <v>31.0538720000002</v>
      </c>
      <c r="AX22" s="33" t="n">
        <f aca="false">AW22+IF(Source_Data!AX$6=Inputs!$B$13,Inputs!$B$7,0)+AX17-AX20</f>
        <v>31.0538720000002</v>
      </c>
      <c r="AY22" s="33" t="n">
        <f aca="false">AX22+IF(Source_Data!AY$6=Inputs!$B$13,Inputs!$B$7,0)+AY17-AY20</f>
        <v>31.0538720000002</v>
      </c>
      <c r="AZ22" s="33" t="n">
        <f aca="false">AY22+IF(Source_Data!AZ$6=Inputs!$B$13,Inputs!$B$7,0)+AZ17-AZ20</f>
        <v>31.0538720000002</v>
      </c>
      <c r="BA22" s="33" t="n">
        <f aca="false">AZ22+IF(Source_Data!BA$6=Inputs!$B$13,Inputs!$B$7,0)+BA17-BA20</f>
        <v>31.0538720000002</v>
      </c>
      <c r="BB22" s="33" t="n">
        <f aca="false">BA22+IF(Source_Data!BB$6=Inputs!$B$13,Inputs!$B$7,0)+BB17-BB20</f>
        <v>31.0538720000002</v>
      </c>
      <c r="BC22" s="33" t="n">
        <f aca="false">BB22+IF(Source_Data!BC$6=Inputs!$B$13,Inputs!$B$7,0)+BC17-BC20</f>
        <v>31.0538720000002</v>
      </c>
      <c r="BD22" s="33" t="n">
        <f aca="false">BC22+IF(Source_Data!BD$6=Inputs!$B$13,Inputs!$B$7,0)+BD17-BD20</f>
        <v>31.0538720000002</v>
      </c>
      <c r="BE22" s="33" t="n">
        <f aca="false">BD22+IF(Source_Data!BE$6=Inputs!$B$13,Inputs!$B$7,0)+BE17-BE20</f>
        <v>31.0538720000002</v>
      </c>
      <c r="BF22" s="33" t="n">
        <f aca="false">BE22+IF(Source_Data!BF$6=Inputs!$B$13,Inputs!$B$7,0)+BF17-BF20</f>
        <v>31.0538720000002</v>
      </c>
      <c r="BG22" s="33" t="n">
        <f aca="false">BF22+IF(Source_Data!BG$6=Inputs!$B$13,Inputs!$B$7,0)+BG17-BG20</f>
        <v>31.0538720000002</v>
      </c>
      <c r="BH22" s="33" t="n">
        <f aca="false">BG22+IF(Source_Data!BH$6=Inputs!$B$13,Inputs!$B$7,0)+BH17-BH20</f>
        <v>31.0538720000002</v>
      </c>
      <c r="BI22" s="33" t="n">
        <f aca="false">BH22+IF(Source_Data!BI$6=Inputs!$B$13,Inputs!$B$7,0)+BI17-BI20</f>
        <v>31.0538720000002</v>
      </c>
      <c r="BJ22" s="33" t="n">
        <f aca="false">BI22+IF(Source_Data!BJ$6=Inputs!$B$13,Inputs!$B$7,0)+BJ17-BJ20</f>
        <v>31.0538720000002</v>
      </c>
      <c r="BK22" s="33" t="n">
        <f aca="false">BJ22+IF(Source_Data!BK$6=Inputs!$B$13,Inputs!$B$7,0)+BK17-BK20</f>
        <v>31.0538720000002</v>
      </c>
    </row>
    <row r="23" customFormat="false" ht="15" hidden="false" customHeight="false" outlineLevel="0" collapsed="false">
      <c r="A23" s="3" t="s">
        <v>345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22.5722477913044</v>
      </c>
      <c r="N23" s="31" t="n">
        <f aca="false">IF(N20&gt;0,N17/N20,"")</f>
        <v>7.16862553043479</v>
      </c>
      <c r="O23" s="31" t="n">
        <f aca="false">IF(O20&gt;0,O17/O20,"")</f>
        <v>6.6653211826087</v>
      </c>
      <c r="P23" s="31" t="n">
        <f aca="false">IF(P20&gt;0,P17/P20,"")</f>
        <v>-7.74329266086957</v>
      </c>
      <c r="Q23" s="31" t="n">
        <f aca="false">IF(Q20&gt;0,Q17/Q20,"")</f>
        <v>-9.27726365217391</v>
      </c>
      <c r="R23" s="31" t="n">
        <f aca="false">IF(R20&gt;0,R17/R20,"")</f>
        <v>-12.7972636521739</v>
      </c>
      <c r="S23" s="31" t="n">
        <f aca="false">IF(S20&gt;0,S17/S20,"")</f>
        <v>-9.07445784347826</v>
      </c>
      <c r="T23" s="31" t="n">
        <f aca="false">IF(T20&gt;0,T17/T20,"")</f>
        <v>0.276960817391305</v>
      </c>
      <c r="U23" s="31" t="n">
        <f aca="false">IF(U20&gt;0,U17/U20,"")</f>
        <v>0.192707669565217</v>
      </c>
      <c r="V23" s="31" t="n">
        <f aca="false">IF(V20&gt;0,V17/V20,"")</f>
        <v>-0.140580469565217</v>
      </c>
      <c r="W23" s="31" t="n">
        <f aca="false">IF(W20&gt;0,W17/W20,"")</f>
        <v>-0.382166556521739</v>
      </c>
      <c r="X23" s="31" t="n">
        <f aca="false">IF(X20&gt;0,X17/X20,"")</f>
        <v>1.18305083478261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346</v>
      </c>
      <c r="D24" s="31" t="str">
        <f aca="false">IF(D20&gt;0,(0+D17+IF(Source_Data!D$6=Inputs!$B$13,Inputs!$B$7,0))/D20,"")</f>
        <v/>
      </c>
      <c r="E24" s="31" t="str">
        <f aca="false">IF(E20&gt;0,(D22+E17+IF(Source_Data!E$6=Inputs!$B$13,Inputs!$B$7,0))/E20,"")</f>
        <v/>
      </c>
      <c r="F24" s="31" t="str">
        <f aca="false">IF(F20&gt;0,(E22+F17+IF(Source_Data!F$6=Inputs!$B$13,Inputs!$B$7,0))/F20,"")</f>
        <v/>
      </c>
      <c r="G24" s="31" t="str">
        <f aca="false">IF(G20&gt;0,(F22+G17+IF(Source_Data!G$6=Inputs!$B$13,Inputs!$B$7,0))/G20,"")</f>
        <v/>
      </c>
      <c r="H24" s="31" t="str">
        <f aca="false">IF(H20&gt;0,(G22+H17+IF(Source_Data!H$6=Inputs!$B$13,Inputs!$B$7,0))/H20,"")</f>
        <v/>
      </c>
      <c r="I24" s="31" t="str">
        <f aca="false">IF(I20&gt;0,(H22+I17+IF(Source_Data!I$6=Inputs!$B$13,Inputs!$B$7,0))/I20,"")</f>
        <v/>
      </c>
      <c r="J24" s="31" t="str">
        <f aca="false">IF(J20&gt;0,(I22+J17+IF(Source_Data!J$6=Inputs!$B$13,Inputs!$B$7,0))/J20,"")</f>
        <v/>
      </c>
      <c r="K24" s="31" t="str">
        <f aca="false">IF(K20&gt;0,(J22+K17+IF(Source_Data!K$6=Inputs!$B$13,Inputs!$B$7,0))/K20,"")</f>
        <v/>
      </c>
      <c r="L24" s="31" t="str">
        <f aca="false">IF(L20&gt;0,(K22+L17+IF(Source_Data!L$6=Inputs!$B$13,Inputs!$B$7,0))/L20,"")</f>
        <v/>
      </c>
      <c r="M24" s="31" t="n">
        <f aca="false">IF(M20&gt;0,(L22+M17+IF(Source_Data!M$6=Inputs!$B$13,Inputs!$B$7,0))/M20,"")</f>
        <v>17.5530797391304</v>
      </c>
      <c r="N24" s="31" t="n">
        <f aca="false">IF(N20&gt;0,(M22+N17+IF(Source_Data!N$6=Inputs!$B$13,Inputs!$B$7,0))/N20,"")</f>
        <v>23.7217052695652</v>
      </c>
      <c r="O24" s="31" t="n">
        <f aca="false">IF(O20&gt;0,(N22+O17+IF(Source_Data!O$6=Inputs!$B$13,Inputs!$B$7,0))/O20,"")</f>
        <v>29.3870264521739</v>
      </c>
      <c r="P24" s="31" t="n">
        <f aca="false">IF(P20&gt;0,(O22+P17+IF(Source_Data!P$6=Inputs!$B$13,Inputs!$B$7,0))/P20,"")</f>
        <v>20.6437337913044</v>
      </c>
      <c r="Q24" s="31" t="n">
        <f aca="false">IF(Q20&gt;0,(P22+Q17+IF(Source_Data!Q$6=Inputs!$B$13,Inputs!$B$7,0))/Q20,"")</f>
        <v>10.3664701391304</v>
      </c>
      <c r="R24" s="31" t="n">
        <f aca="false">IF(R20&gt;0,(Q22+R17+IF(Source_Data!R$6=Inputs!$B$13,Inputs!$B$7,0))/R20,"")</f>
        <v>-3.43079351304347</v>
      </c>
      <c r="S24" s="31" t="n">
        <f aca="false">IF(S20&gt;0,(R22+S17+IF(Source_Data!S$6=Inputs!$B$13,Inputs!$B$7,0))/S20,"")</f>
        <v>-13.5052513565217</v>
      </c>
      <c r="T24" s="31" t="n">
        <f aca="false">IF(T20&gt;0,(S22+T17+IF(Source_Data!T$6=Inputs!$B$13,Inputs!$B$7,0))/T20,"")</f>
        <v>-14.2282905391304</v>
      </c>
      <c r="U24" s="31" t="n">
        <f aca="false">IF(U20&gt;0,(T22+U17+IF(Source_Data!U$6=Inputs!$B$13,Inputs!$B$7,0))/U20,"")</f>
        <v>-15.0355828695652</v>
      </c>
      <c r="V24" s="31" t="n">
        <f aca="false">IF(V20&gt;0,(U22+V17+IF(Source_Data!V$6=Inputs!$B$13,Inputs!$B$7,0))/V20,"")</f>
        <v>-16.1761633391304</v>
      </c>
      <c r="W24" s="31" t="n">
        <f aca="false">IF(W20&gt;0,(V22+W17+IF(Source_Data!W$6=Inputs!$B$13,Inputs!$B$7,0))/W20,"")</f>
        <v>-17.5583298956522</v>
      </c>
      <c r="X24" s="31" t="n">
        <f aca="false">IF(X20&gt;0,(W22+X17+IF(Source_Data!X$6=Inputs!$B$13,Inputs!$B$7,0))/X20,"")</f>
        <v>-17.3752790608696</v>
      </c>
      <c r="Y24" s="31" t="str">
        <f aca="false">IF(Y20&gt;0,(X22+Y17+IF(Source_Data!Y$6=Inputs!$B$13,Inputs!$B$7,0))/Y20,"")</f>
        <v/>
      </c>
      <c r="Z24" s="31" t="str">
        <f aca="false">IF(Z20&gt;0,(Y22+Z17+IF(Source_Data!Z$6=Inputs!$B$13,Inputs!$B$7,0))/Z20,"")</f>
        <v/>
      </c>
      <c r="AA24" s="31" t="str">
        <f aca="false">IF(AA20&gt;0,(Z22+AA17+IF(Source_Data!AA$6=Inputs!$B$13,Inputs!$B$7,0))/AA20,"")</f>
        <v/>
      </c>
      <c r="AB24" s="31" t="str">
        <f aca="false">IF(AB20&gt;0,(AA22+AB17+IF(Source_Data!AB$6=Inputs!$B$13,Inputs!$B$7,0))/AB20,"")</f>
        <v/>
      </c>
      <c r="AC24" s="31" t="str">
        <f aca="false">IF(AC20&gt;0,(AB22+AC17+IF(Source_Data!AC$6=Inputs!$B$13,Inputs!$B$7,0))/AC20,"")</f>
        <v/>
      </c>
      <c r="AD24" s="31" t="str">
        <f aca="false">IF(AD20&gt;0,(AC22+AD17+IF(Source_Data!AD$6=Inputs!$B$13,Inputs!$B$7,0))/AD20,"")</f>
        <v/>
      </c>
      <c r="AE24" s="31" t="str">
        <f aca="false">IF(AE20&gt;0,(AD22+AE17+IF(Source_Data!AE$6=Inputs!$B$13,Inputs!$B$7,0))/AE20,"")</f>
        <v/>
      </c>
      <c r="AF24" s="31" t="str">
        <f aca="false">IF(AF20&gt;0,(AE22+AF17+IF(Source_Data!AF$6=Inputs!$B$13,Inputs!$B$7,0))/AF20,"")</f>
        <v/>
      </c>
      <c r="AG24" s="31" t="str">
        <f aca="false">IF(AG20&gt;0,(AF22+AG17+IF(Source_Data!AG$6=Inputs!$B$13,Inputs!$B$7,0))/AG20,"")</f>
        <v/>
      </c>
      <c r="AH24" s="31" t="str">
        <f aca="false">IF(AH20&gt;0,(AG22+AH17+IF(Source_Data!AH$6=Inputs!$B$13,Inputs!$B$7,0))/AH20,"")</f>
        <v/>
      </c>
      <c r="AI24" s="31" t="str">
        <f aca="false">IF(AI20&gt;0,(AH22+AI17+IF(Source_Data!AI$6=Inputs!$B$13,Inputs!$B$7,0))/AI20,"")</f>
        <v/>
      </c>
      <c r="AJ24" s="31" t="str">
        <f aca="false">IF(AJ20&gt;0,(AI22+AJ17+IF(Source_Data!AJ$6=Inputs!$B$13,Inputs!$B$7,0))/AJ20,"")</f>
        <v/>
      </c>
      <c r="AK24" s="31" t="str">
        <f aca="false">IF(AK20&gt;0,(AJ22+AK17+IF(Source_Data!AK$6=Inputs!$B$13,Inputs!$B$7,0))/AK20,"")</f>
        <v/>
      </c>
      <c r="AL24" s="31" t="str">
        <f aca="false">IF(AL20&gt;0,(AK22+AL17+IF(Source_Data!AL$6=Inputs!$B$13,Inputs!$B$7,0))/AL20,"")</f>
        <v/>
      </c>
      <c r="AM24" s="31" t="str">
        <f aca="false">IF(AM20&gt;0,(AL22+AM17+IF(Source_Data!AM$6=Inputs!$B$13,Inputs!$B$7,0))/AM20,"")</f>
        <v/>
      </c>
      <c r="AN24" s="31" t="str">
        <f aca="false">IF(AN20&gt;0,(AM22+AN17+IF(Source_Data!AN$6=Inputs!$B$13,Inputs!$B$7,0))/AN20,"")</f>
        <v/>
      </c>
      <c r="AO24" s="31" t="str">
        <f aca="false">IF(AO20&gt;0,(AN22+AO17+IF(Source_Data!AO$6=Inputs!$B$13,Inputs!$B$7,0))/AO20,"")</f>
        <v/>
      </c>
      <c r="AP24" s="31" t="str">
        <f aca="false">IF(AP20&gt;0,(AO22+AP17+IF(Source_Data!AP$6=Inputs!$B$13,Inputs!$B$7,0))/AP20,"")</f>
        <v/>
      </c>
      <c r="AQ24" s="31" t="str">
        <f aca="false">IF(AQ20&gt;0,(AP22+AQ17+IF(Source_Data!AQ$6=Inputs!$B$13,Inputs!$B$7,0))/AQ20,"")</f>
        <v/>
      </c>
      <c r="AR24" s="31" t="str">
        <f aca="false">IF(AR20&gt;0,(AQ22+AR17+IF(Source_Data!AR$6=Inputs!$B$13,Inputs!$B$7,0))/AR20,"")</f>
        <v/>
      </c>
      <c r="AS24" s="31" t="str">
        <f aca="false">IF(AS20&gt;0,(AR22+AS17+IF(Source_Data!AS$6=Inputs!$B$13,Inputs!$B$7,0))/AS20,"")</f>
        <v/>
      </c>
      <c r="AT24" s="31" t="str">
        <f aca="false">IF(AT20&gt;0,(AS22+AT17+IF(Source_Data!AT$6=Inputs!$B$13,Inputs!$B$7,0))/AT20,"")</f>
        <v/>
      </c>
      <c r="AU24" s="31" t="str">
        <f aca="false">IF(AU20&gt;0,(AT22+AU17+IF(Source_Data!AU$6=Inputs!$B$13,Inputs!$B$7,0))/AU20,"")</f>
        <v/>
      </c>
      <c r="AV24" s="31" t="str">
        <f aca="false">IF(AV20&gt;0,(AU22+AV17+IF(Source_Data!AV$6=Inputs!$B$13,Inputs!$B$7,0))/AV20,"")</f>
        <v/>
      </c>
      <c r="AW24" s="31" t="str">
        <f aca="false">IF(AW20&gt;0,(AV22+AW17+IF(Source_Data!AW$6=Inputs!$B$13,Inputs!$B$7,0))/AW20,"")</f>
        <v/>
      </c>
      <c r="AX24" s="31" t="str">
        <f aca="false">IF(AX20&gt;0,(AW22+AX17+IF(Source_Data!AX$6=Inputs!$B$13,Inputs!$B$7,0))/AX20,"")</f>
        <v/>
      </c>
      <c r="AY24" s="31" t="str">
        <f aca="false">IF(AY20&gt;0,(AX22+AY17+IF(Source_Data!AY$6=Inputs!$B$13,Inputs!$B$7,0))/AY20,"")</f>
        <v/>
      </c>
      <c r="AZ24" s="31" t="str">
        <f aca="false">IF(AZ20&gt;0,(AY22+AZ17+IF(Source_Data!AZ$6=Inputs!$B$13,Inputs!$B$7,0))/AZ20,"")</f>
        <v/>
      </c>
      <c r="BA24" s="31" t="str">
        <f aca="false">IF(BA20&gt;0,(AZ22+BA17+IF(Source_Data!BA$6=Inputs!$B$13,Inputs!$B$7,0))/BA20,"")</f>
        <v/>
      </c>
      <c r="BB24" s="31" t="str">
        <f aca="false">IF(BB20&gt;0,(BA22+BB17+IF(Source_Data!BB$6=Inputs!$B$13,Inputs!$B$7,0))/BB20,"")</f>
        <v/>
      </c>
      <c r="BC24" s="31" t="str">
        <f aca="false">IF(BC20&gt;0,(BB22+BC17+IF(Source_Data!BC$6=Inputs!$B$13,Inputs!$B$7,0))/BC20,"")</f>
        <v/>
      </c>
      <c r="BD24" s="31" t="str">
        <f aca="false">IF(BD20&gt;0,(BC22+BD17+IF(Source_Data!BD$6=Inputs!$B$13,Inputs!$B$7,0))/BD20,"")</f>
        <v/>
      </c>
      <c r="BE24" s="31" t="str">
        <f aca="false">IF(BE20&gt;0,(BD22+BE17+IF(Source_Data!BE$6=Inputs!$B$13,Inputs!$B$7,0))/BE20,"")</f>
        <v/>
      </c>
      <c r="BF24" s="31" t="str">
        <f aca="false">IF(BF20&gt;0,(BE22+BF17+IF(Source_Data!BF$6=Inputs!$B$13,Inputs!$B$7,0))/BF20,"")</f>
        <v/>
      </c>
      <c r="BG24" s="31" t="str">
        <f aca="false">IF(BG20&gt;0,(BF22+BG17+IF(Source_Data!BG$6=Inputs!$B$13,Inputs!$B$7,0))/BG20,"")</f>
        <v/>
      </c>
      <c r="BH24" s="31" t="str">
        <f aca="false">IF(BH20&gt;0,(BG22+BH17+IF(Source_Data!BH$6=Inputs!$B$13,Inputs!$B$7,0))/BH20,"")</f>
        <v/>
      </c>
      <c r="BI24" s="31" t="str">
        <f aca="false">IF(BI20&gt;0,(BH22+BI17+IF(Source_Data!BI$6=Inputs!$B$13,Inputs!$B$7,0))/BI20,"")</f>
        <v/>
      </c>
      <c r="BJ24" s="31" t="str">
        <f aca="false">IF(BJ20&gt;0,(BI22+BJ17+IF(Source_Data!BJ$6=Inputs!$B$13,Inputs!$B$7,0))/BJ20,"")</f>
        <v/>
      </c>
      <c r="BK24" s="31" t="str">
        <f aca="false">IF(BK20&gt;0,(BJ22+BK17+IF(Source_Data!BK$6=Inputs!$B$13,Inputs!$B$7,0))/BK20,"")</f>
        <v/>
      </c>
    </row>
    <row r="26" customFormat="false" ht="15" hidden="false" customHeight="false" outlineLevel="0" collapsed="false">
      <c r="A26" s="2" t="s">
        <v>222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347</v>
      </c>
      <c r="B27" s="41" t="n">
        <f aca="false">SUMPRODUCT(D17:BK17,Project_CF!$D$15:$BK$15)</f>
        <v>13.4243865094059</v>
      </c>
    </row>
    <row r="28" customFormat="false" ht="15" hidden="false" customHeight="false" outlineLevel="0" collapsed="false">
      <c r="A28" s="2" t="s">
        <v>164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348</v>
      </c>
      <c r="B29" s="35" t="n">
        <f aca="false">INDEX(Project_CF!$D$6:$BK$6,MATCH(MIN(D18:BK18),D18:BK18,0))</f>
        <v>54</v>
      </c>
    </row>
    <row r="30" customFormat="false" ht="15" hidden="false" customHeight="false" outlineLevel="0" collapsed="false">
      <c r="A30" s="2" t="s">
        <v>349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350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351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352</v>
      </c>
      <c r="B33" s="41" t="n">
        <f aca="false">MIN(D22:BK22)</f>
        <v>-266.77599225</v>
      </c>
    </row>
    <row r="34" customFormat="false" ht="15" hidden="false" customHeight="false" outlineLevel="0" collapsed="false">
      <c r="A34" s="2" t="s">
        <v>353</v>
      </c>
      <c r="B34" s="43" t="n">
        <f aca="false">MIN(D23:BK23)</f>
        <v>-12.7972636521739</v>
      </c>
    </row>
    <row r="35" customFormat="false" ht="15" hidden="false" customHeight="false" outlineLevel="0" collapsed="false">
      <c r="A35" s="2" t="s">
        <v>354</v>
      </c>
      <c r="B35" s="35" t="n">
        <f aca="false">COUNTIF(D23:BK23,"&lt;"&amp;Inputs!$B$44)</f>
        <v>9</v>
      </c>
    </row>
    <row r="36" customFormat="false" ht="15" hidden="false" customHeight="false" outlineLevel="0" collapsed="false">
      <c r="A36" s="2" t="s">
        <v>355</v>
      </c>
      <c r="B36" s="43" t="n">
        <f aca="false">MIN(D24:BK24)</f>
        <v>-17.5583298956522</v>
      </c>
    </row>
    <row r="37" customFormat="false" ht="15" hidden="false" customHeight="false" outlineLevel="0" collapsed="false">
      <c r="A37" s="2" t="s">
        <v>356</v>
      </c>
      <c r="B37" s="35" t="n">
        <f aca="false">COUNTIF(D24:BK24,"&lt;"&amp;Inputs!$B$44)</f>
        <v>7</v>
      </c>
    </row>
    <row r="40" customFormat="false" ht="15" hidden="false" customHeight="false" outlineLevel="0" collapsed="false">
      <c r="A40" s="8" t="s">
        <v>360</v>
      </c>
    </row>
    <row r="41" customFormat="false" ht="15" hidden="false" customHeight="false" outlineLevel="0" collapsed="false">
      <c r="A41" s="3" t="s">
        <v>333</v>
      </c>
      <c r="B41" s="45" t="n">
        <v>0.9</v>
      </c>
    </row>
    <row r="42" customFormat="false" ht="15" hidden="false" customHeight="false" outlineLevel="0" collapsed="false">
      <c r="A42" s="3" t="s">
        <v>334</v>
      </c>
      <c r="B42" s="45" t="n">
        <v>0</v>
      </c>
    </row>
    <row r="43" customFormat="false" ht="15" hidden="false" customHeight="false" outlineLevel="0" collapsed="false">
      <c r="A43" s="3" t="s">
        <v>335</v>
      </c>
      <c r="B43" s="45" t="n">
        <v>1</v>
      </c>
    </row>
    <row r="44" customFormat="false" ht="15" hidden="false" customHeight="false" outlineLevel="0" collapsed="false">
      <c r="A44" s="3" t="s">
        <v>336</v>
      </c>
      <c r="B44" s="45" t="n">
        <v>0</v>
      </c>
    </row>
    <row r="45" customFormat="false" ht="15" hidden="false" customHeight="false" outlineLevel="0" collapsed="false">
      <c r="A45" s="3" t="s">
        <v>337</v>
      </c>
      <c r="B45" s="45" t="n">
        <v>0</v>
      </c>
    </row>
    <row r="46" customFormat="false" ht="15" hidden="false" customHeight="false" outlineLevel="0" collapsed="false">
      <c r="A46" s="3" t="s">
        <v>338</v>
      </c>
      <c r="B46" s="3" t="n">
        <f aca="false">Inputs!$B$14+3+3*$B$42</f>
        <v>45</v>
      </c>
    </row>
    <row r="47" customFormat="false" ht="15" hidden="false" customHeight="false" outlineLevel="0" collapsed="false">
      <c r="A47" s="3" t="s">
        <v>339</v>
      </c>
      <c r="D47" s="33" t="n">
        <f aca="false">Source_Data!D$7+IF($B$45=1,IF(Source_Data!D$6=Inputs!$B$14,Source_Data!$C$8,0),Source_Data!D$8)</f>
        <v>0</v>
      </c>
      <c r="E47" s="33" t="n">
        <f aca="false">Source_Data!E$7+IF($B$45=1,IF(Source_Data!E$6=Inputs!$B$14,Source_Data!$C$8,0),Source_Data!E$8)</f>
        <v>0</v>
      </c>
      <c r="F47" s="33" t="n">
        <f aca="false">Source_Data!F$7+IF($B$45=1,IF(Source_Data!F$6=Inputs!$B$14,Source_Data!$C$8,0),Source_Data!F$8)</f>
        <v>15.1392375</v>
      </c>
      <c r="G47" s="33" t="n">
        <f aca="false">Source_Data!G$7+IF($B$45=1,IF(Source_Data!G$6=Inputs!$B$14,Source_Data!$C$8,0),Source_Data!G$8)</f>
        <v>30.278475</v>
      </c>
      <c r="H47" s="33" t="n">
        <f aca="false">Source_Data!H$7+IF($B$45=1,IF(Source_Data!H$6=Inputs!$B$14,Source_Data!$C$8,0),Source_Data!H$8)</f>
        <v>46.51200625</v>
      </c>
      <c r="I47" s="33" t="n">
        <f aca="false">Source_Data!I$7+IF($B$45=1,IF(Source_Data!I$6=Inputs!$B$14,Source_Data!$C$8,0),Source_Data!I$8)</f>
        <v>62.7455375</v>
      </c>
      <c r="J47" s="33" t="n">
        <f aca="false">Source_Data!J$7+IF($B$45=1,IF(Source_Data!J$6=Inputs!$B$14,Source_Data!$C$8,0),Source_Data!J$8)</f>
        <v>62.3657</v>
      </c>
      <c r="K47" s="33" t="n">
        <f aca="false">Source_Data!K$7+IF($B$45=1,IF(Source_Data!K$6=Inputs!$B$14,Source_Data!$C$8,0),Source_Data!K$8)</f>
        <v>63.473559375</v>
      </c>
      <c r="L47" s="33" t="n">
        <f aca="false">Source_Data!L$7+IF($B$45=1,IF(Source_Data!L$6=Inputs!$B$14,Source_Data!$C$8,0),Source_Data!L$8)</f>
        <v>80.3288484375</v>
      </c>
      <c r="M47" s="33" t="n">
        <f aca="false">Source_Data!M$7+IF($B$45=1,IF(Source_Data!M$6=Inputs!$B$14,Source_Data!$C$8,0),Source_Data!M$8)</f>
        <v>495.2538375</v>
      </c>
      <c r="N47" s="33" t="n">
        <f aca="false">Source_Data!N$7+IF($B$45=1,IF(Source_Data!N$6=Inputs!$B$14,Source_Data!$C$8,0),Source_Data!N$8)</f>
        <v>185.57775</v>
      </c>
      <c r="O47" s="33" t="n">
        <f aca="false">Source_Data!O$7+IF($B$45=1,IF(Source_Data!O$6=Inputs!$B$14,Source_Data!$C$8,0),Source_Data!O$8)</f>
        <v>176.534</v>
      </c>
      <c r="P47" s="33" t="n">
        <f aca="false">Source_Data!P$7+IF($B$45=1,IF(Source_Data!P$6=Inputs!$B$14,Source_Data!$C$8,0),Source_Data!P$8)</f>
        <v>97.31075</v>
      </c>
      <c r="Q47" s="33" t="n">
        <f aca="false">Source_Data!Q$7+IF($B$45=1,IF(Source_Data!Q$6=Inputs!$B$14,Source_Data!$C$8,0),Source_Data!Q$8)</f>
        <v>71.30996875</v>
      </c>
      <c r="R47" s="33" t="n">
        <f aca="false">Source_Data!R$7+IF($B$45=1,IF(Source_Data!R$6=Inputs!$B$14,Source_Data!$C$8,0),Source_Data!R$8)</f>
        <v>71.30996875</v>
      </c>
      <c r="S47" s="33" t="n">
        <f aca="false">Source_Data!S$7+IF($B$45=1,IF(Source_Data!S$6=Inputs!$B$14,Source_Data!$C$8,0),Source_Data!S$8)</f>
        <v>68.037035625</v>
      </c>
      <c r="T47" s="33" t="n">
        <f aca="false">Source_Data!T$7+IF($B$45=1,IF(Source_Data!T$6=Inputs!$B$14,Source_Data!$C$8,0),Source_Data!T$8)</f>
        <v>61.2266396875</v>
      </c>
      <c r="U47" s="33" t="n">
        <f aca="false">Source_Data!U$7+IF($B$45=1,IF(Source_Data!U$6=Inputs!$B$14,Source_Data!$C$8,0),Source_Data!U$8)</f>
        <v>59.7127159375</v>
      </c>
      <c r="V47" s="33" t="n">
        <f aca="false">Source_Data!V$7+IF($B$45=1,IF(Source_Data!V$6=Inputs!$B$14,Source_Data!$C$8,0),Source_Data!V$8)</f>
        <v>53.7239446875</v>
      </c>
      <c r="W47" s="33" t="n">
        <f aca="false">Source_Data!W$7+IF($B$45=1,IF(Source_Data!W$6=Inputs!$B$14,Source_Data!$C$8,0),Source_Data!W$8)</f>
        <v>49.3829446875</v>
      </c>
      <c r="X47" s="33" t="n">
        <f aca="false">Source_Data!X$7+IF($B$45=1,IF(Source_Data!X$6=Inputs!$B$14,Source_Data!$C$8,0),Source_Data!X$8)</f>
        <v>49.3829446875</v>
      </c>
      <c r="Y47" s="33" t="n">
        <f aca="false">Source_Data!Y$7+IF($B$45=1,IF(Source_Data!Y$6=Inputs!$B$14,Source_Data!$C$8,0),Source_Data!Y$8)</f>
        <v>42.1027259375</v>
      </c>
      <c r="Z47" s="33" t="n">
        <f aca="false">Source_Data!Z$7+IF($B$45=1,IF(Source_Data!Z$6=Inputs!$B$14,Source_Data!$C$8,0),Source_Data!Z$8)</f>
        <v>42.1027259375</v>
      </c>
      <c r="AA47" s="33" t="n">
        <f aca="false">Source_Data!AA$7+IF($B$45=1,IF(Source_Data!AA$6=Inputs!$B$14,Source_Data!$C$8,0),Source_Data!AA$8)</f>
        <v>42.1027259375</v>
      </c>
      <c r="AB47" s="33" t="n">
        <f aca="false">Source_Data!AB$7+IF($B$45=1,IF(Source_Data!AB$6=Inputs!$B$14,Source_Data!$C$8,0),Source_Data!AB$8)</f>
        <v>36.3147259375</v>
      </c>
      <c r="AC47" s="33" t="n">
        <f aca="false">Source_Data!AC$7+IF($B$45=1,IF(Source_Data!AC$6=Inputs!$B$14,Source_Data!$C$8,0),Source_Data!AC$8)</f>
        <v>33.0386275</v>
      </c>
      <c r="AD47" s="33" t="n">
        <f aca="false">Source_Data!AD$7+IF($B$45=1,IF(Source_Data!AD$6=Inputs!$B$14,Source_Data!$C$8,0),Source_Data!AD$8)</f>
        <v>29.43017125</v>
      </c>
      <c r="AE47" s="33" t="n">
        <f aca="false">Source_Data!AE$7+IF($B$45=1,IF(Source_Data!AE$6=Inputs!$B$14,Source_Data!$C$8,0),Source_Data!AE$8)</f>
        <v>25.08917125</v>
      </c>
      <c r="AF47" s="33" t="n">
        <f aca="false">Source_Data!AF$7+IF($B$45=1,IF(Source_Data!AF$6=Inputs!$B$14,Source_Data!$C$8,0),Source_Data!AF$8)</f>
        <v>25.08917125</v>
      </c>
      <c r="AG47" s="33" t="n">
        <f aca="false">Source_Data!AG$7+IF($B$45=1,IF(Source_Data!AG$6=Inputs!$B$14,Source_Data!$C$8,0),Source_Data!AG$8)</f>
        <v>25.08917125</v>
      </c>
      <c r="AH47" s="33" t="n">
        <f aca="false">Source_Data!AH$7+IF($B$45=1,IF(Source_Data!AH$6=Inputs!$B$14,Source_Data!$C$8,0),Source_Data!AH$8)</f>
        <v>25.08917125</v>
      </c>
      <c r="AI47" s="33" t="n">
        <f aca="false">Source_Data!AI$7+IF($B$45=1,IF(Source_Data!AI$6=Inputs!$B$14,Source_Data!$C$8,0),Source_Data!AI$8)</f>
        <v>25.08917125</v>
      </c>
      <c r="AJ47" s="33" t="n">
        <f aca="false">Source_Data!AJ$7+IF($B$45=1,IF(Source_Data!AJ$6=Inputs!$B$14,Source_Data!$C$8,0),Source_Data!AJ$8)</f>
        <v>25.08917125</v>
      </c>
      <c r="AK47" s="33" t="n">
        <f aca="false">Source_Data!AK$7+IF($B$45=1,IF(Source_Data!AK$6=Inputs!$B$14,Source_Data!$C$8,0),Source_Data!AK$8)</f>
        <v>22.905105625</v>
      </c>
      <c r="AL47" s="33" t="n">
        <f aca="false">Source_Data!AL$7+IF($B$45=1,IF(Source_Data!AL$6=Inputs!$B$14,Source_Data!$C$8,0),Source_Data!AL$8)</f>
        <v>22.905105625</v>
      </c>
      <c r="AM47" s="33" t="n">
        <f aca="false">Source_Data!AM$7+IF($B$45=1,IF(Source_Data!AM$6=Inputs!$B$14,Source_Data!$C$8,0),Source_Data!AM$8)</f>
        <v>18.739554375</v>
      </c>
      <c r="AN47" s="33" t="n">
        <f aca="false">Source_Data!AN$7+IF($B$45=1,IF(Source_Data!AN$6=Inputs!$B$14,Source_Data!$C$8,0),Source_Data!AN$8)</f>
        <v>9.6261675</v>
      </c>
      <c r="AO47" s="33" t="n">
        <f aca="false">Source_Data!AO$7+IF($B$45=1,IF(Source_Data!AO$6=Inputs!$B$14,Source_Data!$C$8,0),Source_Data!AO$8)</f>
        <v>3.5704725</v>
      </c>
      <c r="AP47" s="33" t="n">
        <f aca="false">Source_Data!AP$7+IF($B$45=1,IF(Source_Data!AP$6=Inputs!$B$14,Source_Data!$C$8,0),Source_Data!AP$8)</f>
        <v>0</v>
      </c>
      <c r="AQ47" s="33" t="n">
        <f aca="false">Source_Data!AQ$7+IF($B$45=1,IF(Source_Data!AQ$6=Inputs!$B$14,Source_Data!$C$8,0),Source_Data!AQ$8)</f>
        <v>0</v>
      </c>
      <c r="AR47" s="33" t="n">
        <f aca="false">Source_Data!AR$7+IF($B$45=1,IF(Source_Data!AR$6=Inputs!$B$14,Source_Data!$C$8,0),Source_Data!AR$8)</f>
        <v>0</v>
      </c>
      <c r="AS47" s="33" t="n">
        <f aca="false">Source_Data!AS$7+IF($B$45=1,IF(Source_Data!AS$6=Inputs!$B$14,Source_Data!$C$8,0),Source_Data!AS$8)</f>
        <v>0</v>
      </c>
      <c r="AT47" s="33" t="n">
        <f aca="false">Source_Data!AT$7+IF($B$45=1,IF(Source_Data!AT$6=Inputs!$B$14,Source_Data!$C$8,0),Source_Data!AT$8)</f>
        <v>0</v>
      </c>
      <c r="AU47" s="33" t="n">
        <f aca="false">Source_Data!AU$7+IF($B$45=1,IF(Source_Data!AU$6=Inputs!$B$14,Source_Data!$C$8,0),Source_Data!AU$8)</f>
        <v>0</v>
      </c>
      <c r="AV47" s="33" t="n">
        <f aca="false">Source_Data!AV$7+IF($B$45=1,IF(Source_Data!AV$6=Inputs!$B$14,Source_Data!$C$8,0),Source_Data!AV$8)</f>
        <v>0</v>
      </c>
      <c r="AW47" s="33" t="n">
        <f aca="false">Source_Data!AW$7+IF($B$45=1,IF(Source_Data!AW$6=Inputs!$B$14,Source_Data!$C$8,0),Source_Data!AW$8)</f>
        <v>0</v>
      </c>
      <c r="AX47" s="33" t="n">
        <f aca="false">Source_Data!AX$7+IF($B$45=1,IF(Source_Data!AX$6=Inputs!$B$14,Source_Data!$C$8,0),Source_Data!AX$8)</f>
        <v>0</v>
      </c>
      <c r="AY47" s="33" t="n">
        <f aca="false">Source_Data!AY$7+IF($B$45=1,IF(Source_Data!AY$6=Inputs!$B$14,Source_Data!$C$8,0),Source_Data!AY$8)</f>
        <v>0</v>
      </c>
      <c r="AZ47" s="33" t="n">
        <f aca="false">Source_Data!AZ$7+IF($B$45=1,IF(Source_Data!AZ$6=Inputs!$B$14,Source_Data!$C$8,0),Source_Data!AZ$8)</f>
        <v>0</v>
      </c>
      <c r="BA47" s="33" t="n">
        <f aca="false">Source_Data!BA$7+IF($B$45=1,IF(Source_Data!BA$6=Inputs!$B$14,Source_Data!$C$8,0),Source_Data!BA$8)</f>
        <v>0</v>
      </c>
      <c r="BB47" s="33" t="n">
        <f aca="false">Source_Data!BB$7+IF($B$45=1,IF(Source_Data!BB$6=Inputs!$B$14,Source_Data!$C$8,0),Source_Data!BB$8)</f>
        <v>0</v>
      </c>
      <c r="BC47" s="33" t="n">
        <f aca="false">Source_Data!BC$7+IF($B$45=1,IF(Source_Data!BC$6=Inputs!$B$14,Source_Data!$C$8,0),Source_Data!BC$8)</f>
        <v>0</v>
      </c>
      <c r="BD47" s="33" t="n">
        <f aca="false">Source_Data!BD$7+IF($B$45=1,IF(Source_Data!BD$6=Inputs!$B$14,Source_Data!$C$8,0),Source_Data!BD$8)</f>
        <v>0</v>
      </c>
      <c r="BE47" s="33" t="n">
        <f aca="false">Source_Data!BE$7+IF($B$45=1,IF(Source_Data!BE$6=Inputs!$B$14,Source_Data!$C$8,0),Source_Data!BE$8)</f>
        <v>0</v>
      </c>
      <c r="BF47" s="33" t="n">
        <f aca="false">Source_Data!BF$7+IF($B$45=1,IF(Source_Data!BF$6=Inputs!$B$14,Source_Data!$C$8,0),Source_Data!BF$8)</f>
        <v>0</v>
      </c>
      <c r="BG47" s="33" t="n">
        <f aca="false">Source_Data!BG$7+IF($B$45=1,IF(Source_Data!BG$6=Inputs!$B$14,Source_Data!$C$8,0),Source_Data!BG$8)</f>
        <v>0</v>
      </c>
      <c r="BH47" s="33" t="n">
        <f aca="false">Source_Data!BH$7+IF($B$45=1,IF(Source_Data!BH$6=Inputs!$B$14,Source_Data!$C$8,0),Source_Data!BH$8)</f>
        <v>0</v>
      </c>
      <c r="BI47" s="33" t="n">
        <f aca="false">Source_Data!BI$7+IF($B$45=1,IF(Source_Data!BI$6=Inputs!$B$14,Source_Data!$C$8,0),Source_Data!BI$8)</f>
        <v>0</v>
      </c>
      <c r="BJ47" s="33" t="n">
        <f aca="false">Source_Data!BJ$7+IF($B$45=1,IF(Source_Data!BJ$6=Inputs!$B$14,Source_Data!$C$8,0),Source_Data!BJ$8)</f>
        <v>0</v>
      </c>
      <c r="BK47" s="33" t="n">
        <f aca="false">Source_Data!BK$7+IF($B$45=1,IF(Source_Data!BK$6=Inputs!$B$14,Source_Data!$C$8,0),Source_Data!BK$8)</f>
        <v>0</v>
      </c>
    </row>
    <row r="48" customFormat="false" ht="15" hidden="false" customHeight="false" outlineLevel="0" collapsed="false">
      <c r="A48" s="3" t="s">
        <v>215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340</v>
      </c>
      <c r="D49" s="33" t="n">
        <f aca="false">Source_Data!D$9+Source_Data!D$10*IF(Source_Data!$C$10=0,0,MAX(0,Inputs!$B$20*Inputs!$B$23*$B$41-Inputs!$B$21)/Source_Data!$C$10)</f>
        <v>91.25</v>
      </c>
      <c r="E49" s="33" t="n">
        <f aca="false">Source_Data!E$9+Source_Data!E$10*IF(Source_Data!$C$10=0,0,MAX(0,Inputs!$B$20*Inputs!$B$23*$B$41-Inputs!$B$21)/Source_Data!$C$10)</f>
        <v>11.25</v>
      </c>
      <c r="F49" s="33" t="n">
        <f aca="false">Source_Data!F$9+Source_Data!F$10*IF(Source_Data!$C$10=0,0,MAX(0,Inputs!$B$20*Inputs!$B$23*$B$41-Inputs!$B$21)/Source_Data!$C$10)</f>
        <v>11.25</v>
      </c>
      <c r="G49" s="33" t="n">
        <f aca="false">Source_Data!G$9+Source_Data!G$10*IF(Source_Data!$C$10=0,0,MAX(0,Inputs!$B$20*Inputs!$B$23*$B$41-Inputs!$B$21)/Source_Data!$C$10)</f>
        <v>11.25</v>
      </c>
      <c r="H49" s="33" t="n">
        <f aca="false">Source_Data!H$9+Source_Data!H$10*IF(Source_Data!$C$10=0,0,MAX(0,Inputs!$B$20*Inputs!$B$23*$B$41-Inputs!$B$21)/Source_Data!$C$10)</f>
        <v>22.5</v>
      </c>
      <c r="I49" s="33" t="n">
        <f aca="false">Source_Data!I$9+Source_Data!I$10*IF(Source_Data!$C$10=0,0,MAX(0,Inputs!$B$20*Inputs!$B$23*$B$41-Inputs!$B$21)/Source_Data!$C$10)</f>
        <v>22.5</v>
      </c>
      <c r="J49" s="33" t="n">
        <f aca="false">Source_Data!J$9+Source_Data!J$10*IF(Source_Data!$C$10=0,0,MAX(0,Inputs!$B$20*Inputs!$B$23*$B$41-Inputs!$B$21)/Source_Data!$C$10)</f>
        <v>22.5</v>
      </c>
      <c r="K49" s="33" t="n">
        <f aca="false">Source_Data!K$9+Source_Data!K$10*IF(Source_Data!$C$10=0,0,MAX(0,Inputs!$B$20*Inputs!$B$23*$B$41-Inputs!$B$21)/Source_Data!$C$10)</f>
        <v>22.5</v>
      </c>
      <c r="L49" s="33" t="n">
        <f aca="false">Source_Data!L$9+Source_Data!L$10*IF(Source_Data!$C$10=0,0,MAX(0,Inputs!$B$20*Inputs!$B$23*$B$41-Inputs!$B$21)/Source_Data!$C$10)</f>
        <v>33.75</v>
      </c>
      <c r="M49" s="33" t="n">
        <f aca="false">Source_Data!M$9+Source_Data!M$10*IF(Source_Data!$C$10=0,0,MAX(0,Inputs!$B$20*Inputs!$B$23*$B$41-Inputs!$B$21)/Source_Data!$C$10)</f>
        <v>33.75</v>
      </c>
      <c r="N49" s="33" t="n">
        <f aca="false">Source_Data!N$9+Source_Data!N$10*IF(Source_Data!$C$10=0,0,MAX(0,Inputs!$B$20*Inputs!$B$23*$B$41-Inputs!$B$21)/Source_Data!$C$10)</f>
        <v>33.75</v>
      </c>
      <c r="O49" s="33" t="n">
        <f aca="false">Source_Data!O$9+Source_Data!O$10*IF(Source_Data!$C$10=0,0,MAX(0,Inputs!$B$20*Inputs!$B$23*$B$41-Inputs!$B$21)/Source_Data!$C$10)</f>
        <v>33.75</v>
      </c>
      <c r="P49" s="33" t="n">
        <f aca="false">Source_Data!P$9+Source_Data!P$10*IF(Source_Data!$C$10=0,0,MAX(0,Inputs!$B$20*Inputs!$B$23*$B$41-Inputs!$B$21)/Source_Data!$C$10)</f>
        <v>45</v>
      </c>
      <c r="Q49" s="33" t="n">
        <f aca="false">Source_Data!Q$9+Source_Data!Q$10*IF(Source_Data!$C$10=0,0,MAX(0,Inputs!$B$20*Inputs!$B$23*$B$41-Inputs!$B$21)/Source_Data!$C$10)</f>
        <v>45</v>
      </c>
      <c r="R49" s="33" t="n">
        <f aca="false">Source_Data!R$9+Source_Data!R$10*IF(Source_Data!$C$10=0,0,MAX(0,Inputs!$B$20*Inputs!$B$23*$B$41-Inputs!$B$21)/Source_Data!$C$10)</f>
        <v>45</v>
      </c>
      <c r="S49" s="33" t="n">
        <f aca="false">Source_Data!S$9+Source_Data!S$10*IF(Source_Data!$C$10=0,0,MAX(0,Inputs!$B$20*Inputs!$B$23*$B$41-Inputs!$B$21)/Source_Data!$C$10)</f>
        <v>45</v>
      </c>
      <c r="T49" s="33" t="n">
        <f aca="false">Source_Data!T$9+Source_Data!T$10*IF(Source_Data!$C$10=0,0,MAX(0,Inputs!$B$20*Inputs!$B$23*$B$41-Inputs!$B$21)/Source_Data!$C$10)</f>
        <v>45</v>
      </c>
      <c r="U49" s="33" t="n">
        <f aca="false">Source_Data!U$9+Source_Data!U$10*IF(Source_Data!$C$10=0,0,MAX(0,Inputs!$B$20*Inputs!$B$23*$B$41-Inputs!$B$21)/Source_Data!$C$10)</f>
        <v>45</v>
      </c>
      <c r="V49" s="33" t="n">
        <f aca="false">Source_Data!V$9+Source_Data!V$10*IF(Source_Data!$C$10=0,0,MAX(0,Inputs!$B$20*Inputs!$B$23*$B$41-Inputs!$B$21)/Source_Data!$C$10)</f>
        <v>45</v>
      </c>
      <c r="W49" s="33" t="n">
        <f aca="false">Source_Data!W$9+Source_Data!W$10*IF(Source_Data!$C$10=0,0,MAX(0,Inputs!$B$20*Inputs!$B$23*$B$41-Inputs!$B$21)/Source_Data!$C$10)</f>
        <v>45</v>
      </c>
      <c r="X49" s="33" t="n">
        <f aca="false">Source_Data!X$9+Source_Data!X$10*IF(Source_Data!$C$10=0,0,MAX(0,Inputs!$B$20*Inputs!$B$23*$B$41-Inputs!$B$21)/Source_Data!$C$10)</f>
        <v>22.5</v>
      </c>
      <c r="Y49" s="33" t="n">
        <f aca="false">Source_Data!Y$9+Source_Data!Y$10*IF(Source_Data!$C$10=0,0,MAX(0,Inputs!$B$20*Inputs!$B$23*$B$41-Inputs!$B$21)/Source_Data!$C$10)</f>
        <v>22.5</v>
      </c>
      <c r="Z49" s="33" t="n">
        <f aca="false">Source_Data!Z$9+Source_Data!Z$10*IF(Source_Data!$C$10=0,0,MAX(0,Inputs!$B$20*Inputs!$B$23*$B$41-Inputs!$B$21)/Source_Data!$C$10)</f>
        <v>22.5</v>
      </c>
      <c r="AA49" s="33" t="n">
        <f aca="false">Source_Data!AA$9+Source_Data!AA$10*IF(Source_Data!$C$10=0,0,MAX(0,Inputs!$B$20*Inputs!$B$23*$B$41-Inputs!$B$21)/Source_Data!$C$10)</f>
        <v>22.5</v>
      </c>
      <c r="AB49" s="33" t="n">
        <f aca="false">Source_Data!AB$9+Source_Data!AB$10*IF(Source_Data!$C$10=0,0,MAX(0,Inputs!$B$20*Inputs!$B$23*$B$41-Inputs!$B$21)/Source_Data!$C$10)</f>
        <v>0</v>
      </c>
      <c r="AC49" s="33" t="n">
        <f aca="false">Source_Data!AC$9+Source_Data!AC$10*IF(Source_Data!$C$10=0,0,MAX(0,Inputs!$B$20*Inputs!$B$23*$B$41-Inputs!$B$21)/Source_Data!$C$10)</f>
        <v>0</v>
      </c>
      <c r="AD49" s="33" t="n">
        <f aca="false">Source_Data!AD$9+Source_Data!AD$10*IF(Source_Data!$C$10=0,0,MAX(0,Inputs!$B$20*Inputs!$B$23*$B$41-Inputs!$B$21)/Source_Data!$C$10)</f>
        <v>0</v>
      </c>
      <c r="AE49" s="33" t="n">
        <f aca="false">Source_Data!AE$9+Source_Data!AE$10*IF(Source_Data!$C$10=0,0,MAX(0,Inputs!$B$20*Inputs!$B$23*$B$41-Inputs!$B$21)/Source_Data!$C$10)</f>
        <v>0</v>
      </c>
      <c r="AF49" s="33" t="n">
        <f aca="false">Source_Data!AF$9+Source_Data!AF$10*IF(Source_Data!$C$10=0,0,MAX(0,Inputs!$B$20*Inputs!$B$23*$B$41-Inputs!$B$21)/Source_Data!$C$10)</f>
        <v>50.5544747578603</v>
      </c>
      <c r="AG49" s="33" t="n">
        <f aca="false">Source_Data!AG$9+Source_Data!AG$10*IF(Source_Data!$C$10=0,0,MAX(0,Inputs!$B$20*Inputs!$B$23*$B$41-Inputs!$B$21)/Source_Data!$C$10)</f>
        <v>5.14960130045416</v>
      </c>
      <c r="AH49" s="33" t="n">
        <f aca="false">Source_Data!AH$9+Source_Data!AH$10*IF(Source_Data!$C$10=0,0,MAX(0,Inputs!$B$20*Inputs!$B$23*$B$41-Inputs!$B$21)/Source_Data!$C$10)</f>
        <v>5.14960130045416</v>
      </c>
      <c r="AI49" s="33" t="n">
        <f aca="false">Source_Data!AI$9+Source_Data!AI$10*IF(Source_Data!$C$10=0,0,MAX(0,Inputs!$B$20*Inputs!$B$23*$B$41-Inputs!$B$21)/Source_Data!$C$10)</f>
        <v>5.14960130045416</v>
      </c>
      <c r="AJ49" s="33" t="n">
        <f aca="false">Source_Data!AJ$9+Source_Data!AJ$10*IF(Source_Data!$C$10=0,0,MAX(0,Inputs!$B$20*Inputs!$B$23*$B$41-Inputs!$B$21)/Source_Data!$C$10)</f>
        <v>5.14960130045416</v>
      </c>
      <c r="AK49" s="33" t="n">
        <f aca="false">Source_Data!AK$9+Source_Data!AK$10*IF(Source_Data!$C$10=0,0,MAX(0,Inputs!$B$20*Inputs!$B$23*$B$41-Inputs!$B$21)/Source_Data!$C$10)</f>
        <v>4.70131757395294</v>
      </c>
      <c r="AL49" s="33" t="n">
        <f aca="false">Source_Data!AL$9+Source_Data!AL$10*IF(Source_Data!$C$10=0,0,MAX(0,Inputs!$B$20*Inputs!$B$23*$B$41-Inputs!$B$21)/Source_Data!$C$10)</f>
        <v>4.70131757395294</v>
      </c>
      <c r="AM49" s="33" t="n">
        <f aca="false">Source_Data!AM$9+Source_Data!AM$10*IF(Source_Data!$C$10=0,0,MAX(0,Inputs!$B$20*Inputs!$B$23*$B$41-Inputs!$B$21)/Source_Data!$C$10)</f>
        <v>3.84633006079989</v>
      </c>
      <c r="AN49" s="33" t="n">
        <f aca="false">Source_Data!AN$9+Source_Data!AN$10*IF(Source_Data!$C$10=0,0,MAX(0,Inputs!$B$20*Inputs!$B$23*$B$41-Inputs!$B$21)/Source_Data!$C$10)</f>
        <v>1.97578964177183</v>
      </c>
      <c r="AO49" s="33" t="n">
        <f aca="false">Source_Data!AO$9+Source_Data!AO$10*IF(Source_Data!$C$10=0,0,MAX(0,Inputs!$B$20*Inputs!$B$23*$B$41-Inputs!$B$21)/Source_Data!$C$10)</f>
        <v>0.73284643984547</v>
      </c>
      <c r="AP49" s="33" t="n">
        <f aca="false">Source_Data!AP$9+Source_Data!AP$10*IF(Source_Data!$C$10=0,0,MAX(0,Inputs!$B$20*Inputs!$B$23*$B$41-Inputs!$B$21)/Source_Data!$C$10)</f>
        <v>0</v>
      </c>
      <c r="AQ49" s="33" t="n">
        <f aca="false">Source_Data!AQ$9+Source_Data!AQ$10*IF(Source_Data!$C$10=0,0,MAX(0,Inputs!$B$20*Inputs!$B$23*$B$41-Inputs!$B$21)/Source_Data!$C$10)</f>
        <v>0</v>
      </c>
      <c r="AR49" s="33" t="n">
        <f aca="false">Source_Data!AR$9+Source_Data!AR$10*IF(Source_Data!$C$10=0,0,MAX(0,Inputs!$B$20*Inputs!$B$23*$B$41-Inputs!$B$21)/Source_Data!$C$10)</f>
        <v>0</v>
      </c>
      <c r="AS49" s="33" t="n">
        <f aca="false">Source_Data!AS$9+Source_Data!AS$10*IF(Source_Data!$C$10=0,0,MAX(0,Inputs!$B$20*Inputs!$B$23*$B$41-Inputs!$B$21)/Source_Data!$C$10)</f>
        <v>0</v>
      </c>
      <c r="AT49" s="33" t="n">
        <f aca="false">Source_Data!AT$9+Source_Data!AT$10*IF(Source_Data!$C$10=0,0,MAX(0,Inputs!$B$20*Inputs!$B$23*$B$41-Inputs!$B$21)/Source_Data!$C$10)</f>
        <v>0</v>
      </c>
      <c r="AU49" s="33" t="n">
        <f aca="false">Source_Data!AU$9+Source_Data!AU$10*IF(Source_Data!$C$10=0,0,MAX(0,Inputs!$B$20*Inputs!$B$23*$B$41-Inputs!$B$21)/Source_Data!$C$10)</f>
        <v>0</v>
      </c>
      <c r="AV49" s="33" t="n">
        <f aca="false">Source_Data!AV$9+Source_Data!AV$10*IF(Source_Data!$C$10=0,0,MAX(0,Inputs!$B$20*Inputs!$B$23*$B$41-Inputs!$B$21)/Source_Data!$C$10)</f>
        <v>0</v>
      </c>
      <c r="AW49" s="33" t="n">
        <f aca="false">Source_Data!AW$9+Source_Data!AW$10*IF(Source_Data!$C$10=0,0,MAX(0,Inputs!$B$20*Inputs!$B$23*$B$41-Inputs!$B$21)/Source_Data!$C$10)</f>
        <v>0</v>
      </c>
      <c r="AX49" s="33" t="n">
        <f aca="false">Source_Data!AX$9+Source_Data!AX$10*IF(Source_Data!$C$10=0,0,MAX(0,Inputs!$B$20*Inputs!$B$23*$B$41-Inputs!$B$21)/Source_Data!$C$10)</f>
        <v>0</v>
      </c>
      <c r="AY49" s="33" t="n">
        <f aca="false">Source_Data!AY$9+Source_Data!AY$10*IF(Source_Data!$C$10=0,0,MAX(0,Inputs!$B$20*Inputs!$B$23*$B$41-Inputs!$B$21)/Source_Data!$C$10)</f>
        <v>0</v>
      </c>
      <c r="AZ49" s="33" t="n">
        <f aca="false">Source_Data!AZ$9+Source_Data!AZ$10*IF(Source_Data!$C$10=0,0,MAX(0,Inputs!$B$20*Inputs!$B$23*$B$41-Inputs!$B$21)/Source_Data!$C$10)</f>
        <v>0</v>
      </c>
      <c r="BA49" s="33" t="n">
        <f aca="false">Source_Data!BA$9+Source_Data!BA$10*IF(Source_Data!$C$10=0,0,MAX(0,Inputs!$B$20*Inputs!$B$23*$B$41-Inputs!$B$21)/Source_Data!$C$10)</f>
        <v>0</v>
      </c>
      <c r="BB49" s="33" t="n">
        <f aca="false">Source_Data!BB$9+Source_Data!BB$10*IF(Source_Data!$C$10=0,0,MAX(0,Inputs!$B$20*Inputs!$B$23*$B$41-Inputs!$B$21)/Source_Data!$C$10)</f>
        <v>0</v>
      </c>
      <c r="BC49" s="33" t="n">
        <f aca="false">Source_Data!BC$9+Source_Data!BC$10*IF(Source_Data!$C$10=0,0,MAX(0,Inputs!$B$20*Inputs!$B$23*$B$41-Inputs!$B$21)/Source_Data!$C$10)</f>
        <v>0</v>
      </c>
      <c r="BD49" s="33" t="n">
        <f aca="false">Source_Data!BD$9+Source_Data!BD$10*IF(Source_Data!$C$10=0,0,MAX(0,Inputs!$B$20*Inputs!$B$23*$B$41-Inputs!$B$21)/Source_Data!$C$10)</f>
        <v>0</v>
      </c>
      <c r="BE49" s="33" t="n">
        <f aca="false">Source_Data!BE$9+Source_Data!BE$10*IF(Source_Data!$C$10=0,0,MAX(0,Inputs!$B$20*Inputs!$B$23*$B$41-Inputs!$B$21)/Source_Data!$C$10)</f>
        <v>0</v>
      </c>
      <c r="BF49" s="33" t="n">
        <f aca="false">Source_Data!BF$9+Source_Data!BF$10*IF(Source_Data!$C$10=0,0,MAX(0,Inputs!$B$20*Inputs!$B$23*$B$41-Inputs!$B$21)/Source_Data!$C$10)</f>
        <v>0</v>
      </c>
      <c r="BG49" s="33" t="n">
        <f aca="false">Source_Data!BG$9+Source_Data!BG$10*IF(Source_Data!$C$10=0,0,MAX(0,Inputs!$B$20*Inputs!$B$23*$B$41-Inputs!$B$21)/Source_Data!$C$10)</f>
        <v>0</v>
      </c>
      <c r="BH49" s="33" t="n">
        <f aca="false">Source_Data!BH$9+Source_Data!BH$10*IF(Source_Data!$C$10=0,0,MAX(0,Inputs!$B$20*Inputs!$B$23*$B$41-Inputs!$B$21)/Source_Data!$C$10)</f>
        <v>0</v>
      </c>
      <c r="BI49" s="33" t="n">
        <f aca="false">Source_Data!BI$9+Source_Data!BI$10*IF(Source_Data!$C$10=0,0,MAX(0,Inputs!$B$20*Inputs!$B$23*$B$41-Inputs!$B$21)/Source_Data!$C$10)</f>
        <v>0</v>
      </c>
      <c r="BJ49" s="33" t="n">
        <f aca="false">Source_Data!BJ$9+Source_Data!BJ$10*IF(Source_Data!$C$10=0,0,MAX(0,Inputs!$B$20*Inputs!$B$23*$B$41-Inputs!$B$21)/Source_Data!$C$10)</f>
        <v>0</v>
      </c>
      <c r="BK49" s="33" t="n">
        <f aca="false">Source_Data!BK$9+Source_Data!BK$10*IF(Source_Data!$C$10=0,0,MAX(0,Inputs!$B$20*Inputs!$B$23*$B$41-Inputs!$B$21)/Source_Data!$C$10)</f>
        <v>0</v>
      </c>
    </row>
    <row r="50" customFormat="false" ht="15" hidden="false" customHeight="false" outlineLevel="0" collapsed="false">
      <c r="A50" s="3" t="s">
        <v>196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198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217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218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219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341</v>
      </c>
      <c r="D55" s="33" t="n">
        <f aca="false">IF(Source_Data!D$6=Inputs!$B$13,-Inputs!$B$7,0)+IF(AND(Source_Data!D$6&gt;=$B$46,Source_Data!D$6&lt;$B$46+3*Inputs!$B$17,MOD(Source_Data!D$6-$B$46,3)=0),Inputs!$B$8*Inputs!$B$7*Inputs!$B$35*$B$41*(1-Inputs!$B$16)/Inputs!$B$17,0)</f>
        <v>-75</v>
      </c>
      <c r="E55" s="33" t="n">
        <f aca="false">IF(Source_Data!E$6=Inputs!$B$13,-Inputs!$B$7,0)+IF(AND(Source_Data!E$6&gt;=$B$46,Source_Data!E$6&lt;$B$46+3*Inputs!$B$17,MOD(Source_Data!E$6-$B$46,3)=0),Inputs!$B$8*Inputs!$B$7*Inputs!$B$35*$B$41*(1-Inputs!$B$16)/Inputs!$B$17,0)</f>
        <v>0</v>
      </c>
      <c r="F55" s="33" t="n">
        <f aca="false">IF(Source_Data!F$6=Inputs!$B$13,-Inputs!$B$7,0)+IF(AND(Source_Data!F$6&gt;=$B$46,Source_Data!F$6&lt;$B$46+3*Inputs!$B$17,MOD(Source_Data!F$6-$B$46,3)=0),Inputs!$B$8*Inputs!$B$7*Inputs!$B$35*$B$41*(1-Inputs!$B$16)/Inputs!$B$17,0)</f>
        <v>0</v>
      </c>
      <c r="G55" s="33" t="n">
        <f aca="false">IF(Source_Data!G$6=Inputs!$B$13,-Inputs!$B$7,0)+IF(AND(Source_Data!G$6&gt;=$B$46,Source_Data!G$6&lt;$B$46+3*Inputs!$B$17,MOD(Source_Data!G$6-$B$46,3)=0),Inputs!$B$8*Inputs!$B$7*Inputs!$B$35*$B$41*(1-Inputs!$B$16)/Inputs!$B$17,0)</f>
        <v>0</v>
      </c>
      <c r="H55" s="33" t="n">
        <f aca="false">IF(Source_Data!H$6=Inputs!$B$13,-Inputs!$B$7,0)+IF(AND(Source_Data!H$6&gt;=$B$46,Source_Data!H$6&lt;$B$46+3*Inputs!$B$17,MOD(Source_Data!H$6-$B$46,3)=0),Inputs!$B$8*Inputs!$B$7*Inputs!$B$35*$B$41*(1-Inputs!$B$16)/Inputs!$B$17,0)</f>
        <v>0</v>
      </c>
      <c r="I55" s="33" t="n">
        <f aca="false">IF(Source_Data!I$6=Inputs!$B$13,-Inputs!$B$7,0)+IF(AND(Source_Data!I$6&gt;=$B$46,Source_Data!I$6&lt;$B$46+3*Inputs!$B$17,MOD(Source_Data!I$6-$B$46,3)=0),Inputs!$B$8*Inputs!$B$7*Inputs!$B$35*$B$41*(1-Inputs!$B$16)/Inputs!$B$17,0)</f>
        <v>0</v>
      </c>
      <c r="J55" s="33" t="n">
        <f aca="false">IF(Source_Data!J$6=Inputs!$B$13,-Inputs!$B$7,0)+IF(AND(Source_Data!J$6&gt;=$B$46,Source_Data!J$6&lt;$B$46+3*Inputs!$B$17,MOD(Source_Data!J$6-$B$46,3)=0),Inputs!$B$8*Inputs!$B$7*Inputs!$B$35*$B$41*(1-Inputs!$B$16)/Inputs!$B$17,0)</f>
        <v>0</v>
      </c>
      <c r="K55" s="33" t="n">
        <f aca="false">IF(Source_Data!K$6=Inputs!$B$13,-Inputs!$B$7,0)+IF(AND(Source_Data!K$6&gt;=$B$46,Source_Data!K$6&lt;$B$46+3*Inputs!$B$17,MOD(Source_Data!K$6-$B$46,3)=0),Inputs!$B$8*Inputs!$B$7*Inputs!$B$35*$B$41*(1-Inputs!$B$16)/Inputs!$B$17,0)</f>
        <v>0</v>
      </c>
      <c r="L55" s="33" t="n">
        <f aca="false">IF(Source_Data!L$6=Inputs!$B$13,-Inputs!$B$7,0)+IF(AND(Source_Data!L$6&gt;=$B$46,Source_Data!L$6&lt;$B$46+3*Inputs!$B$17,MOD(Source_Data!L$6-$B$46,3)=0),Inputs!$B$8*Inputs!$B$7*Inputs!$B$35*$B$41*(1-Inputs!$B$16)/Inputs!$B$17,0)</f>
        <v>0</v>
      </c>
      <c r="M55" s="33" t="n">
        <f aca="false">IF(Source_Data!M$6=Inputs!$B$13,-Inputs!$B$7,0)+IF(AND(Source_Data!M$6&gt;=$B$46,Source_Data!M$6&lt;$B$46+3*Inputs!$B$17,MOD(Source_Data!M$6-$B$46,3)=0),Inputs!$B$8*Inputs!$B$7*Inputs!$B$35*$B$41*(1-Inputs!$B$16)/Inputs!$B$17,0)</f>
        <v>0</v>
      </c>
      <c r="N55" s="33" t="n">
        <f aca="false">IF(Source_Data!N$6=Inputs!$B$13,-Inputs!$B$7,0)+IF(AND(Source_Data!N$6&gt;=$B$46,Source_Data!N$6&lt;$B$46+3*Inputs!$B$17,MOD(Source_Data!N$6-$B$46,3)=0),Inputs!$B$8*Inputs!$B$7*Inputs!$B$35*$B$41*(1-Inputs!$B$16)/Inputs!$B$17,0)</f>
        <v>0</v>
      </c>
      <c r="O55" s="33" t="n">
        <f aca="false">IF(Source_Data!O$6=Inputs!$B$13,-Inputs!$B$7,0)+IF(AND(Source_Data!O$6&gt;=$B$46,Source_Data!O$6&lt;$B$46+3*Inputs!$B$17,MOD(Source_Data!O$6-$B$46,3)=0),Inputs!$B$8*Inputs!$B$7*Inputs!$B$35*$B$41*(1-Inputs!$B$16)/Inputs!$B$17,0)</f>
        <v>0</v>
      </c>
      <c r="P55" s="33" t="n">
        <f aca="false">IF(Source_Data!P$6=Inputs!$B$13,-Inputs!$B$7,0)+IF(AND(Source_Data!P$6&gt;=$B$46,Source_Data!P$6&lt;$B$46+3*Inputs!$B$17,MOD(Source_Data!P$6-$B$46,3)=0),Inputs!$B$8*Inputs!$B$7*Inputs!$B$35*$B$41*(1-Inputs!$B$16)/Inputs!$B$17,0)</f>
        <v>0</v>
      </c>
      <c r="Q55" s="33" t="n">
        <f aca="false">IF(Source_Data!Q$6=Inputs!$B$13,-Inputs!$B$7,0)+IF(AND(Source_Data!Q$6&gt;=$B$46,Source_Data!Q$6&lt;$B$46+3*Inputs!$B$17,MOD(Source_Data!Q$6-$B$46,3)=0),Inputs!$B$8*Inputs!$B$7*Inputs!$B$35*$B$41*(1-Inputs!$B$16)/Inputs!$B$17,0)</f>
        <v>0</v>
      </c>
      <c r="R55" s="33" t="n">
        <f aca="false">IF(Source_Data!R$6=Inputs!$B$13,-Inputs!$B$7,0)+IF(AND(Source_Data!R$6&gt;=$B$46,Source_Data!R$6&lt;$B$46+3*Inputs!$B$17,MOD(Source_Data!R$6-$B$46,3)=0),Inputs!$B$8*Inputs!$B$7*Inputs!$B$35*$B$41*(1-Inputs!$B$16)/Inputs!$B$17,0)</f>
        <v>0</v>
      </c>
      <c r="S55" s="33" t="n">
        <f aca="false">IF(Source_Data!S$6=Inputs!$B$13,-Inputs!$B$7,0)+IF(AND(Source_Data!S$6&gt;=$B$46,Source_Data!S$6&lt;$B$46+3*Inputs!$B$17,MOD(Source_Data!S$6-$B$46,3)=0),Inputs!$B$8*Inputs!$B$7*Inputs!$B$35*$B$41*(1-Inputs!$B$16)/Inputs!$B$17,0)</f>
        <v>0</v>
      </c>
      <c r="T55" s="33" t="n">
        <f aca="false">IF(Source_Data!T$6=Inputs!$B$13,-Inputs!$B$7,0)+IF(AND(Source_Data!T$6&gt;=$B$46,Source_Data!T$6&lt;$B$46+3*Inputs!$B$17,MOD(Source_Data!T$6-$B$46,3)=0),Inputs!$B$8*Inputs!$B$7*Inputs!$B$35*$B$41*(1-Inputs!$B$16)/Inputs!$B$17,0)</f>
        <v>46.9354838709678</v>
      </c>
      <c r="U55" s="33" t="n">
        <f aca="false">IF(Source_Data!U$6=Inputs!$B$13,-Inputs!$B$7,0)+IF(AND(Source_Data!U$6&gt;=$B$46,Source_Data!U$6&lt;$B$46+3*Inputs!$B$17,MOD(Source_Data!U$6-$B$46,3)=0),Inputs!$B$8*Inputs!$B$7*Inputs!$B$35*$B$41*(1-Inputs!$B$16)/Inputs!$B$17,0)</f>
        <v>46.9354838709678</v>
      </c>
      <c r="V55" s="33" t="n">
        <f aca="false">IF(Source_Data!V$6=Inputs!$B$13,-Inputs!$B$7,0)+IF(AND(Source_Data!V$6&gt;=$B$46,Source_Data!V$6&lt;$B$46+3*Inputs!$B$17,MOD(Source_Data!V$6-$B$46,3)=0),Inputs!$B$8*Inputs!$B$7*Inputs!$B$35*$B$41*(1-Inputs!$B$16)/Inputs!$B$17,0)</f>
        <v>46.9354838709678</v>
      </c>
      <c r="W55" s="33" t="n">
        <f aca="false">IF(Source_Data!W$6=Inputs!$B$13,-Inputs!$B$7,0)+IF(AND(Source_Data!W$6&gt;=$B$46,Source_Data!W$6&lt;$B$46+3*Inputs!$B$17,MOD(Source_Data!W$6-$B$46,3)=0),Inputs!$B$8*Inputs!$B$7*Inputs!$B$35*$B$41*(1-Inputs!$B$16)/Inputs!$B$17,0)</f>
        <v>46.9354838709678</v>
      </c>
      <c r="X55" s="33" t="n">
        <f aca="false">IF(Source_Data!X$6=Inputs!$B$13,-Inputs!$B$7,0)+IF(AND(Source_Data!X$6&gt;=$B$46,Source_Data!X$6&lt;$B$46+3*Inputs!$B$17,MOD(Source_Data!X$6-$B$46,3)=0),Inputs!$B$8*Inputs!$B$7*Inputs!$B$35*$B$41*(1-Inputs!$B$16)/Inputs!$B$17,0)</f>
        <v>0</v>
      </c>
      <c r="Y55" s="33" t="n">
        <f aca="false">IF(Source_Data!Y$6=Inputs!$B$13,-Inputs!$B$7,0)+IF(AND(Source_Data!Y$6&gt;=$B$46,Source_Data!Y$6&lt;$B$46+3*Inputs!$B$17,MOD(Source_Data!Y$6-$B$46,3)=0),Inputs!$B$8*Inputs!$B$7*Inputs!$B$35*$B$41*(1-Inputs!$B$16)/Inputs!$B$17,0)</f>
        <v>0</v>
      </c>
      <c r="Z55" s="33" t="n">
        <f aca="false">IF(Source_Data!Z$6=Inputs!$B$13,-Inputs!$B$7,0)+IF(AND(Source_Data!Z$6&gt;=$B$46,Source_Data!Z$6&lt;$B$46+3*Inputs!$B$17,MOD(Source_Data!Z$6-$B$46,3)=0),Inputs!$B$8*Inputs!$B$7*Inputs!$B$35*$B$41*(1-Inputs!$B$16)/Inputs!$B$17,0)</f>
        <v>0</v>
      </c>
      <c r="AA55" s="33" t="n">
        <f aca="false">IF(Source_Data!AA$6=Inputs!$B$13,-Inputs!$B$7,0)+IF(AND(Source_Data!AA$6&gt;=$B$46,Source_Data!AA$6&lt;$B$46+3*Inputs!$B$17,MOD(Source_Data!AA$6-$B$46,3)=0),Inputs!$B$8*Inputs!$B$7*Inputs!$B$35*$B$41*(1-Inputs!$B$16)/Inputs!$B$17,0)</f>
        <v>0</v>
      </c>
      <c r="AB55" s="33" t="n">
        <f aca="false">IF(Source_Data!AB$6=Inputs!$B$13,-Inputs!$B$7,0)+IF(AND(Source_Data!AB$6&gt;=$B$46,Source_Data!AB$6&lt;$B$46+3*Inputs!$B$17,MOD(Source_Data!AB$6-$B$46,3)=0),Inputs!$B$8*Inputs!$B$7*Inputs!$B$35*$B$41*(1-Inputs!$B$16)/Inputs!$B$17,0)</f>
        <v>0</v>
      </c>
      <c r="AC55" s="33" t="n">
        <f aca="false">IF(Source_Data!AC$6=Inputs!$B$13,-Inputs!$B$7,0)+IF(AND(Source_Data!AC$6&gt;=$B$46,Source_Data!AC$6&lt;$B$46+3*Inputs!$B$17,MOD(Source_Data!AC$6-$B$46,3)=0),Inputs!$B$8*Inputs!$B$7*Inputs!$B$35*$B$41*(1-Inputs!$B$16)/Inputs!$B$17,0)</f>
        <v>0</v>
      </c>
      <c r="AD55" s="33" t="n">
        <f aca="false">IF(Source_Data!AD$6=Inputs!$B$13,-Inputs!$B$7,0)+IF(AND(Source_Data!AD$6&gt;=$B$46,Source_Data!AD$6&lt;$B$46+3*Inputs!$B$17,MOD(Source_Data!AD$6-$B$46,3)=0),Inputs!$B$8*Inputs!$B$7*Inputs!$B$35*$B$41*(1-Inputs!$B$16)/Inputs!$B$17,0)</f>
        <v>0</v>
      </c>
      <c r="AE55" s="33" t="n">
        <f aca="false">IF(Source_Data!AE$6=Inputs!$B$13,-Inputs!$B$7,0)+IF(AND(Source_Data!AE$6&gt;=$B$46,Source_Data!AE$6&lt;$B$46+3*Inputs!$B$17,MOD(Source_Data!AE$6-$B$46,3)=0),Inputs!$B$8*Inputs!$B$7*Inputs!$B$35*$B$41*(1-Inputs!$B$16)/Inputs!$B$17,0)</f>
        <v>0</v>
      </c>
      <c r="AF55" s="33" t="n">
        <f aca="false">IF(Source_Data!AF$6=Inputs!$B$13,-Inputs!$B$7,0)+IF(AND(Source_Data!AF$6&gt;=$B$46,Source_Data!AF$6&lt;$B$46+3*Inputs!$B$17,MOD(Source_Data!AF$6-$B$46,3)=0),Inputs!$B$8*Inputs!$B$7*Inputs!$B$35*$B$41*(1-Inputs!$B$16)/Inputs!$B$17,0)</f>
        <v>0</v>
      </c>
      <c r="AG55" s="33" t="n">
        <f aca="false">IF(Source_Data!AG$6=Inputs!$B$13,-Inputs!$B$7,0)+IF(AND(Source_Data!AG$6&gt;=$B$46,Source_Data!AG$6&lt;$B$46+3*Inputs!$B$17,MOD(Source_Data!AG$6-$B$46,3)=0),Inputs!$B$8*Inputs!$B$7*Inputs!$B$35*$B$41*(1-Inputs!$B$16)/Inputs!$B$17,0)</f>
        <v>0</v>
      </c>
      <c r="AH55" s="33" t="n">
        <f aca="false">IF(Source_Data!AH$6=Inputs!$B$13,-Inputs!$B$7,0)+IF(AND(Source_Data!AH$6&gt;=$B$46,Source_Data!AH$6&lt;$B$46+3*Inputs!$B$17,MOD(Source_Data!AH$6-$B$46,3)=0),Inputs!$B$8*Inputs!$B$7*Inputs!$B$35*$B$41*(1-Inputs!$B$16)/Inputs!$B$17,0)</f>
        <v>0</v>
      </c>
      <c r="AI55" s="33" t="n">
        <f aca="false">IF(Source_Data!AI$6=Inputs!$B$13,-Inputs!$B$7,0)+IF(AND(Source_Data!AI$6&gt;=$B$46,Source_Data!AI$6&lt;$B$46+3*Inputs!$B$17,MOD(Source_Data!AI$6-$B$46,3)=0),Inputs!$B$8*Inputs!$B$7*Inputs!$B$35*$B$41*(1-Inputs!$B$16)/Inputs!$B$17,0)</f>
        <v>0</v>
      </c>
      <c r="AJ55" s="33" t="n">
        <f aca="false">IF(Source_Data!AJ$6=Inputs!$B$13,-Inputs!$B$7,0)+IF(AND(Source_Data!AJ$6&gt;=$B$46,Source_Data!AJ$6&lt;$B$46+3*Inputs!$B$17,MOD(Source_Data!AJ$6-$B$46,3)=0),Inputs!$B$8*Inputs!$B$7*Inputs!$B$35*$B$41*(1-Inputs!$B$16)/Inputs!$B$17,0)</f>
        <v>0</v>
      </c>
      <c r="AK55" s="33" t="n">
        <f aca="false">IF(Source_Data!AK$6=Inputs!$B$13,-Inputs!$B$7,0)+IF(AND(Source_Data!AK$6&gt;=$B$46,Source_Data!AK$6&lt;$B$46+3*Inputs!$B$17,MOD(Source_Data!AK$6-$B$46,3)=0),Inputs!$B$8*Inputs!$B$7*Inputs!$B$35*$B$41*(1-Inputs!$B$16)/Inputs!$B$17,0)</f>
        <v>0</v>
      </c>
      <c r="AL55" s="33" t="n">
        <f aca="false">IF(Source_Data!AL$6=Inputs!$B$13,-Inputs!$B$7,0)+IF(AND(Source_Data!AL$6&gt;=$B$46,Source_Data!AL$6&lt;$B$46+3*Inputs!$B$17,MOD(Source_Data!AL$6-$B$46,3)=0),Inputs!$B$8*Inputs!$B$7*Inputs!$B$35*$B$41*(1-Inputs!$B$16)/Inputs!$B$17,0)</f>
        <v>0</v>
      </c>
      <c r="AM55" s="33" t="n">
        <f aca="false">IF(Source_Data!AM$6=Inputs!$B$13,-Inputs!$B$7,0)+IF(AND(Source_Data!AM$6&gt;=$B$46,Source_Data!AM$6&lt;$B$46+3*Inputs!$B$17,MOD(Source_Data!AM$6-$B$46,3)=0),Inputs!$B$8*Inputs!$B$7*Inputs!$B$35*$B$41*(1-Inputs!$B$16)/Inputs!$B$17,0)</f>
        <v>0</v>
      </c>
      <c r="AN55" s="33" t="n">
        <f aca="false">IF(Source_Data!AN$6=Inputs!$B$13,-Inputs!$B$7,0)+IF(AND(Source_Data!AN$6&gt;=$B$46,Source_Data!AN$6&lt;$B$46+3*Inputs!$B$17,MOD(Source_Data!AN$6-$B$46,3)=0),Inputs!$B$8*Inputs!$B$7*Inputs!$B$35*$B$41*(1-Inputs!$B$16)/Inputs!$B$17,0)</f>
        <v>0</v>
      </c>
      <c r="AO55" s="33" t="n">
        <f aca="false">IF(Source_Data!AO$6=Inputs!$B$13,-Inputs!$B$7,0)+IF(AND(Source_Data!AO$6&gt;=$B$46,Source_Data!AO$6&lt;$B$46+3*Inputs!$B$17,MOD(Source_Data!AO$6-$B$46,3)=0),Inputs!$B$8*Inputs!$B$7*Inputs!$B$35*$B$41*(1-Inputs!$B$16)/Inputs!$B$17,0)</f>
        <v>0</v>
      </c>
      <c r="AP55" s="33" t="n">
        <f aca="false">IF(Source_Data!AP$6=Inputs!$B$13,-Inputs!$B$7,0)+IF(AND(Source_Data!AP$6&gt;=$B$46,Source_Data!AP$6&lt;$B$46+3*Inputs!$B$17,MOD(Source_Data!AP$6-$B$46,3)=0),Inputs!$B$8*Inputs!$B$7*Inputs!$B$35*$B$41*(1-Inputs!$B$16)/Inputs!$B$17,0)</f>
        <v>0</v>
      </c>
      <c r="AQ55" s="33" t="n">
        <f aca="false">IF(Source_Data!AQ$6=Inputs!$B$13,-Inputs!$B$7,0)+IF(AND(Source_Data!AQ$6&gt;=$B$46,Source_Data!AQ$6&lt;$B$46+3*Inputs!$B$17,MOD(Source_Data!AQ$6-$B$46,3)=0),Inputs!$B$8*Inputs!$B$7*Inputs!$B$35*$B$41*(1-Inputs!$B$16)/Inputs!$B$17,0)</f>
        <v>0</v>
      </c>
      <c r="AR55" s="33" t="n">
        <f aca="false">IF(Source_Data!AR$6=Inputs!$B$13,-Inputs!$B$7,0)+IF(AND(Source_Data!AR$6&gt;=$B$46,Source_Data!AR$6&lt;$B$46+3*Inputs!$B$17,MOD(Source_Data!AR$6-$B$46,3)=0),Inputs!$B$8*Inputs!$B$7*Inputs!$B$35*$B$41*(1-Inputs!$B$16)/Inputs!$B$17,0)</f>
        <v>0</v>
      </c>
      <c r="AS55" s="33" t="n">
        <f aca="false">IF(Source_Data!AS$6=Inputs!$B$13,-Inputs!$B$7,0)+IF(AND(Source_Data!AS$6&gt;=$B$46,Source_Data!AS$6&lt;$B$46+3*Inputs!$B$17,MOD(Source_Data!AS$6-$B$46,3)=0),Inputs!$B$8*Inputs!$B$7*Inputs!$B$35*$B$41*(1-Inputs!$B$16)/Inputs!$B$17,0)</f>
        <v>0</v>
      </c>
      <c r="AT55" s="33" t="n">
        <f aca="false">IF(Source_Data!AT$6=Inputs!$B$13,-Inputs!$B$7,0)+IF(AND(Source_Data!AT$6&gt;=$B$46,Source_Data!AT$6&lt;$B$46+3*Inputs!$B$17,MOD(Source_Data!AT$6-$B$46,3)=0),Inputs!$B$8*Inputs!$B$7*Inputs!$B$35*$B$41*(1-Inputs!$B$16)/Inputs!$B$17,0)</f>
        <v>0</v>
      </c>
      <c r="AU55" s="33" t="n">
        <f aca="false">IF(Source_Data!AU$6=Inputs!$B$13,-Inputs!$B$7,0)+IF(AND(Source_Data!AU$6&gt;=$B$46,Source_Data!AU$6&lt;$B$46+3*Inputs!$B$17,MOD(Source_Data!AU$6-$B$46,3)=0),Inputs!$B$8*Inputs!$B$7*Inputs!$B$35*$B$41*(1-Inputs!$B$16)/Inputs!$B$17,0)</f>
        <v>0</v>
      </c>
      <c r="AV55" s="33" t="n">
        <f aca="false">IF(Source_Data!AV$6=Inputs!$B$13,-Inputs!$B$7,0)+IF(AND(Source_Data!AV$6&gt;=$B$46,Source_Data!AV$6&lt;$B$46+3*Inputs!$B$17,MOD(Source_Data!AV$6-$B$46,3)=0),Inputs!$B$8*Inputs!$B$7*Inputs!$B$35*$B$41*(1-Inputs!$B$16)/Inputs!$B$17,0)</f>
        <v>0</v>
      </c>
      <c r="AW55" s="33" t="n">
        <f aca="false">IF(Source_Data!AW$6=Inputs!$B$13,-Inputs!$B$7,0)+IF(AND(Source_Data!AW$6&gt;=$B$46,Source_Data!AW$6&lt;$B$46+3*Inputs!$B$17,MOD(Source_Data!AW$6-$B$46,3)=0),Inputs!$B$8*Inputs!$B$7*Inputs!$B$35*$B$41*(1-Inputs!$B$16)/Inputs!$B$17,0)</f>
        <v>0</v>
      </c>
      <c r="AX55" s="33" t="n">
        <f aca="false">IF(Source_Data!AX$6=Inputs!$B$13,-Inputs!$B$7,0)+IF(AND(Source_Data!AX$6&gt;=$B$46,Source_Data!AX$6&lt;$B$46+3*Inputs!$B$17,MOD(Source_Data!AX$6-$B$46,3)=0),Inputs!$B$8*Inputs!$B$7*Inputs!$B$35*$B$41*(1-Inputs!$B$16)/Inputs!$B$17,0)</f>
        <v>0</v>
      </c>
      <c r="AY55" s="33" t="n">
        <f aca="false">IF(Source_Data!AY$6=Inputs!$B$13,-Inputs!$B$7,0)+IF(AND(Source_Data!AY$6&gt;=$B$46,Source_Data!AY$6&lt;$B$46+3*Inputs!$B$17,MOD(Source_Data!AY$6-$B$46,3)=0),Inputs!$B$8*Inputs!$B$7*Inputs!$B$35*$B$41*(1-Inputs!$B$16)/Inputs!$B$17,0)</f>
        <v>0</v>
      </c>
      <c r="AZ55" s="33" t="n">
        <f aca="false">IF(Source_Data!AZ$6=Inputs!$B$13,-Inputs!$B$7,0)+IF(AND(Source_Data!AZ$6&gt;=$B$46,Source_Data!AZ$6&lt;$B$46+3*Inputs!$B$17,MOD(Source_Data!AZ$6-$B$46,3)=0),Inputs!$B$8*Inputs!$B$7*Inputs!$B$35*$B$41*(1-Inputs!$B$16)/Inputs!$B$17,0)</f>
        <v>0</v>
      </c>
      <c r="BA55" s="33" t="n">
        <f aca="false">IF(Source_Data!BA$6=Inputs!$B$13,-Inputs!$B$7,0)+IF(AND(Source_Data!BA$6&gt;=$B$46,Source_Data!BA$6&lt;$B$46+3*Inputs!$B$17,MOD(Source_Data!BA$6-$B$46,3)=0),Inputs!$B$8*Inputs!$B$7*Inputs!$B$35*$B$41*(1-Inputs!$B$16)/Inputs!$B$17,0)</f>
        <v>0</v>
      </c>
      <c r="BB55" s="33" t="n">
        <f aca="false">IF(Source_Data!BB$6=Inputs!$B$13,-Inputs!$B$7,0)+IF(AND(Source_Data!BB$6&gt;=$B$46,Source_Data!BB$6&lt;$B$46+3*Inputs!$B$17,MOD(Source_Data!BB$6-$B$46,3)=0),Inputs!$B$8*Inputs!$B$7*Inputs!$B$35*$B$41*(1-Inputs!$B$16)/Inputs!$B$17,0)</f>
        <v>0</v>
      </c>
      <c r="BC55" s="33" t="n">
        <f aca="false">IF(Source_Data!BC$6=Inputs!$B$13,-Inputs!$B$7,0)+IF(AND(Source_Data!BC$6&gt;=$B$46,Source_Data!BC$6&lt;$B$46+3*Inputs!$B$17,MOD(Source_Data!BC$6-$B$46,3)=0),Inputs!$B$8*Inputs!$B$7*Inputs!$B$35*$B$41*(1-Inputs!$B$16)/Inputs!$B$17,0)</f>
        <v>0</v>
      </c>
      <c r="BD55" s="33" t="n">
        <f aca="false">IF(Source_Data!BD$6=Inputs!$B$13,-Inputs!$B$7,0)+IF(AND(Source_Data!BD$6&gt;=$B$46,Source_Data!BD$6&lt;$B$46+3*Inputs!$B$17,MOD(Source_Data!BD$6-$B$46,3)=0),Inputs!$B$8*Inputs!$B$7*Inputs!$B$35*$B$41*(1-Inputs!$B$16)/Inputs!$B$17,0)</f>
        <v>0</v>
      </c>
      <c r="BE55" s="33" t="n">
        <f aca="false">IF(Source_Data!BE$6=Inputs!$B$13,-Inputs!$B$7,0)+IF(AND(Source_Data!BE$6&gt;=$B$46,Source_Data!BE$6&lt;$B$46+3*Inputs!$B$17,MOD(Source_Data!BE$6-$B$46,3)=0),Inputs!$B$8*Inputs!$B$7*Inputs!$B$35*$B$41*(1-Inputs!$B$16)/Inputs!$B$17,0)</f>
        <v>0</v>
      </c>
      <c r="BF55" s="33" t="n">
        <f aca="false">IF(Source_Data!BF$6=Inputs!$B$13,-Inputs!$B$7,0)+IF(AND(Source_Data!BF$6&gt;=$B$46,Source_Data!BF$6&lt;$B$46+3*Inputs!$B$17,MOD(Source_Data!BF$6-$B$46,3)=0),Inputs!$B$8*Inputs!$B$7*Inputs!$B$35*$B$41*(1-Inputs!$B$16)/Inputs!$B$17,0)</f>
        <v>0</v>
      </c>
      <c r="BG55" s="33" t="n">
        <f aca="false">IF(Source_Data!BG$6=Inputs!$B$13,-Inputs!$B$7,0)+IF(AND(Source_Data!BG$6&gt;=$B$46,Source_Data!BG$6&lt;$B$46+3*Inputs!$B$17,MOD(Source_Data!BG$6-$B$46,3)=0),Inputs!$B$8*Inputs!$B$7*Inputs!$B$35*$B$41*(1-Inputs!$B$16)/Inputs!$B$17,0)</f>
        <v>0</v>
      </c>
      <c r="BH55" s="33" t="n">
        <f aca="false">IF(Source_Data!BH$6=Inputs!$B$13,-Inputs!$B$7,0)+IF(AND(Source_Data!BH$6&gt;=$B$46,Source_Data!BH$6&lt;$B$46+3*Inputs!$B$17,MOD(Source_Data!BH$6-$B$46,3)=0),Inputs!$B$8*Inputs!$B$7*Inputs!$B$35*$B$41*(1-Inputs!$B$16)/Inputs!$B$17,0)</f>
        <v>0</v>
      </c>
      <c r="BI55" s="33" t="n">
        <f aca="false">IF(Source_Data!BI$6=Inputs!$B$13,-Inputs!$B$7,0)+IF(AND(Source_Data!BI$6&gt;=$B$46,Source_Data!BI$6&lt;$B$46+3*Inputs!$B$17,MOD(Source_Data!BI$6-$B$46,3)=0),Inputs!$B$8*Inputs!$B$7*Inputs!$B$35*$B$41*(1-Inputs!$B$16)/Inputs!$B$17,0)</f>
        <v>0</v>
      </c>
      <c r="BJ55" s="33" t="n">
        <f aca="false">IF(Source_Data!BJ$6=Inputs!$B$13,-Inputs!$B$7,0)+IF(AND(Source_Data!BJ$6&gt;=$B$46,Source_Data!BJ$6&lt;$B$46+3*Inputs!$B$17,MOD(Source_Data!BJ$6-$B$46,3)=0),Inputs!$B$8*Inputs!$B$7*Inputs!$B$35*$B$41*(1-Inputs!$B$16)/Inputs!$B$17,0)</f>
        <v>0</v>
      </c>
      <c r="BK55" s="33" t="n">
        <f aca="false">IF(Source_Data!BK$6=Inputs!$B$13,-Inputs!$B$7,0)+IF(AND(Source_Data!BK$6&gt;=$B$46,Source_Data!BK$6&lt;$B$46+3*Inputs!$B$17,MOD(Source_Data!BK$6-$B$46,3)=0),Inputs!$B$8*Inputs!$B$7*Inputs!$B$35*$B$41*(1-Inputs!$B$16)/Inputs!$B$17,0)</f>
        <v>0</v>
      </c>
    </row>
    <row r="56" customFormat="false" ht="15" hidden="false" customHeight="false" outlineLevel="0" collapsed="false">
      <c r="A56" s="3" t="s">
        <v>342</v>
      </c>
      <c r="D56" s="33" t="n">
        <f aca="false">IF(AND(Source_Data!D$6&gt;=Inputs!$B$55,Source_Data!D$6&lt;Inputs!$B$55+3*Inputs!$B$11),Inputs!$B$9*Inputs!$B$7/Inputs!$B$11,0)</f>
        <v>0</v>
      </c>
      <c r="E56" s="33" t="n">
        <f aca="false">IF(AND(Source_Data!E$6&gt;=Inputs!$B$55,Source_Data!E$6&lt;Inputs!$B$55+3*Inputs!$B$11),Inputs!$B$9*Inputs!$B$7/Inputs!$B$11,0)</f>
        <v>0</v>
      </c>
      <c r="F56" s="33" t="n">
        <f aca="false">IF(AND(Source_Data!F$6&gt;=Inputs!$B$55,Source_Data!F$6&lt;Inputs!$B$55+3*Inputs!$B$11),Inputs!$B$9*Inputs!$B$7/Inputs!$B$11,0)</f>
        <v>0</v>
      </c>
      <c r="G56" s="33" t="n">
        <f aca="false">IF(AND(Source_Data!G$6&gt;=Inputs!$B$55,Source_Data!G$6&lt;Inputs!$B$55+3*Inputs!$B$11),Inputs!$B$9*Inputs!$B$7/Inputs!$B$11,0)</f>
        <v>0</v>
      </c>
      <c r="H56" s="33" t="n">
        <f aca="false">IF(AND(Source_Data!H$6&gt;=Inputs!$B$55,Source_Data!H$6&lt;Inputs!$B$55+3*Inputs!$B$11),Inputs!$B$9*Inputs!$B$7/Inputs!$B$11,0)</f>
        <v>0</v>
      </c>
      <c r="I56" s="33" t="n">
        <f aca="false">IF(AND(Source_Data!I$6&gt;=Inputs!$B$55,Source_Data!I$6&lt;Inputs!$B$55+3*Inputs!$B$11),Inputs!$B$9*Inputs!$B$7/Inputs!$B$11,0)</f>
        <v>0</v>
      </c>
      <c r="J56" s="33" t="n">
        <f aca="false">IF(AND(Source_Data!J$6&gt;=Inputs!$B$55,Source_Data!J$6&lt;Inputs!$B$55+3*Inputs!$B$11),Inputs!$B$9*Inputs!$B$7/Inputs!$B$11,0)</f>
        <v>0</v>
      </c>
      <c r="K56" s="33" t="n">
        <f aca="false">IF(AND(Source_Data!K$6&gt;=Inputs!$B$55,Source_Data!K$6&lt;Inputs!$B$55+3*Inputs!$B$11),Inputs!$B$9*Inputs!$B$7/Inputs!$B$11,0)</f>
        <v>0</v>
      </c>
      <c r="L56" s="33" t="n">
        <f aca="false">IF(AND(Source_Data!L$6&gt;=Inputs!$B$55,Source_Data!L$6&lt;Inputs!$B$55+3*Inputs!$B$11),Inputs!$B$9*Inputs!$B$7/Inputs!$B$11,0)</f>
        <v>0</v>
      </c>
      <c r="M56" s="33" t="n">
        <f aca="false">IF(AND(Source_Data!M$6&gt;=Inputs!$B$55,Source_Data!M$6&lt;Inputs!$B$55+3*Inputs!$B$11),Inputs!$B$9*Inputs!$B$7/Inputs!$B$11,0)</f>
        <v>14.375</v>
      </c>
      <c r="N56" s="33" t="n">
        <f aca="false">IF(AND(Source_Data!N$6&gt;=Inputs!$B$55,Source_Data!N$6&lt;Inputs!$B$55+3*Inputs!$B$11),Inputs!$B$9*Inputs!$B$7/Inputs!$B$11,0)</f>
        <v>14.375</v>
      </c>
      <c r="O56" s="33" t="n">
        <f aca="false">IF(AND(Source_Data!O$6&gt;=Inputs!$B$55,Source_Data!O$6&lt;Inputs!$B$55+3*Inputs!$B$11),Inputs!$B$9*Inputs!$B$7/Inputs!$B$11,0)</f>
        <v>14.375</v>
      </c>
      <c r="P56" s="33" t="n">
        <f aca="false">IF(AND(Source_Data!P$6&gt;=Inputs!$B$55,Source_Data!P$6&lt;Inputs!$B$55+3*Inputs!$B$11),Inputs!$B$9*Inputs!$B$7/Inputs!$B$11,0)</f>
        <v>14.375</v>
      </c>
      <c r="Q56" s="33" t="n">
        <f aca="false">IF(AND(Source_Data!Q$6&gt;=Inputs!$B$55,Source_Data!Q$6&lt;Inputs!$B$55+3*Inputs!$B$11),Inputs!$B$9*Inputs!$B$7/Inputs!$B$11,0)</f>
        <v>14.375</v>
      </c>
      <c r="R56" s="33" t="n">
        <f aca="false">IF(AND(Source_Data!R$6&gt;=Inputs!$B$55,Source_Data!R$6&lt;Inputs!$B$55+3*Inputs!$B$11),Inputs!$B$9*Inputs!$B$7/Inputs!$B$11,0)</f>
        <v>14.375</v>
      </c>
      <c r="S56" s="33" t="n">
        <f aca="false">IF(AND(Source_Data!S$6&gt;=Inputs!$B$55,Source_Data!S$6&lt;Inputs!$B$55+3*Inputs!$B$11),Inputs!$B$9*Inputs!$B$7/Inputs!$B$11,0)</f>
        <v>14.375</v>
      </c>
      <c r="T56" s="33" t="n">
        <f aca="false">IF(AND(Source_Data!T$6&gt;=Inputs!$B$55,Source_Data!T$6&lt;Inputs!$B$55+3*Inputs!$B$11),Inputs!$B$9*Inputs!$B$7/Inputs!$B$11,0)</f>
        <v>14.375</v>
      </c>
      <c r="U56" s="33" t="n">
        <f aca="false">IF(AND(Source_Data!U$6&gt;=Inputs!$B$55,Source_Data!U$6&lt;Inputs!$B$55+3*Inputs!$B$11),Inputs!$B$9*Inputs!$B$7/Inputs!$B$11,0)</f>
        <v>14.375</v>
      </c>
      <c r="V56" s="33" t="n">
        <f aca="false">IF(AND(Source_Data!V$6&gt;=Inputs!$B$55,Source_Data!V$6&lt;Inputs!$B$55+3*Inputs!$B$11),Inputs!$B$9*Inputs!$B$7/Inputs!$B$11,0)</f>
        <v>14.375</v>
      </c>
      <c r="W56" s="33" t="n">
        <f aca="false">IF(AND(Source_Data!W$6&gt;=Inputs!$B$55,Source_Data!W$6&lt;Inputs!$B$55+3*Inputs!$B$11),Inputs!$B$9*Inputs!$B$7/Inputs!$B$11,0)</f>
        <v>14.375</v>
      </c>
      <c r="X56" s="33" t="n">
        <f aca="false">IF(AND(Source_Data!X$6&gt;=Inputs!$B$55,Source_Data!X$6&lt;Inputs!$B$55+3*Inputs!$B$11),Inputs!$B$9*Inputs!$B$7/Inputs!$B$11,0)</f>
        <v>14.375</v>
      </c>
      <c r="Y56" s="33" t="n">
        <f aca="false">IF(AND(Source_Data!Y$6&gt;=Inputs!$B$55,Source_Data!Y$6&lt;Inputs!$B$55+3*Inputs!$B$11),Inputs!$B$9*Inputs!$B$7/Inputs!$B$11,0)</f>
        <v>0</v>
      </c>
      <c r="Z56" s="33" t="n">
        <f aca="false">IF(AND(Source_Data!Z$6&gt;=Inputs!$B$55,Source_Data!Z$6&lt;Inputs!$B$55+3*Inputs!$B$11),Inputs!$B$9*Inputs!$B$7/Inputs!$B$11,0)</f>
        <v>0</v>
      </c>
      <c r="AA56" s="33" t="n">
        <f aca="false">IF(AND(Source_Data!AA$6&gt;=Inputs!$B$55,Source_Data!AA$6&lt;Inputs!$B$55+3*Inputs!$B$11),Inputs!$B$9*Inputs!$B$7/Inputs!$B$11,0)</f>
        <v>0</v>
      </c>
      <c r="AB56" s="33" t="n">
        <f aca="false">IF(AND(Source_Data!AB$6&gt;=Inputs!$B$55,Source_Data!AB$6&lt;Inputs!$B$55+3*Inputs!$B$11),Inputs!$B$9*Inputs!$B$7/Inputs!$B$11,0)</f>
        <v>0</v>
      </c>
      <c r="AC56" s="33" t="n">
        <f aca="false">IF(AND(Source_Data!AC$6&gt;=Inputs!$B$55,Source_Data!AC$6&lt;Inputs!$B$55+3*Inputs!$B$11),Inputs!$B$9*Inputs!$B$7/Inputs!$B$11,0)</f>
        <v>0</v>
      </c>
      <c r="AD56" s="33" t="n">
        <f aca="false">IF(AND(Source_Data!AD$6&gt;=Inputs!$B$55,Source_Data!AD$6&lt;Inputs!$B$55+3*Inputs!$B$11),Inputs!$B$9*Inputs!$B$7/Inputs!$B$11,0)</f>
        <v>0</v>
      </c>
      <c r="AE56" s="33" t="n">
        <f aca="false">IF(AND(Source_Data!AE$6&gt;=Inputs!$B$55,Source_Data!AE$6&lt;Inputs!$B$55+3*Inputs!$B$11),Inputs!$B$9*Inputs!$B$7/Inputs!$B$11,0)</f>
        <v>0</v>
      </c>
      <c r="AF56" s="33" t="n">
        <f aca="false">IF(AND(Source_Data!AF$6&gt;=Inputs!$B$55,Source_Data!AF$6&lt;Inputs!$B$55+3*Inputs!$B$11),Inputs!$B$9*Inputs!$B$7/Inputs!$B$11,0)</f>
        <v>0</v>
      </c>
      <c r="AG56" s="33" t="n">
        <f aca="false">IF(AND(Source_Data!AG$6&gt;=Inputs!$B$55,Source_Data!AG$6&lt;Inputs!$B$55+3*Inputs!$B$11),Inputs!$B$9*Inputs!$B$7/Inputs!$B$11,0)</f>
        <v>0</v>
      </c>
      <c r="AH56" s="33" t="n">
        <f aca="false">IF(AND(Source_Data!AH$6&gt;=Inputs!$B$55,Source_Data!AH$6&lt;Inputs!$B$55+3*Inputs!$B$11),Inputs!$B$9*Inputs!$B$7/Inputs!$B$11,0)</f>
        <v>0</v>
      </c>
      <c r="AI56" s="33" t="n">
        <f aca="false">IF(AND(Source_Data!AI$6&gt;=Inputs!$B$55,Source_Data!AI$6&lt;Inputs!$B$55+3*Inputs!$B$11),Inputs!$B$9*Inputs!$B$7/Inputs!$B$11,0)</f>
        <v>0</v>
      </c>
      <c r="AJ56" s="33" t="n">
        <f aca="false">IF(AND(Source_Data!AJ$6&gt;=Inputs!$B$55,Source_Data!AJ$6&lt;Inputs!$B$55+3*Inputs!$B$11),Inputs!$B$9*Inputs!$B$7/Inputs!$B$11,0)</f>
        <v>0</v>
      </c>
      <c r="AK56" s="33" t="n">
        <f aca="false">IF(AND(Source_Data!AK$6&gt;=Inputs!$B$55,Source_Data!AK$6&lt;Inputs!$B$55+3*Inputs!$B$11),Inputs!$B$9*Inputs!$B$7/Inputs!$B$11,0)</f>
        <v>0</v>
      </c>
      <c r="AL56" s="33" t="n">
        <f aca="false">IF(AND(Source_Data!AL$6&gt;=Inputs!$B$55,Source_Data!AL$6&lt;Inputs!$B$55+3*Inputs!$B$11),Inputs!$B$9*Inputs!$B$7/Inputs!$B$11,0)</f>
        <v>0</v>
      </c>
      <c r="AM56" s="33" t="n">
        <f aca="false">IF(AND(Source_Data!AM$6&gt;=Inputs!$B$55,Source_Data!AM$6&lt;Inputs!$B$55+3*Inputs!$B$11),Inputs!$B$9*Inputs!$B$7/Inputs!$B$11,0)</f>
        <v>0</v>
      </c>
      <c r="AN56" s="33" t="n">
        <f aca="false">IF(AND(Source_Data!AN$6&gt;=Inputs!$B$55,Source_Data!AN$6&lt;Inputs!$B$55+3*Inputs!$B$11),Inputs!$B$9*Inputs!$B$7/Inputs!$B$11,0)</f>
        <v>0</v>
      </c>
      <c r="AO56" s="33" t="n">
        <f aca="false">IF(AND(Source_Data!AO$6&gt;=Inputs!$B$55,Source_Data!AO$6&lt;Inputs!$B$55+3*Inputs!$B$11),Inputs!$B$9*Inputs!$B$7/Inputs!$B$11,0)</f>
        <v>0</v>
      </c>
      <c r="AP56" s="33" t="n">
        <f aca="false">IF(AND(Source_Data!AP$6&gt;=Inputs!$B$55,Source_Data!AP$6&lt;Inputs!$B$55+3*Inputs!$B$11),Inputs!$B$9*Inputs!$B$7/Inputs!$B$11,0)</f>
        <v>0</v>
      </c>
      <c r="AQ56" s="33" t="n">
        <f aca="false">IF(AND(Source_Data!AQ$6&gt;=Inputs!$B$55,Source_Data!AQ$6&lt;Inputs!$B$55+3*Inputs!$B$11),Inputs!$B$9*Inputs!$B$7/Inputs!$B$11,0)</f>
        <v>0</v>
      </c>
      <c r="AR56" s="33" t="n">
        <f aca="false">IF(AND(Source_Data!AR$6&gt;=Inputs!$B$55,Source_Data!AR$6&lt;Inputs!$B$55+3*Inputs!$B$11),Inputs!$B$9*Inputs!$B$7/Inputs!$B$11,0)</f>
        <v>0</v>
      </c>
      <c r="AS56" s="33" t="n">
        <f aca="false">IF(AND(Source_Data!AS$6&gt;=Inputs!$B$55,Source_Data!AS$6&lt;Inputs!$B$55+3*Inputs!$B$11),Inputs!$B$9*Inputs!$B$7/Inputs!$B$11,0)</f>
        <v>0</v>
      </c>
      <c r="AT56" s="33" t="n">
        <f aca="false">IF(AND(Source_Data!AT$6&gt;=Inputs!$B$55,Source_Data!AT$6&lt;Inputs!$B$55+3*Inputs!$B$11),Inputs!$B$9*Inputs!$B$7/Inputs!$B$11,0)</f>
        <v>0</v>
      </c>
      <c r="AU56" s="33" t="n">
        <f aca="false">IF(AND(Source_Data!AU$6&gt;=Inputs!$B$55,Source_Data!AU$6&lt;Inputs!$B$55+3*Inputs!$B$11),Inputs!$B$9*Inputs!$B$7/Inputs!$B$11,0)</f>
        <v>0</v>
      </c>
      <c r="AV56" s="33" t="n">
        <f aca="false">IF(AND(Source_Data!AV$6&gt;=Inputs!$B$55,Source_Data!AV$6&lt;Inputs!$B$55+3*Inputs!$B$11),Inputs!$B$9*Inputs!$B$7/Inputs!$B$11,0)</f>
        <v>0</v>
      </c>
      <c r="AW56" s="33" t="n">
        <f aca="false">IF(AND(Source_Data!AW$6&gt;=Inputs!$B$55,Source_Data!AW$6&lt;Inputs!$B$55+3*Inputs!$B$11),Inputs!$B$9*Inputs!$B$7/Inputs!$B$11,0)</f>
        <v>0</v>
      </c>
      <c r="AX56" s="33" t="n">
        <f aca="false">IF(AND(Source_Data!AX$6&gt;=Inputs!$B$55,Source_Data!AX$6&lt;Inputs!$B$55+3*Inputs!$B$11),Inputs!$B$9*Inputs!$B$7/Inputs!$B$11,0)</f>
        <v>0</v>
      </c>
      <c r="AY56" s="33" t="n">
        <f aca="false">IF(AND(Source_Data!AY$6&gt;=Inputs!$B$55,Source_Data!AY$6&lt;Inputs!$B$55+3*Inputs!$B$11),Inputs!$B$9*Inputs!$B$7/Inputs!$B$11,0)</f>
        <v>0</v>
      </c>
      <c r="AZ56" s="33" t="n">
        <f aca="false">IF(AND(Source_Data!AZ$6&gt;=Inputs!$B$55,Source_Data!AZ$6&lt;Inputs!$B$55+3*Inputs!$B$11),Inputs!$B$9*Inputs!$B$7/Inputs!$B$11,0)</f>
        <v>0</v>
      </c>
      <c r="BA56" s="33" t="n">
        <f aca="false">IF(AND(Source_Data!BA$6&gt;=Inputs!$B$55,Source_Data!BA$6&lt;Inputs!$B$55+3*Inputs!$B$11),Inputs!$B$9*Inputs!$B$7/Inputs!$B$11,0)</f>
        <v>0</v>
      </c>
      <c r="BB56" s="33" t="n">
        <f aca="false">IF(AND(Source_Data!BB$6&gt;=Inputs!$B$55,Source_Data!BB$6&lt;Inputs!$B$55+3*Inputs!$B$11),Inputs!$B$9*Inputs!$B$7/Inputs!$B$11,0)</f>
        <v>0</v>
      </c>
      <c r="BC56" s="33" t="n">
        <f aca="false">IF(AND(Source_Data!BC$6&gt;=Inputs!$B$55,Source_Data!BC$6&lt;Inputs!$B$55+3*Inputs!$B$11),Inputs!$B$9*Inputs!$B$7/Inputs!$B$11,0)</f>
        <v>0</v>
      </c>
      <c r="BD56" s="33" t="n">
        <f aca="false">IF(AND(Source_Data!BD$6&gt;=Inputs!$B$55,Source_Data!BD$6&lt;Inputs!$B$55+3*Inputs!$B$11),Inputs!$B$9*Inputs!$B$7/Inputs!$B$11,0)</f>
        <v>0</v>
      </c>
      <c r="BE56" s="33" t="n">
        <f aca="false">IF(AND(Source_Data!BE$6&gt;=Inputs!$B$55,Source_Data!BE$6&lt;Inputs!$B$55+3*Inputs!$B$11),Inputs!$B$9*Inputs!$B$7/Inputs!$B$11,0)</f>
        <v>0</v>
      </c>
      <c r="BF56" s="33" t="n">
        <f aca="false">IF(AND(Source_Data!BF$6&gt;=Inputs!$B$55,Source_Data!BF$6&lt;Inputs!$B$55+3*Inputs!$B$11),Inputs!$B$9*Inputs!$B$7/Inputs!$B$11,0)</f>
        <v>0</v>
      </c>
      <c r="BG56" s="33" t="n">
        <f aca="false">IF(AND(Source_Data!BG$6&gt;=Inputs!$B$55,Source_Data!BG$6&lt;Inputs!$B$55+3*Inputs!$B$11),Inputs!$B$9*Inputs!$B$7/Inputs!$B$11,0)</f>
        <v>0</v>
      </c>
      <c r="BH56" s="33" t="n">
        <f aca="false">IF(AND(Source_Data!BH$6&gt;=Inputs!$B$55,Source_Data!BH$6&lt;Inputs!$B$55+3*Inputs!$B$11),Inputs!$B$9*Inputs!$B$7/Inputs!$B$11,0)</f>
        <v>0</v>
      </c>
      <c r="BI56" s="33" t="n">
        <f aca="false">IF(AND(Source_Data!BI$6&gt;=Inputs!$B$55,Source_Data!BI$6&lt;Inputs!$B$55+3*Inputs!$B$11),Inputs!$B$9*Inputs!$B$7/Inputs!$B$11,0)</f>
        <v>0</v>
      </c>
      <c r="BJ56" s="33" t="n">
        <f aca="false">IF(AND(Source_Data!BJ$6&gt;=Inputs!$B$55,Source_Data!BJ$6&lt;Inputs!$B$55+3*Inputs!$B$11),Inputs!$B$9*Inputs!$B$7/Inputs!$B$11,0)</f>
        <v>0</v>
      </c>
      <c r="BK56" s="33" t="n">
        <f aca="false">IF(AND(Source_Data!BK$6&gt;=Inputs!$B$55,Source_Data!BK$6&lt;Inputs!$B$55+3*Inputs!$B$11),Inputs!$B$9*Inputs!$B$7/Inputs!$B$11,0)</f>
        <v>0</v>
      </c>
    </row>
    <row r="57" customFormat="false" ht="15" hidden="false" customHeight="false" outlineLevel="0" collapsed="false">
      <c r="A57" s="3" t="s">
        <v>343</v>
      </c>
      <c r="D57" s="33" t="n">
        <f aca="false">IF(Source_Data!D$6=Inputs!$B$13,-Inputs!$B$7,0)+D56</f>
        <v>-75</v>
      </c>
      <c r="E57" s="33" t="n">
        <f aca="false">IF(Source_Data!E$6=Inputs!$B$13,-Inputs!$B$7,0)+E56</f>
        <v>0</v>
      </c>
      <c r="F57" s="33" t="n">
        <f aca="false">IF(Source_Data!F$6=Inputs!$B$13,-Inputs!$B$7,0)+F56</f>
        <v>0</v>
      </c>
      <c r="G57" s="33" t="n">
        <f aca="false">IF(Source_Data!G$6=Inputs!$B$13,-Inputs!$B$7,0)+G56</f>
        <v>0</v>
      </c>
      <c r="H57" s="33" t="n">
        <f aca="false">IF(Source_Data!H$6=Inputs!$B$13,-Inputs!$B$7,0)+H56</f>
        <v>0</v>
      </c>
      <c r="I57" s="33" t="n">
        <f aca="false">IF(Source_Data!I$6=Inputs!$B$13,-Inputs!$B$7,0)+I56</f>
        <v>0</v>
      </c>
      <c r="J57" s="33" t="n">
        <f aca="false">IF(Source_Data!J$6=Inputs!$B$13,-Inputs!$B$7,0)+J56</f>
        <v>0</v>
      </c>
      <c r="K57" s="33" t="n">
        <f aca="false">IF(Source_Data!K$6=Inputs!$B$13,-Inputs!$B$7,0)+K56</f>
        <v>0</v>
      </c>
      <c r="L57" s="33" t="n">
        <f aca="false">IF(Source_Data!L$6=Inputs!$B$13,-Inputs!$B$7,0)+L56</f>
        <v>0</v>
      </c>
      <c r="M57" s="33" t="n">
        <f aca="false">IF(Source_Data!M$6=Inputs!$B$13,-Inputs!$B$7,0)+M56</f>
        <v>14.375</v>
      </c>
      <c r="N57" s="33" t="n">
        <f aca="false">IF(Source_Data!N$6=Inputs!$B$13,-Inputs!$B$7,0)+N56</f>
        <v>14.375</v>
      </c>
      <c r="O57" s="33" t="n">
        <f aca="false">IF(Source_Data!O$6=Inputs!$B$13,-Inputs!$B$7,0)+O56</f>
        <v>14.375</v>
      </c>
      <c r="P57" s="33" t="n">
        <f aca="false">IF(Source_Data!P$6=Inputs!$B$13,-Inputs!$B$7,0)+P56</f>
        <v>14.375</v>
      </c>
      <c r="Q57" s="33" t="n">
        <f aca="false">IF(Source_Data!Q$6=Inputs!$B$13,-Inputs!$B$7,0)+Q56</f>
        <v>14.375</v>
      </c>
      <c r="R57" s="33" t="n">
        <f aca="false">IF(Source_Data!R$6=Inputs!$B$13,-Inputs!$B$7,0)+R56</f>
        <v>14.375</v>
      </c>
      <c r="S57" s="33" t="n">
        <f aca="false">IF(Source_Data!S$6=Inputs!$B$13,-Inputs!$B$7,0)+S56</f>
        <v>14.375</v>
      </c>
      <c r="T57" s="33" t="n">
        <f aca="false">IF(Source_Data!T$6=Inputs!$B$13,-Inputs!$B$7,0)+T56</f>
        <v>14.375</v>
      </c>
      <c r="U57" s="33" t="n">
        <f aca="false">IF(Source_Data!U$6=Inputs!$B$13,-Inputs!$B$7,0)+U56</f>
        <v>14.375</v>
      </c>
      <c r="V57" s="33" t="n">
        <f aca="false">IF(Source_Data!V$6=Inputs!$B$13,-Inputs!$B$7,0)+V56</f>
        <v>14.375</v>
      </c>
      <c r="W57" s="33" t="n">
        <f aca="false">IF(Source_Data!W$6=Inputs!$B$13,-Inputs!$B$7,0)+W56</f>
        <v>14.375</v>
      </c>
      <c r="X57" s="33" t="n">
        <f aca="false">IF(Source_Data!X$6=Inputs!$B$13,-Inputs!$B$7,0)+X56</f>
        <v>14.375</v>
      </c>
      <c r="Y57" s="33" t="n">
        <f aca="false">IF(Source_Data!Y$6=Inputs!$B$13,-Inputs!$B$7,0)+Y56</f>
        <v>0</v>
      </c>
      <c r="Z57" s="33" t="n">
        <f aca="false">IF(Source_Data!Z$6=Inputs!$B$13,-Inputs!$B$7,0)+Z56</f>
        <v>0</v>
      </c>
      <c r="AA57" s="33" t="n">
        <f aca="false">IF(Source_Data!AA$6=Inputs!$B$13,-Inputs!$B$7,0)+AA56</f>
        <v>0</v>
      </c>
      <c r="AB57" s="33" t="n">
        <f aca="false">IF(Source_Data!AB$6=Inputs!$B$13,-Inputs!$B$7,0)+AB56</f>
        <v>0</v>
      </c>
      <c r="AC57" s="33" t="n">
        <f aca="false">IF(Source_Data!AC$6=Inputs!$B$13,-Inputs!$B$7,0)+AC56</f>
        <v>0</v>
      </c>
      <c r="AD57" s="33" t="n">
        <f aca="false">IF(Source_Data!AD$6=Inputs!$B$13,-Inputs!$B$7,0)+AD56</f>
        <v>0</v>
      </c>
      <c r="AE57" s="33" t="n">
        <f aca="false">IF(Source_Data!AE$6=Inputs!$B$13,-Inputs!$B$7,0)+AE56</f>
        <v>0</v>
      </c>
      <c r="AF57" s="33" t="n">
        <f aca="false">IF(Source_Data!AF$6=Inputs!$B$13,-Inputs!$B$7,0)+AF56</f>
        <v>0</v>
      </c>
      <c r="AG57" s="33" t="n">
        <f aca="false">IF(Source_Data!AG$6=Inputs!$B$13,-Inputs!$B$7,0)+AG56</f>
        <v>0</v>
      </c>
      <c r="AH57" s="33" t="n">
        <f aca="false">IF(Source_Data!AH$6=Inputs!$B$13,-Inputs!$B$7,0)+AH56</f>
        <v>0</v>
      </c>
      <c r="AI57" s="33" t="n">
        <f aca="false">IF(Source_Data!AI$6=Inputs!$B$13,-Inputs!$B$7,0)+AI56</f>
        <v>0</v>
      </c>
      <c r="AJ57" s="33" t="n">
        <f aca="false">IF(Source_Data!AJ$6=Inputs!$B$13,-Inputs!$B$7,0)+AJ56</f>
        <v>0</v>
      </c>
      <c r="AK57" s="33" t="n">
        <f aca="false">IF(Source_Data!AK$6=Inputs!$B$13,-Inputs!$B$7,0)+AK56</f>
        <v>0</v>
      </c>
      <c r="AL57" s="33" t="n">
        <f aca="false">IF(Source_Data!AL$6=Inputs!$B$13,-Inputs!$B$7,0)+AL56</f>
        <v>0</v>
      </c>
      <c r="AM57" s="33" t="n">
        <f aca="false">IF(Source_Data!AM$6=Inputs!$B$13,-Inputs!$B$7,0)+AM56</f>
        <v>0</v>
      </c>
      <c r="AN57" s="33" t="n">
        <f aca="false">IF(Source_Data!AN$6=Inputs!$B$13,-Inputs!$B$7,0)+AN56</f>
        <v>0</v>
      </c>
      <c r="AO57" s="33" t="n">
        <f aca="false">IF(Source_Data!AO$6=Inputs!$B$13,-Inputs!$B$7,0)+AO56</f>
        <v>0</v>
      </c>
      <c r="AP57" s="33" t="n">
        <f aca="false">IF(Source_Data!AP$6=Inputs!$B$13,-Inputs!$B$7,0)+AP56</f>
        <v>0</v>
      </c>
      <c r="AQ57" s="33" t="n">
        <f aca="false">IF(Source_Data!AQ$6=Inputs!$B$13,-Inputs!$B$7,0)+AQ56</f>
        <v>0</v>
      </c>
      <c r="AR57" s="33" t="n">
        <f aca="false">IF(Source_Data!AR$6=Inputs!$B$13,-Inputs!$B$7,0)+AR56</f>
        <v>0</v>
      </c>
      <c r="AS57" s="33" t="n">
        <f aca="false">IF(Source_Data!AS$6=Inputs!$B$13,-Inputs!$B$7,0)+AS56</f>
        <v>0</v>
      </c>
      <c r="AT57" s="33" t="n">
        <f aca="false">IF(Source_Data!AT$6=Inputs!$B$13,-Inputs!$B$7,0)+AT56</f>
        <v>0</v>
      </c>
      <c r="AU57" s="33" t="n">
        <f aca="false">IF(Source_Data!AU$6=Inputs!$B$13,-Inputs!$B$7,0)+AU56</f>
        <v>0</v>
      </c>
      <c r="AV57" s="33" t="n">
        <f aca="false">IF(Source_Data!AV$6=Inputs!$B$13,-Inputs!$B$7,0)+AV56</f>
        <v>0</v>
      </c>
      <c r="AW57" s="33" t="n">
        <f aca="false">IF(Source_Data!AW$6=Inputs!$B$13,-Inputs!$B$7,0)+AW56</f>
        <v>0</v>
      </c>
      <c r="AX57" s="33" t="n">
        <f aca="false">IF(Source_Data!AX$6=Inputs!$B$13,-Inputs!$B$7,0)+AX56</f>
        <v>0</v>
      </c>
      <c r="AY57" s="33" t="n">
        <f aca="false">IF(Source_Data!AY$6=Inputs!$B$13,-Inputs!$B$7,0)+AY56</f>
        <v>0</v>
      </c>
      <c r="AZ57" s="33" t="n">
        <f aca="false">IF(Source_Data!AZ$6=Inputs!$B$13,-Inputs!$B$7,0)+AZ56</f>
        <v>0</v>
      </c>
      <c r="BA57" s="33" t="n">
        <f aca="false">IF(Source_Data!BA$6=Inputs!$B$13,-Inputs!$B$7,0)+BA56</f>
        <v>0</v>
      </c>
      <c r="BB57" s="33" t="n">
        <f aca="false">IF(Source_Data!BB$6=Inputs!$B$13,-Inputs!$B$7,0)+BB56</f>
        <v>0</v>
      </c>
      <c r="BC57" s="33" t="n">
        <f aca="false">IF(Source_Data!BC$6=Inputs!$B$13,-Inputs!$B$7,0)+BC56</f>
        <v>0</v>
      </c>
      <c r="BD57" s="33" t="n">
        <f aca="false">IF(Source_Data!BD$6=Inputs!$B$13,-Inputs!$B$7,0)+BD56</f>
        <v>0</v>
      </c>
      <c r="BE57" s="33" t="n">
        <f aca="false">IF(Source_Data!BE$6=Inputs!$B$13,-Inputs!$B$7,0)+BE56</f>
        <v>0</v>
      </c>
      <c r="BF57" s="33" t="n">
        <f aca="false">IF(Source_Data!BF$6=Inputs!$B$13,-Inputs!$B$7,0)+BF56</f>
        <v>0</v>
      </c>
      <c r="BG57" s="33" t="n">
        <f aca="false">IF(Source_Data!BG$6=Inputs!$B$13,-Inputs!$B$7,0)+BG56</f>
        <v>0</v>
      </c>
      <c r="BH57" s="33" t="n">
        <f aca="false">IF(Source_Data!BH$6=Inputs!$B$13,-Inputs!$B$7,0)+BH56</f>
        <v>0</v>
      </c>
      <c r="BI57" s="33" t="n">
        <f aca="false">IF(Source_Data!BI$6=Inputs!$B$13,-Inputs!$B$7,0)+BI56</f>
        <v>0</v>
      </c>
      <c r="BJ57" s="33" t="n">
        <f aca="false">IF(Source_Data!BJ$6=Inputs!$B$13,-Inputs!$B$7,0)+BJ56</f>
        <v>0</v>
      </c>
      <c r="BK57" s="33" t="n">
        <f aca="false">IF(Source_Data!BK$6=Inputs!$B$13,-Inputs!$B$7,0)+BK56</f>
        <v>0</v>
      </c>
    </row>
    <row r="58" customFormat="false" ht="15" hidden="false" customHeight="false" outlineLevel="0" collapsed="false">
      <c r="A58" s="3" t="s">
        <v>344</v>
      </c>
      <c r="D58" s="33" t="n">
        <f aca="false">IF(Source_Data!D$6=Inputs!$B$13,Inputs!$B$7,0)+D53-D56</f>
        <v>-16.25</v>
      </c>
      <c r="E58" s="33" t="n">
        <f aca="false">D58+IF(Source_Data!E$6=Inputs!$B$13,Inputs!$B$7,0)+E53-E56</f>
        <v>-27.5</v>
      </c>
      <c r="F58" s="33" t="n">
        <f aca="false">E58+IF(Source_Data!F$6=Inputs!$B$13,Inputs!$B$7,0)+F53-F56</f>
        <v>-25.12468625</v>
      </c>
      <c r="G58" s="33" t="n">
        <f aca="false">F58+IF(Source_Data!G$6=Inputs!$B$13,Inputs!$B$7,0)+G53-G56</f>
        <v>-9.12405875</v>
      </c>
      <c r="H58" s="33" t="n">
        <f aca="false">G58+IF(Source_Data!H$6=Inputs!$B$13,Inputs!$B$7,0)+H53-H56</f>
        <v>-12.763253125</v>
      </c>
      <c r="I58" s="33" t="n">
        <f aca="false">H58+IF(Source_Data!I$6=Inputs!$B$13,Inputs!$B$7,0)+I53-I56</f>
        <v>-9.152269375</v>
      </c>
      <c r="J58" s="33" t="n">
        <f aca="false">I58+IF(Source_Data!J$6=Inputs!$B$13,Inputs!$B$7,0)+J53-J56</f>
        <v>-32.423390375</v>
      </c>
      <c r="K58" s="33" t="n">
        <f aca="false">J58+IF(Source_Data!K$6=Inputs!$B$13,Inputs!$B$7,0)+K53-K56</f>
        <v>-39.0574379375</v>
      </c>
      <c r="L58" s="33" t="n">
        <f aca="false">K58+IF(Source_Data!L$6=Inputs!$B$13,Inputs!$B$7,0)+L53-L56</f>
        <v>-39.44060834375</v>
      </c>
      <c r="M58" s="33" t="n">
        <f aca="false">L58+IF(Source_Data!M$6=Inputs!$B$13,Inputs!$B$7,0)+M53-M56</f>
        <v>319.23371140625</v>
      </c>
      <c r="N58" s="33" t="n">
        <f aca="false">M58+IF(Source_Data!N$6=Inputs!$B$13,Inputs!$B$7,0)+N53-N56</f>
        <v>425.76657740625</v>
      </c>
      <c r="O58" s="33" t="n">
        <f aca="false">N58+IF(Source_Data!O$6=Inputs!$B$13,Inputs!$B$7,0)+O53-O56</f>
        <v>524.16006840625</v>
      </c>
      <c r="P58" s="33" t="n">
        <f aca="false">O58+IF(Source_Data!P$6=Inputs!$B$13,Inputs!$B$7,0)+P53-P56</f>
        <v>407.43650740625</v>
      </c>
      <c r="Q58" s="33" t="n">
        <f aca="false">P58+IF(Source_Data!Q$6=Inputs!$B$13,Inputs!$B$7,0)+Q53-Q56</f>
        <v>265.90575928125</v>
      </c>
      <c r="R58" s="33" t="n">
        <f aca="false">Q58+IF(Source_Data!R$6=Inputs!$B$13,Inputs!$B$7,0)+R53-R56</f>
        <v>73.77501115625</v>
      </c>
      <c r="S58" s="33" t="n">
        <f aca="false">R58+IF(Source_Data!S$6=Inputs!$B$13,Inputs!$B$7,0)+S53-S56</f>
        <v>-64.90723678125</v>
      </c>
      <c r="T58" s="33" t="n">
        <f aca="false">S58+IF(Source_Data!T$6=Inputs!$B$13,Inputs!$B$7,0)+T53-T56</f>
        <v>-69.1782610625</v>
      </c>
      <c r="U58" s="33" t="n">
        <f aca="false">T58+IF(Source_Data!U$6=Inputs!$B$13,Inputs!$B$7,0)+U53-U56</f>
        <v>-74.81181671875</v>
      </c>
      <c r="V58" s="33" t="n">
        <f aca="false">U58+IF(Source_Data!V$6=Inputs!$B$13,Inputs!$B$7,0)+V53-V56</f>
        <v>-85.8352665</v>
      </c>
      <c r="W58" s="33" t="n">
        <f aca="false">V58+IF(Source_Data!W$6=Inputs!$B$13,Inputs!$B$7,0)+W53-W56</f>
        <v>-100.76561628125</v>
      </c>
      <c r="X58" s="33" t="n">
        <f aca="false">W58+IF(Source_Data!X$6=Inputs!$B$13,Inputs!$B$7,0)+X53-X56</f>
        <v>-93.1959660625</v>
      </c>
      <c r="Y58" s="33" t="n">
        <f aca="false">X58+IF(Source_Data!Y$6=Inputs!$B$13,Inputs!$B$7,0)+Y53-Y56</f>
        <v>-77.80351271875</v>
      </c>
      <c r="Z58" s="33" t="n">
        <f aca="false">Y58+IF(Source_Data!Z$6=Inputs!$B$13,Inputs!$B$7,0)+Z53-Z56</f>
        <v>-62.411059375</v>
      </c>
      <c r="AA58" s="33" t="n">
        <f aca="false">Z58+IF(Source_Data!AA$6=Inputs!$B$13,Inputs!$B$7,0)+AA53-AA56</f>
        <v>-47.01860603125</v>
      </c>
      <c r="AB58" s="33" t="n">
        <f aca="false">AA58+IF(Source_Data!AB$6=Inputs!$B$13,Inputs!$B$7,0)+AB53-AB56</f>
        <v>-14.3353526875</v>
      </c>
      <c r="AC58" s="33" t="n">
        <f aca="false">AB58+IF(Source_Data!AC$6=Inputs!$B$13,Inputs!$B$7,0)+AC53-AC56</f>
        <v>15.3994120625</v>
      </c>
      <c r="AD58" s="33" t="n">
        <f aca="false">AC58+IF(Source_Data!AD$6=Inputs!$B$13,Inputs!$B$7,0)+AD53-AD56</f>
        <v>41.8865661875</v>
      </c>
      <c r="AE58" s="33" t="n">
        <f aca="false">AD58+IF(Source_Data!AE$6=Inputs!$B$13,Inputs!$B$7,0)+AE53-AE56</f>
        <v>64.4668203125</v>
      </c>
      <c r="AF58" s="33" t="n">
        <f aca="false">AE58+IF(Source_Data!AF$6=Inputs!$B$13,Inputs!$B$7,0)+AF53-AF56</f>
        <v>36.4925996796397</v>
      </c>
      <c r="AG58" s="33" t="n">
        <f aca="false">AF58+IF(Source_Data!AG$6=Inputs!$B$13,Inputs!$B$7,0)+AG53-AG56</f>
        <v>53.9232525041855</v>
      </c>
      <c r="AH58" s="33" t="n">
        <f aca="false">AG58+IF(Source_Data!AH$6=Inputs!$B$13,Inputs!$B$7,0)+AH53-AH56</f>
        <v>71.3539053287314</v>
      </c>
      <c r="AI58" s="33" t="n">
        <f aca="false">AH58+IF(Source_Data!AI$6=Inputs!$B$13,Inputs!$B$7,0)+AI53-AI56</f>
        <v>88.7845581532772</v>
      </c>
      <c r="AJ58" s="33" t="n">
        <f aca="false">AI58+IF(Source_Data!AJ$6=Inputs!$B$13,Inputs!$B$7,0)+AJ53-AJ56</f>
        <v>106.215210977823</v>
      </c>
      <c r="AK58" s="33" t="n">
        <f aca="false">AJ58+IF(Source_Data!AK$6=Inputs!$B$13,Inputs!$B$7,0)+AK53-AK56</f>
        <v>122.12848846637</v>
      </c>
      <c r="AL58" s="33" t="n">
        <f aca="false">AK58+IF(Source_Data!AL$6=Inputs!$B$13,Inputs!$B$7,0)+AL53-AL56</f>
        <v>138.041765954917</v>
      </c>
      <c r="AM58" s="33" t="n">
        <f aca="false">AL58+IF(Source_Data!AM$6=Inputs!$B$13,Inputs!$B$7,0)+AM53-AM56</f>
        <v>151.061034831617</v>
      </c>
      <c r="AN58" s="33" t="n">
        <f aca="false">AM58+IF(Source_Data!AN$6=Inputs!$B$13,Inputs!$B$7,0)+AN53-AN56</f>
        <v>157.748795939845</v>
      </c>
      <c r="AO58" s="33" t="n">
        <f aca="false">AN58+IF(Source_Data!AO$6=Inputs!$B$13,Inputs!$B$7,0)+AO53-AO56</f>
        <v>160.22937475</v>
      </c>
      <c r="AP58" s="33" t="n">
        <f aca="false">AO58+IF(Source_Data!AP$6=Inputs!$B$13,Inputs!$B$7,0)+AP53-AP56</f>
        <v>160.22937475</v>
      </c>
      <c r="AQ58" s="33" t="n">
        <f aca="false">AP58+IF(Source_Data!AQ$6=Inputs!$B$13,Inputs!$B$7,0)+AQ53-AQ56</f>
        <v>160.22937475</v>
      </c>
      <c r="AR58" s="33" t="n">
        <f aca="false">AQ58+IF(Source_Data!AR$6=Inputs!$B$13,Inputs!$B$7,0)+AR53-AR56</f>
        <v>160.22937475</v>
      </c>
      <c r="AS58" s="33" t="n">
        <f aca="false">AR58+IF(Source_Data!AS$6=Inputs!$B$13,Inputs!$B$7,0)+AS53-AS56</f>
        <v>160.22937475</v>
      </c>
      <c r="AT58" s="33" t="n">
        <f aca="false">AS58+IF(Source_Data!AT$6=Inputs!$B$13,Inputs!$B$7,0)+AT53-AT56</f>
        <v>160.22937475</v>
      </c>
      <c r="AU58" s="33" t="n">
        <f aca="false">AT58+IF(Source_Data!AU$6=Inputs!$B$13,Inputs!$B$7,0)+AU53-AU56</f>
        <v>160.22937475</v>
      </c>
      <c r="AV58" s="33" t="n">
        <f aca="false">AU58+IF(Source_Data!AV$6=Inputs!$B$13,Inputs!$B$7,0)+AV53-AV56</f>
        <v>160.22937475</v>
      </c>
      <c r="AW58" s="33" t="n">
        <f aca="false">AV58+IF(Source_Data!AW$6=Inputs!$B$13,Inputs!$B$7,0)+AW53-AW56</f>
        <v>160.22937475</v>
      </c>
      <c r="AX58" s="33" t="n">
        <f aca="false">AW58+IF(Source_Data!AX$6=Inputs!$B$13,Inputs!$B$7,0)+AX53-AX56</f>
        <v>160.22937475</v>
      </c>
      <c r="AY58" s="33" t="n">
        <f aca="false">AX58+IF(Source_Data!AY$6=Inputs!$B$13,Inputs!$B$7,0)+AY53-AY56</f>
        <v>160.22937475</v>
      </c>
      <c r="AZ58" s="33" t="n">
        <f aca="false">AY58+IF(Source_Data!AZ$6=Inputs!$B$13,Inputs!$B$7,0)+AZ53-AZ56</f>
        <v>160.22937475</v>
      </c>
      <c r="BA58" s="33" t="n">
        <f aca="false">AZ58+IF(Source_Data!BA$6=Inputs!$B$13,Inputs!$B$7,0)+BA53-BA56</f>
        <v>160.22937475</v>
      </c>
      <c r="BB58" s="33" t="n">
        <f aca="false">BA58+IF(Source_Data!BB$6=Inputs!$B$13,Inputs!$B$7,0)+BB53-BB56</f>
        <v>160.22937475</v>
      </c>
      <c r="BC58" s="33" t="n">
        <f aca="false">BB58+IF(Source_Data!BC$6=Inputs!$B$13,Inputs!$B$7,0)+BC53-BC56</f>
        <v>160.22937475</v>
      </c>
      <c r="BD58" s="33" t="n">
        <f aca="false">BC58+IF(Source_Data!BD$6=Inputs!$B$13,Inputs!$B$7,0)+BD53-BD56</f>
        <v>160.22937475</v>
      </c>
      <c r="BE58" s="33" t="n">
        <f aca="false">BD58+IF(Source_Data!BE$6=Inputs!$B$13,Inputs!$B$7,0)+BE53-BE56</f>
        <v>160.22937475</v>
      </c>
      <c r="BF58" s="33" t="n">
        <f aca="false">BE58+IF(Source_Data!BF$6=Inputs!$B$13,Inputs!$B$7,0)+BF53-BF56</f>
        <v>160.22937475</v>
      </c>
      <c r="BG58" s="33" t="n">
        <f aca="false">BF58+IF(Source_Data!BG$6=Inputs!$B$13,Inputs!$B$7,0)+BG53-BG56</f>
        <v>160.22937475</v>
      </c>
      <c r="BH58" s="33" t="n">
        <f aca="false">BG58+IF(Source_Data!BH$6=Inputs!$B$13,Inputs!$B$7,0)+BH53-BH56</f>
        <v>160.22937475</v>
      </c>
      <c r="BI58" s="33" t="n">
        <f aca="false">BH58+IF(Source_Data!BI$6=Inputs!$B$13,Inputs!$B$7,0)+BI53-BI56</f>
        <v>160.22937475</v>
      </c>
      <c r="BJ58" s="33" t="n">
        <f aca="false">BI58+IF(Source_Data!BJ$6=Inputs!$B$13,Inputs!$B$7,0)+BJ53-BJ56</f>
        <v>160.22937475</v>
      </c>
      <c r="BK58" s="33" t="n">
        <f aca="false">BJ58+IF(Source_Data!BK$6=Inputs!$B$13,Inputs!$B$7,0)+BK53-BK56</f>
        <v>160.22937475</v>
      </c>
    </row>
    <row r="59" customFormat="false" ht="15" hidden="false" customHeight="false" outlineLevel="0" collapsed="false">
      <c r="A59" s="3" t="s">
        <v>345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25.951257026087</v>
      </c>
      <c r="N59" s="31" t="n">
        <f aca="false">IF(N56&gt;0,N53/N56,"")</f>
        <v>8.4109819826087</v>
      </c>
      <c r="O59" s="31" t="n">
        <f aca="false">IF(O56&gt;0,O53/O56,"")</f>
        <v>7.84476459130435</v>
      </c>
      <c r="P59" s="31" t="n">
        <f aca="false">IF(P56&gt;0,P53/P56,"")</f>
        <v>-7.11989989565217</v>
      </c>
      <c r="Q59" s="31" t="n">
        <f aca="false">IF(Q56&gt;0,Q53/Q56,"")</f>
        <v>-8.84561726086957</v>
      </c>
      <c r="R59" s="31" t="n">
        <f aca="false">IF(R56&gt;0,R53/R56,"")</f>
        <v>-12.3656172608696</v>
      </c>
      <c r="S59" s="31" t="n">
        <f aca="false">IF(S56&gt;0,S53/S56,"")</f>
        <v>-8.64746072608696</v>
      </c>
      <c r="T59" s="31" t="n">
        <f aca="false">IF(T56&gt;0,T53/T56,"")</f>
        <v>0.702885267391304</v>
      </c>
      <c r="U59" s="31" t="n">
        <f aca="false">IF(U56&gt;0,U53/U56,"")</f>
        <v>0.608100476086957</v>
      </c>
      <c r="V59" s="31" t="n">
        <f aca="false">IF(V56&gt;0,V53/V56,"")</f>
        <v>0.233151319565217</v>
      </c>
      <c r="W59" s="31" t="n">
        <f aca="false">IF(W56&gt;0,W53/W56,"")</f>
        <v>-0.0386330282608697</v>
      </c>
      <c r="X59" s="31" t="n">
        <f aca="false">IF(X56&gt;0,X53/X56,"")</f>
        <v>1.52658436304348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346</v>
      </c>
      <c r="D60" s="31" t="str">
        <f aca="false">IF(D56&gt;0,(0+D53+IF(Source_Data!D$6=Inputs!$B$13,Inputs!$B$7,0))/D56,"")</f>
        <v/>
      </c>
      <c r="E60" s="31" t="str">
        <f aca="false">IF(E56&gt;0,(D58+E53+IF(Source_Data!E$6=Inputs!$B$13,Inputs!$B$7,0))/E56,"")</f>
        <v/>
      </c>
      <c r="F60" s="31" t="str">
        <f aca="false">IF(F56&gt;0,(E58+F53+IF(Source_Data!F$6=Inputs!$B$13,Inputs!$B$7,0))/F56,"")</f>
        <v/>
      </c>
      <c r="G60" s="31" t="str">
        <f aca="false">IF(G56&gt;0,(F58+G53+IF(Source_Data!G$6=Inputs!$B$13,Inputs!$B$7,0))/G56,"")</f>
        <v/>
      </c>
      <c r="H60" s="31" t="str">
        <f aca="false">IF(H56&gt;0,(G58+H53+IF(Source_Data!H$6=Inputs!$B$13,Inputs!$B$7,0))/H56,"")</f>
        <v/>
      </c>
      <c r="I60" s="31" t="str">
        <f aca="false">IF(I56&gt;0,(H58+I53+IF(Source_Data!I$6=Inputs!$B$13,Inputs!$B$7,0))/I56,"")</f>
        <v/>
      </c>
      <c r="J60" s="31" t="str">
        <f aca="false">IF(J56&gt;0,(I58+J53+IF(Source_Data!J$6=Inputs!$B$13,Inputs!$B$7,0))/J56,"")</f>
        <v/>
      </c>
      <c r="K60" s="31" t="str">
        <f aca="false">IF(K56&gt;0,(J58+K53+IF(Source_Data!K$6=Inputs!$B$13,Inputs!$B$7,0))/K56,"")</f>
        <v/>
      </c>
      <c r="L60" s="31" t="str">
        <f aca="false">IF(L56&gt;0,(K58+L53+IF(Source_Data!L$6=Inputs!$B$13,Inputs!$B$7,0))/L56,"")</f>
        <v/>
      </c>
      <c r="M60" s="31" t="n">
        <f aca="false">IF(M56&gt;0,(L58+M53+IF(Source_Data!M$6=Inputs!$B$13,Inputs!$B$7,0))/M56,"")</f>
        <v>23.2075625326087</v>
      </c>
      <c r="N60" s="31" t="n">
        <f aca="false">IF(N56&gt;0,(M58+N53+IF(Source_Data!N$6=Inputs!$B$13,Inputs!$B$7,0))/N56,"")</f>
        <v>30.6185445152174</v>
      </c>
      <c r="O60" s="31" t="n">
        <f aca="false">IF(O56&gt;0,(N58+O53+IF(Source_Data!O$6=Inputs!$B$13,Inputs!$B$7,0))/O56,"")</f>
        <v>37.4633091065217</v>
      </c>
      <c r="P60" s="31" t="n">
        <f aca="false">IF(P56&gt;0,(O58+P53+IF(Source_Data!P$6=Inputs!$B$13,Inputs!$B$7,0))/P56,"")</f>
        <v>29.3434092108696</v>
      </c>
      <c r="Q60" s="31" t="n">
        <f aca="false">IF(Q56&gt;0,(P58+Q53+IF(Source_Data!Q$6=Inputs!$B$13,Inputs!$B$7,0))/Q56,"")</f>
        <v>19.49779195</v>
      </c>
      <c r="R60" s="31" t="n">
        <f aca="false">IF(R56&gt;0,(Q58+R53+IF(Source_Data!R$6=Inputs!$B$13,Inputs!$B$7,0))/R56,"")</f>
        <v>6.13217468913044</v>
      </c>
      <c r="S60" s="31" t="n">
        <f aca="false">IF(S56&gt;0,(R58+S53+IF(Source_Data!S$6=Inputs!$B$13,Inputs!$B$7,0))/S56,"")</f>
        <v>-3.51528603695652</v>
      </c>
      <c r="T60" s="31" t="n">
        <f aca="false">IF(T56&gt;0,(S58+T53+IF(Source_Data!T$6=Inputs!$B$13,Inputs!$B$7,0))/T56,"")</f>
        <v>-3.81240076956522</v>
      </c>
      <c r="U60" s="31" t="n">
        <f aca="false">IF(U56&gt;0,(T58+U53+IF(Source_Data!U$6=Inputs!$B$13,Inputs!$B$7,0))/U56,"")</f>
        <v>-4.20430029347826</v>
      </c>
      <c r="V60" s="31" t="n">
        <f aca="false">IF(V56&gt;0,(U58+V53+IF(Source_Data!V$6=Inputs!$B$13,Inputs!$B$7,0))/V56,"")</f>
        <v>-4.97114897391304</v>
      </c>
      <c r="W60" s="31" t="n">
        <f aca="false">IF(W56&gt;0,(V58+W53+IF(Source_Data!W$6=Inputs!$B$13,Inputs!$B$7,0))/W56,"")</f>
        <v>-6.00978200217391</v>
      </c>
      <c r="X60" s="31" t="n">
        <f aca="false">IF(X56&gt;0,(W58+X53+IF(Source_Data!X$6=Inputs!$B$13,Inputs!$B$7,0))/X56,"")</f>
        <v>-5.48319763913043</v>
      </c>
      <c r="Y60" s="31" t="str">
        <f aca="false">IF(Y56&gt;0,(X58+Y53+IF(Source_Data!Y$6=Inputs!$B$13,Inputs!$B$7,0))/Y56,"")</f>
        <v/>
      </c>
      <c r="Z60" s="31" t="str">
        <f aca="false">IF(Z56&gt;0,(Y58+Z53+IF(Source_Data!Z$6=Inputs!$B$13,Inputs!$B$7,0))/Z56,"")</f>
        <v/>
      </c>
      <c r="AA60" s="31" t="str">
        <f aca="false">IF(AA56&gt;0,(Z58+AA53+IF(Source_Data!AA$6=Inputs!$B$13,Inputs!$B$7,0))/AA56,"")</f>
        <v/>
      </c>
      <c r="AB60" s="31" t="str">
        <f aca="false">IF(AB56&gt;0,(AA58+AB53+IF(Source_Data!AB$6=Inputs!$B$13,Inputs!$B$7,0))/AB56,"")</f>
        <v/>
      </c>
      <c r="AC60" s="31" t="str">
        <f aca="false">IF(AC56&gt;0,(AB58+AC53+IF(Source_Data!AC$6=Inputs!$B$13,Inputs!$B$7,0))/AC56,"")</f>
        <v/>
      </c>
      <c r="AD60" s="31" t="str">
        <f aca="false">IF(AD56&gt;0,(AC58+AD53+IF(Source_Data!AD$6=Inputs!$B$13,Inputs!$B$7,0))/AD56,"")</f>
        <v/>
      </c>
      <c r="AE60" s="31" t="str">
        <f aca="false">IF(AE56&gt;0,(AD58+AE53+IF(Source_Data!AE$6=Inputs!$B$13,Inputs!$B$7,0))/AE56,"")</f>
        <v/>
      </c>
      <c r="AF60" s="31" t="str">
        <f aca="false">IF(AF56&gt;0,(AE58+AF53+IF(Source_Data!AF$6=Inputs!$B$13,Inputs!$B$7,0))/AF56,"")</f>
        <v/>
      </c>
      <c r="AG60" s="31" t="str">
        <f aca="false">IF(AG56&gt;0,(AF58+AG53+IF(Source_Data!AG$6=Inputs!$B$13,Inputs!$B$7,0))/AG56,"")</f>
        <v/>
      </c>
      <c r="AH60" s="31" t="str">
        <f aca="false">IF(AH56&gt;0,(AG58+AH53+IF(Source_Data!AH$6=Inputs!$B$13,Inputs!$B$7,0))/AH56,"")</f>
        <v/>
      </c>
      <c r="AI60" s="31" t="str">
        <f aca="false">IF(AI56&gt;0,(AH58+AI53+IF(Source_Data!AI$6=Inputs!$B$13,Inputs!$B$7,0))/AI56,"")</f>
        <v/>
      </c>
      <c r="AJ60" s="31" t="str">
        <f aca="false">IF(AJ56&gt;0,(AI58+AJ53+IF(Source_Data!AJ$6=Inputs!$B$13,Inputs!$B$7,0))/AJ56,"")</f>
        <v/>
      </c>
      <c r="AK60" s="31" t="str">
        <f aca="false">IF(AK56&gt;0,(AJ58+AK53+IF(Source_Data!AK$6=Inputs!$B$13,Inputs!$B$7,0))/AK56,"")</f>
        <v/>
      </c>
      <c r="AL60" s="31" t="str">
        <f aca="false">IF(AL56&gt;0,(AK58+AL53+IF(Source_Data!AL$6=Inputs!$B$13,Inputs!$B$7,0))/AL56,"")</f>
        <v/>
      </c>
      <c r="AM60" s="31" t="str">
        <f aca="false">IF(AM56&gt;0,(AL58+AM53+IF(Source_Data!AM$6=Inputs!$B$13,Inputs!$B$7,0))/AM56,"")</f>
        <v/>
      </c>
      <c r="AN60" s="31" t="str">
        <f aca="false">IF(AN56&gt;0,(AM58+AN53+IF(Source_Data!AN$6=Inputs!$B$13,Inputs!$B$7,0))/AN56,"")</f>
        <v/>
      </c>
      <c r="AO60" s="31" t="str">
        <f aca="false">IF(AO56&gt;0,(AN58+AO53+IF(Source_Data!AO$6=Inputs!$B$13,Inputs!$B$7,0))/AO56,"")</f>
        <v/>
      </c>
      <c r="AP60" s="31" t="str">
        <f aca="false">IF(AP56&gt;0,(AO58+AP53+IF(Source_Data!AP$6=Inputs!$B$13,Inputs!$B$7,0))/AP56,"")</f>
        <v/>
      </c>
      <c r="AQ60" s="31" t="str">
        <f aca="false">IF(AQ56&gt;0,(AP58+AQ53+IF(Source_Data!AQ$6=Inputs!$B$13,Inputs!$B$7,0))/AQ56,"")</f>
        <v/>
      </c>
      <c r="AR60" s="31" t="str">
        <f aca="false">IF(AR56&gt;0,(AQ58+AR53+IF(Source_Data!AR$6=Inputs!$B$13,Inputs!$B$7,0))/AR56,"")</f>
        <v/>
      </c>
      <c r="AS60" s="31" t="str">
        <f aca="false">IF(AS56&gt;0,(AR58+AS53+IF(Source_Data!AS$6=Inputs!$B$13,Inputs!$B$7,0))/AS56,"")</f>
        <v/>
      </c>
      <c r="AT60" s="31" t="str">
        <f aca="false">IF(AT56&gt;0,(AS58+AT53+IF(Source_Data!AT$6=Inputs!$B$13,Inputs!$B$7,0))/AT56,"")</f>
        <v/>
      </c>
      <c r="AU60" s="31" t="str">
        <f aca="false">IF(AU56&gt;0,(AT58+AU53+IF(Source_Data!AU$6=Inputs!$B$13,Inputs!$B$7,0))/AU56,"")</f>
        <v/>
      </c>
      <c r="AV60" s="31" t="str">
        <f aca="false">IF(AV56&gt;0,(AU58+AV53+IF(Source_Data!AV$6=Inputs!$B$13,Inputs!$B$7,0))/AV56,"")</f>
        <v/>
      </c>
      <c r="AW60" s="31" t="str">
        <f aca="false">IF(AW56&gt;0,(AV58+AW53+IF(Source_Data!AW$6=Inputs!$B$13,Inputs!$B$7,0))/AW56,"")</f>
        <v/>
      </c>
      <c r="AX60" s="31" t="str">
        <f aca="false">IF(AX56&gt;0,(AW58+AX53+IF(Source_Data!AX$6=Inputs!$B$13,Inputs!$B$7,0))/AX56,"")</f>
        <v/>
      </c>
      <c r="AY60" s="31" t="str">
        <f aca="false">IF(AY56&gt;0,(AX58+AY53+IF(Source_Data!AY$6=Inputs!$B$13,Inputs!$B$7,0))/AY56,"")</f>
        <v/>
      </c>
      <c r="AZ60" s="31" t="str">
        <f aca="false">IF(AZ56&gt;0,(AY58+AZ53+IF(Source_Data!AZ$6=Inputs!$B$13,Inputs!$B$7,0))/AZ56,"")</f>
        <v/>
      </c>
      <c r="BA60" s="31" t="str">
        <f aca="false">IF(BA56&gt;0,(AZ58+BA53+IF(Source_Data!BA$6=Inputs!$B$13,Inputs!$B$7,0))/BA56,"")</f>
        <v/>
      </c>
      <c r="BB60" s="31" t="str">
        <f aca="false">IF(BB56&gt;0,(BA58+BB53+IF(Source_Data!BB$6=Inputs!$B$13,Inputs!$B$7,0))/BB56,"")</f>
        <v/>
      </c>
      <c r="BC60" s="31" t="str">
        <f aca="false">IF(BC56&gt;0,(BB58+BC53+IF(Source_Data!BC$6=Inputs!$B$13,Inputs!$B$7,0))/BC56,"")</f>
        <v/>
      </c>
      <c r="BD60" s="31" t="str">
        <f aca="false">IF(BD56&gt;0,(BC58+BD53+IF(Source_Data!BD$6=Inputs!$B$13,Inputs!$B$7,0))/BD56,"")</f>
        <v/>
      </c>
      <c r="BE60" s="31" t="str">
        <f aca="false">IF(BE56&gt;0,(BD58+BE53+IF(Source_Data!BE$6=Inputs!$B$13,Inputs!$B$7,0))/BE56,"")</f>
        <v/>
      </c>
      <c r="BF60" s="31" t="str">
        <f aca="false">IF(BF56&gt;0,(BE58+BF53+IF(Source_Data!BF$6=Inputs!$B$13,Inputs!$B$7,0))/BF56,"")</f>
        <v/>
      </c>
      <c r="BG60" s="31" t="str">
        <f aca="false">IF(BG56&gt;0,(BF58+BG53+IF(Source_Data!BG$6=Inputs!$B$13,Inputs!$B$7,0))/BG56,"")</f>
        <v/>
      </c>
      <c r="BH60" s="31" t="str">
        <f aca="false">IF(BH56&gt;0,(BG58+BH53+IF(Source_Data!BH$6=Inputs!$B$13,Inputs!$B$7,0))/BH56,"")</f>
        <v/>
      </c>
      <c r="BI60" s="31" t="str">
        <f aca="false">IF(BI56&gt;0,(BH58+BI53+IF(Source_Data!BI$6=Inputs!$B$13,Inputs!$B$7,0))/BI56,"")</f>
        <v/>
      </c>
      <c r="BJ60" s="31" t="str">
        <f aca="false">IF(BJ56&gt;0,(BI58+BJ53+IF(Source_Data!BJ$6=Inputs!$B$13,Inputs!$B$7,0))/BJ56,"")</f>
        <v/>
      </c>
      <c r="BK60" s="31" t="str">
        <f aca="false">IF(BK56&gt;0,(BJ58+BK53+IF(Source_Data!BK$6=Inputs!$B$13,Inputs!$B$7,0))/BK56,"")</f>
        <v/>
      </c>
    </row>
    <row r="62" customFormat="false" ht="15" hidden="false" customHeight="false" outlineLevel="0" collapsed="false">
      <c r="A62" s="2" t="s">
        <v>222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347</v>
      </c>
      <c r="B63" s="41" t="n">
        <f aca="false">SUMPRODUCT(D53:BK53,Project_CF!$D$15:$BK$15)</f>
        <v>123.898088893176</v>
      </c>
    </row>
    <row r="64" customFormat="false" ht="15" hidden="false" customHeight="false" outlineLevel="0" collapsed="false">
      <c r="A64" s="2" t="s">
        <v>164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348</v>
      </c>
      <c r="B65" s="35" t="n">
        <f aca="false">INDEX(Project_CF!$D$6:$BK$6,MATCH(MIN(D54:BK54),D54:BK54,0))</f>
        <v>21</v>
      </c>
    </row>
    <row r="66" customFormat="false" ht="15" hidden="false" customHeight="false" outlineLevel="0" collapsed="false">
      <c r="A66" s="2" t="s">
        <v>349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350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351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352</v>
      </c>
      <c r="B69" s="41" t="n">
        <f aca="false">MIN(D58:BK58)</f>
        <v>-100.76561628125</v>
      </c>
    </row>
    <row r="70" customFormat="false" ht="15" hidden="false" customHeight="false" outlineLevel="0" collapsed="false">
      <c r="A70" s="2" t="s">
        <v>353</v>
      </c>
      <c r="B70" s="43" t="n">
        <f aca="false">MIN(D59:BK59)</f>
        <v>-12.3656172608696</v>
      </c>
    </row>
    <row r="71" customFormat="false" ht="15" hidden="false" customHeight="false" outlineLevel="0" collapsed="false">
      <c r="A71" s="2" t="s">
        <v>354</v>
      </c>
      <c r="B71" s="35" t="n">
        <f aca="false">COUNTIF(D59:BK59,"&lt;"&amp;Inputs!$B$44)</f>
        <v>8</v>
      </c>
    </row>
    <row r="72" customFormat="false" ht="15" hidden="false" customHeight="false" outlineLevel="0" collapsed="false">
      <c r="A72" s="2" t="s">
        <v>355</v>
      </c>
      <c r="B72" s="43" t="n">
        <f aca="false">MIN(D60:BK60)</f>
        <v>-6.00978200217391</v>
      </c>
    </row>
    <row r="73" customFormat="false" ht="15" hidden="false" customHeight="false" outlineLevel="0" collapsed="false">
      <c r="A73" s="2" t="s">
        <v>356</v>
      </c>
      <c r="B73" s="35" t="n">
        <f aca="false">COUNTIF(D60:BK60,"&lt;"&amp;Inputs!$B$44)</f>
        <v>6</v>
      </c>
    </row>
    <row r="76" customFormat="false" ht="15" hidden="false" customHeight="false" outlineLevel="0" collapsed="false">
      <c r="A76" s="8" t="s">
        <v>361</v>
      </c>
    </row>
    <row r="77" customFormat="false" ht="15" hidden="false" customHeight="false" outlineLevel="0" collapsed="false">
      <c r="A77" s="3" t="s">
        <v>333</v>
      </c>
      <c r="B77" s="45" t="n">
        <v>1.1</v>
      </c>
    </row>
    <row r="78" customFormat="false" ht="15" hidden="false" customHeight="false" outlineLevel="0" collapsed="false">
      <c r="A78" s="3" t="s">
        <v>334</v>
      </c>
      <c r="B78" s="45" t="n">
        <v>0</v>
      </c>
    </row>
    <row r="79" customFormat="false" ht="15" hidden="false" customHeight="false" outlineLevel="0" collapsed="false">
      <c r="A79" s="3" t="s">
        <v>335</v>
      </c>
      <c r="B79" s="45" t="n">
        <v>1</v>
      </c>
    </row>
    <row r="80" customFormat="false" ht="15" hidden="false" customHeight="false" outlineLevel="0" collapsed="false">
      <c r="A80" s="3" t="s">
        <v>336</v>
      </c>
      <c r="B80" s="45" t="n">
        <v>0</v>
      </c>
    </row>
    <row r="81" customFormat="false" ht="15" hidden="false" customHeight="false" outlineLevel="0" collapsed="false">
      <c r="A81" s="3" t="s">
        <v>337</v>
      </c>
      <c r="B81" s="45" t="n">
        <v>0</v>
      </c>
    </row>
    <row r="82" customFormat="false" ht="15" hidden="false" customHeight="false" outlineLevel="0" collapsed="false">
      <c r="A82" s="3" t="s">
        <v>338</v>
      </c>
      <c r="B82" s="3" t="n">
        <f aca="false">Inputs!$B$14+3+3*$B$78</f>
        <v>45</v>
      </c>
    </row>
    <row r="83" customFormat="false" ht="15" hidden="false" customHeight="false" outlineLevel="0" collapsed="false">
      <c r="A83" s="3" t="s">
        <v>339</v>
      </c>
      <c r="D83" s="33" t="n">
        <f aca="false">Source_Data!D$7+IF($B$81=1,IF(Source_Data!D$6=Inputs!$B$14,Source_Data!$C$8,0),Source_Data!D$8)</f>
        <v>0</v>
      </c>
      <c r="E83" s="33" t="n">
        <f aca="false">Source_Data!E$7+IF($B$81=1,IF(Source_Data!E$6=Inputs!$B$14,Source_Data!$C$8,0),Source_Data!E$8)</f>
        <v>0</v>
      </c>
      <c r="F83" s="33" t="n">
        <f aca="false">Source_Data!F$7+IF($B$81=1,IF(Source_Data!F$6=Inputs!$B$14,Source_Data!$C$8,0),Source_Data!F$8)</f>
        <v>15.1392375</v>
      </c>
      <c r="G83" s="33" t="n">
        <f aca="false">Source_Data!G$7+IF($B$81=1,IF(Source_Data!G$6=Inputs!$B$14,Source_Data!$C$8,0),Source_Data!G$8)</f>
        <v>30.278475</v>
      </c>
      <c r="H83" s="33" t="n">
        <f aca="false">Source_Data!H$7+IF($B$81=1,IF(Source_Data!H$6=Inputs!$B$14,Source_Data!$C$8,0),Source_Data!H$8)</f>
        <v>46.51200625</v>
      </c>
      <c r="I83" s="33" t="n">
        <f aca="false">Source_Data!I$7+IF($B$81=1,IF(Source_Data!I$6=Inputs!$B$14,Source_Data!$C$8,0),Source_Data!I$8)</f>
        <v>62.7455375</v>
      </c>
      <c r="J83" s="33" t="n">
        <f aca="false">Source_Data!J$7+IF($B$81=1,IF(Source_Data!J$6=Inputs!$B$14,Source_Data!$C$8,0),Source_Data!J$8)</f>
        <v>62.3657</v>
      </c>
      <c r="K83" s="33" t="n">
        <f aca="false">Source_Data!K$7+IF($B$81=1,IF(Source_Data!K$6=Inputs!$B$14,Source_Data!$C$8,0),Source_Data!K$8)</f>
        <v>63.473559375</v>
      </c>
      <c r="L83" s="33" t="n">
        <f aca="false">Source_Data!L$7+IF($B$81=1,IF(Source_Data!L$6=Inputs!$B$14,Source_Data!$C$8,0),Source_Data!L$8)</f>
        <v>80.3288484375</v>
      </c>
      <c r="M83" s="33" t="n">
        <f aca="false">Source_Data!M$7+IF($B$81=1,IF(Source_Data!M$6=Inputs!$B$14,Source_Data!$C$8,0),Source_Data!M$8)</f>
        <v>495.2538375</v>
      </c>
      <c r="N83" s="33" t="n">
        <f aca="false">Source_Data!N$7+IF($B$81=1,IF(Source_Data!N$6=Inputs!$B$14,Source_Data!$C$8,0),Source_Data!N$8)</f>
        <v>185.57775</v>
      </c>
      <c r="O83" s="33" t="n">
        <f aca="false">Source_Data!O$7+IF($B$81=1,IF(Source_Data!O$6=Inputs!$B$14,Source_Data!$C$8,0),Source_Data!O$8)</f>
        <v>176.534</v>
      </c>
      <c r="P83" s="33" t="n">
        <f aca="false">Source_Data!P$7+IF($B$81=1,IF(Source_Data!P$6=Inputs!$B$14,Source_Data!$C$8,0),Source_Data!P$8)</f>
        <v>97.31075</v>
      </c>
      <c r="Q83" s="33" t="n">
        <f aca="false">Source_Data!Q$7+IF($B$81=1,IF(Source_Data!Q$6=Inputs!$B$14,Source_Data!$C$8,0),Source_Data!Q$8)</f>
        <v>71.30996875</v>
      </c>
      <c r="R83" s="33" t="n">
        <f aca="false">Source_Data!R$7+IF($B$81=1,IF(Source_Data!R$6=Inputs!$B$14,Source_Data!$C$8,0),Source_Data!R$8)</f>
        <v>71.30996875</v>
      </c>
      <c r="S83" s="33" t="n">
        <f aca="false">Source_Data!S$7+IF($B$81=1,IF(Source_Data!S$6=Inputs!$B$14,Source_Data!$C$8,0),Source_Data!S$8)</f>
        <v>68.037035625</v>
      </c>
      <c r="T83" s="33" t="n">
        <f aca="false">Source_Data!T$7+IF($B$81=1,IF(Source_Data!T$6=Inputs!$B$14,Source_Data!$C$8,0),Source_Data!T$8)</f>
        <v>61.2266396875</v>
      </c>
      <c r="U83" s="33" t="n">
        <f aca="false">Source_Data!U$7+IF($B$81=1,IF(Source_Data!U$6=Inputs!$B$14,Source_Data!$C$8,0),Source_Data!U$8)</f>
        <v>59.7127159375</v>
      </c>
      <c r="V83" s="33" t="n">
        <f aca="false">Source_Data!V$7+IF($B$81=1,IF(Source_Data!V$6=Inputs!$B$14,Source_Data!$C$8,0),Source_Data!V$8)</f>
        <v>53.7239446875</v>
      </c>
      <c r="W83" s="33" t="n">
        <f aca="false">Source_Data!W$7+IF($B$81=1,IF(Source_Data!W$6=Inputs!$B$14,Source_Data!$C$8,0),Source_Data!W$8)</f>
        <v>49.3829446875</v>
      </c>
      <c r="X83" s="33" t="n">
        <f aca="false">Source_Data!X$7+IF($B$81=1,IF(Source_Data!X$6=Inputs!$B$14,Source_Data!$C$8,0),Source_Data!X$8)</f>
        <v>49.3829446875</v>
      </c>
      <c r="Y83" s="33" t="n">
        <f aca="false">Source_Data!Y$7+IF($B$81=1,IF(Source_Data!Y$6=Inputs!$B$14,Source_Data!$C$8,0),Source_Data!Y$8)</f>
        <v>42.1027259375</v>
      </c>
      <c r="Z83" s="33" t="n">
        <f aca="false">Source_Data!Z$7+IF($B$81=1,IF(Source_Data!Z$6=Inputs!$B$14,Source_Data!$C$8,0),Source_Data!Z$8)</f>
        <v>42.1027259375</v>
      </c>
      <c r="AA83" s="33" t="n">
        <f aca="false">Source_Data!AA$7+IF($B$81=1,IF(Source_Data!AA$6=Inputs!$B$14,Source_Data!$C$8,0),Source_Data!AA$8)</f>
        <v>42.1027259375</v>
      </c>
      <c r="AB83" s="33" t="n">
        <f aca="false">Source_Data!AB$7+IF($B$81=1,IF(Source_Data!AB$6=Inputs!$B$14,Source_Data!$C$8,0),Source_Data!AB$8)</f>
        <v>36.3147259375</v>
      </c>
      <c r="AC83" s="33" t="n">
        <f aca="false">Source_Data!AC$7+IF($B$81=1,IF(Source_Data!AC$6=Inputs!$B$14,Source_Data!$C$8,0),Source_Data!AC$8)</f>
        <v>33.0386275</v>
      </c>
      <c r="AD83" s="33" t="n">
        <f aca="false">Source_Data!AD$7+IF($B$81=1,IF(Source_Data!AD$6=Inputs!$B$14,Source_Data!$C$8,0),Source_Data!AD$8)</f>
        <v>29.43017125</v>
      </c>
      <c r="AE83" s="33" t="n">
        <f aca="false">Source_Data!AE$7+IF($B$81=1,IF(Source_Data!AE$6=Inputs!$B$14,Source_Data!$C$8,0),Source_Data!AE$8)</f>
        <v>25.08917125</v>
      </c>
      <c r="AF83" s="33" t="n">
        <f aca="false">Source_Data!AF$7+IF($B$81=1,IF(Source_Data!AF$6=Inputs!$B$14,Source_Data!$C$8,0),Source_Data!AF$8)</f>
        <v>25.08917125</v>
      </c>
      <c r="AG83" s="33" t="n">
        <f aca="false">Source_Data!AG$7+IF($B$81=1,IF(Source_Data!AG$6=Inputs!$B$14,Source_Data!$C$8,0),Source_Data!AG$8)</f>
        <v>25.08917125</v>
      </c>
      <c r="AH83" s="33" t="n">
        <f aca="false">Source_Data!AH$7+IF($B$81=1,IF(Source_Data!AH$6=Inputs!$B$14,Source_Data!$C$8,0),Source_Data!AH$8)</f>
        <v>25.08917125</v>
      </c>
      <c r="AI83" s="33" t="n">
        <f aca="false">Source_Data!AI$7+IF($B$81=1,IF(Source_Data!AI$6=Inputs!$B$14,Source_Data!$C$8,0),Source_Data!AI$8)</f>
        <v>25.08917125</v>
      </c>
      <c r="AJ83" s="33" t="n">
        <f aca="false">Source_Data!AJ$7+IF($B$81=1,IF(Source_Data!AJ$6=Inputs!$B$14,Source_Data!$C$8,0),Source_Data!AJ$8)</f>
        <v>25.08917125</v>
      </c>
      <c r="AK83" s="33" t="n">
        <f aca="false">Source_Data!AK$7+IF($B$81=1,IF(Source_Data!AK$6=Inputs!$B$14,Source_Data!$C$8,0),Source_Data!AK$8)</f>
        <v>22.905105625</v>
      </c>
      <c r="AL83" s="33" t="n">
        <f aca="false">Source_Data!AL$7+IF($B$81=1,IF(Source_Data!AL$6=Inputs!$B$14,Source_Data!$C$8,0),Source_Data!AL$8)</f>
        <v>22.905105625</v>
      </c>
      <c r="AM83" s="33" t="n">
        <f aca="false">Source_Data!AM$7+IF($B$81=1,IF(Source_Data!AM$6=Inputs!$B$14,Source_Data!$C$8,0),Source_Data!AM$8)</f>
        <v>18.739554375</v>
      </c>
      <c r="AN83" s="33" t="n">
        <f aca="false">Source_Data!AN$7+IF($B$81=1,IF(Source_Data!AN$6=Inputs!$B$14,Source_Data!$C$8,0),Source_Data!AN$8)</f>
        <v>9.6261675</v>
      </c>
      <c r="AO83" s="33" t="n">
        <f aca="false">Source_Data!AO$7+IF($B$81=1,IF(Source_Data!AO$6=Inputs!$B$14,Source_Data!$C$8,0),Source_Data!AO$8)</f>
        <v>3.5704725</v>
      </c>
      <c r="AP83" s="33" t="n">
        <f aca="false">Source_Data!AP$7+IF($B$81=1,IF(Source_Data!AP$6=Inputs!$B$14,Source_Data!$C$8,0),Source_Data!AP$8)</f>
        <v>0</v>
      </c>
      <c r="AQ83" s="33" t="n">
        <f aca="false">Source_Data!AQ$7+IF($B$81=1,IF(Source_Data!AQ$6=Inputs!$B$14,Source_Data!$C$8,0),Source_Data!AQ$8)</f>
        <v>0</v>
      </c>
      <c r="AR83" s="33" t="n">
        <f aca="false">Source_Data!AR$7+IF($B$81=1,IF(Source_Data!AR$6=Inputs!$B$14,Source_Data!$C$8,0),Source_Data!AR$8)</f>
        <v>0</v>
      </c>
      <c r="AS83" s="33" t="n">
        <f aca="false">Source_Data!AS$7+IF($B$81=1,IF(Source_Data!AS$6=Inputs!$B$14,Source_Data!$C$8,0),Source_Data!AS$8)</f>
        <v>0</v>
      </c>
      <c r="AT83" s="33" t="n">
        <f aca="false">Source_Data!AT$7+IF($B$81=1,IF(Source_Data!AT$6=Inputs!$B$14,Source_Data!$C$8,0),Source_Data!AT$8)</f>
        <v>0</v>
      </c>
      <c r="AU83" s="33" t="n">
        <f aca="false">Source_Data!AU$7+IF($B$81=1,IF(Source_Data!AU$6=Inputs!$B$14,Source_Data!$C$8,0),Source_Data!AU$8)</f>
        <v>0</v>
      </c>
      <c r="AV83" s="33" t="n">
        <f aca="false">Source_Data!AV$7+IF($B$81=1,IF(Source_Data!AV$6=Inputs!$B$14,Source_Data!$C$8,0),Source_Data!AV$8)</f>
        <v>0</v>
      </c>
      <c r="AW83" s="33" t="n">
        <f aca="false">Source_Data!AW$7+IF($B$81=1,IF(Source_Data!AW$6=Inputs!$B$14,Source_Data!$C$8,0),Source_Data!AW$8)</f>
        <v>0</v>
      </c>
      <c r="AX83" s="33" t="n">
        <f aca="false">Source_Data!AX$7+IF($B$81=1,IF(Source_Data!AX$6=Inputs!$B$14,Source_Data!$C$8,0),Source_Data!AX$8)</f>
        <v>0</v>
      </c>
      <c r="AY83" s="33" t="n">
        <f aca="false">Source_Data!AY$7+IF($B$81=1,IF(Source_Data!AY$6=Inputs!$B$14,Source_Data!$C$8,0),Source_Data!AY$8)</f>
        <v>0</v>
      </c>
      <c r="AZ83" s="33" t="n">
        <f aca="false">Source_Data!AZ$7+IF($B$81=1,IF(Source_Data!AZ$6=Inputs!$B$14,Source_Data!$C$8,0),Source_Data!AZ$8)</f>
        <v>0</v>
      </c>
      <c r="BA83" s="33" t="n">
        <f aca="false">Source_Data!BA$7+IF($B$81=1,IF(Source_Data!BA$6=Inputs!$B$14,Source_Data!$C$8,0),Source_Data!BA$8)</f>
        <v>0</v>
      </c>
      <c r="BB83" s="33" t="n">
        <f aca="false">Source_Data!BB$7+IF($B$81=1,IF(Source_Data!BB$6=Inputs!$B$14,Source_Data!$C$8,0),Source_Data!BB$8)</f>
        <v>0</v>
      </c>
      <c r="BC83" s="33" t="n">
        <f aca="false">Source_Data!BC$7+IF($B$81=1,IF(Source_Data!BC$6=Inputs!$B$14,Source_Data!$C$8,0),Source_Data!BC$8)</f>
        <v>0</v>
      </c>
      <c r="BD83" s="33" t="n">
        <f aca="false">Source_Data!BD$7+IF($B$81=1,IF(Source_Data!BD$6=Inputs!$B$14,Source_Data!$C$8,0),Source_Data!BD$8)</f>
        <v>0</v>
      </c>
      <c r="BE83" s="33" t="n">
        <f aca="false">Source_Data!BE$7+IF($B$81=1,IF(Source_Data!BE$6=Inputs!$B$14,Source_Data!$C$8,0),Source_Data!BE$8)</f>
        <v>0</v>
      </c>
      <c r="BF83" s="33" t="n">
        <f aca="false">Source_Data!BF$7+IF($B$81=1,IF(Source_Data!BF$6=Inputs!$B$14,Source_Data!$C$8,0),Source_Data!BF$8)</f>
        <v>0</v>
      </c>
      <c r="BG83" s="33" t="n">
        <f aca="false">Source_Data!BG$7+IF($B$81=1,IF(Source_Data!BG$6=Inputs!$B$14,Source_Data!$C$8,0),Source_Data!BG$8)</f>
        <v>0</v>
      </c>
      <c r="BH83" s="33" t="n">
        <f aca="false">Source_Data!BH$7+IF($B$81=1,IF(Source_Data!BH$6=Inputs!$B$14,Source_Data!$C$8,0),Source_Data!BH$8)</f>
        <v>0</v>
      </c>
      <c r="BI83" s="33" t="n">
        <f aca="false">Source_Data!BI$7+IF($B$81=1,IF(Source_Data!BI$6=Inputs!$B$14,Source_Data!$C$8,0),Source_Data!BI$8)</f>
        <v>0</v>
      </c>
      <c r="BJ83" s="33" t="n">
        <f aca="false">Source_Data!BJ$7+IF($B$81=1,IF(Source_Data!BJ$6=Inputs!$B$14,Source_Data!$C$8,0),Source_Data!BJ$8)</f>
        <v>0</v>
      </c>
      <c r="BK83" s="33" t="n">
        <f aca="false">Source_Data!BK$7+IF($B$81=1,IF(Source_Data!BK$6=Inputs!$B$14,Source_Data!$C$8,0),Source_Data!BK$8)</f>
        <v>0</v>
      </c>
    </row>
    <row r="84" customFormat="false" ht="15" hidden="false" customHeight="false" outlineLevel="0" collapsed="false">
      <c r="A84" s="3" t="s">
        <v>215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340</v>
      </c>
      <c r="D85" s="33" t="n">
        <f aca="false">Source_Data!D$9+Source_Data!D$10*IF(Source_Data!$C$10=0,0,MAX(0,Inputs!$B$20*Inputs!$B$23*$B$77-Inputs!$B$21)/Source_Data!$C$10)</f>
        <v>91.25</v>
      </c>
      <c r="E85" s="33" t="n">
        <f aca="false">Source_Data!E$9+Source_Data!E$10*IF(Source_Data!$C$10=0,0,MAX(0,Inputs!$B$20*Inputs!$B$23*$B$77-Inputs!$B$21)/Source_Data!$C$10)</f>
        <v>11.25</v>
      </c>
      <c r="F85" s="33" t="n">
        <f aca="false">Source_Data!F$9+Source_Data!F$10*IF(Source_Data!$C$10=0,0,MAX(0,Inputs!$B$20*Inputs!$B$23*$B$77-Inputs!$B$21)/Source_Data!$C$10)</f>
        <v>11.25</v>
      </c>
      <c r="G85" s="33" t="n">
        <f aca="false">Source_Data!G$9+Source_Data!G$10*IF(Source_Data!$C$10=0,0,MAX(0,Inputs!$B$20*Inputs!$B$23*$B$77-Inputs!$B$21)/Source_Data!$C$10)</f>
        <v>11.25</v>
      </c>
      <c r="H85" s="33" t="n">
        <f aca="false">Source_Data!H$9+Source_Data!H$10*IF(Source_Data!$C$10=0,0,MAX(0,Inputs!$B$20*Inputs!$B$23*$B$77-Inputs!$B$21)/Source_Data!$C$10)</f>
        <v>22.5</v>
      </c>
      <c r="I85" s="33" t="n">
        <f aca="false">Source_Data!I$9+Source_Data!I$10*IF(Source_Data!$C$10=0,0,MAX(0,Inputs!$B$20*Inputs!$B$23*$B$77-Inputs!$B$21)/Source_Data!$C$10)</f>
        <v>22.5</v>
      </c>
      <c r="J85" s="33" t="n">
        <f aca="false">Source_Data!J$9+Source_Data!J$10*IF(Source_Data!$C$10=0,0,MAX(0,Inputs!$B$20*Inputs!$B$23*$B$77-Inputs!$B$21)/Source_Data!$C$10)</f>
        <v>22.5</v>
      </c>
      <c r="K85" s="33" t="n">
        <f aca="false">Source_Data!K$9+Source_Data!K$10*IF(Source_Data!$C$10=0,0,MAX(0,Inputs!$B$20*Inputs!$B$23*$B$77-Inputs!$B$21)/Source_Data!$C$10)</f>
        <v>22.5</v>
      </c>
      <c r="L85" s="33" t="n">
        <f aca="false">Source_Data!L$9+Source_Data!L$10*IF(Source_Data!$C$10=0,0,MAX(0,Inputs!$B$20*Inputs!$B$23*$B$77-Inputs!$B$21)/Source_Data!$C$10)</f>
        <v>33.75</v>
      </c>
      <c r="M85" s="33" t="n">
        <f aca="false">Source_Data!M$9+Source_Data!M$10*IF(Source_Data!$C$10=0,0,MAX(0,Inputs!$B$20*Inputs!$B$23*$B$77-Inputs!$B$21)/Source_Data!$C$10)</f>
        <v>33.75</v>
      </c>
      <c r="N85" s="33" t="n">
        <f aca="false">Source_Data!N$9+Source_Data!N$10*IF(Source_Data!$C$10=0,0,MAX(0,Inputs!$B$20*Inputs!$B$23*$B$77-Inputs!$B$21)/Source_Data!$C$10)</f>
        <v>33.75</v>
      </c>
      <c r="O85" s="33" t="n">
        <f aca="false">Source_Data!O$9+Source_Data!O$10*IF(Source_Data!$C$10=0,0,MAX(0,Inputs!$B$20*Inputs!$B$23*$B$77-Inputs!$B$21)/Source_Data!$C$10)</f>
        <v>33.75</v>
      </c>
      <c r="P85" s="33" t="n">
        <f aca="false">Source_Data!P$9+Source_Data!P$10*IF(Source_Data!$C$10=0,0,MAX(0,Inputs!$B$20*Inputs!$B$23*$B$77-Inputs!$B$21)/Source_Data!$C$10)</f>
        <v>45</v>
      </c>
      <c r="Q85" s="33" t="n">
        <f aca="false">Source_Data!Q$9+Source_Data!Q$10*IF(Source_Data!$C$10=0,0,MAX(0,Inputs!$B$20*Inputs!$B$23*$B$77-Inputs!$B$21)/Source_Data!$C$10)</f>
        <v>45</v>
      </c>
      <c r="R85" s="33" t="n">
        <f aca="false">Source_Data!R$9+Source_Data!R$10*IF(Source_Data!$C$10=0,0,MAX(0,Inputs!$B$20*Inputs!$B$23*$B$77-Inputs!$B$21)/Source_Data!$C$10)</f>
        <v>45</v>
      </c>
      <c r="S85" s="33" t="n">
        <f aca="false">Source_Data!S$9+Source_Data!S$10*IF(Source_Data!$C$10=0,0,MAX(0,Inputs!$B$20*Inputs!$B$23*$B$77-Inputs!$B$21)/Source_Data!$C$10)</f>
        <v>45</v>
      </c>
      <c r="T85" s="33" t="n">
        <f aca="false">Source_Data!T$9+Source_Data!T$10*IF(Source_Data!$C$10=0,0,MAX(0,Inputs!$B$20*Inputs!$B$23*$B$77-Inputs!$B$21)/Source_Data!$C$10)</f>
        <v>45</v>
      </c>
      <c r="U85" s="33" t="n">
        <f aca="false">Source_Data!U$9+Source_Data!U$10*IF(Source_Data!$C$10=0,0,MAX(0,Inputs!$B$20*Inputs!$B$23*$B$77-Inputs!$B$21)/Source_Data!$C$10)</f>
        <v>45</v>
      </c>
      <c r="V85" s="33" t="n">
        <f aca="false">Source_Data!V$9+Source_Data!V$10*IF(Source_Data!$C$10=0,0,MAX(0,Inputs!$B$20*Inputs!$B$23*$B$77-Inputs!$B$21)/Source_Data!$C$10)</f>
        <v>45</v>
      </c>
      <c r="W85" s="33" t="n">
        <f aca="false">Source_Data!W$9+Source_Data!W$10*IF(Source_Data!$C$10=0,0,MAX(0,Inputs!$B$20*Inputs!$B$23*$B$77-Inputs!$B$21)/Source_Data!$C$10)</f>
        <v>45</v>
      </c>
      <c r="X85" s="33" t="n">
        <f aca="false">Source_Data!X$9+Source_Data!X$10*IF(Source_Data!$C$10=0,0,MAX(0,Inputs!$B$20*Inputs!$B$23*$B$77-Inputs!$B$21)/Source_Data!$C$10)</f>
        <v>22.5</v>
      </c>
      <c r="Y85" s="33" t="n">
        <f aca="false">Source_Data!Y$9+Source_Data!Y$10*IF(Source_Data!$C$10=0,0,MAX(0,Inputs!$B$20*Inputs!$B$23*$B$77-Inputs!$B$21)/Source_Data!$C$10)</f>
        <v>22.5</v>
      </c>
      <c r="Z85" s="33" t="n">
        <f aca="false">Source_Data!Z$9+Source_Data!Z$10*IF(Source_Data!$C$10=0,0,MAX(0,Inputs!$B$20*Inputs!$B$23*$B$77-Inputs!$B$21)/Source_Data!$C$10)</f>
        <v>22.5</v>
      </c>
      <c r="AA85" s="33" t="n">
        <f aca="false">Source_Data!AA$9+Source_Data!AA$10*IF(Source_Data!$C$10=0,0,MAX(0,Inputs!$B$20*Inputs!$B$23*$B$77-Inputs!$B$21)/Source_Data!$C$10)</f>
        <v>22.5</v>
      </c>
      <c r="AB85" s="33" t="n">
        <f aca="false">Source_Data!AB$9+Source_Data!AB$10*IF(Source_Data!$C$10=0,0,MAX(0,Inputs!$B$20*Inputs!$B$23*$B$77-Inputs!$B$21)/Source_Data!$C$10)</f>
        <v>0</v>
      </c>
      <c r="AC85" s="33" t="n">
        <f aca="false">Source_Data!AC$9+Source_Data!AC$10*IF(Source_Data!$C$10=0,0,MAX(0,Inputs!$B$20*Inputs!$B$23*$B$77-Inputs!$B$21)/Source_Data!$C$10)</f>
        <v>0</v>
      </c>
      <c r="AD85" s="33" t="n">
        <f aca="false">Source_Data!AD$9+Source_Data!AD$10*IF(Source_Data!$C$10=0,0,MAX(0,Inputs!$B$20*Inputs!$B$23*$B$77-Inputs!$B$21)/Source_Data!$C$10)</f>
        <v>0</v>
      </c>
      <c r="AE85" s="33" t="n">
        <f aca="false">Source_Data!AE$9+Source_Data!AE$10*IF(Source_Data!$C$10=0,0,MAX(0,Inputs!$B$20*Inputs!$B$23*$B$77-Inputs!$B$21)/Source_Data!$C$10)</f>
        <v>0</v>
      </c>
      <c r="AF85" s="33" t="n">
        <f aca="false">Source_Data!AF$9+Source_Data!AF$10*IF(Source_Data!$C$10=0,0,MAX(0,Inputs!$B$20*Inputs!$B$23*$B$77-Inputs!$B$21)/Source_Data!$C$10)</f>
        <v>164.961945945265</v>
      </c>
      <c r="AG85" s="33" t="n">
        <f aca="false">Source_Data!AG$9+Source_Data!AG$10*IF(Source_Data!$C$10=0,0,MAX(0,Inputs!$B$20*Inputs!$B$23*$B$77-Inputs!$B$21)/Source_Data!$C$10)</f>
        <v>16.8034235432958</v>
      </c>
      <c r="AH85" s="33" t="n">
        <f aca="false">Source_Data!AH$9+Source_Data!AH$10*IF(Source_Data!$C$10=0,0,MAX(0,Inputs!$B$20*Inputs!$B$23*$B$77-Inputs!$B$21)/Source_Data!$C$10)</f>
        <v>16.8034235432958</v>
      </c>
      <c r="AI85" s="33" t="n">
        <f aca="false">Source_Data!AI$9+Source_Data!AI$10*IF(Source_Data!$C$10=0,0,MAX(0,Inputs!$B$20*Inputs!$B$23*$B$77-Inputs!$B$21)/Source_Data!$C$10)</f>
        <v>16.8034235432958</v>
      </c>
      <c r="AJ85" s="33" t="n">
        <f aca="false">Source_Data!AJ$9+Source_Data!AJ$10*IF(Source_Data!$C$10=0,0,MAX(0,Inputs!$B$20*Inputs!$B$23*$B$77-Inputs!$B$21)/Source_Data!$C$10)</f>
        <v>16.8034235432958</v>
      </c>
      <c r="AK85" s="33" t="n">
        <f aca="false">Source_Data!AK$9+Source_Data!AK$10*IF(Source_Data!$C$10=0,0,MAX(0,Inputs!$B$20*Inputs!$B$23*$B$77-Inputs!$B$21)/Source_Data!$C$10)</f>
        <v>15.3406498479221</v>
      </c>
      <c r="AL85" s="33" t="n">
        <f aca="false">Source_Data!AL$9+Source_Data!AL$10*IF(Source_Data!$C$10=0,0,MAX(0,Inputs!$B$20*Inputs!$B$23*$B$77-Inputs!$B$21)/Source_Data!$C$10)</f>
        <v>15.3406498479221</v>
      </c>
      <c r="AM85" s="33" t="n">
        <f aca="false">Source_Data!AM$9+Source_Data!AM$10*IF(Source_Data!$C$10=0,0,MAX(0,Inputs!$B$20*Inputs!$B$23*$B$77-Inputs!$B$21)/Source_Data!$C$10)</f>
        <v>12.5507800173251</v>
      </c>
      <c r="AN85" s="33" t="n">
        <f aca="false">Source_Data!AN$9+Source_Data!AN$10*IF(Source_Data!$C$10=0,0,MAX(0,Inputs!$B$20*Inputs!$B$23*$B$77-Inputs!$B$21)/Source_Data!$C$10)</f>
        <v>6.44710692072817</v>
      </c>
      <c r="AO85" s="33" t="n">
        <f aca="false">Source_Data!AO$9+Source_Data!AO$10*IF(Source_Data!$C$10=0,0,MAX(0,Inputs!$B$20*Inputs!$B$23*$B$77-Inputs!$B$21)/Source_Data!$C$10)</f>
        <v>2.39131699765453</v>
      </c>
      <c r="AP85" s="33" t="n">
        <f aca="false">Source_Data!AP$9+Source_Data!AP$10*IF(Source_Data!$C$10=0,0,MAX(0,Inputs!$B$20*Inputs!$B$23*$B$77-Inputs!$B$21)/Source_Data!$C$10)</f>
        <v>0</v>
      </c>
      <c r="AQ85" s="33" t="n">
        <f aca="false">Source_Data!AQ$9+Source_Data!AQ$10*IF(Source_Data!$C$10=0,0,MAX(0,Inputs!$B$20*Inputs!$B$23*$B$77-Inputs!$B$21)/Source_Data!$C$10)</f>
        <v>0</v>
      </c>
      <c r="AR85" s="33" t="n">
        <f aca="false">Source_Data!AR$9+Source_Data!AR$10*IF(Source_Data!$C$10=0,0,MAX(0,Inputs!$B$20*Inputs!$B$23*$B$77-Inputs!$B$21)/Source_Data!$C$10)</f>
        <v>0</v>
      </c>
      <c r="AS85" s="33" t="n">
        <f aca="false">Source_Data!AS$9+Source_Data!AS$10*IF(Source_Data!$C$10=0,0,MAX(0,Inputs!$B$20*Inputs!$B$23*$B$77-Inputs!$B$21)/Source_Data!$C$10)</f>
        <v>0</v>
      </c>
      <c r="AT85" s="33" t="n">
        <f aca="false">Source_Data!AT$9+Source_Data!AT$10*IF(Source_Data!$C$10=0,0,MAX(0,Inputs!$B$20*Inputs!$B$23*$B$77-Inputs!$B$21)/Source_Data!$C$10)</f>
        <v>0</v>
      </c>
      <c r="AU85" s="33" t="n">
        <f aca="false">Source_Data!AU$9+Source_Data!AU$10*IF(Source_Data!$C$10=0,0,MAX(0,Inputs!$B$20*Inputs!$B$23*$B$77-Inputs!$B$21)/Source_Data!$C$10)</f>
        <v>0</v>
      </c>
      <c r="AV85" s="33" t="n">
        <f aca="false">Source_Data!AV$9+Source_Data!AV$10*IF(Source_Data!$C$10=0,0,MAX(0,Inputs!$B$20*Inputs!$B$23*$B$77-Inputs!$B$21)/Source_Data!$C$10)</f>
        <v>0</v>
      </c>
      <c r="AW85" s="33" t="n">
        <f aca="false">Source_Data!AW$9+Source_Data!AW$10*IF(Source_Data!$C$10=0,0,MAX(0,Inputs!$B$20*Inputs!$B$23*$B$77-Inputs!$B$21)/Source_Data!$C$10)</f>
        <v>0</v>
      </c>
      <c r="AX85" s="33" t="n">
        <f aca="false">Source_Data!AX$9+Source_Data!AX$10*IF(Source_Data!$C$10=0,0,MAX(0,Inputs!$B$20*Inputs!$B$23*$B$77-Inputs!$B$21)/Source_Data!$C$10)</f>
        <v>0</v>
      </c>
      <c r="AY85" s="33" t="n">
        <f aca="false">Source_Data!AY$9+Source_Data!AY$10*IF(Source_Data!$C$10=0,0,MAX(0,Inputs!$B$20*Inputs!$B$23*$B$77-Inputs!$B$21)/Source_Data!$C$10)</f>
        <v>0</v>
      </c>
      <c r="AZ85" s="33" t="n">
        <f aca="false">Source_Data!AZ$9+Source_Data!AZ$10*IF(Source_Data!$C$10=0,0,MAX(0,Inputs!$B$20*Inputs!$B$23*$B$77-Inputs!$B$21)/Source_Data!$C$10)</f>
        <v>0</v>
      </c>
      <c r="BA85" s="33" t="n">
        <f aca="false">Source_Data!BA$9+Source_Data!BA$10*IF(Source_Data!$C$10=0,0,MAX(0,Inputs!$B$20*Inputs!$B$23*$B$77-Inputs!$B$21)/Source_Data!$C$10)</f>
        <v>0</v>
      </c>
      <c r="BB85" s="33" t="n">
        <f aca="false">Source_Data!BB$9+Source_Data!BB$10*IF(Source_Data!$C$10=0,0,MAX(0,Inputs!$B$20*Inputs!$B$23*$B$77-Inputs!$B$21)/Source_Data!$C$10)</f>
        <v>0</v>
      </c>
      <c r="BC85" s="33" t="n">
        <f aca="false">Source_Data!BC$9+Source_Data!BC$10*IF(Source_Data!$C$10=0,0,MAX(0,Inputs!$B$20*Inputs!$B$23*$B$77-Inputs!$B$21)/Source_Data!$C$10)</f>
        <v>0</v>
      </c>
      <c r="BD85" s="33" t="n">
        <f aca="false">Source_Data!BD$9+Source_Data!BD$10*IF(Source_Data!$C$10=0,0,MAX(0,Inputs!$B$20*Inputs!$B$23*$B$77-Inputs!$B$21)/Source_Data!$C$10)</f>
        <v>0</v>
      </c>
      <c r="BE85" s="33" t="n">
        <f aca="false">Source_Data!BE$9+Source_Data!BE$10*IF(Source_Data!$C$10=0,0,MAX(0,Inputs!$B$20*Inputs!$B$23*$B$77-Inputs!$B$21)/Source_Data!$C$10)</f>
        <v>0</v>
      </c>
      <c r="BF85" s="33" t="n">
        <f aca="false">Source_Data!BF$9+Source_Data!BF$10*IF(Source_Data!$C$10=0,0,MAX(0,Inputs!$B$20*Inputs!$B$23*$B$77-Inputs!$B$21)/Source_Data!$C$10)</f>
        <v>0</v>
      </c>
      <c r="BG85" s="33" t="n">
        <f aca="false">Source_Data!BG$9+Source_Data!BG$10*IF(Source_Data!$C$10=0,0,MAX(0,Inputs!$B$20*Inputs!$B$23*$B$77-Inputs!$B$21)/Source_Data!$C$10)</f>
        <v>0</v>
      </c>
      <c r="BH85" s="33" t="n">
        <f aca="false">Source_Data!BH$9+Source_Data!BH$10*IF(Source_Data!$C$10=0,0,MAX(0,Inputs!$B$20*Inputs!$B$23*$B$77-Inputs!$B$21)/Source_Data!$C$10)</f>
        <v>0</v>
      </c>
      <c r="BI85" s="33" t="n">
        <f aca="false">Source_Data!BI$9+Source_Data!BI$10*IF(Source_Data!$C$10=0,0,MAX(0,Inputs!$B$20*Inputs!$B$23*$B$77-Inputs!$B$21)/Source_Data!$C$10)</f>
        <v>0</v>
      </c>
      <c r="BJ85" s="33" t="n">
        <f aca="false">Source_Data!BJ$9+Source_Data!BJ$10*IF(Source_Data!$C$10=0,0,MAX(0,Inputs!$B$20*Inputs!$B$23*$B$77-Inputs!$B$21)/Source_Data!$C$10)</f>
        <v>0</v>
      </c>
      <c r="BK85" s="33" t="n">
        <f aca="false">Source_Data!BK$9+Source_Data!BK$10*IF(Source_Data!$C$10=0,0,MAX(0,Inputs!$B$20*Inputs!$B$23*$B$77-Inputs!$B$21)/Source_Data!$C$10)</f>
        <v>0</v>
      </c>
    </row>
    <row r="86" customFormat="false" ht="15" hidden="false" customHeight="false" outlineLevel="0" collapsed="false">
      <c r="A86" s="3" t="s">
        <v>196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198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217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218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219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341</v>
      </c>
      <c r="D91" s="33" t="n">
        <f aca="false">IF(Source_Data!D$6=Inputs!$B$13,-Inputs!$B$7,0)+IF(AND(Source_Data!D$6&gt;=$B$82,Source_Data!D$6&lt;$B$82+3*Inputs!$B$17,MOD(Source_Data!D$6-$B$82,3)=0),Inputs!$B$8*Inputs!$B$7*Inputs!$B$35*$B$77*(1-Inputs!$B$16)/Inputs!$B$17,0)</f>
        <v>-75</v>
      </c>
      <c r="E91" s="33" t="n">
        <f aca="false">IF(Source_Data!E$6=Inputs!$B$13,-Inputs!$B$7,0)+IF(AND(Source_Data!E$6&gt;=$B$82,Source_Data!E$6&lt;$B$82+3*Inputs!$B$17,MOD(Source_Data!E$6-$B$82,3)=0),Inputs!$B$8*Inputs!$B$7*Inputs!$B$35*$B$77*(1-Inputs!$B$16)/Inputs!$B$17,0)</f>
        <v>0</v>
      </c>
      <c r="F91" s="33" t="n">
        <f aca="false">IF(Source_Data!F$6=Inputs!$B$13,-Inputs!$B$7,0)+IF(AND(Source_Data!F$6&gt;=$B$82,Source_Data!F$6&lt;$B$82+3*Inputs!$B$17,MOD(Source_Data!F$6-$B$82,3)=0),Inputs!$B$8*Inputs!$B$7*Inputs!$B$35*$B$77*(1-Inputs!$B$16)/Inputs!$B$17,0)</f>
        <v>0</v>
      </c>
      <c r="G91" s="33" t="n">
        <f aca="false">IF(Source_Data!G$6=Inputs!$B$13,-Inputs!$B$7,0)+IF(AND(Source_Data!G$6&gt;=$B$82,Source_Data!G$6&lt;$B$82+3*Inputs!$B$17,MOD(Source_Data!G$6-$B$82,3)=0),Inputs!$B$8*Inputs!$B$7*Inputs!$B$35*$B$77*(1-Inputs!$B$16)/Inputs!$B$17,0)</f>
        <v>0</v>
      </c>
      <c r="H91" s="33" t="n">
        <f aca="false">IF(Source_Data!H$6=Inputs!$B$13,-Inputs!$B$7,0)+IF(AND(Source_Data!H$6&gt;=$B$82,Source_Data!H$6&lt;$B$82+3*Inputs!$B$17,MOD(Source_Data!H$6-$B$82,3)=0),Inputs!$B$8*Inputs!$B$7*Inputs!$B$35*$B$77*(1-Inputs!$B$16)/Inputs!$B$17,0)</f>
        <v>0</v>
      </c>
      <c r="I91" s="33" t="n">
        <f aca="false">IF(Source_Data!I$6=Inputs!$B$13,-Inputs!$B$7,0)+IF(AND(Source_Data!I$6&gt;=$B$82,Source_Data!I$6&lt;$B$82+3*Inputs!$B$17,MOD(Source_Data!I$6-$B$82,3)=0),Inputs!$B$8*Inputs!$B$7*Inputs!$B$35*$B$77*(1-Inputs!$B$16)/Inputs!$B$17,0)</f>
        <v>0</v>
      </c>
      <c r="J91" s="33" t="n">
        <f aca="false">IF(Source_Data!J$6=Inputs!$B$13,-Inputs!$B$7,0)+IF(AND(Source_Data!J$6&gt;=$B$82,Source_Data!J$6&lt;$B$82+3*Inputs!$B$17,MOD(Source_Data!J$6-$B$82,3)=0),Inputs!$B$8*Inputs!$B$7*Inputs!$B$35*$B$77*(1-Inputs!$B$16)/Inputs!$B$17,0)</f>
        <v>0</v>
      </c>
      <c r="K91" s="33" t="n">
        <f aca="false">IF(Source_Data!K$6=Inputs!$B$13,-Inputs!$B$7,0)+IF(AND(Source_Data!K$6&gt;=$B$82,Source_Data!K$6&lt;$B$82+3*Inputs!$B$17,MOD(Source_Data!K$6-$B$82,3)=0),Inputs!$B$8*Inputs!$B$7*Inputs!$B$35*$B$77*(1-Inputs!$B$16)/Inputs!$B$17,0)</f>
        <v>0</v>
      </c>
      <c r="L91" s="33" t="n">
        <f aca="false">IF(Source_Data!L$6=Inputs!$B$13,-Inputs!$B$7,0)+IF(AND(Source_Data!L$6&gt;=$B$82,Source_Data!L$6&lt;$B$82+3*Inputs!$B$17,MOD(Source_Data!L$6-$B$82,3)=0),Inputs!$B$8*Inputs!$B$7*Inputs!$B$35*$B$77*(1-Inputs!$B$16)/Inputs!$B$17,0)</f>
        <v>0</v>
      </c>
      <c r="M91" s="33" t="n">
        <f aca="false">IF(Source_Data!M$6=Inputs!$B$13,-Inputs!$B$7,0)+IF(AND(Source_Data!M$6&gt;=$B$82,Source_Data!M$6&lt;$B$82+3*Inputs!$B$17,MOD(Source_Data!M$6-$B$82,3)=0),Inputs!$B$8*Inputs!$B$7*Inputs!$B$35*$B$77*(1-Inputs!$B$16)/Inputs!$B$17,0)</f>
        <v>0</v>
      </c>
      <c r="N91" s="33" t="n">
        <f aca="false">IF(Source_Data!N$6=Inputs!$B$13,-Inputs!$B$7,0)+IF(AND(Source_Data!N$6&gt;=$B$82,Source_Data!N$6&lt;$B$82+3*Inputs!$B$17,MOD(Source_Data!N$6-$B$82,3)=0),Inputs!$B$8*Inputs!$B$7*Inputs!$B$35*$B$77*(1-Inputs!$B$16)/Inputs!$B$17,0)</f>
        <v>0</v>
      </c>
      <c r="O91" s="33" t="n">
        <f aca="false">IF(Source_Data!O$6=Inputs!$B$13,-Inputs!$B$7,0)+IF(AND(Source_Data!O$6&gt;=$B$82,Source_Data!O$6&lt;$B$82+3*Inputs!$B$17,MOD(Source_Data!O$6-$B$82,3)=0),Inputs!$B$8*Inputs!$B$7*Inputs!$B$35*$B$77*(1-Inputs!$B$16)/Inputs!$B$17,0)</f>
        <v>0</v>
      </c>
      <c r="P91" s="33" t="n">
        <f aca="false">IF(Source_Data!P$6=Inputs!$B$13,-Inputs!$B$7,0)+IF(AND(Source_Data!P$6&gt;=$B$82,Source_Data!P$6&lt;$B$82+3*Inputs!$B$17,MOD(Source_Data!P$6-$B$82,3)=0),Inputs!$B$8*Inputs!$B$7*Inputs!$B$35*$B$77*(1-Inputs!$B$16)/Inputs!$B$17,0)</f>
        <v>0</v>
      </c>
      <c r="Q91" s="33" t="n">
        <f aca="false">IF(Source_Data!Q$6=Inputs!$B$13,-Inputs!$B$7,0)+IF(AND(Source_Data!Q$6&gt;=$B$82,Source_Data!Q$6&lt;$B$82+3*Inputs!$B$17,MOD(Source_Data!Q$6-$B$82,3)=0),Inputs!$B$8*Inputs!$B$7*Inputs!$B$35*$B$77*(1-Inputs!$B$16)/Inputs!$B$17,0)</f>
        <v>0</v>
      </c>
      <c r="R91" s="33" t="n">
        <f aca="false">IF(Source_Data!R$6=Inputs!$B$13,-Inputs!$B$7,0)+IF(AND(Source_Data!R$6&gt;=$B$82,Source_Data!R$6&lt;$B$82+3*Inputs!$B$17,MOD(Source_Data!R$6-$B$82,3)=0),Inputs!$B$8*Inputs!$B$7*Inputs!$B$35*$B$77*(1-Inputs!$B$16)/Inputs!$B$17,0)</f>
        <v>0</v>
      </c>
      <c r="S91" s="33" t="n">
        <f aca="false">IF(Source_Data!S$6=Inputs!$B$13,-Inputs!$B$7,0)+IF(AND(Source_Data!S$6&gt;=$B$82,Source_Data!S$6&lt;$B$82+3*Inputs!$B$17,MOD(Source_Data!S$6-$B$82,3)=0),Inputs!$B$8*Inputs!$B$7*Inputs!$B$35*$B$77*(1-Inputs!$B$16)/Inputs!$B$17,0)</f>
        <v>0</v>
      </c>
      <c r="T91" s="33" t="n">
        <f aca="false">IF(Source_Data!T$6=Inputs!$B$13,-Inputs!$B$7,0)+IF(AND(Source_Data!T$6&gt;=$B$82,Source_Data!T$6&lt;$B$82+3*Inputs!$B$17,MOD(Source_Data!T$6-$B$82,3)=0),Inputs!$B$8*Inputs!$B$7*Inputs!$B$35*$B$77*(1-Inputs!$B$16)/Inputs!$B$17,0)</f>
        <v>57.3655913978495</v>
      </c>
      <c r="U91" s="33" t="n">
        <f aca="false">IF(Source_Data!U$6=Inputs!$B$13,-Inputs!$B$7,0)+IF(AND(Source_Data!U$6&gt;=$B$82,Source_Data!U$6&lt;$B$82+3*Inputs!$B$17,MOD(Source_Data!U$6-$B$82,3)=0),Inputs!$B$8*Inputs!$B$7*Inputs!$B$35*$B$77*(1-Inputs!$B$16)/Inputs!$B$17,0)</f>
        <v>57.3655913978495</v>
      </c>
      <c r="V91" s="33" t="n">
        <f aca="false">IF(Source_Data!V$6=Inputs!$B$13,-Inputs!$B$7,0)+IF(AND(Source_Data!V$6&gt;=$B$82,Source_Data!V$6&lt;$B$82+3*Inputs!$B$17,MOD(Source_Data!V$6-$B$82,3)=0),Inputs!$B$8*Inputs!$B$7*Inputs!$B$35*$B$77*(1-Inputs!$B$16)/Inputs!$B$17,0)</f>
        <v>57.3655913978495</v>
      </c>
      <c r="W91" s="33" t="n">
        <f aca="false">IF(Source_Data!W$6=Inputs!$B$13,-Inputs!$B$7,0)+IF(AND(Source_Data!W$6&gt;=$B$82,Source_Data!W$6&lt;$B$82+3*Inputs!$B$17,MOD(Source_Data!W$6-$B$82,3)=0),Inputs!$B$8*Inputs!$B$7*Inputs!$B$35*$B$77*(1-Inputs!$B$16)/Inputs!$B$17,0)</f>
        <v>57.3655913978495</v>
      </c>
      <c r="X91" s="33" t="n">
        <f aca="false">IF(Source_Data!X$6=Inputs!$B$13,-Inputs!$B$7,0)+IF(AND(Source_Data!X$6&gt;=$B$82,Source_Data!X$6&lt;$B$82+3*Inputs!$B$17,MOD(Source_Data!X$6-$B$82,3)=0),Inputs!$B$8*Inputs!$B$7*Inputs!$B$35*$B$77*(1-Inputs!$B$16)/Inputs!$B$17,0)</f>
        <v>0</v>
      </c>
      <c r="Y91" s="33" t="n">
        <f aca="false">IF(Source_Data!Y$6=Inputs!$B$13,-Inputs!$B$7,0)+IF(AND(Source_Data!Y$6&gt;=$B$82,Source_Data!Y$6&lt;$B$82+3*Inputs!$B$17,MOD(Source_Data!Y$6-$B$82,3)=0),Inputs!$B$8*Inputs!$B$7*Inputs!$B$35*$B$77*(1-Inputs!$B$16)/Inputs!$B$17,0)</f>
        <v>0</v>
      </c>
      <c r="Z91" s="33" t="n">
        <f aca="false">IF(Source_Data!Z$6=Inputs!$B$13,-Inputs!$B$7,0)+IF(AND(Source_Data!Z$6&gt;=$B$82,Source_Data!Z$6&lt;$B$82+3*Inputs!$B$17,MOD(Source_Data!Z$6-$B$82,3)=0),Inputs!$B$8*Inputs!$B$7*Inputs!$B$35*$B$77*(1-Inputs!$B$16)/Inputs!$B$17,0)</f>
        <v>0</v>
      </c>
      <c r="AA91" s="33" t="n">
        <f aca="false">IF(Source_Data!AA$6=Inputs!$B$13,-Inputs!$B$7,0)+IF(AND(Source_Data!AA$6&gt;=$B$82,Source_Data!AA$6&lt;$B$82+3*Inputs!$B$17,MOD(Source_Data!AA$6-$B$82,3)=0),Inputs!$B$8*Inputs!$B$7*Inputs!$B$35*$B$77*(1-Inputs!$B$16)/Inputs!$B$17,0)</f>
        <v>0</v>
      </c>
      <c r="AB91" s="33" t="n">
        <f aca="false">IF(Source_Data!AB$6=Inputs!$B$13,-Inputs!$B$7,0)+IF(AND(Source_Data!AB$6&gt;=$B$82,Source_Data!AB$6&lt;$B$82+3*Inputs!$B$17,MOD(Source_Data!AB$6-$B$82,3)=0),Inputs!$B$8*Inputs!$B$7*Inputs!$B$35*$B$77*(1-Inputs!$B$16)/Inputs!$B$17,0)</f>
        <v>0</v>
      </c>
      <c r="AC91" s="33" t="n">
        <f aca="false">IF(Source_Data!AC$6=Inputs!$B$13,-Inputs!$B$7,0)+IF(AND(Source_Data!AC$6&gt;=$B$82,Source_Data!AC$6&lt;$B$82+3*Inputs!$B$17,MOD(Source_Data!AC$6-$B$82,3)=0),Inputs!$B$8*Inputs!$B$7*Inputs!$B$35*$B$77*(1-Inputs!$B$16)/Inputs!$B$17,0)</f>
        <v>0</v>
      </c>
      <c r="AD91" s="33" t="n">
        <f aca="false">IF(Source_Data!AD$6=Inputs!$B$13,-Inputs!$B$7,0)+IF(AND(Source_Data!AD$6&gt;=$B$82,Source_Data!AD$6&lt;$B$82+3*Inputs!$B$17,MOD(Source_Data!AD$6-$B$82,3)=0),Inputs!$B$8*Inputs!$B$7*Inputs!$B$35*$B$77*(1-Inputs!$B$16)/Inputs!$B$17,0)</f>
        <v>0</v>
      </c>
      <c r="AE91" s="33" t="n">
        <f aca="false">IF(Source_Data!AE$6=Inputs!$B$13,-Inputs!$B$7,0)+IF(AND(Source_Data!AE$6&gt;=$B$82,Source_Data!AE$6&lt;$B$82+3*Inputs!$B$17,MOD(Source_Data!AE$6-$B$82,3)=0),Inputs!$B$8*Inputs!$B$7*Inputs!$B$35*$B$77*(1-Inputs!$B$16)/Inputs!$B$17,0)</f>
        <v>0</v>
      </c>
      <c r="AF91" s="33" t="n">
        <f aca="false">IF(Source_Data!AF$6=Inputs!$B$13,-Inputs!$B$7,0)+IF(AND(Source_Data!AF$6&gt;=$B$82,Source_Data!AF$6&lt;$B$82+3*Inputs!$B$17,MOD(Source_Data!AF$6-$B$82,3)=0),Inputs!$B$8*Inputs!$B$7*Inputs!$B$35*$B$77*(1-Inputs!$B$16)/Inputs!$B$17,0)</f>
        <v>0</v>
      </c>
      <c r="AG91" s="33" t="n">
        <f aca="false">IF(Source_Data!AG$6=Inputs!$B$13,-Inputs!$B$7,0)+IF(AND(Source_Data!AG$6&gt;=$B$82,Source_Data!AG$6&lt;$B$82+3*Inputs!$B$17,MOD(Source_Data!AG$6-$B$82,3)=0),Inputs!$B$8*Inputs!$B$7*Inputs!$B$35*$B$77*(1-Inputs!$B$16)/Inputs!$B$17,0)</f>
        <v>0</v>
      </c>
      <c r="AH91" s="33" t="n">
        <f aca="false">IF(Source_Data!AH$6=Inputs!$B$13,-Inputs!$B$7,0)+IF(AND(Source_Data!AH$6&gt;=$B$82,Source_Data!AH$6&lt;$B$82+3*Inputs!$B$17,MOD(Source_Data!AH$6-$B$82,3)=0),Inputs!$B$8*Inputs!$B$7*Inputs!$B$35*$B$77*(1-Inputs!$B$16)/Inputs!$B$17,0)</f>
        <v>0</v>
      </c>
      <c r="AI91" s="33" t="n">
        <f aca="false">IF(Source_Data!AI$6=Inputs!$B$13,-Inputs!$B$7,0)+IF(AND(Source_Data!AI$6&gt;=$B$82,Source_Data!AI$6&lt;$B$82+3*Inputs!$B$17,MOD(Source_Data!AI$6-$B$82,3)=0),Inputs!$B$8*Inputs!$B$7*Inputs!$B$35*$B$77*(1-Inputs!$B$16)/Inputs!$B$17,0)</f>
        <v>0</v>
      </c>
      <c r="AJ91" s="33" t="n">
        <f aca="false">IF(Source_Data!AJ$6=Inputs!$B$13,-Inputs!$B$7,0)+IF(AND(Source_Data!AJ$6&gt;=$B$82,Source_Data!AJ$6&lt;$B$82+3*Inputs!$B$17,MOD(Source_Data!AJ$6-$B$82,3)=0),Inputs!$B$8*Inputs!$B$7*Inputs!$B$35*$B$77*(1-Inputs!$B$16)/Inputs!$B$17,0)</f>
        <v>0</v>
      </c>
      <c r="AK91" s="33" t="n">
        <f aca="false">IF(Source_Data!AK$6=Inputs!$B$13,-Inputs!$B$7,0)+IF(AND(Source_Data!AK$6&gt;=$B$82,Source_Data!AK$6&lt;$B$82+3*Inputs!$B$17,MOD(Source_Data!AK$6-$B$82,3)=0),Inputs!$B$8*Inputs!$B$7*Inputs!$B$35*$B$77*(1-Inputs!$B$16)/Inputs!$B$17,0)</f>
        <v>0</v>
      </c>
      <c r="AL91" s="33" t="n">
        <f aca="false">IF(Source_Data!AL$6=Inputs!$B$13,-Inputs!$B$7,0)+IF(AND(Source_Data!AL$6&gt;=$B$82,Source_Data!AL$6&lt;$B$82+3*Inputs!$B$17,MOD(Source_Data!AL$6-$B$82,3)=0),Inputs!$B$8*Inputs!$B$7*Inputs!$B$35*$B$77*(1-Inputs!$B$16)/Inputs!$B$17,0)</f>
        <v>0</v>
      </c>
      <c r="AM91" s="33" t="n">
        <f aca="false">IF(Source_Data!AM$6=Inputs!$B$13,-Inputs!$B$7,0)+IF(AND(Source_Data!AM$6&gt;=$B$82,Source_Data!AM$6&lt;$B$82+3*Inputs!$B$17,MOD(Source_Data!AM$6-$B$82,3)=0),Inputs!$B$8*Inputs!$B$7*Inputs!$B$35*$B$77*(1-Inputs!$B$16)/Inputs!$B$17,0)</f>
        <v>0</v>
      </c>
      <c r="AN91" s="33" t="n">
        <f aca="false">IF(Source_Data!AN$6=Inputs!$B$13,-Inputs!$B$7,0)+IF(AND(Source_Data!AN$6&gt;=$B$82,Source_Data!AN$6&lt;$B$82+3*Inputs!$B$17,MOD(Source_Data!AN$6-$B$82,3)=0),Inputs!$B$8*Inputs!$B$7*Inputs!$B$35*$B$77*(1-Inputs!$B$16)/Inputs!$B$17,0)</f>
        <v>0</v>
      </c>
      <c r="AO91" s="33" t="n">
        <f aca="false">IF(Source_Data!AO$6=Inputs!$B$13,-Inputs!$B$7,0)+IF(AND(Source_Data!AO$6&gt;=$B$82,Source_Data!AO$6&lt;$B$82+3*Inputs!$B$17,MOD(Source_Data!AO$6-$B$82,3)=0),Inputs!$B$8*Inputs!$B$7*Inputs!$B$35*$B$77*(1-Inputs!$B$16)/Inputs!$B$17,0)</f>
        <v>0</v>
      </c>
      <c r="AP91" s="33" t="n">
        <f aca="false">IF(Source_Data!AP$6=Inputs!$B$13,-Inputs!$B$7,0)+IF(AND(Source_Data!AP$6&gt;=$B$82,Source_Data!AP$6&lt;$B$82+3*Inputs!$B$17,MOD(Source_Data!AP$6-$B$82,3)=0),Inputs!$B$8*Inputs!$B$7*Inputs!$B$35*$B$77*(1-Inputs!$B$16)/Inputs!$B$17,0)</f>
        <v>0</v>
      </c>
      <c r="AQ91" s="33" t="n">
        <f aca="false">IF(Source_Data!AQ$6=Inputs!$B$13,-Inputs!$B$7,0)+IF(AND(Source_Data!AQ$6&gt;=$B$82,Source_Data!AQ$6&lt;$B$82+3*Inputs!$B$17,MOD(Source_Data!AQ$6-$B$82,3)=0),Inputs!$B$8*Inputs!$B$7*Inputs!$B$35*$B$77*(1-Inputs!$B$16)/Inputs!$B$17,0)</f>
        <v>0</v>
      </c>
      <c r="AR91" s="33" t="n">
        <f aca="false">IF(Source_Data!AR$6=Inputs!$B$13,-Inputs!$B$7,0)+IF(AND(Source_Data!AR$6&gt;=$B$82,Source_Data!AR$6&lt;$B$82+3*Inputs!$B$17,MOD(Source_Data!AR$6-$B$82,3)=0),Inputs!$B$8*Inputs!$B$7*Inputs!$B$35*$B$77*(1-Inputs!$B$16)/Inputs!$B$17,0)</f>
        <v>0</v>
      </c>
      <c r="AS91" s="33" t="n">
        <f aca="false">IF(Source_Data!AS$6=Inputs!$B$13,-Inputs!$B$7,0)+IF(AND(Source_Data!AS$6&gt;=$B$82,Source_Data!AS$6&lt;$B$82+3*Inputs!$B$17,MOD(Source_Data!AS$6-$B$82,3)=0),Inputs!$B$8*Inputs!$B$7*Inputs!$B$35*$B$77*(1-Inputs!$B$16)/Inputs!$B$17,0)</f>
        <v>0</v>
      </c>
      <c r="AT91" s="33" t="n">
        <f aca="false">IF(Source_Data!AT$6=Inputs!$B$13,-Inputs!$B$7,0)+IF(AND(Source_Data!AT$6&gt;=$B$82,Source_Data!AT$6&lt;$B$82+3*Inputs!$B$17,MOD(Source_Data!AT$6-$B$82,3)=0),Inputs!$B$8*Inputs!$B$7*Inputs!$B$35*$B$77*(1-Inputs!$B$16)/Inputs!$B$17,0)</f>
        <v>0</v>
      </c>
      <c r="AU91" s="33" t="n">
        <f aca="false">IF(Source_Data!AU$6=Inputs!$B$13,-Inputs!$B$7,0)+IF(AND(Source_Data!AU$6&gt;=$B$82,Source_Data!AU$6&lt;$B$82+3*Inputs!$B$17,MOD(Source_Data!AU$6-$B$82,3)=0),Inputs!$B$8*Inputs!$B$7*Inputs!$B$35*$B$77*(1-Inputs!$B$16)/Inputs!$B$17,0)</f>
        <v>0</v>
      </c>
      <c r="AV91" s="33" t="n">
        <f aca="false">IF(Source_Data!AV$6=Inputs!$B$13,-Inputs!$B$7,0)+IF(AND(Source_Data!AV$6&gt;=$B$82,Source_Data!AV$6&lt;$B$82+3*Inputs!$B$17,MOD(Source_Data!AV$6-$B$82,3)=0),Inputs!$B$8*Inputs!$B$7*Inputs!$B$35*$B$77*(1-Inputs!$B$16)/Inputs!$B$17,0)</f>
        <v>0</v>
      </c>
      <c r="AW91" s="33" t="n">
        <f aca="false">IF(Source_Data!AW$6=Inputs!$B$13,-Inputs!$B$7,0)+IF(AND(Source_Data!AW$6&gt;=$B$82,Source_Data!AW$6&lt;$B$82+3*Inputs!$B$17,MOD(Source_Data!AW$6-$B$82,3)=0),Inputs!$B$8*Inputs!$B$7*Inputs!$B$35*$B$77*(1-Inputs!$B$16)/Inputs!$B$17,0)</f>
        <v>0</v>
      </c>
      <c r="AX91" s="33" t="n">
        <f aca="false">IF(Source_Data!AX$6=Inputs!$B$13,-Inputs!$B$7,0)+IF(AND(Source_Data!AX$6&gt;=$B$82,Source_Data!AX$6&lt;$B$82+3*Inputs!$B$17,MOD(Source_Data!AX$6-$B$82,3)=0),Inputs!$B$8*Inputs!$B$7*Inputs!$B$35*$B$77*(1-Inputs!$B$16)/Inputs!$B$17,0)</f>
        <v>0</v>
      </c>
      <c r="AY91" s="33" t="n">
        <f aca="false">IF(Source_Data!AY$6=Inputs!$B$13,-Inputs!$B$7,0)+IF(AND(Source_Data!AY$6&gt;=$B$82,Source_Data!AY$6&lt;$B$82+3*Inputs!$B$17,MOD(Source_Data!AY$6-$B$82,3)=0),Inputs!$B$8*Inputs!$B$7*Inputs!$B$35*$B$77*(1-Inputs!$B$16)/Inputs!$B$17,0)</f>
        <v>0</v>
      </c>
      <c r="AZ91" s="33" t="n">
        <f aca="false">IF(Source_Data!AZ$6=Inputs!$B$13,-Inputs!$B$7,0)+IF(AND(Source_Data!AZ$6&gt;=$B$82,Source_Data!AZ$6&lt;$B$82+3*Inputs!$B$17,MOD(Source_Data!AZ$6-$B$82,3)=0),Inputs!$B$8*Inputs!$B$7*Inputs!$B$35*$B$77*(1-Inputs!$B$16)/Inputs!$B$17,0)</f>
        <v>0</v>
      </c>
      <c r="BA91" s="33" t="n">
        <f aca="false">IF(Source_Data!BA$6=Inputs!$B$13,-Inputs!$B$7,0)+IF(AND(Source_Data!BA$6&gt;=$B$82,Source_Data!BA$6&lt;$B$82+3*Inputs!$B$17,MOD(Source_Data!BA$6-$B$82,3)=0),Inputs!$B$8*Inputs!$B$7*Inputs!$B$35*$B$77*(1-Inputs!$B$16)/Inputs!$B$17,0)</f>
        <v>0</v>
      </c>
      <c r="BB91" s="33" t="n">
        <f aca="false">IF(Source_Data!BB$6=Inputs!$B$13,-Inputs!$B$7,0)+IF(AND(Source_Data!BB$6&gt;=$B$82,Source_Data!BB$6&lt;$B$82+3*Inputs!$B$17,MOD(Source_Data!BB$6-$B$82,3)=0),Inputs!$B$8*Inputs!$B$7*Inputs!$B$35*$B$77*(1-Inputs!$B$16)/Inputs!$B$17,0)</f>
        <v>0</v>
      </c>
      <c r="BC91" s="33" t="n">
        <f aca="false">IF(Source_Data!BC$6=Inputs!$B$13,-Inputs!$B$7,0)+IF(AND(Source_Data!BC$6&gt;=$B$82,Source_Data!BC$6&lt;$B$82+3*Inputs!$B$17,MOD(Source_Data!BC$6-$B$82,3)=0),Inputs!$B$8*Inputs!$B$7*Inputs!$B$35*$B$77*(1-Inputs!$B$16)/Inputs!$B$17,0)</f>
        <v>0</v>
      </c>
      <c r="BD91" s="33" t="n">
        <f aca="false">IF(Source_Data!BD$6=Inputs!$B$13,-Inputs!$B$7,0)+IF(AND(Source_Data!BD$6&gt;=$B$82,Source_Data!BD$6&lt;$B$82+3*Inputs!$B$17,MOD(Source_Data!BD$6-$B$82,3)=0),Inputs!$B$8*Inputs!$B$7*Inputs!$B$35*$B$77*(1-Inputs!$B$16)/Inputs!$B$17,0)</f>
        <v>0</v>
      </c>
      <c r="BE91" s="33" t="n">
        <f aca="false">IF(Source_Data!BE$6=Inputs!$B$13,-Inputs!$B$7,0)+IF(AND(Source_Data!BE$6&gt;=$B$82,Source_Data!BE$6&lt;$B$82+3*Inputs!$B$17,MOD(Source_Data!BE$6-$B$82,3)=0),Inputs!$B$8*Inputs!$B$7*Inputs!$B$35*$B$77*(1-Inputs!$B$16)/Inputs!$B$17,0)</f>
        <v>0</v>
      </c>
      <c r="BF91" s="33" t="n">
        <f aca="false">IF(Source_Data!BF$6=Inputs!$B$13,-Inputs!$B$7,0)+IF(AND(Source_Data!BF$6&gt;=$B$82,Source_Data!BF$6&lt;$B$82+3*Inputs!$B$17,MOD(Source_Data!BF$6-$B$82,3)=0),Inputs!$B$8*Inputs!$B$7*Inputs!$B$35*$B$77*(1-Inputs!$B$16)/Inputs!$B$17,0)</f>
        <v>0</v>
      </c>
      <c r="BG91" s="33" t="n">
        <f aca="false">IF(Source_Data!BG$6=Inputs!$B$13,-Inputs!$B$7,0)+IF(AND(Source_Data!BG$6&gt;=$B$82,Source_Data!BG$6&lt;$B$82+3*Inputs!$B$17,MOD(Source_Data!BG$6-$B$82,3)=0),Inputs!$B$8*Inputs!$B$7*Inputs!$B$35*$B$77*(1-Inputs!$B$16)/Inputs!$B$17,0)</f>
        <v>0</v>
      </c>
      <c r="BH91" s="33" t="n">
        <f aca="false">IF(Source_Data!BH$6=Inputs!$B$13,-Inputs!$B$7,0)+IF(AND(Source_Data!BH$6&gt;=$B$82,Source_Data!BH$6&lt;$B$82+3*Inputs!$B$17,MOD(Source_Data!BH$6-$B$82,3)=0),Inputs!$B$8*Inputs!$B$7*Inputs!$B$35*$B$77*(1-Inputs!$B$16)/Inputs!$B$17,0)</f>
        <v>0</v>
      </c>
      <c r="BI91" s="33" t="n">
        <f aca="false">IF(Source_Data!BI$6=Inputs!$B$13,-Inputs!$B$7,0)+IF(AND(Source_Data!BI$6&gt;=$B$82,Source_Data!BI$6&lt;$B$82+3*Inputs!$B$17,MOD(Source_Data!BI$6-$B$82,3)=0),Inputs!$B$8*Inputs!$B$7*Inputs!$B$35*$B$77*(1-Inputs!$B$16)/Inputs!$B$17,0)</f>
        <v>0</v>
      </c>
      <c r="BJ91" s="33" t="n">
        <f aca="false">IF(Source_Data!BJ$6=Inputs!$B$13,-Inputs!$B$7,0)+IF(AND(Source_Data!BJ$6&gt;=$B$82,Source_Data!BJ$6&lt;$B$82+3*Inputs!$B$17,MOD(Source_Data!BJ$6-$B$82,3)=0),Inputs!$B$8*Inputs!$B$7*Inputs!$B$35*$B$77*(1-Inputs!$B$16)/Inputs!$B$17,0)</f>
        <v>0</v>
      </c>
      <c r="BK91" s="33" t="n">
        <f aca="false">IF(Source_Data!BK$6=Inputs!$B$13,-Inputs!$B$7,0)+IF(AND(Source_Data!BK$6&gt;=$B$82,Source_Data!BK$6&lt;$B$82+3*Inputs!$B$17,MOD(Source_Data!BK$6-$B$82,3)=0),Inputs!$B$8*Inputs!$B$7*Inputs!$B$35*$B$77*(1-Inputs!$B$16)/Inputs!$B$17,0)</f>
        <v>0</v>
      </c>
    </row>
    <row r="92" customFormat="false" ht="15" hidden="false" customHeight="false" outlineLevel="0" collapsed="false">
      <c r="A92" s="3" t="s">
        <v>342</v>
      </c>
      <c r="D92" s="33" t="n">
        <f aca="false">IF(AND(Source_Data!D$6&gt;=Inputs!$B$55,Source_Data!D$6&lt;Inputs!$B$55+3*Inputs!$B$11),Inputs!$B$9*Inputs!$B$7/Inputs!$B$11,0)</f>
        <v>0</v>
      </c>
      <c r="E92" s="33" t="n">
        <f aca="false">IF(AND(Source_Data!E$6&gt;=Inputs!$B$55,Source_Data!E$6&lt;Inputs!$B$55+3*Inputs!$B$11),Inputs!$B$9*Inputs!$B$7/Inputs!$B$11,0)</f>
        <v>0</v>
      </c>
      <c r="F92" s="33" t="n">
        <f aca="false">IF(AND(Source_Data!F$6&gt;=Inputs!$B$55,Source_Data!F$6&lt;Inputs!$B$55+3*Inputs!$B$11),Inputs!$B$9*Inputs!$B$7/Inputs!$B$11,0)</f>
        <v>0</v>
      </c>
      <c r="G92" s="33" t="n">
        <f aca="false">IF(AND(Source_Data!G$6&gt;=Inputs!$B$55,Source_Data!G$6&lt;Inputs!$B$55+3*Inputs!$B$11),Inputs!$B$9*Inputs!$B$7/Inputs!$B$11,0)</f>
        <v>0</v>
      </c>
      <c r="H92" s="33" t="n">
        <f aca="false">IF(AND(Source_Data!H$6&gt;=Inputs!$B$55,Source_Data!H$6&lt;Inputs!$B$55+3*Inputs!$B$11),Inputs!$B$9*Inputs!$B$7/Inputs!$B$11,0)</f>
        <v>0</v>
      </c>
      <c r="I92" s="33" t="n">
        <f aca="false">IF(AND(Source_Data!I$6&gt;=Inputs!$B$55,Source_Data!I$6&lt;Inputs!$B$55+3*Inputs!$B$11),Inputs!$B$9*Inputs!$B$7/Inputs!$B$11,0)</f>
        <v>0</v>
      </c>
      <c r="J92" s="33" t="n">
        <f aca="false">IF(AND(Source_Data!J$6&gt;=Inputs!$B$55,Source_Data!J$6&lt;Inputs!$B$55+3*Inputs!$B$11),Inputs!$B$9*Inputs!$B$7/Inputs!$B$11,0)</f>
        <v>0</v>
      </c>
      <c r="K92" s="33" t="n">
        <f aca="false">IF(AND(Source_Data!K$6&gt;=Inputs!$B$55,Source_Data!K$6&lt;Inputs!$B$55+3*Inputs!$B$11),Inputs!$B$9*Inputs!$B$7/Inputs!$B$11,0)</f>
        <v>0</v>
      </c>
      <c r="L92" s="33" t="n">
        <f aca="false">IF(AND(Source_Data!L$6&gt;=Inputs!$B$55,Source_Data!L$6&lt;Inputs!$B$55+3*Inputs!$B$11),Inputs!$B$9*Inputs!$B$7/Inputs!$B$11,0)</f>
        <v>0</v>
      </c>
      <c r="M92" s="33" t="n">
        <f aca="false">IF(AND(Source_Data!M$6&gt;=Inputs!$B$55,Source_Data!M$6&lt;Inputs!$B$55+3*Inputs!$B$11),Inputs!$B$9*Inputs!$B$7/Inputs!$B$11,0)</f>
        <v>14.375</v>
      </c>
      <c r="N92" s="33" t="n">
        <f aca="false">IF(AND(Source_Data!N$6&gt;=Inputs!$B$55,Source_Data!N$6&lt;Inputs!$B$55+3*Inputs!$B$11),Inputs!$B$9*Inputs!$B$7/Inputs!$B$11,0)</f>
        <v>14.375</v>
      </c>
      <c r="O92" s="33" t="n">
        <f aca="false">IF(AND(Source_Data!O$6&gt;=Inputs!$B$55,Source_Data!O$6&lt;Inputs!$B$55+3*Inputs!$B$11),Inputs!$B$9*Inputs!$B$7/Inputs!$B$11,0)</f>
        <v>14.375</v>
      </c>
      <c r="P92" s="33" t="n">
        <f aca="false">IF(AND(Source_Data!P$6&gt;=Inputs!$B$55,Source_Data!P$6&lt;Inputs!$B$55+3*Inputs!$B$11),Inputs!$B$9*Inputs!$B$7/Inputs!$B$11,0)</f>
        <v>14.375</v>
      </c>
      <c r="Q92" s="33" t="n">
        <f aca="false">IF(AND(Source_Data!Q$6&gt;=Inputs!$B$55,Source_Data!Q$6&lt;Inputs!$B$55+3*Inputs!$B$11),Inputs!$B$9*Inputs!$B$7/Inputs!$B$11,0)</f>
        <v>14.375</v>
      </c>
      <c r="R92" s="33" t="n">
        <f aca="false">IF(AND(Source_Data!R$6&gt;=Inputs!$B$55,Source_Data!R$6&lt;Inputs!$B$55+3*Inputs!$B$11),Inputs!$B$9*Inputs!$B$7/Inputs!$B$11,0)</f>
        <v>14.375</v>
      </c>
      <c r="S92" s="33" t="n">
        <f aca="false">IF(AND(Source_Data!S$6&gt;=Inputs!$B$55,Source_Data!S$6&lt;Inputs!$B$55+3*Inputs!$B$11),Inputs!$B$9*Inputs!$B$7/Inputs!$B$11,0)</f>
        <v>14.375</v>
      </c>
      <c r="T92" s="33" t="n">
        <f aca="false">IF(AND(Source_Data!T$6&gt;=Inputs!$B$55,Source_Data!T$6&lt;Inputs!$B$55+3*Inputs!$B$11),Inputs!$B$9*Inputs!$B$7/Inputs!$B$11,0)</f>
        <v>14.375</v>
      </c>
      <c r="U92" s="33" t="n">
        <f aca="false">IF(AND(Source_Data!U$6&gt;=Inputs!$B$55,Source_Data!U$6&lt;Inputs!$B$55+3*Inputs!$B$11),Inputs!$B$9*Inputs!$B$7/Inputs!$B$11,0)</f>
        <v>14.375</v>
      </c>
      <c r="V92" s="33" t="n">
        <f aca="false">IF(AND(Source_Data!V$6&gt;=Inputs!$B$55,Source_Data!V$6&lt;Inputs!$B$55+3*Inputs!$B$11),Inputs!$B$9*Inputs!$B$7/Inputs!$B$11,0)</f>
        <v>14.375</v>
      </c>
      <c r="W92" s="33" t="n">
        <f aca="false">IF(AND(Source_Data!W$6&gt;=Inputs!$B$55,Source_Data!W$6&lt;Inputs!$B$55+3*Inputs!$B$11),Inputs!$B$9*Inputs!$B$7/Inputs!$B$11,0)</f>
        <v>14.375</v>
      </c>
      <c r="X92" s="33" t="n">
        <f aca="false">IF(AND(Source_Data!X$6&gt;=Inputs!$B$55,Source_Data!X$6&lt;Inputs!$B$55+3*Inputs!$B$11),Inputs!$B$9*Inputs!$B$7/Inputs!$B$11,0)</f>
        <v>14.375</v>
      </c>
      <c r="Y92" s="33" t="n">
        <f aca="false">IF(AND(Source_Data!Y$6&gt;=Inputs!$B$55,Source_Data!Y$6&lt;Inputs!$B$55+3*Inputs!$B$11),Inputs!$B$9*Inputs!$B$7/Inputs!$B$11,0)</f>
        <v>0</v>
      </c>
      <c r="Z92" s="33" t="n">
        <f aca="false">IF(AND(Source_Data!Z$6&gt;=Inputs!$B$55,Source_Data!Z$6&lt;Inputs!$B$55+3*Inputs!$B$11),Inputs!$B$9*Inputs!$B$7/Inputs!$B$11,0)</f>
        <v>0</v>
      </c>
      <c r="AA92" s="33" t="n">
        <f aca="false">IF(AND(Source_Data!AA$6&gt;=Inputs!$B$55,Source_Data!AA$6&lt;Inputs!$B$55+3*Inputs!$B$11),Inputs!$B$9*Inputs!$B$7/Inputs!$B$11,0)</f>
        <v>0</v>
      </c>
      <c r="AB92" s="33" t="n">
        <f aca="false">IF(AND(Source_Data!AB$6&gt;=Inputs!$B$55,Source_Data!AB$6&lt;Inputs!$B$55+3*Inputs!$B$11),Inputs!$B$9*Inputs!$B$7/Inputs!$B$11,0)</f>
        <v>0</v>
      </c>
      <c r="AC92" s="33" t="n">
        <f aca="false">IF(AND(Source_Data!AC$6&gt;=Inputs!$B$55,Source_Data!AC$6&lt;Inputs!$B$55+3*Inputs!$B$11),Inputs!$B$9*Inputs!$B$7/Inputs!$B$11,0)</f>
        <v>0</v>
      </c>
      <c r="AD92" s="33" t="n">
        <f aca="false">IF(AND(Source_Data!AD$6&gt;=Inputs!$B$55,Source_Data!AD$6&lt;Inputs!$B$55+3*Inputs!$B$11),Inputs!$B$9*Inputs!$B$7/Inputs!$B$11,0)</f>
        <v>0</v>
      </c>
      <c r="AE92" s="33" t="n">
        <f aca="false">IF(AND(Source_Data!AE$6&gt;=Inputs!$B$55,Source_Data!AE$6&lt;Inputs!$B$55+3*Inputs!$B$11),Inputs!$B$9*Inputs!$B$7/Inputs!$B$11,0)</f>
        <v>0</v>
      </c>
      <c r="AF92" s="33" t="n">
        <f aca="false">IF(AND(Source_Data!AF$6&gt;=Inputs!$B$55,Source_Data!AF$6&lt;Inputs!$B$55+3*Inputs!$B$11),Inputs!$B$9*Inputs!$B$7/Inputs!$B$11,0)</f>
        <v>0</v>
      </c>
      <c r="AG92" s="33" t="n">
        <f aca="false">IF(AND(Source_Data!AG$6&gt;=Inputs!$B$55,Source_Data!AG$6&lt;Inputs!$B$55+3*Inputs!$B$11),Inputs!$B$9*Inputs!$B$7/Inputs!$B$11,0)</f>
        <v>0</v>
      </c>
      <c r="AH92" s="33" t="n">
        <f aca="false">IF(AND(Source_Data!AH$6&gt;=Inputs!$B$55,Source_Data!AH$6&lt;Inputs!$B$55+3*Inputs!$B$11),Inputs!$B$9*Inputs!$B$7/Inputs!$B$11,0)</f>
        <v>0</v>
      </c>
      <c r="AI92" s="33" t="n">
        <f aca="false">IF(AND(Source_Data!AI$6&gt;=Inputs!$B$55,Source_Data!AI$6&lt;Inputs!$B$55+3*Inputs!$B$11),Inputs!$B$9*Inputs!$B$7/Inputs!$B$11,0)</f>
        <v>0</v>
      </c>
      <c r="AJ92" s="33" t="n">
        <f aca="false">IF(AND(Source_Data!AJ$6&gt;=Inputs!$B$55,Source_Data!AJ$6&lt;Inputs!$B$55+3*Inputs!$B$11),Inputs!$B$9*Inputs!$B$7/Inputs!$B$11,0)</f>
        <v>0</v>
      </c>
      <c r="AK92" s="33" t="n">
        <f aca="false">IF(AND(Source_Data!AK$6&gt;=Inputs!$B$55,Source_Data!AK$6&lt;Inputs!$B$55+3*Inputs!$B$11),Inputs!$B$9*Inputs!$B$7/Inputs!$B$11,0)</f>
        <v>0</v>
      </c>
      <c r="AL92" s="33" t="n">
        <f aca="false">IF(AND(Source_Data!AL$6&gt;=Inputs!$B$55,Source_Data!AL$6&lt;Inputs!$B$55+3*Inputs!$B$11),Inputs!$B$9*Inputs!$B$7/Inputs!$B$11,0)</f>
        <v>0</v>
      </c>
      <c r="AM92" s="33" t="n">
        <f aca="false">IF(AND(Source_Data!AM$6&gt;=Inputs!$B$55,Source_Data!AM$6&lt;Inputs!$B$55+3*Inputs!$B$11),Inputs!$B$9*Inputs!$B$7/Inputs!$B$11,0)</f>
        <v>0</v>
      </c>
      <c r="AN92" s="33" t="n">
        <f aca="false">IF(AND(Source_Data!AN$6&gt;=Inputs!$B$55,Source_Data!AN$6&lt;Inputs!$B$55+3*Inputs!$B$11),Inputs!$B$9*Inputs!$B$7/Inputs!$B$11,0)</f>
        <v>0</v>
      </c>
      <c r="AO92" s="33" t="n">
        <f aca="false">IF(AND(Source_Data!AO$6&gt;=Inputs!$B$55,Source_Data!AO$6&lt;Inputs!$B$55+3*Inputs!$B$11),Inputs!$B$9*Inputs!$B$7/Inputs!$B$11,0)</f>
        <v>0</v>
      </c>
      <c r="AP92" s="33" t="n">
        <f aca="false">IF(AND(Source_Data!AP$6&gt;=Inputs!$B$55,Source_Data!AP$6&lt;Inputs!$B$55+3*Inputs!$B$11),Inputs!$B$9*Inputs!$B$7/Inputs!$B$11,0)</f>
        <v>0</v>
      </c>
      <c r="AQ92" s="33" t="n">
        <f aca="false">IF(AND(Source_Data!AQ$6&gt;=Inputs!$B$55,Source_Data!AQ$6&lt;Inputs!$B$55+3*Inputs!$B$11),Inputs!$B$9*Inputs!$B$7/Inputs!$B$11,0)</f>
        <v>0</v>
      </c>
      <c r="AR92" s="33" t="n">
        <f aca="false">IF(AND(Source_Data!AR$6&gt;=Inputs!$B$55,Source_Data!AR$6&lt;Inputs!$B$55+3*Inputs!$B$11),Inputs!$B$9*Inputs!$B$7/Inputs!$B$11,0)</f>
        <v>0</v>
      </c>
      <c r="AS92" s="33" t="n">
        <f aca="false">IF(AND(Source_Data!AS$6&gt;=Inputs!$B$55,Source_Data!AS$6&lt;Inputs!$B$55+3*Inputs!$B$11),Inputs!$B$9*Inputs!$B$7/Inputs!$B$11,0)</f>
        <v>0</v>
      </c>
      <c r="AT92" s="33" t="n">
        <f aca="false">IF(AND(Source_Data!AT$6&gt;=Inputs!$B$55,Source_Data!AT$6&lt;Inputs!$B$55+3*Inputs!$B$11),Inputs!$B$9*Inputs!$B$7/Inputs!$B$11,0)</f>
        <v>0</v>
      </c>
      <c r="AU92" s="33" t="n">
        <f aca="false">IF(AND(Source_Data!AU$6&gt;=Inputs!$B$55,Source_Data!AU$6&lt;Inputs!$B$55+3*Inputs!$B$11),Inputs!$B$9*Inputs!$B$7/Inputs!$B$11,0)</f>
        <v>0</v>
      </c>
      <c r="AV92" s="33" t="n">
        <f aca="false">IF(AND(Source_Data!AV$6&gt;=Inputs!$B$55,Source_Data!AV$6&lt;Inputs!$B$55+3*Inputs!$B$11),Inputs!$B$9*Inputs!$B$7/Inputs!$B$11,0)</f>
        <v>0</v>
      </c>
      <c r="AW92" s="33" t="n">
        <f aca="false">IF(AND(Source_Data!AW$6&gt;=Inputs!$B$55,Source_Data!AW$6&lt;Inputs!$B$55+3*Inputs!$B$11),Inputs!$B$9*Inputs!$B$7/Inputs!$B$11,0)</f>
        <v>0</v>
      </c>
      <c r="AX92" s="33" t="n">
        <f aca="false">IF(AND(Source_Data!AX$6&gt;=Inputs!$B$55,Source_Data!AX$6&lt;Inputs!$B$55+3*Inputs!$B$11),Inputs!$B$9*Inputs!$B$7/Inputs!$B$11,0)</f>
        <v>0</v>
      </c>
      <c r="AY92" s="33" t="n">
        <f aca="false">IF(AND(Source_Data!AY$6&gt;=Inputs!$B$55,Source_Data!AY$6&lt;Inputs!$B$55+3*Inputs!$B$11),Inputs!$B$9*Inputs!$B$7/Inputs!$B$11,0)</f>
        <v>0</v>
      </c>
      <c r="AZ92" s="33" t="n">
        <f aca="false">IF(AND(Source_Data!AZ$6&gt;=Inputs!$B$55,Source_Data!AZ$6&lt;Inputs!$B$55+3*Inputs!$B$11),Inputs!$B$9*Inputs!$B$7/Inputs!$B$11,0)</f>
        <v>0</v>
      </c>
      <c r="BA92" s="33" t="n">
        <f aca="false">IF(AND(Source_Data!BA$6&gt;=Inputs!$B$55,Source_Data!BA$6&lt;Inputs!$B$55+3*Inputs!$B$11),Inputs!$B$9*Inputs!$B$7/Inputs!$B$11,0)</f>
        <v>0</v>
      </c>
      <c r="BB92" s="33" t="n">
        <f aca="false">IF(AND(Source_Data!BB$6&gt;=Inputs!$B$55,Source_Data!BB$6&lt;Inputs!$B$55+3*Inputs!$B$11),Inputs!$B$9*Inputs!$B$7/Inputs!$B$11,0)</f>
        <v>0</v>
      </c>
      <c r="BC92" s="33" t="n">
        <f aca="false">IF(AND(Source_Data!BC$6&gt;=Inputs!$B$55,Source_Data!BC$6&lt;Inputs!$B$55+3*Inputs!$B$11),Inputs!$B$9*Inputs!$B$7/Inputs!$B$11,0)</f>
        <v>0</v>
      </c>
      <c r="BD92" s="33" t="n">
        <f aca="false">IF(AND(Source_Data!BD$6&gt;=Inputs!$B$55,Source_Data!BD$6&lt;Inputs!$B$55+3*Inputs!$B$11),Inputs!$B$9*Inputs!$B$7/Inputs!$B$11,0)</f>
        <v>0</v>
      </c>
      <c r="BE92" s="33" t="n">
        <f aca="false">IF(AND(Source_Data!BE$6&gt;=Inputs!$B$55,Source_Data!BE$6&lt;Inputs!$B$55+3*Inputs!$B$11),Inputs!$B$9*Inputs!$B$7/Inputs!$B$11,0)</f>
        <v>0</v>
      </c>
      <c r="BF92" s="33" t="n">
        <f aca="false">IF(AND(Source_Data!BF$6&gt;=Inputs!$B$55,Source_Data!BF$6&lt;Inputs!$B$55+3*Inputs!$B$11),Inputs!$B$9*Inputs!$B$7/Inputs!$B$11,0)</f>
        <v>0</v>
      </c>
      <c r="BG92" s="33" t="n">
        <f aca="false">IF(AND(Source_Data!BG$6&gt;=Inputs!$B$55,Source_Data!BG$6&lt;Inputs!$B$55+3*Inputs!$B$11),Inputs!$B$9*Inputs!$B$7/Inputs!$B$11,0)</f>
        <v>0</v>
      </c>
      <c r="BH92" s="33" t="n">
        <f aca="false">IF(AND(Source_Data!BH$6&gt;=Inputs!$B$55,Source_Data!BH$6&lt;Inputs!$B$55+3*Inputs!$B$11),Inputs!$B$9*Inputs!$B$7/Inputs!$B$11,0)</f>
        <v>0</v>
      </c>
      <c r="BI92" s="33" t="n">
        <f aca="false">IF(AND(Source_Data!BI$6&gt;=Inputs!$B$55,Source_Data!BI$6&lt;Inputs!$B$55+3*Inputs!$B$11),Inputs!$B$9*Inputs!$B$7/Inputs!$B$11,0)</f>
        <v>0</v>
      </c>
      <c r="BJ92" s="33" t="n">
        <f aca="false">IF(AND(Source_Data!BJ$6&gt;=Inputs!$B$55,Source_Data!BJ$6&lt;Inputs!$B$55+3*Inputs!$B$11),Inputs!$B$9*Inputs!$B$7/Inputs!$B$11,0)</f>
        <v>0</v>
      </c>
      <c r="BK92" s="33" t="n">
        <f aca="false">IF(AND(Source_Data!BK$6&gt;=Inputs!$B$55,Source_Data!BK$6&lt;Inputs!$B$55+3*Inputs!$B$11),Inputs!$B$9*Inputs!$B$7/Inputs!$B$11,0)</f>
        <v>0</v>
      </c>
    </row>
    <row r="93" customFormat="false" ht="15" hidden="false" customHeight="false" outlineLevel="0" collapsed="false">
      <c r="A93" s="3" t="s">
        <v>343</v>
      </c>
      <c r="D93" s="33" t="n">
        <f aca="false">IF(Source_Data!D$6=Inputs!$B$13,-Inputs!$B$7,0)+D92</f>
        <v>-75</v>
      </c>
      <c r="E93" s="33" t="n">
        <f aca="false">IF(Source_Data!E$6=Inputs!$B$13,-Inputs!$B$7,0)+E92</f>
        <v>0</v>
      </c>
      <c r="F93" s="33" t="n">
        <f aca="false">IF(Source_Data!F$6=Inputs!$B$13,-Inputs!$B$7,0)+F92</f>
        <v>0</v>
      </c>
      <c r="G93" s="33" t="n">
        <f aca="false">IF(Source_Data!G$6=Inputs!$B$13,-Inputs!$B$7,0)+G92</f>
        <v>0</v>
      </c>
      <c r="H93" s="33" t="n">
        <f aca="false">IF(Source_Data!H$6=Inputs!$B$13,-Inputs!$B$7,0)+H92</f>
        <v>0</v>
      </c>
      <c r="I93" s="33" t="n">
        <f aca="false">IF(Source_Data!I$6=Inputs!$B$13,-Inputs!$B$7,0)+I92</f>
        <v>0</v>
      </c>
      <c r="J93" s="33" t="n">
        <f aca="false">IF(Source_Data!J$6=Inputs!$B$13,-Inputs!$B$7,0)+J92</f>
        <v>0</v>
      </c>
      <c r="K93" s="33" t="n">
        <f aca="false">IF(Source_Data!K$6=Inputs!$B$13,-Inputs!$B$7,0)+K92</f>
        <v>0</v>
      </c>
      <c r="L93" s="33" t="n">
        <f aca="false">IF(Source_Data!L$6=Inputs!$B$13,-Inputs!$B$7,0)+L92</f>
        <v>0</v>
      </c>
      <c r="M93" s="33" t="n">
        <f aca="false">IF(Source_Data!M$6=Inputs!$B$13,-Inputs!$B$7,0)+M92</f>
        <v>14.375</v>
      </c>
      <c r="N93" s="33" t="n">
        <f aca="false">IF(Source_Data!N$6=Inputs!$B$13,-Inputs!$B$7,0)+N92</f>
        <v>14.375</v>
      </c>
      <c r="O93" s="33" t="n">
        <f aca="false">IF(Source_Data!O$6=Inputs!$B$13,-Inputs!$B$7,0)+O92</f>
        <v>14.375</v>
      </c>
      <c r="P93" s="33" t="n">
        <f aca="false">IF(Source_Data!P$6=Inputs!$B$13,-Inputs!$B$7,0)+P92</f>
        <v>14.375</v>
      </c>
      <c r="Q93" s="33" t="n">
        <f aca="false">IF(Source_Data!Q$6=Inputs!$B$13,-Inputs!$B$7,0)+Q92</f>
        <v>14.375</v>
      </c>
      <c r="R93" s="33" t="n">
        <f aca="false">IF(Source_Data!R$6=Inputs!$B$13,-Inputs!$B$7,0)+R92</f>
        <v>14.375</v>
      </c>
      <c r="S93" s="33" t="n">
        <f aca="false">IF(Source_Data!S$6=Inputs!$B$13,-Inputs!$B$7,0)+S92</f>
        <v>14.375</v>
      </c>
      <c r="T93" s="33" t="n">
        <f aca="false">IF(Source_Data!T$6=Inputs!$B$13,-Inputs!$B$7,0)+T92</f>
        <v>14.375</v>
      </c>
      <c r="U93" s="33" t="n">
        <f aca="false">IF(Source_Data!U$6=Inputs!$B$13,-Inputs!$B$7,0)+U92</f>
        <v>14.375</v>
      </c>
      <c r="V93" s="33" t="n">
        <f aca="false">IF(Source_Data!V$6=Inputs!$B$13,-Inputs!$B$7,0)+V92</f>
        <v>14.375</v>
      </c>
      <c r="W93" s="33" t="n">
        <f aca="false">IF(Source_Data!W$6=Inputs!$B$13,-Inputs!$B$7,0)+W92</f>
        <v>14.375</v>
      </c>
      <c r="X93" s="33" t="n">
        <f aca="false">IF(Source_Data!X$6=Inputs!$B$13,-Inputs!$B$7,0)+X92</f>
        <v>14.375</v>
      </c>
      <c r="Y93" s="33" t="n">
        <f aca="false">IF(Source_Data!Y$6=Inputs!$B$13,-Inputs!$B$7,0)+Y92</f>
        <v>0</v>
      </c>
      <c r="Z93" s="33" t="n">
        <f aca="false">IF(Source_Data!Z$6=Inputs!$B$13,-Inputs!$B$7,0)+Z92</f>
        <v>0</v>
      </c>
      <c r="AA93" s="33" t="n">
        <f aca="false">IF(Source_Data!AA$6=Inputs!$B$13,-Inputs!$B$7,0)+AA92</f>
        <v>0</v>
      </c>
      <c r="AB93" s="33" t="n">
        <f aca="false">IF(Source_Data!AB$6=Inputs!$B$13,-Inputs!$B$7,0)+AB92</f>
        <v>0</v>
      </c>
      <c r="AC93" s="33" t="n">
        <f aca="false">IF(Source_Data!AC$6=Inputs!$B$13,-Inputs!$B$7,0)+AC92</f>
        <v>0</v>
      </c>
      <c r="AD93" s="33" t="n">
        <f aca="false">IF(Source_Data!AD$6=Inputs!$B$13,-Inputs!$B$7,0)+AD92</f>
        <v>0</v>
      </c>
      <c r="AE93" s="33" t="n">
        <f aca="false">IF(Source_Data!AE$6=Inputs!$B$13,-Inputs!$B$7,0)+AE92</f>
        <v>0</v>
      </c>
      <c r="AF93" s="33" t="n">
        <f aca="false">IF(Source_Data!AF$6=Inputs!$B$13,-Inputs!$B$7,0)+AF92</f>
        <v>0</v>
      </c>
      <c r="AG93" s="33" t="n">
        <f aca="false">IF(Source_Data!AG$6=Inputs!$B$13,-Inputs!$B$7,0)+AG92</f>
        <v>0</v>
      </c>
      <c r="AH93" s="33" t="n">
        <f aca="false">IF(Source_Data!AH$6=Inputs!$B$13,-Inputs!$B$7,0)+AH92</f>
        <v>0</v>
      </c>
      <c r="AI93" s="33" t="n">
        <f aca="false">IF(Source_Data!AI$6=Inputs!$B$13,-Inputs!$B$7,0)+AI92</f>
        <v>0</v>
      </c>
      <c r="AJ93" s="33" t="n">
        <f aca="false">IF(Source_Data!AJ$6=Inputs!$B$13,-Inputs!$B$7,0)+AJ92</f>
        <v>0</v>
      </c>
      <c r="AK93" s="33" t="n">
        <f aca="false">IF(Source_Data!AK$6=Inputs!$B$13,-Inputs!$B$7,0)+AK92</f>
        <v>0</v>
      </c>
      <c r="AL93" s="33" t="n">
        <f aca="false">IF(Source_Data!AL$6=Inputs!$B$13,-Inputs!$B$7,0)+AL92</f>
        <v>0</v>
      </c>
      <c r="AM93" s="33" t="n">
        <f aca="false">IF(Source_Data!AM$6=Inputs!$B$13,-Inputs!$B$7,0)+AM92</f>
        <v>0</v>
      </c>
      <c r="AN93" s="33" t="n">
        <f aca="false">IF(Source_Data!AN$6=Inputs!$B$13,-Inputs!$B$7,0)+AN92</f>
        <v>0</v>
      </c>
      <c r="AO93" s="33" t="n">
        <f aca="false">IF(Source_Data!AO$6=Inputs!$B$13,-Inputs!$B$7,0)+AO92</f>
        <v>0</v>
      </c>
      <c r="AP93" s="33" t="n">
        <f aca="false">IF(Source_Data!AP$6=Inputs!$B$13,-Inputs!$B$7,0)+AP92</f>
        <v>0</v>
      </c>
      <c r="AQ93" s="33" t="n">
        <f aca="false">IF(Source_Data!AQ$6=Inputs!$B$13,-Inputs!$B$7,0)+AQ92</f>
        <v>0</v>
      </c>
      <c r="AR93" s="33" t="n">
        <f aca="false">IF(Source_Data!AR$6=Inputs!$B$13,-Inputs!$B$7,0)+AR92</f>
        <v>0</v>
      </c>
      <c r="AS93" s="33" t="n">
        <f aca="false">IF(Source_Data!AS$6=Inputs!$B$13,-Inputs!$B$7,0)+AS92</f>
        <v>0</v>
      </c>
      <c r="AT93" s="33" t="n">
        <f aca="false">IF(Source_Data!AT$6=Inputs!$B$13,-Inputs!$B$7,0)+AT92</f>
        <v>0</v>
      </c>
      <c r="AU93" s="33" t="n">
        <f aca="false">IF(Source_Data!AU$6=Inputs!$B$13,-Inputs!$B$7,0)+AU92</f>
        <v>0</v>
      </c>
      <c r="AV93" s="33" t="n">
        <f aca="false">IF(Source_Data!AV$6=Inputs!$B$13,-Inputs!$B$7,0)+AV92</f>
        <v>0</v>
      </c>
      <c r="AW93" s="33" t="n">
        <f aca="false">IF(Source_Data!AW$6=Inputs!$B$13,-Inputs!$B$7,0)+AW92</f>
        <v>0</v>
      </c>
      <c r="AX93" s="33" t="n">
        <f aca="false">IF(Source_Data!AX$6=Inputs!$B$13,-Inputs!$B$7,0)+AX92</f>
        <v>0</v>
      </c>
      <c r="AY93" s="33" t="n">
        <f aca="false">IF(Source_Data!AY$6=Inputs!$B$13,-Inputs!$B$7,0)+AY92</f>
        <v>0</v>
      </c>
      <c r="AZ93" s="33" t="n">
        <f aca="false">IF(Source_Data!AZ$6=Inputs!$B$13,-Inputs!$B$7,0)+AZ92</f>
        <v>0</v>
      </c>
      <c r="BA93" s="33" t="n">
        <f aca="false">IF(Source_Data!BA$6=Inputs!$B$13,-Inputs!$B$7,0)+BA92</f>
        <v>0</v>
      </c>
      <c r="BB93" s="33" t="n">
        <f aca="false">IF(Source_Data!BB$6=Inputs!$B$13,-Inputs!$B$7,0)+BB92</f>
        <v>0</v>
      </c>
      <c r="BC93" s="33" t="n">
        <f aca="false">IF(Source_Data!BC$6=Inputs!$B$13,-Inputs!$B$7,0)+BC92</f>
        <v>0</v>
      </c>
      <c r="BD93" s="33" t="n">
        <f aca="false">IF(Source_Data!BD$6=Inputs!$B$13,-Inputs!$B$7,0)+BD92</f>
        <v>0</v>
      </c>
      <c r="BE93" s="33" t="n">
        <f aca="false">IF(Source_Data!BE$6=Inputs!$B$13,-Inputs!$B$7,0)+BE92</f>
        <v>0</v>
      </c>
      <c r="BF93" s="33" t="n">
        <f aca="false">IF(Source_Data!BF$6=Inputs!$B$13,-Inputs!$B$7,0)+BF92</f>
        <v>0</v>
      </c>
      <c r="BG93" s="33" t="n">
        <f aca="false">IF(Source_Data!BG$6=Inputs!$B$13,-Inputs!$B$7,0)+BG92</f>
        <v>0</v>
      </c>
      <c r="BH93" s="33" t="n">
        <f aca="false">IF(Source_Data!BH$6=Inputs!$B$13,-Inputs!$B$7,0)+BH92</f>
        <v>0</v>
      </c>
      <c r="BI93" s="33" t="n">
        <f aca="false">IF(Source_Data!BI$6=Inputs!$B$13,-Inputs!$B$7,0)+BI92</f>
        <v>0</v>
      </c>
      <c r="BJ93" s="33" t="n">
        <f aca="false">IF(Source_Data!BJ$6=Inputs!$B$13,-Inputs!$B$7,0)+BJ92</f>
        <v>0</v>
      </c>
      <c r="BK93" s="33" t="n">
        <f aca="false">IF(Source_Data!BK$6=Inputs!$B$13,-Inputs!$B$7,0)+BK92</f>
        <v>0</v>
      </c>
    </row>
    <row r="94" customFormat="false" ht="15" hidden="false" customHeight="false" outlineLevel="0" collapsed="false">
      <c r="A94" s="3" t="s">
        <v>344</v>
      </c>
      <c r="D94" s="33" t="n">
        <f aca="false">IF(Source_Data!D$6=Inputs!$B$13,Inputs!$B$7,0)+D89-D92</f>
        <v>-16.25</v>
      </c>
      <c r="E94" s="33" t="n">
        <f aca="false">D94+IF(Source_Data!E$6=Inputs!$B$13,Inputs!$B$7,0)+E89-E92</f>
        <v>-27.5</v>
      </c>
      <c r="F94" s="33" t="n">
        <f aca="false">E94+IF(Source_Data!F$6=Inputs!$B$13,Inputs!$B$7,0)+F89-F92</f>
        <v>-22.09683875</v>
      </c>
      <c r="G94" s="33" t="n">
        <f aca="false">F94+IF(Source_Data!G$6=Inputs!$B$13,Inputs!$B$7,0)+G89-G92</f>
        <v>-0.0405162499999996</v>
      </c>
      <c r="H94" s="33" t="n">
        <f aca="false">G94+IF(Source_Data!H$6=Inputs!$B$13,Inputs!$B$7,0)+H89-H92</f>
        <v>5.622690625</v>
      </c>
      <c r="I94" s="33" t="n">
        <f aca="false">H94+IF(Source_Data!I$6=Inputs!$B$13,Inputs!$B$7,0)+I89-I92</f>
        <v>21.782781875</v>
      </c>
      <c r="J94" s="33" t="n">
        <f aca="false">I94+IF(Source_Data!J$6=Inputs!$B$13,Inputs!$B$7,0)+J89-J92</f>
        <v>8.56252287500001</v>
      </c>
      <c r="K94" s="33" t="n">
        <f aca="false">J94+IF(Source_Data!K$6=Inputs!$B$13,Inputs!$B$7,0)+K89-K92</f>
        <v>12.2009091875</v>
      </c>
      <c r="L94" s="33" t="n">
        <f aca="false">K94+IF(Source_Data!L$6=Inputs!$B$13,Inputs!$B$7,0)+L89-L92</f>
        <v>25.9792564687501</v>
      </c>
      <c r="M94" s="33" t="n">
        <f aca="false">L94+IF(Source_Data!M$6=Inputs!$B$13,Inputs!$B$7,0)+M89-M92</f>
        <v>481.80009171875</v>
      </c>
      <c r="N94" s="33" t="n">
        <f aca="false">M94+IF(Source_Data!N$6=Inputs!$B$13,Inputs!$B$7,0)+N89-N92</f>
        <v>624.05070571875</v>
      </c>
      <c r="O94" s="33" t="n">
        <f aca="false">N94+IF(Source_Data!O$6=Inputs!$B$13,Inputs!$B$7,0)+O89-O92</f>
        <v>756.35319471875</v>
      </c>
      <c r="P94" s="33" t="n">
        <f aca="false">O94+IF(Source_Data!P$6=Inputs!$B$13,Inputs!$B$7,0)+P89-P92</f>
        <v>657.55217571875</v>
      </c>
      <c r="Q94" s="33" t="n">
        <f aca="false">P94+IF(Source_Data!Q$6=Inputs!$B$13,Inputs!$B$7,0)+Q89-Q92</f>
        <v>528.43126134375</v>
      </c>
      <c r="R94" s="33" t="n">
        <f aca="false">Q94+IF(Source_Data!R$6=Inputs!$B$13,Inputs!$B$7,0)+R89-R92</f>
        <v>348.71034696875</v>
      </c>
      <c r="S94" s="33" t="n">
        <f aca="false">R94+IF(Source_Data!S$6=Inputs!$B$13,Inputs!$B$7,0)+S89-S92</f>
        <v>222.30426615625</v>
      </c>
      <c r="T94" s="33" t="n">
        <f aca="false">S94+IF(Source_Data!T$6=Inputs!$B$13,Inputs!$B$7,0)+T89-T92</f>
        <v>230.2785698125</v>
      </c>
      <c r="U94" s="33" t="n">
        <f aca="false">T94+IF(Source_Data!U$6=Inputs!$B$13,Inputs!$B$7,0)+U89-U92</f>
        <v>236.58755734375</v>
      </c>
      <c r="V94" s="33" t="n">
        <f aca="false">U94+IF(Source_Data!V$6=Inputs!$B$13,Inputs!$B$7,0)+V89-V92</f>
        <v>236.3088965</v>
      </c>
      <c r="W94" s="33" t="n">
        <f aca="false">V94+IF(Source_Data!W$6=Inputs!$B$13,Inputs!$B$7,0)+W89-W92</f>
        <v>231.25513565625</v>
      </c>
      <c r="X94" s="33" t="n">
        <f aca="false">W94+IF(Source_Data!X$6=Inputs!$B$13,Inputs!$B$7,0)+X89-X92</f>
        <v>248.7013748125</v>
      </c>
      <c r="Y94" s="33" t="n">
        <f aca="false">X94+IF(Source_Data!Y$6=Inputs!$B$13,Inputs!$B$7,0)+Y89-Y92</f>
        <v>272.51437334375</v>
      </c>
      <c r="Z94" s="33" t="n">
        <f aca="false">Y94+IF(Source_Data!Z$6=Inputs!$B$13,Inputs!$B$7,0)+Z89-Z92</f>
        <v>296.327371875</v>
      </c>
      <c r="AA94" s="33" t="n">
        <f aca="false">Z94+IF(Source_Data!AA$6=Inputs!$B$13,Inputs!$B$7,0)+AA89-AA92</f>
        <v>320.14037040625</v>
      </c>
      <c r="AB94" s="33" t="n">
        <f aca="false">AA94+IF(Source_Data!AB$6=Inputs!$B$13,Inputs!$B$7,0)+AB89-AB92</f>
        <v>360.0865689375</v>
      </c>
      <c r="AC94" s="33" t="n">
        <f aca="false">AB94+IF(Source_Data!AC$6=Inputs!$B$13,Inputs!$B$7,0)+AC89-AC92</f>
        <v>396.4290591875</v>
      </c>
      <c r="AD94" s="33" t="n">
        <f aca="false">AC94+IF(Source_Data!AD$6=Inputs!$B$13,Inputs!$B$7,0)+AD89-AD92</f>
        <v>428.8022475625</v>
      </c>
      <c r="AE94" s="33" t="n">
        <f aca="false">AD94+IF(Source_Data!AE$6=Inputs!$B$13,Inputs!$B$7,0)+AE89-AE92</f>
        <v>456.4003359375</v>
      </c>
      <c r="AF94" s="33" t="n">
        <f aca="false">AE94+IF(Source_Data!AF$6=Inputs!$B$13,Inputs!$B$7,0)+AF89-AF92</f>
        <v>319.036478367235</v>
      </c>
      <c r="AG94" s="33" t="n">
        <f aca="false">AF94+IF(Source_Data!AG$6=Inputs!$B$13,Inputs!$B$7,0)+AG89-AG92</f>
        <v>329.831143198939</v>
      </c>
      <c r="AH94" s="33" t="n">
        <f aca="false">AG94+IF(Source_Data!AH$6=Inputs!$B$13,Inputs!$B$7,0)+AH89-AH92</f>
        <v>340.625808030644</v>
      </c>
      <c r="AI94" s="33" t="n">
        <f aca="false">AH94+IF(Source_Data!AI$6=Inputs!$B$13,Inputs!$B$7,0)+AI89-AI92</f>
        <v>351.420472862348</v>
      </c>
      <c r="AJ94" s="33" t="n">
        <f aca="false">AI94+IF(Source_Data!AJ$6=Inputs!$B$13,Inputs!$B$7,0)+AJ89-AJ92</f>
        <v>362.215137694052</v>
      </c>
      <c r="AK94" s="33" t="n">
        <f aca="false">AJ94+IF(Source_Data!AK$6=Inputs!$B$13,Inputs!$B$7,0)+AK89-AK92</f>
        <v>372.07010403363</v>
      </c>
      <c r="AL94" s="33" t="n">
        <f aca="false">AK94+IF(Source_Data!AL$6=Inputs!$B$13,Inputs!$B$7,0)+AL89-AL92</f>
        <v>381.925070373208</v>
      </c>
      <c r="AM94" s="33" t="n">
        <f aca="false">AL94+IF(Source_Data!AM$6=Inputs!$B$13,Inputs!$B$7,0)+AM89-AM92</f>
        <v>389.987800168383</v>
      </c>
      <c r="AN94" s="33" t="n">
        <f aca="false">AM94+IF(Source_Data!AN$6=Inputs!$B$13,Inputs!$B$7,0)+AN89-AN92</f>
        <v>394.129477497655</v>
      </c>
      <c r="AO94" s="33" t="n">
        <f aca="false">AN94+IF(Source_Data!AO$6=Inputs!$B$13,Inputs!$B$7,0)+AO89-AO92</f>
        <v>395.66568025</v>
      </c>
      <c r="AP94" s="33" t="n">
        <f aca="false">AO94+IF(Source_Data!AP$6=Inputs!$B$13,Inputs!$B$7,0)+AP89-AP92</f>
        <v>395.66568025</v>
      </c>
      <c r="AQ94" s="33" t="n">
        <f aca="false">AP94+IF(Source_Data!AQ$6=Inputs!$B$13,Inputs!$B$7,0)+AQ89-AQ92</f>
        <v>395.66568025</v>
      </c>
      <c r="AR94" s="33" t="n">
        <f aca="false">AQ94+IF(Source_Data!AR$6=Inputs!$B$13,Inputs!$B$7,0)+AR89-AR92</f>
        <v>395.66568025</v>
      </c>
      <c r="AS94" s="33" t="n">
        <f aca="false">AR94+IF(Source_Data!AS$6=Inputs!$B$13,Inputs!$B$7,0)+AS89-AS92</f>
        <v>395.66568025</v>
      </c>
      <c r="AT94" s="33" t="n">
        <f aca="false">AS94+IF(Source_Data!AT$6=Inputs!$B$13,Inputs!$B$7,0)+AT89-AT92</f>
        <v>395.66568025</v>
      </c>
      <c r="AU94" s="33" t="n">
        <f aca="false">AT94+IF(Source_Data!AU$6=Inputs!$B$13,Inputs!$B$7,0)+AU89-AU92</f>
        <v>395.66568025</v>
      </c>
      <c r="AV94" s="33" t="n">
        <f aca="false">AU94+IF(Source_Data!AV$6=Inputs!$B$13,Inputs!$B$7,0)+AV89-AV92</f>
        <v>395.66568025</v>
      </c>
      <c r="AW94" s="33" t="n">
        <f aca="false">AV94+IF(Source_Data!AW$6=Inputs!$B$13,Inputs!$B$7,0)+AW89-AW92</f>
        <v>395.66568025</v>
      </c>
      <c r="AX94" s="33" t="n">
        <f aca="false">AW94+IF(Source_Data!AX$6=Inputs!$B$13,Inputs!$B$7,0)+AX89-AX92</f>
        <v>395.66568025</v>
      </c>
      <c r="AY94" s="33" t="n">
        <f aca="false">AX94+IF(Source_Data!AY$6=Inputs!$B$13,Inputs!$B$7,0)+AY89-AY92</f>
        <v>395.66568025</v>
      </c>
      <c r="AZ94" s="33" t="n">
        <f aca="false">AY94+IF(Source_Data!AZ$6=Inputs!$B$13,Inputs!$B$7,0)+AZ89-AZ92</f>
        <v>395.66568025</v>
      </c>
      <c r="BA94" s="33" t="n">
        <f aca="false">AZ94+IF(Source_Data!BA$6=Inputs!$B$13,Inputs!$B$7,0)+BA89-BA92</f>
        <v>395.66568025</v>
      </c>
      <c r="BB94" s="33" t="n">
        <f aca="false">BA94+IF(Source_Data!BB$6=Inputs!$B$13,Inputs!$B$7,0)+BB89-BB92</f>
        <v>395.66568025</v>
      </c>
      <c r="BC94" s="33" t="n">
        <f aca="false">BB94+IF(Source_Data!BC$6=Inputs!$B$13,Inputs!$B$7,0)+BC89-BC92</f>
        <v>395.66568025</v>
      </c>
      <c r="BD94" s="33" t="n">
        <f aca="false">BC94+IF(Source_Data!BD$6=Inputs!$B$13,Inputs!$B$7,0)+BD89-BD92</f>
        <v>395.66568025</v>
      </c>
      <c r="BE94" s="33" t="n">
        <f aca="false">BD94+IF(Source_Data!BE$6=Inputs!$B$13,Inputs!$B$7,0)+BE89-BE92</f>
        <v>395.66568025</v>
      </c>
      <c r="BF94" s="33" t="n">
        <f aca="false">BE94+IF(Source_Data!BF$6=Inputs!$B$13,Inputs!$B$7,0)+BF89-BF92</f>
        <v>395.66568025</v>
      </c>
      <c r="BG94" s="33" t="n">
        <f aca="false">BF94+IF(Source_Data!BG$6=Inputs!$B$13,Inputs!$B$7,0)+BG89-BG92</f>
        <v>395.66568025</v>
      </c>
      <c r="BH94" s="33" t="n">
        <f aca="false">BG94+IF(Source_Data!BH$6=Inputs!$B$13,Inputs!$B$7,0)+BH89-BH92</f>
        <v>395.66568025</v>
      </c>
      <c r="BI94" s="33" t="n">
        <f aca="false">BH94+IF(Source_Data!BI$6=Inputs!$B$13,Inputs!$B$7,0)+BI89-BI92</f>
        <v>395.66568025</v>
      </c>
      <c r="BJ94" s="33" t="n">
        <f aca="false">BI94+IF(Source_Data!BJ$6=Inputs!$B$13,Inputs!$B$7,0)+BJ89-BJ92</f>
        <v>395.66568025</v>
      </c>
      <c r="BK94" s="33" t="n">
        <f aca="false">BJ94+IF(Source_Data!BK$6=Inputs!$B$13,Inputs!$B$7,0)+BK89-BK92</f>
        <v>395.66568025</v>
      </c>
    </row>
    <row r="95" customFormat="false" ht="15" hidden="false" customHeight="false" outlineLevel="0" collapsed="false">
      <c r="A95" s="3" t="s">
        <v>345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32.7092754956522</v>
      </c>
      <c r="N95" s="31" t="n">
        <f aca="false">IF(N92&gt;0,N89/N92,"")</f>
        <v>10.8956948869565</v>
      </c>
      <c r="O95" s="31" t="n">
        <f aca="false">IF(O92&gt;0,O89/O92,"")</f>
        <v>10.2036514086957</v>
      </c>
      <c r="P95" s="31" t="n">
        <f aca="false">IF(P92&gt;0,P89/P92,"")</f>
        <v>-5.87311436521739</v>
      </c>
      <c r="Q95" s="31" t="n">
        <f aca="false">IF(Q92&gt;0,Q89/Q92,"")</f>
        <v>-7.98232447826087</v>
      </c>
      <c r="R95" s="31" t="n">
        <f aca="false">IF(R92&gt;0,R89/R92,"")</f>
        <v>-11.5023244782609</v>
      </c>
      <c r="S95" s="31" t="n">
        <f aca="false">IF(S92&gt;0,S89/S92,"")</f>
        <v>-7.79346649130435</v>
      </c>
      <c r="T95" s="31" t="n">
        <f aca="false">IF(T92&gt;0,T89/T92,"")</f>
        <v>1.5547341673913</v>
      </c>
      <c r="U95" s="31" t="n">
        <f aca="false">IF(U92&gt;0,U89/U92,"")</f>
        <v>1.43888608913044</v>
      </c>
      <c r="V95" s="31" t="n">
        <f aca="false">IF(V92&gt;0,V89/V92,"")</f>
        <v>0.980614897826087</v>
      </c>
      <c r="W95" s="31" t="n">
        <f aca="false">IF(W92&gt;0,W89/W92,"")</f>
        <v>0.64843402826087</v>
      </c>
      <c r="X95" s="31" t="n">
        <f aca="false">IF(X92&gt;0,X89/X92,"")</f>
        <v>2.21365141956522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346</v>
      </c>
      <c r="D96" s="31" t="str">
        <f aca="false">IF(D92&gt;0,(0+D89+IF(Source_Data!D$6=Inputs!$B$13,Inputs!$B$7,0))/D92,"")</f>
        <v/>
      </c>
      <c r="E96" s="31" t="str">
        <f aca="false">IF(E92&gt;0,(D94+E89+IF(Source_Data!E$6=Inputs!$B$13,Inputs!$B$7,0))/E92,"")</f>
        <v/>
      </c>
      <c r="F96" s="31" t="str">
        <f aca="false">IF(F92&gt;0,(E94+F89+IF(Source_Data!F$6=Inputs!$B$13,Inputs!$B$7,0))/F92,"")</f>
        <v/>
      </c>
      <c r="G96" s="31" t="str">
        <f aca="false">IF(G92&gt;0,(F94+G89+IF(Source_Data!G$6=Inputs!$B$13,Inputs!$B$7,0))/G92,"")</f>
        <v/>
      </c>
      <c r="H96" s="31" t="str">
        <f aca="false">IF(H92&gt;0,(G94+H89+IF(Source_Data!H$6=Inputs!$B$13,Inputs!$B$7,0))/H92,"")</f>
        <v/>
      </c>
      <c r="I96" s="31" t="str">
        <f aca="false">IF(I92&gt;0,(H94+I89+IF(Source_Data!I$6=Inputs!$B$13,Inputs!$B$7,0))/I92,"")</f>
        <v/>
      </c>
      <c r="J96" s="31" t="str">
        <f aca="false">IF(J92&gt;0,(I94+J89+IF(Source_Data!J$6=Inputs!$B$13,Inputs!$B$7,0))/J92,"")</f>
        <v/>
      </c>
      <c r="K96" s="31" t="str">
        <f aca="false">IF(K92&gt;0,(J94+K89+IF(Source_Data!K$6=Inputs!$B$13,Inputs!$B$7,0))/K92,"")</f>
        <v/>
      </c>
      <c r="L96" s="31" t="str">
        <f aca="false">IF(L92&gt;0,(K94+L89+IF(Source_Data!L$6=Inputs!$B$13,Inputs!$B$7,0))/L92,"")</f>
        <v/>
      </c>
      <c r="M96" s="31" t="n">
        <f aca="false">IF(M92&gt;0,(L94+M89+IF(Source_Data!M$6=Inputs!$B$13,Inputs!$B$7,0))/M92,"")</f>
        <v>34.5165281195652</v>
      </c>
      <c r="N96" s="31" t="n">
        <f aca="false">IF(N92&gt;0,(M94+N89+IF(Source_Data!N$6=Inputs!$B$13,Inputs!$B$7,0))/N92,"")</f>
        <v>44.4122230065218</v>
      </c>
      <c r="O96" s="31" t="n">
        <f aca="false">IF(O92&gt;0,(N94+O89+IF(Source_Data!O$6=Inputs!$B$13,Inputs!$B$7,0))/O92,"")</f>
        <v>53.6158744152174</v>
      </c>
      <c r="P96" s="31" t="n">
        <f aca="false">IF(P92&gt;0,(O94+P89+IF(Source_Data!P$6=Inputs!$B$13,Inputs!$B$7,0))/P92,"")</f>
        <v>46.74276005</v>
      </c>
      <c r="Q96" s="31" t="n">
        <f aca="false">IF(Q92&gt;0,(P94+Q89+IF(Source_Data!Q$6=Inputs!$B$13,Inputs!$B$7,0))/Q92,"")</f>
        <v>37.7604355717391</v>
      </c>
      <c r="R96" s="31" t="n">
        <f aca="false">IF(R92&gt;0,(Q94+R89+IF(Source_Data!R$6=Inputs!$B$13,Inputs!$B$7,0))/R92,"")</f>
        <v>25.2581110934783</v>
      </c>
      <c r="S96" s="31" t="n">
        <f aca="false">IF(S92&gt;0,(R94+S89+IF(Source_Data!S$6=Inputs!$B$13,Inputs!$B$7,0))/S92,"")</f>
        <v>16.4646446021739</v>
      </c>
      <c r="T96" s="31" t="n">
        <f aca="false">IF(T92&gt;0,(S94+T89+IF(Source_Data!T$6=Inputs!$B$13,Inputs!$B$7,0))/T92,"")</f>
        <v>17.0193787695652</v>
      </c>
      <c r="U96" s="31" t="n">
        <f aca="false">IF(U92&gt;0,(T94+U89+IF(Source_Data!U$6=Inputs!$B$13,Inputs!$B$7,0))/U92,"")</f>
        <v>17.4582648586957</v>
      </c>
      <c r="V96" s="31" t="n">
        <f aca="false">IF(V92&gt;0,(U94+V89+IF(Source_Data!V$6=Inputs!$B$13,Inputs!$B$7,0))/V92,"")</f>
        <v>17.4388797565217</v>
      </c>
      <c r="W96" s="31" t="n">
        <f aca="false">IF(W92&gt;0,(V94+W89+IF(Source_Data!W$6=Inputs!$B$13,Inputs!$B$7,0))/W92,"")</f>
        <v>17.0873137847826</v>
      </c>
      <c r="X96" s="31" t="n">
        <f aca="false">IF(X92&gt;0,(W94+X89+IF(Source_Data!X$6=Inputs!$B$13,Inputs!$B$7,0))/X92,"")</f>
        <v>18.3009652043478</v>
      </c>
      <c r="Y96" s="31" t="str">
        <f aca="false">IF(Y92&gt;0,(X94+Y89+IF(Source_Data!Y$6=Inputs!$B$13,Inputs!$B$7,0))/Y92,"")</f>
        <v/>
      </c>
      <c r="Z96" s="31" t="str">
        <f aca="false">IF(Z92&gt;0,(Y94+Z89+IF(Source_Data!Z$6=Inputs!$B$13,Inputs!$B$7,0))/Z92,"")</f>
        <v/>
      </c>
      <c r="AA96" s="31" t="str">
        <f aca="false">IF(AA92&gt;0,(Z94+AA89+IF(Source_Data!AA$6=Inputs!$B$13,Inputs!$B$7,0))/AA92,"")</f>
        <v/>
      </c>
      <c r="AB96" s="31" t="str">
        <f aca="false">IF(AB92&gt;0,(AA94+AB89+IF(Source_Data!AB$6=Inputs!$B$13,Inputs!$B$7,0))/AB92,"")</f>
        <v/>
      </c>
      <c r="AC96" s="31" t="str">
        <f aca="false">IF(AC92&gt;0,(AB94+AC89+IF(Source_Data!AC$6=Inputs!$B$13,Inputs!$B$7,0))/AC92,"")</f>
        <v/>
      </c>
      <c r="AD96" s="31" t="str">
        <f aca="false">IF(AD92&gt;0,(AC94+AD89+IF(Source_Data!AD$6=Inputs!$B$13,Inputs!$B$7,0))/AD92,"")</f>
        <v/>
      </c>
      <c r="AE96" s="31" t="str">
        <f aca="false">IF(AE92&gt;0,(AD94+AE89+IF(Source_Data!AE$6=Inputs!$B$13,Inputs!$B$7,0))/AE92,"")</f>
        <v/>
      </c>
      <c r="AF96" s="31" t="str">
        <f aca="false">IF(AF92&gt;0,(AE94+AF89+IF(Source_Data!AF$6=Inputs!$B$13,Inputs!$B$7,0))/AF92,"")</f>
        <v/>
      </c>
      <c r="AG96" s="31" t="str">
        <f aca="false">IF(AG92&gt;0,(AF94+AG89+IF(Source_Data!AG$6=Inputs!$B$13,Inputs!$B$7,0))/AG92,"")</f>
        <v/>
      </c>
      <c r="AH96" s="31" t="str">
        <f aca="false">IF(AH92&gt;0,(AG94+AH89+IF(Source_Data!AH$6=Inputs!$B$13,Inputs!$B$7,0))/AH92,"")</f>
        <v/>
      </c>
      <c r="AI96" s="31" t="str">
        <f aca="false">IF(AI92&gt;0,(AH94+AI89+IF(Source_Data!AI$6=Inputs!$B$13,Inputs!$B$7,0))/AI92,"")</f>
        <v/>
      </c>
      <c r="AJ96" s="31" t="str">
        <f aca="false">IF(AJ92&gt;0,(AI94+AJ89+IF(Source_Data!AJ$6=Inputs!$B$13,Inputs!$B$7,0))/AJ92,"")</f>
        <v/>
      </c>
      <c r="AK96" s="31" t="str">
        <f aca="false">IF(AK92&gt;0,(AJ94+AK89+IF(Source_Data!AK$6=Inputs!$B$13,Inputs!$B$7,0))/AK92,"")</f>
        <v/>
      </c>
      <c r="AL96" s="31" t="str">
        <f aca="false">IF(AL92&gt;0,(AK94+AL89+IF(Source_Data!AL$6=Inputs!$B$13,Inputs!$B$7,0))/AL92,"")</f>
        <v/>
      </c>
      <c r="AM96" s="31" t="str">
        <f aca="false">IF(AM92&gt;0,(AL94+AM89+IF(Source_Data!AM$6=Inputs!$B$13,Inputs!$B$7,0))/AM92,"")</f>
        <v/>
      </c>
      <c r="AN96" s="31" t="str">
        <f aca="false">IF(AN92&gt;0,(AM94+AN89+IF(Source_Data!AN$6=Inputs!$B$13,Inputs!$B$7,0))/AN92,"")</f>
        <v/>
      </c>
      <c r="AO96" s="31" t="str">
        <f aca="false">IF(AO92&gt;0,(AN94+AO89+IF(Source_Data!AO$6=Inputs!$B$13,Inputs!$B$7,0))/AO92,"")</f>
        <v/>
      </c>
      <c r="AP96" s="31" t="str">
        <f aca="false">IF(AP92&gt;0,(AO94+AP89+IF(Source_Data!AP$6=Inputs!$B$13,Inputs!$B$7,0))/AP92,"")</f>
        <v/>
      </c>
      <c r="AQ96" s="31" t="str">
        <f aca="false">IF(AQ92&gt;0,(AP94+AQ89+IF(Source_Data!AQ$6=Inputs!$B$13,Inputs!$B$7,0))/AQ92,"")</f>
        <v/>
      </c>
      <c r="AR96" s="31" t="str">
        <f aca="false">IF(AR92&gt;0,(AQ94+AR89+IF(Source_Data!AR$6=Inputs!$B$13,Inputs!$B$7,0))/AR92,"")</f>
        <v/>
      </c>
      <c r="AS96" s="31" t="str">
        <f aca="false">IF(AS92&gt;0,(AR94+AS89+IF(Source_Data!AS$6=Inputs!$B$13,Inputs!$B$7,0))/AS92,"")</f>
        <v/>
      </c>
      <c r="AT96" s="31" t="str">
        <f aca="false">IF(AT92&gt;0,(AS94+AT89+IF(Source_Data!AT$6=Inputs!$B$13,Inputs!$B$7,0))/AT92,"")</f>
        <v/>
      </c>
      <c r="AU96" s="31" t="str">
        <f aca="false">IF(AU92&gt;0,(AT94+AU89+IF(Source_Data!AU$6=Inputs!$B$13,Inputs!$B$7,0))/AU92,"")</f>
        <v/>
      </c>
      <c r="AV96" s="31" t="str">
        <f aca="false">IF(AV92&gt;0,(AU94+AV89+IF(Source_Data!AV$6=Inputs!$B$13,Inputs!$B$7,0))/AV92,"")</f>
        <v/>
      </c>
      <c r="AW96" s="31" t="str">
        <f aca="false">IF(AW92&gt;0,(AV94+AW89+IF(Source_Data!AW$6=Inputs!$B$13,Inputs!$B$7,0))/AW92,"")</f>
        <v/>
      </c>
      <c r="AX96" s="31" t="str">
        <f aca="false">IF(AX92&gt;0,(AW94+AX89+IF(Source_Data!AX$6=Inputs!$B$13,Inputs!$B$7,0))/AX92,"")</f>
        <v/>
      </c>
      <c r="AY96" s="31" t="str">
        <f aca="false">IF(AY92&gt;0,(AX94+AY89+IF(Source_Data!AY$6=Inputs!$B$13,Inputs!$B$7,0))/AY92,"")</f>
        <v/>
      </c>
      <c r="AZ96" s="31" t="str">
        <f aca="false">IF(AZ92&gt;0,(AY94+AZ89+IF(Source_Data!AZ$6=Inputs!$B$13,Inputs!$B$7,0))/AZ92,"")</f>
        <v/>
      </c>
      <c r="BA96" s="31" t="str">
        <f aca="false">IF(BA92&gt;0,(AZ94+BA89+IF(Source_Data!BA$6=Inputs!$B$13,Inputs!$B$7,0))/BA92,"")</f>
        <v/>
      </c>
      <c r="BB96" s="31" t="str">
        <f aca="false">IF(BB92&gt;0,(BA94+BB89+IF(Source_Data!BB$6=Inputs!$B$13,Inputs!$B$7,0))/BB92,"")</f>
        <v/>
      </c>
      <c r="BC96" s="31" t="str">
        <f aca="false">IF(BC92&gt;0,(BB94+BC89+IF(Source_Data!BC$6=Inputs!$B$13,Inputs!$B$7,0))/BC92,"")</f>
        <v/>
      </c>
      <c r="BD96" s="31" t="str">
        <f aca="false">IF(BD92&gt;0,(BC94+BD89+IF(Source_Data!BD$6=Inputs!$B$13,Inputs!$B$7,0))/BD92,"")</f>
        <v/>
      </c>
      <c r="BE96" s="31" t="str">
        <f aca="false">IF(BE92&gt;0,(BD94+BE89+IF(Source_Data!BE$6=Inputs!$B$13,Inputs!$B$7,0))/BE92,"")</f>
        <v/>
      </c>
      <c r="BF96" s="31" t="str">
        <f aca="false">IF(BF92&gt;0,(BE94+BF89+IF(Source_Data!BF$6=Inputs!$B$13,Inputs!$B$7,0))/BF92,"")</f>
        <v/>
      </c>
      <c r="BG96" s="31" t="str">
        <f aca="false">IF(BG92&gt;0,(BF94+BG89+IF(Source_Data!BG$6=Inputs!$B$13,Inputs!$B$7,0))/BG92,"")</f>
        <v/>
      </c>
      <c r="BH96" s="31" t="str">
        <f aca="false">IF(BH92&gt;0,(BG94+BH89+IF(Source_Data!BH$6=Inputs!$B$13,Inputs!$B$7,0))/BH92,"")</f>
        <v/>
      </c>
      <c r="BI96" s="31" t="str">
        <f aca="false">IF(BI92&gt;0,(BH94+BI89+IF(Source_Data!BI$6=Inputs!$B$13,Inputs!$B$7,0))/BI92,"")</f>
        <v/>
      </c>
      <c r="BJ96" s="31" t="str">
        <f aca="false">IF(BJ92&gt;0,(BI94+BJ89+IF(Source_Data!BJ$6=Inputs!$B$13,Inputs!$B$7,0))/BJ92,"")</f>
        <v/>
      </c>
      <c r="BK96" s="31" t="str">
        <f aca="false">IF(BK92&gt;0,(BJ94+BK89+IF(Source_Data!BK$6=Inputs!$B$13,Inputs!$B$7,0))/BK92,"")</f>
        <v/>
      </c>
    </row>
    <row r="98" customFormat="false" ht="15" hidden="false" customHeight="false" outlineLevel="0" collapsed="false">
      <c r="A98" s="2" t="s">
        <v>222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347</v>
      </c>
      <c r="B99" s="41" t="n">
        <f aca="false">SUMPRODUCT(D89:BK89,Project_CF!$D$15:$BK$15)</f>
        <v>335.881228466562</v>
      </c>
    </row>
    <row r="100" customFormat="false" ht="15" hidden="false" customHeight="false" outlineLevel="0" collapsed="false">
      <c r="A100" s="2" t="s">
        <v>164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348</v>
      </c>
      <c r="B101" s="35" t="n">
        <f aca="false">INDEX(Project_CF!$D$6:$BK$6,MATCH(MIN(D90:BK90),D90:BK90,0))</f>
        <v>0</v>
      </c>
    </row>
    <row r="102" customFormat="false" ht="15" hidden="false" customHeight="false" outlineLevel="0" collapsed="false">
      <c r="A102" s="2" t="s">
        <v>349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350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351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352</v>
      </c>
      <c r="B105" s="41" t="n">
        <f aca="false">MIN(D94:BK94)</f>
        <v>-27.5</v>
      </c>
    </row>
    <row r="106" customFormat="false" ht="15" hidden="false" customHeight="false" outlineLevel="0" collapsed="false">
      <c r="A106" s="2" t="s">
        <v>353</v>
      </c>
      <c r="B106" s="43" t="n">
        <f aca="false">MIN(D95:BK95)</f>
        <v>-11.5023244782609</v>
      </c>
    </row>
    <row r="107" customFormat="false" ht="15" hidden="false" customHeight="false" outlineLevel="0" collapsed="false">
      <c r="A107" s="2" t="s">
        <v>354</v>
      </c>
      <c r="B107" s="35" t="n">
        <f aca="false">COUNTIF(D95:BK95,"&lt;"&amp;Inputs!$B$44)</f>
        <v>7</v>
      </c>
    </row>
    <row r="108" customFormat="false" ht="15" hidden="false" customHeight="false" outlineLevel="0" collapsed="false">
      <c r="A108" s="2" t="s">
        <v>355</v>
      </c>
      <c r="B108" s="43" t="n">
        <f aca="false">MIN(D96:BK96)</f>
        <v>16.4646446021739</v>
      </c>
    </row>
    <row r="109" customFormat="false" ht="15" hidden="false" customHeight="false" outlineLevel="0" collapsed="false">
      <c r="A109" s="2" t="s">
        <v>356</v>
      </c>
      <c r="B109" s="35" t="n">
        <f aca="false">COUNTIF(D96:BK96,"&lt;"&amp;Inputs!$B$44)</f>
        <v>0</v>
      </c>
    </row>
    <row r="112" customFormat="false" ht="15" hidden="false" customHeight="false" outlineLevel="0" collapsed="false">
      <c r="A112" s="8" t="s">
        <v>362</v>
      </c>
    </row>
    <row r="113" customFormat="false" ht="15" hidden="false" customHeight="false" outlineLevel="0" collapsed="false">
      <c r="A113" s="3" t="s">
        <v>333</v>
      </c>
      <c r="B113" s="45" t="n">
        <v>1.2</v>
      </c>
    </row>
    <row r="114" customFormat="false" ht="15" hidden="false" customHeight="false" outlineLevel="0" collapsed="false">
      <c r="A114" s="3" t="s">
        <v>334</v>
      </c>
      <c r="B114" s="45" t="n">
        <v>0</v>
      </c>
    </row>
    <row r="115" customFormat="false" ht="15" hidden="false" customHeight="false" outlineLevel="0" collapsed="false">
      <c r="A115" s="3" t="s">
        <v>335</v>
      </c>
      <c r="B115" s="45" t="n">
        <v>1</v>
      </c>
    </row>
    <row r="116" customFormat="false" ht="15" hidden="false" customHeight="false" outlineLevel="0" collapsed="false">
      <c r="A116" s="3" t="s">
        <v>336</v>
      </c>
      <c r="B116" s="45" t="n">
        <v>0</v>
      </c>
    </row>
    <row r="117" customFormat="false" ht="15" hidden="false" customHeight="false" outlineLevel="0" collapsed="false">
      <c r="A117" s="3" t="s">
        <v>337</v>
      </c>
      <c r="B117" s="45" t="n">
        <v>0</v>
      </c>
    </row>
    <row r="118" customFormat="false" ht="15" hidden="false" customHeight="false" outlineLevel="0" collapsed="false">
      <c r="A118" s="3" t="s">
        <v>338</v>
      </c>
      <c r="B118" s="3" t="n">
        <f aca="false">Inputs!$B$14+3+3*$B$114</f>
        <v>45</v>
      </c>
    </row>
    <row r="119" customFormat="false" ht="15" hidden="false" customHeight="false" outlineLevel="0" collapsed="false">
      <c r="A119" s="3" t="s">
        <v>339</v>
      </c>
      <c r="D119" s="33" t="n">
        <f aca="false">Source_Data!D$7+IF($B$117=1,IF(Source_Data!D$6=Inputs!$B$14,Source_Data!$C$8,0),Source_Data!D$8)</f>
        <v>0</v>
      </c>
      <c r="E119" s="33" t="n">
        <f aca="false">Source_Data!E$7+IF($B$117=1,IF(Source_Data!E$6=Inputs!$B$14,Source_Data!$C$8,0),Source_Data!E$8)</f>
        <v>0</v>
      </c>
      <c r="F119" s="33" t="n">
        <f aca="false">Source_Data!F$7+IF($B$117=1,IF(Source_Data!F$6=Inputs!$B$14,Source_Data!$C$8,0),Source_Data!F$8)</f>
        <v>15.1392375</v>
      </c>
      <c r="G119" s="33" t="n">
        <f aca="false">Source_Data!G$7+IF($B$117=1,IF(Source_Data!G$6=Inputs!$B$14,Source_Data!$C$8,0),Source_Data!G$8)</f>
        <v>30.278475</v>
      </c>
      <c r="H119" s="33" t="n">
        <f aca="false">Source_Data!H$7+IF($B$117=1,IF(Source_Data!H$6=Inputs!$B$14,Source_Data!$C$8,0),Source_Data!H$8)</f>
        <v>46.51200625</v>
      </c>
      <c r="I119" s="33" t="n">
        <f aca="false">Source_Data!I$7+IF($B$117=1,IF(Source_Data!I$6=Inputs!$B$14,Source_Data!$C$8,0),Source_Data!I$8)</f>
        <v>62.7455375</v>
      </c>
      <c r="J119" s="33" t="n">
        <f aca="false">Source_Data!J$7+IF($B$117=1,IF(Source_Data!J$6=Inputs!$B$14,Source_Data!$C$8,0),Source_Data!J$8)</f>
        <v>62.3657</v>
      </c>
      <c r="K119" s="33" t="n">
        <f aca="false">Source_Data!K$7+IF($B$117=1,IF(Source_Data!K$6=Inputs!$B$14,Source_Data!$C$8,0),Source_Data!K$8)</f>
        <v>63.473559375</v>
      </c>
      <c r="L119" s="33" t="n">
        <f aca="false">Source_Data!L$7+IF($B$117=1,IF(Source_Data!L$6=Inputs!$B$14,Source_Data!$C$8,0),Source_Data!L$8)</f>
        <v>80.3288484375</v>
      </c>
      <c r="M119" s="33" t="n">
        <f aca="false">Source_Data!M$7+IF($B$117=1,IF(Source_Data!M$6=Inputs!$B$14,Source_Data!$C$8,0),Source_Data!M$8)</f>
        <v>495.2538375</v>
      </c>
      <c r="N119" s="33" t="n">
        <f aca="false">Source_Data!N$7+IF($B$117=1,IF(Source_Data!N$6=Inputs!$B$14,Source_Data!$C$8,0),Source_Data!N$8)</f>
        <v>185.57775</v>
      </c>
      <c r="O119" s="33" t="n">
        <f aca="false">Source_Data!O$7+IF($B$117=1,IF(Source_Data!O$6=Inputs!$B$14,Source_Data!$C$8,0),Source_Data!O$8)</f>
        <v>176.534</v>
      </c>
      <c r="P119" s="33" t="n">
        <f aca="false">Source_Data!P$7+IF($B$117=1,IF(Source_Data!P$6=Inputs!$B$14,Source_Data!$C$8,0),Source_Data!P$8)</f>
        <v>97.31075</v>
      </c>
      <c r="Q119" s="33" t="n">
        <f aca="false">Source_Data!Q$7+IF($B$117=1,IF(Source_Data!Q$6=Inputs!$B$14,Source_Data!$C$8,0),Source_Data!Q$8)</f>
        <v>71.30996875</v>
      </c>
      <c r="R119" s="33" t="n">
        <f aca="false">Source_Data!R$7+IF($B$117=1,IF(Source_Data!R$6=Inputs!$B$14,Source_Data!$C$8,0),Source_Data!R$8)</f>
        <v>71.30996875</v>
      </c>
      <c r="S119" s="33" t="n">
        <f aca="false">Source_Data!S$7+IF($B$117=1,IF(Source_Data!S$6=Inputs!$B$14,Source_Data!$C$8,0),Source_Data!S$8)</f>
        <v>68.037035625</v>
      </c>
      <c r="T119" s="33" t="n">
        <f aca="false">Source_Data!T$7+IF($B$117=1,IF(Source_Data!T$6=Inputs!$B$14,Source_Data!$C$8,0),Source_Data!T$8)</f>
        <v>61.2266396875</v>
      </c>
      <c r="U119" s="33" t="n">
        <f aca="false">Source_Data!U$7+IF($B$117=1,IF(Source_Data!U$6=Inputs!$B$14,Source_Data!$C$8,0),Source_Data!U$8)</f>
        <v>59.7127159375</v>
      </c>
      <c r="V119" s="33" t="n">
        <f aca="false">Source_Data!V$7+IF($B$117=1,IF(Source_Data!V$6=Inputs!$B$14,Source_Data!$C$8,0),Source_Data!V$8)</f>
        <v>53.7239446875</v>
      </c>
      <c r="W119" s="33" t="n">
        <f aca="false">Source_Data!W$7+IF($B$117=1,IF(Source_Data!W$6=Inputs!$B$14,Source_Data!$C$8,0),Source_Data!W$8)</f>
        <v>49.3829446875</v>
      </c>
      <c r="X119" s="33" t="n">
        <f aca="false">Source_Data!X$7+IF($B$117=1,IF(Source_Data!X$6=Inputs!$B$14,Source_Data!$C$8,0),Source_Data!X$8)</f>
        <v>49.3829446875</v>
      </c>
      <c r="Y119" s="33" t="n">
        <f aca="false">Source_Data!Y$7+IF($B$117=1,IF(Source_Data!Y$6=Inputs!$B$14,Source_Data!$C$8,0),Source_Data!Y$8)</f>
        <v>42.1027259375</v>
      </c>
      <c r="Z119" s="33" t="n">
        <f aca="false">Source_Data!Z$7+IF($B$117=1,IF(Source_Data!Z$6=Inputs!$B$14,Source_Data!$C$8,0),Source_Data!Z$8)</f>
        <v>42.1027259375</v>
      </c>
      <c r="AA119" s="33" t="n">
        <f aca="false">Source_Data!AA$7+IF($B$117=1,IF(Source_Data!AA$6=Inputs!$B$14,Source_Data!$C$8,0),Source_Data!AA$8)</f>
        <v>42.1027259375</v>
      </c>
      <c r="AB119" s="33" t="n">
        <f aca="false">Source_Data!AB$7+IF($B$117=1,IF(Source_Data!AB$6=Inputs!$B$14,Source_Data!$C$8,0),Source_Data!AB$8)</f>
        <v>36.3147259375</v>
      </c>
      <c r="AC119" s="33" t="n">
        <f aca="false">Source_Data!AC$7+IF($B$117=1,IF(Source_Data!AC$6=Inputs!$B$14,Source_Data!$C$8,0),Source_Data!AC$8)</f>
        <v>33.0386275</v>
      </c>
      <c r="AD119" s="33" t="n">
        <f aca="false">Source_Data!AD$7+IF($B$117=1,IF(Source_Data!AD$6=Inputs!$B$14,Source_Data!$C$8,0),Source_Data!AD$8)</f>
        <v>29.43017125</v>
      </c>
      <c r="AE119" s="33" t="n">
        <f aca="false">Source_Data!AE$7+IF($B$117=1,IF(Source_Data!AE$6=Inputs!$B$14,Source_Data!$C$8,0),Source_Data!AE$8)</f>
        <v>25.08917125</v>
      </c>
      <c r="AF119" s="33" t="n">
        <f aca="false">Source_Data!AF$7+IF($B$117=1,IF(Source_Data!AF$6=Inputs!$B$14,Source_Data!$C$8,0),Source_Data!AF$8)</f>
        <v>25.08917125</v>
      </c>
      <c r="AG119" s="33" t="n">
        <f aca="false">Source_Data!AG$7+IF($B$117=1,IF(Source_Data!AG$6=Inputs!$B$14,Source_Data!$C$8,0),Source_Data!AG$8)</f>
        <v>25.08917125</v>
      </c>
      <c r="AH119" s="33" t="n">
        <f aca="false">Source_Data!AH$7+IF($B$117=1,IF(Source_Data!AH$6=Inputs!$B$14,Source_Data!$C$8,0),Source_Data!AH$8)</f>
        <v>25.08917125</v>
      </c>
      <c r="AI119" s="33" t="n">
        <f aca="false">Source_Data!AI$7+IF($B$117=1,IF(Source_Data!AI$6=Inputs!$B$14,Source_Data!$C$8,0),Source_Data!AI$8)</f>
        <v>25.08917125</v>
      </c>
      <c r="AJ119" s="33" t="n">
        <f aca="false">Source_Data!AJ$7+IF($B$117=1,IF(Source_Data!AJ$6=Inputs!$B$14,Source_Data!$C$8,0),Source_Data!AJ$8)</f>
        <v>25.08917125</v>
      </c>
      <c r="AK119" s="33" t="n">
        <f aca="false">Source_Data!AK$7+IF($B$117=1,IF(Source_Data!AK$6=Inputs!$B$14,Source_Data!$C$8,0),Source_Data!AK$8)</f>
        <v>22.905105625</v>
      </c>
      <c r="AL119" s="33" t="n">
        <f aca="false">Source_Data!AL$7+IF($B$117=1,IF(Source_Data!AL$6=Inputs!$B$14,Source_Data!$C$8,0),Source_Data!AL$8)</f>
        <v>22.905105625</v>
      </c>
      <c r="AM119" s="33" t="n">
        <f aca="false">Source_Data!AM$7+IF($B$117=1,IF(Source_Data!AM$6=Inputs!$B$14,Source_Data!$C$8,0),Source_Data!AM$8)</f>
        <v>18.739554375</v>
      </c>
      <c r="AN119" s="33" t="n">
        <f aca="false">Source_Data!AN$7+IF($B$117=1,IF(Source_Data!AN$6=Inputs!$B$14,Source_Data!$C$8,0),Source_Data!AN$8)</f>
        <v>9.6261675</v>
      </c>
      <c r="AO119" s="33" t="n">
        <f aca="false">Source_Data!AO$7+IF($B$117=1,IF(Source_Data!AO$6=Inputs!$B$14,Source_Data!$C$8,0),Source_Data!AO$8)</f>
        <v>3.5704725</v>
      </c>
      <c r="AP119" s="33" t="n">
        <f aca="false">Source_Data!AP$7+IF($B$117=1,IF(Source_Data!AP$6=Inputs!$B$14,Source_Data!$C$8,0),Source_Data!AP$8)</f>
        <v>0</v>
      </c>
      <c r="AQ119" s="33" t="n">
        <f aca="false">Source_Data!AQ$7+IF($B$117=1,IF(Source_Data!AQ$6=Inputs!$B$14,Source_Data!$C$8,0),Source_Data!AQ$8)</f>
        <v>0</v>
      </c>
      <c r="AR119" s="33" t="n">
        <f aca="false">Source_Data!AR$7+IF($B$117=1,IF(Source_Data!AR$6=Inputs!$B$14,Source_Data!$C$8,0),Source_Data!AR$8)</f>
        <v>0</v>
      </c>
      <c r="AS119" s="33" t="n">
        <f aca="false">Source_Data!AS$7+IF($B$117=1,IF(Source_Data!AS$6=Inputs!$B$14,Source_Data!$C$8,0),Source_Data!AS$8)</f>
        <v>0</v>
      </c>
      <c r="AT119" s="33" t="n">
        <f aca="false">Source_Data!AT$7+IF($B$117=1,IF(Source_Data!AT$6=Inputs!$B$14,Source_Data!$C$8,0),Source_Data!AT$8)</f>
        <v>0</v>
      </c>
      <c r="AU119" s="33" t="n">
        <f aca="false">Source_Data!AU$7+IF($B$117=1,IF(Source_Data!AU$6=Inputs!$B$14,Source_Data!$C$8,0),Source_Data!AU$8)</f>
        <v>0</v>
      </c>
      <c r="AV119" s="33" t="n">
        <f aca="false">Source_Data!AV$7+IF($B$117=1,IF(Source_Data!AV$6=Inputs!$B$14,Source_Data!$C$8,0),Source_Data!AV$8)</f>
        <v>0</v>
      </c>
      <c r="AW119" s="33" t="n">
        <f aca="false">Source_Data!AW$7+IF($B$117=1,IF(Source_Data!AW$6=Inputs!$B$14,Source_Data!$C$8,0),Source_Data!AW$8)</f>
        <v>0</v>
      </c>
      <c r="AX119" s="33" t="n">
        <f aca="false">Source_Data!AX$7+IF($B$117=1,IF(Source_Data!AX$6=Inputs!$B$14,Source_Data!$C$8,0),Source_Data!AX$8)</f>
        <v>0</v>
      </c>
      <c r="AY119" s="33" t="n">
        <f aca="false">Source_Data!AY$7+IF($B$117=1,IF(Source_Data!AY$6=Inputs!$B$14,Source_Data!$C$8,0),Source_Data!AY$8)</f>
        <v>0</v>
      </c>
      <c r="AZ119" s="33" t="n">
        <f aca="false">Source_Data!AZ$7+IF($B$117=1,IF(Source_Data!AZ$6=Inputs!$B$14,Source_Data!$C$8,0),Source_Data!AZ$8)</f>
        <v>0</v>
      </c>
      <c r="BA119" s="33" t="n">
        <f aca="false">Source_Data!BA$7+IF($B$117=1,IF(Source_Data!BA$6=Inputs!$B$14,Source_Data!$C$8,0),Source_Data!BA$8)</f>
        <v>0</v>
      </c>
      <c r="BB119" s="33" t="n">
        <f aca="false">Source_Data!BB$7+IF($B$117=1,IF(Source_Data!BB$6=Inputs!$B$14,Source_Data!$C$8,0),Source_Data!BB$8)</f>
        <v>0</v>
      </c>
      <c r="BC119" s="33" t="n">
        <f aca="false">Source_Data!BC$7+IF($B$117=1,IF(Source_Data!BC$6=Inputs!$B$14,Source_Data!$C$8,0),Source_Data!BC$8)</f>
        <v>0</v>
      </c>
      <c r="BD119" s="33" t="n">
        <f aca="false">Source_Data!BD$7+IF($B$117=1,IF(Source_Data!BD$6=Inputs!$B$14,Source_Data!$C$8,0),Source_Data!BD$8)</f>
        <v>0</v>
      </c>
      <c r="BE119" s="33" t="n">
        <f aca="false">Source_Data!BE$7+IF($B$117=1,IF(Source_Data!BE$6=Inputs!$B$14,Source_Data!$C$8,0),Source_Data!BE$8)</f>
        <v>0</v>
      </c>
      <c r="BF119" s="33" t="n">
        <f aca="false">Source_Data!BF$7+IF($B$117=1,IF(Source_Data!BF$6=Inputs!$B$14,Source_Data!$C$8,0),Source_Data!BF$8)</f>
        <v>0</v>
      </c>
      <c r="BG119" s="33" t="n">
        <f aca="false">Source_Data!BG$7+IF($B$117=1,IF(Source_Data!BG$6=Inputs!$B$14,Source_Data!$C$8,0),Source_Data!BG$8)</f>
        <v>0</v>
      </c>
      <c r="BH119" s="33" t="n">
        <f aca="false">Source_Data!BH$7+IF($B$117=1,IF(Source_Data!BH$6=Inputs!$B$14,Source_Data!$C$8,0),Source_Data!BH$8)</f>
        <v>0</v>
      </c>
      <c r="BI119" s="33" t="n">
        <f aca="false">Source_Data!BI$7+IF($B$117=1,IF(Source_Data!BI$6=Inputs!$B$14,Source_Data!$C$8,0),Source_Data!BI$8)</f>
        <v>0</v>
      </c>
      <c r="BJ119" s="33" t="n">
        <f aca="false">Source_Data!BJ$7+IF($B$117=1,IF(Source_Data!BJ$6=Inputs!$B$14,Source_Data!$C$8,0),Source_Data!BJ$8)</f>
        <v>0</v>
      </c>
      <c r="BK119" s="33" t="n">
        <f aca="false">Source_Data!BK$7+IF($B$117=1,IF(Source_Data!BK$6=Inputs!$B$14,Source_Data!$C$8,0),Source_Data!BK$8)</f>
        <v>0</v>
      </c>
    </row>
    <row r="120" customFormat="false" ht="15" hidden="false" customHeight="false" outlineLevel="0" collapsed="false">
      <c r="A120" s="3" t="s">
        <v>215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340</v>
      </c>
      <c r="D121" s="33" t="n">
        <f aca="false">Source_Data!D$9+Source_Data!D$10*IF(Source_Data!$C$10=0,0,MAX(0,Inputs!$B$20*Inputs!$B$23*$B$113-Inputs!$B$21)/Source_Data!$C$10)</f>
        <v>91.25</v>
      </c>
      <c r="E121" s="33" t="n">
        <f aca="false">Source_Data!E$9+Source_Data!E$10*IF(Source_Data!$C$10=0,0,MAX(0,Inputs!$B$20*Inputs!$B$23*$B$113-Inputs!$B$21)/Source_Data!$C$10)</f>
        <v>11.25</v>
      </c>
      <c r="F121" s="33" t="n">
        <f aca="false">Source_Data!F$9+Source_Data!F$10*IF(Source_Data!$C$10=0,0,MAX(0,Inputs!$B$20*Inputs!$B$23*$B$113-Inputs!$B$21)/Source_Data!$C$10)</f>
        <v>11.25</v>
      </c>
      <c r="G121" s="33" t="n">
        <f aca="false">Source_Data!G$9+Source_Data!G$10*IF(Source_Data!$C$10=0,0,MAX(0,Inputs!$B$20*Inputs!$B$23*$B$113-Inputs!$B$21)/Source_Data!$C$10)</f>
        <v>11.25</v>
      </c>
      <c r="H121" s="33" t="n">
        <f aca="false">Source_Data!H$9+Source_Data!H$10*IF(Source_Data!$C$10=0,0,MAX(0,Inputs!$B$20*Inputs!$B$23*$B$113-Inputs!$B$21)/Source_Data!$C$10)</f>
        <v>22.5</v>
      </c>
      <c r="I121" s="33" t="n">
        <f aca="false">Source_Data!I$9+Source_Data!I$10*IF(Source_Data!$C$10=0,0,MAX(0,Inputs!$B$20*Inputs!$B$23*$B$113-Inputs!$B$21)/Source_Data!$C$10)</f>
        <v>22.5</v>
      </c>
      <c r="J121" s="33" t="n">
        <f aca="false">Source_Data!J$9+Source_Data!J$10*IF(Source_Data!$C$10=0,0,MAX(0,Inputs!$B$20*Inputs!$B$23*$B$113-Inputs!$B$21)/Source_Data!$C$10)</f>
        <v>22.5</v>
      </c>
      <c r="K121" s="33" t="n">
        <f aca="false">Source_Data!K$9+Source_Data!K$10*IF(Source_Data!$C$10=0,0,MAX(0,Inputs!$B$20*Inputs!$B$23*$B$113-Inputs!$B$21)/Source_Data!$C$10)</f>
        <v>22.5</v>
      </c>
      <c r="L121" s="33" t="n">
        <f aca="false">Source_Data!L$9+Source_Data!L$10*IF(Source_Data!$C$10=0,0,MAX(0,Inputs!$B$20*Inputs!$B$23*$B$113-Inputs!$B$21)/Source_Data!$C$10)</f>
        <v>33.75</v>
      </c>
      <c r="M121" s="33" t="n">
        <f aca="false">Source_Data!M$9+Source_Data!M$10*IF(Source_Data!$C$10=0,0,MAX(0,Inputs!$B$20*Inputs!$B$23*$B$113-Inputs!$B$21)/Source_Data!$C$10)</f>
        <v>33.75</v>
      </c>
      <c r="N121" s="33" t="n">
        <f aca="false">Source_Data!N$9+Source_Data!N$10*IF(Source_Data!$C$10=0,0,MAX(0,Inputs!$B$20*Inputs!$B$23*$B$113-Inputs!$B$21)/Source_Data!$C$10)</f>
        <v>33.75</v>
      </c>
      <c r="O121" s="33" t="n">
        <f aca="false">Source_Data!O$9+Source_Data!O$10*IF(Source_Data!$C$10=0,0,MAX(0,Inputs!$B$20*Inputs!$B$23*$B$113-Inputs!$B$21)/Source_Data!$C$10)</f>
        <v>33.75</v>
      </c>
      <c r="P121" s="33" t="n">
        <f aca="false">Source_Data!P$9+Source_Data!P$10*IF(Source_Data!$C$10=0,0,MAX(0,Inputs!$B$20*Inputs!$B$23*$B$113-Inputs!$B$21)/Source_Data!$C$10)</f>
        <v>45</v>
      </c>
      <c r="Q121" s="33" t="n">
        <f aca="false">Source_Data!Q$9+Source_Data!Q$10*IF(Source_Data!$C$10=0,0,MAX(0,Inputs!$B$20*Inputs!$B$23*$B$113-Inputs!$B$21)/Source_Data!$C$10)</f>
        <v>45</v>
      </c>
      <c r="R121" s="33" t="n">
        <f aca="false">Source_Data!R$9+Source_Data!R$10*IF(Source_Data!$C$10=0,0,MAX(0,Inputs!$B$20*Inputs!$B$23*$B$113-Inputs!$B$21)/Source_Data!$C$10)</f>
        <v>45</v>
      </c>
      <c r="S121" s="33" t="n">
        <f aca="false">Source_Data!S$9+Source_Data!S$10*IF(Source_Data!$C$10=0,0,MAX(0,Inputs!$B$20*Inputs!$B$23*$B$113-Inputs!$B$21)/Source_Data!$C$10)</f>
        <v>45</v>
      </c>
      <c r="T121" s="33" t="n">
        <f aca="false">Source_Data!T$9+Source_Data!T$10*IF(Source_Data!$C$10=0,0,MAX(0,Inputs!$B$20*Inputs!$B$23*$B$113-Inputs!$B$21)/Source_Data!$C$10)</f>
        <v>45</v>
      </c>
      <c r="U121" s="33" t="n">
        <f aca="false">Source_Data!U$9+Source_Data!U$10*IF(Source_Data!$C$10=0,0,MAX(0,Inputs!$B$20*Inputs!$B$23*$B$113-Inputs!$B$21)/Source_Data!$C$10)</f>
        <v>45</v>
      </c>
      <c r="V121" s="33" t="n">
        <f aca="false">Source_Data!V$9+Source_Data!V$10*IF(Source_Data!$C$10=0,0,MAX(0,Inputs!$B$20*Inputs!$B$23*$B$113-Inputs!$B$21)/Source_Data!$C$10)</f>
        <v>45</v>
      </c>
      <c r="W121" s="33" t="n">
        <f aca="false">Source_Data!W$9+Source_Data!W$10*IF(Source_Data!$C$10=0,0,MAX(0,Inputs!$B$20*Inputs!$B$23*$B$113-Inputs!$B$21)/Source_Data!$C$10)</f>
        <v>45</v>
      </c>
      <c r="X121" s="33" t="n">
        <f aca="false">Source_Data!X$9+Source_Data!X$10*IF(Source_Data!$C$10=0,0,MAX(0,Inputs!$B$20*Inputs!$B$23*$B$113-Inputs!$B$21)/Source_Data!$C$10)</f>
        <v>22.5</v>
      </c>
      <c r="Y121" s="33" t="n">
        <f aca="false">Source_Data!Y$9+Source_Data!Y$10*IF(Source_Data!$C$10=0,0,MAX(0,Inputs!$B$20*Inputs!$B$23*$B$113-Inputs!$B$21)/Source_Data!$C$10)</f>
        <v>22.5</v>
      </c>
      <c r="Z121" s="33" t="n">
        <f aca="false">Source_Data!Z$9+Source_Data!Z$10*IF(Source_Data!$C$10=0,0,MAX(0,Inputs!$B$20*Inputs!$B$23*$B$113-Inputs!$B$21)/Source_Data!$C$10)</f>
        <v>22.5</v>
      </c>
      <c r="AA121" s="33" t="n">
        <f aca="false">Source_Data!AA$9+Source_Data!AA$10*IF(Source_Data!$C$10=0,0,MAX(0,Inputs!$B$20*Inputs!$B$23*$B$113-Inputs!$B$21)/Source_Data!$C$10)</f>
        <v>22.5</v>
      </c>
      <c r="AB121" s="33" t="n">
        <f aca="false">Source_Data!AB$9+Source_Data!AB$10*IF(Source_Data!$C$10=0,0,MAX(0,Inputs!$B$20*Inputs!$B$23*$B$113-Inputs!$B$21)/Source_Data!$C$10)</f>
        <v>0</v>
      </c>
      <c r="AC121" s="33" t="n">
        <f aca="false">Source_Data!AC$9+Source_Data!AC$10*IF(Source_Data!$C$10=0,0,MAX(0,Inputs!$B$20*Inputs!$B$23*$B$113-Inputs!$B$21)/Source_Data!$C$10)</f>
        <v>0</v>
      </c>
      <c r="AD121" s="33" t="n">
        <f aca="false">Source_Data!AD$9+Source_Data!AD$10*IF(Source_Data!$C$10=0,0,MAX(0,Inputs!$B$20*Inputs!$B$23*$B$113-Inputs!$B$21)/Source_Data!$C$10)</f>
        <v>0</v>
      </c>
      <c r="AE121" s="33" t="n">
        <f aca="false">Source_Data!AE$9+Source_Data!AE$10*IF(Source_Data!$C$10=0,0,MAX(0,Inputs!$B$20*Inputs!$B$23*$B$113-Inputs!$B$21)/Source_Data!$C$10)</f>
        <v>0</v>
      </c>
      <c r="AF121" s="33" t="n">
        <f aca="false">Source_Data!AF$9+Source_Data!AF$10*IF(Source_Data!$C$10=0,0,MAX(0,Inputs!$B$20*Inputs!$B$23*$B$113-Inputs!$B$21)/Source_Data!$C$10)</f>
        <v>222.165681538967</v>
      </c>
      <c r="AG121" s="33" t="n">
        <f aca="false">Source_Data!AG$9+Source_Data!AG$10*IF(Source_Data!$C$10=0,0,MAX(0,Inputs!$B$20*Inputs!$B$23*$B$113-Inputs!$B$21)/Source_Data!$C$10)</f>
        <v>22.6303346647167</v>
      </c>
      <c r="AH121" s="33" t="n">
        <f aca="false">Source_Data!AH$9+Source_Data!AH$10*IF(Source_Data!$C$10=0,0,MAX(0,Inputs!$B$20*Inputs!$B$23*$B$113-Inputs!$B$21)/Source_Data!$C$10)</f>
        <v>22.6303346647167</v>
      </c>
      <c r="AI121" s="33" t="n">
        <f aca="false">Source_Data!AI$9+Source_Data!AI$10*IF(Source_Data!$C$10=0,0,MAX(0,Inputs!$B$20*Inputs!$B$23*$B$113-Inputs!$B$21)/Source_Data!$C$10)</f>
        <v>22.6303346647167</v>
      </c>
      <c r="AJ121" s="33" t="n">
        <f aca="false">Source_Data!AJ$9+Source_Data!AJ$10*IF(Source_Data!$C$10=0,0,MAX(0,Inputs!$B$20*Inputs!$B$23*$B$113-Inputs!$B$21)/Source_Data!$C$10)</f>
        <v>22.6303346647167</v>
      </c>
      <c r="AK121" s="33" t="n">
        <f aca="false">Source_Data!AK$9+Source_Data!AK$10*IF(Source_Data!$C$10=0,0,MAX(0,Inputs!$B$20*Inputs!$B$23*$B$113-Inputs!$B$21)/Source_Data!$C$10)</f>
        <v>20.6603159849066</v>
      </c>
      <c r="AL121" s="33" t="n">
        <f aca="false">Source_Data!AL$9+Source_Data!AL$10*IF(Source_Data!$C$10=0,0,MAX(0,Inputs!$B$20*Inputs!$B$23*$B$113-Inputs!$B$21)/Source_Data!$C$10)</f>
        <v>20.6603159849066</v>
      </c>
      <c r="AM121" s="33" t="n">
        <f aca="false">Source_Data!AM$9+Source_Data!AM$10*IF(Source_Data!$C$10=0,0,MAX(0,Inputs!$B$20*Inputs!$B$23*$B$113-Inputs!$B$21)/Source_Data!$C$10)</f>
        <v>16.9030049955877</v>
      </c>
      <c r="AN121" s="33" t="n">
        <f aca="false">Source_Data!AN$9+Source_Data!AN$10*IF(Source_Data!$C$10=0,0,MAX(0,Inputs!$B$20*Inputs!$B$23*$B$113-Inputs!$B$21)/Source_Data!$C$10)</f>
        <v>8.68276556020633</v>
      </c>
      <c r="AO121" s="33" t="n">
        <f aca="false">Source_Data!AO$9+Source_Data!AO$10*IF(Source_Data!$C$10=0,0,MAX(0,Inputs!$B$20*Inputs!$B$23*$B$113-Inputs!$B$21)/Source_Data!$C$10)</f>
        <v>3.22055227655906</v>
      </c>
      <c r="AP121" s="33" t="n">
        <f aca="false">Source_Data!AP$9+Source_Data!AP$10*IF(Source_Data!$C$10=0,0,MAX(0,Inputs!$B$20*Inputs!$B$23*$B$113-Inputs!$B$21)/Source_Data!$C$10)</f>
        <v>0</v>
      </c>
      <c r="AQ121" s="33" t="n">
        <f aca="false">Source_Data!AQ$9+Source_Data!AQ$10*IF(Source_Data!$C$10=0,0,MAX(0,Inputs!$B$20*Inputs!$B$23*$B$113-Inputs!$B$21)/Source_Data!$C$10)</f>
        <v>0</v>
      </c>
      <c r="AR121" s="33" t="n">
        <f aca="false">Source_Data!AR$9+Source_Data!AR$10*IF(Source_Data!$C$10=0,0,MAX(0,Inputs!$B$20*Inputs!$B$23*$B$113-Inputs!$B$21)/Source_Data!$C$10)</f>
        <v>0</v>
      </c>
      <c r="AS121" s="33" t="n">
        <f aca="false">Source_Data!AS$9+Source_Data!AS$10*IF(Source_Data!$C$10=0,0,MAX(0,Inputs!$B$20*Inputs!$B$23*$B$113-Inputs!$B$21)/Source_Data!$C$10)</f>
        <v>0</v>
      </c>
      <c r="AT121" s="33" t="n">
        <f aca="false">Source_Data!AT$9+Source_Data!AT$10*IF(Source_Data!$C$10=0,0,MAX(0,Inputs!$B$20*Inputs!$B$23*$B$113-Inputs!$B$21)/Source_Data!$C$10)</f>
        <v>0</v>
      </c>
      <c r="AU121" s="33" t="n">
        <f aca="false">Source_Data!AU$9+Source_Data!AU$10*IF(Source_Data!$C$10=0,0,MAX(0,Inputs!$B$20*Inputs!$B$23*$B$113-Inputs!$B$21)/Source_Data!$C$10)</f>
        <v>0</v>
      </c>
      <c r="AV121" s="33" t="n">
        <f aca="false">Source_Data!AV$9+Source_Data!AV$10*IF(Source_Data!$C$10=0,0,MAX(0,Inputs!$B$20*Inputs!$B$23*$B$113-Inputs!$B$21)/Source_Data!$C$10)</f>
        <v>0</v>
      </c>
      <c r="AW121" s="33" t="n">
        <f aca="false">Source_Data!AW$9+Source_Data!AW$10*IF(Source_Data!$C$10=0,0,MAX(0,Inputs!$B$20*Inputs!$B$23*$B$113-Inputs!$B$21)/Source_Data!$C$10)</f>
        <v>0</v>
      </c>
      <c r="AX121" s="33" t="n">
        <f aca="false">Source_Data!AX$9+Source_Data!AX$10*IF(Source_Data!$C$10=0,0,MAX(0,Inputs!$B$20*Inputs!$B$23*$B$113-Inputs!$B$21)/Source_Data!$C$10)</f>
        <v>0</v>
      </c>
      <c r="AY121" s="33" t="n">
        <f aca="false">Source_Data!AY$9+Source_Data!AY$10*IF(Source_Data!$C$10=0,0,MAX(0,Inputs!$B$20*Inputs!$B$23*$B$113-Inputs!$B$21)/Source_Data!$C$10)</f>
        <v>0</v>
      </c>
      <c r="AZ121" s="33" t="n">
        <f aca="false">Source_Data!AZ$9+Source_Data!AZ$10*IF(Source_Data!$C$10=0,0,MAX(0,Inputs!$B$20*Inputs!$B$23*$B$113-Inputs!$B$21)/Source_Data!$C$10)</f>
        <v>0</v>
      </c>
      <c r="BA121" s="33" t="n">
        <f aca="false">Source_Data!BA$9+Source_Data!BA$10*IF(Source_Data!$C$10=0,0,MAX(0,Inputs!$B$20*Inputs!$B$23*$B$113-Inputs!$B$21)/Source_Data!$C$10)</f>
        <v>0</v>
      </c>
      <c r="BB121" s="33" t="n">
        <f aca="false">Source_Data!BB$9+Source_Data!BB$10*IF(Source_Data!$C$10=0,0,MAX(0,Inputs!$B$20*Inputs!$B$23*$B$113-Inputs!$B$21)/Source_Data!$C$10)</f>
        <v>0</v>
      </c>
      <c r="BC121" s="33" t="n">
        <f aca="false">Source_Data!BC$9+Source_Data!BC$10*IF(Source_Data!$C$10=0,0,MAX(0,Inputs!$B$20*Inputs!$B$23*$B$113-Inputs!$B$21)/Source_Data!$C$10)</f>
        <v>0</v>
      </c>
      <c r="BD121" s="33" t="n">
        <f aca="false">Source_Data!BD$9+Source_Data!BD$10*IF(Source_Data!$C$10=0,0,MAX(0,Inputs!$B$20*Inputs!$B$23*$B$113-Inputs!$B$21)/Source_Data!$C$10)</f>
        <v>0</v>
      </c>
      <c r="BE121" s="33" t="n">
        <f aca="false">Source_Data!BE$9+Source_Data!BE$10*IF(Source_Data!$C$10=0,0,MAX(0,Inputs!$B$20*Inputs!$B$23*$B$113-Inputs!$B$21)/Source_Data!$C$10)</f>
        <v>0</v>
      </c>
      <c r="BF121" s="33" t="n">
        <f aca="false">Source_Data!BF$9+Source_Data!BF$10*IF(Source_Data!$C$10=0,0,MAX(0,Inputs!$B$20*Inputs!$B$23*$B$113-Inputs!$B$21)/Source_Data!$C$10)</f>
        <v>0</v>
      </c>
      <c r="BG121" s="33" t="n">
        <f aca="false">Source_Data!BG$9+Source_Data!BG$10*IF(Source_Data!$C$10=0,0,MAX(0,Inputs!$B$20*Inputs!$B$23*$B$113-Inputs!$B$21)/Source_Data!$C$10)</f>
        <v>0</v>
      </c>
      <c r="BH121" s="33" t="n">
        <f aca="false">Source_Data!BH$9+Source_Data!BH$10*IF(Source_Data!$C$10=0,0,MAX(0,Inputs!$B$20*Inputs!$B$23*$B$113-Inputs!$B$21)/Source_Data!$C$10)</f>
        <v>0</v>
      </c>
      <c r="BI121" s="33" t="n">
        <f aca="false">Source_Data!BI$9+Source_Data!BI$10*IF(Source_Data!$C$10=0,0,MAX(0,Inputs!$B$20*Inputs!$B$23*$B$113-Inputs!$B$21)/Source_Data!$C$10)</f>
        <v>0</v>
      </c>
      <c r="BJ121" s="33" t="n">
        <f aca="false">Source_Data!BJ$9+Source_Data!BJ$10*IF(Source_Data!$C$10=0,0,MAX(0,Inputs!$B$20*Inputs!$B$23*$B$113-Inputs!$B$21)/Source_Data!$C$10)</f>
        <v>0</v>
      </c>
      <c r="BK121" s="33" t="n">
        <f aca="false">Source_Data!BK$9+Source_Data!BK$10*IF(Source_Data!$C$10=0,0,MAX(0,Inputs!$B$20*Inputs!$B$23*$B$113-Inputs!$B$21)/Source_Data!$C$10)</f>
        <v>0</v>
      </c>
    </row>
    <row r="122" customFormat="false" ht="15" hidden="false" customHeight="false" outlineLevel="0" collapsed="false">
      <c r="A122" s="3" t="s">
        <v>196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198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217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218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219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341</v>
      </c>
      <c r="D127" s="33" t="n">
        <f aca="false">IF(Source_Data!D$6=Inputs!$B$13,-Inputs!$B$7,0)+IF(AND(Source_Data!D$6&gt;=$B$118,Source_Data!D$6&lt;$B$118+3*Inputs!$B$17,MOD(Source_Data!D$6-$B$118,3)=0),Inputs!$B$8*Inputs!$B$7*Inputs!$B$35*$B$113*(1-Inputs!$B$16)/Inputs!$B$17,0)</f>
        <v>-75</v>
      </c>
      <c r="E127" s="33" t="n">
        <f aca="false">IF(Source_Data!E$6=Inputs!$B$13,-Inputs!$B$7,0)+IF(AND(Source_Data!E$6&gt;=$B$118,Source_Data!E$6&lt;$B$118+3*Inputs!$B$17,MOD(Source_Data!E$6-$B$118,3)=0),Inputs!$B$8*Inputs!$B$7*Inputs!$B$35*$B$113*(1-Inputs!$B$16)/Inputs!$B$17,0)</f>
        <v>0</v>
      </c>
      <c r="F127" s="33" t="n">
        <f aca="false">IF(Source_Data!F$6=Inputs!$B$13,-Inputs!$B$7,0)+IF(AND(Source_Data!F$6&gt;=$B$118,Source_Data!F$6&lt;$B$118+3*Inputs!$B$17,MOD(Source_Data!F$6-$B$118,3)=0),Inputs!$B$8*Inputs!$B$7*Inputs!$B$35*$B$113*(1-Inputs!$B$16)/Inputs!$B$17,0)</f>
        <v>0</v>
      </c>
      <c r="G127" s="33" t="n">
        <f aca="false">IF(Source_Data!G$6=Inputs!$B$13,-Inputs!$B$7,0)+IF(AND(Source_Data!G$6&gt;=$B$118,Source_Data!G$6&lt;$B$118+3*Inputs!$B$17,MOD(Source_Data!G$6-$B$118,3)=0),Inputs!$B$8*Inputs!$B$7*Inputs!$B$35*$B$113*(1-Inputs!$B$16)/Inputs!$B$17,0)</f>
        <v>0</v>
      </c>
      <c r="H127" s="33" t="n">
        <f aca="false">IF(Source_Data!H$6=Inputs!$B$13,-Inputs!$B$7,0)+IF(AND(Source_Data!H$6&gt;=$B$118,Source_Data!H$6&lt;$B$118+3*Inputs!$B$17,MOD(Source_Data!H$6-$B$118,3)=0),Inputs!$B$8*Inputs!$B$7*Inputs!$B$35*$B$113*(1-Inputs!$B$16)/Inputs!$B$17,0)</f>
        <v>0</v>
      </c>
      <c r="I127" s="33" t="n">
        <f aca="false">IF(Source_Data!I$6=Inputs!$B$13,-Inputs!$B$7,0)+IF(AND(Source_Data!I$6&gt;=$B$118,Source_Data!I$6&lt;$B$118+3*Inputs!$B$17,MOD(Source_Data!I$6-$B$118,3)=0),Inputs!$B$8*Inputs!$B$7*Inputs!$B$35*$B$113*(1-Inputs!$B$16)/Inputs!$B$17,0)</f>
        <v>0</v>
      </c>
      <c r="J127" s="33" t="n">
        <f aca="false">IF(Source_Data!J$6=Inputs!$B$13,-Inputs!$B$7,0)+IF(AND(Source_Data!J$6&gt;=$B$118,Source_Data!J$6&lt;$B$118+3*Inputs!$B$17,MOD(Source_Data!J$6-$B$118,3)=0),Inputs!$B$8*Inputs!$B$7*Inputs!$B$35*$B$113*(1-Inputs!$B$16)/Inputs!$B$17,0)</f>
        <v>0</v>
      </c>
      <c r="K127" s="33" t="n">
        <f aca="false">IF(Source_Data!K$6=Inputs!$B$13,-Inputs!$B$7,0)+IF(AND(Source_Data!K$6&gt;=$B$118,Source_Data!K$6&lt;$B$118+3*Inputs!$B$17,MOD(Source_Data!K$6-$B$118,3)=0),Inputs!$B$8*Inputs!$B$7*Inputs!$B$35*$B$113*(1-Inputs!$B$16)/Inputs!$B$17,0)</f>
        <v>0</v>
      </c>
      <c r="L127" s="33" t="n">
        <f aca="false">IF(Source_Data!L$6=Inputs!$B$13,-Inputs!$B$7,0)+IF(AND(Source_Data!L$6&gt;=$B$118,Source_Data!L$6&lt;$B$118+3*Inputs!$B$17,MOD(Source_Data!L$6-$B$118,3)=0),Inputs!$B$8*Inputs!$B$7*Inputs!$B$35*$B$113*(1-Inputs!$B$16)/Inputs!$B$17,0)</f>
        <v>0</v>
      </c>
      <c r="M127" s="33" t="n">
        <f aca="false">IF(Source_Data!M$6=Inputs!$B$13,-Inputs!$B$7,0)+IF(AND(Source_Data!M$6&gt;=$B$118,Source_Data!M$6&lt;$B$118+3*Inputs!$B$17,MOD(Source_Data!M$6-$B$118,3)=0),Inputs!$B$8*Inputs!$B$7*Inputs!$B$35*$B$113*(1-Inputs!$B$16)/Inputs!$B$17,0)</f>
        <v>0</v>
      </c>
      <c r="N127" s="33" t="n">
        <f aca="false">IF(Source_Data!N$6=Inputs!$B$13,-Inputs!$B$7,0)+IF(AND(Source_Data!N$6&gt;=$B$118,Source_Data!N$6&lt;$B$118+3*Inputs!$B$17,MOD(Source_Data!N$6-$B$118,3)=0),Inputs!$B$8*Inputs!$B$7*Inputs!$B$35*$B$113*(1-Inputs!$B$16)/Inputs!$B$17,0)</f>
        <v>0</v>
      </c>
      <c r="O127" s="33" t="n">
        <f aca="false">IF(Source_Data!O$6=Inputs!$B$13,-Inputs!$B$7,0)+IF(AND(Source_Data!O$6&gt;=$B$118,Source_Data!O$6&lt;$B$118+3*Inputs!$B$17,MOD(Source_Data!O$6-$B$118,3)=0),Inputs!$B$8*Inputs!$B$7*Inputs!$B$35*$B$113*(1-Inputs!$B$16)/Inputs!$B$17,0)</f>
        <v>0</v>
      </c>
      <c r="P127" s="33" t="n">
        <f aca="false">IF(Source_Data!P$6=Inputs!$B$13,-Inputs!$B$7,0)+IF(AND(Source_Data!P$6&gt;=$B$118,Source_Data!P$6&lt;$B$118+3*Inputs!$B$17,MOD(Source_Data!P$6-$B$118,3)=0),Inputs!$B$8*Inputs!$B$7*Inputs!$B$35*$B$113*(1-Inputs!$B$16)/Inputs!$B$17,0)</f>
        <v>0</v>
      </c>
      <c r="Q127" s="33" t="n">
        <f aca="false">IF(Source_Data!Q$6=Inputs!$B$13,-Inputs!$B$7,0)+IF(AND(Source_Data!Q$6&gt;=$B$118,Source_Data!Q$6&lt;$B$118+3*Inputs!$B$17,MOD(Source_Data!Q$6-$B$118,3)=0),Inputs!$B$8*Inputs!$B$7*Inputs!$B$35*$B$113*(1-Inputs!$B$16)/Inputs!$B$17,0)</f>
        <v>0</v>
      </c>
      <c r="R127" s="33" t="n">
        <f aca="false">IF(Source_Data!R$6=Inputs!$B$13,-Inputs!$B$7,0)+IF(AND(Source_Data!R$6&gt;=$B$118,Source_Data!R$6&lt;$B$118+3*Inputs!$B$17,MOD(Source_Data!R$6-$B$118,3)=0),Inputs!$B$8*Inputs!$B$7*Inputs!$B$35*$B$113*(1-Inputs!$B$16)/Inputs!$B$17,0)</f>
        <v>0</v>
      </c>
      <c r="S127" s="33" t="n">
        <f aca="false">IF(Source_Data!S$6=Inputs!$B$13,-Inputs!$B$7,0)+IF(AND(Source_Data!S$6&gt;=$B$118,Source_Data!S$6&lt;$B$118+3*Inputs!$B$17,MOD(Source_Data!S$6-$B$118,3)=0),Inputs!$B$8*Inputs!$B$7*Inputs!$B$35*$B$113*(1-Inputs!$B$16)/Inputs!$B$17,0)</f>
        <v>0</v>
      </c>
      <c r="T127" s="33" t="n">
        <f aca="false">IF(Source_Data!T$6=Inputs!$B$13,-Inputs!$B$7,0)+IF(AND(Source_Data!T$6&gt;=$B$118,Source_Data!T$6&lt;$B$118+3*Inputs!$B$17,MOD(Source_Data!T$6-$B$118,3)=0),Inputs!$B$8*Inputs!$B$7*Inputs!$B$35*$B$113*(1-Inputs!$B$16)/Inputs!$B$17,0)</f>
        <v>62.5806451612903</v>
      </c>
      <c r="U127" s="33" t="n">
        <f aca="false">IF(Source_Data!U$6=Inputs!$B$13,-Inputs!$B$7,0)+IF(AND(Source_Data!U$6&gt;=$B$118,Source_Data!U$6&lt;$B$118+3*Inputs!$B$17,MOD(Source_Data!U$6-$B$118,3)=0),Inputs!$B$8*Inputs!$B$7*Inputs!$B$35*$B$113*(1-Inputs!$B$16)/Inputs!$B$17,0)</f>
        <v>62.5806451612903</v>
      </c>
      <c r="V127" s="33" t="n">
        <f aca="false">IF(Source_Data!V$6=Inputs!$B$13,-Inputs!$B$7,0)+IF(AND(Source_Data!V$6&gt;=$B$118,Source_Data!V$6&lt;$B$118+3*Inputs!$B$17,MOD(Source_Data!V$6-$B$118,3)=0),Inputs!$B$8*Inputs!$B$7*Inputs!$B$35*$B$113*(1-Inputs!$B$16)/Inputs!$B$17,0)</f>
        <v>62.5806451612903</v>
      </c>
      <c r="W127" s="33" t="n">
        <f aca="false">IF(Source_Data!W$6=Inputs!$B$13,-Inputs!$B$7,0)+IF(AND(Source_Data!W$6&gt;=$B$118,Source_Data!W$6&lt;$B$118+3*Inputs!$B$17,MOD(Source_Data!W$6-$B$118,3)=0),Inputs!$B$8*Inputs!$B$7*Inputs!$B$35*$B$113*(1-Inputs!$B$16)/Inputs!$B$17,0)</f>
        <v>62.5806451612903</v>
      </c>
      <c r="X127" s="33" t="n">
        <f aca="false">IF(Source_Data!X$6=Inputs!$B$13,-Inputs!$B$7,0)+IF(AND(Source_Data!X$6&gt;=$B$118,Source_Data!X$6&lt;$B$118+3*Inputs!$B$17,MOD(Source_Data!X$6-$B$118,3)=0),Inputs!$B$8*Inputs!$B$7*Inputs!$B$35*$B$113*(1-Inputs!$B$16)/Inputs!$B$17,0)</f>
        <v>0</v>
      </c>
      <c r="Y127" s="33" t="n">
        <f aca="false">IF(Source_Data!Y$6=Inputs!$B$13,-Inputs!$B$7,0)+IF(AND(Source_Data!Y$6&gt;=$B$118,Source_Data!Y$6&lt;$B$118+3*Inputs!$B$17,MOD(Source_Data!Y$6-$B$118,3)=0),Inputs!$B$8*Inputs!$B$7*Inputs!$B$35*$B$113*(1-Inputs!$B$16)/Inputs!$B$17,0)</f>
        <v>0</v>
      </c>
      <c r="Z127" s="33" t="n">
        <f aca="false">IF(Source_Data!Z$6=Inputs!$B$13,-Inputs!$B$7,0)+IF(AND(Source_Data!Z$6&gt;=$B$118,Source_Data!Z$6&lt;$B$118+3*Inputs!$B$17,MOD(Source_Data!Z$6-$B$118,3)=0),Inputs!$B$8*Inputs!$B$7*Inputs!$B$35*$B$113*(1-Inputs!$B$16)/Inputs!$B$17,0)</f>
        <v>0</v>
      </c>
      <c r="AA127" s="33" t="n">
        <f aca="false">IF(Source_Data!AA$6=Inputs!$B$13,-Inputs!$B$7,0)+IF(AND(Source_Data!AA$6&gt;=$B$118,Source_Data!AA$6&lt;$B$118+3*Inputs!$B$17,MOD(Source_Data!AA$6-$B$118,3)=0),Inputs!$B$8*Inputs!$B$7*Inputs!$B$35*$B$113*(1-Inputs!$B$16)/Inputs!$B$17,0)</f>
        <v>0</v>
      </c>
      <c r="AB127" s="33" t="n">
        <f aca="false">IF(Source_Data!AB$6=Inputs!$B$13,-Inputs!$B$7,0)+IF(AND(Source_Data!AB$6&gt;=$B$118,Source_Data!AB$6&lt;$B$118+3*Inputs!$B$17,MOD(Source_Data!AB$6-$B$118,3)=0),Inputs!$B$8*Inputs!$B$7*Inputs!$B$35*$B$113*(1-Inputs!$B$16)/Inputs!$B$17,0)</f>
        <v>0</v>
      </c>
      <c r="AC127" s="33" t="n">
        <f aca="false">IF(Source_Data!AC$6=Inputs!$B$13,-Inputs!$B$7,0)+IF(AND(Source_Data!AC$6&gt;=$B$118,Source_Data!AC$6&lt;$B$118+3*Inputs!$B$17,MOD(Source_Data!AC$6-$B$118,3)=0),Inputs!$B$8*Inputs!$B$7*Inputs!$B$35*$B$113*(1-Inputs!$B$16)/Inputs!$B$17,0)</f>
        <v>0</v>
      </c>
      <c r="AD127" s="33" t="n">
        <f aca="false">IF(Source_Data!AD$6=Inputs!$B$13,-Inputs!$B$7,0)+IF(AND(Source_Data!AD$6&gt;=$B$118,Source_Data!AD$6&lt;$B$118+3*Inputs!$B$17,MOD(Source_Data!AD$6-$B$118,3)=0),Inputs!$B$8*Inputs!$B$7*Inputs!$B$35*$B$113*(1-Inputs!$B$16)/Inputs!$B$17,0)</f>
        <v>0</v>
      </c>
      <c r="AE127" s="33" t="n">
        <f aca="false">IF(Source_Data!AE$6=Inputs!$B$13,-Inputs!$B$7,0)+IF(AND(Source_Data!AE$6&gt;=$B$118,Source_Data!AE$6&lt;$B$118+3*Inputs!$B$17,MOD(Source_Data!AE$6-$B$118,3)=0),Inputs!$B$8*Inputs!$B$7*Inputs!$B$35*$B$113*(1-Inputs!$B$16)/Inputs!$B$17,0)</f>
        <v>0</v>
      </c>
      <c r="AF127" s="33" t="n">
        <f aca="false">IF(Source_Data!AF$6=Inputs!$B$13,-Inputs!$B$7,0)+IF(AND(Source_Data!AF$6&gt;=$B$118,Source_Data!AF$6&lt;$B$118+3*Inputs!$B$17,MOD(Source_Data!AF$6-$B$118,3)=0),Inputs!$B$8*Inputs!$B$7*Inputs!$B$35*$B$113*(1-Inputs!$B$16)/Inputs!$B$17,0)</f>
        <v>0</v>
      </c>
      <c r="AG127" s="33" t="n">
        <f aca="false">IF(Source_Data!AG$6=Inputs!$B$13,-Inputs!$B$7,0)+IF(AND(Source_Data!AG$6&gt;=$B$118,Source_Data!AG$6&lt;$B$118+3*Inputs!$B$17,MOD(Source_Data!AG$6-$B$118,3)=0),Inputs!$B$8*Inputs!$B$7*Inputs!$B$35*$B$113*(1-Inputs!$B$16)/Inputs!$B$17,0)</f>
        <v>0</v>
      </c>
      <c r="AH127" s="33" t="n">
        <f aca="false">IF(Source_Data!AH$6=Inputs!$B$13,-Inputs!$B$7,0)+IF(AND(Source_Data!AH$6&gt;=$B$118,Source_Data!AH$6&lt;$B$118+3*Inputs!$B$17,MOD(Source_Data!AH$6-$B$118,3)=0),Inputs!$B$8*Inputs!$B$7*Inputs!$B$35*$B$113*(1-Inputs!$B$16)/Inputs!$B$17,0)</f>
        <v>0</v>
      </c>
      <c r="AI127" s="33" t="n">
        <f aca="false">IF(Source_Data!AI$6=Inputs!$B$13,-Inputs!$B$7,0)+IF(AND(Source_Data!AI$6&gt;=$B$118,Source_Data!AI$6&lt;$B$118+3*Inputs!$B$17,MOD(Source_Data!AI$6-$B$118,3)=0),Inputs!$B$8*Inputs!$B$7*Inputs!$B$35*$B$113*(1-Inputs!$B$16)/Inputs!$B$17,0)</f>
        <v>0</v>
      </c>
      <c r="AJ127" s="33" t="n">
        <f aca="false">IF(Source_Data!AJ$6=Inputs!$B$13,-Inputs!$B$7,0)+IF(AND(Source_Data!AJ$6&gt;=$B$118,Source_Data!AJ$6&lt;$B$118+3*Inputs!$B$17,MOD(Source_Data!AJ$6-$B$118,3)=0),Inputs!$B$8*Inputs!$B$7*Inputs!$B$35*$B$113*(1-Inputs!$B$16)/Inputs!$B$17,0)</f>
        <v>0</v>
      </c>
      <c r="AK127" s="33" t="n">
        <f aca="false">IF(Source_Data!AK$6=Inputs!$B$13,-Inputs!$B$7,0)+IF(AND(Source_Data!AK$6&gt;=$B$118,Source_Data!AK$6&lt;$B$118+3*Inputs!$B$17,MOD(Source_Data!AK$6-$B$118,3)=0),Inputs!$B$8*Inputs!$B$7*Inputs!$B$35*$B$113*(1-Inputs!$B$16)/Inputs!$B$17,0)</f>
        <v>0</v>
      </c>
      <c r="AL127" s="33" t="n">
        <f aca="false">IF(Source_Data!AL$6=Inputs!$B$13,-Inputs!$B$7,0)+IF(AND(Source_Data!AL$6&gt;=$B$118,Source_Data!AL$6&lt;$B$118+3*Inputs!$B$17,MOD(Source_Data!AL$6-$B$118,3)=0),Inputs!$B$8*Inputs!$B$7*Inputs!$B$35*$B$113*(1-Inputs!$B$16)/Inputs!$B$17,0)</f>
        <v>0</v>
      </c>
      <c r="AM127" s="33" t="n">
        <f aca="false">IF(Source_Data!AM$6=Inputs!$B$13,-Inputs!$B$7,0)+IF(AND(Source_Data!AM$6&gt;=$B$118,Source_Data!AM$6&lt;$B$118+3*Inputs!$B$17,MOD(Source_Data!AM$6-$B$118,3)=0),Inputs!$B$8*Inputs!$B$7*Inputs!$B$35*$B$113*(1-Inputs!$B$16)/Inputs!$B$17,0)</f>
        <v>0</v>
      </c>
      <c r="AN127" s="33" t="n">
        <f aca="false">IF(Source_Data!AN$6=Inputs!$B$13,-Inputs!$B$7,0)+IF(AND(Source_Data!AN$6&gt;=$B$118,Source_Data!AN$6&lt;$B$118+3*Inputs!$B$17,MOD(Source_Data!AN$6-$B$118,3)=0),Inputs!$B$8*Inputs!$B$7*Inputs!$B$35*$B$113*(1-Inputs!$B$16)/Inputs!$B$17,0)</f>
        <v>0</v>
      </c>
      <c r="AO127" s="33" t="n">
        <f aca="false">IF(Source_Data!AO$6=Inputs!$B$13,-Inputs!$B$7,0)+IF(AND(Source_Data!AO$6&gt;=$B$118,Source_Data!AO$6&lt;$B$118+3*Inputs!$B$17,MOD(Source_Data!AO$6-$B$118,3)=0),Inputs!$B$8*Inputs!$B$7*Inputs!$B$35*$B$113*(1-Inputs!$B$16)/Inputs!$B$17,0)</f>
        <v>0</v>
      </c>
      <c r="AP127" s="33" t="n">
        <f aca="false">IF(Source_Data!AP$6=Inputs!$B$13,-Inputs!$B$7,0)+IF(AND(Source_Data!AP$6&gt;=$B$118,Source_Data!AP$6&lt;$B$118+3*Inputs!$B$17,MOD(Source_Data!AP$6-$B$118,3)=0),Inputs!$B$8*Inputs!$B$7*Inputs!$B$35*$B$113*(1-Inputs!$B$16)/Inputs!$B$17,0)</f>
        <v>0</v>
      </c>
      <c r="AQ127" s="33" t="n">
        <f aca="false">IF(Source_Data!AQ$6=Inputs!$B$13,-Inputs!$B$7,0)+IF(AND(Source_Data!AQ$6&gt;=$B$118,Source_Data!AQ$6&lt;$B$118+3*Inputs!$B$17,MOD(Source_Data!AQ$6-$B$118,3)=0),Inputs!$B$8*Inputs!$B$7*Inputs!$B$35*$B$113*(1-Inputs!$B$16)/Inputs!$B$17,0)</f>
        <v>0</v>
      </c>
      <c r="AR127" s="33" t="n">
        <f aca="false">IF(Source_Data!AR$6=Inputs!$B$13,-Inputs!$B$7,0)+IF(AND(Source_Data!AR$6&gt;=$B$118,Source_Data!AR$6&lt;$B$118+3*Inputs!$B$17,MOD(Source_Data!AR$6-$B$118,3)=0),Inputs!$B$8*Inputs!$B$7*Inputs!$B$35*$B$113*(1-Inputs!$B$16)/Inputs!$B$17,0)</f>
        <v>0</v>
      </c>
      <c r="AS127" s="33" t="n">
        <f aca="false">IF(Source_Data!AS$6=Inputs!$B$13,-Inputs!$B$7,0)+IF(AND(Source_Data!AS$6&gt;=$B$118,Source_Data!AS$6&lt;$B$118+3*Inputs!$B$17,MOD(Source_Data!AS$6-$B$118,3)=0),Inputs!$B$8*Inputs!$B$7*Inputs!$B$35*$B$113*(1-Inputs!$B$16)/Inputs!$B$17,0)</f>
        <v>0</v>
      </c>
      <c r="AT127" s="33" t="n">
        <f aca="false">IF(Source_Data!AT$6=Inputs!$B$13,-Inputs!$B$7,0)+IF(AND(Source_Data!AT$6&gt;=$B$118,Source_Data!AT$6&lt;$B$118+3*Inputs!$B$17,MOD(Source_Data!AT$6-$B$118,3)=0),Inputs!$B$8*Inputs!$B$7*Inputs!$B$35*$B$113*(1-Inputs!$B$16)/Inputs!$B$17,0)</f>
        <v>0</v>
      </c>
      <c r="AU127" s="33" t="n">
        <f aca="false">IF(Source_Data!AU$6=Inputs!$B$13,-Inputs!$B$7,0)+IF(AND(Source_Data!AU$6&gt;=$B$118,Source_Data!AU$6&lt;$B$118+3*Inputs!$B$17,MOD(Source_Data!AU$6-$B$118,3)=0),Inputs!$B$8*Inputs!$B$7*Inputs!$B$35*$B$113*(1-Inputs!$B$16)/Inputs!$B$17,0)</f>
        <v>0</v>
      </c>
      <c r="AV127" s="33" t="n">
        <f aca="false">IF(Source_Data!AV$6=Inputs!$B$13,-Inputs!$B$7,0)+IF(AND(Source_Data!AV$6&gt;=$B$118,Source_Data!AV$6&lt;$B$118+3*Inputs!$B$17,MOD(Source_Data!AV$6-$B$118,3)=0),Inputs!$B$8*Inputs!$B$7*Inputs!$B$35*$B$113*(1-Inputs!$B$16)/Inputs!$B$17,0)</f>
        <v>0</v>
      </c>
      <c r="AW127" s="33" t="n">
        <f aca="false">IF(Source_Data!AW$6=Inputs!$B$13,-Inputs!$B$7,0)+IF(AND(Source_Data!AW$6&gt;=$B$118,Source_Data!AW$6&lt;$B$118+3*Inputs!$B$17,MOD(Source_Data!AW$6-$B$118,3)=0),Inputs!$B$8*Inputs!$B$7*Inputs!$B$35*$B$113*(1-Inputs!$B$16)/Inputs!$B$17,0)</f>
        <v>0</v>
      </c>
      <c r="AX127" s="33" t="n">
        <f aca="false">IF(Source_Data!AX$6=Inputs!$B$13,-Inputs!$B$7,0)+IF(AND(Source_Data!AX$6&gt;=$B$118,Source_Data!AX$6&lt;$B$118+3*Inputs!$B$17,MOD(Source_Data!AX$6-$B$118,3)=0),Inputs!$B$8*Inputs!$B$7*Inputs!$B$35*$B$113*(1-Inputs!$B$16)/Inputs!$B$17,0)</f>
        <v>0</v>
      </c>
      <c r="AY127" s="33" t="n">
        <f aca="false">IF(Source_Data!AY$6=Inputs!$B$13,-Inputs!$B$7,0)+IF(AND(Source_Data!AY$6&gt;=$B$118,Source_Data!AY$6&lt;$B$118+3*Inputs!$B$17,MOD(Source_Data!AY$6-$B$118,3)=0),Inputs!$B$8*Inputs!$B$7*Inputs!$B$35*$B$113*(1-Inputs!$B$16)/Inputs!$B$17,0)</f>
        <v>0</v>
      </c>
      <c r="AZ127" s="33" t="n">
        <f aca="false">IF(Source_Data!AZ$6=Inputs!$B$13,-Inputs!$B$7,0)+IF(AND(Source_Data!AZ$6&gt;=$B$118,Source_Data!AZ$6&lt;$B$118+3*Inputs!$B$17,MOD(Source_Data!AZ$6-$B$118,3)=0),Inputs!$B$8*Inputs!$B$7*Inputs!$B$35*$B$113*(1-Inputs!$B$16)/Inputs!$B$17,0)</f>
        <v>0</v>
      </c>
      <c r="BA127" s="33" t="n">
        <f aca="false">IF(Source_Data!BA$6=Inputs!$B$13,-Inputs!$B$7,0)+IF(AND(Source_Data!BA$6&gt;=$B$118,Source_Data!BA$6&lt;$B$118+3*Inputs!$B$17,MOD(Source_Data!BA$6-$B$118,3)=0),Inputs!$B$8*Inputs!$B$7*Inputs!$B$35*$B$113*(1-Inputs!$B$16)/Inputs!$B$17,0)</f>
        <v>0</v>
      </c>
      <c r="BB127" s="33" t="n">
        <f aca="false">IF(Source_Data!BB$6=Inputs!$B$13,-Inputs!$B$7,0)+IF(AND(Source_Data!BB$6&gt;=$B$118,Source_Data!BB$6&lt;$B$118+3*Inputs!$B$17,MOD(Source_Data!BB$6-$B$118,3)=0),Inputs!$B$8*Inputs!$B$7*Inputs!$B$35*$B$113*(1-Inputs!$B$16)/Inputs!$B$17,0)</f>
        <v>0</v>
      </c>
      <c r="BC127" s="33" t="n">
        <f aca="false">IF(Source_Data!BC$6=Inputs!$B$13,-Inputs!$B$7,0)+IF(AND(Source_Data!BC$6&gt;=$B$118,Source_Data!BC$6&lt;$B$118+3*Inputs!$B$17,MOD(Source_Data!BC$6-$B$118,3)=0),Inputs!$B$8*Inputs!$B$7*Inputs!$B$35*$B$113*(1-Inputs!$B$16)/Inputs!$B$17,0)</f>
        <v>0</v>
      </c>
      <c r="BD127" s="33" t="n">
        <f aca="false">IF(Source_Data!BD$6=Inputs!$B$13,-Inputs!$B$7,0)+IF(AND(Source_Data!BD$6&gt;=$B$118,Source_Data!BD$6&lt;$B$118+3*Inputs!$B$17,MOD(Source_Data!BD$6-$B$118,3)=0),Inputs!$B$8*Inputs!$B$7*Inputs!$B$35*$B$113*(1-Inputs!$B$16)/Inputs!$B$17,0)</f>
        <v>0</v>
      </c>
      <c r="BE127" s="33" t="n">
        <f aca="false">IF(Source_Data!BE$6=Inputs!$B$13,-Inputs!$B$7,0)+IF(AND(Source_Data!BE$6&gt;=$B$118,Source_Data!BE$6&lt;$B$118+3*Inputs!$B$17,MOD(Source_Data!BE$6-$B$118,3)=0),Inputs!$B$8*Inputs!$B$7*Inputs!$B$35*$B$113*(1-Inputs!$B$16)/Inputs!$B$17,0)</f>
        <v>0</v>
      </c>
      <c r="BF127" s="33" t="n">
        <f aca="false">IF(Source_Data!BF$6=Inputs!$B$13,-Inputs!$B$7,0)+IF(AND(Source_Data!BF$6&gt;=$B$118,Source_Data!BF$6&lt;$B$118+3*Inputs!$B$17,MOD(Source_Data!BF$6-$B$118,3)=0),Inputs!$B$8*Inputs!$B$7*Inputs!$B$35*$B$113*(1-Inputs!$B$16)/Inputs!$B$17,0)</f>
        <v>0</v>
      </c>
      <c r="BG127" s="33" t="n">
        <f aca="false">IF(Source_Data!BG$6=Inputs!$B$13,-Inputs!$B$7,0)+IF(AND(Source_Data!BG$6&gt;=$B$118,Source_Data!BG$6&lt;$B$118+3*Inputs!$B$17,MOD(Source_Data!BG$6-$B$118,3)=0),Inputs!$B$8*Inputs!$B$7*Inputs!$B$35*$B$113*(1-Inputs!$B$16)/Inputs!$B$17,0)</f>
        <v>0</v>
      </c>
      <c r="BH127" s="33" t="n">
        <f aca="false">IF(Source_Data!BH$6=Inputs!$B$13,-Inputs!$B$7,0)+IF(AND(Source_Data!BH$6&gt;=$B$118,Source_Data!BH$6&lt;$B$118+3*Inputs!$B$17,MOD(Source_Data!BH$6-$B$118,3)=0),Inputs!$B$8*Inputs!$B$7*Inputs!$B$35*$B$113*(1-Inputs!$B$16)/Inputs!$B$17,0)</f>
        <v>0</v>
      </c>
      <c r="BI127" s="33" t="n">
        <f aca="false">IF(Source_Data!BI$6=Inputs!$B$13,-Inputs!$B$7,0)+IF(AND(Source_Data!BI$6&gt;=$B$118,Source_Data!BI$6&lt;$B$118+3*Inputs!$B$17,MOD(Source_Data!BI$6-$B$118,3)=0),Inputs!$B$8*Inputs!$B$7*Inputs!$B$35*$B$113*(1-Inputs!$B$16)/Inputs!$B$17,0)</f>
        <v>0</v>
      </c>
      <c r="BJ127" s="33" t="n">
        <f aca="false">IF(Source_Data!BJ$6=Inputs!$B$13,-Inputs!$B$7,0)+IF(AND(Source_Data!BJ$6&gt;=$B$118,Source_Data!BJ$6&lt;$B$118+3*Inputs!$B$17,MOD(Source_Data!BJ$6-$B$118,3)=0),Inputs!$B$8*Inputs!$B$7*Inputs!$B$35*$B$113*(1-Inputs!$B$16)/Inputs!$B$17,0)</f>
        <v>0</v>
      </c>
      <c r="BK127" s="33" t="n">
        <f aca="false">IF(Source_Data!BK$6=Inputs!$B$13,-Inputs!$B$7,0)+IF(AND(Source_Data!BK$6&gt;=$B$118,Source_Data!BK$6&lt;$B$118+3*Inputs!$B$17,MOD(Source_Data!BK$6-$B$118,3)=0),Inputs!$B$8*Inputs!$B$7*Inputs!$B$35*$B$113*(1-Inputs!$B$16)/Inputs!$B$17,0)</f>
        <v>0</v>
      </c>
    </row>
    <row r="128" customFormat="false" ht="15" hidden="false" customHeight="false" outlineLevel="0" collapsed="false">
      <c r="A128" s="3" t="s">
        <v>342</v>
      </c>
      <c r="D128" s="33" t="n">
        <f aca="false">IF(AND(Source_Data!D$6&gt;=Inputs!$B$55,Source_Data!D$6&lt;Inputs!$B$55+3*Inputs!$B$11),Inputs!$B$9*Inputs!$B$7/Inputs!$B$11,0)</f>
        <v>0</v>
      </c>
      <c r="E128" s="33" t="n">
        <f aca="false">IF(AND(Source_Data!E$6&gt;=Inputs!$B$55,Source_Data!E$6&lt;Inputs!$B$55+3*Inputs!$B$11),Inputs!$B$9*Inputs!$B$7/Inputs!$B$11,0)</f>
        <v>0</v>
      </c>
      <c r="F128" s="33" t="n">
        <f aca="false">IF(AND(Source_Data!F$6&gt;=Inputs!$B$55,Source_Data!F$6&lt;Inputs!$B$55+3*Inputs!$B$11),Inputs!$B$9*Inputs!$B$7/Inputs!$B$11,0)</f>
        <v>0</v>
      </c>
      <c r="G128" s="33" t="n">
        <f aca="false">IF(AND(Source_Data!G$6&gt;=Inputs!$B$55,Source_Data!G$6&lt;Inputs!$B$55+3*Inputs!$B$11),Inputs!$B$9*Inputs!$B$7/Inputs!$B$11,0)</f>
        <v>0</v>
      </c>
      <c r="H128" s="33" t="n">
        <f aca="false">IF(AND(Source_Data!H$6&gt;=Inputs!$B$55,Source_Data!H$6&lt;Inputs!$B$55+3*Inputs!$B$11),Inputs!$B$9*Inputs!$B$7/Inputs!$B$11,0)</f>
        <v>0</v>
      </c>
      <c r="I128" s="33" t="n">
        <f aca="false">IF(AND(Source_Data!I$6&gt;=Inputs!$B$55,Source_Data!I$6&lt;Inputs!$B$55+3*Inputs!$B$11),Inputs!$B$9*Inputs!$B$7/Inputs!$B$11,0)</f>
        <v>0</v>
      </c>
      <c r="J128" s="33" t="n">
        <f aca="false">IF(AND(Source_Data!J$6&gt;=Inputs!$B$55,Source_Data!J$6&lt;Inputs!$B$55+3*Inputs!$B$11),Inputs!$B$9*Inputs!$B$7/Inputs!$B$11,0)</f>
        <v>0</v>
      </c>
      <c r="K128" s="33" t="n">
        <f aca="false">IF(AND(Source_Data!K$6&gt;=Inputs!$B$55,Source_Data!K$6&lt;Inputs!$B$55+3*Inputs!$B$11),Inputs!$B$9*Inputs!$B$7/Inputs!$B$11,0)</f>
        <v>0</v>
      </c>
      <c r="L128" s="33" t="n">
        <f aca="false">IF(AND(Source_Data!L$6&gt;=Inputs!$B$55,Source_Data!L$6&lt;Inputs!$B$55+3*Inputs!$B$11),Inputs!$B$9*Inputs!$B$7/Inputs!$B$11,0)</f>
        <v>0</v>
      </c>
      <c r="M128" s="33" t="n">
        <f aca="false">IF(AND(Source_Data!M$6&gt;=Inputs!$B$55,Source_Data!M$6&lt;Inputs!$B$55+3*Inputs!$B$11),Inputs!$B$9*Inputs!$B$7/Inputs!$B$11,0)</f>
        <v>14.375</v>
      </c>
      <c r="N128" s="33" t="n">
        <f aca="false">IF(AND(Source_Data!N$6&gt;=Inputs!$B$55,Source_Data!N$6&lt;Inputs!$B$55+3*Inputs!$B$11),Inputs!$B$9*Inputs!$B$7/Inputs!$B$11,0)</f>
        <v>14.375</v>
      </c>
      <c r="O128" s="33" t="n">
        <f aca="false">IF(AND(Source_Data!O$6&gt;=Inputs!$B$55,Source_Data!O$6&lt;Inputs!$B$55+3*Inputs!$B$11),Inputs!$B$9*Inputs!$B$7/Inputs!$B$11,0)</f>
        <v>14.375</v>
      </c>
      <c r="P128" s="33" t="n">
        <f aca="false">IF(AND(Source_Data!P$6&gt;=Inputs!$B$55,Source_Data!P$6&lt;Inputs!$B$55+3*Inputs!$B$11),Inputs!$B$9*Inputs!$B$7/Inputs!$B$11,0)</f>
        <v>14.375</v>
      </c>
      <c r="Q128" s="33" t="n">
        <f aca="false">IF(AND(Source_Data!Q$6&gt;=Inputs!$B$55,Source_Data!Q$6&lt;Inputs!$B$55+3*Inputs!$B$11),Inputs!$B$9*Inputs!$B$7/Inputs!$B$11,0)</f>
        <v>14.375</v>
      </c>
      <c r="R128" s="33" t="n">
        <f aca="false">IF(AND(Source_Data!R$6&gt;=Inputs!$B$55,Source_Data!R$6&lt;Inputs!$B$55+3*Inputs!$B$11),Inputs!$B$9*Inputs!$B$7/Inputs!$B$11,0)</f>
        <v>14.375</v>
      </c>
      <c r="S128" s="33" t="n">
        <f aca="false">IF(AND(Source_Data!S$6&gt;=Inputs!$B$55,Source_Data!S$6&lt;Inputs!$B$55+3*Inputs!$B$11),Inputs!$B$9*Inputs!$B$7/Inputs!$B$11,0)</f>
        <v>14.375</v>
      </c>
      <c r="T128" s="33" t="n">
        <f aca="false">IF(AND(Source_Data!T$6&gt;=Inputs!$B$55,Source_Data!T$6&lt;Inputs!$B$55+3*Inputs!$B$11),Inputs!$B$9*Inputs!$B$7/Inputs!$B$11,0)</f>
        <v>14.375</v>
      </c>
      <c r="U128" s="33" t="n">
        <f aca="false">IF(AND(Source_Data!U$6&gt;=Inputs!$B$55,Source_Data!U$6&lt;Inputs!$B$55+3*Inputs!$B$11),Inputs!$B$9*Inputs!$B$7/Inputs!$B$11,0)</f>
        <v>14.375</v>
      </c>
      <c r="V128" s="33" t="n">
        <f aca="false">IF(AND(Source_Data!V$6&gt;=Inputs!$B$55,Source_Data!V$6&lt;Inputs!$B$55+3*Inputs!$B$11),Inputs!$B$9*Inputs!$B$7/Inputs!$B$11,0)</f>
        <v>14.375</v>
      </c>
      <c r="W128" s="33" t="n">
        <f aca="false">IF(AND(Source_Data!W$6&gt;=Inputs!$B$55,Source_Data!W$6&lt;Inputs!$B$55+3*Inputs!$B$11),Inputs!$B$9*Inputs!$B$7/Inputs!$B$11,0)</f>
        <v>14.375</v>
      </c>
      <c r="X128" s="33" t="n">
        <f aca="false">IF(AND(Source_Data!X$6&gt;=Inputs!$B$55,Source_Data!X$6&lt;Inputs!$B$55+3*Inputs!$B$11),Inputs!$B$9*Inputs!$B$7/Inputs!$B$11,0)</f>
        <v>14.375</v>
      </c>
      <c r="Y128" s="33" t="n">
        <f aca="false">IF(AND(Source_Data!Y$6&gt;=Inputs!$B$55,Source_Data!Y$6&lt;Inputs!$B$55+3*Inputs!$B$11),Inputs!$B$9*Inputs!$B$7/Inputs!$B$11,0)</f>
        <v>0</v>
      </c>
      <c r="Z128" s="33" t="n">
        <f aca="false">IF(AND(Source_Data!Z$6&gt;=Inputs!$B$55,Source_Data!Z$6&lt;Inputs!$B$55+3*Inputs!$B$11),Inputs!$B$9*Inputs!$B$7/Inputs!$B$11,0)</f>
        <v>0</v>
      </c>
      <c r="AA128" s="33" t="n">
        <f aca="false">IF(AND(Source_Data!AA$6&gt;=Inputs!$B$55,Source_Data!AA$6&lt;Inputs!$B$55+3*Inputs!$B$11),Inputs!$B$9*Inputs!$B$7/Inputs!$B$11,0)</f>
        <v>0</v>
      </c>
      <c r="AB128" s="33" t="n">
        <f aca="false">IF(AND(Source_Data!AB$6&gt;=Inputs!$B$55,Source_Data!AB$6&lt;Inputs!$B$55+3*Inputs!$B$11),Inputs!$B$9*Inputs!$B$7/Inputs!$B$11,0)</f>
        <v>0</v>
      </c>
      <c r="AC128" s="33" t="n">
        <f aca="false">IF(AND(Source_Data!AC$6&gt;=Inputs!$B$55,Source_Data!AC$6&lt;Inputs!$B$55+3*Inputs!$B$11),Inputs!$B$9*Inputs!$B$7/Inputs!$B$11,0)</f>
        <v>0</v>
      </c>
      <c r="AD128" s="33" t="n">
        <f aca="false">IF(AND(Source_Data!AD$6&gt;=Inputs!$B$55,Source_Data!AD$6&lt;Inputs!$B$55+3*Inputs!$B$11),Inputs!$B$9*Inputs!$B$7/Inputs!$B$11,0)</f>
        <v>0</v>
      </c>
      <c r="AE128" s="33" t="n">
        <f aca="false">IF(AND(Source_Data!AE$6&gt;=Inputs!$B$55,Source_Data!AE$6&lt;Inputs!$B$55+3*Inputs!$B$11),Inputs!$B$9*Inputs!$B$7/Inputs!$B$11,0)</f>
        <v>0</v>
      </c>
      <c r="AF128" s="33" t="n">
        <f aca="false">IF(AND(Source_Data!AF$6&gt;=Inputs!$B$55,Source_Data!AF$6&lt;Inputs!$B$55+3*Inputs!$B$11),Inputs!$B$9*Inputs!$B$7/Inputs!$B$11,0)</f>
        <v>0</v>
      </c>
      <c r="AG128" s="33" t="n">
        <f aca="false">IF(AND(Source_Data!AG$6&gt;=Inputs!$B$55,Source_Data!AG$6&lt;Inputs!$B$55+3*Inputs!$B$11),Inputs!$B$9*Inputs!$B$7/Inputs!$B$11,0)</f>
        <v>0</v>
      </c>
      <c r="AH128" s="33" t="n">
        <f aca="false">IF(AND(Source_Data!AH$6&gt;=Inputs!$B$55,Source_Data!AH$6&lt;Inputs!$B$55+3*Inputs!$B$11),Inputs!$B$9*Inputs!$B$7/Inputs!$B$11,0)</f>
        <v>0</v>
      </c>
      <c r="AI128" s="33" t="n">
        <f aca="false">IF(AND(Source_Data!AI$6&gt;=Inputs!$B$55,Source_Data!AI$6&lt;Inputs!$B$55+3*Inputs!$B$11),Inputs!$B$9*Inputs!$B$7/Inputs!$B$11,0)</f>
        <v>0</v>
      </c>
      <c r="AJ128" s="33" t="n">
        <f aca="false">IF(AND(Source_Data!AJ$6&gt;=Inputs!$B$55,Source_Data!AJ$6&lt;Inputs!$B$55+3*Inputs!$B$11),Inputs!$B$9*Inputs!$B$7/Inputs!$B$11,0)</f>
        <v>0</v>
      </c>
      <c r="AK128" s="33" t="n">
        <f aca="false">IF(AND(Source_Data!AK$6&gt;=Inputs!$B$55,Source_Data!AK$6&lt;Inputs!$B$55+3*Inputs!$B$11),Inputs!$B$9*Inputs!$B$7/Inputs!$B$11,0)</f>
        <v>0</v>
      </c>
      <c r="AL128" s="33" t="n">
        <f aca="false">IF(AND(Source_Data!AL$6&gt;=Inputs!$B$55,Source_Data!AL$6&lt;Inputs!$B$55+3*Inputs!$B$11),Inputs!$B$9*Inputs!$B$7/Inputs!$B$11,0)</f>
        <v>0</v>
      </c>
      <c r="AM128" s="33" t="n">
        <f aca="false">IF(AND(Source_Data!AM$6&gt;=Inputs!$B$55,Source_Data!AM$6&lt;Inputs!$B$55+3*Inputs!$B$11),Inputs!$B$9*Inputs!$B$7/Inputs!$B$11,0)</f>
        <v>0</v>
      </c>
      <c r="AN128" s="33" t="n">
        <f aca="false">IF(AND(Source_Data!AN$6&gt;=Inputs!$B$55,Source_Data!AN$6&lt;Inputs!$B$55+3*Inputs!$B$11),Inputs!$B$9*Inputs!$B$7/Inputs!$B$11,0)</f>
        <v>0</v>
      </c>
      <c r="AO128" s="33" t="n">
        <f aca="false">IF(AND(Source_Data!AO$6&gt;=Inputs!$B$55,Source_Data!AO$6&lt;Inputs!$B$55+3*Inputs!$B$11),Inputs!$B$9*Inputs!$B$7/Inputs!$B$11,0)</f>
        <v>0</v>
      </c>
      <c r="AP128" s="33" t="n">
        <f aca="false">IF(AND(Source_Data!AP$6&gt;=Inputs!$B$55,Source_Data!AP$6&lt;Inputs!$B$55+3*Inputs!$B$11),Inputs!$B$9*Inputs!$B$7/Inputs!$B$11,0)</f>
        <v>0</v>
      </c>
      <c r="AQ128" s="33" t="n">
        <f aca="false">IF(AND(Source_Data!AQ$6&gt;=Inputs!$B$55,Source_Data!AQ$6&lt;Inputs!$B$55+3*Inputs!$B$11),Inputs!$B$9*Inputs!$B$7/Inputs!$B$11,0)</f>
        <v>0</v>
      </c>
      <c r="AR128" s="33" t="n">
        <f aca="false">IF(AND(Source_Data!AR$6&gt;=Inputs!$B$55,Source_Data!AR$6&lt;Inputs!$B$55+3*Inputs!$B$11),Inputs!$B$9*Inputs!$B$7/Inputs!$B$11,0)</f>
        <v>0</v>
      </c>
      <c r="AS128" s="33" t="n">
        <f aca="false">IF(AND(Source_Data!AS$6&gt;=Inputs!$B$55,Source_Data!AS$6&lt;Inputs!$B$55+3*Inputs!$B$11),Inputs!$B$9*Inputs!$B$7/Inputs!$B$11,0)</f>
        <v>0</v>
      </c>
      <c r="AT128" s="33" t="n">
        <f aca="false">IF(AND(Source_Data!AT$6&gt;=Inputs!$B$55,Source_Data!AT$6&lt;Inputs!$B$55+3*Inputs!$B$11),Inputs!$B$9*Inputs!$B$7/Inputs!$B$11,0)</f>
        <v>0</v>
      </c>
      <c r="AU128" s="33" t="n">
        <f aca="false">IF(AND(Source_Data!AU$6&gt;=Inputs!$B$55,Source_Data!AU$6&lt;Inputs!$B$55+3*Inputs!$B$11),Inputs!$B$9*Inputs!$B$7/Inputs!$B$11,0)</f>
        <v>0</v>
      </c>
      <c r="AV128" s="33" t="n">
        <f aca="false">IF(AND(Source_Data!AV$6&gt;=Inputs!$B$55,Source_Data!AV$6&lt;Inputs!$B$55+3*Inputs!$B$11),Inputs!$B$9*Inputs!$B$7/Inputs!$B$11,0)</f>
        <v>0</v>
      </c>
      <c r="AW128" s="33" t="n">
        <f aca="false">IF(AND(Source_Data!AW$6&gt;=Inputs!$B$55,Source_Data!AW$6&lt;Inputs!$B$55+3*Inputs!$B$11),Inputs!$B$9*Inputs!$B$7/Inputs!$B$11,0)</f>
        <v>0</v>
      </c>
      <c r="AX128" s="33" t="n">
        <f aca="false">IF(AND(Source_Data!AX$6&gt;=Inputs!$B$55,Source_Data!AX$6&lt;Inputs!$B$55+3*Inputs!$B$11),Inputs!$B$9*Inputs!$B$7/Inputs!$B$11,0)</f>
        <v>0</v>
      </c>
      <c r="AY128" s="33" t="n">
        <f aca="false">IF(AND(Source_Data!AY$6&gt;=Inputs!$B$55,Source_Data!AY$6&lt;Inputs!$B$55+3*Inputs!$B$11),Inputs!$B$9*Inputs!$B$7/Inputs!$B$11,0)</f>
        <v>0</v>
      </c>
      <c r="AZ128" s="33" t="n">
        <f aca="false">IF(AND(Source_Data!AZ$6&gt;=Inputs!$B$55,Source_Data!AZ$6&lt;Inputs!$B$55+3*Inputs!$B$11),Inputs!$B$9*Inputs!$B$7/Inputs!$B$11,0)</f>
        <v>0</v>
      </c>
      <c r="BA128" s="33" t="n">
        <f aca="false">IF(AND(Source_Data!BA$6&gt;=Inputs!$B$55,Source_Data!BA$6&lt;Inputs!$B$55+3*Inputs!$B$11),Inputs!$B$9*Inputs!$B$7/Inputs!$B$11,0)</f>
        <v>0</v>
      </c>
      <c r="BB128" s="33" t="n">
        <f aca="false">IF(AND(Source_Data!BB$6&gt;=Inputs!$B$55,Source_Data!BB$6&lt;Inputs!$B$55+3*Inputs!$B$11),Inputs!$B$9*Inputs!$B$7/Inputs!$B$11,0)</f>
        <v>0</v>
      </c>
      <c r="BC128" s="33" t="n">
        <f aca="false">IF(AND(Source_Data!BC$6&gt;=Inputs!$B$55,Source_Data!BC$6&lt;Inputs!$B$55+3*Inputs!$B$11),Inputs!$B$9*Inputs!$B$7/Inputs!$B$11,0)</f>
        <v>0</v>
      </c>
      <c r="BD128" s="33" t="n">
        <f aca="false">IF(AND(Source_Data!BD$6&gt;=Inputs!$B$55,Source_Data!BD$6&lt;Inputs!$B$55+3*Inputs!$B$11),Inputs!$B$9*Inputs!$B$7/Inputs!$B$11,0)</f>
        <v>0</v>
      </c>
      <c r="BE128" s="33" t="n">
        <f aca="false">IF(AND(Source_Data!BE$6&gt;=Inputs!$B$55,Source_Data!BE$6&lt;Inputs!$B$55+3*Inputs!$B$11),Inputs!$B$9*Inputs!$B$7/Inputs!$B$11,0)</f>
        <v>0</v>
      </c>
      <c r="BF128" s="33" t="n">
        <f aca="false">IF(AND(Source_Data!BF$6&gt;=Inputs!$B$55,Source_Data!BF$6&lt;Inputs!$B$55+3*Inputs!$B$11),Inputs!$B$9*Inputs!$B$7/Inputs!$B$11,0)</f>
        <v>0</v>
      </c>
      <c r="BG128" s="33" t="n">
        <f aca="false">IF(AND(Source_Data!BG$6&gt;=Inputs!$B$55,Source_Data!BG$6&lt;Inputs!$B$55+3*Inputs!$B$11),Inputs!$B$9*Inputs!$B$7/Inputs!$B$11,0)</f>
        <v>0</v>
      </c>
      <c r="BH128" s="33" t="n">
        <f aca="false">IF(AND(Source_Data!BH$6&gt;=Inputs!$B$55,Source_Data!BH$6&lt;Inputs!$B$55+3*Inputs!$B$11),Inputs!$B$9*Inputs!$B$7/Inputs!$B$11,0)</f>
        <v>0</v>
      </c>
      <c r="BI128" s="33" t="n">
        <f aca="false">IF(AND(Source_Data!BI$6&gt;=Inputs!$B$55,Source_Data!BI$6&lt;Inputs!$B$55+3*Inputs!$B$11),Inputs!$B$9*Inputs!$B$7/Inputs!$B$11,0)</f>
        <v>0</v>
      </c>
      <c r="BJ128" s="33" t="n">
        <f aca="false">IF(AND(Source_Data!BJ$6&gt;=Inputs!$B$55,Source_Data!BJ$6&lt;Inputs!$B$55+3*Inputs!$B$11),Inputs!$B$9*Inputs!$B$7/Inputs!$B$11,0)</f>
        <v>0</v>
      </c>
      <c r="BK128" s="33" t="n">
        <f aca="false">IF(AND(Source_Data!BK$6&gt;=Inputs!$B$55,Source_Data!BK$6&lt;Inputs!$B$55+3*Inputs!$B$11),Inputs!$B$9*Inputs!$B$7/Inputs!$B$11,0)</f>
        <v>0</v>
      </c>
    </row>
    <row r="129" customFormat="false" ht="15" hidden="false" customHeight="false" outlineLevel="0" collapsed="false">
      <c r="A129" s="3" t="s">
        <v>343</v>
      </c>
      <c r="D129" s="33" t="n">
        <f aca="false">IF(Source_Data!D$6=Inputs!$B$13,-Inputs!$B$7,0)+D128</f>
        <v>-75</v>
      </c>
      <c r="E129" s="33" t="n">
        <f aca="false">IF(Source_Data!E$6=Inputs!$B$13,-Inputs!$B$7,0)+E128</f>
        <v>0</v>
      </c>
      <c r="F129" s="33" t="n">
        <f aca="false">IF(Source_Data!F$6=Inputs!$B$13,-Inputs!$B$7,0)+F128</f>
        <v>0</v>
      </c>
      <c r="G129" s="33" t="n">
        <f aca="false">IF(Source_Data!G$6=Inputs!$B$13,-Inputs!$B$7,0)+G128</f>
        <v>0</v>
      </c>
      <c r="H129" s="33" t="n">
        <f aca="false">IF(Source_Data!H$6=Inputs!$B$13,-Inputs!$B$7,0)+H128</f>
        <v>0</v>
      </c>
      <c r="I129" s="33" t="n">
        <f aca="false">IF(Source_Data!I$6=Inputs!$B$13,-Inputs!$B$7,0)+I128</f>
        <v>0</v>
      </c>
      <c r="J129" s="33" t="n">
        <f aca="false">IF(Source_Data!J$6=Inputs!$B$13,-Inputs!$B$7,0)+J128</f>
        <v>0</v>
      </c>
      <c r="K129" s="33" t="n">
        <f aca="false">IF(Source_Data!K$6=Inputs!$B$13,-Inputs!$B$7,0)+K128</f>
        <v>0</v>
      </c>
      <c r="L129" s="33" t="n">
        <f aca="false">IF(Source_Data!L$6=Inputs!$B$13,-Inputs!$B$7,0)+L128</f>
        <v>0</v>
      </c>
      <c r="M129" s="33" t="n">
        <f aca="false">IF(Source_Data!M$6=Inputs!$B$13,-Inputs!$B$7,0)+M128</f>
        <v>14.375</v>
      </c>
      <c r="N129" s="33" t="n">
        <f aca="false">IF(Source_Data!N$6=Inputs!$B$13,-Inputs!$B$7,0)+N128</f>
        <v>14.375</v>
      </c>
      <c r="O129" s="33" t="n">
        <f aca="false">IF(Source_Data!O$6=Inputs!$B$13,-Inputs!$B$7,0)+O128</f>
        <v>14.375</v>
      </c>
      <c r="P129" s="33" t="n">
        <f aca="false">IF(Source_Data!P$6=Inputs!$B$13,-Inputs!$B$7,0)+P128</f>
        <v>14.375</v>
      </c>
      <c r="Q129" s="33" t="n">
        <f aca="false">IF(Source_Data!Q$6=Inputs!$B$13,-Inputs!$B$7,0)+Q128</f>
        <v>14.375</v>
      </c>
      <c r="R129" s="33" t="n">
        <f aca="false">IF(Source_Data!R$6=Inputs!$B$13,-Inputs!$B$7,0)+R128</f>
        <v>14.375</v>
      </c>
      <c r="S129" s="33" t="n">
        <f aca="false">IF(Source_Data!S$6=Inputs!$B$13,-Inputs!$B$7,0)+S128</f>
        <v>14.375</v>
      </c>
      <c r="T129" s="33" t="n">
        <f aca="false">IF(Source_Data!T$6=Inputs!$B$13,-Inputs!$B$7,0)+T128</f>
        <v>14.375</v>
      </c>
      <c r="U129" s="33" t="n">
        <f aca="false">IF(Source_Data!U$6=Inputs!$B$13,-Inputs!$B$7,0)+U128</f>
        <v>14.375</v>
      </c>
      <c r="V129" s="33" t="n">
        <f aca="false">IF(Source_Data!V$6=Inputs!$B$13,-Inputs!$B$7,0)+V128</f>
        <v>14.375</v>
      </c>
      <c r="W129" s="33" t="n">
        <f aca="false">IF(Source_Data!W$6=Inputs!$B$13,-Inputs!$B$7,0)+W128</f>
        <v>14.375</v>
      </c>
      <c r="X129" s="33" t="n">
        <f aca="false">IF(Source_Data!X$6=Inputs!$B$13,-Inputs!$B$7,0)+X128</f>
        <v>14.375</v>
      </c>
      <c r="Y129" s="33" t="n">
        <f aca="false">IF(Source_Data!Y$6=Inputs!$B$13,-Inputs!$B$7,0)+Y128</f>
        <v>0</v>
      </c>
      <c r="Z129" s="33" t="n">
        <f aca="false">IF(Source_Data!Z$6=Inputs!$B$13,-Inputs!$B$7,0)+Z128</f>
        <v>0</v>
      </c>
      <c r="AA129" s="33" t="n">
        <f aca="false">IF(Source_Data!AA$6=Inputs!$B$13,-Inputs!$B$7,0)+AA128</f>
        <v>0</v>
      </c>
      <c r="AB129" s="33" t="n">
        <f aca="false">IF(Source_Data!AB$6=Inputs!$B$13,-Inputs!$B$7,0)+AB128</f>
        <v>0</v>
      </c>
      <c r="AC129" s="33" t="n">
        <f aca="false">IF(Source_Data!AC$6=Inputs!$B$13,-Inputs!$B$7,0)+AC128</f>
        <v>0</v>
      </c>
      <c r="AD129" s="33" t="n">
        <f aca="false">IF(Source_Data!AD$6=Inputs!$B$13,-Inputs!$B$7,0)+AD128</f>
        <v>0</v>
      </c>
      <c r="AE129" s="33" t="n">
        <f aca="false">IF(Source_Data!AE$6=Inputs!$B$13,-Inputs!$B$7,0)+AE128</f>
        <v>0</v>
      </c>
      <c r="AF129" s="33" t="n">
        <f aca="false">IF(Source_Data!AF$6=Inputs!$B$13,-Inputs!$B$7,0)+AF128</f>
        <v>0</v>
      </c>
      <c r="AG129" s="33" t="n">
        <f aca="false">IF(Source_Data!AG$6=Inputs!$B$13,-Inputs!$B$7,0)+AG128</f>
        <v>0</v>
      </c>
      <c r="AH129" s="33" t="n">
        <f aca="false">IF(Source_Data!AH$6=Inputs!$B$13,-Inputs!$B$7,0)+AH128</f>
        <v>0</v>
      </c>
      <c r="AI129" s="33" t="n">
        <f aca="false">IF(Source_Data!AI$6=Inputs!$B$13,-Inputs!$B$7,0)+AI128</f>
        <v>0</v>
      </c>
      <c r="AJ129" s="33" t="n">
        <f aca="false">IF(Source_Data!AJ$6=Inputs!$B$13,-Inputs!$B$7,0)+AJ128</f>
        <v>0</v>
      </c>
      <c r="AK129" s="33" t="n">
        <f aca="false">IF(Source_Data!AK$6=Inputs!$B$13,-Inputs!$B$7,0)+AK128</f>
        <v>0</v>
      </c>
      <c r="AL129" s="33" t="n">
        <f aca="false">IF(Source_Data!AL$6=Inputs!$B$13,-Inputs!$B$7,0)+AL128</f>
        <v>0</v>
      </c>
      <c r="AM129" s="33" t="n">
        <f aca="false">IF(Source_Data!AM$6=Inputs!$B$13,-Inputs!$B$7,0)+AM128</f>
        <v>0</v>
      </c>
      <c r="AN129" s="33" t="n">
        <f aca="false">IF(Source_Data!AN$6=Inputs!$B$13,-Inputs!$B$7,0)+AN128</f>
        <v>0</v>
      </c>
      <c r="AO129" s="33" t="n">
        <f aca="false">IF(Source_Data!AO$6=Inputs!$B$13,-Inputs!$B$7,0)+AO128</f>
        <v>0</v>
      </c>
      <c r="AP129" s="33" t="n">
        <f aca="false">IF(Source_Data!AP$6=Inputs!$B$13,-Inputs!$B$7,0)+AP128</f>
        <v>0</v>
      </c>
      <c r="AQ129" s="33" t="n">
        <f aca="false">IF(Source_Data!AQ$6=Inputs!$B$13,-Inputs!$B$7,0)+AQ128</f>
        <v>0</v>
      </c>
      <c r="AR129" s="33" t="n">
        <f aca="false">IF(Source_Data!AR$6=Inputs!$B$13,-Inputs!$B$7,0)+AR128</f>
        <v>0</v>
      </c>
      <c r="AS129" s="33" t="n">
        <f aca="false">IF(Source_Data!AS$6=Inputs!$B$13,-Inputs!$B$7,0)+AS128</f>
        <v>0</v>
      </c>
      <c r="AT129" s="33" t="n">
        <f aca="false">IF(Source_Data!AT$6=Inputs!$B$13,-Inputs!$B$7,0)+AT128</f>
        <v>0</v>
      </c>
      <c r="AU129" s="33" t="n">
        <f aca="false">IF(Source_Data!AU$6=Inputs!$B$13,-Inputs!$B$7,0)+AU128</f>
        <v>0</v>
      </c>
      <c r="AV129" s="33" t="n">
        <f aca="false">IF(Source_Data!AV$6=Inputs!$B$13,-Inputs!$B$7,0)+AV128</f>
        <v>0</v>
      </c>
      <c r="AW129" s="33" t="n">
        <f aca="false">IF(Source_Data!AW$6=Inputs!$B$13,-Inputs!$B$7,0)+AW128</f>
        <v>0</v>
      </c>
      <c r="AX129" s="33" t="n">
        <f aca="false">IF(Source_Data!AX$6=Inputs!$B$13,-Inputs!$B$7,0)+AX128</f>
        <v>0</v>
      </c>
      <c r="AY129" s="33" t="n">
        <f aca="false">IF(Source_Data!AY$6=Inputs!$B$13,-Inputs!$B$7,0)+AY128</f>
        <v>0</v>
      </c>
      <c r="AZ129" s="33" t="n">
        <f aca="false">IF(Source_Data!AZ$6=Inputs!$B$13,-Inputs!$B$7,0)+AZ128</f>
        <v>0</v>
      </c>
      <c r="BA129" s="33" t="n">
        <f aca="false">IF(Source_Data!BA$6=Inputs!$B$13,-Inputs!$B$7,0)+BA128</f>
        <v>0</v>
      </c>
      <c r="BB129" s="33" t="n">
        <f aca="false">IF(Source_Data!BB$6=Inputs!$B$13,-Inputs!$B$7,0)+BB128</f>
        <v>0</v>
      </c>
      <c r="BC129" s="33" t="n">
        <f aca="false">IF(Source_Data!BC$6=Inputs!$B$13,-Inputs!$B$7,0)+BC128</f>
        <v>0</v>
      </c>
      <c r="BD129" s="33" t="n">
        <f aca="false">IF(Source_Data!BD$6=Inputs!$B$13,-Inputs!$B$7,0)+BD128</f>
        <v>0</v>
      </c>
      <c r="BE129" s="33" t="n">
        <f aca="false">IF(Source_Data!BE$6=Inputs!$B$13,-Inputs!$B$7,0)+BE128</f>
        <v>0</v>
      </c>
      <c r="BF129" s="33" t="n">
        <f aca="false">IF(Source_Data!BF$6=Inputs!$B$13,-Inputs!$B$7,0)+BF128</f>
        <v>0</v>
      </c>
      <c r="BG129" s="33" t="n">
        <f aca="false">IF(Source_Data!BG$6=Inputs!$B$13,-Inputs!$B$7,0)+BG128</f>
        <v>0</v>
      </c>
      <c r="BH129" s="33" t="n">
        <f aca="false">IF(Source_Data!BH$6=Inputs!$B$13,-Inputs!$B$7,0)+BH128</f>
        <v>0</v>
      </c>
      <c r="BI129" s="33" t="n">
        <f aca="false">IF(Source_Data!BI$6=Inputs!$B$13,-Inputs!$B$7,0)+BI128</f>
        <v>0</v>
      </c>
      <c r="BJ129" s="33" t="n">
        <f aca="false">IF(Source_Data!BJ$6=Inputs!$B$13,-Inputs!$B$7,0)+BJ128</f>
        <v>0</v>
      </c>
      <c r="BK129" s="33" t="n">
        <f aca="false">IF(Source_Data!BK$6=Inputs!$B$13,-Inputs!$B$7,0)+BK128</f>
        <v>0</v>
      </c>
    </row>
    <row r="130" customFormat="false" ht="15" hidden="false" customHeight="false" outlineLevel="0" collapsed="false">
      <c r="A130" s="3" t="s">
        <v>344</v>
      </c>
      <c r="D130" s="33" t="n">
        <f aca="false">IF(Source_Data!D$6=Inputs!$B$13,Inputs!$B$7,0)+D125-D128</f>
        <v>-16.25</v>
      </c>
      <c r="E130" s="33" t="n">
        <f aca="false">D130+IF(Source_Data!E$6=Inputs!$B$13,Inputs!$B$7,0)+E125-E128</f>
        <v>-27.5</v>
      </c>
      <c r="F130" s="33" t="n">
        <f aca="false">E130+IF(Source_Data!F$6=Inputs!$B$13,Inputs!$B$7,0)+F125-F128</f>
        <v>-20.582915</v>
      </c>
      <c r="G130" s="33" t="n">
        <f aca="false">F130+IF(Source_Data!G$6=Inputs!$B$13,Inputs!$B$7,0)+G125-G128</f>
        <v>4.501255</v>
      </c>
      <c r="H130" s="33" t="n">
        <f aca="false">G130+IF(Source_Data!H$6=Inputs!$B$13,Inputs!$B$7,0)+H125-H128</f>
        <v>14.8156625</v>
      </c>
      <c r="I130" s="33" t="n">
        <f aca="false">H130+IF(Source_Data!I$6=Inputs!$B$13,Inputs!$B$7,0)+I125-I128</f>
        <v>37.2503075</v>
      </c>
      <c r="J130" s="33" t="n">
        <f aca="false">I130+IF(Source_Data!J$6=Inputs!$B$13,Inputs!$B$7,0)+J125-J128</f>
        <v>29.0554795</v>
      </c>
      <c r="K130" s="33" t="n">
        <f aca="false">J130+IF(Source_Data!K$6=Inputs!$B$13,Inputs!$B$7,0)+K125-K128</f>
        <v>37.83008275</v>
      </c>
      <c r="L130" s="33" t="n">
        <f aca="false">K130+IF(Source_Data!L$6=Inputs!$B$13,Inputs!$B$7,0)+L125-L128</f>
        <v>58.689188875</v>
      </c>
      <c r="M130" s="33" t="n">
        <f aca="false">L130+IF(Source_Data!M$6=Inputs!$B$13,Inputs!$B$7,0)+M125-M128</f>
        <v>563.083281875</v>
      </c>
      <c r="N130" s="33" t="n">
        <f aca="false">M130+IF(Source_Data!N$6=Inputs!$B$13,Inputs!$B$7,0)+N125-N128</f>
        <v>723.192769875</v>
      </c>
      <c r="O130" s="33" t="n">
        <f aca="false">N130+IF(Source_Data!O$6=Inputs!$B$13,Inputs!$B$7,0)+O125-O128</f>
        <v>872.449757875</v>
      </c>
      <c r="P130" s="33" t="n">
        <f aca="false">O130+IF(Source_Data!P$6=Inputs!$B$13,Inputs!$B$7,0)+P125-P128</f>
        <v>782.610009875</v>
      </c>
      <c r="Q130" s="33" t="n">
        <f aca="false">P130+IF(Source_Data!Q$6=Inputs!$B$13,Inputs!$B$7,0)+Q125-Q128</f>
        <v>659.694012375</v>
      </c>
      <c r="R130" s="33" t="n">
        <f aca="false">Q130+IF(Source_Data!R$6=Inputs!$B$13,Inputs!$B$7,0)+R125-R128</f>
        <v>486.178014875</v>
      </c>
      <c r="S130" s="33" t="n">
        <f aca="false">R130+IF(Source_Data!S$6=Inputs!$B$13,Inputs!$B$7,0)+S125-S128</f>
        <v>365.910017625</v>
      </c>
      <c r="T130" s="33" t="n">
        <f aca="false">S130+IF(Source_Data!T$6=Inputs!$B$13,Inputs!$B$7,0)+T125-T128</f>
        <v>380.00698525</v>
      </c>
      <c r="U130" s="33" t="n">
        <f aca="false">T130+IF(Source_Data!U$6=Inputs!$B$13,Inputs!$B$7,0)+U125-U128</f>
        <v>392.287244375</v>
      </c>
      <c r="V130" s="33" t="n">
        <f aca="false">U130+IF(Source_Data!V$6=Inputs!$B$13,Inputs!$B$7,0)+V125-V128</f>
        <v>397.380978</v>
      </c>
      <c r="W130" s="33" t="n">
        <f aca="false">V130+IF(Source_Data!W$6=Inputs!$B$13,Inputs!$B$7,0)+W125-W128</f>
        <v>397.265511625</v>
      </c>
      <c r="X130" s="33" t="n">
        <f aca="false">W130+IF(Source_Data!X$6=Inputs!$B$13,Inputs!$B$7,0)+X125-X128</f>
        <v>419.65004525</v>
      </c>
      <c r="Y130" s="33" t="n">
        <f aca="false">X130+IF(Source_Data!Y$6=Inputs!$B$13,Inputs!$B$7,0)+Y125-Y128</f>
        <v>447.673316375</v>
      </c>
      <c r="Z130" s="33" t="n">
        <f aca="false">Y130+IF(Source_Data!Z$6=Inputs!$B$13,Inputs!$B$7,0)+Z125-Z128</f>
        <v>475.6965875</v>
      </c>
      <c r="AA130" s="33" t="n">
        <f aca="false">Z130+IF(Source_Data!AA$6=Inputs!$B$13,Inputs!$B$7,0)+AA125-AA128</f>
        <v>503.719858625</v>
      </c>
      <c r="AB130" s="33" t="n">
        <f aca="false">AA130+IF(Source_Data!AB$6=Inputs!$B$13,Inputs!$B$7,0)+AB125-AB128</f>
        <v>547.29752975</v>
      </c>
      <c r="AC130" s="33" t="n">
        <f aca="false">AB130+IF(Source_Data!AC$6=Inputs!$B$13,Inputs!$B$7,0)+AC125-AC128</f>
        <v>586.94388275</v>
      </c>
      <c r="AD130" s="33" t="n">
        <f aca="false">AC130+IF(Source_Data!AD$6=Inputs!$B$13,Inputs!$B$7,0)+AD125-AD128</f>
        <v>622.26008825</v>
      </c>
      <c r="AE130" s="33" t="n">
        <f aca="false">AD130+IF(Source_Data!AE$6=Inputs!$B$13,Inputs!$B$7,0)+AE125-AE128</f>
        <v>652.36709375</v>
      </c>
      <c r="AF130" s="33" t="n">
        <f aca="false">AE130+IF(Source_Data!AF$6=Inputs!$B$13,Inputs!$B$7,0)+AF125-AF128</f>
        <v>460.308417711033</v>
      </c>
      <c r="AG130" s="33" t="n">
        <f aca="false">AF130+IF(Source_Data!AG$6=Inputs!$B$13,Inputs!$B$7,0)+AG125-AG128</f>
        <v>467.785088546316</v>
      </c>
      <c r="AH130" s="33" t="n">
        <f aca="false">AG130+IF(Source_Data!AH$6=Inputs!$B$13,Inputs!$B$7,0)+AH125-AH128</f>
        <v>475.2617593816</v>
      </c>
      <c r="AI130" s="33" t="n">
        <f aca="false">AH130+IF(Source_Data!AI$6=Inputs!$B$13,Inputs!$B$7,0)+AI125-AI128</f>
        <v>482.738430216883</v>
      </c>
      <c r="AJ130" s="33" t="n">
        <f aca="false">AI130+IF(Source_Data!AJ$6=Inputs!$B$13,Inputs!$B$7,0)+AJ125-AJ128</f>
        <v>490.215101052166</v>
      </c>
      <c r="AK130" s="33" t="n">
        <f aca="false">AJ130+IF(Source_Data!AK$6=Inputs!$B$13,Inputs!$B$7,0)+AK125-AK128</f>
        <v>497.04091181726</v>
      </c>
      <c r="AL130" s="33" t="n">
        <f aca="false">AK130+IF(Source_Data!AL$6=Inputs!$B$13,Inputs!$B$7,0)+AL125-AL128</f>
        <v>503.866722582353</v>
      </c>
      <c r="AM130" s="33" t="n">
        <f aca="false">AL130+IF(Source_Data!AM$6=Inputs!$B$13,Inputs!$B$7,0)+AM125-AM128</f>
        <v>509.451182836766</v>
      </c>
      <c r="AN130" s="33" t="n">
        <f aca="false">AM130+IF(Source_Data!AN$6=Inputs!$B$13,Inputs!$B$7,0)+AN125-AN128</f>
        <v>512.319818276559</v>
      </c>
      <c r="AO130" s="33" t="n">
        <f aca="false">AN130+IF(Source_Data!AO$6=Inputs!$B$13,Inputs!$B$7,0)+AO125-AO128</f>
        <v>513.383833</v>
      </c>
      <c r="AP130" s="33" t="n">
        <f aca="false">AO130+IF(Source_Data!AP$6=Inputs!$B$13,Inputs!$B$7,0)+AP125-AP128</f>
        <v>513.383833</v>
      </c>
      <c r="AQ130" s="33" t="n">
        <f aca="false">AP130+IF(Source_Data!AQ$6=Inputs!$B$13,Inputs!$B$7,0)+AQ125-AQ128</f>
        <v>513.383833</v>
      </c>
      <c r="AR130" s="33" t="n">
        <f aca="false">AQ130+IF(Source_Data!AR$6=Inputs!$B$13,Inputs!$B$7,0)+AR125-AR128</f>
        <v>513.383833</v>
      </c>
      <c r="AS130" s="33" t="n">
        <f aca="false">AR130+IF(Source_Data!AS$6=Inputs!$B$13,Inputs!$B$7,0)+AS125-AS128</f>
        <v>513.383833</v>
      </c>
      <c r="AT130" s="33" t="n">
        <f aca="false">AS130+IF(Source_Data!AT$6=Inputs!$B$13,Inputs!$B$7,0)+AT125-AT128</f>
        <v>513.383833</v>
      </c>
      <c r="AU130" s="33" t="n">
        <f aca="false">AT130+IF(Source_Data!AU$6=Inputs!$B$13,Inputs!$B$7,0)+AU125-AU128</f>
        <v>513.383833</v>
      </c>
      <c r="AV130" s="33" t="n">
        <f aca="false">AU130+IF(Source_Data!AV$6=Inputs!$B$13,Inputs!$B$7,0)+AV125-AV128</f>
        <v>513.383833</v>
      </c>
      <c r="AW130" s="33" t="n">
        <f aca="false">AV130+IF(Source_Data!AW$6=Inputs!$B$13,Inputs!$B$7,0)+AW125-AW128</f>
        <v>513.383833</v>
      </c>
      <c r="AX130" s="33" t="n">
        <f aca="false">AW130+IF(Source_Data!AX$6=Inputs!$B$13,Inputs!$B$7,0)+AX125-AX128</f>
        <v>513.383833</v>
      </c>
      <c r="AY130" s="33" t="n">
        <f aca="false">AX130+IF(Source_Data!AY$6=Inputs!$B$13,Inputs!$B$7,0)+AY125-AY128</f>
        <v>513.383833</v>
      </c>
      <c r="AZ130" s="33" t="n">
        <f aca="false">AY130+IF(Source_Data!AZ$6=Inputs!$B$13,Inputs!$B$7,0)+AZ125-AZ128</f>
        <v>513.383833</v>
      </c>
      <c r="BA130" s="33" t="n">
        <f aca="false">AZ130+IF(Source_Data!BA$6=Inputs!$B$13,Inputs!$B$7,0)+BA125-BA128</f>
        <v>513.383833</v>
      </c>
      <c r="BB130" s="33" t="n">
        <f aca="false">BA130+IF(Source_Data!BB$6=Inputs!$B$13,Inputs!$B$7,0)+BB125-BB128</f>
        <v>513.383833</v>
      </c>
      <c r="BC130" s="33" t="n">
        <f aca="false">BB130+IF(Source_Data!BC$6=Inputs!$B$13,Inputs!$B$7,0)+BC125-BC128</f>
        <v>513.383833</v>
      </c>
      <c r="BD130" s="33" t="n">
        <f aca="false">BC130+IF(Source_Data!BD$6=Inputs!$B$13,Inputs!$B$7,0)+BD125-BD128</f>
        <v>513.383833</v>
      </c>
      <c r="BE130" s="33" t="n">
        <f aca="false">BD130+IF(Source_Data!BE$6=Inputs!$B$13,Inputs!$B$7,0)+BE125-BE128</f>
        <v>513.383833</v>
      </c>
      <c r="BF130" s="33" t="n">
        <f aca="false">BE130+IF(Source_Data!BF$6=Inputs!$B$13,Inputs!$B$7,0)+BF125-BF128</f>
        <v>513.383833</v>
      </c>
      <c r="BG130" s="33" t="n">
        <f aca="false">BF130+IF(Source_Data!BG$6=Inputs!$B$13,Inputs!$B$7,0)+BG125-BG128</f>
        <v>513.383833</v>
      </c>
      <c r="BH130" s="33" t="n">
        <f aca="false">BG130+IF(Source_Data!BH$6=Inputs!$B$13,Inputs!$B$7,0)+BH125-BH128</f>
        <v>513.383833</v>
      </c>
      <c r="BI130" s="33" t="n">
        <f aca="false">BH130+IF(Source_Data!BI$6=Inputs!$B$13,Inputs!$B$7,0)+BI125-BI128</f>
        <v>513.383833</v>
      </c>
      <c r="BJ130" s="33" t="n">
        <f aca="false">BI130+IF(Source_Data!BJ$6=Inputs!$B$13,Inputs!$B$7,0)+BJ125-BJ128</f>
        <v>513.383833</v>
      </c>
      <c r="BK130" s="33" t="n">
        <f aca="false">BJ130+IF(Source_Data!BK$6=Inputs!$B$13,Inputs!$B$7,0)+BK125-BK128</f>
        <v>513.383833</v>
      </c>
    </row>
    <row r="131" customFormat="false" ht="15" hidden="false" customHeight="false" outlineLevel="0" collapsed="false">
      <c r="A131" s="3" t="s">
        <v>345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36.0882847304348</v>
      </c>
      <c r="N131" s="31" t="n">
        <f aca="false">IF(N128&gt;0,N125/N128,"")</f>
        <v>12.1380513391304</v>
      </c>
      <c r="O131" s="31" t="n">
        <f aca="false">IF(O128&gt;0,O125/O128,"")</f>
        <v>11.3830948173913</v>
      </c>
      <c r="P131" s="31" t="n">
        <f aca="false">IF(P128&gt;0,P125/P128,"")</f>
        <v>-5.2497216</v>
      </c>
      <c r="Q131" s="31" t="n">
        <f aca="false">IF(Q128&gt;0,Q125/Q128,"")</f>
        <v>-7.55067808695652</v>
      </c>
      <c r="R131" s="31" t="n">
        <f aca="false">IF(R128&gt;0,R125/R128,"")</f>
        <v>-11.0706780869565</v>
      </c>
      <c r="S131" s="31" t="n">
        <f aca="false">IF(S128&gt;0,S125/S128,"")</f>
        <v>-7.36646937391305</v>
      </c>
      <c r="T131" s="31" t="n">
        <f aca="false">IF(T128&gt;0,T125/T128,"")</f>
        <v>1.9806586173913</v>
      </c>
      <c r="U131" s="31" t="n">
        <f aca="false">IF(U128&gt;0,U125/U128,"")</f>
        <v>1.85427889565217</v>
      </c>
      <c r="V131" s="31" t="n">
        <f aca="false">IF(V128&gt;0,V125/V128,"")</f>
        <v>1.35434668695652</v>
      </c>
      <c r="W131" s="31" t="n">
        <f aca="false">IF(W128&gt;0,W125/W128,"")</f>
        <v>0.991967556521739</v>
      </c>
      <c r="X131" s="31" t="n">
        <f aca="false">IF(X128&gt;0,X125/X128,"")</f>
        <v>2.55718494782609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346</v>
      </c>
      <c r="D132" s="31" t="str">
        <f aca="false">IF(D128&gt;0,(0+D125+IF(Source_Data!D$6=Inputs!$B$13,Inputs!$B$7,0))/D128,"")</f>
        <v/>
      </c>
      <c r="E132" s="31" t="str">
        <f aca="false">IF(E128&gt;0,(D130+E125+IF(Source_Data!E$6=Inputs!$B$13,Inputs!$B$7,0))/E128,"")</f>
        <v/>
      </c>
      <c r="F132" s="31" t="str">
        <f aca="false">IF(F128&gt;0,(E130+F125+IF(Source_Data!F$6=Inputs!$B$13,Inputs!$B$7,0))/F128,"")</f>
        <v/>
      </c>
      <c r="G132" s="31" t="str">
        <f aca="false">IF(G128&gt;0,(F130+G125+IF(Source_Data!G$6=Inputs!$B$13,Inputs!$B$7,0))/G128,"")</f>
        <v/>
      </c>
      <c r="H132" s="31" t="str">
        <f aca="false">IF(H128&gt;0,(G130+H125+IF(Source_Data!H$6=Inputs!$B$13,Inputs!$B$7,0))/H128,"")</f>
        <v/>
      </c>
      <c r="I132" s="31" t="str">
        <f aca="false">IF(I128&gt;0,(H130+I125+IF(Source_Data!I$6=Inputs!$B$13,Inputs!$B$7,0))/I128,"")</f>
        <v/>
      </c>
      <c r="J132" s="31" t="str">
        <f aca="false">IF(J128&gt;0,(I130+J125+IF(Source_Data!J$6=Inputs!$B$13,Inputs!$B$7,0))/J128,"")</f>
        <v/>
      </c>
      <c r="K132" s="31" t="str">
        <f aca="false">IF(K128&gt;0,(J130+K125+IF(Source_Data!K$6=Inputs!$B$13,Inputs!$B$7,0))/K128,"")</f>
        <v/>
      </c>
      <c r="L132" s="31" t="str">
        <f aca="false">IF(L128&gt;0,(K130+L125+IF(Source_Data!L$6=Inputs!$B$13,Inputs!$B$7,0))/L128,"")</f>
        <v/>
      </c>
      <c r="M132" s="31" t="n">
        <f aca="false">IF(M128&gt;0,(L130+M125+IF(Source_Data!M$6=Inputs!$B$13,Inputs!$B$7,0))/M128,"")</f>
        <v>40.1710109130435</v>
      </c>
      <c r="N132" s="31" t="n">
        <f aca="false">IF(N128&gt;0,(M130+N125+IF(Source_Data!N$6=Inputs!$B$13,Inputs!$B$7,0))/N128,"")</f>
        <v>51.3090622521739</v>
      </c>
      <c r="O132" s="31" t="n">
        <f aca="false">IF(O128&gt;0,(N130+O125+IF(Source_Data!O$6=Inputs!$B$13,Inputs!$B$7,0))/O128,"")</f>
        <v>61.6921570695652</v>
      </c>
      <c r="P132" s="31" t="n">
        <f aca="false">IF(P128&gt;0,(O130+P125+IF(Source_Data!P$6=Inputs!$B$13,Inputs!$B$7,0))/P128,"")</f>
        <v>55.4424354695652</v>
      </c>
      <c r="Q132" s="31" t="n">
        <f aca="false">IF(Q128&gt;0,(P130+Q125+IF(Source_Data!Q$6=Inputs!$B$13,Inputs!$B$7,0))/Q128,"")</f>
        <v>46.8917573826087</v>
      </c>
      <c r="R132" s="31" t="n">
        <f aca="false">IF(R128&gt;0,(Q130+R125+IF(Source_Data!R$6=Inputs!$B$13,Inputs!$B$7,0))/R128,"")</f>
        <v>34.8210792956522</v>
      </c>
      <c r="S132" s="31" t="n">
        <f aca="false">IF(S128&gt;0,(R130+S125+IF(Source_Data!S$6=Inputs!$B$13,Inputs!$B$7,0))/S128,"")</f>
        <v>26.4546099217391</v>
      </c>
      <c r="T132" s="31" t="n">
        <f aca="false">IF(T128&gt;0,(S130+T125+IF(Source_Data!T$6=Inputs!$B$13,Inputs!$B$7,0))/T128,"")</f>
        <v>27.4352685391304</v>
      </c>
      <c r="U132" s="31" t="n">
        <f aca="false">IF(U128&gt;0,(T130+U125+IF(Source_Data!U$6=Inputs!$B$13,Inputs!$B$7,0))/U128,"")</f>
        <v>28.2895474347826</v>
      </c>
      <c r="V132" s="31" t="n">
        <f aca="false">IF(V128&gt;0,(U130+V125+IF(Source_Data!V$6=Inputs!$B$13,Inputs!$B$7,0))/V128,"")</f>
        <v>28.6438941217391</v>
      </c>
      <c r="W132" s="31" t="n">
        <f aca="false">IF(W128&gt;0,(V130+W125+IF(Source_Data!W$6=Inputs!$B$13,Inputs!$B$7,0))/W128,"")</f>
        <v>28.6358616782609</v>
      </c>
      <c r="X132" s="31" t="n">
        <f aca="false">IF(X128&gt;0,(W130+X125+IF(Source_Data!X$6=Inputs!$B$13,Inputs!$B$7,0))/X128,"")</f>
        <v>30.1930466260869</v>
      </c>
      <c r="Y132" s="31" t="str">
        <f aca="false">IF(Y128&gt;0,(X130+Y125+IF(Source_Data!Y$6=Inputs!$B$13,Inputs!$B$7,0))/Y128,"")</f>
        <v/>
      </c>
      <c r="Z132" s="31" t="str">
        <f aca="false">IF(Z128&gt;0,(Y130+Z125+IF(Source_Data!Z$6=Inputs!$B$13,Inputs!$B$7,0))/Z128,"")</f>
        <v/>
      </c>
      <c r="AA132" s="31" t="str">
        <f aca="false">IF(AA128&gt;0,(Z130+AA125+IF(Source_Data!AA$6=Inputs!$B$13,Inputs!$B$7,0))/AA128,"")</f>
        <v/>
      </c>
      <c r="AB132" s="31" t="str">
        <f aca="false">IF(AB128&gt;0,(AA130+AB125+IF(Source_Data!AB$6=Inputs!$B$13,Inputs!$B$7,0))/AB128,"")</f>
        <v/>
      </c>
      <c r="AC132" s="31" t="str">
        <f aca="false">IF(AC128&gt;0,(AB130+AC125+IF(Source_Data!AC$6=Inputs!$B$13,Inputs!$B$7,0))/AC128,"")</f>
        <v/>
      </c>
      <c r="AD132" s="31" t="str">
        <f aca="false">IF(AD128&gt;0,(AC130+AD125+IF(Source_Data!AD$6=Inputs!$B$13,Inputs!$B$7,0))/AD128,"")</f>
        <v/>
      </c>
      <c r="AE132" s="31" t="str">
        <f aca="false">IF(AE128&gt;0,(AD130+AE125+IF(Source_Data!AE$6=Inputs!$B$13,Inputs!$B$7,0))/AE128,"")</f>
        <v/>
      </c>
      <c r="AF132" s="31" t="str">
        <f aca="false">IF(AF128&gt;0,(AE130+AF125+IF(Source_Data!AF$6=Inputs!$B$13,Inputs!$B$7,0))/AF128,"")</f>
        <v/>
      </c>
      <c r="AG132" s="31" t="str">
        <f aca="false">IF(AG128&gt;0,(AF130+AG125+IF(Source_Data!AG$6=Inputs!$B$13,Inputs!$B$7,0))/AG128,"")</f>
        <v/>
      </c>
      <c r="AH132" s="31" t="str">
        <f aca="false">IF(AH128&gt;0,(AG130+AH125+IF(Source_Data!AH$6=Inputs!$B$13,Inputs!$B$7,0))/AH128,"")</f>
        <v/>
      </c>
      <c r="AI132" s="31" t="str">
        <f aca="false">IF(AI128&gt;0,(AH130+AI125+IF(Source_Data!AI$6=Inputs!$B$13,Inputs!$B$7,0))/AI128,"")</f>
        <v/>
      </c>
      <c r="AJ132" s="31" t="str">
        <f aca="false">IF(AJ128&gt;0,(AI130+AJ125+IF(Source_Data!AJ$6=Inputs!$B$13,Inputs!$B$7,0))/AJ128,"")</f>
        <v/>
      </c>
      <c r="AK132" s="31" t="str">
        <f aca="false">IF(AK128&gt;0,(AJ130+AK125+IF(Source_Data!AK$6=Inputs!$B$13,Inputs!$B$7,0))/AK128,"")</f>
        <v/>
      </c>
      <c r="AL132" s="31" t="str">
        <f aca="false">IF(AL128&gt;0,(AK130+AL125+IF(Source_Data!AL$6=Inputs!$B$13,Inputs!$B$7,0))/AL128,"")</f>
        <v/>
      </c>
      <c r="AM132" s="31" t="str">
        <f aca="false">IF(AM128&gt;0,(AL130+AM125+IF(Source_Data!AM$6=Inputs!$B$13,Inputs!$B$7,0))/AM128,"")</f>
        <v/>
      </c>
      <c r="AN132" s="31" t="str">
        <f aca="false">IF(AN128&gt;0,(AM130+AN125+IF(Source_Data!AN$6=Inputs!$B$13,Inputs!$B$7,0))/AN128,"")</f>
        <v/>
      </c>
      <c r="AO132" s="31" t="str">
        <f aca="false">IF(AO128&gt;0,(AN130+AO125+IF(Source_Data!AO$6=Inputs!$B$13,Inputs!$B$7,0))/AO128,"")</f>
        <v/>
      </c>
      <c r="AP132" s="31" t="str">
        <f aca="false">IF(AP128&gt;0,(AO130+AP125+IF(Source_Data!AP$6=Inputs!$B$13,Inputs!$B$7,0))/AP128,"")</f>
        <v/>
      </c>
      <c r="AQ132" s="31" t="str">
        <f aca="false">IF(AQ128&gt;0,(AP130+AQ125+IF(Source_Data!AQ$6=Inputs!$B$13,Inputs!$B$7,0))/AQ128,"")</f>
        <v/>
      </c>
      <c r="AR132" s="31" t="str">
        <f aca="false">IF(AR128&gt;0,(AQ130+AR125+IF(Source_Data!AR$6=Inputs!$B$13,Inputs!$B$7,0))/AR128,"")</f>
        <v/>
      </c>
      <c r="AS132" s="31" t="str">
        <f aca="false">IF(AS128&gt;0,(AR130+AS125+IF(Source_Data!AS$6=Inputs!$B$13,Inputs!$B$7,0))/AS128,"")</f>
        <v/>
      </c>
      <c r="AT132" s="31" t="str">
        <f aca="false">IF(AT128&gt;0,(AS130+AT125+IF(Source_Data!AT$6=Inputs!$B$13,Inputs!$B$7,0))/AT128,"")</f>
        <v/>
      </c>
      <c r="AU132" s="31" t="str">
        <f aca="false">IF(AU128&gt;0,(AT130+AU125+IF(Source_Data!AU$6=Inputs!$B$13,Inputs!$B$7,0))/AU128,"")</f>
        <v/>
      </c>
      <c r="AV132" s="31" t="str">
        <f aca="false">IF(AV128&gt;0,(AU130+AV125+IF(Source_Data!AV$6=Inputs!$B$13,Inputs!$B$7,0))/AV128,"")</f>
        <v/>
      </c>
      <c r="AW132" s="31" t="str">
        <f aca="false">IF(AW128&gt;0,(AV130+AW125+IF(Source_Data!AW$6=Inputs!$B$13,Inputs!$B$7,0))/AW128,"")</f>
        <v/>
      </c>
      <c r="AX132" s="31" t="str">
        <f aca="false">IF(AX128&gt;0,(AW130+AX125+IF(Source_Data!AX$6=Inputs!$B$13,Inputs!$B$7,0))/AX128,"")</f>
        <v/>
      </c>
      <c r="AY132" s="31" t="str">
        <f aca="false">IF(AY128&gt;0,(AX130+AY125+IF(Source_Data!AY$6=Inputs!$B$13,Inputs!$B$7,0))/AY128,"")</f>
        <v/>
      </c>
      <c r="AZ132" s="31" t="str">
        <f aca="false">IF(AZ128&gt;0,(AY130+AZ125+IF(Source_Data!AZ$6=Inputs!$B$13,Inputs!$B$7,0))/AZ128,"")</f>
        <v/>
      </c>
      <c r="BA132" s="31" t="str">
        <f aca="false">IF(BA128&gt;0,(AZ130+BA125+IF(Source_Data!BA$6=Inputs!$B$13,Inputs!$B$7,0))/BA128,"")</f>
        <v/>
      </c>
      <c r="BB132" s="31" t="str">
        <f aca="false">IF(BB128&gt;0,(BA130+BB125+IF(Source_Data!BB$6=Inputs!$B$13,Inputs!$B$7,0))/BB128,"")</f>
        <v/>
      </c>
      <c r="BC132" s="31" t="str">
        <f aca="false">IF(BC128&gt;0,(BB130+BC125+IF(Source_Data!BC$6=Inputs!$B$13,Inputs!$B$7,0))/BC128,"")</f>
        <v/>
      </c>
      <c r="BD132" s="31" t="str">
        <f aca="false">IF(BD128&gt;0,(BC130+BD125+IF(Source_Data!BD$6=Inputs!$B$13,Inputs!$B$7,0))/BD128,"")</f>
        <v/>
      </c>
      <c r="BE132" s="31" t="str">
        <f aca="false">IF(BE128&gt;0,(BD130+BE125+IF(Source_Data!BE$6=Inputs!$B$13,Inputs!$B$7,0))/BE128,"")</f>
        <v/>
      </c>
      <c r="BF132" s="31" t="str">
        <f aca="false">IF(BF128&gt;0,(BE130+BF125+IF(Source_Data!BF$6=Inputs!$B$13,Inputs!$B$7,0))/BF128,"")</f>
        <v/>
      </c>
      <c r="BG132" s="31" t="str">
        <f aca="false">IF(BG128&gt;0,(BF130+BG125+IF(Source_Data!BG$6=Inputs!$B$13,Inputs!$B$7,0))/BG128,"")</f>
        <v/>
      </c>
      <c r="BH132" s="31" t="str">
        <f aca="false">IF(BH128&gt;0,(BG130+BH125+IF(Source_Data!BH$6=Inputs!$B$13,Inputs!$B$7,0))/BH128,"")</f>
        <v/>
      </c>
      <c r="BI132" s="31" t="str">
        <f aca="false">IF(BI128&gt;0,(BH130+BI125+IF(Source_Data!BI$6=Inputs!$B$13,Inputs!$B$7,0))/BI128,"")</f>
        <v/>
      </c>
      <c r="BJ132" s="31" t="str">
        <f aca="false">IF(BJ128&gt;0,(BI130+BJ125+IF(Source_Data!BJ$6=Inputs!$B$13,Inputs!$B$7,0))/BJ128,"")</f>
        <v/>
      </c>
      <c r="BK132" s="31" t="str">
        <f aca="false">IF(BK128&gt;0,(BJ130+BK125+IF(Source_Data!BK$6=Inputs!$B$13,Inputs!$B$7,0))/BK128,"")</f>
        <v/>
      </c>
    </row>
    <row r="134" customFormat="false" ht="15" hidden="false" customHeight="false" outlineLevel="0" collapsed="false">
      <c r="A134" s="2" t="s">
        <v>222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347</v>
      </c>
      <c r="B135" s="41" t="n">
        <f aca="false">SUMPRODUCT(D125:BK125,Project_CF!$D$15:$BK$15)</f>
        <v>441.872798253255</v>
      </c>
    </row>
    <row r="136" customFormat="false" ht="15" hidden="false" customHeight="false" outlineLevel="0" collapsed="false">
      <c r="A136" s="2" t="s">
        <v>164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348</v>
      </c>
      <c r="B137" s="35" t="n">
        <f aca="false">INDEX(Project_CF!$D$6:$BK$6,MATCH(MIN(D126:BK126),D126:BK126,0))</f>
        <v>0</v>
      </c>
    </row>
    <row r="138" customFormat="false" ht="15" hidden="false" customHeight="false" outlineLevel="0" collapsed="false">
      <c r="A138" s="2" t="s">
        <v>349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350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351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352</v>
      </c>
      <c r="B141" s="41" t="n">
        <f aca="false">MIN(D130:BK130)</f>
        <v>-27.5</v>
      </c>
    </row>
    <row r="142" customFormat="false" ht="15" hidden="false" customHeight="false" outlineLevel="0" collapsed="false">
      <c r="A142" s="2" t="s">
        <v>353</v>
      </c>
      <c r="B142" s="43" t="n">
        <f aca="false">MIN(D131:BK131)</f>
        <v>-11.0706780869565</v>
      </c>
    </row>
    <row r="143" customFormat="false" ht="15" hidden="false" customHeight="false" outlineLevel="0" collapsed="false">
      <c r="A143" s="2" t="s">
        <v>354</v>
      </c>
      <c r="B143" s="35" t="n">
        <f aca="false">COUNTIF(D131:BK131,"&lt;"&amp;Inputs!$B$44)</f>
        <v>6</v>
      </c>
    </row>
    <row r="144" customFormat="false" ht="15" hidden="false" customHeight="false" outlineLevel="0" collapsed="false">
      <c r="A144" s="2" t="s">
        <v>355</v>
      </c>
      <c r="B144" s="43" t="n">
        <f aca="false">MIN(D132:BK132)</f>
        <v>26.4546099217391</v>
      </c>
    </row>
    <row r="145" customFormat="false" ht="15" hidden="false" customHeight="false" outlineLevel="0" collapsed="false">
      <c r="A145" s="2" t="s">
        <v>356</v>
      </c>
      <c r="B145" s="35" t="n">
        <f aca="false">COUNTIF(D132:BK132,"&lt;"&amp;Inputs!$B$44)</f>
        <v>0</v>
      </c>
    </row>
    <row r="148" customFormat="false" ht="15" hidden="false" customHeight="false" outlineLevel="0" collapsed="false">
      <c r="A148" s="8" t="s">
        <v>363</v>
      </c>
    </row>
    <row r="149" customFormat="false" ht="15" hidden="false" customHeight="false" outlineLevel="0" collapsed="false">
      <c r="A149" s="3" t="s">
        <v>333</v>
      </c>
      <c r="B149" s="45" t="n">
        <v>1</v>
      </c>
    </row>
    <row r="150" customFormat="false" ht="15" hidden="false" customHeight="false" outlineLevel="0" collapsed="false">
      <c r="A150" s="3" t="s">
        <v>334</v>
      </c>
      <c r="B150" s="45" t="n">
        <v>2</v>
      </c>
    </row>
    <row r="151" customFormat="false" ht="15" hidden="false" customHeight="false" outlineLevel="0" collapsed="false">
      <c r="A151" s="3" t="s">
        <v>335</v>
      </c>
      <c r="B151" s="45" t="n">
        <v>1</v>
      </c>
    </row>
    <row r="152" customFormat="false" ht="15" hidden="false" customHeight="false" outlineLevel="0" collapsed="false">
      <c r="A152" s="3" t="s">
        <v>336</v>
      </c>
      <c r="B152" s="45" t="n">
        <v>0</v>
      </c>
    </row>
    <row r="153" customFormat="false" ht="15" hidden="false" customHeight="false" outlineLevel="0" collapsed="false">
      <c r="A153" s="3" t="s">
        <v>337</v>
      </c>
      <c r="B153" s="45" t="n">
        <v>0</v>
      </c>
    </row>
    <row r="154" customFormat="false" ht="15" hidden="false" customHeight="false" outlineLevel="0" collapsed="false">
      <c r="A154" s="3" t="s">
        <v>338</v>
      </c>
      <c r="B154" s="3" t="n">
        <f aca="false">Inputs!$B$14+3+3*$B$150</f>
        <v>51</v>
      </c>
    </row>
    <row r="155" customFormat="false" ht="15" hidden="false" customHeight="false" outlineLevel="0" collapsed="false">
      <c r="A155" s="3" t="s">
        <v>339</v>
      </c>
      <c r="D155" s="33" t="n">
        <f aca="false">Source_Data!D$7+IF($B$153=1,IF(Source_Data!D$6=Inputs!$B$14,Source_Data!$C$8,0),Source_Data!D$8)</f>
        <v>0</v>
      </c>
      <c r="E155" s="33" t="n">
        <f aca="false">Source_Data!E$7+IF($B$153=1,IF(Source_Data!E$6=Inputs!$B$14,Source_Data!$C$8,0),Source_Data!E$8)</f>
        <v>0</v>
      </c>
      <c r="F155" s="33" t="n">
        <f aca="false">Source_Data!F$7+IF($B$153=1,IF(Source_Data!F$6=Inputs!$B$14,Source_Data!$C$8,0),Source_Data!F$8)</f>
        <v>15.1392375</v>
      </c>
      <c r="G155" s="33" t="n">
        <f aca="false">Source_Data!G$7+IF($B$153=1,IF(Source_Data!G$6=Inputs!$B$14,Source_Data!$C$8,0),Source_Data!G$8)</f>
        <v>30.278475</v>
      </c>
      <c r="H155" s="33" t="n">
        <f aca="false">Source_Data!H$7+IF($B$153=1,IF(Source_Data!H$6=Inputs!$B$14,Source_Data!$C$8,0),Source_Data!H$8)</f>
        <v>46.51200625</v>
      </c>
      <c r="I155" s="33" t="n">
        <f aca="false">Source_Data!I$7+IF($B$153=1,IF(Source_Data!I$6=Inputs!$B$14,Source_Data!$C$8,0),Source_Data!I$8)</f>
        <v>62.7455375</v>
      </c>
      <c r="J155" s="33" t="n">
        <f aca="false">Source_Data!J$7+IF($B$153=1,IF(Source_Data!J$6=Inputs!$B$14,Source_Data!$C$8,0),Source_Data!J$8)</f>
        <v>62.3657</v>
      </c>
      <c r="K155" s="33" t="n">
        <f aca="false">Source_Data!K$7+IF($B$153=1,IF(Source_Data!K$6=Inputs!$B$14,Source_Data!$C$8,0),Source_Data!K$8)</f>
        <v>63.473559375</v>
      </c>
      <c r="L155" s="33" t="n">
        <f aca="false">Source_Data!L$7+IF($B$153=1,IF(Source_Data!L$6=Inputs!$B$14,Source_Data!$C$8,0),Source_Data!L$8)</f>
        <v>80.3288484375</v>
      </c>
      <c r="M155" s="33" t="n">
        <f aca="false">Source_Data!M$7+IF($B$153=1,IF(Source_Data!M$6=Inputs!$B$14,Source_Data!$C$8,0),Source_Data!M$8)</f>
        <v>495.2538375</v>
      </c>
      <c r="N155" s="33" t="n">
        <f aca="false">Source_Data!N$7+IF($B$153=1,IF(Source_Data!N$6=Inputs!$B$14,Source_Data!$C$8,0),Source_Data!N$8)</f>
        <v>185.57775</v>
      </c>
      <c r="O155" s="33" t="n">
        <f aca="false">Source_Data!O$7+IF($B$153=1,IF(Source_Data!O$6=Inputs!$B$14,Source_Data!$C$8,0),Source_Data!O$8)</f>
        <v>176.534</v>
      </c>
      <c r="P155" s="33" t="n">
        <f aca="false">Source_Data!P$7+IF($B$153=1,IF(Source_Data!P$6=Inputs!$B$14,Source_Data!$C$8,0),Source_Data!P$8)</f>
        <v>97.31075</v>
      </c>
      <c r="Q155" s="33" t="n">
        <f aca="false">Source_Data!Q$7+IF($B$153=1,IF(Source_Data!Q$6=Inputs!$B$14,Source_Data!$C$8,0),Source_Data!Q$8)</f>
        <v>71.30996875</v>
      </c>
      <c r="R155" s="33" t="n">
        <f aca="false">Source_Data!R$7+IF($B$153=1,IF(Source_Data!R$6=Inputs!$B$14,Source_Data!$C$8,0),Source_Data!R$8)</f>
        <v>71.30996875</v>
      </c>
      <c r="S155" s="33" t="n">
        <f aca="false">Source_Data!S$7+IF($B$153=1,IF(Source_Data!S$6=Inputs!$B$14,Source_Data!$C$8,0),Source_Data!S$8)</f>
        <v>68.037035625</v>
      </c>
      <c r="T155" s="33" t="n">
        <f aca="false">Source_Data!T$7+IF($B$153=1,IF(Source_Data!T$6=Inputs!$B$14,Source_Data!$C$8,0),Source_Data!T$8)</f>
        <v>61.2266396875</v>
      </c>
      <c r="U155" s="33" t="n">
        <f aca="false">Source_Data!U$7+IF($B$153=1,IF(Source_Data!U$6=Inputs!$B$14,Source_Data!$C$8,0),Source_Data!U$8)</f>
        <v>59.7127159375</v>
      </c>
      <c r="V155" s="33" t="n">
        <f aca="false">Source_Data!V$7+IF($B$153=1,IF(Source_Data!V$6=Inputs!$B$14,Source_Data!$C$8,0),Source_Data!V$8)</f>
        <v>53.7239446875</v>
      </c>
      <c r="W155" s="33" t="n">
        <f aca="false">Source_Data!W$7+IF($B$153=1,IF(Source_Data!W$6=Inputs!$B$14,Source_Data!$C$8,0),Source_Data!W$8)</f>
        <v>49.3829446875</v>
      </c>
      <c r="X155" s="33" t="n">
        <f aca="false">Source_Data!X$7+IF($B$153=1,IF(Source_Data!X$6=Inputs!$B$14,Source_Data!$C$8,0),Source_Data!X$8)</f>
        <v>49.3829446875</v>
      </c>
      <c r="Y155" s="33" t="n">
        <f aca="false">Source_Data!Y$7+IF($B$153=1,IF(Source_Data!Y$6=Inputs!$B$14,Source_Data!$C$8,0),Source_Data!Y$8)</f>
        <v>42.1027259375</v>
      </c>
      <c r="Z155" s="33" t="n">
        <f aca="false">Source_Data!Z$7+IF($B$153=1,IF(Source_Data!Z$6=Inputs!$B$14,Source_Data!$C$8,0),Source_Data!Z$8)</f>
        <v>42.1027259375</v>
      </c>
      <c r="AA155" s="33" t="n">
        <f aca="false">Source_Data!AA$7+IF($B$153=1,IF(Source_Data!AA$6=Inputs!$B$14,Source_Data!$C$8,0),Source_Data!AA$8)</f>
        <v>42.1027259375</v>
      </c>
      <c r="AB155" s="33" t="n">
        <f aca="false">Source_Data!AB$7+IF($B$153=1,IF(Source_Data!AB$6=Inputs!$B$14,Source_Data!$C$8,0),Source_Data!AB$8)</f>
        <v>36.3147259375</v>
      </c>
      <c r="AC155" s="33" t="n">
        <f aca="false">Source_Data!AC$7+IF($B$153=1,IF(Source_Data!AC$6=Inputs!$B$14,Source_Data!$C$8,0),Source_Data!AC$8)</f>
        <v>33.0386275</v>
      </c>
      <c r="AD155" s="33" t="n">
        <f aca="false">Source_Data!AD$7+IF($B$153=1,IF(Source_Data!AD$6=Inputs!$B$14,Source_Data!$C$8,0),Source_Data!AD$8)</f>
        <v>29.43017125</v>
      </c>
      <c r="AE155" s="33" t="n">
        <f aca="false">Source_Data!AE$7+IF($B$153=1,IF(Source_Data!AE$6=Inputs!$B$14,Source_Data!$C$8,0),Source_Data!AE$8)</f>
        <v>25.08917125</v>
      </c>
      <c r="AF155" s="33" t="n">
        <f aca="false">Source_Data!AF$7+IF($B$153=1,IF(Source_Data!AF$6=Inputs!$B$14,Source_Data!$C$8,0),Source_Data!AF$8)</f>
        <v>25.08917125</v>
      </c>
      <c r="AG155" s="33" t="n">
        <f aca="false">Source_Data!AG$7+IF($B$153=1,IF(Source_Data!AG$6=Inputs!$B$14,Source_Data!$C$8,0),Source_Data!AG$8)</f>
        <v>25.08917125</v>
      </c>
      <c r="AH155" s="33" t="n">
        <f aca="false">Source_Data!AH$7+IF($B$153=1,IF(Source_Data!AH$6=Inputs!$B$14,Source_Data!$C$8,0),Source_Data!AH$8)</f>
        <v>25.08917125</v>
      </c>
      <c r="AI155" s="33" t="n">
        <f aca="false">Source_Data!AI$7+IF($B$153=1,IF(Source_Data!AI$6=Inputs!$B$14,Source_Data!$C$8,0),Source_Data!AI$8)</f>
        <v>25.08917125</v>
      </c>
      <c r="AJ155" s="33" t="n">
        <f aca="false">Source_Data!AJ$7+IF($B$153=1,IF(Source_Data!AJ$6=Inputs!$B$14,Source_Data!$C$8,0),Source_Data!AJ$8)</f>
        <v>25.08917125</v>
      </c>
      <c r="AK155" s="33" t="n">
        <f aca="false">Source_Data!AK$7+IF($B$153=1,IF(Source_Data!AK$6=Inputs!$B$14,Source_Data!$C$8,0),Source_Data!AK$8)</f>
        <v>22.905105625</v>
      </c>
      <c r="AL155" s="33" t="n">
        <f aca="false">Source_Data!AL$7+IF($B$153=1,IF(Source_Data!AL$6=Inputs!$B$14,Source_Data!$C$8,0),Source_Data!AL$8)</f>
        <v>22.905105625</v>
      </c>
      <c r="AM155" s="33" t="n">
        <f aca="false">Source_Data!AM$7+IF($B$153=1,IF(Source_Data!AM$6=Inputs!$B$14,Source_Data!$C$8,0),Source_Data!AM$8)</f>
        <v>18.739554375</v>
      </c>
      <c r="AN155" s="33" t="n">
        <f aca="false">Source_Data!AN$7+IF($B$153=1,IF(Source_Data!AN$6=Inputs!$B$14,Source_Data!$C$8,0),Source_Data!AN$8)</f>
        <v>9.6261675</v>
      </c>
      <c r="AO155" s="33" t="n">
        <f aca="false">Source_Data!AO$7+IF($B$153=1,IF(Source_Data!AO$6=Inputs!$B$14,Source_Data!$C$8,0),Source_Data!AO$8)</f>
        <v>3.5704725</v>
      </c>
      <c r="AP155" s="33" t="n">
        <f aca="false">Source_Data!AP$7+IF($B$153=1,IF(Source_Data!AP$6=Inputs!$B$14,Source_Data!$C$8,0),Source_Data!AP$8)</f>
        <v>0</v>
      </c>
      <c r="AQ155" s="33" t="n">
        <f aca="false">Source_Data!AQ$7+IF($B$153=1,IF(Source_Data!AQ$6=Inputs!$B$14,Source_Data!$C$8,0),Source_Data!AQ$8)</f>
        <v>0</v>
      </c>
      <c r="AR155" s="33" t="n">
        <f aca="false">Source_Data!AR$7+IF($B$153=1,IF(Source_Data!AR$6=Inputs!$B$14,Source_Data!$C$8,0),Source_Data!AR$8)</f>
        <v>0</v>
      </c>
      <c r="AS155" s="33" t="n">
        <f aca="false">Source_Data!AS$7+IF($B$153=1,IF(Source_Data!AS$6=Inputs!$B$14,Source_Data!$C$8,0),Source_Data!AS$8)</f>
        <v>0</v>
      </c>
      <c r="AT155" s="33" t="n">
        <f aca="false">Source_Data!AT$7+IF($B$153=1,IF(Source_Data!AT$6=Inputs!$B$14,Source_Data!$C$8,0),Source_Data!AT$8)</f>
        <v>0</v>
      </c>
      <c r="AU155" s="33" t="n">
        <f aca="false">Source_Data!AU$7+IF($B$153=1,IF(Source_Data!AU$6=Inputs!$B$14,Source_Data!$C$8,0),Source_Data!AU$8)</f>
        <v>0</v>
      </c>
      <c r="AV155" s="33" t="n">
        <f aca="false">Source_Data!AV$7+IF($B$153=1,IF(Source_Data!AV$6=Inputs!$B$14,Source_Data!$C$8,0),Source_Data!AV$8)</f>
        <v>0</v>
      </c>
      <c r="AW155" s="33" t="n">
        <f aca="false">Source_Data!AW$7+IF($B$153=1,IF(Source_Data!AW$6=Inputs!$B$14,Source_Data!$C$8,0),Source_Data!AW$8)</f>
        <v>0</v>
      </c>
      <c r="AX155" s="33" t="n">
        <f aca="false">Source_Data!AX$7+IF($B$153=1,IF(Source_Data!AX$6=Inputs!$B$14,Source_Data!$C$8,0),Source_Data!AX$8)</f>
        <v>0</v>
      </c>
      <c r="AY155" s="33" t="n">
        <f aca="false">Source_Data!AY$7+IF($B$153=1,IF(Source_Data!AY$6=Inputs!$B$14,Source_Data!$C$8,0),Source_Data!AY$8)</f>
        <v>0</v>
      </c>
      <c r="AZ155" s="33" t="n">
        <f aca="false">Source_Data!AZ$7+IF($B$153=1,IF(Source_Data!AZ$6=Inputs!$B$14,Source_Data!$C$8,0),Source_Data!AZ$8)</f>
        <v>0</v>
      </c>
      <c r="BA155" s="33" t="n">
        <f aca="false">Source_Data!BA$7+IF($B$153=1,IF(Source_Data!BA$6=Inputs!$B$14,Source_Data!$C$8,0),Source_Data!BA$8)</f>
        <v>0</v>
      </c>
      <c r="BB155" s="33" t="n">
        <f aca="false">Source_Data!BB$7+IF($B$153=1,IF(Source_Data!BB$6=Inputs!$B$14,Source_Data!$C$8,0),Source_Data!BB$8)</f>
        <v>0</v>
      </c>
      <c r="BC155" s="33" t="n">
        <f aca="false">Source_Data!BC$7+IF($B$153=1,IF(Source_Data!BC$6=Inputs!$B$14,Source_Data!$C$8,0),Source_Data!BC$8)</f>
        <v>0</v>
      </c>
      <c r="BD155" s="33" t="n">
        <f aca="false">Source_Data!BD$7+IF($B$153=1,IF(Source_Data!BD$6=Inputs!$B$14,Source_Data!$C$8,0),Source_Data!BD$8)</f>
        <v>0</v>
      </c>
      <c r="BE155" s="33" t="n">
        <f aca="false">Source_Data!BE$7+IF($B$153=1,IF(Source_Data!BE$6=Inputs!$B$14,Source_Data!$C$8,0),Source_Data!BE$8)</f>
        <v>0</v>
      </c>
      <c r="BF155" s="33" t="n">
        <f aca="false">Source_Data!BF$7+IF($B$153=1,IF(Source_Data!BF$6=Inputs!$B$14,Source_Data!$C$8,0),Source_Data!BF$8)</f>
        <v>0</v>
      </c>
      <c r="BG155" s="33" t="n">
        <f aca="false">Source_Data!BG$7+IF($B$153=1,IF(Source_Data!BG$6=Inputs!$B$14,Source_Data!$C$8,0),Source_Data!BG$8)</f>
        <v>0</v>
      </c>
      <c r="BH155" s="33" t="n">
        <f aca="false">Source_Data!BH$7+IF($B$153=1,IF(Source_Data!BH$6=Inputs!$B$14,Source_Data!$C$8,0),Source_Data!BH$8)</f>
        <v>0</v>
      </c>
      <c r="BI155" s="33" t="n">
        <f aca="false">Source_Data!BI$7+IF($B$153=1,IF(Source_Data!BI$6=Inputs!$B$14,Source_Data!$C$8,0),Source_Data!BI$8)</f>
        <v>0</v>
      </c>
      <c r="BJ155" s="33" t="n">
        <f aca="false">Source_Data!BJ$7+IF($B$153=1,IF(Source_Data!BJ$6=Inputs!$B$14,Source_Data!$C$8,0),Source_Data!BJ$8)</f>
        <v>0</v>
      </c>
      <c r="BK155" s="33" t="n">
        <f aca="false">Source_Data!BK$7+IF($B$153=1,IF(Source_Data!BK$6=Inputs!$B$14,Source_Data!$C$8,0),Source_Data!BK$8)</f>
        <v>0</v>
      </c>
    </row>
    <row r="156" customFormat="false" ht="15" hidden="false" customHeight="false" outlineLevel="0" collapsed="false">
      <c r="A156" s="3" t="s">
        <v>215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340</v>
      </c>
      <c r="D157" s="33" t="n">
        <f aca="false">Source_Data!D$9+Source_Data!D$10*IF(Source_Data!$C$10=0,0,MAX(0,Inputs!$B$20*Inputs!$B$23*$B$149-Inputs!$B$21)/Source_Data!$C$10)</f>
        <v>91.25</v>
      </c>
      <c r="E157" s="33" t="n">
        <f aca="false">Source_Data!E$9+Source_Data!E$10*IF(Source_Data!$C$10=0,0,MAX(0,Inputs!$B$20*Inputs!$B$23*$B$149-Inputs!$B$21)/Source_Data!$C$10)</f>
        <v>11.25</v>
      </c>
      <c r="F157" s="33" t="n">
        <f aca="false">Source_Data!F$9+Source_Data!F$10*IF(Source_Data!$C$10=0,0,MAX(0,Inputs!$B$20*Inputs!$B$23*$B$149-Inputs!$B$21)/Source_Data!$C$10)</f>
        <v>11.25</v>
      </c>
      <c r="G157" s="33" t="n">
        <f aca="false">Source_Data!G$9+Source_Data!G$10*IF(Source_Data!$C$10=0,0,MAX(0,Inputs!$B$20*Inputs!$B$23*$B$149-Inputs!$B$21)/Source_Data!$C$10)</f>
        <v>11.25</v>
      </c>
      <c r="H157" s="33" t="n">
        <f aca="false">Source_Data!H$9+Source_Data!H$10*IF(Source_Data!$C$10=0,0,MAX(0,Inputs!$B$20*Inputs!$B$23*$B$149-Inputs!$B$21)/Source_Data!$C$10)</f>
        <v>22.5</v>
      </c>
      <c r="I157" s="33" t="n">
        <f aca="false">Source_Data!I$9+Source_Data!I$10*IF(Source_Data!$C$10=0,0,MAX(0,Inputs!$B$20*Inputs!$B$23*$B$149-Inputs!$B$21)/Source_Data!$C$10)</f>
        <v>22.5</v>
      </c>
      <c r="J157" s="33" t="n">
        <f aca="false">Source_Data!J$9+Source_Data!J$10*IF(Source_Data!$C$10=0,0,MAX(0,Inputs!$B$20*Inputs!$B$23*$B$149-Inputs!$B$21)/Source_Data!$C$10)</f>
        <v>22.5</v>
      </c>
      <c r="K157" s="33" t="n">
        <f aca="false">Source_Data!K$9+Source_Data!K$10*IF(Source_Data!$C$10=0,0,MAX(0,Inputs!$B$20*Inputs!$B$23*$B$149-Inputs!$B$21)/Source_Data!$C$10)</f>
        <v>22.5</v>
      </c>
      <c r="L157" s="33" t="n">
        <f aca="false">Source_Data!L$9+Source_Data!L$10*IF(Source_Data!$C$10=0,0,MAX(0,Inputs!$B$20*Inputs!$B$23*$B$149-Inputs!$B$21)/Source_Data!$C$10)</f>
        <v>33.75</v>
      </c>
      <c r="M157" s="33" t="n">
        <f aca="false">Source_Data!M$9+Source_Data!M$10*IF(Source_Data!$C$10=0,0,MAX(0,Inputs!$B$20*Inputs!$B$23*$B$149-Inputs!$B$21)/Source_Data!$C$10)</f>
        <v>33.75</v>
      </c>
      <c r="N157" s="33" t="n">
        <f aca="false">Source_Data!N$9+Source_Data!N$10*IF(Source_Data!$C$10=0,0,MAX(0,Inputs!$B$20*Inputs!$B$23*$B$149-Inputs!$B$21)/Source_Data!$C$10)</f>
        <v>33.75</v>
      </c>
      <c r="O157" s="33" t="n">
        <f aca="false">Source_Data!O$9+Source_Data!O$10*IF(Source_Data!$C$10=0,0,MAX(0,Inputs!$B$20*Inputs!$B$23*$B$149-Inputs!$B$21)/Source_Data!$C$10)</f>
        <v>33.75</v>
      </c>
      <c r="P157" s="33" t="n">
        <f aca="false">Source_Data!P$9+Source_Data!P$10*IF(Source_Data!$C$10=0,0,MAX(0,Inputs!$B$20*Inputs!$B$23*$B$149-Inputs!$B$21)/Source_Data!$C$10)</f>
        <v>45</v>
      </c>
      <c r="Q157" s="33" t="n">
        <f aca="false">Source_Data!Q$9+Source_Data!Q$10*IF(Source_Data!$C$10=0,0,MAX(0,Inputs!$B$20*Inputs!$B$23*$B$149-Inputs!$B$21)/Source_Data!$C$10)</f>
        <v>45</v>
      </c>
      <c r="R157" s="33" t="n">
        <f aca="false">Source_Data!R$9+Source_Data!R$10*IF(Source_Data!$C$10=0,0,MAX(0,Inputs!$B$20*Inputs!$B$23*$B$149-Inputs!$B$21)/Source_Data!$C$10)</f>
        <v>45</v>
      </c>
      <c r="S157" s="33" t="n">
        <f aca="false">Source_Data!S$9+Source_Data!S$10*IF(Source_Data!$C$10=0,0,MAX(0,Inputs!$B$20*Inputs!$B$23*$B$149-Inputs!$B$21)/Source_Data!$C$10)</f>
        <v>45</v>
      </c>
      <c r="T157" s="33" t="n">
        <f aca="false">Source_Data!T$9+Source_Data!T$10*IF(Source_Data!$C$10=0,0,MAX(0,Inputs!$B$20*Inputs!$B$23*$B$149-Inputs!$B$21)/Source_Data!$C$10)</f>
        <v>45</v>
      </c>
      <c r="U157" s="33" t="n">
        <f aca="false">Source_Data!U$9+Source_Data!U$10*IF(Source_Data!$C$10=0,0,MAX(0,Inputs!$B$20*Inputs!$B$23*$B$149-Inputs!$B$21)/Source_Data!$C$10)</f>
        <v>45</v>
      </c>
      <c r="V157" s="33" t="n">
        <f aca="false">Source_Data!V$9+Source_Data!V$10*IF(Source_Data!$C$10=0,0,MAX(0,Inputs!$B$20*Inputs!$B$23*$B$149-Inputs!$B$21)/Source_Data!$C$10)</f>
        <v>45</v>
      </c>
      <c r="W157" s="33" t="n">
        <f aca="false">Source_Data!W$9+Source_Data!W$10*IF(Source_Data!$C$10=0,0,MAX(0,Inputs!$B$20*Inputs!$B$23*$B$149-Inputs!$B$21)/Source_Data!$C$10)</f>
        <v>45</v>
      </c>
      <c r="X157" s="33" t="n">
        <f aca="false">Source_Data!X$9+Source_Data!X$10*IF(Source_Data!$C$10=0,0,MAX(0,Inputs!$B$20*Inputs!$B$23*$B$149-Inputs!$B$21)/Source_Data!$C$10)</f>
        <v>22.5</v>
      </c>
      <c r="Y157" s="33" t="n">
        <f aca="false">Source_Data!Y$9+Source_Data!Y$10*IF(Source_Data!$C$10=0,0,MAX(0,Inputs!$B$20*Inputs!$B$23*$B$149-Inputs!$B$21)/Source_Data!$C$10)</f>
        <v>22.5</v>
      </c>
      <c r="Z157" s="33" t="n">
        <f aca="false">Source_Data!Z$9+Source_Data!Z$10*IF(Source_Data!$C$10=0,0,MAX(0,Inputs!$B$20*Inputs!$B$23*$B$149-Inputs!$B$21)/Source_Data!$C$10)</f>
        <v>22.5</v>
      </c>
      <c r="AA157" s="33" t="n">
        <f aca="false">Source_Data!AA$9+Source_Data!AA$10*IF(Source_Data!$C$10=0,0,MAX(0,Inputs!$B$20*Inputs!$B$23*$B$149-Inputs!$B$21)/Source_Data!$C$10)</f>
        <v>22.5</v>
      </c>
      <c r="AB157" s="33" t="n">
        <f aca="false">Source_Data!AB$9+Source_Data!AB$10*IF(Source_Data!$C$10=0,0,MAX(0,Inputs!$B$20*Inputs!$B$23*$B$149-Inputs!$B$21)/Source_Data!$C$10)</f>
        <v>0</v>
      </c>
      <c r="AC157" s="33" t="n">
        <f aca="false">Source_Data!AC$9+Source_Data!AC$10*IF(Source_Data!$C$10=0,0,MAX(0,Inputs!$B$20*Inputs!$B$23*$B$149-Inputs!$B$21)/Source_Data!$C$10)</f>
        <v>0</v>
      </c>
      <c r="AD157" s="33" t="n">
        <f aca="false">Source_Data!AD$9+Source_Data!AD$10*IF(Source_Data!$C$10=0,0,MAX(0,Inputs!$B$20*Inputs!$B$23*$B$149-Inputs!$B$21)/Source_Data!$C$10)</f>
        <v>0</v>
      </c>
      <c r="AE157" s="33" t="n">
        <f aca="false">Source_Data!AE$9+Source_Data!AE$10*IF(Source_Data!$C$10=0,0,MAX(0,Inputs!$B$20*Inputs!$B$23*$B$149-Inputs!$B$21)/Source_Data!$C$10)</f>
        <v>0</v>
      </c>
      <c r="AF157" s="33" t="n">
        <f aca="false">Source_Data!AF$9+Source_Data!AF$10*IF(Source_Data!$C$10=0,0,MAX(0,Inputs!$B$20*Inputs!$B$23*$B$149-Inputs!$B$21)/Source_Data!$C$10)</f>
        <v>107.758210351563</v>
      </c>
      <c r="AG157" s="33" t="n">
        <f aca="false">Source_Data!AG$9+Source_Data!AG$10*IF(Source_Data!$C$10=0,0,MAX(0,Inputs!$B$20*Inputs!$B$23*$B$149-Inputs!$B$21)/Source_Data!$C$10)</f>
        <v>10.976512421875</v>
      </c>
      <c r="AH157" s="33" t="n">
        <f aca="false">Source_Data!AH$9+Source_Data!AH$10*IF(Source_Data!$C$10=0,0,MAX(0,Inputs!$B$20*Inputs!$B$23*$B$149-Inputs!$B$21)/Source_Data!$C$10)</f>
        <v>10.976512421875</v>
      </c>
      <c r="AI157" s="33" t="n">
        <f aca="false">Source_Data!AI$9+Source_Data!AI$10*IF(Source_Data!$C$10=0,0,MAX(0,Inputs!$B$20*Inputs!$B$23*$B$149-Inputs!$B$21)/Source_Data!$C$10)</f>
        <v>10.976512421875</v>
      </c>
      <c r="AJ157" s="33" t="n">
        <f aca="false">Source_Data!AJ$9+Source_Data!AJ$10*IF(Source_Data!$C$10=0,0,MAX(0,Inputs!$B$20*Inputs!$B$23*$B$149-Inputs!$B$21)/Source_Data!$C$10)</f>
        <v>10.976512421875</v>
      </c>
      <c r="AK157" s="33" t="n">
        <f aca="false">Source_Data!AK$9+Source_Data!AK$10*IF(Source_Data!$C$10=0,0,MAX(0,Inputs!$B$20*Inputs!$B$23*$B$149-Inputs!$B$21)/Source_Data!$C$10)</f>
        <v>10.0209837109375</v>
      </c>
      <c r="AL157" s="33" t="n">
        <f aca="false">Source_Data!AL$9+Source_Data!AL$10*IF(Source_Data!$C$10=0,0,MAX(0,Inputs!$B$20*Inputs!$B$23*$B$149-Inputs!$B$21)/Source_Data!$C$10)</f>
        <v>10.0209837109375</v>
      </c>
      <c r="AM157" s="33" t="n">
        <f aca="false">Source_Data!AM$9+Source_Data!AM$10*IF(Source_Data!$C$10=0,0,MAX(0,Inputs!$B$20*Inputs!$B$23*$B$149-Inputs!$B$21)/Source_Data!$C$10)</f>
        <v>8.19855503906249</v>
      </c>
      <c r="AN157" s="33" t="n">
        <f aca="false">Source_Data!AN$9+Source_Data!AN$10*IF(Source_Data!$C$10=0,0,MAX(0,Inputs!$B$20*Inputs!$B$23*$B$149-Inputs!$B$21)/Source_Data!$C$10)</f>
        <v>4.21144828125</v>
      </c>
      <c r="AO157" s="33" t="n">
        <f aca="false">Source_Data!AO$9+Source_Data!AO$10*IF(Source_Data!$C$10=0,0,MAX(0,Inputs!$B$20*Inputs!$B$23*$B$149-Inputs!$B$21)/Source_Data!$C$10)</f>
        <v>1.56208171875</v>
      </c>
      <c r="AP157" s="33" t="n">
        <f aca="false">Source_Data!AP$9+Source_Data!AP$10*IF(Source_Data!$C$10=0,0,MAX(0,Inputs!$B$20*Inputs!$B$23*$B$149-Inputs!$B$21)/Source_Data!$C$10)</f>
        <v>0</v>
      </c>
      <c r="AQ157" s="33" t="n">
        <f aca="false">Source_Data!AQ$9+Source_Data!AQ$10*IF(Source_Data!$C$10=0,0,MAX(0,Inputs!$B$20*Inputs!$B$23*$B$149-Inputs!$B$21)/Source_Data!$C$10)</f>
        <v>0</v>
      </c>
      <c r="AR157" s="33" t="n">
        <f aca="false">Source_Data!AR$9+Source_Data!AR$10*IF(Source_Data!$C$10=0,0,MAX(0,Inputs!$B$20*Inputs!$B$23*$B$149-Inputs!$B$21)/Source_Data!$C$10)</f>
        <v>0</v>
      </c>
      <c r="AS157" s="33" t="n">
        <f aca="false">Source_Data!AS$9+Source_Data!AS$10*IF(Source_Data!$C$10=0,0,MAX(0,Inputs!$B$20*Inputs!$B$23*$B$149-Inputs!$B$21)/Source_Data!$C$10)</f>
        <v>0</v>
      </c>
      <c r="AT157" s="33" t="n">
        <f aca="false">Source_Data!AT$9+Source_Data!AT$10*IF(Source_Data!$C$10=0,0,MAX(0,Inputs!$B$20*Inputs!$B$23*$B$149-Inputs!$B$21)/Source_Data!$C$10)</f>
        <v>0</v>
      </c>
      <c r="AU157" s="33" t="n">
        <f aca="false">Source_Data!AU$9+Source_Data!AU$10*IF(Source_Data!$C$10=0,0,MAX(0,Inputs!$B$20*Inputs!$B$23*$B$149-Inputs!$B$21)/Source_Data!$C$10)</f>
        <v>0</v>
      </c>
      <c r="AV157" s="33" t="n">
        <f aca="false">Source_Data!AV$9+Source_Data!AV$10*IF(Source_Data!$C$10=0,0,MAX(0,Inputs!$B$20*Inputs!$B$23*$B$149-Inputs!$B$21)/Source_Data!$C$10)</f>
        <v>0</v>
      </c>
      <c r="AW157" s="33" t="n">
        <f aca="false">Source_Data!AW$9+Source_Data!AW$10*IF(Source_Data!$C$10=0,0,MAX(0,Inputs!$B$20*Inputs!$B$23*$B$149-Inputs!$B$21)/Source_Data!$C$10)</f>
        <v>0</v>
      </c>
      <c r="AX157" s="33" t="n">
        <f aca="false">Source_Data!AX$9+Source_Data!AX$10*IF(Source_Data!$C$10=0,0,MAX(0,Inputs!$B$20*Inputs!$B$23*$B$149-Inputs!$B$21)/Source_Data!$C$10)</f>
        <v>0</v>
      </c>
      <c r="AY157" s="33" t="n">
        <f aca="false">Source_Data!AY$9+Source_Data!AY$10*IF(Source_Data!$C$10=0,0,MAX(0,Inputs!$B$20*Inputs!$B$23*$B$149-Inputs!$B$21)/Source_Data!$C$10)</f>
        <v>0</v>
      </c>
      <c r="AZ157" s="33" t="n">
        <f aca="false">Source_Data!AZ$9+Source_Data!AZ$10*IF(Source_Data!$C$10=0,0,MAX(0,Inputs!$B$20*Inputs!$B$23*$B$149-Inputs!$B$21)/Source_Data!$C$10)</f>
        <v>0</v>
      </c>
      <c r="BA157" s="33" t="n">
        <f aca="false">Source_Data!BA$9+Source_Data!BA$10*IF(Source_Data!$C$10=0,0,MAX(0,Inputs!$B$20*Inputs!$B$23*$B$149-Inputs!$B$21)/Source_Data!$C$10)</f>
        <v>0</v>
      </c>
      <c r="BB157" s="33" t="n">
        <f aca="false">Source_Data!BB$9+Source_Data!BB$10*IF(Source_Data!$C$10=0,0,MAX(0,Inputs!$B$20*Inputs!$B$23*$B$149-Inputs!$B$21)/Source_Data!$C$10)</f>
        <v>0</v>
      </c>
      <c r="BC157" s="33" t="n">
        <f aca="false">Source_Data!BC$9+Source_Data!BC$10*IF(Source_Data!$C$10=0,0,MAX(0,Inputs!$B$20*Inputs!$B$23*$B$149-Inputs!$B$21)/Source_Data!$C$10)</f>
        <v>0</v>
      </c>
      <c r="BD157" s="33" t="n">
        <f aca="false">Source_Data!BD$9+Source_Data!BD$10*IF(Source_Data!$C$10=0,0,MAX(0,Inputs!$B$20*Inputs!$B$23*$B$149-Inputs!$B$21)/Source_Data!$C$10)</f>
        <v>0</v>
      </c>
      <c r="BE157" s="33" t="n">
        <f aca="false">Source_Data!BE$9+Source_Data!BE$10*IF(Source_Data!$C$10=0,0,MAX(0,Inputs!$B$20*Inputs!$B$23*$B$149-Inputs!$B$21)/Source_Data!$C$10)</f>
        <v>0</v>
      </c>
      <c r="BF157" s="33" t="n">
        <f aca="false">Source_Data!BF$9+Source_Data!BF$10*IF(Source_Data!$C$10=0,0,MAX(0,Inputs!$B$20*Inputs!$B$23*$B$149-Inputs!$B$21)/Source_Data!$C$10)</f>
        <v>0</v>
      </c>
      <c r="BG157" s="33" t="n">
        <f aca="false">Source_Data!BG$9+Source_Data!BG$10*IF(Source_Data!$C$10=0,0,MAX(0,Inputs!$B$20*Inputs!$B$23*$B$149-Inputs!$B$21)/Source_Data!$C$10)</f>
        <v>0</v>
      </c>
      <c r="BH157" s="33" t="n">
        <f aca="false">Source_Data!BH$9+Source_Data!BH$10*IF(Source_Data!$C$10=0,0,MAX(0,Inputs!$B$20*Inputs!$B$23*$B$149-Inputs!$B$21)/Source_Data!$C$10)</f>
        <v>0</v>
      </c>
      <c r="BI157" s="33" t="n">
        <f aca="false">Source_Data!BI$9+Source_Data!BI$10*IF(Source_Data!$C$10=0,0,MAX(0,Inputs!$B$20*Inputs!$B$23*$B$149-Inputs!$B$21)/Source_Data!$C$10)</f>
        <v>0</v>
      </c>
      <c r="BJ157" s="33" t="n">
        <f aca="false">Source_Data!BJ$9+Source_Data!BJ$10*IF(Source_Data!$C$10=0,0,MAX(0,Inputs!$B$20*Inputs!$B$23*$B$149-Inputs!$B$21)/Source_Data!$C$10)</f>
        <v>0</v>
      </c>
      <c r="BK157" s="33" t="n">
        <f aca="false">Source_Data!BK$9+Source_Data!BK$10*IF(Source_Data!$C$10=0,0,MAX(0,Inputs!$B$20*Inputs!$B$23*$B$149-Inputs!$B$21)/Source_Data!$C$10)</f>
        <v>0</v>
      </c>
    </row>
    <row r="158" customFormat="false" ht="15" hidden="false" customHeight="false" outlineLevel="0" collapsed="false">
      <c r="A158" s="3" t="s">
        <v>196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198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217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218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219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341</v>
      </c>
      <c r="D163" s="33" t="n">
        <f aca="false">IF(Source_Data!D$6=Inputs!$B$13,-Inputs!$B$7,0)+IF(AND(Source_Data!D$6&gt;=$B$154,Source_Data!D$6&lt;$B$154+3*Inputs!$B$17,MOD(Source_Data!D$6-$B$154,3)=0),Inputs!$B$8*Inputs!$B$7*Inputs!$B$35*$B$149*(1-Inputs!$B$16)/Inputs!$B$17,0)</f>
        <v>-75</v>
      </c>
      <c r="E163" s="33" t="n">
        <f aca="false">IF(Source_Data!E$6=Inputs!$B$13,-Inputs!$B$7,0)+IF(AND(Source_Data!E$6&gt;=$B$154,Source_Data!E$6&lt;$B$154+3*Inputs!$B$17,MOD(Source_Data!E$6-$B$154,3)=0),Inputs!$B$8*Inputs!$B$7*Inputs!$B$35*$B$149*(1-Inputs!$B$16)/Inputs!$B$17,0)</f>
        <v>0</v>
      </c>
      <c r="F163" s="33" t="n">
        <f aca="false">IF(Source_Data!F$6=Inputs!$B$13,-Inputs!$B$7,0)+IF(AND(Source_Data!F$6&gt;=$B$154,Source_Data!F$6&lt;$B$154+3*Inputs!$B$17,MOD(Source_Data!F$6-$B$154,3)=0),Inputs!$B$8*Inputs!$B$7*Inputs!$B$35*$B$149*(1-Inputs!$B$16)/Inputs!$B$17,0)</f>
        <v>0</v>
      </c>
      <c r="G163" s="33" t="n">
        <f aca="false">IF(Source_Data!G$6=Inputs!$B$13,-Inputs!$B$7,0)+IF(AND(Source_Data!G$6&gt;=$B$154,Source_Data!G$6&lt;$B$154+3*Inputs!$B$17,MOD(Source_Data!G$6-$B$154,3)=0),Inputs!$B$8*Inputs!$B$7*Inputs!$B$35*$B$149*(1-Inputs!$B$16)/Inputs!$B$17,0)</f>
        <v>0</v>
      </c>
      <c r="H163" s="33" t="n">
        <f aca="false">IF(Source_Data!H$6=Inputs!$B$13,-Inputs!$B$7,0)+IF(AND(Source_Data!H$6&gt;=$B$154,Source_Data!H$6&lt;$B$154+3*Inputs!$B$17,MOD(Source_Data!H$6-$B$154,3)=0),Inputs!$B$8*Inputs!$B$7*Inputs!$B$35*$B$149*(1-Inputs!$B$16)/Inputs!$B$17,0)</f>
        <v>0</v>
      </c>
      <c r="I163" s="33" t="n">
        <f aca="false">IF(Source_Data!I$6=Inputs!$B$13,-Inputs!$B$7,0)+IF(AND(Source_Data!I$6&gt;=$B$154,Source_Data!I$6&lt;$B$154+3*Inputs!$B$17,MOD(Source_Data!I$6-$B$154,3)=0),Inputs!$B$8*Inputs!$B$7*Inputs!$B$35*$B$149*(1-Inputs!$B$16)/Inputs!$B$17,0)</f>
        <v>0</v>
      </c>
      <c r="J163" s="33" t="n">
        <f aca="false">IF(Source_Data!J$6=Inputs!$B$13,-Inputs!$B$7,0)+IF(AND(Source_Data!J$6&gt;=$B$154,Source_Data!J$6&lt;$B$154+3*Inputs!$B$17,MOD(Source_Data!J$6-$B$154,3)=0),Inputs!$B$8*Inputs!$B$7*Inputs!$B$35*$B$149*(1-Inputs!$B$16)/Inputs!$B$17,0)</f>
        <v>0</v>
      </c>
      <c r="K163" s="33" t="n">
        <f aca="false">IF(Source_Data!K$6=Inputs!$B$13,-Inputs!$B$7,0)+IF(AND(Source_Data!K$6&gt;=$B$154,Source_Data!K$6&lt;$B$154+3*Inputs!$B$17,MOD(Source_Data!K$6-$B$154,3)=0),Inputs!$B$8*Inputs!$B$7*Inputs!$B$35*$B$149*(1-Inputs!$B$16)/Inputs!$B$17,0)</f>
        <v>0</v>
      </c>
      <c r="L163" s="33" t="n">
        <f aca="false">IF(Source_Data!L$6=Inputs!$B$13,-Inputs!$B$7,0)+IF(AND(Source_Data!L$6&gt;=$B$154,Source_Data!L$6&lt;$B$154+3*Inputs!$B$17,MOD(Source_Data!L$6-$B$154,3)=0),Inputs!$B$8*Inputs!$B$7*Inputs!$B$35*$B$149*(1-Inputs!$B$16)/Inputs!$B$17,0)</f>
        <v>0</v>
      </c>
      <c r="M163" s="33" t="n">
        <f aca="false">IF(Source_Data!M$6=Inputs!$B$13,-Inputs!$B$7,0)+IF(AND(Source_Data!M$6&gt;=$B$154,Source_Data!M$6&lt;$B$154+3*Inputs!$B$17,MOD(Source_Data!M$6-$B$154,3)=0),Inputs!$B$8*Inputs!$B$7*Inputs!$B$35*$B$149*(1-Inputs!$B$16)/Inputs!$B$17,0)</f>
        <v>0</v>
      </c>
      <c r="N163" s="33" t="n">
        <f aca="false">IF(Source_Data!N$6=Inputs!$B$13,-Inputs!$B$7,0)+IF(AND(Source_Data!N$6&gt;=$B$154,Source_Data!N$6&lt;$B$154+3*Inputs!$B$17,MOD(Source_Data!N$6-$B$154,3)=0),Inputs!$B$8*Inputs!$B$7*Inputs!$B$35*$B$149*(1-Inputs!$B$16)/Inputs!$B$17,0)</f>
        <v>0</v>
      </c>
      <c r="O163" s="33" t="n">
        <f aca="false">IF(Source_Data!O$6=Inputs!$B$13,-Inputs!$B$7,0)+IF(AND(Source_Data!O$6&gt;=$B$154,Source_Data!O$6&lt;$B$154+3*Inputs!$B$17,MOD(Source_Data!O$6-$B$154,3)=0),Inputs!$B$8*Inputs!$B$7*Inputs!$B$35*$B$149*(1-Inputs!$B$16)/Inputs!$B$17,0)</f>
        <v>0</v>
      </c>
      <c r="P163" s="33" t="n">
        <f aca="false">IF(Source_Data!P$6=Inputs!$B$13,-Inputs!$B$7,0)+IF(AND(Source_Data!P$6&gt;=$B$154,Source_Data!P$6&lt;$B$154+3*Inputs!$B$17,MOD(Source_Data!P$6-$B$154,3)=0),Inputs!$B$8*Inputs!$B$7*Inputs!$B$35*$B$149*(1-Inputs!$B$16)/Inputs!$B$17,0)</f>
        <v>0</v>
      </c>
      <c r="Q163" s="33" t="n">
        <f aca="false">IF(Source_Data!Q$6=Inputs!$B$13,-Inputs!$B$7,0)+IF(AND(Source_Data!Q$6&gt;=$B$154,Source_Data!Q$6&lt;$B$154+3*Inputs!$B$17,MOD(Source_Data!Q$6-$B$154,3)=0),Inputs!$B$8*Inputs!$B$7*Inputs!$B$35*$B$149*(1-Inputs!$B$16)/Inputs!$B$17,0)</f>
        <v>0</v>
      </c>
      <c r="R163" s="33" t="n">
        <f aca="false">IF(Source_Data!R$6=Inputs!$B$13,-Inputs!$B$7,0)+IF(AND(Source_Data!R$6&gt;=$B$154,Source_Data!R$6&lt;$B$154+3*Inputs!$B$17,MOD(Source_Data!R$6-$B$154,3)=0),Inputs!$B$8*Inputs!$B$7*Inputs!$B$35*$B$149*(1-Inputs!$B$16)/Inputs!$B$17,0)</f>
        <v>0</v>
      </c>
      <c r="S163" s="33" t="n">
        <f aca="false">IF(Source_Data!S$6=Inputs!$B$13,-Inputs!$B$7,0)+IF(AND(Source_Data!S$6&gt;=$B$154,Source_Data!S$6&lt;$B$154+3*Inputs!$B$17,MOD(Source_Data!S$6-$B$154,3)=0),Inputs!$B$8*Inputs!$B$7*Inputs!$B$35*$B$149*(1-Inputs!$B$16)/Inputs!$B$17,0)</f>
        <v>0</v>
      </c>
      <c r="T163" s="33" t="n">
        <f aca="false">IF(Source_Data!T$6=Inputs!$B$13,-Inputs!$B$7,0)+IF(AND(Source_Data!T$6&gt;=$B$154,Source_Data!T$6&lt;$B$154+3*Inputs!$B$17,MOD(Source_Data!T$6-$B$154,3)=0),Inputs!$B$8*Inputs!$B$7*Inputs!$B$35*$B$149*(1-Inputs!$B$16)/Inputs!$B$17,0)</f>
        <v>0</v>
      </c>
      <c r="U163" s="33" t="n">
        <f aca="false">IF(Source_Data!U$6=Inputs!$B$13,-Inputs!$B$7,0)+IF(AND(Source_Data!U$6&gt;=$B$154,Source_Data!U$6&lt;$B$154+3*Inputs!$B$17,MOD(Source_Data!U$6-$B$154,3)=0),Inputs!$B$8*Inputs!$B$7*Inputs!$B$35*$B$149*(1-Inputs!$B$16)/Inputs!$B$17,0)</f>
        <v>0</v>
      </c>
      <c r="V163" s="33" t="n">
        <f aca="false">IF(Source_Data!V$6=Inputs!$B$13,-Inputs!$B$7,0)+IF(AND(Source_Data!V$6&gt;=$B$154,Source_Data!V$6&lt;$B$154+3*Inputs!$B$17,MOD(Source_Data!V$6-$B$154,3)=0),Inputs!$B$8*Inputs!$B$7*Inputs!$B$35*$B$149*(1-Inputs!$B$16)/Inputs!$B$17,0)</f>
        <v>52.1505376344086</v>
      </c>
      <c r="W163" s="33" t="n">
        <f aca="false">IF(Source_Data!W$6=Inputs!$B$13,-Inputs!$B$7,0)+IF(AND(Source_Data!W$6&gt;=$B$154,Source_Data!W$6&lt;$B$154+3*Inputs!$B$17,MOD(Source_Data!W$6-$B$154,3)=0),Inputs!$B$8*Inputs!$B$7*Inputs!$B$35*$B$149*(1-Inputs!$B$16)/Inputs!$B$17,0)</f>
        <v>52.1505376344086</v>
      </c>
      <c r="X163" s="33" t="n">
        <f aca="false">IF(Source_Data!X$6=Inputs!$B$13,-Inputs!$B$7,0)+IF(AND(Source_Data!X$6&gt;=$B$154,Source_Data!X$6&lt;$B$154+3*Inputs!$B$17,MOD(Source_Data!X$6-$B$154,3)=0),Inputs!$B$8*Inputs!$B$7*Inputs!$B$35*$B$149*(1-Inputs!$B$16)/Inputs!$B$17,0)</f>
        <v>52.1505376344086</v>
      </c>
      <c r="Y163" s="33" t="n">
        <f aca="false">IF(Source_Data!Y$6=Inputs!$B$13,-Inputs!$B$7,0)+IF(AND(Source_Data!Y$6&gt;=$B$154,Source_Data!Y$6&lt;$B$154+3*Inputs!$B$17,MOD(Source_Data!Y$6-$B$154,3)=0),Inputs!$B$8*Inputs!$B$7*Inputs!$B$35*$B$149*(1-Inputs!$B$16)/Inputs!$B$17,0)</f>
        <v>52.1505376344086</v>
      </c>
      <c r="Z163" s="33" t="n">
        <f aca="false">IF(Source_Data!Z$6=Inputs!$B$13,-Inputs!$B$7,0)+IF(AND(Source_Data!Z$6&gt;=$B$154,Source_Data!Z$6&lt;$B$154+3*Inputs!$B$17,MOD(Source_Data!Z$6-$B$154,3)=0),Inputs!$B$8*Inputs!$B$7*Inputs!$B$35*$B$149*(1-Inputs!$B$16)/Inputs!$B$17,0)</f>
        <v>0</v>
      </c>
      <c r="AA163" s="33" t="n">
        <f aca="false">IF(Source_Data!AA$6=Inputs!$B$13,-Inputs!$B$7,0)+IF(AND(Source_Data!AA$6&gt;=$B$154,Source_Data!AA$6&lt;$B$154+3*Inputs!$B$17,MOD(Source_Data!AA$6-$B$154,3)=0),Inputs!$B$8*Inputs!$B$7*Inputs!$B$35*$B$149*(1-Inputs!$B$16)/Inputs!$B$17,0)</f>
        <v>0</v>
      </c>
      <c r="AB163" s="33" t="n">
        <f aca="false">IF(Source_Data!AB$6=Inputs!$B$13,-Inputs!$B$7,0)+IF(AND(Source_Data!AB$6&gt;=$B$154,Source_Data!AB$6&lt;$B$154+3*Inputs!$B$17,MOD(Source_Data!AB$6-$B$154,3)=0),Inputs!$B$8*Inputs!$B$7*Inputs!$B$35*$B$149*(1-Inputs!$B$16)/Inputs!$B$17,0)</f>
        <v>0</v>
      </c>
      <c r="AC163" s="33" t="n">
        <f aca="false">IF(Source_Data!AC$6=Inputs!$B$13,-Inputs!$B$7,0)+IF(AND(Source_Data!AC$6&gt;=$B$154,Source_Data!AC$6&lt;$B$154+3*Inputs!$B$17,MOD(Source_Data!AC$6-$B$154,3)=0),Inputs!$B$8*Inputs!$B$7*Inputs!$B$35*$B$149*(1-Inputs!$B$16)/Inputs!$B$17,0)</f>
        <v>0</v>
      </c>
      <c r="AD163" s="33" t="n">
        <f aca="false">IF(Source_Data!AD$6=Inputs!$B$13,-Inputs!$B$7,0)+IF(AND(Source_Data!AD$6&gt;=$B$154,Source_Data!AD$6&lt;$B$154+3*Inputs!$B$17,MOD(Source_Data!AD$6-$B$154,3)=0),Inputs!$B$8*Inputs!$B$7*Inputs!$B$35*$B$149*(1-Inputs!$B$16)/Inputs!$B$17,0)</f>
        <v>0</v>
      </c>
      <c r="AE163" s="33" t="n">
        <f aca="false">IF(Source_Data!AE$6=Inputs!$B$13,-Inputs!$B$7,0)+IF(AND(Source_Data!AE$6&gt;=$B$154,Source_Data!AE$6&lt;$B$154+3*Inputs!$B$17,MOD(Source_Data!AE$6-$B$154,3)=0),Inputs!$B$8*Inputs!$B$7*Inputs!$B$35*$B$149*(1-Inputs!$B$16)/Inputs!$B$17,0)</f>
        <v>0</v>
      </c>
      <c r="AF163" s="33" t="n">
        <f aca="false">IF(Source_Data!AF$6=Inputs!$B$13,-Inputs!$B$7,0)+IF(AND(Source_Data!AF$6&gt;=$B$154,Source_Data!AF$6&lt;$B$154+3*Inputs!$B$17,MOD(Source_Data!AF$6-$B$154,3)=0),Inputs!$B$8*Inputs!$B$7*Inputs!$B$35*$B$149*(1-Inputs!$B$16)/Inputs!$B$17,0)</f>
        <v>0</v>
      </c>
      <c r="AG163" s="33" t="n">
        <f aca="false">IF(Source_Data!AG$6=Inputs!$B$13,-Inputs!$B$7,0)+IF(AND(Source_Data!AG$6&gt;=$B$154,Source_Data!AG$6&lt;$B$154+3*Inputs!$B$17,MOD(Source_Data!AG$6-$B$154,3)=0),Inputs!$B$8*Inputs!$B$7*Inputs!$B$35*$B$149*(1-Inputs!$B$16)/Inputs!$B$17,0)</f>
        <v>0</v>
      </c>
      <c r="AH163" s="33" t="n">
        <f aca="false">IF(Source_Data!AH$6=Inputs!$B$13,-Inputs!$B$7,0)+IF(AND(Source_Data!AH$6&gt;=$B$154,Source_Data!AH$6&lt;$B$154+3*Inputs!$B$17,MOD(Source_Data!AH$6-$B$154,3)=0),Inputs!$B$8*Inputs!$B$7*Inputs!$B$35*$B$149*(1-Inputs!$B$16)/Inputs!$B$17,0)</f>
        <v>0</v>
      </c>
      <c r="AI163" s="33" t="n">
        <f aca="false">IF(Source_Data!AI$6=Inputs!$B$13,-Inputs!$B$7,0)+IF(AND(Source_Data!AI$6&gt;=$B$154,Source_Data!AI$6&lt;$B$154+3*Inputs!$B$17,MOD(Source_Data!AI$6-$B$154,3)=0),Inputs!$B$8*Inputs!$B$7*Inputs!$B$35*$B$149*(1-Inputs!$B$16)/Inputs!$B$17,0)</f>
        <v>0</v>
      </c>
      <c r="AJ163" s="33" t="n">
        <f aca="false">IF(Source_Data!AJ$6=Inputs!$B$13,-Inputs!$B$7,0)+IF(AND(Source_Data!AJ$6&gt;=$B$154,Source_Data!AJ$6&lt;$B$154+3*Inputs!$B$17,MOD(Source_Data!AJ$6-$B$154,3)=0),Inputs!$B$8*Inputs!$B$7*Inputs!$B$35*$B$149*(1-Inputs!$B$16)/Inputs!$B$17,0)</f>
        <v>0</v>
      </c>
      <c r="AK163" s="33" t="n">
        <f aca="false">IF(Source_Data!AK$6=Inputs!$B$13,-Inputs!$B$7,0)+IF(AND(Source_Data!AK$6&gt;=$B$154,Source_Data!AK$6&lt;$B$154+3*Inputs!$B$17,MOD(Source_Data!AK$6-$B$154,3)=0),Inputs!$B$8*Inputs!$B$7*Inputs!$B$35*$B$149*(1-Inputs!$B$16)/Inputs!$B$17,0)</f>
        <v>0</v>
      </c>
      <c r="AL163" s="33" t="n">
        <f aca="false">IF(Source_Data!AL$6=Inputs!$B$13,-Inputs!$B$7,0)+IF(AND(Source_Data!AL$6&gt;=$B$154,Source_Data!AL$6&lt;$B$154+3*Inputs!$B$17,MOD(Source_Data!AL$6-$B$154,3)=0),Inputs!$B$8*Inputs!$B$7*Inputs!$B$35*$B$149*(1-Inputs!$B$16)/Inputs!$B$17,0)</f>
        <v>0</v>
      </c>
      <c r="AM163" s="33" t="n">
        <f aca="false">IF(Source_Data!AM$6=Inputs!$B$13,-Inputs!$B$7,0)+IF(AND(Source_Data!AM$6&gt;=$B$154,Source_Data!AM$6&lt;$B$154+3*Inputs!$B$17,MOD(Source_Data!AM$6-$B$154,3)=0),Inputs!$B$8*Inputs!$B$7*Inputs!$B$35*$B$149*(1-Inputs!$B$16)/Inputs!$B$17,0)</f>
        <v>0</v>
      </c>
      <c r="AN163" s="33" t="n">
        <f aca="false">IF(Source_Data!AN$6=Inputs!$B$13,-Inputs!$B$7,0)+IF(AND(Source_Data!AN$6&gt;=$B$154,Source_Data!AN$6&lt;$B$154+3*Inputs!$B$17,MOD(Source_Data!AN$6-$B$154,3)=0),Inputs!$B$8*Inputs!$B$7*Inputs!$B$35*$B$149*(1-Inputs!$B$16)/Inputs!$B$17,0)</f>
        <v>0</v>
      </c>
      <c r="AO163" s="33" t="n">
        <f aca="false">IF(Source_Data!AO$6=Inputs!$B$13,-Inputs!$B$7,0)+IF(AND(Source_Data!AO$6&gt;=$B$154,Source_Data!AO$6&lt;$B$154+3*Inputs!$B$17,MOD(Source_Data!AO$6-$B$154,3)=0),Inputs!$B$8*Inputs!$B$7*Inputs!$B$35*$B$149*(1-Inputs!$B$16)/Inputs!$B$17,0)</f>
        <v>0</v>
      </c>
      <c r="AP163" s="33" t="n">
        <f aca="false">IF(Source_Data!AP$6=Inputs!$B$13,-Inputs!$B$7,0)+IF(AND(Source_Data!AP$6&gt;=$B$154,Source_Data!AP$6&lt;$B$154+3*Inputs!$B$17,MOD(Source_Data!AP$6-$B$154,3)=0),Inputs!$B$8*Inputs!$B$7*Inputs!$B$35*$B$149*(1-Inputs!$B$16)/Inputs!$B$17,0)</f>
        <v>0</v>
      </c>
      <c r="AQ163" s="33" t="n">
        <f aca="false">IF(Source_Data!AQ$6=Inputs!$B$13,-Inputs!$B$7,0)+IF(AND(Source_Data!AQ$6&gt;=$B$154,Source_Data!AQ$6&lt;$B$154+3*Inputs!$B$17,MOD(Source_Data!AQ$6-$B$154,3)=0),Inputs!$B$8*Inputs!$B$7*Inputs!$B$35*$B$149*(1-Inputs!$B$16)/Inputs!$B$17,0)</f>
        <v>0</v>
      </c>
      <c r="AR163" s="33" t="n">
        <f aca="false">IF(Source_Data!AR$6=Inputs!$B$13,-Inputs!$B$7,0)+IF(AND(Source_Data!AR$6&gt;=$B$154,Source_Data!AR$6&lt;$B$154+3*Inputs!$B$17,MOD(Source_Data!AR$6-$B$154,3)=0),Inputs!$B$8*Inputs!$B$7*Inputs!$B$35*$B$149*(1-Inputs!$B$16)/Inputs!$B$17,0)</f>
        <v>0</v>
      </c>
      <c r="AS163" s="33" t="n">
        <f aca="false">IF(Source_Data!AS$6=Inputs!$B$13,-Inputs!$B$7,0)+IF(AND(Source_Data!AS$6&gt;=$B$154,Source_Data!AS$6&lt;$B$154+3*Inputs!$B$17,MOD(Source_Data!AS$6-$B$154,3)=0),Inputs!$B$8*Inputs!$B$7*Inputs!$B$35*$B$149*(1-Inputs!$B$16)/Inputs!$B$17,0)</f>
        <v>0</v>
      </c>
      <c r="AT163" s="33" t="n">
        <f aca="false">IF(Source_Data!AT$6=Inputs!$B$13,-Inputs!$B$7,0)+IF(AND(Source_Data!AT$6&gt;=$B$154,Source_Data!AT$6&lt;$B$154+3*Inputs!$B$17,MOD(Source_Data!AT$6-$B$154,3)=0),Inputs!$B$8*Inputs!$B$7*Inputs!$B$35*$B$149*(1-Inputs!$B$16)/Inputs!$B$17,0)</f>
        <v>0</v>
      </c>
      <c r="AU163" s="33" t="n">
        <f aca="false">IF(Source_Data!AU$6=Inputs!$B$13,-Inputs!$B$7,0)+IF(AND(Source_Data!AU$6&gt;=$B$154,Source_Data!AU$6&lt;$B$154+3*Inputs!$B$17,MOD(Source_Data!AU$6-$B$154,3)=0),Inputs!$B$8*Inputs!$B$7*Inputs!$B$35*$B$149*(1-Inputs!$B$16)/Inputs!$B$17,0)</f>
        <v>0</v>
      </c>
      <c r="AV163" s="33" t="n">
        <f aca="false">IF(Source_Data!AV$6=Inputs!$B$13,-Inputs!$B$7,0)+IF(AND(Source_Data!AV$6&gt;=$B$154,Source_Data!AV$6&lt;$B$154+3*Inputs!$B$17,MOD(Source_Data!AV$6-$B$154,3)=0),Inputs!$B$8*Inputs!$B$7*Inputs!$B$35*$B$149*(1-Inputs!$B$16)/Inputs!$B$17,0)</f>
        <v>0</v>
      </c>
      <c r="AW163" s="33" t="n">
        <f aca="false">IF(Source_Data!AW$6=Inputs!$B$13,-Inputs!$B$7,0)+IF(AND(Source_Data!AW$6&gt;=$B$154,Source_Data!AW$6&lt;$B$154+3*Inputs!$B$17,MOD(Source_Data!AW$6-$B$154,3)=0),Inputs!$B$8*Inputs!$B$7*Inputs!$B$35*$B$149*(1-Inputs!$B$16)/Inputs!$B$17,0)</f>
        <v>0</v>
      </c>
      <c r="AX163" s="33" t="n">
        <f aca="false">IF(Source_Data!AX$6=Inputs!$B$13,-Inputs!$B$7,0)+IF(AND(Source_Data!AX$6&gt;=$B$154,Source_Data!AX$6&lt;$B$154+3*Inputs!$B$17,MOD(Source_Data!AX$6-$B$154,3)=0),Inputs!$B$8*Inputs!$B$7*Inputs!$B$35*$B$149*(1-Inputs!$B$16)/Inputs!$B$17,0)</f>
        <v>0</v>
      </c>
      <c r="AY163" s="33" t="n">
        <f aca="false">IF(Source_Data!AY$6=Inputs!$B$13,-Inputs!$B$7,0)+IF(AND(Source_Data!AY$6&gt;=$B$154,Source_Data!AY$6&lt;$B$154+3*Inputs!$B$17,MOD(Source_Data!AY$6-$B$154,3)=0),Inputs!$B$8*Inputs!$B$7*Inputs!$B$35*$B$149*(1-Inputs!$B$16)/Inputs!$B$17,0)</f>
        <v>0</v>
      </c>
      <c r="AZ163" s="33" t="n">
        <f aca="false">IF(Source_Data!AZ$6=Inputs!$B$13,-Inputs!$B$7,0)+IF(AND(Source_Data!AZ$6&gt;=$B$154,Source_Data!AZ$6&lt;$B$154+3*Inputs!$B$17,MOD(Source_Data!AZ$6-$B$154,3)=0),Inputs!$B$8*Inputs!$B$7*Inputs!$B$35*$B$149*(1-Inputs!$B$16)/Inputs!$B$17,0)</f>
        <v>0</v>
      </c>
      <c r="BA163" s="33" t="n">
        <f aca="false">IF(Source_Data!BA$6=Inputs!$B$13,-Inputs!$B$7,0)+IF(AND(Source_Data!BA$6&gt;=$B$154,Source_Data!BA$6&lt;$B$154+3*Inputs!$B$17,MOD(Source_Data!BA$6-$B$154,3)=0),Inputs!$B$8*Inputs!$B$7*Inputs!$B$35*$B$149*(1-Inputs!$B$16)/Inputs!$B$17,0)</f>
        <v>0</v>
      </c>
      <c r="BB163" s="33" t="n">
        <f aca="false">IF(Source_Data!BB$6=Inputs!$B$13,-Inputs!$B$7,0)+IF(AND(Source_Data!BB$6&gt;=$B$154,Source_Data!BB$6&lt;$B$154+3*Inputs!$B$17,MOD(Source_Data!BB$6-$B$154,3)=0),Inputs!$B$8*Inputs!$B$7*Inputs!$B$35*$B$149*(1-Inputs!$B$16)/Inputs!$B$17,0)</f>
        <v>0</v>
      </c>
      <c r="BC163" s="33" t="n">
        <f aca="false">IF(Source_Data!BC$6=Inputs!$B$13,-Inputs!$B$7,0)+IF(AND(Source_Data!BC$6&gt;=$B$154,Source_Data!BC$6&lt;$B$154+3*Inputs!$B$17,MOD(Source_Data!BC$6-$B$154,3)=0),Inputs!$B$8*Inputs!$B$7*Inputs!$B$35*$B$149*(1-Inputs!$B$16)/Inputs!$B$17,0)</f>
        <v>0</v>
      </c>
      <c r="BD163" s="33" t="n">
        <f aca="false">IF(Source_Data!BD$6=Inputs!$B$13,-Inputs!$B$7,0)+IF(AND(Source_Data!BD$6&gt;=$B$154,Source_Data!BD$6&lt;$B$154+3*Inputs!$B$17,MOD(Source_Data!BD$6-$B$154,3)=0),Inputs!$B$8*Inputs!$B$7*Inputs!$B$35*$B$149*(1-Inputs!$B$16)/Inputs!$B$17,0)</f>
        <v>0</v>
      </c>
      <c r="BE163" s="33" t="n">
        <f aca="false">IF(Source_Data!BE$6=Inputs!$B$13,-Inputs!$B$7,0)+IF(AND(Source_Data!BE$6&gt;=$B$154,Source_Data!BE$6&lt;$B$154+3*Inputs!$B$17,MOD(Source_Data!BE$6-$B$154,3)=0),Inputs!$B$8*Inputs!$B$7*Inputs!$B$35*$B$149*(1-Inputs!$B$16)/Inputs!$B$17,0)</f>
        <v>0</v>
      </c>
      <c r="BF163" s="33" t="n">
        <f aca="false">IF(Source_Data!BF$6=Inputs!$B$13,-Inputs!$B$7,0)+IF(AND(Source_Data!BF$6&gt;=$B$154,Source_Data!BF$6&lt;$B$154+3*Inputs!$B$17,MOD(Source_Data!BF$6-$B$154,3)=0),Inputs!$B$8*Inputs!$B$7*Inputs!$B$35*$B$149*(1-Inputs!$B$16)/Inputs!$B$17,0)</f>
        <v>0</v>
      </c>
      <c r="BG163" s="33" t="n">
        <f aca="false">IF(Source_Data!BG$6=Inputs!$B$13,-Inputs!$B$7,0)+IF(AND(Source_Data!BG$6&gt;=$B$154,Source_Data!BG$6&lt;$B$154+3*Inputs!$B$17,MOD(Source_Data!BG$6-$B$154,3)=0),Inputs!$B$8*Inputs!$B$7*Inputs!$B$35*$B$149*(1-Inputs!$B$16)/Inputs!$B$17,0)</f>
        <v>0</v>
      </c>
      <c r="BH163" s="33" t="n">
        <f aca="false">IF(Source_Data!BH$6=Inputs!$B$13,-Inputs!$B$7,0)+IF(AND(Source_Data!BH$6&gt;=$B$154,Source_Data!BH$6&lt;$B$154+3*Inputs!$B$17,MOD(Source_Data!BH$6-$B$154,3)=0),Inputs!$B$8*Inputs!$B$7*Inputs!$B$35*$B$149*(1-Inputs!$B$16)/Inputs!$B$17,0)</f>
        <v>0</v>
      </c>
      <c r="BI163" s="33" t="n">
        <f aca="false">IF(Source_Data!BI$6=Inputs!$B$13,-Inputs!$B$7,0)+IF(AND(Source_Data!BI$6&gt;=$B$154,Source_Data!BI$6&lt;$B$154+3*Inputs!$B$17,MOD(Source_Data!BI$6-$B$154,3)=0),Inputs!$B$8*Inputs!$B$7*Inputs!$B$35*$B$149*(1-Inputs!$B$16)/Inputs!$B$17,0)</f>
        <v>0</v>
      </c>
      <c r="BJ163" s="33" t="n">
        <f aca="false">IF(Source_Data!BJ$6=Inputs!$B$13,-Inputs!$B$7,0)+IF(AND(Source_Data!BJ$6&gt;=$B$154,Source_Data!BJ$6&lt;$B$154+3*Inputs!$B$17,MOD(Source_Data!BJ$6-$B$154,3)=0),Inputs!$B$8*Inputs!$B$7*Inputs!$B$35*$B$149*(1-Inputs!$B$16)/Inputs!$B$17,0)</f>
        <v>0</v>
      </c>
      <c r="BK163" s="33" t="n">
        <f aca="false">IF(Source_Data!BK$6=Inputs!$B$13,-Inputs!$B$7,0)+IF(AND(Source_Data!BK$6&gt;=$B$154,Source_Data!BK$6&lt;$B$154+3*Inputs!$B$17,MOD(Source_Data!BK$6-$B$154,3)=0),Inputs!$B$8*Inputs!$B$7*Inputs!$B$35*$B$149*(1-Inputs!$B$16)/Inputs!$B$17,0)</f>
        <v>0</v>
      </c>
    </row>
    <row r="164" customFormat="false" ht="15" hidden="false" customHeight="false" outlineLevel="0" collapsed="false">
      <c r="A164" s="3" t="s">
        <v>342</v>
      </c>
      <c r="D164" s="33" t="n">
        <f aca="false">IF(AND(Source_Data!D$6&gt;=Inputs!$B$55,Source_Data!D$6&lt;Inputs!$B$55+3*Inputs!$B$11),Inputs!$B$9*Inputs!$B$7/Inputs!$B$11,0)</f>
        <v>0</v>
      </c>
      <c r="E164" s="33" t="n">
        <f aca="false">IF(AND(Source_Data!E$6&gt;=Inputs!$B$55,Source_Data!E$6&lt;Inputs!$B$55+3*Inputs!$B$11),Inputs!$B$9*Inputs!$B$7/Inputs!$B$11,0)</f>
        <v>0</v>
      </c>
      <c r="F164" s="33" t="n">
        <f aca="false">IF(AND(Source_Data!F$6&gt;=Inputs!$B$55,Source_Data!F$6&lt;Inputs!$B$55+3*Inputs!$B$11),Inputs!$B$9*Inputs!$B$7/Inputs!$B$11,0)</f>
        <v>0</v>
      </c>
      <c r="G164" s="33" t="n">
        <f aca="false">IF(AND(Source_Data!G$6&gt;=Inputs!$B$55,Source_Data!G$6&lt;Inputs!$B$55+3*Inputs!$B$11),Inputs!$B$9*Inputs!$B$7/Inputs!$B$11,0)</f>
        <v>0</v>
      </c>
      <c r="H164" s="33" t="n">
        <f aca="false">IF(AND(Source_Data!H$6&gt;=Inputs!$B$55,Source_Data!H$6&lt;Inputs!$B$55+3*Inputs!$B$11),Inputs!$B$9*Inputs!$B$7/Inputs!$B$11,0)</f>
        <v>0</v>
      </c>
      <c r="I164" s="33" t="n">
        <f aca="false">IF(AND(Source_Data!I$6&gt;=Inputs!$B$55,Source_Data!I$6&lt;Inputs!$B$55+3*Inputs!$B$11),Inputs!$B$9*Inputs!$B$7/Inputs!$B$11,0)</f>
        <v>0</v>
      </c>
      <c r="J164" s="33" t="n">
        <f aca="false">IF(AND(Source_Data!J$6&gt;=Inputs!$B$55,Source_Data!J$6&lt;Inputs!$B$55+3*Inputs!$B$11),Inputs!$B$9*Inputs!$B$7/Inputs!$B$11,0)</f>
        <v>0</v>
      </c>
      <c r="K164" s="33" t="n">
        <f aca="false">IF(AND(Source_Data!K$6&gt;=Inputs!$B$55,Source_Data!K$6&lt;Inputs!$B$55+3*Inputs!$B$11),Inputs!$B$9*Inputs!$B$7/Inputs!$B$11,0)</f>
        <v>0</v>
      </c>
      <c r="L164" s="33" t="n">
        <f aca="false">IF(AND(Source_Data!L$6&gt;=Inputs!$B$55,Source_Data!L$6&lt;Inputs!$B$55+3*Inputs!$B$11),Inputs!$B$9*Inputs!$B$7/Inputs!$B$11,0)</f>
        <v>0</v>
      </c>
      <c r="M164" s="33" t="n">
        <f aca="false">IF(AND(Source_Data!M$6&gt;=Inputs!$B$55,Source_Data!M$6&lt;Inputs!$B$55+3*Inputs!$B$11),Inputs!$B$9*Inputs!$B$7/Inputs!$B$11,0)</f>
        <v>14.375</v>
      </c>
      <c r="N164" s="33" t="n">
        <f aca="false">IF(AND(Source_Data!N$6&gt;=Inputs!$B$55,Source_Data!N$6&lt;Inputs!$B$55+3*Inputs!$B$11),Inputs!$B$9*Inputs!$B$7/Inputs!$B$11,0)</f>
        <v>14.375</v>
      </c>
      <c r="O164" s="33" t="n">
        <f aca="false">IF(AND(Source_Data!O$6&gt;=Inputs!$B$55,Source_Data!O$6&lt;Inputs!$B$55+3*Inputs!$B$11),Inputs!$B$9*Inputs!$B$7/Inputs!$B$11,0)</f>
        <v>14.375</v>
      </c>
      <c r="P164" s="33" t="n">
        <f aca="false">IF(AND(Source_Data!P$6&gt;=Inputs!$B$55,Source_Data!P$6&lt;Inputs!$B$55+3*Inputs!$B$11),Inputs!$B$9*Inputs!$B$7/Inputs!$B$11,0)</f>
        <v>14.375</v>
      </c>
      <c r="Q164" s="33" t="n">
        <f aca="false">IF(AND(Source_Data!Q$6&gt;=Inputs!$B$55,Source_Data!Q$6&lt;Inputs!$B$55+3*Inputs!$B$11),Inputs!$B$9*Inputs!$B$7/Inputs!$B$11,0)</f>
        <v>14.375</v>
      </c>
      <c r="R164" s="33" t="n">
        <f aca="false">IF(AND(Source_Data!R$6&gt;=Inputs!$B$55,Source_Data!R$6&lt;Inputs!$B$55+3*Inputs!$B$11),Inputs!$B$9*Inputs!$B$7/Inputs!$B$11,0)</f>
        <v>14.375</v>
      </c>
      <c r="S164" s="33" t="n">
        <f aca="false">IF(AND(Source_Data!S$6&gt;=Inputs!$B$55,Source_Data!S$6&lt;Inputs!$B$55+3*Inputs!$B$11),Inputs!$B$9*Inputs!$B$7/Inputs!$B$11,0)</f>
        <v>14.375</v>
      </c>
      <c r="T164" s="33" t="n">
        <f aca="false">IF(AND(Source_Data!T$6&gt;=Inputs!$B$55,Source_Data!T$6&lt;Inputs!$B$55+3*Inputs!$B$11),Inputs!$B$9*Inputs!$B$7/Inputs!$B$11,0)</f>
        <v>14.375</v>
      </c>
      <c r="U164" s="33" t="n">
        <f aca="false">IF(AND(Source_Data!U$6&gt;=Inputs!$B$55,Source_Data!U$6&lt;Inputs!$B$55+3*Inputs!$B$11),Inputs!$B$9*Inputs!$B$7/Inputs!$B$11,0)</f>
        <v>14.375</v>
      </c>
      <c r="V164" s="33" t="n">
        <f aca="false">IF(AND(Source_Data!V$6&gt;=Inputs!$B$55,Source_Data!V$6&lt;Inputs!$B$55+3*Inputs!$B$11),Inputs!$B$9*Inputs!$B$7/Inputs!$B$11,0)</f>
        <v>14.375</v>
      </c>
      <c r="W164" s="33" t="n">
        <f aca="false">IF(AND(Source_Data!W$6&gt;=Inputs!$B$55,Source_Data!W$6&lt;Inputs!$B$55+3*Inputs!$B$11),Inputs!$B$9*Inputs!$B$7/Inputs!$B$11,0)</f>
        <v>14.375</v>
      </c>
      <c r="X164" s="33" t="n">
        <f aca="false">IF(AND(Source_Data!X$6&gt;=Inputs!$B$55,Source_Data!X$6&lt;Inputs!$B$55+3*Inputs!$B$11),Inputs!$B$9*Inputs!$B$7/Inputs!$B$11,0)</f>
        <v>14.375</v>
      </c>
      <c r="Y164" s="33" t="n">
        <f aca="false">IF(AND(Source_Data!Y$6&gt;=Inputs!$B$55,Source_Data!Y$6&lt;Inputs!$B$55+3*Inputs!$B$11),Inputs!$B$9*Inputs!$B$7/Inputs!$B$11,0)</f>
        <v>0</v>
      </c>
      <c r="Z164" s="33" t="n">
        <f aca="false">IF(AND(Source_Data!Z$6&gt;=Inputs!$B$55,Source_Data!Z$6&lt;Inputs!$B$55+3*Inputs!$B$11),Inputs!$B$9*Inputs!$B$7/Inputs!$B$11,0)</f>
        <v>0</v>
      </c>
      <c r="AA164" s="33" t="n">
        <f aca="false">IF(AND(Source_Data!AA$6&gt;=Inputs!$B$55,Source_Data!AA$6&lt;Inputs!$B$55+3*Inputs!$B$11),Inputs!$B$9*Inputs!$B$7/Inputs!$B$11,0)</f>
        <v>0</v>
      </c>
      <c r="AB164" s="33" t="n">
        <f aca="false">IF(AND(Source_Data!AB$6&gt;=Inputs!$B$55,Source_Data!AB$6&lt;Inputs!$B$55+3*Inputs!$B$11),Inputs!$B$9*Inputs!$B$7/Inputs!$B$11,0)</f>
        <v>0</v>
      </c>
      <c r="AC164" s="33" t="n">
        <f aca="false">IF(AND(Source_Data!AC$6&gt;=Inputs!$B$55,Source_Data!AC$6&lt;Inputs!$B$55+3*Inputs!$B$11),Inputs!$B$9*Inputs!$B$7/Inputs!$B$11,0)</f>
        <v>0</v>
      </c>
      <c r="AD164" s="33" t="n">
        <f aca="false">IF(AND(Source_Data!AD$6&gt;=Inputs!$B$55,Source_Data!AD$6&lt;Inputs!$B$55+3*Inputs!$B$11),Inputs!$B$9*Inputs!$B$7/Inputs!$B$11,0)</f>
        <v>0</v>
      </c>
      <c r="AE164" s="33" t="n">
        <f aca="false">IF(AND(Source_Data!AE$6&gt;=Inputs!$B$55,Source_Data!AE$6&lt;Inputs!$B$55+3*Inputs!$B$11),Inputs!$B$9*Inputs!$B$7/Inputs!$B$11,0)</f>
        <v>0</v>
      </c>
      <c r="AF164" s="33" t="n">
        <f aca="false">IF(AND(Source_Data!AF$6&gt;=Inputs!$B$55,Source_Data!AF$6&lt;Inputs!$B$55+3*Inputs!$B$11),Inputs!$B$9*Inputs!$B$7/Inputs!$B$11,0)</f>
        <v>0</v>
      </c>
      <c r="AG164" s="33" t="n">
        <f aca="false">IF(AND(Source_Data!AG$6&gt;=Inputs!$B$55,Source_Data!AG$6&lt;Inputs!$B$55+3*Inputs!$B$11),Inputs!$B$9*Inputs!$B$7/Inputs!$B$11,0)</f>
        <v>0</v>
      </c>
      <c r="AH164" s="33" t="n">
        <f aca="false">IF(AND(Source_Data!AH$6&gt;=Inputs!$B$55,Source_Data!AH$6&lt;Inputs!$B$55+3*Inputs!$B$11),Inputs!$B$9*Inputs!$B$7/Inputs!$B$11,0)</f>
        <v>0</v>
      </c>
      <c r="AI164" s="33" t="n">
        <f aca="false">IF(AND(Source_Data!AI$6&gt;=Inputs!$B$55,Source_Data!AI$6&lt;Inputs!$B$55+3*Inputs!$B$11),Inputs!$B$9*Inputs!$B$7/Inputs!$B$11,0)</f>
        <v>0</v>
      </c>
      <c r="AJ164" s="33" t="n">
        <f aca="false">IF(AND(Source_Data!AJ$6&gt;=Inputs!$B$55,Source_Data!AJ$6&lt;Inputs!$B$55+3*Inputs!$B$11),Inputs!$B$9*Inputs!$B$7/Inputs!$B$11,0)</f>
        <v>0</v>
      </c>
      <c r="AK164" s="33" t="n">
        <f aca="false">IF(AND(Source_Data!AK$6&gt;=Inputs!$B$55,Source_Data!AK$6&lt;Inputs!$B$55+3*Inputs!$B$11),Inputs!$B$9*Inputs!$B$7/Inputs!$B$11,0)</f>
        <v>0</v>
      </c>
      <c r="AL164" s="33" t="n">
        <f aca="false">IF(AND(Source_Data!AL$6&gt;=Inputs!$B$55,Source_Data!AL$6&lt;Inputs!$B$55+3*Inputs!$B$11),Inputs!$B$9*Inputs!$B$7/Inputs!$B$11,0)</f>
        <v>0</v>
      </c>
      <c r="AM164" s="33" t="n">
        <f aca="false">IF(AND(Source_Data!AM$6&gt;=Inputs!$B$55,Source_Data!AM$6&lt;Inputs!$B$55+3*Inputs!$B$11),Inputs!$B$9*Inputs!$B$7/Inputs!$B$11,0)</f>
        <v>0</v>
      </c>
      <c r="AN164" s="33" t="n">
        <f aca="false">IF(AND(Source_Data!AN$6&gt;=Inputs!$B$55,Source_Data!AN$6&lt;Inputs!$B$55+3*Inputs!$B$11),Inputs!$B$9*Inputs!$B$7/Inputs!$B$11,0)</f>
        <v>0</v>
      </c>
      <c r="AO164" s="33" t="n">
        <f aca="false">IF(AND(Source_Data!AO$6&gt;=Inputs!$B$55,Source_Data!AO$6&lt;Inputs!$B$55+3*Inputs!$B$11),Inputs!$B$9*Inputs!$B$7/Inputs!$B$11,0)</f>
        <v>0</v>
      </c>
      <c r="AP164" s="33" t="n">
        <f aca="false">IF(AND(Source_Data!AP$6&gt;=Inputs!$B$55,Source_Data!AP$6&lt;Inputs!$B$55+3*Inputs!$B$11),Inputs!$B$9*Inputs!$B$7/Inputs!$B$11,0)</f>
        <v>0</v>
      </c>
      <c r="AQ164" s="33" t="n">
        <f aca="false">IF(AND(Source_Data!AQ$6&gt;=Inputs!$B$55,Source_Data!AQ$6&lt;Inputs!$B$55+3*Inputs!$B$11),Inputs!$B$9*Inputs!$B$7/Inputs!$B$11,0)</f>
        <v>0</v>
      </c>
      <c r="AR164" s="33" t="n">
        <f aca="false">IF(AND(Source_Data!AR$6&gt;=Inputs!$B$55,Source_Data!AR$6&lt;Inputs!$B$55+3*Inputs!$B$11),Inputs!$B$9*Inputs!$B$7/Inputs!$B$11,0)</f>
        <v>0</v>
      </c>
      <c r="AS164" s="33" t="n">
        <f aca="false">IF(AND(Source_Data!AS$6&gt;=Inputs!$B$55,Source_Data!AS$6&lt;Inputs!$B$55+3*Inputs!$B$11),Inputs!$B$9*Inputs!$B$7/Inputs!$B$11,0)</f>
        <v>0</v>
      </c>
      <c r="AT164" s="33" t="n">
        <f aca="false">IF(AND(Source_Data!AT$6&gt;=Inputs!$B$55,Source_Data!AT$6&lt;Inputs!$B$55+3*Inputs!$B$11),Inputs!$B$9*Inputs!$B$7/Inputs!$B$11,0)</f>
        <v>0</v>
      </c>
      <c r="AU164" s="33" t="n">
        <f aca="false">IF(AND(Source_Data!AU$6&gt;=Inputs!$B$55,Source_Data!AU$6&lt;Inputs!$B$55+3*Inputs!$B$11),Inputs!$B$9*Inputs!$B$7/Inputs!$B$11,0)</f>
        <v>0</v>
      </c>
      <c r="AV164" s="33" t="n">
        <f aca="false">IF(AND(Source_Data!AV$6&gt;=Inputs!$B$55,Source_Data!AV$6&lt;Inputs!$B$55+3*Inputs!$B$11),Inputs!$B$9*Inputs!$B$7/Inputs!$B$11,0)</f>
        <v>0</v>
      </c>
      <c r="AW164" s="33" t="n">
        <f aca="false">IF(AND(Source_Data!AW$6&gt;=Inputs!$B$55,Source_Data!AW$6&lt;Inputs!$B$55+3*Inputs!$B$11),Inputs!$B$9*Inputs!$B$7/Inputs!$B$11,0)</f>
        <v>0</v>
      </c>
      <c r="AX164" s="33" t="n">
        <f aca="false">IF(AND(Source_Data!AX$6&gt;=Inputs!$B$55,Source_Data!AX$6&lt;Inputs!$B$55+3*Inputs!$B$11),Inputs!$B$9*Inputs!$B$7/Inputs!$B$11,0)</f>
        <v>0</v>
      </c>
      <c r="AY164" s="33" t="n">
        <f aca="false">IF(AND(Source_Data!AY$6&gt;=Inputs!$B$55,Source_Data!AY$6&lt;Inputs!$B$55+3*Inputs!$B$11),Inputs!$B$9*Inputs!$B$7/Inputs!$B$11,0)</f>
        <v>0</v>
      </c>
      <c r="AZ164" s="33" t="n">
        <f aca="false">IF(AND(Source_Data!AZ$6&gt;=Inputs!$B$55,Source_Data!AZ$6&lt;Inputs!$B$55+3*Inputs!$B$11),Inputs!$B$9*Inputs!$B$7/Inputs!$B$11,0)</f>
        <v>0</v>
      </c>
      <c r="BA164" s="33" t="n">
        <f aca="false">IF(AND(Source_Data!BA$6&gt;=Inputs!$B$55,Source_Data!BA$6&lt;Inputs!$B$55+3*Inputs!$B$11),Inputs!$B$9*Inputs!$B$7/Inputs!$B$11,0)</f>
        <v>0</v>
      </c>
      <c r="BB164" s="33" t="n">
        <f aca="false">IF(AND(Source_Data!BB$6&gt;=Inputs!$B$55,Source_Data!BB$6&lt;Inputs!$B$55+3*Inputs!$B$11),Inputs!$B$9*Inputs!$B$7/Inputs!$B$11,0)</f>
        <v>0</v>
      </c>
      <c r="BC164" s="33" t="n">
        <f aca="false">IF(AND(Source_Data!BC$6&gt;=Inputs!$B$55,Source_Data!BC$6&lt;Inputs!$B$55+3*Inputs!$B$11),Inputs!$B$9*Inputs!$B$7/Inputs!$B$11,0)</f>
        <v>0</v>
      </c>
      <c r="BD164" s="33" t="n">
        <f aca="false">IF(AND(Source_Data!BD$6&gt;=Inputs!$B$55,Source_Data!BD$6&lt;Inputs!$B$55+3*Inputs!$B$11),Inputs!$B$9*Inputs!$B$7/Inputs!$B$11,0)</f>
        <v>0</v>
      </c>
      <c r="BE164" s="33" t="n">
        <f aca="false">IF(AND(Source_Data!BE$6&gt;=Inputs!$B$55,Source_Data!BE$6&lt;Inputs!$B$55+3*Inputs!$B$11),Inputs!$B$9*Inputs!$B$7/Inputs!$B$11,0)</f>
        <v>0</v>
      </c>
      <c r="BF164" s="33" t="n">
        <f aca="false">IF(AND(Source_Data!BF$6&gt;=Inputs!$B$55,Source_Data!BF$6&lt;Inputs!$B$55+3*Inputs!$B$11),Inputs!$B$9*Inputs!$B$7/Inputs!$B$11,0)</f>
        <v>0</v>
      </c>
      <c r="BG164" s="33" t="n">
        <f aca="false">IF(AND(Source_Data!BG$6&gt;=Inputs!$B$55,Source_Data!BG$6&lt;Inputs!$B$55+3*Inputs!$B$11),Inputs!$B$9*Inputs!$B$7/Inputs!$B$11,0)</f>
        <v>0</v>
      </c>
      <c r="BH164" s="33" t="n">
        <f aca="false">IF(AND(Source_Data!BH$6&gt;=Inputs!$B$55,Source_Data!BH$6&lt;Inputs!$B$55+3*Inputs!$B$11),Inputs!$B$9*Inputs!$B$7/Inputs!$B$11,0)</f>
        <v>0</v>
      </c>
      <c r="BI164" s="33" t="n">
        <f aca="false">IF(AND(Source_Data!BI$6&gt;=Inputs!$B$55,Source_Data!BI$6&lt;Inputs!$B$55+3*Inputs!$B$11),Inputs!$B$9*Inputs!$B$7/Inputs!$B$11,0)</f>
        <v>0</v>
      </c>
      <c r="BJ164" s="33" t="n">
        <f aca="false">IF(AND(Source_Data!BJ$6&gt;=Inputs!$B$55,Source_Data!BJ$6&lt;Inputs!$B$55+3*Inputs!$B$11),Inputs!$B$9*Inputs!$B$7/Inputs!$B$11,0)</f>
        <v>0</v>
      </c>
      <c r="BK164" s="33" t="n">
        <f aca="false">IF(AND(Source_Data!BK$6&gt;=Inputs!$B$55,Source_Data!BK$6&lt;Inputs!$B$55+3*Inputs!$B$11),Inputs!$B$9*Inputs!$B$7/Inputs!$B$11,0)</f>
        <v>0</v>
      </c>
    </row>
    <row r="165" customFormat="false" ht="15" hidden="false" customHeight="false" outlineLevel="0" collapsed="false">
      <c r="A165" s="3" t="s">
        <v>343</v>
      </c>
      <c r="D165" s="33" t="n">
        <f aca="false">IF(Source_Data!D$6=Inputs!$B$13,-Inputs!$B$7,0)+D164</f>
        <v>-75</v>
      </c>
      <c r="E165" s="33" t="n">
        <f aca="false">IF(Source_Data!E$6=Inputs!$B$13,-Inputs!$B$7,0)+E164</f>
        <v>0</v>
      </c>
      <c r="F165" s="33" t="n">
        <f aca="false">IF(Source_Data!F$6=Inputs!$B$13,-Inputs!$B$7,0)+F164</f>
        <v>0</v>
      </c>
      <c r="G165" s="33" t="n">
        <f aca="false">IF(Source_Data!G$6=Inputs!$B$13,-Inputs!$B$7,0)+G164</f>
        <v>0</v>
      </c>
      <c r="H165" s="33" t="n">
        <f aca="false">IF(Source_Data!H$6=Inputs!$B$13,-Inputs!$B$7,0)+H164</f>
        <v>0</v>
      </c>
      <c r="I165" s="33" t="n">
        <f aca="false">IF(Source_Data!I$6=Inputs!$B$13,-Inputs!$B$7,0)+I164</f>
        <v>0</v>
      </c>
      <c r="J165" s="33" t="n">
        <f aca="false">IF(Source_Data!J$6=Inputs!$B$13,-Inputs!$B$7,0)+J164</f>
        <v>0</v>
      </c>
      <c r="K165" s="33" t="n">
        <f aca="false">IF(Source_Data!K$6=Inputs!$B$13,-Inputs!$B$7,0)+K164</f>
        <v>0</v>
      </c>
      <c r="L165" s="33" t="n">
        <f aca="false">IF(Source_Data!L$6=Inputs!$B$13,-Inputs!$B$7,0)+L164</f>
        <v>0</v>
      </c>
      <c r="M165" s="33" t="n">
        <f aca="false">IF(Source_Data!M$6=Inputs!$B$13,-Inputs!$B$7,0)+M164</f>
        <v>14.375</v>
      </c>
      <c r="N165" s="33" t="n">
        <f aca="false">IF(Source_Data!N$6=Inputs!$B$13,-Inputs!$B$7,0)+N164</f>
        <v>14.375</v>
      </c>
      <c r="O165" s="33" t="n">
        <f aca="false">IF(Source_Data!O$6=Inputs!$B$13,-Inputs!$B$7,0)+O164</f>
        <v>14.375</v>
      </c>
      <c r="P165" s="33" t="n">
        <f aca="false">IF(Source_Data!P$6=Inputs!$B$13,-Inputs!$B$7,0)+P164</f>
        <v>14.375</v>
      </c>
      <c r="Q165" s="33" t="n">
        <f aca="false">IF(Source_Data!Q$6=Inputs!$B$13,-Inputs!$B$7,0)+Q164</f>
        <v>14.375</v>
      </c>
      <c r="R165" s="33" t="n">
        <f aca="false">IF(Source_Data!R$6=Inputs!$B$13,-Inputs!$B$7,0)+R164</f>
        <v>14.375</v>
      </c>
      <c r="S165" s="33" t="n">
        <f aca="false">IF(Source_Data!S$6=Inputs!$B$13,-Inputs!$B$7,0)+S164</f>
        <v>14.375</v>
      </c>
      <c r="T165" s="33" t="n">
        <f aca="false">IF(Source_Data!T$6=Inputs!$B$13,-Inputs!$B$7,0)+T164</f>
        <v>14.375</v>
      </c>
      <c r="U165" s="33" t="n">
        <f aca="false">IF(Source_Data!U$6=Inputs!$B$13,-Inputs!$B$7,0)+U164</f>
        <v>14.375</v>
      </c>
      <c r="V165" s="33" t="n">
        <f aca="false">IF(Source_Data!V$6=Inputs!$B$13,-Inputs!$B$7,0)+V164</f>
        <v>14.375</v>
      </c>
      <c r="W165" s="33" t="n">
        <f aca="false">IF(Source_Data!W$6=Inputs!$B$13,-Inputs!$B$7,0)+W164</f>
        <v>14.375</v>
      </c>
      <c r="X165" s="33" t="n">
        <f aca="false">IF(Source_Data!X$6=Inputs!$B$13,-Inputs!$B$7,0)+X164</f>
        <v>14.375</v>
      </c>
      <c r="Y165" s="33" t="n">
        <f aca="false">IF(Source_Data!Y$6=Inputs!$B$13,-Inputs!$B$7,0)+Y164</f>
        <v>0</v>
      </c>
      <c r="Z165" s="33" t="n">
        <f aca="false">IF(Source_Data!Z$6=Inputs!$B$13,-Inputs!$B$7,0)+Z164</f>
        <v>0</v>
      </c>
      <c r="AA165" s="33" t="n">
        <f aca="false">IF(Source_Data!AA$6=Inputs!$B$13,-Inputs!$B$7,0)+AA164</f>
        <v>0</v>
      </c>
      <c r="AB165" s="33" t="n">
        <f aca="false">IF(Source_Data!AB$6=Inputs!$B$13,-Inputs!$B$7,0)+AB164</f>
        <v>0</v>
      </c>
      <c r="AC165" s="33" t="n">
        <f aca="false">IF(Source_Data!AC$6=Inputs!$B$13,-Inputs!$B$7,0)+AC164</f>
        <v>0</v>
      </c>
      <c r="AD165" s="33" t="n">
        <f aca="false">IF(Source_Data!AD$6=Inputs!$B$13,-Inputs!$B$7,0)+AD164</f>
        <v>0</v>
      </c>
      <c r="AE165" s="33" t="n">
        <f aca="false">IF(Source_Data!AE$6=Inputs!$B$13,-Inputs!$B$7,0)+AE164</f>
        <v>0</v>
      </c>
      <c r="AF165" s="33" t="n">
        <f aca="false">IF(Source_Data!AF$6=Inputs!$B$13,-Inputs!$B$7,0)+AF164</f>
        <v>0</v>
      </c>
      <c r="AG165" s="33" t="n">
        <f aca="false">IF(Source_Data!AG$6=Inputs!$B$13,-Inputs!$B$7,0)+AG164</f>
        <v>0</v>
      </c>
      <c r="AH165" s="33" t="n">
        <f aca="false">IF(Source_Data!AH$6=Inputs!$B$13,-Inputs!$B$7,0)+AH164</f>
        <v>0</v>
      </c>
      <c r="AI165" s="33" t="n">
        <f aca="false">IF(Source_Data!AI$6=Inputs!$B$13,-Inputs!$B$7,0)+AI164</f>
        <v>0</v>
      </c>
      <c r="AJ165" s="33" t="n">
        <f aca="false">IF(Source_Data!AJ$6=Inputs!$B$13,-Inputs!$B$7,0)+AJ164</f>
        <v>0</v>
      </c>
      <c r="AK165" s="33" t="n">
        <f aca="false">IF(Source_Data!AK$6=Inputs!$B$13,-Inputs!$B$7,0)+AK164</f>
        <v>0</v>
      </c>
      <c r="AL165" s="33" t="n">
        <f aca="false">IF(Source_Data!AL$6=Inputs!$B$13,-Inputs!$B$7,0)+AL164</f>
        <v>0</v>
      </c>
      <c r="AM165" s="33" t="n">
        <f aca="false">IF(Source_Data!AM$6=Inputs!$B$13,-Inputs!$B$7,0)+AM164</f>
        <v>0</v>
      </c>
      <c r="AN165" s="33" t="n">
        <f aca="false">IF(Source_Data!AN$6=Inputs!$B$13,-Inputs!$B$7,0)+AN164</f>
        <v>0</v>
      </c>
      <c r="AO165" s="33" t="n">
        <f aca="false">IF(Source_Data!AO$6=Inputs!$B$13,-Inputs!$B$7,0)+AO164</f>
        <v>0</v>
      </c>
      <c r="AP165" s="33" t="n">
        <f aca="false">IF(Source_Data!AP$6=Inputs!$B$13,-Inputs!$B$7,0)+AP164</f>
        <v>0</v>
      </c>
      <c r="AQ165" s="33" t="n">
        <f aca="false">IF(Source_Data!AQ$6=Inputs!$B$13,-Inputs!$B$7,0)+AQ164</f>
        <v>0</v>
      </c>
      <c r="AR165" s="33" t="n">
        <f aca="false">IF(Source_Data!AR$6=Inputs!$B$13,-Inputs!$B$7,0)+AR164</f>
        <v>0</v>
      </c>
      <c r="AS165" s="33" t="n">
        <f aca="false">IF(Source_Data!AS$6=Inputs!$B$13,-Inputs!$B$7,0)+AS164</f>
        <v>0</v>
      </c>
      <c r="AT165" s="33" t="n">
        <f aca="false">IF(Source_Data!AT$6=Inputs!$B$13,-Inputs!$B$7,0)+AT164</f>
        <v>0</v>
      </c>
      <c r="AU165" s="33" t="n">
        <f aca="false">IF(Source_Data!AU$6=Inputs!$B$13,-Inputs!$B$7,0)+AU164</f>
        <v>0</v>
      </c>
      <c r="AV165" s="33" t="n">
        <f aca="false">IF(Source_Data!AV$6=Inputs!$B$13,-Inputs!$B$7,0)+AV164</f>
        <v>0</v>
      </c>
      <c r="AW165" s="33" t="n">
        <f aca="false">IF(Source_Data!AW$6=Inputs!$B$13,-Inputs!$B$7,0)+AW164</f>
        <v>0</v>
      </c>
      <c r="AX165" s="33" t="n">
        <f aca="false">IF(Source_Data!AX$6=Inputs!$B$13,-Inputs!$B$7,0)+AX164</f>
        <v>0</v>
      </c>
      <c r="AY165" s="33" t="n">
        <f aca="false">IF(Source_Data!AY$6=Inputs!$B$13,-Inputs!$B$7,0)+AY164</f>
        <v>0</v>
      </c>
      <c r="AZ165" s="33" t="n">
        <f aca="false">IF(Source_Data!AZ$6=Inputs!$B$13,-Inputs!$B$7,0)+AZ164</f>
        <v>0</v>
      </c>
      <c r="BA165" s="33" t="n">
        <f aca="false">IF(Source_Data!BA$6=Inputs!$B$13,-Inputs!$B$7,0)+BA164</f>
        <v>0</v>
      </c>
      <c r="BB165" s="33" t="n">
        <f aca="false">IF(Source_Data!BB$6=Inputs!$B$13,-Inputs!$B$7,0)+BB164</f>
        <v>0</v>
      </c>
      <c r="BC165" s="33" t="n">
        <f aca="false">IF(Source_Data!BC$6=Inputs!$B$13,-Inputs!$B$7,0)+BC164</f>
        <v>0</v>
      </c>
      <c r="BD165" s="33" t="n">
        <f aca="false">IF(Source_Data!BD$6=Inputs!$B$13,-Inputs!$B$7,0)+BD164</f>
        <v>0</v>
      </c>
      <c r="BE165" s="33" t="n">
        <f aca="false">IF(Source_Data!BE$6=Inputs!$B$13,-Inputs!$B$7,0)+BE164</f>
        <v>0</v>
      </c>
      <c r="BF165" s="33" t="n">
        <f aca="false">IF(Source_Data!BF$6=Inputs!$B$13,-Inputs!$B$7,0)+BF164</f>
        <v>0</v>
      </c>
      <c r="BG165" s="33" t="n">
        <f aca="false">IF(Source_Data!BG$6=Inputs!$B$13,-Inputs!$B$7,0)+BG164</f>
        <v>0</v>
      </c>
      <c r="BH165" s="33" t="n">
        <f aca="false">IF(Source_Data!BH$6=Inputs!$B$13,-Inputs!$B$7,0)+BH164</f>
        <v>0</v>
      </c>
      <c r="BI165" s="33" t="n">
        <f aca="false">IF(Source_Data!BI$6=Inputs!$B$13,-Inputs!$B$7,0)+BI164</f>
        <v>0</v>
      </c>
      <c r="BJ165" s="33" t="n">
        <f aca="false">IF(Source_Data!BJ$6=Inputs!$B$13,-Inputs!$B$7,0)+BJ164</f>
        <v>0</v>
      </c>
      <c r="BK165" s="33" t="n">
        <f aca="false">IF(Source_Data!BK$6=Inputs!$B$13,-Inputs!$B$7,0)+BK164</f>
        <v>0</v>
      </c>
    </row>
    <row r="166" customFormat="false" ht="15" hidden="false" customHeight="false" outlineLevel="0" collapsed="false">
      <c r="A166" s="3" t="s">
        <v>344</v>
      </c>
      <c r="D166" s="33" t="n">
        <f aca="false">IF(Source_Data!D$6=Inputs!$B$13,Inputs!$B$7,0)+D161-D164</f>
        <v>-16.25</v>
      </c>
      <c r="E166" s="33" t="n">
        <f aca="false">D166+IF(Source_Data!E$6=Inputs!$B$13,Inputs!$B$7,0)+E161-E164</f>
        <v>-27.5</v>
      </c>
      <c r="F166" s="33" t="n">
        <f aca="false">E166+IF(Source_Data!F$6=Inputs!$B$13,Inputs!$B$7,0)+F161-F164</f>
        <v>-38.75</v>
      </c>
      <c r="G166" s="33" t="n">
        <f aca="false">F166+IF(Source_Data!G$6=Inputs!$B$13,Inputs!$B$7,0)+G161-G164</f>
        <v>-50</v>
      </c>
      <c r="H166" s="33" t="n">
        <f aca="false">G166+IF(Source_Data!H$6=Inputs!$B$13,Inputs!$B$7,0)+H161-H164</f>
        <v>-80.3607625</v>
      </c>
      <c r="I166" s="33" t="n">
        <f aca="false">H166+IF(Source_Data!I$6=Inputs!$B$13,Inputs!$B$7,0)+I161-I164</f>
        <v>-102.9422875</v>
      </c>
      <c r="J166" s="33" t="n">
        <f aca="false">I166+IF(Source_Data!J$6=Inputs!$B$13,Inputs!$B$7,0)+J161-J164</f>
        <v>-124.93028125</v>
      </c>
      <c r="K166" s="33" t="n">
        <f aca="false">J166+IF(Source_Data!K$6=Inputs!$B$13,Inputs!$B$7,0)+K161-K164</f>
        <v>-115.04474375</v>
      </c>
      <c r="L166" s="33" t="n">
        <f aca="false">K166+IF(Source_Data!L$6=Inputs!$B$13,Inputs!$B$7,0)+L161-L164</f>
        <v>-128.90043375</v>
      </c>
      <c r="M166" s="33" t="n">
        <f aca="false">L166+IF(Source_Data!M$6=Inputs!$B$13,Inputs!$B$7,0)+M161-M164</f>
        <v>-156.023264375</v>
      </c>
      <c r="N166" s="33" t="n">
        <f aca="false">M166+IF(Source_Data!N$6=Inputs!$B$13,Inputs!$B$7,0)+N161-N164</f>
        <v>-139.4126759375</v>
      </c>
      <c r="O166" s="33" t="n">
        <f aca="false">N166+IF(Source_Data!O$6=Inputs!$B$13,Inputs!$B$7,0)+O161-O164</f>
        <v>292.1229015625</v>
      </c>
      <c r="P166" s="33" t="n">
        <f aca="false">O166+IF(Source_Data!P$6=Inputs!$B$13,Inputs!$B$7,0)+P161-P164</f>
        <v>273.3366415625</v>
      </c>
      <c r="Q166" s="33" t="n">
        <f aca="false">P166+IF(Source_Data!Q$6=Inputs!$B$13,Inputs!$B$7,0)+Q161-Q164</f>
        <v>245.5066315625</v>
      </c>
      <c r="R166" s="33" t="n">
        <f aca="false">Q166+IF(Source_Data!R$6=Inputs!$B$13,Inputs!$B$7,0)+R161-R164</f>
        <v>87.1443415625001</v>
      </c>
      <c r="S166" s="33" t="n">
        <f aca="false">R166+IF(Source_Data!S$6=Inputs!$B$13,Inputs!$B$7,0)+S161-S164</f>
        <v>-44.7314896875</v>
      </c>
      <c r="T166" s="33" t="n">
        <f aca="false">S166+IF(Source_Data!T$6=Inputs!$B$13,Inputs!$B$7,0)+T161-T164</f>
        <v>-42.0573209375</v>
      </c>
      <c r="U166" s="33" t="n">
        <f aca="false">T166+IF(Source_Data!U$6=Inputs!$B$13,Inputs!$B$7,0)+U161-U164</f>
        <v>-40.0514853125</v>
      </c>
      <c r="V166" s="33" t="n">
        <f aca="false">U166+IF(Source_Data!V$6=Inputs!$B$13,Inputs!$B$7,0)+V161-V164</f>
        <v>-38.199845625</v>
      </c>
      <c r="W166" s="33" t="n">
        <f aca="false">V166+IF(Source_Data!W$6=Inputs!$B$13,Inputs!$B$7,0)+W161-W164</f>
        <v>-37.8621296875</v>
      </c>
      <c r="X166" s="33" t="n">
        <f aca="false">W166+IF(Source_Data!X$6=Inputs!$B$13,Inputs!$B$7,0)+X161-X164</f>
        <v>-21.013185</v>
      </c>
      <c r="Y166" s="33" t="n">
        <f aca="false">X166+IF(Source_Data!Y$6=Inputs!$B$13,Inputs!$B$7,0)+Y161-Y164</f>
        <v>5.86975968750002</v>
      </c>
      <c r="Z166" s="33" t="n">
        <f aca="false">Y166+IF(Source_Data!Z$6=Inputs!$B$13,Inputs!$B$7,0)+Z161-Z164</f>
        <v>32.752704375</v>
      </c>
      <c r="AA166" s="33" t="n">
        <f aca="false">Z166+IF(Source_Data!AA$6=Inputs!$B$13,Inputs!$B$7,0)+AA161-AA164</f>
        <v>52.3554303125</v>
      </c>
      <c r="AB166" s="33" t="n">
        <f aca="false">AA166+IF(Source_Data!AB$6=Inputs!$B$13,Inputs!$B$7,0)+AB161-AB164</f>
        <v>94.45815625</v>
      </c>
      <c r="AC166" s="33" t="n">
        <f aca="false">AB166+IF(Source_Data!AC$6=Inputs!$B$13,Inputs!$B$7,0)+AC161-AC164</f>
        <v>136.5608821875</v>
      </c>
      <c r="AD166" s="33" t="n">
        <f aca="false">AC166+IF(Source_Data!AD$6=Inputs!$B$13,Inputs!$B$7,0)+AD161-AD164</f>
        <v>172.875608125</v>
      </c>
      <c r="AE166" s="33" t="n">
        <f aca="false">AD166+IF(Source_Data!AE$6=Inputs!$B$13,Inputs!$B$7,0)+AE161-AE164</f>
        <v>205.914235625</v>
      </c>
      <c r="AF166" s="33" t="n">
        <f aca="false">AE166+IF(Source_Data!AF$6=Inputs!$B$13,Inputs!$B$7,0)+AF161-AF164</f>
        <v>127.586196523437</v>
      </c>
      <c r="AG166" s="33" t="n">
        <f aca="false">AF166+IF(Source_Data!AG$6=Inputs!$B$13,Inputs!$B$7,0)+AG161-AG164</f>
        <v>141.698855351562</v>
      </c>
      <c r="AH166" s="33" t="n">
        <f aca="false">AG166+IF(Source_Data!AH$6=Inputs!$B$13,Inputs!$B$7,0)+AH161-AH164</f>
        <v>155.811514179687</v>
      </c>
      <c r="AI166" s="33" t="n">
        <f aca="false">AH166+IF(Source_Data!AI$6=Inputs!$B$13,Inputs!$B$7,0)+AI161-AI164</f>
        <v>169.924173007812</v>
      </c>
      <c r="AJ166" s="33" t="n">
        <f aca="false">AI166+IF(Source_Data!AJ$6=Inputs!$B$13,Inputs!$B$7,0)+AJ161-AJ164</f>
        <v>184.036831835937</v>
      </c>
      <c r="AK166" s="33" t="n">
        <f aca="false">AJ166+IF(Source_Data!AK$6=Inputs!$B$13,Inputs!$B$7,0)+AK161-AK164</f>
        <v>199.105019375</v>
      </c>
      <c r="AL166" s="33" t="n">
        <f aca="false">AK166+IF(Source_Data!AL$6=Inputs!$B$13,Inputs!$B$7,0)+AL161-AL164</f>
        <v>214.173206914063</v>
      </c>
      <c r="AM166" s="33" t="n">
        <f aca="false">AL166+IF(Source_Data!AM$6=Inputs!$B$13,Inputs!$B$7,0)+AM161-AM164</f>
        <v>228.8797575</v>
      </c>
      <c r="AN166" s="33" t="n">
        <f aca="false">AM166+IF(Source_Data!AN$6=Inputs!$B$13,Inputs!$B$7,0)+AN161-AN164</f>
        <v>247.57341484375</v>
      </c>
      <c r="AO166" s="33" t="n">
        <f aca="false">AN166+IF(Source_Data!AO$6=Inputs!$B$13,Inputs!$B$7,0)+AO161-AO164</f>
        <v>264.7508875</v>
      </c>
      <c r="AP166" s="33" t="n">
        <f aca="false">AO166+IF(Source_Data!AP$6=Inputs!$B$13,Inputs!$B$7,0)+AP161-AP164</f>
        <v>274.377055</v>
      </c>
      <c r="AQ166" s="33" t="n">
        <f aca="false">AP166+IF(Source_Data!AQ$6=Inputs!$B$13,Inputs!$B$7,0)+AQ161-AQ164</f>
        <v>277.9475275</v>
      </c>
      <c r="AR166" s="33" t="n">
        <f aca="false">AQ166+IF(Source_Data!AR$6=Inputs!$B$13,Inputs!$B$7,0)+AR161-AR164</f>
        <v>277.9475275</v>
      </c>
      <c r="AS166" s="33" t="n">
        <f aca="false">AR166+IF(Source_Data!AS$6=Inputs!$B$13,Inputs!$B$7,0)+AS161-AS164</f>
        <v>277.9475275</v>
      </c>
      <c r="AT166" s="33" t="n">
        <f aca="false">AS166+IF(Source_Data!AT$6=Inputs!$B$13,Inputs!$B$7,0)+AT161-AT164</f>
        <v>277.9475275</v>
      </c>
      <c r="AU166" s="33" t="n">
        <f aca="false">AT166+IF(Source_Data!AU$6=Inputs!$B$13,Inputs!$B$7,0)+AU161-AU164</f>
        <v>277.9475275</v>
      </c>
      <c r="AV166" s="33" t="n">
        <f aca="false">AU166+IF(Source_Data!AV$6=Inputs!$B$13,Inputs!$B$7,0)+AV161-AV164</f>
        <v>277.9475275</v>
      </c>
      <c r="AW166" s="33" t="n">
        <f aca="false">AV166+IF(Source_Data!AW$6=Inputs!$B$13,Inputs!$B$7,0)+AW161-AW164</f>
        <v>277.9475275</v>
      </c>
      <c r="AX166" s="33" t="n">
        <f aca="false">AW166+IF(Source_Data!AX$6=Inputs!$B$13,Inputs!$B$7,0)+AX161-AX164</f>
        <v>277.9475275</v>
      </c>
      <c r="AY166" s="33" t="n">
        <f aca="false">AX166+IF(Source_Data!AY$6=Inputs!$B$13,Inputs!$B$7,0)+AY161-AY164</f>
        <v>277.9475275</v>
      </c>
      <c r="AZ166" s="33" t="n">
        <f aca="false">AY166+IF(Source_Data!AZ$6=Inputs!$B$13,Inputs!$B$7,0)+AZ161-AZ164</f>
        <v>277.9475275</v>
      </c>
      <c r="BA166" s="33" t="n">
        <f aca="false">AZ166+IF(Source_Data!BA$6=Inputs!$B$13,Inputs!$B$7,0)+BA161-BA164</f>
        <v>277.9475275</v>
      </c>
      <c r="BB166" s="33" t="n">
        <f aca="false">BA166+IF(Source_Data!BB$6=Inputs!$B$13,Inputs!$B$7,0)+BB161-BB164</f>
        <v>277.9475275</v>
      </c>
      <c r="BC166" s="33" t="n">
        <f aca="false">BB166+IF(Source_Data!BC$6=Inputs!$B$13,Inputs!$B$7,0)+BC161-BC164</f>
        <v>277.9475275</v>
      </c>
      <c r="BD166" s="33" t="n">
        <f aca="false">BC166+IF(Source_Data!BD$6=Inputs!$B$13,Inputs!$B$7,0)+BD161-BD164</f>
        <v>277.9475275</v>
      </c>
      <c r="BE166" s="33" t="n">
        <f aca="false">BD166+IF(Source_Data!BE$6=Inputs!$B$13,Inputs!$B$7,0)+BE161-BE164</f>
        <v>277.9475275</v>
      </c>
      <c r="BF166" s="33" t="n">
        <f aca="false">BE166+IF(Source_Data!BF$6=Inputs!$B$13,Inputs!$B$7,0)+BF161-BF164</f>
        <v>277.9475275</v>
      </c>
      <c r="BG166" s="33" t="n">
        <f aca="false">BF166+IF(Source_Data!BG$6=Inputs!$B$13,Inputs!$B$7,0)+BG161-BG164</f>
        <v>277.9475275</v>
      </c>
      <c r="BH166" s="33" t="n">
        <f aca="false">BG166+IF(Source_Data!BH$6=Inputs!$B$13,Inputs!$B$7,0)+BH161-BH164</f>
        <v>277.9475275</v>
      </c>
      <c r="BI166" s="33" t="n">
        <f aca="false">BH166+IF(Source_Data!BI$6=Inputs!$B$13,Inputs!$B$7,0)+BI161-BI164</f>
        <v>277.9475275</v>
      </c>
      <c r="BJ166" s="33" t="n">
        <f aca="false">BI166+IF(Source_Data!BJ$6=Inputs!$B$13,Inputs!$B$7,0)+BJ161-BJ164</f>
        <v>277.9475275</v>
      </c>
      <c r="BK166" s="33" t="n">
        <f aca="false">BJ166+IF(Source_Data!BK$6=Inputs!$B$13,Inputs!$B$7,0)+BK161-BK164</f>
        <v>277.9475275</v>
      </c>
    </row>
    <row r="167" customFormat="false" ht="15" hidden="false" customHeight="false" outlineLevel="0" collapsed="false">
      <c r="A167" s="3" t="s">
        <v>345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-0.886805608695652</v>
      </c>
      <c r="N167" s="31" t="n">
        <f aca="false">IF(N164&gt;0,N161/N164,"")</f>
        <v>2.15551919565218</v>
      </c>
      <c r="O167" s="31" t="n">
        <f aca="false">IF(O164&gt;0,O161/O164,"")</f>
        <v>31.0198662608696</v>
      </c>
      <c r="P167" s="31" t="n">
        <f aca="false">IF(P164&gt;0,P161/P164,"")</f>
        <v>-0.306870260869565</v>
      </c>
      <c r="Q167" s="31" t="n">
        <f aca="false">IF(Q164&gt;0,Q161/Q164,"")</f>
        <v>-0.936000695652175</v>
      </c>
      <c r="R167" s="31" t="n">
        <f aca="false">IF(R164&gt;0,R161/R164,"")</f>
        <v>-10.0165071304348</v>
      </c>
      <c r="S167" s="31" t="n">
        <f aca="false">IF(S164&gt;0,S161/S164,"")</f>
        <v>-8.17397086956522</v>
      </c>
      <c r="T167" s="31" t="n">
        <f aca="false">IF(T164&gt;0,T161/T164,"")</f>
        <v>1.18602913043478</v>
      </c>
      <c r="U167" s="31" t="n">
        <f aca="false">IF(U164&gt;0,U161/U164,"")</f>
        <v>1.13953639130435</v>
      </c>
      <c r="V167" s="31" t="n">
        <f aca="false">IF(V164&gt;0,V161/V164,"")</f>
        <v>1.1288097173913</v>
      </c>
      <c r="W167" s="31" t="n">
        <f aca="false">IF(W164&gt;0,W161/W164,"")</f>
        <v>1.0234932826087</v>
      </c>
      <c r="X167" s="31" t="n">
        <f aca="false">IF(X164&gt;0,X161/X164,"")</f>
        <v>2.1721005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346</v>
      </c>
      <c r="D168" s="31" t="str">
        <f aca="false">IF(D164&gt;0,(0+D161+IF(Source_Data!D$6=Inputs!$B$13,Inputs!$B$7,0))/D164,"")</f>
        <v/>
      </c>
      <c r="E168" s="31" t="str">
        <f aca="false">IF(E164&gt;0,(D166+E161+IF(Source_Data!E$6=Inputs!$B$13,Inputs!$B$7,0))/E164,"")</f>
        <v/>
      </c>
      <c r="F168" s="31" t="str">
        <f aca="false">IF(F164&gt;0,(E166+F161+IF(Source_Data!F$6=Inputs!$B$13,Inputs!$B$7,0))/F164,"")</f>
        <v/>
      </c>
      <c r="G168" s="31" t="str">
        <f aca="false">IF(G164&gt;0,(F166+G161+IF(Source_Data!G$6=Inputs!$B$13,Inputs!$B$7,0))/G164,"")</f>
        <v/>
      </c>
      <c r="H168" s="31" t="str">
        <f aca="false">IF(H164&gt;0,(G166+H161+IF(Source_Data!H$6=Inputs!$B$13,Inputs!$B$7,0))/H164,"")</f>
        <v/>
      </c>
      <c r="I168" s="31" t="str">
        <f aca="false">IF(I164&gt;0,(H166+I161+IF(Source_Data!I$6=Inputs!$B$13,Inputs!$B$7,0))/I164,"")</f>
        <v/>
      </c>
      <c r="J168" s="31" t="str">
        <f aca="false">IF(J164&gt;0,(I166+J161+IF(Source_Data!J$6=Inputs!$B$13,Inputs!$B$7,0))/J164,"")</f>
        <v/>
      </c>
      <c r="K168" s="31" t="str">
        <f aca="false">IF(K164&gt;0,(J166+K161+IF(Source_Data!K$6=Inputs!$B$13,Inputs!$B$7,0))/K164,"")</f>
        <v/>
      </c>
      <c r="L168" s="31" t="str">
        <f aca="false">IF(L164&gt;0,(K166+L161+IF(Source_Data!L$6=Inputs!$B$13,Inputs!$B$7,0))/L164,"")</f>
        <v/>
      </c>
      <c r="M168" s="31" t="n">
        <f aca="false">IF(M164&gt;0,(L166+M161+IF(Source_Data!M$6=Inputs!$B$13,Inputs!$B$7,0))/M164,"")</f>
        <v>-9.85379230434783</v>
      </c>
      <c r="N168" s="31" t="n">
        <f aca="false">IF(N164&gt;0,(M166+N161+IF(Source_Data!N$6=Inputs!$B$13,Inputs!$B$7,0))/N164,"")</f>
        <v>-8.69827310869565</v>
      </c>
      <c r="O168" s="31" t="n">
        <f aca="false">IF(O164&gt;0,(N166+O161+IF(Source_Data!O$6=Inputs!$B$13,Inputs!$B$7,0))/O164,"")</f>
        <v>21.3215931521739</v>
      </c>
      <c r="P168" s="31" t="n">
        <f aca="false">IF(P164&gt;0,(O166+P161+IF(Source_Data!P$6=Inputs!$B$13,Inputs!$B$7,0))/P164,"")</f>
        <v>20.0147228913044</v>
      </c>
      <c r="Q168" s="31" t="n">
        <f aca="false">IF(Q164&gt;0,(P166+Q161+IF(Source_Data!Q$6=Inputs!$B$13,Inputs!$B$7,0))/Q164,"")</f>
        <v>18.0787221956522</v>
      </c>
      <c r="R168" s="31" t="n">
        <f aca="false">IF(R164&gt;0,(Q166+R161+IF(Source_Data!R$6=Inputs!$B$13,Inputs!$B$7,0))/R164,"")</f>
        <v>7.06221506521739</v>
      </c>
      <c r="S168" s="31" t="n">
        <f aca="false">IF(S164&gt;0,(R166+S161+IF(Source_Data!S$6=Inputs!$B$13,Inputs!$B$7,0))/S164,"")</f>
        <v>-2.11175580434782</v>
      </c>
      <c r="T168" s="31" t="n">
        <f aca="false">IF(T164&gt;0,(S166+T161+IF(Source_Data!T$6=Inputs!$B$13,Inputs!$B$7,0))/T164,"")</f>
        <v>-1.92572667391304</v>
      </c>
      <c r="U168" s="31" t="n">
        <f aca="false">IF(U164&gt;0,(T166+U161+IF(Source_Data!U$6=Inputs!$B$13,Inputs!$B$7,0))/U164,"")</f>
        <v>-1.78619028260869</v>
      </c>
      <c r="V168" s="31" t="n">
        <f aca="false">IF(V164&gt;0,(U166+V161+IF(Source_Data!V$6=Inputs!$B$13,Inputs!$B$7,0))/V164,"")</f>
        <v>-1.65738056521739</v>
      </c>
      <c r="W168" s="31" t="n">
        <f aca="false">IF(W164&gt;0,(V166+W161+IF(Source_Data!W$6=Inputs!$B$13,Inputs!$B$7,0))/W164,"")</f>
        <v>-1.63388728260869</v>
      </c>
      <c r="X168" s="31" t="n">
        <f aca="false">IF(X164&gt;0,(W166+X161+IF(Source_Data!X$6=Inputs!$B$13,Inputs!$B$7,0))/X164,"")</f>
        <v>-0.461786782608694</v>
      </c>
      <c r="Y168" s="31" t="str">
        <f aca="false">IF(Y164&gt;0,(X166+Y161+IF(Source_Data!Y$6=Inputs!$B$13,Inputs!$B$7,0))/Y164,"")</f>
        <v/>
      </c>
      <c r="Z168" s="31" t="str">
        <f aca="false">IF(Z164&gt;0,(Y166+Z161+IF(Source_Data!Z$6=Inputs!$B$13,Inputs!$B$7,0))/Z164,"")</f>
        <v/>
      </c>
      <c r="AA168" s="31" t="str">
        <f aca="false">IF(AA164&gt;0,(Z166+AA161+IF(Source_Data!AA$6=Inputs!$B$13,Inputs!$B$7,0))/AA164,"")</f>
        <v/>
      </c>
      <c r="AB168" s="31" t="str">
        <f aca="false">IF(AB164&gt;0,(AA166+AB161+IF(Source_Data!AB$6=Inputs!$B$13,Inputs!$B$7,0))/AB164,"")</f>
        <v/>
      </c>
      <c r="AC168" s="31" t="str">
        <f aca="false">IF(AC164&gt;0,(AB166+AC161+IF(Source_Data!AC$6=Inputs!$B$13,Inputs!$B$7,0))/AC164,"")</f>
        <v/>
      </c>
      <c r="AD168" s="31" t="str">
        <f aca="false">IF(AD164&gt;0,(AC166+AD161+IF(Source_Data!AD$6=Inputs!$B$13,Inputs!$B$7,0))/AD164,"")</f>
        <v/>
      </c>
      <c r="AE168" s="31" t="str">
        <f aca="false">IF(AE164&gt;0,(AD166+AE161+IF(Source_Data!AE$6=Inputs!$B$13,Inputs!$B$7,0))/AE164,"")</f>
        <v/>
      </c>
      <c r="AF168" s="31" t="str">
        <f aca="false">IF(AF164&gt;0,(AE166+AF161+IF(Source_Data!AF$6=Inputs!$B$13,Inputs!$B$7,0))/AF164,"")</f>
        <v/>
      </c>
      <c r="AG168" s="31" t="str">
        <f aca="false">IF(AG164&gt;0,(AF166+AG161+IF(Source_Data!AG$6=Inputs!$B$13,Inputs!$B$7,0))/AG164,"")</f>
        <v/>
      </c>
      <c r="AH168" s="31" t="str">
        <f aca="false">IF(AH164&gt;0,(AG166+AH161+IF(Source_Data!AH$6=Inputs!$B$13,Inputs!$B$7,0))/AH164,"")</f>
        <v/>
      </c>
      <c r="AI168" s="31" t="str">
        <f aca="false">IF(AI164&gt;0,(AH166+AI161+IF(Source_Data!AI$6=Inputs!$B$13,Inputs!$B$7,0))/AI164,"")</f>
        <v/>
      </c>
      <c r="AJ168" s="31" t="str">
        <f aca="false">IF(AJ164&gt;0,(AI166+AJ161+IF(Source_Data!AJ$6=Inputs!$B$13,Inputs!$B$7,0))/AJ164,"")</f>
        <v/>
      </c>
      <c r="AK168" s="31" t="str">
        <f aca="false">IF(AK164&gt;0,(AJ166+AK161+IF(Source_Data!AK$6=Inputs!$B$13,Inputs!$B$7,0))/AK164,"")</f>
        <v/>
      </c>
      <c r="AL168" s="31" t="str">
        <f aca="false">IF(AL164&gt;0,(AK166+AL161+IF(Source_Data!AL$6=Inputs!$B$13,Inputs!$B$7,0))/AL164,"")</f>
        <v/>
      </c>
      <c r="AM168" s="31" t="str">
        <f aca="false">IF(AM164&gt;0,(AL166+AM161+IF(Source_Data!AM$6=Inputs!$B$13,Inputs!$B$7,0))/AM164,"")</f>
        <v/>
      </c>
      <c r="AN168" s="31" t="str">
        <f aca="false">IF(AN164&gt;0,(AM166+AN161+IF(Source_Data!AN$6=Inputs!$B$13,Inputs!$B$7,0))/AN164,"")</f>
        <v/>
      </c>
      <c r="AO168" s="31" t="str">
        <f aca="false">IF(AO164&gt;0,(AN166+AO161+IF(Source_Data!AO$6=Inputs!$B$13,Inputs!$B$7,0))/AO164,"")</f>
        <v/>
      </c>
      <c r="AP168" s="31" t="str">
        <f aca="false">IF(AP164&gt;0,(AO166+AP161+IF(Source_Data!AP$6=Inputs!$B$13,Inputs!$B$7,0))/AP164,"")</f>
        <v/>
      </c>
      <c r="AQ168" s="31" t="str">
        <f aca="false">IF(AQ164&gt;0,(AP166+AQ161+IF(Source_Data!AQ$6=Inputs!$B$13,Inputs!$B$7,0))/AQ164,"")</f>
        <v/>
      </c>
      <c r="AR168" s="31" t="str">
        <f aca="false">IF(AR164&gt;0,(AQ166+AR161+IF(Source_Data!AR$6=Inputs!$B$13,Inputs!$B$7,0))/AR164,"")</f>
        <v/>
      </c>
      <c r="AS168" s="31" t="str">
        <f aca="false">IF(AS164&gt;0,(AR166+AS161+IF(Source_Data!AS$6=Inputs!$B$13,Inputs!$B$7,0))/AS164,"")</f>
        <v/>
      </c>
      <c r="AT168" s="31" t="str">
        <f aca="false">IF(AT164&gt;0,(AS166+AT161+IF(Source_Data!AT$6=Inputs!$B$13,Inputs!$B$7,0))/AT164,"")</f>
        <v/>
      </c>
      <c r="AU168" s="31" t="str">
        <f aca="false">IF(AU164&gt;0,(AT166+AU161+IF(Source_Data!AU$6=Inputs!$B$13,Inputs!$B$7,0))/AU164,"")</f>
        <v/>
      </c>
      <c r="AV168" s="31" t="str">
        <f aca="false">IF(AV164&gt;0,(AU166+AV161+IF(Source_Data!AV$6=Inputs!$B$13,Inputs!$B$7,0))/AV164,"")</f>
        <v/>
      </c>
      <c r="AW168" s="31" t="str">
        <f aca="false">IF(AW164&gt;0,(AV166+AW161+IF(Source_Data!AW$6=Inputs!$B$13,Inputs!$B$7,0))/AW164,"")</f>
        <v/>
      </c>
      <c r="AX168" s="31" t="str">
        <f aca="false">IF(AX164&gt;0,(AW166+AX161+IF(Source_Data!AX$6=Inputs!$B$13,Inputs!$B$7,0))/AX164,"")</f>
        <v/>
      </c>
      <c r="AY168" s="31" t="str">
        <f aca="false">IF(AY164&gt;0,(AX166+AY161+IF(Source_Data!AY$6=Inputs!$B$13,Inputs!$B$7,0))/AY164,"")</f>
        <v/>
      </c>
      <c r="AZ168" s="31" t="str">
        <f aca="false">IF(AZ164&gt;0,(AY166+AZ161+IF(Source_Data!AZ$6=Inputs!$B$13,Inputs!$B$7,0))/AZ164,"")</f>
        <v/>
      </c>
      <c r="BA168" s="31" t="str">
        <f aca="false">IF(BA164&gt;0,(AZ166+BA161+IF(Source_Data!BA$6=Inputs!$B$13,Inputs!$B$7,0))/BA164,"")</f>
        <v/>
      </c>
      <c r="BB168" s="31" t="str">
        <f aca="false">IF(BB164&gt;0,(BA166+BB161+IF(Source_Data!BB$6=Inputs!$B$13,Inputs!$B$7,0))/BB164,"")</f>
        <v/>
      </c>
      <c r="BC168" s="31" t="str">
        <f aca="false">IF(BC164&gt;0,(BB166+BC161+IF(Source_Data!BC$6=Inputs!$B$13,Inputs!$B$7,0))/BC164,"")</f>
        <v/>
      </c>
      <c r="BD168" s="31" t="str">
        <f aca="false">IF(BD164&gt;0,(BC166+BD161+IF(Source_Data!BD$6=Inputs!$B$13,Inputs!$B$7,0))/BD164,"")</f>
        <v/>
      </c>
      <c r="BE168" s="31" t="str">
        <f aca="false">IF(BE164&gt;0,(BD166+BE161+IF(Source_Data!BE$6=Inputs!$B$13,Inputs!$B$7,0))/BE164,"")</f>
        <v/>
      </c>
      <c r="BF168" s="31" t="str">
        <f aca="false">IF(BF164&gt;0,(BE166+BF161+IF(Source_Data!BF$6=Inputs!$B$13,Inputs!$B$7,0))/BF164,"")</f>
        <v/>
      </c>
      <c r="BG168" s="31" t="str">
        <f aca="false">IF(BG164&gt;0,(BF166+BG161+IF(Source_Data!BG$6=Inputs!$B$13,Inputs!$B$7,0))/BG164,"")</f>
        <v/>
      </c>
      <c r="BH168" s="31" t="str">
        <f aca="false">IF(BH164&gt;0,(BG166+BH161+IF(Source_Data!BH$6=Inputs!$B$13,Inputs!$B$7,0))/BH164,"")</f>
        <v/>
      </c>
      <c r="BI168" s="31" t="str">
        <f aca="false">IF(BI164&gt;0,(BH166+BI161+IF(Source_Data!BI$6=Inputs!$B$13,Inputs!$B$7,0))/BI164,"")</f>
        <v/>
      </c>
      <c r="BJ168" s="31" t="str">
        <f aca="false">IF(BJ164&gt;0,(BI166+BJ161+IF(Source_Data!BJ$6=Inputs!$B$13,Inputs!$B$7,0))/BJ164,"")</f>
        <v/>
      </c>
      <c r="BK168" s="31" t="str">
        <f aca="false">IF(BK164&gt;0,(BJ166+BK161+IF(Source_Data!BK$6=Inputs!$B$13,Inputs!$B$7,0))/BK164,"")</f>
        <v/>
      </c>
    </row>
    <row r="170" customFormat="false" ht="15" hidden="false" customHeight="false" outlineLevel="0" collapsed="false">
      <c r="A170" s="2" t="s">
        <v>222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347</v>
      </c>
      <c r="B171" s="41" t="n">
        <f aca="false">SUMPRODUCT(D161:BK161,Project_CF!$D$15:$BK$15)</f>
        <v>138.223527274618</v>
      </c>
    </row>
    <row r="172" customFormat="false" ht="15" hidden="false" customHeight="false" outlineLevel="0" collapsed="false">
      <c r="A172" s="2" t="s">
        <v>164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348</v>
      </c>
      <c r="B173" s="35" t="n">
        <f aca="false">INDEX(Project_CF!$D$6:$BK$6,MATCH(MIN(D162:BK162),D162:BK162,0))</f>
        <v>24</v>
      </c>
    </row>
    <row r="174" customFormat="false" ht="15" hidden="false" customHeight="false" outlineLevel="0" collapsed="false">
      <c r="A174" s="2" t="s">
        <v>349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350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351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352</v>
      </c>
      <c r="B177" s="41" t="n">
        <f aca="false">MIN(D166:BK166)</f>
        <v>-156.023264375</v>
      </c>
    </row>
    <row r="178" customFormat="false" ht="15" hidden="false" customHeight="false" outlineLevel="0" collapsed="false">
      <c r="A178" s="2" t="s">
        <v>353</v>
      </c>
      <c r="B178" s="43" t="n">
        <f aca="false">MIN(D167:BK167)</f>
        <v>-10.0165071304348</v>
      </c>
    </row>
    <row r="179" customFormat="false" ht="15" hidden="false" customHeight="false" outlineLevel="0" collapsed="false">
      <c r="A179" s="2" t="s">
        <v>354</v>
      </c>
      <c r="B179" s="35" t="n">
        <f aca="false">COUNTIF(D167:BK167,"&lt;"&amp;Inputs!$B$44)</f>
        <v>9</v>
      </c>
    </row>
    <row r="180" customFormat="false" ht="15" hidden="false" customHeight="false" outlineLevel="0" collapsed="false">
      <c r="A180" s="2" t="s">
        <v>355</v>
      </c>
      <c r="B180" s="43" t="n">
        <f aca="false">MIN(D168:BK168)</f>
        <v>-9.85379230434783</v>
      </c>
    </row>
    <row r="181" customFormat="false" ht="15" hidden="false" customHeight="false" outlineLevel="0" collapsed="false">
      <c r="A181" s="2" t="s">
        <v>356</v>
      </c>
      <c r="B181" s="35" t="n">
        <f aca="false">COUNTIF(D168:BK168,"&lt;"&amp;Inputs!$B$44)</f>
        <v>8</v>
      </c>
    </row>
    <row r="184" customFormat="false" ht="15" hidden="false" customHeight="false" outlineLevel="0" collapsed="false">
      <c r="A184" s="8" t="s">
        <v>364</v>
      </c>
    </row>
    <row r="185" customFormat="false" ht="15" hidden="false" customHeight="false" outlineLevel="0" collapsed="false">
      <c r="A185" s="3" t="s">
        <v>333</v>
      </c>
      <c r="B185" s="45" t="n">
        <v>1</v>
      </c>
    </row>
    <row r="186" customFormat="false" ht="15" hidden="false" customHeight="false" outlineLevel="0" collapsed="false">
      <c r="A186" s="3" t="s">
        <v>334</v>
      </c>
      <c r="B186" s="45" t="n">
        <v>4</v>
      </c>
    </row>
    <row r="187" customFormat="false" ht="15" hidden="false" customHeight="false" outlineLevel="0" collapsed="false">
      <c r="A187" s="3" t="s">
        <v>335</v>
      </c>
      <c r="B187" s="45" t="n">
        <v>1</v>
      </c>
    </row>
    <row r="188" customFormat="false" ht="15" hidden="false" customHeight="false" outlineLevel="0" collapsed="false">
      <c r="A188" s="3" t="s">
        <v>336</v>
      </c>
      <c r="B188" s="45" t="n">
        <v>0</v>
      </c>
    </row>
    <row r="189" customFormat="false" ht="15" hidden="false" customHeight="false" outlineLevel="0" collapsed="false">
      <c r="A189" s="3" t="s">
        <v>337</v>
      </c>
      <c r="B189" s="45" t="n">
        <v>0</v>
      </c>
    </row>
    <row r="190" customFormat="false" ht="15" hidden="false" customHeight="false" outlineLevel="0" collapsed="false">
      <c r="A190" s="3" t="s">
        <v>338</v>
      </c>
      <c r="B190" s="3" t="n">
        <f aca="false">Inputs!$B$14+3+3*$B$186</f>
        <v>57</v>
      </c>
    </row>
    <row r="191" customFormat="false" ht="15" hidden="false" customHeight="false" outlineLevel="0" collapsed="false">
      <c r="A191" s="3" t="s">
        <v>339</v>
      </c>
      <c r="D191" s="33" t="n">
        <f aca="false">Source_Data!D$7+IF($B$189=1,IF(Source_Data!D$6=Inputs!$B$14,Source_Data!$C$8,0),Source_Data!D$8)</f>
        <v>0</v>
      </c>
      <c r="E191" s="33" t="n">
        <f aca="false">Source_Data!E$7+IF($B$189=1,IF(Source_Data!E$6=Inputs!$B$14,Source_Data!$C$8,0),Source_Data!E$8)</f>
        <v>0</v>
      </c>
      <c r="F191" s="33" t="n">
        <f aca="false">Source_Data!F$7+IF($B$189=1,IF(Source_Data!F$6=Inputs!$B$14,Source_Data!$C$8,0),Source_Data!F$8)</f>
        <v>15.1392375</v>
      </c>
      <c r="G191" s="33" t="n">
        <f aca="false">Source_Data!G$7+IF($B$189=1,IF(Source_Data!G$6=Inputs!$B$14,Source_Data!$C$8,0),Source_Data!G$8)</f>
        <v>30.278475</v>
      </c>
      <c r="H191" s="33" t="n">
        <f aca="false">Source_Data!H$7+IF($B$189=1,IF(Source_Data!H$6=Inputs!$B$14,Source_Data!$C$8,0),Source_Data!H$8)</f>
        <v>46.51200625</v>
      </c>
      <c r="I191" s="33" t="n">
        <f aca="false">Source_Data!I$7+IF($B$189=1,IF(Source_Data!I$6=Inputs!$B$14,Source_Data!$C$8,0),Source_Data!I$8)</f>
        <v>62.7455375</v>
      </c>
      <c r="J191" s="33" t="n">
        <f aca="false">Source_Data!J$7+IF($B$189=1,IF(Source_Data!J$6=Inputs!$B$14,Source_Data!$C$8,0),Source_Data!J$8)</f>
        <v>62.3657</v>
      </c>
      <c r="K191" s="33" t="n">
        <f aca="false">Source_Data!K$7+IF($B$189=1,IF(Source_Data!K$6=Inputs!$B$14,Source_Data!$C$8,0),Source_Data!K$8)</f>
        <v>63.473559375</v>
      </c>
      <c r="L191" s="33" t="n">
        <f aca="false">Source_Data!L$7+IF($B$189=1,IF(Source_Data!L$6=Inputs!$B$14,Source_Data!$C$8,0),Source_Data!L$8)</f>
        <v>80.3288484375</v>
      </c>
      <c r="M191" s="33" t="n">
        <f aca="false">Source_Data!M$7+IF($B$189=1,IF(Source_Data!M$6=Inputs!$B$14,Source_Data!$C$8,0),Source_Data!M$8)</f>
        <v>495.2538375</v>
      </c>
      <c r="N191" s="33" t="n">
        <f aca="false">Source_Data!N$7+IF($B$189=1,IF(Source_Data!N$6=Inputs!$B$14,Source_Data!$C$8,0),Source_Data!N$8)</f>
        <v>185.57775</v>
      </c>
      <c r="O191" s="33" t="n">
        <f aca="false">Source_Data!O$7+IF($B$189=1,IF(Source_Data!O$6=Inputs!$B$14,Source_Data!$C$8,0),Source_Data!O$8)</f>
        <v>176.534</v>
      </c>
      <c r="P191" s="33" t="n">
        <f aca="false">Source_Data!P$7+IF($B$189=1,IF(Source_Data!P$6=Inputs!$B$14,Source_Data!$C$8,0),Source_Data!P$8)</f>
        <v>97.31075</v>
      </c>
      <c r="Q191" s="33" t="n">
        <f aca="false">Source_Data!Q$7+IF($B$189=1,IF(Source_Data!Q$6=Inputs!$B$14,Source_Data!$C$8,0),Source_Data!Q$8)</f>
        <v>71.30996875</v>
      </c>
      <c r="R191" s="33" t="n">
        <f aca="false">Source_Data!R$7+IF($B$189=1,IF(Source_Data!R$6=Inputs!$B$14,Source_Data!$C$8,0),Source_Data!R$8)</f>
        <v>71.30996875</v>
      </c>
      <c r="S191" s="33" t="n">
        <f aca="false">Source_Data!S$7+IF($B$189=1,IF(Source_Data!S$6=Inputs!$B$14,Source_Data!$C$8,0),Source_Data!S$8)</f>
        <v>68.037035625</v>
      </c>
      <c r="T191" s="33" t="n">
        <f aca="false">Source_Data!T$7+IF($B$189=1,IF(Source_Data!T$6=Inputs!$B$14,Source_Data!$C$8,0),Source_Data!T$8)</f>
        <v>61.2266396875</v>
      </c>
      <c r="U191" s="33" t="n">
        <f aca="false">Source_Data!U$7+IF($B$189=1,IF(Source_Data!U$6=Inputs!$B$14,Source_Data!$C$8,0),Source_Data!U$8)</f>
        <v>59.7127159375</v>
      </c>
      <c r="V191" s="33" t="n">
        <f aca="false">Source_Data!V$7+IF($B$189=1,IF(Source_Data!V$6=Inputs!$B$14,Source_Data!$C$8,0),Source_Data!V$8)</f>
        <v>53.7239446875</v>
      </c>
      <c r="W191" s="33" t="n">
        <f aca="false">Source_Data!W$7+IF($B$189=1,IF(Source_Data!W$6=Inputs!$B$14,Source_Data!$C$8,0),Source_Data!W$8)</f>
        <v>49.3829446875</v>
      </c>
      <c r="X191" s="33" t="n">
        <f aca="false">Source_Data!X$7+IF($B$189=1,IF(Source_Data!X$6=Inputs!$B$14,Source_Data!$C$8,0),Source_Data!X$8)</f>
        <v>49.3829446875</v>
      </c>
      <c r="Y191" s="33" t="n">
        <f aca="false">Source_Data!Y$7+IF($B$189=1,IF(Source_Data!Y$6=Inputs!$B$14,Source_Data!$C$8,0),Source_Data!Y$8)</f>
        <v>42.1027259375</v>
      </c>
      <c r="Z191" s="33" t="n">
        <f aca="false">Source_Data!Z$7+IF($B$189=1,IF(Source_Data!Z$6=Inputs!$B$14,Source_Data!$C$8,0),Source_Data!Z$8)</f>
        <v>42.1027259375</v>
      </c>
      <c r="AA191" s="33" t="n">
        <f aca="false">Source_Data!AA$7+IF($B$189=1,IF(Source_Data!AA$6=Inputs!$B$14,Source_Data!$C$8,0),Source_Data!AA$8)</f>
        <v>42.1027259375</v>
      </c>
      <c r="AB191" s="33" t="n">
        <f aca="false">Source_Data!AB$7+IF($B$189=1,IF(Source_Data!AB$6=Inputs!$B$14,Source_Data!$C$8,0),Source_Data!AB$8)</f>
        <v>36.3147259375</v>
      </c>
      <c r="AC191" s="33" t="n">
        <f aca="false">Source_Data!AC$7+IF($B$189=1,IF(Source_Data!AC$6=Inputs!$B$14,Source_Data!$C$8,0),Source_Data!AC$8)</f>
        <v>33.0386275</v>
      </c>
      <c r="AD191" s="33" t="n">
        <f aca="false">Source_Data!AD$7+IF($B$189=1,IF(Source_Data!AD$6=Inputs!$B$14,Source_Data!$C$8,0),Source_Data!AD$8)</f>
        <v>29.43017125</v>
      </c>
      <c r="AE191" s="33" t="n">
        <f aca="false">Source_Data!AE$7+IF($B$189=1,IF(Source_Data!AE$6=Inputs!$B$14,Source_Data!$C$8,0),Source_Data!AE$8)</f>
        <v>25.08917125</v>
      </c>
      <c r="AF191" s="33" t="n">
        <f aca="false">Source_Data!AF$7+IF($B$189=1,IF(Source_Data!AF$6=Inputs!$B$14,Source_Data!$C$8,0),Source_Data!AF$8)</f>
        <v>25.08917125</v>
      </c>
      <c r="AG191" s="33" t="n">
        <f aca="false">Source_Data!AG$7+IF($B$189=1,IF(Source_Data!AG$6=Inputs!$B$14,Source_Data!$C$8,0),Source_Data!AG$8)</f>
        <v>25.08917125</v>
      </c>
      <c r="AH191" s="33" t="n">
        <f aca="false">Source_Data!AH$7+IF($B$189=1,IF(Source_Data!AH$6=Inputs!$B$14,Source_Data!$C$8,0),Source_Data!AH$8)</f>
        <v>25.08917125</v>
      </c>
      <c r="AI191" s="33" t="n">
        <f aca="false">Source_Data!AI$7+IF($B$189=1,IF(Source_Data!AI$6=Inputs!$B$14,Source_Data!$C$8,0),Source_Data!AI$8)</f>
        <v>25.08917125</v>
      </c>
      <c r="AJ191" s="33" t="n">
        <f aca="false">Source_Data!AJ$7+IF($B$189=1,IF(Source_Data!AJ$6=Inputs!$B$14,Source_Data!$C$8,0),Source_Data!AJ$8)</f>
        <v>25.08917125</v>
      </c>
      <c r="AK191" s="33" t="n">
        <f aca="false">Source_Data!AK$7+IF($B$189=1,IF(Source_Data!AK$6=Inputs!$B$14,Source_Data!$C$8,0),Source_Data!AK$8)</f>
        <v>22.905105625</v>
      </c>
      <c r="AL191" s="33" t="n">
        <f aca="false">Source_Data!AL$7+IF($B$189=1,IF(Source_Data!AL$6=Inputs!$B$14,Source_Data!$C$8,0),Source_Data!AL$8)</f>
        <v>22.905105625</v>
      </c>
      <c r="AM191" s="33" t="n">
        <f aca="false">Source_Data!AM$7+IF($B$189=1,IF(Source_Data!AM$6=Inputs!$B$14,Source_Data!$C$8,0),Source_Data!AM$8)</f>
        <v>18.739554375</v>
      </c>
      <c r="AN191" s="33" t="n">
        <f aca="false">Source_Data!AN$7+IF($B$189=1,IF(Source_Data!AN$6=Inputs!$B$14,Source_Data!$C$8,0),Source_Data!AN$8)</f>
        <v>9.6261675</v>
      </c>
      <c r="AO191" s="33" t="n">
        <f aca="false">Source_Data!AO$7+IF($B$189=1,IF(Source_Data!AO$6=Inputs!$B$14,Source_Data!$C$8,0),Source_Data!AO$8)</f>
        <v>3.5704725</v>
      </c>
      <c r="AP191" s="33" t="n">
        <f aca="false">Source_Data!AP$7+IF($B$189=1,IF(Source_Data!AP$6=Inputs!$B$14,Source_Data!$C$8,0),Source_Data!AP$8)</f>
        <v>0</v>
      </c>
      <c r="AQ191" s="33" t="n">
        <f aca="false">Source_Data!AQ$7+IF($B$189=1,IF(Source_Data!AQ$6=Inputs!$B$14,Source_Data!$C$8,0),Source_Data!AQ$8)</f>
        <v>0</v>
      </c>
      <c r="AR191" s="33" t="n">
        <f aca="false">Source_Data!AR$7+IF($B$189=1,IF(Source_Data!AR$6=Inputs!$B$14,Source_Data!$C$8,0),Source_Data!AR$8)</f>
        <v>0</v>
      </c>
      <c r="AS191" s="33" t="n">
        <f aca="false">Source_Data!AS$7+IF($B$189=1,IF(Source_Data!AS$6=Inputs!$B$14,Source_Data!$C$8,0),Source_Data!AS$8)</f>
        <v>0</v>
      </c>
      <c r="AT191" s="33" t="n">
        <f aca="false">Source_Data!AT$7+IF($B$189=1,IF(Source_Data!AT$6=Inputs!$B$14,Source_Data!$C$8,0),Source_Data!AT$8)</f>
        <v>0</v>
      </c>
      <c r="AU191" s="33" t="n">
        <f aca="false">Source_Data!AU$7+IF($B$189=1,IF(Source_Data!AU$6=Inputs!$B$14,Source_Data!$C$8,0),Source_Data!AU$8)</f>
        <v>0</v>
      </c>
      <c r="AV191" s="33" t="n">
        <f aca="false">Source_Data!AV$7+IF($B$189=1,IF(Source_Data!AV$6=Inputs!$B$14,Source_Data!$C$8,0),Source_Data!AV$8)</f>
        <v>0</v>
      </c>
      <c r="AW191" s="33" t="n">
        <f aca="false">Source_Data!AW$7+IF($B$189=1,IF(Source_Data!AW$6=Inputs!$B$14,Source_Data!$C$8,0),Source_Data!AW$8)</f>
        <v>0</v>
      </c>
      <c r="AX191" s="33" t="n">
        <f aca="false">Source_Data!AX$7+IF($B$189=1,IF(Source_Data!AX$6=Inputs!$B$14,Source_Data!$C$8,0),Source_Data!AX$8)</f>
        <v>0</v>
      </c>
      <c r="AY191" s="33" t="n">
        <f aca="false">Source_Data!AY$7+IF($B$189=1,IF(Source_Data!AY$6=Inputs!$B$14,Source_Data!$C$8,0),Source_Data!AY$8)</f>
        <v>0</v>
      </c>
      <c r="AZ191" s="33" t="n">
        <f aca="false">Source_Data!AZ$7+IF($B$189=1,IF(Source_Data!AZ$6=Inputs!$B$14,Source_Data!$C$8,0),Source_Data!AZ$8)</f>
        <v>0</v>
      </c>
      <c r="BA191" s="33" t="n">
        <f aca="false">Source_Data!BA$7+IF($B$189=1,IF(Source_Data!BA$6=Inputs!$B$14,Source_Data!$C$8,0),Source_Data!BA$8)</f>
        <v>0</v>
      </c>
      <c r="BB191" s="33" t="n">
        <f aca="false">Source_Data!BB$7+IF($B$189=1,IF(Source_Data!BB$6=Inputs!$B$14,Source_Data!$C$8,0),Source_Data!BB$8)</f>
        <v>0</v>
      </c>
      <c r="BC191" s="33" t="n">
        <f aca="false">Source_Data!BC$7+IF($B$189=1,IF(Source_Data!BC$6=Inputs!$B$14,Source_Data!$C$8,0),Source_Data!BC$8)</f>
        <v>0</v>
      </c>
      <c r="BD191" s="33" t="n">
        <f aca="false">Source_Data!BD$7+IF($B$189=1,IF(Source_Data!BD$6=Inputs!$B$14,Source_Data!$C$8,0),Source_Data!BD$8)</f>
        <v>0</v>
      </c>
      <c r="BE191" s="33" t="n">
        <f aca="false">Source_Data!BE$7+IF($B$189=1,IF(Source_Data!BE$6=Inputs!$B$14,Source_Data!$C$8,0),Source_Data!BE$8)</f>
        <v>0</v>
      </c>
      <c r="BF191" s="33" t="n">
        <f aca="false">Source_Data!BF$7+IF($B$189=1,IF(Source_Data!BF$6=Inputs!$B$14,Source_Data!$C$8,0),Source_Data!BF$8)</f>
        <v>0</v>
      </c>
      <c r="BG191" s="33" t="n">
        <f aca="false">Source_Data!BG$7+IF($B$189=1,IF(Source_Data!BG$6=Inputs!$B$14,Source_Data!$C$8,0),Source_Data!BG$8)</f>
        <v>0</v>
      </c>
      <c r="BH191" s="33" t="n">
        <f aca="false">Source_Data!BH$7+IF($B$189=1,IF(Source_Data!BH$6=Inputs!$B$14,Source_Data!$C$8,0),Source_Data!BH$8)</f>
        <v>0</v>
      </c>
      <c r="BI191" s="33" t="n">
        <f aca="false">Source_Data!BI$7+IF($B$189=1,IF(Source_Data!BI$6=Inputs!$B$14,Source_Data!$C$8,0),Source_Data!BI$8)</f>
        <v>0</v>
      </c>
      <c r="BJ191" s="33" t="n">
        <f aca="false">Source_Data!BJ$7+IF($B$189=1,IF(Source_Data!BJ$6=Inputs!$B$14,Source_Data!$C$8,0),Source_Data!BJ$8)</f>
        <v>0</v>
      </c>
      <c r="BK191" s="33" t="n">
        <f aca="false">Source_Data!BK$7+IF($B$189=1,IF(Source_Data!BK$6=Inputs!$B$14,Source_Data!$C$8,0),Source_Data!BK$8)</f>
        <v>0</v>
      </c>
    </row>
    <row r="192" customFormat="false" ht="15" hidden="false" customHeight="false" outlineLevel="0" collapsed="false">
      <c r="A192" s="3" t="s">
        <v>215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340</v>
      </c>
      <c r="D193" s="33" t="n">
        <f aca="false">Source_Data!D$9+Source_Data!D$10*IF(Source_Data!$C$10=0,0,MAX(0,Inputs!$B$20*Inputs!$B$23*$B$185-Inputs!$B$21)/Source_Data!$C$10)</f>
        <v>91.25</v>
      </c>
      <c r="E193" s="33" t="n">
        <f aca="false">Source_Data!E$9+Source_Data!E$10*IF(Source_Data!$C$10=0,0,MAX(0,Inputs!$B$20*Inputs!$B$23*$B$185-Inputs!$B$21)/Source_Data!$C$10)</f>
        <v>11.25</v>
      </c>
      <c r="F193" s="33" t="n">
        <f aca="false">Source_Data!F$9+Source_Data!F$10*IF(Source_Data!$C$10=0,0,MAX(0,Inputs!$B$20*Inputs!$B$23*$B$185-Inputs!$B$21)/Source_Data!$C$10)</f>
        <v>11.25</v>
      </c>
      <c r="G193" s="33" t="n">
        <f aca="false">Source_Data!G$9+Source_Data!G$10*IF(Source_Data!$C$10=0,0,MAX(0,Inputs!$B$20*Inputs!$B$23*$B$185-Inputs!$B$21)/Source_Data!$C$10)</f>
        <v>11.25</v>
      </c>
      <c r="H193" s="33" t="n">
        <f aca="false">Source_Data!H$9+Source_Data!H$10*IF(Source_Data!$C$10=0,0,MAX(0,Inputs!$B$20*Inputs!$B$23*$B$185-Inputs!$B$21)/Source_Data!$C$10)</f>
        <v>22.5</v>
      </c>
      <c r="I193" s="33" t="n">
        <f aca="false">Source_Data!I$9+Source_Data!I$10*IF(Source_Data!$C$10=0,0,MAX(0,Inputs!$B$20*Inputs!$B$23*$B$185-Inputs!$B$21)/Source_Data!$C$10)</f>
        <v>22.5</v>
      </c>
      <c r="J193" s="33" t="n">
        <f aca="false">Source_Data!J$9+Source_Data!J$10*IF(Source_Data!$C$10=0,0,MAX(0,Inputs!$B$20*Inputs!$B$23*$B$185-Inputs!$B$21)/Source_Data!$C$10)</f>
        <v>22.5</v>
      </c>
      <c r="K193" s="33" t="n">
        <f aca="false">Source_Data!K$9+Source_Data!K$10*IF(Source_Data!$C$10=0,0,MAX(0,Inputs!$B$20*Inputs!$B$23*$B$185-Inputs!$B$21)/Source_Data!$C$10)</f>
        <v>22.5</v>
      </c>
      <c r="L193" s="33" t="n">
        <f aca="false">Source_Data!L$9+Source_Data!L$10*IF(Source_Data!$C$10=0,0,MAX(0,Inputs!$B$20*Inputs!$B$23*$B$185-Inputs!$B$21)/Source_Data!$C$10)</f>
        <v>33.75</v>
      </c>
      <c r="M193" s="33" t="n">
        <f aca="false">Source_Data!M$9+Source_Data!M$10*IF(Source_Data!$C$10=0,0,MAX(0,Inputs!$B$20*Inputs!$B$23*$B$185-Inputs!$B$21)/Source_Data!$C$10)</f>
        <v>33.75</v>
      </c>
      <c r="N193" s="33" t="n">
        <f aca="false">Source_Data!N$9+Source_Data!N$10*IF(Source_Data!$C$10=0,0,MAX(0,Inputs!$B$20*Inputs!$B$23*$B$185-Inputs!$B$21)/Source_Data!$C$10)</f>
        <v>33.75</v>
      </c>
      <c r="O193" s="33" t="n">
        <f aca="false">Source_Data!O$9+Source_Data!O$10*IF(Source_Data!$C$10=0,0,MAX(0,Inputs!$B$20*Inputs!$B$23*$B$185-Inputs!$B$21)/Source_Data!$C$10)</f>
        <v>33.75</v>
      </c>
      <c r="P193" s="33" t="n">
        <f aca="false">Source_Data!P$9+Source_Data!P$10*IF(Source_Data!$C$10=0,0,MAX(0,Inputs!$B$20*Inputs!$B$23*$B$185-Inputs!$B$21)/Source_Data!$C$10)</f>
        <v>45</v>
      </c>
      <c r="Q193" s="33" t="n">
        <f aca="false">Source_Data!Q$9+Source_Data!Q$10*IF(Source_Data!$C$10=0,0,MAX(0,Inputs!$B$20*Inputs!$B$23*$B$185-Inputs!$B$21)/Source_Data!$C$10)</f>
        <v>45</v>
      </c>
      <c r="R193" s="33" t="n">
        <f aca="false">Source_Data!R$9+Source_Data!R$10*IF(Source_Data!$C$10=0,0,MAX(0,Inputs!$B$20*Inputs!$B$23*$B$185-Inputs!$B$21)/Source_Data!$C$10)</f>
        <v>45</v>
      </c>
      <c r="S193" s="33" t="n">
        <f aca="false">Source_Data!S$9+Source_Data!S$10*IF(Source_Data!$C$10=0,0,MAX(0,Inputs!$B$20*Inputs!$B$23*$B$185-Inputs!$B$21)/Source_Data!$C$10)</f>
        <v>45</v>
      </c>
      <c r="T193" s="33" t="n">
        <f aca="false">Source_Data!T$9+Source_Data!T$10*IF(Source_Data!$C$10=0,0,MAX(0,Inputs!$B$20*Inputs!$B$23*$B$185-Inputs!$B$21)/Source_Data!$C$10)</f>
        <v>45</v>
      </c>
      <c r="U193" s="33" t="n">
        <f aca="false">Source_Data!U$9+Source_Data!U$10*IF(Source_Data!$C$10=0,0,MAX(0,Inputs!$B$20*Inputs!$B$23*$B$185-Inputs!$B$21)/Source_Data!$C$10)</f>
        <v>45</v>
      </c>
      <c r="V193" s="33" t="n">
        <f aca="false">Source_Data!V$9+Source_Data!V$10*IF(Source_Data!$C$10=0,0,MAX(0,Inputs!$B$20*Inputs!$B$23*$B$185-Inputs!$B$21)/Source_Data!$C$10)</f>
        <v>45</v>
      </c>
      <c r="W193" s="33" t="n">
        <f aca="false">Source_Data!W$9+Source_Data!W$10*IF(Source_Data!$C$10=0,0,MAX(0,Inputs!$B$20*Inputs!$B$23*$B$185-Inputs!$B$21)/Source_Data!$C$10)</f>
        <v>45</v>
      </c>
      <c r="X193" s="33" t="n">
        <f aca="false">Source_Data!X$9+Source_Data!X$10*IF(Source_Data!$C$10=0,0,MAX(0,Inputs!$B$20*Inputs!$B$23*$B$185-Inputs!$B$21)/Source_Data!$C$10)</f>
        <v>22.5</v>
      </c>
      <c r="Y193" s="33" t="n">
        <f aca="false">Source_Data!Y$9+Source_Data!Y$10*IF(Source_Data!$C$10=0,0,MAX(0,Inputs!$B$20*Inputs!$B$23*$B$185-Inputs!$B$21)/Source_Data!$C$10)</f>
        <v>22.5</v>
      </c>
      <c r="Z193" s="33" t="n">
        <f aca="false">Source_Data!Z$9+Source_Data!Z$10*IF(Source_Data!$C$10=0,0,MAX(0,Inputs!$B$20*Inputs!$B$23*$B$185-Inputs!$B$21)/Source_Data!$C$10)</f>
        <v>22.5</v>
      </c>
      <c r="AA193" s="33" t="n">
        <f aca="false">Source_Data!AA$9+Source_Data!AA$10*IF(Source_Data!$C$10=0,0,MAX(0,Inputs!$B$20*Inputs!$B$23*$B$185-Inputs!$B$21)/Source_Data!$C$10)</f>
        <v>22.5</v>
      </c>
      <c r="AB193" s="33" t="n">
        <f aca="false">Source_Data!AB$9+Source_Data!AB$10*IF(Source_Data!$C$10=0,0,MAX(0,Inputs!$B$20*Inputs!$B$23*$B$185-Inputs!$B$21)/Source_Data!$C$10)</f>
        <v>0</v>
      </c>
      <c r="AC193" s="33" t="n">
        <f aca="false">Source_Data!AC$9+Source_Data!AC$10*IF(Source_Data!$C$10=0,0,MAX(0,Inputs!$B$20*Inputs!$B$23*$B$185-Inputs!$B$21)/Source_Data!$C$10)</f>
        <v>0</v>
      </c>
      <c r="AD193" s="33" t="n">
        <f aca="false">Source_Data!AD$9+Source_Data!AD$10*IF(Source_Data!$C$10=0,0,MAX(0,Inputs!$B$20*Inputs!$B$23*$B$185-Inputs!$B$21)/Source_Data!$C$10)</f>
        <v>0</v>
      </c>
      <c r="AE193" s="33" t="n">
        <f aca="false">Source_Data!AE$9+Source_Data!AE$10*IF(Source_Data!$C$10=0,0,MAX(0,Inputs!$B$20*Inputs!$B$23*$B$185-Inputs!$B$21)/Source_Data!$C$10)</f>
        <v>0</v>
      </c>
      <c r="AF193" s="33" t="n">
        <f aca="false">Source_Data!AF$9+Source_Data!AF$10*IF(Source_Data!$C$10=0,0,MAX(0,Inputs!$B$20*Inputs!$B$23*$B$185-Inputs!$B$21)/Source_Data!$C$10)</f>
        <v>107.758210351563</v>
      </c>
      <c r="AG193" s="33" t="n">
        <f aca="false">Source_Data!AG$9+Source_Data!AG$10*IF(Source_Data!$C$10=0,0,MAX(0,Inputs!$B$20*Inputs!$B$23*$B$185-Inputs!$B$21)/Source_Data!$C$10)</f>
        <v>10.976512421875</v>
      </c>
      <c r="AH193" s="33" t="n">
        <f aca="false">Source_Data!AH$9+Source_Data!AH$10*IF(Source_Data!$C$10=0,0,MAX(0,Inputs!$B$20*Inputs!$B$23*$B$185-Inputs!$B$21)/Source_Data!$C$10)</f>
        <v>10.976512421875</v>
      </c>
      <c r="AI193" s="33" t="n">
        <f aca="false">Source_Data!AI$9+Source_Data!AI$10*IF(Source_Data!$C$10=0,0,MAX(0,Inputs!$B$20*Inputs!$B$23*$B$185-Inputs!$B$21)/Source_Data!$C$10)</f>
        <v>10.976512421875</v>
      </c>
      <c r="AJ193" s="33" t="n">
        <f aca="false">Source_Data!AJ$9+Source_Data!AJ$10*IF(Source_Data!$C$10=0,0,MAX(0,Inputs!$B$20*Inputs!$B$23*$B$185-Inputs!$B$21)/Source_Data!$C$10)</f>
        <v>10.976512421875</v>
      </c>
      <c r="AK193" s="33" t="n">
        <f aca="false">Source_Data!AK$9+Source_Data!AK$10*IF(Source_Data!$C$10=0,0,MAX(0,Inputs!$B$20*Inputs!$B$23*$B$185-Inputs!$B$21)/Source_Data!$C$10)</f>
        <v>10.0209837109375</v>
      </c>
      <c r="AL193" s="33" t="n">
        <f aca="false">Source_Data!AL$9+Source_Data!AL$10*IF(Source_Data!$C$10=0,0,MAX(0,Inputs!$B$20*Inputs!$B$23*$B$185-Inputs!$B$21)/Source_Data!$C$10)</f>
        <v>10.0209837109375</v>
      </c>
      <c r="AM193" s="33" t="n">
        <f aca="false">Source_Data!AM$9+Source_Data!AM$10*IF(Source_Data!$C$10=0,0,MAX(0,Inputs!$B$20*Inputs!$B$23*$B$185-Inputs!$B$21)/Source_Data!$C$10)</f>
        <v>8.19855503906249</v>
      </c>
      <c r="AN193" s="33" t="n">
        <f aca="false">Source_Data!AN$9+Source_Data!AN$10*IF(Source_Data!$C$10=0,0,MAX(0,Inputs!$B$20*Inputs!$B$23*$B$185-Inputs!$B$21)/Source_Data!$C$10)</f>
        <v>4.21144828125</v>
      </c>
      <c r="AO193" s="33" t="n">
        <f aca="false">Source_Data!AO$9+Source_Data!AO$10*IF(Source_Data!$C$10=0,0,MAX(0,Inputs!$B$20*Inputs!$B$23*$B$185-Inputs!$B$21)/Source_Data!$C$10)</f>
        <v>1.56208171875</v>
      </c>
      <c r="AP193" s="33" t="n">
        <f aca="false">Source_Data!AP$9+Source_Data!AP$10*IF(Source_Data!$C$10=0,0,MAX(0,Inputs!$B$20*Inputs!$B$23*$B$185-Inputs!$B$21)/Source_Data!$C$10)</f>
        <v>0</v>
      </c>
      <c r="AQ193" s="33" t="n">
        <f aca="false">Source_Data!AQ$9+Source_Data!AQ$10*IF(Source_Data!$C$10=0,0,MAX(0,Inputs!$B$20*Inputs!$B$23*$B$185-Inputs!$B$21)/Source_Data!$C$10)</f>
        <v>0</v>
      </c>
      <c r="AR193" s="33" t="n">
        <f aca="false">Source_Data!AR$9+Source_Data!AR$10*IF(Source_Data!$C$10=0,0,MAX(0,Inputs!$B$20*Inputs!$B$23*$B$185-Inputs!$B$21)/Source_Data!$C$10)</f>
        <v>0</v>
      </c>
      <c r="AS193" s="33" t="n">
        <f aca="false">Source_Data!AS$9+Source_Data!AS$10*IF(Source_Data!$C$10=0,0,MAX(0,Inputs!$B$20*Inputs!$B$23*$B$185-Inputs!$B$21)/Source_Data!$C$10)</f>
        <v>0</v>
      </c>
      <c r="AT193" s="33" t="n">
        <f aca="false">Source_Data!AT$9+Source_Data!AT$10*IF(Source_Data!$C$10=0,0,MAX(0,Inputs!$B$20*Inputs!$B$23*$B$185-Inputs!$B$21)/Source_Data!$C$10)</f>
        <v>0</v>
      </c>
      <c r="AU193" s="33" t="n">
        <f aca="false">Source_Data!AU$9+Source_Data!AU$10*IF(Source_Data!$C$10=0,0,MAX(0,Inputs!$B$20*Inputs!$B$23*$B$185-Inputs!$B$21)/Source_Data!$C$10)</f>
        <v>0</v>
      </c>
      <c r="AV193" s="33" t="n">
        <f aca="false">Source_Data!AV$9+Source_Data!AV$10*IF(Source_Data!$C$10=0,0,MAX(0,Inputs!$B$20*Inputs!$B$23*$B$185-Inputs!$B$21)/Source_Data!$C$10)</f>
        <v>0</v>
      </c>
      <c r="AW193" s="33" t="n">
        <f aca="false">Source_Data!AW$9+Source_Data!AW$10*IF(Source_Data!$C$10=0,0,MAX(0,Inputs!$B$20*Inputs!$B$23*$B$185-Inputs!$B$21)/Source_Data!$C$10)</f>
        <v>0</v>
      </c>
      <c r="AX193" s="33" t="n">
        <f aca="false">Source_Data!AX$9+Source_Data!AX$10*IF(Source_Data!$C$10=0,0,MAX(0,Inputs!$B$20*Inputs!$B$23*$B$185-Inputs!$B$21)/Source_Data!$C$10)</f>
        <v>0</v>
      </c>
      <c r="AY193" s="33" t="n">
        <f aca="false">Source_Data!AY$9+Source_Data!AY$10*IF(Source_Data!$C$10=0,0,MAX(0,Inputs!$B$20*Inputs!$B$23*$B$185-Inputs!$B$21)/Source_Data!$C$10)</f>
        <v>0</v>
      </c>
      <c r="AZ193" s="33" t="n">
        <f aca="false">Source_Data!AZ$9+Source_Data!AZ$10*IF(Source_Data!$C$10=0,0,MAX(0,Inputs!$B$20*Inputs!$B$23*$B$185-Inputs!$B$21)/Source_Data!$C$10)</f>
        <v>0</v>
      </c>
      <c r="BA193" s="33" t="n">
        <f aca="false">Source_Data!BA$9+Source_Data!BA$10*IF(Source_Data!$C$10=0,0,MAX(0,Inputs!$B$20*Inputs!$B$23*$B$185-Inputs!$B$21)/Source_Data!$C$10)</f>
        <v>0</v>
      </c>
      <c r="BB193" s="33" t="n">
        <f aca="false">Source_Data!BB$9+Source_Data!BB$10*IF(Source_Data!$C$10=0,0,MAX(0,Inputs!$B$20*Inputs!$B$23*$B$185-Inputs!$B$21)/Source_Data!$C$10)</f>
        <v>0</v>
      </c>
      <c r="BC193" s="33" t="n">
        <f aca="false">Source_Data!BC$9+Source_Data!BC$10*IF(Source_Data!$C$10=0,0,MAX(0,Inputs!$B$20*Inputs!$B$23*$B$185-Inputs!$B$21)/Source_Data!$C$10)</f>
        <v>0</v>
      </c>
      <c r="BD193" s="33" t="n">
        <f aca="false">Source_Data!BD$9+Source_Data!BD$10*IF(Source_Data!$C$10=0,0,MAX(0,Inputs!$B$20*Inputs!$B$23*$B$185-Inputs!$B$21)/Source_Data!$C$10)</f>
        <v>0</v>
      </c>
      <c r="BE193" s="33" t="n">
        <f aca="false">Source_Data!BE$9+Source_Data!BE$10*IF(Source_Data!$C$10=0,0,MAX(0,Inputs!$B$20*Inputs!$B$23*$B$185-Inputs!$B$21)/Source_Data!$C$10)</f>
        <v>0</v>
      </c>
      <c r="BF193" s="33" t="n">
        <f aca="false">Source_Data!BF$9+Source_Data!BF$10*IF(Source_Data!$C$10=0,0,MAX(0,Inputs!$B$20*Inputs!$B$23*$B$185-Inputs!$B$21)/Source_Data!$C$10)</f>
        <v>0</v>
      </c>
      <c r="BG193" s="33" t="n">
        <f aca="false">Source_Data!BG$9+Source_Data!BG$10*IF(Source_Data!$C$10=0,0,MAX(0,Inputs!$B$20*Inputs!$B$23*$B$185-Inputs!$B$21)/Source_Data!$C$10)</f>
        <v>0</v>
      </c>
      <c r="BH193" s="33" t="n">
        <f aca="false">Source_Data!BH$9+Source_Data!BH$10*IF(Source_Data!$C$10=0,0,MAX(0,Inputs!$B$20*Inputs!$B$23*$B$185-Inputs!$B$21)/Source_Data!$C$10)</f>
        <v>0</v>
      </c>
      <c r="BI193" s="33" t="n">
        <f aca="false">Source_Data!BI$9+Source_Data!BI$10*IF(Source_Data!$C$10=0,0,MAX(0,Inputs!$B$20*Inputs!$B$23*$B$185-Inputs!$B$21)/Source_Data!$C$10)</f>
        <v>0</v>
      </c>
      <c r="BJ193" s="33" t="n">
        <f aca="false">Source_Data!BJ$9+Source_Data!BJ$10*IF(Source_Data!$C$10=0,0,MAX(0,Inputs!$B$20*Inputs!$B$23*$B$185-Inputs!$B$21)/Source_Data!$C$10)</f>
        <v>0</v>
      </c>
      <c r="BK193" s="33" t="n">
        <f aca="false">Source_Data!BK$9+Source_Data!BK$10*IF(Source_Data!$C$10=0,0,MAX(0,Inputs!$B$20*Inputs!$B$23*$B$185-Inputs!$B$21)/Source_Data!$C$10)</f>
        <v>0</v>
      </c>
    </row>
    <row r="194" customFormat="false" ht="15" hidden="false" customHeight="false" outlineLevel="0" collapsed="false">
      <c r="A194" s="3" t="s">
        <v>196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198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217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218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219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341</v>
      </c>
      <c r="D199" s="33" t="n">
        <f aca="false">IF(Source_Data!D$6=Inputs!$B$13,-Inputs!$B$7,0)+IF(AND(Source_Data!D$6&gt;=$B$190,Source_Data!D$6&lt;$B$190+3*Inputs!$B$17,MOD(Source_Data!D$6-$B$190,3)=0),Inputs!$B$8*Inputs!$B$7*Inputs!$B$35*$B$185*(1-Inputs!$B$16)/Inputs!$B$17,0)</f>
        <v>-75</v>
      </c>
      <c r="E199" s="33" t="n">
        <f aca="false">IF(Source_Data!E$6=Inputs!$B$13,-Inputs!$B$7,0)+IF(AND(Source_Data!E$6&gt;=$B$190,Source_Data!E$6&lt;$B$190+3*Inputs!$B$17,MOD(Source_Data!E$6-$B$190,3)=0),Inputs!$B$8*Inputs!$B$7*Inputs!$B$35*$B$185*(1-Inputs!$B$16)/Inputs!$B$17,0)</f>
        <v>0</v>
      </c>
      <c r="F199" s="33" t="n">
        <f aca="false">IF(Source_Data!F$6=Inputs!$B$13,-Inputs!$B$7,0)+IF(AND(Source_Data!F$6&gt;=$B$190,Source_Data!F$6&lt;$B$190+3*Inputs!$B$17,MOD(Source_Data!F$6-$B$190,3)=0),Inputs!$B$8*Inputs!$B$7*Inputs!$B$35*$B$185*(1-Inputs!$B$16)/Inputs!$B$17,0)</f>
        <v>0</v>
      </c>
      <c r="G199" s="33" t="n">
        <f aca="false">IF(Source_Data!G$6=Inputs!$B$13,-Inputs!$B$7,0)+IF(AND(Source_Data!G$6&gt;=$B$190,Source_Data!G$6&lt;$B$190+3*Inputs!$B$17,MOD(Source_Data!G$6-$B$190,3)=0),Inputs!$B$8*Inputs!$B$7*Inputs!$B$35*$B$185*(1-Inputs!$B$16)/Inputs!$B$17,0)</f>
        <v>0</v>
      </c>
      <c r="H199" s="33" t="n">
        <f aca="false">IF(Source_Data!H$6=Inputs!$B$13,-Inputs!$B$7,0)+IF(AND(Source_Data!H$6&gt;=$B$190,Source_Data!H$6&lt;$B$190+3*Inputs!$B$17,MOD(Source_Data!H$6-$B$190,3)=0),Inputs!$B$8*Inputs!$B$7*Inputs!$B$35*$B$185*(1-Inputs!$B$16)/Inputs!$B$17,0)</f>
        <v>0</v>
      </c>
      <c r="I199" s="33" t="n">
        <f aca="false">IF(Source_Data!I$6=Inputs!$B$13,-Inputs!$B$7,0)+IF(AND(Source_Data!I$6&gt;=$B$190,Source_Data!I$6&lt;$B$190+3*Inputs!$B$17,MOD(Source_Data!I$6-$B$190,3)=0),Inputs!$B$8*Inputs!$B$7*Inputs!$B$35*$B$185*(1-Inputs!$B$16)/Inputs!$B$17,0)</f>
        <v>0</v>
      </c>
      <c r="J199" s="33" t="n">
        <f aca="false">IF(Source_Data!J$6=Inputs!$B$13,-Inputs!$B$7,0)+IF(AND(Source_Data!J$6&gt;=$B$190,Source_Data!J$6&lt;$B$190+3*Inputs!$B$17,MOD(Source_Data!J$6-$B$190,3)=0),Inputs!$B$8*Inputs!$B$7*Inputs!$B$35*$B$185*(1-Inputs!$B$16)/Inputs!$B$17,0)</f>
        <v>0</v>
      </c>
      <c r="K199" s="33" t="n">
        <f aca="false">IF(Source_Data!K$6=Inputs!$B$13,-Inputs!$B$7,0)+IF(AND(Source_Data!K$6&gt;=$B$190,Source_Data!K$6&lt;$B$190+3*Inputs!$B$17,MOD(Source_Data!K$6-$B$190,3)=0),Inputs!$B$8*Inputs!$B$7*Inputs!$B$35*$B$185*(1-Inputs!$B$16)/Inputs!$B$17,0)</f>
        <v>0</v>
      </c>
      <c r="L199" s="33" t="n">
        <f aca="false">IF(Source_Data!L$6=Inputs!$B$13,-Inputs!$B$7,0)+IF(AND(Source_Data!L$6&gt;=$B$190,Source_Data!L$6&lt;$B$190+3*Inputs!$B$17,MOD(Source_Data!L$6-$B$190,3)=0),Inputs!$B$8*Inputs!$B$7*Inputs!$B$35*$B$185*(1-Inputs!$B$16)/Inputs!$B$17,0)</f>
        <v>0</v>
      </c>
      <c r="M199" s="33" t="n">
        <f aca="false">IF(Source_Data!M$6=Inputs!$B$13,-Inputs!$B$7,0)+IF(AND(Source_Data!M$6&gt;=$B$190,Source_Data!M$6&lt;$B$190+3*Inputs!$B$17,MOD(Source_Data!M$6-$B$190,3)=0),Inputs!$B$8*Inputs!$B$7*Inputs!$B$35*$B$185*(1-Inputs!$B$16)/Inputs!$B$17,0)</f>
        <v>0</v>
      </c>
      <c r="N199" s="33" t="n">
        <f aca="false">IF(Source_Data!N$6=Inputs!$B$13,-Inputs!$B$7,0)+IF(AND(Source_Data!N$6&gt;=$B$190,Source_Data!N$6&lt;$B$190+3*Inputs!$B$17,MOD(Source_Data!N$6-$B$190,3)=0),Inputs!$B$8*Inputs!$B$7*Inputs!$B$35*$B$185*(1-Inputs!$B$16)/Inputs!$B$17,0)</f>
        <v>0</v>
      </c>
      <c r="O199" s="33" t="n">
        <f aca="false">IF(Source_Data!O$6=Inputs!$B$13,-Inputs!$B$7,0)+IF(AND(Source_Data!O$6&gt;=$B$190,Source_Data!O$6&lt;$B$190+3*Inputs!$B$17,MOD(Source_Data!O$6-$B$190,3)=0),Inputs!$B$8*Inputs!$B$7*Inputs!$B$35*$B$185*(1-Inputs!$B$16)/Inputs!$B$17,0)</f>
        <v>0</v>
      </c>
      <c r="P199" s="33" t="n">
        <f aca="false">IF(Source_Data!P$6=Inputs!$B$13,-Inputs!$B$7,0)+IF(AND(Source_Data!P$6&gt;=$B$190,Source_Data!P$6&lt;$B$190+3*Inputs!$B$17,MOD(Source_Data!P$6-$B$190,3)=0),Inputs!$B$8*Inputs!$B$7*Inputs!$B$35*$B$185*(1-Inputs!$B$16)/Inputs!$B$17,0)</f>
        <v>0</v>
      </c>
      <c r="Q199" s="33" t="n">
        <f aca="false">IF(Source_Data!Q$6=Inputs!$B$13,-Inputs!$B$7,0)+IF(AND(Source_Data!Q$6&gt;=$B$190,Source_Data!Q$6&lt;$B$190+3*Inputs!$B$17,MOD(Source_Data!Q$6-$B$190,3)=0),Inputs!$B$8*Inputs!$B$7*Inputs!$B$35*$B$185*(1-Inputs!$B$16)/Inputs!$B$17,0)</f>
        <v>0</v>
      </c>
      <c r="R199" s="33" t="n">
        <f aca="false">IF(Source_Data!R$6=Inputs!$B$13,-Inputs!$B$7,0)+IF(AND(Source_Data!R$6&gt;=$B$190,Source_Data!R$6&lt;$B$190+3*Inputs!$B$17,MOD(Source_Data!R$6-$B$190,3)=0),Inputs!$B$8*Inputs!$B$7*Inputs!$B$35*$B$185*(1-Inputs!$B$16)/Inputs!$B$17,0)</f>
        <v>0</v>
      </c>
      <c r="S199" s="33" t="n">
        <f aca="false">IF(Source_Data!S$6=Inputs!$B$13,-Inputs!$B$7,0)+IF(AND(Source_Data!S$6&gt;=$B$190,Source_Data!S$6&lt;$B$190+3*Inputs!$B$17,MOD(Source_Data!S$6-$B$190,3)=0),Inputs!$B$8*Inputs!$B$7*Inputs!$B$35*$B$185*(1-Inputs!$B$16)/Inputs!$B$17,0)</f>
        <v>0</v>
      </c>
      <c r="T199" s="33" t="n">
        <f aca="false">IF(Source_Data!T$6=Inputs!$B$13,-Inputs!$B$7,0)+IF(AND(Source_Data!T$6&gt;=$B$190,Source_Data!T$6&lt;$B$190+3*Inputs!$B$17,MOD(Source_Data!T$6-$B$190,3)=0),Inputs!$B$8*Inputs!$B$7*Inputs!$B$35*$B$185*(1-Inputs!$B$16)/Inputs!$B$17,0)</f>
        <v>0</v>
      </c>
      <c r="U199" s="33" t="n">
        <f aca="false">IF(Source_Data!U$6=Inputs!$B$13,-Inputs!$B$7,0)+IF(AND(Source_Data!U$6&gt;=$B$190,Source_Data!U$6&lt;$B$190+3*Inputs!$B$17,MOD(Source_Data!U$6-$B$190,3)=0),Inputs!$B$8*Inputs!$B$7*Inputs!$B$35*$B$185*(1-Inputs!$B$16)/Inputs!$B$17,0)</f>
        <v>0</v>
      </c>
      <c r="V199" s="33" t="n">
        <f aca="false">IF(Source_Data!V$6=Inputs!$B$13,-Inputs!$B$7,0)+IF(AND(Source_Data!V$6&gt;=$B$190,Source_Data!V$6&lt;$B$190+3*Inputs!$B$17,MOD(Source_Data!V$6-$B$190,3)=0),Inputs!$B$8*Inputs!$B$7*Inputs!$B$35*$B$185*(1-Inputs!$B$16)/Inputs!$B$17,0)</f>
        <v>0</v>
      </c>
      <c r="W199" s="33" t="n">
        <f aca="false">IF(Source_Data!W$6=Inputs!$B$13,-Inputs!$B$7,0)+IF(AND(Source_Data!W$6&gt;=$B$190,Source_Data!W$6&lt;$B$190+3*Inputs!$B$17,MOD(Source_Data!W$6-$B$190,3)=0),Inputs!$B$8*Inputs!$B$7*Inputs!$B$35*$B$185*(1-Inputs!$B$16)/Inputs!$B$17,0)</f>
        <v>0</v>
      </c>
      <c r="X199" s="33" t="n">
        <f aca="false">IF(Source_Data!X$6=Inputs!$B$13,-Inputs!$B$7,0)+IF(AND(Source_Data!X$6&gt;=$B$190,Source_Data!X$6&lt;$B$190+3*Inputs!$B$17,MOD(Source_Data!X$6-$B$190,3)=0),Inputs!$B$8*Inputs!$B$7*Inputs!$B$35*$B$185*(1-Inputs!$B$16)/Inputs!$B$17,0)</f>
        <v>52.1505376344086</v>
      </c>
      <c r="Y199" s="33" t="n">
        <f aca="false">IF(Source_Data!Y$6=Inputs!$B$13,-Inputs!$B$7,0)+IF(AND(Source_Data!Y$6&gt;=$B$190,Source_Data!Y$6&lt;$B$190+3*Inputs!$B$17,MOD(Source_Data!Y$6-$B$190,3)=0),Inputs!$B$8*Inputs!$B$7*Inputs!$B$35*$B$185*(1-Inputs!$B$16)/Inputs!$B$17,0)</f>
        <v>52.1505376344086</v>
      </c>
      <c r="Z199" s="33" t="n">
        <f aca="false">IF(Source_Data!Z$6=Inputs!$B$13,-Inputs!$B$7,0)+IF(AND(Source_Data!Z$6&gt;=$B$190,Source_Data!Z$6&lt;$B$190+3*Inputs!$B$17,MOD(Source_Data!Z$6-$B$190,3)=0),Inputs!$B$8*Inputs!$B$7*Inputs!$B$35*$B$185*(1-Inputs!$B$16)/Inputs!$B$17,0)</f>
        <v>52.1505376344086</v>
      </c>
      <c r="AA199" s="33" t="n">
        <f aca="false">IF(Source_Data!AA$6=Inputs!$B$13,-Inputs!$B$7,0)+IF(AND(Source_Data!AA$6&gt;=$B$190,Source_Data!AA$6&lt;$B$190+3*Inputs!$B$17,MOD(Source_Data!AA$6-$B$190,3)=0),Inputs!$B$8*Inputs!$B$7*Inputs!$B$35*$B$185*(1-Inputs!$B$16)/Inputs!$B$17,0)</f>
        <v>52.1505376344086</v>
      </c>
      <c r="AB199" s="33" t="n">
        <f aca="false">IF(Source_Data!AB$6=Inputs!$B$13,-Inputs!$B$7,0)+IF(AND(Source_Data!AB$6&gt;=$B$190,Source_Data!AB$6&lt;$B$190+3*Inputs!$B$17,MOD(Source_Data!AB$6-$B$190,3)=0),Inputs!$B$8*Inputs!$B$7*Inputs!$B$35*$B$185*(1-Inputs!$B$16)/Inputs!$B$17,0)</f>
        <v>0</v>
      </c>
      <c r="AC199" s="33" t="n">
        <f aca="false">IF(Source_Data!AC$6=Inputs!$B$13,-Inputs!$B$7,0)+IF(AND(Source_Data!AC$6&gt;=$B$190,Source_Data!AC$6&lt;$B$190+3*Inputs!$B$17,MOD(Source_Data!AC$6-$B$190,3)=0),Inputs!$B$8*Inputs!$B$7*Inputs!$B$35*$B$185*(1-Inputs!$B$16)/Inputs!$B$17,0)</f>
        <v>0</v>
      </c>
      <c r="AD199" s="33" t="n">
        <f aca="false">IF(Source_Data!AD$6=Inputs!$B$13,-Inputs!$B$7,0)+IF(AND(Source_Data!AD$6&gt;=$B$190,Source_Data!AD$6&lt;$B$190+3*Inputs!$B$17,MOD(Source_Data!AD$6-$B$190,3)=0),Inputs!$B$8*Inputs!$B$7*Inputs!$B$35*$B$185*(1-Inputs!$B$16)/Inputs!$B$17,0)</f>
        <v>0</v>
      </c>
      <c r="AE199" s="33" t="n">
        <f aca="false">IF(Source_Data!AE$6=Inputs!$B$13,-Inputs!$B$7,0)+IF(AND(Source_Data!AE$6&gt;=$B$190,Source_Data!AE$6&lt;$B$190+3*Inputs!$B$17,MOD(Source_Data!AE$6-$B$190,3)=0),Inputs!$B$8*Inputs!$B$7*Inputs!$B$35*$B$185*(1-Inputs!$B$16)/Inputs!$B$17,0)</f>
        <v>0</v>
      </c>
      <c r="AF199" s="33" t="n">
        <f aca="false">IF(Source_Data!AF$6=Inputs!$B$13,-Inputs!$B$7,0)+IF(AND(Source_Data!AF$6&gt;=$B$190,Source_Data!AF$6&lt;$B$190+3*Inputs!$B$17,MOD(Source_Data!AF$6-$B$190,3)=0),Inputs!$B$8*Inputs!$B$7*Inputs!$B$35*$B$185*(1-Inputs!$B$16)/Inputs!$B$17,0)</f>
        <v>0</v>
      </c>
      <c r="AG199" s="33" t="n">
        <f aca="false">IF(Source_Data!AG$6=Inputs!$B$13,-Inputs!$B$7,0)+IF(AND(Source_Data!AG$6&gt;=$B$190,Source_Data!AG$6&lt;$B$190+3*Inputs!$B$17,MOD(Source_Data!AG$6-$B$190,3)=0),Inputs!$B$8*Inputs!$B$7*Inputs!$B$35*$B$185*(1-Inputs!$B$16)/Inputs!$B$17,0)</f>
        <v>0</v>
      </c>
      <c r="AH199" s="33" t="n">
        <f aca="false">IF(Source_Data!AH$6=Inputs!$B$13,-Inputs!$B$7,0)+IF(AND(Source_Data!AH$6&gt;=$B$190,Source_Data!AH$6&lt;$B$190+3*Inputs!$B$17,MOD(Source_Data!AH$6-$B$190,3)=0),Inputs!$B$8*Inputs!$B$7*Inputs!$B$35*$B$185*(1-Inputs!$B$16)/Inputs!$B$17,0)</f>
        <v>0</v>
      </c>
      <c r="AI199" s="33" t="n">
        <f aca="false">IF(Source_Data!AI$6=Inputs!$B$13,-Inputs!$B$7,0)+IF(AND(Source_Data!AI$6&gt;=$B$190,Source_Data!AI$6&lt;$B$190+3*Inputs!$B$17,MOD(Source_Data!AI$6-$B$190,3)=0),Inputs!$B$8*Inputs!$B$7*Inputs!$B$35*$B$185*(1-Inputs!$B$16)/Inputs!$B$17,0)</f>
        <v>0</v>
      </c>
      <c r="AJ199" s="33" t="n">
        <f aca="false">IF(Source_Data!AJ$6=Inputs!$B$13,-Inputs!$B$7,0)+IF(AND(Source_Data!AJ$6&gt;=$B$190,Source_Data!AJ$6&lt;$B$190+3*Inputs!$B$17,MOD(Source_Data!AJ$6-$B$190,3)=0),Inputs!$B$8*Inputs!$B$7*Inputs!$B$35*$B$185*(1-Inputs!$B$16)/Inputs!$B$17,0)</f>
        <v>0</v>
      </c>
      <c r="AK199" s="33" t="n">
        <f aca="false">IF(Source_Data!AK$6=Inputs!$B$13,-Inputs!$B$7,0)+IF(AND(Source_Data!AK$6&gt;=$B$190,Source_Data!AK$6&lt;$B$190+3*Inputs!$B$17,MOD(Source_Data!AK$6-$B$190,3)=0),Inputs!$B$8*Inputs!$B$7*Inputs!$B$35*$B$185*(1-Inputs!$B$16)/Inputs!$B$17,0)</f>
        <v>0</v>
      </c>
      <c r="AL199" s="33" t="n">
        <f aca="false">IF(Source_Data!AL$6=Inputs!$B$13,-Inputs!$B$7,0)+IF(AND(Source_Data!AL$6&gt;=$B$190,Source_Data!AL$6&lt;$B$190+3*Inputs!$B$17,MOD(Source_Data!AL$6-$B$190,3)=0),Inputs!$B$8*Inputs!$B$7*Inputs!$B$35*$B$185*(1-Inputs!$B$16)/Inputs!$B$17,0)</f>
        <v>0</v>
      </c>
      <c r="AM199" s="33" t="n">
        <f aca="false">IF(Source_Data!AM$6=Inputs!$B$13,-Inputs!$B$7,0)+IF(AND(Source_Data!AM$6&gt;=$B$190,Source_Data!AM$6&lt;$B$190+3*Inputs!$B$17,MOD(Source_Data!AM$6-$B$190,3)=0),Inputs!$B$8*Inputs!$B$7*Inputs!$B$35*$B$185*(1-Inputs!$B$16)/Inputs!$B$17,0)</f>
        <v>0</v>
      </c>
      <c r="AN199" s="33" t="n">
        <f aca="false">IF(Source_Data!AN$6=Inputs!$B$13,-Inputs!$B$7,0)+IF(AND(Source_Data!AN$6&gt;=$B$190,Source_Data!AN$6&lt;$B$190+3*Inputs!$B$17,MOD(Source_Data!AN$6-$B$190,3)=0),Inputs!$B$8*Inputs!$B$7*Inputs!$B$35*$B$185*(1-Inputs!$B$16)/Inputs!$B$17,0)</f>
        <v>0</v>
      </c>
      <c r="AO199" s="33" t="n">
        <f aca="false">IF(Source_Data!AO$6=Inputs!$B$13,-Inputs!$B$7,0)+IF(AND(Source_Data!AO$6&gt;=$B$190,Source_Data!AO$6&lt;$B$190+3*Inputs!$B$17,MOD(Source_Data!AO$6-$B$190,3)=0),Inputs!$B$8*Inputs!$B$7*Inputs!$B$35*$B$185*(1-Inputs!$B$16)/Inputs!$B$17,0)</f>
        <v>0</v>
      </c>
      <c r="AP199" s="33" t="n">
        <f aca="false">IF(Source_Data!AP$6=Inputs!$B$13,-Inputs!$B$7,0)+IF(AND(Source_Data!AP$6&gt;=$B$190,Source_Data!AP$6&lt;$B$190+3*Inputs!$B$17,MOD(Source_Data!AP$6-$B$190,3)=0),Inputs!$B$8*Inputs!$B$7*Inputs!$B$35*$B$185*(1-Inputs!$B$16)/Inputs!$B$17,0)</f>
        <v>0</v>
      </c>
      <c r="AQ199" s="33" t="n">
        <f aca="false">IF(Source_Data!AQ$6=Inputs!$B$13,-Inputs!$B$7,0)+IF(AND(Source_Data!AQ$6&gt;=$B$190,Source_Data!AQ$6&lt;$B$190+3*Inputs!$B$17,MOD(Source_Data!AQ$6-$B$190,3)=0),Inputs!$B$8*Inputs!$B$7*Inputs!$B$35*$B$185*(1-Inputs!$B$16)/Inputs!$B$17,0)</f>
        <v>0</v>
      </c>
      <c r="AR199" s="33" t="n">
        <f aca="false">IF(Source_Data!AR$6=Inputs!$B$13,-Inputs!$B$7,0)+IF(AND(Source_Data!AR$6&gt;=$B$190,Source_Data!AR$6&lt;$B$190+3*Inputs!$B$17,MOD(Source_Data!AR$6-$B$190,3)=0),Inputs!$B$8*Inputs!$B$7*Inputs!$B$35*$B$185*(1-Inputs!$B$16)/Inputs!$B$17,0)</f>
        <v>0</v>
      </c>
      <c r="AS199" s="33" t="n">
        <f aca="false">IF(Source_Data!AS$6=Inputs!$B$13,-Inputs!$B$7,0)+IF(AND(Source_Data!AS$6&gt;=$B$190,Source_Data!AS$6&lt;$B$190+3*Inputs!$B$17,MOD(Source_Data!AS$6-$B$190,3)=0),Inputs!$B$8*Inputs!$B$7*Inputs!$B$35*$B$185*(1-Inputs!$B$16)/Inputs!$B$17,0)</f>
        <v>0</v>
      </c>
      <c r="AT199" s="33" t="n">
        <f aca="false">IF(Source_Data!AT$6=Inputs!$B$13,-Inputs!$B$7,0)+IF(AND(Source_Data!AT$6&gt;=$B$190,Source_Data!AT$6&lt;$B$190+3*Inputs!$B$17,MOD(Source_Data!AT$6-$B$190,3)=0),Inputs!$B$8*Inputs!$B$7*Inputs!$B$35*$B$185*(1-Inputs!$B$16)/Inputs!$B$17,0)</f>
        <v>0</v>
      </c>
      <c r="AU199" s="33" t="n">
        <f aca="false">IF(Source_Data!AU$6=Inputs!$B$13,-Inputs!$B$7,0)+IF(AND(Source_Data!AU$6&gt;=$B$190,Source_Data!AU$6&lt;$B$190+3*Inputs!$B$17,MOD(Source_Data!AU$6-$B$190,3)=0),Inputs!$B$8*Inputs!$B$7*Inputs!$B$35*$B$185*(1-Inputs!$B$16)/Inputs!$B$17,0)</f>
        <v>0</v>
      </c>
      <c r="AV199" s="33" t="n">
        <f aca="false">IF(Source_Data!AV$6=Inputs!$B$13,-Inputs!$B$7,0)+IF(AND(Source_Data!AV$6&gt;=$B$190,Source_Data!AV$6&lt;$B$190+3*Inputs!$B$17,MOD(Source_Data!AV$6-$B$190,3)=0),Inputs!$B$8*Inputs!$B$7*Inputs!$B$35*$B$185*(1-Inputs!$B$16)/Inputs!$B$17,0)</f>
        <v>0</v>
      </c>
      <c r="AW199" s="33" t="n">
        <f aca="false">IF(Source_Data!AW$6=Inputs!$B$13,-Inputs!$B$7,0)+IF(AND(Source_Data!AW$6&gt;=$B$190,Source_Data!AW$6&lt;$B$190+3*Inputs!$B$17,MOD(Source_Data!AW$6-$B$190,3)=0),Inputs!$B$8*Inputs!$B$7*Inputs!$B$35*$B$185*(1-Inputs!$B$16)/Inputs!$B$17,0)</f>
        <v>0</v>
      </c>
      <c r="AX199" s="33" t="n">
        <f aca="false">IF(Source_Data!AX$6=Inputs!$B$13,-Inputs!$B$7,0)+IF(AND(Source_Data!AX$6&gt;=$B$190,Source_Data!AX$6&lt;$B$190+3*Inputs!$B$17,MOD(Source_Data!AX$6-$B$190,3)=0),Inputs!$B$8*Inputs!$B$7*Inputs!$B$35*$B$185*(1-Inputs!$B$16)/Inputs!$B$17,0)</f>
        <v>0</v>
      </c>
      <c r="AY199" s="33" t="n">
        <f aca="false">IF(Source_Data!AY$6=Inputs!$B$13,-Inputs!$B$7,0)+IF(AND(Source_Data!AY$6&gt;=$B$190,Source_Data!AY$6&lt;$B$190+3*Inputs!$B$17,MOD(Source_Data!AY$6-$B$190,3)=0),Inputs!$B$8*Inputs!$B$7*Inputs!$B$35*$B$185*(1-Inputs!$B$16)/Inputs!$B$17,0)</f>
        <v>0</v>
      </c>
      <c r="AZ199" s="33" t="n">
        <f aca="false">IF(Source_Data!AZ$6=Inputs!$B$13,-Inputs!$B$7,0)+IF(AND(Source_Data!AZ$6&gt;=$B$190,Source_Data!AZ$6&lt;$B$190+3*Inputs!$B$17,MOD(Source_Data!AZ$6-$B$190,3)=0),Inputs!$B$8*Inputs!$B$7*Inputs!$B$35*$B$185*(1-Inputs!$B$16)/Inputs!$B$17,0)</f>
        <v>0</v>
      </c>
      <c r="BA199" s="33" t="n">
        <f aca="false">IF(Source_Data!BA$6=Inputs!$B$13,-Inputs!$B$7,0)+IF(AND(Source_Data!BA$6&gt;=$B$190,Source_Data!BA$6&lt;$B$190+3*Inputs!$B$17,MOD(Source_Data!BA$6-$B$190,3)=0),Inputs!$B$8*Inputs!$B$7*Inputs!$B$35*$B$185*(1-Inputs!$B$16)/Inputs!$B$17,0)</f>
        <v>0</v>
      </c>
      <c r="BB199" s="33" t="n">
        <f aca="false">IF(Source_Data!BB$6=Inputs!$B$13,-Inputs!$B$7,0)+IF(AND(Source_Data!BB$6&gt;=$B$190,Source_Data!BB$6&lt;$B$190+3*Inputs!$B$17,MOD(Source_Data!BB$6-$B$190,3)=0),Inputs!$B$8*Inputs!$B$7*Inputs!$B$35*$B$185*(1-Inputs!$B$16)/Inputs!$B$17,0)</f>
        <v>0</v>
      </c>
      <c r="BC199" s="33" t="n">
        <f aca="false">IF(Source_Data!BC$6=Inputs!$B$13,-Inputs!$B$7,0)+IF(AND(Source_Data!BC$6&gt;=$B$190,Source_Data!BC$6&lt;$B$190+3*Inputs!$B$17,MOD(Source_Data!BC$6-$B$190,3)=0),Inputs!$B$8*Inputs!$B$7*Inputs!$B$35*$B$185*(1-Inputs!$B$16)/Inputs!$B$17,0)</f>
        <v>0</v>
      </c>
      <c r="BD199" s="33" t="n">
        <f aca="false">IF(Source_Data!BD$6=Inputs!$B$13,-Inputs!$B$7,0)+IF(AND(Source_Data!BD$6&gt;=$B$190,Source_Data!BD$6&lt;$B$190+3*Inputs!$B$17,MOD(Source_Data!BD$6-$B$190,3)=0),Inputs!$B$8*Inputs!$B$7*Inputs!$B$35*$B$185*(1-Inputs!$B$16)/Inputs!$B$17,0)</f>
        <v>0</v>
      </c>
      <c r="BE199" s="33" t="n">
        <f aca="false">IF(Source_Data!BE$6=Inputs!$B$13,-Inputs!$B$7,0)+IF(AND(Source_Data!BE$6&gt;=$B$190,Source_Data!BE$6&lt;$B$190+3*Inputs!$B$17,MOD(Source_Data!BE$6-$B$190,3)=0),Inputs!$B$8*Inputs!$B$7*Inputs!$B$35*$B$185*(1-Inputs!$B$16)/Inputs!$B$17,0)</f>
        <v>0</v>
      </c>
      <c r="BF199" s="33" t="n">
        <f aca="false">IF(Source_Data!BF$6=Inputs!$B$13,-Inputs!$B$7,0)+IF(AND(Source_Data!BF$6&gt;=$B$190,Source_Data!BF$6&lt;$B$190+3*Inputs!$B$17,MOD(Source_Data!BF$6-$B$190,3)=0),Inputs!$B$8*Inputs!$B$7*Inputs!$B$35*$B$185*(1-Inputs!$B$16)/Inputs!$B$17,0)</f>
        <v>0</v>
      </c>
      <c r="BG199" s="33" t="n">
        <f aca="false">IF(Source_Data!BG$6=Inputs!$B$13,-Inputs!$B$7,0)+IF(AND(Source_Data!BG$6&gt;=$B$190,Source_Data!BG$6&lt;$B$190+3*Inputs!$B$17,MOD(Source_Data!BG$6-$B$190,3)=0),Inputs!$B$8*Inputs!$B$7*Inputs!$B$35*$B$185*(1-Inputs!$B$16)/Inputs!$B$17,0)</f>
        <v>0</v>
      </c>
      <c r="BH199" s="33" t="n">
        <f aca="false">IF(Source_Data!BH$6=Inputs!$B$13,-Inputs!$B$7,0)+IF(AND(Source_Data!BH$6&gt;=$B$190,Source_Data!BH$6&lt;$B$190+3*Inputs!$B$17,MOD(Source_Data!BH$6-$B$190,3)=0),Inputs!$B$8*Inputs!$B$7*Inputs!$B$35*$B$185*(1-Inputs!$B$16)/Inputs!$B$17,0)</f>
        <v>0</v>
      </c>
      <c r="BI199" s="33" t="n">
        <f aca="false">IF(Source_Data!BI$6=Inputs!$B$13,-Inputs!$B$7,0)+IF(AND(Source_Data!BI$6&gt;=$B$190,Source_Data!BI$6&lt;$B$190+3*Inputs!$B$17,MOD(Source_Data!BI$6-$B$190,3)=0),Inputs!$B$8*Inputs!$B$7*Inputs!$B$35*$B$185*(1-Inputs!$B$16)/Inputs!$B$17,0)</f>
        <v>0</v>
      </c>
      <c r="BJ199" s="33" t="n">
        <f aca="false">IF(Source_Data!BJ$6=Inputs!$B$13,-Inputs!$B$7,0)+IF(AND(Source_Data!BJ$6&gt;=$B$190,Source_Data!BJ$6&lt;$B$190+3*Inputs!$B$17,MOD(Source_Data!BJ$6-$B$190,3)=0),Inputs!$B$8*Inputs!$B$7*Inputs!$B$35*$B$185*(1-Inputs!$B$16)/Inputs!$B$17,0)</f>
        <v>0</v>
      </c>
      <c r="BK199" s="33" t="n">
        <f aca="false">IF(Source_Data!BK$6=Inputs!$B$13,-Inputs!$B$7,0)+IF(AND(Source_Data!BK$6&gt;=$B$190,Source_Data!BK$6&lt;$B$190+3*Inputs!$B$17,MOD(Source_Data!BK$6-$B$190,3)=0),Inputs!$B$8*Inputs!$B$7*Inputs!$B$35*$B$185*(1-Inputs!$B$16)/Inputs!$B$17,0)</f>
        <v>0</v>
      </c>
    </row>
    <row r="200" customFormat="false" ht="15" hidden="false" customHeight="false" outlineLevel="0" collapsed="false">
      <c r="A200" s="3" t="s">
        <v>342</v>
      </c>
      <c r="D200" s="33" t="n">
        <f aca="false">IF(AND(Source_Data!D$6&gt;=Inputs!$B$55,Source_Data!D$6&lt;Inputs!$B$55+3*Inputs!$B$11),Inputs!$B$9*Inputs!$B$7/Inputs!$B$11,0)</f>
        <v>0</v>
      </c>
      <c r="E200" s="33" t="n">
        <f aca="false">IF(AND(Source_Data!E$6&gt;=Inputs!$B$55,Source_Data!E$6&lt;Inputs!$B$55+3*Inputs!$B$11),Inputs!$B$9*Inputs!$B$7/Inputs!$B$11,0)</f>
        <v>0</v>
      </c>
      <c r="F200" s="33" t="n">
        <f aca="false">IF(AND(Source_Data!F$6&gt;=Inputs!$B$55,Source_Data!F$6&lt;Inputs!$B$55+3*Inputs!$B$11),Inputs!$B$9*Inputs!$B$7/Inputs!$B$11,0)</f>
        <v>0</v>
      </c>
      <c r="G200" s="33" t="n">
        <f aca="false">IF(AND(Source_Data!G$6&gt;=Inputs!$B$55,Source_Data!G$6&lt;Inputs!$B$55+3*Inputs!$B$11),Inputs!$B$9*Inputs!$B$7/Inputs!$B$11,0)</f>
        <v>0</v>
      </c>
      <c r="H200" s="33" t="n">
        <f aca="false">IF(AND(Source_Data!H$6&gt;=Inputs!$B$55,Source_Data!H$6&lt;Inputs!$B$55+3*Inputs!$B$11),Inputs!$B$9*Inputs!$B$7/Inputs!$B$11,0)</f>
        <v>0</v>
      </c>
      <c r="I200" s="33" t="n">
        <f aca="false">IF(AND(Source_Data!I$6&gt;=Inputs!$B$55,Source_Data!I$6&lt;Inputs!$B$55+3*Inputs!$B$11),Inputs!$B$9*Inputs!$B$7/Inputs!$B$11,0)</f>
        <v>0</v>
      </c>
      <c r="J200" s="33" t="n">
        <f aca="false">IF(AND(Source_Data!J$6&gt;=Inputs!$B$55,Source_Data!J$6&lt;Inputs!$B$55+3*Inputs!$B$11),Inputs!$B$9*Inputs!$B$7/Inputs!$B$11,0)</f>
        <v>0</v>
      </c>
      <c r="K200" s="33" t="n">
        <f aca="false">IF(AND(Source_Data!K$6&gt;=Inputs!$B$55,Source_Data!K$6&lt;Inputs!$B$55+3*Inputs!$B$11),Inputs!$B$9*Inputs!$B$7/Inputs!$B$11,0)</f>
        <v>0</v>
      </c>
      <c r="L200" s="33" t="n">
        <f aca="false">IF(AND(Source_Data!L$6&gt;=Inputs!$B$55,Source_Data!L$6&lt;Inputs!$B$55+3*Inputs!$B$11),Inputs!$B$9*Inputs!$B$7/Inputs!$B$11,0)</f>
        <v>0</v>
      </c>
      <c r="M200" s="33" t="n">
        <f aca="false">IF(AND(Source_Data!M$6&gt;=Inputs!$B$55,Source_Data!M$6&lt;Inputs!$B$55+3*Inputs!$B$11),Inputs!$B$9*Inputs!$B$7/Inputs!$B$11,0)</f>
        <v>14.375</v>
      </c>
      <c r="N200" s="33" t="n">
        <f aca="false">IF(AND(Source_Data!N$6&gt;=Inputs!$B$55,Source_Data!N$6&lt;Inputs!$B$55+3*Inputs!$B$11),Inputs!$B$9*Inputs!$B$7/Inputs!$B$11,0)</f>
        <v>14.375</v>
      </c>
      <c r="O200" s="33" t="n">
        <f aca="false">IF(AND(Source_Data!O$6&gt;=Inputs!$B$55,Source_Data!O$6&lt;Inputs!$B$55+3*Inputs!$B$11),Inputs!$B$9*Inputs!$B$7/Inputs!$B$11,0)</f>
        <v>14.375</v>
      </c>
      <c r="P200" s="33" t="n">
        <f aca="false">IF(AND(Source_Data!P$6&gt;=Inputs!$B$55,Source_Data!P$6&lt;Inputs!$B$55+3*Inputs!$B$11),Inputs!$B$9*Inputs!$B$7/Inputs!$B$11,0)</f>
        <v>14.375</v>
      </c>
      <c r="Q200" s="33" t="n">
        <f aca="false">IF(AND(Source_Data!Q$6&gt;=Inputs!$B$55,Source_Data!Q$6&lt;Inputs!$B$55+3*Inputs!$B$11),Inputs!$B$9*Inputs!$B$7/Inputs!$B$11,0)</f>
        <v>14.375</v>
      </c>
      <c r="R200" s="33" t="n">
        <f aca="false">IF(AND(Source_Data!R$6&gt;=Inputs!$B$55,Source_Data!R$6&lt;Inputs!$B$55+3*Inputs!$B$11),Inputs!$B$9*Inputs!$B$7/Inputs!$B$11,0)</f>
        <v>14.375</v>
      </c>
      <c r="S200" s="33" t="n">
        <f aca="false">IF(AND(Source_Data!S$6&gt;=Inputs!$B$55,Source_Data!S$6&lt;Inputs!$B$55+3*Inputs!$B$11),Inputs!$B$9*Inputs!$B$7/Inputs!$B$11,0)</f>
        <v>14.375</v>
      </c>
      <c r="T200" s="33" t="n">
        <f aca="false">IF(AND(Source_Data!T$6&gt;=Inputs!$B$55,Source_Data!T$6&lt;Inputs!$B$55+3*Inputs!$B$11),Inputs!$B$9*Inputs!$B$7/Inputs!$B$11,0)</f>
        <v>14.375</v>
      </c>
      <c r="U200" s="33" t="n">
        <f aca="false">IF(AND(Source_Data!U$6&gt;=Inputs!$B$55,Source_Data!U$6&lt;Inputs!$B$55+3*Inputs!$B$11),Inputs!$B$9*Inputs!$B$7/Inputs!$B$11,0)</f>
        <v>14.375</v>
      </c>
      <c r="V200" s="33" t="n">
        <f aca="false">IF(AND(Source_Data!V$6&gt;=Inputs!$B$55,Source_Data!V$6&lt;Inputs!$B$55+3*Inputs!$B$11),Inputs!$B$9*Inputs!$B$7/Inputs!$B$11,0)</f>
        <v>14.375</v>
      </c>
      <c r="W200" s="33" t="n">
        <f aca="false">IF(AND(Source_Data!W$6&gt;=Inputs!$B$55,Source_Data!W$6&lt;Inputs!$B$55+3*Inputs!$B$11),Inputs!$B$9*Inputs!$B$7/Inputs!$B$11,0)</f>
        <v>14.375</v>
      </c>
      <c r="X200" s="33" t="n">
        <f aca="false">IF(AND(Source_Data!X$6&gt;=Inputs!$B$55,Source_Data!X$6&lt;Inputs!$B$55+3*Inputs!$B$11),Inputs!$B$9*Inputs!$B$7/Inputs!$B$11,0)</f>
        <v>14.375</v>
      </c>
      <c r="Y200" s="33" t="n">
        <f aca="false">IF(AND(Source_Data!Y$6&gt;=Inputs!$B$55,Source_Data!Y$6&lt;Inputs!$B$55+3*Inputs!$B$11),Inputs!$B$9*Inputs!$B$7/Inputs!$B$11,0)</f>
        <v>0</v>
      </c>
      <c r="Z200" s="33" t="n">
        <f aca="false">IF(AND(Source_Data!Z$6&gt;=Inputs!$B$55,Source_Data!Z$6&lt;Inputs!$B$55+3*Inputs!$B$11),Inputs!$B$9*Inputs!$B$7/Inputs!$B$11,0)</f>
        <v>0</v>
      </c>
      <c r="AA200" s="33" t="n">
        <f aca="false">IF(AND(Source_Data!AA$6&gt;=Inputs!$B$55,Source_Data!AA$6&lt;Inputs!$B$55+3*Inputs!$B$11),Inputs!$B$9*Inputs!$B$7/Inputs!$B$11,0)</f>
        <v>0</v>
      </c>
      <c r="AB200" s="33" t="n">
        <f aca="false">IF(AND(Source_Data!AB$6&gt;=Inputs!$B$55,Source_Data!AB$6&lt;Inputs!$B$55+3*Inputs!$B$11),Inputs!$B$9*Inputs!$B$7/Inputs!$B$11,0)</f>
        <v>0</v>
      </c>
      <c r="AC200" s="33" t="n">
        <f aca="false">IF(AND(Source_Data!AC$6&gt;=Inputs!$B$55,Source_Data!AC$6&lt;Inputs!$B$55+3*Inputs!$B$11),Inputs!$B$9*Inputs!$B$7/Inputs!$B$11,0)</f>
        <v>0</v>
      </c>
      <c r="AD200" s="33" t="n">
        <f aca="false">IF(AND(Source_Data!AD$6&gt;=Inputs!$B$55,Source_Data!AD$6&lt;Inputs!$B$55+3*Inputs!$B$11),Inputs!$B$9*Inputs!$B$7/Inputs!$B$11,0)</f>
        <v>0</v>
      </c>
      <c r="AE200" s="33" t="n">
        <f aca="false">IF(AND(Source_Data!AE$6&gt;=Inputs!$B$55,Source_Data!AE$6&lt;Inputs!$B$55+3*Inputs!$B$11),Inputs!$B$9*Inputs!$B$7/Inputs!$B$11,0)</f>
        <v>0</v>
      </c>
      <c r="AF200" s="33" t="n">
        <f aca="false">IF(AND(Source_Data!AF$6&gt;=Inputs!$B$55,Source_Data!AF$6&lt;Inputs!$B$55+3*Inputs!$B$11),Inputs!$B$9*Inputs!$B$7/Inputs!$B$11,0)</f>
        <v>0</v>
      </c>
      <c r="AG200" s="33" t="n">
        <f aca="false">IF(AND(Source_Data!AG$6&gt;=Inputs!$B$55,Source_Data!AG$6&lt;Inputs!$B$55+3*Inputs!$B$11),Inputs!$B$9*Inputs!$B$7/Inputs!$B$11,0)</f>
        <v>0</v>
      </c>
      <c r="AH200" s="33" t="n">
        <f aca="false">IF(AND(Source_Data!AH$6&gt;=Inputs!$B$55,Source_Data!AH$6&lt;Inputs!$B$55+3*Inputs!$B$11),Inputs!$B$9*Inputs!$B$7/Inputs!$B$11,0)</f>
        <v>0</v>
      </c>
      <c r="AI200" s="33" t="n">
        <f aca="false">IF(AND(Source_Data!AI$6&gt;=Inputs!$B$55,Source_Data!AI$6&lt;Inputs!$B$55+3*Inputs!$B$11),Inputs!$B$9*Inputs!$B$7/Inputs!$B$11,0)</f>
        <v>0</v>
      </c>
      <c r="AJ200" s="33" t="n">
        <f aca="false">IF(AND(Source_Data!AJ$6&gt;=Inputs!$B$55,Source_Data!AJ$6&lt;Inputs!$B$55+3*Inputs!$B$11),Inputs!$B$9*Inputs!$B$7/Inputs!$B$11,0)</f>
        <v>0</v>
      </c>
      <c r="AK200" s="33" t="n">
        <f aca="false">IF(AND(Source_Data!AK$6&gt;=Inputs!$B$55,Source_Data!AK$6&lt;Inputs!$B$55+3*Inputs!$B$11),Inputs!$B$9*Inputs!$B$7/Inputs!$B$11,0)</f>
        <v>0</v>
      </c>
      <c r="AL200" s="33" t="n">
        <f aca="false">IF(AND(Source_Data!AL$6&gt;=Inputs!$B$55,Source_Data!AL$6&lt;Inputs!$B$55+3*Inputs!$B$11),Inputs!$B$9*Inputs!$B$7/Inputs!$B$11,0)</f>
        <v>0</v>
      </c>
      <c r="AM200" s="33" t="n">
        <f aca="false">IF(AND(Source_Data!AM$6&gt;=Inputs!$B$55,Source_Data!AM$6&lt;Inputs!$B$55+3*Inputs!$B$11),Inputs!$B$9*Inputs!$B$7/Inputs!$B$11,0)</f>
        <v>0</v>
      </c>
      <c r="AN200" s="33" t="n">
        <f aca="false">IF(AND(Source_Data!AN$6&gt;=Inputs!$B$55,Source_Data!AN$6&lt;Inputs!$B$55+3*Inputs!$B$11),Inputs!$B$9*Inputs!$B$7/Inputs!$B$11,0)</f>
        <v>0</v>
      </c>
      <c r="AO200" s="33" t="n">
        <f aca="false">IF(AND(Source_Data!AO$6&gt;=Inputs!$B$55,Source_Data!AO$6&lt;Inputs!$B$55+3*Inputs!$B$11),Inputs!$B$9*Inputs!$B$7/Inputs!$B$11,0)</f>
        <v>0</v>
      </c>
      <c r="AP200" s="33" t="n">
        <f aca="false">IF(AND(Source_Data!AP$6&gt;=Inputs!$B$55,Source_Data!AP$6&lt;Inputs!$B$55+3*Inputs!$B$11),Inputs!$B$9*Inputs!$B$7/Inputs!$B$11,0)</f>
        <v>0</v>
      </c>
      <c r="AQ200" s="33" t="n">
        <f aca="false">IF(AND(Source_Data!AQ$6&gt;=Inputs!$B$55,Source_Data!AQ$6&lt;Inputs!$B$55+3*Inputs!$B$11),Inputs!$B$9*Inputs!$B$7/Inputs!$B$11,0)</f>
        <v>0</v>
      </c>
      <c r="AR200" s="33" t="n">
        <f aca="false">IF(AND(Source_Data!AR$6&gt;=Inputs!$B$55,Source_Data!AR$6&lt;Inputs!$B$55+3*Inputs!$B$11),Inputs!$B$9*Inputs!$B$7/Inputs!$B$11,0)</f>
        <v>0</v>
      </c>
      <c r="AS200" s="33" t="n">
        <f aca="false">IF(AND(Source_Data!AS$6&gt;=Inputs!$B$55,Source_Data!AS$6&lt;Inputs!$B$55+3*Inputs!$B$11),Inputs!$B$9*Inputs!$B$7/Inputs!$B$11,0)</f>
        <v>0</v>
      </c>
      <c r="AT200" s="33" t="n">
        <f aca="false">IF(AND(Source_Data!AT$6&gt;=Inputs!$B$55,Source_Data!AT$6&lt;Inputs!$B$55+3*Inputs!$B$11),Inputs!$B$9*Inputs!$B$7/Inputs!$B$11,0)</f>
        <v>0</v>
      </c>
      <c r="AU200" s="33" t="n">
        <f aca="false">IF(AND(Source_Data!AU$6&gt;=Inputs!$B$55,Source_Data!AU$6&lt;Inputs!$B$55+3*Inputs!$B$11),Inputs!$B$9*Inputs!$B$7/Inputs!$B$11,0)</f>
        <v>0</v>
      </c>
      <c r="AV200" s="33" t="n">
        <f aca="false">IF(AND(Source_Data!AV$6&gt;=Inputs!$B$55,Source_Data!AV$6&lt;Inputs!$B$55+3*Inputs!$B$11),Inputs!$B$9*Inputs!$B$7/Inputs!$B$11,0)</f>
        <v>0</v>
      </c>
      <c r="AW200" s="33" t="n">
        <f aca="false">IF(AND(Source_Data!AW$6&gt;=Inputs!$B$55,Source_Data!AW$6&lt;Inputs!$B$55+3*Inputs!$B$11),Inputs!$B$9*Inputs!$B$7/Inputs!$B$11,0)</f>
        <v>0</v>
      </c>
      <c r="AX200" s="33" t="n">
        <f aca="false">IF(AND(Source_Data!AX$6&gt;=Inputs!$B$55,Source_Data!AX$6&lt;Inputs!$B$55+3*Inputs!$B$11),Inputs!$B$9*Inputs!$B$7/Inputs!$B$11,0)</f>
        <v>0</v>
      </c>
      <c r="AY200" s="33" t="n">
        <f aca="false">IF(AND(Source_Data!AY$6&gt;=Inputs!$B$55,Source_Data!AY$6&lt;Inputs!$B$55+3*Inputs!$B$11),Inputs!$B$9*Inputs!$B$7/Inputs!$B$11,0)</f>
        <v>0</v>
      </c>
      <c r="AZ200" s="33" t="n">
        <f aca="false">IF(AND(Source_Data!AZ$6&gt;=Inputs!$B$55,Source_Data!AZ$6&lt;Inputs!$B$55+3*Inputs!$B$11),Inputs!$B$9*Inputs!$B$7/Inputs!$B$11,0)</f>
        <v>0</v>
      </c>
      <c r="BA200" s="33" t="n">
        <f aca="false">IF(AND(Source_Data!BA$6&gt;=Inputs!$B$55,Source_Data!BA$6&lt;Inputs!$B$55+3*Inputs!$B$11),Inputs!$B$9*Inputs!$B$7/Inputs!$B$11,0)</f>
        <v>0</v>
      </c>
      <c r="BB200" s="33" t="n">
        <f aca="false">IF(AND(Source_Data!BB$6&gt;=Inputs!$B$55,Source_Data!BB$6&lt;Inputs!$B$55+3*Inputs!$B$11),Inputs!$B$9*Inputs!$B$7/Inputs!$B$11,0)</f>
        <v>0</v>
      </c>
      <c r="BC200" s="33" t="n">
        <f aca="false">IF(AND(Source_Data!BC$6&gt;=Inputs!$B$55,Source_Data!BC$6&lt;Inputs!$B$55+3*Inputs!$B$11),Inputs!$B$9*Inputs!$B$7/Inputs!$B$11,0)</f>
        <v>0</v>
      </c>
      <c r="BD200" s="33" t="n">
        <f aca="false">IF(AND(Source_Data!BD$6&gt;=Inputs!$B$55,Source_Data!BD$6&lt;Inputs!$B$55+3*Inputs!$B$11),Inputs!$B$9*Inputs!$B$7/Inputs!$B$11,0)</f>
        <v>0</v>
      </c>
      <c r="BE200" s="33" t="n">
        <f aca="false">IF(AND(Source_Data!BE$6&gt;=Inputs!$B$55,Source_Data!BE$6&lt;Inputs!$B$55+3*Inputs!$B$11),Inputs!$B$9*Inputs!$B$7/Inputs!$B$11,0)</f>
        <v>0</v>
      </c>
      <c r="BF200" s="33" t="n">
        <f aca="false">IF(AND(Source_Data!BF$6&gt;=Inputs!$B$55,Source_Data!BF$6&lt;Inputs!$B$55+3*Inputs!$B$11),Inputs!$B$9*Inputs!$B$7/Inputs!$B$11,0)</f>
        <v>0</v>
      </c>
      <c r="BG200" s="33" t="n">
        <f aca="false">IF(AND(Source_Data!BG$6&gt;=Inputs!$B$55,Source_Data!BG$6&lt;Inputs!$B$55+3*Inputs!$B$11),Inputs!$B$9*Inputs!$B$7/Inputs!$B$11,0)</f>
        <v>0</v>
      </c>
      <c r="BH200" s="33" t="n">
        <f aca="false">IF(AND(Source_Data!BH$6&gt;=Inputs!$B$55,Source_Data!BH$6&lt;Inputs!$B$55+3*Inputs!$B$11),Inputs!$B$9*Inputs!$B$7/Inputs!$B$11,0)</f>
        <v>0</v>
      </c>
      <c r="BI200" s="33" t="n">
        <f aca="false">IF(AND(Source_Data!BI$6&gt;=Inputs!$B$55,Source_Data!BI$6&lt;Inputs!$B$55+3*Inputs!$B$11),Inputs!$B$9*Inputs!$B$7/Inputs!$B$11,0)</f>
        <v>0</v>
      </c>
      <c r="BJ200" s="33" t="n">
        <f aca="false">IF(AND(Source_Data!BJ$6&gt;=Inputs!$B$55,Source_Data!BJ$6&lt;Inputs!$B$55+3*Inputs!$B$11),Inputs!$B$9*Inputs!$B$7/Inputs!$B$11,0)</f>
        <v>0</v>
      </c>
      <c r="BK200" s="33" t="n">
        <f aca="false">IF(AND(Source_Data!BK$6&gt;=Inputs!$B$55,Source_Data!BK$6&lt;Inputs!$B$55+3*Inputs!$B$11),Inputs!$B$9*Inputs!$B$7/Inputs!$B$11,0)</f>
        <v>0</v>
      </c>
    </row>
    <row r="201" customFormat="false" ht="15" hidden="false" customHeight="false" outlineLevel="0" collapsed="false">
      <c r="A201" s="3" t="s">
        <v>343</v>
      </c>
      <c r="D201" s="33" t="n">
        <f aca="false">IF(Source_Data!D$6=Inputs!$B$13,-Inputs!$B$7,0)+D200</f>
        <v>-75</v>
      </c>
      <c r="E201" s="33" t="n">
        <f aca="false">IF(Source_Data!E$6=Inputs!$B$13,-Inputs!$B$7,0)+E200</f>
        <v>0</v>
      </c>
      <c r="F201" s="33" t="n">
        <f aca="false">IF(Source_Data!F$6=Inputs!$B$13,-Inputs!$B$7,0)+F200</f>
        <v>0</v>
      </c>
      <c r="G201" s="33" t="n">
        <f aca="false">IF(Source_Data!G$6=Inputs!$B$13,-Inputs!$B$7,0)+G200</f>
        <v>0</v>
      </c>
      <c r="H201" s="33" t="n">
        <f aca="false">IF(Source_Data!H$6=Inputs!$B$13,-Inputs!$B$7,0)+H200</f>
        <v>0</v>
      </c>
      <c r="I201" s="33" t="n">
        <f aca="false">IF(Source_Data!I$6=Inputs!$B$13,-Inputs!$B$7,0)+I200</f>
        <v>0</v>
      </c>
      <c r="J201" s="33" t="n">
        <f aca="false">IF(Source_Data!J$6=Inputs!$B$13,-Inputs!$B$7,0)+J200</f>
        <v>0</v>
      </c>
      <c r="K201" s="33" t="n">
        <f aca="false">IF(Source_Data!K$6=Inputs!$B$13,-Inputs!$B$7,0)+K200</f>
        <v>0</v>
      </c>
      <c r="L201" s="33" t="n">
        <f aca="false">IF(Source_Data!L$6=Inputs!$B$13,-Inputs!$B$7,0)+L200</f>
        <v>0</v>
      </c>
      <c r="M201" s="33" t="n">
        <f aca="false">IF(Source_Data!M$6=Inputs!$B$13,-Inputs!$B$7,0)+M200</f>
        <v>14.375</v>
      </c>
      <c r="N201" s="33" t="n">
        <f aca="false">IF(Source_Data!N$6=Inputs!$B$13,-Inputs!$B$7,0)+N200</f>
        <v>14.375</v>
      </c>
      <c r="O201" s="33" t="n">
        <f aca="false">IF(Source_Data!O$6=Inputs!$B$13,-Inputs!$B$7,0)+O200</f>
        <v>14.375</v>
      </c>
      <c r="P201" s="33" t="n">
        <f aca="false">IF(Source_Data!P$6=Inputs!$B$13,-Inputs!$B$7,0)+P200</f>
        <v>14.375</v>
      </c>
      <c r="Q201" s="33" t="n">
        <f aca="false">IF(Source_Data!Q$6=Inputs!$B$13,-Inputs!$B$7,0)+Q200</f>
        <v>14.375</v>
      </c>
      <c r="R201" s="33" t="n">
        <f aca="false">IF(Source_Data!R$6=Inputs!$B$13,-Inputs!$B$7,0)+R200</f>
        <v>14.375</v>
      </c>
      <c r="S201" s="33" t="n">
        <f aca="false">IF(Source_Data!S$6=Inputs!$B$13,-Inputs!$B$7,0)+S200</f>
        <v>14.375</v>
      </c>
      <c r="T201" s="33" t="n">
        <f aca="false">IF(Source_Data!T$6=Inputs!$B$13,-Inputs!$B$7,0)+T200</f>
        <v>14.375</v>
      </c>
      <c r="U201" s="33" t="n">
        <f aca="false">IF(Source_Data!U$6=Inputs!$B$13,-Inputs!$B$7,0)+U200</f>
        <v>14.375</v>
      </c>
      <c r="V201" s="33" t="n">
        <f aca="false">IF(Source_Data!V$6=Inputs!$B$13,-Inputs!$B$7,0)+V200</f>
        <v>14.375</v>
      </c>
      <c r="W201" s="33" t="n">
        <f aca="false">IF(Source_Data!W$6=Inputs!$B$13,-Inputs!$B$7,0)+W200</f>
        <v>14.375</v>
      </c>
      <c r="X201" s="33" t="n">
        <f aca="false">IF(Source_Data!X$6=Inputs!$B$13,-Inputs!$B$7,0)+X200</f>
        <v>14.375</v>
      </c>
      <c r="Y201" s="33" t="n">
        <f aca="false">IF(Source_Data!Y$6=Inputs!$B$13,-Inputs!$B$7,0)+Y200</f>
        <v>0</v>
      </c>
      <c r="Z201" s="33" t="n">
        <f aca="false">IF(Source_Data!Z$6=Inputs!$B$13,-Inputs!$B$7,0)+Z200</f>
        <v>0</v>
      </c>
      <c r="AA201" s="33" t="n">
        <f aca="false">IF(Source_Data!AA$6=Inputs!$B$13,-Inputs!$B$7,0)+AA200</f>
        <v>0</v>
      </c>
      <c r="AB201" s="33" t="n">
        <f aca="false">IF(Source_Data!AB$6=Inputs!$B$13,-Inputs!$B$7,0)+AB200</f>
        <v>0</v>
      </c>
      <c r="AC201" s="33" t="n">
        <f aca="false">IF(Source_Data!AC$6=Inputs!$B$13,-Inputs!$B$7,0)+AC200</f>
        <v>0</v>
      </c>
      <c r="AD201" s="33" t="n">
        <f aca="false">IF(Source_Data!AD$6=Inputs!$B$13,-Inputs!$B$7,0)+AD200</f>
        <v>0</v>
      </c>
      <c r="AE201" s="33" t="n">
        <f aca="false">IF(Source_Data!AE$6=Inputs!$B$13,-Inputs!$B$7,0)+AE200</f>
        <v>0</v>
      </c>
      <c r="AF201" s="33" t="n">
        <f aca="false">IF(Source_Data!AF$6=Inputs!$B$13,-Inputs!$B$7,0)+AF200</f>
        <v>0</v>
      </c>
      <c r="AG201" s="33" t="n">
        <f aca="false">IF(Source_Data!AG$6=Inputs!$B$13,-Inputs!$B$7,0)+AG200</f>
        <v>0</v>
      </c>
      <c r="AH201" s="33" t="n">
        <f aca="false">IF(Source_Data!AH$6=Inputs!$B$13,-Inputs!$B$7,0)+AH200</f>
        <v>0</v>
      </c>
      <c r="AI201" s="33" t="n">
        <f aca="false">IF(Source_Data!AI$6=Inputs!$B$13,-Inputs!$B$7,0)+AI200</f>
        <v>0</v>
      </c>
      <c r="AJ201" s="33" t="n">
        <f aca="false">IF(Source_Data!AJ$6=Inputs!$B$13,-Inputs!$B$7,0)+AJ200</f>
        <v>0</v>
      </c>
      <c r="AK201" s="33" t="n">
        <f aca="false">IF(Source_Data!AK$6=Inputs!$B$13,-Inputs!$B$7,0)+AK200</f>
        <v>0</v>
      </c>
      <c r="AL201" s="33" t="n">
        <f aca="false">IF(Source_Data!AL$6=Inputs!$B$13,-Inputs!$B$7,0)+AL200</f>
        <v>0</v>
      </c>
      <c r="AM201" s="33" t="n">
        <f aca="false">IF(Source_Data!AM$6=Inputs!$B$13,-Inputs!$B$7,0)+AM200</f>
        <v>0</v>
      </c>
      <c r="AN201" s="33" t="n">
        <f aca="false">IF(Source_Data!AN$6=Inputs!$B$13,-Inputs!$B$7,0)+AN200</f>
        <v>0</v>
      </c>
      <c r="AO201" s="33" t="n">
        <f aca="false">IF(Source_Data!AO$6=Inputs!$B$13,-Inputs!$B$7,0)+AO200</f>
        <v>0</v>
      </c>
      <c r="AP201" s="33" t="n">
        <f aca="false">IF(Source_Data!AP$6=Inputs!$B$13,-Inputs!$B$7,0)+AP200</f>
        <v>0</v>
      </c>
      <c r="AQ201" s="33" t="n">
        <f aca="false">IF(Source_Data!AQ$6=Inputs!$B$13,-Inputs!$B$7,0)+AQ200</f>
        <v>0</v>
      </c>
      <c r="AR201" s="33" t="n">
        <f aca="false">IF(Source_Data!AR$6=Inputs!$B$13,-Inputs!$B$7,0)+AR200</f>
        <v>0</v>
      </c>
      <c r="AS201" s="33" t="n">
        <f aca="false">IF(Source_Data!AS$6=Inputs!$B$13,-Inputs!$B$7,0)+AS200</f>
        <v>0</v>
      </c>
      <c r="AT201" s="33" t="n">
        <f aca="false">IF(Source_Data!AT$6=Inputs!$B$13,-Inputs!$B$7,0)+AT200</f>
        <v>0</v>
      </c>
      <c r="AU201" s="33" t="n">
        <f aca="false">IF(Source_Data!AU$6=Inputs!$B$13,-Inputs!$B$7,0)+AU200</f>
        <v>0</v>
      </c>
      <c r="AV201" s="33" t="n">
        <f aca="false">IF(Source_Data!AV$6=Inputs!$B$13,-Inputs!$B$7,0)+AV200</f>
        <v>0</v>
      </c>
      <c r="AW201" s="33" t="n">
        <f aca="false">IF(Source_Data!AW$6=Inputs!$B$13,-Inputs!$B$7,0)+AW200</f>
        <v>0</v>
      </c>
      <c r="AX201" s="33" t="n">
        <f aca="false">IF(Source_Data!AX$6=Inputs!$B$13,-Inputs!$B$7,0)+AX200</f>
        <v>0</v>
      </c>
      <c r="AY201" s="33" t="n">
        <f aca="false">IF(Source_Data!AY$6=Inputs!$B$13,-Inputs!$B$7,0)+AY200</f>
        <v>0</v>
      </c>
      <c r="AZ201" s="33" t="n">
        <f aca="false">IF(Source_Data!AZ$6=Inputs!$B$13,-Inputs!$B$7,0)+AZ200</f>
        <v>0</v>
      </c>
      <c r="BA201" s="33" t="n">
        <f aca="false">IF(Source_Data!BA$6=Inputs!$B$13,-Inputs!$B$7,0)+BA200</f>
        <v>0</v>
      </c>
      <c r="BB201" s="33" t="n">
        <f aca="false">IF(Source_Data!BB$6=Inputs!$B$13,-Inputs!$B$7,0)+BB200</f>
        <v>0</v>
      </c>
      <c r="BC201" s="33" t="n">
        <f aca="false">IF(Source_Data!BC$6=Inputs!$B$13,-Inputs!$B$7,0)+BC200</f>
        <v>0</v>
      </c>
      <c r="BD201" s="33" t="n">
        <f aca="false">IF(Source_Data!BD$6=Inputs!$B$13,-Inputs!$B$7,0)+BD200</f>
        <v>0</v>
      </c>
      <c r="BE201" s="33" t="n">
        <f aca="false">IF(Source_Data!BE$6=Inputs!$B$13,-Inputs!$B$7,0)+BE200</f>
        <v>0</v>
      </c>
      <c r="BF201" s="33" t="n">
        <f aca="false">IF(Source_Data!BF$6=Inputs!$B$13,-Inputs!$B$7,0)+BF200</f>
        <v>0</v>
      </c>
      <c r="BG201" s="33" t="n">
        <f aca="false">IF(Source_Data!BG$6=Inputs!$B$13,-Inputs!$B$7,0)+BG200</f>
        <v>0</v>
      </c>
      <c r="BH201" s="33" t="n">
        <f aca="false">IF(Source_Data!BH$6=Inputs!$B$13,-Inputs!$B$7,0)+BH200</f>
        <v>0</v>
      </c>
      <c r="BI201" s="33" t="n">
        <f aca="false">IF(Source_Data!BI$6=Inputs!$B$13,-Inputs!$B$7,0)+BI200</f>
        <v>0</v>
      </c>
      <c r="BJ201" s="33" t="n">
        <f aca="false">IF(Source_Data!BJ$6=Inputs!$B$13,-Inputs!$B$7,0)+BJ200</f>
        <v>0</v>
      </c>
      <c r="BK201" s="33" t="n">
        <f aca="false">IF(Source_Data!BK$6=Inputs!$B$13,-Inputs!$B$7,0)+BK200</f>
        <v>0</v>
      </c>
    </row>
    <row r="202" customFormat="false" ht="15" hidden="false" customHeight="false" outlineLevel="0" collapsed="false">
      <c r="A202" s="3" t="s">
        <v>344</v>
      </c>
      <c r="D202" s="33" t="n">
        <f aca="false">IF(Source_Data!D$6=Inputs!$B$13,Inputs!$B$7,0)+D197-D200</f>
        <v>-16.25</v>
      </c>
      <c r="E202" s="33" t="n">
        <f aca="false">D202+IF(Source_Data!E$6=Inputs!$B$13,Inputs!$B$7,0)+E197-E200</f>
        <v>-27.5</v>
      </c>
      <c r="F202" s="33" t="n">
        <f aca="false">E202+IF(Source_Data!F$6=Inputs!$B$13,Inputs!$B$7,0)+F197-F200</f>
        <v>-38.75</v>
      </c>
      <c r="G202" s="33" t="n">
        <f aca="false">F202+IF(Source_Data!G$6=Inputs!$B$13,Inputs!$B$7,0)+G197-G200</f>
        <v>-50</v>
      </c>
      <c r="H202" s="33" t="n">
        <f aca="false">G202+IF(Source_Data!H$6=Inputs!$B$13,Inputs!$B$7,0)+H197-H200</f>
        <v>-95.5</v>
      </c>
      <c r="I202" s="33" t="n">
        <f aca="false">H202+IF(Source_Data!I$6=Inputs!$B$13,Inputs!$B$7,0)+I197-I200</f>
        <v>-148.36</v>
      </c>
      <c r="J202" s="33" t="n">
        <f aca="false">I202+IF(Source_Data!J$6=Inputs!$B$13,Inputs!$B$7,0)+J197-J200</f>
        <v>-201.7207625</v>
      </c>
      <c r="K202" s="33" t="n">
        <f aca="false">J202+IF(Source_Data!K$6=Inputs!$B$13,Inputs!$B$7,0)+K197-K200</f>
        <v>-224.3022875</v>
      </c>
      <c r="L202" s="33" t="n">
        <f aca="false">K202+IF(Source_Data!L$6=Inputs!$B$13,Inputs!$B$7,0)+L197-L200</f>
        <v>-241.90028125</v>
      </c>
      <c r="M202" s="33" t="n">
        <f aca="false">L202+IF(Source_Data!M$6=Inputs!$B$13,Inputs!$B$7,0)+M197-M200</f>
        <v>-257.63974375</v>
      </c>
      <c r="N202" s="33" t="n">
        <f aca="false">M202+IF(Source_Data!N$6=Inputs!$B$13,Inputs!$B$7,0)+N197-N200</f>
        <v>-261.58243375</v>
      </c>
      <c r="O202" s="33" t="n">
        <f aca="false">N202+IF(Source_Data!O$6=Inputs!$B$13,Inputs!$B$7,0)+O197-O200</f>
        <v>-264.417264375</v>
      </c>
      <c r="P202" s="33" t="n">
        <f aca="false">O202+IF(Source_Data!P$6=Inputs!$B$13,Inputs!$B$7,0)+P197-P200</f>
        <v>-390.9846759375</v>
      </c>
      <c r="Q202" s="33" t="n">
        <f aca="false">P202+IF(Source_Data!Q$6=Inputs!$B$13,Inputs!$B$7,0)+Q197-Q200</f>
        <v>-102.6270984375</v>
      </c>
      <c r="R202" s="33" t="n">
        <f aca="false">Q202+IF(Source_Data!R$6=Inputs!$B$13,Inputs!$B$7,0)+R197-R200</f>
        <v>-172.0133584375</v>
      </c>
      <c r="S202" s="33" t="n">
        <f aca="false">R202+IF(Source_Data!S$6=Inputs!$B$13,Inputs!$B$7,0)+S197-S200</f>
        <v>-196.3933684375</v>
      </c>
      <c r="T202" s="33" t="n">
        <f aca="false">S202+IF(Source_Data!T$6=Inputs!$B$13,Inputs!$B$7,0)+T197-T200</f>
        <v>-166.1556584375</v>
      </c>
      <c r="U202" s="33" t="n">
        <f aca="false">T202+IF(Source_Data!U$6=Inputs!$B$13,Inputs!$B$7,0)+U197-U200</f>
        <v>-163.4814896875</v>
      </c>
      <c r="V202" s="33" t="n">
        <f aca="false">U202+IF(Source_Data!V$6=Inputs!$B$13,Inputs!$B$7,0)+V197-V200</f>
        <v>-160.8073209375</v>
      </c>
      <c r="W202" s="33" t="n">
        <f aca="false">V202+IF(Source_Data!W$6=Inputs!$B$13,Inputs!$B$7,0)+W197-W200</f>
        <v>-158.8014853125</v>
      </c>
      <c r="X202" s="33" t="n">
        <f aca="false">W202+IF(Source_Data!X$6=Inputs!$B$13,Inputs!$B$7,0)+X197-X200</f>
        <v>-134.449845625</v>
      </c>
      <c r="Y202" s="33" t="n">
        <f aca="false">X202+IF(Source_Data!Y$6=Inputs!$B$13,Inputs!$B$7,0)+Y197-Y200</f>
        <v>-97.2371296874999</v>
      </c>
      <c r="Z202" s="33" t="n">
        <f aca="false">Y202+IF(Source_Data!Z$6=Inputs!$B$13,Inputs!$B$7,0)+Z197-Z200</f>
        <v>-66.0131849999999</v>
      </c>
      <c r="AA202" s="33" t="n">
        <f aca="false">Z202+IF(Source_Data!AA$6=Inputs!$B$13,Inputs!$B$7,0)+AA197-AA200</f>
        <v>-39.1302403124999</v>
      </c>
      <c r="AB202" s="33" t="n">
        <f aca="false">AA202+IF(Source_Data!AB$6=Inputs!$B$13,Inputs!$B$7,0)+AB197-AB200</f>
        <v>10.2527043750001</v>
      </c>
      <c r="AC202" s="33" t="n">
        <f aca="false">AB202+IF(Source_Data!AC$6=Inputs!$B$13,Inputs!$B$7,0)+AC197-AC200</f>
        <v>52.3554303125001</v>
      </c>
      <c r="AD202" s="33" t="n">
        <f aca="false">AC202+IF(Source_Data!AD$6=Inputs!$B$13,Inputs!$B$7,0)+AD197-AD200</f>
        <v>94.4581562500001</v>
      </c>
      <c r="AE202" s="33" t="n">
        <f aca="false">AD202+IF(Source_Data!AE$6=Inputs!$B$13,Inputs!$B$7,0)+AE197-AE200</f>
        <v>136.5608821875</v>
      </c>
      <c r="AF202" s="33" t="n">
        <f aca="false">AE202+IF(Source_Data!AF$6=Inputs!$B$13,Inputs!$B$7,0)+AF197-AF200</f>
        <v>65.1173977734376</v>
      </c>
      <c r="AG202" s="33" t="n">
        <f aca="false">AF202+IF(Source_Data!AG$6=Inputs!$B$13,Inputs!$B$7,0)+AG197-AG200</f>
        <v>87.1795128515626</v>
      </c>
      <c r="AH202" s="33" t="n">
        <f aca="false">AG202+IF(Source_Data!AH$6=Inputs!$B$13,Inputs!$B$7,0)+AH197-AH200</f>
        <v>105.633171679688</v>
      </c>
      <c r="AI202" s="33" t="n">
        <f aca="false">AH202+IF(Source_Data!AI$6=Inputs!$B$13,Inputs!$B$7,0)+AI197-AI200</f>
        <v>119.745830507813</v>
      </c>
      <c r="AJ202" s="33" t="n">
        <f aca="false">AI202+IF(Source_Data!AJ$6=Inputs!$B$13,Inputs!$B$7,0)+AJ197-AJ200</f>
        <v>133.858489335938</v>
      </c>
      <c r="AK202" s="33" t="n">
        <f aca="false">AJ202+IF(Source_Data!AK$6=Inputs!$B$13,Inputs!$B$7,0)+AK197-AK200</f>
        <v>148.926676875</v>
      </c>
      <c r="AL202" s="33" t="n">
        <f aca="false">AK202+IF(Source_Data!AL$6=Inputs!$B$13,Inputs!$B$7,0)+AL197-AL200</f>
        <v>163.994864414063</v>
      </c>
      <c r="AM202" s="33" t="n">
        <f aca="false">AL202+IF(Source_Data!AM$6=Inputs!$B$13,Inputs!$B$7,0)+AM197-AM200</f>
        <v>180.885480625</v>
      </c>
      <c r="AN202" s="33" t="n">
        <f aca="false">AM202+IF(Source_Data!AN$6=Inputs!$B$13,Inputs!$B$7,0)+AN197-AN200</f>
        <v>201.76320359375</v>
      </c>
      <c r="AO202" s="33" t="n">
        <f aca="false">AN202+IF(Source_Data!AO$6=Inputs!$B$13,Inputs!$B$7,0)+AO197-AO200</f>
        <v>223.1062275</v>
      </c>
      <c r="AP202" s="33" t="n">
        <f aca="false">AO202+IF(Source_Data!AP$6=Inputs!$B$13,Inputs!$B$7,0)+AP197-AP200</f>
        <v>246.011333125</v>
      </c>
      <c r="AQ202" s="33" t="n">
        <f aca="false">AP202+IF(Source_Data!AQ$6=Inputs!$B$13,Inputs!$B$7,0)+AQ197-AQ200</f>
        <v>264.7508875</v>
      </c>
      <c r="AR202" s="33" t="n">
        <f aca="false">AQ202+IF(Source_Data!AR$6=Inputs!$B$13,Inputs!$B$7,0)+AR197-AR200</f>
        <v>274.377055</v>
      </c>
      <c r="AS202" s="33" t="n">
        <f aca="false">AR202+IF(Source_Data!AS$6=Inputs!$B$13,Inputs!$B$7,0)+AS197-AS200</f>
        <v>277.9475275</v>
      </c>
      <c r="AT202" s="33" t="n">
        <f aca="false">AS202+IF(Source_Data!AT$6=Inputs!$B$13,Inputs!$B$7,0)+AT197-AT200</f>
        <v>277.9475275</v>
      </c>
      <c r="AU202" s="33" t="n">
        <f aca="false">AT202+IF(Source_Data!AU$6=Inputs!$B$13,Inputs!$B$7,0)+AU197-AU200</f>
        <v>277.9475275</v>
      </c>
      <c r="AV202" s="33" t="n">
        <f aca="false">AU202+IF(Source_Data!AV$6=Inputs!$B$13,Inputs!$B$7,0)+AV197-AV200</f>
        <v>277.9475275</v>
      </c>
      <c r="AW202" s="33" t="n">
        <f aca="false">AV202+IF(Source_Data!AW$6=Inputs!$B$13,Inputs!$B$7,0)+AW197-AW200</f>
        <v>277.9475275</v>
      </c>
      <c r="AX202" s="33" t="n">
        <f aca="false">AW202+IF(Source_Data!AX$6=Inputs!$B$13,Inputs!$B$7,0)+AX197-AX200</f>
        <v>277.9475275</v>
      </c>
      <c r="AY202" s="33" t="n">
        <f aca="false">AX202+IF(Source_Data!AY$6=Inputs!$B$13,Inputs!$B$7,0)+AY197-AY200</f>
        <v>277.9475275</v>
      </c>
      <c r="AZ202" s="33" t="n">
        <f aca="false">AY202+IF(Source_Data!AZ$6=Inputs!$B$13,Inputs!$B$7,0)+AZ197-AZ200</f>
        <v>277.9475275</v>
      </c>
      <c r="BA202" s="33" t="n">
        <f aca="false">AZ202+IF(Source_Data!BA$6=Inputs!$B$13,Inputs!$B$7,0)+BA197-BA200</f>
        <v>277.9475275</v>
      </c>
      <c r="BB202" s="33" t="n">
        <f aca="false">BA202+IF(Source_Data!BB$6=Inputs!$B$13,Inputs!$B$7,0)+BB197-BB200</f>
        <v>277.9475275</v>
      </c>
      <c r="BC202" s="33" t="n">
        <f aca="false">BB202+IF(Source_Data!BC$6=Inputs!$B$13,Inputs!$B$7,0)+BC197-BC200</f>
        <v>277.9475275</v>
      </c>
      <c r="BD202" s="33" t="n">
        <f aca="false">BC202+IF(Source_Data!BD$6=Inputs!$B$13,Inputs!$B$7,0)+BD197-BD200</f>
        <v>277.9475275</v>
      </c>
      <c r="BE202" s="33" t="n">
        <f aca="false">BD202+IF(Source_Data!BE$6=Inputs!$B$13,Inputs!$B$7,0)+BE197-BE200</f>
        <v>277.9475275</v>
      </c>
      <c r="BF202" s="33" t="n">
        <f aca="false">BE202+IF(Source_Data!BF$6=Inputs!$B$13,Inputs!$B$7,0)+BF197-BF200</f>
        <v>277.9475275</v>
      </c>
      <c r="BG202" s="33" t="n">
        <f aca="false">BF202+IF(Source_Data!BG$6=Inputs!$B$13,Inputs!$B$7,0)+BG197-BG200</f>
        <v>277.9475275</v>
      </c>
      <c r="BH202" s="33" t="n">
        <f aca="false">BG202+IF(Source_Data!BH$6=Inputs!$B$13,Inputs!$B$7,0)+BH197-BH200</f>
        <v>277.9475275</v>
      </c>
      <c r="BI202" s="33" t="n">
        <f aca="false">BH202+IF(Source_Data!BI$6=Inputs!$B$13,Inputs!$B$7,0)+BI197-BI200</f>
        <v>277.9475275</v>
      </c>
      <c r="BJ202" s="33" t="n">
        <f aca="false">BI202+IF(Source_Data!BJ$6=Inputs!$B$13,Inputs!$B$7,0)+BJ197-BJ200</f>
        <v>277.9475275</v>
      </c>
      <c r="BK202" s="33" t="n">
        <f aca="false">BJ202+IF(Source_Data!BK$6=Inputs!$B$13,Inputs!$B$7,0)+BK197-BK200</f>
        <v>277.9475275</v>
      </c>
    </row>
    <row r="203" customFormat="false" ht="15" hidden="false" customHeight="false" outlineLevel="0" collapsed="false">
      <c r="A203" s="3" t="s">
        <v>345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-0.0949191304347827</v>
      </c>
      <c r="N203" s="31" t="n">
        <f aca="false">IF(N200&gt;0,N197/N200,"")</f>
        <v>0.725725913043478</v>
      </c>
      <c r="O203" s="31" t="n">
        <f aca="false">IF(O200&gt;0,O197/O200,"")</f>
        <v>0.802794391304348</v>
      </c>
      <c r="P203" s="31" t="n">
        <f aca="false">IF(P200&gt;0,P197/P200,"")</f>
        <v>-7.8046895</v>
      </c>
      <c r="Q203" s="31" t="n">
        <f aca="false">IF(Q200&gt;0,Q197/Q200,"")</f>
        <v>21.0596575652174</v>
      </c>
      <c r="R203" s="31" t="n">
        <f aca="false">IF(R200&gt;0,R197/R200,"")</f>
        <v>-3.82687026086956</v>
      </c>
      <c r="S203" s="31" t="n">
        <f aca="false">IF(S200&gt;0,S197/S200,"")</f>
        <v>-0.696000695652175</v>
      </c>
      <c r="T203" s="31" t="n">
        <f aca="false">IF(T200&gt;0,T197/T200,"")</f>
        <v>3.10349286956522</v>
      </c>
      <c r="U203" s="31" t="n">
        <f aca="false">IF(U200&gt;0,U197/U200,"")</f>
        <v>1.18602913043478</v>
      </c>
      <c r="V203" s="31" t="n">
        <f aca="false">IF(V200&gt;0,V197/V200,"")</f>
        <v>1.18602913043478</v>
      </c>
      <c r="W203" s="31" t="n">
        <f aca="false">IF(W200&gt;0,W197/W200,"")</f>
        <v>1.13953639130435</v>
      </c>
      <c r="X203" s="31" t="n">
        <f aca="false">IF(X200&gt;0,X197/X200,"")</f>
        <v>2.69402710869565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346</v>
      </c>
      <c r="D204" s="31" t="str">
        <f aca="false">IF(D200&gt;0,(0+D197+IF(Source_Data!D$6=Inputs!$B$13,Inputs!$B$7,0))/D200,"")</f>
        <v/>
      </c>
      <c r="E204" s="31" t="str">
        <f aca="false">IF(E200&gt;0,(D202+E197+IF(Source_Data!E$6=Inputs!$B$13,Inputs!$B$7,0))/E200,"")</f>
        <v/>
      </c>
      <c r="F204" s="31" t="str">
        <f aca="false">IF(F200&gt;0,(E202+F197+IF(Source_Data!F$6=Inputs!$B$13,Inputs!$B$7,0))/F200,"")</f>
        <v/>
      </c>
      <c r="G204" s="31" t="str">
        <f aca="false">IF(G200&gt;0,(F202+G197+IF(Source_Data!G$6=Inputs!$B$13,Inputs!$B$7,0))/G200,"")</f>
        <v/>
      </c>
      <c r="H204" s="31" t="str">
        <f aca="false">IF(H200&gt;0,(G202+H197+IF(Source_Data!H$6=Inputs!$B$13,Inputs!$B$7,0))/H200,"")</f>
        <v/>
      </c>
      <c r="I204" s="31" t="str">
        <f aca="false">IF(I200&gt;0,(H202+I197+IF(Source_Data!I$6=Inputs!$B$13,Inputs!$B$7,0))/I200,"")</f>
        <v/>
      </c>
      <c r="J204" s="31" t="str">
        <f aca="false">IF(J200&gt;0,(I202+J197+IF(Source_Data!J$6=Inputs!$B$13,Inputs!$B$7,0))/J200,"")</f>
        <v/>
      </c>
      <c r="K204" s="31" t="str">
        <f aca="false">IF(K200&gt;0,(J202+K197+IF(Source_Data!K$6=Inputs!$B$13,Inputs!$B$7,0))/K200,"")</f>
        <v/>
      </c>
      <c r="L204" s="31" t="str">
        <f aca="false">IF(L200&gt;0,(K202+L197+IF(Source_Data!L$6=Inputs!$B$13,Inputs!$B$7,0))/L200,"")</f>
        <v/>
      </c>
      <c r="M204" s="31" t="n">
        <f aca="false">IF(M200&gt;0,(L202+M197+IF(Source_Data!M$6=Inputs!$B$13,Inputs!$B$7,0))/M200,"")</f>
        <v>-16.9227647826087</v>
      </c>
      <c r="N204" s="31" t="n">
        <f aca="false">IF(N200&gt;0,(M202+N197+IF(Source_Data!N$6=Inputs!$B$13,Inputs!$B$7,0))/N200,"")</f>
        <v>-17.1970388695652</v>
      </c>
      <c r="O204" s="31" t="n">
        <f aca="false">IF(O200&gt;0,(N202+O197+IF(Source_Data!O$6=Inputs!$B$13,Inputs!$B$7,0))/O200,"")</f>
        <v>-17.3942444782609</v>
      </c>
      <c r="P204" s="31" t="n">
        <f aca="false">IF(P200&gt;0,(O202+P197+IF(Source_Data!P$6=Inputs!$B$13,Inputs!$B$7,0))/P200,"")</f>
        <v>-26.1989339782609</v>
      </c>
      <c r="Q204" s="31" t="n">
        <f aca="false">IF(Q200&gt;0,(P202+Q197+IF(Source_Data!Q$6=Inputs!$B$13,Inputs!$B$7,0))/Q200,"")</f>
        <v>-6.13927641304347</v>
      </c>
      <c r="R204" s="31" t="n">
        <f aca="false">IF(R200&gt;0,(Q202+R197+IF(Source_Data!R$6=Inputs!$B$13,Inputs!$B$7,0))/R200,"")</f>
        <v>-10.966146673913</v>
      </c>
      <c r="S204" s="31" t="n">
        <f aca="false">IF(S200&gt;0,(R202+S197+IF(Source_Data!S$6=Inputs!$B$13,Inputs!$B$7,0))/S200,"")</f>
        <v>-12.6621473695652</v>
      </c>
      <c r="T204" s="31" t="n">
        <f aca="false">IF(T200&gt;0,(S202+T197+IF(Source_Data!T$6=Inputs!$B$13,Inputs!$B$7,0))/T200,"")</f>
        <v>-10.5586545</v>
      </c>
      <c r="U204" s="31" t="n">
        <f aca="false">IF(U200&gt;0,(T202+U197+IF(Source_Data!U$6=Inputs!$B$13,Inputs!$B$7,0))/U200,"")</f>
        <v>-10.3726253695652</v>
      </c>
      <c r="V204" s="31" t="n">
        <f aca="false">IF(V200&gt;0,(U202+V197+IF(Source_Data!V$6=Inputs!$B$13,Inputs!$B$7,0))/V200,"")</f>
        <v>-10.1865962391304</v>
      </c>
      <c r="W204" s="31" t="n">
        <f aca="false">IF(W200&gt;0,(V202+W197+IF(Source_Data!W$6=Inputs!$B$13,Inputs!$B$7,0))/W200,"")</f>
        <v>-10.0470598478261</v>
      </c>
      <c r="X204" s="31" t="n">
        <f aca="false">IF(X200&gt;0,(W202+X197+IF(Source_Data!X$6=Inputs!$B$13,Inputs!$B$7,0))/X200,"")</f>
        <v>-8.35303273913043</v>
      </c>
      <c r="Y204" s="31" t="str">
        <f aca="false">IF(Y200&gt;0,(X202+Y197+IF(Source_Data!Y$6=Inputs!$B$13,Inputs!$B$7,0))/Y200,"")</f>
        <v/>
      </c>
      <c r="Z204" s="31" t="str">
        <f aca="false">IF(Z200&gt;0,(Y202+Z197+IF(Source_Data!Z$6=Inputs!$B$13,Inputs!$B$7,0))/Z200,"")</f>
        <v/>
      </c>
      <c r="AA204" s="31" t="str">
        <f aca="false">IF(AA200&gt;0,(Z202+AA197+IF(Source_Data!AA$6=Inputs!$B$13,Inputs!$B$7,0))/AA200,"")</f>
        <v/>
      </c>
      <c r="AB204" s="31" t="str">
        <f aca="false">IF(AB200&gt;0,(AA202+AB197+IF(Source_Data!AB$6=Inputs!$B$13,Inputs!$B$7,0))/AB200,"")</f>
        <v/>
      </c>
      <c r="AC204" s="31" t="str">
        <f aca="false">IF(AC200&gt;0,(AB202+AC197+IF(Source_Data!AC$6=Inputs!$B$13,Inputs!$B$7,0))/AC200,"")</f>
        <v/>
      </c>
      <c r="AD204" s="31" t="str">
        <f aca="false">IF(AD200&gt;0,(AC202+AD197+IF(Source_Data!AD$6=Inputs!$B$13,Inputs!$B$7,0))/AD200,"")</f>
        <v/>
      </c>
      <c r="AE204" s="31" t="str">
        <f aca="false">IF(AE200&gt;0,(AD202+AE197+IF(Source_Data!AE$6=Inputs!$B$13,Inputs!$B$7,0))/AE200,"")</f>
        <v/>
      </c>
      <c r="AF204" s="31" t="str">
        <f aca="false">IF(AF200&gt;0,(AE202+AF197+IF(Source_Data!AF$6=Inputs!$B$13,Inputs!$B$7,0))/AF200,"")</f>
        <v/>
      </c>
      <c r="AG204" s="31" t="str">
        <f aca="false">IF(AG200&gt;0,(AF202+AG197+IF(Source_Data!AG$6=Inputs!$B$13,Inputs!$B$7,0))/AG200,"")</f>
        <v/>
      </c>
      <c r="AH204" s="31" t="str">
        <f aca="false">IF(AH200&gt;0,(AG202+AH197+IF(Source_Data!AH$6=Inputs!$B$13,Inputs!$B$7,0))/AH200,"")</f>
        <v/>
      </c>
      <c r="AI204" s="31" t="str">
        <f aca="false">IF(AI200&gt;0,(AH202+AI197+IF(Source_Data!AI$6=Inputs!$B$13,Inputs!$B$7,0))/AI200,"")</f>
        <v/>
      </c>
      <c r="AJ204" s="31" t="str">
        <f aca="false">IF(AJ200&gt;0,(AI202+AJ197+IF(Source_Data!AJ$6=Inputs!$B$13,Inputs!$B$7,0))/AJ200,"")</f>
        <v/>
      </c>
      <c r="AK204" s="31" t="str">
        <f aca="false">IF(AK200&gt;0,(AJ202+AK197+IF(Source_Data!AK$6=Inputs!$B$13,Inputs!$B$7,0))/AK200,"")</f>
        <v/>
      </c>
      <c r="AL204" s="31" t="str">
        <f aca="false">IF(AL200&gt;0,(AK202+AL197+IF(Source_Data!AL$6=Inputs!$B$13,Inputs!$B$7,0))/AL200,"")</f>
        <v/>
      </c>
      <c r="AM204" s="31" t="str">
        <f aca="false">IF(AM200&gt;0,(AL202+AM197+IF(Source_Data!AM$6=Inputs!$B$13,Inputs!$B$7,0))/AM200,"")</f>
        <v/>
      </c>
      <c r="AN204" s="31" t="str">
        <f aca="false">IF(AN200&gt;0,(AM202+AN197+IF(Source_Data!AN$6=Inputs!$B$13,Inputs!$B$7,0))/AN200,"")</f>
        <v/>
      </c>
      <c r="AO204" s="31" t="str">
        <f aca="false">IF(AO200&gt;0,(AN202+AO197+IF(Source_Data!AO$6=Inputs!$B$13,Inputs!$B$7,0))/AO200,"")</f>
        <v/>
      </c>
      <c r="AP204" s="31" t="str">
        <f aca="false">IF(AP200&gt;0,(AO202+AP197+IF(Source_Data!AP$6=Inputs!$B$13,Inputs!$B$7,0))/AP200,"")</f>
        <v/>
      </c>
      <c r="AQ204" s="31" t="str">
        <f aca="false">IF(AQ200&gt;0,(AP202+AQ197+IF(Source_Data!AQ$6=Inputs!$B$13,Inputs!$B$7,0))/AQ200,"")</f>
        <v/>
      </c>
      <c r="AR204" s="31" t="str">
        <f aca="false">IF(AR200&gt;0,(AQ202+AR197+IF(Source_Data!AR$6=Inputs!$B$13,Inputs!$B$7,0))/AR200,"")</f>
        <v/>
      </c>
      <c r="AS204" s="31" t="str">
        <f aca="false">IF(AS200&gt;0,(AR202+AS197+IF(Source_Data!AS$6=Inputs!$B$13,Inputs!$B$7,0))/AS200,"")</f>
        <v/>
      </c>
      <c r="AT204" s="31" t="str">
        <f aca="false">IF(AT200&gt;0,(AS202+AT197+IF(Source_Data!AT$6=Inputs!$B$13,Inputs!$B$7,0))/AT200,"")</f>
        <v/>
      </c>
      <c r="AU204" s="31" t="str">
        <f aca="false">IF(AU200&gt;0,(AT202+AU197+IF(Source_Data!AU$6=Inputs!$B$13,Inputs!$B$7,0))/AU200,"")</f>
        <v/>
      </c>
      <c r="AV204" s="31" t="str">
        <f aca="false">IF(AV200&gt;0,(AU202+AV197+IF(Source_Data!AV$6=Inputs!$B$13,Inputs!$B$7,0))/AV200,"")</f>
        <v/>
      </c>
      <c r="AW204" s="31" t="str">
        <f aca="false">IF(AW200&gt;0,(AV202+AW197+IF(Source_Data!AW$6=Inputs!$B$13,Inputs!$B$7,0))/AW200,"")</f>
        <v/>
      </c>
      <c r="AX204" s="31" t="str">
        <f aca="false">IF(AX200&gt;0,(AW202+AX197+IF(Source_Data!AX$6=Inputs!$B$13,Inputs!$B$7,0))/AX200,"")</f>
        <v/>
      </c>
      <c r="AY204" s="31" t="str">
        <f aca="false">IF(AY200&gt;0,(AX202+AY197+IF(Source_Data!AY$6=Inputs!$B$13,Inputs!$B$7,0))/AY200,"")</f>
        <v/>
      </c>
      <c r="AZ204" s="31" t="str">
        <f aca="false">IF(AZ200&gt;0,(AY202+AZ197+IF(Source_Data!AZ$6=Inputs!$B$13,Inputs!$B$7,0))/AZ200,"")</f>
        <v/>
      </c>
      <c r="BA204" s="31" t="str">
        <f aca="false">IF(BA200&gt;0,(AZ202+BA197+IF(Source_Data!BA$6=Inputs!$B$13,Inputs!$B$7,0))/BA200,"")</f>
        <v/>
      </c>
      <c r="BB204" s="31" t="str">
        <f aca="false">IF(BB200&gt;0,(BA202+BB197+IF(Source_Data!BB$6=Inputs!$B$13,Inputs!$B$7,0))/BB200,"")</f>
        <v/>
      </c>
      <c r="BC204" s="31" t="str">
        <f aca="false">IF(BC200&gt;0,(BB202+BC197+IF(Source_Data!BC$6=Inputs!$B$13,Inputs!$B$7,0))/BC200,"")</f>
        <v/>
      </c>
      <c r="BD204" s="31" t="str">
        <f aca="false">IF(BD200&gt;0,(BC202+BD197+IF(Source_Data!BD$6=Inputs!$B$13,Inputs!$B$7,0))/BD200,"")</f>
        <v/>
      </c>
      <c r="BE204" s="31" t="str">
        <f aca="false">IF(BE200&gt;0,(BD202+BE197+IF(Source_Data!BE$6=Inputs!$B$13,Inputs!$B$7,0))/BE200,"")</f>
        <v/>
      </c>
      <c r="BF204" s="31" t="str">
        <f aca="false">IF(BF200&gt;0,(BE202+BF197+IF(Source_Data!BF$6=Inputs!$B$13,Inputs!$B$7,0))/BF200,"")</f>
        <v/>
      </c>
      <c r="BG204" s="31" t="str">
        <f aca="false">IF(BG200&gt;0,(BF202+BG197+IF(Source_Data!BG$6=Inputs!$B$13,Inputs!$B$7,0))/BG200,"")</f>
        <v/>
      </c>
      <c r="BH204" s="31" t="str">
        <f aca="false">IF(BH200&gt;0,(BG202+BH197+IF(Source_Data!BH$6=Inputs!$B$13,Inputs!$B$7,0))/BH200,"")</f>
        <v/>
      </c>
      <c r="BI204" s="31" t="str">
        <f aca="false">IF(BI200&gt;0,(BH202+BI197+IF(Source_Data!BI$6=Inputs!$B$13,Inputs!$B$7,0))/BI200,"")</f>
        <v/>
      </c>
      <c r="BJ204" s="31" t="str">
        <f aca="false">IF(BJ200&gt;0,(BI202+BJ197+IF(Source_Data!BJ$6=Inputs!$B$13,Inputs!$B$7,0))/BJ200,"")</f>
        <v/>
      </c>
      <c r="BK204" s="31" t="str">
        <f aca="false">IF(BK200&gt;0,(BJ202+BK197+IF(Source_Data!BK$6=Inputs!$B$13,Inputs!$B$7,0))/BK200,"")</f>
        <v/>
      </c>
    </row>
    <row r="206" customFormat="false" ht="15" hidden="false" customHeight="false" outlineLevel="0" collapsed="false">
      <c r="A206" s="2" t="s">
        <v>222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347</v>
      </c>
      <c r="B207" s="41" t="n">
        <f aca="false">SUMPRODUCT(D197:BK197,Project_CF!$D$15:$BK$15)</f>
        <v>52.3703291978759</v>
      </c>
    </row>
    <row r="208" customFormat="false" ht="15" hidden="false" customHeight="false" outlineLevel="0" collapsed="false">
      <c r="A208" s="2" t="s">
        <v>164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348</v>
      </c>
      <c r="B209" s="35" t="n">
        <f aca="false">INDEX(Project_CF!$D$6:$BK$6,MATCH(MIN(D198:BK198),D198:BK198,0))</f>
        <v>33</v>
      </c>
    </row>
    <row r="210" customFormat="false" ht="15" hidden="false" customHeight="false" outlineLevel="0" collapsed="false">
      <c r="A210" s="2" t="s">
        <v>349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350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351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352</v>
      </c>
      <c r="B213" s="41" t="n">
        <f aca="false">MIN(D202:BK202)</f>
        <v>-390.9846759375</v>
      </c>
    </row>
    <row r="214" customFormat="false" ht="15" hidden="false" customHeight="false" outlineLevel="0" collapsed="false">
      <c r="A214" s="2" t="s">
        <v>353</v>
      </c>
      <c r="B214" s="43" t="n">
        <f aca="false">MIN(D203:BK203)</f>
        <v>-7.8046895</v>
      </c>
    </row>
    <row r="215" customFormat="false" ht="15" hidden="false" customHeight="false" outlineLevel="0" collapsed="false">
      <c r="A215" s="2" t="s">
        <v>354</v>
      </c>
      <c r="B215" s="35" t="n">
        <f aca="false">COUNTIF(D203:BK203,"&lt;"&amp;Inputs!$B$44)</f>
        <v>9</v>
      </c>
    </row>
    <row r="216" customFormat="false" ht="15" hidden="false" customHeight="false" outlineLevel="0" collapsed="false">
      <c r="A216" s="2" t="s">
        <v>355</v>
      </c>
      <c r="B216" s="43" t="n">
        <f aca="false">MIN(D204:BK204)</f>
        <v>-26.1989339782609</v>
      </c>
    </row>
    <row r="217" customFormat="false" ht="15" hidden="false" customHeight="false" outlineLevel="0" collapsed="false">
      <c r="A217" s="2" t="s">
        <v>356</v>
      </c>
      <c r="B217" s="35" t="n">
        <f aca="false">COUNTIF(D204:BK204,"&lt;"&amp;Inputs!$B$44)</f>
        <v>12</v>
      </c>
    </row>
    <row r="220" customFormat="false" ht="15" hidden="false" customHeight="false" outlineLevel="0" collapsed="false">
      <c r="A220" s="8" t="s">
        <v>365</v>
      </c>
    </row>
    <row r="221" customFormat="false" ht="15" hidden="false" customHeight="false" outlineLevel="0" collapsed="false">
      <c r="A221" s="3" t="s">
        <v>333</v>
      </c>
      <c r="B221" s="45" t="n">
        <v>1</v>
      </c>
    </row>
    <row r="222" customFormat="false" ht="15" hidden="false" customHeight="false" outlineLevel="0" collapsed="false">
      <c r="A222" s="3" t="s">
        <v>334</v>
      </c>
      <c r="B222" s="45" t="n">
        <v>6</v>
      </c>
    </row>
    <row r="223" customFormat="false" ht="15" hidden="false" customHeight="false" outlineLevel="0" collapsed="false">
      <c r="A223" s="3" t="s">
        <v>335</v>
      </c>
      <c r="B223" s="45" t="n">
        <v>1</v>
      </c>
    </row>
    <row r="224" customFormat="false" ht="15" hidden="false" customHeight="false" outlineLevel="0" collapsed="false">
      <c r="A224" s="3" t="s">
        <v>336</v>
      </c>
      <c r="B224" s="45" t="n">
        <v>0</v>
      </c>
    </row>
    <row r="225" customFormat="false" ht="15" hidden="false" customHeight="false" outlineLevel="0" collapsed="false">
      <c r="A225" s="3" t="s">
        <v>337</v>
      </c>
      <c r="B225" s="45" t="n">
        <v>0</v>
      </c>
    </row>
    <row r="226" customFormat="false" ht="15" hidden="false" customHeight="false" outlineLevel="0" collapsed="false">
      <c r="A226" s="3" t="s">
        <v>338</v>
      </c>
      <c r="B226" s="3" t="n">
        <f aca="false">Inputs!$B$14+3+3*$B$222</f>
        <v>63</v>
      </c>
    </row>
    <row r="227" customFormat="false" ht="15" hidden="false" customHeight="false" outlineLevel="0" collapsed="false">
      <c r="A227" s="3" t="s">
        <v>339</v>
      </c>
      <c r="D227" s="33" t="n">
        <f aca="false">Source_Data!D$7+IF($B$225=1,IF(Source_Data!D$6=Inputs!$B$14,Source_Data!$C$8,0),Source_Data!D$8)</f>
        <v>0</v>
      </c>
      <c r="E227" s="33" t="n">
        <f aca="false">Source_Data!E$7+IF($B$225=1,IF(Source_Data!E$6=Inputs!$B$14,Source_Data!$C$8,0),Source_Data!E$8)</f>
        <v>0</v>
      </c>
      <c r="F227" s="33" t="n">
        <f aca="false">Source_Data!F$7+IF($B$225=1,IF(Source_Data!F$6=Inputs!$B$14,Source_Data!$C$8,0),Source_Data!F$8)</f>
        <v>15.1392375</v>
      </c>
      <c r="G227" s="33" t="n">
        <f aca="false">Source_Data!G$7+IF($B$225=1,IF(Source_Data!G$6=Inputs!$B$14,Source_Data!$C$8,0),Source_Data!G$8)</f>
        <v>30.278475</v>
      </c>
      <c r="H227" s="33" t="n">
        <f aca="false">Source_Data!H$7+IF($B$225=1,IF(Source_Data!H$6=Inputs!$B$14,Source_Data!$C$8,0),Source_Data!H$8)</f>
        <v>46.51200625</v>
      </c>
      <c r="I227" s="33" t="n">
        <f aca="false">Source_Data!I$7+IF($B$225=1,IF(Source_Data!I$6=Inputs!$B$14,Source_Data!$C$8,0),Source_Data!I$8)</f>
        <v>62.7455375</v>
      </c>
      <c r="J227" s="33" t="n">
        <f aca="false">Source_Data!J$7+IF($B$225=1,IF(Source_Data!J$6=Inputs!$B$14,Source_Data!$C$8,0),Source_Data!J$8)</f>
        <v>62.3657</v>
      </c>
      <c r="K227" s="33" t="n">
        <f aca="false">Source_Data!K$7+IF($B$225=1,IF(Source_Data!K$6=Inputs!$B$14,Source_Data!$C$8,0),Source_Data!K$8)</f>
        <v>63.473559375</v>
      </c>
      <c r="L227" s="33" t="n">
        <f aca="false">Source_Data!L$7+IF($B$225=1,IF(Source_Data!L$6=Inputs!$B$14,Source_Data!$C$8,0),Source_Data!L$8)</f>
        <v>80.3288484375</v>
      </c>
      <c r="M227" s="33" t="n">
        <f aca="false">Source_Data!M$7+IF($B$225=1,IF(Source_Data!M$6=Inputs!$B$14,Source_Data!$C$8,0),Source_Data!M$8)</f>
        <v>495.2538375</v>
      </c>
      <c r="N227" s="33" t="n">
        <f aca="false">Source_Data!N$7+IF($B$225=1,IF(Source_Data!N$6=Inputs!$B$14,Source_Data!$C$8,0),Source_Data!N$8)</f>
        <v>185.57775</v>
      </c>
      <c r="O227" s="33" t="n">
        <f aca="false">Source_Data!O$7+IF($B$225=1,IF(Source_Data!O$6=Inputs!$B$14,Source_Data!$C$8,0),Source_Data!O$8)</f>
        <v>176.534</v>
      </c>
      <c r="P227" s="33" t="n">
        <f aca="false">Source_Data!P$7+IF($B$225=1,IF(Source_Data!P$6=Inputs!$B$14,Source_Data!$C$8,0),Source_Data!P$8)</f>
        <v>97.31075</v>
      </c>
      <c r="Q227" s="33" t="n">
        <f aca="false">Source_Data!Q$7+IF($B$225=1,IF(Source_Data!Q$6=Inputs!$B$14,Source_Data!$C$8,0),Source_Data!Q$8)</f>
        <v>71.30996875</v>
      </c>
      <c r="R227" s="33" t="n">
        <f aca="false">Source_Data!R$7+IF($B$225=1,IF(Source_Data!R$6=Inputs!$B$14,Source_Data!$C$8,0),Source_Data!R$8)</f>
        <v>71.30996875</v>
      </c>
      <c r="S227" s="33" t="n">
        <f aca="false">Source_Data!S$7+IF($B$225=1,IF(Source_Data!S$6=Inputs!$B$14,Source_Data!$C$8,0),Source_Data!S$8)</f>
        <v>68.037035625</v>
      </c>
      <c r="T227" s="33" t="n">
        <f aca="false">Source_Data!T$7+IF($B$225=1,IF(Source_Data!T$6=Inputs!$B$14,Source_Data!$C$8,0),Source_Data!T$8)</f>
        <v>61.2266396875</v>
      </c>
      <c r="U227" s="33" t="n">
        <f aca="false">Source_Data!U$7+IF($B$225=1,IF(Source_Data!U$6=Inputs!$B$14,Source_Data!$C$8,0),Source_Data!U$8)</f>
        <v>59.7127159375</v>
      </c>
      <c r="V227" s="33" t="n">
        <f aca="false">Source_Data!V$7+IF($B$225=1,IF(Source_Data!V$6=Inputs!$B$14,Source_Data!$C$8,0),Source_Data!V$8)</f>
        <v>53.7239446875</v>
      </c>
      <c r="W227" s="33" t="n">
        <f aca="false">Source_Data!W$7+IF($B$225=1,IF(Source_Data!W$6=Inputs!$B$14,Source_Data!$C$8,0),Source_Data!W$8)</f>
        <v>49.3829446875</v>
      </c>
      <c r="X227" s="33" t="n">
        <f aca="false">Source_Data!X$7+IF($B$225=1,IF(Source_Data!X$6=Inputs!$B$14,Source_Data!$C$8,0),Source_Data!X$8)</f>
        <v>49.3829446875</v>
      </c>
      <c r="Y227" s="33" t="n">
        <f aca="false">Source_Data!Y$7+IF($B$225=1,IF(Source_Data!Y$6=Inputs!$B$14,Source_Data!$C$8,0),Source_Data!Y$8)</f>
        <v>42.1027259375</v>
      </c>
      <c r="Z227" s="33" t="n">
        <f aca="false">Source_Data!Z$7+IF($B$225=1,IF(Source_Data!Z$6=Inputs!$B$14,Source_Data!$C$8,0),Source_Data!Z$8)</f>
        <v>42.1027259375</v>
      </c>
      <c r="AA227" s="33" t="n">
        <f aca="false">Source_Data!AA$7+IF($B$225=1,IF(Source_Data!AA$6=Inputs!$B$14,Source_Data!$C$8,0),Source_Data!AA$8)</f>
        <v>42.1027259375</v>
      </c>
      <c r="AB227" s="33" t="n">
        <f aca="false">Source_Data!AB$7+IF($B$225=1,IF(Source_Data!AB$6=Inputs!$B$14,Source_Data!$C$8,0),Source_Data!AB$8)</f>
        <v>36.3147259375</v>
      </c>
      <c r="AC227" s="33" t="n">
        <f aca="false">Source_Data!AC$7+IF($B$225=1,IF(Source_Data!AC$6=Inputs!$B$14,Source_Data!$C$8,0),Source_Data!AC$8)</f>
        <v>33.0386275</v>
      </c>
      <c r="AD227" s="33" t="n">
        <f aca="false">Source_Data!AD$7+IF($B$225=1,IF(Source_Data!AD$6=Inputs!$B$14,Source_Data!$C$8,0),Source_Data!AD$8)</f>
        <v>29.43017125</v>
      </c>
      <c r="AE227" s="33" t="n">
        <f aca="false">Source_Data!AE$7+IF($B$225=1,IF(Source_Data!AE$6=Inputs!$B$14,Source_Data!$C$8,0),Source_Data!AE$8)</f>
        <v>25.08917125</v>
      </c>
      <c r="AF227" s="33" t="n">
        <f aca="false">Source_Data!AF$7+IF($B$225=1,IF(Source_Data!AF$6=Inputs!$B$14,Source_Data!$C$8,0),Source_Data!AF$8)</f>
        <v>25.08917125</v>
      </c>
      <c r="AG227" s="33" t="n">
        <f aca="false">Source_Data!AG$7+IF($B$225=1,IF(Source_Data!AG$6=Inputs!$B$14,Source_Data!$C$8,0),Source_Data!AG$8)</f>
        <v>25.08917125</v>
      </c>
      <c r="AH227" s="33" t="n">
        <f aca="false">Source_Data!AH$7+IF($B$225=1,IF(Source_Data!AH$6=Inputs!$B$14,Source_Data!$C$8,0),Source_Data!AH$8)</f>
        <v>25.08917125</v>
      </c>
      <c r="AI227" s="33" t="n">
        <f aca="false">Source_Data!AI$7+IF($B$225=1,IF(Source_Data!AI$6=Inputs!$B$14,Source_Data!$C$8,0),Source_Data!AI$8)</f>
        <v>25.08917125</v>
      </c>
      <c r="AJ227" s="33" t="n">
        <f aca="false">Source_Data!AJ$7+IF($B$225=1,IF(Source_Data!AJ$6=Inputs!$B$14,Source_Data!$C$8,0),Source_Data!AJ$8)</f>
        <v>25.08917125</v>
      </c>
      <c r="AK227" s="33" t="n">
        <f aca="false">Source_Data!AK$7+IF($B$225=1,IF(Source_Data!AK$6=Inputs!$B$14,Source_Data!$C$8,0),Source_Data!AK$8)</f>
        <v>22.905105625</v>
      </c>
      <c r="AL227" s="33" t="n">
        <f aca="false">Source_Data!AL$7+IF($B$225=1,IF(Source_Data!AL$6=Inputs!$B$14,Source_Data!$C$8,0),Source_Data!AL$8)</f>
        <v>22.905105625</v>
      </c>
      <c r="AM227" s="33" t="n">
        <f aca="false">Source_Data!AM$7+IF($B$225=1,IF(Source_Data!AM$6=Inputs!$B$14,Source_Data!$C$8,0),Source_Data!AM$8)</f>
        <v>18.739554375</v>
      </c>
      <c r="AN227" s="33" t="n">
        <f aca="false">Source_Data!AN$7+IF($B$225=1,IF(Source_Data!AN$6=Inputs!$B$14,Source_Data!$C$8,0),Source_Data!AN$8)</f>
        <v>9.6261675</v>
      </c>
      <c r="AO227" s="33" t="n">
        <f aca="false">Source_Data!AO$7+IF($B$225=1,IF(Source_Data!AO$6=Inputs!$B$14,Source_Data!$C$8,0),Source_Data!AO$8)</f>
        <v>3.5704725</v>
      </c>
      <c r="AP227" s="33" t="n">
        <f aca="false">Source_Data!AP$7+IF($B$225=1,IF(Source_Data!AP$6=Inputs!$B$14,Source_Data!$C$8,0),Source_Data!AP$8)</f>
        <v>0</v>
      </c>
      <c r="AQ227" s="33" t="n">
        <f aca="false">Source_Data!AQ$7+IF($B$225=1,IF(Source_Data!AQ$6=Inputs!$B$14,Source_Data!$C$8,0),Source_Data!AQ$8)</f>
        <v>0</v>
      </c>
      <c r="AR227" s="33" t="n">
        <f aca="false">Source_Data!AR$7+IF($B$225=1,IF(Source_Data!AR$6=Inputs!$B$14,Source_Data!$C$8,0),Source_Data!AR$8)</f>
        <v>0</v>
      </c>
      <c r="AS227" s="33" t="n">
        <f aca="false">Source_Data!AS$7+IF($B$225=1,IF(Source_Data!AS$6=Inputs!$B$14,Source_Data!$C$8,0),Source_Data!AS$8)</f>
        <v>0</v>
      </c>
      <c r="AT227" s="33" t="n">
        <f aca="false">Source_Data!AT$7+IF($B$225=1,IF(Source_Data!AT$6=Inputs!$B$14,Source_Data!$C$8,0),Source_Data!AT$8)</f>
        <v>0</v>
      </c>
      <c r="AU227" s="33" t="n">
        <f aca="false">Source_Data!AU$7+IF($B$225=1,IF(Source_Data!AU$6=Inputs!$B$14,Source_Data!$C$8,0),Source_Data!AU$8)</f>
        <v>0</v>
      </c>
      <c r="AV227" s="33" t="n">
        <f aca="false">Source_Data!AV$7+IF($B$225=1,IF(Source_Data!AV$6=Inputs!$B$14,Source_Data!$C$8,0),Source_Data!AV$8)</f>
        <v>0</v>
      </c>
      <c r="AW227" s="33" t="n">
        <f aca="false">Source_Data!AW$7+IF($B$225=1,IF(Source_Data!AW$6=Inputs!$B$14,Source_Data!$C$8,0),Source_Data!AW$8)</f>
        <v>0</v>
      </c>
      <c r="AX227" s="33" t="n">
        <f aca="false">Source_Data!AX$7+IF($B$225=1,IF(Source_Data!AX$6=Inputs!$B$14,Source_Data!$C$8,0),Source_Data!AX$8)</f>
        <v>0</v>
      </c>
      <c r="AY227" s="33" t="n">
        <f aca="false">Source_Data!AY$7+IF($B$225=1,IF(Source_Data!AY$6=Inputs!$B$14,Source_Data!$C$8,0),Source_Data!AY$8)</f>
        <v>0</v>
      </c>
      <c r="AZ227" s="33" t="n">
        <f aca="false">Source_Data!AZ$7+IF($B$225=1,IF(Source_Data!AZ$6=Inputs!$B$14,Source_Data!$C$8,0),Source_Data!AZ$8)</f>
        <v>0</v>
      </c>
      <c r="BA227" s="33" t="n">
        <f aca="false">Source_Data!BA$7+IF($B$225=1,IF(Source_Data!BA$6=Inputs!$B$14,Source_Data!$C$8,0),Source_Data!BA$8)</f>
        <v>0</v>
      </c>
      <c r="BB227" s="33" t="n">
        <f aca="false">Source_Data!BB$7+IF($B$225=1,IF(Source_Data!BB$6=Inputs!$B$14,Source_Data!$C$8,0),Source_Data!BB$8)</f>
        <v>0</v>
      </c>
      <c r="BC227" s="33" t="n">
        <f aca="false">Source_Data!BC$7+IF($B$225=1,IF(Source_Data!BC$6=Inputs!$B$14,Source_Data!$C$8,0),Source_Data!BC$8)</f>
        <v>0</v>
      </c>
      <c r="BD227" s="33" t="n">
        <f aca="false">Source_Data!BD$7+IF($B$225=1,IF(Source_Data!BD$6=Inputs!$B$14,Source_Data!$C$8,0),Source_Data!BD$8)</f>
        <v>0</v>
      </c>
      <c r="BE227" s="33" t="n">
        <f aca="false">Source_Data!BE$7+IF($B$225=1,IF(Source_Data!BE$6=Inputs!$B$14,Source_Data!$C$8,0),Source_Data!BE$8)</f>
        <v>0</v>
      </c>
      <c r="BF227" s="33" t="n">
        <f aca="false">Source_Data!BF$7+IF($B$225=1,IF(Source_Data!BF$6=Inputs!$B$14,Source_Data!$C$8,0),Source_Data!BF$8)</f>
        <v>0</v>
      </c>
      <c r="BG227" s="33" t="n">
        <f aca="false">Source_Data!BG$7+IF($B$225=1,IF(Source_Data!BG$6=Inputs!$B$14,Source_Data!$C$8,0),Source_Data!BG$8)</f>
        <v>0</v>
      </c>
      <c r="BH227" s="33" t="n">
        <f aca="false">Source_Data!BH$7+IF($B$225=1,IF(Source_Data!BH$6=Inputs!$B$14,Source_Data!$C$8,0),Source_Data!BH$8)</f>
        <v>0</v>
      </c>
      <c r="BI227" s="33" t="n">
        <f aca="false">Source_Data!BI$7+IF($B$225=1,IF(Source_Data!BI$6=Inputs!$B$14,Source_Data!$C$8,0),Source_Data!BI$8)</f>
        <v>0</v>
      </c>
      <c r="BJ227" s="33" t="n">
        <f aca="false">Source_Data!BJ$7+IF($B$225=1,IF(Source_Data!BJ$6=Inputs!$B$14,Source_Data!$C$8,0),Source_Data!BJ$8)</f>
        <v>0</v>
      </c>
      <c r="BK227" s="33" t="n">
        <f aca="false">Source_Data!BK$7+IF($B$225=1,IF(Source_Data!BK$6=Inputs!$B$14,Source_Data!$C$8,0),Source_Data!BK$8)</f>
        <v>0</v>
      </c>
    </row>
    <row r="228" customFormat="false" ht="15" hidden="false" customHeight="false" outlineLevel="0" collapsed="false">
      <c r="A228" s="3" t="s">
        <v>215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340</v>
      </c>
      <c r="D229" s="33" t="n">
        <f aca="false">Source_Data!D$9+Source_Data!D$10*IF(Source_Data!$C$10=0,0,MAX(0,Inputs!$B$20*Inputs!$B$23*$B$221-Inputs!$B$21)/Source_Data!$C$10)</f>
        <v>91.25</v>
      </c>
      <c r="E229" s="33" t="n">
        <f aca="false">Source_Data!E$9+Source_Data!E$10*IF(Source_Data!$C$10=0,0,MAX(0,Inputs!$B$20*Inputs!$B$23*$B$221-Inputs!$B$21)/Source_Data!$C$10)</f>
        <v>11.25</v>
      </c>
      <c r="F229" s="33" t="n">
        <f aca="false">Source_Data!F$9+Source_Data!F$10*IF(Source_Data!$C$10=0,0,MAX(0,Inputs!$B$20*Inputs!$B$23*$B$221-Inputs!$B$21)/Source_Data!$C$10)</f>
        <v>11.25</v>
      </c>
      <c r="G229" s="33" t="n">
        <f aca="false">Source_Data!G$9+Source_Data!G$10*IF(Source_Data!$C$10=0,0,MAX(0,Inputs!$B$20*Inputs!$B$23*$B$221-Inputs!$B$21)/Source_Data!$C$10)</f>
        <v>11.25</v>
      </c>
      <c r="H229" s="33" t="n">
        <f aca="false">Source_Data!H$9+Source_Data!H$10*IF(Source_Data!$C$10=0,0,MAX(0,Inputs!$B$20*Inputs!$B$23*$B$221-Inputs!$B$21)/Source_Data!$C$10)</f>
        <v>22.5</v>
      </c>
      <c r="I229" s="33" t="n">
        <f aca="false">Source_Data!I$9+Source_Data!I$10*IF(Source_Data!$C$10=0,0,MAX(0,Inputs!$B$20*Inputs!$B$23*$B$221-Inputs!$B$21)/Source_Data!$C$10)</f>
        <v>22.5</v>
      </c>
      <c r="J229" s="33" t="n">
        <f aca="false">Source_Data!J$9+Source_Data!J$10*IF(Source_Data!$C$10=0,0,MAX(0,Inputs!$B$20*Inputs!$B$23*$B$221-Inputs!$B$21)/Source_Data!$C$10)</f>
        <v>22.5</v>
      </c>
      <c r="K229" s="33" t="n">
        <f aca="false">Source_Data!K$9+Source_Data!K$10*IF(Source_Data!$C$10=0,0,MAX(0,Inputs!$B$20*Inputs!$B$23*$B$221-Inputs!$B$21)/Source_Data!$C$10)</f>
        <v>22.5</v>
      </c>
      <c r="L229" s="33" t="n">
        <f aca="false">Source_Data!L$9+Source_Data!L$10*IF(Source_Data!$C$10=0,0,MAX(0,Inputs!$B$20*Inputs!$B$23*$B$221-Inputs!$B$21)/Source_Data!$C$10)</f>
        <v>33.75</v>
      </c>
      <c r="M229" s="33" t="n">
        <f aca="false">Source_Data!M$9+Source_Data!M$10*IF(Source_Data!$C$10=0,0,MAX(0,Inputs!$B$20*Inputs!$B$23*$B$221-Inputs!$B$21)/Source_Data!$C$10)</f>
        <v>33.75</v>
      </c>
      <c r="N229" s="33" t="n">
        <f aca="false">Source_Data!N$9+Source_Data!N$10*IF(Source_Data!$C$10=0,0,MAX(0,Inputs!$B$20*Inputs!$B$23*$B$221-Inputs!$B$21)/Source_Data!$C$10)</f>
        <v>33.75</v>
      </c>
      <c r="O229" s="33" t="n">
        <f aca="false">Source_Data!O$9+Source_Data!O$10*IF(Source_Data!$C$10=0,0,MAX(0,Inputs!$B$20*Inputs!$B$23*$B$221-Inputs!$B$21)/Source_Data!$C$10)</f>
        <v>33.75</v>
      </c>
      <c r="P229" s="33" t="n">
        <f aca="false">Source_Data!P$9+Source_Data!P$10*IF(Source_Data!$C$10=0,0,MAX(0,Inputs!$B$20*Inputs!$B$23*$B$221-Inputs!$B$21)/Source_Data!$C$10)</f>
        <v>45</v>
      </c>
      <c r="Q229" s="33" t="n">
        <f aca="false">Source_Data!Q$9+Source_Data!Q$10*IF(Source_Data!$C$10=0,0,MAX(0,Inputs!$B$20*Inputs!$B$23*$B$221-Inputs!$B$21)/Source_Data!$C$10)</f>
        <v>45</v>
      </c>
      <c r="R229" s="33" t="n">
        <f aca="false">Source_Data!R$9+Source_Data!R$10*IF(Source_Data!$C$10=0,0,MAX(0,Inputs!$B$20*Inputs!$B$23*$B$221-Inputs!$B$21)/Source_Data!$C$10)</f>
        <v>45</v>
      </c>
      <c r="S229" s="33" t="n">
        <f aca="false">Source_Data!S$9+Source_Data!S$10*IF(Source_Data!$C$10=0,0,MAX(0,Inputs!$B$20*Inputs!$B$23*$B$221-Inputs!$B$21)/Source_Data!$C$10)</f>
        <v>45</v>
      </c>
      <c r="T229" s="33" t="n">
        <f aca="false">Source_Data!T$9+Source_Data!T$10*IF(Source_Data!$C$10=0,0,MAX(0,Inputs!$B$20*Inputs!$B$23*$B$221-Inputs!$B$21)/Source_Data!$C$10)</f>
        <v>45</v>
      </c>
      <c r="U229" s="33" t="n">
        <f aca="false">Source_Data!U$9+Source_Data!U$10*IF(Source_Data!$C$10=0,0,MAX(0,Inputs!$B$20*Inputs!$B$23*$B$221-Inputs!$B$21)/Source_Data!$C$10)</f>
        <v>45</v>
      </c>
      <c r="V229" s="33" t="n">
        <f aca="false">Source_Data!V$9+Source_Data!V$10*IF(Source_Data!$C$10=0,0,MAX(0,Inputs!$B$20*Inputs!$B$23*$B$221-Inputs!$B$21)/Source_Data!$C$10)</f>
        <v>45</v>
      </c>
      <c r="W229" s="33" t="n">
        <f aca="false">Source_Data!W$9+Source_Data!W$10*IF(Source_Data!$C$10=0,0,MAX(0,Inputs!$B$20*Inputs!$B$23*$B$221-Inputs!$B$21)/Source_Data!$C$10)</f>
        <v>45</v>
      </c>
      <c r="X229" s="33" t="n">
        <f aca="false">Source_Data!X$9+Source_Data!X$10*IF(Source_Data!$C$10=0,0,MAX(0,Inputs!$B$20*Inputs!$B$23*$B$221-Inputs!$B$21)/Source_Data!$C$10)</f>
        <v>22.5</v>
      </c>
      <c r="Y229" s="33" t="n">
        <f aca="false">Source_Data!Y$9+Source_Data!Y$10*IF(Source_Data!$C$10=0,0,MAX(0,Inputs!$B$20*Inputs!$B$23*$B$221-Inputs!$B$21)/Source_Data!$C$10)</f>
        <v>22.5</v>
      </c>
      <c r="Z229" s="33" t="n">
        <f aca="false">Source_Data!Z$9+Source_Data!Z$10*IF(Source_Data!$C$10=0,0,MAX(0,Inputs!$B$20*Inputs!$B$23*$B$221-Inputs!$B$21)/Source_Data!$C$10)</f>
        <v>22.5</v>
      </c>
      <c r="AA229" s="33" t="n">
        <f aca="false">Source_Data!AA$9+Source_Data!AA$10*IF(Source_Data!$C$10=0,0,MAX(0,Inputs!$B$20*Inputs!$B$23*$B$221-Inputs!$B$21)/Source_Data!$C$10)</f>
        <v>22.5</v>
      </c>
      <c r="AB229" s="33" t="n">
        <f aca="false">Source_Data!AB$9+Source_Data!AB$10*IF(Source_Data!$C$10=0,0,MAX(0,Inputs!$B$20*Inputs!$B$23*$B$221-Inputs!$B$21)/Source_Data!$C$10)</f>
        <v>0</v>
      </c>
      <c r="AC229" s="33" t="n">
        <f aca="false">Source_Data!AC$9+Source_Data!AC$10*IF(Source_Data!$C$10=0,0,MAX(0,Inputs!$B$20*Inputs!$B$23*$B$221-Inputs!$B$21)/Source_Data!$C$10)</f>
        <v>0</v>
      </c>
      <c r="AD229" s="33" t="n">
        <f aca="false">Source_Data!AD$9+Source_Data!AD$10*IF(Source_Data!$C$10=0,0,MAX(0,Inputs!$B$20*Inputs!$B$23*$B$221-Inputs!$B$21)/Source_Data!$C$10)</f>
        <v>0</v>
      </c>
      <c r="AE229" s="33" t="n">
        <f aca="false">Source_Data!AE$9+Source_Data!AE$10*IF(Source_Data!$C$10=0,0,MAX(0,Inputs!$B$20*Inputs!$B$23*$B$221-Inputs!$B$21)/Source_Data!$C$10)</f>
        <v>0</v>
      </c>
      <c r="AF229" s="33" t="n">
        <f aca="false">Source_Data!AF$9+Source_Data!AF$10*IF(Source_Data!$C$10=0,0,MAX(0,Inputs!$B$20*Inputs!$B$23*$B$221-Inputs!$B$21)/Source_Data!$C$10)</f>
        <v>107.758210351563</v>
      </c>
      <c r="AG229" s="33" t="n">
        <f aca="false">Source_Data!AG$9+Source_Data!AG$10*IF(Source_Data!$C$10=0,0,MAX(0,Inputs!$B$20*Inputs!$B$23*$B$221-Inputs!$B$21)/Source_Data!$C$10)</f>
        <v>10.976512421875</v>
      </c>
      <c r="AH229" s="33" t="n">
        <f aca="false">Source_Data!AH$9+Source_Data!AH$10*IF(Source_Data!$C$10=0,0,MAX(0,Inputs!$B$20*Inputs!$B$23*$B$221-Inputs!$B$21)/Source_Data!$C$10)</f>
        <v>10.976512421875</v>
      </c>
      <c r="AI229" s="33" t="n">
        <f aca="false">Source_Data!AI$9+Source_Data!AI$10*IF(Source_Data!$C$10=0,0,MAX(0,Inputs!$B$20*Inputs!$B$23*$B$221-Inputs!$B$21)/Source_Data!$C$10)</f>
        <v>10.976512421875</v>
      </c>
      <c r="AJ229" s="33" t="n">
        <f aca="false">Source_Data!AJ$9+Source_Data!AJ$10*IF(Source_Data!$C$10=0,0,MAX(0,Inputs!$B$20*Inputs!$B$23*$B$221-Inputs!$B$21)/Source_Data!$C$10)</f>
        <v>10.976512421875</v>
      </c>
      <c r="AK229" s="33" t="n">
        <f aca="false">Source_Data!AK$9+Source_Data!AK$10*IF(Source_Data!$C$10=0,0,MAX(0,Inputs!$B$20*Inputs!$B$23*$B$221-Inputs!$B$21)/Source_Data!$C$10)</f>
        <v>10.0209837109375</v>
      </c>
      <c r="AL229" s="33" t="n">
        <f aca="false">Source_Data!AL$9+Source_Data!AL$10*IF(Source_Data!$C$10=0,0,MAX(0,Inputs!$B$20*Inputs!$B$23*$B$221-Inputs!$B$21)/Source_Data!$C$10)</f>
        <v>10.0209837109375</v>
      </c>
      <c r="AM229" s="33" t="n">
        <f aca="false">Source_Data!AM$9+Source_Data!AM$10*IF(Source_Data!$C$10=0,0,MAX(0,Inputs!$B$20*Inputs!$B$23*$B$221-Inputs!$B$21)/Source_Data!$C$10)</f>
        <v>8.19855503906249</v>
      </c>
      <c r="AN229" s="33" t="n">
        <f aca="false">Source_Data!AN$9+Source_Data!AN$10*IF(Source_Data!$C$10=0,0,MAX(0,Inputs!$B$20*Inputs!$B$23*$B$221-Inputs!$B$21)/Source_Data!$C$10)</f>
        <v>4.21144828125</v>
      </c>
      <c r="AO229" s="33" t="n">
        <f aca="false">Source_Data!AO$9+Source_Data!AO$10*IF(Source_Data!$C$10=0,0,MAX(0,Inputs!$B$20*Inputs!$B$23*$B$221-Inputs!$B$21)/Source_Data!$C$10)</f>
        <v>1.56208171875</v>
      </c>
      <c r="AP229" s="33" t="n">
        <f aca="false">Source_Data!AP$9+Source_Data!AP$10*IF(Source_Data!$C$10=0,0,MAX(0,Inputs!$B$20*Inputs!$B$23*$B$221-Inputs!$B$21)/Source_Data!$C$10)</f>
        <v>0</v>
      </c>
      <c r="AQ229" s="33" t="n">
        <f aca="false">Source_Data!AQ$9+Source_Data!AQ$10*IF(Source_Data!$C$10=0,0,MAX(0,Inputs!$B$20*Inputs!$B$23*$B$221-Inputs!$B$21)/Source_Data!$C$10)</f>
        <v>0</v>
      </c>
      <c r="AR229" s="33" t="n">
        <f aca="false">Source_Data!AR$9+Source_Data!AR$10*IF(Source_Data!$C$10=0,0,MAX(0,Inputs!$B$20*Inputs!$B$23*$B$221-Inputs!$B$21)/Source_Data!$C$10)</f>
        <v>0</v>
      </c>
      <c r="AS229" s="33" t="n">
        <f aca="false">Source_Data!AS$9+Source_Data!AS$10*IF(Source_Data!$C$10=0,0,MAX(0,Inputs!$B$20*Inputs!$B$23*$B$221-Inputs!$B$21)/Source_Data!$C$10)</f>
        <v>0</v>
      </c>
      <c r="AT229" s="33" t="n">
        <f aca="false">Source_Data!AT$9+Source_Data!AT$10*IF(Source_Data!$C$10=0,0,MAX(0,Inputs!$B$20*Inputs!$B$23*$B$221-Inputs!$B$21)/Source_Data!$C$10)</f>
        <v>0</v>
      </c>
      <c r="AU229" s="33" t="n">
        <f aca="false">Source_Data!AU$9+Source_Data!AU$10*IF(Source_Data!$C$10=0,0,MAX(0,Inputs!$B$20*Inputs!$B$23*$B$221-Inputs!$B$21)/Source_Data!$C$10)</f>
        <v>0</v>
      </c>
      <c r="AV229" s="33" t="n">
        <f aca="false">Source_Data!AV$9+Source_Data!AV$10*IF(Source_Data!$C$10=0,0,MAX(0,Inputs!$B$20*Inputs!$B$23*$B$221-Inputs!$B$21)/Source_Data!$C$10)</f>
        <v>0</v>
      </c>
      <c r="AW229" s="33" t="n">
        <f aca="false">Source_Data!AW$9+Source_Data!AW$10*IF(Source_Data!$C$10=0,0,MAX(0,Inputs!$B$20*Inputs!$B$23*$B$221-Inputs!$B$21)/Source_Data!$C$10)</f>
        <v>0</v>
      </c>
      <c r="AX229" s="33" t="n">
        <f aca="false">Source_Data!AX$9+Source_Data!AX$10*IF(Source_Data!$C$10=0,0,MAX(0,Inputs!$B$20*Inputs!$B$23*$B$221-Inputs!$B$21)/Source_Data!$C$10)</f>
        <v>0</v>
      </c>
      <c r="AY229" s="33" t="n">
        <f aca="false">Source_Data!AY$9+Source_Data!AY$10*IF(Source_Data!$C$10=0,0,MAX(0,Inputs!$B$20*Inputs!$B$23*$B$221-Inputs!$B$21)/Source_Data!$C$10)</f>
        <v>0</v>
      </c>
      <c r="AZ229" s="33" t="n">
        <f aca="false">Source_Data!AZ$9+Source_Data!AZ$10*IF(Source_Data!$C$10=0,0,MAX(0,Inputs!$B$20*Inputs!$B$23*$B$221-Inputs!$B$21)/Source_Data!$C$10)</f>
        <v>0</v>
      </c>
      <c r="BA229" s="33" t="n">
        <f aca="false">Source_Data!BA$9+Source_Data!BA$10*IF(Source_Data!$C$10=0,0,MAX(0,Inputs!$B$20*Inputs!$B$23*$B$221-Inputs!$B$21)/Source_Data!$C$10)</f>
        <v>0</v>
      </c>
      <c r="BB229" s="33" t="n">
        <f aca="false">Source_Data!BB$9+Source_Data!BB$10*IF(Source_Data!$C$10=0,0,MAX(0,Inputs!$B$20*Inputs!$B$23*$B$221-Inputs!$B$21)/Source_Data!$C$10)</f>
        <v>0</v>
      </c>
      <c r="BC229" s="33" t="n">
        <f aca="false">Source_Data!BC$9+Source_Data!BC$10*IF(Source_Data!$C$10=0,0,MAX(0,Inputs!$B$20*Inputs!$B$23*$B$221-Inputs!$B$21)/Source_Data!$C$10)</f>
        <v>0</v>
      </c>
      <c r="BD229" s="33" t="n">
        <f aca="false">Source_Data!BD$9+Source_Data!BD$10*IF(Source_Data!$C$10=0,0,MAX(0,Inputs!$B$20*Inputs!$B$23*$B$221-Inputs!$B$21)/Source_Data!$C$10)</f>
        <v>0</v>
      </c>
      <c r="BE229" s="33" t="n">
        <f aca="false">Source_Data!BE$9+Source_Data!BE$10*IF(Source_Data!$C$10=0,0,MAX(0,Inputs!$B$20*Inputs!$B$23*$B$221-Inputs!$B$21)/Source_Data!$C$10)</f>
        <v>0</v>
      </c>
      <c r="BF229" s="33" t="n">
        <f aca="false">Source_Data!BF$9+Source_Data!BF$10*IF(Source_Data!$C$10=0,0,MAX(0,Inputs!$B$20*Inputs!$B$23*$B$221-Inputs!$B$21)/Source_Data!$C$10)</f>
        <v>0</v>
      </c>
      <c r="BG229" s="33" t="n">
        <f aca="false">Source_Data!BG$9+Source_Data!BG$10*IF(Source_Data!$C$10=0,0,MAX(0,Inputs!$B$20*Inputs!$B$23*$B$221-Inputs!$B$21)/Source_Data!$C$10)</f>
        <v>0</v>
      </c>
      <c r="BH229" s="33" t="n">
        <f aca="false">Source_Data!BH$9+Source_Data!BH$10*IF(Source_Data!$C$10=0,0,MAX(0,Inputs!$B$20*Inputs!$B$23*$B$221-Inputs!$B$21)/Source_Data!$C$10)</f>
        <v>0</v>
      </c>
      <c r="BI229" s="33" t="n">
        <f aca="false">Source_Data!BI$9+Source_Data!BI$10*IF(Source_Data!$C$10=0,0,MAX(0,Inputs!$B$20*Inputs!$B$23*$B$221-Inputs!$B$21)/Source_Data!$C$10)</f>
        <v>0</v>
      </c>
      <c r="BJ229" s="33" t="n">
        <f aca="false">Source_Data!BJ$9+Source_Data!BJ$10*IF(Source_Data!$C$10=0,0,MAX(0,Inputs!$B$20*Inputs!$B$23*$B$221-Inputs!$B$21)/Source_Data!$C$10)</f>
        <v>0</v>
      </c>
      <c r="BK229" s="33" t="n">
        <f aca="false">Source_Data!BK$9+Source_Data!BK$10*IF(Source_Data!$C$10=0,0,MAX(0,Inputs!$B$20*Inputs!$B$23*$B$221-Inputs!$B$21)/Source_Data!$C$10)</f>
        <v>0</v>
      </c>
    </row>
    <row r="230" customFormat="false" ht="15" hidden="false" customHeight="false" outlineLevel="0" collapsed="false">
      <c r="A230" s="3" t="s">
        <v>196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198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217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218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219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341</v>
      </c>
      <c r="D235" s="33" t="n">
        <f aca="false">IF(Source_Data!D$6=Inputs!$B$13,-Inputs!$B$7,0)+IF(AND(Source_Data!D$6&gt;=$B$226,Source_Data!D$6&lt;$B$226+3*Inputs!$B$17,MOD(Source_Data!D$6-$B$226,3)=0),Inputs!$B$8*Inputs!$B$7*Inputs!$B$35*$B$221*(1-Inputs!$B$16)/Inputs!$B$17,0)</f>
        <v>-75</v>
      </c>
      <c r="E235" s="33" t="n">
        <f aca="false">IF(Source_Data!E$6=Inputs!$B$13,-Inputs!$B$7,0)+IF(AND(Source_Data!E$6&gt;=$B$226,Source_Data!E$6&lt;$B$226+3*Inputs!$B$17,MOD(Source_Data!E$6-$B$226,3)=0),Inputs!$B$8*Inputs!$B$7*Inputs!$B$35*$B$221*(1-Inputs!$B$16)/Inputs!$B$17,0)</f>
        <v>0</v>
      </c>
      <c r="F235" s="33" t="n">
        <f aca="false">IF(Source_Data!F$6=Inputs!$B$13,-Inputs!$B$7,0)+IF(AND(Source_Data!F$6&gt;=$B$226,Source_Data!F$6&lt;$B$226+3*Inputs!$B$17,MOD(Source_Data!F$6-$B$226,3)=0),Inputs!$B$8*Inputs!$B$7*Inputs!$B$35*$B$221*(1-Inputs!$B$16)/Inputs!$B$17,0)</f>
        <v>0</v>
      </c>
      <c r="G235" s="33" t="n">
        <f aca="false">IF(Source_Data!G$6=Inputs!$B$13,-Inputs!$B$7,0)+IF(AND(Source_Data!G$6&gt;=$B$226,Source_Data!G$6&lt;$B$226+3*Inputs!$B$17,MOD(Source_Data!G$6-$B$226,3)=0),Inputs!$B$8*Inputs!$B$7*Inputs!$B$35*$B$221*(1-Inputs!$B$16)/Inputs!$B$17,0)</f>
        <v>0</v>
      </c>
      <c r="H235" s="33" t="n">
        <f aca="false">IF(Source_Data!H$6=Inputs!$B$13,-Inputs!$B$7,0)+IF(AND(Source_Data!H$6&gt;=$B$226,Source_Data!H$6&lt;$B$226+3*Inputs!$B$17,MOD(Source_Data!H$6-$B$226,3)=0),Inputs!$B$8*Inputs!$B$7*Inputs!$B$35*$B$221*(1-Inputs!$B$16)/Inputs!$B$17,0)</f>
        <v>0</v>
      </c>
      <c r="I235" s="33" t="n">
        <f aca="false">IF(Source_Data!I$6=Inputs!$B$13,-Inputs!$B$7,0)+IF(AND(Source_Data!I$6&gt;=$B$226,Source_Data!I$6&lt;$B$226+3*Inputs!$B$17,MOD(Source_Data!I$6-$B$226,3)=0),Inputs!$B$8*Inputs!$B$7*Inputs!$B$35*$B$221*(1-Inputs!$B$16)/Inputs!$B$17,0)</f>
        <v>0</v>
      </c>
      <c r="J235" s="33" t="n">
        <f aca="false">IF(Source_Data!J$6=Inputs!$B$13,-Inputs!$B$7,0)+IF(AND(Source_Data!J$6&gt;=$B$226,Source_Data!J$6&lt;$B$226+3*Inputs!$B$17,MOD(Source_Data!J$6-$B$226,3)=0),Inputs!$B$8*Inputs!$B$7*Inputs!$B$35*$B$221*(1-Inputs!$B$16)/Inputs!$B$17,0)</f>
        <v>0</v>
      </c>
      <c r="K235" s="33" t="n">
        <f aca="false">IF(Source_Data!K$6=Inputs!$B$13,-Inputs!$B$7,0)+IF(AND(Source_Data!K$6&gt;=$B$226,Source_Data!K$6&lt;$B$226+3*Inputs!$B$17,MOD(Source_Data!K$6-$B$226,3)=0),Inputs!$B$8*Inputs!$B$7*Inputs!$B$35*$B$221*(1-Inputs!$B$16)/Inputs!$B$17,0)</f>
        <v>0</v>
      </c>
      <c r="L235" s="33" t="n">
        <f aca="false">IF(Source_Data!L$6=Inputs!$B$13,-Inputs!$B$7,0)+IF(AND(Source_Data!L$6&gt;=$B$226,Source_Data!L$6&lt;$B$226+3*Inputs!$B$17,MOD(Source_Data!L$6-$B$226,3)=0),Inputs!$B$8*Inputs!$B$7*Inputs!$B$35*$B$221*(1-Inputs!$B$16)/Inputs!$B$17,0)</f>
        <v>0</v>
      </c>
      <c r="M235" s="33" t="n">
        <f aca="false">IF(Source_Data!M$6=Inputs!$B$13,-Inputs!$B$7,0)+IF(AND(Source_Data!M$6&gt;=$B$226,Source_Data!M$6&lt;$B$226+3*Inputs!$B$17,MOD(Source_Data!M$6-$B$226,3)=0),Inputs!$B$8*Inputs!$B$7*Inputs!$B$35*$B$221*(1-Inputs!$B$16)/Inputs!$B$17,0)</f>
        <v>0</v>
      </c>
      <c r="N235" s="33" t="n">
        <f aca="false">IF(Source_Data!N$6=Inputs!$B$13,-Inputs!$B$7,0)+IF(AND(Source_Data!N$6&gt;=$B$226,Source_Data!N$6&lt;$B$226+3*Inputs!$B$17,MOD(Source_Data!N$6-$B$226,3)=0),Inputs!$B$8*Inputs!$B$7*Inputs!$B$35*$B$221*(1-Inputs!$B$16)/Inputs!$B$17,0)</f>
        <v>0</v>
      </c>
      <c r="O235" s="33" t="n">
        <f aca="false">IF(Source_Data!O$6=Inputs!$B$13,-Inputs!$B$7,0)+IF(AND(Source_Data!O$6&gt;=$B$226,Source_Data!O$6&lt;$B$226+3*Inputs!$B$17,MOD(Source_Data!O$6-$B$226,3)=0),Inputs!$B$8*Inputs!$B$7*Inputs!$B$35*$B$221*(1-Inputs!$B$16)/Inputs!$B$17,0)</f>
        <v>0</v>
      </c>
      <c r="P235" s="33" t="n">
        <f aca="false">IF(Source_Data!P$6=Inputs!$B$13,-Inputs!$B$7,0)+IF(AND(Source_Data!P$6&gt;=$B$226,Source_Data!P$6&lt;$B$226+3*Inputs!$B$17,MOD(Source_Data!P$6-$B$226,3)=0),Inputs!$B$8*Inputs!$B$7*Inputs!$B$35*$B$221*(1-Inputs!$B$16)/Inputs!$B$17,0)</f>
        <v>0</v>
      </c>
      <c r="Q235" s="33" t="n">
        <f aca="false">IF(Source_Data!Q$6=Inputs!$B$13,-Inputs!$B$7,0)+IF(AND(Source_Data!Q$6&gt;=$B$226,Source_Data!Q$6&lt;$B$226+3*Inputs!$B$17,MOD(Source_Data!Q$6-$B$226,3)=0),Inputs!$B$8*Inputs!$B$7*Inputs!$B$35*$B$221*(1-Inputs!$B$16)/Inputs!$B$17,0)</f>
        <v>0</v>
      </c>
      <c r="R235" s="33" t="n">
        <f aca="false">IF(Source_Data!R$6=Inputs!$B$13,-Inputs!$B$7,0)+IF(AND(Source_Data!R$6&gt;=$B$226,Source_Data!R$6&lt;$B$226+3*Inputs!$B$17,MOD(Source_Data!R$6-$B$226,3)=0),Inputs!$B$8*Inputs!$B$7*Inputs!$B$35*$B$221*(1-Inputs!$B$16)/Inputs!$B$17,0)</f>
        <v>0</v>
      </c>
      <c r="S235" s="33" t="n">
        <f aca="false">IF(Source_Data!S$6=Inputs!$B$13,-Inputs!$B$7,0)+IF(AND(Source_Data!S$6&gt;=$B$226,Source_Data!S$6&lt;$B$226+3*Inputs!$B$17,MOD(Source_Data!S$6-$B$226,3)=0),Inputs!$B$8*Inputs!$B$7*Inputs!$B$35*$B$221*(1-Inputs!$B$16)/Inputs!$B$17,0)</f>
        <v>0</v>
      </c>
      <c r="T235" s="33" t="n">
        <f aca="false">IF(Source_Data!T$6=Inputs!$B$13,-Inputs!$B$7,0)+IF(AND(Source_Data!T$6&gt;=$B$226,Source_Data!T$6&lt;$B$226+3*Inputs!$B$17,MOD(Source_Data!T$6-$B$226,3)=0),Inputs!$B$8*Inputs!$B$7*Inputs!$B$35*$B$221*(1-Inputs!$B$16)/Inputs!$B$17,0)</f>
        <v>0</v>
      </c>
      <c r="U235" s="33" t="n">
        <f aca="false">IF(Source_Data!U$6=Inputs!$B$13,-Inputs!$B$7,0)+IF(AND(Source_Data!U$6&gt;=$B$226,Source_Data!U$6&lt;$B$226+3*Inputs!$B$17,MOD(Source_Data!U$6-$B$226,3)=0),Inputs!$B$8*Inputs!$B$7*Inputs!$B$35*$B$221*(1-Inputs!$B$16)/Inputs!$B$17,0)</f>
        <v>0</v>
      </c>
      <c r="V235" s="33" t="n">
        <f aca="false">IF(Source_Data!V$6=Inputs!$B$13,-Inputs!$B$7,0)+IF(AND(Source_Data!V$6&gt;=$B$226,Source_Data!V$6&lt;$B$226+3*Inputs!$B$17,MOD(Source_Data!V$6-$B$226,3)=0),Inputs!$B$8*Inputs!$B$7*Inputs!$B$35*$B$221*(1-Inputs!$B$16)/Inputs!$B$17,0)</f>
        <v>0</v>
      </c>
      <c r="W235" s="33" t="n">
        <f aca="false">IF(Source_Data!W$6=Inputs!$B$13,-Inputs!$B$7,0)+IF(AND(Source_Data!W$6&gt;=$B$226,Source_Data!W$6&lt;$B$226+3*Inputs!$B$17,MOD(Source_Data!W$6-$B$226,3)=0),Inputs!$B$8*Inputs!$B$7*Inputs!$B$35*$B$221*(1-Inputs!$B$16)/Inputs!$B$17,0)</f>
        <v>0</v>
      </c>
      <c r="X235" s="33" t="n">
        <f aca="false">IF(Source_Data!X$6=Inputs!$B$13,-Inputs!$B$7,0)+IF(AND(Source_Data!X$6&gt;=$B$226,Source_Data!X$6&lt;$B$226+3*Inputs!$B$17,MOD(Source_Data!X$6-$B$226,3)=0),Inputs!$B$8*Inputs!$B$7*Inputs!$B$35*$B$221*(1-Inputs!$B$16)/Inputs!$B$17,0)</f>
        <v>0</v>
      </c>
      <c r="Y235" s="33" t="n">
        <f aca="false">IF(Source_Data!Y$6=Inputs!$B$13,-Inputs!$B$7,0)+IF(AND(Source_Data!Y$6&gt;=$B$226,Source_Data!Y$6&lt;$B$226+3*Inputs!$B$17,MOD(Source_Data!Y$6-$B$226,3)=0),Inputs!$B$8*Inputs!$B$7*Inputs!$B$35*$B$221*(1-Inputs!$B$16)/Inputs!$B$17,0)</f>
        <v>0</v>
      </c>
      <c r="Z235" s="33" t="n">
        <f aca="false">IF(Source_Data!Z$6=Inputs!$B$13,-Inputs!$B$7,0)+IF(AND(Source_Data!Z$6&gt;=$B$226,Source_Data!Z$6&lt;$B$226+3*Inputs!$B$17,MOD(Source_Data!Z$6-$B$226,3)=0),Inputs!$B$8*Inputs!$B$7*Inputs!$B$35*$B$221*(1-Inputs!$B$16)/Inputs!$B$17,0)</f>
        <v>52.1505376344086</v>
      </c>
      <c r="AA235" s="33" t="n">
        <f aca="false">IF(Source_Data!AA$6=Inputs!$B$13,-Inputs!$B$7,0)+IF(AND(Source_Data!AA$6&gt;=$B$226,Source_Data!AA$6&lt;$B$226+3*Inputs!$B$17,MOD(Source_Data!AA$6-$B$226,3)=0),Inputs!$B$8*Inputs!$B$7*Inputs!$B$35*$B$221*(1-Inputs!$B$16)/Inputs!$B$17,0)</f>
        <v>52.1505376344086</v>
      </c>
      <c r="AB235" s="33" t="n">
        <f aca="false">IF(Source_Data!AB$6=Inputs!$B$13,-Inputs!$B$7,0)+IF(AND(Source_Data!AB$6&gt;=$B$226,Source_Data!AB$6&lt;$B$226+3*Inputs!$B$17,MOD(Source_Data!AB$6-$B$226,3)=0),Inputs!$B$8*Inputs!$B$7*Inputs!$B$35*$B$221*(1-Inputs!$B$16)/Inputs!$B$17,0)</f>
        <v>52.1505376344086</v>
      </c>
      <c r="AC235" s="33" t="n">
        <f aca="false">IF(Source_Data!AC$6=Inputs!$B$13,-Inputs!$B$7,0)+IF(AND(Source_Data!AC$6&gt;=$B$226,Source_Data!AC$6&lt;$B$226+3*Inputs!$B$17,MOD(Source_Data!AC$6-$B$226,3)=0),Inputs!$B$8*Inputs!$B$7*Inputs!$B$35*$B$221*(1-Inputs!$B$16)/Inputs!$B$17,0)</f>
        <v>52.1505376344086</v>
      </c>
      <c r="AD235" s="33" t="n">
        <f aca="false">IF(Source_Data!AD$6=Inputs!$B$13,-Inputs!$B$7,0)+IF(AND(Source_Data!AD$6&gt;=$B$226,Source_Data!AD$6&lt;$B$226+3*Inputs!$B$17,MOD(Source_Data!AD$6-$B$226,3)=0),Inputs!$B$8*Inputs!$B$7*Inputs!$B$35*$B$221*(1-Inputs!$B$16)/Inputs!$B$17,0)</f>
        <v>0</v>
      </c>
      <c r="AE235" s="33" t="n">
        <f aca="false">IF(Source_Data!AE$6=Inputs!$B$13,-Inputs!$B$7,0)+IF(AND(Source_Data!AE$6&gt;=$B$226,Source_Data!AE$6&lt;$B$226+3*Inputs!$B$17,MOD(Source_Data!AE$6-$B$226,3)=0),Inputs!$B$8*Inputs!$B$7*Inputs!$B$35*$B$221*(1-Inputs!$B$16)/Inputs!$B$17,0)</f>
        <v>0</v>
      </c>
      <c r="AF235" s="33" t="n">
        <f aca="false">IF(Source_Data!AF$6=Inputs!$B$13,-Inputs!$B$7,0)+IF(AND(Source_Data!AF$6&gt;=$B$226,Source_Data!AF$6&lt;$B$226+3*Inputs!$B$17,MOD(Source_Data!AF$6-$B$226,3)=0),Inputs!$B$8*Inputs!$B$7*Inputs!$B$35*$B$221*(1-Inputs!$B$16)/Inputs!$B$17,0)</f>
        <v>0</v>
      </c>
      <c r="AG235" s="33" t="n">
        <f aca="false">IF(Source_Data!AG$6=Inputs!$B$13,-Inputs!$B$7,0)+IF(AND(Source_Data!AG$6&gt;=$B$226,Source_Data!AG$6&lt;$B$226+3*Inputs!$B$17,MOD(Source_Data!AG$6-$B$226,3)=0),Inputs!$B$8*Inputs!$B$7*Inputs!$B$35*$B$221*(1-Inputs!$B$16)/Inputs!$B$17,0)</f>
        <v>0</v>
      </c>
      <c r="AH235" s="33" t="n">
        <f aca="false">IF(Source_Data!AH$6=Inputs!$B$13,-Inputs!$B$7,0)+IF(AND(Source_Data!AH$6&gt;=$B$226,Source_Data!AH$6&lt;$B$226+3*Inputs!$B$17,MOD(Source_Data!AH$6-$B$226,3)=0),Inputs!$B$8*Inputs!$B$7*Inputs!$B$35*$B$221*(1-Inputs!$B$16)/Inputs!$B$17,0)</f>
        <v>0</v>
      </c>
      <c r="AI235" s="33" t="n">
        <f aca="false">IF(Source_Data!AI$6=Inputs!$B$13,-Inputs!$B$7,0)+IF(AND(Source_Data!AI$6&gt;=$B$226,Source_Data!AI$6&lt;$B$226+3*Inputs!$B$17,MOD(Source_Data!AI$6-$B$226,3)=0),Inputs!$B$8*Inputs!$B$7*Inputs!$B$35*$B$221*(1-Inputs!$B$16)/Inputs!$B$17,0)</f>
        <v>0</v>
      </c>
      <c r="AJ235" s="33" t="n">
        <f aca="false">IF(Source_Data!AJ$6=Inputs!$B$13,-Inputs!$B$7,0)+IF(AND(Source_Data!AJ$6&gt;=$B$226,Source_Data!AJ$6&lt;$B$226+3*Inputs!$B$17,MOD(Source_Data!AJ$6-$B$226,3)=0),Inputs!$B$8*Inputs!$B$7*Inputs!$B$35*$B$221*(1-Inputs!$B$16)/Inputs!$B$17,0)</f>
        <v>0</v>
      </c>
      <c r="AK235" s="33" t="n">
        <f aca="false">IF(Source_Data!AK$6=Inputs!$B$13,-Inputs!$B$7,0)+IF(AND(Source_Data!AK$6&gt;=$B$226,Source_Data!AK$6&lt;$B$226+3*Inputs!$B$17,MOD(Source_Data!AK$6-$B$226,3)=0),Inputs!$B$8*Inputs!$B$7*Inputs!$B$35*$B$221*(1-Inputs!$B$16)/Inputs!$B$17,0)</f>
        <v>0</v>
      </c>
      <c r="AL235" s="33" t="n">
        <f aca="false">IF(Source_Data!AL$6=Inputs!$B$13,-Inputs!$B$7,0)+IF(AND(Source_Data!AL$6&gt;=$B$226,Source_Data!AL$6&lt;$B$226+3*Inputs!$B$17,MOD(Source_Data!AL$6-$B$226,3)=0),Inputs!$B$8*Inputs!$B$7*Inputs!$B$35*$B$221*(1-Inputs!$B$16)/Inputs!$B$17,0)</f>
        <v>0</v>
      </c>
      <c r="AM235" s="33" t="n">
        <f aca="false">IF(Source_Data!AM$6=Inputs!$B$13,-Inputs!$B$7,0)+IF(AND(Source_Data!AM$6&gt;=$B$226,Source_Data!AM$6&lt;$B$226+3*Inputs!$B$17,MOD(Source_Data!AM$6-$B$226,3)=0),Inputs!$B$8*Inputs!$B$7*Inputs!$B$35*$B$221*(1-Inputs!$B$16)/Inputs!$B$17,0)</f>
        <v>0</v>
      </c>
      <c r="AN235" s="33" t="n">
        <f aca="false">IF(Source_Data!AN$6=Inputs!$B$13,-Inputs!$B$7,0)+IF(AND(Source_Data!AN$6&gt;=$B$226,Source_Data!AN$6&lt;$B$226+3*Inputs!$B$17,MOD(Source_Data!AN$6-$B$226,3)=0),Inputs!$B$8*Inputs!$B$7*Inputs!$B$35*$B$221*(1-Inputs!$B$16)/Inputs!$B$17,0)</f>
        <v>0</v>
      </c>
      <c r="AO235" s="33" t="n">
        <f aca="false">IF(Source_Data!AO$6=Inputs!$B$13,-Inputs!$B$7,0)+IF(AND(Source_Data!AO$6&gt;=$B$226,Source_Data!AO$6&lt;$B$226+3*Inputs!$B$17,MOD(Source_Data!AO$6-$B$226,3)=0),Inputs!$B$8*Inputs!$B$7*Inputs!$B$35*$B$221*(1-Inputs!$B$16)/Inputs!$B$17,0)</f>
        <v>0</v>
      </c>
      <c r="AP235" s="33" t="n">
        <f aca="false">IF(Source_Data!AP$6=Inputs!$B$13,-Inputs!$B$7,0)+IF(AND(Source_Data!AP$6&gt;=$B$226,Source_Data!AP$6&lt;$B$226+3*Inputs!$B$17,MOD(Source_Data!AP$6-$B$226,3)=0),Inputs!$B$8*Inputs!$B$7*Inputs!$B$35*$B$221*(1-Inputs!$B$16)/Inputs!$B$17,0)</f>
        <v>0</v>
      </c>
      <c r="AQ235" s="33" t="n">
        <f aca="false">IF(Source_Data!AQ$6=Inputs!$B$13,-Inputs!$B$7,0)+IF(AND(Source_Data!AQ$6&gt;=$B$226,Source_Data!AQ$6&lt;$B$226+3*Inputs!$B$17,MOD(Source_Data!AQ$6-$B$226,3)=0),Inputs!$B$8*Inputs!$B$7*Inputs!$B$35*$B$221*(1-Inputs!$B$16)/Inputs!$B$17,0)</f>
        <v>0</v>
      </c>
      <c r="AR235" s="33" t="n">
        <f aca="false">IF(Source_Data!AR$6=Inputs!$B$13,-Inputs!$B$7,0)+IF(AND(Source_Data!AR$6&gt;=$B$226,Source_Data!AR$6&lt;$B$226+3*Inputs!$B$17,MOD(Source_Data!AR$6-$B$226,3)=0),Inputs!$B$8*Inputs!$B$7*Inputs!$B$35*$B$221*(1-Inputs!$B$16)/Inputs!$B$17,0)</f>
        <v>0</v>
      </c>
      <c r="AS235" s="33" t="n">
        <f aca="false">IF(Source_Data!AS$6=Inputs!$B$13,-Inputs!$B$7,0)+IF(AND(Source_Data!AS$6&gt;=$B$226,Source_Data!AS$6&lt;$B$226+3*Inputs!$B$17,MOD(Source_Data!AS$6-$B$226,3)=0),Inputs!$B$8*Inputs!$B$7*Inputs!$B$35*$B$221*(1-Inputs!$B$16)/Inputs!$B$17,0)</f>
        <v>0</v>
      </c>
      <c r="AT235" s="33" t="n">
        <f aca="false">IF(Source_Data!AT$6=Inputs!$B$13,-Inputs!$B$7,0)+IF(AND(Source_Data!AT$6&gt;=$B$226,Source_Data!AT$6&lt;$B$226+3*Inputs!$B$17,MOD(Source_Data!AT$6-$B$226,3)=0),Inputs!$B$8*Inputs!$B$7*Inputs!$B$35*$B$221*(1-Inputs!$B$16)/Inputs!$B$17,0)</f>
        <v>0</v>
      </c>
      <c r="AU235" s="33" t="n">
        <f aca="false">IF(Source_Data!AU$6=Inputs!$B$13,-Inputs!$B$7,0)+IF(AND(Source_Data!AU$6&gt;=$B$226,Source_Data!AU$6&lt;$B$226+3*Inputs!$B$17,MOD(Source_Data!AU$6-$B$226,3)=0),Inputs!$B$8*Inputs!$B$7*Inputs!$B$35*$B$221*(1-Inputs!$B$16)/Inputs!$B$17,0)</f>
        <v>0</v>
      </c>
      <c r="AV235" s="33" t="n">
        <f aca="false">IF(Source_Data!AV$6=Inputs!$B$13,-Inputs!$B$7,0)+IF(AND(Source_Data!AV$6&gt;=$B$226,Source_Data!AV$6&lt;$B$226+3*Inputs!$B$17,MOD(Source_Data!AV$6-$B$226,3)=0),Inputs!$B$8*Inputs!$B$7*Inputs!$B$35*$B$221*(1-Inputs!$B$16)/Inputs!$B$17,0)</f>
        <v>0</v>
      </c>
      <c r="AW235" s="33" t="n">
        <f aca="false">IF(Source_Data!AW$6=Inputs!$B$13,-Inputs!$B$7,0)+IF(AND(Source_Data!AW$6&gt;=$B$226,Source_Data!AW$6&lt;$B$226+3*Inputs!$B$17,MOD(Source_Data!AW$6-$B$226,3)=0),Inputs!$B$8*Inputs!$B$7*Inputs!$B$35*$B$221*(1-Inputs!$B$16)/Inputs!$B$17,0)</f>
        <v>0</v>
      </c>
      <c r="AX235" s="33" t="n">
        <f aca="false">IF(Source_Data!AX$6=Inputs!$B$13,-Inputs!$B$7,0)+IF(AND(Source_Data!AX$6&gt;=$B$226,Source_Data!AX$6&lt;$B$226+3*Inputs!$B$17,MOD(Source_Data!AX$6-$B$226,3)=0),Inputs!$B$8*Inputs!$B$7*Inputs!$B$35*$B$221*(1-Inputs!$B$16)/Inputs!$B$17,0)</f>
        <v>0</v>
      </c>
      <c r="AY235" s="33" t="n">
        <f aca="false">IF(Source_Data!AY$6=Inputs!$B$13,-Inputs!$B$7,0)+IF(AND(Source_Data!AY$6&gt;=$B$226,Source_Data!AY$6&lt;$B$226+3*Inputs!$B$17,MOD(Source_Data!AY$6-$B$226,3)=0),Inputs!$B$8*Inputs!$B$7*Inputs!$B$35*$B$221*(1-Inputs!$B$16)/Inputs!$B$17,0)</f>
        <v>0</v>
      </c>
      <c r="AZ235" s="33" t="n">
        <f aca="false">IF(Source_Data!AZ$6=Inputs!$B$13,-Inputs!$B$7,0)+IF(AND(Source_Data!AZ$6&gt;=$B$226,Source_Data!AZ$6&lt;$B$226+3*Inputs!$B$17,MOD(Source_Data!AZ$6-$B$226,3)=0),Inputs!$B$8*Inputs!$B$7*Inputs!$B$35*$B$221*(1-Inputs!$B$16)/Inputs!$B$17,0)</f>
        <v>0</v>
      </c>
      <c r="BA235" s="33" t="n">
        <f aca="false">IF(Source_Data!BA$6=Inputs!$B$13,-Inputs!$B$7,0)+IF(AND(Source_Data!BA$6&gt;=$B$226,Source_Data!BA$6&lt;$B$226+3*Inputs!$B$17,MOD(Source_Data!BA$6-$B$226,3)=0),Inputs!$B$8*Inputs!$B$7*Inputs!$B$35*$B$221*(1-Inputs!$B$16)/Inputs!$B$17,0)</f>
        <v>0</v>
      </c>
      <c r="BB235" s="33" t="n">
        <f aca="false">IF(Source_Data!BB$6=Inputs!$B$13,-Inputs!$B$7,0)+IF(AND(Source_Data!BB$6&gt;=$B$226,Source_Data!BB$6&lt;$B$226+3*Inputs!$B$17,MOD(Source_Data!BB$6-$B$226,3)=0),Inputs!$B$8*Inputs!$B$7*Inputs!$B$35*$B$221*(1-Inputs!$B$16)/Inputs!$B$17,0)</f>
        <v>0</v>
      </c>
      <c r="BC235" s="33" t="n">
        <f aca="false">IF(Source_Data!BC$6=Inputs!$B$13,-Inputs!$B$7,0)+IF(AND(Source_Data!BC$6&gt;=$B$226,Source_Data!BC$6&lt;$B$226+3*Inputs!$B$17,MOD(Source_Data!BC$6-$B$226,3)=0),Inputs!$B$8*Inputs!$B$7*Inputs!$B$35*$B$221*(1-Inputs!$B$16)/Inputs!$B$17,0)</f>
        <v>0</v>
      </c>
      <c r="BD235" s="33" t="n">
        <f aca="false">IF(Source_Data!BD$6=Inputs!$B$13,-Inputs!$B$7,0)+IF(AND(Source_Data!BD$6&gt;=$B$226,Source_Data!BD$6&lt;$B$226+3*Inputs!$B$17,MOD(Source_Data!BD$6-$B$226,3)=0),Inputs!$B$8*Inputs!$B$7*Inputs!$B$35*$B$221*(1-Inputs!$B$16)/Inputs!$B$17,0)</f>
        <v>0</v>
      </c>
      <c r="BE235" s="33" t="n">
        <f aca="false">IF(Source_Data!BE$6=Inputs!$B$13,-Inputs!$B$7,0)+IF(AND(Source_Data!BE$6&gt;=$B$226,Source_Data!BE$6&lt;$B$226+3*Inputs!$B$17,MOD(Source_Data!BE$6-$B$226,3)=0),Inputs!$B$8*Inputs!$B$7*Inputs!$B$35*$B$221*(1-Inputs!$B$16)/Inputs!$B$17,0)</f>
        <v>0</v>
      </c>
      <c r="BF235" s="33" t="n">
        <f aca="false">IF(Source_Data!BF$6=Inputs!$B$13,-Inputs!$B$7,0)+IF(AND(Source_Data!BF$6&gt;=$B$226,Source_Data!BF$6&lt;$B$226+3*Inputs!$B$17,MOD(Source_Data!BF$6-$B$226,3)=0),Inputs!$B$8*Inputs!$B$7*Inputs!$B$35*$B$221*(1-Inputs!$B$16)/Inputs!$B$17,0)</f>
        <v>0</v>
      </c>
      <c r="BG235" s="33" t="n">
        <f aca="false">IF(Source_Data!BG$6=Inputs!$B$13,-Inputs!$B$7,0)+IF(AND(Source_Data!BG$6&gt;=$B$226,Source_Data!BG$6&lt;$B$226+3*Inputs!$B$17,MOD(Source_Data!BG$6-$B$226,3)=0),Inputs!$B$8*Inputs!$B$7*Inputs!$B$35*$B$221*(1-Inputs!$B$16)/Inputs!$B$17,0)</f>
        <v>0</v>
      </c>
      <c r="BH235" s="33" t="n">
        <f aca="false">IF(Source_Data!BH$6=Inputs!$B$13,-Inputs!$B$7,0)+IF(AND(Source_Data!BH$6&gt;=$B$226,Source_Data!BH$6&lt;$B$226+3*Inputs!$B$17,MOD(Source_Data!BH$6-$B$226,3)=0),Inputs!$B$8*Inputs!$B$7*Inputs!$B$35*$B$221*(1-Inputs!$B$16)/Inputs!$B$17,0)</f>
        <v>0</v>
      </c>
      <c r="BI235" s="33" t="n">
        <f aca="false">IF(Source_Data!BI$6=Inputs!$B$13,-Inputs!$B$7,0)+IF(AND(Source_Data!BI$6&gt;=$B$226,Source_Data!BI$6&lt;$B$226+3*Inputs!$B$17,MOD(Source_Data!BI$6-$B$226,3)=0),Inputs!$B$8*Inputs!$B$7*Inputs!$B$35*$B$221*(1-Inputs!$B$16)/Inputs!$B$17,0)</f>
        <v>0</v>
      </c>
      <c r="BJ235" s="33" t="n">
        <f aca="false">IF(Source_Data!BJ$6=Inputs!$B$13,-Inputs!$B$7,0)+IF(AND(Source_Data!BJ$6&gt;=$B$226,Source_Data!BJ$6&lt;$B$226+3*Inputs!$B$17,MOD(Source_Data!BJ$6-$B$226,3)=0),Inputs!$B$8*Inputs!$B$7*Inputs!$B$35*$B$221*(1-Inputs!$B$16)/Inputs!$B$17,0)</f>
        <v>0</v>
      </c>
      <c r="BK235" s="33" t="n">
        <f aca="false">IF(Source_Data!BK$6=Inputs!$B$13,-Inputs!$B$7,0)+IF(AND(Source_Data!BK$6&gt;=$B$226,Source_Data!BK$6&lt;$B$226+3*Inputs!$B$17,MOD(Source_Data!BK$6-$B$226,3)=0),Inputs!$B$8*Inputs!$B$7*Inputs!$B$35*$B$221*(1-Inputs!$B$16)/Inputs!$B$17,0)</f>
        <v>0</v>
      </c>
    </row>
    <row r="236" customFormat="false" ht="15" hidden="false" customHeight="false" outlineLevel="0" collapsed="false">
      <c r="A236" s="3" t="s">
        <v>342</v>
      </c>
      <c r="D236" s="33" t="n">
        <f aca="false">IF(AND(Source_Data!D$6&gt;=Inputs!$B$55,Source_Data!D$6&lt;Inputs!$B$55+3*Inputs!$B$11),Inputs!$B$9*Inputs!$B$7/Inputs!$B$11,0)</f>
        <v>0</v>
      </c>
      <c r="E236" s="33" t="n">
        <f aca="false">IF(AND(Source_Data!E$6&gt;=Inputs!$B$55,Source_Data!E$6&lt;Inputs!$B$55+3*Inputs!$B$11),Inputs!$B$9*Inputs!$B$7/Inputs!$B$11,0)</f>
        <v>0</v>
      </c>
      <c r="F236" s="33" t="n">
        <f aca="false">IF(AND(Source_Data!F$6&gt;=Inputs!$B$55,Source_Data!F$6&lt;Inputs!$B$55+3*Inputs!$B$11),Inputs!$B$9*Inputs!$B$7/Inputs!$B$11,0)</f>
        <v>0</v>
      </c>
      <c r="G236" s="33" t="n">
        <f aca="false">IF(AND(Source_Data!G$6&gt;=Inputs!$B$55,Source_Data!G$6&lt;Inputs!$B$55+3*Inputs!$B$11),Inputs!$B$9*Inputs!$B$7/Inputs!$B$11,0)</f>
        <v>0</v>
      </c>
      <c r="H236" s="33" t="n">
        <f aca="false">IF(AND(Source_Data!H$6&gt;=Inputs!$B$55,Source_Data!H$6&lt;Inputs!$B$55+3*Inputs!$B$11),Inputs!$B$9*Inputs!$B$7/Inputs!$B$11,0)</f>
        <v>0</v>
      </c>
      <c r="I236" s="33" t="n">
        <f aca="false">IF(AND(Source_Data!I$6&gt;=Inputs!$B$55,Source_Data!I$6&lt;Inputs!$B$55+3*Inputs!$B$11),Inputs!$B$9*Inputs!$B$7/Inputs!$B$11,0)</f>
        <v>0</v>
      </c>
      <c r="J236" s="33" t="n">
        <f aca="false">IF(AND(Source_Data!J$6&gt;=Inputs!$B$55,Source_Data!J$6&lt;Inputs!$B$55+3*Inputs!$B$11),Inputs!$B$9*Inputs!$B$7/Inputs!$B$11,0)</f>
        <v>0</v>
      </c>
      <c r="K236" s="33" t="n">
        <f aca="false">IF(AND(Source_Data!K$6&gt;=Inputs!$B$55,Source_Data!K$6&lt;Inputs!$B$55+3*Inputs!$B$11),Inputs!$B$9*Inputs!$B$7/Inputs!$B$11,0)</f>
        <v>0</v>
      </c>
      <c r="L236" s="33" t="n">
        <f aca="false">IF(AND(Source_Data!L$6&gt;=Inputs!$B$55,Source_Data!L$6&lt;Inputs!$B$55+3*Inputs!$B$11),Inputs!$B$9*Inputs!$B$7/Inputs!$B$11,0)</f>
        <v>0</v>
      </c>
      <c r="M236" s="33" t="n">
        <f aca="false">IF(AND(Source_Data!M$6&gt;=Inputs!$B$55,Source_Data!M$6&lt;Inputs!$B$55+3*Inputs!$B$11),Inputs!$B$9*Inputs!$B$7/Inputs!$B$11,0)</f>
        <v>14.375</v>
      </c>
      <c r="N236" s="33" t="n">
        <f aca="false">IF(AND(Source_Data!N$6&gt;=Inputs!$B$55,Source_Data!N$6&lt;Inputs!$B$55+3*Inputs!$B$11),Inputs!$B$9*Inputs!$B$7/Inputs!$B$11,0)</f>
        <v>14.375</v>
      </c>
      <c r="O236" s="33" t="n">
        <f aca="false">IF(AND(Source_Data!O$6&gt;=Inputs!$B$55,Source_Data!O$6&lt;Inputs!$B$55+3*Inputs!$B$11),Inputs!$B$9*Inputs!$B$7/Inputs!$B$11,0)</f>
        <v>14.375</v>
      </c>
      <c r="P236" s="33" t="n">
        <f aca="false">IF(AND(Source_Data!P$6&gt;=Inputs!$B$55,Source_Data!P$6&lt;Inputs!$B$55+3*Inputs!$B$11),Inputs!$B$9*Inputs!$B$7/Inputs!$B$11,0)</f>
        <v>14.375</v>
      </c>
      <c r="Q236" s="33" t="n">
        <f aca="false">IF(AND(Source_Data!Q$6&gt;=Inputs!$B$55,Source_Data!Q$6&lt;Inputs!$B$55+3*Inputs!$B$11),Inputs!$B$9*Inputs!$B$7/Inputs!$B$11,0)</f>
        <v>14.375</v>
      </c>
      <c r="R236" s="33" t="n">
        <f aca="false">IF(AND(Source_Data!R$6&gt;=Inputs!$B$55,Source_Data!R$6&lt;Inputs!$B$55+3*Inputs!$B$11),Inputs!$B$9*Inputs!$B$7/Inputs!$B$11,0)</f>
        <v>14.375</v>
      </c>
      <c r="S236" s="33" t="n">
        <f aca="false">IF(AND(Source_Data!S$6&gt;=Inputs!$B$55,Source_Data!S$6&lt;Inputs!$B$55+3*Inputs!$B$11),Inputs!$B$9*Inputs!$B$7/Inputs!$B$11,0)</f>
        <v>14.375</v>
      </c>
      <c r="T236" s="33" t="n">
        <f aca="false">IF(AND(Source_Data!T$6&gt;=Inputs!$B$55,Source_Data!T$6&lt;Inputs!$B$55+3*Inputs!$B$11),Inputs!$B$9*Inputs!$B$7/Inputs!$B$11,0)</f>
        <v>14.375</v>
      </c>
      <c r="U236" s="33" t="n">
        <f aca="false">IF(AND(Source_Data!U$6&gt;=Inputs!$B$55,Source_Data!U$6&lt;Inputs!$B$55+3*Inputs!$B$11),Inputs!$B$9*Inputs!$B$7/Inputs!$B$11,0)</f>
        <v>14.375</v>
      </c>
      <c r="V236" s="33" t="n">
        <f aca="false">IF(AND(Source_Data!V$6&gt;=Inputs!$B$55,Source_Data!V$6&lt;Inputs!$B$55+3*Inputs!$B$11),Inputs!$B$9*Inputs!$B$7/Inputs!$B$11,0)</f>
        <v>14.375</v>
      </c>
      <c r="W236" s="33" t="n">
        <f aca="false">IF(AND(Source_Data!W$6&gt;=Inputs!$B$55,Source_Data!W$6&lt;Inputs!$B$55+3*Inputs!$B$11),Inputs!$B$9*Inputs!$B$7/Inputs!$B$11,0)</f>
        <v>14.375</v>
      </c>
      <c r="X236" s="33" t="n">
        <f aca="false">IF(AND(Source_Data!X$6&gt;=Inputs!$B$55,Source_Data!X$6&lt;Inputs!$B$55+3*Inputs!$B$11),Inputs!$B$9*Inputs!$B$7/Inputs!$B$11,0)</f>
        <v>14.375</v>
      </c>
      <c r="Y236" s="33" t="n">
        <f aca="false">IF(AND(Source_Data!Y$6&gt;=Inputs!$B$55,Source_Data!Y$6&lt;Inputs!$B$55+3*Inputs!$B$11),Inputs!$B$9*Inputs!$B$7/Inputs!$B$11,0)</f>
        <v>0</v>
      </c>
      <c r="Z236" s="33" t="n">
        <f aca="false">IF(AND(Source_Data!Z$6&gt;=Inputs!$B$55,Source_Data!Z$6&lt;Inputs!$B$55+3*Inputs!$B$11),Inputs!$B$9*Inputs!$B$7/Inputs!$B$11,0)</f>
        <v>0</v>
      </c>
      <c r="AA236" s="33" t="n">
        <f aca="false">IF(AND(Source_Data!AA$6&gt;=Inputs!$B$55,Source_Data!AA$6&lt;Inputs!$B$55+3*Inputs!$B$11),Inputs!$B$9*Inputs!$B$7/Inputs!$B$11,0)</f>
        <v>0</v>
      </c>
      <c r="AB236" s="33" t="n">
        <f aca="false">IF(AND(Source_Data!AB$6&gt;=Inputs!$B$55,Source_Data!AB$6&lt;Inputs!$B$55+3*Inputs!$B$11),Inputs!$B$9*Inputs!$B$7/Inputs!$B$11,0)</f>
        <v>0</v>
      </c>
      <c r="AC236" s="33" t="n">
        <f aca="false">IF(AND(Source_Data!AC$6&gt;=Inputs!$B$55,Source_Data!AC$6&lt;Inputs!$B$55+3*Inputs!$B$11),Inputs!$B$9*Inputs!$B$7/Inputs!$B$11,0)</f>
        <v>0</v>
      </c>
      <c r="AD236" s="33" t="n">
        <f aca="false">IF(AND(Source_Data!AD$6&gt;=Inputs!$B$55,Source_Data!AD$6&lt;Inputs!$B$55+3*Inputs!$B$11),Inputs!$B$9*Inputs!$B$7/Inputs!$B$11,0)</f>
        <v>0</v>
      </c>
      <c r="AE236" s="33" t="n">
        <f aca="false">IF(AND(Source_Data!AE$6&gt;=Inputs!$B$55,Source_Data!AE$6&lt;Inputs!$B$55+3*Inputs!$B$11),Inputs!$B$9*Inputs!$B$7/Inputs!$B$11,0)</f>
        <v>0</v>
      </c>
      <c r="AF236" s="33" t="n">
        <f aca="false">IF(AND(Source_Data!AF$6&gt;=Inputs!$B$55,Source_Data!AF$6&lt;Inputs!$B$55+3*Inputs!$B$11),Inputs!$B$9*Inputs!$B$7/Inputs!$B$11,0)</f>
        <v>0</v>
      </c>
      <c r="AG236" s="33" t="n">
        <f aca="false">IF(AND(Source_Data!AG$6&gt;=Inputs!$B$55,Source_Data!AG$6&lt;Inputs!$B$55+3*Inputs!$B$11),Inputs!$B$9*Inputs!$B$7/Inputs!$B$11,0)</f>
        <v>0</v>
      </c>
      <c r="AH236" s="33" t="n">
        <f aca="false">IF(AND(Source_Data!AH$6&gt;=Inputs!$B$55,Source_Data!AH$6&lt;Inputs!$B$55+3*Inputs!$B$11),Inputs!$B$9*Inputs!$B$7/Inputs!$B$11,0)</f>
        <v>0</v>
      </c>
      <c r="AI236" s="33" t="n">
        <f aca="false">IF(AND(Source_Data!AI$6&gt;=Inputs!$B$55,Source_Data!AI$6&lt;Inputs!$B$55+3*Inputs!$B$11),Inputs!$B$9*Inputs!$B$7/Inputs!$B$11,0)</f>
        <v>0</v>
      </c>
      <c r="AJ236" s="33" t="n">
        <f aca="false">IF(AND(Source_Data!AJ$6&gt;=Inputs!$B$55,Source_Data!AJ$6&lt;Inputs!$B$55+3*Inputs!$B$11),Inputs!$B$9*Inputs!$B$7/Inputs!$B$11,0)</f>
        <v>0</v>
      </c>
      <c r="AK236" s="33" t="n">
        <f aca="false">IF(AND(Source_Data!AK$6&gt;=Inputs!$B$55,Source_Data!AK$6&lt;Inputs!$B$55+3*Inputs!$B$11),Inputs!$B$9*Inputs!$B$7/Inputs!$B$11,0)</f>
        <v>0</v>
      </c>
      <c r="AL236" s="33" t="n">
        <f aca="false">IF(AND(Source_Data!AL$6&gt;=Inputs!$B$55,Source_Data!AL$6&lt;Inputs!$B$55+3*Inputs!$B$11),Inputs!$B$9*Inputs!$B$7/Inputs!$B$11,0)</f>
        <v>0</v>
      </c>
      <c r="AM236" s="33" t="n">
        <f aca="false">IF(AND(Source_Data!AM$6&gt;=Inputs!$B$55,Source_Data!AM$6&lt;Inputs!$B$55+3*Inputs!$B$11),Inputs!$B$9*Inputs!$B$7/Inputs!$B$11,0)</f>
        <v>0</v>
      </c>
      <c r="AN236" s="33" t="n">
        <f aca="false">IF(AND(Source_Data!AN$6&gt;=Inputs!$B$55,Source_Data!AN$6&lt;Inputs!$B$55+3*Inputs!$B$11),Inputs!$B$9*Inputs!$B$7/Inputs!$B$11,0)</f>
        <v>0</v>
      </c>
      <c r="AO236" s="33" t="n">
        <f aca="false">IF(AND(Source_Data!AO$6&gt;=Inputs!$B$55,Source_Data!AO$6&lt;Inputs!$B$55+3*Inputs!$B$11),Inputs!$B$9*Inputs!$B$7/Inputs!$B$11,0)</f>
        <v>0</v>
      </c>
      <c r="AP236" s="33" t="n">
        <f aca="false">IF(AND(Source_Data!AP$6&gt;=Inputs!$B$55,Source_Data!AP$6&lt;Inputs!$B$55+3*Inputs!$B$11),Inputs!$B$9*Inputs!$B$7/Inputs!$B$11,0)</f>
        <v>0</v>
      </c>
      <c r="AQ236" s="33" t="n">
        <f aca="false">IF(AND(Source_Data!AQ$6&gt;=Inputs!$B$55,Source_Data!AQ$6&lt;Inputs!$B$55+3*Inputs!$B$11),Inputs!$B$9*Inputs!$B$7/Inputs!$B$11,0)</f>
        <v>0</v>
      </c>
      <c r="AR236" s="33" t="n">
        <f aca="false">IF(AND(Source_Data!AR$6&gt;=Inputs!$B$55,Source_Data!AR$6&lt;Inputs!$B$55+3*Inputs!$B$11),Inputs!$B$9*Inputs!$B$7/Inputs!$B$11,0)</f>
        <v>0</v>
      </c>
      <c r="AS236" s="33" t="n">
        <f aca="false">IF(AND(Source_Data!AS$6&gt;=Inputs!$B$55,Source_Data!AS$6&lt;Inputs!$B$55+3*Inputs!$B$11),Inputs!$B$9*Inputs!$B$7/Inputs!$B$11,0)</f>
        <v>0</v>
      </c>
      <c r="AT236" s="33" t="n">
        <f aca="false">IF(AND(Source_Data!AT$6&gt;=Inputs!$B$55,Source_Data!AT$6&lt;Inputs!$B$55+3*Inputs!$B$11),Inputs!$B$9*Inputs!$B$7/Inputs!$B$11,0)</f>
        <v>0</v>
      </c>
      <c r="AU236" s="33" t="n">
        <f aca="false">IF(AND(Source_Data!AU$6&gt;=Inputs!$B$55,Source_Data!AU$6&lt;Inputs!$B$55+3*Inputs!$B$11),Inputs!$B$9*Inputs!$B$7/Inputs!$B$11,0)</f>
        <v>0</v>
      </c>
      <c r="AV236" s="33" t="n">
        <f aca="false">IF(AND(Source_Data!AV$6&gt;=Inputs!$B$55,Source_Data!AV$6&lt;Inputs!$B$55+3*Inputs!$B$11),Inputs!$B$9*Inputs!$B$7/Inputs!$B$11,0)</f>
        <v>0</v>
      </c>
      <c r="AW236" s="33" t="n">
        <f aca="false">IF(AND(Source_Data!AW$6&gt;=Inputs!$B$55,Source_Data!AW$6&lt;Inputs!$B$55+3*Inputs!$B$11),Inputs!$B$9*Inputs!$B$7/Inputs!$B$11,0)</f>
        <v>0</v>
      </c>
      <c r="AX236" s="33" t="n">
        <f aca="false">IF(AND(Source_Data!AX$6&gt;=Inputs!$B$55,Source_Data!AX$6&lt;Inputs!$B$55+3*Inputs!$B$11),Inputs!$B$9*Inputs!$B$7/Inputs!$B$11,0)</f>
        <v>0</v>
      </c>
      <c r="AY236" s="33" t="n">
        <f aca="false">IF(AND(Source_Data!AY$6&gt;=Inputs!$B$55,Source_Data!AY$6&lt;Inputs!$B$55+3*Inputs!$B$11),Inputs!$B$9*Inputs!$B$7/Inputs!$B$11,0)</f>
        <v>0</v>
      </c>
      <c r="AZ236" s="33" t="n">
        <f aca="false">IF(AND(Source_Data!AZ$6&gt;=Inputs!$B$55,Source_Data!AZ$6&lt;Inputs!$B$55+3*Inputs!$B$11),Inputs!$B$9*Inputs!$B$7/Inputs!$B$11,0)</f>
        <v>0</v>
      </c>
      <c r="BA236" s="33" t="n">
        <f aca="false">IF(AND(Source_Data!BA$6&gt;=Inputs!$B$55,Source_Data!BA$6&lt;Inputs!$B$55+3*Inputs!$B$11),Inputs!$B$9*Inputs!$B$7/Inputs!$B$11,0)</f>
        <v>0</v>
      </c>
      <c r="BB236" s="33" t="n">
        <f aca="false">IF(AND(Source_Data!BB$6&gt;=Inputs!$B$55,Source_Data!BB$6&lt;Inputs!$B$55+3*Inputs!$B$11),Inputs!$B$9*Inputs!$B$7/Inputs!$B$11,0)</f>
        <v>0</v>
      </c>
      <c r="BC236" s="33" t="n">
        <f aca="false">IF(AND(Source_Data!BC$6&gt;=Inputs!$B$55,Source_Data!BC$6&lt;Inputs!$B$55+3*Inputs!$B$11),Inputs!$B$9*Inputs!$B$7/Inputs!$B$11,0)</f>
        <v>0</v>
      </c>
      <c r="BD236" s="33" t="n">
        <f aca="false">IF(AND(Source_Data!BD$6&gt;=Inputs!$B$55,Source_Data!BD$6&lt;Inputs!$B$55+3*Inputs!$B$11),Inputs!$B$9*Inputs!$B$7/Inputs!$B$11,0)</f>
        <v>0</v>
      </c>
      <c r="BE236" s="33" t="n">
        <f aca="false">IF(AND(Source_Data!BE$6&gt;=Inputs!$B$55,Source_Data!BE$6&lt;Inputs!$B$55+3*Inputs!$B$11),Inputs!$B$9*Inputs!$B$7/Inputs!$B$11,0)</f>
        <v>0</v>
      </c>
      <c r="BF236" s="33" t="n">
        <f aca="false">IF(AND(Source_Data!BF$6&gt;=Inputs!$B$55,Source_Data!BF$6&lt;Inputs!$B$55+3*Inputs!$B$11),Inputs!$B$9*Inputs!$B$7/Inputs!$B$11,0)</f>
        <v>0</v>
      </c>
      <c r="BG236" s="33" t="n">
        <f aca="false">IF(AND(Source_Data!BG$6&gt;=Inputs!$B$55,Source_Data!BG$6&lt;Inputs!$B$55+3*Inputs!$B$11),Inputs!$B$9*Inputs!$B$7/Inputs!$B$11,0)</f>
        <v>0</v>
      </c>
      <c r="BH236" s="33" t="n">
        <f aca="false">IF(AND(Source_Data!BH$6&gt;=Inputs!$B$55,Source_Data!BH$6&lt;Inputs!$B$55+3*Inputs!$B$11),Inputs!$B$9*Inputs!$B$7/Inputs!$B$11,0)</f>
        <v>0</v>
      </c>
      <c r="BI236" s="33" t="n">
        <f aca="false">IF(AND(Source_Data!BI$6&gt;=Inputs!$B$55,Source_Data!BI$6&lt;Inputs!$B$55+3*Inputs!$B$11),Inputs!$B$9*Inputs!$B$7/Inputs!$B$11,0)</f>
        <v>0</v>
      </c>
      <c r="BJ236" s="33" t="n">
        <f aca="false">IF(AND(Source_Data!BJ$6&gt;=Inputs!$B$55,Source_Data!BJ$6&lt;Inputs!$B$55+3*Inputs!$B$11),Inputs!$B$9*Inputs!$B$7/Inputs!$B$11,0)</f>
        <v>0</v>
      </c>
      <c r="BK236" s="33" t="n">
        <f aca="false">IF(AND(Source_Data!BK$6&gt;=Inputs!$B$55,Source_Data!BK$6&lt;Inputs!$B$55+3*Inputs!$B$11),Inputs!$B$9*Inputs!$B$7/Inputs!$B$11,0)</f>
        <v>0</v>
      </c>
    </row>
    <row r="237" customFormat="false" ht="15" hidden="false" customHeight="false" outlineLevel="0" collapsed="false">
      <c r="A237" s="3" t="s">
        <v>343</v>
      </c>
      <c r="D237" s="33" t="n">
        <f aca="false">IF(Source_Data!D$6=Inputs!$B$13,-Inputs!$B$7,0)+D236</f>
        <v>-75</v>
      </c>
      <c r="E237" s="33" t="n">
        <f aca="false">IF(Source_Data!E$6=Inputs!$B$13,-Inputs!$B$7,0)+E236</f>
        <v>0</v>
      </c>
      <c r="F237" s="33" t="n">
        <f aca="false">IF(Source_Data!F$6=Inputs!$B$13,-Inputs!$B$7,0)+F236</f>
        <v>0</v>
      </c>
      <c r="G237" s="33" t="n">
        <f aca="false">IF(Source_Data!G$6=Inputs!$B$13,-Inputs!$B$7,0)+G236</f>
        <v>0</v>
      </c>
      <c r="H237" s="33" t="n">
        <f aca="false">IF(Source_Data!H$6=Inputs!$B$13,-Inputs!$B$7,0)+H236</f>
        <v>0</v>
      </c>
      <c r="I237" s="33" t="n">
        <f aca="false">IF(Source_Data!I$6=Inputs!$B$13,-Inputs!$B$7,0)+I236</f>
        <v>0</v>
      </c>
      <c r="J237" s="33" t="n">
        <f aca="false">IF(Source_Data!J$6=Inputs!$B$13,-Inputs!$B$7,0)+J236</f>
        <v>0</v>
      </c>
      <c r="K237" s="33" t="n">
        <f aca="false">IF(Source_Data!K$6=Inputs!$B$13,-Inputs!$B$7,0)+K236</f>
        <v>0</v>
      </c>
      <c r="L237" s="33" t="n">
        <f aca="false">IF(Source_Data!L$6=Inputs!$B$13,-Inputs!$B$7,0)+L236</f>
        <v>0</v>
      </c>
      <c r="M237" s="33" t="n">
        <f aca="false">IF(Source_Data!M$6=Inputs!$B$13,-Inputs!$B$7,0)+M236</f>
        <v>14.375</v>
      </c>
      <c r="N237" s="33" t="n">
        <f aca="false">IF(Source_Data!N$6=Inputs!$B$13,-Inputs!$B$7,0)+N236</f>
        <v>14.375</v>
      </c>
      <c r="O237" s="33" t="n">
        <f aca="false">IF(Source_Data!O$6=Inputs!$B$13,-Inputs!$B$7,0)+O236</f>
        <v>14.375</v>
      </c>
      <c r="P237" s="33" t="n">
        <f aca="false">IF(Source_Data!P$6=Inputs!$B$13,-Inputs!$B$7,0)+P236</f>
        <v>14.375</v>
      </c>
      <c r="Q237" s="33" t="n">
        <f aca="false">IF(Source_Data!Q$6=Inputs!$B$13,-Inputs!$B$7,0)+Q236</f>
        <v>14.375</v>
      </c>
      <c r="R237" s="33" t="n">
        <f aca="false">IF(Source_Data!R$6=Inputs!$B$13,-Inputs!$B$7,0)+R236</f>
        <v>14.375</v>
      </c>
      <c r="S237" s="33" t="n">
        <f aca="false">IF(Source_Data!S$6=Inputs!$B$13,-Inputs!$B$7,0)+S236</f>
        <v>14.375</v>
      </c>
      <c r="T237" s="33" t="n">
        <f aca="false">IF(Source_Data!T$6=Inputs!$B$13,-Inputs!$B$7,0)+T236</f>
        <v>14.375</v>
      </c>
      <c r="U237" s="33" t="n">
        <f aca="false">IF(Source_Data!U$6=Inputs!$B$13,-Inputs!$B$7,0)+U236</f>
        <v>14.375</v>
      </c>
      <c r="V237" s="33" t="n">
        <f aca="false">IF(Source_Data!V$6=Inputs!$B$13,-Inputs!$B$7,0)+V236</f>
        <v>14.375</v>
      </c>
      <c r="W237" s="33" t="n">
        <f aca="false">IF(Source_Data!W$6=Inputs!$B$13,-Inputs!$B$7,0)+W236</f>
        <v>14.375</v>
      </c>
      <c r="X237" s="33" t="n">
        <f aca="false">IF(Source_Data!X$6=Inputs!$B$13,-Inputs!$B$7,0)+X236</f>
        <v>14.375</v>
      </c>
      <c r="Y237" s="33" t="n">
        <f aca="false">IF(Source_Data!Y$6=Inputs!$B$13,-Inputs!$B$7,0)+Y236</f>
        <v>0</v>
      </c>
      <c r="Z237" s="33" t="n">
        <f aca="false">IF(Source_Data!Z$6=Inputs!$B$13,-Inputs!$B$7,0)+Z236</f>
        <v>0</v>
      </c>
      <c r="AA237" s="33" t="n">
        <f aca="false">IF(Source_Data!AA$6=Inputs!$B$13,-Inputs!$B$7,0)+AA236</f>
        <v>0</v>
      </c>
      <c r="AB237" s="33" t="n">
        <f aca="false">IF(Source_Data!AB$6=Inputs!$B$13,-Inputs!$B$7,0)+AB236</f>
        <v>0</v>
      </c>
      <c r="AC237" s="33" t="n">
        <f aca="false">IF(Source_Data!AC$6=Inputs!$B$13,-Inputs!$B$7,0)+AC236</f>
        <v>0</v>
      </c>
      <c r="AD237" s="33" t="n">
        <f aca="false">IF(Source_Data!AD$6=Inputs!$B$13,-Inputs!$B$7,0)+AD236</f>
        <v>0</v>
      </c>
      <c r="AE237" s="33" t="n">
        <f aca="false">IF(Source_Data!AE$6=Inputs!$B$13,-Inputs!$B$7,0)+AE236</f>
        <v>0</v>
      </c>
      <c r="AF237" s="33" t="n">
        <f aca="false">IF(Source_Data!AF$6=Inputs!$B$13,-Inputs!$B$7,0)+AF236</f>
        <v>0</v>
      </c>
      <c r="AG237" s="33" t="n">
        <f aca="false">IF(Source_Data!AG$6=Inputs!$B$13,-Inputs!$B$7,0)+AG236</f>
        <v>0</v>
      </c>
      <c r="AH237" s="33" t="n">
        <f aca="false">IF(Source_Data!AH$6=Inputs!$B$13,-Inputs!$B$7,0)+AH236</f>
        <v>0</v>
      </c>
      <c r="AI237" s="33" t="n">
        <f aca="false">IF(Source_Data!AI$6=Inputs!$B$13,-Inputs!$B$7,0)+AI236</f>
        <v>0</v>
      </c>
      <c r="AJ237" s="33" t="n">
        <f aca="false">IF(Source_Data!AJ$6=Inputs!$B$13,-Inputs!$B$7,0)+AJ236</f>
        <v>0</v>
      </c>
      <c r="AK237" s="33" t="n">
        <f aca="false">IF(Source_Data!AK$6=Inputs!$B$13,-Inputs!$B$7,0)+AK236</f>
        <v>0</v>
      </c>
      <c r="AL237" s="33" t="n">
        <f aca="false">IF(Source_Data!AL$6=Inputs!$B$13,-Inputs!$B$7,0)+AL236</f>
        <v>0</v>
      </c>
      <c r="AM237" s="33" t="n">
        <f aca="false">IF(Source_Data!AM$6=Inputs!$B$13,-Inputs!$B$7,0)+AM236</f>
        <v>0</v>
      </c>
      <c r="AN237" s="33" t="n">
        <f aca="false">IF(Source_Data!AN$6=Inputs!$B$13,-Inputs!$B$7,0)+AN236</f>
        <v>0</v>
      </c>
      <c r="AO237" s="33" t="n">
        <f aca="false">IF(Source_Data!AO$6=Inputs!$B$13,-Inputs!$B$7,0)+AO236</f>
        <v>0</v>
      </c>
      <c r="AP237" s="33" t="n">
        <f aca="false">IF(Source_Data!AP$6=Inputs!$B$13,-Inputs!$B$7,0)+AP236</f>
        <v>0</v>
      </c>
      <c r="AQ237" s="33" t="n">
        <f aca="false">IF(Source_Data!AQ$6=Inputs!$B$13,-Inputs!$B$7,0)+AQ236</f>
        <v>0</v>
      </c>
      <c r="AR237" s="33" t="n">
        <f aca="false">IF(Source_Data!AR$6=Inputs!$B$13,-Inputs!$B$7,0)+AR236</f>
        <v>0</v>
      </c>
      <c r="AS237" s="33" t="n">
        <f aca="false">IF(Source_Data!AS$6=Inputs!$B$13,-Inputs!$B$7,0)+AS236</f>
        <v>0</v>
      </c>
      <c r="AT237" s="33" t="n">
        <f aca="false">IF(Source_Data!AT$6=Inputs!$B$13,-Inputs!$B$7,0)+AT236</f>
        <v>0</v>
      </c>
      <c r="AU237" s="33" t="n">
        <f aca="false">IF(Source_Data!AU$6=Inputs!$B$13,-Inputs!$B$7,0)+AU236</f>
        <v>0</v>
      </c>
      <c r="AV237" s="33" t="n">
        <f aca="false">IF(Source_Data!AV$6=Inputs!$B$13,-Inputs!$B$7,0)+AV236</f>
        <v>0</v>
      </c>
      <c r="AW237" s="33" t="n">
        <f aca="false">IF(Source_Data!AW$6=Inputs!$B$13,-Inputs!$B$7,0)+AW236</f>
        <v>0</v>
      </c>
      <c r="AX237" s="33" t="n">
        <f aca="false">IF(Source_Data!AX$6=Inputs!$B$13,-Inputs!$B$7,0)+AX236</f>
        <v>0</v>
      </c>
      <c r="AY237" s="33" t="n">
        <f aca="false">IF(Source_Data!AY$6=Inputs!$B$13,-Inputs!$B$7,0)+AY236</f>
        <v>0</v>
      </c>
      <c r="AZ237" s="33" t="n">
        <f aca="false">IF(Source_Data!AZ$6=Inputs!$B$13,-Inputs!$B$7,0)+AZ236</f>
        <v>0</v>
      </c>
      <c r="BA237" s="33" t="n">
        <f aca="false">IF(Source_Data!BA$6=Inputs!$B$13,-Inputs!$B$7,0)+BA236</f>
        <v>0</v>
      </c>
      <c r="BB237" s="33" t="n">
        <f aca="false">IF(Source_Data!BB$6=Inputs!$B$13,-Inputs!$B$7,0)+BB236</f>
        <v>0</v>
      </c>
      <c r="BC237" s="33" t="n">
        <f aca="false">IF(Source_Data!BC$6=Inputs!$B$13,-Inputs!$B$7,0)+BC236</f>
        <v>0</v>
      </c>
      <c r="BD237" s="33" t="n">
        <f aca="false">IF(Source_Data!BD$6=Inputs!$B$13,-Inputs!$B$7,0)+BD236</f>
        <v>0</v>
      </c>
      <c r="BE237" s="33" t="n">
        <f aca="false">IF(Source_Data!BE$6=Inputs!$B$13,-Inputs!$B$7,0)+BE236</f>
        <v>0</v>
      </c>
      <c r="BF237" s="33" t="n">
        <f aca="false">IF(Source_Data!BF$6=Inputs!$B$13,-Inputs!$B$7,0)+BF236</f>
        <v>0</v>
      </c>
      <c r="BG237" s="33" t="n">
        <f aca="false">IF(Source_Data!BG$6=Inputs!$B$13,-Inputs!$B$7,0)+BG236</f>
        <v>0</v>
      </c>
      <c r="BH237" s="33" t="n">
        <f aca="false">IF(Source_Data!BH$6=Inputs!$B$13,-Inputs!$B$7,0)+BH236</f>
        <v>0</v>
      </c>
      <c r="BI237" s="33" t="n">
        <f aca="false">IF(Source_Data!BI$6=Inputs!$B$13,-Inputs!$B$7,0)+BI236</f>
        <v>0</v>
      </c>
      <c r="BJ237" s="33" t="n">
        <f aca="false">IF(Source_Data!BJ$6=Inputs!$B$13,-Inputs!$B$7,0)+BJ236</f>
        <v>0</v>
      </c>
      <c r="BK237" s="33" t="n">
        <f aca="false">IF(Source_Data!BK$6=Inputs!$B$13,-Inputs!$B$7,0)+BK236</f>
        <v>0</v>
      </c>
    </row>
    <row r="238" customFormat="false" ht="15" hidden="false" customHeight="false" outlineLevel="0" collapsed="false">
      <c r="A238" s="3" t="s">
        <v>344</v>
      </c>
      <c r="D238" s="33" t="n">
        <f aca="false">IF(Source_Data!D$6=Inputs!$B$13,Inputs!$B$7,0)+D233-D236</f>
        <v>-16.25</v>
      </c>
      <c r="E238" s="33" t="n">
        <f aca="false">D238+IF(Source_Data!E$6=Inputs!$B$13,Inputs!$B$7,0)+E233-E236</f>
        <v>-27.5</v>
      </c>
      <c r="F238" s="33" t="n">
        <f aca="false">E238+IF(Source_Data!F$6=Inputs!$B$13,Inputs!$B$7,0)+F233-F236</f>
        <v>-38.75</v>
      </c>
      <c r="G238" s="33" t="n">
        <f aca="false">F238+IF(Source_Data!G$6=Inputs!$B$13,Inputs!$B$7,0)+G233-G236</f>
        <v>-50</v>
      </c>
      <c r="H238" s="33" t="n">
        <f aca="false">G238+IF(Source_Data!H$6=Inputs!$B$13,Inputs!$B$7,0)+H233-H236</f>
        <v>-95.5</v>
      </c>
      <c r="I238" s="33" t="n">
        <f aca="false">H238+IF(Source_Data!I$6=Inputs!$B$13,Inputs!$B$7,0)+I233-I236</f>
        <v>-148.36</v>
      </c>
      <c r="J238" s="33" t="n">
        <f aca="false">I238+IF(Source_Data!J$6=Inputs!$B$13,Inputs!$B$7,0)+J233-J236</f>
        <v>-216.86</v>
      </c>
      <c r="K238" s="33" t="n">
        <f aca="false">J238+IF(Source_Data!K$6=Inputs!$B$13,Inputs!$B$7,0)+K233-K236</f>
        <v>-269.72</v>
      </c>
      <c r="L238" s="33" t="n">
        <f aca="false">K238+IF(Source_Data!L$6=Inputs!$B$13,Inputs!$B$7,0)+L233-L236</f>
        <v>-318.6907625</v>
      </c>
      <c r="M238" s="33" t="n">
        <f aca="false">L238+IF(Source_Data!M$6=Inputs!$B$13,Inputs!$B$7,0)+M233-M236</f>
        <v>-366.8972875</v>
      </c>
      <c r="N238" s="33" t="n">
        <f aca="false">M238+IF(Source_Data!N$6=Inputs!$B$13,Inputs!$B$7,0)+N233-N236</f>
        <v>-374.58228125</v>
      </c>
      <c r="O238" s="33" t="n">
        <f aca="false">N238+IF(Source_Data!O$6=Inputs!$B$13,Inputs!$B$7,0)+O233-O236</f>
        <v>-366.03374375</v>
      </c>
      <c r="P238" s="33" t="n">
        <f aca="false">O238+IF(Source_Data!P$6=Inputs!$B$13,Inputs!$B$7,0)+P233-P236</f>
        <v>-513.15443375</v>
      </c>
      <c r="Q238" s="33" t="n">
        <f aca="false">P238+IF(Source_Data!Q$6=Inputs!$B$13,Inputs!$B$7,0)+Q233-Q236</f>
        <v>-659.167264375</v>
      </c>
      <c r="R238" s="33" t="n">
        <f aca="false">Q238+IF(Source_Data!R$6=Inputs!$B$13,Inputs!$B$7,0)+R233-R236</f>
        <v>-836.3346759375</v>
      </c>
      <c r="S238" s="33" t="n">
        <f aca="false">R238+IF(Source_Data!S$6=Inputs!$B$13,Inputs!$B$7,0)+S233-S236</f>
        <v>-544.5270984375</v>
      </c>
      <c r="T238" s="33" t="n">
        <f aca="false">S238+IF(Source_Data!T$6=Inputs!$B$13,Inputs!$B$7,0)+T233-T236</f>
        <v>-425.3133584375</v>
      </c>
      <c r="U238" s="33" t="n">
        <f aca="false">T238+IF(Source_Data!U$6=Inputs!$B$13,Inputs!$B$7,0)+U233-U236</f>
        <v>-315.1433684375</v>
      </c>
      <c r="V238" s="33" t="n">
        <f aca="false">U238+IF(Source_Data!V$6=Inputs!$B$13,Inputs!$B$7,0)+V233-V236</f>
        <v>-284.9056584375</v>
      </c>
      <c r="W238" s="33" t="n">
        <f aca="false">V238+IF(Source_Data!W$6=Inputs!$B$13,Inputs!$B$7,0)+W233-W236</f>
        <v>-282.2314896875</v>
      </c>
      <c r="X238" s="33" t="n">
        <f aca="false">W238+IF(Source_Data!X$6=Inputs!$B$13,Inputs!$B$7,0)+X233-X236</f>
        <v>-257.0573209375</v>
      </c>
      <c r="Y238" s="33" t="n">
        <f aca="false">X238+IF(Source_Data!Y$6=Inputs!$B$13,Inputs!$B$7,0)+Y233-Y236</f>
        <v>-218.1764853125</v>
      </c>
      <c r="Z238" s="33" t="n">
        <f aca="false">Y238+IF(Source_Data!Z$6=Inputs!$B$13,Inputs!$B$7,0)+Z233-Z236</f>
        <v>-179.449845625</v>
      </c>
      <c r="AA238" s="33" t="n">
        <f aca="false">Z238+IF(Source_Data!AA$6=Inputs!$B$13,Inputs!$B$7,0)+AA233-AA236</f>
        <v>-142.2371296875</v>
      </c>
      <c r="AB238" s="33" t="n">
        <f aca="false">AA238+IF(Source_Data!AB$6=Inputs!$B$13,Inputs!$B$7,0)+AB233-AB236</f>
        <v>-88.513185</v>
      </c>
      <c r="AC238" s="33" t="n">
        <f aca="false">AB238+IF(Source_Data!AC$6=Inputs!$B$13,Inputs!$B$7,0)+AC233-AC236</f>
        <v>-39.1302403125</v>
      </c>
      <c r="AD238" s="33" t="n">
        <f aca="false">AC238+IF(Source_Data!AD$6=Inputs!$B$13,Inputs!$B$7,0)+AD233-AD236</f>
        <v>10.252704375</v>
      </c>
      <c r="AE238" s="33" t="n">
        <f aca="false">AD238+IF(Source_Data!AE$6=Inputs!$B$13,Inputs!$B$7,0)+AE233-AE236</f>
        <v>52.3554303125</v>
      </c>
      <c r="AF238" s="33" t="n">
        <f aca="false">AE238+IF(Source_Data!AF$6=Inputs!$B$13,Inputs!$B$7,0)+AF233-AF236</f>
        <v>-13.3000541015626</v>
      </c>
      <c r="AG238" s="33" t="n">
        <f aca="false">AF238+IF(Source_Data!AG$6=Inputs!$B$13,Inputs!$B$7,0)+AG233-AG236</f>
        <v>17.8261594140625</v>
      </c>
      <c r="AH238" s="33" t="n">
        <f aca="false">AG238+IF(Source_Data!AH$6=Inputs!$B$13,Inputs!$B$7,0)+AH233-AH236</f>
        <v>43.1643729296875</v>
      </c>
      <c r="AI238" s="33" t="n">
        <f aca="false">AH238+IF(Source_Data!AI$6=Inputs!$B$13,Inputs!$B$7,0)+AI233-AI236</f>
        <v>65.2264880078125</v>
      </c>
      <c r="AJ238" s="33" t="n">
        <f aca="false">AI238+IF(Source_Data!AJ$6=Inputs!$B$13,Inputs!$B$7,0)+AJ233-AJ236</f>
        <v>83.6801468359375</v>
      </c>
      <c r="AK238" s="33" t="n">
        <f aca="false">AJ238+IF(Source_Data!AK$6=Inputs!$B$13,Inputs!$B$7,0)+AK233-AK236</f>
        <v>98.748334375</v>
      </c>
      <c r="AL238" s="33" t="n">
        <f aca="false">AK238+IF(Source_Data!AL$6=Inputs!$B$13,Inputs!$B$7,0)+AL233-AL236</f>
        <v>113.816521914062</v>
      </c>
      <c r="AM238" s="33" t="n">
        <f aca="false">AL238+IF(Source_Data!AM$6=Inputs!$B$13,Inputs!$B$7,0)+AM233-AM236</f>
        <v>130.707138125</v>
      </c>
      <c r="AN238" s="33" t="n">
        <f aca="false">AM238+IF(Source_Data!AN$6=Inputs!$B$13,Inputs!$B$7,0)+AN233-AN236</f>
        <v>151.58486109375</v>
      </c>
      <c r="AO238" s="33" t="n">
        <f aca="false">AN238+IF(Source_Data!AO$6=Inputs!$B$13,Inputs!$B$7,0)+AO233-AO236</f>
        <v>175.111950625</v>
      </c>
      <c r="AP238" s="33" t="n">
        <f aca="false">AO238+IF(Source_Data!AP$6=Inputs!$B$13,Inputs!$B$7,0)+AP233-AP236</f>
        <v>200.201121875</v>
      </c>
      <c r="AQ238" s="33" t="n">
        <f aca="false">AP238+IF(Source_Data!AQ$6=Inputs!$B$13,Inputs!$B$7,0)+AQ233-AQ236</f>
        <v>223.1062275</v>
      </c>
      <c r="AR238" s="33" t="n">
        <f aca="false">AQ238+IF(Source_Data!AR$6=Inputs!$B$13,Inputs!$B$7,0)+AR233-AR236</f>
        <v>246.011333125</v>
      </c>
      <c r="AS238" s="33" t="n">
        <f aca="false">AR238+IF(Source_Data!AS$6=Inputs!$B$13,Inputs!$B$7,0)+AS233-AS236</f>
        <v>264.7508875</v>
      </c>
      <c r="AT238" s="33" t="n">
        <f aca="false">AS238+IF(Source_Data!AT$6=Inputs!$B$13,Inputs!$B$7,0)+AT233-AT236</f>
        <v>274.377055</v>
      </c>
      <c r="AU238" s="33" t="n">
        <f aca="false">AT238+IF(Source_Data!AU$6=Inputs!$B$13,Inputs!$B$7,0)+AU233-AU236</f>
        <v>277.9475275</v>
      </c>
      <c r="AV238" s="33" t="n">
        <f aca="false">AU238+IF(Source_Data!AV$6=Inputs!$B$13,Inputs!$B$7,0)+AV233-AV236</f>
        <v>277.9475275</v>
      </c>
      <c r="AW238" s="33" t="n">
        <f aca="false">AV238+IF(Source_Data!AW$6=Inputs!$B$13,Inputs!$B$7,0)+AW233-AW236</f>
        <v>277.9475275</v>
      </c>
      <c r="AX238" s="33" t="n">
        <f aca="false">AW238+IF(Source_Data!AX$6=Inputs!$B$13,Inputs!$B$7,0)+AX233-AX236</f>
        <v>277.9475275</v>
      </c>
      <c r="AY238" s="33" t="n">
        <f aca="false">AX238+IF(Source_Data!AY$6=Inputs!$B$13,Inputs!$B$7,0)+AY233-AY236</f>
        <v>277.9475275</v>
      </c>
      <c r="AZ238" s="33" t="n">
        <f aca="false">AY238+IF(Source_Data!AZ$6=Inputs!$B$13,Inputs!$B$7,0)+AZ233-AZ236</f>
        <v>277.9475275</v>
      </c>
      <c r="BA238" s="33" t="n">
        <f aca="false">AZ238+IF(Source_Data!BA$6=Inputs!$B$13,Inputs!$B$7,0)+BA233-BA236</f>
        <v>277.9475275</v>
      </c>
      <c r="BB238" s="33" t="n">
        <f aca="false">BA238+IF(Source_Data!BB$6=Inputs!$B$13,Inputs!$B$7,0)+BB233-BB236</f>
        <v>277.9475275</v>
      </c>
      <c r="BC238" s="33" t="n">
        <f aca="false">BB238+IF(Source_Data!BC$6=Inputs!$B$13,Inputs!$B$7,0)+BC233-BC236</f>
        <v>277.9475275</v>
      </c>
      <c r="BD238" s="33" t="n">
        <f aca="false">BC238+IF(Source_Data!BD$6=Inputs!$B$13,Inputs!$B$7,0)+BD233-BD236</f>
        <v>277.9475275</v>
      </c>
      <c r="BE238" s="33" t="n">
        <f aca="false">BD238+IF(Source_Data!BE$6=Inputs!$B$13,Inputs!$B$7,0)+BE233-BE236</f>
        <v>277.9475275</v>
      </c>
      <c r="BF238" s="33" t="n">
        <f aca="false">BE238+IF(Source_Data!BF$6=Inputs!$B$13,Inputs!$B$7,0)+BF233-BF236</f>
        <v>277.9475275</v>
      </c>
      <c r="BG238" s="33" t="n">
        <f aca="false">BF238+IF(Source_Data!BG$6=Inputs!$B$13,Inputs!$B$7,0)+BG233-BG236</f>
        <v>277.9475275</v>
      </c>
      <c r="BH238" s="33" t="n">
        <f aca="false">BG238+IF(Source_Data!BH$6=Inputs!$B$13,Inputs!$B$7,0)+BH233-BH236</f>
        <v>277.9475275</v>
      </c>
      <c r="BI238" s="33" t="n">
        <f aca="false">BH238+IF(Source_Data!BI$6=Inputs!$B$13,Inputs!$B$7,0)+BI233-BI236</f>
        <v>277.9475275</v>
      </c>
      <c r="BJ238" s="33" t="n">
        <f aca="false">BI238+IF(Source_Data!BJ$6=Inputs!$B$13,Inputs!$B$7,0)+BJ233-BJ236</f>
        <v>277.9475275</v>
      </c>
      <c r="BK238" s="33" t="n">
        <f aca="false">BJ238+IF(Source_Data!BK$6=Inputs!$B$13,Inputs!$B$7,0)+BK233-BK236</f>
        <v>277.9475275</v>
      </c>
    </row>
    <row r="239" customFormat="false" ht="15" hidden="false" customHeight="false" outlineLevel="0" collapsed="false">
      <c r="A239" s="3" t="s">
        <v>345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-2.35349739130435</v>
      </c>
      <c r="N239" s="31" t="n">
        <f aca="false">IF(N236&gt;0,N233/N236,"")</f>
        <v>0.465391739130435</v>
      </c>
      <c r="O239" s="31" t="n">
        <f aca="false">IF(O236&gt;0,O233/O236,"")</f>
        <v>1.59468086956522</v>
      </c>
      <c r="P239" s="31" t="n">
        <f aca="false">IF(P236&gt;0,P233/P236,"")</f>
        <v>-9.2344827826087</v>
      </c>
      <c r="Q239" s="31" t="n">
        <f aca="false">IF(Q236&gt;0,Q233/Q236,"")</f>
        <v>-9.15741430434783</v>
      </c>
      <c r="R239" s="31" t="n">
        <f aca="false">IF(R236&gt;0,R233/R236,"")</f>
        <v>-11.3246895</v>
      </c>
      <c r="S239" s="31" t="n">
        <f aca="false">IF(S236&gt;0,S233/S236,"")</f>
        <v>21.2996575652174</v>
      </c>
      <c r="T239" s="31" t="n">
        <f aca="false">IF(T236&gt;0,T233/T236,"")</f>
        <v>9.29312973913044</v>
      </c>
      <c r="U239" s="31" t="n">
        <f aca="false">IF(U236&gt;0,U233/U236,"")</f>
        <v>8.66399930434783</v>
      </c>
      <c r="V239" s="31" t="n">
        <f aca="false">IF(V236&gt;0,V233/V236,"")</f>
        <v>3.10349286956522</v>
      </c>
      <c r="W239" s="31" t="n">
        <f aca="false">IF(W236&gt;0,W233/W236,"")</f>
        <v>1.18602913043478</v>
      </c>
      <c r="X239" s="31" t="n">
        <f aca="false">IF(X236&gt;0,X233/X236,"")</f>
        <v>2.75124652173913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346</v>
      </c>
      <c r="D240" s="31" t="str">
        <f aca="false">IF(D236&gt;0,(0+D233+IF(Source_Data!D$6=Inputs!$B$13,Inputs!$B$7,0))/D236,"")</f>
        <v/>
      </c>
      <c r="E240" s="31" t="str">
        <f aca="false">IF(E236&gt;0,(D238+E233+IF(Source_Data!E$6=Inputs!$B$13,Inputs!$B$7,0))/E236,"")</f>
        <v/>
      </c>
      <c r="F240" s="31" t="str">
        <f aca="false">IF(F236&gt;0,(E238+F233+IF(Source_Data!F$6=Inputs!$B$13,Inputs!$B$7,0))/F236,"")</f>
        <v/>
      </c>
      <c r="G240" s="31" t="str">
        <f aca="false">IF(G236&gt;0,(F238+G233+IF(Source_Data!G$6=Inputs!$B$13,Inputs!$B$7,0))/G236,"")</f>
        <v/>
      </c>
      <c r="H240" s="31" t="str">
        <f aca="false">IF(H236&gt;0,(G238+H233+IF(Source_Data!H$6=Inputs!$B$13,Inputs!$B$7,0))/H236,"")</f>
        <v/>
      </c>
      <c r="I240" s="31" t="str">
        <f aca="false">IF(I236&gt;0,(H238+I233+IF(Source_Data!I$6=Inputs!$B$13,Inputs!$B$7,0))/I236,"")</f>
        <v/>
      </c>
      <c r="J240" s="31" t="str">
        <f aca="false">IF(J236&gt;0,(I238+J233+IF(Source_Data!J$6=Inputs!$B$13,Inputs!$B$7,0))/J236,"")</f>
        <v/>
      </c>
      <c r="K240" s="31" t="str">
        <f aca="false">IF(K236&gt;0,(J238+K233+IF(Source_Data!K$6=Inputs!$B$13,Inputs!$B$7,0))/K236,"")</f>
        <v/>
      </c>
      <c r="L240" s="31" t="str">
        <f aca="false">IF(L236&gt;0,(K238+L233+IF(Source_Data!L$6=Inputs!$B$13,Inputs!$B$7,0))/L236,"")</f>
        <v/>
      </c>
      <c r="M240" s="31" t="n">
        <f aca="false">IF(M236&gt;0,(L238+M233+IF(Source_Data!M$6=Inputs!$B$13,Inputs!$B$7,0))/M236,"")</f>
        <v>-24.5232895652174</v>
      </c>
      <c r="N240" s="31" t="n">
        <f aca="false">IF(N236&gt;0,(M238+N233+IF(Source_Data!N$6=Inputs!$B$13,Inputs!$B$7,0))/N236,"")</f>
        <v>-25.057897826087</v>
      </c>
      <c r="O240" s="31" t="n">
        <f aca="false">IF(O236&gt;0,(N238+O233+IF(Source_Data!O$6=Inputs!$B$13,Inputs!$B$7,0))/O236,"")</f>
        <v>-24.4632169565217</v>
      </c>
      <c r="P240" s="31" t="n">
        <f aca="false">IF(P236&gt;0,(O238+P233+IF(Source_Data!P$6=Inputs!$B$13,Inputs!$B$7,0))/P236,"")</f>
        <v>-34.6976997391304</v>
      </c>
      <c r="Q240" s="31" t="n">
        <f aca="false">IF(Q236&gt;0,(P238+Q233+IF(Source_Data!Q$6=Inputs!$B$13,Inputs!$B$7,0))/Q236,"")</f>
        <v>-44.8551140434783</v>
      </c>
      <c r="R240" s="31" t="n">
        <f aca="false">IF(R236&gt;0,(Q238+R233+IF(Source_Data!R$6=Inputs!$B$13,Inputs!$B$7,0))/R236,"")</f>
        <v>-57.1798035434783</v>
      </c>
      <c r="S240" s="31" t="n">
        <f aca="false">IF(S236&gt;0,(R238+S233+IF(Source_Data!S$6=Inputs!$B$13,Inputs!$B$7,0))/S236,"")</f>
        <v>-36.8801459782609</v>
      </c>
      <c r="T240" s="31" t="n">
        <f aca="false">IF(T236&gt;0,(S238+T233+IF(Source_Data!T$6=Inputs!$B$13,Inputs!$B$7,0))/T236,"")</f>
        <v>-28.5870162391304</v>
      </c>
      <c r="U240" s="31" t="n">
        <f aca="false">IF(U236&gt;0,(T238+U233+IF(Source_Data!U$6=Inputs!$B$13,Inputs!$B$7,0))/U236,"")</f>
        <v>-20.9230169347826</v>
      </c>
      <c r="V240" s="31" t="n">
        <f aca="false">IF(V236&gt;0,(U238+V233+IF(Source_Data!V$6=Inputs!$B$13,Inputs!$B$7,0))/V236,"")</f>
        <v>-18.8195240652174</v>
      </c>
      <c r="W240" s="31" t="n">
        <f aca="false">IF(W236&gt;0,(V238+W233+IF(Source_Data!W$6=Inputs!$B$13,Inputs!$B$7,0))/W236,"")</f>
        <v>-18.6334949347826</v>
      </c>
      <c r="X240" s="31" t="n">
        <f aca="false">IF(X236&gt;0,(W238+X233+IF(Source_Data!X$6=Inputs!$B$13,Inputs!$B$7,0))/X236,"")</f>
        <v>-16.8822484130435</v>
      </c>
      <c r="Y240" s="31" t="str">
        <f aca="false">IF(Y236&gt;0,(X238+Y233+IF(Source_Data!Y$6=Inputs!$B$13,Inputs!$B$7,0))/Y236,"")</f>
        <v/>
      </c>
      <c r="Z240" s="31" t="str">
        <f aca="false">IF(Z236&gt;0,(Y238+Z233+IF(Source_Data!Z$6=Inputs!$B$13,Inputs!$B$7,0))/Z236,"")</f>
        <v/>
      </c>
      <c r="AA240" s="31" t="str">
        <f aca="false">IF(AA236&gt;0,(Z238+AA233+IF(Source_Data!AA$6=Inputs!$B$13,Inputs!$B$7,0))/AA236,"")</f>
        <v/>
      </c>
      <c r="AB240" s="31" t="str">
        <f aca="false">IF(AB236&gt;0,(AA238+AB233+IF(Source_Data!AB$6=Inputs!$B$13,Inputs!$B$7,0))/AB236,"")</f>
        <v/>
      </c>
      <c r="AC240" s="31" t="str">
        <f aca="false">IF(AC236&gt;0,(AB238+AC233+IF(Source_Data!AC$6=Inputs!$B$13,Inputs!$B$7,0))/AC236,"")</f>
        <v/>
      </c>
      <c r="AD240" s="31" t="str">
        <f aca="false">IF(AD236&gt;0,(AC238+AD233+IF(Source_Data!AD$6=Inputs!$B$13,Inputs!$B$7,0))/AD236,"")</f>
        <v/>
      </c>
      <c r="AE240" s="31" t="str">
        <f aca="false">IF(AE236&gt;0,(AD238+AE233+IF(Source_Data!AE$6=Inputs!$B$13,Inputs!$B$7,0))/AE236,"")</f>
        <v/>
      </c>
      <c r="AF240" s="31" t="str">
        <f aca="false">IF(AF236&gt;0,(AE238+AF233+IF(Source_Data!AF$6=Inputs!$B$13,Inputs!$B$7,0))/AF236,"")</f>
        <v/>
      </c>
      <c r="AG240" s="31" t="str">
        <f aca="false">IF(AG236&gt;0,(AF238+AG233+IF(Source_Data!AG$6=Inputs!$B$13,Inputs!$B$7,0))/AG236,"")</f>
        <v/>
      </c>
      <c r="AH240" s="31" t="str">
        <f aca="false">IF(AH236&gt;0,(AG238+AH233+IF(Source_Data!AH$6=Inputs!$B$13,Inputs!$B$7,0))/AH236,"")</f>
        <v/>
      </c>
      <c r="AI240" s="31" t="str">
        <f aca="false">IF(AI236&gt;0,(AH238+AI233+IF(Source_Data!AI$6=Inputs!$B$13,Inputs!$B$7,0))/AI236,"")</f>
        <v/>
      </c>
      <c r="AJ240" s="31" t="str">
        <f aca="false">IF(AJ236&gt;0,(AI238+AJ233+IF(Source_Data!AJ$6=Inputs!$B$13,Inputs!$B$7,0))/AJ236,"")</f>
        <v/>
      </c>
      <c r="AK240" s="31" t="str">
        <f aca="false">IF(AK236&gt;0,(AJ238+AK233+IF(Source_Data!AK$6=Inputs!$B$13,Inputs!$B$7,0))/AK236,"")</f>
        <v/>
      </c>
      <c r="AL240" s="31" t="str">
        <f aca="false">IF(AL236&gt;0,(AK238+AL233+IF(Source_Data!AL$6=Inputs!$B$13,Inputs!$B$7,0))/AL236,"")</f>
        <v/>
      </c>
      <c r="AM240" s="31" t="str">
        <f aca="false">IF(AM236&gt;0,(AL238+AM233+IF(Source_Data!AM$6=Inputs!$B$13,Inputs!$B$7,0))/AM236,"")</f>
        <v/>
      </c>
      <c r="AN240" s="31" t="str">
        <f aca="false">IF(AN236&gt;0,(AM238+AN233+IF(Source_Data!AN$6=Inputs!$B$13,Inputs!$B$7,0))/AN236,"")</f>
        <v/>
      </c>
      <c r="AO240" s="31" t="str">
        <f aca="false">IF(AO236&gt;0,(AN238+AO233+IF(Source_Data!AO$6=Inputs!$B$13,Inputs!$B$7,0))/AO236,"")</f>
        <v/>
      </c>
      <c r="AP240" s="31" t="str">
        <f aca="false">IF(AP236&gt;0,(AO238+AP233+IF(Source_Data!AP$6=Inputs!$B$13,Inputs!$B$7,0))/AP236,"")</f>
        <v/>
      </c>
      <c r="AQ240" s="31" t="str">
        <f aca="false">IF(AQ236&gt;0,(AP238+AQ233+IF(Source_Data!AQ$6=Inputs!$B$13,Inputs!$B$7,0))/AQ236,"")</f>
        <v/>
      </c>
      <c r="AR240" s="31" t="str">
        <f aca="false">IF(AR236&gt;0,(AQ238+AR233+IF(Source_Data!AR$6=Inputs!$B$13,Inputs!$B$7,0))/AR236,"")</f>
        <v/>
      </c>
      <c r="AS240" s="31" t="str">
        <f aca="false">IF(AS236&gt;0,(AR238+AS233+IF(Source_Data!AS$6=Inputs!$B$13,Inputs!$B$7,0))/AS236,"")</f>
        <v/>
      </c>
      <c r="AT240" s="31" t="str">
        <f aca="false">IF(AT236&gt;0,(AS238+AT233+IF(Source_Data!AT$6=Inputs!$B$13,Inputs!$B$7,0))/AT236,"")</f>
        <v/>
      </c>
      <c r="AU240" s="31" t="str">
        <f aca="false">IF(AU236&gt;0,(AT238+AU233+IF(Source_Data!AU$6=Inputs!$B$13,Inputs!$B$7,0))/AU236,"")</f>
        <v/>
      </c>
      <c r="AV240" s="31" t="str">
        <f aca="false">IF(AV236&gt;0,(AU238+AV233+IF(Source_Data!AV$6=Inputs!$B$13,Inputs!$B$7,0))/AV236,"")</f>
        <v/>
      </c>
      <c r="AW240" s="31" t="str">
        <f aca="false">IF(AW236&gt;0,(AV238+AW233+IF(Source_Data!AW$6=Inputs!$B$13,Inputs!$B$7,0))/AW236,"")</f>
        <v/>
      </c>
      <c r="AX240" s="31" t="str">
        <f aca="false">IF(AX236&gt;0,(AW238+AX233+IF(Source_Data!AX$6=Inputs!$B$13,Inputs!$B$7,0))/AX236,"")</f>
        <v/>
      </c>
      <c r="AY240" s="31" t="str">
        <f aca="false">IF(AY236&gt;0,(AX238+AY233+IF(Source_Data!AY$6=Inputs!$B$13,Inputs!$B$7,0))/AY236,"")</f>
        <v/>
      </c>
      <c r="AZ240" s="31" t="str">
        <f aca="false">IF(AZ236&gt;0,(AY238+AZ233+IF(Source_Data!AZ$6=Inputs!$B$13,Inputs!$B$7,0))/AZ236,"")</f>
        <v/>
      </c>
      <c r="BA240" s="31" t="str">
        <f aca="false">IF(BA236&gt;0,(AZ238+BA233+IF(Source_Data!BA$6=Inputs!$B$13,Inputs!$B$7,0))/BA236,"")</f>
        <v/>
      </c>
      <c r="BB240" s="31" t="str">
        <f aca="false">IF(BB236&gt;0,(BA238+BB233+IF(Source_Data!BB$6=Inputs!$B$13,Inputs!$B$7,0))/BB236,"")</f>
        <v/>
      </c>
      <c r="BC240" s="31" t="str">
        <f aca="false">IF(BC236&gt;0,(BB238+BC233+IF(Source_Data!BC$6=Inputs!$B$13,Inputs!$B$7,0))/BC236,"")</f>
        <v/>
      </c>
      <c r="BD240" s="31" t="str">
        <f aca="false">IF(BD236&gt;0,(BC238+BD233+IF(Source_Data!BD$6=Inputs!$B$13,Inputs!$B$7,0))/BD236,"")</f>
        <v/>
      </c>
      <c r="BE240" s="31" t="str">
        <f aca="false">IF(BE236&gt;0,(BD238+BE233+IF(Source_Data!BE$6=Inputs!$B$13,Inputs!$B$7,0))/BE236,"")</f>
        <v/>
      </c>
      <c r="BF240" s="31" t="str">
        <f aca="false">IF(BF236&gt;0,(BE238+BF233+IF(Source_Data!BF$6=Inputs!$B$13,Inputs!$B$7,0))/BF236,"")</f>
        <v/>
      </c>
      <c r="BG240" s="31" t="str">
        <f aca="false">IF(BG236&gt;0,(BF238+BG233+IF(Source_Data!BG$6=Inputs!$B$13,Inputs!$B$7,0))/BG236,"")</f>
        <v/>
      </c>
      <c r="BH240" s="31" t="str">
        <f aca="false">IF(BH236&gt;0,(BG238+BH233+IF(Source_Data!BH$6=Inputs!$B$13,Inputs!$B$7,0))/BH236,"")</f>
        <v/>
      </c>
      <c r="BI240" s="31" t="str">
        <f aca="false">IF(BI236&gt;0,(BH238+BI233+IF(Source_Data!BI$6=Inputs!$B$13,Inputs!$B$7,0))/BI236,"")</f>
        <v/>
      </c>
      <c r="BJ240" s="31" t="str">
        <f aca="false">IF(BJ236&gt;0,(BI238+BJ233+IF(Source_Data!BJ$6=Inputs!$B$13,Inputs!$B$7,0))/BJ236,"")</f>
        <v/>
      </c>
      <c r="BK240" s="31" t="str">
        <f aca="false">IF(BK236&gt;0,(BJ238+BK233+IF(Source_Data!BK$6=Inputs!$B$13,Inputs!$B$7,0))/BK236,"")</f>
        <v/>
      </c>
    </row>
    <row r="242" customFormat="false" ht="15" hidden="false" customHeight="false" outlineLevel="0" collapsed="false">
      <c r="A242" s="2" t="s">
        <v>222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347</v>
      </c>
      <c r="B243" s="41" t="n">
        <f aca="false">SUMPRODUCT(D233:BK233,Project_CF!$D$15:$BK$15)</f>
        <v>-28.0385579997132</v>
      </c>
    </row>
    <row r="244" customFormat="false" ht="15" hidden="false" customHeight="false" outlineLevel="0" collapsed="false">
      <c r="A244" s="2" t="s">
        <v>164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348</v>
      </c>
      <c r="B245" s="35" t="n">
        <f aca="false">INDEX(Project_CF!$D$6:$BK$6,MATCH(MIN(D234:BK234),D234:BK234,0))</f>
        <v>39</v>
      </c>
    </row>
    <row r="246" customFormat="false" ht="15" hidden="false" customHeight="false" outlineLevel="0" collapsed="false">
      <c r="A246" s="2" t="s">
        <v>349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350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351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352</v>
      </c>
      <c r="B249" s="41" t="n">
        <f aca="false">MIN(D238:BK238)</f>
        <v>-836.3346759375</v>
      </c>
    </row>
    <row r="250" customFormat="false" ht="15" hidden="false" customHeight="false" outlineLevel="0" collapsed="false">
      <c r="A250" s="2" t="s">
        <v>353</v>
      </c>
      <c r="B250" s="43" t="n">
        <f aca="false">MIN(D239:BK239)</f>
        <v>-11.3246895</v>
      </c>
    </row>
    <row r="251" customFormat="false" ht="15" hidden="false" customHeight="false" outlineLevel="0" collapsed="false">
      <c r="A251" s="2" t="s">
        <v>354</v>
      </c>
      <c r="B251" s="35" t="n">
        <f aca="false">COUNTIF(D239:BK239,"&lt;"&amp;Inputs!$B$44)</f>
        <v>6</v>
      </c>
    </row>
    <row r="252" customFormat="false" ht="15" hidden="false" customHeight="false" outlineLevel="0" collapsed="false">
      <c r="A252" s="2" t="s">
        <v>355</v>
      </c>
      <c r="B252" s="43" t="n">
        <f aca="false">MIN(D240:BK240)</f>
        <v>-57.1798035434783</v>
      </c>
    </row>
    <row r="253" customFormat="false" ht="15" hidden="false" customHeight="false" outlineLevel="0" collapsed="false">
      <c r="A253" s="2" t="s">
        <v>356</v>
      </c>
      <c r="B253" s="35" t="n">
        <f aca="false">COUNTIF(D240:BK240,"&lt;"&amp;Inputs!$B$44)</f>
        <v>12</v>
      </c>
    </row>
    <row r="256" customFormat="false" ht="15" hidden="false" customHeight="false" outlineLevel="0" collapsed="false">
      <c r="A256" s="8" t="s">
        <v>366</v>
      </c>
    </row>
    <row r="257" customFormat="false" ht="15" hidden="false" customHeight="false" outlineLevel="0" collapsed="false">
      <c r="A257" s="3" t="s">
        <v>333</v>
      </c>
      <c r="B257" s="45" t="n">
        <v>1</v>
      </c>
    </row>
    <row r="258" customFormat="false" ht="15" hidden="false" customHeight="false" outlineLevel="0" collapsed="false">
      <c r="A258" s="3" t="s">
        <v>334</v>
      </c>
      <c r="B258" s="45" t="n">
        <v>8</v>
      </c>
    </row>
    <row r="259" customFormat="false" ht="15" hidden="false" customHeight="false" outlineLevel="0" collapsed="false">
      <c r="A259" s="3" t="s">
        <v>335</v>
      </c>
      <c r="B259" s="45" t="n">
        <v>1</v>
      </c>
    </row>
    <row r="260" customFormat="false" ht="15" hidden="false" customHeight="false" outlineLevel="0" collapsed="false">
      <c r="A260" s="3" t="s">
        <v>336</v>
      </c>
      <c r="B260" s="45" t="n">
        <v>0</v>
      </c>
    </row>
    <row r="261" customFormat="false" ht="15" hidden="false" customHeight="false" outlineLevel="0" collapsed="false">
      <c r="A261" s="3" t="s">
        <v>337</v>
      </c>
      <c r="B261" s="45" t="n">
        <v>0</v>
      </c>
    </row>
    <row r="262" customFormat="false" ht="15" hidden="false" customHeight="false" outlineLevel="0" collapsed="false">
      <c r="A262" s="3" t="s">
        <v>338</v>
      </c>
      <c r="B262" s="3" t="n">
        <f aca="false">Inputs!$B$14+3+3*$B$258</f>
        <v>69</v>
      </c>
    </row>
    <row r="263" customFormat="false" ht="15" hidden="false" customHeight="false" outlineLevel="0" collapsed="false">
      <c r="A263" s="3" t="s">
        <v>339</v>
      </c>
      <c r="D263" s="33" t="n">
        <f aca="false">Source_Data!D$7+IF($B$261=1,IF(Source_Data!D$6=Inputs!$B$14,Source_Data!$C$8,0),Source_Data!D$8)</f>
        <v>0</v>
      </c>
      <c r="E263" s="33" t="n">
        <f aca="false">Source_Data!E$7+IF($B$261=1,IF(Source_Data!E$6=Inputs!$B$14,Source_Data!$C$8,0),Source_Data!E$8)</f>
        <v>0</v>
      </c>
      <c r="F263" s="33" t="n">
        <f aca="false">Source_Data!F$7+IF($B$261=1,IF(Source_Data!F$6=Inputs!$B$14,Source_Data!$C$8,0),Source_Data!F$8)</f>
        <v>15.1392375</v>
      </c>
      <c r="G263" s="33" t="n">
        <f aca="false">Source_Data!G$7+IF($B$261=1,IF(Source_Data!G$6=Inputs!$B$14,Source_Data!$C$8,0),Source_Data!G$8)</f>
        <v>30.278475</v>
      </c>
      <c r="H263" s="33" t="n">
        <f aca="false">Source_Data!H$7+IF($B$261=1,IF(Source_Data!H$6=Inputs!$B$14,Source_Data!$C$8,0),Source_Data!H$8)</f>
        <v>46.51200625</v>
      </c>
      <c r="I263" s="33" t="n">
        <f aca="false">Source_Data!I$7+IF($B$261=1,IF(Source_Data!I$6=Inputs!$B$14,Source_Data!$C$8,0),Source_Data!I$8)</f>
        <v>62.7455375</v>
      </c>
      <c r="J263" s="33" t="n">
        <f aca="false">Source_Data!J$7+IF($B$261=1,IF(Source_Data!J$6=Inputs!$B$14,Source_Data!$C$8,0),Source_Data!J$8)</f>
        <v>62.3657</v>
      </c>
      <c r="K263" s="33" t="n">
        <f aca="false">Source_Data!K$7+IF($B$261=1,IF(Source_Data!K$6=Inputs!$B$14,Source_Data!$C$8,0),Source_Data!K$8)</f>
        <v>63.473559375</v>
      </c>
      <c r="L263" s="33" t="n">
        <f aca="false">Source_Data!L$7+IF($B$261=1,IF(Source_Data!L$6=Inputs!$B$14,Source_Data!$C$8,0),Source_Data!L$8)</f>
        <v>80.3288484375</v>
      </c>
      <c r="M263" s="33" t="n">
        <f aca="false">Source_Data!M$7+IF($B$261=1,IF(Source_Data!M$6=Inputs!$B$14,Source_Data!$C$8,0),Source_Data!M$8)</f>
        <v>495.2538375</v>
      </c>
      <c r="N263" s="33" t="n">
        <f aca="false">Source_Data!N$7+IF($B$261=1,IF(Source_Data!N$6=Inputs!$B$14,Source_Data!$C$8,0),Source_Data!N$8)</f>
        <v>185.57775</v>
      </c>
      <c r="O263" s="33" t="n">
        <f aca="false">Source_Data!O$7+IF($B$261=1,IF(Source_Data!O$6=Inputs!$B$14,Source_Data!$C$8,0),Source_Data!O$8)</f>
        <v>176.534</v>
      </c>
      <c r="P263" s="33" t="n">
        <f aca="false">Source_Data!P$7+IF($B$261=1,IF(Source_Data!P$6=Inputs!$B$14,Source_Data!$C$8,0),Source_Data!P$8)</f>
        <v>97.31075</v>
      </c>
      <c r="Q263" s="33" t="n">
        <f aca="false">Source_Data!Q$7+IF($B$261=1,IF(Source_Data!Q$6=Inputs!$B$14,Source_Data!$C$8,0),Source_Data!Q$8)</f>
        <v>71.30996875</v>
      </c>
      <c r="R263" s="33" t="n">
        <f aca="false">Source_Data!R$7+IF($B$261=1,IF(Source_Data!R$6=Inputs!$B$14,Source_Data!$C$8,0),Source_Data!R$8)</f>
        <v>71.30996875</v>
      </c>
      <c r="S263" s="33" t="n">
        <f aca="false">Source_Data!S$7+IF($B$261=1,IF(Source_Data!S$6=Inputs!$B$14,Source_Data!$C$8,0),Source_Data!S$8)</f>
        <v>68.037035625</v>
      </c>
      <c r="T263" s="33" t="n">
        <f aca="false">Source_Data!T$7+IF($B$261=1,IF(Source_Data!T$6=Inputs!$B$14,Source_Data!$C$8,0),Source_Data!T$8)</f>
        <v>61.2266396875</v>
      </c>
      <c r="U263" s="33" t="n">
        <f aca="false">Source_Data!U$7+IF($B$261=1,IF(Source_Data!U$6=Inputs!$B$14,Source_Data!$C$8,0),Source_Data!U$8)</f>
        <v>59.7127159375</v>
      </c>
      <c r="V263" s="33" t="n">
        <f aca="false">Source_Data!V$7+IF($B$261=1,IF(Source_Data!V$6=Inputs!$B$14,Source_Data!$C$8,0),Source_Data!V$8)</f>
        <v>53.7239446875</v>
      </c>
      <c r="W263" s="33" t="n">
        <f aca="false">Source_Data!W$7+IF($B$261=1,IF(Source_Data!W$6=Inputs!$B$14,Source_Data!$C$8,0),Source_Data!W$8)</f>
        <v>49.3829446875</v>
      </c>
      <c r="X263" s="33" t="n">
        <f aca="false">Source_Data!X$7+IF($B$261=1,IF(Source_Data!X$6=Inputs!$B$14,Source_Data!$C$8,0),Source_Data!X$8)</f>
        <v>49.3829446875</v>
      </c>
      <c r="Y263" s="33" t="n">
        <f aca="false">Source_Data!Y$7+IF($B$261=1,IF(Source_Data!Y$6=Inputs!$B$14,Source_Data!$C$8,0),Source_Data!Y$8)</f>
        <v>42.1027259375</v>
      </c>
      <c r="Z263" s="33" t="n">
        <f aca="false">Source_Data!Z$7+IF($B$261=1,IF(Source_Data!Z$6=Inputs!$B$14,Source_Data!$C$8,0),Source_Data!Z$8)</f>
        <v>42.1027259375</v>
      </c>
      <c r="AA263" s="33" t="n">
        <f aca="false">Source_Data!AA$7+IF($B$261=1,IF(Source_Data!AA$6=Inputs!$B$14,Source_Data!$C$8,0),Source_Data!AA$8)</f>
        <v>42.1027259375</v>
      </c>
      <c r="AB263" s="33" t="n">
        <f aca="false">Source_Data!AB$7+IF($B$261=1,IF(Source_Data!AB$6=Inputs!$B$14,Source_Data!$C$8,0),Source_Data!AB$8)</f>
        <v>36.3147259375</v>
      </c>
      <c r="AC263" s="33" t="n">
        <f aca="false">Source_Data!AC$7+IF($B$261=1,IF(Source_Data!AC$6=Inputs!$B$14,Source_Data!$C$8,0),Source_Data!AC$8)</f>
        <v>33.0386275</v>
      </c>
      <c r="AD263" s="33" t="n">
        <f aca="false">Source_Data!AD$7+IF($B$261=1,IF(Source_Data!AD$6=Inputs!$B$14,Source_Data!$C$8,0),Source_Data!AD$8)</f>
        <v>29.43017125</v>
      </c>
      <c r="AE263" s="33" t="n">
        <f aca="false">Source_Data!AE$7+IF($B$261=1,IF(Source_Data!AE$6=Inputs!$B$14,Source_Data!$C$8,0),Source_Data!AE$8)</f>
        <v>25.08917125</v>
      </c>
      <c r="AF263" s="33" t="n">
        <f aca="false">Source_Data!AF$7+IF($B$261=1,IF(Source_Data!AF$6=Inputs!$B$14,Source_Data!$C$8,0),Source_Data!AF$8)</f>
        <v>25.08917125</v>
      </c>
      <c r="AG263" s="33" t="n">
        <f aca="false">Source_Data!AG$7+IF($B$261=1,IF(Source_Data!AG$6=Inputs!$B$14,Source_Data!$C$8,0),Source_Data!AG$8)</f>
        <v>25.08917125</v>
      </c>
      <c r="AH263" s="33" t="n">
        <f aca="false">Source_Data!AH$7+IF($B$261=1,IF(Source_Data!AH$6=Inputs!$B$14,Source_Data!$C$8,0),Source_Data!AH$8)</f>
        <v>25.08917125</v>
      </c>
      <c r="AI263" s="33" t="n">
        <f aca="false">Source_Data!AI$7+IF($B$261=1,IF(Source_Data!AI$6=Inputs!$B$14,Source_Data!$C$8,0),Source_Data!AI$8)</f>
        <v>25.08917125</v>
      </c>
      <c r="AJ263" s="33" t="n">
        <f aca="false">Source_Data!AJ$7+IF($B$261=1,IF(Source_Data!AJ$6=Inputs!$B$14,Source_Data!$C$8,0),Source_Data!AJ$8)</f>
        <v>25.08917125</v>
      </c>
      <c r="AK263" s="33" t="n">
        <f aca="false">Source_Data!AK$7+IF($B$261=1,IF(Source_Data!AK$6=Inputs!$B$14,Source_Data!$C$8,0),Source_Data!AK$8)</f>
        <v>22.905105625</v>
      </c>
      <c r="AL263" s="33" t="n">
        <f aca="false">Source_Data!AL$7+IF($B$261=1,IF(Source_Data!AL$6=Inputs!$B$14,Source_Data!$C$8,0),Source_Data!AL$8)</f>
        <v>22.905105625</v>
      </c>
      <c r="AM263" s="33" t="n">
        <f aca="false">Source_Data!AM$7+IF($B$261=1,IF(Source_Data!AM$6=Inputs!$B$14,Source_Data!$C$8,0),Source_Data!AM$8)</f>
        <v>18.739554375</v>
      </c>
      <c r="AN263" s="33" t="n">
        <f aca="false">Source_Data!AN$7+IF($B$261=1,IF(Source_Data!AN$6=Inputs!$B$14,Source_Data!$C$8,0),Source_Data!AN$8)</f>
        <v>9.6261675</v>
      </c>
      <c r="AO263" s="33" t="n">
        <f aca="false">Source_Data!AO$7+IF($B$261=1,IF(Source_Data!AO$6=Inputs!$B$14,Source_Data!$C$8,0),Source_Data!AO$8)</f>
        <v>3.5704725</v>
      </c>
      <c r="AP263" s="33" t="n">
        <f aca="false">Source_Data!AP$7+IF($B$261=1,IF(Source_Data!AP$6=Inputs!$B$14,Source_Data!$C$8,0),Source_Data!AP$8)</f>
        <v>0</v>
      </c>
      <c r="AQ263" s="33" t="n">
        <f aca="false">Source_Data!AQ$7+IF($B$261=1,IF(Source_Data!AQ$6=Inputs!$B$14,Source_Data!$C$8,0),Source_Data!AQ$8)</f>
        <v>0</v>
      </c>
      <c r="AR263" s="33" t="n">
        <f aca="false">Source_Data!AR$7+IF($B$261=1,IF(Source_Data!AR$6=Inputs!$B$14,Source_Data!$C$8,0),Source_Data!AR$8)</f>
        <v>0</v>
      </c>
      <c r="AS263" s="33" t="n">
        <f aca="false">Source_Data!AS$7+IF($B$261=1,IF(Source_Data!AS$6=Inputs!$B$14,Source_Data!$C$8,0),Source_Data!AS$8)</f>
        <v>0</v>
      </c>
      <c r="AT263" s="33" t="n">
        <f aca="false">Source_Data!AT$7+IF($B$261=1,IF(Source_Data!AT$6=Inputs!$B$14,Source_Data!$C$8,0),Source_Data!AT$8)</f>
        <v>0</v>
      </c>
      <c r="AU263" s="33" t="n">
        <f aca="false">Source_Data!AU$7+IF($B$261=1,IF(Source_Data!AU$6=Inputs!$B$14,Source_Data!$C$8,0),Source_Data!AU$8)</f>
        <v>0</v>
      </c>
      <c r="AV263" s="33" t="n">
        <f aca="false">Source_Data!AV$7+IF($B$261=1,IF(Source_Data!AV$6=Inputs!$B$14,Source_Data!$C$8,0),Source_Data!AV$8)</f>
        <v>0</v>
      </c>
      <c r="AW263" s="33" t="n">
        <f aca="false">Source_Data!AW$7+IF($B$261=1,IF(Source_Data!AW$6=Inputs!$B$14,Source_Data!$C$8,0),Source_Data!AW$8)</f>
        <v>0</v>
      </c>
      <c r="AX263" s="33" t="n">
        <f aca="false">Source_Data!AX$7+IF($B$261=1,IF(Source_Data!AX$6=Inputs!$B$14,Source_Data!$C$8,0),Source_Data!AX$8)</f>
        <v>0</v>
      </c>
      <c r="AY263" s="33" t="n">
        <f aca="false">Source_Data!AY$7+IF($B$261=1,IF(Source_Data!AY$6=Inputs!$B$14,Source_Data!$C$8,0),Source_Data!AY$8)</f>
        <v>0</v>
      </c>
      <c r="AZ263" s="33" t="n">
        <f aca="false">Source_Data!AZ$7+IF($B$261=1,IF(Source_Data!AZ$6=Inputs!$B$14,Source_Data!$C$8,0),Source_Data!AZ$8)</f>
        <v>0</v>
      </c>
      <c r="BA263" s="33" t="n">
        <f aca="false">Source_Data!BA$7+IF($B$261=1,IF(Source_Data!BA$6=Inputs!$B$14,Source_Data!$C$8,0),Source_Data!BA$8)</f>
        <v>0</v>
      </c>
      <c r="BB263" s="33" t="n">
        <f aca="false">Source_Data!BB$7+IF($B$261=1,IF(Source_Data!BB$6=Inputs!$B$14,Source_Data!$C$8,0),Source_Data!BB$8)</f>
        <v>0</v>
      </c>
      <c r="BC263" s="33" t="n">
        <f aca="false">Source_Data!BC$7+IF($B$261=1,IF(Source_Data!BC$6=Inputs!$B$14,Source_Data!$C$8,0),Source_Data!BC$8)</f>
        <v>0</v>
      </c>
      <c r="BD263" s="33" t="n">
        <f aca="false">Source_Data!BD$7+IF($B$261=1,IF(Source_Data!BD$6=Inputs!$B$14,Source_Data!$C$8,0),Source_Data!BD$8)</f>
        <v>0</v>
      </c>
      <c r="BE263" s="33" t="n">
        <f aca="false">Source_Data!BE$7+IF($B$261=1,IF(Source_Data!BE$6=Inputs!$B$14,Source_Data!$C$8,0),Source_Data!BE$8)</f>
        <v>0</v>
      </c>
      <c r="BF263" s="33" t="n">
        <f aca="false">Source_Data!BF$7+IF($B$261=1,IF(Source_Data!BF$6=Inputs!$B$14,Source_Data!$C$8,0),Source_Data!BF$8)</f>
        <v>0</v>
      </c>
      <c r="BG263" s="33" t="n">
        <f aca="false">Source_Data!BG$7+IF($B$261=1,IF(Source_Data!BG$6=Inputs!$B$14,Source_Data!$C$8,0),Source_Data!BG$8)</f>
        <v>0</v>
      </c>
      <c r="BH263" s="33" t="n">
        <f aca="false">Source_Data!BH$7+IF($B$261=1,IF(Source_Data!BH$6=Inputs!$B$14,Source_Data!$C$8,0),Source_Data!BH$8)</f>
        <v>0</v>
      </c>
      <c r="BI263" s="33" t="n">
        <f aca="false">Source_Data!BI$7+IF($B$261=1,IF(Source_Data!BI$6=Inputs!$B$14,Source_Data!$C$8,0),Source_Data!BI$8)</f>
        <v>0</v>
      </c>
      <c r="BJ263" s="33" t="n">
        <f aca="false">Source_Data!BJ$7+IF($B$261=1,IF(Source_Data!BJ$6=Inputs!$B$14,Source_Data!$C$8,0),Source_Data!BJ$8)</f>
        <v>0</v>
      </c>
      <c r="BK263" s="33" t="n">
        <f aca="false">Source_Data!BK$7+IF($B$261=1,IF(Source_Data!BK$6=Inputs!$B$14,Source_Data!$C$8,0),Source_Data!BK$8)</f>
        <v>0</v>
      </c>
    </row>
    <row r="264" customFormat="false" ht="15" hidden="false" customHeight="false" outlineLevel="0" collapsed="false">
      <c r="A264" s="3" t="s">
        <v>215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340</v>
      </c>
      <c r="D265" s="33" t="n">
        <f aca="false">Source_Data!D$9+Source_Data!D$10*IF(Source_Data!$C$10=0,0,MAX(0,Inputs!$B$20*Inputs!$B$23*$B$257-Inputs!$B$21)/Source_Data!$C$10)</f>
        <v>91.25</v>
      </c>
      <c r="E265" s="33" t="n">
        <f aca="false">Source_Data!E$9+Source_Data!E$10*IF(Source_Data!$C$10=0,0,MAX(0,Inputs!$B$20*Inputs!$B$23*$B$257-Inputs!$B$21)/Source_Data!$C$10)</f>
        <v>11.25</v>
      </c>
      <c r="F265" s="33" t="n">
        <f aca="false">Source_Data!F$9+Source_Data!F$10*IF(Source_Data!$C$10=0,0,MAX(0,Inputs!$B$20*Inputs!$B$23*$B$257-Inputs!$B$21)/Source_Data!$C$10)</f>
        <v>11.25</v>
      </c>
      <c r="G265" s="33" t="n">
        <f aca="false">Source_Data!G$9+Source_Data!G$10*IF(Source_Data!$C$10=0,0,MAX(0,Inputs!$B$20*Inputs!$B$23*$B$257-Inputs!$B$21)/Source_Data!$C$10)</f>
        <v>11.25</v>
      </c>
      <c r="H265" s="33" t="n">
        <f aca="false">Source_Data!H$9+Source_Data!H$10*IF(Source_Data!$C$10=0,0,MAX(0,Inputs!$B$20*Inputs!$B$23*$B$257-Inputs!$B$21)/Source_Data!$C$10)</f>
        <v>22.5</v>
      </c>
      <c r="I265" s="33" t="n">
        <f aca="false">Source_Data!I$9+Source_Data!I$10*IF(Source_Data!$C$10=0,0,MAX(0,Inputs!$B$20*Inputs!$B$23*$B$257-Inputs!$B$21)/Source_Data!$C$10)</f>
        <v>22.5</v>
      </c>
      <c r="J265" s="33" t="n">
        <f aca="false">Source_Data!J$9+Source_Data!J$10*IF(Source_Data!$C$10=0,0,MAX(0,Inputs!$B$20*Inputs!$B$23*$B$257-Inputs!$B$21)/Source_Data!$C$10)</f>
        <v>22.5</v>
      </c>
      <c r="K265" s="33" t="n">
        <f aca="false">Source_Data!K$9+Source_Data!K$10*IF(Source_Data!$C$10=0,0,MAX(0,Inputs!$B$20*Inputs!$B$23*$B$257-Inputs!$B$21)/Source_Data!$C$10)</f>
        <v>22.5</v>
      </c>
      <c r="L265" s="33" t="n">
        <f aca="false">Source_Data!L$9+Source_Data!L$10*IF(Source_Data!$C$10=0,0,MAX(0,Inputs!$B$20*Inputs!$B$23*$B$257-Inputs!$B$21)/Source_Data!$C$10)</f>
        <v>33.75</v>
      </c>
      <c r="M265" s="33" t="n">
        <f aca="false">Source_Data!M$9+Source_Data!M$10*IF(Source_Data!$C$10=0,0,MAX(0,Inputs!$B$20*Inputs!$B$23*$B$257-Inputs!$B$21)/Source_Data!$C$10)</f>
        <v>33.75</v>
      </c>
      <c r="N265" s="33" t="n">
        <f aca="false">Source_Data!N$9+Source_Data!N$10*IF(Source_Data!$C$10=0,0,MAX(0,Inputs!$B$20*Inputs!$B$23*$B$257-Inputs!$B$21)/Source_Data!$C$10)</f>
        <v>33.75</v>
      </c>
      <c r="O265" s="33" t="n">
        <f aca="false">Source_Data!O$9+Source_Data!O$10*IF(Source_Data!$C$10=0,0,MAX(0,Inputs!$B$20*Inputs!$B$23*$B$257-Inputs!$B$21)/Source_Data!$C$10)</f>
        <v>33.75</v>
      </c>
      <c r="P265" s="33" t="n">
        <f aca="false">Source_Data!P$9+Source_Data!P$10*IF(Source_Data!$C$10=0,0,MAX(0,Inputs!$B$20*Inputs!$B$23*$B$257-Inputs!$B$21)/Source_Data!$C$10)</f>
        <v>45</v>
      </c>
      <c r="Q265" s="33" t="n">
        <f aca="false">Source_Data!Q$9+Source_Data!Q$10*IF(Source_Data!$C$10=0,0,MAX(0,Inputs!$B$20*Inputs!$B$23*$B$257-Inputs!$B$21)/Source_Data!$C$10)</f>
        <v>45</v>
      </c>
      <c r="R265" s="33" t="n">
        <f aca="false">Source_Data!R$9+Source_Data!R$10*IF(Source_Data!$C$10=0,0,MAX(0,Inputs!$B$20*Inputs!$B$23*$B$257-Inputs!$B$21)/Source_Data!$C$10)</f>
        <v>45</v>
      </c>
      <c r="S265" s="33" t="n">
        <f aca="false">Source_Data!S$9+Source_Data!S$10*IF(Source_Data!$C$10=0,0,MAX(0,Inputs!$B$20*Inputs!$B$23*$B$257-Inputs!$B$21)/Source_Data!$C$10)</f>
        <v>45</v>
      </c>
      <c r="T265" s="33" t="n">
        <f aca="false">Source_Data!T$9+Source_Data!T$10*IF(Source_Data!$C$10=0,0,MAX(0,Inputs!$B$20*Inputs!$B$23*$B$257-Inputs!$B$21)/Source_Data!$C$10)</f>
        <v>45</v>
      </c>
      <c r="U265" s="33" t="n">
        <f aca="false">Source_Data!U$9+Source_Data!U$10*IF(Source_Data!$C$10=0,0,MAX(0,Inputs!$B$20*Inputs!$B$23*$B$257-Inputs!$B$21)/Source_Data!$C$10)</f>
        <v>45</v>
      </c>
      <c r="V265" s="33" t="n">
        <f aca="false">Source_Data!V$9+Source_Data!V$10*IF(Source_Data!$C$10=0,0,MAX(0,Inputs!$B$20*Inputs!$B$23*$B$257-Inputs!$B$21)/Source_Data!$C$10)</f>
        <v>45</v>
      </c>
      <c r="W265" s="33" t="n">
        <f aca="false">Source_Data!W$9+Source_Data!W$10*IF(Source_Data!$C$10=0,0,MAX(0,Inputs!$B$20*Inputs!$B$23*$B$257-Inputs!$B$21)/Source_Data!$C$10)</f>
        <v>45</v>
      </c>
      <c r="X265" s="33" t="n">
        <f aca="false">Source_Data!X$9+Source_Data!X$10*IF(Source_Data!$C$10=0,0,MAX(0,Inputs!$B$20*Inputs!$B$23*$B$257-Inputs!$B$21)/Source_Data!$C$10)</f>
        <v>22.5</v>
      </c>
      <c r="Y265" s="33" t="n">
        <f aca="false">Source_Data!Y$9+Source_Data!Y$10*IF(Source_Data!$C$10=0,0,MAX(0,Inputs!$B$20*Inputs!$B$23*$B$257-Inputs!$B$21)/Source_Data!$C$10)</f>
        <v>22.5</v>
      </c>
      <c r="Z265" s="33" t="n">
        <f aca="false">Source_Data!Z$9+Source_Data!Z$10*IF(Source_Data!$C$10=0,0,MAX(0,Inputs!$B$20*Inputs!$B$23*$B$257-Inputs!$B$21)/Source_Data!$C$10)</f>
        <v>22.5</v>
      </c>
      <c r="AA265" s="33" t="n">
        <f aca="false">Source_Data!AA$9+Source_Data!AA$10*IF(Source_Data!$C$10=0,0,MAX(0,Inputs!$B$20*Inputs!$B$23*$B$257-Inputs!$B$21)/Source_Data!$C$10)</f>
        <v>22.5</v>
      </c>
      <c r="AB265" s="33" t="n">
        <f aca="false">Source_Data!AB$9+Source_Data!AB$10*IF(Source_Data!$C$10=0,0,MAX(0,Inputs!$B$20*Inputs!$B$23*$B$257-Inputs!$B$21)/Source_Data!$C$10)</f>
        <v>0</v>
      </c>
      <c r="AC265" s="33" t="n">
        <f aca="false">Source_Data!AC$9+Source_Data!AC$10*IF(Source_Data!$C$10=0,0,MAX(0,Inputs!$B$20*Inputs!$B$23*$B$257-Inputs!$B$21)/Source_Data!$C$10)</f>
        <v>0</v>
      </c>
      <c r="AD265" s="33" t="n">
        <f aca="false">Source_Data!AD$9+Source_Data!AD$10*IF(Source_Data!$C$10=0,0,MAX(0,Inputs!$B$20*Inputs!$B$23*$B$257-Inputs!$B$21)/Source_Data!$C$10)</f>
        <v>0</v>
      </c>
      <c r="AE265" s="33" t="n">
        <f aca="false">Source_Data!AE$9+Source_Data!AE$10*IF(Source_Data!$C$10=0,0,MAX(0,Inputs!$B$20*Inputs!$B$23*$B$257-Inputs!$B$21)/Source_Data!$C$10)</f>
        <v>0</v>
      </c>
      <c r="AF265" s="33" t="n">
        <f aca="false">Source_Data!AF$9+Source_Data!AF$10*IF(Source_Data!$C$10=0,0,MAX(0,Inputs!$B$20*Inputs!$B$23*$B$257-Inputs!$B$21)/Source_Data!$C$10)</f>
        <v>107.758210351563</v>
      </c>
      <c r="AG265" s="33" t="n">
        <f aca="false">Source_Data!AG$9+Source_Data!AG$10*IF(Source_Data!$C$10=0,0,MAX(0,Inputs!$B$20*Inputs!$B$23*$B$257-Inputs!$B$21)/Source_Data!$C$10)</f>
        <v>10.976512421875</v>
      </c>
      <c r="AH265" s="33" t="n">
        <f aca="false">Source_Data!AH$9+Source_Data!AH$10*IF(Source_Data!$C$10=0,0,MAX(0,Inputs!$B$20*Inputs!$B$23*$B$257-Inputs!$B$21)/Source_Data!$C$10)</f>
        <v>10.976512421875</v>
      </c>
      <c r="AI265" s="33" t="n">
        <f aca="false">Source_Data!AI$9+Source_Data!AI$10*IF(Source_Data!$C$10=0,0,MAX(0,Inputs!$B$20*Inputs!$B$23*$B$257-Inputs!$B$21)/Source_Data!$C$10)</f>
        <v>10.976512421875</v>
      </c>
      <c r="AJ265" s="33" t="n">
        <f aca="false">Source_Data!AJ$9+Source_Data!AJ$10*IF(Source_Data!$C$10=0,0,MAX(0,Inputs!$B$20*Inputs!$B$23*$B$257-Inputs!$B$21)/Source_Data!$C$10)</f>
        <v>10.976512421875</v>
      </c>
      <c r="AK265" s="33" t="n">
        <f aca="false">Source_Data!AK$9+Source_Data!AK$10*IF(Source_Data!$C$10=0,0,MAX(0,Inputs!$B$20*Inputs!$B$23*$B$257-Inputs!$B$21)/Source_Data!$C$10)</f>
        <v>10.0209837109375</v>
      </c>
      <c r="AL265" s="33" t="n">
        <f aca="false">Source_Data!AL$9+Source_Data!AL$10*IF(Source_Data!$C$10=0,0,MAX(0,Inputs!$B$20*Inputs!$B$23*$B$257-Inputs!$B$21)/Source_Data!$C$10)</f>
        <v>10.0209837109375</v>
      </c>
      <c r="AM265" s="33" t="n">
        <f aca="false">Source_Data!AM$9+Source_Data!AM$10*IF(Source_Data!$C$10=0,0,MAX(0,Inputs!$B$20*Inputs!$B$23*$B$257-Inputs!$B$21)/Source_Data!$C$10)</f>
        <v>8.19855503906249</v>
      </c>
      <c r="AN265" s="33" t="n">
        <f aca="false">Source_Data!AN$9+Source_Data!AN$10*IF(Source_Data!$C$10=0,0,MAX(0,Inputs!$B$20*Inputs!$B$23*$B$257-Inputs!$B$21)/Source_Data!$C$10)</f>
        <v>4.21144828125</v>
      </c>
      <c r="AO265" s="33" t="n">
        <f aca="false">Source_Data!AO$9+Source_Data!AO$10*IF(Source_Data!$C$10=0,0,MAX(0,Inputs!$B$20*Inputs!$B$23*$B$257-Inputs!$B$21)/Source_Data!$C$10)</f>
        <v>1.56208171875</v>
      </c>
      <c r="AP265" s="33" t="n">
        <f aca="false">Source_Data!AP$9+Source_Data!AP$10*IF(Source_Data!$C$10=0,0,MAX(0,Inputs!$B$20*Inputs!$B$23*$B$257-Inputs!$B$21)/Source_Data!$C$10)</f>
        <v>0</v>
      </c>
      <c r="AQ265" s="33" t="n">
        <f aca="false">Source_Data!AQ$9+Source_Data!AQ$10*IF(Source_Data!$C$10=0,0,MAX(0,Inputs!$B$20*Inputs!$B$23*$B$257-Inputs!$B$21)/Source_Data!$C$10)</f>
        <v>0</v>
      </c>
      <c r="AR265" s="33" t="n">
        <f aca="false">Source_Data!AR$9+Source_Data!AR$10*IF(Source_Data!$C$10=0,0,MAX(0,Inputs!$B$20*Inputs!$B$23*$B$257-Inputs!$B$21)/Source_Data!$C$10)</f>
        <v>0</v>
      </c>
      <c r="AS265" s="33" t="n">
        <f aca="false">Source_Data!AS$9+Source_Data!AS$10*IF(Source_Data!$C$10=0,0,MAX(0,Inputs!$B$20*Inputs!$B$23*$B$257-Inputs!$B$21)/Source_Data!$C$10)</f>
        <v>0</v>
      </c>
      <c r="AT265" s="33" t="n">
        <f aca="false">Source_Data!AT$9+Source_Data!AT$10*IF(Source_Data!$C$10=0,0,MAX(0,Inputs!$B$20*Inputs!$B$23*$B$257-Inputs!$B$21)/Source_Data!$C$10)</f>
        <v>0</v>
      </c>
      <c r="AU265" s="33" t="n">
        <f aca="false">Source_Data!AU$9+Source_Data!AU$10*IF(Source_Data!$C$10=0,0,MAX(0,Inputs!$B$20*Inputs!$B$23*$B$257-Inputs!$B$21)/Source_Data!$C$10)</f>
        <v>0</v>
      </c>
      <c r="AV265" s="33" t="n">
        <f aca="false">Source_Data!AV$9+Source_Data!AV$10*IF(Source_Data!$C$10=0,0,MAX(0,Inputs!$B$20*Inputs!$B$23*$B$257-Inputs!$B$21)/Source_Data!$C$10)</f>
        <v>0</v>
      </c>
      <c r="AW265" s="33" t="n">
        <f aca="false">Source_Data!AW$9+Source_Data!AW$10*IF(Source_Data!$C$10=0,0,MAX(0,Inputs!$B$20*Inputs!$B$23*$B$257-Inputs!$B$21)/Source_Data!$C$10)</f>
        <v>0</v>
      </c>
      <c r="AX265" s="33" t="n">
        <f aca="false">Source_Data!AX$9+Source_Data!AX$10*IF(Source_Data!$C$10=0,0,MAX(0,Inputs!$B$20*Inputs!$B$23*$B$257-Inputs!$B$21)/Source_Data!$C$10)</f>
        <v>0</v>
      </c>
      <c r="AY265" s="33" t="n">
        <f aca="false">Source_Data!AY$9+Source_Data!AY$10*IF(Source_Data!$C$10=0,0,MAX(0,Inputs!$B$20*Inputs!$B$23*$B$257-Inputs!$B$21)/Source_Data!$C$10)</f>
        <v>0</v>
      </c>
      <c r="AZ265" s="33" t="n">
        <f aca="false">Source_Data!AZ$9+Source_Data!AZ$10*IF(Source_Data!$C$10=0,0,MAX(0,Inputs!$B$20*Inputs!$B$23*$B$257-Inputs!$B$21)/Source_Data!$C$10)</f>
        <v>0</v>
      </c>
      <c r="BA265" s="33" t="n">
        <f aca="false">Source_Data!BA$9+Source_Data!BA$10*IF(Source_Data!$C$10=0,0,MAX(0,Inputs!$B$20*Inputs!$B$23*$B$257-Inputs!$B$21)/Source_Data!$C$10)</f>
        <v>0</v>
      </c>
      <c r="BB265" s="33" t="n">
        <f aca="false">Source_Data!BB$9+Source_Data!BB$10*IF(Source_Data!$C$10=0,0,MAX(0,Inputs!$B$20*Inputs!$B$23*$B$257-Inputs!$B$21)/Source_Data!$C$10)</f>
        <v>0</v>
      </c>
      <c r="BC265" s="33" t="n">
        <f aca="false">Source_Data!BC$9+Source_Data!BC$10*IF(Source_Data!$C$10=0,0,MAX(0,Inputs!$B$20*Inputs!$B$23*$B$257-Inputs!$B$21)/Source_Data!$C$10)</f>
        <v>0</v>
      </c>
      <c r="BD265" s="33" t="n">
        <f aca="false">Source_Data!BD$9+Source_Data!BD$10*IF(Source_Data!$C$10=0,0,MAX(0,Inputs!$B$20*Inputs!$B$23*$B$257-Inputs!$B$21)/Source_Data!$C$10)</f>
        <v>0</v>
      </c>
      <c r="BE265" s="33" t="n">
        <f aca="false">Source_Data!BE$9+Source_Data!BE$10*IF(Source_Data!$C$10=0,0,MAX(0,Inputs!$B$20*Inputs!$B$23*$B$257-Inputs!$B$21)/Source_Data!$C$10)</f>
        <v>0</v>
      </c>
      <c r="BF265" s="33" t="n">
        <f aca="false">Source_Data!BF$9+Source_Data!BF$10*IF(Source_Data!$C$10=0,0,MAX(0,Inputs!$B$20*Inputs!$B$23*$B$257-Inputs!$B$21)/Source_Data!$C$10)</f>
        <v>0</v>
      </c>
      <c r="BG265" s="33" t="n">
        <f aca="false">Source_Data!BG$9+Source_Data!BG$10*IF(Source_Data!$C$10=0,0,MAX(0,Inputs!$B$20*Inputs!$B$23*$B$257-Inputs!$B$21)/Source_Data!$C$10)</f>
        <v>0</v>
      </c>
      <c r="BH265" s="33" t="n">
        <f aca="false">Source_Data!BH$9+Source_Data!BH$10*IF(Source_Data!$C$10=0,0,MAX(0,Inputs!$B$20*Inputs!$B$23*$B$257-Inputs!$B$21)/Source_Data!$C$10)</f>
        <v>0</v>
      </c>
      <c r="BI265" s="33" t="n">
        <f aca="false">Source_Data!BI$9+Source_Data!BI$10*IF(Source_Data!$C$10=0,0,MAX(0,Inputs!$B$20*Inputs!$B$23*$B$257-Inputs!$B$21)/Source_Data!$C$10)</f>
        <v>0</v>
      </c>
      <c r="BJ265" s="33" t="n">
        <f aca="false">Source_Data!BJ$9+Source_Data!BJ$10*IF(Source_Data!$C$10=0,0,MAX(0,Inputs!$B$20*Inputs!$B$23*$B$257-Inputs!$B$21)/Source_Data!$C$10)</f>
        <v>0</v>
      </c>
      <c r="BK265" s="33" t="n">
        <f aca="false">Source_Data!BK$9+Source_Data!BK$10*IF(Source_Data!$C$10=0,0,MAX(0,Inputs!$B$20*Inputs!$B$23*$B$257-Inputs!$B$21)/Source_Data!$C$10)</f>
        <v>0</v>
      </c>
    </row>
    <row r="266" customFormat="false" ht="15" hidden="false" customHeight="false" outlineLevel="0" collapsed="false">
      <c r="A266" s="3" t="s">
        <v>196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198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217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218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219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341</v>
      </c>
      <c r="D271" s="33" t="n">
        <f aca="false">IF(Source_Data!D$6=Inputs!$B$13,-Inputs!$B$7,0)+IF(AND(Source_Data!D$6&gt;=$B$262,Source_Data!D$6&lt;$B$262+3*Inputs!$B$17,MOD(Source_Data!D$6-$B$262,3)=0),Inputs!$B$8*Inputs!$B$7*Inputs!$B$35*$B$257*(1-Inputs!$B$16)/Inputs!$B$17,0)</f>
        <v>-75</v>
      </c>
      <c r="E271" s="33" t="n">
        <f aca="false">IF(Source_Data!E$6=Inputs!$B$13,-Inputs!$B$7,0)+IF(AND(Source_Data!E$6&gt;=$B$262,Source_Data!E$6&lt;$B$262+3*Inputs!$B$17,MOD(Source_Data!E$6-$B$262,3)=0),Inputs!$B$8*Inputs!$B$7*Inputs!$B$35*$B$257*(1-Inputs!$B$16)/Inputs!$B$17,0)</f>
        <v>0</v>
      </c>
      <c r="F271" s="33" t="n">
        <f aca="false">IF(Source_Data!F$6=Inputs!$B$13,-Inputs!$B$7,0)+IF(AND(Source_Data!F$6&gt;=$B$262,Source_Data!F$6&lt;$B$262+3*Inputs!$B$17,MOD(Source_Data!F$6-$B$262,3)=0),Inputs!$B$8*Inputs!$B$7*Inputs!$B$35*$B$257*(1-Inputs!$B$16)/Inputs!$B$17,0)</f>
        <v>0</v>
      </c>
      <c r="G271" s="33" t="n">
        <f aca="false">IF(Source_Data!G$6=Inputs!$B$13,-Inputs!$B$7,0)+IF(AND(Source_Data!G$6&gt;=$B$262,Source_Data!G$6&lt;$B$262+3*Inputs!$B$17,MOD(Source_Data!G$6-$B$262,3)=0),Inputs!$B$8*Inputs!$B$7*Inputs!$B$35*$B$257*(1-Inputs!$B$16)/Inputs!$B$17,0)</f>
        <v>0</v>
      </c>
      <c r="H271" s="33" t="n">
        <f aca="false">IF(Source_Data!H$6=Inputs!$B$13,-Inputs!$B$7,0)+IF(AND(Source_Data!H$6&gt;=$B$262,Source_Data!H$6&lt;$B$262+3*Inputs!$B$17,MOD(Source_Data!H$6-$B$262,3)=0),Inputs!$B$8*Inputs!$B$7*Inputs!$B$35*$B$257*(1-Inputs!$B$16)/Inputs!$B$17,0)</f>
        <v>0</v>
      </c>
      <c r="I271" s="33" t="n">
        <f aca="false">IF(Source_Data!I$6=Inputs!$B$13,-Inputs!$B$7,0)+IF(AND(Source_Data!I$6&gt;=$B$262,Source_Data!I$6&lt;$B$262+3*Inputs!$B$17,MOD(Source_Data!I$6-$B$262,3)=0),Inputs!$B$8*Inputs!$B$7*Inputs!$B$35*$B$257*(1-Inputs!$B$16)/Inputs!$B$17,0)</f>
        <v>0</v>
      </c>
      <c r="J271" s="33" t="n">
        <f aca="false">IF(Source_Data!J$6=Inputs!$B$13,-Inputs!$B$7,0)+IF(AND(Source_Data!J$6&gt;=$B$262,Source_Data!J$6&lt;$B$262+3*Inputs!$B$17,MOD(Source_Data!J$6-$B$262,3)=0),Inputs!$B$8*Inputs!$B$7*Inputs!$B$35*$B$257*(1-Inputs!$B$16)/Inputs!$B$17,0)</f>
        <v>0</v>
      </c>
      <c r="K271" s="33" t="n">
        <f aca="false">IF(Source_Data!K$6=Inputs!$B$13,-Inputs!$B$7,0)+IF(AND(Source_Data!K$6&gt;=$B$262,Source_Data!K$6&lt;$B$262+3*Inputs!$B$17,MOD(Source_Data!K$6-$B$262,3)=0),Inputs!$B$8*Inputs!$B$7*Inputs!$B$35*$B$257*(1-Inputs!$B$16)/Inputs!$B$17,0)</f>
        <v>0</v>
      </c>
      <c r="L271" s="33" t="n">
        <f aca="false">IF(Source_Data!L$6=Inputs!$B$13,-Inputs!$B$7,0)+IF(AND(Source_Data!L$6&gt;=$B$262,Source_Data!L$6&lt;$B$262+3*Inputs!$B$17,MOD(Source_Data!L$6-$B$262,3)=0),Inputs!$B$8*Inputs!$B$7*Inputs!$B$35*$B$257*(1-Inputs!$B$16)/Inputs!$B$17,0)</f>
        <v>0</v>
      </c>
      <c r="M271" s="33" t="n">
        <f aca="false">IF(Source_Data!M$6=Inputs!$B$13,-Inputs!$B$7,0)+IF(AND(Source_Data!M$6&gt;=$B$262,Source_Data!M$6&lt;$B$262+3*Inputs!$B$17,MOD(Source_Data!M$6-$B$262,3)=0),Inputs!$B$8*Inputs!$B$7*Inputs!$B$35*$B$257*(1-Inputs!$B$16)/Inputs!$B$17,0)</f>
        <v>0</v>
      </c>
      <c r="N271" s="33" t="n">
        <f aca="false">IF(Source_Data!N$6=Inputs!$B$13,-Inputs!$B$7,0)+IF(AND(Source_Data!N$6&gt;=$B$262,Source_Data!N$6&lt;$B$262+3*Inputs!$B$17,MOD(Source_Data!N$6-$B$262,3)=0),Inputs!$B$8*Inputs!$B$7*Inputs!$B$35*$B$257*(1-Inputs!$B$16)/Inputs!$B$17,0)</f>
        <v>0</v>
      </c>
      <c r="O271" s="33" t="n">
        <f aca="false">IF(Source_Data!O$6=Inputs!$B$13,-Inputs!$B$7,0)+IF(AND(Source_Data!O$6&gt;=$B$262,Source_Data!O$6&lt;$B$262+3*Inputs!$B$17,MOD(Source_Data!O$6-$B$262,3)=0),Inputs!$B$8*Inputs!$B$7*Inputs!$B$35*$B$257*(1-Inputs!$B$16)/Inputs!$B$17,0)</f>
        <v>0</v>
      </c>
      <c r="P271" s="33" t="n">
        <f aca="false">IF(Source_Data!P$6=Inputs!$B$13,-Inputs!$B$7,0)+IF(AND(Source_Data!P$6&gt;=$B$262,Source_Data!P$6&lt;$B$262+3*Inputs!$B$17,MOD(Source_Data!P$6-$B$262,3)=0),Inputs!$B$8*Inputs!$B$7*Inputs!$B$35*$B$257*(1-Inputs!$B$16)/Inputs!$B$17,0)</f>
        <v>0</v>
      </c>
      <c r="Q271" s="33" t="n">
        <f aca="false">IF(Source_Data!Q$6=Inputs!$B$13,-Inputs!$B$7,0)+IF(AND(Source_Data!Q$6&gt;=$B$262,Source_Data!Q$6&lt;$B$262+3*Inputs!$B$17,MOD(Source_Data!Q$6-$B$262,3)=0),Inputs!$B$8*Inputs!$B$7*Inputs!$B$35*$B$257*(1-Inputs!$B$16)/Inputs!$B$17,0)</f>
        <v>0</v>
      </c>
      <c r="R271" s="33" t="n">
        <f aca="false">IF(Source_Data!R$6=Inputs!$B$13,-Inputs!$B$7,0)+IF(AND(Source_Data!R$6&gt;=$B$262,Source_Data!R$6&lt;$B$262+3*Inputs!$B$17,MOD(Source_Data!R$6-$B$262,3)=0),Inputs!$B$8*Inputs!$B$7*Inputs!$B$35*$B$257*(1-Inputs!$B$16)/Inputs!$B$17,0)</f>
        <v>0</v>
      </c>
      <c r="S271" s="33" t="n">
        <f aca="false">IF(Source_Data!S$6=Inputs!$B$13,-Inputs!$B$7,0)+IF(AND(Source_Data!S$6&gt;=$B$262,Source_Data!S$6&lt;$B$262+3*Inputs!$B$17,MOD(Source_Data!S$6-$B$262,3)=0),Inputs!$B$8*Inputs!$B$7*Inputs!$B$35*$B$257*(1-Inputs!$B$16)/Inputs!$B$17,0)</f>
        <v>0</v>
      </c>
      <c r="T271" s="33" t="n">
        <f aca="false">IF(Source_Data!T$6=Inputs!$B$13,-Inputs!$B$7,0)+IF(AND(Source_Data!T$6&gt;=$B$262,Source_Data!T$6&lt;$B$262+3*Inputs!$B$17,MOD(Source_Data!T$6-$B$262,3)=0),Inputs!$B$8*Inputs!$B$7*Inputs!$B$35*$B$257*(1-Inputs!$B$16)/Inputs!$B$17,0)</f>
        <v>0</v>
      </c>
      <c r="U271" s="33" t="n">
        <f aca="false">IF(Source_Data!U$6=Inputs!$B$13,-Inputs!$B$7,0)+IF(AND(Source_Data!U$6&gt;=$B$262,Source_Data!U$6&lt;$B$262+3*Inputs!$B$17,MOD(Source_Data!U$6-$B$262,3)=0),Inputs!$B$8*Inputs!$B$7*Inputs!$B$35*$B$257*(1-Inputs!$B$16)/Inputs!$B$17,0)</f>
        <v>0</v>
      </c>
      <c r="V271" s="33" t="n">
        <f aca="false">IF(Source_Data!V$6=Inputs!$B$13,-Inputs!$B$7,0)+IF(AND(Source_Data!V$6&gt;=$B$262,Source_Data!V$6&lt;$B$262+3*Inputs!$B$17,MOD(Source_Data!V$6-$B$262,3)=0),Inputs!$B$8*Inputs!$B$7*Inputs!$B$35*$B$257*(1-Inputs!$B$16)/Inputs!$B$17,0)</f>
        <v>0</v>
      </c>
      <c r="W271" s="33" t="n">
        <f aca="false">IF(Source_Data!W$6=Inputs!$B$13,-Inputs!$B$7,0)+IF(AND(Source_Data!W$6&gt;=$B$262,Source_Data!W$6&lt;$B$262+3*Inputs!$B$17,MOD(Source_Data!W$6-$B$262,3)=0),Inputs!$B$8*Inputs!$B$7*Inputs!$B$35*$B$257*(1-Inputs!$B$16)/Inputs!$B$17,0)</f>
        <v>0</v>
      </c>
      <c r="X271" s="33" t="n">
        <f aca="false">IF(Source_Data!X$6=Inputs!$B$13,-Inputs!$B$7,0)+IF(AND(Source_Data!X$6&gt;=$B$262,Source_Data!X$6&lt;$B$262+3*Inputs!$B$17,MOD(Source_Data!X$6-$B$262,3)=0),Inputs!$B$8*Inputs!$B$7*Inputs!$B$35*$B$257*(1-Inputs!$B$16)/Inputs!$B$17,0)</f>
        <v>0</v>
      </c>
      <c r="Y271" s="33" t="n">
        <f aca="false">IF(Source_Data!Y$6=Inputs!$B$13,-Inputs!$B$7,0)+IF(AND(Source_Data!Y$6&gt;=$B$262,Source_Data!Y$6&lt;$B$262+3*Inputs!$B$17,MOD(Source_Data!Y$6-$B$262,3)=0),Inputs!$B$8*Inputs!$B$7*Inputs!$B$35*$B$257*(1-Inputs!$B$16)/Inputs!$B$17,0)</f>
        <v>0</v>
      </c>
      <c r="Z271" s="33" t="n">
        <f aca="false">IF(Source_Data!Z$6=Inputs!$B$13,-Inputs!$B$7,0)+IF(AND(Source_Data!Z$6&gt;=$B$262,Source_Data!Z$6&lt;$B$262+3*Inputs!$B$17,MOD(Source_Data!Z$6-$B$262,3)=0),Inputs!$B$8*Inputs!$B$7*Inputs!$B$35*$B$257*(1-Inputs!$B$16)/Inputs!$B$17,0)</f>
        <v>0</v>
      </c>
      <c r="AA271" s="33" t="n">
        <f aca="false">IF(Source_Data!AA$6=Inputs!$B$13,-Inputs!$B$7,0)+IF(AND(Source_Data!AA$6&gt;=$B$262,Source_Data!AA$6&lt;$B$262+3*Inputs!$B$17,MOD(Source_Data!AA$6-$B$262,3)=0),Inputs!$B$8*Inputs!$B$7*Inputs!$B$35*$B$257*(1-Inputs!$B$16)/Inputs!$B$17,0)</f>
        <v>0</v>
      </c>
      <c r="AB271" s="33" t="n">
        <f aca="false">IF(Source_Data!AB$6=Inputs!$B$13,-Inputs!$B$7,0)+IF(AND(Source_Data!AB$6&gt;=$B$262,Source_Data!AB$6&lt;$B$262+3*Inputs!$B$17,MOD(Source_Data!AB$6-$B$262,3)=0),Inputs!$B$8*Inputs!$B$7*Inputs!$B$35*$B$257*(1-Inputs!$B$16)/Inputs!$B$17,0)</f>
        <v>52.1505376344086</v>
      </c>
      <c r="AC271" s="33" t="n">
        <f aca="false">IF(Source_Data!AC$6=Inputs!$B$13,-Inputs!$B$7,0)+IF(AND(Source_Data!AC$6&gt;=$B$262,Source_Data!AC$6&lt;$B$262+3*Inputs!$B$17,MOD(Source_Data!AC$6-$B$262,3)=0),Inputs!$B$8*Inputs!$B$7*Inputs!$B$35*$B$257*(1-Inputs!$B$16)/Inputs!$B$17,0)</f>
        <v>52.1505376344086</v>
      </c>
      <c r="AD271" s="33" t="n">
        <f aca="false">IF(Source_Data!AD$6=Inputs!$B$13,-Inputs!$B$7,0)+IF(AND(Source_Data!AD$6&gt;=$B$262,Source_Data!AD$6&lt;$B$262+3*Inputs!$B$17,MOD(Source_Data!AD$6-$B$262,3)=0),Inputs!$B$8*Inputs!$B$7*Inputs!$B$35*$B$257*(1-Inputs!$B$16)/Inputs!$B$17,0)</f>
        <v>52.1505376344086</v>
      </c>
      <c r="AE271" s="33" t="n">
        <f aca="false">IF(Source_Data!AE$6=Inputs!$B$13,-Inputs!$B$7,0)+IF(AND(Source_Data!AE$6&gt;=$B$262,Source_Data!AE$6&lt;$B$262+3*Inputs!$B$17,MOD(Source_Data!AE$6-$B$262,3)=0),Inputs!$B$8*Inputs!$B$7*Inputs!$B$35*$B$257*(1-Inputs!$B$16)/Inputs!$B$17,0)</f>
        <v>52.1505376344086</v>
      </c>
      <c r="AF271" s="33" t="n">
        <f aca="false">IF(Source_Data!AF$6=Inputs!$B$13,-Inputs!$B$7,0)+IF(AND(Source_Data!AF$6&gt;=$B$262,Source_Data!AF$6&lt;$B$262+3*Inputs!$B$17,MOD(Source_Data!AF$6-$B$262,3)=0),Inputs!$B$8*Inputs!$B$7*Inputs!$B$35*$B$257*(1-Inputs!$B$16)/Inputs!$B$17,0)</f>
        <v>0</v>
      </c>
      <c r="AG271" s="33" t="n">
        <f aca="false">IF(Source_Data!AG$6=Inputs!$B$13,-Inputs!$B$7,0)+IF(AND(Source_Data!AG$6&gt;=$B$262,Source_Data!AG$6&lt;$B$262+3*Inputs!$B$17,MOD(Source_Data!AG$6-$B$262,3)=0),Inputs!$B$8*Inputs!$B$7*Inputs!$B$35*$B$257*(1-Inputs!$B$16)/Inputs!$B$17,0)</f>
        <v>0</v>
      </c>
      <c r="AH271" s="33" t="n">
        <f aca="false">IF(Source_Data!AH$6=Inputs!$B$13,-Inputs!$B$7,0)+IF(AND(Source_Data!AH$6&gt;=$B$262,Source_Data!AH$6&lt;$B$262+3*Inputs!$B$17,MOD(Source_Data!AH$6-$B$262,3)=0),Inputs!$B$8*Inputs!$B$7*Inputs!$B$35*$B$257*(1-Inputs!$B$16)/Inputs!$B$17,0)</f>
        <v>0</v>
      </c>
      <c r="AI271" s="33" t="n">
        <f aca="false">IF(Source_Data!AI$6=Inputs!$B$13,-Inputs!$B$7,0)+IF(AND(Source_Data!AI$6&gt;=$B$262,Source_Data!AI$6&lt;$B$262+3*Inputs!$B$17,MOD(Source_Data!AI$6-$B$262,3)=0),Inputs!$B$8*Inputs!$B$7*Inputs!$B$35*$B$257*(1-Inputs!$B$16)/Inputs!$B$17,0)</f>
        <v>0</v>
      </c>
      <c r="AJ271" s="33" t="n">
        <f aca="false">IF(Source_Data!AJ$6=Inputs!$B$13,-Inputs!$B$7,0)+IF(AND(Source_Data!AJ$6&gt;=$B$262,Source_Data!AJ$6&lt;$B$262+3*Inputs!$B$17,MOD(Source_Data!AJ$6-$B$262,3)=0),Inputs!$B$8*Inputs!$B$7*Inputs!$B$35*$B$257*(1-Inputs!$B$16)/Inputs!$B$17,0)</f>
        <v>0</v>
      </c>
      <c r="AK271" s="33" t="n">
        <f aca="false">IF(Source_Data!AK$6=Inputs!$B$13,-Inputs!$B$7,0)+IF(AND(Source_Data!AK$6&gt;=$B$262,Source_Data!AK$6&lt;$B$262+3*Inputs!$B$17,MOD(Source_Data!AK$6-$B$262,3)=0),Inputs!$B$8*Inputs!$B$7*Inputs!$B$35*$B$257*(1-Inputs!$B$16)/Inputs!$B$17,0)</f>
        <v>0</v>
      </c>
      <c r="AL271" s="33" t="n">
        <f aca="false">IF(Source_Data!AL$6=Inputs!$B$13,-Inputs!$B$7,0)+IF(AND(Source_Data!AL$6&gt;=$B$262,Source_Data!AL$6&lt;$B$262+3*Inputs!$B$17,MOD(Source_Data!AL$6-$B$262,3)=0),Inputs!$B$8*Inputs!$B$7*Inputs!$B$35*$B$257*(1-Inputs!$B$16)/Inputs!$B$17,0)</f>
        <v>0</v>
      </c>
      <c r="AM271" s="33" t="n">
        <f aca="false">IF(Source_Data!AM$6=Inputs!$B$13,-Inputs!$B$7,0)+IF(AND(Source_Data!AM$6&gt;=$B$262,Source_Data!AM$6&lt;$B$262+3*Inputs!$B$17,MOD(Source_Data!AM$6-$B$262,3)=0),Inputs!$B$8*Inputs!$B$7*Inputs!$B$35*$B$257*(1-Inputs!$B$16)/Inputs!$B$17,0)</f>
        <v>0</v>
      </c>
      <c r="AN271" s="33" t="n">
        <f aca="false">IF(Source_Data!AN$6=Inputs!$B$13,-Inputs!$B$7,0)+IF(AND(Source_Data!AN$6&gt;=$B$262,Source_Data!AN$6&lt;$B$262+3*Inputs!$B$17,MOD(Source_Data!AN$6-$B$262,3)=0),Inputs!$B$8*Inputs!$B$7*Inputs!$B$35*$B$257*(1-Inputs!$B$16)/Inputs!$B$17,0)</f>
        <v>0</v>
      </c>
      <c r="AO271" s="33" t="n">
        <f aca="false">IF(Source_Data!AO$6=Inputs!$B$13,-Inputs!$B$7,0)+IF(AND(Source_Data!AO$6&gt;=$B$262,Source_Data!AO$6&lt;$B$262+3*Inputs!$B$17,MOD(Source_Data!AO$6-$B$262,3)=0),Inputs!$B$8*Inputs!$B$7*Inputs!$B$35*$B$257*(1-Inputs!$B$16)/Inputs!$B$17,0)</f>
        <v>0</v>
      </c>
      <c r="AP271" s="33" t="n">
        <f aca="false">IF(Source_Data!AP$6=Inputs!$B$13,-Inputs!$B$7,0)+IF(AND(Source_Data!AP$6&gt;=$B$262,Source_Data!AP$6&lt;$B$262+3*Inputs!$B$17,MOD(Source_Data!AP$6-$B$262,3)=0),Inputs!$B$8*Inputs!$B$7*Inputs!$B$35*$B$257*(1-Inputs!$B$16)/Inputs!$B$17,0)</f>
        <v>0</v>
      </c>
      <c r="AQ271" s="33" t="n">
        <f aca="false">IF(Source_Data!AQ$6=Inputs!$B$13,-Inputs!$B$7,0)+IF(AND(Source_Data!AQ$6&gt;=$B$262,Source_Data!AQ$6&lt;$B$262+3*Inputs!$B$17,MOD(Source_Data!AQ$6-$B$262,3)=0),Inputs!$B$8*Inputs!$B$7*Inputs!$B$35*$B$257*(1-Inputs!$B$16)/Inputs!$B$17,0)</f>
        <v>0</v>
      </c>
      <c r="AR271" s="33" t="n">
        <f aca="false">IF(Source_Data!AR$6=Inputs!$B$13,-Inputs!$B$7,0)+IF(AND(Source_Data!AR$6&gt;=$B$262,Source_Data!AR$6&lt;$B$262+3*Inputs!$B$17,MOD(Source_Data!AR$6-$B$262,3)=0),Inputs!$B$8*Inputs!$B$7*Inputs!$B$35*$B$257*(1-Inputs!$B$16)/Inputs!$B$17,0)</f>
        <v>0</v>
      </c>
      <c r="AS271" s="33" t="n">
        <f aca="false">IF(Source_Data!AS$6=Inputs!$B$13,-Inputs!$B$7,0)+IF(AND(Source_Data!AS$6&gt;=$B$262,Source_Data!AS$6&lt;$B$262+3*Inputs!$B$17,MOD(Source_Data!AS$6-$B$262,3)=0),Inputs!$B$8*Inputs!$B$7*Inputs!$B$35*$B$257*(1-Inputs!$B$16)/Inputs!$B$17,0)</f>
        <v>0</v>
      </c>
      <c r="AT271" s="33" t="n">
        <f aca="false">IF(Source_Data!AT$6=Inputs!$B$13,-Inputs!$B$7,0)+IF(AND(Source_Data!AT$6&gt;=$B$262,Source_Data!AT$6&lt;$B$262+3*Inputs!$B$17,MOD(Source_Data!AT$6-$B$262,3)=0),Inputs!$B$8*Inputs!$B$7*Inputs!$B$35*$B$257*(1-Inputs!$B$16)/Inputs!$B$17,0)</f>
        <v>0</v>
      </c>
      <c r="AU271" s="33" t="n">
        <f aca="false">IF(Source_Data!AU$6=Inputs!$B$13,-Inputs!$B$7,0)+IF(AND(Source_Data!AU$6&gt;=$B$262,Source_Data!AU$6&lt;$B$262+3*Inputs!$B$17,MOD(Source_Data!AU$6-$B$262,3)=0),Inputs!$B$8*Inputs!$B$7*Inputs!$B$35*$B$257*(1-Inputs!$B$16)/Inputs!$B$17,0)</f>
        <v>0</v>
      </c>
      <c r="AV271" s="33" t="n">
        <f aca="false">IF(Source_Data!AV$6=Inputs!$B$13,-Inputs!$B$7,0)+IF(AND(Source_Data!AV$6&gt;=$B$262,Source_Data!AV$6&lt;$B$262+3*Inputs!$B$17,MOD(Source_Data!AV$6-$B$262,3)=0),Inputs!$B$8*Inputs!$B$7*Inputs!$B$35*$B$257*(1-Inputs!$B$16)/Inputs!$B$17,0)</f>
        <v>0</v>
      </c>
      <c r="AW271" s="33" t="n">
        <f aca="false">IF(Source_Data!AW$6=Inputs!$B$13,-Inputs!$B$7,0)+IF(AND(Source_Data!AW$6&gt;=$B$262,Source_Data!AW$6&lt;$B$262+3*Inputs!$B$17,MOD(Source_Data!AW$6-$B$262,3)=0),Inputs!$B$8*Inputs!$B$7*Inputs!$B$35*$B$257*(1-Inputs!$B$16)/Inputs!$B$17,0)</f>
        <v>0</v>
      </c>
      <c r="AX271" s="33" t="n">
        <f aca="false">IF(Source_Data!AX$6=Inputs!$B$13,-Inputs!$B$7,0)+IF(AND(Source_Data!AX$6&gt;=$B$262,Source_Data!AX$6&lt;$B$262+3*Inputs!$B$17,MOD(Source_Data!AX$6-$B$262,3)=0),Inputs!$B$8*Inputs!$B$7*Inputs!$B$35*$B$257*(1-Inputs!$B$16)/Inputs!$B$17,0)</f>
        <v>0</v>
      </c>
      <c r="AY271" s="33" t="n">
        <f aca="false">IF(Source_Data!AY$6=Inputs!$B$13,-Inputs!$B$7,0)+IF(AND(Source_Data!AY$6&gt;=$B$262,Source_Data!AY$6&lt;$B$262+3*Inputs!$B$17,MOD(Source_Data!AY$6-$B$262,3)=0),Inputs!$B$8*Inputs!$B$7*Inputs!$B$35*$B$257*(1-Inputs!$B$16)/Inputs!$B$17,0)</f>
        <v>0</v>
      </c>
      <c r="AZ271" s="33" t="n">
        <f aca="false">IF(Source_Data!AZ$6=Inputs!$B$13,-Inputs!$B$7,0)+IF(AND(Source_Data!AZ$6&gt;=$B$262,Source_Data!AZ$6&lt;$B$262+3*Inputs!$B$17,MOD(Source_Data!AZ$6-$B$262,3)=0),Inputs!$B$8*Inputs!$B$7*Inputs!$B$35*$B$257*(1-Inputs!$B$16)/Inputs!$B$17,0)</f>
        <v>0</v>
      </c>
      <c r="BA271" s="33" t="n">
        <f aca="false">IF(Source_Data!BA$6=Inputs!$B$13,-Inputs!$B$7,0)+IF(AND(Source_Data!BA$6&gt;=$B$262,Source_Data!BA$6&lt;$B$262+3*Inputs!$B$17,MOD(Source_Data!BA$6-$B$262,3)=0),Inputs!$B$8*Inputs!$B$7*Inputs!$B$35*$B$257*(1-Inputs!$B$16)/Inputs!$B$17,0)</f>
        <v>0</v>
      </c>
      <c r="BB271" s="33" t="n">
        <f aca="false">IF(Source_Data!BB$6=Inputs!$B$13,-Inputs!$B$7,0)+IF(AND(Source_Data!BB$6&gt;=$B$262,Source_Data!BB$6&lt;$B$262+3*Inputs!$B$17,MOD(Source_Data!BB$6-$B$262,3)=0),Inputs!$B$8*Inputs!$B$7*Inputs!$B$35*$B$257*(1-Inputs!$B$16)/Inputs!$B$17,0)</f>
        <v>0</v>
      </c>
      <c r="BC271" s="33" t="n">
        <f aca="false">IF(Source_Data!BC$6=Inputs!$B$13,-Inputs!$B$7,0)+IF(AND(Source_Data!BC$6&gt;=$B$262,Source_Data!BC$6&lt;$B$262+3*Inputs!$B$17,MOD(Source_Data!BC$6-$B$262,3)=0),Inputs!$B$8*Inputs!$B$7*Inputs!$B$35*$B$257*(1-Inputs!$B$16)/Inputs!$B$17,0)</f>
        <v>0</v>
      </c>
      <c r="BD271" s="33" t="n">
        <f aca="false">IF(Source_Data!BD$6=Inputs!$B$13,-Inputs!$B$7,0)+IF(AND(Source_Data!BD$6&gt;=$B$262,Source_Data!BD$6&lt;$B$262+3*Inputs!$B$17,MOD(Source_Data!BD$6-$B$262,3)=0),Inputs!$B$8*Inputs!$B$7*Inputs!$B$35*$B$257*(1-Inputs!$B$16)/Inputs!$B$17,0)</f>
        <v>0</v>
      </c>
      <c r="BE271" s="33" t="n">
        <f aca="false">IF(Source_Data!BE$6=Inputs!$B$13,-Inputs!$B$7,0)+IF(AND(Source_Data!BE$6&gt;=$B$262,Source_Data!BE$6&lt;$B$262+3*Inputs!$B$17,MOD(Source_Data!BE$6-$B$262,3)=0),Inputs!$B$8*Inputs!$B$7*Inputs!$B$35*$B$257*(1-Inputs!$B$16)/Inputs!$B$17,0)</f>
        <v>0</v>
      </c>
      <c r="BF271" s="33" t="n">
        <f aca="false">IF(Source_Data!BF$6=Inputs!$B$13,-Inputs!$B$7,0)+IF(AND(Source_Data!BF$6&gt;=$B$262,Source_Data!BF$6&lt;$B$262+3*Inputs!$B$17,MOD(Source_Data!BF$6-$B$262,3)=0),Inputs!$B$8*Inputs!$B$7*Inputs!$B$35*$B$257*(1-Inputs!$B$16)/Inputs!$B$17,0)</f>
        <v>0</v>
      </c>
      <c r="BG271" s="33" t="n">
        <f aca="false">IF(Source_Data!BG$6=Inputs!$B$13,-Inputs!$B$7,0)+IF(AND(Source_Data!BG$6&gt;=$B$262,Source_Data!BG$6&lt;$B$262+3*Inputs!$B$17,MOD(Source_Data!BG$6-$B$262,3)=0),Inputs!$B$8*Inputs!$B$7*Inputs!$B$35*$B$257*(1-Inputs!$B$16)/Inputs!$B$17,0)</f>
        <v>0</v>
      </c>
      <c r="BH271" s="33" t="n">
        <f aca="false">IF(Source_Data!BH$6=Inputs!$B$13,-Inputs!$B$7,0)+IF(AND(Source_Data!BH$6&gt;=$B$262,Source_Data!BH$6&lt;$B$262+3*Inputs!$B$17,MOD(Source_Data!BH$6-$B$262,3)=0),Inputs!$B$8*Inputs!$B$7*Inputs!$B$35*$B$257*(1-Inputs!$B$16)/Inputs!$B$17,0)</f>
        <v>0</v>
      </c>
      <c r="BI271" s="33" t="n">
        <f aca="false">IF(Source_Data!BI$6=Inputs!$B$13,-Inputs!$B$7,0)+IF(AND(Source_Data!BI$6&gt;=$B$262,Source_Data!BI$6&lt;$B$262+3*Inputs!$B$17,MOD(Source_Data!BI$6-$B$262,3)=0),Inputs!$B$8*Inputs!$B$7*Inputs!$B$35*$B$257*(1-Inputs!$B$16)/Inputs!$B$17,0)</f>
        <v>0</v>
      </c>
      <c r="BJ271" s="33" t="n">
        <f aca="false">IF(Source_Data!BJ$6=Inputs!$B$13,-Inputs!$B$7,0)+IF(AND(Source_Data!BJ$6&gt;=$B$262,Source_Data!BJ$6&lt;$B$262+3*Inputs!$B$17,MOD(Source_Data!BJ$6-$B$262,3)=0),Inputs!$B$8*Inputs!$B$7*Inputs!$B$35*$B$257*(1-Inputs!$B$16)/Inputs!$B$17,0)</f>
        <v>0</v>
      </c>
      <c r="BK271" s="33" t="n">
        <f aca="false">IF(Source_Data!BK$6=Inputs!$B$13,-Inputs!$B$7,0)+IF(AND(Source_Data!BK$6&gt;=$B$262,Source_Data!BK$6&lt;$B$262+3*Inputs!$B$17,MOD(Source_Data!BK$6-$B$262,3)=0),Inputs!$B$8*Inputs!$B$7*Inputs!$B$35*$B$257*(1-Inputs!$B$16)/Inputs!$B$17,0)</f>
        <v>0</v>
      </c>
    </row>
    <row r="272" customFormat="false" ht="15" hidden="false" customHeight="false" outlineLevel="0" collapsed="false">
      <c r="A272" s="3" t="s">
        <v>342</v>
      </c>
      <c r="D272" s="33" t="n">
        <f aca="false">IF(AND(Source_Data!D$6&gt;=Inputs!$B$55,Source_Data!D$6&lt;Inputs!$B$55+3*Inputs!$B$11),Inputs!$B$9*Inputs!$B$7/Inputs!$B$11,0)</f>
        <v>0</v>
      </c>
      <c r="E272" s="33" t="n">
        <f aca="false">IF(AND(Source_Data!E$6&gt;=Inputs!$B$55,Source_Data!E$6&lt;Inputs!$B$55+3*Inputs!$B$11),Inputs!$B$9*Inputs!$B$7/Inputs!$B$11,0)</f>
        <v>0</v>
      </c>
      <c r="F272" s="33" t="n">
        <f aca="false">IF(AND(Source_Data!F$6&gt;=Inputs!$B$55,Source_Data!F$6&lt;Inputs!$B$55+3*Inputs!$B$11),Inputs!$B$9*Inputs!$B$7/Inputs!$B$11,0)</f>
        <v>0</v>
      </c>
      <c r="G272" s="33" t="n">
        <f aca="false">IF(AND(Source_Data!G$6&gt;=Inputs!$B$55,Source_Data!G$6&lt;Inputs!$B$55+3*Inputs!$B$11),Inputs!$B$9*Inputs!$B$7/Inputs!$B$11,0)</f>
        <v>0</v>
      </c>
      <c r="H272" s="33" t="n">
        <f aca="false">IF(AND(Source_Data!H$6&gt;=Inputs!$B$55,Source_Data!H$6&lt;Inputs!$B$55+3*Inputs!$B$11),Inputs!$B$9*Inputs!$B$7/Inputs!$B$11,0)</f>
        <v>0</v>
      </c>
      <c r="I272" s="33" t="n">
        <f aca="false">IF(AND(Source_Data!I$6&gt;=Inputs!$B$55,Source_Data!I$6&lt;Inputs!$B$55+3*Inputs!$B$11),Inputs!$B$9*Inputs!$B$7/Inputs!$B$11,0)</f>
        <v>0</v>
      </c>
      <c r="J272" s="33" t="n">
        <f aca="false">IF(AND(Source_Data!J$6&gt;=Inputs!$B$55,Source_Data!J$6&lt;Inputs!$B$55+3*Inputs!$B$11),Inputs!$B$9*Inputs!$B$7/Inputs!$B$11,0)</f>
        <v>0</v>
      </c>
      <c r="K272" s="33" t="n">
        <f aca="false">IF(AND(Source_Data!K$6&gt;=Inputs!$B$55,Source_Data!K$6&lt;Inputs!$B$55+3*Inputs!$B$11),Inputs!$B$9*Inputs!$B$7/Inputs!$B$11,0)</f>
        <v>0</v>
      </c>
      <c r="L272" s="33" t="n">
        <f aca="false">IF(AND(Source_Data!L$6&gt;=Inputs!$B$55,Source_Data!L$6&lt;Inputs!$B$55+3*Inputs!$B$11),Inputs!$B$9*Inputs!$B$7/Inputs!$B$11,0)</f>
        <v>0</v>
      </c>
      <c r="M272" s="33" t="n">
        <f aca="false">IF(AND(Source_Data!M$6&gt;=Inputs!$B$55,Source_Data!M$6&lt;Inputs!$B$55+3*Inputs!$B$11),Inputs!$B$9*Inputs!$B$7/Inputs!$B$11,0)</f>
        <v>14.375</v>
      </c>
      <c r="N272" s="33" t="n">
        <f aca="false">IF(AND(Source_Data!N$6&gt;=Inputs!$B$55,Source_Data!N$6&lt;Inputs!$B$55+3*Inputs!$B$11),Inputs!$B$9*Inputs!$B$7/Inputs!$B$11,0)</f>
        <v>14.375</v>
      </c>
      <c r="O272" s="33" t="n">
        <f aca="false">IF(AND(Source_Data!O$6&gt;=Inputs!$B$55,Source_Data!O$6&lt;Inputs!$B$55+3*Inputs!$B$11),Inputs!$B$9*Inputs!$B$7/Inputs!$B$11,0)</f>
        <v>14.375</v>
      </c>
      <c r="P272" s="33" t="n">
        <f aca="false">IF(AND(Source_Data!P$6&gt;=Inputs!$B$55,Source_Data!P$6&lt;Inputs!$B$55+3*Inputs!$B$11),Inputs!$B$9*Inputs!$B$7/Inputs!$B$11,0)</f>
        <v>14.375</v>
      </c>
      <c r="Q272" s="33" t="n">
        <f aca="false">IF(AND(Source_Data!Q$6&gt;=Inputs!$B$55,Source_Data!Q$6&lt;Inputs!$B$55+3*Inputs!$B$11),Inputs!$B$9*Inputs!$B$7/Inputs!$B$11,0)</f>
        <v>14.375</v>
      </c>
      <c r="R272" s="33" t="n">
        <f aca="false">IF(AND(Source_Data!R$6&gt;=Inputs!$B$55,Source_Data!R$6&lt;Inputs!$B$55+3*Inputs!$B$11),Inputs!$B$9*Inputs!$B$7/Inputs!$B$11,0)</f>
        <v>14.375</v>
      </c>
      <c r="S272" s="33" t="n">
        <f aca="false">IF(AND(Source_Data!S$6&gt;=Inputs!$B$55,Source_Data!S$6&lt;Inputs!$B$55+3*Inputs!$B$11),Inputs!$B$9*Inputs!$B$7/Inputs!$B$11,0)</f>
        <v>14.375</v>
      </c>
      <c r="T272" s="33" t="n">
        <f aca="false">IF(AND(Source_Data!T$6&gt;=Inputs!$B$55,Source_Data!T$6&lt;Inputs!$B$55+3*Inputs!$B$11),Inputs!$B$9*Inputs!$B$7/Inputs!$B$11,0)</f>
        <v>14.375</v>
      </c>
      <c r="U272" s="33" t="n">
        <f aca="false">IF(AND(Source_Data!U$6&gt;=Inputs!$B$55,Source_Data!U$6&lt;Inputs!$B$55+3*Inputs!$B$11),Inputs!$B$9*Inputs!$B$7/Inputs!$B$11,0)</f>
        <v>14.375</v>
      </c>
      <c r="V272" s="33" t="n">
        <f aca="false">IF(AND(Source_Data!V$6&gt;=Inputs!$B$55,Source_Data!V$6&lt;Inputs!$B$55+3*Inputs!$B$11),Inputs!$B$9*Inputs!$B$7/Inputs!$B$11,0)</f>
        <v>14.375</v>
      </c>
      <c r="W272" s="33" t="n">
        <f aca="false">IF(AND(Source_Data!W$6&gt;=Inputs!$B$55,Source_Data!W$6&lt;Inputs!$B$55+3*Inputs!$B$11),Inputs!$B$9*Inputs!$B$7/Inputs!$B$11,0)</f>
        <v>14.375</v>
      </c>
      <c r="X272" s="33" t="n">
        <f aca="false">IF(AND(Source_Data!X$6&gt;=Inputs!$B$55,Source_Data!X$6&lt;Inputs!$B$55+3*Inputs!$B$11),Inputs!$B$9*Inputs!$B$7/Inputs!$B$11,0)</f>
        <v>14.375</v>
      </c>
      <c r="Y272" s="33" t="n">
        <f aca="false">IF(AND(Source_Data!Y$6&gt;=Inputs!$B$55,Source_Data!Y$6&lt;Inputs!$B$55+3*Inputs!$B$11),Inputs!$B$9*Inputs!$B$7/Inputs!$B$11,0)</f>
        <v>0</v>
      </c>
      <c r="Z272" s="33" t="n">
        <f aca="false">IF(AND(Source_Data!Z$6&gt;=Inputs!$B$55,Source_Data!Z$6&lt;Inputs!$B$55+3*Inputs!$B$11),Inputs!$B$9*Inputs!$B$7/Inputs!$B$11,0)</f>
        <v>0</v>
      </c>
      <c r="AA272" s="33" t="n">
        <f aca="false">IF(AND(Source_Data!AA$6&gt;=Inputs!$B$55,Source_Data!AA$6&lt;Inputs!$B$55+3*Inputs!$B$11),Inputs!$B$9*Inputs!$B$7/Inputs!$B$11,0)</f>
        <v>0</v>
      </c>
      <c r="AB272" s="33" t="n">
        <f aca="false">IF(AND(Source_Data!AB$6&gt;=Inputs!$B$55,Source_Data!AB$6&lt;Inputs!$B$55+3*Inputs!$B$11),Inputs!$B$9*Inputs!$B$7/Inputs!$B$11,0)</f>
        <v>0</v>
      </c>
      <c r="AC272" s="33" t="n">
        <f aca="false">IF(AND(Source_Data!AC$6&gt;=Inputs!$B$55,Source_Data!AC$6&lt;Inputs!$B$55+3*Inputs!$B$11),Inputs!$B$9*Inputs!$B$7/Inputs!$B$11,0)</f>
        <v>0</v>
      </c>
      <c r="AD272" s="33" t="n">
        <f aca="false">IF(AND(Source_Data!AD$6&gt;=Inputs!$B$55,Source_Data!AD$6&lt;Inputs!$B$55+3*Inputs!$B$11),Inputs!$B$9*Inputs!$B$7/Inputs!$B$11,0)</f>
        <v>0</v>
      </c>
      <c r="AE272" s="33" t="n">
        <f aca="false">IF(AND(Source_Data!AE$6&gt;=Inputs!$B$55,Source_Data!AE$6&lt;Inputs!$B$55+3*Inputs!$B$11),Inputs!$B$9*Inputs!$B$7/Inputs!$B$11,0)</f>
        <v>0</v>
      </c>
      <c r="AF272" s="33" t="n">
        <f aca="false">IF(AND(Source_Data!AF$6&gt;=Inputs!$B$55,Source_Data!AF$6&lt;Inputs!$B$55+3*Inputs!$B$11),Inputs!$B$9*Inputs!$B$7/Inputs!$B$11,0)</f>
        <v>0</v>
      </c>
      <c r="AG272" s="33" t="n">
        <f aca="false">IF(AND(Source_Data!AG$6&gt;=Inputs!$B$55,Source_Data!AG$6&lt;Inputs!$B$55+3*Inputs!$B$11),Inputs!$B$9*Inputs!$B$7/Inputs!$B$11,0)</f>
        <v>0</v>
      </c>
      <c r="AH272" s="33" t="n">
        <f aca="false">IF(AND(Source_Data!AH$6&gt;=Inputs!$B$55,Source_Data!AH$6&lt;Inputs!$B$55+3*Inputs!$B$11),Inputs!$B$9*Inputs!$B$7/Inputs!$B$11,0)</f>
        <v>0</v>
      </c>
      <c r="AI272" s="33" t="n">
        <f aca="false">IF(AND(Source_Data!AI$6&gt;=Inputs!$B$55,Source_Data!AI$6&lt;Inputs!$B$55+3*Inputs!$B$11),Inputs!$B$9*Inputs!$B$7/Inputs!$B$11,0)</f>
        <v>0</v>
      </c>
      <c r="AJ272" s="33" t="n">
        <f aca="false">IF(AND(Source_Data!AJ$6&gt;=Inputs!$B$55,Source_Data!AJ$6&lt;Inputs!$B$55+3*Inputs!$B$11),Inputs!$B$9*Inputs!$B$7/Inputs!$B$11,0)</f>
        <v>0</v>
      </c>
      <c r="AK272" s="33" t="n">
        <f aca="false">IF(AND(Source_Data!AK$6&gt;=Inputs!$B$55,Source_Data!AK$6&lt;Inputs!$B$55+3*Inputs!$B$11),Inputs!$B$9*Inputs!$B$7/Inputs!$B$11,0)</f>
        <v>0</v>
      </c>
      <c r="AL272" s="33" t="n">
        <f aca="false">IF(AND(Source_Data!AL$6&gt;=Inputs!$B$55,Source_Data!AL$6&lt;Inputs!$B$55+3*Inputs!$B$11),Inputs!$B$9*Inputs!$B$7/Inputs!$B$11,0)</f>
        <v>0</v>
      </c>
      <c r="AM272" s="33" t="n">
        <f aca="false">IF(AND(Source_Data!AM$6&gt;=Inputs!$B$55,Source_Data!AM$6&lt;Inputs!$B$55+3*Inputs!$B$11),Inputs!$B$9*Inputs!$B$7/Inputs!$B$11,0)</f>
        <v>0</v>
      </c>
      <c r="AN272" s="33" t="n">
        <f aca="false">IF(AND(Source_Data!AN$6&gt;=Inputs!$B$55,Source_Data!AN$6&lt;Inputs!$B$55+3*Inputs!$B$11),Inputs!$B$9*Inputs!$B$7/Inputs!$B$11,0)</f>
        <v>0</v>
      </c>
      <c r="AO272" s="33" t="n">
        <f aca="false">IF(AND(Source_Data!AO$6&gt;=Inputs!$B$55,Source_Data!AO$6&lt;Inputs!$B$55+3*Inputs!$B$11),Inputs!$B$9*Inputs!$B$7/Inputs!$B$11,0)</f>
        <v>0</v>
      </c>
      <c r="AP272" s="33" t="n">
        <f aca="false">IF(AND(Source_Data!AP$6&gt;=Inputs!$B$55,Source_Data!AP$6&lt;Inputs!$B$55+3*Inputs!$B$11),Inputs!$B$9*Inputs!$B$7/Inputs!$B$11,0)</f>
        <v>0</v>
      </c>
      <c r="AQ272" s="33" t="n">
        <f aca="false">IF(AND(Source_Data!AQ$6&gt;=Inputs!$B$55,Source_Data!AQ$6&lt;Inputs!$B$55+3*Inputs!$B$11),Inputs!$B$9*Inputs!$B$7/Inputs!$B$11,0)</f>
        <v>0</v>
      </c>
      <c r="AR272" s="33" t="n">
        <f aca="false">IF(AND(Source_Data!AR$6&gt;=Inputs!$B$55,Source_Data!AR$6&lt;Inputs!$B$55+3*Inputs!$B$11),Inputs!$B$9*Inputs!$B$7/Inputs!$B$11,0)</f>
        <v>0</v>
      </c>
      <c r="AS272" s="33" t="n">
        <f aca="false">IF(AND(Source_Data!AS$6&gt;=Inputs!$B$55,Source_Data!AS$6&lt;Inputs!$B$55+3*Inputs!$B$11),Inputs!$B$9*Inputs!$B$7/Inputs!$B$11,0)</f>
        <v>0</v>
      </c>
      <c r="AT272" s="33" t="n">
        <f aca="false">IF(AND(Source_Data!AT$6&gt;=Inputs!$B$55,Source_Data!AT$6&lt;Inputs!$B$55+3*Inputs!$B$11),Inputs!$B$9*Inputs!$B$7/Inputs!$B$11,0)</f>
        <v>0</v>
      </c>
      <c r="AU272" s="33" t="n">
        <f aca="false">IF(AND(Source_Data!AU$6&gt;=Inputs!$B$55,Source_Data!AU$6&lt;Inputs!$B$55+3*Inputs!$B$11),Inputs!$B$9*Inputs!$B$7/Inputs!$B$11,0)</f>
        <v>0</v>
      </c>
      <c r="AV272" s="33" t="n">
        <f aca="false">IF(AND(Source_Data!AV$6&gt;=Inputs!$B$55,Source_Data!AV$6&lt;Inputs!$B$55+3*Inputs!$B$11),Inputs!$B$9*Inputs!$B$7/Inputs!$B$11,0)</f>
        <v>0</v>
      </c>
      <c r="AW272" s="33" t="n">
        <f aca="false">IF(AND(Source_Data!AW$6&gt;=Inputs!$B$55,Source_Data!AW$6&lt;Inputs!$B$55+3*Inputs!$B$11),Inputs!$B$9*Inputs!$B$7/Inputs!$B$11,0)</f>
        <v>0</v>
      </c>
      <c r="AX272" s="33" t="n">
        <f aca="false">IF(AND(Source_Data!AX$6&gt;=Inputs!$B$55,Source_Data!AX$6&lt;Inputs!$B$55+3*Inputs!$B$11),Inputs!$B$9*Inputs!$B$7/Inputs!$B$11,0)</f>
        <v>0</v>
      </c>
      <c r="AY272" s="33" t="n">
        <f aca="false">IF(AND(Source_Data!AY$6&gt;=Inputs!$B$55,Source_Data!AY$6&lt;Inputs!$B$55+3*Inputs!$B$11),Inputs!$B$9*Inputs!$B$7/Inputs!$B$11,0)</f>
        <v>0</v>
      </c>
      <c r="AZ272" s="33" t="n">
        <f aca="false">IF(AND(Source_Data!AZ$6&gt;=Inputs!$B$55,Source_Data!AZ$6&lt;Inputs!$B$55+3*Inputs!$B$11),Inputs!$B$9*Inputs!$B$7/Inputs!$B$11,0)</f>
        <v>0</v>
      </c>
      <c r="BA272" s="33" t="n">
        <f aca="false">IF(AND(Source_Data!BA$6&gt;=Inputs!$B$55,Source_Data!BA$6&lt;Inputs!$B$55+3*Inputs!$B$11),Inputs!$B$9*Inputs!$B$7/Inputs!$B$11,0)</f>
        <v>0</v>
      </c>
      <c r="BB272" s="33" t="n">
        <f aca="false">IF(AND(Source_Data!BB$6&gt;=Inputs!$B$55,Source_Data!BB$6&lt;Inputs!$B$55+3*Inputs!$B$11),Inputs!$B$9*Inputs!$B$7/Inputs!$B$11,0)</f>
        <v>0</v>
      </c>
      <c r="BC272" s="33" t="n">
        <f aca="false">IF(AND(Source_Data!BC$6&gt;=Inputs!$B$55,Source_Data!BC$6&lt;Inputs!$B$55+3*Inputs!$B$11),Inputs!$B$9*Inputs!$B$7/Inputs!$B$11,0)</f>
        <v>0</v>
      </c>
      <c r="BD272" s="33" t="n">
        <f aca="false">IF(AND(Source_Data!BD$6&gt;=Inputs!$B$55,Source_Data!BD$6&lt;Inputs!$B$55+3*Inputs!$B$11),Inputs!$B$9*Inputs!$B$7/Inputs!$B$11,0)</f>
        <v>0</v>
      </c>
      <c r="BE272" s="33" t="n">
        <f aca="false">IF(AND(Source_Data!BE$6&gt;=Inputs!$B$55,Source_Data!BE$6&lt;Inputs!$B$55+3*Inputs!$B$11),Inputs!$B$9*Inputs!$B$7/Inputs!$B$11,0)</f>
        <v>0</v>
      </c>
      <c r="BF272" s="33" t="n">
        <f aca="false">IF(AND(Source_Data!BF$6&gt;=Inputs!$B$55,Source_Data!BF$6&lt;Inputs!$B$55+3*Inputs!$B$11),Inputs!$B$9*Inputs!$B$7/Inputs!$B$11,0)</f>
        <v>0</v>
      </c>
      <c r="BG272" s="33" t="n">
        <f aca="false">IF(AND(Source_Data!BG$6&gt;=Inputs!$B$55,Source_Data!BG$6&lt;Inputs!$B$55+3*Inputs!$B$11),Inputs!$B$9*Inputs!$B$7/Inputs!$B$11,0)</f>
        <v>0</v>
      </c>
      <c r="BH272" s="33" t="n">
        <f aca="false">IF(AND(Source_Data!BH$6&gt;=Inputs!$B$55,Source_Data!BH$6&lt;Inputs!$B$55+3*Inputs!$B$11),Inputs!$B$9*Inputs!$B$7/Inputs!$B$11,0)</f>
        <v>0</v>
      </c>
      <c r="BI272" s="33" t="n">
        <f aca="false">IF(AND(Source_Data!BI$6&gt;=Inputs!$B$55,Source_Data!BI$6&lt;Inputs!$B$55+3*Inputs!$B$11),Inputs!$B$9*Inputs!$B$7/Inputs!$B$11,0)</f>
        <v>0</v>
      </c>
      <c r="BJ272" s="33" t="n">
        <f aca="false">IF(AND(Source_Data!BJ$6&gt;=Inputs!$B$55,Source_Data!BJ$6&lt;Inputs!$B$55+3*Inputs!$B$11),Inputs!$B$9*Inputs!$B$7/Inputs!$B$11,0)</f>
        <v>0</v>
      </c>
      <c r="BK272" s="33" t="n">
        <f aca="false">IF(AND(Source_Data!BK$6&gt;=Inputs!$B$55,Source_Data!BK$6&lt;Inputs!$B$55+3*Inputs!$B$11),Inputs!$B$9*Inputs!$B$7/Inputs!$B$11,0)</f>
        <v>0</v>
      </c>
    </row>
    <row r="273" customFormat="false" ht="15" hidden="false" customHeight="false" outlineLevel="0" collapsed="false">
      <c r="A273" s="3" t="s">
        <v>343</v>
      </c>
      <c r="D273" s="33" t="n">
        <f aca="false">IF(Source_Data!D$6=Inputs!$B$13,-Inputs!$B$7,0)+D272</f>
        <v>-75</v>
      </c>
      <c r="E273" s="33" t="n">
        <f aca="false">IF(Source_Data!E$6=Inputs!$B$13,-Inputs!$B$7,0)+E272</f>
        <v>0</v>
      </c>
      <c r="F273" s="33" t="n">
        <f aca="false">IF(Source_Data!F$6=Inputs!$B$13,-Inputs!$B$7,0)+F272</f>
        <v>0</v>
      </c>
      <c r="G273" s="33" t="n">
        <f aca="false">IF(Source_Data!G$6=Inputs!$B$13,-Inputs!$B$7,0)+G272</f>
        <v>0</v>
      </c>
      <c r="H273" s="33" t="n">
        <f aca="false">IF(Source_Data!H$6=Inputs!$B$13,-Inputs!$B$7,0)+H272</f>
        <v>0</v>
      </c>
      <c r="I273" s="33" t="n">
        <f aca="false">IF(Source_Data!I$6=Inputs!$B$13,-Inputs!$B$7,0)+I272</f>
        <v>0</v>
      </c>
      <c r="J273" s="33" t="n">
        <f aca="false">IF(Source_Data!J$6=Inputs!$B$13,-Inputs!$B$7,0)+J272</f>
        <v>0</v>
      </c>
      <c r="K273" s="33" t="n">
        <f aca="false">IF(Source_Data!K$6=Inputs!$B$13,-Inputs!$B$7,0)+K272</f>
        <v>0</v>
      </c>
      <c r="L273" s="33" t="n">
        <f aca="false">IF(Source_Data!L$6=Inputs!$B$13,-Inputs!$B$7,0)+L272</f>
        <v>0</v>
      </c>
      <c r="M273" s="33" t="n">
        <f aca="false">IF(Source_Data!M$6=Inputs!$B$13,-Inputs!$B$7,0)+M272</f>
        <v>14.375</v>
      </c>
      <c r="N273" s="33" t="n">
        <f aca="false">IF(Source_Data!N$6=Inputs!$B$13,-Inputs!$B$7,0)+N272</f>
        <v>14.375</v>
      </c>
      <c r="O273" s="33" t="n">
        <f aca="false">IF(Source_Data!O$6=Inputs!$B$13,-Inputs!$B$7,0)+O272</f>
        <v>14.375</v>
      </c>
      <c r="P273" s="33" t="n">
        <f aca="false">IF(Source_Data!P$6=Inputs!$B$13,-Inputs!$B$7,0)+P272</f>
        <v>14.375</v>
      </c>
      <c r="Q273" s="33" t="n">
        <f aca="false">IF(Source_Data!Q$6=Inputs!$B$13,-Inputs!$B$7,0)+Q272</f>
        <v>14.375</v>
      </c>
      <c r="R273" s="33" t="n">
        <f aca="false">IF(Source_Data!R$6=Inputs!$B$13,-Inputs!$B$7,0)+R272</f>
        <v>14.375</v>
      </c>
      <c r="S273" s="33" t="n">
        <f aca="false">IF(Source_Data!S$6=Inputs!$B$13,-Inputs!$B$7,0)+S272</f>
        <v>14.375</v>
      </c>
      <c r="T273" s="33" t="n">
        <f aca="false">IF(Source_Data!T$6=Inputs!$B$13,-Inputs!$B$7,0)+T272</f>
        <v>14.375</v>
      </c>
      <c r="U273" s="33" t="n">
        <f aca="false">IF(Source_Data!U$6=Inputs!$B$13,-Inputs!$B$7,0)+U272</f>
        <v>14.375</v>
      </c>
      <c r="V273" s="33" t="n">
        <f aca="false">IF(Source_Data!V$6=Inputs!$B$13,-Inputs!$B$7,0)+V272</f>
        <v>14.375</v>
      </c>
      <c r="W273" s="33" t="n">
        <f aca="false">IF(Source_Data!W$6=Inputs!$B$13,-Inputs!$B$7,0)+W272</f>
        <v>14.375</v>
      </c>
      <c r="X273" s="33" t="n">
        <f aca="false">IF(Source_Data!X$6=Inputs!$B$13,-Inputs!$B$7,0)+X272</f>
        <v>14.375</v>
      </c>
      <c r="Y273" s="33" t="n">
        <f aca="false">IF(Source_Data!Y$6=Inputs!$B$13,-Inputs!$B$7,0)+Y272</f>
        <v>0</v>
      </c>
      <c r="Z273" s="33" t="n">
        <f aca="false">IF(Source_Data!Z$6=Inputs!$B$13,-Inputs!$B$7,0)+Z272</f>
        <v>0</v>
      </c>
      <c r="AA273" s="33" t="n">
        <f aca="false">IF(Source_Data!AA$6=Inputs!$B$13,-Inputs!$B$7,0)+AA272</f>
        <v>0</v>
      </c>
      <c r="AB273" s="33" t="n">
        <f aca="false">IF(Source_Data!AB$6=Inputs!$B$13,-Inputs!$B$7,0)+AB272</f>
        <v>0</v>
      </c>
      <c r="AC273" s="33" t="n">
        <f aca="false">IF(Source_Data!AC$6=Inputs!$B$13,-Inputs!$B$7,0)+AC272</f>
        <v>0</v>
      </c>
      <c r="AD273" s="33" t="n">
        <f aca="false">IF(Source_Data!AD$6=Inputs!$B$13,-Inputs!$B$7,0)+AD272</f>
        <v>0</v>
      </c>
      <c r="AE273" s="33" t="n">
        <f aca="false">IF(Source_Data!AE$6=Inputs!$B$13,-Inputs!$B$7,0)+AE272</f>
        <v>0</v>
      </c>
      <c r="AF273" s="33" t="n">
        <f aca="false">IF(Source_Data!AF$6=Inputs!$B$13,-Inputs!$B$7,0)+AF272</f>
        <v>0</v>
      </c>
      <c r="AG273" s="33" t="n">
        <f aca="false">IF(Source_Data!AG$6=Inputs!$B$13,-Inputs!$B$7,0)+AG272</f>
        <v>0</v>
      </c>
      <c r="AH273" s="33" t="n">
        <f aca="false">IF(Source_Data!AH$6=Inputs!$B$13,-Inputs!$B$7,0)+AH272</f>
        <v>0</v>
      </c>
      <c r="AI273" s="33" t="n">
        <f aca="false">IF(Source_Data!AI$6=Inputs!$B$13,-Inputs!$B$7,0)+AI272</f>
        <v>0</v>
      </c>
      <c r="AJ273" s="33" t="n">
        <f aca="false">IF(Source_Data!AJ$6=Inputs!$B$13,-Inputs!$B$7,0)+AJ272</f>
        <v>0</v>
      </c>
      <c r="AK273" s="33" t="n">
        <f aca="false">IF(Source_Data!AK$6=Inputs!$B$13,-Inputs!$B$7,0)+AK272</f>
        <v>0</v>
      </c>
      <c r="AL273" s="33" t="n">
        <f aca="false">IF(Source_Data!AL$6=Inputs!$B$13,-Inputs!$B$7,0)+AL272</f>
        <v>0</v>
      </c>
      <c r="AM273" s="33" t="n">
        <f aca="false">IF(Source_Data!AM$6=Inputs!$B$13,-Inputs!$B$7,0)+AM272</f>
        <v>0</v>
      </c>
      <c r="AN273" s="33" t="n">
        <f aca="false">IF(Source_Data!AN$6=Inputs!$B$13,-Inputs!$B$7,0)+AN272</f>
        <v>0</v>
      </c>
      <c r="AO273" s="33" t="n">
        <f aca="false">IF(Source_Data!AO$6=Inputs!$B$13,-Inputs!$B$7,0)+AO272</f>
        <v>0</v>
      </c>
      <c r="AP273" s="33" t="n">
        <f aca="false">IF(Source_Data!AP$6=Inputs!$B$13,-Inputs!$B$7,0)+AP272</f>
        <v>0</v>
      </c>
      <c r="AQ273" s="33" t="n">
        <f aca="false">IF(Source_Data!AQ$6=Inputs!$B$13,-Inputs!$B$7,0)+AQ272</f>
        <v>0</v>
      </c>
      <c r="AR273" s="33" t="n">
        <f aca="false">IF(Source_Data!AR$6=Inputs!$B$13,-Inputs!$B$7,0)+AR272</f>
        <v>0</v>
      </c>
      <c r="AS273" s="33" t="n">
        <f aca="false">IF(Source_Data!AS$6=Inputs!$B$13,-Inputs!$B$7,0)+AS272</f>
        <v>0</v>
      </c>
      <c r="AT273" s="33" t="n">
        <f aca="false">IF(Source_Data!AT$6=Inputs!$B$13,-Inputs!$B$7,0)+AT272</f>
        <v>0</v>
      </c>
      <c r="AU273" s="33" t="n">
        <f aca="false">IF(Source_Data!AU$6=Inputs!$B$13,-Inputs!$B$7,0)+AU272</f>
        <v>0</v>
      </c>
      <c r="AV273" s="33" t="n">
        <f aca="false">IF(Source_Data!AV$6=Inputs!$B$13,-Inputs!$B$7,0)+AV272</f>
        <v>0</v>
      </c>
      <c r="AW273" s="33" t="n">
        <f aca="false">IF(Source_Data!AW$6=Inputs!$B$13,-Inputs!$B$7,0)+AW272</f>
        <v>0</v>
      </c>
      <c r="AX273" s="33" t="n">
        <f aca="false">IF(Source_Data!AX$6=Inputs!$B$13,-Inputs!$B$7,0)+AX272</f>
        <v>0</v>
      </c>
      <c r="AY273" s="33" t="n">
        <f aca="false">IF(Source_Data!AY$6=Inputs!$B$13,-Inputs!$B$7,0)+AY272</f>
        <v>0</v>
      </c>
      <c r="AZ273" s="33" t="n">
        <f aca="false">IF(Source_Data!AZ$6=Inputs!$B$13,-Inputs!$B$7,0)+AZ272</f>
        <v>0</v>
      </c>
      <c r="BA273" s="33" t="n">
        <f aca="false">IF(Source_Data!BA$6=Inputs!$B$13,-Inputs!$B$7,0)+BA272</f>
        <v>0</v>
      </c>
      <c r="BB273" s="33" t="n">
        <f aca="false">IF(Source_Data!BB$6=Inputs!$B$13,-Inputs!$B$7,0)+BB272</f>
        <v>0</v>
      </c>
      <c r="BC273" s="33" t="n">
        <f aca="false">IF(Source_Data!BC$6=Inputs!$B$13,-Inputs!$B$7,0)+BC272</f>
        <v>0</v>
      </c>
      <c r="BD273" s="33" t="n">
        <f aca="false">IF(Source_Data!BD$6=Inputs!$B$13,-Inputs!$B$7,0)+BD272</f>
        <v>0</v>
      </c>
      <c r="BE273" s="33" t="n">
        <f aca="false">IF(Source_Data!BE$6=Inputs!$B$13,-Inputs!$B$7,0)+BE272</f>
        <v>0</v>
      </c>
      <c r="BF273" s="33" t="n">
        <f aca="false">IF(Source_Data!BF$6=Inputs!$B$13,-Inputs!$B$7,0)+BF272</f>
        <v>0</v>
      </c>
      <c r="BG273" s="33" t="n">
        <f aca="false">IF(Source_Data!BG$6=Inputs!$B$13,-Inputs!$B$7,0)+BG272</f>
        <v>0</v>
      </c>
      <c r="BH273" s="33" t="n">
        <f aca="false">IF(Source_Data!BH$6=Inputs!$B$13,-Inputs!$B$7,0)+BH272</f>
        <v>0</v>
      </c>
      <c r="BI273" s="33" t="n">
        <f aca="false">IF(Source_Data!BI$6=Inputs!$B$13,-Inputs!$B$7,0)+BI272</f>
        <v>0</v>
      </c>
      <c r="BJ273" s="33" t="n">
        <f aca="false">IF(Source_Data!BJ$6=Inputs!$B$13,-Inputs!$B$7,0)+BJ272</f>
        <v>0</v>
      </c>
      <c r="BK273" s="33" t="n">
        <f aca="false">IF(Source_Data!BK$6=Inputs!$B$13,-Inputs!$B$7,0)+BK272</f>
        <v>0</v>
      </c>
    </row>
    <row r="274" customFormat="false" ht="15" hidden="false" customHeight="false" outlineLevel="0" collapsed="false">
      <c r="A274" s="3" t="s">
        <v>344</v>
      </c>
      <c r="D274" s="33" t="n">
        <f aca="false">IF(Source_Data!D$6=Inputs!$B$13,Inputs!$B$7,0)+D269-D272</f>
        <v>-16.25</v>
      </c>
      <c r="E274" s="33" t="n">
        <f aca="false">D274+IF(Source_Data!E$6=Inputs!$B$13,Inputs!$B$7,0)+E269-E272</f>
        <v>-27.5</v>
      </c>
      <c r="F274" s="33" t="n">
        <f aca="false">E274+IF(Source_Data!F$6=Inputs!$B$13,Inputs!$B$7,0)+F269-F272</f>
        <v>-38.75</v>
      </c>
      <c r="G274" s="33" t="n">
        <f aca="false">F274+IF(Source_Data!G$6=Inputs!$B$13,Inputs!$B$7,0)+G269-G272</f>
        <v>-50</v>
      </c>
      <c r="H274" s="33" t="n">
        <f aca="false">G274+IF(Source_Data!H$6=Inputs!$B$13,Inputs!$B$7,0)+H269-H272</f>
        <v>-95.5</v>
      </c>
      <c r="I274" s="33" t="n">
        <f aca="false">H274+IF(Source_Data!I$6=Inputs!$B$13,Inputs!$B$7,0)+I269-I272</f>
        <v>-148.36</v>
      </c>
      <c r="J274" s="33" t="n">
        <f aca="false">I274+IF(Source_Data!J$6=Inputs!$B$13,Inputs!$B$7,0)+J269-J272</f>
        <v>-216.86</v>
      </c>
      <c r="K274" s="33" t="n">
        <f aca="false">J274+IF(Source_Data!K$6=Inputs!$B$13,Inputs!$B$7,0)+K269-K272</f>
        <v>-269.72</v>
      </c>
      <c r="L274" s="33" t="n">
        <f aca="false">K274+IF(Source_Data!L$6=Inputs!$B$13,Inputs!$B$7,0)+L269-L272</f>
        <v>-333.83</v>
      </c>
      <c r="M274" s="33" t="n">
        <f aca="false">L274+IF(Source_Data!M$6=Inputs!$B$13,Inputs!$B$7,0)+M269-M272</f>
        <v>-412.315</v>
      </c>
      <c r="N274" s="33" t="n">
        <f aca="false">M274+IF(Source_Data!N$6=Inputs!$B$13,Inputs!$B$7,0)+N269-N272</f>
        <v>-451.3727625</v>
      </c>
      <c r="O274" s="33" t="n">
        <f aca="false">N274+IF(Source_Data!O$6=Inputs!$B$13,Inputs!$B$7,0)+O269-O272</f>
        <v>-475.2912875</v>
      </c>
      <c r="P274" s="33" t="n">
        <f aca="false">O274+IF(Source_Data!P$6=Inputs!$B$13,Inputs!$B$7,0)+P269-P272</f>
        <v>-626.15428125</v>
      </c>
      <c r="Q274" s="33" t="n">
        <f aca="false">P274+IF(Source_Data!Q$6=Inputs!$B$13,Inputs!$B$7,0)+Q269-Q272</f>
        <v>-760.78374375</v>
      </c>
      <c r="R274" s="33" t="n">
        <f aca="false">Q274+IF(Source_Data!R$6=Inputs!$B$13,Inputs!$B$7,0)+R269-R272</f>
        <v>-958.50443375</v>
      </c>
      <c r="S274" s="33" t="n">
        <f aca="false">R274+IF(Source_Data!S$6=Inputs!$B$13,Inputs!$B$7,0)+S269-S272</f>
        <v>-1101.067264375</v>
      </c>
      <c r="T274" s="33" t="n">
        <f aca="false">S274+IF(Source_Data!T$6=Inputs!$B$13,Inputs!$B$7,0)+T269-T272</f>
        <v>-1089.6346759375</v>
      </c>
      <c r="U274" s="33" t="n">
        <f aca="false">T274+IF(Source_Data!U$6=Inputs!$B$13,Inputs!$B$7,0)+U269-U272</f>
        <v>-663.2770984375</v>
      </c>
      <c r="V274" s="33" t="n">
        <f aca="false">U274+IF(Source_Data!V$6=Inputs!$B$13,Inputs!$B$7,0)+V269-V272</f>
        <v>-544.0633584375</v>
      </c>
      <c r="W274" s="33" t="n">
        <f aca="false">V274+IF(Source_Data!W$6=Inputs!$B$13,Inputs!$B$7,0)+W269-W272</f>
        <v>-433.8933684375</v>
      </c>
      <c r="X274" s="33" t="n">
        <f aca="false">W274+IF(Source_Data!X$6=Inputs!$B$13,Inputs!$B$7,0)+X269-X272</f>
        <v>-381.1556584375</v>
      </c>
      <c r="Y274" s="33" t="n">
        <f aca="false">X274+IF(Source_Data!Y$6=Inputs!$B$13,Inputs!$B$7,0)+Y269-Y272</f>
        <v>-341.6064896875</v>
      </c>
      <c r="Z274" s="33" t="n">
        <f aca="false">Y274+IF(Source_Data!Z$6=Inputs!$B$13,Inputs!$B$7,0)+Z269-Z272</f>
        <v>-302.0573209375</v>
      </c>
      <c r="AA274" s="33" t="n">
        <f aca="false">Z274+IF(Source_Data!AA$6=Inputs!$B$13,Inputs!$B$7,0)+AA269-AA272</f>
        <v>-263.1764853125</v>
      </c>
      <c r="AB274" s="33" t="n">
        <f aca="false">AA274+IF(Source_Data!AB$6=Inputs!$B$13,Inputs!$B$7,0)+AB269-AB272</f>
        <v>-201.949845625</v>
      </c>
      <c r="AC274" s="33" t="n">
        <f aca="false">AB274+IF(Source_Data!AC$6=Inputs!$B$13,Inputs!$B$7,0)+AC269-AC272</f>
        <v>-142.2371296875</v>
      </c>
      <c r="AD274" s="33" t="n">
        <f aca="false">AC274+IF(Source_Data!AD$6=Inputs!$B$13,Inputs!$B$7,0)+AD269-AD272</f>
        <v>-88.5131850000003</v>
      </c>
      <c r="AE274" s="33" t="n">
        <f aca="false">AD274+IF(Source_Data!AE$6=Inputs!$B$13,Inputs!$B$7,0)+AE269-AE272</f>
        <v>-39.1302403125003</v>
      </c>
      <c r="AF274" s="33" t="n">
        <f aca="false">AE274+IF(Source_Data!AF$6=Inputs!$B$13,Inputs!$B$7,0)+AF269-AF272</f>
        <v>-97.5055059765628</v>
      </c>
      <c r="AG274" s="33" t="n">
        <f aca="false">AF274+IF(Source_Data!AG$6=Inputs!$B$13,Inputs!$B$7,0)+AG269-AG272</f>
        <v>-66.3792924609378</v>
      </c>
      <c r="AH274" s="33" t="n">
        <f aca="false">AG274+IF(Source_Data!AH$6=Inputs!$B$13,Inputs!$B$7,0)+AH269-AH272</f>
        <v>-35.2530789453128</v>
      </c>
      <c r="AI274" s="33" t="n">
        <f aca="false">AH274+IF(Source_Data!AI$6=Inputs!$B$13,Inputs!$B$7,0)+AI269-AI272</f>
        <v>-4.12686542968775</v>
      </c>
      <c r="AJ274" s="33" t="n">
        <f aca="false">AI274+IF(Source_Data!AJ$6=Inputs!$B$13,Inputs!$B$7,0)+AJ269-AJ272</f>
        <v>21.2113480859373</v>
      </c>
      <c r="AK274" s="33" t="n">
        <f aca="false">AJ274+IF(Source_Data!AK$6=Inputs!$B$13,Inputs!$B$7,0)+AK269-AK272</f>
        <v>44.2289918749998</v>
      </c>
      <c r="AL274" s="33" t="n">
        <f aca="false">AK274+IF(Source_Data!AL$6=Inputs!$B$13,Inputs!$B$7,0)+AL269-AL272</f>
        <v>63.6381794140623</v>
      </c>
      <c r="AM274" s="33" t="n">
        <f aca="false">AL274+IF(Source_Data!AM$6=Inputs!$B$13,Inputs!$B$7,0)+AM269-AM272</f>
        <v>80.5287956249998</v>
      </c>
      <c r="AN274" s="33" t="n">
        <f aca="false">AM274+IF(Source_Data!AN$6=Inputs!$B$13,Inputs!$B$7,0)+AN269-AN272</f>
        <v>101.40651859375</v>
      </c>
      <c r="AO274" s="33" t="n">
        <f aca="false">AN274+IF(Source_Data!AO$6=Inputs!$B$13,Inputs!$B$7,0)+AO269-AO272</f>
        <v>124.933608125</v>
      </c>
      <c r="AP274" s="33" t="n">
        <f aca="false">AO274+IF(Source_Data!AP$6=Inputs!$B$13,Inputs!$B$7,0)+AP269-AP272</f>
        <v>150.022779375</v>
      </c>
      <c r="AQ274" s="33" t="n">
        <f aca="false">AP274+IF(Source_Data!AQ$6=Inputs!$B$13,Inputs!$B$7,0)+AQ269-AQ272</f>
        <v>175.111950625</v>
      </c>
      <c r="AR274" s="33" t="n">
        <f aca="false">AQ274+IF(Source_Data!AR$6=Inputs!$B$13,Inputs!$B$7,0)+AR269-AR272</f>
        <v>200.201121875</v>
      </c>
      <c r="AS274" s="33" t="n">
        <f aca="false">AR274+IF(Source_Data!AS$6=Inputs!$B$13,Inputs!$B$7,0)+AS269-AS272</f>
        <v>223.1062275</v>
      </c>
      <c r="AT274" s="33" t="n">
        <f aca="false">AS274+IF(Source_Data!AT$6=Inputs!$B$13,Inputs!$B$7,0)+AT269-AT272</f>
        <v>246.011333125</v>
      </c>
      <c r="AU274" s="33" t="n">
        <f aca="false">AT274+IF(Source_Data!AU$6=Inputs!$B$13,Inputs!$B$7,0)+AU269-AU272</f>
        <v>264.7508875</v>
      </c>
      <c r="AV274" s="33" t="n">
        <f aca="false">AU274+IF(Source_Data!AV$6=Inputs!$B$13,Inputs!$B$7,0)+AV269-AV272</f>
        <v>274.377055</v>
      </c>
      <c r="AW274" s="33" t="n">
        <f aca="false">AV274+IF(Source_Data!AW$6=Inputs!$B$13,Inputs!$B$7,0)+AW269-AW272</f>
        <v>277.9475275</v>
      </c>
      <c r="AX274" s="33" t="n">
        <f aca="false">AW274+IF(Source_Data!AX$6=Inputs!$B$13,Inputs!$B$7,0)+AX269-AX272</f>
        <v>277.9475275</v>
      </c>
      <c r="AY274" s="33" t="n">
        <f aca="false">AX274+IF(Source_Data!AY$6=Inputs!$B$13,Inputs!$B$7,0)+AY269-AY272</f>
        <v>277.9475275</v>
      </c>
      <c r="AZ274" s="33" t="n">
        <f aca="false">AY274+IF(Source_Data!AZ$6=Inputs!$B$13,Inputs!$B$7,0)+AZ269-AZ272</f>
        <v>277.9475275</v>
      </c>
      <c r="BA274" s="33" t="n">
        <f aca="false">AZ274+IF(Source_Data!BA$6=Inputs!$B$13,Inputs!$B$7,0)+BA269-BA272</f>
        <v>277.9475275</v>
      </c>
      <c r="BB274" s="33" t="n">
        <f aca="false">BA274+IF(Source_Data!BB$6=Inputs!$B$13,Inputs!$B$7,0)+BB269-BB272</f>
        <v>277.9475275</v>
      </c>
      <c r="BC274" s="33" t="n">
        <f aca="false">BB274+IF(Source_Data!BC$6=Inputs!$B$13,Inputs!$B$7,0)+BC269-BC272</f>
        <v>277.9475275</v>
      </c>
      <c r="BD274" s="33" t="n">
        <f aca="false">BC274+IF(Source_Data!BD$6=Inputs!$B$13,Inputs!$B$7,0)+BD269-BD272</f>
        <v>277.9475275</v>
      </c>
      <c r="BE274" s="33" t="n">
        <f aca="false">BD274+IF(Source_Data!BE$6=Inputs!$B$13,Inputs!$B$7,0)+BE269-BE272</f>
        <v>277.9475275</v>
      </c>
      <c r="BF274" s="33" t="n">
        <f aca="false">BE274+IF(Source_Data!BF$6=Inputs!$B$13,Inputs!$B$7,0)+BF269-BF272</f>
        <v>277.9475275</v>
      </c>
      <c r="BG274" s="33" t="n">
        <f aca="false">BF274+IF(Source_Data!BG$6=Inputs!$B$13,Inputs!$B$7,0)+BG269-BG272</f>
        <v>277.9475275</v>
      </c>
      <c r="BH274" s="33" t="n">
        <f aca="false">BG274+IF(Source_Data!BH$6=Inputs!$B$13,Inputs!$B$7,0)+BH269-BH272</f>
        <v>277.9475275</v>
      </c>
      <c r="BI274" s="33" t="n">
        <f aca="false">BH274+IF(Source_Data!BI$6=Inputs!$B$13,Inputs!$B$7,0)+BI269-BI272</f>
        <v>277.9475275</v>
      </c>
      <c r="BJ274" s="33" t="n">
        <f aca="false">BI274+IF(Source_Data!BJ$6=Inputs!$B$13,Inputs!$B$7,0)+BJ269-BJ272</f>
        <v>277.9475275</v>
      </c>
      <c r="BK274" s="33" t="n">
        <f aca="false">BJ274+IF(Source_Data!BK$6=Inputs!$B$13,Inputs!$B$7,0)+BK269-BK272</f>
        <v>277.9475275</v>
      </c>
    </row>
    <row r="275" customFormat="false" ht="15" hidden="false" customHeight="false" outlineLevel="0" collapsed="false">
      <c r="A275" s="3" t="s">
        <v>345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-4.45982608695652</v>
      </c>
      <c r="N275" s="31" t="n">
        <f aca="false">IF(N272&gt;0,N269/N272,"")</f>
        <v>-1.71706173913044</v>
      </c>
      <c r="O275" s="31" t="n">
        <f aca="false">IF(O272&gt;0,O269/O272,"")</f>
        <v>-0.663897391304348</v>
      </c>
      <c r="P275" s="31" t="n">
        <f aca="false">IF(P272&gt;0,P269/P272,"")</f>
        <v>-9.49481695652174</v>
      </c>
      <c r="Q275" s="31" t="n">
        <f aca="false">IF(Q272&gt;0,Q269/Q272,"")</f>
        <v>-8.36552782608696</v>
      </c>
      <c r="R275" s="31" t="n">
        <f aca="false">IF(R272&gt;0,R269/R272,"")</f>
        <v>-12.7544827826087</v>
      </c>
      <c r="S275" s="31" t="n">
        <f aca="false">IF(S272&gt;0,S269/S272,"")</f>
        <v>-8.91741430434783</v>
      </c>
      <c r="T275" s="31" t="n">
        <f aca="false">IF(T272&gt;0,T269/T272,"")</f>
        <v>1.7953105</v>
      </c>
      <c r="U275" s="31" t="n">
        <f aca="false">IF(U272&gt;0,U269/U272,"")</f>
        <v>30.6596575652174</v>
      </c>
      <c r="V275" s="31" t="n">
        <f aca="false">IF(V272&gt;0,V269/V272,"")</f>
        <v>9.29312973913044</v>
      </c>
      <c r="W275" s="31" t="n">
        <f aca="false">IF(W272&gt;0,W269/W272,"")</f>
        <v>8.66399930434783</v>
      </c>
      <c r="X275" s="31" t="n">
        <f aca="false">IF(X272&gt;0,X269/X272,"")</f>
        <v>4.66871026086957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346</v>
      </c>
      <c r="D276" s="31" t="str">
        <f aca="false">IF(D272&gt;0,(0+D269+IF(Source_Data!D$6=Inputs!$B$13,Inputs!$B$7,0))/D272,"")</f>
        <v/>
      </c>
      <c r="E276" s="31" t="str">
        <f aca="false">IF(E272&gt;0,(D274+E269+IF(Source_Data!E$6=Inputs!$B$13,Inputs!$B$7,0))/E272,"")</f>
        <v/>
      </c>
      <c r="F276" s="31" t="str">
        <f aca="false">IF(F272&gt;0,(E274+F269+IF(Source_Data!F$6=Inputs!$B$13,Inputs!$B$7,0))/F272,"")</f>
        <v/>
      </c>
      <c r="G276" s="31" t="str">
        <f aca="false">IF(G272&gt;0,(F274+G269+IF(Source_Data!G$6=Inputs!$B$13,Inputs!$B$7,0))/G272,"")</f>
        <v/>
      </c>
      <c r="H276" s="31" t="str">
        <f aca="false">IF(H272&gt;0,(G274+H269+IF(Source_Data!H$6=Inputs!$B$13,Inputs!$B$7,0))/H272,"")</f>
        <v/>
      </c>
      <c r="I276" s="31" t="str">
        <f aca="false">IF(I272&gt;0,(H274+I269+IF(Source_Data!I$6=Inputs!$B$13,Inputs!$B$7,0))/I272,"")</f>
        <v/>
      </c>
      <c r="J276" s="31" t="str">
        <f aca="false">IF(J272&gt;0,(I274+J269+IF(Source_Data!J$6=Inputs!$B$13,Inputs!$B$7,0))/J272,"")</f>
        <v/>
      </c>
      <c r="K276" s="31" t="str">
        <f aca="false">IF(K272&gt;0,(J274+K269+IF(Source_Data!K$6=Inputs!$B$13,Inputs!$B$7,0))/K272,"")</f>
        <v/>
      </c>
      <c r="L276" s="31" t="str">
        <f aca="false">IF(L272&gt;0,(K274+L269+IF(Source_Data!L$6=Inputs!$B$13,Inputs!$B$7,0))/L272,"")</f>
        <v/>
      </c>
      <c r="M276" s="31" t="n">
        <f aca="false">IF(M272&gt;0,(L274+M269+IF(Source_Data!M$6=Inputs!$B$13,Inputs!$B$7,0))/M272,"")</f>
        <v>-27.6827826086957</v>
      </c>
      <c r="N276" s="31" t="n">
        <f aca="false">IF(N272&gt;0,(M274+N269+IF(Source_Data!N$6=Inputs!$B$13,Inputs!$B$7,0))/N272,"")</f>
        <v>-30.3998443478261</v>
      </c>
      <c r="O276" s="31" t="n">
        <f aca="false">IF(O272&gt;0,(N274+O269+IF(Source_Data!O$6=Inputs!$B$13,Inputs!$B$7,0))/O272,"")</f>
        <v>-32.0637417391304</v>
      </c>
      <c r="P276" s="31" t="n">
        <f aca="false">IF(P272&gt;0,(O274+P269+IF(Source_Data!P$6=Inputs!$B$13,Inputs!$B$7,0))/P272,"")</f>
        <v>-42.5585586956522</v>
      </c>
      <c r="Q276" s="31" t="n">
        <f aca="false">IF(Q272&gt;0,(P274+Q269+IF(Source_Data!Q$6=Inputs!$B$13,Inputs!$B$7,0))/Q272,"")</f>
        <v>-51.9240865217391</v>
      </c>
      <c r="R276" s="31" t="n">
        <f aca="false">IF(R272&gt;0,(Q274+R269+IF(Source_Data!R$6=Inputs!$B$13,Inputs!$B$7,0))/R272,"")</f>
        <v>-65.6785693043478</v>
      </c>
      <c r="S276" s="31" t="n">
        <f aca="false">IF(S272&gt;0,(R274+S269+IF(Source_Data!S$6=Inputs!$B$13,Inputs!$B$7,0))/S272,"")</f>
        <v>-75.5959836086957</v>
      </c>
      <c r="T276" s="31" t="n">
        <f aca="false">IF(T272&gt;0,(S274+T269+IF(Source_Data!T$6=Inputs!$B$13,Inputs!$B$7,0))/T272,"")</f>
        <v>-74.8006731086957</v>
      </c>
      <c r="U276" s="31" t="n">
        <f aca="false">IF(U272&gt;0,(T274+U269+IF(Source_Data!U$6=Inputs!$B$13,Inputs!$B$7,0))/U272,"")</f>
        <v>-45.1410155434783</v>
      </c>
      <c r="V276" s="31" t="n">
        <f aca="false">IF(V272&gt;0,(U274+V269+IF(Source_Data!V$6=Inputs!$B$13,Inputs!$B$7,0))/V272,"")</f>
        <v>-36.8478858043478</v>
      </c>
      <c r="W276" s="31" t="n">
        <f aca="false">IF(W272&gt;0,(V274+W269+IF(Source_Data!W$6=Inputs!$B$13,Inputs!$B$7,0))/W272,"")</f>
        <v>-29.1838865</v>
      </c>
      <c r="X276" s="31" t="n">
        <f aca="false">IF(X272&gt;0,(W274+X269+IF(Source_Data!X$6=Inputs!$B$13,Inputs!$B$7,0))/X272,"")</f>
        <v>-25.5151762391304</v>
      </c>
      <c r="Y276" s="31" t="str">
        <f aca="false">IF(Y272&gt;0,(X274+Y269+IF(Source_Data!Y$6=Inputs!$B$13,Inputs!$B$7,0))/Y272,"")</f>
        <v/>
      </c>
      <c r="Z276" s="31" t="str">
        <f aca="false">IF(Z272&gt;0,(Y274+Z269+IF(Source_Data!Z$6=Inputs!$B$13,Inputs!$B$7,0))/Z272,"")</f>
        <v/>
      </c>
      <c r="AA276" s="31" t="str">
        <f aca="false">IF(AA272&gt;0,(Z274+AA269+IF(Source_Data!AA$6=Inputs!$B$13,Inputs!$B$7,0))/AA272,"")</f>
        <v/>
      </c>
      <c r="AB276" s="31" t="str">
        <f aca="false">IF(AB272&gt;0,(AA274+AB269+IF(Source_Data!AB$6=Inputs!$B$13,Inputs!$B$7,0))/AB272,"")</f>
        <v/>
      </c>
      <c r="AC276" s="31" t="str">
        <f aca="false">IF(AC272&gt;0,(AB274+AC269+IF(Source_Data!AC$6=Inputs!$B$13,Inputs!$B$7,0))/AC272,"")</f>
        <v/>
      </c>
      <c r="AD276" s="31" t="str">
        <f aca="false">IF(AD272&gt;0,(AC274+AD269+IF(Source_Data!AD$6=Inputs!$B$13,Inputs!$B$7,0))/AD272,"")</f>
        <v/>
      </c>
      <c r="AE276" s="31" t="str">
        <f aca="false">IF(AE272&gt;0,(AD274+AE269+IF(Source_Data!AE$6=Inputs!$B$13,Inputs!$B$7,0))/AE272,"")</f>
        <v/>
      </c>
      <c r="AF276" s="31" t="str">
        <f aca="false">IF(AF272&gt;0,(AE274+AF269+IF(Source_Data!AF$6=Inputs!$B$13,Inputs!$B$7,0))/AF272,"")</f>
        <v/>
      </c>
      <c r="AG276" s="31" t="str">
        <f aca="false">IF(AG272&gt;0,(AF274+AG269+IF(Source_Data!AG$6=Inputs!$B$13,Inputs!$B$7,0))/AG272,"")</f>
        <v/>
      </c>
      <c r="AH276" s="31" t="str">
        <f aca="false">IF(AH272&gt;0,(AG274+AH269+IF(Source_Data!AH$6=Inputs!$B$13,Inputs!$B$7,0))/AH272,"")</f>
        <v/>
      </c>
      <c r="AI276" s="31" t="str">
        <f aca="false">IF(AI272&gt;0,(AH274+AI269+IF(Source_Data!AI$6=Inputs!$B$13,Inputs!$B$7,0))/AI272,"")</f>
        <v/>
      </c>
      <c r="AJ276" s="31" t="str">
        <f aca="false">IF(AJ272&gt;0,(AI274+AJ269+IF(Source_Data!AJ$6=Inputs!$B$13,Inputs!$B$7,0))/AJ272,"")</f>
        <v/>
      </c>
      <c r="AK276" s="31" t="str">
        <f aca="false">IF(AK272&gt;0,(AJ274+AK269+IF(Source_Data!AK$6=Inputs!$B$13,Inputs!$B$7,0))/AK272,"")</f>
        <v/>
      </c>
      <c r="AL276" s="31" t="str">
        <f aca="false">IF(AL272&gt;0,(AK274+AL269+IF(Source_Data!AL$6=Inputs!$B$13,Inputs!$B$7,0))/AL272,"")</f>
        <v/>
      </c>
      <c r="AM276" s="31" t="str">
        <f aca="false">IF(AM272&gt;0,(AL274+AM269+IF(Source_Data!AM$6=Inputs!$B$13,Inputs!$B$7,0))/AM272,"")</f>
        <v/>
      </c>
      <c r="AN276" s="31" t="str">
        <f aca="false">IF(AN272&gt;0,(AM274+AN269+IF(Source_Data!AN$6=Inputs!$B$13,Inputs!$B$7,0))/AN272,"")</f>
        <v/>
      </c>
      <c r="AO276" s="31" t="str">
        <f aca="false">IF(AO272&gt;0,(AN274+AO269+IF(Source_Data!AO$6=Inputs!$B$13,Inputs!$B$7,0))/AO272,"")</f>
        <v/>
      </c>
      <c r="AP276" s="31" t="str">
        <f aca="false">IF(AP272&gt;0,(AO274+AP269+IF(Source_Data!AP$6=Inputs!$B$13,Inputs!$B$7,0))/AP272,"")</f>
        <v/>
      </c>
      <c r="AQ276" s="31" t="str">
        <f aca="false">IF(AQ272&gt;0,(AP274+AQ269+IF(Source_Data!AQ$6=Inputs!$B$13,Inputs!$B$7,0))/AQ272,"")</f>
        <v/>
      </c>
      <c r="AR276" s="31" t="str">
        <f aca="false">IF(AR272&gt;0,(AQ274+AR269+IF(Source_Data!AR$6=Inputs!$B$13,Inputs!$B$7,0))/AR272,"")</f>
        <v/>
      </c>
      <c r="AS276" s="31" t="str">
        <f aca="false">IF(AS272&gt;0,(AR274+AS269+IF(Source_Data!AS$6=Inputs!$B$13,Inputs!$B$7,0))/AS272,"")</f>
        <v/>
      </c>
      <c r="AT276" s="31" t="str">
        <f aca="false">IF(AT272&gt;0,(AS274+AT269+IF(Source_Data!AT$6=Inputs!$B$13,Inputs!$B$7,0))/AT272,"")</f>
        <v/>
      </c>
      <c r="AU276" s="31" t="str">
        <f aca="false">IF(AU272&gt;0,(AT274+AU269+IF(Source_Data!AU$6=Inputs!$B$13,Inputs!$B$7,0))/AU272,"")</f>
        <v/>
      </c>
      <c r="AV276" s="31" t="str">
        <f aca="false">IF(AV272&gt;0,(AU274+AV269+IF(Source_Data!AV$6=Inputs!$B$13,Inputs!$B$7,0))/AV272,"")</f>
        <v/>
      </c>
      <c r="AW276" s="31" t="str">
        <f aca="false">IF(AW272&gt;0,(AV274+AW269+IF(Source_Data!AW$6=Inputs!$B$13,Inputs!$B$7,0))/AW272,"")</f>
        <v/>
      </c>
      <c r="AX276" s="31" t="str">
        <f aca="false">IF(AX272&gt;0,(AW274+AX269+IF(Source_Data!AX$6=Inputs!$B$13,Inputs!$B$7,0))/AX272,"")</f>
        <v/>
      </c>
      <c r="AY276" s="31" t="str">
        <f aca="false">IF(AY272&gt;0,(AX274+AY269+IF(Source_Data!AY$6=Inputs!$B$13,Inputs!$B$7,0))/AY272,"")</f>
        <v/>
      </c>
      <c r="AZ276" s="31" t="str">
        <f aca="false">IF(AZ272&gt;0,(AY274+AZ269+IF(Source_Data!AZ$6=Inputs!$B$13,Inputs!$B$7,0))/AZ272,"")</f>
        <v/>
      </c>
      <c r="BA276" s="31" t="str">
        <f aca="false">IF(BA272&gt;0,(AZ274+BA269+IF(Source_Data!BA$6=Inputs!$B$13,Inputs!$B$7,0))/BA272,"")</f>
        <v/>
      </c>
      <c r="BB276" s="31" t="str">
        <f aca="false">IF(BB272&gt;0,(BA274+BB269+IF(Source_Data!BB$6=Inputs!$B$13,Inputs!$B$7,0))/BB272,"")</f>
        <v/>
      </c>
      <c r="BC276" s="31" t="str">
        <f aca="false">IF(BC272&gt;0,(BB274+BC269+IF(Source_Data!BC$6=Inputs!$B$13,Inputs!$B$7,0))/BC272,"")</f>
        <v/>
      </c>
      <c r="BD276" s="31" t="str">
        <f aca="false">IF(BD272&gt;0,(BC274+BD269+IF(Source_Data!BD$6=Inputs!$B$13,Inputs!$B$7,0))/BD272,"")</f>
        <v/>
      </c>
      <c r="BE276" s="31" t="str">
        <f aca="false">IF(BE272&gt;0,(BD274+BE269+IF(Source_Data!BE$6=Inputs!$B$13,Inputs!$B$7,0))/BE272,"")</f>
        <v/>
      </c>
      <c r="BF276" s="31" t="str">
        <f aca="false">IF(BF272&gt;0,(BE274+BF269+IF(Source_Data!BF$6=Inputs!$B$13,Inputs!$B$7,0))/BF272,"")</f>
        <v/>
      </c>
      <c r="BG276" s="31" t="str">
        <f aca="false">IF(BG272&gt;0,(BF274+BG269+IF(Source_Data!BG$6=Inputs!$B$13,Inputs!$B$7,0))/BG272,"")</f>
        <v/>
      </c>
      <c r="BH276" s="31" t="str">
        <f aca="false">IF(BH272&gt;0,(BG274+BH269+IF(Source_Data!BH$6=Inputs!$B$13,Inputs!$B$7,0))/BH272,"")</f>
        <v/>
      </c>
      <c r="BI276" s="31" t="str">
        <f aca="false">IF(BI272&gt;0,(BH274+BI269+IF(Source_Data!BI$6=Inputs!$B$13,Inputs!$B$7,0))/BI272,"")</f>
        <v/>
      </c>
      <c r="BJ276" s="31" t="str">
        <f aca="false">IF(BJ272&gt;0,(BI274+BJ269+IF(Source_Data!BJ$6=Inputs!$B$13,Inputs!$B$7,0))/BJ272,"")</f>
        <v/>
      </c>
      <c r="BK276" s="31" t="str">
        <f aca="false">IF(BK272&gt;0,(BJ274+BK269+IF(Source_Data!BK$6=Inputs!$B$13,Inputs!$B$7,0))/BK272,"")</f>
        <v/>
      </c>
    </row>
    <row r="278" customFormat="false" ht="15" hidden="false" customHeight="false" outlineLevel="0" collapsed="false">
      <c r="A278" s="2" t="s">
        <v>222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347</v>
      </c>
      <c r="B279" s="41" t="n">
        <f aca="false">SUMPRODUCT(D269:BK269,Project_CF!$D$15:$BK$15)</f>
        <v>-103.348380874048</v>
      </c>
    </row>
    <row r="280" customFormat="false" ht="15" hidden="false" customHeight="false" outlineLevel="0" collapsed="false">
      <c r="A280" s="2" t="s">
        <v>164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348</v>
      </c>
      <c r="B281" s="35" t="n">
        <f aca="false">INDEX(Project_CF!$D$6:$BK$6,MATCH(MIN(D270:BK270),D270:BK270,0))</f>
        <v>42</v>
      </c>
    </row>
    <row r="282" customFormat="false" ht="15" hidden="false" customHeight="false" outlineLevel="0" collapsed="false">
      <c r="A282" s="2" t="s">
        <v>349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350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351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352</v>
      </c>
      <c r="B285" s="41" t="n">
        <f aca="false">MIN(D274:BK274)</f>
        <v>-1101.067264375</v>
      </c>
    </row>
    <row r="286" customFormat="false" ht="15" hidden="false" customHeight="false" outlineLevel="0" collapsed="false">
      <c r="A286" s="2" t="s">
        <v>353</v>
      </c>
      <c r="B286" s="43" t="n">
        <f aca="false">MIN(D275:BK275)</f>
        <v>-12.7544827826087</v>
      </c>
    </row>
    <row r="287" customFormat="false" ht="15" hidden="false" customHeight="false" outlineLevel="0" collapsed="false">
      <c r="A287" s="2" t="s">
        <v>354</v>
      </c>
      <c r="B287" s="35" t="n">
        <f aca="false">COUNTIF(D275:BK275,"&lt;"&amp;Inputs!$B$44)</f>
        <v>7</v>
      </c>
    </row>
    <row r="288" customFormat="false" ht="15" hidden="false" customHeight="false" outlineLevel="0" collapsed="false">
      <c r="A288" s="2" t="s">
        <v>355</v>
      </c>
      <c r="B288" s="43" t="n">
        <f aca="false">MIN(D276:BK276)</f>
        <v>-75.5959836086957</v>
      </c>
    </row>
    <row r="289" customFormat="false" ht="15" hidden="false" customHeight="false" outlineLevel="0" collapsed="false">
      <c r="A289" s="2" t="s">
        <v>356</v>
      </c>
      <c r="B289" s="35" t="n">
        <f aca="false">COUNTIF(D276:BK276,"&lt;"&amp;Inputs!$B$44)</f>
        <v>12</v>
      </c>
    </row>
    <row r="292" customFormat="false" ht="15" hidden="false" customHeight="false" outlineLevel="0" collapsed="false">
      <c r="A292" s="8" t="s">
        <v>367</v>
      </c>
    </row>
    <row r="293" customFormat="false" ht="15" hidden="false" customHeight="false" outlineLevel="0" collapsed="false">
      <c r="A293" s="3" t="s">
        <v>333</v>
      </c>
      <c r="B293" s="45" t="n">
        <v>1</v>
      </c>
    </row>
    <row r="294" customFormat="false" ht="15" hidden="false" customHeight="false" outlineLevel="0" collapsed="false">
      <c r="A294" s="3" t="s">
        <v>334</v>
      </c>
      <c r="B294" s="45" t="n">
        <v>0</v>
      </c>
    </row>
    <row r="295" customFormat="false" ht="15" hidden="false" customHeight="false" outlineLevel="0" collapsed="false">
      <c r="A295" s="3" t="s">
        <v>335</v>
      </c>
      <c r="B295" s="45" t="n">
        <v>1.1</v>
      </c>
    </row>
    <row r="296" customFormat="false" ht="15" hidden="false" customHeight="false" outlineLevel="0" collapsed="false">
      <c r="A296" s="3" t="s">
        <v>336</v>
      </c>
      <c r="B296" s="45" t="n">
        <v>0</v>
      </c>
    </row>
    <row r="297" customFormat="false" ht="15" hidden="false" customHeight="false" outlineLevel="0" collapsed="false">
      <c r="A297" s="3" t="s">
        <v>337</v>
      </c>
      <c r="B297" s="45" t="n">
        <v>0</v>
      </c>
    </row>
    <row r="298" customFormat="false" ht="15" hidden="false" customHeight="false" outlineLevel="0" collapsed="false">
      <c r="A298" s="3" t="s">
        <v>338</v>
      </c>
      <c r="B298" s="3" t="n">
        <f aca="false">Inputs!$B$14+3+3*$B$294</f>
        <v>45</v>
      </c>
    </row>
    <row r="299" customFormat="false" ht="15" hidden="false" customHeight="false" outlineLevel="0" collapsed="false">
      <c r="A299" s="3" t="s">
        <v>339</v>
      </c>
      <c r="D299" s="33" t="n">
        <f aca="false">Source_Data!D$7+IF($B$297=1,IF(Source_Data!D$6=Inputs!$B$14,Source_Data!$C$8,0),Source_Data!D$8)</f>
        <v>0</v>
      </c>
      <c r="E299" s="33" t="n">
        <f aca="false">Source_Data!E$7+IF($B$297=1,IF(Source_Data!E$6=Inputs!$B$14,Source_Data!$C$8,0),Source_Data!E$8)</f>
        <v>0</v>
      </c>
      <c r="F299" s="33" t="n">
        <f aca="false">Source_Data!F$7+IF($B$297=1,IF(Source_Data!F$6=Inputs!$B$14,Source_Data!$C$8,0),Source_Data!F$8)</f>
        <v>15.1392375</v>
      </c>
      <c r="G299" s="33" t="n">
        <f aca="false">Source_Data!G$7+IF($B$297=1,IF(Source_Data!G$6=Inputs!$B$14,Source_Data!$C$8,0),Source_Data!G$8)</f>
        <v>30.278475</v>
      </c>
      <c r="H299" s="33" t="n">
        <f aca="false">Source_Data!H$7+IF($B$297=1,IF(Source_Data!H$6=Inputs!$B$14,Source_Data!$C$8,0),Source_Data!H$8)</f>
        <v>46.51200625</v>
      </c>
      <c r="I299" s="33" t="n">
        <f aca="false">Source_Data!I$7+IF($B$297=1,IF(Source_Data!I$6=Inputs!$B$14,Source_Data!$C$8,0),Source_Data!I$8)</f>
        <v>62.7455375</v>
      </c>
      <c r="J299" s="33" t="n">
        <f aca="false">Source_Data!J$7+IF($B$297=1,IF(Source_Data!J$6=Inputs!$B$14,Source_Data!$C$8,0),Source_Data!J$8)</f>
        <v>62.3657</v>
      </c>
      <c r="K299" s="33" t="n">
        <f aca="false">Source_Data!K$7+IF($B$297=1,IF(Source_Data!K$6=Inputs!$B$14,Source_Data!$C$8,0),Source_Data!K$8)</f>
        <v>63.473559375</v>
      </c>
      <c r="L299" s="33" t="n">
        <f aca="false">Source_Data!L$7+IF($B$297=1,IF(Source_Data!L$6=Inputs!$B$14,Source_Data!$C$8,0),Source_Data!L$8)</f>
        <v>80.3288484375</v>
      </c>
      <c r="M299" s="33" t="n">
        <f aca="false">Source_Data!M$7+IF($B$297=1,IF(Source_Data!M$6=Inputs!$B$14,Source_Data!$C$8,0),Source_Data!M$8)</f>
        <v>495.2538375</v>
      </c>
      <c r="N299" s="33" t="n">
        <f aca="false">Source_Data!N$7+IF($B$297=1,IF(Source_Data!N$6=Inputs!$B$14,Source_Data!$C$8,0),Source_Data!N$8)</f>
        <v>185.57775</v>
      </c>
      <c r="O299" s="33" t="n">
        <f aca="false">Source_Data!O$7+IF($B$297=1,IF(Source_Data!O$6=Inputs!$B$14,Source_Data!$C$8,0),Source_Data!O$8)</f>
        <v>176.534</v>
      </c>
      <c r="P299" s="33" t="n">
        <f aca="false">Source_Data!P$7+IF($B$297=1,IF(Source_Data!P$6=Inputs!$B$14,Source_Data!$C$8,0),Source_Data!P$8)</f>
        <v>97.31075</v>
      </c>
      <c r="Q299" s="33" t="n">
        <f aca="false">Source_Data!Q$7+IF($B$297=1,IF(Source_Data!Q$6=Inputs!$B$14,Source_Data!$C$8,0),Source_Data!Q$8)</f>
        <v>71.30996875</v>
      </c>
      <c r="R299" s="33" t="n">
        <f aca="false">Source_Data!R$7+IF($B$297=1,IF(Source_Data!R$6=Inputs!$B$14,Source_Data!$C$8,0),Source_Data!R$8)</f>
        <v>71.30996875</v>
      </c>
      <c r="S299" s="33" t="n">
        <f aca="false">Source_Data!S$7+IF($B$297=1,IF(Source_Data!S$6=Inputs!$B$14,Source_Data!$C$8,0),Source_Data!S$8)</f>
        <v>68.037035625</v>
      </c>
      <c r="T299" s="33" t="n">
        <f aca="false">Source_Data!T$7+IF($B$297=1,IF(Source_Data!T$6=Inputs!$B$14,Source_Data!$C$8,0),Source_Data!T$8)</f>
        <v>61.2266396875</v>
      </c>
      <c r="U299" s="33" t="n">
        <f aca="false">Source_Data!U$7+IF($B$297=1,IF(Source_Data!U$6=Inputs!$B$14,Source_Data!$C$8,0),Source_Data!U$8)</f>
        <v>59.7127159375</v>
      </c>
      <c r="V299" s="33" t="n">
        <f aca="false">Source_Data!V$7+IF($B$297=1,IF(Source_Data!V$6=Inputs!$B$14,Source_Data!$C$8,0),Source_Data!V$8)</f>
        <v>53.7239446875</v>
      </c>
      <c r="W299" s="33" t="n">
        <f aca="false">Source_Data!W$7+IF($B$297=1,IF(Source_Data!W$6=Inputs!$B$14,Source_Data!$C$8,0),Source_Data!W$8)</f>
        <v>49.3829446875</v>
      </c>
      <c r="X299" s="33" t="n">
        <f aca="false">Source_Data!X$7+IF($B$297=1,IF(Source_Data!X$6=Inputs!$B$14,Source_Data!$C$8,0),Source_Data!X$8)</f>
        <v>49.3829446875</v>
      </c>
      <c r="Y299" s="33" t="n">
        <f aca="false">Source_Data!Y$7+IF($B$297=1,IF(Source_Data!Y$6=Inputs!$B$14,Source_Data!$C$8,0),Source_Data!Y$8)</f>
        <v>42.1027259375</v>
      </c>
      <c r="Z299" s="33" t="n">
        <f aca="false">Source_Data!Z$7+IF($B$297=1,IF(Source_Data!Z$6=Inputs!$B$14,Source_Data!$C$8,0),Source_Data!Z$8)</f>
        <v>42.1027259375</v>
      </c>
      <c r="AA299" s="33" t="n">
        <f aca="false">Source_Data!AA$7+IF($B$297=1,IF(Source_Data!AA$6=Inputs!$B$14,Source_Data!$C$8,0),Source_Data!AA$8)</f>
        <v>42.1027259375</v>
      </c>
      <c r="AB299" s="33" t="n">
        <f aca="false">Source_Data!AB$7+IF($B$297=1,IF(Source_Data!AB$6=Inputs!$B$14,Source_Data!$C$8,0),Source_Data!AB$8)</f>
        <v>36.3147259375</v>
      </c>
      <c r="AC299" s="33" t="n">
        <f aca="false">Source_Data!AC$7+IF($B$297=1,IF(Source_Data!AC$6=Inputs!$B$14,Source_Data!$C$8,0),Source_Data!AC$8)</f>
        <v>33.0386275</v>
      </c>
      <c r="AD299" s="33" t="n">
        <f aca="false">Source_Data!AD$7+IF($B$297=1,IF(Source_Data!AD$6=Inputs!$B$14,Source_Data!$C$8,0),Source_Data!AD$8)</f>
        <v>29.43017125</v>
      </c>
      <c r="AE299" s="33" t="n">
        <f aca="false">Source_Data!AE$7+IF($B$297=1,IF(Source_Data!AE$6=Inputs!$B$14,Source_Data!$C$8,0),Source_Data!AE$8)</f>
        <v>25.08917125</v>
      </c>
      <c r="AF299" s="33" t="n">
        <f aca="false">Source_Data!AF$7+IF($B$297=1,IF(Source_Data!AF$6=Inputs!$B$14,Source_Data!$C$8,0),Source_Data!AF$8)</f>
        <v>25.08917125</v>
      </c>
      <c r="AG299" s="33" t="n">
        <f aca="false">Source_Data!AG$7+IF($B$297=1,IF(Source_Data!AG$6=Inputs!$B$14,Source_Data!$C$8,0),Source_Data!AG$8)</f>
        <v>25.08917125</v>
      </c>
      <c r="AH299" s="33" t="n">
        <f aca="false">Source_Data!AH$7+IF($B$297=1,IF(Source_Data!AH$6=Inputs!$B$14,Source_Data!$C$8,0),Source_Data!AH$8)</f>
        <v>25.08917125</v>
      </c>
      <c r="AI299" s="33" t="n">
        <f aca="false">Source_Data!AI$7+IF($B$297=1,IF(Source_Data!AI$6=Inputs!$B$14,Source_Data!$C$8,0),Source_Data!AI$8)</f>
        <v>25.08917125</v>
      </c>
      <c r="AJ299" s="33" t="n">
        <f aca="false">Source_Data!AJ$7+IF($B$297=1,IF(Source_Data!AJ$6=Inputs!$B$14,Source_Data!$C$8,0),Source_Data!AJ$8)</f>
        <v>25.08917125</v>
      </c>
      <c r="AK299" s="33" t="n">
        <f aca="false">Source_Data!AK$7+IF($B$297=1,IF(Source_Data!AK$6=Inputs!$B$14,Source_Data!$C$8,0),Source_Data!AK$8)</f>
        <v>22.905105625</v>
      </c>
      <c r="AL299" s="33" t="n">
        <f aca="false">Source_Data!AL$7+IF($B$297=1,IF(Source_Data!AL$6=Inputs!$B$14,Source_Data!$C$8,0),Source_Data!AL$8)</f>
        <v>22.905105625</v>
      </c>
      <c r="AM299" s="33" t="n">
        <f aca="false">Source_Data!AM$7+IF($B$297=1,IF(Source_Data!AM$6=Inputs!$B$14,Source_Data!$C$8,0),Source_Data!AM$8)</f>
        <v>18.739554375</v>
      </c>
      <c r="AN299" s="33" t="n">
        <f aca="false">Source_Data!AN$7+IF($B$297=1,IF(Source_Data!AN$6=Inputs!$B$14,Source_Data!$C$8,0),Source_Data!AN$8)</f>
        <v>9.6261675</v>
      </c>
      <c r="AO299" s="33" t="n">
        <f aca="false">Source_Data!AO$7+IF($B$297=1,IF(Source_Data!AO$6=Inputs!$B$14,Source_Data!$C$8,0),Source_Data!AO$8)</f>
        <v>3.5704725</v>
      </c>
      <c r="AP299" s="33" t="n">
        <f aca="false">Source_Data!AP$7+IF($B$297=1,IF(Source_Data!AP$6=Inputs!$B$14,Source_Data!$C$8,0),Source_Data!AP$8)</f>
        <v>0</v>
      </c>
      <c r="AQ299" s="33" t="n">
        <f aca="false">Source_Data!AQ$7+IF($B$297=1,IF(Source_Data!AQ$6=Inputs!$B$14,Source_Data!$C$8,0),Source_Data!AQ$8)</f>
        <v>0</v>
      </c>
      <c r="AR299" s="33" t="n">
        <f aca="false">Source_Data!AR$7+IF($B$297=1,IF(Source_Data!AR$6=Inputs!$B$14,Source_Data!$C$8,0),Source_Data!AR$8)</f>
        <v>0</v>
      </c>
      <c r="AS299" s="33" t="n">
        <f aca="false">Source_Data!AS$7+IF($B$297=1,IF(Source_Data!AS$6=Inputs!$B$14,Source_Data!$C$8,0),Source_Data!AS$8)</f>
        <v>0</v>
      </c>
      <c r="AT299" s="33" t="n">
        <f aca="false">Source_Data!AT$7+IF($B$297=1,IF(Source_Data!AT$6=Inputs!$B$14,Source_Data!$C$8,0),Source_Data!AT$8)</f>
        <v>0</v>
      </c>
      <c r="AU299" s="33" t="n">
        <f aca="false">Source_Data!AU$7+IF($B$297=1,IF(Source_Data!AU$6=Inputs!$B$14,Source_Data!$C$8,0),Source_Data!AU$8)</f>
        <v>0</v>
      </c>
      <c r="AV299" s="33" t="n">
        <f aca="false">Source_Data!AV$7+IF($B$297=1,IF(Source_Data!AV$6=Inputs!$B$14,Source_Data!$C$8,0),Source_Data!AV$8)</f>
        <v>0</v>
      </c>
      <c r="AW299" s="33" t="n">
        <f aca="false">Source_Data!AW$7+IF($B$297=1,IF(Source_Data!AW$6=Inputs!$B$14,Source_Data!$C$8,0),Source_Data!AW$8)</f>
        <v>0</v>
      </c>
      <c r="AX299" s="33" t="n">
        <f aca="false">Source_Data!AX$7+IF($B$297=1,IF(Source_Data!AX$6=Inputs!$B$14,Source_Data!$C$8,0),Source_Data!AX$8)</f>
        <v>0</v>
      </c>
      <c r="AY299" s="33" t="n">
        <f aca="false">Source_Data!AY$7+IF($B$297=1,IF(Source_Data!AY$6=Inputs!$B$14,Source_Data!$C$8,0),Source_Data!AY$8)</f>
        <v>0</v>
      </c>
      <c r="AZ299" s="33" t="n">
        <f aca="false">Source_Data!AZ$7+IF($B$297=1,IF(Source_Data!AZ$6=Inputs!$B$14,Source_Data!$C$8,0),Source_Data!AZ$8)</f>
        <v>0</v>
      </c>
      <c r="BA299" s="33" t="n">
        <f aca="false">Source_Data!BA$7+IF($B$297=1,IF(Source_Data!BA$6=Inputs!$B$14,Source_Data!$C$8,0),Source_Data!BA$8)</f>
        <v>0</v>
      </c>
      <c r="BB299" s="33" t="n">
        <f aca="false">Source_Data!BB$7+IF($B$297=1,IF(Source_Data!BB$6=Inputs!$B$14,Source_Data!$C$8,0),Source_Data!BB$8)</f>
        <v>0</v>
      </c>
      <c r="BC299" s="33" t="n">
        <f aca="false">Source_Data!BC$7+IF($B$297=1,IF(Source_Data!BC$6=Inputs!$B$14,Source_Data!$C$8,0),Source_Data!BC$8)</f>
        <v>0</v>
      </c>
      <c r="BD299" s="33" t="n">
        <f aca="false">Source_Data!BD$7+IF($B$297=1,IF(Source_Data!BD$6=Inputs!$B$14,Source_Data!$C$8,0),Source_Data!BD$8)</f>
        <v>0</v>
      </c>
      <c r="BE299" s="33" t="n">
        <f aca="false">Source_Data!BE$7+IF($B$297=1,IF(Source_Data!BE$6=Inputs!$B$14,Source_Data!$C$8,0),Source_Data!BE$8)</f>
        <v>0</v>
      </c>
      <c r="BF299" s="33" t="n">
        <f aca="false">Source_Data!BF$7+IF($B$297=1,IF(Source_Data!BF$6=Inputs!$B$14,Source_Data!$C$8,0),Source_Data!BF$8)</f>
        <v>0</v>
      </c>
      <c r="BG299" s="33" t="n">
        <f aca="false">Source_Data!BG$7+IF($B$297=1,IF(Source_Data!BG$6=Inputs!$B$14,Source_Data!$C$8,0),Source_Data!BG$8)</f>
        <v>0</v>
      </c>
      <c r="BH299" s="33" t="n">
        <f aca="false">Source_Data!BH$7+IF($B$297=1,IF(Source_Data!BH$6=Inputs!$B$14,Source_Data!$C$8,0),Source_Data!BH$8)</f>
        <v>0</v>
      </c>
      <c r="BI299" s="33" t="n">
        <f aca="false">Source_Data!BI$7+IF($B$297=1,IF(Source_Data!BI$6=Inputs!$B$14,Source_Data!$C$8,0),Source_Data!BI$8)</f>
        <v>0</v>
      </c>
      <c r="BJ299" s="33" t="n">
        <f aca="false">Source_Data!BJ$7+IF($B$297=1,IF(Source_Data!BJ$6=Inputs!$B$14,Source_Data!$C$8,0),Source_Data!BJ$8)</f>
        <v>0</v>
      </c>
      <c r="BK299" s="33" t="n">
        <f aca="false">Source_Data!BK$7+IF($B$297=1,IF(Source_Data!BK$6=Inputs!$B$14,Source_Data!$C$8,0),Source_Data!BK$8)</f>
        <v>0</v>
      </c>
    </row>
    <row r="300" customFormat="false" ht="15" hidden="false" customHeight="false" outlineLevel="0" collapsed="false">
      <c r="A300" s="3" t="s">
        <v>215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340</v>
      </c>
      <c r="D301" s="33" t="n">
        <f aca="false">Source_Data!D$9+Source_Data!D$10*IF(Source_Data!$C$10=0,0,MAX(0,Inputs!$B$20*Inputs!$B$23*$B$293-Inputs!$B$21)/Source_Data!$C$10)</f>
        <v>91.25</v>
      </c>
      <c r="E301" s="33" t="n">
        <f aca="false">Source_Data!E$9+Source_Data!E$10*IF(Source_Data!$C$10=0,0,MAX(0,Inputs!$B$20*Inputs!$B$23*$B$293-Inputs!$B$21)/Source_Data!$C$10)</f>
        <v>11.25</v>
      </c>
      <c r="F301" s="33" t="n">
        <f aca="false">Source_Data!F$9+Source_Data!F$10*IF(Source_Data!$C$10=0,0,MAX(0,Inputs!$B$20*Inputs!$B$23*$B$293-Inputs!$B$21)/Source_Data!$C$10)</f>
        <v>11.25</v>
      </c>
      <c r="G301" s="33" t="n">
        <f aca="false">Source_Data!G$9+Source_Data!G$10*IF(Source_Data!$C$10=0,0,MAX(0,Inputs!$B$20*Inputs!$B$23*$B$293-Inputs!$B$21)/Source_Data!$C$10)</f>
        <v>11.25</v>
      </c>
      <c r="H301" s="33" t="n">
        <f aca="false">Source_Data!H$9+Source_Data!H$10*IF(Source_Data!$C$10=0,0,MAX(0,Inputs!$B$20*Inputs!$B$23*$B$293-Inputs!$B$21)/Source_Data!$C$10)</f>
        <v>22.5</v>
      </c>
      <c r="I301" s="33" t="n">
        <f aca="false">Source_Data!I$9+Source_Data!I$10*IF(Source_Data!$C$10=0,0,MAX(0,Inputs!$B$20*Inputs!$B$23*$B$293-Inputs!$B$21)/Source_Data!$C$10)</f>
        <v>22.5</v>
      </c>
      <c r="J301" s="33" t="n">
        <f aca="false">Source_Data!J$9+Source_Data!J$10*IF(Source_Data!$C$10=0,0,MAX(0,Inputs!$B$20*Inputs!$B$23*$B$293-Inputs!$B$21)/Source_Data!$C$10)</f>
        <v>22.5</v>
      </c>
      <c r="K301" s="33" t="n">
        <f aca="false">Source_Data!K$9+Source_Data!K$10*IF(Source_Data!$C$10=0,0,MAX(0,Inputs!$B$20*Inputs!$B$23*$B$293-Inputs!$B$21)/Source_Data!$C$10)</f>
        <v>22.5</v>
      </c>
      <c r="L301" s="33" t="n">
        <f aca="false">Source_Data!L$9+Source_Data!L$10*IF(Source_Data!$C$10=0,0,MAX(0,Inputs!$B$20*Inputs!$B$23*$B$293-Inputs!$B$21)/Source_Data!$C$10)</f>
        <v>33.75</v>
      </c>
      <c r="M301" s="33" t="n">
        <f aca="false">Source_Data!M$9+Source_Data!M$10*IF(Source_Data!$C$10=0,0,MAX(0,Inputs!$B$20*Inputs!$B$23*$B$293-Inputs!$B$21)/Source_Data!$C$10)</f>
        <v>33.75</v>
      </c>
      <c r="N301" s="33" t="n">
        <f aca="false">Source_Data!N$9+Source_Data!N$10*IF(Source_Data!$C$10=0,0,MAX(0,Inputs!$B$20*Inputs!$B$23*$B$293-Inputs!$B$21)/Source_Data!$C$10)</f>
        <v>33.75</v>
      </c>
      <c r="O301" s="33" t="n">
        <f aca="false">Source_Data!O$9+Source_Data!O$10*IF(Source_Data!$C$10=0,0,MAX(0,Inputs!$B$20*Inputs!$B$23*$B$293-Inputs!$B$21)/Source_Data!$C$10)</f>
        <v>33.75</v>
      </c>
      <c r="P301" s="33" t="n">
        <f aca="false">Source_Data!P$9+Source_Data!P$10*IF(Source_Data!$C$10=0,0,MAX(0,Inputs!$B$20*Inputs!$B$23*$B$293-Inputs!$B$21)/Source_Data!$C$10)</f>
        <v>45</v>
      </c>
      <c r="Q301" s="33" t="n">
        <f aca="false">Source_Data!Q$9+Source_Data!Q$10*IF(Source_Data!$C$10=0,0,MAX(0,Inputs!$B$20*Inputs!$B$23*$B$293-Inputs!$B$21)/Source_Data!$C$10)</f>
        <v>45</v>
      </c>
      <c r="R301" s="33" t="n">
        <f aca="false">Source_Data!R$9+Source_Data!R$10*IF(Source_Data!$C$10=0,0,MAX(0,Inputs!$B$20*Inputs!$B$23*$B$293-Inputs!$B$21)/Source_Data!$C$10)</f>
        <v>45</v>
      </c>
      <c r="S301" s="33" t="n">
        <f aca="false">Source_Data!S$9+Source_Data!S$10*IF(Source_Data!$C$10=0,0,MAX(0,Inputs!$B$20*Inputs!$B$23*$B$293-Inputs!$B$21)/Source_Data!$C$10)</f>
        <v>45</v>
      </c>
      <c r="T301" s="33" t="n">
        <f aca="false">Source_Data!T$9+Source_Data!T$10*IF(Source_Data!$C$10=0,0,MAX(0,Inputs!$B$20*Inputs!$B$23*$B$293-Inputs!$B$21)/Source_Data!$C$10)</f>
        <v>45</v>
      </c>
      <c r="U301" s="33" t="n">
        <f aca="false">Source_Data!U$9+Source_Data!U$10*IF(Source_Data!$C$10=0,0,MAX(0,Inputs!$B$20*Inputs!$B$23*$B$293-Inputs!$B$21)/Source_Data!$C$10)</f>
        <v>45</v>
      </c>
      <c r="V301" s="33" t="n">
        <f aca="false">Source_Data!V$9+Source_Data!V$10*IF(Source_Data!$C$10=0,0,MAX(0,Inputs!$B$20*Inputs!$B$23*$B$293-Inputs!$B$21)/Source_Data!$C$10)</f>
        <v>45</v>
      </c>
      <c r="W301" s="33" t="n">
        <f aca="false">Source_Data!W$9+Source_Data!W$10*IF(Source_Data!$C$10=0,0,MAX(0,Inputs!$B$20*Inputs!$B$23*$B$293-Inputs!$B$21)/Source_Data!$C$10)</f>
        <v>45</v>
      </c>
      <c r="X301" s="33" t="n">
        <f aca="false">Source_Data!X$9+Source_Data!X$10*IF(Source_Data!$C$10=0,0,MAX(0,Inputs!$B$20*Inputs!$B$23*$B$293-Inputs!$B$21)/Source_Data!$C$10)</f>
        <v>22.5</v>
      </c>
      <c r="Y301" s="33" t="n">
        <f aca="false">Source_Data!Y$9+Source_Data!Y$10*IF(Source_Data!$C$10=0,0,MAX(0,Inputs!$B$20*Inputs!$B$23*$B$293-Inputs!$B$21)/Source_Data!$C$10)</f>
        <v>22.5</v>
      </c>
      <c r="Z301" s="33" t="n">
        <f aca="false">Source_Data!Z$9+Source_Data!Z$10*IF(Source_Data!$C$10=0,0,MAX(0,Inputs!$B$20*Inputs!$B$23*$B$293-Inputs!$B$21)/Source_Data!$C$10)</f>
        <v>22.5</v>
      </c>
      <c r="AA301" s="33" t="n">
        <f aca="false">Source_Data!AA$9+Source_Data!AA$10*IF(Source_Data!$C$10=0,0,MAX(0,Inputs!$B$20*Inputs!$B$23*$B$293-Inputs!$B$21)/Source_Data!$C$10)</f>
        <v>22.5</v>
      </c>
      <c r="AB301" s="33" t="n">
        <f aca="false">Source_Data!AB$9+Source_Data!AB$10*IF(Source_Data!$C$10=0,0,MAX(0,Inputs!$B$20*Inputs!$B$23*$B$293-Inputs!$B$21)/Source_Data!$C$10)</f>
        <v>0</v>
      </c>
      <c r="AC301" s="33" t="n">
        <f aca="false">Source_Data!AC$9+Source_Data!AC$10*IF(Source_Data!$C$10=0,0,MAX(0,Inputs!$B$20*Inputs!$B$23*$B$293-Inputs!$B$21)/Source_Data!$C$10)</f>
        <v>0</v>
      </c>
      <c r="AD301" s="33" t="n">
        <f aca="false">Source_Data!AD$9+Source_Data!AD$10*IF(Source_Data!$C$10=0,0,MAX(0,Inputs!$B$20*Inputs!$B$23*$B$293-Inputs!$B$21)/Source_Data!$C$10)</f>
        <v>0</v>
      </c>
      <c r="AE301" s="33" t="n">
        <f aca="false">Source_Data!AE$9+Source_Data!AE$10*IF(Source_Data!$C$10=0,0,MAX(0,Inputs!$B$20*Inputs!$B$23*$B$293-Inputs!$B$21)/Source_Data!$C$10)</f>
        <v>0</v>
      </c>
      <c r="AF301" s="33" t="n">
        <f aca="false">Source_Data!AF$9+Source_Data!AF$10*IF(Source_Data!$C$10=0,0,MAX(0,Inputs!$B$20*Inputs!$B$23*$B$293-Inputs!$B$21)/Source_Data!$C$10)</f>
        <v>107.758210351563</v>
      </c>
      <c r="AG301" s="33" t="n">
        <f aca="false">Source_Data!AG$9+Source_Data!AG$10*IF(Source_Data!$C$10=0,0,MAX(0,Inputs!$B$20*Inputs!$B$23*$B$293-Inputs!$B$21)/Source_Data!$C$10)</f>
        <v>10.976512421875</v>
      </c>
      <c r="AH301" s="33" t="n">
        <f aca="false">Source_Data!AH$9+Source_Data!AH$10*IF(Source_Data!$C$10=0,0,MAX(0,Inputs!$B$20*Inputs!$B$23*$B$293-Inputs!$B$21)/Source_Data!$C$10)</f>
        <v>10.976512421875</v>
      </c>
      <c r="AI301" s="33" t="n">
        <f aca="false">Source_Data!AI$9+Source_Data!AI$10*IF(Source_Data!$C$10=0,0,MAX(0,Inputs!$B$20*Inputs!$B$23*$B$293-Inputs!$B$21)/Source_Data!$C$10)</f>
        <v>10.976512421875</v>
      </c>
      <c r="AJ301" s="33" t="n">
        <f aca="false">Source_Data!AJ$9+Source_Data!AJ$10*IF(Source_Data!$C$10=0,0,MAX(0,Inputs!$B$20*Inputs!$B$23*$B$293-Inputs!$B$21)/Source_Data!$C$10)</f>
        <v>10.976512421875</v>
      </c>
      <c r="AK301" s="33" t="n">
        <f aca="false">Source_Data!AK$9+Source_Data!AK$10*IF(Source_Data!$C$10=0,0,MAX(0,Inputs!$B$20*Inputs!$B$23*$B$293-Inputs!$B$21)/Source_Data!$C$10)</f>
        <v>10.0209837109375</v>
      </c>
      <c r="AL301" s="33" t="n">
        <f aca="false">Source_Data!AL$9+Source_Data!AL$10*IF(Source_Data!$C$10=0,0,MAX(0,Inputs!$B$20*Inputs!$B$23*$B$293-Inputs!$B$21)/Source_Data!$C$10)</f>
        <v>10.0209837109375</v>
      </c>
      <c r="AM301" s="33" t="n">
        <f aca="false">Source_Data!AM$9+Source_Data!AM$10*IF(Source_Data!$C$10=0,0,MAX(0,Inputs!$B$20*Inputs!$B$23*$B$293-Inputs!$B$21)/Source_Data!$C$10)</f>
        <v>8.19855503906249</v>
      </c>
      <c r="AN301" s="33" t="n">
        <f aca="false">Source_Data!AN$9+Source_Data!AN$10*IF(Source_Data!$C$10=0,0,MAX(0,Inputs!$B$20*Inputs!$B$23*$B$293-Inputs!$B$21)/Source_Data!$C$10)</f>
        <v>4.21144828125</v>
      </c>
      <c r="AO301" s="33" t="n">
        <f aca="false">Source_Data!AO$9+Source_Data!AO$10*IF(Source_Data!$C$10=0,0,MAX(0,Inputs!$B$20*Inputs!$B$23*$B$293-Inputs!$B$21)/Source_Data!$C$10)</f>
        <v>1.56208171875</v>
      </c>
      <c r="AP301" s="33" t="n">
        <f aca="false">Source_Data!AP$9+Source_Data!AP$10*IF(Source_Data!$C$10=0,0,MAX(0,Inputs!$B$20*Inputs!$B$23*$B$293-Inputs!$B$21)/Source_Data!$C$10)</f>
        <v>0</v>
      </c>
      <c r="AQ301" s="33" t="n">
        <f aca="false">Source_Data!AQ$9+Source_Data!AQ$10*IF(Source_Data!$C$10=0,0,MAX(0,Inputs!$B$20*Inputs!$B$23*$B$293-Inputs!$B$21)/Source_Data!$C$10)</f>
        <v>0</v>
      </c>
      <c r="AR301" s="33" t="n">
        <f aca="false">Source_Data!AR$9+Source_Data!AR$10*IF(Source_Data!$C$10=0,0,MAX(0,Inputs!$B$20*Inputs!$B$23*$B$293-Inputs!$B$21)/Source_Data!$C$10)</f>
        <v>0</v>
      </c>
      <c r="AS301" s="33" t="n">
        <f aca="false">Source_Data!AS$9+Source_Data!AS$10*IF(Source_Data!$C$10=0,0,MAX(0,Inputs!$B$20*Inputs!$B$23*$B$293-Inputs!$B$21)/Source_Data!$C$10)</f>
        <v>0</v>
      </c>
      <c r="AT301" s="33" t="n">
        <f aca="false">Source_Data!AT$9+Source_Data!AT$10*IF(Source_Data!$C$10=0,0,MAX(0,Inputs!$B$20*Inputs!$B$23*$B$293-Inputs!$B$21)/Source_Data!$C$10)</f>
        <v>0</v>
      </c>
      <c r="AU301" s="33" t="n">
        <f aca="false">Source_Data!AU$9+Source_Data!AU$10*IF(Source_Data!$C$10=0,0,MAX(0,Inputs!$B$20*Inputs!$B$23*$B$293-Inputs!$B$21)/Source_Data!$C$10)</f>
        <v>0</v>
      </c>
      <c r="AV301" s="33" t="n">
        <f aca="false">Source_Data!AV$9+Source_Data!AV$10*IF(Source_Data!$C$10=0,0,MAX(0,Inputs!$B$20*Inputs!$B$23*$B$293-Inputs!$B$21)/Source_Data!$C$10)</f>
        <v>0</v>
      </c>
      <c r="AW301" s="33" t="n">
        <f aca="false">Source_Data!AW$9+Source_Data!AW$10*IF(Source_Data!$C$10=0,0,MAX(0,Inputs!$B$20*Inputs!$B$23*$B$293-Inputs!$B$21)/Source_Data!$C$10)</f>
        <v>0</v>
      </c>
      <c r="AX301" s="33" t="n">
        <f aca="false">Source_Data!AX$9+Source_Data!AX$10*IF(Source_Data!$C$10=0,0,MAX(0,Inputs!$B$20*Inputs!$B$23*$B$293-Inputs!$B$21)/Source_Data!$C$10)</f>
        <v>0</v>
      </c>
      <c r="AY301" s="33" t="n">
        <f aca="false">Source_Data!AY$9+Source_Data!AY$10*IF(Source_Data!$C$10=0,0,MAX(0,Inputs!$B$20*Inputs!$B$23*$B$293-Inputs!$B$21)/Source_Data!$C$10)</f>
        <v>0</v>
      </c>
      <c r="AZ301" s="33" t="n">
        <f aca="false">Source_Data!AZ$9+Source_Data!AZ$10*IF(Source_Data!$C$10=0,0,MAX(0,Inputs!$B$20*Inputs!$B$23*$B$293-Inputs!$B$21)/Source_Data!$C$10)</f>
        <v>0</v>
      </c>
      <c r="BA301" s="33" t="n">
        <f aca="false">Source_Data!BA$9+Source_Data!BA$10*IF(Source_Data!$C$10=0,0,MAX(0,Inputs!$B$20*Inputs!$B$23*$B$293-Inputs!$B$21)/Source_Data!$C$10)</f>
        <v>0</v>
      </c>
      <c r="BB301" s="33" t="n">
        <f aca="false">Source_Data!BB$9+Source_Data!BB$10*IF(Source_Data!$C$10=0,0,MAX(0,Inputs!$B$20*Inputs!$B$23*$B$293-Inputs!$B$21)/Source_Data!$C$10)</f>
        <v>0</v>
      </c>
      <c r="BC301" s="33" t="n">
        <f aca="false">Source_Data!BC$9+Source_Data!BC$10*IF(Source_Data!$C$10=0,0,MAX(0,Inputs!$B$20*Inputs!$B$23*$B$293-Inputs!$B$21)/Source_Data!$C$10)</f>
        <v>0</v>
      </c>
      <c r="BD301" s="33" t="n">
        <f aca="false">Source_Data!BD$9+Source_Data!BD$10*IF(Source_Data!$C$10=0,0,MAX(0,Inputs!$B$20*Inputs!$B$23*$B$293-Inputs!$B$21)/Source_Data!$C$10)</f>
        <v>0</v>
      </c>
      <c r="BE301" s="33" t="n">
        <f aca="false">Source_Data!BE$9+Source_Data!BE$10*IF(Source_Data!$C$10=0,0,MAX(0,Inputs!$B$20*Inputs!$B$23*$B$293-Inputs!$B$21)/Source_Data!$C$10)</f>
        <v>0</v>
      </c>
      <c r="BF301" s="33" t="n">
        <f aca="false">Source_Data!BF$9+Source_Data!BF$10*IF(Source_Data!$C$10=0,0,MAX(0,Inputs!$B$20*Inputs!$B$23*$B$293-Inputs!$B$21)/Source_Data!$C$10)</f>
        <v>0</v>
      </c>
      <c r="BG301" s="33" t="n">
        <f aca="false">Source_Data!BG$9+Source_Data!BG$10*IF(Source_Data!$C$10=0,0,MAX(0,Inputs!$B$20*Inputs!$B$23*$B$293-Inputs!$B$21)/Source_Data!$C$10)</f>
        <v>0</v>
      </c>
      <c r="BH301" s="33" t="n">
        <f aca="false">Source_Data!BH$9+Source_Data!BH$10*IF(Source_Data!$C$10=0,0,MAX(0,Inputs!$B$20*Inputs!$B$23*$B$293-Inputs!$B$21)/Source_Data!$C$10)</f>
        <v>0</v>
      </c>
      <c r="BI301" s="33" t="n">
        <f aca="false">Source_Data!BI$9+Source_Data!BI$10*IF(Source_Data!$C$10=0,0,MAX(0,Inputs!$B$20*Inputs!$B$23*$B$293-Inputs!$B$21)/Source_Data!$C$10)</f>
        <v>0</v>
      </c>
      <c r="BJ301" s="33" t="n">
        <f aca="false">Source_Data!BJ$9+Source_Data!BJ$10*IF(Source_Data!$C$10=0,0,MAX(0,Inputs!$B$20*Inputs!$B$23*$B$293-Inputs!$B$21)/Source_Data!$C$10)</f>
        <v>0</v>
      </c>
      <c r="BK301" s="33" t="n">
        <f aca="false">Source_Data!BK$9+Source_Data!BK$10*IF(Source_Data!$C$10=0,0,MAX(0,Inputs!$B$20*Inputs!$B$23*$B$293-Inputs!$B$21)/Source_Data!$C$10)</f>
        <v>0</v>
      </c>
    </row>
    <row r="302" customFormat="false" ht="15" hidden="false" customHeight="false" outlineLevel="0" collapsed="false">
      <c r="A302" s="3" t="s">
        <v>196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198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217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218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219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341</v>
      </c>
      <c r="D307" s="33" t="n">
        <f aca="false">IF(Source_Data!D$6=Inputs!$B$13,-Inputs!$B$7,0)+IF(AND(Source_Data!D$6&gt;=$B$298,Source_Data!D$6&lt;$B$298+3*Inputs!$B$17,MOD(Source_Data!D$6-$B$298,3)=0),Inputs!$B$8*Inputs!$B$7*Inputs!$B$35*$B$293*(1-Inputs!$B$16)/Inputs!$B$17,0)</f>
        <v>-75</v>
      </c>
      <c r="E307" s="33" t="n">
        <f aca="false">IF(Source_Data!E$6=Inputs!$B$13,-Inputs!$B$7,0)+IF(AND(Source_Data!E$6&gt;=$B$298,Source_Data!E$6&lt;$B$298+3*Inputs!$B$17,MOD(Source_Data!E$6-$B$298,3)=0),Inputs!$B$8*Inputs!$B$7*Inputs!$B$35*$B$293*(1-Inputs!$B$16)/Inputs!$B$17,0)</f>
        <v>0</v>
      </c>
      <c r="F307" s="33" t="n">
        <f aca="false">IF(Source_Data!F$6=Inputs!$B$13,-Inputs!$B$7,0)+IF(AND(Source_Data!F$6&gt;=$B$298,Source_Data!F$6&lt;$B$298+3*Inputs!$B$17,MOD(Source_Data!F$6-$B$298,3)=0),Inputs!$B$8*Inputs!$B$7*Inputs!$B$35*$B$293*(1-Inputs!$B$16)/Inputs!$B$17,0)</f>
        <v>0</v>
      </c>
      <c r="G307" s="33" t="n">
        <f aca="false">IF(Source_Data!G$6=Inputs!$B$13,-Inputs!$B$7,0)+IF(AND(Source_Data!G$6&gt;=$B$298,Source_Data!G$6&lt;$B$298+3*Inputs!$B$17,MOD(Source_Data!G$6-$B$298,3)=0),Inputs!$B$8*Inputs!$B$7*Inputs!$B$35*$B$293*(1-Inputs!$B$16)/Inputs!$B$17,0)</f>
        <v>0</v>
      </c>
      <c r="H307" s="33" t="n">
        <f aca="false">IF(Source_Data!H$6=Inputs!$B$13,-Inputs!$B$7,0)+IF(AND(Source_Data!H$6&gt;=$B$298,Source_Data!H$6&lt;$B$298+3*Inputs!$B$17,MOD(Source_Data!H$6-$B$298,3)=0),Inputs!$B$8*Inputs!$B$7*Inputs!$B$35*$B$293*(1-Inputs!$B$16)/Inputs!$B$17,0)</f>
        <v>0</v>
      </c>
      <c r="I307" s="33" t="n">
        <f aca="false">IF(Source_Data!I$6=Inputs!$B$13,-Inputs!$B$7,0)+IF(AND(Source_Data!I$6&gt;=$B$298,Source_Data!I$6&lt;$B$298+3*Inputs!$B$17,MOD(Source_Data!I$6-$B$298,3)=0),Inputs!$B$8*Inputs!$B$7*Inputs!$B$35*$B$293*(1-Inputs!$B$16)/Inputs!$B$17,0)</f>
        <v>0</v>
      </c>
      <c r="J307" s="33" t="n">
        <f aca="false">IF(Source_Data!J$6=Inputs!$B$13,-Inputs!$B$7,0)+IF(AND(Source_Data!J$6&gt;=$B$298,Source_Data!J$6&lt;$B$298+3*Inputs!$B$17,MOD(Source_Data!J$6-$B$298,3)=0),Inputs!$B$8*Inputs!$B$7*Inputs!$B$35*$B$293*(1-Inputs!$B$16)/Inputs!$B$17,0)</f>
        <v>0</v>
      </c>
      <c r="K307" s="33" t="n">
        <f aca="false">IF(Source_Data!K$6=Inputs!$B$13,-Inputs!$B$7,0)+IF(AND(Source_Data!K$6&gt;=$B$298,Source_Data!K$6&lt;$B$298+3*Inputs!$B$17,MOD(Source_Data!K$6-$B$298,3)=0),Inputs!$B$8*Inputs!$B$7*Inputs!$B$35*$B$293*(1-Inputs!$B$16)/Inputs!$B$17,0)</f>
        <v>0</v>
      </c>
      <c r="L307" s="33" t="n">
        <f aca="false">IF(Source_Data!L$6=Inputs!$B$13,-Inputs!$B$7,0)+IF(AND(Source_Data!L$6&gt;=$B$298,Source_Data!L$6&lt;$B$298+3*Inputs!$B$17,MOD(Source_Data!L$6-$B$298,3)=0),Inputs!$B$8*Inputs!$B$7*Inputs!$B$35*$B$293*(1-Inputs!$B$16)/Inputs!$B$17,0)</f>
        <v>0</v>
      </c>
      <c r="M307" s="33" t="n">
        <f aca="false">IF(Source_Data!M$6=Inputs!$B$13,-Inputs!$B$7,0)+IF(AND(Source_Data!M$6&gt;=$B$298,Source_Data!M$6&lt;$B$298+3*Inputs!$B$17,MOD(Source_Data!M$6-$B$298,3)=0),Inputs!$B$8*Inputs!$B$7*Inputs!$B$35*$B$293*(1-Inputs!$B$16)/Inputs!$B$17,0)</f>
        <v>0</v>
      </c>
      <c r="N307" s="33" t="n">
        <f aca="false">IF(Source_Data!N$6=Inputs!$B$13,-Inputs!$B$7,0)+IF(AND(Source_Data!N$6&gt;=$B$298,Source_Data!N$6&lt;$B$298+3*Inputs!$B$17,MOD(Source_Data!N$6-$B$298,3)=0),Inputs!$B$8*Inputs!$B$7*Inputs!$B$35*$B$293*(1-Inputs!$B$16)/Inputs!$B$17,0)</f>
        <v>0</v>
      </c>
      <c r="O307" s="33" t="n">
        <f aca="false">IF(Source_Data!O$6=Inputs!$B$13,-Inputs!$B$7,0)+IF(AND(Source_Data!O$6&gt;=$B$298,Source_Data!O$6&lt;$B$298+3*Inputs!$B$17,MOD(Source_Data!O$6-$B$298,3)=0),Inputs!$B$8*Inputs!$B$7*Inputs!$B$35*$B$293*(1-Inputs!$B$16)/Inputs!$B$17,0)</f>
        <v>0</v>
      </c>
      <c r="P307" s="33" t="n">
        <f aca="false">IF(Source_Data!P$6=Inputs!$B$13,-Inputs!$B$7,0)+IF(AND(Source_Data!P$6&gt;=$B$298,Source_Data!P$6&lt;$B$298+3*Inputs!$B$17,MOD(Source_Data!P$6-$B$298,3)=0),Inputs!$B$8*Inputs!$B$7*Inputs!$B$35*$B$293*(1-Inputs!$B$16)/Inputs!$B$17,0)</f>
        <v>0</v>
      </c>
      <c r="Q307" s="33" t="n">
        <f aca="false">IF(Source_Data!Q$6=Inputs!$B$13,-Inputs!$B$7,0)+IF(AND(Source_Data!Q$6&gt;=$B$298,Source_Data!Q$6&lt;$B$298+3*Inputs!$B$17,MOD(Source_Data!Q$6-$B$298,3)=0),Inputs!$B$8*Inputs!$B$7*Inputs!$B$35*$B$293*(1-Inputs!$B$16)/Inputs!$B$17,0)</f>
        <v>0</v>
      </c>
      <c r="R307" s="33" t="n">
        <f aca="false">IF(Source_Data!R$6=Inputs!$B$13,-Inputs!$B$7,0)+IF(AND(Source_Data!R$6&gt;=$B$298,Source_Data!R$6&lt;$B$298+3*Inputs!$B$17,MOD(Source_Data!R$6-$B$298,3)=0),Inputs!$B$8*Inputs!$B$7*Inputs!$B$35*$B$293*(1-Inputs!$B$16)/Inputs!$B$17,0)</f>
        <v>0</v>
      </c>
      <c r="S307" s="33" t="n">
        <f aca="false">IF(Source_Data!S$6=Inputs!$B$13,-Inputs!$B$7,0)+IF(AND(Source_Data!S$6&gt;=$B$298,Source_Data!S$6&lt;$B$298+3*Inputs!$B$17,MOD(Source_Data!S$6-$B$298,3)=0),Inputs!$B$8*Inputs!$B$7*Inputs!$B$35*$B$293*(1-Inputs!$B$16)/Inputs!$B$17,0)</f>
        <v>0</v>
      </c>
      <c r="T307" s="33" t="n">
        <f aca="false">IF(Source_Data!T$6=Inputs!$B$13,-Inputs!$B$7,0)+IF(AND(Source_Data!T$6&gt;=$B$298,Source_Data!T$6&lt;$B$298+3*Inputs!$B$17,MOD(Source_Data!T$6-$B$298,3)=0),Inputs!$B$8*Inputs!$B$7*Inputs!$B$35*$B$293*(1-Inputs!$B$16)/Inputs!$B$17,0)</f>
        <v>52.1505376344086</v>
      </c>
      <c r="U307" s="33" t="n">
        <f aca="false">IF(Source_Data!U$6=Inputs!$B$13,-Inputs!$B$7,0)+IF(AND(Source_Data!U$6&gt;=$B$298,Source_Data!U$6&lt;$B$298+3*Inputs!$B$17,MOD(Source_Data!U$6-$B$298,3)=0),Inputs!$B$8*Inputs!$B$7*Inputs!$B$35*$B$293*(1-Inputs!$B$16)/Inputs!$B$17,0)</f>
        <v>52.1505376344086</v>
      </c>
      <c r="V307" s="33" t="n">
        <f aca="false">IF(Source_Data!V$6=Inputs!$B$13,-Inputs!$B$7,0)+IF(AND(Source_Data!V$6&gt;=$B$298,Source_Data!V$6&lt;$B$298+3*Inputs!$B$17,MOD(Source_Data!V$6-$B$298,3)=0),Inputs!$B$8*Inputs!$B$7*Inputs!$B$35*$B$293*(1-Inputs!$B$16)/Inputs!$B$17,0)</f>
        <v>52.1505376344086</v>
      </c>
      <c r="W307" s="33" t="n">
        <f aca="false">IF(Source_Data!W$6=Inputs!$B$13,-Inputs!$B$7,0)+IF(AND(Source_Data!W$6&gt;=$B$298,Source_Data!W$6&lt;$B$298+3*Inputs!$B$17,MOD(Source_Data!W$6-$B$298,3)=0),Inputs!$B$8*Inputs!$B$7*Inputs!$B$35*$B$293*(1-Inputs!$B$16)/Inputs!$B$17,0)</f>
        <v>52.1505376344086</v>
      </c>
      <c r="X307" s="33" t="n">
        <f aca="false">IF(Source_Data!X$6=Inputs!$B$13,-Inputs!$B$7,0)+IF(AND(Source_Data!X$6&gt;=$B$298,Source_Data!X$6&lt;$B$298+3*Inputs!$B$17,MOD(Source_Data!X$6-$B$298,3)=0),Inputs!$B$8*Inputs!$B$7*Inputs!$B$35*$B$293*(1-Inputs!$B$16)/Inputs!$B$17,0)</f>
        <v>0</v>
      </c>
      <c r="Y307" s="33" t="n">
        <f aca="false">IF(Source_Data!Y$6=Inputs!$B$13,-Inputs!$B$7,0)+IF(AND(Source_Data!Y$6&gt;=$B$298,Source_Data!Y$6&lt;$B$298+3*Inputs!$B$17,MOD(Source_Data!Y$6-$B$298,3)=0),Inputs!$B$8*Inputs!$B$7*Inputs!$B$35*$B$293*(1-Inputs!$B$16)/Inputs!$B$17,0)</f>
        <v>0</v>
      </c>
      <c r="Z307" s="33" t="n">
        <f aca="false">IF(Source_Data!Z$6=Inputs!$B$13,-Inputs!$B$7,0)+IF(AND(Source_Data!Z$6&gt;=$B$298,Source_Data!Z$6&lt;$B$298+3*Inputs!$B$17,MOD(Source_Data!Z$6-$B$298,3)=0),Inputs!$B$8*Inputs!$B$7*Inputs!$B$35*$B$293*(1-Inputs!$B$16)/Inputs!$B$17,0)</f>
        <v>0</v>
      </c>
      <c r="AA307" s="33" t="n">
        <f aca="false">IF(Source_Data!AA$6=Inputs!$B$13,-Inputs!$B$7,0)+IF(AND(Source_Data!AA$6&gt;=$B$298,Source_Data!AA$6&lt;$B$298+3*Inputs!$B$17,MOD(Source_Data!AA$6-$B$298,3)=0),Inputs!$B$8*Inputs!$B$7*Inputs!$B$35*$B$293*(1-Inputs!$B$16)/Inputs!$B$17,0)</f>
        <v>0</v>
      </c>
      <c r="AB307" s="33" t="n">
        <f aca="false">IF(Source_Data!AB$6=Inputs!$B$13,-Inputs!$B$7,0)+IF(AND(Source_Data!AB$6&gt;=$B$298,Source_Data!AB$6&lt;$B$298+3*Inputs!$B$17,MOD(Source_Data!AB$6-$B$298,3)=0),Inputs!$B$8*Inputs!$B$7*Inputs!$B$35*$B$293*(1-Inputs!$B$16)/Inputs!$B$17,0)</f>
        <v>0</v>
      </c>
      <c r="AC307" s="33" t="n">
        <f aca="false">IF(Source_Data!AC$6=Inputs!$B$13,-Inputs!$B$7,0)+IF(AND(Source_Data!AC$6&gt;=$B$298,Source_Data!AC$6&lt;$B$298+3*Inputs!$B$17,MOD(Source_Data!AC$6-$B$298,3)=0),Inputs!$B$8*Inputs!$B$7*Inputs!$B$35*$B$293*(1-Inputs!$B$16)/Inputs!$B$17,0)</f>
        <v>0</v>
      </c>
      <c r="AD307" s="33" t="n">
        <f aca="false">IF(Source_Data!AD$6=Inputs!$B$13,-Inputs!$B$7,0)+IF(AND(Source_Data!AD$6&gt;=$B$298,Source_Data!AD$6&lt;$B$298+3*Inputs!$B$17,MOD(Source_Data!AD$6-$B$298,3)=0),Inputs!$B$8*Inputs!$B$7*Inputs!$B$35*$B$293*(1-Inputs!$B$16)/Inputs!$B$17,0)</f>
        <v>0</v>
      </c>
      <c r="AE307" s="33" t="n">
        <f aca="false">IF(Source_Data!AE$6=Inputs!$B$13,-Inputs!$B$7,0)+IF(AND(Source_Data!AE$6&gt;=$B$298,Source_Data!AE$6&lt;$B$298+3*Inputs!$B$17,MOD(Source_Data!AE$6-$B$298,3)=0),Inputs!$B$8*Inputs!$B$7*Inputs!$B$35*$B$293*(1-Inputs!$B$16)/Inputs!$B$17,0)</f>
        <v>0</v>
      </c>
      <c r="AF307" s="33" t="n">
        <f aca="false">IF(Source_Data!AF$6=Inputs!$B$13,-Inputs!$B$7,0)+IF(AND(Source_Data!AF$6&gt;=$B$298,Source_Data!AF$6&lt;$B$298+3*Inputs!$B$17,MOD(Source_Data!AF$6-$B$298,3)=0),Inputs!$B$8*Inputs!$B$7*Inputs!$B$35*$B$293*(1-Inputs!$B$16)/Inputs!$B$17,0)</f>
        <v>0</v>
      </c>
      <c r="AG307" s="33" t="n">
        <f aca="false">IF(Source_Data!AG$6=Inputs!$B$13,-Inputs!$B$7,0)+IF(AND(Source_Data!AG$6&gt;=$B$298,Source_Data!AG$6&lt;$B$298+3*Inputs!$B$17,MOD(Source_Data!AG$6-$B$298,3)=0),Inputs!$B$8*Inputs!$B$7*Inputs!$B$35*$B$293*(1-Inputs!$B$16)/Inputs!$B$17,0)</f>
        <v>0</v>
      </c>
      <c r="AH307" s="33" t="n">
        <f aca="false">IF(Source_Data!AH$6=Inputs!$B$13,-Inputs!$B$7,0)+IF(AND(Source_Data!AH$6&gt;=$B$298,Source_Data!AH$6&lt;$B$298+3*Inputs!$B$17,MOD(Source_Data!AH$6-$B$298,3)=0),Inputs!$B$8*Inputs!$B$7*Inputs!$B$35*$B$293*(1-Inputs!$B$16)/Inputs!$B$17,0)</f>
        <v>0</v>
      </c>
      <c r="AI307" s="33" t="n">
        <f aca="false">IF(Source_Data!AI$6=Inputs!$B$13,-Inputs!$B$7,0)+IF(AND(Source_Data!AI$6&gt;=$B$298,Source_Data!AI$6&lt;$B$298+3*Inputs!$B$17,MOD(Source_Data!AI$6-$B$298,3)=0),Inputs!$B$8*Inputs!$B$7*Inputs!$B$35*$B$293*(1-Inputs!$B$16)/Inputs!$B$17,0)</f>
        <v>0</v>
      </c>
      <c r="AJ307" s="33" t="n">
        <f aca="false">IF(Source_Data!AJ$6=Inputs!$B$13,-Inputs!$B$7,0)+IF(AND(Source_Data!AJ$6&gt;=$B$298,Source_Data!AJ$6&lt;$B$298+3*Inputs!$B$17,MOD(Source_Data!AJ$6-$B$298,3)=0),Inputs!$B$8*Inputs!$B$7*Inputs!$B$35*$B$293*(1-Inputs!$B$16)/Inputs!$B$17,0)</f>
        <v>0</v>
      </c>
      <c r="AK307" s="33" t="n">
        <f aca="false">IF(Source_Data!AK$6=Inputs!$B$13,-Inputs!$B$7,0)+IF(AND(Source_Data!AK$6&gt;=$B$298,Source_Data!AK$6&lt;$B$298+3*Inputs!$B$17,MOD(Source_Data!AK$6-$B$298,3)=0),Inputs!$B$8*Inputs!$B$7*Inputs!$B$35*$B$293*(1-Inputs!$B$16)/Inputs!$B$17,0)</f>
        <v>0</v>
      </c>
      <c r="AL307" s="33" t="n">
        <f aca="false">IF(Source_Data!AL$6=Inputs!$B$13,-Inputs!$B$7,0)+IF(AND(Source_Data!AL$6&gt;=$B$298,Source_Data!AL$6&lt;$B$298+3*Inputs!$B$17,MOD(Source_Data!AL$6-$B$298,3)=0),Inputs!$B$8*Inputs!$B$7*Inputs!$B$35*$B$293*(1-Inputs!$B$16)/Inputs!$B$17,0)</f>
        <v>0</v>
      </c>
      <c r="AM307" s="33" t="n">
        <f aca="false">IF(Source_Data!AM$6=Inputs!$B$13,-Inputs!$B$7,0)+IF(AND(Source_Data!AM$6&gt;=$B$298,Source_Data!AM$6&lt;$B$298+3*Inputs!$B$17,MOD(Source_Data!AM$6-$B$298,3)=0),Inputs!$B$8*Inputs!$B$7*Inputs!$B$35*$B$293*(1-Inputs!$B$16)/Inputs!$B$17,0)</f>
        <v>0</v>
      </c>
      <c r="AN307" s="33" t="n">
        <f aca="false">IF(Source_Data!AN$6=Inputs!$B$13,-Inputs!$B$7,0)+IF(AND(Source_Data!AN$6&gt;=$B$298,Source_Data!AN$6&lt;$B$298+3*Inputs!$B$17,MOD(Source_Data!AN$6-$B$298,3)=0),Inputs!$B$8*Inputs!$B$7*Inputs!$B$35*$B$293*(1-Inputs!$B$16)/Inputs!$B$17,0)</f>
        <v>0</v>
      </c>
      <c r="AO307" s="33" t="n">
        <f aca="false">IF(Source_Data!AO$6=Inputs!$B$13,-Inputs!$B$7,0)+IF(AND(Source_Data!AO$6&gt;=$B$298,Source_Data!AO$6&lt;$B$298+3*Inputs!$B$17,MOD(Source_Data!AO$6-$B$298,3)=0),Inputs!$B$8*Inputs!$B$7*Inputs!$B$35*$B$293*(1-Inputs!$B$16)/Inputs!$B$17,0)</f>
        <v>0</v>
      </c>
      <c r="AP307" s="33" t="n">
        <f aca="false">IF(Source_Data!AP$6=Inputs!$B$13,-Inputs!$B$7,0)+IF(AND(Source_Data!AP$6&gt;=$B$298,Source_Data!AP$6&lt;$B$298+3*Inputs!$B$17,MOD(Source_Data!AP$6-$B$298,3)=0),Inputs!$B$8*Inputs!$B$7*Inputs!$B$35*$B$293*(1-Inputs!$B$16)/Inputs!$B$17,0)</f>
        <v>0</v>
      </c>
      <c r="AQ307" s="33" t="n">
        <f aca="false">IF(Source_Data!AQ$6=Inputs!$B$13,-Inputs!$B$7,0)+IF(AND(Source_Data!AQ$6&gt;=$B$298,Source_Data!AQ$6&lt;$B$298+3*Inputs!$B$17,MOD(Source_Data!AQ$6-$B$298,3)=0),Inputs!$B$8*Inputs!$B$7*Inputs!$B$35*$B$293*(1-Inputs!$B$16)/Inputs!$B$17,0)</f>
        <v>0</v>
      </c>
      <c r="AR307" s="33" t="n">
        <f aca="false">IF(Source_Data!AR$6=Inputs!$B$13,-Inputs!$B$7,0)+IF(AND(Source_Data!AR$6&gt;=$B$298,Source_Data!AR$6&lt;$B$298+3*Inputs!$B$17,MOD(Source_Data!AR$6-$B$298,3)=0),Inputs!$B$8*Inputs!$B$7*Inputs!$B$35*$B$293*(1-Inputs!$B$16)/Inputs!$B$17,0)</f>
        <v>0</v>
      </c>
      <c r="AS307" s="33" t="n">
        <f aca="false">IF(Source_Data!AS$6=Inputs!$B$13,-Inputs!$B$7,0)+IF(AND(Source_Data!AS$6&gt;=$B$298,Source_Data!AS$6&lt;$B$298+3*Inputs!$B$17,MOD(Source_Data!AS$6-$B$298,3)=0),Inputs!$B$8*Inputs!$B$7*Inputs!$B$35*$B$293*(1-Inputs!$B$16)/Inputs!$B$17,0)</f>
        <v>0</v>
      </c>
      <c r="AT307" s="33" t="n">
        <f aca="false">IF(Source_Data!AT$6=Inputs!$B$13,-Inputs!$B$7,0)+IF(AND(Source_Data!AT$6&gt;=$B$298,Source_Data!AT$6&lt;$B$298+3*Inputs!$B$17,MOD(Source_Data!AT$6-$B$298,3)=0),Inputs!$B$8*Inputs!$B$7*Inputs!$B$35*$B$293*(1-Inputs!$B$16)/Inputs!$B$17,0)</f>
        <v>0</v>
      </c>
      <c r="AU307" s="33" t="n">
        <f aca="false">IF(Source_Data!AU$6=Inputs!$B$13,-Inputs!$B$7,0)+IF(AND(Source_Data!AU$6&gt;=$B$298,Source_Data!AU$6&lt;$B$298+3*Inputs!$B$17,MOD(Source_Data!AU$6-$B$298,3)=0),Inputs!$B$8*Inputs!$B$7*Inputs!$B$35*$B$293*(1-Inputs!$B$16)/Inputs!$B$17,0)</f>
        <v>0</v>
      </c>
      <c r="AV307" s="33" t="n">
        <f aca="false">IF(Source_Data!AV$6=Inputs!$B$13,-Inputs!$B$7,0)+IF(AND(Source_Data!AV$6&gt;=$B$298,Source_Data!AV$6&lt;$B$298+3*Inputs!$B$17,MOD(Source_Data!AV$6-$B$298,3)=0),Inputs!$B$8*Inputs!$B$7*Inputs!$B$35*$B$293*(1-Inputs!$B$16)/Inputs!$B$17,0)</f>
        <v>0</v>
      </c>
      <c r="AW307" s="33" t="n">
        <f aca="false">IF(Source_Data!AW$6=Inputs!$B$13,-Inputs!$B$7,0)+IF(AND(Source_Data!AW$6&gt;=$B$298,Source_Data!AW$6&lt;$B$298+3*Inputs!$B$17,MOD(Source_Data!AW$6-$B$298,3)=0),Inputs!$B$8*Inputs!$B$7*Inputs!$B$35*$B$293*(1-Inputs!$B$16)/Inputs!$B$17,0)</f>
        <v>0</v>
      </c>
      <c r="AX307" s="33" t="n">
        <f aca="false">IF(Source_Data!AX$6=Inputs!$B$13,-Inputs!$B$7,0)+IF(AND(Source_Data!AX$6&gt;=$B$298,Source_Data!AX$6&lt;$B$298+3*Inputs!$B$17,MOD(Source_Data!AX$6-$B$298,3)=0),Inputs!$B$8*Inputs!$B$7*Inputs!$B$35*$B$293*(1-Inputs!$B$16)/Inputs!$B$17,0)</f>
        <v>0</v>
      </c>
      <c r="AY307" s="33" t="n">
        <f aca="false">IF(Source_Data!AY$6=Inputs!$B$13,-Inputs!$B$7,0)+IF(AND(Source_Data!AY$6&gt;=$B$298,Source_Data!AY$6&lt;$B$298+3*Inputs!$B$17,MOD(Source_Data!AY$6-$B$298,3)=0),Inputs!$B$8*Inputs!$B$7*Inputs!$B$35*$B$293*(1-Inputs!$B$16)/Inputs!$B$17,0)</f>
        <v>0</v>
      </c>
      <c r="AZ307" s="33" t="n">
        <f aca="false">IF(Source_Data!AZ$6=Inputs!$B$13,-Inputs!$B$7,0)+IF(AND(Source_Data!AZ$6&gt;=$B$298,Source_Data!AZ$6&lt;$B$298+3*Inputs!$B$17,MOD(Source_Data!AZ$6-$B$298,3)=0),Inputs!$B$8*Inputs!$B$7*Inputs!$B$35*$B$293*(1-Inputs!$B$16)/Inputs!$B$17,0)</f>
        <v>0</v>
      </c>
      <c r="BA307" s="33" t="n">
        <f aca="false">IF(Source_Data!BA$6=Inputs!$B$13,-Inputs!$B$7,0)+IF(AND(Source_Data!BA$6&gt;=$B$298,Source_Data!BA$6&lt;$B$298+3*Inputs!$B$17,MOD(Source_Data!BA$6-$B$298,3)=0),Inputs!$B$8*Inputs!$B$7*Inputs!$B$35*$B$293*(1-Inputs!$B$16)/Inputs!$B$17,0)</f>
        <v>0</v>
      </c>
      <c r="BB307" s="33" t="n">
        <f aca="false">IF(Source_Data!BB$6=Inputs!$B$13,-Inputs!$B$7,0)+IF(AND(Source_Data!BB$6&gt;=$B$298,Source_Data!BB$6&lt;$B$298+3*Inputs!$B$17,MOD(Source_Data!BB$6-$B$298,3)=0),Inputs!$B$8*Inputs!$B$7*Inputs!$B$35*$B$293*(1-Inputs!$B$16)/Inputs!$B$17,0)</f>
        <v>0</v>
      </c>
      <c r="BC307" s="33" t="n">
        <f aca="false">IF(Source_Data!BC$6=Inputs!$B$13,-Inputs!$B$7,0)+IF(AND(Source_Data!BC$6&gt;=$B$298,Source_Data!BC$6&lt;$B$298+3*Inputs!$B$17,MOD(Source_Data!BC$6-$B$298,3)=0),Inputs!$B$8*Inputs!$B$7*Inputs!$B$35*$B$293*(1-Inputs!$B$16)/Inputs!$B$17,0)</f>
        <v>0</v>
      </c>
      <c r="BD307" s="33" t="n">
        <f aca="false">IF(Source_Data!BD$6=Inputs!$B$13,-Inputs!$B$7,0)+IF(AND(Source_Data!BD$6&gt;=$B$298,Source_Data!BD$6&lt;$B$298+3*Inputs!$B$17,MOD(Source_Data!BD$6-$B$298,3)=0),Inputs!$B$8*Inputs!$B$7*Inputs!$B$35*$B$293*(1-Inputs!$B$16)/Inputs!$B$17,0)</f>
        <v>0</v>
      </c>
      <c r="BE307" s="33" t="n">
        <f aca="false">IF(Source_Data!BE$6=Inputs!$B$13,-Inputs!$B$7,0)+IF(AND(Source_Data!BE$6&gt;=$B$298,Source_Data!BE$6&lt;$B$298+3*Inputs!$B$17,MOD(Source_Data!BE$6-$B$298,3)=0),Inputs!$B$8*Inputs!$B$7*Inputs!$B$35*$B$293*(1-Inputs!$B$16)/Inputs!$B$17,0)</f>
        <v>0</v>
      </c>
      <c r="BF307" s="33" t="n">
        <f aca="false">IF(Source_Data!BF$6=Inputs!$B$13,-Inputs!$B$7,0)+IF(AND(Source_Data!BF$6&gt;=$B$298,Source_Data!BF$6&lt;$B$298+3*Inputs!$B$17,MOD(Source_Data!BF$6-$B$298,3)=0),Inputs!$B$8*Inputs!$B$7*Inputs!$B$35*$B$293*(1-Inputs!$B$16)/Inputs!$B$17,0)</f>
        <v>0</v>
      </c>
      <c r="BG307" s="33" t="n">
        <f aca="false">IF(Source_Data!BG$6=Inputs!$B$13,-Inputs!$B$7,0)+IF(AND(Source_Data!BG$6&gt;=$B$298,Source_Data!BG$6&lt;$B$298+3*Inputs!$B$17,MOD(Source_Data!BG$6-$B$298,3)=0),Inputs!$B$8*Inputs!$B$7*Inputs!$B$35*$B$293*(1-Inputs!$B$16)/Inputs!$B$17,0)</f>
        <v>0</v>
      </c>
      <c r="BH307" s="33" t="n">
        <f aca="false">IF(Source_Data!BH$6=Inputs!$B$13,-Inputs!$B$7,0)+IF(AND(Source_Data!BH$6&gt;=$B$298,Source_Data!BH$6&lt;$B$298+3*Inputs!$B$17,MOD(Source_Data!BH$6-$B$298,3)=0),Inputs!$B$8*Inputs!$B$7*Inputs!$B$35*$B$293*(1-Inputs!$B$16)/Inputs!$B$17,0)</f>
        <v>0</v>
      </c>
      <c r="BI307" s="33" t="n">
        <f aca="false">IF(Source_Data!BI$6=Inputs!$B$13,-Inputs!$B$7,0)+IF(AND(Source_Data!BI$6&gt;=$B$298,Source_Data!BI$6&lt;$B$298+3*Inputs!$B$17,MOD(Source_Data!BI$6-$B$298,3)=0),Inputs!$B$8*Inputs!$B$7*Inputs!$B$35*$B$293*(1-Inputs!$B$16)/Inputs!$B$17,0)</f>
        <v>0</v>
      </c>
      <c r="BJ307" s="33" t="n">
        <f aca="false">IF(Source_Data!BJ$6=Inputs!$B$13,-Inputs!$B$7,0)+IF(AND(Source_Data!BJ$6&gt;=$B$298,Source_Data!BJ$6&lt;$B$298+3*Inputs!$B$17,MOD(Source_Data!BJ$6-$B$298,3)=0),Inputs!$B$8*Inputs!$B$7*Inputs!$B$35*$B$293*(1-Inputs!$B$16)/Inputs!$B$17,0)</f>
        <v>0</v>
      </c>
      <c r="BK307" s="33" t="n">
        <f aca="false">IF(Source_Data!BK$6=Inputs!$B$13,-Inputs!$B$7,0)+IF(AND(Source_Data!BK$6&gt;=$B$298,Source_Data!BK$6&lt;$B$298+3*Inputs!$B$17,MOD(Source_Data!BK$6-$B$298,3)=0),Inputs!$B$8*Inputs!$B$7*Inputs!$B$35*$B$293*(1-Inputs!$B$16)/Inputs!$B$17,0)</f>
        <v>0</v>
      </c>
    </row>
    <row r="308" customFormat="false" ht="15" hidden="false" customHeight="false" outlineLevel="0" collapsed="false">
      <c r="A308" s="3" t="s">
        <v>342</v>
      </c>
      <c r="D308" s="33" t="n">
        <f aca="false">IF(AND(Source_Data!D$6&gt;=Inputs!$B$55,Source_Data!D$6&lt;Inputs!$B$55+3*Inputs!$B$11),Inputs!$B$9*Inputs!$B$7/Inputs!$B$11,0)</f>
        <v>0</v>
      </c>
      <c r="E308" s="33" t="n">
        <f aca="false">IF(AND(Source_Data!E$6&gt;=Inputs!$B$55,Source_Data!E$6&lt;Inputs!$B$55+3*Inputs!$B$11),Inputs!$B$9*Inputs!$B$7/Inputs!$B$11,0)</f>
        <v>0</v>
      </c>
      <c r="F308" s="33" t="n">
        <f aca="false">IF(AND(Source_Data!F$6&gt;=Inputs!$B$55,Source_Data!F$6&lt;Inputs!$B$55+3*Inputs!$B$11),Inputs!$B$9*Inputs!$B$7/Inputs!$B$11,0)</f>
        <v>0</v>
      </c>
      <c r="G308" s="33" t="n">
        <f aca="false">IF(AND(Source_Data!G$6&gt;=Inputs!$B$55,Source_Data!G$6&lt;Inputs!$B$55+3*Inputs!$B$11),Inputs!$B$9*Inputs!$B$7/Inputs!$B$11,0)</f>
        <v>0</v>
      </c>
      <c r="H308" s="33" t="n">
        <f aca="false">IF(AND(Source_Data!H$6&gt;=Inputs!$B$55,Source_Data!H$6&lt;Inputs!$B$55+3*Inputs!$B$11),Inputs!$B$9*Inputs!$B$7/Inputs!$B$11,0)</f>
        <v>0</v>
      </c>
      <c r="I308" s="33" t="n">
        <f aca="false">IF(AND(Source_Data!I$6&gt;=Inputs!$B$55,Source_Data!I$6&lt;Inputs!$B$55+3*Inputs!$B$11),Inputs!$B$9*Inputs!$B$7/Inputs!$B$11,0)</f>
        <v>0</v>
      </c>
      <c r="J308" s="33" t="n">
        <f aca="false">IF(AND(Source_Data!J$6&gt;=Inputs!$B$55,Source_Data!J$6&lt;Inputs!$B$55+3*Inputs!$B$11),Inputs!$B$9*Inputs!$B$7/Inputs!$B$11,0)</f>
        <v>0</v>
      </c>
      <c r="K308" s="33" t="n">
        <f aca="false">IF(AND(Source_Data!K$6&gt;=Inputs!$B$55,Source_Data!K$6&lt;Inputs!$B$55+3*Inputs!$B$11),Inputs!$B$9*Inputs!$B$7/Inputs!$B$11,0)</f>
        <v>0</v>
      </c>
      <c r="L308" s="33" t="n">
        <f aca="false">IF(AND(Source_Data!L$6&gt;=Inputs!$B$55,Source_Data!L$6&lt;Inputs!$B$55+3*Inputs!$B$11),Inputs!$B$9*Inputs!$B$7/Inputs!$B$11,0)</f>
        <v>0</v>
      </c>
      <c r="M308" s="33" t="n">
        <f aca="false">IF(AND(Source_Data!M$6&gt;=Inputs!$B$55,Source_Data!M$6&lt;Inputs!$B$55+3*Inputs!$B$11),Inputs!$B$9*Inputs!$B$7/Inputs!$B$11,0)</f>
        <v>14.375</v>
      </c>
      <c r="N308" s="33" t="n">
        <f aca="false">IF(AND(Source_Data!N$6&gt;=Inputs!$B$55,Source_Data!N$6&lt;Inputs!$B$55+3*Inputs!$B$11),Inputs!$B$9*Inputs!$B$7/Inputs!$B$11,0)</f>
        <v>14.375</v>
      </c>
      <c r="O308" s="33" t="n">
        <f aca="false">IF(AND(Source_Data!O$6&gt;=Inputs!$B$55,Source_Data!O$6&lt;Inputs!$B$55+3*Inputs!$B$11),Inputs!$B$9*Inputs!$B$7/Inputs!$B$11,0)</f>
        <v>14.375</v>
      </c>
      <c r="P308" s="33" t="n">
        <f aca="false">IF(AND(Source_Data!P$6&gt;=Inputs!$B$55,Source_Data!P$6&lt;Inputs!$B$55+3*Inputs!$B$11),Inputs!$B$9*Inputs!$B$7/Inputs!$B$11,0)</f>
        <v>14.375</v>
      </c>
      <c r="Q308" s="33" t="n">
        <f aca="false">IF(AND(Source_Data!Q$6&gt;=Inputs!$B$55,Source_Data!Q$6&lt;Inputs!$B$55+3*Inputs!$B$11),Inputs!$B$9*Inputs!$B$7/Inputs!$B$11,0)</f>
        <v>14.375</v>
      </c>
      <c r="R308" s="33" t="n">
        <f aca="false">IF(AND(Source_Data!R$6&gt;=Inputs!$B$55,Source_Data!R$6&lt;Inputs!$B$55+3*Inputs!$B$11),Inputs!$B$9*Inputs!$B$7/Inputs!$B$11,0)</f>
        <v>14.375</v>
      </c>
      <c r="S308" s="33" t="n">
        <f aca="false">IF(AND(Source_Data!S$6&gt;=Inputs!$B$55,Source_Data!S$6&lt;Inputs!$B$55+3*Inputs!$B$11),Inputs!$B$9*Inputs!$B$7/Inputs!$B$11,0)</f>
        <v>14.375</v>
      </c>
      <c r="T308" s="33" t="n">
        <f aca="false">IF(AND(Source_Data!T$6&gt;=Inputs!$B$55,Source_Data!T$6&lt;Inputs!$B$55+3*Inputs!$B$11),Inputs!$B$9*Inputs!$B$7/Inputs!$B$11,0)</f>
        <v>14.375</v>
      </c>
      <c r="U308" s="33" t="n">
        <f aca="false">IF(AND(Source_Data!U$6&gt;=Inputs!$B$55,Source_Data!U$6&lt;Inputs!$B$55+3*Inputs!$B$11),Inputs!$B$9*Inputs!$B$7/Inputs!$B$11,0)</f>
        <v>14.375</v>
      </c>
      <c r="V308" s="33" t="n">
        <f aca="false">IF(AND(Source_Data!V$6&gt;=Inputs!$B$55,Source_Data!V$6&lt;Inputs!$B$55+3*Inputs!$B$11),Inputs!$B$9*Inputs!$B$7/Inputs!$B$11,0)</f>
        <v>14.375</v>
      </c>
      <c r="W308" s="33" t="n">
        <f aca="false">IF(AND(Source_Data!W$6&gt;=Inputs!$B$55,Source_Data!W$6&lt;Inputs!$B$55+3*Inputs!$B$11),Inputs!$B$9*Inputs!$B$7/Inputs!$B$11,0)</f>
        <v>14.375</v>
      </c>
      <c r="X308" s="33" t="n">
        <f aca="false">IF(AND(Source_Data!X$6&gt;=Inputs!$B$55,Source_Data!X$6&lt;Inputs!$B$55+3*Inputs!$B$11),Inputs!$B$9*Inputs!$B$7/Inputs!$B$11,0)</f>
        <v>14.375</v>
      </c>
      <c r="Y308" s="33" t="n">
        <f aca="false">IF(AND(Source_Data!Y$6&gt;=Inputs!$B$55,Source_Data!Y$6&lt;Inputs!$B$55+3*Inputs!$B$11),Inputs!$B$9*Inputs!$B$7/Inputs!$B$11,0)</f>
        <v>0</v>
      </c>
      <c r="Z308" s="33" t="n">
        <f aca="false">IF(AND(Source_Data!Z$6&gt;=Inputs!$B$55,Source_Data!Z$6&lt;Inputs!$B$55+3*Inputs!$B$11),Inputs!$B$9*Inputs!$B$7/Inputs!$B$11,0)</f>
        <v>0</v>
      </c>
      <c r="AA308" s="33" t="n">
        <f aca="false">IF(AND(Source_Data!AA$6&gt;=Inputs!$B$55,Source_Data!AA$6&lt;Inputs!$B$55+3*Inputs!$B$11),Inputs!$B$9*Inputs!$B$7/Inputs!$B$11,0)</f>
        <v>0</v>
      </c>
      <c r="AB308" s="33" t="n">
        <f aca="false">IF(AND(Source_Data!AB$6&gt;=Inputs!$B$55,Source_Data!AB$6&lt;Inputs!$B$55+3*Inputs!$B$11),Inputs!$B$9*Inputs!$B$7/Inputs!$B$11,0)</f>
        <v>0</v>
      </c>
      <c r="AC308" s="33" t="n">
        <f aca="false">IF(AND(Source_Data!AC$6&gt;=Inputs!$B$55,Source_Data!AC$6&lt;Inputs!$B$55+3*Inputs!$B$11),Inputs!$B$9*Inputs!$B$7/Inputs!$B$11,0)</f>
        <v>0</v>
      </c>
      <c r="AD308" s="33" t="n">
        <f aca="false">IF(AND(Source_Data!AD$6&gt;=Inputs!$B$55,Source_Data!AD$6&lt;Inputs!$B$55+3*Inputs!$B$11),Inputs!$B$9*Inputs!$B$7/Inputs!$B$11,0)</f>
        <v>0</v>
      </c>
      <c r="AE308" s="33" t="n">
        <f aca="false">IF(AND(Source_Data!AE$6&gt;=Inputs!$B$55,Source_Data!AE$6&lt;Inputs!$B$55+3*Inputs!$B$11),Inputs!$B$9*Inputs!$B$7/Inputs!$B$11,0)</f>
        <v>0</v>
      </c>
      <c r="AF308" s="33" t="n">
        <f aca="false">IF(AND(Source_Data!AF$6&gt;=Inputs!$B$55,Source_Data!AF$6&lt;Inputs!$B$55+3*Inputs!$B$11),Inputs!$B$9*Inputs!$B$7/Inputs!$B$11,0)</f>
        <v>0</v>
      </c>
      <c r="AG308" s="33" t="n">
        <f aca="false">IF(AND(Source_Data!AG$6&gt;=Inputs!$B$55,Source_Data!AG$6&lt;Inputs!$B$55+3*Inputs!$B$11),Inputs!$B$9*Inputs!$B$7/Inputs!$B$11,0)</f>
        <v>0</v>
      </c>
      <c r="AH308" s="33" t="n">
        <f aca="false">IF(AND(Source_Data!AH$6&gt;=Inputs!$B$55,Source_Data!AH$6&lt;Inputs!$B$55+3*Inputs!$B$11),Inputs!$B$9*Inputs!$B$7/Inputs!$B$11,0)</f>
        <v>0</v>
      </c>
      <c r="AI308" s="33" t="n">
        <f aca="false">IF(AND(Source_Data!AI$6&gt;=Inputs!$B$55,Source_Data!AI$6&lt;Inputs!$B$55+3*Inputs!$B$11),Inputs!$B$9*Inputs!$B$7/Inputs!$B$11,0)</f>
        <v>0</v>
      </c>
      <c r="AJ308" s="33" t="n">
        <f aca="false">IF(AND(Source_Data!AJ$6&gt;=Inputs!$B$55,Source_Data!AJ$6&lt;Inputs!$B$55+3*Inputs!$B$11),Inputs!$B$9*Inputs!$B$7/Inputs!$B$11,0)</f>
        <v>0</v>
      </c>
      <c r="AK308" s="33" t="n">
        <f aca="false">IF(AND(Source_Data!AK$6&gt;=Inputs!$B$55,Source_Data!AK$6&lt;Inputs!$B$55+3*Inputs!$B$11),Inputs!$B$9*Inputs!$B$7/Inputs!$B$11,0)</f>
        <v>0</v>
      </c>
      <c r="AL308" s="33" t="n">
        <f aca="false">IF(AND(Source_Data!AL$6&gt;=Inputs!$B$55,Source_Data!AL$6&lt;Inputs!$B$55+3*Inputs!$B$11),Inputs!$B$9*Inputs!$B$7/Inputs!$B$11,0)</f>
        <v>0</v>
      </c>
      <c r="AM308" s="33" t="n">
        <f aca="false">IF(AND(Source_Data!AM$6&gt;=Inputs!$B$55,Source_Data!AM$6&lt;Inputs!$B$55+3*Inputs!$B$11),Inputs!$B$9*Inputs!$B$7/Inputs!$B$11,0)</f>
        <v>0</v>
      </c>
      <c r="AN308" s="33" t="n">
        <f aca="false">IF(AND(Source_Data!AN$6&gt;=Inputs!$B$55,Source_Data!AN$6&lt;Inputs!$B$55+3*Inputs!$B$11),Inputs!$B$9*Inputs!$B$7/Inputs!$B$11,0)</f>
        <v>0</v>
      </c>
      <c r="AO308" s="33" t="n">
        <f aca="false">IF(AND(Source_Data!AO$6&gt;=Inputs!$B$55,Source_Data!AO$6&lt;Inputs!$B$55+3*Inputs!$B$11),Inputs!$B$9*Inputs!$B$7/Inputs!$B$11,0)</f>
        <v>0</v>
      </c>
      <c r="AP308" s="33" t="n">
        <f aca="false">IF(AND(Source_Data!AP$6&gt;=Inputs!$B$55,Source_Data!AP$6&lt;Inputs!$B$55+3*Inputs!$B$11),Inputs!$B$9*Inputs!$B$7/Inputs!$B$11,0)</f>
        <v>0</v>
      </c>
      <c r="AQ308" s="33" t="n">
        <f aca="false">IF(AND(Source_Data!AQ$6&gt;=Inputs!$B$55,Source_Data!AQ$6&lt;Inputs!$B$55+3*Inputs!$B$11),Inputs!$B$9*Inputs!$B$7/Inputs!$B$11,0)</f>
        <v>0</v>
      </c>
      <c r="AR308" s="33" t="n">
        <f aca="false">IF(AND(Source_Data!AR$6&gt;=Inputs!$B$55,Source_Data!AR$6&lt;Inputs!$B$55+3*Inputs!$B$11),Inputs!$B$9*Inputs!$B$7/Inputs!$B$11,0)</f>
        <v>0</v>
      </c>
      <c r="AS308" s="33" t="n">
        <f aca="false">IF(AND(Source_Data!AS$6&gt;=Inputs!$B$55,Source_Data!AS$6&lt;Inputs!$B$55+3*Inputs!$B$11),Inputs!$B$9*Inputs!$B$7/Inputs!$B$11,0)</f>
        <v>0</v>
      </c>
      <c r="AT308" s="33" t="n">
        <f aca="false">IF(AND(Source_Data!AT$6&gt;=Inputs!$B$55,Source_Data!AT$6&lt;Inputs!$B$55+3*Inputs!$B$11),Inputs!$B$9*Inputs!$B$7/Inputs!$B$11,0)</f>
        <v>0</v>
      </c>
      <c r="AU308" s="33" t="n">
        <f aca="false">IF(AND(Source_Data!AU$6&gt;=Inputs!$B$55,Source_Data!AU$6&lt;Inputs!$B$55+3*Inputs!$B$11),Inputs!$B$9*Inputs!$B$7/Inputs!$B$11,0)</f>
        <v>0</v>
      </c>
      <c r="AV308" s="33" t="n">
        <f aca="false">IF(AND(Source_Data!AV$6&gt;=Inputs!$B$55,Source_Data!AV$6&lt;Inputs!$B$55+3*Inputs!$B$11),Inputs!$B$9*Inputs!$B$7/Inputs!$B$11,0)</f>
        <v>0</v>
      </c>
      <c r="AW308" s="33" t="n">
        <f aca="false">IF(AND(Source_Data!AW$6&gt;=Inputs!$B$55,Source_Data!AW$6&lt;Inputs!$B$55+3*Inputs!$B$11),Inputs!$B$9*Inputs!$B$7/Inputs!$B$11,0)</f>
        <v>0</v>
      </c>
      <c r="AX308" s="33" t="n">
        <f aca="false">IF(AND(Source_Data!AX$6&gt;=Inputs!$B$55,Source_Data!AX$6&lt;Inputs!$B$55+3*Inputs!$B$11),Inputs!$B$9*Inputs!$B$7/Inputs!$B$11,0)</f>
        <v>0</v>
      </c>
      <c r="AY308" s="33" t="n">
        <f aca="false">IF(AND(Source_Data!AY$6&gt;=Inputs!$B$55,Source_Data!AY$6&lt;Inputs!$B$55+3*Inputs!$B$11),Inputs!$B$9*Inputs!$B$7/Inputs!$B$11,0)</f>
        <v>0</v>
      </c>
      <c r="AZ308" s="33" t="n">
        <f aca="false">IF(AND(Source_Data!AZ$6&gt;=Inputs!$B$55,Source_Data!AZ$6&lt;Inputs!$B$55+3*Inputs!$B$11),Inputs!$B$9*Inputs!$B$7/Inputs!$B$11,0)</f>
        <v>0</v>
      </c>
      <c r="BA308" s="33" t="n">
        <f aca="false">IF(AND(Source_Data!BA$6&gt;=Inputs!$B$55,Source_Data!BA$6&lt;Inputs!$B$55+3*Inputs!$B$11),Inputs!$B$9*Inputs!$B$7/Inputs!$B$11,0)</f>
        <v>0</v>
      </c>
      <c r="BB308" s="33" t="n">
        <f aca="false">IF(AND(Source_Data!BB$6&gt;=Inputs!$B$55,Source_Data!BB$6&lt;Inputs!$B$55+3*Inputs!$B$11),Inputs!$B$9*Inputs!$B$7/Inputs!$B$11,0)</f>
        <v>0</v>
      </c>
      <c r="BC308" s="33" t="n">
        <f aca="false">IF(AND(Source_Data!BC$6&gt;=Inputs!$B$55,Source_Data!BC$6&lt;Inputs!$B$55+3*Inputs!$B$11),Inputs!$B$9*Inputs!$B$7/Inputs!$B$11,0)</f>
        <v>0</v>
      </c>
      <c r="BD308" s="33" t="n">
        <f aca="false">IF(AND(Source_Data!BD$6&gt;=Inputs!$B$55,Source_Data!BD$6&lt;Inputs!$B$55+3*Inputs!$B$11),Inputs!$B$9*Inputs!$B$7/Inputs!$B$11,0)</f>
        <v>0</v>
      </c>
      <c r="BE308" s="33" t="n">
        <f aca="false">IF(AND(Source_Data!BE$6&gt;=Inputs!$B$55,Source_Data!BE$6&lt;Inputs!$B$55+3*Inputs!$B$11),Inputs!$B$9*Inputs!$B$7/Inputs!$B$11,0)</f>
        <v>0</v>
      </c>
      <c r="BF308" s="33" t="n">
        <f aca="false">IF(AND(Source_Data!BF$6&gt;=Inputs!$B$55,Source_Data!BF$6&lt;Inputs!$B$55+3*Inputs!$B$11),Inputs!$B$9*Inputs!$B$7/Inputs!$B$11,0)</f>
        <v>0</v>
      </c>
      <c r="BG308" s="33" t="n">
        <f aca="false">IF(AND(Source_Data!BG$6&gt;=Inputs!$B$55,Source_Data!BG$6&lt;Inputs!$B$55+3*Inputs!$B$11),Inputs!$B$9*Inputs!$B$7/Inputs!$B$11,0)</f>
        <v>0</v>
      </c>
      <c r="BH308" s="33" t="n">
        <f aca="false">IF(AND(Source_Data!BH$6&gt;=Inputs!$B$55,Source_Data!BH$6&lt;Inputs!$B$55+3*Inputs!$B$11),Inputs!$B$9*Inputs!$B$7/Inputs!$B$11,0)</f>
        <v>0</v>
      </c>
      <c r="BI308" s="33" t="n">
        <f aca="false">IF(AND(Source_Data!BI$6&gt;=Inputs!$B$55,Source_Data!BI$6&lt;Inputs!$B$55+3*Inputs!$B$11),Inputs!$B$9*Inputs!$B$7/Inputs!$B$11,0)</f>
        <v>0</v>
      </c>
      <c r="BJ308" s="33" t="n">
        <f aca="false">IF(AND(Source_Data!BJ$6&gt;=Inputs!$B$55,Source_Data!BJ$6&lt;Inputs!$B$55+3*Inputs!$B$11),Inputs!$B$9*Inputs!$B$7/Inputs!$B$11,0)</f>
        <v>0</v>
      </c>
      <c r="BK308" s="33" t="n">
        <f aca="false">IF(AND(Source_Data!BK$6&gt;=Inputs!$B$55,Source_Data!BK$6&lt;Inputs!$B$55+3*Inputs!$B$11),Inputs!$B$9*Inputs!$B$7/Inputs!$B$11,0)</f>
        <v>0</v>
      </c>
    </row>
    <row r="309" customFormat="false" ht="15" hidden="false" customHeight="false" outlineLevel="0" collapsed="false">
      <c r="A309" s="3" t="s">
        <v>343</v>
      </c>
      <c r="D309" s="33" t="n">
        <f aca="false">IF(Source_Data!D$6=Inputs!$B$13,-Inputs!$B$7,0)+D308</f>
        <v>-75</v>
      </c>
      <c r="E309" s="33" t="n">
        <f aca="false">IF(Source_Data!E$6=Inputs!$B$13,-Inputs!$B$7,0)+E308</f>
        <v>0</v>
      </c>
      <c r="F309" s="33" t="n">
        <f aca="false">IF(Source_Data!F$6=Inputs!$B$13,-Inputs!$B$7,0)+F308</f>
        <v>0</v>
      </c>
      <c r="G309" s="33" t="n">
        <f aca="false">IF(Source_Data!G$6=Inputs!$B$13,-Inputs!$B$7,0)+G308</f>
        <v>0</v>
      </c>
      <c r="H309" s="33" t="n">
        <f aca="false">IF(Source_Data!H$6=Inputs!$B$13,-Inputs!$B$7,0)+H308</f>
        <v>0</v>
      </c>
      <c r="I309" s="33" t="n">
        <f aca="false">IF(Source_Data!I$6=Inputs!$B$13,-Inputs!$B$7,0)+I308</f>
        <v>0</v>
      </c>
      <c r="J309" s="33" t="n">
        <f aca="false">IF(Source_Data!J$6=Inputs!$B$13,-Inputs!$B$7,0)+J308</f>
        <v>0</v>
      </c>
      <c r="K309" s="33" t="n">
        <f aca="false">IF(Source_Data!K$6=Inputs!$B$13,-Inputs!$B$7,0)+K308</f>
        <v>0</v>
      </c>
      <c r="L309" s="33" t="n">
        <f aca="false">IF(Source_Data!L$6=Inputs!$B$13,-Inputs!$B$7,0)+L308</f>
        <v>0</v>
      </c>
      <c r="M309" s="33" t="n">
        <f aca="false">IF(Source_Data!M$6=Inputs!$B$13,-Inputs!$B$7,0)+M308</f>
        <v>14.375</v>
      </c>
      <c r="N309" s="33" t="n">
        <f aca="false">IF(Source_Data!N$6=Inputs!$B$13,-Inputs!$B$7,0)+N308</f>
        <v>14.375</v>
      </c>
      <c r="O309" s="33" t="n">
        <f aca="false">IF(Source_Data!O$6=Inputs!$B$13,-Inputs!$B$7,0)+O308</f>
        <v>14.375</v>
      </c>
      <c r="P309" s="33" t="n">
        <f aca="false">IF(Source_Data!P$6=Inputs!$B$13,-Inputs!$B$7,0)+P308</f>
        <v>14.375</v>
      </c>
      <c r="Q309" s="33" t="n">
        <f aca="false">IF(Source_Data!Q$6=Inputs!$B$13,-Inputs!$B$7,0)+Q308</f>
        <v>14.375</v>
      </c>
      <c r="R309" s="33" t="n">
        <f aca="false">IF(Source_Data!R$6=Inputs!$B$13,-Inputs!$B$7,0)+R308</f>
        <v>14.375</v>
      </c>
      <c r="S309" s="33" t="n">
        <f aca="false">IF(Source_Data!S$6=Inputs!$B$13,-Inputs!$B$7,0)+S308</f>
        <v>14.375</v>
      </c>
      <c r="T309" s="33" t="n">
        <f aca="false">IF(Source_Data!T$6=Inputs!$B$13,-Inputs!$B$7,0)+T308</f>
        <v>14.375</v>
      </c>
      <c r="U309" s="33" t="n">
        <f aca="false">IF(Source_Data!U$6=Inputs!$B$13,-Inputs!$B$7,0)+U308</f>
        <v>14.375</v>
      </c>
      <c r="V309" s="33" t="n">
        <f aca="false">IF(Source_Data!V$6=Inputs!$B$13,-Inputs!$B$7,0)+V308</f>
        <v>14.375</v>
      </c>
      <c r="W309" s="33" t="n">
        <f aca="false">IF(Source_Data!W$6=Inputs!$B$13,-Inputs!$B$7,0)+W308</f>
        <v>14.375</v>
      </c>
      <c r="X309" s="33" t="n">
        <f aca="false">IF(Source_Data!X$6=Inputs!$B$13,-Inputs!$B$7,0)+X308</f>
        <v>14.375</v>
      </c>
      <c r="Y309" s="33" t="n">
        <f aca="false">IF(Source_Data!Y$6=Inputs!$B$13,-Inputs!$B$7,0)+Y308</f>
        <v>0</v>
      </c>
      <c r="Z309" s="33" t="n">
        <f aca="false">IF(Source_Data!Z$6=Inputs!$B$13,-Inputs!$B$7,0)+Z308</f>
        <v>0</v>
      </c>
      <c r="AA309" s="33" t="n">
        <f aca="false">IF(Source_Data!AA$6=Inputs!$B$13,-Inputs!$B$7,0)+AA308</f>
        <v>0</v>
      </c>
      <c r="AB309" s="33" t="n">
        <f aca="false">IF(Source_Data!AB$6=Inputs!$B$13,-Inputs!$B$7,0)+AB308</f>
        <v>0</v>
      </c>
      <c r="AC309" s="33" t="n">
        <f aca="false">IF(Source_Data!AC$6=Inputs!$B$13,-Inputs!$B$7,0)+AC308</f>
        <v>0</v>
      </c>
      <c r="AD309" s="33" t="n">
        <f aca="false">IF(Source_Data!AD$6=Inputs!$B$13,-Inputs!$B$7,0)+AD308</f>
        <v>0</v>
      </c>
      <c r="AE309" s="33" t="n">
        <f aca="false">IF(Source_Data!AE$6=Inputs!$B$13,-Inputs!$B$7,0)+AE308</f>
        <v>0</v>
      </c>
      <c r="AF309" s="33" t="n">
        <f aca="false">IF(Source_Data!AF$6=Inputs!$B$13,-Inputs!$B$7,0)+AF308</f>
        <v>0</v>
      </c>
      <c r="AG309" s="33" t="n">
        <f aca="false">IF(Source_Data!AG$6=Inputs!$B$13,-Inputs!$B$7,0)+AG308</f>
        <v>0</v>
      </c>
      <c r="AH309" s="33" t="n">
        <f aca="false">IF(Source_Data!AH$6=Inputs!$B$13,-Inputs!$B$7,0)+AH308</f>
        <v>0</v>
      </c>
      <c r="AI309" s="33" t="n">
        <f aca="false">IF(Source_Data!AI$6=Inputs!$B$13,-Inputs!$B$7,0)+AI308</f>
        <v>0</v>
      </c>
      <c r="AJ309" s="33" t="n">
        <f aca="false">IF(Source_Data!AJ$6=Inputs!$B$13,-Inputs!$B$7,0)+AJ308</f>
        <v>0</v>
      </c>
      <c r="AK309" s="33" t="n">
        <f aca="false">IF(Source_Data!AK$6=Inputs!$B$13,-Inputs!$B$7,0)+AK308</f>
        <v>0</v>
      </c>
      <c r="AL309" s="33" t="n">
        <f aca="false">IF(Source_Data!AL$6=Inputs!$B$13,-Inputs!$B$7,0)+AL308</f>
        <v>0</v>
      </c>
      <c r="AM309" s="33" t="n">
        <f aca="false">IF(Source_Data!AM$6=Inputs!$B$13,-Inputs!$B$7,0)+AM308</f>
        <v>0</v>
      </c>
      <c r="AN309" s="33" t="n">
        <f aca="false">IF(Source_Data!AN$6=Inputs!$B$13,-Inputs!$B$7,0)+AN308</f>
        <v>0</v>
      </c>
      <c r="AO309" s="33" t="n">
        <f aca="false">IF(Source_Data!AO$6=Inputs!$B$13,-Inputs!$B$7,0)+AO308</f>
        <v>0</v>
      </c>
      <c r="AP309" s="33" t="n">
        <f aca="false">IF(Source_Data!AP$6=Inputs!$B$13,-Inputs!$B$7,0)+AP308</f>
        <v>0</v>
      </c>
      <c r="AQ309" s="33" t="n">
        <f aca="false">IF(Source_Data!AQ$6=Inputs!$B$13,-Inputs!$B$7,0)+AQ308</f>
        <v>0</v>
      </c>
      <c r="AR309" s="33" t="n">
        <f aca="false">IF(Source_Data!AR$6=Inputs!$B$13,-Inputs!$B$7,0)+AR308</f>
        <v>0</v>
      </c>
      <c r="AS309" s="33" t="n">
        <f aca="false">IF(Source_Data!AS$6=Inputs!$B$13,-Inputs!$B$7,0)+AS308</f>
        <v>0</v>
      </c>
      <c r="AT309" s="33" t="n">
        <f aca="false">IF(Source_Data!AT$6=Inputs!$B$13,-Inputs!$B$7,0)+AT308</f>
        <v>0</v>
      </c>
      <c r="AU309" s="33" t="n">
        <f aca="false">IF(Source_Data!AU$6=Inputs!$B$13,-Inputs!$B$7,0)+AU308</f>
        <v>0</v>
      </c>
      <c r="AV309" s="33" t="n">
        <f aca="false">IF(Source_Data!AV$6=Inputs!$B$13,-Inputs!$B$7,0)+AV308</f>
        <v>0</v>
      </c>
      <c r="AW309" s="33" t="n">
        <f aca="false">IF(Source_Data!AW$6=Inputs!$B$13,-Inputs!$B$7,0)+AW308</f>
        <v>0</v>
      </c>
      <c r="AX309" s="33" t="n">
        <f aca="false">IF(Source_Data!AX$6=Inputs!$B$13,-Inputs!$B$7,0)+AX308</f>
        <v>0</v>
      </c>
      <c r="AY309" s="33" t="n">
        <f aca="false">IF(Source_Data!AY$6=Inputs!$B$13,-Inputs!$B$7,0)+AY308</f>
        <v>0</v>
      </c>
      <c r="AZ309" s="33" t="n">
        <f aca="false">IF(Source_Data!AZ$6=Inputs!$B$13,-Inputs!$B$7,0)+AZ308</f>
        <v>0</v>
      </c>
      <c r="BA309" s="33" t="n">
        <f aca="false">IF(Source_Data!BA$6=Inputs!$B$13,-Inputs!$B$7,0)+BA308</f>
        <v>0</v>
      </c>
      <c r="BB309" s="33" t="n">
        <f aca="false">IF(Source_Data!BB$6=Inputs!$B$13,-Inputs!$B$7,0)+BB308</f>
        <v>0</v>
      </c>
      <c r="BC309" s="33" t="n">
        <f aca="false">IF(Source_Data!BC$6=Inputs!$B$13,-Inputs!$B$7,0)+BC308</f>
        <v>0</v>
      </c>
      <c r="BD309" s="33" t="n">
        <f aca="false">IF(Source_Data!BD$6=Inputs!$B$13,-Inputs!$B$7,0)+BD308</f>
        <v>0</v>
      </c>
      <c r="BE309" s="33" t="n">
        <f aca="false">IF(Source_Data!BE$6=Inputs!$B$13,-Inputs!$B$7,0)+BE308</f>
        <v>0</v>
      </c>
      <c r="BF309" s="33" t="n">
        <f aca="false">IF(Source_Data!BF$6=Inputs!$B$13,-Inputs!$B$7,0)+BF308</f>
        <v>0</v>
      </c>
      <c r="BG309" s="33" t="n">
        <f aca="false">IF(Source_Data!BG$6=Inputs!$B$13,-Inputs!$B$7,0)+BG308</f>
        <v>0</v>
      </c>
      <c r="BH309" s="33" t="n">
        <f aca="false">IF(Source_Data!BH$6=Inputs!$B$13,-Inputs!$B$7,0)+BH308</f>
        <v>0</v>
      </c>
      <c r="BI309" s="33" t="n">
        <f aca="false">IF(Source_Data!BI$6=Inputs!$B$13,-Inputs!$B$7,0)+BI308</f>
        <v>0</v>
      </c>
      <c r="BJ309" s="33" t="n">
        <f aca="false">IF(Source_Data!BJ$6=Inputs!$B$13,-Inputs!$B$7,0)+BJ308</f>
        <v>0</v>
      </c>
      <c r="BK309" s="33" t="n">
        <f aca="false">IF(Source_Data!BK$6=Inputs!$B$13,-Inputs!$B$7,0)+BK308</f>
        <v>0</v>
      </c>
    </row>
    <row r="310" customFormat="false" ht="15" hidden="false" customHeight="false" outlineLevel="0" collapsed="false">
      <c r="A310" s="3" t="s">
        <v>344</v>
      </c>
      <c r="D310" s="33" t="n">
        <f aca="false">IF(Source_Data!D$6=Inputs!$B$13,Inputs!$B$7,0)+D305-D308</f>
        <v>-16.25</v>
      </c>
      <c r="E310" s="33" t="n">
        <f aca="false">D310+IF(Source_Data!E$6=Inputs!$B$13,Inputs!$B$7,0)+E305-E308</f>
        <v>-27.5</v>
      </c>
      <c r="F310" s="33" t="n">
        <f aca="false">E310+IF(Source_Data!F$6=Inputs!$B$13,Inputs!$B$7,0)+F305-F308</f>
        <v>-23.6107625</v>
      </c>
      <c r="G310" s="33" t="n">
        <f aca="false">F310+IF(Source_Data!G$6=Inputs!$B$13,Inputs!$B$7,0)+G305-G308</f>
        <v>-4.5822875</v>
      </c>
      <c r="H310" s="33" t="n">
        <f aca="false">G310+IF(Source_Data!H$6=Inputs!$B$13,Inputs!$B$7,0)+H305-H308</f>
        <v>-5.87028125</v>
      </c>
      <c r="I310" s="33" t="n">
        <f aca="false">H310+IF(Source_Data!I$6=Inputs!$B$13,Inputs!$B$7,0)+I305-I308</f>
        <v>0.979256249999995</v>
      </c>
      <c r="J310" s="33" t="n">
        <f aca="false">I310+IF(Source_Data!J$6=Inputs!$B$13,Inputs!$B$7,0)+J305-J308</f>
        <v>-21.86643375</v>
      </c>
      <c r="K310" s="33" t="n">
        <f aca="false">J310+IF(Source_Data!K$6=Inputs!$B$13,Inputs!$B$7,0)+K305-K308</f>
        <v>-26.400264375</v>
      </c>
      <c r="L310" s="33" t="n">
        <f aca="false">K310+IF(Source_Data!L$6=Inputs!$B$13,Inputs!$B$7,0)+L305-L308</f>
        <v>-22.7386759375</v>
      </c>
      <c r="M310" s="33" t="n">
        <f aca="false">L310+IF(Source_Data!M$6=Inputs!$B$13,Inputs!$B$7,0)+M305-M308</f>
        <v>381.4729015625</v>
      </c>
      <c r="N310" s="33" t="n">
        <f aca="false">M310+IF(Source_Data!N$6=Inputs!$B$13,Inputs!$B$7,0)+N305-N308</f>
        <v>505.2574415625</v>
      </c>
      <c r="O310" s="33" t="n">
        <f aca="false">N310+IF(Source_Data!O$6=Inputs!$B$13,Inputs!$B$7,0)+O305-O308</f>
        <v>619.9982315625</v>
      </c>
      <c r="P310" s="33" t="n">
        <f aca="false">O310+IF(Source_Data!P$6=Inputs!$B$13,Inputs!$B$7,0)+P305-P308</f>
        <v>498.4359415625</v>
      </c>
      <c r="Q310" s="33" t="n">
        <f aca="false">P310+IF(Source_Data!Q$6=Inputs!$B$13,Inputs!$B$7,0)+Q305-Q308</f>
        <v>349.3101103125</v>
      </c>
      <c r="R310" s="33" t="n">
        <f aca="false">Q310+IF(Source_Data!R$6=Inputs!$B$13,Inputs!$B$7,0)+R305-R308</f>
        <v>144.5242790625</v>
      </c>
      <c r="S310" s="33" t="n">
        <f aca="false">R310+IF(Source_Data!S$6=Inputs!$B$13,Inputs!$B$7,0)+S305-S308</f>
        <v>-1.47488531250002</v>
      </c>
      <c r="T310" s="33" t="n">
        <f aca="false">S310+IF(Source_Data!T$6=Inputs!$B$13,Inputs!$B$7,0)+T305-T308</f>
        <v>0.376754374999976</v>
      </c>
      <c r="U310" s="33" t="n">
        <f aca="false">T310+IF(Source_Data!U$6=Inputs!$B$13,Inputs!$B$7,0)+U305-U308</f>
        <v>0.714470312499977</v>
      </c>
      <c r="V310" s="33" t="n">
        <f aca="false">U310+IF(Source_Data!V$6=Inputs!$B$13,Inputs!$B$7,0)+V305-V308</f>
        <v>-4.93658500000002</v>
      </c>
      <c r="W310" s="33" t="n">
        <f aca="false">V310+IF(Source_Data!W$6=Inputs!$B$13,Inputs!$B$7,0)+W305-W308</f>
        <v>-14.9286403125</v>
      </c>
      <c r="X310" s="33" t="n">
        <f aca="false">W310+IF(Source_Data!X$6=Inputs!$B$13,Inputs!$B$7,0)+X305-X308</f>
        <v>-2.42069562500002</v>
      </c>
      <c r="Y310" s="33" t="n">
        <f aca="false">X310+IF(Source_Data!Y$6=Inputs!$B$13,Inputs!$B$7,0)+Y305-Y308</f>
        <v>17.1820303125</v>
      </c>
      <c r="Z310" s="33" t="n">
        <f aca="false">Y310+IF(Source_Data!Z$6=Inputs!$B$13,Inputs!$B$7,0)+Z305-Z308</f>
        <v>36.78475625</v>
      </c>
      <c r="AA310" s="33" t="n">
        <f aca="false">Z310+IF(Source_Data!AA$6=Inputs!$B$13,Inputs!$B$7,0)+AA305-AA308</f>
        <v>56.3874821875</v>
      </c>
      <c r="AB310" s="33" t="n">
        <f aca="false">AA310+IF(Source_Data!AB$6=Inputs!$B$13,Inputs!$B$7,0)+AB305-AB308</f>
        <v>92.702208125</v>
      </c>
      <c r="AC310" s="33" t="n">
        <f aca="false">AB310+IF(Source_Data!AC$6=Inputs!$B$13,Inputs!$B$7,0)+AC305-AC308</f>
        <v>125.740835625</v>
      </c>
      <c r="AD310" s="33" t="n">
        <f aca="false">AC310+IF(Source_Data!AD$6=Inputs!$B$13,Inputs!$B$7,0)+AD305-AD308</f>
        <v>155.171006875</v>
      </c>
      <c r="AE310" s="33" t="n">
        <f aca="false">AD310+IF(Source_Data!AE$6=Inputs!$B$13,Inputs!$B$7,0)+AE305-AE308</f>
        <v>180.260178125</v>
      </c>
      <c r="AF310" s="33" t="n">
        <f aca="false">AE310+IF(Source_Data!AF$6=Inputs!$B$13,Inputs!$B$7,0)+AF305-AF308</f>
        <v>97.5911390234374</v>
      </c>
      <c r="AG310" s="33" t="n">
        <f aca="false">AF310+IF(Source_Data!AG$6=Inputs!$B$13,Inputs!$B$7,0)+AG305-AG308</f>
        <v>111.703797851562</v>
      </c>
      <c r="AH310" s="33" t="n">
        <f aca="false">AG310+IF(Source_Data!AH$6=Inputs!$B$13,Inputs!$B$7,0)+AH305-AH308</f>
        <v>125.816456679687</v>
      </c>
      <c r="AI310" s="33" t="n">
        <f aca="false">AH310+IF(Source_Data!AI$6=Inputs!$B$13,Inputs!$B$7,0)+AI305-AI308</f>
        <v>139.929115507812</v>
      </c>
      <c r="AJ310" s="33" t="n">
        <f aca="false">AI310+IF(Source_Data!AJ$6=Inputs!$B$13,Inputs!$B$7,0)+AJ305-AJ308</f>
        <v>154.041774335937</v>
      </c>
      <c r="AK310" s="33" t="n">
        <f aca="false">AJ310+IF(Source_Data!AK$6=Inputs!$B$13,Inputs!$B$7,0)+AK305-AK308</f>
        <v>166.92589625</v>
      </c>
      <c r="AL310" s="33" t="n">
        <f aca="false">AK310+IF(Source_Data!AL$6=Inputs!$B$13,Inputs!$B$7,0)+AL305-AL308</f>
        <v>179.810018164062</v>
      </c>
      <c r="AM310" s="33" t="n">
        <f aca="false">AL310+IF(Source_Data!AM$6=Inputs!$B$13,Inputs!$B$7,0)+AM305-AM308</f>
        <v>190.3510175</v>
      </c>
      <c r="AN310" s="33" t="n">
        <f aca="false">AM310+IF(Source_Data!AN$6=Inputs!$B$13,Inputs!$B$7,0)+AN305-AN308</f>
        <v>195.76573671875</v>
      </c>
      <c r="AO310" s="33" t="n">
        <f aca="false">AN310+IF(Source_Data!AO$6=Inputs!$B$13,Inputs!$B$7,0)+AO305-AO308</f>
        <v>197.7741275</v>
      </c>
      <c r="AP310" s="33" t="n">
        <f aca="false">AO310+IF(Source_Data!AP$6=Inputs!$B$13,Inputs!$B$7,0)+AP305-AP308</f>
        <v>197.7741275</v>
      </c>
      <c r="AQ310" s="33" t="n">
        <f aca="false">AP310+IF(Source_Data!AQ$6=Inputs!$B$13,Inputs!$B$7,0)+AQ305-AQ308</f>
        <v>197.7741275</v>
      </c>
      <c r="AR310" s="33" t="n">
        <f aca="false">AQ310+IF(Source_Data!AR$6=Inputs!$B$13,Inputs!$B$7,0)+AR305-AR308</f>
        <v>197.7741275</v>
      </c>
      <c r="AS310" s="33" t="n">
        <f aca="false">AR310+IF(Source_Data!AS$6=Inputs!$B$13,Inputs!$B$7,0)+AS305-AS308</f>
        <v>197.7741275</v>
      </c>
      <c r="AT310" s="33" t="n">
        <f aca="false">AS310+IF(Source_Data!AT$6=Inputs!$B$13,Inputs!$B$7,0)+AT305-AT308</f>
        <v>197.7741275</v>
      </c>
      <c r="AU310" s="33" t="n">
        <f aca="false">AT310+IF(Source_Data!AU$6=Inputs!$B$13,Inputs!$B$7,0)+AU305-AU308</f>
        <v>197.7741275</v>
      </c>
      <c r="AV310" s="33" t="n">
        <f aca="false">AU310+IF(Source_Data!AV$6=Inputs!$B$13,Inputs!$B$7,0)+AV305-AV308</f>
        <v>197.7741275</v>
      </c>
      <c r="AW310" s="33" t="n">
        <f aca="false">AV310+IF(Source_Data!AW$6=Inputs!$B$13,Inputs!$B$7,0)+AW305-AW308</f>
        <v>197.7741275</v>
      </c>
      <c r="AX310" s="33" t="n">
        <f aca="false">AW310+IF(Source_Data!AX$6=Inputs!$B$13,Inputs!$B$7,0)+AX305-AX308</f>
        <v>197.7741275</v>
      </c>
      <c r="AY310" s="33" t="n">
        <f aca="false">AX310+IF(Source_Data!AY$6=Inputs!$B$13,Inputs!$B$7,0)+AY305-AY308</f>
        <v>197.7741275</v>
      </c>
      <c r="AZ310" s="33" t="n">
        <f aca="false">AY310+IF(Source_Data!AZ$6=Inputs!$B$13,Inputs!$B$7,0)+AZ305-AZ308</f>
        <v>197.7741275</v>
      </c>
      <c r="BA310" s="33" t="n">
        <f aca="false">AZ310+IF(Source_Data!BA$6=Inputs!$B$13,Inputs!$B$7,0)+BA305-BA308</f>
        <v>197.7741275</v>
      </c>
      <c r="BB310" s="33" t="n">
        <f aca="false">BA310+IF(Source_Data!BB$6=Inputs!$B$13,Inputs!$B$7,0)+BB305-BB308</f>
        <v>197.7741275</v>
      </c>
      <c r="BC310" s="33" t="n">
        <f aca="false">BB310+IF(Source_Data!BC$6=Inputs!$B$13,Inputs!$B$7,0)+BC305-BC308</f>
        <v>197.7741275</v>
      </c>
      <c r="BD310" s="33" t="n">
        <f aca="false">BC310+IF(Source_Data!BD$6=Inputs!$B$13,Inputs!$B$7,0)+BD305-BD308</f>
        <v>197.7741275</v>
      </c>
      <c r="BE310" s="33" t="n">
        <f aca="false">BD310+IF(Source_Data!BE$6=Inputs!$B$13,Inputs!$B$7,0)+BE305-BE308</f>
        <v>197.7741275</v>
      </c>
      <c r="BF310" s="33" t="n">
        <f aca="false">BE310+IF(Source_Data!BF$6=Inputs!$B$13,Inputs!$B$7,0)+BF305-BF308</f>
        <v>197.7741275</v>
      </c>
      <c r="BG310" s="33" t="n">
        <f aca="false">BF310+IF(Source_Data!BG$6=Inputs!$B$13,Inputs!$B$7,0)+BG305-BG308</f>
        <v>197.7741275</v>
      </c>
      <c r="BH310" s="33" t="n">
        <f aca="false">BG310+IF(Source_Data!BH$6=Inputs!$B$13,Inputs!$B$7,0)+BH305-BH308</f>
        <v>197.7741275</v>
      </c>
      <c r="BI310" s="33" t="n">
        <f aca="false">BH310+IF(Source_Data!BI$6=Inputs!$B$13,Inputs!$B$7,0)+BI305-BI308</f>
        <v>197.7741275</v>
      </c>
      <c r="BJ310" s="33" t="n">
        <f aca="false">BI310+IF(Source_Data!BJ$6=Inputs!$B$13,Inputs!$B$7,0)+BJ305-BJ308</f>
        <v>197.7741275</v>
      </c>
      <c r="BK310" s="33" t="n">
        <f aca="false">BJ310+IF(Source_Data!BK$6=Inputs!$B$13,Inputs!$B$7,0)+BK305-BK308</f>
        <v>197.7741275</v>
      </c>
    </row>
    <row r="311" customFormat="false" ht="15" hidden="false" customHeight="false" outlineLevel="0" collapsed="false">
      <c r="A311" s="3" t="s">
        <v>345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29.1190662608696</v>
      </c>
      <c r="N311" s="31" t="n">
        <f aca="false">IF(N308&gt;0,N305/N308,"")</f>
        <v>9.61109843478261</v>
      </c>
      <c r="O311" s="31" t="n">
        <f aca="false">IF(O308&gt;0,O305/O308,"")</f>
        <v>8.981968</v>
      </c>
      <c r="P311" s="31" t="n">
        <f aca="false">IF(P308&gt;0,P305/P308,"")</f>
        <v>-7.45650713043478</v>
      </c>
      <c r="Q311" s="31" t="n">
        <f aca="false">IF(Q308&gt;0,Q305/Q308,"")</f>
        <v>-9.37397086956522</v>
      </c>
      <c r="R311" s="31" t="n">
        <f aca="false">IF(R308&gt;0,R305/R308,"")</f>
        <v>-13.2459708695652</v>
      </c>
      <c r="S311" s="31" t="n">
        <f aca="false">IF(S308&gt;0,S305/S308,"")</f>
        <v>-9.15646360869565</v>
      </c>
      <c r="T311" s="31" t="n">
        <f aca="false">IF(T308&gt;0,T305/T308,"")</f>
        <v>1.1288097173913</v>
      </c>
      <c r="U311" s="31" t="n">
        <f aca="false">IF(U308&gt;0,U305/U308,"")</f>
        <v>1.0234932826087</v>
      </c>
      <c r="V311" s="31" t="n">
        <f aca="false">IF(V308&gt;0,V305/V308,"")</f>
        <v>0.606883108695652</v>
      </c>
      <c r="W311" s="31" t="n">
        <f aca="false">IF(W308&gt;0,W305/W308,"")</f>
        <v>0.3049005</v>
      </c>
      <c r="X311" s="31" t="n">
        <f aca="false">IF(X308&gt;0,X305/X308,"")</f>
        <v>1.87011789130435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346</v>
      </c>
      <c r="D312" s="31" t="str">
        <f aca="false">IF(D308&gt;0,(0+D305+IF(Source_Data!D$6=Inputs!$B$13,Inputs!$B$7,0))/D308,"")</f>
        <v/>
      </c>
      <c r="E312" s="31" t="str">
        <f aca="false">IF(E308&gt;0,(D310+E305+IF(Source_Data!E$6=Inputs!$B$13,Inputs!$B$7,0))/E308,"")</f>
        <v/>
      </c>
      <c r="F312" s="31" t="str">
        <f aca="false">IF(F308&gt;0,(E310+F305+IF(Source_Data!F$6=Inputs!$B$13,Inputs!$B$7,0))/F308,"")</f>
        <v/>
      </c>
      <c r="G312" s="31" t="str">
        <f aca="false">IF(G308&gt;0,(F310+G305+IF(Source_Data!G$6=Inputs!$B$13,Inputs!$B$7,0))/G308,"")</f>
        <v/>
      </c>
      <c r="H312" s="31" t="str">
        <f aca="false">IF(H308&gt;0,(G310+H305+IF(Source_Data!H$6=Inputs!$B$13,Inputs!$B$7,0))/H308,"")</f>
        <v/>
      </c>
      <c r="I312" s="31" t="str">
        <f aca="false">IF(I308&gt;0,(H310+I305+IF(Source_Data!I$6=Inputs!$B$13,Inputs!$B$7,0))/I308,"")</f>
        <v/>
      </c>
      <c r="J312" s="31" t="str">
        <f aca="false">IF(J308&gt;0,(I310+J305+IF(Source_Data!J$6=Inputs!$B$13,Inputs!$B$7,0))/J308,"")</f>
        <v/>
      </c>
      <c r="K312" s="31" t="str">
        <f aca="false">IF(K308&gt;0,(J310+K305+IF(Source_Data!K$6=Inputs!$B$13,Inputs!$B$7,0))/K308,"")</f>
        <v/>
      </c>
      <c r="L312" s="31" t="str">
        <f aca="false">IF(L308&gt;0,(K310+L305+IF(Source_Data!L$6=Inputs!$B$13,Inputs!$B$7,0))/L308,"")</f>
        <v/>
      </c>
      <c r="M312" s="31" t="n">
        <f aca="false">IF(M308&gt;0,(L310+M305+IF(Source_Data!M$6=Inputs!$B$13,Inputs!$B$7,0))/M308,"")</f>
        <v>27.537245326087</v>
      </c>
      <c r="N312" s="31" t="n">
        <f aca="false">IF(N308&gt;0,(M310+N305+IF(Source_Data!N$6=Inputs!$B$13,Inputs!$B$7,0))/N308,"")</f>
        <v>36.1483437608696</v>
      </c>
      <c r="O312" s="31" t="n">
        <f aca="false">IF(O308&gt;0,(N310+O305+IF(Source_Data!O$6=Inputs!$B$13,Inputs!$B$7,0))/O308,"")</f>
        <v>44.1303117608696</v>
      </c>
      <c r="P312" s="31" t="n">
        <f aca="false">IF(P308&gt;0,(O310+P305+IF(Source_Data!P$6=Inputs!$B$13,Inputs!$B$7,0))/P308,"")</f>
        <v>35.6738046304348</v>
      </c>
      <c r="Q312" s="31" t="n">
        <f aca="false">IF(Q308&gt;0,(P310+Q305+IF(Source_Data!Q$6=Inputs!$B$13,Inputs!$B$7,0))/Q308,"")</f>
        <v>25.2998337608696</v>
      </c>
      <c r="R312" s="31" t="n">
        <f aca="false">IF(R308&gt;0,(Q310+R305+IF(Source_Data!R$6=Inputs!$B$13,Inputs!$B$7,0))/R308,"")</f>
        <v>11.0538628913043</v>
      </c>
      <c r="S312" s="31" t="n">
        <f aca="false">IF(S308&gt;0,(R310+S305+IF(Source_Data!S$6=Inputs!$B$13,Inputs!$B$7,0))/S308,"")</f>
        <v>0.897399282608694</v>
      </c>
      <c r="T312" s="31" t="n">
        <f aca="false">IF(T308&gt;0,(S310+T305+IF(Source_Data!T$6=Inputs!$B$13,Inputs!$B$7,0))/T308,"")</f>
        <v>1.026209</v>
      </c>
      <c r="U312" s="31" t="n">
        <f aca="false">IF(U308&gt;0,(T310+U305+IF(Source_Data!U$6=Inputs!$B$13,Inputs!$B$7,0))/U308,"")</f>
        <v>1.04970228260869</v>
      </c>
      <c r="V312" s="31" t="n">
        <f aca="false">IF(V308&gt;0,(U310+V305+IF(Source_Data!V$6=Inputs!$B$13,Inputs!$B$7,0))/V308,"")</f>
        <v>0.656585391304346</v>
      </c>
      <c r="W312" s="31" t="n">
        <f aca="false">IF(W308&gt;0,(V310+W305+IF(Source_Data!W$6=Inputs!$B$13,Inputs!$B$7,0))/W308,"")</f>
        <v>-0.0385141086956537</v>
      </c>
      <c r="X312" s="31" t="n">
        <f aca="false">IF(X308&gt;0,(W310+X305+IF(Source_Data!X$6=Inputs!$B$13,Inputs!$B$7,0))/X308,"")</f>
        <v>0.831603782608694</v>
      </c>
      <c r="Y312" s="31" t="str">
        <f aca="false">IF(Y308&gt;0,(X310+Y305+IF(Source_Data!Y$6=Inputs!$B$13,Inputs!$B$7,0))/Y308,"")</f>
        <v/>
      </c>
      <c r="Z312" s="31" t="str">
        <f aca="false">IF(Z308&gt;0,(Y310+Z305+IF(Source_Data!Z$6=Inputs!$B$13,Inputs!$B$7,0))/Z308,"")</f>
        <v/>
      </c>
      <c r="AA312" s="31" t="str">
        <f aca="false">IF(AA308&gt;0,(Z310+AA305+IF(Source_Data!AA$6=Inputs!$B$13,Inputs!$B$7,0))/AA308,"")</f>
        <v/>
      </c>
      <c r="AB312" s="31" t="str">
        <f aca="false">IF(AB308&gt;0,(AA310+AB305+IF(Source_Data!AB$6=Inputs!$B$13,Inputs!$B$7,0))/AB308,"")</f>
        <v/>
      </c>
      <c r="AC312" s="31" t="str">
        <f aca="false">IF(AC308&gt;0,(AB310+AC305+IF(Source_Data!AC$6=Inputs!$B$13,Inputs!$B$7,0))/AC308,"")</f>
        <v/>
      </c>
      <c r="AD312" s="31" t="str">
        <f aca="false">IF(AD308&gt;0,(AC310+AD305+IF(Source_Data!AD$6=Inputs!$B$13,Inputs!$B$7,0))/AD308,"")</f>
        <v/>
      </c>
      <c r="AE312" s="31" t="str">
        <f aca="false">IF(AE308&gt;0,(AD310+AE305+IF(Source_Data!AE$6=Inputs!$B$13,Inputs!$B$7,0))/AE308,"")</f>
        <v/>
      </c>
      <c r="AF312" s="31" t="str">
        <f aca="false">IF(AF308&gt;0,(AE310+AF305+IF(Source_Data!AF$6=Inputs!$B$13,Inputs!$B$7,0))/AF308,"")</f>
        <v/>
      </c>
      <c r="AG312" s="31" t="str">
        <f aca="false">IF(AG308&gt;0,(AF310+AG305+IF(Source_Data!AG$6=Inputs!$B$13,Inputs!$B$7,0))/AG308,"")</f>
        <v/>
      </c>
      <c r="AH312" s="31" t="str">
        <f aca="false">IF(AH308&gt;0,(AG310+AH305+IF(Source_Data!AH$6=Inputs!$B$13,Inputs!$B$7,0))/AH308,"")</f>
        <v/>
      </c>
      <c r="AI312" s="31" t="str">
        <f aca="false">IF(AI308&gt;0,(AH310+AI305+IF(Source_Data!AI$6=Inputs!$B$13,Inputs!$B$7,0))/AI308,"")</f>
        <v/>
      </c>
      <c r="AJ312" s="31" t="str">
        <f aca="false">IF(AJ308&gt;0,(AI310+AJ305+IF(Source_Data!AJ$6=Inputs!$B$13,Inputs!$B$7,0))/AJ308,"")</f>
        <v/>
      </c>
      <c r="AK312" s="31" t="str">
        <f aca="false">IF(AK308&gt;0,(AJ310+AK305+IF(Source_Data!AK$6=Inputs!$B$13,Inputs!$B$7,0))/AK308,"")</f>
        <v/>
      </c>
      <c r="AL312" s="31" t="str">
        <f aca="false">IF(AL308&gt;0,(AK310+AL305+IF(Source_Data!AL$6=Inputs!$B$13,Inputs!$B$7,0))/AL308,"")</f>
        <v/>
      </c>
      <c r="AM312" s="31" t="str">
        <f aca="false">IF(AM308&gt;0,(AL310+AM305+IF(Source_Data!AM$6=Inputs!$B$13,Inputs!$B$7,0))/AM308,"")</f>
        <v/>
      </c>
      <c r="AN312" s="31" t="str">
        <f aca="false">IF(AN308&gt;0,(AM310+AN305+IF(Source_Data!AN$6=Inputs!$B$13,Inputs!$B$7,0))/AN308,"")</f>
        <v/>
      </c>
      <c r="AO312" s="31" t="str">
        <f aca="false">IF(AO308&gt;0,(AN310+AO305+IF(Source_Data!AO$6=Inputs!$B$13,Inputs!$B$7,0))/AO308,"")</f>
        <v/>
      </c>
      <c r="AP312" s="31" t="str">
        <f aca="false">IF(AP308&gt;0,(AO310+AP305+IF(Source_Data!AP$6=Inputs!$B$13,Inputs!$B$7,0))/AP308,"")</f>
        <v/>
      </c>
      <c r="AQ312" s="31" t="str">
        <f aca="false">IF(AQ308&gt;0,(AP310+AQ305+IF(Source_Data!AQ$6=Inputs!$B$13,Inputs!$B$7,0))/AQ308,"")</f>
        <v/>
      </c>
      <c r="AR312" s="31" t="str">
        <f aca="false">IF(AR308&gt;0,(AQ310+AR305+IF(Source_Data!AR$6=Inputs!$B$13,Inputs!$B$7,0))/AR308,"")</f>
        <v/>
      </c>
      <c r="AS312" s="31" t="str">
        <f aca="false">IF(AS308&gt;0,(AR310+AS305+IF(Source_Data!AS$6=Inputs!$B$13,Inputs!$B$7,0))/AS308,"")</f>
        <v/>
      </c>
      <c r="AT312" s="31" t="str">
        <f aca="false">IF(AT308&gt;0,(AS310+AT305+IF(Source_Data!AT$6=Inputs!$B$13,Inputs!$B$7,0))/AT308,"")</f>
        <v/>
      </c>
      <c r="AU312" s="31" t="str">
        <f aca="false">IF(AU308&gt;0,(AT310+AU305+IF(Source_Data!AU$6=Inputs!$B$13,Inputs!$B$7,0))/AU308,"")</f>
        <v/>
      </c>
      <c r="AV312" s="31" t="str">
        <f aca="false">IF(AV308&gt;0,(AU310+AV305+IF(Source_Data!AV$6=Inputs!$B$13,Inputs!$B$7,0))/AV308,"")</f>
        <v/>
      </c>
      <c r="AW312" s="31" t="str">
        <f aca="false">IF(AW308&gt;0,(AV310+AW305+IF(Source_Data!AW$6=Inputs!$B$13,Inputs!$B$7,0))/AW308,"")</f>
        <v/>
      </c>
      <c r="AX312" s="31" t="str">
        <f aca="false">IF(AX308&gt;0,(AW310+AX305+IF(Source_Data!AX$6=Inputs!$B$13,Inputs!$B$7,0))/AX308,"")</f>
        <v/>
      </c>
      <c r="AY312" s="31" t="str">
        <f aca="false">IF(AY308&gt;0,(AX310+AY305+IF(Source_Data!AY$6=Inputs!$B$13,Inputs!$B$7,0))/AY308,"")</f>
        <v/>
      </c>
      <c r="AZ312" s="31" t="str">
        <f aca="false">IF(AZ308&gt;0,(AY310+AZ305+IF(Source_Data!AZ$6=Inputs!$B$13,Inputs!$B$7,0))/AZ308,"")</f>
        <v/>
      </c>
      <c r="BA312" s="31" t="str">
        <f aca="false">IF(BA308&gt;0,(AZ310+BA305+IF(Source_Data!BA$6=Inputs!$B$13,Inputs!$B$7,0))/BA308,"")</f>
        <v/>
      </c>
      <c r="BB312" s="31" t="str">
        <f aca="false">IF(BB308&gt;0,(BA310+BB305+IF(Source_Data!BB$6=Inputs!$B$13,Inputs!$B$7,0))/BB308,"")</f>
        <v/>
      </c>
      <c r="BC312" s="31" t="str">
        <f aca="false">IF(BC308&gt;0,(BB310+BC305+IF(Source_Data!BC$6=Inputs!$B$13,Inputs!$B$7,0))/BC308,"")</f>
        <v/>
      </c>
      <c r="BD312" s="31" t="str">
        <f aca="false">IF(BD308&gt;0,(BC310+BD305+IF(Source_Data!BD$6=Inputs!$B$13,Inputs!$B$7,0))/BD308,"")</f>
        <v/>
      </c>
      <c r="BE312" s="31" t="str">
        <f aca="false">IF(BE308&gt;0,(BD310+BE305+IF(Source_Data!BE$6=Inputs!$B$13,Inputs!$B$7,0))/BE308,"")</f>
        <v/>
      </c>
      <c r="BF312" s="31" t="str">
        <f aca="false">IF(BF308&gt;0,(BE310+BF305+IF(Source_Data!BF$6=Inputs!$B$13,Inputs!$B$7,0))/BF308,"")</f>
        <v/>
      </c>
      <c r="BG312" s="31" t="str">
        <f aca="false">IF(BG308&gt;0,(BF310+BG305+IF(Source_Data!BG$6=Inputs!$B$13,Inputs!$B$7,0))/BG308,"")</f>
        <v/>
      </c>
      <c r="BH312" s="31" t="str">
        <f aca="false">IF(BH308&gt;0,(BG310+BH305+IF(Source_Data!BH$6=Inputs!$B$13,Inputs!$B$7,0))/BH308,"")</f>
        <v/>
      </c>
      <c r="BI312" s="31" t="str">
        <f aca="false">IF(BI308&gt;0,(BH310+BI305+IF(Source_Data!BI$6=Inputs!$B$13,Inputs!$B$7,0))/BI308,"")</f>
        <v/>
      </c>
      <c r="BJ312" s="31" t="str">
        <f aca="false">IF(BJ308&gt;0,(BI310+BJ305+IF(Source_Data!BJ$6=Inputs!$B$13,Inputs!$B$7,0))/BJ308,"")</f>
        <v/>
      </c>
      <c r="BK312" s="31" t="str">
        <f aca="false">IF(BK308&gt;0,(BJ310+BK305+IF(Source_Data!BK$6=Inputs!$B$13,Inputs!$B$7,0))/BK308,"")</f>
        <v/>
      </c>
    </row>
    <row r="314" customFormat="false" ht="15" hidden="false" customHeight="false" outlineLevel="0" collapsed="false">
      <c r="A314" s="2" t="s">
        <v>222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347</v>
      </c>
      <c r="B315" s="41" t="n">
        <f aca="false">SUMPRODUCT(D305:BK305,Project_CF!$D$15:$BK$15)</f>
        <v>173.337754030729</v>
      </c>
    </row>
    <row r="316" customFormat="false" ht="15" hidden="false" customHeight="false" outlineLevel="0" collapsed="false">
      <c r="A316" s="2" t="s">
        <v>164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348</v>
      </c>
      <c r="B317" s="35" t="n">
        <f aca="false">INDEX(Project_CF!$D$6:$BK$6,MATCH(MIN(D306:BK306),D306:BK306,0))</f>
        <v>0</v>
      </c>
    </row>
    <row r="318" customFormat="false" ht="15" hidden="false" customHeight="false" outlineLevel="0" collapsed="false">
      <c r="A318" s="2" t="s">
        <v>349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350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351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352</v>
      </c>
      <c r="B321" s="41" t="n">
        <f aca="false">MIN(D310:BK310)</f>
        <v>-27.5</v>
      </c>
    </row>
    <row r="322" customFormat="false" ht="15" hidden="false" customHeight="false" outlineLevel="0" collapsed="false">
      <c r="A322" s="2" t="s">
        <v>353</v>
      </c>
      <c r="B322" s="43" t="n">
        <f aca="false">MIN(D311:BK311)</f>
        <v>-13.2459708695652</v>
      </c>
    </row>
    <row r="323" customFormat="false" ht="15" hidden="false" customHeight="false" outlineLevel="0" collapsed="false">
      <c r="A323" s="2" t="s">
        <v>354</v>
      </c>
      <c r="B323" s="35" t="n">
        <f aca="false">COUNTIF(D311:BK311,"&lt;"&amp;Inputs!$B$44)</f>
        <v>8</v>
      </c>
    </row>
    <row r="324" customFormat="false" ht="15" hidden="false" customHeight="false" outlineLevel="0" collapsed="false">
      <c r="A324" s="2" t="s">
        <v>355</v>
      </c>
      <c r="B324" s="43" t="n">
        <f aca="false">MIN(D312:BK312)</f>
        <v>-0.0385141086956537</v>
      </c>
    </row>
    <row r="325" customFormat="false" ht="15" hidden="false" customHeight="false" outlineLevel="0" collapsed="false">
      <c r="A325" s="2" t="s">
        <v>356</v>
      </c>
      <c r="B325" s="35" t="n">
        <f aca="false">COUNTIF(D312:BK312,"&lt;"&amp;Inputs!$B$44)</f>
        <v>6</v>
      </c>
    </row>
    <row r="328" customFormat="false" ht="15" hidden="false" customHeight="false" outlineLevel="0" collapsed="false">
      <c r="A328" s="8" t="s">
        <v>368</v>
      </c>
    </row>
    <row r="329" customFormat="false" ht="15" hidden="false" customHeight="false" outlineLevel="0" collapsed="false">
      <c r="A329" s="3" t="s">
        <v>333</v>
      </c>
      <c r="B329" s="45" t="n">
        <v>1</v>
      </c>
    </row>
    <row r="330" customFormat="false" ht="15" hidden="false" customHeight="false" outlineLevel="0" collapsed="false">
      <c r="A330" s="3" t="s">
        <v>334</v>
      </c>
      <c r="B330" s="45" t="n">
        <v>0</v>
      </c>
    </row>
    <row r="331" customFormat="false" ht="15" hidden="false" customHeight="false" outlineLevel="0" collapsed="false">
      <c r="A331" s="3" t="s">
        <v>335</v>
      </c>
      <c r="B331" s="45" t="n">
        <v>1.2</v>
      </c>
    </row>
    <row r="332" customFormat="false" ht="15" hidden="false" customHeight="false" outlineLevel="0" collapsed="false">
      <c r="A332" s="3" t="s">
        <v>336</v>
      </c>
      <c r="B332" s="45" t="n">
        <v>0</v>
      </c>
    </row>
    <row r="333" customFormat="false" ht="15" hidden="false" customHeight="false" outlineLevel="0" collapsed="false">
      <c r="A333" s="3" t="s">
        <v>337</v>
      </c>
      <c r="B333" s="45" t="n">
        <v>0</v>
      </c>
    </row>
    <row r="334" customFormat="false" ht="15" hidden="false" customHeight="false" outlineLevel="0" collapsed="false">
      <c r="A334" s="3" t="s">
        <v>338</v>
      </c>
      <c r="B334" s="3" t="n">
        <f aca="false">Inputs!$B$14+3+3*$B$330</f>
        <v>45</v>
      </c>
    </row>
    <row r="335" customFormat="false" ht="15" hidden="false" customHeight="false" outlineLevel="0" collapsed="false">
      <c r="A335" s="3" t="s">
        <v>339</v>
      </c>
      <c r="D335" s="33" t="n">
        <f aca="false">Source_Data!D$7+IF($B$333=1,IF(Source_Data!D$6=Inputs!$B$14,Source_Data!$C$8,0),Source_Data!D$8)</f>
        <v>0</v>
      </c>
      <c r="E335" s="33" t="n">
        <f aca="false">Source_Data!E$7+IF($B$333=1,IF(Source_Data!E$6=Inputs!$B$14,Source_Data!$C$8,0),Source_Data!E$8)</f>
        <v>0</v>
      </c>
      <c r="F335" s="33" t="n">
        <f aca="false">Source_Data!F$7+IF($B$333=1,IF(Source_Data!F$6=Inputs!$B$14,Source_Data!$C$8,0),Source_Data!F$8)</f>
        <v>15.1392375</v>
      </c>
      <c r="G335" s="33" t="n">
        <f aca="false">Source_Data!G$7+IF($B$333=1,IF(Source_Data!G$6=Inputs!$B$14,Source_Data!$C$8,0),Source_Data!G$8)</f>
        <v>30.278475</v>
      </c>
      <c r="H335" s="33" t="n">
        <f aca="false">Source_Data!H$7+IF($B$333=1,IF(Source_Data!H$6=Inputs!$B$14,Source_Data!$C$8,0),Source_Data!H$8)</f>
        <v>46.51200625</v>
      </c>
      <c r="I335" s="33" t="n">
        <f aca="false">Source_Data!I$7+IF($B$333=1,IF(Source_Data!I$6=Inputs!$B$14,Source_Data!$C$8,0),Source_Data!I$8)</f>
        <v>62.7455375</v>
      </c>
      <c r="J335" s="33" t="n">
        <f aca="false">Source_Data!J$7+IF($B$333=1,IF(Source_Data!J$6=Inputs!$B$14,Source_Data!$C$8,0),Source_Data!J$8)</f>
        <v>62.3657</v>
      </c>
      <c r="K335" s="33" t="n">
        <f aca="false">Source_Data!K$7+IF($B$333=1,IF(Source_Data!K$6=Inputs!$B$14,Source_Data!$C$8,0),Source_Data!K$8)</f>
        <v>63.473559375</v>
      </c>
      <c r="L335" s="33" t="n">
        <f aca="false">Source_Data!L$7+IF($B$333=1,IF(Source_Data!L$6=Inputs!$B$14,Source_Data!$C$8,0),Source_Data!L$8)</f>
        <v>80.3288484375</v>
      </c>
      <c r="M335" s="33" t="n">
        <f aca="false">Source_Data!M$7+IF($B$333=1,IF(Source_Data!M$6=Inputs!$B$14,Source_Data!$C$8,0),Source_Data!M$8)</f>
        <v>495.2538375</v>
      </c>
      <c r="N335" s="33" t="n">
        <f aca="false">Source_Data!N$7+IF($B$333=1,IF(Source_Data!N$6=Inputs!$B$14,Source_Data!$C$8,0),Source_Data!N$8)</f>
        <v>185.57775</v>
      </c>
      <c r="O335" s="33" t="n">
        <f aca="false">Source_Data!O$7+IF($B$333=1,IF(Source_Data!O$6=Inputs!$B$14,Source_Data!$C$8,0),Source_Data!O$8)</f>
        <v>176.534</v>
      </c>
      <c r="P335" s="33" t="n">
        <f aca="false">Source_Data!P$7+IF($B$333=1,IF(Source_Data!P$6=Inputs!$B$14,Source_Data!$C$8,0),Source_Data!P$8)</f>
        <v>97.31075</v>
      </c>
      <c r="Q335" s="33" t="n">
        <f aca="false">Source_Data!Q$7+IF($B$333=1,IF(Source_Data!Q$6=Inputs!$B$14,Source_Data!$C$8,0),Source_Data!Q$8)</f>
        <v>71.30996875</v>
      </c>
      <c r="R335" s="33" t="n">
        <f aca="false">Source_Data!R$7+IF($B$333=1,IF(Source_Data!R$6=Inputs!$B$14,Source_Data!$C$8,0),Source_Data!R$8)</f>
        <v>71.30996875</v>
      </c>
      <c r="S335" s="33" t="n">
        <f aca="false">Source_Data!S$7+IF($B$333=1,IF(Source_Data!S$6=Inputs!$B$14,Source_Data!$C$8,0),Source_Data!S$8)</f>
        <v>68.037035625</v>
      </c>
      <c r="T335" s="33" t="n">
        <f aca="false">Source_Data!T$7+IF($B$333=1,IF(Source_Data!T$6=Inputs!$B$14,Source_Data!$C$8,0),Source_Data!T$8)</f>
        <v>61.2266396875</v>
      </c>
      <c r="U335" s="33" t="n">
        <f aca="false">Source_Data!U$7+IF($B$333=1,IF(Source_Data!U$6=Inputs!$B$14,Source_Data!$C$8,0),Source_Data!U$8)</f>
        <v>59.7127159375</v>
      </c>
      <c r="V335" s="33" t="n">
        <f aca="false">Source_Data!V$7+IF($B$333=1,IF(Source_Data!V$6=Inputs!$B$14,Source_Data!$C$8,0),Source_Data!V$8)</f>
        <v>53.7239446875</v>
      </c>
      <c r="W335" s="33" t="n">
        <f aca="false">Source_Data!W$7+IF($B$333=1,IF(Source_Data!W$6=Inputs!$B$14,Source_Data!$C$8,0),Source_Data!W$8)</f>
        <v>49.3829446875</v>
      </c>
      <c r="X335" s="33" t="n">
        <f aca="false">Source_Data!X$7+IF($B$333=1,IF(Source_Data!X$6=Inputs!$B$14,Source_Data!$C$8,0),Source_Data!X$8)</f>
        <v>49.3829446875</v>
      </c>
      <c r="Y335" s="33" t="n">
        <f aca="false">Source_Data!Y$7+IF($B$333=1,IF(Source_Data!Y$6=Inputs!$B$14,Source_Data!$C$8,0),Source_Data!Y$8)</f>
        <v>42.1027259375</v>
      </c>
      <c r="Z335" s="33" t="n">
        <f aca="false">Source_Data!Z$7+IF($B$333=1,IF(Source_Data!Z$6=Inputs!$B$14,Source_Data!$C$8,0),Source_Data!Z$8)</f>
        <v>42.1027259375</v>
      </c>
      <c r="AA335" s="33" t="n">
        <f aca="false">Source_Data!AA$7+IF($B$333=1,IF(Source_Data!AA$6=Inputs!$B$14,Source_Data!$C$8,0),Source_Data!AA$8)</f>
        <v>42.1027259375</v>
      </c>
      <c r="AB335" s="33" t="n">
        <f aca="false">Source_Data!AB$7+IF($B$333=1,IF(Source_Data!AB$6=Inputs!$B$14,Source_Data!$C$8,0),Source_Data!AB$8)</f>
        <v>36.3147259375</v>
      </c>
      <c r="AC335" s="33" t="n">
        <f aca="false">Source_Data!AC$7+IF($B$333=1,IF(Source_Data!AC$6=Inputs!$B$14,Source_Data!$C$8,0),Source_Data!AC$8)</f>
        <v>33.0386275</v>
      </c>
      <c r="AD335" s="33" t="n">
        <f aca="false">Source_Data!AD$7+IF($B$333=1,IF(Source_Data!AD$6=Inputs!$B$14,Source_Data!$C$8,0),Source_Data!AD$8)</f>
        <v>29.43017125</v>
      </c>
      <c r="AE335" s="33" t="n">
        <f aca="false">Source_Data!AE$7+IF($B$333=1,IF(Source_Data!AE$6=Inputs!$B$14,Source_Data!$C$8,0),Source_Data!AE$8)</f>
        <v>25.08917125</v>
      </c>
      <c r="AF335" s="33" t="n">
        <f aca="false">Source_Data!AF$7+IF($B$333=1,IF(Source_Data!AF$6=Inputs!$B$14,Source_Data!$C$8,0),Source_Data!AF$8)</f>
        <v>25.08917125</v>
      </c>
      <c r="AG335" s="33" t="n">
        <f aca="false">Source_Data!AG$7+IF($B$333=1,IF(Source_Data!AG$6=Inputs!$B$14,Source_Data!$C$8,0),Source_Data!AG$8)</f>
        <v>25.08917125</v>
      </c>
      <c r="AH335" s="33" t="n">
        <f aca="false">Source_Data!AH$7+IF($B$333=1,IF(Source_Data!AH$6=Inputs!$B$14,Source_Data!$C$8,0),Source_Data!AH$8)</f>
        <v>25.08917125</v>
      </c>
      <c r="AI335" s="33" t="n">
        <f aca="false">Source_Data!AI$7+IF($B$333=1,IF(Source_Data!AI$6=Inputs!$B$14,Source_Data!$C$8,0),Source_Data!AI$8)</f>
        <v>25.08917125</v>
      </c>
      <c r="AJ335" s="33" t="n">
        <f aca="false">Source_Data!AJ$7+IF($B$333=1,IF(Source_Data!AJ$6=Inputs!$B$14,Source_Data!$C$8,0),Source_Data!AJ$8)</f>
        <v>25.08917125</v>
      </c>
      <c r="AK335" s="33" t="n">
        <f aca="false">Source_Data!AK$7+IF($B$333=1,IF(Source_Data!AK$6=Inputs!$B$14,Source_Data!$C$8,0),Source_Data!AK$8)</f>
        <v>22.905105625</v>
      </c>
      <c r="AL335" s="33" t="n">
        <f aca="false">Source_Data!AL$7+IF($B$333=1,IF(Source_Data!AL$6=Inputs!$B$14,Source_Data!$C$8,0),Source_Data!AL$8)</f>
        <v>22.905105625</v>
      </c>
      <c r="AM335" s="33" t="n">
        <f aca="false">Source_Data!AM$7+IF($B$333=1,IF(Source_Data!AM$6=Inputs!$B$14,Source_Data!$C$8,0),Source_Data!AM$8)</f>
        <v>18.739554375</v>
      </c>
      <c r="AN335" s="33" t="n">
        <f aca="false">Source_Data!AN$7+IF($B$333=1,IF(Source_Data!AN$6=Inputs!$B$14,Source_Data!$C$8,0),Source_Data!AN$8)</f>
        <v>9.6261675</v>
      </c>
      <c r="AO335" s="33" t="n">
        <f aca="false">Source_Data!AO$7+IF($B$333=1,IF(Source_Data!AO$6=Inputs!$B$14,Source_Data!$C$8,0),Source_Data!AO$8)</f>
        <v>3.5704725</v>
      </c>
      <c r="AP335" s="33" t="n">
        <f aca="false">Source_Data!AP$7+IF($B$333=1,IF(Source_Data!AP$6=Inputs!$B$14,Source_Data!$C$8,0),Source_Data!AP$8)</f>
        <v>0</v>
      </c>
      <c r="AQ335" s="33" t="n">
        <f aca="false">Source_Data!AQ$7+IF($B$333=1,IF(Source_Data!AQ$6=Inputs!$B$14,Source_Data!$C$8,0),Source_Data!AQ$8)</f>
        <v>0</v>
      </c>
      <c r="AR335" s="33" t="n">
        <f aca="false">Source_Data!AR$7+IF($B$333=1,IF(Source_Data!AR$6=Inputs!$B$14,Source_Data!$C$8,0),Source_Data!AR$8)</f>
        <v>0</v>
      </c>
      <c r="AS335" s="33" t="n">
        <f aca="false">Source_Data!AS$7+IF($B$333=1,IF(Source_Data!AS$6=Inputs!$B$14,Source_Data!$C$8,0),Source_Data!AS$8)</f>
        <v>0</v>
      </c>
      <c r="AT335" s="33" t="n">
        <f aca="false">Source_Data!AT$7+IF($B$333=1,IF(Source_Data!AT$6=Inputs!$B$14,Source_Data!$C$8,0),Source_Data!AT$8)</f>
        <v>0</v>
      </c>
      <c r="AU335" s="33" t="n">
        <f aca="false">Source_Data!AU$7+IF($B$333=1,IF(Source_Data!AU$6=Inputs!$B$14,Source_Data!$C$8,0),Source_Data!AU$8)</f>
        <v>0</v>
      </c>
      <c r="AV335" s="33" t="n">
        <f aca="false">Source_Data!AV$7+IF($B$333=1,IF(Source_Data!AV$6=Inputs!$B$14,Source_Data!$C$8,0),Source_Data!AV$8)</f>
        <v>0</v>
      </c>
      <c r="AW335" s="33" t="n">
        <f aca="false">Source_Data!AW$7+IF($B$333=1,IF(Source_Data!AW$6=Inputs!$B$14,Source_Data!$C$8,0),Source_Data!AW$8)</f>
        <v>0</v>
      </c>
      <c r="AX335" s="33" t="n">
        <f aca="false">Source_Data!AX$7+IF($B$333=1,IF(Source_Data!AX$6=Inputs!$B$14,Source_Data!$C$8,0),Source_Data!AX$8)</f>
        <v>0</v>
      </c>
      <c r="AY335" s="33" t="n">
        <f aca="false">Source_Data!AY$7+IF($B$333=1,IF(Source_Data!AY$6=Inputs!$B$14,Source_Data!$C$8,0),Source_Data!AY$8)</f>
        <v>0</v>
      </c>
      <c r="AZ335" s="33" t="n">
        <f aca="false">Source_Data!AZ$7+IF($B$333=1,IF(Source_Data!AZ$6=Inputs!$B$14,Source_Data!$C$8,0),Source_Data!AZ$8)</f>
        <v>0</v>
      </c>
      <c r="BA335" s="33" t="n">
        <f aca="false">Source_Data!BA$7+IF($B$333=1,IF(Source_Data!BA$6=Inputs!$B$14,Source_Data!$C$8,0),Source_Data!BA$8)</f>
        <v>0</v>
      </c>
      <c r="BB335" s="33" t="n">
        <f aca="false">Source_Data!BB$7+IF($B$333=1,IF(Source_Data!BB$6=Inputs!$B$14,Source_Data!$C$8,0),Source_Data!BB$8)</f>
        <v>0</v>
      </c>
      <c r="BC335" s="33" t="n">
        <f aca="false">Source_Data!BC$7+IF($B$333=1,IF(Source_Data!BC$6=Inputs!$B$14,Source_Data!$C$8,0),Source_Data!BC$8)</f>
        <v>0</v>
      </c>
      <c r="BD335" s="33" t="n">
        <f aca="false">Source_Data!BD$7+IF($B$333=1,IF(Source_Data!BD$6=Inputs!$B$14,Source_Data!$C$8,0),Source_Data!BD$8)</f>
        <v>0</v>
      </c>
      <c r="BE335" s="33" t="n">
        <f aca="false">Source_Data!BE$7+IF($B$333=1,IF(Source_Data!BE$6=Inputs!$B$14,Source_Data!$C$8,0),Source_Data!BE$8)</f>
        <v>0</v>
      </c>
      <c r="BF335" s="33" t="n">
        <f aca="false">Source_Data!BF$7+IF($B$333=1,IF(Source_Data!BF$6=Inputs!$B$14,Source_Data!$C$8,0),Source_Data!BF$8)</f>
        <v>0</v>
      </c>
      <c r="BG335" s="33" t="n">
        <f aca="false">Source_Data!BG$7+IF($B$333=1,IF(Source_Data!BG$6=Inputs!$B$14,Source_Data!$C$8,0),Source_Data!BG$8)</f>
        <v>0</v>
      </c>
      <c r="BH335" s="33" t="n">
        <f aca="false">Source_Data!BH$7+IF($B$333=1,IF(Source_Data!BH$6=Inputs!$B$14,Source_Data!$C$8,0),Source_Data!BH$8)</f>
        <v>0</v>
      </c>
      <c r="BI335" s="33" t="n">
        <f aca="false">Source_Data!BI$7+IF($B$333=1,IF(Source_Data!BI$6=Inputs!$B$14,Source_Data!$C$8,0),Source_Data!BI$8)</f>
        <v>0</v>
      </c>
      <c r="BJ335" s="33" t="n">
        <f aca="false">Source_Data!BJ$7+IF($B$333=1,IF(Source_Data!BJ$6=Inputs!$B$14,Source_Data!$C$8,0),Source_Data!BJ$8)</f>
        <v>0</v>
      </c>
      <c r="BK335" s="33" t="n">
        <f aca="false">Source_Data!BK$7+IF($B$333=1,IF(Source_Data!BK$6=Inputs!$B$14,Source_Data!$C$8,0),Source_Data!BK$8)</f>
        <v>0</v>
      </c>
    </row>
    <row r="336" customFormat="false" ht="15" hidden="false" customHeight="false" outlineLevel="0" collapsed="false">
      <c r="A336" s="3" t="s">
        <v>215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340</v>
      </c>
      <c r="D337" s="33" t="n">
        <f aca="false">Source_Data!D$9+Source_Data!D$10*IF(Source_Data!$C$10=0,0,MAX(0,Inputs!$B$20*Inputs!$B$23*$B$329-Inputs!$B$21)/Source_Data!$C$10)</f>
        <v>91.25</v>
      </c>
      <c r="E337" s="33" t="n">
        <f aca="false">Source_Data!E$9+Source_Data!E$10*IF(Source_Data!$C$10=0,0,MAX(0,Inputs!$B$20*Inputs!$B$23*$B$329-Inputs!$B$21)/Source_Data!$C$10)</f>
        <v>11.25</v>
      </c>
      <c r="F337" s="33" t="n">
        <f aca="false">Source_Data!F$9+Source_Data!F$10*IF(Source_Data!$C$10=0,0,MAX(0,Inputs!$B$20*Inputs!$B$23*$B$329-Inputs!$B$21)/Source_Data!$C$10)</f>
        <v>11.25</v>
      </c>
      <c r="G337" s="33" t="n">
        <f aca="false">Source_Data!G$9+Source_Data!G$10*IF(Source_Data!$C$10=0,0,MAX(0,Inputs!$B$20*Inputs!$B$23*$B$329-Inputs!$B$21)/Source_Data!$C$10)</f>
        <v>11.25</v>
      </c>
      <c r="H337" s="33" t="n">
        <f aca="false">Source_Data!H$9+Source_Data!H$10*IF(Source_Data!$C$10=0,0,MAX(0,Inputs!$B$20*Inputs!$B$23*$B$329-Inputs!$B$21)/Source_Data!$C$10)</f>
        <v>22.5</v>
      </c>
      <c r="I337" s="33" t="n">
        <f aca="false">Source_Data!I$9+Source_Data!I$10*IF(Source_Data!$C$10=0,0,MAX(0,Inputs!$B$20*Inputs!$B$23*$B$329-Inputs!$B$21)/Source_Data!$C$10)</f>
        <v>22.5</v>
      </c>
      <c r="J337" s="33" t="n">
        <f aca="false">Source_Data!J$9+Source_Data!J$10*IF(Source_Data!$C$10=0,0,MAX(0,Inputs!$B$20*Inputs!$B$23*$B$329-Inputs!$B$21)/Source_Data!$C$10)</f>
        <v>22.5</v>
      </c>
      <c r="K337" s="33" t="n">
        <f aca="false">Source_Data!K$9+Source_Data!K$10*IF(Source_Data!$C$10=0,0,MAX(0,Inputs!$B$20*Inputs!$B$23*$B$329-Inputs!$B$21)/Source_Data!$C$10)</f>
        <v>22.5</v>
      </c>
      <c r="L337" s="33" t="n">
        <f aca="false">Source_Data!L$9+Source_Data!L$10*IF(Source_Data!$C$10=0,0,MAX(0,Inputs!$B$20*Inputs!$B$23*$B$329-Inputs!$B$21)/Source_Data!$C$10)</f>
        <v>33.75</v>
      </c>
      <c r="M337" s="33" t="n">
        <f aca="false">Source_Data!M$9+Source_Data!M$10*IF(Source_Data!$C$10=0,0,MAX(0,Inputs!$B$20*Inputs!$B$23*$B$329-Inputs!$B$21)/Source_Data!$C$10)</f>
        <v>33.75</v>
      </c>
      <c r="N337" s="33" t="n">
        <f aca="false">Source_Data!N$9+Source_Data!N$10*IF(Source_Data!$C$10=0,0,MAX(0,Inputs!$B$20*Inputs!$B$23*$B$329-Inputs!$B$21)/Source_Data!$C$10)</f>
        <v>33.75</v>
      </c>
      <c r="O337" s="33" t="n">
        <f aca="false">Source_Data!O$9+Source_Data!O$10*IF(Source_Data!$C$10=0,0,MAX(0,Inputs!$B$20*Inputs!$B$23*$B$329-Inputs!$B$21)/Source_Data!$C$10)</f>
        <v>33.75</v>
      </c>
      <c r="P337" s="33" t="n">
        <f aca="false">Source_Data!P$9+Source_Data!P$10*IF(Source_Data!$C$10=0,0,MAX(0,Inputs!$B$20*Inputs!$B$23*$B$329-Inputs!$B$21)/Source_Data!$C$10)</f>
        <v>45</v>
      </c>
      <c r="Q337" s="33" t="n">
        <f aca="false">Source_Data!Q$9+Source_Data!Q$10*IF(Source_Data!$C$10=0,0,MAX(0,Inputs!$B$20*Inputs!$B$23*$B$329-Inputs!$B$21)/Source_Data!$C$10)</f>
        <v>45</v>
      </c>
      <c r="R337" s="33" t="n">
        <f aca="false">Source_Data!R$9+Source_Data!R$10*IF(Source_Data!$C$10=0,0,MAX(0,Inputs!$B$20*Inputs!$B$23*$B$329-Inputs!$B$21)/Source_Data!$C$10)</f>
        <v>45</v>
      </c>
      <c r="S337" s="33" t="n">
        <f aca="false">Source_Data!S$9+Source_Data!S$10*IF(Source_Data!$C$10=0,0,MAX(0,Inputs!$B$20*Inputs!$B$23*$B$329-Inputs!$B$21)/Source_Data!$C$10)</f>
        <v>45</v>
      </c>
      <c r="T337" s="33" t="n">
        <f aca="false">Source_Data!T$9+Source_Data!T$10*IF(Source_Data!$C$10=0,0,MAX(0,Inputs!$B$20*Inputs!$B$23*$B$329-Inputs!$B$21)/Source_Data!$C$10)</f>
        <v>45</v>
      </c>
      <c r="U337" s="33" t="n">
        <f aca="false">Source_Data!U$9+Source_Data!U$10*IF(Source_Data!$C$10=0,0,MAX(0,Inputs!$B$20*Inputs!$B$23*$B$329-Inputs!$B$21)/Source_Data!$C$10)</f>
        <v>45</v>
      </c>
      <c r="V337" s="33" t="n">
        <f aca="false">Source_Data!V$9+Source_Data!V$10*IF(Source_Data!$C$10=0,0,MAX(0,Inputs!$B$20*Inputs!$B$23*$B$329-Inputs!$B$21)/Source_Data!$C$10)</f>
        <v>45</v>
      </c>
      <c r="W337" s="33" t="n">
        <f aca="false">Source_Data!W$9+Source_Data!W$10*IF(Source_Data!$C$10=0,0,MAX(0,Inputs!$B$20*Inputs!$B$23*$B$329-Inputs!$B$21)/Source_Data!$C$10)</f>
        <v>45</v>
      </c>
      <c r="X337" s="33" t="n">
        <f aca="false">Source_Data!X$9+Source_Data!X$10*IF(Source_Data!$C$10=0,0,MAX(0,Inputs!$B$20*Inputs!$B$23*$B$329-Inputs!$B$21)/Source_Data!$C$10)</f>
        <v>22.5</v>
      </c>
      <c r="Y337" s="33" t="n">
        <f aca="false">Source_Data!Y$9+Source_Data!Y$10*IF(Source_Data!$C$10=0,0,MAX(0,Inputs!$B$20*Inputs!$B$23*$B$329-Inputs!$B$21)/Source_Data!$C$10)</f>
        <v>22.5</v>
      </c>
      <c r="Z337" s="33" t="n">
        <f aca="false">Source_Data!Z$9+Source_Data!Z$10*IF(Source_Data!$C$10=0,0,MAX(0,Inputs!$B$20*Inputs!$B$23*$B$329-Inputs!$B$21)/Source_Data!$C$10)</f>
        <v>22.5</v>
      </c>
      <c r="AA337" s="33" t="n">
        <f aca="false">Source_Data!AA$9+Source_Data!AA$10*IF(Source_Data!$C$10=0,0,MAX(0,Inputs!$B$20*Inputs!$B$23*$B$329-Inputs!$B$21)/Source_Data!$C$10)</f>
        <v>22.5</v>
      </c>
      <c r="AB337" s="33" t="n">
        <f aca="false">Source_Data!AB$9+Source_Data!AB$10*IF(Source_Data!$C$10=0,0,MAX(0,Inputs!$B$20*Inputs!$B$23*$B$329-Inputs!$B$21)/Source_Data!$C$10)</f>
        <v>0</v>
      </c>
      <c r="AC337" s="33" t="n">
        <f aca="false">Source_Data!AC$9+Source_Data!AC$10*IF(Source_Data!$C$10=0,0,MAX(0,Inputs!$B$20*Inputs!$B$23*$B$329-Inputs!$B$21)/Source_Data!$C$10)</f>
        <v>0</v>
      </c>
      <c r="AD337" s="33" t="n">
        <f aca="false">Source_Data!AD$9+Source_Data!AD$10*IF(Source_Data!$C$10=0,0,MAX(0,Inputs!$B$20*Inputs!$B$23*$B$329-Inputs!$B$21)/Source_Data!$C$10)</f>
        <v>0</v>
      </c>
      <c r="AE337" s="33" t="n">
        <f aca="false">Source_Data!AE$9+Source_Data!AE$10*IF(Source_Data!$C$10=0,0,MAX(0,Inputs!$B$20*Inputs!$B$23*$B$329-Inputs!$B$21)/Source_Data!$C$10)</f>
        <v>0</v>
      </c>
      <c r="AF337" s="33" t="n">
        <f aca="false">Source_Data!AF$9+Source_Data!AF$10*IF(Source_Data!$C$10=0,0,MAX(0,Inputs!$B$20*Inputs!$B$23*$B$329-Inputs!$B$21)/Source_Data!$C$10)</f>
        <v>107.758210351563</v>
      </c>
      <c r="AG337" s="33" t="n">
        <f aca="false">Source_Data!AG$9+Source_Data!AG$10*IF(Source_Data!$C$10=0,0,MAX(0,Inputs!$B$20*Inputs!$B$23*$B$329-Inputs!$B$21)/Source_Data!$C$10)</f>
        <v>10.976512421875</v>
      </c>
      <c r="AH337" s="33" t="n">
        <f aca="false">Source_Data!AH$9+Source_Data!AH$10*IF(Source_Data!$C$10=0,0,MAX(0,Inputs!$B$20*Inputs!$B$23*$B$329-Inputs!$B$21)/Source_Data!$C$10)</f>
        <v>10.976512421875</v>
      </c>
      <c r="AI337" s="33" t="n">
        <f aca="false">Source_Data!AI$9+Source_Data!AI$10*IF(Source_Data!$C$10=0,0,MAX(0,Inputs!$B$20*Inputs!$B$23*$B$329-Inputs!$B$21)/Source_Data!$C$10)</f>
        <v>10.976512421875</v>
      </c>
      <c r="AJ337" s="33" t="n">
        <f aca="false">Source_Data!AJ$9+Source_Data!AJ$10*IF(Source_Data!$C$10=0,0,MAX(0,Inputs!$B$20*Inputs!$B$23*$B$329-Inputs!$B$21)/Source_Data!$C$10)</f>
        <v>10.976512421875</v>
      </c>
      <c r="AK337" s="33" t="n">
        <f aca="false">Source_Data!AK$9+Source_Data!AK$10*IF(Source_Data!$C$10=0,0,MAX(0,Inputs!$B$20*Inputs!$B$23*$B$329-Inputs!$B$21)/Source_Data!$C$10)</f>
        <v>10.0209837109375</v>
      </c>
      <c r="AL337" s="33" t="n">
        <f aca="false">Source_Data!AL$9+Source_Data!AL$10*IF(Source_Data!$C$10=0,0,MAX(0,Inputs!$B$20*Inputs!$B$23*$B$329-Inputs!$B$21)/Source_Data!$C$10)</f>
        <v>10.0209837109375</v>
      </c>
      <c r="AM337" s="33" t="n">
        <f aca="false">Source_Data!AM$9+Source_Data!AM$10*IF(Source_Data!$C$10=0,0,MAX(0,Inputs!$B$20*Inputs!$B$23*$B$329-Inputs!$B$21)/Source_Data!$C$10)</f>
        <v>8.19855503906249</v>
      </c>
      <c r="AN337" s="33" t="n">
        <f aca="false">Source_Data!AN$9+Source_Data!AN$10*IF(Source_Data!$C$10=0,0,MAX(0,Inputs!$B$20*Inputs!$B$23*$B$329-Inputs!$B$21)/Source_Data!$C$10)</f>
        <v>4.21144828125</v>
      </c>
      <c r="AO337" s="33" t="n">
        <f aca="false">Source_Data!AO$9+Source_Data!AO$10*IF(Source_Data!$C$10=0,0,MAX(0,Inputs!$B$20*Inputs!$B$23*$B$329-Inputs!$B$21)/Source_Data!$C$10)</f>
        <v>1.56208171875</v>
      </c>
      <c r="AP337" s="33" t="n">
        <f aca="false">Source_Data!AP$9+Source_Data!AP$10*IF(Source_Data!$C$10=0,0,MAX(0,Inputs!$B$20*Inputs!$B$23*$B$329-Inputs!$B$21)/Source_Data!$C$10)</f>
        <v>0</v>
      </c>
      <c r="AQ337" s="33" t="n">
        <f aca="false">Source_Data!AQ$9+Source_Data!AQ$10*IF(Source_Data!$C$10=0,0,MAX(0,Inputs!$B$20*Inputs!$B$23*$B$329-Inputs!$B$21)/Source_Data!$C$10)</f>
        <v>0</v>
      </c>
      <c r="AR337" s="33" t="n">
        <f aca="false">Source_Data!AR$9+Source_Data!AR$10*IF(Source_Data!$C$10=0,0,MAX(0,Inputs!$B$20*Inputs!$B$23*$B$329-Inputs!$B$21)/Source_Data!$C$10)</f>
        <v>0</v>
      </c>
      <c r="AS337" s="33" t="n">
        <f aca="false">Source_Data!AS$9+Source_Data!AS$10*IF(Source_Data!$C$10=0,0,MAX(0,Inputs!$B$20*Inputs!$B$23*$B$329-Inputs!$B$21)/Source_Data!$C$10)</f>
        <v>0</v>
      </c>
      <c r="AT337" s="33" t="n">
        <f aca="false">Source_Data!AT$9+Source_Data!AT$10*IF(Source_Data!$C$10=0,0,MAX(0,Inputs!$B$20*Inputs!$B$23*$B$329-Inputs!$B$21)/Source_Data!$C$10)</f>
        <v>0</v>
      </c>
      <c r="AU337" s="33" t="n">
        <f aca="false">Source_Data!AU$9+Source_Data!AU$10*IF(Source_Data!$C$10=0,0,MAX(0,Inputs!$B$20*Inputs!$B$23*$B$329-Inputs!$B$21)/Source_Data!$C$10)</f>
        <v>0</v>
      </c>
      <c r="AV337" s="33" t="n">
        <f aca="false">Source_Data!AV$9+Source_Data!AV$10*IF(Source_Data!$C$10=0,0,MAX(0,Inputs!$B$20*Inputs!$B$23*$B$329-Inputs!$B$21)/Source_Data!$C$10)</f>
        <v>0</v>
      </c>
      <c r="AW337" s="33" t="n">
        <f aca="false">Source_Data!AW$9+Source_Data!AW$10*IF(Source_Data!$C$10=0,0,MAX(0,Inputs!$B$20*Inputs!$B$23*$B$329-Inputs!$B$21)/Source_Data!$C$10)</f>
        <v>0</v>
      </c>
      <c r="AX337" s="33" t="n">
        <f aca="false">Source_Data!AX$9+Source_Data!AX$10*IF(Source_Data!$C$10=0,0,MAX(0,Inputs!$B$20*Inputs!$B$23*$B$329-Inputs!$B$21)/Source_Data!$C$10)</f>
        <v>0</v>
      </c>
      <c r="AY337" s="33" t="n">
        <f aca="false">Source_Data!AY$9+Source_Data!AY$10*IF(Source_Data!$C$10=0,0,MAX(0,Inputs!$B$20*Inputs!$B$23*$B$329-Inputs!$B$21)/Source_Data!$C$10)</f>
        <v>0</v>
      </c>
      <c r="AZ337" s="33" t="n">
        <f aca="false">Source_Data!AZ$9+Source_Data!AZ$10*IF(Source_Data!$C$10=0,0,MAX(0,Inputs!$B$20*Inputs!$B$23*$B$329-Inputs!$B$21)/Source_Data!$C$10)</f>
        <v>0</v>
      </c>
      <c r="BA337" s="33" t="n">
        <f aca="false">Source_Data!BA$9+Source_Data!BA$10*IF(Source_Data!$C$10=0,0,MAX(0,Inputs!$B$20*Inputs!$B$23*$B$329-Inputs!$B$21)/Source_Data!$C$10)</f>
        <v>0</v>
      </c>
      <c r="BB337" s="33" t="n">
        <f aca="false">Source_Data!BB$9+Source_Data!BB$10*IF(Source_Data!$C$10=0,0,MAX(0,Inputs!$B$20*Inputs!$B$23*$B$329-Inputs!$B$21)/Source_Data!$C$10)</f>
        <v>0</v>
      </c>
      <c r="BC337" s="33" t="n">
        <f aca="false">Source_Data!BC$9+Source_Data!BC$10*IF(Source_Data!$C$10=0,0,MAX(0,Inputs!$B$20*Inputs!$B$23*$B$329-Inputs!$B$21)/Source_Data!$C$10)</f>
        <v>0</v>
      </c>
      <c r="BD337" s="33" t="n">
        <f aca="false">Source_Data!BD$9+Source_Data!BD$10*IF(Source_Data!$C$10=0,0,MAX(0,Inputs!$B$20*Inputs!$B$23*$B$329-Inputs!$B$21)/Source_Data!$C$10)</f>
        <v>0</v>
      </c>
      <c r="BE337" s="33" t="n">
        <f aca="false">Source_Data!BE$9+Source_Data!BE$10*IF(Source_Data!$C$10=0,0,MAX(0,Inputs!$B$20*Inputs!$B$23*$B$329-Inputs!$B$21)/Source_Data!$C$10)</f>
        <v>0</v>
      </c>
      <c r="BF337" s="33" t="n">
        <f aca="false">Source_Data!BF$9+Source_Data!BF$10*IF(Source_Data!$C$10=0,0,MAX(0,Inputs!$B$20*Inputs!$B$23*$B$329-Inputs!$B$21)/Source_Data!$C$10)</f>
        <v>0</v>
      </c>
      <c r="BG337" s="33" t="n">
        <f aca="false">Source_Data!BG$9+Source_Data!BG$10*IF(Source_Data!$C$10=0,0,MAX(0,Inputs!$B$20*Inputs!$B$23*$B$329-Inputs!$B$21)/Source_Data!$C$10)</f>
        <v>0</v>
      </c>
      <c r="BH337" s="33" t="n">
        <f aca="false">Source_Data!BH$9+Source_Data!BH$10*IF(Source_Data!$C$10=0,0,MAX(0,Inputs!$B$20*Inputs!$B$23*$B$329-Inputs!$B$21)/Source_Data!$C$10)</f>
        <v>0</v>
      </c>
      <c r="BI337" s="33" t="n">
        <f aca="false">Source_Data!BI$9+Source_Data!BI$10*IF(Source_Data!$C$10=0,0,MAX(0,Inputs!$B$20*Inputs!$B$23*$B$329-Inputs!$B$21)/Source_Data!$C$10)</f>
        <v>0</v>
      </c>
      <c r="BJ337" s="33" t="n">
        <f aca="false">Source_Data!BJ$9+Source_Data!BJ$10*IF(Source_Data!$C$10=0,0,MAX(0,Inputs!$B$20*Inputs!$B$23*$B$329-Inputs!$B$21)/Source_Data!$C$10)</f>
        <v>0</v>
      </c>
      <c r="BK337" s="33" t="n">
        <f aca="false">Source_Data!BK$9+Source_Data!BK$10*IF(Source_Data!$C$10=0,0,MAX(0,Inputs!$B$20*Inputs!$B$23*$B$329-Inputs!$B$21)/Source_Data!$C$10)</f>
        <v>0</v>
      </c>
    </row>
    <row r="338" customFormat="false" ht="15" hidden="false" customHeight="false" outlineLevel="0" collapsed="false">
      <c r="A338" s="3" t="s">
        <v>196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198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217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218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219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341</v>
      </c>
      <c r="D343" s="33" t="n">
        <f aca="false">IF(Source_Data!D$6=Inputs!$B$13,-Inputs!$B$7,0)+IF(AND(Source_Data!D$6&gt;=$B$334,Source_Data!D$6&lt;$B$334+3*Inputs!$B$17,MOD(Source_Data!D$6-$B$334,3)=0),Inputs!$B$8*Inputs!$B$7*Inputs!$B$35*$B$329*(1-Inputs!$B$16)/Inputs!$B$17,0)</f>
        <v>-75</v>
      </c>
      <c r="E343" s="33" t="n">
        <f aca="false">IF(Source_Data!E$6=Inputs!$B$13,-Inputs!$B$7,0)+IF(AND(Source_Data!E$6&gt;=$B$334,Source_Data!E$6&lt;$B$334+3*Inputs!$B$17,MOD(Source_Data!E$6-$B$334,3)=0),Inputs!$B$8*Inputs!$B$7*Inputs!$B$35*$B$329*(1-Inputs!$B$16)/Inputs!$B$17,0)</f>
        <v>0</v>
      </c>
      <c r="F343" s="33" t="n">
        <f aca="false">IF(Source_Data!F$6=Inputs!$B$13,-Inputs!$B$7,0)+IF(AND(Source_Data!F$6&gt;=$B$334,Source_Data!F$6&lt;$B$334+3*Inputs!$B$17,MOD(Source_Data!F$6-$B$334,3)=0),Inputs!$B$8*Inputs!$B$7*Inputs!$B$35*$B$329*(1-Inputs!$B$16)/Inputs!$B$17,0)</f>
        <v>0</v>
      </c>
      <c r="G343" s="33" t="n">
        <f aca="false">IF(Source_Data!G$6=Inputs!$B$13,-Inputs!$B$7,0)+IF(AND(Source_Data!G$6&gt;=$B$334,Source_Data!G$6&lt;$B$334+3*Inputs!$B$17,MOD(Source_Data!G$6-$B$334,3)=0),Inputs!$B$8*Inputs!$B$7*Inputs!$B$35*$B$329*(1-Inputs!$B$16)/Inputs!$B$17,0)</f>
        <v>0</v>
      </c>
      <c r="H343" s="33" t="n">
        <f aca="false">IF(Source_Data!H$6=Inputs!$B$13,-Inputs!$B$7,0)+IF(AND(Source_Data!H$6&gt;=$B$334,Source_Data!H$6&lt;$B$334+3*Inputs!$B$17,MOD(Source_Data!H$6-$B$334,3)=0),Inputs!$B$8*Inputs!$B$7*Inputs!$B$35*$B$329*(1-Inputs!$B$16)/Inputs!$B$17,0)</f>
        <v>0</v>
      </c>
      <c r="I343" s="33" t="n">
        <f aca="false">IF(Source_Data!I$6=Inputs!$B$13,-Inputs!$B$7,0)+IF(AND(Source_Data!I$6&gt;=$B$334,Source_Data!I$6&lt;$B$334+3*Inputs!$B$17,MOD(Source_Data!I$6-$B$334,3)=0),Inputs!$B$8*Inputs!$B$7*Inputs!$B$35*$B$329*(1-Inputs!$B$16)/Inputs!$B$17,0)</f>
        <v>0</v>
      </c>
      <c r="J343" s="33" t="n">
        <f aca="false">IF(Source_Data!J$6=Inputs!$B$13,-Inputs!$B$7,0)+IF(AND(Source_Data!J$6&gt;=$B$334,Source_Data!J$6&lt;$B$334+3*Inputs!$B$17,MOD(Source_Data!J$6-$B$334,3)=0),Inputs!$B$8*Inputs!$B$7*Inputs!$B$35*$B$329*(1-Inputs!$B$16)/Inputs!$B$17,0)</f>
        <v>0</v>
      </c>
      <c r="K343" s="33" t="n">
        <f aca="false">IF(Source_Data!K$6=Inputs!$B$13,-Inputs!$B$7,0)+IF(AND(Source_Data!K$6&gt;=$B$334,Source_Data!K$6&lt;$B$334+3*Inputs!$B$17,MOD(Source_Data!K$6-$B$334,3)=0),Inputs!$B$8*Inputs!$B$7*Inputs!$B$35*$B$329*(1-Inputs!$B$16)/Inputs!$B$17,0)</f>
        <v>0</v>
      </c>
      <c r="L343" s="33" t="n">
        <f aca="false">IF(Source_Data!L$6=Inputs!$B$13,-Inputs!$B$7,0)+IF(AND(Source_Data!L$6&gt;=$B$334,Source_Data!L$6&lt;$B$334+3*Inputs!$B$17,MOD(Source_Data!L$6-$B$334,3)=0),Inputs!$B$8*Inputs!$B$7*Inputs!$B$35*$B$329*(1-Inputs!$B$16)/Inputs!$B$17,0)</f>
        <v>0</v>
      </c>
      <c r="M343" s="33" t="n">
        <f aca="false">IF(Source_Data!M$6=Inputs!$B$13,-Inputs!$B$7,0)+IF(AND(Source_Data!M$6&gt;=$B$334,Source_Data!M$6&lt;$B$334+3*Inputs!$B$17,MOD(Source_Data!M$6-$B$334,3)=0),Inputs!$B$8*Inputs!$B$7*Inputs!$B$35*$B$329*(1-Inputs!$B$16)/Inputs!$B$17,0)</f>
        <v>0</v>
      </c>
      <c r="N343" s="33" t="n">
        <f aca="false">IF(Source_Data!N$6=Inputs!$B$13,-Inputs!$B$7,0)+IF(AND(Source_Data!N$6&gt;=$B$334,Source_Data!N$6&lt;$B$334+3*Inputs!$B$17,MOD(Source_Data!N$6-$B$334,3)=0),Inputs!$B$8*Inputs!$B$7*Inputs!$B$35*$B$329*(1-Inputs!$B$16)/Inputs!$B$17,0)</f>
        <v>0</v>
      </c>
      <c r="O343" s="33" t="n">
        <f aca="false">IF(Source_Data!O$6=Inputs!$B$13,-Inputs!$B$7,0)+IF(AND(Source_Data!O$6&gt;=$B$334,Source_Data!O$6&lt;$B$334+3*Inputs!$B$17,MOD(Source_Data!O$6-$B$334,3)=0),Inputs!$B$8*Inputs!$B$7*Inputs!$B$35*$B$329*(1-Inputs!$B$16)/Inputs!$B$17,0)</f>
        <v>0</v>
      </c>
      <c r="P343" s="33" t="n">
        <f aca="false">IF(Source_Data!P$6=Inputs!$B$13,-Inputs!$B$7,0)+IF(AND(Source_Data!P$6&gt;=$B$334,Source_Data!P$6&lt;$B$334+3*Inputs!$B$17,MOD(Source_Data!P$6-$B$334,3)=0),Inputs!$B$8*Inputs!$B$7*Inputs!$B$35*$B$329*(1-Inputs!$B$16)/Inputs!$B$17,0)</f>
        <v>0</v>
      </c>
      <c r="Q343" s="33" t="n">
        <f aca="false">IF(Source_Data!Q$6=Inputs!$B$13,-Inputs!$B$7,0)+IF(AND(Source_Data!Q$6&gt;=$B$334,Source_Data!Q$6&lt;$B$334+3*Inputs!$B$17,MOD(Source_Data!Q$6-$B$334,3)=0),Inputs!$B$8*Inputs!$B$7*Inputs!$B$35*$B$329*(1-Inputs!$B$16)/Inputs!$B$17,0)</f>
        <v>0</v>
      </c>
      <c r="R343" s="33" t="n">
        <f aca="false">IF(Source_Data!R$6=Inputs!$B$13,-Inputs!$B$7,0)+IF(AND(Source_Data!R$6&gt;=$B$334,Source_Data!R$6&lt;$B$334+3*Inputs!$B$17,MOD(Source_Data!R$6-$B$334,3)=0),Inputs!$B$8*Inputs!$B$7*Inputs!$B$35*$B$329*(1-Inputs!$B$16)/Inputs!$B$17,0)</f>
        <v>0</v>
      </c>
      <c r="S343" s="33" t="n">
        <f aca="false">IF(Source_Data!S$6=Inputs!$B$13,-Inputs!$B$7,0)+IF(AND(Source_Data!S$6&gt;=$B$334,Source_Data!S$6&lt;$B$334+3*Inputs!$B$17,MOD(Source_Data!S$6-$B$334,3)=0),Inputs!$B$8*Inputs!$B$7*Inputs!$B$35*$B$329*(1-Inputs!$B$16)/Inputs!$B$17,0)</f>
        <v>0</v>
      </c>
      <c r="T343" s="33" t="n">
        <f aca="false">IF(Source_Data!T$6=Inputs!$B$13,-Inputs!$B$7,0)+IF(AND(Source_Data!T$6&gt;=$B$334,Source_Data!T$6&lt;$B$334+3*Inputs!$B$17,MOD(Source_Data!T$6-$B$334,3)=0),Inputs!$B$8*Inputs!$B$7*Inputs!$B$35*$B$329*(1-Inputs!$B$16)/Inputs!$B$17,0)</f>
        <v>52.1505376344086</v>
      </c>
      <c r="U343" s="33" t="n">
        <f aca="false">IF(Source_Data!U$6=Inputs!$B$13,-Inputs!$B$7,0)+IF(AND(Source_Data!U$6&gt;=$B$334,Source_Data!U$6&lt;$B$334+3*Inputs!$B$17,MOD(Source_Data!U$6-$B$334,3)=0),Inputs!$B$8*Inputs!$B$7*Inputs!$B$35*$B$329*(1-Inputs!$B$16)/Inputs!$B$17,0)</f>
        <v>52.1505376344086</v>
      </c>
      <c r="V343" s="33" t="n">
        <f aca="false">IF(Source_Data!V$6=Inputs!$B$13,-Inputs!$B$7,0)+IF(AND(Source_Data!V$6&gt;=$B$334,Source_Data!V$6&lt;$B$334+3*Inputs!$B$17,MOD(Source_Data!V$6-$B$334,3)=0),Inputs!$B$8*Inputs!$B$7*Inputs!$B$35*$B$329*(1-Inputs!$B$16)/Inputs!$B$17,0)</f>
        <v>52.1505376344086</v>
      </c>
      <c r="W343" s="33" t="n">
        <f aca="false">IF(Source_Data!W$6=Inputs!$B$13,-Inputs!$B$7,0)+IF(AND(Source_Data!W$6&gt;=$B$334,Source_Data!W$6&lt;$B$334+3*Inputs!$B$17,MOD(Source_Data!W$6-$B$334,3)=0),Inputs!$B$8*Inputs!$B$7*Inputs!$B$35*$B$329*(1-Inputs!$B$16)/Inputs!$B$17,0)</f>
        <v>52.1505376344086</v>
      </c>
      <c r="X343" s="33" t="n">
        <f aca="false">IF(Source_Data!X$6=Inputs!$B$13,-Inputs!$B$7,0)+IF(AND(Source_Data!X$6&gt;=$B$334,Source_Data!X$6&lt;$B$334+3*Inputs!$B$17,MOD(Source_Data!X$6-$B$334,3)=0),Inputs!$B$8*Inputs!$B$7*Inputs!$B$35*$B$329*(1-Inputs!$B$16)/Inputs!$B$17,0)</f>
        <v>0</v>
      </c>
      <c r="Y343" s="33" t="n">
        <f aca="false">IF(Source_Data!Y$6=Inputs!$B$13,-Inputs!$B$7,0)+IF(AND(Source_Data!Y$6&gt;=$B$334,Source_Data!Y$6&lt;$B$334+3*Inputs!$B$17,MOD(Source_Data!Y$6-$B$334,3)=0),Inputs!$B$8*Inputs!$B$7*Inputs!$B$35*$B$329*(1-Inputs!$B$16)/Inputs!$B$17,0)</f>
        <v>0</v>
      </c>
      <c r="Z343" s="33" t="n">
        <f aca="false">IF(Source_Data!Z$6=Inputs!$B$13,-Inputs!$B$7,0)+IF(AND(Source_Data!Z$6&gt;=$B$334,Source_Data!Z$6&lt;$B$334+3*Inputs!$B$17,MOD(Source_Data!Z$6-$B$334,3)=0),Inputs!$B$8*Inputs!$B$7*Inputs!$B$35*$B$329*(1-Inputs!$B$16)/Inputs!$B$17,0)</f>
        <v>0</v>
      </c>
      <c r="AA343" s="33" t="n">
        <f aca="false">IF(Source_Data!AA$6=Inputs!$B$13,-Inputs!$B$7,0)+IF(AND(Source_Data!AA$6&gt;=$B$334,Source_Data!AA$6&lt;$B$334+3*Inputs!$B$17,MOD(Source_Data!AA$6-$B$334,3)=0),Inputs!$B$8*Inputs!$B$7*Inputs!$B$35*$B$329*(1-Inputs!$B$16)/Inputs!$B$17,0)</f>
        <v>0</v>
      </c>
      <c r="AB343" s="33" t="n">
        <f aca="false">IF(Source_Data!AB$6=Inputs!$B$13,-Inputs!$B$7,0)+IF(AND(Source_Data!AB$6&gt;=$B$334,Source_Data!AB$6&lt;$B$334+3*Inputs!$B$17,MOD(Source_Data!AB$6-$B$334,3)=0),Inputs!$B$8*Inputs!$B$7*Inputs!$B$35*$B$329*(1-Inputs!$B$16)/Inputs!$B$17,0)</f>
        <v>0</v>
      </c>
      <c r="AC343" s="33" t="n">
        <f aca="false">IF(Source_Data!AC$6=Inputs!$B$13,-Inputs!$B$7,0)+IF(AND(Source_Data!AC$6&gt;=$B$334,Source_Data!AC$6&lt;$B$334+3*Inputs!$B$17,MOD(Source_Data!AC$6-$B$334,3)=0),Inputs!$B$8*Inputs!$B$7*Inputs!$B$35*$B$329*(1-Inputs!$B$16)/Inputs!$B$17,0)</f>
        <v>0</v>
      </c>
      <c r="AD343" s="33" t="n">
        <f aca="false">IF(Source_Data!AD$6=Inputs!$B$13,-Inputs!$B$7,0)+IF(AND(Source_Data!AD$6&gt;=$B$334,Source_Data!AD$6&lt;$B$334+3*Inputs!$B$17,MOD(Source_Data!AD$6-$B$334,3)=0),Inputs!$B$8*Inputs!$B$7*Inputs!$B$35*$B$329*(1-Inputs!$B$16)/Inputs!$B$17,0)</f>
        <v>0</v>
      </c>
      <c r="AE343" s="33" t="n">
        <f aca="false">IF(Source_Data!AE$6=Inputs!$B$13,-Inputs!$B$7,0)+IF(AND(Source_Data!AE$6&gt;=$B$334,Source_Data!AE$6&lt;$B$334+3*Inputs!$B$17,MOD(Source_Data!AE$6-$B$334,3)=0),Inputs!$B$8*Inputs!$B$7*Inputs!$B$35*$B$329*(1-Inputs!$B$16)/Inputs!$B$17,0)</f>
        <v>0</v>
      </c>
      <c r="AF343" s="33" t="n">
        <f aca="false">IF(Source_Data!AF$6=Inputs!$B$13,-Inputs!$B$7,0)+IF(AND(Source_Data!AF$6&gt;=$B$334,Source_Data!AF$6&lt;$B$334+3*Inputs!$B$17,MOD(Source_Data!AF$6-$B$334,3)=0),Inputs!$B$8*Inputs!$B$7*Inputs!$B$35*$B$329*(1-Inputs!$B$16)/Inputs!$B$17,0)</f>
        <v>0</v>
      </c>
      <c r="AG343" s="33" t="n">
        <f aca="false">IF(Source_Data!AG$6=Inputs!$B$13,-Inputs!$B$7,0)+IF(AND(Source_Data!AG$6&gt;=$B$334,Source_Data!AG$6&lt;$B$334+3*Inputs!$B$17,MOD(Source_Data!AG$6-$B$334,3)=0),Inputs!$B$8*Inputs!$B$7*Inputs!$B$35*$B$329*(1-Inputs!$B$16)/Inputs!$B$17,0)</f>
        <v>0</v>
      </c>
      <c r="AH343" s="33" t="n">
        <f aca="false">IF(Source_Data!AH$6=Inputs!$B$13,-Inputs!$B$7,0)+IF(AND(Source_Data!AH$6&gt;=$B$334,Source_Data!AH$6&lt;$B$334+3*Inputs!$B$17,MOD(Source_Data!AH$6-$B$334,3)=0),Inputs!$B$8*Inputs!$B$7*Inputs!$B$35*$B$329*(1-Inputs!$B$16)/Inputs!$B$17,0)</f>
        <v>0</v>
      </c>
      <c r="AI343" s="33" t="n">
        <f aca="false">IF(Source_Data!AI$6=Inputs!$B$13,-Inputs!$B$7,0)+IF(AND(Source_Data!AI$6&gt;=$B$334,Source_Data!AI$6&lt;$B$334+3*Inputs!$B$17,MOD(Source_Data!AI$6-$B$334,3)=0),Inputs!$B$8*Inputs!$B$7*Inputs!$B$35*$B$329*(1-Inputs!$B$16)/Inputs!$B$17,0)</f>
        <v>0</v>
      </c>
      <c r="AJ343" s="33" t="n">
        <f aca="false">IF(Source_Data!AJ$6=Inputs!$B$13,-Inputs!$B$7,0)+IF(AND(Source_Data!AJ$6&gt;=$B$334,Source_Data!AJ$6&lt;$B$334+3*Inputs!$B$17,MOD(Source_Data!AJ$6-$B$334,3)=0),Inputs!$B$8*Inputs!$B$7*Inputs!$B$35*$B$329*(1-Inputs!$B$16)/Inputs!$B$17,0)</f>
        <v>0</v>
      </c>
      <c r="AK343" s="33" t="n">
        <f aca="false">IF(Source_Data!AK$6=Inputs!$B$13,-Inputs!$B$7,0)+IF(AND(Source_Data!AK$6&gt;=$B$334,Source_Data!AK$6&lt;$B$334+3*Inputs!$B$17,MOD(Source_Data!AK$6-$B$334,3)=0),Inputs!$B$8*Inputs!$B$7*Inputs!$B$35*$B$329*(1-Inputs!$B$16)/Inputs!$B$17,0)</f>
        <v>0</v>
      </c>
      <c r="AL343" s="33" t="n">
        <f aca="false">IF(Source_Data!AL$6=Inputs!$B$13,-Inputs!$B$7,0)+IF(AND(Source_Data!AL$6&gt;=$B$334,Source_Data!AL$6&lt;$B$334+3*Inputs!$B$17,MOD(Source_Data!AL$6-$B$334,3)=0),Inputs!$B$8*Inputs!$B$7*Inputs!$B$35*$B$329*(1-Inputs!$B$16)/Inputs!$B$17,0)</f>
        <v>0</v>
      </c>
      <c r="AM343" s="33" t="n">
        <f aca="false">IF(Source_Data!AM$6=Inputs!$B$13,-Inputs!$B$7,0)+IF(AND(Source_Data!AM$6&gt;=$B$334,Source_Data!AM$6&lt;$B$334+3*Inputs!$B$17,MOD(Source_Data!AM$6-$B$334,3)=0),Inputs!$B$8*Inputs!$B$7*Inputs!$B$35*$B$329*(1-Inputs!$B$16)/Inputs!$B$17,0)</f>
        <v>0</v>
      </c>
      <c r="AN343" s="33" t="n">
        <f aca="false">IF(Source_Data!AN$6=Inputs!$B$13,-Inputs!$B$7,0)+IF(AND(Source_Data!AN$6&gt;=$B$334,Source_Data!AN$6&lt;$B$334+3*Inputs!$B$17,MOD(Source_Data!AN$6-$B$334,3)=0),Inputs!$B$8*Inputs!$B$7*Inputs!$B$35*$B$329*(1-Inputs!$B$16)/Inputs!$B$17,0)</f>
        <v>0</v>
      </c>
      <c r="AO343" s="33" t="n">
        <f aca="false">IF(Source_Data!AO$6=Inputs!$B$13,-Inputs!$B$7,0)+IF(AND(Source_Data!AO$6&gt;=$B$334,Source_Data!AO$6&lt;$B$334+3*Inputs!$B$17,MOD(Source_Data!AO$6-$B$334,3)=0),Inputs!$B$8*Inputs!$B$7*Inputs!$B$35*$B$329*(1-Inputs!$B$16)/Inputs!$B$17,0)</f>
        <v>0</v>
      </c>
      <c r="AP343" s="33" t="n">
        <f aca="false">IF(Source_Data!AP$6=Inputs!$B$13,-Inputs!$B$7,0)+IF(AND(Source_Data!AP$6&gt;=$B$334,Source_Data!AP$6&lt;$B$334+3*Inputs!$B$17,MOD(Source_Data!AP$6-$B$334,3)=0),Inputs!$B$8*Inputs!$B$7*Inputs!$B$35*$B$329*(1-Inputs!$B$16)/Inputs!$B$17,0)</f>
        <v>0</v>
      </c>
      <c r="AQ343" s="33" t="n">
        <f aca="false">IF(Source_Data!AQ$6=Inputs!$B$13,-Inputs!$B$7,0)+IF(AND(Source_Data!AQ$6&gt;=$B$334,Source_Data!AQ$6&lt;$B$334+3*Inputs!$B$17,MOD(Source_Data!AQ$6-$B$334,3)=0),Inputs!$B$8*Inputs!$B$7*Inputs!$B$35*$B$329*(1-Inputs!$B$16)/Inputs!$B$17,0)</f>
        <v>0</v>
      </c>
      <c r="AR343" s="33" t="n">
        <f aca="false">IF(Source_Data!AR$6=Inputs!$B$13,-Inputs!$B$7,0)+IF(AND(Source_Data!AR$6&gt;=$B$334,Source_Data!AR$6&lt;$B$334+3*Inputs!$B$17,MOD(Source_Data!AR$6-$B$334,3)=0),Inputs!$B$8*Inputs!$B$7*Inputs!$B$35*$B$329*(1-Inputs!$B$16)/Inputs!$B$17,0)</f>
        <v>0</v>
      </c>
      <c r="AS343" s="33" t="n">
        <f aca="false">IF(Source_Data!AS$6=Inputs!$B$13,-Inputs!$B$7,0)+IF(AND(Source_Data!AS$6&gt;=$B$334,Source_Data!AS$6&lt;$B$334+3*Inputs!$B$17,MOD(Source_Data!AS$6-$B$334,3)=0),Inputs!$B$8*Inputs!$B$7*Inputs!$B$35*$B$329*(1-Inputs!$B$16)/Inputs!$B$17,0)</f>
        <v>0</v>
      </c>
      <c r="AT343" s="33" t="n">
        <f aca="false">IF(Source_Data!AT$6=Inputs!$B$13,-Inputs!$B$7,0)+IF(AND(Source_Data!AT$6&gt;=$B$334,Source_Data!AT$6&lt;$B$334+3*Inputs!$B$17,MOD(Source_Data!AT$6-$B$334,3)=0),Inputs!$B$8*Inputs!$B$7*Inputs!$B$35*$B$329*(1-Inputs!$B$16)/Inputs!$B$17,0)</f>
        <v>0</v>
      </c>
      <c r="AU343" s="33" t="n">
        <f aca="false">IF(Source_Data!AU$6=Inputs!$B$13,-Inputs!$B$7,0)+IF(AND(Source_Data!AU$6&gt;=$B$334,Source_Data!AU$6&lt;$B$334+3*Inputs!$B$17,MOD(Source_Data!AU$6-$B$334,3)=0),Inputs!$B$8*Inputs!$B$7*Inputs!$B$35*$B$329*(1-Inputs!$B$16)/Inputs!$B$17,0)</f>
        <v>0</v>
      </c>
      <c r="AV343" s="33" t="n">
        <f aca="false">IF(Source_Data!AV$6=Inputs!$B$13,-Inputs!$B$7,0)+IF(AND(Source_Data!AV$6&gt;=$B$334,Source_Data!AV$6&lt;$B$334+3*Inputs!$B$17,MOD(Source_Data!AV$6-$B$334,3)=0),Inputs!$B$8*Inputs!$B$7*Inputs!$B$35*$B$329*(1-Inputs!$B$16)/Inputs!$B$17,0)</f>
        <v>0</v>
      </c>
      <c r="AW343" s="33" t="n">
        <f aca="false">IF(Source_Data!AW$6=Inputs!$B$13,-Inputs!$B$7,0)+IF(AND(Source_Data!AW$6&gt;=$B$334,Source_Data!AW$6&lt;$B$334+3*Inputs!$B$17,MOD(Source_Data!AW$6-$B$334,3)=0),Inputs!$B$8*Inputs!$B$7*Inputs!$B$35*$B$329*(1-Inputs!$B$16)/Inputs!$B$17,0)</f>
        <v>0</v>
      </c>
      <c r="AX343" s="33" t="n">
        <f aca="false">IF(Source_Data!AX$6=Inputs!$B$13,-Inputs!$B$7,0)+IF(AND(Source_Data!AX$6&gt;=$B$334,Source_Data!AX$6&lt;$B$334+3*Inputs!$B$17,MOD(Source_Data!AX$6-$B$334,3)=0),Inputs!$B$8*Inputs!$B$7*Inputs!$B$35*$B$329*(1-Inputs!$B$16)/Inputs!$B$17,0)</f>
        <v>0</v>
      </c>
      <c r="AY343" s="33" t="n">
        <f aca="false">IF(Source_Data!AY$6=Inputs!$B$13,-Inputs!$B$7,0)+IF(AND(Source_Data!AY$6&gt;=$B$334,Source_Data!AY$6&lt;$B$334+3*Inputs!$B$17,MOD(Source_Data!AY$6-$B$334,3)=0),Inputs!$B$8*Inputs!$B$7*Inputs!$B$35*$B$329*(1-Inputs!$B$16)/Inputs!$B$17,0)</f>
        <v>0</v>
      </c>
      <c r="AZ343" s="33" t="n">
        <f aca="false">IF(Source_Data!AZ$6=Inputs!$B$13,-Inputs!$B$7,0)+IF(AND(Source_Data!AZ$6&gt;=$B$334,Source_Data!AZ$6&lt;$B$334+3*Inputs!$B$17,MOD(Source_Data!AZ$6-$B$334,3)=0),Inputs!$B$8*Inputs!$B$7*Inputs!$B$35*$B$329*(1-Inputs!$B$16)/Inputs!$B$17,0)</f>
        <v>0</v>
      </c>
      <c r="BA343" s="33" t="n">
        <f aca="false">IF(Source_Data!BA$6=Inputs!$B$13,-Inputs!$B$7,0)+IF(AND(Source_Data!BA$6&gt;=$B$334,Source_Data!BA$6&lt;$B$334+3*Inputs!$B$17,MOD(Source_Data!BA$6-$B$334,3)=0),Inputs!$B$8*Inputs!$B$7*Inputs!$B$35*$B$329*(1-Inputs!$B$16)/Inputs!$B$17,0)</f>
        <v>0</v>
      </c>
      <c r="BB343" s="33" t="n">
        <f aca="false">IF(Source_Data!BB$6=Inputs!$B$13,-Inputs!$B$7,0)+IF(AND(Source_Data!BB$6&gt;=$B$334,Source_Data!BB$6&lt;$B$334+3*Inputs!$B$17,MOD(Source_Data!BB$6-$B$334,3)=0),Inputs!$B$8*Inputs!$B$7*Inputs!$B$35*$B$329*(1-Inputs!$B$16)/Inputs!$B$17,0)</f>
        <v>0</v>
      </c>
      <c r="BC343" s="33" t="n">
        <f aca="false">IF(Source_Data!BC$6=Inputs!$B$13,-Inputs!$B$7,0)+IF(AND(Source_Data!BC$6&gt;=$B$334,Source_Data!BC$6&lt;$B$334+3*Inputs!$B$17,MOD(Source_Data!BC$6-$B$334,3)=0),Inputs!$B$8*Inputs!$B$7*Inputs!$B$35*$B$329*(1-Inputs!$B$16)/Inputs!$B$17,0)</f>
        <v>0</v>
      </c>
      <c r="BD343" s="33" t="n">
        <f aca="false">IF(Source_Data!BD$6=Inputs!$B$13,-Inputs!$B$7,0)+IF(AND(Source_Data!BD$6&gt;=$B$334,Source_Data!BD$6&lt;$B$334+3*Inputs!$B$17,MOD(Source_Data!BD$6-$B$334,3)=0),Inputs!$B$8*Inputs!$B$7*Inputs!$B$35*$B$329*(1-Inputs!$B$16)/Inputs!$B$17,0)</f>
        <v>0</v>
      </c>
      <c r="BE343" s="33" t="n">
        <f aca="false">IF(Source_Data!BE$6=Inputs!$B$13,-Inputs!$B$7,0)+IF(AND(Source_Data!BE$6&gt;=$B$334,Source_Data!BE$6&lt;$B$334+3*Inputs!$B$17,MOD(Source_Data!BE$6-$B$334,3)=0),Inputs!$B$8*Inputs!$B$7*Inputs!$B$35*$B$329*(1-Inputs!$B$16)/Inputs!$B$17,0)</f>
        <v>0</v>
      </c>
      <c r="BF343" s="33" t="n">
        <f aca="false">IF(Source_Data!BF$6=Inputs!$B$13,-Inputs!$B$7,0)+IF(AND(Source_Data!BF$6&gt;=$B$334,Source_Data!BF$6&lt;$B$334+3*Inputs!$B$17,MOD(Source_Data!BF$6-$B$334,3)=0),Inputs!$B$8*Inputs!$B$7*Inputs!$B$35*$B$329*(1-Inputs!$B$16)/Inputs!$B$17,0)</f>
        <v>0</v>
      </c>
      <c r="BG343" s="33" t="n">
        <f aca="false">IF(Source_Data!BG$6=Inputs!$B$13,-Inputs!$B$7,0)+IF(AND(Source_Data!BG$6&gt;=$B$334,Source_Data!BG$6&lt;$B$334+3*Inputs!$B$17,MOD(Source_Data!BG$6-$B$334,3)=0),Inputs!$B$8*Inputs!$B$7*Inputs!$B$35*$B$329*(1-Inputs!$B$16)/Inputs!$B$17,0)</f>
        <v>0</v>
      </c>
      <c r="BH343" s="33" t="n">
        <f aca="false">IF(Source_Data!BH$6=Inputs!$B$13,-Inputs!$B$7,0)+IF(AND(Source_Data!BH$6&gt;=$B$334,Source_Data!BH$6&lt;$B$334+3*Inputs!$B$17,MOD(Source_Data!BH$6-$B$334,3)=0),Inputs!$B$8*Inputs!$B$7*Inputs!$B$35*$B$329*(1-Inputs!$B$16)/Inputs!$B$17,0)</f>
        <v>0</v>
      </c>
      <c r="BI343" s="33" t="n">
        <f aca="false">IF(Source_Data!BI$6=Inputs!$B$13,-Inputs!$B$7,0)+IF(AND(Source_Data!BI$6&gt;=$B$334,Source_Data!BI$6&lt;$B$334+3*Inputs!$B$17,MOD(Source_Data!BI$6-$B$334,3)=0),Inputs!$B$8*Inputs!$B$7*Inputs!$B$35*$B$329*(1-Inputs!$B$16)/Inputs!$B$17,0)</f>
        <v>0</v>
      </c>
      <c r="BJ343" s="33" t="n">
        <f aca="false">IF(Source_Data!BJ$6=Inputs!$B$13,-Inputs!$B$7,0)+IF(AND(Source_Data!BJ$6&gt;=$B$334,Source_Data!BJ$6&lt;$B$334+3*Inputs!$B$17,MOD(Source_Data!BJ$6-$B$334,3)=0),Inputs!$B$8*Inputs!$B$7*Inputs!$B$35*$B$329*(1-Inputs!$B$16)/Inputs!$B$17,0)</f>
        <v>0</v>
      </c>
      <c r="BK343" s="33" t="n">
        <f aca="false">IF(Source_Data!BK$6=Inputs!$B$13,-Inputs!$B$7,0)+IF(AND(Source_Data!BK$6&gt;=$B$334,Source_Data!BK$6&lt;$B$334+3*Inputs!$B$17,MOD(Source_Data!BK$6-$B$334,3)=0),Inputs!$B$8*Inputs!$B$7*Inputs!$B$35*$B$329*(1-Inputs!$B$16)/Inputs!$B$17,0)</f>
        <v>0</v>
      </c>
    </row>
    <row r="344" customFormat="false" ht="15" hidden="false" customHeight="false" outlineLevel="0" collapsed="false">
      <c r="A344" s="3" t="s">
        <v>342</v>
      </c>
      <c r="D344" s="33" t="n">
        <f aca="false">IF(AND(Source_Data!D$6&gt;=Inputs!$B$55,Source_Data!D$6&lt;Inputs!$B$55+3*Inputs!$B$11),Inputs!$B$9*Inputs!$B$7/Inputs!$B$11,0)</f>
        <v>0</v>
      </c>
      <c r="E344" s="33" t="n">
        <f aca="false">IF(AND(Source_Data!E$6&gt;=Inputs!$B$55,Source_Data!E$6&lt;Inputs!$B$55+3*Inputs!$B$11),Inputs!$B$9*Inputs!$B$7/Inputs!$B$11,0)</f>
        <v>0</v>
      </c>
      <c r="F344" s="33" t="n">
        <f aca="false">IF(AND(Source_Data!F$6&gt;=Inputs!$B$55,Source_Data!F$6&lt;Inputs!$B$55+3*Inputs!$B$11),Inputs!$B$9*Inputs!$B$7/Inputs!$B$11,0)</f>
        <v>0</v>
      </c>
      <c r="G344" s="33" t="n">
        <f aca="false">IF(AND(Source_Data!G$6&gt;=Inputs!$B$55,Source_Data!G$6&lt;Inputs!$B$55+3*Inputs!$B$11),Inputs!$B$9*Inputs!$B$7/Inputs!$B$11,0)</f>
        <v>0</v>
      </c>
      <c r="H344" s="33" t="n">
        <f aca="false">IF(AND(Source_Data!H$6&gt;=Inputs!$B$55,Source_Data!H$6&lt;Inputs!$B$55+3*Inputs!$B$11),Inputs!$B$9*Inputs!$B$7/Inputs!$B$11,0)</f>
        <v>0</v>
      </c>
      <c r="I344" s="33" t="n">
        <f aca="false">IF(AND(Source_Data!I$6&gt;=Inputs!$B$55,Source_Data!I$6&lt;Inputs!$B$55+3*Inputs!$B$11),Inputs!$B$9*Inputs!$B$7/Inputs!$B$11,0)</f>
        <v>0</v>
      </c>
      <c r="J344" s="33" t="n">
        <f aca="false">IF(AND(Source_Data!J$6&gt;=Inputs!$B$55,Source_Data!J$6&lt;Inputs!$B$55+3*Inputs!$B$11),Inputs!$B$9*Inputs!$B$7/Inputs!$B$11,0)</f>
        <v>0</v>
      </c>
      <c r="K344" s="33" t="n">
        <f aca="false">IF(AND(Source_Data!K$6&gt;=Inputs!$B$55,Source_Data!K$6&lt;Inputs!$B$55+3*Inputs!$B$11),Inputs!$B$9*Inputs!$B$7/Inputs!$B$11,0)</f>
        <v>0</v>
      </c>
      <c r="L344" s="33" t="n">
        <f aca="false">IF(AND(Source_Data!L$6&gt;=Inputs!$B$55,Source_Data!L$6&lt;Inputs!$B$55+3*Inputs!$B$11),Inputs!$B$9*Inputs!$B$7/Inputs!$B$11,0)</f>
        <v>0</v>
      </c>
      <c r="M344" s="33" t="n">
        <f aca="false">IF(AND(Source_Data!M$6&gt;=Inputs!$B$55,Source_Data!M$6&lt;Inputs!$B$55+3*Inputs!$B$11),Inputs!$B$9*Inputs!$B$7/Inputs!$B$11,0)</f>
        <v>14.375</v>
      </c>
      <c r="N344" s="33" t="n">
        <f aca="false">IF(AND(Source_Data!N$6&gt;=Inputs!$B$55,Source_Data!N$6&lt;Inputs!$B$55+3*Inputs!$B$11),Inputs!$B$9*Inputs!$B$7/Inputs!$B$11,0)</f>
        <v>14.375</v>
      </c>
      <c r="O344" s="33" t="n">
        <f aca="false">IF(AND(Source_Data!O$6&gt;=Inputs!$B$55,Source_Data!O$6&lt;Inputs!$B$55+3*Inputs!$B$11),Inputs!$B$9*Inputs!$B$7/Inputs!$B$11,0)</f>
        <v>14.375</v>
      </c>
      <c r="P344" s="33" t="n">
        <f aca="false">IF(AND(Source_Data!P$6&gt;=Inputs!$B$55,Source_Data!P$6&lt;Inputs!$B$55+3*Inputs!$B$11),Inputs!$B$9*Inputs!$B$7/Inputs!$B$11,0)</f>
        <v>14.375</v>
      </c>
      <c r="Q344" s="33" t="n">
        <f aca="false">IF(AND(Source_Data!Q$6&gt;=Inputs!$B$55,Source_Data!Q$6&lt;Inputs!$B$55+3*Inputs!$B$11),Inputs!$B$9*Inputs!$B$7/Inputs!$B$11,0)</f>
        <v>14.375</v>
      </c>
      <c r="R344" s="33" t="n">
        <f aca="false">IF(AND(Source_Data!R$6&gt;=Inputs!$B$55,Source_Data!R$6&lt;Inputs!$B$55+3*Inputs!$B$11),Inputs!$B$9*Inputs!$B$7/Inputs!$B$11,0)</f>
        <v>14.375</v>
      </c>
      <c r="S344" s="33" t="n">
        <f aca="false">IF(AND(Source_Data!S$6&gt;=Inputs!$B$55,Source_Data!S$6&lt;Inputs!$B$55+3*Inputs!$B$11),Inputs!$B$9*Inputs!$B$7/Inputs!$B$11,0)</f>
        <v>14.375</v>
      </c>
      <c r="T344" s="33" t="n">
        <f aca="false">IF(AND(Source_Data!T$6&gt;=Inputs!$B$55,Source_Data!T$6&lt;Inputs!$B$55+3*Inputs!$B$11),Inputs!$B$9*Inputs!$B$7/Inputs!$B$11,0)</f>
        <v>14.375</v>
      </c>
      <c r="U344" s="33" t="n">
        <f aca="false">IF(AND(Source_Data!U$6&gt;=Inputs!$B$55,Source_Data!U$6&lt;Inputs!$B$55+3*Inputs!$B$11),Inputs!$B$9*Inputs!$B$7/Inputs!$B$11,0)</f>
        <v>14.375</v>
      </c>
      <c r="V344" s="33" t="n">
        <f aca="false">IF(AND(Source_Data!V$6&gt;=Inputs!$B$55,Source_Data!V$6&lt;Inputs!$B$55+3*Inputs!$B$11),Inputs!$B$9*Inputs!$B$7/Inputs!$B$11,0)</f>
        <v>14.375</v>
      </c>
      <c r="W344" s="33" t="n">
        <f aca="false">IF(AND(Source_Data!W$6&gt;=Inputs!$B$55,Source_Data!W$6&lt;Inputs!$B$55+3*Inputs!$B$11),Inputs!$B$9*Inputs!$B$7/Inputs!$B$11,0)</f>
        <v>14.375</v>
      </c>
      <c r="X344" s="33" t="n">
        <f aca="false">IF(AND(Source_Data!X$6&gt;=Inputs!$B$55,Source_Data!X$6&lt;Inputs!$B$55+3*Inputs!$B$11),Inputs!$B$9*Inputs!$B$7/Inputs!$B$11,0)</f>
        <v>14.375</v>
      </c>
      <c r="Y344" s="33" t="n">
        <f aca="false">IF(AND(Source_Data!Y$6&gt;=Inputs!$B$55,Source_Data!Y$6&lt;Inputs!$B$55+3*Inputs!$B$11),Inputs!$B$9*Inputs!$B$7/Inputs!$B$11,0)</f>
        <v>0</v>
      </c>
      <c r="Z344" s="33" t="n">
        <f aca="false">IF(AND(Source_Data!Z$6&gt;=Inputs!$B$55,Source_Data!Z$6&lt;Inputs!$B$55+3*Inputs!$B$11),Inputs!$B$9*Inputs!$B$7/Inputs!$B$11,0)</f>
        <v>0</v>
      </c>
      <c r="AA344" s="33" t="n">
        <f aca="false">IF(AND(Source_Data!AA$6&gt;=Inputs!$B$55,Source_Data!AA$6&lt;Inputs!$B$55+3*Inputs!$B$11),Inputs!$B$9*Inputs!$B$7/Inputs!$B$11,0)</f>
        <v>0</v>
      </c>
      <c r="AB344" s="33" t="n">
        <f aca="false">IF(AND(Source_Data!AB$6&gt;=Inputs!$B$55,Source_Data!AB$6&lt;Inputs!$B$55+3*Inputs!$B$11),Inputs!$B$9*Inputs!$B$7/Inputs!$B$11,0)</f>
        <v>0</v>
      </c>
      <c r="AC344" s="33" t="n">
        <f aca="false">IF(AND(Source_Data!AC$6&gt;=Inputs!$B$55,Source_Data!AC$6&lt;Inputs!$B$55+3*Inputs!$B$11),Inputs!$B$9*Inputs!$B$7/Inputs!$B$11,0)</f>
        <v>0</v>
      </c>
      <c r="AD344" s="33" t="n">
        <f aca="false">IF(AND(Source_Data!AD$6&gt;=Inputs!$B$55,Source_Data!AD$6&lt;Inputs!$B$55+3*Inputs!$B$11),Inputs!$B$9*Inputs!$B$7/Inputs!$B$11,0)</f>
        <v>0</v>
      </c>
      <c r="AE344" s="33" t="n">
        <f aca="false">IF(AND(Source_Data!AE$6&gt;=Inputs!$B$55,Source_Data!AE$6&lt;Inputs!$B$55+3*Inputs!$B$11),Inputs!$B$9*Inputs!$B$7/Inputs!$B$11,0)</f>
        <v>0</v>
      </c>
      <c r="AF344" s="33" t="n">
        <f aca="false">IF(AND(Source_Data!AF$6&gt;=Inputs!$B$55,Source_Data!AF$6&lt;Inputs!$B$55+3*Inputs!$B$11),Inputs!$B$9*Inputs!$B$7/Inputs!$B$11,0)</f>
        <v>0</v>
      </c>
      <c r="AG344" s="33" t="n">
        <f aca="false">IF(AND(Source_Data!AG$6&gt;=Inputs!$B$55,Source_Data!AG$6&lt;Inputs!$B$55+3*Inputs!$B$11),Inputs!$B$9*Inputs!$B$7/Inputs!$B$11,0)</f>
        <v>0</v>
      </c>
      <c r="AH344" s="33" t="n">
        <f aca="false">IF(AND(Source_Data!AH$6&gt;=Inputs!$B$55,Source_Data!AH$6&lt;Inputs!$B$55+3*Inputs!$B$11),Inputs!$B$9*Inputs!$B$7/Inputs!$B$11,0)</f>
        <v>0</v>
      </c>
      <c r="AI344" s="33" t="n">
        <f aca="false">IF(AND(Source_Data!AI$6&gt;=Inputs!$B$55,Source_Data!AI$6&lt;Inputs!$B$55+3*Inputs!$B$11),Inputs!$B$9*Inputs!$B$7/Inputs!$B$11,0)</f>
        <v>0</v>
      </c>
      <c r="AJ344" s="33" t="n">
        <f aca="false">IF(AND(Source_Data!AJ$6&gt;=Inputs!$B$55,Source_Data!AJ$6&lt;Inputs!$B$55+3*Inputs!$B$11),Inputs!$B$9*Inputs!$B$7/Inputs!$B$11,0)</f>
        <v>0</v>
      </c>
      <c r="AK344" s="33" t="n">
        <f aca="false">IF(AND(Source_Data!AK$6&gt;=Inputs!$B$55,Source_Data!AK$6&lt;Inputs!$B$55+3*Inputs!$B$11),Inputs!$B$9*Inputs!$B$7/Inputs!$B$11,0)</f>
        <v>0</v>
      </c>
      <c r="AL344" s="33" t="n">
        <f aca="false">IF(AND(Source_Data!AL$6&gt;=Inputs!$B$55,Source_Data!AL$6&lt;Inputs!$B$55+3*Inputs!$B$11),Inputs!$B$9*Inputs!$B$7/Inputs!$B$11,0)</f>
        <v>0</v>
      </c>
      <c r="AM344" s="33" t="n">
        <f aca="false">IF(AND(Source_Data!AM$6&gt;=Inputs!$B$55,Source_Data!AM$6&lt;Inputs!$B$55+3*Inputs!$B$11),Inputs!$B$9*Inputs!$B$7/Inputs!$B$11,0)</f>
        <v>0</v>
      </c>
      <c r="AN344" s="33" t="n">
        <f aca="false">IF(AND(Source_Data!AN$6&gt;=Inputs!$B$55,Source_Data!AN$6&lt;Inputs!$B$55+3*Inputs!$B$11),Inputs!$B$9*Inputs!$B$7/Inputs!$B$11,0)</f>
        <v>0</v>
      </c>
      <c r="AO344" s="33" t="n">
        <f aca="false">IF(AND(Source_Data!AO$6&gt;=Inputs!$B$55,Source_Data!AO$6&lt;Inputs!$B$55+3*Inputs!$B$11),Inputs!$B$9*Inputs!$B$7/Inputs!$B$11,0)</f>
        <v>0</v>
      </c>
      <c r="AP344" s="33" t="n">
        <f aca="false">IF(AND(Source_Data!AP$6&gt;=Inputs!$B$55,Source_Data!AP$6&lt;Inputs!$B$55+3*Inputs!$B$11),Inputs!$B$9*Inputs!$B$7/Inputs!$B$11,0)</f>
        <v>0</v>
      </c>
      <c r="AQ344" s="33" t="n">
        <f aca="false">IF(AND(Source_Data!AQ$6&gt;=Inputs!$B$55,Source_Data!AQ$6&lt;Inputs!$B$55+3*Inputs!$B$11),Inputs!$B$9*Inputs!$B$7/Inputs!$B$11,0)</f>
        <v>0</v>
      </c>
      <c r="AR344" s="33" t="n">
        <f aca="false">IF(AND(Source_Data!AR$6&gt;=Inputs!$B$55,Source_Data!AR$6&lt;Inputs!$B$55+3*Inputs!$B$11),Inputs!$B$9*Inputs!$B$7/Inputs!$B$11,0)</f>
        <v>0</v>
      </c>
      <c r="AS344" s="33" t="n">
        <f aca="false">IF(AND(Source_Data!AS$6&gt;=Inputs!$B$55,Source_Data!AS$6&lt;Inputs!$B$55+3*Inputs!$B$11),Inputs!$B$9*Inputs!$B$7/Inputs!$B$11,0)</f>
        <v>0</v>
      </c>
      <c r="AT344" s="33" t="n">
        <f aca="false">IF(AND(Source_Data!AT$6&gt;=Inputs!$B$55,Source_Data!AT$6&lt;Inputs!$B$55+3*Inputs!$B$11),Inputs!$B$9*Inputs!$B$7/Inputs!$B$11,0)</f>
        <v>0</v>
      </c>
      <c r="AU344" s="33" t="n">
        <f aca="false">IF(AND(Source_Data!AU$6&gt;=Inputs!$B$55,Source_Data!AU$6&lt;Inputs!$B$55+3*Inputs!$B$11),Inputs!$B$9*Inputs!$B$7/Inputs!$B$11,0)</f>
        <v>0</v>
      </c>
      <c r="AV344" s="33" t="n">
        <f aca="false">IF(AND(Source_Data!AV$6&gt;=Inputs!$B$55,Source_Data!AV$6&lt;Inputs!$B$55+3*Inputs!$B$11),Inputs!$B$9*Inputs!$B$7/Inputs!$B$11,0)</f>
        <v>0</v>
      </c>
      <c r="AW344" s="33" t="n">
        <f aca="false">IF(AND(Source_Data!AW$6&gt;=Inputs!$B$55,Source_Data!AW$6&lt;Inputs!$B$55+3*Inputs!$B$11),Inputs!$B$9*Inputs!$B$7/Inputs!$B$11,0)</f>
        <v>0</v>
      </c>
      <c r="AX344" s="33" t="n">
        <f aca="false">IF(AND(Source_Data!AX$6&gt;=Inputs!$B$55,Source_Data!AX$6&lt;Inputs!$B$55+3*Inputs!$B$11),Inputs!$B$9*Inputs!$B$7/Inputs!$B$11,0)</f>
        <v>0</v>
      </c>
      <c r="AY344" s="33" t="n">
        <f aca="false">IF(AND(Source_Data!AY$6&gt;=Inputs!$B$55,Source_Data!AY$6&lt;Inputs!$B$55+3*Inputs!$B$11),Inputs!$B$9*Inputs!$B$7/Inputs!$B$11,0)</f>
        <v>0</v>
      </c>
      <c r="AZ344" s="33" t="n">
        <f aca="false">IF(AND(Source_Data!AZ$6&gt;=Inputs!$B$55,Source_Data!AZ$6&lt;Inputs!$B$55+3*Inputs!$B$11),Inputs!$B$9*Inputs!$B$7/Inputs!$B$11,0)</f>
        <v>0</v>
      </c>
      <c r="BA344" s="33" t="n">
        <f aca="false">IF(AND(Source_Data!BA$6&gt;=Inputs!$B$55,Source_Data!BA$6&lt;Inputs!$B$55+3*Inputs!$B$11),Inputs!$B$9*Inputs!$B$7/Inputs!$B$11,0)</f>
        <v>0</v>
      </c>
      <c r="BB344" s="33" t="n">
        <f aca="false">IF(AND(Source_Data!BB$6&gt;=Inputs!$B$55,Source_Data!BB$6&lt;Inputs!$B$55+3*Inputs!$B$11),Inputs!$B$9*Inputs!$B$7/Inputs!$B$11,0)</f>
        <v>0</v>
      </c>
      <c r="BC344" s="33" t="n">
        <f aca="false">IF(AND(Source_Data!BC$6&gt;=Inputs!$B$55,Source_Data!BC$6&lt;Inputs!$B$55+3*Inputs!$B$11),Inputs!$B$9*Inputs!$B$7/Inputs!$B$11,0)</f>
        <v>0</v>
      </c>
      <c r="BD344" s="33" t="n">
        <f aca="false">IF(AND(Source_Data!BD$6&gt;=Inputs!$B$55,Source_Data!BD$6&lt;Inputs!$B$55+3*Inputs!$B$11),Inputs!$B$9*Inputs!$B$7/Inputs!$B$11,0)</f>
        <v>0</v>
      </c>
      <c r="BE344" s="33" t="n">
        <f aca="false">IF(AND(Source_Data!BE$6&gt;=Inputs!$B$55,Source_Data!BE$6&lt;Inputs!$B$55+3*Inputs!$B$11),Inputs!$B$9*Inputs!$B$7/Inputs!$B$11,0)</f>
        <v>0</v>
      </c>
      <c r="BF344" s="33" t="n">
        <f aca="false">IF(AND(Source_Data!BF$6&gt;=Inputs!$B$55,Source_Data!BF$6&lt;Inputs!$B$55+3*Inputs!$B$11),Inputs!$B$9*Inputs!$B$7/Inputs!$B$11,0)</f>
        <v>0</v>
      </c>
      <c r="BG344" s="33" t="n">
        <f aca="false">IF(AND(Source_Data!BG$6&gt;=Inputs!$B$55,Source_Data!BG$6&lt;Inputs!$B$55+3*Inputs!$B$11),Inputs!$B$9*Inputs!$B$7/Inputs!$B$11,0)</f>
        <v>0</v>
      </c>
      <c r="BH344" s="33" t="n">
        <f aca="false">IF(AND(Source_Data!BH$6&gt;=Inputs!$B$55,Source_Data!BH$6&lt;Inputs!$B$55+3*Inputs!$B$11),Inputs!$B$9*Inputs!$B$7/Inputs!$B$11,0)</f>
        <v>0</v>
      </c>
      <c r="BI344" s="33" t="n">
        <f aca="false">IF(AND(Source_Data!BI$6&gt;=Inputs!$B$55,Source_Data!BI$6&lt;Inputs!$B$55+3*Inputs!$B$11),Inputs!$B$9*Inputs!$B$7/Inputs!$B$11,0)</f>
        <v>0</v>
      </c>
      <c r="BJ344" s="33" t="n">
        <f aca="false">IF(AND(Source_Data!BJ$6&gt;=Inputs!$B$55,Source_Data!BJ$6&lt;Inputs!$B$55+3*Inputs!$B$11),Inputs!$B$9*Inputs!$B$7/Inputs!$B$11,0)</f>
        <v>0</v>
      </c>
      <c r="BK344" s="33" t="n">
        <f aca="false">IF(AND(Source_Data!BK$6&gt;=Inputs!$B$55,Source_Data!BK$6&lt;Inputs!$B$55+3*Inputs!$B$11),Inputs!$B$9*Inputs!$B$7/Inputs!$B$11,0)</f>
        <v>0</v>
      </c>
    </row>
    <row r="345" customFormat="false" ht="15" hidden="false" customHeight="false" outlineLevel="0" collapsed="false">
      <c r="A345" s="3" t="s">
        <v>343</v>
      </c>
      <c r="D345" s="33" t="n">
        <f aca="false">IF(Source_Data!D$6=Inputs!$B$13,-Inputs!$B$7,0)+D344</f>
        <v>-75</v>
      </c>
      <c r="E345" s="33" t="n">
        <f aca="false">IF(Source_Data!E$6=Inputs!$B$13,-Inputs!$B$7,0)+E344</f>
        <v>0</v>
      </c>
      <c r="F345" s="33" t="n">
        <f aca="false">IF(Source_Data!F$6=Inputs!$B$13,-Inputs!$B$7,0)+F344</f>
        <v>0</v>
      </c>
      <c r="G345" s="33" t="n">
        <f aca="false">IF(Source_Data!G$6=Inputs!$B$13,-Inputs!$B$7,0)+G344</f>
        <v>0</v>
      </c>
      <c r="H345" s="33" t="n">
        <f aca="false">IF(Source_Data!H$6=Inputs!$B$13,-Inputs!$B$7,0)+H344</f>
        <v>0</v>
      </c>
      <c r="I345" s="33" t="n">
        <f aca="false">IF(Source_Data!I$6=Inputs!$B$13,-Inputs!$B$7,0)+I344</f>
        <v>0</v>
      </c>
      <c r="J345" s="33" t="n">
        <f aca="false">IF(Source_Data!J$6=Inputs!$B$13,-Inputs!$B$7,0)+J344</f>
        <v>0</v>
      </c>
      <c r="K345" s="33" t="n">
        <f aca="false">IF(Source_Data!K$6=Inputs!$B$13,-Inputs!$B$7,0)+K344</f>
        <v>0</v>
      </c>
      <c r="L345" s="33" t="n">
        <f aca="false">IF(Source_Data!L$6=Inputs!$B$13,-Inputs!$B$7,0)+L344</f>
        <v>0</v>
      </c>
      <c r="M345" s="33" t="n">
        <f aca="false">IF(Source_Data!M$6=Inputs!$B$13,-Inputs!$B$7,0)+M344</f>
        <v>14.375</v>
      </c>
      <c r="N345" s="33" t="n">
        <f aca="false">IF(Source_Data!N$6=Inputs!$B$13,-Inputs!$B$7,0)+N344</f>
        <v>14.375</v>
      </c>
      <c r="O345" s="33" t="n">
        <f aca="false">IF(Source_Data!O$6=Inputs!$B$13,-Inputs!$B$7,0)+O344</f>
        <v>14.375</v>
      </c>
      <c r="P345" s="33" t="n">
        <f aca="false">IF(Source_Data!P$6=Inputs!$B$13,-Inputs!$B$7,0)+P344</f>
        <v>14.375</v>
      </c>
      <c r="Q345" s="33" t="n">
        <f aca="false">IF(Source_Data!Q$6=Inputs!$B$13,-Inputs!$B$7,0)+Q344</f>
        <v>14.375</v>
      </c>
      <c r="R345" s="33" t="n">
        <f aca="false">IF(Source_Data!R$6=Inputs!$B$13,-Inputs!$B$7,0)+R344</f>
        <v>14.375</v>
      </c>
      <c r="S345" s="33" t="n">
        <f aca="false">IF(Source_Data!S$6=Inputs!$B$13,-Inputs!$B$7,0)+S344</f>
        <v>14.375</v>
      </c>
      <c r="T345" s="33" t="n">
        <f aca="false">IF(Source_Data!T$6=Inputs!$B$13,-Inputs!$B$7,0)+T344</f>
        <v>14.375</v>
      </c>
      <c r="U345" s="33" t="n">
        <f aca="false">IF(Source_Data!U$6=Inputs!$B$13,-Inputs!$B$7,0)+U344</f>
        <v>14.375</v>
      </c>
      <c r="V345" s="33" t="n">
        <f aca="false">IF(Source_Data!V$6=Inputs!$B$13,-Inputs!$B$7,0)+V344</f>
        <v>14.375</v>
      </c>
      <c r="W345" s="33" t="n">
        <f aca="false">IF(Source_Data!W$6=Inputs!$B$13,-Inputs!$B$7,0)+W344</f>
        <v>14.375</v>
      </c>
      <c r="X345" s="33" t="n">
        <f aca="false">IF(Source_Data!X$6=Inputs!$B$13,-Inputs!$B$7,0)+X344</f>
        <v>14.375</v>
      </c>
      <c r="Y345" s="33" t="n">
        <f aca="false">IF(Source_Data!Y$6=Inputs!$B$13,-Inputs!$B$7,0)+Y344</f>
        <v>0</v>
      </c>
      <c r="Z345" s="33" t="n">
        <f aca="false">IF(Source_Data!Z$6=Inputs!$B$13,-Inputs!$B$7,0)+Z344</f>
        <v>0</v>
      </c>
      <c r="AA345" s="33" t="n">
        <f aca="false">IF(Source_Data!AA$6=Inputs!$B$13,-Inputs!$B$7,0)+AA344</f>
        <v>0</v>
      </c>
      <c r="AB345" s="33" t="n">
        <f aca="false">IF(Source_Data!AB$6=Inputs!$B$13,-Inputs!$B$7,0)+AB344</f>
        <v>0</v>
      </c>
      <c r="AC345" s="33" t="n">
        <f aca="false">IF(Source_Data!AC$6=Inputs!$B$13,-Inputs!$B$7,0)+AC344</f>
        <v>0</v>
      </c>
      <c r="AD345" s="33" t="n">
        <f aca="false">IF(Source_Data!AD$6=Inputs!$B$13,-Inputs!$B$7,0)+AD344</f>
        <v>0</v>
      </c>
      <c r="AE345" s="33" t="n">
        <f aca="false">IF(Source_Data!AE$6=Inputs!$B$13,-Inputs!$B$7,0)+AE344</f>
        <v>0</v>
      </c>
      <c r="AF345" s="33" t="n">
        <f aca="false">IF(Source_Data!AF$6=Inputs!$B$13,-Inputs!$B$7,0)+AF344</f>
        <v>0</v>
      </c>
      <c r="AG345" s="33" t="n">
        <f aca="false">IF(Source_Data!AG$6=Inputs!$B$13,-Inputs!$B$7,0)+AG344</f>
        <v>0</v>
      </c>
      <c r="AH345" s="33" t="n">
        <f aca="false">IF(Source_Data!AH$6=Inputs!$B$13,-Inputs!$B$7,0)+AH344</f>
        <v>0</v>
      </c>
      <c r="AI345" s="33" t="n">
        <f aca="false">IF(Source_Data!AI$6=Inputs!$B$13,-Inputs!$B$7,0)+AI344</f>
        <v>0</v>
      </c>
      <c r="AJ345" s="33" t="n">
        <f aca="false">IF(Source_Data!AJ$6=Inputs!$B$13,-Inputs!$B$7,0)+AJ344</f>
        <v>0</v>
      </c>
      <c r="AK345" s="33" t="n">
        <f aca="false">IF(Source_Data!AK$6=Inputs!$B$13,-Inputs!$B$7,0)+AK344</f>
        <v>0</v>
      </c>
      <c r="AL345" s="33" t="n">
        <f aca="false">IF(Source_Data!AL$6=Inputs!$B$13,-Inputs!$B$7,0)+AL344</f>
        <v>0</v>
      </c>
      <c r="AM345" s="33" t="n">
        <f aca="false">IF(Source_Data!AM$6=Inputs!$B$13,-Inputs!$B$7,0)+AM344</f>
        <v>0</v>
      </c>
      <c r="AN345" s="33" t="n">
        <f aca="false">IF(Source_Data!AN$6=Inputs!$B$13,-Inputs!$B$7,0)+AN344</f>
        <v>0</v>
      </c>
      <c r="AO345" s="33" t="n">
        <f aca="false">IF(Source_Data!AO$6=Inputs!$B$13,-Inputs!$B$7,0)+AO344</f>
        <v>0</v>
      </c>
      <c r="AP345" s="33" t="n">
        <f aca="false">IF(Source_Data!AP$6=Inputs!$B$13,-Inputs!$B$7,0)+AP344</f>
        <v>0</v>
      </c>
      <c r="AQ345" s="33" t="n">
        <f aca="false">IF(Source_Data!AQ$6=Inputs!$B$13,-Inputs!$B$7,0)+AQ344</f>
        <v>0</v>
      </c>
      <c r="AR345" s="33" t="n">
        <f aca="false">IF(Source_Data!AR$6=Inputs!$B$13,-Inputs!$B$7,0)+AR344</f>
        <v>0</v>
      </c>
      <c r="AS345" s="33" t="n">
        <f aca="false">IF(Source_Data!AS$6=Inputs!$B$13,-Inputs!$B$7,0)+AS344</f>
        <v>0</v>
      </c>
      <c r="AT345" s="33" t="n">
        <f aca="false">IF(Source_Data!AT$6=Inputs!$B$13,-Inputs!$B$7,0)+AT344</f>
        <v>0</v>
      </c>
      <c r="AU345" s="33" t="n">
        <f aca="false">IF(Source_Data!AU$6=Inputs!$B$13,-Inputs!$B$7,0)+AU344</f>
        <v>0</v>
      </c>
      <c r="AV345" s="33" t="n">
        <f aca="false">IF(Source_Data!AV$6=Inputs!$B$13,-Inputs!$B$7,0)+AV344</f>
        <v>0</v>
      </c>
      <c r="AW345" s="33" t="n">
        <f aca="false">IF(Source_Data!AW$6=Inputs!$B$13,-Inputs!$B$7,0)+AW344</f>
        <v>0</v>
      </c>
      <c r="AX345" s="33" t="n">
        <f aca="false">IF(Source_Data!AX$6=Inputs!$B$13,-Inputs!$B$7,0)+AX344</f>
        <v>0</v>
      </c>
      <c r="AY345" s="33" t="n">
        <f aca="false">IF(Source_Data!AY$6=Inputs!$B$13,-Inputs!$B$7,0)+AY344</f>
        <v>0</v>
      </c>
      <c r="AZ345" s="33" t="n">
        <f aca="false">IF(Source_Data!AZ$6=Inputs!$B$13,-Inputs!$B$7,0)+AZ344</f>
        <v>0</v>
      </c>
      <c r="BA345" s="33" t="n">
        <f aca="false">IF(Source_Data!BA$6=Inputs!$B$13,-Inputs!$B$7,0)+BA344</f>
        <v>0</v>
      </c>
      <c r="BB345" s="33" t="n">
        <f aca="false">IF(Source_Data!BB$6=Inputs!$B$13,-Inputs!$B$7,0)+BB344</f>
        <v>0</v>
      </c>
      <c r="BC345" s="33" t="n">
        <f aca="false">IF(Source_Data!BC$6=Inputs!$B$13,-Inputs!$B$7,0)+BC344</f>
        <v>0</v>
      </c>
      <c r="BD345" s="33" t="n">
        <f aca="false">IF(Source_Data!BD$6=Inputs!$B$13,-Inputs!$B$7,0)+BD344</f>
        <v>0</v>
      </c>
      <c r="BE345" s="33" t="n">
        <f aca="false">IF(Source_Data!BE$6=Inputs!$B$13,-Inputs!$B$7,0)+BE344</f>
        <v>0</v>
      </c>
      <c r="BF345" s="33" t="n">
        <f aca="false">IF(Source_Data!BF$6=Inputs!$B$13,-Inputs!$B$7,0)+BF344</f>
        <v>0</v>
      </c>
      <c r="BG345" s="33" t="n">
        <f aca="false">IF(Source_Data!BG$6=Inputs!$B$13,-Inputs!$B$7,0)+BG344</f>
        <v>0</v>
      </c>
      <c r="BH345" s="33" t="n">
        <f aca="false">IF(Source_Data!BH$6=Inputs!$B$13,-Inputs!$B$7,0)+BH344</f>
        <v>0</v>
      </c>
      <c r="BI345" s="33" t="n">
        <f aca="false">IF(Source_Data!BI$6=Inputs!$B$13,-Inputs!$B$7,0)+BI344</f>
        <v>0</v>
      </c>
      <c r="BJ345" s="33" t="n">
        <f aca="false">IF(Source_Data!BJ$6=Inputs!$B$13,-Inputs!$B$7,0)+BJ344</f>
        <v>0</v>
      </c>
      <c r="BK345" s="33" t="n">
        <f aca="false">IF(Source_Data!BK$6=Inputs!$B$13,-Inputs!$B$7,0)+BK344</f>
        <v>0</v>
      </c>
    </row>
    <row r="346" customFormat="false" ht="15" hidden="false" customHeight="false" outlineLevel="0" collapsed="false">
      <c r="A346" s="3" t="s">
        <v>344</v>
      </c>
      <c r="D346" s="33" t="n">
        <f aca="false">IF(Source_Data!D$6=Inputs!$B$13,Inputs!$B$7,0)+D341-D344</f>
        <v>-16.25</v>
      </c>
      <c r="E346" s="33" t="n">
        <f aca="false">D346+IF(Source_Data!E$6=Inputs!$B$13,Inputs!$B$7,0)+E341-E344</f>
        <v>-27.5</v>
      </c>
      <c r="F346" s="33" t="n">
        <f aca="false">E346+IF(Source_Data!F$6=Inputs!$B$13,Inputs!$B$7,0)+F341-F344</f>
        <v>-23.6107625</v>
      </c>
      <c r="G346" s="33" t="n">
        <f aca="false">F346+IF(Source_Data!G$6=Inputs!$B$13,Inputs!$B$7,0)+G341-G344</f>
        <v>-4.5822875</v>
      </c>
      <c r="H346" s="33" t="n">
        <f aca="false">G346+IF(Source_Data!H$6=Inputs!$B$13,Inputs!$B$7,0)+H341-H344</f>
        <v>-8.17028125</v>
      </c>
      <c r="I346" s="33" t="n">
        <f aca="false">H346+IF(Source_Data!I$6=Inputs!$B$13,Inputs!$B$7,0)+I341-I344</f>
        <v>-4.35674375</v>
      </c>
      <c r="J346" s="33" t="n">
        <f aca="false">I346+IF(Source_Data!J$6=Inputs!$B$13,Inputs!$B$7,0)+J341-J344</f>
        <v>-31.80243375</v>
      </c>
      <c r="K346" s="33" t="n">
        <f aca="false">J346+IF(Source_Data!K$6=Inputs!$B$13,Inputs!$B$7,0)+K341-K344</f>
        <v>-39.372264375</v>
      </c>
      <c r="L346" s="33" t="n">
        <f aca="false">K346+IF(Source_Data!L$6=Inputs!$B$13,Inputs!$B$7,0)+L341-L344</f>
        <v>-38.7466759375</v>
      </c>
      <c r="M346" s="33" t="n">
        <f aca="false">L346+IF(Source_Data!M$6=Inputs!$B$13,Inputs!$B$7,0)+M341-M344</f>
        <v>362.4289015625</v>
      </c>
      <c r="N346" s="33" t="n">
        <f aca="false">M346+IF(Source_Data!N$6=Inputs!$B$13,Inputs!$B$7,0)+N341-N344</f>
        <v>485.6062415625</v>
      </c>
      <c r="O346" s="33" t="n">
        <f aca="false">N346+IF(Source_Data!O$6=Inputs!$B$13,Inputs!$B$7,0)+O341-O344</f>
        <v>599.7398315625</v>
      </c>
      <c r="P346" s="33" t="n">
        <f aca="false">O346+IF(Source_Data!P$6=Inputs!$B$13,Inputs!$B$7,0)+P341-P344</f>
        <v>464.3775415625</v>
      </c>
      <c r="Q346" s="33" t="n">
        <f aca="false">P346+IF(Source_Data!Q$6=Inputs!$B$13,Inputs!$B$7,0)+Q341-Q344</f>
        <v>301.4517103125</v>
      </c>
      <c r="R346" s="33" t="n">
        <f aca="false">Q346+IF(Source_Data!R$6=Inputs!$B$13,Inputs!$B$7,0)+R341-R344</f>
        <v>77.8058790625001</v>
      </c>
      <c r="S346" s="33" t="n">
        <f aca="false">R346+IF(Source_Data!S$6=Inputs!$B$13,Inputs!$B$7,0)+S341-S344</f>
        <v>-81.6482853125</v>
      </c>
      <c r="T346" s="33" t="n">
        <f aca="false">S346+IF(Source_Data!T$6=Inputs!$B$13,Inputs!$B$7,0)+T341-T344</f>
        <v>-79.796645625</v>
      </c>
      <c r="U346" s="33" t="n">
        <f aca="false">T346+IF(Source_Data!U$6=Inputs!$B$13,Inputs!$B$7,0)+U341-U344</f>
        <v>-79.4589296875</v>
      </c>
      <c r="V346" s="33" t="n">
        <f aca="false">U346+IF(Source_Data!V$6=Inputs!$B$13,Inputs!$B$7,0)+V341-V344</f>
        <v>-85.109985</v>
      </c>
      <c r="W346" s="33" t="n">
        <f aca="false">V346+IF(Source_Data!W$6=Inputs!$B$13,Inputs!$B$7,0)+W341-W344</f>
        <v>-95.1020403125</v>
      </c>
      <c r="X346" s="33" t="n">
        <f aca="false">W346+IF(Source_Data!X$6=Inputs!$B$13,Inputs!$B$7,0)+X341-X344</f>
        <v>-82.594095625</v>
      </c>
      <c r="Y346" s="33" t="n">
        <f aca="false">X346+IF(Source_Data!Y$6=Inputs!$B$13,Inputs!$B$7,0)+Y341-Y344</f>
        <v>-62.9913696875</v>
      </c>
      <c r="Z346" s="33" t="n">
        <f aca="false">Y346+IF(Source_Data!Z$6=Inputs!$B$13,Inputs!$B$7,0)+Z341-Z344</f>
        <v>-43.38864375</v>
      </c>
      <c r="AA346" s="33" t="n">
        <f aca="false">Z346+IF(Source_Data!AA$6=Inputs!$B$13,Inputs!$B$7,0)+AA341-AA344</f>
        <v>-23.7859178125</v>
      </c>
      <c r="AB346" s="33" t="n">
        <f aca="false">AA346+IF(Source_Data!AB$6=Inputs!$B$13,Inputs!$B$7,0)+AB341-AB344</f>
        <v>12.528808125</v>
      </c>
      <c r="AC346" s="33" t="n">
        <f aca="false">AB346+IF(Source_Data!AC$6=Inputs!$B$13,Inputs!$B$7,0)+AC341-AC344</f>
        <v>45.567435625</v>
      </c>
      <c r="AD346" s="33" t="n">
        <f aca="false">AC346+IF(Source_Data!AD$6=Inputs!$B$13,Inputs!$B$7,0)+AD341-AD344</f>
        <v>74.997606875</v>
      </c>
      <c r="AE346" s="33" t="n">
        <f aca="false">AD346+IF(Source_Data!AE$6=Inputs!$B$13,Inputs!$B$7,0)+AE341-AE344</f>
        <v>100.086778125</v>
      </c>
      <c r="AF346" s="33" t="n">
        <f aca="false">AE346+IF(Source_Data!AF$6=Inputs!$B$13,Inputs!$B$7,0)+AF341-AF344</f>
        <v>17.4177390234375</v>
      </c>
      <c r="AG346" s="33" t="n">
        <f aca="false">AF346+IF(Source_Data!AG$6=Inputs!$B$13,Inputs!$B$7,0)+AG341-AG344</f>
        <v>31.5303978515625</v>
      </c>
      <c r="AH346" s="33" t="n">
        <f aca="false">AG346+IF(Source_Data!AH$6=Inputs!$B$13,Inputs!$B$7,0)+AH341-AH344</f>
        <v>45.6430566796875</v>
      </c>
      <c r="AI346" s="33" t="n">
        <f aca="false">AH346+IF(Source_Data!AI$6=Inputs!$B$13,Inputs!$B$7,0)+AI341-AI344</f>
        <v>59.7557155078125</v>
      </c>
      <c r="AJ346" s="33" t="n">
        <f aca="false">AI346+IF(Source_Data!AJ$6=Inputs!$B$13,Inputs!$B$7,0)+AJ341-AJ344</f>
        <v>73.8683743359375</v>
      </c>
      <c r="AK346" s="33" t="n">
        <f aca="false">AJ346+IF(Source_Data!AK$6=Inputs!$B$13,Inputs!$B$7,0)+AK341-AK344</f>
        <v>86.75249625</v>
      </c>
      <c r="AL346" s="33" t="n">
        <f aca="false">AK346+IF(Source_Data!AL$6=Inputs!$B$13,Inputs!$B$7,0)+AL341-AL344</f>
        <v>99.6366181640625</v>
      </c>
      <c r="AM346" s="33" t="n">
        <f aca="false">AL346+IF(Source_Data!AM$6=Inputs!$B$13,Inputs!$B$7,0)+AM341-AM344</f>
        <v>110.1776175</v>
      </c>
      <c r="AN346" s="33" t="n">
        <f aca="false">AM346+IF(Source_Data!AN$6=Inputs!$B$13,Inputs!$B$7,0)+AN341-AN344</f>
        <v>115.59233671875</v>
      </c>
      <c r="AO346" s="33" t="n">
        <f aca="false">AN346+IF(Source_Data!AO$6=Inputs!$B$13,Inputs!$B$7,0)+AO341-AO344</f>
        <v>117.6007275</v>
      </c>
      <c r="AP346" s="33" t="n">
        <f aca="false">AO346+IF(Source_Data!AP$6=Inputs!$B$13,Inputs!$B$7,0)+AP341-AP344</f>
        <v>117.6007275</v>
      </c>
      <c r="AQ346" s="33" t="n">
        <f aca="false">AP346+IF(Source_Data!AQ$6=Inputs!$B$13,Inputs!$B$7,0)+AQ341-AQ344</f>
        <v>117.6007275</v>
      </c>
      <c r="AR346" s="33" t="n">
        <f aca="false">AQ346+IF(Source_Data!AR$6=Inputs!$B$13,Inputs!$B$7,0)+AR341-AR344</f>
        <v>117.6007275</v>
      </c>
      <c r="AS346" s="33" t="n">
        <f aca="false">AR346+IF(Source_Data!AS$6=Inputs!$B$13,Inputs!$B$7,0)+AS341-AS344</f>
        <v>117.6007275</v>
      </c>
      <c r="AT346" s="33" t="n">
        <f aca="false">AS346+IF(Source_Data!AT$6=Inputs!$B$13,Inputs!$B$7,0)+AT341-AT344</f>
        <v>117.6007275</v>
      </c>
      <c r="AU346" s="33" t="n">
        <f aca="false">AT346+IF(Source_Data!AU$6=Inputs!$B$13,Inputs!$B$7,0)+AU341-AU344</f>
        <v>117.6007275</v>
      </c>
      <c r="AV346" s="33" t="n">
        <f aca="false">AU346+IF(Source_Data!AV$6=Inputs!$B$13,Inputs!$B$7,0)+AV341-AV344</f>
        <v>117.6007275</v>
      </c>
      <c r="AW346" s="33" t="n">
        <f aca="false">AV346+IF(Source_Data!AW$6=Inputs!$B$13,Inputs!$B$7,0)+AW341-AW344</f>
        <v>117.6007275</v>
      </c>
      <c r="AX346" s="33" t="n">
        <f aca="false">AW346+IF(Source_Data!AX$6=Inputs!$B$13,Inputs!$B$7,0)+AX341-AX344</f>
        <v>117.6007275</v>
      </c>
      <c r="AY346" s="33" t="n">
        <f aca="false">AX346+IF(Source_Data!AY$6=Inputs!$B$13,Inputs!$B$7,0)+AY341-AY344</f>
        <v>117.6007275</v>
      </c>
      <c r="AZ346" s="33" t="n">
        <f aca="false">AY346+IF(Source_Data!AZ$6=Inputs!$B$13,Inputs!$B$7,0)+AZ341-AZ344</f>
        <v>117.6007275</v>
      </c>
      <c r="BA346" s="33" t="n">
        <f aca="false">AZ346+IF(Source_Data!BA$6=Inputs!$B$13,Inputs!$B$7,0)+BA341-BA344</f>
        <v>117.6007275</v>
      </c>
      <c r="BB346" s="33" t="n">
        <f aca="false">BA346+IF(Source_Data!BB$6=Inputs!$B$13,Inputs!$B$7,0)+BB341-BB344</f>
        <v>117.6007275</v>
      </c>
      <c r="BC346" s="33" t="n">
        <f aca="false">BB346+IF(Source_Data!BC$6=Inputs!$B$13,Inputs!$B$7,0)+BC341-BC344</f>
        <v>117.6007275</v>
      </c>
      <c r="BD346" s="33" t="n">
        <f aca="false">BC346+IF(Source_Data!BD$6=Inputs!$B$13,Inputs!$B$7,0)+BD341-BD344</f>
        <v>117.6007275</v>
      </c>
      <c r="BE346" s="33" t="n">
        <f aca="false">BD346+IF(Source_Data!BE$6=Inputs!$B$13,Inputs!$B$7,0)+BE341-BE344</f>
        <v>117.6007275</v>
      </c>
      <c r="BF346" s="33" t="n">
        <f aca="false">BE346+IF(Source_Data!BF$6=Inputs!$B$13,Inputs!$B$7,0)+BF341-BF344</f>
        <v>117.6007275</v>
      </c>
      <c r="BG346" s="33" t="n">
        <f aca="false">BF346+IF(Source_Data!BG$6=Inputs!$B$13,Inputs!$B$7,0)+BG341-BG344</f>
        <v>117.6007275</v>
      </c>
      <c r="BH346" s="33" t="n">
        <f aca="false">BG346+IF(Source_Data!BH$6=Inputs!$B$13,Inputs!$B$7,0)+BH341-BH344</f>
        <v>117.6007275</v>
      </c>
      <c r="BI346" s="33" t="n">
        <f aca="false">BH346+IF(Source_Data!BI$6=Inputs!$B$13,Inputs!$B$7,0)+BI341-BI344</f>
        <v>117.6007275</v>
      </c>
      <c r="BJ346" s="33" t="n">
        <f aca="false">BI346+IF(Source_Data!BJ$6=Inputs!$B$13,Inputs!$B$7,0)+BJ341-BJ344</f>
        <v>117.6007275</v>
      </c>
      <c r="BK346" s="33" t="n">
        <f aca="false">BJ346+IF(Source_Data!BK$6=Inputs!$B$13,Inputs!$B$7,0)+BK341-BK344</f>
        <v>117.6007275</v>
      </c>
    </row>
    <row r="347" customFormat="false" ht="15" hidden="false" customHeight="false" outlineLevel="0" collapsed="false">
      <c r="A347" s="3" t="s">
        <v>345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28.9078662608696</v>
      </c>
      <c r="N347" s="31" t="n">
        <f aca="false">IF(N344&gt;0,N341/N344,"")</f>
        <v>9.56885843478261</v>
      </c>
      <c r="O347" s="31" t="n">
        <f aca="false">IF(O344&gt;0,O341/O344,"")</f>
        <v>8.939728</v>
      </c>
      <c r="P347" s="31" t="n">
        <f aca="false">IF(P344&gt;0,P341/P344,"")</f>
        <v>-8.41650713043478</v>
      </c>
      <c r="Q347" s="31" t="n">
        <f aca="false">IF(Q344&gt;0,Q341/Q344,"")</f>
        <v>-10.3339708695652</v>
      </c>
      <c r="R347" s="31" t="n">
        <f aca="false">IF(R344&gt;0,R341/R344,"")</f>
        <v>-14.5579708695652</v>
      </c>
      <c r="S347" s="31" t="n">
        <f aca="false">IF(S344&gt;0,S341/S344,"")</f>
        <v>-10.0924636086957</v>
      </c>
      <c r="T347" s="31" t="n">
        <f aca="false">IF(T344&gt;0,T341/T344,"")</f>
        <v>1.1288097173913</v>
      </c>
      <c r="U347" s="31" t="n">
        <f aca="false">IF(U344&gt;0,U341/U344,"")</f>
        <v>1.0234932826087</v>
      </c>
      <c r="V347" s="31" t="n">
        <f aca="false">IF(V344&gt;0,V341/V344,"")</f>
        <v>0.606883108695652</v>
      </c>
      <c r="W347" s="31" t="n">
        <f aca="false">IF(W344&gt;0,W341/W344,"")</f>
        <v>0.3049005</v>
      </c>
      <c r="X347" s="31" t="n">
        <f aca="false">IF(X344&gt;0,X341/X344,"")</f>
        <v>1.87011789130435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346</v>
      </c>
      <c r="D348" s="31" t="str">
        <f aca="false">IF(D344&gt;0,(0+D341+IF(Source_Data!D$6=Inputs!$B$13,Inputs!$B$7,0))/D344,"")</f>
        <v/>
      </c>
      <c r="E348" s="31" t="str">
        <f aca="false">IF(E344&gt;0,(D346+E341+IF(Source_Data!E$6=Inputs!$B$13,Inputs!$B$7,0))/E344,"")</f>
        <v/>
      </c>
      <c r="F348" s="31" t="str">
        <f aca="false">IF(F344&gt;0,(E346+F341+IF(Source_Data!F$6=Inputs!$B$13,Inputs!$B$7,0))/F344,"")</f>
        <v/>
      </c>
      <c r="G348" s="31" t="str">
        <f aca="false">IF(G344&gt;0,(F346+G341+IF(Source_Data!G$6=Inputs!$B$13,Inputs!$B$7,0))/G344,"")</f>
        <v/>
      </c>
      <c r="H348" s="31" t="str">
        <f aca="false">IF(H344&gt;0,(G346+H341+IF(Source_Data!H$6=Inputs!$B$13,Inputs!$B$7,0))/H344,"")</f>
        <v/>
      </c>
      <c r="I348" s="31" t="str">
        <f aca="false">IF(I344&gt;0,(H346+I341+IF(Source_Data!I$6=Inputs!$B$13,Inputs!$B$7,0))/I344,"")</f>
        <v/>
      </c>
      <c r="J348" s="31" t="str">
        <f aca="false">IF(J344&gt;0,(I346+J341+IF(Source_Data!J$6=Inputs!$B$13,Inputs!$B$7,0))/J344,"")</f>
        <v/>
      </c>
      <c r="K348" s="31" t="str">
        <f aca="false">IF(K344&gt;0,(J346+K341+IF(Source_Data!K$6=Inputs!$B$13,Inputs!$B$7,0))/K344,"")</f>
        <v/>
      </c>
      <c r="L348" s="31" t="str">
        <f aca="false">IF(L344&gt;0,(K346+L341+IF(Source_Data!L$6=Inputs!$B$13,Inputs!$B$7,0))/L344,"")</f>
        <v/>
      </c>
      <c r="M348" s="31" t="n">
        <f aca="false">IF(M344&gt;0,(L346+M341+IF(Source_Data!M$6=Inputs!$B$13,Inputs!$B$7,0))/M344,"")</f>
        <v>26.212445326087</v>
      </c>
      <c r="N348" s="31" t="n">
        <f aca="false">IF(N344&gt;0,(M346+N341+IF(Source_Data!N$6=Inputs!$B$13,Inputs!$B$7,0))/N344,"")</f>
        <v>34.7813037608696</v>
      </c>
      <c r="O348" s="31" t="n">
        <f aca="false">IF(O344&gt;0,(N346+O341+IF(Source_Data!O$6=Inputs!$B$13,Inputs!$B$7,0))/O344,"")</f>
        <v>42.7210317608696</v>
      </c>
      <c r="P348" s="31" t="n">
        <f aca="false">IF(P344&gt;0,(O346+P341+IF(Source_Data!P$6=Inputs!$B$13,Inputs!$B$7,0))/P344,"")</f>
        <v>33.3045246304348</v>
      </c>
      <c r="Q348" s="31" t="n">
        <f aca="false">IF(Q344&gt;0,(P346+Q341+IF(Source_Data!Q$6=Inputs!$B$13,Inputs!$B$7,0))/Q344,"")</f>
        <v>21.9705537608696</v>
      </c>
      <c r="R348" s="31" t="n">
        <f aca="false">IF(R344&gt;0,(Q346+R341+IF(Source_Data!R$6=Inputs!$B$13,Inputs!$B$7,0))/R344,"")</f>
        <v>6.41258289130435</v>
      </c>
      <c r="S348" s="31" t="n">
        <f aca="false">IF(S344&gt;0,(R346+S341+IF(Source_Data!S$6=Inputs!$B$13,Inputs!$B$7,0))/S344,"")</f>
        <v>-4.6798807173913</v>
      </c>
      <c r="T348" s="31" t="n">
        <f aca="false">IF(T344&gt;0,(S346+T341+IF(Source_Data!T$6=Inputs!$B$13,Inputs!$B$7,0))/T344,"")</f>
        <v>-4.551071</v>
      </c>
      <c r="U348" s="31" t="n">
        <f aca="false">IF(U344&gt;0,(T346+U341+IF(Source_Data!U$6=Inputs!$B$13,Inputs!$B$7,0))/U344,"")</f>
        <v>-4.5275777173913</v>
      </c>
      <c r="V348" s="31" t="n">
        <f aca="false">IF(V344&gt;0,(U346+V341+IF(Source_Data!V$6=Inputs!$B$13,Inputs!$B$7,0))/V344,"")</f>
        <v>-4.92069460869565</v>
      </c>
      <c r="W348" s="31" t="n">
        <f aca="false">IF(W344&gt;0,(V346+W341+IF(Source_Data!W$6=Inputs!$B$13,Inputs!$B$7,0))/W344,"")</f>
        <v>-5.61579410869565</v>
      </c>
      <c r="X348" s="31" t="n">
        <f aca="false">IF(X344&gt;0,(W346+X341+IF(Source_Data!X$6=Inputs!$B$13,Inputs!$B$7,0))/X344,"")</f>
        <v>-4.7456762173913</v>
      </c>
      <c r="Y348" s="31" t="str">
        <f aca="false">IF(Y344&gt;0,(X346+Y341+IF(Source_Data!Y$6=Inputs!$B$13,Inputs!$B$7,0))/Y344,"")</f>
        <v/>
      </c>
      <c r="Z348" s="31" t="str">
        <f aca="false">IF(Z344&gt;0,(Y346+Z341+IF(Source_Data!Z$6=Inputs!$B$13,Inputs!$B$7,0))/Z344,"")</f>
        <v/>
      </c>
      <c r="AA348" s="31" t="str">
        <f aca="false">IF(AA344&gt;0,(Z346+AA341+IF(Source_Data!AA$6=Inputs!$B$13,Inputs!$B$7,0))/AA344,"")</f>
        <v/>
      </c>
      <c r="AB348" s="31" t="str">
        <f aca="false">IF(AB344&gt;0,(AA346+AB341+IF(Source_Data!AB$6=Inputs!$B$13,Inputs!$B$7,0))/AB344,"")</f>
        <v/>
      </c>
      <c r="AC348" s="31" t="str">
        <f aca="false">IF(AC344&gt;0,(AB346+AC341+IF(Source_Data!AC$6=Inputs!$B$13,Inputs!$B$7,0))/AC344,"")</f>
        <v/>
      </c>
      <c r="AD348" s="31" t="str">
        <f aca="false">IF(AD344&gt;0,(AC346+AD341+IF(Source_Data!AD$6=Inputs!$B$13,Inputs!$B$7,0))/AD344,"")</f>
        <v/>
      </c>
      <c r="AE348" s="31" t="str">
        <f aca="false">IF(AE344&gt;0,(AD346+AE341+IF(Source_Data!AE$6=Inputs!$B$13,Inputs!$B$7,0))/AE344,"")</f>
        <v/>
      </c>
      <c r="AF348" s="31" t="str">
        <f aca="false">IF(AF344&gt;0,(AE346+AF341+IF(Source_Data!AF$6=Inputs!$B$13,Inputs!$B$7,0))/AF344,"")</f>
        <v/>
      </c>
      <c r="AG348" s="31" t="str">
        <f aca="false">IF(AG344&gt;0,(AF346+AG341+IF(Source_Data!AG$6=Inputs!$B$13,Inputs!$B$7,0))/AG344,"")</f>
        <v/>
      </c>
      <c r="AH348" s="31" t="str">
        <f aca="false">IF(AH344&gt;0,(AG346+AH341+IF(Source_Data!AH$6=Inputs!$B$13,Inputs!$B$7,0))/AH344,"")</f>
        <v/>
      </c>
      <c r="AI348" s="31" t="str">
        <f aca="false">IF(AI344&gt;0,(AH346+AI341+IF(Source_Data!AI$6=Inputs!$B$13,Inputs!$B$7,0))/AI344,"")</f>
        <v/>
      </c>
      <c r="AJ348" s="31" t="str">
        <f aca="false">IF(AJ344&gt;0,(AI346+AJ341+IF(Source_Data!AJ$6=Inputs!$B$13,Inputs!$B$7,0))/AJ344,"")</f>
        <v/>
      </c>
      <c r="AK348" s="31" t="str">
        <f aca="false">IF(AK344&gt;0,(AJ346+AK341+IF(Source_Data!AK$6=Inputs!$B$13,Inputs!$B$7,0))/AK344,"")</f>
        <v/>
      </c>
      <c r="AL348" s="31" t="str">
        <f aca="false">IF(AL344&gt;0,(AK346+AL341+IF(Source_Data!AL$6=Inputs!$B$13,Inputs!$B$7,0))/AL344,"")</f>
        <v/>
      </c>
      <c r="AM348" s="31" t="str">
        <f aca="false">IF(AM344&gt;0,(AL346+AM341+IF(Source_Data!AM$6=Inputs!$B$13,Inputs!$B$7,0))/AM344,"")</f>
        <v/>
      </c>
      <c r="AN348" s="31" t="str">
        <f aca="false">IF(AN344&gt;0,(AM346+AN341+IF(Source_Data!AN$6=Inputs!$B$13,Inputs!$B$7,0))/AN344,"")</f>
        <v/>
      </c>
      <c r="AO348" s="31" t="str">
        <f aca="false">IF(AO344&gt;0,(AN346+AO341+IF(Source_Data!AO$6=Inputs!$B$13,Inputs!$B$7,0))/AO344,"")</f>
        <v/>
      </c>
      <c r="AP348" s="31" t="str">
        <f aca="false">IF(AP344&gt;0,(AO346+AP341+IF(Source_Data!AP$6=Inputs!$B$13,Inputs!$B$7,0))/AP344,"")</f>
        <v/>
      </c>
      <c r="AQ348" s="31" t="str">
        <f aca="false">IF(AQ344&gt;0,(AP346+AQ341+IF(Source_Data!AQ$6=Inputs!$B$13,Inputs!$B$7,0))/AQ344,"")</f>
        <v/>
      </c>
      <c r="AR348" s="31" t="str">
        <f aca="false">IF(AR344&gt;0,(AQ346+AR341+IF(Source_Data!AR$6=Inputs!$B$13,Inputs!$B$7,0))/AR344,"")</f>
        <v/>
      </c>
      <c r="AS348" s="31" t="str">
        <f aca="false">IF(AS344&gt;0,(AR346+AS341+IF(Source_Data!AS$6=Inputs!$B$13,Inputs!$B$7,0))/AS344,"")</f>
        <v/>
      </c>
      <c r="AT348" s="31" t="str">
        <f aca="false">IF(AT344&gt;0,(AS346+AT341+IF(Source_Data!AT$6=Inputs!$B$13,Inputs!$B$7,0))/AT344,"")</f>
        <v/>
      </c>
      <c r="AU348" s="31" t="str">
        <f aca="false">IF(AU344&gt;0,(AT346+AU341+IF(Source_Data!AU$6=Inputs!$B$13,Inputs!$B$7,0))/AU344,"")</f>
        <v/>
      </c>
      <c r="AV348" s="31" t="str">
        <f aca="false">IF(AV344&gt;0,(AU346+AV341+IF(Source_Data!AV$6=Inputs!$B$13,Inputs!$B$7,0))/AV344,"")</f>
        <v/>
      </c>
      <c r="AW348" s="31" t="str">
        <f aca="false">IF(AW344&gt;0,(AV346+AW341+IF(Source_Data!AW$6=Inputs!$B$13,Inputs!$B$7,0))/AW344,"")</f>
        <v/>
      </c>
      <c r="AX348" s="31" t="str">
        <f aca="false">IF(AX344&gt;0,(AW346+AX341+IF(Source_Data!AX$6=Inputs!$B$13,Inputs!$B$7,0))/AX344,"")</f>
        <v/>
      </c>
      <c r="AY348" s="31" t="str">
        <f aca="false">IF(AY344&gt;0,(AX346+AY341+IF(Source_Data!AY$6=Inputs!$B$13,Inputs!$B$7,0))/AY344,"")</f>
        <v/>
      </c>
      <c r="AZ348" s="31" t="str">
        <f aca="false">IF(AZ344&gt;0,(AY346+AZ341+IF(Source_Data!AZ$6=Inputs!$B$13,Inputs!$B$7,0))/AZ344,"")</f>
        <v/>
      </c>
      <c r="BA348" s="31" t="str">
        <f aca="false">IF(BA344&gt;0,(AZ346+BA341+IF(Source_Data!BA$6=Inputs!$B$13,Inputs!$B$7,0))/BA344,"")</f>
        <v/>
      </c>
      <c r="BB348" s="31" t="str">
        <f aca="false">IF(BB344&gt;0,(BA346+BB341+IF(Source_Data!BB$6=Inputs!$B$13,Inputs!$B$7,0))/BB344,"")</f>
        <v/>
      </c>
      <c r="BC348" s="31" t="str">
        <f aca="false">IF(BC344&gt;0,(BB346+BC341+IF(Source_Data!BC$6=Inputs!$B$13,Inputs!$B$7,0))/BC344,"")</f>
        <v/>
      </c>
      <c r="BD348" s="31" t="str">
        <f aca="false">IF(BD344&gt;0,(BC346+BD341+IF(Source_Data!BD$6=Inputs!$B$13,Inputs!$B$7,0))/BD344,"")</f>
        <v/>
      </c>
      <c r="BE348" s="31" t="str">
        <f aca="false">IF(BE344&gt;0,(BD346+BE341+IF(Source_Data!BE$6=Inputs!$B$13,Inputs!$B$7,0))/BE344,"")</f>
        <v/>
      </c>
      <c r="BF348" s="31" t="str">
        <f aca="false">IF(BF344&gt;0,(BE346+BF341+IF(Source_Data!BF$6=Inputs!$B$13,Inputs!$B$7,0))/BF344,"")</f>
        <v/>
      </c>
      <c r="BG348" s="31" t="str">
        <f aca="false">IF(BG344&gt;0,(BF346+BG341+IF(Source_Data!BG$6=Inputs!$B$13,Inputs!$B$7,0))/BG344,"")</f>
        <v/>
      </c>
      <c r="BH348" s="31" t="str">
        <f aca="false">IF(BH344&gt;0,(BG346+BH341+IF(Source_Data!BH$6=Inputs!$B$13,Inputs!$B$7,0))/BH344,"")</f>
        <v/>
      </c>
      <c r="BI348" s="31" t="str">
        <f aca="false">IF(BI344&gt;0,(BH346+BI341+IF(Source_Data!BI$6=Inputs!$B$13,Inputs!$B$7,0))/BI344,"")</f>
        <v/>
      </c>
      <c r="BJ348" s="31" t="str">
        <f aca="false">IF(BJ344&gt;0,(BI346+BJ341+IF(Source_Data!BJ$6=Inputs!$B$13,Inputs!$B$7,0))/BJ344,"")</f>
        <v/>
      </c>
      <c r="BK348" s="31" t="str">
        <f aca="false">IF(BK344&gt;0,(BJ346+BK341+IF(Source_Data!BK$6=Inputs!$B$13,Inputs!$B$7,0))/BK344,"")</f>
        <v/>
      </c>
    </row>
    <row r="350" customFormat="false" ht="15" hidden="false" customHeight="false" outlineLevel="0" collapsed="false">
      <c r="A350" s="2" t="s">
        <v>222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347</v>
      </c>
      <c r="B351" s="41" t="n">
        <f aca="false">SUMPRODUCT(D341:BK341,Project_CF!$D$15:$BK$15)</f>
        <v>116.785849381589</v>
      </c>
    </row>
    <row r="352" customFormat="false" ht="15" hidden="false" customHeight="false" outlineLevel="0" collapsed="false">
      <c r="A352" s="2" t="s">
        <v>164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348</v>
      </c>
      <c r="B353" s="35" t="n">
        <f aca="false">INDEX(Project_CF!$D$6:$BK$6,MATCH(MIN(D342:BK342),D342:BK342,0))</f>
        <v>18</v>
      </c>
    </row>
    <row r="354" customFormat="false" ht="15" hidden="false" customHeight="false" outlineLevel="0" collapsed="false">
      <c r="A354" s="2" t="s">
        <v>349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350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351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352</v>
      </c>
      <c r="B357" s="41" t="n">
        <f aca="false">MIN(D346:BK346)</f>
        <v>-95.1020403125</v>
      </c>
    </row>
    <row r="358" customFormat="false" ht="15" hidden="false" customHeight="false" outlineLevel="0" collapsed="false">
      <c r="A358" s="2" t="s">
        <v>353</v>
      </c>
      <c r="B358" s="43" t="n">
        <f aca="false">MIN(D347:BK347)</f>
        <v>-14.5579708695652</v>
      </c>
    </row>
    <row r="359" customFormat="false" ht="15" hidden="false" customHeight="false" outlineLevel="0" collapsed="false">
      <c r="A359" s="2" t="s">
        <v>354</v>
      </c>
      <c r="B359" s="35" t="n">
        <f aca="false">COUNTIF(D347:BK347,"&lt;"&amp;Inputs!$B$44)</f>
        <v>8</v>
      </c>
    </row>
    <row r="360" customFormat="false" ht="15" hidden="false" customHeight="false" outlineLevel="0" collapsed="false">
      <c r="A360" s="2" t="s">
        <v>355</v>
      </c>
      <c r="B360" s="43" t="n">
        <f aca="false">MIN(D348:BK348)</f>
        <v>-5.61579410869565</v>
      </c>
    </row>
    <row r="361" customFormat="false" ht="15" hidden="false" customHeight="false" outlineLevel="0" collapsed="false">
      <c r="A361" s="2" t="s">
        <v>356</v>
      </c>
      <c r="B361" s="35" t="n">
        <f aca="false">COUNTIF(D348:BK348,"&lt;"&amp;Inputs!$B$44)</f>
        <v>6</v>
      </c>
    </row>
    <row r="364" customFormat="false" ht="15" hidden="false" customHeight="false" outlineLevel="0" collapsed="false">
      <c r="A364" s="8" t="s">
        <v>369</v>
      </c>
    </row>
    <row r="365" customFormat="false" ht="15" hidden="false" customHeight="false" outlineLevel="0" collapsed="false">
      <c r="A365" s="3" t="s">
        <v>333</v>
      </c>
      <c r="B365" s="45" t="n">
        <v>1</v>
      </c>
    </row>
    <row r="366" customFormat="false" ht="15" hidden="false" customHeight="false" outlineLevel="0" collapsed="false">
      <c r="A366" s="3" t="s">
        <v>334</v>
      </c>
      <c r="B366" s="45" t="n">
        <v>0</v>
      </c>
    </row>
    <row r="367" customFormat="false" ht="15" hidden="false" customHeight="false" outlineLevel="0" collapsed="false">
      <c r="A367" s="3" t="s">
        <v>335</v>
      </c>
      <c r="B367" s="45" t="n">
        <v>1</v>
      </c>
    </row>
    <row r="368" customFormat="false" ht="15" hidden="false" customHeight="false" outlineLevel="0" collapsed="false">
      <c r="A368" s="3" t="s">
        <v>336</v>
      </c>
      <c r="B368" s="45" t="n">
        <v>1</v>
      </c>
    </row>
    <row r="369" customFormat="false" ht="15" hidden="false" customHeight="false" outlineLevel="0" collapsed="false">
      <c r="A369" s="3" t="s">
        <v>337</v>
      </c>
      <c r="B369" s="45" t="n">
        <v>0</v>
      </c>
    </row>
    <row r="370" customFormat="false" ht="15" hidden="false" customHeight="false" outlineLevel="0" collapsed="false">
      <c r="A370" s="3" t="s">
        <v>338</v>
      </c>
      <c r="B370" s="3" t="n">
        <f aca="false">Inputs!$B$14+3+3*$B$366</f>
        <v>45</v>
      </c>
    </row>
    <row r="371" customFormat="false" ht="15" hidden="false" customHeight="false" outlineLevel="0" collapsed="false">
      <c r="A371" s="3" t="s">
        <v>339</v>
      </c>
      <c r="D371" s="33" t="n">
        <f aca="false">Source_Data!D$7+IF($B$369=1,IF(Source_Data!D$6=Inputs!$B$14,Source_Data!$C$8,0),Source_Data!D$8)</f>
        <v>0</v>
      </c>
      <c r="E371" s="33" t="n">
        <f aca="false">Source_Data!E$7+IF($B$369=1,IF(Source_Data!E$6=Inputs!$B$14,Source_Data!$C$8,0),Source_Data!E$8)</f>
        <v>0</v>
      </c>
      <c r="F371" s="33" t="n">
        <f aca="false">Source_Data!F$7+IF($B$369=1,IF(Source_Data!F$6=Inputs!$B$14,Source_Data!$C$8,0),Source_Data!F$8)</f>
        <v>15.1392375</v>
      </c>
      <c r="G371" s="33" t="n">
        <f aca="false">Source_Data!G$7+IF($B$369=1,IF(Source_Data!G$6=Inputs!$B$14,Source_Data!$C$8,0),Source_Data!G$8)</f>
        <v>30.278475</v>
      </c>
      <c r="H371" s="33" t="n">
        <f aca="false">Source_Data!H$7+IF($B$369=1,IF(Source_Data!H$6=Inputs!$B$14,Source_Data!$C$8,0),Source_Data!H$8)</f>
        <v>46.51200625</v>
      </c>
      <c r="I371" s="33" t="n">
        <f aca="false">Source_Data!I$7+IF($B$369=1,IF(Source_Data!I$6=Inputs!$B$14,Source_Data!$C$8,0),Source_Data!I$8)</f>
        <v>62.7455375</v>
      </c>
      <c r="J371" s="33" t="n">
        <f aca="false">Source_Data!J$7+IF($B$369=1,IF(Source_Data!J$6=Inputs!$B$14,Source_Data!$C$8,0),Source_Data!J$8)</f>
        <v>62.3657</v>
      </c>
      <c r="K371" s="33" t="n">
        <f aca="false">Source_Data!K$7+IF($B$369=1,IF(Source_Data!K$6=Inputs!$B$14,Source_Data!$C$8,0),Source_Data!K$8)</f>
        <v>63.473559375</v>
      </c>
      <c r="L371" s="33" t="n">
        <f aca="false">Source_Data!L$7+IF($B$369=1,IF(Source_Data!L$6=Inputs!$B$14,Source_Data!$C$8,0),Source_Data!L$8)</f>
        <v>80.3288484375</v>
      </c>
      <c r="M371" s="33" t="n">
        <f aca="false">Source_Data!M$7+IF($B$369=1,IF(Source_Data!M$6=Inputs!$B$14,Source_Data!$C$8,0),Source_Data!M$8)</f>
        <v>495.2538375</v>
      </c>
      <c r="N371" s="33" t="n">
        <f aca="false">Source_Data!N$7+IF($B$369=1,IF(Source_Data!N$6=Inputs!$B$14,Source_Data!$C$8,0),Source_Data!N$8)</f>
        <v>185.57775</v>
      </c>
      <c r="O371" s="33" t="n">
        <f aca="false">Source_Data!O$7+IF($B$369=1,IF(Source_Data!O$6=Inputs!$B$14,Source_Data!$C$8,0),Source_Data!O$8)</f>
        <v>176.534</v>
      </c>
      <c r="P371" s="33" t="n">
        <f aca="false">Source_Data!P$7+IF($B$369=1,IF(Source_Data!P$6=Inputs!$B$14,Source_Data!$C$8,0),Source_Data!P$8)</f>
        <v>97.31075</v>
      </c>
      <c r="Q371" s="33" t="n">
        <f aca="false">Source_Data!Q$7+IF($B$369=1,IF(Source_Data!Q$6=Inputs!$B$14,Source_Data!$C$8,0),Source_Data!Q$8)</f>
        <v>71.30996875</v>
      </c>
      <c r="R371" s="33" t="n">
        <f aca="false">Source_Data!R$7+IF($B$369=1,IF(Source_Data!R$6=Inputs!$B$14,Source_Data!$C$8,0),Source_Data!R$8)</f>
        <v>71.30996875</v>
      </c>
      <c r="S371" s="33" t="n">
        <f aca="false">Source_Data!S$7+IF($B$369=1,IF(Source_Data!S$6=Inputs!$B$14,Source_Data!$C$8,0),Source_Data!S$8)</f>
        <v>68.037035625</v>
      </c>
      <c r="T371" s="33" t="n">
        <f aca="false">Source_Data!T$7+IF($B$369=1,IF(Source_Data!T$6=Inputs!$B$14,Source_Data!$C$8,0),Source_Data!T$8)</f>
        <v>61.2266396875</v>
      </c>
      <c r="U371" s="33" t="n">
        <f aca="false">Source_Data!U$7+IF($B$369=1,IF(Source_Data!U$6=Inputs!$B$14,Source_Data!$C$8,0),Source_Data!U$8)</f>
        <v>59.7127159375</v>
      </c>
      <c r="V371" s="33" t="n">
        <f aca="false">Source_Data!V$7+IF($B$369=1,IF(Source_Data!V$6=Inputs!$B$14,Source_Data!$C$8,0),Source_Data!V$8)</f>
        <v>53.7239446875</v>
      </c>
      <c r="W371" s="33" t="n">
        <f aca="false">Source_Data!W$7+IF($B$369=1,IF(Source_Data!W$6=Inputs!$B$14,Source_Data!$C$8,0),Source_Data!W$8)</f>
        <v>49.3829446875</v>
      </c>
      <c r="X371" s="33" t="n">
        <f aca="false">Source_Data!X$7+IF($B$369=1,IF(Source_Data!X$6=Inputs!$B$14,Source_Data!$C$8,0),Source_Data!X$8)</f>
        <v>49.3829446875</v>
      </c>
      <c r="Y371" s="33" t="n">
        <f aca="false">Source_Data!Y$7+IF($B$369=1,IF(Source_Data!Y$6=Inputs!$B$14,Source_Data!$C$8,0),Source_Data!Y$8)</f>
        <v>42.1027259375</v>
      </c>
      <c r="Z371" s="33" t="n">
        <f aca="false">Source_Data!Z$7+IF($B$369=1,IF(Source_Data!Z$6=Inputs!$B$14,Source_Data!$C$8,0),Source_Data!Z$8)</f>
        <v>42.1027259375</v>
      </c>
      <c r="AA371" s="33" t="n">
        <f aca="false">Source_Data!AA$7+IF($B$369=1,IF(Source_Data!AA$6=Inputs!$B$14,Source_Data!$C$8,0),Source_Data!AA$8)</f>
        <v>42.1027259375</v>
      </c>
      <c r="AB371" s="33" t="n">
        <f aca="false">Source_Data!AB$7+IF($B$369=1,IF(Source_Data!AB$6=Inputs!$B$14,Source_Data!$C$8,0),Source_Data!AB$8)</f>
        <v>36.3147259375</v>
      </c>
      <c r="AC371" s="33" t="n">
        <f aca="false">Source_Data!AC$7+IF($B$369=1,IF(Source_Data!AC$6=Inputs!$B$14,Source_Data!$C$8,0),Source_Data!AC$8)</f>
        <v>33.0386275</v>
      </c>
      <c r="AD371" s="33" t="n">
        <f aca="false">Source_Data!AD$7+IF($B$369=1,IF(Source_Data!AD$6=Inputs!$B$14,Source_Data!$C$8,0),Source_Data!AD$8)</f>
        <v>29.43017125</v>
      </c>
      <c r="AE371" s="33" t="n">
        <f aca="false">Source_Data!AE$7+IF($B$369=1,IF(Source_Data!AE$6=Inputs!$B$14,Source_Data!$C$8,0),Source_Data!AE$8)</f>
        <v>25.08917125</v>
      </c>
      <c r="AF371" s="33" t="n">
        <f aca="false">Source_Data!AF$7+IF($B$369=1,IF(Source_Data!AF$6=Inputs!$B$14,Source_Data!$C$8,0),Source_Data!AF$8)</f>
        <v>25.08917125</v>
      </c>
      <c r="AG371" s="33" t="n">
        <f aca="false">Source_Data!AG$7+IF($B$369=1,IF(Source_Data!AG$6=Inputs!$B$14,Source_Data!$C$8,0),Source_Data!AG$8)</f>
        <v>25.08917125</v>
      </c>
      <c r="AH371" s="33" t="n">
        <f aca="false">Source_Data!AH$7+IF($B$369=1,IF(Source_Data!AH$6=Inputs!$B$14,Source_Data!$C$8,0),Source_Data!AH$8)</f>
        <v>25.08917125</v>
      </c>
      <c r="AI371" s="33" t="n">
        <f aca="false">Source_Data!AI$7+IF($B$369=1,IF(Source_Data!AI$6=Inputs!$B$14,Source_Data!$C$8,0),Source_Data!AI$8)</f>
        <v>25.08917125</v>
      </c>
      <c r="AJ371" s="33" t="n">
        <f aca="false">Source_Data!AJ$7+IF($B$369=1,IF(Source_Data!AJ$6=Inputs!$B$14,Source_Data!$C$8,0),Source_Data!AJ$8)</f>
        <v>25.08917125</v>
      </c>
      <c r="AK371" s="33" t="n">
        <f aca="false">Source_Data!AK$7+IF($B$369=1,IF(Source_Data!AK$6=Inputs!$B$14,Source_Data!$C$8,0),Source_Data!AK$8)</f>
        <v>22.905105625</v>
      </c>
      <c r="AL371" s="33" t="n">
        <f aca="false">Source_Data!AL$7+IF($B$369=1,IF(Source_Data!AL$6=Inputs!$B$14,Source_Data!$C$8,0),Source_Data!AL$8)</f>
        <v>22.905105625</v>
      </c>
      <c r="AM371" s="33" t="n">
        <f aca="false">Source_Data!AM$7+IF($B$369=1,IF(Source_Data!AM$6=Inputs!$B$14,Source_Data!$C$8,0),Source_Data!AM$8)</f>
        <v>18.739554375</v>
      </c>
      <c r="AN371" s="33" t="n">
        <f aca="false">Source_Data!AN$7+IF($B$369=1,IF(Source_Data!AN$6=Inputs!$B$14,Source_Data!$C$8,0),Source_Data!AN$8)</f>
        <v>9.6261675</v>
      </c>
      <c r="AO371" s="33" t="n">
        <f aca="false">Source_Data!AO$7+IF($B$369=1,IF(Source_Data!AO$6=Inputs!$B$14,Source_Data!$C$8,0),Source_Data!AO$8)</f>
        <v>3.5704725</v>
      </c>
      <c r="AP371" s="33" t="n">
        <f aca="false">Source_Data!AP$7+IF($B$369=1,IF(Source_Data!AP$6=Inputs!$B$14,Source_Data!$C$8,0),Source_Data!AP$8)</f>
        <v>0</v>
      </c>
      <c r="AQ371" s="33" t="n">
        <f aca="false">Source_Data!AQ$7+IF($B$369=1,IF(Source_Data!AQ$6=Inputs!$B$14,Source_Data!$C$8,0),Source_Data!AQ$8)</f>
        <v>0</v>
      </c>
      <c r="AR371" s="33" t="n">
        <f aca="false">Source_Data!AR$7+IF($B$369=1,IF(Source_Data!AR$6=Inputs!$B$14,Source_Data!$C$8,0),Source_Data!AR$8)</f>
        <v>0</v>
      </c>
      <c r="AS371" s="33" t="n">
        <f aca="false">Source_Data!AS$7+IF($B$369=1,IF(Source_Data!AS$6=Inputs!$B$14,Source_Data!$C$8,0),Source_Data!AS$8)</f>
        <v>0</v>
      </c>
      <c r="AT371" s="33" t="n">
        <f aca="false">Source_Data!AT$7+IF($B$369=1,IF(Source_Data!AT$6=Inputs!$B$14,Source_Data!$C$8,0),Source_Data!AT$8)</f>
        <v>0</v>
      </c>
      <c r="AU371" s="33" t="n">
        <f aca="false">Source_Data!AU$7+IF($B$369=1,IF(Source_Data!AU$6=Inputs!$B$14,Source_Data!$C$8,0),Source_Data!AU$8)</f>
        <v>0</v>
      </c>
      <c r="AV371" s="33" t="n">
        <f aca="false">Source_Data!AV$7+IF($B$369=1,IF(Source_Data!AV$6=Inputs!$B$14,Source_Data!$C$8,0),Source_Data!AV$8)</f>
        <v>0</v>
      </c>
      <c r="AW371" s="33" t="n">
        <f aca="false">Source_Data!AW$7+IF($B$369=1,IF(Source_Data!AW$6=Inputs!$B$14,Source_Data!$C$8,0),Source_Data!AW$8)</f>
        <v>0</v>
      </c>
      <c r="AX371" s="33" t="n">
        <f aca="false">Source_Data!AX$7+IF($B$369=1,IF(Source_Data!AX$6=Inputs!$B$14,Source_Data!$C$8,0),Source_Data!AX$8)</f>
        <v>0</v>
      </c>
      <c r="AY371" s="33" t="n">
        <f aca="false">Source_Data!AY$7+IF($B$369=1,IF(Source_Data!AY$6=Inputs!$B$14,Source_Data!$C$8,0),Source_Data!AY$8)</f>
        <v>0</v>
      </c>
      <c r="AZ371" s="33" t="n">
        <f aca="false">Source_Data!AZ$7+IF($B$369=1,IF(Source_Data!AZ$6=Inputs!$B$14,Source_Data!$C$8,0),Source_Data!AZ$8)</f>
        <v>0</v>
      </c>
      <c r="BA371" s="33" t="n">
        <f aca="false">Source_Data!BA$7+IF($B$369=1,IF(Source_Data!BA$6=Inputs!$B$14,Source_Data!$C$8,0),Source_Data!BA$8)</f>
        <v>0</v>
      </c>
      <c r="BB371" s="33" t="n">
        <f aca="false">Source_Data!BB$7+IF($B$369=1,IF(Source_Data!BB$6=Inputs!$B$14,Source_Data!$C$8,0),Source_Data!BB$8)</f>
        <v>0</v>
      </c>
      <c r="BC371" s="33" t="n">
        <f aca="false">Source_Data!BC$7+IF($B$369=1,IF(Source_Data!BC$6=Inputs!$B$14,Source_Data!$C$8,0),Source_Data!BC$8)</f>
        <v>0</v>
      </c>
      <c r="BD371" s="33" t="n">
        <f aca="false">Source_Data!BD$7+IF($B$369=1,IF(Source_Data!BD$6=Inputs!$B$14,Source_Data!$C$8,0),Source_Data!BD$8)</f>
        <v>0</v>
      </c>
      <c r="BE371" s="33" t="n">
        <f aca="false">Source_Data!BE$7+IF($B$369=1,IF(Source_Data!BE$6=Inputs!$B$14,Source_Data!$C$8,0),Source_Data!BE$8)</f>
        <v>0</v>
      </c>
      <c r="BF371" s="33" t="n">
        <f aca="false">Source_Data!BF$7+IF($B$369=1,IF(Source_Data!BF$6=Inputs!$B$14,Source_Data!$C$8,0),Source_Data!BF$8)</f>
        <v>0</v>
      </c>
      <c r="BG371" s="33" t="n">
        <f aca="false">Source_Data!BG$7+IF($B$369=1,IF(Source_Data!BG$6=Inputs!$B$14,Source_Data!$C$8,0),Source_Data!BG$8)</f>
        <v>0</v>
      </c>
      <c r="BH371" s="33" t="n">
        <f aca="false">Source_Data!BH$7+IF($B$369=1,IF(Source_Data!BH$6=Inputs!$B$14,Source_Data!$C$8,0),Source_Data!BH$8)</f>
        <v>0</v>
      </c>
      <c r="BI371" s="33" t="n">
        <f aca="false">Source_Data!BI$7+IF($B$369=1,IF(Source_Data!BI$6=Inputs!$B$14,Source_Data!$C$8,0),Source_Data!BI$8)</f>
        <v>0</v>
      </c>
      <c r="BJ371" s="33" t="n">
        <f aca="false">Source_Data!BJ$7+IF($B$369=1,IF(Source_Data!BJ$6=Inputs!$B$14,Source_Data!$C$8,0),Source_Data!BJ$8)</f>
        <v>0</v>
      </c>
      <c r="BK371" s="33" t="n">
        <f aca="false">Source_Data!BK$7+IF($B$369=1,IF(Source_Data!BK$6=Inputs!$B$14,Source_Data!$C$8,0),Source_Data!BK$8)</f>
        <v>0</v>
      </c>
    </row>
    <row r="372" customFormat="false" ht="15" hidden="false" customHeight="false" outlineLevel="0" collapsed="false">
      <c r="A372" s="3" t="s">
        <v>215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340</v>
      </c>
      <c r="D373" s="33" t="n">
        <f aca="false">Source_Data!D$9+Source_Data!D$10*IF(Source_Data!$C$10=0,0,MAX(0,Inputs!$B$20*Inputs!$B$23*$B$365-Inputs!$B$21)/Source_Data!$C$10)</f>
        <v>91.25</v>
      </c>
      <c r="E373" s="33" t="n">
        <f aca="false">Source_Data!E$9+Source_Data!E$10*IF(Source_Data!$C$10=0,0,MAX(0,Inputs!$B$20*Inputs!$B$23*$B$365-Inputs!$B$21)/Source_Data!$C$10)</f>
        <v>11.25</v>
      </c>
      <c r="F373" s="33" t="n">
        <f aca="false">Source_Data!F$9+Source_Data!F$10*IF(Source_Data!$C$10=0,0,MAX(0,Inputs!$B$20*Inputs!$B$23*$B$365-Inputs!$B$21)/Source_Data!$C$10)</f>
        <v>11.25</v>
      </c>
      <c r="G373" s="33" t="n">
        <f aca="false">Source_Data!G$9+Source_Data!G$10*IF(Source_Data!$C$10=0,0,MAX(0,Inputs!$B$20*Inputs!$B$23*$B$365-Inputs!$B$21)/Source_Data!$C$10)</f>
        <v>11.25</v>
      </c>
      <c r="H373" s="33" t="n">
        <f aca="false">Source_Data!H$9+Source_Data!H$10*IF(Source_Data!$C$10=0,0,MAX(0,Inputs!$B$20*Inputs!$B$23*$B$365-Inputs!$B$21)/Source_Data!$C$10)</f>
        <v>22.5</v>
      </c>
      <c r="I373" s="33" t="n">
        <f aca="false">Source_Data!I$9+Source_Data!I$10*IF(Source_Data!$C$10=0,0,MAX(0,Inputs!$B$20*Inputs!$B$23*$B$365-Inputs!$B$21)/Source_Data!$C$10)</f>
        <v>22.5</v>
      </c>
      <c r="J373" s="33" t="n">
        <f aca="false">Source_Data!J$9+Source_Data!J$10*IF(Source_Data!$C$10=0,0,MAX(0,Inputs!$B$20*Inputs!$B$23*$B$365-Inputs!$B$21)/Source_Data!$C$10)</f>
        <v>22.5</v>
      </c>
      <c r="K373" s="33" t="n">
        <f aca="false">Source_Data!K$9+Source_Data!K$10*IF(Source_Data!$C$10=0,0,MAX(0,Inputs!$B$20*Inputs!$B$23*$B$365-Inputs!$B$21)/Source_Data!$C$10)</f>
        <v>22.5</v>
      </c>
      <c r="L373" s="33" t="n">
        <f aca="false">Source_Data!L$9+Source_Data!L$10*IF(Source_Data!$C$10=0,0,MAX(0,Inputs!$B$20*Inputs!$B$23*$B$365-Inputs!$B$21)/Source_Data!$C$10)</f>
        <v>33.75</v>
      </c>
      <c r="M373" s="33" t="n">
        <f aca="false">Source_Data!M$9+Source_Data!M$10*IF(Source_Data!$C$10=0,0,MAX(0,Inputs!$B$20*Inputs!$B$23*$B$365-Inputs!$B$21)/Source_Data!$C$10)</f>
        <v>33.75</v>
      </c>
      <c r="N373" s="33" t="n">
        <f aca="false">Source_Data!N$9+Source_Data!N$10*IF(Source_Data!$C$10=0,0,MAX(0,Inputs!$B$20*Inputs!$B$23*$B$365-Inputs!$B$21)/Source_Data!$C$10)</f>
        <v>33.75</v>
      </c>
      <c r="O373" s="33" t="n">
        <f aca="false">Source_Data!O$9+Source_Data!O$10*IF(Source_Data!$C$10=0,0,MAX(0,Inputs!$B$20*Inputs!$B$23*$B$365-Inputs!$B$21)/Source_Data!$C$10)</f>
        <v>33.75</v>
      </c>
      <c r="P373" s="33" t="n">
        <f aca="false">Source_Data!P$9+Source_Data!P$10*IF(Source_Data!$C$10=0,0,MAX(0,Inputs!$B$20*Inputs!$B$23*$B$365-Inputs!$B$21)/Source_Data!$C$10)</f>
        <v>45</v>
      </c>
      <c r="Q373" s="33" t="n">
        <f aca="false">Source_Data!Q$9+Source_Data!Q$10*IF(Source_Data!$C$10=0,0,MAX(0,Inputs!$B$20*Inputs!$B$23*$B$365-Inputs!$B$21)/Source_Data!$C$10)</f>
        <v>45</v>
      </c>
      <c r="R373" s="33" t="n">
        <f aca="false">Source_Data!R$9+Source_Data!R$10*IF(Source_Data!$C$10=0,0,MAX(0,Inputs!$B$20*Inputs!$B$23*$B$365-Inputs!$B$21)/Source_Data!$C$10)</f>
        <v>45</v>
      </c>
      <c r="S373" s="33" t="n">
        <f aca="false">Source_Data!S$9+Source_Data!S$10*IF(Source_Data!$C$10=0,0,MAX(0,Inputs!$B$20*Inputs!$B$23*$B$365-Inputs!$B$21)/Source_Data!$C$10)</f>
        <v>45</v>
      </c>
      <c r="T373" s="33" t="n">
        <f aca="false">Source_Data!T$9+Source_Data!T$10*IF(Source_Data!$C$10=0,0,MAX(0,Inputs!$B$20*Inputs!$B$23*$B$365-Inputs!$B$21)/Source_Data!$C$10)</f>
        <v>45</v>
      </c>
      <c r="U373" s="33" t="n">
        <f aca="false">Source_Data!U$9+Source_Data!U$10*IF(Source_Data!$C$10=0,0,MAX(0,Inputs!$B$20*Inputs!$B$23*$B$365-Inputs!$B$21)/Source_Data!$C$10)</f>
        <v>45</v>
      </c>
      <c r="V373" s="33" t="n">
        <f aca="false">Source_Data!V$9+Source_Data!V$10*IF(Source_Data!$C$10=0,0,MAX(0,Inputs!$B$20*Inputs!$B$23*$B$365-Inputs!$B$21)/Source_Data!$C$10)</f>
        <v>45</v>
      </c>
      <c r="W373" s="33" t="n">
        <f aca="false">Source_Data!W$9+Source_Data!W$10*IF(Source_Data!$C$10=0,0,MAX(0,Inputs!$B$20*Inputs!$B$23*$B$365-Inputs!$B$21)/Source_Data!$C$10)</f>
        <v>45</v>
      </c>
      <c r="X373" s="33" t="n">
        <f aca="false">Source_Data!X$9+Source_Data!X$10*IF(Source_Data!$C$10=0,0,MAX(0,Inputs!$B$20*Inputs!$B$23*$B$365-Inputs!$B$21)/Source_Data!$C$10)</f>
        <v>22.5</v>
      </c>
      <c r="Y373" s="33" t="n">
        <f aca="false">Source_Data!Y$9+Source_Data!Y$10*IF(Source_Data!$C$10=0,0,MAX(0,Inputs!$B$20*Inputs!$B$23*$B$365-Inputs!$B$21)/Source_Data!$C$10)</f>
        <v>22.5</v>
      </c>
      <c r="Z373" s="33" t="n">
        <f aca="false">Source_Data!Z$9+Source_Data!Z$10*IF(Source_Data!$C$10=0,0,MAX(0,Inputs!$B$20*Inputs!$B$23*$B$365-Inputs!$B$21)/Source_Data!$C$10)</f>
        <v>22.5</v>
      </c>
      <c r="AA373" s="33" t="n">
        <f aca="false">Source_Data!AA$9+Source_Data!AA$10*IF(Source_Data!$C$10=0,0,MAX(0,Inputs!$B$20*Inputs!$B$23*$B$365-Inputs!$B$21)/Source_Data!$C$10)</f>
        <v>22.5</v>
      </c>
      <c r="AB373" s="33" t="n">
        <f aca="false">Source_Data!AB$9+Source_Data!AB$10*IF(Source_Data!$C$10=0,0,MAX(0,Inputs!$B$20*Inputs!$B$23*$B$365-Inputs!$B$21)/Source_Data!$C$10)</f>
        <v>0</v>
      </c>
      <c r="AC373" s="33" t="n">
        <f aca="false">Source_Data!AC$9+Source_Data!AC$10*IF(Source_Data!$C$10=0,0,MAX(0,Inputs!$B$20*Inputs!$B$23*$B$365-Inputs!$B$21)/Source_Data!$C$10)</f>
        <v>0</v>
      </c>
      <c r="AD373" s="33" t="n">
        <f aca="false">Source_Data!AD$9+Source_Data!AD$10*IF(Source_Data!$C$10=0,0,MAX(0,Inputs!$B$20*Inputs!$B$23*$B$365-Inputs!$B$21)/Source_Data!$C$10)</f>
        <v>0</v>
      </c>
      <c r="AE373" s="33" t="n">
        <f aca="false">Source_Data!AE$9+Source_Data!AE$10*IF(Source_Data!$C$10=0,0,MAX(0,Inputs!$B$20*Inputs!$B$23*$B$365-Inputs!$B$21)/Source_Data!$C$10)</f>
        <v>0</v>
      </c>
      <c r="AF373" s="33" t="n">
        <f aca="false">Source_Data!AF$9+Source_Data!AF$10*IF(Source_Data!$C$10=0,0,MAX(0,Inputs!$B$20*Inputs!$B$23*$B$365-Inputs!$B$21)/Source_Data!$C$10)</f>
        <v>107.758210351563</v>
      </c>
      <c r="AG373" s="33" t="n">
        <f aca="false">Source_Data!AG$9+Source_Data!AG$10*IF(Source_Data!$C$10=0,0,MAX(0,Inputs!$B$20*Inputs!$B$23*$B$365-Inputs!$B$21)/Source_Data!$C$10)</f>
        <v>10.976512421875</v>
      </c>
      <c r="AH373" s="33" t="n">
        <f aca="false">Source_Data!AH$9+Source_Data!AH$10*IF(Source_Data!$C$10=0,0,MAX(0,Inputs!$B$20*Inputs!$B$23*$B$365-Inputs!$B$21)/Source_Data!$C$10)</f>
        <v>10.976512421875</v>
      </c>
      <c r="AI373" s="33" t="n">
        <f aca="false">Source_Data!AI$9+Source_Data!AI$10*IF(Source_Data!$C$10=0,0,MAX(0,Inputs!$B$20*Inputs!$B$23*$B$365-Inputs!$B$21)/Source_Data!$C$10)</f>
        <v>10.976512421875</v>
      </c>
      <c r="AJ373" s="33" t="n">
        <f aca="false">Source_Data!AJ$9+Source_Data!AJ$10*IF(Source_Data!$C$10=0,0,MAX(0,Inputs!$B$20*Inputs!$B$23*$B$365-Inputs!$B$21)/Source_Data!$C$10)</f>
        <v>10.976512421875</v>
      </c>
      <c r="AK373" s="33" t="n">
        <f aca="false">Source_Data!AK$9+Source_Data!AK$10*IF(Source_Data!$C$10=0,0,MAX(0,Inputs!$B$20*Inputs!$B$23*$B$365-Inputs!$B$21)/Source_Data!$C$10)</f>
        <v>10.0209837109375</v>
      </c>
      <c r="AL373" s="33" t="n">
        <f aca="false">Source_Data!AL$9+Source_Data!AL$10*IF(Source_Data!$C$10=0,0,MAX(0,Inputs!$B$20*Inputs!$B$23*$B$365-Inputs!$B$21)/Source_Data!$C$10)</f>
        <v>10.0209837109375</v>
      </c>
      <c r="AM373" s="33" t="n">
        <f aca="false">Source_Data!AM$9+Source_Data!AM$10*IF(Source_Data!$C$10=0,0,MAX(0,Inputs!$B$20*Inputs!$B$23*$B$365-Inputs!$B$21)/Source_Data!$C$10)</f>
        <v>8.19855503906249</v>
      </c>
      <c r="AN373" s="33" t="n">
        <f aca="false">Source_Data!AN$9+Source_Data!AN$10*IF(Source_Data!$C$10=0,0,MAX(0,Inputs!$B$20*Inputs!$B$23*$B$365-Inputs!$B$21)/Source_Data!$C$10)</f>
        <v>4.21144828125</v>
      </c>
      <c r="AO373" s="33" t="n">
        <f aca="false">Source_Data!AO$9+Source_Data!AO$10*IF(Source_Data!$C$10=0,0,MAX(0,Inputs!$B$20*Inputs!$B$23*$B$365-Inputs!$B$21)/Source_Data!$C$10)</f>
        <v>1.56208171875</v>
      </c>
      <c r="AP373" s="33" t="n">
        <f aca="false">Source_Data!AP$9+Source_Data!AP$10*IF(Source_Data!$C$10=0,0,MAX(0,Inputs!$B$20*Inputs!$B$23*$B$365-Inputs!$B$21)/Source_Data!$C$10)</f>
        <v>0</v>
      </c>
      <c r="AQ373" s="33" t="n">
        <f aca="false">Source_Data!AQ$9+Source_Data!AQ$10*IF(Source_Data!$C$10=0,0,MAX(0,Inputs!$B$20*Inputs!$B$23*$B$365-Inputs!$B$21)/Source_Data!$C$10)</f>
        <v>0</v>
      </c>
      <c r="AR373" s="33" t="n">
        <f aca="false">Source_Data!AR$9+Source_Data!AR$10*IF(Source_Data!$C$10=0,0,MAX(0,Inputs!$B$20*Inputs!$B$23*$B$365-Inputs!$B$21)/Source_Data!$C$10)</f>
        <v>0</v>
      </c>
      <c r="AS373" s="33" t="n">
        <f aca="false">Source_Data!AS$9+Source_Data!AS$10*IF(Source_Data!$C$10=0,0,MAX(0,Inputs!$B$20*Inputs!$B$23*$B$365-Inputs!$B$21)/Source_Data!$C$10)</f>
        <v>0</v>
      </c>
      <c r="AT373" s="33" t="n">
        <f aca="false">Source_Data!AT$9+Source_Data!AT$10*IF(Source_Data!$C$10=0,0,MAX(0,Inputs!$B$20*Inputs!$B$23*$B$365-Inputs!$B$21)/Source_Data!$C$10)</f>
        <v>0</v>
      </c>
      <c r="AU373" s="33" t="n">
        <f aca="false">Source_Data!AU$9+Source_Data!AU$10*IF(Source_Data!$C$10=0,0,MAX(0,Inputs!$B$20*Inputs!$B$23*$B$365-Inputs!$B$21)/Source_Data!$C$10)</f>
        <v>0</v>
      </c>
      <c r="AV373" s="33" t="n">
        <f aca="false">Source_Data!AV$9+Source_Data!AV$10*IF(Source_Data!$C$10=0,0,MAX(0,Inputs!$B$20*Inputs!$B$23*$B$365-Inputs!$B$21)/Source_Data!$C$10)</f>
        <v>0</v>
      </c>
      <c r="AW373" s="33" t="n">
        <f aca="false">Source_Data!AW$9+Source_Data!AW$10*IF(Source_Data!$C$10=0,0,MAX(0,Inputs!$B$20*Inputs!$B$23*$B$365-Inputs!$B$21)/Source_Data!$C$10)</f>
        <v>0</v>
      </c>
      <c r="AX373" s="33" t="n">
        <f aca="false">Source_Data!AX$9+Source_Data!AX$10*IF(Source_Data!$C$10=0,0,MAX(0,Inputs!$B$20*Inputs!$B$23*$B$365-Inputs!$B$21)/Source_Data!$C$10)</f>
        <v>0</v>
      </c>
      <c r="AY373" s="33" t="n">
        <f aca="false">Source_Data!AY$9+Source_Data!AY$10*IF(Source_Data!$C$10=0,0,MAX(0,Inputs!$B$20*Inputs!$B$23*$B$365-Inputs!$B$21)/Source_Data!$C$10)</f>
        <v>0</v>
      </c>
      <c r="AZ373" s="33" t="n">
        <f aca="false">Source_Data!AZ$9+Source_Data!AZ$10*IF(Source_Data!$C$10=0,0,MAX(0,Inputs!$B$20*Inputs!$B$23*$B$365-Inputs!$B$21)/Source_Data!$C$10)</f>
        <v>0</v>
      </c>
      <c r="BA373" s="33" t="n">
        <f aca="false">Source_Data!BA$9+Source_Data!BA$10*IF(Source_Data!$C$10=0,0,MAX(0,Inputs!$B$20*Inputs!$B$23*$B$365-Inputs!$B$21)/Source_Data!$C$10)</f>
        <v>0</v>
      </c>
      <c r="BB373" s="33" t="n">
        <f aca="false">Source_Data!BB$9+Source_Data!BB$10*IF(Source_Data!$C$10=0,0,MAX(0,Inputs!$B$20*Inputs!$B$23*$B$365-Inputs!$B$21)/Source_Data!$C$10)</f>
        <v>0</v>
      </c>
      <c r="BC373" s="33" t="n">
        <f aca="false">Source_Data!BC$9+Source_Data!BC$10*IF(Source_Data!$C$10=0,0,MAX(0,Inputs!$B$20*Inputs!$B$23*$B$365-Inputs!$B$21)/Source_Data!$C$10)</f>
        <v>0</v>
      </c>
      <c r="BD373" s="33" t="n">
        <f aca="false">Source_Data!BD$9+Source_Data!BD$10*IF(Source_Data!$C$10=0,0,MAX(0,Inputs!$B$20*Inputs!$B$23*$B$365-Inputs!$B$21)/Source_Data!$C$10)</f>
        <v>0</v>
      </c>
      <c r="BE373" s="33" t="n">
        <f aca="false">Source_Data!BE$9+Source_Data!BE$10*IF(Source_Data!$C$10=0,0,MAX(0,Inputs!$B$20*Inputs!$B$23*$B$365-Inputs!$B$21)/Source_Data!$C$10)</f>
        <v>0</v>
      </c>
      <c r="BF373" s="33" t="n">
        <f aca="false">Source_Data!BF$9+Source_Data!BF$10*IF(Source_Data!$C$10=0,0,MAX(0,Inputs!$B$20*Inputs!$B$23*$B$365-Inputs!$B$21)/Source_Data!$C$10)</f>
        <v>0</v>
      </c>
      <c r="BG373" s="33" t="n">
        <f aca="false">Source_Data!BG$9+Source_Data!BG$10*IF(Source_Data!$C$10=0,0,MAX(0,Inputs!$B$20*Inputs!$B$23*$B$365-Inputs!$B$21)/Source_Data!$C$10)</f>
        <v>0</v>
      </c>
      <c r="BH373" s="33" t="n">
        <f aca="false">Source_Data!BH$9+Source_Data!BH$10*IF(Source_Data!$C$10=0,0,MAX(0,Inputs!$B$20*Inputs!$B$23*$B$365-Inputs!$B$21)/Source_Data!$C$10)</f>
        <v>0</v>
      </c>
      <c r="BI373" s="33" t="n">
        <f aca="false">Source_Data!BI$9+Source_Data!BI$10*IF(Source_Data!$C$10=0,0,MAX(0,Inputs!$B$20*Inputs!$B$23*$B$365-Inputs!$B$21)/Source_Data!$C$10)</f>
        <v>0</v>
      </c>
      <c r="BJ373" s="33" t="n">
        <f aca="false">Source_Data!BJ$9+Source_Data!BJ$10*IF(Source_Data!$C$10=0,0,MAX(0,Inputs!$B$20*Inputs!$B$23*$B$365-Inputs!$B$21)/Source_Data!$C$10)</f>
        <v>0</v>
      </c>
      <c r="BK373" s="33" t="n">
        <f aca="false">Source_Data!BK$9+Source_Data!BK$10*IF(Source_Data!$C$10=0,0,MAX(0,Inputs!$B$20*Inputs!$B$23*$B$365-Inputs!$B$21)/Source_Data!$C$10)</f>
        <v>0</v>
      </c>
    </row>
    <row r="374" customFormat="false" ht="15" hidden="false" customHeight="false" outlineLevel="0" collapsed="false">
      <c r="A374" s="3" t="s">
        <v>196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198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217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218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219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341</v>
      </c>
      <c r="D379" s="33" t="n">
        <f aca="false">IF(Source_Data!D$6=Inputs!$B$13,-Inputs!$B$7,0)+IF(AND(Source_Data!D$6&gt;=$B$370,Source_Data!D$6&lt;$B$370+3*Inputs!$B$17,MOD(Source_Data!D$6-$B$370,3)=0),Inputs!$B$8*Inputs!$B$7*Inputs!$B$35*$B$365*(1-Inputs!$B$16)/Inputs!$B$17,0)</f>
        <v>-75</v>
      </c>
      <c r="E379" s="33" t="n">
        <f aca="false">IF(Source_Data!E$6=Inputs!$B$13,-Inputs!$B$7,0)+IF(AND(Source_Data!E$6&gt;=$B$370,Source_Data!E$6&lt;$B$370+3*Inputs!$B$17,MOD(Source_Data!E$6-$B$370,3)=0),Inputs!$B$8*Inputs!$B$7*Inputs!$B$35*$B$365*(1-Inputs!$B$16)/Inputs!$B$17,0)</f>
        <v>0</v>
      </c>
      <c r="F379" s="33" t="n">
        <f aca="false">IF(Source_Data!F$6=Inputs!$B$13,-Inputs!$B$7,0)+IF(AND(Source_Data!F$6&gt;=$B$370,Source_Data!F$6&lt;$B$370+3*Inputs!$B$17,MOD(Source_Data!F$6-$B$370,3)=0),Inputs!$B$8*Inputs!$B$7*Inputs!$B$35*$B$365*(1-Inputs!$B$16)/Inputs!$B$17,0)</f>
        <v>0</v>
      </c>
      <c r="G379" s="33" t="n">
        <f aca="false">IF(Source_Data!G$6=Inputs!$B$13,-Inputs!$B$7,0)+IF(AND(Source_Data!G$6&gt;=$B$370,Source_Data!G$6&lt;$B$370+3*Inputs!$B$17,MOD(Source_Data!G$6-$B$370,3)=0),Inputs!$B$8*Inputs!$B$7*Inputs!$B$35*$B$365*(1-Inputs!$B$16)/Inputs!$B$17,0)</f>
        <v>0</v>
      </c>
      <c r="H379" s="33" t="n">
        <f aca="false">IF(Source_Data!H$6=Inputs!$B$13,-Inputs!$B$7,0)+IF(AND(Source_Data!H$6&gt;=$B$370,Source_Data!H$6&lt;$B$370+3*Inputs!$B$17,MOD(Source_Data!H$6-$B$370,3)=0),Inputs!$B$8*Inputs!$B$7*Inputs!$B$35*$B$365*(1-Inputs!$B$16)/Inputs!$B$17,0)</f>
        <v>0</v>
      </c>
      <c r="I379" s="33" t="n">
        <f aca="false">IF(Source_Data!I$6=Inputs!$B$13,-Inputs!$B$7,0)+IF(AND(Source_Data!I$6&gt;=$B$370,Source_Data!I$6&lt;$B$370+3*Inputs!$B$17,MOD(Source_Data!I$6-$B$370,3)=0),Inputs!$B$8*Inputs!$B$7*Inputs!$B$35*$B$365*(1-Inputs!$B$16)/Inputs!$B$17,0)</f>
        <v>0</v>
      </c>
      <c r="J379" s="33" t="n">
        <f aca="false">IF(Source_Data!J$6=Inputs!$B$13,-Inputs!$B$7,0)+IF(AND(Source_Data!J$6&gt;=$B$370,Source_Data!J$6&lt;$B$370+3*Inputs!$B$17,MOD(Source_Data!J$6-$B$370,3)=0),Inputs!$B$8*Inputs!$B$7*Inputs!$B$35*$B$365*(1-Inputs!$B$16)/Inputs!$B$17,0)</f>
        <v>0</v>
      </c>
      <c r="K379" s="33" t="n">
        <f aca="false">IF(Source_Data!K$6=Inputs!$B$13,-Inputs!$B$7,0)+IF(AND(Source_Data!K$6&gt;=$B$370,Source_Data!K$6&lt;$B$370+3*Inputs!$B$17,MOD(Source_Data!K$6-$B$370,3)=0),Inputs!$B$8*Inputs!$B$7*Inputs!$B$35*$B$365*(1-Inputs!$B$16)/Inputs!$B$17,0)</f>
        <v>0</v>
      </c>
      <c r="L379" s="33" t="n">
        <f aca="false">IF(Source_Data!L$6=Inputs!$B$13,-Inputs!$B$7,0)+IF(AND(Source_Data!L$6&gt;=$B$370,Source_Data!L$6&lt;$B$370+3*Inputs!$B$17,MOD(Source_Data!L$6-$B$370,3)=0),Inputs!$B$8*Inputs!$B$7*Inputs!$B$35*$B$365*(1-Inputs!$B$16)/Inputs!$B$17,0)</f>
        <v>0</v>
      </c>
      <c r="M379" s="33" t="n">
        <f aca="false">IF(Source_Data!M$6=Inputs!$B$13,-Inputs!$B$7,0)+IF(AND(Source_Data!M$6&gt;=$B$370,Source_Data!M$6&lt;$B$370+3*Inputs!$B$17,MOD(Source_Data!M$6-$B$370,3)=0),Inputs!$B$8*Inputs!$B$7*Inputs!$B$35*$B$365*(1-Inputs!$B$16)/Inputs!$B$17,0)</f>
        <v>0</v>
      </c>
      <c r="N379" s="33" t="n">
        <f aca="false">IF(Source_Data!N$6=Inputs!$B$13,-Inputs!$B$7,0)+IF(AND(Source_Data!N$6&gt;=$B$370,Source_Data!N$6&lt;$B$370+3*Inputs!$B$17,MOD(Source_Data!N$6-$B$370,3)=0),Inputs!$B$8*Inputs!$B$7*Inputs!$B$35*$B$365*(1-Inputs!$B$16)/Inputs!$B$17,0)</f>
        <v>0</v>
      </c>
      <c r="O379" s="33" t="n">
        <f aca="false">IF(Source_Data!O$6=Inputs!$B$13,-Inputs!$B$7,0)+IF(AND(Source_Data!O$6&gt;=$B$370,Source_Data!O$6&lt;$B$370+3*Inputs!$B$17,MOD(Source_Data!O$6-$B$370,3)=0),Inputs!$B$8*Inputs!$B$7*Inputs!$B$35*$B$365*(1-Inputs!$B$16)/Inputs!$B$17,0)</f>
        <v>0</v>
      </c>
      <c r="P379" s="33" t="n">
        <f aca="false">IF(Source_Data!P$6=Inputs!$B$13,-Inputs!$B$7,0)+IF(AND(Source_Data!P$6&gt;=$B$370,Source_Data!P$6&lt;$B$370+3*Inputs!$B$17,MOD(Source_Data!P$6-$B$370,3)=0),Inputs!$B$8*Inputs!$B$7*Inputs!$B$35*$B$365*(1-Inputs!$B$16)/Inputs!$B$17,0)</f>
        <v>0</v>
      </c>
      <c r="Q379" s="33" t="n">
        <f aca="false">IF(Source_Data!Q$6=Inputs!$B$13,-Inputs!$B$7,0)+IF(AND(Source_Data!Q$6&gt;=$B$370,Source_Data!Q$6&lt;$B$370+3*Inputs!$B$17,MOD(Source_Data!Q$6-$B$370,3)=0),Inputs!$B$8*Inputs!$B$7*Inputs!$B$35*$B$365*(1-Inputs!$B$16)/Inputs!$B$17,0)</f>
        <v>0</v>
      </c>
      <c r="R379" s="33" t="n">
        <f aca="false">IF(Source_Data!R$6=Inputs!$B$13,-Inputs!$B$7,0)+IF(AND(Source_Data!R$6&gt;=$B$370,Source_Data!R$6&lt;$B$370+3*Inputs!$B$17,MOD(Source_Data!R$6-$B$370,3)=0),Inputs!$B$8*Inputs!$B$7*Inputs!$B$35*$B$365*(1-Inputs!$B$16)/Inputs!$B$17,0)</f>
        <v>0</v>
      </c>
      <c r="S379" s="33" t="n">
        <f aca="false">IF(Source_Data!S$6=Inputs!$B$13,-Inputs!$B$7,0)+IF(AND(Source_Data!S$6&gt;=$B$370,Source_Data!S$6&lt;$B$370+3*Inputs!$B$17,MOD(Source_Data!S$6-$B$370,3)=0),Inputs!$B$8*Inputs!$B$7*Inputs!$B$35*$B$365*(1-Inputs!$B$16)/Inputs!$B$17,0)</f>
        <v>0</v>
      </c>
      <c r="T379" s="33" t="n">
        <f aca="false">IF(Source_Data!T$6=Inputs!$B$13,-Inputs!$B$7,0)+IF(AND(Source_Data!T$6&gt;=$B$370,Source_Data!T$6&lt;$B$370+3*Inputs!$B$17,MOD(Source_Data!T$6-$B$370,3)=0),Inputs!$B$8*Inputs!$B$7*Inputs!$B$35*$B$365*(1-Inputs!$B$16)/Inputs!$B$17,0)</f>
        <v>52.1505376344086</v>
      </c>
      <c r="U379" s="33" t="n">
        <f aca="false">IF(Source_Data!U$6=Inputs!$B$13,-Inputs!$B$7,0)+IF(AND(Source_Data!U$6&gt;=$B$370,Source_Data!U$6&lt;$B$370+3*Inputs!$B$17,MOD(Source_Data!U$6-$B$370,3)=0),Inputs!$B$8*Inputs!$B$7*Inputs!$B$35*$B$365*(1-Inputs!$B$16)/Inputs!$B$17,0)</f>
        <v>52.1505376344086</v>
      </c>
      <c r="V379" s="33" t="n">
        <f aca="false">IF(Source_Data!V$6=Inputs!$B$13,-Inputs!$B$7,0)+IF(AND(Source_Data!V$6&gt;=$B$370,Source_Data!V$6&lt;$B$370+3*Inputs!$B$17,MOD(Source_Data!V$6-$B$370,3)=0),Inputs!$B$8*Inputs!$B$7*Inputs!$B$35*$B$365*(1-Inputs!$B$16)/Inputs!$B$17,0)</f>
        <v>52.1505376344086</v>
      </c>
      <c r="W379" s="33" t="n">
        <f aca="false">IF(Source_Data!W$6=Inputs!$B$13,-Inputs!$B$7,0)+IF(AND(Source_Data!W$6&gt;=$B$370,Source_Data!W$6&lt;$B$370+3*Inputs!$B$17,MOD(Source_Data!W$6-$B$370,3)=0),Inputs!$B$8*Inputs!$B$7*Inputs!$B$35*$B$365*(1-Inputs!$B$16)/Inputs!$B$17,0)</f>
        <v>52.1505376344086</v>
      </c>
      <c r="X379" s="33" t="n">
        <f aca="false">IF(Source_Data!X$6=Inputs!$B$13,-Inputs!$B$7,0)+IF(AND(Source_Data!X$6&gt;=$B$370,Source_Data!X$6&lt;$B$370+3*Inputs!$B$17,MOD(Source_Data!X$6-$B$370,3)=0),Inputs!$B$8*Inputs!$B$7*Inputs!$B$35*$B$365*(1-Inputs!$B$16)/Inputs!$B$17,0)</f>
        <v>0</v>
      </c>
      <c r="Y379" s="33" t="n">
        <f aca="false">IF(Source_Data!Y$6=Inputs!$B$13,-Inputs!$B$7,0)+IF(AND(Source_Data!Y$6&gt;=$B$370,Source_Data!Y$6&lt;$B$370+3*Inputs!$B$17,MOD(Source_Data!Y$6-$B$370,3)=0),Inputs!$B$8*Inputs!$B$7*Inputs!$B$35*$B$365*(1-Inputs!$B$16)/Inputs!$B$17,0)</f>
        <v>0</v>
      </c>
      <c r="Z379" s="33" t="n">
        <f aca="false">IF(Source_Data!Z$6=Inputs!$B$13,-Inputs!$B$7,0)+IF(AND(Source_Data!Z$6&gt;=$B$370,Source_Data!Z$6&lt;$B$370+3*Inputs!$B$17,MOD(Source_Data!Z$6-$B$370,3)=0),Inputs!$B$8*Inputs!$B$7*Inputs!$B$35*$B$365*(1-Inputs!$B$16)/Inputs!$B$17,0)</f>
        <v>0</v>
      </c>
      <c r="AA379" s="33" t="n">
        <f aca="false">IF(Source_Data!AA$6=Inputs!$B$13,-Inputs!$B$7,0)+IF(AND(Source_Data!AA$6&gt;=$B$370,Source_Data!AA$6&lt;$B$370+3*Inputs!$B$17,MOD(Source_Data!AA$6-$B$370,3)=0),Inputs!$B$8*Inputs!$B$7*Inputs!$B$35*$B$365*(1-Inputs!$B$16)/Inputs!$B$17,0)</f>
        <v>0</v>
      </c>
      <c r="AB379" s="33" t="n">
        <f aca="false">IF(Source_Data!AB$6=Inputs!$B$13,-Inputs!$B$7,0)+IF(AND(Source_Data!AB$6&gt;=$B$370,Source_Data!AB$6&lt;$B$370+3*Inputs!$B$17,MOD(Source_Data!AB$6-$B$370,3)=0),Inputs!$B$8*Inputs!$B$7*Inputs!$B$35*$B$365*(1-Inputs!$B$16)/Inputs!$B$17,0)</f>
        <v>0</v>
      </c>
      <c r="AC379" s="33" t="n">
        <f aca="false">IF(Source_Data!AC$6=Inputs!$B$13,-Inputs!$B$7,0)+IF(AND(Source_Data!AC$6&gt;=$B$370,Source_Data!AC$6&lt;$B$370+3*Inputs!$B$17,MOD(Source_Data!AC$6-$B$370,3)=0),Inputs!$B$8*Inputs!$B$7*Inputs!$B$35*$B$365*(1-Inputs!$B$16)/Inputs!$B$17,0)</f>
        <v>0</v>
      </c>
      <c r="AD379" s="33" t="n">
        <f aca="false">IF(Source_Data!AD$6=Inputs!$B$13,-Inputs!$B$7,0)+IF(AND(Source_Data!AD$6&gt;=$B$370,Source_Data!AD$6&lt;$B$370+3*Inputs!$B$17,MOD(Source_Data!AD$6-$B$370,3)=0),Inputs!$B$8*Inputs!$B$7*Inputs!$B$35*$B$365*(1-Inputs!$B$16)/Inputs!$B$17,0)</f>
        <v>0</v>
      </c>
      <c r="AE379" s="33" t="n">
        <f aca="false">IF(Source_Data!AE$6=Inputs!$B$13,-Inputs!$B$7,0)+IF(AND(Source_Data!AE$6&gt;=$B$370,Source_Data!AE$6&lt;$B$370+3*Inputs!$B$17,MOD(Source_Data!AE$6-$B$370,3)=0),Inputs!$B$8*Inputs!$B$7*Inputs!$B$35*$B$365*(1-Inputs!$B$16)/Inputs!$B$17,0)</f>
        <v>0</v>
      </c>
      <c r="AF379" s="33" t="n">
        <f aca="false">IF(Source_Data!AF$6=Inputs!$B$13,-Inputs!$B$7,0)+IF(AND(Source_Data!AF$6&gt;=$B$370,Source_Data!AF$6&lt;$B$370+3*Inputs!$B$17,MOD(Source_Data!AF$6-$B$370,3)=0),Inputs!$B$8*Inputs!$B$7*Inputs!$B$35*$B$365*(1-Inputs!$B$16)/Inputs!$B$17,0)</f>
        <v>0</v>
      </c>
      <c r="AG379" s="33" t="n">
        <f aca="false">IF(Source_Data!AG$6=Inputs!$B$13,-Inputs!$B$7,0)+IF(AND(Source_Data!AG$6&gt;=$B$370,Source_Data!AG$6&lt;$B$370+3*Inputs!$B$17,MOD(Source_Data!AG$6-$B$370,3)=0),Inputs!$B$8*Inputs!$B$7*Inputs!$B$35*$B$365*(1-Inputs!$B$16)/Inputs!$B$17,0)</f>
        <v>0</v>
      </c>
      <c r="AH379" s="33" t="n">
        <f aca="false">IF(Source_Data!AH$6=Inputs!$B$13,-Inputs!$B$7,0)+IF(AND(Source_Data!AH$6&gt;=$B$370,Source_Data!AH$6&lt;$B$370+3*Inputs!$B$17,MOD(Source_Data!AH$6-$B$370,3)=0),Inputs!$B$8*Inputs!$B$7*Inputs!$B$35*$B$365*(1-Inputs!$B$16)/Inputs!$B$17,0)</f>
        <v>0</v>
      </c>
      <c r="AI379" s="33" t="n">
        <f aca="false">IF(Source_Data!AI$6=Inputs!$B$13,-Inputs!$B$7,0)+IF(AND(Source_Data!AI$6&gt;=$B$370,Source_Data!AI$6&lt;$B$370+3*Inputs!$B$17,MOD(Source_Data!AI$6-$B$370,3)=0),Inputs!$B$8*Inputs!$B$7*Inputs!$B$35*$B$365*(1-Inputs!$B$16)/Inputs!$B$17,0)</f>
        <v>0</v>
      </c>
      <c r="AJ379" s="33" t="n">
        <f aca="false">IF(Source_Data!AJ$6=Inputs!$B$13,-Inputs!$B$7,0)+IF(AND(Source_Data!AJ$6&gt;=$B$370,Source_Data!AJ$6&lt;$B$370+3*Inputs!$B$17,MOD(Source_Data!AJ$6-$B$370,3)=0),Inputs!$B$8*Inputs!$B$7*Inputs!$B$35*$B$365*(1-Inputs!$B$16)/Inputs!$B$17,0)</f>
        <v>0</v>
      </c>
      <c r="AK379" s="33" t="n">
        <f aca="false">IF(Source_Data!AK$6=Inputs!$B$13,-Inputs!$B$7,0)+IF(AND(Source_Data!AK$6&gt;=$B$370,Source_Data!AK$6&lt;$B$370+3*Inputs!$B$17,MOD(Source_Data!AK$6-$B$370,3)=0),Inputs!$B$8*Inputs!$B$7*Inputs!$B$35*$B$365*(1-Inputs!$B$16)/Inputs!$B$17,0)</f>
        <v>0</v>
      </c>
      <c r="AL379" s="33" t="n">
        <f aca="false">IF(Source_Data!AL$6=Inputs!$B$13,-Inputs!$B$7,0)+IF(AND(Source_Data!AL$6&gt;=$B$370,Source_Data!AL$6&lt;$B$370+3*Inputs!$B$17,MOD(Source_Data!AL$6-$B$370,3)=0),Inputs!$B$8*Inputs!$B$7*Inputs!$B$35*$B$365*(1-Inputs!$B$16)/Inputs!$B$17,0)</f>
        <v>0</v>
      </c>
      <c r="AM379" s="33" t="n">
        <f aca="false">IF(Source_Data!AM$6=Inputs!$B$13,-Inputs!$B$7,0)+IF(AND(Source_Data!AM$6&gt;=$B$370,Source_Data!AM$6&lt;$B$370+3*Inputs!$B$17,MOD(Source_Data!AM$6-$B$370,3)=0),Inputs!$B$8*Inputs!$B$7*Inputs!$B$35*$B$365*(1-Inputs!$B$16)/Inputs!$B$17,0)</f>
        <v>0</v>
      </c>
      <c r="AN379" s="33" t="n">
        <f aca="false">IF(Source_Data!AN$6=Inputs!$B$13,-Inputs!$B$7,0)+IF(AND(Source_Data!AN$6&gt;=$B$370,Source_Data!AN$6&lt;$B$370+3*Inputs!$B$17,MOD(Source_Data!AN$6-$B$370,3)=0),Inputs!$B$8*Inputs!$B$7*Inputs!$B$35*$B$365*(1-Inputs!$B$16)/Inputs!$B$17,0)</f>
        <v>0</v>
      </c>
      <c r="AO379" s="33" t="n">
        <f aca="false">IF(Source_Data!AO$6=Inputs!$B$13,-Inputs!$B$7,0)+IF(AND(Source_Data!AO$6&gt;=$B$370,Source_Data!AO$6&lt;$B$370+3*Inputs!$B$17,MOD(Source_Data!AO$6-$B$370,3)=0),Inputs!$B$8*Inputs!$B$7*Inputs!$B$35*$B$365*(1-Inputs!$B$16)/Inputs!$B$17,0)</f>
        <v>0</v>
      </c>
      <c r="AP379" s="33" t="n">
        <f aca="false">IF(Source_Data!AP$6=Inputs!$B$13,-Inputs!$B$7,0)+IF(AND(Source_Data!AP$6&gt;=$B$370,Source_Data!AP$6&lt;$B$370+3*Inputs!$B$17,MOD(Source_Data!AP$6-$B$370,3)=0),Inputs!$B$8*Inputs!$B$7*Inputs!$B$35*$B$365*(1-Inputs!$B$16)/Inputs!$B$17,0)</f>
        <v>0</v>
      </c>
      <c r="AQ379" s="33" t="n">
        <f aca="false">IF(Source_Data!AQ$6=Inputs!$B$13,-Inputs!$B$7,0)+IF(AND(Source_Data!AQ$6&gt;=$B$370,Source_Data!AQ$6&lt;$B$370+3*Inputs!$B$17,MOD(Source_Data!AQ$6-$B$370,3)=0),Inputs!$B$8*Inputs!$B$7*Inputs!$B$35*$B$365*(1-Inputs!$B$16)/Inputs!$B$17,0)</f>
        <v>0</v>
      </c>
      <c r="AR379" s="33" t="n">
        <f aca="false">IF(Source_Data!AR$6=Inputs!$B$13,-Inputs!$B$7,0)+IF(AND(Source_Data!AR$6&gt;=$B$370,Source_Data!AR$6&lt;$B$370+3*Inputs!$B$17,MOD(Source_Data!AR$6-$B$370,3)=0),Inputs!$B$8*Inputs!$B$7*Inputs!$B$35*$B$365*(1-Inputs!$B$16)/Inputs!$B$17,0)</f>
        <v>0</v>
      </c>
      <c r="AS379" s="33" t="n">
        <f aca="false">IF(Source_Data!AS$6=Inputs!$B$13,-Inputs!$B$7,0)+IF(AND(Source_Data!AS$6&gt;=$B$370,Source_Data!AS$6&lt;$B$370+3*Inputs!$B$17,MOD(Source_Data!AS$6-$B$370,3)=0),Inputs!$B$8*Inputs!$B$7*Inputs!$B$35*$B$365*(1-Inputs!$B$16)/Inputs!$B$17,0)</f>
        <v>0</v>
      </c>
      <c r="AT379" s="33" t="n">
        <f aca="false">IF(Source_Data!AT$6=Inputs!$B$13,-Inputs!$B$7,0)+IF(AND(Source_Data!AT$6&gt;=$B$370,Source_Data!AT$6&lt;$B$370+3*Inputs!$B$17,MOD(Source_Data!AT$6-$B$370,3)=0),Inputs!$B$8*Inputs!$B$7*Inputs!$B$35*$B$365*(1-Inputs!$B$16)/Inputs!$B$17,0)</f>
        <v>0</v>
      </c>
      <c r="AU379" s="33" t="n">
        <f aca="false">IF(Source_Data!AU$6=Inputs!$B$13,-Inputs!$B$7,0)+IF(AND(Source_Data!AU$6&gt;=$B$370,Source_Data!AU$6&lt;$B$370+3*Inputs!$B$17,MOD(Source_Data!AU$6-$B$370,3)=0),Inputs!$B$8*Inputs!$B$7*Inputs!$B$35*$B$365*(1-Inputs!$B$16)/Inputs!$B$17,0)</f>
        <v>0</v>
      </c>
      <c r="AV379" s="33" t="n">
        <f aca="false">IF(Source_Data!AV$6=Inputs!$B$13,-Inputs!$B$7,0)+IF(AND(Source_Data!AV$6&gt;=$B$370,Source_Data!AV$6&lt;$B$370+3*Inputs!$B$17,MOD(Source_Data!AV$6-$B$370,3)=0),Inputs!$B$8*Inputs!$B$7*Inputs!$B$35*$B$365*(1-Inputs!$B$16)/Inputs!$B$17,0)</f>
        <v>0</v>
      </c>
      <c r="AW379" s="33" t="n">
        <f aca="false">IF(Source_Data!AW$6=Inputs!$B$13,-Inputs!$B$7,0)+IF(AND(Source_Data!AW$6&gt;=$B$370,Source_Data!AW$6&lt;$B$370+3*Inputs!$B$17,MOD(Source_Data!AW$6-$B$370,3)=0),Inputs!$B$8*Inputs!$B$7*Inputs!$B$35*$B$365*(1-Inputs!$B$16)/Inputs!$B$17,0)</f>
        <v>0</v>
      </c>
      <c r="AX379" s="33" t="n">
        <f aca="false">IF(Source_Data!AX$6=Inputs!$B$13,-Inputs!$B$7,0)+IF(AND(Source_Data!AX$6&gt;=$B$370,Source_Data!AX$6&lt;$B$370+3*Inputs!$B$17,MOD(Source_Data!AX$6-$B$370,3)=0),Inputs!$B$8*Inputs!$B$7*Inputs!$B$35*$B$365*(1-Inputs!$B$16)/Inputs!$B$17,0)</f>
        <v>0</v>
      </c>
      <c r="AY379" s="33" t="n">
        <f aca="false">IF(Source_Data!AY$6=Inputs!$B$13,-Inputs!$B$7,0)+IF(AND(Source_Data!AY$6&gt;=$B$370,Source_Data!AY$6&lt;$B$370+3*Inputs!$B$17,MOD(Source_Data!AY$6-$B$370,3)=0),Inputs!$B$8*Inputs!$B$7*Inputs!$B$35*$B$365*(1-Inputs!$B$16)/Inputs!$B$17,0)</f>
        <v>0</v>
      </c>
      <c r="AZ379" s="33" t="n">
        <f aca="false">IF(Source_Data!AZ$6=Inputs!$B$13,-Inputs!$B$7,0)+IF(AND(Source_Data!AZ$6&gt;=$B$370,Source_Data!AZ$6&lt;$B$370+3*Inputs!$B$17,MOD(Source_Data!AZ$6-$B$370,3)=0),Inputs!$B$8*Inputs!$B$7*Inputs!$B$35*$B$365*(1-Inputs!$B$16)/Inputs!$B$17,0)</f>
        <v>0</v>
      </c>
      <c r="BA379" s="33" t="n">
        <f aca="false">IF(Source_Data!BA$6=Inputs!$B$13,-Inputs!$B$7,0)+IF(AND(Source_Data!BA$6&gt;=$B$370,Source_Data!BA$6&lt;$B$370+3*Inputs!$B$17,MOD(Source_Data!BA$6-$B$370,3)=0),Inputs!$B$8*Inputs!$B$7*Inputs!$B$35*$B$365*(1-Inputs!$B$16)/Inputs!$B$17,0)</f>
        <v>0</v>
      </c>
      <c r="BB379" s="33" t="n">
        <f aca="false">IF(Source_Data!BB$6=Inputs!$B$13,-Inputs!$B$7,0)+IF(AND(Source_Data!BB$6&gt;=$B$370,Source_Data!BB$6&lt;$B$370+3*Inputs!$B$17,MOD(Source_Data!BB$6-$B$370,3)=0),Inputs!$B$8*Inputs!$B$7*Inputs!$B$35*$B$365*(1-Inputs!$B$16)/Inputs!$B$17,0)</f>
        <v>0</v>
      </c>
      <c r="BC379" s="33" t="n">
        <f aca="false">IF(Source_Data!BC$6=Inputs!$B$13,-Inputs!$B$7,0)+IF(AND(Source_Data!BC$6&gt;=$B$370,Source_Data!BC$6&lt;$B$370+3*Inputs!$B$17,MOD(Source_Data!BC$6-$B$370,3)=0),Inputs!$B$8*Inputs!$B$7*Inputs!$B$35*$B$365*(1-Inputs!$B$16)/Inputs!$B$17,0)</f>
        <v>0</v>
      </c>
      <c r="BD379" s="33" t="n">
        <f aca="false">IF(Source_Data!BD$6=Inputs!$B$13,-Inputs!$B$7,0)+IF(AND(Source_Data!BD$6&gt;=$B$370,Source_Data!BD$6&lt;$B$370+3*Inputs!$B$17,MOD(Source_Data!BD$6-$B$370,3)=0),Inputs!$B$8*Inputs!$B$7*Inputs!$B$35*$B$365*(1-Inputs!$B$16)/Inputs!$B$17,0)</f>
        <v>0</v>
      </c>
      <c r="BE379" s="33" t="n">
        <f aca="false">IF(Source_Data!BE$6=Inputs!$B$13,-Inputs!$B$7,0)+IF(AND(Source_Data!BE$6&gt;=$B$370,Source_Data!BE$6&lt;$B$370+3*Inputs!$B$17,MOD(Source_Data!BE$6-$B$370,3)=0),Inputs!$B$8*Inputs!$B$7*Inputs!$B$35*$B$365*(1-Inputs!$B$16)/Inputs!$B$17,0)</f>
        <v>0</v>
      </c>
      <c r="BF379" s="33" t="n">
        <f aca="false">IF(Source_Data!BF$6=Inputs!$B$13,-Inputs!$B$7,0)+IF(AND(Source_Data!BF$6&gt;=$B$370,Source_Data!BF$6&lt;$B$370+3*Inputs!$B$17,MOD(Source_Data!BF$6-$B$370,3)=0),Inputs!$B$8*Inputs!$B$7*Inputs!$B$35*$B$365*(1-Inputs!$B$16)/Inputs!$B$17,0)</f>
        <v>0</v>
      </c>
      <c r="BG379" s="33" t="n">
        <f aca="false">IF(Source_Data!BG$6=Inputs!$B$13,-Inputs!$B$7,0)+IF(AND(Source_Data!BG$6&gt;=$B$370,Source_Data!BG$6&lt;$B$370+3*Inputs!$B$17,MOD(Source_Data!BG$6-$B$370,3)=0),Inputs!$B$8*Inputs!$B$7*Inputs!$B$35*$B$365*(1-Inputs!$B$16)/Inputs!$B$17,0)</f>
        <v>0</v>
      </c>
      <c r="BH379" s="33" t="n">
        <f aca="false">IF(Source_Data!BH$6=Inputs!$B$13,-Inputs!$B$7,0)+IF(AND(Source_Data!BH$6&gt;=$B$370,Source_Data!BH$6&lt;$B$370+3*Inputs!$B$17,MOD(Source_Data!BH$6-$B$370,3)=0),Inputs!$B$8*Inputs!$B$7*Inputs!$B$35*$B$365*(1-Inputs!$B$16)/Inputs!$B$17,0)</f>
        <v>0</v>
      </c>
      <c r="BI379" s="33" t="n">
        <f aca="false">IF(Source_Data!BI$6=Inputs!$B$13,-Inputs!$B$7,0)+IF(AND(Source_Data!BI$6&gt;=$B$370,Source_Data!BI$6&lt;$B$370+3*Inputs!$B$17,MOD(Source_Data!BI$6-$B$370,3)=0),Inputs!$B$8*Inputs!$B$7*Inputs!$B$35*$B$365*(1-Inputs!$B$16)/Inputs!$B$17,0)</f>
        <v>0</v>
      </c>
      <c r="BJ379" s="33" t="n">
        <f aca="false">IF(Source_Data!BJ$6=Inputs!$B$13,-Inputs!$B$7,0)+IF(AND(Source_Data!BJ$6&gt;=$B$370,Source_Data!BJ$6&lt;$B$370+3*Inputs!$B$17,MOD(Source_Data!BJ$6-$B$370,3)=0),Inputs!$B$8*Inputs!$B$7*Inputs!$B$35*$B$365*(1-Inputs!$B$16)/Inputs!$B$17,0)</f>
        <v>0</v>
      </c>
      <c r="BK379" s="33" t="n">
        <f aca="false">IF(Source_Data!BK$6=Inputs!$B$13,-Inputs!$B$7,0)+IF(AND(Source_Data!BK$6&gt;=$B$370,Source_Data!BK$6&lt;$B$370+3*Inputs!$B$17,MOD(Source_Data!BK$6-$B$370,3)=0),Inputs!$B$8*Inputs!$B$7*Inputs!$B$35*$B$365*(1-Inputs!$B$16)/Inputs!$B$17,0)</f>
        <v>0</v>
      </c>
    </row>
    <row r="380" customFormat="false" ht="15" hidden="false" customHeight="false" outlineLevel="0" collapsed="false">
      <c r="A380" s="3" t="s">
        <v>342</v>
      </c>
      <c r="D380" s="33" t="n">
        <f aca="false">IF(AND(Source_Data!D$6&gt;=Inputs!$B$55,Source_Data!D$6&lt;Inputs!$B$55+3*Inputs!$B$11),Inputs!$B$9*Inputs!$B$7/Inputs!$B$11,0)</f>
        <v>0</v>
      </c>
      <c r="E380" s="33" t="n">
        <f aca="false">IF(AND(Source_Data!E$6&gt;=Inputs!$B$55,Source_Data!E$6&lt;Inputs!$B$55+3*Inputs!$B$11),Inputs!$B$9*Inputs!$B$7/Inputs!$B$11,0)</f>
        <v>0</v>
      </c>
      <c r="F380" s="33" t="n">
        <f aca="false">IF(AND(Source_Data!F$6&gt;=Inputs!$B$55,Source_Data!F$6&lt;Inputs!$B$55+3*Inputs!$B$11),Inputs!$B$9*Inputs!$B$7/Inputs!$B$11,0)</f>
        <v>0</v>
      </c>
      <c r="G380" s="33" t="n">
        <f aca="false">IF(AND(Source_Data!G$6&gt;=Inputs!$B$55,Source_Data!G$6&lt;Inputs!$B$55+3*Inputs!$B$11),Inputs!$B$9*Inputs!$B$7/Inputs!$B$11,0)</f>
        <v>0</v>
      </c>
      <c r="H380" s="33" t="n">
        <f aca="false">IF(AND(Source_Data!H$6&gt;=Inputs!$B$55,Source_Data!H$6&lt;Inputs!$B$55+3*Inputs!$B$11),Inputs!$B$9*Inputs!$B$7/Inputs!$B$11,0)</f>
        <v>0</v>
      </c>
      <c r="I380" s="33" t="n">
        <f aca="false">IF(AND(Source_Data!I$6&gt;=Inputs!$B$55,Source_Data!I$6&lt;Inputs!$B$55+3*Inputs!$B$11),Inputs!$B$9*Inputs!$B$7/Inputs!$B$11,0)</f>
        <v>0</v>
      </c>
      <c r="J380" s="33" t="n">
        <f aca="false">IF(AND(Source_Data!J$6&gt;=Inputs!$B$55,Source_Data!J$6&lt;Inputs!$B$55+3*Inputs!$B$11),Inputs!$B$9*Inputs!$B$7/Inputs!$B$11,0)</f>
        <v>0</v>
      </c>
      <c r="K380" s="33" t="n">
        <f aca="false">IF(AND(Source_Data!K$6&gt;=Inputs!$B$55,Source_Data!K$6&lt;Inputs!$B$55+3*Inputs!$B$11),Inputs!$B$9*Inputs!$B$7/Inputs!$B$11,0)</f>
        <v>0</v>
      </c>
      <c r="L380" s="33" t="n">
        <f aca="false">IF(AND(Source_Data!L$6&gt;=Inputs!$B$55,Source_Data!L$6&lt;Inputs!$B$55+3*Inputs!$B$11),Inputs!$B$9*Inputs!$B$7/Inputs!$B$11,0)</f>
        <v>0</v>
      </c>
      <c r="M380" s="33" t="n">
        <f aca="false">IF(AND(Source_Data!M$6&gt;=Inputs!$B$55,Source_Data!M$6&lt;Inputs!$B$55+3*Inputs!$B$11),Inputs!$B$9*Inputs!$B$7/Inputs!$B$11,0)</f>
        <v>14.375</v>
      </c>
      <c r="N380" s="33" t="n">
        <f aca="false">IF(AND(Source_Data!N$6&gt;=Inputs!$B$55,Source_Data!N$6&lt;Inputs!$B$55+3*Inputs!$B$11),Inputs!$B$9*Inputs!$B$7/Inputs!$B$11,0)</f>
        <v>14.375</v>
      </c>
      <c r="O380" s="33" t="n">
        <f aca="false">IF(AND(Source_Data!O$6&gt;=Inputs!$B$55,Source_Data!O$6&lt;Inputs!$B$55+3*Inputs!$B$11),Inputs!$B$9*Inputs!$B$7/Inputs!$B$11,0)</f>
        <v>14.375</v>
      </c>
      <c r="P380" s="33" t="n">
        <f aca="false">IF(AND(Source_Data!P$6&gt;=Inputs!$B$55,Source_Data!P$6&lt;Inputs!$B$55+3*Inputs!$B$11),Inputs!$B$9*Inputs!$B$7/Inputs!$B$11,0)</f>
        <v>14.375</v>
      </c>
      <c r="Q380" s="33" t="n">
        <f aca="false">IF(AND(Source_Data!Q$6&gt;=Inputs!$B$55,Source_Data!Q$6&lt;Inputs!$B$55+3*Inputs!$B$11),Inputs!$B$9*Inputs!$B$7/Inputs!$B$11,0)</f>
        <v>14.375</v>
      </c>
      <c r="R380" s="33" t="n">
        <f aca="false">IF(AND(Source_Data!R$6&gt;=Inputs!$B$55,Source_Data!R$6&lt;Inputs!$B$55+3*Inputs!$B$11),Inputs!$B$9*Inputs!$B$7/Inputs!$B$11,0)</f>
        <v>14.375</v>
      </c>
      <c r="S380" s="33" t="n">
        <f aca="false">IF(AND(Source_Data!S$6&gt;=Inputs!$B$55,Source_Data!S$6&lt;Inputs!$B$55+3*Inputs!$B$11),Inputs!$B$9*Inputs!$B$7/Inputs!$B$11,0)</f>
        <v>14.375</v>
      </c>
      <c r="T380" s="33" t="n">
        <f aca="false">IF(AND(Source_Data!T$6&gt;=Inputs!$B$55,Source_Data!T$6&lt;Inputs!$B$55+3*Inputs!$B$11),Inputs!$B$9*Inputs!$B$7/Inputs!$B$11,0)</f>
        <v>14.375</v>
      </c>
      <c r="U380" s="33" t="n">
        <f aca="false">IF(AND(Source_Data!U$6&gt;=Inputs!$B$55,Source_Data!U$6&lt;Inputs!$B$55+3*Inputs!$B$11),Inputs!$B$9*Inputs!$B$7/Inputs!$B$11,0)</f>
        <v>14.375</v>
      </c>
      <c r="V380" s="33" t="n">
        <f aca="false">IF(AND(Source_Data!V$6&gt;=Inputs!$B$55,Source_Data!V$6&lt;Inputs!$B$55+3*Inputs!$B$11),Inputs!$B$9*Inputs!$B$7/Inputs!$B$11,0)</f>
        <v>14.375</v>
      </c>
      <c r="W380" s="33" t="n">
        <f aca="false">IF(AND(Source_Data!W$6&gt;=Inputs!$B$55,Source_Data!W$6&lt;Inputs!$B$55+3*Inputs!$B$11),Inputs!$B$9*Inputs!$B$7/Inputs!$B$11,0)</f>
        <v>14.375</v>
      </c>
      <c r="X380" s="33" t="n">
        <f aca="false">IF(AND(Source_Data!X$6&gt;=Inputs!$B$55,Source_Data!X$6&lt;Inputs!$B$55+3*Inputs!$B$11),Inputs!$B$9*Inputs!$B$7/Inputs!$B$11,0)</f>
        <v>14.375</v>
      </c>
      <c r="Y380" s="33" t="n">
        <f aca="false">IF(AND(Source_Data!Y$6&gt;=Inputs!$B$55,Source_Data!Y$6&lt;Inputs!$B$55+3*Inputs!$B$11),Inputs!$B$9*Inputs!$B$7/Inputs!$B$11,0)</f>
        <v>0</v>
      </c>
      <c r="Z380" s="33" t="n">
        <f aca="false">IF(AND(Source_Data!Z$6&gt;=Inputs!$B$55,Source_Data!Z$6&lt;Inputs!$B$55+3*Inputs!$B$11),Inputs!$B$9*Inputs!$B$7/Inputs!$B$11,0)</f>
        <v>0</v>
      </c>
      <c r="AA380" s="33" t="n">
        <f aca="false">IF(AND(Source_Data!AA$6&gt;=Inputs!$B$55,Source_Data!AA$6&lt;Inputs!$B$55+3*Inputs!$B$11),Inputs!$B$9*Inputs!$B$7/Inputs!$B$11,0)</f>
        <v>0</v>
      </c>
      <c r="AB380" s="33" t="n">
        <f aca="false">IF(AND(Source_Data!AB$6&gt;=Inputs!$B$55,Source_Data!AB$6&lt;Inputs!$B$55+3*Inputs!$B$11),Inputs!$B$9*Inputs!$B$7/Inputs!$B$11,0)</f>
        <v>0</v>
      </c>
      <c r="AC380" s="33" t="n">
        <f aca="false">IF(AND(Source_Data!AC$6&gt;=Inputs!$B$55,Source_Data!AC$6&lt;Inputs!$B$55+3*Inputs!$B$11),Inputs!$B$9*Inputs!$B$7/Inputs!$B$11,0)</f>
        <v>0</v>
      </c>
      <c r="AD380" s="33" t="n">
        <f aca="false">IF(AND(Source_Data!AD$6&gt;=Inputs!$B$55,Source_Data!AD$6&lt;Inputs!$B$55+3*Inputs!$B$11),Inputs!$B$9*Inputs!$B$7/Inputs!$B$11,0)</f>
        <v>0</v>
      </c>
      <c r="AE380" s="33" t="n">
        <f aca="false">IF(AND(Source_Data!AE$6&gt;=Inputs!$B$55,Source_Data!AE$6&lt;Inputs!$B$55+3*Inputs!$B$11),Inputs!$B$9*Inputs!$B$7/Inputs!$B$11,0)</f>
        <v>0</v>
      </c>
      <c r="AF380" s="33" t="n">
        <f aca="false">IF(AND(Source_Data!AF$6&gt;=Inputs!$B$55,Source_Data!AF$6&lt;Inputs!$B$55+3*Inputs!$B$11),Inputs!$B$9*Inputs!$B$7/Inputs!$B$11,0)</f>
        <v>0</v>
      </c>
      <c r="AG380" s="33" t="n">
        <f aca="false">IF(AND(Source_Data!AG$6&gt;=Inputs!$B$55,Source_Data!AG$6&lt;Inputs!$B$55+3*Inputs!$B$11),Inputs!$B$9*Inputs!$B$7/Inputs!$B$11,0)</f>
        <v>0</v>
      </c>
      <c r="AH380" s="33" t="n">
        <f aca="false">IF(AND(Source_Data!AH$6&gt;=Inputs!$B$55,Source_Data!AH$6&lt;Inputs!$B$55+3*Inputs!$B$11),Inputs!$B$9*Inputs!$B$7/Inputs!$B$11,0)</f>
        <v>0</v>
      </c>
      <c r="AI380" s="33" t="n">
        <f aca="false">IF(AND(Source_Data!AI$6&gt;=Inputs!$B$55,Source_Data!AI$6&lt;Inputs!$B$55+3*Inputs!$B$11),Inputs!$B$9*Inputs!$B$7/Inputs!$B$11,0)</f>
        <v>0</v>
      </c>
      <c r="AJ380" s="33" t="n">
        <f aca="false">IF(AND(Source_Data!AJ$6&gt;=Inputs!$B$55,Source_Data!AJ$6&lt;Inputs!$B$55+3*Inputs!$B$11),Inputs!$B$9*Inputs!$B$7/Inputs!$B$11,0)</f>
        <v>0</v>
      </c>
      <c r="AK380" s="33" t="n">
        <f aca="false">IF(AND(Source_Data!AK$6&gt;=Inputs!$B$55,Source_Data!AK$6&lt;Inputs!$B$55+3*Inputs!$B$11),Inputs!$B$9*Inputs!$B$7/Inputs!$B$11,0)</f>
        <v>0</v>
      </c>
      <c r="AL380" s="33" t="n">
        <f aca="false">IF(AND(Source_Data!AL$6&gt;=Inputs!$B$55,Source_Data!AL$6&lt;Inputs!$B$55+3*Inputs!$B$11),Inputs!$B$9*Inputs!$B$7/Inputs!$B$11,0)</f>
        <v>0</v>
      </c>
      <c r="AM380" s="33" t="n">
        <f aca="false">IF(AND(Source_Data!AM$6&gt;=Inputs!$B$55,Source_Data!AM$6&lt;Inputs!$B$55+3*Inputs!$B$11),Inputs!$B$9*Inputs!$B$7/Inputs!$B$11,0)</f>
        <v>0</v>
      </c>
      <c r="AN380" s="33" t="n">
        <f aca="false">IF(AND(Source_Data!AN$6&gt;=Inputs!$B$55,Source_Data!AN$6&lt;Inputs!$B$55+3*Inputs!$B$11),Inputs!$B$9*Inputs!$B$7/Inputs!$B$11,0)</f>
        <v>0</v>
      </c>
      <c r="AO380" s="33" t="n">
        <f aca="false">IF(AND(Source_Data!AO$6&gt;=Inputs!$B$55,Source_Data!AO$6&lt;Inputs!$B$55+3*Inputs!$B$11),Inputs!$B$9*Inputs!$B$7/Inputs!$B$11,0)</f>
        <v>0</v>
      </c>
      <c r="AP380" s="33" t="n">
        <f aca="false">IF(AND(Source_Data!AP$6&gt;=Inputs!$B$55,Source_Data!AP$6&lt;Inputs!$B$55+3*Inputs!$B$11),Inputs!$B$9*Inputs!$B$7/Inputs!$B$11,0)</f>
        <v>0</v>
      </c>
      <c r="AQ380" s="33" t="n">
        <f aca="false">IF(AND(Source_Data!AQ$6&gt;=Inputs!$B$55,Source_Data!AQ$6&lt;Inputs!$B$55+3*Inputs!$B$11),Inputs!$B$9*Inputs!$B$7/Inputs!$B$11,0)</f>
        <v>0</v>
      </c>
      <c r="AR380" s="33" t="n">
        <f aca="false">IF(AND(Source_Data!AR$6&gt;=Inputs!$B$55,Source_Data!AR$6&lt;Inputs!$B$55+3*Inputs!$B$11),Inputs!$B$9*Inputs!$B$7/Inputs!$B$11,0)</f>
        <v>0</v>
      </c>
      <c r="AS380" s="33" t="n">
        <f aca="false">IF(AND(Source_Data!AS$6&gt;=Inputs!$B$55,Source_Data!AS$6&lt;Inputs!$B$55+3*Inputs!$B$11),Inputs!$B$9*Inputs!$B$7/Inputs!$B$11,0)</f>
        <v>0</v>
      </c>
      <c r="AT380" s="33" t="n">
        <f aca="false">IF(AND(Source_Data!AT$6&gt;=Inputs!$B$55,Source_Data!AT$6&lt;Inputs!$B$55+3*Inputs!$B$11),Inputs!$B$9*Inputs!$B$7/Inputs!$B$11,0)</f>
        <v>0</v>
      </c>
      <c r="AU380" s="33" t="n">
        <f aca="false">IF(AND(Source_Data!AU$6&gt;=Inputs!$B$55,Source_Data!AU$6&lt;Inputs!$B$55+3*Inputs!$B$11),Inputs!$B$9*Inputs!$B$7/Inputs!$B$11,0)</f>
        <v>0</v>
      </c>
      <c r="AV380" s="33" t="n">
        <f aca="false">IF(AND(Source_Data!AV$6&gt;=Inputs!$B$55,Source_Data!AV$6&lt;Inputs!$B$55+3*Inputs!$B$11),Inputs!$B$9*Inputs!$B$7/Inputs!$B$11,0)</f>
        <v>0</v>
      </c>
      <c r="AW380" s="33" t="n">
        <f aca="false">IF(AND(Source_Data!AW$6&gt;=Inputs!$B$55,Source_Data!AW$6&lt;Inputs!$B$55+3*Inputs!$B$11),Inputs!$B$9*Inputs!$B$7/Inputs!$B$11,0)</f>
        <v>0</v>
      </c>
      <c r="AX380" s="33" t="n">
        <f aca="false">IF(AND(Source_Data!AX$6&gt;=Inputs!$B$55,Source_Data!AX$6&lt;Inputs!$B$55+3*Inputs!$B$11),Inputs!$B$9*Inputs!$B$7/Inputs!$B$11,0)</f>
        <v>0</v>
      </c>
      <c r="AY380" s="33" t="n">
        <f aca="false">IF(AND(Source_Data!AY$6&gt;=Inputs!$B$55,Source_Data!AY$6&lt;Inputs!$B$55+3*Inputs!$B$11),Inputs!$B$9*Inputs!$B$7/Inputs!$B$11,0)</f>
        <v>0</v>
      </c>
      <c r="AZ380" s="33" t="n">
        <f aca="false">IF(AND(Source_Data!AZ$6&gt;=Inputs!$B$55,Source_Data!AZ$6&lt;Inputs!$B$55+3*Inputs!$B$11),Inputs!$B$9*Inputs!$B$7/Inputs!$B$11,0)</f>
        <v>0</v>
      </c>
      <c r="BA380" s="33" t="n">
        <f aca="false">IF(AND(Source_Data!BA$6&gt;=Inputs!$B$55,Source_Data!BA$6&lt;Inputs!$B$55+3*Inputs!$B$11),Inputs!$B$9*Inputs!$B$7/Inputs!$B$11,0)</f>
        <v>0</v>
      </c>
      <c r="BB380" s="33" t="n">
        <f aca="false">IF(AND(Source_Data!BB$6&gt;=Inputs!$B$55,Source_Data!BB$6&lt;Inputs!$B$55+3*Inputs!$B$11),Inputs!$B$9*Inputs!$B$7/Inputs!$B$11,0)</f>
        <v>0</v>
      </c>
      <c r="BC380" s="33" t="n">
        <f aca="false">IF(AND(Source_Data!BC$6&gt;=Inputs!$B$55,Source_Data!BC$6&lt;Inputs!$B$55+3*Inputs!$B$11),Inputs!$B$9*Inputs!$B$7/Inputs!$B$11,0)</f>
        <v>0</v>
      </c>
      <c r="BD380" s="33" t="n">
        <f aca="false">IF(AND(Source_Data!BD$6&gt;=Inputs!$B$55,Source_Data!BD$6&lt;Inputs!$B$55+3*Inputs!$B$11),Inputs!$B$9*Inputs!$B$7/Inputs!$B$11,0)</f>
        <v>0</v>
      </c>
      <c r="BE380" s="33" t="n">
        <f aca="false">IF(AND(Source_Data!BE$6&gt;=Inputs!$B$55,Source_Data!BE$6&lt;Inputs!$B$55+3*Inputs!$B$11),Inputs!$B$9*Inputs!$B$7/Inputs!$B$11,0)</f>
        <v>0</v>
      </c>
      <c r="BF380" s="33" t="n">
        <f aca="false">IF(AND(Source_Data!BF$6&gt;=Inputs!$B$55,Source_Data!BF$6&lt;Inputs!$B$55+3*Inputs!$B$11),Inputs!$B$9*Inputs!$B$7/Inputs!$B$11,0)</f>
        <v>0</v>
      </c>
      <c r="BG380" s="33" t="n">
        <f aca="false">IF(AND(Source_Data!BG$6&gt;=Inputs!$B$55,Source_Data!BG$6&lt;Inputs!$B$55+3*Inputs!$B$11),Inputs!$B$9*Inputs!$B$7/Inputs!$B$11,0)</f>
        <v>0</v>
      </c>
      <c r="BH380" s="33" t="n">
        <f aca="false">IF(AND(Source_Data!BH$6&gt;=Inputs!$B$55,Source_Data!BH$6&lt;Inputs!$B$55+3*Inputs!$B$11),Inputs!$B$9*Inputs!$B$7/Inputs!$B$11,0)</f>
        <v>0</v>
      </c>
      <c r="BI380" s="33" t="n">
        <f aca="false">IF(AND(Source_Data!BI$6&gt;=Inputs!$B$55,Source_Data!BI$6&lt;Inputs!$B$55+3*Inputs!$B$11),Inputs!$B$9*Inputs!$B$7/Inputs!$B$11,0)</f>
        <v>0</v>
      </c>
      <c r="BJ380" s="33" t="n">
        <f aca="false">IF(AND(Source_Data!BJ$6&gt;=Inputs!$B$55,Source_Data!BJ$6&lt;Inputs!$B$55+3*Inputs!$B$11),Inputs!$B$9*Inputs!$B$7/Inputs!$B$11,0)</f>
        <v>0</v>
      </c>
      <c r="BK380" s="33" t="n">
        <f aca="false">IF(AND(Source_Data!BK$6&gt;=Inputs!$B$55,Source_Data!BK$6&lt;Inputs!$B$55+3*Inputs!$B$11),Inputs!$B$9*Inputs!$B$7/Inputs!$B$11,0)</f>
        <v>0</v>
      </c>
    </row>
    <row r="381" customFormat="false" ht="15" hidden="false" customHeight="false" outlineLevel="0" collapsed="false">
      <c r="A381" s="3" t="s">
        <v>343</v>
      </c>
      <c r="D381" s="33" t="n">
        <f aca="false">IF(Source_Data!D$6=Inputs!$B$13,-Inputs!$B$7,0)+D380</f>
        <v>-75</v>
      </c>
      <c r="E381" s="33" t="n">
        <f aca="false">IF(Source_Data!E$6=Inputs!$B$13,-Inputs!$B$7,0)+E380</f>
        <v>0</v>
      </c>
      <c r="F381" s="33" t="n">
        <f aca="false">IF(Source_Data!F$6=Inputs!$B$13,-Inputs!$B$7,0)+F380</f>
        <v>0</v>
      </c>
      <c r="G381" s="33" t="n">
        <f aca="false">IF(Source_Data!G$6=Inputs!$B$13,-Inputs!$B$7,0)+G380</f>
        <v>0</v>
      </c>
      <c r="H381" s="33" t="n">
        <f aca="false">IF(Source_Data!H$6=Inputs!$B$13,-Inputs!$B$7,0)+H380</f>
        <v>0</v>
      </c>
      <c r="I381" s="33" t="n">
        <f aca="false">IF(Source_Data!I$6=Inputs!$B$13,-Inputs!$B$7,0)+I380</f>
        <v>0</v>
      </c>
      <c r="J381" s="33" t="n">
        <f aca="false">IF(Source_Data!J$6=Inputs!$B$13,-Inputs!$B$7,0)+J380</f>
        <v>0</v>
      </c>
      <c r="K381" s="33" t="n">
        <f aca="false">IF(Source_Data!K$6=Inputs!$B$13,-Inputs!$B$7,0)+K380</f>
        <v>0</v>
      </c>
      <c r="L381" s="33" t="n">
        <f aca="false">IF(Source_Data!L$6=Inputs!$B$13,-Inputs!$B$7,0)+L380</f>
        <v>0</v>
      </c>
      <c r="M381" s="33" t="n">
        <f aca="false">IF(Source_Data!M$6=Inputs!$B$13,-Inputs!$B$7,0)+M380</f>
        <v>14.375</v>
      </c>
      <c r="N381" s="33" t="n">
        <f aca="false">IF(Source_Data!N$6=Inputs!$B$13,-Inputs!$B$7,0)+N380</f>
        <v>14.375</v>
      </c>
      <c r="O381" s="33" t="n">
        <f aca="false">IF(Source_Data!O$6=Inputs!$B$13,-Inputs!$B$7,0)+O380</f>
        <v>14.375</v>
      </c>
      <c r="P381" s="33" t="n">
        <f aca="false">IF(Source_Data!P$6=Inputs!$B$13,-Inputs!$B$7,0)+P380</f>
        <v>14.375</v>
      </c>
      <c r="Q381" s="33" t="n">
        <f aca="false">IF(Source_Data!Q$6=Inputs!$B$13,-Inputs!$B$7,0)+Q380</f>
        <v>14.375</v>
      </c>
      <c r="R381" s="33" t="n">
        <f aca="false">IF(Source_Data!R$6=Inputs!$B$13,-Inputs!$B$7,0)+R380</f>
        <v>14.375</v>
      </c>
      <c r="S381" s="33" t="n">
        <f aca="false">IF(Source_Data!S$6=Inputs!$B$13,-Inputs!$B$7,0)+S380</f>
        <v>14.375</v>
      </c>
      <c r="T381" s="33" t="n">
        <f aca="false">IF(Source_Data!T$6=Inputs!$B$13,-Inputs!$B$7,0)+T380</f>
        <v>14.375</v>
      </c>
      <c r="U381" s="33" t="n">
        <f aca="false">IF(Source_Data!U$6=Inputs!$B$13,-Inputs!$B$7,0)+U380</f>
        <v>14.375</v>
      </c>
      <c r="V381" s="33" t="n">
        <f aca="false">IF(Source_Data!V$6=Inputs!$B$13,-Inputs!$B$7,0)+V380</f>
        <v>14.375</v>
      </c>
      <c r="W381" s="33" t="n">
        <f aca="false">IF(Source_Data!W$6=Inputs!$B$13,-Inputs!$B$7,0)+W380</f>
        <v>14.375</v>
      </c>
      <c r="X381" s="33" t="n">
        <f aca="false">IF(Source_Data!X$6=Inputs!$B$13,-Inputs!$B$7,0)+X380</f>
        <v>14.375</v>
      </c>
      <c r="Y381" s="33" t="n">
        <f aca="false">IF(Source_Data!Y$6=Inputs!$B$13,-Inputs!$B$7,0)+Y380</f>
        <v>0</v>
      </c>
      <c r="Z381" s="33" t="n">
        <f aca="false">IF(Source_Data!Z$6=Inputs!$B$13,-Inputs!$B$7,0)+Z380</f>
        <v>0</v>
      </c>
      <c r="AA381" s="33" t="n">
        <f aca="false">IF(Source_Data!AA$6=Inputs!$B$13,-Inputs!$B$7,0)+AA380</f>
        <v>0</v>
      </c>
      <c r="AB381" s="33" t="n">
        <f aca="false">IF(Source_Data!AB$6=Inputs!$B$13,-Inputs!$B$7,0)+AB380</f>
        <v>0</v>
      </c>
      <c r="AC381" s="33" t="n">
        <f aca="false">IF(Source_Data!AC$6=Inputs!$B$13,-Inputs!$B$7,0)+AC380</f>
        <v>0</v>
      </c>
      <c r="AD381" s="33" t="n">
        <f aca="false">IF(Source_Data!AD$6=Inputs!$B$13,-Inputs!$B$7,0)+AD380</f>
        <v>0</v>
      </c>
      <c r="AE381" s="33" t="n">
        <f aca="false">IF(Source_Data!AE$6=Inputs!$B$13,-Inputs!$B$7,0)+AE380</f>
        <v>0</v>
      </c>
      <c r="AF381" s="33" t="n">
        <f aca="false">IF(Source_Data!AF$6=Inputs!$B$13,-Inputs!$B$7,0)+AF380</f>
        <v>0</v>
      </c>
      <c r="AG381" s="33" t="n">
        <f aca="false">IF(Source_Data!AG$6=Inputs!$B$13,-Inputs!$B$7,0)+AG380</f>
        <v>0</v>
      </c>
      <c r="AH381" s="33" t="n">
        <f aca="false">IF(Source_Data!AH$6=Inputs!$B$13,-Inputs!$B$7,0)+AH380</f>
        <v>0</v>
      </c>
      <c r="AI381" s="33" t="n">
        <f aca="false">IF(Source_Data!AI$6=Inputs!$B$13,-Inputs!$B$7,0)+AI380</f>
        <v>0</v>
      </c>
      <c r="AJ381" s="33" t="n">
        <f aca="false">IF(Source_Data!AJ$6=Inputs!$B$13,-Inputs!$B$7,0)+AJ380</f>
        <v>0</v>
      </c>
      <c r="AK381" s="33" t="n">
        <f aca="false">IF(Source_Data!AK$6=Inputs!$B$13,-Inputs!$B$7,0)+AK380</f>
        <v>0</v>
      </c>
      <c r="AL381" s="33" t="n">
        <f aca="false">IF(Source_Data!AL$6=Inputs!$B$13,-Inputs!$B$7,0)+AL380</f>
        <v>0</v>
      </c>
      <c r="AM381" s="33" t="n">
        <f aca="false">IF(Source_Data!AM$6=Inputs!$B$13,-Inputs!$B$7,0)+AM380</f>
        <v>0</v>
      </c>
      <c r="AN381" s="33" t="n">
        <f aca="false">IF(Source_Data!AN$6=Inputs!$B$13,-Inputs!$B$7,0)+AN380</f>
        <v>0</v>
      </c>
      <c r="AO381" s="33" t="n">
        <f aca="false">IF(Source_Data!AO$6=Inputs!$B$13,-Inputs!$B$7,0)+AO380</f>
        <v>0</v>
      </c>
      <c r="AP381" s="33" t="n">
        <f aca="false">IF(Source_Data!AP$6=Inputs!$B$13,-Inputs!$B$7,0)+AP380</f>
        <v>0</v>
      </c>
      <c r="AQ381" s="33" t="n">
        <f aca="false">IF(Source_Data!AQ$6=Inputs!$B$13,-Inputs!$B$7,0)+AQ380</f>
        <v>0</v>
      </c>
      <c r="AR381" s="33" t="n">
        <f aca="false">IF(Source_Data!AR$6=Inputs!$B$13,-Inputs!$B$7,0)+AR380</f>
        <v>0</v>
      </c>
      <c r="AS381" s="33" t="n">
        <f aca="false">IF(Source_Data!AS$6=Inputs!$B$13,-Inputs!$B$7,0)+AS380</f>
        <v>0</v>
      </c>
      <c r="AT381" s="33" t="n">
        <f aca="false">IF(Source_Data!AT$6=Inputs!$B$13,-Inputs!$B$7,0)+AT380</f>
        <v>0</v>
      </c>
      <c r="AU381" s="33" t="n">
        <f aca="false">IF(Source_Data!AU$6=Inputs!$B$13,-Inputs!$B$7,0)+AU380</f>
        <v>0</v>
      </c>
      <c r="AV381" s="33" t="n">
        <f aca="false">IF(Source_Data!AV$6=Inputs!$B$13,-Inputs!$B$7,0)+AV380</f>
        <v>0</v>
      </c>
      <c r="AW381" s="33" t="n">
        <f aca="false">IF(Source_Data!AW$6=Inputs!$B$13,-Inputs!$B$7,0)+AW380</f>
        <v>0</v>
      </c>
      <c r="AX381" s="33" t="n">
        <f aca="false">IF(Source_Data!AX$6=Inputs!$B$13,-Inputs!$B$7,0)+AX380</f>
        <v>0</v>
      </c>
      <c r="AY381" s="33" t="n">
        <f aca="false">IF(Source_Data!AY$6=Inputs!$B$13,-Inputs!$B$7,0)+AY380</f>
        <v>0</v>
      </c>
      <c r="AZ381" s="33" t="n">
        <f aca="false">IF(Source_Data!AZ$6=Inputs!$B$13,-Inputs!$B$7,0)+AZ380</f>
        <v>0</v>
      </c>
      <c r="BA381" s="33" t="n">
        <f aca="false">IF(Source_Data!BA$6=Inputs!$B$13,-Inputs!$B$7,0)+BA380</f>
        <v>0</v>
      </c>
      <c r="BB381" s="33" t="n">
        <f aca="false">IF(Source_Data!BB$6=Inputs!$B$13,-Inputs!$B$7,0)+BB380</f>
        <v>0</v>
      </c>
      <c r="BC381" s="33" t="n">
        <f aca="false">IF(Source_Data!BC$6=Inputs!$B$13,-Inputs!$B$7,0)+BC380</f>
        <v>0</v>
      </c>
      <c r="BD381" s="33" t="n">
        <f aca="false">IF(Source_Data!BD$6=Inputs!$B$13,-Inputs!$B$7,0)+BD380</f>
        <v>0</v>
      </c>
      <c r="BE381" s="33" t="n">
        <f aca="false">IF(Source_Data!BE$6=Inputs!$B$13,-Inputs!$B$7,0)+BE380</f>
        <v>0</v>
      </c>
      <c r="BF381" s="33" t="n">
        <f aca="false">IF(Source_Data!BF$6=Inputs!$B$13,-Inputs!$B$7,0)+BF380</f>
        <v>0</v>
      </c>
      <c r="BG381" s="33" t="n">
        <f aca="false">IF(Source_Data!BG$6=Inputs!$B$13,-Inputs!$B$7,0)+BG380</f>
        <v>0</v>
      </c>
      <c r="BH381" s="33" t="n">
        <f aca="false">IF(Source_Data!BH$6=Inputs!$B$13,-Inputs!$B$7,0)+BH380</f>
        <v>0</v>
      </c>
      <c r="BI381" s="33" t="n">
        <f aca="false">IF(Source_Data!BI$6=Inputs!$B$13,-Inputs!$B$7,0)+BI380</f>
        <v>0</v>
      </c>
      <c r="BJ381" s="33" t="n">
        <f aca="false">IF(Source_Data!BJ$6=Inputs!$B$13,-Inputs!$B$7,0)+BJ380</f>
        <v>0</v>
      </c>
      <c r="BK381" s="33" t="n">
        <f aca="false">IF(Source_Data!BK$6=Inputs!$B$13,-Inputs!$B$7,0)+BK380</f>
        <v>0</v>
      </c>
    </row>
    <row r="382" customFormat="false" ht="15" hidden="false" customHeight="false" outlineLevel="0" collapsed="false">
      <c r="A382" s="3" t="s">
        <v>344</v>
      </c>
      <c r="D382" s="33" t="n">
        <f aca="false">IF(Source_Data!D$6=Inputs!$B$13,Inputs!$B$7,0)+D377-D380</f>
        <v>-16.25</v>
      </c>
      <c r="E382" s="33" t="n">
        <f aca="false">D382+IF(Source_Data!E$6=Inputs!$B$13,Inputs!$B$7,0)+E377-E380</f>
        <v>-27.5</v>
      </c>
      <c r="F382" s="33" t="n">
        <f aca="false">E382+IF(Source_Data!F$6=Inputs!$B$13,Inputs!$B$7,0)+F377-F380</f>
        <v>-38.75</v>
      </c>
      <c r="G382" s="33" t="n">
        <f aca="false">F382+IF(Source_Data!G$6=Inputs!$B$13,Inputs!$B$7,0)+G377-G380</f>
        <v>-34.8607625</v>
      </c>
      <c r="H382" s="33" t="n">
        <f aca="false">G382+IF(Source_Data!H$6=Inputs!$B$13,Inputs!$B$7,0)+H377-H380</f>
        <v>-50.0822875</v>
      </c>
      <c r="I382" s="33" t="n">
        <f aca="false">H382+IF(Source_Data!I$6=Inputs!$B$13,Inputs!$B$7,0)+I377-I380</f>
        <v>-56.43028125</v>
      </c>
      <c r="J382" s="33" t="n">
        <f aca="false">I382+IF(Source_Data!J$6=Inputs!$B$13,Inputs!$B$7,0)+J377-J380</f>
        <v>-74.29613375</v>
      </c>
      <c r="K382" s="33" t="n">
        <f aca="false">J382+IF(Source_Data!K$6=Inputs!$B$13,Inputs!$B$7,0)+K377-K380</f>
        <v>-76.90182375</v>
      </c>
      <c r="L382" s="33" t="n">
        <f aca="false">K382+IF(Source_Data!L$6=Inputs!$B$13,Inputs!$B$7,0)+L377-L380</f>
        <v>-87.059524375</v>
      </c>
      <c r="M382" s="33" t="n">
        <f aca="false">L382+IF(Source_Data!M$6=Inputs!$B$13,Inputs!$B$7,0)+M377-M380</f>
        <v>-94.7369359375</v>
      </c>
      <c r="N382" s="33" t="n">
        <f aca="false">M382+IF(Source_Data!N$6=Inputs!$B$13,Inputs!$B$7,0)+N377-N380</f>
        <v>339.3308915625</v>
      </c>
      <c r="O382" s="33" t="n">
        <f aca="false">N382+IF(Source_Data!O$6=Inputs!$B$13,Inputs!$B$7,0)+O377-O380</f>
        <v>463.7226315625</v>
      </c>
      <c r="P382" s="33" t="n">
        <f aca="false">O382+IF(Source_Data!P$6=Inputs!$B$13,Inputs!$B$7,0)+P377-P380</f>
        <v>435.1835915625</v>
      </c>
      <c r="Q382" s="33" t="n">
        <f aca="false">P382+IF(Source_Data!Q$6=Inputs!$B$13,Inputs!$B$7,0)+Q377-Q380</f>
        <v>325.8585415625</v>
      </c>
      <c r="R382" s="33" t="n">
        <f aca="false">Q382+IF(Source_Data!R$6=Inputs!$B$13,Inputs!$B$7,0)+R377-R380</f>
        <v>139.9327103125</v>
      </c>
      <c r="S382" s="33" t="n">
        <f aca="false">R382+IF(Source_Data!S$6=Inputs!$B$13,Inputs!$B$7,0)+S377-S380</f>
        <v>10.6614790625</v>
      </c>
      <c r="T382" s="33" t="n">
        <f aca="false">S382+IF(Source_Data!T$6=Inputs!$B$13,Inputs!$B$7,0)+T377-T380</f>
        <v>19.3235146875</v>
      </c>
      <c r="U382" s="33" t="n">
        <f aca="false">T382+IF(Source_Data!U$6=Inputs!$B$13,Inputs!$B$7,0)+U377-U380</f>
        <v>21.175154375</v>
      </c>
      <c r="V382" s="33" t="n">
        <f aca="false">U382+IF(Source_Data!V$6=Inputs!$B$13,Inputs!$B$7,0)+V377-V380</f>
        <v>21.5128703125</v>
      </c>
      <c r="W382" s="33" t="n">
        <f aca="false">V382+IF(Source_Data!W$6=Inputs!$B$13,Inputs!$B$7,0)+W377-W380</f>
        <v>15.861815</v>
      </c>
      <c r="X382" s="33" t="n">
        <f aca="false">W382+IF(Source_Data!X$6=Inputs!$B$13,Inputs!$B$7,0)+X377-X380</f>
        <v>28.3697596875</v>
      </c>
      <c r="Y382" s="33" t="n">
        <f aca="false">X382+IF(Source_Data!Y$6=Inputs!$B$13,Inputs!$B$7,0)+Y377-Y380</f>
        <v>55.252704375</v>
      </c>
      <c r="Z382" s="33" t="n">
        <f aca="false">Y382+IF(Source_Data!Z$6=Inputs!$B$13,Inputs!$B$7,0)+Z377-Z380</f>
        <v>74.8554303125</v>
      </c>
      <c r="AA382" s="33" t="n">
        <f aca="false">Z382+IF(Source_Data!AA$6=Inputs!$B$13,Inputs!$B$7,0)+AA377-AA380</f>
        <v>94.45815625</v>
      </c>
      <c r="AB382" s="33" t="n">
        <f aca="false">AA382+IF(Source_Data!AB$6=Inputs!$B$13,Inputs!$B$7,0)+AB377-AB380</f>
        <v>136.5608821875</v>
      </c>
      <c r="AC382" s="33" t="n">
        <f aca="false">AB382+IF(Source_Data!AC$6=Inputs!$B$13,Inputs!$B$7,0)+AC377-AC380</f>
        <v>172.875608125</v>
      </c>
      <c r="AD382" s="33" t="n">
        <f aca="false">AC382+IF(Source_Data!AD$6=Inputs!$B$13,Inputs!$B$7,0)+AD377-AD380</f>
        <v>205.914235625</v>
      </c>
      <c r="AE382" s="33" t="n">
        <f aca="false">AD382+IF(Source_Data!AE$6=Inputs!$B$13,Inputs!$B$7,0)+AE377-AE380</f>
        <v>235.344406875</v>
      </c>
      <c r="AF382" s="33" t="n">
        <f aca="false">AE382+IF(Source_Data!AF$6=Inputs!$B$13,Inputs!$B$7,0)+AF377-AF380</f>
        <v>152.675367773437</v>
      </c>
      <c r="AG382" s="33" t="n">
        <f aca="false">AF382+IF(Source_Data!AG$6=Inputs!$B$13,Inputs!$B$7,0)+AG377-AG380</f>
        <v>166.788026601562</v>
      </c>
      <c r="AH382" s="33" t="n">
        <f aca="false">AG382+IF(Source_Data!AH$6=Inputs!$B$13,Inputs!$B$7,0)+AH377-AH380</f>
        <v>180.900685429687</v>
      </c>
      <c r="AI382" s="33" t="n">
        <f aca="false">AH382+IF(Source_Data!AI$6=Inputs!$B$13,Inputs!$B$7,0)+AI377-AI380</f>
        <v>195.013344257812</v>
      </c>
      <c r="AJ382" s="33" t="n">
        <f aca="false">AI382+IF(Source_Data!AJ$6=Inputs!$B$13,Inputs!$B$7,0)+AJ377-AJ380</f>
        <v>209.126003085937</v>
      </c>
      <c r="AK382" s="33" t="n">
        <f aca="false">AJ382+IF(Source_Data!AK$6=Inputs!$B$13,Inputs!$B$7,0)+AK377-AK380</f>
        <v>224.194190625</v>
      </c>
      <c r="AL382" s="33" t="n">
        <f aca="false">AK382+IF(Source_Data!AL$6=Inputs!$B$13,Inputs!$B$7,0)+AL377-AL380</f>
        <v>237.078312539063</v>
      </c>
      <c r="AM382" s="33" t="n">
        <f aca="false">AL382+IF(Source_Data!AM$6=Inputs!$B$13,Inputs!$B$7,0)+AM377-AM380</f>
        <v>251.784863125</v>
      </c>
      <c r="AN382" s="33" t="n">
        <f aca="false">AM382+IF(Source_Data!AN$6=Inputs!$B$13,Inputs!$B$7,0)+AN377-AN380</f>
        <v>266.31296921875</v>
      </c>
      <c r="AO382" s="33" t="n">
        <f aca="false">AN382+IF(Source_Data!AO$6=Inputs!$B$13,Inputs!$B$7,0)+AO377-AO380</f>
        <v>274.377055</v>
      </c>
      <c r="AP382" s="33" t="n">
        <f aca="false">AO382+IF(Source_Data!AP$6=Inputs!$B$13,Inputs!$B$7,0)+AP377-AP380</f>
        <v>277.9475275</v>
      </c>
      <c r="AQ382" s="33" t="n">
        <f aca="false">AP382+IF(Source_Data!AQ$6=Inputs!$B$13,Inputs!$B$7,0)+AQ377-AQ380</f>
        <v>277.9475275</v>
      </c>
      <c r="AR382" s="33" t="n">
        <f aca="false">AQ382+IF(Source_Data!AR$6=Inputs!$B$13,Inputs!$B$7,0)+AR377-AR380</f>
        <v>277.9475275</v>
      </c>
      <c r="AS382" s="33" t="n">
        <f aca="false">AR382+IF(Source_Data!AS$6=Inputs!$B$13,Inputs!$B$7,0)+AS377-AS380</f>
        <v>277.9475275</v>
      </c>
      <c r="AT382" s="33" t="n">
        <f aca="false">AS382+IF(Source_Data!AT$6=Inputs!$B$13,Inputs!$B$7,0)+AT377-AT380</f>
        <v>277.9475275</v>
      </c>
      <c r="AU382" s="33" t="n">
        <f aca="false">AT382+IF(Source_Data!AU$6=Inputs!$B$13,Inputs!$B$7,0)+AU377-AU380</f>
        <v>277.9475275</v>
      </c>
      <c r="AV382" s="33" t="n">
        <f aca="false">AU382+IF(Source_Data!AV$6=Inputs!$B$13,Inputs!$B$7,0)+AV377-AV380</f>
        <v>277.9475275</v>
      </c>
      <c r="AW382" s="33" t="n">
        <f aca="false">AV382+IF(Source_Data!AW$6=Inputs!$B$13,Inputs!$B$7,0)+AW377-AW380</f>
        <v>277.9475275</v>
      </c>
      <c r="AX382" s="33" t="n">
        <f aca="false">AW382+IF(Source_Data!AX$6=Inputs!$B$13,Inputs!$B$7,0)+AX377-AX380</f>
        <v>277.9475275</v>
      </c>
      <c r="AY382" s="33" t="n">
        <f aca="false">AX382+IF(Source_Data!AY$6=Inputs!$B$13,Inputs!$B$7,0)+AY377-AY380</f>
        <v>277.9475275</v>
      </c>
      <c r="AZ382" s="33" t="n">
        <f aca="false">AY382+IF(Source_Data!AZ$6=Inputs!$B$13,Inputs!$B$7,0)+AZ377-AZ380</f>
        <v>277.9475275</v>
      </c>
      <c r="BA382" s="33" t="n">
        <f aca="false">AZ382+IF(Source_Data!BA$6=Inputs!$B$13,Inputs!$B$7,0)+BA377-BA380</f>
        <v>277.9475275</v>
      </c>
      <c r="BB382" s="33" t="n">
        <f aca="false">BA382+IF(Source_Data!BB$6=Inputs!$B$13,Inputs!$B$7,0)+BB377-BB380</f>
        <v>277.9475275</v>
      </c>
      <c r="BC382" s="33" t="n">
        <f aca="false">BB382+IF(Source_Data!BC$6=Inputs!$B$13,Inputs!$B$7,0)+BC377-BC380</f>
        <v>277.9475275</v>
      </c>
      <c r="BD382" s="33" t="n">
        <f aca="false">BC382+IF(Source_Data!BD$6=Inputs!$B$13,Inputs!$B$7,0)+BD377-BD380</f>
        <v>277.9475275</v>
      </c>
      <c r="BE382" s="33" t="n">
        <f aca="false">BD382+IF(Source_Data!BE$6=Inputs!$B$13,Inputs!$B$7,0)+BE377-BE380</f>
        <v>277.9475275</v>
      </c>
      <c r="BF382" s="33" t="n">
        <f aca="false">BE382+IF(Source_Data!BF$6=Inputs!$B$13,Inputs!$B$7,0)+BF377-BF380</f>
        <v>277.9475275</v>
      </c>
      <c r="BG382" s="33" t="n">
        <f aca="false">BF382+IF(Source_Data!BG$6=Inputs!$B$13,Inputs!$B$7,0)+BG377-BG380</f>
        <v>277.9475275</v>
      </c>
      <c r="BH382" s="33" t="n">
        <f aca="false">BG382+IF(Source_Data!BH$6=Inputs!$B$13,Inputs!$B$7,0)+BH377-BH380</f>
        <v>277.9475275</v>
      </c>
      <c r="BI382" s="33" t="n">
        <f aca="false">BH382+IF(Source_Data!BI$6=Inputs!$B$13,Inputs!$B$7,0)+BI377-BI380</f>
        <v>277.9475275</v>
      </c>
      <c r="BJ382" s="33" t="n">
        <f aca="false">BI382+IF(Source_Data!BJ$6=Inputs!$B$13,Inputs!$B$7,0)+BJ377-BJ380</f>
        <v>277.9475275</v>
      </c>
      <c r="BK382" s="33" t="n">
        <f aca="false">BJ382+IF(Source_Data!BK$6=Inputs!$B$13,Inputs!$B$7,0)+BK377-BK380</f>
        <v>277.9475275</v>
      </c>
    </row>
    <row r="383" customFormat="false" ht="15" hidden="false" customHeight="false" outlineLevel="0" collapsed="false">
      <c r="A383" s="3" t="s">
        <v>345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0.465919195652175</v>
      </c>
      <c r="N383" s="31" t="n">
        <f aca="false">IF(N380&gt;0,N377/N380,"")</f>
        <v>31.1960227826087</v>
      </c>
      <c r="O383" s="31" t="n">
        <f aca="false">IF(O380&gt;0,O377/O380,"")</f>
        <v>9.65333843478261</v>
      </c>
      <c r="P383" s="31" t="n">
        <f aca="false">IF(P380&gt;0,P377/P380,"")</f>
        <v>-0.985324521739131</v>
      </c>
      <c r="Q383" s="31" t="n">
        <f aca="false">IF(Q380&gt;0,Q377/Q380,"")</f>
        <v>-6.60522086956522</v>
      </c>
      <c r="R383" s="31" t="n">
        <f aca="false">IF(R380&gt;0,R377/R380,"")</f>
        <v>-11.9339708695652</v>
      </c>
      <c r="S383" s="31" t="n">
        <f aca="false">IF(S380&gt;0,S377/S380,"")</f>
        <v>-7.99278130434783</v>
      </c>
      <c r="T383" s="31" t="n">
        <f aca="false">IF(T380&gt;0,T377/T380,"")</f>
        <v>1.60257639130435</v>
      </c>
      <c r="U383" s="31" t="n">
        <f aca="false">IF(U380&gt;0,U377/U380,"")</f>
        <v>1.1288097173913</v>
      </c>
      <c r="V383" s="31" t="n">
        <f aca="false">IF(V380&gt;0,V377/V380,"")</f>
        <v>1.0234932826087</v>
      </c>
      <c r="W383" s="31" t="n">
        <f aca="false">IF(W380&gt;0,W377/W380,"")</f>
        <v>0.606883108695652</v>
      </c>
      <c r="X383" s="31" t="n">
        <f aca="false">IF(X380&gt;0,X377/X380,"")</f>
        <v>1.87011789130435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346</v>
      </c>
      <c r="D384" s="31" t="str">
        <f aca="false">IF(D380&gt;0,(0+D377+IF(Source_Data!D$6=Inputs!$B$13,Inputs!$B$7,0))/D380,"")</f>
        <v/>
      </c>
      <c r="E384" s="31" t="str">
        <f aca="false">IF(E380&gt;0,(D382+E377+IF(Source_Data!E$6=Inputs!$B$13,Inputs!$B$7,0))/E380,"")</f>
        <v/>
      </c>
      <c r="F384" s="31" t="str">
        <f aca="false">IF(F380&gt;0,(E382+F377+IF(Source_Data!F$6=Inputs!$B$13,Inputs!$B$7,0))/F380,"")</f>
        <v/>
      </c>
      <c r="G384" s="31" t="str">
        <f aca="false">IF(G380&gt;0,(F382+G377+IF(Source_Data!G$6=Inputs!$B$13,Inputs!$B$7,0))/G380,"")</f>
        <v/>
      </c>
      <c r="H384" s="31" t="str">
        <f aca="false">IF(H380&gt;0,(G382+H377+IF(Source_Data!H$6=Inputs!$B$13,Inputs!$B$7,0))/H380,"")</f>
        <v/>
      </c>
      <c r="I384" s="31" t="str">
        <f aca="false">IF(I380&gt;0,(H382+I377+IF(Source_Data!I$6=Inputs!$B$13,Inputs!$B$7,0))/I380,"")</f>
        <v/>
      </c>
      <c r="J384" s="31" t="str">
        <f aca="false">IF(J380&gt;0,(I382+J377+IF(Source_Data!J$6=Inputs!$B$13,Inputs!$B$7,0))/J380,"")</f>
        <v/>
      </c>
      <c r="K384" s="31" t="str">
        <f aca="false">IF(K380&gt;0,(J382+K377+IF(Source_Data!K$6=Inputs!$B$13,Inputs!$B$7,0))/K380,"")</f>
        <v/>
      </c>
      <c r="L384" s="31" t="str">
        <f aca="false">IF(L380&gt;0,(K382+L377+IF(Source_Data!L$6=Inputs!$B$13,Inputs!$B$7,0))/L380,"")</f>
        <v/>
      </c>
      <c r="M384" s="31" t="n">
        <f aca="false">IF(M380&gt;0,(L382+M377+IF(Source_Data!M$6=Inputs!$B$13,Inputs!$B$7,0))/M380,"")</f>
        <v>-5.59039554347826</v>
      </c>
      <c r="N384" s="31" t="n">
        <f aca="false">IF(N380&gt;0,(M382+N377+IF(Source_Data!N$6=Inputs!$B$13,Inputs!$B$7,0))/N380,"")</f>
        <v>24.6056272391304</v>
      </c>
      <c r="O384" s="31" t="n">
        <f aca="false">IF(O380&gt;0,(N382+O377+IF(Source_Data!O$6=Inputs!$B$13,Inputs!$B$7,0))/O380,"")</f>
        <v>33.258965673913</v>
      </c>
      <c r="P384" s="31" t="n">
        <f aca="false">IF(P380&gt;0,(O382+P377+IF(Source_Data!P$6=Inputs!$B$13,Inputs!$B$7,0))/P380,"")</f>
        <v>31.2736411521739</v>
      </c>
      <c r="Q384" s="31" t="n">
        <f aca="false">IF(Q380&gt;0,(P382+Q377+IF(Source_Data!Q$6=Inputs!$B$13,Inputs!$B$7,0))/Q380,"")</f>
        <v>23.6684202826087</v>
      </c>
      <c r="R384" s="31" t="n">
        <f aca="false">IF(R380&gt;0,(Q382+R377+IF(Source_Data!R$6=Inputs!$B$13,Inputs!$B$7,0))/R380,"")</f>
        <v>10.7344494130435</v>
      </c>
      <c r="S384" s="31" t="n">
        <f aca="false">IF(S380&gt;0,(R382+S377+IF(Source_Data!S$6=Inputs!$B$13,Inputs!$B$7,0))/S380,"")</f>
        <v>1.74166810869565</v>
      </c>
      <c r="T384" s="31" t="n">
        <f aca="false">IF(T380&gt;0,(S382+T377+IF(Source_Data!T$6=Inputs!$B$13,Inputs!$B$7,0))/T380,"")</f>
        <v>2.3442445</v>
      </c>
      <c r="U384" s="31" t="n">
        <f aca="false">IF(U380&gt;0,(T382+U377+IF(Source_Data!U$6=Inputs!$B$13,Inputs!$B$7,0))/U380,"")</f>
        <v>2.47305421739131</v>
      </c>
      <c r="V384" s="31" t="n">
        <f aca="false">IF(V380&gt;0,(U382+V377+IF(Source_Data!V$6=Inputs!$B$13,Inputs!$B$7,0))/V380,"")</f>
        <v>2.4965475</v>
      </c>
      <c r="W384" s="31" t="n">
        <f aca="false">IF(W380&gt;0,(V382+W377+IF(Source_Data!W$6=Inputs!$B$13,Inputs!$B$7,0))/W380,"")</f>
        <v>2.10343060869565</v>
      </c>
      <c r="X384" s="31" t="n">
        <f aca="false">IF(X380&gt;0,(W382+X377+IF(Source_Data!X$6=Inputs!$B$13,Inputs!$B$7,0))/X380,"")</f>
        <v>2.9735485</v>
      </c>
      <c r="Y384" s="31" t="str">
        <f aca="false">IF(Y380&gt;0,(X382+Y377+IF(Source_Data!Y$6=Inputs!$B$13,Inputs!$B$7,0))/Y380,"")</f>
        <v/>
      </c>
      <c r="Z384" s="31" t="str">
        <f aca="false">IF(Z380&gt;0,(Y382+Z377+IF(Source_Data!Z$6=Inputs!$B$13,Inputs!$B$7,0))/Z380,"")</f>
        <v/>
      </c>
      <c r="AA384" s="31" t="str">
        <f aca="false">IF(AA380&gt;0,(Z382+AA377+IF(Source_Data!AA$6=Inputs!$B$13,Inputs!$B$7,0))/AA380,"")</f>
        <v/>
      </c>
      <c r="AB384" s="31" t="str">
        <f aca="false">IF(AB380&gt;0,(AA382+AB377+IF(Source_Data!AB$6=Inputs!$B$13,Inputs!$B$7,0))/AB380,"")</f>
        <v/>
      </c>
      <c r="AC384" s="31" t="str">
        <f aca="false">IF(AC380&gt;0,(AB382+AC377+IF(Source_Data!AC$6=Inputs!$B$13,Inputs!$B$7,0))/AC380,"")</f>
        <v/>
      </c>
      <c r="AD384" s="31" t="str">
        <f aca="false">IF(AD380&gt;0,(AC382+AD377+IF(Source_Data!AD$6=Inputs!$B$13,Inputs!$B$7,0))/AD380,"")</f>
        <v/>
      </c>
      <c r="AE384" s="31" t="str">
        <f aca="false">IF(AE380&gt;0,(AD382+AE377+IF(Source_Data!AE$6=Inputs!$B$13,Inputs!$B$7,0))/AE380,"")</f>
        <v/>
      </c>
      <c r="AF384" s="31" t="str">
        <f aca="false">IF(AF380&gt;0,(AE382+AF377+IF(Source_Data!AF$6=Inputs!$B$13,Inputs!$B$7,0))/AF380,"")</f>
        <v/>
      </c>
      <c r="AG384" s="31" t="str">
        <f aca="false">IF(AG380&gt;0,(AF382+AG377+IF(Source_Data!AG$6=Inputs!$B$13,Inputs!$B$7,0))/AG380,"")</f>
        <v/>
      </c>
      <c r="AH384" s="31" t="str">
        <f aca="false">IF(AH380&gt;0,(AG382+AH377+IF(Source_Data!AH$6=Inputs!$B$13,Inputs!$B$7,0))/AH380,"")</f>
        <v/>
      </c>
      <c r="AI384" s="31" t="str">
        <f aca="false">IF(AI380&gt;0,(AH382+AI377+IF(Source_Data!AI$6=Inputs!$B$13,Inputs!$B$7,0))/AI380,"")</f>
        <v/>
      </c>
      <c r="AJ384" s="31" t="str">
        <f aca="false">IF(AJ380&gt;0,(AI382+AJ377+IF(Source_Data!AJ$6=Inputs!$B$13,Inputs!$B$7,0))/AJ380,"")</f>
        <v/>
      </c>
      <c r="AK384" s="31" t="str">
        <f aca="false">IF(AK380&gt;0,(AJ382+AK377+IF(Source_Data!AK$6=Inputs!$B$13,Inputs!$B$7,0))/AK380,"")</f>
        <v/>
      </c>
      <c r="AL384" s="31" t="str">
        <f aca="false">IF(AL380&gt;0,(AK382+AL377+IF(Source_Data!AL$6=Inputs!$B$13,Inputs!$B$7,0))/AL380,"")</f>
        <v/>
      </c>
      <c r="AM384" s="31" t="str">
        <f aca="false">IF(AM380&gt;0,(AL382+AM377+IF(Source_Data!AM$6=Inputs!$B$13,Inputs!$B$7,0))/AM380,"")</f>
        <v/>
      </c>
      <c r="AN384" s="31" t="str">
        <f aca="false">IF(AN380&gt;0,(AM382+AN377+IF(Source_Data!AN$6=Inputs!$B$13,Inputs!$B$7,0))/AN380,"")</f>
        <v/>
      </c>
      <c r="AO384" s="31" t="str">
        <f aca="false">IF(AO380&gt;0,(AN382+AO377+IF(Source_Data!AO$6=Inputs!$B$13,Inputs!$B$7,0))/AO380,"")</f>
        <v/>
      </c>
      <c r="AP384" s="31" t="str">
        <f aca="false">IF(AP380&gt;0,(AO382+AP377+IF(Source_Data!AP$6=Inputs!$B$13,Inputs!$B$7,0))/AP380,"")</f>
        <v/>
      </c>
      <c r="AQ384" s="31" t="str">
        <f aca="false">IF(AQ380&gt;0,(AP382+AQ377+IF(Source_Data!AQ$6=Inputs!$B$13,Inputs!$B$7,0))/AQ380,"")</f>
        <v/>
      </c>
      <c r="AR384" s="31" t="str">
        <f aca="false">IF(AR380&gt;0,(AQ382+AR377+IF(Source_Data!AR$6=Inputs!$B$13,Inputs!$B$7,0))/AR380,"")</f>
        <v/>
      </c>
      <c r="AS384" s="31" t="str">
        <f aca="false">IF(AS380&gt;0,(AR382+AS377+IF(Source_Data!AS$6=Inputs!$B$13,Inputs!$B$7,0))/AS380,"")</f>
        <v/>
      </c>
      <c r="AT384" s="31" t="str">
        <f aca="false">IF(AT380&gt;0,(AS382+AT377+IF(Source_Data!AT$6=Inputs!$B$13,Inputs!$B$7,0))/AT380,"")</f>
        <v/>
      </c>
      <c r="AU384" s="31" t="str">
        <f aca="false">IF(AU380&gt;0,(AT382+AU377+IF(Source_Data!AU$6=Inputs!$B$13,Inputs!$B$7,0))/AU380,"")</f>
        <v/>
      </c>
      <c r="AV384" s="31" t="str">
        <f aca="false">IF(AV380&gt;0,(AU382+AV377+IF(Source_Data!AV$6=Inputs!$B$13,Inputs!$B$7,0))/AV380,"")</f>
        <v/>
      </c>
      <c r="AW384" s="31" t="str">
        <f aca="false">IF(AW380&gt;0,(AV382+AW377+IF(Source_Data!AW$6=Inputs!$B$13,Inputs!$B$7,0))/AW380,"")</f>
        <v/>
      </c>
      <c r="AX384" s="31" t="str">
        <f aca="false">IF(AX380&gt;0,(AW382+AX377+IF(Source_Data!AX$6=Inputs!$B$13,Inputs!$B$7,0))/AX380,"")</f>
        <v/>
      </c>
      <c r="AY384" s="31" t="str">
        <f aca="false">IF(AY380&gt;0,(AX382+AY377+IF(Source_Data!AY$6=Inputs!$B$13,Inputs!$B$7,0))/AY380,"")</f>
        <v/>
      </c>
      <c r="AZ384" s="31" t="str">
        <f aca="false">IF(AZ380&gt;0,(AY382+AZ377+IF(Source_Data!AZ$6=Inputs!$B$13,Inputs!$B$7,0))/AZ380,"")</f>
        <v/>
      </c>
      <c r="BA384" s="31" t="str">
        <f aca="false">IF(BA380&gt;0,(AZ382+BA377+IF(Source_Data!BA$6=Inputs!$B$13,Inputs!$B$7,0))/BA380,"")</f>
        <v/>
      </c>
      <c r="BB384" s="31" t="str">
        <f aca="false">IF(BB380&gt;0,(BA382+BB377+IF(Source_Data!BB$6=Inputs!$B$13,Inputs!$B$7,0))/BB380,"")</f>
        <v/>
      </c>
      <c r="BC384" s="31" t="str">
        <f aca="false">IF(BC380&gt;0,(BB382+BC377+IF(Source_Data!BC$6=Inputs!$B$13,Inputs!$B$7,0))/BC380,"")</f>
        <v/>
      </c>
      <c r="BD384" s="31" t="str">
        <f aca="false">IF(BD380&gt;0,(BC382+BD377+IF(Source_Data!BD$6=Inputs!$B$13,Inputs!$B$7,0))/BD380,"")</f>
        <v/>
      </c>
      <c r="BE384" s="31" t="str">
        <f aca="false">IF(BE380&gt;0,(BD382+BE377+IF(Source_Data!BE$6=Inputs!$B$13,Inputs!$B$7,0))/BE380,"")</f>
        <v/>
      </c>
      <c r="BF384" s="31" t="str">
        <f aca="false">IF(BF380&gt;0,(BE382+BF377+IF(Source_Data!BF$6=Inputs!$B$13,Inputs!$B$7,0))/BF380,"")</f>
        <v/>
      </c>
      <c r="BG384" s="31" t="str">
        <f aca="false">IF(BG380&gt;0,(BF382+BG377+IF(Source_Data!BG$6=Inputs!$B$13,Inputs!$B$7,0))/BG380,"")</f>
        <v/>
      </c>
      <c r="BH384" s="31" t="str">
        <f aca="false">IF(BH380&gt;0,(BG382+BH377+IF(Source_Data!BH$6=Inputs!$B$13,Inputs!$B$7,0))/BH380,"")</f>
        <v/>
      </c>
      <c r="BI384" s="31" t="str">
        <f aca="false">IF(BI380&gt;0,(BH382+BI377+IF(Source_Data!BI$6=Inputs!$B$13,Inputs!$B$7,0))/BI380,"")</f>
        <v/>
      </c>
      <c r="BJ384" s="31" t="str">
        <f aca="false">IF(BJ380&gt;0,(BI382+BJ377+IF(Source_Data!BJ$6=Inputs!$B$13,Inputs!$B$7,0))/BJ380,"")</f>
        <v/>
      </c>
      <c r="BK384" s="31" t="str">
        <f aca="false">IF(BK380&gt;0,(BJ382+BK377+IF(Source_Data!BK$6=Inputs!$B$13,Inputs!$B$7,0))/BK380,"")</f>
        <v/>
      </c>
    </row>
    <row r="386" customFormat="false" ht="15" hidden="false" customHeight="false" outlineLevel="0" collapsed="false">
      <c r="A386" s="2" t="s">
        <v>222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347</v>
      </c>
      <c r="B387" s="41" t="n">
        <f aca="false">SUMPRODUCT(D377:BK377,Project_CF!$D$15:$BK$15)</f>
        <v>181.138863272724</v>
      </c>
    </row>
    <row r="388" customFormat="false" ht="15" hidden="false" customHeight="false" outlineLevel="0" collapsed="false">
      <c r="A388" s="2" t="s">
        <v>164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348</v>
      </c>
      <c r="B389" s="35" t="n">
        <f aca="false">INDEX(Project_CF!$D$6:$BK$6,MATCH(MIN(D378:BK378),D378:BK378,0))</f>
        <v>21</v>
      </c>
    </row>
    <row r="390" customFormat="false" ht="15" hidden="false" customHeight="false" outlineLevel="0" collapsed="false">
      <c r="A390" s="2" t="s">
        <v>349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350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351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352</v>
      </c>
      <c r="B393" s="41" t="n">
        <f aca="false">MIN(D382:BK382)</f>
        <v>-94.7369359375</v>
      </c>
    </row>
    <row r="394" customFormat="false" ht="15" hidden="false" customHeight="false" outlineLevel="0" collapsed="false">
      <c r="A394" s="2" t="s">
        <v>353</v>
      </c>
      <c r="B394" s="43" t="n">
        <f aca="false">MIN(D383:BK383)</f>
        <v>-11.9339708695652</v>
      </c>
    </row>
    <row r="395" customFormat="false" ht="15" hidden="false" customHeight="false" outlineLevel="0" collapsed="false">
      <c r="A395" s="2" t="s">
        <v>354</v>
      </c>
      <c r="B395" s="35" t="n">
        <f aca="false">COUNTIF(D383:BK383,"&lt;"&amp;Inputs!$B$44)</f>
        <v>8</v>
      </c>
    </row>
    <row r="396" customFormat="false" ht="15" hidden="false" customHeight="false" outlineLevel="0" collapsed="false">
      <c r="A396" s="2" t="s">
        <v>355</v>
      </c>
      <c r="B396" s="43" t="n">
        <f aca="false">MIN(D384:BK384)</f>
        <v>-5.59039554347826</v>
      </c>
    </row>
    <row r="397" customFormat="false" ht="15" hidden="false" customHeight="false" outlineLevel="0" collapsed="false">
      <c r="A397" s="2" t="s">
        <v>356</v>
      </c>
      <c r="B397" s="35" t="n">
        <f aca="false">COUNTIF(D384:BK384,"&lt;"&amp;Inputs!$B$44)</f>
        <v>1</v>
      </c>
    </row>
    <row r="400" customFormat="false" ht="15" hidden="false" customHeight="false" outlineLevel="0" collapsed="false">
      <c r="A400" s="8" t="s">
        <v>370</v>
      </c>
    </row>
    <row r="401" customFormat="false" ht="15" hidden="false" customHeight="false" outlineLevel="0" collapsed="false">
      <c r="A401" s="3" t="s">
        <v>333</v>
      </c>
      <c r="B401" s="45" t="n">
        <v>1</v>
      </c>
    </row>
    <row r="402" customFormat="false" ht="15" hidden="false" customHeight="false" outlineLevel="0" collapsed="false">
      <c r="A402" s="3" t="s">
        <v>334</v>
      </c>
      <c r="B402" s="45" t="n">
        <v>0</v>
      </c>
    </row>
    <row r="403" customFormat="false" ht="15" hidden="false" customHeight="false" outlineLevel="0" collapsed="false">
      <c r="A403" s="3" t="s">
        <v>335</v>
      </c>
      <c r="B403" s="45" t="n">
        <v>1</v>
      </c>
    </row>
    <row r="404" customFormat="false" ht="15" hidden="false" customHeight="false" outlineLevel="0" collapsed="false">
      <c r="A404" s="3" t="s">
        <v>336</v>
      </c>
      <c r="B404" s="45" t="n">
        <v>2</v>
      </c>
    </row>
    <row r="405" customFormat="false" ht="15" hidden="false" customHeight="false" outlineLevel="0" collapsed="false">
      <c r="A405" s="3" t="s">
        <v>337</v>
      </c>
      <c r="B405" s="45" t="n">
        <v>0</v>
      </c>
    </row>
    <row r="406" customFormat="false" ht="15" hidden="false" customHeight="false" outlineLevel="0" collapsed="false">
      <c r="A406" s="3" t="s">
        <v>338</v>
      </c>
      <c r="B406" s="3" t="n">
        <f aca="false">Inputs!$B$14+3+3*$B$402</f>
        <v>45</v>
      </c>
    </row>
    <row r="407" customFormat="false" ht="15" hidden="false" customHeight="false" outlineLevel="0" collapsed="false">
      <c r="A407" s="3" t="s">
        <v>339</v>
      </c>
      <c r="D407" s="33" t="n">
        <f aca="false">Source_Data!D$7+IF($B$405=1,IF(Source_Data!D$6=Inputs!$B$14,Source_Data!$C$8,0),Source_Data!D$8)</f>
        <v>0</v>
      </c>
      <c r="E407" s="33" t="n">
        <f aca="false">Source_Data!E$7+IF($B$405=1,IF(Source_Data!E$6=Inputs!$B$14,Source_Data!$C$8,0),Source_Data!E$8)</f>
        <v>0</v>
      </c>
      <c r="F407" s="33" t="n">
        <f aca="false">Source_Data!F$7+IF($B$405=1,IF(Source_Data!F$6=Inputs!$B$14,Source_Data!$C$8,0),Source_Data!F$8)</f>
        <v>15.1392375</v>
      </c>
      <c r="G407" s="33" t="n">
        <f aca="false">Source_Data!G$7+IF($B$405=1,IF(Source_Data!G$6=Inputs!$B$14,Source_Data!$C$8,0),Source_Data!G$8)</f>
        <v>30.278475</v>
      </c>
      <c r="H407" s="33" t="n">
        <f aca="false">Source_Data!H$7+IF($B$405=1,IF(Source_Data!H$6=Inputs!$B$14,Source_Data!$C$8,0),Source_Data!H$8)</f>
        <v>46.51200625</v>
      </c>
      <c r="I407" s="33" t="n">
        <f aca="false">Source_Data!I$7+IF($B$405=1,IF(Source_Data!I$6=Inputs!$B$14,Source_Data!$C$8,0),Source_Data!I$8)</f>
        <v>62.7455375</v>
      </c>
      <c r="J407" s="33" t="n">
        <f aca="false">Source_Data!J$7+IF($B$405=1,IF(Source_Data!J$6=Inputs!$B$14,Source_Data!$C$8,0),Source_Data!J$8)</f>
        <v>62.3657</v>
      </c>
      <c r="K407" s="33" t="n">
        <f aca="false">Source_Data!K$7+IF($B$405=1,IF(Source_Data!K$6=Inputs!$B$14,Source_Data!$C$8,0),Source_Data!K$8)</f>
        <v>63.473559375</v>
      </c>
      <c r="L407" s="33" t="n">
        <f aca="false">Source_Data!L$7+IF($B$405=1,IF(Source_Data!L$6=Inputs!$B$14,Source_Data!$C$8,0),Source_Data!L$8)</f>
        <v>80.3288484375</v>
      </c>
      <c r="M407" s="33" t="n">
        <f aca="false">Source_Data!M$7+IF($B$405=1,IF(Source_Data!M$6=Inputs!$B$14,Source_Data!$C$8,0),Source_Data!M$8)</f>
        <v>495.2538375</v>
      </c>
      <c r="N407" s="33" t="n">
        <f aca="false">Source_Data!N$7+IF($B$405=1,IF(Source_Data!N$6=Inputs!$B$14,Source_Data!$C$8,0),Source_Data!N$8)</f>
        <v>185.57775</v>
      </c>
      <c r="O407" s="33" t="n">
        <f aca="false">Source_Data!O$7+IF($B$405=1,IF(Source_Data!O$6=Inputs!$B$14,Source_Data!$C$8,0),Source_Data!O$8)</f>
        <v>176.534</v>
      </c>
      <c r="P407" s="33" t="n">
        <f aca="false">Source_Data!P$7+IF($B$405=1,IF(Source_Data!P$6=Inputs!$B$14,Source_Data!$C$8,0),Source_Data!P$8)</f>
        <v>97.31075</v>
      </c>
      <c r="Q407" s="33" t="n">
        <f aca="false">Source_Data!Q$7+IF($B$405=1,IF(Source_Data!Q$6=Inputs!$B$14,Source_Data!$C$8,0),Source_Data!Q$8)</f>
        <v>71.30996875</v>
      </c>
      <c r="R407" s="33" t="n">
        <f aca="false">Source_Data!R$7+IF($B$405=1,IF(Source_Data!R$6=Inputs!$B$14,Source_Data!$C$8,0),Source_Data!R$8)</f>
        <v>71.30996875</v>
      </c>
      <c r="S407" s="33" t="n">
        <f aca="false">Source_Data!S$7+IF($B$405=1,IF(Source_Data!S$6=Inputs!$B$14,Source_Data!$C$8,0),Source_Data!S$8)</f>
        <v>68.037035625</v>
      </c>
      <c r="T407" s="33" t="n">
        <f aca="false">Source_Data!T$7+IF($B$405=1,IF(Source_Data!T$6=Inputs!$B$14,Source_Data!$C$8,0),Source_Data!T$8)</f>
        <v>61.2266396875</v>
      </c>
      <c r="U407" s="33" t="n">
        <f aca="false">Source_Data!U$7+IF($B$405=1,IF(Source_Data!U$6=Inputs!$B$14,Source_Data!$C$8,0),Source_Data!U$8)</f>
        <v>59.7127159375</v>
      </c>
      <c r="V407" s="33" t="n">
        <f aca="false">Source_Data!V$7+IF($B$405=1,IF(Source_Data!V$6=Inputs!$B$14,Source_Data!$C$8,0),Source_Data!V$8)</f>
        <v>53.7239446875</v>
      </c>
      <c r="W407" s="33" t="n">
        <f aca="false">Source_Data!W$7+IF($B$405=1,IF(Source_Data!W$6=Inputs!$B$14,Source_Data!$C$8,0),Source_Data!W$8)</f>
        <v>49.3829446875</v>
      </c>
      <c r="X407" s="33" t="n">
        <f aca="false">Source_Data!X$7+IF($B$405=1,IF(Source_Data!X$6=Inputs!$B$14,Source_Data!$C$8,0),Source_Data!X$8)</f>
        <v>49.3829446875</v>
      </c>
      <c r="Y407" s="33" t="n">
        <f aca="false">Source_Data!Y$7+IF($B$405=1,IF(Source_Data!Y$6=Inputs!$B$14,Source_Data!$C$8,0),Source_Data!Y$8)</f>
        <v>42.1027259375</v>
      </c>
      <c r="Z407" s="33" t="n">
        <f aca="false">Source_Data!Z$7+IF($B$405=1,IF(Source_Data!Z$6=Inputs!$B$14,Source_Data!$C$8,0),Source_Data!Z$8)</f>
        <v>42.1027259375</v>
      </c>
      <c r="AA407" s="33" t="n">
        <f aca="false">Source_Data!AA$7+IF($B$405=1,IF(Source_Data!AA$6=Inputs!$B$14,Source_Data!$C$8,0),Source_Data!AA$8)</f>
        <v>42.1027259375</v>
      </c>
      <c r="AB407" s="33" t="n">
        <f aca="false">Source_Data!AB$7+IF($B$405=1,IF(Source_Data!AB$6=Inputs!$B$14,Source_Data!$C$8,0),Source_Data!AB$8)</f>
        <v>36.3147259375</v>
      </c>
      <c r="AC407" s="33" t="n">
        <f aca="false">Source_Data!AC$7+IF($B$405=1,IF(Source_Data!AC$6=Inputs!$B$14,Source_Data!$C$8,0),Source_Data!AC$8)</f>
        <v>33.0386275</v>
      </c>
      <c r="AD407" s="33" t="n">
        <f aca="false">Source_Data!AD$7+IF($B$405=1,IF(Source_Data!AD$6=Inputs!$B$14,Source_Data!$C$8,0),Source_Data!AD$8)</f>
        <v>29.43017125</v>
      </c>
      <c r="AE407" s="33" t="n">
        <f aca="false">Source_Data!AE$7+IF($B$405=1,IF(Source_Data!AE$6=Inputs!$B$14,Source_Data!$C$8,0),Source_Data!AE$8)</f>
        <v>25.08917125</v>
      </c>
      <c r="AF407" s="33" t="n">
        <f aca="false">Source_Data!AF$7+IF($B$405=1,IF(Source_Data!AF$6=Inputs!$B$14,Source_Data!$C$8,0),Source_Data!AF$8)</f>
        <v>25.08917125</v>
      </c>
      <c r="AG407" s="33" t="n">
        <f aca="false">Source_Data!AG$7+IF($B$405=1,IF(Source_Data!AG$6=Inputs!$B$14,Source_Data!$C$8,0),Source_Data!AG$8)</f>
        <v>25.08917125</v>
      </c>
      <c r="AH407" s="33" t="n">
        <f aca="false">Source_Data!AH$7+IF($B$405=1,IF(Source_Data!AH$6=Inputs!$B$14,Source_Data!$C$8,0),Source_Data!AH$8)</f>
        <v>25.08917125</v>
      </c>
      <c r="AI407" s="33" t="n">
        <f aca="false">Source_Data!AI$7+IF($B$405=1,IF(Source_Data!AI$6=Inputs!$B$14,Source_Data!$C$8,0),Source_Data!AI$8)</f>
        <v>25.08917125</v>
      </c>
      <c r="AJ407" s="33" t="n">
        <f aca="false">Source_Data!AJ$7+IF($B$405=1,IF(Source_Data!AJ$6=Inputs!$B$14,Source_Data!$C$8,0),Source_Data!AJ$8)</f>
        <v>25.08917125</v>
      </c>
      <c r="AK407" s="33" t="n">
        <f aca="false">Source_Data!AK$7+IF($B$405=1,IF(Source_Data!AK$6=Inputs!$B$14,Source_Data!$C$8,0),Source_Data!AK$8)</f>
        <v>22.905105625</v>
      </c>
      <c r="AL407" s="33" t="n">
        <f aca="false">Source_Data!AL$7+IF($B$405=1,IF(Source_Data!AL$6=Inputs!$B$14,Source_Data!$C$8,0),Source_Data!AL$8)</f>
        <v>22.905105625</v>
      </c>
      <c r="AM407" s="33" t="n">
        <f aca="false">Source_Data!AM$7+IF($B$405=1,IF(Source_Data!AM$6=Inputs!$B$14,Source_Data!$C$8,0),Source_Data!AM$8)</f>
        <v>18.739554375</v>
      </c>
      <c r="AN407" s="33" t="n">
        <f aca="false">Source_Data!AN$7+IF($B$405=1,IF(Source_Data!AN$6=Inputs!$B$14,Source_Data!$C$8,0),Source_Data!AN$8)</f>
        <v>9.6261675</v>
      </c>
      <c r="AO407" s="33" t="n">
        <f aca="false">Source_Data!AO$7+IF($B$405=1,IF(Source_Data!AO$6=Inputs!$B$14,Source_Data!$C$8,0),Source_Data!AO$8)</f>
        <v>3.5704725</v>
      </c>
      <c r="AP407" s="33" t="n">
        <f aca="false">Source_Data!AP$7+IF($B$405=1,IF(Source_Data!AP$6=Inputs!$B$14,Source_Data!$C$8,0),Source_Data!AP$8)</f>
        <v>0</v>
      </c>
      <c r="AQ407" s="33" t="n">
        <f aca="false">Source_Data!AQ$7+IF($B$405=1,IF(Source_Data!AQ$6=Inputs!$B$14,Source_Data!$C$8,0),Source_Data!AQ$8)</f>
        <v>0</v>
      </c>
      <c r="AR407" s="33" t="n">
        <f aca="false">Source_Data!AR$7+IF($B$405=1,IF(Source_Data!AR$6=Inputs!$B$14,Source_Data!$C$8,0),Source_Data!AR$8)</f>
        <v>0</v>
      </c>
      <c r="AS407" s="33" t="n">
        <f aca="false">Source_Data!AS$7+IF($B$405=1,IF(Source_Data!AS$6=Inputs!$B$14,Source_Data!$C$8,0),Source_Data!AS$8)</f>
        <v>0</v>
      </c>
      <c r="AT407" s="33" t="n">
        <f aca="false">Source_Data!AT$7+IF($B$405=1,IF(Source_Data!AT$6=Inputs!$B$14,Source_Data!$C$8,0),Source_Data!AT$8)</f>
        <v>0</v>
      </c>
      <c r="AU407" s="33" t="n">
        <f aca="false">Source_Data!AU$7+IF($B$405=1,IF(Source_Data!AU$6=Inputs!$B$14,Source_Data!$C$8,0),Source_Data!AU$8)</f>
        <v>0</v>
      </c>
      <c r="AV407" s="33" t="n">
        <f aca="false">Source_Data!AV$7+IF($B$405=1,IF(Source_Data!AV$6=Inputs!$B$14,Source_Data!$C$8,0),Source_Data!AV$8)</f>
        <v>0</v>
      </c>
      <c r="AW407" s="33" t="n">
        <f aca="false">Source_Data!AW$7+IF($B$405=1,IF(Source_Data!AW$6=Inputs!$B$14,Source_Data!$C$8,0),Source_Data!AW$8)</f>
        <v>0</v>
      </c>
      <c r="AX407" s="33" t="n">
        <f aca="false">Source_Data!AX$7+IF($B$405=1,IF(Source_Data!AX$6=Inputs!$B$14,Source_Data!$C$8,0),Source_Data!AX$8)</f>
        <v>0</v>
      </c>
      <c r="AY407" s="33" t="n">
        <f aca="false">Source_Data!AY$7+IF($B$405=1,IF(Source_Data!AY$6=Inputs!$B$14,Source_Data!$C$8,0),Source_Data!AY$8)</f>
        <v>0</v>
      </c>
      <c r="AZ407" s="33" t="n">
        <f aca="false">Source_Data!AZ$7+IF($B$405=1,IF(Source_Data!AZ$6=Inputs!$B$14,Source_Data!$C$8,0),Source_Data!AZ$8)</f>
        <v>0</v>
      </c>
      <c r="BA407" s="33" t="n">
        <f aca="false">Source_Data!BA$7+IF($B$405=1,IF(Source_Data!BA$6=Inputs!$B$14,Source_Data!$C$8,0),Source_Data!BA$8)</f>
        <v>0</v>
      </c>
      <c r="BB407" s="33" t="n">
        <f aca="false">Source_Data!BB$7+IF($B$405=1,IF(Source_Data!BB$6=Inputs!$B$14,Source_Data!$C$8,0),Source_Data!BB$8)</f>
        <v>0</v>
      </c>
      <c r="BC407" s="33" t="n">
        <f aca="false">Source_Data!BC$7+IF($B$405=1,IF(Source_Data!BC$6=Inputs!$B$14,Source_Data!$C$8,0),Source_Data!BC$8)</f>
        <v>0</v>
      </c>
      <c r="BD407" s="33" t="n">
        <f aca="false">Source_Data!BD$7+IF($B$405=1,IF(Source_Data!BD$6=Inputs!$B$14,Source_Data!$C$8,0),Source_Data!BD$8)</f>
        <v>0</v>
      </c>
      <c r="BE407" s="33" t="n">
        <f aca="false">Source_Data!BE$7+IF($B$405=1,IF(Source_Data!BE$6=Inputs!$B$14,Source_Data!$C$8,0),Source_Data!BE$8)</f>
        <v>0</v>
      </c>
      <c r="BF407" s="33" t="n">
        <f aca="false">Source_Data!BF$7+IF($B$405=1,IF(Source_Data!BF$6=Inputs!$B$14,Source_Data!$C$8,0),Source_Data!BF$8)</f>
        <v>0</v>
      </c>
      <c r="BG407" s="33" t="n">
        <f aca="false">Source_Data!BG$7+IF($B$405=1,IF(Source_Data!BG$6=Inputs!$B$14,Source_Data!$C$8,0),Source_Data!BG$8)</f>
        <v>0</v>
      </c>
      <c r="BH407" s="33" t="n">
        <f aca="false">Source_Data!BH$7+IF($B$405=1,IF(Source_Data!BH$6=Inputs!$B$14,Source_Data!$C$8,0),Source_Data!BH$8)</f>
        <v>0</v>
      </c>
      <c r="BI407" s="33" t="n">
        <f aca="false">Source_Data!BI$7+IF($B$405=1,IF(Source_Data!BI$6=Inputs!$B$14,Source_Data!$C$8,0),Source_Data!BI$8)</f>
        <v>0</v>
      </c>
      <c r="BJ407" s="33" t="n">
        <f aca="false">Source_Data!BJ$7+IF($B$405=1,IF(Source_Data!BJ$6=Inputs!$B$14,Source_Data!$C$8,0),Source_Data!BJ$8)</f>
        <v>0</v>
      </c>
      <c r="BK407" s="33" t="n">
        <f aca="false">Source_Data!BK$7+IF($B$405=1,IF(Source_Data!BK$6=Inputs!$B$14,Source_Data!$C$8,0),Source_Data!BK$8)</f>
        <v>0</v>
      </c>
    </row>
    <row r="408" customFormat="false" ht="15" hidden="false" customHeight="false" outlineLevel="0" collapsed="false">
      <c r="A408" s="3" t="s">
        <v>215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340</v>
      </c>
      <c r="D409" s="33" t="n">
        <f aca="false">Source_Data!D$9+Source_Data!D$10*IF(Source_Data!$C$10=0,0,MAX(0,Inputs!$B$20*Inputs!$B$23*$B$401-Inputs!$B$21)/Source_Data!$C$10)</f>
        <v>91.25</v>
      </c>
      <c r="E409" s="33" t="n">
        <f aca="false">Source_Data!E$9+Source_Data!E$10*IF(Source_Data!$C$10=0,0,MAX(0,Inputs!$B$20*Inputs!$B$23*$B$401-Inputs!$B$21)/Source_Data!$C$10)</f>
        <v>11.25</v>
      </c>
      <c r="F409" s="33" t="n">
        <f aca="false">Source_Data!F$9+Source_Data!F$10*IF(Source_Data!$C$10=0,0,MAX(0,Inputs!$B$20*Inputs!$B$23*$B$401-Inputs!$B$21)/Source_Data!$C$10)</f>
        <v>11.25</v>
      </c>
      <c r="G409" s="33" t="n">
        <f aca="false">Source_Data!G$9+Source_Data!G$10*IF(Source_Data!$C$10=0,0,MAX(0,Inputs!$B$20*Inputs!$B$23*$B$401-Inputs!$B$21)/Source_Data!$C$10)</f>
        <v>11.25</v>
      </c>
      <c r="H409" s="33" t="n">
        <f aca="false">Source_Data!H$9+Source_Data!H$10*IF(Source_Data!$C$10=0,0,MAX(0,Inputs!$B$20*Inputs!$B$23*$B$401-Inputs!$B$21)/Source_Data!$C$10)</f>
        <v>22.5</v>
      </c>
      <c r="I409" s="33" t="n">
        <f aca="false">Source_Data!I$9+Source_Data!I$10*IF(Source_Data!$C$10=0,0,MAX(0,Inputs!$B$20*Inputs!$B$23*$B$401-Inputs!$B$21)/Source_Data!$C$10)</f>
        <v>22.5</v>
      </c>
      <c r="J409" s="33" t="n">
        <f aca="false">Source_Data!J$9+Source_Data!J$10*IF(Source_Data!$C$10=0,0,MAX(0,Inputs!$B$20*Inputs!$B$23*$B$401-Inputs!$B$21)/Source_Data!$C$10)</f>
        <v>22.5</v>
      </c>
      <c r="K409" s="33" t="n">
        <f aca="false">Source_Data!K$9+Source_Data!K$10*IF(Source_Data!$C$10=0,0,MAX(0,Inputs!$B$20*Inputs!$B$23*$B$401-Inputs!$B$21)/Source_Data!$C$10)</f>
        <v>22.5</v>
      </c>
      <c r="L409" s="33" t="n">
        <f aca="false">Source_Data!L$9+Source_Data!L$10*IF(Source_Data!$C$10=0,0,MAX(0,Inputs!$B$20*Inputs!$B$23*$B$401-Inputs!$B$21)/Source_Data!$C$10)</f>
        <v>33.75</v>
      </c>
      <c r="M409" s="33" t="n">
        <f aca="false">Source_Data!M$9+Source_Data!M$10*IF(Source_Data!$C$10=0,0,MAX(0,Inputs!$B$20*Inputs!$B$23*$B$401-Inputs!$B$21)/Source_Data!$C$10)</f>
        <v>33.75</v>
      </c>
      <c r="N409" s="33" t="n">
        <f aca="false">Source_Data!N$9+Source_Data!N$10*IF(Source_Data!$C$10=0,0,MAX(0,Inputs!$B$20*Inputs!$B$23*$B$401-Inputs!$B$21)/Source_Data!$C$10)</f>
        <v>33.75</v>
      </c>
      <c r="O409" s="33" t="n">
        <f aca="false">Source_Data!O$9+Source_Data!O$10*IF(Source_Data!$C$10=0,0,MAX(0,Inputs!$B$20*Inputs!$B$23*$B$401-Inputs!$B$21)/Source_Data!$C$10)</f>
        <v>33.75</v>
      </c>
      <c r="P409" s="33" t="n">
        <f aca="false">Source_Data!P$9+Source_Data!P$10*IF(Source_Data!$C$10=0,0,MAX(0,Inputs!$B$20*Inputs!$B$23*$B$401-Inputs!$B$21)/Source_Data!$C$10)</f>
        <v>45</v>
      </c>
      <c r="Q409" s="33" t="n">
        <f aca="false">Source_Data!Q$9+Source_Data!Q$10*IF(Source_Data!$C$10=0,0,MAX(0,Inputs!$B$20*Inputs!$B$23*$B$401-Inputs!$B$21)/Source_Data!$C$10)</f>
        <v>45</v>
      </c>
      <c r="R409" s="33" t="n">
        <f aca="false">Source_Data!R$9+Source_Data!R$10*IF(Source_Data!$C$10=0,0,MAX(0,Inputs!$B$20*Inputs!$B$23*$B$401-Inputs!$B$21)/Source_Data!$C$10)</f>
        <v>45</v>
      </c>
      <c r="S409" s="33" t="n">
        <f aca="false">Source_Data!S$9+Source_Data!S$10*IF(Source_Data!$C$10=0,0,MAX(0,Inputs!$B$20*Inputs!$B$23*$B$401-Inputs!$B$21)/Source_Data!$C$10)</f>
        <v>45</v>
      </c>
      <c r="T409" s="33" t="n">
        <f aca="false">Source_Data!T$9+Source_Data!T$10*IF(Source_Data!$C$10=0,0,MAX(0,Inputs!$B$20*Inputs!$B$23*$B$401-Inputs!$B$21)/Source_Data!$C$10)</f>
        <v>45</v>
      </c>
      <c r="U409" s="33" t="n">
        <f aca="false">Source_Data!U$9+Source_Data!U$10*IF(Source_Data!$C$10=0,0,MAX(0,Inputs!$B$20*Inputs!$B$23*$B$401-Inputs!$B$21)/Source_Data!$C$10)</f>
        <v>45</v>
      </c>
      <c r="V409" s="33" t="n">
        <f aca="false">Source_Data!V$9+Source_Data!V$10*IF(Source_Data!$C$10=0,0,MAX(0,Inputs!$B$20*Inputs!$B$23*$B$401-Inputs!$B$21)/Source_Data!$C$10)</f>
        <v>45</v>
      </c>
      <c r="W409" s="33" t="n">
        <f aca="false">Source_Data!W$9+Source_Data!W$10*IF(Source_Data!$C$10=0,0,MAX(0,Inputs!$B$20*Inputs!$B$23*$B$401-Inputs!$B$21)/Source_Data!$C$10)</f>
        <v>45</v>
      </c>
      <c r="X409" s="33" t="n">
        <f aca="false">Source_Data!X$9+Source_Data!X$10*IF(Source_Data!$C$10=0,0,MAX(0,Inputs!$B$20*Inputs!$B$23*$B$401-Inputs!$B$21)/Source_Data!$C$10)</f>
        <v>22.5</v>
      </c>
      <c r="Y409" s="33" t="n">
        <f aca="false">Source_Data!Y$9+Source_Data!Y$10*IF(Source_Data!$C$10=0,0,MAX(0,Inputs!$B$20*Inputs!$B$23*$B$401-Inputs!$B$21)/Source_Data!$C$10)</f>
        <v>22.5</v>
      </c>
      <c r="Z409" s="33" t="n">
        <f aca="false">Source_Data!Z$9+Source_Data!Z$10*IF(Source_Data!$C$10=0,0,MAX(0,Inputs!$B$20*Inputs!$B$23*$B$401-Inputs!$B$21)/Source_Data!$C$10)</f>
        <v>22.5</v>
      </c>
      <c r="AA409" s="33" t="n">
        <f aca="false">Source_Data!AA$9+Source_Data!AA$10*IF(Source_Data!$C$10=0,0,MAX(0,Inputs!$B$20*Inputs!$B$23*$B$401-Inputs!$B$21)/Source_Data!$C$10)</f>
        <v>22.5</v>
      </c>
      <c r="AB409" s="33" t="n">
        <f aca="false">Source_Data!AB$9+Source_Data!AB$10*IF(Source_Data!$C$10=0,0,MAX(0,Inputs!$B$20*Inputs!$B$23*$B$401-Inputs!$B$21)/Source_Data!$C$10)</f>
        <v>0</v>
      </c>
      <c r="AC409" s="33" t="n">
        <f aca="false">Source_Data!AC$9+Source_Data!AC$10*IF(Source_Data!$C$10=0,0,MAX(0,Inputs!$B$20*Inputs!$B$23*$B$401-Inputs!$B$21)/Source_Data!$C$10)</f>
        <v>0</v>
      </c>
      <c r="AD409" s="33" t="n">
        <f aca="false">Source_Data!AD$9+Source_Data!AD$10*IF(Source_Data!$C$10=0,0,MAX(0,Inputs!$B$20*Inputs!$B$23*$B$401-Inputs!$B$21)/Source_Data!$C$10)</f>
        <v>0</v>
      </c>
      <c r="AE409" s="33" t="n">
        <f aca="false">Source_Data!AE$9+Source_Data!AE$10*IF(Source_Data!$C$10=0,0,MAX(0,Inputs!$B$20*Inputs!$B$23*$B$401-Inputs!$B$21)/Source_Data!$C$10)</f>
        <v>0</v>
      </c>
      <c r="AF409" s="33" t="n">
        <f aca="false">Source_Data!AF$9+Source_Data!AF$10*IF(Source_Data!$C$10=0,0,MAX(0,Inputs!$B$20*Inputs!$B$23*$B$401-Inputs!$B$21)/Source_Data!$C$10)</f>
        <v>107.758210351563</v>
      </c>
      <c r="AG409" s="33" t="n">
        <f aca="false">Source_Data!AG$9+Source_Data!AG$10*IF(Source_Data!$C$10=0,0,MAX(0,Inputs!$B$20*Inputs!$B$23*$B$401-Inputs!$B$21)/Source_Data!$C$10)</f>
        <v>10.976512421875</v>
      </c>
      <c r="AH409" s="33" t="n">
        <f aca="false">Source_Data!AH$9+Source_Data!AH$10*IF(Source_Data!$C$10=0,0,MAX(0,Inputs!$B$20*Inputs!$B$23*$B$401-Inputs!$B$21)/Source_Data!$C$10)</f>
        <v>10.976512421875</v>
      </c>
      <c r="AI409" s="33" t="n">
        <f aca="false">Source_Data!AI$9+Source_Data!AI$10*IF(Source_Data!$C$10=0,0,MAX(0,Inputs!$B$20*Inputs!$B$23*$B$401-Inputs!$B$21)/Source_Data!$C$10)</f>
        <v>10.976512421875</v>
      </c>
      <c r="AJ409" s="33" t="n">
        <f aca="false">Source_Data!AJ$9+Source_Data!AJ$10*IF(Source_Data!$C$10=0,0,MAX(0,Inputs!$B$20*Inputs!$B$23*$B$401-Inputs!$B$21)/Source_Data!$C$10)</f>
        <v>10.976512421875</v>
      </c>
      <c r="AK409" s="33" t="n">
        <f aca="false">Source_Data!AK$9+Source_Data!AK$10*IF(Source_Data!$C$10=0,0,MAX(0,Inputs!$B$20*Inputs!$B$23*$B$401-Inputs!$B$21)/Source_Data!$C$10)</f>
        <v>10.0209837109375</v>
      </c>
      <c r="AL409" s="33" t="n">
        <f aca="false">Source_Data!AL$9+Source_Data!AL$10*IF(Source_Data!$C$10=0,0,MAX(0,Inputs!$B$20*Inputs!$B$23*$B$401-Inputs!$B$21)/Source_Data!$C$10)</f>
        <v>10.0209837109375</v>
      </c>
      <c r="AM409" s="33" t="n">
        <f aca="false">Source_Data!AM$9+Source_Data!AM$10*IF(Source_Data!$C$10=0,0,MAX(0,Inputs!$B$20*Inputs!$B$23*$B$401-Inputs!$B$21)/Source_Data!$C$10)</f>
        <v>8.19855503906249</v>
      </c>
      <c r="AN409" s="33" t="n">
        <f aca="false">Source_Data!AN$9+Source_Data!AN$10*IF(Source_Data!$C$10=0,0,MAX(0,Inputs!$B$20*Inputs!$B$23*$B$401-Inputs!$B$21)/Source_Data!$C$10)</f>
        <v>4.21144828125</v>
      </c>
      <c r="AO409" s="33" t="n">
        <f aca="false">Source_Data!AO$9+Source_Data!AO$10*IF(Source_Data!$C$10=0,0,MAX(0,Inputs!$B$20*Inputs!$B$23*$B$401-Inputs!$B$21)/Source_Data!$C$10)</f>
        <v>1.56208171875</v>
      </c>
      <c r="AP409" s="33" t="n">
        <f aca="false">Source_Data!AP$9+Source_Data!AP$10*IF(Source_Data!$C$10=0,0,MAX(0,Inputs!$B$20*Inputs!$B$23*$B$401-Inputs!$B$21)/Source_Data!$C$10)</f>
        <v>0</v>
      </c>
      <c r="AQ409" s="33" t="n">
        <f aca="false">Source_Data!AQ$9+Source_Data!AQ$10*IF(Source_Data!$C$10=0,0,MAX(0,Inputs!$B$20*Inputs!$B$23*$B$401-Inputs!$B$21)/Source_Data!$C$10)</f>
        <v>0</v>
      </c>
      <c r="AR409" s="33" t="n">
        <f aca="false">Source_Data!AR$9+Source_Data!AR$10*IF(Source_Data!$C$10=0,0,MAX(0,Inputs!$B$20*Inputs!$B$23*$B$401-Inputs!$B$21)/Source_Data!$C$10)</f>
        <v>0</v>
      </c>
      <c r="AS409" s="33" t="n">
        <f aca="false">Source_Data!AS$9+Source_Data!AS$10*IF(Source_Data!$C$10=0,0,MAX(0,Inputs!$B$20*Inputs!$B$23*$B$401-Inputs!$B$21)/Source_Data!$C$10)</f>
        <v>0</v>
      </c>
      <c r="AT409" s="33" t="n">
        <f aca="false">Source_Data!AT$9+Source_Data!AT$10*IF(Source_Data!$C$10=0,0,MAX(0,Inputs!$B$20*Inputs!$B$23*$B$401-Inputs!$B$21)/Source_Data!$C$10)</f>
        <v>0</v>
      </c>
      <c r="AU409" s="33" t="n">
        <f aca="false">Source_Data!AU$9+Source_Data!AU$10*IF(Source_Data!$C$10=0,0,MAX(0,Inputs!$B$20*Inputs!$B$23*$B$401-Inputs!$B$21)/Source_Data!$C$10)</f>
        <v>0</v>
      </c>
      <c r="AV409" s="33" t="n">
        <f aca="false">Source_Data!AV$9+Source_Data!AV$10*IF(Source_Data!$C$10=0,0,MAX(0,Inputs!$B$20*Inputs!$B$23*$B$401-Inputs!$B$21)/Source_Data!$C$10)</f>
        <v>0</v>
      </c>
      <c r="AW409" s="33" t="n">
        <f aca="false">Source_Data!AW$9+Source_Data!AW$10*IF(Source_Data!$C$10=0,0,MAX(0,Inputs!$B$20*Inputs!$B$23*$B$401-Inputs!$B$21)/Source_Data!$C$10)</f>
        <v>0</v>
      </c>
      <c r="AX409" s="33" t="n">
        <f aca="false">Source_Data!AX$9+Source_Data!AX$10*IF(Source_Data!$C$10=0,0,MAX(0,Inputs!$B$20*Inputs!$B$23*$B$401-Inputs!$B$21)/Source_Data!$C$10)</f>
        <v>0</v>
      </c>
      <c r="AY409" s="33" t="n">
        <f aca="false">Source_Data!AY$9+Source_Data!AY$10*IF(Source_Data!$C$10=0,0,MAX(0,Inputs!$B$20*Inputs!$B$23*$B$401-Inputs!$B$21)/Source_Data!$C$10)</f>
        <v>0</v>
      </c>
      <c r="AZ409" s="33" t="n">
        <f aca="false">Source_Data!AZ$9+Source_Data!AZ$10*IF(Source_Data!$C$10=0,0,MAX(0,Inputs!$B$20*Inputs!$B$23*$B$401-Inputs!$B$21)/Source_Data!$C$10)</f>
        <v>0</v>
      </c>
      <c r="BA409" s="33" t="n">
        <f aca="false">Source_Data!BA$9+Source_Data!BA$10*IF(Source_Data!$C$10=0,0,MAX(0,Inputs!$B$20*Inputs!$B$23*$B$401-Inputs!$B$21)/Source_Data!$C$10)</f>
        <v>0</v>
      </c>
      <c r="BB409" s="33" t="n">
        <f aca="false">Source_Data!BB$9+Source_Data!BB$10*IF(Source_Data!$C$10=0,0,MAX(0,Inputs!$B$20*Inputs!$B$23*$B$401-Inputs!$B$21)/Source_Data!$C$10)</f>
        <v>0</v>
      </c>
      <c r="BC409" s="33" t="n">
        <f aca="false">Source_Data!BC$9+Source_Data!BC$10*IF(Source_Data!$C$10=0,0,MAX(0,Inputs!$B$20*Inputs!$B$23*$B$401-Inputs!$B$21)/Source_Data!$C$10)</f>
        <v>0</v>
      </c>
      <c r="BD409" s="33" t="n">
        <f aca="false">Source_Data!BD$9+Source_Data!BD$10*IF(Source_Data!$C$10=0,0,MAX(0,Inputs!$B$20*Inputs!$B$23*$B$401-Inputs!$B$21)/Source_Data!$C$10)</f>
        <v>0</v>
      </c>
      <c r="BE409" s="33" t="n">
        <f aca="false">Source_Data!BE$9+Source_Data!BE$10*IF(Source_Data!$C$10=0,0,MAX(0,Inputs!$B$20*Inputs!$B$23*$B$401-Inputs!$B$21)/Source_Data!$C$10)</f>
        <v>0</v>
      </c>
      <c r="BF409" s="33" t="n">
        <f aca="false">Source_Data!BF$9+Source_Data!BF$10*IF(Source_Data!$C$10=0,0,MAX(0,Inputs!$B$20*Inputs!$B$23*$B$401-Inputs!$B$21)/Source_Data!$C$10)</f>
        <v>0</v>
      </c>
      <c r="BG409" s="33" t="n">
        <f aca="false">Source_Data!BG$9+Source_Data!BG$10*IF(Source_Data!$C$10=0,0,MAX(0,Inputs!$B$20*Inputs!$B$23*$B$401-Inputs!$B$21)/Source_Data!$C$10)</f>
        <v>0</v>
      </c>
      <c r="BH409" s="33" t="n">
        <f aca="false">Source_Data!BH$9+Source_Data!BH$10*IF(Source_Data!$C$10=0,0,MAX(0,Inputs!$B$20*Inputs!$B$23*$B$401-Inputs!$B$21)/Source_Data!$C$10)</f>
        <v>0</v>
      </c>
      <c r="BI409" s="33" t="n">
        <f aca="false">Source_Data!BI$9+Source_Data!BI$10*IF(Source_Data!$C$10=0,0,MAX(0,Inputs!$B$20*Inputs!$B$23*$B$401-Inputs!$B$21)/Source_Data!$C$10)</f>
        <v>0</v>
      </c>
      <c r="BJ409" s="33" t="n">
        <f aca="false">Source_Data!BJ$9+Source_Data!BJ$10*IF(Source_Data!$C$10=0,0,MAX(0,Inputs!$B$20*Inputs!$B$23*$B$401-Inputs!$B$21)/Source_Data!$C$10)</f>
        <v>0</v>
      </c>
      <c r="BK409" s="33" t="n">
        <f aca="false">Source_Data!BK$9+Source_Data!BK$10*IF(Source_Data!$C$10=0,0,MAX(0,Inputs!$B$20*Inputs!$B$23*$B$401-Inputs!$B$21)/Source_Data!$C$10)</f>
        <v>0</v>
      </c>
    </row>
    <row r="410" customFormat="false" ht="15" hidden="false" customHeight="false" outlineLevel="0" collapsed="false">
      <c r="A410" s="3" t="s">
        <v>196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198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217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218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219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341</v>
      </c>
      <c r="D415" s="33" t="n">
        <f aca="false">IF(Source_Data!D$6=Inputs!$B$13,-Inputs!$B$7,0)+IF(AND(Source_Data!D$6&gt;=$B$406,Source_Data!D$6&lt;$B$406+3*Inputs!$B$17,MOD(Source_Data!D$6-$B$406,3)=0),Inputs!$B$8*Inputs!$B$7*Inputs!$B$35*$B$401*(1-Inputs!$B$16)/Inputs!$B$17,0)</f>
        <v>-75</v>
      </c>
      <c r="E415" s="33" t="n">
        <f aca="false">IF(Source_Data!E$6=Inputs!$B$13,-Inputs!$B$7,0)+IF(AND(Source_Data!E$6&gt;=$B$406,Source_Data!E$6&lt;$B$406+3*Inputs!$B$17,MOD(Source_Data!E$6-$B$406,3)=0),Inputs!$B$8*Inputs!$B$7*Inputs!$B$35*$B$401*(1-Inputs!$B$16)/Inputs!$B$17,0)</f>
        <v>0</v>
      </c>
      <c r="F415" s="33" t="n">
        <f aca="false">IF(Source_Data!F$6=Inputs!$B$13,-Inputs!$B$7,0)+IF(AND(Source_Data!F$6&gt;=$B$406,Source_Data!F$6&lt;$B$406+3*Inputs!$B$17,MOD(Source_Data!F$6-$B$406,3)=0),Inputs!$B$8*Inputs!$B$7*Inputs!$B$35*$B$401*(1-Inputs!$B$16)/Inputs!$B$17,0)</f>
        <v>0</v>
      </c>
      <c r="G415" s="33" t="n">
        <f aca="false">IF(Source_Data!G$6=Inputs!$B$13,-Inputs!$B$7,0)+IF(AND(Source_Data!G$6&gt;=$B$406,Source_Data!G$6&lt;$B$406+3*Inputs!$B$17,MOD(Source_Data!G$6-$B$406,3)=0),Inputs!$B$8*Inputs!$B$7*Inputs!$B$35*$B$401*(1-Inputs!$B$16)/Inputs!$B$17,0)</f>
        <v>0</v>
      </c>
      <c r="H415" s="33" t="n">
        <f aca="false">IF(Source_Data!H$6=Inputs!$B$13,-Inputs!$B$7,0)+IF(AND(Source_Data!H$6&gt;=$B$406,Source_Data!H$6&lt;$B$406+3*Inputs!$B$17,MOD(Source_Data!H$6-$B$406,3)=0),Inputs!$B$8*Inputs!$B$7*Inputs!$B$35*$B$401*(1-Inputs!$B$16)/Inputs!$B$17,0)</f>
        <v>0</v>
      </c>
      <c r="I415" s="33" t="n">
        <f aca="false">IF(Source_Data!I$6=Inputs!$B$13,-Inputs!$B$7,0)+IF(AND(Source_Data!I$6&gt;=$B$406,Source_Data!I$6&lt;$B$406+3*Inputs!$B$17,MOD(Source_Data!I$6-$B$406,3)=0),Inputs!$B$8*Inputs!$B$7*Inputs!$B$35*$B$401*(1-Inputs!$B$16)/Inputs!$B$17,0)</f>
        <v>0</v>
      </c>
      <c r="J415" s="33" t="n">
        <f aca="false">IF(Source_Data!J$6=Inputs!$B$13,-Inputs!$B$7,0)+IF(AND(Source_Data!J$6&gt;=$B$406,Source_Data!J$6&lt;$B$406+3*Inputs!$B$17,MOD(Source_Data!J$6-$B$406,3)=0),Inputs!$B$8*Inputs!$B$7*Inputs!$B$35*$B$401*(1-Inputs!$B$16)/Inputs!$B$17,0)</f>
        <v>0</v>
      </c>
      <c r="K415" s="33" t="n">
        <f aca="false">IF(Source_Data!K$6=Inputs!$B$13,-Inputs!$B$7,0)+IF(AND(Source_Data!K$6&gt;=$B$406,Source_Data!K$6&lt;$B$406+3*Inputs!$B$17,MOD(Source_Data!K$6-$B$406,3)=0),Inputs!$B$8*Inputs!$B$7*Inputs!$B$35*$B$401*(1-Inputs!$B$16)/Inputs!$B$17,0)</f>
        <v>0</v>
      </c>
      <c r="L415" s="33" t="n">
        <f aca="false">IF(Source_Data!L$6=Inputs!$B$13,-Inputs!$B$7,0)+IF(AND(Source_Data!L$6&gt;=$B$406,Source_Data!L$6&lt;$B$406+3*Inputs!$B$17,MOD(Source_Data!L$6-$B$406,3)=0),Inputs!$B$8*Inputs!$B$7*Inputs!$B$35*$B$401*(1-Inputs!$B$16)/Inputs!$B$17,0)</f>
        <v>0</v>
      </c>
      <c r="M415" s="33" t="n">
        <f aca="false">IF(Source_Data!M$6=Inputs!$B$13,-Inputs!$B$7,0)+IF(AND(Source_Data!M$6&gt;=$B$406,Source_Data!M$6&lt;$B$406+3*Inputs!$B$17,MOD(Source_Data!M$6-$B$406,3)=0),Inputs!$B$8*Inputs!$B$7*Inputs!$B$35*$B$401*(1-Inputs!$B$16)/Inputs!$B$17,0)</f>
        <v>0</v>
      </c>
      <c r="N415" s="33" t="n">
        <f aca="false">IF(Source_Data!N$6=Inputs!$B$13,-Inputs!$B$7,0)+IF(AND(Source_Data!N$6&gt;=$B$406,Source_Data!N$6&lt;$B$406+3*Inputs!$B$17,MOD(Source_Data!N$6-$B$406,3)=0),Inputs!$B$8*Inputs!$B$7*Inputs!$B$35*$B$401*(1-Inputs!$B$16)/Inputs!$B$17,0)</f>
        <v>0</v>
      </c>
      <c r="O415" s="33" t="n">
        <f aca="false">IF(Source_Data!O$6=Inputs!$B$13,-Inputs!$B$7,0)+IF(AND(Source_Data!O$6&gt;=$B$406,Source_Data!O$6&lt;$B$406+3*Inputs!$B$17,MOD(Source_Data!O$6-$B$406,3)=0),Inputs!$B$8*Inputs!$B$7*Inputs!$B$35*$B$401*(1-Inputs!$B$16)/Inputs!$B$17,0)</f>
        <v>0</v>
      </c>
      <c r="P415" s="33" t="n">
        <f aca="false">IF(Source_Data!P$6=Inputs!$B$13,-Inputs!$B$7,0)+IF(AND(Source_Data!P$6&gt;=$B$406,Source_Data!P$6&lt;$B$406+3*Inputs!$B$17,MOD(Source_Data!P$6-$B$406,3)=0),Inputs!$B$8*Inputs!$B$7*Inputs!$B$35*$B$401*(1-Inputs!$B$16)/Inputs!$B$17,0)</f>
        <v>0</v>
      </c>
      <c r="Q415" s="33" t="n">
        <f aca="false">IF(Source_Data!Q$6=Inputs!$B$13,-Inputs!$B$7,0)+IF(AND(Source_Data!Q$6&gt;=$B$406,Source_Data!Q$6&lt;$B$406+3*Inputs!$B$17,MOD(Source_Data!Q$6-$B$406,3)=0),Inputs!$B$8*Inputs!$B$7*Inputs!$B$35*$B$401*(1-Inputs!$B$16)/Inputs!$B$17,0)</f>
        <v>0</v>
      </c>
      <c r="R415" s="33" t="n">
        <f aca="false">IF(Source_Data!R$6=Inputs!$B$13,-Inputs!$B$7,0)+IF(AND(Source_Data!R$6&gt;=$B$406,Source_Data!R$6&lt;$B$406+3*Inputs!$B$17,MOD(Source_Data!R$6-$B$406,3)=0),Inputs!$B$8*Inputs!$B$7*Inputs!$B$35*$B$401*(1-Inputs!$B$16)/Inputs!$B$17,0)</f>
        <v>0</v>
      </c>
      <c r="S415" s="33" t="n">
        <f aca="false">IF(Source_Data!S$6=Inputs!$B$13,-Inputs!$B$7,0)+IF(AND(Source_Data!S$6&gt;=$B$406,Source_Data!S$6&lt;$B$406+3*Inputs!$B$17,MOD(Source_Data!S$6-$B$406,3)=0),Inputs!$B$8*Inputs!$B$7*Inputs!$B$35*$B$401*(1-Inputs!$B$16)/Inputs!$B$17,0)</f>
        <v>0</v>
      </c>
      <c r="T415" s="33" t="n">
        <f aca="false">IF(Source_Data!T$6=Inputs!$B$13,-Inputs!$B$7,0)+IF(AND(Source_Data!T$6&gt;=$B$406,Source_Data!T$6&lt;$B$406+3*Inputs!$B$17,MOD(Source_Data!T$6-$B$406,3)=0),Inputs!$B$8*Inputs!$B$7*Inputs!$B$35*$B$401*(1-Inputs!$B$16)/Inputs!$B$17,0)</f>
        <v>52.1505376344086</v>
      </c>
      <c r="U415" s="33" t="n">
        <f aca="false">IF(Source_Data!U$6=Inputs!$B$13,-Inputs!$B$7,0)+IF(AND(Source_Data!U$6&gt;=$B$406,Source_Data!U$6&lt;$B$406+3*Inputs!$B$17,MOD(Source_Data!U$6-$B$406,3)=0),Inputs!$B$8*Inputs!$B$7*Inputs!$B$35*$B$401*(1-Inputs!$B$16)/Inputs!$B$17,0)</f>
        <v>52.1505376344086</v>
      </c>
      <c r="V415" s="33" t="n">
        <f aca="false">IF(Source_Data!V$6=Inputs!$B$13,-Inputs!$B$7,0)+IF(AND(Source_Data!V$6&gt;=$B$406,Source_Data!V$6&lt;$B$406+3*Inputs!$B$17,MOD(Source_Data!V$6-$B$406,3)=0),Inputs!$B$8*Inputs!$B$7*Inputs!$B$35*$B$401*(1-Inputs!$B$16)/Inputs!$B$17,0)</f>
        <v>52.1505376344086</v>
      </c>
      <c r="W415" s="33" t="n">
        <f aca="false">IF(Source_Data!W$6=Inputs!$B$13,-Inputs!$B$7,0)+IF(AND(Source_Data!W$6&gt;=$B$406,Source_Data!W$6&lt;$B$406+3*Inputs!$B$17,MOD(Source_Data!W$6-$B$406,3)=0),Inputs!$B$8*Inputs!$B$7*Inputs!$B$35*$B$401*(1-Inputs!$B$16)/Inputs!$B$17,0)</f>
        <v>52.1505376344086</v>
      </c>
      <c r="X415" s="33" t="n">
        <f aca="false">IF(Source_Data!X$6=Inputs!$B$13,-Inputs!$B$7,0)+IF(AND(Source_Data!X$6&gt;=$B$406,Source_Data!X$6&lt;$B$406+3*Inputs!$B$17,MOD(Source_Data!X$6-$B$406,3)=0),Inputs!$B$8*Inputs!$B$7*Inputs!$B$35*$B$401*(1-Inputs!$B$16)/Inputs!$B$17,0)</f>
        <v>0</v>
      </c>
      <c r="Y415" s="33" t="n">
        <f aca="false">IF(Source_Data!Y$6=Inputs!$B$13,-Inputs!$B$7,0)+IF(AND(Source_Data!Y$6&gt;=$B$406,Source_Data!Y$6&lt;$B$406+3*Inputs!$B$17,MOD(Source_Data!Y$6-$B$406,3)=0),Inputs!$B$8*Inputs!$B$7*Inputs!$B$35*$B$401*(1-Inputs!$B$16)/Inputs!$B$17,0)</f>
        <v>0</v>
      </c>
      <c r="Z415" s="33" t="n">
        <f aca="false">IF(Source_Data!Z$6=Inputs!$B$13,-Inputs!$B$7,0)+IF(AND(Source_Data!Z$6&gt;=$B$406,Source_Data!Z$6&lt;$B$406+3*Inputs!$B$17,MOD(Source_Data!Z$6-$B$406,3)=0),Inputs!$B$8*Inputs!$B$7*Inputs!$B$35*$B$401*(1-Inputs!$B$16)/Inputs!$B$17,0)</f>
        <v>0</v>
      </c>
      <c r="AA415" s="33" t="n">
        <f aca="false">IF(Source_Data!AA$6=Inputs!$B$13,-Inputs!$B$7,0)+IF(AND(Source_Data!AA$6&gt;=$B$406,Source_Data!AA$6&lt;$B$406+3*Inputs!$B$17,MOD(Source_Data!AA$6-$B$406,3)=0),Inputs!$B$8*Inputs!$B$7*Inputs!$B$35*$B$401*(1-Inputs!$B$16)/Inputs!$B$17,0)</f>
        <v>0</v>
      </c>
      <c r="AB415" s="33" t="n">
        <f aca="false">IF(Source_Data!AB$6=Inputs!$B$13,-Inputs!$B$7,0)+IF(AND(Source_Data!AB$6&gt;=$B$406,Source_Data!AB$6&lt;$B$406+3*Inputs!$B$17,MOD(Source_Data!AB$6-$B$406,3)=0),Inputs!$B$8*Inputs!$B$7*Inputs!$B$35*$B$401*(1-Inputs!$B$16)/Inputs!$B$17,0)</f>
        <v>0</v>
      </c>
      <c r="AC415" s="33" t="n">
        <f aca="false">IF(Source_Data!AC$6=Inputs!$B$13,-Inputs!$B$7,0)+IF(AND(Source_Data!AC$6&gt;=$B$406,Source_Data!AC$6&lt;$B$406+3*Inputs!$B$17,MOD(Source_Data!AC$6-$B$406,3)=0),Inputs!$B$8*Inputs!$B$7*Inputs!$B$35*$B$401*(1-Inputs!$B$16)/Inputs!$B$17,0)</f>
        <v>0</v>
      </c>
      <c r="AD415" s="33" t="n">
        <f aca="false">IF(Source_Data!AD$6=Inputs!$B$13,-Inputs!$B$7,0)+IF(AND(Source_Data!AD$6&gt;=$B$406,Source_Data!AD$6&lt;$B$406+3*Inputs!$B$17,MOD(Source_Data!AD$6-$B$406,3)=0),Inputs!$B$8*Inputs!$B$7*Inputs!$B$35*$B$401*(1-Inputs!$B$16)/Inputs!$B$17,0)</f>
        <v>0</v>
      </c>
      <c r="AE415" s="33" t="n">
        <f aca="false">IF(Source_Data!AE$6=Inputs!$B$13,-Inputs!$B$7,0)+IF(AND(Source_Data!AE$6&gt;=$B$406,Source_Data!AE$6&lt;$B$406+3*Inputs!$B$17,MOD(Source_Data!AE$6-$B$406,3)=0),Inputs!$B$8*Inputs!$B$7*Inputs!$B$35*$B$401*(1-Inputs!$B$16)/Inputs!$B$17,0)</f>
        <v>0</v>
      </c>
      <c r="AF415" s="33" t="n">
        <f aca="false">IF(Source_Data!AF$6=Inputs!$B$13,-Inputs!$B$7,0)+IF(AND(Source_Data!AF$6&gt;=$B$406,Source_Data!AF$6&lt;$B$406+3*Inputs!$B$17,MOD(Source_Data!AF$6-$B$406,3)=0),Inputs!$B$8*Inputs!$B$7*Inputs!$B$35*$B$401*(1-Inputs!$B$16)/Inputs!$B$17,0)</f>
        <v>0</v>
      </c>
      <c r="AG415" s="33" t="n">
        <f aca="false">IF(Source_Data!AG$6=Inputs!$B$13,-Inputs!$B$7,0)+IF(AND(Source_Data!AG$6&gt;=$B$406,Source_Data!AG$6&lt;$B$406+3*Inputs!$B$17,MOD(Source_Data!AG$6-$B$406,3)=0),Inputs!$B$8*Inputs!$B$7*Inputs!$B$35*$B$401*(1-Inputs!$B$16)/Inputs!$B$17,0)</f>
        <v>0</v>
      </c>
      <c r="AH415" s="33" t="n">
        <f aca="false">IF(Source_Data!AH$6=Inputs!$B$13,-Inputs!$B$7,0)+IF(AND(Source_Data!AH$6&gt;=$B$406,Source_Data!AH$6&lt;$B$406+3*Inputs!$B$17,MOD(Source_Data!AH$6-$B$406,3)=0),Inputs!$B$8*Inputs!$B$7*Inputs!$B$35*$B$401*(1-Inputs!$B$16)/Inputs!$B$17,0)</f>
        <v>0</v>
      </c>
      <c r="AI415" s="33" t="n">
        <f aca="false">IF(Source_Data!AI$6=Inputs!$B$13,-Inputs!$B$7,0)+IF(AND(Source_Data!AI$6&gt;=$B$406,Source_Data!AI$6&lt;$B$406+3*Inputs!$B$17,MOD(Source_Data!AI$6-$B$406,3)=0),Inputs!$B$8*Inputs!$B$7*Inputs!$B$35*$B$401*(1-Inputs!$B$16)/Inputs!$B$17,0)</f>
        <v>0</v>
      </c>
      <c r="AJ415" s="33" t="n">
        <f aca="false">IF(Source_Data!AJ$6=Inputs!$B$13,-Inputs!$B$7,0)+IF(AND(Source_Data!AJ$6&gt;=$B$406,Source_Data!AJ$6&lt;$B$406+3*Inputs!$B$17,MOD(Source_Data!AJ$6-$B$406,3)=0),Inputs!$B$8*Inputs!$B$7*Inputs!$B$35*$B$401*(1-Inputs!$B$16)/Inputs!$B$17,0)</f>
        <v>0</v>
      </c>
      <c r="AK415" s="33" t="n">
        <f aca="false">IF(Source_Data!AK$6=Inputs!$B$13,-Inputs!$B$7,0)+IF(AND(Source_Data!AK$6&gt;=$B$406,Source_Data!AK$6&lt;$B$406+3*Inputs!$B$17,MOD(Source_Data!AK$6-$B$406,3)=0),Inputs!$B$8*Inputs!$B$7*Inputs!$B$35*$B$401*(1-Inputs!$B$16)/Inputs!$B$17,0)</f>
        <v>0</v>
      </c>
      <c r="AL415" s="33" t="n">
        <f aca="false">IF(Source_Data!AL$6=Inputs!$B$13,-Inputs!$B$7,0)+IF(AND(Source_Data!AL$6&gt;=$B$406,Source_Data!AL$6&lt;$B$406+3*Inputs!$B$17,MOD(Source_Data!AL$6-$B$406,3)=0),Inputs!$B$8*Inputs!$B$7*Inputs!$B$35*$B$401*(1-Inputs!$B$16)/Inputs!$B$17,0)</f>
        <v>0</v>
      </c>
      <c r="AM415" s="33" t="n">
        <f aca="false">IF(Source_Data!AM$6=Inputs!$B$13,-Inputs!$B$7,0)+IF(AND(Source_Data!AM$6&gt;=$B$406,Source_Data!AM$6&lt;$B$406+3*Inputs!$B$17,MOD(Source_Data!AM$6-$B$406,3)=0),Inputs!$B$8*Inputs!$B$7*Inputs!$B$35*$B$401*(1-Inputs!$B$16)/Inputs!$B$17,0)</f>
        <v>0</v>
      </c>
      <c r="AN415" s="33" t="n">
        <f aca="false">IF(Source_Data!AN$6=Inputs!$B$13,-Inputs!$B$7,0)+IF(AND(Source_Data!AN$6&gt;=$B$406,Source_Data!AN$6&lt;$B$406+3*Inputs!$B$17,MOD(Source_Data!AN$6-$B$406,3)=0),Inputs!$B$8*Inputs!$B$7*Inputs!$B$35*$B$401*(1-Inputs!$B$16)/Inputs!$B$17,0)</f>
        <v>0</v>
      </c>
      <c r="AO415" s="33" t="n">
        <f aca="false">IF(Source_Data!AO$6=Inputs!$B$13,-Inputs!$B$7,0)+IF(AND(Source_Data!AO$6&gt;=$B$406,Source_Data!AO$6&lt;$B$406+3*Inputs!$B$17,MOD(Source_Data!AO$6-$B$406,3)=0),Inputs!$B$8*Inputs!$B$7*Inputs!$B$35*$B$401*(1-Inputs!$B$16)/Inputs!$B$17,0)</f>
        <v>0</v>
      </c>
      <c r="AP415" s="33" t="n">
        <f aca="false">IF(Source_Data!AP$6=Inputs!$B$13,-Inputs!$B$7,0)+IF(AND(Source_Data!AP$6&gt;=$B$406,Source_Data!AP$6&lt;$B$406+3*Inputs!$B$17,MOD(Source_Data!AP$6-$B$406,3)=0),Inputs!$B$8*Inputs!$B$7*Inputs!$B$35*$B$401*(1-Inputs!$B$16)/Inputs!$B$17,0)</f>
        <v>0</v>
      </c>
      <c r="AQ415" s="33" t="n">
        <f aca="false">IF(Source_Data!AQ$6=Inputs!$B$13,-Inputs!$B$7,0)+IF(AND(Source_Data!AQ$6&gt;=$B$406,Source_Data!AQ$6&lt;$B$406+3*Inputs!$B$17,MOD(Source_Data!AQ$6-$B$406,3)=0),Inputs!$B$8*Inputs!$B$7*Inputs!$B$35*$B$401*(1-Inputs!$B$16)/Inputs!$B$17,0)</f>
        <v>0</v>
      </c>
      <c r="AR415" s="33" t="n">
        <f aca="false">IF(Source_Data!AR$6=Inputs!$B$13,-Inputs!$B$7,0)+IF(AND(Source_Data!AR$6&gt;=$B$406,Source_Data!AR$6&lt;$B$406+3*Inputs!$B$17,MOD(Source_Data!AR$6-$B$406,3)=0),Inputs!$B$8*Inputs!$B$7*Inputs!$B$35*$B$401*(1-Inputs!$B$16)/Inputs!$B$17,0)</f>
        <v>0</v>
      </c>
      <c r="AS415" s="33" t="n">
        <f aca="false">IF(Source_Data!AS$6=Inputs!$B$13,-Inputs!$B$7,0)+IF(AND(Source_Data!AS$6&gt;=$B$406,Source_Data!AS$6&lt;$B$406+3*Inputs!$B$17,MOD(Source_Data!AS$6-$B$406,3)=0),Inputs!$B$8*Inputs!$B$7*Inputs!$B$35*$B$401*(1-Inputs!$B$16)/Inputs!$B$17,0)</f>
        <v>0</v>
      </c>
      <c r="AT415" s="33" t="n">
        <f aca="false">IF(Source_Data!AT$6=Inputs!$B$13,-Inputs!$B$7,0)+IF(AND(Source_Data!AT$6&gt;=$B$406,Source_Data!AT$6&lt;$B$406+3*Inputs!$B$17,MOD(Source_Data!AT$6-$B$406,3)=0),Inputs!$B$8*Inputs!$B$7*Inputs!$B$35*$B$401*(1-Inputs!$B$16)/Inputs!$B$17,0)</f>
        <v>0</v>
      </c>
      <c r="AU415" s="33" t="n">
        <f aca="false">IF(Source_Data!AU$6=Inputs!$B$13,-Inputs!$B$7,0)+IF(AND(Source_Data!AU$6&gt;=$B$406,Source_Data!AU$6&lt;$B$406+3*Inputs!$B$17,MOD(Source_Data!AU$6-$B$406,3)=0),Inputs!$B$8*Inputs!$B$7*Inputs!$B$35*$B$401*(1-Inputs!$B$16)/Inputs!$B$17,0)</f>
        <v>0</v>
      </c>
      <c r="AV415" s="33" t="n">
        <f aca="false">IF(Source_Data!AV$6=Inputs!$B$13,-Inputs!$B$7,0)+IF(AND(Source_Data!AV$6&gt;=$B$406,Source_Data!AV$6&lt;$B$406+3*Inputs!$B$17,MOD(Source_Data!AV$6-$B$406,3)=0),Inputs!$B$8*Inputs!$B$7*Inputs!$B$35*$B$401*(1-Inputs!$B$16)/Inputs!$B$17,0)</f>
        <v>0</v>
      </c>
      <c r="AW415" s="33" t="n">
        <f aca="false">IF(Source_Data!AW$6=Inputs!$B$13,-Inputs!$B$7,0)+IF(AND(Source_Data!AW$6&gt;=$B$406,Source_Data!AW$6&lt;$B$406+3*Inputs!$B$17,MOD(Source_Data!AW$6-$B$406,3)=0),Inputs!$B$8*Inputs!$B$7*Inputs!$B$35*$B$401*(1-Inputs!$B$16)/Inputs!$B$17,0)</f>
        <v>0</v>
      </c>
      <c r="AX415" s="33" t="n">
        <f aca="false">IF(Source_Data!AX$6=Inputs!$B$13,-Inputs!$B$7,0)+IF(AND(Source_Data!AX$6&gt;=$B$406,Source_Data!AX$6&lt;$B$406+3*Inputs!$B$17,MOD(Source_Data!AX$6-$B$406,3)=0),Inputs!$B$8*Inputs!$B$7*Inputs!$B$35*$B$401*(1-Inputs!$B$16)/Inputs!$B$17,0)</f>
        <v>0</v>
      </c>
      <c r="AY415" s="33" t="n">
        <f aca="false">IF(Source_Data!AY$6=Inputs!$B$13,-Inputs!$B$7,0)+IF(AND(Source_Data!AY$6&gt;=$B$406,Source_Data!AY$6&lt;$B$406+3*Inputs!$B$17,MOD(Source_Data!AY$6-$B$406,3)=0),Inputs!$B$8*Inputs!$B$7*Inputs!$B$35*$B$401*(1-Inputs!$B$16)/Inputs!$B$17,0)</f>
        <v>0</v>
      </c>
      <c r="AZ415" s="33" t="n">
        <f aca="false">IF(Source_Data!AZ$6=Inputs!$B$13,-Inputs!$B$7,0)+IF(AND(Source_Data!AZ$6&gt;=$B$406,Source_Data!AZ$6&lt;$B$406+3*Inputs!$B$17,MOD(Source_Data!AZ$6-$B$406,3)=0),Inputs!$B$8*Inputs!$B$7*Inputs!$B$35*$B$401*(1-Inputs!$B$16)/Inputs!$B$17,0)</f>
        <v>0</v>
      </c>
      <c r="BA415" s="33" t="n">
        <f aca="false">IF(Source_Data!BA$6=Inputs!$B$13,-Inputs!$B$7,0)+IF(AND(Source_Data!BA$6&gt;=$B$406,Source_Data!BA$6&lt;$B$406+3*Inputs!$B$17,MOD(Source_Data!BA$6-$B$406,3)=0),Inputs!$B$8*Inputs!$B$7*Inputs!$B$35*$B$401*(1-Inputs!$B$16)/Inputs!$B$17,0)</f>
        <v>0</v>
      </c>
      <c r="BB415" s="33" t="n">
        <f aca="false">IF(Source_Data!BB$6=Inputs!$B$13,-Inputs!$B$7,0)+IF(AND(Source_Data!BB$6&gt;=$B$406,Source_Data!BB$6&lt;$B$406+3*Inputs!$B$17,MOD(Source_Data!BB$6-$B$406,3)=0),Inputs!$B$8*Inputs!$B$7*Inputs!$B$35*$B$401*(1-Inputs!$B$16)/Inputs!$B$17,0)</f>
        <v>0</v>
      </c>
      <c r="BC415" s="33" t="n">
        <f aca="false">IF(Source_Data!BC$6=Inputs!$B$13,-Inputs!$B$7,0)+IF(AND(Source_Data!BC$6&gt;=$B$406,Source_Data!BC$6&lt;$B$406+3*Inputs!$B$17,MOD(Source_Data!BC$6-$B$406,3)=0),Inputs!$B$8*Inputs!$B$7*Inputs!$B$35*$B$401*(1-Inputs!$B$16)/Inputs!$B$17,0)</f>
        <v>0</v>
      </c>
      <c r="BD415" s="33" t="n">
        <f aca="false">IF(Source_Data!BD$6=Inputs!$B$13,-Inputs!$B$7,0)+IF(AND(Source_Data!BD$6&gt;=$B$406,Source_Data!BD$6&lt;$B$406+3*Inputs!$B$17,MOD(Source_Data!BD$6-$B$406,3)=0),Inputs!$B$8*Inputs!$B$7*Inputs!$B$35*$B$401*(1-Inputs!$B$16)/Inputs!$B$17,0)</f>
        <v>0</v>
      </c>
      <c r="BE415" s="33" t="n">
        <f aca="false">IF(Source_Data!BE$6=Inputs!$B$13,-Inputs!$B$7,0)+IF(AND(Source_Data!BE$6&gt;=$B$406,Source_Data!BE$6&lt;$B$406+3*Inputs!$B$17,MOD(Source_Data!BE$6-$B$406,3)=0),Inputs!$B$8*Inputs!$B$7*Inputs!$B$35*$B$401*(1-Inputs!$B$16)/Inputs!$B$17,0)</f>
        <v>0</v>
      </c>
      <c r="BF415" s="33" t="n">
        <f aca="false">IF(Source_Data!BF$6=Inputs!$B$13,-Inputs!$B$7,0)+IF(AND(Source_Data!BF$6&gt;=$B$406,Source_Data!BF$6&lt;$B$406+3*Inputs!$B$17,MOD(Source_Data!BF$6-$B$406,3)=0),Inputs!$B$8*Inputs!$B$7*Inputs!$B$35*$B$401*(1-Inputs!$B$16)/Inputs!$B$17,0)</f>
        <v>0</v>
      </c>
      <c r="BG415" s="33" t="n">
        <f aca="false">IF(Source_Data!BG$6=Inputs!$B$13,-Inputs!$B$7,0)+IF(AND(Source_Data!BG$6&gt;=$B$406,Source_Data!BG$6&lt;$B$406+3*Inputs!$B$17,MOD(Source_Data!BG$6-$B$406,3)=0),Inputs!$B$8*Inputs!$B$7*Inputs!$B$35*$B$401*(1-Inputs!$B$16)/Inputs!$B$17,0)</f>
        <v>0</v>
      </c>
      <c r="BH415" s="33" t="n">
        <f aca="false">IF(Source_Data!BH$6=Inputs!$B$13,-Inputs!$B$7,0)+IF(AND(Source_Data!BH$6&gt;=$B$406,Source_Data!BH$6&lt;$B$406+3*Inputs!$B$17,MOD(Source_Data!BH$6-$B$406,3)=0),Inputs!$B$8*Inputs!$B$7*Inputs!$B$35*$B$401*(1-Inputs!$B$16)/Inputs!$B$17,0)</f>
        <v>0</v>
      </c>
      <c r="BI415" s="33" t="n">
        <f aca="false">IF(Source_Data!BI$6=Inputs!$B$13,-Inputs!$B$7,0)+IF(AND(Source_Data!BI$6&gt;=$B$406,Source_Data!BI$6&lt;$B$406+3*Inputs!$B$17,MOD(Source_Data!BI$6-$B$406,3)=0),Inputs!$B$8*Inputs!$B$7*Inputs!$B$35*$B$401*(1-Inputs!$B$16)/Inputs!$B$17,0)</f>
        <v>0</v>
      </c>
      <c r="BJ415" s="33" t="n">
        <f aca="false">IF(Source_Data!BJ$6=Inputs!$B$13,-Inputs!$B$7,0)+IF(AND(Source_Data!BJ$6&gt;=$B$406,Source_Data!BJ$6&lt;$B$406+3*Inputs!$B$17,MOD(Source_Data!BJ$6-$B$406,3)=0),Inputs!$B$8*Inputs!$B$7*Inputs!$B$35*$B$401*(1-Inputs!$B$16)/Inputs!$B$17,0)</f>
        <v>0</v>
      </c>
      <c r="BK415" s="33" t="n">
        <f aca="false">IF(Source_Data!BK$6=Inputs!$B$13,-Inputs!$B$7,0)+IF(AND(Source_Data!BK$6&gt;=$B$406,Source_Data!BK$6&lt;$B$406+3*Inputs!$B$17,MOD(Source_Data!BK$6-$B$406,3)=0),Inputs!$B$8*Inputs!$B$7*Inputs!$B$35*$B$401*(1-Inputs!$B$16)/Inputs!$B$17,0)</f>
        <v>0</v>
      </c>
    </row>
    <row r="416" customFormat="false" ht="15" hidden="false" customHeight="false" outlineLevel="0" collapsed="false">
      <c r="A416" s="3" t="s">
        <v>342</v>
      </c>
      <c r="D416" s="33" t="n">
        <f aca="false">IF(AND(Source_Data!D$6&gt;=Inputs!$B$55,Source_Data!D$6&lt;Inputs!$B$55+3*Inputs!$B$11),Inputs!$B$9*Inputs!$B$7/Inputs!$B$11,0)</f>
        <v>0</v>
      </c>
      <c r="E416" s="33" t="n">
        <f aca="false">IF(AND(Source_Data!E$6&gt;=Inputs!$B$55,Source_Data!E$6&lt;Inputs!$B$55+3*Inputs!$B$11),Inputs!$B$9*Inputs!$B$7/Inputs!$B$11,0)</f>
        <v>0</v>
      </c>
      <c r="F416" s="33" t="n">
        <f aca="false">IF(AND(Source_Data!F$6&gt;=Inputs!$B$55,Source_Data!F$6&lt;Inputs!$B$55+3*Inputs!$B$11),Inputs!$B$9*Inputs!$B$7/Inputs!$B$11,0)</f>
        <v>0</v>
      </c>
      <c r="G416" s="33" t="n">
        <f aca="false">IF(AND(Source_Data!G$6&gt;=Inputs!$B$55,Source_Data!G$6&lt;Inputs!$B$55+3*Inputs!$B$11),Inputs!$B$9*Inputs!$B$7/Inputs!$B$11,0)</f>
        <v>0</v>
      </c>
      <c r="H416" s="33" t="n">
        <f aca="false">IF(AND(Source_Data!H$6&gt;=Inputs!$B$55,Source_Data!H$6&lt;Inputs!$B$55+3*Inputs!$B$11),Inputs!$B$9*Inputs!$B$7/Inputs!$B$11,0)</f>
        <v>0</v>
      </c>
      <c r="I416" s="33" t="n">
        <f aca="false">IF(AND(Source_Data!I$6&gt;=Inputs!$B$55,Source_Data!I$6&lt;Inputs!$B$55+3*Inputs!$B$11),Inputs!$B$9*Inputs!$B$7/Inputs!$B$11,0)</f>
        <v>0</v>
      </c>
      <c r="J416" s="33" t="n">
        <f aca="false">IF(AND(Source_Data!J$6&gt;=Inputs!$B$55,Source_Data!J$6&lt;Inputs!$B$55+3*Inputs!$B$11),Inputs!$B$9*Inputs!$B$7/Inputs!$B$11,0)</f>
        <v>0</v>
      </c>
      <c r="K416" s="33" t="n">
        <f aca="false">IF(AND(Source_Data!K$6&gt;=Inputs!$B$55,Source_Data!K$6&lt;Inputs!$B$55+3*Inputs!$B$11),Inputs!$B$9*Inputs!$B$7/Inputs!$B$11,0)</f>
        <v>0</v>
      </c>
      <c r="L416" s="33" t="n">
        <f aca="false">IF(AND(Source_Data!L$6&gt;=Inputs!$B$55,Source_Data!L$6&lt;Inputs!$B$55+3*Inputs!$B$11),Inputs!$B$9*Inputs!$B$7/Inputs!$B$11,0)</f>
        <v>0</v>
      </c>
      <c r="M416" s="33" t="n">
        <f aca="false">IF(AND(Source_Data!M$6&gt;=Inputs!$B$55,Source_Data!M$6&lt;Inputs!$B$55+3*Inputs!$B$11),Inputs!$B$9*Inputs!$B$7/Inputs!$B$11,0)</f>
        <v>14.375</v>
      </c>
      <c r="N416" s="33" t="n">
        <f aca="false">IF(AND(Source_Data!N$6&gt;=Inputs!$B$55,Source_Data!N$6&lt;Inputs!$B$55+3*Inputs!$B$11),Inputs!$B$9*Inputs!$B$7/Inputs!$B$11,0)</f>
        <v>14.375</v>
      </c>
      <c r="O416" s="33" t="n">
        <f aca="false">IF(AND(Source_Data!O$6&gt;=Inputs!$B$55,Source_Data!O$6&lt;Inputs!$B$55+3*Inputs!$B$11),Inputs!$B$9*Inputs!$B$7/Inputs!$B$11,0)</f>
        <v>14.375</v>
      </c>
      <c r="P416" s="33" t="n">
        <f aca="false">IF(AND(Source_Data!P$6&gt;=Inputs!$B$55,Source_Data!P$6&lt;Inputs!$B$55+3*Inputs!$B$11),Inputs!$B$9*Inputs!$B$7/Inputs!$B$11,0)</f>
        <v>14.375</v>
      </c>
      <c r="Q416" s="33" t="n">
        <f aca="false">IF(AND(Source_Data!Q$6&gt;=Inputs!$B$55,Source_Data!Q$6&lt;Inputs!$B$55+3*Inputs!$B$11),Inputs!$B$9*Inputs!$B$7/Inputs!$B$11,0)</f>
        <v>14.375</v>
      </c>
      <c r="R416" s="33" t="n">
        <f aca="false">IF(AND(Source_Data!R$6&gt;=Inputs!$B$55,Source_Data!R$6&lt;Inputs!$B$55+3*Inputs!$B$11),Inputs!$B$9*Inputs!$B$7/Inputs!$B$11,0)</f>
        <v>14.375</v>
      </c>
      <c r="S416" s="33" t="n">
        <f aca="false">IF(AND(Source_Data!S$6&gt;=Inputs!$B$55,Source_Data!S$6&lt;Inputs!$B$55+3*Inputs!$B$11),Inputs!$B$9*Inputs!$B$7/Inputs!$B$11,0)</f>
        <v>14.375</v>
      </c>
      <c r="T416" s="33" t="n">
        <f aca="false">IF(AND(Source_Data!T$6&gt;=Inputs!$B$55,Source_Data!T$6&lt;Inputs!$B$55+3*Inputs!$B$11),Inputs!$B$9*Inputs!$B$7/Inputs!$B$11,0)</f>
        <v>14.375</v>
      </c>
      <c r="U416" s="33" t="n">
        <f aca="false">IF(AND(Source_Data!U$6&gt;=Inputs!$B$55,Source_Data!U$6&lt;Inputs!$B$55+3*Inputs!$B$11),Inputs!$B$9*Inputs!$B$7/Inputs!$B$11,0)</f>
        <v>14.375</v>
      </c>
      <c r="V416" s="33" t="n">
        <f aca="false">IF(AND(Source_Data!V$6&gt;=Inputs!$B$55,Source_Data!V$6&lt;Inputs!$B$55+3*Inputs!$B$11),Inputs!$B$9*Inputs!$B$7/Inputs!$B$11,0)</f>
        <v>14.375</v>
      </c>
      <c r="W416" s="33" t="n">
        <f aca="false">IF(AND(Source_Data!W$6&gt;=Inputs!$B$55,Source_Data!W$6&lt;Inputs!$B$55+3*Inputs!$B$11),Inputs!$B$9*Inputs!$B$7/Inputs!$B$11,0)</f>
        <v>14.375</v>
      </c>
      <c r="X416" s="33" t="n">
        <f aca="false">IF(AND(Source_Data!X$6&gt;=Inputs!$B$55,Source_Data!X$6&lt;Inputs!$B$55+3*Inputs!$B$11),Inputs!$B$9*Inputs!$B$7/Inputs!$B$11,0)</f>
        <v>14.375</v>
      </c>
      <c r="Y416" s="33" t="n">
        <f aca="false">IF(AND(Source_Data!Y$6&gt;=Inputs!$B$55,Source_Data!Y$6&lt;Inputs!$B$55+3*Inputs!$B$11),Inputs!$B$9*Inputs!$B$7/Inputs!$B$11,0)</f>
        <v>0</v>
      </c>
      <c r="Z416" s="33" t="n">
        <f aca="false">IF(AND(Source_Data!Z$6&gt;=Inputs!$B$55,Source_Data!Z$6&lt;Inputs!$B$55+3*Inputs!$B$11),Inputs!$B$9*Inputs!$B$7/Inputs!$B$11,0)</f>
        <v>0</v>
      </c>
      <c r="AA416" s="33" t="n">
        <f aca="false">IF(AND(Source_Data!AA$6&gt;=Inputs!$B$55,Source_Data!AA$6&lt;Inputs!$B$55+3*Inputs!$B$11),Inputs!$B$9*Inputs!$B$7/Inputs!$B$11,0)</f>
        <v>0</v>
      </c>
      <c r="AB416" s="33" t="n">
        <f aca="false">IF(AND(Source_Data!AB$6&gt;=Inputs!$B$55,Source_Data!AB$6&lt;Inputs!$B$55+3*Inputs!$B$11),Inputs!$B$9*Inputs!$B$7/Inputs!$B$11,0)</f>
        <v>0</v>
      </c>
      <c r="AC416" s="33" t="n">
        <f aca="false">IF(AND(Source_Data!AC$6&gt;=Inputs!$B$55,Source_Data!AC$6&lt;Inputs!$B$55+3*Inputs!$B$11),Inputs!$B$9*Inputs!$B$7/Inputs!$B$11,0)</f>
        <v>0</v>
      </c>
      <c r="AD416" s="33" t="n">
        <f aca="false">IF(AND(Source_Data!AD$6&gt;=Inputs!$B$55,Source_Data!AD$6&lt;Inputs!$B$55+3*Inputs!$B$11),Inputs!$B$9*Inputs!$B$7/Inputs!$B$11,0)</f>
        <v>0</v>
      </c>
      <c r="AE416" s="33" t="n">
        <f aca="false">IF(AND(Source_Data!AE$6&gt;=Inputs!$B$55,Source_Data!AE$6&lt;Inputs!$B$55+3*Inputs!$B$11),Inputs!$B$9*Inputs!$B$7/Inputs!$B$11,0)</f>
        <v>0</v>
      </c>
      <c r="AF416" s="33" t="n">
        <f aca="false">IF(AND(Source_Data!AF$6&gt;=Inputs!$B$55,Source_Data!AF$6&lt;Inputs!$B$55+3*Inputs!$B$11),Inputs!$B$9*Inputs!$B$7/Inputs!$B$11,0)</f>
        <v>0</v>
      </c>
      <c r="AG416" s="33" t="n">
        <f aca="false">IF(AND(Source_Data!AG$6&gt;=Inputs!$B$55,Source_Data!AG$6&lt;Inputs!$B$55+3*Inputs!$B$11),Inputs!$B$9*Inputs!$B$7/Inputs!$B$11,0)</f>
        <v>0</v>
      </c>
      <c r="AH416" s="33" t="n">
        <f aca="false">IF(AND(Source_Data!AH$6&gt;=Inputs!$B$55,Source_Data!AH$6&lt;Inputs!$B$55+3*Inputs!$B$11),Inputs!$B$9*Inputs!$B$7/Inputs!$B$11,0)</f>
        <v>0</v>
      </c>
      <c r="AI416" s="33" t="n">
        <f aca="false">IF(AND(Source_Data!AI$6&gt;=Inputs!$B$55,Source_Data!AI$6&lt;Inputs!$B$55+3*Inputs!$B$11),Inputs!$B$9*Inputs!$B$7/Inputs!$B$11,0)</f>
        <v>0</v>
      </c>
      <c r="AJ416" s="33" t="n">
        <f aca="false">IF(AND(Source_Data!AJ$6&gt;=Inputs!$B$55,Source_Data!AJ$6&lt;Inputs!$B$55+3*Inputs!$B$11),Inputs!$B$9*Inputs!$B$7/Inputs!$B$11,0)</f>
        <v>0</v>
      </c>
      <c r="AK416" s="33" t="n">
        <f aca="false">IF(AND(Source_Data!AK$6&gt;=Inputs!$B$55,Source_Data!AK$6&lt;Inputs!$B$55+3*Inputs!$B$11),Inputs!$B$9*Inputs!$B$7/Inputs!$B$11,0)</f>
        <v>0</v>
      </c>
      <c r="AL416" s="33" t="n">
        <f aca="false">IF(AND(Source_Data!AL$6&gt;=Inputs!$B$55,Source_Data!AL$6&lt;Inputs!$B$55+3*Inputs!$B$11),Inputs!$B$9*Inputs!$B$7/Inputs!$B$11,0)</f>
        <v>0</v>
      </c>
      <c r="AM416" s="33" t="n">
        <f aca="false">IF(AND(Source_Data!AM$6&gt;=Inputs!$B$55,Source_Data!AM$6&lt;Inputs!$B$55+3*Inputs!$B$11),Inputs!$B$9*Inputs!$B$7/Inputs!$B$11,0)</f>
        <v>0</v>
      </c>
      <c r="AN416" s="33" t="n">
        <f aca="false">IF(AND(Source_Data!AN$6&gt;=Inputs!$B$55,Source_Data!AN$6&lt;Inputs!$B$55+3*Inputs!$B$11),Inputs!$B$9*Inputs!$B$7/Inputs!$B$11,0)</f>
        <v>0</v>
      </c>
      <c r="AO416" s="33" t="n">
        <f aca="false">IF(AND(Source_Data!AO$6&gt;=Inputs!$B$55,Source_Data!AO$6&lt;Inputs!$B$55+3*Inputs!$B$11),Inputs!$B$9*Inputs!$B$7/Inputs!$B$11,0)</f>
        <v>0</v>
      </c>
      <c r="AP416" s="33" t="n">
        <f aca="false">IF(AND(Source_Data!AP$6&gt;=Inputs!$B$55,Source_Data!AP$6&lt;Inputs!$B$55+3*Inputs!$B$11),Inputs!$B$9*Inputs!$B$7/Inputs!$B$11,0)</f>
        <v>0</v>
      </c>
      <c r="AQ416" s="33" t="n">
        <f aca="false">IF(AND(Source_Data!AQ$6&gt;=Inputs!$B$55,Source_Data!AQ$6&lt;Inputs!$B$55+3*Inputs!$B$11),Inputs!$B$9*Inputs!$B$7/Inputs!$B$11,0)</f>
        <v>0</v>
      </c>
      <c r="AR416" s="33" t="n">
        <f aca="false">IF(AND(Source_Data!AR$6&gt;=Inputs!$B$55,Source_Data!AR$6&lt;Inputs!$B$55+3*Inputs!$B$11),Inputs!$B$9*Inputs!$B$7/Inputs!$B$11,0)</f>
        <v>0</v>
      </c>
      <c r="AS416" s="33" t="n">
        <f aca="false">IF(AND(Source_Data!AS$6&gt;=Inputs!$B$55,Source_Data!AS$6&lt;Inputs!$B$55+3*Inputs!$B$11),Inputs!$B$9*Inputs!$B$7/Inputs!$B$11,0)</f>
        <v>0</v>
      </c>
      <c r="AT416" s="33" t="n">
        <f aca="false">IF(AND(Source_Data!AT$6&gt;=Inputs!$B$55,Source_Data!AT$6&lt;Inputs!$B$55+3*Inputs!$B$11),Inputs!$B$9*Inputs!$B$7/Inputs!$B$11,0)</f>
        <v>0</v>
      </c>
      <c r="AU416" s="33" t="n">
        <f aca="false">IF(AND(Source_Data!AU$6&gt;=Inputs!$B$55,Source_Data!AU$6&lt;Inputs!$B$55+3*Inputs!$B$11),Inputs!$B$9*Inputs!$B$7/Inputs!$B$11,0)</f>
        <v>0</v>
      </c>
      <c r="AV416" s="33" t="n">
        <f aca="false">IF(AND(Source_Data!AV$6&gt;=Inputs!$B$55,Source_Data!AV$6&lt;Inputs!$B$55+3*Inputs!$B$11),Inputs!$B$9*Inputs!$B$7/Inputs!$B$11,0)</f>
        <v>0</v>
      </c>
      <c r="AW416" s="33" t="n">
        <f aca="false">IF(AND(Source_Data!AW$6&gt;=Inputs!$B$55,Source_Data!AW$6&lt;Inputs!$B$55+3*Inputs!$B$11),Inputs!$B$9*Inputs!$B$7/Inputs!$B$11,0)</f>
        <v>0</v>
      </c>
      <c r="AX416" s="33" t="n">
        <f aca="false">IF(AND(Source_Data!AX$6&gt;=Inputs!$B$55,Source_Data!AX$6&lt;Inputs!$B$55+3*Inputs!$B$11),Inputs!$B$9*Inputs!$B$7/Inputs!$B$11,0)</f>
        <v>0</v>
      </c>
      <c r="AY416" s="33" t="n">
        <f aca="false">IF(AND(Source_Data!AY$6&gt;=Inputs!$B$55,Source_Data!AY$6&lt;Inputs!$B$55+3*Inputs!$B$11),Inputs!$B$9*Inputs!$B$7/Inputs!$B$11,0)</f>
        <v>0</v>
      </c>
      <c r="AZ416" s="33" t="n">
        <f aca="false">IF(AND(Source_Data!AZ$6&gt;=Inputs!$B$55,Source_Data!AZ$6&lt;Inputs!$B$55+3*Inputs!$B$11),Inputs!$B$9*Inputs!$B$7/Inputs!$B$11,0)</f>
        <v>0</v>
      </c>
      <c r="BA416" s="33" t="n">
        <f aca="false">IF(AND(Source_Data!BA$6&gt;=Inputs!$B$55,Source_Data!BA$6&lt;Inputs!$B$55+3*Inputs!$B$11),Inputs!$B$9*Inputs!$B$7/Inputs!$B$11,0)</f>
        <v>0</v>
      </c>
      <c r="BB416" s="33" t="n">
        <f aca="false">IF(AND(Source_Data!BB$6&gt;=Inputs!$B$55,Source_Data!BB$6&lt;Inputs!$B$55+3*Inputs!$B$11),Inputs!$B$9*Inputs!$B$7/Inputs!$B$11,0)</f>
        <v>0</v>
      </c>
      <c r="BC416" s="33" t="n">
        <f aca="false">IF(AND(Source_Data!BC$6&gt;=Inputs!$B$55,Source_Data!BC$6&lt;Inputs!$B$55+3*Inputs!$B$11),Inputs!$B$9*Inputs!$B$7/Inputs!$B$11,0)</f>
        <v>0</v>
      </c>
      <c r="BD416" s="33" t="n">
        <f aca="false">IF(AND(Source_Data!BD$6&gt;=Inputs!$B$55,Source_Data!BD$6&lt;Inputs!$B$55+3*Inputs!$B$11),Inputs!$B$9*Inputs!$B$7/Inputs!$B$11,0)</f>
        <v>0</v>
      </c>
      <c r="BE416" s="33" t="n">
        <f aca="false">IF(AND(Source_Data!BE$6&gt;=Inputs!$B$55,Source_Data!BE$6&lt;Inputs!$B$55+3*Inputs!$B$11),Inputs!$B$9*Inputs!$B$7/Inputs!$B$11,0)</f>
        <v>0</v>
      </c>
      <c r="BF416" s="33" t="n">
        <f aca="false">IF(AND(Source_Data!BF$6&gt;=Inputs!$B$55,Source_Data!BF$6&lt;Inputs!$B$55+3*Inputs!$B$11),Inputs!$B$9*Inputs!$B$7/Inputs!$B$11,0)</f>
        <v>0</v>
      </c>
      <c r="BG416" s="33" t="n">
        <f aca="false">IF(AND(Source_Data!BG$6&gt;=Inputs!$B$55,Source_Data!BG$6&lt;Inputs!$B$55+3*Inputs!$B$11),Inputs!$B$9*Inputs!$B$7/Inputs!$B$11,0)</f>
        <v>0</v>
      </c>
      <c r="BH416" s="33" t="n">
        <f aca="false">IF(AND(Source_Data!BH$6&gt;=Inputs!$B$55,Source_Data!BH$6&lt;Inputs!$B$55+3*Inputs!$B$11),Inputs!$B$9*Inputs!$B$7/Inputs!$B$11,0)</f>
        <v>0</v>
      </c>
      <c r="BI416" s="33" t="n">
        <f aca="false">IF(AND(Source_Data!BI$6&gt;=Inputs!$B$55,Source_Data!BI$6&lt;Inputs!$B$55+3*Inputs!$B$11),Inputs!$B$9*Inputs!$B$7/Inputs!$B$11,0)</f>
        <v>0</v>
      </c>
      <c r="BJ416" s="33" t="n">
        <f aca="false">IF(AND(Source_Data!BJ$6&gt;=Inputs!$B$55,Source_Data!BJ$6&lt;Inputs!$B$55+3*Inputs!$B$11),Inputs!$B$9*Inputs!$B$7/Inputs!$B$11,0)</f>
        <v>0</v>
      </c>
      <c r="BK416" s="33" t="n">
        <f aca="false">IF(AND(Source_Data!BK$6&gt;=Inputs!$B$55,Source_Data!BK$6&lt;Inputs!$B$55+3*Inputs!$B$11),Inputs!$B$9*Inputs!$B$7/Inputs!$B$11,0)</f>
        <v>0</v>
      </c>
    </row>
    <row r="417" customFormat="false" ht="15" hidden="false" customHeight="false" outlineLevel="0" collapsed="false">
      <c r="A417" s="3" t="s">
        <v>343</v>
      </c>
      <c r="D417" s="33" t="n">
        <f aca="false">IF(Source_Data!D$6=Inputs!$B$13,-Inputs!$B$7,0)+D416</f>
        <v>-75</v>
      </c>
      <c r="E417" s="33" t="n">
        <f aca="false">IF(Source_Data!E$6=Inputs!$B$13,-Inputs!$B$7,0)+E416</f>
        <v>0</v>
      </c>
      <c r="F417" s="33" t="n">
        <f aca="false">IF(Source_Data!F$6=Inputs!$B$13,-Inputs!$B$7,0)+F416</f>
        <v>0</v>
      </c>
      <c r="G417" s="33" t="n">
        <f aca="false">IF(Source_Data!G$6=Inputs!$B$13,-Inputs!$B$7,0)+G416</f>
        <v>0</v>
      </c>
      <c r="H417" s="33" t="n">
        <f aca="false">IF(Source_Data!H$6=Inputs!$B$13,-Inputs!$B$7,0)+H416</f>
        <v>0</v>
      </c>
      <c r="I417" s="33" t="n">
        <f aca="false">IF(Source_Data!I$6=Inputs!$B$13,-Inputs!$B$7,0)+I416</f>
        <v>0</v>
      </c>
      <c r="J417" s="33" t="n">
        <f aca="false">IF(Source_Data!J$6=Inputs!$B$13,-Inputs!$B$7,0)+J416</f>
        <v>0</v>
      </c>
      <c r="K417" s="33" t="n">
        <f aca="false">IF(Source_Data!K$6=Inputs!$B$13,-Inputs!$B$7,0)+K416</f>
        <v>0</v>
      </c>
      <c r="L417" s="33" t="n">
        <f aca="false">IF(Source_Data!L$6=Inputs!$B$13,-Inputs!$B$7,0)+L416</f>
        <v>0</v>
      </c>
      <c r="M417" s="33" t="n">
        <f aca="false">IF(Source_Data!M$6=Inputs!$B$13,-Inputs!$B$7,0)+M416</f>
        <v>14.375</v>
      </c>
      <c r="N417" s="33" t="n">
        <f aca="false">IF(Source_Data!N$6=Inputs!$B$13,-Inputs!$B$7,0)+N416</f>
        <v>14.375</v>
      </c>
      <c r="O417" s="33" t="n">
        <f aca="false">IF(Source_Data!O$6=Inputs!$B$13,-Inputs!$B$7,0)+O416</f>
        <v>14.375</v>
      </c>
      <c r="P417" s="33" t="n">
        <f aca="false">IF(Source_Data!P$6=Inputs!$B$13,-Inputs!$B$7,0)+P416</f>
        <v>14.375</v>
      </c>
      <c r="Q417" s="33" t="n">
        <f aca="false">IF(Source_Data!Q$6=Inputs!$B$13,-Inputs!$B$7,0)+Q416</f>
        <v>14.375</v>
      </c>
      <c r="R417" s="33" t="n">
        <f aca="false">IF(Source_Data!R$6=Inputs!$B$13,-Inputs!$B$7,0)+R416</f>
        <v>14.375</v>
      </c>
      <c r="S417" s="33" t="n">
        <f aca="false">IF(Source_Data!S$6=Inputs!$B$13,-Inputs!$B$7,0)+S416</f>
        <v>14.375</v>
      </c>
      <c r="T417" s="33" t="n">
        <f aca="false">IF(Source_Data!T$6=Inputs!$B$13,-Inputs!$B$7,0)+T416</f>
        <v>14.375</v>
      </c>
      <c r="U417" s="33" t="n">
        <f aca="false">IF(Source_Data!U$6=Inputs!$B$13,-Inputs!$B$7,0)+U416</f>
        <v>14.375</v>
      </c>
      <c r="V417" s="33" t="n">
        <f aca="false">IF(Source_Data!V$6=Inputs!$B$13,-Inputs!$B$7,0)+V416</f>
        <v>14.375</v>
      </c>
      <c r="W417" s="33" t="n">
        <f aca="false">IF(Source_Data!W$6=Inputs!$B$13,-Inputs!$B$7,0)+W416</f>
        <v>14.375</v>
      </c>
      <c r="X417" s="33" t="n">
        <f aca="false">IF(Source_Data!X$6=Inputs!$B$13,-Inputs!$B$7,0)+X416</f>
        <v>14.375</v>
      </c>
      <c r="Y417" s="33" t="n">
        <f aca="false">IF(Source_Data!Y$6=Inputs!$B$13,-Inputs!$B$7,0)+Y416</f>
        <v>0</v>
      </c>
      <c r="Z417" s="33" t="n">
        <f aca="false">IF(Source_Data!Z$6=Inputs!$B$13,-Inputs!$B$7,0)+Z416</f>
        <v>0</v>
      </c>
      <c r="AA417" s="33" t="n">
        <f aca="false">IF(Source_Data!AA$6=Inputs!$B$13,-Inputs!$B$7,0)+AA416</f>
        <v>0</v>
      </c>
      <c r="AB417" s="33" t="n">
        <f aca="false">IF(Source_Data!AB$6=Inputs!$B$13,-Inputs!$B$7,0)+AB416</f>
        <v>0</v>
      </c>
      <c r="AC417" s="33" t="n">
        <f aca="false">IF(Source_Data!AC$6=Inputs!$B$13,-Inputs!$B$7,0)+AC416</f>
        <v>0</v>
      </c>
      <c r="AD417" s="33" t="n">
        <f aca="false">IF(Source_Data!AD$6=Inputs!$B$13,-Inputs!$B$7,0)+AD416</f>
        <v>0</v>
      </c>
      <c r="AE417" s="33" t="n">
        <f aca="false">IF(Source_Data!AE$6=Inputs!$B$13,-Inputs!$B$7,0)+AE416</f>
        <v>0</v>
      </c>
      <c r="AF417" s="33" t="n">
        <f aca="false">IF(Source_Data!AF$6=Inputs!$B$13,-Inputs!$B$7,0)+AF416</f>
        <v>0</v>
      </c>
      <c r="AG417" s="33" t="n">
        <f aca="false">IF(Source_Data!AG$6=Inputs!$B$13,-Inputs!$B$7,0)+AG416</f>
        <v>0</v>
      </c>
      <c r="AH417" s="33" t="n">
        <f aca="false">IF(Source_Data!AH$6=Inputs!$B$13,-Inputs!$B$7,0)+AH416</f>
        <v>0</v>
      </c>
      <c r="AI417" s="33" t="n">
        <f aca="false">IF(Source_Data!AI$6=Inputs!$B$13,-Inputs!$B$7,0)+AI416</f>
        <v>0</v>
      </c>
      <c r="AJ417" s="33" t="n">
        <f aca="false">IF(Source_Data!AJ$6=Inputs!$B$13,-Inputs!$B$7,0)+AJ416</f>
        <v>0</v>
      </c>
      <c r="AK417" s="33" t="n">
        <f aca="false">IF(Source_Data!AK$6=Inputs!$B$13,-Inputs!$B$7,0)+AK416</f>
        <v>0</v>
      </c>
      <c r="AL417" s="33" t="n">
        <f aca="false">IF(Source_Data!AL$6=Inputs!$B$13,-Inputs!$B$7,0)+AL416</f>
        <v>0</v>
      </c>
      <c r="AM417" s="33" t="n">
        <f aca="false">IF(Source_Data!AM$6=Inputs!$B$13,-Inputs!$B$7,0)+AM416</f>
        <v>0</v>
      </c>
      <c r="AN417" s="33" t="n">
        <f aca="false">IF(Source_Data!AN$6=Inputs!$B$13,-Inputs!$B$7,0)+AN416</f>
        <v>0</v>
      </c>
      <c r="AO417" s="33" t="n">
        <f aca="false">IF(Source_Data!AO$6=Inputs!$B$13,-Inputs!$B$7,0)+AO416</f>
        <v>0</v>
      </c>
      <c r="AP417" s="33" t="n">
        <f aca="false">IF(Source_Data!AP$6=Inputs!$B$13,-Inputs!$B$7,0)+AP416</f>
        <v>0</v>
      </c>
      <c r="AQ417" s="33" t="n">
        <f aca="false">IF(Source_Data!AQ$6=Inputs!$B$13,-Inputs!$B$7,0)+AQ416</f>
        <v>0</v>
      </c>
      <c r="AR417" s="33" t="n">
        <f aca="false">IF(Source_Data!AR$6=Inputs!$B$13,-Inputs!$B$7,0)+AR416</f>
        <v>0</v>
      </c>
      <c r="AS417" s="33" t="n">
        <f aca="false">IF(Source_Data!AS$6=Inputs!$B$13,-Inputs!$B$7,0)+AS416</f>
        <v>0</v>
      </c>
      <c r="AT417" s="33" t="n">
        <f aca="false">IF(Source_Data!AT$6=Inputs!$B$13,-Inputs!$B$7,0)+AT416</f>
        <v>0</v>
      </c>
      <c r="AU417" s="33" t="n">
        <f aca="false">IF(Source_Data!AU$6=Inputs!$B$13,-Inputs!$B$7,0)+AU416</f>
        <v>0</v>
      </c>
      <c r="AV417" s="33" t="n">
        <f aca="false">IF(Source_Data!AV$6=Inputs!$B$13,-Inputs!$B$7,0)+AV416</f>
        <v>0</v>
      </c>
      <c r="AW417" s="33" t="n">
        <f aca="false">IF(Source_Data!AW$6=Inputs!$B$13,-Inputs!$B$7,0)+AW416</f>
        <v>0</v>
      </c>
      <c r="AX417" s="33" t="n">
        <f aca="false">IF(Source_Data!AX$6=Inputs!$B$13,-Inputs!$B$7,0)+AX416</f>
        <v>0</v>
      </c>
      <c r="AY417" s="33" t="n">
        <f aca="false">IF(Source_Data!AY$6=Inputs!$B$13,-Inputs!$B$7,0)+AY416</f>
        <v>0</v>
      </c>
      <c r="AZ417" s="33" t="n">
        <f aca="false">IF(Source_Data!AZ$6=Inputs!$B$13,-Inputs!$B$7,0)+AZ416</f>
        <v>0</v>
      </c>
      <c r="BA417" s="33" t="n">
        <f aca="false">IF(Source_Data!BA$6=Inputs!$B$13,-Inputs!$B$7,0)+BA416</f>
        <v>0</v>
      </c>
      <c r="BB417" s="33" t="n">
        <f aca="false">IF(Source_Data!BB$6=Inputs!$B$13,-Inputs!$B$7,0)+BB416</f>
        <v>0</v>
      </c>
      <c r="BC417" s="33" t="n">
        <f aca="false">IF(Source_Data!BC$6=Inputs!$B$13,-Inputs!$B$7,0)+BC416</f>
        <v>0</v>
      </c>
      <c r="BD417" s="33" t="n">
        <f aca="false">IF(Source_Data!BD$6=Inputs!$B$13,-Inputs!$B$7,0)+BD416</f>
        <v>0</v>
      </c>
      <c r="BE417" s="33" t="n">
        <f aca="false">IF(Source_Data!BE$6=Inputs!$B$13,-Inputs!$B$7,0)+BE416</f>
        <v>0</v>
      </c>
      <c r="BF417" s="33" t="n">
        <f aca="false">IF(Source_Data!BF$6=Inputs!$B$13,-Inputs!$B$7,0)+BF416</f>
        <v>0</v>
      </c>
      <c r="BG417" s="33" t="n">
        <f aca="false">IF(Source_Data!BG$6=Inputs!$B$13,-Inputs!$B$7,0)+BG416</f>
        <v>0</v>
      </c>
      <c r="BH417" s="33" t="n">
        <f aca="false">IF(Source_Data!BH$6=Inputs!$B$13,-Inputs!$B$7,0)+BH416</f>
        <v>0</v>
      </c>
      <c r="BI417" s="33" t="n">
        <f aca="false">IF(Source_Data!BI$6=Inputs!$B$13,-Inputs!$B$7,0)+BI416</f>
        <v>0</v>
      </c>
      <c r="BJ417" s="33" t="n">
        <f aca="false">IF(Source_Data!BJ$6=Inputs!$B$13,-Inputs!$B$7,0)+BJ416</f>
        <v>0</v>
      </c>
      <c r="BK417" s="33" t="n">
        <f aca="false">IF(Source_Data!BK$6=Inputs!$B$13,-Inputs!$B$7,0)+BK416</f>
        <v>0</v>
      </c>
    </row>
    <row r="418" customFormat="false" ht="15" hidden="false" customHeight="false" outlineLevel="0" collapsed="false">
      <c r="A418" s="3" t="s">
        <v>344</v>
      </c>
      <c r="D418" s="33" t="n">
        <f aca="false">IF(Source_Data!D$6=Inputs!$B$13,Inputs!$B$7,0)+D413-D416</f>
        <v>-16.25</v>
      </c>
      <c r="E418" s="33" t="n">
        <f aca="false">D418+IF(Source_Data!E$6=Inputs!$B$13,Inputs!$B$7,0)+E413-E416</f>
        <v>-27.5</v>
      </c>
      <c r="F418" s="33" t="n">
        <f aca="false">E418+IF(Source_Data!F$6=Inputs!$B$13,Inputs!$B$7,0)+F413-F416</f>
        <v>-38.75</v>
      </c>
      <c r="G418" s="33" t="n">
        <f aca="false">F418+IF(Source_Data!G$6=Inputs!$B$13,Inputs!$B$7,0)+G413-G416</f>
        <v>-50</v>
      </c>
      <c r="H418" s="33" t="n">
        <f aca="false">G418+IF(Source_Data!H$6=Inputs!$B$13,Inputs!$B$7,0)+H413-H416</f>
        <v>-80.3607625</v>
      </c>
      <c r="I418" s="33" t="n">
        <f aca="false">H418+IF(Source_Data!I$6=Inputs!$B$13,Inputs!$B$7,0)+I413-I416</f>
        <v>-102.9422875</v>
      </c>
      <c r="J418" s="33" t="n">
        <f aca="false">I418+IF(Source_Data!J$6=Inputs!$B$13,Inputs!$B$7,0)+J413-J416</f>
        <v>-137.04167125</v>
      </c>
      <c r="K418" s="33" t="n">
        <f aca="false">J418+IF(Source_Data!K$6=Inputs!$B$13,Inputs!$B$7,0)+K413-K416</f>
        <v>-139.26752375</v>
      </c>
      <c r="L418" s="33" t="n">
        <f aca="false">K418+IF(Source_Data!L$6=Inputs!$B$13,Inputs!$B$7,0)+L413-L416</f>
        <v>-150.53308375</v>
      </c>
      <c r="M418" s="33" t="n">
        <f aca="false">L418+IF(Source_Data!M$6=Inputs!$B$13,Inputs!$B$7,0)+M413-M416</f>
        <v>-175.065784375</v>
      </c>
      <c r="N418" s="33" t="n">
        <f aca="false">M418+IF(Source_Data!N$6=Inputs!$B$13,Inputs!$B$7,0)+N413-N416</f>
        <v>-155.9229459375</v>
      </c>
      <c r="O418" s="33" t="n">
        <f aca="false">N418+IF(Source_Data!O$6=Inputs!$B$13,Inputs!$B$7,0)+O413-O416</f>
        <v>278.1448815625</v>
      </c>
      <c r="P418" s="33" t="n">
        <f aca="false">O418+IF(Source_Data!P$6=Inputs!$B$13,Inputs!$B$7,0)+P413-P416</f>
        <v>258.6495915625</v>
      </c>
      <c r="Q418" s="33" t="n">
        <f aca="false">P418+IF(Source_Data!Q$6=Inputs!$B$13,Inputs!$B$7,0)+Q413-Q416</f>
        <v>228.5477915625</v>
      </c>
      <c r="R418" s="33" t="n">
        <f aca="false">Q418+IF(Source_Data!R$6=Inputs!$B$13,Inputs!$B$7,0)+R413-R416</f>
        <v>68.6227415625001</v>
      </c>
      <c r="S418" s="33" t="n">
        <f aca="false">R418+IF(Source_Data!S$6=Inputs!$B$13,Inputs!$B$7,0)+S413-S416</f>
        <v>-60.6484896874999</v>
      </c>
      <c r="T418" s="33" t="n">
        <f aca="false">S418+IF(Source_Data!T$6=Inputs!$B$13,Inputs!$B$7,0)+T413-T416</f>
        <v>-48.7135209374999</v>
      </c>
      <c r="U418" s="33" t="n">
        <f aca="false">T418+IF(Source_Data!U$6=Inputs!$B$13,Inputs!$B$7,0)+U413-U416</f>
        <v>-40.0514853125</v>
      </c>
      <c r="V418" s="33" t="n">
        <f aca="false">U418+IF(Source_Data!V$6=Inputs!$B$13,Inputs!$B$7,0)+V413-V416</f>
        <v>-38.199845625</v>
      </c>
      <c r="W418" s="33" t="n">
        <f aca="false">V418+IF(Source_Data!W$6=Inputs!$B$13,Inputs!$B$7,0)+W413-W416</f>
        <v>-37.8621296875</v>
      </c>
      <c r="X418" s="33" t="n">
        <f aca="false">W418+IF(Source_Data!X$6=Inputs!$B$13,Inputs!$B$7,0)+X413-X416</f>
        <v>-21.013185</v>
      </c>
      <c r="Y418" s="33" t="n">
        <f aca="false">X418+IF(Source_Data!Y$6=Inputs!$B$13,Inputs!$B$7,0)+Y413-Y416</f>
        <v>5.86975968750005</v>
      </c>
      <c r="Z418" s="33" t="n">
        <f aca="false">Y418+IF(Source_Data!Z$6=Inputs!$B$13,Inputs!$B$7,0)+Z413-Z416</f>
        <v>32.7527043750001</v>
      </c>
      <c r="AA418" s="33" t="n">
        <f aca="false">Z418+IF(Source_Data!AA$6=Inputs!$B$13,Inputs!$B$7,0)+AA413-AA416</f>
        <v>52.3554303125001</v>
      </c>
      <c r="AB418" s="33" t="n">
        <f aca="false">AA418+IF(Source_Data!AB$6=Inputs!$B$13,Inputs!$B$7,0)+AB413-AB416</f>
        <v>94.45815625</v>
      </c>
      <c r="AC418" s="33" t="n">
        <f aca="false">AB418+IF(Source_Data!AC$6=Inputs!$B$13,Inputs!$B$7,0)+AC413-AC416</f>
        <v>136.5608821875</v>
      </c>
      <c r="AD418" s="33" t="n">
        <f aca="false">AC418+IF(Source_Data!AD$6=Inputs!$B$13,Inputs!$B$7,0)+AD413-AD416</f>
        <v>172.875608125</v>
      </c>
      <c r="AE418" s="33" t="n">
        <f aca="false">AD418+IF(Source_Data!AE$6=Inputs!$B$13,Inputs!$B$7,0)+AE413-AE416</f>
        <v>205.914235625</v>
      </c>
      <c r="AF418" s="33" t="n">
        <f aca="false">AE418+IF(Source_Data!AF$6=Inputs!$B$13,Inputs!$B$7,0)+AF413-AF416</f>
        <v>127.586196523438</v>
      </c>
      <c r="AG418" s="33" t="n">
        <f aca="false">AF418+IF(Source_Data!AG$6=Inputs!$B$13,Inputs!$B$7,0)+AG413-AG416</f>
        <v>141.698855351563</v>
      </c>
      <c r="AH418" s="33" t="n">
        <f aca="false">AG418+IF(Source_Data!AH$6=Inputs!$B$13,Inputs!$B$7,0)+AH413-AH416</f>
        <v>155.811514179688</v>
      </c>
      <c r="AI418" s="33" t="n">
        <f aca="false">AH418+IF(Source_Data!AI$6=Inputs!$B$13,Inputs!$B$7,0)+AI413-AI416</f>
        <v>169.924173007813</v>
      </c>
      <c r="AJ418" s="33" t="n">
        <f aca="false">AI418+IF(Source_Data!AJ$6=Inputs!$B$13,Inputs!$B$7,0)+AJ413-AJ416</f>
        <v>184.036831835938</v>
      </c>
      <c r="AK418" s="33" t="n">
        <f aca="false">AJ418+IF(Source_Data!AK$6=Inputs!$B$13,Inputs!$B$7,0)+AK413-AK416</f>
        <v>199.105019375</v>
      </c>
      <c r="AL418" s="33" t="n">
        <f aca="false">AK418+IF(Source_Data!AL$6=Inputs!$B$13,Inputs!$B$7,0)+AL413-AL416</f>
        <v>214.173206914063</v>
      </c>
      <c r="AM418" s="33" t="n">
        <f aca="false">AL418+IF(Source_Data!AM$6=Inputs!$B$13,Inputs!$B$7,0)+AM413-AM416</f>
        <v>228.8797575</v>
      </c>
      <c r="AN418" s="33" t="n">
        <f aca="false">AM418+IF(Source_Data!AN$6=Inputs!$B$13,Inputs!$B$7,0)+AN413-AN416</f>
        <v>247.57341484375</v>
      </c>
      <c r="AO418" s="33" t="n">
        <f aca="false">AN418+IF(Source_Data!AO$6=Inputs!$B$13,Inputs!$B$7,0)+AO413-AO416</f>
        <v>264.7508875</v>
      </c>
      <c r="AP418" s="33" t="n">
        <f aca="false">AO418+IF(Source_Data!AP$6=Inputs!$B$13,Inputs!$B$7,0)+AP413-AP416</f>
        <v>274.377055</v>
      </c>
      <c r="AQ418" s="33" t="n">
        <f aca="false">AP418+IF(Source_Data!AQ$6=Inputs!$B$13,Inputs!$B$7,0)+AQ413-AQ416</f>
        <v>277.9475275</v>
      </c>
      <c r="AR418" s="33" t="n">
        <f aca="false">AQ418+IF(Source_Data!AR$6=Inputs!$B$13,Inputs!$B$7,0)+AR413-AR416</f>
        <v>277.9475275</v>
      </c>
      <c r="AS418" s="33" t="n">
        <f aca="false">AR418+IF(Source_Data!AS$6=Inputs!$B$13,Inputs!$B$7,0)+AS413-AS416</f>
        <v>277.9475275</v>
      </c>
      <c r="AT418" s="33" t="n">
        <f aca="false">AS418+IF(Source_Data!AT$6=Inputs!$B$13,Inputs!$B$7,0)+AT413-AT416</f>
        <v>277.9475275</v>
      </c>
      <c r="AU418" s="33" t="n">
        <f aca="false">AT418+IF(Source_Data!AU$6=Inputs!$B$13,Inputs!$B$7,0)+AU413-AU416</f>
        <v>277.9475275</v>
      </c>
      <c r="AV418" s="33" t="n">
        <f aca="false">AU418+IF(Source_Data!AV$6=Inputs!$B$13,Inputs!$B$7,0)+AV413-AV416</f>
        <v>277.9475275</v>
      </c>
      <c r="AW418" s="33" t="n">
        <f aca="false">AV418+IF(Source_Data!AW$6=Inputs!$B$13,Inputs!$B$7,0)+AW413-AW416</f>
        <v>277.9475275</v>
      </c>
      <c r="AX418" s="33" t="n">
        <f aca="false">AW418+IF(Source_Data!AX$6=Inputs!$B$13,Inputs!$B$7,0)+AX413-AX416</f>
        <v>277.9475275</v>
      </c>
      <c r="AY418" s="33" t="n">
        <f aca="false">AX418+IF(Source_Data!AY$6=Inputs!$B$13,Inputs!$B$7,0)+AY413-AY416</f>
        <v>277.9475275</v>
      </c>
      <c r="AZ418" s="33" t="n">
        <f aca="false">AY418+IF(Source_Data!AZ$6=Inputs!$B$13,Inputs!$B$7,0)+AZ413-AZ416</f>
        <v>277.9475275</v>
      </c>
      <c r="BA418" s="33" t="n">
        <f aca="false">AZ418+IF(Source_Data!BA$6=Inputs!$B$13,Inputs!$B$7,0)+BA413-BA416</f>
        <v>277.9475275</v>
      </c>
      <c r="BB418" s="33" t="n">
        <f aca="false">BA418+IF(Source_Data!BB$6=Inputs!$B$13,Inputs!$B$7,0)+BB413-BB416</f>
        <v>277.9475275</v>
      </c>
      <c r="BC418" s="33" t="n">
        <f aca="false">BB418+IF(Source_Data!BC$6=Inputs!$B$13,Inputs!$B$7,0)+BC413-BC416</f>
        <v>277.9475275</v>
      </c>
      <c r="BD418" s="33" t="n">
        <f aca="false">BC418+IF(Source_Data!BD$6=Inputs!$B$13,Inputs!$B$7,0)+BD413-BD416</f>
        <v>277.9475275</v>
      </c>
      <c r="BE418" s="33" t="n">
        <f aca="false">BD418+IF(Source_Data!BE$6=Inputs!$B$13,Inputs!$B$7,0)+BE413-BE416</f>
        <v>277.9475275</v>
      </c>
      <c r="BF418" s="33" t="n">
        <f aca="false">BE418+IF(Source_Data!BF$6=Inputs!$B$13,Inputs!$B$7,0)+BF413-BF416</f>
        <v>277.9475275</v>
      </c>
      <c r="BG418" s="33" t="n">
        <f aca="false">BF418+IF(Source_Data!BG$6=Inputs!$B$13,Inputs!$B$7,0)+BG413-BG416</f>
        <v>277.9475275</v>
      </c>
      <c r="BH418" s="33" t="n">
        <f aca="false">BG418+IF(Source_Data!BH$6=Inputs!$B$13,Inputs!$B$7,0)+BH413-BH416</f>
        <v>277.9475275</v>
      </c>
      <c r="BI418" s="33" t="n">
        <f aca="false">BH418+IF(Source_Data!BI$6=Inputs!$B$13,Inputs!$B$7,0)+BI413-BI416</f>
        <v>277.9475275</v>
      </c>
      <c r="BJ418" s="33" t="n">
        <f aca="false">BI418+IF(Source_Data!BJ$6=Inputs!$B$13,Inputs!$B$7,0)+BJ413-BJ416</f>
        <v>277.9475275</v>
      </c>
      <c r="BK418" s="33" t="n">
        <f aca="false">BJ418+IF(Source_Data!BK$6=Inputs!$B$13,Inputs!$B$7,0)+BK413-BK416</f>
        <v>277.9475275</v>
      </c>
    </row>
    <row r="419" customFormat="false" ht="15" hidden="false" customHeight="false" outlineLevel="0" collapsed="false">
      <c r="A419" s="3" t="s">
        <v>345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-0.706622652173912</v>
      </c>
      <c r="N419" s="31" t="n">
        <f aca="false">IF(N416&gt;0,N413/N416,"")</f>
        <v>2.33167571739131</v>
      </c>
      <c r="O419" s="31" t="n">
        <f aca="false">IF(O416&gt;0,O413/O416,"")</f>
        <v>31.1960227826087</v>
      </c>
      <c r="P419" s="31" t="n">
        <f aca="false">IF(P416&gt;0,P413/P416,"")</f>
        <v>-0.356194086956521</v>
      </c>
      <c r="Q419" s="31" t="n">
        <f aca="false">IF(Q416&gt;0,Q413/Q416,"")</f>
        <v>-1.09403826086957</v>
      </c>
      <c r="R419" s="31" t="n">
        <f aca="false">IF(R416&gt;0,R413/R416,"")</f>
        <v>-10.1252208695652</v>
      </c>
      <c r="S419" s="31" t="n">
        <f aca="false">IF(S416&gt;0,S413/S416,"")</f>
        <v>-7.99278130434783</v>
      </c>
      <c r="T419" s="31" t="n">
        <f aca="false">IF(T416&gt;0,T413/T416,"")</f>
        <v>1.83025869565217</v>
      </c>
      <c r="U419" s="31" t="n">
        <f aca="false">IF(U416&gt;0,U413/U416,"")</f>
        <v>1.60257639130435</v>
      </c>
      <c r="V419" s="31" t="n">
        <f aca="false">IF(V416&gt;0,V413/V416,"")</f>
        <v>1.1288097173913</v>
      </c>
      <c r="W419" s="31" t="n">
        <f aca="false">IF(W416&gt;0,W413/W416,"")</f>
        <v>1.0234932826087</v>
      </c>
      <c r="X419" s="31" t="n">
        <f aca="false">IF(X416&gt;0,X413/X416,"")</f>
        <v>2.1721005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346</v>
      </c>
      <c r="D420" s="31" t="str">
        <f aca="false">IF(D416&gt;0,(0+D413+IF(Source_Data!D$6=Inputs!$B$13,Inputs!$B$7,0))/D416,"")</f>
        <v/>
      </c>
      <c r="E420" s="31" t="str">
        <f aca="false">IF(E416&gt;0,(D418+E413+IF(Source_Data!E$6=Inputs!$B$13,Inputs!$B$7,0))/E416,"")</f>
        <v/>
      </c>
      <c r="F420" s="31" t="str">
        <f aca="false">IF(F416&gt;0,(E418+F413+IF(Source_Data!F$6=Inputs!$B$13,Inputs!$B$7,0))/F416,"")</f>
        <v/>
      </c>
      <c r="G420" s="31" t="str">
        <f aca="false">IF(G416&gt;0,(F418+G413+IF(Source_Data!G$6=Inputs!$B$13,Inputs!$B$7,0))/G416,"")</f>
        <v/>
      </c>
      <c r="H420" s="31" t="str">
        <f aca="false">IF(H416&gt;0,(G418+H413+IF(Source_Data!H$6=Inputs!$B$13,Inputs!$B$7,0))/H416,"")</f>
        <v/>
      </c>
      <c r="I420" s="31" t="str">
        <f aca="false">IF(I416&gt;0,(H418+I413+IF(Source_Data!I$6=Inputs!$B$13,Inputs!$B$7,0))/I416,"")</f>
        <v/>
      </c>
      <c r="J420" s="31" t="str">
        <f aca="false">IF(J416&gt;0,(I418+J413+IF(Source_Data!J$6=Inputs!$B$13,Inputs!$B$7,0))/J416,"")</f>
        <v/>
      </c>
      <c r="K420" s="31" t="str">
        <f aca="false">IF(K416&gt;0,(J418+K413+IF(Source_Data!K$6=Inputs!$B$13,Inputs!$B$7,0))/K416,"")</f>
        <v/>
      </c>
      <c r="L420" s="31" t="str">
        <f aca="false">IF(L416&gt;0,(K418+L413+IF(Source_Data!L$6=Inputs!$B$13,Inputs!$B$7,0))/L416,"")</f>
        <v/>
      </c>
      <c r="M420" s="31" t="n">
        <f aca="false">IF(M416&gt;0,(L418+M413+IF(Source_Data!M$6=Inputs!$B$13,Inputs!$B$7,0))/M416,"")</f>
        <v>-11.1784893478261</v>
      </c>
      <c r="N420" s="31" t="n">
        <f aca="false">IF(N416&gt;0,(M418+N413+IF(Source_Data!N$6=Inputs!$B$13,Inputs!$B$7,0))/N416,"")</f>
        <v>-9.84681363043478</v>
      </c>
      <c r="O420" s="31" t="n">
        <f aca="false">IF(O416&gt;0,(N418+O413+IF(Source_Data!O$6=Inputs!$B$13,Inputs!$B$7,0))/O416,"")</f>
        <v>20.3492091521739</v>
      </c>
      <c r="P420" s="31" t="n">
        <f aca="false">IF(P416&gt;0,(O418+P413+IF(Source_Data!P$6=Inputs!$B$13,Inputs!$B$7,0))/P416,"")</f>
        <v>18.9930150652174</v>
      </c>
      <c r="Q420" s="31" t="n">
        <f aca="false">IF(Q416&gt;0,(P418+Q413+IF(Source_Data!Q$6=Inputs!$B$13,Inputs!$B$7,0))/Q416,"")</f>
        <v>16.8989768043478</v>
      </c>
      <c r="R420" s="31" t="n">
        <f aca="false">IF(R416&gt;0,(Q418+R413+IF(Source_Data!R$6=Inputs!$B$13,Inputs!$B$7,0))/R416,"")</f>
        <v>5.77375593478261</v>
      </c>
      <c r="S420" s="31" t="n">
        <f aca="false">IF(S416&gt;0,(R418+S413+IF(Source_Data!S$6=Inputs!$B$13,Inputs!$B$7,0))/S416,"")</f>
        <v>-3.21902536956521</v>
      </c>
      <c r="T420" s="31" t="n">
        <f aca="false">IF(T416&gt;0,(S418+T413+IF(Source_Data!T$6=Inputs!$B$13,Inputs!$B$7,0))/T416,"")</f>
        <v>-2.38876667391304</v>
      </c>
      <c r="U420" s="31" t="n">
        <f aca="false">IF(U416&gt;0,(T418+U413+IF(Source_Data!U$6=Inputs!$B$13,Inputs!$B$7,0))/U416,"")</f>
        <v>-1.78619028260869</v>
      </c>
      <c r="V420" s="31" t="n">
        <f aca="false">IF(V416&gt;0,(U418+V413+IF(Source_Data!V$6=Inputs!$B$13,Inputs!$B$7,0))/V416,"")</f>
        <v>-1.65738056521739</v>
      </c>
      <c r="W420" s="31" t="n">
        <f aca="false">IF(W416&gt;0,(V418+W413+IF(Source_Data!W$6=Inputs!$B$13,Inputs!$B$7,0))/W416,"")</f>
        <v>-1.63388728260869</v>
      </c>
      <c r="X420" s="31" t="n">
        <f aca="false">IF(X416&gt;0,(W418+X413+IF(Source_Data!X$6=Inputs!$B$13,Inputs!$B$7,0))/X416,"")</f>
        <v>-0.461786782608692</v>
      </c>
      <c r="Y420" s="31" t="str">
        <f aca="false">IF(Y416&gt;0,(X418+Y413+IF(Source_Data!Y$6=Inputs!$B$13,Inputs!$B$7,0))/Y416,"")</f>
        <v/>
      </c>
      <c r="Z420" s="31" t="str">
        <f aca="false">IF(Z416&gt;0,(Y418+Z413+IF(Source_Data!Z$6=Inputs!$B$13,Inputs!$B$7,0))/Z416,"")</f>
        <v/>
      </c>
      <c r="AA420" s="31" t="str">
        <f aca="false">IF(AA416&gt;0,(Z418+AA413+IF(Source_Data!AA$6=Inputs!$B$13,Inputs!$B$7,0))/AA416,"")</f>
        <v/>
      </c>
      <c r="AB420" s="31" t="str">
        <f aca="false">IF(AB416&gt;0,(AA418+AB413+IF(Source_Data!AB$6=Inputs!$B$13,Inputs!$B$7,0))/AB416,"")</f>
        <v/>
      </c>
      <c r="AC420" s="31" t="str">
        <f aca="false">IF(AC416&gt;0,(AB418+AC413+IF(Source_Data!AC$6=Inputs!$B$13,Inputs!$B$7,0))/AC416,"")</f>
        <v/>
      </c>
      <c r="AD420" s="31" t="str">
        <f aca="false">IF(AD416&gt;0,(AC418+AD413+IF(Source_Data!AD$6=Inputs!$B$13,Inputs!$B$7,0))/AD416,"")</f>
        <v/>
      </c>
      <c r="AE420" s="31" t="str">
        <f aca="false">IF(AE416&gt;0,(AD418+AE413+IF(Source_Data!AE$6=Inputs!$B$13,Inputs!$B$7,0))/AE416,"")</f>
        <v/>
      </c>
      <c r="AF420" s="31" t="str">
        <f aca="false">IF(AF416&gt;0,(AE418+AF413+IF(Source_Data!AF$6=Inputs!$B$13,Inputs!$B$7,0))/AF416,"")</f>
        <v/>
      </c>
      <c r="AG420" s="31" t="str">
        <f aca="false">IF(AG416&gt;0,(AF418+AG413+IF(Source_Data!AG$6=Inputs!$B$13,Inputs!$B$7,0))/AG416,"")</f>
        <v/>
      </c>
      <c r="AH420" s="31" t="str">
        <f aca="false">IF(AH416&gt;0,(AG418+AH413+IF(Source_Data!AH$6=Inputs!$B$13,Inputs!$B$7,0))/AH416,"")</f>
        <v/>
      </c>
      <c r="AI420" s="31" t="str">
        <f aca="false">IF(AI416&gt;0,(AH418+AI413+IF(Source_Data!AI$6=Inputs!$B$13,Inputs!$B$7,0))/AI416,"")</f>
        <v/>
      </c>
      <c r="AJ420" s="31" t="str">
        <f aca="false">IF(AJ416&gt;0,(AI418+AJ413+IF(Source_Data!AJ$6=Inputs!$B$13,Inputs!$B$7,0))/AJ416,"")</f>
        <v/>
      </c>
      <c r="AK420" s="31" t="str">
        <f aca="false">IF(AK416&gt;0,(AJ418+AK413+IF(Source_Data!AK$6=Inputs!$B$13,Inputs!$B$7,0))/AK416,"")</f>
        <v/>
      </c>
      <c r="AL420" s="31" t="str">
        <f aca="false">IF(AL416&gt;0,(AK418+AL413+IF(Source_Data!AL$6=Inputs!$B$13,Inputs!$B$7,0))/AL416,"")</f>
        <v/>
      </c>
      <c r="AM420" s="31" t="str">
        <f aca="false">IF(AM416&gt;0,(AL418+AM413+IF(Source_Data!AM$6=Inputs!$B$13,Inputs!$B$7,0))/AM416,"")</f>
        <v/>
      </c>
      <c r="AN420" s="31" t="str">
        <f aca="false">IF(AN416&gt;0,(AM418+AN413+IF(Source_Data!AN$6=Inputs!$B$13,Inputs!$B$7,0))/AN416,"")</f>
        <v/>
      </c>
      <c r="AO420" s="31" t="str">
        <f aca="false">IF(AO416&gt;0,(AN418+AO413+IF(Source_Data!AO$6=Inputs!$B$13,Inputs!$B$7,0))/AO416,"")</f>
        <v/>
      </c>
      <c r="AP420" s="31" t="str">
        <f aca="false">IF(AP416&gt;0,(AO418+AP413+IF(Source_Data!AP$6=Inputs!$B$13,Inputs!$B$7,0))/AP416,"")</f>
        <v/>
      </c>
      <c r="AQ420" s="31" t="str">
        <f aca="false">IF(AQ416&gt;0,(AP418+AQ413+IF(Source_Data!AQ$6=Inputs!$B$13,Inputs!$B$7,0))/AQ416,"")</f>
        <v/>
      </c>
      <c r="AR420" s="31" t="str">
        <f aca="false">IF(AR416&gt;0,(AQ418+AR413+IF(Source_Data!AR$6=Inputs!$B$13,Inputs!$B$7,0))/AR416,"")</f>
        <v/>
      </c>
      <c r="AS420" s="31" t="str">
        <f aca="false">IF(AS416&gt;0,(AR418+AS413+IF(Source_Data!AS$6=Inputs!$B$13,Inputs!$B$7,0))/AS416,"")</f>
        <v/>
      </c>
      <c r="AT420" s="31" t="str">
        <f aca="false">IF(AT416&gt;0,(AS418+AT413+IF(Source_Data!AT$6=Inputs!$B$13,Inputs!$B$7,0))/AT416,"")</f>
        <v/>
      </c>
      <c r="AU420" s="31" t="str">
        <f aca="false">IF(AU416&gt;0,(AT418+AU413+IF(Source_Data!AU$6=Inputs!$B$13,Inputs!$B$7,0))/AU416,"")</f>
        <v/>
      </c>
      <c r="AV420" s="31" t="str">
        <f aca="false">IF(AV416&gt;0,(AU418+AV413+IF(Source_Data!AV$6=Inputs!$B$13,Inputs!$B$7,0))/AV416,"")</f>
        <v/>
      </c>
      <c r="AW420" s="31" t="str">
        <f aca="false">IF(AW416&gt;0,(AV418+AW413+IF(Source_Data!AW$6=Inputs!$B$13,Inputs!$B$7,0))/AW416,"")</f>
        <v/>
      </c>
      <c r="AX420" s="31" t="str">
        <f aca="false">IF(AX416&gt;0,(AW418+AX413+IF(Source_Data!AX$6=Inputs!$B$13,Inputs!$B$7,0))/AX416,"")</f>
        <v/>
      </c>
      <c r="AY420" s="31" t="str">
        <f aca="false">IF(AY416&gt;0,(AX418+AY413+IF(Source_Data!AY$6=Inputs!$B$13,Inputs!$B$7,0))/AY416,"")</f>
        <v/>
      </c>
      <c r="AZ420" s="31" t="str">
        <f aca="false">IF(AZ416&gt;0,(AY418+AZ413+IF(Source_Data!AZ$6=Inputs!$B$13,Inputs!$B$7,0))/AZ416,"")</f>
        <v/>
      </c>
      <c r="BA420" s="31" t="str">
        <f aca="false">IF(BA416&gt;0,(AZ418+BA413+IF(Source_Data!BA$6=Inputs!$B$13,Inputs!$B$7,0))/BA416,"")</f>
        <v/>
      </c>
      <c r="BB420" s="31" t="str">
        <f aca="false">IF(BB416&gt;0,(BA418+BB413+IF(Source_Data!BB$6=Inputs!$B$13,Inputs!$B$7,0))/BB416,"")</f>
        <v/>
      </c>
      <c r="BC420" s="31" t="str">
        <f aca="false">IF(BC416&gt;0,(BB418+BC413+IF(Source_Data!BC$6=Inputs!$B$13,Inputs!$B$7,0))/BC416,"")</f>
        <v/>
      </c>
      <c r="BD420" s="31" t="str">
        <f aca="false">IF(BD416&gt;0,(BC418+BD413+IF(Source_Data!BD$6=Inputs!$B$13,Inputs!$B$7,0))/BD416,"")</f>
        <v/>
      </c>
      <c r="BE420" s="31" t="str">
        <f aca="false">IF(BE416&gt;0,(BD418+BE413+IF(Source_Data!BE$6=Inputs!$B$13,Inputs!$B$7,0))/BE416,"")</f>
        <v/>
      </c>
      <c r="BF420" s="31" t="str">
        <f aca="false">IF(BF416&gt;0,(BE418+BF413+IF(Source_Data!BF$6=Inputs!$B$13,Inputs!$B$7,0))/BF416,"")</f>
        <v/>
      </c>
      <c r="BG420" s="31" t="str">
        <f aca="false">IF(BG416&gt;0,(BF418+BG413+IF(Source_Data!BG$6=Inputs!$B$13,Inputs!$B$7,0))/BG416,"")</f>
        <v/>
      </c>
      <c r="BH420" s="31" t="str">
        <f aca="false">IF(BH416&gt;0,(BG418+BH413+IF(Source_Data!BH$6=Inputs!$B$13,Inputs!$B$7,0))/BH416,"")</f>
        <v/>
      </c>
      <c r="BI420" s="31" t="str">
        <f aca="false">IF(BI416&gt;0,(BH418+BI413+IF(Source_Data!BI$6=Inputs!$B$13,Inputs!$B$7,0))/BI416,"")</f>
        <v/>
      </c>
      <c r="BJ420" s="31" t="str">
        <f aca="false">IF(BJ416&gt;0,(BI418+BJ413+IF(Source_Data!BJ$6=Inputs!$B$13,Inputs!$B$7,0))/BJ416,"")</f>
        <v/>
      </c>
      <c r="BK420" s="31" t="str">
        <f aca="false">IF(BK416&gt;0,(BJ418+BK413+IF(Source_Data!BK$6=Inputs!$B$13,Inputs!$B$7,0))/BK416,"")</f>
        <v/>
      </c>
    </row>
    <row r="422" customFormat="false" ht="15" hidden="false" customHeight="false" outlineLevel="0" collapsed="false">
      <c r="A422" s="2" t="s">
        <v>222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347</v>
      </c>
      <c r="B423" s="41" t="n">
        <f aca="false">SUMPRODUCT(D413:BK413,Project_CF!$D$15:$BK$15)</f>
        <v>133.959128717337</v>
      </c>
    </row>
    <row r="424" customFormat="false" ht="15" hidden="false" customHeight="false" outlineLevel="0" collapsed="false">
      <c r="A424" s="2" t="s">
        <v>164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348</v>
      </c>
      <c r="B425" s="35" t="n">
        <f aca="false">INDEX(Project_CF!$D$6:$BK$6,MATCH(MIN(D414:BK414),D414:BK414,0))</f>
        <v>24</v>
      </c>
    </row>
    <row r="426" customFormat="false" ht="15" hidden="false" customHeight="false" outlineLevel="0" collapsed="false">
      <c r="A426" s="2" t="s">
        <v>349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350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351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352</v>
      </c>
      <c r="B429" s="41" t="n">
        <f aca="false">MIN(D418:BK418)</f>
        <v>-175.065784375</v>
      </c>
    </row>
    <row r="430" customFormat="false" ht="15" hidden="false" customHeight="false" outlineLevel="0" collapsed="false">
      <c r="A430" s="2" t="s">
        <v>353</v>
      </c>
      <c r="B430" s="43" t="n">
        <f aca="false">MIN(D419:BK419)</f>
        <v>-10.1252208695652</v>
      </c>
    </row>
    <row r="431" customFormat="false" ht="15" hidden="false" customHeight="false" outlineLevel="0" collapsed="false">
      <c r="A431" s="2" t="s">
        <v>354</v>
      </c>
      <c r="B431" s="35" t="n">
        <f aca="false">COUNTIF(D419:BK419,"&lt;"&amp;Inputs!$B$44)</f>
        <v>7</v>
      </c>
    </row>
    <row r="432" customFormat="false" ht="15" hidden="false" customHeight="false" outlineLevel="0" collapsed="false">
      <c r="A432" s="2" t="s">
        <v>355</v>
      </c>
      <c r="B432" s="43" t="n">
        <f aca="false">MIN(D420:BK420)</f>
        <v>-11.1784893478261</v>
      </c>
    </row>
    <row r="433" customFormat="false" ht="15" hidden="false" customHeight="false" outlineLevel="0" collapsed="false">
      <c r="A433" s="2" t="s">
        <v>356</v>
      </c>
      <c r="B433" s="35" t="n">
        <f aca="false">COUNTIF(D420:BK420,"&lt;"&amp;Inputs!$B$44)</f>
        <v>8</v>
      </c>
    </row>
    <row r="436" customFormat="false" ht="15" hidden="false" customHeight="false" outlineLevel="0" collapsed="false">
      <c r="A436" s="8" t="s">
        <v>371</v>
      </c>
    </row>
    <row r="437" customFormat="false" ht="15" hidden="false" customHeight="false" outlineLevel="0" collapsed="false">
      <c r="A437" s="3" t="s">
        <v>333</v>
      </c>
      <c r="B437" s="45" t="n">
        <v>1</v>
      </c>
    </row>
    <row r="438" customFormat="false" ht="15" hidden="false" customHeight="false" outlineLevel="0" collapsed="false">
      <c r="A438" s="3" t="s">
        <v>334</v>
      </c>
      <c r="B438" s="45" t="n">
        <v>0</v>
      </c>
    </row>
    <row r="439" customFormat="false" ht="15" hidden="false" customHeight="false" outlineLevel="0" collapsed="false">
      <c r="A439" s="3" t="s">
        <v>335</v>
      </c>
      <c r="B439" s="45" t="n">
        <v>1</v>
      </c>
    </row>
    <row r="440" customFormat="false" ht="15" hidden="false" customHeight="false" outlineLevel="0" collapsed="false">
      <c r="A440" s="3" t="s">
        <v>336</v>
      </c>
      <c r="B440" s="45" t="n">
        <v>4</v>
      </c>
    </row>
    <row r="441" customFormat="false" ht="15" hidden="false" customHeight="false" outlineLevel="0" collapsed="false">
      <c r="A441" s="3" t="s">
        <v>337</v>
      </c>
      <c r="B441" s="45" t="n">
        <v>0</v>
      </c>
    </row>
    <row r="442" customFormat="false" ht="15" hidden="false" customHeight="false" outlineLevel="0" collapsed="false">
      <c r="A442" s="3" t="s">
        <v>338</v>
      </c>
      <c r="B442" s="3" t="n">
        <f aca="false">Inputs!$B$14+3+3*$B$438</f>
        <v>45</v>
      </c>
    </row>
    <row r="443" customFormat="false" ht="15" hidden="false" customHeight="false" outlineLevel="0" collapsed="false">
      <c r="A443" s="3" t="s">
        <v>339</v>
      </c>
      <c r="D443" s="33" t="n">
        <f aca="false">Source_Data!D$7+IF($B$441=1,IF(Source_Data!D$6=Inputs!$B$14,Source_Data!$C$8,0),Source_Data!D$8)</f>
        <v>0</v>
      </c>
      <c r="E443" s="33" t="n">
        <f aca="false">Source_Data!E$7+IF($B$441=1,IF(Source_Data!E$6=Inputs!$B$14,Source_Data!$C$8,0),Source_Data!E$8)</f>
        <v>0</v>
      </c>
      <c r="F443" s="33" t="n">
        <f aca="false">Source_Data!F$7+IF($B$441=1,IF(Source_Data!F$6=Inputs!$B$14,Source_Data!$C$8,0),Source_Data!F$8)</f>
        <v>15.1392375</v>
      </c>
      <c r="G443" s="33" t="n">
        <f aca="false">Source_Data!G$7+IF($B$441=1,IF(Source_Data!G$6=Inputs!$B$14,Source_Data!$C$8,0),Source_Data!G$8)</f>
        <v>30.278475</v>
      </c>
      <c r="H443" s="33" t="n">
        <f aca="false">Source_Data!H$7+IF($B$441=1,IF(Source_Data!H$6=Inputs!$B$14,Source_Data!$C$8,0),Source_Data!H$8)</f>
        <v>46.51200625</v>
      </c>
      <c r="I443" s="33" t="n">
        <f aca="false">Source_Data!I$7+IF($B$441=1,IF(Source_Data!I$6=Inputs!$B$14,Source_Data!$C$8,0),Source_Data!I$8)</f>
        <v>62.7455375</v>
      </c>
      <c r="J443" s="33" t="n">
        <f aca="false">Source_Data!J$7+IF($B$441=1,IF(Source_Data!J$6=Inputs!$B$14,Source_Data!$C$8,0),Source_Data!J$8)</f>
        <v>62.3657</v>
      </c>
      <c r="K443" s="33" t="n">
        <f aca="false">Source_Data!K$7+IF($B$441=1,IF(Source_Data!K$6=Inputs!$B$14,Source_Data!$C$8,0),Source_Data!K$8)</f>
        <v>63.473559375</v>
      </c>
      <c r="L443" s="33" t="n">
        <f aca="false">Source_Data!L$7+IF($B$441=1,IF(Source_Data!L$6=Inputs!$B$14,Source_Data!$C$8,0),Source_Data!L$8)</f>
        <v>80.3288484375</v>
      </c>
      <c r="M443" s="33" t="n">
        <f aca="false">Source_Data!M$7+IF($B$441=1,IF(Source_Data!M$6=Inputs!$B$14,Source_Data!$C$8,0),Source_Data!M$8)</f>
        <v>495.2538375</v>
      </c>
      <c r="N443" s="33" t="n">
        <f aca="false">Source_Data!N$7+IF($B$441=1,IF(Source_Data!N$6=Inputs!$B$14,Source_Data!$C$8,0),Source_Data!N$8)</f>
        <v>185.57775</v>
      </c>
      <c r="O443" s="33" t="n">
        <f aca="false">Source_Data!O$7+IF($B$441=1,IF(Source_Data!O$6=Inputs!$B$14,Source_Data!$C$8,0),Source_Data!O$8)</f>
        <v>176.534</v>
      </c>
      <c r="P443" s="33" t="n">
        <f aca="false">Source_Data!P$7+IF($B$441=1,IF(Source_Data!P$6=Inputs!$B$14,Source_Data!$C$8,0),Source_Data!P$8)</f>
        <v>97.31075</v>
      </c>
      <c r="Q443" s="33" t="n">
        <f aca="false">Source_Data!Q$7+IF($B$441=1,IF(Source_Data!Q$6=Inputs!$B$14,Source_Data!$C$8,0),Source_Data!Q$8)</f>
        <v>71.30996875</v>
      </c>
      <c r="R443" s="33" t="n">
        <f aca="false">Source_Data!R$7+IF($B$441=1,IF(Source_Data!R$6=Inputs!$B$14,Source_Data!$C$8,0),Source_Data!R$8)</f>
        <v>71.30996875</v>
      </c>
      <c r="S443" s="33" t="n">
        <f aca="false">Source_Data!S$7+IF($B$441=1,IF(Source_Data!S$6=Inputs!$B$14,Source_Data!$C$8,0),Source_Data!S$8)</f>
        <v>68.037035625</v>
      </c>
      <c r="T443" s="33" t="n">
        <f aca="false">Source_Data!T$7+IF($B$441=1,IF(Source_Data!T$6=Inputs!$B$14,Source_Data!$C$8,0),Source_Data!T$8)</f>
        <v>61.2266396875</v>
      </c>
      <c r="U443" s="33" t="n">
        <f aca="false">Source_Data!U$7+IF($B$441=1,IF(Source_Data!U$6=Inputs!$B$14,Source_Data!$C$8,0),Source_Data!U$8)</f>
        <v>59.7127159375</v>
      </c>
      <c r="V443" s="33" t="n">
        <f aca="false">Source_Data!V$7+IF($B$441=1,IF(Source_Data!V$6=Inputs!$B$14,Source_Data!$C$8,0),Source_Data!V$8)</f>
        <v>53.7239446875</v>
      </c>
      <c r="W443" s="33" t="n">
        <f aca="false">Source_Data!W$7+IF($B$441=1,IF(Source_Data!W$6=Inputs!$B$14,Source_Data!$C$8,0),Source_Data!W$8)</f>
        <v>49.3829446875</v>
      </c>
      <c r="X443" s="33" t="n">
        <f aca="false">Source_Data!X$7+IF($B$441=1,IF(Source_Data!X$6=Inputs!$B$14,Source_Data!$C$8,0),Source_Data!X$8)</f>
        <v>49.3829446875</v>
      </c>
      <c r="Y443" s="33" t="n">
        <f aca="false">Source_Data!Y$7+IF($B$441=1,IF(Source_Data!Y$6=Inputs!$B$14,Source_Data!$C$8,0),Source_Data!Y$8)</f>
        <v>42.1027259375</v>
      </c>
      <c r="Z443" s="33" t="n">
        <f aca="false">Source_Data!Z$7+IF($B$441=1,IF(Source_Data!Z$6=Inputs!$B$14,Source_Data!$C$8,0),Source_Data!Z$8)</f>
        <v>42.1027259375</v>
      </c>
      <c r="AA443" s="33" t="n">
        <f aca="false">Source_Data!AA$7+IF($B$441=1,IF(Source_Data!AA$6=Inputs!$B$14,Source_Data!$C$8,0),Source_Data!AA$8)</f>
        <v>42.1027259375</v>
      </c>
      <c r="AB443" s="33" t="n">
        <f aca="false">Source_Data!AB$7+IF($B$441=1,IF(Source_Data!AB$6=Inputs!$B$14,Source_Data!$C$8,0),Source_Data!AB$8)</f>
        <v>36.3147259375</v>
      </c>
      <c r="AC443" s="33" t="n">
        <f aca="false">Source_Data!AC$7+IF($B$441=1,IF(Source_Data!AC$6=Inputs!$B$14,Source_Data!$C$8,0),Source_Data!AC$8)</f>
        <v>33.0386275</v>
      </c>
      <c r="AD443" s="33" t="n">
        <f aca="false">Source_Data!AD$7+IF($B$441=1,IF(Source_Data!AD$6=Inputs!$B$14,Source_Data!$C$8,0),Source_Data!AD$8)</f>
        <v>29.43017125</v>
      </c>
      <c r="AE443" s="33" t="n">
        <f aca="false">Source_Data!AE$7+IF($B$441=1,IF(Source_Data!AE$6=Inputs!$B$14,Source_Data!$C$8,0),Source_Data!AE$8)</f>
        <v>25.08917125</v>
      </c>
      <c r="AF443" s="33" t="n">
        <f aca="false">Source_Data!AF$7+IF($B$441=1,IF(Source_Data!AF$6=Inputs!$B$14,Source_Data!$C$8,0),Source_Data!AF$8)</f>
        <v>25.08917125</v>
      </c>
      <c r="AG443" s="33" t="n">
        <f aca="false">Source_Data!AG$7+IF($B$441=1,IF(Source_Data!AG$6=Inputs!$B$14,Source_Data!$C$8,0),Source_Data!AG$8)</f>
        <v>25.08917125</v>
      </c>
      <c r="AH443" s="33" t="n">
        <f aca="false">Source_Data!AH$7+IF($B$441=1,IF(Source_Data!AH$6=Inputs!$B$14,Source_Data!$C$8,0),Source_Data!AH$8)</f>
        <v>25.08917125</v>
      </c>
      <c r="AI443" s="33" t="n">
        <f aca="false">Source_Data!AI$7+IF($B$441=1,IF(Source_Data!AI$6=Inputs!$B$14,Source_Data!$C$8,0),Source_Data!AI$8)</f>
        <v>25.08917125</v>
      </c>
      <c r="AJ443" s="33" t="n">
        <f aca="false">Source_Data!AJ$7+IF($B$441=1,IF(Source_Data!AJ$6=Inputs!$B$14,Source_Data!$C$8,0),Source_Data!AJ$8)</f>
        <v>25.08917125</v>
      </c>
      <c r="AK443" s="33" t="n">
        <f aca="false">Source_Data!AK$7+IF($B$441=1,IF(Source_Data!AK$6=Inputs!$B$14,Source_Data!$C$8,0),Source_Data!AK$8)</f>
        <v>22.905105625</v>
      </c>
      <c r="AL443" s="33" t="n">
        <f aca="false">Source_Data!AL$7+IF($B$441=1,IF(Source_Data!AL$6=Inputs!$B$14,Source_Data!$C$8,0),Source_Data!AL$8)</f>
        <v>22.905105625</v>
      </c>
      <c r="AM443" s="33" t="n">
        <f aca="false">Source_Data!AM$7+IF($B$441=1,IF(Source_Data!AM$6=Inputs!$B$14,Source_Data!$C$8,0),Source_Data!AM$8)</f>
        <v>18.739554375</v>
      </c>
      <c r="AN443" s="33" t="n">
        <f aca="false">Source_Data!AN$7+IF($B$441=1,IF(Source_Data!AN$6=Inputs!$B$14,Source_Data!$C$8,0),Source_Data!AN$8)</f>
        <v>9.6261675</v>
      </c>
      <c r="AO443" s="33" t="n">
        <f aca="false">Source_Data!AO$7+IF($B$441=1,IF(Source_Data!AO$6=Inputs!$B$14,Source_Data!$C$8,0),Source_Data!AO$8)</f>
        <v>3.5704725</v>
      </c>
      <c r="AP443" s="33" t="n">
        <f aca="false">Source_Data!AP$7+IF($B$441=1,IF(Source_Data!AP$6=Inputs!$B$14,Source_Data!$C$8,0),Source_Data!AP$8)</f>
        <v>0</v>
      </c>
      <c r="AQ443" s="33" t="n">
        <f aca="false">Source_Data!AQ$7+IF($B$441=1,IF(Source_Data!AQ$6=Inputs!$B$14,Source_Data!$C$8,0),Source_Data!AQ$8)</f>
        <v>0</v>
      </c>
      <c r="AR443" s="33" t="n">
        <f aca="false">Source_Data!AR$7+IF($B$441=1,IF(Source_Data!AR$6=Inputs!$B$14,Source_Data!$C$8,0),Source_Data!AR$8)</f>
        <v>0</v>
      </c>
      <c r="AS443" s="33" t="n">
        <f aca="false">Source_Data!AS$7+IF($B$441=1,IF(Source_Data!AS$6=Inputs!$B$14,Source_Data!$C$8,0),Source_Data!AS$8)</f>
        <v>0</v>
      </c>
      <c r="AT443" s="33" t="n">
        <f aca="false">Source_Data!AT$7+IF($B$441=1,IF(Source_Data!AT$6=Inputs!$B$14,Source_Data!$C$8,0),Source_Data!AT$8)</f>
        <v>0</v>
      </c>
      <c r="AU443" s="33" t="n">
        <f aca="false">Source_Data!AU$7+IF($B$441=1,IF(Source_Data!AU$6=Inputs!$B$14,Source_Data!$C$8,0),Source_Data!AU$8)</f>
        <v>0</v>
      </c>
      <c r="AV443" s="33" t="n">
        <f aca="false">Source_Data!AV$7+IF($B$441=1,IF(Source_Data!AV$6=Inputs!$B$14,Source_Data!$C$8,0),Source_Data!AV$8)</f>
        <v>0</v>
      </c>
      <c r="AW443" s="33" t="n">
        <f aca="false">Source_Data!AW$7+IF($B$441=1,IF(Source_Data!AW$6=Inputs!$B$14,Source_Data!$C$8,0),Source_Data!AW$8)</f>
        <v>0</v>
      </c>
      <c r="AX443" s="33" t="n">
        <f aca="false">Source_Data!AX$7+IF($B$441=1,IF(Source_Data!AX$6=Inputs!$B$14,Source_Data!$C$8,0),Source_Data!AX$8)</f>
        <v>0</v>
      </c>
      <c r="AY443" s="33" t="n">
        <f aca="false">Source_Data!AY$7+IF($B$441=1,IF(Source_Data!AY$6=Inputs!$B$14,Source_Data!$C$8,0),Source_Data!AY$8)</f>
        <v>0</v>
      </c>
      <c r="AZ443" s="33" t="n">
        <f aca="false">Source_Data!AZ$7+IF($B$441=1,IF(Source_Data!AZ$6=Inputs!$B$14,Source_Data!$C$8,0),Source_Data!AZ$8)</f>
        <v>0</v>
      </c>
      <c r="BA443" s="33" t="n">
        <f aca="false">Source_Data!BA$7+IF($B$441=1,IF(Source_Data!BA$6=Inputs!$B$14,Source_Data!$C$8,0),Source_Data!BA$8)</f>
        <v>0</v>
      </c>
      <c r="BB443" s="33" t="n">
        <f aca="false">Source_Data!BB$7+IF($B$441=1,IF(Source_Data!BB$6=Inputs!$B$14,Source_Data!$C$8,0),Source_Data!BB$8)</f>
        <v>0</v>
      </c>
      <c r="BC443" s="33" t="n">
        <f aca="false">Source_Data!BC$7+IF($B$441=1,IF(Source_Data!BC$6=Inputs!$B$14,Source_Data!$C$8,0),Source_Data!BC$8)</f>
        <v>0</v>
      </c>
      <c r="BD443" s="33" t="n">
        <f aca="false">Source_Data!BD$7+IF($B$441=1,IF(Source_Data!BD$6=Inputs!$B$14,Source_Data!$C$8,0),Source_Data!BD$8)</f>
        <v>0</v>
      </c>
      <c r="BE443" s="33" t="n">
        <f aca="false">Source_Data!BE$7+IF($B$441=1,IF(Source_Data!BE$6=Inputs!$B$14,Source_Data!$C$8,0),Source_Data!BE$8)</f>
        <v>0</v>
      </c>
      <c r="BF443" s="33" t="n">
        <f aca="false">Source_Data!BF$7+IF($B$441=1,IF(Source_Data!BF$6=Inputs!$B$14,Source_Data!$C$8,0),Source_Data!BF$8)</f>
        <v>0</v>
      </c>
      <c r="BG443" s="33" t="n">
        <f aca="false">Source_Data!BG$7+IF($B$441=1,IF(Source_Data!BG$6=Inputs!$B$14,Source_Data!$C$8,0),Source_Data!BG$8)</f>
        <v>0</v>
      </c>
      <c r="BH443" s="33" t="n">
        <f aca="false">Source_Data!BH$7+IF($B$441=1,IF(Source_Data!BH$6=Inputs!$B$14,Source_Data!$C$8,0),Source_Data!BH$8)</f>
        <v>0</v>
      </c>
      <c r="BI443" s="33" t="n">
        <f aca="false">Source_Data!BI$7+IF($B$441=1,IF(Source_Data!BI$6=Inputs!$B$14,Source_Data!$C$8,0),Source_Data!BI$8)</f>
        <v>0</v>
      </c>
      <c r="BJ443" s="33" t="n">
        <f aca="false">Source_Data!BJ$7+IF($B$441=1,IF(Source_Data!BJ$6=Inputs!$B$14,Source_Data!$C$8,0),Source_Data!BJ$8)</f>
        <v>0</v>
      </c>
      <c r="BK443" s="33" t="n">
        <f aca="false">Source_Data!BK$7+IF($B$441=1,IF(Source_Data!BK$6=Inputs!$B$14,Source_Data!$C$8,0),Source_Data!BK$8)</f>
        <v>0</v>
      </c>
    </row>
    <row r="444" customFormat="false" ht="15" hidden="false" customHeight="false" outlineLevel="0" collapsed="false">
      <c r="A444" s="3" t="s">
        <v>215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340</v>
      </c>
      <c r="D445" s="33" t="n">
        <f aca="false">Source_Data!D$9+Source_Data!D$10*IF(Source_Data!$C$10=0,0,MAX(0,Inputs!$B$20*Inputs!$B$23*$B$437-Inputs!$B$21)/Source_Data!$C$10)</f>
        <v>91.25</v>
      </c>
      <c r="E445" s="33" t="n">
        <f aca="false">Source_Data!E$9+Source_Data!E$10*IF(Source_Data!$C$10=0,0,MAX(0,Inputs!$B$20*Inputs!$B$23*$B$437-Inputs!$B$21)/Source_Data!$C$10)</f>
        <v>11.25</v>
      </c>
      <c r="F445" s="33" t="n">
        <f aca="false">Source_Data!F$9+Source_Data!F$10*IF(Source_Data!$C$10=0,0,MAX(0,Inputs!$B$20*Inputs!$B$23*$B$437-Inputs!$B$21)/Source_Data!$C$10)</f>
        <v>11.25</v>
      </c>
      <c r="G445" s="33" t="n">
        <f aca="false">Source_Data!G$9+Source_Data!G$10*IF(Source_Data!$C$10=0,0,MAX(0,Inputs!$B$20*Inputs!$B$23*$B$437-Inputs!$B$21)/Source_Data!$C$10)</f>
        <v>11.25</v>
      </c>
      <c r="H445" s="33" t="n">
        <f aca="false">Source_Data!H$9+Source_Data!H$10*IF(Source_Data!$C$10=0,0,MAX(0,Inputs!$B$20*Inputs!$B$23*$B$437-Inputs!$B$21)/Source_Data!$C$10)</f>
        <v>22.5</v>
      </c>
      <c r="I445" s="33" t="n">
        <f aca="false">Source_Data!I$9+Source_Data!I$10*IF(Source_Data!$C$10=0,0,MAX(0,Inputs!$B$20*Inputs!$B$23*$B$437-Inputs!$B$21)/Source_Data!$C$10)</f>
        <v>22.5</v>
      </c>
      <c r="J445" s="33" t="n">
        <f aca="false">Source_Data!J$9+Source_Data!J$10*IF(Source_Data!$C$10=0,0,MAX(0,Inputs!$B$20*Inputs!$B$23*$B$437-Inputs!$B$21)/Source_Data!$C$10)</f>
        <v>22.5</v>
      </c>
      <c r="K445" s="33" t="n">
        <f aca="false">Source_Data!K$9+Source_Data!K$10*IF(Source_Data!$C$10=0,0,MAX(0,Inputs!$B$20*Inputs!$B$23*$B$437-Inputs!$B$21)/Source_Data!$C$10)</f>
        <v>22.5</v>
      </c>
      <c r="L445" s="33" t="n">
        <f aca="false">Source_Data!L$9+Source_Data!L$10*IF(Source_Data!$C$10=0,0,MAX(0,Inputs!$B$20*Inputs!$B$23*$B$437-Inputs!$B$21)/Source_Data!$C$10)</f>
        <v>33.75</v>
      </c>
      <c r="M445" s="33" t="n">
        <f aca="false">Source_Data!M$9+Source_Data!M$10*IF(Source_Data!$C$10=0,0,MAX(0,Inputs!$B$20*Inputs!$B$23*$B$437-Inputs!$B$21)/Source_Data!$C$10)</f>
        <v>33.75</v>
      </c>
      <c r="N445" s="33" t="n">
        <f aca="false">Source_Data!N$9+Source_Data!N$10*IF(Source_Data!$C$10=0,0,MAX(0,Inputs!$B$20*Inputs!$B$23*$B$437-Inputs!$B$21)/Source_Data!$C$10)</f>
        <v>33.75</v>
      </c>
      <c r="O445" s="33" t="n">
        <f aca="false">Source_Data!O$9+Source_Data!O$10*IF(Source_Data!$C$10=0,0,MAX(0,Inputs!$B$20*Inputs!$B$23*$B$437-Inputs!$B$21)/Source_Data!$C$10)</f>
        <v>33.75</v>
      </c>
      <c r="P445" s="33" t="n">
        <f aca="false">Source_Data!P$9+Source_Data!P$10*IF(Source_Data!$C$10=0,0,MAX(0,Inputs!$B$20*Inputs!$B$23*$B$437-Inputs!$B$21)/Source_Data!$C$10)</f>
        <v>45</v>
      </c>
      <c r="Q445" s="33" t="n">
        <f aca="false">Source_Data!Q$9+Source_Data!Q$10*IF(Source_Data!$C$10=0,0,MAX(0,Inputs!$B$20*Inputs!$B$23*$B$437-Inputs!$B$21)/Source_Data!$C$10)</f>
        <v>45</v>
      </c>
      <c r="R445" s="33" t="n">
        <f aca="false">Source_Data!R$9+Source_Data!R$10*IF(Source_Data!$C$10=0,0,MAX(0,Inputs!$B$20*Inputs!$B$23*$B$437-Inputs!$B$21)/Source_Data!$C$10)</f>
        <v>45</v>
      </c>
      <c r="S445" s="33" t="n">
        <f aca="false">Source_Data!S$9+Source_Data!S$10*IF(Source_Data!$C$10=0,0,MAX(0,Inputs!$B$20*Inputs!$B$23*$B$437-Inputs!$B$21)/Source_Data!$C$10)</f>
        <v>45</v>
      </c>
      <c r="T445" s="33" t="n">
        <f aca="false">Source_Data!T$9+Source_Data!T$10*IF(Source_Data!$C$10=0,0,MAX(0,Inputs!$B$20*Inputs!$B$23*$B$437-Inputs!$B$21)/Source_Data!$C$10)</f>
        <v>45</v>
      </c>
      <c r="U445" s="33" t="n">
        <f aca="false">Source_Data!U$9+Source_Data!U$10*IF(Source_Data!$C$10=0,0,MAX(0,Inputs!$B$20*Inputs!$B$23*$B$437-Inputs!$B$21)/Source_Data!$C$10)</f>
        <v>45</v>
      </c>
      <c r="V445" s="33" t="n">
        <f aca="false">Source_Data!V$9+Source_Data!V$10*IF(Source_Data!$C$10=0,0,MAX(0,Inputs!$B$20*Inputs!$B$23*$B$437-Inputs!$B$21)/Source_Data!$C$10)</f>
        <v>45</v>
      </c>
      <c r="W445" s="33" t="n">
        <f aca="false">Source_Data!W$9+Source_Data!W$10*IF(Source_Data!$C$10=0,0,MAX(0,Inputs!$B$20*Inputs!$B$23*$B$437-Inputs!$B$21)/Source_Data!$C$10)</f>
        <v>45</v>
      </c>
      <c r="X445" s="33" t="n">
        <f aca="false">Source_Data!X$9+Source_Data!X$10*IF(Source_Data!$C$10=0,0,MAX(0,Inputs!$B$20*Inputs!$B$23*$B$437-Inputs!$B$21)/Source_Data!$C$10)</f>
        <v>22.5</v>
      </c>
      <c r="Y445" s="33" t="n">
        <f aca="false">Source_Data!Y$9+Source_Data!Y$10*IF(Source_Data!$C$10=0,0,MAX(0,Inputs!$B$20*Inputs!$B$23*$B$437-Inputs!$B$21)/Source_Data!$C$10)</f>
        <v>22.5</v>
      </c>
      <c r="Z445" s="33" t="n">
        <f aca="false">Source_Data!Z$9+Source_Data!Z$10*IF(Source_Data!$C$10=0,0,MAX(0,Inputs!$B$20*Inputs!$B$23*$B$437-Inputs!$B$21)/Source_Data!$C$10)</f>
        <v>22.5</v>
      </c>
      <c r="AA445" s="33" t="n">
        <f aca="false">Source_Data!AA$9+Source_Data!AA$10*IF(Source_Data!$C$10=0,0,MAX(0,Inputs!$B$20*Inputs!$B$23*$B$437-Inputs!$B$21)/Source_Data!$C$10)</f>
        <v>22.5</v>
      </c>
      <c r="AB445" s="33" t="n">
        <f aca="false">Source_Data!AB$9+Source_Data!AB$10*IF(Source_Data!$C$10=0,0,MAX(0,Inputs!$B$20*Inputs!$B$23*$B$437-Inputs!$B$21)/Source_Data!$C$10)</f>
        <v>0</v>
      </c>
      <c r="AC445" s="33" t="n">
        <f aca="false">Source_Data!AC$9+Source_Data!AC$10*IF(Source_Data!$C$10=0,0,MAX(0,Inputs!$B$20*Inputs!$B$23*$B$437-Inputs!$B$21)/Source_Data!$C$10)</f>
        <v>0</v>
      </c>
      <c r="AD445" s="33" t="n">
        <f aca="false">Source_Data!AD$9+Source_Data!AD$10*IF(Source_Data!$C$10=0,0,MAX(0,Inputs!$B$20*Inputs!$B$23*$B$437-Inputs!$B$21)/Source_Data!$C$10)</f>
        <v>0</v>
      </c>
      <c r="AE445" s="33" t="n">
        <f aca="false">Source_Data!AE$9+Source_Data!AE$10*IF(Source_Data!$C$10=0,0,MAX(0,Inputs!$B$20*Inputs!$B$23*$B$437-Inputs!$B$21)/Source_Data!$C$10)</f>
        <v>0</v>
      </c>
      <c r="AF445" s="33" t="n">
        <f aca="false">Source_Data!AF$9+Source_Data!AF$10*IF(Source_Data!$C$10=0,0,MAX(0,Inputs!$B$20*Inputs!$B$23*$B$437-Inputs!$B$21)/Source_Data!$C$10)</f>
        <v>107.758210351563</v>
      </c>
      <c r="AG445" s="33" t="n">
        <f aca="false">Source_Data!AG$9+Source_Data!AG$10*IF(Source_Data!$C$10=0,0,MAX(0,Inputs!$B$20*Inputs!$B$23*$B$437-Inputs!$B$21)/Source_Data!$C$10)</f>
        <v>10.976512421875</v>
      </c>
      <c r="AH445" s="33" t="n">
        <f aca="false">Source_Data!AH$9+Source_Data!AH$10*IF(Source_Data!$C$10=0,0,MAX(0,Inputs!$B$20*Inputs!$B$23*$B$437-Inputs!$B$21)/Source_Data!$C$10)</f>
        <v>10.976512421875</v>
      </c>
      <c r="AI445" s="33" t="n">
        <f aca="false">Source_Data!AI$9+Source_Data!AI$10*IF(Source_Data!$C$10=0,0,MAX(0,Inputs!$B$20*Inputs!$B$23*$B$437-Inputs!$B$21)/Source_Data!$C$10)</f>
        <v>10.976512421875</v>
      </c>
      <c r="AJ445" s="33" t="n">
        <f aca="false">Source_Data!AJ$9+Source_Data!AJ$10*IF(Source_Data!$C$10=0,0,MAX(0,Inputs!$B$20*Inputs!$B$23*$B$437-Inputs!$B$21)/Source_Data!$C$10)</f>
        <v>10.976512421875</v>
      </c>
      <c r="AK445" s="33" t="n">
        <f aca="false">Source_Data!AK$9+Source_Data!AK$10*IF(Source_Data!$C$10=0,0,MAX(0,Inputs!$B$20*Inputs!$B$23*$B$437-Inputs!$B$21)/Source_Data!$C$10)</f>
        <v>10.0209837109375</v>
      </c>
      <c r="AL445" s="33" t="n">
        <f aca="false">Source_Data!AL$9+Source_Data!AL$10*IF(Source_Data!$C$10=0,0,MAX(0,Inputs!$B$20*Inputs!$B$23*$B$437-Inputs!$B$21)/Source_Data!$C$10)</f>
        <v>10.0209837109375</v>
      </c>
      <c r="AM445" s="33" t="n">
        <f aca="false">Source_Data!AM$9+Source_Data!AM$10*IF(Source_Data!$C$10=0,0,MAX(0,Inputs!$B$20*Inputs!$B$23*$B$437-Inputs!$B$21)/Source_Data!$C$10)</f>
        <v>8.19855503906249</v>
      </c>
      <c r="AN445" s="33" t="n">
        <f aca="false">Source_Data!AN$9+Source_Data!AN$10*IF(Source_Data!$C$10=0,0,MAX(0,Inputs!$B$20*Inputs!$B$23*$B$437-Inputs!$B$21)/Source_Data!$C$10)</f>
        <v>4.21144828125</v>
      </c>
      <c r="AO445" s="33" t="n">
        <f aca="false">Source_Data!AO$9+Source_Data!AO$10*IF(Source_Data!$C$10=0,0,MAX(0,Inputs!$B$20*Inputs!$B$23*$B$437-Inputs!$B$21)/Source_Data!$C$10)</f>
        <v>1.56208171875</v>
      </c>
      <c r="AP445" s="33" t="n">
        <f aca="false">Source_Data!AP$9+Source_Data!AP$10*IF(Source_Data!$C$10=0,0,MAX(0,Inputs!$B$20*Inputs!$B$23*$B$437-Inputs!$B$21)/Source_Data!$C$10)</f>
        <v>0</v>
      </c>
      <c r="AQ445" s="33" t="n">
        <f aca="false">Source_Data!AQ$9+Source_Data!AQ$10*IF(Source_Data!$C$10=0,0,MAX(0,Inputs!$B$20*Inputs!$B$23*$B$437-Inputs!$B$21)/Source_Data!$C$10)</f>
        <v>0</v>
      </c>
      <c r="AR445" s="33" t="n">
        <f aca="false">Source_Data!AR$9+Source_Data!AR$10*IF(Source_Data!$C$10=0,0,MAX(0,Inputs!$B$20*Inputs!$B$23*$B$437-Inputs!$B$21)/Source_Data!$C$10)</f>
        <v>0</v>
      </c>
      <c r="AS445" s="33" t="n">
        <f aca="false">Source_Data!AS$9+Source_Data!AS$10*IF(Source_Data!$C$10=0,0,MAX(0,Inputs!$B$20*Inputs!$B$23*$B$437-Inputs!$B$21)/Source_Data!$C$10)</f>
        <v>0</v>
      </c>
      <c r="AT445" s="33" t="n">
        <f aca="false">Source_Data!AT$9+Source_Data!AT$10*IF(Source_Data!$C$10=0,0,MAX(0,Inputs!$B$20*Inputs!$B$23*$B$437-Inputs!$B$21)/Source_Data!$C$10)</f>
        <v>0</v>
      </c>
      <c r="AU445" s="33" t="n">
        <f aca="false">Source_Data!AU$9+Source_Data!AU$10*IF(Source_Data!$C$10=0,0,MAX(0,Inputs!$B$20*Inputs!$B$23*$B$437-Inputs!$B$21)/Source_Data!$C$10)</f>
        <v>0</v>
      </c>
      <c r="AV445" s="33" t="n">
        <f aca="false">Source_Data!AV$9+Source_Data!AV$10*IF(Source_Data!$C$10=0,0,MAX(0,Inputs!$B$20*Inputs!$B$23*$B$437-Inputs!$B$21)/Source_Data!$C$10)</f>
        <v>0</v>
      </c>
      <c r="AW445" s="33" t="n">
        <f aca="false">Source_Data!AW$9+Source_Data!AW$10*IF(Source_Data!$C$10=0,0,MAX(0,Inputs!$B$20*Inputs!$B$23*$B$437-Inputs!$B$21)/Source_Data!$C$10)</f>
        <v>0</v>
      </c>
      <c r="AX445" s="33" t="n">
        <f aca="false">Source_Data!AX$9+Source_Data!AX$10*IF(Source_Data!$C$10=0,0,MAX(0,Inputs!$B$20*Inputs!$B$23*$B$437-Inputs!$B$21)/Source_Data!$C$10)</f>
        <v>0</v>
      </c>
      <c r="AY445" s="33" t="n">
        <f aca="false">Source_Data!AY$9+Source_Data!AY$10*IF(Source_Data!$C$10=0,0,MAX(0,Inputs!$B$20*Inputs!$B$23*$B$437-Inputs!$B$21)/Source_Data!$C$10)</f>
        <v>0</v>
      </c>
      <c r="AZ445" s="33" t="n">
        <f aca="false">Source_Data!AZ$9+Source_Data!AZ$10*IF(Source_Data!$C$10=0,0,MAX(0,Inputs!$B$20*Inputs!$B$23*$B$437-Inputs!$B$21)/Source_Data!$C$10)</f>
        <v>0</v>
      </c>
      <c r="BA445" s="33" t="n">
        <f aca="false">Source_Data!BA$9+Source_Data!BA$10*IF(Source_Data!$C$10=0,0,MAX(0,Inputs!$B$20*Inputs!$B$23*$B$437-Inputs!$B$21)/Source_Data!$C$10)</f>
        <v>0</v>
      </c>
      <c r="BB445" s="33" t="n">
        <f aca="false">Source_Data!BB$9+Source_Data!BB$10*IF(Source_Data!$C$10=0,0,MAX(0,Inputs!$B$20*Inputs!$B$23*$B$437-Inputs!$B$21)/Source_Data!$C$10)</f>
        <v>0</v>
      </c>
      <c r="BC445" s="33" t="n">
        <f aca="false">Source_Data!BC$9+Source_Data!BC$10*IF(Source_Data!$C$10=0,0,MAX(0,Inputs!$B$20*Inputs!$B$23*$B$437-Inputs!$B$21)/Source_Data!$C$10)</f>
        <v>0</v>
      </c>
      <c r="BD445" s="33" t="n">
        <f aca="false">Source_Data!BD$9+Source_Data!BD$10*IF(Source_Data!$C$10=0,0,MAX(0,Inputs!$B$20*Inputs!$B$23*$B$437-Inputs!$B$21)/Source_Data!$C$10)</f>
        <v>0</v>
      </c>
      <c r="BE445" s="33" t="n">
        <f aca="false">Source_Data!BE$9+Source_Data!BE$10*IF(Source_Data!$C$10=0,0,MAX(0,Inputs!$B$20*Inputs!$B$23*$B$437-Inputs!$B$21)/Source_Data!$C$10)</f>
        <v>0</v>
      </c>
      <c r="BF445" s="33" t="n">
        <f aca="false">Source_Data!BF$9+Source_Data!BF$10*IF(Source_Data!$C$10=0,0,MAX(0,Inputs!$B$20*Inputs!$B$23*$B$437-Inputs!$B$21)/Source_Data!$C$10)</f>
        <v>0</v>
      </c>
      <c r="BG445" s="33" t="n">
        <f aca="false">Source_Data!BG$9+Source_Data!BG$10*IF(Source_Data!$C$10=0,0,MAX(0,Inputs!$B$20*Inputs!$B$23*$B$437-Inputs!$B$21)/Source_Data!$C$10)</f>
        <v>0</v>
      </c>
      <c r="BH445" s="33" t="n">
        <f aca="false">Source_Data!BH$9+Source_Data!BH$10*IF(Source_Data!$C$10=0,0,MAX(0,Inputs!$B$20*Inputs!$B$23*$B$437-Inputs!$B$21)/Source_Data!$C$10)</f>
        <v>0</v>
      </c>
      <c r="BI445" s="33" t="n">
        <f aca="false">Source_Data!BI$9+Source_Data!BI$10*IF(Source_Data!$C$10=0,0,MAX(0,Inputs!$B$20*Inputs!$B$23*$B$437-Inputs!$B$21)/Source_Data!$C$10)</f>
        <v>0</v>
      </c>
      <c r="BJ445" s="33" t="n">
        <f aca="false">Source_Data!BJ$9+Source_Data!BJ$10*IF(Source_Data!$C$10=0,0,MAX(0,Inputs!$B$20*Inputs!$B$23*$B$437-Inputs!$B$21)/Source_Data!$C$10)</f>
        <v>0</v>
      </c>
      <c r="BK445" s="33" t="n">
        <f aca="false">Source_Data!BK$9+Source_Data!BK$10*IF(Source_Data!$C$10=0,0,MAX(0,Inputs!$B$20*Inputs!$B$23*$B$437-Inputs!$B$21)/Source_Data!$C$10)</f>
        <v>0</v>
      </c>
    </row>
    <row r="446" customFormat="false" ht="15" hidden="false" customHeight="false" outlineLevel="0" collapsed="false">
      <c r="A446" s="3" t="s">
        <v>196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198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217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218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219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341</v>
      </c>
      <c r="D451" s="33" t="n">
        <f aca="false">IF(Source_Data!D$6=Inputs!$B$13,-Inputs!$B$7,0)+IF(AND(Source_Data!D$6&gt;=$B$442,Source_Data!D$6&lt;$B$442+3*Inputs!$B$17,MOD(Source_Data!D$6-$B$442,3)=0),Inputs!$B$8*Inputs!$B$7*Inputs!$B$35*$B$437*(1-Inputs!$B$16)/Inputs!$B$17,0)</f>
        <v>-75</v>
      </c>
      <c r="E451" s="33" t="n">
        <f aca="false">IF(Source_Data!E$6=Inputs!$B$13,-Inputs!$B$7,0)+IF(AND(Source_Data!E$6&gt;=$B$442,Source_Data!E$6&lt;$B$442+3*Inputs!$B$17,MOD(Source_Data!E$6-$B$442,3)=0),Inputs!$B$8*Inputs!$B$7*Inputs!$B$35*$B$437*(1-Inputs!$B$16)/Inputs!$B$17,0)</f>
        <v>0</v>
      </c>
      <c r="F451" s="33" t="n">
        <f aca="false">IF(Source_Data!F$6=Inputs!$B$13,-Inputs!$B$7,0)+IF(AND(Source_Data!F$6&gt;=$B$442,Source_Data!F$6&lt;$B$442+3*Inputs!$B$17,MOD(Source_Data!F$6-$B$442,3)=0),Inputs!$B$8*Inputs!$B$7*Inputs!$B$35*$B$437*(1-Inputs!$B$16)/Inputs!$B$17,0)</f>
        <v>0</v>
      </c>
      <c r="G451" s="33" t="n">
        <f aca="false">IF(Source_Data!G$6=Inputs!$B$13,-Inputs!$B$7,0)+IF(AND(Source_Data!G$6&gt;=$B$442,Source_Data!G$6&lt;$B$442+3*Inputs!$B$17,MOD(Source_Data!G$6-$B$442,3)=0),Inputs!$B$8*Inputs!$B$7*Inputs!$B$35*$B$437*(1-Inputs!$B$16)/Inputs!$B$17,0)</f>
        <v>0</v>
      </c>
      <c r="H451" s="33" t="n">
        <f aca="false">IF(Source_Data!H$6=Inputs!$B$13,-Inputs!$B$7,0)+IF(AND(Source_Data!H$6&gt;=$B$442,Source_Data!H$6&lt;$B$442+3*Inputs!$B$17,MOD(Source_Data!H$6-$B$442,3)=0),Inputs!$B$8*Inputs!$B$7*Inputs!$B$35*$B$437*(1-Inputs!$B$16)/Inputs!$B$17,0)</f>
        <v>0</v>
      </c>
      <c r="I451" s="33" t="n">
        <f aca="false">IF(Source_Data!I$6=Inputs!$B$13,-Inputs!$B$7,0)+IF(AND(Source_Data!I$6&gt;=$B$442,Source_Data!I$6&lt;$B$442+3*Inputs!$B$17,MOD(Source_Data!I$6-$B$442,3)=0),Inputs!$B$8*Inputs!$B$7*Inputs!$B$35*$B$437*(1-Inputs!$B$16)/Inputs!$B$17,0)</f>
        <v>0</v>
      </c>
      <c r="J451" s="33" t="n">
        <f aca="false">IF(Source_Data!J$6=Inputs!$B$13,-Inputs!$B$7,0)+IF(AND(Source_Data!J$6&gt;=$B$442,Source_Data!J$6&lt;$B$442+3*Inputs!$B$17,MOD(Source_Data!J$6-$B$442,3)=0),Inputs!$B$8*Inputs!$B$7*Inputs!$B$35*$B$437*(1-Inputs!$B$16)/Inputs!$B$17,0)</f>
        <v>0</v>
      </c>
      <c r="K451" s="33" t="n">
        <f aca="false">IF(Source_Data!K$6=Inputs!$B$13,-Inputs!$B$7,0)+IF(AND(Source_Data!K$6&gt;=$B$442,Source_Data!K$6&lt;$B$442+3*Inputs!$B$17,MOD(Source_Data!K$6-$B$442,3)=0),Inputs!$B$8*Inputs!$B$7*Inputs!$B$35*$B$437*(1-Inputs!$B$16)/Inputs!$B$17,0)</f>
        <v>0</v>
      </c>
      <c r="L451" s="33" t="n">
        <f aca="false">IF(Source_Data!L$6=Inputs!$B$13,-Inputs!$B$7,0)+IF(AND(Source_Data!L$6&gt;=$B$442,Source_Data!L$6&lt;$B$442+3*Inputs!$B$17,MOD(Source_Data!L$6-$B$442,3)=0),Inputs!$B$8*Inputs!$B$7*Inputs!$B$35*$B$437*(1-Inputs!$B$16)/Inputs!$B$17,0)</f>
        <v>0</v>
      </c>
      <c r="M451" s="33" t="n">
        <f aca="false">IF(Source_Data!M$6=Inputs!$B$13,-Inputs!$B$7,0)+IF(AND(Source_Data!M$6&gt;=$B$442,Source_Data!M$6&lt;$B$442+3*Inputs!$B$17,MOD(Source_Data!M$6-$B$442,3)=0),Inputs!$B$8*Inputs!$B$7*Inputs!$B$35*$B$437*(1-Inputs!$B$16)/Inputs!$B$17,0)</f>
        <v>0</v>
      </c>
      <c r="N451" s="33" t="n">
        <f aca="false">IF(Source_Data!N$6=Inputs!$B$13,-Inputs!$B$7,0)+IF(AND(Source_Data!N$6&gt;=$B$442,Source_Data!N$6&lt;$B$442+3*Inputs!$B$17,MOD(Source_Data!N$6-$B$442,3)=0),Inputs!$B$8*Inputs!$B$7*Inputs!$B$35*$B$437*(1-Inputs!$B$16)/Inputs!$B$17,0)</f>
        <v>0</v>
      </c>
      <c r="O451" s="33" t="n">
        <f aca="false">IF(Source_Data!O$6=Inputs!$B$13,-Inputs!$B$7,0)+IF(AND(Source_Data!O$6&gt;=$B$442,Source_Data!O$6&lt;$B$442+3*Inputs!$B$17,MOD(Source_Data!O$6-$B$442,3)=0),Inputs!$B$8*Inputs!$B$7*Inputs!$B$35*$B$437*(1-Inputs!$B$16)/Inputs!$B$17,0)</f>
        <v>0</v>
      </c>
      <c r="P451" s="33" t="n">
        <f aca="false">IF(Source_Data!P$6=Inputs!$B$13,-Inputs!$B$7,0)+IF(AND(Source_Data!P$6&gt;=$B$442,Source_Data!P$6&lt;$B$442+3*Inputs!$B$17,MOD(Source_Data!P$6-$B$442,3)=0),Inputs!$B$8*Inputs!$B$7*Inputs!$B$35*$B$437*(1-Inputs!$B$16)/Inputs!$B$17,0)</f>
        <v>0</v>
      </c>
      <c r="Q451" s="33" t="n">
        <f aca="false">IF(Source_Data!Q$6=Inputs!$B$13,-Inputs!$B$7,0)+IF(AND(Source_Data!Q$6&gt;=$B$442,Source_Data!Q$6&lt;$B$442+3*Inputs!$B$17,MOD(Source_Data!Q$6-$B$442,3)=0),Inputs!$B$8*Inputs!$B$7*Inputs!$B$35*$B$437*(1-Inputs!$B$16)/Inputs!$B$17,0)</f>
        <v>0</v>
      </c>
      <c r="R451" s="33" t="n">
        <f aca="false">IF(Source_Data!R$6=Inputs!$B$13,-Inputs!$B$7,0)+IF(AND(Source_Data!R$6&gt;=$B$442,Source_Data!R$6&lt;$B$442+3*Inputs!$B$17,MOD(Source_Data!R$6-$B$442,3)=0),Inputs!$B$8*Inputs!$B$7*Inputs!$B$35*$B$437*(1-Inputs!$B$16)/Inputs!$B$17,0)</f>
        <v>0</v>
      </c>
      <c r="S451" s="33" t="n">
        <f aca="false">IF(Source_Data!S$6=Inputs!$B$13,-Inputs!$B$7,0)+IF(AND(Source_Data!S$6&gt;=$B$442,Source_Data!S$6&lt;$B$442+3*Inputs!$B$17,MOD(Source_Data!S$6-$B$442,3)=0),Inputs!$B$8*Inputs!$B$7*Inputs!$B$35*$B$437*(1-Inputs!$B$16)/Inputs!$B$17,0)</f>
        <v>0</v>
      </c>
      <c r="T451" s="33" t="n">
        <f aca="false">IF(Source_Data!T$6=Inputs!$B$13,-Inputs!$B$7,0)+IF(AND(Source_Data!T$6&gt;=$B$442,Source_Data!T$6&lt;$B$442+3*Inputs!$B$17,MOD(Source_Data!T$6-$B$442,3)=0),Inputs!$B$8*Inputs!$B$7*Inputs!$B$35*$B$437*(1-Inputs!$B$16)/Inputs!$B$17,0)</f>
        <v>52.1505376344086</v>
      </c>
      <c r="U451" s="33" t="n">
        <f aca="false">IF(Source_Data!U$6=Inputs!$B$13,-Inputs!$B$7,0)+IF(AND(Source_Data!U$6&gt;=$B$442,Source_Data!U$6&lt;$B$442+3*Inputs!$B$17,MOD(Source_Data!U$6-$B$442,3)=0),Inputs!$B$8*Inputs!$B$7*Inputs!$B$35*$B$437*(1-Inputs!$B$16)/Inputs!$B$17,0)</f>
        <v>52.1505376344086</v>
      </c>
      <c r="V451" s="33" t="n">
        <f aca="false">IF(Source_Data!V$6=Inputs!$B$13,-Inputs!$B$7,0)+IF(AND(Source_Data!V$6&gt;=$B$442,Source_Data!V$6&lt;$B$442+3*Inputs!$B$17,MOD(Source_Data!V$6-$B$442,3)=0),Inputs!$B$8*Inputs!$B$7*Inputs!$B$35*$B$437*(1-Inputs!$B$16)/Inputs!$B$17,0)</f>
        <v>52.1505376344086</v>
      </c>
      <c r="W451" s="33" t="n">
        <f aca="false">IF(Source_Data!W$6=Inputs!$B$13,-Inputs!$B$7,0)+IF(AND(Source_Data!W$6&gt;=$B$442,Source_Data!W$6&lt;$B$442+3*Inputs!$B$17,MOD(Source_Data!W$6-$B$442,3)=0),Inputs!$B$8*Inputs!$B$7*Inputs!$B$35*$B$437*(1-Inputs!$B$16)/Inputs!$B$17,0)</f>
        <v>52.1505376344086</v>
      </c>
      <c r="X451" s="33" t="n">
        <f aca="false">IF(Source_Data!X$6=Inputs!$B$13,-Inputs!$B$7,0)+IF(AND(Source_Data!X$6&gt;=$B$442,Source_Data!X$6&lt;$B$442+3*Inputs!$B$17,MOD(Source_Data!X$6-$B$442,3)=0),Inputs!$B$8*Inputs!$B$7*Inputs!$B$35*$B$437*(1-Inputs!$B$16)/Inputs!$B$17,0)</f>
        <v>0</v>
      </c>
      <c r="Y451" s="33" t="n">
        <f aca="false">IF(Source_Data!Y$6=Inputs!$B$13,-Inputs!$B$7,0)+IF(AND(Source_Data!Y$6&gt;=$B$442,Source_Data!Y$6&lt;$B$442+3*Inputs!$B$17,MOD(Source_Data!Y$6-$B$442,3)=0),Inputs!$B$8*Inputs!$B$7*Inputs!$B$35*$B$437*(1-Inputs!$B$16)/Inputs!$B$17,0)</f>
        <v>0</v>
      </c>
      <c r="Z451" s="33" t="n">
        <f aca="false">IF(Source_Data!Z$6=Inputs!$B$13,-Inputs!$B$7,0)+IF(AND(Source_Data!Z$6&gt;=$B$442,Source_Data!Z$6&lt;$B$442+3*Inputs!$B$17,MOD(Source_Data!Z$6-$B$442,3)=0),Inputs!$B$8*Inputs!$B$7*Inputs!$B$35*$B$437*(1-Inputs!$B$16)/Inputs!$B$17,0)</f>
        <v>0</v>
      </c>
      <c r="AA451" s="33" t="n">
        <f aca="false">IF(Source_Data!AA$6=Inputs!$B$13,-Inputs!$B$7,0)+IF(AND(Source_Data!AA$6&gt;=$B$442,Source_Data!AA$6&lt;$B$442+3*Inputs!$B$17,MOD(Source_Data!AA$6-$B$442,3)=0),Inputs!$B$8*Inputs!$B$7*Inputs!$B$35*$B$437*(1-Inputs!$B$16)/Inputs!$B$17,0)</f>
        <v>0</v>
      </c>
      <c r="AB451" s="33" t="n">
        <f aca="false">IF(Source_Data!AB$6=Inputs!$B$13,-Inputs!$B$7,0)+IF(AND(Source_Data!AB$6&gt;=$B$442,Source_Data!AB$6&lt;$B$442+3*Inputs!$B$17,MOD(Source_Data!AB$6-$B$442,3)=0),Inputs!$B$8*Inputs!$B$7*Inputs!$B$35*$B$437*(1-Inputs!$B$16)/Inputs!$B$17,0)</f>
        <v>0</v>
      </c>
      <c r="AC451" s="33" t="n">
        <f aca="false">IF(Source_Data!AC$6=Inputs!$B$13,-Inputs!$B$7,0)+IF(AND(Source_Data!AC$6&gt;=$B$442,Source_Data!AC$6&lt;$B$442+3*Inputs!$B$17,MOD(Source_Data!AC$6-$B$442,3)=0),Inputs!$B$8*Inputs!$B$7*Inputs!$B$35*$B$437*(1-Inputs!$B$16)/Inputs!$B$17,0)</f>
        <v>0</v>
      </c>
      <c r="AD451" s="33" t="n">
        <f aca="false">IF(Source_Data!AD$6=Inputs!$B$13,-Inputs!$B$7,0)+IF(AND(Source_Data!AD$6&gt;=$B$442,Source_Data!AD$6&lt;$B$442+3*Inputs!$B$17,MOD(Source_Data!AD$6-$B$442,3)=0),Inputs!$B$8*Inputs!$B$7*Inputs!$B$35*$B$437*(1-Inputs!$B$16)/Inputs!$B$17,0)</f>
        <v>0</v>
      </c>
      <c r="AE451" s="33" t="n">
        <f aca="false">IF(Source_Data!AE$6=Inputs!$B$13,-Inputs!$B$7,0)+IF(AND(Source_Data!AE$6&gt;=$B$442,Source_Data!AE$6&lt;$B$442+3*Inputs!$B$17,MOD(Source_Data!AE$6-$B$442,3)=0),Inputs!$B$8*Inputs!$B$7*Inputs!$B$35*$B$437*(1-Inputs!$B$16)/Inputs!$B$17,0)</f>
        <v>0</v>
      </c>
      <c r="AF451" s="33" t="n">
        <f aca="false">IF(Source_Data!AF$6=Inputs!$B$13,-Inputs!$B$7,0)+IF(AND(Source_Data!AF$6&gt;=$B$442,Source_Data!AF$6&lt;$B$442+3*Inputs!$B$17,MOD(Source_Data!AF$6-$B$442,3)=0),Inputs!$B$8*Inputs!$B$7*Inputs!$B$35*$B$437*(1-Inputs!$B$16)/Inputs!$B$17,0)</f>
        <v>0</v>
      </c>
      <c r="AG451" s="33" t="n">
        <f aca="false">IF(Source_Data!AG$6=Inputs!$B$13,-Inputs!$B$7,0)+IF(AND(Source_Data!AG$6&gt;=$B$442,Source_Data!AG$6&lt;$B$442+3*Inputs!$B$17,MOD(Source_Data!AG$6-$B$442,3)=0),Inputs!$B$8*Inputs!$B$7*Inputs!$B$35*$B$437*(1-Inputs!$B$16)/Inputs!$B$17,0)</f>
        <v>0</v>
      </c>
      <c r="AH451" s="33" t="n">
        <f aca="false">IF(Source_Data!AH$6=Inputs!$B$13,-Inputs!$B$7,0)+IF(AND(Source_Data!AH$6&gt;=$B$442,Source_Data!AH$6&lt;$B$442+3*Inputs!$B$17,MOD(Source_Data!AH$6-$B$442,3)=0),Inputs!$B$8*Inputs!$B$7*Inputs!$B$35*$B$437*(1-Inputs!$B$16)/Inputs!$B$17,0)</f>
        <v>0</v>
      </c>
      <c r="AI451" s="33" t="n">
        <f aca="false">IF(Source_Data!AI$6=Inputs!$B$13,-Inputs!$B$7,0)+IF(AND(Source_Data!AI$6&gt;=$B$442,Source_Data!AI$6&lt;$B$442+3*Inputs!$B$17,MOD(Source_Data!AI$6-$B$442,3)=0),Inputs!$B$8*Inputs!$B$7*Inputs!$B$35*$B$437*(1-Inputs!$B$16)/Inputs!$B$17,0)</f>
        <v>0</v>
      </c>
      <c r="AJ451" s="33" t="n">
        <f aca="false">IF(Source_Data!AJ$6=Inputs!$B$13,-Inputs!$B$7,0)+IF(AND(Source_Data!AJ$6&gt;=$B$442,Source_Data!AJ$6&lt;$B$442+3*Inputs!$B$17,MOD(Source_Data!AJ$6-$B$442,3)=0),Inputs!$B$8*Inputs!$B$7*Inputs!$B$35*$B$437*(1-Inputs!$B$16)/Inputs!$B$17,0)</f>
        <v>0</v>
      </c>
      <c r="AK451" s="33" t="n">
        <f aca="false">IF(Source_Data!AK$6=Inputs!$B$13,-Inputs!$B$7,0)+IF(AND(Source_Data!AK$6&gt;=$B$442,Source_Data!AK$6&lt;$B$442+3*Inputs!$B$17,MOD(Source_Data!AK$6-$B$442,3)=0),Inputs!$B$8*Inputs!$B$7*Inputs!$B$35*$B$437*(1-Inputs!$B$16)/Inputs!$B$17,0)</f>
        <v>0</v>
      </c>
      <c r="AL451" s="33" t="n">
        <f aca="false">IF(Source_Data!AL$6=Inputs!$B$13,-Inputs!$B$7,0)+IF(AND(Source_Data!AL$6&gt;=$B$442,Source_Data!AL$6&lt;$B$442+3*Inputs!$B$17,MOD(Source_Data!AL$6-$B$442,3)=0),Inputs!$B$8*Inputs!$B$7*Inputs!$B$35*$B$437*(1-Inputs!$B$16)/Inputs!$B$17,0)</f>
        <v>0</v>
      </c>
      <c r="AM451" s="33" t="n">
        <f aca="false">IF(Source_Data!AM$6=Inputs!$B$13,-Inputs!$B$7,0)+IF(AND(Source_Data!AM$6&gt;=$B$442,Source_Data!AM$6&lt;$B$442+3*Inputs!$B$17,MOD(Source_Data!AM$6-$B$442,3)=0),Inputs!$B$8*Inputs!$B$7*Inputs!$B$35*$B$437*(1-Inputs!$B$16)/Inputs!$B$17,0)</f>
        <v>0</v>
      </c>
      <c r="AN451" s="33" t="n">
        <f aca="false">IF(Source_Data!AN$6=Inputs!$B$13,-Inputs!$B$7,0)+IF(AND(Source_Data!AN$6&gt;=$B$442,Source_Data!AN$6&lt;$B$442+3*Inputs!$B$17,MOD(Source_Data!AN$6-$B$442,3)=0),Inputs!$B$8*Inputs!$B$7*Inputs!$B$35*$B$437*(1-Inputs!$B$16)/Inputs!$B$17,0)</f>
        <v>0</v>
      </c>
      <c r="AO451" s="33" t="n">
        <f aca="false">IF(Source_Data!AO$6=Inputs!$B$13,-Inputs!$B$7,0)+IF(AND(Source_Data!AO$6&gt;=$B$442,Source_Data!AO$6&lt;$B$442+3*Inputs!$B$17,MOD(Source_Data!AO$6-$B$442,3)=0),Inputs!$B$8*Inputs!$B$7*Inputs!$B$35*$B$437*(1-Inputs!$B$16)/Inputs!$B$17,0)</f>
        <v>0</v>
      </c>
      <c r="AP451" s="33" t="n">
        <f aca="false">IF(Source_Data!AP$6=Inputs!$B$13,-Inputs!$B$7,0)+IF(AND(Source_Data!AP$6&gt;=$B$442,Source_Data!AP$6&lt;$B$442+3*Inputs!$B$17,MOD(Source_Data!AP$6-$B$442,3)=0),Inputs!$B$8*Inputs!$B$7*Inputs!$B$35*$B$437*(1-Inputs!$B$16)/Inputs!$B$17,0)</f>
        <v>0</v>
      </c>
      <c r="AQ451" s="33" t="n">
        <f aca="false">IF(Source_Data!AQ$6=Inputs!$B$13,-Inputs!$B$7,0)+IF(AND(Source_Data!AQ$6&gt;=$B$442,Source_Data!AQ$6&lt;$B$442+3*Inputs!$B$17,MOD(Source_Data!AQ$6-$B$442,3)=0),Inputs!$B$8*Inputs!$B$7*Inputs!$B$35*$B$437*(1-Inputs!$B$16)/Inputs!$B$17,0)</f>
        <v>0</v>
      </c>
      <c r="AR451" s="33" t="n">
        <f aca="false">IF(Source_Data!AR$6=Inputs!$B$13,-Inputs!$B$7,0)+IF(AND(Source_Data!AR$6&gt;=$B$442,Source_Data!AR$6&lt;$B$442+3*Inputs!$B$17,MOD(Source_Data!AR$6-$B$442,3)=0),Inputs!$B$8*Inputs!$B$7*Inputs!$B$35*$B$437*(1-Inputs!$B$16)/Inputs!$B$17,0)</f>
        <v>0</v>
      </c>
      <c r="AS451" s="33" t="n">
        <f aca="false">IF(Source_Data!AS$6=Inputs!$B$13,-Inputs!$B$7,0)+IF(AND(Source_Data!AS$6&gt;=$B$442,Source_Data!AS$6&lt;$B$442+3*Inputs!$B$17,MOD(Source_Data!AS$6-$B$442,3)=0),Inputs!$B$8*Inputs!$B$7*Inputs!$B$35*$B$437*(1-Inputs!$B$16)/Inputs!$B$17,0)</f>
        <v>0</v>
      </c>
      <c r="AT451" s="33" t="n">
        <f aca="false">IF(Source_Data!AT$6=Inputs!$B$13,-Inputs!$B$7,0)+IF(AND(Source_Data!AT$6&gt;=$B$442,Source_Data!AT$6&lt;$B$442+3*Inputs!$B$17,MOD(Source_Data!AT$6-$B$442,3)=0),Inputs!$B$8*Inputs!$B$7*Inputs!$B$35*$B$437*(1-Inputs!$B$16)/Inputs!$B$17,0)</f>
        <v>0</v>
      </c>
      <c r="AU451" s="33" t="n">
        <f aca="false">IF(Source_Data!AU$6=Inputs!$B$13,-Inputs!$B$7,0)+IF(AND(Source_Data!AU$6&gt;=$B$442,Source_Data!AU$6&lt;$B$442+3*Inputs!$B$17,MOD(Source_Data!AU$6-$B$442,3)=0),Inputs!$B$8*Inputs!$B$7*Inputs!$B$35*$B$437*(1-Inputs!$B$16)/Inputs!$B$17,0)</f>
        <v>0</v>
      </c>
      <c r="AV451" s="33" t="n">
        <f aca="false">IF(Source_Data!AV$6=Inputs!$B$13,-Inputs!$B$7,0)+IF(AND(Source_Data!AV$6&gt;=$B$442,Source_Data!AV$6&lt;$B$442+3*Inputs!$B$17,MOD(Source_Data!AV$6-$B$442,3)=0),Inputs!$B$8*Inputs!$B$7*Inputs!$B$35*$B$437*(1-Inputs!$B$16)/Inputs!$B$17,0)</f>
        <v>0</v>
      </c>
      <c r="AW451" s="33" t="n">
        <f aca="false">IF(Source_Data!AW$6=Inputs!$B$13,-Inputs!$B$7,0)+IF(AND(Source_Data!AW$6&gt;=$B$442,Source_Data!AW$6&lt;$B$442+3*Inputs!$B$17,MOD(Source_Data!AW$6-$B$442,3)=0),Inputs!$B$8*Inputs!$B$7*Inputs!$B$35*$B$437*(1-Inputs!$B$16)/Inputs!$B$17,0)</f>
        <v>0</v>
      </c>
      <c r="AX451" s="33" t="n">
        <f aca="false">IF(Source_Data!AX$6=Inputs!$B$13,-Inputs!$B$7,0)+IF(AND(Source_Data!AX$6&gt;=$B$442,Source_Data!AX$6&lt;$B$442+3*Inputs!$B$17,MOD(Source_Data!AX$6-$B$442,3)=0),Inputs!$B$8*Inputs!$B$7*Inputs!$B$35*$B$437*(1-Inputs!$B$16)/Inputs!$B$17,0)</f>
        <v>0</v>
      </c>
      <c r="AY451" s="33" t="n">
        <f aca="false">IF(Source_Data!AY$6=Inputs!$B$13,-Inputs!$B$7,0)+IF(AND(Source_Data!AY$6&gt;=$B$442,Source_Data!AY$6&lt;$B$442+3*Inputs!$B$17,MOD(Source_Data!AY$6-$B$442,3)=0),Inputs!$B$8*Inputs!$B$7*Inputs!$B$35*$B$437*(1-Inputs!$B$16)/Inputs!$B$17,0)</f>
        <v>0</v>
      </c>
      <c r="AZ451" s="33" t="n">
        <f aca="false">IF(Source_Data!AZ$6=Inputs!$B$13,-Inputs!$B$7,0)+IF(AND(Source_Data!AZ$6&gt;=$B$442,Source_Data!AZ$6&lt;$B$442+3*Inputs!$B$17,MOD(Source_Data!AZ$6-$B$442,3)=0),Inputs!$B$8*Inputs!$B$7*Inputs!$B$35*$B$437*(1-Inputs!$B$16)/Inputs!$B$17,0)</f>
        <v>0</v>
      </c>
      <c r="BA451" s="33" t="n">
        <f aca="false">IF(Source_Data!BA$6=Inputs!$B$13,-Inputs!$B$7,0)+IF(AND(Source_Data!BA$6&gt;=$B$442,Source_Data!BA$6&lt;$B$442+3*Inputs!$B$17,MOD(Source_Data!BA$6-$B$442,3)=0),Inputs!$B$8*Inputs!$B$7*Inputs!$B$35*$B$437*(1-Inputs!$B$16)/Inputs!$B$17,0)</f>
        <v>0</v>
      </c>
      <c r="BB451" s="33" t="n">
        <f aca="false">IF(Source_Data!BB$6=Inputs!$B$13,-Inputs!$B$7,0)+IF(AND(Source_Data!BB$6&gt;=$B$442,Source_Data!BB$6&lt;$B$442+3*Inputs!$B$17,MOD(Source_Data!BB$6-$B$442,3)=0),Inputs!$B$8*Inputs!$B$7*Inputs!$B$35*$B$437*(1-Inputs!$B$16)/Inputs!$B$17,0)</f>
        <v>0</v>
      </c>
      <c r="BC451" s="33" t="n">
        <f aca="false">IF(Source_Data!BC$6=Inputs!$B$13,-Inputs!$B$7,0)+IF(AND(Source_Data!BC$6&gt;=$B$442,Source_Data!BC$6&lt;$B$442+3*Inputs!$B$17,MOD(Source_Data!BC$6-$B$442,3)=0),Inputs!$B$8*Inputs!$B$7*Inputs!$B$35*$B$437*(1-Inputs!$B$16)/Inputs!$B$17,0)</f>
        <v>0</v>
      </c>
      <c r="BD451" s="33" t="n">
        <f aca="false">IF(Source_Data!BD$6=Inputs!$B$13,-Inputs!$B$7,0)+IF(AND(Source_Data!BD$6&gt;=$B$442,Source_Data!BD$6&lt;$B$442+3*Inputs!$B$17,MOD(Source_Data!BD$6-$B$442,3)=0),Inputs!$B$8*Inputs!$B$7*Inputs!$B$35*$B$437*(1-Inputs!$B$16)/Inputs!$B$17,0)</f>
        <v>0</v>
      </c>
      <c r="BE451" s="33" t="n">
        <f aca="false">IF(Source_Data!BE$6=Inputs!$B$13,-Inputs!$B$7,0)+IF(AND(Source_Data!BE$6&gt;=$B$442,Source_Data!BE$6&lt;$B$442+3*Inputs!$B$17,MOD(Source_Data!BE$6-$B$442,3)=0),Inputs!$B$8*Inputs!$B$7*Inputs!$B$35*$B$437*(1-Inputs!$B$16)/Inputs!$B$17,0)</f>
        <v>0</v>
      </c>
      <c r="BF451" s="33" t="n">
        <f aca="false">IF(Source_Data!BF$6=Inputs!$B$13,-Inputs!$B$7,0)+IF(AND(Source_Data!BF$6&gt;=$B$442,Source_Data!BF$6&lt;$B$442+3*Inputs!$B$17,MOD(Source_Data!BF$6-$B$442,3)=0),Inputs!$B$8*Inputs!$B$7*Inputs!$B$35*$B$437*(1-Inputs!$B$16)/Inputs!$B$17,0)</f>
        <v>0</v>
      </c>
      <c r="BG451" s="33" t="n">
        <f aca="false">IF(Source_Data!BG$6=Inputs!$B$13,-Inputs!$B$7,0)+IF(AND(Source_Data!BG$6&gt;=$B$442,Source_Data!BG$6&lt;$B$442+3*Inputs!$B$17,MOD(Source_Data!BG$6-$B$442,3)=0),Inputs!$B$8*Inputs!$B$7*Inputs!$B$35*$B$437*(1-Inputs!$B$16)/Inputs!$B$17,0)</f>
        <v>0</v>
      </c>
      <c r="BH451" s="33" t="n">
        <f aca="false">IF(Source_Data!BH$6=Inputs!$B$13,-Inputs!$B$7,0)+IF(AND(Source_Data!BH$6&gt;=$B$442,Source_Data!BH$6&lt;$B$442+3*Inputs!$B$17,MOD(Source_Data!BH$6-$B$442,3)=0),Inputs!$B$8*Inputs!$B$7*Inputs!$B$35*$B$437*(1-Inputs!$B$16)/Inputs!$B$17,0)</f>
        <v>0</v>
      </c>
      <c r="BI451" s="33" t="n">
        <f aca="false">IF(Source_Data!BI$6=Inputs!$B$13,-Inputs!$B$7,0)+IF(AND(Source_Data!BI$6&gt;=$B$442,Source_Data!BI$6&lt;$B$442+3*Inputs!$B$17,MOD(Source_Data!BI$6-$B$442,3)=0),Inputs!$B$8*Inputs!$B$7*Inputs!$B$35*$B$437*(1-Inputs!$B$16)/Inputs!$B$17,0)</f>
        <v>0</v>
      </c>
      <c r="BJ451" s="33" t="n">
        <f aca="false">IF(Source_Data!BJ$6=Inputs!$B$13,-Inputs!$B$7,0)+IF(AND(Source_Data!BJ$6&gt;=$B$442,Source_Data!BJ$6&lt;$B$442+3*Inputs!$B$17,MOD(Source_Data!BJ$6-$B$442,3)=0),Inputs!$B$8*Inputs!$B$7*Inputs!$B$35*$B$437*(1-Inputs!$B$16)/Inputs!$B$17,0)</f>
        <v>0</v>
      </c>
      <c r="BK451" s="33" t="n">
        <f aca="false">IF(Source_Data!BK$6=Inputs!$B$13,-Inputs!$B$7,0)+IF(AND(Source_Data!BK$6&gt;=$B$442,Source_Data!BK$6&lt;$B$442+3*Inputs!$B$17,MOD(Source_Data!BK$6-$B$442,3)=0),Inputs!$B$8*Inputs!$B$7*Inputs!$B$35*$B$437*(1-Inputs!$B$16)/Inputs!$B$17,0)</f>
        <v>0</v>
      </c>
    </row>
    <row r="452" customFormat="false" ht="15" hidden="false" customHeight="false" outlineLevel="0" collapsed="false">
      <c r="A452" s="3" t="s">
        <v>342</v>
      </c>
      <c r="D452" s="33" t="n">
        <f aca="false">IF(AND(Source_Data!D$6&gt;=Inputs!$B$55,Source_Data!D$6&lt;Inputs!$B$55+3*Inputs!$B$11),Inputs!$B$9*Inputs!$B$7/Inputs!$B$11,0)</f>
        <v>0</v>
      </c>
      <c r="E452" s="33" t="n">
        <f aca="false">IF(AND(Source_Data!E$6&gt;=Inputs!$B$55,Source_Data!E$6&lt;Inputs!$B$55+3*Inputs!$B$11),Inputs!$B$9*Inputs!$B$7/Inputs!$B$11,0)</f>
        <v>0</v>
      </c>
      <c r="F452" s="33" t="n">
        <f aca="false">IF(AND(Source_Data!F$6&gt;=Inputs!$B$55,Source_Data!F$6&lt;Inputs!$B$55+3*Inputs!$B$11),Inputs!$B$9*Inputs!$B$7/Inputs!$B$11,0)</f>
        <v>0</v>
      </c>
      <c r="G452" s="33" t="n">
        <f aca="false">IF(AND(Source_Data!G$6&gt;=Inputs!$B$55,Source_Data!G$6&lt;Inputs!$B$55+3*Inputs!$B$11),Inputs!$B$9*Inputs!$B$7/Inputs!$B$11,0)</f>
        <v>0</v>
      </c>
      <c r="H452" s="33" t="n">
        <f aca="false">IF(AND(Source_Data!H$6&gt;=Inputs!$B$55,Source_Data!H$6&lt;Inputs!$B$55+3*Inputs!$B$11),Inputs!$B$9*Inputs!$B$7/Inputs!$B$11,0)</f>
        <v>0</v>
      </c>
      <c r="I452" s="33" t="n">
        <f aca="false">IF(AND(Source_Data!I$6&gt;=Inputs!$B$55,Source_Data!I$6&lt;Inputs!$B$55+3*Inputs!$B$11),Inputs!$B$9*Inputs!$B$7/Inputs!$B$11,0)</f>
        <v>0</v>
      </c>
      <c r="J452" s="33" t="n">
        <f aca="false">IF(AND(Source_Data!J$6&gt;=Inputs!$B$55,Source_Data!J$6&lt;Inputs!$B$55+3*Inputs!$B$11),Inputs!$B$9*Inputs!$B$7/Inputs!$B$11,0)</f>
        <v>0</v>
      </c>
      <c r="K452" s="33" t="n">
        <f aca="false">IF(AND(Source_Data!K$6&gt;=Inputs!$B$55,Source_Data!K$6&lt;Inputs!$B$55+3*Inputs!$B$11),Inputs!$B$9*Inputs!$B$7/Inputs!$B$11,0)</f>
        <v>0</v>
      </c>
      <c r="L452" s="33" t="n">
        <f aca="false">IF(AND(Source_Data!L$6&gt;=Inputs!$B$55,Source_Data!L$6&lt;Inputs!$B$55+3*Inputs!$B$11),Inputs!$B$9*Inputs!$B$7/Inputs!$B$11,0)</f>
        <v>0</v>
      </c>
      <c r="M452" s="33" t="n">
        <f aca="false">IF(AND(Source_Data!M$6&gt;=Inputs!$B$55,Source_Data!M$6&lt;Inputs!$B$55+3*Inputs!$B$11),Inputs!$B$9*Inputs!$B$7/Inputs!$B$11,0)</f>
        <v>14.375</v>
      </c>
      <c r="N452" s="33" t="n">
        <f aca="false">IF(AND(Source_Data!N$6&gt;=Inputs!$B$55,Source_Data!N$6&lt;Inputs!$B$55+3*Inputs!$B$11),Inputs!$B$9*Inputs!$B$7/Inputs!$B$11,0)</f>
        <v>14.375</v>
      </c>
      <c r="O452" s="33" t="n">
        <f aca="false">IF(AND(Source_Data!O$6&gt;=Inputs!$B$55,Source_Data!O$6&lt;Inputs!$B$55+3*Inputs!$B$11),Inputs!$B$9*Inputs!$B$7/Inputs!$B$11,0)</f>
        <v>14.375</v>
      </c>
      <c r="P452" s="33" t="n">
        <f aca="false">IF(AND(Source_Data!P$6&gt;=Inputs!$B$55,Source_Data!P$6&lt;Inputs!$B$55+3*Inputs!$B$11),Inputs!$B$9*Inputs!$B$7/Inputs!$B$11,0)</f>
        <v>14.375</v>
      </c>
      <c r="Q452" s="33" t="n">
        <f aca="false">IF(AND(Source_Data!Q$6&gt;=Inputs!$B$55,Source_Data!Q$6&lt;Inputs!$B$55+3*Inputs!$B$11),Inputs!$B$9*Inputs!$B$7/Inputs!$B$11,0)</f>
        <v>14.375</v>
      </c>
      <c r="R452" s="33" t="n">
        <f aca="false">IF(AND(Source_Data!R$6&gt;=Inputs!$B$55,Source_Data!R$6&lt;Inputs!$B$55+3*Inputs!$B$11),Inputs!$B$9*Inputs!$B$7/Inputs!$B$11,0)</f>
        <v>14.375</v>
      </c>
      <c r="S452" s="33" t="n">
        <f aca="false">IF(AND(Source_Data!S$6&gt;=Inputs!$B$55,Source_Data!S$6&lt;Inputs!$B$55+3*Inputs!$B$11),Inputs!$B$9*Inputs!$B$7/Inputs!$B$11,0)</f>
        <v>14.375</v>
      </c>
      <c r="T452" s="33" t="n">
        <f aca="false">IF(AND(Source_Data!T$6&gt;=Inputs!$B$55,Source_Data!T$6&lt;Inputs!$B$55+3*Inputs!$B$11),Inputs!$B$9*Inputs!$B$7/Inputs!$B$11,0)</f>
        <v>14.375</v>
      </c>
      <c r="U452" s="33" t="n">
        <f aca="false">IF(AND(Source_Data!U$6&gt;=Inputs!$B$55,Source_Data!U$6&lt;Inputs!$B$55+3*Inputs!$B$11),Inputs!$B$9*Inputs!$B$7/Inputs!$B$11,0)</f>
        <v>14.375</v>
      </c>
      <c r="V452" s="33" t="n">
        <f aca="false">IF(AND(Source_Data!V$6&gt;=Inputs!$B$55,Source_Data!V$6&lt;Inputs!$B$55+3*Inputs!$B$11),Inputs!$B$9*Inputs!$B$7/Inputs!$B$11,0)</f>
        <v>14.375</v>
      </c>
      <c r="W452" s="33" t="n">
        <f aca="false">IF(AND(Source_Data!W$6&gt;=Inputs!$B$55,Source_Data!W$6&lt;Inputs!$B$55+3*Inputs!$B$11),Inputs!$B$9*Inputs!$B$7/Inputs!$B$11,0)</f>
        <v>14.375</v>
      </c>
      <c r="X452" s="33" t="n">
        <f aca="false">IF(AND(Source_Data!X$6&gt;=Inputs!$B$55,Source_Data!X$6&lt;Inputs!$B$55+3*Inputs!$B$11),Inputs!$B$9*Inputs!$B$7/Inputs!$B$11,0)</f>
        <v>14.375</v>
      </c>
      <c r="Y452" s="33" t="n">
        <f aca="false">IF(AND(Source_Data!Y$6&gt;=Inputs!$B$55,Source_Data!Y$6&lt;Inputs!$B$55+3*Inputs!$B$11),Inputs!$B$9*Inputs!$B$7/Inputs!$B$11,0)</f>
        <v>0</v>
      </c>
      <c r="Z452" s="33" t="n">
        <f aca="false">IF(AND(Source_Data!Z$6&gt;=Inputs!$B$55,Source_Data!Z$6&lt;Inputs!$B$55+3*Inputs!$B$11),Inputs!$B$9*Inputs!$B$7/Inputs!$B$11,0)</f>
        <v>0</v>
      </c>
      <c r="AA452" s="33" t="n">
        <f aca="false">IF(AND(Source_Data!AA$6&gt;=Inputs!$B$55,Source_Data!AA$6&lt;Inputs!$B$55+3*Inputs!$B$11),Inputs!$B$9*Inputs!$B$7/Inputs!$B$11,0)</f>
        <v>0</v>
      </c>
      <c r="AB452" s="33" t="n">
        <f aca="false">IF(AND(Source_Data!AB$6&gt;=Inputs!$B$55,Source_Data!AB$6&lt;Inputs!$B$55+3*Inputs!$B$11),Inputs!$B$9*Inputs!$B$7/Inputs!$B$11,0)</f>
        <v>0</v>
      </c>
      <c r="AC452" s="33" t="n">
        <f aca="false">IF(AND(Source_Data!AC$6&gt;=Inputs!$B$55,Source_Data!AC$6&lt;Inputs!$B$55+3*Inputs!$B$11),Inputs!$B$9*Inputs!$B$7/Inputs!$B$11,0)</f>
        <v>0</v>
      </c>
      <c r="AD452" s="33" t="n">
        <f aca="false">IF(AND(Source_Data!AD$6&gt;=Inputs!$B$55,Source_Data!AD$6&lt;Inputs!$B$55+3*Inputs!$B$11),Inputs!$B$9*Inputs!$B$7/Inputs!$B$11,0)</f>
        <v>0</v>
      </c>
      <c r="AE452" s="33" t="n">
        <f aca="false">IF(AND(Source_Data!AE$6&gt;=Inputs!$B$55,Source_Data!AE$6&lt;Inputs!$B$55+3*Inputs!$B$11),Inputs!$B$9*Inputs!$B$7/Inputs!$B$11,0)</f>
        <v>0</v>
      </c>
      <c r="AF452" s="33" t="n">
        <f aca="false">IF(AND(Source_Data!AF$6&gt;=Inputs!$B$55,Source_Data!AF$6&lt;Inputs!$B$55+3*Inputs!$B$11),Inputs!$B$9*Inputs!$B$7/Inputs!$B$11,0)</f>
        <v>0</v>
      </c>
      <c r="AG452" s="33" t="n">
        <f aca="false">IF(AND(Source_Data!AG$6&gt;=Inputs!$B$55,Source_Data!AG$6&lt;Inputs!$B$55+3*Inputs!$B$11),Inputs!$B$9*Inputs!$B$7/Inputs!$B$11,0)</f>
        <v>0</v>
      </c>
      <c r="AH452" s="33" t="n">
        <f aca="false">IF(AND(Source_Data!AH$6&gt;=Inputs!$B$55,Source_Data!AH$6&lt;Inputs!$B$55+3*Inputs!$B$11),Inputs!$B$9*Inputs!$B$7/Inputs!$B$11,0)</f>
        <v>0</v>
      </c>
      <c r="AI452" s="33" t="n">
        <f aca="false">IF(AND(Source_Data!AI$6&gt;=Inputs!$B$55,Source_Data!AI$6&lt;Inputs!$B$55+3*Inputs!$B$11),Inputs!$B$9*Inputs!$B$7/Inputs!$B$11,0)</f>
        <v>0</v>
      </c>
      <c r="AJ452" s="33" t="n">
        <f aca="false">IF(AND(Source_Data!AJ$6&gt;=Inputs!$B$55,Source_Data!AJ$6&lt;Inputs!$B$55+3*Inputs!$B$11),Inputs!$B$9*Inputs!$B$7/Inputs!$B$11,0)</f>
        <v>0</v>
      </c>
      <c r="AK452" s="33" t="n">
        <f aca="false">IF(AND(Source_Data!AK$6&gt;=Inputs!$B$55,Source_Data!AK$6&lt;Inputs!$B$55+3*Inputs!$B$11),Inputs!$B$9*Inputs!$B$7/Inputs!$B$11,0)</f>
        <v>0</v>
      </c>
      <c r="AL452" s="33" t="n">
        <f aca="false">IF(AND(Source_Data!AL$6&gt;=Inputs!$B$55,Source_Data!AL$6&lt;Inputs!$B$55+3*Inputs!$B$11),Inputs!$B$9*Inputs!$B$7/Inputs!$B$11,0)</f>
        <v>0</v>
      </c>
      <c r="AM452" s="33" t="n">
        <f aca="false">IF(AND(Source_Data!AM$6&gt;=Inputs!$B$55,Source_Data!AM$6&lt;Inputs!$B$55+3*Inputs!$B$11),Inputs!$B$9*Inputs!$B$7/Inputs!$B$11,0)</f>
        <v>0</v>
      </c>
      <c r="AN452" s="33" t="n">
        <f aca="false">IF(AND(Source_Data!AN$6&gt;=Inputs!$B$55,Source_Data!AN$6&lt;Inputs!$B$55+3*Inputs!$B$11),Inputs!$B$9*Inputs!$B$7/Inputs!$B$11,0)</f>
        <v>0</v>
      </c>
      <c r="AO452" s="33" t="n">
        <f aca="false">IF(AND(Source_Data!AO$6&gt;=Inputs!$B$55,Source_Data!AO$6&lt;Inputs!$B$55+3*Inputs!$B$11),Inputs!$B$9*Inputs!$B$7/Inputs!$B$11,0)</f>
        <v>0</v>
      </c>
      <c r="AP452" s="33" t="n">
        <f aca="false">IF(AND(Source_Data!AP$6&gt;=Inputs!$B$55,Source_Data!AP$6&lt;Inputs!$B$55+3*Inputs!$B$11),Inputs!$B$9*Inputs!$B$7/Inputs!$B$11,0)</f>
        <v>0</v>
      </c>
      <c r="AQ452" s="33" t="n">
        <f aca="false">IF(AND(Source_Data!AQ$6&gt;=Inputs!$B$55,Source_Data!AQ$6&lt;Inputs!$B$55+3*Inputs!$B$11),Inputs!$B$9*Inputs!$B$7/Inputs!$B$11,0)</f>
        <v>0</v>
      </c>
      <c r="AR452" s="33" t="n">
        <f aca="false">IF(AND(Source_Data!AR$6&gt;=Inputs!$B$55,Source_Data!AR$6&lt;Inputs!$B$55+3*Inputs!$B$11),Inputs!$B$9*Inputs!$B$7/Inputs!$B$11,0)</f>
        <v>0</v>
      </c>
      <c r="AS452" s="33" t="n">
        <f aca="false">IF(AND(Source_Data!AS$6&gt;=Inputs!$B$55,Source_Data!AS$6&lt;Inputs!$B$55+3*Inputs!$B$11),Inputs!$B$9*Inputs!$B$7/Inputs!$B$11,0)</f>
        <v>0</v>
      </c>
      <c r="AT452" s="33" t="n">
        <f aca="false">IF(AND(Source_Data!AT$6&gt;=Inputs!$B$55,Source_Data!AT$6&lt;Inputs!$B$55+3*Inputs!$B$11),Inputs!$B$9*Inputs!$B$7/Inputs!$B$11,0)</f>
        <v>0</v>
      </c>
      <c r="AU452" s="33" t="n">
        <f aca="false">IF(AND(Source_Data!AU$6&gt;=Inputs!$B$55,Source_Data!AU$6&lt;Inputs!$B$55+3*Inputs!$B$11),Inputs!$B$9*Inputs!$B$7/Inputs!$B$11,0)</f>
        <v>0</v>
      </c>
      <c r="AV452" s="33" t="n">
        <f aca="false">IF(AND(Source_Data!AV$6&gt;=Inputs!$B$55,Source_Data!AV$6&lt;Inputs!$B$55+3*Inputs!$B$11),Inputs!$B$9*Inputs!$B$7/Inputs!$B$11,0)</f>
        <v>0</v>
      </c>
      <c r="AW452" s="33" t="n">
        <f aca="false">IF(AND(Source_Data!AW$6&gt;=Inputs!$B$55,Source_Data!AW$6&lt;Inputs!$B$55+3*Inputs!$B$11),Inputs!$B$9*Inputs!$B$7/Inputs!$B$11,0)</f>
        <v>0</v>
      </c>
      <c r="AX452" s="33" t="n">
        <f aca="false">IF(AND(Source_Data!AX$6&gt;=Inputs!$B$55,Source_Data!AX$6&lt;Inputs!$B$55+3*Inputs!$B$11),Inputs!$B$9*Inputs!$B$7/Inputs!$B$11,0)</f>
        <v>0</v>
      </c>
      <c r="AY452" s="33" t="n">
        <f aca="false">IF(AND(Source_Data!AY$6&gt;=Inputs!$B$55,Source_Data!AY$6&lt;Inputs!$B$55+3*Inputs!$B$11),Inputs!$B$9*Inputs!$B$7/Inputs!$B$11,0)</f>
        <v>0</v>
      </c>
      <c r="AZ452" s="33" t="n">
        <f aca="false">IF(AND(Source_Data!AZ$6&gt;=Inputs!$B$55,Source_Data!AZ$6&lt;Inputs!$B$55+3*Inputs!$B$11),Inputs!$B$9*Inputs!$B$7/Inputs!$B$11,0)</f>
        <v>0</v>
      </c>
      <c r="BA452" s="33" t="n">
        <f aca="false">IF(AND(Source_Data!BA$6&gt;=Inputs!$B$55,Source_Data!BA$6&lt;Inputs!$B$55+3*Inputs!$B$11),Inputs!$B$9*Inputs!$B$7/Inputs!$B$11,0)</f>
        <v>0</v>
      </c>
      <c r="BB452" s="33" t="n">
        <f aca="false">IF(AND(Source_Data!BB$6&gt;=Inputs!$B$55,Source_Data!BB$6&lt;Inputs!$B$55+3*Inputs!$B$11),Inputs!$B$9*Inputs!$B$7/Inputs!$B$11,0)</f>
        <v>0</v>
      </c>
      <c r="BC452" s="33" t="n">
        <f aca="false">IF(AND(Source_Data!BC$6&gt;=Inputs!$B$55,Source_Data!BC$6&lt;Inputs!$B$55+3*Inputs!$B$11),Inputs!$B$9*Inputs!$B$7/Inputs!$B$11,0)</f>
        <v>0</v>
      </c>
      <c r="BD452" s="33" t="n">
        <f aca="false">IF(AND(Source_Data!BD$6&gt;=Inputs!$B$55,Source_Data!BD$6&lt;Inputs!$B$55+3*Inputs!$B$11),Inputs!$B$9*Inputs!$B$7/Inputs!$B$11,0)</f>
        <v>0</v>
      </c>
      <c r="BE452" s="33" t="n">
        <f aca="false">IF(AND(Source_Data!BE$6&gt;=Inputs!$B$55,Source_Data!BE$6&lt;Inputs!$B$55+3*Inputs!$B$11),Inputs!$B$9*Inputs!$B$7/Inputs!$B$11,0)</f>
        <v>0</v>
      </c>
      <c r="BF452" s="33" t="n">
        <f aca="false">IF(AND(Source_Data!BF$6&gt;=Inputs!$B$55,Source_Data!BF$6&lt;Inputs!$B$55+3*Inputs!$B$11),Inputs!$B$9*Inputs!$B$7/Inputs!$B$11,0)</f>
        <v>0</v>
      </c>
      <c r="BG452" s="33" t="n">
        <f aca="false">IF(AND(Source_Data!BG$6&gt;=Inputs!$B$55,Source_Data!BG$6&lt;Inputs!$B$55+3*Inputs!$B$11),Inputs!$B$9*Inputs!$B$7/Inputs!$B$11,0)</f>
        <v>0</v>
      </c>
      <c r="BH452" s="33" t="n">
        <f aca="false">IF(AND(Source_Data!BH$6&gt;=Inputs!$B$55,Source_Data!BH$6&lt;Inputs!$B$55+3*Inputs!$B$11),Inputs!$B$9*Inputs!$B$7/Inputs!$B$11,0)</f>
        <v>0</v>
      </c>
      <c r="BI452" s="33" t="n">
        <f aca="false">IF(AND(Source_Data!BI$6&gt;=Inputs!$B$55,Source_Data!BI$6&lt;Inputs!$B$55+3*Inputs!$B$11),Inputs!$B$9*Inputs!$B$7/Inputs!$B$11,0)</f>
        <v>0</v>
      </c>
      <c r="BJ452" s="33" t="n">
        <f aca="false">IF(AND(Source_Data!BJ$6&gt;=Inputs!$B$55,Source_Data!BJ$6&lt;Inputs!$B$55+3*Inputs!$B$11),Inputs!$B$9*Inputs!$B$7/Inputs!$B$11,0)</f>
        <v>0</v>
      </c>
      <c r="BK452" s="33" t="n">
        <f aca="false">IF(AND(Source_Data!BK$6&gt;=Inputs!$B$55,Source_Data!BK$6&lt;Inputs!$B$55+3*Inputs!$B$11),Inputs!$B$9*Inputs!$B$7/Inputs!$B$11,0)</f>
        <v>0</v>
      </c>
    </row>
    <row r="453" customFormat="false" ht="15" hidden="false" customHeight="false" outlineLevel="0" collapsed="false">
      <c r="A453" s="3" t="s">
        <v>343</v>
      </c>
      <c r="D453" s="33" t="n">
        <f aca="false">IF(Source_Data!D$6=Inputs!$B$13,-Inputs!$B$7,0)+D452</f>
        <v>-75</v>
      </c>
      <c r="E453" s="33" t="n">
        <f aca="false">IF(Source_Data!E$6=Inputs!$B$13,-Inputs!$B$7,0)+E452</f>
        <v>0</v>
      </c>
      <c r="F453" s="33" t="n">
        <f aca="false">IF(Source_Data!F$6=Inputs!$B$13,-Inputs!$B$7,0)+F452</f>
        <v>0</v>
      </c>
      <c r="G453" s="33" t="n">
        <f aca="false">IF(Source_Data!G$6=Inputs!$B$13,-Inputs!$B$7,0)+G452</f>
        <v>0</v>
      </c>
      <c r="H453" s="33" t="n">
        <f aca="false">IF(Source_Data!H$6=Inputs!$B$13,-Inputs!$B$7,0)+H452</f>
        <v>0</v>
      </c>
      <c r="I453" s="33" t="n">
        <f aca="false">IF(Source_Data!I$6=Inputs!$B$13,-Inputs!$B$7,0)+I452</f>
        <v>0</v>
      </c>
      <c r="J453" s="33" t="n">
        <f aca="false">IF(Source_Data!J$6=Inputs!$B$13,-Inputs!$B$7,0)+J452</f>
        <v>0</v>
      </c>
      <c r="K453" s="33" t="n">
        <f aca="false">IF(Source_Data!K$6=Inputs!$B$13,-Inputs!$B$7,0)+K452</f>
        <v>0</v>
      </c>
      <c r="L453" s="33" t="n">
        <f aca="false">IF(Source_Data!L$6=Inputs!$B$13,-Inputs!$B$7,0)+L452</f>
        <v>0</v>
      </c>
      <c r="M453" s="33" t="n">
        <f aca="false">IF(Source_Data!M$6=Inputs!$B$13,-Inputs!$B$7,0)+M452</f>
        <v>14.375</v>
      </c>
      <c r="N453" s="33" t="n">
        <f aca="false">IF(Source_Data!N$6=Inputs!$B$13,-Inputs!$B$7,0)+N452</f>
        <v>14.375</v>
      </c>
      <c r="O453" s="33" t="n">
        <f aca="false">IF(Source_Data!O$6=Inputs!$B$13,-Inputs!$B$7,0)+O452</f>
        <v>14.375</v>
      </c>
      <c r="P453" s="33" t="n">
        <f aca="false">IF(Source_Data!P$6=Inputs!$B$13,-Inputs!$B$7,0)+P452</f>
        <v>14.375</v>
      </c>
      <c r="Q453" s="33" t="n">
        <f aca="false">IF(Source_Data!Q$6=Inputs!$B$13,-Inputs!$B$7,0)+Q452</f>
        <v>14.375</v>
      </c>
      <c r="R453" s="33" t="n">
        <f aca="false">IF(Source_Data!R$6=Inputs!$B$13,-Inputs!$B$7,0)+R452</f>
        <v>14.375</v>
      </c>
      <c r="S453" s="33" t="n">
        <f aca="false">IF(Source_Data!S$6=Inputs!$B$13,-Inputs!$B$7,0)+S452</f>
        <v>14.375</v>
      </c>
      <c r="T453" s="33" t="n">
        <f aca="false">IF(Source_Data!T$6=Inputs!$B$13,-Inputs!$B$7,0)+T452</f>
        <v>14.375</v>
      </c>
      <c r="U453" s="33" t="n">
        <f aca="false">IF(Source_Data!U$6=Inputs!$B$13,-Inputs!$B$7,0)+U452</f>
        <v>14.375</v>
      </c>
      <c r="V453" s="33" t="n">
        <f aca="false">IF(Source_Data!V$6=Inputs!$B$13,-Inputs!$B$7,0)+V452</f>
        <v>14.375</v>
      </c>
      <c r="W453" s="33" t="n">
        <f aca="false">IF(Source_Data!W$6=Inputs!$B$13,-Inputs!$B$7,0)+W452</f>
        <v>14.375</v>
      </c>
      <c r="X453" s="33" t="n">
        <f aca="false">IF(Source_Data!X$6=Inputs!$B$13,-Inputs!$B$7,0)+X452</f>
        <v>14.375</v>
      </c>
      <c r="Y453" s="33" t="n">
        <f aca="false">IF(Source_Data!Y$6=Inputs!$B$13,-Inputs!$B$7,0)+Y452</f>
        <v>0</v>
      </c>
      <c r="Z453" s="33" t="n">
        <f aca="false">IF(Source_Data!Z$6=Inputs!$B$13,-Inputs!$B$7,0)+Z452</f>
        <v>0</v>
      </c>
      <c r="AA453" s="33" t="n">
        <f aca="false">IF(Source_Data!AA$6=Inputs!$B$13,-Inputs!$B$7,0)+AA452</f>
        <v>0</v>
      </c>
      <c r="AB453" s="33" t="n">
        <f aca="false">IF(Source_Data!AB$6=Inputs!$B$13,-Inputs!$B$7,0)+AB452</f>
        <v>0</v>
      </c>
      <c r="AC453" s="33" t="n">
        <f aca="false">IF(Source_Data!AC$6=Inputs!$B$13,-Inputs!$B$7,0)+AC452</f>
        <v>0</v>
      </c>
      <c r="AD453" s="33" t="n">
        <f aca="false">IF(Source_Data!AD$6=Inputs!$B$13,-Inputs!$B$7,0)+AD452</f>
        <v>0</v>
      </c>
      <c r="AE453" s="33" t="n">
        <f aca="false">IF(Source_Data!AE$6=Inputs!$B$13,-Inputs!$B$7,0)+AE452</f>
        <v>0</v>
      </c>
      <c r="AF453" s="33" t="n">
        <f aca="false">IF(Source_Data!AF$6=Inputs!$B$13,-Inputs!$B$7,0)+AF452</f>
        <v>0</v>
      </c>
      <c r="AG453" s="33" t="n">
        <f aca="false">IF(Source_Data!AG$6=Inputs!$B$13,-Inputs!$B$7,0)+AG452</f>
        <v>0</v>
      </c>
      <c r="AH453" s="33" t="n">
        <f aca="false">IF(Source_Data!AH$6=Inputs!$B$13,-Inputs!$B$7,0)+AH452</f>
        <v>0</v>
      </c>
      <c r="AI453" s="33" t="n">
        <f aca="false">IF(Source_Data!AI$6=Inputs!$B$13,-Inputs!$B$7,0)+AI452</f>
        <v>0</v>
      </c>
      <c r="AJ453" s="33" t="n">
        <f aca="false">IF(Source_Data!AJ$6=Inputs!$B$13,-Inputs!$B$7,0)+AJ452</f>
        <v>0</v>
      </c>
      <c r="AK453" s="33" t="n">
        <f aca="false">IF(Source_Data!AK$6=Inputs!$B$13,-Inputs!$B$7,0)+AK452</f>
        <v>0</v>
      </c>
      <c r="AL453" s="33" t="n">
        <f aca="false">IF(Source_Data!AL$6=Inputs!$B$13,-Inputs!$B$7,0)+AL452</f>
        <v>0</v>
      </c>
      <c r="AM453" s="33" t="n">
        <f aca="false">IF(Source_Data!AM$6=Inputs!$B$13,-Inputs!$B$7,0)+AM452</f>
        <v>0</v>
      </c>
      <c r="AN453" s="33" t="n">
        <f aca="false">IF(Source_Data!AN$6=Inputs!$B$13,-Inputs!$B$7,0)+AN452</f>
        <v>0</v>
      </c>
      <c r="AO453" s="33" t="n">
        <f aca="false">IF(Source_Data!AO$6=Inputs!$B$13,-Inputs!$B$7,0)+AO452</f>
        <v>0</v>
      </c>
      <c r="AP453" s="33" t="n">
        <f aca="false">IF(Source_Data!AP$6=Inputs!$B$13,-Inputs!$B$7,0)+AP452</f>
        <v>0</v>
      </c>
      <c r="AQ453" s="33" t="n">
        <f aca="false">IF(Source_Data!AQ$6=Inputs!$B$13,-Inputs!$B$7,0)+AQ452</f>
        <v>0</v>
      </c>
      <c r="AR453" s="33" t="n">
        <f aca="false">IF(Source_Data!AR$6=Inputs!$B$13,-Inputs!$B$7,0)+AR452</f>
        <v>0</v>
      </c>
      <c r="AS453" s="33" t="n">
        <f aca="false">IF(Source_Data!AS$6=Inputs!$B$13,-Inputs!$B$7,0)+AS452</f>
        <v>0</v>
      </c>
      <c r="AT453" s="33" t="n">
        <f aca="false">IF(Source_Data!AT$6=Inputs!$B$13,-Inputs!$B$7,0)+AT452</f>
        <v>0</v>
      </c>
      <c r="AU453" s="33" t="n">
        <f aca="false">IF(Source_Data!AU$6=Inputs!$B$13,-Inputs!$B$7,0)+AU452</f>
        <v>0</v>
      </c>
      <c r="AV453" s="33" t="n">
        <f aca="false">IF(Source_Data!AV$6=Inputs!$B$13,-Inputs!$B$7,0)+AV452</f>
        <v>0</v>
      </c>
      <c r="AW453" s="33" t="n">
        <f aca="false">IF(Source_Data!AW$6=Inputs!$B$13,-Inputs!$B$7,0)+AW452</f>
        <v>0</v>
      </c>
      <c r="AX453" s="33" t="n">
        <f aca="false">IF(Source_Data!AX$6=Inputs!$B$13,-Inputs!$B$7,0)+AX452</f>
        <v>0</v>
      </c>
      <c r="AY453" s="33" t="n">
        <f aca="false">IF(Source_Data!AY$6=Inputs!$B$13,-Inputs!$B$7,0)+AY452</f>
        <v>0</v>
      </c>
      <c r="AZ453" s="33" t="n">
        <f aca="false">IF(Source_Data!AZ$6=Inputs!$B$13,-Inputs!$B$7,0)+AZ452</f>
        <v>0</v>
      </c>
      <c r="BA453" s="33" t="n">
        <f aca="false">IF(Source_Data!BA$6=Inputs!$B$13,-Inputs!$B$7,0)+BA452</f>
        <v>0</v>
      </c>
      <c r="BB453" s="33" t="n">
        <f aca="false">IF(Source_Data!BB$6=Inputs!$B$13,-Inputs!$B$7,0)+BB452</f>
        <v>0</v>
      </c>
      <c r="BC453" s="33" t="n">
        <f aca="false">IF(Source_Data!BC$6=Inputs!$B$13,-Inputs!$B$7,0)+BC452</f>
        <v>0</v>
      </c>
      <c r="BD453" s="33" t="n">
        <f aca="false">IF(Source_Data!BD$6=Inputs!$B$13,-Inputs!$B$7,0)+BD452</f>
        <v>0</v>
      </c>
      <c r="BE453" s="33" t="n">
        <f aca="false">IF(Source_Data!BE$6=Inputs!$B$13,-Inputs!$B$7,0)+BE452</f>
        <v>0</v>
      </c>
      <c r="BF453" s="33" t="n">
        <f aca="false">IF(Source_Data!BF$6=Inputs!$B$13,-Inputs!$B$7,0)+BF452</f>
        <v>0</v>
      </c>
      <c r="BG453" s="33" t="n">
        <f aca="false">IF(Source_Data!BG$6=Inputs!$B$13,-Inputs!$B$7,0)+BG452</f>
        <v>0</v>
      </c>
      <c r="BH453" s="33" t="n">
        <f aca="false">IF(Source_Data!BH$6=Inputs!$B$13,-Inputs!$B$7,0)+BH452</f>
        <v>0</v>
      </c>
      <c r="BI453" s="33" t="n">
        <f aca="false">IF(Source_Data!BI$6=Inputs!$B$13,-Inputs!$B$7,0)+BI452</f>
        <v>0</v>
      </c>
      <c r="BJ453" s="33" t="n">
        <f aca="false">IF(Source_Data!BJ$6=Inputs!$B$13,-Inputs!$B$7,0)+BJ452</f>
        <v>0</v>
      </c>
      <c r="BK453" s="33" t="n">
        <f aca="false">IF(Source_Data!BK$6=Inputs!$B$13,-Inputs!$B$7,0)+BK452</f>
        <v>0</v>
      </c>
    </row>
    <row r="454" customFormat="false" ht="15" hidden="false" customHeight="false" outlineLevel="0" collapsed="false">
      <c r="A454" s="3" t="s">
        <v>344</v>
      </c>
      <c r="D454" s="33" t="n">
        <f aca="false">IF(Source_Data!D$6=Inputs!$B$13,Inputs!$B$7,0)+D449-D452</f>
        <v>-16.25</v>
      </c>
      <c r="E454" s="33" t="n">
        <f aca="false">D454+IF(Source_Data!E$6=Inputs!$B$13,Inputs!$B$7,0)+E449-E452</f>
        <v>-27.5</v>
      </c>
      <c r="F454" s="33" t="n">
        <f aca="false">E454+IF(Source_Data!F$6=Inputs!$B$13,Inputs!$B$7,0)+F449-F452</f>
        <v>-38.75</v>
      </c>
      <c r="G454" s="33" t="n">
        <f aca="false">F454+IF(Source_Data!G$6=Inputs!$B$13,Inputs!$B$7,0)+G449-G452</f>
        <v>-50</v>
      </c>
      <c r="H454" s="33" t="n">
        <f aca="false">G454+IF(Source_Data!H$6=Inputs!$B$13,Inputs!$B$7,0)+H449-H452</f>
        <v>-95.5</v>
      </c>
      <c r="I454" s="33" t="n">
        <f aca="false">H454+IF(Source_Data!I$6=Inputs!$B$13,Inputs!$B$7,0)+I449-I452</f>
        <v>-148.36</v>
      </c>
      <c r="J454" s="33" t="n">
        <f aca="false">I454+IF(Source_Data!J$6=Inputs!$B$13,Inputs!$B$7,0)+J449-J452</f>
        <v>-213.8321525</v>
      </c>
      <c r="K454" s="33" t="n">
        <f aca="false">J454+IF(Source_Data!K$6=Inputs!$B$13,Inputs!$B$7,0)+K449-K452</f>
        <v>-248.5250675</v>
      </c>
      <c r="L454" s="33" t="n">
        <f aca="false">K454+IF(Source_Data!L$6=Inputs!$B$13,Inputs!$B$7,0)+L449-L452</f>
        <v>-275.64432125</v>
      </c>
      <c r="M454" s="33" t="n">
        <f aca="false">L454+IF(Source_Data!M$6=Inputs!$B$13,Inputs!$B$7,0)+M449-M452</f>
        <v>-300.90504375</v>
      </c>
      <c r="N454" s="33" t="n">
        <f aca="false">M454+IF(Source_Data!N$6=Inputs!$B$13,Inputs!$B$7,0)+N449-N452</f>
        <v>-299.72535375</v>
      </c>
      <c r="O454" s="33" t="n">
        <f aca="false">N454+IF(Source_Data!O$6=Inputs!$B$13,Inputs!$B$7,0)+O449-O452</f>
        <v>-297.437804375</v>
      </c>
      <c r="P454" s="33" t="n">
        <f aca="false">O454+IF(Source_Data!P$6=Inputs!$B$13,Inputs!$B$7,0)+P449-P452</f>
        <v>-422.1819959375</v>
      </c>
      <c r="Q454" s="33" t="n">
        <f aca="false">P454+IF(Source_Data!Q$6=Inputs!$B$13,Inputs!$B$7,0)+Q449-Q452</f>
        <v>-133.5639584375</v>
      </c>
      <c r="R454" s="33" t="n">
        <f aca="false">Q454+IF(Source_Data!R$6=Inputs!$B$13,Inputs!$B$7,0)+R449-R452</f>
        <v>-205.2220084375</v>
      </c>
      <c r="S454" s="33" t="n">
        <f aca="false">R454+IF(Source_Data!S$6=Inputs!$B$13,Inputs!$B$7,0)+S449-S452</f>
        <v>-229.2692084375</v>
      </c>
      <c r="T454" s="33" t="n">
        <f aca="false">S454+IF(Source_Data!T$6=Inputs!$B$13,Inputs!$B$7,0)+T449-T452</f>
        <v>-191.3334584375</v>
      </c>
      <c r="U454" s="33" t="n">
        <f aca="false">T454+IF(Source_Data!U$6=Inputs!$B$13,Inputs!$B$7,0)+U449-U452</f>
        <v>-179.3984896875</v>
      </c>
      <c r="V454" s="33" t="n">
        <f aca="false">U454+IF(Source_Data!V$6=Inputs!$B$13,Inputs!$B$7,0)+V449-V452</f>
        <v>-167.4635209375</v>
      </c>
      <c r="W454" s="33" t="n">
        <f aca="false">V454+IF(Source_Data!W$6=Inputs!$B$13,Inputs!$B$7,0)+W449-W452</f>
        <v>-158.8014853125</v>
      </c>
      <c r="X454" s="33" t="n">
        <f aca="false">W454+IF(Source_Data!X$6=Inputs!$B$13,Inputs!$B$7,0)+X449-X452</f>
        <v>-134.449845625</v>
      </c>
      <c r="Y454" s="33" t="n">
        <f aca="false">X454+IF(Source_Data!Y$6=Inputs!$B$13,Inputs!$B$7,0)+Y449-Y452</f>
        <v>-97.2371296875001</v>
      </c>
      <c r="Z454" s="33" t="n">
        <f aca="false">Y454+IF(Source_Data!Z$6=Inputs!$B$13,Inputs!$B$7,0)+Z449-Z452</f>
        <v>-66.0131850000001</v>
      </c>
      <c r="AA454" s="33" t="n">
        <f aca="false">Z454+IF(Source_Data!AA$6=Inputs!$B$13,Inputs!$B$7,0)+AA449-AA452</f>
        <v>-39.1302403125001</v>
      </c>
      <c r="AB454" s="33" t="n">
        <f aca="false">AA454+IF(Source_Data!AB$6=Inputs!$B$13,Inputs!$B$7,0)+AB449-AB452</f>
        <v>10.2527043749999</v>
      </c>
      <c r="AC454" s="33" t="n">
        <f aca="false">AB454+IF(Source_Data!AC$6=Inputs!$B$13,Inputs!$B$7,0)+AC449-AC452</f>
        <v>52.3554303124999</v>
      </c>
      <c r="AD454" s="33" t="n">
        <f aca="false">AC454+IF(Source_Data!AD$6=Inputs!$B$13,Inputs!$B$7,0)+AD449-AD452</f>
        <v>94.4581562499999</v>
      </c>
      <c r="AE454" s="33" t="n">
        <f aca="false">AD454+IF(Source_Data!AE$6=Inputs!$B$13,Inputs!$B$7,0)+AE449-AE452</f>
        <v>136.5608821875</v>
      </c>
      <c r="AF454" s="33" t="n">
        <f aca="false">AE454+IF(Source_Data!AF$6=Inputs!$B$13,Inputs!$B$7,0)+AF449-AF452</f>
        <v>65.1173977734374</v>
      </c>
      <c r="AG454" s="33" t="n">
        <f aca="false">AF454+IF(Source_Data!AG$6=Inputs!$B$13,Inputs!$B$7,0)+AG449-AG452</f>
        <v>87.1795128515624</v>
      </c>
      <c r="AH454" s="33" t="n">
        <f aca="false">AG454+IF(Source_Data!AH$6=Inputs!$B$13,Inputs!$B$7,0)+AH449-AH452</f>
        <v>105.633171679687</v>
      </c>
      <c r="AI454" s="33" t="n">
        <f aca="false">AH454+IF(Source_Data!AI$6=Inputs!$B$13,Inputs!$B$7,0)+AI449-AI452</f>
        <v>119.745830507812</v>
      </c>
      <c r="AJ454" s="33" t="n">
        <f aca="false">AI454+IF(Source_Data!AJ$6=Inputs!$B$13,Inputs!$B$7,0)+AJ449-AJ452</f>
        <v>133.858489335937</v>
      </c>
      <c r="AK454" s="33" t="n">
        <f aca="false">AJ454+IF(Source_Data!AK$6=Inputs!$B$13,Inputs!$B$7,0)+AK449-AK452</f>
        <v>148.926676875</v>
      </c>
      <c r="AL454" s="33" t="n">
        <f aca="false">AK454+IF(Source_Data!AL$6=Inputs!$B$13,Inputs!$B$7,0)+AL449-AL452</f>
        <v>163.994864414062</v>
      </c>
      <c r="AM454" s="33" t="n">
        <f aca="false">AL454+IF(Source_Data!AM$6=Inputs!$B$13,Inputs!$B$7,0)+AM449-AM452</f>
        <v>180.885480625</v>
      </c>
      <c r="AN454" s="33" t="n">
        <f aca="false">AM454+IF(Source_Data!AN$6=Inputs!$B$13,Inputs!$B$7,0)+AN449-AN452</f>
        <v>201.76320359375</v>
      </c>
      <c r="AO454" s="33" t="n">
        <f aca="false">AN454+IF(Source_Data!AO$6=Inputs!$B$13,Inputs!$B$7,0)+AO449-AO452</f>
        <v>223.1062275</v>
      </c>
      <c r="AP454" s="33" t="n">
        <f aca="false">AO454+IF(Source_Data!AP$6=Inputs!$B$13,Inputs!$B$7,0)+AP449-AP452</f>
        <v>246.011333125</v>
      </c>
      <c r="AQ454" s="33" t="n">
        <f aca="false">AP454+IF(Source_Data!AQ$6=Inputs!$B$13,Inputs!$B$7,0)+AQ449-AQ452</f>
        <v>264.7508875</v>
      </c>
      <c r="AR454" s="33" t="n">
        <f aca="false">AQ454+IF(Source_Data!AR$6=Inputs!$B$13,Inputs!$B$7,0)+AR449-AR452</f>
        <v>274.377055</v>
      </c>
      <c r="AS454" s="33" t="n">
        <f aca="false">AR454+IF(Source_Data!AS$6=Inputs!$B$13,Inputs!$B$7,0)+AS449-AS452</f>
        <v>277.9475275</v>
      </c>
      <c r="AT454" s="33" t="n">
        <f aca="false">AS454+IF(Source_Data!AT$6=Inputs!$B$13,Inputs!$B$7,0)+AT449-AT452</f>
        <v>277.9475275</v>
      </c>
      <c r="AU454" s="33" t="n">
        <f aca="false">AT454+IF(Source_Data!AU$6=Inputs!$B$13,Inputs!$B$7,0)+AU449-AU452</f>
        <v>277.9475275</v>
      </c>
      <c r="AV454" s="33" t="n">
        <f aca="false">AU454+IF(Source_Data!AV$6=Inputs!$B$13,Inputs!$B$7,0)+AV449-AV452</f>
        <v>277.9475275</v>
      </c>
      <c r="AW454" s="33" t="n">
        <f aca="false">AV454+IF(Source_Data!AW$6=Inputs!$B$13,Inputs!$B$7,0)+AW449-AW452</f>
        <v>277.9475275</v>
      </c>
      <c r="AX454" s="33" t="n">
        <f aca="false">AW454+IF(Source_Data!AX$6=Inputs!$B$13,Inputs!$B$7,0)+AX449-AX452</f>
        <v>277.9475275</v>
      </c>
      <c r="AY454" s="33" t="n">
        <f aca="false">AX454+IF(Source_Data!AY$6=Inputs!$B$13,Inputs!$B$7,0)+AY449-AY452</f>
        <v>277.9475275</v>
      </c>
      <c r="AZ454" s="33" t="n">
        <f aca="false">AY454+IF(Source_Data!AZ$6=Inputs!$B$13,Inputs!$B$7,0)+AZ449-AZ452</f>
        <v>277.9475275</v>
      </c>
      <c r="BA454" s="33" t="n">
        <f aca="false">AZ454+IF(Source_Data!BA$6=Inputs!$B$13,Inputs!$B$7,0)+BA449-BA452</f>
        <v>277.9475275</v>
      </c>
      <c r="BB454" s="33" t="n">
        <f aca="false">BA454+IF(Source_Data!BB$6=Inputs!$B$13,Inputs!$B$7,0)+BB449-BB452</f>
        <v>277.9475275</v>
      </c>
      <c r="BC454" s="33" t="n">
        <f aca="false">BB454+IF(Source_Data!BC$6=Inputs!$B$13,Inputs!$B$7,0)+BC449-BC452</f>
        <v>277.9475275</v>
      </c>
      <c r="BD454" s="33" t="n">
        <f aca="false">BC454+IF(Source_Data!BD$6=Inputs!$B$13,Inputs!$B$7,0)+BD449-BD452</f>
        <v>277.9475275</v>
      </c>
      <c r="BE454" s="33" t="n">
        <f aca="false">BD454+IF(Source_Data!BE$6=Inputs!$B$13,Inputs!$B$7,0)+BE449-BE452</f>
        <v>277.9475275</v>
      </c>
      <c r="BF454" s="33" t="n">
        <f aca="false">BE454+IF(Source_Data!BF$6=Inputs!$B$13,Inputs!$B$7,0)+BF449-BF452</f>
        <v>277.9475275</v>
      </c>
      <c r="BG454" s="33" t="n">
        <f aca="false">BF454+IF(Source_Data!BG$6=Inputs!$B$13,Inputs!$B$7,0)+BG449-BG452</f>
        <v>277.9475275</v>
      </c>
      <c r="BH454" s="33" t="n">
        <f aca="false">BG454+IF(Source_Data!BH$6=Inputs!$B$13,Inputs!$B$7,0)+BH449-BH452</f>
        <v>277.9475275</v>
      </c>
      <c r="BI454" s="33" t="n">
        <f aca="false">BH454+IF(Source_Data!BI$6=Inputs!$B$13,Inputs!$B$7,0)+BI449-BI452</f>
        <v>277.9475275</v>
      </c>
      <c r="BJ454" s="33" t="n">
        <f aca="false">BI454+IF(Source_Data!BJ$6=Inputs!$B$13,Inputs!$B$7,0)+BJ449-BJ452</f>
        <v>277.9475275</v>
      </c>
      <c r="BK454" s="33" t="n">
        <f aca="false">BJ454+IF(Source_Data!BK$6=Inputs!$B$13,Inputs!$B$7,0)+BK449-BK452</f>
        <v>277.9475275</v>
      </c>
    </row>
    <row r="455" customFormat="false" ht="15" hidden="false" customHeight="false" outlineLevel="0" collapsed="false">
      <c r="A455" s="3" t="s">
        <v>345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-0.757267652173913</v>
      </c>
      <c r="N455" s="31" t="n">
        <f aca="false">IF(N452&gt;0,N449/N452,"")</f>
        <v>1.08206539130435</v>
      </c>
      <c r="O455" s="31" t="n">
        <f aca="false">IF(O452&gt;0,O449/O452,"")</f>
        <v>1.15913386956522</v>
      </c>
      <c r="P455" s="31" t="n">
        <f aca="false">IF(P452&gt;0,P449/P452,"")</f>
        <v>-7.67785680434783</v>
      </c>
      <c r="Q455" s="31" t="n">
        <f aca="false">IF(Q452&gt;0,Q449/Q452,"")</f>
        <v>21.0777765217391</v>
      </c>
      <c r="R455" s="31" t="n">
        <f aca="false">IF(R452&gt;0,R449/R452,"")</f>
        <v>-3.98490782608696</v>
      </c>
      <c r="S455" s="31" t="n">
        <f aca="false">IF(S452&gt;0,S449/S452,"")</f>
        <v>-0.672848695652175</v>
      </c>
      <c r="T455" s="31" t="n">
        <f aca="false">IF(T452&gt;0,T449/T452,"")</f>
        <v>3.63900869565217</v>
      </c>
      <c r="U455" s="31" t="n">
        <f aca="false">IF(U452&gt;0,U449/U452,"")</f>
        <v>1.83025869565217</v>
      </c>
      <c r="V455" s="31" t="n">
        <f aca="false">IF(V452&gt;0,V449/V452,"")</f>
        <v>1.83025869565217</v>
      </c>
      <c r="W455" s="31" t="n">
        <f aca="false">IF(W452&gt;0,W449/W452,"")</f>
        <v>1.60257639130435</v>
      </c>
      <c r="X455" s="31" t="n">
        <f aca="false">IF(X452&gt;0,X449/X452,"")</f>
        <v>2.69402710869565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346</v>
      </c>
      <c r="D456" s="31" t="str">
        <f aca="false">IF(D452&gt;0,(0+D449+IF(Source_Data!D$6=Inputs!$B$13,Inputs!$B$7,0))/D452,"")</f>
        <v/>
      </c>
      <c r="E456" s="31" t="str">
        <f aca="false">IF(E452&gt;0,(D454+E449+IF(Source_Data!E$6=Inputs!$B$13,Inputs!$B$7,0))/E452,"")</f>
        <v/>
      </c>
      <c r="F456" s="31" t="str">
        <f aca="false">IF(F452&gt;0,(E454+F449+IF(Source_Data!F$6=Inputs!$B$13,Inputs!$B$7,0))/F452,"")</f>
        <v/>
      </c>
      <c r="G456" s="31" t="str">
        <f aca="false">IF(G452&gt;0,(F454+G449+IF(Source_Data!G$6=Inputs!$B$13,Inputs!$B$7,0))/G452,"")</f>
        <v/>
      </c>
      <c r="H456" s="31" t="str">
        <f aca="false">IF(H452&gt;0,(G454+H449+IF(Source_Data!H$6=Inputs!$B$13,Inputs!$B$7,0))/H452,"")</f>
        <v/>
      </c>
      <c r="I456" s="31" t="str">
        <f aca="false">IF(I452&gt;0,(H454+I449+IF(Source_Data!I$6=Inputs!$B$13,Inputs!$B$7,0))/I452,"")</f>
        <v/>
      </c>
      <c r="J456" s="31" t="str">
        <f aca="false">IF(J452&gt;0,(I454+J449+IF(Source_Data!J$6=Inputs!$B$13,Inputs!$B$7,0))/J452,"")</f>
        <v/>
      </c>
      <c r="K456" s="31" t="str">
        <f aca="false">IF(K452&gt;0,(J454+K449+IF(Source_Data!K$6=Inputs!$B$13,Inputs!$B$7,0))/K452,"")</f>
        <v/>
      </c>
      <c r="L456" s="31" t="str">
        <f aca="false">IF(L452&gt;0,(K454+L449+IF(Source_Data!L$6=Inputs!$B$13,Inputs!$B$7,0))/L452,"")</f>
        <v/>
      </c>
      <c r="M456" s="31" t="n">
        <f aca="false">IF(M452&gt;0,(L454+M449+IF(Source_Data!M$6=Inputs!$B$13,Inputs!$B$7,0))/M452,"")</f>
        <v>-19.9325247826087</v>
      </c>
      <c r="N456" s="31" t="n">
        <f aca="false">IF(N452&gt;0,(M454+N449+IF(Source_Data!N$6=Inputs!$B$13,Inputs!$B$7,0))/N452,"")</f>
        <v>-19.8504593913043</v>
      </c>
      <c r="O456" s="31" t="n">
        <f aca="false">IF(O452&gt;0,(N454+O449+IF(Source_Data!O$6=Inputs!$B$13,Inputs!$B$7,0))/O452,"")</f>
        <v>-19.6913255217391</v>
      </c>
      <c r="P456" s="31" t="n">
        <f aca="false">IF(P452&gt;0,(O454+P449+IF(Source_Data!P$6=Inputs!$B$13,Inputs!$B$7,0))/P452,"")</f>
        <v>-28.369182326087</v>
      </c>
      <c r="Q456" s="31" t="n">
        <f aca="false">IF(Q452&gt;0,(P454+Q449+IF(Source_Data!Q$6=Inputs!$B$13,Inputs!$B$7,0))/Q452,"")</f>
        <v>-8.29140580434783</v>
      </c>
      <c r="R456" s="31" t="n">
        <f aca="false">IF(R452&gt;0,(Q454+R449+IF(Source_Data!R$6=Inputs!$B$13,Inputs!$B$7,0))/R452,"")</f>
        <v>-13.2763136304348</v>
      </c>
      <c r="S456" s="31" t="n">
        <f aca="false">IF(S452&gt;0,(R454+S449+IF(Source_Data!S$6=Inputs!$B$13,Inputs!$B$7,0))/S452,"")</f>
        <v>-14.949162326087</v>
      </c>
      <c r="T456" s="31" t="n">
        <f aca="false">IF(T452&gt;0,(S454+T449+IF(Source_Data!T$6=Inputs!$B$13,Inputs!$B$7,0))/T452,"")</f>
        <v>-12.3101536304348</v>
      </c>
      <c r="U456" s="31" t="n">
        <f aca="false">IF(U452&gt;0,(T454+U449+IF(Source_Data!U$6=Inputs!$B$13,Inputs!$B$7,0))/U452,"")</f>
        <v>-11.4798949347826</v>
      </c>
      <c r="V456" s="31" t="n">
        <f aca="false">IF(V452&gt;0,(U454+V449+IF(Source_Data!V$6=Inputs!$B$13,Inputs!$B$7,0))/V452,"")</f>
        <v>-10.6496362391304</v>
      </c>
      <c r="W456" s="31" t="n">
        <f aca="false">IF(W452&gt;0,(V454+W449+IF(Source_Data!W$6=Inputs!$B$13,Inputs!$B$7,0))/W452,"")</f>
        <v>-10.0470598478261</v>
      </c>
      <c r="X456" s="31" t="n">
        <f aca="false">IF(X452&gt;0,(W454+X449+IF(Source_Data!X$6=Inputs!$B$13,Inputs!$B$7,0))/X452,"")</f>
        <v>-8.35303273913044</v>
      </c>
      <c r="Y456" s="31" t="str">
        <f aca="false">IF(Y452&gt;0,(X454+Y449+IF(Source_Data!Y$6=Inputs!$B$13,Inputs!$B$7,0))/Y452,"")</f>
        <v/>
      </c>
      <c r="Z456" s="31" t="str">
        <f aca="false">IF(Z452&gt;0,(Y454+Z449+IF(Source_Data!Z$6=Inputs!$B$13,Inputs!$B$7,0))/Z452,"")</f>
        <v/>
      </c>
      <c r="AA456" s="31" t="str">
        <f aca="false">IF(AA452&gt;0,(Z454+AA449+IF(Source_Data!AA$6=Inputs!$B$13,Inputs!$B$7,0))/AA452,"")</f>
        <v/>
      </c>
      <c r="AB456" s="31" t="str">
        <f aca="false">IF(AB452&gt;0,(AA454+AB449+IF(Source_Data!AB$6=Inputs!$B$13,Inputs!$B$7,0))/AB452,"")</f>
        <v/>
      </c>
      <c r="AC456" s="31" t="str">
        <f aca="false">IF(AC452&gt;0,(AB454+AC449+IF(Source_Data!AC$6=Inputs!$B$13,Inputs!$B$7,0))/AC452,"")</f>
        <v/>
      </c>
      <c r="AD456" s="31" t="str">
        <f aca="false">IF(AD452&gt;0,(AC454+AD449+IF(Source_Data!AD$6=Inputs!$B$13,Inputs!$B$7,0))/AD452,"")</f>
        <v/>
      </c>
      <c r="AE456" s="31" t="str">
        <f aca="false">IF(AE452&gt;0,(AD454+AE449+IF(Source_Data!AE$6=Inputs!$B$13,Inputs!$B$7,0))/AE452,"")</f>
        <v/>
      </c>
      <c r="AF456" s="31" t="str">
        <f aca="false">IF(AF452&gt;0,(AE454+AF449+IF(Source_Data!AF$6=Inputs!$B$13,Inputs!$B$7,0))/AF452,"")</f>
        <v/>
      </c>
      <c r="AG456" s="31" t="str">
        <f aca="false">IF(AG452&gt;0,(AF454+AG449+IF(Source_Data!AG$6=Inputs!$B$13,Inputs!$B$7,0))/AG452,"")</f>
        <v/>
      </c>
      <c r="AH456" s="31" t="str">
        <f aca="false">IF(AH452&gt;0,(AG454+AH449+IF(Source_Data!AH$6=Inputs!$B$13,Inputs!$B$7,0))/AH452,"")</f>
        <v/>
      </c>
      <c r="AI456" s="31" t="str">
        <f aca="false">IF(AI452&gt;0,(AH454+AI449+IF(Source_Data!AI$6=Inputs!$B$13,Inputs!$B$7,0))/AI452,"")</f>
        <v/>
      </c>
      <c r="AJ456" s="31" t="str">
        <f aca="false">IF(AJ452&gt;0,(AI454+AJ449+IF(Source_Data!AJ$6=Inputs!$B$13,Inputs!$B$7,0))/AJ452,"")</f>
        <v/>
      </c>
      <c r="AK456" s="31" t="str">
        <f aca="false">IF(AK452&gt;0,(AJ454+AK449+IF(Source_Data!AK$6=Inputs!$B$13,Inputs!$B$7,0))/AK452,"")</f>
        <v/>
      </c>
      <c r="AL456" s="31" t="str">
        <f aca="false">IF(AL452&gt;0,(AK454+AL449+IF(Source_Data!AL$6=Inputs!$B$13,Inputs!$B$7,0))/AL452,"")</f>
        <v/>
      </c>
      <c r="AM456" s="31" t="str">
        <f aca="false">IF(AM452&gt;0,(AL454+AM449+IF(Source_Data!AM$6=Inputs!$B$13,Inputs!$B$7,0))/AM452,"")</f>
        <v/>
      </c>
      <c r="AN456" s="31" t="str">
        <f aca="false">IF(AN452&gt;0,(AM454+AN449+IF(Source_Data!AN$6=Inputs!$B$13,Inputs!$B$7,0))/AN452,"")</f>
        <v/>
      </c>
      <c r="AO456" s="31" t="str">
        <f aca="false">IF(AO452&gt;0,(AN454+AO449+IF(Source_Data!AO$6=Inputs!$B$13,Inputs!$B$7,0))/AO452,"")</f>
        <v/>
      </c>
      <c r="AP456" s="31" t="str">
        <f aca="false">IF(AP452&gt;0,(AO454+AP449+IF(Source_Data!AP$6=Inputs!$B$13,Inputs!$B$7,0))/AP452,"")</f>
        <v/>
      </c>
      <c r="AQ456" s="31" t="str">
        <f aca="false">IF(AQ452&gt;0,(AP454+AQ449+IF(Source_Data!AQ$6=Inputs!$B$13,Inputs!$B$7,0))/AQ452,"")</f>
        <v/>
      </c>
      <c r="AR456" s="31" t="str">
        <f aca="false">IF(AR452&gt;0,(AQ454+AR449+IF(Source_Data!AR$6=Inputs!$B$13,Inputs!$B$7,0))/AR452,"")</f>
        <v/>
      </c>
      <c r="AS456" s="31" t="str">
        <f aca="false">IF(AS452&gt;0,(AR454+AS449+IF(Source_Data!AS$6=Inputs!$B$13,Inputs!$B$7,0))/AS452,"")</f>
        <v/>
      </c>
      <c r="AT456" s="31" t="str">
        <f aca="false">IF(AT452&gt;0,(AS454+AT449+IF(Source_Data!AT$6=Inputs!$B$13,Inputs!$B$7,0))/AT452,"")</f>
        <v/>
      </c>
      <c r="AU456" s="31" t="str">
        <f aca="false">IF(AU452&gt;0,(AT454+AU449+IF(Source_Data!AU$6=Inputs!$B$13,Inputs!$B$7,0))/AU452,"")</f>
        <v/>
      </c>
      <c r="AV456" s="31" t="str">
        <f aca="false">IF(AV452&gt;0,(AU454+AV449+IF(Source_Data!AV$6=Inputs!$B$13,Inputs!$B$7,0))/AV452,"")</f>
        <v/>
      </c>
      <c r="AW456" s="31" t="str">
        <f aca="false">IF(AW452&gt;0,(AV454+AW449+IF(Source_Data!AW$6=Inputs!$B$13,Inputs!$B$7,0))/AW452,"")</f>
        <v/>
      </c>
      <c r="AX456" s="31" t="str">
        <f aca="false">IF(AX452&gt;0,(AW454+AX449+IF(Source_Data!AX$6=Inputs!$B$13,Inputs!$B$7,0))/AX452,"")</f>
        <v/>
      </c>
      <c r="AY456" s="31" t="str">
        <f aca="false">IF(AY452&gt;0,(AX454+AY449+IF(Source_Data!AY$6=Inputs!$B$13,Inputs!$B$7,0))/AY452,"")</f>
        <v/>
      </c>
      <c r="AZ456" s="31" t="str">
        <f aca="false">IF(AZ452&gt;0,(AY454+AZ449+IF(Source_Data!AZ$6=Inputs!$B$13,Inputs!$B$7,0))/AZ452,"")</f>
        <v/>
      </c>
      <c r="BA456" s="31" t="str">
        <f aca="false">IF(BA452&gt;0,(AZ454+BA449+IF(Source_Data!BA$6=Inputs!$B$13,Inputs!$B$7,0))/BA452,"")</f>
        <v/>
      </c>
      <c r="BB456" s="31" t="str">
        <f aca="false">IF(BB452&gt;0,(BA454+BB449+IF(Source_Data!BB$6=Inputs!$B$13,Inputs!$B$7,0))/BB452,"")</f>
        <v/>
      </c>
      <c r="BC456" s="31" t="str">
        <f aca="false">IF(BC452&gt;0,(BB454+BC449+IF(Source_Data!BC$6=Inputs!$B$13,Inputs!$B$7,0))/BC452,"")</f>
        <v/>
      </c>
      <c r="BD456" s="31" t="str">
        <f aca="false">IF(BD452&gt;0,(BC454+BD449+IF(Source_Data!BD$6=Inputs!$B$13,Inputs!$B$7,0))/BD452,"")</f>
        <v/>
      </c>
      <c r="BE456" s="31" t="str">
        <f aca="false">IF(BE452&gt;0,(BD454+BE449+IF(Source_Data!BE$6=Inputs!$B$13,Inputs!$B$7,0))/BE452,"")</f>
        <v/>
      </c>
      <c r="BF456" s="31" t="str">
        <f aca="false">IF(BF452&gt;0,(BE454+BF449+IF(Source_Data!BF$6=Inputs!$B$13,Inputs!$B$7,0))/BF452,"")</f>
        <v/>
      </c>
      <c r="BG456" s="31" t="str">
        <f aca="false">IF(BG452&gt;0,(BF454+BG449+IF(Source_Data!BG$6=Inputs!$B$13,Inputs!$B$7,0))/BG452,"")</f>
        <v/>
      </c>
      <c r="BH456" s="31" t="str">
        <f aca="false">IF(BH452&gt;0,(BG454+BH449+IF(Source_Data!BH$6=Inputs!$B$13,Inputs!$B$7,0))/BH452,"")</f>
        <v/>
      </c>
      <c r="BI456" s="31" t="str">
        <f aca="false">IF(BI452&gt;0,(BH454+BI449+IF(Source_Data!BI$6=Inputs!$B$13,Inputs!$B$7,0))/BI452,"")</f>
        <v/>
      </c>
      <c r="BJ456" s="31" t="str">
        <f aca="false">IF(BJ452&gt;0,(BI454+BJ449+IF(Source_Data!BJ$6=Inputs!$B$13,Inputs!$B$7,0))/BJ452,"")</f>
        <v/>
      </c>
      <c r="BK456" s="31" t="str">
        <f aca="false">IF(BK452&gt;0,(BJ454+BK449+IF(Source_Data!BK$6=Inputs!$B$13,Inputs!$B$7,0))/BK452,"")</f>
        <v/>
      </c>
    </row>
    <row r="458" customFormat="false" ht="15" hidden="false" customHeight="false" outlineLevel="0" collapsed="false">
      <c r="A458" s="2" t="s">
        <v>222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347</v>
      </c>
      <c r="B459" s="41" t="n">
        <f aca="false">SUMPRODUCT(D449:BK449,Project_CF!$D$15:$BK$15)</f>
        <v>44.1119554569158</v>
      </c>
    </row>
    <row r="460" customFormat="false" ht="15" hidden="false" customHeight="false" outlineLevel="0" collapsed="false">
      <c r="A460" s="2" t="s">
        <v>164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348</v>
      </c>
      <c r="B461" s="35" t="n">
        <f aca="false">INDEX(Project_CF!$D$6:$BK$6,MATCH(MIN(D450:BK450),D450:BK450,0))</f>
        <v>33</v>
      </c>
    </row>
    <row r="462" customFormat="false" ht="15" hidden="false" customHeight="false" outlineLevel="0" collapsed="false">
      <c r="A462" s="2" t="s">
        <v>349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350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351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352</v>
      </c>
      <c r="B465" s="41" t="n">
        <f aca="false">MIN(D454:BK454)</f>
        <v>-422.1819959375</v>
      </c>
    </row>
    <row r="466" customFormat="false" ht="15" hidden="false" customHeight="false" outlineLevel="0" collapsed="false">
      <c r="A466" s="2" t="s">
        <v>353</v>
      </c>
      <c r="B466" s="43" t="n">
        <f aca="false">MIN(D455:BK455)</f>
        <v>-7.67785680434783</v>
      </c>
    </row>
    <row r="467" customFormat="false" ht="15" hidden="false" customHeight="false" outlineLevel="0" collapsed="false">
      <c r="A467" s="2" t="s">
        <v>354</v>
      </c>
      <c r="B467" s="35" t="n">
        <f aca="false">COUNTIF(D455:BK455,"&lt;"&amp;Inputs!$B$44)</f>
        <v>6</v>
      </c>
    </row>
    <row r="468" customFormat="false" ht="15" hidden="false" customHeight="false" outlineLevel="0" collapsed="false">
      <c r="A468" s="2" t="s">
        <v>355</v>
      </c>
      <c r="B468" s="43" t="n">
        <f aca="false">MIN(D456:BK456)</f>
        <v>-28.369182326087</v>
      </c>
    </row>
    <row r="469" customFormat="false" ht="15" hidden="false" customHeight="false" outlineLevel="0" collapsed="false">
      <c r="A469" s="2" t="s">
        <v>356</v>
      </c>
      <c r="B469" s="35" t="n">
        <f aca="false">COUNTIF(D456:BK456,"&lt;"&amp;Inputs!$B$44)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372</v>
      </c>
    </row>
    <row r="2" customFormat="false" ht="15" hidden="false" customHeight="false" outlineLevel="0" collapsed="false">
      <c r="A2" s="6" t="s">
        <v>373</v>
      </c>
    </row>
    <row r="4" customFormat="false" ht="15" hidden="false" customHeight="false" outlineLevel="0" collapsed="false">
      <c r="A4" s="7" t="s">
        <v>374</v>
      </c>
      <c r="B4" s="7" t="s">
        <v>375</v>
      </c>
      <c r="C4" s="7" t="s">
        <v>376</v>
      </c>
      <c r="D4" s="7" t="s">
        <v>377</v>
      </c>
      <c r="E4" s="7" t="s">
        <v>378</v>
      </c>
    </row>
    <row r="5" customFormat="false" ht="15" hidden="false" customHeight="false" outlineLevel="0" collapsed="false">
      <c r="A5" s="3" t="s">
        <v>222</v>
      </c>
      <c r="B5" s="46" t="n">
        <f aca="false">Project_CF!$B$18</f>
        <v>375.4475275</v>
      </c>
      <c r="C5" s="46" t="n">
        <f aca="false">Inputs!$B$47</f>
        <v>375.4475275</v>
      </c>
      <c r="D5" s="47" t="n">
        <f aca="false">ROUND(B5-C5,5)</f>
        <v>0</v>
      </c>
      <c r="E5" s="6" t="s">
        <v>230</v>
      </c>
    </row>
    <row r="6" customFormat="false" ht="15" hidden="false" customHeight="false" outlineLevel="0" collapsed="false">
      <c r="A6" s="3" t="s">
        <v>379</v>
      </c>
      <c r="B6" s="46" t="n">
        <f aca="false">Project_CF!$B$19</f>
        <v>229.889658679869</v>
      </c>
      <c r="C6" s="46" t="n">
        <f aca="false">Inputs!$B$48</f>
        <v>229.889658679869</v>
      </c>
      <c r="D6" s="47" t="n">
        <f aca="false">ROUND(B6-C6,5)</f>
        <v>0</v>
      </c>
      <c r="E6" s="6" t="s">
        <v>230</v>
      </c>
    </row>
    <row r="7" customFormat="false" ht="15" hidden="false" customHeight="false" outlineLevel="0" collapsed="false">
      <c r="A7" s="3" t="s">
        <v>380</v>
      </c>
      <c r="B7" s="46" t="n">
        <f aca="false">Project_CF!$B$20</f>
        <v>-102.5</v>
      </c>
      <c r="C7" s="46" t="n">
        <f aca="false">Inputs!$B$49</f>
        <v>-102.5</v>
      </c>
      <c r="D7" s="47" t="n">
        <f aca="false">ROUND(B7-C7,5)</f>
        <v>0</v>
      </c>
      <c r="E7" s="6" t="s">
        <v>230</v>
      </c>
    </row>
    <row r="8" customFormat="false" ht="15" hidden="false" customHeight="false" outlineLevel="0" collapsed="false">
      <c r="A8" s="3" t="s">
        <v>166</v>
      </c>
      <c r="B8" s="46" t="n">
        <f aca="false">Project_CF!$C$8</f>
        <v>2252.979</v>
      </c>
      <c r="C8" s="46" t="n">
        <f aca="false">Inputs!$B$50</f>
        <v>2252.979</v>
      </c>
      <c r="D8" s="47" t="n">
        <f aca="false">ROUND(B8-C8,5)</f>
        <v>0</v>
      </c>
      <c r="E8" s="6" t="s">
        <v>230</v>
      </c>
    </row>
    <row r="9" customFormat="false" ht="15" hidden="false" customHeight="false" outlineLevel="0" collapsed="false">
      <c r="A9" s="3" t="s">
        <v>168</v>
      </c>
      <c r="B9" s="46" t="n">
        <f aca="false">Project_CF!$C$9</f>
        <v>985.6783125</v>
      </c>
      <c r="C9" s="46" t="n">
        <f aca="false">Inputs!$B$51</f>
        <v>985.6783125</v>
      </c>
      <c r="D9" s="47" t="n">
        <f aca="false">ROUND(B9-C9,5)</f>
        <v>0</v>
      </c>
      <c r="E9" s="6" t="s">
        <v>230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891.85316</v>
      </c>
      <c r="C10" s="46" t="n">
        <f aca="false">Inputs!$B$52</f>
        <v>891.85316</v>
      </c>
      <c r="D10" s="47" t="n">
        <f aca="false">ROUND(B10-C10,5)</f>
        <v>0</v>
      </c>
      <c r="E10" s="6" t="s">
        <v>230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229.889658679869</v>
      </c>
      <c r="C12" s="46" t="n">
        <f aca="false">Project_CF!$B$19</f>
        <v>229.889658679869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133.602150537634</v>
      </c>
      <c r="C13" s="46" t="n">
        <f aca="false">Option_A!B5*Inputs!$B$35*(1-Inputs!$B$16)-Inputs!$B$7</f>
        <v>133.602150537634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172.5</v>
      </c>
      <c r="C14" s="46" t="n">
        <f aca="false">Inputs!$B$9*Inputs!$B$7</f>
        <v>172.5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0.290276628472317</v>
      </c>
      <c r="C19" s="25" t="n">
        <v>0.290276628472317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-27.5</v>
      </c>
      <c r="C22" s="25" t="n">
        <v>-27.5</v>
      </c>
      <c r="D22" s="47" t="n">
        <f aca="false">ROUND(B22-C22,5)</f>
        <v>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2026-10-08T10:34:17Z</dcterms:created>
  <dc:creator>Jalour Developments</dc:creator>
  <dc:description/>
  <dc:language>en-US</dc:language>
  <cp:lastModifiedBy/>
  <dcterms:modified xsi:type="dcterms:W3CDTF">2026-10-08T10:34:17Z</dcterms:modified>
  <cp:revision>0</cp:revision>
  <dc:subject>Confidential</dc:subject>
  <dc:title>Financial Annex - Green Square - Ticket 75m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