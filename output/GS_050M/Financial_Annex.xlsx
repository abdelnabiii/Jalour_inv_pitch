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<sst xmlns="http://schemas.openxmlformats.org/spreadsheetml/2006/main" count="1146" uniqueCount="399">
  <si>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Green Square - Financial Annex</t>
  </si>
  <si>
    <t xml:space="preserve">Investor ticket EGP 50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</si>
  <si>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</si>
  <si>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</si>
  <si>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</si>
  <si>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</si>
  <si>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</si>
  <si>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</si>
  <si>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</si>
  <si>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50m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</si>
  <si>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</si>
  <si>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</si>
  <si>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</si>
  <si>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</si>
  <si>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</si>
  <si>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</si>
  <si>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</si>
  <si>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</si>
  <si>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</si>
  <si>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</si>
  <si>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</si>
  <si>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</si>
  <si>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</si>
  <si>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</si>
  <si>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</si>
  <si>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</si>
  <si>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</si>
  <si>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</si>
  <si>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</si>
  <si>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</si>
  <si>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</si>
  <si>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</si>
  <si>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</si>
  <si>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</si>
  <si>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</si>
  <si>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</si>
  <si>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</si>
  <si>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</si>
  <si>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</si>
  <si>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</si>
  <si>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</si>
  <si>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</si>
  <si>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</si>
  <si>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</si>
  <si>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</si>
  <si>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</si>
  <si>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</si>
  <si>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</si>
  <si>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</si>
  <si>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</si>
  <si>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</si>
  <si>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</si>
  <si>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</si>
  <si>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</si>
  <si>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</si>
  <si>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</si>
  <si>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</si>
  <si>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</si>
  <si>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</si>
  <si>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</si>
  <si>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</si>
  <si>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</si>
  <si>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</si>
  <si>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</si>
  <si>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</si>
  <si>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</si>
  <si>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</si>
  <si>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</si>
  <si>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</si>
  <si>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</si>
  <si>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</si>
  <si>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</si>
  <si>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</si>
  <si>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</si>
  <si>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</si>
  <si>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</si>
  <si>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</si>
  <si>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</si>
  <si>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</si>
  <si>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</si>
  <si>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</si>
  <si>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50m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</si>
  <si>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</si>
  <si>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</si>
  <si>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</si>
  <si>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</si>
  <si>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</si>
  <si>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</si>
  <si>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</si>
  <si>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</si>
  <si>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</si>
  <si>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</si>
  <si>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</si>
  <si>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</si>
  <si>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</si>
  <si>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</si>
  <si>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</si>
  <si>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</si>
  <si>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</si>
  <si>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</si>
  <si>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</si>
  <si>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</si>
  <si>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</si>
  <si>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</si>
  <si>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</si>
  <si>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</si>
  <si>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</si>
  <si>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</si>
  <si>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</si>
  <si>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</si>
  <si>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</si>
  <si>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</si>
  <si>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</si>
  <si>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</si>
  <si>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</si>
  <si>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</si>
  <si>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</si>
  <si>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</si>
  <si>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</si>
  <si>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</si>
  <si>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</si>
  <si>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</si>
  <si>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</si>
  <si>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</si>
  <si>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</si>
  <si>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Detail!C53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</si>
  <si>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</si>
  <si>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</si>
  <si>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</si>
  <si>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</si>
  <si>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</si>
  <si>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</si>
  <si>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</si>
  <si>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</si>
  <si>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</si>
  <si>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</si>
  <si>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</si>
  <si>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</si>
  <si>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</si>
  <si>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</si>
  <si>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</si>
  <si>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</si>
  <si>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</si>
  <si>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</si>
  <si>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</si>
  <si>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</si>
  <si>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</si>
  <si>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</si>
  <si>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</si>
  <si>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</si>
  <si>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</si>
  <si>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</si>
  <si>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</si>
  <si>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</si>
  <si>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</si>
  <si>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</si>
  <si>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</si>
  <si>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</si>
  <si>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DP'!C46</t>
  </si>
  <si>
    <t xml:space="preserve">NPV of net cash flow with down payment</t>
  </si>
  <si>
    <t xml:space="preserve">Summary!D10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</si>
  <si>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</si>
  <si>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</si>
  <si>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</si>
  <si>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</si>
  <si>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</si>
  <si>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</si>
  <si>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</si>
  <si>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DP'!C32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</si>
  <si>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</si>
  <si>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</si>
  <si>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</si>
  <si>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</si>
  <si>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</si>
  <si>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</si>
  <si>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</si>
  <si>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</si>
  <si>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</si>
  <si>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</si>
  <si>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</si>
  <si>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</si>
  <si>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</si>
  <si>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</si>
  <si>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</si>
  <si>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</si>
  <si>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</si>
  <si>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</si>
  <si>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</si>
  <si>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</si>
  <si>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</si>
  <si>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</si>
  <si>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</si>
  <si>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</si>
  <si>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</si>
  <si>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</si>
  <si>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</si>
  <si>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</si>
  <si>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</si>
  <si>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40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</si>
  <si>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</si>
  <si>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</si>
  <si>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</si>
  <si>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</si>
  <si>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</si>
  <si>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</si>
  <si>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</si>
  <si>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34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</si>
  <si>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</si>
  <si>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</si>
  <si>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</si>
  <si>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</si>
  <si>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</si>
  <si>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</si>
  <si>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</si>
  <si>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</si>
  <si>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</si>
  <si>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</si>
  <si>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</si>
  <si>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</si>
  <si>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</si>
  <si>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</si>
  <si>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50m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</si>
  <si>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</si>
  <si>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</si>
  <si>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</si>
  <si>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</si>
  <si>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</si>
  <si>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</si>
  <si>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</si>
  <si>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</si>
  <si>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</si>
  <si>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</si>
  <si>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</si>
  <si>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</si>
  <si>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</si>
  <si>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</si>
  <si>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</si>
  <si>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</si>
  <si>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</si>
  <si>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</si>
  <si>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</si>
  <si>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</si>
  <si>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</si>
  <si>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50m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</si>
  <si>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</si>
  <si>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</si>
  <si>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</si>
  <si>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</si>
  <si>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</si>
  <si>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</si>
  <si>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</si>
  <si>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</si>
  <si>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</si>
  <si>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</si>
  <si>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</si>
  <si>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</si>
  <si>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</si>
  <si>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</si>
  <si>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</si>
  <si>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</si>
  <si>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</si>
  <si>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</si>
  <si>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</si>
  <si>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</si>
  <si>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</si>
  <si>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</si>
  <si>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</si>
  <si>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</si>
  <si>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</si>
  <si>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</si>
  <si>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</si>
  <si>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</si>
  <si>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</si>
  <si>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</si>
  <si>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</si>
  <si>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</si>
  <si>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</si>
  <si>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</si>
  <si>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</si>
  <si>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</si>
  <si>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</si>
  <si>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</si>
  <si>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</si>
  <si>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</si>
  <si>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</si>
  <si>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</si>
  <si>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</si>
  <si>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</si>
  <si>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50m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</si>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</sst>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375.4475275</v>
      </c>
      <c r="C6" s="10" t="n">
        <f aca="false">B6/Inputs!$B$52</f>
        <v>7.82182348958334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215.311392548924</v>
      </c>
      <c r="C7" s="10" t="n">
        <f aca="false">B7/Inputs!$B$52</f>
        <v>4.48565401143592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102.5</v>
      </c>
      <c r="C8" s="10" t="n">
        <f aca="false">B8/Inputs!$B$52</f>
        <v>2.13541666666667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6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2252.979</v>
      </c>
      <c r="C10" s="10" t="n">
        <f aca="false">B10/Inputs!$B$52</f>
        <v>46.9370625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985.6783125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891.85316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112.9574</v>
      </c>
      <c r="C14" s="10" t="n">
        <f aca="false">B14/Inputs!$B$52</f>
        <v>2.35327916666667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62.9574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0.487804878048781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100</v>
      </c>
      <c r="C20" s="10" t="n">
        <f aca="false">B20/Inputs!$B$52</f>
        <v>2.08333333333333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0.165133812056255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143.36917562724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0.264029906719608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2.78136200716846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54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0.18640160567242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2.50322580645161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0.291992838668679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3.05949820788531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0.20741957336111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-9.54651045854667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-46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45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-21.2682894223915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-17.9009563043478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6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10.1033232717391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-52.5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0.290276628159998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0.27835276492556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102.5</v>
      </c>
      <c r="C48" s="15" t="n">
        <f aca="false">Scenarios!$B$27</f>
        <v>215.311392548924</v>
      </c>
      <c r="D48" s="15" t="n">
        <f aca="false">Scenarios!$B$33</f>
        <v>-52.5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441.19460834375</v>
      </c>
      <c r="C49" s="15" t="n">
        <f aca="false">Scenarios!$B$63</f>
        <v>-33.5946846074615</v>
      </c>
      <c r="D49" s="15" t="n">
        <f aca="false">Scenarios!$B$69</f>
        <v>-429.527941677083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102.5</v>
      </c>
      <c r="C50" s="15" t="n">
        <f aca="false">Scenarios!$B$99</f>
        <v>314.581592958412</v>
      </c>
      <c r="D50" s="15" t="n">
        <f aca="false">Scenarios!$B$105</f>
        <v>-52.5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102.5</v>
      </c>
      <c r="C51" s="15" t="n">
        <f aca="false">Scenarios!$B$135</f>
        <v>162.345681036619</v>
      </c>
      <c r="D51" s="15" t="n">
        <f aca="false">Scenarios!$B$141</f>
        <v>-52.5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235.690784375</v>
      </c>
      <c r="C52" s="15" t="n">
        <f aca="false">Scenarios!$B$171</f>
        <v>125.464219288503</v>
      </c>
      <c r="D52" s="15" t="n">
        <f aca="false">Scenarios!$B$177</f>
        <v>-195.274117708333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269.1979209375</v>
      </c>
      <c r="C53" s="15" t="n">
        <f aca="false">Scenarios!$B$207</f>
        <v>155.329324901231</v>
      </c>
      <c r="D53" s="15" t="n">
        <f aca="false">Scenarios!$B$213</f>
        <v>-276.6979209375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729.38647159375</v>
      </c>
      <c r="C54" s="15" t="n">
        <f aca="false">Scenarios!$B$243</f>
        <v>-80.9489485398505</v>
      </c>
      <c r="D54" s="15" t="n">
        <f aca="false">Scenarios!$B$249</f>
        <v>-746.469804927083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183.65099225</v>
      </c>
      <c r="C57" s="15" t="n">
        <f aca="false">Sensitivity!$B$27</f>
        <v>12.5730899338982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114.44060834375</v>
      </c>
      <c r="C58" s="15" t="n">
        <f aca="false">Sensitivity!$B$63</f>
        <v>116.041192139436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102.5</v>
      </c>
      <c r="C59" s="15" t="n">
        <f aca="false">Sensitivity!$B$99</f>
        <v>314.581592958412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102.5</v>
      </c>
      <c r="C60" s="15" t="n">
        <f aca="false">Sensitivity!$B$135</f>
        <v>413.851793367899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216.648264375</v>
      </c>
      <c r="C61" s="15" t="n">
        <f aca="false">Sensitivity!$B$171</f>
        <v>129.458194472182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408.4846759375</v>
      </c>
      <c r="C62" s="15" t="n">
        <f aca="false">Sensitivity!$B$207</f>
        <v>49.0493072745931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825.0846759375</v>
      </c>
      <c r="C63" s="15" t="n">
        <f aca="false">Sensitivity!$B$243</f>
        <v>-26.2605155997418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1075.442264375</v>
      </c>
      <c r="C64" s="15" t="n">
        <f aca="false">Sensitivity!$B$279</f>
        <v>-96.7946271765743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102.5</v>
      </c>
      <c r="C65" s="15" t="n">
        <f aca="false">Sensitivity!$B$315</f>
        <v>162.345681036619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114.372264375</v>
      </c>
      <c r="C66" s="15" t="n">
        <f aca="false">Sensitivity!$B$351</f>
        <v>109.379969524313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162.059524375</v>
      </c>
      <c r="C67" s="15" t="n">
        <f aca="false">Sensitivity!$B$387</f>
        <v>169.652089267269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235.690784375</v>
      </c>
      <c r="C68" s="15" t="n">
        <f aca="false">Sensitivity!$B$423</f>
        <v>125.464219288503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439.6819959375</v>
      </c>
      <c r="C69" s="15" t="n">
        <f aca="false">Sensitivity!$B$459</f>
        <v>41.314631602071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50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3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48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800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80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2816.22375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225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135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300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200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195.345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410.2245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1.4336917562724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0.123624665725013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0.0173760436448476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375.4475275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215.311392548924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2252.979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985.6783125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891.85316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30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605.5695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215.311392548924</v>
      </c>
      <c r="D16" s="33" t="n">
        <f aca="false">D13*D15</f>
        <v>-88.3093443342674</v>
      </c>
      <c r="E16" s="33" t="n">
        <f aca="false">E13*E15</f>
        <v>-10.5365903802941</v>
      </c>
      <c r="F16" s="33" t="n">
        <f aca="false">F13*F15</f>
        <v>3.52521675864493</v>
      </c>
      <c r="G16" s="33" t="n">
        <f aca="false">G13*G15</f>
        <v>16.6916447368421</v>
      </c>
      <c r="H16" s="33" t="n">
        <f aca="false">H13*H15</f>
        <v>0.859116639266335</v>
      </c>
      <c r="I16" s="33" t="n">
        <f aca="false">I13*I15</f>
        <v>8.12162645820945</v>
      </c>
      <c r="J16" s="33" t="n">
        <f aca="false">J13*J15</f>
        <v>-14.5069729732777</v>
      </c>
      <c r="K16" s="33" t="n">
        <f aca="false">K13*K15</f>
        <v>-1.15253202908587</v>
      </c>
      <c r="L16" s="33" t="n">
        <f aca="false">L13*L15</f>
        <v>4.98749578193835</v>
      </c>
      <c r="M16" s="33" t="n">
        <f aca="false">M13*M15</f>
        <v>303.851742019855</v>
      </c>
      <c r="N16" s="33" t="n">
        <f aca="false">N13*N15</f>
        <v>96.7825464135257</v>
      </c>
      <c r="O16" s="33" t="n">
        <f aca="false">O13*O15</f>
        <v>87.559323246559</v>
      </c>
      <c r="P16" s="33" t="n">
        <f aca="false">P13*P15</f>
        <v>-61.002411841908</v>
      </c>
      <c r="Q16" s="33" t="n">
        <f aca="false">Q13*Q15</f>
        <v>-76.4613352338923</v>
      </c>
      <c r="R16" s="33" t="n">
        <f aca="false">R13*R15</f>
        <v>-104.954154478455</v>
      </c>
      <c r="S16" s="33" t="n">
        <f aca="false">S13*S15</f>
        <v>-69.9656316197535</v>
      </c>
      <c r="T16" s="33" t="n">
        <f aca="false">T13*T15</f>
        <v>9.29785939959341</v>
      </c>
      <c r="U16" s="33" t="n">
        <f aca="false">U13*U15</f>
        <v>8.15870102992504</v>
      </c>
      <c r="V16" s="33" t="n">
        <f aca="false">V13*V15</f>
        <v>4.68182158432759</v>
      </c>
      <c r="W16" s="33" t="n">
        <f aca="false">W13*W15</f>
        <v>2.27636412830982</v>
      </c>
      <c r="X16" s="33" t="n">
        <f aca="false">X13*X15</f>
        <v>13.5122094633219</v>
      </c>
      <c r="Y16" s="33" t="n">
        <f aca="false">Y13*Y15</f>
        <v>9.53541909841668</v>
      </c>
      <c r="Z16" s="33" t="n">
        <f aca="false">Z13*Z15</f>
        <v>9.22812721680689</v>
      </c>
      <c r="AA16" s="33" t="n">
        <f aca="false">AA13*AA15</f>
        <v>8.93073823506218</v>
      </c>
      <c r="AB16" s="33" t="n">
        <f aca="false">AB13*AB15</f>
        <v>16.0113315297136</v>
      </c>
      <c r="AC16" s="33" t="n">
        <f aca="false">AC13*AC15</f>
        <v>14.0974467805185</v>
      </c>
      <c r="AD16" s="33" t="n">
        <f aca="false">AD13*AD15</f>
        <v>12.1530432281623</v>
      </c>
      <c r="AE16" s="33" t="n">
        <f aca="false">AE13*AE15</f>
        <v>10.0265692228433</v>
      </c>
      <c r="AF16" s="33" t="n">
        <f aca="false">AF13*AF15</f>
        <v>-31.972950659481</v>
      </c>
      <c r="AG16" s="33" t="n">
        <f aca="false">AG13*AG15</f>
        <v>5.28229264103817</v>
      </c>
      <c r="AH16" s="33" t="n">
        <f aca="false">AH13*AH15</f>
        <v>5.11206355848555</v>
      </c>
      <c r="AI16" s="33" t="n">
        <f aca="false">AI13*AI15</f>
        <v>4.94732034021875</v>
      </c>
      <c r="AJ16" s="33" t="n">
        <f aca="false">AJ13*AJ15</f>
        <v>4.78788619678139</v>
      </c>
      <c r="AK16" s="33" t="n">
        <f aca="false">AK13*AK15</f>
        <v>4.23022618562942</v>
      </c>
      <c r="AL16" s="33" t="n">
        <f aca="false">AL13*AL15</f>
        <v>4.09390137905296</v>
      </c>
      <c r="AM16" s="33" t="n">
        <f aca="false">AM13*AM15</f>
        <v>3.24144102139364</v>
      </c>
      <c r="AN16" s="33" t="n">
        <f aca="false">AN13*AN15</f>
        <v>1.61141004387992</v>
      </c>
      <c r="AO16" s="33" t="n">
        <f aca="false">AO13*AO15</f>
        <v>0.578431761017295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220</v>
      </c>
      <c r="B19" s="34" t="n">
        <f aca="false">C16</f>
        <v>215.311392548924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80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22.5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50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62.9574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112.9574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0.487804878048781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0.442644749259455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100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0.165133812056255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32.258064516129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67.741935483871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143.36917562724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501.792114695341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143.36917562724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35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89.068100358423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-50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34.7670250896057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34.7670250896057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34.7670250896057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34.7670250896057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0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0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50</v>
      </c>
      <c r="D18" s="33" t="n">
        <f aca="false">IF(Source_Data!D$6=Inputs!$B$12,Inputs!$B$7,0)</f>
        <v>50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-100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-2.5</v>
      </c>
      <c r="G19" s="33" t="n">
        <f aca="false">-$B$6*Source_Data!G$14</f>
        <v>-5</v>
      </c>
      <c r="H19" s="33" t="n">
        <f aca="false">-$B$6*Source_Data!H$14</f>
        <v>-3.75</v>
      </c>
      <c r="I19" s="33" t="n">
        <f aca="false">-$B$6*Source_Data!I$14</f>
        <v>-2.5</v>
      </c>
      <c r="J19" s="33" t="n">
        <f aca="false">-$B$6*Source_Data!J$14</f>
        <v>-2.5</v>
      </c>
      <c r="K19" s="33" t="n">
        <f aca="false">-$B$6*Source_Data!K$14</f>
        <v>-2.5</v>
      </c>
      <c r="L19" s="33" t="n">
        <f aca="false">-$B$6*Source_Data!L$14</f>
        <v>-2.5</v>
      </c>
      <c r="M19" s="33" t="n">
        <f aca="false">-$B$6*Source_Data!M$14</f>
        <v>-22.5</v>
      </c>
      <c r="N19" s="33" t="n">
        <f aca="false">-$B$6*Source_Data!N$14</f>
        <v>-2.5</v>
      </c>
      <c r="O19" s="33" t="n">
        <f aca="false">-$B$6*Source_Data!O$14</f>
        <v>-2.5</v>
      </c>
      <c r="P19" s="33" t="n">
        <f aca="false">-$B$6*Source_Data!P$14</f>
        <v>-2.5</v>
      </c>
      <c r="Q19" s="33" t="n">
        <f aca="false">-$B$6*Source_Data!Q$14</f>
        <v>-2.5</v>
      </c>
      <c r="R19" s="33" t="n">
        <f aca="false">-$B$6*Source_Data!R$14</f>
        <v>-2.5</v>
      </c>
      <c r="S19" s="33" t="n">
        <f aca="false">-$B$6*Source_Data!S$14</f>
        <v>-2.5</v>
      </c>
      <c r="T19" s="33" t="n">
        <f aca="false">-$B$6*Source_Data!T$14</f>
        <v>-2.25</v>
      </c>
      <c r="U19" s="33" t="n">
        <f aca="false">-$B$6*Source_Data!U$14</f>
        <v>-2</v>
      </c>
      <c r="V19" s="33" t="n">
        <f aca="false">-$B$6*Source_Data!V$14</f>
        <v>-2</v>
      </c>
      <c r="W19" s="33" t="n">
        <f aca="false">-$B$6*Source_Data!W$14</f>
        <v>-2</v>
      </c>
      <c r="X19" s="33" t="n">
        <f aca="false">-$B$6*Source_Data!X$14</f>
        <v>-2</v>
      </c>
      <c r="Y19" s="33" t="n">
        <f aca="false">-$B$6*Source_Data!Y$14</f>
        <v>-2</v>
      </c>
      <c r="Z19" s="33" t="n">
        <f aca="false">-$B$6*Source_Data!Z$14</f>
        <v>-2</v>
      </c>
      <c r="AA19" s="33" t="n">
        <f aca="false">-$B$6*Source_Data!AA$14</f>
        <v>-2</v>
      </c>
      <c r="AB19" s="33" t="n">
        <f aca="false">-$B$6*Source_Data!AB$14</f>
        <v>-2</v>
      </c>
      <c r="AC19" s="33" t="n">
        <f aca="false">-$B$6*Source_Data!AC$14</f>
        <v>-2</v>
      </c>
      <c r="AD19" s="33" t="n">
        <f aca="false">-$B$6*Source_Data!AD$14</f>
        <v>-2</v>
      </c>
      <c r="AE19" s="33" t="n">
        <f aca="false">-$B$6*Source_Data!AE$14</f>
        <v>-2</v>
      </c>
      <c r="AF19" s="33" t="n">
        <f aca="false">-$B$6*Source_Data!AF$14</f>
        <v>-2</v>
      </c>
      <c r="AG19" s="33" t="n">
        <f aca="false">-$B$6*Source_Data!AG$14</f>
        <v>-2</v>
      </c>
      <c r="AH19" s="33" t="n">
        <f aca="false">-$B$6*Source_Data!AH$14</f>
        <v>-2</v>
      </c>
      <c r="AI19" s="33" t="n">
        <f aca="false">-$B$6*Source_Data!AI$14</f>
        <v>-2</v>
      </c>
      <c r="AJ19" s="33" t="n">
        <f aca="false">-$B$6*Source_Data!AJ$14</f>
        <v>-2</v>
      </c>
      <c r="AK19" s="33" t="n">
        <f aca="false">-$B$6*Source_Data!AK$14</f>
        <v>-2</v>
      </c>
      <c r="AL19" s="33" t="n">
        <f aca="false">-$B$6*Source_Data!AL$14</f>
        <v>-2</v>
      </c>
      <c r="AM19" s="33" t="n">
        <f aca="false">-$B$6*Source_Data!AM$14</f>
        <v>-2</v>
      </c>
      <c r="AN19" s="33" t="n">
        <f aca="false">-$B$6*Source_Data!AN$14</f>
        <v>-1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4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2</v>
      </c>
      <c r="K20" s="33" t="n">
        <f aca="false">$B$6*Source_Data!K$17*Inputs!$B$23</f>
        <v>2</v>
      </c>
      <c r="L20" s="33" t="n">
        <f aca="false">$B$6*Source_Data!L$17*Inputs!$B$23</f>
        <v>0</v>
      </c>
      <c r="M20" s="33" t="n">
        <f aca="false">$B$6*Source_Data!M$17*Inputs!$B$23</f>
        <v>0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-46</v>
      </c>
      <c r="D21" s="33" t="n">
        <f aca="false">D18+D19+D20</f>
        <v>50</v>
      </c>
      <c r="E21" s="33" t="n">
        <f aca="false">E18+E19+E20</f>
        <v>0</v>
      </c>
      <c r="F21" s="33" t="n">
        <f aca="false">F18+F19+F20</f>
        <v>-2.5</v>
      </c>
      <c r="G21" s="33" t="n">
        <f aca="false">G18+G19+G20</f>
        <v>-5</v>
      </c>
      <c r="H21" s="33" t="n">
        <f aca="false">H18+H19+H20</f>
        <v>-3.75</v>
      </c>
      <c r="I21" s="33" t="n">
        <f aca="false">I18+I19+I20</f>
        <v>-2.5</v>
      </c>
      <c r="J21" s="33" t="n">
        <f aca="false">J18+J19+J20</f>
        <v>-0.5</v>
      </c>
      <c r="K21" s="33" t="n">
        <f aca="false">K18+K19+K20</f>
        <v>-0.5</v>
      </c>
      <c r="L21" s="33" t="n">
        <f aca="false">L18+L19+L20</f>
        <v>-2.5</v>
      </c>
      <c r="M21" s="33" t="n">
        <f aca="false">M18+M19+M20</f>
        <v>-22.5</v>
      </c>
      <c r="N21" s="33" t="n">
        <f aca="false">N18+N19+N20</f>
        <v>-2.5</v>
      </c>
      <c r="O21" s="33" t="n">
        <f aca="false">O18+O19+O20</f>
        <v>-2.5</v>
      </c>
      <c r="P21" s="33" t="n">
        <f aca="false">P18+P19+P20</f>
        <v>-2.5</v>
      </c>
      <c r="Q21" s="33" t="n">
        <f aca="false">Q18+Q19+Q20</f>
        <v>-2.5</v>
      </c>
      <c r="R21" s="33" t="n">
        <f aca="false">R18+R19+R20</f>
        <v>-2.5</v>
      </c>
      <c r="S21" s="33" t="n">
        <f aca="false">S18+S19+S20</f>
        <v>-2.5</v>
      </c>
      <c r="T21" s="33" t="n">
        <f aca="false">T18+T19+T20</f>
        <v>-2.25</v>
      </c>
      <c r="U21" s="33" t="n">
        <f aca="false">U18+U19+U20</f>
        <v>-2</v>
      </c>
      <c r="V21" s="33" t="n">
        <f aca="false">V18+V19+V20</f>
        <v>-2</v>
      </c>
      <c r="W21" s="33" t="n">
        <f aca="false">W18+W19+W20</f>
        <v>-2</v>
      </c>
      <c r="X21" s="33" t="n">
        <f aca="false">X18+X19+X20</f>
        <v>-2</v>
      </c>
      <c r="Y21" s="33" t="n">
        <f aca="false">Y18+Y19+Y20</f>
        <v>-2</v>
      </c>
      <c r="Z21" s="33" t="n">
        <f aca="false">Z18+Z19+Z20</f>
        <v>-2</v>
      </c>
      <c r="AA21" s="33" t="n">
        <f aca="false">AA18+AA19+AA20</f>
        <v>-2</v>
      </c>
      <c r="AB21" s="33" t="n">
        <f aca="false">AB18+AB19+AB20</f>
        <v>-2</v>
      </c>
      <c r="AC21" s="33" t="n">
        <f aca="false">AC18+AC19+AC20</f>
        <v>-2</v>
      </c>
      <c r="AD21" s="33" t="n">
        <f aca="false">AD18+AD19+AD20</f>
        <v>-2</v>
      </c>
      <c r="AE21" s="33" t="n">
        <f aca="false">AE18+AE19+AE20</f>
        <v>-2</v>
      </c>
      <c r="AF21" s="33" t="n">
        <f aca="false">AF18+AF19+AF20</f>
        <v>-2</v>
      </c>
      <c r="AG21" s="33" t="n">
        <f aca="false">AG18+AG19+AG20</f>
        <v>-2</v>
      </c>
      <c r="AH21" s="33" t="n">
        <f aca="false">AH18+AH19+AH20</f>
        <v>-2</v>
      </c>
      <c r="AI21" s="33" t="n">
        <f aca="false">AI18+AI19+AI20</f>
        <v>-2</v>
      </c>
      <c r="AJ21" s="33" t="n">
        <f aca="false">AJ18+AJ19+AJ20</f>
        <v>-2</v>
      </c>
      <c r="AK21" s="33" t="n">
        <f aca="false">AK18+AK19+AK20</f>
        <v>-2</v>
      </c>
      <c r="AL21" s="33" t="n">
        <f aca="false">AL18+AL19+AL20</f>
        <v>-2</v>
      </c>
      <c r="AM21" s="33" t="n">
        <f aca="false">AM18+AM19+AM20</f>
        <v>-2</v>
      </c>
      <c r="AN21" s="33" t="n">
        <f aca="false">AN18+AN19+AN20</f>
        <v>-1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50</v>
      </c>
      <c r="E22" s="33" t="n">
        <f aca="false">D22+E21</f>
        <v>50</v>
      </c>
      <c r="F22" s="33" t="n">
        <f aca="false">E22+F21</f>
        <v>47.5</v>
      </c>
      <c r="G22" s="33" t="n">
        <f aca="false">F22+G21</f>
        <v>42.5</v>
      </c>
      <c r="H22" s="33" t="n">
        <f aca="false">G22+H21</f>
        <v>38.75</v>
      </c>
      <c r="I22" s="33" t="n">
        <f aca="false">H22+I21</f>
        <v>36.25</v>
      </c>
      <c r="J22" s="33" t="n">
        <f aca="false">I22+J21</f>
        <v>35.75</v>
      </c>
      <c r="K22" s="33" t="n">
        <f aca="false">J22+K21</f>
        <v>35.25</v>
      </c>
      <c r="L22" s="33" t="n">
        <f aca="false">K22+L21</f>
        <v>32.75</v>
      </c>
      <c r="M22" s="33" t="n">
        <f aca="false">L22+M21</f>
        <v>10.25</v>
      </c>
      <c r="N22" s="33" t="n">
        <f aca="false">M22+N21</f>
        <v>7.75</v>
      </c>
      <c r="O22" s="33" t="n">
        <f aca="false">N22+O21</f>
        <v>5.25</v>
      </c>
      <c r="P22" s="33" t="n">
        <f aca="false">O22+P21</f>
        <v>2.75</v>
      </c>
      <c r="Q22" s="33" t="n">
        <f aca="false">P22+Q21</f>
        <v>0.249999999999996</v>
      </c>
      <c r="R22" s="33" t="n">
        <f aca="false">Q22+R21</f>
        <v>-2.25</v>
      </c>
      <c r="S22" s="33" t="n">
        <f aca="false">R22+S21</f>
        <v>-4.75</v>
      </c>
      <c r="T22" s="33" t="n">
        <f aca="false">S22+T21</f>
        <v>-7</v>
      </c>
      <c r="U22" s="33" t="n">
        <f aca="false">T22+U21</f>
        <v>-9</v>
      </c>
      <c r="V22" s="33" t="n">
        <f aca="false">U22+V21</f>
        <v>-11</v>
      </c>
      <c r="W22" s="33" t="n">
        <f aca="false">V22+W21</f>
        <v>-13</v>
      </c>
      <c r="X22" s="33" t="n">
        <f aca="false">W22+X21</f>
        <v>-15</v>
      </c>
      <c r="Y22" s="33" t="n">
        <f aca="false">X22+Y21</f>
        <v>-17</v>
      </c>
      <c r="Z22" s="33" t="n">
        <f aca="false">Y22+Z21</f>
        <v>-19</v>
      </c>
      <c r="AA22" s="33" t="n">
        <f aca="false">Z22+AA21</f>
        <v>-21</v>
      </c>
      <c r="AB22" s="33" t="n">
        <f aca="false">AA22+AB21</f>
        <v>-23</v>
      </c>
      <c r="AC22" s="33" t="n">
        <f aca="false">AB22+AC21</f>
        <v>-25</v>
      </c>
      <c r="AD22" s="33" t="n">
        <f aca="false">AC22+AD21</f>
        <v>-27</v>
      </c>
      <c r="AE22" s="33" t="n">
        <f aca="false">AD22+AE21</f>
        <v>-29</v>
      </c>
      <c r="AF22" s="33" t="n">
        <f aca="false">AE22+AF21</f>
        <v>-31</v>
      </c>
      <c r="AG22" s="33" t="n">
        <f aca="false">AF22+AG21</f>
        <v>-33</v>
      </c>
      <c r="AH22" s="33" t="n">
        <f aca="false">AG22+AH21</f>
        <v>-35</v>
      </c>
      <c r="AI22" s="33" t="n">
        <f aca="false">AH22+AI21</f>
        <v>-37</v>
      </c>
      <c r="AJ22" s="33" t="n">
        <f aca="false">AI22+AJ21</f>
        <v>-39</v>
      </c>
      <c r="AK22" s="33" t="n">
        <f aca="false">AJ22+AK21</f>
        <v>-41</v>
      </c>
      <c r="AL22" s="33" t="n">
        <f aca="false">AK22+AL21</f>
        <v>-43</v>
      </c>
      <c r="AM22" s="33" t="n">
        <f aca="false">AL22+AM21</f>
        <v>-45</v>
      </c>
      <c r="AN22" s="33" t="n">
        <f aca="false">AM22+AN21</f>
        <v>-46</v>
      </c>
      <c r="AO22" s="33" t="n">
        <f aca="false">AN22+AO21</f>
        <v>-46</v>
      </c>
      <c r="AP22" s="33" t="n">
        <f aca="false">AO22+AP21</f>
        <v>-46</v>
      </c>
      <c r="AQ22" s="33" t="n">
        <f aca="false">AP22+AQ21</f>
        <v>-46</v>
      </c>
      <c r="AR22" s="33" t="n">
        <f aca="false">AQ22+AR21</f>
        <v>-46</v>
      </c>
      <c r="AS22" s="33" t="n">
        <f aca="false">AR22+AS21</f>
        <v>-46</v>
      </c>
      <c r="AT22" s="33" t="n">
        <f aca="false">AS22+AT21</f>
        <v>-46</v>
      </c>
      <c r="AU22" s="33" t="n">
        <f aca="false">AT22+AU21</f>
        <v>-46</v>
      </c>
      <c r="AV22" s="33" t="n">
        <f aca="false">AU22+AV21</f>
        <v>-46</v>
      </c>
      <c r="AW22" s="33" t="n">
        <f aca="false">AV22+AW21</f>
        <v>-46</v>
      </c>
      <c r="AX22" s="33" t="n">
        <f aca="false">AW22+AX21</f>
        <v>-46</v>
      </c>
      <c r="AY22" s="33" t="n">
        <f aca="false">AX22+AY21</f>
        <v>-46</v>
      </c>
      <c r="AZ22" s="33" t="n">
        <f aca="false">AY22+AZ21</f>
        <v>-46</v>
      </c>
      <c r="BA22" s="33" t="n">
        <f aca="false">AZ22+BA21</f>
        <v>-46</v>
      </c>
      <c r="BB22" s="33" t="n">
        <f aca="false">BA22+BB21</f>
        <v>-46</v>
      </c>
      <c r="BC22" s="33" t="n">
        <f aca="false">BB22+BC21</f>
        <v>-46</v>
      </c>
      <c r="BD22" s="33" t="n">
        <f aca="false">BC22+BD21</f>
        <v>-46</v>
      </c>
      <c r="BE22" s="33" t="n">
        <f aca="false">BD22+BE21</f>
        <v>-46</v>
      </c>
      <c r="BF22" s="33" t="n">
        <f aca="false">BE22+BF21</f>
        <v>-46</v>
      </c>
      <c r="BG22" s="33" t="n">
        <f aca="false">BF22+BG21</f>
        <v>-46</v>
      </c>
      <c r="BH22" s="33" t="n">
        <f aca="false">BG22+BH21</f>
        <v>-46</v>
      </c>
      <c r="BI22" s="33" t="n">
        <f aca="false">BH22+BI21</f>
        <v>-46</v>
      </c>
      <c r="BJ22" s="33" t="n">
        <f aca="false">BI22+BJ21</f>
        <v>-46</v>
      </c>
      <c r="BK22" s="33" t="n">
        <f aca="false">BJ22+BK21</f>
        <v>-46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0.264029906719608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54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0.20741957336111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-9.54651045854667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-46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205.764882090377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-103.178264375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-50</v>
      </c>
      <c r="E35" s="33" t="n">
        <f aca="false">D35+E17</f>
        <v>-50</v>
      </c>
      <c r="F35" s="33" t="n">
        <f aca="false">E35+F17</f>
        <v>-50</v>
      </c>
      <c r="G35" s="33" t="n">
        <f aca="false">F35+G17</f>
        <v>-50</v>
      </c>
      <c r="H35" s="33" t="n">
        <f aca="false">G35+H17</f>
        <v>-50</v>
      </c>
      <c r="I35" s="33" t="n">
        <f aca="false">H35+I17</f>
        <v>-50</v>
      </c>
      <c r="J35" s="33" t="n">
        <f aca="false">I35+J17</f>
        <v>-50</v>
      </c>
      <c r="K35" s="33" t="n">
        <f aca="false">J35+K17</f>
        <v>-50</v>
      </c>
      <c r="L35" s="33" t="n">
        <f aca="false">K35+L17</f>
        <v>-50</v>
      </c>
      <c r="M35" s="33" t="n">
        <f aca="false">L35+M17</f>
        <v>-50</v>
      </c>
      <c r="N35" s="33" t="n">
        <f aca="false">M35+N17</f>
        <v>-50</v>
      </c>
      <c r="O35" s="33" t="n">
        <f aca="false">N35+O17</f>
        <v>-50</v>
      </c>
      <c r="P35" s="33" t="n">
        <f aca="false">O35+P17</f>
        <v>-50</v>
      </c>
      <c r="Q35" s="33" t="n">
        <f aca="false">P35+Q17</f>
        <v>-50</v>
      </c>
      <c r="R35" s="33" t="n">
        <f aca="false">Q35+R17</f>
        <v>-50</v>
      </c>
      <c r="S35" s="33" t="n">
        <f aca="false">R35+S17</f>
        <v>-50</v>
      </c>
      <c r="T35" s="33" t="n">
        <f aca="false">S35+T17</f>
        <v>-15.2329749103943</v>
      </c>
      <c r="U35" s="33" t="n">
        <f aca="false">T35+U17</f>
        <v>19.5340501792115</v>
      </c>
      <c r="V35" s="33" t="n">
        <f aca="false">U35+V17</f>
        <v>54.3010752688172</v>
      </c>
      <c r="W35" s="33" t="n">
        <f aca="false">V35+W17</f>
        <v>89.068100358423</v>
      </c>
      <c r="X35" s="33" t="n">
        <f aca="false">W35+X17</f>
        <v>89.068100358423</v>
      </c>
      <c r="Y35" s="33" t="n">
        <f aca="false">X35+Y17</f>
        <v>89.068100358423</v>
      </c>
      <c r="Z35" s="33" t="n">
        <f aca="false">Y35+Z17</f>
        <v>89.068100358423</v>
      </c>
      <c r="AA35" s="33" t="n">
        <f aca="false">Z35+AA17</f>
        <v>89.068100358423</v>
      </c>
      <c r="AB35" s="33" t="n">
        <f aca="false">AA35+AB17</f>
        <v>89.068100358423</v>
      </c>
      <c r="AC35" s="33" t="n">
        <f aca="false">AB35+AC17</f>
        <v>89.068100358423</v>
      </c>
      <c r="AD35" s="33" t="n">
        <f aca="false">AC35+AD17</f>
        <v>89.068100358423</v>
      </c>
      <c r="AE35" s="33" t="n">
        <f aca="false">AD35+AE17</f>
        <v>89.068100358423</v>
      </c>
      <c r="AF35" s="33" t="n">
        <f aca="false">AE35+AF17</f>
        <v>89.068100358423</v>
      </c>
      <c r="AG35" s="33" t="n">
        <f aca="false">AF35+AG17</f>
        <v>89.068100358423</v>
      </c>
      <c r="AH35" s="33" t="n">
        <f aca="false">AG35+AH17</f>
        <v>89.068100358423</v>
      </c>
      <c r="AI35" s="33" t="n">
        <f aca="false">AH35+AI17</f>
        <v>89.068100358423</v>
      </c>
      <c r="AJ35" s="33" t="n">
        <f aca="false">AI35+AJ17</f>
        <v>89.068100358423</v>
      </c>
      <c r="AK35" s="33" t="n">
        <f aca="false">AJ35+AK17</f>
        <v>89.068100358423</v>
      </c>
      <c r="AL35" s="33" t="n">
        <f aca="false">AK35+AL17</f>
        <v>89.068100358423</v>
      </c>
      <c r="AM35" s="33" t="n">
        <f aca="false">AL35+AM17</f>
        <v>89.068100358423</v>
      </c>
      <c r="AN35" s="33" t="n">
        <f aca="false">AM35+AN17</f>
        <v>89.068100358423</v>
      </c>
      <c r="AO35" s="33" t="n">
        <f aca="false">AN35+AO17</f>
        <v>89.068100358423</v>
      </c>
      <c r="AP35" s="33" t="n">
        <f aca="false">AO35+AP17</f>
        <v>89.068100358423</v>
      </c>
      <c r="AQ35" s="33" t="n">
        <f aca="false">AP35+AQ17</f>
        <v>89.068100358423</v>
      </c>
      <c r="AR35" s="33" t="n">
        <f aca="false">AQ35+AR17</f>
        <v>89.068100358423</v>
      </c>
      <c r="AS35" s="33" t="n">
        <f aca="false">AR35+AS17</f>
        <v>89.068100358423</v>
      </c>
      <c r="AT35" s="33" t="n">
        <f aca="false">AS35+AT17</f>
        <v>89.068100358423</v>
      </c>
      <c r="AU35" s="33" t="n">
        <f aca="false">AT35+AU17</f>
        <v>89.068100358423</v>
      </c>
      <c r="AV35" s="33" t="n">
        <f aca="false">AU35+AV17</f>
        <v>89.068100358423</v>
      </c>
      <c r="AW35" s="33" t="n">
        <f aca="false">AV35+AW17</f>
        <v>89.068100358423</v>
      </c>
      <c r="AX35" s="33" t="n">
        <f aca="false">AW35+AX17</f>
        <v>89.068100358423</v>
      </c>
      <c r="AY35" s="33" t="n">
        <f aca="false">AX35+AY17</f>
        <v>89.068100358423</v>
      </c>
      <c r="AZ35" s="33" t="n">
        <f aca="false">AY35+AZ17</f>
        <v>89.068100358423</v>
      </c>
      <c r="BA35" s="33" t="n">
        <f aca="false">AZ35+BA17</f>
        <v>89.068100358423</v>
      </c>
      <c r="BB35" s="33" t="n">
        <f aca="false">BA35+BB17</f>
        <v>89.068100358423</v>
      </c>
      <c r="BC35" s="33" t="n">
        <f aca="false">BB35+BC17</f>
        <v>89.068100358423</v>
      </c>
      <c r="BD35" s="33" t="n">
        <f aca="false">BC35+BD17</f>
        <v>89.068100358423</v>
      </c>
      <c r="BE35" s="33" t="n">
        <f aca="false">BD35+BE17</f>
        <v>89.068100358423</v>
      </c>
      <c r="BF35" s="33" t="n">
        <f aca="false">BE35+BF17</f>
        <v>89.068100358423</v>
      </c>
      <c r="BG35" s="33" t="n">
        <f aca="false">BF35+BG17</f>
        <v>89.068100358423</v>
      </c>
      <c r="BH35" s="33" t="n">
        <f aca="false">BG35+BH17</f>
        <v>89.068100358423</v>
      </c>
      <c r="BI35" s="33" t="n">
        <f aca="false">BH35+BI17</f>
        <v>89.068100358423</v>
      </c>
      <c r="BJ35" s="33" t="n">
        <f aca="false">BI35+BJ17</f>
        <v>89.068100358423</v>
      </c>
      <c r="BK35" s="33" t="n">
        <f aca="false">BJ35+BK17</f>
        <v>89.068100358423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1</v>
      </c>
      <c r="V36" s="3" t="n">
        <f aca="false">IF(AND(V35&gt;=0,V16&gt;Inputs!$B$12),1,0)</f>
        <v>1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27" t="n">
        <f aca="false">IF(D16&gt;=Inputs!$B$12,Inputs!$B$7,0)</f>
        <v>50</v>
      </c>
      <c r="E37" s="27" t="n">
        <f aca="false">IF(E16&gt;=Inputs!$B$12,Inputs!$B$7,0)</f>
        <v>50</v>
      </c>
      <c r="F37" s="27" t="n">
        <f aca="false">IF(F16&gt;=Inputs!$B$12,Inputs!$B$7,0)</f>
        <v>50</v>
      </c>
      <c r="G37" s="27" t="n">
        <f aca="false">IF(G16&gt;=Inputs!$B$12,Inputs!$B$7,0)</f>
        <v>50</v>
      </c>
      <c r="H37" s="27" t="n">
        <f aca="false">IF(H16&gt;=Inputs!$B$12,Inputs!$B$7,0)</f>
        <v>50</v>
      </c>
      <c r="I37" s="27" t="n">
        <f aca="false">IF(I16&gt;=Inputs!$B$12,Inputs!$B$7,0)</f>
        <v>50</v>
      </c>
      <c r="J37" s="27" t="n">
        <f aca="false">IF(J16&gt;=Inputs!$B$12,Inputs!$B$7,0)</f>
        <v>50</v>
      </c>
      <c r="K37" s="27" t="n">
        <f aca="false">IF(K16&gt;=Inputs!$B$12,Inputs!$B$7,0)</f>
        <v>50</v>
      </c>
      <c r="L37" s="27" t="n">
        <f aca="false">IF(L16&gt;=Inputs!$B$12,Inputs!$B$7,0)</f>
        <v>50</v>
      </c>
      <c r="M37" s="27" t="n">
        <f aca="false">IF(M16&gt;=Inputs!$B$12,Inputs!$B$7,0)</f>
        <v>50</v>
      </c>
      <c r="N37" s="27" t="n">
        <f aca="false">IF(N16&gt;=Inputs!$B$12,Inputs!$B$7,0)</f>
        <v>50</v>
      </c>
      <c r="O37" s="27" t="n">
        <f aca="false">IF(O16&gt;=Inputs!$B$12,Inputs!$B$7,0)</f>
        <v>50</v>
      </c>
      <c r="P37" s="27" t="n">
        <f aca="false">IF(P16&gt;=Inputs!$B$12,Inputs!$B$7,0)</f>
        <v>50</v>
      </c>
      <c r="Q37" s="27" t="n">
        <f aca="false">IF(Q16&gt;=Inputs!$B$12,Inputs!$B$7,0)</f>
        <v>50</v>
      </c>
      <c r="R37" s="27" t="n">
        <f aca="false">IF(R16&gt;=Inputs!$B$12,Inputs!$B$7,0)</f>
        <v>50</v>
      </c>
      <c r="S37" s="27" t="n">
        <f aca="false">IF(S16&gt;=Inputs!$B$12,Inputs!$B$7,0)</f>
        <v>50</v>
      </c>
      <c r="T37" s="27" t="n">
        <f aca="false">IF(T16&gt;=Inputs!$B$12,Inputs!$B$7,0)</f>
        <v>50</v>
      </c>
      <c r="U37" s="27" t="n">
        <f aca="false">IF(U16&gt;=Inputs!$B$12,Inputs!$B$7,0)</f>
        <v>50</v>
      </c>
      <c r="V37" s="27" t="n">
        <f aca="false">IF(V16&gt;=Inputs!$B$12,Inputs!$B$7,0)</f>
        <v>50</v>
      </c>
      <c r="W37" s="27" t="n">
        <f aca="false">IF(W16&gt;=Inputs!$B$12,Inputs!$B$7,0)</f>
        <v>50</v>
      </c>
      <c r="X37" s="27" t="n">
        <f aca="false">IF(X16&gt;=Inputs!$B$12,Inputs!$B$7,0)</f>
        <v>50</v>
      </c>
      <c r="Y37" s="27" t="n">
        <f aca="false">IF(Y16&gt;=Inputs!$B$12,Inputs!$B$7,0)</f>
        <v>50</v>
      </c>
      <c r="Z37" s="27" t="n">
        <f aca="false">IF(Z16&gt;=Inputs!$B$12,Inputs!$B$7,0)</f>
        <v>50</v>
      </c>
      <c r="AA37" s="27" t="n">
        <f aca="false">IF(AA16&gt;=Inputs!$B$12,Inputs!$B$7,0)</f>
        <v>50</v>
      </c>
      <c r="AB37" s="27" t="n">
        <f aca="false">IF(AB16&gt;=Inputs!$B$12,Inputs!$B$7,0)</f>
        <v>50</v>
      </c>
      <c r="AC37" s="27" t="n">
        <f aca="false">IF(AC16&gt;=Inputs!$B$12,Inputs!$B$7,0)</f>
        <v>50</v>
      </c>
      <c r="AD37" s="27" t="n">
        <f aca="false">IF(AD16&gt;=Inputs!$B$12,Inputs!$B$7,0)</f>
        <v>50</v>
      </c>
      <c r="AE37" s="27" t="n">
        <f aca="false">IF(AE16&gt;=Inputs!$B$12,Inputs!$B$7,0)</f>
        <v>50</v>
      </c>
      <c r="AF37" s="27" t="n">
        <f aca="false">IF(AF16&gt;=Inputs!$B$12,Inputs!$B$7,0)</f>
        <v>50</v>
      </c>
      <c r="AG37" s="27" t="n">
        <f aca="false">IF(AG16&gt;=Inputs!$B$12,Inputs!$B$7,0)</f>
        <v>50</v>
      </c>
      <c r="AH37" s="27" t="n">
        <f aca="false">IF(AH16&gt;=Inputs!$B$12,Inputs!$B$7,0)</f>
        <v>50</v>
      </c>
      <c r="AI37" s="27" t="n">
        <f aca="false">IF(AI16&gt;=Inputs!$B$12,Inputs!$B$7,0)</f>
        <v>50</v>
      </c>
      <c r="AJ37" s="27" t="n">
        <f aca="false">IF(AJ16&gt;=Inputs!$B$12,Inputs!$B$7,0)</f>
        <v>50</v>
      </c>
      <c r="AK37" s="27" t="n">
        <f aca="false">IF(AK16&gt;=Inputs!$B$12,Inputs!$B$7,0)</f>
        <v>50</v>
      </c>
      <c r="AL37" s="27" t="n">
        <f aca="false">IF(AL16&gt;=Inputs!$B$12,Inputs!$B$7,0)</f>
        <v>50</v>
      </c>
      <c r="AM37" s="27" t="n">
        <f aca="false">IF(AM16&gt;=Inputs!$B$12,Inputs!$B$7,0)</f>
        <v>50</v>
      </c>
      <c r="AN37" s="27" t="n">
        <f aca="false">IF(AN16&gt;=Inputs!$B$12,Inputs!$B$7,0)</f>
        <v>50</v>
      </c>
      <c r="AO37" s="27" t="n">
        <f aca="false">IF(AO16&gt;=Inputs!$B$12,Inputs!$B$7,0)</f>
        <v>50</v>
      </c>
      <c r="AP37" s="27" t="n">
        <f aca="false">IF(AP16&gt;=Inputs!$B$12,Inputs!$B$7,0)</f>
        <v>50</v>
      </c>
      <c r="AQ37" s="27" t="n">
        <f aca="false">IF(AQ16&gt;=Inputs!$B$12,Inputs!$B$7,0)</f>
        <v>50</v>
      </c>
      <c r="AR37" s="27" t="n">
        <f aca="false">IF(AR16&gt;=Inputs!$B$12,Inputs!$B$7,0)</f>
        <v>50</v>
      </c>
      <c r="AS37" s="27" t="n">
        <f aca="false">IF(AS16&gt;=Inputs!$B$12,Inputs!$B$7,0)</f>
        <v>50</v>
      </c>
      <c r="AT37" s="27" t="n">
        <f aca="false">IF(AT16&gt;=Inputs!$B$12,Inputs!$B$7,0)</f>
        <v>50</v>
      </c>
      <c r="AU37" s="27" t="n">
        <f aca="false">IF(AU16&gt;=Inputs!$B$12,Inputs!$B$7,0)</f>
        <v>50</v>
      </c>
      <c r="AV37" s="27" t="n">
        <f aca="false">IF(AV16&gt;=Inputs!$B$12,Inputs!$B$7,0)</f>
        <v>50</v>
      </c>
      <c r="AW37" s="27" t="n">
        <f aca="false">IF(AW16&gt;=Inputs!$B$12,Inputs!$B$7,0)</f>
        <v>50</v>
      </c>
      <c r="AX37" s="27" t="n">
        <f aca="false">IF(AX16&gt;=Inputs!$B$12,Inputs!$B$7,0)</f>
        <v>50</v>
      </c>
      <c r="AY37" s="27" t="n">
        <f aca="false">IF(AY16&gt;=Inputs!$B$12,Inputs!$B$7,0)</f>
        <v>50</v>
      </c>
      <c r="AZ37" s="27" t="n">
        <f aca="false">IF(AZ16&gt;=Inputs!$B$12,Inputs!$B$7,0)</f>
        <v>50</v>
      </c>
      <c r="BA37" s="27" t="n">
        <f aca="false">IF(BA16&gt;=Inputs!$B$12,Inputs!$B$7,0)</f>
        <v>50</v>
      </c>
      <c r="BB37" s="27" t="n">
        <f aca="false">IF(BB16&gt;=Inputs!$B$12,Inputs!$B$7,0)</f>
        <v>50</v>
      </c>
      <c r="BC37" s="27" t="n">
        <f aca="false">IF(BC16&gt;=Inputs!$B$12,Inputs!$B$7,0)</f>
        <v>50</v>
      </c>
      <c r="BD37" s="27" t="n">
        <f aca="false">IF(BD16&gt;=Inputs!$B$12,Inputs!$B$7,0)</f>
        <v>50</v>
      </c>
      <c r="BE37" s="27" t="n">
        <f aca="false">IF(BE16&gt;=Inputs!$B$12,Inputs!$B$7,0)</f>
        <v>50</v>
      </c>
      <c r="BF37" s="27" t="n">
        <f aca="false">IF(BF16&gt;=Inputs!$B$12,Inputs!$B$7,0)</f>
        <v>50</v>
      </c>
      <c r="BG37" s="27" t="n">
        <f aca="false">IF(BG16&gt;=Inputs!$B$12,Inputs!$B$7,0)</f>
        <v>50</v>
      </c>
      <c r="BH37" s="27" t="n">
        <f aca="false">IF(BH16&gt;=Inputs!$B$12,Inputs!$B$7,0)</f>
        <v>50</v>
      </c>
      <c r="BI37" s="27" t="n">
        <f aca="false">IF(BI16&gt;=Inputs!$B$12,Inputs!$B$7,0)</f>
        <v>50</v>
      </c>
      <c r="BJ37" s="27" t="n">
        <f aca="false">IF(BJ16&gt;=Inputs!$B$12,Inputs!$B$7,0)</f>
        <v>50</v>
      </c>
      <c r="BK37" s="27" t="n">
        <f aca="false">IF(BK16&gt;=Inputs!$B$12,Inputs!$B$7,0)</f>
        <v>50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-101.1107625</v>
      </c>
      <c r="G38" s="33" t="n">
        <f aca="false">Project_CF!G14+G22-G37</f>
        <v>-87.0822875</v>
      </c>
      <c r="H38" s="33" t="n">
        <f aca="false">Project_CF!H14+H22-H37</f>
        <v>-89.82028125</v>
      </c>
      <c r="I38" s="33" t="n">
        <f aca="false">Project_CF!I14+I22-I37</f>
        <v>-82.43474375</v>
      </c>
      <c r="J38" s="33" t="n">
        <f aca="false">Project_CF!J14+J22-J37</f>
        <v>-101.18043375</v>
      </c>
      <c r="K38" s="33" t="n">
        <f aca="false">Project_CF!K14+K22-K37</f>
        <v>-103.178264375</v>
      </c>
      <c r="L38" s="33" t="n">
        <f aca="false">Project_CF!L14+L22-L37</f>
        <v>-98.9806759375</v>
      </c>
      <c r="M38" s="33" t="n">
        <f aca="false">Project_CF!M14+M22-M37</f>
        <v>300.1419015625</v>
      </c>
      <c r="N38" s="33" t="n">
        <f aca="false">Project_CF!N14+N22-N37</f>
        <v>436.4086415625</v>
      </c>
      <c r="O38" s="33" t="n">
        <f aca="false">Project_CF!O14+O22-O37</f>
        <v>563.6316315625</v>
      </c>
      <c r="P38" s="33" t="n">
        <f aca="false">Project_CF!P14+P22-P37</f>
        <v>467.7443415625</v>
      </c>
      <c r="Q38" s="33" t="n">
        <f aca="false">Project_CF!Q14+Q22-Q37</f>
        <v>344.2935103125</v>
      </c>
      <c r="R38" s="33" t="n">
        <f aca="false">Project_CF!R14+R22-R37</f>
        <v>170.2426790625</v>
      </c>
      <c r="S38" s="33" t="n">
        <f aca="false">Project_CF!S14+S22-S37</f>
        <v>49.5735146875</v>
      </c>
      <c r="T38" s="33" t="n">
        <f aca="false">Project_CF!T14+T22-T37</f>
        <v>63.550154375</v>
      </c>
      <c r="U38" s="33" t="n">
        <f aca="false">Project_CF!U14+U22-U37</f>
        <v>76.2628703125</v>
      </c>
      <c r="V38" s="33" t="n">
        <f aca="false">Project_CF!V14+V22-V37</f>
        <v>82.986815</v>
      </c>
      <c r="W38" s="33" t="n">
        <f aca="false">Project_CF!W14+W22-W37</f>
        <v>85.3697596875</v>
      </c>
      <c r="X38" s="33" t="n">
        <f aca="false">Project_CF!X14+X22-X37</f>
        <v>110.252704375</v>
      </c>
      <c r="Y38" s="33" t="n">
        <f aca="false">Project_CF!Y14+Y22-Y37</f>
        <v>127.8554303125</v>
      </c>
      <c r="Z38" s="33" t="n">
        <f aca="false">Project_CF!Z14+Z22-Z37</f>
        <v>145.45815625</v>
      </c>
      <c r="AA38" s="33" t="n">
        <f aca="false">Project_CF!AA14+AA22-AA37</f>
        <v>163.0608821875</v>
      </c>
      <c r="AB38" s="33" t="n">
        <f aca="false">Project_CF!AB14+AB22-AB37</f>
        <v>197.375608125</v>
      </c>
      <c r="AC38" s="33" t="n">
        <f aca="false">Project_CF!AC14+AC22-AC37</f>
        <v>228.414235625</v>
      </c>
      <c r="AD38" s="33" t="n">
        <f aca="false">Project_CF!AD14+AD22-AD37</f>
        <v>255.844406875</v>
      </c>
      <c r="AE38" s="33" t="n">
        <f aca="false">Project_CF!AE14+AE22-AE37</f>
        <v>278.933578125</v>
      </c>
      <c r="AF38" s="33" t="n">
        <f aca="false">Project_CF!AF14+AF22-AF37</f>
        <v>194.264539023437</v>
      </c>
      <c r="AG38" s="33" t="n">
        <f aca="false">Project_CF!AG14+AG22-AG37</f>
        <v>206.377197851562</v>
      </c>
      <c r="AH38" s="33" t="n">
        <f aca="false">Project_CF!AH14+AH22-AH37</f>
        <v>218.489856679687</v>
      </c>
      <c r="AI38" s="33" t="n">
        <f aca="false">Project_CF!AI14+AI22-AI37</f>
        <v>230.602515507812</v>
      </c>
      <c r="AJ38" s="33" t="n">
        <f aca="false">Project_CF!AJ14+AJ22-AJ37</f>
        <v>242.715174335938</v>
      </c>
      <c r="AK38" s="33" t="n">
        <f aca="false">Project_CF!AK14+AK22-AK37</f>
        <v>253.59929625</v>
      </c>
      <c r="AL38" s="33" t="n">
        <f aca="false">Project_CF!AL14+AL22-AL37</f>
        <v>264.483418164063</v>
      </c>
      <c r="AM38" s="33" t="n">
        <f aca="false">Project_CF!AM14+AM22-AM37</f>
        <v>273.0244175</v>
      </c>
      <c r="AN38" s="33" t="n">
        <f aca="false">Project_CF!AN14+AN22-AN37</f>
        <v>277.43913671875</v>
      </c>
      <c r="AO38" s="33" t="n">
        <f aca="false">Project_CF!AO14+AO22-AO37</f>
        <v>279.4475275</v>
      </c>
      <c r="AP38" s="33" t="n">
        <f aca="false">Project_CF!AP14+AP22-AP37</f>
        <v>279.4475275</v>
      </c>
      <c r="AQ38" s="33" t="n">
        <f aca="false">Project_CF!AQ14+AQ22-AQ37</f>
        <v>279.4475275</v>
      </c>
      <c r="AR38" s="33" t="n">
        <f aca="false">Project_CF!AR14+AR22-AR37</f>
        <v>279.4475275</v>
      </c>
      <c r="AS38" s="33" t="n">
        <f aca="false">Project_CF!AS14+AS22-AS37</f>
        <v>279.4475275</v>
      </c>
      <c r="AT38" s="33" t="n">
        <f aca="false">Project_CF!AT14+AT22-AT37</f>
        <v>279.4475275</v>
      </c>
      <c r="AU38" s="33" t="n">
        <f aca="false">Project_CF!AU14+AU22-AU37</f>
        <v>279.4475275</v>
      </c>
      <c r="AV38" s="33" t="n">
        <f aca="false">Project_CF!AV14+AV22-AV37</f>
        <v>279.4475275</v>
      </c>
      <c r="AW38" s="33" t="n">
        <f aca="false">Project_CF!AW14+AW22-AW37</f>
        <v>279.4475275</v>
      </c>
      <c r="AX38" s="33" t="n">
        <f aca="false">Project_CF!AX14+AX22-AX37</f>
        <v>279.4475275</v>
      </c>
      <c r="AY38" s="33" t="n">
        <f aca="false">Project_CF!AY14+AY22-AY37</f>
        <v>279.4475275</v>
      </c>
      <c r="AZ38" s="33" t="n">
        <f aca="false">Project_CF!AZ14+AZ22-AZ37</f>
        <v>279.4475275</v>
      </c>
      <c r="BA38" s="33" t="n">
        <f aca="false">Project_CF!BA14+BA22-BA37</f>
        <v>279.4475275</v>
      </c>
      <c r="BB38" s="33" t="n">
        <f aca="false">Project_CF!BB14+BB22-BB37</f>
        <v>279.4475275</v>
      </c>
      <c r="BC38" s="33" t="n">
        <f aca="false">Project_CF!BC14+BC22-BC37</f>
        <v>279.4475275</v>
      </c>
      <c r="BD38" s="33" t="n">
        <f aca="false">Project_CF!BD14+BD22-BD37</f>
        <v>279.4475275</v>
      </c>
      <c r="BE38" s="33" t="n">
        <f aca="false">Project_CF!BE14+BE22-BE37</f>
        <v>279.4475275</v>
      </c>
      <c r="BF38" s="33" t="n">
        <f aca="false">Project_CF!BF14+BF22-BF37</f>
        <v>279.4475275</v>
      </c>
      <c r="BG38" s="33" t="n">
        <f aca="false">Project_CF!BG14+BG22-BG37</f>
        <v>279.4475275</v>
      </c>
      <c r="BH38" s="33" t="n">
        <f aca="false">Project_CF!BH14+BH22-BH37</f>
        <v>279.4475275</v>
      </c>
      <c r="BI38" s="33" t="n">
        <f aca="false">Project_CF!BI14+BI22-BI37</f>
        <v>279.4475275</v>
      </c>
      <c r="BJ38" s="33" t="n">
        <f aca="false">Project_CF!BJ14+BJ22-BJ37</f>
        <v>279.4475275</v>
      </c>
      <c r="BK38" s="33" t="n">
        <f aca="false">Project_CF!BK14+BK22-BK37</f>
        <v>279.4475275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0.330489273987561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-50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26.0752688172043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26.0752688172043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26.0752688172043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26.0752688172043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0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0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-50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30.421146953405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30.421146953405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30.421146953405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30.421146953405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0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0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-50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34.7670250896057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34.7670250896057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34.7670250896057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34.7670250896057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0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0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-50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39.1129032258065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39.1129032258065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39.1129032258065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39.1129032258065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0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0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-50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43.4587813620072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43.4587813620072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43.4587813620072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43.4587813620072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0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0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-50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97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0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-50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87.3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0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-50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77.6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0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-50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67.9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0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1</v>
      </c>
      <c r="N6" s="30" t="n">
        <f aca="false">IF(AND(Source_Data!N$6&gt;=Inputs!$B$54,Source_Data!N$6&lt;Inputs!$B$54+3*Inputs!$B$11),1,0)</f>
        <v>1</v>
      </c>
      <c r="O6" s="30" t="n">
        <f aca="false">IF(AND(Source_Data!O$6&gt;=Inputs!$B$54,Source_Data!O$6&lt;Inputs!$B$54+3*Inputs!$B$11),1,0)</f>
        <v>1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0</v>
      </c>
      <c r="Z6" s="30" t="n">
        <f aca="false">IF(AND(Source_Data!Z$6&gt;=Inputs!$B$54,Source_Data!Z$6&lt;Inputs!$B$54+3*Inputs!$B$11),1,0)</f>
        <v>0</v>
      </c>
      <c r="AA6" s="30" t="n">
        <f aca="false">IF(AND(Source_Data!AA$6&gt;=Inputs!$B$54,Source_Data!AA$6&lt;Inputs!$B$54+3*Inputs!$B$11),1,0)</f>
        <v>0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115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9.58333333333333</v>
      </c>
      <c r="N9" s="33" t="n">
        <f aca="false">N6*(Inputs!$B$9*Inputs!$B$7/Inputs!$B$11)</f>
        <v>9.58333333333333</v>
      </c>
      <c r="O9" s="33" t="n">
        <f aca="false">O6*(Inputs!$B$9*Inputs!$B$7/Inputs!$B$11)</f>
        <v>9.58333333333333</v>
      </c>
      <c r="P9" s="33" t="n">
        <f aca="false">P6*(Inputs!$B$9*Inputs!$B$7/Inputs!$B$11)</f>
        <v>9.58333333333333</v>
      </c>
      <c r="Q9" s="33" t="n">
        <f aca="false">Q6*(Inputs!$B$9*Inputs!$B$7/Inputs!$B$11)</f>
        <v>9.58333333333333</v>
      </c>
      <c r="R9" s="33" t="n">
        <f aca="false">R6*(Inputs!$B$9*Inputs!$B$7/Inputs!$B$11)</f>
        <v>9.58333333333333</v>
      </c>
      <c r="S9" s="33" t="n">
        <f aca="false">S6*(Inputs!$B$9*Inputs!$B$7/Inputs!$B$11)</f>
        <v>9.58333333333333</v>
      </c>
      <c r="T9" s="33" t="n">
        <f aca="false">T6*(Inputs!$B$9*Inputs!$B$7/Inputs!$B$11)</f>
        <v>9.58333333333333</v>
      </c>
      <c r="U9" s="33" t="n">
        <f aca="false">U6*(Inputs!$B$9*Inputs!$B$7/Inputs!$B$11)</f>
        <v>9.58333333333333</v>
      </c>
      <c r="V9" s="33" t="n">
        <f aca="false">V6*(Inputs!$B$9*Inputs!$B$7/Inputs!$B$11)</f>
        <v>9.58333333333333</v>
      </c>
      <c r="W9" s="33" t="n">
        <f aca="false">W6*(Inputs!$B$9*Inputs!$B$7/Inputs!$B$11)</f>
        <v>9.58333333333333</v>
      </c>
      <c r="X9" s="33" t="n">
        <f aca="false">X6*(Inputs!$B$9*Inputs!$B$7/Inputs!$B$11)</f>
        <v>9.58333333333333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115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14.375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14.375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14.375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12.0300089402003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8.81567104957989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8.81567104957989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8.41105578606144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7.56912286483301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7.38196454730611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6.64160470342129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6.104950029509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6.104950029509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1.00000004010781E-006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0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0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0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90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7.5</v>
      </c>
      <c r="N11" s="33" t="n">
        <f aca="false">N6*Inputs!$B$40*Inputs!$B$7/Inputs!$B$11</f>
        <v>7.5</v>
      </c>
      <c r="O11" s="33" t="n">
        <f aca="false">O6*Inputs!$B$40*Inputs!$B$7/Inputs!$B$11</f>
        <v>7.5</v>
      </c>
      <c r="P11" s="33" t="n">
        <f aca="false">P6*Inputs!$B$40*Inputs!$B$7/Inputs!$B$11</f>
        <v>7.5</v>
      </c>
      <c r="Q11" s="33" t="n">
        <f aca="false">Q6*Inputs!$B$40*Inputs!$B$7/Inputs!$B$11</f>
        <v>7.5</v>
      </c>
      <c r="R11" s="33" t="n">
        <f aca="false">R6*Inputs!$B$40*Inputs!$B$7/Inputs!$B$11</f>
        <v>7.5</v>
      </c>
      <c r="S11" s="33" t="n">
        <f aca="false">S6*Inputs!$B$40*Inputs!$B$7/Inputs!$B$11</f>
        <v>7.5</v>
      </c>
      <c r="T11" s="33" t="n">
        <f aca="false">T6*Inputs!$B$40*Inputs!$B$7/Inputs!$B$11</f>
        <v>7.5</v>
      </c>
      <c r="U11" s="33" t="n">
        <f aca="false">U6*Inputs!$B$40*Inputs!$B$7/Inputs!$B$11</f>
        <v>7.5</v>
      </c>
      <c r="V11" s="33" t="n">
        <f aca="false">V6*Inputs!$B$40*Inputs!$B$7/Inputs!$B$11</f>
        <v>7.5</v>
      </c>
      <c r="W11" s="33" t="n">
        <f aca="false">W6*Inputs!$B$40*Inputs!$B$7/Inputs!$B$11</f>
        <v>7.5</v>
      </c>
      <c r="X11" s="33" t="n">
        <f aca="false">X6*Inputs!$B$40*Inputs!$B$7/Inputs!$B$11</f>
        <v>7.5</v>
      </c>
      <c r="Y11" s="33" t="n">
        <f aca="false">Y6*Inputs!$B$40*Inputs!$B$7/Inputs!$B$11</f>
        <v>0</v>
      </c>
      <c r="Z11" s="33" t="n">
        <f aca="false">Z6*Inputs!$B$40*Inputs!$B$7/Inputs!$B$11</f>
        <v>0</v>
      </c>
      <c r="AA11" s="33" t="n">
        <f aca="false">AA6*Inputs!$B$40*Inputs!$B$7/Inputs!$B$11</f>
        <v>0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25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8.60555229567824</v>
      </c>
      <c r="N12" s="33" t="n">
        <f aca="false">IF(N6=1,MAX(0,MIN(Inputs!$B$42*N8,Inputs!$B$41*Inputs!$B$7-Inputs!$B$40*Inputs!$B$7-SUM($D$12:M12))),0)</f>
        <v>3.22460708351261</v>
      </c>
      <c r="O12" s="33" t="n">
        <f aca="false">IF(O6=1,MAX(0,MIN(Inputs!$B$42*O8,Inputs!$B$41*Inputs!$B$7-Inputs!$B$40*Inputs!$B$7-SUM($D$12:N12))),0)</f>
        <v>3.06746248879952</v>
      </c>
      <c r="P12" s="33" t="n">
        <f aca="false">IF(P6=1,MAX(0,MIN(Inputs!$B$42*P8,Inputs!$B$41*Inputs!$B$7-Inputs!$B$40*Inputs!$B$7-SUM($D$12:O12))),0)</f>
        <v>1.69087583911285</v>
      </c>
      <c r="Q12" s="33" t="n">
        <f aca="false">IF(Q6=1,MAX(0,MIN(Inputs!$B$42*Q8,Inputs!$B$41*Inputs!$B$7-Inputs!$B$40*Inputs!$B$7-SUM($D$12:P12))),0)</f>
        <v>1.23908512931272</v>
      </c>
      <c r="R12" s="33" t="n">
        <f aca="false">IF(R6=1,MAX(0,MIN(Inputs!$B$42*R8,Inputs!$B$41*Inputs!$B$7-Inputs!$B$40*Inputs!$B$7-SUM($D$12:Q12))),0)</f>
        <v>1.23908512931272</v>
      </c>
      <c r="S12" s="33" t="n">
        <f aca="false">IF(S6=1,MAX(0,MIN(Inputs!$B$42*S8,Inputs!$B$41*Inputs!$B$7-Inputs!$B$40*Inputs!$B$7-SUM($D$12:R12))),0)</f>
        <v>1.18221450048605</v>
      </c>
      <c r="T12" s="33" t="n">
        <f aca="false">IF(T6=1,MAX(0,MIN(Inputs!$B$42*T8,Inputs!$B$41*Inputs!$B$7-Inputs!$B$40*Inputs!$B$7-SUM($D$12:S12))),0)</f>
        <v>1.06387676343736</v>
      </c>
      <c r="U12" s="33" t="n">
        <f aca="false">IF(U6=1,MAX(0,MIN(Inputs!$B$42*U8,Inputs!$B$41*Inputs!$B$7-Inputs!$B$40*Inputs!$B$7-SUM($D$12:T12))),0)</f>
        <v>1.03757075828238</v>
      </c>
      <c r="V12" s="33" t="n">
        <f aca="false">IF(V6=1,MAX(0,MIN(Inputs!$B$42*V8,Inputs!$B$41*Inputs!$B$7-Inputs!$B$40*Inputs!$B$7-SUM($D$12:U12))),0)</f>
        <v>0.933509607663376</v>
      </c>
      <c r="W12" s="33" t="n">
        <f aca="false">IF(W6=1,MAX(0,MIN(Inputs!$B$42*W8,Inputs!$B$41*Inputs!$B$7-Inputs!$B$40*Inputs!$B$7-SUM($D$12:V12))),0)</f>
        <v>0.858080202201093</v>
      </c>
      <c r="X12" s="33" t="n">
        <f aca="false">IF(X6=1,MAX(0,MIN(Inputs!$B$42*X8,Inputs!$B$41*Inputs!$B$7-Inputs!$B$40*Inputs!$B$7-SUM($D$12:W12))),0)</f>
        <v>0.858080202201093</v>
      </c>
      <c r="Y12" s="33" t="n">
        <f aca="false">IF(Y6=1,MAX(0,MIN(Inputs!$B$42*Y8,Inputs!$B$41*Inputs!$B$7-Inputs!$B$40*Inputs!$B$7-SUM($D$12:X12))),0)</f>
        <v>0</v>
      </c>
      <c r="Z12" s="33" t="n">
        <f aca="false">IF(Z6=1,MAX(0,MIN(Inputs!$B$42*Z8,Inputs!$B$41*Inputs!$B$7-Inputs!$B$40*Inputs!$B$7-SUM($D$12:Y12))),0)</f>
        <v>0</v>
      </c>
      <c r="AA12" s="33" t="n">
        <f aca="false">IF(AA6=1,MAX(0,MIN(Inputs!$B$42*AA8,Inputs!$B$41*Inputs!$B$7-Inputs!$B$40*Inputs!$B$7-SUM($D$12:Z12))),0)</f>
        <v>0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115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16.1055522956782</v>
      </c>
      <c r="N13" s="33" t="n">
        <f aca="false">N11+N12</f>
        <v>10.7246070835126</v>
      </c>
      <c r="O13" s="33" t="n">
        <f aca="false">O11+O12</f>
        <v>10.5674624887995</v>
      </c>
      <c r="P13" s="33" t="n">
        <f aca="false">P11+P12</f>
        <v>9.19087583911285</v>
      </c>
      <c r="Q13" s="33" t="n">
        <f aca="false">Q11+Q12</f>
        <v>8.73908512931272</v>
      </c>
      <c r="R13" s="33" t="n">
        <f aca="false">R11+R12</f>
        <v>8.73908512931272</v>
      </c>
      <c r="S13" s="33" t="n">
        <f aca="false">S11+S12</f>
        <v>8.68221450048605</v>
      </c>
      <c r="T13" s="33" t="n">
        <f aca="false">T11+T12</f>
        <v>8.56387676343736</v>
      </c>
      <c r="U13" s="33" t="n">
        <f aca="false">U11+U12</f>
        <v>8.53757075828238</v>
      </c>
      <c r="V13" s="33" t="n">
        <f aca="false">V11+V12</f>
        <v>8.43350960766338</v>
      </c>
      <c r="W13" s="33" t="n">
        <f aca="false">W11+W12</f>
        <v>8.35808020220109</v>
      </c>
      <c r="X13" s="33" t="n">
        <f aca="false">X11+X12</f>
        <v>8.35808020220109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-50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9.58333333333333</v>
      </c>
      <c r="N14" s="33" t="n">
        <f aca="false">-IF(Source_Data!N$6=Inputs!$B$12,Inputs!$B$7,0)+N9</f>
        <v>9.58333333333333</v>
      </c>
      <c r="O14" s="33" t="n">
        <f aca="false">-IF(Source_Data!O$6=Inputs!$B$12,Inputs!$B$7,0)+O9</f>
        <v>9.58333333333333</v>
      </c>
      <c r="P14" s="33" t="n">
        <f aca="false">-IF(Source_Data!P$6=Inputs!$B$12,Inputs!$B$7,0)+P9</f>
        <v>9.58333333333333</v>
      </c>
      <c r="Q14" s="33" t="n">
        <f aca="false">-IF(Source_Data!Q$6=Inputs!$B$12,Inputs!$B$7,0)+Q9</f>
        <v>9.58333333333333</v>
      </c>
      <c r="R14" s="33" t="n">
        <f aca="false">-IF(Source_Data!R$6=Inputs!$B$12,Inputs!$B$7,0)+R9</f>
        <v>9.58333333333333</v>
      </c>
      <c r="S14" s="33" t="n">
        <f aca="false">-IF(Source_Data!S$6=Inputs!$B$12,Inputs!$B$7,0)+S9</f>
        <v>9.58333333333333</v>
      </c>
      <c r="T14" s="33" t="n">
        <f aca="false">-IF(Source_Data!T$6=Inputs!$B$12,Inputs!$B$7,0)+T9</f>
        <v>9.58333333333333</v>
      </c>
      <c r="U14" s="33" t="n">
        <f aca="false">-IF(Source_Data!U$6=Inputs!$B$12,Inputs!$B$7,0)+U9</f>
        <v>9.58333333333333</v>
      </c>
      <c r="V14" s="33" t="n">
        <f aca="false">-IF(Source_Data!V$6=Inputs!$B$12,Inputs!$B$7,0)+V9</f>
        <v>9.58333333333333</v>
      </c>
      <c r="W14" s="33" t="n">
        <f aca="false">-IF(Source_Data!W$6=Inputs!$B$12,Inputs!$B$7,0)+W9</f>
        <v>9.58333333333333</v>
      </c>
      <c r="X14" s="33" t="n">
        <f aca="false">-IF(Source_Data!X$6=Inputs!$B$12,Inputs!$B$7,0)+X9</f>
        <v>9.58333333333333</v>
      </c>
      <c r="Y14" s="33" t="n">
        <f aca="false">-IF(Source_Data!Y$6=Inputs!$B$12,Inputs!$B$7,0)+Y9</f>
        <v>0</v>
      </c>
      <c r="Z14" s="33" t="n">
        <f aca="false">-IF(Source_Data!Z$6=Inputs!$B$12,Inputs!$B$7,0)+Z9</f>
        <v>0</v>
      </c>
      <c r="AA14" s="33" t="n">
        <f aca="false">-IF(Source_Data!AA$6=Inputs!$B$12,Inputs!$B$7,0)+AA9</f>
        <v>0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-50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14.375</v>
      </c>
      <c r="N15" s="33" t="n">
        <f aca="false">-IF(Source_Data!N$6=Inputs!$B$12,Inputs!$B$7,0)+N10</f>
        <v>14.375</v>
      </c>
      <c r="O15" s="33" t="n">
        <f aca="false">-IF(Source_Data!O$6=Inputs!$B$12,Inputs!$B$7,0)+O10</f>
        <v>14.375</v>
      </c>
      <c r="P15" s="33" t="n">
        <f aca="false">-IF(Source_Data!P$6=Inputs!$B$12,Inputs!$B$7,0)+P10</f>
        <v>12.0300089402003</v>
      </c>
      <c r="Q15" s="33" t="n">
        <f aca="false">-IF(Source_Data!Q$6=Inputs!$B$12,Inputs!$B$7,0)+Q10</f>
        <v>8.81567104957989</v>
      </c>
      <c r="R15" s="33" t="n">
        <f aca="false">-IF(Source_Data!R$6=Inputs!$B$12,Inputs!$B$7,0)+R10</f>
        <v>8.81567104957989</v>
      </c>
      <c r="S15" s="33" t="n">
        <f aca="false">-IF(Source_Data!S$6=Inputs!$B$12,Inputs!$B$7,0)+S10</f>
        <v>8.41105578606144</v>
      </c>
      <c r="T15" s="33" t="n">
        <f aca="false">-IF(Source_Data!T$6=Inputs!$B$12,Inputs!$B$7,0)+T10</f>
        <v>7.56912286483301</v>
      </c>
      <c r="U15" s="33" t="n">
        <f aca="false">-IF(Source_Data!U$6=Inputs!$B$12,Inputs!$B$7,0)+U10</f>
        <v>7.38196454730611</v>
      </c>
      <c r="V15" s="33" t="n">
        <f aca="false">-IF(Source_Data!V$6=Inputs!$B$12,Inputs!$B$7,0)+V10</f>
        <v>6.64160470342129</v>
      </c>
      <c r="W15" s="33" t="n">
        <f aca="false">-IF(Source_Data!W$6=Inputs!$B$12,Inputs!$B$7,0)+W10</f>
        <v>6.104950029509</v>
      </c>
      <c r="X15" s="33" t="n">
        <f aca="false">-IF(Source_Data!X$6=Inputs!$B$12,Inputs!$B$7,0)+X10</f>
        <v>6.104950029509</v>
      </c>
      <c r="Y15" s="33" t="n">
        <f aca="false">-IF(Source_Data!Y$6=Inputs!$B$12,Inputs!$B$7,0)+Y10</f>
        <v>1.00000004010781E-006</v>
      </c>
      <c r="Z15" s="33" t="n">
        <f aca="false">-IF(Source_Data!Z$6=Inputs!$B$12,Inputs!$B$7,0)+Z10</f>
        <v>0</v>
      </c>
      <c r="AA15" s="33" t="n">
        <f aca="false">-IF(Source_Data!AA$6=Inputs!$B$12,Inputs!$B$7,0)+AA10</f>
        <v>0</v>
      </c>
      <c r="AB15" s="33" t="n">
        <f aca="false">-IF(Source_Data!AB$6=Inputs!$B$12,Inputs!$B$7,0)+AB10</f>
        <v>0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-50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16.1055522956782</v>
      </c>
      <c r="N16" s="33" t="n">
        <f aca="false">-IF(Source_Data!N$6=Inputs!$B$12,Inputs!$B$7,0)+N13</f>
        <v>10.7246070835126</v>
      </c>
      <c r="O16" s="33" t="n">
        <f aca="false">-IF(Source_Data!O$6=Inputs!$B$12,Inputs!$B$7,0)+O13</f>
        <v>10.5674624887995</v>
      </c>
      <c r="P16" s="33" t="n">
        <f aca="false">-IF(Source_Data!P$6=Inputs!$B$12,Inputs!$B$7,0)+P13</f>
        <v>9.19087583911285</v>
      </c>
      <c r="Q16" s="33" t="n">
        <f aca="false">-IF(Source_Data!Q$6=Inputs!$B$12,Inputs!$B$7,0)+Q13</f>
        <v>8.73908512931272</v>
      </c>
      <c r="R16" s="33" t="n">
        <f aca="false">-IF(Source_Data!R$6=Inputs!$B$12,Inputs!$B$7,0)+R13</f>
        <v>8.73908512931272</v>
      </c>
      <c r="S16" s="33" t="n">
        <f aca="false">-IF(Source_Data!S$6=Inputs!$B$12,Inputs!$B$7,0)+S13</f>
        <v>8.68221450048605</v>
      </c>
      <c r="T16" s="33" t="n">
        <f aca="false">-IF(Source_Data!T$6=Inputs!$B$12,Inputs!$B$7,0)+T13</f>
        <v>8.56387676343736</v>
      </c>
      <c r="U16" s="33" t="n">
        <f aca="false">-IF(Source_Data!U$6=Inputs!$B$12,Inputs!$B$7,0)+U13</f>
        <v>8.53757075828238</v>
      </c>
      <c r="V16" s="33" t="n">
        <f aca="false">-IF(Source_Data!V$6=Inputs!$B$12,Inputs!$B$7,0)+V13</f>
        <v>8.43350960766338</v>
      </c>
      <c r="W16" s="33" t="n">
        <f aca="false">-IF(Source_Data!W$6=Inputs!$B$12,Inputs!$B$7,0)+W13</f>
        <v>8.35808020220109</v>
      </c>
      <c r="X16" s="33" t="n">
        <f aca="false">-IF(Source_Data!X$6=Inputs!$B$12,Inputs!$B$7,0)+X13</f>
        <v>8.35808020220109</v>
      </c>
      <c r="Y16" s="33" t="n">
        <f aca="false">-IF(Source_Data!Y$6=Inputs!$B$12,Inputs!$B$7,0)+Y13</f>
        <v>0</v>
      </c>
      <c r="Z16" s="33" t="n">
        <f aca="false">-IF(Source_Data!Z$6=Inputs!$B$12,Inputs!$B$7,0)+Z13</f>
        <v>0</v>
      </c>
      <c r="AA16" s="33" t="n">
        <f aca="false">-IF(Source_Data!AA$6=Inputs!$B$12,Inputs!$B$7,0)+AA13</f>
        <v>0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50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-9.58333333333333</v>
      </c>
      <c r="N17" s="33" t="n">
        <f aca="false">IF(Source_Data!N$6=Inputs!$B$12,Inputs!$B$7,0)-N9</f>
        <v>-9.58333333333333</v>
      </c>
      <c r="O17" s="33" t="n">
        <f aca="false">IF(Source_Data!O$6=Inputs!$B$12,Inputs!$B$7,0)-O9</f>
        <v>-9.58333333333333</v>
      </c>
      <c r="P17" s="33" t="n">
        <f aca="false">IF(Source_Data!P$6=Inputs!$B$12,Inputs!$B$7,0)-P9</f>
        <v>-9.58333333333333</v>
      </c>
      <c r="Q17" s="33" t="n">
        <f aca="false">IF(Source_Data!Q$6=Inputs!$B$12,Inputs!$B$7,0)-Q9</f>
        <v>-9.58333333333333</v>
      </c>
      <c r="R17" s="33" t="n">
        <f aca="false">IF(Source_Data!R$6=Inputs!$B$12,Inputs!$B$7,0)-R9</f>
        <v>-9.58333333333333</v>
      </c>
      <c r="S17" s="33" t="n">
        <f aca="false">IF(Source_Data!S$6=Inputs!$B$12,Inputs!$B$7,0)-S9</f>
        <v>-9.58333333333333</v>
      </c>
      <c r="T17" s="33" t="n">
        <f aca="false">IF(Source_Data!T$6=Inputs!$B$12,Inputs!$B$7,0)-T9</f>
        <v>-9.58333333333333</v>
      </c>
      <c r="U17" s="33" t="n">
        <f aca="false">IF(Source_Data!U$6=Inputs!$B$12,Inputs!$B$7,0)-U9</f>
        <v>-9.58333333333333</v>
      </c>
      <c r="V17" s="33" t="n">
        <f aca="false">IF(Source_Data!V$6=Inputs!$B$12,Inputs!$B$7,0)-V9</f>
        <v>-9.58333333333333</v>
      </c>
      <c r="W17" s="33" t="n">
        <f aca="false">IF(Source_Data!W$6=Inputs!$B$12,Inputs!$B$7,0)-W9</f>
        <v>-9.58333333333333</v>
      </c>
      <c r="X17" s="33" t="n">
        <f aca="false">IF(Source_Data!X$6=Inputs!$B$12,Inputs!$B$7,0)-X9</f>
        <v>-9.58333333333333</v>
      </c>
      <c r="Y17" s="33" t="n">
        <f aca="false">IF(Source_Data!Y$6=Inputs!$B$12,Inputs!$B$7,0)-Y9</f>
        <v>0</v>
      </c>
      <c r="Z17" s="33" t="n">
        <f aca="false">IF(Source_Data!Z$6=Inputs!$B$12,Inputs!$B$7,0)-Z9</f>
        <v>0</v>
      </c>
      <c r="AA17" s="33" t="n">
        <f aca="false">IF(Source_Data!AA$6=Inputs!$B$12,Inputs!$B$7,0)-AA9</f>
        <v>0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50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-14.375</v>
      </c>
      <c r="N18" s="33" t="n">
        <f aca="false">IF(Source_Data!N$6=Inputs!$B$12,Inputs!$B$7,0)-N10</f>
        <v>-14.375</v>
      </c>
      <c r="O18" s="33" t="n">
        <f aca="false">IF(Source_Data!O$6=Inputs!$B$12,Inputs!$B$7,0)-O10</f>
        <v>-14.375</v>
      </c>
      <c r="P18" s="33" t="n">
        <f aca="false">IF(Source_Data!P$6=Inputs!$B$12,Inputs!$B$7,0)-P10</f>
        <v>-12.0300089402003</v>
      </c>
      <c r="Q18" s="33" t="n">
        <f aca="false">IF(Source_Data!Q$6=Inputs!$B$12,Inputs!$B$7,0)-Q10</f>
        <v>-8.81567104957989</v>
      </c>
      <c r="R18" s="33" t="n">
        <f aca="false">IF(Source_Data!R$6=Inputs!$B$12,Inputs!$B$7,0)-R10</f>
        <v>-8.81567104957989</v>
      </c>
      <c r="S18" s="33" t="n">
        <f aca="false">IF(Source_Data!S$6=Inputs!$B$12,Inputs!$B$7,0)-S10</f>
        <v>-8.41105578606144</v>
      </c>
      <c r="T18" s="33" t="n">
        <f aca="false">IF(Source_Data!T$6=Inputs!$B$12,Inputs!$B$7,0)-T10</f>
        <v>-7.56912286483301</v>
      </c>
      <c r="U18" s="33" t="n">
        <f aca="false">IF(Source_Data!U$6=Inputs!$B$12,Inputs!$B$7,0)-U10</f>
        <v>-7.38196454730611</v>
      </c>
      <c r="V18" s="33" t="n">
        <f aca="false">IF(Source_Data!V$6=Inputs!$B$12,Inputs!$B$7,0)-V10</f>
        <v>-6.64160470342129</v>
      </c>
      <c r="W18" s="33" t="n">
        <f aca="false">IF(Source_Data!W$6=Inputs!$B$12,Inputs!$B$7,0)-W10</f>
        <v>-6.104950029509</v>
      </c>
      <c r="X18" s="33" t="n">
        <f aca="false">IF(Source_Data!X$6=Inputs!$B$12,Inputs!$B$7,0)-X10</f>
        <v>-6.104950029509</v>
      </c>
      <c r="Y18" s="33" t="n">
        <f aca="false">IF(Source_Data!Y$6=Inputs!$B$12,Inputs!$B$7,0)-Y10</f>
        <v>-1.00000004010781E-006</v>
      </c>
      <c r="Z18" s="33" t="n">
        <f aca="false">IF(Source_Data!Z$6=Inputs!$B$12,Inputs!$B$7,0)-Z10</f>
        <v>0</v>
      </c>
      <c r="AA18" s="33" t="n">
        <f aca="false">IF(Source_Data!AA$6=Inputs!$B$12,Inputs!$B$7,0)-AA10</f>
        <v>0</v>
      </c>
      <c r="AB18" s="33" t="n">
        <f aca="false">IF(Source_Data!AB$6=Inputs!$B$12,Inputs!$B$7,0)-AB10</f>
        <v>0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50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-16.1055522956782</v>
      </c>
      <c r="N19" s="33" t="n">
        <f aca="false">IF(Source_Data!N$6=Inputs!$B$12,Inputs!$B$7,0)-N13</f>
        <v>-10.7246070835126</v>
      </c>
      <c r="O19" s="33" t="n">
        <f aca="false">IF(Source_Data!O$6=Inputs!$B$12,Inputs!$B$7,0)-O13</f>
        <v>-10.5674624887995</v>
      </c>
      <c r="P19" s="33" t="n">
        <f aca="false">IF(Source_Data!P$6=Inputs!$B$12,Inputs!$B$7,0)-P13</f>
        <v>-9.19087583911285</v>
      </c>
      <c r="Q19" s="33" t="n">
        <f aca="false">IF(Source_Data!Q$6=Inputs!$B$12,Inputs!$B$7,0)-Q13</f>
        <v>-8.73908512931272</v>
      </c>
      <c r="R19" s="33" t="n">
        <f aca="false">IF(Source_Data!R$6=Inputs!$B$12,Inputs!$B$7,0)-R13</f>
        <v>-8.73908512931272</v>
      </c>
      <c r="S19" s="33" t="n">
        <f aca="false">IF(Source_Data!S$6=Inputs!$B$12,Inputs!$B$7,0)-S13</f>
        <v>-8.68221450048605</v>
      </c>
      <c r="T19" s="33" t="n">
        <f aca="false">IF(Source_Data!T$6=Inputs!$B$12,Inputs!$B$7,0)-T13</f>
        <v>-8.56387676343736</v>
      </c>
      <c r="U19" s="33" t="n">
        <f aca="false">IF(Source_Data!U$6=Inputs!$B$12,Inputs!$B$7,0)-U13</f>
        <v>-8.53757075828238</v>
      </c>
      <c r="V19" s="33" t="n">
        <f aca="false">IF(Source_Data!V$6=Inputs!$B$12,Inputs!$B$7,0)-V13</f>
        <v>-8.43350960766338</v>
      </c>
      <c r="W19" s="33" t="n">
        <f aca="false">IF(Source_Data!W$6=Inputs!$B$12,Inputs!$B$7,0)-W13</f>
        <v>-8.35808020220109</v>
      </c>
      <c r="X19" s="33" t="n">
        <f aca="false">IF(Source_Data!X$6=Inputs!$B$12,Inputs!$B$7,0)-X13</f>
        <v>-8.35808020220109</v>
      </c>
      <c r="Y19" s="33" t="n">
        <f aca="false">IF(Source_Data!Y$6=Inputs!$B$12,Inputs!$B$7,0)-Y13</f>
        <v>0</v>
      </c>
      <c r="Z19" s="33" t="n">
        <f aca="false">IF(Source_Data!Z$6=Inputs!$B$12,Inputs!$B$7,0)-Z13</f>
        <v>0</v>
      </c>
      <c r="AA19" s="33" t="n">
        <f aca="false">IF(Source_Data!AA$6=Inputs!$B$12,Inputs!$B$7,0)-AA13</f>
        <v>0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-41.25</v>
      </c>
      <c r="E20" s="33" t="n">
        <f aca="false">D20+IF(Source_Data!E$6=Inputs!$B$12,Inputs!$B$7,0)+E7-E9</f>
        <v>-52.5</v>
      </c>
      <c r="F20" s="33" t="n">
        <f aca="false">E20+IF(Source_Data!F$6=Inputs!$B$12,Inputs!$B$7,0)+F7-F9</f>
        <v>-48.6107625</v>
      </c>
      <c r="G20" s="33" t="n">
        <f aca="false">F20+IF(Source_Data!G$6=Inputs!$B$12,Inputs!$B$7,0)+G7-G9</f>
        <v>-29.5822875</v>
      </c>
      <c r="H20" s="33" t="n">
        <f aca="false">G20+IF(Source_Data!H$6=Inputs!$B$12,Inputs!$B$7,0)+H7-H9</f>
        <v>-28.57028125</v>
      </c>
      <c r="I20" s="33" t="n">
        <f aca="false">H20+IF(Source_Data!I$6=Inputs!$B$12,Inputs!$B$7,0)+I7-I9</f>
        <v>-18.68474375</v>
      </c>
      <c r="J20" s="33" t="n">
        <f aca="false">I20+IF(Source_Data!J$6=Inputs!$B$12,Inputs!$B$7,0)+J7-J9</f>
        <v>-36.93043375</v>
      </c>
      <c r="K20" s="33" t="n">
        <f aca="false">J20+IF(Source_Data!K$6=Inputs!$B$12,Inputs!$B$7,0)+K7-K9</f>
        <v>-38.428264375</v>
      </c>
      <c r="L20" s="33" t="n">
        <f aca="false">K20+IF(Source_Data!L$6=Inputs!$B$12,Inputs!$B$7,0)+L7-L9</f>
        <v>-31.7306759375</v>
      </c>
      <c r="M20" s="33" t="n">
        <f aca="false">L20+IF(Source_Data!M$6=Inputs!$B$12,Inputs!$B$7,0)+M7-M9</f>
        <v>380.308568229167</v>
      </c>
      <c r="N20" s="33" t="n">
        <f aca="false">M20+IF(Source_Data!N$6=Inputs!$B$12,Inputs!$B$7,0)+N7-N9</f>
        <v>509.491974895833</v>
      </c>
      <c r="O20" s="33" t="n">
        <f aca="false">N20+IF(Source_Data!O$6=Inputs!$B$12,Inputs!$B$7,0)+O7-O9</f>
        <v>629.6316315625</v>
      </c>
      <c r="P20" s="33" t="n">
        <f aca="false">O20+IF(Source_Data!P$6=Inputs!$B$12,Inputs!$B$7,0)+P7-P9</f>
        <v>526.661008229167</v>
      </c>
      <c r="Q20" s="33" t="n">
        <f aca="false">P20+IF(Source_Data!Q$6=Inputs!$B$12,Inputs!$B$7,0)+Q7-Q9</f>
        <v>396.126843645833</v>
      </c>
      <c r="R20" s="33" t="n">
        <f aca="false">Q20+IF(Source_Data!R$6=Inputs!$B$12,Inputs!$B$7,0)+R7-R9</f>
        <v>214.9926790625</v>
      </c>
      <c r="S20" s="33" t="n">
        <f aca="false">R20+IF(Source_Data!S$6=Inputs!$B$12,Inputs!$B$7,0)+S7-S9</f>
        <v>87.2401813541667</v>
      </c>
      <c r="T20" s="33" t="n">
        <f aca="false">S20+IF(Source_Data!T$6=Inputs!$B$12,Inputs!$B$7,0)+T7-T9</f>
        <v>93.8834877083333</v>
      </c>
      <c r="U20" s="33" t="n">
        <f aca="false">T20+IF(Source_Data!U$6=Inputs!$B$12,Inputs!$B$7,0)+U7-U9</f>
        <v>99.0128703125</v>
      </c>
      <c r="V20" s="33" t="n">
        <f aca="false">U20+IF(Source_Data!V$6=Inputs!$B$12,Inputs!$B$7,0)+V7-V9</f>
        <v>98.1534816666667</v>
      </c>
      <c r="W20" s="33" t="n">
        <f aca="false">V20+IF(Source_Data!W$6=Inputs!$B$12,Inputs!$B$7,0)+W7-W9</f>
        <v>92.9530930208334</v>
      </c>
      <c r="X20" s="33" t="n">
        <f aca="false">W20+IF(Source_Data!X$6=Inputs!$B$12,Inputs!$B$7,0)+X7-X9</f>
        <v>110.252704375</v>
      </c>
      <c r="Y20" s="33" t="n">
        <f aca="false">X20+IF(Source_Data!Y$6=Inputs!$B$12,Inputs!$B$7,0)+Y7-Y9</f>
        <v>129.8554303125</v>
      </c>
      <c r="Z20" s="33" t="n">
        <f aca="false">Y20+IF(Source_Data!Z$6=Inputs!$B$12,Inputs!$B$7,0)+Z7-Z9</f>
        <v>149.45815625</v>
      </c>
      <c r="AA20" s="33" t="n">
        <f aca="false">Z20+IF(Source_Data!AA$6=Inputs!$B$12,Inputs!$B$7,0)+AA7-AA9</f>
        <v>169.0608821875</v>
      </c>
      <c r="AB20" s="33" t="n">
        <f aca="false">AA20+IF(Source_Data!AB$6=Inputs!$B$12,Inputs!$B$7,0)+AB7-AB9</f>
        <v>205.375608125</v>
      </c>
      <c r="AC20" s="33" t="n">
        <f aca="false">AB20+IF(Source_Data!AC$6=Inputs!$B$12,Inputs!$B$7,0)+AC7-AC9</f>
        <v>238.414235625</v>
      </c>
      <c r="AD20" s="33" t="n">
        <f aca="false">AC20+IF(Source_Data!AD$6=Inputs!$B$12,Inputs!$B$7,0)+AD7-AD9</f>
        <v>267.844406875</v>
      </c>
      <c r="AE20" s="33" t="n">
        <f aca="false">AD20+IF(Source_Data!AE$6=Inputs!$B$12,Inputs!$B$7,0)+AE7-AE9</f>
        <v>292.933578125</v>
      </c>
      <c r="AF20" s="33" t="n">
        <f aca="false">AE20+IF(Source_Data!AF$6=Inputs!$B$12,Inputs!$B$7,0)+AF7-AF9</f>
        <v>210.264539023438</v>
      </c>
      <c r="AG20" s="33" t="n">
        <f aca="false">AF20+IF(Source_Data!AG$6=Inputs!$B$12,Inputs!$B$7,0)+AG7-AG9</f>
        <v>224.377197851563</v>
      </c>
      <c r="AH20" s="33" t="n">
        <f aca="false">AG20+IF(Source_Data!AH$6=Inputs!$B$12,Inputs!$B$7,0)+AH7-AH9</f>
        <v>238.489856679688</v>
      </c>
      <c r="AI20" s="33" t="n">
        <f aca="false">AH20+IF(Source_Data!AI$6=Inputs!$B$12,Inputs!$B$7,0)+AI7-AI9</f>
        <v>252.602515507813</v>
      </c>
      <c r="AJ20" s="33" t="n">
        <f aca="false">AI20+IF(Source_Data!AJ$6=Inputs!$B$12,Inputs!$B$7,0)+AJ7-AJ9</f>
        <v>266.715174335938</v>
      </c>
      <c r="AK20" s="33" t="n">
        <f aca="false">AJ20+IF(Source_Data!AK$6=Inputs!$B$12,Inputs!$B$7,0)+AK7-AK9</f>
        <v>279.59929625</v>
      </c>
      <c r="AL20" s="33" t="n">
        <f aca="false">AK20+IF(Source_Data!AL$6=Inputs!$B$12,Inputs!$B$7,0)+AL7-AL9</f>
        <v>292.483418164063</v>
      </c>
      <c r="AM20" s="33" t="n">
        <f aca="false">AL20+IF(Source_Data!AM$6=Inputs!$B$12,Inputs!$B$7,0)+AM7-AM9</f>
        <v>303.0244175</v>
      </c>
      <c r="AN20" s="33" t="n">
        <f aca="false">AM20+IF(Source_Data!AN$6=Inputs!$B$12,Inputs!$B$7,0)+AN7-AN9</f>
        <v>308.43913671875</v>
      </c>
      <c r="AO20" s="33" t="n">
        <f aca="false">AN20+IF(Source_Data!AO$6=Inputs!$B$12,Inputs!$B$7,0)+AO7-AO9</f>
        <v>310.4475275</v>
      </c>
      <c r="AP20" s="33" t="n">
        <f aca="false">AO20+IF(Source_Data!AP$6=Inputs!$B$12,Inputs!$B$7,0)+AP7-AP9</f>
        <v>310.4475275</v>
      </c>
      <c r="AQ20" s="33" t="n">
        <f aca="false">AP20+IF(Source_Data!AQ$6=Inputs!$B$12,Inputs!$B$7,0)+AQ7-AQ9</f>
        <v>310.4475275</v>
      </c>
      <c r="AR20" s="33" t="n">
        <f aca="false">AQ20+IF(Source_Data!AR$6=Inputs!$B$12,Inputs!$B$7,0)+AR7-AR9</f>
        <v>310.4475275</v>
      </c>
      <c r="AS20" s="33" t="n">
        <f aca="false">AR20+IF(Source_Data!AS$6=Inputs!$B$12,Inputs!$B$7,0)+AS7-AS9</f>
        <v>310.4475275</v>
      </c>
      <c r="AT20" s="33" t="n">
        <f aca="false">AS20+IF(Source_Data!AT$6=Inputs!$B$12,Inputs!$B$7,0)+AT7-AT9</f>
        <v>310.4475275</v>
      </c>
      <c r="AU20" s="33" t="n">
        <f aca="false">AT20+IF(Source_Data!AU$6=Inputs!$B$12,Inputs!$B$7,0)+AU7-AU9</f>
        <v>310.4475275</v>
      </c>
      <c r="AV20" s="33" t="n">
        <f aca="false">AU20+IF(Source_Data!AV$6=Inputs!$B$12,Inputs!$B$7,0)+AV7-AV9</f>
        <v>310.4475275</v>
      </c>
      <c r="AW20" s="33" t="n">
        <f aca="false">AV20+IF(Source_Data!AW$6=Inputs!$B$12,Inputs!$B$7,0)+AW7-AW9</f>
        <v>310.4475275</v>
      </c>
      <c r="AX20" s="33" t="n">
        <f aca="false">AW20+IF(Source_Data!AX$6=Inputs!$B$12,Inputs!$B$7,0)+AX7-AX9</f>
        <v>310.4475275</v>
      </c>
      <c r="AY20" s="33" t="n">
        <f aca="false">AX20+IF(Source_Data!AY$6=Inputs!$B$12,Inputs!$B$7,0)+AY7-AY9</f>
        <v>310.4475275</v>
      </c>
      <c r="AZ20" s="33" t="n">
        <f aca="false">AY20+IF(Source_Data!AZ$6=Inputs!$B$12,Inputs!$B$7,0)+AZ7-AZ9</f>
        <v>310.4475275</v>
      </c>
      <c r="BA20" s="33" t="n">
        <f aca="false">AZ20+IF(Source_Data!BA$6=Inputs!$B$12,Inputs!$B$7,0)+BA7-BA9</f>
        <v>310.4475275</v>
      </c>
      <c r="BB20" s="33" t="n">
        <f aca="false">BA20+IF(Source_Data!BB$6=Inputs!$B$12,Inputs!$B$7,0)+BB7-BB9</f>
        <v>310.4475275</v>
      </c>
      <c r="BC20" s="33" t="n">
        <f aca="false">BB20+IF(Source_Data!BC$6=Inputs!$B$12,Inputs!$B$7,0)+BC7-BC9</f>
        <v>310.4475275</v>
      </c>
      <c r="BD20" s="33" t="n">
        <f aca="false">BC20+IF(Source_Data!BD$6=Inputs!$B$12,Inputs!$B$7,0)+BD7-BD9</f>
        <v>310.4475275</v>
      </c>
      <c r="BE20" s="33" t="n">
        <f aca="false">BD20+IF(Source_Data!BE$6=Inputs!$B$12,Inputs!$B$7,0)+BE7-BE9</f>
        <v>310.4475275</v>
      </c>
      <c r="BF20" s="33" t="n">
        <f aca="false">BE20+IF(Source_Data!BF$6=Inputs!$B$12,Inputs!$B$7,0)+BF7-BF9</f>
        <v>310.4475275</v>
      </c>
      <c r="BG20" s="33" t="n">
        <f aca="false">BF20+IF(Source_Data!BG$6=Inputs!$B$12,Inputs!$B$7,0)+BG7-BG9</f>
        <v>310.4475275</v>
      </c>
      <c r="BH20" s="33" t="n">
        <f aca="false">BG20+IF(Source_Data!BH$6=Inputs!$B$12,Inputs!$B$7,0)+BH7-BH9</f>
        <v>310.4475275</v>
      </c>
      <c r="BI20" s="33" t="n">
        <f aca="false">BH20+IF(Source_Data!BI$6=Inputs!$B$12,Inputs!$B$7,0)+BI7-BI9</f>
        <v>310.4475275</v>
      </c>
      <c r="BJ20" s="33" t="n">
        <f aca="false">BI20+IF(Source_Data!BJ$6=Inputs!$B$12,Inputs!$B$7,0)+BJ7-BJ9</f>
        <v>310.4475275</v>
      </c>
      <c r="BK20" s="33" t="n">
        <f aca="false">BJ20+IF(Source_Data!BK$6=Inputs!$B$12,Inputs!$B$7,0)+BK7-BK9</f>
        <v>310.4475275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-41.25</v>
      </c>
      <c r="E21" s="33" t="n">
        <f aca="false">D21+IF(Source_Data!E$6=Inputs!$B$12,Inputs!$B$7,0)+E7-E10</f>
        <v>-52.5</v>
      </c>
      <c r="F21" s="33" t="n">
        <f aca="false">E21+IF(Source_Data!F$6=Inputs!$B$12,Inputs!$B$7,0)+F7-F10</f>
        <v>-48.6107625</v>
      </c>
      <c r="G21" s="33" t="n">
        <f aca="false">F21+IF(Source_Data!G$6=Inputs!$B$12,Inputs!$B$7,0)+G7-G10</f>
        <v>-29.5822875</v>
      </c>
      <c r="H21" s="33" t="n">
        <f aca="false">G21+IF(Source_Data!H$6=Inputs!$B$12,Inputs!$B$7,0)+H7-H10</f>
        <v>-28.57028125</v>
      </c>
      <c r="I21" s="33" t="n">
        <f aca="false">H21+IF(Source_Data!I$6=Inputs!$B$12,Inputs!$B$7,0)+I7-I10</f>
        <v>-18.68474375</v>
      </c>
      <c r="J21" s="33" t="n">
        <f aca="false">I21+IF(Source_Data!J$6=Inputs!$B$12,Inputs!$B$7,0)+J7-J10</f>
        <v>-36.93043375</v>
      </c>
      <c r="K21" s="33" t="n">
        <f aca="false">J21+IF(Source_Data!K$6=Inputs!$B$12,Inputs!$B$7,0)+K7-K10</f>
        <v>-38.428264375</v>
      </c>
      <c r="L21" s="33" t="n">
        <f aca="false">K21+IF(Source_Data!L$6=Inputs!$B$12,Inputs!$B$7,0)+L7-L10</f>
        <v>-31.7306759375</v>
      </c>
      <c r="M21" s="33" t="n">
        <f aca="false">L21+IF(Source_Data!M$6=Inputs!$B$12,Inputs!$B$7,0)+M7-M10</f>
        <v>375.5169015625</v>
      </c>
      <c r="N21" s="33" t="n">
        <f aca="false">M21+IF(Source_Data!N$6=Inputs!$B$12,Inputs!$B$7,0)+N7-N10</f>
        <v>499.9086415625</v>
      </c>
      <c r="O21" s="33" t="n">
        <f aca="false">N21+IF(Source_Data!O$6=Inputs!$B$12,Inputs!$B$7,0)+O7-O10</f>
        <v>615.2566315625</v>
      </c>
      <c r="P21" s="33" t="n">
        <f aca="false">O21+IF(Source_Data!P$6=Inputs!$B$12,Inputs!$B$7,0)+P7-P10</f>
        <v>509.8393326223</v>
      </c>
      <c r="Q21" s="33" t="n">
        <f aca="false">P21+IF(Source_Data!Q$6=Inputs!$B$12,Inputs!$B$7,0)+Q7-Q10</f>
        <v>380.07283032272</v>
      </c>
      <c r="R21" s="33" t="n">
        <f aca="false">Q21+IF(Source_Data!R$6=Inputs!$B$12,Inputs!$B$7,0)+R7-R10</f>
        <v>199.70632802314</v>
      </c>
      <c r="S21" s="33" t="n">
        <f aca="false">R21+IF(Source_Data!S$6=Inputs!$B$12,Inputs!$B$7,0)+S7-S10</f>
        <v>73.1261078620785</v>
      </c>
      <c r="T21" s="33" t="n">
        <f aca="false">S21+IF(Source_Data!T$6=Inputs!$B$12,Inputs!$B$7,0)+T7-T10</f>
        <v>81.7836246847455</v>
      </c>
      <c r="U21" s="33" t="n">
        <f aca="false">T21+IF(Source_Data!U$6=Inputs!$B$12,Inputs!$B$7,0)+U7-U10</f>
        <v>89.1143760749394</v>
      </c>
      <c r="V21" s="33" t="n">
        <f aca="false">U21+IF(Source_Data!V$6=Inputs!$B$12,Inputs!$B$7,0)+V7-V10</f>
        <v>91.1967160590181</v>
      </c>
      <c r="W21" s="33" t="n">
        <f aca="false">V21+IF(Source_Data!W$6=Inputs!$B$12,Inputs!$B$7,0)+W7-W10</f>
        <v>89.4747107170091</v>
      </c>
      <c r="X21" s="33" t="n">
        <f aca="false">W21+IF(Source_Data!X$6=Inputs!$B$12,Inputs!$B$7,0)+X7-X10</f>
        <v>110.252705375</v>
      </c>
      <c r="Y21" s="33" t="n">
        <f aca="false">X21+IF(Source_Data!Y$6=Inputs!$B$12,Inputs!$B$7,0)+Y7-Y10</f>
        <v>129.8554303125</v>
      </c>
      <c r="Z21" s="33" t="n">
        <f aca="false">Y21+IF(Source_Data!Z$6=Inputs!$B$12,Inputs!$B$7,0)+Z7-Z10</f>
        <v>149.45815625</v>
      </c>
      <c r="AA21" s="33" t="n">
        <f aca="false">Z21+IF(Source_Data!AA$6=Inputs!$B$12,Inputs!$B$7,0)+AA7-AA10</f>
        <v>169.0608821875</v>
      </c>
      <c r="AB21" s="33" t="n">
        <f aca="false">AA21+IF(Source_Data!AB$6=Inputs!$B$12,Inputs!$B$7,0)+AB7-AB10</f>
        <v>205.375608125</v>
      </c>
      <c r="AC21" s="33" t="n">
        <f aca="false">AB21+IF(Source_Data!AC$6=Inputs!$B$12,Inputs!$B$7,0)+AC7-AC10</f>
        <v>238.414235625</v>
      </c>
      <c r="AD21" s="33" t="n">
        <f aca="false">AC21+IF(Source_Data!AD$6=Inputs!$B$12,Inputs!$B$7,0)+AD7-AD10</f>
        <v>267.844406875</v>
      </c>
      <c r="AE21" s="33" t="n">
        <f aca="false">AD21+IF(Source_Data!AE$6=Inputs!$B$12,Inputs!$B$7,0)+AE7-AE10</f>
        <v>292.933578125</v>
      </c>
      <c r="AF21" s="33" t="n">
        <f aca="false">AE21+IF(Source_Data!AF$6=Inputs!$B$12,Inputs!$B$7,0)+AF7-AF10</f>
        <v>210.264539023438</v>
      </c>
      <c r="AG21" s="33" t="n">
        <f aca="false">AF21+IF(Source_Data!AG$6=Inputs!$B$12,Inputs!$B$7,0)+AG7-AG10</f>
        <v>224.377197851563</v>
      </c>
      <c r="AH21" s="33" t="n">
        <f aca="false">AG21+IF(Source_Data!AH$6=Inputs!$B$12,Inputs!$B$7,0)+AH7-AH10</f>
        <v>238.489856679688</v>
      </c>
      <c r="AI21" s="33" t="n">
        <f aca="false">AH21+IF(Source_Data!AI$6=Inputs!$B$12,Inputs!$B$7,0)+AI7-AI10</f>
        <v>252.602515507813</v>
      </c>
      <c r="AJ21" s="33" t="n">
        <f aca="false">AI21+IF(Source_Data!AJ$6=Inputs!$B$12,Inputs!$B$7,0)+AJ7-AJ10</f>
        <v>266.715174335938</v>
      </c>
      <c r="AK21" s="33" t="n">
        <f aca="false">AJ21+IF(Source_Data!AK$6=Inputs!$B$12,Inputs!$B$7,0)+AK7-AK10</f>
        <v>279.59929625</v>
      </c>
      <c r="AL21" s="33" t="n">
        <f aca="false">AK21+IF(Source_Data!AL$6=Inputs!$B$12,Inputs!$B$7,0)+AL7-AL10</f>
        <v>292.483418164063</v>
      </c>
      <c r="AM21" s="33" t="n">
        <f aca="false">AL21+IF(Source_Data!AM$6=Inputs!$B$12,Inputs!$B$7,0)+AM7-AM10</f>
        <v>303.0244175</v>
      </c>
      <c r="AN21" s="33" t="n">
        <f aca="false">AM21+IF(Source_Data!AN$6=Inputs!$B$12,Inputs!$B$7,0)+AN7-AN10</f>
        <v>308.43913671875</v>
      </c>
      <c r="AO21" s="33" t="n">
        <f aca="false">AN21+IF(Source_Data!AO$6=Inputs!$B$12,Inputs!$B$7,0)+AO7-AO10</f>
        <v>310.4475275</v>
      </c>
      <c r="AP21" s="33" t="n">
        <f aca="false">AO21+IF(Source_Data!AP$6=Inputs!$B$12,Inputs!$B$7,0)+AP7-AP10</f>
        <v>310.4475275</v>
      </c>
      <c r="AQ21" s="33" t="n">
        <f aca="false">AP21+IF(Source_Data!AQ$6=Inputs!$B$12,Inputs!$B$7,0)+AQ7-AQ10</f>
        <v>310.4475275</v>
      </c>
      <c r="AR21" s="33" t="n">
        <f aca="false">AQ21+IF(Source_Data!AR$6=Inputs!$B$12,Inputs!$B$7,0)+AR7-AR10</f>
        <v>310.4475275</v>
      </c>
      <c r="AS21" s="33" t="n">
        <f aca="false">AR21+IF(Source_Data!AS$6=Inputs!$B$12,Inputs!$B$7,0)+AS7-AS10</f>
        <v>310.4475275</v>
      </c>
      <c r="AT21" s="33" t="n">
        <f aca="false">AS21+IF(Source_Data!AT$6=Inputs!$B$12,Inputs!$B$7,0)+AT7-AT10</f>
        <v>310.4475275</v>
      </c>
      <c r="AU21" s="33" t="n">
        <f aca="false">AT21+IF(Source_Data!AU$6=Inputs!$B$12,Inputs!$B$7,0)+AU7-AU10</f>
        <v>310.4475275</v>
      </c>
      <c r="AV21" s="33" t="n">
        <f aca="false">AU21+IF(Source_Data!AV$6=Inputs!$B$12,Inputs!$B$7,0)+AV7-AV10</f>
        <v>310.4475275</v>
      </c>
      <c r="AW21" s="33" t="n">
        <f aca="false">AV21+IF(Source_Data!AW$6=Inputs!$B$12,Inputs!$B$7,0)+AW7-AW10</f>
        <v>310.4475275</v>
      </c>
      <c r="AX21" s="33" t="n">
        <f aca="false">AW21+IF(Source_Data!AX$6=Inputs!$B$12,Inputs!$B$7,0)+AX7-AX10</f>
        <v>310.4475275</v>
      </c>
      <c r="AY21" s="33" t="n">
        <f aca="false">AX21+IF(Source_Data!AY$6=Inputs!$B$12,Inputs!$B$7,0)+AY7-AY10</f>
        <v>310.4475275</v>
      </c>
      <c r="AZ21" s="33" t="n">
        <f aca="false">AY21+IF(Source_Data!AZ$6=Inputs!$B$12,Inputs!$B$7,0)+AZ7-AZ10</f>
        <v>310.4475275</v>
      </c>
      <c r="BA21" s="33" t="n">
        <f aca="false">AZ21+IF(Source_Data!BA$6=Inputs!$B$12,Inputs!$B$7,0)+BA7-BA10</f>
        <v>310.4475275</v>
      </c>
      <c r="BB21" s="33" t="n">
        <f aca="false">BA21+IF(Source_Data!BB$6=Inputs!$B$12,Inputs!$B$7,0)+BB7-BB10</f>
        <v>310.4475275</v>
      </c>
      <c r="BC21" s="33" t="n">
        <f aca="false">BB21+IF(Source_Data!BC$6=Inputs!$B$12,Inputs!$B$7,0)+BC7-BC10</f>
        <v>310.4475275</v>
      </c>
      <c r="BD21" s="33" t="n">
        <f aca="false">BC21+IF(Source_Data!BD$6=Inputs!$B$12,Inputs!$B$7,0)+BD7-BD10</f>
        <v>310.4475275</v>
      </c>
      <c r="BE21" s="33" t="n">
        <f aca="false">BD21+IF(Source_Data!BE$6=Inputs!$B$12,Inputs!$B$7,0)+BE7-BE10</f>
        <v>310.4475275</v>
      </c>
      <c r="BF21" s="33" t="n">
        <f aca="false">BE21+IF(Source_Data!BF$6=Inputs!$B$12,Inputs!$B$7,0)+BF7-BF10</f>
        <v>310.4475275</v>
      </c>
      <c r="BG21" s="33" t="n">
        <f aca="false">BF21+IF(Source_Data!BG$6=Inputs!$B$12,Inputs!$B$7,0)+BG7-BG10</f>
        <v>310.4475275</v>
      </c>
      <c r="BH21" s="33" t="n">
        <f aca="false">BG21+IF(Source_Data!BH$6=Inputs!$B$12,Inputs!$B$7,0)+BH7-BH10</f>
        <v>310.4475275</v>
      </c>
      <c r="BI21" s="33" t="n">
        <f aca="false">BH21+IF(Source_Data!BI$6=Inputs!$B$12,Inputs!$B$7,0)+BI7-BI10</f>
        <v>310.4475275</v>
      </c>
      <c r="BJ21" s="33" t="n">
        <f aca="false">BI21+IF(Source_Data!BJ$6=Inputs!$B$12,Inputs!$B$7,0)+BJ7-BJ10</f>
        <v>310.4475275</v>
      </c>
      <c r="BK21" s="33" t="n">
        <f aca="false">BJ21+IF(Source_Data!BK$6=Inputs!$B$12,Inputs!$B$7,0)+BK7-BK10</f>
        <v>310.4475275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-41.25</v>
      </c>
      <c r="E22" s="33" t="n">
        <f aca="false">D22+IF(Source_Data!E$6=Inputs!$B$12,Inputs!$B$7,0)+E7-E13</f>
        <v>-52.5</v>
      </c>
      <c r="F22" s="33" t="n">
        <f aca="false">E22+IF(Source_Data!F$6=Inputs!$B$12,Inputs!$B$7,0)+F7-F13</f>
        <v>-48.6107625</v>
      </c>
      <c r="G22" s="33" t="n">
        <f aca="false">F22+IF(Source_Data!G$6=Inputs!$B$12,Inputs!$B$7,0)+G7-G13</f>
        <v>-29.5822875</v>
      </c>
      <c r="H22" s="33" t="n">
        <f aca="false">G22+IF(Source_Data!H$6=Inputs!$B$12,Inputs!$B$7,0)+H7-H13</f>
        <v>-28.57028125</v>
      </c>
      <c r="I22" s="33" t="n">
        <f aca="false">H22+IF(Source_Data!I$6=Inputs!$B$12,Inputs!$B$7,0)+I7-I13</f>
        <v>-18.68474375</v>
      </c>
      <c r="J22" s="33" t="n">
        <f aca="false">I22+IF(Source_Data!J$6=Inputs!$B$12,Inputs!$B$7,0)+J7-J13</f>
        <v>-36.93043375</v>
      </c>
      <c r="K22" s="33" t="n">
        <f aca="false">J22+IF(Source_Data!K$6=Inputs!$B$12,Inputs!$B$7,0)+K7-K13</f>
        <v>-38.428264375</v>
      </c>
      <c r="L22" s="33" t="n">
        <f aca="false">K22+IF(Source_Data!L$6=Inputs!$B$12,Inputs!$B$7,0)+L7-L13</f>
        <v>-31.7306759375</v>
      </c>
      <c r="M22" s="33" t="n">
        <f aca="false">L22+IF(Source_Data!M$6=Inputs!$B$12,Inputs!$B$7,0)+M7-M13</f>
        <v>373.786349266822</v>
      </c>
      <c r="N22" s="33" t="n">
        <f aca="false">M22+IF(Source_Data!N$6=Inputs!$B$12,Inputs!$B$7,0)+N7-N13</f>
        <v>501.828482183309</v>
      </c>
      <c r="O22" s="33" t="n">
        <f aca="false">N22+IF(Source_Data!O$6=Inputs!$B$12,Inputs!$B$7,0)+O7-O13</f>
        <v>620.98400969451</v>
      </c>
      <c r="P22" s="33" t="n">
        <f aca="false">O22+IF(Source_Data!P$6=Inputs!$B$12,Inputs!$B$7,0)+P7-P13</f>
        <v>518.405843855397</v>
      </c>
      <c r="Q22" s="33" t="n">
        <f aca="false">P22+IF(Source_Data!Q$6=Inputs!$B$12,Inputs!$B$7,0)+Q7-Q13</f>
        <v>388.715927476084</v>
      </c>
      <c r="R22" s="33" t="n">
        <f aca="false">Q22+IF(Source_Data!R$6=Inputs!$B$12,Inputs!$B$7,0)+R7-R13</f>
        <v>208.426011096771</v>
      </c>
      <c r="S22" s="33" t="n">
        <f aca="false">R22+IF(Source_Data!S$6=Inputs!$B$12,Inputs!$B$7,0)+S7-S13</f>
        <v>81.5746322212853</v>
      </c>
      <c r="T22" s="33" t="n">
        <f aca="false">S22+IF(Source_Data!T$6=Inputs!$B$12,Inputs!$B$7,0)+T7-T13</f>
        <v>89.237395145348</v>
      </c>
      <c r="U22" s="33" t="n">
        <f aca="false">T22+IF(Source_Data!U$6=Inputs!$B$12,Inputs!$B$7,0)+U7-U13</f>
        <v>95.4125403245656</v>
      </c>
      <c r="V22" s="33" t="n">
        <f aca="false">U22+IF(Source_Data!V$6=Inputs!$B$12,Inputs!$B$7,0)+V7-V13</f>
        <v>95.7029754044022</v>
      </c>
      <c r="W22" s="33" t="n">
        <f aca="false">V22+IF(Source_Data!W$6=Inputs!$B$12,Inputs!$B$7,0)+W7-W13</f>
        <v>91.7278398897011</v>
      </c>
      <c r="X22" s="33" t="n">
        <f aca="false">W22+IF(Source_Data!X$6=Inputs!$B$12,Inputs!$B$7,0)+X7-X13</f>
        <v>110.252704375</v>
      </c>
      <c r="Y22" s="33" t="n">
        <f aca="false">X22+IF(Source_Data!Y$6=Inputs!$B$12,Inputs!$B$7,0)+Y7-Y13</f>
        <v>129.8554303125</v>
      </c>
      <c r="Z22" s="33" t="n">
        <f aca="false">Y22+IF(Source_Data!Z$6=Inputs!$B$12,Inputs!$B$7,0)+Z7-Z13</f>
        <v>149.45815625</v>
      </c>
      <c r="AA22" s="33" t="n">
        <f aca="false">Z22+IF(Source_Data!AA$6=Inputs!$B$12,Inputs!$B$7,0)+AA7-AA13</f>
        <v>169.0608821875</v>
      </c>
      <c r="AB22" s="33" t="n">
        <f aca="false">AA22+IF(Source_Data!AB$6=Inputs!$B$12,Inputs!$B$7,0)+AB7-AB13</f>
        <v>205.375608125</v>
      </c>
      <c r="AC22" s="33" t="n">
        <f aca="false">AB22+IF(Source_Data!AC$6=Inputs!$B$12,Inputs!$B$7,0)+AC7-AC13</f>
        <v>238.414235625</v>
      </c>
      <c r="AD22" s="33" t="n">
        <f aca="false">AC22+IF(Source_Data!AD$6=Inputs!$B$12,Inputs!$B$7,0)+AD7-AD13</f>
        <v>267.844406875</v>
      </c>
      <c r="AE22" s="33" t="n">
        <f aca="false">AD22+IF(Source_Data!AE$6=Inputs!$B$12,Inputs!$B$7,0)+AE7-AE13</f>
        <v>292.933578125</v>
      </c>
      <c r="AF22" s="33" t="n">
        <f aca="false">AE22+IF(Source_Data!AF$6=Inputs!$B$12,Inputs!$B$7,0)+AF7-AF13</f>
        <v>210.264539023438</v>
      </c>
      <c r="AG22" s="33" t="n">
        <f aca="false">AF22+IF(Source_Data!AG$6=Inputs!$B$12,Inputs!$B$7,0)+AG7-AG13</f>
        <v>224.377197851563</v>
      </c>
      <c r="AH22" s="33" t="n">
        <f aca="false">AG22+IF(Source_Data!AH$6=Inputs!$B$12,Inputs!$B$7,0)+AH7-AH13</f>
        <v>238.489856679688</v>
      </c>
      <c r="AI22" s="33" t="n">
        <f aca="false">AH22+IF(Source_Data!AI$6=Inputs!$B$12,Inputs!$B$7,0)+AI7-AI13</f>
        <v>252.602515507813</v>
      </c>
      <c r="AJ22" s="33" t="n">
        <f aca="false">AI22+IF(Source_Data!AJ$6=Inputs!$B$12,Inputs!$B$7,0)+AJ7-AJ13</f>
        <v>266.715174335938</v>
      </c>
      <c r="AK22" s="33" t="n">
        <f aca="false">AJ22+IF(Source_Data!AK$6=Inputs!$B$12,Inputs!$B$7,0)+AK7-AK13</f>
        <v>279.59929625</v>
      </c>
      <c r="AL22" s="33" t="n">
        <f aca="false">AK22+IF(Source_Data!AL$6=Inputs!$B$12,Inputs!$B$7,0)+AL7-AL13</f>
        <v>292.483418164063</v>
      </c>
      <c r="AM22" s="33" t="n">
        <f aca="false">AL22+IF(Source_Data!AM$6=Inputs!$B$12,Inputs!$B$7,0)+AM7-AM13</f>
        <v>303.0244175</v>
      </c>
      <c r="AN22" s="33" t="n">
        <f aca="false">AM22+IF(Source_Data!AN$6=Inputs!$B$12,Inputs!$B$7,0)+AN7-AN13</f>
        <v>308.43913671875</v>
      </c>
      <c r="AO22" s="33" t="n">
        <f aca="false">AN22+IF(Source_Data!AO$6=Inputs!$B$12,Inputs!$B$7,0)+AO7-AO13</f>
        <v>310.4475275</v>
      </c>
      <c r="AP22" s="33" t="n">
        <f aca="false">AO22+IF(Source_Data!AP$6=Inputs!$B$12,Inputs!$B$7,0)+AP7-AP13</f>
        <v>310.4475275</v>
      </c>
      <c r="AQ22" s="33" t="n">
        <f aca="false">AP22+IF(Source_Data!AQ$6=Inputs!$B$12,Inputs!$B$7,0)+AQ7-AQ13</f>
        <v>310.4475275</v>
      </c>
      <c r="AR22" s="33" t="n">
        <f aca="false">AQ22+IF(Source_Data!AR$6=Inputs!$B$12,Inputs!$B$7,0)+AR7-AR13</f>
        <v>310.4475275</v>
      </c>
      <c r="AS22" s="33" t="n">
        <f aca="false">AR22+IF(Source_Data!AS$6=Inputs!$B$12,Inputs!$B$7,0)+AS7-AS13</f>
        <v>310.4475275</v>
      </c>
      <c r="AT22" s="33" t="n">
        <f aca="false">AS22+IF(Source_Data!AT$6=Inputs!$B$12,Inputs!$B$7,0)+AT7-AT13</f>
        <v>310.4475275</v>
      </c>
      <c r="AU22" s="33" t="n">
        <f aca="false">AT22+IF(Source_Data!AU$6=Inputs!$B$12,Inputs!$B$7,0)+AU7-AU13</f>
        <v>310.4475275</v>
      </c>
      <c r="AV22" s="33" t="n">
        <f aca="false">AU22+IF(Source_Data!AV$6=Inputs!$B$12,Inputs!$B$7,0)+AV7-AV13</f>
        <v>310.4475275</v>
      </c>
      <c r="AW22" s="33" t="n">
        <f aca="false">AV22+IF(Source_Data!AW$6=Inputs!$B$12,Inputs!$B$7,0)+AW7-AW13</f>
        <v>310.4475275</v>
      </c>
      <c r="AX22" s="33" t="n">
        <f aca="false">AW22+IF(Source_Data!AX$6=Inputs!$B$12,Inputs!$B$7,0)+AX7-AX13</f>
        <v>310.4475275</v>
      </c>
      <c r="AY22" s="33" t="n">
        <f aca="false">AX22+IF(Source_Data!AY$6=Inputs!$B$12,Inputs!$B$7,0)+AY7-AY13</f>
        <v>310.4475275</v>
      </c>
      <c r="AZ22" s="33" t="n">
        <f aca="false">AY22+IF(Source_Data!AZ$6=Inputs!$B$12,Inputs!$B$7,0)+AZ7-AZ13</f>
        <v>310.4475275</v>
      </c>
      <c r="BA22" s="33" t="n">
        <f aca="false">AZ22+IF(Source_Data!BA$6=Inputs!$B$12,Inputs!$B$7,0)+BA7-BA13</f>
        <v>310.4475275</v>
      </c>
      <c r="BB22" s="33" t="n">
        <f aca="false">BA22+IF(Source_Data!BB$6=Inputs!$B$12,Inputs!$B$7,0)+BB7-BB13</f>
        <v>310.4475275</v>
      </c>
      <c r="BC22" s="33" t="n">
        <f aca="false">BB22+IF(Source_Data!BC$6=Inputs!$B$12,Inputs!$B$7,0)+BC7-BC13</f>
        <v>310.4475275</v>
      </c>
      <c r="BD22" s="33" t="n">
        <f aca="false">BC22+IF(Source_Data!BD$6=Inputs!$B$12,Inputs!$B$7,0)+BD7-BD13</f>
        <v>310.4475275</v>
      </c>
      <c r="BE22" s="33" t="n">
        <f aca="false">BD22+IF(Source_Data!BE$6=Inputs!$B$12,Inputs!$B$7,0)+BE7-BE13</f>
        <v>310.4475275</v>
      </c>
      <c r="BF22" s="33" t="n">
        <f aca="false">BE22+IF(Source_Data!BF$6=Inputs!$B$12,Inputs!$B$7,0)+BF7-BF13</f>
        <v>310.4475275</v>
      </c>
      <c r="BG22" s="33" t="n">
        <f aca="false">BF22+IF(Source_Data!BG$6=Inputs!$B$12,Inputs!$B$7,0)+BG7-BG13</f>
        <v>310.4475275</v>
      </c>
      <c r="BH22" s="33" t="n">
        <f aca="false">BG22+IF(Source_Data!BH$6=Inputs!$B$12,Inputs!$B$7,0)+BH7-BH13</f>
        <v>310.4475275</v>
      </c>
      <c r="BI22" s="33" t="n">
        <f aca="false">BH22+IF(Source_Data!BI$6=Inputs!$B$12,Inputs!$B$7,0)+BI7-BI13</f>
        <v>310.4475275</v>
      </c>
      <c r="BJ22" s="33" t="n">
        <f aca="false">BI22+IF(Source_Data!BJ$6=Inputs!$B$12,Inputs!$B$7,0)+BJ7-BJ13</f>
        <v>310.4475275</v>
      </c>
      <c r="BK22" s="33" t="n">
        <f aca="false">BJ22+IF(Source_Data!BK$6=Inputs!$B$12,Inputs!$B$7,0)+BK7-BK13</f>
        <v>310.4475275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43.9953993913044</v>
      </c>
      <c r="N23" s="31" t="n">
        <f aca="false">IF(N9&gt;0,N7/N9,"")</f>
        <v>14.4800076521739</v>
      </c>
      <c r="O23" s="31" t="n">
        <f aca="false">IF(O9&gt;0,O7/O9,"")</f>
        <v>13.536312</v>
      </c>
      <c r="P23" s="31" t="n">
        <f aca="false">IF(P9&gt;0,P7/P9,"")</f>
        <v>-9.74476069565218</v>
      </c>
      <c r="Q23" s="31" t="n">
        <f aca="false">IF(Q9&gt;0,Q7/Q9,"")</f>
        <v>-12.6209563043478</v>
      </c>
      <c r="R23" s="31" t="n">
        <f aca="false">IF(R9&gt;0,R7/R9,"")</f>
        <v>-17.9009563043478</v>
      </c>
      <c r="S23" s="31" t="n">
        <f aca="false">IF(S9&gt;0,S7/S9,"")</f>
        <v>-12.3306954130435</v>
      </c>
      <c r="T23" s="31" t="n">
        <f aca="false">IF(T9&gt;0,T7/T9,"")</f>
        <v>1.69321457608696</v>
      </c>
      <c r="U23" s="31" t="n">
        <f aca="false">IF(U9&gt;0,U7/U9,"")</f>
        <v>1.53523992391304</v>
      </c>
      <c r="V23" s="31" t="n">
        <f aca="false">IF(V9&gt;0,V7/V9,"")</f>
        <v>0.910324663043479</v>
      </c>
      <c r="W23" s="31" t="n">
        <f aca="false">IF(W9&gt;0,W7/W9,"")</f>
        <v>0.45735075</v>
      </c>
      <c r="X23" s="31" t="n">
        <f aca="false">IF(X9&gt;0,X7/X9,"")</f>
        <v>2.80517683695652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n">
        <f aca="false">IF(M9&gt;0,(L20+IF(Source_Data!M$6=Inputs!$B$12,Inputs!$B$7,0)+M7)/M9,"")</f>
        <v>40.6843723369565</v>
      </c>
      <c r="N24" s="31" t="n">
        <f aca="false">IF(N9&gt;0,(M20+IF(Source_Data!N$6=Inputs!$B$12,Inputs!$B$7,0)+N7)/N9,"")</f>
        <v>54.1643799891304</v>
      </c>
      <c r="O24" s="31" t="n">
        <f aca="false">IF(O9&gt;0,(N20+IF(Source_Data!O$6=Inputs!$B$12,Inputs!$B$7,0)+O7)/O9,"")</f>
        <v>66.7006919891305</v>
      </c>
      <c r="P24" s="31" t="n">
        <f aca="false">IF(P9&gt;0,(O20+IF(Source_Data!P$6=Inputs!$B$12,Inputs!$B$7,0)+P7)/P9,"")</f>
        <v>55.9559312934783</v>
      </c>
      <c r="Q24" s="31" t="n">
        <f aca="false">IF(Q9&gt;0,(P20+IF(Source_Data!Q$6=Inputs!$B$12,Inputs!$B$7,0)+Q7)/Q9,"")</f>
        <v>42.3349749891304</v>
      </c>
      <c r="R24" s="31" t="n">
        <f aca="false">IF(R9&gt;0,(Q20+IF(Source_Data!R$6=Inputs!$B$12,Inputs!$B$7,0)+R7)/R9,"")</f>
        <v>23.4340186847826</v>
      </c>
      <c r="S24" s="31" t="n">
        <f aca="false">IF(S9&gt;0,(R20+IF(Source_Data!S$6=Inputs!$B$12,Inputs!$B$7,0)+S7)/S9,"")</f>
        <v>10.1033232717391</v>
      </c>
      <c r="T24" s="31" t="n">
        <f aca="false">IF(T9&gt;0,(S20+IF(Source_Data!T$6=Inputs!$B$12,Inputs!$B$7,0)+T7)/T9,"")</f>
        <v>10.7965378478261</v>
      </c>
      <c r="U24" s="31" t="n">
        <f aca="false">IF(U9&gt;0,(T20+IF(Source_Data!U$6=Inputs!$B$12,Inputs!$B$7,0)+U7)/U9,"")</f>
        <v>11.3317777717391</v>
      </c>
      <c r="V24" s="31" t="n">
        <f aca="false">IF(V9&gt;0,(U20+IF(Source_Data!V$6=Inputs!$B$12,Inputs!$B$7,0)+V7)/V9,"")</f>
        <v>11.2421024347826</v>
      </c>
      <c r="W24" s="31" t="n">
        <f aca="false">IF(W9&gt;0,(V20+IF(Source_Data!W$6=Inputs!$B$12,Inputs!$B$7,0)+W7)/W9,"")</f>
        <v>10.6994531847826</v>
      </c>
      <c r="X24" s="31" t="n">
        <f aca="false">IF(X9&gt;0,(W20+IF(Source_Data!X$6=Inputs!$B$12,Inputs!$B$7,0)+X7)/X9,"")</f>
        <v>12.5046300217391</v>
      </c>
      <c r="Y24" s="31" t="str">
        <f aca="false">IF(Y9&gt;0,(X20+IF(Source_Data!Y$6=Inputs!$B$12,Inputs!$B$7,0)+Y7)/Y9,"")</f>
        <v/>
      </c>
      <c r="Z24" s="31" t="str">
        <f aca="false">IF(Z9&gt;0,(Y20+IF(Source_Data!Z$6=Inputs!$B$12,Inputs!$B$7,0)+Z7)/Z9,"")</f>
        <v/>
      </c>
      <c r="AA24" s="31" t="str">
        <f aca="false">IF(AA9&gt;0,(Z20+IF(Source_Data!AA$6=Inputs!$B$12,Inputs!$B$7,0)+AA7)/AA9,"")</f>
        <v/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29.3302662608696</v>
      </c>
      <c r="N25" s="31" t="n">
        <f aca="false">IF(N10&gt;0,N7/N10,"")</f>
        <v>9.65333843478261</v>
      </c>
      <c r="O25" s="31" t="n">
        <f aca="false">IF(O10&gt;0,O7/O10,"")</f>
        <v>9.024208</v>
      </c>
      <c r="P25" s="31" t="n">
        <f aca="false">IF(P10&gt;0,P7/P10,"")</f>
        <v>-7.76286123013013</v>
      </c>
      <c r="Q25" s="31" t="n">
        <f aca="false">IF(Q10&gt;0,Q7/Q10,"")</f>
        <v>-13.7199800865714</v>
      </c>
      <c r="R25" s="31" t="n">
        <f aca="false">IF(R10&gt;0,R7/R10,"")</f>
        <v>-19.4597586825991</v>
      </c>
      <c r="S25" s="31" t="n">
        <f aca="false">IF(S10&gt;0,S7/S10,"")</f>
        <v>-14.0492665107306</v>
      </c>
      <c r="T25" s="31" t="n">
        <f aca="false">IF(T10&gt;0,T7/T10,"")</f>
        <v>2.14379393455096</v>
      </c>
      <c r="U25" s="31" t="n">
        <f aca="false">IF(U10&gt;0,U7/U10,"")</f>
        <v>1.99306239459916</v>
      </c>
      <c r="V25" s="31" t="n">
        <f aca="false">IF(V10&gt;0,V7/V10,"")</f>
        <v>1.31352964788857</v>
      </c>
      <c r="W25" s="31" t="n">
        <f aca="false">IF(W10&gt;0,W7/W10,"")</f>
        <v>0.717932934145982</v>
      </c>
      <c r="X25" s="31" t="n">
        <f aca="false">IF(X10&gt;0,X7/X10,"")</f>
        <v>4.40346678638778</v>
      </c>
      <c r="Y25" s="31" t="n">
        <f aca="false">IF(Y10&gt;0,Y7/Y10,"")</f>
        <v>19602725.1512777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n">
        <f aca="false">IF(M10&gt;0,(L21+IF(Source_Data!M$6=Inputs!$B$12,Inputs!$B$7,0)+M7)/M10,"")</f>
        <v>27.1229148913044</v>
      </c>
      <c r="N26" s="31" t="n">
        <f aca="false">IF(N10&gt;0,(M21+IF(Source_Data!N$6=Inputs!$B$12,Inputs!$B$7,0)+N7)/N10,"")</f>
        <v>35.776253326087</v>
      </c>
      <c r="O26" s="31" t="n">
        <f aca="false">IF(O10&gt;0,(N21+IF(Source_Data!O$6=Inputs!$B$12,Inputs!$B$7,0)+O7)/O10,"")</f>
        <v>43.800461326087</v>
      </c>
      <c r="P26" s="31" t="n">
        <f aca="false">IF(P10&gt;0,(O21+IF(Source_Data!P$6=Inputs!$B$12,Inputs!$B$7,0)+P7)/P10,"")</f>
        <v>43.3806279078135</v>
      </c>
      <c r="Q26" s="31" t="n">
        <f aca="false">IF(Q10&gt;0,(P21+IF(Source_Data!Q$6=Inputs!$B$12,Inputs!$B$7,0)+Q7)/Q10,"")</f>
        <v>44.1133181110282</v>
      </c>
      <c r="R26" s="31" t="n">
        <f aca="false">IF(R10&gt;0,(Q21+IF(Source_Data!R$6=Inputs!$B$12,Inputs!$B$7,0)+R7)/R10,"")</f>
        <v>23.6535594284291</v>
      </c>
      <c r="S26" s="31" t="n">
        <f aca="false">IF(S10&gt;0,(R21+IF(Source_Data!S$6=Inputs!$B$12,Inputs!$B$7,0)+S7)/S10,"")</f>
        <v>9.69404623177759</v>
      </c>
      <c r="T26" s="31" t="n">
        <f aca="false">IF(T10&gt;0,(S21+IF(Source_Data!T$6=Inputs!$B$12,Inputs!$B$7,0)+T7)/T10,"")</f>
        <v>11.8049011946577</v>
      </c>
      <c r="U26" s="31" t="n">
        <f aca="false">IF(U10&gt;0,(T21+IF(Source_Data!U$6=Inputs!$B$12,Inputs!$B$7,0)+U7)/U10,"")</f>
        <v>13.0719051824029</v>
      </c>
      <c r="V26" s="31" t="n">
        <f aca="false">IF(V10&gt;0,(U21+IF(Source_Data!V$6=Inputs!$B$12,Inputs!$B$7,0)+V7)/V10,"")</f>
        <v>14.7311267579716</v>
      </c>
      <c r="W26" s="31" t="n">
        <f aca="false">IF(W10&gt;0,(V21+IF(Source_Data!W$6=Inputs!$B$12,Inputs!$B$7,0)+W7)/W10,"")</f>
        <v>15.6560922340924</v>
      </c>
      <c r="X26" s="31" t="n">
        <f aca="false">IF(X10&gt;0,(W21+IF(Source_Data!X$6=Inputs!$B$12,Inputs!$B$7,0)+X7)/X10,"")</f>
        <v>19.0595590204802</v>
      </c>
      <c r="Y26" s="31" t="n">
        <f aca="false">IF(Y10&gt;0,(X21+IF(Source_Data!Y$6=Inputs!$B$12,Inputs!$B$7,0)+Y7)/Y10,"")</f>
        <v>129855426.104284</v>
      </c>
      <c r="Z26" s="31" t="str">
        <f aca="false">IF(Z10&gt;0,(Y21+IF(Source_Data!Z$6=Inputs!$B$12,Inputs!$B$7,0)+Z7)/Z10,"")</f>
        <v/>
      </c>
      <c r="AA26" s="31" t="str">
        <f aca="false">IF(AA10&gt;0,(Z21+IF(Source_Data!AA$6=Inputs!$B$12,Inputs!$B$7,0)+AA7)/AA10,"")</f>
        <v/>
      </c>
      <c r="AB26" s="31" t="str">
        <f aca="false">IF(AB10&gt;0,(AA21+IF(Source_Data!AB$6=Inputs!$B$12,Inputs!$B$7,0)+AB7)/AB10,"")</f>
        <v/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26.178709662328</v>
      </c>
      <c r="N27" s="31" t="n">
        <f aca="false">IF(N13&gt;0,N7/N13,"")</f>
        <v>12.9390978074462</v>
      </c>
      <c r="O27" s="31" t="n">
        <f aca="false">IF(O13&gt;0,O7/O13,"")</f>
        <v>12.2756991224235</v>
      </c>
      <c r="P27" s="31" t="n">
        <f aca="false">IF(P13&gt;0,P7/P13,"")</f>
        <v>-10.1608695008782</v>
      </c>
      <c r="Q27" s="31" t="n">
        <f aca="false">IF(Q13&gt;0,Q7/Q13,"")</f>
        <v>-13.8402166199647</v>
      </c>
      <c r="R27" s="31" t="n">
        <f aca="false">IF(R13&gt;0,R7/R13,"")</f>
        <v>-19.6302963881863</v>
      </c>
      <c r="S27" s="31" t="n">
        <f aca="false">IF(S13&gt;0,S7/S13,"")</f>
        <v>-13.6104866296939</v>
      </c>
      <c r="T27" s="31" t="n">
        <f aca="false">IF(T13&gt;0,T7/T13,"")</f>
        <v>1.89477734625725</v>
      </c>
      <c r="U27" s="31" t="n">
        <f aca="false">IF(U13&gt;0,U7/U13,"")</f>
        <v>1.72329065890635</v>
      </c>
      <c r="V27" s="31" t="n">
        <f aca="false">IF(V13&gt;0,V7/V13,"")</f>
        <v>1.03443822244214</v>
      </c>
      <c r="W27" s="31" t="n">
        <f aca="false">IF(W13&gt;0,W7/W13,"")</f>
        <v>0.524396103108194</v>
      </c>
      <c r="X27" s="31" t="n">
        <f aca="false">IF(X13&gt;0,X7/X13,"")</f>
        <v>3.21640185750077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n">
        <f aca="false">IF(M13&gt;0,(L22+IF(Source_Data!M$6=Inputs!$B$12,Inputs!$B$7,0)+M7)/M13,"")</f>
        <v>24.2085396641209</v>
      </c>
      <c r="N28" s="31" t="n">
        <f aca="false">IF(N13&gt;0,(M22+IF(Source_Data!N$6=Inputs!$B$12,Inputs!$B$7,0)+N7)/N13,"")</f>
        <v>47.7922487300063</v>
      </c>
      <c r="O28" s="31" t="n">
        <f aca="false">IF(O13&gt;0,(N22+IF(Source_Data!O$6=Inputs!$B$12,Inputs!$B$7,0)+O7)/O13,"")</f>
        <v>59.7637770517466</v>
      </c>
      <c r="P28" s="31" t="n">
        <f aca="false">IF(P13&gt;0,(O22+IF(Source_Data!P$6=Inputs!$B$12,Inputs!$B$7,0)+P7)/P13,"")</f>
        <v>57.4044007263443</v>
      </c>
      <c r="Q28" s="31" t="n">
        <f aca="false">IF(Q13&gt;0,(P22+IF(Source_Data!Q$6=Inputs!$B$12,Inputs!$B$7,0)+Q7)/Q13,"")</f>
        <v>45.4801625941656</v>
      </c>
      <c r="R28" s="31" t="n">
        <f aca="false">IF(R13&gt;0,(Q22+IF(Source_Data!R$6=Inputs!$B$12,Inputs!$B$7,0)+R7)/R13,"")</f>
        <v>24.8498662059793</v>
      </c>
      <c r="S28" s="31" t="n">
        <f aca="false">IF(S13&gt;0,(R22+IF(Source_Data!S$6=Inputs!$B$12,Inputs!$B$7,0)+S7)/S13,"")</f>
        <v>10.395602034103</v>
      </c>
      <c r="T28" s="31" t="n">
        <f aca="false">IF(T13&gt;0,(S22+IF(Source_Data!T$6=Inputs!$B$12,Inputs!$B$7,0)+T7)/T13,"")</f>
        <v>11.4202100999793</v>
      </c>
      <c r="U28" s="31" t="n">
        <f aca="false">IF(U13&gt;0,(T22+IF(Source_Data!U$6=Inputs!$B$12,Inputs!$B$7,0)+U7)/U13,"")</f>
        <v>12.1756075616714</v>
      </c>
      <c r="V28" s="31" t="n">
        <f aca="false">IF(V13&gt;0,(U22+IF(Source_Data!V$6=Inputs!$B$12,Inputs!$B$7,0)+V7)/V13,"")</f>
        <v>12.3479417059582</v>
      </c>
      <c r="W28" s="31" t="n">
        <f aca="false">IF(W13&gt;0,(V22+IF(Source_Data!W$6=Inputs!$B$12,Inputs!$B$7,0)+W7)/W13,"")</f>
        <v>11.9747499031589</v>
      </c>
      <c r="X28" s="31" t="n">
        <f aca="false">IF(X13&gt;0,(W22+IF(Source_Data!X$6=Inputs!$B$12,Inputs!$B$7,0)+X7)/X13,"")</f>
        <v>14.1911517606597</v>
      </c>
      <c r="Y28" s="31" t="str">
        <f aca="false">IF(Y13&gt;0,(X22+IF(Source_Data!Y$6=Inputs!$B$12,Inputs!$B$7,0)+Y7)/Y13,"")</f>
        <v/>
      </c>
      <c r="Z28" s="31" t="str">
        <f aca="false">IF(Z13&gt;0,(Y22+IF(Source_Data!Z$6=Inputs!$B$12,Inputs!$B$7,0)+Z7)/Z13,"")</f>
        <v/>
      </c>
      <c r="AA28" s="31" t="str">
        <f aca="false">IF(AA13&gt;0,(Z22+IF(Source_Data!AA$6=Inputs!$B$12,Inputs!$B$7,0)+AA7)/AA13,"")</f>
        <v/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115</v>
      </c>
      <c r="C32" s="41" t="n">
        <f aca="false">SUM(D10:BK10)</f>
        <v>115</v>
      </c>
      <c r="D32" s="41" t="n">
        <f aca="false">SUM(D13:BK13)</f>
        <v>115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0.290276628159998</v>
      </c>
      <c r="D34" s="39" t="n">
        <f aca="false">(1+IRR(D16:BK16,0.05))^4-1</f>
        <v>0.27835276492556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0.290276628159998</v>
      </c>
      <c r="D35" s="39" t="n">
        <f aca="false">(1+IRR(D19:BK19,0.05))^4-1</f>
        <v>0.27835276492556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-21.2682894223915</v>
      </c>
      <c r="C36" s="41" t="n">
        <f aca="false">SUMPRODUCT(D18:BK18,Project_CF!$D$15:$BK$15)</f>
        <v>-23.7383749253399</v>
      </c>
      <c r="D36" s="41" t="n">
        <f aca="false">SUMPRODUCT(D19:BK19,Project_CF!$D$15:$BK$15)</f>
        <v>-22.5554633811254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-17.9009563043478</v>
      </c>
      <c r="C37" s="43" t="n">
        <f aca="false">MIN(D25:BK25)</f>
        <v>-19.4597586825991</v>
      </c>
      <c r="D37" s="43" t="n">
        <f aca="false">MIN(D27:BK27)</f>
        <v>-19.6302963881863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6</v>
      </c>
      <c r="C38" s="35" t="n">
        <f aca="false">COUNTIF(D25:BK25,"&lt;"&amp;Inputs!$B$43)</f>
        <v>6</v>
      </c>
      <c r="D38" s="35" t="n">
        <f aca="false">COUNTIF(D27:BK27,"&lt;"&amp;Inputs!$B$43)</f>
        <v>6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10.1033232717391</v>
      </c>
      <c r="C40" s="43" t="n">
        <f aca="false">MIN(D26:BK26)</f>
        <v>9.69404623177759</v>
      </c>
      <c r="D40" s="43" t="n">
        <f aca="false">MIN(D28:BK28)</f>
        <v>10.395602034103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-52.5</v>
      </c>
      <c r="C42" s="41" t="n">
        <f aca="false">MIN(D21:BK21)</f>
        <v>-52.5</v>
      </c>
      <c r="D42" s="41" t="n">
        <f aca="false">MIN(D22:BK22)</f>
        <v>-52.5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63</v>
      </c>
      <c r="C43" s="35" t="n">
        <f aca="false">SUMPRODUCT(MAX((D10:BK10&gt;0)*D5:BK5))</f>
        <v>66</v>
      </c>
      <c r="D43" s="35" t="n">
        <f aca="false">SUMPRODUCT(MAX((D13:BK13&gt;0)*D5:BK5))</f>
        <v>63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45</v>
      </c>
    </row>
    <row r="47" customFormat="false" ht="15" hidden="false" customHeight="false" outlineLevel="0" collapsed="false">
      <c r="A47" s="3" t="s">
        <v>326</v>
      </c>
      <c r="D47" s="33" t="n">
        <f aca="false">D14</f>
        <v>-50</v>
      </c>
      <c r="E47" s="33" t="n">
        <f aca="false">D47+E14</f>
        <v>-50</v>
      </c>
      <c r="F47" s="33" t="n">
        <f aca="false">E47+F14</f>
        <v>-50</v>
      </c>
      <c r="G47" s="33" t="n">
        <f aca="false">F47+G14</f>
        <v>-50</v>
      </c>
      <c r="H47" s="33" t="n">
        <f aca="false">G47+H14</f>
        <v>-50</v>
      </c>
      <c r="I47" s="33" t="n">
        <f aca="false">H47+I14</f>
        <v>-50</v>
      </c>
      <c r="J47" s="33" t="n">
        <f aca="false">I47+J14</f>
        <v>-50</v>
      </c>
      <c r="K47" s="33" t="n">
        <f aca="false">J47+K14</f>
        <v>-50</v>
      </c>
      <c r="L47" s="33" t="n">
        <f aca="false">K47+L14</f>
        <v>-50</v>
      </c>
      <c r="M47" s="33" t="n">
        <f aca="false">L47+M14</f>
        <v>-40.4166666666667</v>
      </c>
      <c r="N47" s="33" t="n">
        <f aca="false">M47+N14</f>
        <v>-30.8333333333333</v>
      </c>
      <c r="O47" s="33" t="n">
        <f aca="false">N47+O14</f>
        <v>-21.25</v>
      </c>
      <c r="P47" s="33" t="n">
        <f aca="false">O47+P14</f>
        <v>-11.6666666666667</v>
      </c>
      <c r="Q47" s="33" t="n">
        <f aca="false">P47+Q14</f>
        <v>-2.08333333333334</v>
      </c>
      <c r="R47" s="33" t="n">
        <f aca="false">Q47+R14</f>
        <v>7.49999999999999</v>
      </c>
      <c r="S47" s="33" t="n">
        <f aca="false">R47+S14</f>
        <v>17.0833333333333</v>
      </c>
      <c r="T47" s="33" t="n">
        <f aca="false">S47+T14</f>
        <v>26.6666666666667</v>
      </c>
      <c r="U47" s="33" t="n">
        <f aca="false">T47+U14</f>
        <v>36.25</v>
      </c>
      <c r="V47" s="33" t="n">
        <f aca="false">U47+V14</f>
        <v>45.8333333333333</v>
      </c>
      <c r="W47" s="33" t="n">
        <f aca="false">V47+W14</f>
        <v>55.4166666666666</v>
      </c>
      <c r="X47" s="33" t="n">
        <f aca="false">W47+X14</f>
        <v>65</v>
      </c>
      <c r="Y47" s="33" t="n">
        <f aca="false">X47+Y14</f>
        <v>65</v>
      </c>
      <c r="Z47" s="33" t="n">
        <f aca="false">Y47+Z14</f>
        <v>65</v>
      </c>
      <c r="AA47" s="33" t="n">
        <f aca="false">Z47+AA14</f>
        <v>65</v>
      </c>
      <c r="AB47" s="33" t="n">
        <f aca="false">AA47+AB14</f>
        <v>65</v>
      </c>
      <c r="AC47" s="33" t="n">
        <f aca="false">AB47+AC14</f>
        <v>65</v>
      </c>
      <c r="AD47" s="33" t="n">
        <f aca="false">AC47+AD14</f>
        <v>65</v>
      </c>
      <c r="AE47" s="33" t="n">
        <f aca="false">AD47+AE14</f>
        <v>65</v>
      </c>
      <c r="AF47" s="33" t="n">
        <f aca="false">AE47+AF14</f>
        <v>65</v>
      </c>
      <c r="AG47" s="33" t="n">
        <f aca="false">AF47+AG14</f>
        <v>65</v>
      </c>
      <c r="AH47" s="33" t="n">
        <f aca="false">AG47+AH14</f>
        <v>65</v>
      </c>
      <c r="AI47" s="33" t="n">
        <f aca="false">AH47+AI14</f>
        <v>65</v>
      </c>
      <c r="AJ47" s="33" t="n">
        <f aca="false">AI47+AJ14</f>
        <v>65</v>
      </c>
      <c r="AK47" s="33" t="n">
        <f aca="false">AJ47+AK14</f>
        <v>65</v>
      </c>
      <c r="AL47" s="33" t="n">
        <f aca="false">AK47+AL14</f>
        <v>65</v>
      </c>
      <c r="AM47" s="33" t="n">
        <f aca="false">AL47+AM14</f>
        <v>65</v>
      </c>
      <c r="AN47" s="33" t="n">
        <f aca="false">AM47+AN14</f>
        <v>65</v>
      </c>
      <c r="AO47" s="33" t="n">
        <f aca="false">AN47+AO14</f>
        <v>65</v>
      </c>
      <c r="AP47" s="33" t="n">
        <f aca="false">AO47+AP14</f>
        <v>65</v>
      </c>
      <c r="AQ47" s="33" t="n">
        <f aca="false">AP47+AQ14</f>
        <v>65</v>
      </c>
      <c r="AR47" s="33" t="n">
        <f aca="false">AQ47+AR14</f>
        <v>65</v>
      </c>
      <c r="AS47" s="33" t="n">
        <f aca="false">AR47+AS14</f>
        <v>65</v>
      </c>
      <c r="AT47" s="33" t="n">
        <f aca="false">AS47+AT14</f>
        <v>65</v>
      </c>
      <c r="AU47" s="33" t="n">
        <f aca="false">AT47+AU14</f>
        <v>65</v>
      </c>
      <c r="AV47" s="33" t="n">
        <f aca="false">AU47+AV14</f>
        <v>65</v>
      </c>
      <c r="AW47" s="33" t="n">
        <f aca="false">AV47+AW14</f>
        <v>65</v>
      </c>
      <c r="AX47" s="33" t="n">
        <f aca="false">AW47+AX14</f>
        <v>65</v>
      </c>
      <c r="AY47" s="33" t="n">
        <f aca="false">AX47+AY14</f>
        <v>65</v>
      </c>
      <c r="AZ47" s="33" t="n">
        <f aca="false">AY47+AZ14</f>
        <v>65</v>
      </c>
      <c r="BA47" s="33" t="n">
        <f aca="false">AZ47+BA14</f>
        <v>65</v>
      </c>
      <c r="BB47" s="33" t="n">
        <f aca="false">BA47+BB14</f>
        <v>65</v>
      </c>
      <c r="BC47" s="33" t="n">
        <f aca="false">BB47+BC14</f>
        <v>65</v>
      </c>
      <c r="BD47" s="33" t="n">
        <f aca="false">BC47+BD14</f>
        <v>65</v>
      </c>
      <c r="BE47" s="33" t="n">
        <f aca="false">BD47+BE14</f>
        <v>65</v>
      </c>
      <c r="BF47" s="33" t="n">
        <f aca="false">BE47+BF14</f>
        <v>65</v>
      </c>
      <c r="BG47" s="33" t="n">
        <f aca="false">BF47+BG14</f>
        <v>65</v>
      </c>
      <c r="BH47" s="33" t="n">
        <f aca="false">BG47+BH14</f>
        <v>65</v>
      </c>
      <c r="BI47" s="33" t="n">
        <f aca="false">BH47+BI14</f>
        <v>65</v>
      </c>
      <c r="BJ47" s="33" t="n">
        <f aca="false">BI47+BJ14</f>
        <v>65</v>
      </c>
      <c r="BK47" s="33" t="n">
        <f aca="false">BJ47+BK14</f>
        <v>65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1</v>
      </c>
      <c r="S48" s="3" t="n">
        <f aca="false">IF(AND(S47&gt;=0,S5&gt;Inputs!$B$12),1,0)</f>
        <v>1</v>
      </c>
      <c r="T48" s="3" t="n">
        <f aca="false">IF(AND(T47&gt;=0,T5&gt;Inputs!$B$12),1,0)</f>
        <v>1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107.758210351563</v>
      </c>
      <c r="AG13" s="33" t="n">
        <f aca="false">Source_Data!AG$9+Source_Data!AG$10*IF(Source_Data!$C$10=0,0,MAX(0,Inputs!$B$19*Inputs!$B$22*$B$5-Inputs!$B$20)/Source_Data!$C$10)</f>
        <v>10.976512421875</v>
      </c>
      <c r="AH13" s="33" t="n">
        <f aca="false">Source_Data!AH$9+Source_Data!AH$10*IF(Source_Data!$C$10=0,0,MAX(0,Inputs!$B$19*Inputs!$B$22*$B$5-Inputs!$B$20)/Source_Data!$C$10)</f>
        <v>10.976512421875</v>
      </c>
      <c r="AI13" s="33" t="n">
        <f aca="false">Source_Data!AI$9+Source_Data!AI$10*IF(Source_Data!$C$10=0,0,MAX(0,Inputs!$B$19*Inputs!$B$22*$B$5-Inputs!$B$20)/Source_Data!$C$10)</f>
        <v>10.976512421875</v>
      </c>
      <c r="AJ13" s="33" t="n">
        <f aca="false">Source_Data!AJ$9+Source_Data!AJ$10*IF(Source_Data!$C$10=0,0,MAX(0,Inputs!$B$19*Inputs!$B$22*$B$5-Inputs!$B$20)/Source_Data!$C$10)</f>
        <v>10.976512421875</v>
      </c>
      <c r="AK13" s="33" t="n">
        <f aca="false">Source_Data!AK$9+Source_Data!AK$10*IF(Source_Data!$C$10=0,0,MAX(0,Inputs!$B$19*Inputs!$B$22*$B$5-Inputs!$B$20)/Source_Data!$C$10)</f>
        <v>10.0209837109375</v>
      </c>
      <c r="AL13" s="33" t="n">
        <f aca="false">Source_Data!AL$9+Source_Data!AL$10*IF(Source_Data!$C$10=0,0,MAX(0,Inputs!$B$19*Inputs!$B$22*$B$5-Inputs!$B$20)/Source_Data!$C$10)</f>
        <v>10.0209837109375</v>
      </c>
      <c r="AM13" s="33" t="n">
        <f aca="false">Source_Data!AM$9+Source_Data!AM$10*IF(Source_Data!$C$10=0,0,MAX(0,Inputs!$B$19*Inputs!$B$22*$B$5-Inputs!$B$20)/Source_Data!$C$10)</f>
        <v>8.19855503906249</v>
      </c>
      <c r="AN13" s="33" t="n">
        <f aca="false">Source_Data!AN$9+Source_Data!AN$10*IF(Source_Data!$C$10=0,0,MAX(0,Inputs!$B$19*Inputs!$B$22*$B$5-Inputs!$B$20)/Source_Data!$C$10)</f>
        <v>4.21144828125</v>
      </c>
      <c r="AO13" s="33" t="n">
        <f aca="false">Source_Data!AO$9+Source_Data!AO$10*IF(Source_Data!$C$10=0,0,MAX(0,Inputs!$B$19*Inputs!$B$22*$B$5-Inputs!$B$20)/Source_Data!$C$10)</f>
        <v>1.56208171875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-50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34.7670250896057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34.7670250896057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34.7670250896057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34.7670250896057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9.58333333333333</v>
      </c>
      <c r="N20" s="33" t="n">
        <f aca="false">IF(AND(Source_Data!N$6&gt;=Inputs!$B$54,Source_Data!N$6&lt;Inputs!$B$54+3*Inputs!$B$11),Inputs!$B$9*Inputs!$B$7/Inputs!$B$11,0)</f>
        <v>9.58333333333333</v>
      </c>
      <c r="O20" s="33" t="n">
        <f aca="false">IF(AND(Source_Data!O$6&gt;=Inputs!$B$54,Source_Data!O$6&lt;Inputs!$B$54+3*Inputs!$B$11),Inputs!$B$9*Inputs!$B$7/Inputs!$B$11,0)</f>
        <v>9.58333333333333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-50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9.58333333333333</v>
      </c>
      <c r="N21" s="33" t="n">
        <f aca="false">IF(Source_Data!N$6=Inputs!$B$12,-Inputs!$B$7,0)+N20</f>
        <v>9.58333333333333</v>
      </c>
      <c r="O21" s="33" t="n">
        <f aca="false">IF(Source_Data!O$6=Inputs!$B$12,-Inputs!$B$7,0)+O20</f>
        <v>9.58333333333333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-41.25</v>
      </c>
      <c r="E22" s="33" t="n">
        <f aca="false">D22+IF(Source_Data!E$6=Inputs!$B$12,Inputs!$B$7,0)+E17-E20</f>
        <v>-52.5</v>
      </c>
      <c r="F22" s="33" t="n">
        <f aca="false">E22+IF(Source_Data!F$6=Inputs!$B$12,Inputs!$B$7,0)+F17-F20</f>
        <v>-48.6107625</v>
      </c>
      <c r="G22" s="33" t="n">
        <f aca="false">F22+IF(Source_Data!G$6=Inputs!$B$12,Inputs!$B$7,0)+G17-G20</f>
        <v>-29.5822875</v>
      </c>
      <c r="H22" s="33" t="n">
        <f aca="false">G22+IF(Source_Data!H$6=Inputs!$B$12,Inputs!$B$7,0)+H17-H20</f>
        <v>-28.57028125</v>
      </c>
      <c r="I22" s="33" t="n">
        <f aca="false">H22+IF(Source_Data!I$6=Inputs!$B$12,Inputs!$B$7,0)+I17-I20</f>
        <v>-18.68474375</v>
      </c>
      <c r="J22" s="33" t="n">
        <f aca="false">I22+IF(Source_Data!J$6=Inputs!$B$12,Inputs!$B$7,0)+J17-J20</f>
        <v>-36.93043375</v>
      </c>
      <c r="K22" s="33" t="n">
        <f aca="false">J22+IF(Source_Data!K$6=Inputs!$B$12,Inputs!$B$7,0)+K17-K20</f>
        <v>-38.428264375</v>
      </c>
      <c r="L22" s="33" t="n">
        <f aca="false">K22+IF(Source_Data!L$6=Inputs!$B$12,Inputs!$B$7,0)+L17-L20</f>
        <v>-31.7306759375</v>
      </c>
      <c r="M22" s="33" t="n">
        <f aca="false">L22+IF(Source_Data!M$6=Inputs!$B$12,Inputs!$B$7,0)+M17-M20</f>
        <v>380.308568229167</v>
      </c>
      <c r="N22" s="33" t="n">
        <f aca="false">M22+IF(Source_Data!N$6=Inputs!$B$12,Inputs!$B$7,0)+N17-N20</f>
        <v>509.491974895833</v>
      </c>
      <c r="O22" s="33" t="n">
        <f aca="false">N22+IF(Source_Data!O$6=Inputs!$B$12,Inputs!$B$7,0)+O17-O20</f>
        <v>629.6316315625</v>
      </c>
      <c r="P22" s="33" t="n">
        <f aca="false">O22+IF(Source_Data!P$6=Inputs!$B$12,Inputs!$B$7,0)+P17-P20</f>
        <v>526.661008229167</v>
      </c>
      <c r="Q22" s="33" t="n">
        <f aca="false">P22+IF(Source_Data!Q$6=Inputs!$B$12,Inputs!$B$7,0)+Q17-Q20</f>
        <v>396.126843645833</v>
      </c>
      <c r="R22" s="33" t="n">
        <f aca="false">Q22+IF(Source_Data!R$6=Inputs!$B$12,Inputs!$B$7,0)+R17-R20</f>
        <v>214.9926790625</v>
      </c>
      <c r="S22" s="33" t="n">
        <f aca="false">R22+IF(Source_Data!S$6=Inputs!$B$12,Inputs!$B$7,0)+S17-S20</f>
        <v>87.2401813541667</v>
      </c>
      <c r="T22" s="33" t="n">
        <f aca="false">S22+IF(Source_Data!T$6=Inputs!$B$12,Inputs!$B$7,0)+T17-T20</f>
        <v>93.8834877083333</v>
      </c>
      <c r="U22" s="33" t="n">
        <f aca="false">T22+IF(Source_Data!U$6=Inputs!$B$12,Inputs!$B$7,0)+U17-U20</f>
        <v>99.0128703125</v>
      </c>
      <c r="V22" s="33" t="n">
        <f aca="false">U22+IF(Source_Data!V$6=Inputs!$B$12,Inputs!$B$7,0)+V17-V20</f>
        <v>98.1534816666667</v>
      </c>
      <c r="W22" s="33" t="n">
        <f aca="false">V22+IF(Source_Data!W$6=Inputs!$B$12,Inputs!$B$7,0)+W17-W20</f>
        <v>92.9530930208334</v>
      </c>
      <c r="X22" s="33" t="n">
        <f aca="false">W22+IF(Source_Data!X$6=Inputs!$B$12,Inputs!$B$7,0)+X17-X20</f>
        <v>110.252704375</v>
      </c>
      <c r="Y22" s="33" t="n">
        <f aca="false">X22+IF(Source_Data!Y$6=Inputs!$B$12,Inputs!$B$7,0)+Y17-Y20</f>
        <v>129.8554303125</v>
      </c>
      <c r="Z22" s="33" t="n">
        <f aca="false">Y22+IF(Source_Data!Z$6=Inputs!$B$12,Inputs!$B$7,0)+Z17-Z20</f>
        <v>149.45815625</v>
      </c>
      <c r="AA22" s="33" t="n">
        <f aca="false">Z22+IF(Source_Data!AA$6=Inputs!$B$12,Inputs!$B$7,0)+AA17-AA20</f>
        <v>169.0608821875</v>
      </c>
      <c r="AB22" s="33" t="n">
        <f aca="false">AA22+IF(Source_Data!AB$6=Inputs!$B$12,Inputs!$B$7,0)+AB17-AB20</f>
        <v>205.375608125</v>
      </c>
      <c r="AC22" s="33" t="n">
        <f aca="false">AB22+IF(Source_Data!AC$6=Inputs!$B$12,Inputs!$B$7,0)+AC17-AC20</f>
        <v>238.414235625</v>
      </c>
      <c r="AD22" s="33" t="n">
        <f aca="false">AC22+IF(Source_Data!AD$6=Inputs!$B$12,Inputs!$B$7,0)+AD17-AD20</f>
        <v>267.844406875</v>
      </c>
      <c r="AE22" s="33" t="n">
        <f aca="false">AD22+IF(Source_Data!AE$6=Inputs!$B$12,Inputs!$B$7,0)+AE17-AE20</f>
        <v>292.933578125</v>
      </c>
      <c r="AF22" s="33" t="n">
        <f aca="false">AE22+IF(Source_Data!AF$6=Inputs!$B$12,Inputs!$B$7,0)+AF17-AF20</f>
        <v>210.264539023437</v>
      </c>
      <c r="AG22" s="33" t="n">
        <f aca="false">AF22+IF(Source_Data!AG$6=Inputs!$B$12,Inputs!$B$7,0)+AG17-AG20</f>
        <v>224.377197851562</v>
      </c>
      <c r="AH22" s="33" t="n">
        <f aca="false">AG22+IF(Source_Data!AH$6=Inputs!$B$12,Inputs!$B$7,0)+AH17-AH20</f>
        <v>238.489856679687</v>
      </c>
      <c r="AI22" s="33" t="n">
        <f aca="false">AH22+IF(Source_Data!AI$6=Inputs!$B$12,Inputs!$B$7,0)+AI17-AI20</f>
        <v>252.602515507812</v>
      </c>
      <c r="AJ22" s="33" t="n">
        <f aca="false">AI22+IF(Source_Data!AJ$6=Inputs!$B$12,Inputs!$B$7,0)+AJ17-AJ20</f>
        <v>266.715174335938</v>
      </c>
      <c r="AK22" s="33" t="n">
        <f aca="false">AJ22+IF(Source_Data!AK$6=Inputs!$B$12,Inputs!$B$7,0)+AK17-AK20</f>
        <v>279.59929625</v>
      </c>
      <c r="AL22" s="33" t="n">
        <f aca="false">AK22+IF(Source_Data!AL$6=Inputs!$B$12,Inputs!$B$7,0)+AL17-AL20</f>
        <v>292.483418164063</v>
      </c>
      <c r="AM22" s="33" t="n">
        <f aca="false">AL22+IF(Source_Data!AM$6=Inputs!$B$12,Inputs!$B$7,0)+AM17-AM20</f>
        <v>303.0244175</v>
      </c>
      <c r="AN22" s="33" t="n">
        <f aca="false">AM22+IF(Source_Data!AN$6=Inputs!$B$12,Inputs!$B$7,0)+AN17-AN20</f>
        <v>308.43913671875</v>
      </c>
      <c r="AO22" s="33" t="n">
        <f aca="false">AN22+IF(Source_Data!AO$6=Inputs!$B$12,Inputs!$B$7,0)+AO17-AO20</f>
        <v>310.4475275</v>
      </c>
      <c r="AP22" s="33" t="n">
        <f aca="false">AO22+IF(Source_Data!AP$6=Inputs!$B$12,Inputs!$B$7,0)+AP17-AP20</f>
        <v>310.4475275</v>
      </c>
      <c r="AQ22" s="33" t="n">
        <f aca="false">AP22+IF(Source_Data!AQ$6=Inputs!$B$12,Inputs!$B$7,0)+AQ17-AQ20</f>
        <v>310.4475275</v>
      </c>
      <c r="AR22" s="33" t="n">
        <f aca="false">AQ22+IF(Source_Data!AR$6=Inputs!$B$12,Inputs!$B$7,0)+AR17-AR20</f>
        <v>310.4475275</v>
      </c>
      <c r="AS22" s="33" t="n">
        <f aca="false">AR22+IF(Source_Data!AS$6=Inputs!$B$12,Inputs!$B$7,0)+AS17-AS20</f>
        <v>310.4475275</v>
      </c>
      <c r="AT22" s="33" t="n">
        <f aca="false">AS22+IF(Source_Data!AT$6=Inputs!$B$12,Inputs!$B$7,0)+AT17-AT20</f>
        <v>310.4475275</v>
      </c>
      <c r="AU22" s="33" t="n">
        <f aca="false">AT22+IF(Source_Data!AU$6=Inputs!$B$12,Inputs!$B$7,0)+AU17-AU20</f>
        <v>310.4475275</v>
      </c>
      <c r="AV22" s="33" t="n">
        <f aca="false">AU22+IF(Source_Data!AV$6=Inputs!$B$12,Inputs!$B$7,0)+AV17-AV20</f>
        <v>310.4475275</v>
      </c>
      <c r="AW22" s="33" t="n">
        <f aca="false">AV22+IF(Source_Data!AW$6=Inputs!$B$12,Inputs!$B$7,0)+AW17-AW20</f>
        <v>310.4475275</v>
      </c>
      <c r="AX22" s="33" t="n">
        <f aca="false">AW22+IF(Source_Data!AX$6=Inputs!$B$12,Inputs!$B$7,0)+AX17-AX20</f>
        <v>310.4475275</v>
      </c>
      <c r="AY22" s="33" t="n">
        <f aca="false">AX22+IF(Source_Data!AY$6=Inputs!$B$12,Inputs!$B$7,0)+AY17-AY20</f>
        <v>310.4475275</v>
      </c>
      <c r="AZ22" s="33" t="n">
        <f aca="false">AY22+IF(Source_Data!AZ$6=Inputs!$B$12,Inputs!$B$7,0)+AZ17-AZ20</f>
        <v>310.4475275</v>
      </c>
      <c r="BA22" s="33" t="n">
        <f aca="false">AZ22+IF(Source_Data!BA$6=Inputs!$B$12,Inputs!$B$7,0)+BA17-BA20</f>
        <v>310.4475275</v>
      </c>
      <c r="BB22" s="33" t="n">
        <f aca="false">BA22+IF(Source_Data!BB$6=Inputs!$B$12,Inputs!$B$7,0)+BB17-BB20</f>
        <v>310.4475275</v>
      </c>
      <c r="BC22" s="33" t="n">
        <f aca="false">BB22+IF(Source_Data!BC$6=Inputs!$B$12,Inputs!$B$7,0)+BC17-BC20</f>
        <v>310.4475275</v>
      </c>
      <c r="BD22" s="33" t="n">
        <f aca="false">BC22+IF(Source_Data!BD$6=Inputs!$B$12,Inputs!$B$7,0)+BD17-BD20</f>
        <v>310.4475275</v>
      </c>
      <c r="BE22" s="33" t="n">
        <f aca="false">BD22+IF(Source_Data!BE$6=Inputs!$B$12,Inputs!$B$7,0)+BE17-BE20</f>
        <v>310.4475275</v>
      </c>
      <c r="BF22" s="33" t="n">
        <f aca="false">BE22+IF(Source_Data!BF$6=Inputs!$B$12,Inputs!$B$7,0)+BF17-BF20</f>
        <v>310.4475275</v>
      </c>
      <c r="BG22" s="33" t="n">
        <f aca="false">BF22+IF(Source_Data!BG$6=Inputs!$B$12,Inputs!$B$7,0)+BG17-BG20</f>
        <v>310.4475275</v>
      </c>
      <c r="BH22" s="33" t="n">
        <f aca="false">BG22+IF(Source_Data!BH$6=Inputs!$B$12,Inputs!$B$7,0)+BH17-BH20</f>
        <v>310.4475275</v>
      </c>
      <c r="BI22" s="33" t="n">
        <f aca="false">BH22+IF(Source_Data!BI$6=Inputs!$B$12,Inputs!$B$7,0)+BI17-BI20</f>
        <v>310.4475275</v>
      </c>
      <c r="BJ22" s="33" t="n">
        <f aca="false">BI22+IF(Source_Data!BJ$6=Inputs!$B$12,Inputs!$B$7,0)+BJ17-BJ20</f>
        <v>310.4475275</v>
      </c>
      <c r="BK22" s="33" t="n">
        <f aca="false">BJ22+IF(Source_Data!BK$6=Inputs!$B$12,Inputs!$B$7,0)+BK17-BK20</f>
        <v>310.4475275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43.9953993913044</v>
      </c>
      <c r="N23" s="31" t="n">
        <f aca="false">IF(N20&gt;0,N17/N20,"")</f>
        <v>14.4800076521739</v>
      </c>
      <c r="O23" s="31" t="n">
        <f aca="false">IF(O20&gt;0,O17/O20,"")</f>
        <v>13.536312</v>
      </c>
      <c r="P23" s="31" t="n">
        <f aca="false">IF(P20&gt;0,P17/P20,"")</f>
        <v>-9.74476069565218</v>
      </c>
      <c r="Q23" s="31" t="n">
        <f aca="false">IF(Q20&gt;0,Q17/Q20,"")</f>
        <v>-12.6209563043478</v>
      </c>
      <c r="R23" s="31" t="n">
        <f aca="false">IF(R20&gt;0,R17/R20,"")</f>
        <v>-17.9009563043478</v>
      </c>
      <c r="S23" s="31" t="n">
        <f aca="false">IF(S20&gt;0,S17/S20,"")</f>
        <v>-12.3306954130435</v>
      </c>
      <c r="T23" s="31" t="n">
        <f aca="false">IF(T20&gt;0,T17/T20,"")</f>
        <v>1.69321457608696</v>
      </c>
      <c r="U23" s="31" t="n">
        <f aca="false">IF(U20&gt;0,U17/U20,"")</f>
        <v>1.53523992391304</v>
      </c>
      <c r="V23" s="31" t="n">
        <f aca="false">IF(V20&gt;0,V17/V20,"")</f>
        <v>0.910324663043479</v>
      </c>
      <c r="W23" s="31" t="n">
        <f aca="false">IF(W20&gt;0,W17/W20,"")</f>
        <v>0.45735075</v>
      </c>
      <c r="X23" s="31" t="n">
        <f aca="false">IF(X20&gt;0,X17/X20,"")</f>
        <v>2.80517683695652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40.6843723369565</v>
      </c>
      <c r="N24" s="31" t="n">
        <f aca="false">IF(N20&gt;0,(M22+N17+IF(Source_Data!N$6=Inputs!$B$12,Inputs!$B$7,0))/N20,"")</f>
        <v>54.1643799891304</v>
      </c>
      <c r="O24" s="31" t="n">
        <f aca="false">IF(O20&gt;0,(N22+O17+IF(Source_Data!O$6=Inputs!$B$12,Inputs!$B$7,0))/O20,"")</f>
        <v>66.7006919891305</v>
      </c>
      <c r="P24" s="31" t="n">
        <f aca="false">IF(P20&gt;0,(O22+P17+IF(Source_Data!P$6=Inputs!$B$12,Inputs!$B$7,0))/P20,"")</f>
        <v>55.9559312934783</v>
      </c>
      <c r="Q24" s="31" t="n">
        <f aca="false">IF(Q20&gt;0,(P22+Q17+IF(Source_Data!Q$6=Inputs!$B$12,Inputs!$B$7,0))/Q20,"")</f>
        <v>42.3349749891304</v>
      </c>
      <c r="R24" s="31" t="n">
        <f aca="false">IF(R20&gt;0,(Q22+R17+IF(Source_Data!R$6=Inputs!$B$12,Inputs!$B$7,0))/R20,"")</f>
        <v>23.4340186847826</v>
      </c>
      <c r="S24" s="31" t="n">
        <f aca="false">IF(S20&gt;0,(R22+S17+IF(Source_Data!S$6=Inputs!$B$12,Inputs!$B$7,0))/S20,"")</f>
        <v>10.1033232717391</v>
      </c>
      <c r="T24" s="31" t="n">
        <f aca="false">IF(T20&gt;0,(S22+T17+IF(Source_Data!T$6=Inputs!$B$12,Inputs!$B$7,0))/T20,"")</f>
        <v>10.7965378478261</v>
      </c>
      <c r="U24" s="31" t="n">
        <f aca="false">IF(U20&gt;0,(T22+U17+IF(Source_Data!U$6=Inputs!$B$12,Inputs!$B$7,0))/U20,"")</f>
        <v>11.3317777717391</v>
      </c>
      <c r="V24" s="31" t="n">
        <f aca="false">IF(V20&gt;0,(U22+V17+IF(Source_Data!V$6=Inputs!$B$12,Inputs!$B$7,0))/V20,"")</f>
        <v>11.2421024347826</v>
      </c>
      <c r="W24" s="31" t="n">
        <f aca="false">IF(W20&gt;0,(V22+W17+IF(Source_Data!W$6=Inputs!$B$12,Inputs!$B$7,0))/W20,"")</f>
        <v>10.6994531847826</v>
      </c>
      <c r="X24" s="31" t="n">
        <f aca="false">IF(X20&gt;0,(W22+X17+IF(Source_Data!X$6=Inputs!$B$12,Inputs!$B$7,0))/X20,"")</f>
        <v>12.5046300217391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215.311392548924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-52.5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-17.9009563043478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6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10.1033232717391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63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-50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31.2903225806452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31.2903225806452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31.2903225806452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31.2903225806452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9.58333333333333</v>
      </c>
      <c r="N56" s="33" t="n">
        <f aca="false">IF(AND(Source_Data!N$6&gt;=Inputs!$B$54,Source_Data!N$6&lt;Inputs!$B$54+3*Inputs!$B$11),Inputs!$B$9*Inputs!$B$7/Inputs!$B$11,0)</f>
        <v>9.58333333333333</v>
      </c>
      <c r="O56" s="33" t="n">
        <f aca="false">IF(AND(Source_Data!O$6&gt;=Inputs!$B$54,Source_Data!O$6&lt;Inputs!$B$54+3*Inputs!$B$11),Inputs!$B$9*Inputs!$B$7/Inputs!$B$11,0)</f>
        <v>9.58333333333333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-50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9.58333333333333</v>
      </c>
      <c r="N57" s="33" t="n">
        <f aca="false">IF(Source_Data!N$6=Inputs!$B$12,-Inputs!$B$7,0)+N56</f>
        <v>9.58333333333333</v>
      </c>
      <c r="O57" s="33" t="n">
        <f aca="false">IF(Source_Data!O$6=Inputs!$B$12,-Inputs!$B$7,0)+O56</f>
        <v>9.58333333333333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-41.25</v>
      </c>
      <c r="E58" s="33" t="n">
        <f aca="false">D58+IF(Source_Data!E$6=Inputs!$B$12,Inputs!$B$7,0)+E53-E56</f>
        <v>-52.5</v>
      </c>
      <c r="F58" s="33" t="n">
        <f aca="false">E58+IF(Source_Data!F$6=Inputs!$B$12,Inputs!$B$7,0)+F53-F56</f>
        <v>-63.75</v>
      </c>
      <c r="G58" s="33" t="n">
        <f aca="false">F58+IF(Source_Data!G$6=Inputs!$B$12,Inputs!$B$7,0)+G53-G56</f>
        <v>-75</v>
      </c>
      <c r="H58" s="33" t="n">
        <f aca="false">G58+IF(Source_Data!H$6=Inputs!$B$12,Inputs!$B$7,0)+H53-H56</f>
        <v>-120.5</v>
      </c>
      <c r="I58" s="33" t="n">
        <f aca="false">H58+IF(Source_Data!I$6=Inputs!$B$12,Inputs!$B$7,0)+I53-I56</f>
        <v>-173.36</v>
      </c>
      <c r="J58" s="33" t="n">
        <f aca="false">I58+IF(Source_Data!J$6=Inputs!$B$12,Inputs!$B$7,0)+J53-J56</f>
        <v>-228.23468625</v>
      </c>
      <c r="K58" s="33" t="n">
        <f aca="false">J58+IF(Source_Data!K$6=Inputs!$B$12,Inputs!$B$7,0)+K53-K56</f>
        <v>-253.84405875</v>
      </c>
      <c r="L58" s="33" t="n">
        <f aca="false">K58+IF(Source_Data!L$6=Inputs!$B$12,Inputs!$B$7,0)+L53-L56</f>
        <v>-276.093253125</v>
      </c>
      <c r="M58" s="33" t="n">
        <f aca="false">L58+IF(Source_Data!M$6=Inputs!$B$12,Inputs!$B$7,0)+M53-M56</f>
        <v>-293.315602708333</v>
      </c>
      <c r="N58" s="33" t="n">
        <f aca="false">M58+IF(Source_Data!N$6=Inputs!$B$12,Inputs!$B$7,0)+N53-N56</f>
        <v>-297.492057041667</v>
      </c>
      <c r="O58" s="33" t="n">
        <f aca="false">N58+IF(Source_Data!O$6=Inputs!$B$12,Inputs!$B$7,0)+O53-O56</f>
        <v>-300.6714379375</v>
      </c>
      <c r="P58" s="33" t="n">
        <f aca="false">O58+IF(Source_Data!P$6=Inputs!$B$12,Inputs!$B$7,0)+P53-P56</f>
        <v>-429.527941677083</v>
      </c>
      <c r="Q58" s="33" t="n">
        <f aca="false">P58+IF(Source_Data!Q$6=Inputs!$B$12,Inputs!$B$7,0)+Q53-Q56</f>
        <v>-184.951955260417</v>
      </c>
      <c r="R58" s="33" t="n">
        <f aca="false">Q58+IF(Source_Data!R$6=Inputs!$B$12,Inputs!$B$7,0)+R53-R56</f>
        <v>-267.40542259375</v>
      </c>
      <c r="S58" s="33" t="n">
        <f aca="false">R58+IF(Source_Data!S$6=Inputs!$B$12,Inputs!$B$7,0)+S53-S56</f>
        <v>-303.948264927083</v>
      </c>
      <c r="T58" s="33" t="n">
        <f aca="false">S58+IF(Source_Data!T$6=Inputs!$B$12,Inputs!$B$7,0)+T53-T56</f>
        <v>-277.880159260417</v>
      </c>
      <c r="U58" s="33" t="n">
        <f aca="false">T58+IF(Source_Data!U$6=Inputs!$B$12,Inputs!$B$7,0)+U53-U56</f>
        <v>-276.61924071875</v>
      </c>
      <c r="V58" s="33" t="n">
        <f aca="false">U58+IF(Source_Data!V$6=Inputs!$B$12,Inputs!$B$7,0)+V53-V56</f>
        <v>-275.358322177083</v>
      </c>
      <c r="W58" s="33" t="n">
        <f aca="false">V58+IF(Source_Data!W$6=Inputs!$B$12,Inputs!$B$7,0)+W53-W56</f>
        <v>-274.698903447917</v>
      </c>
      <c r="X58" s="33" t="n">
        <f aca="false">W58+IF(Source_Data!X$6=Inputs!$B$12,Inputs!$B$7,0)+X53-X56</f>
        <v>-251.6782610625</v>
      </c>
      <c r="Y58" s="33" t="n">
        <f aca="false">X58+IF(Source_Data!Y$6=Inputs!$B$12,Inputs!$B$7,0)+Y53-Y56</f>
        <v>-220.43681671875</v>
      </c>
      <c r="Z58" s="33" t="n">
        <f aca="false">Y58+IF(Source_Data!Z$6=Inputs!$B$12,Inputs!$B$7,0)+Z53-Z56</f>
        <v>-194.5852665</v>
      </c>
      <c r="AA58" s="33" t="n">
        <f aca="false">Z58+IF(Source_Data!AA$6=Inputs!$B$12,Inputs!$B$7,0)+AA53-AA56</f>
        <v>-172.64061628125</v>
      </c>
      <c r="AB58" s="33" t="n">
        <f aca="false">AA58+IF(Source_Data!AB$6=Inputs!$B$12,Inputs!$B$7,0)+AB53-AB56</f>
        <v>-128.1959660625</v>
      </c>
      <c r="AC58" s="33" t="n">
        <f aca="false">AB58+IF(Source_Data!AC$6=Inputs!$B$12,Inputs!$B$7,0)+AC53-AC56</f>
        <v>-90.30351271875</v>
      </c>
      <c r="AD58" s="33" t="n">
        <f aca="false">AC58+IF(Source_Data!AD$6=Inputs!$B$12,Inputs!$B$7,0)+AD53-AD56</f>
        <v>-52.411059375</v>
      </c>
      <c r="AE58" s="33" t="n">
        <f aca="false">AD58+IF(Source_Data!AE$6=Inputs!$B$12,Inputs!$B$7,0)+AE53-AE56</f>
        <v>-14.51860603125</v>
      </c>
      <c r="AF58" s="33" t="n">
        <f aca="false">AE58+IF(Source_Data!AF$6=Inputs!$B$12,Inputs!$B$7,0)+AF53-AF56</f>
        <v>-32.3898274453603</v>
      </c>
      <c r="AG58" s="33" t="n">
        <f aca="false">AF58+IF(Source_Data!AG$6=Inputs!$B$12,Inputs!$B$7,0)+AG53-AG56</f>
        <v>-7.80466399581443</v>
      </c>
      <c r="AH58" s="33" t="n">
        <f aca="false">AG58+IF(Source_Data!AH$6=Inputs!$B$12,Inputs!$B$7,0)+AH53-AH56</f>
        <v>13.5328888287314</v>
      </c>
      <c r="AI58" s="33" t="n">
        <f aca="false">AH58+IF(Source_Data!AI$6=Inputs!$B$12,Inputs!$B$7,0)+AI53-AI56</f>
        <v>30.9635416532772</v>
      </c>
      <c r="AJ58" s="33" t="n">
        <f aca="false">AI58+IF(Source_Data!AJ$6=Inputs!$B$12,Inputs!$B$7,0)+AJ53-AJ56</f>
        <v>48.3941944778231</v>
      </c>
      <c r="AK58" s="33" t="n">
        <f aca="false">AJ58+IF(Source_Data!AK$6=Inputs!$B$12,Inputs!$B$7,0)+AK53-AK56</f>
        <v>66.2731310288701</v>
      </c>
      <c r="AL58" s="33" t="n">
        <f aca="false">AK58+IF(Source_Data!AL$6=Inputs!$B$12,Inputs!$B$7,0)+AL53-AL56</f>
        <v>84.1520675799172</v>
      </c>
      <c r="AM58" s="33" t="n">
        <f aca="false">AL58+IF(Source_Data!AM$6=Inputs!$B$12,Inputs!$B$7,0)+AM53-AM56</f>
        <v>102.885991644117</v>
      </c>
      <c r="AN58" s="33" t="n">
        <f aca="false">AM58+IF(Source_Data!AN$6=Inputs!$B$12,Inputs!$B$7,0)+AN53-AN56</f>
        <v>123.490456127345</v>
      </c>
      <c r="AO58" s="33" t="n">
        <f aca="false">AN58+IF(Source_Data!AO$6=Inputs!$B$12,Inputs!$B$7,0)+AO53-AO56</f>
        <v>143.37220475</v>
      </c>
      <c r="AP58" s="33" t="n">
        <f aca="false">AO58+IF(Source_Data!AP$6=Inputs!$B$12,Inputs!$B$7,0)+AP53-AP56</f>
        <v>163.9867998125</v>
      </c>
      <c r="AQ58" s="33" t="n">
        <f aca="false">AP58+IF(Source_Data!AQ$6=Inputs!$B$12,Inputs!$B$7,0)+AQ53-AQ56</f>
        <v>180.85239875</v>
      </c>
      <c r="AR58" s="33" t="n">
        <f aca="false">AQ58+IF(Source_Data!AR$6=Inputs!$B$12,Inputs!$B$7,0)+AR53-AR56</f>
        <v>189.5159495</v>
      </c>
      <c r="AS58" s="33" t="n">
        <f aca="false">AR58+IF(Source_Data!AS$6=Inputs!$B$12,Inputs!$B$7,0)+AS53-AS56</f>
        <v>192.72937475</v>
      </c>
      <c r="AT58" s="33" t="n">
        <f aca="false">AS58+IF(Source_Data!AT$6=Inputs!$B$12,Inputs!$B$7,0)+AT53-AT56</f>
        <v>192.72937475</v>
      </c>
      <c r="AU58" s="33" t="n">
        <f aca="false">AT58+IF(Source_Data!AU$6=Inputs!$B$12,Inputs!$B$7,0)+AU53-AU56</f>
        <v>192.72937475</v>
      </c>
      <c r="AV58" s="33" t="n">
        <f aca="false">AU58+IF(Source_Data!AV$6=Inputs!$B$12,Inputs!$B$7,0)+AV53-AV56</f>
        <v>192.72937475</v>
      </c>
      <c r="AW58" s="33" t="n">
        <f aca="false">AV58+IF(Source_Data!AW$6=Inputs!$B$12,Inputs!$B$7,0)+AW53-AW56</f>
        <v>192.72937475</v>
      </c>
      <c r="AX58" s="33" t="n">
        <f aca="false">AW58+IF(Source_Data!AX$6=Inputs!$B$12,Inputs!$B$7,0)+AX53-AX56</f>
        <v>192.72937475</v>
      </c>
      <c r="AY58" s="33" t="n">
        <f aca="false">AX58+IF(Source_Data!AY$6=Inputs!$B$12,Inputs!$B$7,0)+AY53-AY56</f>
        <v>192.72937475</v>
      </c>
      <c r="AZ58" s="33" t="n">
        <f aca="false">AY58+IF(Source_Data!AZ$6=Inputs!$B$12,Inputs!$B$7,0)+AZ53-AZ56</f>
        <v>192.72937475</v>
      </c>
      <c r="BA58" s="33" t="n">
        <f aca="false">AZ58+IF(Source_Data!BA$6=Inputs!$B$12,Inputs!$B$7,0)+BA53-BA56</f>
        <v>192.72937475</v>
      </c>
      <c r="BB58" s="33" t="n">
        <f aca="false">BA58+IF(Source_Data!BB$6=Inputs!$B$12,Inputs!$B$7,0)+BB53-BB56</f>
        <v>192.72937475</v>
      </c>
      <c r="BC58" s="33" t="n">
        <f aca="false">BB58+IF(Source_Data!BC$6=Inputs!$B$12,Inputs!$B$7,0)+BC53-BC56</f>
        <v>192.72937475</v>
      </c>
      <c r="BD58" s="33" t="n">
        <f aca="false">BC58+IF(Source_Data!BD$6=Inputs!$B$12,Inputs!$B$7,0)+BD53-BD56</f>
        <v>192.72937475</v>
      </c>
      <c r="BE58" s="33" t="n">
        <f aca="false">BD58+IF(Source_Data!BE$6=Inputs!$B$12,Inputs!$B$7,0)+BE53-BE56</f>
        <v>192.72937475</v>
      </c>
      <c r="BF58" s="33" t="n">
        <f aca="false">BE58+IF(Source_Data!BF$6=Inputs!$B$12,Inputs!$B$7,0)+BF53-BF56</f>
        <v>192.72937475</v>
      </c>
      <c r="BG58" s="33" t="n">
        <f aca="false">BF58+IF(Source_Data!BG$6=Inputs!$B$12,Inputs!$B$7,0)+BG53-BG56</f>
        <v>192.72937475</v>
      </c>
      <c r="BH58" s="33" t="n">
        <f aca="false">BG58+IF(Source_Data!BH$6=Inputs!$B$12,Inputs!$B$7,0)+BH53-BH56</f>
        <v>192.72937475</v>
      </c>
      <c r="BI58" s="33" t="n">
        <f aca="false">BH58+IF(Source_Data!BI$6=Inputs!$B$12,Inputs!$B$7,0)+BI53-BI56</f>
        <v>192.72937475</v>
      </c>
      <c r="BJ58" s="33" t="n">
        <f aca="false">BI58+IF(Source_Data!BJ$6=Inputs!$B$12,Inputs!$B$7,0)+BJ53-BJ56</f>
        <v>192.72937475</v>
      </c>
      <c r="BK58" s="33" t="n">
        <f aca="false">BJ58+IF(Source_Data!BK$6=Inputs!$B$12,Inputs!$B$7,0)+BK53-BK56</f>
        <v>192.72937475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-0.797114739130435</v>
      </c>
      <c r="N59" s="31" t="n">
        <f aca="false">IF(N56&gt;0,N53/N56,"")</f>
        <v>0.564196069565217</v>
      </c>
      <c r="O59" s="31" t="n">
        <f aca="false">IF(O56&gt;0,O53/O56,"")</f>
        <v>0.668238515217392</v>
      </c>
      <c r="P59" s="31" t="n">
        <f aca="false">IF(P56&gt;0,P53/P56,"")</f>
        <v>-12.4458960423913</v>
      </c>
      <c r="Q59" s="31" t="n">
        <f aca="false">IF(Q56&gt;0,Q53/Q56,"")</f>
        <v>26.5209724956522</v>
      </c>
      <c r="R59" s="31" t="n">
        <f aca="false">IF(R56&gt;0,R53/R56,"")</f>
        <v>-7.60384006956522</v>
      </c>
      <c r="S59" s="31" t="n">
        <f aca="false">IF(S56&gt;0,S53/S56,"")</f>
        <v>-2.81316615652174</v>
      </c>
      <c r="T59" s="31" t="n">
        <f aca="false">IF(T56&gt;0,T53/T56,"")</f>
        <v>3.72015015652174</v>
      </c>
      <c r="U59" s="31" t="n">
        <f aca="false">IF(U56&gt;0,U53/U56,"")</f>
        <v>1.13157410869565</v>
      </c>
      <c r="V59" s="31" t="n">
        <f aca="false">IF(V56&gt;0,V53/V56,"")</f>
        <v>1.13157410869565</v>
      </c>
      <c r="W59" s="31" t="n">
        <f aca="false">IF(W56&gt;0,W53/W56,"")</f>
        <v>1.06880891086956</v>
      </c>
      <c r="X59" s="31" t="n">
        <f aca="false">IF(X56&gt;0,X53/X56,"")</f>
        <v>3.40215398804348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-29.6068455</v>
      </c>
      <c r="N60" s="31" t="n">
        <f aca="false">IF(N56&gt;0,(M58+N53+IF(Source_Data!N$6=Inputs!$B$12,Inputs!$B$7,0))/N56,"")</f>
        <v>-30.0426494304348</v>
      </c>
      <c r="O60" s="31" t="n">
        <f aca="false">IF(O56&gt;0,(N58+O53+IF(Source_Data!O$6=Inputs!$B$12,Inputs!$B$7,0))/O56,"")</f>
        <v>-30.3744109152174</v>
      </c>
      <c r="P60" s="31" t="n">
        <f aca="false">IF(P56&gt;0,(O58+P53+IF(Source_Data!P$6=Inputs!$B$12,Inputs!$B$7,0))/P56,"")</f>
        <v>-43.8203069576087</v>
      </c>
      <c r="Q60" s="31" t="n">
        <f aca="false">IF(Q56&gt;0,(P58+Q53+IF(Source_Data!Q$6=Inputs!$B$12,Inputs!$B$7,0))/Q56,"")</f>
        <v>-18.2993344619565</v>
      </c>
      <c r="R60" s="31" t="n">
        <f aca="false">IF(R56&gt;0,(Q58+R53+IF(Source_Data!R$6=Inputs!$B$12,Inputs!$B$7,0))/R56,"")</f>
        <v>-26.9031745315217</v>
      </c>
      <c r="S60" s="31" t="n">
        <f aca="false">IF(S56&gt;0,(R58+S53+IF(Source_Data!S$6=Inputs!$B$12,Inputs!$B$7,0))/S56,"")</f>
        <v>-30.7163406880435</v>
      </c>
      <c r="T60" s="31" t="n">
        <f aca="false">IF(T56&gt;0,(S58+T53+IF(Source_Data!T$6=Inputs!$B$12,Inputs!$B$7,0))/T56,"")</f>
        <v>-27.9961905315217</v>
      </c>
      <c r="U60" s="31" t="n">
        <f aca="false">IF(U56&gt;0,(T58+U53+IF(Source_Data!U$6=Inputs!$B$12,Inputs!$B$7,0))/U56,"")</f>
        <v>-27.8646164228261</v>
      </c>
      <c r="V60" s="31" t="n">
        <f aca="false">IF(V56&gt;0,(U58+V53+IF(Source_Data!V$6=Inputs!$B$12,Inputs!$B$7,0))/V56,"")</f>
        <v>-27.7330423141304</v>
      </c>
      <c r="W60" s="31" t="n">
        <f aca="false">IF(W56&gt;0,(V58+W53+IF(Source_Data!W$6=Inputs!$B$12,Inputs!$B$7,0))/W56,"")</f>
        <v>-27.6642334032609</v>
      </c>
      <c r="X60" s="31" t="n">
        <f aca="false">IF(X56&gt;0,(W58+X53+IF(Source_Data!X$6=Inputs!$B$12,Inputs!$B$7,0))/X56,"")</f>
        <v>-25.2620794152174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-33.5946846074615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39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-429.527941677083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-12.4458960423913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-43.8203069576087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-50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38.2437275985663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38.2437275985663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38.2437275985663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38.2437275985663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9.58333333333333</v>
      </c>
      <c r="N92" s="33" t="n">
        <f aca="false">IF(AND(Source_Data!N$6&gt;=Inputs!$B$54,Source_Data!N$6&lt;Inputs!$B$54+3*Inputs!$B$11),Inputs!$B$9*Inputs!$B$7/Inputs!$B$11,0)</f>
        <v>9.58333333333333</v>
      </c>
      <c r="O92" s="33" t="n">
        <f aca="false">IF(AND(Source_Data!O$6&gt;=Inputs!$B$54,Source_Data!O$6&lt;Inputs!$B$54+3*Inputs!$B$11),Inputs!$B$9*Inputs!$B$7/Inputs!$B$11,0)</f>
        <v>9.58333333333333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-50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9.58333333333333</v>
      </c>
      <c r="N93" s="33" t="n">
        <f aca="false">IF(Source_Data!N$6=Inputs!$B$12,-Inputs!$B$7,0)+N92</f>
        <v>9.58333333333333</v>
      </c>
      <c r="O93" s="33" t="n">
        <f aca="false">IF(Source_Data!O$6=Inputs!$B$12,-Inputs!$B$7,0)+O92</f>
        <v>9.58333333333333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-41.25</v>
      </c>
      <c r="E94" s="33" t="n">
        <f aca="false">D94+IF(Source_Data!E$6=Inputs!$B$12,Inputs!$B$7,0)+E89-E92</f>
        <v>-52.5</v>
      </c>
      <c r="F94" s="33" t="n">
        <f aca="false">E94+IF(Source_Data!F$6=Inputs!$B$12,Inputs!$B$7,0)+F89-F92</f>
        <v>-47.09683875</v>
      </c>
      <c r="G94" s="33" t="n">
        <f aca="false">F94+IF(Source_Data!G$6=Inputs!$B$12,Inputs!$B$7,0)+G89-G92</f>
        <v>-25.04051625</v>
      </c>
      <c r="H94" s="33" t="n">
        <f aca="false">G94+IF(Source_Data!H$6=Inputs!$B$12,Inputs!$B$7,0)+H89-H92</f>
        <v>-19.377309375</v>
      </c>
      <c r="I94" s="33" t="n">
        <f aca="false">H94+IF(Source_Data!I$6=Inputs!$B$12,Inputs!$B$7,0)+I89-I92</f>
        <v>-3.217218125</v>
      </c>
      <c r="J94" s="33" t="n">
        <f aca="false">I94+IF(Source_Data!J$6=Inputs!$B$12,Inputs!$B$7,0)+J89-J92</f>
        <v>-16.437477125</v>
      </c>
      <c r="K94" s="33" t="n">
        <f aca="false">J94+IF(Source_Data!K$6=Inputs!$B$12,Inputs!$B$7,0)+K89-K92</f>
        <v>-12.7990908125</v>
      </c>
      <c r="L94" s="33" t="n">
        <f aca="false">K94+IF(Source_Data!L$6=Inputs!$B$12,Inputs!$B$7,0)+L89-L92</f>
        <v>0.97925646875005</v>
      </c>
      <c r="M94" s="33" t="n">
        <f aca="false">L94+IF(Source_Data!M$6=Inputs!$B$12,Inputs!$B$7,0)+M89-M92</f>
        <v>461.591758385417</v>
      </c>
      <c r="N94" s="33" t="n">
        <f aca="false">M94+IF(Source_Data!N$6=Inputs!$B$12,Inputs!$B$7,0)+N89-N92</f>
        <v>608.634039052083</v>
      </c>
      <c r="O94" s="33" t="n">
        <f aca="false">N94+IF(Source_Data!O$6=Inputs!$B$12,Inputs!$B$7,0)+O89-O92</f>
        <v>745.72819471875</v>
      </c>
      <c r="P94" s="33" t="n">
        <f aca="false">O94+IF(Source_Data!P$6=Inputs!$B$12,Inputs!$B$7,0)+P89-P92</f>
        <v>651.718842385417</v>
      </c>
      <c r="Q94" s="33" t="n">
        <f aca="false">P94+IF(Source_Data!Q$6=Inputs!$B$12,Inputs!$B$7,0)+Q89-Q92</f>
        <v>527.389594677083</v>
      </c>
      <c r="R94" s="33" t="n">
        <f aca="false">Q94+IF(Source_Data!R$6=Inputs!$B$12,Inputs!$B$7,0)+R89-R92</f>
        <v>352.46034696875</v>
      </c>
      <c r="S94" s="33" t="n">
        <f aca="false">R94+IF(Source_Data!S$6=Inputs!$B$12,Inputs!$B$7,0)+S89-S92</f>
        <v>230.845932822917</v>
      </c>
      <c r="T94" s="33" t="n">
        <f aca="false">S94+IF(Source_Data!T$6=Inputs!$B$12,Inputs!$B$7,0)+T89-T92</f>
        <v>243.611903145833</v>
      </c>
      <c r="U94" s="33" t="n">
        <f aca="false">T94+IF(Source_Data!U$6=Inputs!$B$12,Inputs!$B$7,0)+U89-U92</f>
        <v>254.71255734375</v>
      </c>
      <c r="V94" s="33" t="n">
        <f aca="false">U94+IF(Source_Data!V$6=Inputs!$B$12,Inputs!$B$7,0)+V89-V92</f>
        <v>259.225563166667</v>
      </c>
      <c r="W94" s="33" t="n">
        <f aca="false">V94+IF(Source_Data!W$6=Inputs!$B$12,Inputs!$B$7,0)+W89-W92</f>
        <v>258.963468989583</v>
      </c>
      <c r="X94" s="33" t="n">
        <f aca="false">W94+IF(Source_Data!X$6=Inputs!$B$12,Inputs!$B$7,0)+X89-X92</f>
        <v>281.2013748125</v>
      </c>
      <c r="Y94" s="33" t="n">
        <f aca="false">X94+IF(Source_Data!Y$6=Inputs!$B$12,Inputs!$B$7,0)+Y89-Y92</f>
        <v>305.01437334375</v>
      </c>
      <c r="Z94" s="33" t="n">
        <f aca="false">Y94+IF(Source_Data!Z$6=Inputs!$B$12,Inputs!$B$7,0)+Z89-Z92</f>
        <v>328.827371875</v>
      </c>
      <c r="AA94" s="33" t="n">
        <f aca="false">Z94+IF(Source_Data!AA$6=Inputs!$B$12,Inputs!$B$7,0)+AA89-AA92</f>
        <v>352.64037040625</v>
      </c>
      <c r="AB94" s="33" t="n">
        <f aca="false">AA94+IF(Source_Data!AB$6=Inputs!$B$12,Inputs!$B$7,0)+AB89-AB92</f>
        <v>392.5865689375</v>
      </c>
      <c r="AC94" s="33" t="n">
        <f aca="false">AB94+IF(Source_Data!AC$6=Inputs!$B$12,Inputs!$B$7,0)+AC89-AC92</f>
        <v>428.9290591875</v>
      </c>
      <c r="AD94" s="33" t="n">
        <f aca="false">AC94+IF(Source_Data!AD$6=Inputs!$B$12,Inputs!$B$7,0)+AD89-AD92</f>
        <v>461.3022475625</v>
      </c>
      <c r="AE94" s="33" t="n">
        <f aca="false">AD94+IF(Source_Data!AE$6=Inputs!$B$12,Inputs!$B$7,0)+AE89-AE92</f>
        <v>488.9003359375</v>
      </c>
      <c r="AF94" s="33" t="n">
        <f aca="false">AE94+IF(Source_Data!AF$6=Inputs!$B$12,Inputs!$B$7,0)+AF89-AF92</f>
        <v>351.536478367235</v>
      </c>
      <c r="AG94" s="33" t="n">
        <f aca="false">AF94+IF(Source_Data!AG$6=Inputs!$B$12,Inputs!$B$7,0)+AG89-AG92</f>
        <v>362.331143198939</v>
      </c>
      <c r="AH94" s="33" t="n">
        <f aca="false">AG94+IF(Source_Data!AH$6=Inputs!$B$12,Inputs!$B$7,0)+AH89-AH92</f>
        <v>373.125808030643</v>
      </c>
      <c r="AI94" s="33" t="n">
        <f aca="false">AH94+IF(Source_Data!AI$6=Inputs!$B$12,Inputs!$B$7,0)+AI89-AI92</f>
        <v>383.920472862348</v>
      </c>
      <c r="AJ94" s="33" t="n">
        <f aca="false">AI94+IF(Source_Data!AJ$6=Inputs!$B$12,Inputs!$B$7,0)+AJ89-AJ92</f>
        <v>394.715137694052</v>
      </c>
      <c r="AK94" s="33" t="n">
        <f aca="false">AJ94+IF(Source_Data!AK$6=Inputs!$B$12,Inputs!$B$7,0)+AK89-AK92</f>
        <v>404.57010403363</v>
      </c>
      <c r="AL94" s="33" t="n">
        <f aca="false">AK94+IF(Source_Data!AL$6=Inputs!$B$12,Inputs!$B$7,0)+AL89-AL92</f>
        <v>414.425070373208</v>
      </c>
      <c r="AM94" s="33" t="n">
        <f aca="false">AL94+IF(Source_Data!AM$6=Inputs!$B$12,Inputs!$B$7,0)+AM89-AM92</f>
        <v>422.487800168383</v>
      </c>
      <c r="AN94" s="33" t="n">
        <f aca="false">AM94+IF(Source_Data!AN$6=Inputs!$B$12,Inputs!$B$7,0)+AN89-AN92</f>
        <v>426.629477497654</v>
      </c>
      <c r="AO94" s="33" t="n">
        <f aca="false">AN94+IF(Source_Data!AO$6=Inputs!$B$12,Inputs!$B$7,0)+AO89-AO92</f>
        <v>428.16568025</v>
      </c>
      <c r="AP94" s="33" t="n">
        <f aca="false">AO94+IF(Source_Data!AP$6=Inputs!$B$12,Inputs!$B$7,0)+AP89-AP92</f>
        <v>428.16568025</v>
      </c>
      <c r="AQ94" s="33" t="n">
        <f aca="false">AP94+IF(Source_Data!AQ$6=Inputs!$B$12,Inputs!$B$7,0)+AQ89-AQ92</f>
        <v>428.16568025</v>
      </c>
      <c r="AR94" s="33" t="n">
        <f aca="false">AQ94+IF(Source_Data!AR$6=Inputs!$B$12,Inputs!$B$7,0)+AR89-AR92</f>
        <v>428.16568025</v>
      </c>
      <c r="AS94" s="33" t="n">
        <f aca="false">AR94+IF(Source_Data!AS$6=Inputs!$B$12,Inputs!$B$7,0)+AS89-AS92</f>
        <v>428.16568025</v>
      </c>
      <c r="AT94" s="33" t="n">
        <f aca="false">AS94+IF(Source_Data!AT$6=Inputs!$B$12,Inputs!$B$7,0)+AT89-AT92</f>
        <v>428.16568025</v>
      </c>
      <c r="AU94" s="33" t="n">
        <f aca="false">AT94+IF(Source_Data!AU$6=Inputs!$B$12,Inputs!$B$7,0)+AU89-AU92</f>
        <v>428.16568025</v>
      </c>
      <c r="AV94" s="33" t="n">
        <f aca="false">AU94+IF(Source_Data!AV$6=Inputs!$B$12,Inputs!$B$7,0)+AV89-AV92</f>
        <v>428.16568025</v>
      </c>
      <c r="AW94" s="33" t="n">
        <f aca="false">AV94+IF(Source_Data!AW$6=Inputs!$B$12,Inputs!$B$7,0)+AW89-AW92</f>
        <v>428.16568025</v>
      </c>
      <c r="AX94" s="33" t="n">
        <f aca="false">AW94+IF(Source_Data!AX$6=Inputs!$B$12,Inputs!$B$7,0)+AX89-AX92</f>
        <v>428.16568025</v>
      </c>
      <c r="AY94" s="33" t="n">
        <f aca="false">AX94+IF(Source_Data!AY$6=Inputs!$B$12,Inputs!$B$7,0)+AY89-AY92</f>
        <v>428.16568025</v>
      </c>
      <c r="AZ94" s="33" t="n">
        <f aca="false">AY94+IF(Source_Data!AZ$6=Inputs!$B$12,Inputs!$B$7,0)+AZ89-AZ92</f>
        <v>428.16568025</v>
      </c>
      <c r="BA94" s="33" t="n">
        <f aca="false">AZ94+IF(Source_Data!BA$6=Inputs!$B$12,Inputs!$B$7,0)+BA89-BA92</f>
        <v>428.16568025</v>
      </c>
      <c r="BB94" s="33" t="n">
        <f aca="false">BA94+IF(Source_Data!BB$6=Inputs!$B$12,Inputs!$B$7,0)+BB89-BB92</f>
        <v>428.16568025</v>
      </c>
      <c r="BC94" s="33" t="n">
        <f aca="false">BB94+IF(Source_Data!BC$6=Inputs!$B$12,Inputs!$B$7,0)+BC89-BC92</f>
        <v>428.16568025</v>
      </c>
      <c r="BD94" s="33" t="n">
        <f aca="false">BC94+IF(Source_Data!BD$6=Inputs!$B$12,Inputs!$B$7,0)+BD89-BD92</f>
        <v>428.16568025</v>
      </c>
      <c r="BE94" s="33" t="n">
        <f aca="false">BD94+IF(Source_Data!BE$6=Inputs!$B$12,Inputs!$B$7,0)+BE89-BE92</f>
        <v>428.16568025</v>
      </c>
      <c r="BF94" s="33" t="n">
        <f aca="false">BE94+IF(Source_Data!BF$6=Inputs!$B$12,Inputs!$B$7,0)+BF89-BF92</f>
        <v>428.16568025</v>
      </c>
      <c r="BG94" s="33" t="n">
        <f aca="false">BF94+IF(Source_Data!BG$6=Inputs!$B$12,Inputs!$B$7,0)+BG89-BG92</f>
        <v>428.16568025</v>
      </c>
      <c r="BH94" s="33" t="n">
        <f aca="false">BG94+IF(Source_Data!BH$6=Inputs!$B$12,Inputs!$B$7,0)+BH89-BH92</f>
        <v>428.16568025</v>
      </c>
      <c r="BI94" s="33" t="n">
        <f aca="false">BH94+IF(Source_Data!BI$6=Inputs!$B$12,Inputs!$B$7,0)+BI89-BI92</f>
        <v>428.16568025</v>
      </c>
      <c r="BJ94" s="33" t="n">
        <f aca="false">BI94+IF(Source_Data!BJ$6=Inputs!$B$12,Inputs!$B$7,0)+BJ89-BJ92</f>
        <v>428.16568025</v>
      </c>
      <c r="BK94" s="33" t="n">
        <f aca="false">BJ94+IF(Source_Data!BK$6=Inputs!$B$12,Inputs!$B$7,0)+BK89-BK92</f>
        <v>428.16568025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49.0639132434783</v>
      </c>
      <c r="N95" s="31" t="n">
        <f aca="false">IF(N92&gt;0,N89/N92,"")</f>
        <v>16.3435423304348</v>
      </c>
      <c r="O95" s="31" t="n">
        <f aca="false">IF(O92&gt;0,O89/O92,"")</f>
        <v>15.3054771130435</v>
      </c>
      <c r="P95" s="31" t="n">
        <f aca="false">IF(P92&gt;0,P89/P92,"")</f>
        <v>-8.80967154782609</v>
      </c>
      <c r="Q95" s="31" t="n">
        <f aca="false">IF(Q92&gt;0,Q89/Q92,"")</f>
        <v>-11.9734867173913</v>
      </c>
      <c r="R95" s="31" t="n">
        <f aca="false">IF(R92&gt;0,R89/R92,"")</f>
        <v>-17.2534867173913</v>
      </c>
      <c r="S95" s="31" t="n">
        <f aca="false">IF(S92&gt;0,S89/S92,"")</f>
        <v>-11.6901997369565</v>
      </c>
      <c r="T95" s="31" t="n">
        <f aca="false">IF(T92&gt;0,T89/T92,"")</f>
        <v>2.33210125108696</v>
      </c>
      <c r="U95" s="31" t="n">
        <f aca="false">IF(U92&gt;0,U89/U92,"")</f>
        <v>2.15832913369565</v>
      </c>
      <c r="V95" s="31" t="n">
        <f aca="false">IF(V92&gt;0,V89/V92,"")</f>
        <v>1.47092234673913</v>
      </c>
      <c r="W95" s="31" t="n">
        <f aca="false">IF(W92&gt;0,W89/W92,"")</f>
        <v>0.972651042391305</v>
      </c>
      <c r="X95" s="31" t="n">
        <f aca="false">IF(X92&gt;0,X89/X92,"")</f>
        <v>3.32047712934783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49.1660965271739</v>
      </c>
      <c r="N96" s="31" t="n">
        <f aca="false">IF(N92&gt;0,(M94+N89+IF(Source_Data!N$6=Inputs!$B$12,Inputs!$B$7,0))/N92,"")</f>
        <v>64.5096388576087</v>
      </c>
      <c r="O96" s="31" t="n">
        <f aca="false">IF(O92&gt;0,(N94+O89+IF(Source_Data!O$6=Inputs!$B$12,Inputs!$B$7,0))/O92,"")</f>
        <v>78.8151159706522</v>
      </c>
      <c r="P96" s="31" t="n">
        <f aca="false">IF(P92&gt;0,(O94+P89+IF(Source_Data!P$6=Inputs!$B$12,Inputs!$B$7,0))/P92,"")</f>
        <v>69.0054444228261</v>
      </c>
      <c r="Q96" s="31" t="n">
        <f aca="false">IF(Q92&gt;0,(P94+Q89+IF(Source_Data!Q$6=Inputs!$B$12,Inputs!$B$7,0))/Q92,"")</f>
        <v>56.0319577054348</v>
      </c>
      <c r="R96" s="31" t="n">
        <f aca="false">IF(R92&gt;0,(Q94+R89+IF(Source_Data!R$6=Inputs!$B$12,Inputs!$B$7,0))/R92,"")</f>
        <v>37.7784709880435</v>
      </c>
      <c r="S96" s="31" t="n">
        <f aca="false">IF(S92&gt;0,(R94+S89+IF(Source_Data!S$6=Inputs!$B$12,Inputs!$B$7,0))/S92,"")</f>
        <v>25.0882712510869</v>
      </c>
      <c r="T96" s="31" t="n">
        <f aca="false">IF(T92&gt;0,(S94+T89+IF(Source_Data!T$6=Inputs!$B$12,Inputs!$B$7,0))/T92,"")</f>
        <v>26.4203725021739</v>
      </c>
      <c r="U96" s="31" t="n">
        <f aca="false">IF(U92&gt;0,(T94+U89+IF(Source_Data!U$6=Inputs!$B$12,Inputs!$B$7,0))/U92,"")</f>
        <v>27.5787016358696</v>
      </c>
      <c r="V96" s="31" t="n">
        <f aca="false">IF(V92&gt;0,(U94+V89+IF(Source_Data!V$6=Inputs!$B$12,Inputs!$B$7,0))/V92,"")</f>
        <v>28.0496239826087</v>
      </c>
      <c r="W96" s="31" t="n">
        <f aca="false">IF(W92&gt;0,(V94+W89+IF(Source_Data!W$6=Inputs!$B$12,Inputs!$B$7,0))/W92,"")</f>
        <v>28.022275025</v>
      </c>
      <c r="X96" s="31" t="n">
        <f aca="false">IF(X92&gt;0,(W94+X89+IF(Source_Data!X$6=Inputs!$B$12,Inputs!$B$7,0))/X92,"")</f>
        <v>30.3427521543478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-52.5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-17.2534867173913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6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25.0882712510869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107.758210351563</v>
      </c>
      <c r="AG121" s="33" t="n">
        <f aca="false">Source_Data!AG$9+Source_Data!AG$10*IF(Source_Data!$C$10=0,0,MAX(0,Inputs!$B$19*Inputs!$B$22*$B$113-Inputs!$B$20)/Source_Data!$C$10)</f>
        <v>10.976512421875</v>
      </c>
      <c r="AH121" s="33" t="n">
        <f aca="false">Source_Data!AH$9+Source_Data!AH$10*IF(Source_Data!$C$10=0,0,MAX(0,Inputs!$B$19*Inputs!$B$22*$B$113-Inputs!$B$20)/Source_Data!$C$10)</f>
        <v>10.976512421875</v>
      </c>
      <c r="AI121" s="33" t="n">
        <f aca="false">Source_Data!AI$9+Source_Data!AI$10*IF(Source_Data!$C$10=0,0,MAX(0,Inputs!$B$19*Inputs!$B$22*$B$113-Inputs!$B$20)/Source_Data!$C$10)</f>
        <v>10.976512421875</v>
      </c>
      <c r="AJ121" s="33" t="n">
        <f aca="false">Source_Data!AJ$9+Source_Data!AJ$10*IF(Source_Data!$C$10=0,0,MAX(0,Inputs!$B$19*Inputs!$B$22*$B$113-Inputs!$B$20)/Source_Data!$C$10)</f>
        <v>10.976512421875</v>
      </c>
      <c r="AK121" s="33" t="n">
        <f aca="false">Source_Data!AK$9+Source_Data!AK$10*IF(Source_Data!$C$10=0,0,MAX(0,Inputs!$B$19*Inputs!$B$22*$B$113-Inputs!$B$20)/Source_Data!$C$10)</f>
        <v>10.0209837109375</v>
      </c>
      <c r="AL121" s="33" t="n">
        <f aca="false">Source_Data!AL$9+Source_Data!AL$10*IF(Source_Data!$C$10=0,0,MAX(0,Inputs!$B$19*Inputs!$B$22*$B$113-Inputs!$B$20)/Source_Data!$C$10)</f>
        <v>10.0209837109375</v>
      </c>
      <c r="AM121" s="33" t="n">
        <f aca="false">Source_Data!AM$9+Source_Data!AM$10*IF(Source_Data!$C$10=0,0,MAX(0,Inputs!$B$19*Inputs!$B$22*$B$113-Inputs!$B$20)/Source_Data!$C$10)</f>
        <v>8.19855503906249</v>
      </c>
      <c r="AN121" s="33" t="n">
        <f aca="false">Source_Data!AN$9+Source_Data!AN$10*IF(Source_Data!$C$10=0,0,MAX(0,Inputs!$B$19*Inputs!$B$22*$B$113-Inputs!$B$20)/Source_Data!$C$10)</f>
        <v>4.21144828125</v>
      </c>
      <c r="AO121" s="33" t="n">
        <f aca="false">Source_Data!AO$9+Source_Data!AO$10*IF(Source_Data!$C$10=0,0,MAX(0,Inputs!$B$19*Inputs!$B$22*$B$113-Inputs!$B$20)/Source_Data!$C$10)</f>
        <v>1.56208171875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-50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34.7670250896057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34.7670250896057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34.7670250896057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34.7670250896057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9.58333333333333</v>
      </c>
      <c r="N128" s="33" t="n">
        <f aca="false">IF(AND(Source_Data!N$6&gt;=Inputs!$B$54,Source_Data!N$6&lt;Inputs!$B$54+3*Inputs!$B$11),Inputs!$B$9*Inputs!$B$7/Inputs!$B$11,0)</f>
        <v>9.58333333333333</v>
      </c>
      <c r="O128" s="33" t="n">
        <f aca="false">IF(AND(Source_Data!O$6&gt;=Inputs!$B$54,Source_Data!O$6&lt;Inputs!$B$54+3*Inputs!$B$11),Inputs!$B$9*Inputs!$B$7/Inputs!$B$11,0)</f>
        <v>9.58333333333333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-50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9.58333333333333</v>
      </c>
      <c r="N129" s="33" t="n">
        <f aca="false">IF(Source_Data!N$6=Inputs!$B$12,-Inputs!$B$7,0)+N128</f>
        <v>9.58333333333333</v>
      </c>
      <c r="O129" s="33" t="n">
        <f aca="false">IF(Source_Data!O$6=Inputs!$B$12,-Inputs!$B$7,0)+O128</f>
        <v>9.58333333333333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-41.25</v>
      </c>
      <c r="E130" s="33" t="n">
        <f aca="false">D130+IF(Source_Data!E$6=Inputs!$B$12,Inputs!$B$7,0)+E125-E128</f>
        <v>-52.5</v>
      </c>
      <c r="F130" s="33" t="n">
        <f aca="false">E130+IF(Source_Data!F$6=Inputs!$B$12,Inputs!$B$7,0)+F125-F128</f>
        <v>-48.6107625</v>
      </c>
      <c r="G130" s="33" t="n">
        <f aca="false">F130+IF(Source_Data!G$6=Inputs!$B$12,Inputs!$B$7,0)+G125-G128</f>
        <v>-29.5822875</v>
      </c>
      <c r="H130" s="33" t="n">
        <f aca="false">G130+IF(Source_Data!H$6=Inputs!$B$12,Inputs!$B$7,0)+H125-H128</f>
        <v>-30.87028125</v>
      </c>
      <c r="I130" s="33" t="n">
        <f aca="false">H130+IF(Source_Data!I$6=Inputs!$B$12,Inputs!$B$7,0)+I125-I128</f>
        <v>-24.02074375</v>
      </c>
      <c r="J130" s="33" t="n">
        <f aca="false">I130+IF(Source_Data!J$6=Inputs!$B$12,Inputs!$B$7,0)+J125-J128</f>
        <v>-46.86643375</v>
      </c>
      <c r="K130" s="33" t="n">
        <f aca="false">J130+IF(Source_Data!K$6=Inputs!$B$12,Inputs!$B$7,0)+K125-K128</f>
        <v>-51.400264375</v>
      </c>
      <c r="L130" s="33" t="n">
        <f aca="false">K130+IF(Source_Data!L$6=Inputs!$B$12,Inputs!$B$7,0)+L125-L128</f>
        <v>-47.7386759375</v>
      </c>
      <c r="M130" s="33" t="n">
        <f aca="false">L130+IF(Source_Data!M$6=Inputs!$B$12,Inputs!$B$7,0)+M125-M128</f>
        <v>361.264568229167</v>
      </c>
      <c r="N130" s="33" t="n">
        <f aca="false">M130+IF(Source_Data!N$6=Inputs!$B$12,Inputs!$B$7,0)+N125-N128</f>
        <v>489.840774895833</v>
      </c>
      <c r="O130" s="33" t="n">
        <f aca="false">N130+IF(Source_Data!O$6=Inputs!$B$12,Inputs!$B$7,0)+O125-O128</f>
        <v>609.3732315625</v>
      </c>
      <c r="P130" s="33" t="n">
        <f aca="false">O130+IF(Source_Data!P$6=Inputs!$B$12,Inputs!$B$7,0)+P125-P128</f>
        <v>492.602608229167</v>
      </c>
      <c r="Q130" s="33" t="n">
        <f aca="false">P130+IF(Source_Data!Q$6=Inputs!$B$12,Inputs!$B$7,0)+Q125-Q128</f>
        <v>348.268443645833</v>
      </c>
      <c r="R130" s="33" t="n">
        <f aca="false">Q130+IF(Source_Data!R$6=Inputs!$B$12,Inputs!$B$7,0)+R125-R128</f>
        <v>148.2742790625</v>
      </c>
      <c r="S130" s="33" t="n">
        <f aca="false">R130+IF(Source_Data!S$6=Inputs!$B$12,Inputs!$B$7,0)+S125-S128</f>
        <v>7.06678135416662</v>
      </c>
      <c r="T130" s="33" t="n">
        <f aca="false">S130+IF(Source_Data!T$6=Inputs!$B$12,Inputs!$B$7,0)+T125-T128</f>
        <v>13.7100877083333</v>
      </c>
      <c r="U130" s="33" t="n">
        <f aca="false">T130+IF(Source_Data!U$6=Inputs!$B$12,Inputs!$B$7,0)+U125-U128</f>
        <v>18.8394703125</v>
      </c>
      <c r="V130" s="33" t="n">
        <f aca="false">U130+IF(Source_Data!V$6=Inputs!$B$12,Inputs!$B$7,0)+V125-V128</f>
        <v>17.9800816666666</v>
      </c>
      <c r="W130" s="33" t="n">
        <f aca="false">V130+IF(Source_Data!W$6=Inputs!$B$12,Inputs!$B$7,0)+W125-W128</f>
        <v>12.7796930208333</v>
      </c>
      <c r="X130" s="33" t="n">
        <f aca="false">W130+IF(Source_Data!X$6=Inputs!$B$12,Inputs!$B$7,0)+X125-X128</f>
        <v>30.079304375</v>
      </c>
      <c r="Y130" s="33" t="n">
        <f aca="false">X130+IF(Source_Data!Y$6=Inputs!$B$12,Inputs!$B$7,0)+Y125-Y128</f>
        <v>49.6820303125</v>
      </c>
      <c r="Z130" s="33" t="n">
        <f aca="false">Y130+IF(Source_Data!Z$6=Inputs!$B$12,Inputs!$B$7,0)+Z125-Z128</f>
        <v>69.28475625</v>
      </c>
      <c r="AA130" s="33" t="n">
        <f aca="false">Z130+IF(Source_Data!AA$6=Inputs!$B$12,Inputs!$B$7,0)+AA125-AA128</f>
        <v>88.8874821875</v>
      </c>
      <c r="AB130" s="33" t="n">
        <f aca="false">AA130+IF(Source_Data!AB$6=Inputs!$B$12,Inputs!$B$7,0)+AB125-AB128</f>
        <v>125.202208125</v>
      </c>
      <c r="AC130" s="33" t="n">
        <f aca="false">AB130+IF(Source_Data!AC$6=Inputs!$B$12,Inputs!$B$7,0)+AC125-AC128</f>
        <v>158.240835625</v>
      </c>
      <c r="AD130" s="33" t="n">
        <f aca="false">AC130+IF(Source_Data!AD$6=Inputs!$B$12,Inputs!$B$7,0)+AD125-AD128</f>
        <v>187.671006875</v>
      </c>
      <c r="AE130" s="33" t="n">
        <f aca="false">AD130+IF(Source_Data!AE$6=Inputs!$B$12,Inputs!$B$7,0)+AE125-AE128</f>
        <v>212.760178125</v>
      </c>
      <c r="AF130" s="33" t="n">
        <f aca="false">AE130+IF(Source_Data!AF$6=Inputs!$B$12,Inputs!$B$7,0)+AF125-AF128</f>
        <v>130.091139023437</v>
      </c>
      <c r="AG130" s="33" t="n">
        <f aca="false">AF130+IF(Source_Data!AG$6=Inputs!$B$12,Inputs!$B$7,0)+AG125-AG128</f>
        <v>144.203797851562</v>
      </c>
      <c r="AH130" s="33" t="n">
        <f aca="false">AG130+IF(Source_Data!AH$6=Inputs!$B$12,Inputs!$B$7,0)+AH125-AH128</f>
        <v>158.316456679687</v>
      </c>
      <c r="AI130" s="33" t="n">
        <f aca="false">AH130+IF(Source_Data!AI$6=Inputs!$B$12,Inputs!$B$7,0)+AI125-AI128</f>
        <v>172.429115507812</v>
      </c>
      <c r="AJ130" s="33" t="n">
        <f aca="false">AI130+IF(Source_Data!AJ$6=Inputs!$B$12,Inputs!$B$7,0)+AJ125-AJ128</f>
        <v>186.541774335937</v>
      </c>
      <c r="AK130" s="33" t="n">
        <f aca="false">AJ130+IF(Source_Data!AK$6=Inputs!$B$12,Inputs!$B$7,0)+AK125-AK128</f>
        <v>199.42589625</v>
      </c>
      <c r="AL130" s="33" t="n">
        <f aca="false">AK130+IF(Source_Data!AL$6=Inputs!$B$12,Inputs!$B$7,0)+AL125-AL128</f>
        <v>212.310018164062</v>
      </c>
      <c r="AM130" s="33" t="n">
        <f aca="false">AL130+IF(Source_Data!AM$6=Inputs!$B$12,Inputs!$B$7,0)+AM125-AM128</f>
        <v>222.8510175</v>
      </c>
      <c r="AN130" s="33" t="n">
        <f aca="false">AM130+IF(Source_Data!AN$6=Inputs!$B$12,Inputs!$B$7,0)+AN125-AN128</f>
        <v>228.26573671875</v>
      </c>
      <c r="AO130" s="33" t="n">
        <f aca="false">AN130+IF(Source_Data!AO$6=Inputs!$B$12,Inputs!$B$7,0)+AO125-AO128</f>
        <v>230.2741275</v>
      </c>
      <c r="AP130" s="33" t="n">
        <f aca="false">AO130+IF(Source_Data!AP$6=Inputs!$B$12,Inputs!$B$7,0)+AP125-AP128</f>
        <v>230.2741275</v>
      </c>
      <c r="AQ130" s="33" t="n">
        <f aca="false">AP130+IF(Source_Data!AQ$6=Inputs!$B$12,Inputs!$B$7,0)+AQ125-AQ128</f>
        <v>230.2741275</v>
      </c>
      <c r="AR130" s="33" t="n">
        <f aca="false">AQ130+IF(Source_Data!AR$6=Inputs!$B$12,Inputs!$B$7,0)+AR125-AR128</f>
        <v>230.2741275</v>
      </c>
      <c r="AS130" s="33" t="n">
        <f aca="false">AR130+IF(Source_Data!AS$6=Inputs!$B$12,Inputs!$B$7,0)+AS125-AS128</f>
        <v>230.2741275</v>
      </c>
      <c r="AT130" s="33" t="n">
        <f aca="false">AS130+IF(Source_Data!AT$6=Inputs!$B$12,Inputs!$B$7,0)+AT125-AT128</f>
        <v>230.2741275</v>
      </c>
      <c r="AU130" s="33" t="n">
        <f aca="false">AT130+IF(Source_Data!AU$6=Inputs!$B$12,Inputs!$B$7,0)+AU125-AU128</f>
        <v>230.2741275</v>
      </c>
      <c r="AV130" s="33" t="n">
        <f aca="false">AU130+IF(Source_Data!AV$6=Inputs!$B$12,Inputs!$B$7,0)+AV125-AV128</f>
        <v>230.2741275</v>
      </c>
      <c r="AW130" s="33" t="n">
        <f aca="false">AV130+IF(Source_Data!AW$6=Inputs!$B$12,Inputs!$B$7,0)+AW125-AW128</f>
        <v>230.2741275</v>
      </c>
      <c r="AX130" s="33" t="n">
        <f aca="false">AW130+IF(Source_Data!AX$6=Inputs!$B$12,Inputs!$B$7,0)+AX125-AX128</f>
        <v>230.2741275</v>
      </c>
      <c r="AY130" s="33" t="n">
        <f aca="false">AX130+IF(Source_Data!AY$6=Inputs!$B$12,Inputs!$B$7,0)+AY125-AY128</f>
        <v>230.2741275</v>
      </c>
      <c r="AZ130" s="33" t="n">
        <f aca="false">AY130+IF(Source_Data!AZ$6=Inputs!$B$12,Inputs!$B$7,0)+AZ125-AZ128</f>
        <v>230.2741275</v>
      </c>
      <c r="BA130" s="33" t="n">
        <f aca="false">AZ130+IF(Source_Data!BA$6=Inputs!$B$12,Inputs!$B$7,0)+BA125-BA128</f>
        <v>230.2741275</v>
      </c>
      <c r="BB130" s="33" t="n">
        <f aca="false">BA130+IF(Source_Data!BB$6=Inputs!$B$12,Inputs!$B$7,0)+BB125-BB128</f>
        <v>230.2741275</v>
      </c>
      <c r="BC130" s="33" t="n">
        <f aca="false">BB130+IF(Source_Data!BC$6=Inputs!$B$12,Inputs!$B$7,0)+BC125-BC128</f>
        <v>230.2741275</v>
      </c>
      <c r="BD130" s="33" t="n">
        <f aca="false">BC130+IF(Source_Data!BD$6=Inputs!$B$12,Inputs!$B$7,0)+BD125-BD128</f>
        <v>230.2741275</v>
      </c>
      <c r="BE130" s="33" t="n">
        <f aca="false">BD130+IF(Source_Data!BE$6=Inputs!$B$12,Inputs!$B$7,0)+BE125-BE128</f>
        <v>230.2741275</v>
      </c>
      <c r="BF130" s="33" t="n">
        <f aca="false">BE130+IF(Source_Data!BF$6=Inputs!$B$12,Inputs!$B$7,0)+BF125-BF128</f>
        <v>230.2741275</v>
      </c>
      <c r="BG130" s="33" t="n">
        <f aca="false">BF130+IF(Source_Data!BG$6=Inputs!$B$12,Inputs!$B$7,0)+BG125-BG128</f>
        <v>230.2741275</v>
      </c>
      <c r="BH130" s="33" t="n">
        <f aca="false">BG130+IF(Source_Data!BH$6=Inputs!$B$12,Inputs!$B$7,0)+BH125-BH128</f>
        <v>230.2741275</v>
      </c>
      <c r="BI130" s="33" t="n">
        <f aca="false">BH130+IF(Source_Data!BI$6=Inputs!$B$12,Inputs!$B$7,0)+BI125-BI128</f>
        <v>230.2741275</v>
      </c>
      <c r="BJ130" s="33" t="n">
        <f aca="false">BI130+IF(Source_Data!BJ$6=Inputs!$B$12,Inputs!$B$7,0)+BJ125-BJ128</f>
        <v>230.2741275</v>
      </c>
      <c r="BK130" s="33" t="n">
        <f aca="false">BJ130+IF(Source_Data!BK$6=Inputs!$B$12,Inputs!$B$7,0)+BK125-BK128</f>
        <v>230.2741275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43.6785993913044</v>
      </c>
      <c r="N131" s="31" t="n">
        <f aca="false">IF(N128&gt;0,N125/N128,"")</f>
        <v>14.4166476521739</v>
      </c>
      <c r="O131" s="31" t="n">
        <f aca="false">IF(O128&gt;0,O125/O128,"")</f>
        <v>13.472952</v>
      </c>
      <c r="P131" s="31" t="n">
        <f aca="false">IF(P128&gt;0,P125/P128,"")</f>
        <v>-11.1847606956522</v>
      </c>
      <c r="Q131" s="31" t="n">
        <f aca="false">IF(Q128&gt;0,Q125/Q128,"")</f>
        <v>-14.0609563043478</v>
      </c>
      <c r="R131" s="31" t="n">
        <f aca="false">IF(R128&gt;0,R125/R128,"")</f>
        <v>-19.8689563043478</v>
      </c>
      <c r="S131" s="31" t="n">
        <f aca="false">IF(S128&gt;0,S125/S128,"")</f>
        <v>-13.7346954130435</v>
      </c>
      <c r="T131" s="31" t="n">
        <f aca="false">IF(T128&gt;0,T125/T128,"")</f>
        <v>1.69321457608696</v>
      </c>
      <c r="U131" s="31" t="n">
        <f aca="false">IF(U128&gt;0,U125/U128,"")</f>
        <v>1.53523992391304</v>
      </c>
      <c r="V131" s="31" t="n">
        <f aca="false">IF(V128&gt;0,V125/V128,"")</f>
        <v>0.910324663043479</v>
      </c>
      <c r="W131" s="31" t="n">
        <f aca="false">IF(W128&gt;0,W125/W128,"")</f>
        <v>0.45735075</v>
      </c>
      <c r="X131" s="31" t="n">
        <f aca="false">IF(X128&gt;0,X125/X128,"")</f>
        <v>2.80517683695652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38.6971723369565</v>
      </c>
      <c r="N132" s="31" t="n">
        <f aca="false">IF(N128&gt;0,(M130+N125+IF(Source_Data!N$6=Inputs!$B$12,Inputs!$B$7,0))/N128,"")</f>
        <v>52.1138199891304</v>
      </c>
      <c r="O132" s="31" t="n">
        <f aca="false">IF(O128&gt;0,(N130+O125+IF(Source_Data!O$6=Inputs!$B$12,Inputs!$B$7,0))/O128,"")</f>
        <v>64.5867719891304</v>
      </c>
      <c r="P132" s="31" t="n">
        <f aca="false">IF(P128&gt;0,(O130+P125+IF(Source_Data!P$6=Inputs!$B$12,Inputs!$B$7,0))/P128,"")</f>
        <v>52.4020112934783</v>
      </c>
      <c r="Q132" s="31" t="n">
        <f aca="false">IF(Q128&gt;0,(P130+Q125+IF(Source_Data!Q$6=Inputs!$B$12,Inputs!$B$7,0))/Q128,"")</f>
        <v>37.3410549891304</v>
      </c>
      <c r="R132" s="31" t="n">
        <f aca="false">IF(R128&gt;0,(Q130+R125+IF(Source_Data!R$6=Inputs!$B$12,Inputs!$B$7,0))/R128,"")</f>
        <v>16.4720986847826</v>
      </c>
      <c r="S132" s="31" t="n">
        <f aca="false">IF(S128&gt;0,(R130+S125+IF(Source_Data!S$6=Inputs!$B$12,Inputs!$B$7,0))/S128,"")</f>
        <v>1.73740327173913</v>
      </c>
      <c r="T132" s="31" t="n">
        <f aca="false">IF(T128&gt;0,(S130+T125+IF(Source_Data!T$6=Inputs!$B$12,Inputs!$B$7,0))/T128,"")</f>
        <v>2.43061784782608</v>
      </c>
      <c r="U132" s="31" t="n">
        <f aca="false">IF(U128&gt;0,(T130+U125+IF(Source_Data!U$6=Inputs!$B$12,Inputs!$B$7,0))/U128,"")</f>
        <v>2.96585777173913</v>
      </c>
      <c r="V132" s="31" t="n">
        <f aca="false">IF(V128&gt;0,(U130+V125+IF(Source_Data!V$6=Inputs!$B$12,Inputs!$B$7,0))/V128,"")</f>
        <v>2.8761824347826</v>
      </c>
      <c r="W132" s="31" t="n">
        <f aca="false">IF(W128&gt;0,(V130+W125+IF(Source_Data!W$6=Inputs!$B$12,Inputs!$B$7,0))/W128,"")</f>
        <v>2.3335331847826</v>
      </c>
      <c r="X132" s="31" t="n">
        <f aca="false">IF(X128&gt;0,(W130+X125+IF(Source_Data!X$6=Inputs!$B$12,Inputs!$B$7,0))/X128,"")</f>
        <v>4.13871002173913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162.345681036619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-52.5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-19.8689563043478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6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1.73740327173913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51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-50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34.7670250896057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34.7670250896057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34.7670250896057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34.7670250896057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0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0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9.58333333333333</v>
      </c>
      <c r="N164" s="33" t="n">
        <f aca="false">IF(AND(Source_Data!N$6&gt;=Inputs!$B$54,Source_Data!N$6&lt;Inputs!$B$54+3*Inputs!$B$11),Inputs!$B$9*Inputs!$B$7/Inputs!$B$11,0)</f>
        <v>9.58333333333333</v>
      </c>
      <c r="O164" s="33" t="n">
        <f aca="false">IF(AND(Source_Data!O$6&gt;=Inputs!$B$54,Source_Data!O$6&lt;Inputs!$B$54+3*Inputs!$B$11),Inputs!$B$9*Inputs!$B$7/Inputs!$B$11,0)</f>
        <v>9.58333333333333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-50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9.58333333333333</v>
      </c>
      <c r="N165" s="33" t="n">
        <f aca="false">IF(Source_Data!N$6=Inputs!$B$12,-Inputs!$B$7,0)+N164</f>
        <v>9.58333333333333</v>
      </c>
      <c r="O165" s="33" t="n">
        <f aca="false">IF(Source_Data!O$6=Inputs!$B$12,-Inputs!$B$7,0)+O164</f>
        <v>9.58333333333333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-41.25</v>
      </c>
      <c r="E166" s="33" t="n">
        <f aca="false">D166+IF(Source_Data!E$6=Inputs!$B$12,Inputs!$B$7,0)+E161-E164</f>
        <v>-52.5</v>
      </c>
      <c r="F166" s="33" t="n">
        <f aca="false">E166+IF(Source_Data!F$6=Inputs!$B$12,Inputs!$B$7,0)+F161-F164</f>
        <v>-63.75</v>
      </c>
      <c r="G166" s="33" t="n">
        <f aca="false">F166+IF(Source_Data!G$6=Inputs!$B$12,Inputs!$B$7,0)+G161-G164</f>
        <v>-75</v>
      </c>
      <c r="H166" s="33" t="n">
        <f aca="false">G166+IF(Source_Data!H$6=Inputs!$B$12,Inputs!$B$7,0)+H161-H164</f>
        <v>-105.3607625</v>
      </c>
      <c r="I166" s="33" t="n">
        <f aca="false">H166+IF(Source_Data!I$6=Inputs!$B$12,Inputs!$B$7,0)+I161-I164</f>
        <v>-127.9422875</v>
      </c>
      <c r="J166" s="33" t="n">
        <f aca="false">I166+IF(Source_Data!J$6=Inputs!$B$12,Inputs!$B$7,0)+J161-J164</f>
        <v>-162.04167125</v>
      </c>
      <c r="K166" s="33" t="n">
        <f aca="false">J166+IF(Source_Data!K$6=Inputs!$B$12,Inputs!$B$7,0)+K161-K164</f>
        <v>-164.26752375</v>
      </c>
      <c r="L166" s="33" t="n">
        <f aca="false">K166+IF(Source_Data!L$6=Inputs!$B$12,Inputs!$B$7,0)+L161-L164</f>
        <v>-175.53308375</v>
      </c>
      <c r="M166" s="33" t="n">
        <f aca="false">L166+IF(Source_Data!M$6=Inputs!$B$12,Inputs!$B$7,0)+M161-M164</f>
        <v>-195.274117708333</v>
      </c>
      <c r="N166" s="33" t="n">
        <f aca="false">M166+IF(Source_Data!N$6=Inputs!$B$12,Inputs!$B$7,0)+N161-N164</f>
        <v>-171.339612604167</v>
      </c>
      <c r="O166" s="33" t="n">
        <f aca="false">N166+IF(Source_Data!O$6=Inputs!$B$12,Inputs!$B$7,0)+O161-O164</f>
        <v>267.5198815625</v>
      </c>
      <c r="P166" s="33" t="n">
        <f aca="false">O166+IF(Source_Data!P$6=Inputs!$B$12,Inputs!$B$7,0)+P161-P164</f>
        <v>252.816258229167</v>
      </c>
      <c r="Q166" s="33" t="n">
        <f aca="false">P166+IF(Source_Data!Q$6=Inputs!$B$12,Inputs!$B$7,0)+Q161-Q164</f>
        <v>227.506124895833</v>
      </c>
      <c r="R166" s="33" t="n">
        <f aca="false">Q166+IF(Source_Data!R$6=Inputs!$B$12,Inputs!$B$7,0)+R161-R164</f>
        <v>72.3727415625001</v>
      </c>
      <c r="S166" s="33" t="n">
        <f aca="false">R166+IF(Source_Data!S$6=Inputs!$B$12,Inputs!$B$7,0)+S161-S164</f>
        <v>-52.1068230208333</v>
      </c>
      <c r="T166" s="33" t="n">
        <f aca="false">S166+IF(Source_Data!T$6=Inputs!$B$12,Inputs!$B$7,0)+T161-T164</f>
        <v>-35.3801876041666</v>
      </c>
      <c r="U166" s="33" t="n">
        <f aca="false">T166+IF(Source_Data!U$6=Inputs!$B$12,Inputs!$B$7,0)+U161-U164</f>
        <v>-21.9264853125</v>
      </c>
      <c r="V166" s="33" t="n">
        <f aca="false">U166+IF(Source_Data!V$6=Inputs!$B$12,Inputs!$B$7,0)+V161-V164</f>
        <v>-15.2831789583333</v>
      </c>
      <c r="W166" s="33" t="n">
        <f aca="false">V166+IF(Source_Data!W$6=Inputs!$B$12,Inputs!$B$7,0)+W161-W164</f>
        <v>-10.1537963541666</v>
      </c>
      <c r="X166" s="33" t="n">
        <f aca="false">W166+IF(Source_Data!X$6=Inputs!$B$12,Inputs!$B$7,0)+X161-X164</f>
        <v>11.4868150000001</v>
      </c>
      <c r="Y166" s="33" t="n">
        <f aca="false">X166+IF(Source_Data!Y$6=Inputs!$B$12,Inputs!$B$7,0)+Y161-Y164</f>
        <v>38.3697596875001</v>
      </c>
      <c r="Z166" s="33" t="n">
        <f aca="false">Y166+IF(Source_Data!Z$6=Inputs!$B$12,Inputs!$B$7,0)+Z161-Z164</f>
        <v>65.2527043750001</v>
      </c>
      <c r="AA166" s="33" t="n">
        <f aca="false">Z166+IF(Source_Data!AA$6=Inputs!$B$12,Inputs!$B$7,0)+AA161-AA164</f>
        <v>84.8554303125001</v>
      </c>
      <c r="AB166" s="33" t="n">
        <f aca="false">AA166+IF(Source_Data!AB$6=Inputs!$B$12,Inputs!$B$7,0)+AB161-AB164</f>
        <v>126.95815625</v>
      </c>
      <c r="AC166" s="33" t="n">
        <f aca="false">AB166+IF(Source_Data!AC$6=Inputs!$B$12,Inputs!$B$7,0)+AC161-AC164</f>
        <v>169.0608821875</v>
      </c>
      <c r="AD166" s="33" t="n">
        <f aca="false">AC166+IF(Source_Data!AD$6=Inputs!$B$12,Inputs!$B$7,0)+AD161-AD164</f>
        <v>205.375608125</v>
      </c>
      <c r="AE166" s="33" t="n">
        <f aca="false">AD166+IF(Source_Data!AE$6=Inputs!$B$12,Inputs!$B$7,0)+AE161-AE164</f>
        <v>238.414235625</v>
      </c>
      <c r="AF166" s="33" t="n">
        <f aca="false">AE166+IF(Source_Data!AF$6=Inputs!$B$12,Inputs!$B$7,0)+AF161-AF164</f>
        <v>160.086196523438</v>
      </c>
      <c r="AG166" s="33" t="n">
        <f aca="false">AF166+IF(Source_Data!AG$6=Inputs!$B$12,Inputs!$B$7,0)+AG161-AG164</f>
        <v>174.198855351563</v>
      </c>
      <c r="AH166" s="33" t="n">
        <f aca="false">AG166+IF(Source_Data!AH$6=Inputs!$B$12,Inputs!$B$7,0)+AH161-AH164</f>
        <v>188.311514179688</v>
      </c>
      <c r="AI166" s="33" t="n">
        <f aca="false">AH166+IF(Source_Data!AI$6=Inputs!$B$12,Inputs!$B$7,0)+AI161-AI164</f>
        <v>202.424173007813</v>
      </c>
      <c r="AJ166" s="33" t="n">
        <f aca="false">AI166+IF(Source_Data!AJ$6=Inputs!$B$12,Inputs!$B$7,0)+AJ161-AJ164</f>
        <v>216.536831835938</v>
      </c>
      <c r="AK166" s="33" t="n">
        <f aca="false">AJ166+IF(Source_Data!AK$6=Inputs!$B$12,Inputs!$B$7,0)+AK161-AK164</f>
        <v>231.605019375</v>
      </c>
      <c r="AL166" s="33" t="n">
        <f aca="false">AK166+IF(Source_Data!AL$6=Inputs!$B$12,Inputs!$B$7,0)+AL161-AL164</f>
        <v>246.673206914063</v>
      </c>
      <c r="AM166" s="33" t="n">
        <f aca="false">AL166+IF(Source_Data!AM$6=Inputs!$B$12,Inputs!$B$7,0)+AM161-AM164</f>
        <v>261.3797575</v>
      </c>
      <c r="AN166" s="33" t="n">
        <f aca="false">AM166+IF(Source_Data!AN$6=Inputs!$B$12,Inputs!$B$7,0)+AN161-AN164</f>
        <v>280.07341484375</v>
      </c>
      <c r="AO166" s="33" t="n">
        <f aca="false">AN166+IF(Source_Data!AO$6=Inputs!$B$12,Inputs!$B$7,0)+AO161-AO164</f>
        <v>297.2508875</v>
      </c>
      <c r="AP166" s="33" t="n">
        <f aca="false">AO166+IF(Source_Data!AP$6=Inputs!$B$12,Inputs!$B$7,0)+AP161-AP164</f>
        <v>306.877055</v>
      </c>
      <c r="AQ166" s="33" t="n">
        <f aca="false">AP166+IF(Source_Data!AQ$6=Inputs!$B$12,Inputs!$B$7,0)+AQ161-AQ164</f>
        <v>310.4475275</v>
      </c>
      <c r="AR166" s="33" t="n">
        <f aca="false">AQ166+IF(Source_Data!AR$6=Inputs!$B$12,Inputs!$B$7,0)+AR161-AR164</f>
        <v>310.4475275</v>
      </c>
      <c r="AS166" s="33" t="n">
        <f aca="false">AR166+IF(Source_Data!AS$6=Inputs!$B$12,Inputs!$B$7,0)+AS161-AS164</f>
        <v>310.4475275</v>
      </c>
      <c r="AT166" s="33" t="n">
        <f aca="false">AS166+IF(Source_Data!AT$6=Inputs!$B$12,Inputs!$B$7,0)+AT161-AT164</f>
        <v>310.4475275</v>
      </c>
      <c r="AU166" s="33" t="n">
        <f aca="false">AT166+IF(Source_Data!AU$6=Inputs!$B$12,Inputs!$B$7,0)+AU161-AU164</f>
        <v>310.4475275</v>
      </c>
      <c r="AV166" s="33" t="n">
        <f aca="false">AU166+IF(Source_Data!AV$6=Inputs!$B$12,Inputs!$B$7,0)+AV161-AV164</f>
        <v>310.4475275</v>
      </c>
      <c r="AW166" s="33" t="n">
        <f aca="false">AV166+IF(Source_Data!AW$6=Inputs!$B$12,Inputs!$B$7,0)+AW161-AW164</f>
        <v>310.4475275</v>
      </c>
      <c r="AX166" s="33" t="n">
        <f aca="false">AW166+IF(Source_Data!AX$6=Inputs!$B$12,Inputs!$B$7,0)+AX161-AX164</f>
        <v>310.4475275</v>
      </c>
      <c r="AY166" s="33" t="n">
        <f aca="false">AX166+IF(Source_Data!AY$6=Inputs!$B$12,Inputs!$B$7,0)+AY161-AY164</f>
        <v>310.4475275</v>
      </c>
      <c r="AZ166" s="33" t="n">
        <f aca="false">AY166+IF(Source_Data!AZ$6=Inputs!$B$12,Inputs!$B$7,0)+AZ161-AZ164</f>
        <v>310.4475275</v>
      </c>
      <c r="BA166" s="33" t="n">
        <f aca="false">AZ166+IF(Source_Data!BA$6=Inputs!$B$12,Inputs!$B$7,0)+BA161-BA164</f>
        <v>310.4475275</v>
      </c>
      <c r="BB166" s="33" t="n">
        <f aca="false">BA166+IF(Source_Data!BB$6=Inputs!$B$12,Inputs!$B$7,0)+BB161-BB164</f>
        <v>310.4475275</v>
      </c>
      <c r="BC166" s="33" t="n">
        <f aca="false">BB166+IF(Source_Data!BC$6=Inputs!$B$12,Inputs!$B$7,0)+BC161-BC164</f>
        <v>310.4475275</v>
      </c>
      <c r="BD166" s="33" t="n">
        <f aca="false">BC166+IF(Source_Data!BD$6=Inputs!$B$12,Inputs!$B$7,0)+BD161-BD164</f>
        <v>310.4475275</v>
      </c>
      <c r="BE166" s="33" t="n">
        <f aca="false">BD166+IF(Source_Data!BE$6=Inputs!$B$12,Inputs!$B$7,0)+BE161-BE164</f>
        <v>310.4475275</v>
      </c>
      <c r="BF166" s="33" t="n">
        <f aca="false">BE166+IF(Source_Data!BF$6=Inputs!$B$12,Inputs!$B$7,0)+BF161-BF164</f>
        <v>310.4475275</v>
      </c>
      <c r="BG166" s="33" t="n">
        <f aca="false">BF166+IF(Source_Data!BG$6=Inputs!$B$12,Inputs!$B$7,0)+BG161-BG164</f>
        <v>310.4475275</v>
      </c>
      <c r="BH166" s="33" t="n">
        <f aca="false">BG166+IF(Source_Data!BH$6=Inputs!$B$12,Inputs!$B$7,0)+BH161-BH164</f>
        <v>310.4475275</v>
      </c>
      <c r="BI166" s="33" t="n">
        <f aca="false">BH166+IF(Source_Data!BI$6=Inputs!$B$12,Inputs!$B$7,0)+BI161-BI164</f>
        <v>310.4475275</v>
      </c>
      <c r="BJ166" s="33" t="n">
        <f aca="false">BI166+IF(Source_Data!BJ$6=Inputs!$B$12,Inputs!$B$7,0)+BJ161-BJ164</f>
        <v>310.4475275</v>
      </c>
      <c r="BK166" s="33" t="n">
        <f aca="false">BJ166+IF(Source_Data!BK$6=Inputs!$B$12,Inputs!$B$7,0)+BK161-BK164</f>
        <v>310.4475275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-1.05993397826087</v>
      </c>
      <c r="N167" s="31" t="n">
        <f aca="false">IF(N164&gt;0,N161/N164,"")</f>
        <v>3.49751357608696</v>
      </c>
      <c r="O167" s="31" t="n">
        <f aca="false">IF(O164&gt;0,O161/O164,"")</f>
        <v>46.7940341739131</v>
      </c>
      <c r="P167" s="31" t="n">
        <f aca="false">IF(P164&gt;0,P161/P164,"")</f>
        <v>-0.534291130434782</v>
      </c>
      <c r="Q167" s="31" t="n">
        <f aca="false">IF(Q164&gt;0,Q161/Q164,"")</f>
        <v>-1.64105739130435</v>
      </c>
      <c r="R167" s="31" t="n">
        <f aca="false">IF(R164&gt;0,R161/R164,"")</f>
        <v>-15.1878313043478</v>
      </c>
      <c r="S167" s="31" t="n">
        <f aca="false">IF(S164&gt;0,S161/S164,"")</f>
        <v>-11.9891719565217</v>
      </c>
      <c r="T167" s="31" t="n">
        <f aca="false">IF(T164&gt;0,T161/T164,"")</f>
        <v>2.74538804347826</v>
      </c>
      <c r="U167" s="31" t="n">
        <f aca="false">IF(U164&gt;0,U161/U164,"")</f>
        <v>2.40386458695652</v>
      </c>
      <c r="V167" s="31" t="n">
        <f aca="false">IF(V164&gt;0,V161/V164,"")</f>
        <v>1.69321457608696</v>
      </c>
      <c r="W167" s="31" t="n">
        <f aca="false">IF(W164&gt;0,W161/W164,"")</f>
        <v>1.53523992391304</v>
      </c>
      <c r="X167" s="31" t="n">
        <f aca="false">IF(X164&gt;0,X161/X164,"")</f>
        <v>3.25815075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-19.376429673913</v>
      </c>
      <c r="N168" s="31" t="n">
        <f aca="false">IF(N164&gt;0,(M166+N161+IF(Source_Data!N$6=Inputs!$B$12,Inputs!$B$7,0))/N164,"")</f>
        <v>-16.8789160978261</v>
      </c>
      <c r="O168" s="31" t="n">
        <f aca="false">IF(O164&gt;0,(N166+O161+IF(Source_Data!O$6=Inputs!$B$12,Inputs!$B$7,0))/O164,"")</f>
        <v>28.915118076087</v>
      </c>
      <c r="P168" s="31" t="n">
        <f aca="false">IF(P164&gt;0,(O166+P161+IF(Source_Data!P$6=Inputs!$B$12,Inputs!$B$7,0))/P164,"")</f>
        <v>27.3808269456522</v>
      </c>
      <c r="Q168" s="31" t="n">
        <f aca="false">IF(Q164&gt;0,(P166+Q161+IF(Source_Data!Q$6=Inputs!$B$12,Inputs!$B$7,0))/Q164,"")</f>
        <v>24.7397695543478</v>
      </c>
      <c r="R168" s="31" t="n">
        <f aca="false">IF(R164&gt;0,(Q166+R161+IF(Source_Data!R$6=Inputs!$B$12,Inputs!$B$7,0))/R164,"")</f>
        <v>8.55193825000001</v>
      </c>
      <c r="S168" s="31" t="n">
        <f aca="false">IF(S164&gt;0,(R166+S161+IF(Source_Data!S$6=Inputs!$B$12,Inputs!$B$7,0))/S164,"")</f>
        <v>-4.43723370652173</v>
      </c>
      <c r="T168" s="31" t="n">
        <f aca="false">IF(T164&gt;0,(S166+T161+IF(Source_Data!T$6=Inputs!$B$12,Inputs!$B$7,0))/T164,"")</f>
        <v>-2.69184566304347</v>
      </c>
      <c r="U168" s="31" t="n">
        <f aca="false">IF(U164&gt;0,(T166+U161+IF(Source_Data!U$6=Inputs!$B$12,Inputs!$B$7,0))/U164,"")</f>
        <v>-1.28798107608695</v>
      </c>
      <c r="V168" s="31" t="n">
        <f aca="false">IF(V164&gt;0,(U166+V161+IF(Source_Data!V$6=Inputs!$B$12,Inputs!$B$7,0))/V164,"")</f>
        <v>-0.594766499999995</v>
      </c>
      <c r="W168" s="31" t="n">
        <f aca="false">IF(W164&gt;0,(V166+W161+IF(Source_Data!W$6=Inputs!$B$12,Inputs!$B$7,0))/W164,"")</f>
        <v>-0.0595265760869517</v>
      </c>
      <c r="X168" s="31" t="n">
        <f aca="false">IF(X164&gt;0,(W166+X161+IF(Source_Data!X$6=Inputs!$B$12,Inputs!$B$7,0))/X164,"")</f>
        <v>2.19862417391305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125.464219288503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-195.274117708333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-15.1878313043478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5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-19.376429673913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7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51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103.0444875</v>
      </c>
      <c r="N191" s="33" t="n">
        <f aca="false">Source_Data!N$7+IF($B$189=1,IF(Source_Data!N$6=Inputs!$B$13,Source_Data!$C$8,0),Source_Data!N$8)</f>
        <v>127.69775</v>
      </c>
      <c r="O191" s="33" t="n">
        <f aca="false">Source_Data!O$7+IF($B$189=1,IF(Source_Data!O$6=Inputs!$B$13,Source_Data!$C$8,0),Source_Data!O$8)</f>
        <v>134.93275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559.727635625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-50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34.7670250896057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34.7670250896057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34.7670250896057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34.7670250896057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9.58333333333333</v>
      </c>
      <c r="N200" s="33" t="n">
        <f aca="false">IF(AND(Source_Data!N$6&gt;=Inputs!$B$54,Source_Data!N$6&lt;Inputs!$B$54+3*Inputs!$B$11),Inputs!$B$9*Inputs!$B$7/Inputs!$B$11,0)</f>
        <v>9.58333333333333</v>
      </c>
      <c r="O200" s="33" t="n">
        <f aca="false">IF(AND(Source_Data!O$6&gt;=Inputs!$B$54,Source_Data!O$6&lt;Inputs!$B$54+3*Inputs!$B$11),Inputs!$B$9*Inputs!$B$7/Inputs!$B$11,0)</f>
        <v>9.58333333333333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-50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9.58333333333333</v>
      </c>
      <c r="N201" s="33" t="n">
        <f aca="false">IF(Source_Data!N$6=Inputs!$B$12,-Inputs!$B$7,0)+N200</f>
        <v>9.58333333333333</v>
      </c>
      <c r="O201" s="33" t="n">
        <f aca="false">IF(Source_Data!O$6=Inputs!$B$12,-Inputs!$B$7,0)+O200</f>
        <v>9.58333333333333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-41.25</v>
      </c>
      <c r="E202" s="33" t="n">
        <f aca="false">D202+IF(Source_Data!E$6=Inputs!$B$12,Inputs!$B$7,0)+E197-E200</f>
        <v>-52.5</v>
      </c>
      <c r="F202" s="33" t="n">
        <f aca="false">E202+IF(Source_Data!F$6=Inputs!$B$12,Inputs!$B$7,0)+F197-F200</f>
        <v>-48.6107625</v>
      </c>
      <c r="G202" s="33" t="n">
        <f aca="false">F202+IF(Source_Data!G$6=Inputs!$B$12,Inputs!$B$7,0)+G197-G200</f>
        <v>-29.5822875</v>
      </c>
      <c r="H202" s="33" t="n">
        <f aca="false">G202+IF(Source_Data!H$6=Inputs!$B$12,Inputs!$B$7,0)+H197-H200</f>
        <v>-28.57028125</v>
      </c>
      <c r="I202" s="33" t="n">
        <f aca="false">H202+IF(Source_Data!I$6=Inputs!$B$12,Inputs!$B$7,0)+I197-I200</f>
        <v>-18.68474375</v>
      </c>
      <c r="J202" s="33" t="n">
        <f aca="false">I202+IF(Source_Data!J$6=Inputs!$B$12,Inputs!$B$7,0)+J197-J200</f>
        <v>-36.93043375</v>
      </c>
      <c r="K202" s="33" t="n">
        <f aca="false">J202+IF(Source_Data!K$6=Inputs!$B$12,Inputs!$B$7,0)+K197-K200</f>
        <v>-38.428264375</v>
      </c>
      <c r="L202" s="33" t="n">
        <f aca="false">K202+IF(Source_Data!L$6=Inputs!$B$12,Inputs!$B$7,0)+L197-L200</f>
        <v>-31.7306759375</v>
      </c>
      <c r="M202" s="33" t="n">
        <f aca="false">L202+IF(Source_Data!M$6=Inputs!$B$12,Inputs!$B$7,0)+M197-M200</f>
        <v>-11.9007817708333</v>
      </c>
      <c r="N202" s="33" t="n">
        <f aca="false">M202+IF(Source_Data!N$6=Inputs!$B$12,Inputs!$B$7,0)+N197-N200</f>
        <v>59.4026248958334</v>
      </c>
      <c r="O202" s="33" t="n">
        <f aca="false">N202+IF(Source_Data!O$6=Inputs!$B$12,Inputs!$B$7,0)+O197-O200</f>
        <v>137.9410315625</v>
      </c>
      <c r="P202" s="33" t="n">
        <f aca="false">O202+IF(Source_Data!P$6=Inputs!$B$12,Inputs!$B$7,0)+P197-P200</f>
        <v>34.9704082291667</v>
      </c>
      <c r="Q202" s="33" t="n">
        <f aca="false">P202+IF(Source_Data!Q$6=Inputs!$B$12,Inputs!$B$7,0)+Q197-Q200</f>
        <v>-95.5637563541667</v>
      </c>
      <c r="R202" s="33" t="n">
        <f aca="false">Q202+IF(Source_Data!R$6=Inputs!$B$12,Inputs!$B$7,0)+R197-R200</f>
        <v>-276.6979209375</v>
      </c>
      <c r="S202" s="33" t="n">
        <f aca="false">R202+IF(Source_Data!S$6=Inputs!$B$12,Inputs!$B$7,0)+S197-S200</f>
        <v>87.2401813541666</v>
      </c>
      <c r="T202" s="33" t="n">
        <f aca="false">S202+IF(Source_Data!T$6=Inputs!$B$12,Inputs!$B$7,0)+T197-T200</f>
        <v>93.8834877083333</v>
      </c>
      <c r="U202" s="33" t="n">
        <f aca="false">T202+IF(Source_Data!U$6=Inputs!$B$12,Inputs!$B$7,0)+U197-U200</f>
        <v>99.0128703124999</v>
      </c>
      <c r="V202" s="33" t="n">
        <f aca="false">U202+IF(Source_Data!V$6=Inputs!$B$12,Inputs!$B$7,0)+V197-V200</f>
        <v>98.1534816666666</v>
      </c>
      <c r="W202" s="33" t="n">
        <f aca="false">V202+IF(Source_Data!W$6=Inputs!$B$12,Inputs!$B$7,0)+W197-W200</f>
        <v>92.9530930208333</v>
      </c>
      <c r="X202" s="33" t="n">
        <f aca="false">W202+IF(Source_Data!X$6=Inputs!$B$12,Inputs!$B$7,0)+X197-X200</f>
        <v>110.252704375</v>
      </c>
      <c r="Y202" s="33" t="n">
        <f aca="false">X202+IF(Source_Data!Y$6=Inputs!$B$12,Inputs!$B$7,0)+Y197-Y200</f>
        <v>129.8554303125</v>
      </c>
      <c r="Z202" s="33" t="n">
        <f aca="false">Y202+IF(Source_Data!Z$6=Inputs!$B$12,Inputs!$B$7,0)+Z197-Z200</f>
        <v>149.45815625</v>
      </c>
      <c r="AA202" s="33" t="n">
        <f aca="false">Z202+IF(Source_Data!AA$6=Inputs!$B$12,Inputs!$B$7,0)+AA197-AA200</f>
        <v>169.0608821875</v>
      </c>
      <c r="AB202" s="33" t="n">
        <f aca="false">AA202+IF(Source_Data!AB$6=Inputs!$B$12,Inputs!$B$7,0)+AB197-AB200</f>
        <v>205.375608125</v>
      </c>
      <c r="AC202" s="33" t="n">
        <f aca="false">AB202+IF(Source_Data!AC$6=Inputs!$B$12,Inputs!$B$7,0)+AC197-AC200</f>
        <v>238.414235625</v>
      </c>
      <c r="AD202" s="33" t="n">
        <f aca="false">AC202+IF(Source_Data!AD$6=Inputs!$B$12,Inputs!$B$7,0)+AD197-AD200</f>
        <v>267.844406875</v>
      </c>
      <c r="AE202" s="33" t="n">
        <f aca="false">AD202+IF(Source_Data!AE$6=Inputs!$B$12,Inputs!$B$7,0)+AE197-AE200</f>
        <v>292.933578125</v>
      </c>
      <c r="AF202" s="33" t="n">
        <f aca="false">AE202+IF(Source_Data!AF$6=Inputs!$B$12,Inputs!$B$7,0)+AF197-AF200</f>
        <v>210.264539023437</v>
      </c>
      <c r="AG202" s="33" t="n">
        <f aca="false">AF202+IF(Source_Data!AG$6=Inputs!$B$12,Inputs!$B$7,0)+AG197-AG200</f>
        <v>224.377197851562</v>
      </c>
      <c r="AH202" s="33" t="n">
        <f aca="false">AG202+IF(Source_Data!AH$6=Inputs!$B$12,Inputs!$B$7,0)+AH197-AH200</f>
        <v>238.489856679687</v>
      </c>
      <c r="AI202" s="33" t="n">
        <f aca="false">AH202+IF(Source_Data!AI$6=Inputs!$B$12,Inputs!$B$7,0)+AI197-AI200</f>
        <v>252.602515507812</v>
      </c>
      <c r="AJ202" s="33" t="n">
        <f aca="false">AI202+IF(Source_Data!AJ$6=Inputs!$B$12,Inputs!$B$7,0)+AJ197-AJ200</f>
        <v>266.715174335937</v>
      </c>
      <c r="AK202" s="33" t="n">
        <f aca="false">AJ202+IF(Source_Data!AK$6=Inputs!$B$12,Inputs!$B$7,0)+AK197-AK200</f>
        <v>279.59929625</v>
      </c>
      <c r="AL202" s="33" t="n">
        <f aca="false">AK202+IF(Source_Data!AL$6=Inputs!$B$12,Inputs!$B$7,0)+AL197-AL200</f>
        <v>292.483418164062</v>
      </c>
      <c r="AM202" s="33" t="n">
        <f aca="false">AL202+IF(Source_Data!AM$6=Inputs!$B$12,Inputs!$B$7,0)+AM197-AM200</f>
        <v>303.0244175</v>
      </c>
      <c r="AN202" s="33" t="n">
        <f aca="false">AM202+IF(Source_Data!AN$6=Inputs!$B$12,Inputs!$B$7,0)+AN197-AN200</f>
        <v>308.43913671875</v>
      </c>
      <c r="AO202" s="33" t="n">
        <f aca="false">AN202+IF(Source_Data!AO$6=Inputs!$B$12,Inputs!$B$7,0)+AO197-AO200</f>
        <v>310.4475275</v>
      </c>
      <c r="AP202" s="33" t="n">
        <f aca="false">AO202+IF(Source_Data!AP$6=Inputs!$B$12,Inputs!$B$7,0)+AP197-AP200</f>
        <v>310.4475275</v>
      </c>
      <c r="AQ202" s="33" t="n">
        <f aca="false">AP202+IF(Source_Data!AQ$6=Inputs!$B$12,Inputs!$B$7,0)+AQ197-AQ200</f>
        <v>310.4475275</v>
      </c>
      <c r="AR202" s="33" t="n">
        <f aca="false">AQ202+IF(Source_Data!AR$6=Inputs!$B$12,Inputs!$B$7,0)+AR197-AR200</f>
        <v>310.4475275</v>
      </c>
      <c r="AS202" s="33" t="n">
        <f aca="false">AR202+IF(Source_Data!AS$6=Inputs!$B$12,Inputs!$B$7,0)+AS197-AS200</f>
        <v>310.4475275</v>
      </c>
      <c r="AT202" s="33" t="n">
        <f aca="false">AS202+IF(Source_Data!AT$6=Inputs!$B$12,Inputs!$B$7,0)+AT197-AT200</f>
        <v>310.4475275</v>
      </c>
      <c r="AU202" s="33" t="n">
        <f aca="false">AT202+IF(Source_Data!AU$6=Inputs!$B$12,Inputs!$B$7,0)+AU197-AU200</f>
        <v>310.4475275</v>
      </c>
      <c r="AV202" s="33" t="n">
        <f aca="false">AU202+IF(Source_Data!AV$6=Inputs!$B$12,Inputs!$B$7,0)+AV197-AV200</f>
        <v>310.4475275</v>
      </c>
      <c r="AW202" s="33" t="n">
        <f aca="false">AV202+IF(Source_Data!AW$6=Inputs!$B$12,Inputs!$B$7,0)+AW197-AW200</f>
        <v>310.4475275</v>
      </c>
      <c r="AX202" s="33" t="n">
        <f aca="false">AW202+IF(Source_Data!AX$6=Inputs!$B$12,Inputs!$B$7,0)+AX197-AX200</f>
        <v>310.4475275</v>
      </c>
      <c r="AY202" s="33" t="n">
        <f aca="false">AX202+IF(Source_Data!AY$6=Inputs!$B$12,Inputs!$B$7,0)+AY197-AY200</f>
        <v>310.4475275</v>
      </c>
      <c r="AZ202" s="33" t="n">
        <f aca="false">AY202+IF(Source_Data!AZ$6=Inputs!$B$12,Inputs!$B$7,0)+AZ197-AZ200</f>
        <v>310.4475275</v>
      </c>
      <c r="BA202" s="33" t="n">
        <f aca="false">AZ202+IF(Source_Data!BA$6=Inputs!$B$12,Inputs!$B$7,0)+BA197-BA200</f>
        <v>310.4475275</v>
      </c>
      <c r="BB202" s="33" t="n">
        <f aca="false">BA202+IF(Source_Data!BB$6=Inputs!$B$12,Inputs!$B$7,0)+BB197-BB200</f>
        <v>310.4475275</v>
      </c>
      <c r="BC202" s="33" t="n">
        <f aca="false">BB202+IF(Source_Data!BC$6=Inputs!$B$12,Inputs!$B$7,0)+BC197-BC200</f>
        <v>310.4475275</v>
      </c>
      <c r="BD202" s="33" t="n">
        <f aca="false">BC202+IF(Source_Data!BD$6=Inputs!$B$12,Inputs!$B$7,0)+BD197-BD200</f>
        <v>310.4475275</v>
      </c>
      <c r="BE202" s="33" t="n">
        <f aca="false">BD202+IF(Source_Data!BE$6=Inputs!$B$12,Inputs!$B$7,0)+BE197-BE200</f>
        <v>310.4475275</v>
      </c>
      <c r="BF202" s="33" t="n">
        <f aca="false">BE202+IF(Source_Data!BF$6=Inputs!$B$12,Inputs!$B$7,0)+BF197-BF200</f>
        <v>310.4475275</v>
      </c>
      <c r="BG202" s="33" t="n">
        <f aca="false">BF202+IF(Source_Data!BG$6=Inputs!$B$12,Inputs!$B$7,0)+BG197-BG200</f>
        <v>310.4475275</v>
      </c>
      <c r="BH202" s="33" t="n">
        <f aca="false">BG202+IF(Source_Data!BH$6=Inputs!$B$12,Inputs!$B$7,0)+BH197-BH200</f>
        <v>310.4475275</v>
      </c>
      <c r="BI202" s="33" t="n">
        <f aca="false">BH202+IF(Source_Data!BI$6=Inputs!$B$12,Inputs!$B$7,0)+BI197-BI200</f>
        <v>310.4475275</v>
      </c>
      <c r="BJ202" s="33" t="n">
        <f aca="false">BI202+IF(Source_Data!BJ$6=Inputs!$B$12,Inputs!$B$7,0)+BJ197-BJ200</f>
        <v>310.4475275</v>
      </c>
      <c r="BK202" s="33" t="n">
        <f aca="false">BJ202+IF(Source_Data!BK$6=Inputs!$B$12,Inputs!$B$7,0)+BK197-BK200</f>
        <v>310.4475275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3.06920634782609</v>
      </c>
      <c r="N203" s="31" t="n">
        <f aca="false">IF(N200&gt;0,N197/N200,"")</f>
        <v>8.44035547826087</v>
      </c>
      <c r="O203" s="31" t="n">
        <f aca="false">IF(O200&gt;0,O197/O200,"")</f>
        <v>9.195312</v>
      </c>
      <c r="P203" s="31" t="n">
        <f aca="false">IF(P200&gt;0,P197/P200,"")</f>
        <v>-9.74476069565218</v>
      </c>
      <c r="Q203" s="31" t="n">
        <f aca="false">IF(Q200&gt;0,Q197/Q200,"")</f>
        <v>-12.6209563043478</v>
      </c>
      <c r="R203" s="31" t="n">
        <f aca="false">IF(R200&gt;0,R197/R200,"")</f>
        <v>-17.9009563043478</v>
      </c>
      <c r="S203" s="31" t="n">
        <f aca="false">IF(S200&gt;0,S197/S200,"")</f>
        <v>38.9761498043478</v>
      </c>
      <c r="T203" s="31" t="n">
        <f aca="false">IF(T200&gt;0,T197/T200,"")</f>
        <v>1.69321457608696</v>
      </c>
      <c r="U203" s="31" t="n">
        <f aca="false">IF(U200&gt;0,U197/U200,"")</f>
        <v>1.53523992391304</v>
      </c>
      <c r="V203" s="31" t="n">
        <f aca="false">IF(V200&gt;0,V197/V200,"")</f>
        <v>0.910324663043479</v>
      </c>
      <c r="W203" s="31" t="n">
        <f aca="false">IF(W200&gt;0,W197/W200,"")</f>
        <v>0.45735075</v>
      </c>
      <c r="X203" s="31" t="n">
        <f aca="false">IF(X200&gt;0,X197/X200,"")</f>
        <v>2.80517683695652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-0.241820706521737</v>
      </c>
      <c r="N204" s="31" t="n">
        <f aca="false">IF(N200&gt;0,(M202+N197+IF(Source_Data!N$6=Inputs!$B$12,Inputs!$B$7,0))/N200,"")</f>
        <v>7.19853477173913</v>
      </c>
      <c r="O204" s="31" t="n">
        <f aca="false">IF(O200&gt;0,(N202+O197+IF(Source_Data!O$6=Inputs!$B$12,Inputs!$B$7,0))/O200,"")</f>
        <v>15.3938467717391</v>
      </c>
      <c r="P204" s="31" t="n">
        <f aca="false">IF(P200&gt;0,(O202+P197+IF(Source_Data!P$6=Inputs!$B$12,Inputs!$B$7,0))/P200,"")</f>
        <v>4.64908607608696</v>
      </c>
      <c r="Q204" s="31" t="n">
        <f aca="false">IF(Q200&gt;0,(P202+Q197+IF(Source_Data!Q$6=Inputs!$B$12,Inputs!$B$7,0))/Q200,"")</f>
        <v>-8.97187022826087</v>
      </c>
      <c r="R204" s="31" t="n">
        <f aca="false">IF(R200&gt;0,(Q202+R197+IF(Source_Data!R$6=Inputs!$B$12,Inputs!$B$7,0))/R200,"")</f>
        <v>-27.8728265326087</v>
      </c>
      <c r="S204" s="31" t="n">
        <f aca="false">IF(S200&gt;0,(R202+S197+IF(Source_Data!S$6=Inputs!$B$12,Inputs!$B$7,0))/S200,"")</f>
        <v>10.1033232717391</v>
      </c>
      <c r="T204" s="31" t="n">
        <f aca="false">IF(T200&gt;0,(S202+T197+IF(Source_Data!T$6=Inputs!$B$12,Inputs!$B$7,0))/T200,"")</f>
        <v>10.7965378478261</v>
      </c>
      <c r="U204" s="31" t="n">
        <f aca="false">IF(U200&gt;0,(T202+U197+IF(Source_Data!U$6=Inputs!$B$12,Inputs!$B$7,0))/U200,"")</f>
        <v>11.3317777717391</v>
      </c>
      <c r="V204" s="31" t="n">
        <f aca="false">IF(V200&gt;0,(U202+V197+IF(Source_Data!V$6=Inputs!$B$12,Inputs!$B$7,0))/V200,"")</f>
        <v>11.2421024347826</v>
      </c>
      <c r="W204" s="31" t="n">
        <f aca="false">IF(W200&gt;0,(V202+W197+IF(Source_Data!W$6=Inputs!$B$12,Inputs!$B$7,0))/W200,"")</f>
        <v>10.6994531847826</v>
      </c>
      <c r="X204" s="31" t="n">
        <f aca="false">IF(X200&gt;0,(W202+X197+IF(Source_Data!X$6=Inputs!$B$12,Inputs!$B$7,0))/X200,"")</f>
        <v>12.5046300217391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155.329324901231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45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-276.6979209375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-17.9009563043478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5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-27.8728265326087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63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103.0444875</v>
      </c>
      <c r="N227" s="33" t="n">
        <f aca="false">Source_Data!N$7+IF($B$225=1,IF(Source_Data!N$6=Inputs!$B$13,Source_Data!$C$8,0),Source_Data!N$8)</f>
        <v>127.69775</v>
      </c>
      <c r="O227" s="33" t="n">
        <f aca="false">Source_Data!O$7+IF($B$225=1,IF(Source_Data!O$6=Inputs!$B$13,Source_Data!$C$8,0),Source_Data!O$8)</f>
        <v>134.93275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559.727635625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50.5544747578603</v>
      </c>
      <c r="AG229" s="33" t="n">
        <f aca="false">Source_Data!AG$9+Source_Data!AG$10*IF(Source_Data!$C$10=0,0,MAX(0,Inputs!$B$19*Inputs!$B$22*$B$221-Inputs!$B$20)/Source_Data!$C$10)</f>
        <v>5.14960130045416</v>
      </c>
      <c r="AH229" s="33" t="n">
        <f aca="false">Source_Data!AH$9+Source_Data!AH$10*IF(Source_Data!$C$10=0,0,MAX(0,Inputs!$B$19*Inputs!$B$22*$B$221-Inputs!$B$20)/Source_Data!$C$10)</f>
        <v>5.14960130045416</v>
      </c>
      <c r="AI229" s="33" t="n">
        <f aca="false">Source_Data!AI$9+Source_Data!AI$10*IF(Source_Data!$C$10=0,0,MAX(0,Inputs!$B$19*Inputs!$B$22*$B$221-Inputs!$B$20)/Source_Data!$C$10)</f>
        <v>5.14960130045416</v>
      </c>
      <c r="AJ229" s="33" t="n">
        <f aca="false">Source_Data!AJ$9+Source_Data!AJ$10*IF(Source_Data!$C$10=0,0,MAX(0,Inputs!$B$19*Inputs!$B$22*$B$221-Inputs!$B$20)/Source_Data!$C$10)</f>
        <v>5.14960130045416</v>
      </c>
      <c r="AK229" s="33" t="n">
        <f aca="false">Source_Data!AK$9+Source_Data!AK$10*IF(Source_Data!$C$10=0,0,MAX(0,Inputs!$B$19*Inputs!$B$22*$B$221-Inputs!$B$20)/Source_Data!$C$10)</f>
        <v>4.70131757395294</v>
      </c>
      <c r="AL229" s="33" t="n">
        <f aca="false">Source_Data!AL$9+Source_Data!AL$10*IF(Source_Data!$C$10=0,0,MAX(0,Inputs!$B$19*Inputs!$B$22*$B$221-Inputs!$B$20)/Source_Data!$C$10)</f>
        <v>4.70131757395294</v>
      </c>
      <c r="AM229" s="33" t="n">
        <f aca="false">Source_Data!AM$9+Source_Data!AM$10*IF(Source_Data!$C$10=0,0,MAX(0,Inputs!$B$19*Inputs!$B$22*$B$221-Inputs!$B$20)/Source_Data!$C$10)</f>
        <v>3.84633006079989</v>
      </c>
      <c r="AN229" s="33" t="n">
        <f aca="false">Source_Data!AN$9+Source_Data!AN$10*IF(Source_Data!$C$10=0,0,MAX(0,Inputs!$B$19*Inputs!$B$22*$B$221-Inputs!$B$20)/Source_Data!$C$10)</f>
        <v>1.97578964177183</v>
      </c>
      <c r="AO229" s="33" t="n">
        <f aca="false">Source_Data!AO$9+Source_Data!AO$10*IF(Source_Data!$C$10=0,0,MAX(0,Inputs!$B$19*Inputs!$B$22*$B$221-Inputs!$B$20)/Source_Data!$C$10)</f>
        <v>0.73284643984547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-50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31.2903225806452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31.2903225806452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31.2903225806452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31.2903225806452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0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0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9.58333333333333</v>
      </c>
      <c r="N236" s="33" t="n">
        <f aca="false">IF(AND(Source_Data!N$6&gt;=Inputs!$B$54,Source_Data!N$6&lt;Inputs!$B$54+3*Inputs!$B$11),Inputs!$B$9*Inputs!$B$7/Inputs!$B$11,0)</f>
        <v>9.58333333333333</v>
      </c>
      <c r="O236" s="33" t="n">
        <f aca="false">IF(AND(Source_Data!O$6&gt;=Inputs!$B$54,Source_Data!O$6&lt;Inputs!$B$54+3*Inputs!$B$11),Inputs!$B$9*Inputs!$B$7/Inputs!$B$11,0)</f>
        <v>9.58333333333333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-50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9.58333333333333</v>
      </c>
      <c r="N237" s="33" t="n">
        <f aca="false">IF(Source_Data!N$6=Inputs!$B$12,-Inputs!$B$7,0)+N236</f>
        <v>9.58333333333333</v>
      </c>
      <c r="O237" s="33" t="n">
        <f aca="false">IF(Source_Data!O$6=Inputs!$B$12,-Inputs!$B$7,0)+O236</f>
        <v>9.58333333333333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-41.25</v>
      </c>
      <c r="E238" s="33" t="n">
        <f aca="false">D238+IF(Source_Data!E$6=Inputs!$B$12,Inputs!$B$7,0)+E233-E236</f>
        <v>-52.5</v>
      </c>
      <c r="F238" s="33" t="n">
        <f aca="false">E238+IF(Source_Data!F$6=Inputs!$B$12,Inputs!$B$7,0)+F233-F236</f>
        <v>-63.75</v>
      </c>
      <c r="G238" s="33" t="n">
        <f aca="false">F238+IF(Source_Data!G$6=Inputs!$B$12,Inputs!$B$7,0)+G233-G236</f>
        <v>-75</v>
      </c>
      <c r="H238" s="33" t="n">
        <f aca="false">G238+IF(Source_Data!H$6=Inputs!$B$12,Inputs!$B$7,0)+H233-H236</f>
        <v>-120.5</v>
      </c>
      <c r="I238" s="33" t="n">
        <f aca="false">H238+IF(Source_Data!I$6=Inputs!$B$12,Inputs!$B$7,0)+I233-I236</f>
        <v>-173.36</v>
      </c>
      <c r="J238" s="33" t="n">
        <f aca="false">I238+IF(Source_Data!J$6=Inputs!$B$12,Inputs!$B$7,0)+J233-J236</f>
        <v>-228.23468625</v>
      </c>
      <c r="K238" s="33" t="n">
        <f aca="false">J238+IF(Source_Data!K$6=Inputs!$B$12,Inputs!$B$7,0)+K233-K236</f>
        <v>-253.84405875</v>
      </c>
      <c r="L238" s="33" t="n">
        <f aca="false">K238+IF(Source_Data!L$6=Inputs!$B$12,Inputs!$B$7,0)+L233-L236</f>
        <v>-276.093253125</v>
      </c>
      <c r="M238" s="33" t="n">
        <f aca="false">L238+IF(Source_Data!M$6=Inputs!$B$12,Inputs!$B$7,0)+M233-M236</f>
        <v>-293.315602708333</v>
      </c>
      <c r="N238" s="33" t="n">
        <f aca="false">M238+IF(Source_Data!N$6=Inputs!$B$12,Inputs!$B$7,0)+N233-N236</f>
        <v>-297.492057041667</v>
      </c>
      <c r="O238" s="33" t="n">
        <f aca="false">N238+IF(Source_Data!O$6=Inputs!$B$12,Inputs!$B$7,0)+O233-O236</f>
        <v>-300.6714379375</v>
      </c>
      <c r="P238" s="33" t="n">
        <f aca="false">O238+IF(Source_Data!P$6=Inputs!$B$12,Inputs!$B$7,0)+P233-P236</f>
        <v>-429.527941677083</v>
      </c>
      <c r="Q238" s="33" t="n">
        <f aca="false">P238+IF(Source_Data!Q$6=Inputs!$B$12,Inputs!$B$7,0)+Q233-Q236</f>
        <v>-537.940370260417</v>
      </c>
      <c r="R238" s="33" t="n">
        <f aca="false">Q238+IF(Source_Data!R$6=Inputs!$B$12,Inputs!$B$7,0)+R233-R236</f>
        <v>-672.48583759375</v>
      </c>
      <c r="S238" s="33" t="n">
        <f aca="false">R238+IF(Source_Data!S$6=Inputs!$B$12,Inputs!$B$7,0)+S233-S236</f>
        <v>-746.469804927083</v>
      </c>
      <c r="T238" s="33" t="n">
        <f aca="false">S238+IF(Source_Data!T$6=Inputs!$B$12,Inputs!$B$7,0)+T233-T236</f>
        <v>-720.401699260417</v>
      </c>
      <c r="U238" s="33" t="n">
        <f aca="false">T238+IF(Source_Data!U$6=Inputs!$B$12,Inputs!$B$7,0)+U233-U236</f>
        <v>-719.14078071875</v>
      </c>
      <c r="V238" s="33" t="n">
        <f aca="false">U238+IF(Source_Data!V$6=Inputs!$B$12,Inputs!$B$7,0)+V233-V236</f>
        <v>-717.879862177083</v>
      </c>
      <c r="W238" s="33" t="n">
        <f aca="false">V238+IF(Source_Data!W$6=Inputs!$B$12,Inputs!$B$7,0)+W233-W236</f>
        <v>-274.698903447917</v>
      </c>
      <c r="X238" s="33" t="n">
        <f aca="false">W238+IF(Source_Data!X$6=Inputs!$B$12,Inputs!$B$7,0)+X233-X236</f>
        <v>-251.6782610625</v>
      </c>
      <c r="Y238" s="33" t="n">
        <f aca="false">X238+IF(Source_Data!Y$6=Inputs!$B$12,Inputs!$B$7,0)+Y233-Y236</f>
        <v>-220.43681671875</v>
      </c>
      <c r="Z238" s="33" t="n">
        <f aca="false">Y238+IF(Source_Data!Z$6=Inputs!$B$12,Inputs!$B$7,0)+Z233-Z236</f>
        <v>-194.5852665</v>
      </c>
      <c r="AA238" s="33" t="n">
        <f aca="false">Z238+IF(Source_Data!AA$6=Inputs!$B$12,Inputs!$B$7,0)+AA233-AA236</f>
        <v>-172.64061628125</v>
      </c>
      <c r="AB238" s="33" t="n">
        <f aca="false">AA238+IF(Source_Data!AB$6=Inputs!$B$12,Inputs!$B$7,0)+AB233-AB236</f>
        <v>-128.1959660625</v>
      </c>
      <c r="AC238" s="33" t="n">
        <f aca="false">AB238+IF(Source_Data!AC$6=Inputs!$B$12,Inputs!$B$7,0)+AC233-AC236</f>
        <v>-90.3035127187501</v>
      </c>
      <c r="AD238" s="33" t="n">
        <f aca="false">AC238+IF(Source_Data!AD$6=Inputs!$B$12,Inputs!$B$7,0)+AD233-AD236</f>
        <v>-52.4110593750001</v>
      </c>
      <c r="AE238" s="33" t="n">
        <f aca="false">AD238+IF(Source_Data!AE$6=Inputs!$B$12,Inputs!$B$7,0)+AE233-AE236</f>
        <v>-14.5186060312501</v>
      </c>
      <c r="AF238" s="33" t="n">
        <f aca="false">AE238+IF(Source_Data!AF$6=Inputs!$B$12,Inputs!$B$7,0)+AF233-AF236</f>
        <v>-32.3898274453604</v>
      </c>
      <c r="AG238" s="33" t="n">
        <f aca="false">AF238+IF(Source_Data!AG$6=Inputs!$B$12,Inputs!$B$7,0)+AG233-AG236</f>
        <v>-7.8046639958146</v>
      </c>
      <c r="AH238" s="33" t="n">
        <f aca="false">AG238+IF(Source_Data!AH$6=Inputs!$B$12,Inputs!$B$7,0)+AH233-AH236</f>
        <v>13.5328888287312</v>
      </c>
      <c r="AI238" s="33" t="n">
        <f aca="false">AH238+IF(Source_Data!AI$6=Inputs!$B$12,Inputs!$B$7,0)+AI233-AI236</f>
        <v>30.9635416532771</v>
      </c>
      <c r="AJ238" s="33" t="n">
        <f aca="false">AI238+IF(Source_Data!AJ$6=Inputs!$B$12,Inputs!$B$7,0)+AJ233-AJ236</f>
        <v>48.3941944778229</v>
      </c>
      <c r="AK238" s="33" t="n">
        <f aca="false">AJ238+IF(Source_Data!AK$6=Inputs!$B$12,Inputs!$B$7,0)+AK233-AK236</f>
        <v>66.27313102887</v>
      </c>
      <c r="AL238" s="33" t="n">
        <f aca="false">AK238+IF(Source_Data!AL$6=Inputs!$B$12,Inputs!$B$7,0)+AL233-AL236</f>
        <v>84.152067579917</v>
      </c>
      <c r="AM238" s="33" t="n">
        <f aca="false">AL238+IF(Source_Data!AM$6=Inputs!$B$12,Inputs!$B$7,0)+AM233-AM236</f>
        <v>102.885991644117</v>
      </c>
      <c r="AN238" s="33" t="n">
        <f aca="false">AM238+IF(Source_Data!AN$6=Inputs!$B$12,Inputs!$B$7,0)+AN233-AN236</f>
        <v>123.490456127345</v>
      </c>
      <c r="AO238" s="33" t="n">
        <f aca="false">AN238+IF(Source_Data!AO$6=Inputs!$B$12,Inputs!$B$7,0)+AO233-AO236</f>
        <v>143.37220475</v>
      </c>
      <c r="AP238" s="33" t="n">
        <f aca="false">AO238+IF(Source_Data!AP$6=Inputs!$B$12,Inputs!$B$7,0)+AP233-AP236</f>
        <v>163.9867998125</v>
      </c>
      <c r="AQ238" s="33" t="n">
        <f aca="false">AP238+IF(Source_Data!AQ$6=Inputs!$B$12,Inputs!$B$7,0)+AQ233-AQ236</f>
        <v>180.85239875</v>
      </c>
      <c r="AR238" s="33" t="n">
        <f aca="false">AQ238+IF(Source_Data!AR$6=Inputs!$B$12,Inputs!$B$7,0)+AR233-AR236</f>
        <v>189.5159495</v>
      </c>
      <c r="AS238" s="33" t="n">
        <f aca="false">AR238+IF(Source_Data!AS$6=Inputs!$B$12,Inputs!$B$7,0)+AS233-AS236</f>
        <v>192.72937475</v>
      </c>
      <c r="AT238" s="33" t="n">
        <f aca="false">AS238+IF(Source_Data!AT$6=Inputs!$B$12,Inputs!$B$7,0)+AT233-AT236</f>
        <v>192.72937475</v>
      </c>
      <c r="AU238" s="33" t="n">
        <f aca="false">AT238+IF(Source_Data!AU$6=Inputs!$B$12,Inputs!$B$7,0)+AU233-AU236</f>
        <v>192.72937475</v>
      </c>
      <c r="AV238" s="33" t="n">
        <f aca="false">AU238+IF(Source_Data!AV$6=Inputs!$B$12,Inputs!$B$7,0)+AV233-AV236</f>
        <v>192.72937475</v>
      </c>
      <c r="AW238" s="33" t="n">
        <f aca="false">AV238+IF(Source_Data!AW$6=Inputs!$B$12,Inputs!$B$7,0)+AW233-AW236</f>
        <v>192.72937475</v>
      </c>
      <c r="AX238" s="33" t="n">
        <f aca="false">AW238+IF(Source_Data!AX$6=Inputs!$B$12,Inputs!$B$7,0)+AX233-AX236</f>
        <v>192.72937475</v>
      </c>
      <c r="AY238" s="33" t="n">
        <f aca="false">AX238+IF(Source_Data!AY$6=Inputs!$B$12,Inputs!$B$7,0)+AY233-AY236</f>
        <v>192.72937475</v>
      </c>
      <c r="AZ238" s="33" t="n">
        <f aca="false">AY238+IF(Source_Data!AZ$6=Inputs!$B$12,Inputs!$B$7,0)+AZ233-AZ236</f>
        <v>192.72937475</v>
      </c>
      <c r="BA238" s="33" t="n">
        <f aca="false">AZ238+IF(Source_Data!BA$6=Inputs!$B$12,Inputs!$B$7,0)+BA233-BA236</f>
        <v>192.72937475</v>
      </c>
      <c r="BB238" s="33" t="n">
        <f aca="false">BA238+IF(Source_Data!BB$6=Inputs!$B$12,Inputs!$B$7,0)+BB233-BB236</f>
        <v>192.72937475</v>
      </c>
      <c r="BC238" s="33" t="n">
        <f aca="false">BB238+IF(Source_Data!BC$6=Inputs!$B$12,Inputs!$B$7,0)+BC233-BC236</f>
        <v>192.72937475</v>
      </c>
      <c r="BD238" s="33" t="n">
        <f aca="false">BC238+IF(Source_Data!BD$6=Inputs!$B$12,Inputs!$B$7,0)+BD233-BD236</f>
        <v>192.72937475</v>
      </c>
      <c r="BE238" s="33" t="n">
        <f aca="false">BD238+IF(Source_Data!BE$6=Inputs!$B$12,Inputs!$B$7,0)+BE233-BE236</f>
        <v>192.72937475</v>
      </c>
      <c r="BF238" s="33" t="n">
        <f aca="false">BE238+IF(Source_Data!BF$6=Inputs!$B$12,Inputs!$B$7,0)+BF233-BF236</f>
        <v>192.72937475</v>
      </c>
      <c r="BG238" s="33" t="n">
        <f aca="false">BF238+IF(Source_Data!BG$6=Inputs!$B$12,Inputs!$B$7,0)+BG233-BG236</f>
        <v>192.72937475</v>
      </c>
      <c r="BH238" s="33" t="n">
        <f aca="false">BG238+IF(Source_Data!BH$6=Inputs!$B$12,Inputs!$B$7,0)+BH233-BH236</f>
        <v>192.72937475</v>
      </c>
      <c r="BI238" s="33" t="n">
        <f aca="false">BH238+IF(Source_Data!BI$6=Inputs!$B$12,Inputs!$B$7,0)+BI233-BI236</f>
        <v>192.72937475</v>
      </c>
      <c r="BJ238" s="33" t="n">
        <f aca="false">BI238+IF(Source_Data!BJ$6=Inputs!$B$12,Inputs!$B$7,0)+BJ233-BJ236</f>
        <v>192.72937475</v>
      </c>
      <c r="BK238" s="33" t="n">
        <f aca="false">BJ238+IF(Source_Data!BK$6=Inputs!$B$12,Inputs!$B$7,0)+BK233-BK236</f>
        <v>192.72937475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-0.797114739130435</v>
      </c>
      <c r="N239" s="31" t="n">
        <f aca="false">IF(N236&gt;0,N233/N236,"")</f>
        <v>0.564196069565217</v>
      </c>
      <c r="O239" s="31" t="n">
        <f aca="false">IF(O236&gt;0,O233/O236,"")</f>
        <v>0.668238515217392</v>
      </c>
      <c r="P239" s="31" t="n">
        <f aca="false">IF(P236&gt;0,P233/P236,"")</f>
        <v>-12.4458960423913</v>
      </c>
      <c r="Q239" s="31" t="n">
        <f aca="false">IF(Q236&gt;0,Q233/Q236,"")</f>
        <v>-10.3126012434783</v>
      </c>
      <c r="R239" s="31" t="n">
        <f aca="false">IF(R236&gt;0,R233/R236,"")</f>
        <v>-13.039527026087</v>
      </c>
      <c r="S239" s="31" t="n">
        <f aca="false">IF(S236&gt;0,S233/S236,"")</f>
        <v>-6.72006615652174</v>
      </c>
      <c r="T239" s="31" t="n">
        <f aca="false">IF(T236&gt;0,T233/T236,"")</f>
        <v>3.72015015652174</v>
      </c>
      <c r="U239" s="31" t="n">
        <f aca="false">IF(U236&gt;0,U233/U236,"")</f>
        <v>1.13157410869565</v>
      </c>
      <c r="V239" s="31" t="n">
        <f aca="false">IF(V236&gt;0,V233/V236,"")</f>
        <v>1.13157410869565</v>
      </c>
      <c r="W239" s="31" t="n">
        <f aca="false">IF(W236&gt;0,W233/W236,"")</f>
        <v>47.2449696065217</v>
      </c>
      <c r="X239" s="31" t="n">
        <f aca="false">IF(X236&gt;0,X233/X236,"")</f>
        <v>3.40215398804348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-29.6068455</v>
      </c>
      <c r="N240" s="31" t="n">
        <f aca="false">IF(N236&gt;0,(M238+N233+IF(Source_Data!N$6=Inputs!$B$12,Inputs!$B$7,0))/N236,"")</f>
        <v>-30.0426494304348</v>
      </c>
      <c r="O240" s="31" t="n">
        <f aca="false">IF(O236&gt;0,(N238+O233+IF(Source_Data!O$6=Inputs!$B$12,Inputs!$B$7,0))/O236,"")</f>
        <v>-30.3744109152174</v>
      </c>
      <c r="P240" s="31" t="n">
        <f aca="false">IF(P236&gt;0,(O238+P233+IF(Source_Data!P$6=Inputs!$B$12,Inputs!$B$7,0))/P236,"")</f>
        <v>-43.8203069576087</v>
      </c>
      <c r="Q240" s="31" t="n">
        <f aca="false">IF(Q236&gt;0,(P238+Q233+IF(Source_Data!Q$6=Inputs!$B$12,Inputs!$B$7,0))/Q236,"")</f>
        <v>-55.132908201087</v>
      </c>
      <c r="R240" s="31" t="n">
        <f aca="false">IF(R236&gt;0,(Q238+R233+IF(Source_Data!R$6=Inputs!$B$12,Inputs!$B$7,0))/R236,"")</f>
        <v>-69.1724352271739</v>
      </c>
      <c r="S240" s="31" t="n">
        <f aca="false">IF(S236&gt;0,(R238+S233+IF(Source_Data!S$6=Inputs!$B$12,Inputs!$B$7,0))/S236,"")</f>
        <v>-76.8925013836957</v>
      </c>
      <c r="T240" s="31" t="n">
        <f aca="false">IF(T236&gt;0,(S238+T233+IF(Source_Data!T$6=Inputs!$B$12,Inputs!$B$7,0))/T236,"")</f>
        <v>-74.1723512271739</v>
      </c>
      <c r="U240" s="31" t="n">
        <f aca="false">IF(U236&gt;0,(T238+U233+IF(Source_Data!U$6=Inputs!$B$12,Inputs!$B$7,0))/U236,"")</f>
        <v>-74.0407771184783</v>
      </c>
      <c r="V240" s="31" t="n">
        <f aca="false">IF(V236&gt;0,(U238+V233+IF(Source_Data!V$6=Inputs!$B$12,Inputs!$B$7,0))/V236,"")</f>
        <v>-73.9092030097826</v>
      </c>
      <c r="W240" s="31" t="n">
        <f aca="false">IF(W236&gt;0,(V238+W233+IF(Source_Data!W$6=Inputs!$B$12,Inputs!$B$7,0))/W236,"")</f>
        <v>-27.6642334032609</v>
      </c>
      <c r="X240" s="31" t="n">
        <f aca="false">IF(X236&gt;0,(W238+X233+IF(Source_Data!X$6=Inputs!$B$12,Inputs!$B$7,0))/X236,"")</f>
        <v>-25.2620794152174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-80.9489485398505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48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-746.469804927083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-13.039527026087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9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-76.8925013836957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0</v>
      </c>
      <c r="AG13" s="33" t="n">
        <f aca="false">Source_Data!AG$9+Source_Data!AG$10*IF(Source_Data!$C$10=0,0,MAX(0,Inputs!$B$19*Inputs!$B$22*$B$5-Inputs!$B$20)/Source_Data!$C$10)</f>
        <v>0</v>
      </c>
      <c r="AH13" s="33" t="n">
        <f aca="false">Source_Data!AH$9+Source_Data!AH$10*IF(Source_Data!$C$10=0,0,MAX(0,Inputs!$B$19*Inputs!$B$22*$B$5-Inputs!$B$20)/Source_Data!$C$10)</f>
        <v>0</v>
      </c>
      <c r="AI13" s="33" t="n">
        <f aca="false">Source_Data!AI$9+Source_Data!AI$10*IF(Source_Data!$C$10=0,0,MAX(0,Inputs!$B$19*Inputs!$B$22*$B$5-Inputs!$B$20)/Source_Data!$C$10)</f>
        <v>0</v>
      </c>
      <c r="AJ13" s="33" t="n">
        <f aca="false">Source_Data!AJ$9+Source_Data!AJ$10*IF(Source_Data!$C$10=0,0,MAX(0,Inputs!$B$19*Inputs!$B$22*$B$5-Inputs!$B$20)/Source_Data!$C$10)</f>
        <v>0</v>
      </c>
      <c r="AK13" s="33" t="n">
        <f aca="false">Source_Data!AK$9+Source_Data!AK$10*IF(Source_Data!$C$10=0,0,MAX(0,Inputs!$B$19*Inputs!$B$22*$B$5-Inputs!$B$20)/Source_Data!$C$10)</f>
        <v>0</v>
      </c>
      <c r="AL13" s="33" t="n">
        <f aca="false">Source_Data!AL$9+Source_Data!AL$10*IF(Source_Data!$C$10=0,0,MAX(0,Inputs!$B$19*Inputs!$B$22*$B$5-Inputs!$B$20)/Source_Data!$C$10)</f>
        <v>0</v>
      </c>
      <c r="AM13" s="33" t="n">
        <f aca="false">Source_Data!AM$9+Source_Data!AM$10*IF(Source_Data!$C$10=0,0,MAX(0,Inputs!$B$19*Inputs!$B$22*$B$5-Inputs!$B$20)/Source_Data!$C$10)</f>
        <v>0</v>
      </c>
      <c r="AN13" s="33" t="n">
        <f aca="false">Source_Data!AN$9+Source_Data!AN$10*IF(Source_Data!$C$10=0,0,MAX(0,Inputs!$B$19*Inputs!$B$22*$B$5-Inputs!$B$20)/Source_Data!$C$10)</f>
        <v>0</v>
      </c>
      <c r="AO13" s="33" t="n">
        <f aca="false">Source_Data!AO$9+Source_Data!AO$10*IF(Source_Data!$C$10=0,0,MAX(0,Inputs!$B$19*Inputs!$B$22*$B$5-Inputs!$B$20)/Source_Data!$C$10)</f>
        <v>0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-50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27.8136200716846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27.8136200716846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27.8136200716846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27.8136200716846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9.58333333333333</v>
      </c>
      <c r="N20" s="33" t="n">
        <f aca="false">IF(AND(Source_Data!N$6&gt;=Inputs!$B$54,Source_Data!N$6&lt;Inputs!$B$54+3*Inputs!$B$11),Inputs!$B$9*Inputs!$B$7/Inputs!$B$11,0)</f>
        <v>9.58333333333333</v>
      </c>
      <c r="O20" s="33" t="n">
        <f aca="false">IF(AND(Source_Data!O$6&gt;=Inputs!$B$54,Source_Data!O$6&lt;Inputs!$B$54+3*Inputs!$B$11),Inputs!$B$9*Inputs!$B$7/Inputs!$B$11,0)</f>
        <v>9.58333333333333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-50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9.58333333333333</v>
      </c>
      <c r="N21" s="33" t="n">
        <f aca="false">IF(Source_Data!N$6=Inputs!$B$12,-Inputs!$B$7,0)+N20</f>
        <v>9.58333333333333</v>
      </c>
      <c r="O21" s="33" t="n">
        <f aca="false">IF(Source_Data!O$6=Inputs!$B$12,-Inputs!$B$7,0)+O20</f>
        <v>9.58333333333333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-41.25</v>
      </c>
      <c r="E22" s="33" t="n">
        <f aca="false">D22+IF(Source_Data!E$6=Inputs!$B$12,Inputs!$B$7,0)+E17-E20</f>
        <v>-52.5</v>
      </c>
      <c r="F22" s="33" t="n">
        <f aca="false">E22+IF(Source_Data!F$6=Inputs!$B$12,Inputs!$B$7,0)+F17-F20</f>
        <v>-51.63861</v>
      </c>
      <c r="G22" s="33" t="n">
        <f aca="false">F22+IF(Source_Data!G$6=Inputs!$B$12,Inputs!$B$7,0)+G17-G20</f>
        <v>-38.66583</v>
      </c>
      <c r="H22" s="33" t="n">
        <f aca="false">G22+IF(Source_Data!H$6=Inputs!$B$12,Inputs!$B$7,0)+H17-H20</f>
        <v>-46.956225</v>
      </c>
      <c r="I22" s="33" t="n">
        <f aca="false">H22+IF(Source_Data!I$6=Inputs!$B$12,Inputs!$B$7,0)+I17-I20</f>
        <v>-49.619795</v>
      </c>
      <c r="J22" s="33" t="n">
        <f aca="false">I22+IF(Source_Data!J$6=Inputs!$B$12,Inputs!$B$7,0)+J17-J20</f>
        <v>-77.916347</v>
      </c>
      <c r="K22" s="33" t="n">
        <f aca="false">J22+IF(Source_Data!K$6=Inputs!$B$12,Inputs!$B$7,0)+K17-K20</f>
        <v>-89.6866115</v>
      </c>
      <c r="L22" s="33" t="n">
        <f aca="false">K22+IF(Source_Data!L$6=Inputs!$B$12,Inputs!$B$7,0)+L17-L20</f>
        <v>-97.15054075</v>
      </c>
      <c r="M22" s="33" t="n">
        <f aca="false">L22+IF(Source_Data!M$6=Inputs!$B$12,Inputs!$B$7,0)+M17-M20</f>
        <v>217.742187916667</v>
      </c>
      <c r="N22" s="33" t="n">
        <f aca="false">M22+IF(Source_Data!N$6=Inputs!$B$12,Inputs!$B$7,0)+N17-N20</f>
        <v>311.207846583334</v>
      </c>
      <c r="O22" s="33" t="n">
        <f aca="false">N22+IF(Source_Data!O$6=Inputs!$B$12,Inputs!$B$7,0)+O17-O20</f>
        <v>397.43850525</v>
      </c>
      <c r="P22" s="33" t="n">
        <f aca="false">O22+IF(Source_Data!P$6=Inputs!$B$12,Inputs!$B$7,0)+P17-P20</f>
        <v>276.545339916667</v>
      </c>
      <c r="Q22" s="33" t="n">
        <f aca="false">P22+IF(Source_Data!Q$6=Inputs!$B$12,Inputs!$B$7,0)+Q17-Q20</f>
        <v>133.601341583334</v>
      </c>
      <c r="R22" s="33" t="n">
        <f aca="false">Q22+IF(Source_Data!R$6=Inputs!$B$12,Inputs!$B$7,0)+R17-R20</f>
        <v>-59.9426567499997</v>
      </c>
      <c r="S22" s="33" t="n">
        <f aca="false">R22+IF(Source_Data!S$6=Inputs!$B$12,Inputs!$B$7,0)+S17-S20</f>
        <v>-199.971321583333</v>
      </c>
      <c r="T22" s="33" t="n">
        <f aca="false">S22+IF(Source_Data!T$6=Inputs!$B$12,Inputs!$B$7,0)+T17-T20</f>
        <v>-205.573343166666</v>
      </c>
      <c r="U22" s="33" t="n">
        <f aca="false">T22+IF(Source_Data!U$6=Inputs!$B$12,Inputs!$B$7,0)+U17-U20</f>
        <v>-212.38650375</v>
      </c>
      <c r="V22" s="33" t="n">
        <f aca="false">U22+IF(Source_Data!V$6=Inputs!$B$12,Inputs!$B$7,0)+V17-V20</f>
        <v>-223.990681333333</v>
      </c>
      <c r="W22" s="33" t="n">
        <f aca="false">V22+IF(Source_Data!W$6=Inputs!$B$12,Inputs!$B$7,0)+W17-W20</f>
        <v>-239.067658916666</v>
      </c>
      <c r="X22" s="33" t="n">
        <f aca="false">W22+IF(Source_Data!X$6=Inputs!$B$12,Inputs!$B$7,0)+X17-X20</f>
        <v>-231.6446365</v>
      </c>
      <c r="Y22" s="33" t="n">
        <f aca="false">X22+IF(Source_Data!Y$6=Inputs!$B$12,Inputs!$B$7,0)+Y17-Y20</f>
        <v>-220.46245575</v>
      </c>
      <c r="Z22" s="33" t="n">
        <f aca="false">Y22+IF(Source_Data!Z$6=Inputs!$B$12,Inputs!$B$7,0)+Z17-Z20</f>
        <v>-209.280275</v>
      </c>
      <c r="AA22" s="33" t="n">
        <f aca="false">Z22+IF(Source_Data!AA$6=Inputs!$B$12,Inputs!$B$7,0)+AA17-AA20</f>
        <v>-198.09809425</v>
      </c>
      <c r="AB22" s="33" t="n">
        <f aca="false">AA22+IF(Source_Data!AB$6=Inputs!$B$12,Inputs!$B$7,0)+AB17-AB20</f>
        <v>-169.0463135</v>
      </c>
      <c r="AC22" s="33" t="n">
        <f aca="false">AB22+IF(Source_Data!AC$6=Inputs!$B$12,Inputs!$B$7,0)+AC17-AC20</f>
        <v>-142.6154115</v>
      </c>
      <c r="AD22" s="33" t="n">
        <f aca="false">AC22+IF(Source_Data!AD$6=Inputs!$B$12,Inputs!$B$7,0)+AD17-AD20</f>
        <v>-119.0712745</v>
      </c>
      <c r="AE22" s="33" t="n">
        <f aca="false">AD22+IF(Source_Data!AE$6=Inputs!$B$12,Inputs!$B$7,0)+AE17-AE20</f>
        <v>-98.9999374999997</v>
      </c>
      <c r="AF22" s="33" t="n">
        <f aca="false">AE22+IF(Source_Data!AF$6=Inputs!$B$12,Inputs!$B$7,0)+AF17-AF20</f>
        <v>-78.9286004999997</v>
      </c>
      <c r="AG22" s="33" t="n">
        <f aca="false">AF22+IF(Source_Data!AG$6=Inputs!$B$12,Inputs!$B$7,0)+AG17-AG20</f>
        <v>-58.8572634999997</v>
      </c>
      <c r="AH22" s="33" t="n">
        <f aca="false">AG22+IF(Source_Data!AH$6=Inputs!$B$12,Inputs!$B$7,0)+AH17-AH20</f>
        <v>-38.7859264999997</v>
      </c>
      <c r="AI22" s="33" t="n">
        <f aca="false">AH22+IF(Source_Data!AI$6=Inputs!$B$12,Inputs!$B$7,0)+AI17-AI20</f>
        <v>-18.7145894999997</v>
      </c>
      <c r="AJ22" s="33" t="n">
        <f aca="false">AI22+IF(Source_Data!AJ$6=Inputs!$B$12,Inputs!$B$7,0)+AJ17-AJ20</f>
        <v>1.35674750000027</v>
      </c>
      <c r="AK22" s="33" t="n">
        <f aca="false">AJ22+IF(Source_Data!AK$6=Inputs!$B$12,Inputs!$B$7,0)+AK17-AK20</f>
        <v>19.6808320000003</v>
      </c>
      <c r="AL22" s="33" t="n">
        <f aca="false">AK22+IF(Source_Data!AL$6=Inputs!$B$12,Inputs!$B$7,0)+AL17-AL20</f>
        <v>38.0049165000003</v>
      </c>
      <c r="AM22" s="33" t="n">
        <f aca="false">AL22+IF(Source_Data!AM$6=Inputs!$B$12,Inputs!$B$7,0)+AM17-AM20</f>
        <v>52.9965600000003</v>
      </c>
      <c r="AN22" s="33" t="n">
        <f aca="false">AM22+IF(Source_Data!AN$6=Inputs!$B$12,Inputs!$B$7,0)+AN17-AN20</f>
        <v>60.6974940000003</v>
      </c>
      <c r="AO22" s="33" t="n">
        <f aca="false">AN22+IF(Source_Data!AO$6=Inputs!$B$12,Inputs!$B$7,0)+AO17-AO20</f>
        <v>63.5538720000003</v>
      </c>
      <c r="AP22" s="33" t="n">
        <f aca="false">AO22+IF(Source_Data!AP$6=Inputs!$B$12,Inputs!$B$7,0)+AP17-AP20</f>
        <v>63.5538720000003</v>
      </c>
      <c r="AQ22" s="33" t="n">
        <f aca="false">AP22+IF(Source_Data!AQ$6=Inputs!$B$12,Inputs!$B$7,0)+AQ17-AQ20</f>
        <v>63.5538720000003</v>
      </c>
      <c r="AR22" s="33" t="n">
        <f aca="false">AQ22+IF(Source_Data!AR$6=Inputs!$B$12,Inputs!$B$7,0)+AR17-AR20</f>
        <v>63.5538720000003</v>
      </c>
      <c r="AS22" s="33" t="n">
        <f aca="false">AR22+IF(Source_Data!AS$6=Inputs!$B$12,Inputs!$B$7,0)+AS17-AS20</f>
        <v>63.5538720000003</v>
      </c>
      <c r="AT22" s="33" t="n">
        <f aca="false">AS22+IF(Source_Data!AT$6=Inputs!$B$12,Inputs!$B$7,0)+AT17-AT20</f>
        <v>63.5538720000003</v>
      </c>
      <c r="AU22" s="33" t="n">
        <f aca="false">AT22+IF(Source_Data!AU$6=Inputs!$B$12,Inputs!$B$7,0)+AU17-AU20</f>
        <v>63.5538720000003</v>
      </c>
      <c r="AV22" s="33" t="n">
        <f aca="false">AU22+IF(Source_Data!AV$6=Inputs!$B$12,Inputs!$B$7,0)+AV17-AV20</f>
        <v>63.5538720000003</v>
      </c>
      <c r="AW22" s="33" t="n">
        <f aca="false">AV22+IF(Source_Data!AW$6=Inputs!$B$12,Inputs!$B$7,0)+AW17-AW20</f>
        <v>63.5538720000003</v>
      </c>
      <c r="AX22" s="33" t="n">
        <f aca="false">AW22+IF(Source_Data!AX$6=Inputs!$B$12,Inputs!$B$7,0)+AX17-AX20</f>
        <v>63.5538720000003</v>
      </c>
      <c r="AY22" s="33" t="n">
        <f aca="false">AX22+IF(Source_Data!AY$6=Inputs!$B$12,Inputs!$B$7,0)+AY17-AY20</f>
        <v>63.5538720000003</v>
      </c>
      <c r="AZ22" s="33" t="n">
        <f aca="false">AY22+IF(Source_Data!AZ$6=Inputs!$B$12,Inputs!$B$7,0)+AZ17-AZ20</f>
        <v>63.5538720000003</v>
      </c>
      <c r="BA22" s="33" t="n">
        <f aca="false">AZ22+IF(Source_Data!BA$6=Inputs!$B$12,Inputs!$B$7,0)+BA17-BA20</f>
        <v>63.5538720000003</v>
      </c>
      <c r="BB22" s="33" t="n">
        <f aca="false">BA22+IF(Source_Data!BB$6=Inputs!$B$12,Inputs!$B$7,0)+BB17-BB20</f>
        <v>63.5538720000003</v>
      </c>
      <c r="BC22" s="33" t="n">
        <f aca="false">BB22+IF(Source_Data!BC$6=Inputs!$B$12,Inputs!$B$7,0)+BC17-BC20</f>
        <v>63.5538720000003</v>
      </c>
      <c r="BD22" s="33" t="n">
        <f aca="false">BC22+IF(Source_Data!BD$6=Inputs!$B$12,Inputs!$B$7,0)+BD17-BD20</f>
        <v>63.5538720000003</v>
      </c>
      <c r="BE22" s="33" t="n">
        <f aca="false">BD22+IF(Source_Data!BE$6=Inputs!$B$12,Inputs!$B$7,0)+BE17-BE20</f>
        <v>63.5538720000003</v>
      </c>
      <c r="BF22" s="33" t="n">
        <f aca="false">BE22+IF(Source_Data!BF$6=Inputs!$B$12,Inputs!$B$7,0)+BF17-BF20</f>
        <v>63.5538720000003</v>
      </c>
      <c r="BG22" s="33" t="n">
        <f aca="false">BF22+IF(Source_Data!BG$6=Inputs!$B$12,Inputs!$B$7,0)+BG17-BG20</f>
        <v>63.5538720000003</v>
      </c>
      <c r="BH22" s="33" t="n">
        <f aca="false">BG22+IF(Source_Data!BH$6=Inputs!$B$12,Inputs!$B$7,0)+BH17-BH20</f>
        <v>63.5538720000003</v>
      </c>
      <c r="BI22" s="33" t="n">
        <f aca="false">BH22+IF(Source_Data!BI$6=Inputs!$B$12,Inputs!$B$7,0)+BI17-BI20</f>
        <v>63.5538720000003</v>
      </c>
      <c r="BJ22" s="33" t="n">
        <f aca="false">BI22+IF(Source_Data!BJ$6=Inputs!$B$12,Inputs!$B$7,0)+BJ17-BJ20</f>
        <v>63.5538720000003</v>
      </c>
      <c r="BK22" s="33" t="n">
        <f aca="false">BJ22+IF(Source_Data!BK$6=Inputs!$B$12,Inputs!$B$7,0)+BK17-BK20</f>
        <v>63.5538720000003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33.8583716869565</v>
      </c>
      <c r="N23" s="31" t="n">
        <f aca="false">IF(N20&gt;0,N17/N20,"")</f>
        <v>10.7529382956522</v>
      </c>
      <c r="O23" s="31" t="n">
        <f aca="false">IF(O20&gt;0,O17/O20,"")</f>
        <v>9.99798177391305</v>
      </c>
      <c r="P23" s="31" t="n">
        <f aca="false">IF(P20&gt;0,P17/P20,"")</f>
        <v>-11.6149389913044</v>
      </c>
      <c r="Q23" s="31" t="n">
        <f aca="false">IF(Q20&gt;0,Q17/Q20,"")</f>
        <v>-13.9158954782609</v>
      </c>
      <c r="R23" s="31" t="n">
        <f aca="false">IF(R20&gt;0,R17/R20,"")</f>
        <v>-19.1958954782609</v>
      </c>
      <c r="S23" s="31" t="n">
        <f aca="false">IF(S20&gt;0,S17/S20,"")</f>
        <v>-13.6116867652174</v>
      </c>
      <c r="T23" s="31" t="n">
        <f aca="false">IF(T20&gt;0,T17/T20,"")</f>
        <v>0.415441226086957</v>
      </c>
      <c r="U23" s="31" t="n">
        <f aca="false">IF(U20&gt;0,U17/U20,"")</f>
        <v>0.289061504347826</v>
      </c>
      <c r="V23" s="31" t="n">
        <f aca="false">IF(V20&gt;0,V17/V20,"")</f>
        <v>-0.210870704347826</v>
      </c>
      <c r="W23" s="31" t="n">
        <f aca="false">IF(W20&gt;0,W17/W20,"")</f>
        <v>-0.573249834782608</v>
      </c>
      <c r="X23" s="31" t="n">
        <f aca="false">IF(X20&gt;0,X17/X20,"")</f>
        <v>1.77457625217391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23.7209239565218</v>
      </c>
      <c r="N24" s="31" t="n">
        <f aca="false">IF(N20&gt;0,(M22+N17+IF(Source_Data!N$6=Inputs!$B$12,Inputs!$B$7,0))/N20,"")</f>
        <v>33.4738622521739</v>
      </c>
      <c r="O24" s="31" t="n">
        <f aca="false">IF(O20&gt;0,(N22+O17+IF(Source_Data!O$6=Inputs!$B$12,Inputs!$B$7,0))/O20,"")</f>
        <v>42.471844026087</v>
      </c>
      <c r="P24" s="31" t="n">
        <f aca="false">IF(P20&gt;0,(O22+P17+IF(Source_Data!P$6=Inputs!$B$12,Inputs!$B$7,0))/P20,"")</f>
        <v>29.8569050347826</v>
      </c>
      <c r="Q24" s="31" t="n">
        <f aca="false">IF(Q20&gt;0,(P22+Q17+IF(Source_Data!Q$6=Inputs!$B$12,Inputs!$B$7,0))/Q20,"")</f>
        <v>14.9410095565218</v>
      </c>
      <c r="R24" s="31" t="n">
        <f aca="false">IF(R20&gt;0,(Q22+R17+IF(Source_Data!R$6=Inputs!$B$12,Inputs!$B$7,0))/R20,"")</f>
        <v>-5.2548859217391</v>
      </c>
      <c r="S24" s="31" t="n">
        <f aca="false">IF(S20&gt;0,(R22+S17+IF(Source_Data!S$6=Inputs!$B$12,Inputs!$B$7,0))/S20,"")</f>
        <v>-19.8665726869565</v>
      </c>
      <c r="T24" s="31" t="n">
        <f aca="false">IF(T20&gt;0,(S22+T17+IF(Source_Data!T$6=Inputs!$B$12,Inputs!$B$7,0))/T20,"")</f>
        <v>-20.4511314608695</v>
      </c>
      <c r="U24" s="31" t="n">
        <f aca="false">IF(U20&gt;0,(T22+U17+IF(Source_Data!U$6=Inputs!$B$12,Inputs!$B$7,0))/U20,"")</f>
        <v>-21.1620699565217</v>
      </c>
      <c r="V24" s="31" t="n">
        <f aca="false">IF(V20&gt;0,(U22+V17+IF(Source_Data!V$6=Inputs!$B$12,Inputs!$B$7,0))/V20,"")</f>
        <v>-22.3729406608695</v>
      </c>
      <c r="W24" s="31" t="n">
        <f aca="false">IF(W20&gt;0,(V22+W17+IF(Source_Data!W$6=Inputs!$B$12,Inputs!$B$7,0))/W20,"")</f>
        <v>-23.9461904956522</v>
      </c>
      <c r="X24" s="31" t="n">
        <f aca="false">IF(X20&gt;0,(W22+X17+IF(Source_Data!X$6=Inputs!$B$12,Inputs!$B$7,0))/X20,"")</f>
        <v>-23.1716142434782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12.5730899338982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-239.067658916666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-19.1958954782609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8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-23.9461904956522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7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51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-50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31.2903225806452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31.2903225806452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31.2903225806452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31.2903225806452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9.58333333333333</v>
      </c>
      <c r="N56" s="33" t="n">
        <f aca="false">IF(AND(Source_Data!N$6&gt;=Inputs!$B$54,Source_Data!N$6&lt;Inputs!$B$54+3*Inputs!$B$11),Inputs!$B$9*Inputs!$B$7/Inputs!$B$11,0)</f>
        <v>9.58333333333333</v>
      </c>
      <c r="O56" s="33" t="n">
        <f aca="false">IF(AND(Source_Data!O$6&gt;=Inputs!$B$54,Source_Data!O$6&lt;Inputs!$B$54+3*Inputs!$B$11),Inputs!$B$9*Inputs!$B$7/Inputs!$B$11,0)</f>
        <v>9.58333333333333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-50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9.58333333333333</v>
      </c>
      <c r="N57" s="33" t="n">
        <f aca="false">IF(Source_Data!N$6=Inputs!$B$12,-Inputs!$B$7,0)+N56</f>
        <v>9.58333333333333</v>
      </c>
      <c r="O57" s="33" t="n">
        <f aca="false">IF(Source_Data!O$6=Inputs!$B$12,-Inputs!$B$7,0)+O56</f>
        <v>9.58333333333333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-41.25</v>
      </c>
      <c r="E58" s="33" t="n">
        <f aca="false">D58+IF(Source_Data!E$6=Inputs!$B$12,Inputs!$B$7,0)+E53-E56</f>
        <v>-52.5</v>
      </c>
      <c r="F58" s="33" t="n">
        <f aca="false">E58+IF(Source_Data!F$6=Inputs!$B$12,Inputs!$B$7,0)+F53-F56</f>
        <v>-50.12468625</v>
      </c>
      <c r="G58" s="33" t="n">
        <f aca="false">F58+IF(Source_Data!G$6=Inputs!$B$12,Inputs!$B$7,0)+G53-G56</f>
        <v>-34.12405875</v>
      </c>
      <c r="H58" s="33" t="n">
        <f aca="false">G58+IF(Source_Data!H$6=Inputs!$B$12,Inputs!$B$7,0)+H53-H56</f>
        <v>-37.763253125</v>
      </c>
      <c r="I58" s="33" t="n">
        <f aca="false">H58+IF(Source_Data!I$6=Inputs!$B$12,Inputs!$B$7,0)+I53-I56</f>
        <v>-34.152269375</v>
      </c>
      <c r="J58" s="33" t="n">
        <f aca="false">I58+IF(Source_Data!J$6=Inputs!$B$12,Inputs!$B$7,0)+J53-J56</f>
        <v>-57.423390375</v>
      </c>
      <c r="K58" s="33" t="n">
        <f aca="false">J58+IF(Source_Data!K$6=Inputs!$B$12,Inputs!$B$7,0)+K53-K56</f>
        <v>-64.0574379375</v>
      </c>
      <c r="L58" s="33" t="n">
        <f aca="false">K58+IF(Source_Data!L$6=Inputs!$B$12,Inputs!$B$7,0)+L53-L56</f>
        <v>-64.44060834375</v>
      </c>
      <c r="M58" s="33" t="n">
        <f aca="false">L58+IF(Source_Data!M$6=Inputs!$B$12,Inputs!$B$7,0)+M53-M56</f>
        <v>299.025378072917</v>
      </c>
      <c r="N58" s="33" t="n">
        <f aca="false">M58+IF(Source_Data!N$6=Inputs!$B$12,Inputs!$B$7,0)+N53-N56</f>
        <v>410.349910739583</v>
      </c>
      <c r="O58" s="33" t="n">
        <f aca="false">N58+IF(Source_Data!O$6=Inputs!$B$12,Inputs!$B$7,0)+O53-O56</f>
        <v>513.53506840625</v>
      </c>
      <c r="P58" s="33" t="n">
        <f aca="false">O58+IF(Source_Data!P$6=Inputs!$B$12,Inputs!$B$7,0)+P53-P56</f>
        <v>401.603174072917</v>
      </c>
      <c r="Q58" s="33" t="n">
        <f aca="false">P58+IF(Source_Data!Q$6=Inputs!$B$12,Inputs!$B$7,0)+Q53-Q56</f>
        <v>264.864092614583</v>
      </c>
      <c r="R58" s="33" t="n">
        <f aca="false">Q58+IF(Source_Data!R$6=Inputs!$B$12,Inputs!$B$7,0)+R53-R56</f>
        <v>77.52501115625</v>
      </c>
      <c r="S58" s="33" t="n">
        <f aca="false">R58+IF(Source_Data!S$6=Inputs!$B$12,Inputs!$B$7,0)+S53-S56</f>
        <v>-56.3655701145834</v>
      </c>
      <c r="T58" s="33" t="n">
        <f aca="false">S58+IF(Source_Data!T$6=Inputs!$B$12,Inputs!$B$7,0)+T53-T56</f>
        <v>-55.8449277291667</v>
      </c>
      <c r="U58" s="33" t="n">
        <f aca="false">T58+IF(Source_Data!U$6=Inputs!$B$12,Inputs!$B$7,0)+U53-U56</f>
        <v>-56.68681671875</v>
      </c>
      <c r="V58" s="33" t="n">
        <f aca="false">U58+IF(Source_Data!V$6=Inputs!$B$12,Inputs!$B$7,0)+V53-V56</f>
        <v>-62.9185998333334</v>
      </c>
      <c r="W58" s="33" t="n">
        <f aca="false">V58+IF(Source_Data!W$6=Inputs!$B$12,Inputs!$B$7,0)+W53-W56</f>
        <v>-73.0572829479167</v>
      </c>
      <c r="X58" s="33" t="n">
        <f aca="false">W58+IF(Source_Data!X$6=Inputs!$B$12,Inputs!$B$7,0)+X53-X56</f>
        <v>-60.6959660625</v>
      </c>
      <c r="Y58" s="33" t="n">
        <f aca="false">X58+IF(Source_Data!Y$6=Inputs!$B$12,Inputs!$B$7,0)+Y53-Y56</f>
        <v>-45.30351271875</v>
      </c>
      <c r="Z58" s="33" t="n">
        <f aca="false">Y58+IF(Source_Data!Z$6=Inputs!$B$12,Inputs!$B$7,0)+Z53-Z56</f>
        <v>-29.911059375</v>
      </c>
      <c r="AA58" s="33" t="n">
        <f aca="false">Z58+IF(Source_Data!AA$6=Inputs!$B$12,Inputs!$B$7,0)+AA53-AA56</f>
        <v>-14.51860603125</v>
      </c>
      <c r="AB58" s="33" t="n">
        <f aca="false">AA58+IF(Source_Data!AB$6=Inputs!$B$12,Inputs!$B$7,0)+AB53-AB56</f>
        <v>18.1646473125</v>
      </c>
      <c r="AC58" s="33" t="n">
        <f aca="false">AB58+IF(Source_Data!AC$6=Inputs!$B$12,Inputs!$B$7,0)+AC53-AC56</f>
        <v>47.8994120625</v>
      </c>
      <c r="AD58" s="33" t="n">
        <f aca="false">AC58+IF(Source_Data!AD$6=Inputs!$B$12,Inputs!$B$7,0)+AD53-AD56</f>
        <v>74.3865661875</v>
      </c>
      <c r="AE58" s="33" t="n">
        <f aca="false">AD58+IF(Source_Data!AE$6=Inputs!$B$12,Inputs!$B$7,0)+AE53-AE56</f>
        <v>96.9668203125</v>
      </c>
      <c r="AF58" s="33" t="n">
        <f aca="false">AE58+IF(Source_Data!AF$6=Inputs!$B$12,Inputs!$B$7,0)+AF53-AF56</f>
        <v>68.9925996796397</v>
      </c>
      <c r="AG58" s="33" t="n">
        <f aca="false">AF58+IF(Source_Data!AG$6=Inputs!$B$12,Inputs!$B$7,0)+AG53-AG56</f>
        <v>86.4232525041855</v>
      </c>
      <c r="AH58" s="33" t="n">
        <f aca="false">AG58+IF(Source_Data!AH$6=Inputs!$B$12,Inputs!$B$7,0)+AH53-AH56</f>
        <v>103.853905328731</v>
      </c>
      <c r="AI58" s="33" t="n">
        <f aca="false">AH58+IF(Source_Data!AI$6=Inputs!$B$12,Inputs!$B$7,0)+AI53-AI56</f>
        <v>121.284558153277</v>
      </c>
      <c r="AJ58" s="33" t="n">
        <f aca="false">AI58+IF(Source_Data!AJ$6=Inputs!$B$12,Inputs!$B$7,0)+AJ53-AJ56</f>
        <v>138.715210977823</v>
      </c>
      <c r="AK58" s="33" t="n">
        <f aca="false">AJ58+IF(Source_Data!AK$6=Inputs!$B$12,Inputs!$B$7,0)+AK53-AK56</f>
        <v>154.62848846637</v>
      </c>
      <c r="AL58" s="33" t="n">
        <f aca="false">AK58+IF(Source_Data!AL$6=Inputs!$B$12,Inputs!$B$7,0)+AL53-AL56</f>
        <v>170.541765954917</v>
      </c>
      <c r="AM58" s="33" t="n">
        <f aca="false">AL58+IF(Source_Data!AM$6=Inputs!$B$12,Inputs!$B$7,0)+AM53-AM56</f>
        <v>183.561034831617</v>
      </c>
      <c r="AN58" s="33" t="n">
        <f aca="false">AM58+IF(Source_Data!AN$6=Inputs!$B$12,Inputs!$B$7,0)+AN53-AN56</f>
        <v>190.248795939845</v>
      </c>
      <c r="AO58" s="33" t="n">
        <f aca="false">AN58+IF(Source_Data!AO$6=Inputs!$B$12,Inputs!$B$7,0)+AO53-AO56</f>
        <v>192.72937475</v>
      </c>
      <c r="AP58" s="33" t="n">
        <f aca="false">AO58+IF(Source_Data!AP$6=Inputs!$B$12,Inputs!$B$7,0)+AP53-AP56</f>
        <v>192.72937475</v>
      </c>
      <c r="AQ58" s="33" t="n">
        <f aca="false">AP58+IF(Source_Data!AQ$6=Inputs!$B$12,Inputs!$B$7,0)+AQ53-AQ56</f>
        <v>192.72937475</v>
      </c>
      <c r="AR58" s="33" t="n">
        <f aca="false">AQ58+IF(Source_Data!AR$6=Inputs!$B$12,Inputs!$B$7,0)+AR53-AR56</f>
        <v>192.72937475</v>
      </c>
      <c r="AS58" s="33" t="n">
        <f aca="false">AR58+IF(Source_Data!AS$6=Inputs!$B$12,Inputs!$B$7,0)+AS53-AS56</f>
        <v>192.72937475</v>
      </c>
      <c r="AT58" s="33" t="n">
        <f aca="false">AS58+IF(Source_Data!AT$6=Inputs!$B$12,Inputs!$B$7,0)+AT53-AT56</f>
        <v>192.72937475</v>
      </c>
      <c r="AU58" s="33" t="n">
        <f aca="false">AT58+IF(Source_Data!AU$6=Inputs!$B$12,Inputs!$B$7,0)+AU53-AU56</f>
        <v>192.72937475</v>
      </c>
      <c r="AV58" s="33" t="n">
        <f aca="false">AU58+IF(Source_Data!AV$6=Inputs!$B$12,Inputs!$B$7,0)+AV53-AV56</f>
        <v>192.72937475</v>
      </c>
      <c r="AW58" s="33" t="n">
        <f aca="false">AV58+IF(Source_Data!AW$6=Inputs!$B$12,Inputs!$B$7,0)+AW53-AW56</f>
        <v>192.72937475</v>
      </c>
      <c r="AX58" s="33" t="n">
        <f aca="false">AW58+IF(Source_Data!AX$6=Inputs!$B$12,Inputs!$B$7,0)+AX53-AX56</f>
        <v>192.72937475</v>
      </c>
      <c r="AY58" s="33" t="n">
        <f aca="false">AX58+IF(Source_Data!AY$6=Inputs!$B$12,Inputs!$B$7,0)+AY53-AY56</f>
        <v>192.72937475</v>
      </c>
      <c r="AZ58" s="33" t="n">
        <f aca="false">AY58+IF(Source_Data!AZ$6=Inputs!$B$12,Inputs!$B$7,0)+AZ53-AZ56</f>
        <v>192.72937475</v>
      </c>
      <c r="BA58" s="33" t="n">
        <f aca="false">AZ58+IF(Source_Data!BA$6=Inputs!$B$12,Inputs!$B$7,0)+BA53-BA56</f>
        <v>192.72937475</v>
      </c>
      <c r="BB58" s="33" t="n">
        <f aca="false">BA58+IF(Source_Data!BB$6=Inputs!$B$12,Inputs!$B$7,0)+BB53-BB56</f>
        <v>192.72937475</v>
      </c>
      <c r="BC58" s="33" t="n">
        <f aca="false">BB58+IF(Source_Data!BC$6=Inputs!$B$12,Inputs!$B$7,0)+BC53-BC56</f>
        <v>192.72937475</v>
      </c>
      <c r="BD58" s="33" t="n">
        <f aca="false">BC58+IF(Source_Data!BD$6=Inputs!$B$12,Inputs!$B$7,0)+BD53-BD56</f>
        <v>192.72937475</v>
      </c>
      <c r="BE58" s="33" t="n">
        <f aca="false">BD58+IF(Source_Data!BE$6=Inputs!$B$12,Inputs!$B$7,0)+BE53-BE56</f>
        <v>192.72937475</v>
      </c>
      <c r="BF58" s="33" t="n">
        <f aca="false">BE58+IF(Source_Data!BF$6=Inputs!$B$12,Inputs!$B$7,0)+BF53-BF56</f>
        <v>192.72937475</v>
      </c>
      <c r="BG58" s="33" t="n">
        <f aca="false">BF58+IF(Source_Data!BG$6=Inputs!$B$12,Inputs!$B$7,0)+BG53-BG56</f>
        <v>192.72937475</v>
      </c>
      <c r="BH58" s="33" t="n">
        <f aca="false">BG58+IF(Source_Data!BH$6=Inputs!$B$12,Inputs!$B$7,0)+BH53-BH56</f>
        <v>192.72937475</v>
      </c>
      <c r="BI58" s="33" t="n">
        <f aca="false">BH58+IF(Source_Data!BI$6=Inputs!$B$12,Inputs!$B$7,0)+BI53-BI56</f>
        <v>192.72937475</v>
      </c>
      <c r="BJ58" s="33" t="n">
        <f aca="false">BI58+IF(Source_Data!BJ$6=Inputs!$B$12,Inputs!$B$7,0)+BJ53-BJ56</f>
        <v>192.72937475</v>
      </c>
      <c r="BK58" s="33" t="n">
        <f aca="false">BJ58+IF(Source_Data!BK$6=Inputs!$B$12,Inputs!$B$7,0)+BK53-BK56</f>
        <v>192.72937475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38.9268855391304</v>
      </c>
      <c r="N59" s="31" t="n">
        <f aca="false">IF(N56&gt;0,N53/N56,"")</f>
        <v>12.616472973913</v>
      </c>
      <c r="O59" s="31" t="n">
        <f aca="false">IF(O56&gt;0,O53/O56,"")</f>
        <v>11.7671468869565</v>
      </c>
      <c r="P59" s="31" t="n">
        <f aca="false">IF(P56&gt;0,P53/P56,"")</f>
        <v>-10.6798498434783</v>
      </c>
      <c r="Q59" s="31" t="n">
        <f aca="false">IF(Q56&gt;0,Q53/Q56,"")</f>
        <v>-13.2684258913044</v>
      </c>
      <c r="R59" s="31" t="n">
        <f aca="false">IF(R56&gt;0,R53/R56,"")</f>
        <v>-18.5484258913044</v>
      </c>
      <c r="S59" s="31" t="n">
        <f aca="false">IF(S56&gt;0,S53/S56,"")</f>
        <v>-12.9711910891304</v>
      </c>
      <c r="T59" s="31" t="n">
        <f aca="false">IF(T56&gt;0,T53/T56,"")</f>
        <v>1.05432790108696</v>
      </c>
      <c r="U59" s="31" t="n">
        <f aca="false">IF(U56&gt;0,U53/U56,"")</f>
        <v>0.912150714130435</v>
      </c>
      <c r="V59" s="31" t="n">
        <f aca="false">IF(V56&gt;0,V53/V56,"")</f>
        <v>0.349726979347826</v>
      </c>
      <c r="W59" s="31" t="n">
        <f aca="false">IF(W56&gt;0,W53/W56,"")</f>
        <v>-0.0579495423913045</v>
      </c>
      <c r="X59" s="31" t="n">
        <f aca="false">IF(X56&gt;0,X53/X56,"")</f>
        <v>2.28987654456522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32.2026481467391</v>
      </c>
      <c r="N60" s="31" t="n">
        <f aca="false">IF(N56&gt;0,(M58+N53+IF(Source_Data!N$6=Inputs!$B$12,Inputs!$B$7,0))/N56,"")</f>
        <v>43.8191211206522</v>
      </c>
      <c r="O60" s="31" t="n">
        <f aca="false">IF(O56&gt;0,(N58+O53+IF(Source_Data!O$6=Inputs!$B$12,Inputs!$B$7,0))/O56,"")</f>
        <v>54.5862680076087</v>
      </c>
      <c r="P60" s="31" t="n">
        <f aca="false">IF(P56&gt;0,(O58+P53+IF(Source_Data!P$6=Inputs!$B$12,Inputs!$B$7,0))/P56,"")</f>
        <v>42.9064181641304</v>
      </c>
      <c r="Q60" s="31" t="n">
        <f aca="false">IF(Q56&gt;0,(P58+Q53+IF(Source_Data!Q$6=Inputs!$B$12,Inputs!$B$7,0))/Q56,"")</f>
        <v>28.6379922728261</v>
      </c>
      <c r="R60" s="31" t="n">
        <f aca="false">IF(R56&gt;0,(Q58+R53+IF(Source_Data!R$6=Inputs!$B$12,Inputs!$B$7,0))/R56,"")</f>
        <v>9.08956638152174</v>
      </c>
      <c r="S60" s="31" t="n">
        <f aca="false">IF(S56&gt;0,(R58+S53+IF(Source_Data!S$6=Inputs!$B$12,Inputs!$B$7,0))/S56,"")</f>
        <v>-4.8816247076087</v>
      </c>
      <c r="T60" s="31" t="n">
        <f aca="false">IF(T56&gt;0,(S58+T53+IF(Source_Data!T$6=Inputs!$B$12,Inputs!$B$7,0))/T56,"")</f>
        <v>-4.82729680652174</v>
      </c>
      <c r="U60" s="31" t="n">
        <f aca="false">IF(U56&gt;0,(T58+U53+IF(Source_Data!U$6=Inputs!$B$12,Inputs!$B$7,0))/U56,"")</f>
        <v>-4.91514609239131</v>
      </c>
      <c r="V60" s="31" t="n">
        <f aca="false">IF(V56&gt;0,(U58+V53+IF(Source_Data!V$6=Inputs!$B$12,Inputs!$B$7,0))/V56,"")</f>
        <v>-5.56541911304348</v>
      </c>
      <c r="W60" s="31" t="n">
        <f aca="false">IF(W56&gt;0,(V58+W53+IF(Source_Data!W$6=Inputs!$B$12,Inputs!$B$7,0))/W56,"")</f>
        <v>-6.62336865543479</v>
      </c>
      <c r="X60" s="31" t="n">
        <f aca="false">IF(X56&gt;0,(W58+X53+IF(Source_Data!X$6=Inputs!$B$12,Inputs!$B$7,0))/X56,"")</f>
        <v>-5.33349211086957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116.041192139436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27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-73.0572829479167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-18.5484258913044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8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-6.62336865543479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6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-50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38.2437275985663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38.2437275985663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38.2437275985663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38.2437275985663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9.58333333333333</v>
      </c>
      <c r="N92" s="33" t="n">
        <f aca="false">IF(AND(Source_Data!N$6&gt;=Inputs!$B$54,Source_Data!N$6&lt;Inputs!$B$54+3*Inputs!$B$11),Inputs!$B$9*Inputs!$B$7/Inputs!$B$11,0)</f>
        <v>9.58333333333333</v>
      </c>
      <c r="O92" s="33" t="n">
        <f aca="false">IF(AND(Source_Data!O$6&gt;=Inputs!$B$54,Source_Data!O$6&lt;Inputs!$B$54+3*Inputs!$B$11),Inputs!$B$9*Inputs!$B$7/Inputs!$B$11,0)</f>
        <v>9.58333333333333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-50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9.58333333333333</v>
      </c>
      <c r="N93" s="33" t="n">
        <f aca="false">IF(Source_Data!N$6=Inputs!$B$12,-Inputs!$B$7,0)+N92</f>
        <v>9.58333333333333</v>
      </c>
      <c r="O93" s="33" t="n">
        <f aca="false">IF(Source_Data!O$6=Inputs!$B$12,-Inputs!$B$7,0)+O92</f>
        <v>9.58333333333333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-41.25</v>
      </c>
      <c r="E94" s="33" t="n">
        <f aca="false">D94+IF(Source_Data!E$6=Inputs!$B$12,Inputs!$B$7,0)+E89-E92</f>
        <v>-52.5</v>
      </c>
      <c r="F94" s="33" t="n">
        <f aca="false">E94+IF(Source_Data!F$6=Inputs!$B$12,Inputs!$B$7,0)+F89-F92</f>
        <v>-47.09683875</v>
      </c>
      <c r="G94" s="33" t="n">
        <f aca="false">F94+IF(Source_Data!G$6=Inputs!$B$12,Inputs!$B$7,0)+G89-G92</f>
        <v>-25.04051625</v>
      </c>
      <c r="H94" s="33" t="n">
        <f aca="false">G94+IF(Source_Data!H$6=Inputs!$B$12,Inputs!$B$7,0)+H89-H92</f>
        <v>-19.377309375</v>
      </c>
      <c r="I94" s="33" t="n">
        <f aca="false">H94+IF(Source_Data!I$6=Inputs!$B$12,Inputs!$B$7,0)+I89-I92</f>
        <v>-3.217218125</v>
      </c>
      <c r="J94" s="33" t="n">
        <f aca="false">I94+IF(Source_Data!J$6=Inputs!$B$12,Inputs!$B$7,0)+J89-J92</f>
        <v>-16.437477125</v>
      </c>
      <c r="K94" s="33" t="n">
        <f aca="false">J94+IF(Source_Data!K$6=Inputs!$B$12,Inputs!$B$7,0)+K89-K92</f>
        <v>-12.7990908125</v>
      </c>
      <c r="L94" s="33" t="n">
        <f aca="false">K94+IF(Source_Data!L$6=Inputs!$B$12,Inputs!$B$7,0)+L89-L92</f>
        <v>0.97925646875005</v>
      </c>
      <c r="M94" s="33" t="n">
        <f aca="false">L94+IF(Source_Data!M$6=Inputs!$B$12,Inputs!$B$7,0)+M89-M92</f>
        <v>461.591758385417</v>
      </c>
      <c r="N94" s="33" t="n">
        <f aca="false">M94+IF(Source_Data!N$6=Inputs!$B$12,Inputs!$B$7,0)+N89-N92</f>
        <v>608.634039052083</v>
      </c>
      <c r="O94" s="33" t="n">
        <f aca="false">N94+IF(Source_Data!O$6=Inputs!$B$12,Inputs!$B$7,0)+O89-O92</f>
        <v>745.72819471875</v>
      </c>
      <c r="P94" s="33" t="n">
        <f aca="false">O94+IF(Source_Data!P$6=Inputs!$B$12,Inputs!$B$7,0)+P89-P92</f>
        <v>651.718842385417</v>
      </c>
      <c r="Q94" s="33" t="n">
        <f aca="false">P94+IF(Source_Data!Q$6=Inputs!$B$12,Inputs!$B$7,0)+Q89-Q92</f>
        <v>527.389594677083</v>
      </c>
      <c r="R94" s="33" t="n">
        <f aca="false">Q94+IF(Source_Data!R$6=Inputs!$B$12,Inputs!$B$7,0)+R89-R92</f>
        <v>352.46034696875</v>
      </c>
      <c r="S94" s="33" t="n">
        <f aca="false">R94+IF(Source_Data!S$6=Inputs!$B$12,Inputs!$B$7,0)+S89-S92</f>
        <v>230.845932822917</v>
      </c>
      <c r="T94" s="33" t="n">
        <f aca="false">S94+IF(Source_Data!T$6=Inputs!$B$12,Inputs!$B$7,0)+T89-T92</f>
        <v>243.611903145833</v>
      </c>
      <c r="U94" s="33" t="n">
        <f aca="false">T94+IF(Source_Data!U$6=Inputs!$B$12,Inputs!$B$7,0)+U89-U92</f>
        <v>254.71255734375</v>
      </c>
      <c r="V94" s="33" t="n">
        <f aca="false">U94+IF(Source_Data!V$6=Inputs!$B$12,Inputs!$B$7,0)+V89-V92</f>
        <v>259.225563166667</v>
      </c>
      <c r="W94" s="33" t="n">
        <f aca="false">V94+IF(Source_Data!W$6=Inputs!$B$12,Inputs!$B$7,0)+W89-W92</f>
        <v>258.963468989583</v>
      </c>
      <c r="X94" s="33" t="n">
        <f aca="false">W94+IF(Source_Data!X$6=Inputs!$B$12,Inputs!$B$7,0)+X89-X92</f>
        <v>281.2013748125</v>
      </c>
      <c r="Y94" s="33" t="n">
        <f aca="false">X94+IF(Source_Data!Y$6=Inputs!$B$12,Inputs!$B$7,0)+Y89-Y92</f>
        <v>305.01437334375</v>
      </c>
      <c r="Z94" s="33" t="n">
        <f aca="false">Y94+IF(Source_Data!Z$6=Inputs!$B$12,Inputs!$B$7,0)+Z89-Z92</f>
        <v>328.827371875</v>
      </c>
      <c r="AA94" s="33" t="n">
        <f aca="false">Z94+IF(Source_Data!AA$6=Inputs!$B$12,Inputs!$B$7,0)+AA89-AA92</f>
        <v>352.64037040625</v>
      </c>
      <c r="AB94" s="33" t="n">
        <f aca="false">AA94+IF(Source_Data!AB$6=Inputs!$B$12,Inputs!$B$7,0)+AB89-AB92</f>
        <v>392.5865689375</v>
      </c>
      <c r="AC94" s="33" t="n">
        <f aca="false">AB94+IF(Source_Data!AC$6=Inputs!$B$12,Inputs!$B$7,0)+AC89-AC92</f>
        <v>428.9290591875</v>
      </c>
      <c r="AD94" s="33" t="n">
        <f aca="false">AC94+IF(Source_Data!AD$6=Inputs!$B$12,Inputs!$B$7,0)+AD89-AD92</f>
        <v>461.3022475625</v>
      </c>
      <c r="AE94" s="33" t="n">
        <f aca="false">AD94+IF(Source_Data!AE$6=Inputs!$B$12,Inputs!$B$7,0)+AE89-AE92</f>
        <v>488.9003359375</v>
      </c>
      <c r="AF94" s="33" t="n">
        <f aca="false">AE94+IF(Source_Data!AF$6=Inputs!$B$12,Inputs!$B$7,0)+AF89-AF92</f>
        <v>351.536478367235</v>
      </c>
      <c r="AG94" s="33" t="n">
        <f aca="false">AF94+IF(Source_Data!AG$6=Inputs!$B$12,Inputs!$B$7,0)+AG89-AG92</f>
        <v>362.331143198939</v>
      </c>
      <c r="AH94" s="33" t="n">
        <f aca="false">AG94+IF(Source_Data!AH$6=Inputs!$B$12,Inputs!$B$7,0)+AH89-AH92</f>
        <v>373.125808030643</v>
      </c>
      <c r="AI94" s="33" t="n">
        <f aca="false">AH94+IF(Source_Data!AI$6=Inputs!$B$12,Inputs!$B$7,0)+AI89-AI92</f>
        <v>383.920472862348</v>
      </c>
      <c r="AJ94" s="33" t="n">
        <f aca="false">AI94+IF(Source_Data!AJ$6=Inputs!$B$12,Inputs!$B$7,0)+AJ89-AJ92</f>
        <v>394.715137694052</v>
      </c>
      <c r="AK94" s="33" t="n">
        <f aca="false">AJ94+IF(Source_Data!AK$6=Inputs!$B$12,Inputs!$B$7,0)+AK89-AK92</f>
        <v>404.57010403363</v>
      </c>
      <c r="AL94" s="33" t="n">
        <f aca="false">AK94+IF(Source_Data!AL$6=Inputs!$B$12,Inputs!$B$7,0)+AL89-AL92</f>
        <v>414.425070373208</v>
      </c>
      <c r="AM94" s="33" t="n">
        <f aca="false">AL94+IF(Source_Data!AM$6=Inputs!$B$12,Inputs!$B$7,0)+AM89-AM92</f>
        <v>422.487800168383</v>
      </c>
      <c r="AN94" s="33" t="n">
        <f aca="false">AM94+IF(Source_Data!AN$6=Inputs!$B$12,Inputs!$B$7,0)+AN89-AN92</f>
        <v>426.629477497654</v>
      </c>
      <c r="AO94" s="33" t="n">
        <f aca="false">AN94+IF(Source_Data!AO$6=Inputs!$B$12,Inputs!$B$7,0)+AO89-AO92</f>
        <v>428.16568025</v>
      </c>
      <c r="AP94" s="33" t="n">
        <f aca="false">AO94+IF(Source_Data!AP$6=Inputs!$B$12,Inputs!$B$7,0)+AP89-AP92</f>
        <v>428.16568025</v>
      </c>
      <c r="AQ94" s="33" t="n">
        <f aca="false">AP94+IF(Source_Data!AQ$6=Inputs!$B$12,Inputs!$B$7,0)+AQ89-AQ92</f>
        <v>428.16568025</v>
      </c>
      <c r="AR94" s="33" t="n">
        <f aca="false">AQ94+IF(Source_Data!AR$6=Inputs!$B$12,Inputs!$B$7,0)+AR89-AR92</f>
        <v>428.16568025</v>
      </c>
      <c r="AS94" s="33" t="n">
        <f aca="false">AR94+IF(Source_Data!AS$6=Inputs!$B$12,Inputs!$B$7,0)+AS89-AS92</f>
        <v>428.16568025</v>
      </c>
      <c r="AT94" s="33" t="n">
        <f aca="false">AS94+IF(Source_Data!AT$6=Inputs!$B$12,Inputs!$B$7,0)+AT89-AT92</f>
        <v>428.16568025</v>
      </c>
      <c r="AU94" s="33" t="n">
        <f aca="false">AT94+IF(Source_Data!AU$6=Inputs!$B$12,Inputs!$B$7,0)+AU89-AU92</f>
        <v>428.16568025</v>
      </c>
      <c r="AV94" s="33" t="n">
        <f aca="false">AU94+IF(Source_Data!AV$6=Inputs!$B$12,Inputs!$B$7,0)+AV89-AV92</f>
        <v>428.16568025</v>
      </c>
      <c r="AW94" s="33" t="n">
        <f aca="false">AV94+IF(Source_Data!AW$6=Inputs!$B$12,Inputs!$B$7,0)+AW89-AW92</f>
        <v>428.16568025</v>
      </c>
      <c r="AX94" s="33" t="n">
        <f aca="false">AW94+IF(Source_Data!AX$6=Inputs!$B$12,Inputs!$B$7,0)+AX89-AX92</f>
        <v>428.16568025</v>
      </c>
      <c r="AY94" s="33" t="n">
        <f aca="false">AX94+IF(Source_Data!AY$6=Inputs!$B$12,Inputs!$B$7,0)+AY89-AY92</f>
        <v>428.16568025</v>
      </c>
      <c r="AZ94" s="33" t="n">
        <f aca="false">AY94+IF(Source_Data!AZ$6=Inputs!$B$12,Inputs!$B$7,0)+AZ89-AZ92</f>
        <v>428.16568025</v>
      </c>
      <c r="BA94" s="33" t="n">
        <f aca="false">AZ94+IF(Source_Data!BA$6=Inputs!$B$12,Inputs!$B$7,0)+BA89-BA92</f>
        <v>428.16568025</v>
      </c>
      <c r="BB94" s="33" t="n">
        <f aca="false">BA94+IF(Source_Data!BB$6=Inputs!$B$12,Inputs!$B$7,0)+BB89-BB92</f>
        <v>428.16568025</v>
      </c>
      <c r="BC94" s="33" t="n">
        <f aca="false">BB94+IF(Source_Data!BC$6=Inputs!$B$12,Inputs!$B$7,0)+BC89-BC92</f>
        <v>428.16568025</v>
      </c>
      <c r="BD94" s="33" t="n">
        <f aca="false">BC94+IF(Source_Data!BD$6=Inputs!$B$12,Inputs!$B$7,0)+BD89-BD92</f>
        <v>428.16568025</v>
      </c>
      <c r="BE94" s="33" t="n">
        <f aca="false">BD94+IF(Source_Data!BE$6=Inputs!$B$12,Inputs!$B$7,0)+BE89-BE92</f>
        <v>428.16568025</v>
      </c>
      <c r="BF94" s="33" t="n">
        <f aca="false">BE94+IF(Source_Data!BF$6=Inputs!$B$12,Inputs!$B$7,0)+BF89-BF92</f>
        <v>428.16568025</v>
      </c>
      <c r="BG94" s="33" t="n">
        <f aca="false">BF94+IF(Source_Data!BG$6=Inputs!$B$12,Inputs!$B$7,0)+BG89-BG92</f>
        <v>428.16568025</v>
      </c>
      <c r="BH94" s="33" t="n">
        <f aca="false">BG94+IF(Source_Data!BH$6=Inputs!$B$12,Inputs!$B$7,0)+BH89-BH92</f>
        <v>428.16568025</v>
      </c>
      <c r="BI94" s="33" t="n">
        <f aca="false">BH94+IF(Source_Data!BI$6=Inputs!$B$12,Inputs!$B$7,0)+BI89-BI92</f>
        <v>428.16568025</v>
      </c>
      <c r="BJ94" s="33" t="n">
        <f aca="false">BI94+IF(Source_Data!BJ$6=Inputs!$B$12,Inputs!$B$7,0)+BJ89-BJ92</f>
        <v>428.16568025</v>
      </c>
      <c r="BK94" s="33" t="n">
        <f aca="false">BJ94+IF(Source_Data!BK$6=Inputs!$B$12,Inputs!$B$7,0)+BK89-BK92</f>
        <v>428.16568025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49.0639132434783</v>
      </c>
      <c r="N95" s="31" t="n">
        <f aca="false">IF(N92&gt;0,N89/N92,"")</f>
        <v>16.3435423304348</v>
      </c>
      <c r="O95" s="31" t="n">
        <f aca="false">IF(O92&gt;0,O89/O92,"")</f>
        <v>15.3054771130435</v>
      </c>
      <c r="P95" s="31" t="n">
        <f aca="false">IF(P92&gt;0,P89/P92,"")</f>
        <v>-8.80967154782609</v>
      </c>
      <c r="Q95" s="31" t="n">
        <f aca="false">IF(Q92&gt;0,Q89/Q92,"")</f>
        <v>-11.9734867173913</v>
      </c>
      <c r="R95" s="31" t="n">
        <f aca="false">IF(R92&gt;0,R89/R92,"")</f>
        <v>-17.2534867173913</v>
      </c>
      <c r="S95" s="31" t="n">
        <f aca="false">IF(S92&gt;0,S89/S92,"")</f>
        <v>-11.6901997369565</v>
      </c>
      <c r="T95" s="31" t="n">
        <f aca="false">IF(T92&gt;0,T89/T92,"")</f>
        <v>2.33210125108696</v>
      </c>
      <c r="U95" s="31" t="n">
        <f aca="false">IF(U92&gt;0,U89/U92,"")</f>
        <v>2.15832913369565</v>
      </c>
      <c r="V95" s="31" t="n">
        <f aca="false">IF(V92&gt;0,V89/V92,"")</f>
        <v>1.47092234673913</v>
      </c>
      <c r="W95" s="31" t="n">
        <f aca="false">IF(W92&gt;0,W89/W92,"")</f>
        <v>0.972651042391305</v>
      </c>
      <c r="X95" s="31" t="n">
        <f aca="false">IF(X92&gt;0,X89/X92,"")</f>
        <v>3.32047712934783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49.1660965271739</v>
      </c>
      <c r="N96" s="31" t="n">
        <f aca="false">IF(N92&gt;0,(M94+N89+IF(Source_Data!N$6=Inputs!$B$12,Inputs!$B$7,0))/N92,"")</f>
        <v>64.5096388576087</v>
      </c>
      <c r="O96" s="31" t="n">
        <f aca="false">IF(O92&gt;0,(N94+O89+IF(Source_Data!O$6=Inputs!$B$12,Inputs!$B$7,0))/O92,"")</f>
        <v>78.8151159706522</v>
      </c>
      <c r="P96" s="31" t="n">
        <f aca="false">IF(P92&gt;0,(O94+P89+IF(Source_Data!P$6=Inputs!$B$12,Inputs!$B$7,0))/P92,"")</f>
        <v>69.0054444228261</v>
      </c>
      <c r="Q96" s="31" t="n">
        <f aca="false">IF(Q92&gt;0,(P94+Q89+IF(Source_Data!Q$6=Inputs!$B$12,Inputs!$B$7,0))/Q92,"")</f>
        <v>56.0319577054348</v>
      </c>
      <c r="R96" s="31" t="n">
        <f aca="false">IF(R92&gt;0,(Q94+R89+IF(Source_Data!R$6=Inputs!$B$12,Inputs!$B$7,0))/R92,"")</f>
        <v>37.7784709880435</v>
      </c>
      <c r="S96" s="31" t="n">
        <f aca="false">IF(S92&gt;0,(R94+S89+IF(Source_Data!S$6=Inputs!$B$12,Inputs!$B$7,0))/S92,"")</f>
        <v>25.0882712510869</v>
      </c>
      <c r="T96" s="31" t="n">
        <f aca="false">IF(T92&gt;0,(S94+T89+IF(Source_Data!T$6=Inputs!$B$12,Inputs!$B$7,0))/T92,"")</f>
        <v>26.4203725021739</v>
      </c>
      <c r="U96" s="31" t="n">
        <f aca="false">IF(U92&gt;0,(T94+U89+IF(Source_Data!U$6=Inputs!$B$12,Inputs!$B$7,0))/U92,"")</f>
        <v>27.5787016358696</v>
      </c>
      <c r="V96" s="31" t="n">
        <f aca="false">IF(V92&gt;0,(U94+V89+IF(Source_Data!V$6=Inputs!$B$12,Inputs!$B$7,0))/V92,"")</f>
        <v>28.0496239826087</v>
      </c>
      <c r="W96" s="31" t="n">
        <f aca="false">IF(W92&gt;0,(V94+W89+IF(Source_Data!W$6=Inputs!$B$12,Inputs!$B$7,0))/W92,"")</f>
        <v>28.022275025</v>
      </c>
      <c r="X96" s="31" t="n">
        <f aca="false">IF(X92&gt;0,(W94+X89+IF(Source_Data!X$6=Inputs!$B$12,Inputs!$B$7,0))/X92,"")</f>
        <v>30.3427521543478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-52.5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-17.2534867173913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6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25.0882712510869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222.165681538967</v>
      </c>
      <c r="AG121" s="33" t="n">
        <f aca="false">Source_Data!AG$9+Source_Data!AG$10*IF(Source_Data!$C$10=0,0,MAX(0,Inputs!$B$19*Inputs!$B$22*$B$113-Inputs!$B$20)/Source_Data!$C$10)</f>
        <v>22.6303346647167</v>
      </c>
      <c r="AH121" s="33" t="n">
        <f aca="false">Source_Data!AH$9+Source_Data!AH$10*IF(Source_Data!$C$10=0,0,MAX(0,Inputs!$B$19*Inputs!$B$22*$B$113-Inputs!$B$20)/Source_Data!$C$10)</f>
        <v>22.6303346647167</v>
      </c>
      <c r="AI121" s="33" t="n">
        <f aca="false">Source_Data!AI$9+Source_Data!AI$10*IF(Source_Data!$C$10=0,0,MAX(0,Inputs!$B$19*Inputs!$B$22*$B$113-Inputs!$B$20)/Source_Data!$C$10)</f>
        <v>22.6303346647167</v>
      </c>
      <c r="AJ121" s="33" t="n">
        <f aca="false">Source_Data!AJ$9+Source_Data!AJ$10*IF(Source_Data!$C$10=0,0,MAX(0,Inputs!$B$19*Inputs!$B$22*$B$113-Inputs!$B$20)/Source_Data!$C$10)</f>
        <v>22.6303346647167</v>
      </c>
      <c r="AK121" s="33" t="n">
        <f aca="false">Source_Data!AK$9+Source_Data!AK$10*IF(Source_Data!$C$10=0,0,MAX(0,Inputs!$B$19*Inputs!$B$22*$B$113-Inputs!$B$20)/Source_Data!$C$10)</f>
        <v>20.6603159849066</v>
      </c>
      <c r="AL121" s="33" t="n">
        <f aca="false">Source_Data!AL$9+Source_Data!AL$10*IF(Source_Data!$C$10=0,0,MAX(0,Inputs!$B$19*Inputs!$B$22*$B$113-Inputs!$B$20)/Source_Data!$C$10)</f>
        <v>20.6603159849066</v>
      </c>
      <c r="AM121" s="33" t="n">
        <f aca="false">Source_Data!AM$9+Source_Data!AM$10*IF(Source_Data!$C$10=0,0,MAX(0,Inputs!$B$19*Inputs!$B$22*$B$113-Inputs!$B$20)/Source_Data!$C$10)</f>
        <v>16.9030049955877</v>
      </c>
      <c r="AN121" s="33" t="n">
        <f aca="false">Source_Data!AN$9+Source_Data!AN$10*IF(Source_Data!$C$10=0,0,MAX(0,Inputs!$B$19*Inputs!$B$22*$B$113-Inputs!$B$20)/Source_Data!$C$10)</f>
        <v>8.68276556020633</v>
      </c>
      <c r="AO121" s="33" t="n">
        <f aca="false">Source_Data!AO$9+Source_Data!AO$10*IF(Source_Data!$C$10=0,0,MAX(0,Inputs!$B$19*Inputs!$B$22*$B$113-Inputs!$B$20)/Source_Data!$C$10)</f>
        <v>3.22055227655906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-50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41.7204301075269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41.7204301075269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41.7204301075269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41.7204301075269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9.58333333333333</v>
      </c>
      <c r="N128" s="33" t="n">
        <f aca="false">IF(AND(Source_Data!N$6&gt;=Inputs!$B$54,Source_Data!N$6&lt;Inputs!$B$54+3*Inputs!$B$11),Inputs!$B$9*Inputs!$B$7/Inputs!$B$11,0)</f>
        <v>9.58333333333333</v>
      </c>
      <c r="O128" s="33" t="n">
        <f aca="false">IF(AND(Source_Data!O$6&gt;=Inputs!$B$54,Source_Data!O$6&lt;Inputs!$B$54+3*Inputs!$B$11),Inputs!$B$9*Inputs!$B$7/Inputs!$B$11,0)</f>
        <v>9.58333333333333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-50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9.58333333333333</v>
      </c>
      <c r="N129" s="33" t="n">
        <f aca="false">IF(Source_Data!N$6=Inputs!$B$12,-Inputs!$B$7,0)+N128</f>
        <v>9.58333333333333</v>
      </c>
      <c r="O129" s="33" t="n">
        <f aca="false">IF(Source_Data!O$6=Inputs!$B$12,-Inputs!$B$7,0)+O128</f>
        <v>9.58333333333333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-41.25</v>
      </c>
      <c r="E130" s="33" t="n">
        <f aca="false">D130+IF(Source_Data!E$6=Inputs!$B$12,Inputs!$B$7,0)+E125-E128</f>
        <v>-52.5</v>
      </c>
      <c r="F130" s="33" t="n">
        <f aca="false">E130+IF(Source_Data!F$6=Inputs!$B$12,Inputs!$B$7,0)+F125-F128</f>
        <v>-45.582915</v>
      </c>
      <c r="G130" s="33" t="n">
        <f aca="false">F130+IF(Source_Data!G$6=Inputs!$B$12,Inputs!$B$7,0)+G125-G128</f>
        <v>-20.498745</v>
      </c>
      <c r="H130" s="33" t="n">
        <f aca="false">G130+IF(Source_Data!H$6=Inputs!$B$12,Inputs!$B$7,0)+H125-H128</f>
        <v>-10.1843375</v>
      </c>
      <c r="I130" s="33" t="n">
        <f aca="false">H130+IF(Source_Data!I$6=Inputs!$B$12,Inputs!$B$7,0)+I125-I128</f>
        <v>12.2503075</v>
      </c>
      <c r="J130" s="33" t="n">
        <f aca="false">I130+IF(Source_Data!J$6=Inputs!$B$12,Inputs!$B$7,0)+J125-J128</f>
        <v>4.05547949999997</v>
      </c>
      <c r="K130" s="33" t="n">
        <f aca="false">J130+IF(Source_Data!K$6=Inputs!$B$12,Inputs!$B$7,0)+K125-K128</f>
        <v>12.83008275</v>
      </c>
      <c r="L130" s="33" t="n">
        <f aca="false">K130+IF(Source_Data!L$6=Inputs!$B$12,Inputs!$B$7,0)+L125-L128</f>
        <v>33.689188875</v>
      </c>
      <c r="M130" s="33" t="n">
        <f aca="false">L130+IF(Source_Data!M$6=Inputs!$B$12,Inputs!$B$7,0)+M125-M128</f>
        <v>542.874948541667</v>
      </c>
      <c r="N130" s="33" t="n">
        <f aca="false">M130+IF(Source_Data!N$6=Inputs!$B$12,Inputs!$B$7,0)+N125-N128</f>
        <v>707.776103208333</v>
      </c>
      <c r="O130" s="33" t="n">
        <f aca="false">N130+IF(Source_Data!O$6=Inputs!$B$12,Inputs!$B$7,0)+O125-O128</f>
        <v>861.824757875</v>
      </c>
      <c r="P130" s="33" t="n">
        <f aca="false">O130+IF(Source_Data!P$6=Inputs!$B$12,Inputs!$B$7,0)+P125-P128</f>
        <v>776.776676541667</v>
      </c>
      <c r="Q130" s="33" t="n">
        <f aca="false">P130+IF(Source_Data!Q$6=Inputs!$B$12,Inputs!$B$7,0)+Q125-Q128</f>
        <v>658.652345708333</v>
      </c>
      <c r="R130" s="33" t="n">
        <f aca="false">Q130+IF(Source_Data!R$6=Inputs!$B$12,Inputs!$B$7,0)+R125-R128</f>
        <v>489.928014875</v>
      </c>
      <c r="S130" s="33" t="n">
        <f aca="false">R130+IF(Source_Data!S$6=Inputs!$B$12,Inputs!$B$7,0)+S125-S128</f>
        <v>374.451684291666</v>
      </c>
      <c r="T130" s="33" t="n">
        <f aca="false">S130+IF(Source_Data!T$6=Inputs!$B$12,Inputs!$B$7,0)+T125-T128</f>
        <v>393.340318583333</v>
      </c>
      <c r="U130" s="33" t="n">
        <f aca="false">T130+IF(Source_Data!U$6=Inputs!$B$12,Inputs!$B$7,0)+U125-U128</f>
        <v>410.412244375</v>
      </c>
      <c r="V130" s="33" t="n">
        <f aca="false">U130+IF(Source_Data!V$6=Inputs!$B$12,Inputs!$B$7,0)+V125-V128</f>
        <v>420.297644666667</v>
      </c>
      <c r="W130" s="33" t="n">
        <f aca="false">V130+IF(Source_Data!W$6=Inputs!$B$12,Inputs!$B$7,0)+W125-W128</f>
        <v>424.973844958333</v>
      </c>
      <c r="X130" s="33" t="n">
        <f aca="false">W130+IF(Source_Data!X$6=Inputs!$B$12,Inputs!$B$7,0)+X125-X128</f>
        <v>452.15004525</v>
      </c>
      <c r="Y130" s="33" t="n">
        <f aca="false">X130+IF(Source_Data!Y$6=Inputs!$B$12,Inputs!$B$7,0)+Y125-Y128</f>
        <v>480.173316375</v>
      </c>
      <c r="Z130" s="33" t="n">
        <f aca="false">Y130+IF(Source_Data!Z$6=Inputs!$B$12,Inputs!$B$7,0)+Z125-Z128</f>
        <v>508.1965875</v>
      </c>
      <c r="AA130" s="33" t="n">
        <f aca="false">Z130+IF(Source_Data!AA$6=Inputs!$B$12,Inputs!$B$7,0)+AA125-AA128</f>
        <v>536.219858625</v>
      </c>
      <c r="AB130" s="33" t="n">
        <f aca="false">AA130+IF(Source_Data!AB$6=Inputs!$B$12,Inputs!$B$7,0)+AB125-AB128</f>
        <v>579.79752975</v>
      </c>
      <c r="AC130" s="33" t="n">
        <f aca="false">AB130+IF(Source_Data!AC$6=Inputs!$B$12,Inputs!$B$7,0)+AC125-AC128</f>
        <v>619.44388275</v>
      </c>
      <c r="AD130" s="33" t="n">
        <f aca="false">AC130+IF(Source_Data!AD$6=Inputs!$B$12,Inputs!$B$7,0)+AD125-AD128</f>
        <v>654.76008825</v>
      </c>
      <c r="AE130" s="33" t="n">
        <f aca="false">AD130+IF(Source_Data!AE$6=Inputs!$B$12,Inputs!$B$7,0)+AE125-AE128</f>
        <v>684.86709375</v>
      </c>
      <c r="AF130" s="33" t="n">
        <f aca="false">AE130+IF(Source_Data!AF$6=Inputs!$B$12,Inputs!$B$7,0)+AF125-AF128</f>
        <v>492.808417711033</v>
      </c>
      <c r="AG130" s="33" t="n">
        <f aca="false">AF130+IF(Source_Data!AG$6=Inputs!$B$12,Inputs!$B$7,0)+AG125-AG128</f>
        <v>500.285088546316</v>
      </c>
      <c r="AH130" s="33" t="n">
        <f aca="false">AG130+IF(Source_Data!AH$6=Inputs!$B$12,Inputs!$B$7,0)+AH125-AH128</f>
        <v>507.7617593816</v>
      </c>
      <c r="AI130" s="33" t="n">
        <f aca="false">AH130+IF(Source_Data!AI$6=Inputs!$B$12,Inputs!$B$7,0)+AI125-AI128</f>
        <v>515.238430216883</v>
      </c>
      <c r="AJ130" s="33" t="n">
        <f aca="false">AI130+IF(Source_Data!AJ$6=Inputs!$B$12,Inputs!$B$7,0)+AJ125-AJ128</f>
        <v>522.715101052167</v>
      </c>
      <c r="AK130" s="33" t="n">
        <f aca="false">AJ130+IF(Source_Data!AK$6=Inputs!$B$12,Inputs!$B$7,0)+AK125-AK128</f>
        <v>529.54091181726</v>
      </c>
      <c r="AL130" s="33" t="n">
        <f aca="false">AK130+IF(Source_Data!AL$6=Inputs!$B$12,Inputs!$B$7,0)+AL125-AL128</f>
        <v>536.366722582353</v>
      </c>
      <c r="AM130" s="33" t="n">
        <f aca="false">AL130+IF(Source_Data!AM$6=Inputs!$B$12,Inputs!$B$7,0)+AM125-AM128</f>
        <v>541.951182836766</v>
      </c>
      <c r="AN130" s="33" t="n">
        <f aca="false">AM130+IF(Source_Data!AN$6=Inputs!$B$12,Inputs!$B$7,0)+AN125-AN128</f>
        <v>544.819818276559</v>
      </c>
      <c r="AO130" s="33" t="n">
        <f aca="false">AN130+IF(Source_Data!AO$6=Inputs!$B$12,Inputs!$B$7,0)+AO125-AO128</f>
        <v>545.883833</v>
      </c>
      <c r="AP130" s="33" t="n">
        <f aca="false">AO130+IF(Source_Data!AP$6=Inputs!$B$12,Inputs!$B$7,0)+AP125-AP128</f>
        <v>545.883833</v>
      </c>
      <c r="AQ130" s="33" t="n">
        <f aca="false">AP130+IF(Source_Data!AQ$6=Inputs!$B$12,Inputs!$B$7,0)+AQ125-AQ128</f>
        <v>545.883833</v>
      </c>
      <c r="AR130" s="33" t="n">
        <f aca="false">AQ130+IF(Source_Data!AR$6=Inputs!$B$12,Inputs!$B$7,0)+AR125-AR128</f>
        <v>545.883833</v>
      </c>
      <c r="AS130" s="33" t="n">
        <f aca="false">AR130+IF(Source_Data!AS$6=Inputs!$B$12,Inputs!$B$7,0)+AS125-AS128</f>
        <v>545.883833</v>
      </c>
      <c r="AT130" s="33" t="n">
        <f aca="false">AS130+IF(Source_Data!AT$6=Inputs!$B$12,Inputs!$B$7,0)+AT125-AT128</f>
        <v>545.883833</v>
      </c>
      <c r="AU130" s="33" t="n">
        <f aca="false">AT130+IF(Source_Data!AU$6=Inputs!$B$12,Inputs!$B$7,0)+AU125-AU128</f>
        <v>545.883833</v>
      </c>
      <c r="AV130" s="33" t="n">
        <f aca="false">AU130+IF(Source_Data!AV$6=Inputs!$B$12,Inputs!$B$7,0)+AV125-AV128</f>
        <v>545.883833</v>
      </c>
      <c r="AW130" s="33" t="n">
        <f aca="false">AV130+IF(Source_Data!AW$6=Inputs!$B$12,Inputs!$B$7,0)+AW125-AW128</f>
        <v>545.883833</v>
      </c>
      <c r="AX130" s="33" t="n">
        <f aca="false">AW130+IF(Source_Data!AX$6=Inputs!$B$12,Inputs!$B$7,0)+AX125-AX128</f>
        <v>545.883833</v>
      </c>
      <c r="AY130" s="33" t="n">
        <f aca="false">AX130+IF(Source_Data!AY$6=Inputs!$B$12,Inputs!$B$7,0)+AY125-AY128</f>
        <v>545.883833</v>
      </c>
      <c r="AZ130" s="33" t="n">
        <f aca="false">AY130+IF(Source_Data!AZ$6=Inputs!$B$12,Inputs!$B$7,0)+AZ125-AZ128</f>
        <v>545.883833</v>
      </c>
      <c r="BA130" s="33" t="n">
        <f aca="false">AZ130+IF(Source_Data!BA$6=Inputs!$B$12,Inputs!$B$7,0)+BA125-BA128</f>
        <v>545.883833</v>
      </c>
      <c r="BB130" s="33" t="n">
        <f aca="false">BA130+IF(Source_Data!BB$6=Inputs!$B$12,Inputs!$B$7,0)+BB125-BB128</f>
        <v>545.883833</v>
      </c>
      <c r="BC130" s="33" t="n">
        <f aca="false">BB130+IF(Source_Data!BC$6=Inputs!$B$12,Inputs!$B$7,0)+BC125-BC128</f>
        <v>545.883833</v>
      </c>
      <c r="BD130" s="33" t="n">
        <f aca="false">BC130+IF(Source_Data!BD$6=Inputs!$B$12,Inputs!$B$7,0)+BD125-BD128</f>
        <v>545.883833</v>
      </c>
      <c r="BE130" s="33" t="n">
        <f aca="false">BD130+IF(Source_Data!BE$6=Inputs!$B$12,Inputs!$B$7,0)+BE125-BE128</f>
        <v>545.883833</v>
      </c>
      <c r="BF130" s="33" t="n">
        <f aca="false">BE130+IF(Source_Data!BF$6=Inputs!$B$12,Inputs!$B$7,0)+BF125-BF128</f>
        <v>545.883833</v>
      </c>
      <c r="BG130" s="33" t="n">
        <f aca="false">BF130+IF(Source_Data!BG$6=Inputs!$B$12,Inputs!$B$7,0)+BG125-BG128</f>
        <v>545.883833</v>
      </c>
      <c r="BH130" s="33" t="n">
        <f aca="false">BG130+IF(Source_Data!BH$6=Inputs!$B$12,Inputs!$B$7,0)+BH125-BH128</f>
        <v>545.883833</v>
      </c>
      <c r="BI130" s="33" t="n">
        <f aca="false">BH130+IF(Source_Data!BI$6=Inputs!$B$12,Inputs!$B$7,0)+BI125-BI128</f>
        <v>545.883833</v>
      </c>
      <c r="BJ130" s="33" t="n">
        <f aca="false">BI130+IF(Source_Data!BJ$6=Inputs!$B$12,Inputs!$B$7,0)+BJ125-BJ128</f>
        <v>545.883833</v>
      </c>
      <c r="BK130" s="33" t="n">
        <f aca="false">BJ130+IF(Source_Data!BK$6=Inputs!$B$12,Inputs!$B$7,0)+BK125-BK128</f>
        <v>545.883833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54.1324270956522</v>
      </c>
      <c r="N131" s="31" t="n">
        <f aca="false">IF(N128&gt;0,N125/N128,"")</f>
        <v>18.2070770086957</v>
      </c>
      <c r="O131" s="31" t="n">
        <f aca="false">IF(O128&gt;0,O125/O128,"")</f>
        <v>17.074642226087</v>
      </c>
      <c r="P131" s="31" t="n">
        <f aca="false">IF(P128&gt;0,P125/P128,"")</f>
        <v>-7.8745824</v>
      </c>
      <c r="Q131" s="31" t="n">
        <f aca="false">IF(Q128&gt;0,Q125/Q128,"")</f>
        <v>-11.3260171304348</v>
      </c>
      <c r="R131" s="31" t="n">
        <f aca="false">IF(R128&gt;0,R125/R128,"")</f>
        <v>-16.6060171304348</v>
      </c>
      <c r="S131" s="31" t="n">
        <f aca="false">IF(S128&gt;0,S125/S128,"")</f>
        <v>-11.0497040608696</v>
      </c>
      <c r="T131" s="31" t="n">
        <f aca="false">IF(T128&gt;0,T125/T128,"")</f>
        <v>2.97098792608696</v>
      </c>
      <c r="U131" s="31" t="n">
        <f aca="false">IF(U128&gt;0,U125/U128,"")</f>
        <v>2.78141834347826</v>
      </c>
      <c r="V131" s="31" t="n">
        <f aca="false">IF(V128&gt;0,V125/V128,"")</f>
        <v>2.03152003043478</v>
      </c>
      <c r="W131" s="31" t="n">
        <f aca="false">IF(W128&gt;0,W125/W128,"")</f>
        <v>1.48795133478261</v>
      </c>
      <c r="X131" s="31" t="n">
        <f aca="false">IF(X128&gt;0,X125/X128,"")</f>
        <v>3.83577742173913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57.6478207173913</v>
      </c>
      <c r="N132" s="31" t="n">
        <f aca="false">IF(N128&gt;0,(M130+N125+IF(Source_Data!N$6=Inputs!$B$12,Inputs!$B$7,0))/N128,"")</f>
        <v>74.854897726087</v>
      </c>
      <c r="O132" s="31" t="n">
        <f aca="false">IF(O128&gt;0,(N130+O125+IF(Source_Data!O$6=Inputs!$B$12,Inputs!$B$7,0))/O128,"")</f>
        <v>90.9295399521739</v>
      </c>
      <c r="P132" s="31" t="n">
        <f aca="false">IF(P128&gt;0,(O130+P125+IF(Source_Data!P$6=Inputs!$B$12,Inputs!$B$7,0))/P128,"")</f>
        <v>82.0549575521739</v>
      </c>
      <c r="Q132" s="31" t="n">
        <f aca="false">IF(Q128&gt;0,(P130+Q125+IF(Source_Data!Q$6=Inputs!$B$12,Inputs!$B$7,0))/Q128,"")</f>
        <v>69.7289404217391</v>
      </c>
      <c r="R132" s="31" t="n">
        <f aca="false">IF(R128&gt;0,(Q130+R125+IF(Source_Data!R$6=Inputs!$B$12,Inputs!$B$7,0))/R128,"")</f>
        <v>52.1229232913043</v>
      </c>
      <c r="S132" s="31" t="n">
        <f aca="false">IF(S128&gt;0,(R130+S125+IF(Source_Data!S$6=Inputs!$B$12,Inputs!$B$7,0))/S128,"")</f>
        <v>40.0732192304348</v>
      </c>
      <c r="T132" s="31" t="n">
        <f aca="false">IF(T128&gt;0,(S130+T125+IF(Source_Data!T$6=Inputs!$B$12,Inputs!$B$7,0))/T128,"")</f>
        <v>42.0442071565217</v>
      </c>
      <c r="U132" s="31" t="n">
        <f aca="false">IF(U128&gt;0,(T130+U125+IF(Source_Data!U$6=Inputs!$B$12,Inputs!$B$7,0))/U128,"")</f>
        <v>43.8256255</v>
      </c>
      <c r="V132" s="31" t="n">
        <f aca="false">IF(V128&gt;0,(U130+V125+IF(Source_Data!V$6=Inputs!$B$12,Inputs!$B$7,0))/V128,"")</f>
        <v>44.8571455304348</v>
      </c>
      <c r="W132" s="31" t="n">
        <f aca="false">IF(W128&gt;0,(V130+W125+IF(Source_Data!W$6=Inputs!$B$12,Inputs!$B$7,0))/W128,"")</f>
        <v>45.3450968652174</v>
      </c>
      <c r="X132" s="31" t="n">
        <f aca="false">IF(X128&gt;0,(W130+X125+IF(Source_Data!X$6=Inputs!$B$12,Inputs!$B$7,0))/X128,"")</f>
        <v>48.1808742869565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413.851793367899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-52.5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-16.6060171304348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5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40.0732192304348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-50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34.7670250896057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34.7670250896057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34.7670250896057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34.7670250896057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9.58333333333333</v>
      </c>
      <c r="N164" s="33" t="n">
        <f aca="false">IF(AND(Source_Data!N$6&gt;=Inputs!$B$54,Source_Data!N$6&lt;Inputs!$B$54+3*Inputs!$B$11),Inputs!$B$9*Inputs!$B$7/Inputs!$B$11,0)</f>
        <v>9.58333333333333</v>
      </c>
      <c r="O164" s="33" t="n">
        <f aca="false">IF(AND(Source_Data!O$6&gt;=Inputs!$B$54,Source_Data!O$6&lt;Inputs!$B$54+3*Inputs!$B$11),Inputs!$B$9*Inputs!$B$7/Inputs!$B$11,0)</f>
        <v>9.58333333333333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-50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9.58333333333333</v>
      </c>
      <c r="N165" s="33" t="n">
        <f aca="false">IF(Source_Data!N$6=Inputs!$B$12,-Inputs!$B$7,0)+N164</f>
        <v>9.58333333333333</v>
      </c>
      <c r="O165" s="33" t="n">
        <f aca="false">IF(Source_Data!O$6=Inputs!$B$12,-Inputs!$B$7,0)+O164</f>
        <v>9.58333333333333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-41.25</v>
      </c>
      <c r="E166" s="33" t="n">
        <f aca="false">D166+IF(Source_Data!E$6=Inputs!$B$12,Inputs!$B$7,0)+E161-E164</f>
        <v>-52.5</v>
      </c>
      <c r="F166" s="33" t="n">
        <f aca="false">E166+IF(Source_Data!F$6=Inputs!$B$12,Inputs!$B$7,0)+F161-F164</f>
        <v>-63.75</v>
      </c>
      <c r="G166" s="33" t="n">
        <f aca="false">F166+IF(Source_Data!G$6=Inputs!$B$12,Inputs!$B$7,0)+G161-G164</f>
        <v>-75</v>
      </c>
      <c r="H166" s="33" t="n">
        <f aca="false">G166+IF(Source_Data!H$6=Inputs!$B$12,Inputs!$B$7,0)+H161-H164</f>
        <v>-105.3607625</v>
      </c>
      <c r="I166" s="33" t="n">
        <f aca="false">H166+IF(Source_Data!I$6=Inputs!$B$12,Inputs!$B$7,0)+I161-I164</f>
        <v>-127.9422875</v>
      </c>
      <c r="J166" s="33" t="n">
        <f aca="false">I166+IF(Source_Data!J$6=Inputs!$B$12,Inputs!$B$7,0)+J161-J164</f>
        <v>-149.93028125</v>
      </c>
      <c r="K166" s="33" t="n">
        <f aca="false">J166+IF(Source_Data!K$6=Inputs!$B$12,Inputs!$B$7,0)+K161-K164</f>
        <v>-140.04474375</v>
      </c>
      <c r="L166" s="33" t="n">
        <f aca="false">K166+IF(Source_Data!L$6=Inputs!$B$12,Inputs!$B$7,0)+L161-L164</f>
        <v>-153.90043375</v>
      </c>
      <c r="M166" s="33" t="n">
        <f aca="false">L166+IF(Source_Data!M$6=Inputs!$B$12,Inputs!$B$7,0)+M161-M164</f>
        <v>-176.231597708333</v>
      </c>
      <c r="N166" s="33" t="n">
        <f aca="false">M166+IF(Source_Data!N$6=Inputs!$B$12,Inputs!$B$7,0)+N161-N164</f>
        <v>-154.829342604167</v>
      </c>
      <c r="O166" s="33" t="n">
        <f aca="false">N166+IF(Source_Data!O$6=Inputs!$B$12,Inputs!$B$7,0)+O161-O164</f>
        <v>281.4979015625</v>
      </c>
      <c r="P166" s="33" t="n">
        <f aca="false">O166+IF(Source_Data!P$6=Inputs!$B$12,Inputs!$B$7,0)+P161-P164</f>
        <v>267.503308229167</v>
      </c>
      <c r="Q166" s="33" t="n">
        <f aca="false">P166+IF(Source_Data!Q$6=Inputs!$B$12,Inputs!$B$7,0)+Q161-Q164</f>
        <v>244.464964895833</v>
      </c>
      <c r="R166" s="33" t="n">
        <f aca="false">Q166+IF(Source_Data!R$6=Inputs!$B$12,Inputs!$B$7,0)+R161-R164</f>
        <v>90.8943415625001</v>
      </c>
      <c r="S166" s="33" t="n">
        <f aca="false">R166+IF(Source_Data!S$6=Inputs!$B$12,Inputs!$B$7,0)+S161-S164</f>
        <v>-36.1898230208332</v>
      </c>
      <c r="T166" s="33" t="n">
        <f aca="false">S166+IF(Source_Data!T$6=Inputs!$B$12,Inputs!$B$7,0)+T161-T164</f>
        <v>-28.7239876041666</v>
      </c>
      <c r="U166" s="33" t="n">
        <f aca="false">T166+IF(Source_Data!U$6=Inputs!$B$12,Inputs!$B$7,0)+U161-U164</f>
        <v>-21.9264853124999</v>
      </c>
      <c r="V166" s="33" t="n">
        <f aca="false">U166+IF(Source_Data!V$6=Inputs!$B$12,Inputs!$B$7,0)+V161-V164</f>
        <v>-15.2831789583332</v>
      </c>
      <c r="W166" s="33" t="n">
        <f aca="false">V166+IF(Source_Data!W$6=Inputs!$B$12,Inputs!$B$7,0)+W161-W164</f>
        <v>-10.1537963541666</v>
      </c>
      <c r="X166" s="33" t="n">
        <f aca="false">W166+IF(Source_Data!X$6=Inputs!$B$12,Inputs!$B$7,0)+X161-X164</f>
        <v>11.4868150000001</v>
      </c>
      <c r="Y166" s="33" t="n">
        <f aca="false">X166+IF(Source_Data!Y$6=Inputs!$B$12,Inputs!$B$7,0)+Y161-Y164</f>
        <v>38.3697596875001</v>
      </c>
      <c r="Z166" s="33" t="n">
        <f aca="false">Y166+IF(Source_Data!Z$6=Inputs!$B$12,Inputs!$B$7,0)+Z161-Z164</f>
        <v>65.2527043750001</v>
      </c>
      <c r="AA166" s="33" t="n">
        <f aca="false">Z166+IF(Source_Data!AA$6=Inputs!$B$12,Inputs!$B$7,0)+AA161-AA164</f>
        <v>84.8554303125001</v>
      </c>
      <c r="AB166" s="33" t="n">
        <f aca="false">AA166+IF(Source_Data!AB$6=Inputs!$B$12,Inputs!$B$7,0)+AB161-AB164</f>
        <v>126.95815625</v>
      </c>
      <c r="AC166" s="33" t="n">
        <f aca="false">AB166+IF(Source_Data!AC$6=Inputs!$B$12,Inputs!$B$7,0)+AC161-AC164</f>
        <v>169.0608821875</v>
      </c>
      <c r="AD166" s="33" t="n">
        <f aca="false">AC166+IF(Source_Data!AD$6=Inputs!$B$12,Inputs!$B$7,0)+AD161-AD164</f>
        <v>205.375608125</v>
      </c>
      <c r="AE166" s="33" t="n">
        <f aca="false">AD166+IF(Source_Data!AE$6=Inputs!$B$12,Inputs!$B$7,0)+AE161-AE164</f>
        <v>238.414235625</v>
      </c>
      <c r="AF166" s="33" t="n">
        <f aca="false">AE166+IF(Source_Data!AF$6=Inputs!$B$12,Inputs!$B$7,0)+AF161-AF164</f>
        <v>160.086196523438</v>
      </c>
      <c r="AG166" s="33" t="n">
        <f aca="false">AF166+IF(Source_Data!AG$6=Inputs!$B$12,Inputs!$B$7,0)+AG161-AG164</f>
        <v>174.198855351563</v>
      </c>
      <c r="AH166" s="33" t="n">
        <f aca="false">AG166+IF(Source_Data!AH$6=Inputs!$B$12,Inputs!$B$7,0)+AH161-AH164</f>
        <v>188.311514179688</v>
      </c>
      <c r="AI166" s="33" t="n">
        <f aca="false">AH166+IF(Source_Data!AI$6=Inputs!$B$12,Inputs!$B$7,0)+AI161-AI164</f>
        <v>202.424173007813</v>
      </c>
      <c r="AJ166" s="33" t="n">
        <f aca="false">AI166+IF(Source_Data!AJ$6=Inputs!$B$12,Inputs!$B$7,0)+AJ161-AJ164</f>
        <v>216.536831835938</v>
      </c>
      <c r="AK166" s="33" t="n">
        <f aca="false">AJ166+IF(Source_Data!AK$6=Inputs!$B$12,Inputs!$B$7,0)+AK161-AK164</f>
        <v>231.605019375</v>
      </c>
      <c r="AL166" s="33" t="n">
        <f aca="false">AK166+IF(Source_Data!AL$6=Inputs!$B$12,Inputs!$B$7,0)+AL161-AL164</f>
        <v>246.673206914063</v>
      </c>
      <c r="AM166" s="33" t="n">
        <f aca="false">AL166+IF(Source_Data!AM$6=Inputs!$B$12,Inputs!$B$7,0)+AM161-AM164</f>
        <v>261.3797575</v>
      </c>
      <c r="AN166" s="33" t="n">
        <f aca="false">AM166+IF(Source_Data!AN$6=Inputs!$B$12,Inputs!$B$7,0)+AN161-AN164</f>
        <v>280.07341484375</v>
      </c>
      <c r="AO166" s="33" t="n">
        <f aca="false">AN166+IF(Source_Data!AO$6=Inputs!$B$12,Inputs!$B$7,0)+AO161-AO164</f>
        <v>297.2508875</v>
      </c>
      <c r="AP166" s="33" t="n">
        <f aca="false">AO166+IF(Source_Data!AP$6=Inputs!$B$12,Inputs!$B$7,0)+AP161-AP164</f>
        <v>306.877055</v>
      </c>
      <c r="AQ166" s="33" t="n">
        <f aca="false">AP166+IF(Source_Data!AQ$6=Inputs!$B$12,Inputs!$B$7,0)+AQ161-AQ164</f>
        <v>310.4475275</v>
      </c>
      <c r="AR166" s="33" t="n">
        <f aca="false">AQ166+IF(Source_Data!AR$6=Inputs!$B$12,Inputs!$B$7,0)+AR161-AR164</f>
        <v>310.4475275</v>
      </c>
      <c r="AS166" s="33" t="n">
        <f aca="false">AR166+IF(Source_Data!AS$6=Inputs!$B$12,Inputs!$B$7,0)+AS161-AS164</f>
        <v>310.4475275</v>
      </c>
      <c r="AT166" s="33" t="n">
        <f aca="false">AS166+IF(Source_Data!AT$6=Inputs!$B$12,Inputs!$B$7,0)+AT161-AT164</f>
        <v>310.4475275</v>
      </c>
      <c r="AU166" s="33" t="n">
        <f aca="false">AT166+IF(Source_Data!AU$6=Inputs!$B$12,Inputs!$B$7,0)+AU161-AU164</f>
        <v>310.4475275</v>
      </c>
      <c r="AV166" s="33" t="n">
        <f aca="false">AU166+IF(Source_Data!AV$6=Inputs!$B$12,Inputs!$B$7,0)+AV161-AV164</f>
        <v>310.4475275</v>
      </c>
      <c r="AW166" s="33" t="n">
        <f aca="false">AV166+IF(Source_Data!AW$6=Inputs!$B$12,Inputs!$B$7,0)+AW161-AW164</f>
        <v>310.4475275</v>
      </c>
      <c r="AX166" s="33" t="n">
        <f aca="false">AW166+IF(Source_Data!AX$6=Inputs!$B$12,Inputs!$B$7,0)+AX161-AX164</f>
        <v>310.4475275</v>
      </c>
      <c r="AY166" s="33" t="n">
        <f aca="false">AX166+IF(Source_Data!AY$6=Inputs!$B$12,Inputs!$B$7,0)+AY161-AY164</f>
        <v>310.4475275</v>
      </c>
      <c r="AZ166" s="33" t="n">
        <f aca="false">AY166+IF(Source_Data!AZ$6=Inputs!$B$12,Inputs!$B$7,0)+AZ161-AZ164</f>
        <v>310.4475275</v>
      </c>
      <c r="BA166" s="33" t="n">
        <f aca="false">AZ166+IF(Source_Data!BA$6=Inputs!$B$12,Inputs!$B$7,0)+BA161-BA164</f>
        <v>310.4475275</v>
      </c>
      <c r="BB166" s="33" t="n">
        <f aca="false">BA166+IF(Source_Data!BB$6=Inputs!$B$12,Inputs!$B$7,0)+BB161-BB164</f>
        <v>310.4475275</v>
      </c>
      <c r="BC166" s="33" t="n">
        <f aca="false">BB166+IF(Source_Data!BC$6=Inputs!$B$12,Inputs!$B$7,0)+BC161-BC164</f>
        <v>310.4475275</v>
      </c>
      <c r="BD166" s="33" t="n">
        <f aca="false">BC166+IF(Source_Data!BD$6=Inputs!$B$12,Inputs!$B$7,0)+BD161-BD164</f>
        <v>310.4475275</v>
      </c>
      <c r="BE166" s="33" t="n">
        <f aca="false">BD166+IF(Source_Data!BE$6=Inputs!$B$12,Inputs!$B$7,0)+BE161-BE164</f>
        <v>310.4475275</v>
      </c>
      <c r="BF166" s="33" t="n">
        <f aca="false">BE166+IF(Source_Data!BF$6=Inputs!$B$12,Inputs!$B$7,0)+BF161-BF164</f>
        <v>310.4475275</v>
      </c>
      <c r="BG166" s="33" t="n">
        <f aca="false">BF166+IF(Source_Data!BG$6=Inputs!$B$12,Inputs!$B$7,0)+BG161-BG164</f>
        <v>310.4475275</v>
      </c>
      <c r="BH166" s="33" t="n">
        <f aca="false">BG166+IF(Source_Data!BH$6=Inputs!$B$12,Inputs!$B$7,0)+BH161-BH164</f>
        <v>310.4475275</v>
      </c>
      <c r="BI166" s="33" t="n">
        <f aca="false">BH166+IF(Source_Data!BI$6=Inputs!$B$12,Inputs!$B$7,0)+BI161-BI164</f>
        <v>310.4475275</v>
      </c>
      <c r="BJ166" s="33" t="n">
        <f aca="false">BI166+IF(Source_Data!BJ$6=Inputs!$B$12,Inputs!$B$7,0)+BJ161-BJ164</f>
        <v>310.4475275</v>
      </c>
      <c r="BK166" s="33" t="n">
        <f aca="false">BJ166+IF(Source_Data!BK$6=Inputs!$B$12,Inputs!$B$7,0)+BK161-BK164</f>
        <v>310.4475275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-1.33020841304348</v>
      </c>
      <c r="N167" s="31" t="n">
        <f aca="false">IF(N164&gt;0,N161/N164,"")</f>
        <v>3.23327879347826</v>
      </c>
      <c r="O167" s="31" t="n">
        <f aca="false">IF(O164&gt;0,O161/O164,"")</f>
        <v>46.5297993913044</v>
      </c>
      <c r="P167" s="31" t="n">
        <f aca="false">IF(P164&gt;0,P161/P164,"")</f>
        <v>-0.460305391304347</v>
      </c>
      <c r="Q167" s="31" t="n">
        <f aca="false">IF(Q164&gt;0,Q161/Q164,"")</f>
        <v>-1.40400104347826</v>
      </c>
      <c r="R167" s="31" t="n">
        <f aca="false">IF(R164&gt;0,R161/R164,"")</f>
        <v>-15.0247606956522</v>
      </c>
      <c r="S167" s="31" t="n">
        <f aca="false">IF(S164&gt;0,S161/S164,"")</f>
        <v>-12.2609563043478</v>
      </c>
      <c r="T167" s="31" t="n">
        <f aca="false">IF(T164&gt;0,T161/T164,"")</f>
        <v>1.77904369565217</v>
      </c>
      <c r="U167" s="31" t="n">
        <f aca="false">IF(U164&gt;0,U161/U164,"")</f>
        <v>1.70930458695652</v>
      </c>
      <c r="V167" s="31" t="n">
        <f aca="false">IF(V164&gt;0,V161/V164,"")</f>
        <v>1.69321457608696</v>
      </c>
      <c r="W167" s="31" t="n">
        <f aca="false">IF(W164&gt;0,W161/W164,"")</f>
        <v>1.53523992391304</v>
      </c>
      <c r="X167" s="31" t="n">
        <f aca="false">IF(X164&gt;0,X161/X164,"")</f>
        <v>3.25815075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-17.3893841086957</v>
      </c>
      <c r="N168" s="31" t="n">
        <f aca="false">IF(N164&gt;0,(M166+N161+IF(Source_Data!N$6=Inputs!$B$12,Inputs!$B$7,0))/N164,"")</f>
        <v>-15.1561053152174</v>
      </c>
      <c r="O168" s="31" t="n">
        <f aca="false">IF(O164&gt;0,(N166+O161+IF(Source_Data!O$6=Inputs!$B$12,Inputs!$B$7,0))/O164,"")</f>
        <v>30.373694076087</v>
      </c>
      <c r="P168" s="31" t="n">
        <f aca="false">IF(P164&gt;0,(O166+P161+IF(Source_Data!P$6=Inputs!$B$12,Inputs!$B$7,0))/P164,"")</f>
        <v>28.9133886847826</v>
      </c>
      <c r="Q168" s="31" t="n">
        <f aca="false">IF(Q164&gt;0,(P166+Q161+IF(Source_Data!Q$6=Inputs!$B$12,Inputs!$B$7,0))/Q164,"")</f>
        <v>26.5093876413044</v>
      </c>
      <c r="R168" s="31" t="n">
        <f aca="false">IF(R164&gt;0,(Q166+R161+IF(Source_Data!R$6=Inputs!$B$12,Inputs!$B$7,0))/R164,"")</f>
        <v>10.4846269456522</v>
      </c>
      <c r="S168" s="31" t="n">
        <f aca="false">IF(S164&gt;0,(R166+S161+IF(Source_Data!S$6=Inputs!$B$12,Inputs!$B$7,0))/S164,"")</f>
        <v>-2.77632935869564</v>
      </c>
      <c r="T168" s="31" t="n">
        <f aca="false">IF(T164&gt;0,(S166+T161+IF(Source_Data!T$6=Inputs!$B$12,Inputs!$B$7,0))/T164,"")</f>
        <v>-1.99728566304347</v>
      </c>
      <c r="U168" s="31" t="n">
        <f aca="false">IF(U164&gt;0,(T166+U161+IF(Source_Data!U$6=Inputs!$B$12,Inputs!$B$7,0))/U164,"")</f>
        <v>-1.28798107608695</v>
      </c>
      <c r="V168" s="31" t="n">
        <f aca="false">IF(V164&gt;0,(U166+V161+IF(Source_Data!V$6=Inputs!$B$12,Inputs!$B$7,0))/V164,"")</f>
        <v>-0.59476649999999</v>
      </c>
      <c r="W168" s="31" t="n">
        <f aca="false">IF(W164&gt;0,(V166+W161+IF(Source_Data!W$6=Inputs!$B$12,Inputs!$B$7,0))/W164,"")</f>
        <v>-0.0595265760869458</v>
      </c>
      <c r="X168" s="31" t="n">
        <f aca="false">IF(X164&gt;0,(W166+X161+IF(Source_Data!X$6=Inputs!$B$12,Inputs!$B$7,0))/X164,"")</f>
        <v>2.19862417391305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129.458194472182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-176.231597708333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-15.0247606956522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5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-17.3893841086957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7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63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495.2538375</v>
      </c>
      <c r="N191" s="33" t="n">
        <f aca="false">Source_Data!N$7+IF($B$189=1,IF(Source_Data!N$6=Inputs!$B$13,Source_Data!$C$8,0),Source_Data!N$8)</f>
        <v>185.57775</v>
      </c>
      <c r="O191" s="33" t="n">
        <f aca="false">Source_Data!O$7+IF($B$189=1,IF(Source_Data!O$6=Inputs!$B$13,Source_Data!$C$8,0),Source_Data!O$8)</f>
        <v>176.534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68.037035625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-50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34.7670250896057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34.7670250896057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34.7670250896057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34.7670250896057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9.58333333333333</v>
      </c>
      <c r="N200" s="33" t="n">
        <f aca="false">IF(AND(Source_Data!N$6&gt;=Inputs!$B$54,Source_Data!N$6&lt;Inputs!$B$54+3*Inputs!$B$11),Inputs!$B$9*Inputs!$B$7/Inputs!$B$11,0)</f>
        <v>9.58333333333333</v>
      </c>
      <c r="O200" s="33" t="n">
        <f aca="false">IF(AND(Source_Data!O$6&gt;=Inputs!$B$54,Source_Data!O$6&lt;Inputs!$B$54+3*Inputs!$B$11),Inputs!$B$9*Inputs!$B$7/Inputs!$B$11,0)</f>
        <v>9.58333333333333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-50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9.58333333333333</v>
      </c>
      <c r="N201" s="33" t="n">
        <f aca="false">IF(Source_Data!N$6=Inputs!$B$12,-Inputs!$B$7,0)+N200</f>
        <v>9.58333333333333</v>
      </c>
      <c r="O201" s="33" t="n">
        <f aca="false">IF(Source_Data!O$6=Inputs!$B$12,-Inputs!$B$7,0)+O200</f>
        <v>9.58333333333333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-41.25</v>
      </c>
      <c r="E202" s="33" t="n">
        <f aca="false">D202+IF(Source_Data!E$6=Inputs!$B$12,Inputs!$B$7,0)+E197-E200</f>
        <v>-52.5</v>
      </c>
      <c r="F202" s="33" t="n">
        <f aca="false">E202+IF(Source_Data!F$6=Inputs!$B$12,Inputs!$B$7,0)+F197-F200</f>
        <v>-63.75</v>
      </c>
      <c r="G202" s="33" t="n">
        <f aca="false">F202+IF(Source_Data!G$6=Inputs!$B$12,Inputs!$B$7,0)+G197-G200</f>
        <v>-75</v>
      </c>
      <c r="H202" s="33" t="n">
        <f aca="false">G202+IF(Source_Data!H$6=Inputs!$B$12,Inputs!$B$7,0)+H197-H200</f>
        <v>-120.5</v>
      </c>
      <c r="I202" s="33" t="n">
        <f aca="false">H202+IF(Source_Data!I$6=Inputs!$B$12,Inputs!$B$7,0)+I197-I200</f>
        <v>-173.36</v>
      </c>
      <c r="J202" s="33" t="n">
        <f aca="false">I202+IF(Source_Data!J$6=Inputs!$B$12,Inputs!$B$7,0)+J197-J200</f>
        <v>-226.7207625</v>
      </c>
      <c r="K202" s="33" t="n">
        <f aca="false">J202+IF(Source_Data!K$6=Inputs!$B$12,Inputs!$B$7,0)+K197-K200</f>
        <v>-249.3022875</v>
      </c>
      <c r="L202" s="33" t="n">
        <f aca="false">K202+IF(Source_Data!L$6=Inputs!$B$12,Inputs!$B$7,0)+L197-L200</f>
        <v>-266.90028125</v>
      </c>
      <c r="M202" s="33" t="n">
        <f aca="false">L202+IF(Source_Data!M$6=Inputs!$B$12,Inputs!$B$7,0)+M197-M200</f>
        <v>-277.848077083333</v>
      </c>
      <c r="N202" s="33" t="n">
        <f aca="false">M202+IF(Source_Data!N$6=Inputs!$B$12,Inputs!$B$7,0)+N197-N200</f>
        <v>-276.999100416667</v>
      </c>
      <c r="O202" s="33" t="n">
        <f aca="false">N202+IF(Source_Data!O$6=Inputs!$B$12,Inputs!$B$7,0)+O197-O200</f>
        <v>-275.042264375</v>
      </c>
      <c r="P202" s="33" t="n">
        <f aca="false">O202+IF(Source_Data!P$6=Inputs!$B$12,Inputs!$B$7,0)+P197-P200</f>
        <v>-396.818009270833</v>
      </c>
      <c r="Q202" s="33" t="n">
        <f aca="false">P202+IF(Source_Data!Q$6=Inputs!$B$12,Inputs!$B$7,0)+Q197-Q200</f>
        <v>-103.668765104167</v>
      </c>
      <c r="R202" s="33" t="n">
        <f aca="false">Q202+IF(Source_Data!R$6=Inputs!$B$12,Inputs!$B$7,0)+R197-R200</f>
        <v>-168.2633584375</v>
      </c>
      <c r="S202" s="33" t="n">
        <f aca="false">R202+IF(Source_Data!S$6=Inputs!$B$12,Inputs!$B$7,0)+S197-S200</f>
        <v>-187.851701770833</v>
      </c>
      <c r="T202" s="33" t="n">
        <f aca="false">S202+IF(Source_Data!T$6=Inputs!$B$12,Inputs!$B$7,0)+T197-T200</f>
        <v>-152.822325104167</v>
      </c>
      <c r="U202" s="33" t="n">
        <f aca="false">T202+IF(Source_Data!U$6=Inputs!$B$12,Inputs!$B$7,0)+U197-U200</f>
        <v>-145.3564896875</v>
      </c>
      <c r="V202" s="33" t="n">
        <f aca="false">U202+IF(Source_Data!V$6=Inputs!$B$12,Inputs!$B$7,0)+V197-V200</f>
        <v>-137.890654270833</v>
      </c>
      <c r="W202" s="33" t="n">
        <f aca="false">V202+IF(Source_Data!W$6=Inputs!$B$12,Inputs!$B$7,0)+W197-W200</f>
        <v>-131.093151979167</v>
      </c>
      <c r="X202" s="33" t="n">
        <f aca="false">W202+IF(Source_Data!X$6=Inputs!$B$12,Inputs!$B$7,0)+X197-X200</f>
        <v>-101.949845625</v>
      </c>
      <c r="Y202" s="33" t="n">
        <f aca="false">X202+IF(Source_Data!Y$6=Inputs!$B$12,Inputs!$B$7,0)+Y197-Y200</f>
        <v>-64.7371296875</v>
      </c>
      <c r="Z202" s="33" t="n">
        <f aca="false">Y202+IF(Source_Data!Z$6=Inputs!$B$12,Inputs!$B$7,0)+Z197-Z200</f>
        <v>-33.513185</v>
      </c>
      <c r="AA202" s="33" t="n">
        <f aca="false">Z202+IF(Source_Data!AA$6=Inputs!$B$12,Inputs!$B$7,0)+AA197-AA200</f>
        <v>-6.63024031250001</v>
      </c>
      <c r="AB202" s="33" t="n">
        <f aca="false">AA202+IF(Source_Data!AB$6=Inputs!$B$12,Inputs!$B$7,0)+AB197-AB200</f>
        <v>42.752704375</v>
      </c>
      <c r="AC202" s="33" t="n">
        <f aca="false">AB202+IF(Source_Data!AC$6=Inputs!$B$12,Inputs!$B$7,0)+AC197-AC200</f>
        <v>84.8554303125</v>
      </c>
      <c r="AD202" s="33" t="n">
        <f aca="false">AC202+IF(Source_Data!AD$6=Inputs!$B$12,Inputs!$B$7,0)+AD197-AD200</f>
        <v>126.95815625</v>
      </c>
      <c r="AE202" s="33" t="n">
        <f aca="false">AD202+IF(Source_Data!AE$6=Inputs!$B$12,Inputs!$B$7,0)+AE197-AE200</f>
        <v>169.0608821875</v>
      </c>
      <c r="AF202" s="33" t="n">
        <f aca="false">AE202+IF(Source_Data!AF$6=Inputs!$B$12,Inputs!$B$7,0)+AF197-AF200</f>
        <v>97.6173977734375</v>
      </c>
      <c r="AG202" s="33" t="n">
        <f aca="false">AF202+IF(Source_Data!AG$6=Inputs!$B$12,Inputs!$B$7,0)+AG197-AG200</f>
        <v>119.679512851562</v>
      </c>
      <c r="AH202" s="33" t="n">
        <f aca="false">AG202+IF(Source_Data!AH$6=Inputs!$B$12,Inputs!$B$7,0)+AH197-AH200</f>
        <v>138.133171679687</v>
      </c>
      <c r="AI202" s="33" t="n">
        <f aca="false">AH202+IF(Source_Data!AI$6=Inputs!$B$12,Inputs!$B$7,0)+AI197-AI200</f>
        <v>152.245830507812</v>
      </c>
      <c r="AJ202" s="33" t="n">
        <f aca="false">AI202+IF(Source_Data!AJ$6=Inputs!$B$12,Inputs!$B$7,0)+AJ197-AJ200</f>
        <v>166.358489335937</v>
      </c>
      <c r="AK202" s="33" t="n">
        <f aca="false">AJ202+IF(Source_Data!AK$6=Inputs!$B$12,Inputs!$B$7,0)+AK197-AK200</f>
        <v>181.426676875</v>
      </c>
      <c r="AL202" s="33" t="n">
        <f aca="false">AK202+IF(Source_Data!AL$6=Inputs!$B$12,Inputs!$B$7,0)+AL197-AL200</f>
        <v>196.494864414062</v>
      </c>
      <c r="AM202" s="33" t="n">
        <f aca="false">AL202+IF(Source_Data!AM$6=Inputs!$B$12,Inputs!$B$7,0)+AM197-AM200</f>
        <v>213.385480625</v>
      </c>
      <c r="AN202" s="33" t="n">
        <f aca="false">AM202+IF(Source_Data!AN$6=Inputs!$B$12,Inputs!$B$7,0)+AN197-AN200</f>
        <v>234.26320359375</v>
      </c>
      <c r="AO202" s="33" t="n">
        <f aca="false">AN202+IF(Source_Data!AO$6=Inputs!$B$12,Inputs!$B$7,0)+AO197-AO200</f>
        <v>255.6062275</v>
      </c>
      <c r="AP202" s="33" t="n">
        <f aca="false">AO202+IF(Source_Data!AP$6=Inputs!$B$12,Inputs!$B$7,0)+AP197-AP200</f>
        <v>278.511333125</v>
      </c>
      <c r="AQ202" s="33" t="n">
        <f aca="false">AP202+IF(Source_Data!AQ$6=Inputs!$B$12,Inputs!$B$7,0)+AQ197-AQ200</f>
        <v>297.2508875</v>
      </c>
      <c r="AR202" s="33" t="n">
        <f aca="false">AQ202+IF(Source_Data!AR$6=Inputs!$B$12,Inputs!$B$7,0)+AR197-AR200</f>
        <v>306.877055</v>
      </c>
      <c r="AS202" s="33" t="n">
        <f aca="false">AR202+IF(Source_Data!AS$6=Inputs!$B$12,Inputs!$B$7,0)+AS197-AS200</f>
        <v>310.4475275</v>
      </c>
      <c r="AT202" s="33" t="n">
        <f aca="false">AS202+IF(Source_Data!AT$6=Inputs!$B$12,Inputs!$B$7,0)+AT197-AT200</f>
        <v>310.4475275</v>
      </c>
      <c r="AU202" s="33" t="n">
        <f aca="false">AT202+IF(Source_Data!AU$6=Inputs!$B$12,Inputs!$B$7,0)+AU197-AU200</f>
        <v>310.4475275</v>
      </c>
      <c r="AV202" s="33" t="n">
        <f aca="false">AU202+IF(Source_Data!AV$6=Inputs!$B$12,Inputs!$B$7,0)+AV197-AV200</f>
        <v>310.4475275</v>
      </c>
      <c r="AW202" s="33" t="n">
        <f aca="false">AV202+IF(Source_Data!AW$6=Inputs!$B$12,Inputs!$B$7,0)+AW197-AW200</f>
        <v>310.4475275</v>
      </c>
      <c r="AX202" s="33" t="n">
        <f aca="false">AW202+IF(Source_Data!AX$6=Inputs!$B$12,Inputs!$B$7,0)+AX197-AX200</f>
        <v>310.4475275</v>
      </c>
      <c r="AY202" s="33" t="n">
        <f aca="false">AX202+IF(Source_Data!AY$6=Inputs!$B$12,Inputs!$B$7,0)+AY197-AY200</f>
        <v>310.4475275</v>
      </c>
      <c r="AZ202" s="33" t="n">
        <f aca="false">AY202+IF(Source_Data!AZ$6=Inputs!$B$12,Inputs!$B$7,0)+AZ197-AZ200</f>
        <v>310.4475275</v>
      </c>
      <c r="BA202" s="33" t="n">
        <f aca="false">AZ202+IF(Source_Data!BA$6=Inputs!$B$12,Inputs!$B$7,0)+BA197-BA200</f>
        <v>310.4475275</v>
      </c>
      <c r="BB202" s="33" t="n">
        <f aca="false">BA202+IF(Source_Data!BB$6=Inputs!$B$12,Inputs!$B$7,0)+BB197-BB200</f>
        <v>310.4475275</v>
      </c>
      <c r="BC202" s="33" t="n">
        <f aca="false">BB202+IF(Source_Data!BC$6=Inputs!$B$12,Inputs!$B$7,0)+BC197-BC200</f>
        <v>310.4475275</v>
      </c>
      <c r="BD202" s="33" t="n">
        <f aca="false">BC202+IF(Source_Data!BD$6=Inputs!$B$12,Inputs!$B$7,0)+BD197-BD200</f>
        <v>310.4475275</v>
      </c>
      <c r="BE202" s="33" t="n">
        <f aca="false">BD202+IF(Source_Data!BE$6=Inputs!$B$12,Inputs!$B$7,0)+BE197-BE200</f>
        <v>310.4475275</v>
      </c>
      <c r="BF202" s="33" t="n">
        <f aca="false">BE202+IF(Source_Data!BF$6=Inputs!$B$12,Inputs!$B$7,0)+BF197-BF200</f>
        <v>310.4475275</v>
      </c>
      <c r="BG202" s="33" t="n">
        <f aca="false">BF202+IF(Source_Data!BG$6=Inputs!$B$12,Inputs!$B$7,0)+BG197-BG200</f>
        <v>310.4475275</v>
      </c>
      <c r="BH202" s="33" t="n">
        <f aca="false">BG202+IF(Source_Data!BH$6=Inputs!$B$12,Inputs!$B$7,0)+BH197-BH200</f>
        <v>310.4475275</v>
      </c>
      <c r="BI202" s="33" t="n">
        <f aca="false">BH202+IF(Source_Data!BI$6=Inputs!$B$12,Inputs!$B$7,0)+BI197-BI200</f>
        <v>310.4475275</v>
      </c>
      <c r="BJ202" s="33" t="n">
        <f aca="false">BI202+IF(Source_Data!BJ$6=Inputs!$B$12,Inputs!$B$7,0)+BJ197-BJ200</f>
        <v>310.4475275</v>
      </c>
      <c r="BK202" s="33" t="n">
        <f aca="false">BJ202+IF(Source_Data!BK$6=Inputs!$B$12,Inputs!$B$7,0)+BK197-BK200</f>
        <v>310.4475275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-0.142378695652174</v>
      </c>
      <c r="N203" s="31" t="n">
        <f aca="false">IF(N200&gt;0,N197/N200,"")</f>
        <v>1.08858886956522</v>
      </c>
      <c r="O203" s="31" t="n">
        <f aca="false">IF(O200&gt;0,O197/O200,"")</f>
        <v>1.20419158695652</v>
      </c>
      <c r="P203" s="31" t="n">
        <f aca="false">IF(P200&gt;0,P197/P200,"")</f>
        <v>-11.70703425</v>
      </c>
      <c r="Q203" s="31" t="n">
        <f aca="false">IF(Q200&gt;0,Q197/Q200,"")</f>
        <v>31.5894863478261</v>
      </c>
      <c r="R203" s="31" t="n">
        <f aca="false">IF(R200&gt;0,R197/R200,"")</f>
        <v>-5.74030539130435</v>
      </c>
      <c r="S203" s="31" t="n">
        <f aca="false">IF(S200&gt;0,S197/S200,"")</f>
        <v>-1.04400104347826</v>
      </c>
      <c r="T203" s="31" t="n">
        <f aca="false">IF(T200&gt;0,T197/T200,"")</f>
        <v>4.65523930434783</v>
      </c>
      <c r="U203" s="31" t="n">
        <f aca="false">IF(U200&gt;0,U197/U200,"")</f>
        <v>1.77904369565217</v>
      </c>
      <c r="V203" s="31" t="n">
        <f aca="false">IF(V200&gt;0,V197/V200,"")</f>
        <v>1.77904369565217</v>
      </c>
      <c r="W203" s="31" t="n">
        <f aca="false">IF(W200&gt;0,W197/W200,"")</f>
        <v>1.70930458695652</v>
      </c>
      <c r="X203" s="31" t="n">
        <f aca="false">IF(X200&gt;0,X197/X200,"")</f>
        <v>4.04104066304348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-27.992842826087</v>
      </c>
      <c r="N204" s="31" t="n">
        <f aca="false">IF(N200&gt;0,(M202+N197+IF(Source_Data!N$6=Inputs!$B$12,Inputs!$B$7,0))/N200,"")</f>
        <v>-27.9042539565217</v>
      </c>
      <c r="O204" s="31" t="n">
        <f aca="false">IF(O200&gt;0,(N202+O197+IF(Source_Data!O$6=Inputs!$B$12,Inputs!$B$7,0))/O200,"")</f>
        <v>-27.7000623695652</v>
      </c>
      <c r="P204" s="31" t="n">
        <f aca="false">IF(P200&gt;0,(O202+P197+IF(Source_Data!P$6=Inputs!$B$12,Inputs!$B$7,0))/P200,"")</f>
        <v>-40.4070966195652</v>
      </c>
      <c r="Q204" s="31" t="n">
        <f aca="false">IF(Q200&gt;0,(P202+Q197+IF(Source_Data!Q$6=Inputs!$B$12,Inputs!$B$7,0))/Q200,"")</f>
        <v>-9.81761027173913</v>
      </c>
      <c r="R204" s="31" t="n">
        <f aca="false">IF(R200&gt;0,(Q202+R197+IF(Source_Data!R$6=Inputs!$B$12,Inputs!$B$7,0))/R200,"")</f>
        <v>-16.5579156630435</v>
      </c>
      <c r="S204" s="31" t="n">
        <f aca="false">IF(S200&gt;0,(R202+S197+IF(Source_Data!S$6=Inputs!$B$12,Inputs!$B$7,0))/S200,"")</f>
        <v>-18.6019167065217</v>
      </c>
      <c r="T204" s="31" t="n">
        <f aca="false">IF(T200&gt;0,(S202+T197+IF(Source_Data!T$6=Inputs!$B$12,Inputs!$B$7,0))/T200,"")</f>
        <v>-14.9466774021739</v>
      </c>
      <c r="U204" s="31" t="n">
        <f aca="false">IF(U200&gt;0,(T202+U197+IF(Source_Data!U$6=Inputs!$B$12,Inputs!$B$7,0))/U200,"")</f>
        <v>-14.1676337065217</v>
      </c>
      <c r="V204" s="31" t="n">
        <f aca="false">IF(V200&gt;0,(U202+V197+IF(Source_Data!V$6=Inputs!$B$12,Inputs!$B$7,0))/V200,"")</f>
        <v>-13.3885900108696</v>
      </c>
      <c r="W204" s="31" t="n">
        <f aca="false">IF(W200&gt;0,(V202+W197+IF(Source_Data!W$6=Inputs!$B$12,Inputs!$B$7,0))/W200,"")</f>
        <v>-12.679285423913</v>
      </c>
      <c r="X204" s="31" t="n">
        <f aca="false">IF(X200&gt;0,(W202+X197+IF(Source_Data!X$6=Inputs!$B$12,Inputs!$B$7,0))/X200,"")</f>
        <v>-9.63824476086957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49.0493072745931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-396.818009270833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-11.70703425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-40.4070966195652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12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495.2538375</v>
      </c>
      <c r="N227" s="33" t="n">
        <f aca="false">Source_Data!N$7+IF($B$225=1,IF(Source_Data!N$6=Inputs!$B$13,Source_Data!$C$8,0),Source_Data!N$8)</f>
        <v>185.57775</v>
      </c>
      <c r="O227" s="33" t="n">
        <f aca="false">Source_Data!O$7+IF($B$225=1,IF(Source_Data!O$6=Inputs!$B$13,Source_Data!$C$8,0),Source_Data!O$8)</f>
        <v>176.534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68.037035625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107.758210351563</v>
      </c>
      <c r="AG229" s="33" t="n">
        <f aca="false">Source_Data!AG$9+Source_Data!AG$10*IF(Source_Data!$C$10=0,0,MAX(0,Inputs!$B$19*Inputs!$B$22*$B$221-Inputs!$B$20)/Source_Data!$C$10)</f>
        <v>10.976512421875</v>
      </c>
      <c r="AH229" s="33" t="n">
        <f aca="false">Source_Data!AH$9+Source_Data!AH$10*IF(Source_Data!$C$10=0,0,MAX(0,Inputs!$B$19*Inputs!$B$22*$B$221-Inputs!$B$20)/Source_Data!$C$10)</f>
        <v>10.976512421875</v>
      </c>
      <c r="AI229" s="33" t="n">
        <f aca="false">Source_Data!AI$9+Source_Data!AI$10*IF(Source_Data!$C$10=0,0,MAX(0,Inputs!$B$19*Inputs!$B$22*$B$221-Inputs!$B$20)/Source_Data!$C$10)</f>
        <v>10.976512421875</v>
      </c>
      <c r="AJ229" s="33" t="n">
        <f aca="false">Source_Data!AJ$9+Source_Data!AJ$10*IF(Source_Data!$C$10=0,0,MAX(0,Inputs!$B$19*Inputs!$B$22*$B$221-Inputs!$B$20)/Source_Data!$C$10)</f>
        <v>10.976512421875</v>
      </c>
      <c r="AK229" s="33" t="n">
        <f aca="false">Source_Data!AK$9+Source_Data!AK$10*IF(Source_Data!$C$10=0,0,MAX(0,Inputs!$B$19*Inputs!$B$22*$B$221-Inputs!$B$20)/Source_Data!$C$10)</f>
        <v>10.0209837109375</v>
      </c>
      <c r="AL229" s="33" t="n">
        <f aca="false">Source_Data!AL$9+Source_Data!AL$10*IF(Source_Data!$C$10=0,0,MAX(0,Inputs!$B$19*Inputs!$B$22*$B$221-Inputs!$B$20)/Source_Data!$C$10)</f>
        <v>10.0209837109375</v>
      </c>
      <c r="AM229" s="33" t="n">
        <f aca="false">Source_Data!AM$9+Source_Data!AM$10*IF(Source_Data!$C$10=0,0,MAX(0,Inputs!$B$19*Inputs!$B$22*$B$221-Inputs!$B$20)/Source_Data!$C$10)</f>
        <v>8.19855503906249</v>
      </c>
      <c r="AN229" s="33" t="n">
        <f aca="false">Source_Data!AN$9+Source_Data!AN$10*IF(Source_Data!$C$10=0,0,MAX(0,Inputs!$B$19*Inputs!$B$22*$B$221-Inputs!$B$20)/Source_Data!$C$10)</f>
        <v>4.21144828125</v>
      </c>
      <c r="AO229" s="33" t="n">
        <f aca="false">Source_Data!AO$9+Source_Data!AO$10*IF(Source_Data!$C$10=0,0,MAX(0,Inputs!$B$19*Inputs!$B$22*$B$221-Inputs!$B$20)/Source_Data!$C$10)</f>
        <v>1.56208171875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-50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34.7670250896057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34.7670250896057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34.7670250896057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34.7670250896057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9.58333333333333</v>
      </c>
      <c r="N236" s="33" t="n">
        <f aca="false">IF(AND(Source_Data!N$6&gt;=Inputs!$B$54,Source_Data!N$6&lt;Inputs!$B$54+3*Inputs!$B$11),Inputs!$B$9*Inputs!$B$7/Inputs!$B$11,0)</f>
        <v>9.58333333333333</v>
      </c>
      <c r="O236" s="33" t="n">
        <f aca="false">IF(AND(Source_Data!O$6&gt;=Inputs!$B$54,Source_Data!O$6&lt;Inputs!$B$54+3*Inputs!$B$11),Inputs!$B$9*Inputs!$B$7/Inputs!$B$11,0)</f>
        <v>9.58333333333333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-50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9.58333333333333</v>
      </c>
      <c r="N237" s="33" t="n">
        <f aca="false">IF(Source_Data!N$6=Inputs!$B$12,-Inputs!$B$7,0)+N236</f>
        <v>9.58333333333333</v>
      </c>
      <c r="O237" s="33" t="n">
        <f aca="false">IF(Source_Data!O$6=Inputs!$B$12,-Inputs!$B$7,0)+O236</f>
        <v>9.58333333333333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-41.25</v>
      </c>
      <c r="E238" s="33" t="n">
        <f aca="false">D238+IF(Source_Data!E$6=Inputs!$B$12,Inputs!$B$7,0)+E233-E236</f>
        <v>-52.5</v>
      </c>
      <c r="F238" s="33" t="n">
        <f aca="false">E238+IF(Source_Data!F$6=Inputs!$B$12,Inputs!$B$7,0)+F233-F236</f>
        <v>-63.75</v>
      </c>
      <c r="G238" s="33" t="n">
        <f aca="false">F238+IF(Source_Data!G$6=Inputs!$B$12,Inputs!$B$7,0)+G233-G236</f>
        <v>-75</v>
      </c>
      <c r="H238" s="33" t="n">
        <f aca="false">G238+IF(Source_Data!H$6=Inputs!$B$12,Inputs!$B$7,0)+H233-H236</f>
        <v>-120.5</v>
      </c>
      <c r="I238" s="33" t="n">
        <f aca="false">H238+IF(Source_Data!I$6=Inputs!$B$12,Inputs!$B$7,0)+I233-I236</f>
        <v>-173.36</v>
      </c>
      <c r="J238" s="33" t="n">
        <f aca="false">I238+IF(Source_Data!J$6=Inputs!$B$12,Inputs!$B$7,0)+J233-J236</f>
        <v>-241.86</v>
      </c>
      <c r="K238" s="33" t="n">
        <f aca="false">J238+IF(Source_Data!K$6=Inputs!$B$12,Inputs!$B$7,0)+K233-K236</f>
        <v>-294.72</v>
      </c>
      <c r="L238" s="33" t="n">
        <f aca="false">K238+IF(Source_Data!L$6=Inputs!$B$12,Inputs!$B$7,0)+L233-L236</f>
        <v>-343.6907625</v>
      </c>
      <c r="M238" s="33" t="n">
        <f aca="false">L238+IF(Source_Data!M$6=Inputs!$B$12,Inputs!$B$7,0)+M233-M236</f>
        <v>-387.105620833333</v>
      </c>
      <c r="N238" s="33" t="n">
        <f aca="false">M238+IF(Source_Data!N$6=Inputs!$B$12,Inputs!$B$7,0)+N233-N236</f>
        <v>-389.998947916667</v>
      </c>
      <c r="O238" s="33" t="n">
        <f aca="false">N238+IF(Source_Data!O$6=Inputs!$B$12,Inputs!$B$7,0)+O233-O236</f>
        <v>-376.65874375</v>
      </c>
      <c r="P238" s="33" t="n">
        <f aca="false">O238+IF(Source_Data!P$6=Inputs!$B$12,Inputs!$B$7,0)+P233-P236</f>
        <v>-518.987767083333</v>
      </c>
      <c r="Q238" s="33" t="n">
        <f aca="false">P238+IF(Source_Data!Q$6=Inputs!$B$12,Inputs!$B$7,0)+Q233-Q236</f>
        <v>-660.208931041667</v>
      </c>
      <c r="R238" s="33" t="n">
        <f aca="false">Q238+IF(Source_Data!R$6=Inputs!$B$12,Inputs!$B$7,0)+R233-R236</f>
        <v>-832.5846759375</v>
      </c>
      <c r="S238" s="33" t="n">
        <f aca="false">R238+IF(Source_Data!S$6=Inputs!$B$12,Inputs!$B$7,0)+S233-S236</f>
        <v>-535.985431770833</v>
      </c>
      <c r="T238" s="33" t="n">
        <f aca="false">S238+IF(Source_Data!T$6=Inputs!$B$12,Inputs!$B$7,0)+T233-T236</f>
        <v>-411.980025104167</v>
      </c>
      <c r="U238" s="33" t="n">
        <f aca="false">T238+IF(Source_Data!U$6=Inputs!$B$12,Inputs!$B$7,0)+U233-U236</f>
        <v>-297.0183684375</v>
      </c>
      <c r="V238" s="33" t="n">
        <f aca="false">U238+IF(Source_Data!V$6=Inputs!$B$12,Inputs!$B$7,0)+V233-V236</f>
        <v>-261.988991770833</v>
      </c>
      <c r="W238" s="33" t="n">
        <f aca="false">V238+IF(Source_Data!W$6=Inputs!$B$12,Inputs!$B$7,0)+W233-W236</f>
        <v>-254.523156354167</v>
      </c>
      <c r="X238" s="33" t="n">
        <f aca="false">W238+IF(Source_Data!X$6=Inputs!$B$12,Inputs!$B$7,0)+X233-X236</f>
        <v>-224.5573209375</v>
      </c>
      <c r="Y238" s="33" t="n">
        <f aca="false">X238+IF(Source_Data!Y$6=Inputs!$B$12,Inputs!$B$7,0)+Y233-Y236</f>
        <v>-185.6764853125</v>
      </c>
      <c r="Z238" s="33" t="n">
        <f aca="false">Y238+IF(Source_Data!Z$6=Inputs!$B$12,Inputs!$B$7,0)+Z233-Z236</f>
        <v>-146.949845625</v>
      </c>
      <c r="AA238" s="33" t="n">
        <f aca="false">Z238+IF(Source_Data!AA$6=Inputs!$B$12,Inputs!$B$7,0)+AA233-AA236</f>
        <v>-109.7371296875</v>
      </c>
      <c r="AB238" s="33" t="n">
        <f aca="false">AA238+IF(Source_Data!AB$6=Inputs!$B$12,Inputs!$B$7,0)+AB233-AB236</f>
        <v>-56.0131850000001</v>
      </c>
      <c r="AC238" s="33" t="n">
        <f aca="false">AB238+IF(Source_Data!AC$6=Inputs!$B$12,Inputs!$B$7,0)+AC233-AC236</f>
        <v>-6.63024031250007</v>
      </c>
      <c r="AD238" s="33" t="n">
        <f aca="false">AC238+IF(Source_Data!AD$6=Inputs!$B$12,Inputs!$B$7,0)+AD233-AD236</f>
        <v>42.7527043749999</v>
      </c>
      <c r="AE238" s="33" t="n">
        <f aca="false">AD238+IF(Source_Data!AE$6=Inputs!$B$12,Inputs!$B$7,0)+AE233-AE236</f>
        <v>84.8554303124999</v>
      </c>
      <c r="AF238" s="33" t="n">
        <f aca="false">AE238+IF(Source_Data!AF$6=Inputs!$B$12,Inputs!$B$7,0)+AF233-AF236</f>
        <v>19.1999458984374</v>
      </c>
      <c r="AG238" s="33" t="n">
        <f aca="false">AF238+IF(Source_Data!AG$6=Inputs!$B$12,Inputs!$B$7,0)+AG233-AG236</f>
        <v>50.3261594140624</v>
      </c>
      <c r="AH238" s="33" t="n">
        <f aca="false">AG238+IF(Source_Data!AH$6=Inputs!$B$12,Inputs!$B$7,0)+AH233-AH236</f>
        <v>75.6643729296874</v>
      </c>
      <c r="AI238" s="33" t="n">
        <f aca="false">AH238+IF(Source_Data!AI$6=Inputs!$B$12,Inputs!$B$7,0)+AI233-AI236</f>
        <v>97.7264880078124</v>
      </c>
      <c r="AJ238" s="33" t="n">
        <f aca="false">AI238+IF(Source_Data!AJ$6=Inputs!$B$12,Inputs!$B$7,0)+AJ233-AJ236</f>
        <v>116.180146835937</v>
      </c>
      <c r="AK238" s="33" t="n">
        <f aca="false">AJ238+IF(Source_Data!AK$6=Inputs!$B$12,Inputs!$B$7,0)+AK233-AK236</f>
        <v>131.248334375</v>
      </c>
      <c r="AL238" s="33" t="n">
        <f aca="false">AK238+IF(Source_Data!AL$6=Inputs!$B$12,Inputs!$B$7,0)+AL233-AL236</f>
        <v>146.316521914062</v>
      </c>
      <c r="AM238" s="33" t="n">
        <f aca="false">AL238+IF(Source_Data!AM$6=Inputs!$B$12,Inputs!$B$7,0)+AM233-AM236</f>
        <v>163.207138125</v>
      </c>
      <c r="AN238" s="33" t="n">
        <f aca="false">AM238+IF(Source_Data!AN$6=Inputs!$B$12,Inputs!$B$7,0)+AN233-AN236</f>
        <v>184.08486109375</v>
      </c>
      <c r="AO238" s="33" t="n">
        <f aca="false">AN238+IF(Source_Data!AO$6=Inputs!$B$12,Inputs!$B$7,0)+AO233-AO236</f>
        <v>207.611950625</v>
      </c>
      <c r="AP238" s="33" t="n">
        <f aca="false">AO238+IF(Source_Data!AP$6=Inputs!$B$12,Inputs!$B$7,0)+AP233-AP236</f>
        <v>232.701121875</v>
      </c>
      <c r="AQ238" s="33" t="n">
        <f aca="false">AP238+IF(Source_Data!AQ$6=Inputs!$B$12,Inputs!$B$7,0)+AQ233-AQ236</f>
        <v>255.6062275</v>
      </c>
      <c r="AR238" s="33" t="n">
        <f aca="false">AQ238+IF(Source_Data!AR$6=Inputs!$B$12,Inputs!$B$7,0)+AR233-AR236</f>
        <v>278.511333125</v>
      </c>
      <c r="AS238" s="33" t="n">
        <f aca="false">AR238+IF(Source_Data!AS$6=Inputs!$B$12,Inputs!$B$7,0)+AS233-AS236</f>
        <v>297.2508875</v>
      </c>
      <c r="AT238" s="33" t="n">
        <f aca="false">AS238+IF(Source_Data!AT$6=Inputs!$B$12,Inputs!$B$7,0)+AT233-AT236</f>
        <v>306.877055</v>
      </c>
      <c r="AU238" s="33" t="n">
        <f aca="false">AT238+IF(Source_Data!AU$6=Inputs!$B$12,Inputs!$B$7,0)+AU233-AU236</f>
        <v>310.4475275</v>
      </c>
      <c r="AV238" s="33" t="n">
        <f aca="false">AU238+IF(Source_Data!AV$6=Inputs!$B$12,Inputs!$B$7,0)+AV233-AV236</f>
        <v>310.4475275</v>
      </c>
      <c r="AW238" s="33" t="n">
        <f aca="false">AV238+IF(Source_Data!AW$6=Inputs!$B$12,Inputs!$B$7,0)+AW233-AW236</f>
        <v>310.4475275</v>
      </c>
      <c r="AX238" s="33" t="n">
        <f aca="false">AW238+IF(Source_Data!AX$6=Inputs!$B$12,Inputs!$B$7,0)+AX233-AX236</f>
        <v>310.4475275</v>
      </c>
      <c r="AY238" s="33" t="n">
        <f aca="false">AX238+IF(Source_Data!AY$6=Inputs!$B$12,Inputs!$B$7,0)+AY233-AY236</f>
        <v>310.4475275</v>
      </c>
      <c r="AZ238" s="33" t="n">
        <f aca="false">AY238+IF(Source_Data!AZ$6=Inputs!$B$12,Inputs!$B$7,0)+AZ233-AZ236</f>
        <v>310.4475275</v>
      </c>
      <c r="BA238" s="33" t="n">
        <f aca="false">AZ238+IF(Source_Data!BA$6=Inputs!$B$12,Inputs!$B$7,0)+BA233-BA236</f>
        <v>310.4475275</v>
      </c>
      <c r="BB238" s="33" t="n">
        <f aca="false">BA238+IF(Source_Data!BB$6=Inputs!$B$12,Inputs!$B$7,0)+BB233-BB236</f>
        <v>310.4475275</v>
      </c>
      <c r="BC238" s="33" t="n">
        <f aca="false">BB238+IF(Source_Data!BC$6=Inputs!$B$12,Inputs!$B$7,0)+BC233-BC236</f>
        <v>310.4475275</v>
      </c>
      <c r="BD238" s="33" t="n">
        <f aca="false">BC238+IF(Source_Data!BD$6=Inputs!$B$12,Inputs!$B$7,0)+BD233-BD236</f>
        <v>310.4475275</v>
      </c>
      <c r="BE238" s="33" t="n">
        <f aca="false">BD238+IF(Source_Data!BE$6=Inputs!$B$12,Inputs!$B$7,0)+BE233-BE236</f>
        <v>310.4475275</v>
      </c>
      <c r="BF238" s="33" t="n">
        <f aca="false">BE238+IF(Source_Data!BF$6=Inputs!$B$12,Inputs!$B$7,0)+BF233-BF236</f>
        <v>310.4475275</v>
      </c>
      <c r="BG238" s="33" t="n">
        <f aca="false">BF238+IF(Source_Data!BG$6=Inputs!$B$12,Inputs!$B$7,0)+BG233-BG236</f>
        <v>310.4475275</v>
      </c>
      <c r="BH238" s="33" t="n">
        <f aca="false">BG238+IF(Source_Data!BH$6=Inputs!$B$12,Inputs!$B$7,0)+BH233-BH236</f>
        <v>310.4475275</v>
      </c>
      <c r="BI238" s="33" t="n">
        <f aca="false">BH238+IF(Source_Data!BI$6=Inputs!$B$12,Inputs!$B$7,0)+BI233-BI236</f>
        <v>310.4475275</v>
      </c>
      <c r="BJ238" s="33" t="n">
        <f aca="false">BI238+IF(Source_Data!BJ$6=Inputs!$B$12,Inputs!$B$7,0)+BJ233-BJ236</f>
        <v>310.4475275</v>
      </c>
      <c r="BK238" s="33" t="n">
        <f aca="false">BJ238+IF(Source_Data!BK$6=Inputs!$B$12,Inputs!$B$7,0)+BK233-BK236</f>
        <v>310.4475275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-3.53024608695652</v>
      </c>
      <c r="N239" s="31" t="n">
        <f aca="false">IF(N236&gt;0,N233/N236,"")</f>
        <v>0.698087608695652</v>
      </c>
      <c r="O239" s="31" t="n">
        <f aca="false">IF(O236&gt;0,O233/O236,"")</f>
        <v>2.39202130434783</v>
      </c>
      <c r="P239" s="31" t="n">
        <f aca="false">IF(P236&gt;0,P233/P236,"")</f>
        <v>-13.851724173913</v>
      </c>
      <c r="Q239" s="31" t="n">
        <f aca="false">IF(Q236&gt;0,Q233/Q236,"")</f>
        <v>-13.7361214565217</v>
      </c>
      <c r="R239" s="31" t="n">
        <f aca="false">IF(R236&gt;0,R233/R236,"")</f>
        <v>-16.98703425</v>
      </c>
      <c r="S239" s="31" t="n">
        <f aca="false">IF(S236&gt;0,S233/S236,"")</f>
        <v>31.9494863478261</v>
      </c>
      <c r="T239" s="31" t="n">
        <f aca="false">IF(T236&gt;0,T233/T236,"")</f>
        <v>13.9396946086957</v>
      </c>
      <c r="U239" s="31" t="n">
        <f aca="false">IF(U236&gt;0,U233/U236,"")</f>
        <v>12.9959989565217</v>
      </c>
      <c r="V239" s="31" t="n">
        <f aca="false">IF(V236&gt;0,V233/V236,"")</f>
        <v>4.65523930434783</v>
      </c>
      <c r="W239" s="31" t="n">
        <f aca="false">IF(W236&gt;0,W233/W236,"")</f>
        <v>1.77904369565217</v>
      </c>
      <c r="X239" s="31" t="n">
        <f aca="false">IF(X236&gt;0,X233/X236,"")</f>
        <v>4.1268697826087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-39.39363</v>
      </c>
      <c r="N240" s="31" t="n">
        <f aca="false">IF(N236&gt;0,(M238+N233+IF(Source_Data!N$6=Inputs!$B$12,Inputs!$B$7,0))/N236,"")</f>
        <v>-39.6955423913044</v>
      </c>
      <c r="O240" s="31" t="n">
        <f aca="false">IF(O236&gt;0,(N238+O233+IF(Source_Data!O$6=Inputs!$B$12,Inputs!$B$7,0))/O236,"")</f>
        <v>-38.3035210869565</v>
      </c>
      <c r="P240" s="31" t="n">
        <f aca="false">IF(P236&gt;0,(O238+P233+IF(Source_Data!P$6=Inputs!$B$12,Inputs!$B$7,0))/P236,"")</f>
        <v>-53.1552452608696</v>
      </c>
      <c r="Q240" s="31" t="n">
        <f aca="false">IF(Q236&gt;0,(P238+Q233+IF(Source_Data!Q$6=Inputs!$B$12,Inputs!$B$7,0))/Q236,"")</f>
        <v>-67.8913667173913</v>
      </c>
      <c r="R240" s="31" t="n">
        <f aca="false">IF(R236&gt;0,(Q238+R233+IF(Source_Data!R$6=Inputs!$B$12,Inputs!$B$7,0))/R236,"")</f>
        <v>-85.8784009673913</v>
      </c>
      <c r="S240" s="31" t="n">
        <f aca="false">IF(S236&gt;0,(R238+S233+IF(Source_Data!S$6=Inputs!$B$12,Inputs!$B$7,0))/S236,"")</f>
        <v>-54.9289146195652</v>
      </c>
      <c r="T240" s="31" t="n">
        <f aca="false">IF(T236&gt;0,(S238+T233+IF(Source_Data!T$6=Inputs!$B$12,Inputs!$B$7,0))/T236,"")</f>
        <v>-41.9892200108696</v>
      </c>
      <c r="U240" s="31" t="n">
        <f aca="false">IF(U236&gt;0,(T238+U233+IF(Source_Data!U$6=Inputs!$B$12,Inputs!$B$7,0))/U236,"")</f>
        <v>-29.9932210543478</v>
      </c>
      <c r="V240" s="31" t="n">
        <f aca="false">IF(V236&gt;0,(U238+V233+IF(Source_Data!V$6=Inputs!$B$12,Inputs!$B$7,0))/V236,"")</f>
        <v>-26.33798175</v>
      </c>
      <c r="W240" s="31" t="n">
        <f aca="false">IF(W236&gt;0,(V238+W233+IF(Source_Data!W$6=Inputs!$B$12,Inputs!$B$7,0))/W236,"")</f>
        <v>-25.5589380543478</v>
      </c>
      <c r="X240" s="31" t="n">
        <f aca="false">IF(X236&gt;0,(W238+X233+IF(Source_Data!X$6=Inputs!$B$12,Inputs!$B$7,0))/X236,"")</f>
        <v>-22.4320682717391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-26.2605155997418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45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-832.5846759375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-16.98703425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5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-85.8784009673913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75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15.1392375</v>
      </c>
      <c r="G263" s="33" t="n">
        <f aca="false">Source_Data!G$7+IF($B$261=1,IF(Source_Data!G$6=Inputs!$B$13,Source_Data!$C$8,0),Source_Data!G$8)</f>
        <v>30.278475</v>
      </c>
      <c r="H263" s="33" t="n">
        <f aca="false">Source_Data!H$7+IF($B$261=1,IF(Source_Data!H$6=Inputs!$B$13,Source_Data!$C$8,0),Source_Data!H$8)</f>
        <v>46.51200625</v>
      </c>
      <c r="I263" s="33" t="n">
        <f aca="false">Source_Data!I$7+IF($B$261=1,IF(Source_Data!I$6=Inputs!$B$13,Source_Data!$C$8,0),Source_Data!I$8)</f>
        <v>62.7455375</v>
      </c>
      <c r="J263" s="33" t="n">
        <f aca="false">Source_Data!J$7+IF($B$261=1,IF(Source_Data!J$6=Inputs!$B$13,Source_Data!$C$8,0),Source_Data!J$8)</f>
        <v>62.3657</v>
      </c>
      <c r="K263" s="33" t="n">
        <f aca="false">Source_Data!K$7+IF($B$261=1,IF(Source_Data!K$6=Inputs!$B$13,Source_Data!$C$8,0),Source_Data!K$8)</f>
        <v>63.473559375</v>
      </c>
      <c r="L263" s="33" t="n">
        <f aca="false">Source_Data!L$7+IF($B$261=1,IF(Source_Data!L$6=Inputs!$B$13,Source_Data!$C$8,0),Source_Data!L$8)</f>
        <v>80.3288484375</v>
      </c>
      <c r="M263" s="33" t="n">
        <f aca="false">Source_Data!M$7+IF($B$261=1,IF(Source_Data!M$6=Inputs!$B$13,Source_Data!$C$8,0),Source_Data!M$8)</f>
        <v>495.2538375</v>
      </c>
      <c r="N263" s="33" t="n">
        <f aca="false">Source_Data!N$7+IF($B$261=1,IF(Source_Data!N$6=Inputs!$B$13,Source_Data!$C$8,0),Source_Data!N$8)</f>
        <v>185.57775</v>
      </c>
      <c r="O263" s="33" t="n">
        <f aca="false">Source_Data!O$7+IF($B$261=1,IF(Source_Data!O$6=Inputs!$B$13,Source_Data!$C$8,0),Source_Data!O$8)</f>
        <v>176.534</v>
      </c>
      <c r="P263" s="33" t="n">
        <f aca="false">Source_Data!P$7+IF($B$261=1,IF(Source_Data!P$6=Inputs!$B$13,Source_Data!$C$8,0),Source_Data!P$8)</f>
        <v>97.31075</v>
      </c>
      <c r="Q263" s="33" t="n">
        <f aca="false">Source_Data!Q$7+IF($B$261=1,IF(Source_Data!Q$6=Inputs!$B$13,Source_Data!$C$8,0),Source_Data!Q$8)</f>
        <v>71.30996875</v>
      </c>
      <c r="R263" s="33" t="n">
        <f aca="false">Source_Data!R$7+IF($B$261=1,IF(Source_Data!R$6=Inputs!$B$13,Source_Data!$C$8,0),Source_Data!R$8)</f>
        <v>71.30996875</v>
      </c>
      <c r="S263" s="33" t="n">
        <f aca="false">Source_Data!S$7+IF($B$261=1,IF(Source_Data!S$6=Inputs!$B$13,Source_Data!$C$8,0),Source_Data!S$8)</f>
        <v>68.037035625</v>
      </c>
      <c r="T263" s="33" t="n">
        <f aca="false">Source_Data!T$7+IF($B$261=1,IF(Source_Data!T$6=Inputs!$B$13,Source_Data!$C$8,0),Source_Data!T$8)</f>
        <v>61.2266396875</v>
      </c>
      <c r="U263" s="33" t="n">
        <f aca="false">Source_Data!U$7+IF($B$261=1,IF(Source_Data!U$6=Inputs!$B$13,Source_Data!$C$8,0),Source_Data!U$8)</f>
        <v>59.7127159375</v>
      </c>
      <c r="V263" s="33" t="n">
        <f aca="false">Source_Data!V$7+IF($B$261=1,IF(Source_Data!V$6=Inputs!$B$13,Source_Data!$C$8,0),Source_Data!V$8)</f>
        <v>53.7239446875</v>
      </c>
      <c r="W263" s="33" t="n">
        <f aca="false">Source_Data!W$7+IF($B$261=1,IF(Source_Data!W$6=Inputs!$B$13,Source_Data!$C$8,0),Source_Data!W$8)</f>
        <v>49.3829446875</v>
      </c>
      <c r="X263" s="33" t="n">
        <f aca="false">Source_Data!X$7+IF($B$261=1,IF(Source_Data!X$6=Inputs!$B$13,Source_Data!$C$8,0),Source_Data!X$8)</f>
        <v>49.3829446875</v>
      </c>
      <c r="Y263" s="33" t="n">
        <f aca="false">Source_Data!Y$7+IF($B$261=1,IF(Source_Data!Y$6=Inputs!$B$13,Source_Data!$C$8,0),Source_Data!Y$8)</f>
        <v>42.1027259375</v>
      </c>
      <c r="Z263" s="33" t="n">
        <f aca="false">Source_Data!Z$7+IF($B$261=1,IF(Source_Data!Z$6=Inputs!$B$13,Source_Data!$C$8,0),Source_Data!Z$8)</f>
        <v>42.1027259375</v>
      </c>
      <c r="AA263" s="33" t="n">
        <f aca="false">Source_Data!AA$7+IF($B$261=1,IF(Source_Data!AA$6=Inputs!$B$13,Source_Data!$C$8,0),Source_Data!AA$8)</f>
        <v>42.1027259375</v>
      </c>
      <c r="AB263" s="33" t="n">
        <f aca="false">Source_Data!AB$7+IF($B$261=1,IF(Source_Data!AB$6=Inputs!$B$13,Source_Data!$C$8,0),Source_Data!AB$8)</f>
        <v>36.3147259375</v>
      </c>
      <c r="AC263" s="33" t="n">
        <f aca="false">Source_Data!AC$7+IF($B$261=1,IF(Source_Data!AC$6=Inputs!$B$13,Source_Data!$C$8,0),Source_Data!AC$8)</f>
        <v>33.0386275</v>
      </c>
      <c r="AD263" s="33" t="n">
        <f aca="false">Source_Data!AD$7+IF($B$261=1,IF(Source_Data!AD$6=Inputs!$B$13,Source_Data!$C$8,0),Source_Data!AD$8)</f>
        <v>29.43017125</v>
      </c>
      <c r="AE263" s="33" t="n">
        <f aca="false">Source_Data!AE$7+IF($B$261=1,IF(Source_Data!AE$6=Inputs!$B$13,Source_Data!$C$8,0),Source_Data!AE$8)</f>
        <v>25.08917125</v>
      </c>
      <c r="AF263" s="33" t="n">
        <f aca="false">Source_Data!AF$7+IF($B$261=1,IF(Source_Data!AF$6=Inputs!$B$13,Source_Data!$C$8,0),Source_Data!AF$8)</f>
        <v>25.08917125</v>
      </c>
      <c r="AG263" s="33" t="n">
        <f aca="false">Source_Data!AG$7+IF($B$261=1,IF(Source_Data!AG$6=Inputs!$B$13,Source_Data!$C$8,0),Source_Data!AG$8)</f>
        <v>25.08917125</v>
      </c>
      <c r="AH263" s="33" t="n">
        <f aca="false">Source_Data!AH$7+IF($B$261=1,IF(Source_Data!AH$6=Inputs!$B$13,Source_Data!$C$8,0),Source_Data!AH$8)</f>
        <v>25.08917125</v>
      </c>
      <c r="AI263" s="33" t="n">
        <f aca="false">Source_Data!AI$7+IF($B$261=1,IF(Source_Data!AI$6=Inputs!$B$13,Source_Data!$C$8,0),Source_Data!AI$8)</f>
        <v>25.08917125</v>
      </c>
      <c r="AJ263" s="33" t="n">
        <f aca="false">Source_Data!AJ$7+IF($B$261=1,IF(Source_Data!AJ$6=Inputs!$B$13,Source_Data!$C$8,0),Source_Data!AJ$8)</f>
        <v>25.08917125</v>
      </c>
      <c r="AK263" s="33" t="n">
        <f aca="false">Source_Data!AK$7+IF($B$261=1,IF(Source_Data!AK$6=Inputs!$B$13,Source_Data!$C$8,0),Source_Data!AK$8)</f>
        <v>22.905105625</v>
      </c>
      <c r="AL263" s="33" t="n">
        <f aca="false">Source_Data!AL$7+IF($B$261=1,IF(Source_Data!AL$6=Inputs!$B$13,Source_Data!$C$8,0),Source_Data!AL$8)</f>
        <v>22.905105625</v>
      </c>
      <c r="AM263" s="33" t="n">
        <f aca="false">Source_Data!AM$7+IF($B$261=1,IF(Source_Data!AM$6=Inputs!$B$13,Source_Data!$C$8,0),Source_Data!AM$8)</f>
        <v>18.739554375</v>
      </c>
      <c r="AN263" s="33" t="n">
        <f aca="false">Source_Data!AN$7+IF($B$261=1,IF(Source_Data!AN$6=Inputs!$B$13,Source_Data!$C$8,0),Source_Data!AN$8)</f>
        <v>9.6261675</v>
      </c>
      <c r="AO263" s="33" t="n">
        <f aca="false">Source_Data!AO$7+IF($B$261=1,IF(Source_Data!AO$6=Inputs!$B$13,Source_Data!$C$8,0),Source_Data!AO$8)</f>
        <v>3.5704725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91.25</v>
      </c>
      <c r="E265" s="33" t="n">
        <f aca="false">Source_Data!E$9+Source_Data!E$10*IF(Source_Data!$C$10=0,0,MAX(0,Inputs!$B$19*Inputs!$B$22*$B$257-Inputs!$B$20)/Source_Data!$C$10)</f>
        <v>11.25</v>
      </c>
      <c r="F265" s="33" t="n">
        <f aca="false">Source_Data!F$9+Source_Data!F$10*IF(Source_Data!$C$10=0,0,MAX(0,Inputs!$B$19*Inputs!$B$22*$B$257-Inputs!$B$20)/Source_Data!$C$10)</f>
        <v>11.25</v>
      </c>
      <c r="G265" s="33" t="n">
        <f aca="false">Source_Data!G$9+Source_Data!G$10*IF(Source_Data!$C$10=0,0,MAX(0,Inputs!$B$19*Inputs!$B$22*$B$257-Inputs!$B$20)/Source_Data!$C$10)</f>
        <v>11.25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33.75</v>
      </c>
      <c r="M265" s="33" t="n">
        <f aca="false">Source_Data!M$9+Source_Data!M$10*IF(Source_Data!$C$10=0,0,MAX(0,Inputs!$B$19*Inputs!$B$22*$B$257-Inputs!$B$20)/Source_Data!$C$10)</f>
        <v>33.75</v>
      </c>
      <c r="N265" s="33" t="n">
        <f aca="false">Source_Data!N$9+Source_Data!N$10*IF(Source_Data!$C$10=0,0,MAX(0,Inputs!$B$19*Inputs!$B$22*$B$257-Inputs!$B$20)/Source_Data!$C$10)</f>
        <v>33.75</v>
      </c>
      <c r="O265" s="33" t="n">
        <f aca="false">Source_Data!O$9+Source_Data!O$10*IF(Source_Data!$C$10=0,0,MAX(0,Inputs!$B$19*Inputs!$B$22*$B$257-Inputs!$B$20)/Source_Data!$C$10)</f>
        <v>33.75</v>
      </c>
      <c r="P265" s="33" t="n">
        <f aca="false">Source_Data!P$9+Source_Data!P$10*IF(Source_Data!$C$10=0,0,MAX(0,Inputs!$B$19*Inputs!$B$22*$B$257-Inputs!$B$20)/Source_Data!$C$10)</f>
        <v>45</v>
      </c>
      <c r="Q265" s="33" t="n">
        <f aca="false">Source_Data!Q$9+Source_Data!Q$10*IF(Source_Data!$C$10=0,0,MAX(0,Inputs!$B$19*Inputs!$B$22*$B$257-Inputs!$B$20)/Source_Data!$C$10)</f>
        <v>45</v>
      </c>
      <c r="R265" s="33" t="n">
        <f aca="false">Source_Data!R$9+Source_Data!R$10*IF(Source_Data!$C$10=0,0,MAX(0,Inputs!$B$19*Inputs!$B$22*$B$257-Inputs!$B$20)/Source_Data!$C$10)</f>
        <v>45</v>
      </c>
      <c r="S265" s="33" t="n">
        <f aca="false">Source_Data!S$9+Source_Data!S$10*IF(Source_Data!$C$10=0,0,MAX(0,Inputs!$B$19*Inputs!$B$22*$B$257-Inputs!$B$20)/Source_Data!$C$10)</f>
        <v>45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107.758210351563</v>
      </c>
      <c r="AG265" s="33" t="n">
        <f aca="false">Source_Data!AG$9+Source_Data!AG$10*IF(Source_Data!$C$10=0,0,MAX(0,Inputs!$B$19*Inputs!$B$22*$B$257-Inputs!$B$20)/Source_Data!$C$10)</f>
        <v>10.976512421875</v>
      </c>
      <c r="AH265" s="33" t="n">
        <f aca="false">Source_Data!AH$9+Source_Data!AH$10*IF(Source_Data!$C$10=0,0,MAX(0,Inputs!$B$19*Inputs!$B$22*$B$257-Inputs!$B$20)/Source_Data!$C$10)</f>
        <v>10.976512421875</v>
      </c>
      <c r="AI265" s="33" t="n">
        <f aca="false">Source_Data!AI$9+Source_Data!AI$10*IF(Source_Data!$C$10=0,0,MAX(0,Inputs!$B$19*Inputs!$B$22*$B$257-Inputs!$B$20)/Source_Data!$C$10)</f>
        <v>10.976512421875</v>
      </c>
      <c r="AJ265" s="33" t="n">
        <f aca="false">Source_Data!AJ$9+Source_Data!AJ$10*IF(Source_Data!$C$10=0,0,MAX(0,Inputs!$B$19*Inputs!$B$22*$B$257-Inputs!$B$20)/Source_Data!$C$10)</f>
        <v>10.976512421875</v>
      </c>
      <c r="AK265" s="33" t="n">
        <f aca="false">Source_Data!AK$9+Source_Data!AK$10*IF(Source_Data!$C$10=0,0,MAX(0,Inputs!$B$19*Inputs!$B$22*$B$257-Inputs!$B$20)/Source_Data!$C$10)</f>
        <v>10.0209837109375</v>
      </c>
      <c r="AL265" s="33" t="n">
        <f aca="false">Source_Data!AL$9+Source_Data!AL$10*IF(Source_Data!$C$10=0,0,MAX(0,Inputs!$B$19*Inputs!$B$22*$B$257-Inputs!$B$20)/Source_Data!$C$10)</f>
        <v>10.0209837109375</v>
      </c>
      <c r="AM265" s="33" t="n">
        <f aca="false">Source_Data!AM$9+Source_Data!AM$10*IF(Source_Data!$C$10=0,0,MAX(0,Inputs!$B$19*Inputs!$B$22*$B$257-Inputs!$B$20)/Source_Data!$C$10)</f>
        <v>8.19855503906249</v>
      </c>
      <c r="AN265" s="33" t="n">
        <f aca="false">Source_Data!AN$9+Source_Data!AN$10*IF(Source_Data!$C$10=0,0,MAX(0,Inputs!$B$19*Inputs!$B$22*$B$257-Inputs!$B$20)/Source_Data!$C$10)</f>
        <v>4.21144828125</v>
      </c>
      <c r="AO265" s="33" t="n">
        <f aca="false">Source_Data!AO$9+Source_Data!AO$10*IF(Source_Data!$C$10=0,0,MAX(0,Inputs!$B$19*Inputs!$B$22*$B$257-Inputs!$B$20)/Source_Data!$C$10)</f>
        <v>1.56208171875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-50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34.7670250896057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34.7670250896057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34.7670250896057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34.7670250896057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0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0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9.58333333333333</v>
      </c>
      <c r="N272" s="33" t="n">
        <f aca="false">IF(AND(Source_Data!N$6&gt;=Inputs!$B$54,Source_Data!N$6&lt;Inputs!$B$54+3*Inputs!$B$11),Inputs!$B$9*Inputs!$B$7/Inputs!$B$11,0)</f>
        <v>9.58333333333333</v>
      </c>
      <c r="O272" s="33" t="n">
        <f aca="false">IF(AND(Source_Data!O$6&gt;=Inputs!$B$54,Source_Data!O$6&lt;Inputs!$B$54+3*Inputs!$B$11),Inputs!$B$9*Inputs!$B$7/Inputs!$B$11,0)</f>
        <v>9.58333333333333</v>
      </c>
      <c r="P272" s="33" t="n">
        <f aca="false">IF(AND(Source_Data!P$6&gt;=Inputs!$B$54,Source_Data!P$6&lt;Inputs!$B$54+3*Inputs!$B$11),Inputs!$B$9*Inputs!$B$7/Inputs!$B$11,0)</f>
        <v>9.58333333333333</v>
      </c>
      <c r="Q272" s="33" t="n">
        <f aca="false">IF(AND(Source_Data!Q$6&gt;=Inputs!$B$54,Source_Data!Q$6&lt;Inputs!$B$54+3*Inputs!$B$11),Inputs!$B$9*Inputs!$B$7/Inputs!$B$11,0)</f>
        <v>9.58333333333333</v>
      </c>
      <c r="R272" s="33" t="n">
        <f aca="false">IF(AND(Source_Data!R$6&gt;=Inputs!$B$54,Source_Data!R$6&lt;Inputs!$B$54+3*Inputs!$B$11),Inputs!$B$9*Inputs!$B$7/Inputs!$B$11,0)</f>
        <v>9.58333333333333</v>
      </c>
      <c r="S272" s="33" t="n">
        <f aca="false">IF(AND(Source_Data!S$6&gt;=Inputs!$B$54,Source_Data!S$6&lt;Inputs!$B$54+3*Inputs!$B$11),Inputs!$B$9*Inputs!$B$7/Inputs!$B$11,0)</f>
        <v>9.58333333333333</v>
      </c>
      <c r="T272" s="33" t="n">
        <f aca="false">IF(AND(Source_Data!T$6&gt;=Inputs!$B$54,Source_Data!T$6&lt;Inputs!$B$54+3*Inputs!$B$11),Inputs!$B$9*Inputs!$B$7/Inputs!$B$11,0)</f>
        <v>9.58333333333333</v>
      </c>
      <c r="U272" s="33" t="n">
        <f aca="false">IF(AND(Source_Data!U$6&gt;=Inputs!$B$54,Source_Data!U$6&lt;Inputs!$B$54+3*Inputs!$B$11),Inputs!$B$9*Inputs!$B$7/Inputs!$B$11,0)</f>
        <v>9.58333333333333</v>
      </c>
      <c r="V272" s="33" t="n">
        <f aca="false">IF(AND(Source_Data!V$6&gt;=Inputs!$B$54,Source_Data!V$6&lt;Inputs!$B$54+3*Inputs!$B$11),Inputs!$B$9*Inputs!$B$7/Inputs!$B$11,0)</f>
        <v>9.58333333333333</v>
      </c>
      <c r="W272" s="33" t="n">
        <f aca="false">IF(AND(Source_Data!W$6&gt;=Inputs!$B$54,Source_Data!W$6&lt;Inputs!$B$54+3*Inputs!$B$11),Inputs!$B$9*Inputs!$B$7/Inputs!$B$11,0)</f>
        <v>9.58333333333333</v>
      </c>
      <c r="X272" s="33" t="n">
        <f aca="false">IF(AND(Source_Data!X$6&gt;=Inputs!$B$54,Source_Data!X$6&lt;Inputs!$B$54+3*Inputs!$B$11),Inputs!$B$9*Inputs!$B$7/Inputs!$B$11,0)</f>
        <v>9.58333333333333</v>
      </c>
      <c r="Y272" s="33" t="n">
        <f aca="false">IF(AND(Source_Data!Y$6&gt;=Inputs!$B$54,Source_Data!Y$6&lt;Inputs!$B$54+3*Inputs!$B$11),Inputs!$B$9*Inputs!$B$7/Inputs!$B$11,0)</f>
        <v>0</v>
      </c>
      <c r="Z272" s="33" t="n">
        <f aca="false">IF(AND(Source_Data!Z$6&gt;=Inputs!$B$54,Source_Data!Z$6&lt;Inputs!$B$54+3*Inputs!$B$11),Inputs!$B$9*Inputs!$B$7/Inputs!$B$11,0)</f>
        <v>0</v>
      </c>
      <c r="AA272" s="33" t="n">
        <f aca="false">IF(AND(Source_Data!AA$6&gt;=Inputs!$B$54,Source_Data!AA$6&lt;Inputs!$B$54+3*Inputs!$B$11),Inputs!$B$9*Inputs!$B$7/Inputs!$B$11,0)</f>
        <v>0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-50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9.58333333333333</v>
      </c>
      <c r="N273" s="33" t="n">
        <f aca="false">IF(Source_Data!N$6=Inputs!$B$12,-Inputs!$B$7,0)+N272</f>
        <v>9.58333333333333</v>
      </c>
      <c r="O273" s="33" t="n">
        <f aca="false">IF(Source_Data!O$6=Inputs!$B$12,-Inputs!$B$7,0)+O272</f>
        <v>9.58333333333333</v>
      </c>
      <c r="P273" s="33" t="n">
        <f aca="false">IF(Source_Data!P$6=Inputs!$B$12,-Inputs!$B$7,0)+P272</f>
        <v>9.58333333333333</v>
      </c>
      <c r="Q273" s="33" t="n">
        <f aca="false">IF(Source_Data!Q$6=Inputs!$B$12,-Inputs!$B$7,0)+Q272</f>
        <v>9.58333333333333</v>
      </c>
      <c r="R273" s="33" t="n">
        <f aca="false">IF(Source_Data!R$6=Inputs!$B$12,-Inputs!$B$7,0)+R272</f>
        <v>9.58333333333333</v>
      </c>
      <c r="S273" s="33" t="n">
        <f aca="false">IF(Source_Data!S$6=Inputs!$B$12,-Inputs!$B$7,0)+S272</f>
        <v>9.58333333333333</v>
      </c>
      <c r="T273" s="33" t="n">
        <f aca="false">IF(Source_Data!T$6=Inputs!$B$12,-Inputs!$B$7,0)+T272</f>
        <v>9.58333333333333</v>
      </c>
      <c r="U273" s="33" t="n">
        <f aca="false">IF(Source_Data!U$6=Inputs!$B$12,-Inputs!$B$7,0)+U272</f>
        <v>9.58333333333333</v>
      </c>
      <c r="V273" s="33" t="n">
        <f aca="false">IF(Source_Data!V$6=Inputs!$B$12,-Inputs!$B$7,0)+V272</f>
        <v>9.58333333333333</v>
      </c>
      <c r="W273" s="33" t="n">
        <f aca="false">IF(Source_Data!W$6=Inputs!$B$12,-Inputs!$B$7,0)+W272</f>
        <v>9.58333333333333</v>
      </c>
      <c r="X273" s="33" t="n">
        <f aca="false">IF(Source_Data!X$6=Inputs!$B$12,-Inputs!$B$7,0)+X272</f>
        <v>9.58333333333333</v>
      </c>
      <c r="Y273" s="33" t="n">
        <f aca="false">IF(Source_Data!Y$6=Inputs!$B$12,-Inputs!$B$7,0)+Y272</f>
        <v>0</v>
      </c>
      <c r="Z273" s="33" t="n">
        <f aca="false">IF(Source_Data!Z$6=Inputs!$B$12,-Inputs!$B$7,0)+Z272</f>
        <v>0</v>
      </c>
      <c r="AA273" s="33" t="n">
        <f aca="false">IF(Source_Data!AA$6=Inputs!$B$12,-Inputs!$B$7,0)+AA272</f>
        <v>0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-41.25</v>
      </c>
      <c r="E274" s="33" t="n">
        <f aca="false">D274+IF(Source_Data!E$6=Inputs!$B$12,Inputs!$B$7,0)+E269-E272</f>
        <v>-52.5</v>
      </c>
      <c r="F274" s="33" t="n">
        <f aca="false">E274+IF(Source_Data!F$6=Inputs!$B$12,Inputs!$B$7,0)+F269-F272</f>
        <v>-63.75</v>
      </c>
      <c r="G274" s="33" t="n">
        <f aca="false">F274+IF(Source_Data!G$6=Inputs!$B$12,Inputs!$B$7,0)+G269-G272</f>
        <v>-75</v>
      </c>
      <c r="H274" s="33" t="n">
        <f aca="false">G274+IF(Source_Data!H$6=Inputs!$B$12,Inputs!$B$7,0)+H269-H272</f>
        <v>-120.5</v>
      </c>
      <c r="I274" s="33" t="n">
        <f aca="false">H274+IF(Source_Data!I$6=Inputs!$B$12,Inputs!$B$7,0)+I269-I272</f>
        <v>-173.36</v>
      </c>
      <c r="J274" s="33" t="n">
        <f aca="false">I274+IF(Source_Data!J$6=Inputs!$B$12,Inputs!$B$7,0)+J269-J272</f>
        <v>-241.86</v>
      </c>
      <c r="K274" s="33" t="n">
        <f aca="false">J274+IF(Source_Data!K$6=Inputs!$B$12,Inputs!$B$7,0)+K269-K272</f>
        <v>-294.72</v>
      </c>
      <c r="L274" s="33" t="n">
        <f aca="false">K274+IF(Source_Data!L$6=Inputs!$B$12,Inputs!$B$7,0)+L269-L272</f>
        <v>-358.83</v>
      </c>
      <c r="M274" s="33" t="n">
        <f aca="false">L274+IF(Source_Data!M$6=Inputs!$B$12,Inputs!$B$7,0)+M269-M272</f>
        <v>-432.523333333333</v>
      </c>
      <c r="N274" s="33" t="n">
        <f aca="false">M274+IF(Source_Data!N$6=Inputs!$B$12,Inputs!$B$7,0)+N269-N272</f>
        <v>-466.789429166667</v>
      </c>
      <c r="O274" s="33" t="n">
        <f aca="false">N274+IF(Source_Data!O$6=Inputs!$B$12,Inputs!$B$7,0)+O269-O272</f>
        <v>-485.9162875</v>
      </c>
      <c r="P274" s="33" t="n">
        <f aca="false">O274+IF(Source_Data!P$6=Inputs!$B$12,Inputs!$B$7,0)+P269-P272</f>
        <v>-631.987614583333</v>
      </c>
      <c r="Q274" s="33" t="n">
        <f aca="false">P274+IF(Source_Data!Q$6=Inputs!$B$12,Inputs!$B$7,0)+Q269-Q272</f>
        <v>-761.825410416667</v>
      </c>
      <c r="R274" s="33" t="n">
        <f aca="false">Q274+IF(Source_Data!R$6=Inputs!$B$12,Inputs!$B$7,0)+R269-R272</f>
        <v>-954.75443375</v>
      </c>
      <c r="S274" s="33" t="n">
        <f aca="false">R274+IF(Source_Data!S$6=Inputs!$B$12,Inputs!$B$7,0)+S269-S272</f>
        <v>-1092.52559770833</v>
      </c>
      <c r="T274" s="33" t="n">
        <f aca="false">S274+IF(Source_Data!T$6=Inputs!$B$12,Inputs!$B$7,0)+T269-T272</f>
        <v>-1076.30134260417</v>
      </c>
      <c r="U274" s="33" t="n">
        <f aca="false">T274+IF(Source_Data!U$6=Inputs!$B$12,Inputs!$B$7,0)+U269-U272</f>
        <v>-645.1520984375</v>
      </c>
      <c r="V274" s="33" t="n">
        <f aca="false">U274+IF(Source_Data!V$6=Inputs!$B$12,Inputs!$B$7,0)+V269-V272</f>
        <v>-521.146691770833</v>
      </c>
      <c r="W274" s="33" t="n">
        <f aca="false">V274+IF(Source_Data!W$6=Inputs!$B$12,Inputs!$B$7,0)+W269-W272</f>
        <v>-406.185035104167</v>
      </c>
      <c r="X274" s="33" t="n">
        <f aca="false">W274+IF(Source_Data!X$6=Inputs!$B$12,Inputs!$B$7,0)+X269-X272</f>
        <v>-348.6556584375</v>
      </c>
      <c r="Y274" s="33" t="n">
        <f aca="false">X274+IF(Source_Data!Y$6=Inputs!$B$12,Inputs!$B$7,0)+Y269-Y272</f>
        <v>-309.1064896875</v>
      </c>
      <c r="Z274" s="33" t="n">
        <f aca="false">Y274+IF(Source_Data!Z$6=Inputs!$B$12,Inputs!$B$7,0)+Z269-Z272</f>
        <v>-269.5573209375</v>
      </c>
      <c r="AA274" s="33" t="n">
        <f aca="false">Z274+IF(Source_Data!AA$6=Inputs!$B$12,Inputs!$B$7,0)+AA269-AA272</f>
        <v>-230.6764853125</v>
      </c>
      <c r="AB274" s="33" t="n">
        <f aca="false">AA274+IF(Source_Data!AB$6=Inputs!$B$12,Inputs!$B$7,0)+AB269-AB272</f>
        <v>-169.449845625</v>
      </c>
      <c r="AC274" s="33" t="n">
        <f aca="false">AB274+IF(Source_Data!AC$6=Inputs!$B$12,Inputs!$B$7,0)+AC269-AC272</f>
        <v>-109.7371296875</v>
      </c>
      <c r="AD274" s="33" t="n">
        <f aca="false">AC274+IF(Source_Data!AD$6=Inputs!$B$12,Inputs!$B$7,0)+AD269-AD272</f>
        <v>-56.0131850000001</v>
      </c>
      <c r="AE274" s="33" t="n">
        <f aca="false">AD274+IF(Source_Data!AE$6=Inputs!$B$12,Inputs!$B$7,0)+AE269-AE272</f>
        <v>-6.63024031250013</v>
      </c>
      <c r="AF274" s="33" t="n">
        <f aca="false">AE274+IF(Source_Data!AF$6=Inputs!$B$12,Inputs!$B$7,0)+AF269-AF272</f>
        <v>-65.0055059765627</v>
      </c>
      <c r="AG274" s="33" t="n">
        <f aca="false">AF274+IF(Source_Data!AG$6=Inputs!$B$12,Inputs!$B$7,0)+AG269-AG272</f>
        <v>-33.8792924609377</v>
      </c>
      <c r="AH274" s="33" t="n">
        <f aca="false">AG274+IF(Source_Data!AH$6=Inputs!$B$12,Inputs!$B$7,0)+AH269-AH272</f>
        <v>-2.75307894531265</v>
      </c>
      <c r="AI274" s="33" t="n">
        <f aca="false">AH274+IF(Source_Data!AI$6=Inputs!$B$12,Inputs!$B$7,0)+AI269-AI272</f>
        <v>28.3731345703124</v>
      </c>
      <c r="AJ274" s="33" t="n">
        <f aca="false">AI274+IF(Source_Data!AJ$6=Inputs!$B$12,Inputs!$B$7,0)+AJ269-AJ272</f>
        <v>53.7113480859374</v>
      </c>
      <c r="AK274" s="33" t="n">
        <f aca="false">AJ274+IF(Source_Data!AK$6=Inputs!$B$12,Inputs!$B$7,0)+AK269-AK272</f>
        <v>76.7289918749999</v>
      </c>
      <c r="AL274" s="33" t="n">
        <f aca="false">AK274+IF(Source_Data!AL$6=Inputs!$B$12,Inputs!$B$7,0)+AL269-AL272</f>
        <v>96.1381794140624</v>
      </c>
      <c r="AM274" s="33" t="n">
        <f aca="false">AL274+IF(Source_Data!AM$6=Inputs!$B$12,Inputs!$B$7,0)+AM269-AM272</f>
        <v>113.028795625</v>
      </c>
      <c r="AN274" s="33" t="n">
        <f aca="false">AM274+IF(Source_Data!AN$6=Inputs!$B$12,Inputs!$B$7,0)+AN269-AN272</f>
        <v>133.90651859375</v>
      </c>
      <c r="AO274" s="33" t="n">
        <f aca="false">AN274+IF(Source_Data!AO$6=Inputs!$B$12,Inputs!$B$7,0)+AO269-AO272</f>
        <v>157.433608125</v>
      </c>
      <c r="AP274" s="33" t="n">
        <f aca="false">AO274+IF(Source_Data!AP$6=Inputs!$B$12,Inputs!$B$7,0)+AP269-AP272</f>
        <v>182.522779375</v>
      </c>
      <c r="AQ274" s="33" t="n">
        <f aca="false">AP274+IF(Source_Data!AQ$6=Inputs!$B$12,Inputs!$B$7,0)+AQ269-AQ272</f>
        <v>207.611950625</v>
      </c>
      <c r="AR274" s="33" t="n">
        <f aca="false">AQ274+IF(Source_Data!AR$6=Inputs!$B$12,Inputs!$B$7,0)+AR269-AR272</f>
        <v>232.701121875</v>
      </c>
      <c r="AS274" s="33" t="n">
        <f aca="false">AR274+IF(Source_Data!AS$6=Inputs!$B$12,Inputs!$B$7,0)+AS269-AS272</f>
        <v>255.6062275</v>
      </c>
      <c r="AT274" s="33" t="n">
        <f aca="false">AS274+IF(Source_Data!AT$6=Inputs!$B$12,Inputs!$B$7,0)+AT269-AT272</f>
        <v>278.511333125</v>
      </c>
      <c r="AU274" s="33" t="n">
        <f aca="false">AT274+IF(Source_Data!AU$6=Inputs!$B$12,Inputs!$B$7,0)+AU269-AU272</f>
        <v>297.2508875</v>
      </c>
      <c r="AV274" s="33" t="n">
        <f aca="false">AU274+IF(Source_Data!AV$6=Inputs!$B$12,Inputs!$B$7,0)+AV269-AV272</f>
        <v>306.877055</v>
      </c>
      <c r="AW274" s="33" t="n">
        <f aca="false">AV274+IF(Source_Data!AW$6=Inputs!$B$12,Inputs!$B$7,0)+AW269-AW272</f>
        <v>310.4475275</v>
      </c>
      <c r="AX274" s="33" t="n">
        <f aca="false">AW274+IF(Source_Data!AX$6=Inputs!$B$12,Inputs!$B$7,0)+AX269-AX272</f>
        <v>310.4475275</v>
      </c>
      <c r="AY274" s="33" t="n">
        <f aca="false">AX274+IF(Source_Data!AY$6=Inputs!$B$12,Inputs!$B$7,0)+AY269-AY272</f>
        <v>310.4475275</v>
      </c>
      <c r="AZ274" s="33" t="n">
        <f aca="false">AY274+IF(Source_Data!AZ$6=Inputs!$B$12,Inputs!$B$7,0)+AZ269-AZ272</f>
        <v>310.4475275</v>
      </c>
      <c r="BA274" s="33" t="n">
        <f aca="false">AZ274+IF(Source_Data!BA$6=Inputs!$B$12,Inputs!$B$7,0)+BA269-BA272</f>
        <v>310.4475275</v>
      </c>
      <c r="BB274" s="33" t="n">
        <f aca="false">BA274+IF(Source_Data!BB$6=Inputs!$B$12,Inputs!$B$7,0)+BB269-BB272</f>
        <v>310.4475275</v>
      </c>
      <c r="BC274" s="33" t="n">
        <f aca="false">BB274+IF(Source_Data!BC$6=Inputs!$B$12,Inputs!$B$7,0)+BC269-BC272</f>
        <v>310.4475275</v>
      </c>
      <c r="BD274" s="33" t="n">
        <f aca="false">BC274+IF(Source_Data!BD$6=Inputs!$B$12,Inputs!$B$7,0)+BD269-BD272</f>
        <v>310.4475275</v>
      </c>
      <c r="BE274" s="33" t="n">
        <f aca="false">BD274+IF(Source_Data!BE$6=Inputs!$B$12,Inputs!$B$7,0)+BE269-BE272</f>
        <v>310.4475275</v>
      </c>
      <c r="BF274" s="33" t="n">
        <f aca="false">BE274+IF(Source_Data!BF$6=Inputs!$B$12,Inputs!$B$7,0)+BF269-BF272</f>
        <v>310.4475275</v>
      </c>
      <c r="BG274" s="33" t="n">
        <f aca="false">BF274+IF(Source_Data!BG$6=Inputs!$B$12,Inputs!$B$7,0)+BG269-BG272</f>
        <v>310.4475275</v>
      </c>
      <c r="BH274" s="33" t="n">
        <f aca="false">BG274+IF(Source_Data!BH$6=Inputs!$B$12,Inputs!$B$7,0)+BH269-BH272</f>
        <v>310.4475275</v>
      </c>
      <c r="BI274" s="33" t="n">
        <f aca="false">BH274+IF(Source_Data!BI$6=Inputs!$B$12,Inputs!$B$7,0)+BI269-BI272</f>
        <v>310.4475275</v>
      </c>
      <c r="BJ274" s="33" t="n">
        <f aca="false">BI274+IF(Source_Data!BJ$6=Inputs!$B$12,Inputs!$B$7,0)+BJ269-BJ272</f>
        <v>310.4475275</v>
      </c>
      <c r="BK274" s="33" t="n">
        <f aca="false">BJ274+IF(Source_Data!BK$6=Inputs!$B$12,Inputs!$B$7,0)+BK269-BK272</f>
        <v>310.4475275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-6.68973913043478</v>
      </c>
      <c r="N275" s="31" t="n">
        <f aca="false">IF(N272&gt;0,N269/N272,"")</f>
        <v>-2.57559260869565</v>
      </c>
      <c r="O275" s="31" t="n">
        <f aca="false">IF(O272&gt;0,O269/O272,"")</f>
        <v>-0.995846086956522</v>
      </c>
      <c r="P275" s="31" t="n">
        <f aca="false">IF(P272&gt;0,P269/P272,"")</f>
        <v>-14.2422254347826</v>
      </c>
      <c r="Q275" s="31" t="n">
        <f aca="false">IF(Q272&gt;0,Q269/Q272,"")</f>
        <v>-12.5482917391304</v>
      </c>
      <c r="R275" s="31" t="n">
        <f aca="false">IF(R272&gt;0,R269/R272,"")</f>
        <v>-19.131724173913</v>
      </c>
      <c r="S275" s="31" t="n">
        <f aca="false">IF(S272&gt;0,S269/S272,"")</f>
        <v>-13.3761214565217</v>
      </c>
      <c r="T275" s="31" t="n">
        <f aca="false">IF(T272&gt;0,T269/T272,"")</f>
        <v>2.69296575</v>
      </c>
      <c r="U275" s="31" t="n">
        <f aca="false">IF(U272&gt;0,U269/U272,"")</f>
        <v>45.9894863478261</v>
      </c>
      <c r="V275" s="31" t="n">
        <f aca="false">IF(V272&gt;0,V269/V272,"")</f>
        <v>13.9396946086957</v>
      </c>
      <c r="W275" s="31" t="n">
        <f aca="false">IF(W272&gt;0,W269/W272,"")</f>
        <v>12.9959989565217</v>
      </c>
      <c r="X275" s="31" t="n">
        <f aca="false">IF(X272&gt;0,X269/X272,"")</f>
        <v>7.00306539130435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n">
        <f aca="false">IF(M272&gt;0,(L274+M269+IF(Source_Data!M$6=Inputs!$B$12,Inputs!$B$7,0))/M272,"")</f>
        <v>-44.1328695652174</v>
      </c>
      <c r="N276" s="31" t="n">
        <f aca="false">IF(N272&gt;0,(M274+N269+IF(Source_Data!N$6=Inputs!$B$12,Inputs!$B$7,0))/N272,"")</f>
        <v>-47.7084621739131</v>
      </c>
      <c r="O276" s="31" t="n">
        <f aca="false">IF(O272&gt;0,(N274+O269+IF(Source_Data!O$6=Inputs!$B$12,Inputs!$B$7,0))/O272,"")</f>
        <v>-49.7043082608696</v>
      </c>
      <c r="P276" s="31" t="n">
        <f aca="false">IF(P272&gt;0,(O274+P269+IF(Source_Data!P$6=Inputs!$B$12,Inputs!$B$7,0))/P272,"")</f>
        <v>-64.9465336956522</v>
      </c>
      <c r="Q276" s="31" t="n">
        <f aca="false">IF(Q272&gt;0,(P274+Q269+IF(Source_Data!Q$6=Inputs!$B$12,Inputs!$B$7,0))/Q272,"")</f>
        <v>-78.4948254347826</v>
      </c>
      <c r="R276" s="31" t="n">
        <f aca="false">IF(R272&gt;0,(Q274+R269+IF(Source_Data!R$6=Inputs!$B$12,Inputs!$B$7,0))/R272,"")</f>
        <v>-98.6265496086957</v>
      </c>
      <c r="S276" s="31" t="n">
        <f aca="false">IF(S272&gt;0,(R274+S269+IF(Source_Data!S$6=Inputs!$B$12,Inputs!$B$7,0))/S272,"")</f>
        <v>-113.002671065217</v>
      </c>
      <c r="T276" s="31" t="n">
        <f aca="false">IF(T272&gt;0,(S274+T269+IF(Source_Data!T$6=Inputs!$B$12,Inputs!$B$7,0))/T272,"")</f>
        <v>-111.309705315217</v>
      </c>
      <c r="U276" s="31" t="n">
        <f aca="false">IF(U272&gt;0,(T274+U269+IF(Source_Data!U$6=Inputs!$B$12,Inputs!$B$7,0))/U272,"")</f>
        <v>-66.3202189673913</v>
      </c>
      <c r="V276" s="31" t="n">
        <f aca="false">IF(V272&gt;0,(U274+V269+IF(Source_Data!V$6=Inputs!$B$12,Inputs!$B$7,0))/V272,"")</f>
        <v>-53.3805243586957</v>
      </c>
      <c r="W276" s="31" t="n">
        <f aca="false">IF(W272&gt;0,(V274+W269+IF(Source_Data!W$6=Inputs!$B$12,Inputs!$B$7,0))/W272,"")</f>
        <v>-41.3845254021739</v>
      </c>
      <c r="X276" s="31" t="n">
        <f aca="false">IF(X272&gt;0,(W274+X269+IF(Source_Data!X$6=Inputs!$B$12,Inputs!$B$7,0))/X272,"")</f>
        <v>-35.3814600108696</v>
      </c>
      <c r="Y276" s="31" t="str">
        <f aca="false">IF(Y272&gt;0,(X274+Y269+IF(Source_Data!Y$6=Inputs!$B$12,Inputs!$B$7,0))/Y272,"")</f>
        <v/>
      </c>
      <c r="Z276" s="31" t="str">
        <f aca="false">IF(Z272&gt;0,(Y274+Z269+IF(Source_Data!Z$6=Inputs!$B$12,Inputs!$B$7,0))/Z272,"")</f>
        <v/>
      </c>
      <c r="AA276" s="31" t="str">
        <f aca="false">IF(AA272&gt;0,(Z274+AA269+IF(Source_Data!AA$6=Inputs!$B$12,Inputs!$B$7,0))/AA272,"")</f>
        <v/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-96.7946271765743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48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-1092.52559770833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-19.131724173913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7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-113.002671065217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51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15.1392375</v>
      </c>
      <c r="G299" s="33" t="n">
        <f aca="false">Source_Data!G$7+IF($B$297=1,IF(Source_Data!G$6=Inputs!$B$13,Source_Data!$C$8,0),Source_Data!G$8)</f>
        <v>30.278475</v>
      </c>
      <c r="H299" s="33" t="n">
        <f aca="false">Source_Data!H$7+IF($B$297=1,IF(Source_Data!H$6=Inputs!$B$13,Source_Data!$C$8,0),Source_Data!H$8)</f>
        <v>46.51200625</v>
      </c>
      <c r="I299" s="33" t="n">
        <f aca="false">Source_Data!I$7+IF($B$297=1,IF(Source_Data!I$6=Inputs!$B$13,Source_Data!$C$8,0),Source_Data!I$8)</f>
        <v>62.7455375</v>
      </c>
      <c r="J299" s="33" t="n">
        <f aca="false">Source_Data!J$7+IF($B$297=1,IF(Source_Data!J$6=Inputs!$B$13,Source_Data!$C$8,0),Source_Data!J$8)</f>
        <v>62.3657</v>
      </c>
      <c r="K299" s="33" t="n">
        <f aca="false">Source_Data!K$7+IF($B$297=1,IF(Source_Data!K$6=Inputs!$B$13,Source_Data!$C$8,0),Source_Data!K$8)</f>
        <v>63.473559375</v>
      </c>
      <c r="L299" s="33" t="n">
        <f aca="false">Source_Data!L$7+IF($B$297=1,IF(Source_Data!L$6=Inputs!$B$13,Source_Data!$C$8,0),Source_Data!L$8)</f>
        <v>80.3288484375</v>
      </c>
      <c r="M299" s="33" t="n">
        <f aca="false">Source_Data!M$7+IF($B$297=1,IF(Source_Data!M$6=Inputs!$B$13,Source_Data!$C$8,0),Source_Data!M$8)</f>
        <v>495.2538375</v>
      </c>
      <c r="N299" s="33" t="n">
        <f aca="false">Source_Data!N$7+IF($B$297=1,IF(Source_Data!N$6=Inputs!$B$13,Source_Data!$C$8,0),Source_Data!N$8)</f>
        <v>185.57775</v>
      </c>
      <c r="O299" s="33" t="n">
        <f aca="false">Source_Data!O$7+IF($B$297=1,IF(Source_Data!O$6=Inputs!$B$13,Source_Data!$C$8,0),Source_Data!O$8)</f>
        <v>176.534</v>
      </c>
      <c r="P299" s="33" t="n">
        <f aca="false">Source_Data!P$7+IF($B$297=1,IF(Source_Data!P$6=Inputs!$B$13,Source_Data!$C$8,0),Source_Data!P$8)</f>
        <v>97.31075</v>
      </c>
      <c r="Q299" s="33" t="n">
        <f aca="false">Source_Data!Q$7+IF($B$297=1,IF(Source_Data!Q$6=Inputs!$B$13,Source_Data!$C$8,0),Source_Data!Q$8)</f>
        <v>71.30996875</v>
      </c>
      <c r="R299" s="33" t="n">
        <f aca="false">Source_Data!R$7+IF($B$297=1,IF(Source_Data!R$6=Inputs!$B$13,Source_Data!$C$8,0),Source_Data!R$8)</f>
        <v>71.30996875</v>
      </c>
      <c r="S299" s="33" t="n">
        <f aca="false">Source_Data!S$7+IF($B$297=1,IF(Source_Data!S$6=Inputs!$B$13,Source_Data!$C$8,0),Source_Data!S$8)</f>
        <v>68.037035625</v>
      </c>
      <c r="T299" s="33" t="n">
        <f aca="false">Source_Data!T$7+IF($B$297=1,IF(Source_Data!T$6=Inputs!$B$13,Source_Data!$C$8,0),Source_Data!T$8)</f>
        <v>61.2266396875</v>
      </c>
      <c r="U299" s="33" t="n">
        <f aca="false">Source_Data!U$7+IF($B$297=1,IF(Source_Data!U$6=Inputs!$B$13,Source_Data!$C$8,0),Source_Data!U$8)</f>
        <v>59.7127159375</v>
      </c>
      <c r="V299" s="33" t="n">
        <f aca="false">Source_Data!V$7+IF($B$297=1,IF(Source_Data!V$6=Inputs!$B$13,Source_Data!$C$8,0),Source_Data!V$8)</f>
        <v>53.7239446875</v>
      </c>
      <c r="W299" s="33" t="n">
        <f aca="false">Source_Data!W$7+IF($B$297=1,IF(Source_Data!W$6=Inputs!$B$13,Source_Data!$C$8,0),Source_Data!W$8)</f>
        <v>49.3829446875</v>
      </c>
      <c r="X299" s="33" t="n">
        <f aca="false">Source_Data!X$7+IF($B$297=1,IF(Source_Data!X$6=Inputs!$B$13,Source_Data!$C$8,0),Source_Data!X$8)</f>
        <v>49.3829446875</v>
      </c>
      <c r="Y299" s="33" t="n">
        <f aca="false">Source_Data!Y$7+IF($B$297=1,IF(Source_Data!Y$6=Inputs!$B$13,Source_Data!$C$8,0),Source_Data!Y$8)</f>
        <v>42.1027259375</v>
      </c>
      <c r="Z299" s="33" t="n">
        <f aca="false">Source_Data!Z$7+IF($B$297=1,IF(Source_Data!Z$6=Inputs!$B$13,Source_Data!$C$8,0),Source_Data!Z$8)</f>
        <v>42.1027259375</v>
      </c>
      <c r="AA299" s="33" t="n">
        <f aca="false">Source_Data!AA$7+IF($B$297=1,IF(Source_Data!AA$6=Inputs!$B$13,Source_Data!$C$8,0),Source_Data!AA$8)</f>
        <v>42.1027259375</v>
      </c>
      <c r="AB299" s="33" t="n">
        <f aca="false">Source_Data!AB$7+IF($B$297=1,IF(Source_Data!AB$6=Inputs!$B$13,Source_Data!$C$8,0),Source_Data!AB$8)</f>
        <v>36.3147259375</v>
      </c>
      <c r="AC299" s="33" t="n">
        <f aca="false">Source_Data!AC$7+IF($B$297=1,IF(Source_Data!AC$6=Inputs!$B$13,Source_Data!$C$8,0),Source_Data!AC$8)</f>
        <v>33.0386275</v>
      </c>
      <c r="AD299" s="33" t="n">
        <f aca="false">Source_Data!AD$7+IF($B$297=1,IF(Source_Data!AD$6=Inputs!$B$13,Source_Data!$C$8,0),Source_Data!AD$8)</f>
        <v>29.43017125</v>
      </c>
      <c r="AE299" s="33" t="n">
        <f aca="false">Source_Data!AE$7+IF($B$297=1,IF(Source_Data!AE$6=Inputs!$B$13,Source_Data!$C$8,0),Source_Data!AE$8)</f>
        <v>25.08917125</v>
      </c>
      <c r="AF299" s="33" t="n">
        <f aca="false">Source_Data!AF$7+IF($B$297=1,IF(Source_Data!AF$6=Inputs!$B$13,Source_Data!$C$8,0),Source_Data!AF$8)</f>
        <v>25.08917125</v>
      </c>
      <c r="AG299" s="33" t="n">
        <f aca="false">Source_Data!AG$7+IF($B$297=1,IF(Source_Data!AG$6=Inputs!$B$13,Source_Data!$C$8,0),Source_Data!AG$8)</f>
        <v>25.08917125</v>
      </c>
      <c r="AH299" s="33" t="n">
        <f aca="false">Source_Data!AH$7+IF($B$297=1,IF(Source_Data!AH$6=Inputs!$B$13,Source_Data!$C$8,0),Source_Data!AH$8)</f>
        <v>25.08917125</v>
      </c>
      <c r="AI299" s="33" t="n">
        <f aca="false">Source_Data!AI$7+IF($B$297=1,IF(Source_Data!AI$6=Inputs!$B$13,Source_Data!$C$8,0),Source_Data!AI$8)</f>
        <v>25.08917125</v>
      </c>
      <c r="AJ299" s="33" t="n">
        <f aca="false">Source_Data!AJ$7+IF($B$297=1,IF(Source_Data!AJ$6=Inputs!$B$13,Source_Data!$C$8,0),Source_Data!AJ$8)</f>
        <v>25.08917125</v>
      </c>
      <c r="AK299" s="33" t="n">
        <f aca="false">Source_Data!AK$7+IF($B$297=1,IF(Source_Data!AK$6=Inputs!$B$13,Source_Data!$C$8,0),Source_Data!AK$8)</f>
        <v>22.905105625</v>
      </c>
      <c r="AL299" s="33" t="n">
        <f aca="false">Source_Data!AL$7+IF($B$297=1,IF(Source_Data!AL$6=Inputs!$B$13,Source_Data!$C$8,0),Source_Data!AL$8)</f>
        <v>22.905105625</v>
      </c>
      <c r="AM299" s="33" t="n">
        <f aca="false">Source_Data!AM$7+IF($B$297=1,IF(Source_Data!AM$6=Inputs!$B$13,Source_Data!$C$8,0),Source_Data!AM$8)</f>
        <v>18.739554375</v>
      </c>
      <c r="AN299" s="33" t="n">
        <f aca="false">Source_Data!AN$7+IF($B$297=1,IF(Source_Data!AN$6=Inputs!$B$13,Source_Data!$C$8,0),Source_Data!AN$8)</f>
        <v>9.6261675</v>
      </c>
      <c r="AO299" s="33" t="n">
        <f aca="false">Source_Data!AO$7+IF($B$297=1,IF(Source_Data!AO$6=Inputs!$B$13,Source_Data!$C$8,0),Source_Data!AO$8)</f>
        <v>3.5704725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91.25</v>
      </c>
      <c r="E301" s="33" t="n">
        <f aca="false">Source_Data!E$9+Source_Data!E$10*IF(Source_Data!$C$10=0,0,MAX(0,Inputs!$B$19*Inputs!$B$22*$B$293-Inputs!$B$20)/Source_Data!$C$10)</f>
        <v>11.25</v>
      </c>
      <c r="F301" s="33" t="n">
        <f aca="false">Source_Data!F$9+Source_Data!F$10*IF(Source_Data!$C$10=0,0,MAX(0,Inputs!$B$19*Inputs!$B$22*$B$293-Inputs!$B$20)/Source_Data!$C$10)</f>
        <v>11.25</v>
      </c>
      <c r="G301" s="33" t="n">
        <f aca="false">Source_Data!G$9+Source_Data!G$10*IF(Source_Data!$C$10=0,0,MAX(0,Inputs!$B$19*Inputs!$B$22*$B$293-Inputs!$B$20)/Source_Data!$C$10)</f>
        <v>11.25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33.75</v>
      </c>
      <c r="M301" s="33" t="n">
        <f aca="false">Source_Data!M$9+Source_Data!M$10*IF(Source_Data!$C$10=0,0,MAX(0,Inputs!$B$19*Inputs!$B$22*$B$293-Inputs!$B$20)/Source_Data!$C$10)</f>
        <v>33.75</v>
      </c>
      <c r="N301" s="33" t="n">
        <f aca="false">Source_Data!N$9+Source_Data!N$10*IF(Source_Data!$C$10=0,0,MAX(0,Inputs!$B$19*Inputs!$B$22*$B$293-Inputs!$B$20)/Source_Data!$C$10)</f>
        <v>33.75</v>
      </c>
      <c r="O301" s="33" t="n">
        <f aca="false">Source_Data!O$9+Source_Data!O$10*IF(Source_Data!$C$10=0,0,MAX(0,Inputs!$B$19*Inputs!$B$22*$B$293-Inputs!$B$20)/Source_Data!$C$10)</f>
        <v>33.75</v>
      </c>
      <c r="P301" s="33" t="n">
        <f aca="false">Source_Data!P$9+Source_Data!P$10*IF(Source_Data!$C$10=0,0,MAX(0,Inputs!$B$19*Inputs!$B$22*$B$293-Inputs!$B$20)/Source_Data!$C$10)</f>
        <v>45</v>
      </c>
      <c r="Q301" s="33" t="n">
        <f aca="false">Source_Data!Q$9+Source_Data!Q$10*IF(Source_Data!$C$10=0,0,MAX(0,Inputs!$B$19*Inputs!$B$22*$B$293-Inputs!$B$20)/Source_Data!$C$10)</f>
        <v>45</v>
      </c>
      <c r="R301" s="33" t="n">
        <f aca="false">Source_Data!R$9+Source_Data!R$10*IF(Source_Data!$C$10=0,0,MAX(0,Inputs!$B$19*Inputs!$B$22*$B$293-Inputs!$B$20)/Source_Data!$C$10)</f>
        <v>45</v>
      </c>
      <c r="S301" s="33" t="n">
        <f aca="false">Source_Data!S$9+Source_Data!S$10*IF(Source_Data!$C$10=0,0,MAX(0,Inputs!$B$19*Inputs!$B$22*$B$293-Inputs!$B$20)/Source_Data!$C$10)</f>
        <v>45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107.758210351563</v>
      </c>
      <c r="AG301" s="33" t="n">
        <f aca="false">Source_Data!AG$9+Source_Data!AG$10*IF(Source_Data!$C$10=0,0,MAX(0,Inputs!$B$19*Inputs!$B$22*$B$293-Inputs!$B$20)/Source_Data!$C$10)</f>
        <v>10.976512421875</v>
      </c>
      <c r="AH301" s="33" t="n">
        <f aca="false">Source_Data!AH$9+Source_Data!AH$10*IF(Source_Data!$C$10=0,0,MAX(0,Inputs!$B$19*Inputs!$B$22*$B$293-Inputs!$B$20)/Source_Data!$C$10)</f>
        <v>10.976512421875</v>
      </c>
      <c r="AI301" s="33" t="n">
        <f aca="false">Source_Data!AI$9+Source_Data!AI$10*IF(Source_Data!$C$10=0,0,MAX(0,Inputs!$B$19*Inputs!$B$22*$B$293-Inputs!$B$20)/Source_Data!$C$10)</f>
        <v>10.976512421875</v>
      </c>
      <c r="AJ301" s="33" t="n">
        <f aca="false">Source_Data!AJ$9+Source_Data!AJ$10*IF(Source_Data!$C$10=0,0,MAX(0,Inputs!$B$19*Inputs!$B$22*$B$293-Inputs!$B$20)/Source_Data!$C$10)</f>
        <v>10.976512421875</v>
      </c>
      <c r="AK301" s="33" t="n">
        <f aca="false">Source_Data!AK$9+Source_Data!AK$10*IF(Source_Data!$C$10=0,0,MAX(0,Inputs!$B$19*Inputs!$B$22*$B$293-Inputs!$B$20)/Source_Data!$C$10)</f>
        <v>10.0209837109375</v>
      </c>
      <c r="AL301" s="33" t="n">
        <f aca="false">Source_Data!AL$9+Source_Data!AL$10*IF(Source_Data!$C$10=0,0,MAX(0,Inputs!$B$19*Inputs!$B$22*$B$293-Inputs!$B$20)/Source_Data!$C$10)</f>
        <v>10.0209837109375</v>
      </c>
      <c r="AM301" s="33" t="n">
        <f aca="false">Source_Data!AM$9+Source_Data!AM$10*IF(Source_Data!$C$10=0,0,MAX(0,Inputs!$B$19*Inputs!$B$22*$B$293-Inputs!$B$20)/Source_Data!$C$10)</f>
        <v>8.19855503906249</v>
      </c>
      <c r="AN301" s="33" t="n">
        <f aca="false">Source_Data!AN$9+Source_Data!AN$10*IF(Source_Data!$C$10=0,0,MAX(0,Inputs!$B$19*Inputs!$B$22*$B$293-Inputs!$B$20)/Source_Data!$C$10)</f>
        <v>4.21144828125</v>
      </c>
      <c r="AO301" s="33" t="n">
        <f aca="false">Source_Data!AO$9+Source_Data!AO$10*IF(Source_Data!$C$10=0,0,MAX(0,Inputs!$B$19*Inputs!$B$22*$B$293-Inputs!$B$20)/Source_Data!$C$10)</f>
        <v>1.56208171875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-50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34.7670250896057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34.7670250896057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34.7670250896057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34.7670250896057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0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0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9.58333333333333</v>
      </c>
      <c r="N308" s="33" t="n">
        <f aca="false">IF(AND(Source_Data!N$6&gt;=Inputs!$B$54,Source_Data!N$6&lt;Inputs!$B$54+3*Inputs!$B$11),Inputs!$B$9*Inputs!$B$7/Inputs!$B$11,0)</f>
        <v>9.58333333333333</v>
      </c>
      <c r="O308" s="33" t="n">
        <f aca="false">IF(AND(Source_Data!O$6&gt;=Inputs!$B$54,Source_Data!O$6&lt;Inputs!$B$54+3*Inputs!$B$11),Inputs!$B$9*Inputs!$B$7/Inputs!$B$11,0)</f>
        <v>9.58333333333333</v>
      </c>
      <c r="P308" s="33" t="n">
        <f aca="false">IF(AND(Source_Data!P$6&gt;=Inputs!$B$54,Source_Data!P$6&lt;Inputs!$B$54+3*Inputs!$B$11),Inputs!$B$9*Inputs!$B$7/Inputs!$B$11,0)</f>
        <v>9.58333333333333</v>
      </c>
      <c r="Q308" s="33" t="n">
        <f aca="false">IF(AND(Source_Data!Q$6&gt;=Inputs!$B$54,Source_Data!Q$6&lt;Inputs!$B$54+3*Inputs!$B$11),Inputs!$B$9*Inputs!$B$7/Inputs!$B$11,0)</f>
        <v>9.58333333333333</v>
      </c>
      <c r="R308" s="33" t="n">
        <f aca="false">IF(AND(Source_Data!R$6&gt;=Inputs!$B$54,Source_Data!R$6&lt;Inputs!$B$54+3*Inputs!$B$11),Inputs!$B$9*Inputs!$B$7/Inputs!$B$11,0)</f>
        <v>9.58333333333333</v>
      </c>
      <c r="S308" s="33" t="n">
        <f aca="false">IF(AND(Source_Data!S$6&gt;=Inputs!$B$54,Source_Data!S$6&lt;Inputs!$B$54+3*Inputs!$B$11),Inputs!$B$9*Inputs!$B$7/Inputs!$B$11,0)</f>
        <v>9.58333333333333</v>
      </c>
      <c r="T308" s="33" t="n">
        <f aca="false">IF(AND(Source_Data!T$6&gt;=Inputs!$B$54,Source_Data!T$6&lt;Inputs!$B$54+3*Inputs!$B$11),Inputs!$B$9*Inputs!$B$7/Inputs!$B$11,0)</f>
        <v>9.58333333333333</v>
      </c>
      <c r="U308" s="33" t="n">
        <f aca="false">IF(AND(Source_Data!U$6&gt;=Inputs!$B$54,Source_Data!U$6&lt;Inputs!$B$54+3*Inputs!$B$11),Inputs!$B$9*Inputs!$B$7/Inputs!$B$11,0)</f>
        <v>9.58333333333333</v>
      </c>
      <c r="V308" s="33" t="n">
        <f aca="false">IF(AND(Source_Data!V$6&gt;=Inputs!$B$54,Source_Data!V$6&lt;Inputs!$B$54+3*Inputs!$B$11),Inputs!$B$9*Inputs!$B$7/Inputs!$B$11,0)</f>
        <v>9.58333333333333</v>
      </c>
      <c r="W308" s="33" t="n">
        <f aca="false">IF(AND(Source_Data!W$6&gt;=Inputs!$B$54,Source_Data!W$6&lt;Inputs!$B$54+3*Inputs!$B$11),Inputs!$B$9*Inputs!$B$7/Inputs!$B$11,0)</f>
        <v>9.58333333333333</v>
      </c>
      <c r="X308" s="33" t="n">
        <f aca="false">IF(AND(Source_Data!X$6&gt;=Inputs!$B$54,Source_Data!X$6&lt;Inputs!$B$54+3*Inputs!$B$11),Inputs!$B$9*Inputs!$B$7/Inputs!$B$11,0)</f>
        <v>9.58333333333333</v>
      </c>
      <c r="Y308" s="33" t="n">
        <f aca="false">IF(AND(Source_Data!Y$6&gt;=Inputs!$B$54,Source_Data!Y$6&lt;Inputs!$B$54+3*Inputs!$B$11),Inputs!$B$9*Inputs!$B$7/Inputs!$B$11,0)</f>
        <v>0</v>
      </c>
      <c r="Z308" s="33" t="n">
        <f aca="false">IF(AND(Source_Data!Z$6&gt;=Inputs!$B$54,Source_Data!Z$6&lt;Inputs!$B$54+3*Inputs!$B$11),Inputs!$B$9*Inputs!$B$7/Inputs!$B$11,0)</f>
        <v>0</v>
      </c>
      <c r="AA308" s="33" t="n">
        <f aca="false">IF(AND(Source_Data!AA$6&gt;=Inputs!$B$54,Source_Data!AA$6&lt;Inputs!$B$54+3*Inputs!$B$11),Inputs!$B$9*Inputs!$B$7/Inputs!$B$11,0)</f>
        <v>0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-50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9.58333333333333</v>
      </c>
      <c r="N309" s="33" t="n">
        <f aca="false">IF(Source_Data!N$6=Inputs!$B$12,-Inputs!$B$7,0)+N308</f>
        <v>9.58333333333333</v>
      </c>
      <c r="O309" s="33" t="n">
        <f aca="false">IF(Source_Data!O$6=Inputs!$B$12,-Inputs!$B$7,0)+O308</f>
        <v>9.58333333333333</v>
      </c>
      <c r="P309" s="33" t="n">
        <f aca="false">IF(Source_Data!P$6=Inputs!$B$12,-Inputs!$B$7,0)+P308</f>
        <v>9.58333333333333</v>
      </c>
      <c r="Q309" s="33" t="n">
        <f aca="false">IF(Source_Data!Q$6=Inputs!$B$12,-Inputs!$B$7,0)+Q308</f>
        <v>9.58333333333333</v>
      </c>
      <c r="R309" s="33" t="n">
        <f aca="false">IF(Source_Data!R$6=Inputs!$B$12,-Inputs!$B$7,0)+R308</f>
        <v>9.58333333333333</v>
      </c>
      <c r="S309" s="33" t="n">
        <f aca="false">IF(Source_Data!S$6=Inputs!$B$12,-Inputs!$B$7,0)+S308</f>
        <v>9.58333333333333</v>
      </c>
      <c r="T309" s="33" t="n">
        <f aca="false">IF(Source_Data!T$6=Inputs!$B$12,-Inputs!$B$7,0)+T308</f>
        <v>9.58333333333333</v>
      </c>
      <c r="U309" s="33" t="n">
        <f aca="false">IF(Source_Data!U$6=Inputs!$B$12,-Inputs!$B$7,0)+U308</f>
        <v>9.58333333333333</v>
      </c>
      <c r="V309" s="33" t="n">
        <f aca="false">IF(Source_Data!V$6=Inputs!$B$12,-Inputs!$B$7,0)+V308</f>
        <v>9.58333333333333</v>
      </c>
      <c r="W309" s="33" t="n">
        <f aca="false">IF(Source_Data!W$6=Inputs!$B$12,-Inputs!$B$7,0)+W308</f>
        <v>9.58333333333333</v>
      </c>
      <c r="X309" s="33" t="n">
        <f aca="false">IF(Source_Data!X$6=Inputs!$B$12,-Inputs!$B$7,0)+X308</f>
        <v>9.58333333333333</v>
      </c>
      <c r="Y309" s="33" t="n">
        <f aca="false">IF(Source_Data!Y$6=Inputs!$B$12,-Inputs!$B$7,0)+Y308</f>
        <v>0</v>
      </c>
      <c r="Z309" s="33" t="n">
        <f aca="false">IF(Source_Data!Z$6=Inputs!$B$12,-Inputs!$B$7,0)+Z308</f>
        <v>0</v>
      </c>
      <c r="AA309" s="33" t="n">
        <f aca="false">IF(Source_Data!AA$6=Inputs!$B$12,-Inputs!$B$7,0)+AA308</f>
        <v>0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-41.25</v>
      </c>
      <c r="E310" s="33" t="n">
        <f aca="false">D310+IF(Source_Data!E$6=Inputs!$B$12,Inputs!$B$7,0)+E305-E308</f>
        <v>-52.5</v>
      </c>
      <c r="F310" s="33" t="n">
        <f aca="false">E310+IF(Source_Data!F$6=Inputs!$B$12,Inputs!$B$7,0)+F305-F308</f>
        <v>-48.6107625</v>
      </c>
      <c r="G310" s="33" t="n">
        <f aca="false">F310+IF(Source_Data!G$6=Inputs!$B$12,Inputs!$B$7,0)+G305-G308</f>
        <v>-29.5822875</v>
      </c>
      <c r="H310" s="33" t="n">
        <f aca="false">G310+IF(Source_Data!H$6=Inputs!$B$12,Inputs!$B$7,0)+H305-H308</f>
        <v>-30.87028125</v>
      </c>
      <c r="I310" s="33" t="n">
        <f aca="false">H310+IF(Source_Data!I$6=Inputs!$B$12,Inputs!$B$7,0)+I305-I308</f>
        <v>-24.02074375</v>
      </c>
      <c r="J310" s="33" t="n">
        <f aca="false">I310+IF(Source_Data!J$6=Inputs!$B$12,Inputs!$B$7,0)+J305-J308</f>
        <v>-46.86643375</v>
      </c>
      <c r="K310" s="33" t="n">
        <f aca="false">J310+IF(Source_Data!K$6=Inputs!$B$12,Inputs!$B$7,0)+K305-K308</f>
        <v>-51.400264375</v>
      </c>
      <c r="L310" s="33" t="n">
        <f aca="false">K310+IF(Source_Data!L$6=Inputs!$B$12,Inputs!$B$7,0)+L305-L308</f>
        <v>-47.7386759375</v>
      </c>
      <c r="M310" s="33" t="n">
        <f aca="false">L310+IF(Source_Data!M$6=Inputs!$B$12,Inputs!$B$7,0)+M305-M308</f>
        <v>361.264568229167</v>
      </c>
      <c r="N310" s="33" t="n">
        <f aca="false">M310+IF(Source_Data!N$6=Inputs!$B$12,Inputs!$B$7,0)+N305-N308</f>
        <v>489.840774895833</v>
      </c>
      <c r="O310" s="33" t="n">
        <f aca="false">N310+IF(Source_Data!O$6=Inputs!$B$12,Inputs!$B$7,0)+O305-O308</f>
        <v>609.3732315625</v>
      </c>
      <c r="P310" s="33" t="n">
        <f aca="false">O310+IF(Source_Data!P$6=Inputs!$B$12,Inputs!$B$7,0)+P305-P308</f>
        <v>492.602608229167</v>
      </c>
      <c r="Q310" s="33" t="n">
        <f aca="false">P310+IF(Source_Data!Q$6=Inputs!$B$12,Inputs!$B$7,0)+Q305-Q308</f>
        <v>348.268443645833</v>
      </c>
      <c r="R310" s="33" t="n">
        <f aca="false">Q310+IF(Source_Data!R$6=Inputs!$B$12,Inputs!$B$7,0)+R305-R308</f>
        <v>148.2742790625</v>
      </c>
      <c r="S310" s="33" t="n">
        <f aca="false">R310+IF(Source_Data!S$6=Inputs!$B$12,Inputs!$B$7,0)+S305-S308</f>
        <v>7.06678135416662</v>
      </c>
      <c r="T310" s="33" t="n">
        <f aca="false">S310+IF(Source_Data!T$6=Inputs!$B$12,Inputs!$B$7,0)+T305-T308</f>
        <v>13.7100877083333</v>
      </c>
      <c r="U310" s="33" t="n">
        <f aca="false">T310+IF(Source_Data!U$6=Inputs!$B$12,Inputs!$B$7,0)+U305-U308</f>
        <v>18.8394703125</v>
      </c>
      <c r="V310" s="33" t="n">
        <f aca="false">U310+IF(Source_Data!V$6=Inputs!$B$12,Inputs!$B$7,0)+V305-V308</f>
        <v>17.9800816666666</v>
      </c>
      <c r="W310" s="33" t="n">
        <f aca="false">V310+IF(Source_Data!W$6=Inputs!$B$12,Inputs!$B$7,0)+W305-W308</f>
        <v>12.7796930208333</v>
      </c>
      <c r="X310" s="33" t="n">
        <f aca="false">W310+IF(Source_Data!X$6=Inputs!$B$12,Inputs!$B$7,0)+X305-X308</f>
        <v>30.079304375</v>
      </c>
      <c r="Y310" s="33" t="n">
        <f aca="false">X310+IF(Source_Data!Y$6=Inputs!$B$12,Inputs!$B$7,0)+Y305-Y308</f>
        <v>49.6820303125</v>
      </c>
      <c r="Z310" s="33" t="n">
        <f aca="false">Y310+IF(Source_Data!Z$6=Inputs!$B$12,Inputs!$B$7,0)+Z305-Z308</f>
        <v>69.28475625</v>
      </c>
      <c r="AA310" s="33" t="n">
        <f aca="false">Z310+IF(Source_Data!AA$6=Inputs!$B$12,Inputs!$B$7,0)+AA305-AA308</f>
        <v>88.8874821875</v>
      </c>
      <c r="AB310" s="33" t="n">
        <f aca="false">AA310+IF(Source_Data!AB$6=Inputs!$B$12,Inputs!$B$7,0)+AB305-AB308</f>
        <v>125.202208125</v>
      </c>
      <c r="AC310" s="33" t="n">
        <f aca="false">AB310+IF(Source_Data!AC$6=Inputs!$B$12,Inputs!$B$7,0)+AC305-AC308</f>
        <v>158.240835625</v>
      </c>
      <c r="AD310" s="33" t="n">
        <f aca="false">AC310+IF(Source_Data!AD$6=Inputs!$B$12,Inputs!$B$7,0)+AD305-AD308</f>
        <v>187.671006875</v>
      </c>
      <c r="AE310" s="33" t="n">
        <f aca="false">AD310+IF(Source_Data!AE$6=Inputs!$B$12,Inputs!$B$7,0)+AE305-AE308</f>
        <v>212.760178125</v>
      </c>
      <c r="AF310" s="33" t="n">
        <f aca="false">AE310+IF(Source_Data!AF$6=Inputs!$B$12,Inputs!$B$7,0)+AF305-AF308</f>
        <v>130.091139023437</v>
      </c>
      <c r="AG310" s="33" t="n">
        <f aca="false">AF310+IF(Source_Data!AG$6=Inputs!$B$12,Inputs!$B$7,0)+AG305-AG308</f>
        <v>144.203797851562</v>
      </c>
      <c r="AH310" s="33" t="n">
        <f aca="false">AG310+IF(Source_Data!AH$6=Inputs!$B$12,Inputs!$B$7,0)+AH305-AH308</f>
        <v>158.316456679687</v>
      </c>
      <c r="AI310" s="33" t="n">
        <f aca="false">AH310+IF(Source_Data!AI$6=Inputs!$B$12,Inputs!$B$7,0)+AI305-AI308</f>
        <v>172.429115507812</v>
      </c>
      <c r="AJ310" s="33" t="n">
        <f aca="false">AI310+IF(Source_Data!AJ$6=Inputs!$B$12,Inputs!$B$7,0)+AJ305-AJ308</f>
        <v>186.541774335937</v>
      </c>
      <c r="AK310" s="33" t="n">
        <f aca="false">AJ310+IF(Source_Data!AK$6=Inputs!$B$12,Inputs!$B$7,0)+AK305-AK308</f>
        <v>199.42589625</v>
      </c>
      <c r="AL310" s="33" t="n">
        <f aca="false">AK310+IF(Source_Data!AL$6=Inputs!$B$12,Inputs!$B$7,0)+AL305-AL308</f>
        <v>212.310018164062</v>
      </c>
      <c r="AM310" s="33" t="n">
        <f aca="false">AL310+IF(Source_Data!AM$6=Inputs!$B$12,Inputs!$B$7,0)+AM305-AM308</f>
        <v>222.8510175</v>
      </c>
      <c r="AN310" s="33" t="n">
        <f aca="false">AM310+IF(Source_Data!AN$6=Inputs!$B$12,Inputs!$B$7,0)+AN305-AN308</f>
        <v>228.26573671875</v>
      </c>
      <c r="AO310" s="33" t="n">
        <f aca="false">AN310+IF(Source_Data!AO$6=Inputs!$B$12,Inputs!$B$7,0)+AO305-AO308</f>
        <v>230.2741275</v>
      </c>
      <c r="AP310" s="33" t="n">
        <f aca="false">AO310+IF(Source_Data!AP$6=Inputs!$B$12,Inputs!$B$7,0)+AP305-AP308</f>
        <v>230.2741275</v>
      </c>
      <c r="AQ310" s="33" t="n">
        <f aca="false">AP310+IF(Source_Data!AQ$6=Inputs!$B$12,Inputs!$B$7,0)+AQ305-AQ308</f>
        <v>230.2741275</v>
      </c>
      <c r="AR310" s="33" t="n">
        <f aca="false">AQ310+IF(Source_Data!AR$6=Inputs!$B$12,Inputs!$B$7,0)+AR305-AR308</f>
        <v>230.2741275</v>
      </c>
      <c r="AS310" s="33" t="n">
        <f aca="false">AR310+IF(Source_Data!AS$6=Inputs!$B$12,Inputs!$B$7,0)+AS305-AS308</f>
        <v>230.2741275</v>
      </c>
      <c r="AT310" s="33" t="n">
        <f aca="false">AS310+IF(Source_Data!AT$6=Inputs!$B$12,Inputs!$B$7,0)+AT305-AT308</f>
        <v>230.2741275</v>
      </c>
      <c r="AU310" s="33" t="n">
        <f aca="false">AT310+IF(Source_Data!AU$6=Inputs!$B$12,Inputs!$B$7,0)+AU305-AU308</f>
        <v>230.2741275</v>
      </c>
      <c r="AV310" s="33" t="n">
        <f aca="false">AU310+IF(Source_Data!AV$6=Inputs!$B$12,Inputs!$B$7,0)+AV305-AV308</f>
        <v>230.2741275</v>
      </c>
      <c r="AW310" s="33" t="n">
        <f aca="false">AV310+IF(Source_Data!AW$6=Inputs!$B$12,Inputs!$B$7,0)+AW305-AW308</f>
        <v>230.2741275</v>
      </c>
      <c r="AX310" s="33" t="n">
        <f aca="false">AW310+IF(Source_Data!AX$6=Inputs!$B$12,Inputs!$B$7,0)+AX305-AX308</f>
        <v>230.2741275</v>
      </c>
      <c r="AY310" s="33" t="n">
        <f aca="false">AX310+IF(Source_Data!AY$6=Inputs!$B$12,Inputs!$B$7,0)+AY305-AY308</f>
        <v>230.2741275</v>
      </c>
      <c r="AZ310" s="33" t="n">
        <f aca="false">AY310+IF(Source_Data!AZ$6=Inputs!$B$12,Inputs!$B$7,0)+AZ305-AZ308</f>
        <v>230.2741275</v>
      </c>
      <c r="BA310" s="33" t="n">
        <f aca="false">AZ310+IF(Source_Data!BA$6=Inputs!$B$12,Inputs!$B$7,0)+BA305-BA308</f>
        <v>230.2741275</v>
      </c>
      <c r="BB310" s="33" t="n">
        <f aca="false">BA310+IF(Source_Data!BB$6=Inputs!$B$12,Inputs!$B$7,0)+BB305-BB308</f>
        <v>230.2741275</v>
      </c>
      <c r="BC310" s="33" t="n">
        <f aca="false">BB310+IF(Source_Data!BC$6=Inputs!$B$12,Inputs!$B$7,0)+BC305-BC308</f>
        <v>230.2741275</v>
      </c>
      <c r="BD310" s="33" t="n">
        <f aca="false">BC310+IF(Source_Data!BD$6=Inputs!$B$12,Inputs!$B$7,0)+BD305-BD308</f>
        <v>230.2741275</v>
      </c>
      <c r="BE310" s="33" t="n">
        <f aca="false">BD310+IF(Source_Data!BE$6=Inputs!$B$12,Inputs!$B$7,0)+BE305-BE308</f>
        <v>230.2741275</v>
      </c>
      <c r="BF310" s="33" t="n">
        <f aca="false">BE310+IF(Source_Data!BF$6=Inputs!$B$12,Inputs!$B$7,0)+BF305-BF308</f>
        <v>230.2741275</v>
      </c>
      <c r="BG310" s="33" t="n">
        <f aca="false">BF310+IF(Source_Data!BG$6=Inputs!$B$12,Inputs!$B$7,0)+BG305-BG308</f>
        <v>230.2741275</v>
      </c>
      <c r="BH310" s="33" t="n">
        <f aca="false">BG310+IF(Source_Data!BH$6=Inputs!$B$12,Inputs!$B$7,0)+BH305-BH308</f>
        <v>230.2741275</v>
      </c>
      <c r="BI310" s="33" t="n">
        <f aca="false">BH310+IF(Source_Data!BI$6=Inputs!$B$12,Inputs!$B$7,0)+BI305-BI308</f>
        <v>230.2741275</v>
      </c>
      <c r="BJ310" s="33" t="n">
        <f aca="false">BI310+IF(Source_Data!BJ$6=Inputs!$B$12,Inputs!$B$7,0)+BJ305-BJ308</f>
        <v>230.2741275</v>
      </c>
      <c r="BK310" s="33" t="n">
        <f aca="false">BJ310+IF(Source_Data!BK$6=Inputs!$B$12,Inputs!$B$7,0)+BK305-BK308</f>
        <v>230.2741275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43.6785993913044</v>
      </c>
      <c r="N311" s="31" t="n">
        <f aca="false">IF(N308&gt;0,N305/N308,"")</f>
        <v>14.4166476521739</v>
      </c>
      <c r="O311" s="31" t="n">
        <f aca="false">IF(O308&gt;0,O305/O308,"")</f>
        <v>13.472952</v>
      </c>
      <c r="P311" s="31" t="n">
        <f aca="false">IF(P308&gt;0,P305/P308,"")</f>
        <v>-11.1847606956522</v>
      </c>
      <c r="Q311" s="31" t="n">
        <f aca="false">IF(Q308&gt;0,Q305/Q308,"")</f>
        <v>-14.0609563043478</v>
      </c>
      <c r="R311" s="31" t="n">
        <f aca="false">IF(R308&gt;0,R305/R308,"")</f>
        <v>-19.8689563043478</v>
      </c>
      <c r="S311" s="31" t="n">
        <f aca="false">IF(S308&gt;0,S305/S308,"")</f>
        <v>-13.7346954130435</v>
      </c>
      <c r="T311" s="31" t="n">
        <f aca="false">IF(T308&gt;0,T305/T308,"")</f>
        <v>1.69321457608696</v>
      </c>
      <c r="U311" s="31" t="n">
        <f aca="false">IF(U308&gt;0,U305/U308,"")</f>
        <v>1.53523992391304</v>
      </c>
      <c r="V311" s="31" t="n">
        <f aca="false">IF(V308&gt;0,V305/V308,"")</f>
        <v>0.910324663043479</v>
      </c>
      <c r="W311" s="31" t="n">
        <f aca="false">IF(W308&gt;0,W305/W308,"")</f>
        <v>0.45735075</v>
      </c>
      <c r="X311" s="31" t="n">
        <f aca="false">IF(X308&gt;0,X305/X308,"")</f>
        <v>2.80517683695652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n">
        <f aca="false">IF(M308&gt;0,(L310+M305+IF(Source_Data!M$6=Inputs!$B$12,Inputs!$B$7,0))/M308,"")</f>
        <v>38.6971723369565</v>
      </c>
      <c r="N312" s="31" t="n">
        <f aca="false">IF(N308&gt;0,(M310+N305+IF(Source_Data!N$6=Inputs!$B$12,Inputs!$B$7,0))/N308,"")</f>
        <v>52.1138199891304</v>
      </c>
      <c r="O312" s="31" t="n">
        <f aca="false">IF(O308&gt;0,(N310+O305+IF(Source_Data!O$6=Inputs!$B$12,Inputs!$B$7,0))/O308,"")</f>
        <v>64.5867719891304</v>
      </c>
      <c r="P312" s="31" t="n">
        <f aca="false">IF(P308&gt;0,(O310+P305+IF(Source_Data!P$6=Inputs!$B$12,Inputs!$B$7,0))/P308,"")</f>
        <v>52.4020112934783</v>
      </c>
      <c r="Q312" s="31" t="n">
        <f aca="false">IF(Q308&gt;0,(P310+Q305+IF(Source_Data!Q$6=Inputs!$B$12,Inputs!$B$7,0))/Q308,"")</f>
        <v>37.3410549891304</v>
      </c>
      <c r="R312" s="31" t="n">
        <f aca="false">IF(R308&gt;0,(Q310+R305+IF(Source_Data!R$6=Inputs!$B$12,Inputs!$B$7,0))/R308,"")</f>
        <v>16.4720986847826</v>
      </c>
      <c r="S312" s="31" t="n">
        <f aca="false">IF(S308&gt;0,(R310+S305+IF(Source_Data!S$6=Inputs!$B$12,Inputs!$B$7,0))/S308,"")</f>
        <v>1.73740327173913</v>
      </c>
      <c r="T312" s="31" t="n">
        <f aca="false">IF(T308&gt;0,(S310+T305+IF(Source_Data!T$6=Inputs!$B$12,Inputs!$B$7,0))/T308,"")</f>
        <v>2.43061784782608</v>
      </c>
      <c r="U312" s="31" t="n">
        <f aca="false">IF(U308&gt;0,(T310+U305+IF(Source_Data!U$6=Inputs!$B$12,Inputs!$B$7,0))/U308,"")</f>
        <v>2.96585777173913</v>
      </c>
      <c r="V312" s="31" t="n">
        <f aca="false">IF(V308&gt;0,(U310+V305+IF(Source_Data!V$6=Inputs!$B$12,Inputs!$B$7,0))/V308,"")</f>
        <v>2.8761824347826</v>
      </c>
      <c r="W312" s="31" t="n">
        <f aca="false">IF(W308&gt;0,(V310+W305+IF(Source_Data!W$6=Inputs!$B$12,Inputs!$B$7,0))/W308,"")</f>
        <v>2.3335331847826</v>
      </c>
      <c r="X312" s="31" t="n">
        <f aca="false">IF(X308&gt;0,(W310+X305+IF(Source_Data!X$6=Inputs!$B$12,Inputs!$B$7,0))/X308,"")</f>
        <v>4.13871002173913</v>
      </c>
      <c r="Y312" s="31" t="str">
        <f aca="false">IF(Y308&gt;0,(X310+Y305+IF(Source_Data!Y$6=Inputs!$B$12,Inputs!$B$7,0))/Y308,"")</f>
        <v/>
      </c>
      <c r="Z312" s="31" t="str">
        <f aca="false">IF(Z308&gt;0,(Y310+Z305+IF(Source_Data!Z$6=Inputs!$B$12,Inputs!$B$7,0))/Z308,"")</f>
        <v/>
      </c>
      <c r="AA312" s="31" t="str">
        <f aca="false">IF(AA308&gt;0,(Z310+AA305+IF(Source_Data!AA$6=Inputs!$B$12,Inputs!$B$7,0))/AA308,"")</f>
        <v/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162.345681036619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6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-52.5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-19.8689563043478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6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1.73740327173913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51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15.1392375</v>
      </c>
      <c r="G335" s="33" t="n">
        <f aca="false">Source_Data!G$7+IF($B$333=1,IF(Source_Data!G$6=Inputs!$B$13,Source_Data!$C$8,0),Source_Data!G$8)</f>
        <v>30.278475</v>
      </c>
      <c r="H335" s="33" t="n">
        <f aca="false">Source_Data!H$7+IF($B$333=1,IF(Source_Data!H$6=Inputs!$B$13,Source_Data!$C$8,0),Source_Data!H$8)</f>
        <v>46.51200625</v>
      </c>
      <c r="I335" s="33" t="n">
        <f aca="false">Source_Data!I$7+IF($B$333=1,IF(Source_Data!I$6=Inputs!$B$13,Source_Data!$C$8,0),Source_Data!I$8)</f>
        <v>62.7455375</v>
      </c>
      <c r="J335" s="33" t="n">
        <f aca="false">Source_Data!J$7+IF($B$333=1,IF(Source_Data!J$6=Inputs!$B$13,Source_Data!$C$8,0),Source_Data!J$8)</f>
        <v>62.3657</v>
      </c>
      <c r="K335" s="33" t="n">
        <f aca="false">Source_Data!K$7+IF($B$333=1,IF(Source_Data!K$6=Inputs!$B$13,Source_Data!$C$8,0),Source_Data!K$8)</f>
        <v>63.473559375</v>
      </c>
      <c r="L335" s="33" t="n">
        <f aca="false">Source_Data!L$7+IF($B$333=1,IF(Source_Data!L$6=Inputs!$B$13,Source_Data!$C$8,0),Source_Data!L$8)</f>
        <v>80.3288484375</v>
      </c>
      <c r="M335" s="33" t="n">
        <f aca="false">Source_Data!M$7+IF($B$333=1,IF(Source_Data!M$6=Inputs!$B$13,Source_Data!$C$8,0),Source_Data!M$8)</f>
        <v>495.2538375</v>
      </c>
      <c r="N335" s="33" t="n">
        <f aca="false">Source_Data!N$7+IF($B$333=1,IF(Source_Data!N$6=Inputs!$B$13,Source_Data!$C$8,0),Source_Data!N$8)</f>
        <v>185.57775</v>
      </c>
      <c r="O335" s="33" t="n">
        <f aca="false">Source_Data!O$7+IF($B$333=1,IF(Source_Data!O$6=Inputs!$B$13,Source_Data!$C$8,0),Source_Data!O$8)</f>
        <v>176.534</v>
      </c>
      <c r="P335" s="33" t="n">
        <f aca="false">Source_Data!P$7+IF($B$333=1,IF(Source_Data!P$6=Inputs!$B$13,Source_Data!$C$8,0),Source_Data!P$8)</f>
        <v>97.31075</v>
      </c>
      <c r="Q335" s="33" t="n">
        <f aca="false">Source_Data!Q$7+IF($B$333=1,IF(Source_Data!Q$6=Inputs!$B$13,Source_Data!$C$8,0),Source_Data!Q$8)</f>
        <v>71.30996875</v>
      </c>
      <c r="R335" s="33" t="n">
        <f aca="false">Source_Data!R$7+IF($B$333=1,IF(Source_Data!R$6=Inputs!$B$13,Source_Data!$C$8,0),Source_Data!R$8)</f>
        <v>71.30996875</v>
      </c>
      <c r="S335" s="33" t="n">
        <f aca="false">Source_Data!S$7+IF($B$333=1,IF(Source_Data!S$6=Inputs!$B$13,Source_Data!$C$8,0),Source_Data!S$8)</f>
        <v>68.037035625</v>
      </c>
      <c r="T335" s="33" t="n">
        <f aca="false">Source_Data!T$7+IF($B$333=1,IF(Source_Data!T$6=Inputs!$B$13,Source_Data!$C$8,0),Source_Data!T$8)</f>
        <v>61.2266396875</v>
      </c>
      <c r="U335" s="33" t="n">
        <f aca="false">Source_Data!U$7+IF($B$333=1,IF(Source_Data!U$6=Inputs!$B$13,Source_Data!$C$8,0),Source_Data!U$8)</f>
        <v>59.7127159375</v>
      </c>
      <c r="V335" s="33" t="n">
        <f aca="false">Source_Data!V$7+IF($B$333=1,IF(Source_Data!V$6=Inputs!$B$13,Source_Data!$C$8,0),Source_Data!V$8)</f>
        <v>53.7239446875</v>
      </c>
      <c r="W335" s="33" t="n">
        <f aca="false">Source_Data!W$7+IF($B$333=1,IF(Source_Data!W$6=Inputs!$B$13,Source_Data!$C$8,0),Source_Data!W$8)</f>
        <v>49.3829446875</v>
      </c>
      <c r="X335" s="33" t="n">
        <f aca="false">Source_Data!X$7+IF($B$333=1,IF(Source_Data!X$6=Inputs!$B$13,Source_Data!$C$8,0),Source_Data!X$8)</f>
        <v>49.3829446875</v>
      </c>
      <c r="Y335" s="33" t="n">
        <f aca="false">Source_Data!Y$7+IF($B$333=1,IF(Source_Data!Y$6=Inputs!$B$13,Source_Data!$C$8,0),Source_Data!Y$8)</f>
        <v>42.1027259375</v>
      </c>
      <c r="Z335" s="33" t="n">
        <f aca="false">Source_Data!Z$7+IF($B$333=1,IF(Source_Data!Z$6=Inputs!$B$13,Source_Data!$C$8,0),Source_Data!Z$8)</f>
        <v>42.1027259375</v>
      </c>
      <c r="AA335" s="33" t="n">
        <f aca="false">Source_Data!AA$7+IF($B$333=1,IF(Source_Data!AA$6=Inputs!$B$13,Source_Data!$C$8,0),Source_Data!AA$8)</f>
        <v>42.1027259375</v>
      </c>
      <c r="AB335" s="33" t="n">
        <f aca="false">Source_Data!AB$7+IF($B$333=1,IF(Source_Data!AB$6=Inputs!$B$13,Source_Data!$C$8,0),Source_Data!AB$8)</f>
        <v>36.3147259375</v>
      </c>
      <c r="AC335" s="33" t="n">
        <f aca="false">Source_Data!AC$7+IF($B$333=1,IF(Source_Data!AC$6=Inputs!$B$13,Source_Data!$C$8,0),Source_Data!AC$8)</f>
        <v>33.0386275</v>
      </c>
      <c r="AD335" s="33" t="n">
        <f aca="false">Source_Data!AD$7+IF($B$333=1,IF(Source_Data!AD$6=Inputs!$B$13,Source_Data!$C$8,0),Source_Data!AD$8)</f>
        <v>29.43017125</v>
      </c>
      <c r="AE335" s="33" t="n">
        <f aca="false">Source_Data!AE$7+IF($B$333=1,IF(Source_Data!AE$6=Inputs!$B$13,Source_Data!$C$8,0),Source_Data!AE$8)</f>
        <v>25.08917125</v>
      </c>
      <c r="AF335" s="33" t="n">
        <f aca="false">Source_Data!AF$7+IF($B$333=1,IF(Source_Data!AF$6=Inputs!$B$13,Source_Data!$C$8,0),Source_Data!AF$8)</f>
        <v>25.08917125</v>
      </c>
      <c r="AG335" s="33" t="n">
        <f aca="false">Source_Data!AG$7+IF($B$333=1,IF(Source_Data!AG$6=Inputs!$B$13,Source_Data!$C$8,0),Source_Data!AG$8)</f>
        <v>25.08917125</v>
      </c>
      <c r="AH335" s="33" t="n">
        <f aca="false">Source_Data!AH$7+IF($B$333=1,IF(Source_Data!AH$6=Inputs!$B$13,Source_Data!$C$8,0),Source_Data!AH$8)</f>
        <v>25.08917125</v>
      </c>
      <c r="AI335" s="33" t="n">
        <f aca="false">Source_Data!AI$7+IF($B$333=1,IF(Source_Data!AI$6=Inputs!$B$13,Source_Data!$C$8,0),Source_Data!AI$8)</f>
        <v>25.08917125</v>
      </c>
      <c r="AJ335" s="33" t="n">
        <f aca="false">Source_Data!AJ$7+IF($B$333=1,IF(Source_Data!AJ$6=Inputs!$B$13,Source_Data!$C$8,0),Source_Data!AJ$8)</f>
        <v>25.08917125</v>
      </c>
      <c r="AK335" s="33" t="n">
        <f aca="false">Source_Data!AK$7+IF($B$333=1,IF(Source_Data!AK$6=Inputs!$B$13,Source_Data!$C$8,0),Source_Data!AK$8)</f>
        <v>22.905105625</v>
      </c>
      <c r="AL335" s="33" t="n">
        <f aca="false">Source_Data!AL$7+IF($B$333=1,IF(Source_Data!AL$6=Inputs!$B$13,Source_Data!$C$8,0),Source_Data!AL$8)</f>
        <v>22.905105625</v>
      </c>
      <c r="AM335" s="33" t="n">
        <f aca="false">Source_Data!AM$7+IF($B$333=1,IF(Source_Data!AM$6=Inputs!$B$13,Source_Data!$C$8,0),Source_Data!AM$8)</f>
        <v>18.739554375</v>
      </c>
      <c r="AN335" s="33" t="n">
        <f aca="false">Source_Data!AN$7+IF($B$333=1,IF(Source_Data!AN$6=Inputs!$B$13,Source_Data!$C$8,0),Source_Data!AN$8)</f>
        <v>9.6261675</v>
      </c>
      <c r="AO335" s="33" t="n">
        <f aca="false">Source_Data!AO$7+IF($B$333=1,IF(Source_Data!AO$6=Inputs!$B$13,Source_Data!$C$8,0),Source_Data!AO$8)</f>
        <v>3.5704725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91.25</v>
      </c>
      <c r="E337" s="33" t="n">
        <f aca="false">Source_Data!E$9+Source_Data!E$10*IF(Source_Data!$C$10=0,0,MAX(0,Inputs!$B$19*Inputs!$B$22*$B$329-Inputs!$B$20)/Source_Data!$C$10)</f>
        <v>11.25</v>
      </c>
      <c r="F337" s="33" t="n">
        <f aca="false">Source_Data!F$9+Source_Data!F$10*IF(Source_Data!$C$10=0,0,MAX(0,Inputs!$B$19*Inputs!$B$22*$B$329-Inputs!$B$20)/Source_Data!$C$10)</f>
        <v>11.25</v>
      </c>
      <c r="G337" s="33" t="n">
        <f aca="false">Source_Data!G$9+Source_Data!G$10*IF(Source_Data!$C$10=0,0,MAX(0,Inputs!$B$19*Inputs!$B$22*$B$329-Inputs!$B$20)/Source_Data!$C$10)</f>
        <v>11.25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33.75</v>
      </c>
      <c r="M337" s="33" t="n">
        <f aca="false">Source_Data!M$9+Source_Data!M$10*IF(Source_Data!$C$10=0,0,MAX(0,Inputs!$B$19*Inputs!$B$22*$B$329-Inputs!$B$20)/Source_Data!$C$10)</f>
        <v>33.75</v>
      </c>
      <c r="N337" s="33" t="n">
        <f aca="false">Source_Data!N$9+Source_Data!N$10*IF(Source_Data!$C$10=0,0,MAX(0,Inputs!$B$19*Inputs!$B$22*$B$329-Inputs!$B$20)/Source_Data!$C$10)</f>
        <v>33.75</v>
      </c>
      <c r="O337" s="33" t="n">
        <f aca="false">Source_Data!O$9+Source_Data!O$10*IF(Source_Data!$C$10=0,0,MAX(0,Inputs!$B$19*Inputs!$B$22*$B$329-Inputs!$B$20)/Source_Data!$C$10)</f>
        <v>33.75</v>
      </c>
      <c r="P337" s="33" t="n">
        <f aca="false">Source_Data!P$9+Source_Data!P$10*IF(Source_Data!$C$10=0,0,MAX(0,Inputs!$B$19*Inputs!$B$22*$B$329-Inputs!$B$20)/Source_Data!$C$10)</f>
        <v>45</v>
      </c>
      <c r="Q337" s="33" t="n">
        <f aca="false">Source_Data!Q$9+Source_Data!Q$10*IF(Source_Data!$C$10=0,0,MAX(0,Inputs!$B$19*Inputs!$B$22*$B$329-Inputs!$B$20)/Source_Data!$C$10)</f>
        <v>45</v>
      </c>
      <c r="R337" s="33" t="n">
        <f aca="false">Source_Data!R$9+Source_Data!R$10*IF(Source_Data!$C$10=0,0,MAX(0,Inputs!$B$19*Inputs!$B$22*$B$329-Inputs!$B$20)/Source_Data!$C$10)</f>
        <v>45</v>
      </c>
      <c r="S337" s="33" t="n">
        <f aca="false">Source_Data!S$9+Source_Data!S$10*IF(Source_Data!$C$10=0,0,MAX(0,Inputs!$B$19*Inputs!$B$22*$B$329-Inputs!$B$20)/Source_Data!$C$10)</f>
        <v>45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107.758210351563</v>
      </c>
      <c r="AG337" s="33" t="n">
        <f aca="false">Source_Data!AG$9+Source_Data!AG$10*IF(Source_Data!$C$10=0,0,MAX(0,Inputs!$B$19*Inputs!$B$22*$B$329-Inputs!$B$20)/Source_Data!$C$10)</f>
        <v>10.976512421875</v>
      </c>
      <c r="AH337" s="33" t="n">
        <f aca="false">Source_Data!AH$9+Source_Data!AH$10*IF(Source_Data!$C$10=0,0,MAX(0,Inputs!$B$19*Inputs!$B$22*$B$329-Inputs!$B$20)/Source_Data!$C$10)</f>
        <v>10.976512421875</v>
      </c>
      <c r="AI337" s="33" t="n">
        <f aca="false">Source_Data!AI$9+Source_Data!AI$10*IF(Source_Data!$C$10=0,0,MAX(0,Inputs!$B$19*Inputs!$B$22*$B$329-Inputs!$B$20)/Source_Data!$C$10)</f>
        <v>10.976512421875</v>
      </c>
      <c r="AJ337" s="33" t="n">
        <f aca="false">Source_Data!AJ$9+Source_Data!AJ$10*IF(Source_Data!$C$10=0,0,MAX(0,Inputs!$B$19*Inputs!$B$22*$B$329-Inputs!$B$20)/Source_Data!$C$10)</f>
        <v>10.976512421875</v>
      </c>
      <c r="AK337" s="33" t="n">
        <f aca="false">Source_Data!AK$9+Source_Data!AK$10*IF(Source_Data!$C$10=0,0,MAX(0,Inputs!$B$19*Inputs!$B$22*$B$329-Inputs!$B$20)/Source_Data!$C$10)</f>
        <v>10.0209837109375</v>
      </c>
      <c r="AL337" s="33" t="n">
        <f aca="false">Source_Data!AL$9+Source_Data!AL$10*IF(Source_Data!$C$10=0,0,MAX(0,Inputs!$B$19*Inputs!$B$22*$B$329-Inputs!$B$20)/Source_Data!$C$10)</f>
        <v>10.0209837109375</v>
      </c>
      <c r="AM337" s="33" t="n">
        <f aca="false">Source_Data!AM$9+Source_Data!AM$10*IF(Source_Data!$C$10=0,0,MAX(0,Inputs!$B$19*Inputs!$B$22*$B$329-Inputs!$B$20)/Source_Data!$C$10)</f>
        <v>8.19855503906249</v>
      </c>
      <c r="AN337" s="33" t="n">
        <f aca="false">Source_Data!AN$9+Source_Data!AN$10*IF(Source_Data!$C$10=0,0,MAX(0,Inputs!$B$19*Inputs!$B$22*$B$329-Inputs!$B$20)/Source_Data!$C$10)</f>
        <v>4.21144828125</v>
      </c>
      <c r="AO337" s="33" t="n">
        <f aca="false">Source_Data!AO$9+Source_Data!AO$10*IF(Source_Data!$C$10=0,0,MAX(0,Inputs!$B$19*Inputs!$B$22*$B$329-Inputs!$B$20)/Source_Data!$C$10)</f>
        <v>1.56208171875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-50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34.7670250896057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34.7670250896057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34.7670250896057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34.7670250896057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0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0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9.58333333333333</v>
      </c>
      <c r="N344" s="33" t="n">
        <f aca="false">IF(AND(Source_Data!N$6&gt;=Inputs!$B$54,Source_Data!N$6&lt;Inputs!$B$54+3*Inputs!$B$11),Inputs!$B$9*Inputs!$B$7/Inputs!$B$11,0)</f>
        <v>9.58333333333333</v>
      </c>
      <c r="O344" s="33" t="n">
        <f aca="false">IF(AND(Source_Data!O$6&gt;=Inputs!$B$54,Source_Data!O$6&lt;Inputs!$B$54+3*Inputs!$B$11),Inputs!$B$9*Inputs!$B$7/Inputs!$B$11,0)</f>
        <v>9.58333333333333</v>
      </c>
      <c r="P344" s="33" t="n">
        <f aca="false">IF(AND(Source_Data!P$6&gt;=Inputs!$B$54,Source_Data!P$6&lt;Inputs!$B$54+3*Inputs!$B$11),Inputs!$B$9*Inputs!$B$7/Inputs!$B$11,0)</f>
        <v>9.58333333333333</v>
      </c>
      <c r="Q344" s="33" t="n">
        <f aca="false">IF(AND(Source_Data!Q$6&gt;=Inputs!$B$54,Source_Data!Q$6&lt;Inputs!$B$54+3*Inputs!$B$11),Inputs!$B$9*Inputs!$B$7/Inputs!$B$11,0)</f>
        <v>9.58333333333333</v>
      </c>
      <c r="R344" s="33" t="n">
        <f aca="false">IF(AND(Source_Data!R$6&gt;=Inputs!$B$54,Source_Data!R$6&lt;Inputs!$B$54+3*Inputs!$B$11),Inputs!$B$9*Inputs!$B$7/Inputs!$B$11,0)</f>
        <v>9.58333333333333</v>
      </c>
      <c r="S344" s="33" t="n">
        <f aca="false">IF(AND(Source_Data!S$6&gt;=Inputs!$B$54,Source_Data!S$6&lt;Inputs!$B$54+3*Inputs!$B$11),Inputs!$B$9*Inputs!$B$7/Inputs!$B$11,0)</f>
        <v>9.58333333333333</v>
      </c>
      <c r="T344" s="33" t="n">
        <f aca="false">IF(AND(Source_Data!T$6&gt;=Inputs!$B$54,Source_Data!T$6&lt;Inputs!$B$54+3*Inputs!$B$11),Inputs!$B$9*Inputs!$B$7/Inputs!$B$11,0)</f>
        <v>9.58333333333333</v>
      </c>
      <c r="U344" s="33" t="n">
        <f aca="false">IF(AND(Source_Data!U$6&gt;=Inputs!$B$54,Source_Data!U$6&lt;Inputs!$B$54+3*Inputs!$B$11),Inputs!$B$9*Inputs!$B$7/Inputs!$B$11,0)</f>
        <v>9.58333333333333</v>
      </c>
      <c r="V344" s="33" t="n">
        <f aca="false">IF(AND(Source_Data!V$6&gt;=Inputs!$B$54,Source_Data!V$6&lt;Inputs!$B$54+3*Inputs!$B$11),Inputs!$B$9*Inputs!$B$7/Inputs!$B$11,0)</f>
        <v>9.58333333333333</v>
      </c>
      <c r="W344" s="33" t="n">
        <f aca="false">IF(AND(Source_Data!W$6&gt;=Inputs!$B$54,Source_Data!W$6&lt;Inputs!$B$54+3*Inputs!$B$11),Inputs!$B$9*Inputs!$B$7/Inputs!$B$11,0)</f>
        <v>9.58333333333333</v>
      </c>
      <c r="X344" s="33" t="n">
        <f aca="false">IF(AND(Source_Data!X$6&gt;=Inputs!$B$54,Source_Data!X$6&lt;Inputs!$B$54+3*Inputs!$B$11),Inputs!$B$9*Inputs!$B$7/Inputs!$B$11,0)</f>
        <v>9.58333333333333</v>
      </c>
      <c r="Y344" s="33" t="n">
        <f aca="false">IF(AND(Source_Data!Y$6&gt;=Inputs!$B$54,Source_Data!Y$6&lt;Inputs!$B$54+3*Inputs!$B$11),Inputs!$B$9*Inputs!$B$7/Inputs!$B$11,0)</f>
        <v>0</v>
      </c>
      <c r="Z344" s="33" t="n">
        <f aca="false">IF(AND(Source_Data!Z$6&gt;=Inputs!$B$54,Source_Data!Z$6&lt;Inputs!$B$54+3*Inputs!$B$11),Inputs!$B$9*Inputs!$B$7/Inputs!$B$11,0)</f>
        <v>0</v>
      </c>
      <c r="AA344" s="33" t="n">
        <f aca="false">IF(AND(Source_Data!AA$6&gt;=Inputs!$B$54,Source_Data!AA$6&lt;Inputs!$B$54+3*Inputs!$B$11),Inputs!$B$9*Inputs!$B$7/Inputs!$B$11,0)</f>
        <v>0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-50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9.58333333333333</v>
      </c>
      <c r="N345" s="33" t="n">
        <f aca="false">IF(Source_Data!N$6=Inputs!$B$12,-Inputs!$B$7,0)+N344</f>
        <v>9.58333333333333</v>
      </c>
      <c r="O345" s="33" t="n">
        <f aca="false">IF(Source_Data!O$6=Inputs!$B$12,-Inputs!$B$7,0)+O344</f>
        <v>9.58333333333333</v>
      </c>
      <c r="P345" s="33" t="n">
        <f aca="false">IF(Source_Data!P$6=Inputs!$B$12,-Inputs!$B$7,0)+P344</f>
        <v>9.58333333333333</v>
      </c>
      <c r="Q345" s="33" t="n">
        <f aca="false">IF(Source_Data!Q$6=Inputs!$B$12,-Inputs!$B$7,0)+Q344</f>
        <v>9.58333333333333</v>
      </c>
      <c r="R345" s="33" t="n">
        <f aca="false">IF(Source_Data!R$6=Inputs!$B$12,-Inputs!$B$7,0)+R344</f>
        <v>9.58333333333333</v>
      </c>
      <c r="S345" s="33" t="n">
        <f aca="false">IF(Source_Data!S$6=Inputs!$B$12,-Inputs!$B$7,0)+S344</f>
        <v>9.58333333333333</v>
      </c>
      <c r="T345" s="33" t="n">
        <f aca="false">IF(Source_Data!T$6=Inputs!$B$12,-Inputs!$B$7,0)+T344</f>
        <v>9.58333333333333</v>
      </c>
      <c r="U345" s="33" t="n">
        <f aca="false">IF(Source_Data!U$6=Inputs!$B$12,-Inputs!$B$7,0)+U344</f>
        <v>9.58333333333333</v>
      </c>
      <c r="V345" s="33" t="n">
        <f aca="false">IF(Source_Data!V$6=Inputs!$B$12,-Inputs!$B$7,0)+V344</f>
        <v>9.58333333333333</v>
      </c>
      <c r="W345" s="33" t="n">
        <f aca="false">IF(Source_Data!W$6=Inputs!$B$12,-Inputs!$B$7,0)+W344</f>
        <v>9.58333333333333</v>
      </c>
      <c r="X345" s="33" t="n">
        <f aca="false">IF(Source_Data!X$6=Inputs!$B$12,-Inputs!$B$7,0)+X344</f>
        <v>9.58333333333333</v>
      </c>
      <c r="Y345" s="33" t="n">
        <f aca="false">IF(Source_Data!Y$6=Inputs!$B$12,-Inputs!$B$7,0)+Y344</f>
        <v>0</v>
      </c>
      <c r="Z345" s="33" t="n">
        <f aca="false">IF(Source_Data!Z$6=Inputs!$B$12,-Inputs!$B$7,0)+Z344</f>
        <v>0</v>
      </c>
      <c r="AA345" s="33" t="n">
        <f aca="false">IF(Source_Data!AA$6=Inputs!$B$12,-Inputs!$B$7,0)+AA344</f>
        <v>0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-41.25</v>
      </c>
      <c r="E346" s="33" t="n">
        <f aca="false">D346+IF(Source_Data!E$6=Inputs!$B$12,Inputs!$B$7,0)+E341-E344</f>
        <v>-52.5</v>
      </c>
      <c r="F346" s="33" t="n">
        <f aca="false">E346+IF(Source_Data!F$6=Inputs!$B$12,Inputs!$B$7,0)+F341-F344</f>
        <v>-48.6107625</v>
      </c>
      <c r="G346" s="33" t="n">
        <f aca="false">F346+IF(Source_Data!G$6=Inputs!$B$12,Inputs!$B$7,0)+G341-G344</f>
        <v>-29.5822875</v>
      </c>
      <c r="H346" s="33" t="n">
        <f aca="false">G346+IF(Source_Data!H$6=Inputs!$B$12,Inputs!$B$7,0)+H341-H344</f>
        <v>-33.17028125</v>
      </c>
      <c r="I346" s="33" t="n">
        <f aca="false">H346+IF(Source_Data!I$6=Inputs!$B$12,Inputs!$B$7,0)+I341-I344</f>
        <v>-29.35674375</v>
      </c>
      <c r="J346" s="33" t="n">
        <f aca="false">I346+IF(Source_Data!J$6=Inputs!$B$12,Inputs!$B$7,0)+J341-J344</f>
        <v>-56.80243375</v>
      </c>
      <c r="K346" s="33" t="n">
        <f aca="false">J346+IF(Source_Data!K$6=Inputs!$B$12,Inputs!$B$7,0)+K341-K344</f>
        <v>-64.372264375</v>
      </c>
      <c r="L346" s="33" t="n">
        <f aca="false">K346+IF(Source_Data!L$6=Inputs!$B$12,Inputs!$B$7,0)+L341-L344</f>
        <v>-63.7466759375</v>
      </c>
      <c r="M346" s="33" t="n">
        <f aca="false">L346+IF(Source_Data!M$6=Inputs!$B$12,Inputs!$B$7,0)+M341-M344</f>
        <v>342.220568229167</v>
      </c>
      <c r="N346" s="33" t="n">
        <f aca="false">M346+IF(Source_Data!N$6=Inputs!$B$12,Inputs!$B$7,0)+N341-N344</f>
        <v>470.189574895833</v>
      </c>
      <c r="O346" s="33" t="n">
        <f aca="false">N346+IF(Source_Data!O$6=Inputs!$B$12,Inputs!$B$7,0)+O341-O344</f>
        <v>589.1148315625</v>
      </c>
      <c r="P346" s="33" t="n">
        <f aca="false">O346+IF(Source_Data!P$6=Inputs!$B$12,Inputs!$B$7,0)+P341-P344</f>
        <v>458.544208229167</v>
      </c>
      <c r="Q346" s="33" t="n">
        <f aca="false">P346+IF(Source_Data!Q$6=Inputs!$B$12,Inputs!$B$7,0)+Q341-Q344</f>
        <v>300.410043645833</v>
      </c>
      <c r="R346" s="33" t="n">
        <f aca="false">Q346+IF(Source_Data!R$6=Inputs!$B$12,Inputs!$B$7,0)+R341-R344</f>
        <v>81.5558790624999</v>
      </c>
      <c r="S346" s="33" t="n">
        <f aca="false">R346+IF(Source_Data!S$6=Inputs!$B$12,Inputs!$B$7,0)+S341-S344</f>
        <v>-73.1066186458334</v>
      </c>
      <c r="T346" s="33" t="n">
        <f aca="false">S346+IF(Source_Data!T$6=Inputs!$B$12,Inputs!$B$7,0)+T341-T344</f>
        <v>-66.4633122916667</v>
      </c>
      <c r="U346" s="33" t="n">
        <f aca="false">T346+IF(Source_Data!U$6=Inputs!$B$12,Inputs!$B$7,0)+U341-U344</f>
        <v>-61.3339296875001</v>
      </c>
      <c r="V346" s="33" t="n">
        <f aca="false">U346+IF(Source_Data!V$6=Inputs!$B$12,Inputs!$B$7,0)+V341-V344</f>
        <v>-62.1933183333334</v>
      </c>
      <c r="W346" s="33" t="n">
        <f aca="false">V346+IF(Source_Data!W$6=Inputs!$B$12,Inputs!$B$7,0)+W341-W344</f>
        <v>-67.3937069791667</v>
      </c>
      <c r="X346" s="33" t="n">
        <f aca="false">W346+IF(Source_Data!X$6=Inputs!$B$12,Inputs!$B$7,0)+X341-X344</f>
        <v>-50.0940956250001</v>
      </c>
      <c r="Y346" s="33" t="n">
        <f aca="false">X346+IF(Source_Data!Y$6=Inputs!$B$12,Inputs!$B$7,0)+Y341-Y344</f>
        <v>-30.4913696875001</v>
      </c>
      <c r="Z346" s="33" t="n">
        <f aca="false">Y346+IF(Source_Data!Z$6=Inputs!$B$12,Inputs!$B$7,0)+Z341-Z344</f>
        <v>-10.8886437500001</v>
      </c>
      <c r="AA346" s="33" t="n">
        <f aca="false">Z346+IF(Source_Data!AA$6=Inputs!$B$12,Inputs!$B$7,0)+AA341-AA344</f>
        <v>8.71408218749993</v>
      </c>
      <c r="AB346" s="33" t="n">
        <f aca="false">AA346+IF(Source_Data!AB$6=Inputs!$B$12,Inputs!$B$7,0)+AB341-AB344</f>
        <v>45.0288081249999</v>
      </c>
      <c r="AC346" s="33" t="n">
        <f aca="false">AB346+IF(Source_Data!AC$6=Inputs!$B$12,Inputs!$B$7,0)+AC341-AC344</f>
        <v>78.0674356249999</v>
      </c>
      <c r="AD346" s="33" t="n">
        <f aca="false">AC346+IF(Source_Data!AD$6=Inputs!$B$12,Inputs!$B$7,0)+AD341-AD344</f>
        <v>107.497606875</v>
      </c>
      <c r="AE346" s="33" t="n">
        <f aca="false">AD346+IF(Source_Data!AE$6=Inputs!$B$12,Inputs!$B$7,0)+AE341-AE344</f>
        <v>132.586778125</v>
      </c>
      <c r="AF346" s="33" t="n">
        <f aca="false">AE346+IF(Source_Data!AF$6=Inputs!$B$12,Inputs!$B$7,0)+AF341-AF344</f>
        <v>49.9177390234374</v>
      </c>
      <c r="AG346" s="33" t="n">
        <f aca="false">AF346+IF(Source_Data!AG$6=Inputs!$B$12,Inputs!$B$7,0)+AG341-AG344</f>
        <v>64.0303978515624</v>
      </c>
      <c r="AH346" s="33" t="n">
        <f aca="false">AG346+IF(Source_Data!AH$6=Inputs!$B$12,Inputs!$B$7,0)+AH341-AH344</f>
        <v>78.1430566796874</v>
      </c>
      <c r="AI346" s="33" t="n">
        <f aca="false">AH346+IF(Source_Data!AI$6=Inputs!$B$12,Inputs!$B$7,0)+AI341-AI344</f>
        <v>92.2557155078124</v>
      </c>
      <c r="AJ346" s="33" t="n">
        <f aca="false">AI346+IF(Source_Data!AJ$6=Inputs!$B$12,Inputs!$B$7,0)+AJ341-AJ344</f>
        <v>106.368374335937</v>
      </c>
      <c r="AK346" s="33" t="n">
        <f aca="false">AJ346+IF(Source_Data!AK$6=Inputs!$B$12,Inputs!$B$7,0)+AK341-AK344</f>
        <v>119.25249625</v>
      </c>
      <c r="AL346" s="33" t="n">
        <f aca="false">AK346+IF(Source_Data!AL$6=Inputs!$B$12,Inputs!$B$7,0)+AL341-AL344</f>
        <v>132.136618164062</v>
      </c>
      <c r="AM346" s="33" t="n">
        <f aca="false">AL346+IF(Source_Data!AM$6=Inputs!$B$12,Inputs!$B$7,0)+AM341-AM344</f>
        <v>142.6776175</v>
      </c>
      <c r="AN346" s="33" t="n">
        <f aca="false">AM346+IF(Source_Data!AN$6=Inputs!$B$12,Inputs!$B$7,0)+AN341-AN344</f>
        <v>148.09233671875</v>
      </c>
      <c r="AO346" s="33" t="n">
        <f aca="false">AN346+IF(Source_Data!AO$6=Inputs!$B$12,Inputs!$B$7,0)+AO341-AO344</f>
        <v>150.1007275</v>
      </c>
      <c r="AP346" s="33" t="n">
        <f aca="false">AO346+IF(Source_Data!AP$6=Inputs!$B$12,Inputs!$B$7,0)+AP341-AP344</f>
        <v>150.1007275</v>
      </c>
      <c r="AQ346" s="33" t="n">
        <f aca="false">AP346+IF(Source_Data!AQ$6=Inputs!$B$12,Inputs!$B$7,0)+AQ341-AQ344</f>
        <v>150.1007275</v>
      </c>
      <c r="AR346" s="33" t="n">
        <f aca="false">AQ346+IF(Source_Data!AR$6=Inputs!$B$12,Inputs!$B$7,0)+AR341-AR344</f>
        <v>150.1007275</v>
      </c>
      <c r="AS346" s="33" t="n">
        <f aca="false">AR346+IF(Source_Data!AS$6=Inputs!$B$12,Inputs!$B$7,0)+AS341-AS344</f>
        <v>150.1007275</v>
      </c>
      <c r="AT346" s="33" t="n">
        <f aca="false">AS346+IF(Source_Data!AT$6=Inputs!$B$12,Inputs!$B$7,0)+AT341-AT344</f>
        <v>150.1007275</v>
      </c>
      <c r="AU346" s="33" t="n">
        <f aca="false">AT346+IF(Source_Data!AU$6=Inputs!$B$12,Inputs!$B$7,0)+AU341-AU344</f>
        <v>150.1007275</v>
      </c>
      <c r="AV346" s="33" t="n">
        <f aca="false">AU346+IF(Source_Data!AV$6=Inputs!$B$12,Inputs!$B$7,0)+AV341-AV344</f>
        <v>150.1007275</v>
      </c>
      <c r="AW346" s="33" t="n">
        <f aca="false">AV346+IF(Source_Data!AW$6=Inputs!$B$12,Inputs!$B$7,0)+AW341-AW344</f>
        <v>150.1007275</v>
      </c>
      <c r="AX346" s="33" t="n">
        <f aca="false">AW346+IF(Source_Data!AX$6=Inputs!$B$12,Inputs!$B$7,0)+AX341-AX344</f>
        <v>150.1007275</v>
      </c>
      <c r="AY346" s="33" t="n">
        <f aca="false">AX346+IF(Source_Data!AY$6=Inputs!$B$12,Inputs!$B$7,0)+AY341-AY344</f>
        <v>150.1007275</v>
      </c>
      <c r="AZ346" s="33" t="n">
        <f aca="false">AY346+IF(Source_Data!AZ$6=Inputs!$B$12,Inputs!$B$7,0)+AZ341-AZ344</f>
        <v>150.1007275</v>
      </c>
      <c r="BA346" s="33" t="n">
        <f aca="false">AZ346+IF(Source_Data!BA$6=Inputs!$B$12,Inputs!$B$7,0)+BA341-BA344</f>
        <v>150.1007275</v>
      </c>
      <c r="BB346" s="33" t="n">
        <f aca="false">BA346+IF(Source_Data!BB$6=Inputs!$B$12,Inputs!$B$7,0)+BB341-BB344</f>
        <v>150.1007275</v>
      </c>
      <c r="BC346" s="33" t="n">
        <f aca="false">BB346+IF(Source_Data!BC$6=Inputs!$B$12,Inputs!$B$7,0)+BC341-BC344</f>
        <v>150.1007275</v>
      </c>
      <c r="BD346" s="33" t="n">
        <f aca="false">BC346+IF(Source_Data!BD$6=Inputs!$B$12,Inputs!$B$7,0)+BD341-BD344</f>
        <v>150.1007275</v>
      </c>
      <c r="BE346" s="33" t="n">
        <f aca="false">BD346+IF(Source_Data!BE$6=Inputs!$B$12,Inputs!$B$7,0)+BE341-BE344</f>
        <v>150.1007275</v>
      </c>
      <c r="BF346" s="33" t="n">
        <f aca="false">BE346+IF(Source_Data!BF$6=Inputs!$B$12,Inputs!$B$7,0)+BF341-BF344</f>
        <v>150.1007275</v>
      </c>
      <c r="BG346" s="33" t="n">
        <f aca="false">BF346+IF(Source_Data!BG$6=Inputs!$B$12,Inputs!$B$7,0)+BG341-BG344</f>
        <v>150.1007275</v>
      </c>
      <c r="BH346" s="33" t="n">
        <f aca="false">BG346+IF(Source_Data!BH$6=Inputs!$B$12,Inputs!$B$7,0)+BH341-BH344</f>
        <v>150.1007275</v>
      </c>
      <c r="BI346" s="33" t="n">
        <f aca="false">BH346+IF(Source_Data!BI$6=Inputs!$B$12,Inputs!$B$7,0)+BI341-BI344</f>
        <v>150.1007275</v>
      </c>
      <c r="BJ346" s="33" t="n">
        <f aca="false">BI346+IF(Source_Data!BJ$6=Inputs!$B$12,Inputs!$B$7,0)+BJ341-BJ344</f>
        <v>150.1007275</v>
      </c>
      <c r="BK346" s="33" t="n">
        <f aca="false">BJ346+IF(Source_Data!BK$6=Inputs!$B$12,Inputs!$B$7,0)+BK341-BK344</f>
        <v>150.1007275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43.3617993913044</v>
      </c>
      <c r="N347" s="31" t="n">
        <f aca="false">IF(N344&gt;0,N341/N344,"")</f>
        <v>14.3532876521739</v>
      </c>
      <c r="O347" s="31" t="n">
        <f aca="false">IF(O344&gt;0,O341/O344,"")</f>
        <v>13.409592</v>
      </c>
      <c r="P347" s="31" t="n">
        <f aca="false">IF(P344&gt;0,P341/P344,"")</f>
        <v>-12.6247606956522</v>
      </c>
      <c r="Q347" s="31" t="n">
        <f aca="false">IF(Q344&gt;0,Q341/Q344,"")</f>
        <v>-15.5009563043478</v>
      </c>
      <c r="R347" s="31" t="n">
        <f aca="false">IF(R344&gt;0,R341/R344,"")</f>
        <v>-21.8369563043478</v>
      </c>
      <c r="S347" s="31" t="n">
        <f aca="false">IF(S344&gt;0,S341/S344,"")</f>
        <v>-15.1386954130435</v>
      </c>
      <c r="T347" s="31" t="n">
        <f aca="false">IF(T344&gt;0,T341/T344,"")</f>
        <v>1.69321457608696</v>
      </c>
      <c r="U347" s="31" t="n">
        <f aca="false">IF(U344&gt;0,U341/U344,"")</f>
        <v>1.53523992391304</v>
      </c>
      <c r="V347" s="31" t="n">
        <f aca="false">IF(V344&gt;0,V341/V344,"")</f>
        <v>0.910324663043479</v>
      </c>
      <c r="W347" s="31" t="n">
        <f aca="false">IF(W344&gt;0,W341/W344,"")</f>
        <v>0.45735075</v>
      </c>
      <c r="X347" s="31" t="n">
        <f aca="false">IF(X344&gt;0,X341/X344,"")</f>
        <v>2.80517683695652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n">
        <f aca="false">IF(M344&gt;0,(L346+M341+IF(Source_Data!M$6=Inputs!$B$12,Inputs!$B$7,0))/M344,"")</f>
        <v>36.7099723369565</v>
      </c>
      <c r="N348" s="31" t="n">
        <f aca="false">IF(N344&gt;0,(M346+N341+IF(Source_Data!N$6=Inputs!$B$12,Inputs!$B$7,0))/N344,"")</f>
        <v>50.0632599891304</v>
      </c>
      <c r="O348" s="31" t="n">
        <f aca="false">IF(O344&gt;0,(N346+O341+IF(Source_Data!O$6=Inputs!$B$12,Inputs!$B$7,0))/O344,"")</f>
        <v>62.4728519891304</v>
      </c>
      <c r="P348" s="31" t="n">
        <f aca="false">IF(P344&gt;0,(O346+P341+IF(Source_Data!P$6=Inputs!$B$12,Inputs!$B$7,0))/P344,"")</f>
        <v>48.8480912934783</v>
      </c>
      <c r="Q348" s="31" t="n">
        <f aca="false">IF(Q344&gt;0,(P346+Q341+IF(Source_Data!Q$6=Inputs!$B$12,Inputs!$B$7,0))/Q344,"")</f>
        <v>32.3471349891304</v>
      </c>
      <c r="R348" s="31" t="n">
        <f aca="false">IF(R344&gt;0,(Q346+R341+IF(Source_Data!R$6=Inputs!$B$12,Inputs!$B$7,0))/R344,"")</f>
        <v>9.5101786847826</v>
      </c>
      <c r="S348" s="31" t="n">
        <f aca="false">IF(S344&gt;0,(R346+S341+IF(Source_Data!S$6=Inputs!$B$12,Inputs!$B$7,0))/S344,"")</f>
        <v>-6.62851672826088</v>
      </c>
      <c r="T348" s="31" t="n">
        <f aca="false">IF(T344&gt;0,(S346+T341+IF(Source_Data!T$6=Inputs!$B$12,Inputs!$B$7,0))/T344,"")</f>
        <v>-5.93530215217392</v>
      </c>
      <c r="U348" s="31" t="n">
        <f aca="false">IF(U344&gt;0,(T346+U341+IF(Source_Data!U$6=Inputs!$B$12,Inputs!$B$7,0))/U344,"")</f>
        <v>-5.40006222826088</v>
      </c>
      <c r="V348" s="31" t="n">
        <f aca="false">IF(V344&gt;0,(U346+V341+IF(Source_Data!V$6=Inputs!$B$12,Inputs!$B$7,0))/V344,"")</f>
        <v>-5.4897375652174</v>
      </c>
      <c r="W348" s="31" t="n">
        <f aca="false">IF(W344&gt;0,(V346+W341+IF(Source_Data!W$6=Inputs!$B$12,Inputs!$B$7,0))/W344,"")</f>
        <v>-6.0323868152174</v>
      </c>
      <c r="X348" s="31" t="n">
        <f aca="false">IF(X344&gt;0,(W346+X341+IF(Source_Data!X$6=Inputs!$B$12,Inputs!$B$7,0))/X344,"")</f>
        <v>-4.22720997826088</v>
      </c>
      <c r="Y348" s="31" t="str">
        <f aca="false">IF(Y344&gt;0,(X346+Y341+IF(Source_Data!Y$6=Inputs!$B$12,Inputs!$B$7,0))/Y344,"")</f>
        <v/>
      </c>
      <c r="Z348" s="31" t="str">
        <f aca="false">IF(Z344&gt;0,(Y346+Z341+IF(Source_Data!Z$6=Inputs!$B$12,Inputs!$B$7,0))/Z344,"")</f>
        <v/>
      </c>
      <c r="AA348" s="31" t="str">
        <f aca="false">IF(AA344&gt;0,(Z346+AA341+IF(Source_Data!AA$6=Inputs!$B$12,Inputs!$B$7,0))/AA344,"")</f>
        <v/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109.379969524313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24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-73.1066186458334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-21.8369563043478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6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-6.62851672826088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6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51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15.1392375</v>
      </c>
      <c r="G371" s="33" t="n">
        <f aca="false">Source_Data!G$7+IF($B$369=1,IF(Source_Data!G$6=Inputs!$B$13,Source_Data!$C$8,0),Source_Data!G$8)</f>
        <v>30.278475</v>
      </c>
      <c r="H371" s="33" t="n">
        <f aca="false">Source_Data!H$7+IF($B$369=1,IF(Source_Data!H$6=Inputs!$B$13,Source_Data!$C$8,0),Source_Data!H$8)</f>
        <v>46.51200625</v>
      </c>
      <c r="I371" s="33" t="n">
        <f aca="false">Source_Data!I$7+IF($B$369=1,IF(Source_Data!I$6=Inputs!$B$13,Source_Data!$C$8,0),Source_Data!I$8)</f>
        <v>62.7455375</v>
      </c>
      <c r="J371" s="33" t="n">
        <f aca="false">Source_Data!J$7+IF($B$369=1,IF(Source_Data!J$6=Inputs!$B$13,Source_Data!$C$8,0),Source_Data!J$8)</f>
        <v>62.3657</v>
      </c>
      <c r="K371" s="33" t="n">
        <f aca="false">Source_Data!K$7+IF($B$369=1,IF(Source_Data!K$6=Inputs!$B$13,Source_Data!$C$8,0),Source_Data!K$8)</f>
        <v>63.473559375</v>
      </c>
      <c r="L371" s="33" t="n">
        <f aca="false">Source_Data!L$7+IF($B$369=1,IF(Source_Data!L$6=Inputs!$B$13,Source_Data!$C$8,0),Source_Data!L$8)</f>
        <v>80.3288484375</v>
      </c>
      <c r="M371" s="33" t="n">
        <f aca="false">Source_Data!M$7+IF($B$369=1,IF(Source_Data!M$6=Inputs!$B$13,Source_Data!$C$8,0),Source_Data!M$8)</f>
        <v>495.2538375</v>
      </c>
      <c r="N371" s="33" t="n">
        <f aca="false">Source_Data!N$7+IF($B$369=1,IF(Source_Data!N$6=Inputs!$B$13,Source_Data!$C$8,0),Source_Data!N$8)</f>
        <v>185.57775</v>
      </c>
      <c r="O371" s="33" t="n">
        <f aca="false">Source_Data!O$7+IF($B$369=1,IF(Source_Data!O$6=Inputs!$B$13,Source_Data!$C$8,0),Source_Data!O$8)</f>
        <v>176.534</v>
      </c>
      <c r="P371" s="33" t="n">
        <f aca="false">Source_Data!P$7+IF($B$369=1,IF(Source_Data!P$6=Inputs!$B$13,Source_Data!$C$8,0),Source_Data!P$8)</f>
        <v>97.31075</v>
      </c>
      <c r="Q371" s="33" t="n">
        <f aca="false">Source_Data!Q$7+IF($B$369=1,IF(Source_Data!Q$6=Inputs!$B$13,Source_Data!$C$8,0),Source_Data!Q$8)</f>
        <v>71.30996875</v>
      </c>
      <c r="R371" s="33" t="n">
        <f aca="false">Source_Data!R$7+IF($B$369=1,IF(Source_Data!R$6=Inputs!$B$13,Source_Data!$C$8,0),Source_Data!R$8)</f>
        <v>71.30996875</v>
      </c>
      <c r="S371" s="33" t="n">
        <f aca="false">Source_Data!S$7+IF($B$369=1,IF(Source_Data!S$6=Inputs!$B$13,Source_Data!$C$8,0),Source_Data!S$8)</f>
        <v>68.037035625</v>
      </c>
      <c r="T371" s="33" t="n">
        <f aca="false">Source_Data!T$7+IF($B$369=1,IF(Source_Data!T$6=Inputs!$B$13,Source_Data!$C$8,0),Source_Data!T$8)</f>
        <v>61.2266396875</v>
      </c>
      <c r="U371" s="33" t="n">
        <f aca="false">Source_Data!U$7+IF($B$369=1,IF(Source_Data!U$6=Inputs!$B$13,Source_Data!$C$8,0),Source_Data!U$8)</f>
        <v>59.7127159375</v>
      </c>
      <c r="V371" s="33" t="n">
        <f aca="false">Source_Data!V$7+IF($B$369=1,IF(Source_Data!V$6=Inputs!$B$13,Source_Data!$C$8,0),Source_Data!V$8)</f>
        <v>53.7239446875</v>
      </c>
      <c r="W371" s="33" t="n">
        <f aca="false">Source_Data!W$7+IF($B$369=1,IF(Source_Data!W$6=Inputs!$B$13,Source_Data!$C$8,0),Source_Data!W$8)</f>
        <v>49.3829446875</v>
      </c>
      <c r="X371" s="33" t="n">
        <f aca="false">Source_Data!X$7+IF($B$369=1,IF(Source_Data!X$6=Inputs!$B$13,Source_Data!$C$8,0),Source_Data!X$8)</f>
        <v>49.3829446875</v>
      </c>
      <c r="Y371" s="33" t="n">
        <f aca="false">Source_Data!Y$7+IF($B$369=1,IF(Source_Data!Y$6=Inputs!$B$13,Source_Data!$C$8,0),Source_Data!Y$8)</f>
        <v>42.1027259375</v>
      </c>
      <c r="Z371" s="33" t="n">
        <f aca="false">Source_Data!Z$7+IF($B$369=1,IF(Source_Data!Z$6=Inputs!$B$13,Source_Data!$C$8,0),Source_Data!Z$8)</f>
        <v>42.1027259375</v>
      </c>
      <c r="AA371" s="33" t="n">
        <f aca="false">Source_Data!AA$7+IF($B$369=1,IF(Source_Data!AA$6=Inputs!$B$13,Source_Data!$C$8,0),Source_Data!AA$8)</f>
        <v>42.1027259375</v>
      </c>
      <c r="AB371" s="33" t="n">
        <f aca="false">Source_Data!AB$7+IF($B$369=1,IF(Source_Data!AB$6=Inputs!$B$13,Source_Data!$C$8,0),Source_Data!AB$8)</f>
        <v>36.3147259375</v>
      </c>
      <c r="AC371" s="33" t="n">
        <f aca="false">Source_Data!AC$7+IF($B$369=1,IF(Source_Data!AC$6=Inputs!$B$13,Source_Data!$C$8,0),Source_Data!AC$8)</f>
        <v>33.0386275</v>
      </c>
      <c r="AD371" s="33" t="n">
        <f aca="false">Source_Data!AD$7+IF($B$369=1,IF(Source_Data!AD$6=Inputs!$B$13,Source_Data!$C$8,0),Source_Data!AD$8)</f>
        <v>29.43017125</v>
      </c>
      <c r="AE371" s="33" t="n">
        <f aca="false">Source_Data!AE$7+IF($B$369=1,IF(Source_Data!AE$6=Inputs!$B$13,Source_Data!$C$8,0),Source_Data!AE$8)</f>
        <v>25.08917125</v>
      </c>
      <c r="AF371" s="33" t="n">
        <f aca="false">Source_Data!AF$7+IF($B$369=1,IF(Source_Data!AF$6=Inputs!$B$13,Source_Data!$C$8,0),Source_Data!AF$8)</f>
        <v>25.08917125</v>
      </c>
      <c r="AG371" s="33" t="n">
        <f aca="false">Source_Data!AG$7+IF($B$369=1,IF(Source_Data!AG$6=Inputs!$B$13,Source_Data!$C$8,0),Source_Data!AG$8)</f>
        <v>25.08917125</v>
      </c>
      <c r="AH371" s="33" t="n">
        <f aca="false">Source_Data!AH$7+IF($B$369=1,IF(Source_Data!AH$6=Inputs!$B$13,Source_Data!$C$8,0),Source_Data!AH$8)</f>
        <v>25.08917125</v>
      </c>
      <c r="AI371" s="33" t="n">
        <f aca="false">Source_Data!AI$7+IF($B$369=1,IF(Source_Data!AI$6=Inputs!$B$13,Source_Data!$C$8,0),Source_Data!AI$8)</f>
        <v>25.08917125</v>
      </c>
      <c r="AJ371" s="33" t="n">
        <f aca="false">Source_Data!AJ$7+IF($B$369=1,IF(Source_Data!AJ$6=Inputs!$B$13,Source_Data!$C$8,0),Source_Data!AJ$8)</f>
        <v>25.08917125</v>
      </c>
      <c r="AK371" s="33" t="n">
        <f aca="false">Source_Data!AK$7+IF($B$369=1,IF(Source_Data!AK$6=Inputs!$B$13,Source_Data!$C$8,0),Source_Data!AK$8)</f>
        <v>22.905105625</v>
      </c>
      <c r="AL371" s="33" t="n">
        <f aca="false">Source_Data!AL$7+IF($B$369=1,IF(Source_Data!AL$6=Inputs!$B$13,Source_Data!$C$8,0),Source_Data!AL$8)</f>
        <v>22.905105625</v>
      </c>
      <c r="AM371" s="33" t="n">
        <f aca="false">Source_Data!AM$7+IF($B$369=1,IF(Source_Data!AM$6=Inputs!$B$13,Source_Data!$C$8,0),Source_Data!AM$8)</f>
        <v>18.739554375</v>
      </c>
      <c r="AN371" s="33" t="n">
        <f aca="false">Source_Data!AN$7+IF($B$369=1,IF(Source_Data!AN$6=Inputs!$B$13,Source_Data!$C$8,0),Source_Data!AN$8)</f>
        <v>9.6261675</v>
      </c>
      <c r="AO371" s="33" t="n">
        <f aca="false">Source_Data!AO$7+IF($B$369=1,IF(Source_Data!AO$6=Inputs!$B$13,Source_Data!$C$8,0),Source_Data!AO$8)</f>
        <v>3.5704725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91.25</v>
      </c>
      <c r="E373" s="33" t="n">
        <f aca="false">Source_Data!E$9+Source_Data!E$10*IF(Source_Data!$C$10=0,0,MAX(0,Inputs!$B$19*Inputs!$B$22*$B$365-Inputs!$B$20)/Source_Data!$C$10)</f>
        <v>11.25</v>
      </c>
      <c r="F373" s="33" t="n">
        <f aca="false">Source_Data!F$9+Source_Data!F$10*IF(Source_Data!$C$10=0,0,MAX(0,Inputs!$B$19*Inputs!$B$22*$B$365-Inputs!$B$20)/Source_Data!$C$10)</f>
        <v>11.25</v>
      </c>
      <c r="G373" s="33" t="n">
        <f aca="false">Source_Data!G$9+Source_Data!G$10*IF(Source_Data!$C$10=0,0,MAX(0,Inputs!$B$19*Inputs!$B$22*$B$365-Inputs!$B$20)/Source_Data!$C$10)</f>
        <v>11.25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33.75</v>
      </c>
      <c r="M373" s="33" t="n">
        <f aca="false">Source_Data!M$9+Source_Data!M$10*IF(Source_Data!$C$10=0,0,MAX(0,Inputs!$B$19*Inputs!$B$22*$B$365-Inputs!$B$20)/Source_Data!$C$10)</f>
        <v>33.75</v>
      </c>
      <c r="N373" s="33" t="n">
        <f aca="false">Source_Data!N$9+Source_Data!N$10*IF(Source_Data!$C$10=0,0,MAX(0,Inputs!$B$19*Inputs!$B$22*$B$365-Inputs!$B$20)/Source_Data!$C$10)</f>
        <v>33.75</v>
      </c>
      <c r="O373" s="33" t="n">
        <f aca="false">Source_Data!O$9+Source_Data!O$10*IF(Source_Data!$C$10=0,0,MAX(0,Inputs!$B$19*Inputs!$B$22*$B$365-Inputs!$B$20)/Source_Data!$C$10)</f>
        <v>33.75</v>
      </c>
      <c r="P373" s="33" t="n">
        <f aca="false">Source_Data!P$9+Source_Data!P$10*IF(Source_Data!$C$10=0,0,MAX(0,Inputs!$B$19*Inputs!$B$22*$B$365-Inputs!$B$20)/Source_Data!$C$10)</f>
        <v>45</v>
      </c>
      <c r="Q373" s="33" t="n">
        <f aca="false">Source_Data!Q$9+Source_Data!Q$10*IF(Source_Data!$C$10=0,0,MAX(0,Inputs!$B$19*Inputs!$B$22*$B$365-Inputs!$B$20)/Source_Data!$C$10)</f>
        <v>45</v>
      </c>
      <c r="R373" s="33" t="n">
        <f aca="false">Source_Data!R$9+Source_Data!R$10*IF(Source_Data!$C$10=0,0,MAX(0,Inputs!$B$19*Inputs!$B$22*$B$365-Inputs!$B$20)/Source_Data!$C$10)</f>
        <v>45</v>
      </c>
      <c r="S373" s="33" t="n">
        <f aca="false">Source_Data!S$9+Source_Data!S$10*IF(Source_Data!$C$10=0,0,MAX(0,Inputs!$B$19*Inputs!$B$22*$B$365-Inputs!$B$20)/Source_Data!$C$10)</f>
        <v>45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107.758210351563</v>
      </c>
      <c r="AG373" s="33" t="n">
        <f aca="false">Source_Data!AG$9+Source_Data!AG$10*IF(Source_Data!$C$10=0,0,MAX(0,Inputs!$B$19*Inputs!$B$22*$B$365-Inputs!$B$20)/Source_Data!$C$10)</f>
        <v>10.976512421875</v>
      </c>
      <c r="AH373" s="33" t="n">
        <f aca="false">Source_Data!AH$9+Source_Data!AH$10*IF(Source_Data!$C$10=0,0,MAX(0,Inputs!$B$19*Inputs!$B$22*$B$365-Inputs!$B$20)/Source_Data!$C$10)</f>
        <v>10.976512421875</v>
      </c>
      <c r="AI373" s="33" t="n">
        <f aca="false">Source_Data!AI$9+Source_Data!AI$10*IF(Source_Data!$C$10=0,0,MAX(0,Inputs!$B$19*Inputs!$B$22*$B$365-Inputs!$B$20)/Source_Data!$C$10)</f>
        <v>10.976512421875</v>
      </c>
      <c r="AJ373" s="33" t="n">
        <f aca="false">Source_Data!AJ$9+Source_Data!AJ$10*IF(Source_Data!$C$10=0,0,MAX(0,Inputs!$B$19*Inputs!$B$22*$B$365-Inputs!$B$20)/Source_Data!$C$10)</f>
        <v>10.976512421875</v>
      </c>
      <c r="AK373" s="33" t="n">
        <f aca="false">Source_Data!AK$9+Source_Data!AK$10*IF(Source_Data!$C$10=0,0,MAX(0,Inputs!$B$19*Inputs!$B$22*$B$365-Inputs!$B$20)/Source_Data!$C$10)</f>
        <v>10.0209837109375</v>
      </c>
      <c r="AL373" s="33" t="n">
        <f aca="false">Source_Data!AL$9+Source_Data!AL$10*IF(Source_Data!$C$10=0,0,MAX(0,Inputs!$B$19*Inputs!$B$22*$B$365-Inputs!$B$20)/Source_Data!$C$10)</f>
        <v>10.0209837109375</v>
      </c>
      <c r="AM373" s="33" t="n">
        <f aca="false">Source_Data!AM$9+Source_Data!AM$10*IF(Source_Data!$C$10=0,0,MAX(0,Inputs!$B$19*Inputs!$B$22*$B$365-Inputs!$B$20)/Source_Data!$C$10)</f>
        <v>8.19855503906249</v>
      </c>
      <c r="AN373" s="33" t="n">
        <f aca="false">Source_Data!AN$9+Source_Data!AN$10*IF(Source_Data!$C$10=0,0,MAX(0,Inputs!$B$19*Inputs!$B$22*$B$365-Inputs!$B$20)/Source_Data!$C$10)</f>
        <v>4.21144828125</v>
      </c>
      <c r="AO373" s="33" t="n">
        <f aca="false">Source_Data!AO$9+Source_Data!AO$10*IF(Source_Data!$C$10=0,0,MAX(0,Inputs!$B$19*Inputs!$B$22*$B$365-Inputs!$B$20)/Source_Data!$C$10)</f>
        <v>1.56208171875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-50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34.7670250896057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34.7670250896057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34.7670250896057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34.7670250896057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0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0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9.58333333333333</v>
      </c>
      <c r="N380" s="33" t="n">
        <f aca="false">IF(AND(Source_Data!N$6&gt;=Inputs!$B$54,Source_Data!N$6&lt;Inputs!$B$54+3*Inputs!$B$11),Inputs!$B$9*Inputs!$B$7/Inputs!$B$11,0)</f>
        <v>9.58333333333333</v>
      </c>
      <c r="O380" s="33" t="n">
        <f aca="false">IF(AND(Source_Data!O$6&gt;=Inputs!$B$54,Source_Data!O$6&lt;Inputs!$B$54+3*Inputs!$B$11),Inputs!$B$9*Inputs!$B$7/Inputs!$B$11,0)</f>
        <v>9.58333333333333</v>
      </c>
      <c r="P380" s="33" t="n">
        <f aca="false">IF(AND(Source_Data!P$6&gt;=Inputs!$B$54,Source_Data!P$6&lt;Inputs!$B$54+3*Inputs!$B$11),Inputs!$B$9*Inputs!$B$7/Inputs!$B$11,0)</f>
        <v>9.58333333333333</v>
      </c>
      <c r="Q380" s="33" t="n">
        <f aca="false">IF(AND(Source_Data!Q$6&gt;=Inputs!$B$54,Source_Data!Q$6&lt;Inputs!$B$54+3*Inputs!$B$11),Inputs!$B$9*Inputs!$B$7/Inputs!$B$11,0)</f>
        <v>9.58333333333333</v>
      </c>
      <c r="R380" s="33" t="n">
        <f aca="false">IF(AND(Source_Data!R$6&gt;=Inputs!$B$54,Source_Data!R$6&lt;Inputs!$B$54+3*Inputs!$B$11),Inputs!$B$9*Inputs!$B$7/Inputs!$B$11,0)</f>
        <v>9.58333333333333</v>
      </c>
      <c r="S380" s="33" t="n">
        <f aca="false">IF(AND(Source_Data!S$6&gt;=Inputs!$B$54,Source_Data!S$6&lt;Inputs!$B$54+3*Inputs!$B$11),Inputs!$B$9*Inputs!$B$7/Inputs!$B$11,0)</f>
        <v>9.58333333333333</v>
      </c>
      <c r="T380" s="33" t="n">
        <f aca="false">IF(AND(Source_Data!T$6&gt;=Inputs!$B$54,Source_Data!T$6&lt;Inputs!$B$54+3*Inputs!$B$11),Inputs!$B$9*Inputs!$B$7/Inputs!$B$11,0)</f>
        <v>9.58333333333333</v>
      </c>
      <c r="U380" s="33" t="n">
        <f aca="false">IF(AND(Source_Data!U$6&gt;=Inputs!$B$54,Source_Data!U$6&lt;Inputs!$B$54+3*Inputs!$B$11),Inputs!$B$9*Inputs!$B$7/Inputs!$B$11,0)</f>
        <v>9.58333333333333</v>
      </c>
      <c r="V380" s="33" t="n">
        <f aca="false">IF(AND(Source_Data!V$6&gt;=Inputs!$B$54,Source_Data!V$6&lt;Inputs!$B$54+3*Inputs!$B$11),Inputs!$B$9*Inputs!$B$7/Inputs!$B$11,0)</f>
        <v>9.58333333333333</v>
      </c>
      <c r="W380" s="33" t="n">
        <f aca="false">IF(AND(Source_Data!W$6&gt;=Inputs!$B$54,Source_Data!W$6&lt;Inputs!$B$54+3*Inputs!$B$11),Inputs!$B$9*Inputs!$B$7/Inputs!$B$11,0)</f>
        <v>9.58333333333333</v>
      </c>
      <c r="X380" s="33" t="n">
        <f aca="false">IF(AND(Source_Data!X$6&gt;=Inputs!$B$54,Source_Data!X$6&lt;Inputs!$B$54+3*Inputs!$B$11),Inputs!$B$9*Inputs!$B$7/Inputs!$B$11,0)</f>
        <v>9.58333333333333</v>
      </c>
      <c r="Y380" s="33" t="n">
        <f aca="false">IF(AND(Source_Data!Y$6&gt;=Inputs!$B$54,Source_Data!Y$6&lt;Inputs!$B$54+3*Inputs!$B$11),Inputs!$B$9*Inputs!$B$7/Inputs!$B$11,0)</f>
        <v>0</v>
      </c>
      <c r="Z380" s="33" t="n">
        <f aca="false">IF(AND(Source_Data!Z$6&gt;=Inputs!$B$54,Source_Data!Z$6&lt;Inputs!$B$54+3*Inputs!$B$11),Inputs!$B$9*Inputs!$B$7/Inputs!$B$11,0)</f>
        <v>0</v>
      </c>
      <c r="AA380" s="33" t="n">
        <f aca="false">IF(AND(Source_Data!AA$6&gt;=Inputs!$B$54,Source_Data!AA$6&lt;Inputs!$B$54+3*Inputs!$B$11),Inputs!$B$9*Inputs!$B$7/Inputs!$B$11,0)</f>
        <v>0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-50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9.58333333333333</v>
      </c>
      <c r="N381" s="33" t="n">
        <f aca="false">IF(Source_Data!N$6=Inputs!$B$12,-Inputs!$B$7,0)+N380</f>
        <v>9.58333333333333</v>
      </c>
      <c r="O381" s="33" t="n">
        <f aca="false">IF(Source_Data!O$6=Inputs!$B$12,-Inputs!$B$7,0)+O380</f>
        <v>9.58333333333333</v>
      </c>
      <c r="P381" s="33" t="n">
        <f aca="false">IF(Source_Data!P$6=Inputs!$B$12,-Inputs!$B$7,0)+P380</f>
        <v>9.58333333333333</v>
      </c>
      <c r="Q381" s="33" t="n">
        <f aca="false">IF(Source_Data!Q$6=Inputs!$B$12,-Inputs!$B$7,0)+Q380</f>
        <v>9.58333333333333</v>
      </c>
      <c r="R381" s="33" t="n">
        <f aca="false">IF(Source_Data!R$6=Inputs!$B$12,-Inputs!$B$7,0)+R380</f>
        <v>9.58333333333333</v>
      </c>
      <c r="S381" s="33" t="n">
        <f aca="false">IF(Source_Data!S$6=Inputs!$B$12,-Inputs!$B$7,0)+S380</f>
        <v>9.58333333333333</v>
      </c>
      <c r="T381" s="33" t="n">
        <f aca="false">IF(Source_Data!T$6=Inputs!$B$12,-Inputs!$B$7,0)+T380</f>
        <v>9.58333333333333</v>
      </c>
      <c r="U381" s="33" t="n">
        <f aca="false">IF(Source_Data!U$6=Inputs!$B$12,-Inputs!$B$7,0)+U380</f>
        <v>9.58333333333333</v>
      </c>
      <c r="V381" s="33" t="n">
        <f aca="false">IF(Source_Data!V$6=Inputs!$B$12,-Inputs!$B$7,0)+V380</f>
        <v>9.58333333333333</v>
      </c>
      <c r="W381" s="33" t="n">
        <f aca="false">IF(Source_Data!W$6=Inputs!$B$12,-Inputs!$B$7,0)+W380</f>
        <v>9.58333333333333</v>
      </c>
      <c r="X381" s="33" t="n">
        <f aca="false">IF(Source_Data!X$6=Inputs!$B$12,-Inputs!$B$7,0)+X380</f>
        <v>9.58333333333333</v>
      </c>
      <c r="Y381" s="33" t="n">
        <f aca="false">IF(Source_Data!Y$6=Inputs!$B$12,-Inputs!$B$7,0)+Y380</f>
        <v>0</v>
      </c>
      <c r="Z381" s="33" t="n">
        <f aca="false">IF(Source_Data!Z$6=Inputs!$B$12,-Inputs!$B$7,0)+Z380</f>
        <v>0</v>
      </c>
      <c r="AA381" s="33" t="n">
        <f aca="false">IF(Source_Data!AA$6=Inputs!$B$12,-Inputs!$B$7,0)+AA380</f>
        <v>0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-41.25</v>
      </c>
      <c r="E382" s="33" t="n">
        <f aca="false">D382+IF(Source_Data!E$6=Inputs!$B$12,Inputs!$B$7,0)+E377-E380</f>
        <v>-52.5</v>
      </c>
      <c r="F382" s="33" t="n">
        <f aca="false">E382+IF(Source_Data!F$6=Inputs!$B$12,Inputs!$B$7,0)+F377-F380</f>
        <v>-63.75</v>
      </c>
      <c r="G382" s="33" t="n">
        <f aca="false">F382+IF(Source_Data!G$6=Inputs!$B$12,Inputs!$B$7,0)+G377-G380</f>
        <v>-59.8607625</v>
      </c>
      <c r="H382" s="33" t="n">
        <f aca="false">G382+IF(Source_Data!H$6=Inputs!$B$12,Inputs!$B$7,0)+H377-H380</f>
        <v>-75.0822875</v>
      </c>
      <c r="I382" s="33" t="n">
        <f aca="false">H382+IF(Source_Data!I$6=Inputs!$B$12,Inputs!$B$7,0)+I377-I380</f>
        <v>-81.43028125</v>
      </c>
      <c r="J382" s="33" t="n">
        <f aca="false">I382+IF(Source_Data!J$6=Inputs!$B$12,Inputs!$B$7,0)+J377-J380</f>
        <v>-99.29613375</v>
      </c>
      <c r="K382" s="33" t="n">
        <f aca="false">J382+IF(Source_Data!K$6=Inputs!$B$12,Inputs!$B$7,0)+K377-K380</f>
        <v>-101.90182375</v>
      </c>
      <c r="L382" s="33" t="n">
        <f aca="false">K382+IF(Source_Data!L$6=Inputs!$B$12,Inputs!$B$7,0)+L377-L380</f>
        <v>-112.059524375</v>
      </c>
      <c r="M382" s="33" t="n">
        <f aca="false">L382+IF(Source_Data!M$6=Inputs!$B$12,Inputs!$B$7,0)+M377-M380</f>
        <v>-114.945269270833</v>
      </c>
      <c r="N382" s="33" t="n">
        <f aca="false">M382+IF(Source_Data!N$6=Inputs!$B$12,Inputs!$B$7,0)+N377-N380</f>
        <v>323.914224895833</v>
      </c>
      <c r="O382" s="33" t="n">
        <f aca="false">N382+IF(Source_Data!O$6=Inputs!$B$12,Inputs!$B$7,0)+O377-O380</f>
        <v>453.0976315625</v>
      </c>
      <c r="P382" s="33" t="n">
        <f aca="false">O382+IF(Source_Data!P$6=Inputs!$B$12,Inputs!$B$7,0)+P377-P380</f>
        <v>429.350258229167</v>
      </c>
      <c r="Q382" s="33" t="n">
        <f aca="false">P382+IF(Source_Data!Q$6=Inputs!$B$12,Inputs!$B$7,0)+Q377-Q380</f>
        <v>324.816874895833</v>
      </c>
      <c r="R382" s="33" t="n">
        <f aca="false">Q382+IF(Source_Data!R$6=Inputs!$B$12,Inputs!$B$7,0)+R377-R380</f>
        <v>143.6827103125</v>
      </c>
      <c r="S382" s="33" t="n">
        <f aca="false">R382+IF(Source_Data!S$6=Inputs!$B$12,Inputs!$B$7,0)+S377-S380</f>
        <v>19.2031457291668</v>
      </c>
      <c r="T382" s="33" t="n">
        <f aca="false">S382+IF(Source_Data!T$6=Inputs!$B$12,Inputs!$B$7,0)+T377-T380</f>
        <v>32.6568480208335</v>
      </c>
      <c r="U382" s="33" t="n">
        <f aca="false">T382+IF(Source_Data!U$6=Inputs!$B$12,Inputs!$B$7,0)+U377-U380</f>
        <v>39.3001543750001</v>
      </c>
      <c r="V382" s="33" t="n">
        <f aca="false">U382+IF(Source_Data!V$6=Inputs!$B$12,Inputs!$B$7,0)+V377-V380</f>
        <v>44.4295369791668</v>
      </c>
      <c r="W382" s="33" t="n">
        <f aca="false">V382+IF(Source_Data!W$6=Inputs!$B$12,Inputs!$B$7,0)+W377-W380</f>
        <v>43.5701483333335</v>
      </c>
      <c r="X382" s="33" t="n">
        <f aca="false">W382+IF(Source_Data!X$6=Inputs!$B$12,Inputs!$B$7,0)+X377-X380</f>
        <v>60.8697596875001</v>
      </c>
      <c r="Y382" s="33" t="n">
        <f aca="false">X382+IF(Source_Data!Y$6=Inputs!$B$12,Inputs!$B$7,0)+Y377-Y380</f>
        <v>87.7527043750001</v>
      </c>
      <c r="Z382" s="33" t="n">
        <f aca="false">Y382+IF(Source_Data!Z$6=Inputs!$B$12,Inputs!$B$7,0)+Z377-Z380</f>
        <v>107.3554303125</v>
      </c>
      <c r="AA382" s="33" t="n">
        <f aca="false">Z382+IF(Source_Data!AA$6=Inputs!$B$12,Inputs!$B$7,0)+AA377-AA380</f>
        <v>126.95815625</v>
      </c>
      <c r="AB382" s="33" t="n">
        <f aca="false">AA382+IF(Source_Data!AB$6=Inputs!$B$12,Inputs!$B$7,0)+AB377-AB380</f>
        <v>169.0608821875</v>
      </c>
      <c r="AC382" s="33" t="n">
        <f aca="false">AB382+IF(Source_Data!AC$6=Inputs!$B$12,Inputs!$B$7,0)+AC377-AC380</f>
        <v>205.375608125</v>
      </c>
      <c r="AD382" s="33" t="n">
        <f aca="false">AC382+IF(Source_Data!AD$6=Inputs!$B$12,Inputs!$B$7,0)+AD377-AD380</f>
        <v>238.414235625</v>
      </c>
      <c r="AE382" s="33" t="n">
        <f aca="false">AD382+IF(Source_Data!AE$6=Inputs!$B$12,Inputs!$B$7,0)+AE377-AE380</f>
        <v>267.844406875</v>
      </c>
      <c r="AF382" s="33" t="n">
        <f aca="false">AE382+IF(Source_Data!AF$6=Inputs!$B$12,Inputs!$B$7,0)+AF377-AF380</f>
        <v>185.175367773438</v>
      </c>
      <c r="AG382" s="33" t="n">
        <f aca="false">AF382+IF(Source_Data!AG$6=Inputs!$B$12,Inputs!$B$7,0)+AG377-AG380</f>
        <v>199.288026601563</v>
      </c>
      <c r="AH382" s="33" t="n">
        <f aca="false">AG382+IF(Source_Data!AH$6=Inputs!$B$12,Inputs!$B$7,0)+AH377-AH380</f>
        <v>213.400685429688</v>
      </c>
      <c r="AI382" s="33" t="n">
        <f aca="false">AH382+IF(Source_Data!AI$6=Inputs!$B$12,Inputs!$B$7,0)+AI377-AI380</f>
        <v>227.513344257813</v>
      </c>
      <c r="AJ382" s="33" t="n">
        <f aca="false">AI382+IF(Source_Data!AJ$6=Inputs!$B$12,Inputs!$B$7,0)+AJ377-AJ380</f>
        <v>241.626003085938</v>
      </c>
      <c r="AK382" s="33" t="n">
        <f aca="false">AJ382+IF(Source_Data!AK$6=Inputs!$B$12,Inputs!$B$7,0)+AK377-AK380</f>
        <v>256.694190625</v>
      </c>
      <c r="AL382" s="33" t="n">
        <f aca="false">AK382+IF(Source_Data!AL$6=Inputs!$B$12,Inputs!$B$7,0)+AL377-AL380</f>
        <v>269.578312539063</v>
      </c>
      <c r="AM382" s="33" t="n">
        <f aca="false">AL382+IF(Source_Data!AM$6=Inputs!$B$12,Inputs!$B$7,0)+AM377-AM380</f>
        <v>284.284863125</v>
      </c>
      <c r="AN382" s="33" t="n">
        <f aca="false">AM382+IF(Source_Data!AN$6=Inputs!$B$12,Inputs!$B$7,0)+AN377-AN380</f>
        <v>298.81296921875</v>
      </c>
      <c r="AO382" s="33" t="n">
        <f aca="false">AN382+IF(Source_Data!AO$6=Inputs!$B$12,Inputs!$B$7,0)+AO377-AO380</f>
        <v>306.877055</v>
      </c>
      <c r="AP382" s="33" t="n">
        <f aca="false">AO382+IF(Source_Data!AP$6=Inputs!$B$12,Inputs!$B$7,0)+AP377-AP380</f>
        <v>310.4475275</v>
      </c>
      <c r="AQ382" s="33" t="n">
        <f aca="false">AP382+IF(Source_Data!AQ$6=Inputs!$B$12,Inputs!$B$7,0)+AQ377-AQ380</f>
        <v>310.4475275</v>
      </c>
      <c r="AR382" s="33" t="n">
        <f aca="false">AQ382+IF(Source_Data!AR$6=Inputs!$B$12,Inputs!$B$7,0)+AR377-AR380</f>
        <v>310.4475275</v>
      </c>
      <c r="AS382" s="33" t="n">
        <f aca="false">AR382+IF(Source_Data!AS$6=Inputs!$B$12,Inputs!$B$7,0)+AS377-AS380</f>
        <v>310.4475275</v>
      </c>
      <c r="AT382" s="33" t="n">
        <f aca="false">AS382+IF(Source_Data!AT$6=Inputs!$B$12,Inputs!$B$7,0)+AT377-AT380</f>
        <v>310.4475275</v>
      </c>
      <c r="AU382" s="33" t="n">
        <f aca="false">AT382+IF(Source_Data!AU$6=Inputs!$B$12,Inputs!$B$7,0)+AU377-AU380</f>
        <v>310.4475275</v>
      </c>
      <c r="AV382" s="33" t="n">
        <f aca="false">AU382+IF(Source_Data!AV$6=Inputs!$B$12,Inputs!$B$7,0)+AV377-AV380</f>
        <v>310.4475275</v>
      </c>
      <c r="AW382" s="33" t="n">
        <f aca="false">AV382+IF(Source_Data!AW$6=Inputs!$B$12,Inputs!$B$7,0)+AW377-AW380</f>
        <v>310.4475275</v>
      </c>
      <c r="AX382" s="33" t="n">
        <f aca="false">AW382+IF(Source_Data!AX$6=Inputs!$B$12,Inputs!$B$7,0)+AX377-AX380</f>
        <v>310.4475275</v>
      </c>
      <c r="AY382" s="33" t="n">
        <f aca="false">AX382+IF(Source_Data!AY$6=Inputs!$B$12,Inputs!$B$7,0)+AY377-AY380</f>
        <v>310.4475275</v>
      </c>
      <c r="AZ382" s="33" t="n">
        <f aca="false">AY382+IF(Source_Data!AZ$6=Inputs!$B$12,Inputs!$B$7,0)+AZ377-AZ380</f>
        <v>310.4475275</v>
      </c>
      <c r="BA382" s="33" t="n">
        <f aca="false">AZ382+IF(Source_Data!BA$6=Inputs!$B$12,Inputs!$B$7,0)+BA377-BA380</f>
        <v>310.4475275</v>
      </c>
      <c r="BB382" s="33" t="n">
        <f aca="false">BA382+IF(Source_Data!BB$6=Inputs!$B$12,Inputs!$B$7,0)+BB377-BB380</f>
        <v>310.4475275</v>
      </c>
      <c r="BC382" s="33" t="n">
        <f aca="false">BB382+IF(Source_Data!BC$6=Inputs!$B$12,Inputs!$B$7,0)+BC377-BC380</f>
        <v>310.4475275</v>
      </c>
      <c r="BD382" s="33" t="n">
        <f aca="false">BC382+IF(Source_Data!BD$6=Inputs!$B$12,Inputs!$B$7,0)+BD377-BD380</f>
        <v>310.4475275</v>
      </c>
      <c r="BE382" s="33" t="n">
        <f aca="false">BD382+IF(Source_Data!BE$6=Inputs!$B$12,Inputs!$B$7,0)+BE377-BE380</f>
        <v>310.4475275</v>
      </c>
      <c r="BF382" s="33" t="n">
        <f aca="false">BE382+IF(Source_Data!BF$6=Inputs!$B$12,Inputs!$B$7,0)+BF377-BF380</f>
        <v>310.4475275</v>
      </c>
      <c r="BG382" s="33" t="n">
        <f aca="false">BF382+IF(Source_Data!BG$6=Inputs!$B$12,Inputs!$B$7,0)+BG377-BG380</f>
        <v>310.4475275</v>
      </c>
      <c r="BH382" s="33" t="n">
        <f aca="false">BG382+IF(Source_Data!BH$6=Inputs!$B$12,Inputs!$B$7,0)+BH377-BH380</f>
        <v>310.4475275</v>
      </c>
      <c r="BI382" s="33" t="n">
        <f aca="false">BH382+IF(Source_Data!BI$6=Inputs!$B$12,Inputs!$B$7,0)+BI377-BI380</f>
        <v>310.4475275</v>
      </c>
      <c r="BJ382" s="33" t="n">
        <f aca="false">BI382+IF(Source_Data!BJ$6=Inputs!$B$12,Inputs!$B$7,0)+BJ377-BJ380</f>
        <v>310.4475275</v>
      </c>
      <c r="BK382" s="33" t="n">
        <f aca="false">BJ382+IF(Source_Data!BK$6=Inputs!$B$12,Inputs!$B$7,0)+BK377-BK380</f>
        <v>310.4475275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0.698878793478262</v>
      </c>
      <c r="N383" s="31" t="n">
        <f aca="false">IF(N380&gt;0,N377/N380,"")</f>
        <v>46.7940341739131</v>
      </c>
      <c r="O383" s="31" t="n">
        <f aca="false">IF(O380&gt;0,O377/O380,"")</f>
        <v>14.4800076521739</v>
      </c>
      <c r="P383" s="31" t="n">
        <f aca="false">IF(P380&gt;0,P377/P380,"")</f>
        <v>-1.4779867826087</v>
      </c>
      <c r="Q383" s="31" t="n">
        <f aca="false">IF(Q380&gt;0,Q377/Q380,"")</f>
        <v>-9.90783130434783</v>
      </c>
      <c r="R383" s="31" t="n">
        <f aca="false">IF(R380&gt;0,R377/R380,"")</f>
        <v>-17.9009563043478</v>
      </c>
      <c r="S383" s="31" t="n">
        <f aca="false">IF(S380&gt;0,S377/S380,"")</f>
        <v>-11.9891719565217</v>
      </c>
      <c r="T383" s="31" t="n">
        <f aca="false">IF(T380&gt;0,T377/T380,"")</f>
        <v>2.40386458695652</v>
      </c>
      <c r="U383" s="31" t="n">
        <f aca="false">IF(U380&gt;0,U377/U380,"")</f>
        <v>1.69321457608696</v>
      </c>
      <c r="V383" s="31" t="n">
        <f aca="false">IF(V380&gt;0,V377/V380,"")</f>
        <v>1.53523992391304</v>
      </c>
      <c r="W383" s="31" t="n">
        <f aca="false">IF(W380&gt;0,W377/W380,"")</f>
        <v>0.910324663043479</v>
      </c>
      <c r="X383" s="31" t="n">
        <f aca="false">IF(X380&gt;0,X377/X380,"")</f>
        <v>2.80517683695652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n">
        <f aca="false">IF(M380&gt;0,(L382+M377+IF(Source_Data!M$6=Inputs!$B$12,Inputs!$B$7,0))/M380,"")</f>
        <v>-10.9942889673913</v>
      </c>
      <c r="N384" s="31" t="n">
        <f aca="false">IF(N380&gt;0,(M382+N377+IF(Source_Data!N$6=Inputs!$B$12,Inputs!$B$7,0))/N380,"")</f>
        <v>34.7997452065218</v>
      </c>
      <c r="O384" s="31" t="n">
        <f aca="false">IF(O380&gt;0,(N382+O377+IF(Source_Data!O$6=Inputs!$B$12,Inputs!$B$7,0))/O380,"")</f>
        <v>48.2797528586957</v>
      </c>
      <c r="P384" s="31" t="n">
        <f aca="false">IF(P380&gt;0,(O382+P377+IF(Source_Data!P$6=Inputs!$B$12,Inputs!$B$7,0))/P380,"")</f>
        <v>45.801766076087</v>
      </c>
      <c r="Q384" s="31" t="n">
        <f aca="false">IF(Q380&gt;0,(P382+Q377+IF(Source_Data!Q$6=Inputs!$B$12,Inputs!$B$7,0))/Q380,"")</f>
        <v>34.8939347717392</v>
      </c>
      <c r="R384" s="31" t="n">
        <f aca="false">IF(R380&gt;0,(Q382+R377+IF(Source_Data!R$6=Inputs!$B$12,Inputs!$B$7,0))/R380,"")</f>
        <v>15.9929784673913</v>
      </c>
      <c r="S384" s="31" t="n">
        <f aca="false">IF(S380&gt;0,(R382+S377+IF(Source_Data!S$6=Inputs!$B$12,Inputs!$B$7,0))/S380,"")</f>
        <v>3.00380651086958</v>
      </c>
      <c r="T384" s="31" t="n">
        <f aca="false">IF(T380&gt;0,(S382+T377+IF(Source_Data!T$6=Inputs!$B$12,Inputs!$B$7,0))/T380,"")</f>
        <v>4.4076710978261</v>
      </c>
      <c r="U384" s="31" t="n">
        <f aca="false">IF(U380&gt;0,(T382+U377+IF(Source_Data!U$6=Inputs!$B$12,Inputs!$B$7,0))/U380,"")</f>
        <v>5.10088567391306</v>
      </c>
      <c r="V384" s="31" t="n">
        <f aca="false">IF(V380&gt;0,(U382+V377+IF(Source_Data!V$6=Inputs!$B$12,Inputs!$B$7,0))/V380,"")</f>
        <v>5.6361255978261</v>
      </c>
      <c r="W384" s="31" t="n">
        <f aca="false">IF(W380&gt;0,(V382+W377+IF(Source_Data!W$6=Inputs!$B$12,Inputs!$B$7,0))/W380,"")</f>
        <v>5.54645026086958</v>
      </c>
      <c r="X384" s="31" t="n">
        <f aca="false">IF(X380&gt;0,(W382+X377+IF(Source_Data!X$6=Inputs!$B$12,Inputs!$B$7,0))/X380,"")</f>
        <v>7.3516270978261</v>
      </c>
      <c r="Y384" s="31" t="str">
        <f aca="false">IF(Y380&gt;0,(X382+Y377+IF(Source_Data!Y$6=Inputs!$B$12,Inputs!$B$7,0))/Y380,"")</f>
        <v/>
      </c>
      <c r="Z384" s="31" t="str">
        <f aca="false">IF(Z380&gt;0,(Y382+Z377+IF(Source_Data!Z$6=Inputs!$B$12,Inputs!$B$7,0))/Z380,"")</f>
        <v/>
      </c>
      <c r="AA384" s="31" t="str">
        <f aca="false">IF(AA380&gt;0,(Z382+AA377+IF(Source_Data!AA$6=Inputs!$B$12,Inputs!$B$7,0))/AA380,"")</f>
        <v/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169.652089267269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27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-114.945269270833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-17.9009563043478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6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-10.9942889673913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1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51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15.1392375</v>
      </c>
      <c r="G407" s="33" t="n">
        <f aca="false">Source_Data!G$7+IF($B$405=1,IF(Source_Data!G$6=Inputs!$B$13,Source_Data!$C$8,0),Source_Data!G$8)</f>
        <v>30.278475</v>
      </c>
      <c r="H407" s="33" t="n">
        <f aca="false">Source_Data!H$7+IF($B$405=1,IF(Source_Data!H$6=Inputs!$B$13,Source_Data!$C$8,0),Source_Data!H$8)</f>
        <v>46.51200625</v>
      </c>
      <c r="I407" s="33" t="n">
        <f aca="false">Source_Data!I$7+IF($B$405=1,IF(Source_Data!I$6=Inputs!$B$13,Source_Data!$C$8,0),Source_Data!I$8)</f>
        <v>62.7455375</v>
      </c>
      <c r="J407" s="33" t="n">
        <f aca="false">Source_Data!J$7+IF($B$405=1,IF(Source_Data!J$6=Inputs!$B$13,Source_Data!$C$8,0),Source_Data!J$8)</f>
        <v>62.3657</v>
      </c>
      <c r="K407" s="33" t="n">
        <f aca="false">Source_Data!K$7+IF($B$405=1,IF(Source_Data!K$6=Inputs!$B$13,Source_Data!$C$8,0),Source_Data!K$8)</f>
        <v>63.473559375</v>
      </c>
      <c r="L407" s="33" t="n">
        <f aca="false">Source_Data!L$7+IF($B$405=1,IF(Source_Data!L$6=Inputs!$B$13,Source_Data!$C$8,0),Source_Data!L$8)</f>
        <v>80.3288484375</v>
      </c>
      <c r="M407" s="33" t="n">
        <f aca="false">Source_Data!M$7+IF($B$405=1,IF(Source_Data!M$6=Inputs!$B$13,Source_Data!$C$8,0),Source_Data!M$8)</f>
        <v>495.2538375</v>
      </c>
      <c r="N407" s="33" t="n">
        <f aca="false">Source_Data!N$7+IF($B$405=1,IF(Source_Data!N$6=Inputs!$B$13,Source_Data!$C$8,0),Source_Data!N$8)</f>
        <v>185.57775</v>
      </c>
      <c r="O407" s="33" t="n">
        <f aca="false">Source_Data!O$7+IF($B$405=1,IF(Source_Data!O$6=Inputs!$B$13,Source_Data!$C$8,0),Source_Data!O$8)</f>
        <v>176.534</v>
      </c>
      <c r="P407" s="33" t="n">
        <f aca="false">Source_Data!P$7+IF($B$405=1,IF(Source_Data!P$6=Inputs!$B$13,Source_Data!$C$8,0),Source_Data!P$8)</f>
        <v>97.31075</v>
      </c>
      <c r="Q407" s="33" t="n">
        <f aca="false">Source_Data!Q$7+IF($B$405=1,IF(Source_Data!Q$6=Inputs!$B$13,Source_Data!$C$8,0),Source_Data!Q$8)</f>
        <v>71.30996875</v>
      </c>
      <c r="R407" s="33" t="n">
        <f aca="false">Source_Data!R$7+IF($B$405=1,IF(Source_Data!R$6=Inputs!$B$13,Source_Data!$C$8,0),Source_Data!R$8)</f>
        <v>71.30996875</v>
      </c>
      <c r="S407" s="33" t="n">
        <f aca="false">Source_Data!S$7+IF($B$405=1,IF(Source_Data!S$6=Inputs!$B$13,Source_Data!$C$8,0),Source_Data!S$8)</f>
        <v>68.037035625</v>
      </c>
      <c r="T407" s="33" t="n">
        <f aca="false">Source_Data!T$7+IF($B$405=1,IF(Source_Data!T$6=Inputs!$B$13,Source_Data!$C$8,0),Source_Data!T$8)</f>
        <v>61.2266396875</v>
      </c>
      <c r="U407" s="33" t="n">
        <f aca="false">Source_Data!U$7+IF($B$405=1,IF(Source_Data!U$6=Inputs!$B$13,Source_Data!$C$8,0),Source_Data!U$8)</f>
        <v>59.7127159375</v>
      </c>
      <c r="V407" s="33" t="n">
        <f aca="false">Source_Data!V$7+IF($B$405=1,IF(Source_Data!V$6=Inputs!$B$13,Source_Data!$C$8,0),Source_Data!V$8)</f>
        <v>53.7239446875</v>
      </c>
      <c r="W407" s="33" t="n">
        <f aca="false">Source_Data!W$7+IF($B$405=1,IF(Source_Data!W$6=Inputs!$B$13,Source_Data!$C$8,0),Source_Data!W$8)</f>
        <v>49.3829446875</v>
      </c>
      <c r="X407" s="33" t="n">
        <f aca="false">Source_Data!X$7+IF($B$405=1,IF(Source_Data!X$6=Inputs!$B$13,Source_Data!$C$8,0),Source_Data!X$8)</f>
        <v>49.3829446875</v>
      </c>
      <c r="Y407" s="33" t="n">
        <f aca="false">Source_Data!Y$7+IF($B$405=1,IF(Source_Data!Y$6=Inputs!$B$13,Source_Data!$C$8,0),Source_Data!Y$8)</f>
        <v>42.1027259375</v>
      </c>
      <c r="Z407" s="33" t="n">
        <f aca="false">Source_Data!Z$7+IF($B$405=1,IF(Source_Data!Z$6=Inputs!$B$13,Source_Data!$C$8,0),Source_Data!Z$8)</f>
        <v>42.1027259375</v>
      </c>
      <c r="AA407" s="33" t="n">
        <f aca="false">Source_Data!AA$7+IF($B$405=1,IF(Source_Data!AA$6=Inputs!$B$13,Source_Data!$C$8,0),Source_Data!AA$8)</f>
        <v>42.1027259375</v>
      </c>
      <c r="AB407" s="33" t="n">
        <f aca="false">Source_Data!AB$7+IF($B$405=1,IF(Source_Data!AB$6=Inputs!$B$13,Source_Data!$C$8,0),Source_Data!AB$8)</f>
        <v>36.3147259375</v>
      </c>
      <c r="AC407" s="33" t="n">
        <f aca="false">Source_Data!AC$7+IF($B$405=1,IF(Source_Data!AC$6=Inputs!$B$13,Source_Data!$C$8,0),Source_Data!AC$8)</f>
        <v>33.0386275</v>
      </c>
      <c r="AD407" s="33" t="n">
        <f aca="false">Source_Data!AD$7+IF($B$405=1,IF(Source_Data!AD$6=Inputs!$B$13,Source_Data!$C$8,0),Source_Data!AD$8)</f>
        <v>29.43017125</v>
      </c>
      <c r="AE407" s="33" t="n">
        <f aca="false">Source_Data!AE$7+IF($B$405=1,IF(Source_Data!AE$6=Inputs!$B$13,Source_Data!$C$8,0),Source_Data!AE$8)</f>
        <v>25.08917125</v>
      </c>
      <c r="AF407" s="33" t="n">
        <f aca="false">Source_Data!AF$7+IF($B$405=1,IF(Source_Data!AF$6=Inputs!$B$13,Source_Data!$C$8,0),Source_Data!AF$8)</f>
        <v>25.08917125</v>
      </c>
      <c r="AG407" s="33" t="n">
        <f aca="false">Source_Data!AG$7+IF($B$405=1,IF(Source_Data!AG$6=Inputs!$B$13,Source_Data!$C$8,0),Source_Data!AG$8)</f>
        <v>25.08917125</v>
      </c>
      <c r="AH407" s="33" t="n">
        <f aca="false">Source_Data!AH$7+IF($B$405=1,IF(Source_Data!AH$6=Inputs!$B$13,Source_Data!$C$8,0),Source_Data!AH$8)</f>
        <v>25.08917125</v>
      </c>
      <c r="AI407" s="33" t="n">
        <f aca="false">Source_Data!AI$7+IF($B$405=1,IF(Source_Data!AI$6=Inputs!$B$13,Source_Data!$C$8,0),Source_Data!AI$8)</f>
        <v>25.08917125</v>
      </c>
      <c r="AJ407" s="33" t="n">
        <f aca="false">Source_Data!AJ$7+IF($B$405=1,IF(Source_Data!AJ$6=Inputs!$B$13,Source_Data!$C$8,0),Source_Data!AJ$8)</f>
        <v>25.08917125</v>
      </c>
      <c r="AK407" s="33" t="n">
        <f aca="false">Source_Data!AK$7+IF($B$405=1,IF(Source_Data!AK$6=Inputs!$B$13,Source_Data!$C$8,0),Source_Data!AK$8)</f>
        <v>22.905105625</v>
      </c>
      <c r="AL407" s="33" t="n">
        <f aca="false">Source_Data!AL$7+IF($B$405=1,IF(Source_Data!AL$6=Inputs!$B$13,Source_Data!$C$8,0),Source_Data!AL$8)</f>
        <v>22.905105625</v>
      </c>
      <c r="AM407" s="33" t="n">
        <f aca="false">Source_Data!AM$7+IF($B$405=1,IF(Source_Data!AM$6=Inputs!$B$13,Source_Data!$C$8,0),Source_Data!AM$8)</f>
        <v>18.739554375</v>
      </c>
      <c r="AN407" s="33" t="n">
        <f aca="false">Source_Data!AN$7+IF($B$405=1,IF(Source_Data!AN$6=Inputs!$B$13,Source_Data!$C$8,0),Source_Data!AN$8)</f>
        <v>9.6261675</v>
      </c>
      <c r="AO407" s="33" t="n">
        <f aca="false">Source_Data!AO$7+IF($B$405=1,IF(Source_Data!AO$6=Inputs!$B$13,Source_Data!$C$8,0),Source_Data!AO$8)</f>
        <v>3.5704725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91.25</v>
      </c>
      <c r="E409" s="33" t="n">
        <f aca="false">Source_Data!E$9+Source_Data!E$10*IF(Source_Data!$C$10=0,0,MAX(0,Inputs!$B$19*Inputs!$B$22*$B$401-Inputs!$B$20)/Source_Data!$C$10)</f>
        <v>11.25</v>
      </c>
      <c r="F409" s="33" t="n">
        <f aca="false">Source_Data!F$9+Source_Data!F$10*IF(Source_Data!$C$10=0,0,MAX(0,Inputs!$B$19*Inputs!$B$22*$B$401-Inputs!$B$20)/Source_Data!$C$10)</f>
        <v>11.25</v>
      </c>
      <c r="G409" s="33" t="n">
        <f aca="false">Source_Data!G$9+Source_Data!G$10*IF(Source_Data!$C$10=0,0,MAX(0,Inputs!$B$19*Inputs!$B$22*$B$401-Inputs!$B$20)/Source_Data!$C$10)</f>
        <v>11.25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33.75</v>
      </c>
      <c r="M409" s="33" t="n">
        <f aca="false">Source_Data!M$9+Source_Data!M$10*IF(Source_Data!$C$10=0,0,MAX(0,Inputs!$B$19*Inputs!$B$22*$B$401-Inputs!$B$20)/Source_Data!$C$10)</f>
        <v>33.75</v>
      </c>
      <c r="N409" s="33" t="n">
        <f aca="false">Source_Data!N$9+Source_Data!N$10*IF(Source_Data!$C$10=0,0,MAX(0,Inputs!$B$19*Inputs!$B$22*$B$401-Inputs!$B$20)/Source_Data!$C$10)</f>
        <v>33.75</v>
      </c>
      <c r="O409" s="33" t="n">
        <f aca="false">Source_Data!O$9+Source_Data!O$10*IF(Source_Data!$C$10=0,0,MAX(0,Inputs!$B$19*Inputs!$B$22*$B$401-Inputs!$B$20)/Source_Data!$C$10)</f>
        <v>33.75</v>
      </c>
      <c r="P409" s="33" t="n">
        <f aca="false">Source_Data!P$9+Source_Data!P$10*IF(Source_Data!$C$10=0,0,MAX(0,Inputs!$B$19*Inputs!$B$22*$B$401-Inputs!$B$20)/Source_Data!$C$10)</f>
        <v>45</v>
      </c>
      <c r="Q409" s="33" t="n">
        <f aca="false">Source_Data!Q$9+Source_Data!Q$10*IF(Source_Data!$C$10=0,0,MAX(0,Inputs!$B$19*Inputs!$B$22*$B$401-Inputs!$B$20)/Source_Data!$C$10)</f>
        <v>45</v>
      </c>
      <c r="R409" s="33" t="n">
        <f aca="false">Source_Data!R$9+Source_Data!R$10*IF(Source_Data!$C$10=0,0,MAX(0,Inputs!$B$19*Inputs!$B$22*$B$401-Inputs!$B$20)/Source_Data!$C$10)</f>
        <v>45</v>
      </c>
      <c r="S409" s="33" t="n">
        <f aca="false">Source_Data!S$9+Source_Data!S$10*IF(Source_Data!$C$10=0,0,MAX(0,Inputs!$B$19*Inputs!$B$22*$B$401-Inputs!$B$20)/Source_Data!$C$10)</f>
        <v>45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107.758210351563</v>
      </c>
      <c r="AG409" s="33" t="n">
        <f aca="false">Source_Data!AG$9+Source_Data!AG$10*IF(Source_Data!$C$10=0,0,MAX(0,Inputs!$B$19*Inputs!$B$22*$B$401-Inputs!$B$20)/Source_Data!$C$10)</f>
        <v>10.976512421875</v>
      </c>
      <c r="AH409" s="33" t="n">
        <f aca="false">Source_Data!AH$9+Source_Data!AH$10*IF(Source_Data!$C$10=0,0,MAX(0,Inputs!$B$19*Inputs!$B$22*$B$401-Inputs!$B$20)/Source_Data!$C$10)</f>
        <v>10.976512421875</v>
      </c>
      <c r="AI409" s="33" t="n">
        <f aca="false">Source_Data!AI$9+Source_Data!AI$10*IF(Source_Data!$C$10=0,0,MAX(0,Inputs!$B$19*Inputs!$B$22*$B$401-Inputs!$B$20)/Source_Data!$C$10)</f>
        <v>10.976512421875</v>
      </c>
      <c r="AJ409" s="33" t="n">
        <f aca="false">Source_Data!AJ$9+Source_Data!AJ$10*IF(Source_Data!$C$10=0,0,MAX(0,Inputs!$B$19*Inputs!$B$22*$B$401-Inputs!$B$20)/Source_Data!$C$10)</f>
        <v>10.976512421875</v>
      </c>
      <c r="AK409" s="33" t="n">
        <f aca="false">Source_Data!AK$9+Source_Data!AK$10*IF(Source_Data!$C$10=0,0,MAX(0,Inputs!$B$19*Inputs!$B$22*$B$401-Inputs!$B$20)/Source_Data!$C$10)</f>
        <v>10.0209837109375</v>
      </c>
      <c r="AL409" s="33" t="n">
        <f aca="false">Source_Data!AL$9+Source_Data!AL$10*IF(Source_Data!$C$10=0,0,MAX(0,Inputs!$B$19*Inputs!$B$22*$B$401-Inputs!$B$20)/Source_Data!$C$10)</f>
        <v>10.0209837109375</v>
      </c>
      <c r="AM409" s="33" t="n">
        <f aca="false">Source_Data!AM$9+Source_Data!AM$10*IF(Source_Data!$C$10=0,0,MAX(0,Inputs!$B$19*Inputs!$B$22*$B$401-Inputs!$B$20)/Source_Data!$C$10)</f>
        <v>8.19855503906249</v>
      </c>
      <c r="AN409" s="33" t="n">
        <f aca="false">Source_Data!AN$9+Source_Data!AN$10*IF(Source_Data!$C$10=0,0,MAX(0,Inputs!$B$19*Inputs!$B$22*$B$401-Inputs!$B$20)/Source_Data!$C$10)</f>
        <v>4.21144828125</v>
      </c>
      <c r="AO409" s="33" t="n">
        <f aca="false">Source_Data!AO$9+Source_Data!AO$10*IF(Source_Data!$C$10=0,0,MAX(0,Inputs!$B$19*Inputs!$B$22*$B$401-Inputs!$B$20)/Source_Data!$C$10)</f>
        <v>1.56208171875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-50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34.7670250896057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34.7670250896057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34.7670250896057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34.7670250896057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0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0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9.58333333333333</v>
      </c>
      <c r="N416" s="33" t="n">
        <f aca="false">IF(AND(Source_Data!N$6&gt;=Inputs!$B$54,Source_Data!N$6&lt;Inputs!$B$54+3*Inputs!$B$11),Inputs!$B$9*Inputs!$B$7/Inputs!$B$11,0)</f>
        <v>9.58333333333333</v>
      </c>
      <c r="O416" s="33" t="n">
        <f aca="false">IF(AND(Source_Data!O$6&gt;=Inputs!$B$54,Source_Data!O$6&lt;Inputs!$B$54+3*Inputs!$B$11),Inputs!$B$9*Inputs!$B$7/Inputs!$B$11,0)</f>
        <v>9.58333333333333</v>
      </c>
      <c r="P416" s="33" t="n">
        <f aca="false">IF(AND(Source_Data!P$6&gt;=Inputs!$B$54,Source_Data!P$6&lt;Inputs!$B$54+3*Inputs!$B$11),Inputs!$B$9*Inputs!$B$7/Inputs!$B$11,0)</f>
        <v>9.58333333333333</v>
      </c>
      <c r="Q416" s="33" t="n">
        <f aca="false">IF(AND(Source_Data!Q$6&gt;=Inputs!$B$54,Source_Data!Q$6&lt;Inputs!$B$54+3*Inputs!$B$11),Inputs!$B$9*Inputs!$B$7/Inputs!$B$11,0)</f>
        <v>9.58333333333333</v>
      </c>
      <c r="R416" s="33" t="n">
        <f aca="false">IF(AND(Source_Data!R$6&gt;=Inputs!$B$54,Source_Data!R$6&lt;Inputs!$B$54+3*Inputs!$B$11),Inputs!$B$9*Inputs!$B$7/Inputs!$B$11,0)</f>
        <v>9.58333333333333</v>
      </c>
      <c r="S416" s="33" t="n">
        <f aca="false">IF(AND(Source_Data!S$6&gt;=Inputs!$B$54,Source_Data!S$6&lt;Inputs!$B$54+3*Inputs!$B$11),Inputs!$B$9*Inputs!$B$7/Inputs!$B$11,0)</f>
        <v>9.58333333333333</v>
      </c>
      <c r="T416" s="33" t="n">
        <f aca="false">IF(AND(Source_Data!T$6&gt;=Inputs!$B$54,Source_Data!T$6&lt;Inputs!$B$54+3*Inputs!$B$11),Inputs!$B$9*Inputs!$B$7/Inputs!$B$11,0)</f>
        <v>9.58333333333333</v>
      </c>
      <c r="U416" s="33" t="n">
        <f aca="false">IF(AND(Source_Data!U$6&gt;=Inputs!$B$54,Source_Data!U$6&lt;Inputs!$B$54+3*Inputs!$B$11),Inputs!$B$9*Inputs!$B$7/Inputs!$B$11,0)</f>
        <v>9.58333333333333</v>
      </c>
      <c r="V416" s="33" t="n">
        <f aca="false">IF(AND(Source_Data!V$6&gt;=Inputs!$B$54,Source_Data!V$6&lt;Inputs!$B$54+3*Inputs!$B$11),Inputs!$B$9*Inputs!$B$7/Inputs!$B$11,0)</f>
        <v>9.58333333333333</v>
      </c>
      <c r="W416" s="33" t="n">
        <f aca="false">IF(AND(Source_Data!W$6&gt;=Inputs!$B$54,Source_Data!W$6&lt;Inputs!$B$54+3*Inputs!$B$11),Inputs!$B$9*Inputs!$B$7/Inputs!$B$11,0)</f>
        <v>9.58333333333333</v>
      </c>
      <c r="X416" s="33" t="n">
        <f aca="false">IF(AND(Source_Data!X$6&gt;=Inputs!$B$54,Source_Data!X$6&lt;Inputs!$B$54+3*Inputs!$B$11),Inputs!$B$9*Inputs!$B$7/Inputs!$B$11,0)</f>
        <v>9.58333333333333</v>
      </c>
      <c r="Y416" s="33" t="n">
        <f aca="false">IF(AND(Source_Data!Y$6&gt;=Inputs!$B$54,Source_Data!Y$6&lt;Inputs!$B$54+3*Inputs!$B$11),Inputs!$B$9*Inputs!$B$7/Inputs!$B$11,0)</f>
        <v>0</v>
      </c>
      <c r="Z416" s="33" t="n">
        <f aca="false">IF(AND(Source_Data!Z$6&gt;=Inputs!$B$54,Source_Data!Z$6&lt;Inputs!$B$54+3*Inputs!$B$11),Inputs!$B$9*Inputs!$B$7/Inputs!$B$11,0)</f>
        <v>0</v>
      </c>
      <c r="AA416" s="33" t="n">
        <f aca="false">IF(AND(Source_Data!AA$6&gt;=Inputs!$B$54,Source_Data!AA$6&lt;Inputs!$B$54+3*Inputs!$B$11),Inputs!$B$9*Inputs!$B$7/Inputs!$B$11,0)</f>
        <v>0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-50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9.58333333333333</v>
      </c>
      <c r="N417" s="33" t="n">
        <f aca="false">IF(Source_Data!N$6=Inputs!$B$12,-Inputs!$B$7,0)+N416</f>
        <v>9.58333333333333</v>
      </c>
      <c r="O417" s="33" t="n">
        <f aca="false">IF(Source_Data!O$6=Inputs!$B$12,-Inputs!$B$7,0)+O416</f>
        <v>9.58333333333333</v>
      </c>
      <c r="P417" s="33" t="n">
        <f aca="false">IF(Source_Data!P$6=Inputs!$B$12,-Inputs!$B$7,0)+P416</f>
        <v>9.58333333333333</v>
      </c>
      <c r="Q417" s="33" t="n">
        <f aca="false">IF(Source_Data!Q$6=Inputs!$B$12,-Inputs!$B$7,0)+Q416</f>
        <v>9.58333333333333</v>
      </c>
      <c r="R417" s="33" t="n">
        <f aca="false">IF(Source_Data!R$6=Inputs!$B$12,-Inputs!$B$7,0)+R416</f>
        <v>9.58333333333333</v>
      </c>
      <c r="S417" s="33" t="n">
        <f aca="false">IF(Source_Data!S$6=Inputs!$B$12,-Inputs!$B$7,0)+S416</f>
        <v>9.58333333333333</v>
      </c>
      <c r="T417" s="33" t="n">
        <f aca="false">IF(Source_Data!T$6=Inputs!$B$12,-Inputs!$B$7,0)+T416</f>
        <v>9.58333333333333</v>
      </c>
      <c r="U417" s="33" t="n">
        <f aca="false">IF(Source_Data!U$6=Inputs!$B$12,-Inputs!$B$7,0)+U416</f>
        <v>9.58333333333333</v>
      </c>
      <c r="V417" s="33" t="n">
        <f aca="false">IF(Source_Data!V$6=Inputs!$B$12,-Inputs!$B$7,0)+V416</f>
        <v>9.58333333333333</v>
      </c>
      <c r="W417" s="33" t="n">
        <f aca="false">IF(Source_Data!W$6=Inputs!$B$12,-Inputs!$B$7,0)+W416</f>
        <v>9.58333333333333</v>
      </c>
      <c r="X417" s="33" t="n">
        <f aca="false">IF(Source_Data!X$6=Inputs!$B$12,-Inputs!$B$7,0)+X416</f>
        <v>9.58333333333333</v>
      </c>
      <c r="Y417" s="33" t="n">
        <f aca="false">IF(Source_Data!Y$6=Inputs!$B$12,-Inputs!$B$7,0)+Y416</f>
        <v>0</v>
      </c>
      <c r="Z417" s="33" t="n">
        <f aca="false">IF(Source_Data!Z$6=Inputs!$B$12,-Inputs!$B$7,0)+Z416</f>
        <v>0</v>
      </c>
      <c r="AA417" s="33" t="n">
        <f aca="false">IF(Source_Data!AA$6=Inputs!$B$12,-Inputs!$B$7,0)+AA416</f>
        <v>0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-41.25</v>
      </c>
      <c r="E418" s="33" t="n">
        <f aca="false">D418+IF(Source_Data!E$6=Inputs!$B$12,Inputs!$B$7,0)+E413-E416</f>
        <v>-52.5</v>
      </c>
      <c r="F418" s="33" t="n">
        <f aca="false">E418+IF(Source_Data!F$6=Inputs!$B$12,Inputs!$B$7,0)+F413-F416</f>
        <v>-63.75</v>
      </c>
      <c r="G418" s="33" t="n">
        <f aca="false">F418+IF(Source_Data!G$6=Inputs!$B$12,Inputs!$B$7,0)+G413-G416</f>
        <v>-75</v>
      </c>
      <c r="H418" s="33" t="n">
        <f aca="false">G418+IF(Source_Data!H$6=Inputs!$B$12,Inputs!$B$7,0)+H413-H416</f>
        <v>-105.3607625</v>
      </c>
      <c r="I418" s="33" t="n">
        <f aca="false">H418+IF(Source_Data!I$6=Inputs!$B$12,Inputs!$B$7,0)+I413-I416</f>
        <v>-127.9422875</v>
      </c>
      <c r="J418" s="33" t="n">
        <f aca="false">I418+IF(Source_Data!J$6=Inputs!$B$12,Inputs!$B$7,0)+J413-J416</f>
        <v>-162.04167125</v>
      </c>
      <c r="K418" s="33" t="n">
        <f aca="false">J418+IF(Source_Data!K$6=Inputs!$B$12,Inputs!$B$7,0)+K413-K416</f>
        <v>-164.26752375</v>
      </c>
      <c r="L418" s="33" t="n">
        <f aca="false">K418+IF(Source_Data!L$6=Inputs!$B$12,Inputs!$B$7,0)+L413-L416</f>
        <v>-175.53308375</v>
      </c>
      <c r="M418" s="33" t="n">
        <f aca="false">L418+IF(Source_Data!M$6=Inputs!$B$12,Inputs!$B$7,0)+M413-M416</f>
        <v>-195.274117708333</v>
      </c>
      <c r="N418" s="33" t="n">
        <f aca="false">M418+IF(Source_Data!N$6=Inputs!$B$12,Inputs!$B$7,0)+N413-N416</f>
        <v>-171.339612604167</v>
      </c>
      <c r="O418" s="33" t="n">
        <f aca="false">N418+IF(Source_Data!O$6=Inputs!$B$12,Inputs!$B$7,0)+O413-O416</f>
        <v>267.5198815625</v>
      </c>
      <c r="P418" s="33" t="n">
        <f aca="false">O418+IF(Source_Data!P$6=Inputs!$B$12,Inputs!$B$7,0)+P413-P416</f>
        <v>252.816258229167</v>
      </c>
      <c r="Q418" s="33" t="n">
        <f aca="false">P418+IF(Source_Data!Q$6=Inputs!$B$12,Inputs!$B$7,0)+Q413-Q416</f>
        <v>227.506124895833</v>
      </c>
      <c r="R418" s="33" t="n">
        <f aca="false">Q418+IF(Source_Data!R$6=Inputs!$B$12,Inputs!$B$7,0)+R413-R416</f>
        <v>72.3727415625001</v>
      </c>
      <c r="S418" s="33" t="n">
        <f aca="false">R418+IF(Source_Data!S$6=Inputs!$B$12,Inputs!$B$7,0)+S413-S416</f>
        <v>-52.1068230208333</v>
      </c>
      <c r="T418" s="33" t="n">
        <f aca="false">S418+IF(Source_Data!T$6=Inputs!$B$12,Inputs!$B$7,0)+T413-T416</f>
        <v>-35.3801876041666</v>
      </c>
      <c r="U418" s="33" t="n">
        <f aca="false">T418+IF(Source_Data!U$6=Inputs!$B$12,Inputs!$B$7,0)+U413-U416</f>
        <v>-21.9264853125</v>
      </c>
      <c r="V418" s="33" t="n">
        <f aca="false">U418+IF(Source_Data!V$6=Inputs!$B$12,Inputs!$B$7,0)+V413-V416</f>
        <v>-15.2831789583333</v>
      </c>
      <c r="W418" s="33" t="n">
        <f aca="false">V418+IF(Source_Data!W$6=Inputs!$B$12,Inputs!$B$7,0)+W413-W416</f>
        <v>-10.1537963541666</v>
      </c>
      <c r="X418" s="33" t="n">
        <f aca="false">W418+IF(Source_Data!X$6=Inputs!$B$12,Inputs!$B$7,0)+X413-X416</f>
        <v>11.4868150000001</v>
      </c>
      <c r="Y418" s="33" t="n">
        <f aca="false">X418+IF(Source_Data!Y$6=Inputs!$B$12,Inputs!$B$7,0)+Y413-Y416</f>
        <v>38.3697596875001</v>
      </c>
      <c r="Z418" s="33" t="n">
        <f aca="false">Y418+IF(Source_Data!Z$6=Inputs!$B$12,Inputs!$B$7,0)+Z413-Z416</f>
        <v>65.2527043750001</v>
      </c>
      <c r="AA418" s="33" t="n">
        <f aca="false">Z418+IF(Source_Data!AA$6=Inputs!$B$12,Inputs!$B$7,0)+AA413-AA416</f>
        <v>84.8554303125001</v>
      </c>
      <c r="AB418" s="33" t="n">
        <f aca="false">AA418+IF(Source_Data!AB$6=Inputs!$B$12,Inputs!$B$7,0)+AB413-AB416</f>
        <v>126.95815625</v>
      </c>
      <c r="AC418" s="33" t="n">
        <f aca="false">AB418+IF(Source_Data!AC$6=Inputs!$B$12,Inputs!$B$7,0)+AC413-AC416</f>
        <v>169.0608821875</v>
      </c>
      <c r="AD418" s="33" t="n">
        <f aca="false">AC418+IF(Source_Data!AD$6=Inputs!$B$12,Inputs!$B$7,0)+AD413-AD416</f>
        <v>205.375608125</v>
      </c>
      <c r="AE418" s="33" t="n">
        <f aca="false">AD418+IF(Source_Data!AE$6=Inputs!$B$12,Inputs!$B$7,0)+AE413-AE416</f>
        <v>238.414235625</v>
      </c>
      <c r="AF418" s="33" t="n">
        <f aca="false">AE418+IF(Source_Data!AF$6=Inputs!$B$12,Inputs!$B$7,0)+AF413-AF416</f>
        <v>160.086196523438</v>
      </c>
      <c r="AG418" s="33" t="n">
        <f aca="false">AF418+IF(Source_Data!AG$6=Inputs!$B$12,Inputs!$B$7,0)+AG413-AG416</f>
        <v>174.198855351563</v>
      </c>
      <c r="AH418" s="33" t="n">
        <f aca="false">AG418+IF(Source_Data!AH$6=Inputs!$B$12,Inputs!$B$7,0)+AH413-AH416</f>
        <v>188.311514179688</v>
      </c>
      <c r="AI418" s="33" t="n">
        <f aca="false">AH418+IF(Source_Data!AI$6=Inputs!$B$12,Inputs!$B$7,0)+AI413-AI416</f>
        <v>202.424173007813</v>
      </c>
      <c r="AJ418" s="33" t="n">
        <f aca="false">AI418+IF(Source_Data!AJ$6=Inputs!$B$12,Inputs!$B$7,0)+AJ413-AJ416</f>
        <v>216.536831835938</v>
      </c>
      <c r="AK418" s="33" t="n">
        <f aca="false">AJ418+IF(Source_Data!AK$6=Inputs!$B$12,Inputs!$B$7,0)+AK413-AK416</f>
        <v>231.605019375</v>
      </c>
      <c r="AL418" s="33" t="n">
        <f aca="false">AK418+IF(Source_Data!AL$6=Inputs!$B$12,Inputs!$B$7,0)+AL413-AL416</f>
        <v>246.673206914063</v>
      </c>
      <c r="AM418" s="33" t="n">
        <f aca="false">AL418+IF(Source_Data!AM$6=Inputs!$B$12,Inputs!$B$7,0)+AM413-AM416</f>
        <v>261.3797575</v>
      </c>
      <c r="AN418" s="33" t="n">
        <f aca="false">AM418+IF(Source_Data!AN$6=Inputs!$B$12,Inputs!$B$7,0)+AN413-AN416</f>
        <v>280.07341484375</v>
      </c>
      <c r="AO418" s="33" t="n">
        <f aca="false">AN418+IF(Source_Data!AO$6=Inputs!$B$12,Inputs!$B$7,0)+AO413-AO416</f>
        <v>297.2508875</v>
      </c>
      <c r="AP418" s="33" t="n">
        <f aca="false">AO418+IF(Source_Data!AP$6=Inputs!$B$12,Inputs!$B$7,0)+AP413-AP416</f>
        <v>306.877055</v>
      </c>
      <c r="AQ418" s="33" t="n">
        <f aca="false">AP418+IF(Source_Data!AQ$6=Inputs!$B$12,Inputs!$B$7,0)+AQ413-AQ416</f>
        <v>310.4475275</v>
      </c>
      <c r="AR418" s="33" t="n">
        <f aca="false">AQ418+IF(Source_Data!AR$6=Inputs!$B$12,Inputs!$B$7,0)+AR413-AR416</f>
        <v>310.4475275</v>
      </c>
      <c r="AS418" s="33" t="n">
        <f aca="false">AR418+IF(Source_Data!AS$6=Inputs!$B$12,Inputs!$B$7,0)+AS413-AS416</f>
        <v>310.4475275</v>
      </c>
      <c r="AT418" s="33" t="n">
        <f aca="false">AS418+IF(Source_Data!AT$6=Inputs!$B$12,Inputs!$B$7,0)+AT413-AT416</f>
        <v>310.4475275</v>
      </c>
      <c r="AU418" s="33" t="n">
        <f aca="false">AT418+IF(Source_Data!AU$6=Inputs!$B$12,Inputs!$B$7,0)+AU413-AU416</f>
        <v>310.4475275</v>
      </c>
      <c r="AV418" s="33" t="n">
        <f aca="false">AU418+IF(Source_Data!AV$6=Inputs!$B$12,Inputs!$B$7,0)+AV413-AV416</f>
        <v>310.4475275</v>
      </c>
      <c r="AW418" s="33" t="n">
        <f aca="false">AV418+IF(Source_Data!AW$6=Inputs!$B$12,Inputs!$B$7,0)+AW413-AW416</f>
        <v>310.4475275</v>
      </c>
      <c r="AX418" s="33" t="n">
        <f aca="false">AW418+IF(Source_Data!AX$6=Inputs!$B$12,Inputs!$B$7,0)+AX413-AX416</f>
        <v>310.4475275</v>
      </c>
      <c r="AY418" s="33" t="n">
        <f aca="false">AX418+IF(Source_Data!AY$6=Inputs!$B$12,Inputs!$B$7,0)+AY413-AY416</f>
        <v>310.4475275</v>
      </c>
      <c r="AZ418" s="33" t="n">
        <f aca="false">AY418+IF(Source_Data!AZ$6=Inputs!$B$12,Inputs!$B$7,0)+AZ413-AZ416</f>
        <v>310.4475275</v>
      </c>
      <c r="BA418" s="33" t="n">
        <f aca="false">AZ418+IF(Source_Data!BA$6=Inputs!$B$12,Inputs!$B$7,0)+BA413-BA416</f>
        <v>310.4475275</v>
      </c>
      <c r="BB418" s="33" t="n">
        <f aca="false">BA418+IF(Source_Data!BB$6=Inputs!$B$12,Inputs!$B$7,0)+BB413-BB416</f>
        <v>310.4475275</v>
      </c>
      <c r="BC418" s="33" t="n">
        <f aca="false">BB418+IF(Source_Data!BC$6=Inputs!$B$12,Inputs!$B$7,0)+BC413-BC416</f>
        <v>310.4475275</v>
      </c>
      <c r="BD418" s="33" t="n">
        <f aca="false">BC418+IF(Source_Data!BD$6=Inputs!$B$12,Inputs!$B$7,0)+BD413-BD416</f>
        <v>310.4475275</v>
      </c>
      <c r="BE418" s="33" t="n">
        <f aca="false">BD418+IF(Source_Data!BE$6=Inputs!$B$12,Inputs!$B$7,0)+BE413-BE416</f>
        <v>310.4475275</v>
      </c>
      <c r="BF418" s="33" t="n">
        <f aca="false">BE418+IF(Source_Data!BF$6=Inputs!$B$12,Inputs!$B$7,0)+BF413-BF416</f>
        <v>310.4475275</v>
      </c>
      <c r="BG418" s="33" t="n">
        <f aca="false">BF418+IF(Source_Data!BG$6=Inputs!$B$12,Inputs!$B$7,0)+BG413-BG416</f>
        <v>310.4475275</v>
      </c>
      <c r="BH418" s="33" t="n">
        <f aca="false">BG418+IF(Source_Data!BH$6=Inputs!$B$12,Inputs!$B$7,0)+BH413-BH416</f>
        <v>310.4475275</v>
      </c>
      <c r="BI418" s="33" t="n">
        <f aca="false">BH418+IF(Source_Data!BI$6=Inputs!$B$12,Inputs!$B$7,0)+BI413-BI416</f>
        <v>310.4475275</v>
      </c>
      <c r="BJ418" s="33" t="n">
        <f aca="false">BI418+IF(Source_Data!BJ$6=Inputs!$B$12,Inputs!$B$7,0)+BJ413-BJ416</f>
        <v>310.4475275</v>
      </c>
      <c r="BK418" s="33" t="n">
        <f aca="false">BJ418+IF(Source_Data!BK$6=Inputs!$B$12,Inputs!$B$7,0)+BK413-BK416</f>
        <v>310.4475275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-1.05993397826087</v>
      </c>
      <c r="N419" s="31" t="n">
        <f aca="false">IF(N416&gt;0,N413/N416,"")</f>
        <v>3.49751357608696</v>
      </c>
      <c r="O419" s="31" t="n">
        <f aca="false">IF(O416&gt;0,O413/O416,"")</f>
        <v>46.7940341739131</v>
      </c>
      <c r="P419" s="31" t="n">
        <f aca="false">IF(P416&gt;0,P413/P416,"")</f>
        <v>-0.534291130434782</v>
      </c>
      <c r="Q419" s="31" t="n">
        <f aca="false">IF(Q416&gt;0,Q413/Q416,"")</f>
        <v>-1.64105739130435</v>
      </c>
      <c r="R419" s="31" t="n">
        <f aca="false">IF(R416&gt;0,R413/R416,"")</f>
        <v>-15.1878313043478</v>
      </c>
      <c r="S419" s="31" t="n">
        <f aca="false">IF(S416&gt;0,S413/S416,"")</f>
        <v>-11.9891719565217</v>
      </c>
      <c r="T419" s="31" t="n">
        <f aca="false">IF(T416&gt;0,T413/T416,"")</f>
        <v>2.74538804347826</v>
      </c>
      <c r="U419" s="31" t="n">
        <f aca="false">IF(U416&gt;0,U413/U416,"")</f>
        <v>2.40386458695652</v>
      </c>
      <c r="V419" s="31" t="n">
        <f aca="false">IF(V416&gt;0,V413/V416,"")</f>
        <v>1.69321457608696</v>
      </c>
      <c r="W419" s="31" t="n">
        <f aca="false">IF(W416&gt;0,W413/W416,"")</f>
        <v>1.53523992391304</v>
      </c>
      <c r="X419" s="31" t="n">
        <f aca="false">IF(X416&gt;0,X413/X416,"")</f>
        <v>3.25815075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n">
        <f aca="false">IF(M416&gt;0,(L418+M413+IF(Source_Data!M$6=Inputs!$B$12,Inputs!$B$7,0))/M416,"")</f>
        <v>-19.376429673913</v>
      </c>
      <c r="N420" s="31" t="n">
        <f aca="false">IF(N416&gt;0,(M418+N413+IF(Source_Data!N$6=Inputs!$B$12,Inputs!$B$7,0))/N416,"")</f>
        <v>-16.8789160978261</v>
      </c>
      <c r="O420" s="31" t="n">
        <f aca="false">IF(O416&gt;0,(N418+O413+IF(Source_Data!O$6=Inputs!$B$12,Inputs!$B$7,0))/O416,"")</f>
        <v>28.915118076087</v>
      </c>
      <c r="P420" s="31" t="n">
        <f aca="false">IF(P416&gt;0,(O418+P413+IF(Source_Data!P$6=Inputs!$B$12,Inputs!$B$7,0))/P416,"")</f>
        <v>27.3808269456522</v>
      </c>
      <c r="Q420" s="31" t="n">
        <f aca="false">IF(Q416&gt;0,(P418+Q413+IF(Source_Data!Q$6=Inputs!$B$12,Inputs!$B$7,0))/Q416,"")</f>
        <v>24.7397695543478</v>
      </c>
      <c r="R420" s="31" t="n">
        <f aca="false">IF(R416&gt;0,(Q418+R413+IF(Source_Data!R$6=Inputs!$B$12,Inputs!$B$7,0))/R416,"")</f>
        <v>8.55193825000001</v>
      </c>
      <c r="S420" s="31" t="n">
        <f aca="false">IF(S416&gt;0,(R418+S413+IF(Source_Data!S$6=Inputs!$B$12,Inputs!$B$7,0))/S416,"")</f>
        <v>-4.43723370652173</v>
      </c>
      <c r="T420" s="31" t="n">
        <f aca="false">IF(T416&gt;0,(S418+T413+IF(Source_Data!T$6=Inputs!$B$12,Inputs!$B$7,0))/T416,"")</f>
        <v>-2.69184566304347</v>
      </c>
      <c r="U420" s="31" t="n">
        <f aca="false">IF(U416&gt;0,(T418+U413+IF(Source_Data!U$6=Inputs!$B$12,Inputs!$B$7,0))/U416,"")</f>
        <v>-1.28798107608695</v>
      </c>
      <c r="V420" s="31" t="n">
        <f aca="false">IF(V416&gt;0,(U418+V413+IF(Source_Data!V$6=Inputs!$B$12,Inputs!$B$7,0))/V416,"")</f>
        <v>-0.594766499999995</v>
      </c>
      <c r="W420" s="31" t="n">
        <f aca="false">IF(W416&gt;0,(V418+W413+IF(Source_Data!W$6=Inputs!$B$12,Inputs!$B$7,0))/W416,"")</f>
        <v>-0.0595265760869517</v>
      </c>
      <c r="X420" s="31" t="n">
        <f aca="false">IF(X416&gt;0,(W418+X413+IF(Source_Data!X$6=Inputs!$B$12,Inputs!$B$7,0))/X416,"")</f>
        <v>2.19862417391305</v>
      </c>
      <c r="Y420" s="31" t="str">
        <f aca="false">IF(Y416&gt;0,(X418+Y413+IF(Source_Data!Y$6=Inputs!$B$12,Inputs!$B$7,0))/Y416,"")</f>
        <v/>
      </c>
      <c r="Z420" s="31" t="str">
        <f aca="false">IF(Z416&gt;0,(Y418+Z413+IF(Source_Data!Z$6=Inputs!$B$12,Inputs!$B$7,0))/Z416,"")</f>
        <v/>
      </c>
      <c r="AA420" s="31" t="str">
        <f aca="false">IF(AA416&gt;0,(Z418+AA413+IF(Source_Data!AA$6=Inputs!$B$12,Inputs!$B$7,0))/AA416,"")</f>
        <v/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125.464219288503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30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-195.274117708333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-15.1878313043478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5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-19.376429673913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7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51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15.1392375</v>
      </c>
      <c r="G443" s="33" t="n">
        <f aca="false">Source_Data!G$7+IF($B$441=1,IF(Source_Data!G$6=Inputs!$B$13,Source_Data!$C$8,0),Source_Data!G$8)</f>
        <v>30.278475</v>
      </c>
      <c r="H443" s="33" t="n">
        <f aca="false">Source_Data!H$7+IF($B$441=1,IF(Source_Data!H$6=Inputs!$B$13,Source_Data!$C$8,0),Source_Data!H$8)</f>
        <v>46.51200625</v>
      </c>
      <c r="I443" s="33" t="n">
        <f aca="false">Source_Data!I$7+IF($B$441=1,IF(Source_Data!I$6=Inputs!$B$13,Source_Data!$C$8,0),Source_Data!I$8)</f>
        <v>62.7455375</v>
      </c>
      <c r="J443" s="33" t="n">
        <f aca="false">Source_Data!J$7+IF($B$441=1,IF(Source_Data!J$6=Inputs!$B$13,Source_Data!$C$8,0),Source_Data!J$8)</f>
        <v>62.3657</v>
      </c>
      <c r="K443" s="33" t="n">
        <f aca="false">Source_Data!K$7+IF($B$441=1,IF(Source_Data!K$6=Inputs!$B$13,Source_Data!$C$8,0),Source_Data!K$8)</f>
        <v>63.473559375</v>
      </c>
      <c r="L443" s="33" t="n">
        <f aca="false">Source_Data!L$7+IF($B$441=1,IF(Source_Data!L$6=Inputs!$B$13,Source_Data!$C$8,0),Source_Data!L$8)</f>
        <v>80.3288484375</v>
      </c>
      <c r="M443" s="33" t="n">
        <f aca="false">Source_Data!M$7+IF($B$441=1,IF(Source_Data!M$6=Inputs!$B$13,Source_Data!$C$8,0),Source_Data!M$8)</f>
        <v>495.2538375</v>
      </c>
      <c r="N443" s="33" t="n">
        <f aca="false">Source_Data!N$7+IF($B$441=1,IF(Source_Data!N$6=Inputs!$B$13,Source_Data!$C$8,0),Source_Data!N$8)</f>
        <v>185.57775</v>
      </c>
      <c r="O443" s="33" t="n">
        <f aca="false">Source_Data!O$7+IF($B$441=1,IF(Source_Data!O$6=Inputs!$B$13,Source_Data!$C$8,0),Source_Data!O$8)</f>
        <v>176.534</v>
      </c>
      <c r="P443" s="33" t="n">
        <f aca="false">Source_Data!P$7+IF($B$441=1,IF(Source_Data!P$6=Inputs!$B$13,Source_Data!$C$8,0),Source_Data!P$8)</f>
        <v>97.31075</v>
      </c>
      <c r="Q443" s="33" t="n">
        <f aca="false">Source_Data!Q$7+IF($B$441=1,IF(Source_Data!Q$6=Inputs!$B$13,Source_Data!$C$8,0),Source_Data!Q$8)</f>
        <v>71.30996875</v>
      </c>
      <c r="R443" s="33" t="n">
        <f aca="false">Source_Data!R$7+IF($B$441=1,IF(Source_Data!R$6=Inputs!$B$13,Source_Data!$C$8,0),Source_Data!R$8)</f>
        <v>71.30996875</v>
      </c>
      <c r="S443" s="33" t="n">
        <f aca="false">Source_Data!S$7+IF($B$441=1,IF(Source_Data!S$6=Inputs!$B$13,Source_Data!$C$8,0),Source_Data!S$8)</f>
        <v>68.037035625</v>
      </c>
      <c r="T443" s="33" t="n">
        <f aca="false">Source_Data!T$7+IF($B$441=1,IF(Source_Data!T$6=Inputs!$B$13,Source_Data!$C$8,0),Source_Data!T$8)</f>
        <v>61.2266396875</v>
      </c>
      <c r="U443" s="33" t="n">
        <f aca="false">Source_Data!U$7+IF($B$441=1,IF(Source_Data!U$6=Inputs!$B$13,Source_Data!$C$8,0),Source_Data!U$8)</f>
        <v>59.7127159375</v>
      </c>
      <c r="V443" s="33" t="n">
        <f aca="false">Source_Data!V$7+IF($B$441=1,IF(Source_Data!V$6=Inputs!$B$13,Source_Data!$C$8,0),Source_Data!V$8)</f>
        <v>53.7239446875</v>
      </c>
      <c r="W443" s="33" t="n">
        <f aca="false">Source_Data!W$7+IF($B$441=1,IF(Source_Data!W$6=Inputs!$B$13,Source_Data!$C$8,0),Source_Data!W$8)</f>
        <v>49.3829446875</v>
      </c>
      <c r="X443" s="33" t="n">
        <f aca="false">Source_Data!X$7+IF($B$441=1,IF(Source_Data!X$6=Inputs!$B$13,Source_Data!$C$8,0),Source_Data!X$8)</f>
        <v>49.3829446875</v>
      </c>
      <c r="Y443" s="33" t="n">
        <f aca="false">Source_Data!Y$7+IF($B$441=1,IF(Source_Data!Y$6=Inputs!$B$13,Source_Data!$C$8,0),Source_Data!Y$8)</f>
        <v>42.1027259375</v>
      </c>
      <c r="Z443" s="33" t="n">
        <f aca="false">Source_Data!Z$7+IF($B$441=1,IF(Source_Data!Z$6=Inputs!$B$13,Source_Data!$C$8,0),Source_Data!Z$8)</f>
        <v>42.1027259375</v>
      </c>
      <c r="AA443" s="33" t="n">
        <f aca="false">Source_Data!AA$7+IF($B$441=1,IF(Source_Data!AA$6=Inputs!$B$13,Source_Data!$C$8,0),Source_Data!AA$8)</f>
        <v>42.1027259375</v>
      </c>
      <c r="AB443" s="33" t="n">
        <f aca="false">Source_Data!AB$7+IF($B$441=1,IF(Source_Data!AB$6=Inputs!$B$13,Source_Data!$C$8,0),Source_Data!AB$8)</f>
        <v>36.3147259375</v>
      </c>
      <c r="AC443" s="33" t="n">
        <f aca="false">Source_Data!AC$7+IF($B$441=1,IF(Source_Data!AC$6=Inputs!$B$13,Source_Data!$C$8,0),Source_Data!AC$8)</f>
        <v>33.0386275</v>
      </c>
      <c r="AD443" s="33" t="n">
        <f aca="false">Source_Data!AD$7+IF($B$441=1,IF(Source_Data!AD$6=Inputs!$B$13,Source_Data!$C$8,0),Source_Data!AD$8)</f>
        <v>29.43017125</v>
      </c>
      <c r="AE443" s="33" t="n">
        <f aca="false">Source_Data!AE$7+IF($B$441=1,IF(Source_Data!AE$6=Inputs!$B$13,Source_Data!$C$8,0),Source_Data!AE$8)</f>
        <v>25.08917125</v>
      </c>
      <c r="AF443" s="33" t="n">
        <f aca="false">Source_Data!AF$7+IF($B$441=1,IF(Source_Data!AF$6=Inputs!$B$13,Source_Data!$C$8,0),Source_Data!AF$8)</f>
        <v>25.08917125</v>
      </c>
      <c r="AG443" s="33" t="n">
        <f aca="false">Source_Data!AG$7+IF($B$441=1,IF(Source_Data!AG$6=Inputs!$B$13,Source_Data!$C$8,0),Source_Data!AG$8)</f>
        <v>25.08917125</v>
      </c>
      <c r="AH443" s="33" t="n">
        <f aca="false">Source_Data!AH$7+IF($B$441=1,IF(Source_Data!AH$6=Inputs!$B$13,Source_Data!$C$8,0),Source_Data!AH$8)</f>
        <v>25.08917125</v>
      </c>
      <c r="AI443" s="33" t="n">
        <f aca="false">Source_Data!AI$7+IF($B$441=1,IF(Source_Data!AI$6=Inputs!$B$13,Source_Data!$C$8,0),Source_Data!AI$8)</f>
        <v>25.08917125</v>
      </c>
      <c r="AJ443" s="33" t="n">
        <f aca="false">Source_Data!AJ$7+IF($B$441=1,IF(Source_Data!AJ$6=Inputs!$B$13,Source_Data!$C$8,0),Source_Data!AJ$8)</f>
        <v>25.08917125</v>
      </c>
      <c r="AK443" s="33" t="n">
        <f aca="false">Source_Data!AK$7+IF($B$441=1,IF(Source_Data!AK$6=Inputs!$B$13,Source_Data!$C$8,0),Source_Data!AK$8)</f>
        <v>22.905105625</v>
      </c>
      <c r="AL443" s="33" t="n">
        <f aca="false">Source_Data!AL$7+IF($B$441=1,IF(Source_Data!AL$6=Inputs!$B$13,Source_Data!$C$8,0),Source_Data!AL$8)</f>
        <v>22.905105625</v>
      </c>
      <c r="AM443" s="33" t="n">
        <f aca="false">Source_Data!AM$7+IF($B$441=1,IF(Source_Data!AM$6=Inputs!$B$13,Source_Data!$C$8,0),Source_Data!AM$8)</f>
        <v>18.739554375</v>
      </c>
      <c r="AN443" s="33" t="n">
        <f aca="false">Source_Data!AN$7+IF($B$441=1,IF(Source_Data!AN$6=Inputs!$B$13,Source_Data!$C$8,0),Source_Data!AN$8)</f>
        <v>9.6261675</v>
      </c>
      <c r="AO443" s="33" t="n">
        <f aca="false">Source_Data!AO$7+IF($B$441=1,IF(Source_Data!AO$6=Inputs!$B$13,Source_Data!$C$8,0),Source_Data!AO$8)</f>
        <v>3.5704725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91.25</v>
      </c>
      <c r="E445" s="33" t="n">
        <f aca="false">Source_Data!E$9+Source_Data!E$10*IF(Source_Data!$C$10=0,0,MAX(0,Inputs!$B$19*Inputs!$B$22*$B$437-Inputs!$B$20)/Source_Data!$C$10)</f>
        <v>11.25</v>
      </c>
      <c r="F445" s="33" t="n">
        <f aca="false">Source_Data!F$9+Source_Data!F$10*IF(Source_Data!$C$10=0,0,MAX(0,Inputs!$B$19*Inputs!$B$22*$B$437-Inputs!$B$20)/Source_Data!$C$10)</f>
        <v>11.25</v>
      </c>
      <c r="G445" s="33" t="n">
        <f aca="false">Source_Data!G$9+Source_Data!G$10*IF(Source_Data!$C$10=0,0,MAX(0,Inputs!$B$19*Inputs!$B$22*$B$437-Inputs!$B$20)/Source_Data!$C$10)</f>
        <v>11.25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33.75</v>
      </c>
      <c r="M445" s="33" t="n">
        <f aca="false">Source_Data!M$9+Source_Data!M$10*IF(Source_Data!$C$10=0,0,MAX(0,Inputs!$B$19*Inputs!$B$22*$B$437-Inputs!$B$20)/Source_Data!$C$10)</f>
        <v>33.75</v>
      </c>
      <c r="N445" s="33" t="n">
        <f aca="false">Source_Data!N$9+Source_Data!N$10*IF(Source_Data!$C$10=0,0,MAX(0,Inputs!$B$19*Inputs!$B$22*$B$437-Inputs!$B$20)/Source_Data!$C$10)</f>
        <v>33.75</v>
      </c>
      <c r="O445" s="33" t="n">
        <f aca="false">Source_Data!O$9+Source_Data!O$10*IF(Source_Data!$C$10=0,0,MAX(0,Inputs!$B$19*Inputs!$B$22*$B$437-Inputs!$B$20)/Source_Data!$C$10)</f>
        <v>33.75</v>
      </c>
      <c r="P445" s="33" t="n">
        <f aca="false">Source_Data!P$9+Source_Data!P$10*IF(Source_Data!$C$10=0,0,MAX(0,Inputs!$B$19*Inputs!$B$22*$B$437-Inputs!$B$20)/Source_Data!$C$10)</f>
        <v>45</v>
      </c>
      <c r="Q445" s="33" t="n">
        <f aca="false">Source_Data!Q$9+Source_Data!Q$10*IF(Source_Data!$C$10=0,0,MAX(0,Inputs!$B$19*Inputs!$B$22*$B$437-Inputs!$B$20)/Source_Data!$C$10)</f>
        <v>45</v>
      </c>
      <c r="R445" s="33" t="n">
        <f aca="false">Source_Data!R$9+Source_Data!R$10*IF(Source_Data!$C$10=0,0,MAX(0,Inputs!$B$19*Inputs!$B$22*$B$437-Inputs!$B$20)/Source_Data!$C$10)</f>
        <v>45</v>
      </c>
      <c r="S445" s="33" t="n">
        <f aca="false">Source_Data!S$9+Source_Data!S$10*IF(Source_Data!$C$10=0,0,MAX(0,Inputs!$B$19*Inputs!$B$22*$B$437-Inputs!$B$20)/Source_Data!$C$10)</f>
        <v>45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107.758210351563</v>
      </c>
      <c r="AG445" s="33" t="n">
        <f aca="false">Source_Data!AG$9+Source_Data!AG$10*IF(Source_Data!$C$10=0,0,MAX(0,Inputs!$B$19*Inputs!$B$22*$B$437-Inputs!$B$20)/Source_Data!$C$10)</f>
        <v>10.976512421875</v>
      </c>
      <c r="AH445" s="33" t="n">
        <f aca="false">Source_Data!AH$9+Source_Data!AH$10*IF(Source_Data!$C$10=0,0,MAX(0,Inputs!$B$19*Inputs!$B$22*$B$437-Inputs!$B$20)/Source_Data!$C$10)</f>
        <v>10.976512421875</v>
      </c>
      <c r="AI445" s="33" t="n">
        <f aca="false">Source_Data!AI$9+Source_Data!AI$10*IF(Source_Data!$C$10=0,0,MAX(0,Inputs!$B$19*Inputs!$B$22*$B$437-Inputs!$B$20)/Source_Data!$C$10)</f>
        <v>10.976512421875</v>
      </c>
      <c r="AJ445" s="33" t="n">
        <f aca="false">Source_Data!AJ$9+Source_Data!AJ$10*IF(Source_Data!$C$10=0,0,MAX(0,Inputs!$B$19*Inputs!$B$22*$B$437-Inputs!$B$20)/Source_Data!$C$10)</f>
        <v>10.976512421875</v>
      </c>
      <c r="AK445" s="33" t="n">
        <f aca="false">Source_Data!AK$9+Source_Data!AK$10*IF(Source_Data!$C$10=0,0,MAX(0,Inputs!$B$19*Inputs!$B$22*$B$437-Inputs!$B$20)/Source_Data!$C$10)</f>
        <v>10.0209837109375</v>
      </c>
      <c r="AL445" s="33" t="n">
        <f aca="false">Source_Data!AL$9+Source_Data!AL$10*IF(Source_Data!$C$10=0,0,MAX(0,Inputs!$B$19*Inputs!$B$22*$B$437-Inputs!$B$20)/Source_Data!$C$10)</f>
        <v>10.0209837109375</v>
      </c>
      <c r="AM445" s="33" t="n">
        <f aca="false">Source_Data!AM$9+Source_Data!AM$10*IF(Source_Data!$C$10=0,0,MAX(0,Inputs!$B$19*Inputs!$B$22*$B$437-Inputs!$B$20)/Source_Data!$C$10)</f>
        <v>8.19855503906249</v>
      </c>
      <c r="AN445" s="33" t="n">
        <f aca="false">Source_Data!AN$9+Source_Data!AN$10*IF(Source_Data!$C$10=0,0,MAX(0,Inputs!$B$19*Inputs!$B$22*$B$437-Inputs!$B$20)/Source_Data!$C$10)</f>
        <v>4.21144828125</v>
      </c>
      <c r="AO445" s="33" t="n">
        <f aca="false">Source_Data!AO$9+Source_Data!AO$10*IF(Source_Data!$C$10=0,0,MAX(0,Inputs!$B$19*Inputs!$B$22*$B$437-Inputs!$B$20)/Source_Data!$C$10)</f>
        <v>1.56208171875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-50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34.7670250896057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34.7670250896057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34.7670250896057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34.7670250896057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0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0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9.58333333333333</v>
      </c>
      <c r="N452" s="33" t="n">
        <f aca="false">IF(AND(Source_Data!N$6&gt;=Inputs!$B$54,Source_Data!N$6&lt;Inputs!$B$54+3*Inputs!$B$11),Inputs!$B$9*Inputs!$B$7/Inputs!$B$11,0)</f>
        <v>9.58333333333333</v>
      </c>
      <c r="O452" s="33" t="n">
        <f aca="false">IF(AND(Source_Data!O$6&gt;=Inputs!$B$54,Source_Data!O$6&lt;Inputs!$B$54+3*Inputs!$B$11),Inputs!$B$9*Inputs!$B$7/Inputs!$B$11,0)</f>
        <v>9.58333333333333</v>
      </c>
      <c r="P452" s="33" t="n">
        <f aca="false">IF(AND(Source_Data!P$6&gt;=Inputs!$B$54,Source_Data!P$6&lt;Inputs!$B$54+3*Inputs!$B$11),Inputs!$B$9*Inputs!$B$7/Inputs!$B$11,0)</f>
        <v>9.58333333333333</v>
      </c>
      <c r="Q452" s="33" t="n">
        <f aca="false">IF(AND(Source_Data!Q$6&gt;=Inputs!$B$54,Source_Data!Q$6&lt;Inputs!$B$54+3*Inputs!$B$11),Inputs!$B$9*Inputs!$B$7/Inputs!$B$11,0)</f>
        <v>9.58333333333333</v>
      </c>
      <c r="R452" s="33" t="n">
        <f aca="false">IF(AND(Source_Data!R$6&gt;=Inputs!$B$54,Source_Data!R$6&lt;Inputs!$B$54+3*Inputs!$B$11),Inputs!$B$9*Inputs!$B$7/Inputs!$B$11,0)</f>
        <v>9.58333333333333</v>
      </c>
      <c r="S452" s="33" t="n">
        <f aca="false">IF(AND(Source_Data!S$6&gt;=Inputs!$B$54,Source_Data!S$6&lt;Inputs!$B$54+3*Inputs!$B$11),Inputs!$B$9*Inputs!$B$7/Inputs!$B$11,0)</f>
        <v>9.58333333333333</v>
      </c>
      <c r="T452" s="33" t="n">
        <f aca="false">IF(AND(Source_Data!T$6&gt;=Inputs!$B$54,Source_Data!T$6&lt;Inputs!$B$54+3*Inputs!$B$11),Inputs!$B$9*Inputs!$B$7/Inputs!$B$11,0)</f>
        <v>9.58333333333333</v>
      </c>
      <c r="U452" s="33" t="n">
        <f aca="false">IF(AND(Source_Data!U$6&gt;=Inputs!$B$54,Source_Data!U$6&lt;Inputs!$B$54+3*Inputs!$B$11),Inputs!$B$9*Inputs!$B$7/Inputs!$B$11,0)</f>
        <v>9.58333333333333</v>
      </c>
      <c r="V452" s="33" t="n">
        <f aca="false">IF(AND(Source_Data!V$6&gt;=Inputs!$B$54,Source_Data!V$6&lt;Inputs!$B$54+3*Inputs!$B$11),Inputs!$B$9*Inputs!$B$7/Inputs!$B$11,0)</f>
        <v>9.58333333333333</v>
      </c>
      <c r="W452" s="33" t="n">
        <f aca="false">IF(AND(Source_Data!W$6&gt;=Inputs!$B$54,Source_Data!W$6&lt;Inputs!$B$54+3*Inputs!$B$11),Inputs!$B$9*Inputs!$B$7/Inputs!$B$11,0)</f>
        <v>9.58333333333333</v>
      </c>
      <c r="X452" s="33" t="n">
        <f aca="false">IF(AND(Source_Data!X$6&gt;=Inputs!$B$54,Source_Data!X$6&lt;Inputs!$B$54+3*Inputs!$B$11),Inputs!$B$9*Inputs!$B$7/Inputs!$B$11,0)</f>
        <v>9.58333333333333</v>
      </c>
      <c r="Y452" s="33" t="n">
        <f aca="false">IF(AND(Source_Data!Y$6&gt;=Inputs!$B$54,Source_Data!Y$6&lt;Inputs!$B$54+3*Inputs!$B$11),Inputs!$B$9*Inputs!$B$7/Inputs!$B$11,0)</f>
        <v>0</v>
      </c>
      <c r="Z452" s="33" t="n">
        <f aca="false">IF(AND(Source_Data!Z$6&gt;=Inputs!$B$54,Source_Data!Z$6&lt;Inputs!$B$54+3*Inputs!$B$11),Inputs!$B$9*Inputs!$B$7/Inputs!$B$11,0)</f>
        <v>0</v>
      </c>
      <c r="AA452" s="33" t="n">
        <f aca="false">IF(AND(Source_Data!AA$6&gt;=Inputs!$B$54,Source_Data!AA$6&lt;Inputs!$B$54+3*Inputs!$B$11),Inputs!$B$9*Inputs!$B$7/Inputs!$B$11,0)</f>
        <v>0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-50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9.58333333333333</v>
      </c>
      <c r="N453" s="33" t="n">
        <f aca="false">IF(Source_Data!N$6=Inputs!$B$12,-Inputs!$B$7,0)+N452</f>
        <v>9.58333333333333</v>
      </c>
      <c r="O453" s="33" t="n">
        <f aca="false">IF(Source_Data!O$6=Inputs!$B$12,-Inputs!$B$7,0)+O452</f>
        <v>9.58333333333333</v>
      </c>
      <c r="P453" s="33" t="n">
        <f aca="false">IF(Source_Data!P$6=Inputs!$B$12,-Inputs!$B$7,0)+P452</f>
        <v>9.58333333333333</v>
      </c>
      <c r="Q453" s="33" t="n">
        <f aca="false">IF(Source_Data!Q$6=Inputs!$B$12,-Inputs!$B$7,0)+Q452</f>
        <v>9.58333333333333</v>
      </c>
      <c r="R453" s="33" t="n">
        <f aca="false">IF(Source_Data!R$6=Inputs!$B$12,-Inputs!$B$7,0)+R452</f>
        <v>9.58333333333333</v>
      </c>
      <c r="S453" s="33" t="n">
        <f aca="false">IF(Source_Data!S$6=Inputs!$B$12,-Inputs!$B$7,0)+S452</f>
        <v>9.58333333333333</v>
      </c>
      <c r="T453" s="33" t="n">
        <f aca="false">IF(Source_Data!T$6=Inputs!$B$12,-Inputs!$B$7,0)+T452</f>
        <v>9.58333333333333</v>
      </c>
      <c r="U453" s="33" t="n">
        <f aca="false">IF(Source_Data!U$6=Inputs!$B$12,-Inputs!$B$7,0)+U452</f>
        <v>9.58333333333333</v>
      </c>
      <c r="V453" s="33" t="n">
        <f aca="false">IF(Source_Data!V$6=Inputs!$B$12,-Inputs!$B$7,0)+V452</f>
        <v>9.58333333333333</v>
      </c>
      <c r="W453" s="33" t="n">
        <f aca="false">IF(Source_Data!W$6=Inputs!$B$12,-Inputs!$B$7,0)+W452</f>
        <v>9.58333333333333</v>
      </c>
      <c r="X453" s="33" t="n">
        <f aca="false">IF(Source_Data!X$6=Inputs!$B$12,-Inputs!$B$7,0)+X452</f>
        <v>9.58333333333333</v>
      </c>
      <c r="Y453" s="33" t="n">
        <f aca="false">IF(Source_Data!Y$6=Inputs!$B$12,-Inputs!$B$7,0)+Y452</f>
        <v>0</v>
      </c>
      <c r="Z453" s="33" t="n">
        <f aca="false">IF(Source_Data!Z$6=Inputs!$B$12,-Inputs!$B$7,0)+Z452</f>
        <v>0</v>
      </c>
      <c r="AA453" s="33" t="n">
        <f aca="false">IF(Source_Data!AA$6=Inputs!$B$12,-Inputs!$B$7,0)+AA452</f>
        <v>0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-41.25</v>
      </c>
      <c r="E454" s="33" t="n">
        <f aca="false">D454+IF(Source_Data!E$6=Inputs!$B$12,Inputs!$B$7,0)+E449-E452</f>
        <v>-52.5</v>
      </c>
      <c r="F454" s="33" t="n">
        <f aca="false">E454+IF(Source_Data!F$6=Inputs!$B$12,Inputs!$B$7,0)+F449-F452</f>
        <v>-63.75</v>
      </c>
      <c r="G454" s="33" t="n">
        <f aca="false">F454+IF(Source_Data!G$6=Inputs!$B$12,Inputs!$B$7,0)+G449-G452</f>
        <v>-75</v>
      </c>
      <c r="H454" s="33" t="n">
        <f aca="false">G454+IF(Source_Data!H$6=Inputs!$B$12,Inputs!$B$7,0)+H449-H452</f>
        <v>-120.5</v>
      </c>
      <c r="I454" s="33" t="n">
        <f aca="false">H454+IF(Source_Data!I$6=Inputs!$B$12,Inputs!$B$7,0)+I449-I452</f>
        <v>-173.36</v>
      </c>
      <c r="J454" s="33" t="n">
        <f aca="false">I454+IF(Source_Data!J$6=Inputs!$B$12,Inputs!$B$7,0)+J449-J452</f>
        <v>-238.8321525</v>
      </c>
      <c r="K454" s="33" t="n">
        <f aca="false">J454+IF(Source_Data!K$6=Inputs!$B$12,Inputs!$B$7,0)+K449-K452</f>
        <v>-273.5250675</v>
      </c>
      <c r="L454" s="33" t="n">
        <f aca="false">K454+IF(Source_Data!L$6=Inputs!$B$12,Inputs!$B$7,0)+L449-L452</f>
        <v>-300.64432125</v>
      </c>
      <c r="M454" s="33" t="n">
        <f aca="false">L454+IF(Source_Data!M$6=Inputs!$B$12,Inputs!$B$7,0)+M449-M452</f>
        <v>-321.113377083333</v>
      </c>
      <c r="N454" s="33" t="n">
        <f aca="false">M454+IF(Source_Data!N$6=Inputs!$B$12,Inputs!$B$7,0)+N449-N452</f>
        <v>-315.142020416667</v>
      </c>
      <c r="O454" s="33" t="n">
        <f aca="false">N454+IF(Source_Data!O$6=Inputs!$B$12,Inputs!$B$7,0)+O449-O452</f>
        <v>-308.062804375</v>
      </c>
      <c r="P454" s="33" t="n">
        <f aca="false">O454+IF(Source_Data!P$6=Inputs!$B$12,Inputs!$B$7,0)+P449-P452</f>
        <v>-428.015329270833</v>
      </c>
      <c r="Q454" s="33" t="n">
        <f aca="false">P454+IF(Source_Data!Q$6=Inputs!$B$12,Inputs!$B$7,0)+Q449-Q452</f>
        <v>-134.605625104167</v>
      </c>
      <c r="R454" s="33" t="n">
        <f aca="false">Q454+IF(Source_Data!R$6=Inputs!$B$12,Inputs!$B$7,0)+R449-R452</f>
        <v>-201.4720084375</v>
      </c>
      <c r="S454" s="33" t="n">
        <f aca="false">R454+IF(Source_Data!S$6=Inputs!$B$12,Inputs!$B$7,0)+S449-S452</f>
        <v>-220.727541770833</v>
      </c>
      <c r="T454" s="33" t="n">
        <f aca="false">S454+IF(Source_Data!T$6=Inputs!$B$12,Inputs!$B$7,0)+T449-T452</f>
        <v>-178.000125104167</v>
      </c>
      <c r="U454" s="33" t="n">
        <f aca="false">T454+IF(Source_Data!U$6=Inputs!$B$12,Inputs!$B$7,0)+U449-U452</f>
        <v>-161.2734896875</v>
      </c>
      <c r="V454" s="33" t="n">
        <f aca="false">U454+IF(Source_Data!V$6=Inputs!$B$12,Inputs!$B$7,0)+V449-V452</f>
        <v>-144.546854270833</v>
      </c>
      <c r="W454" s="33" t="n">
        <f aca="false">V454+IF(Source_Data!W$6=Inputs!$B$12,Inputs!$B$7,0)+W449-W452</f>
        <v>-131.093151979167</v>
      </c>
      <c r="X454" s="33" t="n">
        <f aca="false">W454+IF(Source_Data!X$6=Inputs!$B$12,Inputs!$B$7,0)+X449-X452</f>
        <v>-101.949845625</v>
      </c>
      <c r="Y454" s="33" t="n">
        <f aca="false">X454+IF(Source_Data!Y$6=Inputs!$B$12,Inputs!$B$7,0)+Y449-Y452</f>
        <v>-64.7371296875</v>
      </c>
      <c r="Z454" s="33" t="n">
        <f aca="false">Y454+IF(Source_Data!Z$6=Inputs!$B$12,Inputs!$B$7,0)+Z449-Z452</f>
        <v>-33.513185</v>
      </c>
      <c r="AA454" s="33" t="n">
        <f aca="false">Z454+IF(Source_Data!AA$6=Inputs!$B$12,Inputs!$B$7,0)+AA449-AA452</f>
        <v>-6.63024031250001</v>
      </c>
      <c r="AB454" s="33" t="n">
        <f aca="false">AA454+IF(Source_Data!AB$6=Inputs!$B$12,Inputs!$B$7,0)+AB449-AB452</f>
        <v>42.752704375</v>
      </c>
      <c r="AC454" s="33" t="n">
        <f aca="false">AB454+IF(Source_Data!AC$6=Inputs!$B$12,Inputs!$B$7,0)+AC449-AC452</f>
        <v>84.8554303125</v>
      </c>
      <c r="AD454" s="33" t="n">
        <f aca="false">AC454+IF(Source_Data!AD$6=Inputs!$B$12,Inputs!$B$7,0)+AD449-AD452</f>
        <v>126.95815625</v>
      </c>
      <c r="AE454" s="33" t="n">
        <f aca="false">AD454+IF(Source_Data!AE$6=Inputs!$B$12,Inputs!$B$7,0)+AE449-AE452</f>
        <v>169.0608821875</v>
      </c>
      <c r="AF454" s="33" t="n">
        <f aca="false">AE454+IF(Source_Data!AF$6=Inputs!$B$12,Inputs!$B$7,0)+AF449-AF452</f>
        <v>97.6173977734375</v>
      </c>
      <c r="AG454" s="33" t="n">
        <f aca="false">AF454+IF(Source_Data!AG$6=Inputs!$B$12,Inputs!$B$7,0)+AG449-AG452</f>
        <v>119.679512851562</v>
      </c>
      <c r="AH454" s="33" t="n">
        <f aca="false">AG454+IF(Source_Data!AH$6=Inputs!$B$12,Inputs!$B$7,0)+AH449-AH452</f>
        <v>138.133171679687</v>
      </c>
      <c r="AI454" s="33" t="n">
        <f aca="false">AH454+IF(Source_Data!AI$6=Inputs!$B$12,Inputs!$B$7,0)+AI449-AI452</f>
        <v>152.245830507812</v>
      </c>
      <c r="AJ454" s="33" t="n">
        <f aca="false">AI454+IF(Source_Data!AJ$6=Inputs!$B$12,Inputs!$B$7,0)+AJ449-AJ452</f>
        <v>166.358489335937</v>
      </c>
      <c r="AK454" s="33" t="n">
        <f aca="false">AJ454+IF(Source_Data!AK$6=Inputs!$B$12,Inputs!$B$7,0)+AK449-AK452</f>
        <v>181.426676875</v>
      </c>
      <c r="AL454" s="33" t="n">
        <f aca="false">AK454+IF(Source_Data!AL$6=Inputs!$B$12,Inputs!$B$7,0)+AL449-AL452</f>
        <v>196.494864414062</v>
      </c>
      <c r="AM454" s="33" t="n">
        <f aca="false">AL454+IF(Source_Data!AM$6=Inputs!$B$12,Inputs!$B$7,0)+AM449-AM452</f>
        <v>213.385480625</v>
      </c>
      <c r="AN454" s="33" t="n">
        <f aca="false">AM454+IF(Source_Data!AN$6=Inputs!$B$12,Inputs!$B$7,0)+AN449-AN452</f>
        <v>234.26320359375</v>
      </c>
      <c r="AO454" s="33" t="n">
        <f aca="false">AN454+IF(Source_Data!AO$6=Inputs!$B$12,Inputs!$B$7,0)+AO449-AO452</f>
        <v>255.6062275</v>
      </c>
      <c r="AP454" s="33" t="n">
        <f aca="false">AO454+IF(Source_Data!AP$6=Inputs!$B$12,Inputs!$B$7,0)+AP449-AP452</f>
        <v>278.511333125</v>
      </c>
      <c r="AQ454" s="33" t="n">
        <f aca="false">AP454+IF(Source_Data!AQ$6=Inputs!$B$12,Inputs!$B$7,0)+AQ449-AQ452</f>
        <v>297.2508875</v>
      </c>
      <c r="AR454" s="33" t="n">
        <f aca="false">AQ454+IF(Source_Data!AR$6=Inputs!$B$12,Inputs!$B$7,0)+AR449-AR452</f>
        <v>306.877055</v>
      </c>
      <c r="AS454" s="33" t="n">
        <f aca="false">AR454+IF(Source_Data!AS$6=Inputs!$B$12,Inputs!$B$7,0)+AS449-AS452</f>
        <v>310.4475275</v>
      </c>
      <c r="AT454" s="33" t="n">
        <f aca="false">AS454+IF(Source_Data!AT$6=Inputs!$B$12,Inputs!$B$7,0)+AT449-AT452</f>
        <v>310.4475275</v>
      </c>
      <c r="AU454" s="33" t="n">
        <f aca="false">AT454+IF(Source_Data!AU$6=Inputs!$B$12,Inputs!$B$7,0)+AU449-AU452</f>
        <v>310.4475275</v>
      </c>
      <c r="AV454" s="33" t="n">
        <f aca="false">AU454+IF(Source_Data!AV$6=Inputs!$B$12,Inputs!$B$7,0)+AV449-AV452</f>
        <v>310.4475275</v>
      </c>
      <c r="AW454" s="33" t="n">
        <f aca="false">AV454+IF(Source_Data!AW$6=Inputs!$B$12,Inputs!$B$7,0)+AW449-AW452</f>
        <v>310.4475275</v>
      </c>
      <c r="AX454" s="33" t="n">
        <f aca="false">AW454+IF(Source_Data!AX$6=Inputs!$B$12,Inputs!$B$7,0)+AX449-AX452</f>
        <v>310.4475275</v>
      </c>
      <c r="AY454" s="33" t="n">
        <f aca="false">AX454+IF(Source_Data!AY$6=Inputs!$B$12,Inputs!$B$7,0)+AY449-AY452</f>
        <v>310.4475275</v>
      </c>
      <c r="AZ454" s="33" t="n">
        <f aca="false">AY454+IF(Source_Data!AZ$6=Inputs!$B$12,Inputs!$B$7,0)+AZ449-AZ452</f>
        <v>310.4475275</v>
      </c>
      <c r="BA454" s="33" t="n">
        <f aca="false">AZ454+IF(Source_Data!BA$6=Inputs!$B$12,Inputs!$B$7,0)+BA449-BA452</f>
        <v>310.4475275</v>
      </c>
      <c r="BB454" s="33" t="n">
        <f aca="false">BA454+IF(Source_Data!BB$6=Inputs!$B$12,Inputs!$B$7,0)+BB449-BB452</f>
        <v>310.4475275</v>
      </c>
      <c r="BC454" s="33" t="n">
        <f aca="false">BB454+IF(Source_Data!BC$6=Inputs!$B$12,Inputs!$B$7,0)+BC449-BC452</f>
        <v>310.4475275</v>
      </c>
      <c r="BD454" s="33" t="n">
        <f aca="false">BC454+IF(Source_Data!BD$6=Inputs!$B$12,Inputs!$B$7,0)+BD449-BD452</f>
        <v>310.4475275</v>
      </c>
      <c r="BE454" s="33" t="n">
        <f aca="false">BD454+IF(Source_Data!BE$6=Inputs!$B$12,Inputs!$B$7,0)+BE449-BE452</f>
        <v>310.4475275</v>
      </c>
      <c r="BF454" s="33" t="n">
        <f aca="false">BE454+IF(Source_Data!BF$6=Inputs!$B$12,Inputs!$B$7,0)+BF449-BF452</f>
        <v>310.4475275</v>
      </c>
      <c r="BG454" s="33" t="n">
        <f aca="false">BF454+IF(Source_Data!BG$6=Inputs!$B$12,Inputs!$B$7,0)+BG449-BG452</f>
        <v>310.4475275</v>
      </c>
      <c r="BH454" s="33" t="n">
        <f aca="false">BG454+IF(Source_Data!BH$6=Inputs!$B$12,Inputs!$B$7,0)+BH449-BH452</f>
        <v>310.4475275</v>
      </c>
      <c r="BI454" s="33" t="n">
        <f aca="false">BH454+IF(Source_Data!BI$6=Inputs!$B$12,Inputs!$B$7,0)+BI449-BI452</f>
        <v>310.4475275</v>
      </c>
      <c r="BJ454" s="33" t="n">
        <f aca="false">BI454+IF(Source_Data!BJ$6=Inputs!$B$12,Inputs!$B$7,0)+BJ449-BJ452</f>
        <v>310.4475275</v>
      </c>
      <c r="BK454" s="33" t="n">
        <f aca="false">BJ454+IF(Source_Data!BK$6=Inputs!$B$12,Inputs!$B$7,0)+BK449-BK452</f>
        <v>310.4475275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-1.13590147826087</v>
      </c>
      <c r="N455" s="31" t="n">
        <f aca="false">IF(N452&gt;0,N449/N452,"")</f>
        <v>1.62309808695652</v>
      </c>
      <c r="O455" s="31" t="n">
        <f aca="false">IF(O452&gt;0,O449/O452,"")</f>
        <v>1.73870080434783</v>
      </c>
      <c r="P455" s="31" t="n">
        <f aca="false">IF(P452&gt;0,P449/P452,"")</f>
        <v>-11.5167852065217</v>
      </c>
      <c r="Q455" s="31" t="n">
        <f aca="false">IF(Q452&gt;0,Q449/Q452,"")</f>
        <v>31.6166647826087</v>
      </c>
      <c r="R455" s="31" t="n">
        <f aca="false">IF(R452&gt;0,R449/R452,"")</f>
        <v>-5.97736173913044</v>
      </c>
      <c r="S455" s="31" t="n">
        <f aca="false">IF(S452&gt;0,S449/S452,"")</f>
        <v>-1.00927304347826</v>
      </c>
      <c r="T455" s="31" t="n">
        <f aca="false">IF(T452&gt;0,T449/T452,"")</f>
        <v>5.45851304347826</v>
      </c>
      <c r="U455" s="31" t="n">
        <f aca="false">IF(U452&gt;0,U449/U452,"")</f>
        <v>2.74538804347826</v>
      </c>
      <c r="V455" s="31" t="n">
        <f aca="false">IF(V452&gt;0,V449/V452,"")</f>
        <v>2.74538804347826</v>
      </c>
      <c r="W455" s="31" t="n">
        <f aca="false">IF(W452&gt;0,W449/W452,"")</f>
        <v>2.40386458695652</v>
      </c>
      <c r="X455" s="31" t="n">
        <f aca="false">IF(X452&gt;0,X449/X452,"")</f>
        <v>4.04104066304348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n">
        <f aca="false">IF(M452&gt;0,(L454+M449+IF(Source_Data!M$6=Inputs!$B$12,Inputs!$B$7,0))/M452,"")</f>
        <v>-32.507482826087</v>
      </c>
      <c r="N456" s="31" t="n">
        <f aca="false">IF(N452&gt;0,(M454+N449+IF(Source_Data!N$6=Inputs!$B$12,Inputs!$B$7,0))/N452,"")</f>
        <v>-31.8843847391304</v>
      </c>
      <c r="O456" s="31" t="n">
        <f aca="false">IF(O452&gt;0,(N454+O449+IF(Source_Data!O$6=Inputs!$B$12,Inputs!$B$7,0))/O452,"")</f>
        <v>-31.1456839347826</v>
      </c>
      <c r="P456" s="31" t="n">
        <f aca="false">IF(P452&gt;0,(O454+P449+IF(Source_Data!P$6=Inputs!$B$12,Inputs!$B$7,0))/P452,"")</f>
        <v>-43.6624691413043</v>
      </c>
      <c r="Q456" s="31" t="n">
        <f aca="false">IF(Q452&gt;0,(P454+Q449+IF(Source_Data!Q$6=Inputs!$B$12,Inputs!$B$7,0))/Q452,"")</f>
        <v>-13.0458043586956</v>
      </c>
      <c r="R456" s="31" t="n">
        <f aca="false">IF(R452&gt;0,(Q454+R449+IF(Source_Data!R$6=Inputs!$B$12,Inputs!$B$7,0))/R452,"")</f>
        <v>-20.0231660978261</v>
      </c>
      <c r="S456" s="31" t="n">
        <f aca="false">IF(S452&gt;0,(R454+S449+IF(Source_Data!S$6=Inputs!$B$12,Inputs!$B$7,0))/S452,"")</f>
        <v>-22.0324391413043</v>
      </c>
      <c r="T456" s="31" t="n">
        <f aca="false">IF(T452&gt;0,(S454+T449+IF(Source_Data!T$6=Inputs!$B$12,Inputs!$B$7,0))/T452,"")</f>
        <v>-17.5739260978261</v>
      </c>
      <c r="U456" s="31" t="n">
        <f aca="false">IF(U452&gt;0,(T454+U449+IF(Source_Data!U$6=Inputs!$B$12,Inputs!$B$7,0))/U452,"")</f>
        <v>-15.8285380543478</v>
      </c>
      <c r="V456" s="31" t="n">
        <f aca="false">IF(V452&gt;0,(U454+V449+IF(Source_Data!V$6=Inputs!$B$12,Inputs!$B$7,0))/V452,"")</f>
        <v>-14.0831500108696</v>
      </c>
      <c r="W456" s="31" t="n">
        <f aca="false">IF(W452&gt;0,(V454+W449+IF(Source_Data!W$6=Inputs!$B$12,Inputs!$B$7,0))/W452,"")</f>
        <v>-12.679285423913</v>
      </c>
      <c r="X456" s="31" t="n">
        <f aca="false">IF(X452&gt;0,(W454+X449+IF(Source_Data!X$6=Inputs!$B$12,Inputs!$B$7,0))/X452,"")</f>
        <v>-9.63824476086957</v>
      </c>
      <c r="Y456" s="31" t="str">
        <f aca="false">IF(Y452&gt;0,(X454+Y449+IF(Source_Data!Y$6=Inputs!$B$12,Inputs!$B$7,0))/Y452,"")</f>
        <v/>
      </c>
      <c r="Z456" s="31" t="str">
        <f aca="false">IF(Z452&gt;0,(Y454+Z449+IF(Source_Data!Z$6=Inputs!$B$12,Inputs!$B$7,0))/Z452,"")</f>
        <v/>
      </c>
      <c r="AA456" s="31" t="str">
        <f aca="false">IF(AA452&gt;0,(Z454+AA449+IF(Source_Data!AA$6=Inputs!$B$12,Inputs!$B$7,0))/AA452,"")</f>
        <v/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41.314631602071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39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-428.015329270833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-11.5167852065217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4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-43.6624691413043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375.4475275</v>
      </c>
      <c r="C5" s="46" t="n">
        <f aca="false">Inputs!$B$46</f>
        <v>375.4475275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215.311392548924</v>
      </c>
      <c r="C6" s="46" t="n">
        <f aca="false">Inputs!$B$47</f>
        <v>215.311392548924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-102.5</v>
      </c>
      <c r="C7" s="46" t="n">
        <f aca="false">Inputs!$B$48</f>
        <v>-102.5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2252.979</v>
      </c>
      <c r="C8" s="46" t="n">
        <f aca="false">Inputs!$B$49</f>
        <v>2252.979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985.6783125</v>
      </c>
      <c r="C9" s="46" t="n">
        <f aca="false">Inputs!$B$50</f>
        <v>985.6783125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891.85316</v>
      </c>
      <c r="C10" s="46" t="n">
        <f aca="false">Inputs!$B$51</f>
        <v>891.85316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215.311392548924</v>
      </c>
      <c r="C12" s="46" t="n">
        <f aca="false">Project_CF!$B$19</f>
        <v>215.311392548924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89.068100358423</v>
      </c>
      <c r="C13" s="46" t="n">
        <f aca="false">Option_A!B5*Inputs!$B$34*(1-Inputs!$B$15)-Inputs!$B$7</f>
        <v>89.068100358423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115</v>
      </c>
      <c r="C14" s="46" t="n">
        <f aca="false">Inputs!$B$9*Inputs!$B$7</f>
        <v>115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112.9574</v>
      </c>
      <c r="C15" s="46" t="n">
        <f aca="false">MAX(Sources_Uses!B8,Sources_Uses!B12)</f>
        <v>112.9574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0.290276628159998</v>
      </c>
      <c r="C19" s="25" t="n">
        <v>0.290276628159999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0.27835276492556</v>
      </c>
      <c r="C20" s="25" t="n">
        <v>0.278352764925566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-52.5</v>
      </c>
      <c r="C22" s="25" t="n">
        <v>-52.5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2026-10-08T07:54:19Z</dcterms:created>
  <dc:creator>Jalour Developments</dc:creator>
  <dc:description/>
  <dc:language>en-US</dc:language>
  <cp:lastModifiedBy/>
  <dcterms:modified xsi:type="dcterms:W3CDTF">2026-10-08T07:54:20Z</dcterms:modified>
  <cp:revision>0</cp:revision>
  <dc:subject>Confidential</dc:subject>
  <dc:title>Financial Annex - Green Square - Ticket 50m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