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<sst xmlns="http://schemas.openxmlformats.org/spreadsheetml/2006/main" count="1147" uniqueCount="400">
  <si>
    <t xml:space="preserve">L'avenir - Financial Annex</t>
  </si>
  <si>
    <t xml:space="preserve">Investor ticket EGP 50 million  |  Strictly private and confidential  |  Projections only, not guarantees</t>
  </si>
  <si>
    <t xml:space="preserve">ALL INFORMATION IN THIS WORKBOOK IS CONFIDENTIAL AND SUBJECT TO THE NON-DISCLOSURE AGREEMENT. Do not copy, forward or disclose it.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</si>
  <si>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</si>
  <si>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</si>
  <si>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</si>
  <si>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</si>
  <si>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</si>
  <si>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</si>
  <si>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</si>
  <si>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L'avenir: key outputs, ticket EGP 50m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</si>
  <si>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</si>
  <si>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</si>
  <si>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</si>
  <si>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</si>
  <si>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</si>
  <si>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</si>
  <si>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</si>
  <si>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</si>
  <si>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</si>
  <si>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</si>
  <si>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</si>
  <si>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</si>
  <si>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</si>
  <si>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</si>
  <si>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</si>
  <si>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</si>
  <si>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</si>
  <si>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</si>
  <si>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</si>
  <si>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</si>
  <si>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</si>
  <si>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</si>
  <si>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</si>
  <si>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</si>
  <si>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</si>
  <si>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</si>
  <si>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</si>
  <si>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</si>
  <si>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</si>
  <si>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</si>
  <si>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</si>
  <si>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</si>
  <si>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</si>
  <si>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</si>
  <si>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</si>
  <si>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</si>
  <si>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</si>
  <si>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</si>
  <si>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</si>
  <si>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</si>
  <si>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</si>
  <si>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</si>
  <si>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</si>
  <si>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</si>
  <si>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</si>
  <si>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</si>
  <si>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</si>
  <si>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</si>
  <si>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</si>
  <si>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</si>
  <si>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</si>
  <si>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</si>
  <si>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</si>
  <si>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</si>
  <si>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</si>
  <si>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</si>
  <si>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</si>
  <si>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</si>
  <si>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</si>
  <si>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</si>
  <si>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</si>
  <si>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</si>
  <si>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</si>
  <si>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</si>
  <si>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</si>
  <si>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</si>
  <si>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</si>
  <si>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</si>
  <si>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</si>
  <si>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</si>
  <si>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</si>
  <si>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L'avenir, ticket EGP 50m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</si>
  <si>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</si>
  <si>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</si>
  <si>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</si>
  <si>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</si>
  <si>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</si>
  <si>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</si>
  <si>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</si>
  <si>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</si>
  <si>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</si>
  <si>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</si>
  <si>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</si>
  <si>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</si>
  <si>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</si>
  <si>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</si>
  <si>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</si>
  <si>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</si>
  <si>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</si>
  <si>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</si>
  <si>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</si>
  <si>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</si>
  <si>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11)</t>
  </si>
  <si>
    <t xml:space="preserve">Project handover month</t>
  </si>
  <si>
    <t xml:space="preserve">Source model, L'avenir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</si>
  <si>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</si>
  <si>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</si>
  <si>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</si>
  <si>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</si>
  <si>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</si>
  <si>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</si>
  <si>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</si>
  <si>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</si>
  <si>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</si>
  <si>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</si>
  <si>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</si>
  <si>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</si>
  <si>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DP!D3</t>
  </si>
  <si>
    <t xml:space="preserve">Down payment to landlord (10% of guarantee)</t>
  </si>
  <si>
    <t xml:space="preserve">Offers DP!D9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</si>
  <si>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</si>
  <si>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</si>
  <si>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</si>
  <si>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</si>
  <si>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</si>
  <si>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Detail!C49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</si>
  <si>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</si>
  <si>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</si>
  <si>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</si>
  <si>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</si>
  <si>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</si>
  <si>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</si>
  <si>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</si>
  <si>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</si>
  <si>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</si>
  <si>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</si>
  <si>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</si>
  <si>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</si>
  <si>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</si>
  <si>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15 and 18),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</si>
  <si>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</si>
  <si>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</si>
  <si>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</si>
  <si>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</si>
  <si>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</si>
  <si>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</si>
  <si>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</si>
  <si>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</si>
  <si>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</si>
  <si>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</si>
  <si>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</si>
  <si>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</si>
  <si>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</si>
  <si>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</si>
  <si>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</si>
  <si>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</si>
  <si>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</si>
  <si>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</si>
  <si>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DP'!C41</t>
  </si>
  <si>
    <t xml:space="preserve">NPV of net cash flow with down payment</t>
  </si>
  <si>
    <t xml:space="preserve">Summary!D10</t>
  </si>
  <si>
    <t xml:space="preserve">Peak cumulative cash shortage</t>
  </si>
  <si>
    <t xml:space="preserve">L'avenir Summary!E7</t>
  </si>
  <si>
    <t xml:space="preserve">Total collections (80% of units sold)</t>
  </si>
  <si>
    <t xml:space="preserve">'Net Cash Flow -With DP'!C5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</si>
  <si>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</si>
  <si>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</si>
  <si>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</si>
  <si>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DP'!C29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</si>
  <si>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</si>
  <si>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</si>
  <si>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</si>
  <si>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</si>
  <si>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</si>
  <si>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</si>
  <si>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</si>
  <si>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L'avenir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</si>
  <si>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</si>
  <si>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</si>
  <si>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</si>
  <si>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</si>
  <si>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</si>
  <si>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</si>
  <si>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</si>
  <si>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</si>
  <si>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</si>
  <si>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5 less delivery component</t>
  </si>
  <si>
    <t xml:space="preserve">Delivery payments (within collections)</t>
  </si>
  <si>
    <t xml:space="preserve">L'avenir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</si>
  <si>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</si>
  <si>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</si>
  <si>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</si>
  <si>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</si>
  <si>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</si>
  <si>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29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</si>
  <si>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</si>
  <si>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</si>
  <si>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</si>
  <si>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39</t>
  </si>
  <si>
    <t xml:space="preserve">Launch tranches: collections, retail and offices</t>
  </si>
  <si>
    <t xml:space="preserve">L'avenir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</si>
  <si>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</si>
  <si>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</si>
  <si>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</si>
  <si>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</si>
  <si>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</si>
  <si>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33 timing</t>
  </si>
  <si>
    <t xml:space="preserve">L'avenir: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</si>
  <si>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</si>
  <si>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</si>
  <si>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</si>
  <si>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</si>
  <si>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</si>
  <si>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</si>
  <si>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</si>
  <si>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</si>
  <si>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</si>
  <si>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</si>
  <si>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</si>
  <si>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</si>
  <si>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</si>
  <si>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L'avenir: sources and uses of funds at the modelled peak, ticket EGP 50m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</si>
  <si>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</si>
  <si>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</si>
  <si>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</si>
  <si>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</si>
  <si>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</si>
  <si>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</si>
  <si>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</si>
  <si>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</si>
  <si>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</si>
  <si>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</si>
  <si>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</si>
  <si>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</si>
  <si>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</si>
  <si>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</si>
  <si>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</si>
  <si>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</si>
  <si>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</si>
  <si>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</si>
  <si>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</si>
  <si>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</si>
  <si>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</si>
  <si>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L'avenir: Option A (units), ticket EGP 50m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</si>
  <si>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</si>
  <si>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</si>
  <si>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</si>
  <si>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</si>
  <si>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</si>
  <si>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</si>
  <si>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</si>
  <si>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</si>
  <si>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</si>
  <si>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</si>
  <si>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</si>
  <si>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</si>
  <si>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</si>
  <si>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</si>
  <si>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</si>
  <si>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</si>
  <si>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</si>
  <si>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</si>
  <si>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</si>
  <si>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</si>
  <si>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</si>
  <si>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</si>
  <si>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</si>
  <si>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</si>
  <si>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</si>
  <si>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</si>
  <si>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</si>
  <si>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</si>
  <si>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</si>
  <si>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</si>
  <si>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</si>
  <si>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</si>
  <si>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</si>
  <si>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</si>
  <si>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</si>
  <si>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</si>
  <si>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</si>
  <si>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</si>
  <si>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</si>
  <si>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</si>
  <si>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</si>
  <si>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</si>
  <si>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</si>
  <si>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</si>
  <si>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L'avenir: Option B (cash), ticket EGP 50m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</si>
  <si>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</si>
  <si>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</si>
  <si>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</si>
  <si>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</si>
  <si>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</si>
  <si>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</si>
  <si>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</si>
  <si>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</si>
  <si>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</si>
  <si>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</si>
  <si>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</si>
  <si>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</si>
  <si>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</si>
  <si>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</si>
  <si>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</si>
  <si>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</si>
  <si>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</si>
  <si>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</si>
  <si>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</si>
  <si>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</si>
  <si>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</si>
  <si>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</si>
  <si>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</si>
  <si>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</si>
  <si>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</si>
  <si>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</si>
  <si>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</si>
  <si>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</si>
  <si>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</si>
  <si>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</si>
  <si>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</si>
  <si>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</si>
  <si>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</si>
  <si>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</si>
  <si>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</si>
  <si>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</si>
  <si>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</si>
  <si>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</si>
  <si>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</si>
  <si>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L'avenir: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</si>
  <si>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</si>
  <si>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</si>
  <si>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</si>
  <si>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</si>
  <si>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</si>
  <si>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</si>
  <si>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</si>
  <si>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</si>
  <si>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</si>
  <si>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</si>
  <si>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</si>
  <si>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</si>
  <si>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</si>
  <si>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</si>
  <si>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</si>
  <si>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</si>
  <si>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</si>
  <si>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</si>
  <si>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</si>
  <si>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</si>
  <si>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</si>
  <si>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</si>
  <si>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</si>
  <si>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</si>
  <si>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</si>
  <si>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</si>
  <si>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L'avenir: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</si>
  <si>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</si>
  <si>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</si>
  <si>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</si>
  <si>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</si>
  <si>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</si>
  <si>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</si>
  <si>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</si>
  <si>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</si>
  <si>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</si>
  <si>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</si>
  <si>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</si>
  <si>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</si>
  <si>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</si>
  <si>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</si>
  <si>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L'avenir: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</si>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</sst>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  <c r="B11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10</v>
      </c>
    </row>
    <row r="2" customFormat="false" ht="15" hidden="false" customHeight="false" outlineLevel="0" collapsed="false">
      <c r="A2" s="6" t="s">
        <v>11</v>
      </c>
    </row>
    <row r="4" customFormat="false" ht="15" hidden="false" customHeight="false" outlineLevel="0" collapsed="false">
      <c r="A4" s="7" t="s">
        <v>12</v>
      </c>
      <c r="B4" s="7" t="s">
        <v>13</v>
      </c>
      <c r="C4" s="7" t="s">
        <v>14</v>
      </c>
      <c r="D4" s="7" t="s">
        <v>15</v>
      </c>
    </row>
    <row r="5" customFormat="false" ht="15" hidden="false" customHeight="false" outlineLevel="0" collapsed="false">
      <c r="A5" s="8" t="s">
        <v>16</v>
      </c>
    </row>
    <row r="6" customFormat="false" ht="15" hidden="false" customHeight="false" outlineLevel="0" collapsed="false">
      <c r="A6" s="3" t="s">
        <v>17</v>
      </c>
      <c r="B6" s="9" t="n">
        <f aca="false">Project_CF!$B$18</f>
        <v>595.292929375</v>
      </c>
      <c r="C6" s="10" t="n">
        <f aca="false">B6/Inputs!$B$52</f>
        <v>12.4019360286458</v>
      </c>
      <c r="D6" s="6" t="s">
        <v>18</v>
      </c>
    </row>
    <row r="7" customFormat="false" ht="15" hidden="false" customHeight="false" outlineLevel="0" collapsed="false">
      <c r="A7" s="3" t="s">
        <v>19</v>
      </c>
      <c r="B7" s="9" t="n">
        <f aca="false">Project_CF!$B$19</f>
        <v>307.532371091529</v>
      </c>
      <c r="C7" s="10" t="n">
        <f aca="false">B7/Inputs!$B$52</f>
        <v>6.40692439774019</v>
      </c>
      <c r="D7" s="6" t="s">
        <v>18</v>
      </c>
    </row>
    <row r="8" customFormat="false" ht="15" hidden="false" customHeight="false" outlineLevel="0" collapsed="false">
      <c r="A8" s="3" t="s">
        <v>20</v>
      </c>
      <c r="B8" s="9" t="n">
        <f aca="false">-Project_CF!$B$20</f>
        <v>102.0180625</v>
      </c>
      <c r="C8" s="10" t="n">
        <f aca="false">B8/Inputs!$B$52</f>
        <v>2.12537630208333</v>
      </c>
      <c r="D8" s="6" t="s">
        <v>18</v>
      </c>
    </row>
    <row r="9" customFormat="false" ht="15" hidden="false" customHeight="false" outlineLevel="0" collapsed="false">
      <c r="A9" s="3" t="s">
        <v>21</v>
      </c>
      <c r="B9" s="11" t="n">
        <f aca="false">Project_CF!$B$21</f>
        <v>30</v>
      </c>
      <c r="D9" s="6" t="s">
        <v>18</v>
      </c>
    </row>
    <row r="10" customFormat="false" ht="15" hidden="false" customHeight="false" outlineLevel="0" collapsed="false">
      <c r="A10" s="3" t="s">
        <v>22</v>
      </c>
      <c r="B10" s="9" t="n">
        <f aca="false">Project_CF!$C$8</f>
        <v>2673.73575</v>
      </c>
      <c r="C10" s="10" t="n">
        <f aca="false">B10/Inputs!$B$52</f>
        <v>55.702828125</v>
      </c>
      <c r="D10" s="6" t="s">
        <v>18</v>
      </c>
    </row>
    <row r="11" customFormat="false" ht="15" hidden="false" customHeight="false" outlineLevel="0" collapsed="false">
      <c r="A11" s="3" t="s">
        <v>23</v>
      </c>
      <c r="B11" s="9" t="n">
        <f aca="false">Project_CF!$C$9</f>
        <v>1169.759390625</v>
      </c>
      <c r="D11" s="6" t="s">
        <v>18</v>
      </c>
    </row>
    <row r="12" customFormat="false" ht="15" hidden="false" customHeight="false" outlineLevel="0" collapsed="false">
      <c r="A12" s="3" t="s">
        <v>24</v>
      </c>
      <c r="B12" s="9" t="n">
        <f aca="false">Project_CF!$C$10+Project_CF!$C$11+Project_CF!$C$12</f>
        <v>908.68343</v>
      </c>
      <c r="D12" s="6" t="s">
        <v>18</v>
      </c>
    </row>
    <row r="13" customFormat="false" ht="15" hidden="false" customHeight="false" outlineLevel="0" collapsed="false">
      <c r="A13" s="8" t="s">
        <v>25</v>
      </c>
    </row>
    <row r="14" customFormat="false" ht="15" hidden="false" customHeight="false" outlineLevel="0" collapsed="false">
      <c r="A14" s="3" t="s">
        <v>26</v>
      </c>
      <c r="B14" s="9" t="n">
        <f aca="false">Sources_Uses!B8</f>
        <v>112.4754625</v>
      </c>
      <c r="C14" s="10" t="n">
        <f aca="false">B14/Inputs!$B$52</f>
        <v>2.34323880208333</v>
      </c>
      <c r="D14" s="6" t="s">
        <v>27</v>
      </c>
    </row>
    <row r="15" customFormat="false" ht="15" hidden="false" customHeight="false" outlineLevel="0" collapsed="false">
      <c r="A15" s="3" t="s">
        <v>28</v>
      </c>
      <c r="B15" s="9" t="n">
        <f aca="false">Sources_Uses!B13</f>
        <v>62.4754625</v>
      </c>
      <c r="D15" s="6" t="s">
        <v>27</v>
      </c>
    </row>
    <row r="16" customFormat="false" ht="15" hidden="false" customHeight="false" outlineLevel="0" collapsed="false">
      <c r="A16" s="3" t="s">
        <v>29</v>
      </c>
      <c r="B16" s="9" t="n">
        <f aca="false">Sources_Uses!B15</f>
        <v>0</v>
      </c>
      <c r="D16" s="6" t="s">
        <v>27</v>
      </c>
    </row>
    <row r="17" customFormat="false" ht="15" hidden="false" customHeight="false" outlineLevel="0" collapsed="false">
      <c r="A17" s="3" t="s">
        <v>30</v>
      </c>
      <c r="B17" s="12" t="n">
        <f aca="false">Sources_Uses!B16</f>
        <v>0.490109288244912</v>
      </c>
      <c r="D17" s="6" t="s">
        <v>27</v>
      </c>
    </row>
    <row r="18" customFormat="false" ht="15" hidden="false" customHeight="false" outlineLevel="0" collapsed="false">
      <c r="A18" s="3" t="s">
        <v>31</v>
      </c>
      <c r="B18" s="9" t="n">
        <f aca="false">Sources_Uses!B18</f>
        <v>0</v>
      </c>
      <c r="D18" s="6" t="s">
        <v>27</v>
      </c>
    </row>
    <row r="19" customFormat="false" ht="15" hidden="false" customHeight="false" outlineLevel="0" collapsed="false">
      <c r="A19" s="8" t="s">
        <v>32</v>
      </c>
    </row>
    <row r="20" customFormat="false" ht="15" hidden="false" customHeight="false" outlineLevel="0" collapsed="false">
      <c r="A20" s="3" t="s">
        <v>33</v>
      </c>
      <c r="B20" s="9" t="n">
        <f aca="false">Option_A!B5</f>
        <v>100</v>
      </c>
      <c r="C20" s="10" t="n">
        <f aca="false">B20/Inputs!$B$52</f>
        <v>2.08333333333333</v>
      </c>
      <c r="D20" s="6" t="s">
        <v>34</v>
      </c>
    </row>
    <row r="21" customFormat="false" ht="15" hidden="false" customHeight="false" outlineLevel="0" collapsed="false">
      <c r="A21" s="3" t="s">
        <v>35</v>
      </c>
      <c r="B21" s="12" t="n">
        <f aca="false">Option_A!B6</f>
        <v>0.13800222459586</v>
      </c>
      <c r="D21" s="6" t="s">
        <v>34</v>
      </c>
    </row>
    <row r="22" customFormat="false" ht="15" hidden="false" customHeight="false" outlineLevel="0" collapsed="false">
      <c r="A22" s="3" t="s">
        <v>36</v>
      </c>
      <c r="B22" s="9" t="n">
        <f aca="false">Option_A!B11</f>
        <v>148.148148148148</v>
      </c>
      <c r="D22" s="6" t="s">
        <v>34</v>
      </c>
    </row>
    <row r="23" customFormat="false" ht="15" hidden="false" customHeight="false" outlineLevel="0" collapsed="false">
      <c r="A23" s="3" t="s">
        <v>37</v>
      </c>
      <c r="B23" s="12" t="n">
        <f aca="false">Option_A!B26</f>
        <v>0.292473250549915</v>
      </c>
      <c r="D23" s="6" t="s">
        <v>34</v>
      </c>
    </row>
    <row r="24" customFormat="false" ht="15" hidden="false" customHeight="false" outlineLevel="0" collapsed="false">
      <c r="A24" s="3" t="s">
        <v>38</v>
      </c>
      <c r="B24" s="13" t="n">
        <f aca="false">Option_A!B27</f>
        <v>2.87407407407407</v>
      </c>
      <c r="D24" s="6" t="s">
        <v>34</v>
      </c>
    </row>
    <row r="25" customFormat="false" ht="15" hidden="false" customHeight="false" outlineLevel="0" collapsed="false">
      <c r="A25" s="3" t="s">
        <v>39</v>
      </c>
      <c r="B25" s="11" t="n">
        <f aca="false">Option_A!B28</f>
        <v>60</v>
      </c>
      <c r="D25" s="6" t="s">
        <v>34</v>
      </c>
    </row>
    <row r="26" customFormat="false" ht="15" hidden="false" customHeight="false" outlineLevel="0" collapsed="false">
      <c r="A26" s="3" t="s">
        <v>40</v>
      </c>
      <c r="B26" s="12" t="n">
        <f aca="false">Scenarios!$B$66</f>
        <v>0.204061973864954</v>
      </c>
      <c r="D26" s="6" t="s">
        <v>41</v>
      </c>
    </row>
    <row r="27" customFormat="false" ht="15" hidden="false" customHeight="false" outlineLevel="0" collapsed="false">
      <c r="A27" s="3" t="s">
        <v>42</v>
      </c>
      <c r="B27" s="13" t="n">
        <f aca="false">Scenarios!$B$67</f>
        <v>2.58666666666667</v>
      </c>
      <c r="D27" s="6" t="s">
        <v>41</v>
      </c>
    </row>
    <row r="28" customFormat="false" ht="15" hidden="false" customHeight="false" outlineLevel="0" collapsed="false">
      <c r="A28" s="3" t="s">
        <v>43</v>
      </c>
      <c r="B28" s="12" t="n">
        <f aca="false">Scenarios!$B$102</f>
        <v>0.32283998534566</v>
      </c>
      <c r="D28" s="6" t="s">
        <v>41</v>
      </c>
    </row>
    <row r="29" customFormat="false" ht="15" hidden="false" customHeight="false" outlineLevel="0" collapsed="false">
      <c r="A29" s="3" t="s">
        <v>44</v>
      </c>
      <c r="B29" s="13" t="n">
        <f aca="false">Scenarios!$B$103</f>
        <v>3.16148148148148</v>
      </c>
      <c r="D29" s="6" t="s">
        <v>41</v>
      </c>
    </row>
    <row r="30" customFormat="false" ht="15" hidden="false" customHeight="false" outlineLevel="0" collapsed="false">
      <c r="A30" s="3" t="s">
        <v>45</v>
      </c>
      <c r="B30" s="12" t="n">
        <f aca="false">Option_A!B29</f>
        <v>0.225573897725612</v>
      </c>
      <c r="D30" s="6" t="s">
        <v>34</v>
      </c>
    </row>
    <row r="31" customFormat="false" ht="15" hidden="false" customHeight="false" outlineLevel="0" collapsed="false">
      <c r="A31" s="3" t="s">
        <v>46</v>
      </c>
      <c r="B31" s="9" t="n">
        <f aca="false">Option_A!B30</f>
        <v>-10.4012553376583</v>
      </c>
      <c r="D31" s="6" t="s">
        <v>34</v>
      </c>
    </row>
    <row r="32" customFormat="false" ht="15" hidden="false" customHeight="false" outlineLevel="0" collapsed="false">
      <c r="A32" s="3" t="s">
        <v>47</v>
      </c>
      <c r="B32" s="9" t="n">
        <f aca="false">Option_A!B31</f>
        <v>-46</v>
      </c>
      <c r="D32" s="6" t="s">
        <v>34</v>
      </c>
    </row>
    <row r="33" customFormat="false" ht="15" hidden="false" customHeight="false" outlineLevel="0" collapsed="false">
      <c r="A33" s="8" t="s">
        <v>48</v>
      </c>
    </row>
    <row r="34" customFormat="false" ht="15" hidden="false" customHeight="false" outlineLevel="0" collapsed="false">
      <c r="A34" s="3" t="s">
        <v>37</v>
      </c>
      <c r="B34" s="12" t="n">
        <f aca="false">Option_B!B34</f>
        <v>0.265463994839995</v>
      </c>
      <c r="D34" s="6" t="s">
        <v>49</v>
      </c>
    </row>
    <row r="35" customFormat="false" ht="15" hidden="false" customHeight="false" outlineLevel="0" collapsed="false">
      <c r="A35" s="3" t="s">
        <v>50</v>
      </c>
      <c r="B35" s="13" t="n">
        <f aca="false">Option_B!B33</f>
        <v>2.3</v>
      </c>
      <c r="D35" s="6" t="s">
        <v>49</v>
      </c>
    </row>
    <row r="36" customFormat="false" ht="15" hidden="false" customHeight="false" outlineLevel="0" collapsed="false">
      <c r="A36" s="3" t="s">
        <v>39</v>
      </c>
      <c r="B36" s="11" t="n">
        <f aca="false">Option_B!B46</f>
        <v>54</v>
      </c>
      <c r="D36" s="6" t="s">
        <v>49</v>
      </c>
    </row>
    <row r="37" customFormat="false" ht="15" hidden="false" customHeight="false" outlineLevel="0" collapsed="false">
      <c r="A37" s="3" t="s">
        <v>45</v>
      </c>
      <c r="B37" s="12" t="n">
        <f aca="false">Option_B!B35</f>
        <v>0.265463994839995</v>
      </c>
      <c r="D37" s="6" t="s">
        <v>49</v>
      </c>
    </row>
    <row r="38" customFormat="false" ht="15" hidden="false" customHeight="false" outlineLevel="0" collapsed="false">
      <c r="A38" s="3" t="s">
        <v>46</v>
      </c>
      <c r="B38" s="9" t="n">
        <f aca="false">Option_B!B36</f>
        <v>-19.2776425454926</v>
      </c>
      <c r="D38" s="6" t="s">
        <v>49</v>
      </c>
    </row>
    <row r="39" customFormat="false" ht="15" hidden="false" customHeight="false" outlineLevel="0" collapsed="false">
      <c r="A39" s="3" t="s">
        <v>51</v>
      </c>
      <c r="B39" s="14" t="n">
        <f aca="false">Option_B!B37</f>
        <v>-13.4852585217391</v>
      </c>
      <c r="D39" s="6" t="s">
        <v>49</v>
      </c>
    </row>
    <row r="40" customFormat="false" ht="15" hidden="false" customHeight="false" outlineLevel="0" collapsed="false">
      <c r="A40" s="3" t="s">
        <v>52</v>
      </c>
      <c r="B40" s="11" t="n">
        <f aca="false">Option_B!B38</f>
        <v>3</v>
      </c>
      <c r="D40" s="6" t="s">
        <v>49</v>
      </c>
    </row>
    <row r="41" customFormat="false" ht="15" hidden="false" customHeight="false" outlineLevel="0" collapsed="false">
      <c r="A41" s="3" t="s">
        <v>53</v>
      </c>
      <c r="B41" s="11" t="n">
        <f aca="false">Option_B!B39</f>
        <v>12</v>
      </c>
      <c r="D41" s="6" t="s">
        <v>49</v>
      </c>
    </row>
    <row r="42" customFormat="false" ht="15" hidden="false" customHeight="false" outlineLevel="0" collapsed="false">
      <c r="A42" s="3" t="s">
        <v>54</v>
      </c>
      <c r="B42" s="14" t="n">
        <f aca="false">Option_B!B40</f>
        <v>1.784595</v>
      </c>
      <c r="D42" s="6" t="s">
        <v>49</v>
      </c>
    </row>
    <row r="43" customFormat="false" ht="15" hidden="false" customHeight="false" outlineLevel="0" collapsed="false">
      <c r="A43" s="3" t="s">
        <v>55</v>
      </c>
      <c r="B43" s="11" t="n">
        <f aca="false">Option_B!B41</f>
        <v>0</v>
      </c>
      <c r="D43" s="6" t="s">
        <v>49</v>
      </c>
    </row>
    <row r="44" customFormat="false" ht="15" hidden="false" customHeight="false" outlineLevel="0" collapsed="false">
      <c r="A44" s="3" t="s">
        <v>56</v>
      </c>
      <c r="B44" s="9" t="n">
        <f aca="false">Option_B!B42</f>
        <v>-52.0180625</v>
      </c>
      <c r="D44" s="6" t="s">
        <v>49</v>
      </c>
    </row>
    <row r="45" customFormat="false" ht="15" hidden="false" customHeight="false" outlineLevel="0" collapsed="false">
      <c r="A45" s="3" t="s">
        <v>57</v>
      </c>
      <c r="B45" s="12" t="n">
        <f aca="false">Option_B!C34</f>
        <v>0.286576617236228</v>
      </c>
      <c r="D45" s="6" t="s">
        <v>49</v>
      </c>
    </row>
    <row r="46" customFormat="false" ht="15" hidden="false" customHeight="false" outlineLevel="0" collapsed="false">
      <c r="A46" s="3" t="s">
        <v>58</v>
      </c>
      <c r="B46" s="12" t="n">
        <f aca="false">Option_B!D34</f>
        <v>0.273781615486059</v>
      </c>
      <c r="D46" s="6" t="s">
        <v>49</v>
      </c>
    </row>
    <row r="47" customFormat="false" ht="15" hidden="false" customHeight="false" outlineLevel="0" collapsed="false">
      <c r="A47" s="8" t="s">
        <v>59</v>
      </c>
    </row>
    <row r="48" customFormat="false" ht="15" hidden="false" customHeight="false" outlineLevel="0" collapsed="false">
      <c r="A48" s="3" t="s">
        <v>60</v>
      </c>
      <c r="B48" s="15" t="n">
        <f aca="false">-Scenarios!$B$28</f>
        <v>102.0180625</v>
      </c>
      <c r="C48" s="15" t="n">
        <f aca="false">Scenarios!$B$27</f>
        <v>307.532371091529</v>
      </c>
      <c r="D48" s="15" t="n">
        <f aca="false">Scenarios!$B$33</f>
        <v>-52.0180625</v>
      </c>
    </row>
    <row r="49" customFormat="false" ht="15" hidden="false" customHeight="false" outlineLevel="0" collapsed="false">
      <c r="A49" s="3" t="s">
        <v>61</v>
      </c>
      <c r="B49" s="15" t="n">
        <f aca="false">-Scenarios!$B$64</f>
        <v>848.604283875</v>
      </c>
      <c r="C49" s="15" t="n">
        <f aca="false">Scenarios!$B$63</f>
        <v>39.8977448934632</v>
      </c>
      <c r="D49" s="15" t="n">
        <f aca="false">Scenarios!$B$69</f>
        <v>-856.104283875</v>
      </c>
    </row>
    <row r="50" customFormat="false" ht="15" hidden="false" customHeight="false" outlineLevel="0" collapsed="false">
      <c r="A50" s="3" t="s">
        <v>62</v>
      </c>
      <c r="B50" s="15" t="n">
        <f aca="false">-Scenarios!$B$100</f>
        <v>87.572785</v>
      </c>
      <c r="C50" s="15" t="n">
        <f aca="false">Scenarios!$B$99</f>
        <v>411.548156086808</v>
      </c>
      <c r="D50" s="15" t="n">
        <f aca="false">Scenarios!$B$105</f>
        <v>-37.572785</v>
      </c>
    </row>
    <row r="51" customFormat="false" ht="15" hidden="false" customHeight="false" outlineLevel="0" collapsed="false">
      <c r="A51" s="3" t="s">
        <v>63</v>
      </c>
      <c r="B51" s="15" t="n">
        <f aca="false">-Scenarios!$B$136</f>
        <v>116.9499475</v>
      </c>
      <c r="C51" s="15" t="n">
        <f aca="false">Scenarios!$B$135</f>
        <v>257.925437188775</v>
      </c>
      <c r="D51" s="15" t="n">
        <f aca="false">Scenarios!$B$141</f>
        <v>-66.9499475</v>
      </c>
    </row>
    <row r="52" customFormat="false" ht="15" hidden="false" customHeight="false" outlineLevel="0" collapsed="false">
      <c r="A52" s="3" t="s">
        <v>64</v>
      </c>
      <c r="B52" s="15" t="n">
        <f aca="false">-Scenarios!$B$172</f>
        <v>381.30656875</v>
      </c>
      <c r="C52" s="15" t="n">
        <f aca="false">Scenarios!$B$171</f>
        <v>209.278659469093</v>
      </c>
      <c r="D52" s="15" t="n">
        <f aca="false">Scenarios!$B$177</f>
        <v>-369.639902083333</v>
      </c>
    </row>
    <row r="53" customFormat="false" ht="15" hidden="false" customHeight="false" outlineLevel="0" collapsed="false">
      <c r="A53" s="3" t="s">
        <v>65</v>
      </c>
      <c r="B53" s="15" t="n">
        <f aca="false">-Scenarios!$B$208</f>
        <v>244.30733625</v>
      </c>
      <c r="C53" s="15" t="n">
        <f aca="false">Scenarios!$B$207</f>
        <v>274.539179907696</v>
      </c>
      <c r="D53" s="15" t="n">
        <f aca="false">Scenarios!$B$213</f>
        <v>-242.224002916667</v>
      </c>
    </row>
    <row r="54" customFormat="false" ht="15" hidden="false" customHeight="false" outlineLevel="0" collapsed="false">
      <c r="A54" s="3" t="s">
        <v>66</v>
      </c>
      <c r="B54" s="15" t="n">
        <f aca="false">-Scenarios!$B$244</f>
        <v>848.604283875</v>
      </c>
      <c r="C54" s="15" t="n">
        <f aca="false">Scenarios!$B$243</f>
        <v>13.8504886957</v>
      </c>
      <c r="D54" s="15" t="n">
        <f aca="false">Scenarios!$B$249</f>
        <v>-856.104283875</v>
      </c>
    </row>
    <row r="55" customFormat="false" ht="15" hidden="false" customHeight="false" outlineLevel="0" collapsed="false">
      <c r="A55" s="6" t="s">
        <v>67</v>
      </c>
    </row>
    <row r="56" customFormat="false" ht="15" hidden="false" customHeight="false" outlineLevel="0" collapsed="false">
      <c r="A56" s="8" t="s">
        <v>68</v>
      </c>
    </row>
    <row r="57" customFormat="false" ht="15" hidden="false" customHeight="false" outlineLevel="0" collapsed="false">
      <c r="A57" s="3" t="s">
        <v>69</v>
      </c>
      <c r="B57" s="15" t="n">
        <f aca="false">-Sensitivity!$B$28</f>
        <v>174.769558</v>
      </c>
      <c r="C57" s="15" t="n">
        <f aca="false">Sensitivity!$B$27</f>
        <v>99.5008011009726</v>
      </c>
      <c r="D57" s="16" t="n">
        <f aca="false">Sensitivity!$B$30</f>
        <v>0.22412512252093</v>
      </c>
    </row>
    <row r="58" customFormat="false" ht="15" hidden="false" customHeight="false" outlineLevel="0" collapsed="false">
      <c r="A58" s="3" t="s">
        <v>70</v>
      </c>
      <c r="B58" s="15" t="n">
        <f aca="false">-Sensitivity!$B$64</f>
        <v>137.85575275</v>
      </c>
      <c r="C58" s="15" t="n">
        <f aca="false">Sensitivity!$B$63</f>
        <v>203.516586096251</v>
      </c>
      <c r="D58" s="16" t="n">
        <f aca="false">Sensitivity!$B$66</f>
        <v>0.259729938867581</v>
      </c>
    </row>
    <row r="59" customFormat="false" ht="15" hidden="false" customHeight="false" outlineLevel="0" collapsed="false">
      <c r="A59" s="3" t="s">
        <v>71</v>
      </c>
      <c r="B59" s="15" t="n">
        <f aca="false">-Sensitivity!$B$100</f>
        <v>87.572785</v>
      </c>
      <c r="C59" s="15" t="n">
        <f aca="false">Sensitivity!$B$99</f>
        <v>411.548156086808</v>
      </c>
      <c r="D59" s="16" t="n">
        <f aca="false">Sensitivity!$B$102</f>
        <v>0.32283998534566</v>
      </c>
    </row>
    <row r="60" customFormat="false" ht="15" hidden="false" customHeight="false" outlineLevel="0" collapsed="false">
      <c r="A60" s="3" t="s">
        <v>72</v>
      </c>
      <c r="B60" s="15" t="n">
        <f aca="false">-Sensitivity!$B$136</f>
        <v>85.76122</v>
      </c>
      <c r="C60" s="15" t="n">
        <f aca="false">Sensitivity!$B$135</f>
        <v>515.563941082086</v>
      </c>
      <c r="D60" s="16" t="n">
        <f aca="false">Sensitivity!$B$138</f>
        <v>0.351197278973156</v>
      </c>
    </row>
    <row r="61" customFormat="false" ht="15" hidden="false" customHeight="false" outlineLevel="0" collapsed="false">
      <c r="A61" s="3" t="s">
        <v>73</v>
      </c>
      <c r="B61" s="15" t="n">
        <f aca="false">-Sensitivity!$B$172</f>
        <v>366.21764875</v>
      </c>
      <c r="C61" s="15" t="n">
        <f aca="false">Sensitivity!$B$171</f>
        <v>213.656483247934</v>
      </c>
      <c r="D61" s="16" t="n">
        <f aca="false">Sensitivity!$B$174</f>
        <v>0.256974504424673</v>
      </c>
    </row>
    <row r="62" customFormat="false" ht="15" hidden="false" customHeight="false" outlineLevel="0" collapsed="false">
      <c r="A62" s="3" t="s">
        <v>74</v>
      </c>
      <c r="B62" s="15" t="n">
        <f aca="false">-Sensitivity!$B$208</f>
        <v>779.36764875</v>
      </c>
      <c r="C62" s="15" t="n">
        <f aca="false">Sensitivity!$B$207</f>
        <v>125.733658643987</v>
      </c>
      <c r="D62" s="16" t="n">
        <f aca="false">Sensitivity!$B$210</f>
        <v>0.229147128391764</v>
      </c>
    </row>
    <row r="63" customFormat="false" ht="15" hidden="false" customHeight="false" outlineLevel="0" collapsed="false">
      <c r="A63" s="3" t="s">
        <v>75</v>
      </c>
      <c r="B63" s="15" t="n">
        <f aca="false">-Sensitivity!$B$244</f>
        <v>1004.1899475</v>
      </c>
      <c r="C63" s="15" t="n">
        <f aca="false">Sensitivity!$B$243</f>
        <v>43.3863886057456</v>
      </c>
      <c r="D63" s="16" t="n">
        <f aca="false">Sensitivity!$B$246</f>
        <v>0.206749787860622</v>
      </c>
    </row>
    <row r="64" customFormat="false" ht="15" hidden="false" customHeight="false" outlineLevel="0" collapsed="false">
      <c r="A64" s="3" t="s">
        <v>76</v>
      </c>
      <c r="B64" s="15" t="n">
        <f aca="false">-Sensitivity!$B$280</f>
        <v>1179.0320625</v>
      </c>
      <c r="C64" s="15" t="n">
        <f aca="false">Sensitivity!$B$279</f>
        <v>-33.7388961345581</v>
      </c>
      <c r="D64" s="16" t="n">
        <f aca="false">Sensitivity!$B$282</f>
        <v>0.188336005761225</v>
      </c>
    </row>
    <row r="65" customFormat="false" ht="15" hidden="false" customHeight="false" outlineLevel="0" collapsed="false">
      <c r="A65" s="3" t="s">
        <v>77</v>
      </c>
      <c r="B65" s="15" t="n">
        <f aca="false">-Sensitivity!$B$316</f>
        <v>116.9499475</v>
      </c>
      <c r="C65" s="15" t="n">
        <f aca="false">Sensitivity!$B$315</f>
        <v>257.925437188775</v>
      </c>
      <c r="D65" s="16" t="n">
        <f aca="false">Sensitivity!$B$318</f>
        <v>0.292473250549915</v>
      </c>
    </row>
    <row r="66" customFormat="false" ht="15" hidden="false" customHeight="false" outlineLevel="0" collapsed="false">
      <c r="A66" s="3" t="s">
        <v>78</v>
      </c>
      <c r="B66" s="15" t="n">
        <f aca="false">-Sensitivity!$B$352</f>
        <v>132.9579475</v>
      </c>
      <c r="C66" s="15" t="n">
        <f aca="false">Sensitivity!$B$351</f>
        <v>208.31850328602</v>
      </c>
      <c r="D66" s="16" t="n">
        <f aca="false">Sensitivity!$B$354</f>
        <v>0.292473250549915</v>
      </c>
    </row>
    <row r="67" customFormat="false" ht="15" hidden="false" customHeight="false" outlineLevel="0" collapsed="false">
      <c r="A67" s="3" t="s">
        <v>79</v>
      </c>
      <c r="B67" s="15" t="n">
        <f aca="false">-Sensitivity!$B$388</f>
        <v>189.8130025</v>
      </c>
      <c r="C67" s="15" t="n">
        <f aca="false">Sensitivity!$B$387</f>
        <v>257.600961401946</v>
      </c>
      <c r="D67" s="16" t="n">
        <f aca="false">Sensitivity!$B$390</f>
        <v>0.292473250549915</v>
      </c>
    </row>
    <row r="68" customFormat="false" ht="15" hidden="false" customHeight="false" outlineLevel="0" collapsed="false">
      <c r="A68" s="3" t="s">
        <v>80</v>
      </c>
      <c r="B68" s="15" t="n">
        <f aca="false">-Sensitivity!$B$424</f>
        <v>381.30656875</v>
      </c>
      <c r="C68" s="15" t="n">
        <f aca="false">Sensitivity!$B$423</f>
        <v>209.278659469093</v>
      </c>
      <c r="D68" s="16" t="n">
        <f aca="false">Sensitivity!$B$426</f>
        <v>0.292473250549915</v>
      </c>
    </row>
    <row r="69" customFormat="false" ht="15" hidden="false" customHeight="false" outlineLevel="0" collapsed="false">
      <c r="A69" s="3" t="s">
        <v>81</v>
      </c>
      <c r="B69" s="15" t="n">
        <f aca="false">-Sensitivity!$B$460</f>
        <v>810.91720875</v>
      </c>
      <c r="C69" s="15" t="n">
        <f aca="false">Sensitivity!$B$459</f>
        <v>117.255627228281</v>
      </c>
      <c r="D69" s="16" t="n">
        <f aca="false">Sensitivity!$B$462</f>
        <v>0.292473250549915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82</v>
      </c>
    </row>
    <row r="2" customFormat="false" ht="15" hidden="false" customHeight="false" outlineLevel="0" collapsed="false">
      <c r="A2" s="6" t="s">
        <v>83</v>
      </c>
    </row>
    <row r="4" customFormat="false" ht="15" hidden="false" customHeight="false" outlineLevel="0" collapsed="false">
      <c r="A4" s="7" t="s">
        <v>84</v>
      </c>
      <c r="B4" s="7" t="s">
        <v>13</v>
      </c>
      <c r="C4" s="7" t="s">
        <v>85</v>
      </c>
      <c r="D4" s="7" t="s">
        <v>86</v>
      </c>
    </row>
    <row r="6" customFormat="false" ht="15" hidden="false" customHeight="false" outlineLevel="0" collapsed="false">
      <c r="A6" s="8" t="s">
        <v>87</v>
      </c>
    </row>
    <row r="7" customFormat="false" ht="15" hidden="false" customHeight="false" outlineLevel="0" collapsed="false">
      <c r="A7" s="3" t="s">
        <v>88</v>
      </c>
      <c r="B7" s="17" t="n">
        <v>50</v>
      </c>
      <c r="C7" s="3" t="s">
        <v>89</v>
      </c>
      <c r="D7" s="6" t="s">
        <v>90</v>
      </c>
    </row>
    <row r="8" customFormat="false" ht="15" hidden="false" customHeight="false" outlineLevel="0" collapsed="false">
      <c r="A8" s="3" t="s">
        <v>91</v>
      </c>
      <c r="B8" s="18" t="n">
        <v>2</v>
      </c>
      <c r="C8" s="3" t="s">
        <v>92</v>
      </c>
      <c r="D8" s="6" t="s">
        <v>93</v>
      </c>
    </row>
    <row r="9" customFormat="false" ht="15" hidden="false" customHeight="false" outlineLevel="0" collapsed="false">
      <c r="A9" s="3" t="s">
        <v>94</v>
      </c>
      <c r="B9" s="18" t="n">
        <v>2.3</v>
      </c>
      <c r="C9" s="3" t="s">
        <v>92</v>
      </c>
      <c r="D9" s="6" t="s">
        <v>95</v>
      </c>
    </row>
    <row r="10" customFormat="false" ht="15" hidden="false" customHeight="false" outlineLevel="0" collapsed="false">
      <c r="A10" s="3" t="s">
        <v>96</v>
      </c>
      <c r="B10" s="19" t="n">
        <v>24</v>
      </c>
      <c r="C10" s="3" t="s">
        <v>97</v>
      </c>
      <c r="D10" s="6" t="s">
        <v>90</v>
      </c>
    </row>
    <row r="11" customFormat="false" ht="15" hidden="false" customHeight="false" outlineLevel="0" collapsed="false">
      <c r="A11" s="3" t="s">
        <v>98</v>
      </c>
      <c r="B11" s="19" t="n">
        <v>12</v>
      </c>
      <c r="C11" s="3" t="s">
        <v>99</v>
      </c>
      <c r="D11" s="6" t="s">
        <v>100</v>
      </c>
    </row>
    <row r="12" customFormat="false" ht="15" hidden="false" customHeight="false" outlineLevel="0" collapsed="false">
      <c r="A12" s="3" t="s">
        <v>101</v>
      </c>
      <c r="B12" s="19" t="n">
        <v>12</v>
      </c>
      <c r="C12" s="3" t="s">
        <v>102</v>
      </c>
      <c r="D12" s="6" t="s">
        <v>103</v>
      </c>
    </row>
    <row r="13" customFormat="false" ht="15" hidden="false" customHeight="false" outlineLevel="0" collapsed="false">
      <c r="A13" s="3" t="s">
        <v>104</v>
      </c>
      <c r="B13" s="19" t="n">
        <v>54</v>
      </c>
      <c r="C13" s="3" t="s">
        <v>102</v>
      </c>
      <c r="D13" s="6" t="s">
        <v>105</v>
      </c>
    </row>
    <row r="14" customFormat="false" ht="15" hidden="false" customHeight="false" outlineLevel="0" collapsed="false">
      <c r="A14" s="3" t="s">
        <v>106</v>
      </c>
      <c r="B14" s="20" t="n">
        <v>0.14</v>
      </c>
      <c r="C14" s="3" t="s">
        <v>107</v>
      </c>
      <c r="D14" s="6" t="s">
        <v>108</v>
      </c>
    </row>
    <row r="15" customFormat="false" ht="15" hidden="false" customHeight="false" outlineLevel="0" collapsed="false">
      <c r="A15" s="3" t="s">
        <v>109</v>
      </c>
      <c r="B15" s="20" t="n">
        <v>0.03</v>
      </c>
      <c r="C15" s="3" t="s">
        <v>110</v>
      </c>
      <c r="D15" s="6" t="s">
        <v>111</v>
      </c>
    </row>
    <row r="16" customFormat="false" ht="15" hidden="false" customHeight="false" outlineLevel="0" collapsed="false">
      <c r="A16" s="3" t="s">
        <v>112</v>
      </c>
      <c r="B16" s="19" t="n">
        <v>4</v>
      </c>
      <c r="C16" s="3" t="s">
        <v>99</v>
      </c>
      <c r="D16" s="6" t="s">
        <v>113</v>
      </c>
    </row>
    <row r="18" customFormat="false" ht="15" hidden="false" customHeight="false" outlineLevel="0" collapsed="false">
      <c r="A18" s="8" t="s">
        <v>114</v>
      </c>
    </row>
    <row r="19" customFormat="false" ht="15" hidden="false" customHeight="false" outlineLevel="0" collapsed="false">
      <c r="A19" s="3" t="s">
        <v>115</v>
      </c>
      <c r="B19" s="20" t="n">
        <v>0.35</v>
      </c>
      <c r="C19" s="3" t="s">
        <v>110</v>
      </c>
      <c r="D19" s="6" t="s">
        <v>116</v>
      </c>
    </row>
    <row r="20" customFormat="false" ht="15" hidden="false" customHeight="false" outlineLevel="0" collapsed="false">
      <c r="A20" s="3" t="s">
        <v>117</v>
      </c>
      <c r="B20" s="17" t="n">
        <v>850</v>
      </c>
      <c r="C20" s="3" t="s">
        <v>89</v>
      </c>
      <c r="D20" s="6" t="s">
        <v>118</v>
      </c>
    </row>
    <row r="21" customFormat="false" ht="15" hidden="false" customHeight="false" outlineLevel="0" collapsed="false">
      <c r="A21" s="3" t="s">
        <v>119</v>
      </c>
      <c r="B21" s="17" t="n">
        <v>85</v>
      </c>
      <c r="C21" s="3" t="s">
        <v>89</v>
      </c>
      <c r="D21" s="6" t="s">
        <v>120</v>
      </c>
    </row>
    <row r="22" customFormat="false" ht="15" hidden="false" customHeight="false" outlineLevel="0" collapsed="false">
      <c r="A22" s="3" t="s">
        <v>121</v>
      </c>
      <c r="B22" s="17" t="n">
        <v>3342.1696875</v>
      </c>
      <c r="C22" s="3" t="s">
        <v>89</v>
      </c>
      <c r="D22" s="6" t="s">
        <v>122</v>
      </c>
    </row>
    <row r="23" customFormat="false" ht="15" hidden="false" customHeight="false" outlineLevel="0" collapsed="false">
      <c r="A23" s="3" t="s">
        <v>123</v>
      </c>
      <c r="B23" s="20" t="n">
        <v>0.04</v>
      </c>
      <c r="C23" s="3" t="s">
        <v>110</v>
      </c>
      <c r="D23" s="6" t="s">
        <v>124</v>
      </c>
    </row>
    <row r="24" customFormat="false" ht="15" hidden="false" customHeight="false" outlineLevel="0" collapsed="false">
      <c r="A24" s="3" t="s">
        <v>125</v>
      </c>
      <c r="B24" s="20" t="n">
        <v>0.05</v>
      </c>
      <c r="C24" s="3" t="s">
        <v>110</v>
      </c>
      <c r="D24" s="6" t="s">
        <v>126</v>
      </c>
    </row>
    <row r="25" customFormat="false" ht="15" hidden="false" customHeight="false" outlineLevel="0" collapsed="false">
      <c r="A25" s="3" t="s">
        <v>127</v>
      </c>
      <c r="B25" s="20" t="n">
        <v>0.3</v>
      </c>
      <c r="C25" s="3" t="s">
        <v>110</v>
      </c>
      <c r="D25" s="6" t="s">
        <v>128</v>
      </c>
    </row>
    <row r="27" customFormat="false" ht="15" hidden="false" customHeight="false" outlineLevel="0" collapsed="false">
      <c r="A27" s="8" t="s">
        <v>129</v>
      </c>
    </row>
    <row r="28" customFormat="false" ht="15" hidden="false" customHeight="false" outlineLevel="0" collapsed="false">
      <c r="A28" s="3" t="s">
        <v>130</v>
      </c>
      <c r="B28" s="21" t="n">
        <v>250</v>
      </c>
      <c r="C28" s="3" t="s">
        <v>131</v>
      </c>
      <c r="D28" s="6" t="s">
        <v>132</v>
      </c>
    </row>
    <row r="29" customFormat="false" ht="15" hidden="false" customHeight="false" outlineLevel="0" collapsed="false">
      <c r="A29" s="3" t="s">
        <v>133</v>
      </c>
      <c r="B29" s="21" t="n">
        <v>160</v>
      </c>
      <c r="C29" s="3" t="s">
        <v>131</v>
      </c>
      <c r="D29" s="6" t="s">
        <v>134</v>
      </c>
    </row>
    <row r="30" customFormat="false" ht="15" hidden="false" customHeight="false" outlineLevel="0" collapsed="false">
      <c r="A30" s="3" t="s">
        <v>135</v>
      </c>
      <c r="B30" s="21" t="n">
        <v>360</v>
      </c>
      <c r="C30" s="3" t="s">
        <v>131</v>
      </c>
      <c r="D30" s="6" t="s">
        <v>136</v>
      </c>
    </row>
    <row r="31" customFormat="false" ht="15" hidden="false" customHeight="false" outlineLevel="0" collapsed="false">
      <c r="A31" s="3" t="s">
        <v>137</v>
      </c>
      <c r="B31" s="21" t="n">
        <v>240</v>
      </c>
      <c r="C31" s="3" t="s">
        <v>131</v>
      </c>
      <c r="D31" s="6" t="s">
        <v>138</v>
      </c>
    </row>
    <row r="32" customFormat="false" ht="15" hidden="false" customHeight="false" outlineLevel="0" collapsed="false">
      <c r="A32" s="3" t="s">
        <v>139</v>
      </c>
      <c r="B32" s="17" t="n">
        <v>223.65</v>
      </c>
      <c r="C32" s="3" t="s">
        <v>89</v>
      </c>
      <c r="D32" s="6" t="s">
        <v>140</v>
      </c>
    </row>
    <row r="33" customFormat="false" ht="15" hidden="false" customHeight="false" outlineLevel="0" collapsed="false">
      <c r="A33" s="3" t="s">
        <v>141</v>
      </c>
      <c r="B33" s="17" t="n">
        <v>500.976</v>
      </c>
      <c r="C33" s="3" t="s">
        <v>89</v>
      </c>
      <c r="D33" s="6" t="s">
        <v>142</v>
      </c>
    </row>
    <row r="34" customFormat="false" ht="15" hidden="false" customHeight="false" outlineLevel="0" collapsed="false">
      <c r="A34" s="3" t="s">
        <v>143</v>
      </c>
      <c r="B34" s="22" t="n">
        <f aca="false">($B$32/($B$32+$B$33))*($B$30/$B$28)+($B$33/($B$32+$B$33))*($B$31/$B$29)</f>
        <v>1.48148148148148</v>
      </c>
      <c r="C34" s="3" t="s">
        <v>92</v>
      </c>
      <c r="D34" s="6" t="s">
        <v>144</v>
      </c>
    </row>
    <row r="36" customFormat="false" ht="15" hidden="false" customHeight="false" outlineLevel="0" collapsed="false">
      <c r="A36" s="8" t="s">
        <v>145</v>
      </c>
    </row>
    <row r="37" customFormat="false" ht="15" hidden="false" customHeight="false" outlineLevel="0" collapsed="false">
      <c r="A37" s="3" t="s">
        <v>146</v>
      </c>
      <c r="B37" s="23" t="n">
        <v>0.0985556974464805</v>
      </c>
      <c r="C37" s="3" t="s">
        <v>110</v>
      </c>
      <c r="D37" s="6" t="s">
        <v>147</v>
      </c>
    </row>
    <row r="38" customFormat="false" ht="15" hidden="false" customHeight="false" outlineLevel="0" collapsed="false">
      <c r="A38" s="3" t="s">
        <v>148</v>
      </c>
      <c r="B38" s="24" t="n">
        <v>0.4</v>
      </c>
      <c r="C38" s="3" t="s">
        <v>92</v>
      </c>
      <c r="D38" s="6" t="s">
        <v>149</v>
      </c>
    </row>
    <row r="39" customFormat="false" ht="15" hidden="false" customHeight="false" outlineLevel="0" collapsed="false">
      <c r="A39" s="3" t="s">
        <v>150</v>
      </c>
      <c r="B39" s="24" t="n">
        <v>1.5</v>
      </c>
      <c r="C39" s="3" t="s">
        <v>92</v>
      </c>
      <c r="D39" s="6" t="s">
        <v>149</v>
      </c>
    </row>
    <row r="40" customFormat="false" ht="15" hidden="false" customHeight="false" outlineLevel="0" collapsed="false">
      <c r="A40" s="3" t="s">
        <v>151</v>
      </c>
      <c r="B40" s="18" t="n">
        <v>1.8</v>
      </c>
      <c r="C40" s="3" t="s">
        <v>92</v>
      </c>
      <c r="D40" s="6" t="s">
        <v>149</v>
      </c>
    </row>
    <row r="41" customFormat="false" ht="15" hidden="false" customHeight="false" outlineLevel="0" collapsed="false">
      <c r="A41" s="3" t="s">
        <v>152</v>
      </c>
      <c r="B41" s="18" t="n">
        <v>2.8</v>
      </c>
      <c r="C41" s="3" t="s">
        <v>92</v>
      </c>
      <c r="D41" s="6" t="s">
        <v>149</v>
      </c>
    </row>
    <row r="42" customFormat="false" ht="15" hidden="false" customHeight="false" outlineLevel="0" collapsed="false">
      <c r="A42" s="3" t="s">
        <v>153</v>
      </c>
      <c r="B42" s="23" t="n">
        <v>0.0144519504105326</v>
      </c>
      <c r="C42" s="3" t="s">
        <v>110</v>
      </c>
      <c r="D42" s="6" t="s">
        <v>154</v>
      </c>
    </row>
    <row r="43" customFormat="false" ht="15" hidden="false" customHeight="false" outlineLevel="0" collapsed="false">
      <c r="A43" s="3" t="s">
        <v>155</v>
      </c>
      <c r="B43" s="18" t="n">
        <v>1.5</v>
      </c>
      <c r="C43" s="3" t="s">
        <v>92</v>
      </c>
      <c r="D43" s="6" t="s">
        <v>156</v>
      </c>
    </row>
    <row r="45" customFormat="false" ht="15" hidden="false" customHeight="false" outlineLevel="0" collapsed="false">
      <c r="A45" s="8" t="s">
        <v>157</v>
      </c>
    </row>
    <row r="46" customFormat="false" ht="15" hidden="false" customHeight="false" outlineLevel="0" collapsed="false">
      <c r="A46" s="3" t="s">
        <v>158</v>
      </c>
      <c r="B46" s="25" t="n">
        <v>595.292929375</v>
      </c>
      <c r="C46" s="3" t="s">
        <v>89</v>
      </c>
      <c r="D46" s="6" t="s">
        <v>159</v>
      </c>
    </row>
    <row r="47" customFormat="false" ht="15" hidden="false" customHeight="false" outlineLevel="0" collapsed="false">
      <c r="A47" s="3" t="s">
        <v>160</v>
      </c>
      <c r="B47" s="25" t="n">
        <v>307.532371091529</v>
      </c>
      <c r="C47" s="3" t="s">
        <v>89</v>
      </c>
      <c r="D47" s="6" t="s">
        <v>161</v>
      </c>
    </row>
    <row r="48" customFormat="false" ht="15" hidden="false" customHeight="false" outlineLevel="0" collapsed="false">
      <c r="A48" s="3" t="s">
        <v>162</v>
      </c>
      <c r="B48" s="25" t="n">
        <v>-102.0180625</v>
      </c>
      <c r="C48" s="3" t="s">
        <v>89</v>
      </c>
      <c r="D48" s="6" t="s">
        <v>163</v>
      </c>
    </row>
    <row r="49" customFormat="false" ht="15" hidden="false" customHeight="false" outlineLevel="0" collapsed="false">
      <c r="A49" s="3" t="s">
        <v>164</v>
      </c>
      <c r="B49" s="25" t="n">
        <v>2673.73575</v>
      </c>
      <c r="C49" s="3" t="s">
        <v>89</v>
      </c>
      <c r="D49" s="6" t="s">
        <v>165</v>
      </c>
    </row>
    <row r="50" customFormat="false" ht="15" hidden="false" customHeight="false" outlineLevel="0" collapsed="false">
      <c r="A50" s="3" t="s">
        <v>166</v>
      </c>
      <c r="B50" s="25" t="n">
        <v>1169.759390625</v>
      </c>
      <c r="C50" s="3" t="s">
        <v>89</v>
      </c>
      <c r="D50" s="6" t="s">
        <v>167</v>
      </c>
    </row>
    <row r="51" customFormat="false" ht="15" hidden="false" customHeight="false" outlineLevel="0" collapsed="false">
      <c r="A51" s="3" t="s">
        <v>168</v>
      </c>
      <c r="B51" s="25" t="n">
        <v>908.68343</v>
      </c>
      <c r="C51" s="3" t="s">
        <v>89</v>
      </c>
      <c r="D51" s="6" t="s">
        <v>169</v>
      </c>
    </row>
    <row r="52" customFormat="false" ht="15" hidden="false" customHeight="false" outlineLevel="0" collapsed="false">
      <c r="A52" s="3" t="s">
        <v>170</v>
      </c>
      <c r="B52" s="24" t="n">
        <v>48</v>
      </c>
      <c r="C52" s="3" t="s">
        <v>171</v>
      </c>
      <c r="D52" s="6" t="s">
        <v>172</v>
      </c>
    </row>
    <row r="54" customFormat="false" ht="15" hidden="false" customHeight="false" outlineLevel="0" collapsed="false">
      <c r="A54" s="3" t="s">
        <v>173</v>
      </c>
      <c r="B54" s="3" t="n">
        <f aca="false">Inputs!$B$12+Inputs!$B$10+3</f>
        <v>39</v>
      </c>
      <c r="C54" s="26" t="s">
        <v>102</v>
      </c>
      <c r="D54" s="6" t="s">
        <v>174</v>
      </c>
    </row>
    <row r="55" customFormat="false" ht="15" hidden="false" customHeight="false" outlineLevel="0" collapsed="false">
      <c r="A55" s="3" t="s">
        <v>175</v>
      </c>
      <c r="B55" s="27" t="n">
        <f aca="false">Inputs!$B$32+Inputs!$B$33</f>
        <v>724.626</v>
      </c>
      <c r="C55" s="26" t="s">
        <v>89</v>
      </c>
      <c r="D55" s="6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177</v>
      </c>
    </row>
    <row r="2" customFormat="false" ht="15" hidden="false" customHeight="false" outlineLevel="0" collapsed="false">
      <c r="A2" s="6" t="s">
        <v>178</v>
      </c>
    </row>
    <row r="4" customFormat="false" ht="15" hidden="false" customHeight="false" outlineLevel="0" collapsed="false">
      <c r="A4" s="7" t="s">
        <v>179</v>
      </c>
      <c r="B4" s="7" t="s">
        <v>180</v>
      </c>
      <c r="C4" s="7" t="s">
        <v>181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182</v>
      </c>
      <c r="B5" s="6" t="s">
        <v>183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184</v>
      </c>
      <c r="B6" s="6" t="s">
        <v>185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186</v>
      </c>
      <c r="B7" s="6" t="s">
        <v>187</v>
      </c>
      <c r="C7" s="28" t="n">
        <f aca="false">SUM(D7:BK7)</f>
        <v>2085.23805</v>
      </c>
      <c r="D7" s="29" t="n">
        <v>0</v>
      </c>
      <c r="E7" s="29" t="n">
        <v>0</v>
      </c>
      <c r="F7" s="29" t="n">
        <v>0</v>
      </c>
      <c r="G7" s="29" t="n">
        <v>0</v>
      </c>
      <c r="H7" s="29" t="n">
        <v>18.11565</v>
      </c>
      <c r="I7" s="29" t="n">
        <v>36.2313</v>
      </c>
      <c r="J7" s="29" t="n">
        <v>58.260825</v>
      </c>
      <c r="K7" s="29" t="n">
        <v>69.01839</v>
      </c>
      <c r="L7" s="29" t="n">
        <v>67.087545</v>
      </c>
      <c r="M7" s="29" t="n">
        <v>72.9732675</v>
      </c>
      <c r="N7" s="29" t="n">
        <v>88.871055</v>
      </c>
      <c r="O7" s="29" t="n">
        <v>105.60753</v>
      </c>
      <c r="P7" s="29" t="n">
        <v>115.25243625</v>
      </c>
      <c r="Q7" s="29" t="n">
        <v>124.8973425</v>
      </c>
      <c r="R7" s="29" t="n">
        <v>130.3767675</v>
      </c>
      <c r="S7" s="29" t="n">
        <v>135.8561925</v>
      </c>
      <c r="T7" s="29" t="n">
        <v>112.5965925</v>
      </c>
      <c r="U7" s="29" t="n">
        <v>89.3369925</v>
      </c>
      <c r="V7" s="29" t="n">
        <v>87.5254275</v>
      </c>
      <c r="W7" s="29" t="n">
        <v>85.7138625</v>
      </c>
      <c r="X7" s="29" t="n">
        <v>77.279461875</v>
      </c>
      <c r="Y7" s="29" t="n">
        <v>70.15341375</v>
      </c>
      <c r="Z7" s="29" t="n">
        <v>61.33787625</v>
      </c>
      <c r="AA7" s="29" t="n">
        <v>51.04624875</v>
      </c>
      <c r="AB7" s="29" t="n">
        <v>51.04624875</v>
      </c>
      <c r="AC7" s="29" t="n">
        <v>51.04624875</v>
      </c>
      <c r="AD7" s="29" t="n">
        <v>51.04624875</v>
      </c>
      <c r="AE7" s="29" t="n">
        <v>51.04624875</v>
      </c>
      <c r="AF7" s="29" t="n">
        <v>43.931383125</v>
      </c>
      <c r="AG7" s="29" t="n">
        <v>36.8165175</v>
      </c>
      <c r="AH7" s="29" t="n">
        <v>32.958555</v>
      </c>
      <c r="AI7" s="29" t="n">
        <v>29.1005925</v>
      </c>
      <c r="AJ7" s="29" t="n">
        <v>22.8831225</v>
      </c>
      <c r="AK7" s="29" t="n">
        <v>19.2823575</v>
      </c>
      <c r="AL7" s="29" t="n">
        <v>16.80357</v>
      </c>
      <c r="AM7" s="29" t="n">
        <v>7.24626</v>
      </c>
      <c r="AN7" s="29" t="n">
        <v>7.24626</v>
      </c>
      <c r="AO7" s="29" t="n">
        <v>7.24626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188</v>
      </c>
      <c r="B8" s="6" t="s">
        <v>189</v>
      </c>
      <c r="C8" s="28" t="n">
        <f aca="false">SUM(D8:BK8)</f>
        <v>588.4977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0</v>
      </c>
      <c r="N8" s="29" t="n">
        <v>0</v>
      </c>
      <c r="O8" s="29" t="n">
        <v>0</v>
      </c>
      <c r="P8" s="29" t="n">
        <v>0</v>
      </c>
      <c r="Q8" s="29" t="n">
        <v>0</v>
      </c>
      <c r="R8" s="29" t="n">
        <v>552.7137</v>
      </c>
      <c r="S8" s="29" t="n">
        <v>35.784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190</v>
      </c>
      <c r="B9" s="6" t="s">
        <v>191</v>
      </c>
      <c r="C9" s="28" t="n">
        <f aca="false">SUM(D9:BK9)</f>
        <v>850</v>
      </c>
      <c r="D9" s="29" t="n">
        <v>0</v>
      </c>
      <c r="E9" s="29" t="n">
        <v>0</v>
      </c>
      <c r="F9" s="29" t="n">
        <v>0</v>
      </c>
      <c r="G9" s="29" t="n">
        <v>85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45</v>
      </c>
      <c r="M9" s="29" t="n">
        <v>45</v>
      </c>
      <c r="N9" s="29" t="n">
        <v>45</v>
      </c>
      <c r="O9" s="29" t="n">
        <v>45</v>
      </c>
      <c r="P9" s="29" t="n">
        <v>56.25</v>
      </c>
      <c r="Q9" s="29" t="n">
        <v>56.25</v>
      </c>
      <c r="R9" s="29" t="n">
        <v>56.25</v>
      </c>
      <c r="S9" s="29" t="n">
        <v>56.25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192</v>
      </c>
      <c r="B10" s="6" t="s">
        <v>193</v>
      </c>
      <c r="C10" s="28" t="n">
        <f aca="false">SUM(D10:BK10)</f>
        <v>319.759390625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241.1916115625</v>
      </c>
      <c r="AG10" s="29" t="n">
        <v>16.10722640625</v>
      </c>
      <c r="AH10" s="29" t="n">
        <v>14.4193678125</v>
      </c>
      <c r="AI10" s="29" t="n">
        <v>12.73150921875</v>
      </c>
      <c r="AJ10" s="29" t="n">
        <v>10.01136609375</v>
      </c>
      <c r="AK10" s="29" t="n">
        <v>8.43603140625001</v>
      </c>
      <c r="AL10" s="29" t="n">
        <v>7.35156187500001</v>
      </c>
      <c r="AM10" s="29" t="n">
        <v>3.17023875000001</v>
      </c>
      <c r="AN10" s="29" t="n">
        <v>3.17023875000001</v>
      </c>
      <c r="AO10" s="29" t="n">
        <v>3.17023875000001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194</v>
      </c>
      <c r="B11" s="6" t="s">
        <v>195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0</v>
      </c>
      <c r="I11" s="29" t="n">
        <v>0</v>
      </c>
      <c r="J11" s="29" t="n">
        <v>20</v>
      </c>
      <c r="K11" s="29" t="n">
        <v>26.4</v>
      </c>
      <c r="L11" s="29" t="n">
        <v>40</v>
      </c>
      <c r="M11" s="29" t="n">
        <v>26.4</v>
      </c>
      <c r="N11" s="29" t="n">
        <v>26.4</v>
      </c>
      <c r="O11" s="29" t="n">
        <v>26.4</v>
      </c>
      <c r="P11" s="29" t="n">
        <v>5.28</v>
      </c>
      <c r="Q11" s="29" t="n">
        <v>5.28</v>
      </c>
      <c r="R11" s="29" t="n">
        <v>120</v>
      </c>
      <c r="S11" s="29" t="n">
        <v>120</v>
      </c>
      <c r="T11" s="29" t="n">
        <v>164</v>
      </c>
      <c r="U11" s="29" t="n">
        <v>117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196</v>
      </c>
      <c r="B12" s="6" t="s">
        <v>197</v>
      </c>
      <c r="C12" s="28" t="n">
        <f aca="false">SUM(D12:BK12)</f>
        <v>106.94943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0</v>
      </c>
      <c r="K12" s="29" t="n">
        <v>0</v>
      </c>
      <c r="L12" s="29" t="n">
        <v>14.49252</v>
      </c>
      <c r="M12" s="29" t="n">
        <v>14.49252</v>
      </c>
      <c r="N12" s="29" t="n">
        <v>12.43494</v>
      </c>
      <c r="O12" s="29" t="n">
        <v>7.20153</v>
      </c>
      <c r="P12" s="29" t="n">
        <v>7.93212</v>
      </c>
      <c r="Q12" s="29" t="n">
        <v>7.39536</v>
      </c>
      <c r="R12" s="29" t="n">
        <v>7.54446</v>
      </c>
      <c r="S12" s="29" t="n">
        <v>7.54446</v>
      </c>
      <c r="T12" s="29" t="n">
        <v>8.23032</v>
      </c>
      <c r="U12" s="29" t="n">
        <v>8.23032</v>
      </c>
      <c r="V12" s="29" t="n">
        <v>5.72544</v>
      </c>
      <c r="W12" s="29" t="n">
        <v>5.72544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198</v>
      </c>
      <c r="B13" s="6" t="s">
        <v>199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0</v>
      </c>
      <c r="I13" s="29" t="n">
        <v>0</v>
      </c>
      <c r="J13" s="29" t="n">
        <v>3</v>
      </c>
      <c r="K13" s="29" t="n">
        <v>3.96</v>
      </c>
      <c r="L13" s="29" t="n">
        <v>6</v>
      </c>
      <c r="M13" s="29" t="n">
        <v>3.96</v>
      </c>
      <c r="N13" s="29" t="n">
        <v>3.96</v>
      </c>
      <c r="O13" s="29" t="n">
        <v>3.96</v>
      </c>
      <c r="P13" s="29" t="n">
        <v>0.792</v>
      </c>
      <c r="Q13" s="29" t="n">
        <v>0.792</v>
      </c>
      <c r="R13" s="29" t="n">
        <v>18</v>
      </c>
      <c r="S13" s="29" t="n">
        <v>18</v>
      </c>
      <c r="T13" s="29" t="n">
        <v>24.6</v>
      </c>
      <c r="U13" s="29" t="n">
        <v>17.55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200</v>
      </c>
      <c r="B14" s="6" t="s">
        <v>201</v>
      </c>
      <c r="C14" s="28" t="n">
        <f aca="false">SUM(D14:BK14)</f>
        <v>724.626</v>
      </c>
      <c r="D14" s="29" t="n">
        <v>0</v>
      </c>
      <c r="E14" s="29" t="n">
        <v>0</v>
      </c>
      <c r="F14" s="29" t="n">
        <v>0</v>
      </c>
      <c r="G14" s="29" t="n">
        <v>0</v>
      </c>
      <c r="H14" s="29" t="n">
        <v>18.11565</v>
      </c>
      <c r="I14" s="29" t="n">
        <v>36.2313</v>
      </c>
      <c r="J14" s="29" t="n">
        <v>27.173475</v>
      </c>
      <c r="K14" s="29" t="n">
        <v>19.927215</v>
      </c>
      <c r="L14" s="29" t="n">
        <v>19.927215</v>
      </c>
      <c r="M14" s="29" t="n">
        <v>19.927215</v>
      </c>
      <c r="N14" s="29" t="n">
        <v>19.927215</v>
      </c>
      <c r="O14" s="29" t="n">
        <v>19.927215</v>
      </c>
      <c r="P14" s="29" t="n">
        <v>19.927215</v>
      </c>
      <c r="Q14" s="29" t="n">
        <v>19.927215</v>
      </c>
      <c r="R14" s="29" t="n">
        <v>164.852415</v>
      </c>
      <c r="S14" s="29" t="n">
        <v>19.927215</v>
      </c>
      <c r="T14" s="29" t="n">
        <v>19.927215</v>
      </c>
      <c r="U14" s="29" t="n">
        <v>19.927215</v>
      </c>
      <c r="V14" s="29" t="n">
        <v>18.11565</v>
      </c>
      <c r="W14" s="29" t="n">
        <v>16.304085</v>
      </c>
      <c r="X14" s="29" t="n">
        <v>16.304085</v>
      </c>
      <c r="Y14" s="29" t="n">
        <v>16.304085</v>
      </c>
      <c r="Z14" s="29" t="n">
        <v>16.304085</v>
      </c>
      <c r="AA14" s="29" t="n">
        <v>14.49252</v>
      </c>
      <c r="AB14" s="29" t="n">
        <v>14.49252</v>
      </c>
      <c r="AC14" s="29" t="n">
        <v>14.49252</v>
      </c>
      <c r="AD14" s="29" t="n">
        <v>14.49252</v>
      </c>
      <c r="AE14" s="29" t="n">
        <v>14.49252</v>
      </c>
      <c r="AF14" s="29" t="n">
        <v>14.49252</v>
      </c>
      <c r="AG14" s="29" t="n">
        <v>14.49252</v>
      </c>
      <c r="AH14" s="29" t="n">
        <v>14.49252</v>
      </c>
      <c r="AI14" s="29" t="n">
        <v>14.49252</v>
      </c>
      <c r="AJ14" s="29" t="n">
        <v>14.49252</v>
      </c>
      <c r="AK14" s="29" t="n">
        <v>14.49252</v>
      </c>
      <c r="AL14" s="29" t="n">
        <v>14.49252</v>
      </c>
      <c r="AM14" s="29" t="n">
        <v>7.24626</v>
      </c>
      <c r="AN14" s="29" t="n">
        <v>7.24626</v>
      </c>
      <c r="AO14" s="29" t="n">
        <v>7.24626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202</v>
      </c>
      <c r="B15" s="6" t="s">
        <v>203</v>
      </c>
      <c r="C15" s="28" t="n">
        <f aca="false">SUM(D15:BK15)</f>
        <v>223.65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5.59125</v>
      </c>
      <c r="I15" s="29" t="n">
        <v>11.1825</v>
      </c>
      <c r="J15" s="29" t="n">
        <v>8.386875</v>
      </c>
      <c r="K15" s="29" t="n">
        <v>6.150375</v>
      </c>
      <c r="L15" s="29" t="n">
        <v>6.150375</v>
      </c>
      <c r="M15" s="29" t="n">
        <v>6.150375</v>
      </c>
      <c r="N15" s="29" t="n">
        <v>6.150375</v>
      </c>
      <c r="O15" s="29" t="n">
        <v>6.150375</v>
      </c>
      <c r="P15" s="29" t="n">
        <v>6.150375</v>
      </c>
      <c r="Q15" s="29" t="n">
        <v>6.150375</v>
      </c>
      <c r="R15" s="29" t="n">
        <v>50.880375</v>
      </c>
      <c r="S15" s="29" t="n">
        <v>6.150375</v>
      </c>
      <c r="T15" s="29" t="n">
        <v>6.150375</v>
      </c>
      <c r="U15" s="29" t="n">
        <v>6.150375</v>
      </c>
      <c r="V15" s="29" t="n">
        <v>5.59125</v>
      </c>
      <c r="W15" s="29" t="n">
        <v>5.032125</v>
      </c>
      <c r="X15" s="29" t="n">
        <v>5.032125</v>
      </c>
      <c r="Y15" s="29" t="n">
        <v>5.032125</v>
      </c>
      <c r="Z15" s="29" t="n">
        <v>5.032125</v>
      </c>
      <c r="AA15" s="29" t="n">
        <v>4.473</v>
      </c>
      <c r="AB15" s="29" t="n">
        <v>4.473</v>
      </c>
      <c r="AC15" s="29" t="n">
        <v>4.473</v>
      </c>
      <c r="AD15" s="29" t="n">
        <v>4.473</v>
      </c>
      <c r="AE15" s="29" t="n">
        <v>4.473</v>
      </c>
      <c r="AF15" s="29" t="n">
        <v>4.473</v>
      </c>
      <c r="AG15" s="29" t="n">
        <v>4.473</v>
      </c>
      <c r="AH15" s="29" t="n">
        <v>4.473</v>
      </c>
      <c r="AI15" s="29" t="n">
        <v>4.473</v>
      </c>
      <c r="AJ15" s="29" t="n">
        <v>4.473</v>
      </c>
      <c r="AK15" s="29" t="n">
        <v>4.473</v>
      </c>
      <c r="AL15" s="29" t="n">
        <v>4.473</v>
      </c>
      <c r="AM15" s="29" t="n">
        <v>2.2365</v>
      </c>
      <c r="AN15" s="29" t="n">
        <v>2.2365</v>
      </c>
      <c r="AO15" s="29" t="n">
        <v>2.2365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204</v>
      </c>
      <c r="B16" s="6" t="s">
        <v>205</v>
      </c>
      <c r="C16" s="28" t="n">
        <f aca="false">SUM(D16:BK16)</f>
        <v>500.976</v>
      </c>
      <c r="D16" s="29" t="n">
        <v>0</v>
      </c>
      <c r="E16" s="29" t="n">
        <v>0</v>
      </c>
      <c r="F16" s="29" t="n">
        <v>0</v>
      </c>
      <c r="G16" s="29" t="n">
        <v>0</v>
      </c>
      <c r="H16" s="29" t="n">
        <v>12.5244</v>
      </c>
      <c r="I16" s="29" t="n">
        <v>25.0488</v>
      </c>
      <c r="J16" s="29" t="n">
        <v>18.7866</v>
      </c>
      <c r="K16" s="29" t="n">
        <v>13.77684</v>
      </c>
      <c r="L16" s="29" t="n">
        <v>13.77684</v>
      </c>
      <c r="M16" s="29" t="n">
        <v>13.77684</v>
      </c>
      <c r="N16" s="29" t="n">
        <v>13.77684</v>
      </c>
      <c r="O16" s="29" t="n">
        <v>13.77684</v>
      </c>
      <c r="P16" s="29" t="n">
        <v>13.77684</v>
      </c>
      <c r="Q16" s="29" t="n">
        <v>13.77684</v>
      </c>
      <c r="R16" s="29" t="n">
        <v>113.97204</v>
      </c>
      <c r="S16" s="29" t="n">
        <v>13.77684</v>
      </c>
      <c r="T16" s="29" t="n">
        <v>13.77684</v>
      </c>
      <c r="U16" s="29" t="n">
        <v>13.77684</v>
      </c>
      <c r="V16" s="29" t="n">
        <v>12.5244</v>
      </c>
      <c r="W16" s="29" t="n">
        <v>11.27196</v>
      </c>
      <c r="X16" s="29" t="n">
        <v>11.27196</v>
      </c>
      <c r="Y16" s="29" t="n">
        <v>11.27196</v>
      </c>
      <c r="Z16" s="29" t="n">
        <v>11.27196</v>
      </c>
      <c r="AA16" s="29" t="n">
        <v>10.01952</v>
      </c>
      <c r="AB16" s="29" t="n">
        <v>10.01952</v>
      </c>
      <c r="AC16" s="29" t="n">
        <v>10.01952</v>
      </c>
      <c r="AD16" s="29" t="n">
        <v>10.01952</v>
      </c>
      <c r="AE16" s="29" t="n">
        <v>10.01952</v>
      </c>
      <c r="AF16" s="29" t="n">
        <v>10.01952</v>
      </c>
      <c r="AG16" s="29" t="n">
        <v>10.01952</v>
      </c>
      <c r="AH16" s="29" t="n">
        <v>10.01952</v>
      </c>
      <c r="AI16" s="29" t="n">
        <v>10.01952</v>
      </c>
      <c r="AJ16" s="29" t="n">
        <v>10.01952</v>
      </c>
      <c r="AK16" s="29" t="n">
        <v>10.01952</v>
      </c>
      <c r="AL16" s="29" t="n">
        <v>10.01952</v>
      </c>
      <c r="AM16" s="29" t="n">
        <v>5.00976</v>
      </c>
      <c r="AN16" s="29" t="n">
        <v>5.00976</v>
      </c>
      <c r="AO16" s="29" t="n">
        <v>5.00976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206</v>
      </c>
      <c r="B17" s="6" t="s">
        <v>207</v>
      </c>
      <c r="C17" s="28" t="n">
        <f aca="false">SUM(D17:BK17)</f>
        <v>724.626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362.313</v>
      </c>
      <c r="M17" s="29" t="n">
        <v>362.313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208</v>
      </c>
    </row>
    <row r="2" customFormat="false" ht="15" hidden="false" customHeight="false" outlineLevel="0" collapsed="false">
      <c r="A2" s="6" t="s">
        <v>209</v>
      </c>
    </row>
    <row r="4" customFormat="false" ht="15" hidden="false" customHeight="false" outlineLevel="0" collapsed="false">
      <c r="A4" s="7" t="s">
        <v>210</v>
      </c>
      <c r="B4" s="7" t="s">
        <v>85</v>
      </c>
      <c r="C4" s="7" t="s">
        <v>181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211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184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212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213</v>
      </c>
      <c r="C8" s="28" t="n">
        <f aca="false">SUM(D8:BK8)</f>
        <v>2673.73575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0</v>
      </c>
      <c r="G8" s="32" t="n">
        <f aca="false">Source_Data!G$7+Source_Data!G$8</f>
        <v>0</v>
      </c>
      <c r="H8" s="32" t="n">
        <f aca="false">Source_Data!H$7+Source_Data!H$8</f>
        <v>18.11565</v>
      </c>
      <c r="I8" s="32" t="n">
        <f aca="false">Source_Data!I$7+Source_Data!I$8</f>
        <v>36.2313</v>
      </c>
      <c r="J8" s="32" t="n">
        <f aca="false">Source_Data!J$7+Source_Data!J$8</f>
        <v>58.260825</v>
      </c>
      <c r="K8" s="32" t="n">
        <f aca="false">Source_Data!K$7+Source_Data!K$8</f>
        <v>69.01839</v>
      </c>
      <c r="L8" s="32" t="n">
        <f aca="false">Source_Data!L$7+Source_Data!L$8</f>
        <v>67.087545</v>
      </c>
      <c r="M8" s="32" t="n">
        <f aca="false">Source_Data!M$7+Source_Data!M$8</f>
        <v>72.9732675</v>
      </c>
      <c r="N8" s="32" t="n">
        <f aca="false">Source_Data!N$7+Source_Data!N$8</f>
        <v>88.871055</v>
      </c>
      <c r="O8" s="32" t="n">
        <f aca="false">Source_Data!O$7+Source_Data!O$8</f>
        <v>105.60753</v>
      </c>
      <c r="P8" s="32" t="n">
        <f aca="false">Source_Data!P$7+Source_Data!P$8</f>
        <v>115.25243625</v>
      </c>
      <c r="Q8" s="32" t="n">
        <f aca="false">Source_Data!Q$7+Source_Data!Q$8</f>
        <v>124.8973425</v>
      </c>
      <c r="R8" s="32" t="n">
        <f aca="false">Source_Data!R$7+Source_Data!R$8</f>
        <v>683.0904675</v>
      </c>
      <c r="S8" s="32" t="n">
        <f aca="false">Source_Data!S$7+Source_Data!S$8</f>
        <v>171.6401925</v>
      </c>
      <c r="T8" s="32" t="n">
        <f aca="false">Source_Data!T$7+Source_Data!T$8</f>
        <v>112.5965925</v>
      </c>
      <c r="U8" s="32" t="n">
        <f aca="false">Source_Data!U$7+Source_Data!U$8</f>
        <v>89.3369925</v>
      </c>
      <c r="V8" s="32" t="n">
        <f aca="false">Source_Data!V$7+Source_Data!V$8</f>
        <v>87.5254275</v>
      </c>
      <c r="W8" s="32" t="n">
        <f aca="false">Source_Data!W$7+Source_Data!W$8</f>
        <v>85.7138625</v>
      </c>
      <c r="X8" s="32" t="n">
        <f aca="false">Source_Data!X$7+Source_Data!X$8</f>
        <v>77.279461875</v>
      </c>
      <c r="Y8" s="32" t="n">
        <f aca="false">Source_Data!Y$7+Source_Data!Y$8</f>
        <v>70.15341375</v>
      </c>
      <c r="Z8" s="32" t="n">
        <f aca="false">Source_Data!Z$7+Source_Data!Z$8</f>
        <v>61.33787625</v>
      </c>
      <c r="AA8" s="32" t="n">
        <f aca="false">Source_Data!AA$7+Source_Data!AA$8</f>
        <v>51.04624875</v>
      </c>
      <c r="AB8" s="32" t="n">
        <f aca="false">Source_Data!AB$7+Source_Data!AB$8</f>
        <v>51.04624875</v>
      </c>
      <c r="AC8" s="32" t="n">
        <f aca="false">Source_Data!AC$7+Source_Data!AC$8</f>
        <v>51.04624875</v>
      </c>
      <c r="AD8" s="32" t="n">
        <f aca="false">Source_Data!AD$7+Source_Data!AD$8</f>
        <v>51.04624875</v>
      </c>
      <c r="AE8" s="32" t="n">
        <f aca="false">Source_Data!AE$7+Source_Data!AE$8</f>
        <v>51.04624875</v>
      </c>
      <c r="AF8" s="32" t="n">
        <f aca="false">Source_Data!AF$7+Source_Data!AF$8</f>
        <v>43.931383125</v>
      </c>
      <c r="AG8" s="32" t="n">
        <f aca="false">Source_Data!AG$7+Source_Data!AG$8</f>
        <v>36.8165175</v>
      </c>
      <c r="AH8" s="32" t="n">
        <f aca="false">Source_Data!AH$7+Source_Data!AH$8</f>
        <v>32.958555</v>
      </c>
      <c r="AI8" s="32" t="n">
        <f aca="false">Source_Data!AI$7+Source_Data!AI$8</f>
        <v>29.1005925</v>
      </c>
      <c r="AJ8" s="32" t="n">
        <f aca="false">Source_Data!AJ$7+Source_Data!AJ$8</f>
        <v>22.8831225</v>
      </c>
      <c r="AK8" s="32" t="n">
        <f aca="false">Source_Data!AK$7+Source_Data!AK$8</f>
        <v>19.2823575</v>
      </c>
      <c r="AL8" s="32" t="n">
        <f aca="false">Source_Data!AL$7+Source_Data!AL$8</f>
        <v>16.80357</v>
      </c>
      <c r="AM8" s="32" t="n">
        <f aca="false">Source_Data!AM$7+Source_Data!AM$8</f>
        <v>7.24626</v>
      </c>
      <c r="AN8" s="32" t="n">
        <f aca="false">Source_Data!AN$7+Source_Data!AN$8</f>
        <v>7.24626</v>
      </c>
      <c r="AO8" s="32" t="n">
        <f aca="false">Source_Data!AO$7+Source_Data!AO$8</f>
        <v>7.24626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214</v>
      </c>
      <c r="C9" s="28" t="n">
        <f aca="false">SUM(D9:BK9)</f>
        <v>1169.759390625</v>
      </c>
      <c r="D9" s="32" t="n">
        <f aca="false">Source_Data!D$9+Source_Data!D$10</f>
        <v>0</v>
      </c>
      <c r="E9" s="32" t="n">
        <f aca="false">Source_Data!E$9+Source_Data!E$10</f>
        <v>0</v>
      </c>
      <c r="F9" s="32" t="n">
        <f aca="false">Source_Data!F$9+Source_Data!F$10</f>
        <v>0</v>
      </c>
      <c r="G9" s="32" t="n">
        <f aca="false">Source_Data!G$9+Source_Data!G$10</f>
        <v>85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45</v>
      </c>
      <c r="M9" s="32" t="n">
        <f aca="false">Source_Data!M$9+Source_Data!M$10</f>
        <v>45</v>
      </c>
      <c r="N9" s="32" t="n">
        <f aca="false">Source_Data!N$9+Source_Data!N$10</f>
        <v>45</v>
      </c>
      <c r="O9" s="32" t="n">
        <f aca="false">Source_Data!O$9+Source_Data!O$10</f>
        <v>45</v>
      </c>
      <c r="P9" s="32" t="n">
        <f aca="false">Source_Data!P$9+Source_Data!P$10</f>
        <v>56.25</v>
      </c>
      <c r="Q9" s="32" t="n">
        <f aca="false">Source_Data!Q$9+Source_Data!Q$10</f>
        <v>56.25</v>
      </c>
      <c r="R9" s="32" t="n">
        <f aca="false">Source_Data!R$9+Source_Data!R$10</f>
        <v>56.25</v>
      </c>
      <c r="S9" s="32" t="n">
        <f aca="false">Source_Data!S$9+Source_Data!S$10</f>
        <v>56.25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241.1916115625</v>
      </c>
      <c r="AG9" s="32" t="n">
        <f aca="false">Source_Data!AG$9+Source_Data!AG$10</f>
        <v>16.10722640625</v>
      </c>
      <c r="AH9" s="32" t="n">
        <f aca="false">Source_Data!AH$9+Source_Data!AH$10</f>
        <v>14.4193678125</v>
      </c>
      <c r="AI9" s="32" t="n">
        <f aca="false">Source_Data!AI$9+Source_Data!AI$10</f>
        <v>12.73150921875</v>
      </c>
      <c r="AJ9" s="32" t="n">
        <f aca="false">Source_Data!AJ$9+Source_Data!AJ$10</f>
        <v>10.01136609375</v>
      </c>
      <c r="AK9" s="32" t="n">
        <f aca="false">Source_Data!AK$9+Source_Data!AK$10</f>
        <v>8.43603140625001</v>
      </c>
      <c r="AL9" s="32" t="n">
        <f aca="false">Source_Data!AL$9+Source_Data!AL$10</f>
        <v>7.35156187500001</v>
      </c>
      <c r="AM9" s="32" t="n">
        <f aca="false">Source_Data!AM$9+Source_Data!AM$10</f>
        <v>3.17023875000001</v>
      </c>
      <c r="AN9" s="32" t="n">
        <f aca="false">Source_Data!AN$9+Source_Data!AN$10</f>
        <v>3.17023875000001</v>
      </c>
      <c r="AO9" s="32" t="n">
        <f aca="false">Source_Data!AO$9+Source_Data!AO$10</f>
        <v>3.17023875000001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194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0</v>
      </c>
      <c r="I10" s="32" t="n">
        <f aca="false">Source_Data!I$11</f>
        <v>0</v>
      </c>
      <c r="J10" s="32" t="n">
        <f aca="false">Source_Data!J$11</f>
        <v>20</v>
      </c>
      <c r="K10" s="32" t="n">
        <f aca="false">Source_Data!K$11</f>
        <v>26.4</v>
      </c>
      <c r="L10" s="32" t="n">
        <f aca="false">Source_Data!L$11</f>
        <v>40</v>
      </c>
      <c r="M10" s="32" t="n">
        <f aca="false">Source_Data!M$11</f>
        <v>26.4</v>
      </c>
      <c r="N10" s="32" t="n">
        <f aca="false">Source_Data!N$11</f>
        <v>26.4</v>
      </c>
      <c r="O10" s="32" t="n">
        <f aca="false">Source_Data!O$11</f>
        <v>26.4</v>
      </c>
      <c r="P10" s="32" t="n">
        <f aca="false">Source_Data!P$11</f>
        <v>5.28</v>
      </c>
      <c r="Q10" s="32" t="n">
        <f aca="false">Source_Data!Q$11</f>
        <v>5.28</v>
      </c>
      <c r="R10" s="32" t="n">
        <f aca="false">Source_Data!R$11</f>
        <v>120</v>
      </c>
      <c r="S10" s="32" t="n">
        <f aca="false">Source_Data!S$11</f>
        <v>120</v>
      </c>
      <c r="T10" s="32" t="n">
        <f aca="false">Source_Data!T$11</f>
        <v>164</v>
      </c>
      <c r="U10" s="32" t="n">
        <f aca="false">Source_Data!U$11</f>
        <v>117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196</v>
      </c>
      <c r="C11" s="28" t="n">
        <f aca="false">SUM(D11:BK11)</f>
        <v>106.94943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0</v>
      </c>
      <c r="K11" s="32" t="n">
        <f aca="false">Source_Data!K$12</f>
        <v>0</v>
      </c>
      <c r="L11" s="32" t="n">
        <f aca="false">Source_Data!L$12</f>
        <v>14.49252</v>
      </c>
      <c r="M11" s="32" t="n">
        <f aca="false">Source_Data!M$12</f>
        <v>14.49252</v>
      </c>
      <c r="N11" s="32" t="n">
        <f aca="false">Source_Data!N$12</f>
        <v>12.43494</v>
      </c>
      <c r="O11" s="32" t="n">
        <f aca="false">Source_Data!O$12</f>
        <v>7.20153</v>
      </c>
      <c r="P11" s="32" t="n">
        <f aca="false">Source_Data!P$12</f>
        <v>7.93212</v>
      </c>
      <c r="Q11" s="32" t="n">
        <f aca="false">Source_Data!Q$12</f>
        <v>7.39536</v>
      </c>
      <c r="R11" s="32" t="n">
        <f aca="false">Source_Data!R$12</f>
        <v>7.54446</v>
      </c>
      <c r="S11" s="32" t="n">
        <f aca="false">Source_Data!S$12</f>
        <v>7.54446</v>
      </c>
      <c r="T11" s="32" t="n">
        <f aca="false">Source_Data!T$12</f>
        <v>8.23032</v>
      </c>
      <c r="U11" s="32" t="n">
        <f aca="false">Source_Data!U$12</f>
        <v>8.23032</v>
      </c>
      <c r="V11" s="32" t="n">
        <f aca="false">Source_Data!V$12</f>
        <v>5.72544</v>
      </c>
      <c r="W11" s="32" t="n">
        <f aca="false">Source_Data!W$12</f>
        <v>5.72544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215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0</v>
      </c>
      <c r="I12" s="32" t="n">
        <f aca="false">Source_Data!I$13</f>
        <v>0</v>
      </c>
      <c r="J12" s="32" t="n">
        <f aca="false">Source_Data!J$13</f>
        <v>3</v>
      </c>
      <c r="K12" s="32" t="n">
        <f aca="false">Source_Data!K$13</f>
        <v>3.96</v>
      </c>
      <c r="L12" s="32" t="n">
        <f aca="false">Source_Data!L$13</f>
        <v>6</v>
      </c>
      <c r="M12" s="32" t="n">
        <f aca="false">Source_Data!M$13</f>
        <v>3.96</v>
      </c>
      <c r="N12" s="32" t="n">
        <f aca="false">Source_Data!N$13</f>
        <v>3.96</v>
      </c>
      <c r="O12" s="32" t="n">
        <f aca="false">Source_Data!O$13</f>
        <v>3.96</v>
      </c>
      <c r="P12" s="32" t="n">
        <f aca="false">Source_Data!P$13</f>
        <v>0.792</v>
      </c>
      <c r="Q12" s="32" t="n">
        <f aca="false">Source_Data!Q$13</f>
        <v>0.792</v>
      </c>
      <c r="R12" s="32" t="n">
        <f aca="false">Source_Data!R$13</f>
        <v>18</v>
      </c>
      <c r="S12" s="32" t="n">
        <f aca="false">Source_Data!S$13</f>
        <v>18</v>
      </c>
      <c r="T12" s="32" t="n">
        <f aca="false">Source_Data!T$13</f>
        <v>24.6</v>
      </c>
      <c r="U12" s="32" t="n">
        <f aca="false">Source_Data!U$13</f>
        <v>17.55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216</v>
      </c>
      <c r="C13" s="28" t="n">
        <f aca="false">SUM(D13:BK13)</f>
        <v>595.292929375</v>
      </c>
      <c r="D13" s="33" t="n">
        <f aca="false">D8-D9-D10-D11-D12</f>
        <v>0</v>
      </c>
      <c r="E13" s="33" t="n">
        <f aca="false">E8-E9-E10-E11-E12</f>
        <v>0</v>
      </c>
      <c r="F13" s="33" t="n">
        <f aca="false">F8-F9-F10-F11-F12</f>
        <v>0</v>
      </c>
      <c r="G13" s="33" t="n">
        <f aca="false">G8-G9-G10-G11-G12</f>
        <v>-85</v>
      </c>
      <c r="H13" s="33" t="n">
        <f aca="false">H8-H9-H10-H11-H12</f>
        <v>-4.38435</v>
      </c>
      <c r="I13" s="33" t="n">
        <f aca="false">I8-I9-I10-I11-I12</f>
        <v>13.7313</v>
      </c>
      <c r="J13" s="33" t="n">
        <f aca="false">J8-J9-J10-J11-J12</f>
        <v>12.760825</v>
      </c>
      <c r="K13" s="33" t="n">
        <f aca="false">K8-K9-K10-K11-K12</f>
        <v>16.15839</v>
      </c>
      <c r="L13" s="33" t="n">
        <f aca="false">L8-L9-L10-L11-L12</f>
        <v>-38.404975</v>
      </c>
      <c r="M13" s="33" t="n">
        <f aca="false">M8-M9-M10-M11-M12</f>
        <v>-16.8792525</v>
      </c>
      <c r="N13" s="33" t="n">
        <f aca="false">N8-N9-N10-N11-N12</f>
        <v>1.07611500000001</v>
      </c>
      <c r="O13" s="33" t="n">
        <f aca="false">O8-O9-O10-O11-O12</f>
        <v>23.046</v>
      </c>
      <c r="P13" s="33" t="n">
        <f aca="false">P8-P9-P10-P11-P12</f>
        <v>44.99831625</v>
      </c>
      <c r="Q13" s="33" t="n">
        <f aca="false">Q8-Q9-Q10-Q11-Q12</f>
        <v>55.1799825</v>
      </c>
      <c r="R13" s="33" t="n">
        <f aca="false">R8-R9-R10-R11-R12</f>
        <v>481.2960075</v>
      </c>
      <c r="S13" s="33" t="n">
        <f aca="false">S8-S9-S10-S11-S12</f>
        <v>-30.1542675</v>
      </c>
      <c r="T13" s="33" t="n">
        <f aca="false">T8-T9-T10-T11-T12</f>
        <v>-129.2337275</v>
      </c>
      <c r="U13" s="33" t="n">
        <f aca="false">U8-U9-U10-U11-U12</f>
        <v>-98.4433275000001</v>
      </c>
      <c r="V13" s="33" t="n">
        <f aca="false">V8-V9-V10-V11-V12</f>
        <v>36.7999875</v>
      </c>
      <c r="W13" s="33" t="n">
        <f aca="false">W8-W9-W10-W11-W12</f>
        <v>34.9884225</v>
      </c>
      <c r="X13" s="33" t="n">
        <f aca="false">X8-X9-X10-X11-X12</f>
        <v>54.779461875</v>
      </c>
      <c r="Y13" s="33" t="n">
        <f aca="false">Y8-Y9-Y10-Y11-Y12</f>
        <v>47.65341375</v>
      </c>
      <c r="Z13" s="33" t="n">
        <f aca="false">Z8-Z9-Z10-Z11-Z12</f>
        <v>38.83787625</v>
      </c>
      <c r="AA13" s="33" t="n">
        <f aca="false">AA8-AA9-AA10-AA11-AA12</f>
        <v>28.54624875</v>
      </c>
      <c r="AB13" s="33" t="n">
        <f aca="false">AB8-AB9-AB10-AB11-AB12</f>
        <v>51.04624875</v>
      </c>
      <c r="AC13" s="33" t="n">
        <f aca="false">AC8-AC9-AC10-AC11-AC12</f>
        <v>51.04624875</v>
      </c>
      <c r="AD13" s="33" t="n">
        <f aca="false">AD8-AD9-AD10-AD11-AD12</f>
        <v>51.04624875</v>
      </c>
      <c r="AE13" s="33" t="n">
        <f aca="false">AE8-AE9-AE10-AE11-AE12</f>
        <v>51.04624875</v>
      </c>
      <c r="AF13" s="33" t="n">
        <f aca="false">AF8-AF9-AF10-AF11-AF12</f>
        <v>-197.2602284375</v>
      </c>
      <c r="AG13" s="33" t="n">
        <f aca="false">AG8-AG9-AG10-AG11-AG12</f>
        <v>20.70929109375</v>
      </c>
      <c r="AH13" s="33" t="n">
        <f aca="false">AH8-AH9-AH10-AH11-AH12</f>
        <v>18.5391871875</v>
      </c>
      <c r="AI13" s="33" t="n">
        <f aca="false">AI8-AI9-AI10-AI11-AI12</f>
        <v>16.36908328125</v>
      </c>
      <c r="AJ13" s="33" t="n">
        <f aca="false">AJ8-AJ9-AJ10-AJ11-AJ12</f>
        <v>12.87175640625</v>
      </c>
      <c r="AK13" s="33" t="n">
        <f aca="false">AK8-AK9-AK10-AK11-AK12</f>
        <v>10.84632609375</v>
      </c>
      <c r="AL13" s="33" t="n">
        <f aca="false">AL8-AL9-AL10-AL11-AL12</f>
        <v>9.45200812499999</v>
      </c>
      <c r="AM13" s="33" t="n">
        <f aca="false">AM8-AM9-AM10-AM11-AM12</f>
        <v>4.07602125</v>
      </c>
      <c r="AN13" s="33" t="n">
        <f aca="false">AN8-AN9-AN10-AN11-AN12</f>
        <v>4.07602125</v>
      </c>
      <c r="AO13" s="33" t="n">
        <f aca="false">AO8-AO9-AO10-AO11-AO12</f>
        <v>4.07602125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217</v>
      </c>
      <c r="D14" s="33" t="n">
        <f aca="false">D13</f>
        <v>0</v>
      </c>
      <c r="E14" s="33" t="n">
        <f aca="false">D14+E13</f>
        <v>0</v>
      </c>
      <c r="F14" s="33" t="n">
        <f aca="false">E14+F13</f>
        <v>0</v>
      </c>
      <c r="G14" s="33" t="n">
        <f aca="false">F14+G13</f>
        <v>-85</v>
      </c>
      <c r="H14" s="33" t="n">
        <f aca="false">G14+H13</f>
        <v>-89.38435</v>
      </c>
      <c r="I14" s="33" t="n">
        <f aca="false">H14+I13</f>
        <v>-75.65305</v>
      </c>
      <c r="J14" s="33" t="n">
        <f aca="false">I14+J13</f>
        <v>-62.892225</v>
      </c>
      <c r="K14" s="33" t="n">
        <f aca="false">J14+K13</f>
        <v>-46.733835</v>
      </c>
      <c r="L14" s="33" t="n">
        <f aca="false">K14+L13</f>
        <v>-85.13881</v>
      </c>
      <c r="M14" s="33" t="n">
        <f aca="false">L14+M13</f>
        <v>-102.0180625</v>
      </c>
      <c r="N14" s="33" t="n">
        <f aca="false">M14+N13</f>
        <v>-100.9419475</v>
      </c>
      <c r="O14" s="33" t="n">
        <f aca="false">N14+O13</f>
        <v>-77.8959475</v>
      </c>
      <c r="P14" s="33" t="n">
        <f aca="false">O14+P13</f>
        <v>-32.89763125</v>
      </c>
      <c r="Q14" s="33" t="n">
        <f aca="false">P14+Q13</f>
        <v>22.28235125</v>
      </c>
      <c r="R14" s="33" t="n">
        <f aca="false">Q14+R13</f>
        <v>503.57835875</v>
      </c>
      <c r="S14" s="33" t="n">
        <f aca="false">R14+S13</f>
        <v>473.42409125</v>
      </c>
      <c r="T14" s="33" t="n">
        <f aca="false">S14+T13</f>
        <v>344.19036375</v>
      </c>
      <c r="U14" s="33" t="n">
        <f aca="false">T14+U13</f>
        <v>245.74703625</v>
      </c>
      <c r="V14" s="33" t="n">
        <f aca="false">U14+V13</f>
        <v>282.54702375</v>
      </c>
      <c r="W14" s="33" t="n">
        <f aca="false">V14+W13</f>
        <v>317.53544625</v>
      </c>
      <c r="X14" s="33" t="n">
        <f aca="false">W14+X13</f>
        <v>372.314908125</v>
      </c>
      <c r="Y14" s="33" t="n">
        <f aca="false">X14+Y13</f>
        <v>419.968321875</v>
      </c>
      <c r="Z14" s="33" t="n">
        <f aca="false">Y14+Z13</f>
        <v>458.806198125</v>
      </c>
      <c r="AA14" s="33" t="n">
        <f aca="false">Z14+AA13</f>
        <v>487.352446875</v>
      </c>
      <c r="AB14" s="33" t="n">
        <f aca="false">AA14+AB13</f>
        <v>538.398695625</v>
      </c>
      <c r="AC14" s="33" t="n">
        <f aca="false">AB14+AC13</f>
        <v>589.444944375</v>
      </c>
      <c r="AD14" s="33" t="n">
        <f aca="false">AC14+AD13</f>
        <v>640.491193125</v>
      </c>
      <c r="AE14" s="33" t="n">
        <f aca="false">AD14+AE13</f>
        <v>691.537441875</v>
      </c>
      <c r="AF14" s="33" t="n">
        <f aca="false">AE14+AF13</f>
        <v>494.2772134375</v>
      </c>
      <c r="AG14" s="33" t="n">
        <f aca="false">AF14+AG13</f>
        <v>514.98650453125</v>
      </c>
      <c r="AH14" s="33" t="n">
        <f aca="false">AG14+AH13</f>
        <v>533.52569171875</v>
      </c>
      <c r="AI14" s="33" t="n">
        <f aca="false">AH14+AI13</f>
        <v>549.894775</v>
      </c>
      <c r="AJ14" s="33" t="n">
        <f aca="false">AI14+AJ13</f>
        <v>562.76653140625</v>
      </c>
      <c r="AK14" s="33" t="n">
        <f aca="false">AJ14+AK13</f>
        <v>573.6128575</v>
      </c>
      <c r="AL14" s="33" t="n">
        <f aca="false">AK14+AL13</f>
        <v>583.064865625</v>
      </c>
      <c r="AM14" s="33" t="n">
        <f aca="false">AL14+AM13</f>
        <v>587.140886875</v>
      </c>
      <c r="AN14" s="33" t="n">
        <f aca="false">AM14+AN13</f>
        <v>591.216908125</v>
      </c>
      <c r="AO14" s="33" t="n">
        <f aca="false">AN14+AO13</f>
        <v>595.292929375</v>
      </c>
      <c r="AP14" s="33" t="n">
        <f aca="false">AO14+AP13</f>
        <v>595.292929375</v>
      </c>
      <c r="AQ14" s="33" t="n">
        <f aca="false">AP14+AQ13</f>
        <v>595.292929375</v>
      </c>
      <c r="AR14" s="33" t="n">
        <f aca="false">AQ14+AR13</f>
        <v>595.292929375</v>
      </c>
      <c r="AS14" s="33" t="n">
        <f aca="false">AR14+AS13</f>
        <v>595.292929375</v>
      </c>
      <c r="AT14" s="33" t="n">
        <f aca="false">AS14+AT13</f>
        <v>595.292929375</v>
      </c>
      <c r="AU14" s="33" t="n">
        <f aca="false">AT14+AU13</f>
        <v>595.292929375</v>
      </c>
      <c r="AV14" s="33" t="n">
        <f aca="false">AU14+AV13</f>
        <v>595.292929375</v>
      </c>
      <c r="AW14" s="33" t="n">
        <f aca="false">AV14+AW13</f>
        <v>595.292929375</v>
      </c>
      <c r="AX14" s="33" t="n">
        <f aca="false">AW14+AX13</f>
        <v>595.292929375</v>
      </c>
      <c r="AY14" s="33" t="n">
        <f aca="false">AX14+AY13</f>
        <v>595.292929375</v>
      </c>
      <c r="AZ14" s="33" t="n">
        <f aca="false">AY14+AZ13</f>
        <v>595.292929375</v>
      </c>
      <c r="BA14" s="33" t="n">
        <f aca="false">AZ14+BA13</f>
        <v>595.292929375</v>
      </c>
      <c r="BB14" s="33" t="n">
        <f aca="false">BA14+BB13</f>
        <v>595.292929375</v>
      </c>
      <c r="BC14" s="33" t="n">
        <f aca="false">BB14+BC13</f>
        <v>595.292929375</v>
      </c>
      <c r="BD14" s="33" t="n">
        <f aca="false">BC14+BD13</f>
        <v>595.292929375</v>
      </c>
      <c r="BE14" s="33" t="n">
        <f aca="false">BD14+BE13</f>
        <v>595.292929375</v>
      </c>
      <c r="BF14" s="33" t="n">
        <f aca="false">BE14+BF13</f>
        <v>595.292929375</v>
      </c>
      <c r="BG14" s="33" t="n">
        <f aca="false">BF14+BG13</f>
        <v>595.292929375</v>
      </c>
      <c r="BH14" s="33" t="n">
        <f aca="false">BG14+BH13</f>
        <v>595.292929375</v>
      </c>
      <c r="BI14" s="33" t="n">
        <f aca="false">BH14+BI13</f>
        <v>595.292929375</v>
      </c>
      <c r="BJ14" s="33" t="n">
        <f aca="false">BI14+BJ13</f>
        <v>595.292929375</v>
      </c>
      <c r="BK14" s="33" t="n">
        <f aca="false">BJ14+BK13</f>
        <v>595.292929375</v>
      </c>
    </row>
    <row r="15" customFormat="false" ht="15" hidden="false" customHeight="false" outlineLevel="0" collapsed="false">
      <c r="A15" s="3" t="s">
        <v>218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219</v>
      </c>
      <c r="C16" s="28" t="n">
        <f aca="false">SUM(D16:BK16)</f>
        <v>307.532371091529</v>
      </c>
      <c r="D16" s="33" t="n">
        <f aca="false">D13*D15</f>
        <v>0</v>
      </c>
      <c r="E16" s="33" t="n">
        <f aca="false">E13*E15</f>
        <v>0</v>
      </c>
      <c r="F16" s="33" t="n">
        <f aca="false">F13*F15</f>
        <v>0</v>
      </c>
      <c r="G16" s="33" t="n">
        <f aca="false">G13*G15</f>
        <v>-74.5614035087719</v>
      </c>
      <c r="H16" s="33" t="n">
        <f aca="false">H13*H15</f>
        <v>-3.72198100295069</v>
      </c>
      <c r="I16" s="33" t="n">
        <f aca="false">I13*I15</f>
        <v>11.2811761005015</v>
      </c>
      <c r="J16" s="33" t="n">
        <f aca="false">J13*J15</f>
        <v>10.1460094626033</v>
      </c>
      <c r="K16" s="33" t="n">
        <f aca="false">K13*K15</f>
        <v>12.4333564173592</v>
      </c>
      <c r="L16" s="33" t="n">
        <f aca="false">L13*L15</f>
        <v>-28.5990476431014</v>
      </c>
      <c r="M16" s="33" t="n">
        <f aca="false">M13*M15</f>
        <v>-12.1644108968951</v>
      </c>
      <c r="N16" s="33" t="n">
        <f aca="false">N13*N15</f>
        <v>0.750533953120125</v>
      </c>
      <c r="O16" s="33" t="n">
        <f aca="false">O13*O15</f>
        <v>15.5553935623917</v>
      </c>
      <c r="P16" s="33" t="n">
        <f aca="false">P13*P15</f>
        <v>29.3937838872391</v>
      </c>
      <c r="Q16" s="33" t="n">
        <f aca="false">Q13*Q15</f>
        <v>34.8830603025129</v>
      </c>
      <c r="R16" s="33" t="n">
        <f aca="false">R13*R15</f>
        <v>294.455090383123</v>
      </c>
      <c r="S16" s="33" t="n">
        <f aca="false">S13*S15</f>
        <v>-17.8537470652949</v>
      </c>
      <c r="T16" s="33" t="n">
        <f aca="false">T13*T15</f>
        <v>-74.0508849103247</v>
      </c>
      <c r="U16" s="33" t="n">
        <f aca="false">U13*U15</f>
        <v>-54.5901709021899</v>
      </c>
      <c r="V16" s="33" t="n">
        <f aca="false">V13*V15</f>
        <v>19.7492054285202</v>
      </c>
      <c r="W16" s="33" t="n">
        <f aca="false">W13*W15</f>
        <v>18.1718902618819</v>
      </c>
      <c r="X16" s="33" t="n">
        <f aca="false">X13*X15</f>
        <v>27.5338721909892</v>
      </c>
      <c r="Y16" s="33" t="n">
        <f aca="false">Y13*Y15</f>
        <v>23.180208355984</v>
      </c>
      <c r="Z16" s="33" t="n">
        <f aca="false">Z13*Z15</f>
        <v>18.2832155083076</v>
      </c>
      <c r="AA16" s="33" t="n">
        <f aca="false">AA13*AA15</f>
        <v>13.0052869173426</v>
      </c>
      <c r="AB16" s="33" t="n">
        <f aca="false">AB13*AB15</f>
        <v>22.5065284394859</v>
      </c>
      <c r="AC16" s="33" t="n">
        <f aca="false">AC13*AC15</f>
        <v>21.7812248737703</v>
      </c>
      <c r="AD16" s="33" t="n">
        <f aca="false">AD13*AD15</f>
        <v>21.0792952043824</v>
      </c>
      <c r="AE16" s="33" t="n">
        <f aca="false">AE13*AE15</f>
        <v>20.3999861756436</v>
      </c>
      <c r="AF16" s="33" t="n">
        <f aca="false">AF13*AF15</f>
        <v>-76.292063140612</v>
      </c>
      <c r="AG16" s="33" t="n">
        <f aca="false">AG13*AG15</f>
        <v>7.75137678008805</v>
      </c>
      <c r="AH16" s="33" t="n">
        <f aca="false">AH13*AH15</f>
        <v>6.71549595149905</v>
      </c>
      <c r="AI16" s="33" t="n">
        <f aca="false">AI13*AI15</f>
        <v>5.73833036384838</v>
      </c>
      <c r="AJ16" s="33" t="n">
        <f aca="false">AJ13*AJ15</f>
        <v>4.36689539344619</v>
      </c>
      <c r="AK16" s="33" t="n">
        <f aca="false">AK13*AK15</f>
        <v>3.56115946167647</v>
      </c>
      <c r="AL16" s="33" t="n">
        <f aca="false">AL13*AL15</f>
        <v>3.00335477697728</v>
      </c>
      <c r="AM16" s="33" t="n">
        <f aca="false">AM13*AM15</f>
        <v>1.25340890960668</v>
      </c>
      <c r="AN16" s="33" t="n">
        <f aca="false">AN13*AN15</f>
        <v>1.21301609852159</v>
      </c>
      <c r="AO16" s="33" t="n">
        <f aca="false">AO13*AO15</f>
        <v>1.1739250008477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220</v>
      </c>
      <c r="B18" s="34" t="n">
        <f aca="false">C13</f>
        <v>595.292929375</v>
      </c>
    </row>
    <row r="19" customFormat="false" ht="15" hidden="false" customHeight="false" outlineLevel="0" collapsed="false">
      <c r="A19" s="2" t="s">
        <v>221</v>
      </c>
      <c r="B19" s="34" t="n">
        <f aca="false">C16</f>
        <v>307.532371091529</v>
      </c>
    </row>
    <row r="20" customFormat="false" ht="15" hidden="false" customHeight="false" outlineLevel="0" collapsed="false">
      <c r="A20" s="2" t="s">
        <v>162</v>
      </c>
      <c r="B20" s="34" t="n">
        <f aca="false">MIN(D14:BK14)</f>
        <v>-102.0180625</v>
      </c>
    </row>
    <row r="21" customFormat="false" ht="15" hidden="false" customHeight="false" outlineLevel="0" collapsed="false">
      <c r="A21" s="2" t="s">
        <v>21</v>
      </c>
      <c r="B21" s="35" t="n">
        <f aca="false">INDEX(D6:BK6,MATCH(B20,D14:BK14,0))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222</v>
      </c>
    </row>
    <row r="2" customFormat="false" ht="15" hidden="false" customHeight="false" outlineLevel="0" collapsed="false">
      <c r="A2" s="6" t="s">
        <v>223</v>
      </c>
    </row>
    <row r="4" customFormat="false" ht="15" hidden="false" customHeight="false" outlineLevel="0" collapsed="false">
      <c r="A4" s="7" t="s">
        <v>224</v>
      </c>
      <c r="B4" s="7" t="s">
        <v>225</v>
      </c>
      <c r="C4" s="7" t="s">
        <v>226</v>
      </c>
    </row>
    <row r="5" customFormat="false" ht="15" hidden="false" customHeight="false" outlineLevel="0" collapsed="false">
      <c r="A5" s="3" t="s">
        <v>227</v>
      </c>
      <c r="B5" s="27" t="n">
        <f aca="false">Inputs!$B$21</f>
        <v>85</v>
      </c>
      <c r="C5" s="6" t="s">
        <v>228</v>
      </c>
    </row>
    <row r="6" customFormat="false" ht="15" hidden="false" customHeight="false" outlineLevel="0" collapsed="false">
      <c r="A6" s="3" t="s">
        <v>229</v>
      </c>
      <c r="B6" s="27" t="n">
        <f aca="false">-Project_CF!$B$20-Inputs!$B$21</f>
        <v>17.0180625</v>
      </c>
      <c r="C6" s="6" t="s">
        <v>230</v>
      </c>
    </row>
    <row r="7" customFormat="false" ht="15" hidden="false" customHeight="false" outlineLevel="0" collapsed="false">
      <c r="A7" s="3" t="s">
        <v>231</v>
      </c>
      <c r="B7" s="27" t="n">
        <f aca="false">Inputs!$B$24*Project_CF!$C$10*Inputs!$B$25</f>
        <v>10.4574</v>
      </c>
      <c r="C7" s="6" t="s">
        <v>232</v>
      </c>
    </row>
    <row r="8" customFormat="false" ht="15" hidden="false" customHeight="false" outlineLevel="0" collapsed="false">
      <c r="A8" s="2" t="s">
        <v>233</v>
      </c>
      <c r="B8" s="9" t="n">
        <f aca="false">SUM(B5:B7)</f>
        <v>112.4754625</v>
      </c>
      <c r="C8" s="6"/>
    </row>
    <row r="11" customFormat="false" ht="15" hidden="false" customHeight="false" outlineLevel="0" collapsed="false">
      <c r="A11" s="7" t="s">
        <v>234</v>
      </c>
      <c r="B11" s="7" t="s">
        <v>225</v>
      </c>
      <c r="C11" s="7" t="s">
        <v>226</v>
      </c>
    </row>
    <row r="12" customFormat="false" ht="15" hidden="false" customHeight="false" outlineLevel="0" collapsed="false">
      <c r="A12" s="3" t="s">
        <v>88</v>
      </c>
      <c r="B12" s="27" t="n">
        <f aca="false">Inputs!$B$7</f>
        <v>50</v>
      </c>
      <c r="C12" s="6" t="s">
        <v>235</v>
      </c>
    </row>
    <row r="13" customFormat="false" ht="15" hidden="false" customHeight="false" outlineLevel="0" collapsed="false">
      <c r="A13" s="3" t="s">
        <v>236</v>
      </c>
      <c r="B13" s="27" t="n">
        <f aca="false">MAX(0,B8-B12)</f>
        <v>62.4754625</v>
      </c>
      <c r="C13" s="6" t="s">
        <v>7</v>
      </c>
    </row>
    <row r="14" customFormat="false" ht="15" hidden="false" customHeight="false" outlineLevel="0" collapsed="false">
      <c r="A14" s="3" t="s">
        <v>237</v>
      </c>
      <c r="B14" s="27" t="n">
        <f aca="false">B12+B13</f>
        <v>112.4754625</v>
      </c>
      <c r="C14" s="6"/>
    </row>
    <row r="15" customFormat="false" ht="15" hidden="false" customHeight="false" outlineLevel="0" collapsed="false">
      <c r="A15" s="3" t="s">
        <v>238</v>
      </c>
      <c r="B15" s="27" t="n">
        <f aca="false">MAX(0,B12-B8)</f>
        <v>0</v>
      </c>
      <c r="C15" s="6" t="s">
        <v>239</v>
      </c>
    </row>
    <row r="16" customFormat="false" ht="15" hidden="false" customHeight="false" outlineLevel="0" collapsed="false">
      <c r="A16" s="3" t="s">
        <v>240</v>
      </c>
      <c r="B16" s="36" t="n">
        <f aca="false">B12/-Project_CF!$B$20</f>
        <v>0.490109288244912</v>
      </c>
      <c r="C16" s="6"/>
    </row>
    <row r="17" customFormat="false" ht="15" hidden="false" customHeight="false" outlineLevel="0" collapsed="false">
      <c r="A17" s="3" t="s">
        <v>241</v>
      </c>
      <c r="B17" s="36" t="n">
        <f aca="false">MIN(B12,B8)/B8</f>
        <v>0.444541403863976</v>
      </c>
      <c r="C17" s="6"/>
    </row>
    <row r="18" customFormat="false" ht="15" hidden="false" customHeight="false" outlineLevel="0" collapsed="false">
      <c r="A18" s="3" t="s">
        <v>242</v>
      </c>
      <c r="B18" s="27" t="n">
        <f aca="false">MAX(0,B12+Project_CF!$B$20)</f>
        <v>0</v>
      </c>
      <c r="C18" s="6" t="s">
        <v>239</v>
      </c>
    </row>
    <row r="20" customFormat="false" ht="15" hidden="false" customHeight="false" outlineLevel="0" collapsed="false">
      <c r="A20" s="2" t="s">
        <v>243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244</v>
      </c>
    </row>
    <row r="2" customFormat="false" ht="15" hidden="false" customHeight="false" outlineLevel="0" collapsed="false">
      <c r="A2" s="6" t="s">
        <v>245</v>
      </c>
    </row>
    <row r="4" customFormat="false" ht="15" hidden="false" customHeight="false" outlineLevel="0" collapsed="false">
      <c r="A4" s="7" t="s">
        <v>246</v>
      </c>
      <c r="B4" s="7" t="s">
        <v>13</v>
      </c>
      <c r="C4" s="7" t="s">
        <v>85</v>
      </c>
    </row>
    <row r="5" customFormat="false" ht="15" hidden="false" customHeight="false" outlineLevel="0" collapsed="false">
      <c r="A5" s="3" t="s">
        <v>247</v>
      </c>
      <c r="B5" s="27" t="n">
        <f aca="false">Inputs!$B$8*Inputs!$B$7</f>
        <v>100</v>
      </c>
      <c r="C5" s="26" t="s">
        <v>89</v>
      </c>
    </row>
    <row r="6" customFormat="false" ht="15" hidden="false" customHeight="false" outlineLevel="0" collapsed="false">
      <c r="A6" s="3" t="s">
        <v>248</v>
      </c>
      <c r="B6" s="36" t="n">
        <f aca="false">B5/Inputs!$B$55</f>
        <v>0.13800222459586</v>
      </c>
    </row>
    <row r="7" customFormat="false" ht="15" hidden="false" customHeight="false" outlineLevel="0" collapsed="false">
      <c r="A7" s="3" t="s">
        <v>249</v>
      </c>
      <c r="B7" s="27" t="n">
        <f aca="false">B5*Inputs!$B$32/Inputs!$B$55</f>
        <v>30.8641975308642</v>
      </c>
      <c r="C7" s="26" t="s">
        <v>89</v>
      </c>
    </row>
    <row r="8" customFormat="false" ht="15" hidden="false" customHeight="false" outlineLevel="0" collapsed="false">
      <c r="A8" s="3" t="s">
        <v>250</v>
      </c>
      <c r="B8" s="27" t="n">
        <f aca="false">B5*Inputs!$B$33/Inputs!$B$55</f>
        <v>69.1358024691358</v>
      </c>
      <c r="C8" s="26" t="s">
        <v>89</v>
      </c>
    </row>
    <row r="9" customFormat="false" ht="15" hidden="false" customHeight="false" outlineLevel="0" collapsed="false">
      <c r="A9" s="3" t="s">
        <v>251</v>
      </c>
      <c r="B9" s="37" t="n">
        <f aca="false">B7*1000/Inputs!$B$28</f>
        <v>123.456790123457</v>
      </c>
      <c r="C9" s="26" t="s">
        <v>252</v>
      </c>
    </row>
    <row r="10" customFormat="false" ht="15" hidden="false" customHeight="false" outlineLevel="0" collapsed="false">
      <c r="A10" s="3" t="s">
        <v>253</v>
      </c>
      <c r="B10" s="37" t="n">
        <f aca="false">B8*1000/Inputs!$B$29</f>
        <v>432.098765432099</v>
      </c>
      <c r="C10" s="26" t="s">
        <v>252</v>
      </c>
    </row>
    <row r="11" customFormat="false" ht="15" hidden="false" customHeight="false" outlineLevel="0" collapsed="false">
      <c r="A11" s="3" t="s">
        <v>254</v>
      </c>
      <c r="B11" s="27" t="n">
        <f aca="false">B5*Inputs!$B$34</f>
        <v>148.148148148148</v>
      </c>
      <c r="C11" s="26" t="s">
        <v>89</v>
      </c>
    </row>
    <row r="12" customFormat="false" ht="15" hidden="false" customHeight="false" outlineLevel="0" collapsed="false">
      <c r="A12" s="3" t="s">
        <v>255</v>
      </c>
      <c r="B12" s="27" t="n">
        <f aca="false">Inputs!$B$19*B5</f>
        <v>35</v>
      </c>
      <c r="C12" s="26" t="s">
        <v>89</v>
      </c>
    </row>
    <row r="15" customFormat="false" ht="15" hidden="false" customHeight="false" outlineLevel="0" collapsed="false">
      <c r="A15" s="7" t="s">
        <v>256</v>
      </c>
      <c r="B15" s="7" t="s">
        <v>181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184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257</v>
      </c>
      <c r="B17" s="38" t="n">
        <f aca="false">SUM(D17:BK17)</f>
        <v>93.7037037037037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-50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0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0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35.9259259259259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35.9259259259259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35.9259259259259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35.9259259259259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258</v>
      </c>
      <c r="B18" s="38" t="n">
        <f aca="false">SUM(D18:BK18)</f>
        <v>50</v>
      </c>
      <c r="D18" s="33" t="n">
        <f aca="false">IF(Source_Data!D$6=Inputs!$B$12,Inputs!$B$7,0)</f>
        <v>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50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259</v>
      </c>
      <c r="B19" s="38" t="n">
        <f aca="false">SUM(D19:BK19)</f>
        <v>-100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-0</v>
      </c>
      <c r="G19" s="33" t="n">
        <f aca="false">-$B$6*Source_Data!G$14</f>
        <v>-0</v>
      </c>
      <c r="H19" s="33" t="n">
        <f aca="false">-$B$6*Source_Data!H$14</f>
        <v>-2.5</v>
      </c>
      <c r="I19" s="33" t="n">
        <f aca="false">-$B$6*Source_Data!I$14</f>
        <v>-5</v>
      </c>
      <c r="J19" s="33" t="n">
        <f aca="false">-$B$6*Source_Data!J$14</f>
        <v>-3.75</v>
      </c>
      <c r="K19" s="33" t="n">
        <f aca="false">-$B$6*Source_Data!K$14</f>
        <v>-2.75</v>
      </c>
      <c r="L19" s="33" t="n">
        <f aca="false">-$B$6*Source_Data!L$14</f>
        <v>-2.75</v>
      </c>
      <c r="M19" s="33" t="n">
        <f aca="false">-$B$6*Source_Data!M$14</f>
        <v>-2.75</v>
      </c>
      <c r="N19" s="33" t="n">
        <f aca="false">-$B$6*Source_Data!N$14</f>
        <v>-2.75</v>
      </c>
      <c r="O19" s="33" t="n">
        <f aca="false">-$B$6*Source_Data!O$14</f>
        <v>-2.75</v>
      </c>
      <c r="P19" s="33" t="n">
        <f aca="false">-$B$6*Source_Data!P$14</f>
        <v>-2.75</v>
      </c>
      <c r="Q19" s="33" t="n">
        <f aca="false">-$B$6*Source_Data!Q$14</f>
        <v>-2.75</v>
      </c>
      <c r="R19" s="33" t="n">
        <f aca="false">-$B$6*Source_Data!R$14</f>
        <v>-22.75</v>
      </c>
      <c r="S19" s="33" t="n">
        <f aca="false">-$B$6*Source_Data!S$14</f>
        <v>-2.75</v>
      </c>
      <c r="T19" s="33" t="n">
        <f aca="false">-$B$6*Source_Data!T$14</f>
        <v>-2.75</v>
      </c>
      <c r="U19" s="33" t="n">
        <f aca="false">-$B$6*Source_Data!U$14</f>
        <v>-2.75</v>
      </c>
      <c r="V19" s="33" t="n">
        <f aca="false">-$B$6*Source_Data!V$14</f>
        <v>-2.5</v>
      </c>
      <c r="W19" s="33" t="n">
        <f aca="false">-$B$6*Source_Data!W$14</f>
        <v>-2.25</v>
      </c>
      <c r="X19" s="33" t="n">
        <f aca="false">-$B$6*Source_Data!X$14</f>
        <v>-2.25</v>
      </c>
      <c r="Y19" s="33" t="n">
        <f aca="false">-$B$6*Source_Data!Y$14</f>
        <v>-2.25</v>
      </c>
      <c r="Z19" s="33" t="n">
        <f aca="false">-$B$6*Source_Data!Z$14</f>
        <v>-2.25</v>
      </c>
      <c r="AA19" s="33" t="n">
        <f aca="false">-$B$6*Source_Data!AA$14</f>
        <v>-2</v>
      </c>
      <c r="AB19" s="33" t="n">
        <f aca="false">-$B$6*Source_Data!AB$14</f>
        <v>-2</v>
      </c>
      <c r="AC19" s="33" t="n">
        <f aca="false">-$B$6*Source_Data!AC$14</f>
        <v>-2</v>
      </c>
      <c r="AD19" s="33" t="n">
        <f aca="false">-$B$6*Source_Data!AD$14</f>
        <v>-2</v>
      </c>
      <c r="AE19" s="33" t="n">
        <f aca="false">-$B$6*Source_Data!AE$14</f>
        <v>-2</v>
      </c>
      <c r="AF19" s="33" t="n">
        <f aca="false">-$B$6*Source_Data!AF$14</f>
        <v>-2</v>
      </c>
      <c r="AG19" s="33" t="n">
        <f aca="false">-$B$6*Source_Data!AG$14</f>
        <v>-2</v>
      </c>
      <c r="AH19" s="33" t="n">
        <f aca="false">-$B$6*Source_Data!AH$14</f>
        <v>-2</v>
      </c>
      <c r="AI19" s="33" t="n">
        <f aca="false">-$B$6*Source_Data!AI$14</f>
        <v>-2</v>
      </c>
      <c r="AJ19" s="33" t="n">
        <f aca="false">-$B$6*Source_Data!AJ$14</f>
        <v>-2</v>
      </c>
      <c r="AK19" s="33" t="n">
        <f aca="false">-$B$6*Source_Data!AK$14</f>
        <v>-2</v>
      </c>
      <c r="AL19" s="33" t="n">
        <f aca="false">-$B$6*Source_Data!AL$14</f>
        <v>-2</v>
      </c>
      <c r="AM19" s="33" t="n">
        <f aca="false">-$B$6*Source_Data!AM$14</f>
        <v>-1</v>
      </c>
      <c r="AN19" s="33" t="n">
        <f aca="false">-$B$6*Source_Data!AN$14</f>
        <v>-1</v>
      </c>
      <c r="AO19" s="33" t="n">
        <f aca="false">-$B$6*Source_Data!AO$14</f>
        <v>-1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260</v>
      </c>
      <c r="B20" s="38" t="n">
        <f aca="false">SUM(D20:BK20)</f>
        <v>4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0</v>
      </c>
      <c r="K20" s="33" t="n">
        <f aca="false">$B$6*Source_Data!K$17*Inputs!$B$23</f>
        <v>0</v>
      </c>
      <c r="L20" s="33" t="n">
        <f aca="false">$B$6*Source_Data!L$17*Inputs!$B$23</f>
        <v>2</v>
      </c>
      <c r="M20" s="33" t="n">
        <f aca="false">$B$6*Source_Data!M$17*Inputs!$B$23</f>
        <v>2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261</v>
      </c>
      <c r="B21" s="38" t="n">
        <f aca="false">SUM(D21:BK21)</f>
        <v>-46</v>
      </c>
      <c r="D21" s="33" t="n">
        <f aca="false">D18+D19+D20</f>
        <v>0</v>
      </c>
      <c r="E21" s="33" t="n">
        <f aca="false">E18+E19+E20</f>
        <v>0</v>
      </c>
      <c r="F21" s="33" t="n">
        <f aca="false">F18+F19+F20</f>
        <v>0</v>
      </c>
      <c r="G21" s="33" t="n">
        <f aca="false">G18+G19+G20</f>
        <v>50</v>
      </c>
      <c r="H21" s="33" t="n">
        <f aca="false">H18+H19+H20</f>
        <v>-2.5</v>
      </c>
      <c r="I21" s="33" t="n">
        <f aca="false">I18+I19+I20</f>
        <v>-5</v>
      </c>
      <c r="J21" s="33" t="n">
        <f aca="false">J18+J19+J20</f>
        <v>-3.75</v>
      </c>
      <c r="K21" s="33" t="n">
        <f aca="false">K18+K19+K20</f>
        <v>-2.75</v>
      </c>
      <c r="L21" s="33" t="n">
        <f aca="false">L18+L19+L20</f>
        <v>-0.75</v>
      </c>
      <c r="M21" s="33" t="n">
        <f aca="false">M18+M19+M20</f>
        <v>-0.75</v>
      </c>
      <c r="N21" s="33" t="n">
        <f aca="false">N18+N19+N20</f>
        <v>-2.75</v>
      </c>
      <c r="O21" s="33" t="n">
        <f aca="false">O18+O19+O20</f>
        <v>-2.75</v>
      </c>
      <c r="P21" s="33" t="n">
        <f aca="false">P18+P19+P20</f>
        <v>-2.75</v>
      </c>
      <c r="Q21" s="33" t="n">
        <f aca="false">Q18+Q19+Q20</f>
        <v>-2.75</v>
      </c>
      <c r="R21" s="33" t="n">
        <f aca="false">R18+R19+R20</f>
        <v>-22.75</v>
      </c>
      <c r="S21" s="33" t="n">
        <f aca="false">S18+S19+S20</f>
        <v>-2.75</v>
      </c>
      <c r="T21" s="33" t="n">
        <f aca="false">T18+T19+T20</f>
        <v>-2.75</v>
      </c>
      <c r="U21" s="33" t="n">
        <f aca="false">U18+U19+U20</f>
        <v>-2.75</v>
      </c>
      <c r="V21" s="33" t="n">
        <f aca="false">V18+V19+V20</f>
        <v>-2.5</v>
      </c>
      <c r="W21" s="33" t="n">
        <f aca="false">W18+W19+W20</f>
        <v>-2.25</v>
      </c>
      <c r="X21" s="33" t="n">
        <f aca="false">X18+X19+X20</f>
        <v>-2.25</v>
      </c>
      <c r="Y21" s="33" t="n">
        <f aca="false">Y18+Y19+Y20</f>
        <v>-2.25</v>
      </c>
      <c r="Z21" s="33" t="n">
        <f aca="false">Z18+Z19+Z20</f>
        <v>-2.25</v>
      </c>
      <c r="AA21" s="33" t="n">
        <f aca="false">AA18+AA19+AA20</f>
        <v>-2</v>
      </c>
      <c r="AB21" s="33" t="n">
        <f aca="false">AB18+AB19+AB20</f>
        <v>-2</v>
      </c>
      <c r="AC21" s="33" t="n">
        <f aca="false">AC18+AC19+AC20</f>
        <v>-2</v>
      </c>
      <c r="AD21" s="33" t="n">
        <f aca="false">AD18+AD19+AD20</f>
        <v>-2</v>
      </c>
      <c r="AE21" s="33" t="n">
        <f aca="false">AE18+AE19+AE20</f>
        <v>-2</v>
      </c>
      <c r="AF21" s="33" t="n">
        <f aca="false">AF18+AF19+AF20</f>
        <v>-2</v>
      </c>
      <c r="AG21" s="33" t="n">
        <f aca="false">AG18+AG19+AG20</f>
        <v>-2</v>
      </c>
      <c r="AH21" s="33" t="n">
        <f aca="false">AH18+AH19+AH20</f>
        <v>-2</v>
      </c>
      <c r="AI21" s="33" t="n">
        <f aca="false">AI18+AI19+AI20</f>
        <v>-2</v>
      </c>
      <c r="AJ21" s="33" t="n">
        <f aca="false">AJ18+AJ19+AJ20</f>
        <v>-2</v>
      </c>
      <c r="AK21" s="33" t="n">
        <f aca="false">AK18+AK19+AK20</f>
        <v>-2</v>
      </c>
      <c r="AL21" s="33" t="n">
        <f aca="false">AL18+AL19+AL20</f>
        <v>-2</v>
      </c>
      <c r="AM21" s="33" t="n">
        <f aca="false">AM18+AM19+AM20</f>
        <v>-1</v>
      </c>
      <c r="AN21" s="33" t="n">
        <f aca="false">AN18+AN19+AN20</f>
        <v>-1</v>
      </c>
      <c r="AO21" s="33" t="n">
        <f aca="false">AO18+AO19+AO20</f>
        <v>-1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262</v>
      </c>
      <c r="D22" s="33" t="n">
        <f aca="false">D21</f>
        <v>0</v>
      </c>
      <c r="E22" s="33" t="n">
        <f aca="false">D22+E21</f>
        <v>0</v>
      </c>
      <c r="F22" s="33" t="n">
        <f aca="false">E22+F21</f>
        <v>0</v>
      </c>
      <c r="G22" s="33" t="n">
        <f aca="false">F22+G21</f>
        <v>50</v>
      </c>
      <c r="H22" s="33" t="n">
        <f aca="false">G22+H21</f>
        <v>47.5</v>
      </c>
      <c r="I22" s="33" t="n">
        <f aca="false">H22+I21</f>
        <v>42.5</v>
      </c>
      <c r="J22" s="33" t="n">
        <f aca="false">I22+J21</f>
        <v>38.75</v>
      </c>
      <c r="K22" s="33" t="n">
        <f aca="false">J22+K21</f>
        <v>36</v>
      </c>
      <c r="L22" s="33" t="n">
        <f aca="false">K22+L21</f>
        <v>35.25</v>
      </c>
      <c r="M22" s="33" t="n">
        <f aca="false">L22+M21</f>
        <v>34.5</v>
      </c>
      <c r="N22" s="33" t="n">
        <f aca="false">M22+N21</f>
        <v>31.75</v>
      </c>
      <c r="O22" s="33" t="n">
        <f aca="false">N22+O21</f>
        <v>29</v>
      </c>
      <c r="P22" s="33" t="n">
        <f aca="false">O22+P21</f>
        <v>26.25</v>
      </c>
      <c r="Q22" s="33" t="n">
        <f aca="false">P22+Q21</f>
        <v>23.5</v>
      </c>
      <c r="R22" s="33" t="n">
        <f aca="false">Q22+R21</f>
        <v>0.75</v>
      </c>
      <c r="S22" s="33" t="n">
        <f aca="false">R22+S21</f>
        <v>-2</v>
      </c>
      <c r="T22" s="33" t="n">
        <f aca="false">S22+T21</f>
        <v>-4.75</v>
      </c>
      <c r="U22" s="33" t="n">
        <f aca="false">T22+U21</f>
        <v>-7.5</v>
      </c>
      <c r="V22" s="33" t="n">
        <f aca="false">U22+V21</f>
        <v>-10</v>
      </c>
      <c r="W22" s="33" t="n">
        <f aca="false">V22+W21</f>
        <v>-12.25</v>
      </c>
      <c r="X22" s="33" t="n">
        <f aca="false">W22+X21</f>
        <v>-14.5</v>
      </c>
      <c r="Y22" s="33" t="n">
        <f aca="false">X22+Y21</f>
        <v>-16.75</v>
      </c>
      <c r="Z22" s="33" t="n">
        <f aca="false">Y22+Z21</f>
        <v>-19</v>
      </c>
      <c r="AA22" s="33" t="n">
        <f aca="false">Z22+AA21</f>
        <v>-21</v>
      </c>
      <c r="AB22" s="33" t="n">
        <f aca="false">AA22+AB21</f>
        <v>-23</v>
      </c>
      <c r="AC22" s="33" t="n">
        <f aca="false">AB22+AC21</f>
        <v>-25</v>
      </c>
      <c r="AD22" s="33" t="n">
        <f aca="false">AC22+AD21</f>
        <v>-27</v>
      </c>
      <c r="AE22" s="33" t="n">
        <f aca="false">AD22+AE21</f>
        <v>-29</v>
      </c>
      <c r="AF22" s="33" t="n">
        <f aca="false">AE22+AF21</f>
        <v>-31</v>
      </c>
      <c r="AG22" s="33" t="n">
        <f aca="false">AF22+AG21</f>
        <v>-33</v>
      </c>
      <c r="AH22" s="33" t="n">
        <f aca="false">AG22+AH21</f>
        <v>-35</v>
      </c>
      <c r="AI22" s="33" t="n">
        <f aca="false">AH22+AI21</f>
        <v>-37</v>
      </c>
      <c r="AJ22" s="33" t="n">
        <f aca="false">AI22+AJ21</f>
        <v>-39</v>
      </c>
      <c r="AK22" s="33" t="n">
        <f aca="false">AJ22+AK21</f>
        <v>-41</v>
      </c>
      <c r="AL22" s="33" t="n">
        <f aca="false">AK22+AL21</f>
        <v>-43</v>
      </c>
      <c r="AM22" s="33" t="n">
        <f aca="false">AL22+AM21</f>
        <v>-44</v>
      </c>
      <c r="AN22" s="33" t="n">
        <f aca="false">AM22+AN21</f>
        <v>-45</v>
      </c>
      <c r="AO22" s="33" t="n">
        <f aca="false">AN22+AO21</f>
        <v>-46</v>
      </c>
      <c r="AP22" s="33" t="n">
        <f aca="false">AO22+AP21</f>
        <v>-46</v>
      </c>
      <c r="AQ22" s="33" t="n">
        <f aca="false">AP22+AQ21</f>
        <v>-46</v>
      </c>
      <c r="AR22" s="33" t="n">
        <f aca="false">AQ22+AR21</f>
        <v>-46</v>
      </c>
      <c r="AS22" s="33" t="n">
        <f aca="false">AR22+AS21</f>
        <v>-46</v>
      </c>
      <c r="AT22" s="33" t="n">
        <f aca="false">AS22+AT21</f>
        <v>-46</v>
      </c>
      <c r="AU22" s="33" t="n">
        <f aca="false">AT22+AU21</f>
        <v>-46</v>
      </c>
      <c r="AV22" s="33" t="n">
        <f aca="false">AU22+AV21</f>
        <v>-46</v>
      </c>
      <c r="AW22" s="33" t="n">
        <f aca="false">AV22+AW21</f>
        <v>-46</v>
      </c>
      <c r="AX22" s="33" t="n">
        <f aca="false">AW22+AX21</f>
        <v>-46</v>
      </c>
      <c r="AY22" s="33" t="n">
        <f aca="false">AX22+AY21</f>
        <v>-46</v>
      </c>
      <c r="AZ22" s="33" t="n">
        <f aca="false">AY22+AZ21</f>
        <v>-46</v>
      </c>
      <c r="BA22" s="33" t="n">
        <f aca="false">AZ22+BA21</f>
        <v>-46</v>
      </c>
      <c r="BB22" s="33" t="n">
        <f aca="false">BA22+BB21</f>
        <v>-46</v>
      </c>
      <c r="BC22" s="33" t="n">
        <f aca="false">BB22+BC21</f>
        <v>-46</v>
      </c>
      <c r="BD22" s="33" t="n">
        <f aca="false">BC22+BD21</f>
        <v>-46</v>
      </c>
      <c r="BE22" s="33" t="n">
        <f aca="false">BD22+BE21</f>
        <v>-46</v>
      </c>
      <c r="BF22" s="33" t="n">
        <f aca="false">BE22+BF21</f>
        <v>-46</v>
      </c>
      <c r="BG22" s="33" t="n">
        <f aca="false">BF22+BG21</f>
        <v>-46</v>
      </c>
      <c r="BH22" s="33" t="n">
        <f aca="false">BG22+BH21</f>
        <v>-46</v>
      </c>
      <c r="BI22" s="33" t="n">
        <f aca="false">BH22+BI21</f>
        <v>-46</v>
      </c>
      <c r="BJ22" s="33" t="n">
        <f aca="false">BI22+BJ21</f>
        <v>-46</v>
      </c>
      <c r="BK22" s="33" t="n">
        <f aca="false">BJ22+BK21</f>
        <v>-46</v>
      </c>
    </row>
    <row r="25" customFormat="false" ht="15" hidden="false" customHeight="false" outlineLevel="0" collapsed="false">
      <c r="A25" s="7" t="s">
        <v>263</v>
      </c>
      <c r="B25" s="7" t="s">
        <v>13</v>
      </c>
      <c r="C25" s="7" t="s">
        <v>264</v>
      </c>
    </row>
    <row r="26" customFormat="false" ht="15" hidden="false" customHeight="false" outlineLevel="0" collapsed="false">
      <c r="A26" s="3" t="s">
        <v>37</v>
      </c>
      <c r="B26" s="39" t="n">
        <f aca="false">(1+IRR(D17:BK17,0.05))^4-1</f>
        <v>0.292473250549915</v>
      </c>
      <c r="C26" s="6" t="s">
        <v>265</v>
      </c>
    </row>
    <row r="27" customFormat="false" ht="15" hidden="false" customHeight="false" outlineLevel="0" collapsed="false">
      <c r="A27" s="3" t="s">
        <v>38</v>
      </c>
      <c r="B27" s="40" t="n">
        <f aca="false">SUMIF(D17:BK17,"&gt;0")/-SUMIF(D17:BK17,"&lt;0")</f>
        <v>2.87407407407407</v>
      </c>
      <c r="C27" s="6"/>
    </row>
    <row r="28" customFormat="false" ht="15" hidden="false" customHeight="false" outlineLevel="0" collapsed="false">
      <c r="A28" s="3" t="s">
        <v>39</v>
      </c>
      <c r="B28" s="35" t="n">
        <f aca="false">INDEX(D16:BK16,MATCH(1,D36:BK36,0))</f>
        <v>60</v>
      </c>
      <c r="C28" s="6" t="s">
        <v>266</v>
      </c>
    </row>
    <row r="29" customFormat="false" ht="15" hidden="false" customHeight="false" outlineLevel="0" collapsed="false">
      <c r="A29" s="3" t="s">
        <v>267</v>
      </c>
      <c r="B29" s="39" t="n">
        <f aca="false">(1+IRR(D21:BK21,0.05))^4-1</f>
        <v>0.225573897725612</v>
      </c>
      <c r="C29" s="6" t="s">
        <v>268</v>
      </c>
    </row>
    <row r="30" customFormat="false" ht="15" hidden="false" customHeight="false" outlineLevel="0" collapsed="false">
      <c r="A30" s="3" t="s">
        <v>269</v>
      </c>
      <c r="B30" s="41" t="n">
        <f aca="false">SUMPRODUCT(D21:BK21,Project_CF!$D$15:$BK$15)</f>
        <v>-10.4012553376583</v>
      </c>
      <c r="C30" s="6"/>
    </row>
    <row r="31" customFormat="false" ht="15" hidden="false" customHeight="false" outlineLevel="0" collapsed="false">
      <c r="A31" s="3" t="s">
        <v>270</v>
      </c>
      <c r="B31" s="41" t="n">
        <f aca="false">B21</f>
        <v>-46</v>
      </c>
      <c r="C31" s="6"/>
    </row>
    <row r="32" customFormat="false" ht="15" hidden="false" customHeight="false" outlineLevel="0" collapsed="false">
      <c r="A32" s="3" t="s">
        <v>271</v>
      </c>
      <c r="B32" s="41" t="n">
        <f aca="false">Project_CF!$B$19+B30</f>
        <v>297.131115753871</v>
      </c>
      <c r="C32" s="6" t="s">
        <v>272</v>
      </c>
    </row>
    <row r="33" customFormat="false" ht="15" hidden="false" customHeight="false" outlineLevel="0" collapsed="false">
      <c r="A33" s="3" t="s">
        <v>273</v>
      </c>
      <c r="B33" s="41" t="n">
        <f aca="false">MIN(D38:BK38)</f>
        <v>-119.1919475</v>
      </c>
      <c r="C33" s="6" t="s">
        <v>274</v>
      </c>
    </row>
    <row r="35" customFormat="false" ht="15" hidden="false" customHeight="false" outlineLevel="0" collapsed="false">
      <c r="A35" s="3" t="s">
        <v>275</v>
      </c>
      <c r="D35" s="33" t="n">
        <f aca="false">D17</f>
        <v>0</v>
      </c>
      <c r="E35" s="33" t="n">
        <f aca="false">D35+E17</f>
        <v>0</v>
      </c>
      <c r="F35" s="33" t="n">
        <f aca="false">E35+F17</f>
        <v>0</v>
      </c>
      <c r="G35" s="33" t="n">
        <f aca="false">F35+G17</f>
        <v>-50</v>
      </c>
      <c r="H35" s="33" t="n">
        <f aca="false">G35+H17</f>
        <v>-50</v>
      </c>
      <c r="I35" s="33" t="n">
        <f aca="false">H35+I17</f>
        <v>-50</v>
      </c>
      <c r="J35" s="33" t="n">
        <f aca="false">I35+J17</f>
        <v>-50</v>
      </c>
      <c r="K35" s="33" t="n">
        <f aca="false">J35+K17</f>
        <v>-50</v>
      </c>
      <c r="L35" s="33" t="n">
        <f aca="false">K35+L17</f>
        <v>-50</v>
      </c>
      <c r="M35" s="33" t="n">
        <f aca="false">L35+M17</f>
        <v>-50</v>
      </c>
      <c r="N35" s="33" t="n">
        <f aca="false">M35+N17</f>
        <v>-50</v>
      </c>
      <c r="O35" s="33" t="n">
        <f aca="false">N35+O17</f>
        <v>-50</v>
      </c>
      <c r="P35" s="33" t="n">
        <f aca="false">O35+P17</f>
        <v>-50</v>
      </c>
      <c r="Q35" s="33" t="n">
        <f aca="false">P35+Q17</f>
        <v>-50</v>
      </c>
      <c r="R35" s="33" t="n">
        <f aca="false">Q35+R17</f>
        <v>-50</v>
      </c>
      <c r="S35" s="33" t="n">
        <f aca="false">R35+S17</f>
        <v>-50</v>
      </c>
      <c r="T35" s="33" t="n">
        <f aca="false">S35+T17</f>
        <v>-50</v>
      </c>
      <c r="U35" s="33" t="n">
        <f aca="false">T35+U17</f>
        <v>-50</v>
      </c>
      <c r="V35" s="33" t="n">
        <f aca="false">U35+V17</f>
        <v>-14.0740740740741</v>
      </c>
      <c r="W35" s="33" t="n">
        <f aca="false">V35+W17</f>
        <v>21.8518518518518</v>
      </c>
      <c r="X35" s="33" t="n">
        <f aca="false">W35+X17</f>
        <v>57.7777777777778</v>
      </c>
      <c r="Y35" s="33" t="n">
        <f aca="false">X35+Y17</f>
        <v>93.7037037037037</v>
      </c>
      <c r="Z35" s="33" t="n">
        <f aca="false">Y35+Z17</f>
        <v>93.7037037037037</v>
      </c>
      <c r="AA35" s="33" t="n">
        <f aca="false">Z35+AA17</f>
        <v>93.7037037037037</v>
      </c>
      <c r="AB35" s="33" t="n">
        <f aca="false">AA35+AB17</f>
        <v>93.7037037037037</v>
      </c>
      <c r="AC35" s="33" t="n">
        <f aca="false">AB35+AC17</f>
        <v>93.7037037037037</v>
      </c>
      <c r="AD35" s="33" t="n">
        <f aca="false">AC35+AD17</f>
        <v>93.7037037037037</v>
      </c>
      <c r="AE35" s="33" t="n">
        <f aca="false">AD35+AE17</f>
        <v>93.7037037037037</v>
      </c>
      <c r="AF35" s="33" t="n">
        <f aca="false">AE35+AF17</f>
        <v>93.7037037037037</v>
      </c>
      <c r="AG35" s="33" t="n">
        <f aca="false">AF35+AG17</f>
        <v>93.7037037037037</v>
      </c>
      <c r="AH35" s="33" t="n">
        <f aca="false">AG35+AH17</f>
        <v>93.7037037037037</v>
      </c>
      <c r="AI35" s="33" t="n">
        <f aca="false">AH35+AI17</f>
        <v>93.7037037037037</v>
      </c>
      <c r="AJ35" s="33" t="n">
        <f aca="false">AI35+AJ17</f>
        <v>93.7037037037037</v>
      </c>
      <c r="AK35" s="33" t="n">
        <f aca="false">AJ35+AK17</f>
        <v>93.7037037037037</v>
      </c>
      <c r="AL35" s="33" t="n">
        <f aca="false">AK35+AL17</f>
        <v>93.7037037037037</v>
      </c>
      <c r="AM35" s="33" t="n">
        <f aca="false">AL35+AM17</f>
        <v>93.7037037037037</v>
      </c>
      <c r="AN35" s="33" t="n">
        <f aca="false">AM35+AN17</f>
        <v>93.7037037037037</v>
      </c>
      <c r="AO35" s="33" t="n">
        <f aca="false">AN35+AO17</f>
        <v>93.7037037037037</v>
      </c>
      <c r="AP35" s="33" t="n">
        <f aca="false">AO35+AP17</f>
        <v>93.7037037037037</v>
      </c>
      <c r="AQ35" s="33" t="n">
        <f aca="false">AP35+AQ17</f>
        <v>93.7037037037037</v>
      </c>
      <c r="AR35" s="33" t="n">
        <f aca="false">AQ35+AR17</f>
        <v>93.7037037037037</v>
      </c>
      <c r="AS35" s="33" t="n">
        <f aca="false">AR35+AS17</f>
        <v>93.7037037037037</v>
      </c>
      <c r="AT35" s="33" t="n">
        <f aca="false">AS35+AT17</f>
        <v>93.7037037037037</v>
      </c>
      <c r="AU35" s="33" t="n">
        <f aca="false">AT35+AU17</f>
        <v>93.7037037037037</v>
      </c>
      <c r="AV35" s="33" t="n">
        <f aca="false">AU35+AV17</f>
        <v>93.7037037037037</v>
      </c>
      <c r="AW35" s="33" t="n">
        <f aca="false">AV35+AW17</f>
        <v>93.7037037037037</v>
      </c>
      <c r="AX35" s="33" t="n">
        <f aca="false">AW35+AX17</f>
        <v>93.7037037037037</v>
      </c>
      <c r="AY35" s="33" t="n">
        <f aca="false">AX35+AY17</f>
        <v>93.7037037037037</v>
      </c>
      <c r="AZ35" s="33" t="n">
        <f aca="false">AY35+AZ17</f>
        <v>93.7037037037037</v>
      </c>
      <c r="BA35" s="33" t="n">
        <f aca="false">AZ35+BA17</f>
        <v>93.7037037037037</v>
      </c>
      <c r="BB35" s="33" t="n">
        <f aca="false">BA35+BB17</f>
        <v>93.7037037037037</v>
      </c>
      <c r="BC35" s="33" t="n">
        <f aca="false">BB35+BC17</f>
        <v>93.7037037037037</v>
      </c>
      <c r="BD35" s="33" t="n">
        <f aca="false">BC35+BD17</f>
        <v>93.7037037037037</v>
      </c>
      <c r="BE35" s="33" t="n">
        <f aca="false">BD35+BE17</f>
        <v>93.7037037037037</v>
      </c>
      <c r="BF35" s="33" t="n">
        <f aca="false">BE35+BF17</f>
        <v>93.7037037037037</v>
      </c>
      <c r="BG35" s="33" t="n">
        <f aca="false">BF35+BG17</f>
        <v>93.7037037037037</v>
      </c>
      <c r="BH35" s="33" t="n">
        <f aca="false">BG35+BH17</f>
        <v>93.7037037037037</v>
      </c>
      <c r="BI35" s="33" t="n">
        <f aca="false">BH35+BI17</f>
        <v>93.7037037037037</v>
      </c>
      <c r="BJ35" s="33" t="n">
        <f aca="false">BI35+BJ17</f>
        <v>93.7037037037037</v>
      </c>
      <c r="BK35" s="33" t="n">
        <f aca="false">BJ35+BK17</f>
        <v>93.7037037037037</v>
      </c>
    </row>
    <row r="36" customFormat="false" ht="15" hidden="false" customHeight="false" outlineLevel="0" collapsed="false">
      <c r="A36" s="3" t="s">
        <v>276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0</v>
      </c>
      <c r="V36" s="3" t="n">
        <f aca="false">IF(AND(V35&gt;=0,V16&gt;Inputs!$B$12),1,0)</f>
        <v>0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277</v>
      </c>
      <c r="D37" s="3" t="n">
        <f aca="false">IF(D16&gt;=Inputs!$B$12,Inputs!$B$7,0)</f>
        <v>0</v>
      </c>
      <c r="E37" s="3" t="n">
        <f aca="false">IF(E16&gt;=Inputs!$B$12,Inputs!$B$7,0)</f>
        <v>0</v>
      </c>
      <c r="F37" s="3" t="n">
        <f aca="false">IF(F16&gt;=Inputs!$B$12,Inputs!$B$7,0)</f>
        <v>0</v>
      </c>
      <c r="G37" s="27" t="n">
        <f aca="false">IF(G16&gt;=Inputs!$B$12,Inputs!$B$7,0)</f>
        <v>50</v>
      </c>
      <c r="H37" s="27" t="n">
        <f aca="false">IF(H16&gt;=Inputs!$B$12,Inputs!$B$7,0)</f>
        <v>50</v>
      </c>
      <c r="I37" s="27" t="n">
        <f aca="false">IF(I16&gt;=Inputs!$B$12,Inputs!$B$7,0)</f>
        <v>50</v>
      </c>
      <c r="J37" s="27" t="n">
        <f aca="false">IF(J16&gt;=Inputs!$B$12,Inputs!$B$7,0)</f>
        <v>50</v>
      </c>
      <c r="K37" s="27" t="n">
        <f aca="false">IF(K16&gt;=Inputs!$B$12,Inputs!$B$7,0)</f>
        <v>50</v>
      </c>
      <c r="L37" s="27" t="n">
        <f aca="false">IF(L16&gt;=Inputs!$B$12,Inputs!$B$7,0)</f>
        <v>50</v>
      </c>
      <c r="M37" s="27" t="n">
        <f aca="false">IF(M16&gt;=Inputs!$B$12,Inputs!$B$7,0)</f>
        <v>50</v>
      </c>
      <c r="N37" s="27" t="n">
        <f aca="false">IF(N16&gt;=Inputs!$B$12,Inputs!$B$7,0)</f>
        <v>50</v>
      </c>
      <c r="O37" s="27" t="n">
        <f aca="false">IF(O16&gt;=Inputs!$B$12,Inputs!$B$7,0)</f>
        <v>50</v>
      </c>
      <c r="P37" s="27" t="n">
        <f aca="false">IF(P16&gt;=Inputs!$B$12,Inputs!$B$7,0)</f>
        <v>50</v>
      </c>
      <c r="Q37" s="27" t="n">
        <f aca="false">IF(Q16&gt;=Inputs!$B$12,Inputs!$B$7,0)</f>
        <v>50</v>
      </c>
      <c r="R37" s="27" t="n">
        <f aca="false">IF(R16&gt;=Inputs!$B$12,Inputs!$B$7,0)</f>
        <v>50</v>
      </c>
      <c r="S37" s="27" t="n">
        <f aca="false">IF(S16&gt;=Inputs!$B$12,Inputs!$B$7,0)</f>
        <v>50</v>
      </c>
      <c r="T37" s="27" t="n">
        <f aca="false">IF(T16&gt;=Inputs!$B$12,Inputs!$B$7,0)</f>
        <v>50</v>
      </c>
      <c r="U37" s="27" t="n">
        <f aca="false">IF(U16&gt;=Inputs!$B$12,Inputs!$B$7,0)</f>
        <v>50</v>
      </c>
      <c r="V37" s="27" t="n">
        <f aca="false">IF(V16&gt;=Inputs!$B$12,Inputs!$B$7,0)</f>
        <v>50</v>
      </c>
      <c r="W37" s="27" t="n">
        <f aca="false">IF(W16&gt;=Inputs!$B$12,Inputs!$B$7,0)</f>
        <v>50</v>
      </c>
      <c r="X37" s="27" t="n">
        <f aca="false">IF(X16&gt;=Inputs!$B$12,Inputs!$B$7,0)</f>
        <v>50</v>
      </c>
      <c r="Y37" s="27" t="n">
        <f aca="false">IF(Y16&gt;=Inputs!$B$12,Inputs!$B$7,0)</f>
        <v>50</v>
      </c>
      <c r="Z37" s="27" t="n">
        <f aca="false">IF(Z16&gt;=Inputs!$B$12,Inputs!$B$7,0)</f>
        <v>50</v>
      </c>
      <c r="AA37" s="27" t="n">
        <f aca="false">IF(AA16&gt;=Inputs!$B$12,Inputs!$B$7,0)</f>
        <v>50</v>
      </c>
      <c r="AB37" s="27" t="n">
        <f aca="false">IF(AB16&gt;=Inputs!$B$12,Inputs!$B$7,0)</f>
        <v>50</v>
      </c>
      <c r="AC37" s="27" t="n">
        <f aca="false">IF(AC16&gt;=Inputs!$B$12,Inputs!$B$7,0)</f>
        <v>50</v>
      </c>
      <c r="AD37" s="27" t="n">
        <f aca="false">IF(AD16&gt;=Inputs!$B$12,Inputs!$B$7,0)</f>
        <v>50</v>
      </c>
      <c r="AE37" s="27" t="n">
        <f aca="false">IF(AE16&gt;=Inputs!$B$12,Inputs!$B$7,0)</f>
        <v>50</v>
      </c>
      <c r="AF37" s="27" t="n">
        <f aca="false">IF(AF16&gt;=Inputs!$B$12,Inputs!$B$7,0)</f>
        <v>50</v>
      </c>
      <c r="AG37" s="27" t="n">
        <f aca="false">IF(AG16&gt;=Inputs!$B$12,Inputs!$B$7,0)</f>
        <v>50</v>
      </c>
      <c r="AH37" s="27" t="n">
        <f aca="false">IF(AH16&gt;=Inputs!$B$12,Inputs!$B$7,0)</f>
        <v>50</v>
      </c>
      <c r="AI37" s="27" t="n">
        <f aca="false">IF(AI16&gt;=Inputs!$B$12,Inputs!$B$7,0)</f>
        <v>50</v>
      </c>
      <c r="AJ37" s="27" t="n">
        <f aca="false">IF(AJ16&gt;=Inputs!$B$12,Inputs!$B$7,0)</f>
        <v>50</v>
      </c>
      <c r="AK37" s="27" t="n">
        <f aca="false">IF(AK16&gt;=Inputs!$B$12,Inputs!$B$7,0)</f>
        <v>50</v>
      </c>
      <c r="AL37" s="27" t="n">
        <f aca="false">IF(AL16&gt;=Inputs!$B$12,Inputs!$B$7,0)</f>
        <v>50</v>
      </c>
      <c r="AM37" s="27" t="n">
        <f aca="false">IF(AM16&gt;=Inputs!$B$12,Inputs!$B$7,0)</f>
        <v>50</v>
      </c>
      <c r="AN37" s="27" t="n">
        <f aca="false">IF(AN16&gt;=Inputs!$B$12,Inputs!$B$7,0)</f>
        <v>50</v>
      </c>
      <c r="AO37" s="27" t="n">
        <f aca="false">IF(AO16&gt;=Inputs!$B$12,Inputs!$B$7,0)</f>
        <v>50</v>
      </c>
      <c r="AP37" s="27" t="n">
        <f aca="false">IF(AP16&gt;=Inputs!$B$12,Inputs!$B$7,0)</f>
        <v>50</v>
      </c>
      <c r="AQ37" s="27" t="n">
        <f aca="false">IF(AQ16&gt;=Inputs!$B$12,Inputs!$B$7,0)</f>
        <v>50</v>
      </c>
      <c r="AR37" s="27" t="n">
        <f aca="false">IF(AR16&gt;=Inputs!$B$12,Inputs!$B$7,0)</f>
        <v>50</v>
      </c>
      <c r="AS37" s="27" t="n">
        <f aca="false">IF(AS16&gt;=Inputs!$B$12,Inputs!$B$7,0)</f>
        <v>50</v>
      </c>
      <c r="AT37" s="27" t="n">
        <f aca="false">IF(AT16&gt;=Inputs!$B$12,Inputs!$B$7,0)</f>
        <v>50</v>
      </c>
      <c r="AU37" s="27" t="n">
        <f aca="false">IF(AU16&gt;=Inputs!$B$12,Inputs!$B$7,0)</f>
        <v>50</v>
      </c>
      <c r="AV37" s="27" t="n">
        <f aca="false">IF(AV16&gt;=Inputs!$B$12,Inputs!$B$7,0)</f>
        <v>50</v>
      </c>
      <c r="AW37" s="27" t="n">
        <f aca="false">IF(AW16&gt;=Inputs!$B$12,Inputs!$B$7,0)</f>
        <v>50</v>
      </c>
      <c r="AX37" s="27" t="n">
        <f aca="false">IF(AX16&gt;=Inputs!$B$12,Inputs!$B$7,0)</f>
        <v>50</v>
      </c>
      <c r="AY37" s="27" t="n">
        <f aca="false">IF(AY16&gt;=Inputs!$B$12,Inputs!$B$7,0)</f>
        <v>50</v>
      </c>
      <c r="AZ37" s="27" t="n">
        <f aca="false">IF(AZ16&gt;=Inputs!$B$12,Inputs!$B$7,0)</f>
        <v>50</v>
      </c>
      <c r="BA37" s="27" t="n">
        <f aca="false">IF(BA16&gt;=Inputs!$B$12,Inputs!$B$7,0)</f>
        <v>50</v>
      </c>
      <c r="BB37" s="27" t="n">
        <f aca="false">IF(BB16&gt;=Inputs!$B$12,Inputs!$B$7,0)</f>
        <v>50</v>
      </c>
      <c r="BC37" s="27" t="n">
        <f aca="false">IF(BC16&gt;=Inputs!$B$12,Inputs!$B$7,0)</f>
        <v>50</v>
      </c>
      <c r="BD37" s="27" t="n">
        <f aca="false">IF(BD16&gt;=Inputs!$B$12,Inputs!$B$7,0)</f>
        <v>50</v>
      </c>
      <c r="BE37" s="27" t="n">
        <f aca="false">IF(BE16&gt;=Inputs!$B$12,Inputs!$B$7,0)</f>
        <v>50</v>
      </c>
      <c r="BF37" s="27" t="n">
        <f aca="false">IF(BF16&gt;=Inputs!$B$12,Inputs!$B$7,0)</f>
        <v>50</v>
      </c>
      <c r="BG37" s="27" t="n">
        <f aca="false">IF(BG16&gt;=Inputs!$B$12,Inputs!$B$7,0)</f>
        <v>50</v>
      </c>
      <c r="BH37" s="27" t="n">
        <f aca="false">IF(BH16&gt;=Inputs!$B$12,Inputs!$B$7,0)</f>
        <v>50</v>
      </c>
      <c r="BI37" s="27" t="n">
        <f aca="false">IF(BI16&gt;=Inputs!$B$12,Inputs!$B$7,0)</f>
        <v>50</v>
      </c>
      <c r="BJ37" s="27" t="n">
        <f aca="false">IF(BJ16&gt;=Inputs!$B$12,Inputs!$B$7,0)</f>
        <v>50</v>
      </c>
      <c r="BK37" s="27" t="n">
        <f aca="false">IF(BK16&gt;=Inputs!$B$12,Inputs!$B$7,0)</f>
        <v>50</v>
      </c>
    </row>
    <row r="38" customFormat="false" ht="15" hidden="false" customHeight="false" outlineLevel="0" collapsed="false">
      <c r="A38" s="3" t="s">
        <v>278</v>
      </c>
      <c r="D38" s="33" t="n">
        <f aca="false">Project_CF!D14+D22-D37</f>
        <v>0</v>
      </c>
      <c r="E38" s="33" t="n">
        <f aca="false">Project_CF!E14+E22-E37</f>
        <v>0</v>
      </c>
      <c r="F38" s="33" t="n">
        <f aca="false">Project_CF!F14+F22-F37</f>
        <v>0</v>
      </c>
      <c r="G38" s="33" t="n">
        <f aca="false">Project_CF!G14+G22-G37</f>
        <v>-85</v>
      </c>
      <c r="H38" s="33" t="n">
        <f aca="false">Project_CF!H14+H22-H37</f>
        <v>-91.88435</v>
      </c>
      <c r="I38" s="33" t="n">
        <f aca="false">Project_CF!I14+I22-I37</f>
        <v>-83.15305</v>
      </c>
      <c r="J38" s="33" t="n">
        <f aca="false">Project_CF!J14+J22-J37</f>
        <v>-74.142225</v>
      </c>
      <c r="K38" s="33" t="n">
        <f aca="false">Project_CF!K14+K22-K37</f>
        <v>-60.733835</v>
      </c>
      <c r="L38" s="33" t="n">
        <f aca="false">Project_CF!L14+L22-L37</f>
        <v>-99.88881</v>
      </c>
      <c r="M38" s="33" t="n">
        <f aca="false">Project_CF!M14+M22-M37</f>
        <v>-117.5180625</v>
      </c>
      <c r="N38" s="33" t="n">
        <f aca="false">Project_CF!N14+N22-N37</f>
        <v>-119.1919475</v>
      </c>
      <c r="O38" s="33" t="n">
        <f aca="false">Project_CF!O14+O22-O37</f>
        <v>-98.8959475</v>
      </c>
      <c r="P38" s="33" t="n">
        <f aca="false">Project_CF!P14+P22-P37</f>
        <v>-56.64763125</v>
      </c>
      <c r="Q38" s="33" t="n">
        <f aca="false">Project_CF!Q14+Q22-Q37</f>
        <v>-4.21764875000001</v>
      </c>
      <c r="R38" s="33" t="n">
        <f aca="false">Project_CF!R14+R22-R37</f>
        <v>454.32835875</v>
      </c>
      <c r="S38" s="33" t="n">
        <f aca="false">Project_CF!S14+S22-S37</f>
        <v>421.42409125</v>
      </c>
      <c r="T38" s="33" t="n">
        <f aca="false">Project_CF!T14+T22-T37</f>
        <v>289.44036375</v>
      </c>
      <c r="U38" s="33" t="n">
        <f aca="false">Project_CF!U14+U22-U37</f>
        <v>188.24703625</v>
      </c>
      <c r="V38" s="33" t="n">
        <f aca="false">Project_CF!V14+V22-V37</f>
        <v>222.54702375</v>
      </c>
      <c r="W38" s="33" t="n">
        <f aca="false">Project_CF!W14+W22-W37</f>
        <v>255.28544625</v>
      </c>
      <c r="X38" s="33" t="n">
        <f aca="false">Project_CF!X14+X22-X37</f>
        <v>307.814908125</v>
      </c>
      <c r="Y38" s="33" t="n">
        <f aca="false">Project_CF!Y14+Y22-Y37</f>
        <v>353.218321875</v>
      </c>
      <c r="Z38" s="33" t="n">
        <f aca="false">Project_CF!Z14+Z22-Z37</f>
        <v>389.806198125</v>
      </c>
      <c r="AA38" s="33" t="n">
        <f aca="false">Project_CF!AA14+AA22-AA37</f>
        <v>416.352446875</v>
      </c>
      <c r="AB38" s="33" t="n">
        <f aca="false">Project_CF!AB14+AB22-AB37</f>
        <v>465.398695625</v>
      </c>
      <c r="AC38" s="33" t="n">
        <f aca="false">Project_CF!AC14+AC22-AC37</f>
        <v>514.444944375</v>
      </c>
      <c r="AD38" s="33" t="n">
        <f aca="false">Project_CF!AD14+AD22-AD37</f>
        <v>563.491193125</v>
      </c>
      <c r="AE38" s="33" t="n">
        <f aca="false">Project_CF!AE14+AE22-AE37</f>
        <v>612.537441875</v>
      </c>
      <c r="AF38" s="33" t="n">
        <f aca="false">Project_CF!AF14+AF22-AF37</f>
        <v>413.2772134375</v>
      </c>
      <c r="AG38" s="33" t="n">
        <f aca="false">Project_CF!AG14+AG22-AG37</f>
        <v>431.98650453125</v>
      </c>
      <c r="AH38" s="33" t="n">
        <f aca="false">Project_CF!AH14+AH22-AH37</f>
        <v>448.52569171875</v>
      </c>
      <c r="AI38" s="33" t="n">
        <f aca="false">Project_CF!AI14+AI22-AI37</f>
        <v>462.894775</v>
      </c>
      <c r="AJ38" s="33" t="n">
        <f aca="false">Project_CF!AJ14+AJ22-AJ37</f>
        <v>473.76653140625</v>
      </c>
      <c r="AK38" s="33" t="n">
        <f aca="false">Project_CF!AK14+AK22-AK37</f>
        <v>482.6128575</v>
      </c>
      <c r="AL38" s="33" t="n">
        <f aca="false">Project_CF!AL14+AL22-AL37</f>
        <v>490.064865625</v>
      </c>
      <c r="AM38" s="33" t="n">
        <f aca="false">Project_CF!AM14+AM22-AM37</f>
        <v>493.140886875</v>
      </c>
      <c r="AN38" s="33" t="n">
        <f aca="false">Project_CF!AN14+AN22-AN37</f>
        <v>496.216908125</v>
      </c>
      <c r="AO38" s="33" t="n">
        <f aca="false">Project_CF!AO14+AO22-AO37</f>
        <v>499.292929375</v>
      </c>
      <c r="AP38" s="33" t="n">
        <f aca="false">Project_CF!AP14+AP22-AP37</f>
        <v>499.292929375</v>
      </c>
      <c r="AQ38" s="33" t="n">
        <f aca="false">Project_CF!AQ14+AQ22-AQ37</f>
        <v>499.292929375</v>
      </c>
      <c r="AR38" s="33" t="n">
        <f aca="false">Project_CF!AR14+AR22-AR37</f>
        <v>499.292929375</v>
      </c>
      <c r="AS38" s="33" t="n">
        <f aca="false">Project_CF!AS14+AS22-AS37</f>
        <v>499.292929375</v>
      </c>
      <c r="AT38" s="33" t="n">
        <f aca="false">Project_CF!AT14+AT22-AT37</f>
        <v>499.292929375</v>
      </c>
      <c r="AU38" s="33" t="n">
        <f aca="false">Project_CF!AU14+AU22-AU37</f>
        <v>499.292929375</v>
      </c>
      <c r="AV38" s="33" t="n">
        <f aca="false">Project_CF!AV14+AV22-AV37</f>
        <v>499.292929375</v>
      </c>
      <c r="AW38" s="33" t="n">
        <f aca="false">Project_CF!AW14+AW22-AW37</f>
        <v>499.292929375</v>
      </c>
      <c r="AX38" s="33" t="n">
        <f aca="false">Project_CF!AX14+AX22-AX37</f>
        <v>499.292929375</v>
      </c>
      <c r="AY38" s="33" t="n">
        <f aca="false">Project_CF!AY14+AY22-AY37</f>
        <v>499.292929375</v>
      </c>
      <c r="AZ38" s="33" t="n">
        <f aca="false">Project_CF!AZ14+AZ22-AZ37</f>
        <v>499.292929375</v>
      </c>
      <c r="BA38" s="33" t="n">
        <f aca="false">Project_CF!BA14+BA22-BA37</f>
        <v>499.292929375</v>
      </c>
      <c r="BB38" s="33" t="n">
        <f aca="false">Project_CF!BB14+BB22-BB37</f>
        <v>499.292929375</v>
      </c>
      <c r="BC38" s="33" t="n">
        <f aca="false">Project_CF!BC14+BC22-BC37</f>
        <v>499.292929375</v>
      </c>
      <c r="BD38" s="33" t="n">
        <f aca="false">Project_CF!BD14+BD22-BD37</f>
        <v>499.292929375</v>
      </c>
      <c r="BE38" s="33" t="n">
        <f aca="false">Project_CF!BE14+BE22-BE37</f>
        <v>499.292929375</v>
      </c>
      <c r="BF38" s="33" t="n">
        <f aca="false">Project_CF!BF14+BF22-BF37</f>
        <v>499.292929375</v>
      </c>
      <c r="BG38" s="33" t="n">
        <f aca="false">Project_CF!BG14+BG22-BG37</f>
        <v>499.292929375</v>
      </c>
      <c r="BH38" s="33" t="n">
        <f aca="false">Project_CF!BH14+BH22-BH37</f>
        <v>499.292929375</v>
      </c>
      <c r="BI38" s="33" t="n">
        <f aca="false">Project_CF!BI14+BI22-BI37</f>
        <v>499.292929375</v>
      </c>
      <c r="BJ38" s="33" t="n">
        <f aca="false">Project_CF!BJ14+BJ22-BJ37</f>
        <v>499.292929375</v>
      </c>
      <c r="BK38" s="33" t="n">
        <f aca="false">Project_CF!BK14+BK22-BK37</f>
        <v>499.292929375</v>
      </c>
    </row>
    <row r="40" customFormat="false" ht="23.85" hidden="false" customHeight="false" outlineLevel="0" collapsed="false">
      <c r="A40" s="7" t="s">
        <v>279</v>
      </c>
      <c r="B40" s="7" t="s">
        <v>280</v>
      </c>
      <c r="C40" s="7" t="s">
        <v>50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0.205052253569301</v>
      </c>
      <c r="C41" s="42" t="n">
        <f aca="false">SUMIF(D50:BK50,"&gt;0")/-SUMIF(D50:BK50,"&lt;0")</f>
        <v>2.15555555555556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0.251119235081891</v>
      </c>
      <c r="C42" s="42" t="n">
        <f aca="false">SUMIF(D51:BK51,"&gt;0")/-SUMIF(D51:BK51,"&lt;0")</f>
        <v>2.51481481481482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0.292473250549915</v>
      </c>
      <c r="C43" s="42" t="n">
        <f aca="false">SUMIF(D52:BK52,"&gt;0")/-SUMIF(D52:BK52,"&lt;0")</f>
        <v>2.87407407407407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0.330105364430078</v>
      </c>
      <c r="C44" s="42" t="n">
        <f aca="false">SUMIF(D53:BK53,"&gt;0")/-SUMIF(D53:BK53,"&lt;0")</f>
        <v>3.23333333333333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0.36471402241579</v>
      </c>
      <c r="C45" s="42" t="n">
        <f aca="false">SUMIF(D54:BK54,"&gt;0")/-SUMIF(D54:BK54,"&lt;0")</f>
        <v>3.59259259259259</v>
      </c>
    </row>
    <row r="47" customFormat="false" ht="23.85" hidden="false" customHeight="false" outlineLevel="0" collapsed="false">
      <c r="A47" s="7" t="s">
        <v>281</v>
      </c>
      <c r="B47" s="7" t="s">
        <v>280</v>
      </c>
      <c r="C47" s="7" t="s">
        <v>50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0.392838827718412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0.321362932732685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0.245792920191795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-50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0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0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26.9444444444444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26.9444444444444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26.9444444444444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26.9444444444444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0.165332570556578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-50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0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0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31.4351851851852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31.4351851851852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31.4351851851852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31.4351851851852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282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-50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0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0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35.9259259259259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35.9259259259259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35.9259259259259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35.9259259259259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283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-50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0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0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40.4166666666667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40.4166666666667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40.4166666666667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40.4166666666667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284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-50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0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0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44.9074074074074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44.9074074074074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44.9074074074074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44.9074074074074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285</v>
      </c>
      <c r="D56" s="33" t="n">
        <f aca="false">IF(Source_Data!D$6=Inputs!$B$12,-Inputs!$B$7,0)+IF(Source_Data!D$6=Inputs!$B$12+24,Inputs!$B$8*Inputs!$B$7*(1-$A$48)*(1-Inputs!$B$15),0)</f>
        <v>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-50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0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97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286</v>
      </c>
      <c r="D57" s="33" t="n">
        <f aca="false">IF(Source_Data!D$6=Inputs!$B$12,-Inputs!$B$7,0)+IF(Source_Data!D$6=Inputs!$B$12+24,Inputs!$B$8*Inputs!$B$7*(1-$A$49)*(1-Inputs!$B$15),0)</f>
        <v>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-50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0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87.3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287</v>
      </c>
      <c r="D58" s="33" t="n">
        <f aca="false">IF(Source_Data!D$6=Inputs!$B$12,-Inputs!$B$7,0)+IF(Source_Data!D$6=Inputs!$B$12+24,Inputs!$B$8*Inputs!$B$7*(1-$A$50)*(1-Inputs!$B$15),0)</f>
        <v>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-50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0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77.6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288</v>
      </c>
      <c r="D59" s="33" t="n">
        <f aca="false">IF(Source_Data!D$6=Inputs!$B$12,-Inputs!$B$7,0)+IF(Source_Data!D$6=Inputs!$B$12+24,Inputs!$B$8*Inputs!$B$7*(1-$A$51)*(1-Inputs!$B$15),0)</f>
        <v>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-50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0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67.9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289</v>
      </c>
    </row>
    <row r="2" customFormat="false" ht="15" hidden="false" customHeight="false" outlineLevel="0" collapsed="false">
      <c r="A2" s="6" t="s">
        <v>290</v>
      </c>
    </row>
    <row r="4" customFormat="false" ht="15" hidden="false" customHeight="false" outlineLevel="0" collapsed="false">
      <c r="A4" s="7" t="s">
        <v>256</v>
      </c>
      <c r="B4" s="7" t="s">
        <v>181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184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291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0</v>
      </c>
      <c r="N6" s="30" t="n">
        <f aca="false">IF(AND(Source_Data!N$6&gt;=Inputs!$B$54,Source_Data!N$6&lt;Inputs!$B$54+3*Inputs!$B$11),1,0)</f>
        <v>0</v>
      </c>
      <c r="O6" s="30" t="n">
        <f aca="false">IF(AND(Source_Data!O$6&gt;=Inputs!$B$54,Source_Data!O$6&lt;Inputs!$B$54+3*Inputs!$B$11),1,0)</f>
        <v>0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1</v>
      </c>
      <c r="Z6" s="30" t="n">
        <f aca="false">IF(AND(Source_Data!Z$6&gt;=Inputs!$B$54,Source_Data!Z$6&lt;Inputs!$B$54+3*Inputs!$B$11),1,0)</f>
        <v>1</v>
      </c>
      <c r="AA6" s="30" t="n">
        <f aca="false">IF(AND(Source_Data!AA$6&gt;=Inputs!$B$54,Source_Data!AA$6&lt;Inputs!$B$54+3*Inputs!$B$11),1,0)</f>
        <v>1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292</v>
      </c>
      <c r="B7" s="38" t="n">
        <f aca="false">SUM(D7:BK7)</f>
        <v>595.292929375</v>
      </c>
      <c r="D7" s="33" t="n">
        <f aca="false">Project_CF!D13</f>
        <v>0</v>
      </c>
      <c r="E7" s="33" t="n">
        <f aca="false">Project_CF!E13</f>
        <v>0</v>
      </c>
      <c r="F7" s="33" t="n">
        <f aca="false">Project_CF!F13</f>
        <v>0</v>
      </c>
      <c r="G7" s="33" t="n">
        <f aca="false">Project_CF!G13</f>
        <v>-85</v>
      </c>
      <c r="H7" s="33" t="n">
        <f aca="false">Project_CF!H13</f>
        <v>-4.38435</v>
      </c>
      <c r="I7" s="33" t="n">
        <f aca="false">Project_CF!I13</f>
        <v>13.7313</v>
      </c>
      <c r="J7" s="33" t="n">
        <f aca="false">Project_CF!J13</f>
        <v>12.760825</v>
      </c>
      <c r="K7" s="33" t="n">
        <f aca="false">Project_CF!K13</f>
        <v>16.15839</v>
      </c>
      <c r="L7" s="33" t="n">
        <f aca="false">Project_CF!L13</f>
        <v>-38.404975</v>
      </c>
      <c r="M7" s="33" t="n">
        <f aca="false">Project_CF!M13</f>
        <v>-16.8792525</v>
      </c>
      <c r="N7" s="33" t="n">
        <f aca="false">Project_CF!N13</f>
        <v>1.07611500000001</v>
      </c>
      <c r="O7" s="33" t="n">
        <f aca="false">Project_CF!O13</f>
        <v>23.046</v>
      </c>
      <c r="P7" s="33" t="n">
        <f aca="false">Project_CF!P13</f>
        <v>44.99831625</v>
      </c>
      <c r="Q7" s="33" t="n">
        <f aca="false">Project_CF!Q13</f>
        <v>55.1799825</v>
      </c>
      <c r="R7" s="33" t="n">
        <f aca="false">Project_CF!R13</f>
        <v>481.2960075</v>
      </c>
      <c r="S7" s="33" t="n">
        <f aca="false">Project_CF!S13</f>
        <v>-30.1542675</v>
      </c>
      <c r="T7" s="33" t="n">
        <f aca="false">Project_CF!T13</f>
        <v>-129.2337275</v>
      </c>
      <c r="U7" s="33" t="n">
        <f aca="false">Project_CF!U13</f>
        <v>-98.4433275000001</v>
      </c>
      <c r="V7" s="33" t="n">
        <f aca="false">Project_CF!V13</f>
        <v>36.7999875</v>
      </c>
      <c r="W7" s="33" t="n">
        <f aca="false">Project_CF!W13</f>
        <v>34.9884225</v>
      </c>
      <c r="X7" s="33" t="n">
        <f aca="false">Project_CF!X13</f>
        <v>54.779461875</v>
      </c>
      <c r="Y7" s="33" t="n">
        <f aca="false">Project_CF!Y13</f>
        <v>47.65341375</v>
      </c>
      <c r="Z7" s="33" t="n">
        <f aca="false">Project_CF!Z13</f>
        <v>38.83787625</v>
      </c>
      <c r="AA7" s="33" t="n">
        <f aca="false">Project_CF!AA13</f>
        <v>28.54624875</v>
      </c>
      <c r="AB7" s="33" t="n">
        <f aca="false">Project_CF!AB13</f>
        <v>51.04624875</v>
      </c>
      <c r="AC7" s="33" t="n">
        <f aca="false">Project_CF!AC13</f>
        <v>51.04624875</v>
      </c>
      <c r="AD7" s="33" t="n">
        <f aca="false">Project_CF!AD13</f>
        <v>51.04624875</v>
      </c>
      <c r="AE7" s="33" t="n">
        <f aca="false">Project_CF!AE13</f>
        <v>51.04624875</v>
      </c>
      <c r="AF7" s="33" t="n">
        <f aca="false">Project_CF!AF13</f>
        <v>-197.2602284375</v>
      </c>
      <c r="AG7" s="33" t="n">
        <f aca="false">Project_CF!AG13</f>
        <v>20.70929109375</v>
      </c>
      <c r="AH7" s="33" t="n">
        <f aca="false">Project_CF!AH13</f>
        <v>18.5391871875</v>
      </c>
      <c r="AI7" s="33" t="n">
        <f aca="false">Project_CF!AI13</f>
        <v>16.36908328125</v>
      </c>
      <c r="AJ7" s="33" t="n">
        <f aca="false">Project_CF!AJ13</f>
        <v>12.87175640625</v>
      </c>
      <c r="AK7" s="33" t="n">
        <f aca="false">Project_CF!AK13</f>
        <v>10.84632609375</v>
      </c>
      <c r="AL7" s="33" t="n">
        <f aca="false">Project_CF!AL13</f>
        <v>9.45200812499999</v>
      </c>
      <c r="AM7" s="33" t="n">
        <f aca="false">Project_CF!AM13</f>
        <v>4.07602125</v>
      </c>
      <c r="AN7" s="33" t="n">
        <f aca="false">Project_CF!AN13</f>
        <v>4.07602125</v>
      </c>
      <c r="AO7" s="33" t="n">
        <f aca="false">Project_CF!AO13</f>
        <v>4.07602125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293</v>
      </c>
      <c r="B8" s="38" t="n">
        <f aca="false">SUM(D8:BK8)</f>
        <v>2673.73575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0</v>
      </c>
      <c r="G8" s="33" t="n">
        <f aca="false">Project_CF!G8</f>
        <v>0</v>
      </c>
      <c r="H8" s="33" t="n">
        <f aca="false">Project_CF!H8</f>
        <v>18.11565</v>
      </c>
      <c r="I8" s="33" t="n">
        <f aca="false">Project_CF!I8</f>
        <v>36.2313</v>
      </c>
      <c r="J8" s="33" t="n">
        <f aca="false">Project_CF!J8</f>
        <v>58.260825</v>
      </c>
      <c r="K8" s="33" t="n">
        <f aca="false">Project_CF!K8</f>
        <v>69.01839</v>
      </c>
      <c r="L8" s="33" t="n">
        <f aca="false">Project_CF!L8</f>
        <v>67.087545</v>
      </c>
      <c r="M8" s="33" t="n">
        <f aca="false">Project_CF!M8</f>
        <v>72.9732675</v>
      </c>
      <c r="N8" s="33" t="n">
        <f aca="false">Project_CF!N8</f>
        <v>88.871055</v>
      </c>
      <c r="O8" s="33" t="n">
        <f aca="false">Project_CF!O8</f>
        <v>105.60753</v>
      </c>
      <c r="P8" s="33" t="n">
        <f aca="false">Project_CF!P8</f>
        <v>115.25243625</v>
      </c>
      <c r="Q8" s="33" t="n">
        <f aca="false">Project_CF!Q8</f>
        <v>124.8973425</v>
      </c>
      <c r="R8" s="33" t="n">
        <f aca="false">Project_CF!R8</f>
        <v>683.0904675</v>
      </c>
      <c r="S8" s="33" t="n">
        <f aca="false">Project_CF!S8</f>
        <v>171.6401925</v>
      </c>
      <c r="T8" s="33" t="n">
        <f aca="false">Project_CF!T8</f>
        <v>112.5965925</v>
      </c>
      <c r="U8" s="33" t="n">
        <f aca="false">Project_CF!U8</f>
        <v>89.3369925</v>
      </c>
      <c r="V8" s="33" t="n">
        <f aca="false">Project_CF!V8</f>
        <v>87.5254275</v>
      </c>
      <c r="W8" s="33" t="n">
        <f aca="false">Project_CF!W8</f>
        <v>85.7138625</v>
      </c>
      <c r="X8" s="33" t="n">
        <f aca="false">Project_CF!X8</f>
        <v>77.279461875</v>
      </c>
      <c r="Y8" s="33" t="n">
        <f aca="false">Project_CF!Y8</f>
        <v>70.15341375</v>
      </c>
      <c r="Z8" s="33" t="n">
        <f aca="false">Project_CF!Z8</f>
        <v>61.33787625</v>
      </c>
      <c r="AA8" s="33" t="n">
        <f aca="false">Project_CF!AA8</f>
        <v>51.04624875</v>
      </c>
      <c r="AB8" s="33" t="n">
        <f aca="false">Project_CF!AB8</f>
        <v>51.04624875</v>
      </c>
      <c r="AC8" s="33" t="n">
        <f aca="false">Project_CF!AC8</f>
        <v>51.04624875</v>
      </c>
      <c r="AD8" s="33" t="n">
        <f aca="false">Project_CF!AD8</f>
        <v>51.04624875</v>
      </c>
      <c r="AE8" s="33" t="n">
        <f aca="false">Project_CF!AE8</f>
        <v>51.04624875</v>
      </c>
      <c r="AF8" s="33" t="n">
        <f aca="false">Project_CF!AF8</f>
        <v>43.931383125</v>
      </c>
      <c r="AG8" s="33" t="n">
        <f aca="false">Project_CF!AG8</f>
        <v>36.8165175</v>
      </c>
      <c r="AH8" s="33" t="n">
        <f aca="false">Project_CF!AH8</f>
        <v>32.958555</v>
      </c>
      <c r="AI8" s="33" t="n">
        <f aca="false">Project_CF!AI8</f>
        <v>29.1005925</v>
      </c>
      <c r="AJ8" s="33" t="n">
        <f aca="false">Project_CF!AJ8</f>
        <v>22.8831225</v>
      </c>
      <c r="AK8" s="33" t="n">
        <f aca="false">Project_CF!AK8</f>
        <v>19.2823575</v>
      </c>
      <c r="AL8" s="33" t="n">
        <f aca="false">Project_CF!AL8</f>
        <v>16.80357</v>
      </c>
      <c r="AM8" s="33" t="n">
        <f aca="false">Project_CF!AM8</f>
        <v>7.24626</v>
      </c>
      <c r="AN8" s="33" t="n">
        <f aca="false">Project_CF!AN8</f>
        <v>7.24626</v>
      </c>
      <c r="AO8" s="33" t="n">
        <f aca="false">Project_CF!AO8</f>
        <v>7.24626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294</v>
      </c>
      <c r="B9" s="38" t="n">
        <f aca="false">SUM(D9:BK9)</f>
        <v>115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0</v>
      </c>
      <c r="N9" s="33" t="n">
        <f aca="false">N6*(Inputs!$B$9*Inputs!$B$7/Inputs!$B$11)</f>
        <v>0</v>
      </c>
      <c r="O9" s="33" t="n">
        <f aca="false">O6*(Inputs!$B$9*Inputs!$B$7/Inputs!$B$11)</f>
        <v>0</v>
      </c>
      <c r="P9" s="33" t="n">
        <f aca="false">P6*(Inputs!$B$9*Inputs!$B$7/Inputs!$B$11)</f>
        <v>9.58333333333333</v>
      </c>
      <c r="Q9" s="33" t="n">
        <f aca="false">Q6*(Inputs!$B$9*Inputs!$B$7/Inputs!$B$11)</f>
        <v>9.58333333333333</v>
      </c>
      <c r="R9" s="33" t="n">
        <f aca="false">R6*(Inputs!$B$9*Inputs!$B$7/Inputs!$B$11)</f>
        <v>9.58333333333333</v>
      </c>
      <c r="S9" s="33" t="n">
        <f aca="false">S6*(Inputs!$B$9*Inputs!$B$7/Inputs!$B$11)</f>
        <v>9.58333333333333</v>
      </c>
      <c r="T9" s="33" t="n">
        <f aca="false">T6*(Inputs!$B$9*Inputs!$B$7/Inputs!$B$11)</f>
        <v>9.58333333333333</v>
      </c>
      <c r="U9" s="33" t="n">
        <f aca="false">U6*(Inputs!$B$9*Inputs!$B$7/Inputs!$B$11)</f>
        <v>9.58333333333333</v>
      </c>
      <c r="V9" s="33" t="n">
        <f aca="false">V6*(Inputs!$B$9*Inputs!$B$7/Inputs!$B$11)</f>
        <v>9.58333333333333</v>
      </c>
      <c r="W9" s="33" t="n">
        <f aca="false">W6*(Inputs!$B$9*Inputs!$B$7/Inputs!$B$11)</f>
        <v>9.58333333333333</v>
      </c>
      <c r="X9" s="33" t="n">
        <f aca="false">X6*(Inputs!$B$9*Inputs!$B$7/Inputs!$B$11)</f>
        <v>9.58333333333333</v>
      </c>
      <c r="Y9" s="33" t="n">
        <f aca="false">Y6*(Inputs!$B$9*Inputs!$B$7/Inputs!$B$11)</f>
        <v>9.58333333333333</v>
      </c>
      <c r="Z9" s="33" t="n">
        <f aca="false">Z6*(Inputs!$B$9*Inputs!$B$7/Inputs!$B$11)</f>
        <v>9.58333333333333</v>
      </c>
      <c r="AA9" s="33" t="n">
        <f aca="false">AA6*(Inputs!$B$9*Inputs!$B$7/Inputs!$B$11)</f>
        <v>9.58333333333333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295</v>
      </c>
      <c r="B10" s="38" t="n">
        <f aca="false">SUM(D10:BK10)</f>
        <v>115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0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0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0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11.3587842370248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12.3093446992994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14.375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14.375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11.0970357039346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8.80466960360849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8.62612955156386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8.44758949951923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7.61633126337932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6.91401862038277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6.04519717370466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5.03089864758278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1.0000000116861E-006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296</v>
      </c>
      <c r="B11" s="38" t="n">
        <f aca="false">SUM(D11:BK11)</f>
        <v>90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0</v>
      </c>
      <c r="N11" s="33" t="n">
        <f aca="false">N6*Inputs!$B$40*Inputs!$B$7/Inputs!$B$11</f>
        <v>0</v>
      </c>
      <c r="O11" s="33" t="n">
        <f aca="false">O6*Inputs!$B$40*Inputs!$B$7/Inputs!$B$11</f>
        <v>0</v>
      </c>
      <c r="P11" s="33" t="n">
        <f aca="false">P6*Inputs!$B$40*Inputs!$B$7/Inputs!$B$11</f>
        <v>7.5</v>
      </c>
      <c r="Q11" s="33" t="n">
        <f aca="false">Q6*Inputs!$B$40*Inputs!$B$7/Inputs!$B$11</f>
        <v>7.5</v>
      </c>
      <c r="R11" s="33" t="n">
        <f aca="false">R6*Inputs!$B$40*Inputs!$B$7/Inputs!$B$11</f>
        <v>7.5</v>
      </c>
      <c r="S11" s="33" t="n">
        <f aca="false">S6*Inputs!$B$40*Inputs!$B$7/Inputs!$B$11</f>
        <v>7.5</v>
      </c>
      <c r="T11" s="33" t="n">
        <f aca="false">T6*Inputs!$B$40*Inputs!$B$7/Inputs!$B$11</f>
        <v>7.5</v>
      </c>
      <c r="U11" s="33" t="n">
        <f aca="false">U6*Inputs!$B$40*Inputs!$B$7/Inputs!$B$11</f>
        <v>7.5</v>
      </c>
      <c r="V11" s="33" t="n">
        <f aca="false">V6*Inputs!$B$40*Inputs!$B$7/Inputs!$B$11</f>
        <v>7.5</v>
      </c>
      <c r="W11" s="33" t="n">
        <f aca="false">W6*Inputs!$B$40*Inputs!$B$7/Inputs!$B$11</f>
        <v>7.5</v>
      </c>
      <c r="X11" s="33" t="n">
        <f aca="false">X6*Inputs!$B$40*Inputs!$B$7/Inputs!$B$11</f>
        <v>7.5</v>
      </c>
      <c r="Y11" s="33" t="n">
        <f aca="false">Y6*Inputs!$B$40*Inputs!$B$7/Inputs!$B$11</f>
        <v>7.5</v>
      </c>
      <c r="Z11" s="33" t="n">
        <f aca="false">Z6*Inputs!$B$40*Inputs!$B$7/Inputs!$B$11</f>
        <v>7.5</v>
      </c>
      <c r="AA11" s="33" t="n">
        <f aca="false">AA6*Inputs!$B$40*Inputs!$B$7/Inputs!$B$11</f>
        <v>7.5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297</v>
      </c>
      <c r="B12" s="38" t="n">
        <f aca="false">SUM(D12:BK12)</f>
        <v>25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0</v>
      </c>
      <c r="N12" s="33" t="n">
        <f aca="false">IF(N6=1,MAX(0,MIN(Inputs!$B$42*N8,Inputs!$B$41*Inputs!$B$7-Inputs!$B$40*Inputs!$B$7-SUM($D$12:M12))),0)</f>
        <v>0</v>
      </c>
      <c r="O12" s="33" t="n">
        <f aca="false">IF(O6=1,MAX(0,MIN(Inputs!$B$42*O8,Inputs!$B$41*Inputs!$B$7-Inputs!$B$40*Inputs!$B$7-SUM($D$12:N12))),0)</f>
        <v>0</v>
      </c>
      <c r="P12" s="33" t="n">
        <f aca="false">IF(P6=1,MAX(0,MIN(Inputs!$B$42*P8,Inputs!$B$41*Inputs!$B$7-Inputs!$B$40*Inputs!$B$7-SUM($D$12:O12))),0)</f>
        <v>1.66562249337807</v>
      </c>
      <c r="Q12" s="33" t="n">
        <f aca="false">IF(Q6=1,MAX(0,MIN(Inputs!$B$42*Q8,Inputs!$B$41*Inputs!$B$7-Inputs!$B$40*Inputs!$B$7-SUM($D$12:P12))),0)</f>
        <v>1.80501020021731</v>
      </c>
      <c r="R12" s="33" t="n">
        <f aca="false">IF(R6=1,MAX(0,MIN(Inputs!$B$42*R8,Inputs!$B$41*Inputs!$B$7-Inputs!$B$40*Inputs!$B$7-SUM($D$12:Q12))),0)</f>
        <v>9.87198956221755</v>
      </c>
      <c r="S12" s="33" t="n">
        <f aca="false">IF(S6=1,MAX(0,MIN(Inputs!$B$42*S8,Inputs!$B$41*Inputs!$B$7-Inputs!$B$40*Inputs!$B$7-SUM($D$12:R12))),0)</f>
        <v>2.48053555046427</v>
      </c>
      <c r="T12" s="33" t="n">
        <f aca="false">IF(T6=1,MAX(0,MIN(Inputs!$B$42*T8,Inputs!$B$41*Inputs!$B$7-Inputs!$B$40*Inputs!$B$7-SUM($D$12:S12))),0)</f>
        <v>1.62724037120495</v>
      </c>
      <c r="U12" s="33" t="n">
        <f aca="false">IF(U6=1,MAX(0,MIN(Inputs!$B$42*U8,Inputs!$B$41*Inputs!$B$7-Inputs!$B$40*Inputs!$B$7-SUM($D$12:T12))),0)</f>
        <v>1.29109378543612</v>
      </c>
      <c r="V12" s="33" t="n">
        <f aca="false">IF(V6=1,MAX(0,MIN(Inputs!$B$42*V8,Inputs!$B$41*Inputs!$B$7-Inputs!$B$40*Inputs!$B$7-SUM($D$12:U12))),0)</f>
        <v>1.26491313789067</v>
      </c>
      <c r="W12" s="33" t="n">
        <f aca="false">IF(W6=1,MAX(0,MIN(Inputs!$B$42*W8,Inputs!$B$41*Inputs!$B$7-Inputs!$B$40*Inputs!$B$7-SUM($D$12:V12))),0)</f>
        <v>1.23873249034521</v>
      </c>
      <c r="X12" s="33" t="n">
        <f aca="false">IF(X6=1,MAX(0,MIN(Inputs!$B$42*X8,Inputs!$B$41*Inputs!$B$7-Inputs!$B$40*Inputs!$B$7-SUM($D$12:W12))),0)</f>
        <v>1.11683895077015</v>
      </c>
      <c r="Y12" s="33" t="n">
        <f aca="false">IF(Y6=1,MAX(0,MIN(Inputs!$B$42*Y8,Inputs!$B$41*Inputs!$B$7-Inputs!$B$40*Inputs!$B$7-SUM($D$12:X12))),0)</f>
        <v>1.01385365664458</v>
      </c>
      <c r="Z12" s="33" t="n">
        <f aca="false">IF(Z6=1,MAX(0,MIN(Inputs!$B$42*Z8,Inputs!$B$41*Inputs!$B$7-Inputs!$B$40*Inputs!$B$7-SUM($D$12:Y12))),0)</f>
        <v>0.886451945852387</v>
      </c>
      <c r="AA12" s="33" t="n">
        <f aca="false">IF(AA6=1,MAX(0,MIN(Inputs!$B$42*AA8,Inputs!$B$41*Inputs!$B$7-Inputs!$B$40*Inputs!$B$7-SUM($D$12:Z12))),0)</f>
        <v>0.737717855578713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298</v>
      </c>
      <c r="B13" s="38" t="n">
        <f aca="false">SUM(D13:BK13)</f>
        <v>115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0</v>
      </c>
      <c r="N13" s="33" t="n">
        <f aca="false">N11+N12</f>
        <v>0</v>
      </c>
      <c r="O13" s="33" t="n">
        <f aca="false">O11+O12</f>
        <v>0</v>
      </c>
      <c r="P13" s="33" t="n">
        <f aca="false">P11+P12</f>
        <v>9.16562249337807</v>
      </c>
      <c r="Q13" s="33" t="n">
        <f aca="false">Q11+Q12</f>
        <v>9.30501020021731</v>
      </c>
      <c r="R13" s="33" t="n">
        <f aca="false">R11+R12</f>
        <v>17.3719895622176</v>
      </c>
      <c r="S13" s="33" t="n">
        <f aca="false">S11+S12</f>
        <v>9.98053555046428</v>
      </c>
      <c r="T13" s="33" t="n">
        <f aca="false">T11+T12</f>
        <v>9.12724037120495</v>
      </c>
      <c r="U13" s="33" t="n">
        <f aca="false">U11+U12</f>
        <v>8.79109378543613</v>
      </c>
      <c r="V13" s="33" t="n">
        <f aca="false">V11+V12</f>
        <v>8.76491313789067</v>
      </c>
      <c r="W13" s="33" t="n">
        <f aca="false">W11+W12</f>
        <v>8.73873249034521</v>
      </c>
      <c r="X13" s="33" t="n">
        <f aca="false">X11+X12</f>
        <v>8.61683895077015</v>
      </c>
      <c r="Y13" s="33" t="n">
        <f aca="false">Y11+Y12</f>
        <v>8.51385365664458</v>
      </c>
      <c r="Z13" s="33" t="n">
        <f aca="false">Z11+Z12</f>
        <v>8.38645194585239</v>
      </c>
      <c r="AA13" s="33" t="n">
        <f aca="false">AA11+AA12</f>
        <v>8.23771785557871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299</v>
      </c>
      <c r="D14" s="33" t="n">
        <f aca="false">-IF(Source_Data!D$6=Inputs!$B$12,Inputs!$B$7,0)+D9</f>
        <v>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-50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0</v>
      </c>
      <c r="N14" s="33" t="n">
        <f aca="false">-IF(Source_Data!N$6=Inputs!$B$12,Inputs!$B$7,0)+N9</f>
        <v>0</v>
      </c>
      <c r="O14" s="33" t="n">
        <f aca="false">-IF(Source_Data!O$6=Inputs!$B$12,Inputs!$B$7,0)+O9</f>
        <v>0</v>
      </c>
      <c r="P14" s="33" t="n">
        <f aca="false">-IF(Source_Data!P$6=Inputs!$B$12,Inputs!$B$7,0)+P9</f>
        <v>9.58333333333333</v>
      </c>
      <c r="Q14" s="33" t="n">
        <f aca="false">-IF(Source_Data!Q$6=Inputs!$B$12,Inputs!$B$7,0)+Q9</f>
        <v>9.58333333333333</v>
      </c>
      <c r="R14" s="33" t="n">
        <f aca="false">-IF(Source_Data!R$6=Inputs!$B$12,Inputs!$B$7,0)+R9</f>
        <v>9.58333333333333</v>
      </c>
      <c r="S14" s="33" t="n">
        <f aca="false">-IF(Source_Data!S$6=Inputs!$B$12,Inputs!$B$7,0)+S9</f>
        <v>9.58333333333333</v>
      </c>
      <c r="T14" s="33" t="n">
        <f aca="false">-IF(Source_Data!T$6=Inputs!$B$12,Inputs!$B$7,0)+T9</f>
        <v>9.58333333333333</v>
      </c>
      <c r="U14" s="33" t="n">
        <f aca="false">-IF(Source_Data!U$6=Inputs!$B$12,Inputs!$B$7,0)+U9</f>
        <v>9.58333333333333</v>
      </c>
      <c r="V14" s="33" t="n">
        <f aca="false">-IF(Source_Data!V$6=Inputs!$B$12,Inputs!$B$7,0)+V9</f>
        <v>9.58333333333333</v>
      </c>
      <c r="W14" s="33" t="n">
        <f aca="false">-IF(Source_Data!W$6=Inputs!$B$12,Inputs!$B$7,0)+W9</f>
        <v>9.58333333333333</v>
      </c>
      <c r="X14" s="33" t="n">
        <f aca="false">-IF(Source_Data!X$6=Inputs!$B$12,Inputs!$B$7,0)+X9</f>
        <v>9.58333333333333</v>
      </c>
      <c r="Y14" s="33" t="n">
        <f aca="false">-IF(Source_Data!Y$6=Inputs!$B$12,Inputs!$B$7,0)+Y9</f>
        <v>9.58333333333333</v>
      </c>
      <c r="Z14" s="33" t="n">
        <f aca="false">-IF(Source_Data!Z$6=Inputs!$B$12,Inputs!$B$7,0)+Z9</f>
        <v>9.58333333333333</v>
      </c>
      <c r="AA14" s="33" t="n">
        <f aca="false">-IF(Source_Data!AA$6=Inputs!$B$12,Inputs!$B$7,0)+AA9</f>
        <v>9.58333333333333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300</v>
      </c>
      <c r="D15" s="33" t="n">
        <f aca="false">-IF(Source_Data!D$6=Inputs!$B$12,Inputs!$B$7,0)+D10</f>
        <v>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-50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0</v>
      </c>
      <c r="N15" s="33" t="n">
        <f aca="false">-IF(Source_Data!N$6=Inputs!$B$12,Inputs!$B$7,0)+N10</f>
        <v>0</v>
      </c>
      <c r="O15" s="33" t="n">
        <f aca="false">-IF(Source_Data!O$6=Inputs!$B$12,Inputs!$B$7,0)+O10</f>
        <v>0</v>
      </c>
      <c r="P15" s="33" t="n">
        <f aca="false">-IF(Source_Data!P$6=Inputs!$B$12,Inputs!$B$7,0)+P10</f>
        <v>11.3587842370248</v>
      </c>
      <c r="Q15" s="33" t="n">
        <f aca="false">-IF(Source_Data!Q$6=Inputs!$B$12,Inputs!$B$7,0)+Q10</f>
        <v>12.3093446992994</v>
      </c>
      <c r="R15" s="33" t="n">
        <f aca="false">-IF(Source_Data!R$6=Inputs!$B$12,Inputs!$B$7,0)+R10</f>
        <v>14.375</v>
      </c>
      <c r="S15" s="33" t="n">
        <f aca="false">-IF(Source_Data!S$6=Inputs!$B$12,Inputs!$B$7,0)+S10</f>
        <v>14.375</v>
      </c>
      <c r="T15" s="33" t="n">
        <f aca="false">-IF(Source_Data!T$6=Inputs!$B$12,Inputs!$B$7,0)+T10</f>
        <v>11.0970357039346</v>
      </c>
      <c r="U15" s="33" t="n">
        <f aca="false">-IF(Source_Data!U$6=Inputs!$B$12,Inputs!$B$7,0)+U10</f>
        <v>8.80466960360849</v>
      </c>
      <c r="V15" s="33" t="n">
        <f aca="false">-IF(Source_Data!V$6=Inputs!$B$12,Inputs!$B$7,0)+V10</f>
        <v>8.62612955156386</v>
      </c>
      <c r="W15" s="33" t="n">
        <f aca="false">-IF(Source_Data!W$6=Inputs!$B$12,Inputs!$B$7,0)+W10</f>
        <v>8.44758949951923</v>
      </c>
      <c r="X15" s="33" t="n">
        <f aca="false">-IF(Source_Data!X$6=Inputs!$B$12,Inputs!$B$7,0)+X10</f>
        <v>7.61633126337932</v>
      </c>
      <c r="Y15" s="33" t="n">
        <f aca="false">-IF(Source_Data!Y$6=Inputs!$B$12,Inputs!$B$7,0)+Y10</f>
        <v>6.91401862038277</v>
      </c>
      <c r="Z15" s="33" t="n">
        <f aca="false">-IF(Source_Data!Z$6=Inputs!$B$12,Inputs!$B$7,0)+Z10</f>
        <v>6.04519717370466</v>
      </c>
      <c r="AA15" s="33" t="n">
        <f aca="false">-IF(Source_Data!AA$6=Inputs!$B$12,Inputs!$B$7,0)+AA10</f>
        <v>5.03089864758278</v>
      </c>
      <c r="AB15" s="33" t="n">
        <f aca="false">-IF(Source_Data!AB$6=Inputs!$B$12,Inputs!$B$7,0)+AB10</f>
        <v>1.0000000116861E-006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301</v>
      </c>
      <c r="D16" s="33" t="n">
        <f aca="false">-IF(Source_Data!D$6=Inputs!$B$12,Inputs!$B$7,0)+D13</f>
        <v>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-50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0</v>
      </c>
      <c r="N16" s="33" t="n">
        <f aca="false">-IF(Source_Data!N$6=Inputs!$B$12,Inputs!$B$7,0)+N13</f>
        <v>0</v>
      </c>
      <c r="O16" s="33" t="n">
        <f aca="false">-IF(Source_Data!O$6=Inputs!$B$12,Inputs!$B$7,0)+O13</f>
        <v>0</v>
      </c>
      <c r="P16" s="33" t="n">
        <f aca="false">-IF(Source_Data!P$6=Inputs!$B$12,Inputs!$B$7,0)+P13</f>
        <v>9.16562249337807</v>
      </c>
      <c r="Q16" s="33" t="n">
        <f aca="false">-IF(Source_Data!Q$6=Inputs!$B$12,Inputs!$B$7,0)+Q13</f>
        <v>9.30501020021731</v>
      </c>
      <c r="R16" s="33" t="n">
        <f aca="false">-IF(Source_Data!R$6=Inputs!$B$12,Inputs!$B$7,0)+R13</f>
        <v>17.3719895622176</v>
      </c>
      <c r="S16" s="33" t="n">
        <f aca="false">-IF(Source_Data!S$6=Inputs!$B$12,Inputs!$B$7,0)+S13</f>
        <v>9.98053555046428</v>
      </c>
      <c r="T16" s="33" t="n">
        <f aca="false">-IF(Source_Data!T$6=Inputs!$B$12,Inputs!$B$7,0)+T13</f>
        <v>9.12724037120495</v>
      </c>
      <c r="U16" s="33" t="n">
        <f aca="false">-IF(Source_Data!U$6=Inputs!$B$12,Inputs!$B$7,0)+U13</f>
        <v>8.79109378543613</v>
      </c>
      <c r="V16" s="33" t="n">
        <f aca="false">-IF(Source_Data!V$6=Inputs!$B$12,Inputs!$B$7,0)+V13</f>
        <v>8.76491313789067</v>
      </c>
      <c r="W16" s="33" t="n">
        <f aca="false">-IF(Source_Data!W$6=Inputs!$B$12,Inputs!$B$7,0)+W13</f>
        <v>8.73873249034521</v>
      </c>
      <c r="X16" s="33" t="n">
        <f aca="false">-IF(Source_Data!X$6=Inputs!$B$12,Inputs!$B$7,0)+X13</f>
        <v>8.61683895077015</v>
      </c>
      <c r="Y16" s="33" t="n">
        <f aca="false">-IF(Source_Data!Y$6=Inputs!$B$12,Inputs!$B$7,0)+Y13</f>
        <v>8.51385365664458</v>
      </c>
      <c r="Z16" s="33" t="n">
        <f aca="false">-IF(Source_Data!Z$6=Inputs!$B$12,Inputs!$B$7,0)+Z13</f>
        <v>8.38645194585239</v>
      </c>
      <c r="AA16" s="33" t="n">
        <f aca="false">-IF(Source_Data!AA$6=Inputs!$B$12,Inputs!$B$7,0)+AA13</f>
        <v>8.23771785557871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302</v>
      </c>
      <c r="D17" s="33" t="n">
        <f aca="false">IF(Source_Data!D$6=Inputs!$B$12,Inputs!$B$7,0)-D9</f>
        <v>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50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0</v>
      </c>
      <c r="N17" s="33" t="n">
        <f aca="false">IF(Source_Data!N$6=Inputs!$B$12,Inputs!$B$7,0)-N9</f>
        <v>0</v>
      </c>
      <c r="O17" s="33" t="n">
        <f aca="false">IF(Source_Data!O$6=Inputs!$B$12,Inputs!$B$7,0)-O9</f>
        <v>0</v>
      </c>
      <c r="P17" s="33" t="n">
        <f aca="false">IF(Source_Data!P$6=Inputs!$B$12,Inputs!$B$7,0)-P9</f>
        <v>-9.58333333333333</v>
      </c>
      <c r="Q17" s="33" t="n">
        <f aca="false">IF(Source_Data!Q$6=Inputs!$B$12,Inputs!$B$7,0)-Q9</f>
        <v>-9.58333333333333</v>
      </c>
      <c r="R17" s="33" t="n">
        <f aca="false">IF(Source_Data!R$6=Inputs!$B$12,Inputs!$B$7,0)-R9</f>
        <v>-9.58333333333333</v>
      </c>
      <c r="S17" s="33" t="n">
        <f aca="false">IF(Source_Data!S$6=Inputs!$B$12,Inputs!$B$7,0)-S9</f>
        <v>-9.58333333333333</v>
      </c>
      <c r="T17" s="33" t="n">
        <f aca="false">IF(Source_Data!T$6=Inputs!$B$12,Inputs!$B$7,0)-T9</f>
        <v>-9.58333333333333</v>
      </c>
      <c r="U17" s="33" t="n">
        <f aca="false">IF(Source_Data!U$6=Inputs!$B$12,Inputs!$B$7,0)-U9</f>
        <v>-9.58333333333333</v>
      </c>
      <c r="V17" s="33" t="n">
        <f aca="false">IF(Source_Data!V$6=Inputs!$B$12,Inputs!$B$7,0)-V9</f>
        <v>-9.58333333333333</v>
      </c>
      <c r="W17" s="33" t="n">
        <f aca="false">IF(Source_Data!W$6=Inputs!$B$12,Inputs!$B$7,0)-W9</f>
        <v>-9.58333333333333</v>
      </c>
      <c r="X17" s="33" t="n">
        <f aca="false">IF(Source_Data!X$6=Inputs!$B$12,Inputs!$B$7,0)-X9</f>
        <v>-9.58333333333333</v>
      </c>
      <c r="Y17" s="33" t="n">
        <f aca="false">IF(Source_Data!Y$6=Inputs!$B$12,Inputs!$B$7,0)-Y9</f>
        <v>-9.58333333333333</v>
      </c>
      <c r="Z17" s="33" t="n">
        <f aca="false">IF(Source_Data!Z$6=Inputs!$B$12,Inputs!$B$7,0)-Z9</f>
        <v>-9.58333333333333</v>
      </c>
      <c r="AA17" s="33" t="n">
        <f aca="false">IF(Source_Data!AA$6=Inputs!$B$12,Inputs!$B$7,0)-AA9</f>
        <v>-9.58333333333333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303</v>
      </c>
      <c r="D18" s="33" t="n">
        <f aca="false">IF(Source_Data!D$6=Inputs!$B$12,Inputs!$B$7,0)-D10</f>
        <v>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50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0</v>
      </c>
      <c r="N18" s="33" t="n">
        <f aca="false">IF(Source_Data!N$6=Inputs!$B$12,Inputs!$B$7,0)-N10</f>
        <v>0</v>
      </c>
      <c r="O18" s="33" t="n">
        <f aca="false">IF(Source_Data!O$6=Inputs!$B$12,Inputs!$B$7,0)-O10</f>
        <v>0</v>
      </c>
      <c r="P18" s="33" t="n">
        <f aca="false">IF(Source_Data!P$6=Inputs!$B$12,Inputs!$B$7,0)-P10</f>
        <v>-11.3587842370248</v>
      </c>
      <c r="Q18" s="33" t="n">
        <f aca="false">IF(Source_Data!Q$6=Inputs!$B$12,Inputs!$B$7,0)-Q10</f>
        <v>-12.3093446992994</v>
      </c>
      <c r="R18" s="33" t="n">
        <f aca="false">IF(Source_Data!R$6=Inputs!$B$12,Inputs!$B$7,0)-R10</f>
        <v>-14.375</v>
      </c>
      <c r="S18" s="33" t="n">
        <f aca="false">IF(Source_Data!S$6=Inputs!$B$12,Inputs!$B$7,0)-S10</f>
        <v>-14.375</v>
      </c>
      <c r="T18" s="33" t="n">
        <f aca="false">IF(Source_Data!T$6=Inputs!$B$12,Inputs!$B$7,0)-T10</f>
        <v>-11.0970357039346</v>
      </c>
      <c r="U18" s="33" t="n">
        <f aca="false">IF(Source_Data!U$6=Inputs!$B$12,Inputs!$B$7,0)-U10</f>
        <v>-8.80466960360849</v>
      </c>
      <c r="V18" s="33" t="n">
        <f aca="false">IF(Source_Data!V$6=Inputs!$B$12,Inputs!$B$7,0)-V10</f>
        <v>-8.62612955156386</v>
      </c>
      <c r="W18" s="33" t="n">
        <f aca="false">IF(Source_Data!W$6=Inputs!$B$12,Inputs!$B$7,0)-W10</f>
        <v>-8.44758949951923</v>
      </c>
      <c r="X18" s="33" t="n">
        <f aca="false">IF(Source_Data!X$6=Inputs!$B$12,Inputs!$B$7,0)-X10</f>
        <v>-7.61633126337932</v>
      </c>
      <c r="Y18" s="33" t="n">
        <f aca="false">IF(Source_Data!Y$6=Inputs!$B$12,Inputs!$B$7,0)-Y10</f>
        <v>-6.91401862038277</v>
      </c>
      <c r="Z18" s="33" t="n">
        <f aca="false">IF(Source_Data!Z$6=Inputs!$B$12,Inputs!$B$7,0)-Z10</f>
        <v>-6.04519717370466</v>
      </c>
      <c r="AA18" s="33" t="n">
        <f aca="false">IF(Source_Data!AA$6=Inputs!$B$12,Inputs!$B$7,0)-AA10</f>
        <v>-5.03089864758278</v>
      </c>
      <c r="AB18" s="33" t="n">
        <f aca="false">IF(Source_Data!AB$6=Inputs!$B$12,Inputs!$B$7,0)-AB10</f>
        <v>-1.0000000116861E-006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304</v>
      </c>
      <c r="D19" s="33" t="n">
        <f aca="false">IF(Source_Data!D$6=Inputs!$B$12,Inputs!$B$7,0)-D13</f>
        <v>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50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0</v>
      </c>
      <c r="N19" s="33" t="n">
        <f aca="false">IF(Source_Data!N$6=Inputs!$B$12,Inputs!$B$7,0)-N13</f>
        <v>0</v>
      </c>
      <c r="O19" s="33" t="n">
        <f aca="false">IF(Source_Data!O$6=Inputs!$B$12,Inputs!$B$7,0)-O13</f>
        <v>0</v>
      </c>
      <c r="P19" s="33" t="n">
        <f aca="false">IF(Source_Data!P$6=Inputs!$B$12,Inputs!$B$7,0)-P13</f>
        <v>-9.16562249337807</v>
      </c>
      <c r="Q19" s="33" t="n">
        <f aca="false">IF(Source_Data!Q$6=Inputs!$B$12,Inputs!$B$7,0)-Q13</f>
        <v>-9.30501020021731</v>
      </c>
      <c r="R19" s="33" t="n">
        <f aca="false">IF(Source_Data!R$6=Inputs!$B$12,Inputs!$B$7,0)-R13</f>
        <v>-17.3719895622176</v>
      </c>
      <c r="S19" s="33" t="n">
        <f aca="false">IF(Source_Data!S$6=Inputs!$B$12,Inputs!$B$7,0)-S13</f>
        <v>-9.98053555046428</v>
      </c>
      <c r="T19" s="33" t="n">
        <f aca="false">IF(Source_Data!T$6=Inputs!$B$12,Inputs!$B$7,0)-T13</f>
        <v>-9.12724037120495</v>
      </c>
      <c r="U19" s="33" t="n">
        <f aca="false">IF(Source_Data!U$6=Inputs!$B$12,Inputs!$B$7,0)-U13</f>
        <v>-8.79109378543613</v>
      </c>
      <c r="V19" s="33" t="n">
        <f aca="false">IF(Source_Data!V$6=Inputs!$B$12,Inputs!$B$7,0)-V13</f>
        <v>-8.76491313789067</v>
      </c>
      <c r="W19" s="33" t="n">
        <f aca="false">IF(Source_Data!W$6=Inputs!$B$12,Inputs!$B$7,0)-W13</f>
        <v>-8.73873249034521</v>
      </c>
      <c r="X19" s="33" t="n">
        <f aca="false">IF(Source_Data!X$6=Inputs!$B$12,Inputs!$B$7,0)-X13</f>
        <v>-8.61683895077015</v>
      </c>
      <c r="Y19" s="33" t="n">
        <f aca="false">IF(Source_Data!Y$6=Inputs!$B$12,Inputs!$B$7,0)-Y13</f>
        <v>-8.51385365664458</v>
      </c>
      <c r="Z19" s="33" t="n">
        <f aca="false">IF(Source_Data!Z$6=Inputs!$B$12,Inputs!$B$7,0)-Z13</f>
        <v>-8.38645194585239</v>
      </c>
      <c r="AA19" s="33" t="n">
        <f aca="false">IF(Source_Data!AA$6=Inputs!$B$12,Inputs!$B$7,0)-AA13</f>
        <v>-8.23771785557871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305</v>
      </c>
      <c r="D20" s="33" t="n">
        <f aca="false">0+IF(Source_Data!D$6=Inputs!$B$12,Inputs!$B$7,0)+D7-D9</f>
        <v>0</v>
      </c>
      <c r="E20" s="33" t="n">
        <f aca="false">D20+IF(Source_Data!E$6=Inputs!$B$12,Inputs!$B$7,0)+E7-E9</f>
        <v>0</v>
      </c>
      <c r="F20" s="33" t="n">
        <f aca="false">E20+IF(Source_Data!F$6=Inputs!$B$12,Inputs!$B$7,0)+F7-F9</f>
        <v>0</v>
      </c>
      <c r="G20" s="33" t="n">
        <f aca="false">F20+IF(Source_Data!G$6=Inputs!$B$12,Inputs!$B$7,0)+G7-G9</f>
        <v>-35</v>
      </c>
      <c r="H20" s="33" t="n">
        <f aca="false">G20+IF(Source_Data!H$6=Inputs!$B$12,Inputs!$B$7,0)+H7-H9</f>
        <v>-39.38435</v>
      </c>
      <c r="I20" s="33" t="n">
        <f aca="false">H20+IF(Source_Data!I$6=Inputs!$B$12,Inputs!$B$7,0)+I7-I9</f>
        <v>-25.65305</v>
      </c>
      <c r="J20" s="33" t="n">
        <f aca="false">I20+IF(Source_Data!J$6=Inputs!$B$12,Inputs!$B$7,0)+J7-J9</f>
        <v>-12.892225</v>
      </c>
      <c r="K20" s="33" t="n">
        <f aca="false">J20+IF(Source_Data!K$6=Inputs!$B$12,Inputs!$B$7,0)+K7-K9</f>
        <v>3.26616499999999</v>
      </c>
      <c r="L20" s="33" t="n">
        <f aca="false">K20+IF(Source_Data!L$6=Inputs!$B$12,Inputs!$B$7,0)+L7-L9</f>
        <v>-35.13881</v>
      </c>
      <c r="M20" s="33" t="n">
        <f aca="false">L20+IF(Source_Data!M$6=Inputs!$B$12,Inputs!$B$7,0)+M7-M9</f>
        <v>-52.0180625</v>
      </c>
      <c r="N20" s="33" t="n">
        <f aca="false">M20+IF(Source_Data!N$6=Inputs!$B$12,Inputs!$B$7,0)+N7-N9</f>
        <v>-50.9419475</v>
      </c>
      <c r="O20" s="33" t="n">
        <f aca="false">N20+IF(Source_Data!O$6=Inputs!$B$12,Inputs!$B$7,0)+O7-O9</f>
        <v>-27.8959475</v>
      </c>
      <c r="P20" s="33" t="n">
        <f aca="false">O20+IF(Source_Data!P$6=Inputs!$B$12,Inputs!$B$7,0)+P7-P9</f>
        <v>7.51903541666668</v>
      </c>
      <c r="Q20" s="33" t="n">
        <f aca="false">P20+IF(Source_Data!Q$6=Inputs!$B$12,Inputs!$B$7,0)+Q7-Q9</f>
        <v>53.1156845833334</v>
      </c>
      <c r="R20" s="33" t="n">
        <f aca="false">Q20+IF(Source_Data!R$6=Inputs!$B$12,Inputs!$B$7,0)+R7-R9</f>
        <v>524.82835875</v>
      </c>
      <c r="S20" s="33" t="n">
        <f aca="false">R20+IF(Source_Data!S$6=Inputs!$B$12,Inputs!$B$7,0)+S7-S9</f>
        <v>485.090757916666</v>
      </c>
      <c r="T20" s="33" t="n">
        <f aca="false">S20+IF(Source_Data!T$6=Inputs!$B$12,Inputs!$B$7,0)+T7-T9</f>
        <v>346.273697083333</v>
      </c>
      <c r="U20" s="33" t="n">
        <f aca="false">T20+IF(Source_Data!U$6=Inputs!$B$12,Inputs!$B$7,0)+U7-U9</f>
        <v>238.24703625</v>
      </c>
      <c r="V20" s="33" t="n">
        <f aca="false">U20+IF(Source_Data!V$6=Inputs!$B$12,Inputs!$B$7,0)+V7-V9</f>
        <v>265.463690416666</v>
      </c>
      <c r="W20" s="33" t="n">
        <f aca="false">V20+IF(Source_Data!W$6=Inputs!$B$12,Inputs!$B$7,0)+W7-W9</f>
        <v>290.868779583333</v>
      </c>
      <c r="X20" s="33" t="n">
        <f aca="false">W20+IF(Source_Data!X$6=Inputs!$B$12,Inputs!$B$7,0)+X7-X9</f>
        <v>336.064908125</v>
      </c>
      <c r="Y20" s="33" t="n">
        <f aca="false">X20+IF(Source_Data!Y$6=Inputs!$B$12,Inputs!$B$7,0)+Y7-Y9</f>
        <v>374.134988541666</v>
      </c>
      <c r="Z20" s="33" t="n">
        <f aca="false">Y20+IF(Source_Data!Z$6=Inputs!$B$12,Inputs!$B$7,0)+Z7-Z9</f>
        <v>403.389531458333</v>
      </c>
      <c r="AA20" s="33" t="n">
        <f aca="false">Z20+IF(Source_Data!AA$6=Inputs!$B$12,Inputs!$B$7,0)+AA7-AA9</f>
        <v>422.352446875</v>
      </c>
      <c r="AB20" s="33" t="n">
        <f aca="false">AA20+IF(Source_Data!AB$6=Inputs!$B$12,Inputs!$B$7,0)+AB7-AB9</f>
        <v>473.398695625</v>
      </c>
      <c r="AC20" s="33" t="n">
        <f aca="false">AB20+IF(Source_Data!AC$6=Inputs!$B$12,Inputs!$B$7,0)+AC7-AC9</f>
        <v>524.444944375</v>
      </c>
      <c r="AD20" s="33" t="n">
        <f aca="false">AC20+IF(Source_Data!AD$6=Inputs!$B$12,Inputs!$B$7,0)+AD7-AD9</f>
        <v>575.491193125</v>
      </c>
      <c r="AE20" s="33" t="n">
        <f aca="false">AD20+IF(Source_Data!AE$6=Inputs!$B$12,Inputs!$B$7,0)+AE7-AE9</f>
        <v>626.537441875</v>
      </c>
      <c r="AF20" s="33" t="n">
        <f aca="false">AE20+IF(Source_Data!AF$6=Inputs!$B$12,Inputs!$B$7,0)+AF7-AF9</f>
        <v>429.2772134375</v>
      </c>
      <c r="AG20" s="33" t="n">
        <f aca="false">AF20+IF(Source_Data!AG$6=Inputs!$B$12,Inputs!$B$7,0)+AG7-AG9</f>
        <v>449.98650453125</v>
      </c>
      <c r="AH20" s="33" t="n">
        <f aca="false">AG20+IF(Source_Data!AH$6=Inputs!$B$12,Inputs!$B$7,0)+AH7-AH9</f>
        <v>468.52569171875</v>
      </c>
      <c r="AI20" s="33" t="n">
        <f aca="false">AH20+IF(Source_Data!AI$6=Inputs!$B$12,Inputs!$B$7,0)+AI7-AI9</f>
        <v>484.894775</v>
      </c>
      <c r="AJ20" s="33" t="n">
        <f aca="false">AI20+IF(Source_Data!AJ$6=Inputs!$B$12,Inputs!$B$7,0)+AJ7-AJ9</f>
        <v>497.76653140625</v>
      </c>
      <c r="AK20" s="33" t="n">
        <f aca="false">AJ20+IF(Source_Data!AK$6=Inputs!$B$12,Inputs!$B$7,0)+AK7-AK9</f>
        <v>508.6128575</v>
      </c>
      <c r="AL20" s="33" t="n">
        <f aca="false">AK20+IF(Source_Data!AL$6=Inputs!$B$12,Inputs!$B$7,0)+AL7-AL9</f>
        <v>518.064865625</v>
      </c>
      <c r="AM20" s="33" t="n">
        <f aca="false">AL20+IF(Source_Data!AM$6=Inputs!$B$12,Inputs!$B$7,0)+AM7-AM9</f>
        <v>522.140886875</v>
      </c>
      <c r="AN20" s="33" t="n">
        <f aca="false">AM20+IF(Source_Data!AN$6=Inputs!$B$12,Inputs!$B$7,0)+AN7-AN9</f>
        <v>526.216908125</v>
      </c>
      <c r="AO20" s="33" t="n">
        <f aca="false">AN20+IF(Source_Data!AO$6=Inputs!$B$12,Inputs!$B$7,0)+AO7-AO9</f>
        <v>530.292929375</v>
      </c>
      <c r="AP20" s="33" t="n">
        <f aca="false">AO20+IF(Source_Data!AP$6=Inputs!$B$12,Inputs!$B$7,0)+AP7-AP9</f>
        <v>530.292929375</v>
      </c>
      <c r="AQ20" s="33" t="n">
        <f aca="false">AP20+IF(Source_Data!AQ$6=Inputs!$B$12,Inputs!$B$7,0)+AQ7-AQ9</f>
        <v>530.292929375</v>
      </c>
      <c r="AR20" s="33" t="n">
        <f aca="false">AQ20+IF(Source_Data!AR$6=Inputs!$B$12,Inputs!$B$7,0)+AR7-AR9</f>
        <v>530.292929375</v>
      </c>
      <c r="AS20" s="33" t="n">
        <f aca="false">AR20+IF(Source_Data!AS$6=Inputs!$B$12,Inputs!$B$7,0)+AS7-AS9</f>
        <v>530.292929375</v>
      </c>
      <c r="AT20" s="33" t="n">
        <f aca="false">AS20+IF(Source_Data!AT$6=Inputs!$B$12,Inputs!$B$7,0)+AT7-AT9</f>
        <v>530.292929375</v>
      </c>
      <c r="AU20" s="33" t="n">
        <f aca="false">AT20+IF(Source_Data!AU$6=Inputs!$B$12,Inputs!$B$7,0)+AU7-AU9</f>
        <v>530.292929375</v>
      </c>
      <c r="AV20" s="33" t="n">
        <f aca="false">AU20+IF(Source_Data!AV$6=Inputs!$B$12,Inputs!$B$7,0)+AV7-AV9</f>
        <v>530.292929375</v>
      </c>
      <c r="AW20" s="33" t="n">
        <f aca="false">AV20+IF(Source_Data!AW$6=Inputs!$B$12,Inputs!$B$7,0)+AW7-AW9</f>
        <v>530.292929375</v>
      </c>
      <c r="AX20" s="33" t="n">
        <f aca="false">AW20+IF(Source_Data!AX$6=Inputs!$B$12,Inputs!$B$7,0)+AX7-AX9</f>
        <v>530.292929375</v>
      </c>
      <c r="AY20" s="33" t="n">
        <f aca="false">AX20+IF(Source_Data!AY$6=Inputs!$B$12,Inputs!$B$7,0)+AY7-AY9</f>
        <v>530.292929375</v>
      </c>
      <c r="AZ20" s="33" t="n">
        <f aca="false">AY20+IF(Source_Data!AZ$6=Inputs!$B$12,Inputs!$B$7,0)+AZ7-AZ9</f>
        <v>530.292929375</v>
      </c>
      <c r="BA20" s="33" t="n">
        <f aca="false">AZ20+IF(Source_Data!BA$6=Inputs!$B$12,Inputs!$B$7,0)+BA7-BA9</f>
        <v>530.292929375</v>
      </c>
      <c r="BB20" s="33" t="n">
        <f aca="false">BA20+IF(Source_Data!BB$6=Inputs!$B$12,Inputs!$B$7,0)+BB7-BB9</f>
        <v>530.292929375</v>
      </c>
      <c r="BC20" s="33" t="n">
        <f aca="false">BB20+IF(Source_Data!BC$6=Inputs!$B$12,Inputs!$B$7,0)+BC7-BC9</f>
        <v>530.292929375</v>
      </c>
      <c r="BD20" s="33" t="n">
        <f aca="false">BC20+IF(Source_Data!BD$6=Inputs!$B$12,Inputs!$B$7,0)+BD7-BD9</f>
        <v>530.292929375</v>
      </c>
      <c r="BE20" s="33" t="n">
        <f aca="false">BD20+IF(Source_Data!BE$6=Inputs!$B$12,Inputs!$B$7,0)+BE7-BE9</f>
        <v>530.292929375</v>
      </c>
      <c r="BF20" s="33" t="n">
        <f aca="false">BE20+IF(Source_Data!BF$6=Inputs!$B$12,Inputs!$B$7,0)+BF7-BF9</f>
        <v>530.292929375</v>
      </c>
      <c r="BG20" s="33" t="n">
        <f aca="false">BF20+IF(Source_Data!BG$6=Inputs!$B$12,Inputs!$B$7,0)+BG7-BG9</f>
        <v>530.292929375</v>
      </c>
      <c r="BH20" s="33" t="n">
        <f aca="false">BG20+IF(Source_Data!BH$6=Inputs!$B$12,Inputs!$B$7,0)+BH7-BH9</f>
        <v>530.292929375</v>
      </c>
      <c r="BI20" s="33" t="n">
        <f aca="false">BH20+IF(Source_Data!BI$6=Inputs!$B$12,Inputs!$B$7,0)+BI7-BI9</f>
        <v>530.292929375</v>
      </c>
      <c r="BJ20" s="33" t="n">
        <f aca="false">BI20+IF(Source_Data!BJ$6=Inputs!$B$12,Inputs!$B$7,0)+BJ7-BJ9</f>
        <v>530.292929375</v>
      </c>
      <c r="BK20" s="33" t="n">
        <f aca="false">BJ20+IF(Source_Data!BK$6=Inputs!$B$12,Inputs!$B$7,0)+BK7-BK9</f>
        <v>530.292929375</v>
      </c>
    </row>
    <row r="21" customFormat="false" ht="15" hidden="false" customHeight="false" outlineLevel="0" collapsed="false">
      <c r="A21" s="3" t="s">
        <v>306</v>
      </c>
      <c r="D21" s="33" t="n">
        <f aca="false">0+IF(Source_Data!D$6=Inputs!$B$12,Inputs!$B$7,0)+D7-D10</f>
        <v>0</v>
      </c>
      <c r="E21" s="33" t="n">
        <f aca="false">D21+IF(Source_Data!E$6=Inputs!$B$12,Inputs!$B$7,0)+E7-E10</f>
        <v>0</v>
      </c>
      <c r="F21" s="33" t="n">
        <f aca="false">E21+IF(Source_Data!F$6=Inputs!$B$12,Inputs!$B$7,0)+F7-F10</f>
        <v>0</v>
      </c>
      <c r="G21" s="33" t="n">
        <f aca="false">F21+IF(Source_Data!G$6=Inputs!$B$12,Inputs!$B$7,0)+G7-G10</f>
        <v>-35</v>
      </c>
      <c r="H21" s="33" t="n">
        <f aca="false">G21+IF(Source_Data!H$6=Inputs!$B$12,Inputs!$B$7,0)+H7-H10</f>
        <v>-39.38435</v>
      </c>
      <c r="I21" s="33" t="n">
        <f aca="false">H21+IF(Source_Data!I$6=Inputs!$B$12,Inputs!$B$7,0)+I7-I10</f>
        <v>-25.65305</v>
      </c>
      <c r="J21" s="33" t="n">
        <f aca="false">I21+IF(Source_Data!J$6=Inputs!$B$12,Inputs!$B$7,0)+J7-J10</f>
        <v>-12.892225</v>
      </c>
      <c r="K21" s="33" t="n">
        <f aca="false">J21+IF(Source_Data!K$6=Inputs!$B$12,Inputs!$B$7,0)+K7-K10</f>
        <v>3.26616499999999</v>
      </c>
      <c r="L21" s="33" t="n">
        <f aca="false">K21+IF(Source_Data!L$6=Inputs!$B$12,Inputs!$B$7,0)+L7-L10</f>
        <v>-35.13881</v>
      </c>
      <c r="M21" s="33" t="n">
        <f aca="false">L21+IF(Source_Data!M$6=Inputs!$B$12,Inputs!$B$7,0)+M7-M10</f>
        <v>-52.0180625</v>
      </c>
      <c r="N21" s="33" t="n">
        <f aca="false">M21+IF(Source_Data!N$6=Inputs!$B$12,Inputs!$B$7,0)+N7-N10</f>
        <v>-50.9419475</v>
      </c>
      <c r="O21" s="33" t="n">
        <f aca="false">N21+IF(Source_Data!O$6=Inputs!$B$12,Inputs!$B$7,0)+O7-O10</f>
        <v>-27.8959475</v>
      </c>
      <c r="P21" s="33" t="n">
        <f aca="false">O21+IF(Source_Data!P$6=Inputs!$B$12,Inputs!$B$7,0)+P7-P10</f>
        <v>5.74358451297523</v>
      </c>
      <c r="Q21" s="33" t="n">
        <f aca="false">P21+IF(Source_Data!Q$6=Inputs!$B$12,Inputs!$B$7,0)+Q7-Q10</f>
        <v>48.6142223136758</v>
      </c>
      <c r="R21" s="33" t="n">
        <f aca="false">Q21+IF(Source_Data!R$6=Inputs!$B$12,Inputs!$B$7,0)+R7-R10</f>
        <v>515.535229813676</v>
      </c>
      <c r="S21" s="33" t="n">
        <f aca="false">R21+IF(Source_Data!S$6=Inputs!$B$12,Inputs!$B$7,0)+S7-S10</f>
        <v>471.005962313676</v>
      </c>
      <c r="T21" s="33" t="n">
        <f aca="false">S21+IF(Source_Data!T$6=Inputs!$B$12,Inputs!$B$7,0)+T7-T10</f>
        <v>330.675199109741</v>
      </c>
      <c r="U21" s="33" t="n">
        <f aca="false">T21+IF(Source_Data!U$6=Inputs!$B$12,Inputs!$B$7,0)+U7-U10</f>
        <v>223.427202006132</v>
      </c>
      <c r="V21" s="33" t="n">
        <f aca="false">U21+IF(Source_Data!V$6=Inputs!$B$12,Inputs!$B$7,0)+V7-V10</f>
        <v>251.601059954568</v>
      </c>
      <c r="W21" s="33" t="n">
        <f aca="false">V21+IF(Source_Data!W$6=Inputs!$B$12,Inputs!$B$7,0)+W7-W10</f>
        <v>278.141892955049</v>
      </c>
      <c r="X21" s="33" t="n">
        <f aca="false">W21+IF(Source_Data!X$6=Inputs!$B$12,Inputs!$B$7,0)+X7-X10</f>
        <v>325.30502356667</v>
      </c>
      <c r="Y21" s="33" t="n">
        <f aca="false">X21+IF(Source_Data!Y$6=Inputs!$B$12,Inputs!$B$7,0)+Y7-Y10</f>
        <v>366.044418696287</v>
      </c>
      <c r="Z21" s="33" t="n">
        <f aca="false">Y21+IF(Source_Data!Z$6=Inputs!$B$12,Inputs!$B$7,0)+Z7-Z10</f>
        <v>398.837097772582</v>
      </c>
      <c r="AA21" s="33" t="n">
        <f aca="false">Z21+IF(Source_Data!AA$6=Inputs!$B$12,Inputs!$B$7,0)+AA7-AA10</f>
        <v>422.352447875</v>
      </c>
      <c r="AB21" s="33" t="n">
        <f aca="false">AA21+IF(Source_Data!AB$6=Inputs!$B$12,Inputs!$B$7,0)+AB7-AB10</f>
        <v>473.398695625</v>
      </c>
      <c r="AC21" s="33" t="n">
        <f aca="false">AB21+IF(Source_Data!AC$6=Inputs!$B$12,Inputs!$B$7,0)+AC7-AC10</f>
        <v>524.444944375</v>
      </c>
      <c r="AD21" s="33" t="n">
        <f aca="false">AC21+IF(Source_Data!AD$6=Inputs!$B$12,Inputs!$B$7,0)+AD7-AD10</f>
        <v>575.491193125</v>
      </c>
      <c r="AE21" s="33" t="n">
        <f aca="false">AD21+IF(Source_Data!AE$6=Inputs!$B$12,Inputs!$B$7,0)+AE7-AE10</f>
        <v>626.537441875</v>
      </c>
      <c r="AF21" s="33" t="n">
        <f aca="false">AE21+IF(Source_Data!AF$6=Inputs!$B$12,Inputs!$B$7,0)+AF7-AF10</f>
        <v>429.2772134375</v>
      </c>
      <c r="AG21" s="33" t="n">
        <f aca="false">AF21+IF(Source_Data!AG$6=Inputs!$B$12,Inputs!$B$7,0)+AG7-AG10</f>
        <v>449.98650453125</v>
      </c>
      <c r="AH21" s="33" t="n">
        <f aca="false">AG21+IF(Source_Data!AH$6=Inputs!$B$12,Inputs!$B$7,0)+AH7-AH10</f>
        <v>468.52569171875</v>
      </c>
      <c r="AI21" s="33" t="n">
        <f aca="false">AH21+IF(Source_Data!AI$6=Inputs!$B$12,Inputs!$B$7,0)+AI7-AI10</f>
        <v>484.894775</v>
      </c>
      <c r="AJ21" s="33" t="n">
        <f aca="false">AI21+IF(Source_Data!AJ$6=Inputs!$B$12,Inputs!$B$7,0)+AJ7-AJ10</f>
        <v>497.76653140625</v>
      </c>
      <c r="AK21" s="33" t="n">
        <f aca="false">AJ21+IF(Source_Data!AK$6=Inputs!$B$12,Inputs!$B$7,0)+AK7-AK10</f>
        <v>508.6128575</v>
      </c>
      <c r="AL21" s="33" t="n">
        <f aca="false">AK21+IF(Source_Data!AL$6=Inputs!$B$12,Inputs!$B$7,0)+AL7-AL10</f>
        <v>518.064865625</v>
      </c>
      <c r="AM21" s="33" t="n">
        <f aca="false">AL21+IF(Source_Data!AM$6=Inputs!$B$12,Inputs!$B$7,0)+AM7-AM10</f>
        <v>522.140886875</v>
      </c>
      <c r="AN21" s="33" t="n">
        <f aca="false">AM21+IF(Source_Data!AN$6=Inputs!$B$12,Inputs!$B$7,0)+AN7-AN10</f>
        <v>526.216908125</v>
      </c>
      <c r="AO21" s="33" t="n">
        <f aca="false">AN21+IF(Source_Data!AO$6=Inputs!$B$12,Inputs!$B$7,0)+AO7-AO10</f>
        <v>530.292929375</v>
      </c>
      <c r="AP21" s="33" t="n">
        <f aca="false">AO21+IF(Source_Data!AP$6=Inputs!$B$12,Inputs!$B$7,0)+AP7-AP10</f>
        <v>530.292929375</v>
      </c>
      <c r="AQ21" s="33" t="n">
        <f aca="false">AP21+IF(Source_Data!AQ$6=Inputs!$B$12,Inputs!$B$7,0)+AQ7-AQ10</f>
        <v>530.292929375</v>
      </c>
      <c r="AR21" s="33" t="n">
        <f aca="false">AQ21+IF(Source_Data!AR$6=Inputs!$B$12,Inputs!$B$7,0)+AR7-AR10</f>
        <v>530.292929375</v>
      </c>
      <c r="AS21" s="33" t="n">
        <f aca="false">AR21+IF(Source_Data!AS$6=Inputs!$B$12,Inputs!$B$7,0)+AS7-AS10</f>
        <v>530.292929375</v>
      </c>
      <c r="AT21" s="33" t="n">
        <f aca="false">AS21+IF(Source_Data!AT$6=Inputs!$B$12,Inputs!$B$7,0)+AT7-AT10</f>
        <v>530.292929375</v>
      </c>
      <c r="AU21" s="33" t="n">
        <f aca="false">AT21+IF(Source_Data!AU$6=Inputs!$B$12,Inputs!$B$7,0)+AU7-AU10</f>
        <v>530.292929375</v>
      </c>
      <c r="AV21" s="33" t="n">
        <f aca="false">AU21+IF(Source_Data!AV$6=Inputs!$B$12,Inputs!$B$7,0)+AV7-AV10</f>
        <v>530.292929375</v>
      </c>
      <c r="AW21" s="33" t="n">
        <f aca="false">AV21+IF(Source_Data!AW$6=Inputs!$B$12,Inputs!$B$7,0)+AW7-AW10</f>
        <v>530.292929375</v>
      </c>
      <c r="AX21" s="33" t="n">
        <f aca="false">AW21+IF(Source_Data!AX$6=Inputs!$B$12,Inputs!$B$7,0)+AX7-AX10</f>
        <v>530.292929375</v>
      </c>
      <c r="AY21" s="33" t="n">
        <f aca="false">AX21+IF(Source_Data!AY$6=Inputs!$B$12,Inputs!$B$7,0)+AY7-AY10</f>
        <v>530.292929375</v>
      </c>
      <c r="AZ21" s="33" t="n">
        <f aca="false">AY21+IF(Source_Data!AZ$6=Inputs!$B$12,Inputs!$B$7,0)+AZ7-AZ10</f>
        <v>530.292929375</v>
      </c>
      <c r="BA21" s="33" t="n">
        <f aca="false">AZ21+IF(Source_Data!BA$6=Inputs!$B$12,Inputs!$B$7,0)+BA7-BA10</f>
        <v>530.292929375</v>
      </c>
      <c r="BB21" s="33" t="n">
        <f aca="false">BA21+IF(Source_Data!BB$6=Inputs!$B$12,Inputs!$B$7,0)+BB7-BB10</f>
        <v>530.292929375</v>
      </c>
      <c r="BC21" s="33" t="n">
        <f aca="false">BB21+IF(Source_Data!BC$6=Inputs!$B$12,Inputs!$B$7,0)+BC7-BC10</f>
        <v>530.292929375</v>
      </c>
      <c r="BD21" s="33" t="n">
        <f aca="false">BC21+IF(Source_Data!BD$6=Inputs!$B$12,Inputs!$B$7,0)+BD7-BD10</f>
        <v>530.292929375</v>
      </c>
      <c r="BE21" s="33" t="n">
        <f aca="false">BD21+IF(Source_Data!BE$6=Inputs!$B$12,Inputs!$B$7,0)+BE7-BE10</f>
        <v>530.292929375</v>
      </c>
      <c r="BF21" s="33" t="n">
        <f aca="false">BE21+IF(Source_Data!BF$6=Inputs!$B$12,Inputs!$B$7,0)+BF7-BF10</f>
        <v>530.292929375</v>
      </c>
      <c r="BG21" s="33" t="n">
        <f aca="false">BF21+IF(Source_Data!BG$6=Inputs!$B$12,Inputs!$B$7,0)+BG7-BG10</f>
        <v>530.292929375</v>
      </c>
      <c r="BH21" s="33" t="n">
        <f aca="false">BG21+IF(Source_Data!BH$6=Inputs!$B$12,Inputs!$B$7,0)+BH7-BH10</f>
        <v>530.292929375</v>
      </c>
      <c r="BI21" s="33" t="n">
        <f aca="false">BH21+IF(Source_Data!BI$6=Inputs!$B$12,Inputs!$B$7,0)+BI7-BI10</f>
        <v>530.292929375</v>
      </c>
      <c r="BJ21" s="33" t="n">
        <f aca="false">BI21+IF(Source_Data!BJ$6=Inputs!$B$12,Inputs!$B$7,0)+BJ7-BJ10</f>
        <v>530.292929375</v>
      </c>
      <c r="BK21" s="33" t="n">
        <f aca="false">BJ21+IF(Source_Data!BK$6=Inputs!$B$12,Inputs!$B$7,0)+BK7-BK10</f>
        <v>530.292929375</v>
      </c>
    </row>
    <row r="22" customFormat="false" ht="15" hidden="false" customHeight="false" outlineLevel="0" collapsed="false">
      <c r="A22" s="3" t="s">
        <v>307</v>
      </c>
      <c r="D22" s="33" t="n">
        <f aca="false">0+IF(Source_Data!D$6=Inputs!$B$12,Inputs!$B$7,0)+D7-D13</f>
        <v>0</v>
      </c>
      <c r="E22" s="33" t="n">
        <f aca="false">D22+IF(Source_Data!E$6=Inputs!$B$12,Inputs!$B$7,0)+E7-E13</f>
        <v>0</v>
      </c>
      <c r="F22" s="33" t="n">
        <f aca="false">E22+IF(Source_Data!F$6=Inputs!$B$12,Inputs!$B$7,0)+F7-F13</f>
        <v>0</v>
      </c>
      <c r="G22" s="33" t="n">
        <f aca="false">F22+IF(Source_Data!G$6=Inputs!$B$12,Inputs!$B$7,0)+G7-G13</f>
        <v>-35</v>
      </c>
      <c r="H22" s="33" t="n">
        <f aca="false">G22+IF(Source_Data!H$6=Inputs!$B$12,Inputs!$B$7,0)+H7-H13</f>
        <v>-39.38435</v>
      </c>
      <c r="I22" s="33" t="n">
        <f aca="false">H22+IF(Source_Data!I$6=Inputs!$B$12,Inputs!$B$7,0)+I7-I13</f>
        <v>-25.65305</v>
      </c>
      <c r="J22" s="33" t="n">
        <f aca="false">I22+IF(Source_Data!J$6=Inputs!$B$12,Inputs!$B$7,0)+J7-J13</f>
        <v>-12.892225</v>
      </c>
      <c r="K22" s="33" t="n">
        <f aca="false">J22+IF(Source_Data!K$6=Inputs!$B$12,Inputs!$B$7,0)+K7-K13</f>
        <v>3.26616499999999</v>
      </c>
      <c r="L22" s="33" t="n">
        <f aca="false">K22+IF(Source_Data!L$6=Inputs!$B$12,Inputs!$B$7,0)+L7-L13</f>
        <v>-35.13881</v>
      </c>
      <c r="M22" s="33" t="n">
        <f aca="false">L22+IF(Source_Data!M$6=Inputs!$B$12,Inputs!$B$7,0)+M7-M13</f>
        <v>-52.0180625</v>
      </c>
      <c r="N22" s="33" t="n">
        <f aca="false">M22+IF(Source_Data!N$6=Inputs!$B$12,Inputs!$B$7,0)+N7-N13</f>
        <v>-50.9419475</v>
      </c>
      <c r="O22" s="33" t="n">
        <f aca="false">N22+IF(Source_Data!O$6=Inputs!$B$12,Inputs!$B$7,0)+O7-O13</f>
        <v>-27.8959475</v>
      </c>
      <c r="P22" s="33" t="n">
        <f aca="false">O22+IF(Source_Data!P$6=Inputs!$B$12,Inputs!$B$7,0)+P7-P13</f>
        <v>7.93674625662194</v>
      </c>
      <c r="Q22" s="33" t="n">
        <f aca="false">P22+IF(Source_Data!Q$6=Inputs!$B$12,Inputs!$B$7,0)+Q7-Q13</f>
        <v>53.8117185564046</v>
      </c>
      <c r="R22" s="33" t="n">
        <f aca="false">Q22+IF(Source_Data!R$6=Inputs!$B$12,Inputs!$B$7,0)+R7-R13</f>
        <v>517.735736494187</v>
      </c>
      <c r="S22" s="33" t="n">
        <f aca="false">R22+IF(Source_Data!S$6=Inputs!$B$12,Inputs!$B$7,0)+S7-S13</f>
        <v>477.600933443723</v>
      </c>
      <c r="T22" s="33" t="n">
        <f aca="false">S22+IF(Source_Data!T$6=Inputs!$B$12,Inputs!$B$7,0)+T7-T13</f>
        <v>339.239965572518</v>
      </c>
      <c r="U22" s="33" t="n">
        <f aca="false">T22+IF(Source_Data!U$6=Inputs!$B$12,Inputs!$B$7,0)+U7-U13</f>
        <v>232.005544287081</v>
      </c>
      <c r="V22" s="33" t="n">
        <f aca="false">U22+IF(Source_Data!V$6=Inputs!$B$12,Inputs!$B$7,0)+V7-V13</f>
        <v>260.040618649191</v>
      </c>
      <c r="W22" s="33" t="n">
        <f aca="false">V22+IF(Source_Data!W$6=Inputs!$B$12,Inputs!$B$7,0)+W7-W13</f>
        <v>286.290308658845</v>
      </c>
      <c r="X22" s="33" t="n">
        <f aca="false">W22+IF(Source_Data!X$6=Inputs!$B$12,Inputs!$B$7,0)+X7-X13</f>
        <v>332.452931583075</v>
      </c>
      <c r="Y22" s="33" t="n">
        <f aca="false">X22+IF(Source_Data!Y$6=Inputs!$B$12,Inputs!$B$7,0)+Y7-Y13</f>
        <v>371.592491676431</v>
      </c>
      <c r="Z22" s="33" t="n">
        <f aca="false">Y22+IF(Source_Data!Z$6=Inputs!$B$12,Inputs!$B$7,0)+Z7-Z13</f>
        <v>402.043915980578</v>
      </c>
      <c r="AA22" s="33" t="n">
        <f aca="false">Z22+IF(Source_Data!AA$6=Inputs!$B$12,Inputs!$B$7,0)+AA7-AA13</f>
        <v>422.352446875</v>
      </c>
      <c r="AB22" s="33" t="n">
        <f aca="false">AA22+IF(Source_Data!AB$6=Inputs!$B$12,Inputs!$B$7,0)+AB7-AB13</f>
        <v>473.398695624999</v>
      </c>
      <c r="AC22" s="33" t="n">
        <f aca="false">AB22+IF(Source_Data!AC$6=Inputs!$B$12,Inputs!$B$7,0)+AC7-AC13</f>
        <v>524.444944374999</v>
      </c>
      <c r="AD22" s="33" t="n">
        <f aca="false">AC22+IF(Source_Data!AD$6=Inputs!$B$12,Inputs!$B$7,0)+AD7-AD13</f>
        <v>575.491193124999</v>
      </c>
      <c r="AE22" s="33" t="n">
        <f aca="false">AD22+IF(Source_Data!AE$6=Inputs!$B$12,Inputs!$B$7,0)+AE7-AE13</f>
        <v>626.537441874999</v>
      </c>
      <c r="AF22" s="33" t="n">
        <f aca="false">AE22+IF(Source_Data!AF$6=Inputs!$B$12,Inputs!$B$7,0)+AF7-AF13</f>
        <v>429.2772134375</v>
      </c>
      <c r="AG22" s="33" t="n">
        <f aca="false">AF22+IF(Source_Data!AG$6=Inputs!$B$12,Inputs!$B$7,0)+AG7-AG13</f>
        <v>449.98650453125</v>
      </c>
      <c r="AH22" s="33" t="n">
        <f aca="false">AG22+IF(Source_Data!AH$6=Inputs!$B$12,Inputs!$B$7,0)+AH7-AH13</f>
        <v>468.52569171875</v>
      </c>
      <c r="AI22" s="33" t="n">
        <f aca="false">AH22+IF(Source_Data!AI$6=Inputs!$B$12,Inputs!$B$7,0)+AI7-AI13</f>
        <v>484.894775</v>
      </c>
      <c r="AJ22" s="33" t="n">
        <f aca="false">AI22+IF(Source_Data!AJ$6=Inputs!$B$12,Inputs!$B$7,0)+AJ7-AJ13</f>
        <v>497.76653140625</v>
      </c>
      <c r="AK22" s="33" t="n">
        <f aca="false">AJ22+IF(Source_Data!AK$6=Inputs!$B$12,Inputs!$B$7,0)+AK7-AK13</f>
        <v>508.6128575</v>
      </c>
      <c r="AL22" s="33" t="n">
        <f aca="false">AK22+IF(Source_Data!AL$6=Inputs!$B$12,Inputs!$B$7,0)+AL7-AL13</f>
        <v>518.064865625</v>
      </c>
      <c r="AM22" s="33" t="n">
        <f aca="false">AL22+IF(Source_Data!AM$6=Inputs!$B$12,Inputs!$B$7,0)+AM7-AM13</f>
        <v>522.140886875</v>
      </c>
      <c r="AN22" s="33" t="n">
        <f aca="false">AM22+IF(Source_Data!AN$6=Inputs!$B$12,Inputs!$B$7,0)+AN7-AN13</f>
        <v>526.216908125</v>
      </c>
      <c r="AO22" s="33" t="n">
        <f aca="false">AN22+IF(Source_Data!AO$6=Inputs!$B$12,Inputs!$B$7,0)+AO7-AO13</f>
        <v>530.292929374999</v>
      </c>
      <c r="AP22" s="33" t="n">
        <f aca="false">AO22+IF(Source_Data!AP$6=Inputs!$B$12,Inputs!$B$7,0)+AP7-AP13</f>
        <v>530.292929374999</v>
      </c>
      <c r="AQ22" s="33" t="n">
        <f aca="false">AP22+IF(Source_Data!AQ$6=Inputs!$B$12,Inputs!$B$7,0)+AQ7-AQ13</f>
        <v>530.292929374999</v>
      </c>
      <c r="AR22" s="33" t="n">
        <f aca="false">AQ22+IF(Source_Data!AR$6=Inputs!$B$12,Inputs!$B$7,0)+AR7-AR13</f>
        <v>530.292929374999</v>
      </c>
      <c r="AS22" s="33" t="n">
        <f aca="false">AR22+IF(Source_Data!AS$6=Inputs!$B$12,Inputs!$B$7,0)+AS7-AS13</f>
        <v>530.292929374999</v>
      </c>
      <c r="AT22" s="33" t="n">
        <f aca="false">AS22+IF(Source_Data!AT$6=Inputs!$B$12,Inputs!$B$7,0)+AT7-AT13</f>
        <v>530.292929374999</v>
      </c>
      <c r="AU22" s="33" t="n">
        <f aca="false">AT22+IF(Source_Data!AU$6=Inputs!$B$12,Inputs!$B$7,0)+AU7-AU13</f>
        <v>530.292929374999</v>
      </c>
      <c r="AV22" s="33" t="n">
        <f aca="false">AU22+IF(Source_Data!AV$6=Inputs!$B$12,Inputs!$B$7,0)+AV7-AV13</f>
        <v>530.292929374999</v>
      </c>
      <c r="AW22" s="33" t="n">
        <f aca="false">AV22+IF(Source_Data!AW$6=Inputs!$B$12,Inputs!$B$7,0)+AW7-AW13</f>
        <v>530.292929374999</v>
      </c>
      <c r="AX22" s="33" t="n">
        <f aca="false">AW22+IF(Source_Data!AX$6=Inputs!$B$12,Inputs!$B$7,0)+AX7-AX13</f>
        <v>530.292929374999</v>
      </c>
      <c r="AY22" s="33" t="n">
        <f aca="false">AX22+IF(Source_Data!AY$6=Inputs!$B$12,Inputs!$B$7,0)+AY7-AY13</f>
        <v>530.292929374999</v>
      </c>
      <c r="AZ22" s="33" t="n">
        <f aca="false">AY22+IF(Source_Data!AZ$6=Inputs!$B$12,Inputs!$B$7,0)+AZ7-AZ13</f>
        <v>530.292929374999</v>
      </c>
      <c r="BA22" s="33" t="n">
        <f aca="false">AZ22+IF(Source_Data!BA$6=Inputs!$B$12,Inputs!$B$7,0)+BA7-BA13</f>
        <v>530.292929374999</v>
      </c>
      <c r="BB22" s="33" t="n">
        <f aca="false">BA22+IF(Source_Data!BB$6=Inputs!$B$12,Inputs!$B$7,0)+BB7-BB13</f>
        <v>530.292929374999</v>
      </c>
      <c r="BC22" s="33" t="n">
        <f aca="false">BB22+IF(Source_Data!BC$6=Inputs!$B$12,Inputs!$B$7,0)+BC7-BC13</f>
        <v>530.292929374999</v>
      </c>
      <c r="BD22" s="33" t="n">
        <f aca="false">BC22+IF(Source_Data!BD$6=Inputs!$B$12,Inputs!$B$7,0)+BD7-BD13</f>
        <v>530.292929374999</v>
      </c>
      <c r="BE22" s="33" t="n">
        <f aca="false">BD22+IF(Source_Data!BE$6=Inputs!$B$12,Inputs!$B$7,0)+BE7-BE13</f>
        <v>530.292929374999</v>
      </c>
      <c r="BF22" s="33" t="n">
        <f aca="false">BE22+IF(Source_Data!BF$6=Inputs!$B$12,Inputs!$B$7,0)+BF7-BF13</f>
        <v>530.292929374999</v>
      </c>
      <c r="BG22" s="33" t="n">
        <f aca="false">BF22+IF(Source_Data!BG$6=Inputs!$B$12,Inputs!$B$7,0)+BG7-BG13</f>
        <v>530.292929374999</v>
      </c>
      <c r="BH22" s="33" t="n">
        <f aca="false">BG22+IF(Source_Data!BH$6=Inputs!$B$12,Inputs!$B$7,0)+BH7-BH13</f>
        <v>530.292929374999</v>
      </c>
      <c r="BI22" s="33" t="n">
        <f aca="false">BH22+IF(Source_Data!BI$6=Inputs!$B$12,Inputs!$B$7,0)+BI7-BI13</f>
        <v>530.292929374999</v>
      </c>
      <c r="BJ22" s="33" t="n">
        <f aca="false">BI22+IF(Source_Data!BJ$6=Inputs!$B$12,Inputs!$B$7,0)+BJ7-BJ13</f>
        <v>530.292929374999</v>
      </c>
      <c r="BK22" s="33" t="n">
        <f aca="false">BJ22+IF(Source_Data!BK$6=Inputs!$B$12,Inputs!$B$7,0)+BK7-BK13</f>
        <v>530.292929374999</v>
      </c>
    </row>
    <row r="23" customFormat="false" ht="15" hidden="false" customHeight="false" outlineLevel="0" collapsed="false">
      <c r="A23" s="3" t="s">
        <v>308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str">
        <f aca="false">IF(M9&gt;0,M7/M9,"")</f>
        <v/>
      </c>
      <c r="N23" s="31" t="str">
        <f aca="false">IF(N9&gt;0,N7/N9,"")</f>
        <v/>
      </c>
      <c r="O23" s="31" t="str">
        <f aca="false">IF(O9&gt;0,O7/O9,"")</f>
        <v/>
      </c>
      <c r="P23" s="31" t="n">
        <f aca="false">IF(P9&gt;0,P7/P9,"")</f>
        <v>4.69547647826087</v>
      </c>
      <c r="Q23" s="31" t="n">
        <f aca="false">IF(Q9&gt;0,Q7/Q9,"")</f>
        <v>5.7579112173913</v>
      </c>
      <c r="R23" s="31" t="n">
        <f aca="false">IF(R9&gt;0,R7/R9,"")</f>
        <v>50.2221920869565</v>
      </c>
      <c r="S23" s="31" t="n">
        <f aca="false">IF(S9&gt;0,S7/S9,"")</f>
        <v>-3.14653226086957</v>
      </c>
      <c r="T23" s="31" t="n">
        <f aca="false">IF(T9&gt;0,T7/T9,"")</f>
        <v>-13.4852585217391</v>
      </c>
      <c r="U23" s="31" t="n">
        <f aca="false">IF(U9&gt;0,U7/U9,"")</f>
        <v>-10.2723472173913</v>
      </c>
      <c r="V23" s="31" t="n">
        <f aca="false">IF(V9&gt;0,V7/V9,"")</f>
        <v>3.83999869565217</v>
      </c>
      <c r="W23" s="31" t="n">
        <f aca="false">IF(W9&gt;0,W7/W9,"")</f>
        <v>3.65096582608695</v>
      </c>
      <c r="X23" s="31" t="n">
        <f aca="false">IF(X9&gt;0,X7/X9,"")</f>
        <v>5.71611776086957</v>
      </c>
      <c r="Y23" s="31" t="n">
        <f aca="false">IF(Y9&gt;0,Y7/Y9,"")</f>
        <v>4.97253013043479</v>
      </c>
      <c r="Z23" s="31" t="n">
        <f aca="false">IF(Z9&gt;0,Z7/Z9,"")</f>
        <v>4.05264795652174</v>
      </c>
      <c r="AA23" s="31" t="n">
        <f aca="false">IF(AA9&gt;0,AA7/AA9,"")</f>
        <v>2.978739</v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309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str">
        <f aca="false">IF(M9&gt;0,(L20+IF(Source_Data!M$6=Inputs!$B$12,Inputs!$B$7,0)+M7)/M9,"")</f>
        <v/>
      </c>
      <c r="N24" s="31" t="str">
        <f aca="false">IF(N9&gt;0,(M20+IF(Source_Data!N$6=Inputs!$B$12,Inputs!$B$7,0)+N7)/N9,"")</f>
        <v/>
      </c>
      <c r="O24" s="31" t="str">
        <f aca="false">IF(O9&gt;0,(N20+IF(Source_Data!O$6=Inputs!$B$12,Inputs!$B$7,0)+O7)/O9,"")</f>
        <v/>
      </c>
      <c r="P24" s="31" t="n">
        <f aca="false">IF(P9&gt;0,(O20+IF(Source_Data!P$6=Inputs!$B$12,Inputs!$B$7,0)+P7)/P9,"")</f>
        <v>1.784595</v>
      </c>
      <c r="Q24" s="31" t="n">
        <f aca="false">IF(Q9&gt;0,(P20+IF(Source_Data!Q$6=Inputs!$B$12,Inputs!$B$7,0)+Q7)/Q9,"")</f>
        <v>6.54250621739131</v>
      </c>
      <c r="R24" s="31" t="n">
        <f aca="false">IF(R9&gt;0,(Q20+IF(Source_Data!R$6=Inputs!$B$12,Inputs!$B$7,0)+R7)/R9,"")</f>
        <v>55.7646983043478</v>
      </c>
      <c r="S24" s="31" t="n">
        <f aca="false">IF(S9&gt;0,(R20+IF(Source_Data!S$6=Inputs!$B$12,Inputs!$B$7,0)+S7)/S9,"")</f>
        <v>51.6181660434783</v>
      </c>
      <c r="T24" s="31" t="n">
        <f aca="false">IF(T9&gt;0,(S20+IF(Source_Data!T$6=Inputs!$B$12,Inputs!$B$7,0)+T7)/T9,"")</f>
        <v>37.1329075217391</v>
      </c>
      <c r="U24" s="31" t="n">
        <f aca="false">IF(U9&gt;0,(T20+IF(Source_Data!U$6=Inputs!$B$12,Inputs!$B$7,0)+U7)/U9,"")</f>
        <v>25.8605603043478</v>
      </c>
      <c r="V24" s="31" t="n">
        <f aca="false">IF(V9&gt;0,(U20+IF(Source_Data!V$6=Inputs!$B$12,Inputs!$B$7,0)+V7)/V9,"")</f>
        <v>28.700559</v>
      </c>
      <c r="W24" s="31" t="n">
        <f aca="false">IF(W9&gt;0,(V20+IF(Source_Data!W$6=Inputs!$B$12,Inputs!$B$7,0)+W7)/W9,"")</f>
        <v>31.3515248260869</v>
      </c>
      <c r="X24" s="31" t="n">
        <f aca="false">IF(X9&gt;0,(W20+IF(Source_Data!X$6=Inputs!$B$12,Inputs!$B$7,0)+X7)/X9,"")</f>
        <v>36.0676425869565</v>
      </c>
      <c r="Y24" s="31" t="n">
        <f aca="false">IF(Y9&gt;0,(X20+IF(Source_Data!Y$6=Inputs!$B$12,Inputs!$B$7,0)+Y7)/Y9,"")</f>
        <v>40.0401727173913</v>
      </c>
      <c r="Z24" s="31" t="n">
        <f aca="false">IF(Z9&gt;0,(Y20+IF(Source_Data!Z$6=Inputs!$B$12,Inputs!$B$7,0)+Z7)/Z9,"")</f>
        <v>43.092820673913</v>
      </c>
      <c r="AA24" s="31" t="n">
        <f aca="false">IF(AA9&gt;0,(Z20+IF(Source_Data!AA$6=Inputs!$B$12,Inputs!$B$7,0)+AA7)/AA9,"")</f>
        <v>45.071559673913</v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310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str">
        <f aca="false">IF(M10&gt;0,M7/M10,"")</f>
        <v/>
      </c>
      <c r="N25" s="31" t="str">
        <f aca="false">IF(N10&gt;0,N7/N10,"")</f>
        <v/>
      </c>
      <c r="O25" s="31" t="str">
        <f aca="false">IF(O10&gt;0,O7/O10,"")</f>
        <v/>
      </c>
      <c r="P25" s="31" t="n">
        <f aca="false">IF(P10&gt;0,P7/P10,"")</f>
        <v>3.96154335807566</v>
      </c>
      <c r="Q25" s="31" t="n">
        <f aca="false">IF(Q10&gt;0,Q7/Q10,"")</f>
        <v>4.48277173545562</v>
      </c>
      <c r="R25" s="31" t="n">
        <f aca="false">IF(R10&gt;0,R7/R10,"")</f>
        <v>33.4814613913043</v>
      </c>
      <c r="S25" s="31" t="n">
        <f aca="false">IF(S10&gt;0,S7/S10,"")</f>
        <v>-2.09768817391305</v>
      </c>
      <c r="T25" s="31" t="n">
        <f aca="false">IF(T10&gt;0,T7/T10,"")</f>
        <v>-11.6457882039776</v>
      </c>
      <c r="U25" s="31" t="n">
        <f aca="false">IF(U10&gt;0,U7/U10,"")</f>
        <v>-11.1808088130478</v>
      </c>
      <c r="V25" s="31" t="n">
        <f aca="false">IF(V10&gt;0,V7/V10,"")</f>
        <v>4.26610651741584</v>
      </c>
      <c r="W25" s="31" t="n">
        <f aca="false">IF(W10&gt;0,W7/W10,"")</f>
        <v>4.14182323868735</v>
      </c>
      <c r="X25" s="31" t="n">
        <f aca="false">IF(X10&gt;0,X7/X10,"")</f>
        <v>7.19236860644303</v>
      </c>
      <c r="Y25" s="31" t="n">
        <f aca="false">IF(Y10&gt;0,Y7/Y10,"")</f>
        <v>6.89228889397493</v>
      </c>
      <c r="Z25" s="31" t="n">
        <f aca="false">IF(Z10&gt;0,Z7/Z10,"")</f>
        <v>6.4245838694785</v>
      </c>
      <c r="AA25" s="31" t="n">
        <f aca="false">IF(AA10&gt;0,AA7/AA10,"")</f>
        <v>5.67418482256957</v>
      </c>
      <c r="AB25" s="31" t="n">
        <f aca="false">IF(AB10&gt;0,AB7/AB10,"")</f>
        <v>51046248.1534686</v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311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str">
        <f aca="false">IF(M10&gt;0,(L21+IF(Source_Data!M$6=Inputs!$B$12,Inputs!$B$7,0)+M7)/M10,"")</f>
        <v/>
      </c>
      <c r="N26" s="31" t="str">
        <f aca="false">IF(N10&gt;0,(M21+IF(Source_Data!N$6=Inputs!$B$12,Inputs!$B$7,0)+N7)/N10,"")</f>
        <v/>
      </c>
      <c r="O26" s="31" t="str">
        <f aca="false">IF(O10&gt;0,(N21+IF(Source_Data!O$6=Inputs!$B$12,Inputs!$B$7,0)+O7)/O10,"")</f>
        <v/>
      </c>
      <c r="P26" s="31" t="n">
        <f aca="false">IF(P10&gt;0,(O21+IF(Source_Data!P$6=Inputs!$B$12,Inputs!$B$7,0)+P7)/P10,"")</f>
        <v>1.50565134376385</v>
      </c>
      <c r="Q26" s="31" t="n">
        <f aca="false">IF(Q10&gt;0,(P21+IF(Source_Data!Q$6=Inputs!$B$12,Inputs!$B$7,0)+Q7)/Q10,"")</f>
        <v>4.94937533242062</v>
      </c>
      <c r="R26" s="31" t="n">
        <f aca="false">IF(R10&gt;0,(Q21+IF(Source_Data!R$6=Inputs!$B$12,Inputs!$B$7,0)+R7)/R10,"")</f>
        <v>36.8633203348644</v>
      </c>
      <c r="S26" s="31" t="n">
        <f aca="false">IF(S10&gt;0,(R21+IF(Source_Data!S$6=Inputs!$B$12,Inputs!$B$7,0)+S7)/S10,"")</f>
        <v>33.7656321609514</v>
      </c>
      <c r="T26" s="31" t="n">
        <f aca="false">IF(T10&gt;0,(S21+IF(Source_Data!T$6=Inputs!$B$12,Inputs!$B$7,0)+T7)/T10,"")</f>
        <v>30.7985162823703</v>
      </c>
      <c r="U26" s="31" t="n">
        <f aca="false">IF(U10&gt;0,(T21+IF(Source_Data!U$6=Inputs!$B$12,Inputs!$B$7,0)+U7)/U10,"")</f>
        <v>26.3759893403113</v>
      </c>
      <c r="V26" s="31" t="n">
        <f aca="false">IF(V10&gt;0,(U21+IF(Source_Data!V$6=Inputs!$B$12,Inputs!$B$7,0)+V7)/V10,"")</f>
        <v>30.1673175612062</v>
      </c>
      <c r="W26" s="31" t="n">
        <f aca="false">IF(W10&gt;0,(V21+IF(Source_Data!W$6=Inputs!$B$12,Inputs!$B$7,0)+W7)/W10,"")</f>
        <v>33.9255929127332</v>
      </c>
      <c r="X26" s="31" t="n">
        <f aca="false">IF(X10&gt;0,(W21+IF(Source_Data!X$6=Inputs!$B$12,Inputs!$B$7,0)+X7)/X10,"")</f>
        <v>43.7115119231741</v>
      </c>
      <c r="Y26" s="31" t="n">
        <f aca="false">IF(Y10&gt;0,(X21+IF(Source_Data!Y$6=Inputs!$B$12,Inputs!$B$7,0)+Y7)/Y10,"")</f>
        <v>53.9423536143185</v>
      </c>
      <c r="Z26" s="31" t="n">
        <f aca="false">IF(Z10&gt;0,(Y21+IF(Source_Data!Z$6=Inputs!$B$12,Inputs!$B$7,0)+Z7)/Z10,"")</f>
        <v>66.9758625421583</v>
      </c>
      <c r="AA26" s="31" t="n">
        <f aca="false">IF(AA10&gt;0,(Z21+IF(Source_Data!AA$6=Inputs!$B$12,Inputs!$B$7,0)+AA7)/AA10,"")</f>
        <v>84.9516908331933</v>
      </c>
      <c r="AB26" s="31" t="n">
        <f aca="false">IF(AB10&gt;0,(AA21+IF(Source_Data!AB$6=Inputs!$B$12,Inputs!$B$7,0)+AB7)/AB10,"")</f>
        <v>473398691.092816</v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312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str">
        <f aca="false">IF(M13&gt;0,M7/M13,"")</f>
        <v/>
      </c>
      <c r="N27" s="31" t="str">
        <f aca="false">IF(N13&gt;0,N7/N13,"")</f>
        <v/>
      </c>
      <c r="O27" s="31" t="str">
        <f aca="false">IF(O13&gt;0,O7/O13,"")</f>
        <v/>
      </c>
      <c r="P27" s="31" t="n">
        <f aca="false">IF(P13&gt;0,P7/P13,"")</f>
        <v>4.90946646368101</v>
      </c>
      <c r="Q27" s="31" t="n">
        <f aca="false">IF(Q13&gt;0,Q7/Q13,"")</f>
        <v>5.93013670191477</v>
      </c>
      <c r="R27" s="31" t="n">
        <f aca="false">IF(R13&gt;0,R7/R13,"")</f>
        <v>27.7052899310263</v>
      </c>
      <c r="S27" s="31" t="n">
        <f aca="false">IF(S13&gt;0,S7/S13,"")</f>
        <v>-3.02130755885112</v>
      </c>
      <c r="T27" s="31" t="n">
        <f aca="false">IF(T13&gt;0,T7/T13,"")</f>
        <v>-14.1591239239971</v>
      </c>
      <c r="U27" s="31" t="n">
        <f aca="false">IF(U13&gt;0,U7/U13,"")</f>
        <v>-11.1980749952967</v>
      </c>
      <c r="V27" s="31" t="n">
        <f aca="false">IF(V13&gt;0,V7/V13,"")</f>
        <v>4.19855701032722</v>
      </c>
      <c r="W27" s="31" t="n">
        <f aca="false">IF(W13&gt;0,W7/W13,"")</f>
        <v>4.00383265406695</v>
      </c>
      <c r="X27" s="31" t="n">
        <f aca="false">IF(X13&gt;0,X7/X13,"")</f>
        <v>6.35725724804268</v>
      </c>
      <c r="Y27" s="31" t="n">
        <f aca="false">IF(Y13&gt;0,Y7/Y13,"")</f>
        <v>5.5971614819582</v>
      </c>
      <c r="Z27" s="31" t="n">
        <f aca="false">IF(Z13&gt;0,Z7/Z13,"")</f>
        <v>4.63102590949772</v>
      </c>
      <c r="AA27" s="31" t="n">
        <f aca="false">IF(AA13&gt;0,AA7/AA13,"")</f>
        <v>3.46531032628995</v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313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str">
        <f aca="false">IF(M13&gt;0,(L22+IF(Source_Data!M$6=Inputs!$B$12,Inputs!$B$7,0)+M7)/M13,"")</f>
        <v/>
      </c>
      <c r="N28" s="31" t="str">
        <f aca="false">IF(N13&gt;0,(M22+IF(Source_Data!N$6=Inputs!$B$12,Inputs!$B$7,0)+N7)/N13,"")</f>
        <v/>
      </c>
      <c r="O28" s="31" t="str">
        <f aca="false">IF(O13&gt;0,(N22+IF(Source_Data!O$6=Inputs!$B$12,Inputs!$B$7,0)+O7)/O13,"")</f>
        <v/>
      </c>
      <c r="P28" s="31" t="n">
        <f aca="false">IF(P13&gt;0,(O22+IF(Source_Data!P$6=Inputs!$B$12,Inputs!$B$7,0)+P7)/P13,"")</f>
        <v>1.865925501771</v>
      </c>
      <c r="Q28" s="31" t="n">
        <f aca="false">IF(Q13&gt;0,(P22+IF(Source_Data!Q$6=Inputs!$B$12,Inputs!$B$7,0)+Q7)/Q13,"")</f>
        <v>6.78309076492446</v>
      </c>
      <c r="R28" s="31" t="n">
        <f aca="false">IF(R13&gt;0,(Q22+IF(Source_Data!R$6=Inputs!$B$12,Inputs!$B$7,0)+R7)/R13,"")</f>
        <v>30.802903958693</v>
      </c>
      <c r="S28" s="31" t="n">
        <f aca="false">IF(S13&gt;0,(R22+IF(Source_Data!S$6=Inputs!$B$12,Inputs!$B$7,0)+S7)/S13,"")</f>
        <v>48.8532370361133</v>
      </c>
      <c r="T28" s="31" t="n">
        <f aca="false">IF(T13&gt;0,(S22+IF(Source_Data!T$6=Inputs!$B$12,Inputs!$B$7,0)+T7)/T13,"")</f>
        <v>38.1678570713189</v>
      </c>
      <c r="U28" s="31" t="n">
        <f aca="false">IF(U13&gt;0,(T22+IF(Source_Data!U$6=Inputs!$B$12,Inputs!$B$7,0)+U7)/U13,"")</f>
        <v>27.3909759069385</v>
      </c>
      <c r="V28" s="31" t="n">
        <f aca="false">IF(V13&gt;0,(U22+IF(Source_Data!V$6=Inputs!$B$12,Inputs!$B$7,0)+V7)/V13,"")</f>
        <v>30.6683623166825</v>
      </c>
      <c r="W28" s="31" t="n">
        <f aca="false">IF(W13&gt;0,(V22+IF(Source_Data!W$6=Inputs!$B$12,Inputs!$B$7,0)+W7)/W13,"")</f>
        <v>33.7610793642152</v>
      </c>
      <c r="X28" s="31" t="n">
        <f aca="false">IF(X13&gt;0,(W22+IF(Source_Data!X$6=Inputs!$B$12,Inputs!$B$7,0)+X7)/X13,"")</f>
        <v>39.5817738363744</v>
      </c>
      <c r="Y28" s="31" t="n">
        <f aca="false">IF(Y13&gt;0,(X22+IF(Source_Data!Y$6=Inputs!$B$12,Inputs!$B$7,0)+Y7)/Y13,"")</f>
        <v>44.645628250425</v>
      </c>
      <c r="Z28" s="31" t="n">
        <f aca="false">IF(Z13&gt;0,(Y22+IF(Source_Data!Z$6=Inputs!$B$12,Inputs!$B$7,0)+Z7)/Z13,"")</f>
        <v>48.9396911323642</v>
      </c>
      <c r="AA28" s="31" t="n">
        <f aca="false">IF(AA13&gt;0,(Z22+IF(Source_Data!AA$6=Inputs!$B$12,Inputs!$B$7,0)+AA7)/AA13,"")</f>
        <v>52.2705647704328</v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314</v>
      </c>
      <c r="B31" s="7" t="s">
        <v>315</v>
      </c>
      <c r="C31" s="7" t="s">
        <v>316</v>
      </c>
      <c r="D31" s="7" t="s">
        <v>317</v>
      </c>
    </row>
    <row r="32" customFormat="false" ht="15" hidden="false" customHeight="false" outlineLevel="0" collapsed="false">
      <c r="A32" s="3" t="s">
        <v>318</v>
      </c>
      <c r="B32" s="41" t="n">
        <f aca="false">SUM(D9:BK9)</f>
        <v>115</v>
      </c>
      <c r="C32" s="41" t="n">
        <f aca="false">SUM(D10:BK10)</f>
        <v>115</v>
      </c>
      <c r="D32" s="41" t="n">
        <f aca="false">SUM(D13:BK13)</f>
        <v>115</v>
      </c>
    </row>
    <row r="33" customFormat="false" ht="15" hidden="false" customHeight="false" outlineLevel="0" collapsed="false">
      <c r="A33" s="3" t="s">
        <v>319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280</v>
      </c>
      <c r="B34" s="39" t="n">
        <f aca="false">(1+IRR(D14:BK14,0.05))^4-1</f>
        <v>0.265463994839995</v>
      </c>
      <c r="C34" s="39" t="n">
        <f aca="false">(1+IRR(D15:BK15,0.05))^4-1</f>
        <v>0.286576617236228</v>
      </c>
      <c r="D34" s="39" t="n">
        <f aca="false">(1+IRR(D16:BK16,0.05))^4-1</f>
        <v>0.273781615486059</v>
      </c>
    </row>
    <row r="35" customFormat="false" ht="15" hidden="false" customHeight="false" outlineLevel="0" collapsed="false">
      <c r="A35" s="3" t="s">
        <v>45</v>
      </c>
      <c r="B35" s="39" t="n">
        <f aca="false">(1+IRR(D17:BK17,0.05))^4-1</f>
        <v>0.265463994839995</v>
      </c>
      <c r="C35" s="39" t="n">
        <f aca="false">(1+IRR(D18:BK18,0.05))^4-1</f>
        <v>0.286576617236228</v>
      </c>
      <c r="D35" s="39" t="n">
        <f aca="false">(1+IRR(D19:BK19,0.05))^4-1</f>
        <v>0.273781615486059</v>
      </c>
    </row>
    <row r="36" customFormat="false" ht="15" hidden="false" customHeight="false" outlineLevel="0" collapsed="false">
      <c r="A36" s="3" t="s">
        <v>269</v>
      </c>
      <c r="B36" s="41" t="n">
        <f aca="false">SUMPRODUCT(D17:BK17,Project_CF!$D$15:$BK$15)</f>
        <v>-19.2776425454926</v>
      </c>
      <c r="C36" s="41" t="n">
        <f aca="false">SUMPRODUCT(D18:BK18,Project_CF!$D$15:$BK$15)</f>
        <v>-21.2345140629463</v>
      </c>
      <c r="D36" s="41" t="n">
        <f aca="false">SUMPRODUCT(D19:BK19,Project_CF!$D$15:$BK$15)</f>
        <v>-20.068038545432</v>
      </c>
    </row>
    <row r="37" customFormat="false" ht="15" hidden="false" customHeight="false" outlineLevel="0" collapsed="false">
      <c r="A37" s="3" t="s">
        <v>320</v>
      </c>
      <c r="B37" s="43" t="n">
        <f aca="false">MIN(D23:BK23)</f>
        <v>-13.4852585217391</v>
      </c>
      <c r="C37" s="43" t="n">
        <f aca="false">MIN(D25:BK25)</f>
        <v>-11.6457882039776</v>
      </c>
      <c r="D37" s="43" t="n">
        <f aca="false">MIN(D27:BK27)</f>
        <v>-14.1591239239971</v>
      </c>
    </row>
    <row r="38" customFormat="false" ht="15" hidden="false" customHeight="false" outlineLevel="0" collapsed="false">
      <c r="A38" s="3" t="s">
        <v>321</v>
      </c>
      <c r="B38" s="35" t="n">
        <f aca="false">COUNTIF(D23:BK23,"&lt;"&amp;Inputs!$B$43)</f>
        <v>3</v>
      </c>
      <c r="C38" s="35" t="n">
        <f aca="false">COUNTIF(D25:BK25,"&lt;"&amp;Inputs!$B$43)</f>
        <v>3</v>
      </c>
      <c r="D38" s="35" t="n">
        <f aca="false">COUNTIF(D27:BK27,"&lt;"&amp;Inputs!$B$43)</f>
        <v>3</v>
      </c>
    </row>
    <row r="39" customFormat="false" ht="15" hidden="false" customHeight="false" outlineLevel="0" collapsed="false">
      <c r="A39" s="3" t="s">
        <v>53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322</v>
      </c>
      <c r="B40" s="43" t="n">
        <f aca="false">MIN(D24:BK24)</f>
        <v>1.784595</v>
      </c>
      <c r="C40" s="43" t="n">
        <f aca="false">MIN(D26:BK26)</f>
        <v>1.50565134376385</v>
      </c>
      <c r="D40" s="43" t="n">
        <f aca="false">MIN(D28:BK28)</f>
        <v>1.865925501771</v>
      </c>
    </row>
    <row r="41" customFormat="false" ht="15" hidden="false" customHeight="false" outlineLevel="0" collapsed="false">
      <c r="A41" s="3" t="s">
        <v>323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324</v>
      </c>
      <c r="B42" s="41" t="n">
        <f aca="false">MIN(D20:BK20)</f>
        <v>-52.0180625</v>
      </c>
      <c r="C42" s="41" t="n">
        <f aca="false">MIN(D21:BK21)</f>
        <v>-52.0180625</v>
      </c>
      <c r="D42" s="41" t="n">
        <f aca="false">MIN(D22:BK22)</f>
        <v>-52.0180625</v>
      </c>
    </row>
    <row r="43" customFormat="false" ht="15" hidden="false" customHeight="false" outlineLevel="0" collapsed="false">
      <c r="A43" s="3" t="s">
        <v>325</v>
      </c>
      <c r="B43" s="35" t="n">
        <f aca="false">SUMPRODUCT(MAX((D9:BK9&gt;0)*D5:BK5))</f>
        <v>72</v>
      </c>
      <c r="C43" s="35" t="n">
        <f aca="false">SUMPRODUCT(MAX((D10:BK10&gt;0)*D5:BK5))</f>
        <v>75</v>
      </c>
      <c r="D43" s="35" t="n">
        <f aca="false">SUMPRODUCT(MAX((D13:BK13&gt;0)*D5:BK5))</f>
        <v>72</v>
      </c>
    </row>
    <row r="46" customFormat="false" ht="15" hidden="false" customHeight="false" outlineLevel="0" collapsed="false">
      <c r="A46" s="3" t="s">
        <v>326</v>
      </c>
      <c r="B46" s="44" t="n">
        <f aca="false">INDEX(D5:BK5,MATCH(1,D48:BK48,0))</f>
        <v>54</v>
      </c>
    </row>
    <row r="47" customFormat="false" ht="15" hidden="false" customHeight="false" outlineLevel="0" collapsed="false">
      <c r="A47" s="3" t="s">
        <v>327</v>
      </c>
      <c r="D47" s="33" t="n">
        <f aca="false">D14</f>
        <v>0</v>
      </c>
      <c r="E47" s="33" t="n">
        <f aca="false">D47+E14</f>
        <v>0</v>
      </c>
      <c r="F47" s="33" t="n">
        <f aca="false">E47+F14</f>
        <v>0</v>
      </c>
      <c r="G47" s="33" t="n">
        <f aca="false">F47+G14</f>
        <v>-50</v>
      </c>
      <c r="H47" s="33" t="n">
        <f aca="false">G47+H14</f>
        <v>-50</v>
      </c>
      <c r="I47" s="33" t="n">
        <f aca="false">H47+I14</f>
        <v>-50</v>
      </c>
      <c r="J47" s="33" t="n">
        <f aca="false">I47+J14</f>
        <v>-50</v>
      </c>
      <c r="K47" s="33" t="n">
        <f aca="false">J47+K14</f>
        <v>-50</v>
      </c>
      <c r="L47" s="33" t="n">
        <f aca="false">K47+L14</f>
        <v>-50</v>
      </c>
      <c r="M47" s="33" t="n">
        <f aca="false">L47+M14</f>
        <v>-50</v>
      </c>
      <c r="N47" s="33" t="n">
        <f aca="false">M47+N14</f>
        <v>-50</v>
      </c>
      <c r="O47" s="33" t="n">
        <f aca="false">N47+O14</f>
        <v>-50</v>
      </c>
      <c r="P47" s="33" t="n">
        <f aca="false">O47+P14</f>
        <v>-40.4166666666667</v>
      </c>
      <c r="Q47" s="33" t="n">
        <f aca="false">P47+Q14</f>
        <v>-30.8333333333333</v>
      </c>
      <c r="R47" s="33" t="n">
        <f aca="false">Q47+R14</f>
        <v>-21.25</v>
      </c>
      <c r="S47" s="33" t="n">
        <f aca="false">R47+S14</f>
        <v>-11.6666666666667</v>
      </c>
      <c r="T47" s="33" t="n">
        <f aca="false">S47+T14</f>
        <v>-2.08333333333334</v>
      </c>
      <c r="U47" s="33" t="n">
        <f aca="false">T47+U14</f>
        <v>7.49999999999999</v>
      </c>
      <c r="V47" s="33" t="n">
        <f aca="false">U47+V14</f>
        <v>17.0833333333333</v>
      </c>
      <c r="W47" s="33" t="n">
        <f aca="false">V47+W14</f>
        <v>26.6666666666667</v>
      </c>
      <c r="X47" s="33" t="n">
        <f aca="false">W47+X14</f>
        <v>36.25</v>
      </c>
      <c r="Y47" s="33" t="n">
        <f aca="false">X47+Y14</f>
        <v>45.8333333333333</v>
      </c>
      <c r="Z47" s="33" t="n">
        <f aca="false">Y47+Z14</f>
        <v>55.4166666666666</v>
      </c>
      <c r="AA47" s="33" t="n">
        <f aca="false">Z47+AA14</f>
        <v>65</v>
      </c>
      <c r="AB47" s="33" t="n">
        <f aca="false">AA47+AB14</f>
        <v>65</v>
      </c>
      <c r="AC47" s="33" t="n">
        <f aca="false">AB47+AC14</f>
        <v>65</v>
      </c>
      <c r="AD47" s="33" t="n">
        <f aca="false">AC47+AD14</f>
        <v>65</v>
      </c>
      <c r="AE47" s="33" t="n">
        <f aca="false">AD47+AE14</f>
        <v>65</v>
      </c>
      <c r="AF47" s="33" t="n">
        <f aca="false">AE47+AF14</f>
        <v>65</v>
      </c>
      <c r="AG47" s="33" t="n">
        <f aca="false">AF47+AG14</f>
        <v>65</v>
      </c>
      <c r="AH47" s="33" t="n">
        <f aca="false">AG47+AH14</f>
        <v>65</v>
      </c>
      <c r="AI47" s="33" t="n">
        <f aca="false">AH47+AI14</f>
        <v>65</v>
      </c>
      <c r="AJ47" s="33" t="n">
        <f aca="false">AI47+AJ14</f>
        <v>65</v>
      </c>
      <c r="AK47" s="33" t="n">
        <f aca="false">AJ47+AK14</f>
        <v>65</v>
      </c>
      <c r="AL47" s="33" t="n">
        <f aca="false">AK47+AL14</f>
        <v>65</v>
      </c>
      <c r="AM47" s="33" t="n">
        <f aca="false">AL47+AM14</f>
        <v>65</v>
      </c>
      <c r="AN47" s="33" t="n">
        <f aca="false">AM47+AN14</f>
        <v>65</v>
      </c>
      <c r="AO47" s="33" t="n">
        <f aca="false">AN47+AO14</f>
        <v>65</v>
      </c>
      <c r="AP47" s="33" t="n">
        <f aca="false">AO47+AP14</f>
        <v>65</v>
      </c>
      <c r="AQ47" s="33" t="n">
        <f aca="false">AP47+AQ14</f>
        <v>65</v>
      </c>
      <c r="AR47" s="33" t="n">
        <f aca="false">AQ47+AR14</f>
        <v>65</v>
      </c>
      <c r="AS47" s="33" t="n">
        <f aca="false">AR47+AS14</f>
        <v>65</v>
      </c>
      <c r="AT47" s="33" t="n">
        <f aca="false">AS47+AT14</f>
        <v>65</v>
      </c>
      <c r="AU47" s="33" t="n">
        <f aca="false">AT47+AU14</f>
        <v>65</v>
      </c>
      <c r="AV47" s="33" t="n">
        <f aca="false">AU47+AV14</f>
        <v>65</v>
      </c>
      <c r="AW47" s="33" t="n">
        <f aca="false">AV47+AW14</f>
        <v>65</v>
      </c>
      <c r="AX47" s="33" t="n">
        <f aca="false">AW47+AX14</f>
        <v>65</v>
      </c>
      <c r="AY47" s="33" t="n">
        <f aca="false">AX47+AY14</f>
        <v>65</v>
      </c>
      <c r="AZ47" s="33" t="n">
        <f aca="false">AY47+AZ14</f>
        <v>65</v>
      </c>
      <c r="BA47" s="33" t="n">
        <f aca="false">AZ47+BA14</f>
        <v>65</v>
      </c>
      <c r="BB47" s="33" t="n">
        <f aca="false">BA47+BB14</f>
        <v>65</v>
      </c>
      <c r="BC47" s="33" t="n">
        <f aca="false">BB47+BC14</f>
        <v>65</v>
      </c>
      <c r="BD47" s="33" t="n">
        <f aca="false">BC47+BD14</f>
        <v>65</v>
      </c>
      <c r="BE47" s="33" t="n">
        <f aca="false">BD47+BE14</f>
        <v>65</v>
      </c>
      <c r="BF47" s="33" t="n">
        <f aca="false">BE47+BF14</f>
        <v>65</v>
      </c>
      <c r="BG47" s="33" t="n">
        <f aca="false">BF47+BG14</f>
        <v>65</v>
      </c>
      <c r="BH47" s="33" t="n">
        <f aca="false">BG47+BH14</f>
        <v>65</v>
      </c>
      <c r="BI47" s="33" t="n">
        <f aca="false">BH47+BI14</f>
        <v>65</v>
      </c>
      <c r="BJ47" s="33" t="n">
        <f aca="false">BI47+BJ14</f>
        <v>65</v>
      </c>
      <c r="BK47" s="33" t="n">
        <f aca="false">BJ47+BK14</f>
        <v>65</v>
      </c>
    </row>
    <row r="48" customFormat="false" ht="15" hidden="false" customHeight="false" outlineLevel="0" collapsed="false">
      <c r="A48" s="3" t="s">
        <v>328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0</v>
      </c>
      <c r="S48" s="3" t="n">
        <f aca="false">IF(AND(S47&gt;=0,S5&gt;Inputs!$B$12),1,0)</f>
        <v>0</v>
      </c>
      <c r="T48" s="3" t="n">
        <f aca="false">IF(AND(T47&gt;=0,T5&gt;Inputs!$B$12),1,0)</f>
        <v>0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329</v>
      </c>
    </row>
    <row r="2" customFormat="false" ht="15" hidden="false" customHeight="false" outlineLevel="0" collapsed="false">
      <c r="A2" s="6" t="s">
        <v>330</v>
      </c>
    </row>
    <row r="4" customFormat="false" ht="15" hidden="false" customHeight="false" outlineLevel="0" collapsed="false">
      <c r="A4" s="8" t="s">
        <v>60</v>
      </c>
    </row>
    <row r="5" customFormat="false" ht="15" hidden="false" customHeight="false" outlineLevel="0" collapsed="false">
      <c r="A5" s="3" t="s">
        <v>331</v>
      </c>
      <c r="B5" s="45" t="n">
        <v>1</v>
      </c>
    </row>
    <row r="6" customFormat="false" ht="15" hidden="false" customHeight="false" outlineLevel="0" collapsed="false">
      <c r="A6" s="3" t="s">
        <v>332</v>
      </c>
      <c r="B6" s="45" t="n">
        <v>0</v>
      </c>
    </row>
    <row r="7" customFormat="false" ht="15" hidden="false" customHeight="false" outlineLevel="0" collapsed="false">
      <c r="A7" s="3" t="s">
        <v>333</v>
      </c>
      <c r="B7" s="45" t="n">
        <v>1</v>
      </c>
    </row>
    <row r="8" customFormat="false" ht="15" hidden="false" customHeight="false" outlineLevel="0" collapsed="false">
      <c r="A8" s="3" t="s">
        <v>334</v>
      </c>
      <c r="B8" s="45" t="n">
        <v>0</v>
      </c>
    </row>
    <row r="9" customFormat="false" ht="15" hidden="false" customHeight="false" outlineLevel="0" collapsed="false">
      <c r="A9" s="3" t="s">
        <v>335</v>
      </c>
      <c r="B9" s="45" t="n">
        <v>0</v>
      </c>
    </row>
    <row r="10" customFormat="false" ht="15" hidden="false" customHeight="false" outlineLevel="0" collapsed="false">
      <c r="A10" s="3" t="s">
        <v>336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337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338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18.11565</v>
      </c>
      <c r="I12" s="33" t="n">
        <f aca="false">$B$5*IF(Source_Data!I$5-($B$6+$B$8)&gt;=1,INDEX($D$11:$BK$11,1,Source_Data!I$5-($B$6+$B$8)),0)</f>
        <v>36.2313</v>
      </c>
      <c r="J12" s="33" t="n">
        <f aca="false">$B$5*IF(Source_Data!J$5-($B$6+$B$8)&gt;=1,INDEX($D$11:$BK$11,1,Source_Data!J$5-($B$6+$B$8)),0)</f>
        <v>58.260825</v>
      </c>
      <c r="K12" s="33" t="n">
        <f aca="false">$B$5*IF(Source_Data!K$5-($B$6+$B$8)&gt;=1,INDEX($D$11:$BK$11,1,Source_Data!K$5-($B$6+$B$8)),0)</f>
        <v>69.01839</v>
      </c>
      <c r="L12" s="33" t="n">
        <f aca="false">$B$5*IF(Source_Data!L$5-($B$6+$B$8)&gt;=1,INDEX($D$11:$BK$11,1,Source_Data!L$5-($B$6+$B$8)),0)</f>
        <v>67.087545</v>
      </c>
      <c r="M12" s="33" t="n">
        <f aca="false">$B$5*IF(Source_Data!M$5-($B$6+$B$8)&gt;=1,INDEX($D$11:$BK$11,1,Source_Data!M$5-($B$6+$B$8)),0)</f>
        <v>72.9732675</v>
      </c>
      <c r="N12" s="33" t="n">
        <f aca="false">$B$5*IF(Source_Data!N$5-($B$6+$B$8)&gt;=1,INDEX($D$11:$BK$11,1,Source_Data!N$5-($B$6+$B$8)),0)</f>
        <v>88.871055</v>
      </c>
      <c r="O12" s="33" t="n">
        <f aca="false">$B$5*IF(Source_Data!O$5-($B$6+$B$8)&gt;=1,INDEX($D$11:$BK$11,1,Source_Data!O$5-($B$6+$B$8)),0)</f>
        <v>105.60753</v>
      </c>
      <c r="P12" s="33" t="n">
        <f aca="false">$B$5*IF(Source_Data!P$5-($B$6+$B$8)&gt;=1,INDEX($D$11:$BK$11,1,Source_Data!P$5-($B$6+$B$8)),0)</f>
        <v>115.25243625</v>
      </c>
      <c r="Q12" s="33" t="n">
        <f aca="false">$B$5*IF(Source_Data!Q$5-($B$6+$B$8)&gt;=1,INDEX($D$11:$BK$11,1,Source_Data!Q$5-($B$6+$B$8)),0)</f>
        <v>124.8973425</v>
      </c>
      <c r="R12" s="33" t="n">
        <f aca="false">$B$5*IF(Source_Data!R$5-($B$6+$B$8)&gt;=1,INDEX($D$11:$BK$11,1,Source_Data!R$5-($B$6+$B$8)),0)</f>
        <v>683.0904675</v>
      </c>
      <c r="S12" s="33" t="n">
        <f aca="false">$B$5*IF(Source_Data!S$5-($B$6+$B$8)&gt;=1,INDEX($D$11:$BK$11,1,Source_Data!S$5-($B$6+$B$8)),0)</f>
        <v>171.6401925</v>
      </c>
      <c r="T12" s="33" t="n">
        <f aca="false">$B$5*IF(Source_Data!T$5-($B$6+$B$8)&gt;=1,INDEX($D$11:$BK$11,1,Source_Data!T$5-($B$6+$B$8)),0)</f>
        <v>112.5965925</v>
      </c>
      <c r="U12" s="33" t="n">
        <f aca="false">$B$5*IF(Source_Data!U$5-($B$6+$B$8)&gt;=1,INDEX($D$11:$BK$11,1,Source_Data!U$5-($B$6+$B$8)),0)</f>
        <v>89.3369925</v>
      </c>
      <c r="V12" s="33" t="n">
        <f aca="false">$B$5*IF(Source_Data!V$5-($B$6+$B$8)&gt;=1,INDEX($D$11:$BK$11,1,Source_Data!V$5-($B$6+$B$8)),0)</f>
        <v>87.5254275</v>
      </c>
      <c r="W12" s="33" t="n">
        <f aca="false">$B$5*IF(Source_Data!W$5-($B$6+$B$8)&gt;=1,INDEX($D$11:$BK$11,1,Source_Data!W$5-($B$6+$B$8)),0)</f>
        <v>85.7138625</v>
      </c>
      <c r="X12" s="33" t="n">
        <f aca="false">$B$5*IF(Source_Data!X$5-($B$6+$B$8)&gt;=1,INDEX($D$11:$BK$11,1,Source_Data!X$5-($B$6+$B$8)),0)</f>
        <v>77.279461875</v>
      </c>
      <c r="Y12" s="33" t="n">
        <f aca="false">$B$5*IF(Source_Data!Y$5-($B$6+$B$8)&gt;=1,INDEX($D$11:$BK$11,1,Source_Data!Y$5-($B$6+$B$8)),0)</f>
        <v>70.15341375</v>
      </c>
      <c r="Z12" s="33" t="n">
        <f aca="false">$B$5*IF(Source_Data!Z$5-($B$6+$B$8)&gt;=1,INDEX($D$11:$BK$11,1,Source_Data!Z$5-($B$6+$B$8)),0)</f>
        <v>61.33787625</v>
      </c>
      <c r="AA12" s="33" t="n">
        <f aca="false">$B$5*IF(Source_Data!AA$5-($B$6+$B$8)&gt;=1,INDEX($D$11:$BK$11,1,Source_Data!AA$5-($B$6+$B$8)),0)</f>
        <v>51.04624875</v>
      </c>
      <c r="AB12" s="33" t="n">
        <f aca="false">$B$5*IF(Source_Data!AB$5-($B$6+$B$8)&gt;=1,INDEX($D$11:$BK$11,1,Source_Data!AB$5-($B$6+$B$8)),0)</f>
        <v>51.04624875</v>
      </c>
      <c r="AC12" s="33" t="n">
        <f aca="false">$B$5*IF(Source_Data!AC$5-($B$6+$B$8)&gt;=1,INDEX($D$11:$BK$11,1,Source_Data!AC$5-($B$6+$B$8)),0)</f>
        <v>51.04624875</v>
      </c>
      <c r="AD12" s="33" t="n">
        <f aca="false">$B$5*IF(Source_Data!AD$5-($B$6+$B$8)&gt;=1,INDEX($D$11:$BK$11,1,Source_Data!AD$5-($B$6+$B$8)),0)</f>
        <v>51.04624875</v>
      </c>
      <c r="AE12" s="33" t="n">
        <f aca="false">$B$5*IF(Source_Data!AE$5-($B$6+$B$8)&gt;=1,INDEX($D$11:$BK$11,1,Source_Data!AE$5-($B$6+$B$8)),0)</f>
        <v>51.04624875</v>
      </c>
      <c r="AF12" s="33" t="n">
        <f aca="false">$B$5*IF(Source_Data!AF$5-($B$6+$B$8)&gt;=1,INDEX($D$11:$BK$11,1,Source_Data!AF$5-($B$6+$B$8)),0)</f>
        <v>43.931383125</v>
      </c>
      <c r="AG12" s="33" t="n">
        <f aca="false">$B$5*IF(Source_Data!AG$5-($B$6+$B$8)&gt;=1,INDEX($D$11:$BK$11,1,Source_Data!AG$5-($B$6+$B$8)),0)</f>
        <v>36.8165175</v>
      </c>
      <c r="AH12" s="33" t="n">
        <f aca="false">$B$5*IF(Source_Data!AH$5-($B$6+$B$8)&gt;=1,INDEX($D$11:$BK$11,1,Source_Data!AH$5-($B$6+$B$8)),0)</f>
        <v>32.958555</v>
      </c>
      <c r="AI12" s="33" t="n">
        <f aca="false">$B$5*IF(Source_Data!AI$5-($B$6+$B$8)&gt;=1,INDEX($D$11:$BK$11,1,Source_Data!AI$5-($B$6+$B$8)),0)</f>
        <v>29.1005925</v>
      </c>
      <c r="AJ12" s="33" t="n">
        <f aca="false">$B$5*IF(Source_Data!AJ$5-($B$6+$B$8)&gt;=1,INDEX($D$11:$BK$11,1,Source_Data!AJ$5-($B$6+$B$8)),0)</f>
        <v>22.8831225</v>
      </c>
      <c r="AK12" s="33" t="n">
        <f aca="false">$B$5*IF(Source_Data!AK$5-($B$6+$B$8)&gt;=1,INDEX($D$11:$BK$11,1,Source_Data!AK$5-($B$6+$B$8)),0)</f>
        <v>19.2823575</v>
      </c>
      <c r="AL12" s="33" t="n">
        <f aca="false">$B$5*IF(Source_Data!AL$5-($B$6+$B$8)&gt;=1,INDEX($D$11:$BK$11,1,Source_Data!AL$5-($B$6+$B$8)),0)</f>
        <v>16.80357</v>
      </c>
      <c r="AM12" s="33" t="n">
        <f aca="false">$B$5*IF(Source_Data!AM$5-($B$6+$B$8)&gt;=1,INDEX($D$11:$BK$11,1,Source_Data!AM$5-($B$6+$B$8)),0)</f>
        <v>7.24626</v>
      </c>
      <c r="AN12" s="33" t="n">
        <f aca="false">$B$5*IF(Source_Data!AN$5-($B$6+$B$8)&gt;=1,INDEX($D$11:$BK$11,1,Source_Data!AN$5-($B$6+$B$8)),0)</f>
        <v>7.24626</v>
      </c>
      <c r="AO12" s="33" t="n">
        <f aca="false">$B$5*IF(Source_Data!AO$5-($B$6+$B$8)&gt;=1,INDEX($D$11:$BK$11,1,Source_Data!AO$5-($B$6+$B$8)),0)</f>
        <v>7.24626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339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241.1916115625</v>
      </c>
      <c r="AG13" s="33" t="n">
        <f aca="false">Source_Data!AG$9+Source_Data!AG$10*IF(Source_Data!$C$10=0,0,MAX(0,Inputs!$B$19*Inputs!$B$22*$B$5-Inputs!$B$20)/Source_Data!$C$10)</f>
        <v>16.10722640625</v>
      </c>
      <c r="AH13" s="33" t="n">
        <f aca="false">Source_Data!AH$9+Source_Data!AH$10*IF(Source_Data!$C$10=0,0,MAX(0,Inputs!$B$19*Inputs!$B$22*$B$5-Inputs!$B$20)/Source_Data!$C$10)</f>
        <v>14.4193678125</v>
      </c>
      <c r="AI13" s="33" t="n">
        <f aca="false">Source_Data!AI$9+Source_Data!AI$10*IF(Source_Data!$C$10=0,0,MAX(0,Inputs!$B$19*Inputs!$B$22*$B$5-Inputs!$B$20)/Source_Data!$C$10)</f>
        <v>12.73150921875</v>
      </c>
      <c r="AJ13" s="33" t="n">
        <f aca="false">Source_Data!AJ$9+Source_Data!AJ$10*IF(Source_Data!$C$10=0,0,MAX(0,Inputs!$B$19*Inputs!$B$22*$B$5-Inputs!$B$20)/Source_Data!$C$10)</f>
        <v>10.01136609375</v>
      </c>
      <c r="AK13" s="33" t="n">
        <f aca="false">Source_Data!AK$9+Source_Data!AK$10*IF(Source_Data!$C$10=0,0,MAX(0,Inputs!$B$19*Inputs!$B$22*$B$5-Inputs!$B$20)/Source_Data!$C$10)</f>
        <v>8.43603140625001</v>
      </c>
      <c r="AL13" s="33" t="n">
        <f aca="false">Source_Data!AL$9+Source_Data!AL$10*IF(Source_Data!$C$10=0,0,MAX(0,Inputs!$B$19*Inputs!$B$22*$B$5-Inputs!$B$20)/Source_Data!$C$10)</f>
        <v>7.35156187500001</v>
      </c>
      <c r="AM13" s="33" t="n">
        <f aca="false">Source_Data!AM$9+Source_Data!AM$10*IF(Source_Data!$C$10=0,0,MAX(0,Inputs!$B$19*Inputs!$B$22*$B$5-Inputs!$B$20)/Source_Data!$C$10)</f>
        <v>3.17023875000001</v>
      </c>
      <c r="AN13" s="33" t="n">
        <f aca="false">Source_Data!AN$9+Source_Data!AN$10*IF(Source_Data!$C$10=0,0,MAX(0,Inputs!$B$19*Inputs!$B$22*$B$5-Inputs!$B$20)/Source_Data!$C$10)</f>
        <v>3.17023875000001</v>
      </c>
      <c r="AO13" s="33" t="n">
        <f aca="false">Source_Data!AO$9+Source_Data!AO$10*IF(Source_Data!$C$10=0,0,MAX(0,Inputs!$B$19*Inputs!$B$22*$B$5-Inputs!$B$20)/Source_Data!$C$10)</f>
        <v>3.17023875000001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194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196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14.49252</v>
      </c>
      <c r="M15" s="33" t="n">
        <f aca="false">$B$5*IF(Source_Data!M$5-$B$6&gt;=1,INDEX(Source_Data!$D$12:$BK$12,1,Source_Data!M$5-$B$6),0)</f>
        <v>14.49252</v>
      </c>
      <c r="N15" s="33" t="n">
        <f aca="false">$B$5*IF(Source_Data!N$5-$B$6&gt;=1,INDEX(Source_Data!$D$12:$BK$12,1,Source_Data!N$5-$B$6),0)</f>
        <v>12.43494</v>
      </c>
      <c r="O15" s="33" t="n">
        <f aca="false">$B$5*IF(Source_Data!O$5-$B$6&gt;=1,INDEX(Source_Data!$D$12:$BK$12,1,Source_Data!O$5-$B$6),0)</f>
        <v>7.20153</v>
      </c>
      <c r="P15" s="33" t="n">
        <f aca="false">$B$5*IF(Source_Data!P$5-$B$6&gt;=1,INDEX(Source_Data!$D$12:$BK$12,1,Source_Data!P$5-$B$6),0)</f>
        <v>7.93212</v>
      </c>
      <c r="Q15" s="33" t="n">
        <f aca="false">$B$5*IF(Source_Data!Q$5-$B$6&gt;=1,INDEX(Source_Data!$D$12:$BK$12,1,Source_Data!Q$5-$B$6),0)</f>
        <v>7.39536</v>
      </c>
      <c r="R15" s="33" t="n">
        <f aca="false">$B$5*IF(Source_Data!R$5-$B$6&gt;=1,INDEX(Source_Data!$D$12:$BK$12,1,Source_Data!R$5-$B$6),0)</f>
        <v>7.54446</v>
      </c>
      <c r="S15" s="33" t="n">
        <f aca="false">$B$5*IF(Source_Data!S$5-$B$6&gt;=1,INDEX(Source_Data!$D$12:$BK$12,1,Source_Data!S$5-$B$6),0)</f>
        <v>7.54446</v>
      </c>
      <c r="T15" s="33" t="n">
        <f aca="false">$B$5*IF(Source_Data!T$5-$B$6&gt;=1,INDEX(Source_Data!$D$12:$BK$12,1,Source_Data!T$5-$B$6),0)</f>
        <v>8.23032</v>
      </c>
      <c r="U15" s="33" t="n">
        <f aca="false">$B$5*IF(Source_Data!U$5-$B$6&gt;=1,INDEX(Source_Data!$D$12:$BK$12,1,Source_Data!U$5-$B$6),0)</f>
        <v>8.23032</v>
      </c>
      <c r="V15" s="33" t="n">
        <f aca="false">$B$5*IF(Source_Data!V$5-$B$6&gt;=1,INDEX(Source_Data!$D$12:$BK$12,1,Source_Data!V$5-$B$6),0)</f>
        <v>5.72544</v>
      </c>
      <c r="W15" s="33" t="n">
        <f aca="false">$B$5*IF(Source_Data!W$5-$B$6&gt;=1,INDEX(Source_Data!$D$12:$BK$12,1,Source_Data!W$5-$B$6),0)</f>
        <v>5.72544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215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216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-4.38435</v>
      </c>
      <c r="I17" s="33" t="n">
        <f aca="false">I12-I13-I14-I15-I16</f>
        <v>13.7313</v>
      </c>
      <c r="J17" s="33" t="n">
        <f aca="false">J12-J13-J14-J15-J16</f>
        <v>12.760825</v>
      </c>
      <c r="K17" s="33" t="n">
        <f aca="false">K12-K13-K14-K15-K16</f>
        <v>16.15839</v>
      </c>
      <c r="L17" s="33" t="n">
        <f aca="false">L12-L13-L14-L15-L16</f>
        <v>-38.404975</v>
      </c>
      <c r="M17" s="33" t="n">
        <f aca="false">M12-M13-M14-M15-M16</f>
        <v>-16.8792525</v>
      </c>
      <c r="N17" s="33" t="n">
        <f aca="false">N12-N13-N14-N15-N16</f>
        <v>1.07611500000001</v>
      </c>
      <c r="O17" s="33" t="n">
        <f aca="false">O12-O13-O14-O15-O16</f>
        <v>23.046</v>
      </c>
      <c r="P17" s="33" t="n">
        <f aca="false">P12-P13-P14-P15-P16</f>
        <v>44.99831625</v>
      </c>
      <c r="Q17" s="33" t="n">
        <f aca="false">Q12-Q13-Q14-Q15-Q16</f>
        <v>55.1799825</v>
      </c>
      <c r="R17" s="33" t="n">
        <f aca="false">R12-R13-R14-R15-R16</f>
        <v>481.2960075</v>
      </c>
      <c r="S17" s="33" t="n">
        <f aca="false">S12-S13-S14-S15-S16</f>
        <v>-30.1542675</v>
      </c>
      <c r="T17" s="33" t="n">
        <f aca="false">T12-T13-T14-T15-T16</f>
        <v>-129.2337275</v>
      </c>
      <c r="U17" s="33" t="n">
        <f aca="false">U12-U13-U14-U15-U16</f>
        <v>-98.4433275000001</v>
      </c>
      <c r="V17" s="33" t="n">
        <f aca="false">V12-V13-V14-V15-V16</f>
        <v>36.7999875</v>
      </c>
      <c r="W17" s="33" t="n">
        <f aca="false">W12-W13-W14-W15-W16</f>
        <v>34.9884225</v>
      </c>
      <c r="X17" s="33" t="n">
        <f aca="false">X12-X13-X14-X15-X16</f>
        <v>54.779461875</v>
      </c>
      <c r="Y17" s="33" t="n">
        <f aca="false">Y12-Y13-Y14-Y15-Y16</f>
        <v>47.65341375</v>
      </c>
      <c r="Z17" s="33" t="n">
        <f aca="false">Z12-Z13-Z14-Z15-Z16</f>
        <v>38.83787625</v>
      </c>
      <c r="AA17" s="33" t="n">
        <f aca="false">AA12-AA13-AA14-AA15-AA16</f>
        <v>28.54624875</v>
      </c>
      <c r="AB17" s="33" t="n">
        <f aca="false">AB12-AB13-AB14-AB15-AB16</f>
        <v>51.04624875</v>
      </c>
      <c r="AC17" s="33" t="n">
        <f aca="false">AC12-AC13-AC14-AC15-AC16</f>
        <v>51.04624875</v>
      </c>
      <c r="AD17" s="33" t="n">
        <f aca="false">AD12-AD13-AD14-AD15-AD16</f>
        <v>51.04624875</v>
      </c>
      <c r="AE17" s="33" t="n">
        <f aca="false">AE12-AE13-AE14-AE15-AE16</f>
        <v>51.04624875</v>
      </c>
      <c r="AF17" s="33" t="n">
        <f aca="false">AF12-AF13-AF14-AF15-AF16</f>
        <v>-197.2602284375</v>
      </c>
      <c r="AG17" s="33" t="n">
        <f aca="false">AG12-AG13-AG14-AG15-AG16</f>
        <v>20.70929109375</v>
      </c>
      <c r="AH17" s="33" t="n">
        <f aca="false">AH12-AH13-AH14-AH15-AH16</f>
        <v>18.5391871875</v>
      </c>
      <c r="AI17" s="33" t="n">
        <f aca="false">AI12-AI13-AI14-AI15-AI16</f>
        <v>16.36908328125</v>
      </c>
      <c r="AJ17" s="33" t="n">
        <f aca="false">AJ12-AJ13-AJ14-AJ15-AJ16</f>
        <v>12.87175640625</v>
      </c>
      <c r="AK17" s="33" t="n">
        <f aca="false">AK12-AK13-AK14-AK15-AK16</f>
        <v>10.84632609375</v>
      </c>
      <c r="AL17" s="33" t="n">
        <f aca="false">AL12-AL13-AL14-AL15-AL16</f>
        <v>9.45200812499999</v>
      </c>
      <c r="AM17" s="33" t="n">
        <f aca="false">AM12-AM13-AM14-AM15-AM16</f>
        <v>4.07602125</v>
      </c>
      <c r="AN17" s="33" t="n">
        <f aca="false">AN12-AN13-AN14-AN15-AN16</f>
        <v>4.07602125</v>
      </c>
      <c r="AO17" s="33" t="n">
        <f aca="false">AO12-AO13-AO14-AO15-AO16</f>
        <v>4.07602125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217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-89.38435</v>
      </c>
      <c r="I18" s="33" t="n">
        <f aca="false">H18+I17</f>
        <v>-75.65305</v>
      </c>
      <c r="J18" s="33" t="n">
        <f aca="false">I18+J17</f>
        <v>-62.892225</v>
      </c>
      <c r="K18" s="33" t="n">
        <f aca="false">J18+K17</f>
        <v>-46.733835</v>
      </c>
      <c r="L18" s="33" t="n">
        <f aca="false">K18+L17</f>
        <v>-85.13881</v>
      </c>
      <c r="M18" s="33" t="n">
        <f aca="false">L18+M17</f>
        <v>-102.0180625</v>
      </c>
      <c r="N18" s="33" t="n">
        <f aca="false">M18+N17</f>
        <v>-100.9419475</v>
      </c>
      <c r="O18" s="33" t="n">
        <f aca="false">N18+O17</f>
        <v>-77.8959475</v>
      </c>
      <c r="P18" s="33" t="n">
        <f aca="false">O18+P17</f>
        <v>-32.89763125</v>
      </c>
      <c r="Q18" s="33" t="n">
        <f aca="false">P18+Q17</f>
        <v>22.28235125</v>
      </c>
      <c r="R18" s="33" t="n">
        <f aca="false">Q18+R17</f>
        <v>503.57835875</v>
      </c>
      <c r="S18" s="33" t="n">
        <f aca="false">R18+S17</f>
        <v>473.42409125</v>
      </c>
      <c r="T18" s="33" t="n">
        <f aca="false">S18+T17</f>
        <v>344.19036375</v>
      </c>
      <c r="U18" s="33" t="n">
        <f aca="false">T18+U17</f>
        <v>245.74703625</v>
      </c>
      <c r="V18" s="33" t="n">
        <f aca="false">U18+V17</f>
        <v>282.54702375</v>
      </c>
      <c r="W18" s="33" t="n">
        <f aca="false">V18+W17</f>
        <v>317.53544625</v>
      </c>
      <c r="X18" s="33" t="n">
        <f aca="false">W18+X17</f>
        <v>372.314908125</v>
      </c>
      <c r="Y18" s="33" t="n">
        <f aca="false">X18+Y17</f>
        <v>419.968321875</v>
      </c>
      <c r="Z18" s="33" t="n">
        <f aca="false">Y18+Z17</f>
        <v>458.806198125</v>
      </c>
      <c r="AA18" s="33" t="n">
        <f aca="false">Z18+AA17</f>
        <v>487.352446875</v>
      </c>
      <c r="AB18" s="33" t="n">
        <f aca="false">AA18+AB17</f>
        <v>538.398695625</v>
      </c>
      <c r="AC18" s="33" t="n">
        <f aca="false">AB18+AC17</f>
        <v>589.444944375</v>
      </c>
      <c r="AD18" s="33" t="n">
        <f aca="false">AC18+AD17</f>
        <v>640.491193125</v>
      </c>
      <c r="AE18" s="33" t="n">
        <f aca="false">AD18+AE17</f>
        <v>691.537441875</v>
      </c>
      <c r="AF18" s="33" t="n">
        <f aca="false">AE18+AF17</f>
        <v>494.2772134375</v>
      </c>
      <c r="AG18" s="33" t="n">
        <f aca="false">AF18+AG17</f>
        <v>514.98650453125</v>
      </c>
      <c r="AH18" s="33" t="n">
        <f aca="false">AG18+AH17</f>
        <v>533.52569171875</v>
      </c>
      <c r="AI18" s="33" t="n">
        <f aca="false">AH18+AI17</f>
        <v>549.894775</v>
      </c>
      <c r="AJ18" s="33" t="n">
        <f aca="false">AI18+AJ17</f>
        <v>562.76653140625</v>
      </c>
      <c r="AK18" s="33" t="n">
        <f aca="false">AJ18+AK17</f>
        <v>573.6128575</v>
      </c>
      <c r="AL18" s="33" t="n">
        <f aca="false">AK18+AL17</f>
        <v>583.064865625</v>
      </c>
      <c r="AM18" s="33" t="n">
        <f aca="false">AL18+AM17</f>
        <v>587.140886875</v>
      </c>
      <c r="AN18" s="33" t="n">
        <f aca="false">AM18+AN17</f>
        <v>591.216908125</v>
      </c>
      <c r="AO18" s="33" t="n">
        <f aca="false">AN18+AO17</f>
        <v>595.292929375</v>
      </c>
      <c r="AP18" s="33" t="n">
        <f aca="false">AO18+AP17</f>
        <v>595.292929375</v>
      </c>
      <c r="AQ18" s="33" t="n">
        <f aca="false">AP18+AQ17</f>
        <v>595.292929375</v>
      </c>
      <c r="AR18" s="33" t="n">
        <f aca="false">AQ18+AR17</f>
        <v>595.292929375</v>
      </c>
      <c r="AS18" s="33" t="n">
        <f aca="false">AR18+AS17</f>
        <v>595.292929375</v>
      </c>
      <c r="AT18" s="33" t="n">
        <f aca="false">AS18+AT17</f>
        <v>595.292929375</v>
      </c>
      <c r="AU18" s="33" t="n">
        <f aca="false">AT18+AU17</f>
        <v>595.292929375</v>
      </c>
      <c r="AV18" s="33" t="n">
        <f aca="false">AU18+AV17</f>
        <v>595.292929375</v>
      </c>
      <c r="AW18" s="33" t="n">
        <f aca="false">AV18+AW17</f>
        <v>595.292929375</v>
      </c>
      <c r="AX18" s="33" t="n">
        <f aca="false">AW18+AX17</f>
        <v>595.292929375</v>
      </c>
      <c r="AY18" s="33" t="n">
        <f aca="false">AX18+AY17</f>
        <v>595.292929375</v>
      </c>
      <c r="AZ18" s="33" t="n">
        <f aca="false">AY18+AZ17</f>
        <v>595.292929375</v>
      </c>
      <c r="BA18" s="33" t="n">
        <f aca="false">AZ18+BA17</f>
        <v>595.292929375</v>
      </c>
      <c r="BB18" s="33" t="n">
        <f aca="false">BA18+BB17</f>
        <v>595.292929375</v>
      </c>
      <c r="BC18" s="33" t="n">
        <f aca="false">BB18+BC17</f>
        <v>595.292929375</v>
      </c>
      <c r="BD18" s="33" t="n">
        <f aca="false">BC18+BD17</f>
        <v>595.292929375</v>
      </c>
      <c r="BE18" s="33" t="n">
        <f aca="false">BD18+BE17</f>
        <v>595.292929375</v>
      </c>
      <c r="BF18" s="33" t="n">
        <f aca="false">BE18+BF17</f>
        <v>595.292929375</v>
      </c>
      <c r="BG18" s="33" t="n">
        <f aca="false">BF18+BG17</f>
        <v>595.292929375</v>
      </c>
      <c r="BH18" s="33" t="n">
        <f aca="false">BG18+BH17</f>
        <v>595.292929375</v>
      </c>
      <c r="BI18" s="33" t="n">
        <f aca="false">BH18+BI17</f>
        <v>595.292929375</v>
      </c>
      <c r="BJ18" s="33" t="n">
        <f aca="false">BI18+BJ17</f>
        <v>595.292929375</v>
      </c>
      <c r="BK18" s="33" t="n">
        <f aca="false">BJ18+BK17</f>
        <v>595.292929375</v>
      </c>
    </row>
    <row r="19" customFormat="false" ht="15" hidden="false" customHeight="false" outlineLevel="0" collapsed="false">
      <c r="A19" s="3" t="s">
        <v>340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-50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35.9259259259259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35.9259259259259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35.9259259259259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35.9259259259259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341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9.58333333333333</v>
      </c>
      <c r="Q20" s="33" t="n">
        <f aca="false">IF(AND(Source_Data!Q$6&gt;=Inputs!$B$54,Source_Data!Q$6&lt;Inputs!$B$54+3*Inputs!$B$11),Inputs!$B$9*Inputs!$B$7/Inputs!$B$11,0)</f>
        <v>9.58333333333333</v>
      </c>
      <c r="R20" s="33" t="n">
        <f aca="false">IF(AND(Source_Data!R$6&gt;=Inputs!$B$54,Source_Data!R$6&lt;Inputs!$B$54+3*Inputs!$B$11),Inputs!$B$9*Inputs!$B$7/Inputs!$B$11,0)</f>
        <v>9.58333333333333</v>
      </c>
      <c r="S20" s="33" t="n">
        <f aca="false">IF(AND(Source_Data!S$6&gt;=Inputs!$B$54,Source_Data!S$6&lt;Inputs!$B$54+3*Inputs!$B$11),Inputs!$B$9*Inputs!$B$7/Inputs!$B$11,0)</f>
        <v>9.58333333333333</v>
      </c>
      <c r="T20" s="33" t="n">
        <f aca="false">IF(AND(Source_Data!T$6&gt;=Inputs!$B$54,Source_Data!T$6&lt;Inputs!$B$54+3*Inputs!$B$11),Inputs!$B$9*Inputs!$B$7/Inputs!$B$11,0)</f>
        <v>9.58333333333333</v>
      </c>
      <c r="U20" s="33" t="n">
        <f aca="false">IF(AND(Source_Data!U$6&gt;=Inputs!$B$54,Source_Data!U$6&lt;Inputs!$B$54+3*Inputs!$B$11),Inputs!$B$9*Inputs!$B$7/Inputs!$B$11,0)</f>
        <v>9.58333333333333</v>
      </c>
      <c r="V20" s="33" t="n">
        <f aca="false">IF(AND(Source_Data!V$6&gt;=Inputs!$B$54,Source_Data!V$6&lt;Inputs!$B$54+3*Inputs!$B$11),Inputs!$B$9*Inputs!$B$7/Inputs!$B$11,0)</f>
        <v>9.58333333333333</v>
      </c>
      <c r="W20" s="33" t="n">
        <f aca="false">IF(AND(Source_Data!W$6&gt;=Inputs!$B$54,Source_Data!W$6&lt;Inputs!$B$54+3*Inputs!$B$11),Inputs!$B$9*Inputs!$B$7/Inputs!$B$11,0)</f>
        <v>9.58333333333333</v>
      </c>
      <c r="X20" s="33" t="n">
        <f aca="false">IF(AND(Source_Data!X$6&gt;=Inputs!$B$54,Source_Data!X$6&lt;Inputs!$B$54+3*Inputs!$B$11),Inputs!$B$9*Inputs!$B$7/Inputs!$B$11,0)</f>
        <v>9.58333333333333</v>
      </c>
      <c r="Y20" s="33" t="n">
        <f aca="false">IF(AND(Source_Data!Y$6&gt;=Inputs!$B$54,Source_Data!Y$6&lt;Inputs!$B$54+3*Inputs!$B$11),Inputs!$B$9*Inputs!$B$7/Inputs!$B$11,0)</f>
        <v>9.58333333333333</v>
      </c>
      <c r="Z20" s="33" t="n">
        <f aca="false">IF(AND(Source_Data!Z$6&gt;=Inputs!$B$54,Source_Data!Z$6&lt;Inputs!$B$54+3*Inputs!$B$11),Inputs!$B$9*Inputs!$B$7/Inputs!$B$11,0)</f>
        <v>9.58333333333333</v>
      </c>
      <c r="AA20" s="33" t="n">
        <f aca="false">IF(AND(Source_Data!AA$6&gt;=Inputs!$B$54,Source_Data!AA$6&lt;Inputs!$B$54+3*Inputs!$B$11),Inputs!$B$9*Inputs!$B$7/Inputs!$B$11,0)</f>
        <v>9.58333333333333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342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-50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9.58333333333333</v>
      </c>
      <c r="Q21" s="33" t="n">
        <f aca="false">IF(Source_Data!Q$6=Inputs!$B$12,-Inputs!$B$7,0)+Q20</f>
        <v>9.58333333333333</v>
      </c>
      <c r="R21" s="33" t="n">
        <f aca="false">IF(Source_Data!R$6=Inputs!$B$12,-Inputs!$B$7,0)+R20</f>
        <v>9.58333333333333</v>
      </c>
      <c r="S21" s="33" t="n">
        <f aca="false">IF(Source_Data!S$6=Inputs!$B$12,-Inputs!$B$7,0)+S20</f>
        <v>9.58333333333333</v>
      </c>
      <c r="T21" s="33" t="n">
        <f aca="false">IF(Source_Data!T$6=Inputs!$B$12,-Inputs!$B$7,0)+T20</f>
        <v>9.58333333333333</v>
      </c>
      <c r="U21" s="33" t="n">
        <f aca="false">IF(Source_Data!U$6=Inputs!$B$12,-Inputs!$B$7,0)+U20</f>
        <v>9.58333333333333</v>
      </c>
      <c r="V21" s="33" t="n">
        <f aca="false">IF(Source_Data!V$6=Inputs!$B$12,-Inputs!$B$7,0)+V20</f>
        <v>9.58333333333333</v>
      </c>
      <c r="W21" s="33" t="n">
        <f aca="false">IF(Source_Data!W$6=Inputs!$B$12,-Inputs!$B$7,0)+W20</f>
        <v>9.58333333333333</v>
      </c>
      <c r="X21" s="33" t="n">
        <f aca="false">IF(Source_Data!X$6=Inputs!$B$12,-Inputs!$B$7,0)+X20</f>
        <v>9.58333333333333</v>
      </c>
      <c r="Y21" s="33" t="n">
        <f aca="false">IF(Source_Data!Y$6=Inputs!$B$12,-Inputs!$B$7,0)+Y20</f>
        <v>9.58333333333333</v>
      </c>
      <c r="Z21" s="33" t="n">
        <f aca="false">IF(Source_Data!Z$6=Inputs!$B$12,-Inputs!$B$7,0)+Z20</f>
        <v>9.58333333333333</v>
      </c>
      <c r="AA21" s="33" t="n">
        <f aca="false">IF(Source_Data!AA$6=Inputs!$B$12,-Inputs!$B$7,0)+AA20</f>
        <v>9.58333333333333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343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-35</v>
      </c>
      <c r="H22" s="33" t="n">
        <f aca="false">G22+IF(Source_Data!H$6=Inputs!$B$12,Inputs!$B$7,0)+H17-H20</f>
        <v>-39.38435</v>
      </c>
      <c r="I22" s="33" t="n">
        <f aca="false">H22+IF(Source_Data!I$6=Inputs!$B$12,Inputs!$B$7,0)+I17-I20</f>
        <v>-25.65305</v>
      </c>
      <c r="J22" s="33" t="n">
        <f aca="false">I22+IF(Source_Data!J$6=Inputs!$B$12,Inputs!$B$7,0)+J17-J20</f>
        <v>-12.892225</v>
      </c>
      <c r="K22" s="33" t="n">
        <f aca="false">J22+IF(Source_Data!K$6=Inputs!$B$12,Inputs!$B$7,0)+K17-K20</f>
        <v>3.26616499999999</v>
      </c>
      <c r="L22" s="33" t="n">
        <f aca="false">K22+IF(Source_Data!L$6=Inputs!$B$12,Inputs!$B$7,0)+L17-L20</f>
        <v>-35.13881</v>
      </c>
      <c r="M22" s="33" t="n">
        <f aca="false">L22+IF(Source_Data!M$6=Inputs!$B$12,Inputs!$B$7,0)+M17-M20</f>
        <v>-52.0180625</v>
      </c>
      <c r="N22" s="33" t="n">
        <f aca="false">M22+IF(Source_Data!N$6=Inputs!$B$12,Inputs!$B$7,0)+N17-N20</f>
        <v>-50.9419475</v>
      </c>
      <c r="O22" s="33" t="n">
        <f aca="false">N22+IF(Source_Data!O$6=Inputs!$B$12,Inputs!$B$7,0)+O17-O20</f>
        <v>-27.8959475</v>
      </c>
      <c r="P22" s="33" t="n">
        <f aca="false">O22+IF(Source_Data!P$6=Inputs!$B$12,Inputs!$B$7,0)+P17-P20</f>
        <v>7.51903541666668</v>
      </c>
      <c r="Q22" s="33" t="n">
        <f aca="false">P22+IF(Source_Data!Q$6=Inputs!$B$12,Inputs!$B$7,0)+Q17-Q20</f>
        <v>53.1156845833334</v>
      </c>
      <c r="R22" s="33" t="n">
        <f aca="false">Q22+IF(Source_Data!R$6=Inputs!$B$12,Inputs!$B$7,0)+R17-R20</f>
        <v>524.82835875</v>
      </c>
      <c r="S22" s="33" t="n">
        <f aca="false">R22+IF(Source_Data!S$6=Inputs!$B$12,Inputs!$B$7,0)+S17-S20</f>
        <v>485.090757916666</v>
      </c>
      <c r="T22" s="33" t="n">
        <f aca="false">S22+IF(Source_Data!T$6=Inputs!$B$12,Inputs!$B$7,0)+T17-T20</f>
        <v>346.273697083333</v>
      </c>
      <c r="U22" s="33" t="n">
        <f aca="false">T22+IF(Source_Data!U$6=Inputs!$B$12,Inputs!$B$7,0)+U17-U20</f>
        <v>238.24703625</v>
      </c>
      <c r="V22" s="33" t="n">
        <f aca="false">U22+IF(Source_Data!V$6=Inputs!$B$12,Inputs!$B$7,0)+V17-V20</f>
        <v>265.463690416666</v>
      </c>
      <c r="W22" s="33" t="n">
        <f aca="false">V22+IF(Source_Data!W$6=Inputs!$B$12,Inputs!$B$7,0)+W17-W20</f>
        <v>290.868779583333</v>
      </c>
      <c r="X22" s="33" t="n">
        <f aca="false">W22+IF(Source_Data!X$6=Inputs!$B$12,Inputs!$B$7,0)+X17-X20</f>
        <v>336.064908125</v>
      </c>
      <c r="Y22" s="33" t="n">
        <f aca="false">X22+IF(Source_Data!Y$6=Inputs!$B$12,Inputs!$B$7,0)+Y17-Y20</f>
        <v>374.134988541666</v>
      </c>
      <c r="Z22" s="33" t="n">
        <f aca="false">Y22+IF(Source_Data!Z$6=Inputs!$B$12,Inputs!$B$7,0)+Z17-Z20</f>
        <v>403.389531458333</v>
      </c>
      <c r="AA22" s="33" t="n">
        <f aca="false">Z22+IF(Source_Data!AA$6=Inputs!$B$12,Inputs!$B$7,0)+AA17-AA20</f>
        <v>422.352446875</v>
      </c>
      <c r="AB22" s="33" t="n">
        <f aca="false">AA22+IF(Source_Data!AB$6=Inputs!$B$12,Inputs!$B$7,0)+AB17-AB20</f>
        <v>473.398695625</v>
      </c>
      <c r="AC22" s="33" t="n">
        <f aca="false">AB22+IF(Source_Data!AC$6=Inputs!$B$12,Inputs!$B$7,0)+AC17-AC20</f>
        <v>524.444944375</v>
      </c>
      <c r="AD22" s="33" t="n">
        <f aca="false">AC22+IF(Source_Data!AD$6=Inputs!$B$12,Inputs!$B$7,0)+AD17-AD20</f>
        <v>575.491193125</v>
      </c>
      <c r="AE22" s="33" t="n">
        <f aca="false">AD22+IF(Source_Data!AE$6=Inputs!$B$12,Inputs!$B$7,0)+AE17-AE20</f>
        <v>626.537441875</v>
      </c>
      <c r="AF22" s="33" t="n">
        <f aca="false">AE22+IF(Source_Data!AF$6=Inputs!$B$12,Inputs!$B$7,0)+AF17-AF20</f>
        <v>429.2772134375</v>
      </c>
      <c r="AG22" s="33" t="n">
        <f aca="false">AF22+IF(Source_Data!AG$6=Inputs!$B$12,Inputs!$B$7,0)+AG17-AG20</f>
        <v>449.98650453125</v>
      </c>
      <c r="AH22" s="33" t="n">
        <f aca="false">AG22+IF(Source_Data!AH$6=Inputs!$B$12,Inputs!$B$7,0)+AH17-AH20</f>
        <v>468.52569171875</v>
      </c>
      <c r="AI22" s="33" t="n">
        <f aca="false">AH22+IF(Source_Data!AI$6=Inputs!$B$12,Inputs!$B$7,0)+AI17-AI20</f>
        <v>484.894775</v>
      </c>
      <c r="AJ22" s="33" t="n">
        <f aca="false">AI22+IF(Source_Data!AJ$6=Inputs!$B$12,Inputs!$B$7,0)+AJ17-AJ20</f>
        <v>497.76653140625</v>
      </c>
      <c r="AK22" s="33" t="n">
        <f aca="false">AJ22+IF(Source_Data!AK$6=Inputs!$B$12,Inputs!$B$7,0)+AK17-AK20</f>
        <v>508.6128575</v>
      </c>
      <c r="AL22" s="33" t="n">
        <f aca="false">AK22+IF(Source_Data!AL$6=Inputs!$B$12,Inputs!$B$7,0)+AL17-AL20</f>
        <v>518.064865625</v>
      </c>
      <c r="AM22" s="33" t="n">
        <f aca="false">AL22+IF(Source_Data!AM$6=Inputs!$B$12,Inputs!$B$7,0)+AM17-AM20</f>
        <v>522.140886875</v>
      </c>
      <c r="AN22" s="33" t="n">
        <f aca="false">AM22+IF(Source_Data!AN$6=Inputs!$B$12,Inputs!$B$7,0)+AN17-AN20</f>
        <v>526.216908125</v>
      </c>
      <c r="AO22" s="33" t="n">
        <f aca="false">AN22+IF(Source_Data!AO$6=Inputs!$B$12,Inputs!$B$7,0)+AO17-AO20</f>
        <v>530.292929375</v>
      </c>
      <c r="AP22" s="33" t="n">
        <f aca="false">AO22+IF(Source_Data!AP$6=Inputs!$B$12,Inputs!$B$7,0)+AP17-AP20</f>
        <v>530.292929375</v>
      </c>
      <c r="AQ22" s="33" t="n">
        <f aca="false">AP22+IF(Source_Data!AQ$6=Inputs!$B$12,Inputs!$B$7,0)+AQ17-AQ20</f>
        <v>530.292929375</v>
      </c>
      <c r="AR22" s="33" t="n">
        <f aca="false">AQ22+IF(Source_Data!AR$6=Inputs!$B$12,Inputs!$B$7,0)+AR17-AR20</f>
        <v>530.292929375</v>
      </c>
      <c r="AS22" s="33" t="n">
        <f aca="false">AR22+IF(Source_Data!AS$6=Inputs!$B$12,Inputs!$B$7,0)+AS17-AS20</f>
        <v>530.292929375</v>
      </c>
      <c r="AT22" s="33" t="n">
        <f aca="false">AS22+IF(Source_Data!AT$6=Inputs!$B$12,Inputs!$B$7,0)+AT17-AT20</f>
        <v>530.292929375</v>
      </c>
      <c r="AU22" s="33" t="n">
        <f aca="false">AT22+IF(Source_Data!AU$6=Inputs!$B$12,Inputs!$B$7,0)+AU17-AU20</f>
        <v>530.292929375</v>
      </c>
      <c r="AV22" s="33" t="n">
        <f aca="false">AU22+IF(Source_Data!AV$6=Inputs!$B$12,Inputs!$B$7,0)+AV17-AV20</f>
        <v>530.292929375</v>
      </c>
      <c r="AW22" s="33" t="n">
        <f aca="false">AV22+IF(Source_Data!AW$6=Inputs!$B$12,Inputs!$B$7,0)+AW17-AW20</f>
        <v>530.292929375</v>
      </c>
      <c r="AX22" s="33" t="n">
        <f aca="false">AW22+IF(Source_Data!AX$6=Inputs!$B$12,Inputs!$B$7,0)+AX17-AX20</f>
        <v>530.292929375</v>
      </c>
      <c r="AY22" s="33" t="n">
        <f aca="false">AX22+IF(Source_Data!AY$6=Inputs!$B$12,Inputs!$B$7,0)+AY17-AY20</f>
        <v>530.292929375</v>
      </c>
      <c r="AZ22" s="33" t="n">
        <f aca="false">AY22+IF(Source_Data!AZ$6=Inputs!$B$12,Inputs!$B$7,0)+AZ17-AZ20</f>
        <v>530.292929375</v>
      </c>
      <c r="BA22" s="33" t="n">
        <f aca="false">AZ22+IF(Source_Data!BA$6=Inputs!$B$12,Inputs!$B$7,0)+BA17-BA20</f>
        <v>530.292929375</v>
      </c>
      <c r="BB22" s="33" t="n">
        <f aca="false">BA22+IF(Source_Data!BB$6=Inputs!$B$12,Inputs!$B$7,0)+BB17-BB20</f>
        <v>530.292929375</v>
      </c>
      <c r="BC22" s="33" t="n">
        <f aca="false">BB22+IF(Source_Data!BC$6=Inputs!$B$12,Inputs!$B$7,0)+BC17-BC20</f>
        <v>530.292929375</v>
      </c>
      <c r="BD22" s="33" t="n">
        <f aca="false">BC22+IF(Source_Data!BD$6=Inputs!$B$12,Inputs!$B$7,0)+BD17-BD20</f>
        <v>530.292929375</v>
      </c>
      <c r="BE22" s="33" t="n">
        <f aca="false">BD22+IF(Source_Data!BE$6=Inputs!$B$12,Inputs!$B$7,0)+BE17-BE20</f>
        <v>530.292929375</v>
      </c>
      <c r="BF22" s="33" t="n">
        <f aca="false">BE22+IF(Source_Data!BF$6=Inputs!$B$12,Inputs!$B$7,0)+BF17-BF20</f>
        <v>530.292929375</v>
      </c>
      <c r="BG22" s="33" t="n">
        <f aca="false">BF22+IF(Source_Data!BG$6=Inputs!$B$12,Inputs!$B$7,0)+BG17-BG20</f>
        <v>530.292929375</v>
      </c>
      <c r="BH22" s="33" t="n">
        <f aca="false">BG22+IF(Source_Data!BH$6=Inputs!$B$12,Inputs!$B$7,0)+BH17-BH20</f>
        <v>530.292929375</v>
      </c>
      <c r="BI22" s="33" t="n">
        <f aca="false">BH22+IF(Source_Data!BI$6=Inputs!$B$12,Inputs!$B$7,0)+BI17-BI20</f>
        <v>530.292929375</v>
      </c>
      <c r="BJ22" s="33" t="n">
        <f aca="false">BI22+IF(Source_Data!BJ$6=Inputs!$B$12,Inputs!$B$7,0)+BJ17-BJ20</f>
        <v>530.292929375</v>
      </c>
      <c r="BK22" s="33" t="n">
        <f aca="false">BJ22+IF(Source_Data!BK$6=Inputs!$B$12,Inputs!$B$7,0)+BK17-BK20</f>
        <v>530.292929375</v>
      </c>
    </row>
    <row r="23" customFormat="false" ht="15" hidden="false" customHeight="false" outlineLevel="0" collapsed="false">
      <c r="A23" s="3" t="s">
        <v>344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4.69547647826087</v>
      </c>
      <c r="Q23" s="31" t="n">
        <f aca="false">IF(Q20&gt;0,Q17/Q20,"")</f>
        <v>5.7579112173913</v>
      </c>
      <c r="R23" s="31" t="n">
        <f aca="false">IF(R20&gt;0,R17/R20,"")</f>
        <v>50.2221920869565</v>
      </c>
      <c r="S23" s="31" t="n">
        <f aca="false">IF(S20&gt;0,S17/S20,"")</f>
        <v>-3.14653226086957</v>
      </c>
      <c r="T23" s="31" t="n">
        <f aca="false">IF(T20&gt;0,T17/T20,"")</f>
        <v>-13.4852585217391</v>
      </c>
      <c r="U23" s="31" t="n">
        <f aca="false">IF(U20&gt;0,U17/U20,"")</f>
        <v>-10.2723472173913</v>
      </c>
      <c r="V23" s="31" t="n">
        <f aca="false">IF(V20&gt;0,V17/V20,"")</f>
        <v>3.83999869565217</v>
      </c>
      <c r="W23" s="31" t="n">
        <f aca="false">IF(W20&gt;0,W17/W20,"")</f>
        <v>3.65096582608695</v>
      </c>
      <c r="X23" s="31" t="n">
        <f aca="false">IF(X20&gt;0,X17/X20,"")</f>
        <v>5.71611776086957</v>
      </c>
      <c r="Y23" s="31" t="n">
        <f aca="false">IF(Y20&gt;0,Y17/Y20,"")</f>
        <v>4.97253013043479</v>
      </c>
      <c r="Z23" s="31" t="n">
        <f aca="false">IF(Z20&gt;0,Z17/Z20,"")</f>
        <v>4.05264795652174</v>
      </c>
      <c r="AA23" s="31" t="n">
        <f aca="false">IF(AA20&gt;0,AA17/AA20,"")</f>
        <v>2.978739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345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1.784595</v>
      </c>
      <c r="Q24" s="31" t="n">
        <f aca="false">IF(Q20&gt;0,(P22+Q17+IF(Source_Data!Q$6=Inputs!$B$12,Inputs!$B$7,0))/Q20,"")</f>
        <v>6.54250621739131</v>
      </c>
      <c r="R24" s="31" t="n">
        <f aca="false">IF(R20&gt;0,(Q22+R17+IF(Source_Data!R$6=Inputs!$B$12,Inputs!$B$7,0))/R20,"")</f>
        <v>55.7646983043478</v>
      </c>
      <c r="S24" s="31" t="n">
        <f aca="false">IF(S20&gt;0,(R22+S17+IF(Source_Data!S$6=Inputs!$B$12,Inputs!$B$7,0))/S20,"")</f>
        <v>51.6181660434783</v>
      </c>
      <c r="T24" s="31" t="n">
        <f aca="false">IF(T20&gt;0,(S22+T17+IF(Source_Data!T$6=Inputs!$B$12,Inputs!$B$7,0))/T20,"")</f>
        <v>37.1329075217391</v>
      </c>
      <c r="U24" s="31" t="n">
        <f aca="false">IF(U20&gt;0,(T22+U17+IF(Source_Data!U$6=Inputs!$B$12,Inputs!$B$7,0))/U20,"")</f>
        <v>25.8605603043478</v>
      </c>
      <c r="V24" s="31" t="n">
        <f aca="false">IF(V20&gt;0,(U22+V17+IF(Source_Data!V$6=Inputs!$B$12,Inputs!$B$7,0))/V20,"")</f>
        <v>28.700559</v>
      </c>
      <c r="W24" s="31" t="n">
        <f aca="false">IF(W20&gt;0,(V22+W17+IF(Source_Data!W$6=Inputs!$B$12,Inputs!$B$7,0))/W20,"")</f>
        <v>31.3515248260869</v>
      </c>
      <c r="X24" s="31" t="n">
        <f aca="false">IF(X20&gt;0,(W22+X17+IF(Source_Data!X$6=Inputs!$B$12,Inputs!$B$7,0))/X20,"")</f>
        <v>36.0676425869565</v>
      </c>
      <c r="Y24" s="31" t="n">
        <f aca="false">IF(Y20&gt;0,(X22+Y17+IF(Source_Data!Y$6=Inputs!$B$12,Inputs!$B$7,0))/Y20,"")</f>
        <v>40.0401727173913</v>
      </c>
      <c r="Z24" s="31" t="n">
        <f aca="false">IF(Z20&gt;0,(Y22+Z17+IF(Source_Data!Z$6=Inputs!$B$12,Inputs!$B$7,0))/Z20,"")</f>
        <v>43.092820673913</v>
      </c>
      <c r="AA24" s="31" t="n">
        <f aca="false">IF(AA20&gt;0,(Z22+AA17+IF(Source_Data!AA$6=Inputs!$B$12,Inputs!$B$7,0))/AA20,"")</f>
        <v>45.071559673913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220</v>
      </c>
      <c r="B26" s="41" t="n">
        <f aca="false">SUM(D17:BK17)</f>
        <v>595.292929375</v>
      </c>
    </row>
    <row r="27" customFormat="false" ht="15" hidden="false" customHeight="false" outlineLevel="0" collapsed="false">
      <c r="A27" s="2" t="s">
        <v>346</v>
      </c>
      <c r="B27" s="41" t="n">
        <f aca="false">SUMPRODUCT(D17:BK17,Project_CF!$D$15:$BK$15)</f>
        <v>307.532371091529</v>
      </c>
    </row>
    <row r="28" customFormat="false" ht="15" hidden="false" customHeight="false" outlineLevel="0" collapsed="false">
      <c r="A28" s="2" t="s">
        <v>162</v>
      </c>
      <c r="B28" s="41" t="n">
        <f aca="false">MIN(D18:BK18)</f>
        <v>-102.0180625</v>
      </c>
    </row>
    <row r="29" customFormat="false" ht="15" hidden="false" customHeight="false" outlineLevel="0" collapsed="false">
      <c r="A29" s="2" t="s">
        <v>347</v>
      </c>
      <c r="B29" s="35" t="n">
        <f aca="false">INDEX(Project_CF!$D$6:$BK$6,MATCH(MIN(D18:BK18),D18:BK18,0))</f>
        <v>30</v>
      </c>
    </row>
    <row r="30" customFormat="false" ht="15" hidden="false" customHeight="false" outlineLevel="0" collapsed="false">
      <c r="A30" s="2" t="s">
        <v>348</v>
      </c>
      <c r="B30" s="39" t="n">
        <f aca="false">(1+IRR(D19:BK19,0.05))^4-1</f>
        <v>0.292473250549915</v>
      </c>
    </row>
    <row r="31" customFormat="false" ht="15" hidden="false" customHeight="false" outlineLevel="0" collapsed="false">
      <c r="A31" s="2" t="s">
        <v>349</v>
      </c>
      <c r="B31" s="40" t="n">
        <f aca="false">SUMIF(D19:BK19,"&gt;0")/-SUMIF(D19:BK19,"&lt;0")</f>
        <v>2.87407407407407</v>
      </c>
    </row>
    <row r="32" customFormat="false" ht="15" hidden="false" customHeight="false" outlineLevel="0" collapsed="false">
      <c r="A32" s="2" t="s">
        <v>350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351</v>
      </c>
      <c r="B33" s="41" t="n">
        <f aca="false">MIN(D22:BK22)</f>
        <v>-52.0180625</v>
      </c>
    </row>
    <row r="34" customFormat="false" ht="15" hidden="false" customHeight="false" outlineLevel="0" collapsed="false">
      <c r="A34" s="2" t="s">
        <v>352</v>
      </c>
      <c r="B34" s="43" t="n">
        <f aca="false">MIN(D23:BK23)</f>
        <v>-13.4852585217391</v>
      </c>
    </row>
    <row r="35" customFormat="false" ht="15" hidden="false" customHeight="false" outlineLevel="0" collapsed="false">
      <c r="A35" s="2" t="s">
        <v>353</v>
      </c>
      <c r="B35" s="35" t="n">
        <f aca="false">COUNTIF(D23:BK23,"&lt;"&amp;Inputs!$B$43)</f>
        <v>3</v>
      </c>
    </row>
    <row r="36" customFormat="false" ht="15" hidden="false" customHeight="false" outlineLevel="0" collapsed="false">
      <c r="A36" s="2" t="s">
        <v>354</v>
      </c>
      <c r="B36" s="43" t="n">
        <f aca="false">MIN(D24:BK24)</f>
        <v>1.784595</v>
      </c>
    </row>
    <row r="37" customFormat="false" ht="15" hidden="false" customHeight="false" outlineLevel="0" collapsed="false">
      <c r="A37" s="2" t="s">
        <v>355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61</v>
      </c>
    </row>
    <row r="41" customFormat="false" ht="15" hidden="false" customHeight="false" outlineLevel="0" collapsed="false">
      <c r="A41" s="3" t="s">
        <v>331</v>
      </c>
      <c r="B41" s="45" t="n">
        <v>0.9</v>
      </c>
    </row>
    <row r="42" customFormat="false" ht="15" hidden="false" customHeight="false" outlineLevel="0" collapsed="false">
      <c r="A42" s="3" t="s">
        <v>332</v>
      </c>
      <c r="B42" s="45" t="n">
        <v>4</v>
      </c>
    </row>
    <row r="43" customFormat="false" ht="15" hidden="false" customHeight="false" outlineLevel="0" collapsed="false">
      <c r="A43" s="3" t="s">
        <v>333</v>
      </c>
      <c r="B43" s="45" t="n">
        <v>1</v>
      </c>
    </row>
    <row r="44" customFormat="false" ht="15" hidden="false" customHeight="false" outlineLevel="0" collapsed="false">
      <c r="A44" s="3" t="s">
        <v>334</v>
      </c>
      <c r="B44" s="45" t="n">
        <v>0</v>
      </c>
    </row>
    <row r="45" customFormat="false" ht="15" hidden="false" customHeight="false" outlineLevel="0" collapsed="false">
      <c r="A45" s="3" t="s">
        <v>335</v>
      </c>
      <c r="B45" s="45" t="n">
        <v>0</v>
      </c>
    </row>
    <row r="46" customFormat="false" ht="15" hidden="false" customHeight="false" outlineLevel="0" collapsed="false">
      <c r="A46" s="3" t="s">
        <v>336</v>
      </c>
      <c r="B46" s="3" t="n">
        <f aca="false">Inputs!$B$13+3+3*$B$42</f>
        <v>69</v>
      </c>
    </row>
    <row r="47" customFormat="false" ht="15" hidden="false" customHeight="false" outlineLevel="0" collapsed="false">
      <c r="A47" s="3" t="s">
        <v>337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338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0</v>
      </c>
      <c r="K48" s="33" t="n">
        <f aca="false">$B$41*IF(Source_Data!K$5-($B$42+$B$44)&gt;=1,INDEX($D$47:$BK$47,1,Source_Data!K$5-($B$42+$B$44)),0)</f>
        <v>0</v>
      </c>
      <c r="L48" s="33" t="n">
        <f aca="false">$B$41*IF(Source_Data!L$5-($B$42+$B$44)&gt;=1,INDEX($D$47:$BK$47,1,Source_Data!L$5-($B$42+$B$44)),0)</f>
        <v>16.304085</v>
      </c>
      <c r="M48" s="33" t="n">
        <f aca="false">$B$41*IF(Source_Data!M$5-($B$42+$B$44)&gt;=1,INDEX($D$47:$BK$47,1,Source_Data!M$5-($B$42+$B$44)),0)</f>
        <v>32.60817</v>
      </c>
      <c r="N48" s="33" t="n">
        <f aca="false">$B$41*IF(Source_Data!N$5-($B$42+$B$44)&gt;=1,INDEX($D$47:$BK$47,1,Source_Data!N$5-($B$42+$B$44)),0)</f>
        <v>52.4347425</v>
      </c>
      <c r="O48" s="33" t="n">
        <f aca="false">$B$41*IF(Source_Data!O$5-($B$42+$B$44)&gt;=1,INDEX($D$47:$BK$47,1,Source_Data!O$5-($B$42+$B$44)),0)</f>
        <v>62.116551</v>
      </c>
      <c r="P48" s="33" t="n">
        <f aca="false">$B$41*IF(Source_Data!P$5-($B$42+$B$44)&gt;=1,INDEX($D$47:$BK$47,1,Source_Data!P$5-($B$42+$B$44)),0)</f>
        <v>60.3787905</v>
      </c>
      <c r="Q48" s="33" t="n">
        <f aca="false">$B$41*IF(Source_Data!Q$5-($B$42+$B$44)&gt;=1,INDEX($D$47:$BK$47,1,Source_Data!Q$5-($B$42+$B$44)),0)</f>
        <v>65.67594075</v>
      </c>
      <c r="R48" s="33" t="n">
        <f aca="false">$B$41*IF(Source_Data!R$5-($B$42+$B$44)&gt;=1,INDEX($D$47:$BK$47,1,Source_Data!R$5-($B$42+$B$44)),0)</f>
        <v>79.9839495</v>
      </c>
      <c r="S48" s="33" t="n">
        <f aca="false">$B$41*IF(Source_Data!S$5-($B$42+$B$44)&gt;=1,INDEX($D$47:$BK$47,1,Source_Data!S$5-($B$42+$B$44)),0)</f>
        <v>95.046777</v>
      </c>
      <c r="T48" s="33" t="n">
        <f aca="false">$B$41*IF(Source_Data!T$5-($B$42+$B$44)&gt;=1,INDEX($D$47:$BK$47,1,Source_Data!T$5-($B$42+$B$44)),0)</f>
        <v>103.727192625</v>
      </c>
      <c r="U48" s="33" t="n">
        <f aca="false">$B$41*IF(Source_Data!U$5-($B$42+$B$44)&gt;=1,INDEX($D$47:$BK$47,1,Source_Data!U$5-($B$42+$B$44)),0)</f>
        <v>112.40760825</v>
      </c>
      <c r="V48" s="33" t="n">
        <f aca="false">$B$41*IF(Source_Data!V$5-($B$42+$B$44)&gt;=1,INDEX($D$47:$BK$47,1,Source_Data!V$5-($B$42+$B$44)),0)</f>
        <v>614.78142075</v>
      </c>
      <c r="W48" s="33" t="n">
        <f aca="false">$B$41*IF(Source_Data!W$5-($B$42+$B$44)&gt;=1,INDEX($D$47:$BK$47,1,Source_Data!W$5-($B$42+$B$44)),0)</f>
        <v>154.47617325</v>
      </c>
      <c r="X48" s="33" t="n">
        <f aca="false">$B$41*IF(Source_Data!X$5-($B$42+$B$44)&gt;=1,INDEX($D$47:$BK$47,1,Source_Data!X$5-($B$42+$B$44)),0)</f>
        <v>101.33693325</v>
      </c>
      <c r="Y48" s="33" t="n">
        <f aca="false">$B$41*IF(Source_Data!Y$5-($B$42+$B$44)&gt;=1,INDEX($D$47:$BK$47,1,Source_Data!Y$5-($B$42+$B$44)),0)</f>
        <v>80.40329325</v>
      </c>
      <c r="Z48" s="33" t="n">
        <f aca="false">$B$41*IF(Source_Data!Z$5-($B$42+$B$44)&gt;=1,INDEX($D$47:$BK$47,1,Source_Data!Z$5-($B$42+$B$44)),0)</f>
        <v>78.77288475</v>
      </c>
      <c r="AA48" s="33" t="n">
        <f aca="false">$B$41*IF(Source_Data!AA$5-($B$42+$B$44)&gt;=1,INDEX($D$47:$BK$47,1,Source_Data!AA$5-($B$42+$B$44)),0)</f>
        <v>77.14247625</v>
      </c>
      <c r="AB48" s="33" t="n">
        <f aca="false">$B$41*IF(Source_Data!AB$5-($B$42+$B$44)&gt;=1,INDEX($D$47:$BK$47,1,Source_Data!AB$5-($B$42+$B$44)),0)</f>
        <v>69.5515156875</v>
      </c>
      <c r="AC48" s="33" t="n">
        <f aca="false">$B$41*IF(Source_Data!AC$5-($B$42+$B$44)&gt;=1,INDEX($D$47:$BK$47,1,Source_Data!AC$5-($B$42+$B$44)),0)</f>
        <v>63.138072375</v>
      </c>
      <c r="AD48" s="33" t="n">
        <f aca="false">$B$41*IF(Source_Data!AD$5-($B$42+$B$44)&gt;=1,INDEX($D$47:$BK$47,1,Source_Data!AD$5-($B$42+$B$44)),0)</f>
        <v>55.204088625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45.941623875</v>
      </c>
      <c r="AG48" s="33" t="n">
        <f aca="false">$B$41*IF(Source_Data!AG$5-($B$42+$B$44)&gt;=1,INDEX($D$47:$BK$47,1,Source_Data!AG$5-($B$42+$B$44)),0)</f>
        <v>45.941623875</v>
      </c>
      <c r="AH48" s="33" t="n">
        <f aca="false">$B$41*IF(Source_Data!AH$5-($B$42+$B$44)&gt;=1,INDEX($D$47:$BK$47,1,Source_Data!AH$5-($B$42+$B$44)),0)</f>
        <v>45.941623875</v>
      </c>
      <c r="AI48" s="33" t="n">
        <f aca="false">$B$41*IF(Source_Data!AI$5-($B$42+$B$44)&gt;=1,INDEX($D$47:$BK$47,1,Source_Data!AI$5-($B$42+$B$44)),0)</f>
        <v>45.941623875</v>
      </c>
      <c r="AJ48" s="33" t="n">
        <f aca="false">$B$41*IF(Source_Data!AJ$5-($B$42+$B$44)&gt;=1,INDEX($D$47:$BK$47,1,Source_Data!AJ$5-($B$42+$B$44)),0)</f>
        <v>39.5382448125</v>
      </c>
      <c r="AK48" s="33" t="n">
        <f aca="false">$B$41*IF(Source_Data!AK$5-($B$42+$B$44)&gt;=1,INDEX($D$47:$BK$47,1,Source_Data!AK$5-($B$42+$B$44)),0)</f>
        <v>33.13486575</v>
      </c>
      <c r="AL48" s="33" t="n">
        <f aca="false">$B$41*IF(Source_Data!AL$5-($B$42+$B$44)&gt;=1,INDEX($D$47:$BK$47,1,Source_Data!AL$5-($B$42+$B$44)),0)</f>
        <v>29.6626995</v>
      </c>
      <c r="AM48" s="33" t="n">
        <f aca="false">$B$41*IF(Source_Data!AM$5-($B$42+$B$44)&gt;=1,INDEX($D$47:$BK$47,1,Source_Data!AM$5-($B$42+$B$44)),0)</f>
        <v>26.19053325</v>
      </c>
      <c r="AN48" s="33" t="n">
        <f aca="false">$B$41*IF(Source_Data!AN$5-($B$42+$B$44)&gt;=1,INDEX($D$47:$BK$47,1,Source_Data!AN$5-($B$42+$B$44)),0)</f>
        <v>20.59481025</v>
      </c>
      <c r="AO48" s="33" t="n">
        <f aca="false">$B$41*IF(Source_Data!AO$5-($B$42+$B$44)&gt;=1,INDEX($D$47:$BK$47,1,Source_Data!AO$5-($B$42+$B$44)),0)</f>
        <v>17.35412175</v>
      </c>
      <c r="AP48" s="33" t="n">
        <f aca="false">$B$41*IF(Source_Data!AP$5-($B$42+$B$44)&gt;=1,INDEX($D$47:$BK$47,1,Source_Data!AP$5-($B$42+$B$44)),0)</f>
        <v>15.123213</v>
      </c>
      <c r="AQ48" s="33" t="n">
        <f aca="false">$B$41*IF(Source_Data!AQ$5-($B$42+$B$44)&gt;=1,INDEX($D$47:$BK$47,1,Source_Data!AQ$5-($B$42+$B$44)),0)</f>
        <v>6.521634</v>
      </c>
      <c r="AR48" s="33" t="n">
        <f aca="false">$B$41*IF(Source_Data!AR$5-($B$42+$B$44)&gt;=1,INDEX($D$47:$BK$47,1,Source_Data!AR$5-($B$42+$B$44)),0)</f>
        <v>6.521634</v>
      </c>
      <c r="AS48" s="33" t="n">
        <f aca="false">$B$41*IF(Source_Data!AS$5-($B$42+$B$44)&gt;=1,INDEX($D$47:$BK$47,1,Source_Data!AS$5-($B$42+$B$44)),0)</f>
        <v>6.521634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339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194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196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0</v>
      </c>
      <c r="O51" s="33" t="n">
        <f aca="false">$B$41*IF(Source_Data!O$5-$B$42&gt;=1,INDEX(Source_Data!$D$12:$BK$12,1,Source_Data!O$5-$B$42),0)</f>
        <v>0</v>
      </c>
      <c r="P51" s="33" t="n">
        <f aca="false">$B$41*IF(Source_Data!P$5-$B$42&gt;=1,INDEX(Source_Data!$D$12:$BK$12,1,Source_Data!P$5-$B$42),0)</f>
        <v>13.043268</v>
      </c>
      <c r="Q51" s="33" t="n">
        <f aca="false">$B$41*IF(Source_Data!Q$5-$B$42&gt;=1,INDEX(Source_Data!$D$12:$BK$12,1,Source_Data!Q$5-$B$42),0)</f>
        <v>13.043268</v>
      </c>
      <c r="R51" s="33" t="n">
        <f aca="false">$B$41*IF(Source_Data!R$5-$B$42&gt;=1,INDEX(Source_Data!$D$12:$BK$12,1,Source_Data!R$5-$B$42),0)</f>
        <v>11.191446</v>
      </c>
      <c r="S51" s="33" t="n">
        <f aca="false">$B$41*IF(Source_Data!S$5-$B$42&gt;=1,INDEX(Source_Data!$D$12:$BK$12,1,Source_Data!S$5-$B$42),0)</f>
        <v>6.481377</v>
      </c>
      <c r="T51" s="33" t="n">
        <f aca="false">$B$41*IF(Source_Data!T$5-$B$42&gt;=1,INDEX(Source_Data!$D$12:$BK$12,1,Source_Data!T$5-$B$42),0)</f>
        <v>7.138908</v>
      </c>
      <c r="U51" s="33" t="n">
        <f aca="false">$B$41*IF(Source_Data!U$5-$B$42&gt;=1,INDEX(Source_Data!$D$12:$BK$12,1,Source_Data!U$5-$B$42),0)</f>
        <v>6.655824</v>
      </c>
      <c r="V51" s="33" t="n">
        <f aca="false">$B$41*IF(Source_Data!V$5-$B$42&gt;=1,INDEX(Source_Data!$D$12:$BK$12,1,Source_Data!V$5-$B$42),0)</f>
        <v>6.790014</v>
      </c>
      <c r="W51" s="33" t="n">
        <f aca="false">$B$41*IF(Source_Data!W$5-$B$42&gt;=1,INDEX(Source_Data!$D$12:$BK$12,1,Source_Data!W$5-$B$42),0)</f>
        <v>6.790014</v>
      </c>
      <c r="X51" s="33" t="n">
        <f aca="false">$B$41*IF(Source_Data!X$5-$B$42&gt;=1,INDEX(Source_Data!$D$12:$BK$12,1,Source_Data!X$5-$B$42),0)</f>
        <v>7.407288</v>
      </c>
      <c r="Y51" s="33" t="n">
        <f aca="false">$B$41*IF(Source_Data!Y$5-$B$42&gt;=1,INDEX(Source_Data!$D$12:$BK$12,1,Source_Data!Y$5-$B$42),0)</f>
        <v>7.407288</v>
      </c>
      <c r="Z51" s="33" t="n">
        <f aca="false">$B$41*IF(Source_Data!Z$5-$B$42&gt;=1,INDEX(Source_Data!$D$12:$BK$12,1,Source_Data!Z$5-$B$42),0)</f>
        <v>5.152896</v>
      </c>
      <c r="AA51" s="33" t="n">
        <f aca="false">$B$41*IF(Source_Data!AA$5-$B$42&gt;=1,INDEX(Source_Data!$D$12:$BK$12,1,Source_Data!AA$5-$B$42),0)</f>
        <v>5.152896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215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216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-22.5</v>
      </c>
      <c r="I53" s="33" t="n">
        <f aca="false">I48-I49-I50-I51-I52</f>
        <v>-22.5</v>
      </c>
      <c r="J53" s="33" t="n">
        <f aca="false">J48-J49-J50-J51-J52</f>
        <v>-45.5</v>
      </c>
      <c r="K53" s="33" t="n">
        <f aca="false">K48-K49-K50-K51-K52</f>
        <v>-52.86</v>
      </c>
      <c r="L53" s="33" t="n">
        <f aca="false">L48-L49-L50-L51-L52</f>
        <v>-74.695915</v>
      </c>
      <c r="M53" s="33" t="n">
        <f aca="false">M48-M49-M50-M51-M52</f>
        <v>-42.75183</v>
      </c>
      <c r="N53" s="33" t="n">
        <f aca="false">N48-N49-N50-N51-N52</f>
        <v>-22.9252575</v>
      </c>
      <c r="O53" s="33" t="n">
        <f aca="false">O48-O49-O50-O51-O52</f>
        <v>-13.243449</v>
      </c>
      <c r="P53" s="33" t="n">
        <f aca="false">P48-P49-P50-P51-P52</f>
        <v>-14.9864775</v>
      </c>
      <c r="Q53" s="33" t="n">
        <f aca="false">Q48-Q49-Q50-Q51-Q52</f>
        <v>-9.68932724999999</v>
      </c>
      <c r="R53" s="33" t="n">
        <f aca="false">R48-R49-R50-R51-R52</f>
        <v>-125.4574965</v>
      </c>
      <c r="S53" s="33" t="n">
        <f aca="false">S48-S49-S50-S51-S52</f>
        <v>-105.6846</v>
      </c>
      <c r="T53" s="33" t="n">
        <f aca="false">T48-T49-T50-T51-T52</f>
        <v>-137.011715375</v>
      </c>
      <c r="U53" s="33" t="n">
        <f aca="false">U48-U49-U50-U51-U52</f>
        <v>-73.79821575</v>
      </c>
      <c r="V53" s="33" t="n">
        <f aca="false">V48-V49-V50-V51-V52</f>
        <v>562.99140675</v>
      </c>
      <c r="W53" s="33" t="n">
        <f aca="false">W48-W49-W50-W51-W52</f>
        <v>102.68615925</v>
      </c>
      <c r="X53" s="33" t="n">
        <f aca="false">X48-X49-X50-X51-X52</f>
        <v>71.4296452499999</v>
      </c>
      <c r="Y53" s="33" t="n">
        <f aca="false">Y48-Y49-Y50-Y51-Y52</f>
        <v>50.49600525</v>
      </c>
      <c r="Z53" s="33" t="n">
        <f aca="false">Z48-Z49-Z50-Z51-Z52</f>
        <v>51.11998875</v>
      </c>
      <c r="AA53" s="33" t="n">
        <f aca="false">AA48-AA49-AA50-AA51-AA52</f>
        <v>49.48958025</v>
      </c>
      <c r="AB53" s="33" t="n">
        <f aca="false">AB48-AB49-AB50-AB51-AB52</f>
        <v>69.5515156875</v>
      </c>
      <c r="AC53" s="33" t="n">
        <f aca="false">AC48-AC49-AC50-AC51-AC52</f>
        <v>63.138072375</v>
      </c>
      <c r="AD53" s="33" t="n">
        <f aca="false">AD48-AD49-AD50-AD51-AD52</f>
        <v>55.204088625</v>
      </c>
      <c r="AE53" s="33" t="n">
        <f aca="false">AE48-AE49-AE50-AE51-AE52</f>
        <v>45.941623875</v>
      </c>
      <c r="AF53" s="33" t="n">
        <f aca="false">AF48-AF49-AF50-AF51-AF52</f>
        <v>-107.016096569009</v>
      </c>
      <c r="AG53" s="33" t="n">
        <f aca="false">AG48-AG49-AG50-AG51-AG52</f>
        <v>35.7268215532487</v>
      </c>
      <c r="AH53" s="33" t="n">
        <f aca="false">AH48-AH49-AH50-AH51-AH52</f>
        <v>36.7972194881492</v>
      </c>
      <c r="AI53" s="33" t="n">
        <f aca="false">AI48-AI49-AI50-AI51-AI52</f>
        <v>37.8676174230498</v>
      </c>
      <c r="AJ53" s="33" t="n">
        <f aca="false">AJ48-AJ49-AJ50-AJ51-AJ52</f>
        <v>33.1892854672301</v>
      </c>
      <c r="AK53" s="33" t="n">
        <f aca="false">AK48-AK49-AK50-AK51-AK52</f>
        <v>27.7849444773039</v>
      </c>
      <c r="AL53" s="33" t="n">
        <f aca="false">AL48-AL49-AL50-AL51-AL52</f>
        <v>25.0005218279888</v>
      </c>
      <c r="AM53" s="33" t="n">
        <f aca="false">AM48-AM49-AM50-AM51-AM52</f>
        <v>24.1800466940129</v>
      </c>
      <c r="AN53" s="33" t="n">
        <f aca="false">AN48-AN49-AN50-AN51-AN52</f>
        <v>18.5843236940129</v>
      </c>
      <c r="AO53" s="33" t="n">
        <f aca="false">AO48-AO49-AO50-AO51-AO52</f>
        <v>15.3436351940129</v>
      </c>
      <c r="AP53" s="33" t="n">
        <f aca="false">AP48-AP49-AP50-AP51-AP52</f>
        <v>15.123213</v>
      </c>
      <c r="AQ53" s="33" t="n">
        <f aca="false">AQ48-AQ49-AQ50-AQ51-AQ52</f>
        <v>6.521634</v>
      </c>
      <c r="AR53" s="33" t="n">
        <f aca="false">AR48-AR49-AR50-AR51-AR52</f>
        <v>6.521634</v>
      </c>
      <c r="AS53" s="33" t="n">
        <f aca="false">AS48-AS49-AS50-AS51-AS52</f>
        <v>6.521634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217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-107.5</v>
      </c>
      <c r="I54" s="33" t="n">
        <f aca="false">H54+I53</f>
        <v>-130</v>
      </c>
      <c r="J54" s="33" t="n">
        <f aca="false">I54+J53</f>
        <v>-175.5</v>
      </c>
      <c r="K54" s="33" t="n">
        <f aca="false">J54+K53</f>
        <v>-228.36</v>
      </c>
      <c r="L54" s="33" t="n">
        <f aca="false">K54+L53</f>
        <v>-303.055915</v>
      </c>
      <c r="M54" s="33" t="n">
        <f aca="false">L54+M53</f>
        <v>-345.807745</v>
      </c>
      <c r="N54" s="33" t="n">
        <f aca="false">M54+N53</f>
        <v>-368.7330025</v>
      </c>
      <c r="O54" s="33" t="n">
        <f aca="false">N54+O53</f>
        <v>-381.9764515</v>
      </c>
      <c r="P54" s="33" t="n">
        <f aca="false">O54+P53</f>
        <v>-396.962929</v>
      </c>
      <c r="Q54" s="33" t="n">
        <f aca="false">P54+Q53</f>
        <v>-406.65225625</v>
      </c>
      <c r="R54" s="33" t="n">
        <f aca="false">Q54+R53</f>
        <v>-532.10975275</v>
      </c>
      <c r="S54" s="33" t="n">
        <f aca="false">R54+S53</f>
        <v>-637.79435275</v>
      </c>
      <c r="T54" s="33" t="n">
        <f aca="false">S54+T53</f>
        <v>-774.806068125</v>
      </c>
      <c r="U54" s="33" t="n">
        <f aca="false">T54+U53</f>
        <v>-848.604283875</v>
      </c>
      <c r="V54" s="33" t="n">
        <f aca="false">U54+V53</f>
        <v>-285.612877125</v>
      </c>
      <c r="W54" s="33" t="n">
        <f aca="false">V54+W53</f>
        <v>-182.926717875</v>
      </c>
      <c r="X54" s="33" t="n">
        <f aca="false">W54+X53</f>
        <v>-111.497072625001</v>
      </c>
      <c r="Y54" s="33" t="n">
        <f aca="false">X54+Y53</f>
        <v>-61.0010673750005</v>
      </c>
      <c r="Z54" s="33" t="n">
        <f aca="false">Y54+Z53</f>
        <v>-9.88107862500056</v>
      </c>
      <c r="AA54" s="33" t="n">
        <f aca="false">Z54+AA53</f>
        <v>39.6085016249994</v>
      </c>
      <c r="AB54" s="33" t="n">
        <f aca="false">AA54+AB53</f>
        <v>109.160017312499</v>
      </c>
      <c r="AC54" s="33" t="n">
        <f aca="false">AB54+AC53</f>
        <v>172.298089687499</v>
      </c>
      <c r="AD54" s="33" t="n">
        <f aca="false">AC54+AD53</f>
        <v>227.502178312499</v>
      </c>
      <c r="AE54" s="33" t="n">
        <f aca="false">AD54+AE53</f>
        <v>273.443802187499</v>
      </c>
      <c r="AF54" s="33" t="n">
        <f aca="false">AE54+AF53</f>
        <v>166.42770561849</v>
      </c>
      <c r="AG54" s="33" t="n">
        <f aca="false">AF54+AG53</f>
        <v>202.154527171739</v>
      </c>
      <c r="AH54" s="33" t="n">
        <f aca="false">AG54+AH53</f>
        <v>238.951746659888</v>
      </c>
      <c r="AI54" s="33" t="n">
        <f aca="false">AH54+AI53</f>
        <v>276.819364082938</v>
      </c>
      <c r="AJ54" s="33" t="n">
        <f aca="false">AI54+AJ53</f>
        <v>310.008649550168</v>
      </c>
      <c r="AK54" s="33" t="n">
        <f aca="false">AJ54+AK53</f>
        <v>337.793594027472</v>
      </c>
      <c r="AL54" s="33" t="n">
        <f aca="false">AK54+AL53</f>
        <v>362.794115855461</v>
      </c>
      <c r="AM54" s="33" t="n">
        <f aca="false">AL54+AM53</f>
        <v>386.974162549474</v>
      </c>
      <c r="AN54" s="33" t="n">
        <f aca="false">AM54+AN53</f>
        <v>405.558486243486</v>
      </c>
      <c r="AO54" s="33" t="n">
        <f aca="false">AN54+AO53</f>
        <v>420.902121437499</v>
      </c>
      <c r="AP54" s="33" t="n">
        <f aca="false">AO54+AP53</f>
        <v>436.025334437499</v>
      </c>
      <c r="AQ54" s="33" t="n">
        <f aca="false">AP54+AQ53</f>
        <v>442.546968437499</v>
      </c>
      <c r="AR54" s="33" t="n">
        <f aca="false">AQ54+AR53</f>
        <v>449.068602437499</v>
      </c>
      <c r="AS54" s="33" t="n">
        <f aca="false">AR54+AS53</f>
        <v>455.590236437499</v>
      </c>
      <c r="AT54" s="33" t="n">
        <f aca="false">AS54+AT53</f>
        <v>455.590236437499</v>
      </c>
      <c r="AU54" s="33" t="n">
        <f aca="false">AT54+AU53</f>
        <v>455.590236437499</v>
      </c>
      <c r="AV54" s="33" t="n">
        <f aca="false">AU54+AV53</f>
        <v>455.590236437499</v>
      </c>
      <c r="AW54" s="33" t="n">
        <f aca="false">AV54+AW53</f>
        <v>455.590236437499</v>
      </c>
      <c r="AX54" s="33" t="n">
        <f aca="false">AW54+AX53</f>
        <v>455.590236437499</v>
      </c>
      <c r="AY54" s="33" t="n">
        <f aca="false">AX54+AY53</f>
        <v>455.590236437499</v>
      </c>
      <c r="AZ54" s="33" t="n">
        <f aca="false">AY54+AZ53</f>
        <v>455.590236437499</v>
      </c>
      <c r="BA54" s="33" t="n">
        <f aca="false">AZ54+BA53</f>
        <v>455.590236437499</v>
      </c>
      <c r="BB54" s="33" t="n">
        <f aca="false">BA54+BB53</f>
        <v>455.590236437499</v>
      </c>
      <c r="BC54" s="33" t="n">
        <f aca="false">BB54+BC53</f>
        <v>455.590236437499</v>
      </c>
      <c r="BD54" s="33" t="n">
        <f aca="false">BC54+BD53</f>
        <v>455.590236437499</v>
      </c>
      <c r="BE54" s="33" t="n">
        <f aca="false">BD54+BE53</f>
        <v>455.590236437499</v>
      </c>
      <c r="BF54" s="33" t="n">
        <f aca="false">BE54+BF53</f>
        <v>455.590236437499</v>
      </c>
      <c r="BG54" s="33" t="n">
        <f aca="false">BF54+BG53</f>
        <v>455.590236437499</v>
      </c>
      <c r="BH54" s="33" t="n">
        <f aca="false">BG54+BH53</f>
        <v>455.590236437499</v>
      </c>
      <c r="BI54" s="33" t="n">
        <f aca="false">BH54+BI53</f>
        <v>455.590236437499</v>
      </c>
      <c r="BJ54" s="33" t="n">
        <f aca="false">BI54+BJ53</f>
        <v>455.590236437499</v>
      </c>
      <c r="BK54" s="33" t="n">
        <f aca="false">BJ54+BK53</f>
        <v>455.590236437499</v>
      </c>
    </row>
    <row r="55" customFormat="false" ht="15" hidden="false" customHeight="false" outlineLevel="0" collapsed="false">
      <c r="A55" s="3" t="s">
        <v>340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-50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32.3333333333333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32.3333333333333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32.3333333333333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32.3333333333333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341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9.58333333333333</v>
      </c>
      <c r="Q56" s="33" t="n">
        <f aca="false">IF(AND(Source_Data!Q$6&gt;=Inputs!$B$54,Source_Data!Q$6&lt;Inputs!$B$54+3*Inputs!$B$11),Inputs!$B$9*Inputs!$B$7/Inputs!$B$11,0)</f>
        <v>9.58333333333333</v>
      </c>
      <c r="R56" s="33" t="n">
        <f aca="false">IF(AND(Source_Data!R$6&gt;=Inputs!$B$54,Source_Data!R$6&lt;Inputs!$B$54+3*Inputs!$B$11),Inputs!$B$9*Inputs!$B$7/Inputs!$B$11,0)</f>
        <v>9.58333333333333</v>
      </c>
      <c r="S56" s="33" t="n">
        <f aca="false">IF(AND(Source_Data!S$6&gt;=Inputs!$B$54,Source_Data!S$6&lt;Inputs!$B$54+3*Inputs!$B$11),Inputs!$B$9*Inputs!$B$7/Inputs!$B$11,0)</f>
        <v>9.58333333333333</v>
      </c>
      <c r="T56" s="33" t="n">
        <f aca="false">IF(AND(Source_Data!T$6&gt;=Inputs!$B$54,Source_Data!T$6&lt;Inputs!$B$54+3*Inputs!$B$11),Inputs!$B$9*Inputs!$B$7/Inputs!$B$11,0)</f>
        <v>9.58333333333333</v>
      </c>
      <c r="U56" s="33" t="n">
        <f aca="false">IF(AND(Source_Data!U$6&gt;=Inputs!$B$54,Source_Data!U$6&lt;Inputs!$B$54+3*Inputs!$B$11),Inputs!$B$9*Inputs!$B$7/Inputs!$B$11,0)</f>
        <v>9.58333333333333</v>
      </c>
      <c r="V56" s="33" t="n">
        <f aca="false">IF(AND(Source_Data!V$6&gt;=Inputs!$B$54,Source_Data!V$6&lt;Inputs!$B$54+3*Inputs!$B$11),Inputs!$B$9*Inputs!$B$7/Inputs!$B$11,0)</f>
        <v>9.58333333333333</v>
      </c>
      <c r="W56" s="33" t="n">
        <f aca="false">IF(AND(Source_Data!W$6&gt;=Inputs!$B$54,Source_Data!W$6&lt;Inputs!$B$54+3*Inputs!$B$11),Inputs!$B$9*Inputs!$B$7/Inputs!$B$11,0)</f>
        <v>9.58333333333333</v>
      </c>
      <c r="X56" s="33" t="n">
        <f aca="false">IF(AND(Source_Data!X$6&gt;=Inputs!$B$54,Source_Data!X$6&lt;Inputs!$B$54+3*Inputs!$B$11),Inputs!$B$9*Inputs!$B$7/Inputs!$B$11,0)</f>
        <v>9.58333333333333</v>
      </c>
      <c r="Y56" s="33" t="n">
        <f aca="false">IF(AND(Source_Data!Y$6&gt;=Inputs!$B$54,Source_Data!Y$6&lt;Inputs!$B$54+3*Inputs!$B$11),Inputs!$B$9*Inputs!$B$7/Inputs!$B$11,0)</f>
        <v>9.58333333333333</v>
      </c>
      <c r="Z56" s="33" t="n">
        <f aca="false">IF(AND(Source_Data!Z$6&gt;=Inputs!$B$54,Source_Data!Z$6&lt;Inputs!$B$54+3*Inputs!$B$11),Inputs!$B$9*Inputs!$B$7/Inputs!$B$11,0)</f>
        <v>9.58333333333333</v>
      </c>
      <c r="AA56" s="33" t="n">
        <f aca="false">IF(AND(Source_Data!AA$6&gt;=Inputs!$B$54,Source_Data!AA$6&lt;Inputs!$B$54+3*Inputs!$B$11),Inputs!$B$9*Inputs!$B$7/Inputs!$B$11,0)</f>
        <v>9.58333333333333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342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-50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9.58333333333333</v>
      </c>
      <c r="Q57" s="33" t="n">
        <f aca="false">IF(Source_Data!Q$6=Inputs!$B$12,-Inputs!$B$7,0)+Q56</f>
        <v>9.58333333333333</v>
      </c>
      <c r="R57" s="33" t="n">
        <f aca="false">IF(Source_Data!R$6=Inputs!$B$12,-Inputs!$B$7,0)+R56</f>
        <v>9.58333333333333</v>
      </c>
      <c r="S57" s="33" t="n">
        <f aca="false">IF(Source_Data!S$6=Inputs!$B$12,-Inputs!$B$7,0)+S56</f>
        <v>9.58333333333333</v>
      </c>
      <c r="T57" s="33" t="n">
        <f aca="false">IF(Source_Data!T$6=Inputs!$B$12,-Inputs!$B$7,0)+T56</f>
        <v>9.58333333333333</v>
      </c>
      <c r="U57" s="33" t="n">
        <f aca="false">IF(Source_Data!U$6=Inputs!$B$12,-Inputs!$B$7,0)+U56</f>
        <v>9.58333333333333</v>
      </c>
      <c r="V57" s="33" t="n">
        <f aca="false">IF(Source_Data!V$6=Inputs!$B$12,-Inputs!$B$7,0)+V56</f>
        <v>9.58333333333333</v>
      </c>
      <c r="W57" s="33" t="n">
        <f aca="false">IF(Source_Data!W$6=Inputs!$B$12,-Inputs!$B$7,0)+W56</f>
        <v>9.58333333333333</v>
      </c>
      <c r="X57" s="33" t="n">
        <f aca="false">IF(Source_Data!X$6=Inputs!$B$12,-Inputs!$B$7,0)+X56</f>
        <v>9.58333333333333</v>
      </c>
      <c r="Y57" s="33" t="n">
        <f aca="false">IF(Source_Data!Y$6=Inputs!$B$12,-Inputs!$B$7,0)+Y56</f>
        <v>9.58333333333333</v>
      </c>
      <c r="Z57" s="33" t="n">
        <f aca="false">IF(Source_Data!Z$6=Inputs!$B$12,-Inputs!$B$7,0)+Z56</f>
        <v>9.58333333333333</v>
      </c>
      <c r="AA57" s="33" t="n">
        <f aca="false">IF(Source_Data!AA$6=Inputs!$B$12,-Inputs!$B$7,0)+AA56</f>
        <v>9.58333333333333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343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-35</v>
      </c>
      <c r="H58" s="33" t="n">
        <f aca="false">G58+IF(Source_Data!H$6=Inputs!$B$12,Inputs!$B$7,0)+H53-H56</f>
        <v>-57.5</v>
      </c>
      <c r="I58" s="33" t="n">
        <f aca="false">H58+IF(Source_Data!I$6=Inputs!$B$12,Inputs!$B$7,0)+I53-I56</f>
        <v>-80</v>
      </c>
      <c r="J58" s="33" t="n">
        <f aca="false">I58+IF(Source_Data!J$6=Inputs!$B$12,Inputs!$B$7,0)+J53-J56</f>
        <v>-125.5</v>
      </c>
      <c r="K58" s="33" t="n">
        <f aca="false">J58+IF(Source_Data!K$6=Inputs!$B$12,Inputs!$B$7,0)+K53-K56</f>
        <v>-178.36</v>
      </c>
      <c r="L58" s="33" t="n">
        <f aca="false">K58+IF(Source_Data!L$6=Inputs!$B$12,Inputs!$B$7,0)+L53-L56</f>
        <v>-253.055915</v>
      </c>
      <c r="M58" s="33" t="n">
        <f aca="false">L58+IF(Source_Data!M$6=Inputs!$B$12,Inputs!$B$7,0)+M53-M56</f>
        <v>-295.807745</v>
      </c>
      <c r="N58" s="33" t="n">
        <f aca="false">M58+IF(Source_Data!N$6=Inputs!$B$12,Inputs!$B$7,0)+N53-N56</f>
        <v>-318.7330025</v>
      </c>
      <c r="O58" s="33" t="n">
        <f aca="false">N58+IF(Source_Data!O$6=Inputs!$B$12,Inputs!$B$7,0)+O53-O56</f>
        <v>-331.9764515</v>
      </c>
      <c r="P58" s="33" t="n">
        <f aca="false">O58+IF(Source_Data!P$6=Inputs!$B$12,Inputs!$B$7,0)+P53-P56</f>
        <v>-356.546262333333</v>
      </c>
      <c r="Q58" s="33" t="n">
        <f aca="false">P58+IF(Source_Data!Q$6=Inputs!$B$12,Inputs!$B$7,0)+Q53-Q56</f>
        <v>-375.818922916667</v>
      </c>
      <c r="R58" s="33" t="n">
        <f aca="false">Q58+IF(Source_Data!R$6=Inputs!$B$12,Inputs!$B$7,0)+R53-R56</f>
        <v>-510.85975275</v>
      </c>
      <c r="S58" s="33" t="n">
        <f aca="false">R58+IF(Source_Data!S$6=Inputs!$B$12,Inputs!$B$7,0)+S53-S56</f>
        <v>-626.127686083333</v>
      </c>
      <c r="T58" s="33" t="n">
        <f aca="false">S58+IF(Source_Data!T$6=Inputs!$B$12,Inputs!$B$7,0)+T53-T56</f>
        <v>-772.722734791667</v>
      </c>
      <c r="U58" s="33" t="n">
        <f aca="false">T58+IF(Source_Data!U$6=Inputs!$B$12,Inputs!$B$7,0)+U53-U56</f>
        <v>-856.104283875</v>
      </c>
      <c r="V58" s="33" t="n">
        <f aca="false">U58+IF(Source_Data!V$6=Inputs!$B$12,Inputs!$B$7,0)+V53-V56</f>
        <v>-302.696210458334</v>
      </c>
      <c r="W58" s="33" t="n">
        <f aca="false">V58+IF(Source_Data!W$6=Inputs!$B$12,Inputs!$B$7,0)+W53-W56</f>
        <v>-209.593384541667</v>
      </c>
      <c r="X58" s="33" t="n">
        <f aca="false">W58+IF(Source_Data!X$6=Inputs!$B$12,Inputs!$B$7,0)+X53-X56</f>
        <v>-147.747072625</v>
      </c>
      <c r="Y58" s="33" t="n">
        <f aca="false">X58+IF(Source_Data!Y$6=Inputs!$B$12,Inputs!$B$7,0)+Y53-Y56</f>
        <v>-106.834400708334</v>
      </c>
      <c r="Z58" s="33" t="n">
        <f aca="false">Y58+IF(Source_Data!Z$6=Inputs!$B$12,Inputs!$B$7,0)+Z53-Z56</f>
        <v>-65.2977452916671</v>
      </c>
      <c r="AA58" s="33" t="n">
        <f aca="false">Z58+IF(Source_Data!AA$6=Inputs!$B$12,Inputs!$B$7,0)+AA53-AA56</f>
        <v>-25.3914983750005</v>
      </c>
      <c r="AB58" s="33" t="n">
        <f aca="false">AA58+IF(Source_Data!AB$6=Inputs!$B$12,Inputs!$B$7,0)+AB53-AB56</f>
        <v>44.1600173124996</v>
      </c>
      <c r="AC58" s="33" t="n">
        <f aca="false">AB58+IF(Source_Data!AC$6=Inputs!$B$12,Inputs!$B$7,0)+AC53-AC56</f>
        <v>107.2980896875</v>
      </c>
      <c r="AD58" s="33" t="n">
        <f aca="false">AC58+IF(Source_Data!AD$6=Inputs!$B$12,Inputs!$B$7,0)+AD53-AD56</f>
        <v>162.5021783125</v>
      </c>
      <c r="AE58" s="33" t="n">
        <f aca="false">AD58+IF(Source_Data!AE$6=Inputs!$B$12,Inputs!$B$7,0)+AE53-AE56</f>
        <v>208.4438021875</v>
      </c>
      <c r="AF58" s="33" t="n">
        <f aca="false">AE58+IF(Source_Data!AF$6=Inputs!$B$12,Inputs!$B$7,0)+AF53-AF56</f>
        <v>101.42770561849</v>
      </c>
      <c r="AG58" s="33" t="n">
        <f aca="false">AF58+IF(Source_Data!AG$6=Inputs!$B$12,Inputs!$B$7,0)+AG53-AG56</f>
        <v>137.154527171739</v>
      </c>
      <c r="AH58" s="33" t="n">
        <f aca="false">AG58+IF(Source_Data!AH$6=Inputs!$B$12,Inputs!$B$7,0)+AH53-AH56</f>
        <v>173.951746659888</v>
      </c>
      <c r="AI58" s="33" t="n">
        <f aca="false">AH58+IF(Source_Data!AI$6=Inputs!$B$12,Inputs!$B$7,0)+AI53-AI56</f>
        <v>211.819364082938</v>
      </c>
      <c r="AJ58" s="33" t="n">
        <f aca="false">AI58+IF(Source_Data!AJ$6=Inputs!$B$12,Inputs!$B$7,0)+AJ53-AJ56</f>
        <v>245.008649550168</v>
      </c>
      <c r="AK58" s="33" t="n">
        <f aca="false">AJ58+IF(Source_Data!AK$6=Inputs!$B$12,Inputs!$B$7,0)+AK53-AK56</f>
        <v>272.793594027472</v>
      </c>
      <c r="AL58" s="33" t="n">
        <f aca="false">AK58+IF(Source_Data!AL$6=Inputs!$B$12,Inputs!$B$7,0)+AL53-AL56</f>
        <v>297.794115855461</v>
      </c>
      <c r="AM58" s="33" t="n">
        <f aca="false">AL58+IF(Source_Data!AM$6=Inputs!$B$12,Inputs!$B$7,0)+AM53-AM56</f>
        <v>321.974162549474</v>
      </c>
      <c r="AN58" s="33" t="n">
        <f aca="false">AM58+IF(Source_Data!AN$6=Inputs!$B$12,Inputs!$B$7,0)+AN53-AN56</f>
        <v>340.558486243487</v>
      </c>
      <c r="AO58" s="33" t="n">
        <f aca="false">AN58+IF(Source_Data!AO$6=Inputs!$B$12,Inputs!$B$7,0)+AO53-AO56</f>
        <v>355.9021214375</v>
      </c>
      <c r="AP58" s="33" t="n">
        <f aca="false">AO58+IF(Source_Data!AP$6=Inputs!$B$12,Inputs!$B$7,0)+AP53-AP56</f>
        <v>371.0253344375</v>
      </c>
      <c r="AQ58" s="33" t="n">
        <f aca="false">AP58+IF(Source_Data!AQ$6=Inputs!$B$12,Inputs!$B$7,0)+AQ53-AQ56</f>
        <v>377.5469684375</v>
      </c>
      <c r="AR58" s="33" t="n">
        <f aca="false">AQ58+IF(Source_Data!AR$6=Inputs!$B$12,Inputs!$B$7,0)+AR53-AR56</f>
        <v>384.0686024375</v>
      </c>
      <c r="AS58" s="33" t="n">
        <f aca="false">AR58+IF(Source_Data!AS$6=Inputs!$B$12,Inputs!$B$7,0)+AS53-AS56</f>
        <v>390.5902364375</v>
      </c>
      <c r="AT58" s="33" t="n">
        <f aca="false">AS58+IF(Source_Data!AT$6=Inputs!$B$12,Inputs!$B$7,0)+AT53-AT56</f>
        <v>390.5902364375</v>
      </c>
      <c r="AU58" s="33" t="n">
        <f aca="false">AT58+IF(Source_Data!AU$6=Inputs!$B$12,Inputs!$B$7,0)+AU53-AU56</f>
        <v>390.5902364375</v>
      </c>
      <c r="AV58" s="33" t="n">
        <f aca="false">AU58+IF(Source_Data!AV$6=Inputs!$B$12,Inputs!$B$7,0)+AV53-AV56</f>
        <v>390.5902364375</v>
      </c>
      <c r="AW58" s="33" t="n">
        <f aca="false">AV58+IF(Source_Data!AW$6=Inputs!$B$12,Inputs!$B$7,0)+AW53-AW56</f>
        <v>390.5902364375</v>
      </c>
      <c r="AX58" s="33" t="n">
        <f aca="false">AW58+IF(Source_Data!AX$6=Inputs!$B$12,Inputs!$B$7,0)+AX53-AX56</f>
        <v>390.5902364375</v>
      </c>
      <c r="AY58" s="33" t="n">
        <f aca="false">AX58+IF(Source_Data!AY$6=Inputs!$B$12,Inputs!$B$7,0)+AY53-AY56</f>
        <v>390.5902364375</v>
      </c>
      <c r="AZ58" s="33" t="n">
        <f aca="false">AY58+IF(Source_Data!AZ$6=Inputs!$B$12,Inputs!$B$7,0)+AZ53-AZ56</f>
        <v>390.5902364375</v>
      </c>
      <c r="BA58" s="33" t="n">
        <f aca="false">AZ58+IF(Source_Data!BA$6=Inputs!$B$12,Inputs!$B$7,0)+BA53-BA56</f>
        <v>390.5902364375</v>
      </c>
      <c r="BB58" s="33" t="n">
        <f aca="false">BA58+IF(Source_Data!BB$6=Inputs!$B$12,Inputs!$B$7,0)+BB53-BB56</f>
        <v>390.5902364375</v>
      </c>
      <c r="BC58" s="33" t="n">
        <f aca="false">BB58+IF(Source_Data!BC$6=Inputs!$B$12,Inputs!$B$7,0)+BC53-BC56</f>
        <v>390.5902364375</v>
      </c>
      <c r="BD58" s="33" t="n">
        <f aca="false">BC58+IF(Source_Data!BD$6=Inputs!$B$12,Inputs!$B$7,0)+BD53-BD56</f>
        <v>390.5902364375</v>
      </c>
      <c r="BE58" s="33" t="n">
        <f aca="false">BD58+IF(Source_Data!BE$6=Inputs!$B$12,Inputs!$B$7,0)+BE53-BE56</f>
        <v>390.5902364375</v>
      </c>
      <c r="BF58" s="33" t="n">
        <f aca="false">BE58+IF(Source_Data!BF$6=Inputs!$B$12,Inputs!$B$7,0)+BF53-BF56</f>
        <v>390.5902364375</v>
      </c>
      <c r="BG58" s="33" t="n">
        <f aca="false">BF58+IF(Source_Data!BG$6=Inputs!$B$12,Inputs!$B$7,0)+BG53-BG56</f>
        <v>390.5902364375</v>
      </c>
      <c r="BH58" s="33" t="n">
        <f aca="false">BG58+IF(Source_Data!BH$6=Inputs!$B$12,Inputs!$B$7,0)+BH53-BH56</f>
        <v>390.5902364375</v>
      </c>
      <c r="BI58" s="33" t="n">
        <f aca="false">BH58+IF(Source_Data!BI$6=Inputs!$B$12,Inputs!$B$7,0)+BI53-BI56</f>
        <v>390.5902364375</v>
      </c>
      <c r="BJ58" s="33" t="n">
        <f aca="false">BI58+IF(Source_Data!BJ$6=Inputs!$B$12,Inputs!$B$7,0)+BJ53-BJ56</f>
        <v>390.5902364375</v>
      </c>
      <c r="BK58" s="33" t="n">
        <f aca="false">BJ58+IF(Source_Data!BK$6=Inputs!$B$12,Inputs!$B$7,0)+BK53-BK56</f>
        <v>390.5902364375</v>
      </c>
    </row>
    <row r="59" customFormat="false" ht="15" hidden="false" customHeight="false" outlineLevel="0" collapsed="false">
      <c r="A59" s="3" t="s">
        <v>344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-1.56380634782609</v>
      </c>
      <c r="Q59" s="31" t="n">
        <f aca="false">IF(Q56&gt;0,Q53/Q56,"")</f>
        <v>-1.01106023478261</v>
      </c>
      <c r="R59" s="31" t="n">
        <f aca="false">IF(R56&gt;0,R53/R56,"")</f>
        <v>-13.091217026087</v>
      </c>
      <c r="S59" s="31" t="n">
        <f aca="false">IF(S56&gt;0,S53/S56,"")</f>
        <v>-11.0279582608696</v>
      </c>
      <c r="T59" s="31" t="n">
        <f aca="false">IF(T56&gt;0,T53/T56,"")</f>
        <v>-14.2968746478261</v>
      </c>
      <c r="U59" s="31" t="n">
        <f aca="false">IF(U56&gt;0,U53/U56,"")</f>
        <v>-7.7006833826087</v>
      </c>
      <c r="V59" s="31" t="n">
        <f aca="false">IF(V56&gt;0,V53/V56,"")</f>
        <v>58.7469294</v>
      </c>
      <c r="W59" s="31" t="n">
        <f aca="false">IF(W56&gt;0,W53/W56,"")</f>
        <v>10.7150774869565</v>
      </c>
      <c r="X59" s="31" t="n">
        <f aca="false">IF(X56&gt;0,X53/X56,"")</f>
        <v>7.45352819999999</v>
      </c>
      <c r="Y59" s="31" t="n">
        <f aca="false">IF(Y56&gt;0,Y53/Y56,"")</f>
        <v>5.26914837391304</v>
      </c>
      <c r="Z59" s="31" t="n">
        <f aca="false">IF(Z56&gt;0,Z53/Z56,"")</f>
        <v>5.33425969565217</v>
      </c>
      <c r="AA59" s="31" t="n">
        <f aca="false">IF(AA56&gt;0,AA53/AA56,"")</f>
        <v>5.16413011304348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345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-36.2048273739131</v>
      </c>
      <c r="Q60" s="31" t="n">
        <f aca="false">IF(Q56&gt;0,(P58+Q53+IF(Source_Data!Q$6=Inputs!$B$12,Inputs!$B$7,0))/Q56,"")</f>
        <v>-38.2158876086957</v>
      </c>
      <c r="R60" s="31" t="n">
        <f aca="false">IF(R56&gt;0,(Q58+R53+IF(Source_Data!R$6=Inputs!$B$12,Inputs!$B$7,0))/R56,"")</f>
        <v>-52.3071046347826</v>
      </c>
      <c r="S60" s="31" t="n">
        <f aca="false">IF(S56&gt;0,(R58+S53+IF(Source_Data!S$6=Inputs!$B$12,Inputs!$B$7,0))/S56,"")</f>
        <v>-64.3350628956522</v>
      </c>
      <c r="T60" s="31" t="n">
        <f aca="false">IF(T56&gt;0,(S58+T53+IF(Source_Data!T$6=Inputs!$B$12,Inputs!$B$7,0))/T56,"")</f>
        <v>-79.6319375434783</v>
      </c>
      <c r="U60" s="31" t="n">
        <f aca="false">IF(U56&gt;0,(T58+U53+IF(Source_Data!U$6=Inputs!$B$12,Inputs!$B$7,0))/U56,"")</f>
        <v>-88.332620926087</v>
      </c>
      <c r="V60" s="31" t="n">
        <f aca="false">IF(V56&gt;0,(U58+V53+IF(Source_Data!V$6=Inputs!$B$12,Inputs!$B$7,0))/V56,"")</f>
        <v>-30.585691526087</v>
      </c>
      <c r="W60" s="31" t="n">
        <f aca="false">IF(W56&gt;0,(V58+W53+IF(Source_Data!W$6=Inputs!$B$12,Inputs!$B$7,0))/W56,"")</f>
        <v>-20.8706140391305</v>
      </c>
      <c r="X60" s="31" t="n">
        <f aca="false">IF(X56&gt;0,(W58+X53+IF(Source_Data!X$6=Inputs!$B$12,Inputs!$B$7,0))/X56,"")</f>
        <v>-14.4170858391305</v>
      </c>
      <c r="Y60" s="31" t="n">
        <f aca="false">IF(Y56&gt;0,(X58+Y53+IF(Source_Data!Y$6=Inputs!$B$12,Inputs!$B$7,0))/Y56,"")</f>
        <v>-10.1479374652174</v>
      </c>
      <c r="Z60" s="31" t="n">
        <f aca="false">IF(Z56&gt;0,(Y58+Z53+IF(Source_Data!Z$6=Inputs!$B$12,Inputs!$B$7,0))/Z56,"")</f>
        <v>-5.81367776956526</v>
      </c>
      <c r="AA60" s="31" t="n">
        <f aca="false">IF(AA56&gt;0,(Z58+AA53+IF(Source_Data!AA$6=Inputs!$B$12,Inputs!$B$7,0))/AA56,"")</f>
        <v>-1.64954765652179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220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346</v>
      </c>
      <c r="B63" s="41" t="n">
        <f aca="false">SUMPRODUCT(D53:BK53,Project_CF!$D$15:$BK$15)</f>
        <v>39.8977448934632</v>
      </c>
    </row>
    <row r="64" customFormat="false" ht="15" hidden="false" customHeight="false" outlineLevel="0" collapsed="false">
      <c r="A64" s="2" t="s">
        <v>162</v>
      </c>
      <c r="B64" s="41" t="n">
        <f aca="false">MIN(D54:BK54)</f>
        <v>-848.604283875</v>
      </c>
    </row>
    <row r="65" customFormat="false" ht="15" hidden="false" customHeight="false" outlineLevel="0" collapsed="false">
      <c r="A65" s="2" t="s">
        <v>347</v>
      </c>
      <c r="B65" s="35" t="n">
        <f aca="false">INDEX(Project_CF!$D$6:$BK$6,MATCH(MIN(D54:BK54),D54:BK54,0))</f>
        <v>54</v>
      </c>
    </row>
    <row r="66" customFormat="false" ht="15" hidden="false" customHeight="false" outlineLevel="0" collapsed="false">
      <c r="A66" s="2" t="s">
        <v>348</v>
      </c>
      <c r="B66" s="39" t="n">
        <f aca="false">(1+IRR(D55:BK55,0.05))^4-1</f>
        <v>0.204061973864954</v>
      </c>
    </row>
    <row r="67" customFormat="false" ht="15" hidden="false" customHeight="false" outlineLevel="0" collapsed="false">
      <c r="A67" s="2" t="s">
        <v>349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350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351</v>
      </c>
      <c r="B69" s="41" t="n">
        <f aca="false">MIN(D58:BK58)</f>
        <v>-856.104283875</v>
      </c>
    </row>
    <row r="70" customFormat="false" ht="15" hidden="false" customHeight="false" outlineLevel="0" collapsed="false">
      <c r="A70" s="2" t="s">
        <v>352</v>
      </c>
      <c r="B70" s="43" t="n">
        <f aca="false">MIN(D59:BK59)</f>
        <v>-14.2968746478261</v>
      </c>
    </row>
    <row r="71" customFormat="false" ht="15" hidden="false" customHeight="false" outlineLevel="0" collapsed="false">
      <c r="A71" s="2" t="s">
        <v>353</v>
      </c>
      <c r="B71" s="35" t="n">
        <f aca="false">COUNTIF(D59:BK59,"&lt;"&amp;Inputs!$B$43)</f>
        <v>6</v>
      </c>
    </row>
    <row r="72" customFormat="false" ht="15" hidden="false" customHeight="false" outlineLevel="0" collapsed="false">
      <c r="A72" s="2" t="s">
        <v>354</v>
      </c>
      <c r="B72" s="43" t="n">
        <f aca="false">MIN(D60:BK60)</f>
        <v>-88.332620926087</v>
      </c>
    </row>
    <row r="73" customFormat="false" ht="15" hidden="false" customHeight="false" outlineLevel="0" collapsed="false">
      <c r="A73" s="2" t="s">
        <v>355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62</v>
      </c>
    </row>
    <row r="77" customFormat="false" ht="15" hidden="false" customHeight="false" outlineLevel="0" collapsed="false">
      <c r="A77" s="3" t="s">
        <v>331</v>
      </c>
      <c r="B77" s="45" t="n">
        <v>1.1</v>
      </c>
    </row>
    <row r="78" customFormat="false" ht="15" hidden="false" customHeight="false" outlineLevel="0" collapsed="false">
      <c r="A78" s="3" t="s">
        <v>332</v>
      </c>
      <c r="B78" s="45" t="n">
        <v>0</v>
      </c>
    </row>
    <row r="79" customFormat="false" ht="15" hidden="false" customHeight="false" outlineLevel="0" collapsed="false">
      <c r="A79" s="3" t="s">
        <v>333</v>
      </c>
      <c r="B79" s="45" t="n">
        <v>1</v>
      </c>
    </row>
    <row r="80" customFormat="false" ht="15" hidden="false" customHeight="false" outlineLevel="0" collapsed="false">
      <c r="A80" s="3" t="s">
        <v>334</v>
      </c>
      <c r="B80" s="45" t="n">
        <v>0</v>
      </c>
    </row>
    <row r="81" customFormat="false" ht="15" hidden="false" customHeight="false" outlineLevel="0" collapsed="false">
      <c r="A81" s="3" t="s">
        <v>335</v>
      </c>
      <c r="B81" s="45" t="n">
        <v>0</v>
      </c>
    </row>
    <row r="82" customFormat="false" ht="15" hidden="false" customHeight="false" outlineLevel="0" collapsed="false">
      <c r="A82" s="3" t="s">
        <v>336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337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338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339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194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196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215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216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217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340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-50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39.5185185185185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39.5185185185185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39.5185185185185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39.5185185185185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341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9.58333333333333</v>
      </c>
      <c r="Q92" s="33" t="n">
        <f aca="false">IF(AND(Source_Data!Q$6&gt;=Inputs!$B$54,Source_Data!Q$6&lt;Inputs!$B$54+3*Inputs!$B$11),Inputs!$B$9*Inputs!$B$7/Inputs!$B$11,0)</f>
        <v>9.58333333333333</v>
      </c>
      <c r="R92" s="33" t="n">
        <f aca="false">IF(AND(Source_Data!R$6&gt;=Inputs!$B$54,Source_Data!R$6&lt;Inputs!$B$54+3*Inputs!$B$11),Inputs!$B$9*Inputs!$B$7/Inputs!$B$11,0)</f>
        <v>9.58333333333333</v>
      </c>
      <c r="S92" s="33" t="n">
        <f aca="false">IF(AND(Source_Data!S$6&gt;=Inputs!$B$54,Source_Data!S$6&lt;Inputs!$B$54+3*Inputs!$B$11),Inputs!$B$9*Inputs!$B$7/Inputs!$B$11,0)</f>
        <v>9.58333333333333</v>
      </c>
      <c r="T92" s="33" t="n">
        <f aca="false">IF(AND(Source_Data!T$6&gt;=Inputs!$B$54,Source_Data!T$6&lt;Inputs!$B$54+3*Inputs!$B$11),Inputs!$B$9*Inputs!$B$7/Inputs!$B$11,0)</f>
        <v>9.58333333333333</v>
      </c>
      <c r="U92" s="33" t="n">
        <f aca="false">IF(AND(Source_Data!U$6&gt;=Inputs!$B$54,Source_Data!U$6&lt;Inputs!$B$54+3*Inputs!$B$11),Inputs!$B$9*Inputs!$B$7/Inputs!$B$11,0)</f>
        <v>9.58333333333333</v>
      </c>
      <c r="V92" s="33" t="n">
        <f aca="false">IF(AND(Source_Data!V$6&gt;=Inputs!$B$54,Source_Data!V$6&lt;Inputs!$B$54+3*Inputs!$B$11),Inputs!$B$9*Inputs!$B$7/Inputs!$B$11,0)</f>
        <v>9.58333333333333</v>
      </c>
      <c r="W92" s="33" t="n">
        <f aca="false">IF(AND(Source_Data!W$6&gt;=Inputs!$B$54,Source_Data!W$6&lt;Inputs!$B$54+3*Inputs!$B$11),Inputs!$B$9*Inputs!$B$7/Inputs!$B$11,0)</f>
        <v>9.58333333333333</v>
      </c>
      <c r="X92" s="33" t="n">
        <f aca="false">IF(AND(Source_Data!X$6&gt;=Inputs!$B$54,Source_Data!X$6&lt;Inputs!$B$54+3*Inputs!$B$11),Inputs!$B$9*Inputs!$B$7/Inputs!$B$11,0)</f>
        <v>9.58333333333333</v>
      </c>
      <c r="Y92" s="33" t="n">
        <f aca="false">IF(AND(Source_Data!Y$6&gt;=Inputs!$B$54,Source_Data!Y$6&lt;Inputs!$B$54+3*Inputs!$B$11),Inputs!$B$9*Inputs!$B$7/Inputs!$B$11,0)</f>
        <v>9.58333333333333</v>
      </c>
      <c r="Z92" s="33" t="n">
        <f aca="false">IF(AND(Source_Data!Z$6&gt;=Inputs!$B$54,Source_Data!Z$6&lt;Inputs!$B$54+3*Inputs!$B$11),Inputs!$B$9*Inputs!$B$7/Inputs!$B$11,0)</f>
        <v>9.58333333333333</v>
      </c>
      <c r="AA92" s="33" t="n">
        <f aca="false">IF(AND(Source_Data!AA$6&gt;=Inputs!$B$54,Source_Data!AA$6&lt;Inputs!$B$54+3*Inputs!$B$11),Inputs!$B$9*Inputs!$B$7/Inputs!$B$11,0)</f>
        <v>9.58333333333333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342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-50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9.58333333333333</v>
      </c>
      <c r="Q93" s="33" t="n">
        <f aca="false">IF(Source_Data!Q$6=Inputs!$B$12,-Inputs!$B$7,0)+Q92</f>
        <v>9.58333333333333</v>
      </c>
      <c r="R93" s="33" t="n">
        <f aca="false">IF(Source_Data!R$6=Inputs!$B$12,-Inputs!$B$7,0)+R92</f>
        <v>9.58333333333333</v>
      </c>
      <c r="S93" s="33" t="n">
        <f aca="false">IF(Source_Data!S$6=Inputs!$B$12,-Inputs!$B$7,0)+S92</f>
        <v>9.58333333333333</v>
      </c>
      <c r="T93" s="33" t="n">
        <f aca="false">IF(Source_Data!T$6=Inputs!$B$12,-Inputs!$B$7,0)+T92</f>
        <v>9.58333333333333</v>
      </c>
      <c r="U93" s="33" t="n">
        <f aca="false">IF(Source_Data!U$6=Inputs!$B$12,-Inputs!$B$7,0)+U92</f>
        <v>9.58333333333333</v>
      </c>
      <c r="V93" s="33" t="n">
        <f aca="false">IF(Source_Data!V$6=Inputs!$B$12,-Inputs!$B$7,0)+V92</f>
        <v>9.58333333333333</v>
      </c>
      <c r="W93" s="33" t="n">
        <f aca="false">IF(Source_Data!W$6=Inputs!$B$12,-Inputs!$B$7,0)+W92</f>
        <v>9.58333333333333</v>
      </c>
      <c r="X93" s="33" t="n">
        <f aca="false">IF(Source_Data!X$6=Inputs!$B$12,-Inputs!$B$7,0)+X92</f>
        <v>9.58333333333333</v>
      </c>
      <c r="Y93" s="33" t="n">
        <f aca="false">IF(Source_Data!Y$6=Inputs!$B$12,-Inputs!$B$7,0)+Y92</f>
        <v>9.58333333333333</v>
      </c>
      <c r="Z93" s="33" t="n">
        <f aca="false">IF(Source_Data!Z$6=Inputs!$B$12,-Inputs!$B$7,0)+Z92</f>
        <v>9.58333333333333</v>
      </c>
      <c r="AA93" s="33" t="n">
        <f aca="false">IF(Source_Data!AA$6=Inputs!$B$12,-Inputs!$B$7,0)+AA92</f>
        <v>9.58333333333333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343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-35</v>
      </c>
      <c r="H94" s="33" t="n">
        <f aca="false">G94+IF(Source_Data!H$6=Inputs!$B$12,Inputs!$B$7,0)+H89-H92</f>
        <v>-37.572785</v>
      </c>
      <c r="I94" s="33" t="n">
        <f aca="false">H94+IF(Source_Data!I$6=Inputs!$B$12,Inputs!$B$7,0)+I89-I92</f>
        <v>-20.218355</v>
      </c>
      <c r="J94" s="33" t="n">
        <f aca="false">I94+IF(Source_Data!J$6=Inputs!$B$12,Inputs!$B$7,0)+J89-J92</f>
        <v>-1.6314475</v>
      </c>
      <c r="K94" s="33" t="n">
        <f aca="false">J94+IF(Source_Data!K$6=Inputs!$B$12,Inputs!$B$7,0)+K89-K92</f>
        <v>21.4287815</v>
      </c>
      <c r="L94" s="33" t="n">
        <f aca="false">K94+IF(Source_Data!L$6=Inputs!$B$12,Inputs!$B$7,0)+L89-L92</f>
        <v>-11.716691</v>
      </c>
      <c r="M94" s="33" t="n">
        <f aca="false">L94+IF(Source_Data!M$6=Inputs!$B$12,Inputs!$B$7,0)+M89-M92</f>
        <v>-22.74786875</v>
      </c>
      <c r="N94" s="33" t="n">
        <f aca="false">M94+IF(Source_Data!N$6=Inputs!$B$12,Inputs!$B$7,0)+N89-N92</f>
        <v>-14.02814225</v>
      </c>
      <c r="O94" s="33" t="n">
        <f aca="false">N94+IF(Source_Data!O$6=Inputs!$B$12,Inputs!$B$7,0)+O89-O92</f>
        <v>18.85845775</v>
      </c>
      <c r="P94" s="33" t="n">
        <f aca="false">O94+IF(Source_Data!P$6=Inputs!$B$12,Inputs!$B$7,0)+P89-P92</f>
        <v>65.0054722916667</v>
      </c>
      <c r="Q94" s="33" t="n">
        <f aca="false">P94+IF(Source_Data!Q$6=Inputs!$B$12,Inputs!$B$7,0)+Q89-Q92</f>
        <v>122.352319708333</v>
      </c>
      <c r="R94" s="33" t="n">
        <f aca="false">Q94+IF(Source_Data!R$6=Inputs!$B$12,Inputs!$B$7,0)+R89-R92</f>
        <v>661.619594625</v>
      </c>
      <c r="S94" s="33" t="n">
        <f aca="false">R94+IF(Source_Data!S$6=Inputs!$B$12,Inputs!$B$7,0)+S89-S92</f>
        <v>638.291567041667</v>
      </c>
      <c r="T94" s="33" t="n">
        <f aca="false">S94+IF(Source_Data!T$6=Inputs!$B$12,Inputs!$B$7,0)+T89-T92</f>
        <v>509.911133458333</v>
      </c>
      <c r="U94" s="33" t="n">
        <f aca="false">T94+IF(Source_Data!U$6=Inputs!$B$12,Inputs!$B$7,0)+U89-U92</f>
        <v>409.995139875</v>
      </c>
      <c r="V94" s="33" t="n">
        <f aca="false">U94+IF(Source_Data!V$6=Inputs!$B$12,Inputs!$B$7,0)+V89-V92</f>
        <v>445.391792791666</v>
      </c>
      <c r="W94" s="33" t="n">
        <f aca="false">V94+IF(Source_Data!W$6=Inputs!$B$12,Inputs!$B$7,0)+W89-W92</f>
        <v>478.795724208333</v>
      </c>
      <c r="X94" s="33" t="n">
        <f aca="false">W94+IF(Source_Data!X$6=Inputs!$B$12,Inputs!$B$7,0)+X89-X92</f>
        <v>531.7197989375</v>
      </c>
      <c r="Y94" s="33" t="n">
        <f aca="false">X94+IF(Source_Data!Y$6=Inputs!$B$12,Inputs!$B$7,0)+Y89-Y92</f>
        <v>576.805220729166</v>
      </c>
      <c r="Z94" s="33" t="n">
        <f aca="false">Y94+IF(Source_Data!Z$6=Inputs!$B$12,Inputs!$B$7,0)+Z89-Z92</f>
        <v>612.193551270833</v>
      </c>
      <c r="AA94" s="33" t="n">
        <f aca="false">Z94+IF(Source_Data!AA$6=Inputs!$B$12,Inputs!$B$7,0)+AA89-AA92</f>
        <v>636.2610915625</v>
      </c>
      <c r="AB94" s="33" t="n">
        <f aca="false">AA94+IF(Source_Data!AB$6=Inputs!$B$12,Inputs!$B$7,0)+AB89-AB92</f>
        <v>692.4119651875</v>
      </c>
      <c r="AC94" s="33" t="n">
        <f aca="false">AB94+IF(Source_Data!AC$6=Inputs!$B$12,Inputs!$B$7,0)+AC89-AC92</f>
        <v>748.5628388125</v>
      </c>
      <c r="AD94" s="33" t="n">
        <f aca="false">AC94+IF(Source_Data!AD$6=Inputs!$B$12,Inputs!$B$7,0)+AD89-AD92</f>
        <v>804.7137124375</v>
      </c>
      <c r="AE94" s="33" t="n">
        <f aca="false">AD94+IF(Source_Data!AE$6=Inputs!$B$12,Inputs!$B$7,0)+AE89-AE92</f>
        <v>860.8645860625</v>
      </c>
      <c r="AF94" s="33" t="n">
        <f aca="false">AE94+IF(Source_Data!AF$6=Inputs!$B$12,Inputs!$B$7,0)+AF89-AF92</f>
        <v>579.763604819009</v>
      </c>
      <c r="AG94" s="33" t="n">
        <f aca="false">AF94+IF(Source_Data!AG$6=Inputs!$B$12,Inputs!$B$7,0)+AG89-AG92</f>
        <v>598.26212357826</v>
      </c>
      <c r="AH94" s="33" t="n">
        <f aca="false">AG94+IF(Source_Data!AH$6=Inputs!$B$12,Inputs!$B$7,0)+AH89-AH92</f>
        <v>614.822202840111</v>
      </c>
      <c r="AI94" s="33" t="n">
        <f aca="false">AH94+IF(Source_Data!AI$6=Inputs!$B$12,Inputs!$B$7,0)+AI89-AI92</f>
        <v>629.443842604561</v>
      </c>
      <c r="AJ94" s="33" t="n">
        <f aca="false">AI94+IF(Source_Data!AJ$6=Inputs!$B$12,Inputs!$B$7,0)+AJ89-AJ92</f>
        <v>640.941504512331</v>
      </c>
      <c r="AK94" s="33" t="n">
        <f aca="false">AJ94+IF(Source_Data!AK$6=Inputs!$B$12,Inputs!$B$7,0)+AK89-AK92</f>
        <v>650.629956222527</v>
      </c>
      <c r="AL94" s="33" t="n">
        <f aca="false">AK94+IF(Source_Data!AL$6=Inputs!$B$12,Inputs!$B$7,0)+AL89-AL92</f>
        <v>659.072937144538</v>
      </c>
      <c r="AM94" s="33" t="n">
        <f aca="false">AL94+IF(Source_Data!AM$6=Inputs!$B$12,Inputs!$B$7,0)+AM89-AM92</f>
        <v>662.713832200526</v>
      </c>
      <c r="AN94" s="33" t="n">
        <f aca="false">AM94+IF(Source_Data!AN$6=Inputs!$B$12,Inputs!$B$7,0)+AN89-AN92</f>
        <v>666.354727256513</v>
      </c>
      <c r="AO94" s="33" t="n">
        <f aca="false">AN94+IF(Source_Data!AO$6=Inputs!$B$12,Inputs!$B$7,0)+AO89-AO92</f>
        <v>669.9956223125</v>
      </c>
      <c r="AP94" s="33" t="n">
        <f aca="false">AO94+IF(Source_Data!AP$6=Inputs!$B$12,Inputs!$B$7,0)+AP89-AP92</f>
        <v>669.9956223125</v>
      </c>
      <c r="AQ94" s="33" t="n">
        <f aca="false">AP94+IF(Source_Data!AQ$6=Inputs!$B$12,Inputs!$B$7,0)+AQ89-AQ92</f>
        <v>669.9956223125</v>
      </c>
      <c r="AR94" s="33" t="n">
        <f aca="false">AQ94+IF(Source_Data!AR$6=Inputs!$B$12,Inputs!$B$7,0)+AR89-AR92</f>
        <v>669.9956223125</v>
      </c>
      <c r="AS94" s="33" t="n">
        <f aca="false">AR94+IF(Source_Data!AS$6=Inputs!$B$12,Inputs!$B$7,0)+AS89-AS92</f>
        <v>669.9956223125</v>
      </c>
      <c r="AT94" s="33" t="n">
        <f aca="false">AS94+IF(Source_Data!AT$6=Inputs!$B$12,Inputs!$B$7,0)+AT89-AT92</f>
        <v>669.9956223125</v>
      </c>
      <c r="AU94" s="33" t="n">
        <f aca="false">AT94+IF(Source_Data!AU$6=Inputs!$B$12,Inputs!$B$7,0)+AU89-AU92</f>
        <v>669.9956223125</v>
      </c>
      <c r="AV94" s="33" t="n">
        <f aca="false">AU94+IF(Source_Data!AV$6=Inputs!$B$12,Inputs!$B$7,0)+AV89-AV92</f>
        <v>669.9956223125</v>
      </c>
      <c r="AW94" s="33" t="n">
        <f aca="false">AV94+IF(Source_Data!AW$6=Inputs!$B$12,Inputs!$B$7,0)+AW89-AW92</f>
        <v>669.9956223125</v>
      </c>
      <c r="AX94" s="33" t="n">
        <f aca="false">AW94+IF(Source_Data!AX$6=Inputs!$B$12,Inputs!$B$7,0)+AX89-AX92</f>
        <v>669.9956223125</v>
      </c>
      <c r="AY94" s="33" t="n">
        <f aca="false">AX94+IF(Source_Data!AY$6=Inputs!$B$12,Inputs!$B$7,0)+AY89-AY92</f>
        <v>669.9956223125</v>
      </c>
      <c r="AZ94" s="33" t="n">
        <f aca="false">AY94+IF(Source_Data!AZ$6=Inputs!$B$12,Inputs!$B$7,0)+AZ89-AZ92</f>
        <v>669.9956223125</v>
      </c>
      <c r="BA94" s="33" t="n">
        <f aca="false">AZ94+IF(Source_Data!BA$6=Inputs!$B$12,Inputs!$B$7,0)+BA89-BA92</f>
        <v>669.9956223125</v>
      </c>
      <c r="BB94" s="33" t="n">
        <f aca="false">BA94+IF(Source_Data!BB$6=Inputs!$B$12,Inputs!$B$7,0)+BB89-BB92</f>
        <v>669.9956223125</v>
      </c>
      <c r="BC94" s="33" t="n">
        <f aca="false">BB94+IF(Source_Data!BC$6=Inputs!$B$12,Inputs!$B$7,0)+BC89-BC92</f>
        <v>669.9956223125</v>
      </c>
      <c r="BD94" s="33" t="n">
        <f aca="false">BC94+IF(Source_Data!BD$6=Inputs!$B$12,Inputs!$B$7,0)+BD89-BD92</f>
        <v>669.9956223125</v>
      </c>
      <c r="BE94" s="33" t="n">
        <f aca="false">BD94+IF(Source_Data!BE$6=Inputs!$B$12,Inputs!$B$7,0)+BE89-BE92</f>
        <v>669.9956223125</v>
      </c>
      <c r="BF94" s="33" t="n">
        <f aca="false">BE94+IF(Source_Data!BF$6=Inputs!$B$12,Inputs!$B$7,0)+BF89-BF92</f>
        <v>669.9956223125</v>
      </c>
      <c r="BG94" s="33" t="n">
        <f aca="false">BF94+IF(Source_Data!BG$6=Inputs!$B$12,Inputs!$B$7,0)+BG89-BG92</f>
        <v>669.9956223125</v>
      </c>
      <c r="BH94" s="33" t="n">
        <f aca="false">BG94+IF(Source_Data!BH$6=Inputs!$B$12,Inputs!$B$7,0)+BH89-BH92</f>
        <v>669.9956223125</v>
      </c>
      <c r="BI94" s="33" t="n">
        <f aca="false">BH94+IF(Source_Data!BI$6=Inputs!$B$12,Inputs!$B$7,0)+BI89-BI92</f>
        <v>669.9956223125</v>
      </c>
      <c r="BJ94" s="33" t="n">
        <f aca="false">BI94+IF(Source_Data!BJ$6=Inputs!$B$12,Inputs!$B$7,0)+BJ89-BJ92</f>
        <v>669.9956223125</v>
      </c>
      <c r="BK94" s="33" t="n">
        <f aca="false">BJ94+IF(Source_Data!BK$6=Inputs!$B$12,Inputs!$B$7,0)+BK89-BK92</f>
        <v>669.9956223125</v>
      </c>
    </row>
    <row r="95" customFormat="false" ht="15" hidden="false" customHeight="false" outlineLevel="0" collapsed="false">
      <c r="A95" s="3" t="s">
        <v>344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5.81534064782609</v>
      </c>
      <c r="Q95" s="31" t="n">
        <f aca="false">IF(Q92&gt;0,Q89/Q92,"")</f>
        <v>6.98401886086957</v>
      </c>
      <c r="R95" s="31" t="n">
        <f aca="false">IF(R92&gt;0,R89/R92,"")</f>
        <v>57.2713678173913</v>
      </c>
      <c r="S95" s="31" t="n">
        <f aca="false">IF(S92&gt;0,S89/S92,"")</f>
        <v>-1.43422896521739</v>
      </c>
      <c r="T95" s="31" t="n">
        <f aca="false">IF(T92&gt;0,T89/T92,"")</f>
        <v>-12.3962191565218</v>
      </c>
      <c r="U95" s="31" t="n">
        <f aca="false">IF(U92&gt;0,U89/U92,"")</f>
        <v>-9.42601672173914</v>
      </c>
      <c r="V95" s="31" t="n">
        <f aca="false">IF(V92&gt;0,V89/V92,"")</f>
        <v>4.69356378260869</v>
      </c>
      <c r="W95" s="31" t="n">
        <f aca="false">IF(W92&gt;0,W89/W92,"")</f>
        <v>4.48562762608695</v>
      </c>
      <c r="X95" s="31" t="n">
        <f aca="false">IF(X92&gt;0,X89/X92,"")</f>
        <v>6.52251214565218</v>
      </c>
      <c r="Y95" s="31" t="n">
        <f aca="false">IF(Y92&gt;0,Y89/Y92,"")</f>
        <v>5.70456575217392</v>
      </c>
      <c r="Z95" s="31" t="n">
        <f aca="false">IF(Z92&gt;0,Z89/Z92,"")</f>
        <v>4.69269536086957</v>
      </c>
      <c r="AA95" s="31" t="n">
        <f aca="false">IF(AA92&gt;0,AA89/AA92,"")</f>
        <v>3.51139550869565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345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7.78317971739131</v>
      </c>
      <c r="Q96" s="31" t="n">
        <f aca="false">IF(Q92&gt;0,(P94+Q89+IF(Source_Data!Q$6=Inputs!$B$12,Inputs!$B$7,0))/Q92,"")</f>
        <v>13.7671985782609</v>
      </c>
      <c r="R96" s="31" t="n">
        <f aca="false">IF(R92&gt;0,(Q94+R89+IF(Source_Data!R$6=Inputs!$B$12,Inputs!$B$7,0))/R92,"")</f>
        <v>70.0385663956522</v>
      </c>
      <c r="S96" s="31" t="n">
        <f aca="false">IF(S92&gt;0,(R94+S89+IF(Source_Data!S$6=Inputs!$B$12,Inputs!$B$7,0))/S92,"")</f>
        <v>67.6043374304348</v>
      </c>
      <c r="T96" s="31" t="n">
        <f aca="false">IF(T92&gt;0,(S94+T89+IF(Source_Data!T$6=Inputs!$B$12,Inputs!$B$7,0))/T92,"")</f>
        <v>54.208118273913</v>
      </c>
      <c r="U96" s="31" t="n">
        <f aca="false">IF(U92&gt;0,(T94+U89+IF(Source_Data!U$6=Inputs!$B$12,Inputs!$B$7,0))/U92,"")</f>
        <v>43.7821015521739</v>
      </c>
      <c r="V96" s="31" t="n">
        <f aca="false">IF(V92&gt;0,(U94+V89+IF(Source_Data!V$6=Inputs!$B$12,Inputs!$B$7,0))/V92,"")</f>
        <v>47.4756653347826</v>
      </c>
      <c r="W96" s="31" t="n">
        <f aca="false">IF(W92&gt;0,(V94+W89+IF(Source_Data!W$6=Inputs!$B$12,Inputs!$B$7,0))/W92,"")</f>
        <v>50.9612929608695</v>
      </c>
      <c r="X96" s="31" t="n">
        <f aca="false">IF(X92&gt;0,(W94+X89+IF(Source_Data!X$6=Inputs!$B$12,Inputs!$B$7,0))/X92,"")</f>
        <v>56.4838051065217</v>
      </c>
      <c r="Y96" s="31" t="n">
        <f aca="false">IF(Y92&gt;0,(X94+Y89+IF(Source_Data!Y$6=Inputs!$B$12,Inputs!$B$7,0))/Y92,"")</f>
        <v>61.1883708586956</v>
      </c>
      <c r="Z96" s="31" t="n">
        <f aca="false">IF(Z92&gt;0,(Y94+Z89+IF(Source_Data!Z$6=Inputs!$B$12,Inputs!$B$7,0))/Z92,"")</f>
        <v>64.8810662195652</v>
      </c>
      <c r="AA96" s="31" t="n">
        <f aca="false">IF(AA92&gt;0,(Z94+AA89+IF(Source_Data!AA$6=Inputs!$B$12,Inputs!$B$7,0))/AA92,"")</f>
        <v>67.3924617282608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220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346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162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347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348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349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350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351</v>
      </c>
      <c r="B105" s="41" t="n">
        <f aca="false">MIN(D94:BK94)</f>
        <v>-37.572785</v>
      </c>
    </row>
    <row r="106" customFormat="false" ht="15" hidden="false" customHeight="false" outlineLevel="0" collapsed="false">
      <c r="A106" s="2" t="s">
        <v>352</v>
      </c>
      <c r="B106" s="43" t="n">
        <f aca="false">MIN(D95:BK95)</f>
        <v>-12.3962191565218</v>
      </c>
    </row>
    <row r="107" customFormat="false" ht="15" hidden="false" customHeight="false" outlineLevel="0" collapsed="false">
      <c r="A107" s="2" t="s">
        <v>353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354</v>
      </c>
      <c r="B108" s="43" t="n">
        <f aca="false">MIN(D96:BK96)</f>
        <v>7.78317971739131</v>
      </c>
    </row>
    <row r="109" customFormat="false" ht="15" hidden="false" customHeight="false" outlineLevel="0" collapsed="false">
      <c r="A109" s="2" t="s">
        <v>355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63</v>
      </c>
    </row>
    <row r="113" customFormat="false" ht="15" hidden="false" customHeight="false" outlineLevel="0" collapsed="false">
      <c r="A113" s="3" t="s">
        <v>331</v>
      </c>
      <c r="B113" s="45" t="n">
        <v>1</v>
      </c>
    </row>
    <row r="114" customFormat="false" ht="15" hidden="false" customHeight="false" outlineLevel="0" collapsed="false">
      <c r="A114" s="3" t="s">
        <v>332</v>
      </c>
      <c r="B114" s="45" t="n">
        <v>0</v>
      </c>
    </row>
    <row r="115" customFormat="false" ht="15" hidden="false" customHeight="false" outlineLevel="0" collapsed="false">
      <c r="A115" s="3" t="s">
        <v>333</v>
      </c>
      <c r="B115" s="45" t="n">
        <v>1.1</v>
      </c>
    </row>
    <row r="116" customFormat="false" ht="15" hidden="false" customHeight="false" outlineLevel="0" collapsed="false">
      <c r="A116" s="3" t="s">
        <v>334</v>
      </c>
      <c r="B116" s="45" t="n">
        <v>0</v>
      </c>
    </row>
    <row r="117" customFormat="false" ht="15" hidden="false" customHeight="false" outlineLevel="0" collapsed="false">
      <c r="A117" s="3" t="s">
        <v>335</v>
      </c>
      <c r="B117" s="45" t="n">
        <v>0</v>
      </c>
    </row>
    <row r="118" customFormat="false" ht="15" hidden="false" customHeight="false" outlineLevel="0" collapsed="false">
      <c r="A118" s="3" t="s">
        <v>336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337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338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18.11565</v>
      </c>
      <c r="I120" s="33" t="n">
        <f aca="false">$B$113*IF(Source_Data!I$5-($B$114+$B$116)&gt;=1,INDEX($D$119:$BK$119,1,Source_Data!I$5-($B$114+$B$116)),0)</f>
        <v>36.2313</v>
      </c>
      <c r="J120" s="33" t="n">
        <f aca="false">$B$113*IF(Source_Data!J$5-($B$114+$B$116)&gt;=1,INDEX($D$119:$BK$119,1,Source_Data!J$5-($B$114+$B$116)),0)</f>
        <v>58.260825</v>
      </c>
      <c r="K120" s="33" t="n">
        <f aca="false">$B$113*IF(Source_Data!K$5-($B$114+$B$116)&gt;=1,INDEX($D$119:$BK$119,1,Source_Data!K$5-($B$114+$B$116)),0)</f>
        <v>69.01839</v>
      </c>
      <c r="L120" s="33" t="n">
        <f aca="false">$B$113*IF(Source_Data!L$5-($B$114+$B$116)&gt;=1,INDEX($D$119:$BK$119,1,Source_Data!L$5-($B$114+$B$116)),0)</f>
        <v>67.087545</v>
      </c>
      <c r="M120" s="33" t="n">
        <f aca="false">$B$113*IF(Source_Data!M$5-($B$114+$B$116)&gt;=1,INDEX($D$119:$BK$119,1,Source_Data!M$5-($B$114+$B$116)),0)</f>
        <v>72.9732675</v>
      </c>
      <c r="N120" s="33" t="n">
        <f aca="false">$B$113*IF(Source_Data!N$5-($B$114+$B$116)&gt;=1,INDEX($D$119:$BK$119,1,Source_Data!N$5-($B$114+$B$116)),0)</f>
        <v>88.871055</v>
      </c>
      <c r="O120" s="33" t="n">
        <f aca="false">$B$113*IF(Source_Data!O$5-($B$114+$B$116)&gt;=1,INDEX($D$119:$BK$119,1,Source_Data!O$5-($B$114+$B$116)),0)</f>
        <v>105.60753</v>
      </c>
      <c r="P120" s="33" t="n">
        <f aca="false">$B$113*IF(Source_Data!P$5-($B$114+$B$116)&gt;=1,INDEX($D$119:$BK$119,1,Source_Data!P$5-($B$114+$B$116)),0)</f>
        <v>115.25243625</v>
      </c>
      <c r="Q120" s="33" t="n">
        <f aca="false">$B$113*IF(Source_Data!Q$5-($B$114+$B$116)&gt;=1,INDEX($D$119:$BK$119,1,Source_Data!Q$5-($B$114+$B$116)),0)</f>
        <v>124.8973425</v>
      </c>
      <c r="R120" s="33" t="n">
        <f aca="false">$B$113*IF(Source_Data!R$5-($B$114+$B$116)&gt;=1,INDEX($D$119:$BK$119,1,Source_Data!R$5-($B$114+$B$116)),0)</f>
        <v>683.0904675</v>
      </c>
      <c r="S120" s="33" t="n">
        <f aca="false">$B$113*IF(Source_Data!S$5-($B$114+$B$116)&gt;=1,INDEX($D$119:$BK$119,1,Source_Data!S$5-($B$114+$B$116)),0)</f>
        <v>171.6401925</v>
      </c>
      <c r="T120" s="33" t="n">
        <f aca="false">$B$113*IF(Source_Data!T$5-($B$114+$B$116)&gt;=1,INDEX($D$119:$BK$119,1,Source_Data!T$5-($B$114+$B$116)),0)</f>
        <v>112.5965925</v>
      </c>
      <c r="U120" s="33" t="n">
        <f aca="false">$B$113*IF(Source_Data!U$5-($B$114+$B$116)&gt;=1,INDEX($D$119:$BK$119,1,Source_Data!U$5-($B$114+$B$116)),0)</f>
        <v>89.3369925</v>
      </c>
      <c r="V120" s="33" t="n">
        <f aca="false">$B$113*IF(Source_Data!V$5-($B$114+$B$116)&gt;=1,INDEX($D$119:$BK$119,1,Source_Data!V$5-($B$114+$B$116)),0)</f>
        <v>87.5254275</v>
      </c>
      <c r="W120" s="33" t="n">
        <f aca="false">$B$113*IF(Source_Data!W$5-($B$114+$B$116)&gt;=1,INDEX($D$119:$BK$119,1,Source_Data!W$5-($B$114+$B$116)),0)</f>
        <v>85.7138625</v>
      </c>
      <c r="X120" s="33" t="n">
        <f aca="false">$B$113*IF(Source_Data!X$5-($B$114+$B$116)&gt;=1,INDEX($D$119:$BK$119,1,Source_Data!X$5-($B$114+$B$116)),0)</f>
        <v>77.279461875</v>
      </c>
      <c r="Y120" s="33" t="n">
        <f aca="false">$B$113*IF(Source_Data!Y$5-($B$114+$B$116)&gt;=1,INDEX($D$119:$BK$119,1,Source_Data!Y$5-($B$114+$B$116)),0)</f>
        <v>70.15341375</v>
      </c>
      <c r="Z120" s="33" t="n">
        <f aca="false">$B$113*IF(Source_Data!Z$5-($B$114+$B$116)&gt;=1,INDEX($D$119:$BK$119,1,Source_Data!Z$5-($B$114+$B$116)),0)</f>
        <v>61.33787625</v>
      </c>
      <c r="AA120" s="33" t="n">
        <f aca="false">$B$113*IF(Source_Data!AA$5-($B$114+$B$116)&gt;=1,INDEX($D$119:$BK$119,1,Source_Data!AA$5-($B$114+$B$116)),0)</f>
        <v>51.04624875</v>
      </c>
      <c r="AB120" s="33" t="n">
        <f aca="false">$B$113*IF(Source_Data!AB$5-($B$114+$B$116)&gt;=1,INDEX($D$119:$BK$119,1,Source_Data!AB$5-($B$114+$B$116)),0)</f>
        <v>51.04624875</v>
      </c>
      <c r="AC120" s="33" t="n">
        <f aca="false">$B$113*IF(Source_Data!AC$5-($B$114+$B$116)&gt;=1,INDEX($D$119:$BK$119,1,Source_Data!AC$5-($B$114+$B$116)),0)</f>
        <v>51.04624875</v>
      </c>
      <c r="AD120" s="33" t="n">
        <f aca="false">$B$113*IF(Source_Data!AD$5-($B$114+$B$116)&gt;=1,INDEX($D$119:$BK$119,1,Source_Data!AD$5-($B$114+$B$116)),0)</f>
        <v>51.04624875</v>
      </c>
      <c r="AE120" s="33" t="n">
        <f aca="false">$B$113*IF(Source_Data!AE$5-($B$114+$B$116)&gt;=1,INDEX($D$119:$BK$119,1,Source_Data!AE$5-($B$114+$B$116)),0)</f>
        <v>51.04624875</v>
      </c>
      <c r="AF120" s="33" t="n">
        <f aca="false">$B$113*IF(Source_Data!AF$5-($B$114+$B$116)&gt;=1,INDEX($D$119:$BK$119,1,Source_Data!AF$5-($B$114+$B$116)),0)</f>
        <v>43.931383125</v>
      </c>
      <c r="AG120" s="33" t="n">
        <f aca="false">$B$113*IF(Source_Data!AG$5-($B$114+$B$116)&gt;=1,INDEX($D$119:$BK$119,1,Source_Data!AG$5-($B$114+$B$116)),0)</f>
        <v>36.8165175</v>
      </c>
      <c r="AH120" s="33" t="n">
        <f aca="false">$B$113*IF(Source_Data!AH$5-($B$114+$B$116)&gt;=1,INDEX($D$119:$BK$119,1,Source_Data!AH$5-($B$114+$B$116)),0)</f>
        <v>32.958555</v>
      </c>
      <c r="AI120" s="33" t="n">
        <f aca="false">$B$113*IF(Source_Data!AI$5-($B$114+$B$116)&gt;=1,INDEX($D$119:$BK$119,1,Source_Data!AI$5-($B$114+$B$116)),0)</f>
        <v>29.1005925</v>
      </c>
      <c r="AJ120" s="33" t="n">
        <f aca="false">$B$113*IF(Source_Data!AJ$5-($B$114+$B$116)&gt;=1,INDEX($D$119:$BK$119,1,Source_Data!AJ$5-($B$114+$B$116)),0)</f>
        <v>22.8831225</v>
      </c>
      <c r="AK120" s="33" t="n">
        <f aca="false">$B$113*IF(Source_Data!AK$5-($B$114+$B$116)&gt;=1,INDEX($D$119:$BK$119,1,Source_Data!AK$5-($B$114+$B$116)),0)</f>
        <v>19.2823575</v>
      </c>
      <c r="AL120" s="33" t="n">
        <f aca="false">$B$113*IF(Source_Data!AL$5-($B$114+$B$116)&gt;=1,INDEX($D$119:$BK$119,1,Source_Data!AL$5-($B$114+$B$116)),0)</f>
        <v>16.80357</v>
      </c>
      <c r="AM120" s="33" t="n">
        <f aca="false">$B$113*IF(Source_Data!AM$5-($B$114+$B$116)&gt;=1,INDEX($D$119:$BK$119,1,Source_Data!AM$5-($B$114+$B$116)),0)</f>
        <v>7.24626</v>
      </c>
      <c r="AN120" s="33" t="n">
        <f aca="false">$B$113*IF(Source_Data!AN$5-($B$114+$B$116)&gt;=1,INDEX($D$119:$BK$119,1,Source_Data!AN$5-($B$114+$B$116)),0)</f>
        <v>7.24626</v>
      </c>
      <c r="AO120" s="33" t="n">
        <f aca="false">$B$113*IF(Source_Data!AO$5-($B$114+$B$116)&gt;=1,INDEX($D$119:$BK$119,1,Source_Data!AO$5-($B$114+$B$116)),0)</f>
        <v>7.24626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339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241.1916115625</v>
      </c>
      <c r="AG121" s="33" t="n">
        <f aca="false">Source_Data!AG$9+Source_Data!AG$10*IF(Source_Data!$C$10=0,0,MAX(0,Inputs!$B$19*Inputs!$B$22*$B$113-Inputs!$B$20)/Source_Data!$C$10)</f>
        <v>16.10722640625</v>
      </c>
      <c r="AH121" s="33" t="n">
        <f aca="false">Source_Data!AH$9+Source_Data!AH$10*IF(Source_Data!$C$10=0,0,MAX(0,Inputs!$B$19*Inputs!$B$22*$B$113-Inputs!$B$20)/Source_Data!$C$10)</f>
        <v>14.4193678125</v>
      </c>
      <c r="AI121" s="33" t="n">
        <f aca="false">Source_Data!AI$9+Source_Data!AI$10*IF(Source_Data!$C$10=0,0,MAX(0,Inputs!$B$19*Inputs!$B$22*$B$113-Inputs!$B$20)/Source_Data!$C$10)</f>
        <v>12.73150921875</v>
      </c>
      <c r="AJ121" s="33" t="n">
        <f aca="false">Source_Data!AJ$9+Source_Data!AJ$10*IF(Source_Data!$C$10=0,0,MAX(0,Inputs!$B$19*Inputs!$B$22*$B$113-Inputs!$B$20)/Source_Data!$C$10)</f>
        <v>10.01136609375</v>
      </c>
      <c r="AK121" s="33" t="n">
        <f aca="false">Source_Data!AK$9+Source_Data!AK$10*IF(Source_Data!$C$10=0,0,MAX(0,Inputs!$B$19*Inputs!$B$22*$B$113-Inputs!$B$20)/Source_Data!$C$10)</f>
        <v>8.43603140625001</v>
      </c>
      <c r="AL121" s="33" t="n">
        <f aca="false">Source_Data!AL$9+Source_Data!AL$10*IF(Source_Data!$C$10=0,0,MAX(0,Inputs!$B$19*Inputs!$B$22*$B$113-Inputs!$B$20)/Source_Data!$C$10)</f>
        <v>7.35156187500001</v>
      </c>
      <c r="AM121" s="33" t="n">
        <f aca="false">Source_Data!AM$9+Source_Data!AM$10*IF(Source_Data!$C$10=0,0,MAX(0,Inputs!$B$19*Inputs!$B$22*$B$113-Inputs!$B$20)/Source_Data!$C$10)</f>
        <v>3.17023875000001</v>
      </c>
      <c r="AN121" s="33" t="n">
        <f aca="false">Source_Data!AN$9+Source_Data!AN$10*IF(Source_Data!$C$10=0,0,MAX(0,Inputs!$B$19*Inputs!$B$22*$B$113-Inputs!$B$20)/Source_Data!$C$10)</f>
        <v>3.17023875000001</v>
      </c>
      <c r="AO121" s="33" t="n">
        <f aca="false">Source_Data!AO$9+Source_Data!AO$10*IF(Source_Data!$C$10=0,0,MAX(0,Inputs!$B$19*Inputs!$B$22*$B$113-Inputs!$B$20)/Source_Data!$C$10)</f>
        <v>3.17023875000001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194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22</v>
      </c>
      <c r="K122" s="33" t="n">
        <f aca="false">Source_Data!K$11*$B$115</f>
        <v>29.04</v>
      </c>
      <c r="L122" s="33" t="n">
        <f aca="false">Source_Data!L$11*$B$115</f>
        <v>44</v>
      </c>
      <c r="M122" s="33" t="n">
        <f aca="false">Source_Data!M$11*$B$115</f>
        <v>29.04</v>
      </c>
      <c r="N122" s="33" t="n">
        <f aca="false">Source_Data!N$11*$B$115</f>
        <v>29.04</v>
      </c>
      <c r="O122" s="33" t="n">
        <f aca="false">Source_Data!O$11*$B$115</f>
        <v>29.04</v>
      </c>
      <c r="P122" s="33" t="n">
        <f aca="false">Source_Data!P$11*$B$115</f>
        <v>5.808</v>
      </c>
      <c r="Q122" s="33" t="n">
        <f aca="false">Source_Data!Q$11*$B$115</f>
        <v>5.808</v>
      </c>
      <c r="R122" s="33" t="n">
        <f aca="false">Source_Data!R$11*$B$115</f>
        <v>132</v>
      </c>
      <c r="S122" s="33" t="n">
        <f aca="false">Source_Data!S$11*$B$115</f>
        <v>132</v>
      </c>
      <c r="T122" s="33" t="n">
        <f aca="false">Source_Data!T$11*$B$115</f>
        <v>180.4</v>
      </c>
      <c r="U122" s="33" t="n">
        <f aca="false">Source_Data!U$11*$B$115</f>
        <v>128.7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196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14.49252</v>
      </c>
      <c r="M123" s="33" t="n">
        <f aca="false">$B$113*IF(Source_Data!M$5-$B$114&gt;=1,INDEX(Source_Data!$D$12:$BK$12,1,Source_Data!M$5-$B$114),0)</f>
        <v>14.49252</v>
      </c>
      <c r="N123" s="33" t="n">
        <f aca="false">$B$113*IF(Source_Data!N$5-$B$114&gt;=1,INDEX(Source_Data!$D$12:$BK$12,1,Source_Data!N$5-$B$114),0)</f>
        <v>12.43494</v>
      </c>
      <c r="O123" s="33" t="n">
        <f aca="false">$B$113*IF(Source_Data!O$5-$B$114&gt;=1,INDEX(Source_Data!$D$12:$BK$12,1,Source_Data!O$5-$B$114),0)</f>
        <v>7.20153</v>
      </c>
      <c r="P123" s="33" t="n">
        <f aca="false">$B$113*IF(Source_Data!P$5-$B$114&gt;=1,INDEX(Source_Data!$D$12:$BK$12,1,Source_Data!P$5-$B$114),0)</f>
        <v>7.93212</v>
      </c>
      <c r="Q123" s="33" t="n">
        <f aca="false">$B$113*IF(Source_Data!Q$5-$B$114&gt;=1,INDEX(Source_Data!$D$12:$BK$12,1,Source_Data!Q$5-$B$114),0)</f>
        <v>7.39536</v>
      </c>
      <c r="R123" s="33" t="n">
        <f aca="false">$B$113*IF(Source_Data!R$5-$B$114&gt;=1,INDEX(Source_Data!$D$12:$BK$12,1,Source_Data!R$5-$B$114),0)</f>
        <v>7.54446</v>
      </c>
      <c r="S123" s="33" t="n">
        <f aca="false">$B$113*IF(Source_Data!S$5-$B$114&gt;=1,INDEX(Source_Data!$D$12:$BK$12,1,Source_Data!S$5-$B$114),0)</f>
        <v>7.54446</v>
      </c>
      <c r="T123" s="33" t="n">
        <f aca="false">$B$113*IF(Source_Data!T$5-$B$114&gt;=1,INDEX(Source_Data!$D$12:$BK$12,1,Source_Data!T$5-$B$114),0)</f>
        <v>8.23032</v>
      </c>
      <c r="U123" s="33" t="n">
        <f aca="false">$B$113*IF(Source_Data!U$5-$B$114&gt;=1,INDEX(Source_Data!$D$12:$BK$12,1,Source_Data!U$5-$B$114),0)</f>
        <v>8.23032</v>
      </c>
      <c r="V123" s="33" t="n">
        <f aca="false">$B$113*IF(Source_Data!V$5-$B$114&gt;=1,INDEX(Source_Data!$D$12:$BK$12,1,Source_Data!V$5-$B$114),0)</f>
        <v>5.72544</v>
      </c>
      <c r="W123" s="33" t="n">
        <f aca="false">$B$113*IF(Source_Data!W$5-$B$114&gt;=1,INDEX(Source_Data!$D$12:$BK$12,1,Source_Data!W$5-$B$114),0)</f>
        <v>5.72544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215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3.3</v>
      </c>
      <c r="K124" s="33" t="n">
        <f aca="false">Source_Data!K$13*$B$115</f>
        <v>4.356</v>
      </c>
      <c r="L124" s="33" t="n">
        <f aca="false">Source_Data!L$13*$B$115</f>
        <v>6.6</v>
      </c>
      <c r="M124" s="33" t="n">
        <f aca="false">Source_Data!M$13*$B$115</f>
        <v>4.356</v>
      </c>
      <c r="N124" s="33" t="n">
        <f aca="false">Source_Data!N$13*$B$115</f>
        <v>4.356</v>
      </c>
      <c r="O124" s="33" t="n">
        <f aca="false">Source_Data!O$13*$B$115</f>
        <v>4.356</v>
      </c>
      <c r="P124" s="33" t="n">
        <f aca="false">Source_Data!P$13*$B$115</f>
        <v>0.8712</v>
      </c>
      <c r="Q124" s="33" t="n">
        <f aca="false">Source_Data!Q$13*$B$115</f>
        <v>0.8712</v>
      </c>
      <c r="R124" s="33" t="n">
        <f aca="false">Source_Data!R$13*$B$115</f>
        <v>19.8</v>
      </c>
      <c r="S124" s="33" t="n">
        <f aca="false">Source_Data!S$13*$B$115</f>
        <v>19.8</v>
      </c>
      <c r="T124" s="33" t="n">
        <f aca="false">Source_Data!T$13*$B$115</f>
        <v>27.06</v>
      </c>
      <c r="U124" s="33" t="n">
        <f aca="false">Source_Data!U$13*$B$115</f>
        <v>19.305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216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-4.38435</v>
      </c>
      <c r="I125" s="33" t="n">
        <f aca="false">I120-I121-I122-I123-I124</f>
        <v>13.7313</v>
      </c>
      <c r="J125" s="33" t="n">
        <f aca="false">J120-J121-J122-J123-J124</f>
        <v>10.460825</v>
      </c>
      <c r="K125" s="33" t="n">
        <f aca="false">K120-K121-K122-K123-K124</f>
        <v>13.12239</v>
      </c>
      <c r="L125" s="33" t="n">
        <f aca="false">L120-L121-L122-L123-L124</f>
        <v>-43.004975</v>
      </c>
      <c r="M125" s="33" t="n">
        <f aca="false">M120-M121-M122-M123-M124</f>
        <v>-19.9152525</v>
      </c>
      <c r="N125" s="33" t="n">
        <f aca="false">N120-N121-N122-N123-N124</f>
        <v>-1.95988499999999</v>
      </c>
      <c r="O125" s="33" t="n">
        <f aca="false">O120-O121-O122-O123-O124</f>
        <v>20.01</v>
      </c>
      <c r="P125" s="33" t="n">
        <f aca="false">P120-P121-P122-P123-P124</f>
        <v>44.39111625</v>
      </c>
      <c r="Q125" s="33" t="n">
        <f aca="false">Q120-Q121-Q122-Q123-Q124</f>
        <v>54.5727825</v>
      </c>
      <c r="R125" s="33" t="n">
        <f aca="false">R120-R121-R122-R123-R124</f>
        <v>467.4960075</v>
      </c>
      <c r="S125" s="33" t="n">
        <f aca="false">S120-S121-S122-S123-S124</f>
        <v>-43.9542675</v>
      </c>
      <c r="T125" s="33" t="n">
        <f aca="false">T120-T121-T122-T123-T124</f>
        <v>-148.0937275</v>
      </c>
      <c r="U125" s="33" t="n">
        <f aca="false">U120-U121-U122-U123-U124</f>
        <v>-111.8983275</v>
      </c>
      <c r="V125" s="33" t="n">
        <f aca="false">V120-V121-V122-V123-V124</f>
        <v>36.7999875</v>
      </c>
      <c r="W125" s="33" t="n">
        <f aca="false">W120-W121-W122-W123-W124</f>
        <v>34.9884225</v>
      </c>
      <c r="X125" s="33" t="n">
        <f aca="false">X120-X121-X122-X123-X124</f>
        <v>54.779461875</v>
      </c>
      <c r="Y125" s="33" t="n">
        <f aca="false">Y120-Y121-Y122-Y123-Y124</f>
        <v>47.65341375</v>
      </c>
      <c r="Z125" s="33" t="n">
        <f aca="false">Z120-Z121-Z122-Z123-Z124</f>
        <v>38.83787625</v>
      </c>
      <c r="AA125" s="33" t="n">
        <f aca="false">AA120-AA121-AA122-AA123-AA124</f>
        <v>28.54624875</v>
      </c>
      <c r="AB125" s="33" t="n">
        <f aca="false">AB120-AB121-AB122-AB123-AB124</f>
        <v>51.04624875</v>
      </c>
      <c r="AC125" s="33" t="n">
        <f aca="false">AC120-AC121-AC122-AC123-AC124</f>
        <v>51.04624875</v>
      </c>
      <c r="AD125" s="33" t="n">
        <f aca="false">AD120-AD121-AD122-AD123-AD124</f>
        <v>51.04624875</v>
      </c>
      <c r="AE125" s="33" t="n">
        <f aca="false">AE120-AE121-AE122-AE123-AE124</f>
        <v>51.04624875</v>
      </c>
      <c r="AF125" s="33" t="n">
        <f aca="false">AF120-AF121-AF122-AF123-AF124</f>
        <v>-197.2602284375</v>
      </c>
      <c r="AG125" s="33" t="n">
        <f aca="false">AG120-AG121-AG122-AG123-AG124</f>
        <v>20.70929109375</v>
      </c>
      <c r="AH125" s="33" t="n">
        <f aca="false">AH120-AH121-AH122-AH123-AH124</f>
        <v>18.5391871875</v>
      </c>
      <c r="AI125" s="33" t="n">
        <f aca="false">AI120-AI121-AI122-AI123-AI124</f>
        <v>16.36908328125</v>
      </c>
      <c r="AJ125" s="33" t="n">
        <f aca="false">AJ120-AJ121-AJ122-AJ123-AJ124</f>
        <v>12.87175640625</v>
      </c>
      <c r="AK125" s="33" t="n">
        <f aca="false">AK120-AK121-AK122-AK123-AK124</f>
        <v>10.84632609375</v>
      </c>
      <c r="AL125" s="33" t="n">
        <f aca="false">AL120-AL121-AL122-AL123-AL124</f>
        <v>9.45200812499999</v>
      </c>
      <c r="AM125" s="33" t="n">
        <f aca="false">AM120-AM121-AM122-AM123-AM124</f>
        <v>4.07602125</v>
      </c>
      <c r="AN125" s="33" t="n">
        <f aca="false">AN120-AN121-AN122-AN123-AN124</f>
        <v>4.07602125</v>
      </c>
      <c r="AO125" s="33" t="n">
        <f aca="false">AO120-AO121-AO122-AO123-AO124</f>
        <v>4.07602125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217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-89.38435</v>
      </c>
      <c r="I126" s="33" t="n">
        <f aca="false">H126+I125</f>
        <v>-75.65305</v>
      </c>
      <c r="J126" s="33" t="n">
        <f aca="false">I126+J125</f>
        <v>-65.192225</v>
      </c>
      <c r="K126" s="33" t="n">
        <f aca="false">J126+K125</f>
        <v>-52.069835</v>
      </c>
      <c r="L126" s="33" t="n">
        <f aca="false">K126+L125</f>
        <v>-95.07481</v>
      </c>
      <c r="M126" s="33" t="n">
        <f aca="false">L126+M125</f>
        <v>-114.9900625</v>
      </c>
      <c r="N126" s="33" t="n">
        <f aca="false">M126+N125</f>
        <v>-116.9499475</v>
      </c>
      <c r="O126" s="33" t="n">
        <f aca="false">N126+O125</f>
        <v>-96.9399475</v>
      </c>
      <c r="P126" s="33" t="n">
        <f aca="false">O126+P125</f>
        <v>-52.54883125</v>
      </c>
      <c r="Q126" s="33" t="n">
        <f aca="false">P126+Q125</f>
        <v>2.02395125</v>
      </c>
      <c r="R126" s="33" t="n">
        <f aca="false">Q126+R125</f>
        <v>469.51995875</v>
      </c>
      <c r="S126" s="33" t="n">
        <f aca="false">R126+S125</f>
        <v>425.56569125</v>
      </c>
      <c r="T126" s="33" t="n">
        <f aca="false">S126+T125</f>
        <v>277.47196375</v>
      </c>
      <c r="U126" s="33" t="n">
        <f aca="false">T126+U125</f>
        <v>165.57363625</v>
      </c>
      <c r="V126" s="33" t="n">
        <f aca="false">U126+V125</f>
        <v>202.37362375</v>
      </c>
      <c r="W126" s="33" t="n">
        <f aca="false">V126+W125</f>
        <v>237.362046249999</v>
      </c>
      <c r="X126" s="33" t="n">
        <f aca="false">W126+X125</f>
        <v>292.141508124999</v>
      </c>
      <c r="Y126" s="33" t="n">
        <f aca="false">X126+Y125</f>
        <v>339.794921875</v>
      </c>
      <c r="Z126" s="33" t="n">
        <f aca="false">Y126+Z125</f>
        <v>378.632798124999</v>
      </c>
      <c r="AA126" s="33" t="n">
        <f aca="false">Z126+AA125</f>
        <v>407.179046874999</v>
      </c>
      <c r="AB126" s="33" t="n">
        <f aca="false">AA126+AB125</f>
        <v>458.225295624999</v>
      </c>
      <c r="AC126" s="33" t="n">
        <f aca="false">AB126+AC125</f>
        <v>509.271544374999</v>
      </c>
      <c r="AD126" s="33" t="n">
        <f aca="false">AC126+AD125</f>
        <v>560.317793124999</v>
      </c>
      <c r="AE126" s="33" t="n">
        <f aca="false">AD126+AE125</f>
        <v>611.364041874999</v>
      </c>
      <c r="AF126" s="33" t="n">
        <f aca="false">AE126+AF125</f>
        <v>414.1038134375</v>
      </c>
      <c r="AG126" s="33" t="n">
        <f aca="false">AF126+AG125</f>
        <v>434.81310453125</v>
      </c>
      <c r="AH126" s="33" t="n">
        <f aca="false">AG126+AH125</f>
        <v>453.35229171875</v>
      </c>
      <c r="AI126" s="33" t="n">
        <f aca="false">AH126+AI125</f>
        <v>469.721374999999</v>
      </c>
      <c r="AJ126" s="33" t="n">
        <f aca="false">AI126+AJ125</f>
        <v>482.593131406249</v>
      </c>
      <c r="AK126" s="33" t="n">
        <f aca="false">AJ126+AK125</f>
        <v>493.439457499999</v>
      </c>
      <c r="AL126" s="33" t="n">
        <f aca="false">AK126+AL125</f>
        <v>502.891465624999</v>
      </c>
      <c r="AM126" s="33" t="n">
        <f aca="false">AL126+AM125</f>
        <v>506.967486874999</v>
      </c>
      <c r="AN126" s="33" t="n">
        <f aca="false">AM126+AN125</f>
        <v>511.043508124999</v>
      </c>
      <c r="AO126" s="33" t="n">
        <f aca="false">AN126+AO125</f>
        <v>515.119529374999</v>
      </c>
      <c r="AP126" s="33" t="n">
        <f aca="false">AO126+AP125</f>
        <v>515.119529374999</v>
      </c>
      <c r="AQ126" s="33" t="n">
        <f aca="false">AP126+AQ125</f>
        <v>515.119529374999</v>
      </c>
      <c r="AR126" s="33" t="n">
        <f aca="false">AQ126+AR125</f>
        <v>515.119529374999</v>
      </c>
      <c r="AS126" s="33" t="n">
        <f aca="false">AR126+AS125</f>
        <v>515.119529374999</v>
      </c>
      <c r="AT126" s="33" t="n">
        <f aca="false">AS126+AT125</f>
        <v>515.119529374999</v>
      </c>
      <c r="AU126" s="33" t="n">
        <f aca="false">AT126+AU125</f>
        <v>515.119529374999</v>
      </c>
      <c r="AV126" s="33" t="n">
        <f aca="false">AU126+AV125</f>
        <v>515.119529374999</v>
      </c>
      <c r="AW126" s="33" t="n">
        <f aca="false">AV126+AW125</f>
        <v>515.119529374999</v>
      </c>
      <c r="AX126" s="33" t="n">
        <f aca="false">AW126+AX125</f>
        <v>515.119529374999</v>
      </c>
      <c r="AY126" s="33" t="n">
        <f aca="false">AX126+AY125</f>
        <v>515.119529374999</v>
      </c>
      <c r="AZ126" s="33" t="n">
        <f aca="false">AY126+AZ125</f>
        <v>515.119529374999</v>
      </c>
      <c r="BA126" s="33" t="n">
        <f aca="false">AZ126+BA125</f>
        <v>515.119529374999</v>
      </c>
      <c r="BB126" s="33" t="n">
        <f aca="false">BA126+BB125</f>
        <v>515.119529374999</v>
      </c>
      <c r="BC126" s="33" t="n">
        <f aca="false">BB126+BC125</f>
        <v>515.119529374999</v>
      </c>
      <c r="BD126" s="33" t="n">
        <f aca="false">BC126+BD125</f>
        <v>515.119529374999</v>
      </c>
      <c r="BE126" s="33" t="n">
        <f aca="false">BD126+BE125</f>
        <v>515.119529374999</v>
      </c>
      <c r="BF126" s="33" t="n">
        <f aca="false">BE126+BF125</f>
        <v>515.119529374999</v>
      </c>
      <c r="BG126" s="33" t="n">
        <f aca="false">BF126+BG125</f>
        <v>515.119529374999</v>
      </c>
      <c r="BH126" s="33" t="n">
        <f aca="false">BG126+BH125</f>
        <v>515.119529374999</v>
      </c>
      <c r="BI126" s="33" t="n">
        <f aca="false">BH126+BI125</f>
        <v>515.119529374999</v>
      </c>
      <c r="BJ126" s="33" t="n">
        <f aca="false">BI126+BJ125</f>
        <v>515.119529374999</v>
      </c>
      <c r="BK126" s="33" t="n">
        <f aca="false">BJ126+BK125</f>
        <v>515.119529374999</v>
      </c>
    </row>
    <row r="127" customFormat="false" ht="15" hidden="false" customHeight="false" outlineLevel="0" collapsed="false">
      <c r="A127" s="3" t="s">
        <v>340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-50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35.9259259259259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35.9259259259259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35.9259259259259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35.9259259259259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341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9.58333333333333</v>
      </c>
      <c r="Q128" s="33" t="n">
        <f aca="false">IF(AND(Source_Data!Q$6&gt;=Inputs!$B$54,Source_Data!Q$6&lt;Inputs!$B$54+3*Inputs!$B$11),Inputs!$B$9*Inputs!$B$7/Inputs!$B$11,0)</f>
        <v>9.58333333333333</v>
      </c>
      <c r="R128" s="33" t="n">
        <f aca="false">IF(AND(Source_Data!R$6&gt;=Inputs!$B$54,Source_Data!R$6&lt;Inputs!$B$54+3*Inputs!$B$11),Inputs!$B$9*Inputs!$B$7/Inputs!$B$11,0)</f>
        <v>9.58333333333333</v>
      </c>
      <c r="S128" s="33" t="n">
        <f aca="false">IF(AND(Source_Data!S$6&gt;=Inputs!$B$54,Source_Data!S$6&lt;Inputs!$B$54+3*Inputs!$B$11),Inputs!$B$9*Inputs!$B$7/Inputs!$B$11,0)</f>
        <v>9.58333333333333</v>
      </c>
      <c r="T128" s="33" t="n">
        <f aca="false">IF(AND(Source_Data!T$6&gt;=Inputs!$B$54,Source_Data!T$6&lt;Inputs!$B$54+3*Inputs!$B$11),Inputs!$B$9*Inputs!$B$7/Inputs!$B$11,0)</f>
        <v>9.58333333333333</v>
      </c>
      <c r="U128" s="33" t="n">
        <f aca="false">IF(AND(Source_Data!U$6&gt;=Inputs!$B$54,Source_Data!U$6&lt;Inputs!$B$54+3*Inputs!$B$11),Inputs!$B$9*Inputs!$B$7/Inputs!$B$11,0)</f>
        <v>9.58333333333333</v>
      </c>
      <c r="V128" s="33" t="n">
        <f aca="false">IF(AND(Source_Data!V$6&gt;=Inputs!$B$54,Source_Data!V$6&lt;Inputs!$B$54+3*Inputs!$B$11),Inputs!$B$9*Inputs!$B$7/Inputs!$B$11,0)</f>
        <v>9.58333333333333</v>
      </c>
      <c r="W128" s="33" t="n">
        <f aca="false">IF(AND(Source_Data!W$6&gt;=Inputs!$B$54,Source_Data!W$6&lt;Inputs!$B$54+3*Inputs!$B$11),Inputs!$B$9*Inputs!$B$7/Inputs!$B$11,0)</f>
        <v>9.58333333333333</v>
      </c>
      <c r="X128" s="33" t="n">
        <f aca="false">IF(AND(Source_Data!X$6&gt;=Inputs!$B$54,Source_Data!X$6&lt;Inputs!$B$54+3*Inputs!$B$11),Inputs!$B$9*Inputs!$B$7/Inputs!$B$11,0)</f>
        <v>9.58333333333333</v>
      </c>
      <c r="Y128" s="33" t="n">
        <f aca="false">IF(AND(Source_Data!Y$6&gt;=Inputs!$B$54,Source_Data!Y$6&lt;Inputs!$B$54+3*Inputs!$B$11),Inputs!$B$9*Inputs!$B$7/Inputs!$B$11,0)</f>
        <v>9.58333333333333</v>
      </c>
      <c r="Z128" s="33" t="n">
        <f aca="false">IF(AND(Source_Data!Z$6&gt;=Inputs!$B$54,Source_Data!Z$6&lt;Inputs!$B$54+3*Inputs!$B$11),Inputs!$B$9*Inputs!$B$7/Inputs!$B$11,0)</f>
        <v>9.58333333333333</v>
      </c>
      <c r="AA128" s="33" t="n">
        <f aca="false">IF(AND(Source_Data!AA$6&gt;=Inputs!$B$54,Source_Data!AA$6&lt;Inputs!$B$54+3*Inputs!$B$11),Inputs!$B$9*Inputs!$B$7/Inputs!$B$11,0)</f>
        <v>9.58333333333333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342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-50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9.58333333333333</v>
      </c>
      <c r="Q129" s="33" t="n">
        <f aca="false">IF(Source_Data!Q$6=Inputs!$B$12,-Inputs!$B$7,0)+Q128</f>
        <v>9.58333333333333</v>
      </c>
      <c r="R129" s="33" t="n">
        <f aca="false">IF(Source_Data!R$6=Inputs!$B$12,-Inputs!$B$7,0)+R128</f>
        <v>9.58333333333333</v>
      </c>
      <c r="S129" s="33" t="n">
        <f aca="false">IF(Source_Data!S$6=Inputs!$B$12,-Inputs!$B$7,0)+S128</f>
        <v>9.58333333333333</v>
      </c>
      <c r="T129" s="33" t="n">
        <f aca="false">IF(Source_Data!T$6=Inputs!$B$12,-Inputs!$B$7,0)+T128</f>
        <v>9.58333333333333</v>
      </c>
      <c r="U129" s="33" t="n">
        <f aca="false">IF(Source_Data!U$6=Inputs!$B$12,-Inputs!$B$7,0)+U128</f>
        <v>9.58333333333333</v>
      </c>
      <c r="V129" s="33" t="n">
        <f aca="false">IF(Source_Data!V$6=Inputs!$B$12,-Inputs!$B$7,0)+V128</f>
        <v>9.58333333333333</v>
      </c>
      <c r="W129" s="33" t="n">
        <f aca="false">IF(Source_Data!W$6=Inputs!$B$12,-Inputs!$B$7,0)+W128</f>
        <v>9.58333333333333</v>
      </c>
      <c r="X129" s="33" t="n">
        <f aca="false">IF(Source_Data!X$6=Inputs!$B$12,-Inputs!$B$7,0)+X128</f>
        <v>9.58333333333333</v>
      </c>
      <c r="Y129" s="33" t="n">
        <f aca="false">IF(Source_Data!Y$6=Inputs!$B$12,-Inputs!$B$7,0)+Y128</f>
        <v>9.58333333333333</v>
      </c>
      <c r="Z129" s="33" t="n">
        <f aca="false">IF(Source_Data!Z$6=Inputs!$B$12,-Inputs!$B$7,0)+Z128</f>
        <v>9.58333333333333</v>
      </c>
      <c r="AA129" s="33" t="n">
        <f aca="false">IF(Source_Data!AA$6=Inputs!$B$12,-Inputs!$B$7,0)+AA128</f>
        <v>9.58333333333333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343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-35</v>
      </c>
      <c r="H130" s="33" t="n">
        <f aca="false">G130+IF(Source_Data!H$6=Inputs!$B$12,Inputs!$B$7,0)+H125-H128</f>
        <v>-39.38435</v>
      </c>
      <c r="I130" s="33" t="n">
        <f aca="false">H130+IF(Source_Data!I$6=Inputs!$B$12,Inputs!$B$7,0)+I125-I128</f>
        <v>-25.65305</v>
      </c>
      <c r="J130" s="33" t="n">
        <f aca="false">I130+IF(Source_Data!J$6=Inputs!$B$12,Inputs!$B$7,0)+J125-J128</f>
        <v>-15.192225</v>
      </c>
      <c r="K130" s="33" t="n">
        <f aca="false">J130+IF(Source_Data!K$6=Inputs!$B$12,Inputs!$B$7,0)+K125-K128</f>
        <v>-2.06983500000001</v>
      </c>
      <c r="L130" s="33" t="n">
        <f aca="false">K130+IF(Source_Data!L$6=Inputs!$B$12,Inputs!$B$7,0)+L125-L128</f>
        <v>-45.07481</v>
      </c>
      <c r="M130" s="33" t="n">
        <f aca="false">L130+IF(Source_Data!M$6=Inputs!$B$12,Inputs!$B$7,0)+M125-M128</f>
        <v>-64.9900625</v>
      </c>
      <c r="N130" s="33" t="n">
        <f aca="false">M130+IF(Source_Data!N$6=Inputs!$B$12,Inputs!$B$7,0)+N125-N128</f>
        <v>-66.9499475</v>
      </c>
      <c r="O130" s="33" t="n">
        <f aca="false">N130+IF(Source_Data!O$6=Inputs!$B$12,Inputs!$B$7,0)+O125-O128</f>
        <v>-46.9399475</v>
      </c>
      <c r="P130" s="33" t="n">
        <f aca="false">O130+IF(Source_Data!P$6=Inputs!$B$12,Inputs!$B$7,0)+P125-P128</f>
        <v>-12.1321645833333</v>
      </c>
      <c r="Q130" s="33" t="n">
        <f aca="false">P130+IF(Source_Data!Q$6=Inputs!$B$12,Inputs!$B$7,0)+Q125-Q128</f>
        <v>32.8572845833333</v>
      </c>
      <c r="R130" s="33" t="n">
        <f aca="false">Q130+IF(Source_Data!R$6=Inputs!$B$12,Inputs!$B$7,0)+R125-R128</f>
        <v>490.76995875</v>
      </c>
      <c r="S130" s="33" t="n">
        <f aca="false">R130+IF(Source_Data!S$6=Inputs!$B$12,Inputs!$B$7,0)+S125-S128</f>
        <v>437.232357916667</v>
      </c>
      <c r="T130" s="33" t="n">
        <f aca="false">S130+IF(Source_Data!T$6=Inputs!$B$12,Inputs!$B$7,0)+T125-T128</f>
        <v>279.555297083333</v>
      </c>
      <c r="U130" s="33" t="n">
        <f aca="false">T130+IF(Source_Data!U$6=Inputs!$B$12,Inputs!$B$7,0)+U125-U128</f>
        <v>158.07363625</v>
      </c>
      <c r="V130" s="33" t="n">
        <f aca="false">U130+IF(Source_Data!V$6=Inputs!$B$12,Inputs!$B$7,0)+V125-V128</f>
        <v>185.290290416666</v>
      </c>
      <c r="W130" s="33" t="n">
        <f aca="false">V130+IF(Source_Data!W$6=Inputs!$B$12,Inputs!$B$7,0)+W125-W128</f>
        <v>210.695379583333</v>
      </c>
      <c r="X130" s="33" t="n">
        <f aca="false">W130+IF(Source_Data!X$6=Inputs!$B$12,Inputs!$B$7,0)+X125-X128</f>
        <v>255.891508125</v>
      </c>
      <c r="Y130" s="33" t="n">
        <f aca="false">X130+IF(Source_Data!Y$6=Inputs!$B$12,Inputs!$B$7,0)+Y125-Y128</f>
        <v>293.961588541666</v>
      </c>
      <c r="Z130" s="33" t="n">
        <f aca="false">Y130+IF(Source_Data!Z$6=Inputs!$B$12,Inputs!$B$7,0)+Z125-Z128</f>
        <v>323.216131458333</v>
      </c>
      <c r="AA130" s="33" t="n">
        <f aca="false">Z130+IF(Source_Data!AA$6=Inputs!$B$12,Inputs!$B$7,0)+AA125-AA128</f>
        <v>342.179046875</v>
      </c>
      <c r="AB130" s="33" t="n">
        <f aca="false">AA130+IF(Source_Data!AB$6=Inputs!$B$12,Inputs!$B$7,0)+AB125-AB128</f>
        <v>393.225295625</v>
      </c>
      <c r="AC130" s="33" t="n">
        <f aca="false">AB130+IF(Source_Data!AC$6=Inputs!$B$12,Inputs!$B$7,0)+AC125-AC128</f>
        <v>444.271544374999</v>
      </c>
      <c r="AD130" s="33" t="n">
        <f aca="false">AC130+IF(Source_Data!AD$6=Inputs!$B$12,Inputs!$B$7,0)+AD125-AD128</f>
        <v>495.317793124999</v>
      </c>
      <c r="AE130" s="33" t="n">
        <f aca="false">AD130+IF(Source_Data!AE$6=Inputs!$B$12,Inputs!$B$7,0)+AE125-AE128</f>
        <v>546.364041874999</v>
      </c>
      <c r="AF130" s="33" t="n">
        <f aca="false">AE130+IF(Source_Data!AF$6=Inputs!$B$12,Inputs!$B$7,0)+AF125-AF128</f>
        <v>349.1038134375</v>
      </c>
      <c r="AG130" s="33" t="n">
        <f aca="false">AF130+IF(Source_Data!AG$6=Inputs!$B$12,Inputs!$B$7,0)+AG125-AG128</f>
        <v>369.81310453125</v>
      </c>
      <c r="AH130" s="33" t="n">
        <f aca="false">AG130+IF(Source_Data!AH$6=Inputs!$B$12,Inputs!$B$7,0)+AH125-AH128</f>
        <v>388.35229171875</v>
      </c>
      <c r="AI130" s="33" t="n">
        <f aca="false">AH130+IF(Source_Data!AI$6=Inputs!$B$12,Inputs!$B$7,0)+AI125-AI128</f>
        <v>404.721375</v>
      </c>
      <c r="AJ130" s="33" t="n">
        <f aca="false">AI130+IF(Source_Data!AJ$6=Inputs!$B$12,Inputs!$B$7,0)+AJ125-AJ128</f>
        <v>417.59313140625</v>
      </c>
      <c r="AK130" s="33" t="n">
        <f aca="false">AJ130+IF(Source_Data!AK$6=Inputs!$B$12,Inputs!$B$7,0)+AK125-AK128</f>
        <v>428.4394575</v>
      </c>
      <c r="AL130" s="33" t="n">
        <f aca="false">AK130+IF(Source_Data!AL$6=Inputs!$B$12,Inputs!$B$7,0)+AL125-AL128</f>
        <v>437.891465625</v>
      </c>
      <c r="AM130" s="33" t="n">
        <f aca="false">AL130+IF(Source_Data!AM$6=Inputs!$B$12,Inputs!$B$7,0)+AM125-AM128</f>
        <v>441.967486875</v>
      </c>
      <c r="AN130" s="33" t="n">
        <f aca="false">AM130+IF(Source_Data!AN$6=Inputs!$B$12,Inputs!$B$7,0)+AN125-AN128</f>
        <v>446.043508125</v>
      </c>
      <c r="AO130" s="33" t="n">
        <f aca="false">AN130+IF(Source_Data!AO$6=Inputs!$B$12,Inputs!$B$7,0)+AO125-AO128</f>
        <v>450.119529375</v>
      </c>
      <c r="AP130" s="33" t="n">
        <f aca="false">AO130+IF(Source_Data!AP$6=Inputs!$B$12,Inputs!$B$7,0)+AP125-AP128</f>
        <v>450.119529375</v>
      </c>
      <c r="AQ130" s="33" t="n">
        <f aca="false">AP130+IF(Source_Data!AQ$6=Inputs!$B$12,Inputs!$B$7,0)+AQ125-AQ128</f>
        <v>450.119529375</v>
      </c>
      <c r="AR130" s="33" t="n">
        <f aca="false">AQ130+IF(Source_Data!AR$6=Inputs!$B$12,Inputs!$B$7,0)+AR125-AR128</f>
        <v>450.119529375</v>
      </c>
      <c r="AS130" s="33" t="n">
        <f aca="false">AR130+IF(Source_Data!AS$6=Inputs!$B$12,Inputs!$B$7,0)+AS125-AS128</f>
        <v>450.119529375</v>
      </c>
      <c r="AT130" s="33" t="n">
        <f aca="false">AS130+IF(Source_Data!AT$6=Inputs!$B$12,Inputs!$B$7,0)+AT125-AT128</f>
        <v>450.119529375</v>
      </c>
      <c r="AU130" s="33" t="n">
        <f aca="false">AT130+IF(Source_Data!AU$6=Inputs!$B$12,Inputs!$B$7,0)+AU125-AU128</f>
        <v>450.119529375</v>
      </c>
      <c r="AV130" s="33" t="n">
        <f aca="false">AU130+IF(Source_Data!AV$6=Inputs!$B$12,Inputs!$B$7,0)+AV125-AV128</f>
        <v>450.119529375</v>
      </c>
      <c r="AW130" s="33" t="n">
        <f aca="false">AV130+IF(Source_Data!AW$6=Inputs!$B$12,Inputs!$B$7,0)+AW125-AW128</f>
        <v>450.119529375</v>
      </c>
      <c r="AX130" s="33" t="n">
        <f aca="false">AW130+IF(Source_Data!AX$6=Inputs!$B$12,Inputs!$B$7,0)+AX125-AX128</f>
        <v>450.119529375</v>
      </c>
      <c r="AY130" s="33" t="n">
        <f aca="false">AX130+IF(Source_Data!AY$6=Inputs!$B$12,Inputs!$B$7,0)+AY125-AY128</f>
        <v>450.119529375</v>
      </c>
      <c r="AZ130" s="33" t="n">
        <f aca="false">AY130+IF(Source_Data!AZ$6=Inputs!$B$12,Inputs!$B$7,0)+AZ125-AZ128</f>
        <v>450.119529375</v>
      </c>
      <c r="BA130" s="33" t="n">
        <f aca="false">AZ130+IF(Source_Data!BA$6=Inputs!$B$12,Inputs!$B$7,0)+BA125-BA128</f>
        <v>450.119529375</v>
      </c>
      <c r="BB130" s="33" t="n">
        <f aca="false">BA130+IF(Source_Data!BB$6=Inputs!$B$12,Inputs!$B$7,0)+BB125-BB128</f>
        <v>450.119529375</v>
      </c>
      <c r="BC130" s="33" t="n">
        <f aca="false">BB130+IF(Source_Data!BC$6=Inputs!$B$12,Inputs!$B$7,0)+BC125-BC128</f>
        <v>450.119529375</v>
      </c>
      <c r="BD130" s="33" t="n">
        <f aca="false">BC130+IF(Source_Data!BD$6=Inputs!$B$12,Inputs!$B$7,0)+BD125-BD128</f>
        <v>450.119529375</v>
      </c>
      <c r="BE130" s="33" t="n">
        <f aca="false">BD130+IF(Source_Data!BE$6=Inputs!$B$12,Inputs!$B$7,0)+BE125-BE128</f>
        <v>450.119529375</v>
      </c>
      <c r="BF130" s="33" t="n">
        <f aca="false">BE130+IF(Source_Data!BF$6=Inputs!$B$12,Inputs!$B$7,0)+BF125-BF128</f>
        <v>450.119529375</v>
      </c>
      <c r="BG130" s="33" t="n">
        <f aca="false">BF130+IF(Source_Data!BG$6=Inputs!$B$12,Inputs!$B$7,0)+BG125-BG128</f>
        <v>450.119529375</v>
      </c>
      <c r="BH130" s="33" t="n">
        <f aca="false">BG130+IF(Source_Data!BH$6=Inputs!$B$12,Inputs!$B$7,0)+BH125-BH128</f>
        <v>450.119529375</v>
      </c>
      <c r="BI130" s="33" t="n">
        <f aca="false">BH130+IF(Source_Data!BI$6=Inputs!$B$12,Inputs!$B$7,0)+BI125-BI128</f>
        <v>450.119529375</v>
      </c>
      <c r="BJ130" s="33" t="n">
        <f aca="false">BI130+IF(Source_Data!BJ$6=Inputs!$B$12,Inputs!$B$7,0)+BJ125-BJ128</f>
        <v>450.119529375</v>
      </c>
      <c r="BK130" s="33" t="n">
        <f aca="false">BJ130+IF(Source_Data!BK$6=Inputs!$B$12,Inputs!$B$7,0)+BK125-BK128</f>
        <v>450.119529375</v>
      </c>
    </row>
    <row r="131" customFormat="false" ht="15" hidden="false" customHeight="false" outlineLevel="0" collapsed="false">
      <c r="A131" s="3" t="s">
        <v>344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4.63211647826087</v>
      </c>
      <c r="Q131" s="31" t="n">
        <f aca="false">IF(Q128&gt;0,Q125/Q128,"")</f>
        <v>5.6945512173913</v>
      </c>
      <c r="R131" s="31" t="n">
        <f aca="false">IF(R128&gt;0,R125/R128,"")</f>
        <v>48.7821920869565</v>
      </c>
      <c r="S131" s="31" t="n">
        <f aca="false">IF(S128&gt;0,S125/S128,"")</f>
        <v>-4.58653226086957</v>
      </c>
      <c r="T131" s="31" t="n">
        <f aca="false">IF(T128&gt;0,T125/T128,"")</f>
        <v>-15.4532585217391</v>
      </c>
      <c r="U131" s="31" t="n">
        <f aca="false">IF(U128&gt;0,U125/U128,"")</f>
        <v>-11.6763472173913</v>
      </c>
      <c r="V131" s="31" t="n">
        <f aca="false">IF(V128&gt;0,V125/V128,"")</f>
        <v>3.83999869565217</v>
      </c>
      <c r="W131" s="31" t="n">
        <f aca="false">IF(W128&gt;0,W125/W128,"")</f>
        <v>3.65096582608695</v>
      </c>
      <c r="X131" s="31" t="n">
        <f aca="false">IF(X128&gt;0,X125/X128,"")</f>
        <v>5.71611776086957</v>
      </c>
      <c r="Y131" s="31" t="n">
        <f aca="false">IF(Y128&gt;0,Y125/Y128,"")</f>
        <v>4.97253013043479</v>
      </c>
      <c r="Z131" s="31" t="n">
        <f aca="false">IF(Z128&gt;0,Z125/Z128,"")</f>
        <v>4.05264795652174</v>
      </c>
      <c r="AA131" s="31" t="n">
        <f aca="false">IF(AA128&gt;0,AA125/AA128,"")</f>
        <v>2.978739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345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-0.265964999999999</v>
      </c>
      <c r="Q132" s="31" t="n">
        <f aca="false">IF(Q128&gt;0,(P130+Q125+IF(Source_Data!Q$6=Inputs!$B$12,Inputs!$B$7,0))/Q128,"")</f>
        <v>4.42858621739131</v>
      </c>
      <c r="R132" s="31" t="n">
        <f aca="false">IF(R128&gt;0,(Q130+R125+IF(Source_Data!R$6=Inputs!$B$12,Inputs!$B$7,0))/R128,"")</f>
        <v>52.2107783043478</v>
      </c>
      <c r="S132" s="31" t="n">
        <f aca="false">IF(S128&gt;0,(R130+S125+IF(Source_Data!S$6=Inputs!$B$12,Inputs!$B$7,0))/S128,"")</f>
        <v>46.6242460434782</v>
      </c>
      <c r="T132" s="31" t="n">
        <f aca="false">IF(T128&gt;0,(S130+T125+IF(Source_Data!T$6=Inputs!$B$12,Inputs!$B$7,0))/T128,"")</f>
        <v>30.1709875217391</v>
      </c>
      <c r="U132" s="31" t="n">
        <f aca="false">IF(U128&gt;0,(T130+U125+IF(Source_Data!U$6=Inputs!$B$12,Inputs!$B$7,0))/U128,"")</f>
        <v>17.4946403043478</v>
      </c>
      <c r="V132" s="31" t="n">
        <f aca="false">IF(V128&gt;0,(U130+V125+IF(Source_Data!V$6=Inputs!$B$12,Inputs!$B$7,0))/V128,"")</f>
        <v>20.334639</v>
      </c>
      <c r="W132" s="31" t="n">
        <f aca="false">IF(W128&gt;0,(V130+W125+IF(Source_Data!W$6=Inputs!$B$12,Inputs!$B$7,0))/W128,"")</f>
        <v>22.9856048260869</v>
      </c>
      <c r="X132" s="31" t="n">
        <f aca="false">IF(X128&gt;0,(W130+X125+IF(Source_Data!X$6=Inputs!$B$12,Inputs!$B$7,0))/X128,"")</f>
        <v>27.7017225869565</v>
      </c>
      <c r="Y132" s="31" t="n">
        <f aca="false">IF(Y128&gt;0,(X130+Y125+IF(Source_Data!Y$6=Inputs!$B$12,Inputs!$B$7,0))/Y128,"")</f>
        <v>31.6742527173913</v>
      </c>
      <c r="Z132" s="31" t="n">
        <f aca="false">IF(Z128&gt;0,(Y130+Z125+IF(Source_Data!Z$6=Inputs!$B$12,Inputs!$B$7,0))/Z128,"")</f>
        <v>34.726900673913</v>
      </c>
      <c r="AA132" s="31" t="n">
        <f aca="false">IF(AA128&gt;0,(Z130+AA125+IF(Source_Data!AA$6=Inputs!$B$12,Inputs!$B$7,0))/AA128,"")</f>
        <v>36.705639673913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220</v>
      </c>
      <c r="B134" s="41" t="n">
        <f aca="false">SUM(D125:BK125)</f>
        <v>515.119529375</v>
      </c>
    </row>
    <row r="135" customFormat="false" ht="15" hidden="false" customHeight="false" outlineLevel="0" collapsed="false">
      <c r="A135" s="2" t="s">
        <v>346</v>
      </c>
      <c r="B135" s="41" t="n">
        <f aca="false">SUMPRODUCT(D125:BK125,Project_CF!$D$15:$BK$15)</f>
        <v>257.925437188775</v>
      </c>
    </row>
    <row r="136" customFormat="false" ht="15" hidden="false" customHeight="false" outlineLevel="0" collapsed="false">
      <c r="A136" s="2" t="s">
        <v>162</v>
      </c>
      <c r="B136" s="41" t="n">
        <f aca="false">MIN(D126:BK126)</f>
        <v>-116.9499475</v>
      </c>
    </row>
    <row r="137" customFormat="false" ht="15" hidden="false" customHeight="false" outlineLevel="0" collapsed="false">
      <c r="A137" s="2" t="s">
        <v>347</v>
      </c>
      <c r="B137" s="35" t="n">
        <f aca="false">INDEX(Project_CF!$D$6:$BK$6,MATCH(MIN(D126:BK126),D126:BK126,0))</f>
        <v>33</v>
      </c>
    </row>
    <row r="138" customFormat="false" ht="15" hidden="false" customHeight="false" outlineLevel="0" collapsed="false">
      <c r="A138" s="2" t="s">
        <v>348</v>
      </c>
      <c r="B138" s="39" t="n">
        <f aca="false">(1+IRR(D127:BK127,0.05))^4-1</f>
        <v>0.292473250549915</v>
      </c>
    </row>
    <row r="139" customFormat="false" ht="15" hidden="false" customHeight="false" outlineLevel="0" collapsed="false">
      <c r="A139" s="2" t="s">
        <v>349</v>
      </c>
      <c r="B139" s="40" t="n">
        <f aca="false">SUMIF(D127:BK127,"&gt;0")/-SUMIF(D127:BK127,"&lt;0")</f>
        <v>2.87407407407407</v>
      </c>
    </row>
    <row r="140" customFormat="false" ht="15" hidden="false" customHeight="false" outlineLevel="0" collapsed="false">
      <c r="A140" s="2" t="s">
        <v>350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351</v>
      </c>
      <c r="B141" s="41" t="n">
        <f aca="false">MIN(D130:BK130)</f>
        <v>-66.9499475</v>
      </c>
    </row>
    <row r="142" customFormat="false" ht="15" hidden="false" customHeight="false" outlineLevel="0" collapsed="false">
      <c r="A142" s="2" t="s">
        <v>352</v>
      </c>
      <c r="B142" s="43" t="n">
        <f aca="false">MIN(D131:BK131)</f>
        <v>-15.4532585217391</v>
      </c>
    </row>
    <row r="143" customFormat="false" ht="15" hidden="false" customHeight="false" outlineLevel="0" collapsed="false">
      <c r="A143" s="2" t="s">
        <v>353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354</v>
      </c>
      <c r="B144" s="43" t="n">
        <f aca="false">MIN(D132:BK132)</f>
        <v>-0.265964999999999</v>
      </c>
    </row>
    <row r="145" customFormat="false" ht="15" hidden="false" customHeight="false" outlineLevel="0" collapsed="false">
      <c r="A145" s="2" t="s">
        <v>355</v>
      </c>
      <c r="B145" s="35" t="n">
        <f aca="false">COUNTIF(D132:BK132,"&lt;"&amp;Inputs!$B$43)</f>
        <v>1</v>
      </c>
    </row>
    <row r="148" customFormat="false" ht="15" hidden="false" customHeight="false" outlineLevel="0" collapsed="false">
      <c r="A148" s="8" t="s">
        <v>64</v>
      </c>
    </row>
    <row r="149" customFormat="false" ht="15" hidden="false" customHeight="false" outlineLevel="0" collapsed="false">
      <c r="A149" s="3" t="s">
        <v>331</v>
      </c>
      <c r="B149" s="45" t="n">
        <v>1</v>
      </c>
    </row>
    <row r="150" customFormat="false" ht="15" hidden="false" customHeight="false" outlineLevel="0" collapsed="false">
      <c r="A150" s="3" t="s">
        <v>332</v>
      </c>
      <c r="B150" s="45" t="n">
        <v>0</v>
      </c>
    </row>
    <row r="151" customFormat="false" ht="15" hidden="false" customHeight="false" outlineLevel="0" collapsed="false">
      <c r="A151" s="3" t="s">
        <v>333</v>
      </c>
      <c r="B151" s="45" t="n">
        <v>1</v>
      </c>
    </row>
    <row r="152" customFormat="false" ht="15" hidden="false" customHeight="false" outlineLevel="0" collapsed="false">
      <c r="A152" s="3" t="s">
        <v>334</v>
      </c>
      <c r="B152" s="45" t="n">
        <v>2</v>
      </c>
    </row>
    <row r="153" customFormat="false" ht="15" hidden="false" customHeight="false" outlineLevel="0" collapsed="false">
      <c r="A153" s="3" t="s">
        <v>335</v>
      </c>
      <c r="B153" s="45" t="n">
        <v>0</v>
      </c>
    </row>
    <row r="154" customFormat="false" ht="15" hidden="false" customHeight="false" outlineLevel="0" collapsed="false">
      <c r="A154" s="3" t="s">
        <v>336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337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338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339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194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196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14.49252</v>
      </c>
      <c r="M159" s="33" t="n">
        <f aca="false">$B$149*IF(Source_Data!M$5-$B$150&gt;=1,INDEX(Source_Data!$D$12:$BK$12,1,Source_Data!M$5-$B$150),0)</f>
        <v>14.49252</v>
      </c>
      <c r="N159" s="33" t="n">
        <f aca="false">$B$149*IF(Source_Data!N$5-$B$150&gt;=1,INDEX(Source_Data!$D$12:$BK$12,1,Source_Data!N$5-$B$150),0)</f>
        <v>12.43494</v>
      </c>
      <c r="O159" s="33" t="n">
        <f aca="false">$B$149*IF(Source_Data!O$5-$B$150&gt;=1,INDEX(Source_Data!$D$12:$BK$12,1,Source_Data!O$5-$B$150),0)</f>
        <v>7.20153</v>
      </c>
      <c r="P159" s="33" t="n">
        <f aca="false">$B$149*IF(Source_Data!P$5-$B$150&gt;=1,INDEX(Source_Data!$D$12:$BK$12,1,Source_Data!P$5-$B$150),0)</f>
        <v>7.93212</v>
      </c>
      <c r="Q159" s="33" t="n">
        <f aca="false">$B$149*IF(Source_Data!Q$5-$B$150&gt;=1,INDEX(Source_Data!$D$12:$BK$12,1,Source_Data!Q$5-$B$150),0)</f>
        <v>7.39536</v>
      </c>
      <c r="R159" s="33" t="n">
        <f aca="false">$B$149*IF(Source_Data!R$5-$B$150&gt;=1,INDEX(Source_Data!$D$12:$BK$12,1,Source_Data!R$5-$B$150),0)</f>
        <v>7.54446</v>
      </c>
      <c r="S159" s="33" t="n">
        <f aca="false">$B$149*IF(Source_Data!S$5-$B$150&gt;=1,INDEX(Source_Data!$D$12:$BK$12,1,Source_Data!S$5-$B$150),0)</f>
        <v>7.54446</v>
      </c>
      <c r="T159" s="33" t="n">
        <f aca="false">$B$149*IF(Source_Data!T$5-$B$150&gt;=1,INDEX(Source_Data!$D$12:$BK$12,1,Source_Data!T$5-$B$150),0)</f>
        <v>8.23032</v>
      </c>
      <c r="U159" s="33" t="n">
        <f aca="false">$B$149*IF(Source_Data!U$5-$B$150&gt;=1,INDEX(Source_Data!$D$12:$BK$12,1,Source_Data!U$5-$B$150),0)</f>
        <v>8.23032</v>
      </c>
      <c r="V159" s="33" t="n">
        <f aca="false">$B$149*IF(Source_Data!V$5-$B$150&gt;=1,INDEX(Source_Data!$D$12:$BK$12,1,Source_Data!V$5-$B$150),0)</f>
        <v>5.72544</v>
      </c>
      <c r="W159" s="33" t="n">
        <f aca="false">$B$149*IF(Source_Data!W$5-$B$150&gt;=1,INDEX(Source_Data!$D$12:$BK$12,1,Source_Data!W$5-$B$150),0)</f>
        <v>5.72544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215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216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-47.231695</v>
      </c>
      <c r="M161" s="33" t="n">
        <f aca="false">M156-M157-M158-M159-M160</f>
        <v>-20.83413</v>
      </c>
      <c r="N161" s="33" t="n">
        <f aca="false">N156-N157-N158-N159-N160</f>
        <v>-20.707395</v>
      </c>
      <c r="O161" s="33" t="n">
        <f aca="false">O156-O157-O158-O159-O160</f>
        <v>-9.58826249999999</v>
      </c>
      <c r="P161" s="33" t="n">
        <f aca="false">P156-P157-P158-P159-P160</f>
        <v>18.616935</v>
      </c>
      <c r="Q161" s="33" t="n">
        <f aca="false">Q156-Q157-Q158-Q159-Q160</f>
        <v>35.89017</v>
      </c>
      <c r="R161" s="33" t="n">
        <f aca="false">R156-R157-R158-R159-R160</f>
        <v>-86.54202375</v>
      </c>
      <c r="S161" s="33" t="n">
        <f aca="false">S156-S157-S158-S159-S160</f>
        <v>-76.8971175</v>
      </c>
      <c r="T161" s="33" t="n">
        <f aca="false">T156-T157-T158-T159-T160</f>
        <v>441.2601475</v>
      </c>
      <c r="U161" s="33" t="n">
        <f aca="false">U156-U157-U158-U159-U160</f>
        <v>-16.1401275</v>
      </c>
      <c r="V161" s="33" t="n">
        <f aca="false">V156-V157-V158-V159-V160</f>
        <v>61.8711524999999</v>
      </c>
      <c r="W161" s="33" t="n">
        <f aca="false">W156-W157-W158-W159-W160</f>
        <v>38.6115525</v>
      </c>
      <c r="X161" s="33" t="n">
        <f aca="false">X156-X157-X158-X159-X160</f>
        <v>65.0254275</v>
      </c>
      <c r="Y161" s="33" t="n">
        <f aca="false">Y156-Y157-Y158-Y159-Y160</f>
        <v>63.2138625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217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-221.244745</v>
      </c>
      <c r="M162" s="33" t="n">
        <f aca="false">L162+M161</f>
        <v>-242.078875</v>
      </c>
      <c r="N162" s="33" t="n">
        <f aca="false">M162+N161</f>
        <v>-262.78627</v>
      </c>
      <c r="O162" s="33" t="n">
        <f aca="false">N162+O161</f>
        <v>-272.3745325</v>
      </c>
      <c r="P162" s="33" t="n">
        <f aca="false">O162+P161</f>
        <v>-253.7575975</v>
      </c>
      <c r="Q162" s="33" t="n">
        <f aca="false">P162+Q161</f>
        <v>-217.8674275</v>
      </c>
      <c r="R162" s="33" t="n">
        <f aca="false">Q162+R161</f>
        <v>-304.40945125</v>
      </c>
      <c r="S162" s="33" t="n">
        <f aca="false">R162+S161</f>
        <v>-381.30656875</v>
      </c>
      <c r="T162" s="33" t="n">
        <f aca="false">S162+T161</f>
        <v>59.9535787499998</v>
      </c>
      <c r="U162" s="33" t="n">
        <f aca="false">T162+U161</f>
        <v>43.8134512499998</v>
      </c>
      <c r="V162" s="33" t="n">
        <f aca="false">U162+V161</f>
        <v>105.68460375</v>
      </c>
      <c r="W162" s="33" t="n">
        <f aca="false">V162+W161</f>
        <v>144.29615625</v>
      </c>
      <c r="X162" s="33" t="n">
        <f aca="false">W162+X161</f>
        <v>209.32158375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340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-50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35.9259259259259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35.9259259259259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35.9259259259259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35.9259259259259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341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9.58333333333333</v>
      </c>
      <c r="Q164" s="33" t="n">
        <f aca="false">IF(AND(Source_Data!Q$6&gt;=Inputs!$B$54,Source_Data!Q$6&lt;Inputs!$B$54+3*Inputs!$B$11),Inputs!$B$9*Inputs!$B$7/Inputs!$B$11,0)</f>
        <v>9.58333333333333</v>
      </c>
      <c r="R164" s="33" t="n">
        <f aca="false">IF(AND(Source_Data!R$6&gt;=Inputs!$B$54,Source_Data!R$6&lt;Inputs!$B$54+3*Inputs!$B$11),Inputs!$B$9*Inputs!$B$7/Inputs!$B$11,0)</f>
        <v>9.58333333333333</v>
      </c>
      <c r="S164" s="33" t="n">
        <f aca="false">IF(AND(Source_Data!S$6&gt;=Inputs!$B$54,Source_Data!S$6&lt;Inputs!$B$54+3*Inputs!$B$11),Inputs!$B$9*Inputs!$B$7/Inputs!$B$11,0)</f>
        <v>9.58333333333333</v>
      </c>
      <c r="T164" s="33" t="n">
        <f aca="false">IF(AND(Source_Data!T$6&gt;=Inputs!$B$54,Source_Data!T$6&lt;Inputs!$B$54+3*Inputs!$B$11),Inputs!$B$9*Inputs!$B$7/Inputs!$B$11,0)</f>
        <v>9.58333333333333</v>
      </c>
      <c r="U164" s="33" t="n">
        <f aca="false">IF(AND(Source_Data!U$6&gt;=Inputs!$B$54,Source_Data!U$6&lt;Inputs!$B$54+3*Inputs!$B$11),Inputs!$B$9*Inputs!$B$7/Inputs!$B$11,0)</f>
        <v>9.58333333333333</v>
      </c>
      <c r="V164" s="33" t="n">
        <f aca="false">IF(AND(Source_Data!V$6&gt;=Inputs!$B$54,Source_Data!V$6&lt;Inputs!$B$54+3*Inputs!$B$11),Inputs!$B$9*Inputs!$B$7/Inputs!$B$11,0)</f>
        <v>9.58333333333333</v>
      </c>
      <c r="W164" s="33" t="n">
        <f aca="false">IF(AND(Source_Data!W$6&gt;=Inputs!$B$54,Source_Data!W$6&lt;Inputs!$B$54+3*Inputs!$B$11),Inputs!$B$9*Inputs!$B$7/Inputs!$B$11,0)</f>
        <v>9.58333333333333</v>
      </c>
      <c r="X164" s="33" t="n">
        <f aca="false">IF(AND(Source_Data!X$6&gt;=Inputs!$B$54,Source_Data!X$6&lt;Inputs!$B$54+3*Inputs!$B$11),Inputs!$B$9*Inputs!$B$7/Inputs!$B$11,0)</f>
        <v>9.58333333333333</v>
      </c>
      <c r="Y164" s="33" t="n">
        <f aca="false">IF(AND(Source_Data!Y$6&gt;=Inputs!$B$54,Source_Data!Y$6&lt;Inputs!$B$54+3*Inputs!$B$11),Inputs!$B$9*Inputs!$B$7/Inputs!$B$11,0)</f>
        <v>9.58333333333333</v>
      </c>
      <c r="Z164" s="33" t="n">
        <f aca="false">IF(AND(Source_Data!Z$6&gt;=Inputs!$B$54,Source_Data!Z$6&lt;Inputs!$B$54+3*Inputs!$B$11),Inputs!$B$9*Inputs!$B$7/Inputs!$B$11,0)</f>
        <v>9.58333333333333</v>
      </c>
      <c r="AA164" s="33" t="n">
        <f aca="false">IF(AND(Source_Data!AA$6&gt;=Inputs!$B$54,Source_Data!AA$6&lt;Inputs!$B$54+3*Inputs!$B$11),Inputs!$B$9*Inputs!$B$7/Inputs!$B$11,0)</f>
        <v>9.58333333333333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342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-50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9.58333333333333</v>
      </c>
      <c r="Q165" s="33" t="n">
        <f aca="false">IF(Source_Data!Q$6=Inputs!$B$12,-Inputs!$B$7,0)+Q164</f>
        <v>9.58333333333333</v>
      </c>
      <c r="R165" s="33" t="n">
        <f aca="false">IF(Source_Data!R$6=Inputs!$B$12,-Inputs!$B$7,0)+R164</f>
        <v>9.58333333333333</v>
      </c>
      <c r="S165" s="33" t="n">
        <f aca="false">IF(Source_Data!S$6=Inputs!$B$12,-Inputs!$B$7,0)+S164</f>
        <v>9.58333333333333</v>
      </c>
      <c r="T165" s="33" t="n">
        <f aca="false">IF(Source_Data!T$6=Inputs!$B$12,-Inputs!$B$7,0)+T164</f>
        <v>9.58333333333333</v>
      </c>
      <c r="U165" s="33" t="n">
        <f aca="false">IF(Source_Data!U$6=Inputs!$B$12,-Inputs!$B$7,0)+U164</f>
        <v>9.58333333333333</v>
      </c>
      <c r="V165" s="33" t="n">
        <f aca="false">IF(Source_Data!V$6=Inputs!$B$12,-Inputs!$B$7,0)+V164</f>
        <v>9.58333333333333</v>
      </c>
      <c r="W165" s="33" t="n">
        <f aca="false">IF(Source_Data!W$6=Inputs!$B$12,-Inputs!$B$7,0)+W164</f>
        <v>9.58333333333333</v>
      </c>
      <c r="X165" s="33" t="n">
        <f aca="false">IF(Source_Data!X$6=Inputs!$B$12,-Inputs!$B$7,0)+X164</f>
        <v>9.58333333333333</v>
      </c>
      <c r="Y165" s="33" t="n">
        <f aca="false">IF(Source_Data!Y$6=Inputs!$B$12,-Inputs!$B$7,0)+Y164</f>
        <v>9.58333333333333</v>
      </c>
      <c r="Z165" s="33" t="n">
        <f aca="false">IF(Source_Data!Z$6=Inputs!$B$12,-Inputs!$B$7,0)+Z164</f>
        <v>9.58333333333333</v>
      </c>
      <c r="AA165" s="33" t="n">
        <f aca="false">IF(Source_Data!AA$6=Inputs!$B$12,-Inputs!$B$7,0)+AA164</f>
        <v>9.58333333333333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343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-35</v>
      </c>
      <c r="H166" s="33" t="n">
        <f aca="false">G166+IF(Source_Data!H$6=Inputs!$B$12,Inputs!$B$7,0)+H161-H164</f>
        <v>-57.5</v>
      </c>
      <c r="I166" s="33" t="n">
        <f aca="false">H166+IF(Source_Data!I$6=Inputs!$B$12,Inputs!$B$7,0)+I161-I164</f>
        <v>-80</v>
      </c>
      <c r="J166" s="33" t="n">
        <f aca="false">I166+IF(Source_Data!J$6=Inputs!$B$12,Inputs!$B$7,0)+J161-J164</f>
        <v>-107.38435</v>
      </c>
      <c r="K166" s="33" t="n">
        <f aca="false">J166+IF(Source_Data!K$6=Inputs!$B$12,Inputs!$B$7,0)+K161-K164</f>
        <v>-124.01305</v>
      </c>
      <c r="L166" s="33" t="n">
        <f aca="false">K166+IF(Source_Data!L$6=Inputs!$B$12,Inputs!$B$7,0)+L161-L164</f>
        <v>-171.244745</v>
      </c>
      <c r="M166" s="33" t="n">
        <f aca="false">L166+IF(Source_Data!M$6=Inputs!$B$12,Inputs!$B$7,0)+M161-M164</f>
        <v>-192.078875</v>
      </c>
      <c r="N166" s="33" t="n">
        <f aca="false">M166+IF(Source_Data!N$6=Inputs!$B$12,Inputs!$B$7,0)+N161-N164</f>
        <v>-212.78627</v>
      </c>
      <c r="O166" s="33" t="n">
        <f aca="false">N166+IF(Source_Data!O$6=Inputs!$B$12,Inputs!$B$7,0)+O161-O164</f>
        <v>-222.3745325</v>
      </c>
      <c r="P166" s="33" t="n">
        <f aca="false">O166+IF(Source_Data!P$6=Inputs!$B$12,Inputs!$B$7,0)+P161-P164</f>
        <v>-213.340930833333</v>
      </c>
      <c r="Q166" s="33" t="n">
        <f aca="false">P166+IF(Source_Data!Q$6=Inputs!$B$12,Inputs!$B$7,0)+Q161-Q164</f>
        <v>-187.034094166667</v>
      </c>
      <c r="R166" s="33" t="n">
        <f aca="false">Q166+IF(Source_Data!R$6=Inputs!$B$12,Inputs!$B$7,0)+R161-R164</f>
        <v>-283.15945125</v>
      </c>
      <c r="S166" s="33" t="n">
        <f aca="false">R166+IF(Source_Data!S$6=Inputs!$B$12,Inputs!$B$7,0)+S161-S164</f>
        <v>-369.639902083333</v>
      </c>
      <c r="T166" s="33" t="n">
        <f aca="false">S166+IF(Source_Data!T$6=Inputs!$B$12,Inputs!$B$7,0)+T161-T164</f>
        <v>62.0369120833332</v>
      </c>
      <c r="U166" s="33" t="n">
        <f aca="false">T166+IF(Source_Data!U$6=Inputs!$B$12,Inputs!$B$7,0)+U161-U164</f>
        <v>36.3134512499998</v>
      </c>
      <c r="V166" s="33" t="n">
        <f aca="false">U166+IF(Source_Data!V$6=Inputs!$B$12,Inputs!$B$7,0)+V161-V164</f>
        <v>88.6012704166664</v>
      </c>
      <c r="W166" s="33" t="n">
        <f aca="false">V166+IF(Source_Data!W$6=Inputs!$B$12,Inputs!$B$7,0)+W161-W164</f>
        <v>117.629489583333</v>
      </c>
      <c r="X166" s="33" t="n">
        <f aca="false">W166+IF(Source_Data!X$6=Inputs!$B$12,Inputs!$B$7,0)+X161-X164</f>
        <v>173.07158375</v>
      </c>
      <c r="Y166" s="33" t="n">
        <f aca="false">X166+IF(Source_Data!Y$6=Inputs!$B$12,Inputs!$B$7,0)+Y161-Y164</f>
        <v>226.702112916666</v>
      </c>
      <c r="Z166" s="33" t="n">
        <f aca="false">Y166+IF(Source_Data!Z$6=Inputs!$B$12,Inputs!$B$7,0)+Z161-Z164</f>
        <v>271.898241458333</v>
      </c>
      <c r="AA166" s="33" t="n">
        <f aca="false">Z166+IF(Source_Data!AA$6=Inputs!$B$12,Inputs!$B$7,0)+AA161-AA164</f>
        <v>309.968321875</v>
      </c>
      <c r="AB166" s="33" t="n">
        <f aca="false">AA166+IF(Source_Data!AB$6=Inputs!$B$12,Inputs!$B$7,0)+AB161-AB164</f>
        <v>371.306198125</v>
      </c>
      <c r="AC166" s="33" t="n">
        <f aca="false">AB166+IF(Source_Data!AC$6=Inputs!$B$12,Inputs!$B$7,0)+AC161-AC164</f>
        <v>422.352446875</v>
      </c>
      <c r="AD166" s="33" t="n">
        <f aca="false">AC166+IF(Source_Data!AD$6=Inputs!$B$12,Inputs!$B$7,0)+AD161-AD164</f>
        <v>473.398695625</v>
      </c>
      <c r="AE166" s="33" t="n">
        <f aca="false">AD166+IF(Source_Data!AE$6=Inputs!$B$12,Inputs!$B$7,0)+AE161-AE164</f>
        <v>524.444944375</v>
      </c>
      <c r="AF166" s="33" t="n">
        <f aca="false">AE166+IF(Source_Data!AF$6=Inputs!$B$12,Inputs!$B$7,0)+AF161-AF164</f>
        <v>334.2995815625</v>
      </c>
      <c r="AG166" s="33" t="n">
        <f aca="false">AF166+IF(Source_Data!AG$6=Inputs!$B$12,Inputs!$B$7,0)+AG161-AG164</f>
        <v>369.23860390625</v>
      </c>
      <c r="AH166" s="33" t="n">
        <f aca="false">AG166+IF(Source_Data!AH$6=Inputs!$B$12,Inputs!$B$7,0)+AH161-AH164</f>
        <v>398.75061921875</v>
      </c>
      <c r="AI166" s="33" t="n">
        <f aca="false">AH166+IF(Source_Data!AI$6=Inputs!$B$12,Inputs!$B$7,0)+AI161-AI164</f>
        <v>422.8356275</v>
      </c>
      <c r="AJ166" s="33" t="n">
        <f aca="false">AI166+IF(Source_Data!AJ$6=Inputs!$B$12,Inputs!$B$7,0)+AJ161-AJ164</f>
        <v>445.78281640625</v>
      </c>
      <c r="AK166" s="33" t="n">
        <f aca="false">AJ166+IF(Source_Data!AK$6=Inputs!$B$12,Inputs!$B$7,0)+AK161-AK164</f>
        <v>466.4473775</v>
      </c>
      <c r="AL166" s="33" t="n">
        <f aca="false">AK166+IF(Source_Data!AL$6=Inputs!$B$12,Inputs!$B$7,0)+AL161-AL164</f>
        <v>481.978938125</v>
      </c>
      <c r="AM166" s="33" t="n">
        <f aca="false">AL166+IF(Source_Data!AM$6=Inputs!$B$12,Inputs!$B$7,0)+AM161-AM164</f>
        <v>498.091056875</v>
      </c>
      <c r="AN166" s="33" t="n">
        <f aca="false">AM166+IF(Source_Data!AN$6=Inputs!$B$12,Inputs!$B$7,0)+AN161-AN164</f>
        <v>511.724388125</v>
      </c>
      <c r="AO166" s="33" t="n">
        <f aca="false">AN166+IF(Source_Data!AO$6=Inputs!$B$12,Inputs!$B$7,0)+AO161-AO164</f>
        <v>515.800409375</v>
      </c>
      <c r="AP166" s="33" t="n">
        <f aca="false">AO166+IF(Source_Data!AP$6=Inputs!$B$12,Inputs!$B$7,0)+AP161-AP164</f>
        <v>523.046669375</v>
      </c>
      <c r="AQ166" s="33" t="n">
        <f aca="false">AP166+IF(Source_Data!AQ$6=Inputs!$B$12,Inputs!$B$7,0)+AQ161-AQ164</f>
        <v>530.292929375</v>
      </c>
      <c r="AR166" s="33" t="n">
        <f aca="false">AQ166+IF(Source_Data!AR$6=Inputs!$B$12,Inputs!$B$7,0)+AR161-AR164</f>
        <v>530.292929375</v>
      </c>
      <c r="AS166" s="33" t="n">
        <f aca="false">AR166+IF(Source_Data!AS$6=Inputs!$B$12,Inputs!$B$7,0)+AS161-AS164</f>
        <v>530.292929375</v>
      </c>
      <c r="AT166" s="33" t="n">
        <f aca="false">AS166+IF(Source_Data!AT$6=Inputs!$B$12,Inputs!$B$7,0)+AT161-AT164</f>
        <v>530.292929375</v>
      </c>
      <c r="AU166" s="33" t="n">
        <f aca="false">AT166+IF(Source_Data!AU$6=Inputs!$B$12,Inputs!$B$7,0)+AU161-AU164</f>
        <v>530.292929375</v>
      </c>
      <c r="AV166" s="33" t="n">
        <f aca="false">AU166+IF(Source_Data!AV$6=Inputs!$B$12,Inputs!$B$7,0)+AV161-AV164</f>
        <v>530.292929375</v>
      </c>
      <c r="AW166" s="33" t="n">
        <f aca="false">AV166+IF(Source_Data!AW$6=Inputs!$B$12,Inputs!$B$7,0)+AW161-AW164</f>
        <v>530.292929375</v>
      </c>
      <c r="AX166" s="33" t="n">
        <f aca="false">AW166+IF(Source_Data!AX$6=Inputs!$B$12,Inputs!$B$7,0)+AX161-AX164</f>
        <v>530.292929375</v>
      </c>
      <c r="AY166" s="33" t="n">
        <f aca="false">AX166+IF(Source_Data!AY$6=Inputs!$B$12,Inputs!$B$7,0)+AY161-AY164</f>
        <v>530.292929375</v>
      </c>
      <c r="AZ166" s="33" t="n">
        <f aca="false">AY166+IF(Source_Data!AZ$6=Inputs!$B$12,Inputs!$B$7,0)+AZ161-AZ164</f>
        <v>530.292929375</v>
      </c>
      <c r="BA166" s="33" t="n">
        <f aca="false">AZ166+IF(Source_Data!BA$6=Inputs!$B$12,Inputs!$B$7,0)+BA161-BA164</f>
        <v>530.292929375</v>
      </c>
      <c r="BB166" s="33" t="n">
        <f aca="false">BA166+IF(Source_Data!BB$6=Inputs!$B$12,Inputs!$B$7,0)+BB161-BB164</f>
        <v>530.292929375</v>
      </c>
      <c r="BC166" s="33" t="n">
        <f aca="false">BB166+IF(Source_Data!BC$6=Inputs!$B$12,Inputs!$B$7,0)+BC161-BC164</f>
        <v>530.292929375</v>
      </c>
      <c r="BD166" s="33" t="n">
        <f aca="false">BC166+IF(Source_Data!BD$6=Inputs!$B$12,Inputs!$B$7,0)+BD161-BD164</f>
        <v>530.292929375</v>
      </c>
      <c r="BE166" s="33" t="n">
        <f aca="false">BD166+IF(Source_Data!BE$6=Inputs!$B$12,Inputs!$B$7,0)+BE161-BE164</f>
        <v>530.292929375</v>
      </c>
      <c r="BF166" s="33" t="n">
        <f aca="false">BE166+IF(Source_Data!BF$6=Inputs!$B$12,Inputs!$B$7,0)+BF161-BF164</f>
        <v>530.292929375</v>
      </c>
      <c r="BG166" s="33" t="n">
        <f aca="false">BF166+IF(Source_Data!BG$6=Inputs!$B$12,Inputs!$B$7,0)+BG161-BG164</f>
        <v>530.292929375</v>
      </c>
      <c r="BH166" s="33" t="n">
        <f aca="false">BG166+IF(Source_Data!BH$6=Inputs!$B$12,Inputs!$B$7,0)+BH161-BH164</f>
        <v>530.292929375</v>
      </c>
      <c r="BI166" s="33" t="n">
        <f aca="false">BH166+IF(Source_Data!BI$6=Inputs!$B$12,Inputs!$B$7,0)+BI161-BI164</f>
        <v>530.292929375</v>
      </c>
      <c r="BJ166" s="33" t="n">
        <f aca="false">BI166+IF(Source_Data!BJ$6=Inputs!$B$12,Inputs!$B$7,0)+BJ161-BJ164</f>
        <v>530.292929375</v>
      </c>
      <c r="BK166" s="33" t="n">
        <f aca="false">BJ166+IF(Source_Data!BK$6=Inputs!$B$12,Inputs!$B$7,0)+BK161-BK164</f>
        <v>530.292929375</v>
      </c>
    </row>
    <row r="167" customFormat="false" ht="15" hidden="false" customHeight="false" outlineLevel="0" collapsed="false">
      <c r="A167" s="3" t="s">
        <v>344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1.94263669565218</v>
      </c>
      <c r="Q167" s="31" t="n">
        <f aca="false">IF(Q164&gt;0,Q161/Q164,"")</f>
        <v>3.7450612173913</v>
      </c>
      <c r="R167" s="31" t="n">
        <f aca="false">IF(R164&gt;0,R161/R164,"")</f>
        <v>-9.03047204347826</v>
      </c>
      <c r="S167" s="31" t="n">
        <f aca="false">IF(S164&gt;0,S161/S164,"")</f>
        <v>-8.02404704347826</v>
      </c>
      <c r="T167" s="31" t="n">
        <f aca="false">IF(T164&gt;0,T161/T164,"")</f>
        <v>46.0445371304348</v>
      </c>
      <c r="U167" s="31" t="n">
        <f aca="false">IF(U164&gt;0,U161/U164,"")</f>
        <v>-1.68418721739131</v>
      </c>
      <c r="V167" s="31" t="n">
        <f aca="false">IF(V164&gt;0,V161/V164,"")</f>
        <v>6.45612026086956</v>
      </c>
      <c r="W167" s="31" t="n">
        <f aca="false">IF(W164&gt;0,W161/W164,"")</f>
        <v>4.02903156521739</v>
      </c>
      <c r="X167" s="31" t="n">
        <f aca="false">IF(X164&gt;0,X161/X164,"")</f>
        <v>6.785262</v>
      </c>
      <c r="Y167" s="31" t="n">
        <f aca="false">IF(Y164&gt;0,Y161/Y164,"")</f>
        <v>6.59622913043478</v>
      </c>
      <c r="Z167" s="31" t="n">
        <f aca="false">IF(Z164&gt;0,Z161/Z164,"")</f>
        <v>5.71611776086957</v>
      </c>
      <c r="AA167" s="31" t="n">
        <f aca="false">IF(AA164&gt;0,AA161/AA164,"")</f>
        <v>4.97253013043479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345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-21.2616623478261</v>
      </c>
      <c r="Q168" s="31" t="n">
        <f aca="false">IF(Q164&gt;0,(P166+Q161+IF(Source_Data!Q$6=Inputs!$B$12,Inputs!$B$7,0))/Q164,"")</f>
        <v>-18.5166011304348</v>
      </c>
      <c r="R168" s="31" t="n">
        <f aca="false">IF(R164&gt;0,(Q166+R161+IF(Source_Data!R$6=Inputs!$B$12,Inputs!$B$7,0))/R164,"")</f>
        <v>-28.5470731739131</v>
      </c>
      <c r="S168" s="31" t="n">
        <f aca="false">IF(S164&gt;0,(R166+S161+IF(Source_Data!S$6=Inputs!$B$12,Inputs!$B$7,0))/S164,"")</f>
        <v>-37.5711202173913</v>
      </c>
      <c r="T168" s="31" t="n">
        <f aca="false">IF(T164&gt;0,(S166+T161+IF(Source_Data!T$6=Inputs!$B$12,Inputs!$B$7,0))/T164,"")</f>
        <v>7.47341691304346</v>
      </c>
      <c r="U168" s="31" t="n">
        <f aca="false">IF(U164&gt;0,(T166+U161+IF(Source_Data!U$6=Inputs!$B$12,Inputs!$B$7,0))/U164,"")</f>
        <v>4.78922969565215</v>
      </c>
      <c r="V168" s="31" t="n">
        <f aca="false">IF(V164&gt;0,(U166+V161+IF(Source_Data!V$6=Inputs!$B$12,Inputs!$B$7,0))/V164,"")</f>
        <v>10.2453499565217</v>
      </c>
      <c r="W168" s="31" t="n">
        <f aca="false">IF(W164&gt;0,(V166+W161+IF(Source_Data!W$6=Inputs!$B$12,Inputs!$B$7,0))/W164,"")</f>
        <v>13.2743815217391</v>
      </c>
      <c r="X168" s="31" t="n">
        <f aca="false">IF(X164&gt;0,(W166+X161+IF(Source_Data!X$6=Inputs!$B$12,Inputs!$B$7,0))/X164,"")</f>
        <v>19.0596435217391</v>
      </c>
      <c r="Y168" s="31" t="n">
        <f aca="false">IF(Y164&gt;0,(X166+Y161+IF(Source_Data!Y$6=Inputs!$B$12,Inputs!$B$7,0))/Y164,"")</f>
        <v>24.6558726521739</v>
      </c>
      <c r="Z168" s="31" t="n">
        <f aca="false">IF(Z164&gt;0,(Y166+Z161+IF(Source_Data!Z$6=Inputs!$B$12,Inputs!$B$7,0))/Z164,"")</f>
        <v>29.3719904130434</v>
      </c>
      <c r="AA168" s="31" t="n">
        <f aca="false">IF(AA164&gt;0,(Z166+AA161+IF(Source_Data!AA$6=Inputs!$B$12,Inputs!$B$7,0))/AA164,"")</f>
        <v>33.3445205434782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220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346</v>
      </c>
      <c r="B171" s="41" t="n">
        <f aca="false">SUMPRODUCT(D161:BK161,Project_CF!$D$15:$BK$15)</f>
        <v>209.278659469093</v>
      </c>
    </row>
    <row r="172" customFormat="false" ht="15" hidden="false" customHeight="false" outlineLevel="0" collapsed="false">
      <c r="A172" s="2" t="s">
        <v>162</v>
      </c>
      <c r="B172" s="41" t="n">
        <f aca="false">MIN(D162:BK162)</f>
        <v>-381.30656875</v>
      </c>
    </row>
    <row r="173" customFormat="false" ht="15" hidden="false" customHeight="false" outlineLevel="0" collapsed="false">
      <c r="A173" s="2" t="s">
        <v>347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348</v>
      </c>
      <c r="B174" s="39" t="n">
        <f aca="false">(1+IRR(D163:BK163,0.05))^4-1</f>
        <v>0.292473250549915</v>
      </c>
    </row>
    <row r="175" customFormat="false" ht="15" hidden="false" customHeight="false" outlineLevel="0" collapsed="false">
      <c r="A175" s="2" t="s">
        <v>349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350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351</v>
      </c>
      <c r="B177" s="41" t="n">
        <f aca="false">MIN(D166:BK166)</f>
        <v>-369.639902083333</v>
      </c>
    </row>
    <row r="178" customFormat="false" ht="15" hidden="false" customHeight="false" outlineLevel="0" collapsed="false">
      <c r="A178" s="2" t="s">
        <v>352</v>
      </c>
      <c r="B178" s="43" t="n">
        <f aca="false">MIN(D167:BK167)</f>
        <v>-9.03047204347826</v>
      </c>
    </row>
    <row r="179" customFormat="false" ht="15" hidden="false" customHeight="false" outlineLevel="0" collapsed="false">
      <c r="A179" s="2" t="s">
        <v>353</v>
      </c>
      <c r="B179" s="35" t="n">
        <f aca="false">COUNTIF(D167:BK167,"&lt;"&amp;Inputs!$B$43)</f>
        <v>3</v>
      </c>
    </row>
    <row r="180" customFormat="false" ht="15" hidden="false" customHeight="false" outlineLevel="0" collapsed="false">
      <c r="A180" s="2" t="s">
        <v>354</v>
      </c>
      <c r="B180" s="43" t="n">
        <f aca="false">MIN(D168:BK168)</f>
        <v>-37.5711202173913</v>
      </c>
    </row>
    <row r="181" customFormat="false" ht="15" hidden="false" customHeight="false" outlineLevel="0" collapsed="false">
      <c r="A181" s="2" t="s">
        <v>355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65</v>
      </c>
    </row>
    <row r="185" customFormat="false" ht="15" hidden="false" customHeight="false" outlineLevel="0" collapsed="false">
      <c r="A185" s="3" t="s">
        <v>331</v>
      </c>
      <c r="B185" s="45" t="n">
        <v>1</v>
      </c>
    </row>
    <row r="186" customFormat="false" ht="15" hidden="false" customHeight="false" outlineLevel="0" collapsed="false">
      <c r="A186" s="3" t="s">
        <v>332</v>
      </c>
      <c r="B186" s="45" t="n">
        <v>0</v>
      </c>
    </row>
    <row r="187" customFormat="false" ht="15" hidden="false" customHeight="false" outlineLevel="0" collapsed="false">
      <c r="A187" s="3" t="s">
        <v>333</v>
      </c>
      <c r="B187" s="45" t="n">
        <v>1</v>
      </c>
    </row>
    <row r="188" customFormat="false" ht="15" hidden="false" customHeight="false" outlineLevel="0" collapsed="false">
      <c r="A188" s="3" t="s">
        <v>334</v>
      </c>
      <c r="B188" s="45" t="n">
        <v>0</v>
      </c>
    </row>
    <row r="189" customFormat="false" ht="15" hidden="false" customHeight="false" outlineLevel="0" collapsed="false">
      <c r="A189" s="3" t="s">
        <v>335</v>
      </c>
      <c r="B189" s="45" t="n">
        <v>1</v>
      </c>
    </row>
    <row r="190" customFormat="false" ht="15" hidden="false" customHeight="false" outlineLevel="0" collapsed="false">
      <c r="A190" s="3" t="s">
        <v>336</v>
      </c>
      <c r="B190" s="3" t="n">
        <f aca="false">Inputs!$B$13+3+3*$B$186</f>
        <v>57</v>
      </c>
    </row>
    <row r="191" customFormat="false" ht="15" hidden="false" customHeight="false" outlineLevel="0" collapsed="false">
      <c r="A191" s="3" t="s">
        <v>337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130.3767675</v>
      </c>
      <c r="S191" s="33" t="n">
        <f aca="false">Source_Data!S$7+IF($B$189=1,IF(Source_Data!S$6=Inputs!$B$13,Source_Data!$C$8,0),Source_Data!S$8)</f>
        <v>135.8561925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677.8346925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338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18.11565</v>
      </c>
      <c r="I192" s="33" t="n">
        <f aca="false">$B$185*IF(Source_Data!I$5-($B$186+$B$188)&gt;=1,INDEX($D$191:$BK$191,1,Source_Data!I$5-($B$186+$B$188)),0)</f>
        <v>36.2313</v>
      </c>
      <c r="J192" s="33" t="n">
        <f aca="false">$B$185*IF(Source_Data!J$5-($B$186+$B$188)&gt;=1,INDEX($D$191:$BK$191,1,Source_Data!J$5-($B$186+$B$188)),0)</f>
        <v>58.260825</v>
      </c>
      <c r="K192" s="33" t="n">
        <f aca="false">$B$185*IF(Source_Data!K$5-($B$186+$B$188)&gt;=1,INDEX($D$191:$BK$191,1,Source_Data!K$5-($B$186+$B$188)),0)</f>
        <v>69.01839</v>
      </c>
      <c r="L192" s="33" t="n">
        <f aca="false">$B$185*IF(Source_Data!L$5-($B$186+$B$188)&gt;=1,INDEX($D$191:$BK$191,1,Source_Data!L$5-($B$186+$B$188)),0)</f>
        <v>67.087545</v>
      </c>
      <c r="M192" s="33" t="n">
        <f aca="false">$B$185*IF(Source_Data!M$5-($B$186+$B$188)&gt;=1,INDEX($D$191:$BK$191,1,Source_Data!M$5-($B$186+$B$188)),0)</f>
        <v>72.9732675</v>
      </c>
      <c r="N192" s="33" t="n">
        <f aca="false">$B$185*IF(Source_Data!N$5-($B$186+$B$188)&gt;=1,INDEX($D$191:$BK$191,1,Source_Data!N$5-($B$186+$B$188)),0)</f>
        <v>88.871055</v>
      </c>
      <c r="O192" s="33" t="n">
        <f aca="false">$B$185*IF(Source_Data!O$5-($B$186+$B$188)&gt;=1,INDEX($D$191:$BK$191,1,Source_Data!O$5-($B$186+$B$188)),0)</f>
        <v>105.60753</v>
      </c>
      <c r="P192" s="33" t="n">
        <f aca="false">$B$185*IF(Source_Data!P$5-($B$186+$B$188)&gt;=1,INDEX($D$191:$BK$191,1,Source_Data!P$5-($B$186+$B$188)),0)</f>
        <v>115.25243625</v>
      </c>
      <c r="Q192" s="33" t="n">
        <f aca="false">$B$185*IF(Source_Data!Q$5-($B$186+$B$188)&gt;=1,INDEX($D$191:$BK$191,1,Source_Data!Q$5-($B$186+$B$188)),0)</f>
        <v>124.8973425</v>
      </c>
      <c r="R192" s="33" t="n">
        <f aca="false">$B$185*IF(Source_Data!R$5-($B$186+$B$188)&gt;=1,INDEX($D$191:$BK$191,1,Source_Data!R$5-($B$186+$B$188)),0)</f>
        <v>130.3767675</v>
      </c>
      <c r="S192" s="33" t="n">
        <f aca="false">$B$185*IF(Source_Data!S$5-($B$186+$B$188)&gt;=1,INDEX($D$191:$BK$191,1,Source_Data!S$5-($B$186+$B$188)),0)</f>
        <v>135.8561925</v>
      </c>
      <c r="T192" s="33" t="n">
        <f aca="false">$B$185*IF(Source_Data!T$5-($B$186+$B$188)&gt;=1,INDEX($D$191:$BK$191,1,Source_Data!T$5-($B$186+$B$188)),0)</f>
        <v>112.5965925</v>
      </c>
      <c r="U192" s="33" t="n">
        <f aca="false">$B$185*IF(Source_Data!U$5-($B$186+$B$188)&gt;=1,INDEX($D$191:$BK$191,1,Source_Data!U$5-($B$186+$B$188)),0)</f>
        <v>677.8346925</v>
      </c>
      <c r="V192" s="33" t="n">
        <f aca="false">$B$185*IF(Source_Data!V$5-($B$186+$B$188)&gt;=1,INDEX($D$191:$BK$191,1,Source_Data!V$5-($B$186+$B$188)),0)</f>
        <v>87.5254275</v>
      </c>
      <c r="W192" s="33" t="n">
        <f aca="false">$B$185*IF(Source_Data!W$5-($B$186+$B$188)&gt;=1,INDEX($D$191:$BK$191,1,Source_Data!W$5-($B$186+$B$188)),0)</f>
        <v>85.7138625</v>
      </c>
      <c r="X192" s="33" t="n">
        <f aca="false">$B$185*IF(Source_Data!X$5-($B$186+$B$188)&gt;=1,INDEX($D$191:$BK$191,1,Source_Data!X$5-($B$186+$B$188)),0)</f>
        <v>77.279461875</v>
      </c>
      <c r="Y192" s="33" t="n">
        <f aca="false">$B$185*IF(Source_Data!Y$5-($B$186+$B$188)&gt;=1,INDEX($D$191:$BK$191,1,Source_Data!Y$5-($B$186+$B$188)),0)</f>
        <v>70.15341375</v>
      </c>
      <c r="Z192" s="33" t="n">
        <f aca="false">$B$185*IF(Source_Data!Z$5-($B$186+$B$188)&gt;=1,INDEX($D$191:$BK$191,1,Source_Data!Z$5-($B$186+$B$188)),0)</f>
        <v>61.33787625</v>
      </c>
      <c r="AA192" s="33" t="n">
        <f aca="false">$B$185*IF(Source_Data!AA$5-($B$186+$B$188)&gt;=1,INDEX($D$191:$BK$191,1,Source_Data!AA$5-($B$186+$B$188)),0)</f>
        <v>51.04624875</v>
      </c>
      <c r="AB192" s="33" t="n">
        <f aca="false">$B$185*IF(Source_Data!AB$5-($B$186+$B$188)&gt;=1,INDEX($D$191:$BK$191,1,Source_Data!AB$5-($B$186+$B$188)),0)</f>
        <v>51.04624875</v>
      </c>
      <c r="AC192" s="33" t="n">
        <f aca="false">$B$185*IF(Source_Data!AC$5-($B$186+$B$188)&gt;=1,INDEX($D$191:$BK$191,1,Source_Data!AC$5-($B$186+$B$188)),0)</f>
        <v>51.04624875</v>
      </c>
      <c r="AD192" s="33" t="n">
        <f aca="false">$B$185*IF(Source_Data!AD$5-($B$186+$B$188)&gt;=1,INDEX($D$191:$BK$191,1,Source_Data!AD$5-($B$186+$B$188)),0)</f>
        <v>51.04624875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43.931383125</v>
      </c>
      <c r="AG192" s="33" t="n">
        <f aca="false">$B$185*IF(Source_Data!AG$5-($B$186+$B$188)&gt;=1,INDEX($D$191:$BK$191,1,Source_Data!AG$5-($B$186+$B$188)),0)</f>
        <v>36.8165175</v>
      </c>
      <c r="AH192" s="33" t="n">
        <f aca="false">$B$185*IF(Source_Data!AH$5-($B$186+$B$188)&gt;=1,INDEX($D$191:$BK$191,1,Source_Data!AH$5-($B$186+$B$188)),0)</f>
        <v>32.958555</v>
      </c>
      <c r="AI192" s="33" t="n">
        <f aca="false">$B$185*IF(Source_Data!AI$5-($B$186+$B$188)&gt;=1,INDEX($D$191:$BK$191,1,Source_Data!AI$5-($B$186+$B$188)),0)</f>
        <v>29.1005925</v>
      </c>
      <c r="AJ192" s="33" t="n">
        <f aca="false">$B$185*IF(Source_Data!AJ$5-($B$186+$B$188)&gt;=1,INDEX($D$191:$BK$191,1,Source_Data!AJ$5-($B$186+$B$188)),0)</f>
        <v>22.8831225</v>
      </c>
      <c r="AK192" s="33" t="n">
        <f aca="false">$B$185*IF(Source_Data!AK$5-($B$186+$B$188)&gt;=1,INDEX($D$191:$BK$191,1,Source_Data!AK$5-($B$186+$B$188)),0)</f>
        <v>19.2823575</v>
      </c>
      <c r="AL192" s="33" t="n">
        <f aca="false">$B$185*IF(Source_Data!AL$5-($B$186+$B$188)&gt;=1,INDEX($D$191:$BK$191,1,Source_Data!AL$5-($B$186+$B$188)),0)</f>
        <v>16.80357</v>
      </c>
      <c r="AM192" s="33" t="n">
        <f aca="false">$B$185*IF(Source_Data!AM$5-($B$186+$B$188)&gt;=1,INDEX($D$191:$BK$191,1,Source_Data!AM$5-($B$186+$B$188)),0)</f>
        <v>7.24626</v>
      </c>
      <c r="AN192" s="33" t="n">
        <f aca="false">$B$185*IF(Source_Data!AN$5-($B$186+$B$188)&gt;=1,INDEX($D$191:$BK$191,1,Source_Data!AN$5-($B$186+$B$188)),0)</f>
        <v>7.24626</v>
      </c>
      <c r="AO192" s="33" t="n">
        <f aca="false">$B$185*IF(Source_Data!AO$5-($B$186+$B$188)&gt;=1,INDEX($D$191:$BK$191,1,Source_Data!AO$5-($B$186+$B$188)),0)</f>
        <v>7.24626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339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194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196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14.49252</v>
      </c>
      <c r="M195" s="33" t="n">
        <f aca="false">$B$185*IF(Source_Data!M$5-$B$186&gt;=1,INDEX(Source_Data!$D$12:$BK$12,1,Source_Data!M$5-$B$186),0)</f>
        <v>14.49252</v>
      </c>
      <c r="N195" s="33" t="n">
        <f aca="false">$B$185*IF(Source_Data!N$5-$B$186&gt;=1,INDEX(Source_Data!$D$12:$BK$12,1,Source_Data!N$5-$B$186),0)</f>
        <v>12.43494</v>
      </c>
      <c r="O195" s="33" t="n">
        <f aca="false">$B$185*IF(Source_Data!O$5-$B$186&gt;=1,INDEX(Source_Data!$D$12:$BK$12,1,Source_Data!O$5-$B$186),0)</f>
        <v>7.20153</v>
      </c>
      <c r="P195" s="33" t="n">
        <f aca="false">$B$185*IF(Source_Data!P$5-$B$186&gt;=1,INDEX(Source_Data!$D$12:$BK$12,1,Source_Data!P$5-$B$186),0)</f>
        <v>7.93212</v>
      </c>
      <c r="Q195" s="33" t="n">
        <f aca="false">$B$185*IF(Source_Data!Q$5-$B$186&gt;=1,INDEX(Source_Data!$D$12:$BK$12,1,Source_Data!Q$5-$B$186),0)</f>
        <v>7.39536</v>
      </c>
      <c r="R195" s="33" t="n">
        <f aca="false">$B$185*IF(Source_Data!R$5-$B$186&gt;=1,INDEX(Source_Data!$D$12:$BK$12,1,Source_Data!R$5-$B$186),0)</f>
        <v>7.54446</v>
      </c>
      <c r="S195" s="33" t="n">
        <f aca="false">$B$185*IF(Source_Data!S$5-$B$186&gt;=1,INDEX(Source_Data!$D$12:$BK$12,1,Source_Data!S$5-$B$186),0)</f>
        <v>7.54446</v>
      </c>
      <c r="T195" s="33" t="n">
        <f aca="false">$B$185*IF(Source_Data!T$5-$B$186&gt;=1,INDEX(Source_Data!$D$12:$BK$12,1,Source_Data!T$5-$B$186),0)</f>
        <v>8.23032</v>
      </c>
      <c r="U195" s="33" t="n">
        <f aca="false">$B$185*IF(Source_Data!U$5-$B$186&gt;=1,INDEX(Source_Data!$D$12:$BK$12,1,Source_Data!U$5-$B$186),0)</f>
        <v>8.23032</v>
      </c>
      <c r="V195" s="33" t="n">
        <f aca="false">$B$185*IF(Source_Data!V$5-$B$186&gt;=1,INDEX(Source_Data!$D$12:$BK$12,1,Source_Data!V$5-$B$186),0)</f>
        <v>5.72544</v>
      </c>
      <c r="W195" s="33" t="n">
        <f aca="false">$B$185*IF(Source_Data!W$5-$B$186&gt;=1,INDEX(Source_Data!$D$12:$BK$12,1,Source_Data!W$5-$B$186),0)</f>
        <v>5.72544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215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216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-4.38435</v>
      </c>
      <c r="I197" s="33" t="n">
        <f aca="false">I192-I193-I194-I195-I196</f>
        <v>13.7313</v>
      </c>
      <c r="J197" s="33" t="n">
        <f aca="false">J192-J193-J194-J195-J196</f>
        <v>12.760825</v>
      </c>
      <c r="K197" s="33" t="n">
        <f aca="false">K192-K193-K194-K195-K196</f>
        <v>16.15839</v>
      </c>
      <c r="L197" s="33" t="n">
        <f aca="false">L192-L193-L194-L195-L196</f>
        <v>-38.404975</v>
      </c>
      <c r="M197" s="33" t="n">
        <f aca="false">M192-M193-M194-M195-M196</f>
        <v>-16.8792525</v>
      </c>
      <c r="N197" s="33" t="n">
        <f aca="false">N192-N193-N194-N195-N196</f>
        <v>1.07611500000001</v>
      </c>
      <c r="O197" s="33" t="n">
        <f aca="false">O192-O193-O194-O195-O196</f>
        <v>23.046</v>
      </c>
      <c r="P197" s="33" t="n">
        <f aca="false">P192-P193-P194-P195-P196</f>
        <v>44.99831625</v>
      </c>
      <c r="Q197" s="33" t="n">
        <f aca="false">Q192-Q193-Q194-Q195-Q196</f>
        <v>55.1799825</v>
      </c>
      <c r="R197" s="33" t="n">
        <f aca="false">R192-R193-R194-R195-R196</f>
        <v>-71.4176925000001</v>
      </c>
      <c r="S197" s="33" t="n">
        <f aca="false">S192-S193-S194-S195-S196</f>
        <v>-65.9382675</v>
      </c>
      <c r="T197" s="33" t="n">
        <f aca="false">T192-T193-T194-T195-T196</f>
        <v>-129.2337275</v>
      </c>
      <c r="U197" s="33" t="n">
        <f aca="false">U192-U193-U194-U195-U196</f>
        <v>490.0543725</v>
      </c>
      <c r="V197" s="33" t="n">
        <f aca="false">V192-V193-V194-V195-V196</f>
        <v>36.7999875</v>
      </c>
      <c r="W197" s="33" t="n">
        <f aca="false">W192-W193-W194-W195-W196</f>
        <v>34.9884225</v>
      </c>
      <c r="X197" s="33" t="n">
        <f aca="false">X192-X193-X194-X195-X196</f>
        <v>54.779461875</v>
      </c>
      <c r="Y197" s="33" t="n">
        <f aca="false">Y192-Y193-Y194-Y195-Y196</f>
        <v>47.65341375</v>
      </c>
      <c r="Z197" s="33" t="n">
        <f aca="false">Z192-Z193-Z194-Z195-Z196</f>
        <v>38.83787625</v>
      </c>
      <c r="AA197" s="33" t="n">
        <f aca="false">AA192-AA193-AA194-AA195-AA196</f>
        <v>28.54624875</v>
      </c>
      <c r="AB197" s="33" t="n">
        <f aca="false">AB192-AB193-AB194-AB195-AB196</f>
        <v>51.04624875</v>
      </c>
      <c r="AC197" s="33" t="n">
        <f aca="false">AC192-AC193-AC194-AC195-AC196</f>
        <v>51.04624875</v>
      </c>
      <c r="AD197" s="33" t="n">
        <f aca="false">AD192-AD193-AD194-AD195-AD196</f>
        <v>51.04624875</v>
      </c>
      <c r="AE197" s="33" t="n">
        <f aca="false">AE192-AE193-AE194-AE195-AE196</f>
        <v>51.04624875</v>
      </c>
      <c r="AF197" s="33" t="n">
        <f aca="false">AF192-AF193-AF194-AF195-AF196</f>
        <v>-197.2602284375</v>
      </c>
      <c r="AG197" s="33" t="n">
        <f aca="false">AG192-AG193-AG194-AG195-AG196</f>
        <v>20.70929109375</v>
      </c>
      <c r="AH197" s="33" t="n">
        <f aca="false">AH192-AH193-AH194-AH195-AH196</f>
        <v>18.5391871875</v>
      </c>
      <c r="AI197" s="33" t="n">
        <f aca="false">AI192-AI193-AI194-AI195-AI196</f>
        <v>16.36908328125</v>
      </c>
      <c r="AJ197" s="33" t="n">
        <f aca="false">AJ192-AJ193-AJ194-AJ195-AJ196</f>
        <v>12.87175640625</v>
      </c>
      <c r="AK197" s="33" t="n">
        <f aca="false">AK192-AK193-AK194-AK195-AK196</f>
        <v>10.84632609375</v>
      </c>
      <c r="AL197" s="33" t="n">
        <f aca="false">AL192-AL193-AL194-AL195-AL196</f>
        <v>9.45200812499999</v>
      </c>
      <c r="AM197" s="33" t="n">
        <f aca="false">AM192-AM193-AM194-AM195-AM196</f>
        <v>4.07602125</v>
      </c>
      <c r="AN197" s="33" t="n">
        <f aca="false">AN192-AN193-AN194-AN195-AN196</f>
        <v>4.07602125</v>
      </c>
      <c r="AO197" s="33" t="n">
        <f aca="false">AO192-AO193-AO194-AO195-AO196</f>
        <v>4.07602125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217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-89.38435</v>
      </c>
      <c r="I198" s="33" t="n">
        <f aca="false">H198+I197</f>
        <v>-75.65305</v>
      </c>
      <c r="J198" s="33" t="n">
        <f aca="false">I198+J197</f>
        <v>-62.892225</v>
      </c>
      <c r="K198" s="33" t="n">
        <f aca="false">J198+K197</f>
        <v>-46.733835</v>
      </c>
      <c r="L198" s="33" t="n">
        <f aca="false">K198+L197</f>
        <v>-85.13881</v>
      </c>
      <c r="M198" s="33" t="n">
        <f aca="false">L198+M197</f>
        <v>-102.0180625</v>
      </c>
      <c r="N198" s="33" t="n">
        <f aca="false">M198+N197</f>
        <v>-100.9419475</v>
      </c>
      <c r="O198" s="33" t="n">
        <f aca="false">N198+O197</f>
        <v>-77.8959475</v>
      </c>
      <c r="P198" s="33" t="n">
        <f aca="false">O198+P197</f>
        <v>-32.89763125</v>
      </c>
      <c r="Q198" s="33" t="n">
        <f aca="false">P198+Q197</f>
        <v>22.28235125</v>
      </c>
      <c r="R198" s="33" t="n">
        <f aca="false">Q198+R197</f>
        <v>-49.1353412500001</v>
      </c>
      <c r="S198" s="33" t="n">
        <f aca="false">R198+S197</f>
        <v>-115.07360875</v>
      </c>
      <c r="T198" s="33" t="n">
        <f aca="false">S198+T197</f>
        <v>-244.30733625</v>
      </c>
      <c r="U198" s="33" t="n">
        <f aca="false">T198+U197</f>
        <v>245.74703625</v>
      </c>
      <c r="V198" s="33" t="n">
        <f aca="false">U198+V197</f>
        <v>282.54702375</v>
      </c>
      <c r="W198" s="33" t="n">
        <f aca="false">V198+W197</f>
        <v>317.53544625</v>
      </c>
      <c r="X198" s="33" t="n">
        <f aca="false">W198+X197</f>
        <v>372.314908125</v>
      </c>
      <c r="Y198" s="33" t="n">
        <f aca="false">X198+Y197</f>
        <v>419.968321875</v>
      </c>
      <c r="Z198" s="33" t="n">
        <f aca="false">Y198+Z197</f>
        <v>458.806198125</v>
      </c>
      <c r="AA198" s="33" t="n">
        <f aca="false">Z198+AA197</f>
        <v>487.352446875</v>
      </c>
      <c r="AB198" s="33" t="n">
        <f aca="false">AA198+AB197</f>
        <v>538.398695625</v>
      </c>
      <c r="AC198" s="33" t="n">
        <f aca="false">AB198+AC197</f>
        <v>589.444944375</v>
      </c>
      <c r="AD198" s="33" t="n">
        <f aca="false">AC198+AD197</f>
        <v>640.491193125</v>
      </c>
      <c r="AE198" s="33" t="n">
        <f aca="false">AD198+AE197</f>
        <v>691.537441875</v>
      </c>
      <c r="AF198" s="33" t="n">
        <f aca="false">AE198+AF197</f>
        <v>494.2772134375</v>
      </c>
      <c r="AG198" s="33" t="n">
        <f aca="false">AF198+AG197</f>
        <v>514.98650453125</v>
      </c>
      <c r="AH198" s="33" t="n">
        <f aca="false">AG198+AH197</f>
        <v>533.52569171875</v>
      </c>
      <c r="AI198" s="33" t="n">
        <f aca="false">AH198+AI197</f>
        <v>549.894775</v>
      </c>
      <c r="AJ198" s="33" t="n">
        <f aca="false">AI198+AJ197</f>
        <v>562.76653140625</v>
      </c>
      <c r="AK198" s="33" t="n">
        <f aca="false">AJ198+AK197</f>
        <v>573.6128575</v>
      </c>
      <c r="AL198" s="33" t="n">
        <f aca="false">AK198+AL197</f>
        <v>583.064865625</v>
      </c>
      <c r="AM198" s="33" t="n">
        <f aca="false">AL198+AM197</f>
        <v>587.140886875</v>
      </c>
      <c r="AN198" s="33" t="n">
        <f aca="false">AM198+AN197</f>
        <v>591.216908125</v>
      </c>
      <c r="AO198" s="33" t="n">
        <f aca="false">AN198+AO197</f>
        <v>595.292929375</v>
      </c>
      <c r="AP198" s="33" t="n">
        <f aca="false">AO198+AP197</f>
        <v>595.292929375</v>
      </c>
      <c r="AQ198" s="33" t="n">
        <f aca="false">AP198+AQ197</f>
        <v>595.292929375</v>
      </c>
      <c r="AR198" s="33" t="n">
        <f aca="false">AQ198+AR197</f>
        <v>595.292929375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340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-50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35.9259259259259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35.9259259259259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35.9259259259259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35.9259259259259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341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9.58333333333333</v>
      </c>
      <c r="Q200" s="33" t="n">
        <f aca="false">IF(AND(Source_Data!Q$6&gt;=Inputs!$B$54,Source_Data!Q$6&lt;Inputs!$B$54+3*Inputs!$B$11),Inputs!$B$9*Inputs!$B$7/Inputs!$B$11,0)</f>
        <v>9.58333333333333</v>
      </c>
      <c r="R200" s="33" t="n">
        <f aca="false">IF(AND(Source_Data!R$6&gt;=Inputs!$B$54,Source_Data!R$6&lt;Inputs!$B$54+3*Inputs!$B$11),Inputs!$B$9*Inputs!$B$7/Inputs!$B$11,0)</f>
        <v>9.58333333333333</v>
      </c>
      <c r="S200" s="33" t="n">
        <f aca="false">IF(AND(Source_Data!S$6&gt;=Inputs!$B$54,Source_Data!S$6&lt;Inputs!$B$54+3*Inputs!$B$11),Inputs!$B$9*Inputs!$B$7/Inputs!$B$11,0)</f>
        <v>9.58333333333333</v>
      </c>
      <c r="T200" s="33" t="n">
        <f aca="false">IF(AND(Source_Data!T$6&gt;=Inputs!$B$54,Source_Data!T$6&lt;Inputs!$B$54+3*Inputs!$B$11),Inputs!$B$9*Inputs!$B$7/Inputs!$B$11,0)</f>
        <v>9.58333333333333</v>
      </c>
      <c r="U200" s="33" t="n">
        <f aca="false">IF(AND(Source_Data!U$6&gt;=Inputs!$B$54,Source_Data!U$6&lt;Inputs!$B$54+3*Inputs!$B$11),Inputs!$B$9*Inputs!$B$7/Inputs!$B$11,0)</f>
        <v>9.58333333333333</v>
      </c>
      <c r="V200" s="33" t="n">
        <f aca="false">IF(AND(Source_Data!V$6&gt;=Inputs!$B$54,Source_Data!V$6&lt;Inputs!$B$54+3*Inputs!$B$11),Inputs!$B$9*Inputs!$B$7/Inputs!$B$11,0)</f>
        <v>9.58333333333333</v>
      </c>
      <c r="W200" s="33" t="n">
        <f aca="false">IF(AND(Source_Data!W$6&gt;=Inputs!$B$54,Source_Data!W$6&lt;Inputs!$B$54+3*Inputs!$B$11),Inputs!$B$9*Inputs!$B$7/Inputs!$B$11,0)</f>
        <v>9.58333333333333</v>
      </c>
      <c r="X200" s="33" t="n">
        <f aca="false">IF(AND(Source_Data!X$6&gt;=Inputs!$B$54,Source_Data!X$6&lt;Inputs!$B$54+3*Inputs!$B$11),Inputs!$B$9*Inputs!$B$7/Inputs!$B$11,0)</f>
        <v>9.58333333333333</v>
      </c>
      <c r="Y200" s="33" t="n">
        <f aca="false">IF(AND(Source_Data!Y$6&gt;=Inputs!$B$54,Source_Data!Y$6&lt;Inputs!$B$54+3*Inputs!$B$11),Inputs!$B$9*Inputs!$B$7/Inputs!$B$11,0)</f>
        <v>9.58333333333333</v>
      </c>
      <c r="Z200" s="33" t="n">
        <f aca="false">IF(AND(Source_Data!Z$6&gt;=Inputs!$B$54,Source_Data!Z$6&lt;Inputs!$B$54+3*Inputs!$B$11),Inputs!$B$9*Inputs!$B$7/Inputs!$B$11,0)</f>
        <v>9.58333333333333</v>
      </c>
      <c r="AA200" s="33" t="n">
        <f aca="false">IF(AND(Source_Data!AA$6&gt;=Inputs!$B$54,Source_Data!AA$6&lt;Inputs!$B$54+3*Inputs!$B$11),Inputs!$B$9*Inputs!$B$7/Inputs!$B$11,0)</f>
        <v>9.58333333333333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342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-50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9.58333333333333</v>
      </c>
      <c r="Q201" s="33" t="n">
        <f aca="false">IF(Source_Data!Q$6=Inputs!$B$12,-Inputs!$B$7,0)+Q200</f>
        <v>9.58333333333333</v>
      </c>
      <c r="R201" s="33" t="n">
        <f aca="false">IF(Source_Data!R$6=Inputs!$B$12,-Inputs!$B$7,0)+R200</f>
        <v>9.58333333333333</v>
      </c>
      <c r="S201" s="33" t="n">
        <f aca="false">IF(Source_Data!S$6=Inputs!$B$12,-Inputs!$B$7,0)+S200</f>
        <v>9.58333333333333</v>
      </c>
      <c r="T201" s="33" t="n">
        <f aca="false">IF(Source_Data!T$6=Inputs!$B$12,-Inputs!$B$7,0)+T200</f>
        <v>9.58333333333333</v>
      </c>
      <c r="U201" s="33" t="n">
        <f aca="false">IF(Source_Data!U$6=Inputs!$B$12,-Inputs!$B$7,0)+U200</f>
        <v>9.58333333333333</v>
      </c>
      <c r="V201" s="33" t="n">
        <f aca="false">IF(Source_Data!V$6=Inputs!$B$12,-Inputs!$B$7,0)+V200</f>
        <v>9.58333333333333</v>
      </c>
      <c r="W201" s="33" t="n">
        <f aca="false">IF(Source_Data!W$6=Inputs!$B$12,-Inputs!$B$7,0)+W200</f>
        <v>9.58333333333333</v>
      </c>
      <c r="X201" s="33" t="n">
        <f aca="false">IF(Source_Data!X$6=Inputs!$B$12,-Inputs!$B$7,0)+X200</f>
        <v>9.58333333333333</v>
      </c>
      <c r="Y201" s="33" t="n">
        <f aca="false">IF(Source_Data!Y$6=Inputs!$B$12,-Inputs!$B$7,0)+Y200</f>
        <v>9.58333333333333</v>
      </c>
      <c r="Z201" s="33" t="n">
        <f aca="false">IF(Source_Data!Z$6=Inputs!$B$12,-Inputs!$B$7,0)+Z200</f>
        <v>9.58333333333333</v>
      </c>
      <c r="AA201" s="33" t="n">
        <f aca="false">IF(Source_Data!AA$6=Inputs!$B$12,-Inputs!$B$7,0)+AA200</f>
        <v>9.58333333333333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343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-35</v>
      </c>
      <c r="H202" s="33" t="n">
        <f aca="false">G202+IF(Source_Data!H$6=Inputs!$B$12,Inputs!$B$7,0)+H197-H200</f>
        <v>-39.38435</v>
      </c>
      <c r="I202" s="33" t="n">
        <f aca="false">H202+IF(Source_Data!I$6=Inputs!$B$12,Inputs!$B$7,0)+I197-I200</f>
        <v>-25.65305</v>
      </c>
      <c r="J202" s="33" t="n">
        <f aca="false">I202+IF(Source_Data!J$6=Inputs!$B$12,Inputs!$B$7,0)+J197-J200</f>
        <v>-12.892225</v>
      </c>
      <c r="K202" s="33" t="n">
        <f aca="false">J202+IF(Source_Data!K$6=Inputs!$B$12,Inputs!$B$7,0)+K197-K200</f>
        <v>3.26616499999999</v>
      </c>
      <c r="L202" s="33" t="n">
        <f aca="false">K202+IF(Source_Data!L$6=Inputs!$B$12,Inputs!$B$7,0)+L197-L200</f>
        <v>-35.13881</v>
      </c>
      <c r="M202" s="33" t="n">
        <f aca="false">L202+IF(Source_Data!M$6=Inputs!$B$12,Inputs!$B$7,0)+M197-M200</f>
        <v>-52.0180625</v>
      </c>
      <c r="N202" s="33" t="n">
        <f aca="false">M202+IF(Source_Data!N$6=Inputs!$B$12,Inputs!$B$7,0)+N197-N200</f>
        <v>-50.9419475</v>
      </c>
      <c r="O202" s="33" t="n">
        <f aca="false">N202+IF(Source_Data!O$6=Inputs!$B$12,Inputs!$B$7,0)+O197-O200</f>
        <v>-27.8959475</v>
      </c>
      <c r="P202" s="33" t="n">
        <f aca="false">O202+IF(Source_Data!P$6=Inputs!$B$12,Inputs!$B$7,0)+P197-P200</f>
        <v>7.51903541666668</v>
      </c>
      <c r="Q202" s="33" t="n">
        <f aca="false">P202+IF(Source_Data!Q$6=Inputs!$B$12,Inputs!$B$7,0)+Q197-Q200</f>
        <v>53.1156845833334</v>
      </c>
      <c r="R202" s="33" t="n">
        <f aca="false">Q202+IF(Source_Data!R$6=Inputs!$B$12,Inputs!$B$7,0)+R197-R200</f>
        <v>-27.8853412500001</v>
      </c>
      <c r="S202" s="33" t="n">
        <f aca="false">R202+IF(Source_Data!S$6=Inputs!$B$12,Inputs!$B$7,0)+S197-S200</f>
        <v>-103.406942083333</v>
      </c>
      <c r="T202" s="33" t="n">
        <f aca="false">S202+IF(Source_Data!T$6=Inputs!$B$12,Inputs!$B$7,0)+T197-T200</f>
        <v>-242.224002916667</v>
      </c>
      <c r="U202" s="33" t="n">
        <f aca="false">T202+IF(Source_Data!U$6=Inputs!$B$12,Inputs!$B$7,0)+U197-U200</f>
        <v>238.24703625</v>
      </c>
      <c r="V202" s="33" t="n">
        <f aca="false">U202+IF(Source_Data!V$6=Inputs!$B$12,Inputs!$B$7,0)+V197-V200</f>
        <v>265.463690416666</v>
      </c>
      <c r="W202" s="33" t="n">
        <f aca="false">V202+IF(Source_Data!W$6=Inputs!$B$12,Inputs!$B$7,0)+W197-W200</f>
        <v>290.868779583333</v>
      </c>
      <c r="X202" s="33" t="n">
        <f aca="false">W202+IF(Source_Data!X$6=Inputs!$B$12,Inputs!$B$7,0)+X197-X200</f>
        <v>336.064908125</v>
      </c>
      <c r="Y202" s="33" t="n">
        <f aca="false">X202+IF(Source_Data!Y$6=Inputs!$B$12,Inputs!$B$7,0)+Y197-Y200</f>
        <v>374.134988541666</v>
      </c>
      <c r="Z202" s="33" t="n">
        <f aca="false">Y202+IF(Source_Data!Z$6=Inputs!$B$12,Inputs!$B$7,0)+Z197-Z200</f>
        <v>403.389531458333</v>
      </c>
      <c r="AA202" s="33" t="n">
        <f aca="false">Z202+IF(Source_Data!AA$6=Inputs!$B$12,Inputs!$B$7,0)+AA197-AA200</f>
        <v>422.352446875</v>
      </c>
      <c r="AB202" s="33" t="n">
        <f aca="false">AA202+IF(Source_Data!AB$6=Inputs!$B$12,Inputs!$B$7,0)+AB197-AB200</f>
        <v>473.398695625</v>
      </c>
      <c r="AC202" s="33" t="n">
        <f aca="false">AB202+IF(Source_Data!AC$6=Inputs!$B$12,Inputs!$B$7,0)+AC197-AC200</f>
        <v>524.444944375</v>
      </c>
      <c r="AD202" s="33" t="n">
        <f aca="false">AC202+IF(Source_Data!AD$6=Inputs!$B$12,Inputs!$B$7,0)+AD197-AD200</f>
        <v>575.491193125</v>
      </c>
      <c r="AE202" s="33" t="n">
        <f aca="false">AD202+IF(Source_Data!AE$6=Inputs!$B$12,Inputs!$B$7,0)+AE197-AE200</f>
        <v>626.537441875</v>
      </c>
      <c r="AF202" s="33" t="n">
        <f aca="false">AE202+IF(Source_Data!AF$6=Inputs!$B$12,Inputs!$B$7,0)+AF197-AF200</f>
        <v>429.2772134375</v>
      </c>
      <c r="AG202" s="33" t="n">
        <f aca="false">AF202+IF(Source_Data!AG$6=Inputs!$B$12,Inputs!$B$7,0)+AG197-AG200</f>
        <v>449.98650453125</v>
      </c>
      <c r="AH202" s="33" t="n">
        <f aca="false">AG202+IF(Source_Data!AH$6=Inputs!$B$12,Inputs!$B$7,0)+AH197-AH200</f>
        <v>468.52569171875</v>
      </c>
      <c r="AI202" s="33" t="n">
        <f aca="false">AH202+IF(Source_Data!AI$6=Inputs!$B$12,Inputs!$B$7,0)+AI197-AI200</f>
        <v>484.894775</v>
      </c>
      <c r="AJ202" s="33" t="n">
        <f aca="false">AI202+IF(Source_Data!AJ$6=Inputs!$B$12,Inputs!$B$7,0)+AJ197-AJ200</f>
        <v>497.76653140625</v>
      </c>
      <c r="AK202" s="33" t="n">
        <f aca="false">AJ202+IF(Source_Data!AK$6=Inputs!$B$12,Inputs!$B$7,0)+AK197-AK200</f>
        <v>508.6128575</v>
      </c>
      <c r="AL202" s="33" t="n">
        <f aca="false">AK202+IF(Source_Data!AL$6=Inputs!$B$12,Inputs!$B$7,0)+AL197-AL200</f>
        <v>518.064865625</v>
      </c>
      <c r="AM202" s="33" t="n">
        <f aca="false">AL202+IF(Source_Data!AM$6=Inputs!$B$12,Inputs!$B$7,0)+AM197-AM200</f>
        <v>522.140886875</v>
      </c>
      <c r="AN202" s="33" t="n">
        <f aca="false">AM202+IF(Source_Data!AN$6=Inputs!$B$12,Inputs!$B$7,0)+AN197-AN200</f>
        <v>526.216908125</v>
      </c>
      <c r="AO202" s="33" t="n">
        <f aca="false">AN202+IF(Source_Data!AO$6=Inputs!$B$12,Inputs!$B$7,0)+AO197-AO200</f>
        <v>530.292929375</v>
      </c>
      <c r="AP202" s="33" t="n">
        <f aca="false">AO202+IF(Source_Data!AP$6=Inputs!$B$12,Inputs!$B$7,0)+AP197-AP200</f>
        <v>530.292929375</v>
      </c>
      <c r="AQ202" s="33" t="n">
        <f aca="false">AP202+IF(Source_Data!AQ$6=Inputs!$B$12,Inputs!$B$7,0)+AQ197-AQ200</f>
        <v>530.292929375</v>
      </c>
      <c r="AR202" s="33" t="n">
        <f aca="false">AQ202+IF(Source_Data!AR$6=Inputs!$B$12,Inputs!$B$7,0)+AR197-AR200</f>
        <v>530.292929375</v>
      </c>
      <c r="AS202" s="33" t="n">
        <f aca="false">AR202+IF(Source_Data!AS$6=Inputs!$B$12,Inputs!$B$7,0)+AS197-AS200</f>
        <v>530.292929375</v>
      </c>
      <c r="AT202" s="33" t="n">
        <f aca="false">AS202+IF(Source_Data!AT$6=Inputs!$B$12,Inputs!$B$7,0)+AT197-AT200</f>
        <v>530.292929375</v>
      </c>
      <c r="AU202" s="33" t="n">
        <f aca="false">AT202+IF(Source_Data!AU$6=Inputs!$B$12,Inputs!$B$7,0)+AU197-AU200</f>
        <v>530.292929375</v>
      </c>
      <c r="AV202" s="33" t="n">
        <f aca="false">AU202+IF(Source_Data!AV$6=Inputs!$B$12,Inputs!$B$7,0)+AV197-AV200</f>
        <v>530.292929375</v>
      </c>
      <c r="AW202" s="33" t="n">
        <f aca="false">AV202+IF(Source_Data!AW$6=Inputs!$B$12,Inputs!$B$7,0)+AW197-AW200</f>
        <v>530.292929375</v>
      </c>
      <c r="AX202" s="33" t="n">
        <f aca="false">AW202+IF(Source_Data!AX$6=Inputs!$B$12,Inputs!$B$7,0)+AX197-AX200</f>
        <v>530.292929375</v>
      </c>
      <c r="AY202" s="33" t="n">
        <f aca="false">AX202+IF(Source_Data!AY$6=Inputs!$B$12,Inputs!$B$7,0)+AY197-AY200</f>
        <v>530.292929375</v>
      </c>
      <c r="AZ202" s="33" t="n">
        <f aca="false">AY202+IF(Source_Data!AZ$6=Inputs!$B$12,Inputs!$B$7,0)+AZ197-AZ200</f>
        <v>530.292929375</v>
      </c>
      <c r="BA202" s="33" t="n">
        <f aca="false">AZ202+IF(Source_Data!BA$6=Inputs!$B$12,Inputs!$B$7,0)+BA197-BA200</f>
        <v>530.292929375</v>
      </c>
      <c r="BB202" s="33" t="n">
        <f aca="false">BA202+IF(Source_Data!BB$6=Inputs!$B$12,Inputs!$B$7,0)+BB197-BB200</f>
        <v>530.292929375</v>
      </c>
      <c r="BC202" s="33" t="n">
        <f aca="false">BB202+IF(Source_Data!BC$6=Inputs!$B$12,Inputs!$B$7,0)+BC197-BC200</f>
        <v>530.292929375</v>
      </c>
      <c r="BD202" s="33" t="n">
        <f aca="false">BC202+IF(Source_Data!BD$6=Inputs!$B$12,Inputs!$B$7,0)+BD197-BD200</f>
        <v>530.292929375</v>
      </c>
      <c r="BE202" s="33" t="n">
        <f aca="false">BD202+IF(Source_Data!BE$6=Inputs!$B$12,Inputs!$B$7,0)+BE197-BE200</f>
        <v>530.292929375</v>
      </c>
      <c r="BF202" s="33" t="n">
        <f aca="false">BE202+IF(Source_Data!BF$6=Inputs!$B$12,Inputs!$B$7,0)+BF197-BF200</f>
        <v>530.292929375</v>
      </c>
      <c r="BG202" s="33" t="n">
        <f aca="false">BF202+IF(Source_Data!BG$6=Inputs!$B$12,Inputs!$B$7,0)+BG197-BG200</f>
        <v>530.292929375</v>
      </c>
      <c r="BH202" s="33" t="n">
        <f aca="false">BG202+IF(Source_Data!BH$6=Inputs!$B$12,Inputs!$B$7,0)+BH197-BH200</f>
        <v>530.292929375</v>
      </c>
      <c r="BI202" s="33" t="n">
        <f aca="false">BH202+IF(Source_Data!BI$6=Inputs!$B$12,Inputs!$B$7,0)+BI197-BI200</f>
        <v>530.292929375</v>
      </c>
      <c r="BJ202" s="33" t="n">
        <f aca="false">BI202+IF(Source_Data!BJ$6=Inputs!$B$12,Inputs!$B$7,0)+BJ197-BJ200</f>
        <v>530.292929375</v>
      </c>
      <c r="BK202" s="33" t="n">
        <f aca="false">BJ202+IF(Source_Data!BK$6=Inputs!$B$12,Inputs!$B$7,0)+BK197-BK200</f>
        <v>530.292929375</v>
      </c>
    </row>
    <row r="203" customFormat="false" ht="15" hidden="false" customHeight="false" outlineLevel="0" collapsed="false">
      <c r="A203" s="3" t="s">
        <v>344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4.69547647826087</v>
      </c>
      <c r="Q203" s="31" t="n">
        <f aca="false">IF(Q200&gt;0,Q197/Q200,"")</f>
        <v>5.7579112173913</v>
      </c>
      <c r="R203" s="31" t="n">
        <f aca="false">IF(R200&gt;0,R197/R200,"")</f>
        <v>-7.45228095652175</v>
      </c>
      <c r="S203" s="31" t="n">
        <f aca="false">IF(S200&gt;0,S197/S200,"")</f>
        <v>-6.88051486956522</v>
      </c>
      <c r="T203" s="31" t="n">
        <f aca="false">IF(T200&gt;0,T197/T200,"")</f>
        <v>-13.4852585217391</v>
      </c>
      <c r="U203" s="31" t="n">
        <f aca="false">IF(U200&gt;0,U197/U200,"")</f>
        <v>51.1361084347826</v>
      </c>
      <c r="V203" s="31" t="n">
        <f aca="false">IF(V200&gt;0,V197/V200,"")</f>
        <v>3.83999869565217</v>
      </c>
      <c r="W203" s="31" t="n">
        <f aca="false">IF(W200&gt;0,W197/W200,"")</f>
        <v>3.65096582608695</v>
      </c>
      <c r="X203" s="31" t="n">
        <f aca="false">IF(X200&gt;0,X197/X200,"")</f>
        <v>5.71611776086957</v>
      </c>
      <c r="Y203" s="31" t="n">
        <f aca="false">IF(Y200&gt;0,Y197/Y200,"")</f>
        <v>4.97253013043479</v>
      </c>
      <c r="Z203" s="31" t="n">
        <f aca="false">IF(Z200&gt;0,Z197/Z200,"")</f>
        <v>4.05264795652174</v>
      </c>
      <c r="AA203" s="31" t="n">
        <f aca="false">IF(AA200&gt;0,AA197/AA200,"")</f>
        <v>2.978739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345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1.784595</v>
      </c>
      <c r="Q204" s="31" t="n">
        <f aca="false">IF(Q200&gt;0,(P202+Q197+IF(Source_Data!Q$6=Inputs!$B$12,Inputs!$B$7,0))/Q200,"")</f>
        <v>6.54250621739131</v>
      </c>
      <c r="R204" s="31" t="n">
        <f aca="false">IF(R200&gt;0,(Q202+R197+IF(Source_Data!R$6=Inputs!$B$12,Inputs!$B$7,0))/R200,"")</f>
        <v>-1.90977473913045</v>
      </c>
      <c r="S204" s="31" t="n">
        <f aca="false">IF(S200&gt;0,(R202+S197+IF(Source_Data!S$6=Inputs!$B$12,Inputs!$B$7,0))/S200,"")</f>
        <v>-9.79028960869566</v>
      </c>
      <c r="T204" s="31" t="n">
        <f aca="false">IF(T200&gt;0,(S202+T197+IF(Source_Data!T$6=Inputs!$B$12,Inputs!$B$7,0))/T200,"")</f>
        <v>-24.2755481304348</v>
      </c>
      <c r="U204" s="31" t="n">
        <f aca="false">IF(U200&gt;0,(T202+U197+IF(Source_Data!U$6=Inputs!$B$12,Inputs!$B$7,0))/U200,"")</f>
        <v>25.8605603043478</v>
      </c>
      <c r="V204" s="31" t="n">
        <f aca="false">IF(V200&gt;0,(U202+V197+IF(Source_Data!V$6=Inputs!$B$12,Inputs!$B$7,0))/V200,"")</f>
        <v>28.700559</v>
      </c>
      <c r="W204" s="31" t="n">
        <f aca="false">IF(W200&gt;0,(V202+W197+IF(Source_Data!W$6=Inputs!$B$12,Inputs!$B$7,0))/W200,"")</f>
        <v>31.3515248260869</v>
      </c>
      <c r="X204" s="31" t="n">
        <f aca="false">IF(X200&gt;0,(W202+X197+IF(Source_Data!X$6=Inputs!$B$12,Inputs!$B$7,0))/X200,"")</f>
        <v>36.0676425869565</v>
      </c>
      <c r="Y204" s="31" t="n">
        <f aca="false">IF(Y200&gt;0,(X202+Y197+IF(Source_Data!Y$6=Inputs!$B$12,Inputs!$B$7,0))/Y200,"")</f>
        <v>40.0401727173913</v>
      </c>
      <c r="Z204" s="31" t="n">
        <f aca="false">IF(Z200&gt;0,(Y202+Z197+IF(Source_Data!Z$6=Inputs!$B$12,Inputs!$B$7,0))/Z200,"")</f>
        <v>43.092820673913</v>
      </c>
      <c r="AA204" s="31" t="n">
        <f aca="false">IF(AA200&gt;0,(Z202+AA197+IF(Source_Data!AA$6=Inputs!$B$12,Inputs!$B$7,0))/AA200,"")</f>
        <v>45.071559673913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220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346</v>
      </c>
      <c r="B207" s="41" t="n">
        <f aca="false">SUMPRODUCT(D197:BK197,Project_CF!$D$15:$BK$15)</f>
        <v>274.539179907696</v>
      </c>
    </row>
    <row r="208" customFormat="false" ht="15" hidden="false" customHeight="false" outlineLevel="0" collapsed="false">
      <c r="A208" s="2" t="s">
        <v>162</v>
      </c>
      <c r="B208" s="41" t="n">
        <f aca="false">MIN(D198:BK198)</f>
        <v>-244.30733625</v>
      </c>
    </row>
    <row r="209" customFormat="false" ht="15" hidden="false" customHeight="false" outlineLevel="0" collapsed="false">
      <c r="A209" s="2" t="s">
        <v>347</v>
      </c>
      <c r="B209" s="35" t="n">
        <f aca="false">INDEX(Project_CF!$D$6:$BK$6,MATCH(MIN(D198:BK198),D198:BK198,0))</f>
        <v>51</v>
      </c>
    </row>
    <row r="210" customFormat="false" ht="15" hidden="false" customHeight="false" outlineLevel="0" collapsed="false">
      <c r="A210" s="2" t="s">
        <v>348</v>
      </c>
      <c r="B210" s="39" t="n">
        <f aca="false">(1+IRR(D199:BK199,0.05))^4-1</f>
        <v>0.292473250549915</v>
      </c>
    </row>
    <row r="211" customFormat="false" ht="15" hidden="false" customHeight="false" outlineLevel="0" collapsed="false">
      <c r="A211" s="2" t="s">
        <v>349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350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351</v>
      </c>
      <c r="B213" s="41" t="n">
        <f aca="false">MIN(D202:BK202)</f>
        <v>-242.224002916667</v>
      </c>
    </row>
    <row r="214" customFormat="false" ht="15" hidden="false" customHeight="false" outlineLevel="0" collapsed="false">
      <c r="A214" s="2" t="s">
        <v>352</v>
      </c>
      <c r="B214" s="43" t="n">
        <f aca="false">MIN(D203:BK203)</f>
        <v>-13.4852585217391</v>
      </c>
    </row>
    <row r="215" customFormat="false" ht="15" hidden="false" customHeight="false" outlineLevel="0" collapsed="false">
      <c r="A215" s="2" t="s">
        <v>353</v>
      </c>
      <c r="B215" s="35" t="n">
        <f aca="false">COUNTIF(D203:BK203,"&lt;"&amp;Inputs!$B$43)</f>
        <v>3</v>
      </c>
    </row>
    <row r="216" customFormat="false" ht="15" hidden="false" customHeight="false" outlineLevel="0" collapsed="false">
      <c r="A216" s="2" t="s">
        <v>354</v>
      </c>
      <c r="B216" s="43" t="n">
        <f aca="false">MIN(D204:BK204)</f>
        <v>-24.2755481304348</v>
      </c>
    </row>
    <row r="217" customFormat="false" ht="15" hidden="false" customHeight="false" outlineLevel="0" collapsed="false">
      <c r="A217" s="2" t="s">
        <v>355</v>
      </c>
      <c r="B217" s="35" t="n">
        <f aca="false">COUNTIF(D204:BK204,"&lt;"&amp;Inputs!$B$43)</f>
        <v>3</v>
      </c>
    </row>
    <row r="220" customFormat="false" ht="15" hidden="false" customHeight="false" outlineLevel="0" collapsed="false">
      <c r="A220" s="8" t="s">
        <v>66</v>
      </c>
    </row>
    <row r="221" customFormat="false" ht="15" hidden="false" customHeight="false" outlineLevel="0" collapsed="false">
      <c r="A221" s="3" t="s">
        <v>331</v>
      </c>
      <c r="B221" s="45" t="n">
        <v>0.9</v>
      </c>
    </row>
    <row r="222" customFormat="false" ht="15" hidden="false" customHeight="false" outlineLevel="0" collapsed="false">
      <c r="A222" s="3" t="s">
        <v>332</v>
      </c>
      <c r="B222" s="45" t="n">
        <v>4</v>
      </c>
    </row>
    <row r="223" customFormat="false" ht="15" hidden="false" customHeight="false" outlineLevel="0" collapsed="false">
      <c r="A223" s="3" t="s">
        <v>333</v>
      </c>
      <c r="B223" s="45" t="n">
        <v>1</v>
      </c>
    </row>
    <row r="224" customFormat="false" ht="15" hidden="false" customHeight="false" outlineLevel="0" collapsed="false">
      <c r="A224" s="3" t="s">
        <v>334</v>
      </c>
      <c r="B224" s="45" t="n">
        <v>0</v>
      </c>
    </row>
    <row r="225" customFormat="false" ht="15" hidden="false" customHeight="false" outlineLevel="0" collapsed="false">
      <c r="A225" s="3" t="s">
        <v>335</v>
      </c>
      <c r="B225" s="45" t="n">
        <v>1</v>
      </c>
    </row>
    <row r="226" customFormat="false" ht="15" hidden="false" customHeight="false" outlineLevel="0" collapsed="false">
      <c r="A226" s="3" t="s">
        <v>336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337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130.3767675</v>
      </c>
      <c r="S227" s="33" t="n">
        <f aca="false">Source_Data!S$7+IF($B$225=1,IF(Source_Data!S$6=Inputs!$B$13,Source_Data!$C$8,0),Source_Data!S$8)</f>
        <v>135.8561925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677.8346925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338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16.304085</v>
      </c>
      <c r="M228" s="33" t="n">
        <f aca="false">$B$221*IF(Source_Data!M$5-($B$222+$B$224)&gt;=1,INDEX($D$227:$BK$227,1,Source_Data!M$5-($B$222+$B$224)),0)</f>
        <v>32.60817</v>
      </c>
      <c r="N228" s="33" t="n">
        <f aca="false">$B$221*IF(Source_Data!N$5-($B$222+$B$224)&gt;=1,INDEX($D$227:$BK$227,1,Source_Data!N$5-($B$222+$B$224)),0)</f>
        <v>52.4347425</v>
      </c>
      <c r="O228" s="33" t="n">
        <f aca="false">$B$221*IF(Source_Data!O$5-($B$222+$B$224)&gt;=1,INDEX($D$227:$BK$227,1,Source_Data!O$5-($B$222+$B$224)),0)</f>
        <v>62.116551</v>
      </c>
      <c r="P228" s="33" t="n">
        <f aca="false">$B$221*IF(Source_Data!P$5-($B$222+$B$224)&gt;=1,INDEX($D$227:$BK$227,1,Source_Data!P$5-($B$222+$B$224)),0)</f>
        <v>60.3787905</v>
      </c>
      <c r="Q228" s="33" t="n">
        <f aca="false">$B$221*IF(Source_Data!Q$5-($B$222+$B$224)&gt;=1,INDEX($D$227:$BK$227,1,Source_Data!Q$5-($B$222+$B$224)),0)</f>
        <v>65.67594075</v>
      </c>
      <c r="R228" s="33" t="n">
        <f aca="false">$B$221*IF(Source_Data!R$5-($B$222+$B$224)&gt;=1,INDEX($D$227:$BK$227,1,Source_Data!R$5-($B$222+$B$224)),0)</f>
        <v>79.9839495</v>
      </c>
      <c r="S228" s="33" t="n">
        <f aca="false">$B$221*IF(Source_Data!S$5-($B$222+$B$224)&gt;=1,INDEX($D$227:$BK$227,1,Source_Data!S$5-($B$222+$B$224)),0)</f>
        <v>95.046777</v>
      </c>
      <c r="T228" s="33" t="n">
        <f aca="false">$B$221*IF(Source_Data!T$5-($B$222+$B$224)&gt;=1,INDEX($D$227:$BK$227,1,Source_Data!T$5-($B$222+$B$224)),0)</f>
        <v>103.727192625</v>
      </c>
      <c r="U228" s="33" t="n">
        <f aca="false">$B$221*IF(Source_Data!U$5-($B$222+$B$224)&gt;=1,INDEX($D$227:$BK$227,1,Source_Data!U$5-($B$222+$B$224)),0)</f>
        <v>112.40760825</v>
      </c>
      <c r="V228" s="33" t="n">
        <f aca="false">$B$221*IF(Source_Data!V$5-($B$222+$B$224)&gt;=1,INDEX($D$227:$BK$227,1,Source_Data!V$5-($B$222+$B$224)),0)</f>
        <v>117.33909075</v>
      </c>
      <c r="W228" s="33" t="n">
        <f aca="false">$B$221*IF(Source_Data!W$5-($B$222+$B$224)&gt;=1,INDEX($D$227:$BK$227,1,Source_Data!W$5-($B$222+$B$224)),0)</f>
        <v>122.27057325</v>
      </c>
      <c r="X228" s="33" t="n">
        <f aca="false">$B$221*IF(Source_Data!X$5-($B$222+$B$224)&gt;=1,INDEX($D$227:$BK$227,1,Source_Data!X$5-($B$222+$B$224)),0)</f>
        <v>101.33693325</v>
      </c>
      <c r="Y228" s="33" t="n">
        <f aca="false">$B$221*IF(Source_Data!Y$5-($B$222+$B$224)&gt;=1,INDEX($D$227:$BK$227,1,Source_Data!Y$5-($B$222+$B$224)),0)</f>
        <v>610.05122325</v>
      </c>
      <c r="Z228" s="33" t="n">
        <f aca="false">$B$221*IF(Source_Data!Z$5-($B$222+$B$224)&gt;=1,INDEX($D$227:$BK$227,1,Source_Data!Z$5-($B$222+$B$224)),0)</f>
        <v>78.77288475</v>
      </c>
      <c r="AA228" s="33" t="n">
        <f aca="false">$B$221*IF(Source_Data!AA$5-($B$222+$B$224)&gt;=1,INDEX($D$227:$BK$227,1,Source_Data!AA$5-($B$222+$B$224)),0)</f>
        <v>77.14247625</v>
      </c>
      <c r="AB228" s="33" t="n">
        <f aca="false">$B$221*IF(Source_Data!AB$5-($B$222+$B$224)&gt;=1,INDEX($D$227:$BK$227,1,Source_Data!AB$5-($B$222+$B$224)),0)</f>
        <v>69.5515156875</v>
      </c>
      <c r="AC228" s="33" t="n">
        <f aca="false">$B$221*IF(Source_Data!AC$5-($B$222+$B$224)&gt;=1,INDEX($D$227:$BK$227,1,Source_Data!AC$5-($B$222+$B$224)),0)</f>
        <v>63.138072375</v>
      </c>
      <c r="AD228" s="33" t="n">
        <f aca="false">$B$221*IF(Source_Data!AD$5-($B$222+$B$224)&gt;=1,INDEX($D$227:$BK$227,1,Source_Data!AD$5-($B$222+$B$224)),0)</f>
        <v>55.204088625</v>
      </c>
      <c r="AE228" s="33" t="n">
        <f aca="false">$B$221*IF(Source_Data!AE$5-($B$222+$B$224)&gt;=1,INDEX($D$227:$BK$227,1,Source_Data!AE$5-($B$222+$B$224)),0)</f>
        <v>45.941623875</v>
      </c>
      <c r="AF228" s="33" t="n">
        <f aca="false">$B$221*IF(Source_Data!AF$5-($B$222+$B$224)&gt;=1,INDEX($D$227:$BK$227,1,Source_Data!AF$5-($B$222+$B$224)),0)</f>
        <v>45.941623875</v>
      </c>
      <c r="AG228" s="33" t="n">
        <f aca="false">$B$221*IF(Source_Data!AG$5-($B$222+$B$224)&gt;=1,INDEX($D$227:$BK$227,1,Source_Data!AG$5-($B$222+$B$224)),0)</f>
        <v>45.941623875</v>
      </c>
      <c r="AH228" s="33" t="n">
        <f aca="false">$B$221*IF(Source_Data!AH$5-($B$222+$B$224)&gt;=1,INDEX($D$227:$BK$227,1,Source_Data!AH$5-($B$222+$B$224)),0)</f>
        <v>45.941623875</v>
      </c>
      <c r="AI228" s="33" t="n">
        <f aca="false">$B$221*IF(Source_Data!AI$5-($B$222+$B$224)&gt;=1,INDEX($D$227:$BK$227,1,Source_Data!AI$5-($B$222+$B$224)),0)</f>
        <v>45.941623875</v>
      </c>
      <c r="AJ228" s="33" t="n">
        <f aca="false">$B$221*IF(Source_Data!AJ$5-($B$222+$B$224)&gt;=1,INDEX($D$227:$BK$227,1,Source_Data!AJ$5-($B$222+$B$224)),0)</f>
        <v>39.5382448125</v>
      </c>
      <c r="AK228" s="33" t="n">
        <f aca="false">$B$221*IF(Source_Data!AK$5-($B$222+$B$224)&gt;=1,INDEX($D$227:$BK$227,1,Source_Data!AK$5-($B$222+$B$224)),0)</f>
        <v>33.13486575</v>
      </c>
      <c r="AL228" s="33" t="n">
        <f aca="false">$B$221*IF(Source_Data!AL$5-($B$222+$B$224)&gt;=1,INDEX($D$227:$BK$227,1,Source_Data!AL$5-($B$222+$B$224)),0)</f>
        <v>29.6626995</v>
      </c>
      <c r="AM228" s="33" t="n">
        <f aca="false">$B$221*IF(Source_Data!AM$5-($B$222+$B$224)&gt;=1,INDEX($D$227:$BK$227,1,Source_Data!AM$5-($B$222+$B$224)),0)</f>
        <v>26.19053325</v>
      </c>
      <c r="AN228" s="33" t="n">
        <f aca="false">$B$221*IF(Source_Data!AN$5-($B$222+$B$224)&gt;=1,INDEX($D$227:$BK$227,1,Source_Data!AN$5-($B$222+$B$224)),0)</f>
        <v>20.59481025</v>
      </c>
      <c r="AO228" s="33" t="n">
        <f aca="false">$B$221*IF(Source_Data!AO$5-($B$222+$B$224)&gt;=1,INDEX($D$227:$BK$227,1,Source_Data!AO$5-($B$222+$B$224)),0)</f>
        <v>17.35412175</v>
      </c>
      <c r="AP228" s="33" t="n">
        <f aca="false">$B$221*IF(Source_Data!AP$5-($B$222+$B$224)&gt;=1,INDEX($D$227:$BK$227,1,Source_Data!AP$5-($B$222+$B$224)),0)</f>
        <v>15.123213</v>
      </c>
      <c r="AQ228" s="33" t="n">
        <f aca="false">$B$221*IF(Source_Data!AQ$5-($B$222+$B$224)&gt;=1,INDEX($D$227:$BK$227,1,Source_Data!AQ$5-($B$222+$B$224)),0)</f>
        <v>6.521634</v>
      </c>
      <c r="AR228" s="33" t="n">
        <f aca="false">$B$221*IF(Source_Data!AR$5-($B$222+$B$224)&gt;=1,INDEX($D$227:$BK$227,1,Source_Data!AR$5-($B$222+$B$224)),0)</f>
        <v>6.521634</v>
      </c>
      <c r="AS228" s="33" t="n">
        <f aca="false">$B$221*IF(Source_Data!AS$5-($B$222+$B$224)&gt;=1,INDEX($D$227:$BK$227,1,Source_Data!AS$5-($B$222+$B$224)),0)</f>
        <v>6.521634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339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152.957720444009</v>
      </c>
      <c r="AG229" s="33" t="n">
        <f aca="false">Source_Data!AG$9+Source_Data!AG$10*IF(Source_Data!$C$10=0,0,MAX(0,Inputs!$B$19*Inputs!$B$22*$B$221-Inputs!$B$20)/Source_Data!$C$10)</f>
        <v>10.2148023217513</v>
      </c>
      <c r="AH229" s="33" t="n">
        <f aca="false">Source_Data!AH$9+Source_Data!AH$10*IF(Source_Data!$C$10=0,0,MAX(0,Inputs!$B$19*Inputs!$B$22*$B$221-Inputs!$B$20)/Source_Data!$C$10)</f>
        <v>9.14440438685074</v>
      </c>
      <c r="AI229" s="33" t="n">
        <f aca="false">Source_Data!AI$9+Source_Data!AI$10*IF(Source_Data!$C$10=0,0,MAX(0,Inputs!$B$19*Inputs!$B$22*$B$221-Inputs!$B$20)/Source_Data!$C$10)</f>
        <v>8.07400645195021</v>
      </c>
      <c r="AJ229" s="33" t="n">
        <f aca="false">Source_Data!AJ$9+Source_Data!AJ$10*IF(Source_Data!$C$10=0,0,MAX(0,Inputs!$B$19*Inputs!$B$22*$B$221-Inputs!$B$20)/Source_Data!$C$10)</f>
        <v>6.34895934526992</v>
      </c>
      <c r="AK229" s="33" t="n">
        <f aca="false">Source_Data!AK$9+Source_Data!AK$10*IF(Source_Data!$C$10=0,0,MAX(0,Inputs!$B$19*Inputs!$B$22*$B$221-Inputs!$B$20)/Source_Data!$C$10)</f>
        <v>5.3499212726961</v>
      </c>
      <c r="AL229" s="33" t="n">
        <f aca="false">Source_Data!AL$9+Source_Data!AL$10*IF(Source_Data!$C$10=0,0,MAX(0,Inputs!$B$19*Inputs!$B$22*$B$221-Inputs!$B$20)/Source_Data!$C$10)</f>
        <v>4.66217767201121</v>
      </c>
      <c r="AM229" s="33" t="n">
        <f aca="false">Source_Data!AM$9+Source_Data!AM$10*IF(Source_Data!$C$10=0,0,MAX(0,Inputs!$B$19*Inputs!$B$22*$B$221-Inputs!$B$20)/Source_Data!$C$10)</f>
        <v>2.01048655598709</v>
      </c>
      <c r="AN229" s="33" t="n">
        <f aca="false">Source_Data!AN$9+Source_Data!AN$10*IF(Source_Data!$C$10=0,0,MAX(0,Inputs!$B$19*Inputs!$B$22*$B$221-Inputs!$B$20)/Source_Data!$C$10)</f>
        <v>2.01048655598709</v>
      </c>
      <c r="AO229" s="33" t="n">
        <f aca="false">Source_Data!AO$9+Source_Data!AO$10*IF(Source_Data!$C$10=0,0,MAX(0,Inputs!$B$19*Inputs!$B$22*$B$221-Inputs!$B$20)/Source_Data!$C$10)</f>
        <v>2.01048655598709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194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196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13.043268</v>
      </c>
      <c r="Q231" s="33" t="n">
        <f aca="false">$B$221*IF(Source_Data!Q$5-$B$222&gt;=1,INDEX(Source_Data!$D$12:$BK$12,1,Source_Data!Q$5-$B$222),0)</f>
        <v>13.043268</v>
      </c>
      <c r="R231" s="33" t="n">
        <f aca="false">$B$221*IF(Source_Data!R$5-$B$222&gt;=1,INDEX(Source_Data!$D$12:$BK$12,1,Source_Data!R$5-$B$222),0)</f>
        <v>11.191446</v>
      </c>
      <c r="S231" s="33" t="n">
        <f aca="false">$B$221*IF(Source_Data!S$5-$B$222&gt;=1,INDEX(Source_Data!$D$12:$BK$12,1,Source_Data!S$5-$B$222),0)</f>
        <v>6.481377</v>
      </c>
      <c r="T231" s="33" t="n">
        <f aca="false">$B$221*IF(Source_Data!T$5-$B$222&gt;=1,INDEX(Source_Data!$D$12:$BK$12,1,Source_Data!T$5-$B$222),0)</f>
        <v>7.138908</v>
      </c>
      <c r="U231" s="33" t="n">
        <f aca="false">$B$221*IF(Source_Data!U$5-$B$222&gt;=1,INDEX(Source_Data!$D$12:$BK$12,1,Source_Data!U$5-$B$222),0)</f>
        <v>6.655824</v>
      </c>
      <c r="V231" s="33" t="n">
        <f aca="false">$B$221*IF(Source_Data!V$5-$B$222&gt;=1,INDEX(Source_Data!$D$12:$BK$12,1,Source_Data!V$5-$B$222),0)</f>
        <v>6.790014</v>
      </c>
      <c r="W231" s="33" t="n">
        <f aca="false">$B$221*IF(Source_Data!W$5-$B$222&gt;=1,INDEX(Source_Data!$D$12:$BK$12,1,Source_Data!W$5-$B$222),0)</f>
        <v>6.790014</v>
      </c>
      <c r="X231" s="33" t="n">
        <f aca="false">$B$221*IF(Source_Data!X$5-$B$222&gt;=1,INDEX(Source_Data!$D$12:$BK$12,1,Source_Data!X$5-$B$222),0)</f>
        <v>7.407288</v>
      </c>
      <c r="Y231" s="33" t="n">
        <f aca="false">$B$221*IF(Source_Data!Y$5-$B$222&gt;=1,INDEX(Source_Data!$D$12:$BK$12,1,Source_Data!Y$5-$B$222),0)</f>
        <v>7.407288</v>
      </c>
      <c r="Z231" s="33" t="n">
        <f aca="false">$B$221*IF(Source_Data!Z$5-$B$222&gt;=1,INDEX(Source_Data!$D$12:$BK$12,1,Source_Data!Z$5-$B$222),0)</f>
        <v>5.152896</v>
      </c>
      <c r="AA231" s="33" t="n">
        <f aca="false">$B$221*IF(Source_Data!AA$5-$B$222&gt;=1,INDEX(Source_Data!$D$12:$BK$12,1,Source_Data!AA$5-$B$222),0)</f>
        <v>5.152896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215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216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-74.695915</v>
      </c>
      <c r="M233" s="33" t="n">
        <f aca="false">M228-M229-M230-M231-M232</f>
        <v>-42.75183</v>
      </c>
      <c r="N233" s="33" t="n">
        <f aca="false">N228-N229-N230-N231-N232</f>
        <v>-22.9252575</v>
      </c>
      <c r="O233" s="33" t="n">
        <f aca="false">O228-O229-O230-O231-O232</f>
        <v>-13.243449</v>
      </c>
      <c r="P233" s="33" t="n">
        <f aca="false">P228-P229-P230-P231-P232</f>
        <v>-14.9864775</v>
      </c>
      <c r="Q233" s="33" t="n">
        <f aca="false">Q228-Q229-Q230-Q231-Q232</f>
        <v>-9.68932724999999</v>
      </c>
      <c r="R233" s="33" t="n">
        <f aca="false">R228-R229-R230-R231-R232</f>
        <v>-125.4574965</v>
      </c>
      <c r="S233" s="33" t="n">
        <f aca="false">S228-S229-S230-S231-S232</f>
        <v>-105.6846</v>
      </c>
      <c r="T233" s="33" t="n">
        <f aca="false">T228-T229-T230-T231-T232</f>
        <v>-137.011715375</v>
      </c>
      <c r="U233" s="33" t="n">
        <f aca="false">U228-U229-U230-U231-U232</f>
        <v>-73.79821575</v>
      </c>
      <c r="V233" s="33" t="n">
        <f aca="false">V228-V229-V230-V231-V232</f>
        <v>65.5490767499999</v>
      </c>
      <c r="W233" s="33" t="n">
        <f aca="false">W228-W229-W230-W231-W232</f>
        <v>70.48055925</v>
      </c>
      <c r="X233" s="33" t="n">
        <f aca="false">X228-X229-X230-X231-X232</f>
        <v>71.4296452499999</v>
      </c>
      <c r="Y233" s="33" t="n">
        <f aca="false">Y228-Y229-Y230-Y231-Y232</f>
        <v>580.14393525</v>
      </c>
      <c r="Z233" s="33" t="n">
        <f aca="false">Z228-Z229-Z230-Z231-Z232</f>
        <v>51.11998875</v>
      </c>
      <c r="AA233" s="33" t="n">
        <f aca="false">AA228-AA229-AA230-AA231-AA232</f>
        <v>49.48958025</v>
      </c>
      <c r="AB233" s="33" t="n">
        <f aca="false">AB228-AB229-AB230-AB231-AB232</f>
        <v>69.5515156875</v>
      </c>
      <c r="AC233" s="33" t="n">
        <f aca="false">AC228-AC229-AC230-AC231-AC232</f>
        <v>63.138072375</v>
      </c>
      <c r="AD233" s="33" t="n">
        <f aca="false">AD228-AD229-AD230-AD231-AD232</f>
        <v>55.204088625</v>
      </c>
      <c r="AE233" s="33" t="n">
        <f aca="false">AE228-AE229-AE230-AE231-AE232</f>
        <v>45.941623875</v>
      </c>
      <c r="AF233" s="33" t="n">
        <f aca="false">AF228-AF229-AF230-AF231-AF232</f>
        <v>-107.016096569009</v>
      </c>
      <c r="AG233" s="33" t="n">
        <f aca="false">AG228-AG229-AG230-AG231-AG232</f>
        <v>35.7268215532487</v>
      </c>
      <c r="AH233" s="33" t="n">
        <f aca="false">AH228-AH229-AH230-AH231-AH232</f>
        <v>36.7972194881492</v>
      </c>
      <c r="AI233" s="33" t="n">
        <f aca="false">AI228-AI229-AI230-AI231-AI232</f>
        <v>37.8676174230498</v>
      </c>
      <c r="AJ233" s="33" t="n">
        <f aca="false">AJ228-AJ229-AJ230-AJ231-AJ232</f>
        <v>33.1892854672301</v>
      </c>
      <c r="AK233" s="33" t="n">
        <f aca="false">AK228-AK229-AK230-AK231-AK232</f>
        <v>27.7849444773039</v>
      </c>
      <c r="AL233" s="33" t="n">
        <f aca="false">AL228-AL229-AL230-AL231-AL232</f>
        <v>25.0005218279888</v>
      </c>
      <c r="AM233" s="33" t="n">
        <f aca="false">AM228-AM229-AM230-AM231-AM232</f>
        <v>24.1800466940129</v>
      </c>
      <c r="AN233" s="33" t="n">
        <f aca="false">AN228-AN229-AN230-AN231-AN232</f>
        <v>18.5843236940129</v>
      </c>
      <c r="AO233" s="33" t="n">
        <f aca="false">AO228-AO229-AO230-AO231-AO232</f>
        <v>15.3436351940129</v>
      </c>
      <c r="AP233" s="33" t="n">
        <f aca="false">AP228-AP229-AP230-AP231-AP232</f>
        <v>15.123213</v>
      </c>
      <c r="AQ233" s="33" t="n">
        <f aca="false">AQ228-AQ229-AQ230-AQ231-AQ232</f>
        <v>6.521634</v>
      </c>
      <c r="AR233" s="33" t="n">
        <f aca="false">AR228-AR229-AR230-AR231-AR232</f>
        <v>6.521634</v>
      </c>
      <c r="AS233" s="33" t="n">
        <f aca="false">AS228-AS229-AS230-AS231-AS232</f>
        <v>6.521634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217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-303.055915</v>
      </c>
      <c r="M234" s="33" t="n">
        <f aca="false">L234+M233</f>
        <v>-345.807745</v>
      </c>
      <c r="N234" s="33" t="n">
        <f aca="false">M234+N233</f>
        <v>-368.7330025</v>
      </c>
      <c r="O234" s="33" t="n">
        <f aca="false">N234+O233</f>
        <v>-381.9764515</v>
      </c>
      <c r="P234" s="33" t="n">
        <f aca="false">O234+P233</f>
        <v>-396.962929</v>
      </c>
      <c r="Q234" s="33" t="n">
        <f aca="false">P234+Q233</f>
        <v>-406.65225625</v>
      </c>
      <c r="R234" s="33" t="n">
        <f aca="false">Q234+R233</f>
        <v>-532.10975275</v>
      </c>
      <c r="S234" s="33" t="n">
        <f aca="false">R234+S233</f>
        <v>-637.79435275</v>
      </c>
      <c r="T234" s="33" t="n">
        <f aca="false">S234+T233</f>
        <v>-774.806068125</v>
      </c>
      <c r="U234" s="33" t="n">
        <f aca="false">T234+U233</f>
        <v>-848.604283875</v>
      </c>
      <c r="V234" s="33" t="n">
        <f aca="false">U234+V233</f>
        <v>-783.055207125</v>
      </c>
      <c r="W234" s="33" t="n">
        <f aca="false">V234+W233</f>
        <v>-712.574647875</v>
      </c>
      <c r="X234" s="33" t="n">
        <f aca="false">W234+X233</f>
        <v>-641.145002625</v>
      </c>
      <c r="Y234" s="33" t="n">
        <f aca="false">X234+Y233</f>
        <v>-61.0010673750004</v>
      </c>
      <c r="Z234" s="33" t="n">
        <f aca="false">Y234+Z233</f>
        <v>-9.88107862500041</v>
      </c>
      <c r="AA234" s="33" t="n">
        <f aca="false">Z234+AA233</f>
        <v>39.6085016249996</v>
      </c>
      <c r="AB234" s="33" t="n">
        <f aca="false">AA234+AB233</f>
        <v>109.1600173125</v>
      </c>
      <c r="AC234" s="33" t="n">
        <f aca="false">AB234+AC233</f>
        <v>172.2980896875</v>
      </c>
      <c r="AD234" s="33" t="n">
        <f aca="false">AC234+AD233</f>
        <v>227.5021783125</v>
      </c>
      <c r="AE234" s="33" t="n">
        <f aca="false">AD234+AE233</f>
        <v>273.4438021875</v>
      </c>
      <c r="AF234" s="33" t="n">
        <f aca="false">AE234+AF233</f>
        <v>166.42770561849</v>
      </c>
      <c r="AG234" s="33" t="n">
        <f aca="false">AF234+AG233</f>
        <v>202.154527171739</v>
      </c>
      <c r="AH234" s="33" t="n">
        <f aca="false">AG234+AH233</f>
        <v>238.951746659888</v>
      </c>
      <c r="AI234" s="33" t="n">
        <f aca="false">AH234+AI233</f>
        <v>276.819364082938</v>
      </c>
      <c r="AJ234" s="33" t="n">
        <f aca="false">AI234+AJ233</f>
        <v>310.008649550168</v>
      </c>
      <c r="AK234" s="33" t="n">
        <f aca="false">AJ234+AK233</f>
        <v>337.793594027472</v>
      </c>
      <c r="AL234" s="33" t="n">
        <f aca="false">AK234+AL233</f>
        <v>362.794115855461</v>
      </c>
      <c r="AM234" s="33" t="n">
        <f aca="false">AL234+AM233</f>
        <v>386.974162549474</v>
      </c>
      <c r="AN234" s="33" t="n">
        <f aca="false">AM234+AN233</f>
        <v>405.558486243487</v>
      </c>
      <c r="AO234" s="33" t="n">
        <f aca="false">AN234+AO233</f>
        <v>420.902121437499</v>
      </c>
      <c r="AP234" s="33" t="n">
        <f aca="false">AO234+AP233</f>
        <v>436.025334437499</v>
      </c>
      <c r="AQ234" s="33" t="n">
        <f aca="false">AP234+AQ233</f>
        <v>442.546968437499</v>
      </c>
      <c r="AR234" s="33" t="n">
        <f aca="false">AQ234+AR233</f>
        <v>449.068602437499</v>
      </c>
      <c r="AS234" s="33" t="n">
        <f aca="false">AR234+AS233</f>
        <v>455.590236437499</v>
      </c>
      <c r="AT234" s="33" t="n">
        <f aca="false">AS234+AT233</f>
        <v>455.590236437499</v>
      </c>
      <c r="AU234" s="33" t="n">
        <f aca="false">AT234+AU233</f>
        <v>455.590236437499</v>
      </c>
      <c r="AV234" s="33" t="n">
        <f aca="false">AU234+AV233</f>
        <v>455.590236437499</v>
      </c>
      <c r="AW234" s="33" t="n">
        <f aca="false">AV234+AW233</f>
        <v>455.590236437499</v>
      </c>
      <c r="AX234" s="33" t="n">
        <f aca="false">AW234+AX233</f>
        <v>455.590236437499</v>
      </c>
      <c r="AY234" s="33" t="n">
        <f aca="false">AX234+AY233</f>
        <v>455.590236437499</v>
      </c>
      <c r="AZ234" s="33" t="n">
        <f aca="false">AY234+AZ233</f>
        <v>455.590236437499</v>
      </c>
      <c r="BA234" s="33" t="n">
        <f aca="false">AZ234+BA233</f>
        <v>455.590236437499</v>
      </c>
      <c r="BB234" s="33" t="n">
        <f aca="false">BA234+BB233</f>
        <v>455.590236437499</v>
      </c>
      <c r="BC234" s="33" t="n">
        <f aca="false">BB234+BC233</f>
        <v>455.590236437499</v>
      </c>
      <c r="BD234" s="33" t="n">
        <f aca="false">BC234+BD233</f>
        <v>455.590236437499</v>
      </c>
      <c r="BE234" s="33" t="n">
        <f aca="false">BD234+BE233</f>
        <v>455.590236437499</v>
      </c>
      <c r="BF234" s="33" t="n">
        <f aca="false">BE234+BF233</f>
        <v>455.590236437499</v>
      </c>
      <c r="BG234" s="33" t="n">
        <f aca="false">BF234+BG233</f>
        <v>455.590236437499</v>
      </c>
      <c r="BH234" s="33" t="n">
        <f aca="false">BG234+BH233</f>
        <v>455.590236437499</v>
      </c>
      <c r="BI234" s="33" t="n">
        <f aca="false">BH234+BI233</f>
        <v>455.590236437499</v>
      </c>
      <c r="BJ234" s="33" t="n">
        <f aca="false">BI234+BJ233</f>
        <v>455.590236437499</v>
      </c>
      <c r="BK234" s="33" t="n">
        <f aca="false">BJ234+BK233</f>
        <v>455.590236437499</v>
      </c>
    </row>
    <row r="235" customFormat="false" ht="15" hidden="false" customHeight="false" outlineLevel="0" collapsed="false">
      <c r="A235" s="3" t="s">
        <v>340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-50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32.3333333333333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32.3333333333333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32.3333333333333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32.3333333333333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341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9.58333333333333</v>
      </c>
      <c r="Q236" s="33" t="n">
        <f aca="false">IF(AND(Source_Data!Q$6&gt;=Inputs!$B$54,Source_Data!Q$6&lt;Inputs!$B$54+3*Inputs!$B$11),Inputs!$B$9*Inputs!$B$7/Inputs!$B$11,0)</f>
        <v>9.58333333333333</v>
      </c>
      <c r="R236" s="33" t="n">
        <f aca="false">IF(AND(Source_Data!R$6&gt;=Inputs!$B$54,Source_Data!R$6&lt;Inputs!$B$54+3*Inputs!$B$11),Inputs!$B$9*Inputs!$B$7/Inputs!$B$11,0)</f>
        <v>9.58333333333333</v>
      </c>
      <c r="S236" s="33" t="n">
        <f aca="false">IF(AND(Source_Data!S$6&gt;=Inputs!$B$54,Source_Data!S$6&lt;Inputs!$B$54+3*Inputs!$B$11),Inputs!$B$9*Inputs!$B$7/Inputs!$B$11,0)</f>
        <v>9.58333333333333</v>
      </c>
      <c r="T236" s="33" t="n">
        <f aca="false">IF(AND(Source_Data!T$6&gt;=Inputs!$B$54,Source_Data!T$6&lt;Inputs!$B$54+3*Inputs!$B$11),Inputs!$B$9*Inputs!$B$7/Inputs!$B$11,0)</f>
        <v>9.58333333333333</v>
      </c>
      <c r="U236" s="33" t="n">
        <f aca="false">IF(AND(Source_Data!U$6&gt;=Inputs!$B$54,Source_Data!U$6&lt;Inputs!$B$54+3*Inputs!$B$11),Inputs!$B$9*Inputs!$B$7/Inputs!$B$11,0)</f>
        <v>9.58333333333333</v>
      </c>
      <c r="V236" s="33" t="n">
        <f aca="false">IF(AND(Source_Data!V$6&gt;=Inputs!$B$54,Source_Data!V$6&lt;Inputs!$B$54+3*Inputs!$B$11),Inputs!$B$9*Inputs!$B$7/Inputs!$B$11,0)</f>
        <v>9.58333333333333</v>
      </c>
      <c r="W236" s="33" t="n">
        <f aca="false">IF(AND(Source_Data!W$6&gt;=Inputs!$B$54,Source_Data!W$6&lt;Inputs!$B$54+3*Inputs!$B$11),Inputs!$B$9*Inputs!$B$7/Inputs!$B$11,0)</f>
        <v>9.58333333333333</v>
      </c>
      <c r="X236" s="33" t="n">
        <f aca="false">IF(AND(Source_Data!X$6&gt;=Inputs!$B$54,Source_Data!X$6&lt;Inputs!$B$54+3*Inputs!$B$11),Inputs!$B$9*Inputs!$B$7/Inputs!$B$11,0)</f>
        <v>9.58333333333333</v>
      </c>
      <c r="Y236" s="33" t="n">
        <f aca="false">IF(AND(Source_Data!Y$6&gt;=Inputs!$B$54,Source_Data!Y$6&lt;Inputs!$B$54+3*Inputs!$B$11),Inputs!$B$9*Inputs!$B$7/Inputs!$B$11,0)</f>
        <v>9.58333333333333</v>
      </c>
      <c r="Z236" s="33" t="n">
        <f aca="false">IF(AND(Source_Data!Z$6&gt;=Inputs!$B$54,Source_Data!Z$6&lt;Inputs!$B$54+3*Inputs!$B$11),Inputs!$B$9*Inputs!$B$7/Inputs!$B$11,0)</f>
        <v>9.58333333333333</v>
      </c>
      <c r="AA236" s="33" t="n">
        <f aca="false">IF(AND(Source_Data!AA$6&gt;=Inputs!$B$54,Source_Data!AA$6&lt;Inputs!$B$54+3*Inputs!$B$11),Inputs!$B$9*Inputs!$B$7/Inputs!$B$11,0)</f>
        <v>9.58333333333333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342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-50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9.58333333333333</v>
      </c>
      <c r="Q237" s="33" t="n">
        <f aca="false">IF(Source_Data!Q$6=Inputs!$B$12,-Inputs!$B$7,0)+Q236</f>
        <v>9.58333333333333</v>
      </c>
      <c r="R237" s="33" t="n">
        <f aca="false">IF(Source_Data!R$6=Inputs!$B$12,-Inputs!$B$7,0)+R236</f>
        <v>9.58333333333333</v>
      </c>
      <c r="S237" s="33" t="n">
        <f aca="false">IF(Source_Data!S$6=Inputs!$B$12,-Inputs!$B$7,0)+S236</f>
        <v>9.58333333333333</v>
      </c>
      <c r="T237" s="33" t="n">
        <f aca="false">IF(Source_Data!T$6=Inputs!$B$12,-Inputs!$B$7,0)+T236</f>
        <v>9.58333333333333</v>
      </c>
      <c r="U237" s="33" t="n">
        <f aca="false">IF(Source_Data!U$6=Inputs!$B$12,-Inputs!$B$7,0)+U236</f>
        <v>9.58333333333333</v>
      </c>
      <c r="V237" s="33" t="n">
        <f aca="false">IF(Source_Data!V$6=Inputs!$B$12,-Inputs!$B$7,0)+V236</f>
        <v>9.58333333333333</v>
      </c>
      <c r="W237" s="33" t="n">
        <f aca="false">IF(Source_Data!W$6=Inputs!$B$12,-Inputs!$B$7,0)+W236</f>
        <v>9.58333333333333</v>
      </c>
      <c r="X237" s="33" t="n">
        <f aca="false">IF(Source_Data!X$6=Inputs!$B$12,-Inputs!$B$7,0)+X236</f>
        <v>9.58333333333333</v>
      </c>
      <c r="Y237" s="33" t="n">
        <f aca="false">IF(Source_Data!Y$6=Inputs!$B$12,-Inputs!$B$7,0)+Y236</f>
        <v>9.58333333333333</v>
      </c>
      <c r="Z237" s="33" t="n">
        <f aca="false">IF(Source_Data!Z$6=Inputs!$B$12,-Inputs!$B$7,0)+Z236</f>
        <v>9.58333333333333</v>
      </c>
      <c r="AA237" s="33" t="n">
        <f aca="false">IF(Source_Data!AA$6=Inputs!$B$12,-Inputs!$B$7,0)+AA236</f>
        <v>9.58333333333333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343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-35</v>
      </c>
      <c r="H238" s="33" t="n">
        <f aca="false">G238+IF(Source_Data!H$6=Inputs!$B$12,Inputs!$B$7,0)+H233-H236</f>
        <v>-57.5</v>
      </c>
      <c r="I238" s="33" t="n">
        <f aca="false">H238+IF(Source_Data!I$6=Inputs!$B$12,Inputs!$B$7,0)+I233-I236</f>
        <v>-80</v>
      </c>
      <c r="J238" s="33" t="n">
        <f aca="false">I238+IF(Source_Data!J$6=Inputs!$B$12,Inputs!$B$7,0)+J233-J236</f>
        <v>-125.5</v>
      </c>
      <c r="K238" s="33" t="n">
        <f aca="false">J238+IF(Source_Data!K$6=Inputs!$B$12,Inputs!$B$7,0)+K233-K236</f>
        <v>-178.36</v>
      </c>
      <c r="L238" s="33" t="n">
        <f aca="false">K238+IF(Source_Data!L$6=Inputs!$B$12,Inputs!$B$7,0)+L233-L236</f>
        <v>-253.055915</v>
      </c>
      <c r="M238" s="33" t="n">
        <f aca="false">L238+IF(Source_Data!M$6=Inputs!$B$12,Inputs!$B$7,0)+M233-M236</f>
        <v>-295.807745</v>
      </c>
      <c r="N238" s="33" t="n">
        <f aca="false">M238+IF(Source_Data!N$6=Inputs!$B$12,Inputs!$B$7,0)+N233-N236</f>
        <v>-318.7330025</v>
      </c>
      <c r="O238" s="33" t="n">
        <f aca="false">N238+IF(Source_Data!O$6=Inputs!$B$12,Inputs!$B$7,0)+O233-O236</f>
        <v>-331.9764515</v>
      </c>
      <c r="P238" s="33" t="n">
        <f aca="false">O238+IF(Source_Data!P$6=Inputs!$B$12,Inputs!$B$7,0)+P233-P236</f>
        <v>-356.546262333333</v>
      </c>
      <c r="Q238" s="33" t="n">
        <f aca="false">P238+IF(Source_Data!Q$6=Inputs!$B$12,Inputs!$B$7,0)+Q233-Q236</f>
        <v>-375.818922916667</v>
      </c>
      <c r="R238" s="33" t="n">
        <f aca="false">Q238+IF(Source_Data!R$6=Inputs!$B$12,Inputs!$B$7,0)+R233-R236</f>
        <v>-510.85975275</v>
      </c>
      <c r="S238" s="33" t="n">
        <f aca="false">R238+IF(Source_Data!S$6=Inputs!$B$12,Inputs!$B$7,0)+S233-S236</f>
        <v>-626.127686083333</v>
      </c>
      <c r="T238" s="33" t="n">
        <f aca="false">S238+IF(Source_Data!T$6=Inputs!$B$12,Inputs!$B$7,0)+T233-T236</f>
        <v>-772.722734791667</v>
      </c>
      <c r="U238" s="33" t="n">
        <f aca="false">T238+IF(Source_Data!U$6=Inputs!$B$12,Inputs!$B$7,0)+U233-U236</f>
        <v>-856.104283875</v>
      </c>
      <c r="V238" s="33" t="n">
        <f aca="false">U238+IF(Source_Data!V$6=Inputs!$B$12,Inputs!$B$7,0)+V233-V236</f>
        <v>-800.138540458334</v>
      </c>
      <c r="W238" s="33" t="n">
        <f aca="false">V238+IF(Source_Data!W$6=Inputs!$B$12,Inputs!$B$7,0)+W233-W236</f>
        <v>-739.241314541667</v>
      </c>
      <c r="X238" s="33" t="n">
        <f aca="false">W238+IF(Source_Data!X$6=Inputs!$B$12,Inputs!$B$7,0)+X233-X236</f>
        <v>-677.395002625</v>
      </c>
      <c r="Y238" s="33" t="n">
        <f aca="false">X238+IF(Source_Data!Y$6=Inputs!$B$12,Inputs!$B$7,0)+Y233-Y236</f>
        <v>-106.834400708334</v>
      </c>
      <c r="Z238" s="33" t="n">
        <f aca="false">Y238+IF(Source_Data!Z$6=Inputs!$B$12,Inputs!$B$7,0)+Z233-Z236</f>
        <v>-65.2977452916671</v>
      </c>
      <c r="AA238" s="33" t="n">
        <f aca="false">Z238+IF(Source_Data!AA$6=Inputs!$B$12,Inputs!$B$7,0)+AA233-AA236</f>
        <v>-25.3914983750004</v>
      </c>
      <c r="AB238" s="33" t="n">
        <f aca="false">AA238+IF(Source_Data!AB$6=Inputs!$B$12,Inputs!$B$7,0)+AB233-AB236</f>
        <v>44.1600173124996</v>
      </c>
      <c r="AC238" s="33" t="n">
        <f aca="false">AB238+IF(Source_Data!AC$6=Inputs!$B$12,Inputs!$B$7,0)+AC233-AC236</f>
        <v>107.2980896875</v>
      </c>
      <c r="AD238" s="33" t="n">
        <f aca="false">AC238+IF(Source_Data!AD$6=Inputs!$B$12,Inputs!$B$7,0)+AD233-AD236</f>
        <v>162.5021783125</v>
      </c>
      <c r="AE238" s="33" t="n">
        <f aca="false">AD238+IF(Source_Data!AE$6=Inputs!$B$12,Inputs!$B$7,0)+AE233-AE236</f>
        <v>208.4438021875</v>
      </c>
      <c r="AF238" s="33" t="n">
        <f aca="false">AE238+IF(Source_Data!AF$6=Inputs!$B$12,Inputs!$B$7,0)+AF233-AF236</f>
        <v>101.42770561849</v>
      </c>
      <c r="AG238" s="33" t="n">
        <f aca="false">AF238+IF(Source_Data!AG$6=Inputs!$B$12,Inputs!$B$7,0)+AG233-AG236</f>
        <v>137.154527171739</v>
      </c>
      <c r="AH238" s="33" t="n">
        <f aca="false">AG238+IF(Source_Data!AH$6=Inputs!$B$12,Inputs!$B$7,0)+AH233-AH236</f>
        <v>173.951746659888</v>
      </c>
      <c r="AI238" s="33" t="n">
        <f aca="false">AH238+IF(Source_Data!AI$6=Inputs!$B$12,Inputs!$B$7,0)+AI233-AI236</f>
        <v>211.819364082938</v>
      </c>
      <c r="AJ238" s="33" t="n">
        <f aca="false">AI238+IF(Source_Data!AJ$6=Inputs!$B$12,Inputs!$B$7,0)+AJ233-AJ236</f>
        <v>245.008649550168</v>
      </c>
      <c r="AK238" s="33" t="n">
        <f aca="false">AJ238+IF(Source_Data!AK$6=Inputs!$B$12,Inputs!$B$7,0)+AK233-AK236</f>
        <v>272.793594027472</v>
      </c>
      <c r="AL238" s="33" t="n">
        <f aca="false">AK238+IF(Source_Data!AL$6=Inputs!$B$12,Inputs!$B$7,0)+AL233-AL236</f>
        <v>297.794115855461</v>
      </c>
      <c r="AM238" s="33" t="n">
        <f aca="false">AL238+IF(Source_Data!AM$6=Inputs!$B$12,Inputs!$B$7,0)+AM233-AM236</f>
        <v>321.974162549474</v>
      </c>
      <c r="AN238" s="33" t="n">
        <f aca="false">AM238+IF(Source_Data!AN$6=Inputs!$B$12,Inputs!$B$7,0)+AN233-AN236</f>
        <v>340.558486243487</v>
      </c>
      <c r="AO238" s="33" t="n">
        <f aca="false">AN238+IF(Source_Data!AO$6=Inputs!$B$12,Inputs!$B$7,0)+AO233-AO236</f>
        <v>355.9021214375</v>
      </c>
      <c r="AP238" s="33" t="n">
        <f aca="false">AO238+IF(Source_Data!AP$6=Inputs!$B$12,Inputs!$B$7,0)+AP233-AP236</f>
        <v>371.0253344375</v>
      </c>
      <c r="AQ238" s="33" t="n">
        <f aca="false">AP238+IF(Source_Data!AQ$6=Inputs!$B$12,Inputs!$B$7,0)+AQ233-AQ236</f>
        <v>377.5469684375</v>
      </c>
      <c r="AR238" s="33" t="n">
        <f aca="false">AQ238+IF(Source_Data!AR$6=Inputs!$B$12,Inputs!$B$7,0)+AR233-AR236</f>
        <v>384.0686024375</v>
      </c>
      <c r="AS238" s="33" t="n">
        <f aca="false">AR238+IF(Source_Data!AS$6=Inputs!$B$12,Inputs!$B$7,0)+AS233-AS236</f>
        <v>390.5902364375</v>
      </c>
      <c r="AT238" s="33" t="n">
        <f aca="false">AS238+IF(Source_Data!AT$6=Inputs!$B$12,Inputs!$B$7,0)+AT233-AT236</f>
        <v>390.5902364375</v>
      </c>
      <c r="AU238" s="33" t="n">
        <f aca="false">AT238+IF(Source_Data!AU$6=Inputs!$B$12,Inputs!$B$7,0)+AU233-AU236</f>
        <v>390.5902364375</v>
      </c>
      <c r="AV238" s="33" t="n">
        <f aca="false">AU238+IF(Source_Data!AV$6=Inputs!$B$12,Inputs!$B$7,0)+AV233-AV236</f>
        <v>390.5902364375</v>
      </c>
      <c r="AW238" s="33" t="n">
        <f aca="false">AV238+IF(Source_Data!AW$6=Inputs!$B$12,Inputs!$B$7,0)+AW233-AW236</f>
        <v>390.5902364375</v>
      </c>
      <c r="AX238" s="33" t="n">
        <f aca="false">AW238+IF(Source_Data!AX$6=Inputs!$B$12,Inputs!$B$7,0)+AX233-AX236</f>
        <v>390.5902364375</v>
      </c>
      <c r="AY238" s="33" t="n">
        <f aca="false">AX238+IF(Source_Data!AY$6=Inputs!$B$12,Inputs!$B$7,0)+AY233-AY236</f>
        <v>390.5902364375</v>
      </c>
      <c r="AZ238" s="33" t="n">
        <f aca="false">AY238+IF(Source_Data!AZ$6=Inputs!$B$12,Inputs!$B$7,0)+AZ233-AZ236</f>
        <v>390.5902364375</v>
      </c>
      <c r="BA238" s="33" t="n">
        <f aca="false">AZ238+IF(Source_Data!BA$6=Inputs!$B$12,Inputs!$B$7,0)+BA233-BA236</f>
        <v>390.5902364375</v>
      </c>
      <c r="BB238" s="33" t="n">
        <f aca="false">BA238+IF(Source_Data!BB$6=Inputs!$B$12,Inputs!$B$7,0)+BB233-BB236</f>
        <v>390.5902364375</v>
      </c>
      <c r="BC238" s="33" t="n">
        <f aca="false">BB238+IF(Source_Data!BC$6=Inputs!$B$12,Inputs!$B$7,0)+BC233-BC236</f>
        <v>390.5902364375</v>
      </c>
      <c r="BD238" s="33" t="n">
        <f aca="false">BC238+IF(Source_Data!BD$6=Inputs!$B$12,Inputs!$B$7,0)+BD233-BD236</f>
        <v>390.5902364375</v>
      </c>
      <c r="BE238" s="33" t="n">
        <f aca="false">BD238+IF(Source_Data!BE$6=Inputs!$B$12,Inputs!$B$7,0)+BE233-BE236</f>
        <v>390.5902364375</v>
      </c>
      <c r="BF238" s="33" t="n">
        <f aca="false">BE238+IF(Source_Data!BF$6=Inputs!$B$12,Inputs!$B$7,0)+BF233-BF236</f>
        <v>390.5902364375</v>
      </c>
      <c r="BG238" s="33" t="n">
        <f aca="false">BF238+IF(Source_Data!BG$6=Inputs!$B$12,Inputs!$B$7,0)+BG233-BG236</f>
        <v>390.5902364375</v>
      </c>
      <c r="BH238" s="33" t="n">
        <f aca="false">BG238+IF(Source_Data!BH$6=Inputs!$B$12,Inputs!$B$7,0)+BH233-BH236</f>
        <v>390.5902364375</v>
      </c>
      <c r="BI238" s="33" t="n">
        <f aca="false">BH238+IF(Source_Data!BI$6=Inputs!$B$12,Inputs!$B$7,0)+BI233-BI236</f>
        <v>390.5902364375</v>
      </c>
      <c r="BJ238" s="33" t="n">
        <f aca="false">BI238+IF(Source_Data!BJ$6=Inputs!$B$12,Inputs!$B$7,0)+BJ233-BJ236</f>
        <v>390.5902364375</v>
      </c>
      <c r="BK238" s="33" t="n">
        <f aca="false">BJ238+IF(Source_Data!BK$6=Inputs!$B$12,Inputs!$B$7,0)+BK233-BK236</f>
        <v>390.5902364375</v>
      </c>
    </row>
    <row r="239" customFormat="false" ht="15" hidden="false" customHeight="false" outlineLevel="0" collapsed="false">
      <c r="A239" s="3" t="s">
        <v>344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-1.56380634782609</v>
      </c>
      <c r="Q239" s="31" t="n">
        <f aca="false">IF(Q236&gt;0,Q233/Q236,"")</f>
        <v>-1.01106023478261</v>
      </c>
      <c r="R239" s="31" t="n">
        <f aca="false">IF(R236&gt;0,R233/R236,"")</f>
        <v>-13.091217026087</v>
      </c>
      <c r="S239" s="31" t="n">
        <f aca="false">IF(S236&gt;0,S233/S236,"")</f>
        <v>-11.0279582608696</v>
      </c>
      <c r="T239" s="31" t="n">
        <f aca="false">IF(T236&gt;0,T233/T236,"")</f>
        <v>-14.2968746478261</v>
      </c>
      <c r="U239" s="31" t="n">
        <f aca="false">IF(U236&gt;0,U233/U236,"")</f>
        <v>-7.7006833826087</v>
      </c>
      <c r="V239" s="31" t="n">
        <f aca="false">IF(V236&gt;0,V233/V236,"")</f>
        <v>6.83990366086956</v>
      </c>
      <c r="W239" s="31" t="n">
        <f aca="false">IF(W236&gt;0,W233/W236,"")</f>
        <v>7.35449313913044</v>
      </c>
      <c r="X239" s="31" t="n">
        <f aca="false">IF(X236&gt;0,X233/X236,"")</f>
        <v>7.45352819999999</v>
      </c>
      <c r="Y239" s="31" t="n">
        <f aca="false">IF(Y236&gt;0,Y233/Y236,"")</f>
        <v>60.5367584608696</v>
      </c>
      <c r="Z239" s="31" t="n">
        <f aca="false">IF(Z236&gt;0,Z233/Z236,"")</f>
        <v>5.33425969565217</v>
      </c>
      <c r="AA239" s="31" t="n">
        <f aca="false">IF(AA236&gt;0,AA233/AA236,"")</f>
        <v>5.16413011304348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345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-36.2048273739131</v>
      </c>
      <c r="Q240" s="31" t="n">
        <f aca="false">IF(Q236&gt;0,(P238+Q233+IF(Source_Data!Q$6=Inputs!$B$12,Inputs!$B$7,0))/Q236,"")</f>
        <v>-38.2158876086957</v>
      </c>
      <c r="R240" s="31" t="n">
        <f aca="false">IF(R236&gt;0,(Q238+R233+IF(Source_Data!R$6=Inputs!$B$12,Inputs!$B$7,0))/R236,"")</f>
        <v>-52.3071046347826</v>
      </c>
      <c r="S240" s="31" t="n">
        <f aca="false">IF(S236&gt;0,(R238+S233+IF(Source_Data!S$6=Inputs!$B$12,Inputs!$B$7,0))/S236,"")</f>
        <v>-64.3350628956522</v>
      </c>
      <c r="T240" s="31" t="n">
        <f aca="false">IF(T236&gt;0,(S238+T233+IF(Source_Data!T$6=Inputs!$B$12,Inputs!$B$7,0))/T236,"")</f>
        <v>-79.6319375434783</v>
      </c>
      <c r="U240" s="31" t="n">
        <f aca="false">IF(U236&gt;0,(T238+U233+IF(Source_Data!U$6=Inputs!$B$12,Inputs!$B$7,0))/U236,"")</f>
        <v>-88.332620926087</v>
      </c>
      <c r="V240" s="31" t="n">
        <f aca="false">IF(V236&gt;0,(U238+V233+IF(Source_Data!V$6=Inputs!$B$12,Inputs!$B$7,0))/V236,"")</f>
        <v>-82.4927172652174</v>
      </c>
      <c r="W240" s="31" t="n">
        <f aca="false">IF(W236&gt;0,(V238+W233+IF(Source_Data!W$6=Inputs!$B$12,Inputs!$B$7,0))/W236,"")</f>
        <v>-76.138224126087</v>
      </c>
      <c r="X240" s="31" t="n">
        <f aca="false">IF(X236&gt;0,(W238+X233+IF(Source_Data!X$6=Inputs!$B$12,Inputs!$B$7,0))/X236,"")</f>
        <v>-69.684695926087</v>
      </c>
      <c r="Y240" s="31" t="n">
        <f aca="false">IF(Y236&gt;0,(X238+Y233+IF(Source_Data!Y$6=Inputs!$B$12,Inputs!$B$7,0))/Y236,"")</f>
        <v>-10.1479374652174</v>
      </c>
      <c r="Z240" s="31" t="n">
        <f aca="false">IF(Z236&gt;0,(Y238+Z233+IF(Source_Data!Z$6=Inputs!$B$12,Inputs!$B$7,0))/Z236,"")</f>
        <v>-5.81367776956526</v>
      </c>
      <c r="AA240" s="31" t="n">
        <f aca="false">IF(AA236&gt;0,(Z238+AA233+IF(Source_Data!AA$6=Inputs!$B$12,Inputs!$B$7,0))/AA236,"")</f>
        <v>-1.64954765652178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220</v>
      </c>
      <c r="B242" s="41" t="n">
        <f aca="false">SUM(D233:BK233)</f>
        <v>455.5902364375</v>
      </c>
    </row>
    <row r="243" customFormat="false" ht="15" hidden="false" customHeight="false" outlineLevel="0" collapsed="false">
      <c r="A243" s="2" t="s">
        <v>346</v>
      </c>
      <c r="B243" s="41" t="n">
        <f aca="false">SUMPRODUCT(D233:BK233,Project_CF!$D$15:$BK$15)</f>
        <v>13.8504886957</v>
      </c>
    </row>
    <row r="244" customFormat="false" ht="15" hidden="false" customHeight="false" outlineLevel="0" collapsed="false">
      <c r="A244" s="2" t="s">
        <v>162</v>
      </c>
      <c r="B244" s="41" t="n">
        <f aca="false">MIN(D234:BK234)</f>
        <v>-848.604283875</v>
      </c>
    </row>
    <row r="245" customFormat="false" ht="15" hidden="false" customHeight="false" outlineLevel="0" collapsed="false">
      <c r="A245" s="2" t="s">
        <v>347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348</v>
      </c>
      <c r="B246" s="39" t="n">
        <f aca="false">(1+IRR(D235:BK235,0.05))^4-1</f>
        <v>0.204061973864954</v>
      </c>
    </row>
    <row r="247" customFormat="false" ht="15" hidden="false" customHeight="false" outlineLevel="0" collapsed="false">
      <c r="A247" s="2" t="s">
        <v>349</v>
      </c>
      <c r="B247" s="40" t="n">
        <f aca="false">SUMIF(D235:BK235,"&gt;0")/-SUMIF(D235:BK235,"&lt;0")</f>
        <v>2.58666666666667</v>
      </c>
    </row>
    <row r="248" customFormat="false" ht="15" hidden="false" customHeight="false" outlineLevel="0" collapsed="false">
      <c r="A248" s="2" t="s">
        <v>350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351</v>
      </c>
      <c r="B249" s="41" t="n">
        <f aca="false">MIN(D238:BK238)</f>
        <v>-856.104283875</v>
      </c>
    </row>
    <row r="250" customFormat="false" ht="15" hidden="false" customHeight="false" outlineLevel="0" collapsed="false">
      <c r="A250" s="2" t="s">
        <v>352</v>
      </c>
      <c r="B250" s="43" t="n">
        <f aca="false">MIN(D239:BK239)</f>
        <v>-14.2968746478261</v>
      </c>
    </row>
    <row r="251" customFormat="false" ht="15" hidden="false" customHeight="false" outlineLevel="0" collapsed="false">
      <c r="A251" s="2" t="s">
        <v>353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354</v>
      </c>
      <c r="B252" s="43" t="n">
        <f aca="false">MIN(D240:BK240)</f>
        <v>-88.332620926087</v>
      </c>
    </row>
    <row r="253" customFormat="false" ht="15" hidden="false" customHeight="false" outlineLevel="0" collapsed="false">
      <c r="A253" s="2" t="s">
        <v>355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356</v>
      </c>
    </row>
    <row r="2" customFormat="false" ht="15" hidden="false" customHeight="false" outlineLevel="0" collapsed="false">
      <c r="A2" s="6" t="s">
        <v>357</v>
      </c>
    </row>
    <row r="4" customFormat="false" ht="15" hidden="false" customHeight="false" outlineLevel="0" collapsed="false">
      <c r="A4" s="8" t="s">
        <v>358</v>
      </c>
    </row>
    <row r="5" customFormat="false" ht="15" hidden="false" customHeight="false" outlineLevel="0" collapsed="false">
      <c r="A5" s="3" t="s">
        <v>331</v>
      </c>
      <c r="B5" s="45" t="n">
        <v>0.8</v>
      </c>
    </row>
    <row r="6" customFormat="false" ht="15" hidden="false" customHeight="false" outlineLevel="0" collapsed="false">
      <c r="A6" s="3" t="s">
        <v>332</v>
      </c>
      <c r="B6" s="45" t="n">
        <v>0</v>
      </c>
    </row>
    <row r="7" customFormat="false" ht="15" hidden="false" customHeight="false" outlineLevel="0" collapsed="false">
      <c r="A7" s="3" t="s">
        <v>333</v>
      </c>
      <c r="B7" s="45" t="n">
        <v>1</v>
      </c>
    </row>
    <row r="8" customFormat="false" ht="15" hidden="false" customHeight="false" outlineLevel="0" collapsed="false">
      <c r="A8" s="3" t="s">
        <v>334</v>
      </c>
      <c r="B8" s="45" t="n">
        <v>0</v>
      </c>
    </row>
    <row r="9" customFormat="false" ht="15" hidden="false" customHeight="false" outlineLevel="0" collapsed="false">
      <c r="A9" s="3" t="s">
        <v>335</v>
      </c>
      <c r="B9" s="45" t="n">
        <v>0</v>
      </c>
    </row>
    <row r="10" customFormat="false" ht="15" hidden="false" customHeight="false" outlineLevel="0" collapsed="false">
      <c r="A10" s="3" t="s">
        <v>336</v>
      </c>
      <c r="B10" s="3" t="n">
        <f aca="false">Inputs!$B$13+3+3*$B$6</f>
        <v>57</v>
      </c>
    </row>
    <row r="11" customFormat="false" ht="15" hidden="false" customHeight="false" outlineLevel="0" collapsed="false">
      <c r="A11" s="3" t="s">
        <v>337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0</v>
      </c>
      <c r="G11" s="33" t="n">
        <f aca="false">Source_Data!G$7+IF($B$9=1,IF(Source_Data!G$6=Inputs!$B$13,Source_Data!$C$8,0),Source_Data!G$8)</f>
        <v>0</v>
      </c>
      <c r="H11" s="33" t="n">
        <f aca="false">Source_Data!H$7+IF($B$9=1,IF(Source_Data!H$6=Inputs!$B$13,Source_Data!$C$8,0),Source_Data!H$8)</f>
        <v>18.11565</v>
      </c>
      <c r="I11" s="33" t="n">
        <f aca="false">Source_Data!I$7+IF($B$9=1,IF(Source_Data!I$6=Inputs!$B$13,Source_Data!$C$8,0),Source_Data!I$8)</f>
        <v>36.2313</v>
      </c>
      <c r="J11" s="33" t="n">
        <f aca="false">Source_Data!J$7+IF($B$9=1,IF(Source_Data!J$6=Inputs!$B$13,Source_Data!$C$8,0),Source_Data!J$8)</f>
        <v>58.260825</v>
      </c>
      <c r="K11" s="33" t="n">
        <f aca="false">Source_Data!K$7+IF($B$9=1,IF(Source_Data!K$6=Inputs!$B$13,Source_Data!$C$8,0),Source_Data!K$8)</f>
        <v>69.01839</v>
      </c>
      <c r="L11" s="33" t="n">
        <f aca="false">Source_Data!L$7+IF($B$9=1,IF(Source_Data!L$6=Inputs!$B$13,Source_Data!$C$8,0),Source_Data!L$8)</f>
        <v>67.087545</v>
      </c>
      <c r="M11" s="33" t="n">
        <f aca="false">Source_Data!M$7+IF($B$9=1,IF(Source_Data!M$6=Inputs!$B$13,Source_Data!$C$8,0),Source_Data!M$8)</f>
        <v>72.9732675</v>
      </c>
      <c r="N11" s="33" t="n">
        <f aca="false">Source_Data!N$7+IF($B$9=1,IF(Source_Data!N$6=Inputs!$B$13,Source_Data!$C$8,0),Source_Data!N$8)</f>
        <v>88.871055</v>
      </c>
      <c r="O11" s="33" t="n">
        <f aca="false">Source_Data!O$7+IF($B$9=1,IF(Source_Data!O$6=Inputs!$B$13,Source_Data!$C$8,0),Source_Data!O$8)</f>
        <v>105.60753</v>
      </c>
      <c r="P11" s="33" t="n">
        <f aca="false">Source_Data!P$7+IF($B$9=1,IF(Source_Data!P$6=Inputs!$B$13,Source_Data!$C$8,0),Source_Data!P$8)</f>
        <v>115.25243625</v>
      </c>
      <c r="Q11" s="33" t="n">
        <f aca="false">Source_Data!Q$7+IF($B$9=1,IF(Source_Data!Q$6=Inputs!$B$13,Source_Data!$C$8,0),Source_Data!Q$8)</f>
        <v>124.8973425</v>
      </c>
      <c r="R11" s="33" t="n">
        <f aca="false">Source_Data!R$7+IF($B$9=1,IF(Source_Data!R$6=Inputs!$B$13,Source_Data!$C$8,0),Source_Data!R$8)</f>
        <v>683.0904675</v>
      </c>
      <c r="S11" s="33" t="n">
        <f aca="false">Source_Data!S$7+IF($B$9=1,IF(Source_Data!S$6=Inputs!$B$13,Source_Data!$C$8,0),Source_Data!S$8)</f>
        <v>171.6401925</v>
      </c>
      <c r="T11" s="33" t="n">
        <f aca="false">Source_Data!T$7+IF($B$9=1,IF(Source_Data!T$6=Inputs!$B$13,Source_Data!$C$8,0),Source_Data!T$8)</f>
        <v>112.5965925</v>
      </c>
      <c r="U11" s="33" t="n">
        <f aca="false">Source_Data!U$7+IF($B$9=1,IF(Source_Data!U$6=Inputs!$B$13,Source_Data!$C$8,0),Source_Data!U$8)</f>
        <v>89.3369925</v>
      </c>
      <c r="V11" s="33" t="n">
        <f aca="false">Source_Data!V$7+IF($B$9=1,IF(Source_Data!V$6=Inputs!$B$13,Source_Data!$C$8,0),Source_Data!V$8)</f>
        <v>87.5254275</v>
      </c>
      <c r="W11" s="33" t="n">
        <f aca="false">Source_Data!W$7+IF($B$9=1,IF(Source_Data!W$6=Inputs!$B$13,Source_Data!$C$8,0),Source_Data!W$8)</f>
        <v>85.7138625</v>
      </c>
      <c r="X11" s="33" t="n">
        <f aca="false">Source_Data!X$7+IF($B$9=1,IF(Source_Data!X$6=Inputs!$B$13,Source_Data!$C$8,0),Source_Data!X$8)</f>
        <v>77.279461875</v>
      </c>
      <c r="Y11" s="33" t="n">
        <f aca="false">Source_Data!Y$7+IF($B$9=1,IF(Source_Data!Y$6=Inputs!$B$13,Source_Data!$C$8,0),Source_Data!Y$8)</f>
        <v>70.15341375</v>
      </c>
      <c r="Z11" s="33" t="n">
        <f aca="false">Source_Data!Z$7+IF($B$9=1,IF(Source_Data!Z$6=Inputs!$B$13,Source_Data!$C$8,0),Source_Data!Z$8)</f>
        <v>61.33787625</v>
      </c>
      <c r="AA11" s="33" t="n">
        <f aca="false">Source_Data!AA$7+IF($B$9=1,IF(Source_Data!AA$6=Inputs!$B$13,Source_Data!$C$8,0),Source_Data!AA$8)</f>
        <v>51.04624875</v>
      </c>
      <c r="AB11" s="33" t="n">
        <f aca="false">Source_Data!AB$7+IF($B$9=1,IF(Source_Data!AB$6=Inputs!$B$13,Source_Data!$C$8,0),Source_Data!AB$8)</f>
        <v>51.04624875</v>
      </c>
      <c r="AC11" s="33" t="n">
        <f aca="false">Source_Data!AC$7+IF($B$9=1,IF(Source_Data!AC$6=Inputs!$B$13,Source_Data!$C$8,0),Source_Data!AC$8)</f>
        <v>51.04624875</v>
      </c>
      <c r="AD11" s="33" t="n">
        <f aca="false">Source_Data!AD$7+IF($B$9=1,IF(Source_Data!AD$6=Inputs!$B$13,Source_Data!$C$8,0),Source_Data!AD$8)</f>
        <v>51.04624875</v>
      </c>
      <c r="AE11" s="33" t="n">
        <f aca="false">Source_Data!AE$7+IF($B$9=1,IF(Source_Data!AE$6=Inputs!$B$13,Source_Data!$C$8,0),Source_Data!AE$8)</f>
        <v>51.04624875</v>
      </c>
      <c r="AF11" s="33" t="n">
        <f aca="false">Source_Data!AF$7+IF($B$9=1,IF(Source_Data!AF$6=Inputs!$B$13,Source_Data!$C$8,0),Source_Data!AF$8)</f>
        <v>43.931383125</v>
      </c>
      <c r="AG11" s="33" t="n">
        <f aca="false">Source_Data!AG$7+IF($B$9=1,IF(Source_Data!AG$6=Inputs!$B$13,Source_Data!$C$8,0),Source_Data!AG$8)</f>
        <v>36.8165175</v>
      </c>
      <c r="AH11" s="33" t="n">
        <f aca="false">Source_Data!AH$7+IF($B$9=1,IF(Source_Data!AH$6=Inputs!$B$13,Source_Data!$C$8,0),Source_Data!AH$8)</f>
        <v>32.958555</v>
      </c>
      <c r="AI11" s="33" t="n">
        <f aca="false">Source_Data!AI$7+IF($B$9=1,IF(Source_Data!AI$6=Inputs!$B$13,Source_Data!$C$8,0),Source_Data!AI$8)</f>
        <v>29.1005925</v>
      </c>
      <c r="AJ11" s="33" t="n">
        <f aca="false">Source_Data!AJ$7+IF($B$9=1,IF(Source_Data!AJ$6=Inputs!$B$13,Source_Data!$C$8,0),Source_Data!AJ$8)</f>
        <v>22.8831225</v>
      </c>
      <c r="AK11" s="33" t="n">
        <f aca="false">Source_Data!AK$7+IF($B$9=1,IF(Source_Data!AK$6=Inputs!$B$13,Source_Data!$C$8,0),Source_Data!AK$8)</f>
        <v>19.2823575</v>
      </c>
      <c r="AL11" s="33" t="n">
        <f aca="false">Source_Data!AL$7+IF($B$9=1,IF(Source_Data!AL$6=Inputs!$B$13,Source_Data!$C$8,0),Source_Data!AL$8)</f>
        <v>16.80357</v>
      </c>
      <c r="AM11" s="33" t="n">
        <f aca="false">Source_Data!AM$7+IF($B$9=1,IF(Source_Data!AM$6=Inputs!$B$13,Source_Data!$C$8,0),Source_Data!AM$8)</f>
        <v>7.24626</v>
      </c>
      <c r="AN11" s="33" t="n">
        <f aca="false">Source_Data!AN$7+IF($B$9=1,IF(Source_Data!AN$6=Inputs!$B$13,Source_Data!$C$8,0),Source_Data!AN$8)</f>
        <v>7.24626</v>
      </c>
      <c r="AO11" s="33" t="n">
        <f aca="false">Source_Data!AO$7+IF($B$9=1,IF(Source_Data!AO$6=Inputs!$B$13,Source_Data!$C$8,0),Source_Data!AO$8)</f>
        <v>7.24626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338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0</v>
      </c>
      <c r="G12" s="33" t="n">
        <f aca="false">$B$5*IF(Source_Data!G$5-($B$6+$B$8)&gt;=1,INDEX($D$11:$BK$11,1,Source_Data!G$5-($B$6+$B$8)),0)</f>
        <v>0</v>
      </c>
      <c r="H12" s="33" t="n">
        <f aca="false">$B$5*IF(Source_Data!H$5-($B$6+$B$8)&gt;=1,INDEX($D$11:$BK$11,1,Source_Data!H$5-($B$6+$B$8)),0)</f>
        <v>14.49252</v>
      </c>
      <c r="I12" s="33" t="n">
        <f aca="false">$B$5*IF(Source_Data!I$5-($B$6+$B$8)&gt;=1,INDEX($D$11:$BK$11,1,Source_Data!I$5-($B$6+$B$8)),0)</f>
        <v>28.98504</v>
      </c>
      <c r="J12" s="33" t="n">
        <f aca="false">$B$5*IF(Source_Data!J$5-($B$6+$B$8)&gt;=1,INDEX($D$11:$BK$11,1,Source_Data!J$5-($B$6+$B$8)),0)</f>
        <v>46.60866</v>
      </c>
      <c r="K12" s="33" t="n">
        <f aca="false">$B$5*IF(Source_Data!K$5-($B$6+$B$8)&gt;=1,INDEX($D$11:$BK$11,1,Source_Data!K$5-($B$6+$B$8)),0)</f>
        <v>55.214712</v>
      </c>
      <c r="L12" s="33" t="n">
        <f aca="false">$B$5*IF(Source_Data!L$5-($B$6+$B$8)&gt;=1,INDEX($D$11:$BK$11,1,Source_Data!L$5-($B$6+$B$8)),0)</f>
        <v>53.670036</v>
      </c>
      <c r="M12" s="33" t="n">
        <f aca="false">$B$5*IF(Source_Data!M$5-($B$6+$B$8)&gt;=1,INDEX($D$11:$BK$11,1,Source_Data!M$5-($B$6+$B$8)),0)</f>
        <v>58.378614</v>
      </c>
      <c r="N12" s="33" t="n">
        <f aca="false">$B$5*IF(Source_Data!N$5-($B$6+$B$8)&gt;=1,INDEX($D$11:$BK$11,1,Source_Data!N$5-($B$6+$B$8)),0)</f>
        <v>71.096844</v>
      </c>
      <c r="O12" s="33" t="n">
        <f aca="false">$B$5*IF(Source_Data!O$5-($B$6+$B$8)&gt;=1,INDEX($D$11:$BK$11,1,Source_Data!O$5-($B$6+$B$8)),0)</f>
        <v>84.486024</v>
      </c>
      <c r="P12" s="33" t="n">
        <f aca="false">$B$5*IF(Source_Data!P$5-($B$6+$B$8)&gt;=1,INDEX($D$11:$BK$11,1,Source_Data!P$5-($B$6+$B$8)),0)</f>
        <v>92.201949</v>
      </c>
      <c r="Q12" s="33" t="n">
        <f aca="false">$B$5*IF(Source_Data!Q$5-($B$6+$B$8)&gt;=1,INDEX($D$11:$BK$11,1,Source_Data!Q$5-($B$6+$B$8)),0)</f>
        <v>99.917874</v>
      </c>
      <c r="R12" s="33" t="n">
        <f aca="false">$B$5*IF(Source_Data!R$5-($B$6+$B$8)&gt;=1,INDEX($D$11:$BK$11,1,Source_Data!R$5-($B$6+$B$8)),0)</f>
        <v>546.472374</v>
      </c>
      <c r="S12" s="33" t="n">
        <f aca="false">$B$5*IF(Source_Data!S$5-($B$6+$B$8)&gt;=1,INDEX($D$11:$BK$11,1,Source_Data!S$5-($B$6+$B$8)),0)</f>
        <v>137.312154</v>
      </c>
      <c r="T12" s="33" t="n">
        <f aca="false">$B$5*IF(Source_Data!T$5-($B$6+$B$8)&gt;=1,INDEX($D$11:$BK$11,1,Source_Data!T$5-($B$6+$B$8)),0)</f>
        <v>90.0772739999999</v>
      </c>
      <c r="U12" s="33" t="n">
        <f aca="false">$B$5*IF(Source_Data!U$5-($B$6+$B$8)&gt;=1,INDEX($D$11:$BK$11,1,Source_Data!U$5-($B$6+$B$8)),0)</f>
        <v>71.469594</v>
      </c>
      <c r="V12" s="33" t="n">
        <f aca="false">$B$5*IF(Source_Data!V$5-($B$6+$B$8)&gt;=1,INDEX($D$11:$BK$11,1,Source_Data!V$5-($B$6+$B$8)),0)</f>
        <v>70.020342</v>
      </c>
      <c r="W12" s="33" t="n">
        <f aca="false">$B$5*IF(Source_Data!W$5-($B$6+$B$8)&gt;=1,INDEX($D$11:$BK$11,1,Source_Data!W$5-($B$6+$B$8)),0)</f>
        <v>68.57109</v>
      </c>
      <c r="X12" s="33" t="n">
        <f aca="false">$B$5*IF(Source_Data!X$5-($B$6+$B$8)&gt;=1,INDEX($D$11:$BK$11,1,Source_Data!X$5-($B$6+$B$8)),0)</f>
        <v>61.8235695</v>
      </c>
      <c r="Y12" s="33" t="n">
        <f aca="false">$B$5*IF(Source_Data!Y$5-($B$6+$B$8)&gt;=1,INDEX($D$11:$BK$11,1,Source_Data!Y$5-($B$6+$B$8)),0)</f>
        <v>56.122731</v>
      </c>
      <c r="Z12" s="33" t="n">
        <f aca="false">$B$5*IF(Source_Data!Z$5-($B$6+$B$8)&gt;=1,INDEX($D$11:$BK$11,1,Source_Data!Z$5-($B$6+$B$8)),0)</f>
        <v>49.070301</v>
      </c>
      <c r="AA12" s="33" t="n">
        <f aca="false">$B$5*IF(Source_Data!AA$5-($B$6+$B$8)&gt;=1,INDEX($D$11:$BK$11,1,Source_Data!AA$5-($B$6+$B$8)),0)</f>
        <v>40.836999</v>
      </c>
      <c r="AB12" s="33" t="n">
        <f aca="false">$B$5*IF(Source_Data!AB$5-($B$6+$B$8)&gt;=1,INDEX($D$11:$BK$11,1,Source_Data!AB$5-($B$6+$B$8)),0)</f>
        <v>40.836999</v>
      </c>
      <c r="AC12" s="33" t="n">
        <f aca="false">$B$5*IF(Source_Data!AC$5-($B$6+$B$8)&gt;=1,INDEX($D$11:$BK$11,1,Source_Data!AC$5-($B$6+$B$8)),0)</f>
        <v>40.836999</v>
      </c>
      <c r="AD12" s="33" t="n">
        <f aca="false">$B$5*IF(Source_Data!AD$5-($B$6+$B$8)&gt;=1,INDEX($D$11:$BK$11,1,Source_Data!AD$5-($B$6+$B$8)),0)</f>
        <v>40.836999</v>
      </c>
      <c r="AE12" s="33" t="n">
        <f aca="false">$B$5*IF(Source_Data!AE$5-($B$6+$B$8)&gt;=1,INDEX($D$11:$BK$11,1,Source_Data!AE$5-($B$6+$B$8)),0)</f>
        <v>40.836999</v>
      </c>
      <c r="AF12" s="33" t="n">
        <f aca="false">$B$5*IF(Source_Data!AF$5-($B$6+$B$8)&gt;=1,INDEX($D$11:$BK$11,1,Source_Data!AF$5-($B$6+$B$8)),0)</f>
        <v>35.1451065</v>
      </c>
      <c r="AG12" s="33" t="n">
        <f aca="false">$B$5*IF(Source_Data!AG$5-($B$6+$B$8)&gt;=1,INDEX($D$11:$BK$11,1,Source_Data!AG$5-($B$6+$B$8)),0)</f>
        <v>29.453214</v>
      </c>
      <c r="AH12" s="33" t="n">
        <f aca="false">$B$5*IF(Source_Data!AH$5-($B$6+$B$8)&gt;=1,INDEX($D$11:$BK$11,1,Source_Data!AH$5-($B$6+$B$8)),0)</f>
        <v>26.366844</v>
      </c>
      <c r="AI12" s="33" t="n">
        <f aca="false">$B$5*IF(Source_Data!AI$5-($B$6+$B$8)&gt;=1,INDEX($D$11:$BK$11,1,Source_Data!AI$5-($B$6+$B$8)),0)</f>
        <v>23.280474</v>
      </c>
      <c r="AJ12" s="33" t="n">
        <f aca="false">$B$5*IF(Source_Data!AJ$5-($B$6+$B$8)&gt;=1,INDEX($D$11:$BK$11,1,Source_Data!AJ$5-($B$6+$B$8)),0)</f>
        <v>18.306498</v>
      </c>
      <c r="AK12" s="33" t="n">
        <f aca="false">$B$5*IF(Source_Data!AK$5-($B$6+$B$8)&gt;=1,INDEX($D$11:$BK$11,1,Source_Data!AK$5-($B$6+$B$8)),0)</f>
        <v>15.425886</v>
      </c>
      <c r="AL12" s="33" t="n">
        <f aca="false">$B$5*IF(Source_Data!AL$5-($B$6+$B$8)&gt;=1,INDEX($D$11:$BK$11,1,Source_Data!AL$5-($B$6+$B$8)),0)</f>
        <v>13.442856</v>
      </c>
      <c r="AM12" s="33" t="n">
        <f aca="false">$B$5*IF(Source_Data!AM$5-($B$6+$B$8)&gt;=1,INDEX($D$11:$BK$11,1,Source_Data!AM$5-($B$6+$B$8)),0)</f>
        <v>5.797008</v>
      </c>
      <c r="AN12" s="33" t="n">
        <f aca="false">$B$5*IF(Source_Data!AN$5-($B$6+$B$8)&gt;=1,INDEX($D$11:$BK$11,1,Source_Data!AN$5-($B$6+$B$8)),0)</f>
        <v>5.797008</v>
      </c>
      <c r="AO12" s="33" t="n">
        <f aca="false">$B$5*IF(Source_Data!AO$5-($B$6+$B$8)&gt;=1,INDEX($D$11:$BK$11,1,Source_Data!AO$5-($B$6+$B$8)),0)</f>
        <v>5.797008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339</v>
      </c>
      <c r="D13" s="33" t="n">
        <f aca="false">Source_Data!D$9+Source_Data!D$10*IF(Source_Data!$C$10=0,0,MAX(0,Inputs!$B$19*Inputs!$B$22*$B$5-Inputs!$B$20)/Source_Data!$C$10)</f>
        <v>0</v>
      </c>
      <c r="E13" s="33" t="n">
        <f aca="false">Source_Data!E$9+Source_Data!E$10*IF(Source_Data!$C$10=0,0,MAX(0,Inputs!$B$19*Inputs!$B$22*$B$5-Inputs!$B$20)/Source_Data!$C$10)</f>
        <v>0</v>
      </c>
      <c r="F13" s="33" t="n">
        <f aca="false">Source_Data!F$9+Source_Data!F$10*IF(Source_Data!$C$10=0,0,MAX(0,Inputs!$B$19*Inputs!$B$22*$B$5-Inputs!$B$20)/Source_Data!$C$10)</f>
        <v>0</v>
      </c>
      <c r="G13" s="33" t="n">
        <f aca="false">Source_Data!G$9+Source_Data!G$10*IF(Source_Data!$C$10=0,0,MAX(0,Inputs!$B$19*Inputs!$B$22*$B$5-Inputs!$B$20)/Source_Data!$C$10)</f>
        <v>85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45</v>
      </c>
      <c r="M13" s="33" t="n">
        <f aca="false">Source_Data!M$9+Source_Data!M$10*IF(Source_Data!$C$10=0,0,MAX(0,Inputs!$B$19*Inputs!$B$22*$B$5-Inputs!$B$20)/Source_Data!$C$10)</f>
        <v>45</v>
      </c>
      <c r="N13" s="33" t="n">
        <f aca="false">Source_Data!N$9+Source_Data!N$10*IF(Source_Data!$C$10=0,0,MAX(0,Inputs!$B$19*Inputs!$B$22*$B$5-Inputs!$B$20)/Source_Data!$C$10)</f>
        <v>45</v>
      </c>
      <c r="O13" s="33" t="n">
        <f aca="false">Source_Data!O$9+Source_Data!O$10*IF(Source_Data!$C$10=0,0,MAX(0,Inputs!$B$19*Inputs!$B$22*$B$5-Inputs!$B$20)/Source_Data!$C$10)</f>
        <v>45</v>
      </c>
      <c r="P13" s="33" t="n">
        <f aca="false">Source_Data!P$9+Source_Data!P$10*IF(Source_Data!$C$10=0,0,MAX(0,Inputs!$B$19*Inputs!$B$22*$B$5-Inputs!$B$20)/Source_Data!$C$10)</f>
        <v>56.25</v>
      </c>
      <c r="Q13" s="33" t="n">
        <f aca="false">Source_Data!Q$9+Source_Data!Q$10*IF(Source_Data!$C$10=0,0,MAX(0,Inputs!$B$19*Inputs!$B$22*$B$5-Inputs!$B$20)/Source_Data!$C$10)</f>
        <v>56.25</v>
      </c>
      <c r="R13" s="33" t="n">
        <f aca="false">Source_Data!R$9+Source_Data!R$10*IF(Source_Data!$C$10=0,0,MAX(0,Inputs!$B$19*Inputs!$B$22*$B$5-Inputs!$B$20)/Source_Data!$C$10)</f>
        <v>56.25</v>
      </c>
      <c r="S13" s="33" t="n">
        <f aca="false">Source_Data!S$9+Source_Data!S$10*IF(Source_Data!$C$10=0,0,MAX(0,Inputs!$B$19*Inputs!$B$22*$B$5-Inputs!$B$20)/Source_Data!$C$10)</f>
        <v>56.25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64.7238293255187</v>
      </c>
      <c r="AG13" s="33" t="n">
        <f aca="false">Source_Data!AG$9+Source_Data!AG$10*IF(Source_Data!$C$10=0,0,MAX(0,Inputs!$B$19*Inputs!$B$22*$B$5-Inputs!$B$20)/Source_Data!$C$10)</f>
        <v>4.32237823725253</v>
      </c>
      <c r="AH13" s="33" t="n">
        <f aca="false">Source_Data!AH$9+Source_Data!AH$10*IF(Source_Data!$C$10=0,0,MAX(0,Inputs!$B$19*Inputs!$B$22*$B$5-Inputs!$B$20)/Source_Data!$C$10)</f>
        <v>3.86944096120146</v>
      </c>
      <c r="AI13" s="33" t="n">
        <f aca="false">Source_Data!AI$9+Source_Data!AI$10*IF(Source_Data!$C$10=0,0,MAX(0,Inputs!$B$19*Inputs!$B$22*$B$5-Inputs!$B$20)/Source_Data!$C$10)</f>
        <v>3.4165036851504</v>
      </c>
      <c r="AJ13" s="33" t="n">
        <f aca="false">Source_Data!AJ$9+Source_Data!AJ$10*IF(Source_Data!$C$10=0,0,MAX(0,Inputs!$B$19*Inputs!$B$22*$B$5-Inputs!$B$20)/Source_Data!$C$10)</f>
        <v>2.68655259678984</v>
      </c>
      <c r="AK13" s="33" t="n">
        <f aca="false">Source_Data!AK$9+Source_Data!AK$10*IF(Source_Data!$C$10=0,0,MAX(0,Inputs!$B$19*Inputs!$B$22*$B$5-Inputs!$B$20)/Source_Data!$C$10)</f>
        <v>2.26381113914218</v>
      </c>
      <c r="AL13" s="33" t="n">
        <f aca="false">Source_Data!AL$9+Source_Data!AL$10*IF(Source_Data!$C$10=0,0,MAX(0,Inputs!$B$19*Inputs!$B$22*$B$5-Inputs!$B$20)/Source_Data!$C$10)</f>
        <v>1.97279346902241</v>
      </c>
      <c r="AM13" s="33" t="n">
        <f aca="false">Source_Data!AM$9+Source_Data!AM$10*IF(Source_Data!$C$10=0,0,MAX(0,Inputs!$B$19*Inputs!$B$22*$B$5-Inputs!$B$20)/Source_Data!$C$10)</f>
        <v>0.850734361974174</v>
      </c>
      <c r="AN13" s="33" t="n">
        <f aca="false">Source_Data!AN$9+Source_Data!AN$10*IF(Source_Data!$C$10=0,0,MAX(0,Inputs!$B$19*Inputs!$B$22*$B$5-Inputs!$B$20)/Source_Data!$C$10)</f>
        <v>0.850734361974174</v>
      </c>
      <c r="AO13" s="33" t="n">
        <f aca="false">Source_Data!AO$9+Source_Data!AO$10*IF(Source_Data!$C$10=0,0,MAX(0,Inputs!$B$19*Inputs!$B$22*$B$5-Inputs!$B$20)/Source_Data!$C$10)</f>
        <v>0.850734361974174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194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0</v>
      </c>
      <c r="I14" s="33" t="n">
        <f aca="false">Source_Data!I$11*$B$7</f>
        <v>0</v>
      </c>
      <c r="J14" s="33" t="n">
        <f aca="false">Source_Data!J$11*$B$7</f>
        <v>20</v>
      </c>
      <c r="K14" s="33" t="n">
        <f aca="false">Source_Data!K$11*$B$7</f>
        <v>26.4</v>
      </c>
      <c r="L14" s="33" t="n">
        <f aca="false">Source_Data!L$11*$B$7</f>
        <v>40</v>
      </c>
      <c r="M14" s="33" t="n">
        <f aca="false">Source_Data!M$11*$B$7</f>
        <v>26.4</v>
      </c>
      <c r="N14" s="33" t="n">
        <f aca="false">Source_Data!N$11*$B$7</f>
        <v>26.4</v>
      </c>
      <c r="O14" s="33" t="n">
        <f aca="false">Source_Data!O$11*$B$7</f>
        <v>26.4</v>
      </c>
      <c r="P14" s="33" t="n">
        <f aca="false">Source_Data!P$11*$B$7</f>
        <v>5.28</v>
      </c>
      <c r="Q14" s="33" t="n">
        <f aca="false">Source_Data!Q$11*$B$7</f>
        <v>5.28</v>
      </c>
      <c r="R14" s="33" t="n">
        <f aca="false">Source_Data!R$11*$B$7</f>
        <v>120</v>
      </c>
      <c r="S14" s="33" t="n">
        <f aca="false">Source_Data!S$11*$B$7</f>
        <v>120</v>
      </c>
      <c r="T14" s="33" t="n">
        <f aca="false">Source_Data!T$11*$B$7</f>
        <v>164</v>
      </c>
      <c r="U14" s="33" t="n">
        <f aca="false">Source_Data!U$11*$B$7</f>
        <v>117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196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0</v>
      </c>
      <c r="K15" s="33" t="n">
        <f aca="false">$B$5*IF(Source_Data!K$5-$B$6&gt;=1,INDEX(Source_Data!$D$12:$BK$12,1,Source_Data!K$5-$B$6),0)</f>
        <v>0</v>
      </c>
      <c r="L15" s="33" t="n">
        <f aca="false">$B$5*IF(Source_Data!L$5-$B$6&gt;=1,INDEX(Source_Data!$D$12:$BK$12,1,Source_Data!L$5-$B$6),0)</f>
        <v>11.594016</v>
      </c>
      <c r="M15" s="33" t="n">
        <f aca="false">$B$5*IF(Source_Data!M$5-$B$6&gt;=1,INDEX(Source_Data!$D$12:$BK$12,1,Source_Data!M$5-$B$6),0)</f>
        <v>11.594016</v>
      </c>
      <c r="N15" s="33" t="n">
        <f aca="false">$B$5*IF(Source_Data!N$5-$B$6&gt;=1,INDEX(Source_Data!$D$12:$BK$12,1,Source_Data!N$5-$B$6),0)</f>
        <v>9.947952</v>
      </c>
      <c r="O15" s="33" t="n">
        <f aca="false">$B$5*IF(Source_Data!O$5-$B$6&gt;=1,INDEX(Source_Data!$D$12:$BK$12,1,Source_Data!O$5-$B$6),0)</f>
        <v>5.761224</v>
      </c>
      <c r="P15" s="33" t="n">
        <f aca="false">$B$5*IF(Source_Data!P$5-$B$6&gt;=1,INDEX(Source_Data!$D$12:$BK$12,1,Source_Data!P$5-$B$6),0)</f>
        <v>6.345696</v>
      </c>
      <c r="Q15" s="33" t="n">
        <f aca="false">$B$5*IF(Source_Data!Q$5-$B$6&gt;=1,INDEX(Source_Data!$D$12:$BK$12,1,Source_Data!Q$5-$B$6),0)</f>
        <v>5.916288</v>
      </c>
      <c r="R15" s="33" t="n">
        <f aca="false">$B$5*IF(Source_Data!R$5-$B$6&gt;=1,INDEX(Source_Data!$D$12:$BK$12,1,Source_Data!R$5-$B$6),0)</f>
        <v>6.035568</v>
      </c>
      <c r="S15" s="33" t="n">
        <f aca="false">$B$5*IF(Source_Data!S$5-$B$6&gt;=1,INDEX(Source_Data!$D$12:$BK$12,1,Source_Data!S$5-$B$6),0)</f>
        <v>6.035568</v>
      </c>
      <c r="T15" s="33" t="n">
        <f aca="false">$B$5*IF(Source_Data!T$5-$B$6&gt;=1,INDEX(Source_Data!$D$12:$BK$12,1,Source_Data!T$5-$B$6),0)</f>
        <v>6.584256</v>
      </c>
      <c r="U15" s="33" t="n">
        <f aca="false">$B$5*IF(Source_Data!U$5-$B$6&gt;=1,INDEX(Source_Data!$D$12:$BK$12,1,Source_Data!U$5-$B$6),0)</f>
        <v>6.584256</v>
      </c>
      <c r="V15" s="33" t="n">
        <f aca="false">$B$5*IF(Source_Data!V$5-$B$6&gt;=1,INDEX(Source_Data!$D$12:$BK$12,1,Source_Data!V$5-$B$6),0)</f>
        <v>4.580352</v>
      </c>
      <c r="W15" s="33" t="n">
        <f aca="false">$B$5*IF(Source_Data!W$5-$B$6&gt;=1,INDEX(Source_Data!$D$12:$BK$12,1,Source_Data!W$5-$B$6),0)</f>
        <v>4.580352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215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0</v>
      </c>
      <c r="I16" s="33" t="n">
        <f aca="false">Source_Data!I$13*$B$7</f>
        <v>0</v>
      </c>
      <c r="J16" s="33" t="n">
        <f aca="false">Source_Data!J$13*$B$7</f>
        <v>3</v>
      </c>
      <c r="K16" s="33" t="n">
        <f aca="false">Source_Data!K$13*$B$7</f>
        <v>3.96</v>
      </c>
      <c r="L16" s="33" t="n">
        <f aca="false">Source_Data!L$13*$B$7</f>
        <v>6</v>
      </c>
      <c r="M16" s="33" t="n">
        <f aca="false">Source_Data!M$13*$B$7</f>
        <v>3.96</v>
      </c>
      <c r="N16" s="33" t="n">
        <f aca="false">Source_Data!N$13*$B$7</f>
        <v>3.96</v>
      </c>
      <c r="O16" s="33" t="n">
        <f aca="false">Source_Data!O$13*$B$7</f>
        <v>3.96</v>
      </c>
      <c r="P16" s="33" t="n">
        <f aca="false">Source_Data!P$13*$B$7</f>
        <v>0.792</v>
      </c>
      <c r="Q16" s="33" t="n">
        <f aca="false">Source_Data!Q$13*$B$7</f>
        <v>0.792</v>
      </c>
      <c r="R16" s="33" t="n">
        <f aca="false">Source_Data!R$13*$B$7</f>
        <v>18</v>
      </c>
      <c r="S16" s="33" t="n">
        <f aca="false">Source_Data!S$13*$B$7</f>
        <v>18</v>
      </c>
      <c r="T16" s="33" t="n">
        <f aca="false">Source_Data!T$13*$B$7</f>
        <v>24.6</v>
      </c>
      <c r="U16" s="33" t="n">
        <f aca="false">Source_Data!U$13*$B$7</f>
        <v>17.55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216</v>
      </c>
      <c r="D17" s="33" t="n">
        <f aca="false">D12-D13-D14-D15-D16</f>
        <v>0</v>
      </c>
      <c r="E17" s="33" t="n">
        <f aca="false">E12-E13-E14-E15-E16</f>
        <v>0</v>
      </c>
      <c r="F17" s="33" t="n">
        <f aca="false">F12-F13-F14-F15-F16</f>
        <v>0</v>
      </c>
      <c r="G17" s="33" t="n">
        <f aca="false">G12-G13-G14-G15-G16</f>
        <v>-85</v>
      </c>
      <c r="H17" s="33" t="n">
        <f aca="false">H12-H13-H14-H15-H16</f>
        <v>-8.00748</v>
      </c>
      <c r="I17" s="33" t="n">
        <f aca="false">I12-I13-I14-I15-I16</f>
        <v>6.48504</v>
      </c>
      <c r="J17" s="33" t="n">
        <f aca="false">J12-J13-J14-J15-J16</f>
        <v>1.10866</v>
      </c>
      <c r="K17" s="33" t="n">
        <f aca="false">K12-K13-K14-K15-K16</f>
        <v>2.354712</v>
      </c>
      <c r="L17" s="33" t="n">
        <f aca="false">L12-L13-L14-L15-L16</f>
        <v>-48.92398</v>
      </c>
      <c r="M17" s="33" t="n">
        <f aca="false">M12-M13-M14-M15-M16</f>
        <v>-28.575402</v>
      </c>
      <c r="N17" s="33" t="n">
        <f aca="false">N12-N13-N14-N15-N16</f>
        <v>-14.211108</v>
      </c>
      <c r="O17" s="33" t="n">
        <f aca="false">O12-O13-O14-O15-O16</f>
        <v>3.3648</v>
      </c>
      <c r="P17" s="33" t="n">
        <f aca="false">P12-P13-P14-P15-P16</f>
        <v>23.534253</v>
      </c>
      <c r="Q17" s="33" t="n">
        <f aca="false">Q12-Q13-Q14-Q15-Q16</f>
        <v>31.679586</v>
      </c>
      <c r="R17" s="33" t="n">
        <f aca="false">R12-R13-R14-R15-R16</f>
        <v>346.186806</v>
      </c>
      <c r="S17" s="33" t="n">
        <f aca="false">S12-S13-S14-S15-S16</f>
        <v>-62.973414</v>
      </c>
      <c r="T17" s="33" t="n">
        <f aca="false">T12-T13-T14-T15-T16</f>
        <v>-150.106982</v>
      </c>
      <c r="U17" s="33" t="n">
        <f aca="false">U12-U13-U14-U15-U16</f>
        <v>-114.664662</v>
      </c>
      <c r="V17" s="33" t="n">
        <f aca="false">V12-V13-V14-V15-V16</f>
        <v>20.43999</v>
      </c>
      <c r="W17" s="33" t="n">
        <f aca="false">W12-W13-W14-W15-W16</f>
        <v>18.990738</v>
      </c>
      <c r="X17" s="33" t="n">
        <f aca="false">X12-X13-X14-X15-X16</f>
        <v>39.3235695</v>
      </c>
      <c r="Y17" s="33" t="n">
        <f aca="false">Y12-Y13-Y14-Y15-Y16</f>
        <v>33.622731</v>
      </c>
      <c r="Z17" s="33" t="n">
        <f aca="false">Z12-Z13-Z14-Z15-Z16</f>
        <v>26.570301</v>
      </c>
      <c r="AA17" s="33" t="n">
        <f aca="false">AA12-AA13-AA14-AA15-AA16</f>
        <v>18.336999</v>
      </c>
      <c r="AB17" s="33" t="n">
        <f aca="false">AB12-AB13-AB14-AB15-AB16</f>
        <v>40.836999</v>
      </c>
      <c r="AC17" s="33" t="n">
        <f aca="false">AC12-AC13-AC14-AC15-AC16</f>
        <v>40.836999</v>
      </c>
      <c r="AD17" s="33" t="n">
        <f aca="false">AD12-AD13-AD14-AD15-AD16</f>
        <v>40.836999</v>
      </c>
      <c r="AE17" s="33" t="n">
        <f aca="false">AE12-AE13-AE14-AE15-AE16</f>
        <v>40.836999</v>
      </c>
      <c r="AF17" s="33" t="n">
        <f aca="false">AF12-AF13-AF14-AF15-AF16</f>
        <v>-29.5787228255187</v>
      </c>
      <c r="AG17" s="33" t="n">
        <f aca="false">AG12-AG13-AG14-AG15-AG16</f>
        <v>25.1308357627475</v>
      </c>
      <c r="AH17" s="33" t="n">
        <f aca="false">AH12-AH13-AH14-AH15-AH16</f>
        <v>22.4974030387985</v>
      </c>
      <c r="AI17" s="33" t="n">
        <f aca="false">AI12-AI13-AI14-AI15-AI16</f>
        <v>19.8639703148496</v>
      </c>
      <c r="AJ17" s="33" t="n">
        <f aca="false">AJ12-AJ13-AJ14-AJ15-AJ16</f>
        <v>15.6199454032102</v>
      </c>
      <c r="AK17" s="33" t="n">
        <f aca="false">AK12-AK13-AK14-AK15-AK16</f>
        <v>13.1620748608578</v>
      </c>
      <c r="AL17" s="33" t="n">
        <f aca="false">AL12-AL13-AL14-AL15-AL16</f>
        <v>11.4700625309776</v>
      </c>
      <c r="AM17" s="33" t="n">
        <f aca="false">AM12-AM13-AM14-AM15-AM16</f>
        <v>4.94627363802583</v>
      </c>
      <c r="AN17" s="33" t="n">
        <f aca="false">AN12-AN13-AN14-AN15-AN16</f>
        <v>4.94627363802583</v>
      </c>
      <c r="AO17" s="33" t="n">
        <f aca="false">AO12-AO13-AO14-AO15-AO16</f>
        <v>4.94627363802583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217</v>
      </c>
      <c r="D18" s="33" t="n">
        <f aca="false">D17</f>
        <v>0</v>
      </c>
      <c r="E18" s="33" t="n">
        <f aca="false">D18+E17</f>
        <v>0</v>
      </c>
      <c r="F18" s="33" t="n">
        <f aca="false">E18+F17</f>
        <v>0</v>
      </c>
      <c r="G18" s="33" t="n">
        <f aca="false">F18+G17</f>
        <v>-85</v>
      </c>
      <c r="H18" s="33" t="n">
        <f aca="false">G18+H17</f>
        <v>-93.00748</v>
      </c>
      <c r="I18" s="33" t="n">
        <f aca="false">H18+I17</f>
        <v>-86.52244</v>
      </c>
      <c r="J18" s="33" t="n">
        <f aca="false">I18+J17</f>
        <v>-85.41378</v>
      </c>
      <c r="K18" s="33" t="n">
        <f aca="false">J18+K17</f>
        <v>-83.059068</v>
      </c>
      <c r="L18" s="33" t="n">
        <f aca="false">K18+L17</f>
        <v>-131.983048</v>
      </c>
      <c r="M18" s="33" t="n">
        <f aca="false">L18+M17</f>
        <v>-160.55845</v>
      </c>
      <c r="N18" s="33" t="n">
        <f aca="false">M18+N17</f>
        <v>-174.769558</v>
      </c>
      <c r="O18" s="33" t="n">
        <f aca="false">N18+O17</f>
        <v>-171.404758</v>
      </c>
      <c r="P18" s="33" t="n">
        <f aca="false">O18+P17</f>
        <v>-147.870505</v>
      </c>
      <c r="Q18" s="33" t="n">
        <f aca="false">P18+Q17</f>
        <v>-116.190919</v>
      </c>
      <c r="R18" s="33" t="n">
        <f aca="false">Q18+R17</f>
        <v>229.995887</v>
      </c>
      <c r="S18" s="33" t="n">
        <f aca="false">R18+S17</f>
        <v>167.022473</v>
      </c>
      <c r="T18" s="33" t="n">
        <f aca="false">S18+T17</f>
        <v>16.9154909999998</v>
      </c>
      <c r="U18" s="33" t="n">
        <f aca="false">T18+U17</f>
        <v>-97.7491710000002</v>
      </c>
      <c r="V18" s="33" t="n">
        <f aca="false">U18+V17</f>
        <v>-77.3091810000003</v>
      </c>
      <c r="W18" s="33" t="n">
        <f aca="false">V18+W17</f>
        <v>-58.3184430000003</v>
      </c>
      <c r="X18" s="33" t="n">
        <f aca="false">W18+X17</f>
        <v>-18.9948735000003</v>
      </c>
      <c r="Y18" s="33" t="n">
        <f aca="false">X18+Y17</f>
        <v>14.6278574999997</v>
      </c>
      <c r="Z18" s="33" t="n">
        <f aca="false">Y18+Z17</f>
        <v>41.1981584999997</v>
      </c>
      <c r="AA18" s="33" t="n">
        <f aca="false">Z18+AA17</f>
        <v>59.5351574999997</v>
      </c>
      <c r="AB18" s="33" t="n">
        <f aca="false">AA18+AB17</f>
        <v>100.3721565</v>
      </c>
      <c r="AC18" s="33" t="n">
        <f aca="false">AB18+AC17</f>
        <v>141.2091555</v>
      </c>
      <c r="AD18" s="33" t="n">
        <f aca="false">AC18+AD17</f>
        <v>182.0461545</v>
      </c>
      <c r="AE18" s="33" t="n">
        <f aca="false">AD18+AE17</f>
        <v>222.8831535</v>
      </c>
      <c r="AF18" s="33" t="n">
        <f aca="false">AE18+AF17</f>
        <v>193.304430674481</v>
      </c>
      <c r="AG18" s="33" t="n">
        <f aca="false">AF18+AG17</f>
        <v>218.435266437228</v>
      </c>
      <c r="AH18" s="33" t="n">
        <f aca="false">AG18+AH17</f>
        <v>240.932669476027</v>
      </c>
      <c r="AI18" s="33" t="n">
        <f aca="false">AH18+AI17</f>
        <v>260.796639790877</v>
      </c>
      <c r="AJ18" s="33" t="n">
        <f aca="false">AI18+AJ17</f>
        <v>276.416585194087</v>
      </c>
      <c r="AK18" s="33" t="n">
        <f aca="false">AJ18+AK17</f>
        <v>289.578660054945</v>
      </c>
      <c r="AL18" s="33" t="n">
        <f aca="false">AK18+AL17</f>
        <v>301.048722585922</v>
      </c>
      <c r="AM18" s="33" t="n">
        <f aca="false">AL18+AM17</f>
        <v>305.994996223948</v>
      </c>
      <c r="AN18" s="33" t="n">
        <f aca="false">AM18+AN17</f>
        <v>310.941269861974</v>
      </c>
      <c r="AO18" s="33" t="n">
        <f aca="false">AN18+AO17</f>
        <v>315.8875435</v>
      </c>
      <c r="AP18" s="33" t="n">
        <f aca="false">AO18+AP17</f>
        <v>315.8875435</v>
      </c>
      <c r="AQ18" s="33" t="n">
        <f aca="false">AP18+AQ17</f>
        <v>315.8875435</v>
      </c>
      <c r="AR18" s="33" t="n">
        <f aca="false">AQ18+AR17</f>
        <v>315.8875435</v>
      </c>
      <c r="AS18" s="33" t="n">
        <f aca="false">AR18+AS17</f>
        <v>315.8875435</v>
      </c>
      <c r="AT18" s="33" t="n">
        <f aca="false">AS18+AT17</f>
        <v>315.8875435</v>
      </c>
      <c r="AU18" s="33" t="n">
        <f aca="false">AT18+AU17</f>
        <v>315.8875435</v>
      </c>
      <c r="AV18" s="33" t="n">
        <f aca="false">AU18+AV17</f>
        <v>315.8875435</v>
      </c>
      <c r="AW18" s="33" t="n">
        <f aca="false">AV18+AW17</f>
        <v>315.8875435</v>
      </c>
      <c r="AX18" s="33" t="n">
        <f aca="false">AW18+AX17</f>
        <v>315.8875435</v>
      </c>
      <c r="AY18" s="33" t="n">
        <f aca="false">AX18+AY17</f>
        <v>315.8875435</v>
      </c>
      <c r="AZ18" s="33" t="n">
        <f aca="false">AY18+AZ17</f>
        <v>315.8875435</v>
      </c>
      <c r="BA18" s="33" t="n">
        <f aca="false">AZ18+BA17</f>
        <v>315.8875435</v>
      </c>
      <c r="BB18" s="33" t="n">
        <f aca="false">BA18+BB17</f>
        <v>315.8875435</v>
      </c>
      <c r="BC18" s="33" t="n">
        <f aca="false">BB18+BC17</f>
        <v>315.8875435</v>
      </c>
      <c r="BD18" s="33" t="n">
        <f aca="false">BC18+BD17</f>
        <v>315.8875435</v>
      </c>
      <c r="BE18" s="33" t="n">
        <f aca="false">BD18+BE17</f>
        <v>315.8875435</v>
      </c>
      <c r="BF18" s="33" t="n">
        <f aca="false">BE18+BF17</f>
        <v>315.8875435</v>
      </c>
      <c r="BG18" s="33" t="n">
        <f aca="false">BF18+BG17</f>
        <v>315.8875435</v>
      </c>
      <c r="BH18" s="33" t="n">
        <f aca="false">BG18+BH17</f>
        <v>315.8875435</v>
      </c>
      <c r="BI18" s="33" t="n">
        <f aca="false">BH18+BI17</f>
        <v>315.8875435</v>
      </c>
      <c r="BJ18" s="33" t="n">
        <f aca="false">BI18+BJ17</f>
        <v>315.8875435</v>
      </c>
      <c r="BK18" s="33" t="n">
        <f aca="false">BJ18+BK17</f>
        <v>315.8875435</v>
      </c>
    </row>
    <row r="19" customFormat="false" ht="15" hidden="false" customHeight="false" outlineLevel="0" collapsed="false">
      <c r="A19" s="3" t="s">
        <v>340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-50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0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0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28.7407407407407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28.7407407407407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28.7407407407407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28.7407407407407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341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0</v>
      </c>
      <c r="N20" s="33" t="n">
        <f aca="false">IF(AND(Source_Data!N$6&gt;=Inputs!$B$54,Source_Data!N$6&lt;Inputs!$B$54+3*Inputs!$B$11),Inputs!$B$9*Inputs!$B$7/Inputs!$B$11,0)</f>
        <v>0</v>
      </c>
      <c r="O20" s="33" t="n">
        <f aca="false">IF(AND(Source_Data!O$6&gt;=Inputs!$B$54,Source_Data!O$6&lt;Inputs!$B$54+3*Inputs!$B$11),Inputs!$B$9*Inputs!$B$7/Inputs!$B$11,0)</f>
        <v>0</v>
      </c>
      <c r="P20" s="33" t="n">
        <f aca="false">IF(AND(Source_Data!P$6&gt;=Inputs!$B$54,Source_Data!P$6&lt;Inputs!$B$54+3*Inputs!$B$11),Inputs!$B$9*Inputs!$B$7/Inputs!$B$11,0)</f>
        <v>9.58333333333333</v>
      </c>
      <c r="Q20" s="33" t="n">
        <f aca="false">IF(AND(Source_Data!Q$6&gt;=Inputs!$B$54,Source_Data!Q$6&lt;Inputs!$B$54+3*Inputs!$B$11),Inputs!$B$9*Inputs!$B$7/Inputs!$B$11,0)</f>
        <v>9.58333333333333</v>
      </c>
      <c r="R20" s="33" t="n">
        <f aca="false">IF(AND(Source_Data!R$6&gt;=Inputs!$B$54,Source_Data!R$6&lt;Inputs!$B$54+3*Inputs!$B$11),Inputs!$B$9*Inputs!$B$7/Inputs!$B$11,0)</f>
        <v>9.58333333333333</v>
      </c>
      <c r="S20" s="33" t="n">
        <f aca="false">IF(AND(Source_Data!S$6&gt;=Inputs!$B$54,Source_Data!S$6&lt;Inputs!$B$54+3*Inputs!$B$11),Inputs!$B$9*Inputs!$B$7/Inputs!$B$11,0)</f>
        <v>9.58333333333333</v>
      </c>
      <c r="T20" s="33" t="n">
        <f aca="false">IF(AND(Source_Data!T$6&gt;=Inputs!$B$54,Source_Data!T$6&lt;Inputs!$B$54+3*Inputs!$B$11),Inputs!$B$9*Inputs!$B$7/Inputs!$B$11,0)</f>
        <v>9.58333333333333</v>
      </c>
      <c r="U20" s="33" t="n">
        <f aca="false">IF(AND(Source_Data!U$6&gt;=Inputs!$B$54,Source_Data!U$6&lt;Inputs!$B$54+3*Inputs!$B$11),Inputs!$B$9*Inputs!$B$7/Inputs!$B$11,0)</f>
        <v>9.58333333333333</v>
      </c>
      <c r="V20" s="33" t="n">
        <f aca="false">IF(AND(Source_Data!V$6&gt;=Inputs!$B$54,Source_Data!V$6&lt;Inputs!$B$54+3*Inputs!$B$11),Inputs!$B$9*Inputs!$B$7/Inputs!$B$11,0)</f>
        <v>9.58333333333333</v>
      </c>
      <c r="W20" s="33" t="n">
        <f aca="false">IF(AND(Source_Data!W$6&gt;=Inputs!$B$54,Source_Data!W$6&lt;Inputs!$B$54+3*Inputs!$B$11),Inputs!$B$9*Inputs!$B$7/Inputs!$B$11,0)</f>
        <v>9.58333333333333</v>
      </c>
      <c r="X20" s="33" t="n">
        <f aca="false">IF(AND(Source_Data!X$6&gt;=Inputs!$B$54,Source_Data!X$6&lt;Inputs!$B$54+3*Inputs!$B$11),Inputs!$B$9*Inputs!$B$7/Inputs!$B$11,0)</f>
        <v>9.58333333333333</v>
      </c>
      <c r="Y20" s="33" t="n">
        <f aca="false">IF(AND(Source_Data!Y$6&gt;=Inputs!$B$54,Source_Data!Y$6&lt;Inputs!$B$54+3*Inputs!$B$11),Inputs!$B$9*Inputs!$B$7/Inputs!$B$11,0)</f>
        <v>9.58333333333333</v>
      </c>
      <c r="Z20" s="33" t="n">
        <f aca="false">IF(AND(Source_Data!Z$6&gt;=Inputs!$B$54,Source_Data!Z$6&lt;Inputs!$B$54+3*Inputs!$B$11),Inputs!$B$9*Inputs!$B$7/Inputs!$B$11,0)</f>
        <v>9.58333333333333</v>
      </c>
      <c r="AA20" s="33" t="n">
        <f aca="false">IF(AND(Source_Data!AA$6&gt;=Inputs!$B$54,Source_Data!AA$6&lt;Inputs!$B$54+3*Inputs!$B$11),Inputs!$B$9*Inputs!$B$7/Inputs!$B$11,0)</f>
        <v>9.58333333333333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342</v>
      </c>
      <c r="D21" s="33" t="n">
        <f aca="false">IF(Source_Data!D$6=Inputs!$B$12,-Inputs!$B$7,0)+D20</f>
        <v>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-50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0</v>
      </c>
      <c r="N21" s="33" t="n">
        <f aca="false">IF(Source_Data!N$6=Inputs!$B$12,-Inputs!$B$7,0)+N20</f>
        <v>0</v>
      </c>
      <c r="O21" s="33" t="n">
        <f aca="false">IF(Source_Data!O$6=Inputs!$B$12,-Inputs!$B$7,0)+O20</f>
        <v>0</v>
      </c>
      <c r="P21" s="33" t="n">
        <f aca="false">IF(Source_Data!P$6=Inputs!$B$12,-Inputs!$B$7,0)+P20</f>
        <v>9.58333333333333</v>
      </c>
      <c r="Q21" s="33" t="n">
        <f aca="false">IF(Source_Data!Q$6=Inputs!$B$12,-Inputs!$B$7,0)+Q20</f>
        <v>9.58333333333333</v>
      </c>
      <c r="R21" s="33" t="n">
        <f aca="false">IF(Source_Data!R$6=Inputs!$B$12,-Inputs!$B$7,0)+R20</f>
        <v>9.58333333333333</v>
      </c>
      <c r="S21" s="33" t="n">
        <f aca="false">IF(Source_Data!S$6=Inputs!$B$12,-Inputs!$B$7,0)+S20</f>
        <v>9.58333333333333</v>
      </c>
      <c r="T21" s="33" t="n">
        <f aca="false">IF(Source_Data!T$6=Inputs!$B$12,-Inputs!$B$7,0)+T20</f>
        <v>9.58333333333333</v>
      </c>
      <c r="U21" s="33" t="n">
        <f aca="false">IF(Source_Data!U$6=Inputs!$B$12,-Inputs!$B$7,0)+U20</f>
        <v>9.58333333333333</v>
      </c>
      <c r="V21" s="33" t="n">
        <f aca="false">IF(Source_Data!V$6=Inputs!$B$12,-Inputs!$B$7,0)+V20</f>
        <v>9.58333333333333</v>
      </c>
      <c r="W21" s="33" t="n">
        <f aca="false">IF(Source_Data!W$6=Inputs!$B$12,-Inputs!$B$7,0)+W20</f>
        <v>9.58333333333333</v>
      </c>
      <c r="X21" s="33" t="n">
        <f aca="false">IF(Source_Data!X$6=Inputs!$B$12,-Inputs!$B$7,0)+X20</f>
        <v>9.58333333333333</v>
      </c>
      <c r="Y21" s="33" t="n">
        <f aca="false">IF(Source_Data!Y$6=Inputs!$B$12,-Inputs!$B$7,0)+Y20</f>
        <v>9.58333333333333</v>
      </c>
      <c r="Z21" s="33" t="n">
        <f aca="false">IF(Source_Data!Z$6=Inputs!$B$12,-Inputs!$B$7,0)+Z20</f>
        <v>9.58333333333333</v>
      </c>
      <c r="AA21" s="33" t="n">
        <f aca="false">IF(Source_Data!AA$6=Inputs!$B$12,-Inputs!$B$7,0)+AA20</f>
        <v>9.58333333333333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343</v>
      </c>
      <c r="D22" s="33" t="n">
        <f aca="false">IF(Source_Data!D$6=Inputs!$B$12,Inputs!$B$7,0)+D17-D20</f>
        <v>0</v>
      </c>
      <c r="E22" s="33" t="n">
        <f aca="false">D22+IF(Source_Data!E$6=Inputs!$B$12,Inputs!$B$7,0)+E17-E20</f>
        <v>0</v>
      </c>
      <c r="F22" s="33" t="n">
        <f aca="false">E22+IF(Source_Data!F$6=Inputs!$B$12,Inputs!$B$7,0)+F17-F20</f>
        <v>0</v>
      </c>
      <c r="G22" s="33" t="n">
        <f aca="false">F22+IF(Source_Data!G$6=Inputs!$B$12,Inputs!$B$7,0)+G17-G20</f>
        <v>-35</v>
      </c>
      <c r="H22" s="33" t="n">
        <f aca="false">G22+IF(Source_Data!H$6=Inputs!$B$12,Inputs!$B$7,0)+H17-H20</f>
        <v>-43.00748</v>
      </c>
      <c r="I22" s="33" t="n">
        <f aca="false">H22+IF(Source_Data!I$6=Inputs!$B$12,Inputs!$B$7,0)+I17-I20</f>
        <v>-36.52244</v>
      </c>
      <c r="J22" s="33" t="n">
        <f aca="false">I22+IF(Source_Data!J$6=Inputs!$B$12,Inputs!$B$7,0)+J17-J20</f>
        <v>-35.41378</v>
      </c>
      <c r="K22" s="33" t="n">
        <f aca="false">J22+IF(Source_Data!K$6=Inputs!$B$12,Inputs!$B$7,0)+K17-K20</f>
        <v>-33.059068</v>
      </c>
      <c r="L22" s="33" t="n">
        <f aca="false">K22+IF(Source_Data!L$6=Inputs!$B$12,Inputs!$B$7,0)+L17-L20</f>
        <v>-81.983048</v>
      </c>
      <c r="M22" s="33" t="n">
        <f aca="false">L22+IF(Source_Data!M$6=Inputs!$B$12,Inputs!$B$7,0)+M17-M20</f>
        <v>-110.55845</v>
      </c>
      <c r="N22" s="33" t="n">
        <f aca="false">M22+IF(Source_Data!N$6=Inputs!$B$12,Inputs!$B$7,0)+N17-N20</f>
        <v>-124.769558</v>
      </c>
      <c r="O22" s="33" t="n">
        <f aca="false">N22+IF(Source_Data!O$6=Inputs!$B$12,Inputs!$B$7,0)+O17-O20</f>
        <v>-121.404758</v>
      </c>
      <c r="P22" s="33" t="n">
        <f aca="false">O22+IF(Source_Data!P$6=Inputs!$B$12,Inputs!$B$7,0)+P17-P20</f>
        <v>-107.453838333333</v>
      </c>
      <c r="Q22" s="33" t="n">
        <f aca="false">P22+IF(Source_Data!Q$6=Inputs!$B$12,Inputs!$B$7,0)+Q17-Q20</f>
        <v>-85.3575856666667</v>
      </c>
      <c r="R22" s="33" t="n">
        <f aca="false">Q22+IF(Source_Data!R$6=Inputs!$B$12,Inputs!$B$7,0)+R17-R20</f>
        <v>251.245887</v>
      </c>
      <c r="S22" s="33" t="n">
        <f aca="false">R22+IF(Source_Data!S$6=Inputs!$B$12,Inputs!$B$7,0)+S17-S20</f>
        <v>178.689139666666</v>
      </c>
      <c r="T22" s="33" t="n">
        <f aca="false">S22+IF(Source_Data!T$6=Inputs!$B$12,Inputs!$B$7,0)+T17-T20</f>
        <v>18.9988243333331</v>
      </c>
      <c r="U22" s="33" t="n">
        <f aca="false">T22+IF(Source_Data!U$6=Inputs!$B$12,Inputs!$B$7,0)+U17-U20</f>
        <v>-105.249171</v>
      </c>
      <c r="V22" s="33" t="n">
        <f aca="false">U22+IF(Source_Data!V$6=Inputs!$B$12,Inputs!$B$7,0)+V17-V20</f>
        <v>-94.3925143333337</v>
      </c>
      <c r="W22" s="33" t="n">
        <f aca="false">V22+IF(Source_Data!W$6=Inputs!$B$12,Inputs!$B$7,0)+W17-W20</f>
        <v>-84.985109666667</v>
      </c>
      <c r="X22" s="33" t="n">
        <f aca="false">W22+IF(Source_Data!X$6=Inputs!$B$12,Inputs!$B$7,0)+X17-X20</f>
        <v>-55.2448735000004</v>
      </c>
      <c r="Y22" s="33" t="n">
        <f aca="false">X22+IF(Source_Data!Y$6=Inputs!$B$12,Inputs!$B$7,0)+Y17-Y20</f>
        <v>-31.2054758333337</v>
      </c>
      <c r="Z22" s="33" t="n">
        <f aca="false">Y22+IF(Source_Data!Z$6=Inputs!$B$12,Inputs!$B$7,0)+Z17-Z20</f>
        <v>-14.218508166667</v>
      </c>
      <c r="AA22" s="33" t="n">
        <f aca="false">Z22+IF(Source_Data!AA$6=Inputs!$B$12,Inputs!$B$7,0)+AA17-AA20</f>
        <v>-5.46484250000035</v>
      </c>
      <c r="AB22" s="33" t="n">
        <f aca="false">AA22+IF(Source_Data!AB$6=Inputs!$B$12,Inputs!$B$7,0)+AB17-AB20</f>
        <v>35.3721564999997</v>
      </c>
      <c r="AC22" s="33" t="n">
        <f aca="false">AB22+IF(Source_Data!AC$6=Inputs!$B$12,Inputs!$B$7,0)+AC17-AC20</f>
        <v>76.2091554999996</v>
      </c>
      <c r="AD22" s="33" t="n">
        <f aca="false">AC22+IF(Source_Data!AD$6=Inputs!$B$12,Inputs!$B$7,0)+AD17-AD20</f>
        <v>117.0461545</v>
      </c>
      <c r="AE22" s="33" t="n">
        <f aca="false">AD22+IF(Source_Data!AE$6=Inputs!$B$12,Inputs!$B$7,0)+AE17-AE20</f>
        <v>157.8831535</v>
      </c>
      <c r="AF22" s="33" t="n">
        <f aca="false">AE22+IF(Source_Data!AF$6=Inputs!$B$12,Inputs!$B$7,0)+AF17-AF20</f>
        <v>128.304430674481</v>
      </c>
      <c r="AG22" s="33" t="n">
        <f aca="false">AF22+IF(Source_Data!AG$6=Inputs!$B$12,Inputs!$B$7,0)+AG17-AG20</f>
        <v>153.435266437228</v>
      </c>
      <c r="AH22" s="33" t="n">
        <f aca="false">AG22+IF(Source_Data!AH$6=Inputs!$B$12,Inputs!$B$7,0)+AH17-AH20</f>
        <v>175.932669476027</v>
      </c>
      <c r="AI22" s="33" t="n">
        <f aca="false">AH22+IF(Source_Data!AI$6=Inputs!$B$12,Inputs!$B$7,0)+AI17-AI20</f>
        <v>195.796639790877</v>
      </c>
      <c r="AJ22" s="33" t="n">
        <f aca="false">AI22+IF(Source_Data!AJ$6=Inputs!$B$12,Inputs!$B$7,0)+AJ17-AJ20</f>
        <v>211.416585194087</v>
      </c>
      <c r="AK22" s="33" t="n">
        <f aca="false">AJ22+IF(Source_Data!AK$6=Inputs!$B$12,Inputs!$B$7,0)+AK17-AK20</f>
        <v>224.578660054945</v>
      </c>
      <c r="AL22" s="33" t="n">
        <f aca="false">AK22+IF(Source_Data!AL$6=Inputs!$B$12,Inputs!$B$7,0)+AL17-AL20</f>
        <v>236.048722585922</v>
      </c>
      <c r="AM22" s="33" t="n">
        <f aca="false">AL22+IF(Source_Data!AM$6=Inputs!$B$12,Inputs!$B$7,0)+AM17-AM20</f>
        <v>240.994996223948</v>
      </c>
      <c r="AN22" s="33" t="n">
        <f aca="false">AM22+IF(Source_Data!AN$6=Inputs!$B$12,Inputs!$B$7,0)+AN17-AN20</f>
        <v>245.941269861974</v>
      </c>
      <c r="AO22" s="33" t="n">
        <f aca="false">AN22+IF(Source_Data!AO$6=Inputs!$B$12,Inputs!$B$7,0)+AO17-AO20</f>
        <v>250.8875435</v>
      </c>
      <c r="AP22" s="33" t="n">
        <f aca="false">AO22+IF(Source_Data!AP$6=Inputs!$B$12,Inputs!$B$7,0)+AP17-AP20</f>
        <v>250.8875435</v>
      </c>
      <c r="AQ22" s="33" t="n">
        <f aca="false">AP22+IF(Source_Data!AQ$6=Inputs!$B$12,Inputs!$B$7,0)+AQ17-AQ20</f>
        <v>250.8875435</v>
      </c>
      <c r="AR22" s="33" t="n">
        <f aca="false">AQ22+IF(Source_Data!AR$6=Inputs!$B$12,Inputs!$B$7,0)+AR17-AR20</f>
        <v>250.8875435</v>
      </c>
      <c r="AS22" s="33" t="n">
        <f aca="false">AR22+IF(Source_Data!AS$6=Inputs!$B$12,Inputs!$B$7,0)+AS17-AS20</f>
        <v>250.8875435</v>
      </c>
      <c r="AT22" s="33" t="n">
        <f aca="false">AS22+IF(Source_Data!AT$6=Inputs!$B$12,Inputs!$B$7,0)+AT17-AT20</f>
        <v>250.8875435</v>
      </c>
      <c r="AU22" s="33" t="n">
        <f aca="false">AT22+IF(Source_Data!AU$6=Inputs!$B$12,Inputs!$B$7,0)+AU17-AU20</f>
        <v>250.8875435</v>
      </c>
      <c r="AV22" s="33" t="n">
        <f aca="false">AU22+IF(Source_Data!AV$6=Inputs!$B$12,Inputs!$B$7,0)+AV17-AV20</f>
        <v>250.8875435</v>
      </c>
      <c r="AW22" s="33" t="n">
        <f aca="false">AV22+IF(Source_Data!AW$6=Inputs!$B$12,Inputs!$B$7,0)+AW17-AW20</f>
        <v>250.8875435</v>
      </c>
      <c r="AX22" s="33" t="n">
        <f aca="false">AW22+IF(Source_Data!AX$6=Inputs!$B$12,Inputs!$B$7,0)+AX17-AX20</f>
        <v>250.8875435</v>
      </c>
      <c r="AY22" s="33" t="n">
        <f aca="false">AX22+IF(Source_Data!AY$6=Inputs!$B$12,Inputs!$B$7,0)+AY17-AY20</f>
        <v>250.8875435</v>
      </c>
      <c r="AZ22" s="33" t="n">
        <f aca="false">AY22+IF(Source_Data!AZ$6=Inputs!$B$12,Inputs!$B$7,0)+AZ17-AZ20</f>
        <v>250.8875435</v>
      </c>
      <c r="BA22" s="33" t="n">
        <f aca="false">AZ22+IF(Source_Data!BA$6=Inputs!$B$12,Inputs!$B$7,0)+BA17-BA20</f>
        <v>250.8875435</v>
      </c>
      <c r="BB22" s="33" t="n">
        <f aca="false">BA22+IF(Source_Data!BB$6=Inputs!$B$12,Inputs!$B$7,0)+BB17-BB20</f>
        <v>250.8875435</v>
      </c>
      <c r="BC22" s="33" t="n">
        <f aca="false">BB22+IF(Source_Data!BC$6=Inputs!$B$12,Inputs!$B$7,0)+BC17-BC20</f>
        <v>250.8875435</v>
      </c>
      <c r="BD22" s="33" t="n">
        <f aca="false">BC22+IF(Source_Data!BD$6=Inputs!$B$12,Inputs!$B$7,0)+BD17-BD20</f>
        <v>250.8875435</v>
      </c>
      <c r="BE22" s="33" t="n">
        <f aca="false">BD22+IF(Source_Data!BE$6=Inputs!$B$12,Inputs!$B$7,0)+BE17-BE20</f>
        <v>250.8875435</v>
      </c>
      <c r="BF22" s="33" t="n">
        <f aca="false">BE22+IF(Source_Data!BF$6=Inputs!$B$12,Inputs!$B$7,0)+BF17-BF20</f>
        <v>250.8875435</v>
      </c>
      <c r="BG22" s="33" t="n">
        <f aca="false">BF22+IF(Source_Data!BG$6=Inputs!$B$12,Inputs!$B$7,0)+BG17-BG20</f>
        <v>250.8875435</v>
      </c>
      <c r="BH22" s="33" t="n">
        <f aca="false">BG22+IF(Source_Data!BH$6=Inputs!$B$12,Inputs!$B$7,0)+BH17-BH20</f>
        <v>250.8875435</v>
      </c>
      <c r="BI22" s="33" t="n">
        <f aca="false">BH22+IF(Source_Data!BI$6=Inputs!$B$12,Inputs!$B$7,0)+BI17-BI20</f>
        <v>250.8875435</v>
      </c>
      <c r="BJ22" s="33" t="n">
        <f aca="false">BI22+IF(Source_Data!BJ$6=Inputs!$B$12,Inputs!$B$7,0)+BJ17-BJ20</f>
        <v>250.8875435</v>
      </c>
      <c r="BK22" s="33" t="n">
        <f aca="false">BJ22+IF(Source_Data!BK$6=Inputs!$B$12,Inputs!$B$7,0)+BK17-BK20</f>
        <v>250.8875435</v>
      </c>
    </row>
    <row r="23" customFormat="false" ht="15" hidden="false" customHeight="false" outlineLevel="0" collapsed="false">
      <c r="A23" s="3" t="s">
        <v>344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str">
        <f aca="false">IF(M20&gt;0,M17/M20,"")</f>
        <v/>
      </c>
      <c r="N23" s="31" t="str">
        <f aca="false">IF(N20&gt;0,N17/N20,"")</f>
        <v/>
      </c>
      <c r="O23" s="31" t="str">
        <f aca="false">IF(O20&gt;0,O17/O20,"")</f>
        <v/>
      </c>
      <c r="P23" s="31" t="n">
        <f aca="false">IF(P20&gt;0,P17/P20,"")</f>
        <v>2.45574813913044</v>
      </c>
      <c r="Q23" s="31" t="n">
        <f aca="false">IF(Q20&gt;0,Q17/Q20,"")</f>
        <v>3.30569593043478</v>
      </c>
      <c r="R23" s="31" t="n">
        <f aca="false">IF(R20&gt;0,R17/R20,"")</f>
        <v>36.1238406260869</v>
      </c>
      <c r="S23" s="31" t="n">
        <f aca="false">IF(S20&gt;0,S17/S20,"")</f>
        <v>-6.57113885217391</v>
      </c>
      <c r="T23" s="31" t="n">
        <f aca="false">IF(T20&gt;0,T17/T20,"")</f>
        <v>-15.6633372521739</v>
      </c>
      <c r="U23" s="31" t="n">
        <f aca="false">IF(U20&gt;0,U17/U20,"")</f>
        <v>-11.9650082086957</v>
      </c>
      <c r="V23" s="31" t="n">
        <f aca="false">IF(V20&gt;0,V17/V20,"")</f>
        <v>2.13286852173913</v>
      </c>
      <c r="W23" s="31" t="n">
        <f aca="false">IF(W20&gt;0,W17/W20,"")</f>
        <v>1.98164222608695</v>
      </c>
      <c r="X23" s="31" t="n">
        <f aca="false">IF(X20&gt;0,X17/X20,"")</f>
        <v>4.10332899130435</v>
      </c>
      <c r="Y23" s="31" t="n">
        <f aca="false">IF(Y20&gt;0,Y17/Y20,"")</f>
        <v>3.50845888695652</v>
      </c>
      <c r="Z23" s="31" t="n">
        <f aca="false">IF(Z20&gt;0,Z17/Z20,"")</f>
        <v>2.77255314782609</v>
      </c>
      <c r="AA23" s="31" t="n">
        <f aca="false">IF(AA20&gt;0,AA17/AA20,"")</f>
        <v>1.9134259826087</v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345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str">
        <f aca="false">IF(M20&gt;0,(L22+M17+IF(Source_Data!M$6=Inputs!$B$12,Inputs!$B$7,0))/M20,"")</f>
        <v/>
      </c>
      <c r="N24" s="31" t="str">
        <f aca="false">IF(N20&gt;0,(M22+N17+IF(Source_Data!N$6=Inputs!$B$12,Inputs!$B$7,0))/N20,"")</f>
        <v/>
      </c>
      <c r="O24" s="31" t="str">
        <f aca="false">IF(O20&gt;0,(N22+O17+IF(Source_Data!O$6=Inputs!$B$12,Inputs!$B$7,0))/O20,"")</f>
        <v/>
      </c>
      <c r="P24" s="31" t="n">
        <f aca="false">IF(P20&gt;0,(O22+P17+IF(Source_Data!P$6=Inputs!$B$12,Inputs!$B$7,0))/P20,"")</f>
        <v>-10.2125744347826</v>
      </c>
      <c r="Q24" s="31" t="n">
        <f aca="false">IF(Q20&gt;0,(P22+Q17+IF(Source_Data!Q$6=Inputs!$B$12,Inputs!$B$7,0))/Q20,"")</f>
        <v>-7.90687850434783</v>
      </c>
      <c r="R24" s="31" t="n">
        <f aca="false">IF(R20&gt;0,(Q22+R17+IF(Source_Data!R$6=Inputs!$B$12,Inputs!$B$7,0))/R20,"")</f>
        <v>27.2169621217391</v>
      </c>
      <c r="S24" s="31" t="n">
        <f aca="false">IF(S20&gt;0,(R22+S17+IF(Source_Data!S$6=Inputs!$B$12,Inputs!$B$7,0))/S20,"")</f>
        <v>19.6458232695652</v>
      </c>
      <c r="T24" s="31" t="n">
        <f aca="false">IF(T20&gt;0,(S22+T17+IF(Source_Data!T$6=Inputs!$B$12,Inputs!$B$7,0))/T20,"")</f>
        <v>2.98248601739128</v>
      </c>
      <c r="U24" s="31" t="n">
        <f aca="false">IF(U20&gt;0,(T22+U17+IF(Source_Data!U$6=Inputs!$B$12,Inputs!$B$7,0))/U20,"")</f>
        <v>-9.98252219130438</v>
      </c>
      <c r="V24" s="31" t="n">
        <f aca="false">IF(V20&gt;0,(U22+V17+IF(Source_Data!V$6=Inputs!$B$12,Inputs!$B$7,0))/V20,"")</f>
        <v>-8.84965366956525</v>
      </c>
      <c r="W24" s="31" t="n">
        <f aca="false">IF(W20&gt;0,(V22+W17+IF(Source_Data!W$6=Inputs!$B$12,Inputs!$B$7,0))/W20,"")</f>
        <v>-7.8680114434783</v>
      </c>
      <c r="X24" s="31" t="n">
        <f aca="false">IF(X20&gt;0,(W22+X17+IF(Source_Data!X$6=Inputs!$B$12,Inputs!$B$7,0))/X20,"")</f>
        <v>-4.76468245217395</v>
      </c>
      <c r="Y24" s="31" t="n">
        <f aca="false">IF(Y20&gt;0,(X22+Y17+IF(Source_Data!Y$6=Inputs!$B$12,Inputs!$B$7,0))/Y20,"")</f>
        <v>-2.25622356521743</v>
      </c>
      <c r="Z24" s="31" t="n">
        <f aca="false">IF(Z20&gt;0,(Y22+Z17+IF(Source_Data!Z$6=Inputs!$B$12,Inputs!$B$7,0))/Z20,"")</f>
        <v>-0.48367041739134</v>
      </c>
      <c r="AA24" s="31" t="n">
        <f aca="false">IF(AA20&gt;0,(Z22+AA17+IF(Source_Data!AA$6=Inputs!$B$12,Inputs!$B$7,0))/AA20,"")</f>
        <v>0.429755565217355</v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220</v>
      </c>
      <c r="B26" s="41" t="n">
        <f aca="false">SUM(D17:BK17)</f>
        <v>315.8875435</v>
      </c>
    </row>
    <row r="27" customFormat="false" ht="15" hidden="false" customHeight="false" outlineLevel="0" collapsed="false">
      <c r="A27" s="2" t="s">
        <v>346</v>
      </c>
      <c r="B27" s="41" t="n">
        <f aca="false">SUMPRODUCT(D17:BK17,Project_CF!$D$15:$BK$15)</f>
        <v>99.5008011009726</v>
      </c>
    </row>
    <row r="28" customFormat="false" ht="15" hidden="false" customHeight="false" outlineLevel="0" collapsed="false">
      <c r="A28" s="2" t="s">
        <v>162</v>
      </c>
      <c r="B28" s="41" t="n">
        <f aca="false">MIN(D18:BK18)</f>
        <v>-174.769558</v>
      </c>
    </row>
    <row r="29" customFormat="false" ht="15" hidden="false" customHeight="false" outlineLevel="0" collapsed="false">
      <c r="A29" s="2" t="s">
        <v>347</v>
      </c>
      <c r="B29" s="35" t="n">
        <f aca="false">INDEX(Project_CF!$D$6:$BK$6,MATCH(MIN(D18:BK18),D18:BK18,0))</f>
        <v>33</v>
      </c>
    </row>
    <row r="30" customFormat="false" ht="15" hidden="false" customHeight="false" outlineLevel="0" collapsed="false">
      <c r="A30" s="2" t="s">
        <v>348</v>
      </c>
      <c r="B30" s="39" t="n">
        <f aca="false">(1+IRR(D19:BK19,0.05))^4-1</f>
        <v>0.22412512252093</v>
      </c>
    </row>
    <row r="31" customFormat="false" ht="15" hidden="false" customHeight="false" outlineLevel="0" collapsed="false">
      <c r="A31" s="2" t="s">
        <v>349</v>
      </c>
      <c r="B31" s="40" t="n">
        <f aca="false">SUMIF(D19:BK19,"&gt;0")/-SUMIF(D19:BK19,"&lt;0")</f>
        <v>2.29925925925926</v>
      </c>
    </row>
    <row r="32" customFormat="false" ht="15" hidden="false" customHeight="false" outlineLevel="0" collapsed="false">
      <c r="A32" s="2" t="s">
        <v>350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351</v>
      </c>
      <c r="B33" s="41" t="n">
        <f aca="false">MIN(D22:BK22)</f>
        <v>-124.769558</v>
      </c>
    </row>
    <row r="34" customFormat="false" ht="15" hidden="false" customHeight="false" outlineLevel="0" collapsed="false">
      <c r="A34" s="2" t="s">
        <v>352</v>
      </c>
      <c r="B34" s="43" t="n">
        <f aca="false">MIN(D23:BK23)</f>
        <v>-15.6633372521739</v>
      </c>
    </row>
    <row r="35" customFormat="false" ht="15" hidden="false" customHeight="false" outlineLevel="0" collapsed="false">
      <c r="A35" s="2" t="s">
        <v>353</v>
      </c>
      <c r="B35" s="35" t="n">
        <f aca="false">COUNTIF(D23:BK23,"&lt;"&amp;Inputs!$B$43)</f>
        <v>3</v>
      </c>
    </row>
    <row r="36" customFormat="false" ht="15" hidden="false" customHeight="false" outlineLevel="0" collapsed="false">
      <c r="A36" s="2" t="s">
        <v>354</v>
      </c>
      <c r="B36" s="43" t="n">
        <f aca="false">MIN(D24:BK24)</f>
        <v>-10.2125744347826</v>
      </c>
    </row>
    <row r="37" customFormat="false" ht="15" hidden="false" customHeight="false" outlineLevel="0" collapsed="false">
      <c r="A37" s="2" t="s">
        <v>355</v>
      </c>
      <c r="B37" s="35" t="n">
        <f aca="false">COUNTIF(D24:BK24,"&lt;"&amp;Inputs!$B$43)</f>
        <v>9</v>
      </c>
    </row>
    <row r="40" customFormat="false" ht="15" hidden="false" customHeight="false" outlineLevel="0" collapsed="false">
      <c r="A40" s="8" t="s">
        <v>359</v>
      </c>
    </row>
    <row r="41" customFormat="false" ht="15" hidden="false" customHeight="false" outlineLevel="0" collapsed="false">
      <c r="A41" s="3" t="s">
        <v>331</v>
      </c>
      <c r="B41" s="45" t="n">
        <v>0.9</v>
      </c>
    </row>
    <row r="42" customFormat="false" ht="15" hidden="false" customHeight="false" outlineLevel="0" collapsed="false">
      <c r="A42" s="3" t="s">
        <v>332</v>
      </c>
      <c r="B42" s="45" t="n">
        <v>0</v>
      </c>
    </row>
    <row r="43" customFormat="false" ht="15" hidden="false" customHeight="false" outlineLevel="0" collapsed="false">
      <c r="A43" s="3" t="s">
        <v>333</v>
      </c>
      <c r="B43" s="45" t="n">
        <v>1</v>
      </c>
    </row>
    <row r="44" customFormat="false" ht="15" hidden="false" customHeight="false" outlineLevel="0" collapsed="false">
      <c r="A44" s="3" t="s">
        <v>334</v>
      </c>
      <c r="B44" s="45" t="n">
        <v>0</v>
      </c>
    </row>
    <row r="45" customFormat="false" ht="15" hidden="false" customHeight="false" outlineLevel="0" collapsed="false">
      <c r="A45" s="3" t="s">
        <v>335</v>
      </c>
      <c r="B45" s="45" t="n">
        <v>0</v>
      </c>
    </row>
    <row r="46" customFormat="false" ht="15" hidden="false" customHeight="false" outlineLevel="0" collapsed="false">
      <c r="A46" s="3" t="s">
        <v>336</v>
      </c>
      <c r="B46" s="3" t="n">
        <f aca="false">Inputs!$B$13+3+3*$B$42</f>
        <v>57</v>
      </c>
    </row>
    <row r="47" customFormat="false" ht="15" hidden="false" customHeight="false" outlineLevel="0" collapsed="false">
      <c r="A47" s="3" t="s">
        <v>337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0</v>
      </c>
      <c r="G47" s="33" t="n">
        <f aca="false">Source_Data!G$7+IF($B$45=1,IF(Source_Data!G$6=Inputs!$B$13,Source_Data!$C$8,0),Source_Data!G$8)</f>
        <v>0</v>
      </c>
      <c r="H47" s="33" t="n">
        <f aca="false">Source_Data!H$7+IF($B$45=1,IF(Source_Data!H$6=Inputs!$B$13,Source_Data!$C$8,0),Source_Data!H$8)</f>
        <v>18.11565</v>
      </c>
      <c r="I47" s="33" t="n">
        <f aca="false">Source_Data!I$7+IF($B$45=1,IF(Source_Data!I$6=Inputs!$B$13,Source_Data!$C$8,0),Source_Data!I$8)</f>
        <v>36.2313</v>
      </c>
      <c r="J47" s="33" t="n">
        <f aca="false">Source_Data!J$7+IF($B$45=1,IF(Source_Data!J$6=Inputs!$B$13,Source_Data!$C$8,0),Source_Data!J$8)</f>
        <v>58.260825</v>
      </c>
      <c r="K47" s="33" t="n">
        <f aca="false">Source_Data!K$7+IF($B$45=1,IF(Source_Data!K$6=Inputs!$B$13,Source_Data!$C$8,0),Source_Data!K$8)</f>
        <v>69.01839</v>
      </c>
      <c r="L47" s="33" t="n">
        <f aca="false">Source_Data!L$7+IF($B$45=1,IF(Source_Data!L$6=Inputs!$B$13,Source_Data!$C$8,0),Source_Data!L$8)</f>
        <v>67.087545</v>
      </c>
      <c r="M47" s="33" t="n">
        <f aca="false">Source_Data!M$7+IF($B$45=1,IF(Source_Data!M$6=Inputs!$B$13,Source_Data!$C$8,0),Source_Data!M$8)</f>
        <v>72.9732675</v>
      </c>
      <c r="N47" s="33" t="n">
        <f aca="false">Source_Data!N$7+IF($B$45=1,IF(Source_Data!N$6=Inputs!$B$13,Source_Data!$C$8,0),Source_Data!N$8)</f>
        <v>88.871055</v>
      </c>
      <c r="O47" s="33" t="n">
        <f aca="false">Source_Data!O$7+IF($B$45=1,IF(Source_Data!O$6=Inputs!$B$13,Source_Data!$C$8,0),Source_Data!O$8)</f>
        <v>105.60753</v>
      </c>
      <c r="P47" s="33" t="n">
        <f aca="false">Source_Data!P$7+IF($B$45=1,IF(Source_Data!P$6=Inputs!$B$13,Source_Data!$C$8,0),Source_Data!P$8)</f>
        <v>115.25243625</v>
      </c>
      <c r="Q47" s="33" t="n">
        <f aca="false">Source_Data!Q$7+IF($B$45=1,IF(Source_Data!Q$6=Inputs!$B$13,Source_Data!$C$8,0),Source_Data!Q$8)</f>
        <v>124.8973425</v>
      </c>
      <c r="R47" s="33" t="n">
        <f aca="false">Source_Data!R$7+IF($B$45=1,IF(Source_Data!R$6=Inputs!$B$13,Source_Data!$C$8,0),Source_Data!R$8)</f>
        <v>683.0904675</v>
      </c>
      <c r="S47" s="33" t="n">
        <f aca="false">Source_Data!S$7+IF($B$45=1,IF(Source_Data!S$6=Inputs!$B$13,Source_Data!$C$8,0),Source_Data!S$8)</f>
        <v>171.6401925</v>
      </c>
      <c r="T47" s="33" t="n">
        <f aca="false">Source_Data!T$7+IF($B$45=1,IF(Source_Data!T$6=Inputs!$B$13,Source_Data!$C$8,0),Source_Data!T$8)</f>
        <v>112.5965925</v>
      </c>
      <c r="U47" s="33" t="n">
        <f aca="false">Source_Data!U$7+IF($B$45=1,IF(Source_Data!U$6=Inputs!$B$13,Source_Data!$C$8,0),Source_Data!U$8)</f>
        <v>89.3369925</v>
      </c>
      <c r="V47" s="33" t="n">
        <f aca="false">Source_Data!V$7+IF($B$45=1,IF(Source_Data!V$6=Inputs!$B$13,Source_Data!$C$8,0),Source_Data!V$8)</f>
        <v>87.5254275</v>
      </c>
      <c r="W47" s="33" t="n">
        <f aca="false">Source_Data!W$7+IF($B$45=1,IF(Source_Data!W$6=Inputs!$B$13,Source_Data!$C$8,0),Source_Data!W$8)</f>
        <v>85.7138625</v>
      </c>
      <c r="X47" s="33" t="n">
        <f aca="false">Source_Data!X$7+IF($B$45=1,IF(Source_Data!X$6=Inputs!$B$13,Source_Data!$C$8,0),Source_Data!X$8)</f>
        <v>77.279461875</v>
      </c>
      <c r="Y47" s="33" t="n">
        <f aca="false">Source_Data!Y$7+IF($B$45=1,IF(Source_Data!Y$6=Inputs!$B$13,Source_Data!$C$8,0),Source_Data!Y$8)</f>
        <v>70.15341375</v>
      </c>
      <c r="Z47" s="33" t="n">
        <f aca="false">Source_Data!Z$7+IF($B$45=1,IF(Source_Data!Z$6=Inputs!$B$13,Source_Data!$C$8,0),Source_Data!Z$8)</f>
        <v>61.33787625</v>
      </c>
      <c r="AA47" s="33" t="n">
        <f aca="false">Source_Data!AA$7+IF($B$45=1,IF(Source_Data!AA$6=Inputs!$B$13,Source_Data!$C$8,0),Source_Data!AA$8)</f>
        <v>51.04624875</v>
      </c>
      <c r="AB47" s="33" t="n">
        <f aca="false">Source_Data!AB$7+IF($B$45=1,IF(Source_Data!AB$6=Inputs!$B$13,Source_Data!$C$8,0),Source_Data!AB$8)</f>
        <v>51.04624875</v>
      </c>
      <c r="AC47" s="33" t="n">
        <f aca="false">Source_Data!AC$7+IF($B$45=1,IF(Source_Data!AC$6=Inputs!$B$13,Source_Data!$C$8,0),Source_Data!AC$8)</f>
        <v>51.04624875</v>
      </c>
      <c r="AD47" s="33" t="n">
        <f aca="false">Source_Data!AD$7+IF($B$45=1,IF(Source_Data!AD$6=Inputs!$B$13,Source_Data!$C$8,0),Source_Data!AD$8)</f>
        <v>51.04624875</v>
      </c>
      <c r="AE47" s="33" t="n">
        <f aca="false">Source_Data!AE$7+IF($B$45=1,IF(Source_Data!AE$6=Inputs!$B$13,Source_Data!$C$8,0),Source_Data!AE$8)</f>
        <v>51.04624875</v>
      </c>
      <c r="AF47" s="33" t="n">
        <f aca="false">Source_Data!AF$7+IF($B$45=1,IF(Source_Data!AF$6=Inputs!$B$13,Source_Data!$C$8,0),Source_Data!AF$8)</f>
        <v>43.931383125</v>
      </c>
      <c r="AG47" s="33" t="n">
        <f aca="false">Source_Data!AG$7+IF($B$45=1,IF(Source_Data!AG$6=Inputs!$B$13,Source_Data!$C$8,0),Source_Data!AG$8)</f>
        <v>36.8165175</v>
      </c>
      <c r="AH47" s="33" t="n">
        <f aca="false">Source_Data!AH$7+IF($B$45=1,IF(Source_Data!AH$6=Inputs!$B$13,Source_Data!$C$8,0),Source_Data!AH$8)</f>
        <v>32.958555</v>
      </c>
      <c r="AI47" s="33" t="n">
        <f aca="false">Source_Data!AI$7+IF($B$45=1,IF(Source_Data!AI$6=Inputs!$B$13,Source_Data!$C$8,0),Source_Data!AI$8)</f>
        <v>29.1005925</v>
      </c>
      <c r="AJ47" s="33" t="n">
        <f aca="false">Source_Data!AJ$7+IF($B$45=1,IF(Source_Data!AJ$6=Inputs!$B$13,Source_Data!$C$8,0),Source_Data!AJ$8)</f>
        <v>22.8831225</v>
      </c>
      <c r="AK47" s="33" t="n">
        <f aca="false">Source_Data!AK$7+IF($B$45=1,IF(Source_Data!AK$6=Inputs!$B$13,Source_Data!$C$8,0),Source_Data!AK$8)</f>
        <v>19.2823575</v>
      </c>
      <c r="AL47" s="33" t="n">
        <f aca="false">Source_Data!AL$7+IF($B$45=1,IF(Source_Data!AL$6=Inputs!$B$13,Source_Data!$C$8,0),Source_Data!AL$8)</f>
        <v>16.80357</v>
      </c>
      <c r="AM47" s="33" t="n">
        <f aca="false">Source_Data!AM$7+IF($B$45=1,IF(Source_Data!AM$6=Inputs!$B$13,Source_Data!$C$8,0),Source_Data!AM$8)</f>
        <v>7.24626</v>
      </c>
      <c r="AN47" s="33" t="n">
        <f aca="false">Source_Data!AN$7+IF($B$45=1,IF(Source_Data!AN$6=Inputs!$B$13,Source_Data!$C$8,0),Source_Data!AN$8)</f>
        <v>7.24626</v>
      </c>
      <c r="AO47" s="33" t="n">
        <f aca="false">Source_Data!AO$7+IF($B$45=1,IF(Source_Data!AO$6=Inputs!$B$13,Source_Data!$C$8,0),Source_Data!AO$8)</f>
        <v>7.24626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338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16.304085</v>
      </c>
      <c r="I48" s="33" t="n">
        <f aca="false">$B$41*IF(Source_Data!I$5-($B$42+$B$44)&gt;=1,INDEX($D$47:$BK$47,1,Source_Data!I$5-($B$42+$B$44)),0)</f>
        <v>32.60817</v>
      </c>
      <c r="J48" s="33" t="n">
        <f aca="false">$B$41*IF(Source_Data!J$5-($B$42+$B$44)&gt;=1,INDEX($D$47:$BK$47,1,Source_Data!J$5-($B$42+$B$44)),0)</f>
        <v>52.4347425</v>
      </c>
      <c r="K48" s="33" t="n">
        <f aca="false">$B$41*IF(Source_Data!K$5-($B$42+$B$44)&gt;=1,INDEX($D$47:$BK$47,1,Source_Data!K$5-($B$42+$B$44)),0)</f>
        <v>62.116551</v>
      </c>
      <c r="L48" s="33" t="n">
        <f aca="false">$B$41*IF(Source_Data!L$5-($B$42+$B$44)&gt;=1,INDEX($D$47:$BK$47,1,Source_Data!L$5-($B$42+$B$44)),0)</f>
        <v>60.3787905</v>
      </c>
      <c r="M48" s="33" t="n">
        <f aca="false">$B$41*IF(Source_Data!M$5-($B$42+$B$44)&gt;=1,INDEX($D$47:$BK$47,1,Source_Data!M$5-($B$42+$B$44)),0)</f>
        <v>65.67594075</v>
      </c>
      <c r="N48" s="33" t="n">
        <f aca="false">$B$41*IF(Source_Data!N$5-($B$42+$B$44)&gt;=1,INDEX($D$47:$BK$47,1,Source_Data!N$5-($B$42+$B$44)),0)</f>
        <v>79.9839495</v>
      </c>
      <c r="O48" s="33" t="n">
        <f aca="false">$B$41*IF(Source_Data!O$5-($B$42+$B$44)&gt;=1,INDEX($D$47:$BK$47,1,Source_Data!O$5-($B$42+$B$44)),0)</f>
        <v>95.046777</v>
      </c>
      <c r="P48" s="33" t="n">
        <f aca="false">$B$41*IF(Source_Data!P$5-($B$42+$B$44)&gt;=1,INDEX($D$47:$BK$47,1,Source_Data!P$5-($B$42+$B$44)),0)</f>
        <v>103.727192625</v>
      </c>
      <c r="Q48" s="33" t="n">
        <f aca="false">$B$41*IF(Source_Data!Q$5-($B$42+$B$44)&gt;=1,INDEX($D$47:$BK$47,1,Source_Data!Q$5-($B$42+$B$44)),0)</f>
        <v>112.40760825</v>
      </c>
      <c r="R48" s="33" t="n">
        <f aca="false">$B$41*IF(Source_Data!R$5-($B$42+$B$44)&gt;=1,INDEX($D$47:$BK$47,1,Source_Data!R$5-($B$42+$B$44)),0)</f>
        <v>614.78142075</v>
      </c>
      <c r="S48" s="33" t="n">
        <f aca="false">$B$41*IF(Source_Data!S$5-($B$42+$B$44)&gt;=1,INDEX($D$47:$BK$47,1,Source_Data!S$5-($B$42+$B$44)),0)</f>
        <v>154.47617325</v>
      </c>
      <c r="T48" s="33" t="n">
        <f aca="false">$B$41*IF(Source_Data!T$5-($B$42+$B$44)&gt;=1,INDEX($D$47:$BK$47,1,Source_Data!T$5-($B$42+$B$44)),0)</f>
        <v>101.33693325</v>
      </c>
      <c r="U48" s="33" t="n">
        <f aca="false">$B$41*IF(Source_Data!U$5-($B$42+$B$44)&gt;=1,INDEX($D$47:$BK$47,1,Source_Data!U$5-($B$42+$B$44)),0)</f>
        <v>80.40329325</v>
      </c>
      <c r="V48" s="33" t="n">
        <f aca="false">$B$41*IF(Source_Data!V$5-($B$42+$B$44)&gt;=1,INDEX($D$47:$BK$47,1,Source_Data!V$5-($B$42+$B$44)),0)</f>
        <v>78.77288475</v>
      </c>
      <c r="W48" s="33" t="n">
        <f aca="false">$B$41*IF(Source_Data!W$5-($B$42+$B$44)&gt;=1,INDEX($D$47:$BK$47,1,Source_Data!W$5-($B$42+$B$44)),0)</f>
        <v>77.14247625</v>
      </c>
      <c r="X48" s="33" t="n">
        <f aca="false">$B$41*IF(Source_Data!X$5-($B$42+$B$44)&gt;=1,INDEX($D$47:$BK$47,1,Source_Data!X$5-($B$42+$B$44)),0)</f>
        <v>69.5515156875</v>
      </c>
      <c r="Y48" s="33" t="n">
        <f aca="false">$B$41*IF(Source_Data!Y$5-($B$42+$B$44)&gt;=1,INDEX($D$47:$BK$47,1,Source_Data!Y$5-($B$42+$B$44)),0)</f>
        <v>63.138072375</v>
      </c>
      <c r="Z48" s="33" t="n">
        <f aca="false">$B$41*IF(Source_Data!Z$5-($B$42+$B$44)&gt;=1,INDEX($D$47:$BK$47,1,Source_Data!Z$5-($B$42+$B$44)),0)</f>
        <v>55.204088625</v>
      </c>
      <c r="AA48" s="33" t="n">
        <f aca="false">$B$41*IF(Source_Data!AA$5-($B$42+$B$44)&gt;=1,INDEX($D$47:$BK$47,1,Source_Data!AA$5-($B$42+$B$44)),0)</f>
        <v>45.941623875</v>
      </c>
      <c r="AB48" s="33" t="n">
        <f aca="false">$B$41*IF(Source_Data!AB$5-($B$42+$B$44)&gt;=1,INDEX($D$47:$BK$47,1,Source_Data!AB$5-($B$42+$B$44)),0)</f>
        <v>45.941623875</v>
      </c>
      <c r="AC48" s="33" t="n">
        <f aca="false">$B$41*IF(Source_Data!AC$5-($B$42+$B$44)&gt;=1,INDEX($D$47:$BK$47,1,Source_Data!AC$5-($B$42+$B$44)),0)</f>
        <v>45.941623875</v>
      </c>
      <c r="AD48" s="33" t="n">
        <f aca="false">$B$41*IF(Source_Data!AD$5-($B$42+$B$44)&gt;=1,INDEX($D$47:$BK$47,1,Source_Data!AD$5-($B$42+$B$44)),0)</f>
        <v>45.941623875</v>
      </c>
      <c r="AE48" s="33" t="n">
        <f aca="false">$B$41*IF(Source_Data!AE$5-($B$42+$B$44)&gt;=1,INDEX($D$47:$BK$47,1,Source_Data!AE$5-($B$42+$B$44)),0)</f>
        <v>45.941623875</v>
      </c>
      <c r="AF48" s="33" t="n">
        <f aca="false">$B$41*IF(Source_Data!AF$5-($B$42+$B$44)&gt;=1,INDEX($D$47:$BK$47,1,Source_Data!AF$5-($B$42+$B$44)),0)</f>
        <v>39.5382448125</v>
      </c>
      <c r="AG48" s="33" t="n">
        <f aca="false">$B$41*IF(Source_Data!AG$5-($B$42+$B$44)&gt;=1,INDEX($D$47:$BK$47,1,Source_Data!AG$5-($B$42+$B$44)),0)</f>
        <v>33.13486575</v>
      </c>
      <c r="AH48" s="33" t="n">
        <f aca="false">$B$41*IF(Source_Data!AH$5-($B$42+$B$44)&gt;=1,INDEX($D$47:$BK$47,1,Source_Data!AH$5-($B$42+$B$44)),0)</f>
        <v>29.6626995</v>
      </c>
      <c r="AI48" s="33" t="n">
        <f aca="false">$B$41*IF(Source_Data!AI$5-($B$42+$B$44)&gt;=1,INDEX($D$47:$BK$47,1,Source_Data!AI$5-($B$42+$B$44)),0)</f>
        <v>26.19053325</v>
      </c>
      <c r="AJ48" s="33" t="n">
        <f aca="false">$B$41*IF(Source_Data!AJ$5-($B$42+$B$44)&gt;=1,INDEX($D$47:$BK$47,1,Source_Data!AJ$5-($B$42+$B$44)),0)</f>
        <v>20.59481025</v>
      </c>
      <c r="AK48" s="33" t="n">
        <f aca="false">$B$41*IF(Source_Data!AK$5-($B$42+$B$44)&gt;=1,INDEX($D$47:$BK$47,1,Source_Data!AK$5-($B$42+$B$44)),0)</f>
        <v>17.35412175</v>
      </c>
      <c r="AL48" s="33" t="n">
        <f aca="false">$B$41*IF(Source_Data!AL$5-($B$42+$B$44)&gt;=1,INDEX($D$47:$BK$47,1,Source_Data!AL$5-($B$42+$B$44)),0)</f>
        <v>15.123213</v>
      </c>
      <c r="AM48" s="33" t="n">
        <f aca="false">$B$41*IF(Source_Data!AM$5-($B$42+$B$44)&gt;=1,INDEX($D$47:$BK$47,1,Source_Data!AM$5-($B$42+$B$44)),0)</f>
        <v>6.521634</v>
      </c>
      <c r="AN48" s="33" t="n">
        <f aca="false">$B$41*IF(Source_Data!AN$5-($B$42+$B$44)&gt;=1,INDEX($D$47:$BK$47,1,Source_Data!AN$5-($B$42+$B$44)),0)</f>
        <v>6.521634</v>
      </c>
      <c r="AO48" s="33" t="n">
        <f aca="false">$B$41*IF(Source_Data!AO$5-($B$42+$B$44)&gt;=1,INDEX($D$47:$BK$47,1,Source_Data!AO$5-($B$42+$B$44)),0)</f>
        <v>6.521634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339</v>
      </c>
      <c r="D49" s="33" t="n">
        <f aca="false">Source_Data!D$9+Source_Data!D$10*IF(Source_Data!$C$10=0,0,MAX(0,Inputs!$B$19*Inputs!$B$22*$B$41-Inputs!$B$20)/Source_Data!$C$10)</f>
        <v>0</v>
      </c>
      <c r="E49" s="33" t="n">
        <f aca="false">Source_Data!E$9+Source_Data!E$10*IF(Source_Data!$C$10=0,0,MAX(0,Inputs!$B$19*Inputs!$B$22*$B$41-Inputs!$B$20)/Source_Data!$C$10)</f>
        <v>0</v>
      </c>
      <c r="F49" s="33" t="n">
        <f aca="false">Source_Data!F$9+Source_Data!F$10*IF(Source_Data!$C$10=0,0,MAX(0,Inputs!$B$19*Inputs!$B$22*$B$41-Inputs!$B$20)/Source_Data!$C$10)</f>
        <v>0</v>
      </c>
      <c r="G49" s="33" t="n">
        <f aca="false">Source_Data!G$9+Source_Data!G$10*IF(Source_Data!$C$10=0,0,MAX(0,Inputs!$B$19*Inputs!$B$22*$B$41-Inputs!$B$20)/Source_Data!$C$10)</f>
        <v>85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45</v>
      </c>
      <c r="M49" s="33" t="n">
        <f aca="false">Source_Data!M$9+Source_Data!M$10*IF(Source_Data!$C$10=0,0,MAX(0,Inputs!$B$19*Inputs!$B$22*$B$41-Inputs!$B$20)/Source_Data!$C$10)</f>
        <v>45</v>
      </c>
      <c r="N49" s="33" t="n">
        <f aca="false">Source_Data!N$9+Source_Data!N$10*IF(Source_Data!$C$10=0,0,MAX(0,Inputs!$B$19*Inputs!$B$22*$B$41-Inputs!$B$20)/Source_Data!$C$10)</f>
        <v>45</v>
      </c>
      <c r="O49" s="33" t="n">
        <f aca="false">Source_Data!O$9+Source_Data!O$10*IF(Source_Data!$C$10=0,0,MAX(0,Inputs!$B$19*Inputs!$B$22*$B$41-Inputs!$B$20)/Source_Data!$C$10)</f>
        <v>45</v>
      </c>
      <c r="P49" s="33" t="n">
        <f aca="false">Source_Data!P$9+Source_Data!P$10*IF(Source_Data!$C$10=0,0,MAX(0,Inputs!$B$19*Inputs!$B$22*$B$41-Inputs!$B$20)/Source_Data!$C$10)</f>
        <v>56.25</v>
      </c>
      <c r="Q49" s="33" t="n">
        <f aca="false">Source_Data!Q$9+Source_Data!Q$10*IF(Source_Data!$C$10=0,0,MAX(0,Inputs!$B$19*Inputs!$B$22*$B$41-Inputs!$B$20)/Source_Data!$C$10)</f>
        <v>56.25</v>
      </c>
      <c r="R49" s="33" t="n">
        <f aca="false">Source_Data!R$9+Source_Data!R$10*IF(Source_Data!$C$10=0,0,MAX(0,Inputs!$B$19*Inputs!$B$22*$B$41-Inputs!$B$20)/Source_Data!$C$10)</f>
        <v>56.25</v>
      </c>
      <c r="S49" s="33" t="n">
        <f aca="false">Source_Data!S$9+Source_Data!S$10*IF(Source_Data!$C$10=0,0,MAX(0,Inputs!$B$19*Inputs!$B$22*$B$41-Inputs!$B$20)/Source_Data!$C$10)</f>
        <v>56.25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152.957720444009</v>
      </c>
      <c r="AG49" s="33" t="n">
        <f aca="false">Source_Data!AG$9+Source_Data!AG$10*IF(Source_Data!$C$10=0,0,MAX(0,Inputs!$B$19*Inputs!$B$22*$B$41-Inputs!$B$20)/Source_Data!$C$10)</f>
        <v>10.2148023217513</v>
      </c>
      <c r="AH49" s="33" t="n">
        <f aca="false">Source_Data!AH$9+Source_Data!AH$10*IF(Source_Data!$C$10=0,0,MAX(0,Inputs!$B$19*Inputs!$B$22*$B$41-Inputs!$B$20)/Source_Data!$C$10)</f>
        <v>9.14440438685074</v>
      </c>
      <c r="AI49" s="33" t="n">
        <f aca="false">Source_Data!AI$9+Source_Data!AI$10*IF(Source_Data!$C$10=0,0,MAX(0,Inputs!$B$19*Inputs!$B$22*$B$41-Inputs!$B$20)/Source_Data!$C$10)</f>
        <v>8.07400645195021</v>
      </c>
      <c r="AJ49" s="33" t="n">
        <f aca="false">Source_Data!AJ$9+Source_Data!AJ$10*IF(Source_Data!$C$10=0,0,MAX(0,Inputs!$B$19*Inputs!$B$22*$B$41-Inputs!$B$20)/Source_Data!$C$10)</f>
        <v>6.34895934526992</v>
      </c>
      <c r="AK49" s="33" t="n">
        <f aca="false">Source_Data!AK$9+Source_Data!AK$10*IF(Source_Data!$C$10=0,0,MAX(0,Inputs!$B$19*Inputs!$B$22*$B$41-Inputs!$B$20)/Source_Data!$C$10)</f>
        <v>5.3499212726961</v>
      </c>
      <c r="AL49" s="33" t="n">
        <f aca="false">Source_Data!AL$9+Source_Data!AL$10*IF(Source_Data!$C$10=0,0,MAX(0,Inputs!$B$19*Inputs!$B$22*$B$41-Inputs!$B$20)/Source_Data!$C$10)</f>
        <v>4.66217767201121</v>
      </c>
      <c r="AM49" s="33" t="n">
        <f aca="false">Source_Data!AM$9+Source_Data!AM$10*IF(Source_Data!$C$10=0,0,MAX(0,Inputs!$B$19*Inputs!$B$22*$B$41-Inputs!$B$20)/Source_Data!$C$10)</f>
        <v>2.01048655598709</v>
      </c>
      <c r="AN49" s="33" t="n">
        <f aca="false">Source_Data!AN$9+Source_Data!AN$10*IF(Source_Data!$C$10=0,0,MAX(0,Inputs!$B$19*Inputs!$B$22*$B$41-Inputs!$B$20)/Source_Data!$C$10)</f>
        <v>2.01048655598709</v>
      </c>
      <c r="AO49" s="33" t="n">
        <f aca="false">Source_Data!AO$9+Source_Data!AO$10*IF(Source_Data!$C$10=0,0,MAX(0,Inputs!$B$19*Inputs!$B$22*$B$41-Inputs!$B$20)/Source_Data!$C$10)</f>
        <v>2.01048655598709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194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0</v>
      </c>
      <c r="I50" s="33" t="n">
        <f aca="false">Source_Data!I$11*$B$43</f>
        <v>0</v>
      </c>
      <c r="J50" s="33" t="n">
        <f aca="false">Source_Data!J$11*$B$43</f>
        <v>20</v>
      </c>
      <c r="K50" s="33" t="n">
        <f aca="false">Source_Data!K$11*$B$43</f>
        <v>26.4</v>
      </c>
      <c r="L50" s="33" t="n">
        <f aca="false">Source_Data!L$11*$B$43</f>
        <v>40</v>
      </c>
      <c r="M50" s="33" t="n">
        <f aca="false">Source_Data!M$11*$B$43</f>
        <v>26.4</v>
      </c>
      <c r="N50" s="33" t="n">
        <f aca="false">Source_Data!N$11*$B$43</f>
        <v>26.4</v>
      </c>
      <c r="O50" s="33" t="n">
        <f aca="false">Source_Data!O$11*$B$43</f>
        <v>26.4</v>
      </c>
      <c r="P50" s="33" t="n">
        <f aca="false">Source_Data!P$11*$B$43</f>
        <v>5.28</v>
      </c>
      <c r="Q50" s="33" t="n">
        <f aca="false">Source_Data!Q$11*$B$43</f>
        <v>5.28</v>
      </c>
      <c r="R50" s="33" t="n">
        <f aca="false">Source_Data!R$11*$B$43</f>
        <v>120</v>
      </c>
      <c r="S50" s="33" t="n">
        <f aca="false">Source_Data!S$11*$B$43</f>
        <v>120</v>
      </c>
      <c r="T50" s="33" t="n">
        <f aca="false">Source_Data!T$11*$B$43</f>
        <v>164</v>
      </c>
      <c r="U50" s="33" t="n">
        <f aca="false">Source_Data!U$11*$B$43</f>
        <v>117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196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13.043268</v>
      </c>
      <c r="M51" s="33" t="n">
        <f aca="false">$B$41*IF(Source_Data!M$5-$B$42&gt;=1,INDEX(Source_Data!$D$12:$BK$12,1,Source_Data!M$5-$B$42),0)</f>
        <v>13.043268</v>
      </c>
      <c r="N51" s="33" t="n">
        <f aca="false">$B$41*IF(Source_Data!N$5-$B$42&gt;=1,INDEX(Source_Data!$D$12:$BK$12,1,Source_Data!N$5-$B$42),0)</f>
        <v>11.191446</v>
      </c>
      <c r="O51" s="33" t="n">
        <f aca="false">$B$41*IF(Source_Data!O$5-$B$42&gt;=1,INDEX(Source_Data!$D$12:$BK$12,1,Source_Data!O$5-$B$42),0)</f>
        <v>6.481377</v>
      </c>
      <c r="P51" s="33" t="n">
        <f aca="false">$B$41*IF(Source_Data!P$5-$B$42&gt;=1,INDEX(Source_Data!$D$12:$BK$12,1,Source_Data!P$5-$B$42),0)</f>
        <v>7.138908</v>
      </c>
      <c r="Q51" s="33" t="n">
        <f aca="false">$B$41*IF(Source_Data!Q$5-$B$42&gt;=1,INDEX(Source_Data!$D$12:$BK$12,1,Source_Data!Q$5-$B$42),0)</f>
        <v>6.655824</v>
      </c>
      <c r="R51" s="33" t="n">
        <f aca="false">$B$41*IF(Source_Data!R$5-$B$42&gt;=1,INDEX(Source_Data!$D$12:$BK$12,1,Source_Data!R$5-$B$42),0)</f>
        <v>6.790014</v>
      </c>
      <c r="S51" s="33" t="n">
        <f aca="false">$B$41*IF(Source_Data!S$5-$B$42&gt;=1,INDEX(Source_Data!$D$12:$BK$12,1,Source_Data!S$5-$B$42),0)</f>
        <v>6.790014</v>
      </c>
      <c r="T51" s="33" t="n">
        <f aca="false">$B$41*IF(Source_Data!T$5-$B$42&gt;=1,INDEX(Source_Data!$D$12:$BK$12,1,Source_Data!T$5-$B$42),0)</f>
        <v>7.407288</v>
      </c>
      <c r="U51" s="33" t="n">
        <f aca="false">$B$41*IF(Source_Data!U$5-$B$42&gt;=1,INDEX(Source_Data!$D$12:$BK$12,1,Source_Data!U$5-$B$42),0)</f>
        <v>7.407288</v>
      </c>
      <c r="V51" s="33" t="n">
        <f aca="false">$B$41*IF(Source_Data!V$5-$B$42&gt;=1,INDEX(Source_Data!$D$12:$BK$12,1,Source_Data!V$5-$B$42),0)</f>
        <v>5.152896</v>
      </c>
      <c r="W51" s="33" t="n">
        <f aca="false">$B$41*IF(Source_Data!W$5-$B$42&gt;=1,INDEX(Source_Data!$D$12:$BK$12,1,Source_Data!W$5-$B$42),0)</f>
        <v>5.152896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215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0</v>
      </c>
      <c r="I52" s="33" t="n">
        <f aca="false">Source_Data!I$13*$B$43</f>
        <v>0</v>
      </c>
      <c r="J52" s="33" t="n">
        <f aca="false">Source_Data!J$13*$B$43</f>
        <v>3</v>
      </c>
      <c r="K52" s="33" t="n">
        <f aca="false">Source_Data!K$13*$B$43</f>
        <v>3.96</v>
      </c>
      <c r="L52" s="33" t="n">
        <f aca="false">Source_Data!L$13*$B$43</f>
        <v>6</v>
      </c>
      <c r="M52" s="33" t="n">
        <f aca="false">Source_Data!M$13*$B$43</f>
        <v>3.96</v>
      </c>
      <c r="N52" s="33" t="n">
        <f aca="false">Source_Data!N$13*$B$43</f>
        <v>3.96</v>
      </c>
      <c r="O52" s="33" t="n">
        <f aca="false">Source_Data!O$13*$B$43</f>
        <v>3.96</v>
      </c>
      <c r="P52" s="33" t="n">
        <f aca="false">Source_Data!P$13*$B$43</f>
        <v>0.792</v>
      </c>
      <c r="Q52" s="33" t="n">
        <f aca="false">Source_Data!Q$13*$B$43</f>
        <v>0.792</v>
      </c>
      <c r="R52" s="33" t="n">
        <f aca="false">Source_Data!R$13*$B$43</f>
        <v>18</v>
      </c>
      <c r="S52" s="33" t="n">
        <f aca="false">Source_Data!S$13*$B$43</f>
        <v>18</v>
      </c>
      <c r="T52" s="33" t="n">
        <f aca="false">Source_Data!T$13*$B$43</f>
        <v>24.6</v>
      </c>
      <c r="U52" s="33" t="n">
        <f aca="false">Source_Data!U$13*$B$43</f>
        <v>17.55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216</v>
      </c>
      <c r="D53" s="33" t="n">
        <f aca="false">D48-D49-D50-D51-D52</f>
        <v>0</v>
      </c>
      <c r="E53" s="33" t="n">
        <f aca="false">E48-E49-E50-E51-E52</f>
        <v>0</v>
      </c>
      <c r="F53" s="33" t="n">
        <f aca="false">F48-F49-F50-F51-F52</f>
        <v>0</v>
      </c>
      <c r="G53" s="33" t="n">
        <f aca="false">G48-G49-G50-G51-G52</f>
        <v>-85</v>
      </c>
      <c r="H53" s="33" t="n">
        <f aca="false">H48-H49-H50-H51-H52</f>
        <v>-6.195915</v>
      </c>
      <c r="I53" s="33" t="n">
        <f aca="false">I48-I49-I50-I51-I52</f>
        <v>10.10817</v>
      </c>
      <c r="J53" s="33" t="n">
        <f aca="false">J48-J49-J50-J51-J52</f>
        <v>6.9347425</v>
      </c>
      <c r="K53" s="33" t="n">
        <f aca="false">K48-K49-K50-K51-K52</f>
        <v>9.256551</v>
      </c>
      <c r="L53" s="33" t="n">
        <f aca="false">L48-L49-L50-L51-L52</f>
        <v>-43.6644775</v>
      </c>
      <c r="M53" s="33" t="n">
        <f aca="false">M48-M49-M50-M51-M52</f>
        <v>-22.72732725</v>
      </c>
      <c r="N53" s="33" t="n">
        <f aca="false">N48-N49-N50-N51-N52</f>
        <v>-6.56749649999999</v>
      </c>
      <c r="O53" s="33" t="n">
        <f aca="false">O48-O49-O50-O51-O52</f>
        <v>13.2054</v>
      </c>
      <c r="P53" s="33" t="n">
        <f aca="false">P48-P49-P50-P51-P52</f>
        <v>34.266284625</v>
      </c>
      <c r="Q53" s="33" t="n">
        <f aca="false">Q48-Q49-Q50-Q51-Q52</f>
        <v>43.42978425</v>
      </c>
      <c r="R53" s="33" t="n">
        <f aca="false">R48-R49-R50-R51-R52</f>
        <v>413.74140675</v>
      </c>
      <c r="S53" s="33" t="n">
        <f aca="false">S48-S49-S50-S51-S52</f>
        <v>-46.56384075</v>
      </c>
      <c r="T53" s="33" t="n">
        <f aca="false">T48-T49-T50-T51-T52</f>
        <v>-139.67035475</v>
      </c>
      <c r="U53" s="33" t="n">
        <f aca="false">U48-U49-U50-U51-U52</f>
        <v>-106.55399475</v>
      </c>
      <c r="V53" s="33" t="n">
        <f aca="false">V48-V49-V50-V51-V52</f>
        <v>28.61998875</v>
      </c>
      <c r="W53" s="33" t="n">
        <f aca="false">W48-W49-W50-W51-W52</f>
        <v>26.98958025</v>
      </c>
      <c r="X53" s="33" t="n">
        <f aca="false">X48-X49-X50-X51-X52</f>
        <v>47.0515156875</v>
      </c>
      <c r="Y53" s="33" t="n">
        <f aca="false">Y48-Y49-Y50-Y51-Y52</f>
        <v>40.638072375</v>
      </c>
      <c r="Z53" s="33" t="n">
        <f aca="false">Z48-Z49-Z50-Z51-Z52</f>
        <v>32.704088625</v>
      </c>
      <c r="AA53" s="33" t="n">
        <f aca="false">AA48-AA49-AA50-AA51-AA52</f>
        <v>23.441623875</v>
      </c>
      <c r="AB53" s="33" t="n">
        <f aca="false">AB48-AB49-AB50-AB51-AB52</f>
        <v>45.941623875</v>
      </c>
      <c r="AC53" s="33" t="n">
        <f aca="false">AC48-AC49-AC50-AC51-AC52</f>
        <v>45.941623875</v>
      </c>
      <c r="AD53" s="33" t="n">
        <f aca="false">AD48-AD49-AD50-AD51-AD52</f>
        <v>45.941623875</v>
      </c>
      <c r="AE53" s="33" t="n">
        <f aca="false">AE48-AE49-AE50-AE51-AE52</f>
        <v>45.941623875</v>
      </c>
      <c r="AF53" s="33" t="n">
        <f aca="false">AF48-AF49-AF50-AF51-AF52</f>
        <v>-113.419475631509</v>
      </c>
      <c r="AG53" s="33" t="n">
        <f aca="false">AG48-AG49-AG50-AG51-AG52</f>
        <v>22.9200634282487</v>
      </c>
      <c r="AH53" s="33" t="n">
        <f aca="false">AH48-AH49-AH50-AH51-AH52</f>
        <v>20.5182951131493</v>
      </c>
      <c r="AI53" s="33" t="n">
        <f aca="false">AI48-AI49-AI50-AI51-AI52</f>
        <v>18.1165267980498</v>
      </c>
      <c r="AJ53" s="33" t="n">
        <f aca="false">AJ48-AJ49-AJ50-AJ51-AJ52</f>
        <v>14.2458509047301</v>
      </c>
      <c r="AK53" s="33" t="n">
        <f aca="false">AK48-AK49-AK50-AK51-AK52</f>
        <v>12.0042004773039</v>
      </c>
      <c r="AL53" s="33" t="n">
        <f aca="false">AL48-AL49-AL50-AL51-AL52</f>
        <v>10.4610353279888</v>
      </c>
      <c r="AM53" s="33" t="n">
        <f aca="false">AM48-AM49-AM50-AM51-AM52</f>
        <v>4.51114744401291</v>
      </c>
      <c r="AN53" s="33" t="n">
        <f aca="false">AN48-AN49-AN50-AN51-AN52</f>
        <v>4.51114744401291</v>
      </c>
      <c r="AO53" s="33" t="n">
        <f aca="false">AO48-AO49-AO50-AO51-AO52</f>
        <v>4.51114744401291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217</v>
      </c>
      <c r="D54" s="33" t="n">
        <f aca="false">D53</f>
        <v>0</v>
      </c>
      <c r="E54" s="33" t="n">
        <f aca="false">D54+E53</f>
        <v>0</v>
      </c>
      <c r="F54" s="33" t="n">
        <f aca="false">E54+F53</f>
        <v>0</v>
      </c>
      <c r="G54" s="33" t="n">
        <f aca="false">F54+G53</f>
        <v>-85</v>
      </c>
      <c r="H54" s="33" t="n">
        <f aca="false">G54+H53</f>
        <v>-91.195915</v>
      </c>
      <c r="I54" s="33" t="n">
        <f aca="false">H54+I53</f>
        <v>-81.087745</v>
      </c>
      <c r="J54" s="33" t="n">
        <f aca="false">I54+J53</f>
        <v>-74.1530025</v>
      </c>
      <c r="K54" s="33" t="n">
        <f aca="false">J54+K53</f>
        <v>-64.8964515</v>
      </c>
      <c r="L54" s="33" t="n">
        <f aca="false">K54+L53</f>
        <v>-108.560929</v>
      </c>
      <c r="M54" s="33" t="n">
        <f aca="false">L54+M53</f>
        <v>-131.28825625</v>
      </c>
      <c r="N54" s="33" t="n">
        <f aca="false">M54+N53</f>
        <v>-137.85575275</v>
      </c>
      <c r="O54" s="33" t="n">
        <f aca="false">N54+O53</f>
        <v>-124.65035275</v>
      </c>
      <c r="P54" s="33" t="n">
        <f aca="false">O54+P53</f>
        <v>-90.384068125</v>
      </c>
      <c r="Q54" s="33" t="n">
        <f aca="false">P54+Q53</f>
        <v>-46.954283875</v>
      </c>
      <c r="R54" s="33" t="n">
        <f aca="false">Q54+R53</f>
        <v>366.787122875</v>
      </c>
      <c r="S54" s="33" t="n">
        <f aca="false">R54+S53</f>
        <v>320.223282125</v>
      </c>
      <c r="T54" s="33" t="n">
        <f aca="false">S54+T53</f>
        <v>180.552927375</v>
      </c>
      <c r="U54" s="33" t="n">
        <f aca="false">T54+U53</f>
        <v>73.9989326249997</v>
      </c>
      <c r="V54" s="33" t="n">
        <f aca="false">U54+V53</f>
        <v>102.618921375</v>
      </c>
      <c r="W54" s="33" t="n">
        <f aca="false">V54+W53</f>
        <v>129.608501625</v>
      </c>
      <c r="X54" s="33" t="n">
        <f aca="false">W54+X53</f>
        <v>176.6600173125</v>
      </c>
      <c r="Y54" s="33" t="n">
        <f aca="false">X54+Y53</f>
        <v>217.2980896875</v>
      </c>
      <c r="Z54" s="33" t="n">
        <f aca="false">Y54+Z53</f>
        <v>250.0021783125</v>
      </c>
      <c r="AA54" s="33" t="n">
        <f aca="false">Z54+AA53</f>
        <v>273.4438021875</v>
      </c>
      <c r="AB54" s="33" t="n">
        <f aca="false">AA54+AB53</f>
        <v>319.3854260625</v>
      </c>
      <c r="AC54" s="33" t="n">
        <f aca="false">AB54+AC53</f>
        <v>365.3270499375</v>
      </c>
      <c r="AD54" s="33" t="n">
        <f aca="false">AC54+AD53</f>
        <v>411.2686738125</v>
      </c>
      <c r="AE54" s="33" t="n">
        <f aca="false">AD54+AE53</f>
        <v>457.2102976875</v>
      </c>
      <c r="AF54" s="33" t="n">
        <f aca="false">AE54+AF53</f>
        <v>343.790822055991</v>
      </c>
      <c r="AG54" s="33" t="n">
        <f aca="false">AF54+AG53</f>
        <v>366.710885484239</v>
      </c>
      <c r="AH54" s="33" t="n">
        <f aca="false">AG54+AH53</f>
        <v>387.229180597388</v>
      </c>
      <c r="AI54" s="33" t="n">
        <f aca="false">AH54+AI53</f>
        <v>405.345707395438</v>
      </c>
      <c r="AJ54" s="33" t="n">
        <f aca="false">AI54+AJ53</f>
        <v>419.591558300168</v>
      </c>
      <c r="AK54" s="33" t="n">
        <f aca="false">AJ54+AK53</f>
        <v>431.595758777472</v>
      </c>
      <c r="AL54" s="33" t="n">
        <f aca="false">AK54+AL53</f>
        <v>442.056794105461</v>
      </c>
      <c r="AM54" s="33" t="n">
        <f aca="false">AL54+AM53</f>
        <v>446.567941549474</v>
      </c>
      <c r="AN54" s="33" t="n">
        <f aca="false">AM54+AN53</f>
        <v>451.079088993487</v>
      </c>
      <c r="AO54" s="33" t="n">
        <f aca="false">AN54+AO53</f>
        <v>455.5902364375</v>
      </c>
      <c r="AP54" s="33" t="n">
        <f aca="false">AO54+AP53</f>
        <v>455.5902364375</v>
      </c>
      <c r="AQ54" s="33" t="n">
        <f aca="false">AP54+AQ53</f>
        <v>455.5902364375</v>
      </c>
      <c r="AR54" s="33" t="n">
        <f aca="false">AQ54+AR53</f>
        <v>455.5902364375</v>
      </c>
      <c r="AS54" s="33" t="n">
        <f aca="false">AR54+AS53</f>
        <v>455.5902364375</v>
      </c>
      <c r="AT54" s="33" t="n">
        <f aca="false">AS54+AT53</f>
        <v>455.5902364375</v>
      </c>
      <c r="AU54" s="33" t="n">
        <f aca="false">AT54+AU53</f>
        <v>455.5902364375</v>
      </c>
      <c r="AV54" s="33" t="n">
        <f aca="false">AU54+AV53</f>
        <v>455.5902364375</v>
      </c>
      <c r="AW54" s="33" t="n">
        <f aca="false">AV54+AW53</f>
        <v>455.5902364375</v>
      </c>
      <c r="AX54" s="33" t="n">
        <f aca="false">AW54+AX53</f>
        <v>455.5902364375</v>
      </c>
      <c r="AY54" s="33" t="n">
        <f aca="false">AX54+AY53</f>
        <v>455.5902364375</v>
      </c>
      <c r="AZ54" s="33" t="n">
        <f aca="false">AY54+AZ53</f>
        <v>455.5902364375</v>
      </c>
      <c r="BA54" s="33" t="n">
        <f aca="false">AZ54+BA53</f>
        <v>455.5902364375</v>
      </c>
      <c r="BB54" s="33" t="n">
        <f aca="false">BA54+BB53</f>
        <v>455.5902364375</v>
      </c>
      <c r="BC54" s="33" t="n">
        <f aca="false">BB54+BC53</f>
        <v>455.5902364375</v>
      </c>
      <c r="BD54" s="33" t="n">
        <f aca="false">BC54+BD53</f>
        <v>455.5902364375</v>
      </c>
      <c r="BE54" s="33" t="n">
        <f aca="false">BD54+BE53</f>
        <v>455.5902364375</v>
      </c>
      <c r="BF54" s="33" t="n">
        <f aca="false">BE54+BF53</f>
        <v>455.5902364375</v>
      </c>
      <c r="BG54" s="33" t="n">
        <f aca="false">BF54+BG53</f>
        <v>455.5902364375</v>
      </c>
      <c r="BH54" s="33" t="n">
        <f aca="false">BG54+BH53</f>
        <v>455.5902364375</v>
      </c>
      <c r="BI54" s="33" t="n">
        <f aca="false">BH54+BI53</f>
        <v>455.5902364375</v>
      </c>
      <c r="BJ54" s="33" t="n">
        <f aca="false">BI54+BJ53</f>
        <v>455.5902364375</v>
      </c>
      <c r="BK54" s="33" t="n">
        <f aca="false">BJ54+BK53</f>
        <v>455.5902364375</v>
      </c>
    </row>
    <row r="55" customFormat="false" ht="15" hidden="false" customHeight="false" outlineLevel="0" collapsed="false">
      <c r="A55" s="3" t="s">
        <v>340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-50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32.3333333333333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32.3333333333333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32.3333333333333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32.3333333333333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341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0</v>
      </c>
      <c r="N56" s="33" t="n">
        <f aca="false">IF(AND(Source_Data!N$6&gt;=Inputs!$B$54,Source_Data!N$6&lt;Inputs!$B$54+3*Inputs!$B$11),Inputs!$B$9*Inputs!$B$7/Inputs!$B$11,0)</f>
        <v>0</v>
      </c>
      <c r="O56" s="33" t="n">
        <f aca="false">IF(AND(Source_Data!O$6&gt;=Inputs!$B$54,Source_Data!O$6&lt;Inputs!$B$54+3*Inputs!$B$11),Inputs!$B$9*Inputs!$B$7/Inputs!$B$11,0)</f>
        <v>0</v>
      </c>
      <c r="P56" s="33" t="n">
        <f aca="false">IF(AND(Source_Data!P$6&gt;=Inputs!$B$54,Source_Data!P$6&lt;Inputs!$B$54+3*Inputs!$B$11),Inputs!$B$9*Inputs!$B$7/Inputs!$B$11,0)</f>
        <v>9.58333333333333</v>
      </c>
      <c r="Q56" s="33" t="n">
        <f aca="false">IF(AND(Source_Data!Q$6&gt;=Inputs!$B$54,Source_Data!Q$6&lt;Inputs!$B$54+3*Inputs!$B$11),Inputs!$B$9*Inputs!$B$7/Inputs!$B$11,0)</f>
        <v>9.58333333333333</v>
      </c>
      <c r="R56" s="33" t="n">
        <f aca="false">IF(AND(Source_Data!R$6&gt;=Inputs!$B$54,Source_Data!R$6&lt;Inputs!$B$54+3*Inputs!$B$11),Inputs!$B$9*Inputs!$B$7/Inputs!$B$11,0)</f>
        <v>9.58333333333333</v>
      </c>
      <c r="S56" s="33" t="n">
        <f aca="false">IF(AND(Source_Data!S$6&gt;=Inputs!$B$54,Source_Data!S$6&lt;Inputs!$B$54+3*Inputs!$B$11),Inputs!$B$9*Inputs!$B$7/Inputs!$B$11,0)</f>
        <v>9.58333333333333</v>
      </c>
      <c r="T56" s="33" t="n">
        <f aca="false">IF(AND(Source_Data!T$6&gt;=Inputs!$B$54,Source_Data!T$6&lt;Inputs!$B$54+3*Inputs!$B$11),Inputs!$B$9*Inputs!$B$7/Inputs!$B$11,0)</f>
        <v>9.58333333333333</v>
      </c>
      <c r="U56" s="33" t="n">
        <f aca="false">IF(AND(Source_Data!U$6&gt;=Inputs!$B$54,Source_Data!U$6&lt;Inputs!$B$54+3*Inputs!$B$11),Inputs!$B$9*Inputs!$B$7/Inputs!$B$11,0)</f>
        <v>9.58333333333333</v>
      </c>
      <c r="V56" s="33" t="n">
        <f aca="false">IF(AND(Source_Data!V$6&gt;=Inputs!$B$54,Source_Data!V$6&lt;Inputs!$B$54+3*Inputs!$B$11),Inputs!$B$9*Inputs!$B$7/Inputs!$B$11,0)</f>
        <v>9.58333333333333</v>
      </c>
      <c r="W56" s="33" t="n">
        <f aca="false">IF(AND(Source_Data!W$6&gt;=Inputs!$B$54,Source_Data!W$6&lt;Inputs!$B$54+3*Inputs!$B$11),Inputs!$B$9*Inputs!$B$7/Inputs!$B$11,0)</f>
        <v>9.58333333333333</v>
      </c>
      <c r="X56" s="33" t="n">
        <f aca="false">IF(AND(Source_Data!X$6&gt;=Inputs!$B$54,Source_Data!X$6&lt;Inputs!$B$54+3*Inputs!$B$11),Inputs!$B$9*Inputs!$B$7/Inputs!$B$11,0)</f>
        <v>9.58333333333333</v>
      </c>
      <c r="Y56" s="33" t="n">
        <f aca="false">IF(AND(Source_Data!Y$6&gt;=Inputs!$B$54,Source_Data!Y$6&lt;Inputs!$B$54+3*Inputs!$B$11),Inputs!$B$9*Inputs!$B$7/Inputs!$B$11,0)</f>
        <v>9.58333333333333</v>
      </c>
      <c r="Z56" s="33" t="n">
        <f aca="false">IF(AND(Source_Data!Z$6&gt;=Inputs!$B$54,Source_Data!Z$6&lt;Inputs!$B$54+3*Inputs!$B$11),Inputs!$B$9*Inputs!$B$7/Inputs!$B$11,0)</f>
        <v>9.58333333333333</v>
      </c>
      <c r="AA56" s="33" t="n">
        <f aca="false">IF(AND(Source_Data!AA$6&gt;=Inputs!$B$54,Source_Data!AA$6&lt;Inputs!$B$54+3*Inputs!$B$11),Inputs!$B$9*Inputs!$B$7/Inputs!$B$11,0)</f>
        <v>9.58333333333333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342</v>
      </c>
      <c r="D57" s="33" t="n">
        <f aca="false">IF(Source_Data!D$6=Inputs!$B$12,-Inputs!$B$7,0)+D56</f>
        <v>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-50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0</v>
      </c>
      <c r="N57" s="33" t="n">
        <f aca="false">IF(Source_Data!N$6=Inputs!$B$12,-Inputs!$B$7,0)+N56</f>
        <v>0</v>
      </c>
      <c r="O57" s="33" t="n">
        <f aca="false">IF(Source_Data!O$6=Inputs!$B$12,-Inputs!$B$7,0)+O56</f>
        <v>0</v>
      </c>
      <c r="P57" s="33" t="n">
        <f aca="false">IF(Source_Data!P$6=Inputs!$B$12,-Inputs!$B$7,0)+P56</f>
        <v>9.58333333333333</v>
      </c>
      <c r="Q57" s="33" t="n">
        <f aca="false">IF(Source_Data!Q$6=Inputs!$B$12,-Inputs!$B$7,0)+Q56</f>
        <v>9.58333333333333</v>
      </c>
      <c r="R57" s="33" t="n">
        <f aca="false">IF(Source_Data!R$6=Inputs!$B$12,-Inputs!$B$7,0)+R56</f>
        <v>9.58333333333333</v>
      </c>
      <c r="S57" s="33" t="n">
        <f aca="false">IF(Source_Data!S$6=Inputs!$B$12,-Inputs!$B$7,0)+S56</f>
        <v>9.58333333333333</v>
      </c>
      <c r="T57" s="33" t="n">
        <f aca="false">IF(Source_Data!T$6=Inputs!$B$12,-Inputs!$B$7,0)+T56</f>
        <v>9.58333333333333</v>
      </c>
      <c r="U57" s="33" t="n">
        <f aca="false">IF(Source_Data!U$6=Inputs!$B$12,-Inputs!$B$7,0)+U56</f>
        <v>9.58333333333333</v>
      </c>
      <c r="V57" s="33" t="n">
        <f aca="false">IF(Source_Data!V$6=Inputs!$B$12,-Inputs!$B$7,0)+V56</f>
        <v>9.58333333333333</v>
      </c>
      <c r="W57" s="33" t="n">
        <f aca="false">IF(Source_Data!W$6=Inputs!$B$12,-Inputs!$B$7,0)+W56</f>
        <v>9.58333333333333</v>
      </c>
      <c r="X57" s="33" t="n">
        <f aca="false">IF(Source_Data!X$6=Inputs!$B$12,-Inputs!$B$7,0)+X56</f>
        <v>9.58333333333333</v>
      </c>
      <c r="Y57" s="33" t="n">
        <f aca="false">IF(Source_Data!Y$6=Inputs!$B$12,-Inputs!$B$7,0)+Y56</f>
        <v>9.58333333333333</v>
      </c>
      <c r="Z57" s="33" t="n">
        <f aca="false">IF(Source_Data!Z$6=Inputs!$B$12,-Inputs!$B$7,0)+Z56</f>
        <v>9.58333333333333</v>
      </c>
      <c r="AA57" s="33" t="n">
        <f aca="false">IF(Source_Data!AA$6=Inputs!$B$12,-Inputs!$B$7,0)+AA56</f>
        <v>9.58333333333333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343</v>
      </c>
      <c r="D58" s="33" t="n">
        <f aca="false">IF(Source_Data!D$6=Inputs!$B$12,Inputs!$B$7,0)+D53-D56</f>
        <v>0</v>
      </c>
      <c r="E58" s="33" t="n">
        <f aca="false">D58+IF(Source_Data!E$6=Inputs!$B$12,Inputs!$B$7,0)+E53-E56</f>
        <v>0</v>
      </c>
      <c r="F58" s="33" t="n">
        <f aca="false">E58+IF(Source_Data!F$6=Inputs!$B$12,Inputs!$B$7,0)+F53-F56</f>
        <v>0</v>
      </c>
      <c r="G58" s="33" t="n">
        <f aca="false">F58+IF(Source_Data!G$6=Inputs!$B$12,Inputs!$B$7,0)+G53-G56</f>
        <v>-35</v>
      </c>
      <c r="H58" s="33" t="n">
        <f aca="false">G58+IF(Source_Data!H$6=Inputs!$B$12,Inputs!$B$7,0)+H53-H56</f>
        <v>-41.195915</v>
      </c>
      <c r="I58" s="33" t="n">
        <f aca="false">H58+IF(Source_Data!I$6=Inputs!$B$12,Inputs!$B$7,0)+I53-I56</f>
        <v>-31.087745</v>
      </c>
      <c r="J58" s="33" t="n">
        <f aca="false">I58+IF(Source_Data!J$6=Inputs!$B$12,Inputs!$B$7,0)+J53-J56</f>
        <v>-24.1530025</v>
      </c>
      <c r="K58" s="33" t="n">
        <f aca="false">J58+IF(Source_Data!K$6=Inputs!$B$12,Inputs!$B$7,0)+K53-K56</f>
        <v>-14.8964515</v>
      </c>
      <c r="L58" s="33" t="n">
        <f aca="false">K58+IF(Source_Data!L$6=Inputs!$B$12,Inputs!$B$7,0)+L53-L56</f>
        <v>-58.560929</v>
      </c>
      <c r="M58" s="33" t="n">
        <f aca="false">L58+IF(Source_Data!M$6=Inputs!$B$12,Inputs!$B$7,0)+M53-M56</f>
        <v>-81.28825625</v>
      </c>
      <c r="N58" s="33" t="n">
        <f aca="false">M58+IF(Source_Data!N$6=Inputs!$B$12,Inputs!$B$7,0)+N53-N56</f>
        <v>-87.85575275</v>
      </c>
      <c r="O58" s="33" t="n">
        <f aca="false">N58+IF(Source_Data!O$6=Inputs!$B$12,Inputs!$B$7,0)+O53-O56</f>
        <v>-74.65035275</v>
      </c>
      <c r="P58" s="33" t="n">
        <f aca="false">O58+IF(Source_Data!P$6=Inputs!$B$12,Inputs!$B$7,0)+P53-P56</f>
        <v>-49.9674014583333</v>
      </c>
      <c r="Q58" s="33" t="n">
        <f aca="false">P58+IF(Source_Data!Q$6=Inputs!$B$12,Inputs!$B$7,0)+Q53-Q56</f>
        <v>-16.1209505416666</v>
      </c>
      <c r="R58" s="33" t="n">
        <f aca="false">Q58+IF(Source_Data!R$6=Inputs!$B$12,Inputs!$B$7,0)+R53-R56</f>
        <v>388.037122875</v>
      </c>
      <c r="S58" s="33" t="n">
        <f aca="false">R58+IF(Source_Data!S$6=Inputs!$B$12,Inputs!$B$7,0)+S53-S56</f>
        <v>331.889948791667</v>
      </c>
      <c r="T58" s="33" t="n">
        <f aca="false">S58+IF(Source_Data!T$6=Inputs!$B$12,Inputs!$B$7,0)+T53-T56</f>
        <v>182.636260708333</v>
      </c>
      <c r="U58" s="33" t="n">
        <f aca="false">T58+IF(Source_Data!U$6=Inputs!$B$12,Inputs!$B$7,0)+U53-U56</f>
        <v>66.4989326249998</v>
      </c>
      <c r="V58" s="33" t="n">
        <f aca="false">U58+IF(Source_Data!V$6=Inputs!$B$12,Inputs!$B$7,0)+V53-V56</f>
        <v>85.5355880416665</v>
      </c>
      <c r="W58" s="33" t="n">
        <f aca="false">V58+IF(Source_Data!W$6=Inputs!$B$12,Inputs!$B$7,0)+W53-W56</f>
        <v>102.941834958333</v>
      </c>
      <c r="X58" s="33" t="n">
        <f aca="false">W58+IF(Source_Data!X$6=Inputs!$B$12,Inputs!$B$7,0)+X53-X56</f>
        <v>140.4100173125</v>
      </c>
      <c r="Y58" s="33" t="n">
        <f aca="false">X58+IF(Source_Data!Y$6=Inputs!$B$12,Inputs!$B$7,0)+Y53-Y56</f>
        <v>171.464756354166</v>
      </c>
      <c r="Z58" s="33" t="n">
        <f aca="false">Y58+IF(Source_Data!Z$6=Inputs!$B$12,Inputs!$B$7,0)+Z53-Z56</f>
        <v>194.585511645833</v>
      </c>
      <c r="AA58" s="33" t="n">
        <f aca="false">Z58+IF(Source_Data!AA$6=Inputs!$B$12,Inputs!$B$7,0)+AA53-AA56</f>
        <v>208.4438021875</v>
      </c>
      <c r="AB58" s="33" t="n">
        <f aca="false">AA58+IF(Source_Data!AB$6=Inputs!$B$12,Inputs!$B$7,0)+AB53-AB56</f>
        <v>254.3854260625</v>
      </c>
      <c r="AC58" s="33" t="n">
        <f aca="false">AB58+IF(Source_Data!AC$6=Inputs!$B$12,Inputs!$B$7,0)+AC53-AC56</f>
        <v>300.3270499375</v>
      </c>
      <c r="AD58" s="33" t="n">
        <f aca="false">AC58+IF(Source_Data!AD$6=Inputs!$B$12,Inputs!$B$7,0)+AD53-AD56</f>
        <v>346.2686738125</v>
      </c>
      <c r="AE58" s="33" t="n">
        <f aca="false">AD58+IF(Source_Data!AE$6=Inputs!$B$12,Inputs!$B$7,0)+AE53-AE56</f>
        <v>392.2102976875</v>
      </c>
      <c r="AF58" s="33" t="n">
        <f aca="false">AE58+IF(Source_Data!AF$6=Inputs!$B$12,Inputs!$B$7,0)+AF53-AF56</f>
        <v>278.790822055991</v>
      </c>
      <c r="AG58" s="33" t="n">
        <f aca="false">AF58+IF(Source_Data!AG$6=Inputs!$B$12,Inputs!$B$7,0)+AG53-AG56</f>
        <v>301.710885484239</v>
      </c>
      <c r="AH58" s="33" t="n">
        <f aca="false">AG58+IF(Source_Data!AH$6=Inputs!$B$12,Inputs!$B$7,0)+AH53-AH56</f>
        <v>322.229180597388</v>
      </c>
      <c r="AI58" s="33" t="n">
        <f aca="false">AH58+IF(Source_Data!AI$6=Inputs!$B$12,Inputs!$B$7,0)+AI53-AI56</f>
        <v>340.345707395438</v>
      </c>
      <c r="AJ58" s="33" t="n">
        <f aca="false">AI58+IF(Source_Data!AJ$6=Inputs!$B$12,Inputs!$B$7,0)+AJ53-AJ56</f>
        <v>354.591558300168</v>
      </c>
      <c r="AK58" s="33" t="n">
        <f aca="false">AJ58+IF(Source_Data!AK$6=Inputs!$B$12,Inputs!$B$7,0)+AK53-AK56</f>
        <v>366.595758777472</v>
      </c>
      <c r="AL58" s="33" t="n">
        <f aca="false">AK58+IF(Source_Data!AL$6=Inputs!$B$12,Inputs!$B$7,0)+AL53-AL56</f>
        <v>377.056794105461</v>
      </c>
      <c r="AM58" s="33" t="n">
        <f aca="false">AL58+IF(Source_Data!AM$6=Inputs!$B$12,Inputs!$B$7,0)+AM53-AM56</f>
        <v>381.567941549474</v>
      </c>
      <c r="AN58" s="33" t="n">
        <f aca="false">AM58+IF(Source_Data!AN$6=Inputs!$B$12,Inputs!$B$7,0)+AN53-AN56</f>
        <v>386.079088993487</v>
      </c>
      <c r="AO58" s="33" t="n">
        <f aca="false">AN58+IF(Source_Data!AO$6=Inputs!$B$12,Inputs!$B$7,0)+AO53-AO56</f>
        <v>390.5902364375</v>
      </c>
      <c r="AP58" s="33" t="n">
        <f aca="false">AO58+IF(Source_Data!AP$6=Inputs!$B$12,Inputs!$B$7,0)+AP53-AP56</f>
        <v>390.5902364375</v>
      </c>
      <c r="AQ58" s="33" t="n">
        <f aca="false">AP58+IF(Source_Data!AQ$6=Inputs!$B$12,Inputs!$B$7,0)+AQ53-AQ56</f>
        <v>390.5902364375</v>
      </c>
      <c r="AR58" s="33" t="n">
        <f aca="false">AQ58+IF(Source_Data!AR$6=Inputs!$B$12,Inputs!$B$7,0)+AR53-AR56</f>
        <v>390.5902364375</v>
      </c>
      <c r="AS58" s="33" t="n">
        <f aca="false">AR58+IF(Source_Data!AS$6=Inputs!$B$12,Inputs!$B$7,0)+AS53-AS56</f>
        <v>390.5902364375</v>
      </c>
      <c r="AT58" s="33" t="n">
        <f aca="false">AS58+IF(Source_Data!AT$6=Inputs!$B$12,Inputs!$B$7,0)+AT53-AT56</f>
        <v>390.5902364375</v>
      </c>
      <c r="AU58" s="33" t="n">
        <f aca="false">AT58+IF(Source_Data!AU$6=Inputs!$B$12,Inputs!$B$7,0)+AU53-AU56</f>
        <v>390.5902364375</v>
      </c>
      <c r="AV58" s="33" t="n">
        <f aca="false">AU58+IF(Source_Data!AV$6=Inputs!$B$12,Inputs!$B$7,0)+AV53-AV56</f>
        <v>390.5902364375</v>
      </c>
      <c r="AW58" s="33" t="n">
        <f aca="false">AV58+IF(Source_Data!AW$6=Inputs!$B$12,Inputs!$B$7,0)+AW53-AW56</f>
        <v>390.5902364375</v>
      </c>
      <c r="AX58" s="33" t="n">
        <f aca="false">AW58+IF(Source_Data!AX$6=Inputs!$B$12,Inputs!$B$7,0)+AX53-AX56</f>
        <v>390.5902364375</v>
      </c>
      <c r="AY58" s="33" t="n">
        <f aca="false">AX58+IF(Source_Data!AY$6=Inputs!$B$12,Inputs!$B$7,0)+AY53-AY56</f>
        <v>390.5902364375</v>
      </c>
      <c r="AZ58" s="33" t="n">
        <f aca="false">AY58+IF(Source_Data!AZ$6=Inputs!$B$12,Inputs!$B$7,0)+AZ53-AZ56</f>
        <v>390.5902364375</v>
      </c>
      <c r="BA58" s="33" t="n">
        <f aca="false">AZ58+IF(Source_Data!BA$6=Inputs!$B$12,Inputs!$B$7,0)+BA53-BA56</f>
        <v>390.5902364375</v>
      </c>
      <c r="BB58" s="33" t="n">
        <f aca="false">BA58+IF(Source_Data!BB$6=Inputs!$B$12,Inputs!$B$7,0)+BB53-BB56</f>
        <v>390.5902364375</v>
      </c>
      <c r="BC58" s="33" t="n">
        <f aca="false">BB58+IF(Source_Data!BC$6=Inputs!$B$12,Inputs!$B$7,0)+BC53-BC56</f>
        <v>390.5902364375</v>
      </c>
      <c r="BD58" s="33" t="n">
        <f aca="false">BC58+IF(Source_Data!BD$6=Inputs!$B$12,Inputs!$B$7,0)+BD53-BD56</f>
        <v>390.5902364375</v>
      </c>
      <c r="BE58" s="33" t="n">
        <f aca="false">BD58+IF(Source_Data!BE$6=Inputs!$B$12,Inputs!$B$7,0)+BE53-BE56</f>
        <v>390.5902364375</v>
      </c>
      <c r="BF58" s="33" t="n">
        <f aca="false">BE58+IF(Source_Data!BF$6=Inputs!$B$12,Inputs!$B$7,0)+BF53-BF56</f>
        <v>390.5902364375</v>
      </c>
      <c r="BG58" s="33" t="n">
        <f aca="false">BF58+IF(Source_Data!BG$6=Inputs!$B$12,Inputs!$B$7,0)+BG53-BG56</f>
        <v>390.5902364375</v>
      </c>
      <c r="BH58" s="33" t="n">
        <f aca="false">BG58+IF(Source_Data!BH$6=Inputs!$B$12,Inputs!$B$7,0)+BH53-BH56</f>
        <v>390.5902364375</v>
      </c>
      <c r="BI58" s="33" t="n">
        <f aca="false">BH58+IF(Source_Data!BI$6=Inputs!$B$12,Inputs!$B$7,0)+BI53-BI56</f>
        <v>390.5902364375</v>
      </c>
      <c r="BJ58" s="33" t="n">
        <f aca="false">BI58+IF(Source_Data!BJ$6=Inputs!$B$12,Inputs!$B$7,0)+BJ53-BJ56</f>
        <v>390.5902364375</v>
      </c>
      <c r="BK58" s="33" t="n">
        <f aca="false">BJ58+IF(Source_Data!BK$6=Inputs!$B$12,Inputs!$B$7,0)+BK53-BK56</f>
        <v>390.5902364375</v>
      </c>
    </row>
    <row r="59" customFormat="false" ht="15" hidden="false" customHeight="false" outlineLevel="0" collapsed="false">
      <c r="A59" s="3" t="s">
        <v>344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str">
        <f aca="false">IF(M56&gt;0,M53/M56,"")</f>
        <v/>
      </c>
      <c r="N59" s="31" t="str">
        <f aca="false">IF(N56&gt;0,N53/N56,"")</f>
        <v/>
      </c>
      <c r="O59" s="31" t="str">
        <f aca="false">IF(O56&gt;0,O53/O56,"")</f>
        <v/>
      </c>
      <c r="P59" s="31" t="n">
        <f aca="false">IF(P56&gt;0,P53/P56,"")</f>
        <v>3.57561230869565</v>
      </c>
      <c r="Q59" s="31" t="n">
        <f aca="false">IF(Q56&gt;0,Q53/Q56,"")</f>
        <v>4.53180357391304</v>
      </c>
      <c r="R59" s="31" t="n">
        <f aca="false">IF(R56&gt;0,R53/R56,"")</f>
        <v>43.1730163565217</v>
      </c>
      <c r="S59" s="31" t="n">
        <f aca="false">IF(S56&gt;0,S53/S56,"")</f>
        <v>-4.85883555652174</v>
      </c>
      <c r="T59" s="31" t="n">
        <f aca="false">IF(T56&gt;0,T53/T56,"")</f>
        <v>-14.5742978869565</v>
      </c>
      <c r="U59" s="31" t="n">
        <f aca="false">IF(U56&gt;0,U53/U56,"")</f>
        <v>-11.1186777130435</v>
      </c>
      <c r="V59" s="31" t="n">
        <f aca="false">IF(V56&gt;0,V53/V56,"")</f>
        <v>2.98643360869565</v>
      </c>
      <c r="W59" s="31" t="n">
        <f aca="false">IF(W56&gt;0,W53/W56,"")</f>
        <v>2.81630402608695</v>
      </c>
      <c r="X59" s="31" t="n">
        <f aca="false">IF(X56&gt;0,X53/X56,"")</f>
        <v>4.90972337608696</v>
      </c>
      <c r="Y59" s="31" t="n">
        <f aca="false">IF(Y56&gt;0,Y53/Y56,"")</f>
        <v>4.24049450869565</v>
      </c>
      <c r="Z59" s="31" t="n">
        <f aca="false">IF(Z56&gt;0,Z53/Z56,"")</f>
        <v>3.41260055217391</v>
      </c>
      <c r="AA59" s="31" t="n">
        <f aca="false">IF(AA56&gt;0,AA53/AA56,"")</f>
        <v>2.44608249130435</v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345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str">
        <f aca="false">IF(M56&gt;0,(L58+M53+IF(Source_Data!M$6=Inputs!$B$12,Inputs!$B$7,0))/M56,"")</f>
        <v/>
      </c>
      <c r="N60" s="31" t="str">
        <f aca="false">IF(N56&gt;0,(M58+N53+IF(Source_Data!N$6=Inputs!$B$12,Inputs!$B$7,0))/N56,"")</f>
        <v/>
      </c>
      <c r="O60" s="31" t="str">
        <f aca="false">IF(O56&gt;0,(N58+O53+IF(Source_Data!O$6=Inputs!$B$12,Inputs!$B$7,0))/O56,"")</f>
        <v/>
      </c>
      <c r="P60" s="31" t="n">
        <f aca="false">IF(P56&gt;0,(O58+P53+IF(Source_Data!P$6=Inputs!$B$12,Inputs!$B$7,0))/P56,"")</f>
        <v>-4.2139897173913</v>
      </c>
      <c r="Q60" s="31" t="n">
        <f aca="false">IF(Q56&gt;0,(P58+Q53+IF(Source_Data!Q$6=Inputs!$B$12,Inputs!$B$7,0))/Q56,"")</f>
        <v>-0.682186143478258</v>
      </c>
      <c r="R60" s="31" t="n">
        <f aca="false">IF(R56&gt;0,(Q58+R53+IF(Source_Data!R$6=Inputs!$B$12,Inputs!$B$7,0))/R56,"")</f>
        <v>41.4908302130435</v>
      </c>
      <c r="S60" s="31" t="n">
        <f aca="false">IF(S56&gt;0,(R58+S53+IF(Source_Data!S$6=Inputs!$B$12,Inputs!$B$7,0))/S56,"")</f>
        <v>35.6319946565217</v>
      </c>
      <c r="T60" s="31" t="n">
        <f aca="false">IF(T56&gt;0,(S58+T53+IF(Source_Data!T$6=Inputs!$B$12,Inputs!$B$7,0))/T56,"")</f>
        <v>20.0576967695652</v>
      </c>
      <c r="U60" s="31" t="n">
        <f aca="false">IF(U56&gt;0,(T58+U53+IF(Source_Data!U$6=Inputs!$B$12,Inputs!$B$7,0))/U56,"")</f>
        <v>7.93901905652172</v>
      </c>
      <c r="V60" s="31" t="n">
        <f aca="false">IF(V56&gt;0,(U58+V53+IF(Source_Data!V$6=Inputs!$B$12,Inputs!$B$7,0))/V56,"")</f>
        <v>9.92545266521737</v>
      </c>
      <c r="W60" s="31" t="n">
        <f aca="false">IF(W56&gt;0,(V58+W53+IF(Source_Data!W$6=Inputs!$B$12,Inputs!$B$7,0))/W56,"")</f>
        <v>11.7417566913043</v>
      </c>
      <c r="X60" s="31" t="n">
        <f aca="false">IF(X56&gt;0,(W58+X53+IF(Source_Data!X$6=Inputs!$B$12,Inputs!$B$7,0))/X56,"")</f>
        <v>15.6514800673913</v>
      </c>
      <c r="Y60" s="31" t="n">
        <f aca="false">IF(Y56&gt;0,(X58+Y53+IF(Source_Data!Y$6=Inputs!$B$12,Inputs!$B$7,0))/Y56,"")</f>
        <v>18.8919745760869</v>
      </c>
      <c r="Z60" s="31" t="n">
        <f aca="false">IF(Z56&gt;0,(Y58+Z53+IF(Source_Data!Z$6=Inputs!$B$12,Inputs!$B$7,0))/Z56,"")</f>
        <v>21.3045751282608</v>
      </c>
      <c r="AA60" s="31" t="n">
        <f aca="false">IF(AA56&gt;0,(Z58+AA53+IF(Source_Data!AA$6=Inputs!$B$12,Inputs!$B$7,0))/AA56,"")</f>
        <v>22.7506576195652</v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220</v>
      </c>
      <c r="B62" s="41" t="n">
        <f aca="false">SUM(D53:BK53)</f>
        <v>455.5902364375</v>
      </c>
    </row>
    <row r="63" customFormat="false" ht="15" hidden="false" customHeight="false" outlineLevel="0" collapsed="false">
      <c r="A63" s="2" t="s">
        <v>346</v>
      </c>
      <c r="B63" s="41" t="n">
        <f aca="false">SUMPRODUCT(D53:BK53,Project_CF!$D$15:$BK$15)</f>
        <v>203.516586096251</v>
      </c>
    </row>
    <row r="64" customFormat="false" ht="15" hidden="false" customHeight="false" outlineLevel="0" collapsed="false">
      <c r="A64" s="2" t="s">
        <v>162</v>
      </c>
      <c r="B64" s="41" t="n">
        <f aca="false">MIN(D54:BK54)</f>
        <v>-137.85575275</v>
      </c>
    </row>
    <row r="65" customFormat="false" ht="15" hidden="false" customHeight="false" outlineLevel="0" collapsed="false">
      <c r="A65" s="2" t="s">
        <v>347</v>
      </c>
      <c r="B65" s="35" t="n">
        <f aca="false">INDEX(Project_CF!$D$6:$BK$6,MATCH(MIN(D54:BK54),D54:BK54,0))</f>
        <v>33</v>
      </c>
    </row>
    <row r="66" customFormat="false" ht="15" hidden="false" customHeight="false" outlineLevel="0" collapsed="false">
      <c r="A66" s="2" t="s">
        <v>348</v>
      </c>
      <c r="B66" s="39" t="n">
        <f aca="false">(1+IRR(D55:BK55,0.05))^4-1</f>
        <v>0.259729938867581</v>
      </c>
    </row>
    <row r="67" customFormat="false" ht="15" hidden="false" customHeight="false" outlineLevel="0" collapsed="false">
      <c r="A67" s="2" t="s">
        <v>349</v>
      </c>
      <c r="B67" s="40" t="n">
        <f aca="false">SUMIF(D55:BK55,"&gt;0")/-SUMIF(D55:BK55,"&lt;0")</f>
        <v>2.58666666666667</v>
      </c>
    </row>
    <row r="68" customFormat="false" ht="15" hidden="false" customHeight="false" outlineLevel="0" collapsed="false">
      <c r="A68" s="2" t="s">
        <v>350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351</v>
      </c>
      <c r="B69" s="41" t="n">
        <f aca="false">MIN(D58:BK58)</f>
        <v>-87.85575275</v>
      </c>
    </row>
    <row r="70" customFormat="false" ht="15" hidden="false" customHeight="false" outlineLevel="0" collapsed="false">
      <c r="A70" s="2" t="s">
        <v>352</v>
      </c>
      <c r="B70" s="43" t="n">
        <f aca="false">MIN(D59:BK59)</f>
        <v>-14.5742978869565</v>
      </c>
    </row>
    <row r="71" customFormat="false" ht="15" hidden="false" customHeight="false" outlineLevel="0" collapsed="false">
      <c r="A71" s="2" t="s">
        <v>353</v>
      </c>
      <c r="B71" s="35" t="n">
        <f aca="false">COUNTIF(D59:BK59,"&lt;"&amp;Inputs!$B$43)</f>
        <v>3</v>
      </c>
    </row>
    <row r="72" customFormat="false" ht="15" hidden="false" customHeight="false" outlineLevel="0" collapsed="false">
      <c r="A72" s="2" t="s">
        <v>354</v>
      </c>
      <c r="B72" s="43" t="n">
        <f aca="false">MIN(D60:BK60)</f>
        <v>-4.2139897173913</v>
      </c>
    </row>
    <row r="73" customFormat="false" ht="15" hidden="false" customHeight="false" outlineLevel="0" collapsed="false">
      <c r="A73" s="2" t="s">
        <v>355</v>
      </c>
      <c r="B73" s="35" t="n">
        <f aca="false">COUNTIF(D60:BK60,"&lt;"&amp;Inputs!$B$43)</f>
        <v>2</v>
      </c>
    </row>
    <row r="76" customFormat="false" ht="15" hidden="false" customHeight="false" outlineLevel="0" collapsed="false">
      <c r="A76" s="8" t="s">
        <v>360</v>
      </c>
    </row>
    <row r="77" customFormat="false" ht="15" hidden="false" customHeight="false" outlineLevel="0" collapsed="false">
      <c r="A77" s="3" t="s">
        <v>331</v>
      </c>
      <c r="B77" s="45" t="n">
        <v>1.1</v>
      </c>
    </row>
    <row r="78" customFormat="false" ht="15" hidden="false" customHeight="false" outlineLevel="0" collapsed="false">
      <c r="A78" s="3" t="s">
        <v>332</v>
      </c>
      <c r="B78" s="45" t="n">
        <v>0</v>
      </c>
    </row>
    <row r="79" customFormat="false" ht="15" hidden="false" customHeight="false" outlineLevel="0" collapsed="false">
      <c r="A79" s="3" t="s">
        <v>333</v>
      </c>
      <c r="B79" s="45" t="n">
        <v>1</v>
      </c>
    </row>
    <row r="80" customFormat="false" ht="15" hidden="false" customHeight="false" outlineLevel="0" collapsed="false">
      <c r="A80" s="3" t="s">
        <v>334</v>
      </c>
      <c r="B80" s="45" t="n">
        <v>0</v>
      </c>
    </row>
    <row r="81" customFormat="false" ht="15" hidden="false" customHeight="false" outlineLevel="0" collapsed="false">
      <c r="A81" s="3" t="s">
        <v>335</v>
      </c>
      <c r="B81" s="45" t="n">
        <v>0</v>
      </c>
    </row>
    <row r="82" customFormat="false" ht="15" hidden="false" customHeight="false" outlineLevel="0" collapsed="false">
      <c r="A82" s="3" t="s">
        <v>336</v>
      </c>
      <c r="B82" s="3" t="n">
        <f aca="false">Inputs!$B$13+3+3*$B$78</f>
        <v>57</v>
      </c>
    </row>
    <row r="83" customFormat="false" ht="15" hidden="false" customHeight="false" outlineLevel="0" collapsed="false">
      <c r="A83" s="3" t="s">
        <v>337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0</v>
      </c>
      <c r="G83" s="33" t="n">
        <f aca="false">Source_Data!G$7+IF($B$81=1,IF(Source_Data!G$6=Inputs!$B$13,Source_Data!$C$8,0),Source_Data!G$8)</f>
        <v>0</v>
      </c>
      <c r="H83" s="33" t="n">
        <f aca="false">Source_Data!H$7+IF($B$81=1,IF(Source_Data!H$6=Inputs!$B$13,Source_Data!$C$8,0),Source_Data!H$8)</f>
        <v>18.11565</v>
      </c>
      <c r="I83" s="33" t="n">
        <f aca="false">Source_Data!I$7+IF($B$81=1,IF(Source_Data!I$6=Inputs!$B$13,Source_Data!$C$8,0),Source_Data!I$8)</f>
        <v>36.2313</v>
      </c>
      <c r="J83" s="33" t="n">
        <f aca="false">Source_Data!J$7+IF($B$81=1,IF(Source_Data!J$6=Inputs!$B$13,Source_Data!$C$8,0),Source_Data!J$8)</f>
        <v>58.260825</v>
      </c>
      <c r="K83" s="33" t="n">
        <f aca="false">Source_Data!K$7+IF($B$81=1,IF(Source_Data!K$6=Inputs!$B$13,Source_Data!$C$8,0),Source_Data!K$8)</f>
        <v>69.01839</v>
      </c>
      <c r="L83" s="33" t="n">
        <f aca="false">Source_Data!L$7+IF($B$81=1,IF(Source_Data!L$6=Inputs!$B$13,Source_Data!$C$8,0),Source_Data!L$8)</f>
        <v>67.087545</v>
      </c>
      <c r="M83" s="33" t="n">
        <f aca="false">Source_Data!M$7+IF($B$81=1,IF(Source_Data!M$6=Inputs!$B$13,Source_Data!$C$8,0),Source_Data!M$8)</f>
        <v>72.9732675</v>
      </c>
      <c r="N83" s="33" t="n">
        <f aca="false">Source_Data!N$7+IF($B$81=1,IF(Source_Data!N$6=Inputs!$B$13,Source_Data!$C$8,0),Source_Data!N$8)</f>
        <v>88.871055</v>
      </c>
      <c r="O83" s="33" t="n">
        <f aca="false">Source_Data!O$7+IF($B$81=1,IF(Source_Data!O$6=Inputs!$B$13,Source_Data!$C$8,0),Source_Data!O$8)</f>
        <v>105.60753</v>
      </c>
      <c r="P83" s="33" t="n">
        <f aca="false">Source_Data!P$7+IF($B$81=1,IF(Source_Data!P$6=Inputs!$B$13,Source_Data!$C$8,0),Source_Data!P$8)</f>
        <v>115.25243625</v>
      </c>
      <c r="Q83" s="33" t="n">
        <f aca="false">Source_Data!Q$7+IF($B$81=1,IF(Source_Data!Q$6=Inputs!$B$13,Source_Data!$C$8,0),Source_Data!Q$8)</f>
        <v>124.8973425</v>
      </c>
      <c r="R83" s="33" t="n">
        <f aca="false">Source_Data!R$7+IF($B$81=1,IF(Source_Data!R$6=Inputs!$B$13,Source_Data!$C$8,0),Source_Data!R$8)</f>
        <v>683.0904675</v>
      </c>
      <c r="S83" s="33" t="n">
        <f aca="false">Source_Data!S$7+IF($B$81=1,IF(Source_Data!S$6=Inputs!$B$13,Source_Data!$C$8,0),Source_Data!S$8)</f>
        <v>171.6401925</v>
      </c>
      <c r="T83" s="33" t="n">
        <f aca="false">Source_Data!T$7+IF($B$81=1,IF(Source_Data!T$6=Inputs!$B$13,Source_Data!$C$8,0),Source_Data!T$8)</f>
        <v>112.5965925</v>
      </c>
      <c r="U83" s="33" t="n">
        <f aca="false">Source_Data!U$7+IF($B$81=1,IF(Source_Data!U$6=Inputs!$B$13,Source_Data!$C$8,0),Source_Data!U$8)</f>
        <v>89.3369925</v>
      </c>
      <c r="V83" s="33" t="n">
        <f aca="false">Source_Data!V$7+IF($B$81=1,IF(Source_Data!V$6=Inputs!$B$13,Source_Data!$C$8,0),Source_Data!V$8)</f>
        <v>87.5254275</v>
      </c>
      <c r="W83" s="33" t="n">
        <f aca="false">Source_Data!W$7+IF($B$81=1,IF(Source_Data!W$6=Inputs!$B$13,Source_Data!$C$8,0),Source_Data!W$8)</f>
        <v>85.7138625</v>
      </c>
      <c r="X83" s="33" t="n">
        <f aca="false">Source_Data!X$7+IF($B$81=1,IF(Source_Data!X$6=Inputs!$B$13,Source_Data!$C$8,0),Source_Data!X$8)</f>
        <v>77.279461875</v>
      </c>
      <c r="Y83" s="33" t="n">
        <f aca="false">Source_Data!Y$7+IF($B$81=1,IF(Source_Data!Y$6=Inputs!$B$13,Source_Data!$C$8,0),Source_Data!Y$8)</f>
        <v>70.15341375</v>
      </c>
      <c r="Z83" s="33" t="n">
        <f aca="false">Source_Data!Z$7+IF($B$81=1,IF(Source_Data!Z$6=Inputs!$B$13,Source_Data!$C$8,0),Source_Data!Z$8)</f>
        <v>61.33787625</v>
      </c>
      <c r="AA83" s="33" t="n">
        <f aca="false">Source_Data!AA$7+IF($B$81=1,IF(Source_Data!AA$6=Inputs!$B$13,Source_Data!$C$8,0),Source_Data!AA$8)</f>
        <v>51.04624875</v>
      </c>
      <c r="AB83" s="33" t="n">
        <f aca="false">Source_Data!AB$7+IF($B$81=1,IF(Source_Data!AB$6=Inputs!$B$13,Source_Data!$C$8,0),Source_Data!AB$8)</f>
        <v>51.04624875</v>
      </c>
      <c r="AC83" s="33" t="n">
        <f aca="false">Source_Data!AC$7+IF($B$81=1,IF(Source_Data!AC$6=Inputs!$B$13,Source_Data!$C$8,0),Source_Data!AC$8)</f>
        <v>51.04624875</v>
      </c>
      <c r="AD83" s="33" t="n">
        <f aca="false">Source_Data!AD$7+IF($B$81=1,IF(Source_Data!AD$6=Inputs!$B$13,Source_Data!$C$8,0),Source_Data!AD$8)</f>
        <v>51.04624875</v>
      </c>
      <c r="AE83" s="33" t="n">
        <f aca="false">Source_Data!AE$7+IF($B$81=1,IF(Source_Data!AE$6=Inputs!$B$13,Source_Data!$C$8,0),Source_Data!AE$8)</f>
        <v>51.04624875</v>
      </c>
      <c r="AF83" s="33" t="n">
        <f aca="false">Source_Data!AF$7+IF($B$81=1,IF(Source_Data!AF$6=Inputs!$B$13,Source_Data!$C$8,0),Source_Data!AF$8)</f>
        <v>43.931383125</v>
      </c>
      <c r="AG83" s="33" t="n">
        <f aca="false">Source_Data!AG$7+IF($B$81=1,IF(Source_Data!AG$6=Inputs!$B$13,Source_Data!$C$8,0),Source_Data!AG$8)</f>
        <v>36.8165175</v>
      </c>
      <c r="AH83" s="33" t="n">
        <f aca="false">Source_Data!AH$7+IF($B$81=1,IF(Source_Data!AH$6=Inputs!$B$13,Source_Data!$C$8,0),Source_Data!AH$8)</f>
        <v>32.958555</v>
      </c>
      <c r="AI83" s="33" t="n">
        <f aca="false">Source_Data!AI$7+IF($B$81=1,IF(Source_Data!AI$6=Inputs!$B$13,Source_Data!$C$8,0),Source_Data!AI$8)</f>
        <v>29.1005925</v>
      </c>
      <c r="AJ83" s="33" t="n">
        <f aca="false">Source_Data!AJ$7+IF($B$81=1,IF(Source_Data!AJ$6=Inputs!$B$13,Source_Data!$C$8,0),Source_Data!AJ$8)</f>
        <v>22.8831225</v>
      </c>
      <c r="AK83" s="33" t="n">
        <f aca="false">Source_Data!AK$7+IF($B$81=1,IF(Source_Data!AK$6=Inputs!$B$13,Source_Data!$C$8,0),Source_Data!AK$8)</f>
        <v>19.2823575</v>
      </c>
      <c r="AL83" s="33" t="n">
        <f aca="false">Source_Data!AL$7+IF($B$81=1,IF(Source_Data!AL$6=Inputs!$B$13,Source_Data!$C$8,0),Source_Data!AL$8)</f>
        <v>16.80357</v>
      </c>
      <c r="AM83" s="33" t="n">
        <f aca="false">Source_Data!AM$7+IF($B$81=1,IF(Source_Data!AM$6=Inputs!$B$13,Source_Data!$C$8,0),Source_Data!AM$8)</f>
        <v>7.24626</v>
      </c>
      <c r="AN83" s="33" t="n">
        <f aca="false">Source_Data!AN$7+IF($B$81=1,IF(Source_Data!AN$6=Inputs!$B$13,Source_Data!$C$8,0),Source_Data!AN$8)</f>
        <v>7.24626</v>
      </c>
      <c r="AO83" s="33" t="n">
        <f aca="false">Source_Data!AO$7+IF($B$81=1,IF(Source_Data!AO$6=Inputs!$B$13,Source_Data!$C$8,0),Source_Data!AO$8)</f>
        <v>7.24626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338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0</v>
      </c>
      <c r="G84" s="33" t="n">
        <f aca="false">$B$77*IF(Source_Data!G$5-($B$78+$B$80)&gt;=1,INDEX($D$83:$BK$83,1,Source_Data!G$5-($B$78+$B$80)),0)</f>
        <v>0</v>
      </c>
      <c r="H84" s="33" t="n">
        <f aca="false">$B$77*IF(Source_Data!H$5-($B$78+$B$80)&gt;=1,INDEX($D$83:$BK$83,1,Source_Data!H$5-($B$78+$B$80)),0)</f>
        <v>19.927215</v>
      </c>
      <c r="I84" s="33" t="n">
        <f aca="false">$B$77*IF(Source_Data!I$5-($B$78+$B$80)&gt;=1,INDEX($D$83:$BK$83,1,Source_Data!I$5-($B$78+$B$80)),0)</f>
        <v>39.85443</v>
      </c>
      <c r="J84" s="33" t="n">
        <f aca="false">$B$77*IF(Source_Data!J$5-($B$78+$B$80)&gt;=1,INDEX($D$83:$BK$83,1,Source_Data!J$5-($B$78+$B$80)),0)</f>
        <v>64.0869075</v>
      </c>
      <c r="K84" s="33" t="n">
        <f aca="false">$B$77*IF(Source_Data!K$5-($B$78+$B$80)&gt;=1,INDEX($D$83:$BK$83,1,Source_Data!K$5-($B$78+$B$80)),0)</f>
        <v>75.920229</v>
      </c>
      <c r="L84" s="33" t="n">
        <f aca="false">$B$77*IF(Source_Data!L$5-($B$78+$B$80)&gt;=1,INDEX($D$83:$BK$83,1,Source_Data!L$5-($B$78+$B$80)),0)</f>
        <v>73.7962995</v>
      </c>
      <c r="M84" s="33" t="n">
        <f aca="false">$B$77*IF(Source_Data!M$5-($B$78+$B$80)&gt;=1,INDEX($D$83:$BK$83,1,Source_Data!M$5-($B$78+$B$80)),0)</f>
        <v>80.27059425</v>
      </c>
      <c r="N84" s="33" t="n">
        <f aca="false">$B$77*IF(Source_Data!N$5-($B$78+$B$80)&gt;=1,INDEX($D$83:$BK$83,1,Source_Data!N$5-($B$78+$B$80)),0)</f>
        <v>97.7581605</v>
      </c>
      <c r="O84" s="33" t="n">
        <f aca="false">$B$77*IF(Source_Data!O$5-($B$78+$B$80)&gt;=1,INDEX($D$83:$BK$83,1,Source_Data!O$5-($B$78+$B$80)),0)</f>
        <v>116.168283</v>
      </c>
      <c r="P84" s="33" t="n">
        <f aca="false">$B$77*IF(Source_Data!P$5-($B$78+$B$80)&gt;=1,INDEX($D$83:$BK$83,1,Source_Data!P$5-($B$78+$B$80)),0)</f>
        <v>126.777679875</v>
      </c>
      <c r="Q84" s="33" t="n">
        <f aca="false">$B$77*IF(Source_Data!Q$5-($B$78+$B$80)&gt;=1,INDEX($D$83:$BK$83,1,Source_Data!Q$5-($B$78+$B$80)),0)</f>
        <v>137.38707675</v>
      </c>
      <c r="R84" s="33" t="n">
        <f aca="false">$B$77*IF(Source_Data!R$5-($B$78+$B$80)&gt;=1,INDEX($D$83:$BK$83,1,Source_Data!R$5-($B$78+$B$80)),0)</f>
        <v>751.39951425</v>
      </c>
      <c r="S84" s="33" t="n">
        <f aca="false">$B$77*IF(Source_Data!S$5-($B$78+$B$80)&gt;=1,INDEX($D$83:$BK$83,1,Source_Data!S$5-($B$78+$B$80)),0)</f>
        <v>188.80421175</v>
      </c>
      <c r="T84" s="33" t="n">
        <f aca="false">$B$77*IF(Source_Data!T$5-($B$78+$B$80)&gt;=1,INDEX($D$83:$BK$83,1,Source_Data!T$5-($B$78+$B$80)),0)</f>
        <v>123.85625175</v>
      </c>
      <c r="U84" s="33" t="n">
        <f aca="false">$B$77*IF(Source_Data!U$5-($B$78+$B$80)&gt;=1,INDEX($D$83:$BK$83,1,Source_Data!U$5-($B$78+$B$80)),0)</f>
        <v>98.27069175</v>
      </c>
      <c r="V84" s="33" t="n">
        <f aca="false">$B$77*IF(Source_Data!V$5-($B$78+$B$80)&gt;=1,INDEX($D$83:$BK$83,1,Source_Data!V$5-($B$78+$B$80)),0)</f>
        <v>96.27797025</v>
      </c>
      <c r="W84" s="33" t="n">
        <f aca="false">$B$77*IF(Source_Data!W$5-($B$78+$B$80)&gt;=1,INDEX($D$83:$BK$83,1,Source_Data!W$5-($B$78+$B$80)),0)</f>
        <v>94.28524875</v>
      </c>
      <c r="X84" s="33" t="n">
        <f aca="false">$B$77*IF(Source_Data!X$5-($B$78+$B$80)&gt;=1,INDEX($D$83:$BK$83,1,Source_Data!X$5-($B$78+$B$80)),0)</f>
        <v>85.0074080625</v>
      </c>
      <c r="Y84" s="33" t="n">
        <f aca="false">$B$77*IF(Source_Data!Y$5-($B$78+$B$80)&gt;=1,INDEX($D$83:$BK$83,1,Source_Data!Y$5-($B$78+$B$80)),0)</f>
        <v>77.168755125</v>
      </c>
      <c r="Z84" s="33" t="n">
        <f aca="false">$B$77*IF(Source_Data!Z$5-($B$78+$B$80)&gt;=1,INDEX($D$83:$BK$83,1,Source_Data!Z$5-($B$78+$B$80)),0)</f>
        <v>67.471663875</v>
      </c>
      <c r="AA84" s="33" t="n">
        <f aca="false">$B$77*IF(Source_Data!AA$5-($B$78+$B$80)&gt;=1,INDEX($D$83:$BK$83,1,Source_Data!AA$5-($B$78+$B$80)),0)</f>
        <v>56.150873625</v>
      </c>
      <c r="AB84" s="33" t="n">
        <f aca="false">$B$77*IF(Source_Data!AB$5-($B$78+$B$80)&gt;=1,INDEX($D$83:$BK$83,1,Source_Data!AB$5-($B$78+$B$80)),0)</f>
        <v>56.150873625</v>
      </c>
      <c r="AC84" s="33" t="n">
        <f aca="false">$B$77*IF(Source_Data!AC$5-($B$78+$B$80)&gt;=1,INDEX($D$83:$BK$83,1,Source_Data!AC$5-($B$78+$B$80)),0)</f>
        <v>56.150873625</v>
      </c>
      <c r="AD84" s="33" t="n">
        <f aca="false">$B$77*IF(Source_Data!AD$5-($B$78+$B$80)&gt;=1,INDEX($D$83:$BK$83,1,Source_Data!AD$5-($B$78+$B$80)),0)</f>
        <v>56.150873625</v>
      </c>
      <c r="AE84" s="33" t="n">
        <f aca="false">$B$77*IF(Source_Data!AE$5-($B$78+$B$80)&gt;=1,INDEX($D$83:$BK$83,1,Source_Data!AE$5-($B$78+$B$80)),0)</f>
        <v>56.150873625</v>
      </c>
      <c r="AF84" s="33" t="n">
        <f aca="false">$B$77*IF(Source_Data!AF$5-($B$78+$B$80)&gt;=1,INDEX($D$83:$BK$83,1,Source_Data!AF$5-($B$78+$B$80)),0)</f>
        <v>48.3245214375</v>
      </c>
      <c r="AG84" s="33" t="n">
        <f aca="false">$B$77*IF(Source_Data!AG$5-($B$78+$B$80)&gt;=1,INDEX($D$83:$BK$83,1,Source_Data!AG$5-($B$78+$B$80)),0)</f>
        <v>40.49816925</v>
      </c>
      <c r="AH84" s="33" t="n">
        <f aca="false">$B$77*IF(Source_Data!AH$5-($B$78+$B$80)&gt;=1,INDEX($D$83:$BK$83,1,Source_Data!AH$5-($B$78+$B$80)),0)</f>
        <v>36.2544105</v>
      </c>
      <c r="AI84" s="33" t="n">
        <f aca="false">$B$77*IF(Source_Data!AI$5-($B$78+$B$80)&gt;=1,INDEX($D$83:$BK$83,1,Source_Data!AI$5-($B$78+$B$80)),0)</f>
        <v>32.01065175</v>
      </c>
      <c r="AJ84" s="33" t="n">
        <f aca="false">$B$77*IF(Source_Data!AJ$5-($B$78+$B$80)&gt;=1,INDEX($D$83:$BK$83,1,Source_Data!AJ$5-($B$78+$B$80)),0)</f>
        <v>25.17143475</v>
      </c>
      <c r="AK84" s="33" t="n">
        <f aca="false">$B$77*IF(Source_Data!AK$5-($B$78+$B$80)&gt;=1,INDEX($D$83:$BK$83,1,Source_Data!AK$5-($B$78+$B$80)),0)</f>
        <v>21.21059325</v>
      </c>
      <c r="AL84" s="33" t="n">
        <f aca="false">$B$77*IF(Source_Data!AL$5-($B$78+$B$80)&gt;=1,INDEX($D$83:$BK$83,1,Source_Data!AL$5-($B$78+$B$80)),0)</f>
        <v>18.483927</v>
      </c>
      <c r="AM84" s="33" t="n">
        <f aca="false">$B$77*IF(Source_Data!AM$5-($B$78+$B$80)&gt;=1,INDEX($D$83:$BK$83,1,Source_Data!AM$5-($B$78+$B$80)),0)</f>
        <v>7.970886</v>
      </c>
      <c r="AN84" s="33" t="n">
        <f aca="false">$B$77*IF(Source_Data!AN$5-($B$78+$B$80)&gt;=1,INDEX($D$83:$BK$83,1,Source_Data!AN$5-($B$78+$B$80)),0)</f>
        <v>7.970886</v>
      </c>
      <c r="AO84" s="33" t="n">
        <f aca="false">$B$77*IF(Source_Data!AO$5-($B$78+$B$80)&gt;=1,INDEX($D$83:$BK$83,1,Source_Data!AO$5-($B$78+$B$80)),0)</f>
        <v>7.970886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339</v>
      </c>
      <c r="D85" s="33" t="n">
        <f aca="false">Source_Data!D$9+Source_Data!D$10*IF(Source_Data!$C$10=0,0,MAX(0,Inputs!$B$19*Inputs!$B$22*$B$77-Inputs!$B$20)/Source_Data!$C$10)</f>
        <v>0</v>
      </c>
      <c r="E85" s="33" t="n">
        <f aca="false">Source_Data!E$9+Source_Data!E$10*IF(Source_Data!$C$10=0,0,MAX(0,Inputs!$B$19*Inputs!$B$22*$B$77-Inputs!$B$20)/Source_Data!$C$10)</f>
        <v>0</v>
      </c>
      <c r="F85" s="33" t="n">
        <f aca="false">Source_Data!F$9+Source_Data!F$10*IF(Source_Data!$C$10=0,0,MAX(0,Inputs!$B$19*Inputs!$B$22*$B$77-Inputs!$B$20)/Source_Data!$C$10)</f>
        <v>0</v>
      </c>
      <c r="G85" s="33" t="n">
        <f aca="false">Source_Data!G$9+Source_Data!G$10*IF(Source_Data!$C$10=0,0,MAX(0,Inputs!$B$19*Inputs!$B$22*$B$77-Inputs!$B$20)/Source_Data!$C$10)</f>
        <v>85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45</v>
      </c>
      <c r="M85" s="33" t="n">
        <f aca="false">Source_Data!M$9+Source_Data!M$10*IF(Source_Data!$C$10=0,0,MAX(0,Inputs!$B$19*Inputs!$B$22*$B$77-Inputs!$B$20)/Source_Data!$C$10)</f>
        <v>45</v>
      </c>
      <c r="N85" s="33" t="n">
        <f aca="false">Source_Data!N$9+Source_Data!N$10*IF(Source_Data!$C$10=0,0,MAX(0,Inputs!$B$19*Inputs!$B$22*$B$77-Inputs!$B$20)/Source_Data!$C$10)</f>
        <v>45</v>
      </c>
      <c r="O85" s="33" t="n">
        <f aca="false">Source_Data!O$9+Source_Data!O$10*IF(Source_Data!$C$10=0,0,MAX(0,Inputs!$B$19*Inputs!$B$22*$B$77-Inputs!$B$20)/Source_Data!$C$10)</f>
        <v>45</v>
      </c>
      <c r="P85" s="33" t="n">
        <f aca="false">Source_Data!P$9+Source_Data!P$10*IF(Source_Data!$C$10=0,0,MAX(0,Inputs!$B$19*Inputs!$B$22*$B$77-Inputs!$B$20)/Source_Data!$C$10)</f>
        <v>56.25</v>
      </c>
      <c r="Q85" s="33" t="n">
        <f aca="false">Source_Data!Q$9+Source_Data!Q$10*IF(Source_Data!$C$10=0,0,MAX(0,Inputs!$B$19*Inputs!$B$22*$B$77-Inputs!$B$20)/Source_Data!$C$10)</f>
        <v>56.25</v>
      </c>
      <c r="R85" s="33" t="n">
        <f aca="false">Source_Data!R$9+Source_Data!R$10*IF(Source_Data!$C$10=0,0,MAX(0,Inputs!$B$19*Inputs!$B$22*$B$77-Inputs!$B$20)/Source_Data!$C$10)</f>
        <v>56.25</v>
      </c>
      <c r="S85" s="33" t="n">
        <f aca="false">Source_Data!S$9+Source_Data!S$10*IF(Source_Data!$C$10=0,0,MAX(0,Inputs!$B$19*Inputs!$B$22*$B$77-Inputs!$B$20)/Source_Data!$C$10)</f>
        <v>56.25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329.425502680991</v>
      </c>
      <c r="AG85" s="33" t="n">
        <f aca="false">Source_Data!AG$9+Source_Data!AG$10*IF(Source_Data!$C$10=0,0,MAX(0,Inputs!$B$19*Inputs!$B$22*$B$77-Inputs!$B$20)/Source_Data!$C$10)</f>
        <v>21.9996504907488</v>
      </c>
      <c r="AH85" s="33" t="n">
        <f aca="false">Source_Data!AH$9+Source_Data!AH$10*IF(Source_Data!$C$10=0,0,MAX(0,Inputs!$B$19*Inputs!$B$22*$B$77-Inputs!$B$20)/Source_Data!$C$10)</f>
        <v>19.6943312381493</v>
      </c>
      <c r="AI85" s="33" t="n">
        <f aca="false">Source_Data!AI$9+Source_Data!AI$10*IF(Source_Data!$C$10=0,0,MAX(0,Inputs!$B$19*Inputs!$B$22*$B$77-Inputs!$B$20)/Source_Data!$C$10)</f>
        <v>17.3890119855498</v>
      </c>
      <c r="AJ85" s="33" t="n">
        <f aca="false">Source_Data!AJ$9+Source_Data!AJ$10*IF(Source_Data!$C$10=0,0,MAX(0,Inputs!$B$19*Inputs!$B$22*$B$77-Inputs!$B$20)/Source_Data!$C$10)</f>
        <v>13.6737728422301</v>
      </c>
      <c r="AK85" s="33" t="n">
        <f aca="false">Source_Data!AK$9+Source_Data!AK$10*IF(Source_Data!$C$10=0,0,MAX(0,Inputs!$B$19*Inputs!$B$22*$B$77-Inputs!$B$20)/Source_Data!$C$10)</f>
        <v>11.5221415398039</v>
      </c>
      <c r="AL85" s="33" t="n">
        <f aca="false">Source_Data!AL$9+Source_Data!AL$10*IF(Source_Data!$C$10=0,0,MAX(0,Inputs!$B$19*Inputs!$B$22*$B$77-Inputs!$B$20)/Source_Data!$C$10)</f>
        <v>10.0409460779888</v>
      </c>
      <c r="AM85" s="33" t="n">
        <f aca="false">Source_Data!AM$9+Source_Data!AM$10*IF(Source_Data!$C$10=0,0,MAX(0,Inputs!$B$19*Inputs!$B$22*$B$77-Inputs!$B$20)/Source_Data!$C$10)</f>
        <v>4.32999094401292</v>
      </c>
      <c r="AN85" s="33" t="n">
        <f aca="false">Source_Data!AN$9+Source_Data!AN$10*IF(Source_Data!$C$10=0,0,MAX(0,Inputs!$B$19*Inputs!$B$22*$B$77-Inputs!$B$20)/Source_Data!$C$10)</f>
        <v>4.32999094401292</v>
      </c>
      <c r="AO85" s="33" t="n">
        <f aca="false">Source_Data!AO$9+Source_Data!AO$10*IF(Source_Data!$C$10=0,0,MAX(0,Inputs!$B$19*Inputs!$B$22*$B$77-Inputs!$B$20)/Source_Data!$C$10)</f>
        <v>4.32999094401292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194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0</v>
      </c>
      <c r="I86" s="33" t="n">
        <f aca="false">Source_Data!I$11*$B$79</f>
        <v>0</v>
      </c>
      <c r="J86" s="33" t="n">
        <f aca="false">Source_Data!J$11*$B$79</f>
        <v>20</v>
      </c>
      <c r="K86" s="33" t="n">
        <f aca="false">Source_Data!K$11*$B$79</f>
        <v>26.4</v>
      </c>
      <c r="L86" s="33" t="n">
        <f aca="false">Source_Data!L$11*$B$79</f>
        <v>40</v>
      </c>
      <c r="M86" s="33" t="n">
        <f aca="false">Source_Data!M$11*$B$79</f>
        <v>26.4</v>
      </c>
      <c r="N86" s="33" t="n">
        <f aca="false">Source_Data!N$11*$B$79</f>
        <v>26.4</v>
      </c>
      <c r="O86" s="33" t="n">
        <f aca="false">Source_Data!O$11*$B$79</f>
        <v>26.4</v>
      </c>
      <c r="P86" s="33" t="n">
        <f aca="false">Source_Data!P$11*$B$79</f>
        <v>5.28</v>
      </c>
      <c r="Q86" s="33" t="n">
        <f aca="false">Source_Data!Q$11*$B$79</f>
        <v>5.28</v>
      </c>
      <c r="R86" s="33" t="n">
        <f aca="false">Source_Data!R$11*$B$79</f>
        <v>120</v>
      </c>
      <c r="S86" s="33" t="n">
        <f aca="false">Source_Data!S$11*$B$79</f>
        <v>120</v>
      </c>
      <c r="T86" s="33" t="n">
        <f aca="false">Source_Data!T$11*$B$79</f>
        <v>164</v>
      </c>
      <c r="U86" s="33" t="n">
        <f aca="false">Source_Data!U$11*$B$79</f>
        <v>117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196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0</v>
      </c>
      <c r="K87" s="33" t="n">
        <f aca="false">$B$77*IF(Source_Data!K$5-$B$78&gt;=1,INDEX(Source_Data!$D$12:$BK$12,1,Source_Data!K$5-$B$78),0)</f>
        <v>0</v>
      </c>
      <c r="L87" s="33" t="n">
        <f aca="false">$B$77*IF(Source_Data!L$5-$B$78&gt;=1,INDEX(Source_Data!$D$12:$BK$12,1,Source_Data!L$5-$B$78),0)</f>
        <v>15.941772</v>
      </c>
      <c r="M87" s="33" t="n">
        <f aca="false">$B$77*IF(Source_Data!M$5-$B$78&gt;=1,INDEX(Source_Data!$D$12:$BK$12,1,Source_Data!M$5-$B$78),0)</f>
        <v>15.941772</v>
      </c>
      <c r="N87" s="33" t="n">
        <f aca="false">$B$77*IF(Source_Data!N$5-$B$78&gt;=1,INDEX(Source_Data!$D$12:$BK$12,1,Source_Data!N$5-$B$78),0)</f>
        <v>13.678434</v>
      </c>
      <c r="O87" s="33" t="n">
        <f aca="false">$B$77*IF(Source_Data!O$5-$B$78&gt;=1,INDEX(Source_Data!$D$12:$BK$12,1,Source_Data!O$5-$B$78),0)</f>
        <v>7.921683</v>
      </c>
      <c r="P87" s="33" t="n">
        <f aca="false">$B$77*IF(Source_Data!P$5-$B$78&gt;=1,INDEX(Source_Data!$D$12:$BK$12,1,Source_Data!P$5-$B$78),0)</f>
        <v>8.725332</v>
      </c>
      <c r="Q87" s="33" t="n">
        <f aca="false">$B$77*IF(Source_Data!Q$5-$B$78&gt;=1,INDEX(Source_Data!$D$12:$BK$12,1,Source_Data!Q$5-$B$78),0)</f>
        <v>8.134896</v>
      </c>
      <c r="R87" s="33" t="n">
        <f aca="false">$B$77*IF(Source_Data!R$5-$B$78&gt;=1,INDEX(Source_Data!$D$12:$BK$12,1,Source_Data!R$5-$B$78),0)</f>
        <v>8.298906</v>
      </c>
      <c r="S87" s="33" t="n">
        <f aca="false">$B$77*IF(Source_Data!S$5-$B$78&gt;=1,INDEX(Source_Data!$D$12:$BK$12,1,Source_Data!S$5-$B$78),0)</f>
        <v>8.298906</v>
      </c>
      <c r="T87" s="33" t="n">
        <f aca="false">$B$77*IF(Source_Data!T$5-$B$78&gt;=1,INDEX(Source_Data!$D$12:$BK$12,1,Source_Data!T$5-$B$78),0)</f>
        <v>9.053352</v>
      </c>
      <c r="U87" s="33" t="n">
        <f aca="false">$B$77*IF(Source_Data!U$5-$B$78&gt;=1,INDEX(Source_Data!$D$12:$BK$12,1,Source_Data!U$5-$B$78),0)</f>
        <v>9.053352</v>
      </c>
      <c r="V87" s="33" t="n">
        <f aca="false">$B$77*IF(Source_Data!V$5-$B$78&gt;=1,INDEX(Source_Data!$D$12:$BK$12,1,Source_Data!V$5-$B$78),0)</f>
        <v>6.297984</v>
      </c>
      <c r="W87" s="33" t="n">
        <f aca="false">$B$77*IF(Source_Data!W$5-$B$78&gt;=1,INDEX(Source_Data!$D$12:$BK$12,1,Source_Data!W$5-$B$78),0)</f>
        <v>6.297984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215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0</v>
      </c>
      <c r="I88" s="33" t="n">
        <f aca="false">Source_Data!I$13*$B$79</f>
        <v>0</v>
      </c>
      <c r="J88" s="33" t="n">
        <f aca="false">Source_Data!J$13*$B$79</f>
        <v>3</v>
      </c>
      <c r="K88" s="33" t="n">
        <f aca="false">Source_Data!K$13*$B$79</f>
        <v>3.96</v>
      </c>
      <c r="L88" s="33" t="n">
        <f aca="false">Source_Data!L$13*$B$79</f>
        <v>6</v>
      </c>
      <c r="M88" s="33" t="n">
        <f aca="false">Source_Data!M$13*$B$79</f>
        <v>3.96</v>
      </c>
      <c r="N88" s="33" t="n">
        <f aca="false">Source_Data!N$13*$B$79</f>
        <v>3.96</v>
      </c>
      <c r="O88" s="33" t="n">
        <f aca="false">Source_Data!O$13*$B$79</f>
        <v>3.96</v>
      </c>
      <c r="P88" s="33" t="n">
        <f aca="false">Source_Data!P$13*$B$79</f>
        <v>0.792</v>
      </c>
      <c r="Q88" s="33" t="n">
        <f aca="false">Source_Data!Q$13*$B$79</f>
        <v>0.792</v>
      </c>
      <c r="R88" s="33" t="n">
        <f aca="false">Source_Data!R$13*$B$79</f>
        <v>18</v>
      </c>
      <c r="S88" s="33" t="n">
        <f aca="false">Source_Data!S$13*$B$79</f>
        <v>18</v>
      </c>
      <c r="T88" s="33" t="n">
        <f aca="false">Source_Data!T$13*$B$79</f>
        <v>24.6</v>
      </c>
      <c r="U88" s="33" t="n">
        <f aca="false">Source_Data!U$13*$B$79</f>
        <v>17.55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216</v>
      </c>
      <c r="D89" s="33" t="n">
        <f aca="false">D84-D85-D86-D87-D88</f>
        <v>0</v>
      </c>
      <c r="E89" s="33" t="n">
        <f aca="false">E84-E85-E86-E87-E88</f>
        <v>0</v>
      </c>
      <c r="F89" s="33" t="n">
        <f aca="false">F84-F85-F86-F87-F88</f>
        <v>0</v>
      </c>
      <c r="G89" s="33" t="n">
        <f aca="false">G84-G85-G86-G87-G88</f>
        <v>-85</v>
      </c>
      <c r="H89" s="33" t="n">
        <f aca="false">H84-H85-H86-H87-H88</f>
        <v>-2.572785</v>
      </c>
      <c r="I89" s="33" t="n">
        <f aca="false">I84-I85-I86-I87-I88</f>
        <v>17.35443</v>
      </c>
      <c r="J89" s="33" t="n">
        <f aca="false">J84-J85-J86-J87-J88</f>
        <v>18.5869075</v>
      </c>
      <c r="K89" s="33" t="n">
        <f aca="false">K84-K85-K86-K87-K88</f>
        <v>23.060229</v>
      </c>
      <c r="L89" s="33" t="n">
        <f aca="false">L84-L85-L86-L87-L88</f>
        <v>-33.1454725</v>
      </c>
      <c r="M89" s="33" t="n">
        <f aca="false">M84-M85-M86-M87-M88</f>
        <v>-11.03117775</v>
      </c>
      <c r="N89" s="33" t="n">
        <f aca="false">N84-N85-N86-N87-N88</f>
        <v>8.71972650000002</v>
      </c>
      <c r="O89" s="33" t="n">
        <f aca="false">O84-O85-O86-O87-O88</f>
        <v>32.8866</v>
      </c>
      <c r="P89" s="33" t="n">
        <f aca="false">P84-P85-P86-P87-P88</f>
        <v>55.730347875</v>
      </c>
      <c r="Q89" s="33" t="n">
        <f aca="false">Q84-Q85-Q86-Q87-Q88</f>
        <v>66.93018075</v>
      </c>
      <c r="R89" s="33" t="n">
        <f aca="false">R84-R85-R86-R87-R88</f>
        <v>548.85060825</v>
      </c>
      <c r="S89" s="33" t="n">
        <f aca="false">S84-S85-S86-S87-S88</f>
        <v>-13.74469425</v>
      </c>
      <c r="T89" s="33" t="n">
        <f aca="false">T84-T85-T86-T87-T88</f>
        <v>-118.79710025</v>
      </c>
      <c r="U89" s="33" t="n">
        <f aca="false">U84-U85-U86-U87-U88</f>
        <v>-90.3326602500001</v>
      </c>
      <c r="V89" s="33" t="n">
        <f aca="false">V84-V85-V86-V87-V88</f>
        <v>44.97998625</v>
      </c>
      <c r="W89" s="33" t="n">
        <f aca="false">W84-W85-W86-W87-W88</f>
        <v>42.98726475</v>
      </c>
      <c r="X89" s="33" t="n">
        <f aca="false">X84-X85-X86-X87-X88</f>
        <v>62.5074080625</v>
      </c>
      <c r="Y89" s="33" t="n">
        <f aca="false">Y84-Y85-Y86-Y87-Y88</f>
        <v>54.668755125</v>
      </c>
      <c r="Z89" s="33" t="n">
        <f aca="false">Z84-Z85-Z86-Z87-Z88</f>
        <v>44.971663875</v>
      </c>
      <c r="AA89" s="33" t="n">
        <f aca="false">AA84-AA85-AA86-AA87-AA88</f>
        <v>33.650873625</v>
      </c>
      <c r="AB89" s="33" t="n">
        <f aca="false">AB84-AB85-AB86-AB87-AB88</f>
        <v>56.150873625</v>
      </c>
      <c r="AC89" s="33" t="n">
        <f aca="false">AC84-AC85-AC86-AC87-AC88</f>
        <v>56.150873625</v>
      </c>
      <c r="AD89" s="33" t="n">
        <f aca="false">AD84-AD85-AD86-AD87-AD88</f>
        <v>56.150873625</v>
      </c>
      <c r="AE89" s="33" t="n">
        <f aca="false">AE84-AE85-AE86-AE87-AE88</f>
        <v>56.150873625</v>
      </c>
      <c r="AF89" s="33" t="n">
        <f aca="false">AF84-AF85-AF86-AF87-AF88</f>
        <v>-281.100981243491</v>
      </c>
      <c r="AG89" s="33" t="n">
        <f aca="false">AG84-AG85-AG86-AG87-AG88</f>
        <v>18.4985187592512</v>
      </c>
      <c r="AH89" s="33" t="n">
        <f aca="false">AH84-AH85-AH86-AH87-AH88</f>
        <v>16.5600792618507</v>
      </c>
      <c r="AI89" s="33" t="n">
        <f aca="false">AI84-AI85-AI86-AI87-AI88</f>
        <v>14.6216397644502</v>
      </c>
      <c r="AJ89" s="33" t="n">
        <f aca="false">AJ84-AJ85-AJ86-AJ87-AJ88</f>
        <v>11.4976619077699</v>
      </c>
      <c r="AK89" s="33" t="n">
        <f aca="false">AK84-AK85-AK86-AK87-AK88</f>
        <v>9.68845171019607</v>
      </c>
      <c r="AL89" s="33" t="n">
        <f aca="false">AL84-AL85-AL86-AL87-AL88</f>
        <v>8.44298092201119</v>
      </c>
      <c r="AM89" s="33" t="n">
        <f aca="false">AM84-AM85-AM86-AM87-AM88</f>
        <v>3.64089505598708</v>
      </c>
      <c r="AN89" s="33" t="n">
        <f aca="false">AN84-AN85-AN86-AN87-AN88</f>
        <v>3.64089505598708</v>
      </c>
      <c r="AO89" s="33" t="n">
        <f aca="false">AO84-AO85-AO86-AO87-AO88</f>
        <v>3.64089505598708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217</v>
      </c>
      <c r="D90" s="33" t="n">
        <f aca="false">D89</f>
        <v>0</v>
      </c>
      <c r="E90" s="33" t="n">
        <f aca="false">D90+E89</f>
        <v>0</v>
      </c>
      <c r="F90" s="33" t="n">
        <f aca="false">E90+F89</f>
        <v>0</v>
      </c>
      <c r="G90" s="33" t="n">
        <f aca="false">F90+G89</f>
        <v>-85</v>
      </c>
      <c r="H90" s="33" t="n">
        <f aca="false">G90+H89</f>
        <v>-87.572785</v>
      </c>
      <c r="I90" s="33" t="n">
        <f aca="false">H90+I89</f>
        <v>-70.218355</v>
      </c>
      <c r="J90" s="33" t="n">
        <f aca="false">I90+J89</f>
        <v>-51.6314475</v>
      </c>
      <c r="K90" s="33" t="n">
        <f aca="false">J90+K89</f>
        <v>-28.5712185</v>
      </c>
      <c r="L90" s="33" t="n">
        <f aca="false">K90+L89</f>
        <v>-61.716691</v>
      </c>
      <c r="M90" s="33" t="n">
        <f aca="false">L90+M89</f>
        <v>-72.74786875</v>
      </c>
      <c r="N90" s="33" t="n">
        <f aca="false">M90+N89</f>
        <v>-64.02814225</v>
      </c>
      <c r="O90" s="33" t="n">
        <f aca="false">N90+O89</f>
        <v>-31.14154225</v>
      </c>
      <c r="P90" s="33" t="n">
        <f aca="false">O90+P89</f>
        <v>24.5888056250001</v>
      </c>
      <c r="Q90" s="33" t="n">
        <f aca="false">P90+Q89</f>
        <v>91.5189863750001</v>
      </c>
      <c r="R90" s="33" t="n">
        <f aca="false">Q90+R89</f>
        <v>640.369594625</v>
      </c>
      <c r="S90" s="33" t="n">
        <f aca="false">R90+S89</f>
        <v>626.624900375</v>
      </c>
      <c r="T90" s="33" t="n">
        <f aca="false">S90+T89</f>
        <v>507.827800125</v>
      </c>
      <c r="U90" s="33" t="n">
        <f aca="false">T90+U89</f>
        <v>417.495139875</v>
      </c>
      <c r="V90" s="33" t="n">
        <f aca="false">U90+V89</f>
        <v>462.475126125</v>
      </c>
      <c r="W90" s="33" t="n">
        <f aca="false">V90+W89</f>
        <v>505.462390875</v>
      </c>
      <c r="X90" s="33" t="n">
        <f aca="false">W90+X89</f>
        <v>567.9697989375</v>
      </c>
      <c r="Y90" s="33" t="n">
        <f aca="false">X90+Y89</f>
        <v>622.6385540625</v>
      </c>
      <c r="Z90" s="33" t="n">
        <f aca="false">Y90+Z89</f>
        <v>667.6102179375</v>
      </c>
      <c r="AA90" s="33" t="n">
        <f aca="false">Z90+AA89</f>
        <v>701.2610915625</v>
      </c>
      <c r="AB90" s="33" t="n">
        <f aca="false">AA90+AB89</f>
        <v>757.4119651875</v>
      </c>
      <c r="AC90" s="33" t="n">
        <f aca="false">AB90+AC89</f>
        <v>813.5628388125</v>
      </c>
      <c r="AD90" s="33" t="n">
        <f aca="false">AC90+AD89</f>
        <v>869.7137124375</v>
      </c>
      <c r="AE90" s="33" t="n">
        <f aca="false">AD90+AE89</f>
        <v>925.8645860625</v>
      </c>
      <c r="AF90" s="33" t="n">
        <f aca="false">AE90+AF89</f>
        <v>644.763604819009</v>
      </c>
      <c r="AG90" s="33" t="n">
        <f aca="false">AF90+AG89</f>
        <v>663.262123578261</v>
      </c>
      <c r="AH90" s="33" t="n">
        <f aca="false">AG90+AH89</f>
        <v>679.822202840111</v>
      </c>
      <c r="AI90" s="33" t="n">
        <f aca="false">AH90+AI89</f>
        <v>694.443842604561</v>
      </c>
      <c r="AJ90" s="33" t="n">
        <f aca="false">AI90+AJ89</f>
        <v>705.941504512331</v>
      </c>
      <c r="AK90" s="33" t="n">
        <f aca="false">AJ90+AK89</f>
        <v>715.629956222527</v>
      </c>
      <c r="AL90" s="33" t="n">
        <f aca="false">AK90+AL89</f>
        <v>724.072937144539</v>
      </c>
      <c r="AM90" s="33" t="n">
        <f aca="false">AL90+AM89</f>
        <v>727.713832200526</v>
      </c>
      <c r="AN90" s="33" t="n">
        <f aca="false">AM90+AN89</f>
        <v>731.354727256513</v>
      </c>
      <c r="AO90" s="33" t="n">
        <f aca="false">AN90+AO89</f>
        <v>734.9956223125</v>
      </c>
      <c r="AP90" s="33" t="n">
        <f aca="false">AO90+AP89</f>
        <v>734.9956223125</v>
      </c>
      <c r="AQ90" s="33" t="n">
        <f aca="false">AP90+AQ89</f>
        <v>734.9956223125</v>
      </c>
      <c r="AR90" s="33" t="n">
        <f aca="false">AQ90+AR89</f>
        <v>734.9956223125</v>
      </c>
      <c r="AS90" s="33" t="n">
        <f aca="false">AR90+AS89</f>
        <v>734.9956223125</v>
      </c>
      <c r="AT90" s="33" t="n">
        <f aca="false">AS90+AT89</f>
        <v>734.9956223125</v>
      </c>
      <c r="AU90" s="33" t="n">
        <f aca="false">AT90+AU89</f>
        <v>734.9956223125</v>
      </c>
      <c r="AV90" s="33" t="n">
        <f aca="false">AU90+AV89</f>
        <v>734.9956223125</v>
      </c>
      <c r="AW90" s="33" t="n">
        <f aca="false">AV90+AW89</f>
        <v>734.9956223125</v>
      </c>
      <c r="AX90" s="33" t="n">
        <f aca="false">AW90+AX89</f>
        <v>734.9956223125</v>
      </c>
      <c r="AY90" s="33" t="n">
        <f aca="false">AX90+AY89</f>
        <v>734.9956223125</v>
      </c>
      <c r="AZ90" s="33" t="n">
        <f aca="false">AY90+AZ89</f>
        <v>734.9956223125</v>
      </c>
      <c r="BA90" s="33" t="n">
        <f aca="false">AZ90+BA89</f>
        <v>734.9956223125</v>
      </c>
      <c r="BB90" s="33" t="n">
        <f aca="false">BA90+BB89</f>
        <v>734.9956223125</v>
      </c>
      <c r="BC90" s="33" t="n">
        <f aca="false">BB90+BC89</f>
        <v>734.9956223125</v>
      </c>
      <c r="BD90" s="33" t="n">
        <f aca="false">BC90+BD89</f>
        <v>734.9956223125</v>
      </c>
      <c r="BE90" s="33" t="n">
        <f aca="false">BD90+BE89</f>
        <v>734.9956223125</v>
      </c>
      <c r="BF90" s="33" t="n">
        <f aca="false">BE90+BF89</f>
        <v>734.9956223125</v>
      </c>
      <c r="BG90" s="33" t="n">
        <f aca="false">BF90+BG89</f>
        <v>734.9956223125</v>
      </c>
      <c r="BH90" s="33" t="n">
        <f aca="false">BG90+BH89</f>
        <v>734.9956223125</v>
      </c>
      <c r="BI90" s="33" t="n">
        <f aca="false">BH90+BI89</f>
        <v>734.9956223125</v>
      </c>
      <c r="BJ90" s="33" t="n">
        <f aca="false">BI90+BJ89</f>
        <v>734.9956223125</v>
      </c>
      <c r="BK90" s="33" t="n">
        <f aca="false">BJ90+BK89</f>
        <v>734.9956223125</v>
      </c>
    </row>
    <row r="91" customFormat="false" ht="15" hidden="false" customHeight="false" outlineLevel="0" collapsed="false">
      <c r="A91" s="3" t="s">
        <v>340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-50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0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0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39.5185185185185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39.5185185185185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39.5185185185185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39.5185185185185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341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0</v>
      </c>
      <c r="N92" s="33" t="n">
        <f aca="false">IF(AND(Source_Data!N$6&gt;=Inputs!$B$54,Source_Data!N$6&lt;Inputs!$B$54+3*Inputs!$B$11),Inputs!$B$9*Inputs!$B$7/Inputs!$B$11,0)</f>
        <v>0</v>
      </c>
      <c r="O92" s="33" t="n">
        <f aca="false">IF(AND(Source_Data!O$6&gt;=Inputs!$B$54,Source_Data!O$6&lt;Inputs!$B$54+3*Inputs!$B$11),Inputs!$B$9*Inputs!$B$7/Inputs!$B$11,0)</f>
        <v>0</v>
      </c>
      <c r="P92" s="33" t="n">
        <f aca="false">IF(AND(Source_Data!P$6&gt;=Inputs!$B$54,Source_Data!P$6&lt;Inputs!$B$54+3*Inputs!$B$11),Inputs!$B$9*Inputs!$B$7/Inputs!$B$11,0)</f>
        <v>9.58333333333333</v>
      </c>
      <c r="Q92" s="33" t="n">
        <f aca="false">IF(AND(Source_Data!Q$6&gt;=Inputs!$B$54,Source_Data!Q$6&lt;Inputs!$B$54+3*Inputs!$B$11),Inputs!$B$9*Inputs!$B$7/Inputs!$B$11,0)</f>
        <v>9.58333333333333</v>
      </c>
      <c r="R92" s="33" t="n">
        <f aca="false">IF(AND(Source_Data!R$6&gt;=Inputs!$B$54,Source_Data!R$6&lt;Inputs!$B$54+3*Inputs!$B$11),Inputs!$B$9*Inputs!$B$7/Inputs!$B$11,0)</f>
        <v>9.58333333333333</v>
      </c>
      <c r="S92" s="33" t="n">
        <f aca="false">IF(AND(Source_Data!S$6&gt;=Inputs!$B$54,Source_Data!S$6&lt;Inputs!$B$54+3*Inputs!$B$11),Inputs!$B$9*Inputs!$B$7/Inputs!$B$11,0)</f>
        <v>9.58333333333333</v>
      </c>
      <c r="T92" s="33" t="n">
        <f aca="false">IF(AND(Source_Data!T$6&gt;=Inputs!$B$54,Source_Data!T$6&lt;Inputs!$B$54+3*Inputs!$B$11),Inputs!$B$9*Inputs!$B$7/Inputs!$B$11,0)</f>
        <v>9.58333333333333</v>
      </c>
      <c r="U92" s="33" t="n">
        <f aca="false">IF(AND(Source_Data!U$6&gt;=Inputs!$B$54,Source_Data!U$6&lt;Inputs!$B$54+3*Inputs!$B$11),Inputs!$B$9*Inputs!$B$7/Inputs!$B$11,0)</f>
        <v>9.58333333333333</v>
      </c>
      <c r="V92" s="33" t="n">
        <f aca="false">IF(AND(Source_Data!V$6&gt;=Inputs!$B$54,Source_Data!V$6&lt;Inputs!$B$54+3*Inputs!$B$11),Inputs!$B$9*Inputs!$B$7/Inputs!$B$11,0)</f>
        <v>9.58333333333333</v>
      </c>
      <c r="W92" s="33" t="n">
        <f aca="false">IF(AND(Source_Data!W$6&gt;=Inputs!$B$54,Source_Data!W$6&lt;Inputs!$B$54+3*Inputs!$B$11),Inputs!$B$9*Inputs!$B$7/Inputs!$B$11,0)</f>
        <v>9.58333333333333</v>
      </c>
      <c r="X92" s="33" t="n">
        <f aca="false">IF(AND(Source_Data!X$6&gt;=Inputs!$B$54,Source_Data!X$6&lt;Inputs!$B$54+3*Inputs!$B$11),Inputs!$B$9*Inputs!$B$7/Inputs!$B$11,0)</f>
        <v>9.58333333333333</v>
      </c>
      <c r="Y92" s="33" t="n">
        <f aca="false">IF(AND(Source_Data!Y$6&gt;=Inputs!$B$54,Source_Data!Y$6&lt;Inputs!$B$54+3*Inputs!$B$11),Inputs!$B$9*Inputs!$B$7/Inputs!$B$11,0)</f>
        <v>9.58333333333333</v>
      </c>
      <c r="Z92" s="33" t="n">
        <f aca="false">IF(AND(Source_Data!Z$6&gt;=Inputs!$B$54,Source_Data!Z$6&lt;Inputs!$B$54+3*Inputs!$B$11),Inputs!$B$9*Inputs!$B$7/Inputs!$B$11,0)</f>
        <v>9.58333333333333</v>
      </c>
      <c r="AA92" s="33" t="n">
        <f aca="false">IF(AND(Source_Data!AA$6&gt;=Inputs!$B$54,Source_Data!AA$6&lt;Inputs!$B$54+3*Inputs!$B$11),Inputs!$B$9*Inputs!$B$7/Inputs!$B$11,0)</f>
        <v>9.58333333333333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342</v>
      </c>
      <c r="D93" s="33" t="n">
        <f aca="false">IF(Source_Data!D$6=Inputs!$B$12,-Inputs!$B$7,0)+D92</f>
        <v>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-50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0</v>
      </c>
      <c r="N93" s="33" t="n">
        <f aca="false">IF(Source_Data!N$6=Inputs!$B$12,-Inputs!$B$7,0)+N92</f>
        <v>0</v>
      </c>
      <c r="O93" s="33" t="n">
        <f aca="false">IF(Source_Data!O$6=Inputs!$B$12,-Inputs!$B$7,0)+O92</f>
        <v>0</v>
      </c>
      <c r="P93" s="33" t="n">
        <f aca="false">IF(Source_Data!P$6=Inputs!$B$12,-Inputs!$B$7,0)+P92</f>
        <v>9.58333333333333</v>
      </c>
      <c r="Q93" s="33" t="n">
        <f aca="false">IF(Source_Data!Q$6=Inputs!$B$12,-Inputs!$B$7,0)+Q92</f>
        <v>9.58333333333333</v>
      </c>
      <c r="R93" s="33" t="n">
        <f aca="false">IF(Source_Data!R$6=Inputs!$B$12,-Inputs!$B$7,0)+R92</f>
        <v>9.58333333333333</v>
      </c>
      <c r="S93" s="33" t="n">
        <f aca="false">IF(Source_Data!S$6=Inputs!$B$12,-Inputs!$B$7,0)+S92</f>
        <v>9.58333333333333</v>
      </c>
      <c r="T93" s="33" t="n">
        <f aca="false">IF(Source_Data!T$6=Inputs!$B$12,-Inputs!$B$7,0)+T92</f>
        <v>9.58333333333333</v>
      </c>
      <c r="U93" s="33" t="n">
        <f aca="false">IF(Source_Data!U$6=Inputs!$B$12,-Inputs!$B$7,0)+U92</f>
        <v>9.58333333333333</v>
      </c>
      <c r="V93" s="33" t="n">
        <f aca="false">IF(Source_Data!V$6=Inputs!$B$12,-Inputs!$B$7,0)+V92</f>
        <v>9.58333333333333</v>
      </c>
      <c r="W93" s="33" t="n">
        <f aca="false">IF(Source_Data!W$6=Inputs!$B$12,-Inputs!$B$7,0)+W92</f>
        <v>9.58333333333333</v>
      </c>
      <c r="X93" s="33" t="n">
        <f aca="false">IF(Source_Data!X$6=Inputs!$B$12,-Inputs!$B$7,0)+X92</f>
        <v>9.58333333333333</v>
      </c>
      <c r="Y93" s="33" t="n">
        <f aca="false">IF(Source_Data!Y$6=Inputs!$B$12,-Inputs!$B$7,0)+Y92</f>
        <v>9.58333333333333</v>
      </c>
      <c r="Z93" s="33" t="n">
        <f aca="false">IF(Source_Data!Z$6=Inputs!$B$12,-Inputs!$B$7,0)+Z92</f>
        <v>9.58333333333333</v>
      </c>
      <c r="AA93" s="33" t="n">
        <f aca="false">IF(Source_Data!AA$6=Inputs!$B$12,-Inputs!$B$7,0)+AA92</f>
        <v>9.58333333333333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343</v>
      </c>
      <c r="D94" s="33" t="n">
        <f aca="false">IF(Source_Data!D$6=Inputs!$B$12,Inputs!$B$7,0)+D89-D92</f>
        <v>0</v>
      </c>
      <c r="E94" s="33" t="n">
        <f aca="false">D94+IF(Source_Data!E$6=Inputs!$B$12,Inputs!$B$7,0)+E89-E92</f>
        <v>0</v>
      </c>
      <c r="F94" s="33" t="n">
        <f aca="false">E94+IF(Source_Data!F$6=Inputs!$B$12,Inputs!$B$7,0)+F89-F92</f>
        <v>0</v>
      </c>
      <c r="G94" s="33" t="n">
        <f aca="false">F94+IF(Source_Data!G$6=Inputs!$B$12,Inputs!$B$7,0)+G89-G92</f>
        <v>-35</v>
      </c>
      <c r="H94" s="33" t="n">
        <f aca="false">G94+IF(Source_Data!H$6=Inputs!$B$12,Inputs!$B$7,0)+H89-H92</f>
        <v>-37.572785</v>
      </c>
      <c r="I94" s="33" t="n">
        <f aca="false">H94+IF(Source_Data!I$6=Inputs!$B$12,Inputs!$B$7,0)+I89-I92</f>
        <v>-20.218355</v>
      </c>
      <c r="J94" s="33" t="n">
        <f aca="false">I94+IF(Source_Data!J$6=Inputs!$B$12,Inputs!$B$7,0)+J89-J92</f>
        <v>-1.6314475</v>
      </c>
      <c r="K94" s="33" t="n">
        <f aca="false">J94+IF(Source_Data!K$6=Inputs!$B$12,Inputs!$B$7,0)+K89-K92</f>
        <v>21.4287815</v>
      </c>
      <c r="L94" s="33" t="n">
        <f aca="false">K94+IF(Source_Data!L$6=Inputs!$B$12,Inputs!$B$7,0)+L89-L92</f>
        <v>-11.716691</v>
      </c>
      <c r="M94" s="33" t="n">
        <f aca="false">L94+IF(Source_Data!M$6=Inputs!$B$12,Inputs!$B$7,0)+M89-M92</f>
        <v>-22.74786875</v>
      </c>
      <c r="N94" s="33" t="n">
        <f aca="false">M94+IF(Source_Data!N$6=Inputs!$B$12,Inputs!$B$7,0)+N89-N92</f>
        <v>-14.02814225</v>
      </c>
      <c r="O94" s="33" t="n">
        <f aca="false">N94+IF(Source_Data!O$6=Inputs!$B$12,Inputs!$B$7,0)+O89-O92</f>
        <v>18.85845775</v>
      </c>
      <c r="P94" s="33" t="n">
        <f aca="false">O94+IF(Source_Data!P$6=Inputs!$B$12,Inputs!$B$7,0)+P89-P92</f>
        <v>65.0054722916667</v>
      </c>
      <c r="Q94" s="33" t="n">
        <f aca="false">P94+IF(Source_Data!Q$6=Inputs!$B$12,Inputs!$B$7,0)+Q89-Q92</f>
        <v>122.352319708333</v>
      </c>
      <c r="R94" s="33" t="n">
        <f aca="false">Q94+IF(Source_Data!R$6=Inputs!$B$12,Inputs!$B$7,0)+R89-R92</f>
        <v>661.619594625</v>
      </c>
      <c r="S94" s="33" t="n">
        <f aca="false">R94+IF(Source_Data!S$6=Inputs!$B$12,Inputs!$B$7,0)+S89-S92</f>
        <v>638.291567041667</v>
      </c>
      <c r="T94" s="33" t="n">
        <f aca="false">S94+IF(Source_Data!T$6=Inputs!$B$12,Inputs!$B$7,0)+T89-T92</f>
        <v>509.911133458333</v>
      </c>
      <c r="U94" s="33" t="n">
        <f aca="false">T94+IF(Source_Data!U$6=Inputs!$B$12,Inputs!$B$7,0)+U89-U92</f>
        <v>409.995139875</v>
      </c>
      <c r="V94" s="33" t="n">
        <f aca="false">U94+IF(Source_Data!V$6=Inputs!$B$12,Inputs!$B$7,0)+V89-V92</f>
        <v>445.391792791666</v>
      </c>
      <c r="W94" s="33" t="n">
        <f aca="false">V94+IF(Source_Data!W$6=Inputs!$B$12,Inputs!$B$7,0)+W89-W92</f>
        <v>478.795724208333</v>
      </c>
      <c r="X94" s="33" t="n">
        <f aca="false">W94+IF(Source_Data!X$6=Inputs!$B$12,Inputs!$B$7,0)+X89-X92</f>
        <v>531.7197989375</v>
      </c>
      <c r="Y94" s="33" t="n">
        <f aca="false">X94+IF(Source_Data!Y$6=Inputs!$B$12,Inputs!$B$7,0)+Y89-Y92</f>
        <v>576.805220729166</v>
      </c>
      <c r="Z94" s="33" t="n">
        <f aca="false">Y94+IF(Source_Data!Z$6=Inputs!$B$12,Inputs!$B$7,0)+Z89-Z92</f>
        <v>612.193551270833</v>
      </c>
      <c r="AA94" s="33" t="n">
        <f aca="false">Z94+IF(Source_Data!AA$6=Inputs!$B$12,Inputs!$B$7,0)+AA89-AA92</f>
        <v>636.2610915625</v>
      </c>
      <c r="AB94" s="33" t="n">
        <f aca="false">AA94+IF(Source_Data!AB$6=Inputs!$B$12,Inputs!$B$7,0)+AB89-AB92</f>
        <v>692.4119651875</v>
      </c>
      <c r="AC94" s="33" t="n">
        <f aca="false">AB94+IF(Source_Data!AC$6=Inputs!$B$12,Inputs!$B$7,0)+AC89-AC92</f>
        <v>748.5628388125</v>
      </c>
      <c r="AD94" s="33" t="n">
        <f aca="false">AC94+IF(Source_Data!AD$6=Inputs!$B$12,Inputs!$B$7,0)+AD89-AD92</f>
        <v>804.7137124375</v>
      </c>
      <c r="AE94" s="33" t="n">
        <f aca="false">AD94+IF(Source_Data!AE$6=Inputs!$B$12,Inputs!$B$7,0)+AE89-AE92</f>
        <v>860.8645860625</v>
      </c>
      <c r="AF94" s="33" t="n">
        <f aca="false">AE94+IF(Source_Data!AF$6=Inputs!$B$12,Inputs!$B$7,0)+AF89-AF92</f>
        <v>579.763604819009</v>
      </c>
      <c r="AG94" s="33" t="n">
        <f aca="false">AF94+IF(Source_Data!AG$6=Inputs!$B$12,Inputs!$B$7,0)+AG89-AG92</f>
        <v>598.26212357826</v>
      </c>
      <c r="AH94" s="33" t="n">
        <f aca="false">AG94+IF(Source_Data!AH$6=Inputs!$B$12,Inputs!$B$7,0)+AH89-AH92</f>
        <v>614.822202840111</v>
      </c>
      <c r="AI94" s="33" t="n">
        <f aca="false">AH94+IF(Source_Data!AI$6=Inputs!$B$12,Inputs!$B$7,0)+AI89-AI92</f>
        <v>629.443842604561</v>
      </c>
      <c r="AJ94" s="33" t="n">
        <f aca="false">AI94+IF(Source_Data!AJ$6=Inputs!$B$12,Inputs!$B$7,0)+AJ89-AJ92</f>
        <v>640.941504512331</v>
      </c>
      <c r="AK94" s="33" t="n">
        <f aca="false">AJ94+IF(Source_Data!AK$6=Inputs!$B$12,Inputs!$B$7,0)+AK89-AK92</f>
        <v>650.629956222527</v>
      </c>
      <c r="AL94" s="33" t="n">
        <f aca="false">AK94+IF(Source_Data!AL$6=Inputs!$B$12,Inputs!$B$7,0)+AL89-AL92</f>
        <v>659.072937144538</v>
      </c>
      <c r="AM94" s="33" t="n">
        <f aca="false">AL94+IF(Source_Data!AM$6=Inputs!$B$12,Inputs!$B$7,0)+AM89-AM92</f>
        <v>662.713832200526</v>
      </c>
      <c r="AN94" s="33" t="n">
        <f aca="false">AM94+IF(Source_Data!AN$6=Inputs!$B$12,Inputs!$B$7,0)+AN89-AN92</f>
        <v>666.354727256513</v>
      </c>
      <c r="AO94" s="33" t="n">
        <f aca="false">AN94+IF(Source_Data!AO$6=Inputs!$B$12,Inputs!$B$7,0)+AO89-AO92</f>
        <v>669.9956223125</v>
      </c>
      <c r="AP94" s="33" t="n">
        <f aca="false">AO94+IF(Source_Data!AP$6=Inputs!$B$12,Inputs!$B$7,0)+AP89-AP92</f>
        <v>669.9956223125</v>
      </c>
      <c r="AQ94" s="33" t="n">
        <f aca="false">AP94+IF(Source_Data!AQ$6=Inputs!$B$12,Inputs!$B$7,0)+AQ89-AQ92</f>
        <v>669.9956223125</v>
      </c>
      <c r="AR94" s="33" t="n">
        <f aca="false">AQ94+IF(Source_Data!AR$6=Inputs!$B$12,Inputs!$B$7,0)+AR89-AR92</f>
        <v>669.9956223125</v>
      </c>
      <c r="AS94" s="33" t="n">
        <f aca="false">AR94+IF(Source_Data!AS$6=Inputs!$B$12,Inputs!$B$7,0)+AS89-AS92</f>
        <v>669.9956223125</v>
      </c>
      <c r="AT94" s="33" t="n">
        <f aca="false">AS94+IF(Source_Data!AT$6=Inputs!$B$12,Inputs!$B$7,0)+AT89-AT92</f>
        <v>669.9956223125</v>
      </c>
      <c r="AU94" s="33" t="n">
        <f aca="false">AT94+IF(Source_Data!AU$6=Inputs!$B$12,Inputs!$B$7,0)+AU89-AU92</f>
        <v>669.9956223125</v>
      </c>
      <c r="AV94" s="33" t="n">
        <f aca="false">AU94+IF(Source_Data!AV$6=Inputs!$B$12,Inputs!$B$7,0)+AV89-AV92</f>
        <v>669.9956223125</v>
      </c>
      <c r="AW94" s="33" t="n">
        <f aca="false">AV94+IF(Source_Data!AW$6=Inputs!$B$12,Inputs!$B$7,0)+AW89-AW92</f>
        <v>669.9956223125</v>
      </c>
      <c r="AX94" s="33" t="n">
        <f aca="false">AW94+IF(Source_Data!AX$6=Inputs!$B$12,Inputs!$B$7,0)+AX89-AX92</f>
        <v>669.9956223125</v>
      </c>
      <c r="AY94" s="33" t="n">
        <f aca="false">AX94+IF(Source_Data!AY$6=Inputs!$B$12,Inputs!$B$7,0)+AY89-AY92</f>
        <v>669.9956223125</v>
      </c>
      <c r="AZ94" s="33" t="n">
        <f aca="false">AY94+IF(Source_Data!AZ$6=Inputs!$B$12,Inputs!$B$7,0)+AZ89-AZ92</f>
        <v>669.9956223125</v>
      </c>
      <c r="BA94" s="33" t="n">
        <f aca="false">AZ94+IF(Source_Data!BA$6=Inputs!$B$12,Inputs!$B$7,0)+BA89-BA92</f>
        <v>669.9956223125</v>
      </c>
      <c r="BB94" s="33" t="n">
        <f aca="false">BA94+IF(Source_Data!BB$6=Inputs!$B$12,Inputs!$B$7,0)+BB89-BB92</f>
        <v>669.9956223125</v>
      </c>
      <c r="BC94" s="33" t="n">
        <f aca="false">BB94+IF(Source_Data!BC$6=Inputs!$B$12,Inputs!$B$7,0)+BC89-BC92</f>
        <v>669.9956223125</v>
      </c>
      <c r="BD94" s="33" t="n">
        <f aca="false">BC94+IF(Source_Data!BD$6=Inputs!$B$12,Inputs!$B$7,0)+BD89-BD92</f>
        <v>669.9956223125</v>
      </c>
      <c r="BE94" s="33" t="n">
        <f aca="false">BD94+IF(Source_Data!BE$6=Inputs!$B$12,Inputs!$B$7,0)+BE89-BE92</f>
        <v>669.9956223125</v>
      </c>
      <c r="BF94" s="33" t="n">
        <f aca="false">BE94+IF(Source_Data!BF$6=Inputs!$B$12,Inputs!$B$7,0)+BF89-BF92</f>
        <v>669.9956223125</v>
      </c>
      <c r="BG94" s="33" t="n">
        <f aca="false">BF94+IF(Source_Data!BG$6=Inputs!$B$12,Inputs!$B$7,0)+BG89-BG92</f>
        <v>669.9956223125</v>
      </c>
      <c r="BH94" s="33" t="n">
        <f aca="false">BG94+IF(Source_Data!BH$6=Inputs!$B$12,Inputs!$B$7,0)+BH89-BH92</f>
        <v>669.9956223125</v>
      </c>
      <c r="BI94" s="33" t="n">
        <f aca="false">BH94+IF(Source_Data!BI$6=Inputs!$B$12,Inputs!$B$7,0)+BI89-BI92</f>
        <v>669.9956223125</v>
      </c>
      <c r="BJ94" s="33" t="n">
        <f aca="false">BI94+IF(Source_Data!BJ$6=Inputs!$B$12,Inputs!$B$7,0)+BJ89-BJ92</f>
        <v>669.9956223125</v>
      </c>
      <c r="BK94" s="33" t="n">
        <f aca="false">BJ94+IF(Source_Data!BK$6=Inputs!$B$12,Inputs!$B$7,0)+BK89-BK92</f>
        <v>669.9956223125</v>
      </c>
    </row>
    <row r="95" customFormat="false" ht="15" hidden="false" customHeight="false" outlineLevel="0" collapsed="false">
      <c r="A95" s="3" t="s">
        <v>344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str">
        <f aca="false">IF(M92&gt;0,M89/M92,"")</f>
        <v/>
      </c>
      <c r="N95" s="31" t="str">
        <f aca="false">IF(N92&gt;0,N89/N92,"")</f>
        <v/>
      </c>
      <c r="O95" s="31" t="str">
        <f aca="false">IF(O92&gt;0,O89/O92,"")</f>
        <v/>
      </c>
      <c r="P95" s="31" t="n">
        <f aca="false">IF(P92&gt;0,P89/P92,"")</f>
        <v>5.81534064782609</v>
      </c>
      <c r="Q95" s="31" t="n">
        <f aca="false">IF(Q92&gt;0,Q89/Q92,"")</f>
        <v>6.98401886086957</v>
      </c>
      <c r="R95" s="31" t="n">
        <f aca="false">IF(R92&gt;0,R89/R92,"")</f>
        <v>57.2713678173913</v>
      </c>
      <c r="S95" s="31" t="n">
        <f aca="false">IF(S92&gt;0,S89/S92,"")</f>
        <v>-1.43422896521739</v>
      </c>
      <c r="T95" s="31" t="n">
        <f aca="false">IF(T92&gt;0,T89/T92,"")</f>
        <v>-12.3962191565218</v>
      </c>
      <c r="U95" s="31" t="n">
        <f aca="false">IF(U92&gt;0,U89/U92,"")</f>
        <v>-9.42601672173914</v>
      </c>
      <c r="V95" s="31" t="n">
        <f aca="false">IF(V92&gt;0,V89/V92,"")</f>
        <v>4.69356378260869</v>
      </c>
      <c r="W95" s="31" t="n">
        <f aca="false">IF(W92&gt;0,W89/W92,"")</f>
        <v>4.48562762608695</v>
      </c>
      <c r="X95" s="31" t="n">
        <f aca="false">IF(X92&gt;0,X89/X92,"")</f>
        <v>6.52251214565218</v>
      </c>
      <c r="Y95" s="31" t="n">
        <f aca="false">IF(Y92&gt;0,Y89/Y92,"")</f>
        <v>5.70456575217392</v>
      </c>
      <c r="Z95" s="31" t="n">
        <f aca="false">IF(Z92&gt;0,Z89/Z92,"")</f>
        <v>4.69269536086957</v>
      </c>
      <c r="AA95" s="31" t="n">
        <f aca="false">IF(AA92&gt;0,AA89/AA92,"")</f>
        <v>3.51139550869565</v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345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str">
        <f aca="false">IF(M92&gt;0,(L94+M89+IF(Source_Data!M$6=Inputs!$B$12,Inputs!$B$7,0))/M92,"")</f>
        <v/>
      </c>
      <c r="N96" s="31" t="str">
        <f aca="false">IF(N92&gt;0,(M94+N89+IF(Source_Data!N$6=Inputs!$B$12,Inputs!$B$7,0))/N92,"")</f>
        <v/>
      </c>
      <c r="O96" s="31" t="str">
        <f aca="false">IF(O92&gt;0,(N94+O89+IF(Source_Data!O$6=Inputs!$B$12,Inputs!$B$7,0))/O92,"")</f>
        <v/>
      </c>
      <c r="P96" s="31" t="n">
        <f aca="false">IF(P92&gt;0,(O94+P89+IF(Source_Data!P$6=Inputs!$B$12,Inputs!$B$7,0))/P92,"")</f>
        <v>7.78317971739131</v>
      </c>
      <c r="Q96" s="31" t="n">
        <f aca="false">IF(Q92&gt;0,(P94+Q89+IF(Source_Data!Q$6=Inputs!$B$12,Inputs!$B$7,0))/Q92,"")</f>
        <v>13.7671985782609</v>
      </c>
      <c r="R96" s="31" t="n">
        <f aca="false">IF(R92&gt;0,(Q94+R89+IF(Source_Data!R$6=Inputs!$B$12,Inputs!$B$7,0))/R92,"")</f>
        <v>70.0385663956522</v>
      </c>
      <c r="S96" s="31" t="n">
        <f aca="false">IF(S92&gt;0,(R94+S89+IF(Source_Data!S$6=Inputs!$B$12,Inputs!$B$7,0))/S92,"")</f>
        <v>67.6043374304348</v>
      </c>
      <c r="T96" s="31" t="n">
        <f aca="false">IF(T92&gt;0,(S94+T89+IF(Source_Data!T$6=Inputs!$B$12,Inputs!$B$7,0))/T92,"")</f>
        <v>54.208118273913</v>
      </c>
      <c r="U96" s="31" t="n">
        <f aca="false">IF(U92&gt;0,(T94+U89+IF(Source_Data!U$6=Inputs!$B$12,Inputs!$B$7,0))/U92,"")</f>
        <v>43.7821015521739</v>
      </c>
      <c r="V96" s="31" t="n">
        <f aca="false">IF(V92&gt;0,(U94+V89+IF(Source_Data!V$6=Inputs!$B$12,Inputs!$B$7,0))/V92,"")</f>
        <v>47.4756653347826</v>
      </c>
      <c r="W96" s="31" t="n">
        <f aca="false">IF(W92&gt;0,(V94+W89+IF(Source_Data!W$6=Inputs!$B$12,Inputs!$B$7,0))/W92,"")</f>
        <v>50.9612929608695</v>
      </c>
      <c r="X96" s="31" t="n">
        <f aca="false">IF(X92&gt;0,(W94+X89+IF(Source_Data!X$6=Inputs!$B$12,Inputs!$B$7,0))/X92,"")</f>
        <v>56.4838051065217</v>
      </c>
      <c r="Y96" s="31" t="n">
        <f aca="false">IF(Y92&gt;0,(X94+Y89+IF(Source_Data!Y$6=Inputs!$B$12,Inputs!$B$7,0))/Y92,"")</f>
        <v>61.1883708586956</v>
      </c>
      <c r="Z96" s="31" t="n">
        <f aca="false">IF(Z92&gt;0,(Y94+Z89+IF(Source_Data!Z$6=Inputs!$B$12,Inputs!$B$7,0))/Z92,"")</f>
        <v>64.8810662195652</v>
      </c>
      <c r="AA96" s="31" t="n">
        <f aca="false">IF(AA92&gt;0,(Z94+AA89+IF(Source_Data!AA$6=Inputs!$B$12,Inputs!$B$7,0))/AA92,"")</f>
        <v>67.3924617282608</v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220</v>
      </c>
      <c r="B98" s="41" t="n">
        <f aca="false">SUM(D89:BK89)</f>
        <v>734.9956223125</v>
      </c>
    </row>
    <row r="99" customFormat="false" ht="15" hidden="false" customHeight="false" outlineLevel="0" collapsed="false">
      <c r="A99" s="2" t="s">
        <v>346</v>
      </c>
      <c r="B99" s="41" t="n">
        <f aca="false">SUMPRODUCT(D89:BK89,Project_CF!$D$15:$BK$15)</f>
        <v>411.548156086808</v>
      </c>
    </row>
    <row r="100" customFormat="false" ht="15" hidden="false" customHeight="false" outlineLevel="0" collapsed="false">
      <c r="A100" s="2" t="s">
        <v>162</v>
      </c>
      <c r="B100" s="41" t="n">
        <f aca="false">MIN(D90:BK90)</f>
        <v>-87.572785</v>
      </c>
    </row>
    <row r="101" customFormat="false" ht="15" hidden="false" customHeight="false" outlineLevel="0" collapsed="false">
      <c r="A101" s="2" t="s">
        <v>347</v>
      </c>
      <c r="B101" s="35" t="n">
        <f aca="false">INDEX(Project_CF!$D$6:$BK$6,MATCH(MIN(D90:BK90),D90:BK90,0))</f>
        <v>15</v>
      </c>
    </row>
    <row r="102" customFormat="false" ht="15" hidden="false" customHeight="false" outlineLevel="0" collapsed="false">
      <c r="A102" s="2" t="s">
        <v>348</v>
      </c>
      <c r="B102" s="39" t="n">
        <f aca="false">(1+IRR(D91:BK91,0.05))^4-1</f>
        <v>0.32283998534566</v>
      </c>
    </row>
    <row r="103" customFormat="false" ht="15" hidden="false" customHeight="false" outlineLevel="0" collapsed="false">
      <c r="A103" s="2" t="s">
        <v>349</v>
      </c>
      <c r="B103" s="40" t="n">
        <f aca="false">SUMIF(D91:BK91,"&gt;0")/-SUMIF(D91:BK91,"&lt;0")</f>
        <v>3.16148148148148</v>
      </c>
    </row>
    <row r="104" customFormat="false" ht="15" hidden="false" customHeight="false" outlineLevel="0" collapsed="false">
      <c r="A104" s="2" t="s">
        <v>350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351</v>
      </c>
      <c r="B105" s="41" t="n">
        <f aca="false">MIN(D94:BK94)</f>
        <v>-37.572785</v>
      </c>
    </row>
    <row r="106" customFormat="false" ht="15" hidden="false" customHeight="false" outlineLevel="0" collapsed="false">
      <c r="A106" s="2" t="s">
        <v>352</v>
      </c>
      <c r="B106" s="43" t="n">
        <f aca="false">MIN(D95:BK95)</f>
        <v>-12.3962191565218</v>
      </c>
    </row>
    <row r="107" customFormat="false" ht="15" hidden="false" customHeight="false" outlineLevel="0" collapsed="false">
      <c r="A107" s="2" t="s">
        <v>353</v>
      </c>
      <c r="B107" s="35" t="n">
        <f aca="false">COUNTIF(D95:BK95,"&lt;"&amp;Inputs!$B$43)</f>
        <v>3</v>
      </c>
    </row>
    <row r="108" customFormat="false" ht="15" hidden="false" customHeight="false" outlineLevel="0" collapsed="false">
      <c r="A108" s="2" t="s">
        <v>354</v>
      </c>
      <c r="B108" s="43" t="n">
        <f aca="false">MIN(D96:BK96)</f>
        <v>7.78317971739131</v>
      </c>
    </row>
    <row r="109" customFormat="false" ht="15" hidden="false" customHeight="false" outlineLevel="0" collapsed="false">
      <c r="A109" s="2" t="s">
        <v>355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361</v>
      </c>
    </row>
    <row r="113" customFormat="false" ht="15" hidden="false" customHeight="false" outlineLevel="0" collapsed="false">
      <c r="A113" s="3" t="s">
        <v>331</v>
      </c>
      <c r="B113" s="45" t="n">
        <v>1.2</v>
      </c>
    </row>
    <row r="114" customFormat="false" ht="15" hidden="false" customHeight="false" outlineLevel="0" collapsed="false">
      <c r="A114" s="3" t="s">
        <v>332</v>
      </c>
      <c r="B114" s="45" t="n">
        <v>0</v>
      </c>
    </row>
    <row r="115" customFormat="false" ht="15" hidden="false" customHeight="false" outlineLevel="0" collapsed="false">
      <c r="A115" s="3" t="s">
        <v>333</v>
      </c>
      <c r="B115" s="45" t="n">
        <v>1</v>
      </c>
    </row>
    <row r="116" customFormat="false" ht="15" hidden="false" customHeight="false" outlineLevel="0" collapsed="false">
      <c r="A116" s="3" t="s">
        <v>334</v>
      </c>
      <c r="B116" s="45" t="n">
        <v>0</v>
      </c>
    </row>
    <row r="117" customFormat="false" ht="15" hidden="false" customHeight="false" outlineLevel="0" collapsed="false">
      <c r="A117" s="3" t="s">
        <v>335</v>
      </c>
      <c r="B117" s="45" t="n">
        <v>0</v>
      </c>
    </row>
    <row r="118" customFormat="false" ht="15" hidden="false" customHeight="false" outlineLevel="0" collapsed="false">
      <c r="A118" s="3" t="s">
        <v>336</v>
      </c>
      <c r="B118" s="3" t="n">
        <f aca="false">Inputs!$B$13+3+3*$B$114</f>
        <v>57</v>
      </c>
    </row>
    <row r="119" customFormat="false" ht="15" hidden="false" customHeight="false" outlineLevel="0" collapsed="false">
      <c r="A119" s="3" t="s">
        <v>337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0</v>
      </c>
      <c r="G119" s="33" t="n">
        <f aca="false">Source_Data!G$7+IF($B$117=1,IF(Source_Data!G$6=Inputs!$B$13,Source_Data!$C$8,0),Source_Data!G$8)</f>
        <v>0</v>
      </c>
      <c r="H119" s="33" t="n">
        <f aca="false">Source_Data!H$7+IF($B$117=1,IF(Source_Data!H$6=Inputs!$B$13,Source_Data!$C$8,0),Source_Data!H$8)</f>
        <v>18.11565</v>
      </c>
      <c r="I119" s="33" t="n">
        <f aca="false">Source_Data!I$7+IF($B$117=1,IF(Source_Data!I$6=Inputs!$B$13,Source_Data!$C$8,0),Source_Data!I$8)</f>
        <v>36.2313</v>
      </c>
      <c r="J119" s="33" t="n">
        <f aca="false">Source_Data!J$7+IF($B$117=1,IF(Source_Data!J$6=Inputs!$B$13,Source_Data!$C$8,0),Source_Data!J$8)</f>
        <v>58.260825</v>
      </c>
      <c r="K119" s="33" t="n">
        <f aca="false">Source_Data!K$7+IF($B$117=1,IF(Source_Data!K$6=Inputs!$B$13,Source_Data!$C$8,0),Source_Data!K$8)</f>
        <v>69.01839</v>
      </c>
      <c r="L119" s="33" t="n">
        <f aca="false">Source_Data!L$7+IF($B$117=1,IF(Source_Data!L$6=Inputs!$B$13,Source_Data!$C$8,0),Source_Data!L$8)</f>
        <v>67.087545</v>
      </c>
      <c r="M119" s="33" t="n">
        <f aca="false">Source_Data!M$7+IF($B$117=1,IF(Source_Data!M$6=Inputs!$B$13,Source_Data!$C$8,0),Source_Data!M$8)</f>
        <v>72.9732675</v>
      </c>
      <c r="N119" s="33" t="n">
        <f aca="false">Source_Data!N$7+IF($B$117=1,IF(Source_Data!N$6=Inputs!$B$13,Source_Data!$C$8,0),Source_Data!N$8)</f>
        <v>88.871055</v>
      </c>
      <c r="O119" s="33" t="n">
        <f aca="false">Source_Data!O$7+IF($B$117=1,IF(Source_Data!O$6=Inputs!$B$13,Source_Data!$C$8,0),Source_Data!O$8)</f>
        <v>105.60753</v>
      </c>
      <c r="P119" s="33" t="n">
        <f aca="false">Source_Data!P$7+IF($B$117=1,IF(Source_Data!P$6=Inputs!$B$13,Source_Data!$C$8,0),Source_Data!P$8)</f>
        <v>115.25243625</v>
      </c>
      <c r="Q119" s="33" t="n">
        <f aca="false">Source_Data!Q$7+IF($B$117=1,IF(Source_Data!Q$6=Inputs!$B$13,Source_Data!$C$8,0),Source_Data!Q$8)</f>
        <v>124.8973425</v>
      </c>
      <c r="R119" s="33" t="n">
        <f aca="false">Source_Data!R$7+IF($B$117=1,IF(Source_Data!R$6=Inputs!$B$13,Source_Data!$C$8,0),Source_Data!R$8)</f>
        <v>683.0904675</v>
      </c>
      <c r="S119" s="33" t="n">
        <f aca="false">Source_Data!S$7+IF($B$117=1,IF(Source_Data!S$6=Inputs!$B$13,Source_Data!$C$8,0),Source_Data!S$8)</f>
        <v>171.6401925</v>
      </c>
      <c r="T119" s="33" t="n">
        <f aca="false">Source_Data!T$7+IF($B$117=1,IF(Source_Data!T$6=Inputs!$B$13,Source_Data!$C$8,0),Source_Data!T$8)</f>
        <v>112.5965925</v>
      </c>
      <c r="U119" s="33" t="n">
        <f aca="false">Source_Data!U$7+IF($B$117=1,IF(Source_Data!U$6=Inputs!$B$13,Source_Data!$C$8,0),Source_Data!U$8)</f>
        <v>89.3369925</v>
      </c>
      <c r="V119" s="33" t="n">
        <f aca="false">Source_Data!V$7+IF($B$117=1,IF(Source_Data!V$6=Inputs!$B$13,Source_Data!$C$8,0),Source_Data!V$8)</f>
        <v>87.5254275</v>
      </c>
      <c r="W119" s="33" t="n">
        <f aca="false">Source_Data!W$7+IF($B$117=1,IF(Source_Data!W$6=Inputs!$B$13,Source_Data!$C$8,0),Source_Data!W$8)</f>
        <v>85.7138625</v>
      </c>
      <c r="X119" s="33" t="n">
        <f aca="false">Source_Data!X$7+IF($B$117=1,IF(Source_Data!X$6=Inputs!$B$13,Source_Data!$C$8,0),Source_Data!X$8)</f>
        <v>77.279461875</v>
      </c>
      <c r="Y119" s="33" t="n">
        <f aca="false">Source_Data!Y$7+IF($B$117=1,IF(Source_Data!Y$6=Inputs!$B$13,Source_Data!$C$8,0),Source_Data!Y$8)</f>
        <v>70.15341375</v>
      </c>
      <c r="Z119" s="33" t="n">
        <f aca="false">Source_Data!Z$7+IF($B$117=1,IF(Source_Data!Z$6=Inputs!$B$13,Source_Data!$C$8,0),Source_Data!Z$8)</f>
        <v>61.33787625</v>
      </c>
      <c r="AA119" s="33" t="n">
        <f aca="false">Source_Data!AA$7+IF($B$117=1,IF(Source_Data!AA$6=Inputs!$B$13,Source_Data!$C$8,0),Source_Data!AA$8)</f>
        <v>51.04624875</v>
      </c>
      <c r="AB119" s="33" t="n">
        <f aca="false">Source_Data!AB$7+IF($B$117=1,IF(Source_Data!AB$6=Inputs!$B$13,Source_Data!$C$8,0),Source_Data!AB$8)</f>
        <v>51.04624875</v>
      </c>
      <c r="AC119" s="33" t="n">
        <f aca="false">Source_Data!AC$7+IF($B$117=1,IF(Source_Data!AC$6=Inputs!$B$13,Source_Data!$C$8,0),Source_Data!AC$8)</f>
        <v>51.04624875</v>
      </c>
      <c r="AD119" s="33" t="n">
        <f aca="false">Source_Data!AD$7+IF($B$117=1,IF(Source_Data!AD$6=Inputs!$B$13,Source_Data!$C$8,0),Source_Data!AD$8)</f>
        <v>51.04624875</v>
      </c>
      <c r="AE119" s="33" t="n">
        <f aca="false">Source_Data!AE$7+IF($B$117=1,IF(Source_Data!AE$6=Inputs!$B$13,Source_Data!$C$8,0),Source_Data!AE$8)</f>
        <v>51.04624875</v>
      </c>
      <c r="AF119" s="33" t="n">
        <f aca="false">Source_Data!AF$7+IF($B$117=1,IF(Source_Data!AF$6=Inputs!$B$13,Source_Data!$C$8,0),Source_Data!AF$8)</f>
        <v>43.931383125</v>
      </c>
      <c r="AG119" s="33" t="n">
        <f aca="false">Source_Data!AG$7+IF($B$117=1,IF(Source_Data!AG$6=Inputs!$B$13,Source_Data!$C$8,0),Source_Data!AG$8)</f>
        <v>36.8165175</v>
      </c>
      <c r="AH119" s="33" t="n">
        <f aca="false">Source_Data!AH$7+IF($B$117=1,IF(Source_Data!AH$6=Inputs!$B$13,Source_Data!$C$8,0),Source_Data!AH$8)</f>
        <v>32.958555</v>
      </c>
      <c r="AI119" s="33" t="n">
        <f aca="false">Source_Data!AI$7+IF($B$117=1,IF(Source_Data!AI$6=Inputs!$B$13,Source_Data!$C$8,0),Source_Data!AI$8)</f>
        <v>29.1005925</v>
      </c>
      <c r="AJ119" s="33" t="n">
        <f aca="false">Source_Data!AJ$7+IF($B$117=1,IF(Source_Data!AJ$6=Inputs!$B$13,Source_Data!$C$8,0),Source_Data!AJ$8)</f>
        <v>22.8831225</v>
      </c>
      <c r="AK119" s="33" t="n">
        <f aca="false">Source_Data!AK$7+IF($B$117=1,IF(Source_Data!AK$6=Inputs!$B$13,Source_Data!$C$8,0),Source_Data!AK$8)</f>
        <v>19.2823575</v>
      </c>
      <c r="AL119" s="33" t="n">
        <f aca="false">Source_Data!AL$7+IF($B$117=1,IF(Source_Data!AL$6=Inputs!$B$13,Source_Data!$C$8,0),Source_Data!AL$8)</f>
        <v>16.80357</v>
      </c>
      <c r="AM119" s="33" t="n">
        <f aca="false">Source_Data!AM$7+IF($B$117=1,IF(Source_Data!AM$6=Inputs!$B$13,Source_Data!$C$8,0),Source_Data!AM$8)</f>
        <v>7.24626</v>
      </c>
      <c r="AN119" s="33" t="n">
        <f aca="false">Source_Data!AN$7+IF($B$117=1,IF(Source_Data!AN$6=Inputs!$B$13,Source_Data!$C$8,0),Source_Data!AN$8)</f>
        <v>7.24626</v>
      </c>
      <c r="AO119" s="33" t="n">
        <f aca="false">Source_Data!AO$7+IF($B$117=1,IF(Source_Data!AO$6=Inputs!$B$13,Source_Data!$C$8,0),Source_Data!AO$8)</f>
        <v>7.24626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338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0</v>
      </c>
      <c r="G120" s="33" t="n">
        <f aca="false">$B$113*IF(Source_Data!G$5-($B$114+$B$116)&gt;=1,INDEX($D$119:$BK$119,1,Source_Data!G$5-($B$114+$B$116)),0)</f>
        <v>0</v>
      </c>
      <c r="H120" s="33" t="n">
        <f aca="false">$B$113*IF(Source_Data!H$5-($B$114+$B$116)&gt;=1,INDEX($D$119:$BK$119,1,Source_Data!H$5-($B$114+$B$116)),0)</f>
        <v>21.73878</v>
      </c>
      <c r="I120" s="33" t="n">
        <f aca="false">$B$113*IF(Source_Data!I$5-($B$114+$B$116)&gt;=1,INDEX($D$119:$BK$119,1,Source_Data!I$5-($B$114+$B$116)),0)</f>
        <v>43.47756</v>
      </c>
      <c r="J120" s="33" t="n">
        <f aca="false">$B$113*IF(Source_Data!J$5-($B$114+$B$116)&gt;=1,INDEX($D$119:$BK$119,1,Source_Data!J$5-($B$114+$B$116)),0)</f>
        <v>69.91299</v>
      </c>
      <c r="K120" s="33" t="n">
        <f aca="false">$B$113*IF(Source_Data!K$5-($B$114+$B$116)&gt;=1,INDEX($D$119:$BK$119,1,Source_Data!K$5-($B$114+$B$116)),0)</f>
        <v>82.822068</v>
      </c>
      <c r="L120" s="33" t="n">
        <f aca="false">$B$113*IF(Source_Data!L$5-($B$114+$B$116)&gt;=1,INDEX($D$119:$BK$119,1,Source_Data!L$5-($B$114+$B$116)),0)</f>
        <v>80.505054</v>
      </c>
      <c r="M120" s="33" t="n">
        <f aca="false">$B$113*IF(Source_Data!M$5-($B$114+$B$116)&gt;=1,INDEX($D$119:$BK$119,1,Source_Data!M$5-($B$114+$B$116)),0)</f>
        <v>87.567921</v>
      </c>
      <c r="N120" s="33" t="n">
        <f aca="false">$B$113*IF(Source_Data!N$5-($B$114+$B$116)&gt;=1,INDEX($D$119:$BK$119,1,Source_Data!N$5-($B$114+$B$116)),0)</f>
        <v>106.645266</v>
      </c>
      <c r="O120" s="33" t="n">
        <f aca="false">$B$113*IF(Source_Data!O$5-($B$114+$B$116)&gt;=1,INDEX($D$119:$BK$119,1,Source_Data!O$5-($B$114+$B$116)),0)</f>
        <v>126.729036</v>
      </c>
      <c r="P120" s="33" t="n">
        <f aca="false">$B$113*IF(Source_Data!P$5-($B$114+$B$116)&gt;=1,INDEX($D$119:$BK$119,1,Source_Data!P$5-($B$114+$B$116)),0)</f>
        <v>138.3029235</v>
      </c>
      <c r="Q120" s="33" t="n">
        <f aca="false">$B$113*IF(Source_Data!Q$5-($B$114+$B$116)&gt;=1,INDEX($D$119:$BK$119,1,Source_Data!Q$5-($B$114+$B$116)),0)</f>
        <v>149.876811</v>
      </c>
      <c r="R120" s="33" t="n">
        <f aca="false">$B$113*IF(Source_Data!R$5-($B$114+$B$116)&gt;=1,INDEX($D$119:$BK$119,1,Source_Data!R$5-($B$114+$B$116)),0)</f>
        <v>819.708561</v>
      </c>
      <c r="S120" s="33" t="n">
        <f aca="false">$B$113*IF(Source_Data!S$5-($B$114+$B$116)&gt;=1,INDEX($D$119:$BK$119,1,Source_Data!S$5-($B$114+$B$116)),0)</f>
        <v>205.968231</v>
      </c>
      <c r="T120" s="33" t="n">
        <f aca="false">$B$113*IF(Source_Data!T$5-($B$114+$B$116)&gt;=1,INDEX($D$119:$BK$119,1,Source_Data!T$5-($B$114+$B$116)),0)</f>
        <v>135.115911</v>
      </c>
      <c r="U120" s="33" t="n">
        <f aca="false">$B$113*IF(Source_Data!U$5-($B$114+$B$116)&gt;=1,INDEX($D$119:$BK$119,1,Source_Data!U$5-($B$114+$B$116)),0)</f>
        <v>107.204391</v>
      </c>
      <c r="V120" s="33" t="n">
        <f aca="false">$B$113*IF(Source_Data!V$5-($B$114+$B$116)&gt;=1,INDEX($D$119:$BK$119,1,Source_Data!V$5-($B$114+$B$116)),0)</f>
        <v>105.030513</v>
      </c>
      <c r="W120" s="33" t="n">
        <f aca="false">$B$113*IF(Source_Data!W$5-($B$114+$B$116)&gt;=1,INDEX($D$119:$BK$119,1,Source_Data!W$5-($B$114+$B$116)),0)</f>
        <v>102.856635</v>
      </c>
      <c r="X120" s="33" t="n">
        <f aca="false">$B$113*IF(Source_Data!X$5-($B$114+$B$116)&gt;=1,INDEX($D$119:$BK$119,1,Source_Data!X$5-($B$114+$B$116)),0)</f>
        <v>92.73535425</v>
      </c>
      <c r="Y120" s="33" t="n">
        <f aca="false">$B$113*IF(Source_Data!Y$5-($B$114+$B$116)&gt;=1,INDEX($D$119:$BK$119,1,Source_Data!Y$5-($B$114+$B$116)),0)</f>
        <v>84.1840965</v>
      </c>
      <c r="Z120" s="33" t="n">
        <f aca="false">$B$113*IF(Source_Data!Z$5-($B$114+$B$116)&gt;=1,INDEX($D$119:$BK$119,1,Source_Data!Z$5-($B$114+$B$116)),0)</f>
        <v>73.6054515</v>
      </c>
      <c r="AA120" s="33" t="n">
        <f aca="false">$B$113*IF(Source_Data!AA$5-($B$114+$B$116)&gt;=1,INDEX($D$119:$BK$119,1,Source_Data!AA$5-($B$114+$B$116)),0)</f>
        <v>61.2554985</v>
      </c>
      <c r="AB120" s="33" t="n">
        <f aca="false">$B$113*IF(Source_Data!AB$5-($B$114+$B$116)&gt;=1,INDEX($D$119:$BK$119,1,Source_Data!AB$5-($B$114+$B$116)),0)</f>
        <v>61.2554985</v>
      </c>
      <c r="AC120" s="33" t="n">
        <f aca="false">$B$113*IF(Source_Data!AC$5-($B$114+$B$116)&gt;=1,INDEX($D$119:$BK$119,1,Source_Data!AC$5-($B$114+$B$116)),0)</f>
        <v>61.2554985</v>
      </c>
      <c r="AD120" s="33" t="n">
        <f aca="false">$B$113*IF(Source_Data!AD$5-($B$114+$B$116)&gt;=1,INDEX($D$119:$BK$119,1,Source_Data!AD$5-($B$114+$B$116)),0)</f>
        <v>61.2554985</v>
      </c>
      <c r="AE120" s="33" t="n">
        <f aca="false">$B$113*IF(Source_Data!AE$5-($B$114+$B$116)&gt;=1,INDEX($D$119:$BK$119,1,Source_Data!AE$5-($B$114+$B$116)),0)</f>
        <v>61.2554985</v>
      </c>
      <c r="AF120" s="33" t="n">
        <f aca="false">$B$113*IF(Source_Data!AF$5-($B$114+$B$116)&gt;=1,INDEX($D$119:$BK$119,1,Source_Data!AF$5-($B$114+$B$116)),0)</f>
        <v>52.71765975</v>
      </c>
      <c r="AG120" s="33" t="n">
        <f aca="false">$B$113*IF(Source_Data!AG$5-($B$114+$B$116)&gt;=1,INDEX($D$119:$BK$119,1,Source_Data!AG$5-($B$114+$B$116)),0)</f>
        <v>44.179821</v>
      </c>
      <c r="AH120" s="33" t="n">
        <f aca="false">$B$113*IF(Source_Data!AH$5-($B$114+$B$116)&gt;=1,INDEX($D$119:$BK$119,1,Source_Data!AH$5-($B$114+$B$116)),0)</f>
        <v>39.550266</v>
      </c>
      <c r="AI120" s="33" t="n">
        <f aca="false">$B$113*IF(Source_Data!AI$5-($B$114+$B$116)&gt;=1,INDEX($D$119:$BK$119,1,Source_Data!AI$5-($B$114+$B$116)),0)</f>
        <v>34.920711</v>
      </c>
      <c r="AJ120" s="33" t="n">
        <f aca="false">$B$113*IF(Source_Data!AJ$5-($B$114+$B$116)&gt;=1,INDEX($D$119:$BK$119,1,Source_Data!AJ$5-($B$114+$B$116)),0)</f>
        <v>27.459747</v>
      </c>
      <c r="AK120" s="33" t="n">
        <f aca="false">$B$113*IF(Source_Data!AK$5-($B$114+$B$116)&gt;=1,INDEX($D$119:$BK$119,1,Source_Data!AK$5-($B$114+$B$116)),0)</f>
        <v>23.138829</v>
      </c>
      <c r="AL120" s="33" t="n">
        <f aca="false">$B$113*IF(Source_Data!AL$5-($B$114+$B$116)&gt;=1,INDEX($D$119:$BK$119,1,Source_Data!AL$5-($B$114+$B$116)),0)</f>
        <v>20.164284</v>
      </c>
      <c r="AM120" s="33" t="n">
        <f aca="false">$B$113*IF(Source_Data!AM$5-($B$114+$B$116)&gt;=1,INDEX($D$119:$BK$119,1,Source_Data!AM$5-($B$114+$B$116)),0)</f>
        <v>8.695512</v>
      </c>
      <c r="AN120" s="33" t="n">
        <f aca="false">$B$113*IF(Source_Data!AN$5-($B$114+$B$116)&gt;=1,INDEX($D$119:$BK$119,1,Source_Data!AN$5-($B$114+$B$116)),0)</f>
        <v>8.695512</v>
      </c>
      <c r="AO120" s="33" t="n">
        <f aca="false">$B$113*IF(Source_Data!AO$5-($B$114+$B$116)&gt;=1,INDEX($D$119:$BK$119,1,Source_Data!AO$5-($B$114+$B$116)),0)</f>
        <v>8.695512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339</v>
      </c>
      <c r="D121" s="33" t="n">
        <f aca="false">Source_Data!D$9+Source_Data!D$10*IF(Source_Data!$C$10=0,0,MAX(0,Inputs!$B$19*Inputs!$B$22*$B$113-Inputs!$B$20)/Source_Data!$C$10)</f>
        <v>0</v>
      </c>
      <c r="E121" s="33" t="n">
        <f aca="false">Source_Data!E$9+Source_Data!E$10*IF(Source_Data!$C$10=0,0,MAX(0,Inputs!$B$19*Inputs!$B$22*$B$113-Inputs!$B$20)/Source_Data!$C$10)</f>
        <v>0</v>
      </c>
      <c r="F121" s="33" t="n">
        <f aca="false">Source_Data!F$9+Source_Data!F$10*IF(Source_Data!$C$10=0,0,MAX(0,Inputs!$B$19*Inputs!$B$22*$B$113-Inputs!$B$20)/Source_Data!$C$10)</f>
        <v>0</v>
      </c>
      <c r="G121" s="33" t="n">
        <f aca="false">Source_Data!G$9+Source_Data!G$10*IF(Source_Data!$C$10=0,0,MAX(0,Inputs!$B$19*Inputs!$B$22*$B$113-Inputs!$B$20)/Source_Data!$C$10)</f>
        <v>85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45</v>
      </c>
      <c r="M121" s="33" t="n">
        <f aca="false">Source_Data!M$9+Source_Data!M$10*IF(Source_Data!$C$10=0,0,MAX(0,Inputs!$B$19*Inputs!$B$22*$B$113-Inputs!$B$20)/Source_Data!$C$10)</f>
        <v>45</v>
      </c>
      <c r="N121" s="33" t="n">
        <f aca="false">Source_Data!N$9+Source_Data!N$10*IF(Source_Data!$C$10=0,0,MAX(0,Inputs!$B$19*Inputs!$B$22*$B$113-Inputs!$B$20)/Source_Data!$C$10)</f>
        <v>45</v>
      </c>
      <c r="O121" s="33" t="n">
        <f aca="false">Source_Data!O$9+Source_Data!O$10*IF(Source_Data!$C$10=0,0,MAX(0,Inputs!$B$19*Inputs!$B$22*$B$113-Inputs!$B$20)/Source_Data!$C$10)</f>
        <v>45</v>
      </c>
      <c r="P121" s="33" t="n">
        <f aca="false">Source_Data!P$9+Source_Data!P$10*IF(Source_Data!$C$10=0,0,MAX(0,Inputs!$B$19*Inputs!$B$22*$B$113-Inputs!$B$20)/Source_Data!$C$10)</f>
        <v>56.25</v>
      </c>
      <c r="Q121" s="33" t="n">
        <f aca="false">Source_Data!Q$9+Source_Data!Q$10*IF(Source_Data!$C$10=0,0,MAX(0,Inputs!$B$19*Inputs!$B$22*$B$113-Inputs!$B$20)/Source_Data!$C$10)</f>
        <v>56.25</v>
      </c>
      <c r="R121" s="33" t="n">
        <f aca="false">Source_Data!R$9+Source_Data!R$10*IF(Source_Data!$C$10=0,0,MAX(0,Inputs!$B$19*Inputs!$B$22*$B$113-Inputs!$B$20)/Source_Data!$C$10)</f>
        <v>56.25</v>
      </c>
      <c r="S121" s="33" t="n">
        <f aca="false">Source_Data!S$9+Source_Data!S$10*IF(Source_Data!$C$10=0,0,MAX(0,Inputs!$B$19*Inputs!$B$22*$B$113-Inputs!$B$20)/Source_Data!$C$10)</f>
        <v>56.25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417.659393799481</v>
      </c>
      <c r="AG121" s="33" t="n">
        <f aca="false">Source_Data!AG$9+Source_Data!AG$10*IF(Source_Data!$C$10=0,0,MAX(0,Inputs!$B$19*Inputs!$B$22*$B$113-Inputs!$B$20)/Source_Data!$C$10)</f>
        <v>27.8920745752475</v>
      </c>
      <c r="AH121" s="33" t="n">
        <f aca="false">Source_Data!AH$9+Source_Data!AH$10*IF(Source_Data!$C$10=0,0,MAX(0,Inputs!$B$19*Inputs!$B$22*$B$113-Inputs!$B$20)/Source_Data!$C$10)</f>
        <v>24.9692946637986</v>
      </c>
      <c r="AI121" s="33" t="n">
        <f aca="false">Source_Data!AI$9+Source_Data!AI$10*IF(Source_Data!$C$10=0,0,MAX(0,Inputs!$B$19*Inputs!$B$22*$B$113-Inputs!$B$20)/Source_Data!$C$10)</f>
        <v>22.0465147523496</v>
      </c>
      <c r="AJ121" s="33" t="n">
        <f aca="false">Source_Data!AJ$9+Source_Data!AJ$10*IF(Source_Data!$C$10=0,0,MAX(0,Inputs!$B$19*Inputs!$B$22*$B$113-Inputs!$B$20)/Source_Data!$C$10)</f>
        <v>17.3361795907102</v>
      </c>
      <c r="AK121" s="33" t="n">
        <f aca="false">Source_Data!AK$9+Source_Data!AK$10*IF(Source_Data!$C$10=0,0,MAX(0,Inputs!$B$19*Inputs!$B$22*$B$113-Inputs!$B$20)/Source_Data!$C$10)</f>
        <v>14.6082516733578</v>
      </c>
      <c r="AL121" s="33" t="n">
        <f aca="false">Source_Data!AL$9+Source_Data!AL$10*IF(Source_Data!$C$10=0,0,MAX(0,Inputs!$B$19*Inputs!$B$22*$B$113-Inputs!$B$20)/Source_Data!$C$10)</f>
        <v>12.7303302809776</v>
      </c>
      <c r="AM121" s="33" t="n">
        <f aca="false">Source_Data!AM$9+Source_Data!AM$10*IF(Source_Data!$C$10=0,0,MAX(0,Inputs!$B$19*Inputs!$B$22*$B$113-Inputs!$B$20)/Source_Data!$C$10)</f>
        <v>5.48974313802584</v>
      </c>
      <c r="AN121" s="33" t="n">
        <f aca="false">Source_Data!AN$9+Source_Data!AN$10*IF(Source_Data!$C$10=0,0,MAX(0,Inputs!$B$19*Inputs!$B$22*$B$113-Inputs!$B$20)/Source_Data!$C$10)</f>
        <v>5.48974313802584</v>
      </c>
      <c r="AO121" s="33" t="n">
        <f aca="false">Source_Data!AO$9+Source_Data!AO$10*IF(Source_Data!$C$10=0,0,MAX(0,Inputs!$B$19*Inputs!$B$22*$B$113-Inputs!$B$20)/Source_Data!$C$10)</f>
        <v>5.48974313802584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194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0</v>
      </c>
      <c r="I122" s="33" t="n">
        <f aca="false">Source_Data!I$11*$B$115</f>
        <v>0</v>
      </c>
      <c r="J122" s="33" t="n">
        <f aca="false">Source_Data!J$11*$B$115</f>
        <v>20</v>
      </c>
      <c r="K122" s="33" t="n">
        <f aca="false">Source_Data!K$11*$B$115</f>
        <v>26.4</v>
      </c>
      <c r="L122" s="33" t="n">
        <f aca="false">Source_Data!L$11*$B$115</f>
        <v>40</v>
      </c>
      <c r="M122" s="33" t="n">
        <f aca="false">Source_Data!M$11*$B$115</f>
        <v>26.4</v>
      </c>
      <c r="N122" s="33" t="n">
        <f aca="false">Source_Data!N$11*$B$115</f>
        <v>26.4</v>
      </c>
      <c r="O122" s="33" t="n">
        <f aca="false">Source_Data!O$11*$B$115</f>
        <v>26.4</v>
      </c>
      <c r="P122" s="33" t="n">
        <f aca="false">Source_Data!P$11*$B$115</f>
        <v>5.28</v>
      </c>
      <c r="Q122" s="33" t="n">
        <f aca="false">Source_Data!Q$11*$B$115</f>
        <v>5.28</v>
      </c>
      <c r="R122" s="33" t="n">
        <f aca="false">Source_Data!R$11*$B$115</f>
        <v>120</v>
      </c>
      <c r="S122" s="33" t="n">
        <f aca="false">Source_Data!S$11*$B$115</f>
        <v>120</v>
      </c>
      <c r="T122" s="33" t="n">
        <f aca="false">Source_Data!T$11*$B$115</f>
        <v>164</v>
      </c>
      <c r="U122" s="33" t="n">
        <f aca="false">Source_Data!U$11*$B$115</f>
        <v>117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196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0</v>
      </c>
      <c r="K123" s="33" t="n">
        <f aca="false">$B$113*IF(Source_Data!K$5-$B$114&gt;=1,INDEX(Source_Data!$D$12:$BK$12,1,Source_Data!K$5-$B$114),0)</f>
        <v>0</v>
      </c>
      <c r="L123" s="33" t="n">
        <f aca="false">$B$113*IF(Source_Data!L$5-$B$114&gt;=1,INDEX(Source_Data!$D$12:$BK$12,1,Source_Data!L$5-$B$114),0)</f>
        <v>17.391024</v>
      </c>
      <c r="M123" s="33" t="n">
        <f aca="false">$B$113*IF(Source_Data!M$5-$B$114&gt;=1,INDEX(Source_Data!$D$12:$BK$12,1,Source_Data!M$5-$B$114),0)</f>
        <v>17.391024</v>
      </c>
      <c r="N123" s="33" t="n">
        <f aca="false">$B$113*IF(Source_Data!N$5-$B$114&gt;=1,INDEX(Source_Data!$D$12:$BK$12,1,Source_Data!N$5-$B$114),0)</f>
        <v>14.921928</v>
      </c>
      <c r="O123" s="33" t="n">
        <f aca="false">$B$113*IF(Source_Data!O$5-$B$114&gt;=1,INDEX(Source_Data!$D$12:$BK$12,1,Source_Data!O$5-$B$114),0)</f>
        <v>8.641836</v>
      </c>
      <c r="P123" s="33" t="n">
        <f aca="false">$B$113*IF(Source_Data!P$5-$B$114&gt;=1,INDEX(Source_Data!$D$12:$BK$12,1,Source_Data!P$5-$B$114),0)</f>
        <v>9.518544</v>
      </c>
      <c r="Q123" s="33" t="n">
        <f aca="false">$B$113*IF(Source_Data!Q$5-$B$114&gt;=1,INDEX(Source_Data!$D$12:$BK$12,1,Source_Data!Q$5-$B$114),0)</f>
        <v>8.874432</v>
      </c>
      <c r="R123" s="33" t="n">
        <f aca="false">$B$113*IF(Source_Data!R$5-$B$114&gt;=1,INDEX(Source_Data!$D$12:$BK$12,1,Source_Data!R$5-$B$114),0)</f>
        <v>9.053352</v>
      </c>
      <c r="S123" s="33" t="n">
        <f aca="false">$B$113*IF(Source_Data!S$5-$B$114&gt;=1,INDEX(Source_Data!$D$12:$BK$12,1,Source_Data!S$5-$B$114),0)</f>
        <v>9.053352</v>
      </c>
      <c r="T123" s="33" t="n">
        <f aca="false">$B$113*IF(Source_Data!T$5-$B$114&gt;=1,INDEX(Source_Data!$D$12:$BK$12,1,Source_Data!T$5-$B$114),0)</f>
        <v>9.876384</v>
      </c>
      <c r="U123" s="33" t="n">
        <f aca="false">$B$113*IF(Source_Data!U$5-$B$114&gt;=1,INDEX(Source_Data!$D$12:$BK$12,1,Source_Data!U$5-$B$114),0)</f>
        <v>9.876384</v>
      </c>
      <c r="V123" s="33" t="n">
        <f aca="false">$B$113*IF(Source_Data!V$5-$B$114&gt;=1,INDEX(Source_Data!$D$12:$BK$12,1,Source_Data!V$5-$B$114),0)</f>
        <v>6.870528</v>
      </c>
      <c r="W123" s="33" t="n">
        <f aca="false">$B$113*IF(Source_Data!W$5-$B$114&gt;=1,INDEX(Source_Data!$D$12:$BK$12,1,Source_Data!W$5-$B$114),0)</f>
        <v>6.870528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215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0</v>
      </c>
      <c r="I124" s="33" t="n">
        <f aca="false">Source_Data!I$13*$B$115</f>
        <v>0</v>
      </c>
      <c r="J124" s="33" t="n">
        <f aca="false">Source_Data!J$13*$B$115</f>
        <v>3</v>
      </c>
      <c r="K124" s="33" t="n">
        <f aca="false">Source_Data!K$13*$B$115</f>
        <v>3.96</v>
      </c>
      <c r="L124" s="33" t="n">
        <f aca="false">Source_Data!L$13*$B$115</f>
        <v>6</v>
      </c>
      <c r="M124" s="33" t="n">
        <f aca="false">Source_Data!M$13*$B$115</f>
        <v>3.96</v>
      </c>
      <c r="N124" s="33" t="n">
        <f aca="false">Source_Data!N$13*$B$115</f>
        <v>3.96</v>
      </c>
      <c r="O124" s="33" t="n">
        <f aca="false">Source_Data!O$13*$B$115</f>
        <v>3.96</v>
      </c>
      <c r="P124" s="33" t="n">
        <f aca="false">Source_Data!P$13*$B$115</f>
        <v>0.792</v>
      </c>
      <c r="Q124" s="33" t="n">
        <f aca="false">Source_Data!Q$13*$B$115</f>
        <v>0.792</v>
      </c>
      <c r="R124" s="33" t="n">
        <f aca="false">Source_Data!R$13*$B$115</f>
        <v>18</v>
      </c>
      <c r="S124" s="33" t="n">
        <f aca="false">Source_Data!S$13*$B$115</f>
        <v>18</v>
      </c>
      <c r="T124" s="33" t="n">
        <f aca="false">Source_Data!T$13*$B$115</f>
        <v>24.6</v>
      </c>
      <c r="U124" s="33" t="n">
        <f aca="false">Source_Data!U$13*$B$115</f>
        <v>17.55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216</v>
      </c>
      <c r="D125" s="33" t="n">
        <f aca="false">D120-D121-D122-D123-D124</f>
        <v>0</v>
      </c>
      <c r="E125" s="33" t="n">
        <f aca="false">E120-E121-E122-E123-E124</f>
        <v>0</v>
      </c>
      <c r="F125" s="33" t="n">
        <f aca="false">F120-F121-F122-F123-F124</f>
        <v>0</v>
      </c>
      <c r="G125" s="33" t="n">
        <f aca="false">G120-G121-G122-G123-G124</f>
        <v>-85</v>
      </c>
      <c r="H125" s="33" t="n">
        <f aca="false">H120-H121-H122-H123-H124</f>
        <v>-0.761220000000002</v>
      </c>
      <c r="I125" s="33" t="n">
        <f aca="false">I120-I121-I122-I123-I124</f>
        <v>20.97756</v>
      </c>
      <c r="J125" s="33" t="n">
        <f aca="false">J120-J121-J122-J123-J124</f>
        <v>24.41299</v>
      </c>
      <c r="K125" s="33" t="n">
        <f aca="false">K120-K121-K122-K123-K124</f>
        <v>29.962068</v>
      </c>
      <c r="L125" s="33" t="n">
        <f aca="false">L120-L121-L122-L123-L124</f>
        <v>-27.88597</v>
      </c>
      <c r="M125" s="33" t="n">
        <f aca="false">M120-M121-M122-M123-M124</f>
        <v>-5.183103</v>
      </c>
      <c r="N125" s="33" t="n">
        <f aca="false">N120-N121-N122-N123-N124</f>
        <v>16.363338</v>
      </c>
      <c r="O125" s="33" t="n">
        <f aca="false">O120-O121-O122-O123-O124</f>
        <v>42.7272</v>
      </c>
      <c r="P125" s="33" t="n">
        <f aca="false">P120-P121-P122-P123-P124</f>
        <v>66.4623795</v>
      </c>
      <c r="Q125" s="33" t="n">
        <f aca="false">Q120-Q121-Q122-Q123-Q124</f>
        <v>78.680379</v>
      </c>
      <c r="R125" s="33" t="n">
        <f aca="false">R120-R121-R122-R123-R124</f>
        <v>616.405209</v>
      </c>
      <c r="S125" s="33" t="n">
        <f aca="false">S120-S121-S122-S123-S124</f>
        <v>2.66487899999997</v>
      </c>
      <c r="T125" s="33" t="n">
        <f aca="false">T120-T121-T122-T123-T124</f>
        <v>-108.360473</v>
      </c>
      <c r="U125" s="33" t="n">
        <f aca="false">U120-U121-U122-U123-U124</f>
        <v>-82.2219930000001</v>
      </c>
      <c r="V125" s="33" t="n">
        <f aca="false">V120-V121-V122-V123-V124</f>
        <v>53.159985</v>
      </c>
      <c r="W125" s="33" t="n">
        <f aca="false">W120-W121-W122-W123-W124</f>
        <v>50.986107</v>
      </c>
      <c r="X125" s="33" t="n">
        <f aca="false">X120-X121-X122-X123-X124</f>
        <v>70.23535425</v>
      </c>
      <c r="Y125" s="33" t="n">
        <f aca="false">Y120-Y121-Y122-Y123-Y124</f>
        <v>61.6840965</v>
      </c>
      <c r="Z125" s="33" t="n">
        <f aca="false">Z120-Z121-Z122-Z123-Z124</f>
        <v>51.1054515</v>
      </c>
      <c r="AA125" s="33" t="n">
        <f aca="false">AA120-AA121-AA122-AA123-AA124</f>
        <v>38.7554985</v>
      </c>
      <c r="AB125" s="33" t="n">
        <f aca="false">AB120-AB121-AB122-AB123-AB124</f>
        <v>61.2554985</v>
      </c>
      <c r="AC125" s="33" t="n">
        <f aca="false">AC120-AC121-AC122-AC123-AC124</f>
        <v>61.2554985</v>
      </c>
      <c r="AD125" s="33" t="n">
        <f aca="false">AD120-AD121-AD122-AD123-AD124</f>
        <v>61.2554985</v>
      </c>
      <c r="AE125" s="33" t="n">
        <f aca="false">AE120-AE121-AE122-AE123-AE124</f>
        <v>61.2554985</v>
      </c>
      <c r="AF125" s="33" t="n">
        <f aca="false">AF120-AF121-AF122-AF123-AF124</f>
        <v>-364.941734049481</v>
      </c>
      <c r="AG125" s="33" t="n">
        <f aca="false">AG120-AG121-AG122-AG123-AG124</f>
        <v>16.2877464247525</v>
      </c>
      <c r="AH125" s="33" t="n">
        <f aca="false">AH120-AH121-AH122-AH123-AH124</f>
        <v>14.5809713362014</v>
      </c>
      <c r="AI125" s="33" t="n">
        <f aca="false">AI120-AI121-AI122-AI123-AI124</f>
        <v>12.8741962476504</v>
      </c>
      <c r="AJ125" s="33" t="n">
        <f aca="false">AJ120-AJ121-AJ122-AJ123-AJ124</f>
        <v>10.1235674092898</v>
      </c>
      <c r="AK125" s="33" t="n">
        <f aca="false">AK120-AK121-AK122-AK123-AK124</f>
        <v>8.53057732664215</v>
      </c>
      <c r="AL125" s="33" t="n">
        <f aca="false">AL120-AL121-AL122-AL123-AL124</f>
        <v>7.43395371902239</v>
      </c>
      <c r="AM125" s="33" t="n">
        <f aca="false">AM120-AM121-AM122-AM123-AM124</f>
        <v>3.20576886197416</v>
      </c>
      <c r="AN125" s="33" t="n">
        <f aca="false">AN120-AN121-AN122-AN123-AN124</f>
        <v>3.20576886197416</v>
      </c>
      <c r="AO125" s="33" t="n">
        <f aca="false">AO120-AO121-AO122-AO123-AO124</f>
        <v>3.20576886197416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217</v>
      </c>
      <c r="D126" s="33" t="n">
        <f aca="false">D125</f>
        <v>0</v>
      </c>
      <c r="E126" s="33" t="n">
        <f aca="false">D126+E125</f>
        <v>0</v>
      </c>
      <c r="F126" s="33" t="n">
        <f aca="false">E126+F125</f>
        <v>0</v>
      </c>
      <c r="G126" s="33" t="n">
        <f aca="false">F126+G125</f>
        <v>-85</v>
      </c>
      <c r="H126" s="33" t="n">
        <f aca="false">G126+H125</f>
        <v>-85.76122</v>
      </c>
      <c r="I126" s="33" t="n">
        <f aca="false">H126+I125</f>
        <v>-64.78366</v>
      </c>
      <c r="J126" s="33" t="n">
        <f aca="false">I126+J125</f>
        <v>-40.37067</v>
      </c>
      <c r="K126" s="33" t="n">
        <f aca="false">J126+K125</f>
        <v>-10.408602</v>
      </c>
      <c r="L126" s="33" t="n">
        <f aca="false">K126+L125</f>
        <v>-38.294572</v>
      </c>
      <c r="M126" s="33" t="n">
        <f aca="false">L126+M125</f>
        <v>-43.4776750000001</v>
      </c>
      <c r="N126" s="33" t="n">
        <f aca="false">M126+N125</f>
        <v>-27.114337</v>
      </c>
      <c r="O126" s="33" t="n">
        <f aca="false">N126+O125</f>
        <v>15.612863</v>
      </c>
      <c r="P126" s="33" t="n">
        <f aca="false">O126+P125</f>
        <v>82.0752424999999</v>
      </c>
      <c r="Q126" s="33" t="n">
        <f aca="false">P126+Q125</f>
        <v>160.7556215</v>
      </c>
      <c r="R126" s="33" t="n">
        <f aca="false">Q126+R125</f>
        <v>777.1608305</v>
      </c>
      <c r="S126" s="33" t="n">
        <f aca="false">R126+S125</f>
        <v>779.8257095</v>
      </c>
      <c r="T126" s="33" t="n">
        <f aca="false">S126+T125</f>
        <v>671.4652365</v>
      </c>
      <c r="U126" s="33" t="n">
        <f aca="false">T126+U125</f>
        <v>589.243243499999</v>
      </c>
      <c r="V126" s="33" t="n">
        <f aca="false">U126+V125</f>
        <v>642.403228499999</v>
      </c>
      <c r="W126" s="33" t="n">
        <f aca="false">V126+W125</f>
        <v>693.389335499999</v>
      </c>
      <c r="X126" s="33" t="n">
        <f aca="false">W126+X125</f>
        <v>763.624689749999</v>
      </c>
      <c r="Y126" s="33" t="n">
        <f aca="false">X126+Y125</f>
        <v>825.308786249999</v>
      </c>
      <c r="Z126" s="33" t="n">
        <f aca="false">Y126+Z125</f>
        <v>876.414237749999</v>
      </c>
      <c r="AA126" s="33" t="n">
        <f aca="false">Z126+AA125</f>
        <v>915.169736249999</v>
      </c>
      <c r="AB126" s="33" t="n">
        <f aca="false">AA126+AB125</f>
        <v>976.425234749999</v>
      </c>
      <c r="AC126" s="33" t="n">
        <f aca="false">AB126+AC125</f>
        <v>1037.68073325</v>
      </c>
      <c r="AD126" s="33" t="n">
        <f aca="false">AC126+AD125</f>
        <v>1098.93623175</v>
      </c>
      <c r="AE126" s="33" t="n">
        <f aca="false">AD126+AE125</f>
        <v>1160.19173025</v>
      </c>
      <c r="AF126" s="33" t="n">
        <f aca="false">AE126+AF125</f>
        <v>795.249996200518</v>
      </c>
      <c r="AG126" s="33" t="n">
        <f aca="false">AF126+AG125</f>
        <v>811.537742625271</v>
      </c>
      <c r="AH126" s="33" t="n">
        <f aca="false">AG126+AH125</f>
        <v>826.118713961472</v>
      </c>
      <c r="AI126" s="33" t="n">
        <f aca="false">AH126+AI125</f>
        <v>838.992910209122</v>
      </c>
      <c r="AJ126" s="33" t="n">
        <f aca="false">AI126+AJ125</f>
        <v>849.116477618412</v>
      </c>
      <c r="AK126" s="33" t="n">
        <f aca="false">AJ126+AK125</f>
        <v>857.647054945055</v>
      </c>
      <c r="AL126" s="33" t="n">
        <f aca="false">AK126+AL125</f>
        <v>865.081008664077</v>
      </c>
      <c r="AM126" s="33" t="n">
        <f aca="false">AL126+AM125</f>
        <v>868.286777526051</v>
      </c>
      <c r="AN126" s="33" t="n">
        <f aca="false">AM126+AN125</f>
        <v>871.492546388025</v>
      </c>
      <c r="AO126" s="33" t="n">
        <f aca="false">AN126+AO125</f>
        <v>874.69831525</v>
      </c>
      <c r="AP126" s="33" t="n">
        <f aca="false">AO126+AP125</f>
        <v>874.69831525</v>
      </c>
      <c r="AQ126" s="33" t="n">
        <f aca="false">AP126+AQ125</f>
        <v>874.69831525</v>
      </c>
      <c r="AR126" s="33" t="n">
        <f aca="false">AQ126+AR125</f>
        <v>874.69831525</v>
      </c>
      <c r="AS126" s="33" t="n">
        <f aca="false">AR126+AS125</f>
        <v>874.69831525</v>
      </c>
      <c r="AT126" s="33" t="n">
        <f aca="false">AS126+AT125</f>
        <v>874.69831525</v>
      </c>
      <c r="AU126" s="33" t="n">
        <f aca="false">AT126+AU125</f>
        <v>874.69831525</v>
      </c>
      <c r="AV126" s="33" t="n">
        <f aca="false">AU126+AV125</f>
        <v>874.69831525</v>
      </c>
      <c r="AW126" s="33" t="n">
        <f aca="false">AV126+AW125</f>
        <v>874.69831525</v>
      </c>
      <c r="AX126" s="33" t="n">
        <f aca="false">AW126+AX125</f>
        <v>874.69831525</v>
      </c>
      <c r="AY126" s="33" t="n">
        <f aca="false">AX126+AY125</f>
        <v>874.69831525</v>
      </c>
      <c r="AZ126" s="33" t="n">
        <f aca="false">AY126+AZ125</f>
        <v>874.69831525</v>
      </c>
      <c r="BA126" s="33" t="n">
        <f aca="false">AZ126+BA125</f>
        <v>874.69831525</v>
      </c>
      <c r="BB126" s="33" t="n">
        <f aca="false">BA126+BB125</f>
        <v>874.69831525</v>
      </c>
      <c r="BC126" s="33" t="n">
        <f aca="false">BB126+BC125</f>
        <v>874.69831525</v>
      </c>
      <c r="BD126" s="33" t="n">
        <f aca="false">BC126+BD125</f>
        <v>874.69831525</v>
      </c>
      <c r="BE126" s="33" t="n">
        <f aca="false">BD126+BE125</f>
        <v>874.69831525</v>
      </c>
      <c r="BF126" s="33" t="n">
        <f aca="false">BE126+BF125</f>
        <v>874.69831525</v>
      </c>
      <c r="BG126" s="33" t="n">
        <f aca="false">BF126+BG125</f>
        <v>874.69831525</v>
      </c>
      <c r="BH126" s="33" t="n">
        <f aca="false">BG126+BH125</f>
        <v>874.69831525</v>
      </c>
      <c r="BI126" s="33" t="n">
        <f aca="false">BH126+BI125</f>
        <v>874.69831525</v>
      </c>
      <c r="BJ126" s="33" t="n">
        <f aca="false">BI126+BJ125</f>
        <v>874.69831525</v>
      </c>
      <c r="BK126" s="33" t="n">
        <f aca="false">BJ126+BK125</f>
        <v>874.69831525</v>
      </c>
    </row>
    <row r="127" customFormat="false" ht="15" hidden="false" customHeight="false" outlineLevel="0" collapsed="false">
      <c r="A127" s="3" t="s">
        <v>340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-50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0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0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43.1111111111111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43.1111111111111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43.1111111111111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43.1111111111111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341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0</v>
      </c>
      <c r="N128" s="33" t="n">
        <f aca="false">IF(AND(Source_Data!N$6&gt;=Inputs!$B$54,Source_Data!N$6&lt;Inputs!$B$54+3*Inputs!$B$11),Inputs!$B$9*Inputs!$B$7/Inputs!$B$11,0)</f>
        <v>0</v>
      </c>
      <c r="O128" s="33" t="n">
        <f aca="false">IF(AND(Source_Data!O$6&gt;=Inputs!$B$54,Source_Data!O$6&lt;Inputs!$B$54+3*Inputs!$B$11),Inputs!$B$9*Inputs!$B$7/Inputs!$B$11,0)</f>
        <v>0</v>
      </c>
      <c r="P128" s="33" t="n">
        <f aca="false">IF(AND(Source_Data!P$6&gt;=Inputs!$B$54,Source_Data!P$6&lt;Inputs!$B$54+3*Inputs!$B$11),Inputs!$B$9*Inputs!$B$7/Inputs!$B$11,0)</f>
        <v>9.58333333333333</v>
      </c>
      <c r="Q128" s="33" t="n">
        <f aca="false">IF(AND(Source_Data!Q$6&gt;=Inputs!$B$54,Source_Data!Q$6&lt;Inputs!$B$54+3*Inputs!$B$11),Inputs!$B$9*Inputs!$B$7/Inputs!$B$11,0)</f>
        <v>9.58333333333333</v>
      </c>
      <c r="R128" s="33" t="n">
        <f aca="false">IF(AND(Source_Data!R$6&gt;=Inputs!$B$54,Source_Data!R$6&lt;Inputs!$B$54+3*Inputs!$B$11),Inputs!$B$9*Inputs!$B$7/Inputs!$B$11,0)</f>
        <v>9.58333333333333</v>
      </c>
      <c r="S128" s="33" t="n">
        <f aca="false">IF(AND(Source_Data!S$6&gt;=Inputs!$B$54,Source_Data!S$6&lt;Inputs!$B$54+3*Inputs!$B$11),Inputs!$B$9*Inputs!$B$7/Inputs!$B$11,0)</f>
        <v>9.58333333333333</v>
      </c>
      <c r="T128" s="33" t="n">
        <f aca="false">IF(AND(Source_Data!T$6&gt;=Inputs!$B$54,Source_Data!T$6&lt;Inputs!$B$54+3*Inputs!$B$11),Inputs!$B$9*Inputs!$B$7/Inputs!$B$11,0)</f>
        <v>9.58333333333333</v>
      </c>
      <c r="U128" s="33" t="n">
        <f aca="false">IF(AND(Source_Data!U$6&gt;=Inputs!$B$54,Source_Data!U$6&lt;Inputs!$B$54+3*Inputs!$B$11),Inputs!$B$9*Inputs!$B$7/Inputs!$B$11,0)</f>
        <v>9.58333333333333</v>
      </c>
      <c r="V128" s="33" t="n">
        <f aca="false">IF(AND(Source_Data!V$6&gt;=Inputs!$B$54,Source_Data!V$6&lt;Inputs!$B$54+3*Inputs!$B$11),Inputs!$B$9*Inputs!$B$7/Inputs!$B$11,0)</f>
        <v>9.58333333333333</v>
      </c>
      <c r="W128" s="33" t="n">
        <f aca="false">IF(AND(Source_Data!W$6&gt;=Inputs!$B$54,Source_Data!W$6&lt;Inputs!$B$54+3*Inputs!$B$11),Inputs!$B$9*Inputs!$B$7/Inputs!$B$11,0)</f>
        <v>9.58333333333333</v>
      </c>
      <c r="X128" s="33" t="n">
        <f aca="false">IF(AND(Source_Data!X$6&gt;=Inputs!$B$54,Source_Data!X$6&lt;Inputs!$B$54+3*Inputs!$B$11),Inputs!$B$9*Inputs!$B$7/Inputs!$B$11,0)</f>
        <v>9.58333333333333</v>
      </c>
      <c r="Y128" s="33" t="n">
        <f aca="false">IF(AND(Source_Data!Y$6&gt;=Inputs!$B$54,Source_Data!Y$6&lt;Inputs!$B$54+3*Inputs!$B$11),Inputs!$B$9*Inputs!$B$7/Inputs!$B$11,0)</f>
        <v>9.58333333333333</v>
      </c>
      <c r="Z128" s="33" t="n">
        <f aca="false">IF(AND(Source_Data!Z$6&gt;=Inputs!$B$54,Source_Data!Z$6&lt;Inputs!$B$54+3*Inputs!$B$11),Inputs!$B$9*Inputs!$B$7/Inputs!$B$11,0)</f>
        <v>9.58333333333333</v>
      </c>
      <c r="AA128" s="33" t="n">
        <f aca="false">IF(AND(Source_Data!AA$6&gt;=Inputs!$B$54,Source_Data!AA$6&lt;Inputs!$B$54+3*Inputs!$B$11),Inputs!$B$9*Inputs!$B$7/Inputs!$B$11,0)</f>
        <v>9.58333333333333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342</v>
      </c>
      <c r="D129" s="33" t="n">
        <f aca="false">IF(Source_Data!D$6=Inputs!$B$12,-Inputs!$B$7,0)+D128</f>
        <v>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-50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0</v>
      </c>
      <c r="N129" s="33" t="n">
        <f aca="false">IF(Source_Data!N$6=Inputs!$B$12,-Inputs!$B$7,0)+N128</f>
        <v>0</v>
      </c>
      <c r="O129" s="33" t="n">
        <f aca="false">IF(Source_Data!O$6=Inputs!$B$12,-Inputs!$B$7,0)+O128</f>
        <v>0</v>
      </c>
      <c r="P129" s="33" t="n">
        <f aca="false">IF(Source_Data!P$6=Inputs!$B$12,-Inputs!$B$7,0)+P128</f>
        <v>9.58333333333333</v>
      </c>
      <c r="Q129" s="33" t="n">
        <f aca="false">IF(Source_Data!Q$6=Inputs!$B$12,-Inputs!$B$7,0)+Q128</f>
        <v>9.58333333333333</v>
      </c>
      <c r="R129" s="33" t="n">
        <f aca="false">IF(Source_Data!R$6=Inputs!$B$12,-Inputs!$B$7,0)+R128</f>
        <v>9.58333333333333</v>
      </c>
      <c r="S129" s="33" t="n">
        <f aca="false">IF(Source_Data!S$6=Inputs!$B$12,-Inputs!$B$7,0)+S128</f>
        <v>9.58333333333333</v>
      </c>
      <c r="T129" s="33" t="n">
        <f aca="false">IF(Source_Data!T$6=Inputs!$B$12,-Inputs!$B$7,0)+T128</f>
        <v>9.58333333333333</v>
      </c>
      <c r="U129" s="33" t="n">
        <f aca="false">IF(Source_Data!U$6=Inputs!$B$12,-Inputs!$B$7,0)+U128</f>
        <v>9.58333333333333</v>
      </c>
      <c r="V129" s="33" t="n">
        <f aca="false">IF(Source_Data!V$6=Inputs!$B$12,-Inputs!$B$7,0)+V128</f>
        <v>9.58333333333333</v>
      </c>
      <c r="W129" s="33" t="n">
        <f aca="false">IF(Source_Data!W$6=Inputs!$B$12,-Inputs!$B$7,0)+W128</f>
        <v>9.58333333333333</v>
      </c>
      <c r="X129" s="33" t="n">
        <f aca="false">IF(Source_Data!X$6=Inputs!$B$12,-Inputs!$B$7,0)+X128</f>
        <v>9.58333333333333</v>
      </c>
      <c r="Y129" s="33" t="n">
        <f aca="false">IF(Source_Data!Y$6=Inputs!$B$12,-Inputs!$B$7,0)+Y128</f>
        <v>9.58333333333333</v>
      </c>
      <c r="Z129" s="33" t="n">
        <f aca="false">IF(Source_Data!Z$6=Inputs!$B$12,-Inputs!$B$7,0)+Z128</f>
        <v>9.58333333333333</v>
      </c>
      <c r="AA129" s="33" t="n">
        <f aca="false">IF(Source_Data!AA$6=Inputs!$B$12,-Inputs!$B$7,0)+AA128</f>
        <v>9.58333333333333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343</v>
      </c>
      <c r="D130" s="33" t="n">
        <f aca="false">IF(Source_Data!D$6=Inputs!$B$12,Inputs!$B$7,0)+D125-D128</f>
        <v>0</v>
      </c>
      <c r="E130" s="33" t="n">
        <f aca="false">D130+IF(Source_Data!E$6=Inputs!$B$12,Inputs!$B$7,0)+E125-E128</f>
        <v>0</v>
      </c>
      <c r="F130" s="33" t="n">
        <f aca="false">E130+IF(Source_Data!F$6=Inputs!$B$12,Inputs!$B$7,0)+F125-F128</f>
        <v>0</v>
      </c>
      <c r="G130" s="33" t="n">
        <f aca="false">F130+IF(Source_Data!G$6=Inputs!$B$12,Inputs!$B$7,0)+G125-G128</f>
        <v>-35</v>
      </c>
      <c r="H130" s="33" t="n">
        <f aca="false">G130+IF(Source_Data!H$6=Inputs!$B$12,Inputs!$B$7,0)+H125-H128</f>
        <v>-35.76122</v>
      </c>
      <c r="I130" s="33" t="n">
        <f aca="false">H130+IF(Source_Data!I$6=Inputs!$B$12,Inputs!$B$7,0)+I125-I128</f>
        <v>-14.78366</v>
      </c>
      <c r="J130" s="33" t="n">
        <f aca="false">I130+IF(Source_Data!J$6=Inputs!$B$12,Inputs!$B$7,0)+J125-J128</f>
        <v>9.62932999999999</v>
      </c>
      <c r="K130" s="33" t="n">
        <f aca="false">J130+IF(Source_Data!K$6=Inputs!$B$12,Inputs!$B$7,0)+K125-K128</f>
        <v>39.591398</v>
      </c>
      <c r="L130" s="33" t="n">
        <f aca="false">K130+IF(Source_Data!L$6=Inputs!$B$12,Inputs!$B$7,0)+L125-L128</f>
        <v>11.705428</v>
      </c>
      <c r="M130" s="33" t="n">
        <f aca="false">L130+IF(Source_Data!M$6=Inputs!$B$12,Inputs!$B$7,0)+M125-M128</f>
        <v>6.52232499999996</v>
      </c>
      <c r="N130" s="33" t="n">
        <f aca="false">M130+IF(Source_Data!N$6=Inputs!$B$12,Inputs!$B$7,0)+N125-N128</f>
        <v>22.885663</v>
      </c>
      <c r="O130" s="33" t="n">
        <f aca="false">N130+IF(Source_Data!O$6=Inputs!$B$12,Inputs!$B$7,0)+O125-O128</f>
        <v>65.612863</v>
      </c>
      <c r="P130" s="33" t="n">
        <f aca="false">O130+IF(Source_Data!P$6=Inputs!$B$12,Inputs!$B$7,0)+P125-P128</f>
        <v>122.491909166667</v>
      </c>
      <c r="Q130" s="33" t="n">
        <f aca="false">P130+IF(Source_Data!Q$6=Inputs!$B$12,Inputs!$B$7,0)+Q125-Q128</f>
        <v>191.588954833333</v>
      </c>
      <c r="R130" s="33" t="n">
        <f aca="false">Q130+IF(Source_Data!R$6=Inputs!$B$12,Inputs!$B$7,0)+R125-R128</f>
        <v>798.4108305</v>
      </c>
      <c r="S130" s="33" t="n">
        <f aca="false">R130+IF(Source_Data!S$6=Inputs!$B$12,Inputs!$B$7,0)+S125-S128</f>
        <v>791.492376166666</v>
      </c>
      <c r="T130" s="33" t="n">
        <f aca="false">S130+IF(Source_Data!T$6=Inputs!$B$12,Inputs!$B$7,0)+T125-T128</f>
        <v>673.548569833333</v>
      </c>
      <c r="U130" s="33" t="n">
        <f aca="false">T130+IF(Source_Data!U$6=Inputs!$B$12,Inputs!$B$7,0)+U125-U128</f>
        <v>581.743243499999</v>
      </c>
      <c r="V130" s="33" t="n">
        <f aca="false">U130+IF(Source_Data!V$6=Inputs!$B$12,Inputs!$B$7,0)+V125-V128</f>
        <v>625.319895166666</v>
      </c>
      <c r="W130" s="33" t="n">
        <f aca="false">V130+IF(Source_Data!W$6=Inputs!$B$12,Inputs!$B$7,0)+W125-W128</f>
        <v>666.722668833333</v>
      </c>
      <c r="X130" s="33" t="n">
        <f aca="false">W130+IF(Source_Data!X$6=Inputs!$B$12,Inputs!$B$7,0)+X125-X128</f>
        <v>727.374689749999</v>
      </c>
      <c r="Y130" s="33" t="n">
        <f aca="false">X130+IF(Source_Data!Y$6=Inputs!$B$12,Inputs!$B$7,0)+Y125-Y128</f>
        <v>779.475452916666</v>
      </c>
      <c r="Z130" s="33" t="n">
        <f aca="false">Y130+IF(Source_Data!Z$6=Inputs!$B$12,Inputs!$B$7,0)+Z125-Z128</f>
        <v>820.997571083332</v>
      </c>
      <c r="AA130" s="33" t="n">
        <f aca="false">Z130+IF(Source_Data!AA$6=Inputs!$B$12,Inputs!$B$7,0)+AA125-AA128</f>
        <v>850.169736249999</v>
      </c>
      <c r="AB130" s="33" t="n">
        <f aca="false">AA130+IF(Source_Data!AB$6=Inputs!$B$12,Inputs!$B$7,0)+AB125-AB128</f>
        <v>911.425234749999</v>
      </c>
      <c r="AC130" s="33" t="n">
        <f aca="false">AB130+IF(Source_Data!AC$6=Inputs!$B$12,Inputs!$B$7,0)+AC125-AC128</f>
        <v>972.680733249999</v>
      </c>
      <c r="AD130" s="33" t="n">
        <f aca="false">AC130+IF(Source_Data!AD$6=Inputs!$B$12,Inputs!$B$7,0)+AD125-AD128</f>
        <v>1033.93623175</v>
      </c>
      <c r="AE130" s="33" t="n">
        <f aca="false">AD130+IF(Source_Data!AE$6=Inputs!$B$12,Inputs!$B$7,0)+AE125-AE128</f>
        <v>1095.19173025</v>
      </c>
      <c r="AF130" s="33" t="n">
        <f aca="false">AE130+IF(Source_Data!AF$6=Inputs!$B$12,Inputs!$B$7,0)+AF125-AF128</f>
        <v>730.249996200518</v>
      </c>
      <c r="AG130" s="33" t="n">
        <f aca="false">AF130+IF(Source_Data!AG$6=Inputs!$B$12,Inputs!$B$7,0)+AG125-AG128</f>
        <v>746.53774262527</v>
      </c>
      <c r="AH130" s="33" t="n">
        <f aca="false">AG130+IF(Source_Data!AH$6=Inputs!$B$12,Inputs!$B$7,0)+AH125-AH128</f>
        <v>761.118713961472</v>
      </c>
      <c r="AI130" s="33" t="n">
        <f aca="false">AH130+IF(Source_Data!AI$6=Inputs!$B$12,Inputs!$B$7,0)+AI125-AI128</f>
        <v>773.992910209122</v>
      </c>
      <c r="AJ130" s="33" t="n">
        <f aca="false">AI130+IF(Source_Data!AJ$6=Inputs!$B$12,Inputs!$B$7,0)+AJ125-AJ128</f>
        <v>784.116477618412</v>
      </c>
      <c r="AK130" s="33" t="n">
        <f aca="false">AJ130+IF(Source_Data!AK$6=Inputs!$B$12,Inputs!$B$7,0)+AK125-AK128</f>
        <v>792.647054945054</v>
      </c>
      <c r="AL130" s="33" t="n">
        <f aca="false">AK130+IF(Source_Data!AL$6=Inputs!$B$12,Inputs!$B$7,0)+AL125-AL128</f>
        <v>800.081008664077</v>
      </c>
      <c r="AM130" s="33" t="n">
        <f aca="false">AL130+IF(Source_Data!AM$6=Inputs!$B$12,Inputs!$B$7,0)+AM125-AM128</f>
        <v>803.286777526051</v>
      </c>
      <c r="AN130" s="33" t="n">
        <f aca="false">AM130+IF(Source_Data!AN$6=Inputs!$B$12,Inputs!$B$7,0)+AN125-AN128</f>
        <v>806.492546388025</v>
      </c>
      <c r="AO130" s="33" t="n">
        <f aca="false">AN130+IF(Source_Data!AO$6=Inputs!$B$12,Inputs!$B$7,0)+AO125-AO128</f>
        <v>809.698315249999</v>
      </c>
      <c r="AP130" s="33" t="n">
        <f aca="false">AO130+IF(Source_Data!AP$6=Inputs!$B$12,Inputs!$B$7,0)+AP125-AP128</f>
        <v>809.698315249999</v>
      </c>
      <c r="AQ130" s="33" t="n">
        <f aca="false">AP130+IF(Source_Data!AQ$6=Inputs!$B$12,Inputs!$B$7,0)+AQ125-AQ128</f>
        <v>809.698315249999</v>
      </c>
      <c r="AR130" s="33" t="n">
        <f aca="false">AQ130+IF(Source_Data!AR$6=Inputs!$B$12,Inputs!$B$7,0)+AR125-AR128</f>
        <v>809.698315249999</v>
      </c>
      <c r="AS130" s="33" t="n">
        <f aca="false">AR130+IF(Source_Data!AS$6=Inputs!$B$12,Inputs!$B$7,0)+AS125-AS128</f>
        <v>809.698315249999</v>
      </c>
      <c r="AT130" s="33" t="n">
        <f aca="false">AS130+IF(Source_Data!AT$6=Inputs!$B$12,Inputs!$B$7,0)+AT125-AT128</f>
        <v>809.698315249999</v>
      </c>
      <c r="AU130" s="33" t="n">
        <f aca="false">AT130+IF(Source_Data!AU$6=Inputs!$B$12,Inputs!$B$7,0)+AU125-AU128</f>
        <v>809.698315249999</v>
      </c>
      <c r="AV130" s="33" t="n">
        <f aca="false">AU130+IF(Source_Data!AV$6=Inputs!$B$12,Inputs!$B$7,0)+AV125-AV128</f>
        <v>809.698315249999</v>
      </c>
      <c r="AW130" s="33" t="n">
        <f aca="false">AV130+IF(Source_Data!AW$6=Inputs!$B$12,Inputs!$B$7,0)+AW125-AW128</f>
        <v>809.698315249999</v>
      </c>
      <c r="AX130" s="33" t="n">
        <f aca="false">AW130+IF(Source_Data!AX$6=Inputs!$B$12,Inputs!$B$7,0)+AX125-AX128</f>
        <v>809.698315249999</v>
      </c>
      <c r="AY130" s="33" t="n">
        <f aca="false">AX130+IF(Source_Data!AY$6=Inputs!$B$12,Inputs!$B$7,0)+AY125-AY128</f>
        <v>809.698315249999</v>
      </c>
      <c r="AZ130" s="33" t="n">
        <f aca="false">AY130+IF(Source_Data!AZ$6=Inputs!$B$12,Inputs!$B$7,0)+AZ125-AZ128</f>
        <v>809.698315249999</v>
      </c>
      <c r="BA130" s="33" t="n">
        <f aca="false">AZ130+IF(Source_Data!BA$6=Inputs!$B$12,Inputs!$B$7,0)+BA125-BA128</f>
        <v>809.698315249999</v>
      </c>
      <c r="BB130" s="33" t="n">
        <f aca="false">BA130+IF(Source_Data!BB$6=Inputs!$B$12,Inputs!$B$7,0)+BB125-BB128</f>
        <v>809.698315249999</v>
      </c>
      <c r="BC130" s="33" t="n">
        <f aca="false">BB130+IF(Source_Data!BC$6=Inputs!$B$12,Inputs!$B$7,0)+BC125-BC128</f>
        <v>809.698315249999</v>
      </c>
      <c r="BD130" s="33" t="n">
        <f aca="false">BC130+IF(Source_Data!BD$6=Inputs!$B$12,Inputs!$B$7,0)+BD125-BD128</f>
        <v>809.698315249999</v>
      </c>
      <c r="BE130" s="33" t="n">
        <f aca="false">BD130+IF(Source_Data!BE$6=Inputs!$B$12,Inputs!$B$7,0)+BE125-BE128</f>
        <v>809.698315249999</v>
      </c>
      <c r="BF130" s="33" t="n">
        <f aca="false">BE130+IF(Source_Data!BF$6=Inputs!$B$12,Inputs!$B$7,0)+BF125-BF128</f>
        <v>809.698315249999</v>
      </c>
      <c r="BG130" s="33" t="n">
        <f aca="false">BF130+IF(Source_Data!BG$6=Inputs!$B$12,Inputs!$B$7,0)+BG125-BG128</f>
        <v>809.698315249999</v>
      </c>
      <c r="BH130" s="33" t="n">
        <f aca="false">BG130+IF(Source_Data!BH$6=Inputs!$B$12,Inputs!$B$7,0)+BH125-BH128</f>
        <v>809.698315249999</v>
      </c>
      <c r="BI130" s="33" t="n">
        <f aca="false">BH130+IF(Source_Data!BI$6=Inputs!$B$12,Inputs!$B$7,0)+BI125-BI128</f>
        <v>809.698315249999</v>
      </c>
      <c r="BJ130" s="33" t="n">
        <f aca="false">BI130+IF(Source_Data!BJ$6=Inputs!$B$12,Inputs!$B$7,0)+BJ125-BJ128</f>
        <v>809.698315249999</v>
      </c>
      <c r="BK130" s="33" t="n">
        <f aca="false">BJ130+IF(Source_Data!BK$6=Inputs!$B$12,Inputs!$B$7,0)+BK125-BK128</f>
        <v>809.698315249999</v>
      </c>
    </row>
    <row r="131" customFormat="false" ht="15" hidden="false" customHeight="false" outlineLevel="0" collapsed="false">
      <c r="A131" s="3" t="s">
        <v>344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str">
        <f aca="false">IF(M128&gt;0,M125/M128,"")</f>
        <v/>
      </c>
      <c r="N131" s="31" t="str">
        <f aca="false">IF(N128&gt;0,N125/N128,"")</f>
        <v/>
      </c>
      <c r="O131" s="31" t="str">
        <f aca="false">IF(O128&gt;0,O125/O128,"")</f>
        <v/>
      </c>
      <c r="P131" s="31" t="n">
        <f aca="false">IF(P128&gt;0,P125/P128,"")</f>
        <v>6.9352048173913</v>
      </c>
      <c r="Q131" s="31" t="n">
        <f aca="false">IF(Q128&gt;0,Q125/Q128,"")</f>
        <v>8.21012650434783</v>
      </c>
      <c r="R131" s="31" t="n">
        <f aca="false">IF(R128&gt;0,R125/R128,"")</f>
        <v>64.3205435478261</v>
      </c>
      <c r="S131" s="31" t="n">
        <f aca="false">IF(S128&gt;0,S125/S128,"")</f>
        <v>0.27807433043478</v>
      </c>
      <c r="T131" s="31" t="n">
        <f aca="false">IF(T128&gt;0,T125/T128,"")</f>
        <v>-11.3071797913044</v>
      </c>
      <c r="U131" s="31" t="n">
        <f aca="false">IF(U128&gt;0,U125/U128,"")</f>
        <v>-8.57968622608696</v>
      </c>
      <c r="V131" s="31" t="n">
        <f aca="false">IF(V128&gt;0,V125/V128,"")</f>
        <v>5.54712886956521</v>
      </c>
      <c r="W131" s="31" t="n">
        <f aca="false">IF(W128&gt;0,W125/W128,"")</f>
        <v>5.32028942608695</v>
      </c>
      <c r="X131" s="31" t="n">
        <f aca="false">IF(X128&gt;0,X125/X128,"")</f>
        <v>7.32890653043478</v>
      </c>
      <c r="Y131" s="31" t="n">
        <f aca="false">IF(Y128&gt;0,Y125/Y128,"")</f>
        <v>6.43660137391305</v>
      </c>
      <c r="Z131" s="31" t="n">
        <f aca="false">IF(Z128&gt;0,Z125/Z128,"")</f>
        <v>5.33274276521739</v>
      </c>
      <c r="AA131" s="31" t="n">
        <f aca="false">IF(AA128&gt;0,AA125/AA128,"")</f>
        <v>4.0440520173913</v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345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str">
        <f aca="false">IF(M128&gt;0,(L130+M125+IF(Source_Data!M$6=Inputs!$B$12,Inputs!$B$7,0))/M128,"")</f>
        <v/>
      </c>
      <c r="N132" s="31" t="str">
        <f aca="false">IF(N128&gt;0,(M130+N125+IF(Source_Data!N$6=Inputs!$B$12,Inputs!$B$7,0))/N128,"")</f>
        <v/>
      </c>
      <c r="O132" s="31" t="str">
        <f aca="false">IF(O128&gt;0,(N130+O125+IF(Source_Data!O$6=Inputs!$B$12,Inputs!$B$7,0))/O128,"")</f>
        <v/>
      </c>
      <c r="P132" s="31" t="n">
        <f aca="false">IF(P128&gt;0,(O130+P125+IF(Source_Data!P$6=Inputs!$B$12,Inputs!$B$7,0))/P128,"")</f>
        <v>13.7817644347826</v>
      </c>
      <c r="Q132" s="31" t="n">
        <f aca="false">IF(Q128&gt;0,(P130+Q125+IF(Source_Data!Q$6=Inputs!$B$12,Inputs!$B$7,0))/Q128,"")</f>
        <v>20.9918909391304</v>
      </c>
      <c r="R132" s="31" t="n">
        <f aca="false">IF(R128&gt;0,(Q130+R125+IF(Source_Data!R$6=Inputs!$B$12,Inputs!$B$7,0))/R128,"")</f>
        <v>84.3124344869565</v>
      </c>
      <c r="S132" s="31" t="n">
        <f aca="false">IF(S128&gt;0,(R130+S125+IF(Source_Data!S$6=Inputs!$B$12,Inputs!$B$7,0))/S128,"")</f>
        <v>83.5905088173913</v>
      </c>
      <c r="T132" s="31" t="n">
        <f aca="false">IF(T128&gt;0,(S130+T125+IF(Source_Data!T$6=Inputs!$B$12,Inputs!$B$7,0))/T128,"")</f>
        <v>71.2833290260869</v>
      </c>
      <c r="U132" s="31" t="n">
        <f aca="false">IF(U128&gt;0,(T130+U125+IF(Source_Data!U$6=Inputs!$B$12,Inputs!$B$7,0))/U128,"")</f>
        <v>61.7036427999999</v>
      </c>
      <c r="V132" s="31" t="n">
        <f aca="false">IF(V128&gt;0,(U130+V125+IF(Source_Data!V$6=Inputs!$B$12,Inputs!$B$7,0))/V128,"")</f>
        <v>66.2507716695652</v>
      </c>
      <c r="W132" s="31" t="n">
        <f aca="false">IF(W128&gt;0,(V130+W125+IF(Source_Data!W$6=Inputs!$B$12,Inputs!$B$7,0))/W128,"")</f>
        <v>70.5710610956521</v>
      </c>
      <c r="X132" s="31" t="n">
        <f aca="false">IF(X128&gt;0,(W130+X125+IF(Source_Data!X$6=Inputs!$B$12,Inputs!$B$7,0))/X128,"")</f>
        <v>76.8999676260869</v>
      </c>
      <c r="Y132" s="31" t="n">
        <f aca="false">IF(Y128&gt;0,(X130+Y125+IF(Source_Data!Y$6=Inputs!$B$12,Inputs!$B$7,0))/Y128,"")</f>
        <v>82.3365689999999</v>
      </c>
      <c r="Z132" s="31" t="n">
        <f aca="false">IF(Z128&gt;0,(Y130+Z125+IF(Source_Data!Z$6=Inputs!$B$12,Inputs!$B$7,0))/Z128,"")</f>
        <v>86.6693117652173</v>
      </c>
      <c r="AA132" s="31" t="n">
        <f aca="false">IF(AA128&gt;0,(Z130+AA125+IF(Source_Data!AA$6=Inputs!$B$12,Inputs!$B$7,0))/AA128,"")</f>
        <v>89.7133637826086</v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220</v>
      </c>
      <c r="B134" s="41" t="n">
        <f aca="false">SUM(D125:BK125)</f>
        <v>874.69831525</v>
      </c>
    </row>
    <row r="135" customFormat="false" ht="15" hidden="false" customHeight="false" outlineLevel="0" collapsed="false">
      <c r="A135" s="2" t="s">
        <v>346</v>
      </c>
      <c r="B135" s="41" t="n">
        <f aca="false">SUMPRODUCT(D125:BK125,Project_CF!$D$15:$BK$15)</f>
        <v>515.563941082086</v>
      </c>
    </row>
    <row r="136" customFormat="false" ht="15" hidden="false" customHeight="false" outlineLevel="0" collapsed="false">
      <c r="A136" s="2" t="s">
        <v>162</v>
      </c>
      <c r="B136" s="41" t="n">
        <f aca="false">MIN(D126:BK126)</f>
        <v>-85.76122</v>
      </c>
    </row>
    <row r="137" customFormat="false" ht="15" hidden="false" customHeight="false" outlineLevel="0" collapsed="false">
      <c r="A137" s="2" t="s">
        <v>347</v>
      </c>
      <c r="B137" s="35" t="n">
        <f aca="false">INDEX(Project_CF!$D$6:$BK$6,MATCH(MIN(D126:BK126),D126:BK126,0))</f>
        <v>15</v>
      </c>
    </row>
    <row r="138" customFormat="false" ht="15" hidden="false" customHeight="false" outlineLevel="0" collapsed="false">
      <c r="A138" s="2" t="s">
        <v>348</v>
      </c>
      <c r="B138" s="39" t="n">
        <f aca="false">(1+IRR(D127:BK127,0.05))^4-1</f>
        <v>0.351197278973156</v>
      </c>
    </row>
    <row r="139" customFormat="false" ht="15" hidden="false" customHeight="false" outlineLevel="0" collapsed="false">
      <c r="A139" s="2" t="s">
        <v>349</v>
      </c>
      <c r="B139" s="40" t="n">
        <f aca="false">SUMIF(D127:BK127,"&gt;0")/-SUMIF(D127:BK127,"&lt;0")</f>
        <v>3.44888888888889</v>
      </c>
    </row>
    <row r="140" customFormat="false" ht="15" hidden="false" customHeight="false" outlineLevel="0" collapsed="false">
      <c r="A140" s="2" t="s">
        <v>350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351</v>
      </c>
      <c r="B141" s="41" t="n">
        <f aca="false">MIN(D130:BK130)</f>
        <v>-35.76122</v>
      </c>
    </row>
    <row r="142" customFormat="false" ht="15" hidden="false" customHeight="false" outlineLevel="0" collapsed="false">
      <c r="A142" s="2" t="s">
        <v>352</v>
      </c>
      <c r="B142" s="43" t="n">
        <f aca="false">MIN(D131:BK131)</f>
        <v>-11.3071797913044</v>
      </c>
    </row>
    <row r="143" customFormat="false" ht="15" hidden="false" customHeight="false" outlineLevel="0" collapsed="false">
      <c r="A143" s="2" t="s">
        <v>353</v>
      </c>
      <c r="B143" s="35" t="n">
        <f aca="false">COUNTIF(D131:BK131,"&lt;"&amp;Inputs!$B$43)</f>
        <v>3</v>
      </c>
    </row>
    <row r="144" customFormat="false" ht="15" hidden="false" customHeight="false" outlineLevel="0" collapsed="false">
      <c r="A144" s="2" t="s">
        <v>354</v>
      </c>
      <c r="B144" s="43" t="n">
        <f aca="false">MIN(D132:BK132)</f>
        <v>13.7817644347826</v>
      </c>
    </row>
    <row r="145" customFormat="false" ht="15" hidden="false" customHeight="false" outlineLevel="0" collapsed="false">
      <c r="A145" s="2" t="s">
        <v>355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362</v>
      </c>
    </row>
    <row r="149" customFormat="false" ht="15" hidden="false" customHeight="false" outlineLevel="0" collapsed="false">
      <c r="A149" s="3" t="s">
        <v>331</v>
      </c>
      <c r="B149" s="45" t="n">
        <v>1</v>
      </c>
    </row>
    <row r="150" customFormat="false" ht="15" hidden="false" customHeight="false" outlineLevel="0" collapsed="false">
      <c r="A150" s="3" t="s">
        <v>332</v>
      </c>
      <c r="B150" s="45" t="n">
        <v>2</v>
      </c>
    </row>
    <row r="151" customFormat="false" ht="15" hidden="false" customHeight="false" outlineLevel="0" collapsed="false">
      <c r="A151" s="3" t="s">
        <v>333</v>
      </c>
      <c r="B151" s="45" t="n">
        <v>1</v>
      </c>
    </row>
    <row r="152" customFormat="false" ht="15" hidden="false" customHeight="false" outlineLevel="0" collapsed="false">
      <c r="A152" s="3" t="s">
        <v>334</v>
      </c>
      <c r="B152" s="45" t="n">
        <v>0</v>
      </c>
    </row>
    <row r="153" customFormat="false" ht="15" hidden="false" customHeight="false" outlineLevel="0" collapsed="false">
      <c r="A153" s="3" t="s">
        <v>335</v>
      </c>
      <c r="B153" s="45" t="n">
        <v>0</v>
      </c>
    </row>
    <row r="154" customFormat="false" ht="15" hidden="false" customHeight="false" outlineLevel="0" collapsed="false">
      <c r="A154" s="3" t="s">
        <v>336</v>
      </c>
      <c r="B154" s="3" t="n">
        <f aca="false">Inputs!$B$13+3+3*$B$150</f>
        <v>63</v>
      </c>
    </row>
    <row r="155" customFormat="false" ht="15" hidden="false" customHeight="false" outlineLevel="0" collapsed="false">
      <c r="A155" s="3" t="s">
        <v>337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0</v>
      </c>
      <c r="G155" s="33" t="n">
        <f aca="false">Source_Data!G$7+IF($B$153=1,IF(Source_Data!G$6=Inputs!$B$13,Source_Data!$C$8,0),Source_Data!G$8)</f>
        <v>0</v>
      </c>
      <c r="H155" s="33" t="n">
        <f aca="false">Source_Data!H$7+IF($B$153=1,IF(Source_Data!H$6=Inputs!$B$13,Source_Data!$C$8,0),Source_Data!H$8)</f>
        <v>18.11565</v>
      </c>
      <c r="I155" s="33" t="n">
        <f aca="false">Source_Data!I$7+IF($B$153=1,IF(Source_Data!I$6=Inputs!$B$13,Source_Data!$C$8,0),Source_Data!I$8)</f>
        <v>36.2313</v>
      </c>
      <c r="J155" s="33" t="n">
        <f aca="false">Source_Data!J$7+IF($B$153=1,IF(Source_Data!J$6=Inputs!$B$13,Source_Data!$C$8,0),Source_Data!J$8)</f>
        <v>58.260825</v>
      </c>
      <c r="K155" s="33" t="n">
        <f aca="false">Source_Data!K$7+IF($B$153=1,IF(Source_Data!K$6=Inputs!$B$13,Source_Data!$C$8,0),Source_Data!K$8)</f>
        <v>69.01839</v>
      </c>
      <c r="L155" s="33" t="n">
        <f aca="false">Source_Data!L$7+IF($B$153=1,IF(Source_Data!L$6=Inputs!$B$13,Source_Data!$C$8,0),Source_Data!L$8)</f>
        <v>67.087545</v>
      </c>
      <c r="M155" s="33" t="n">
        <f aca="false">Source_Data!M$7+IF($B$153=1,IF(Source_Data!M$6=Inputs!$B$13,Source_Data!$C$8,0),Source_Data!M$8)</f>
        <v>72.9732675</v>
      </c>
      <c r="N155" s="33" t="n">
        <f aca="false">Source_Data!N$7+IF($B$153=1,IF(Source_Data!N$6=Inputs!$B$13,Source_Data!$C$8,0),Source_Data!N$8)</f>
        <v>88.871055</v>
      </c>
      <c r="O155" s="33" t="n">
        <f aca="false">Source_Data!O$7+IF($B$153=1,IF(Source_Data!O$6=Inputs!$B$13,Source_Data!$C$8,0),Source_Data!O$8)</f>
        <v>105.60753</v>
      </c>
      <c r="P155" s="33" t="n">
        <f aca="false">Source_Data!P$7+IF($B$153=1,IF(Source_Data!P$6=Inputs!$B$13,Source_Data!$C$8,0),Source_Data!P$8)</f>
        <v>115.25243625</v>
      </c>
      <c r="Q155" s="33" t="n">
        <f aca="false">Source_Data!Q$7+IF($B$153=1,IF(Source_Data!Q$6=Inputs!$B$13,Source_Data!$C$8,0),Source_Data!Q$8)</f>
        <v>124.8973425</v>
      </c>
      <c r="R155" s="33" t="n">
        <f aca="false">Source_Data!R$7+IF($B$153=1,IF(Source_Data!R$6=Inputs!$B$13,Source_Data!$C$8,0),Source_Data!R$8)</f>
        <v>683.0904675</v>
      </c>
      <c r="S155" s="33" t="n">
        <f aca="false">Source_Data!S$7+IF($B$153=1,IF(Source_Data!S$6=Inputs!$B$13,Source_Data!$C$8,0),Source_Data!S$8)</f>
        <v>171.6401925</v>
      </c>
      <c r="T155" s="33" t="n">
        <f aca="false">Source_Data!T$7+IF($B$153=1,IF(Source_Data!T$6=Inputs!$B$13,Source_Data!$C$8,0),Source_Data!T$8)</f>
        <v>112.5965925</v>
      </c>
      <c r="U155" s="33" t="n">
        <f aca="false">Source_Data!U$7+IF($B$153=1,IF(Source_Data!U$6=Inputs!$B$13,Source_Data!$C$8,0),Source_Data!U$8)</f>
        <v>89.3369925</v>
      </c>
      <c r="V155" s="33" t="n">
        <f aca="false">Source_Data!V$7+IF($B$153=1,IF(Source_Data!V$6=Inputs!$B$13,Source_Data!$C$8,0),Source_Data!V$8)</f>
        <v>87.5254275</v>
      </c>
      <c r="W155" s="33" t="n">
        <f aca="false">Source_Data!W$7+IF($B$153=1,IF(Source_Data!W$6=Inputs!$B$13,Source_Data!$C$8,0),Source_Data!W$8)</f>
        <v>85.7138625</v>
      </c>
      <c r="X155" s="33" t="n">
        <f aca="false">Source_Data!X$7+IF($B$153=1,IF(Source_Data!X$6=Inputs!$B$13,Source_Data!$C$8,0),Source_Data!X$8)</f>
        <v>77.279461875</v>
      </c>
      <c r="Y155" s="33" t="n">
        <f aca="false">Source_Data!Y$7+IF($B$153=1,IF(Source_Data!Y$6=Inputs!$B$13,Source_Data!$C$8,0),Source_Data!Y$8)</f>
        <v>70.15341375</v>
      </c>
      <c r="Z155" s="33" t="n">
        <f aca="false">Source_Data!Z$7+IF($B$153=1,IF(Source_Data!Z$6=Inputs!$B$13,Source_Data!$C$8,0),Source_Data!Z$8)</f>
        <v>61.33787625</v>
      </c>
      <c r="AA155" s="33" t="n">
        <f aca="false">Source_Data!AA$7+IF($B$153=1,IF(Source_Data!AA$6=Inputs!$B$13,Source_Data!$C$8,0),Source_Data!AA$8)</f>
        <v>51.04624875</v>
      </c>
      <c r="AB155" s="33" t="n">
        <f aca="false">Source_Data!AB$7+IF($B$153=1,IF(Source_Data!AB$6=Inputs!$B$13,Source_Data!$C$8,0),Source_Data!AB$8)</f>
        <v>51.04624875</v>
      </c>
      <c r="AC155" s="33" t="n">
        <f aca="false">Source_Data!AC$7+IF($B$153=1,IF(Source_Data!AC$6=Inputs!$B$13,Source_Data!$C$8,0),Source_Data!AC$8)</f>
        <v>51.04624875</v>
      </c>
      <c r="AD155" s="33" t="n">
        <f aca="false">Source_Data!AD$7+IF($B$153=1,IF(Source_Data!AD$6=Inputs!$B$13,Source_Data!$C$8,0),Source_Data!AD$8)</f>
        <v>51.04624875</v>
      </c>
      <c r="AE155" s="33" t="n">
        <f aca="false">Source_Data!AE$7+IF($B$153=1,IF(Source_Data!AE$6=Inputs!$B$13,Source_Data!$C$8,0),Source_Data!AE$8)</f>
        <v>51.04624875</v>
      </c>
      <c r="AF155" s="33" t="n">
        <f aca="false">Source_Data!AF$7+IF($B$153=1,IF(Source_Data!AF$6=Inputs!$B$13,Source_Data!$C$8,0),Source_Data!AF$8)</f>
        <v>43.931383125</v>
      </c>
      <c r="AG155" s="33" t="n">
        <f aca="false">Source_Data!AG$7+IF($B$153=1,IF(Source_Data!AG$6=Inputs!$B$13,Source_Data!$C$8,0),Source_Data!AG$8)</f>
        <v>36.8165175</v>
      </c>
      <c r="AH155" s="33" t="n">
        <f aca="false">Source_Data!AH$7+IF($B$153=1,IF(Source_Data!AH$6=Inputs!$B$13,Source_Data!$C$8,0),Source_Data!AH$8)</f>
        <v>32.958555</v>
      </c>
      <c r="AI155" s="33" t="n">
        <f aca="false">Source_Data!AI$7+IF($B$153=1,IF(Source_Data!AI$6=Inputs!$B$13,Source_Data!$C$8,0),Source_Data!AI$8)</f>
        <v>29.1005925</v>
      </c>
      <c r="AJ155" s="33" t="n">
        <f aca="false">Source_Data!AJ$7+IF($B$153=1,IF(Source_Data!AJ$6=Inputs!$B$13,Source_Data!$C$8,0),Source_Data!AJ$8)</f>
        <v>22.8831225</v>
      </c>
      <c r="AK155" s="33" t="n">
        <f aca="false">Source_Data!AK$7+IF($B$153=1,IF(Source_Data!AK$6=Inputs!$B$13,Source_Data!$C$8,0),Source_Data!AK$8)</f>
        <v>19.2823575</v>
      </c>
      <c r="AL155" s="33" t="n">
        <f aca="false">Source_Data!AL$7+IF($B$153=1,IF(Source_Data!AL$6=Inputs!$B$13,Source_Data!$C$8,0),Source_Data!AL$8)</f>
        <v>16.80357</v>
      </c>
      <c r="AM155" s="33" t="n">
        <f aca="false">Source_Data!AM$7+IF($B$153=1,IF(Source_Data!AM$6=Inputs!$B$13,Source_Data!$C$8,0),Source_Data!AM$8)</f>
        <v>7.24626</v>
      </c>
      <c r="AN155" s="33" t="n">
        <f aca="false">Source_Data!AN$7+IF($B$153=1,IF(Source_Data!AN$6=Inputs!$B$13,Source_Data!$C$8,0),Source_Data!AN$8)</f>
        <v>7.24626</v>
      </c>
      <c r="AO155" s="33" t="n">
        <f aca="false">Source_Data!AO$7+IF($B$153=1,IF(Source_Data!AO$6=Inputs!$B$13,Source_Data!$C$8,0),Source_Data!AO$8)</f>
        <v>7.24626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338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0</v>
      </c>
      <c r="I156" s="33" t="n">
        <f aca="false">$B$149*IF(Source_Data!I$5-($B$150+$B$152)&gt;=1,INDEX($D$155:$BK$155,1,Source_Data!I$5-($B$150+$B$152)),0)</f>
        <v>0</v>
      </c>
      <c r="J156" s="33" t="n">
        <f aca="false">$B$149*IF(Source_Data!J$5-($B$150+$B$152)&gt;=1,INDEX($D$155:$BK$155,1,Source_Data!J$5-($B$150+$B$152)),0)</f>
        <v>18.11565</v>
      </c>
      <c r="K156" s="33" t="n">
        <f aca="false">$B$149*IF(Source_Data!K$5-($B$150+$B$152)&gt;=1,INDEX($D$155:$BK$155,1,Source_Data!K$5-($B$150+$B$152)),0)</f>
        <v>36.2313</v>
      </c>
      <c r="L156" s="33" t="n">
        <f aca="false">$B$149*IF(Source_Data!L$5-($B$150+$B$152)&gt;=1,INDEX($D$155:$BK$155,1,Source_Data!L$5-($B$150+$B$152)),0)</f>
        <v>58.260825</v>
      </c>
      <c r="M156" s="33" t="n">
        <f aca="false">$B$149*IF(Source_Data!M$5-($B$150+$B$152)&gt;=1,INDEX($D$155:$BK$155,1,Source_Data!M$5-($B$150+$B$152)),0)</f>
        <v>69.01839</v>
      </c>
      <c r="N156" s="33" t="n">
        <f aca="false">$B$149*IF(Source_Data!N$5-($B$150+$B$152)&gt;=1,INDEX($D$155:$BK$155,1,Source_Data!N$5-($B$150+$B$152)),0)</f>
        <v>67.087545</v>
      </c>
      <c r="O156" s="33" t="n">
        <f aca="false">$B$149*IF(Source_Data!O$5-($B$150+$B$152)&gt;=1,INDEX($D$155:$BK$155,1,Source_Data!O$5-($B$150+$B$152)),0)</f>
        <v>72.9732675</v>
      </c>
      <c r="P156" s="33" t="n">
        <f aca="false">$B$149*IF(Source_Data!P$5-($B$150+$B$152)&gt;=1,INDEX($D$155:$BK$155,1,Source_Data!P$5-($B$150+$B$152)),0)</f>
        <v>88.871055</v>
      </c>
      <c r="Q156" s="33" t="n">
        <f aca="false">$B$149*IF(Source_Data!Q$5-($B$150+$B$152)&gt;=1,INDEX($D$155:$BK$155,1,Source_Data!Q$5-($B$150+$B$152)),0)</f>
        <v>105.60753</v>
      </c>
      <c r="R156" s="33" t="n">
        <f aca="false">$B$149*IF(Source_Data!R$5-($B$150+$B$152)&gt;=1,INDEX($D$155:$BK$155,1,Source_Data!R$5-($B$150+$B$152)),0)</f>
        <v>115.25243625</v>
      </c>
      <c r="S156" s="33" t="n">
        <f aca="false">$B$149*IF(Source_Data!S$5-($B$150+$B$152)&gt;=1,INDEX($D$155:$BK$155,1,Source_Data!S$5-($B$150+$B$152)),0)</f>
        <v>124.8973425</v>
      </c>
      <c r="T156" s="33" t="n">
        <f aca="false">$B$149*IF(Source_Data!T$5-($B$150+$B$152)&gt;=1,INDEX($D$155:$BK$155,1,Source_Data!T$5-($B$150+$B$152)),0)</f>
        <v>683.0904675</v>
      </c>
      <c r="U156" s="33" t="n">
        <f aca="false">$B$149*IF(Source_Data!U$5-($B$150+$B$152)&gt;=1,INDEX($D$155:$BK$155,1,Source_Data!U$5-($B$150+$B$152)),0)</f>
        <v>171.6401925</v>
      </c>
      <c r="V156" s="33" t="n">
        <f aca="false">$B$149*IF(Source_Data!V$5-($B$150+$B$152)&gt;=1,INDEX($D$155:$BK$155,1,Source_Data!V$5-($B$150+$B$152)),0)</f>
        <v>112.5965925</v>
      </c>
      <c r="W156" s="33" t="n">
        <f aca="false">$B$149*IF(Source_Data!W$5-($B$150+$B$152)&gt;=1,INDEX($D$155:$BK$155,1,Source_Data!W$5-($B$150+$B$152)),0)</f>
        <v>89.3369925</v>
      </c>
      <c r="X156" s="33" t="n">
        <f aca="false">$B$149*IF(Source_Data!X$5-($B$150+$B$152)&gt;=1,INDEX($D$155:$BK$155,1,Source_Data!X$5-($B$150+$B$152)),0)</f>
        <v>87.5254275</v>
      </c>
      <c r="Y156" s="33" t="n">
        <f aca="false">$B$149*IF(Source_Data!Y$5-($B$150+$B$152)&gt;=1,INDEX($D$155:$BK$155,1,Source_Data!Y$5-($B$150+$B$152)),0)</f>
        <v>85.7138625</v>
      </c>
      <c r="Z156" s="33" t="n">
        <f aca="false">$B$149*IF(Source_Data!Z$5-($B$150+$B$152)&gt;=1,INDEX($D$155:$BK$155,1,Source_Data!Z$5-($B$150+$B$152)),0)</f>
        <v>77.279461875</v>
      </c>
      <c r="AA156" s="33" t="n">
        <f aca="false">$B$149*IF(Source_Data!AA$5-($B$150+$B$152)&gt;=1,INDEX($D$155:$BK$155,1,Source_Data!AA$5-($B$150+$B$152)),0)</f>
        <v>70.15341375</v>
      </c>
      <c r="AB156" s="33" t="n">
        <f aca="false">$B$149*IF(Source_Data!AB$5-($B$150+$B$152)&gt;=1,INDEX($D$155:$BK$155,1,Source_Data!AB$5-($B$150+$B$152)),0)</f>
        <v>61.33787625</v>
      </c>
      <c r="AC156" s="33" t="n">
        <f aca="false">$B$149*IF(Source_Data!AC$5-($B$150+$B$152)&gt;=1,INDEX($D$155:$BK$155,1,Source_Data!AC$5-($B$150+$B$152)),0)</f>
        <v>51.04624875</v>
      </c>
      <c r="AD156" s="33" t="n">
        <f aca="false">$B$149*IF(Source_Data!AD$5-($B$150+$B$152)&gt;=1,INDEX($D$155:$BK$155,1,Source_Data!AD$5-($B$150+$B$152)),0)</f>
        <v>51.04624875</v>
      </c>
      <c r="AE156" s="33" t="n">
        <f aca="false">$B$149*IF(Source_Data!AE$5-($B$150+$B$152)&gt;=1,INDEX($D$155:$BK$155,1,Source_Data!AE$5-($B$150+$B$152)),0)</f>
        <v>51.04624875</v>
      </c>
      <c r="AF156" s="33" t="n">
        <f aca="false">$B$149*IF(Source_Data!AF$5-($B$150+$B$152)&gt;=1,INDEX($D$155:$BK$155,1,Source_Data!AF$5-($B$150+$B$152)),0)</f>
        <v>51.04624875</v>
      </c>
      <c r="AG156" s="33" t="n">
        <f aca="false">$B$149*IF(Source_Data!AG$5-($B$150+$B$152)&gt;=1,INDEX($D$155:$BK$155,1,Source_Data!AG$5-($B$150+$B$152)),0)</f>
        <v>51.04624875</v>
      </c>
      <c r="AH156" s="33" t="n">
        <f aca="false">$B$149*IF(Source_Data!AH$5-($B$150+$B$152)&gt;=1,INDEX($D$155:$BK$155,1,Source_Data!AH$5-($B$150+$B$152)),0)</f>
        <v>43.931383125</v>
      </c>
      <c r="AI156" s="33" t="n">
        <f aca="false">$B$149*IF(Source_Data!AI$5-($B$150+$B$152)&gt;=1,INDEX($D$155:$BK$155,1,Source_Data!AI$5-($B$150+$B$152)),0)</f>
        <v>36.8165175</v>
      </c>
      <c r="AJ156" s="33" t="n">
        <f aca="false">$B$149*IF(Source_Data!AJ$5-($B$150+$B$152)&gt;=1,INDEX($D$155:$BK$155,1,Source_Data!AJ$5-($B$150+$B$152)),0)</f>
        <v>32.958555</v>
      </c>
      <c r="AK156" s="33" t="n">
        <f aca="false">$B$149*IF(Source_Data!AK$5-($B$150+$B$152)&gt;=1,INDEX($D$155:$BK$155,1,Source_Data!AK$5-($B$150+$B$152)),0)</f>
        <v>29.1005925</v>
      </c>
      <c r="AL156" s="33" t="n">
        <f aca="false">$B$149*IF(Source_Data!AL$5-($B$150+$B$152)&gt;=1,INDEX($D$155:$BK$155,1,Source_Data!AL$5-($B$150+$B$152)),0)</f>
        <v>22.8831225</v>
      </c>
      <c r="AM156" s="33" t="n">
        <f aca="false">$B$149*IF(Source_Data!AM$5-($B$150+$B$152)&gt;=1,INDEX($D$155:$BK$155,1,Source_Data!AM$5-($B$150+$B$152)),0)</f>
        <v>19.2823575</v>
      </c>
      <c r="AN156" s="33" t="n">
        <f aca="false">$B$149*IF(Source_Data!AN$5-($B$150+$B$152)&gt;=1,INDEX($D$155:$BK$155,1,Source_Data!AN$5-($B$150+$B$152)),0)</f>
        <v>16.80357</v>
      </c>
      <c r="AO156" s="33" t="n">
        <f aca="false">$B$149*IF(Source_Data!AO$5-($B$150+$B$152)&gt;=1,INDEX($D$155:$BK$155,1,Source_Data!AO$5-($B$150+$B$152)),0)</f>
        <v>7.24626</v>
      </c>
      <c r="AP156" s="33" t="n">
        <f aca="false">$B$149*IF(Source_Data!AP$5-($B$150+$B$152)&gt;=1,INDEX($D$155:$BK$155,1,Source_Data!AP$5-($B$150+$B$152)),0)</f>
        <v>7.24626</v>
      </c>
      <c r="AQ156" s="33" t="n">
        <f aca="false">$B$149*IF(Source_Data!AQ$5-($B$150+$B$152)&gt;=1,INDEX($D$155:$BK$155,1,Source_Data!AQ$5-($B$150+$B$152)),0)</f>
        <v>7.24626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339</v>
      </c>
      <c r="D157" s="33" t="n">
        <f aca="false">Source_Data!D$9+Source_Data!D$10*IF(Source_Data!$C$10=0,0,MAX(0,Inputs!$B$19*Inputs!$B$22*$B$149-Inputs!$B$20)/Source_Data!$C$10)</f>
        <v>0</v>
      </c>
      <c r="E157" s="33" t="n">
        <f aca="false">Source_Data!E$9+Source_Data!E$10*IF(Source_Data!$C$10=0,0,MAX(0,Inputs!$B$19*Inputs!$B$22*$B$149-Inputs!$B$20)/Source_Data!$C$10)</f>
        <v>0</v>
      </c>
      <c r="F157" s="33" t="n">
        <f aca="false">Source_Data!F$9+Source_Data!F$10*IF(Source_Data!$C$10=0,0,MAX(0,Inputs!$B$19*Inputs!$B$22*$B$149-Inputs!$B$20)/Source_Data!$C$10)</f>
        <v>0</v>
      </c>
      <c r="G157" s="33" t="n">
        <f aca="false">Source_Data!G$9+Source_Data!G$10*IF(Source_Data!$C$10=0,0,MAX(0,Inputs!$B$19*Inputs!$B$22*$B$149-Inputs!$B$20)/Source_Data!$C$10)</f>
        <v>85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45</v>
      </c>
      <c r="M157" s="33" t="n">
        <f aca="false">Source_Data!M$9+Source_Data!M$10*IF(Source_Data!$C$10=0,0,MAX(0,Inputs!$B$19*Inputs!$B$22*$B$149-Inputs!$B$20)/Source_Data!$C$10)</f>
        <v>45</v>
      </c>
      <c r="N157" s="33" t="n">
        <f aca="false">Source_Data!N$9+Source_Data!N$10*IF(Source_Data!$C$10=0,0,MAX(0,Inputs!$B$19*Inputs!$B$22*$B$149-Inputs!$B$20)/Source_Data!$C$10)</f>
        <v>45</v>
      </c>
      <c r="O157" s="33" t="n">
        <f aca="false">Source_Data!O$9+Source_Data!O$10*IF(Source_Data!$C$10=0,0,MAX(0,Inputs!$B$19*Inputs!$B$22*$B$149-Inputs!$B$20)/Source_Data!$C$10)</f>
        <v>45</v>
      </c>
      <c r="P157" s="33" t="n">
        <f aca="false">Source_Data!P$9+Source_Data!P$10*IF(Source_Data!$C$10=0,0,MAX(0,Inputs!$B$19*Inputs!$B$22*$B$149-Inputs!$B$20)/Source_Data!$C$10)</f>
        <v>56.25</v>
      </c>
      <c r="Q157" s="33" t="n">
        <f aca="false">Source_Data!Q$9+Source_Data!Q$10*IF(Source_Data!$C$10=0,0,MAX(0,Inputs!$B$19*Inputs!$B$22*$B$149-Inputs!$B$20)/Source_Data!$C$10)</f>
        <v>56.25</v>
      </c>
      <c r="R157" s="33" t="n">
        <f aca="false">Source_Data!R$9+Source_Data!R$10*IF(Source_Data!$C$10=0,0,MAX(0,Inputs!$B$19*Inputs!$B$22*$B$149-Inputs!$B$20)/Source_Data!$C$10)</f>
        <v>56.25</v>
      </c>
      <c r="S157" s="33" t="n">
        <f aca="false">Source_Data!S$9+Source_Data!S$10*IF(Source_Data!$C$10=0,0,MAX(0,Inputs!$B$19*Inputs!$B$22*$B$149-Inputs!$B$20)/Source_Data!$C$10)</f>
        <v>56.25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241.1916115625</v>
      </c>
      <c r="AG157" s="33" t="n">
        <f aca="false">Source_Data!AG$9+Source_Data!AG$10*IF(Source_Data!$C$10=0,0,MAX(0,Inputs!$B$19*Inputs!$B$22*$B$149-Inputs!$B$20)/Source_Data!$C$10)</f>
        <v>16.10722640625</v>
      </c>
      <c r="AH157" s="33" t="n">
        <f aca="false">Source_Data!AH$9+Source_Data!AH$10*IF(Source_Data!$C$10=0,0,MAX(0,Inputs!$B$19*Inputs!$B$22*$B$149-Inputs!$B$20)/Source_Data!$C$10)</f>
        <v>14.4193678125</v>
      </c>
      <c r="AI157" s="33" t="n">
        <f aca="false">Source_Data!AI$9+Source_Data!AI$10*IF(Source_Data!$C$10=0,0,MAX(0,Inputs!$B$19*Inputs!$B$22*$B$149-Inputs!$B$20)/Source_Data!$C$10)</f>
        <v>12.73150921875</v>
      </c>
      <c r="AJ157" s="33" t="n">
        <f aca="false">Source_Data!AJ$9+Source_Data!AJ$10*IF(Source_Data!$C$10=0,0,MAX(0,Inputs!$B$19*Inputs!$B$22*$B$149-Inputs!$B$20)/Source_Data!$C$10)</f>
        <v>10.01136609375</v>
      </c>
      <c r="AK157" s="33" t="n">
        <f aca="false">Source_Data!AK$9+Source_Data!AK$10*IF(Source_Data!$C$10=0,0,MAX(0,Inputs!$B$19*Inputs!$B$22*$B$149-Inputs!$B$20)/Source_Data!$C$10)</f>
        <v>8.43603140625001</v>
      </c>
      <c r="AL157" s="33" t="n">
        <f aca="false">Source_Data!AL$9+Source_Data!AL$10*IF(Source_Data!$C$10=0,0,MAX(0,Inputs!$B$19*Inputs!$B$22*$B$149-Inputs!$B$20)/Source_Data!$C$10)</f>
        <v>7.35156187500001</v>
      </c>
      <c r="AM157" s="33" t="n">
        <f aca="false">Source_Data!AM$9+Source_Data!AM$10*IF(Source_Data!$C$10=0,0,MAX(0,Inputs!$B$19*Inputs!$B$22*$B$149-Inputs!$B$20)/Source_Data!$C$10)</f>
        <v>3.17023875000001</v>
      </c>
      <c r="AN157" s="33" t="n">
        <f aca="false">Source_Data!AN$9+Source_Data!AN$10*IF(Source_Data!$C$10=0,0,MAX(0,Inputs!$B$19*Inputs!$B$22*$B$149-Inputs!$B$20)/Source_Data!$C$10)</f>
        <v>3.17023875000001</v>
      </c>
      <c r="AO157" s="33" t="n">
        <f aca="false">Source_Data!AO$9+Source_Data!AO$10*IF(Source_Data!$C$10=0,0,MAX(0,Inputs!$B$19*Inputs!$B$22*$B$149-Inputs!$B$20)/Source_Data!$C$10)</f>
        <v>3.17023875000001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194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0</v>
      </c>
      <c r="I158" s="33" t="n">
        <f aca="false">Source_Data!I$11*$B$151</f>
        <v>0</v>
      </c>
      <c r="J158" s="33" t="n">
        <f aca="false">Source_Data!J$11*$B$151</f>
        <v>20</v>
      </c>
      <c r="K158" s="33" t="n">
        <f aca="false">Source_Data!K$11*$B$151</f>
        <v>26.4</v>
      </c>
      <c r="L158" s="33" t="n">
        <f aca="false">Source_Data!L$11*$B$151</f>
        <v>40</v>
      </c>
      <c r="M158" s="33" t="n">
        <f aca="false">Source_Data!M$11*$B$151</f>
        <v>26.4</v>
      </c>
      <c r="N158" s="33" t="n">
        <f aca="false">Source_Data!N$11*$B$151</f>
        <v>26.4</v>
      </c>
      <c r="O158" s="33" t="n">
        <f aca="false">Source_Data!O$11*$B$151</f>
        <v>26.4</v>
      </c>
      <c r="P158" s="33" t="n">
        <f aca="false">Source_Data!P$11*$B$151</f>
        <v>5.28</v>
      </c>
      <c r="Q158" s="33" t="n">
        <f aca="false">Source_Data!Q$11*$B$151</f>
        <v>5.28</v>
      </c>
      <c r="R158" s="33" t="n">
        <f aca="false">Source_Data!R$11*$B$151</f>
        <v>120</v>
      </c>
      <c r="S158" s="33" t="n">
        <f aca="false">Source_Data!S$11*$B$151</f>
        <v>120</v>
      </c>
      <c r="T158" s="33" t="n">
        <f aca="false">Source_Data!T$11*$B$151</f>
        <v>164</v>
      </c>
      <c r="U158" s="33" t="n">
        <f aca="false">Source_Data!U$11*$B$151</f>
        <v>117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196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0</v>
      </c>
      <c r="M159" s="33" t="n">
        <f aca="false">$B$149*IF(Source_Data!M$5-$B$150&gt;=1,INDEX(Source_Data!$D$12:$BK$12,1,Source_Data!M$5-$B$150),0)</f>
        <v>0</v>
      </c>
      <c r="N159" s="33" t="n">
        <f aca="false">$B$149*IF(Source_Data!N$5-$B$150&gt;=1,INDEX(Source_Data!$D$12:$BK$12,1,Source_Data!N$5-$B$150),0)</f>
        <v>14.49252</v>
      </c>
      <c r="O159" s="33" t="n">
        <f aca="false">$B$149*IF(Source_Data!O$5-$B$150&gt;=1,INDEX(Source_Data!$D$12:$BK$12,1,Source_Data!O$5-$B$150),0)</f>
        <v>14.49252</v>
      </c>
      <c r="P159" s="33" t="n">
        <f aca="false">$B$149*IF(Source_Data!P$5-$B$150&gt;=1,INDEX(Source_Data!$D$12:$BK$12,1,Source_Data!P$5-$B$150),0)</f>
        <v>12.43494</v>
      </c>
      <c r="Q159" s="33" t="n">
        <f aca="false">$B$149*IF(Source_Data!Q$5-$B$150&gt;=1,INDEX(Source_Data!$D$12:$BK$12,1,Source_Data!Q$5-$B$150),0)</f>
        <v>7.20153</v>
      </c>
      <c r="R159" s="33" t="n">
        <f aca="false">$B$149*IF(Source_Data!R$5-$B$150&gt;=1,INDEX(Source_Data!$D$12:$BK$12,1,Source_Data!R$5-$B$150),0)</f>
        <v>7.93212</v>
      </c>
      <c r="S159" s="33" t="n">
        <f aca="false">$B$149*IF(Source_Data!S$5-$B$150&gt;=1,INDEX(Source_Data!$D$12:$BK$12,1,Source_Data!S$5-$B$150),0)</f>
        <v>7.39536</v>
      </c>
      <c r="T159" s="33" t="n">
        <f aca="false">$B$149*IF(Source_Data!T$5-$B$150&gt;=1,INDEX(Source_Data!$D$12:$BK$12,1,Source_Data!T$5-$B$150),0)</f>
        <v>7.54446</v>
      </c>
      <c r="U159" s="33" t="n">
        <f aca="false">$B$149*IF(Source_Data!U$5-$B$150&gt;=1,INDEX(Source_Data!$D$12:$BK$12,1,Source_Data!U$5-$B$150),0)</f>
        <v>7.54446</v>
      </c>
      <c r="V159" s="33" t="n">
        <f aca="false">$B$149*IF(Source_Data!V$5-$B$150&gt;=1,INDEX(Source_Data!$D$12:$BK$12,1,Source_Data!V$5-$B$150),0)</f>
        <v>8.23032</v>
      </c>
      <c r="W159" s="33" t="n">
        <f aca="false">$B$149*IF(Source_Data!W$5-$B$150&gt;=1,INDEX(Source_Data!$D$12:$BK$12,1,Source_Data!W$5-$B$150),0)</f>
        <v>8.23032</v>
      </c>
      <c r="X159" s="33" t="n">
        <f aca="false">$B$149*IF(Source_Data!X$5-$B$150&gt;=1,INDEX(Source_Data!$D$12:$BK$12,1,Source_Data!X$5-$B$150),0)</f>
        <v>5.72544</v>
      </c>
      <c r="Y159" s="33" t="n">
        <f aca="false">$B$149*IF(Source_Data!Y$5-$B$150&gt;=1,INDEX(Source_Data!$D$12:$BK$12,1,Source_Data!Y$5-$B$150),0)</f>
        <v>5.72544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215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0</v>
      </c>
      <c r="I160" s="33" t="n">
        <f aca="false">Source_Data!I$13*$B$151</f>
        <v>0</v>
      </c>
      <c r="J160" s="33" t="n">
        <f aca="false">Source_Data!J$13*$B$151</f>
        <v>3</v>
      </c>
      <c r="K160" s="33" t="n">
        <f aca="false">Source_Data!K$13*$B$151</f>
        <v>3.96</v>
      </c>
      <c r="L160" s="33" t="n">
        <f aca="false">Source_Data!L$13*$B$151</f>
        <v>6</v>
      </c>
      <c r="M160" s="33" t="n">
        <f aca="false">Source_Data!M$13*$B$151</f>
        <v>3.96</v>
      </c>
      <c r="N160" s="33" t="n">
        <f aca="false">Source_Data!N$13*$B$151</f>
        <v>3.96</v>
      </c>
      <c r="O160" s="33" t="n">
        <f aca="false">Source_Data!O$13*$B$151</f>
        <v>3.96</v>
      </c>
      <c r="P160" s="33" t="n">
        <f aca="false">Source_Data!P$13*$B$151</f>
        <v>0.792</v>
      </c>
      <c r="Q160" s="33" t="n">
        <f aca="false">Source_Data!Q$13*$B$151</f>
        <v>0.792</v>
      </c>
      <c r="R160" s="33" t="n">
        <f aca="false">Source_Data!R$13*$B$151</f>
        <v>18</v>
      </c>
      <c r="S160" s="33" t="n">
        <f aca="false">Source_Data!S$13*$B$151</f>
        <v>18</v>
      </c>
      <c r="T160" s="33" t="n">
        <f aca="false">Source_Data!T$13*$B$151</f>
        <v>24.6</v>
      </c>
      <c r="U160" s="33" t="n">
        <f aca="false">Source_Data!U$13*$B$151</f>
        <v>17.55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216</v>
      </c>
      <c r="D161" s="33" t="n">
        <f aca="false">D156-D157-D158-D159-D160</f>
        <v>0</v>
      </c>
      <c r="E161" s="33" t="n">
        <f aca="false">E156-E157-E158-E159-E160</f>
        <v>0</v>
      </c>
      <c r="F161" s="33" t="n">
        <f aca="false">F156-F157-F158-F159-F160</f>
        <v>0</v>
      </c>
      <c r="G161" s="33" t="n">
        <f aca="false">G156-G157-G158-G159-G160</f>
        <v>-85</v>
      </c>
      <c r="H161" s="33" t="n">
        <f aca="false">H156-H157-H158-H159-H160</f>
        <v>-22.5</v>
      </c>
      <c r="I161" s="33" t="n">
        <f aca="false">I156-I157-I158-I159-I160</f>
        <v>-22.5</v>
      </c>
      <c r="J161" s="33" t="n">
        <f aca="false">J156-J157-J158-J159-J160</f>
        <v>-27.38435</v>
      </c>
      <c r="K161" s="33" t="n">
        <f aca="false">K156-K157-K158-K159-K160</f>
        <v>-16.6287</v>
      </c>
      <c r="L161" s="33" t="n">
        <f aca="false">L156-L157-L158-L159-L160</f>
        <v>-32.739175</v>
      </c>
      <c r="M161" s="33" t="n">
        <f aca="false">M156-M157-M158-M159-M160</f>
        <v>-6.34161</v>
      </c>
      <c r="N161" s="33" t="n">
        <f aca="false">N156-N157-N158-N159-N160</f>
        <v>-22.764975</v>
      </c>
      <c r="O161" s="33" t="n">
        <f aca="false">O156-O157-O158-O159-O160</f>
        <v>-16.8792525</v>
      </c>
      <c r="P161" s="33" t="n">
        <f aca="false">P156-P157-P158-P159-P160</f>
        <v>14.114115</v>
      </c>
      <c r="Q161" s="33" t="n">
        <f aca="false">Q156-Q157-Q158-Q159-Q160</f>
        <v>36.084</v>
      </c>
      <c r="R161" s="33" t="n">
        <f aca="false">R156-R157-R158-R159-R160</f>
        <v>-86.92968375</v>
      </c>
      <c r="S161" s="33" t="n">
        <f aca="false">S156-S157-S158-S159-S160</f>
        <v>-76.7480175</v>
      </c>
      <c r="T161" s="33" t="n">
        <f aca="false">T156-T157-T158-T159-T160</f>
        <v>441.9460075</v>
      </c>
      <c r="U161" s="33" t="n">
        <f aca="false">U156-U157-U158-U159-U160</f>
        <v>-15.4542675</v>
      </c>
      <c r="V161" s="33" t="n">
        <f aca="false">V156-V157-V158-V159-V160</f>
        <v>59.3662724999999</v>
      </c>
      <c r="W161" s="33" t="n">
        <f aca="false">W156-W157-W158-W159-W160</f>
        <v>36.1066725</v>
      </c>
      <c r="X161" s="33" t="n">
        <f aca="false">X156-X157-X158-X159-X160</f>
        <v>59.2999875</v>
      </c>
      <c r="Y161" s="33" t="n">
        <f aca="false">Y156-Y157-Y158-Y159-Y160</f>
        <v>57.4884225</v>
      </c>
      <c r="Z161" s="33" t="n">
        <f aca="false">Z156-Z157-Z158-Z159-Z160</f>
        <v>54.779461875</v>
      </c>
      <c r="AA161" s="33" t="n">
        <f aca="false">AA156-AA157-AA158-AA159-AA160</f>
        <v>47.65341375</v>
      </c>
      <c r="AB161" s="33" t="n">
        <f aca="false">AB156-AB157-AB158-AB159-AB160</f>
        <v>61.33787625</v>
      </c>
      <c r="AC161" s="33" t="n">
        <f aca="false">AC156-AC157-AC158-AC159-AC160</f>
        <v>51.04624875</v>
      </c>
      <c r="AD161" s="33" t="n">
        <f aca="false">AD156-AD157-AD158-AD159-AD160</f>
        <v>51.04624875</v>
      </c>
      <c r="AE161" s="33" t="n">
        <f aca="false">AE156-AE157-AE158-AE159-AE160</f>
        <v>51.04624875</v>
      </c>
      <c r="AF161" s="33" t="n">
        <f aca="false">AF156-AF157-AF158-AF159-AF160</f>
        <v>-190.1453628125</v>
      </c>
      <c r="AG161" s="33" t="n">
        <f aca="false">AG156-AG157-AG158-AG159-AG160</f>
        <v>34.93902234375</v>
      </c>
      <c r="AH161" s="33" t="n">
        <f aca="false">AH156-AH157-AH158-AH159-AH160</f>
        <v>29.5120153125</v>
      </c>
      <c r="AI161" s="33" t="n">
        <f aca="false">AI156-AI157-AI158-AI159-AI160</f>
        <v>24.08500828125</v>
      </c>
      <c r="AJ161" s="33" t="n">
        <f aca="false">AJ156-AJ157-AJ158-AJ159-AJ160</f>
        <v>22.94718890625</v>
      </c>
      <c r="AK161" s="33" t="n">
        <f aca="false">AK156-AK157-AK158-AK159-AK160</f>
        <v>20.66456109375</v>
      </c>
      <c r="AL161" s="33" t="n">
        <f aca="false">AL156-AL157-AL158-AL159-AL160</f>
        <v>15.531560625</v>
      </c>
      <c r="AM161" s="33" t="n">
        <f aca="false">AM156-AM157-AM158-AM159-AM160</f>
        <v>16.11211875</v>
      </c>
      <c r="AN161" s="33" t="n">
        <f aca="false">AN156-AN157-AN158-AN159-AN160</f>
        <v>13.63333125</v>
      </c>
      <c r="AO161" s="33" t="n">
        <f aca="false">AO156-AO157-AO158-AO159-AO160</f>
        <v>4.07602125</v>
      </c>
      <c r="AP161" s="33" t="n">
        <f aca="false">AP156-AP157-AP158-AP159-AP160</f>
        <v>7.24626</v>
      </c>
      <c r="AQ161" s="33" t="n">
        <f aca="false">AQ156-AQ157-AQ158-AQ159-AQ160</f>
        <v>7.24626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217</v>
      </c>
      <c r="D162" s="33" t="n">
        <f aca="false">D161</f>
        <v>0</v>
      </c>
      <c r="E162" s="33" t="n">
        <f aca="false">D162+E161</f>
        <v>0</v>
      </c>
      <c r="F162" s="33" t="n">
        <f aca="false">E162+F161</f>
        <v>0</v>
      </c>
      <c r="G162" s="33" t="n">
        <f aca="false">F162+G161</f>
        <v>-85</v>
      </c>
      <c r="H162" s="33" t="n">
        <f aca="false">G162+H161</f>
        <v>-107.5</v>
      </c>
      <c r="I162" s="33" t="n">
        <f aca="false">H162+I161</f>
        <v>-130</v>
      </c>
      <c r="J162" s="33" t="n">
        <f aca="false">I162+J161</f>
        <v>-157.38435</v>
      </c>
      <c r="K162" s="33" t="n">
        <f aca="false">J162+K161</f>
        <v>-174.01305</v>
      </c>
      <c r="L162" s="33" t="n">
        <f aca="false">K162+L161</f>
        <v>-206.752225</v>
      </c>
      <c r="M162" s="33" t="n">
        <f aca="false">L162+M161</f>
        <v>-213.093835</v>
      </c>
      <c r="N162" s="33" t="n">
        <f aca="false">M162+N161</f>
        <v>-235.85881</v>
      </c>
      <c r="O162" s="33" t="n">
        <f aca="false">N162+O161</f>
        <v>-252.7380625</v>
      </c>
      <c r="P162" s="33" t="n">
        <f aca="false">O162+P161</f>
        <v>-238.6239475</v>
      </c>
      <c r="Q162" s="33" t="n">
        <f aca="false">P162+Q161</f>
        <v>-202.5399475</v>
      </c>
      <c r="R162" s="33" t="n">
        <f aca="false">Q162+R161</f>
        <v>-289.46963125</v>
      </c>
      <c r="S162" s="33" t="n">
        <f aca="false">R162+S161</f>
        <v>-366.21764875</v>
      </c>
      <c r="T162" s="33" t="n">
        <f aca="false">S162+T161</f>
        <v>75.7283587499998</v>
      </c>
      <c r="U162" s="33" t="n">
        <f aca="false">T162+U161</f>
        <v>60.2740912499998</v>
      </c>
      <c r="V162" s="33" t="n">
        <f aca="false">U162+V161</f>
        <v>119.64036375</v>
      </c>
      <c r="W162" s="33" t="n">
        <f aca="false">V162+W161</f>
        <v>155.74703625</v>
      </c>
      <c r="X162" s="33" t="n">
        <f aca="false">W162+X161</f>
        <v>215.04702375</v>
      </c>
      <c r="Y162" s="33" t="n">
        <f aca="false">X162+Y161</f>
        <v>272.53544625</v>
      </c>
      <c r="Z162" s="33" t="n">
        <f aca="false">Y162+Z161</f>
        <v>327.314908125</v>
      </c>
      <c r="AA162" s="33" t="n">
        <f aca="false">Z162+AA161</f>
        <v>374.968321875</v>
      </c>
      <c r="AB162" s="33" t="n">
        <f aca="false">AA162+AB161</f>
        <v>436.306198125</v>
      </c>
      <c r="AC162" s="33" t="n">
        <f aca="false">AB162+AC161</f>
        <v>487.352446875</v>
      </c>
      <c r="AD162" s="33" t="n">
        <f aca="false">AC162+AD161</f>
        <v>538.398695625</v>
      </c>
      <c r="AE162" s="33" t="n">
        <f aca="false">AD162+AE161</f>
        <v>589.444944375</v>
      </c>
      <c r="AF162" s="33" t="n">
        <f aca="false">AE162+AF161</f>
        <v>399.2995815625</v>
      </c>
      <c r="AG162" s="33" t="n">
        <f aca="false">AF162+AG161</f>
        <v>434.23860390625</v>
      </c>
      <c r="AH162" s="33" t="n">
        <f aca="false">AG162+AH161</f>
        <v>463.75061921875</v>
      </c>
      <c r="AI162" s="33" t="n">
        <f aca="false">AH162+AI161</f>
        <v>487.8356275</v>
      </c>
      <c r="AJ162" s="33" t="n">
        <f aca="false">AI162+AJ161</f>
        <v>510.78281640625</v>
      </c>
      <c r="AK162" s="33" t="n">
        <f aca="false">AJ162+AK161</f>
        <v>531.4473775</v>
      </c>
      <c r="AL162" s="33" t="n">
        <f aca="false">AK162+AL161</f>
        <v>546.978938125</v>
      </c>
      <c r="AM162" s="33" t="n">
        <f aca="false">AL162+AM161</f>
        <v>563.091056875</v>
      </c>
      <c r="AN162" s="33" t="n">
        <f aca="false">AM162+AN161</f>
        <v>576.724388125</v>
      </c>
      <c r="AO162" s="33" t="n">
        <f aca="false">AN162+AO161</f>
        <v>580.800409375</v>
      </c>
      <c r="AP162" s="33" t="n">
        <f aca="false">AO162+AP161</f>
        <v>588.046669375</v>
      </c>
      <c r="AQ162" s="33" t="n">
        <f aca="false">AP162+AQ161</f>
        <v>595.292929375</v>
      </c>
      <c r="AR162" s="33" t="n">
        <f aca="false">AQ162+AR161</f>
        <v>595.292929375</v>
      </c>
      <c r="AS162" s="33" t="n">
        <f aca="false">AR162+AS161</f>
        <v>595.292929375</v>
      </c>
      <c r="AT162" s="33" t="n">
        <f aca="false">AS162+AT161</f>
        <v>595.292929375</v>
      </c>
      <c r="AU162" s="33" t="n">
        <f aca="false">AT162+AU161</f>
        <v>595.292929375</v>
      </c>
      <c r="AV162" s="33" t="n">
        <f aca="false">AU162+AV161</f>
        <v>595.292929375</v>
      </c>
      <c r="AW162" s="33" t="n">
        <f aca="false">AV162+AW161</f>
        <v>595.292929375</v>
      </c>
      <c r="AX162" s="33" t="n">
        <f aca="false">AW162+AX161</f>
        <v>595.292929375</v>
      </c>
      <c r="AY162" s="33" t="n">
        <f aca="false">AX162+AY161</f>
        <v>595.292929375</v>
      </c>
      <c r="AZ162" s="33" t="n">
        <f aca="false">AY162+AZ161</f>
        <v>595.292929375</v>
      </c>
      <c r="BA162" s="33" t="n">
        <f aca="false">AZ162+BA161</f>
        <v>595.292929375</v>
      </c>
      <c r="BB162" s="33" t="n">
        <f aca="false">BA162+BB161</f>
        <v>595.292929375</v>
      </c>
      <c r="BC162" s="33" t="n">
        <f aca="false">BB162+BC161</f>
        <v>595.292929375</v>
      </c>
      <c r="BD162" s="33" t="n">
        <f aca="false">BC162+BD161</f>
        <v>595.292929375</v>
      </c>
      <c r="BE162" s="33" t="n">
        <f aca="false">BD162+BE161</f>
        <v>595.292929375</v>
      </c>
      <c r="BF162" s="33" t="n">
        <f aca="false">BE162+BF161</f>
        <v>595.292929375</v>
      </c>
      <c r="BG162" s="33" t="n">
        <f aca="false">BF162+BG161</f>
        <v>595.292929375</v>
      </c>
      <c r="BH162" s="33" t="n">
        <f aca="false">BG162+BH161</f>
        <v>595.292929375</v>
      </c>
      <c r="BI162" s="33" t="n">
        <f aca="false">BH162+BI161</f>
        <v>595.292929375</v>
      </c>
      <c r="BJ162" s="33" t="n">
        <f aca="false">BI162+BJ161</f>
        <v>595.292929375</v>
      </c>
      <c r="BK162" s="33" t="n">
        <f aca="false">BJ162+BK161</f>
        <v>595.292929375</v>
      </c>
    </row>
    <row r="163" customFormat="false" ht="15" hidden="false" customHeight="false" outlineLevel="0" collapsed="false">
      <c r="A163" s="3" t="s">
        <v>340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-50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0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0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35.9259259259259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35.9259259259259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35.9259259259259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35.9259259259259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341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0</v>
      </c>
      <c r="N164" s="33" t="n">
        <f aca="false">IF(AND(Source_Data!N$6&gt;=Inputs!$B$54,Source_Data!N$6&lt;Inputs!$B$54+3*Inputs!$B$11),Inputs!$B$9*Inputs!$B$7/Inputs!$B$11,0)</f>
        <v>0</v>
      </c>
      <c r="O164" s="33" t="n">
        <f aca="false">IF(AND(Source_Data!O$6&gt;=Inputs!$B$54,Source_Data!O$6&lt;Inputs!$B$54+3*Inputs!$B$11),Inputs!$B$9*Inputs!$B$7/Inputs!$B$11,0)</f>
        <v>0</v>
      </c>
      <c r="P164" s="33" t="n">
        <f aca="false">IF(AND(Source_Data!P$6&gt;=Inputs!$B$54,Source_Data!P$6&lt;Inputs!$B$54+3*Inputs!$B$11),Inputs!$B$9*Inputs!$B$7/Inputs!$B$11,0)</f>
        <v>9.58333333333333</v>
      </c>
      <c r="Q164" s="33" t="n">
        <f aca="false">IF(AND(Source_Data!Q$6&gt;=Inputs!$B$54,Source_Data!Q$6&lt;Inputs!$B$54+3*Inputs!$B$11),Inputs!$B$9*Inputs!$B$7/Inputs!$B$11,0)</f>
        <v>9.58333333333333</v>
      </c>
      <c r="R164" s="33" t="n">
        <f aca="false">IF(AND(Source_Data!R$6&gt;=Inputs!$B$54,Source_Data!R$6&lt;Inputs!$B$54+3*Inputs!$B$11),Inputs!$B$9*Inputs!$B$7/Inputs!$B$11,0)</f>
        <v>9.58333333333333</v>
      </c>
      <c r="S164" s="33" t="n">
        <f aca="false">IF(AND(Source_Data!S$6&gt;=Inputs!$B$54,Source_Data!S$6&lt;Inputs!$B$54+3*Inputs!$B$11),Inputs!$B$9*Inputs!$B$7/Inputs!$B$11,0)</f>
        <v>9.58333333333333</v>
      </c>
      <c r="T164" s="33" t="n">
        <f aca="false">IF(AND(Source_Data!T$6&gt;=Inputs!$B$54,Source_Data!T$6&lt;Inputs!$B$54+3*Inputs!$B$11),Inputs!$B$9*Inputs!$B$7/Inputs!$B$11,0)</f>
        <v>9.58333333333333</v>
      </c>
      <c r="U164" s="33" t="n">
        <f aca="false">IF(AND(Source_Data!U$6&gt;=Inputs!$B$54,Source_Data!U$6&lt;Inputs!$B$54+3*Inputs!$B$11),Inputs!$B$9*Inputs!$B$7/Inputs!$B$11,0)</f>
        <v>9.58333333333333</v>
      </c>
      <c r="V164" s="33" t="n">
        <f aca="false">IF(AND(Source_Data!V$6&gt;=Inputs!$B$54,Source_Data!V$6&lt;Inputs!$B$54+3*Inputs!$B$11),Inputs!$B$9*Inputs!$B$7/Inputs!$B$11,0)</f>
        <v>9.58333333333333</v>
      </c>
      <c r="W164" s="33" t="n">
        <f aca="false">IF(AND(Source_Data!W$6&gt;=Inputs!$B$54,Source_Data!W$6&lt;Inputs!$B$54+3*Inputs!$B$11),Inputs!$B$9*Inputs!$B$7/Inputs!$B$11,0)</f>
        <v>9.58333333333333</v>
      </c>
      <c r="X164" s="33" t="n">
        <f aca="false">IF(AND(Source_Data!X$6&gt;=Inputs!$B$54,Source_Data!X$6&lt;Inputs!$B$54+3*Inputs!$B$11),Inputs!$B$9*Inputs!$B$7/Inputs!$B$11,0)</f>
        <v>9.58333333333333</v>
      </c>
      <c r="Y164" s="33" t="n">
        <f aca="false">IF(AND(Source_Data!Y$6&gt;=Inputs!$B$54,Source_Data!Y$6&lt;Inputs!$B$54+3*Inputs!$B$11),Inputs!$B$9*Inputs!$B$7/Inputs!$B$11,0)</f>
        <v>9.58333333333333</v>
      </c>
      <c r="Z164" s="33" t="n">
        <f aca="false">IF(AND(Source_Data!Z$6&gt;=Inputs!$B$54,Source_Data!Z$6&lt;Inputs!$B$54+3*Inputs!$B$11),Inputs!$B$9*Inputs!$B$7/Inputs!$B$11,0)</f>
        <v>9.58333333333333</v>
      </c>
      <c r="AA164" s="33" t="n">
        <f aca="false">IF(AND(Source_Data!AA$6&gt;=Inputs!$B$54,Source_Data!AA$6&lt;Inputs!$B$54+3*Inputs!$B$11),Inputs!$B$9*Inputs!$B$7/Inputs!$B$11,0)</f>
        <v>9.58333333333333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342</v>
      </c>
      <c r="D165" s="33" t="n">
        <f aca="false">IF(Source_Data!D$6=Inputs!$B$12,-Inputs!$B$7,0)+D164</f>
        <v>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-50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0</v>
      </c>
      <c r="N165" s="33" t="n">
        <f aca="false">IF(Source_Data!N$6=Inputs!$B$12,-Inputs!$B$7,0)+N164</f>
        <v>0</v>
      </c>
      <c r="O165" s="33" t="n">
        <f aca="false">IF(Source_Data!O$6=Inputs!$B$12,-Inputs!$B$7,0)+O164</f>
        <v>0</v>
      </c>
      <c r="P165" s="33" t="n">
        <f aca="false">IF(Source_Data!P$6=Inputs!$B$12,-Inputs!$B$7,0)+P164</f>
        <v>9.58333333333333</v>
      </c>
      <c r="Q165" s="33" t="n">
        <f aca="false">IF(Source_Data!Q$6=Inputs!$B$12,-Inputs!$B$7,0)+Q164</f>
        <v>9.58333333333333</v>
      </c>
      <c r="R165" s="33" t="n">
        <f aca="false">IF(Source_Data!R$6=Inputs!$B$12,-Inputs!$B$7,0)+R164</f>
        <v>9.58333333333333</v>
      </c>
      <c r="S165" s="33" t="n">
        <f aca="false">IF(Source_Data!S$6=Inputs!$B$12,-Inputs!$B$7,0)+S164</f>
        <v>9.58333333333333</v>
      </c>
      <c r="T165" s="33" t="n">
        <f aca="false">IF(Source_Data!T$6=Inputs!$B$12,-Inputs!$B$7,0)+T164</f>
        <v>9.58333333333333</v>
      </c>
      <c r="U165" s="33" t="n">
        <f aca="false">IF(Source_Data!U$6=Inputs!$B$12,-Inputs!$B$7,0)+U164</f>
        <v>9.58333333333333</v>
      </c>
      <c r="V165" s="33" t="n">
        <f aca="false">IF(Source_Data!V$6=Inputs!$B$12,-Inputs!$B$7,0)+V164</f>
        <v>9.58333333333333</v>
      </c>
      <c r="W165" s="33" t="n">
        <f aca="false">IF(Source_Data!W$6=Inputs!$B$12,-Inputs!$B$7,0)+W164</f>
        <v>9.58333333333333</v>
      </c>
      <c r="X165" s="33" t="n">
        <f aca="false">IF(Source_Data!X$6=Inputs!$B$12,-Inputs!$B$7,0)+X164</f>
        <v>9.58333333333333</v>
      </c>
      <c r="Y165" s="33" t="n">
        <f aca="false">IF(Source_Data!Y$6=Inputs!$B$12,-Inputs!$B$7,0)+Y164</f>
        <v>9.58333333333333</v>
      </c>
      <c r="Z165" s="33" t="n">
        <f aca="false">IF(Source_Data!Z$6=Inputs!$B$12,-Inputs!$B$7,0)+Z164</f>
        <v>9.58333333333333</v>
      </c>
      <c r="AA165" s="33" t="n">
        <f aca="false">IF(Source_Data!AA$6=Inputs!$B$12,-Inputs!$B$7,0)+AA164</f>
        <v>9.58333333333333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343</v>
      </c>
      <c r="D166" s="33" t="n">
        <f aca="false">IF(Source_Data!D$6=Inputs!$B$12,Inputs!$B$7,0)+D161-D164</f>
        <v>0</v>
      </c>
      <c r="E166" s="33" t="n">
        <f aca="false">D166+IF(Source_Data!E$6=Inputs!$B$12,Inputs!$B$7,0)+E161-E164</f>
        <v>0</v>
      </c>
      <c r="F166" s="33" t="n">
        <f aca="false">E166+IF(Source_Data!F$6=Inputs!$B$12,Inputs!$B$7,0)+F161-F164</f>
        <v>0</v>
      </c>
      <c r="G166" s="33" t="n">
        <f aca="false">F166+IF(Source_Data!G$6=Inputs!$B$12,Inputs!$B$7,0)+G161-G164</f>
        <v>-35</v>
      </c>
      <c r="H166" s="33" t="n">
        <f aca="false">G166+IF(Source_Data!H$6=Inputs!$B$12,Inputs!$B$7,0)+H161-H164</f>
        <v>-57.5</v>
      </c>
      <c r="I166" s="33" t="n">
        <f aca="false">H166+IF(Source_Data!I$6=Inputs!$B$12,Inputs!$B$7,0)+I161-I164</f>
        <v>-80</v>
      </c>
      <c r="J166" s="33" t="n">
        <f aca="false">I166+IF(Source_Data!J$6=Inputs!$B$12,Inputs!$B$7,0)+J161-J164</f>
        <v>-107.38435</v>
      </c>
      <c r="K166" s="33" t="n">
        <f aca="false">J166+IF(Source_Data!K$6=Inputs!$B$12,Inputs!$B$7,0)+K161-K164</f>
        <v>-124.01305</v>
      </c>
      <c r="L166" s="33" t="n">
        <f aca="false">K166+IF(Source_Data!L$6=Inputs!$B$12,Inputs!$B$7,0)+L161-L164</f>
        <v>-156.752225</v>
      </c>
      <c r="M166" s="33" t="n">
        <f aca="false">L166+IF(Source_Data!M$6=Inputs!$B$12,Inputs!$B$7,0)+M161-M164</f>
        <v>-163.093835</v>
      </c>
      <c r="N166" s="33" t="n">
        <f aca="false">M166+IF(Source_Data!N$6=Inputs!$B$12,Inputs!$B$7,0)+N161-N164</f>
        <v>-185.85881</v>
      </c>
      <c r="O166" s="33" t="n">
        <f aca="false">N166+IF(Source_Data!O$6=Inputs!$B$12,Inputs!$B$7,0)+O161-O164</f>
        <v>-202.7380625</v>
      </c>
      <c r="P166" s="33" t="n">
        <f aca="false">O166+IF(Source_Data!P$6=Inputs!$B$12,Inputs!$B$7,0)+P161-P164</f>
        <v>-198.207280833333</v>
      </c>
      <c r="Q166" s="33" t="n">
        <f aca="false">P166+IF(Source_Data!Q$6=Inputs!$B$12,Inputs!$B$7,0)+Q161-Q164</f>
        <v>-171.706614166667</v>
      </c>
      <c r="R166" s="33" t="n">
        <f aca="false">Q166+IF(Source_Data!R$6=Inputs!$B$12,Inputs!$B$7,0)+R161-R164</f>
        <v>-268.21963125</v>
      </c>
      <c r="S166" s="33" t="n">
        <f aca="false">R166+IF(Source_Data!S$6=Inputs!$B$12,Inputs!$B$7,0)+S161-S164</f>
        <v>-354.550982083333</v>
      </c>
      <c r="T166" s="33" t="n">
        <f aca="false">S166+IF(Source_Data!T$6=Inputs!$B$12,Inputs!$B$7,0)+T161-T164</f>
        <v>77.8116920833332</v>
      </c>
      <c r="U166" s="33" t="n">
        <f aca="false">T166+IF(Source_Data!U$6=Inputs!$B$12,Inputs!$B$7,0)+U161-U164</f>
        <v>52.7740912499998</v>
      </c>
      <c r="V166" s="33" t="n">
        <f aca="false">U166+IF(Source_Data!V$6=Inputs!$B$12,Inputs!$B$7,0)+V161-V164</f>
        <v>102.557030416666</v>
      </c>
      <c r="W166" s="33" t="n">
        <f aca="false">V166+IF(Source_Data!W$6=Inputs!$B$12,Inputs!$B$7,0)+W161-W164</f>
        <v>129.080369583333</v>
      </c>
      <c r="X166" s="33" t="n">
        <f aca="false">W166+IF(Source_Data!X$6=Inputs!$B$12,Inputs!$B$7,0)+X161-X164</f>
        <v>178.79702375</v>
      </c>
      <c r="Y166" s="33" t="n">
        <f aca="false">X166+IF(Source_Data!Y$6=Inputs!$B$12,Inputs!$B$7,0)+Y161-Y164</f>
        <v>226.702112916666</v>
      </c>
      <c r="Z166" s="33" t="n">
        <f aca="false">Y166+IF(Source_Data!Z$6=Inputs!$B$12,Inputs!$B$7,0)+Z161-Z164</f>
        <v>271.898241458333</v>
      </c>
      <c r="AA166" s="33" t="n">
        <f aca="false">Z166+IF(Source_Data!AA$6=Inputs!$B$12,Inputs!$B$7,0)+AA161-AA164</f>
        <v>309.968321875</v>
      </c>
      <c r="AB166" s="33" t="n">
        <f aca="false">AA166+IF(Source_Data!AB$6=Inputs!$B$12,Inputs!$B$7,0)+AB161-AB164</f>
        <v>371.306198125</v>
      </c>
      <c r="AC166" s="33" t="n">
        <f aca="false">AB166+IF(Source_Data!AC$6=Inputs!$B$12,Inputs!$B$7,0)+AC161-AC164</f>
        <v>422.352446875</v>
      </c>
      <c r="AD166" s="33" t="n">
        <f aca="false">AC166+IF(Source_Data!AD$6=Inputs!$B$12,Inputs!$B$7,0)+AD161-AD164</f>
        <v>473.398695625</v>
      </c>
      <c r="AE166" s="33" t="n">
        <f aca="false">AD166+IF(Source_Data!AE$6=Inputs!$B$12,Inputs!$B$7,0)+AE161-AE164</f>
        <v>524.444944375</v>
      </c>
      <c r="AF166" s="33" t="n">
        <f aca="false">AE166+IF(Source_Data!AF$6=Inputs!$B$12,Inputs!$B$7,0)+AF161-AF164</f>
        <v>334.2995815625</v>
      </c>
      <c r="AG166" s="33" t="n">
        <f aca="false">AF166+IF(Source_Data!AG$6=Inputs!$B$12,Inputs!$B$7,0)+AG161-AG164</f>
        <v>369.23860390625</v>
      </c>
      <c r="AH166" s="33" t="n">
        <f aca="false">AG166+IF(Source_Data!AH$6=Inputs!$B$12,Inputs!$B$7,0)+AH161-AH164</f>
        <v>398.75061921875</v>
      </c>
      <c r="AI166" s="33" t="n">
        <f aca="false">AH166+IF(Source_Data!AI$6=Inputs!$B$12,Inputs!$B$7,0)+AI161-AI164</f>
        <v>422.8356275</v>
      </c>
      <c r="AJ166" s="33" t="n">
        <f aca="false">AI166+IF(Source_Data!AJ$6=Inputs!$B$12,Inputs!$B$7,0)+AJ161-AJ164</f>
        <v>445.78281640625</v>
      </c>
      <c r="AK166" s="33" t="n">
        <f aca="false">AJ166+IF(Source_Data!AK$6=Inputs!$B$12,Inputs!$B$7,0)+AK161-AK164</f>
        <v>466.4473775</v>
      </c>
      <c r="AL166" s="33" t="n">
        <f aca="false">AK166+IF(Source_Data!AL$6=Inputs!$B$12,Inputs!$B$7,0)+AL161-AL164</f>
        <v>481.978938125</v>
      </c>
      <c r="AM166" s="33" t="n">
        <f aca="false">AL166+IF(Source_Data!AM$6=Inputs!$B$12,Inputs!$B$7,0)+AM161-AM164</f>
        <v>498.091056875</v>
      </c>
      <c r="AN166" s="33" t="n">
        <f aca="false">AM166+IF(Source_Data!AN$6=Inputs!$B$12,Inputs!$B$7,0)+AN161-AN164</f>
        <v>511.724388125</v>
      </c>
      <c r="AO166" s="33" t="n">
        <f aca="false">AN166+IF(Source_Data!AO$6=Inputs!$B$12,Inputs!$B$7,0)+AO161-AO164</f>
        <v>515.800409375</v>
      </c>
      <c r="AP166" s="33" t="n">
        <f aca="false">AO166+IF(Source_Data!AP$6=Inputs!$B$12,Inputs!$B$7,0)+AP161-AP164</f>
        <v>523.046669375</v>
      </c>
      <c r="AQ166" s="33" t="n">
        <f aca="false">AP166+IF(Source_Data!AQ$6=Inputs!$B$12,Inputs!$B$7,0)+AQ161-AQ164</f>
        <v>530.292929375</v>
      </c>
      <c r="AR166" s="33" t="n">
        <f aca="false">AQ166+IF(Source_Data!AR$6=Inputs!$B$12,Inputs!$B$7,0)+AR161-AR164</f>
        <v>530.292929375</v>
      </c>
      <c r="AS166" s="33" t="n">
        <f aca="false">AR166+IF(Source_Data!AS$6=Inputs!$B$12,Inputs!$B$7,0)+AS161-AS164</f>
        <v>530.292929375</v>
      </c>
      <c r="AT166" s="33" t="n">
        <f aca="false">AS166+IF(Source_Data!AT$6=Inputs!$B$12,Inputs!$B$7,0)+AT161-AT164</f>
        <v>530.292929375</v>
      </c>
      <c r="AU166" s="33" t="n">
        <f aca="false">AT166+IF(Source_Data!AU$6=Inputs!$B$12,Inputs!$B$7,0)+AU161-AU164</f>
        <v>530.292929375</v>
      </c>
      <c r="AV166" s="33" t="n">
        <f aca="false">AU166+IF(Source_Data!AV$6=Inputs!$B$12,Inputs!$B$7,0)+AV161-AV164</f>
        <v>530.292929375</v>
      </c>
      <c r="AW166" s="33" t="n">
        <f aca="false">AV166+IF(Source_Data!AW$6=Inputs!$B$12,Inputs!$B$7,0)+AW161-AW164</f>
        <v>530.292929375</v>
      </c>
      <c r="AX166" s="33" t="n">
        <f aca="false">AW166+IF(Source_Data!AX$6=Inputs!$B$12,Inputs!$B$7,0)+AX161-AX164</f>
        <v>530.292929375</v>
      </c>
      <c r="AY166" s="33" t="n">
        <f aca="false">AX166+IF(Source_Data!AY$6=Inputs!$B$12,Inputs!$B$7,0)+AY161-AY164</f>
        <v>530.292929375</v>
      </c>
      <c r="AZ166" s="33" t="n">
        <f aca="false">AY166+IF(Source_Data!AZ$6=Inputs!$B$12,Inputs!$B$7,0)+AZ161-AZ164</f>
        <v>530.292929375</v>
      </c>
      <c r="BA166" s="33" t="n">
        <f aca="false">AZ166+IF(Source_Data!BA$6=Inputs!$B$12,Inputs!$B$7,0)+BA161-BA164</f>
        <v>530.292929375</v>
      </c>
      <c r="BB166" s="33" t="n">
        <f aca="false">BA166+IF(Source_Data!BB$6=Inputs!$B$12,Inputs!$B$7,0)+BB161-BB164</f>
        <v>530.292929375</v>
      </c>
      <c r="BC166" s="33" t="n">
        <f aca="false">BB166+IF(Source_Data!BC$6=Inputs!$B$12,Inputs!$B$7,0)+BC161-BC164</f>
        <v>530.292929375</v>
      </c>
      <c r="BD166" s="33" t="n">
        <f aca="false">BC166+IF(Source_Data!BD$6=Inputs!$B$12,Inputs!$B$7,0)+BD161-BD164</f>
        <v>530.292929375</v>
      </c>
      <c r="BE166" s="33" t="n">
        <f aca="false">BD166+IF(Source_Data!BE$6=Inputs!$B$12,Inputs!$B$7,0)+BE161-BE164</f>
        <v>530.292929375</v>
      </c>
      <c r="BF166" s="33" t="n">
        <f aca="false">BE166+IF(Source_Data!BF$6=Inputs!$B$12,Inputs!$B$7,0)+BF161-BF164</f>
        <v>530.292929375</v>
      </c>
      <c r="BG166" s="33" t="n">
        <f aca="false">BF166+IF(Source_Data!BG$6=Inputs!$B$12,Inputs!$B$7,0)+BG161-BG164</f>
        <v>530.292929375</v>
      </c>
      <c r="BH166" s="33" t="n">
        <f aca="false">BG166+IF(Source_Data!BH$6=Inputs!$B$12,Inputs!$B$7,0)+BH161-BH164</f>
        <v>530.292929375</v>
      </c>
      <c r="BI166" s="33" t="n">
        <f aca="false">BH166+IF(Source_Data!BI$6=Inputs!$B$12,Inputs!$B$7,0)+BI161-BI164</f>
        <v>530.292929375</v>
      </c>
      <c r="BJ166" s="33" t="n">
        <f aca="false">BI166+IF(Source_Data!BJ$6=Inputs!$B$12,Inputs!$B$7,0)+BJ161-BJ164</f>
        <v>530.292929375</v>
      </c>
      <c r="BK166" s="33" t="n">
        <f aca="false">BJ166+IF(Source_Data!BK$6=Inputs!$B$12,Inputs!$B$7,0)+BK161-BK164</f>
        <v>530.292929375</v>
      </c>
    </row>
    <row r="167" customFormat="false" ht="15" hidden="false" customHeight="false" outlineLevel="0" collapsed="false">
      <c r="A167" s="3" t="s">
        <v>344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str">
        <f aca="false">IF(M164&gt;0,M161/M164,"")</f>
        <v/>
      </c>
      <c r="N167" s="31" t="str">
        <f aca="false">IF(N164&gt;0,N161/N164,"")</f>
        <v/>
      </c>
      <c r="O167" s="31" t="str">
        <f aca="false">IF(O164&gt;0,O161/O164,"")</f>
        <v/>
      </c>
      <c r="P167" s="31" t="n">
        <f aca="false">IF(P164&gt;0,P161/P164,"")</f>
        <v>1.47277721739131</v>
      </c>
      <c r="Q167" s="31" t="n">
        <f aca="false">IF(Q164&gt;0,Q161/Q164,"")</f>
        <v>3.76528695652174</v>
      </c>
      <c r="R167" s="31" t="n">
        <f aca="false">IF(R164&gt;0,R161/R164,"")</f>
        <v>-9.07092352173913</v>
      </c>
      <c r="S167" s="31" t="n">
        <f aca="false">IF(S164&gt;0,S161/S164,"")</f>
        <v>-8.0084887826087</v>
      </c>
      <c r="T167" s="31" t="n">
        <f aca="false">IF(T164&gt;0,T161/T164,"")</f>
        <v>46.1161051304348</v>
      </c>
      <c r="U167" s="31" t="n">
        <f aca="false">IF(U164&gt;0,U161/U164,"")</f>
        <v>-1.61261921739131</v>
      </c>
      <c r="V167" s="31" t="n">
        <f aca="false">IF(V164&gt;0,V161/V164,"")</f>
        <v>6.19474147826086</v>
      </c>
      <c r="W167" s="31" t="n">
        <f aca="false">IF(W164&gt;0,W161/W164,"")</f>
        <v>3.76765278260869</v>
      </c>
      <c r="X167" s="31" t="n">
        <f aca="false">IF(X164&gt;0,X161/X164,"")</f>
        <v>6.18782478260869</v>
      </c>
      <c r="Y167" s="31" t="n">
        <f aca="false">IF(Y164&gt;0,Y161/Y164,"")</f>
        <v>5.99879191304348</v>
      </c>
      <c r="Z167" s="31" t="n">
        <f aca="false">IF(Z164&gt;0,Z161/Z164,"")</f>
        <v>5.71611776086957</v>
      </c>
      <c r="AA167" s="31" t="n">
        <f aca="false">IF(AA164&gt;0,AA161/AA164,"")</f>
        <v>4.97253013043479</v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345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str">
        <f aca="false">IF(M164&gt;0,(L166+M161+IF(Source_Data!M$6=Inputs!$B$12,Inputs!$B$7,0))/M164,"")</f>
        <v/>
      </c>
      <c r="N168" s="31" t="str">
        <f aca="false">IF(N164&gt;0,(M166+N161+IF(Source_Data!N$6=Inputs!$B$12,Inputs!$B$7,0))/N164,"")</f>
        <v/>
      </c>
      <c r="O168" s="31" t="str">
        <f aca="false">IF(O164&gt;0,(N166+O161+IF(Source_Data!O$6=Inputs!$B$12,Inputs!$B$7,0))/O164,"")</f>
        <v/>
      </c>
      <c r="P168" s="31" t="n">
        <f aca="false">IF(P164&gt;0,(O166+P161+IF(Source_Data!P$6=Inputs!$B$12,Inputs!$B$7,0))/P164,"")</f>
        <v>-19.6824988695652</v>
      </c>
      <c r="Q168" s="31" t="n">
        <f aca="false">IF(Q164&gt;0,(P166+Q161+IF(Source_Data!Q$6=Inputs!$B$12,Inputs!$B$7,0))/Q164,"")</f>
        <v>-16.9172119130435</v>
      </c>
      <c r="R168" s="31" t="n">
        <f aca="false">IF(R164&gt;0,(Q166+R161+IF(Source_Data!R$6=Inputs!$B$12,Inputs!$B$7,0))/R164,"")</f>
        <v>-26.9881354347826</v>
      </c>
      <c r="S168" s="31" t="n">
        <f aca="false">IF(S164&gt;0,(R166+S161+IF(Source_Data!S$6=Inputs!$B$12,Inputs!$B$7,0))/S164,"")</f>
        <v>-35.9966242173913</v>
      </c>
      <c r="T168" s="31" t="n">
        <f aca="false">IF(T164&gt;0,(S166+T161+IF(Source_Data!T$6=Inputs!$B$12,Inputs!$B$7,0))/T164,"")</f>
        <v>9.11948091304346</v>
      </c>
      <c r="U168" s="31" t="n">
        <f aca="false">IF(U164&gt;0,(T166+U161+IF(Source_Data!U$6=Inputs!$B$12,Inputs!$B$7,0))/U164,"")</f>
        <v>6.50686169565216</v>
      </c>
      <c r="V168" s="31" t="n">
        <f aca="false">IF(V164&gt;0,(U166+V161+IF(Source_Data!V$6=Inputs!$B$12,Inputs!$B$7,0))/V164,"")</f>
        <v>11.701603173913</v>
      </c>
      <c r="W168" s="31" t="n">
        <f aca="false">IF(W164&gt;0,(V166+W161+IF(Source_Data!W$6=Inputs!$B$12,Inputs!$B$7,0))/W164,"")</f>
        <v>14.4692559565217</v>
      </c>
      <c r="X168" s="31" t="n">
        <f aca="false">IF(X164&gt;0,(W166+X161+IF(Source_Data!X$6=Inputs!$B$12,Inputs!$B$7,0))/X164,"")</f>
        <v>19.6570807391304</v>
      </c>
      <c r="Y168" s="31" t="n">
        <f aca="false">IF(Y164&gt;0,(X166+Y161+IF(Source_Data!Y$6=Inputs!$B$12,Inputs!$B$7,0))/Y164,"")</f>
        <v>24.6558726521739</v>
      </c>
      <c r="Z168" s="31" t="n">
        <f aca="false">IF(Z164&gt;0,(Y166+Z161+IF(Source_Data!Z$6=Inputs!$B$12,Inputs!$B$7,0))/Z164,"")</f>
        <v>29.3719904130434</v>
      </c>
      <c r="AA168" s="31" t="n">
        <f aca="false">IF(AA164&gt;0,(Z166+AA161+IF(Source_Data!AA$6=Inputs!$B$12,Inputs!$B$7,0))/AA164,"")</f>
        <v>33.3445205434782</v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220</v>
      </c>
      <c r="B170" s="41" t="n">
        <f aca="false">SUM(D161:BK161)</f>
        <v>595.292929375</v>
      </c>
    </row>
    <row r="171" customFormat="false" ht="15" hidden="false" customHeight="false" outlineLevel="0" collapsed="false">
      <c r="A171" s="2" t="s">
        <v>346</v>
      </c>
      <c r="B171" s="41" t="n">
        <f aca="false">SUMPRODUCT(D161:BK161,Project_CF!$D$15:$BK$15)</f>
        <v>213.656483247934</v>
      </c>
    </row>
    <row r="172" customFormat="false" ht="15" hidden="false" customHeight="false" outlineLevel="0" collapsed="false">
      <c r="A172" s="2" t="s">
        <v>162</v>
      </c>
      <c r="B172" s="41" t="n">
        <f aca="false">MIN(D162:BK162)</f>
        <v>-366.21764875</v>
      </c>
    </row>
    <row r="173" customFormat="false" ht="15" hidden="false" customHeight="false" outlineLevel="0" collapsed="false">
      <c r="A173" s="2" t="s">
        <v>347</v>
      </c>
      <c r="B173" s="35" t="n">
        <f aca="false">INDEX(Project_CF!$D$6:$BK$6,MATCH(MIN(D162:BK162),D162:BK162,0))</f>
        <v>48</v>
      </c>
    </row>
    <row r="174" customFormat="false" ht="15" hidden="false" customHeight="false" outlineLevel="0" collapsed="false">
      <c r="A174" s="2" t="s">
        <v>348</v>
      </c>
      <c r="B174" s="39" t="n">
        <f aca="false">(1+IRR(D163:BK163,0.05))^4-1</f>
        <v>0.256974504424673</v>
      </c>
    </row>
    <row r="175" customFormat="false" ht="15" hidden="false" customHeight="false" outlineLevel="0" collapsed="false">
      <c r="A175" s="2" t="s">
        <v>349</v>
      </c>
      <c r="B175" s="40" t="n">
        <f aca="false">SUMIF(D163:BK163,"&gt;0")/-SUMIF(D163:BK163,"&lt;0")</f>
        <v>2.87407407407407</v>
      </c>
    </row>
    <row r="176" customFormat="false" ht="15" hidden="false" customHeight="false" outlineLevel="0" collapsed="false">
      <c r="A176" s="2" t="s">
        <v>350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351</v>
      </c>
      <c r="B177" s="41" t="n">
        <f aca="false">MIN(D166:BK166)</f>
        <v>-354.550982083333</v>
      </c>
    </row>
    <row r="178" customFormat="false" ht="15" hidden="false" customHeight="false" outlineLevel="0" collapsed="false">
      <c r="A178" s="2" t="s">
        <v>352</v>
      </c>
      <c r="B178" s="43" t="n">
        <f aca="false">MIN(D167:BK167)</f>
        <v>-9.07092352173913</v>
      </c>
    </row>
    <row r="179" customFormat="false" ht="15" hidden="false" customHeight="false" outlineLevel="0" collapsed="false">
      <c r="A179" s="2" t="s">
        <v>353</v>
      </c>
      <c r="B179" s="35" t="n">
        <f aca="false">COUNTIF(D167:BK167,"&lt;"&amp;Inputs!$B$43)</f>
        <v>4</v>
      </c>
    </row>
    <row r="180" customFormat="false" ht="15" hidden="false" customHeight="false" outlineLevel="0" collapsed="false">
      <c r="A180" s="2" t="s">
        <v>354</v>
      </c>
      <c r="B180" s="43" t="n">
        <f aca="false">MIN(D168:BK168)</f>
        <v>-35.9966242173913</v>
      </c>
    </row>
    <row r="181" customFormat="false" ht="15" hidden="false" customHeight="false" outlineLevel="0" collapsed="false">
      <c r="A181" s="2" t="s">
        <v>355</v>
      </c>
      <c r="B181" s="35" t="n">
        <f aca="false">COUNTIF(D168:BK168,"&lt;"&amp;Inputs!$B$43)</f>
        <v>4</v>
      </c>
    </row>
    <row r="184" customFormat="false" ht="15" hidden="false" customHeight="false" outlineLevel="0" collapsed="false">
      <c r="A184" s="8" t="s">
        <v>363</v>
      </c>
    </row>
    <row r="185" customFormat="false" ht="15" hidden="false" customHeight="false" outlineLevel="0" collapsed="false">
      <c r="A185" s="3" t="s">
        <v>331</v>
      </c>
      <c r="B185" s="45" t="n">
        <v>1</v>
      </c>
    </row>
    <row r="186" customFormat="false" ht="15" hidden="false" customHeight="false" outlineLevel="0" collapsed="false">
      <c r="A186" s="3" t="s">
        <v>332</v>
      </c>
      <c r="B186" s="45" t="n">
        <v>4</v>
      </c>
    </row>
    <row r="187" customFormat="false" ht="15" hidden="false" customHeight="false" outlineLevel="0" collapsed="false">
      <c r="A187" s="3" t="s">
        <v>333</v>
      </c>
      <c r="B187" s="45" t="n">
        <v>1</v>
      </c>
    </row>
    <row r="188" customFormat="false" ht="15" hidden="false" customHeight="false" outlineLevel="0" collapsed="false">
      <c r="A188" s="3" t="s">
        <v>334</v>
      </c>
      <c r="B188" s="45" t="n">
        <v>0</v>
      </c>
    </row>
    <row r="189" customFormat="false" ht="15" hidden="false" customHeight="false" outlineLevel="0" collapsed="false">
      <c r="A189" s="3" t="s">
        <v>335</v>
      </c>
      <c r="B189" s="45" t="n">
        <v>0</v>
      </c>
    </row>
    <row r="190" customFormat="false" ht="15" hidden="false" customHeight="false" outlineLevel="0" collapsed="false">
      <c r="A190" s="3" t="s">
        <v>336</v>
      </c>
      <c r="B190" s="3" t="n">
        <f aca="false">Inputs!$B$13+3+3*$B$186</f>
        <v>69</v>
      </c>
    </row>
    <row r="191" customFormat="false" ht="15" hidden="false" customHeight="false" outlineLevel="0" collapsed="false">
      <c r="A191" s="3" t="s">
        <v>337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0</v>
      </c>
      <c r="G191" s="33" t="n">
        <f aca="false">Source_Data!G$7+IF($B$189=1,IF(Source_Data!G$6=Inputs!$B$13,Source_Data!$C$8,0),Source_Data!G$8)</f>
        <v>0</v>
      </c>
      <c r="H191" s="33" t="n">
        <f aca="false">Source_Data!H$7+IF($B$189=1,IF(Source_Data!H$6=Inputs!$B$13,Source_Data!$C$8,0),Source_Data!H$8)</f>
        <v>18.11565</v>
      </c>
      <c r="I191" s="33" t="n">
        <f aca="false">Source_Data!I$7+IF($B$189=1,IF(Source_Data!I$6=Inputs!$B$13,Source_Data!$C$8,0),Source_Data!I$8)</f>
        <v>36.2313</v>
      </c>
      <c r="J191" s="33" t="n">
        <f aca="false">Source_Data!J$7+IF($B$189=1,IF(Source_Data!J$6=Inputs!$B$13,Source_Data!$C$8,0),Source_Data!J$8)</f>
        <v>58.260825</v>
      </c>
      <c r="K191" s="33" t="n">
        <f aca="false">Source_Data!K$7+IF($B$189=1,IF(Source_Data!K$6=Inputs!$B$13,Source_Data!$C$8,0),Source_Data!K$8)</f>
        <v>69.01839</v>
      </c>
      <c r="L191" s="33" t="n">
        <f aca="false">Source_Data!L$7+IF($B$189=1,IF(Source_Data!L$6=Inputs!$B$13,Source_Data!$C$8,0),Source_Data!L$8)</f>
        <v>67.087545</v>
      </c>
      <c r="M191" s="33" t="n">
        <f aca="false">Source_Data!M$7+IF($B$189=1,IF(Source_Data!M$6=Inputs!$B$13,Source_Data!$C$8,0),Source_Data!M$8)</f>
        <v>72.9732675</v>
      </c>
      <c r="N191" s="33" t="n">
        <f aca="false">Source_Data!N$7+IF($B$189=1,IF(Source_Data!N$6=Inputs!$B$13,Source_Data!$C$8,0),Source_Data!N$8)</f>
        <v>88.871055</v>
      </c>
      <c r="O191" s="33" t="n">
        <f aca="false">Source_Data!O$7+IF($B$189=1,IF(Source_Data!O$6=Inputs!$B$13,Source_Data!$C$8,0),Source_Data!O$8)</f>
        <v>105.60753</v>
      </c>
      <c r="P191" s="33" t="n">
        <f aca="false">Source_Data!P$7+IF($B$189=1,IF(Source_Data!P$6=Inputs!$B$13,Source_Data!$C$8,0),Source_Data!P$8)</f>
        <v>115.25243625</v>
      </c>
      <c r="Q191" s="33" t="n">
        <f aca="false">Source_Data!Q$7+IF($B$189=1,IF(Source_Data!Q$6=Inputs!$B$13,Source_Data!$C$8,0),Source_Data!Q$8)</f>
        <v>124.8973425</v>
      </c>
      <c r="R191" s="33" t="n">
        <f aca="false">Source_Data!R$7+IF($B$189=1,IF(Source_Data!R$6=Inputs!$B$13,Source_Data!$C$8,0),Source_Data!R$8)</f>
        <v>683.0904675</v>
      </c>
      <c r="S191" s="33" t="n">
        <f aca="false">Source_Data!S$7+IF($B$189=1,IF(Source_Data!S$6=Inputs!$B$13,Source_Data!$C$8,0),Source_Data!S$8)</f>
        <v>171.6401925</v>
      </c>
      <c r="T191" s="33" t="n">
        <f aca="false">Source_Data!T$7+IF($B$189=1,IF(Source_Data!T$6=Inputs!$B$13,Source_Data!$C$8,0),Source_Data!T$8)</f>
        <v>112.5965925</v>
      </c>
      <c r="U191" s="33" t="n">
        <f aca="false">Source_Data!U$7+IF($B$189=1,IF(Source_Data!U$6=Inputs!$B$13,Source_Data!$C$8,0),Source_Data!U$8)</f>
        <v>89.3369925</v>
      </c>
      <c r="V191" s="33" t="n">
        <f aca="false">Source_Data!V$7+IF($B$189=1,IF(Source_Data!V$6=Inputs!$B$13,Source_Data!$C$8,0),Source_Data!V$8)</f>
        <v>87.5254275</v>
      </c>
      <c r="W191" s="33" t="n">
        <f aca="false">Source_Data!W$7+IF($B$189=1,IF(Source_Data!W$6=Inputs!$B$13,Source_Data!$C$8,0),Source_Data!W$8)</f>
        <v>85.7138625</v>
      </c>
      <c r="X191" s="33" t="n">
        <f aca="false">Source_Data!X$7+IF($B$189=1,IF(Source_Data!X$6=Inputs!$B$13,Source_Data!$C$8,0),Source_Data!X$8)</f>
        <v>77.279461875</v>
      </c>
      <c r="Y191" s="33" t="n">
        <f aca="false">Source_Data!Y$7+IF($B$189=1,IF(Source_Data!Y$6=Inputs!$B$13,Source_Data!$C$8,0),Source_Data!Y$8)</f>
        <v>70.15341375</v>
      </c>
      <c r="Z191" s="33" t="n">
        <f aca="false">Source_Data!Z$7+IF($B$189=1,IF(Source_Data!Z$6=Inputs!$B$13,Source_Data!$C$8,0),Source_Data!Z$8)</f>
        <v>61.33787625</v>
      </c>
      <c r="AA191" s="33" t="n">
        <f aca="false">Source_Data!AA$7+IF($B$189=1,IF(Source_Data!AA$6=Inputs!$B$13,Source_Data!$C$8,0),Source_Data!AA$8)</f>
        <v>51.04624875</v>
      </c>
      <c r="AB191" s="33" t="n">
        <f aca="false">Source_Data!AB$7+IF($B$189=1,IF(Source_Data!AB$6=Inputs!$B$13,Source_Data!$C$8,0),Source_Data!AB$8)</f>
        <v>51.04624875</v>
      </c>
      <c r="AC191" s="33" t="n">
        <f aca="false">Source_Data!AC$7+IF($B$189=1,IF(Source_Data!AC$6=Inputs!$B$13,Source_Data!$C$8,0),Source_Data!AC$8)</f>
        <v>51.04624875</v>
      </c>
      <c r="AD191" s="33" t="n">
        <f aca="false">Source_Data!AD$7+IF($B$189=1,IF(Source_Data!AD$6=Inputs!$B$13,Source_Data!$C$8,0),Source_Data!AD$8)</f>
        <v>51.04624875</v>
      </c>
      <c r="AE191" s="33" t="n">
        <f aca="false">Source_Data!AE$7+IF($B$189=1,IF(Source_Data!AE$6=Inputs!$B$13,Source_Data!$C$8,0),Source_Data!AE$8)</f>
        <v>51.04624875</v>
      </c>
      <c r="AF191" s="33" t="n">
        <f aca="false">Source_Data!AF$7+IF($B$189=1,IF(Source_Data!AF$6=Inputs!$B$13,Source_Data!$C$8,0),Source_Data!AF$8)</f>
        <v>43.931383125</v>
      </c>
      <c r="AG191" s="33" t="n">
        <f aca="false">Source_Data!AG$7+IF($B$189=1,IF(Source_Data!AG$6=Inputs!$B$13,Source_Data!$C$8,0),Source_Data!AG$8)</f>
        <v>36.8165175</v>
      </c>
      <c r="AH191" s="33" t="n">
        <f aca="false">Source_Data!AH$7+IF($B$189=1,IF(Source_Data!AH$6=Inputs!$B$13,Source_Data!$C$8,0),Source_Data!AH$8)</f>
        <v>32.958555</v>
      </c>
      <c r="AI191" s="33" t="n">
        <f aca="false">Source_Data!AI$7+IF($B$189=1,IF(Source_Data!AI$6=Inputs!$B$13,Source_Data!$C$8,0),Source_Data!AI$8)</f>
        <v>29.1005925</v>
      </c>
      <c r="AJ191" s="33" t="n">
        <f aca="false">Source_Data!AJ$7+IF($B$189=1,IF(Source_Data!AJ$6=Inputs!$B$13,Source_Data!$C$8,0),Source_Data!AJ$8)</f>
        <v>22.8831225</v>
      </c>
      <c r="AK191" s="33" t="n">
        <f aca="false">Source_Data!AK$7+IF($B$189=1,IF(Source_Data!AK$6=Inputs!$B$13,Source_Data!$C$8,0),Source_Data!AK$8)</f>
        <v>19.2823575</v>
      </c>
      <c r="AL191" s="33" t="n">
        <f aca="false">Source_Data!AL$7+IF($B$189=1,IF(Source_Data!AL$6=Inputs!$B$13,Source_Data!$C$8,0),Source_Data!AL$8)</f>
        <v>16.80357</v>
      </c>
      <c r="AM191" s="33" t="n">
        <f aca="false">Source_Data!AM$7+IF($B$189=1,IF(Source_Data!AM$6=Inputs!$B$13,Source_Data!$C$8,0),Source_Data!AM$8)</f>
        <v>7.24626</v>
      </c>
      <c r="AN191" s="33" t="n">
        <f aca="false">Source_Data!AN$7+IF($B$189=1,IF(Source_Data!AN$6=Inputs!$B$13,Source_Data!$C$8,0),Source_Data!AN$8)</f>
        <v>7.24626</v>
      </c>
      <c r="AO191" s="33" t="n">
        <f aca="false">Source_Data!AO$7+IF($B$189=1,IF(Source_Data!AO$6=Inputs!$B$13,Source_Data!$C$8,0),Source_Data!AO$8)</f>
        <v>7.24626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338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0</v>
      </c>
      <c r="K192" s="33" t="n">
        <f aca="false">$B$185*IF(Source_Data!K$5-($B$186+$B$188)&gt;=1,INDEX($D$191:$BK$191,1,Source_Data!K$5-($B$186+$B$188)),0)</f>
        <v>0</v>
      </c>
      <c r="L192" s="33" t="n">
        <f aca="false">$B$185*IF(Source_Data!L$5-($B$186+$B$188)&gt;=1,INDEX($D$191:$BK$191,1,Source_Data!L$5-($B$186+$B$188)),0)</f>
        <v>18.11565</v>
      </c>
      <c r="M192" s="33" t="n">
        <f aca="false">$B$185*IF(Source_Data!M$5-($B$186+$B$188)&gt;=1,INDEX($D$191:$BK$191,1,Source_Data!M$5-($B$186+$B$188)),0)</f>
        <v>36.2313</v>
      </c>
      <c r="N192" s="33" t="n">
        <f aca="false">$B$185*IF(Source_Data!N$5-($B$186+$B$188)&gt;=1,INDEX($D$191:$BK$191,1,Source_Data!N$5-($B$186+$B$188)),0)</f>
        <v>58.260825</v>
      </c>
      <c r="O192" s="33" t="n">
        <f aca="false">$B$185*IF(Source_Data!O$5-($B$186+$B$188)&gt;=1,INDEX($D$191:$BK$191,1,Source_Data!O$5-($B$186+$B$188)),0)</f>
        <v>69.01839</v>
      </c>
      <c r="P192" s="33" t="n">
        <f aca="false">$B$185*IF(Source_Data!P$5-($B$186+$B$188)&gt;=1,INDEX($D$191:$BK$191,1,Source_Data!P$5-($B$186+$B$188)),0)</f>
        <v>67.087545</v>
      </c>
      <c r="Q192" s="33" t="n">
        <f aca="false">$B$185*IF(Source_Data!Q$5-($B$186+$B$188)&gt;=1,INDEX($D$191:$BK$191,1,Source_Data!Q$5-($B$186+$B$188)),0)</f>
        <v>72.9732675</v>
      </c>
      <c r="R192" s="33" t="n">
        <f aca="false">$B$185*IF(Source_Data!R$5-($B$186+$B$188)&gt;=1,INDEX($D$191:$BK$191,1,Source_Data!R$5-($B$186+$B$188)),0)</f>
        <v>88.871055</v>
      </c>
      <c r="S192" s="33" t="n">
        <f aca="false">$B$185*IF(Source_Data!S$5-($B$186+$B$188)&gt;=1,INDEX($D$191:$BK$191,1,Source_Data!S$5-($B$186+$B$188)),0)</f>
        <v>105.60753</v>
      </c>
      <c r="T192" s="33" t="n">
        <f aca="false">$B$185*IF(Source_Data!T$5-($B$186+$B$188)&gt;=1,INDEX($D$191:$BK$191,1,Source_Data!T$5-($B$186+$B$188)),0)</f>
        <v>115.25243625</v>
      </c>
      <c r="U192" s="33" t="n">
        <f aca="false">$B$185*IF(Source_Data!U$5-($B$186+$B$188)&gt;=1,INDEX($D$191:$BK$191,1,Source_Data!U$5-($B$186+$B$188)),0)</f>
        <v>124.8973425</v>
      </c>
      <c r="V192" s="33" t="n">
        <f aca="false">$B$185*IF(Source_Data!V$5-($B$186+$B$188)&gt;=1,INDEX($D$191:$BK$191,1,Source_Data!V$5-($B$186+$B$188)),0)</f>
        <v>683.0904675</v>
      </c>
      <c r="W192" s="33" t="n">
        <f aca="false">$B$185*IF(Source_Data!W$5-($B$186+$B$188)&gt;=1,INDEX($D$191:$BK$191,1,Source_Data!W$5-($B$186+$B$188)),0)</f>
        <v>171.6401925</v>
      </c>
      <c r="X192" s="33" t="n">
        <f aca="false">$B$185*IF(Source_Data!X$5-($B$186+$B$188)&gt;=1,INDEX($D$191:$BK$191,1,Source_Data!X$5-($B$186+$B$188)),0)</f>
        <v>112.5965925</v>
      </c>
      <c r="Y192" s="33" t="n">
        <f aca="false">$B$185*IF(Source_Data!Y$5-($B$186+$B$188)&gt;=1,INDEX($D$191:$BK$191,1,Source_Data!Y$5-($B$186+$B$188)),0)</f>
        <v>89.3369925</v>
      </c>
      <c r="Z192" s="33" t="n">
        <f aca="false">$B$185*IF(Source_Data!Z$5-($B$186+$B$188)&gt;=1,INDEX($D$191:$BK$191,1,Source_Data!Z$5-($B$186+$B$188)),0)</f>
        <v>87.5254275</v>
      </c>
      <c r="AA192" s="33" t="n">
        <f aca="false">$B$185*IF(Source_Data!AA$5-($B$186+$B$188)&gt;=1,INDEX($D$191:$BK$191,1,Source_Data!AA$5-($B$186+$B$188)),0)</f>
        <v>85.7138625</v>
      </c>
      <c r="AB192" s="33" t="n">
        <f aca="false">$B$185*IF(Source_Data!AB$5-($B$186+$B$188)&gt;=1,INDEX($D$191:$BK$191,1,Source_Data!AB$5-($B$186+$B$188)),0)</f>
        <v>77.279461875</v>
      </c>
      <c r="AC192" s="33" t="n">
        <f aca="false">$B$185*IF(Source_Data!AC$5-($B$186+$B$188)&gt;=1,INDEX($D$191:$BK$191,1,Source_Data!AC$5-($B$186+$B$188)),0)</f>
        <v>70.15341375</v>
      </c>
      <c r="AD192" s="33" t="n">
        <f aca="false">$B$185*IF(Source_Data!AD$5-($B$186+$B$188)&gt;=1,INDEX($D$191:$BK$191,1,Source_Data!AD$5-($B$186+$B$188)),0)</f>
        <v>61.33787625</v>
      </c>
      <c r="AE192" s="33" t="n">
        <f aca="false">$B$185*IF(Source_Data!AE$5-($B$186+$B$188)&gt;=1,INDEX($D$191:$BK$191,1,Source_Data!AE$5-($B$186+$B$188)),0)</f>
        <v>51.04624875</v>
      </c>
      <c r="AF192" s="33" t="n">
        <f aca="false">$B$185*IF(Source_Data!AF$5-($B$186+$B$188)&gt;=1,INDEX($D$191:$BK$191,1,Source_Data!AF$5-($B$186+$B$188)),0)</f>
        <v>51.04624875</v>
      </c>
      <c r="AG192" s="33" t="n">
        <f aca="false">$B$185*IF(Source_Data!AG$5-($B$186+$B$188)&gt;=1,INDEX($D$191:$BK$191,1,Source_Data!AG$5-($B$186+$B$188)),0)</f>
        <v>51.04624875</v>
      </c>
      <c r="AH192" s="33" t="n">
        <f aca="false">$B$185*IF(Source_Data!AH$5-($B$186+$B$188)&gt;=1,INDEX($D$191:$BK$191,1,Source_Data!AH$5-($B$186+$B$188)),0)</f>
        <v>51.04624875</v>
      </c>
      <c r="AI192" s="33" t="n">
        <f aca="false">$B$185*IF(Source_Data!AI$5-($B$186+$B$188)&gt;=1,INDEX($D$191:$BK$191,1,Source_Data!AI$5-($B$186+$B$188)),0)</f>
        <v>51.04624875</v>
      </c>
      <c r="AJ192" s="33" t="n">
        <f aca="false">$B$185*IF(Source_Data!AJ$5-($B$186+$B$188)&gt;=1,INDEX($D$191:$BK$191,1,Source_Data!AJ$5-($B$186+$B$188)),0)</f>
        <v>43.931383125</v>
      </c>
      <c r="AK192" s="33" t="n">
        <f aca="false">$B$185*IF(Source_Data!AK$5-($B$186+$B$188)&gt;=1,INDEX($D$191:$BK$191,1,Source_Data!AK$5-($B$186+$B$188)),0)</f>
        <v>36.8165175</v>
      </c>
      <c r="AL192" s="33" t="n">
        <f aca="false">$B$185*IF(Source_Data!AL$5-($B$186+$B$188)&gt;=1,INDEX($D$191:$BK$191,1,Source_Data!AL$5-($B$186+$B$188)),0)</f>
        <v>32.958555</v>
      </c>
      <c r="AM192" s="33" t="n">
        <f aca="false">$B$185*IF(Source_Data!AM$5-($B$186+$B$188)&gt;=1,INDEX($D$191:$BK$191,1,Source_Data!AM$5-($B$186+$B$188)),0)</f>
        <v>29.1005925</v>
      </c>
      <c r="AN192" s="33" t="n">
        <f aca="false">$B$185*IF(Source_Data!AN$5-($B$186+$B$188)&gt;=1,INDEX($D$191:$BK$191,1,Source_Data!AN$5-($B$186+$B$188)),0)</f>
        <v>22.8831225</v>
      </c>
      <c r="AO192" s="33" t="n">
        <f aca="false">$B$185*IF(Source_Data!AO$5-($B$186+$B$188)&gt;=1,INDEX($D$191:$BK$191,1,Source_Data!AO$5-($B$186+$B$188)),0)</f>
        <v>19.2823575</v>
      </c>
      <c r="AP192" s="33" t="n">
        <f aca="false">$B$185*IF(Source_Data!AP$5-($B$186+$B$188)&gt;=1,INDEX($D$191:$BK$191,1,Source_Data!AP$5-($B$186+$B$188)),0)</f>
        <v>16.80357</v>
      </c>
      <c r="AQ192" s="33" t="n">
        <f aca="false">$B$185*IF(Source_Data!AQ$5-($B$186+$B$188)&gt;=1,INDEX($D$191:$BK$191,1,Source_Data!AQ$5-($B$186+$B$188)),0)</f>
        <v>7.24626</v>
      </c>
      <c r="AR192" s="33" t="n">
        <f aca="false">$B$185*IF(Source_Data!AR$5-($B$186+$B$188)&gt;=1,INDEX($D$191:$BK$191,1,Source_Data!AR$5-($B$186+$B$188)),0)</f>
        <v>7.24626</v>
      </c>
      <c r="AS192" s="33" t="n">
        <f aca="false">$B$185*IF(Source_Data!AS$5-($B$186+$B$188)&gt;=1,INDEX($D$191:$BK$191,1,Source_Data!AS$5-($B$186+$B$188)),0)</f>
        <v>7.24626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339</v>
      </c>
      <c r="D193" s="33" t="n">
        <f aca="false">Source_Data!D$9+Source_Data!D$10*IF(Source_Data!$C$10=0,0,MAX(0,Inputs!$B$19*Inputs!$B$22*$B$185-Inputs!$B$20)/Source_Data!$C$10)</f>
        <v>0</v>
      </c>
      <c r="E193" s="33" t="n">
        <f aca="false">Source_Data!E$9+Source_Data!E$10*IF(Source_Data!$C$10=0,0,MAX(0,Inputs!$B$19*Inputs!$B$22*$B$185-Inputs!$B$20)/Source_Data!$C$10)</f>
        <v>0</v>
      </c>
      <c r="F193" s="33" t="n">
        <f aca="false">Source_Data!F$9+Source_Data!F$10*IF(Source_Data!$C$10=0,0,MAX(0,Inputs!$B$19*Inputs!$B$22*$B$185-Inputs!$B$20)/Source_Data!$C$10)</f>
        <v>0</v>
      </c>
      <c r="G193" s="33" t="n">
        <f aca="false">Source_Data!G$9+Source_Data!G$10*IF(Source_Data!$C$10=0,0,MAX(0,Inputs!$B$19*Inputs!$B$22*$B$185-Inputs!$B$20)/Source_Data!$C$10)</f>
        <v>85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45</v>
      </c>
      <c r="M193" s="33" t="n">
        <f aca="false">Source_Data!M$9+Source_Data!M$10*IF(Source_Data!$C$10=0,0,MAX(0,Inputs!$B$19*Inputs!$B$22*$B$185-Inputs!$B$20)/Source_Data!$C$10)</f>
        <v>45</v>
      </c>
      <c r="N193" s="33" t="n">
        <f aca="false">Source_Data!N$9+Source_Data!N$10*IF(Source_Data!$C$10=0,0,MAX(0,Inputs!$B$19*Inputs!$B$22*$B$185-Inputs!$B$20)/Source_Data!$C$10)</f>
        <v>45</v>
      </c>
      <c r="O193" s="33" t="n">
        <f aca="false">Source_Data!O$9+Source_Data!O$10*IF(Source_Data!$C$10=0,0,MAX(0,Inputs!$B$19*Inputs!$B$22*$B$185-Inputs!$B$20)/Source_Data!$C$10)</f>
        <v>45</v>
      </c>
      <c r="P193" s="33" t="n">
        <f aca="false">Source_Data!P$9+Source_Data!P$10*IF(Source_Data!$C$10=0,0,MAX(0,Inputs!$B$19*Inputs!$B$22*$B$185-Inputs!$B$20)/Source_Data!$C$10)</f>
        <v>56.25</v>
      </c>
      <c r="Q193" s="33" t="n">
        <f aca="false">Source_Data!Q$9+Source_Data!Q$10*IF(Source_Data!$C$10=0,0,MAX(0,Inputs!$B$19*Inputs!$B$22*$B$185-Inputs!$B$20)/Source_Data!$C$10)</f>
        <v>56.25</v>
      </c>
      <c r="R193" s="33" t="n">
        <f aca="false">Source_Data!R$9+Source_Data!R$10*IF(Source_Data!$C$10=0,0,MAX(0,Inputs!$B$19*Inputs!$B$22*$B$185-Inputs!$B$20)/Source_Data!$C$10)</f>
        <v>56.25</v>
      </c>
      <c r="S193" s="33" t="n">
        <f aca="false">Source_Data!S$9+Source_Data!S$10*IF(Source_Data!$C$10=0,0,MAX(0,Inputs!$B$19*Inputs!$B$22*$B$185-Inputs!$B$20)/Source_Data!$C$10)</f>
        <v>56.25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241.1916115625</v>
      </c>
      <c r="AG193" s="33" t="n">
        <f aca="false">Source_Data!AG$9+Source_Data!AG$10*IF(Source_Data!$C$10=0,0,MAX(0,Inputs!$B$19*Inputs!$B$22*$B$185-Inputs!$B$20)/Source_Data!$C$10)</f>
        <v>16.10722640625</v>
      </c>
      <c r="AH193" s="33" t="n">
        <f aca="false">Source_Data!AH$9+Source_Data!AH$10*IF(Source_Data!$C$10=0,0,MAX(0,Inputs!$B$19*Inputs!$B$22*$B$185-Inputs!$B$20)/Source_Data!$C$10)</f>
        <v>14.4193678125</v>
      </c>
      <c r="AI193" s="33" t="n">
        <f aca="false">Source_Data!AI$9+Source_Data!AI$10*IF(Source_Data!$C$10=0,0,MAX(0,Inputs!$B$19*Inputs!$B$22*$B$185-Inputs!$B$20)/Source_Data!$C$10)</f>
        <v>12.73150921875</v>
      </c>
      <c r="AJ193" s="33" t="n">
        <f aca="false">Source_Data!AJ$9+Source_Data!AJ$10*IF(Source_Data!$C$10=0,0,MAX(0,Inputs!$B$19*Inputs!$B$22*$B$185-Inputs!$B$20)/Source_Data!$C$10)</f>
        <v>10.01136609375</v>
      </c>
      <c r="AK193" s="33" t="n">
        <f aca="false">Source_Data!AK$9+Source_Data!AK$10*IF(Source_Data!$C$10=0,0,MAX(0,Inputs!$B$19*Inputs!$B$22*$B$185-Inputs!$B$20)/Source_Data!$C$10)</f>
        <v>8.43603140625001</v>
      </c>
      <c r="AL193" s="33" t="n">
        <f aca="false">Source_Data!AL$9+Source_Data!AL$10*IF(Source_Data!$C$10=0,0,MAX(0,Inputs!$B$19*Inputs!$B$22*$B$185-Inputs!$B$20)/Source_Data!$C$10)</f>
        <v>7.35156187500001</v>
      </c>
      <c r="AM193" s="33" t="n">
        <f aca="false">Source_Data!AM$9+Source_Data!AM$10*IF(Source_Data!$C$10=0,0,MAX(0,Inputs!$B$19*Inputs!$B$22*$B$185-Inputs!$B$20)/Source_Data!$C$10)</f>
        <v>3.17023875000001</v>
      </c>
      <c r="AN193" s="33" t="n">
        <f aca="false">Source_Data!AN$9+Source_Data!AN$10*IF(Source_Data!$C$10=0,0,MAX(0,Inputs!$B$19*Inputs!$B$22*$B$185-Inputs!$B$20)/Source_Data!$C$10)</f>
        <v>3.17023875000001</v>
      </c>
      <c r="AO193" s="33" t="n">
        <f aca="false">Source_Data!AO$9+Source_Data!AO$10*IF(Source_Data!$C$10=0,0,MAX(0,Inputs!$B$19*Inputs!$B$22*$B$185-Inputs!$B$20)/Source_Data!$C$10)</f>
        <v>3.17023875000001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194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0</v>
      </c>
      <c r="I194" s="33" t="n">
        <f aca="false">Source_Data!I$11*$B$187</f>
        <v>0</v>
      </c>
      <c r="J194" s="33" t="n">
        <f aca="false">Source_Data!J$11*$B$187</f>
        <v>20</v>
      </c>
      <c r="K194" s="33" t="n">
        <f aca="false">Source_Data!K$11*$B$187</f>
        <v>26.4</v>
      </c>
      <c r="L194" s="33" t="n">
        <f aca="false">Source_Data!L$11*$B$187</f>
        <v>40</v>
      </c>
      <c r="M194" s="33" t="n">
        <f aca="false">Source_Data!M$11*$B$187</f>
        <v>26.4</v>
      </c>
      <c r="N194" s="33" t="n">
        <f aca="false">Source_Data!N$11*$B$187</f>
        <v>26.4</v>
      </c>
      <c r="O194" s="33" t="n">
        <f aca="false">Source_Data!O$11*$B$187</f>
        <v>26.4</v>
      </c>
      <c r="P194" s="33" t="n">
        <f aca="false">Source_Data!P$11*$B$187</f>
        <v>5.28</v>
      </c>
      <c r="Q194" s="33" t="n">
        <f aca="false">Source_Data!Q$11*$B$187</f>
        <v>5.28</v>
      </c>
      <c r="R194" s="33" t="n">
        <f aca="false">Source_Data!R$11*$B$187</f>
        <v>120</v>
      </c>
      <c r="S194" s="33" t="n">
        <f aca="false">Source_Data!S$11*$B$187</f>
        <v>120</v>
      </c>
      <c r="T194" s="33" t="n">
        <f aca="false">Source_Data!T$11*$B$187</f>
        <v>164</v>
      </c>
      <c r="U194" s="33" t="n">
        <f aca="false">Source_Data!U$11*$B$187</f>
        <v>117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196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0</v>
      </c>
      <c r="O195" s="33" t="n">
        <f aca="false">$B$185*IF(Source_Data!O$5-$B$186&gt;=1,INDEX(Source_Data!$D$12:$BK$12,1,Source_Data!O$5-$B$186),0)</f>
        <v>0</v>
      </c>
      <c r="P195" s="33" t="n">
        <f aca="false">$B$185*IF(Source_Data!P$5-$B$186&gt;=1,INDEX(Source_Data!$D$12:$BK$12,1,Source_Data!P$5-$B$186),0)</f>
        <v>14.49252</v>
      </c>
      <c r="Q195" s="33" t="n">
        <f aca="false">$B$185*IF(Source_Data!Q$5-$B$186&gt;=1,INDEX(Source_Data!$D$12:$BK$12,1,Source_Data!Q$5-$B$186),0)</f>
        <v>14.49252</v>
      </c>
      <c r="R195" s="33" t="n">
        <f aca="false">$B$185*IF(Source_Data!R$5-$B$186&gt;=1,INDEX(Source_Data!$D$12:$BK$12,1,Source_Data!R$5-$B$186),0)</f>
        <v>12.43494</v>
      </c>
      <c r="S195" s="33" t="n">
        <f aca="false">$B$185*IF(Source_Data!S$5-$B$186&gt;=1,INDEX(Source_Data!$D$12:$BK$12,1,Source_Data!S$5-$B$186),0)</f>
        <v>7.20153</v>
      </c>
      <c r="T195" s="33" t="n">
        <f aca="false">$B$185*IF(Source_Data!T$5-$B$186&gt;=1,INDEX(Source_Data!$D$12:$BK$12,1,Source_Data!T$5-$B$186),0)</f>
        <v>7.93212</v>
      </c>
      <c r="U195" s="33" t="n">
        <f aca="false">$B$185*IF(Source_Data!U$5-$B$186&gt;=1,INDEX(Source_Data!$D$12:$BK$12,1,Source_Data!U$5-$B$186),0)</f>
        <v>7.39536</v>
      </c>
      <c r="V195" s="33" t="n">
        <f aca="false">$B$185*IF(Source_Data!V$5-$B$186&gt;=1,INDEX(Source_Data!$D$12:$BK$12,1,Source_Data!V$5-$B$186),0)</f>
        <v>7.54446</v>
      </c>
      <c r="W195" s="33" t="n">
        <f aca="false">$B$185*IF(Source_Data!W$5-$B$186&gt;=1,INDEX(Source_Data!$D$12:$BK$12,1,Source_Data!W$5-$B$186),0)</f>
        <v>7.54446</v>
      </c>
      <c r="X195" s="33" t="n">
        <f aca="false">$B$185*IF(Source_Data!X$5-$B$186&gt;=1,INDEX(Source_Data!$D$12:$BK$12,1,Source_Data!X$5-$B$186),0)</f>
        <v>8.23032</v>
      </c>
      <c r="Y195" s="33" t="n">
        <f aca="false">$B$185*IF(Source_Data!Y$5-$B$186&gt;=1,INDEX(Source_Data!$D$12:$BK$12,1,Source_Data!Y$5-$B$186),0)</f>
        <v>8.23032</v>
      </c>
      <c r="Z195" s="33" t="n">
        <f aca="false">$B$185*IF(Source_Data!Z$5-$B$186&gt;=1,INDEX(Source_Data!$D$12:$BK$12,1,Source_Data!Z$5-$B$186),0)</f>
        <v>5.72544</v>
      </c>
      <c r="AA195" s="33" t="n">
        <f aca="false">$B$185*IF(Source_Data!AA$5-$B$186&gt;=1,INDEX(Source_Data!$D$12:$BK$12,1,Source_Data!AA$5-$B$186),0)</f>
        <v>5.72544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215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0</v>
      </c>
      <c r="I196" s="33" t="n">
        <f aca="false">Source_Data!I$13*$B$187</f>
        <v>0</v>
      </c>
      <c r="J196" s="33" t="n">
        <f aca="false">Source_Data!J$13*$B$187</f>
        <v>3</v>
      </c>
      <c r="K196" s="33" t="n">
        <f aca="false">Source_Data!K$13*$B$187</f>
        <v>3.96</v>
      </c>
      <c r="L196" s="33" t="n">
        <f aca="false">Source_Data!L$13*$B$187</f>
        <v>6</v>
      </c>
      <c r="M196" s="33" t="n">
        <f aca="false">Source_Data!M$13*$B$187</f>
        <v>3.96</v>
      </c>
      <c r="N196" s="33" t="n">
        <f aca="false">Source_Data!N$13*$B$187</f>
        <v>3.96</v>
      </c>
      <c r="O196" s="33" t="n">
        <f aca="false">Source_Data!O$13*$B$187</f>
        <v>3.96</v>
      </c>
      <c r="P196" s="33" t="n">
        <f aca="false">Source_Data!P$13*$B$187</f>
        <v>0.792</v>
      </c>
      <c r="Q196" s="33" t="n">
        <f aca="false">Source_Data!Q$13*$B$187</f>
        <v>0.792</v>
      </c>
      <c r="R196" s="33" t="n">
        <f aca="false">Source_Data!R$13*$B$187</f>
        <v>18</v>
      </c>
      <c r="S196" s="33" t="n">
        <f aca="false">Source_Data!S$13*$B$187</f>
        <v>18</v>
      </c>
      <c r="T196" s="33" t="n">
        <f aca="false">Source_Data!T$13*$B$187</f>
        <v>24.6</v>
      </c>
      <c r="U196" s="33" t="n">
        <f aca="false">Source_Data!U$13*$B$187</f>
        <v>17.55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216</v>
      </c>
      <c r="D197" s="33" t="n">
        <f aca="false">D192-D193-D194-D195-D196</f>
        <v>0</v>
      </c>
      <c r="E197" s="33" t="n">
        <f aca="false">E192-E193-E194-E195-E196</f>
        <v>0</v>
      </c>
      <c r="F197" s="33" t="n">
        <f aca="false">F192-F193-F194-F195-F196</f>
        <v>0</v>
      </c>
      <c r="G197" s="33" t="n">
        <f aca="false">G192-G193-G194-G195-G196</f>
        <v>-85</v>
      </c>
      <c r="H197" s="33" t="n">
        <f aca="false">H192-H193-H194-H195-H196</f>
        <v>-22.5</v>
      </c>
      <c r="I197" s="33" t="n">
        <f aca="false">I192-I193-I194-I195-I196</f>
        <v>-22.5</v>
      </c>
      <c r="J197" s="33" t="n">
        <f aca="false">J192-J193-J194-J195-J196</f>
        <v>-45.5</v>
      </c>
      <c r="K197" s="33" t="n">
        <f aca="false">K192-K193-K194-K195-K196</f>
        <v>-52.86</v>
      </c>
      <c r="L197" s="33" t="n">
        <f aca="false">L192-L193-L194-L195-L196</f>
        <v>-72.88435</v>
      </c>
      <c r="M197" s="33" t="n">
        <f aca="false">M192-M193-M194-M195-M196</f>
        <v>-39.1287</v>
      </c>
      <c r="N197" s="33" t="n">
        <f aca="false">N192-N193-N194-N195-N196</f>
        <v>-17.099175</v>
      </c>
      <c r="O197" s="33" t="n">
        <f aca="false">O192-O193-O194-O195-O196</f>
        <v>-6.34161</v>
      </c>
      <c r="P197" s="33" t="n">
        <f aca="false">P192-P193-P194-P195-P196</f>
        <v>-9.72697500000001</v>
      </c>
      <c r="Q197" s="33" t="n">
        <f aca="false">Q192-Q193-Q194-Q195-Q196</f>
        <v>-3.8412525</v>
      </c>
      <c r="R197" s="33" t="n">
        <f aca="false">R192-R193-R194-R195-R196</f>
        <v>-117.813885</v>
      </c>
      <c r="S197" s="33" t="n">
        <f aca="false">S192-S193-S194-S195-S196</f>
        <v>-95.844</v>
      </c>
      <c r="T197" s="33" t="n">
        <f aca="false">T192-T193-T194-T195-T196</f>
        <v>-126.27968375</v>
      </c>
      <c r="U197" s="33" t="n">
        <f aca="false">U192-U193-U194-U195-U196</f>
        <v>-62.0480175</v>
      </c>
      <c r="V197" s="33" t="n">
        <f aca="false">V192-V193-V194-V195-V196</f>
        <v>630.5460075</v>
      </c>
      <c r="W197" s="33" t="n">
        <f aca="false">W192-W193-W194-W195-W196</f>
        <v>119.0957325</v>
      </c>
      <c r="X197" s="33" t="n">
        <f aca="false">X192-X193-X194-X195-X196</f>
        <v>81.8662724999999</v>
      </c>
      <c r="Y197" s="33" t="n">
        <f aca="false">Y192-Y193-Y194-Y195-Y196</f>
        <v>58.6066725</v>
      </c>
      <c r="Z197" s="33" t="n">
        <f aca="false">Z192-Z193-Z194-Z195-Z196</f>
        <v>59.2999875</v>
      </c>
      <c r="AA197" s="33" t="n">
        <f aca="false">AA192-AA193-AA194-AA195-AA196</f>
        <v>57.4884225</v>
      </c>
      <c r="AB197" s="33" t="n">
        <f aca="false">AB192-AB193-AB194-AB195-AB196</f>
        <v>77.279461875</v>
      </c>
      <c r="AC197" s="33" t="n">
        <f aca="false">AC192-AC193-AC194-AC195-AC196</f>
        <v>70.15341375</v>
      </c>
      <c r="AD197" s="33" t="n">
        <f aca="false">AD192-AD193-AD194-AD195-AD196</f>
        <v>61.33787625</v>
      </c>
      <c r="AE197" s="33" t="n">
        <f aca="false">AE192-AE193-AE194-AE195-AE196</f>
        <v>51.04624875</v>
      </c>
      <c r="AF197" s="33" t="n">
        <f aca="false">AF192-AF193-AF194-AF195-AF196</f>
        <v>-190.1453628125</v>
      </c>
      <c r="AG197" s="33" t="n">
        <f aca="false">AG192-AG193-AG194-AG195-AG196</f>
        <v>34.93902234375</v>
      </c>
      <c r="AH197" s="33" t="n">
        <f aca="false">AH192-AH193-AH194-AH195-AH196</f>
        <v>36.6268809375</v>
      </c>
      <c r="AI197" s="33" t="n">
        <f aca="false">AI192-AI193-AI194-AI195-AI196</f>
        <v>38.31473953125</v>
      </c>
      <c r="AJ197" s="33" t="n">
        <f aca="false">AJ192-AJ193-AJ194-AJ195-AJ196</f>
        <v>33.92001703125</v>
      </c>
      <c r="AK197" s="33" t="n">
        <f aca="false">AK192-AK193-AK194-AK195-AK196</f>
        <v>28.38048609375</v>
      </c>
      <c r="AL197" s="33" t="n">
        <f aca="false">AL192-AL193-AL194-AL195-AL196</f>
        <v>25.606993125</v>
      </c>
      <c r="AM197" s="33" t="n">
        <f aca="false">AM192-AM193-AM194-AM195-AM196</f>
        <v>25.93035375</v>
      </c>
      <c r="AN197" s="33" t="n">
        <f aca="false">AN192-AN193-AN194-AN195-AN196</f>
        <v>19.71288375</v>
      </c>
      <c r="AO197" s="33" t="n">
        <f aca="false">AO192-AO193-AO194-AO195-AO196</f>
        <v>16.11211875</v>
      </c>
      <c r="AP197" s="33" t="n">
        <f aca="false">AP192-AP193-AP194-AP195-AP196</f>
        <v>16.80357</v>
      </c>
      <c r="AQ197" s="33" t="n">
        <f aca="false">AQ192-AQ193-AQ194-AQ195-AQ196</f>
        <v>7.24626</v>
      </c>
      <c r="AR197" s="33" t="n">
        <f aca="false">AR192-AR193-AR194-AR195-AR196</f>
        <v>7.24626</v>
      </c>
      <c r="AS197" s="33" t="n">
        <f aca="false">AS192-AS193-AS194-AS195-AS196</f>
        <v>7.24626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217</v>
      </c>
      <c r="D198" s="33" t="n">
        <f aca="false">D197</f>
        <v>0</v>
      </c>
      <c r="E198" s="33" t="n">
        <f aca="false">D198+E197</f>
        <v>0</v>
      </c>
      <c r="F198" s="33" t="n">
        <f aca="false">E198+F197</f>
        <v>0</v>
      </c>
      <c r="G198" s="33" t="n">
        <f aca="false">F198+G197</f>
        <v>-85</v>
      </c>
      <c r="H198" s="33" t="n">
        <f aca="false">G198+H197</f>
        <v>-107.5</v>
      </c>
      <c r="I198" s="33" t="n">
        <f aca="false">H198+I197</f>
        <v>-130</v>
      </c>
      <c r="J198" s="33" t="n">
        <f aca="false">I198+J197</f>
        <v>-175.5</v>
      </c>
      <c r="K198" s="33" t="n">
        <f aca="false">J198+K197</f>
        <v>-228.36</v>
      </c>
      <c r="L198" s="33" t="n">
        <f aca="false">K198+L197</f>
        <v>-301.24435</v>
      </c>
      <c r="M198" s="33" t="n">
        <f aca="false">L198+M197</f>
        <v>-340.37305</v>
      </c>
      <c r="N198" s="33" t="n">
        <f aca="false">M198+N197</f>
        <v>-357.472225</v>
      </c>
      <c r="O198" s="33" t="n">
        <f aca="false">N198+O197</f>
        <v>-363.813835</v>
      </c>
      <c r="P198" s="33" t="n">
        <f aca="false">O198+P197</f>
        <v>-373.54081</v>
      </c>
      <c r="Q198" s="33" t="n">
        <f aca="false">P198+Q197</f>
        <v>-377.3820625</v>
      </c>
      <c r="R198" s="33" t="n">
        <f aca="false">Q198+R197</f>
        <v>-495.1959475</v>
      </c>
      <c r="S198" s="33" t="n">
        <f aca="false">R198+S197</f>
        <v>-591.0399475</v>
      </c>
      <c r="T198" s="33" t="n">
        <f aca="false">S198+T197</f>
        <v>-717.31963125</v>
      </c>
      <c r="U198" s="33" t="n">
        <f aca="false">T198+U197</f>
        <v>-779.36764875</v>
      </c>
      <c r="V198" s="33" t="n">
        <f aca="false">U198+V197</f>
        <v>-148.82164125</v>
      </c>
      <c r="W198" s="33" t="n">
        <f aca="false">V198+W197</f>
        <v>-29.7259087500001</v>
      </c>
      <c r="X198" s="33" t="n">
        <f aca="false">W198+X197</f>
        <v>52.1403637499998</v>
      </c>
      <c r="Y198" s="33" t="n">
        <f aca="false">X198+Y197</f>
        <v>110.74703625</v>
      </c>
      <c r="Z198" s="33" t="n">
        <f aca="false">Y198+Z197</f>
        <v>170.04702375</v>
      </c>
      <c r="AA198" s="33" t="n">
        <f aca="false">Z198+AA197</f>
        <v>227.53544625</v>
      </c>
      <c r="AB198" s="33" t="n">
        <f aca="false">AA198+AB197</f>
        <v>304.814908125</v>
      </c>
      <c r="AC198" s="33" t="n">
        <f aca="false">AB198+AC197</f>
        <v>374.968321875</v>
      </c>
      <c r="AD198" s="33" t="n">
        <f aca="false">AC198+AD197</f>
        <v>436.306198125</v>
      </c>
      <c r="AE198" s="33" t="n">
        <f aca="false">AD198+AE197</f>
        <v>487.352446875</v>
      </c>
      <c r="AF198" s="33" t="n">
        <f aca="false">AE198+AF197</f>
        <v>297.2070840625</v>
      </c>
      <c r="AG198" s="33" t="n">
        <f aca="false">AF198+AG197</f>
        <v>332.14610640625</v>
      </c>
      <c r="AH198" s="33" t="n">
        <f aca="false">AG198+AH197</f>
        <v>368.77298734375</v>
      </c>
      <c r="AI198" s="33" t="n">
        <f aca="false">AH198+AI197</f>
        <v>407.087726875</v>
      </c>
      <c r="AJ198" s="33" t="n">
        <f aca="false">AI198+AJ197</f>
        <v>441.00774390625</v>
      </c>
      <c r="AK198" s="33" t="n">
        <f aca="false">AJ198+AK197</f>
        <v>469.38823</v>
      </c>
      <c r="AL198" s="33" t="n">
        <f aca="false">AK198+AL197</f>
        <v>494.995223125</v>
      </c>
      <c r="AM198" s="33" t="n">
        <f aca="false">AL198+AM197</f>
        <v>520.925576875</v>
      </c>
      <c r="AN198" s="33" t="n">
        <f aca="false">AM198+AN197</f>
        <v>540.638460625</v>
      </c>
      <c r="AO198" s="33" t="n">
        <f aca="false">AN198+AO197</f>
        <v>556.750579375</v>
      </c>
      <c r="AP198" s="33" t="n">
        <f aca="false">AO198+AP197</f>
        <v>573.554149375</v>
      </c>
      <c r="AQ198" s="33" t="n">
        <f aca="false">AP198+AQ197</f>
        <v>580.800409375</v>
      </c>
      <c r="AR198" s="33" t="n">
        <f aca="false">AQ198+AR197</f>
        <v>588.046669375</v>
      </c>
      <c r="AS198" s="33" t="n">
        <f aca="false">AR198+AS197</f>
        <v>595.292929375</v>
      </c>
      <c r="AT198" s="33" t="n">
        <f aca="false">AS198+AT197</f>
        <v>595.292929375</v>
      </c>
      <c r="AU198" s="33" t="n">
        <f aca="false">AT198+AU197</f>
        <v>595.292929375</v>
      </c>
      <c r="AV198" s="33" t="n">
        <f aca="false">AU198+AV197</f>
        <v>595.292929375</v>
      </c>
      <c r="AW198" s="33" t="n">
        <f aca="false">AV198+AW197</f>
        <v>595.292929375</v>
      </c>
      <c r="AX198" s="33" t="n">
        <f aca="false">AW198+AX197</f>
        <v>595.292929375</v>
      </c>
      <c r="AY198" s="33" t="n">
        <f aca="false">AX198+AY197</f>
        <v>595.292929375</v>
      </c>
      <c r="AZ198" s="33" t="n">
        <f aca="false">AY198+AZ197</f>
        <v>595.292929375</v>
      </c>
      <c r="BA198" s="33" t="n">
        <f aca="false">AZ198+BA197</f>
        <v>595.292929375</v>
      </c>
      <c r="BB198" s="33" t="n">
        <f aca="false">BA198+BB197</f>
        <v>595.292929375</v>
      </c>
      <c r="BC198" s="33" t="n">
        <f aca="false">BB198+BC197</f>
        <v>595.292929375</v>
      </c>
      <c r="BD198" s="33" t="n">
        <f aca="false">BC198+BD197</f>
        <v>595.292929375</v>
      </c>
      <c r="BE198" s="33" t="n">
        <f aca="false">BD198+BE197</f>
        <v>595.292929375</v>
      </c>
      <c r="BF198" s="33" t="n">
        <f aca="false">BE198+BF197</f>
        <v>595.292929375</v>
      </c>
      <c r="BG198" s="33" t="n">
        <f aca="false">BF198+BG197</f>
        <v>595.292929375</v>
      </c>
      <c r="BH198" s="33" t="n">
        <f aca="false">BG198+BH197</f>
        <v>595.292929375</v>
      </c>
      <c r="BI198" s="33" t="n">
        <f aca="false">BH198+BI197</f>
        <v>595.292929375</v>
      </c>
      <c r="BJ198" s="33" t="n">
        <f aca="false">BI198+BJ197</f>
        <v>595.292929375</v>
      </c>
      <c r="BK198" s="33" t="n">
        <f aca="false">BJ198+BK197</f>
        <v>595.292929375</v>
      </c>
    </row>
    <row r="199" customFormat="false" ht="15" hidden="false" customHeight="false" outlineLevel="0" collapsed="false">
      <c r="A199" s="3" t="s">
        <v>340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-50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35.9259259259259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35.9259259259259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35.9259259259259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35.9259259259259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341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0</v>
      </c>
      <c r="N200" s="33" t="n">
        <f aca="false">IF(AND(Source_Data!N$6&gt;=Inputs!$B$54,Source_Data!N$6&lt;Inputs!$B$54+3*Inputs!$B$11),Inputs!$B$9*Inputs!$B$7/Inputs!$B$11,0)</f>
        <v>0</v>
      </c>
      <c r="O200" s="33" t="n">
        <f aca="false">IF(AND(Source_Data!O$6&gt;=Inputs!$B$54,Source_Data!O$6&lt;Inputs!$B$54+3*Inputs!$B$11),Inputs!$B$9*Inputs!$B$7/Inputs!$B$11,0)</f>
        <v>0</v>
      </c>
      <c r="P200" s="33" t="n">
        <f aca="false">IF(AND(Source_Data!P$6&gt;=Inputs!$B$54,Source_Data!P$6&lt;Inputs!$B$54+3*Inputs!$B$11),Inputs!$B$9*Inputs!$B$7/Inputs!$B$11,0)</f>
        <v>9.58333333333333</v>
      </c>
      <c r="Q200" s="33" t="n">
        <f aca="false">IF(AND(Source_Data!Q$6&gt;=Inputs!$B$54,Source_Data!Q$6&lt;Inputs!$B$54+3*Inputs!$B$11),Inputs!$B$9*Inputs!$B$7/Inputs!$B$11,0)</f>
        <v>9.58333333333333</v>
      </c>
      <c r="R200" s="33" t="n">
        <f aca="false">IF(AND(Source_Data!R$6&gt;=Inputs!$B$54,Source_Data!R$6&lt;Inputs!$B$54+3*Inputs!$B$11),Inputs!$B$9*Inputs!$B$7/Inputs!$B$11,0)</f>
        <v>9.58333333333333</v>
      </c>
      <c r="S200" s="33" t="n">
        <f aca="false">IF(AND(Source_Data!S$6&gt;=Inputs!$B$54,Source_Data!S$6&lt;Inputs!$B$54+3*Inputs!$B$11),Inputs!$B$9*Inputs!$B$7/Inputs!$B$11,0)</f>
        <v>9.58333333333333</v>
      </c>
      <c r="T200" s="33" t="n">
        <f aca="false">IF(AND(Source_Data!T$6&gt;=Inputs!$B$54,Source_Data!T$6&lt;Inputs!$B$54+3*Inputs!$B$11),Inputs!$B$9*Inputs!$B$7/Inputs!$B$11,0)</f>
        <v>9.58333333333333</v>
      </c>
      <c r="U200" s="33" t="n">
        <f aca="false">IF(AND(Source_Data!U$6&gt;=Inputs!$B$54,Source_Data!U$6&lt;Inputs!$B$54+3*Inputs!$B$11),Inputs!$B$9*Inputs!$B$7/Inputs!$B$11,0)</f>
        <v>9.58333333333333</v>
      </c>
      <c r="V200" s="33" t="n">
        <f aca="false">IF(AND(Source_Data!V$6&gt;=Inputs!$B$54,Source_Data!V$6&lt;Inputs!$B$54+3*Inputs!$B$11),Inputs!$B$9*Inputs!$B$7/Inputs!$B$11,0)</f>
        <v>9.58333333333333</v>
      </c>
      <c r="W200" s="33" t="n">
        <f aca="false">IF(AND(Source_Data!W$6&gt;=Inputs!$B$54,Source_Data!W$6&lt;Inputs!$B$54+3*Inputs!$B$11),Inputs!$B$9*Inputs!$B$7/Inputs!$B$11,0)</f>
        <v>9.58333333333333</v>
      </c>
      <c r="X200" s="33" t="n">
        <f aca="false">IF(AND(Source_Data!X$6&gt;=Inputs!$B$54,Source_Data!X$6&lt;Inputs!$B$54+3*Inputs!$B$11),Inputs!$B$9*Inputs!$B$7/Inputs!$B$11,0)</f>
        <v>9.58333333333333</v>
      </c>
      <c r="Y200" s="33" t="n">
        <f aca="false">IF(AND(Source_Data!Y$6&gt;=Inputs!$B$54,Source_Data!Y$6&lt;Inputs!$B$54+3*Inputs!$B$11),Inputs!$B$9*Inputs!$B$7/Inputs!$B$11,0)</f>
        <v>9.58333333333333</v>
      </c>
      <c r="Z200" s="33" t="n">
        <f aca="false">IF(AND(Source_Data!Z$6&gt;=Inputs!$B$54,Source_Data!Z$6&lt;Inputs!$B$54+3*Inputs!$B$11),Inputs!$B$9*Inputs!$B$7/Inputs!$B$11,0)</f>
        <v>9.58333333333333</v>
      </c>
      <c r="AA200" s="33" t="n">
        <f aca="false">IF(AND(Source_Data!AA$6&gt;=Inputs!$B$54,Source_Data!AA$6&lt;Inputs!$B$54+3*Inputs!$B$11),Inputs!$B$9*Inputs!$B$7/Inputs!$B$11,0)</f>
        <v>9.58333333333333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342</v>
      </c>
      <c r="D201" s="33" t="n">
        <f aca="false">IF(Source_Data!D$6=Inputs!$B$12,-Inputs!$B$7,0)+D200</f>
        <v>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-50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0</v>
      </c>
      <c r="N201" s="33" t="n">
        <f aca="false">IF(Source_Data!N$6=Inputs!$B$12,-Inputs!$B$7,0)+N200</f>
        <v>0</v>
      </c>
      <c r="O201" s="33" t="n">
        <f aca="false">IF(Source_Data!O$6=Inputs!$B$12,-Inputs!$B$7,0)+O200</f>
        <v>0</v>
      </c>
      <c r="P201" s="33" t="n">
        <f aca="false">IF(Source_Data!P$6=Inputs!$B$12,-Inputs!$B$7,0)+P200</f>
        <v>9.58333333333333</v>
      </c>
      <c r="Q201" s="33" t="n">
        <f aca="false">IF(Source_Data!Q$6=Inputs!$B$12,-Inputs!$B$7,0)+Q200</f>
        <v>9.58333333333333</v>
      </c>
      <c r="R201" s="33" t="n">
        <f aca="false">IF(Source_Data!R$6=Inputs!$B$12,-Inputs!$B$7,0)+R200</f>
        <v>9.58333333333333</v>
      </c>
      <c r="S201" s="33" t="n">
        <f aca="false">IF(Source_Data!S$6=Inputs!$B$12,-Inputs!$B$7,0)+S200</f>
        <v>9.58333333333333</v>
      </c>
      <c r="T201" s="33" t="n">
        <f aca="false">IF(Source_Data!T$6=Inputs!$B$12,-Inputs!$B$7,0)+T200</f>
        <v>9.58333333333333</v>
      </c>
      <c r="U201" s="33" t="n">
        <f aca="false">IF(Source_Data!U$6=Inputs!$B$12,-Inputs!$B$7,0)+U200</f>
        <v>9.58333333333333</v>
      </c>
      <c r="V201" s="33" t="n">
        <f aca="false">IF(Source_Data!V$6=Inputs!$B$12,-Inputs!$B$7,0)+V200</f>
        <v>9.58333333333333</v>
      </c>
      <c r="W201" s="33" t="n">
        <f aca="false">IF(Source_Data!W$6=Inputs!$B$12,-Inputs!$B$7,0)+W200</f>
        <v>9.58333333333333</v>
      </c>
      <c r="X201" s="33" t="n">
        <f aca="false">IF(Source_Data!X$6=Inputs!$B$12,-Inputs!$B$7,0)+X200</f>
        <v>9.58333333333333</v>
      </c>
      <c r="Y201" s="33" t="n">
        <f aca="false">IF(Source_Data!Y$6=Inputs!$B$12,-Inputs!$B$7,0)+Y200</f>
        <v>9.58333333333333</v>
      </c>
      <c r="Z201" s="33" t="n">
        <f aca="false">IF(Source_Data!Z$6=Inputs!$B$12,-Inputs!$B$7,0)+Z200</f>
        <v>9.58333333333333</v>
      </c>
      <c r="AA201" s="33" t="n">
        <f aca="false">IF(Source_Data!AA$6=Inputs!$B$12,-Inputs!$B$7,0)+AA200</f>
        <v>9.58333333333333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343</v>
      </c>
      <c r="D202" s="33" t="n">
        <f aca="false">IF(Source_Data!D$6=Inputs!$B$12,Inputs!$B$7,0)+D197-D200</f>
        <v>0</v>
      </c>
      <c r="E202" s="33" t="n">
        <f aca="false">D202+IF(Source_Data!E$6=Inputs!$B$12,Inputs!$B$7,0)+E197-E200</f>
        <v>0</v>
      </c>
      <c r="F202" s="33" t="n">
        <f aca="false">E202+IF(Source_Data!F$6=Inputs!$B$12,Inputs!$B$7,0)+F197-F200</f>
        <v>0</v>
      </c>
      <c r="G202" s="33" t="n">
        <f aca="false">F202+IF(Source_Data!G$6=Inputs!$B$12,Inputs!$B$7,0)+G197-G200</f>
        <v>-35</v>
      </c>
      <c r="H202" s="33" t="n">
        <f aca="false">G202+IF(Source_Data!H$6=Inputs!$B$12,Inputs!$B$7,0)+H197-H200</f>
        <v>-57.5</v>
      </c>
      <c r="I202" s="33" t="n">
        <f aca="false">H202+IF(Source_Data!I$6=Inputs!$B$12,Inputs!$B$7,0)+I197-I200</f>
        <v>-80</v>
      </c>
      <c r="J202" s="33" t="n">
        <f aca="false">I202+IF(Source_Data!J$6=Inputs!$B$12,Inputs!$B$7,0)+J197-J200</f>
        <v>-125.5</v>
      </c>
      <c r="K202" s="33" t="n">
        <f aca="false">J202+IF(Source_Data!K$6=Inputs!$B$12,Inputs!$B$7,0)+K197-K200</f>
        <v>-178.36</v>
      </c>
      <c r="L202" s="33" t="n">
        <f aca="false">K202+IF(Source_Data!L$6=Inputs!$B$12,Inputs!$B$7,0)+L197-L200</f>
        <v>-251.24435</v>
      </c>
      <c r="M202" s="33" t="n">
        <f aca="false">L202+IF(Source_Data!M$6=Inputs!$B$12,Inputs!$B$7,0)+M197-M200</f>
        <v>-290.37305</v>
      </c>
      <c r="N202" s="33" t="n">
        <f aca="false">M202+IF(Source_Data!N$6=Inputs!$B$12,Inputs!$B$7,0)+N197-N200</f>
        <v>-307.472225</v>
      </c>
      <c r="O202" s="33" t="n">
        <f aca="false">N202+IF(Source_Data!O$6=Inputs!$B$12,Inputs!$B$7,0)+O197-O200</f>
        <v>-313.813835</v>
      </c>
      <c r="P202" s="33" t="n">
        <f aca="false">O202+IF(Source_Data!P$6=Inputs!$B$12,Inputs!$B$7,0)+P197-P200</f>
        <v>-333.124143333333</v>
      </c>
      <c r="Q202" s="33" t="n">
        <f aca="false">P202+IF(Source_Data!Q$6=Inputs!$B$12,Inputs!$B$7,0)+Q197-Q200</f>
        <v>-346.548729166667</v>
      </c>
      <c r="R202" s="33" t="n">
        <f aca="false">Q202+IF(Source_Data!R$6=Inputs!$B$12,Inputs!$B$7,0)+R197-R200</f>
        <v>-473.9459475</v>
      </c>
      <c r="S202" s="33" t="n">
        <f aca="false">R202+IF(Source_Data!S$6=Inputs!$B$12,Inputs!$B$7,0)+S197-S200</f>
        <v>-579.373280833333</v>
      </c>
      <c r="T202" s="33" t="n">
        <f aca="false">S202+IF(Source_Data!T$6=Inputs!$B$12,Inputs!$B$7,0)+T197-T200</f>
        <v>-715.236297916667</v>
      </c>
      <c r="U202" s="33" t="n">
        <f aca="false">T202+IF(Source_Data!U$6=Inputs!$B$12,Inputs!$B$7,0)+U197-U200</f>
        <v>-786.86764875</v>
      </c>
      <c r="V202" s="33" t="n">
        <f aca="false">U202+IF(Source_Data!V$6=Inputs!$B$12,Inputs!$B$7,0)+V197-V200</f>
        <v>-165.904974583334</v>
      </c>
      <c r="W202" s="33" t="n">
        <f aca="false">V202+IF(Source_Data!W$6=Inputs!$B$12,Inputs!$B$7,0)+W197-W200</f>
        <v>-56.3925754166669</v>
      </c>
      <c r="X202" s="33" t="n">
        <f aca="false">W202+IF(Source_Data!X$6=Inputs!$B$12,Inputs!$B$7,0)+X197-X200</f>
        <v>15.8903637499997</v>
      </c>
      <c r="Y202" s="33" t="n">
        <f aca="false">X202+IF(Source_Data!Y$6=Inputs!$B$12,Inputs!$B$7,0)+Y197-Y200</f>
        <v>64.9137029166663</v>
      </c>
      <c r="Z202" s="33" t="n">
        <f aca="false">Y202+IF(Source_Data!Z$6=Inputs!$B$12,Inputs!$B$7,0)+Z197-Z200</f>
        <v>114.630357083333</v>
      </c>
      <c r="AA202" s="33" t="n">
        <f aca="false">Z202+IF(Source_Data!AA$6=Inputs!$B$12,Inputs!$B$7,0)+AA197-AA200</f>
        <v>162.53544625</v>
      </c>
      <c r="AB202" s="33" t="n">
        <f aca="false">AA202+IF(Source_Data!AB$6=Inputs!$B$12,Inputs!$B$7,0)+AB197-AB200</f>
        <v>239.814908125</v>
      </c>
      <c r="AC202" s="33" t="n">
        <f aca="false">AB202+IF(Source_Data!AC$6=Inputs!$B$12,Inputs!$B$7,0)+AC197-AC200</f>
        <v>309.968321875</v>
      </c>
      <c r="AD202" s="33" t="n">
        <f aca="false">AC202+IF(Source_Data!AD$6=Inputs!$B$12,Inputs!$B$7,0)+AD197-AD200</f>
        <v>371.306198125</v>
      </c>
      <c r="AE202" s="33" t="n">
        <f aca="false">AD202+IF(Source_Data!AE$6=Inputs!$B$12,Inputs!$B$7,0)+AE197-AE200</f>
        <v>422.352446875</v>
      </c>
      <c r="AF202" s="33" t="n">
        <f aca="false">AE202+IF(Source_Data!AF$6=Inputs!$B$12,Inputs!$B$7,0)+AF197-AF200</f>
        <v>232.2070840625</v>
      </c>
      <c r="AG202" s="33" t="n">
        <f aca="false">AF202+IF(Source_Data!AG$6=Inputs!$B$12,Inputs!$B$7,0)+AG197-AG200</f>
        <v>267.14610640625</v>
      </c>
      <c r="AH202" s="33" t="n">
        <f aca="false">AG202+IF(Source_Data!AH$6=Inputs!$B$12,Inputs!$B$7,0)+AH197-AH200</f>
        <v>303.77298734375</v>
      </c>
      <c r="AI202" s="33" t="n">
        <f aca="false">AH202+IF(Source_Data!AI$6=Inputs!$B$12,Inputs!$B$7,0)+AI197-AI200</f>
        <v>342.087726875</v>
      </c>
      <c r="AJ202" s="33" t="n">
        <f aca="false">AI202+IF(Source_Data!AJ$6=Inputs!$B$12,Inputs!$B$7,0)+AJ197-AJ200</f>
        <v>376.00774390625</v>
      </c>
      <c r="AK202" s="33" t="n">
        <f aca="false">AJ202+IF(Source_Data!AK$6=Inputs!$B$12,Inputs!$B$7,0)+AK197-AK200</f>
        <v>404.38823</v>
      </c>
      <c r="AL202" s="33" t="n">
        <f aca="false">AK202+IF(Source_Data!AL$6=Inputs!$B$12,Inputs!$B$7,0)+AL197-AL200</f>
        <v>429.995223125</v>
      </c>
      <c r="AM202" s="33" t="n">
        <f aca="false">AL202+IF(Source_Data!AM$6=Inputs!$B$12,Inputs!$B$7,0)+AM197-AM200</f>
        <v>455.925576875</v>
      </c>
      <c r="AN202" s="33" t="n">
        <f aca="false">AM202+IF(Source_Data!AN$6=Inputs!$B$12,Inputs!$B$7,0)+AN197-AN200</f>
        <v>475.638460625</v>
      </c>
      <c r="AO202" s="33" t="n">
        <f aca="false">AN202+IF(Source_Data!AO$6=Inputs!$B$12,Inputs!$B$7,0)+AO197-AO200</f>
        <v>491.750579375</v>
      </c>
      <c r="AP202" s="33" t="n">
        <f aca="false">AO202+IF(Source_Data!AP$6=Inputs!$B$12,Inputs!$B$7,0)+AP197-AP200</f>
        <v>508.554149375</v>
      </c>
      <c r="AQ202" s="33" t="n">
        <f aca="false">AP202+IF(Source_Data!AQ$6=Inputs!$B$12,Inputs!$B$7,0)+AQ197-AQ200</f>
        <v>515.800409375</v>
      </c>
      <c r="AR202" s="33" t="n">
        <f aca="false">AQ202+IF(Source_Data!AR$6=Inputs!$B$12,Inputs!$B$7,0)+AR197-AR200</f>
        <v>523.046669375</v>
      </c>
      <c r="AS202" s="33" t="n">
        <f aca="false">AR202+IF(Source_Data!AS$6=Inputs!$B$12,Inputs!$B$7,0)+AS197-AS200</f>
        <v>530.292929375</v>
      </c>
      <c r="AT202" s="33" t="n">
        <f aca="false">AS202+IF(Source_Data!AT$6=Inputs!$B$12,Inputs!$B$7,0)+AT197-AT200</f>
        <v>530.292929375</v>
      </c>
      <c r="AU202" s="33" t="n">
        <f aca="false">AT202+IF(Source_Data!AU$6=Inputs!$B$12,Inputs!$B$7,0)+AU197-AU200</f>
        <v>530.292929375</v>
      </c>
      <c r="AV202" s="33" t="n">
        <f aca="false">AU202+IF(Source_Data!AV$6=Inputs!$B$12,Inputs!$B$7,0)+AV197-AV200</f>
        <v>530.292929375</v>
      </c>
      <c r="AW202" s="33" t="n">
        <f aca="false">AV202+IF(Source_Data!AW$6=Inputs!$B$12,Inputs!$B$7,0)+AW197-AW200</f>
        <v>530.292929375</v>
      </c>
      <c r="AX202" s="33" t="n">
        <f aca="false">AW202+IF(Source_Data!AX$6=Inputs!$B$12,Inputs!$B$7,0)+AX197-AX200</f>
        <v>530.292929375</v>
      </c>
      <c r="AY202" s="33" t="n">
        <f aca="false">AX202+IF(Source_Data!AY$6=Inputs!$B$12,Inputs!$B$7,0)+AY197-AY200</f>
        <v>530.292929375</v>
      </c>
      <c r="AZ202" s="33" t="n">
        <f aca="false">AY202+IF(Source_Data!AZ$6=Inputs!$B$12,Inputs!$B$7,0)+AZ197-AZ200</f>
        <v>530.292929375</v>
      </c>
      <c r="BA202" s="33" t="n">
        <f aca="false">AZ202+IF(Source_Data!BA$6=Inputs!$B$12,Inputs!$B$7,0)+BA197-BA200</f>
        <v>530.292929375</v>
      </c>
      <c r="BB202" s="33" t="n">
        <f aca="false">BA202+IF(Source_Data!BB$6=Inputs!$B$12,Inputs!$B$7,0)+BB197-BB200</f>
        <v>530.292929375</v>
      </c>
      <c r="BC202" s="33" t="n">
        <f aca="false">BB202+IF(Source_Data!BC$6=Inputs!$B$12,Inputs!$B$7,0)+BC197-BC200</f>
        <v>530.292929375</v>
      </c>
      <c r="BD202" s="33" t="n">
        <f aca="false">BC202+IF(Source_Data!BD$6=Inputs!$B$12,Inputs!$B$7,0)+BD197-BD200</f>
        <v>530.292929375</v>
      </c>
      <c r="BE202" s="33" t="n">
        <f aca="false">BD202+IF(Source_Data!BE$6=Inputs!$B$12,Inputs!$B$7,0)+BE197-BE200</f>
        <v>530.292929375</v>
      </c>
      <c r="BF202" s="33" t="n">
        <f aca="false">BE202+IF(Source_Data!BF$6=Inputs!$B$12,Inputs!$B$7,0)+BF197-BF200</f>
        <v>530.292929375</v>
      </c>
      <c r="BG202" s="33" t="n">
        <f aca="false">BF202+IF(Source_Data!BG$6=Inputs!$B$12,Inputs!$B$7,0)+BG197-BG200</f>
        <v>530.292929375</v>
      </c>
      <c r="BH202" s="33" t="n">
        <f aca="false">BG202+IF(Source_Data!BH$6=Inputs!$B$12,Inputs!$B$7,0)+BH197-BH200</f>
        <v>530.292929375</v>
      </c>
      <c r="BI202" s="33" t="n">
        <f aca="false">BH202+IF(Source_Data!BI$6=Inputs!$B$12,Inputs!$B$7,0)+BI197-BI200</f>
        <v>530.292929375</v>
      </c>
      <c r="BJ202" s="33" t="n">
        <f aca="false">BI202+IF(Source_Data!BJ$6=Inputs!$B$12,Inputs!$B$7,0)+BJ197-BJ200</f>
        <v>530.292929375</v>
      </c>
      <c r="BK202" s="33" t="n">
        <f aca="false">BJ202+IF(Source_Data!BK$6=Inputs!$B$12,Inputs!$B$7,0)+BK197-BK200</f>
        <v>530.292929375</v>
      </c>
    </row>
    <row r="203" customFormat="false" ht="15" hidden="false" customHeight="false" outlineLevel="0" collapsed="false">
      <c r="A203" s="3" t="s">
        <v>344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str">
        <f aca="false">IF(M200&gt;0,M197/M200,"")</f>
        <v/>
      </c>
      <c r="N203" s="31" t="str">
        <f aca="false">IF(N200&gt;0,N197/N200,"")</f>
        <v/>
      </c>
      <c r="O203" s="31" t="str">
        <f aca="false">IF(O200&gt;0,O197/O200,"")</f>
        <v/>
      </c>
      <c r="P203" s="31" t="n">
        <f aca="false">IF(P200&gt;0,P197/P200,"")</f>
        <v>-1.01498869565218</v>
      </c>
      <c r="Q203" s="31" t="n">
        <f aca="false">IF(Q200&gt;0,Q197/Q200,"")</f>
        <v>-0.400826347826087</v>
      </c>
      <c r="R203" s="31" t="n">
        <f aca="false">IF(R200&gt;0,R197/R200,"")</f>
        <v>-12.2936227826087</v>
      </c>
      <c r="S203" s="31" t="n">
        <f aca="false">IF(S200&gt;0,S197/S200,"")</f>
        <v>-10.0011130434783</v>
      </c>
      <c r="T203" s="31" t="n">
        <f aca="false">IF(T200&gt;0,T197/T200,"")</f>
        <v>-13.1770104782609</v>
      </c>
      <c r="U203" s="31" t="n">
        <f aca="false">IF(U200&gt;0,U197/U200,"")</f>
        <v>-6.47457573913044</v>
      </c>
      <c r="V203" s="31" t="n">
        <f aca="false">IF(V200&gt;0,V197/V200,"")</f>
        <v>65.7961051304348</v>
      </c>
      <c r="W203" s="31" t="n">
        <f aca="false">IF(W200&gt;0,W197/W200,"")</f>
        <v>12.4273807826087</v>
      </c>
      <c r="X203" s="31" t="n">
        <f aca="false">IF(X200&gt;0,X197/X200,"")</f>
        <v>8.54256756521738</v>
      </c>
      <c r="Y203" s="31" t="n">
        <f aca="false">IF(Y200&gt;0,Y197/Y200,"")</f>
        <v>6.11547886956521</v>
      </c>
      <c r="Z203" s="31" t="n">
        <f aca="false">IF(Z200&gt;0,Z197/Z200,"")</f>
        <v>6.18782478260869</v>
      </c>
      <c r="AA203" s="31" t="n">
        <f aca="false">IF(AA200&gt;0,AA197/AA200,"")</f>
        <v>5.99879191304348</v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345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str">
        <f aca="false">IF(M200&gt;0,(L202+M197+IF(Source_Data!M$6=Inputs!$B$12,Inputs!$B$7,0))/M200,"")</f>
        <v/>
      </c>
      <c r="N204" s="31" t="str">
        <f aca="false">IF(N200&gt;0,(M202+N197+IF(Source_Data!N$6=Inputs!$B$12,Inputs!$B$7,0))/N200,"")</f>
        <v/>
      </c>
      <c r="O204" s="31" t="str">
        <f aca="false">IF(O200&gt;0,(N202+O197+IF(Source_Data!O$6=Inputs!$B$12,Inputs!$B$7,0))/O200,"")</f>
        <v/>
      </c>
      <c r="P204" s="31" t="n">
        <f aca="false">IF(P200&gt;0,(O202+P197+IF(Source_Data!P$6=Inputs!$B$12,Inputs!$B$7,0))/P200,"")</f>
        <v>-33.760780173913</v>
      </c>
      <c r="Q204" s="31" t="n">
        <f aca="false">IF(Q200&gt;0,(P202+Q197+IF(Source_Data!Q$6=Inputs!$B$12,Inputs!$B$7,0))/Q200,"")</f>
        <v>-35.1616065217391</v>
      </c>
      <c r="R204" s="31" t="n">
        <f aca="false">IF(R200&gt;0,(Q202+R197+IF(Source_Data!R$6=Inputs!$B$12,Inputs!$B$7,0))/R200,"")</f>
        <v>-48.4552293043478</v>
      </c>
      <c r="S204" s="31" t="n">
        <f aca="false">IF(S200&gt;0,(R202+S197+IF(Source_Data!S$6=Inputs!$B$12,Inputs!$B$7,0))/S200,"")</f>
        <v>-59.4563423478261</v>
      </c>
      <c r="T204" s="31" t="n">
        <f aca="false">IF(T200&gt;0,(S202+T197+IF(Source_Data!T$6=Inputs!$B$12,Inputs!$B$7,0))/T200,"")</f>
        <v>-73.633352826087</v>
      </c>
      <c r="U204" s="31" t="n">
        <f aca="false">IF(U200&gt;0,(T202+U197+IF(Source_Data!U$6=Inputs!$B$12,Inputs!$B$7,0))/U200,"")</f>
        <v>-81.1079285652174</v>
      </c>
      <c r="V204" s="31" t="n">
        <f aca="false">IF(V200&gt;0,(U202+V197+IF(Source_Data!V$6=Inputs!$B$12,Inputs!$B$7,0))/V200,"")</f>
        <v>-16.3118234347826</v>
      </c>
      <c r="W204" s="31" t="n">
        <f aca="false">IF(W200&gt;0,(V202+W197+IF(Source_Data!W$6=Inputs!$B$12,Inputs!$B$7,0))/W200,"")</f>
        <v>-4.88444265217394</v>
      </c>
      <c r="X204" s="31" t="n">
        <f aca="false">IF(X200&gt;0,(W202+X197+IF(Source_Data!X$6=Inputs!$B$12,Inputs!$B$7,0))/X200,"")</f>
        <v>2.65812491304345</v>
      </c>
      <c r="Y204" s="31" t="n">
        <f aca="false">IF(Y200&gt;0,(X202+Y197+IF(Source_Data!Y$6=Inputs!$B$12,Inputs!$B$7,0))/Y200,"")</f>
        <v>7.77360378260866</v>
      </c>
      <c r="Z204" s="31" t="n">
        <f aca="false">IF(Z200&gt;0,(Y202+Z197+IF(Source_Data!Z$6=Inputs!$B$12,Inputs!$B$7,0))/Z200,"")</f>
        <v>12.9614285652174</v>
      </c>
      <c r="AA204" s="31" t="n">
        <f aca="false">IF(AA200&gt;0,(Z202+AA197+IF(Source_Data!AA$6=Inputs!$B$12,Inputs!$B$7,0))/AA200,"")</f>
        <v>17.9602204782608</v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220</v>
      </c>
      <c r="B206" s="41" t="n">
        <f aca="false">SUM(D197:BK197)</f>
        <v>595.292929375</v>
      </c>
    </row>
    <row r="207" customFormat="false" ht="15" hidden="false" customHeight="false" outlineLevel="0" collapsed="false">
      <c r="A207" s="2" t="s">
        <v>346</v>
      </c>
      <c r="B207" s="41" t="n">
        <f aca="false">SUMPRODUCT(D197:BK197,Project_CF!$D$15:$BK$15)</f>
        <v>125.733658643987</v>
      </c>
    </row>
    <row r="208" customFormat="false" ht="15" hidden="false" customHeight="false" outlineLevel="0" collapsed="false">
      <c r="A208" s="2" t="s">
        <v>162</v>
      </c>
      <c r="B208" s="41" t="n">
        <f aca="false">MIN(D198:BK198)</f>
        <v>-779.36764875</v>
      </c>
    </row>
    <row r="209" customFormat="false" ht="15" hidden="false" customHeight="false" outlineLevel="0" collapsed="false">
      <c r="A209" s="2" t="s">
        <v>347</v>
      </c>
      <c r="B209" s="35" t="n">
        <f aca="false">INDEX(Project_CF!$D$6:$BK$6,MATCH(MIN(D198:BK198),D198:BK198,0))</f>
        <v>54</v>
      </c>
    </row>
    <row r="210" customFormat="false" ht="15" hidden="false" customHeight="false" outlineLevel="0" collapsed="false">
      <c r="A210" s="2" t="s">
        <v>348</v>
      </c>
      <c r="B210" s="39" t="n">
        <f aca="false">(1+IRR(D199:BK199,0.05))^4-1</f>
        <v>0.229147128391764</v>
      </c>
    </row>
    <row r="211" customFormat="false" ht="15" hidden="false" customHeight="false" outlineLevel="0" collapsed="false">
      <c r="A211" s="2" t="s">
        <v>349</v>
      </c>
      <c r="B211" s="40" t="n">
        <f aca="false">SUMIF(D199:BK199,"&gt;0")/-SUMIF(D199:BK199,"&lt;0")</f>
        <v>2.87407407407407</v>
      </c>
    </row>
    <row r="212" customFormat="false" ht="15" hidden="false" customHeight="false" outlineLevel="0" collapsed="false">
      <c r="A212" s="2" t="s">
        <v>350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351</v>
      </c>
      <c r="B213" s="41" t="n">
        <f aca="false">MIN(D202:BK202)</f>
        <v>-786.86764875</v>
      </c>
    </row>
    <row r="214" customFormat="false" ht="15" hidden="false" customHeight="false" outlineLevel="0" collapsed="false">
      <c r="A214" s="2" t="s">
        <v>352</v>
      </c>
      <c r="B214" s="43" t="n">
        <f aca="false">MIN(D203:BK203)</f>
        <v>-13.1770104782609</v>
      </c>
    </row>
    <row r="215" customFormat="false" ht="15" hidden="false" customHeight="false" outlineLevel="0" collapsed="false">
      <c r="A215" s="2" t="s">
        <v>353</v>
      </c>
      <c r="B215" s="35" t="n">
        <f aca="false">COUNTIF(D203:BK203,"&lt;"&amp;Inputs!$B$43)</f>
        <v>6</v>
      </c>
    </row>
    <row r="216" customFormat="false" ht="15" hidden="false" customHeight="false" outlineLevel="0" collapsed="false">
      <c r="A216" s="2" t="s">
        <v>354</v>
      </c>
      <c r="B216" s="43" t="n">
        <f aca="false">MIN(D204:BK204)</f>
        <v>-81.1079285652174</v>
      </c>
    </row>
    <row r="217" customFormat="false" ht="15" hidden="false" customHeight="false" outlineLevel="0" collapsed="false">
      <c r="A217" s="2" t="s">
        <v>355</v>
      </c>
      <c r="B217" s="35" t="n">
        <f aca="false">COUNTIF(D204:BK204,"&lt;"&amp;Inputs!$B$43)</f>
        <v>8</v>
      </c>
    </row>
    <row r="220" customFormat="false" ht="15" hidden="false" customHeight="false" outlineLevel="0" collapsed="false">
      <c r="A220" s="8" t="s">
        <v>364</v>
      </c>
    </row>
    <row r="221" customFormat="false" ht="15" hidden="false" customHeight="false" outlineLevel="0" collapsed="false">
      <c r="A221" s="3" t="s">
        <v>331</v>
      </c>
      <c r="B221" s="45" t="n">
        <v>1</v>
      </c>
    </row>
    <row r="222" customFormat="false" ht="15" hidden="false" customHeight="false" outlineLevel="0" collapsed="false">
      <c r="A222" s="3" t="s">
        <v>332</v>
      </c>
      <c r="B222" s="45" t="n">
        <v>6</v>
      </c>
    </row>
    <row r="223" customFormat="false" ht="15" hidden="false" customHeight="false" outlineLevel="0" collapsed="false">
      <c r="A223" s="3" t="s">
        <v>333</v>
      </c>
      <c r="B223" s="45" t="n">
        <v>1</v>
      </c>
    </row>
    <row r="224" customFormat="false" ht="15" hidden="false" customHeight="false" outlineLevel="0" collapsed="false">
      <c r="A224" s="3" t="s">
        <v>334</v>
      </c>
      <c r="B224" s="45" t="n">
        <v>0</v>
      </c>
    </row>
    <row r="225" customFormat="false" ht="15" hidden="false" customHeight="false" outlineLevel="0" collapsed="false">
      <c r="A225" s="3" t="s">
        <v>335</v>
      </c>
      <c r="B225" s="45" t="n">
        <v>0</v>
      </c>
    </row>
    <row r="226" customFormat="false" ht="15" hidden="false" customHeight="false" outlineLevel="0" collapsed="false">
      <c r="A226" s="3" t="s">
        <v>336</v>
      </c>
      <c r="B226" s="3" t="n">
        <f aca="false">Inputs!$B$13+3+3*$B$222</f>
        <v>75</v>
      </c>
    </row>
    <row r="227" customFormat="false" ht="15" hidden="false" customHeight="false" outlineLevel="0" collapsed="false">
      <c r="A227" s="3" t="s">
        <v>337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0</v>
      </c>
      <c r="G227" s="33" t="n">
        <f aca="false">Source_Data!G$7+IF($B$225=1,IF(Source_Data!G$6=Inputs!$B$13,Source_Data!$C$8,0),Source_Data!G$8)</f>
        <v>0</v>
      </c>
      <c r="H227" s="33" t="n">
        <f aca="false">Source_Data!H$7+IF($B$225=1,IF(Source_Data!H$6=Inputs!$B$13,Source_Data!$C$8,0),Source_Data!H$8)</f>
        <v>18.11565</v>
      </c>
      <c r="I227" s="33" t="n">
        <f aca="false">Source_Data!I$7+IF($B$225=1,IF(Source_Data!I$6=Inputs!$B$13,Source_Data!$C$8,0),Source_Data!I$8)</f>
        <v>36.2313</v>
      </c>
      <c r="J227" s="33" t="n">
        <f aca="false">Source_Data!J$7+IF($B$225=1,IF(Source_Data!J$6=Inputs!$B$13,Source_Data!$C$8,0),Source_Data!J$8)</f>
        <v>58.260825</v>
      </c>
      <c r="K227" s="33" t="n">
        <f aca="false">Source_Data!K$7+IF($B$225=1,IF(Source_Data!K$6=Inputs!$B$13,Source_Data!$C$8,0),Source_Data!K$8)</f>
        <v>69.01839</v>
      </c>
      <c r="L227" s="33" t="n">
        <f aca="false">Source_Data!L$7+IF($B$225=1,IF(Source_Data!L$6=Inputs!$B$13,Source_Data!$C$8,0),Source_Data!L$8)</f>
        <v>67.087545</v>
      </c>
      <c r="M227" s="33" t="n">
        <f aca="false">Source_Data!M$7+IF($B$225=1,IF(Source_Data!M$6=Inputs!$B$13,Source_Data!$C$8,0),Source_Data!M$8)</f>
        <v>72.9732675</v>
      </c>
      <c r="N227" s="33" t="n">
        <f aca="false">Source_Data!N$7+IF($B$225=1,IF(Source_Data!N$6=Inputs!$B$13,Source_Data!$C$8,0),Source_Data!N$8)</f>
        <v>88.871055</v>
      </c>
      <c r="O227" s="33" t="n">
        <f aca="false">Source_Data!O$7+IF($B$225=1,IF(Source_Data!O$6=Inputs!$B$13,Source_Data!$C$8,0),Source_Data!O$8)</f>
        <v>105.60753</v>
      </c>
      <c r="P227" s="33" t="n">
        <f aca="false">Source_Data!P$7+IF($B$225=1,IF(Source_Data!P$6=Inputs!$B$13,Source_Data!$C$8,0),Source_Data!P$8)</f>
        <v>115.25243625</v>
      </c>
      <c r="Q227" s="33" t="n">
        <f aca="false">Source_Data!Q$7+IF($B$225=1,IF(Source_Data!Q$6=Inputs!$B$13,Source_Data!$C$8,0),Source_Data!Q$8)</f>
        <v>124.8973425</v>
      </c>
      <c r="R227" s="33" t="n">
        <f aca="false">Source_Data!R$7+IF($B$225=1,IF(Source_Data!R$6=Inputs!$B$13,Source_Data!$C$8,0),Source_Data!R$8)</f>
        <v>683.0904675</v>
      </c>
      <c r="S227" s="33" t="n">
        <f aca="false">Source_Data!S$7+IF($B$225=1,IF(Source_Data!S$6=Inputs!$B$13,Source_Data!$C$8,0),Source_Data!S$8)</f>
        <v>171.6401925</v>
      </c>
      <c r="T227" s="33" t="n">
        <f aca="false">Source_Data!T$7+IF($B$225=1,IF(Source_Data!T$6=Inputs!$B$13,Source_Data!$C$8,0),Source_Data!T$8)</f>
        <v>112.5965925</v>
      </c>
      <c r="U227" s="33" t="n">
        <f aca="false">Source_Data!U$7+IF($B$225=1,IF(Source_Data!U$6=Inputs!$B$13,Source_Data!$C$8,0),Source_Data!U$8)</f>
        <v>89.3369925</v>
      </c>
      <c r="V227" s="33" t="n">
        <f aca="false">Source_Data!V$7+IF($B$225=1,IF(Source_Data!V$6=Inputs!$B$13,Source_Data!$C$8,0),Source_Data!V$8)</f>
        <v>87.5254275</v>
      </c>
      <c r="W227" s="33" t="n">
        <f aca="false">Source_Data!W$7+IF($B$225=1,IF(Source_Data!W$6=Inputs!$B$13,Source_Data!$C$8,0),Source_Data!W$8)</f>
        <v>85.7138625</v>
      </c>
      <c r="X227" s="33" t="n">
        <f aca="false">Source_Data!X$7+IF($B$225=1,IF(Source_Data!X$6=Inputs!$B$13,Source_Data!$C$8,0),Source_Data!X$8)</f>
        <v>77.279461875</v>
      </c>
      <c r="Y227" s="33" t="n">
        <f aca="false">Source_Data!Y$7+IF($B$225=1,IF(Source_Data!Y$6=Inputs!$B$13,Source_Data!$C$8,0),Source_Data!Y$8)</f>
        <v>70.15341375</v>
      </c>
      <c r="Z227" s="33" t="n">
        <f aca="false">Source_Data!Z$7+IF($B$225=1,IF(Source_Data!Z$6=Inputs!$B$13,Source_Data!$C$8,0),Source_Data!Z$8)</f>
        <v>61.33787625</v>
      </c>
      <c r="AA227" s="33" t="n">
        <f aca="false">Source_Data!AA$7+IF($B$225=1,IF(Source_Data!AA$6=Inputs!$B$13,Source_Data!$C$8,0),Source_Data!AA$8)</f>
        <v>51.04624875</v>
      </c>
      <c r="AB227" s="33" t="n">
        <f aca="false">Source_Data!AB$7+IF($B$225=1,IF(Source_Data!AB$6=Inputs!$B$13,Source_Data!$C$8,0),Source_Data!AB$8)</f>
        <v>51.04624875</v>
      </c>
      <c r="AC227" s="33" t="n">
        <f aca="false">Source_Data!AC$7+IF($B$225=1,IF(Source_Data!AC$6=Inputs!$B$13,Source_Data!$C$8,0),Source_Data!AC$8)</f>
        <v>51.04624875</v>
      </c>
      <c r="AD227" s="33" t="n">
        <f aca="false">Source_Data!AD$7+IF($B$225=1,IF(Source_Data!AD$6=Inputs!$B$13,Source_Data!$C$8,0),Source_Data!AD$8)</f>
        <v>51.04624875</v>
      </c>
      <c r="AE227" s="33" t="n">
        <f aca="false">Source_Data!AE$7+IF($B$225=1,IF(Source_Data!AE$6=Inputs!$B$13,Source_Data!$C$8,0),Source_Data!AE$8)</f>
        <v>51.04624875</v>
      </c>
      <c r="AF227" s="33" t="n">
        <f aca="false">Source_Data!AF$7+IF($B$225=1,IF(Source_Data!AF$6=Inputs!$B$13,Source_Data!$C$8,0),Source_Data!AF$8)</f>
        <v>43.931383125</v>
      </c>
      <c r="AG227" s="33" t="n">
        <f aca="false">Source_Data!AG$7+IF($B$225=1,IF(Source_Data!AG$6=Inputs!$B$13,Source_Data!$C$8,0),Source_Data!AG$8)</f>
        <v>36.8165175</v>
      </c>
      <c r="AH227" s="33" t="n">
        <f aca="false">Source_Data!AH$7+IF($B$225=1,IF(Source_Data!AH$6=Inputs!$B$13,Source_Data!$C$8,0),Source_Data!AH$8)</f>
        <v>32.958555</v>
      </c>
      <c r="AI227" s="33" t="n">
        <f aca="false">Source_Data!AI$7+IF($B$225=1,IF(Source_Data!AI$6=Inputs!$B$13,Source_Data!$C$8,0),Source_Data!AI$8)</f>
        <v>29.1005925</v>
      </c>
      <c r="AJ227" s="33" t="n">
        <f aca="false">Source_Data!AJ$7+IF($B$225=1,IF(Source_Data!AJ$6=Inputs!$B$13,Source_Data!$C$8,0),Source_Data!AJ$8)</f>
        <v>22.8831225</v>
      </c>
      <c r="AK227" s="33" t="n">
        <f aca="false">Source_Data!AK$7+IF($B$225=1,IF(Source_Data!AK$6=Inputs!$B$13,Source_Data!$C$8,0),Source_Data!AK$8)</f>
        <v>19.2823575</v>
      </c>
      <c r="AL227" s="33" t="n">
        <f aca="false">Source_Data!AL$7+IF($B$225=1,IF(Source_Data!AL$6=Inputs!$B$13,Source_Data!$C$8,0),Source_Data!AL$8)</f>
        <v>16.80357</v>
      </c>
      <c r="AM227" s="33" t="n">
        <f aca="false">Source_Data!AM$7+IF($B$225=1,IF(Source_Data!AM$6=Inputs!$B$13,Source_Data!$C$8,0),Source_Data!AM$8)</f>
        <v>7.24626</v>
      </c>
      <c r="AN227" s="33" t="n">
        <f aca="false">Source_Data!AN$7+IF($B$225=1,IF(Source_Data!AN$6=Inputs!$B$13,Source_Data!$C$8,0),Source_Data!AN$8)</f>
        <v>7.24626</v>
      </c>
      <c r="AO227" s="33" t="n">
        <f aca="false">Source_Data!AO$7+IF($B$225=1,IF(Source_Data!AO$6=Inputs!$B$13,Source_Data!$C$8,0),Source_Data!AO$8)</f>
        <v>7.24626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338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0</v>
      </c>
      <c r="M228" s="33" t="n">
        <f aca="false">$B$221*IF(Source_Data!M$5-($B$222+$B$224)&gt;=1,INDEX($D$227:$BK$227,1,Source_Data!M$5-($B$222+$B$224)),0)</f>
        <v>0</v>
      </c>
      <c r="N228" s="33" t="n">
        <f aca="false">$B$221*IF(Source_Data!N$5-($B$222+$B$224)&gt;=1,INDEX($D$227:$BK$227,1,Source_Data!N$5-($B$222+$B$224)),0)</f>
        <v>18.11565</v>
      </c>
      <c r="O228" s="33" t="n">
        <f aca="false">$B$221*IF(Source_Data!O$5-($B$222+$B$224)&gt;=1,INDEX($D$227:$BK$227,1,Source_Data!O$5-($B$222+$B$224)),0)</f>
        <v>36.2313</v>
      </c>
      <c r="P228" s="33" t="n">
        <f aca="false">$B$221*IF(Source_Data!P$5-($B$222+$B$224)&gt;=1,INDEX($D$227:$BK$227,1,Source_Data!P$5-($B$222+$B$224)),0)</f>
        <v>58.260825</v>
      </c>
      <c r="Q228" s="33" t="n">
        <f aca="false">$B$221*IF(Source_Data!Q$5-($B$222+$B$224)&gt;=1,INDEX($D$227:$BK$227,1,Source_Data!Q$5-($B$222+$B$224)),0)</f>
        <v>69.01839</v>
      </c>
      <c r="R228" s="33" t="n">
        <f aca="false">$B$221*IF(Source_Data!R$5-($B$222+$B$224)&gt;=1,INDEX($D$227:$BK$227,1,Source_Data!R$5-($B$222+$B$224)),0)</f>
        <v>67.087545</v>
      </c>
      <c r="S228" s="33" t="n">
        <f aca="false">$B$221*IF(Source_Data!S$5-($B$222+$B$224)&gt;=1,INDEX($D$227:$BK$227,1,Source_Data!S$5-($B$222+$B$224)),0)</f>
        <v>72.9732675</v>
      </c>
      <c r="T228" s="33" t="n">
        <f aca="false">$B$221*IF(Source_Data!T$5-($B$222+$B$224)&gt;=1,INDEX($D$227:$BK$227,1,Source_Data!T$5-($B$222+$B$224)),0)</f>
        <v>88.871055</v>
      </c>
      <c r="U228" s="33" t="n">
        <f aca="false">$B$221*IF(Source_Data!U$5-($B$222+$B$224)&gt;=1,INDEX($D$227:$BK$227,1,Source_Data!U$5-($B$222+$B$224)),0)</f>
        <v>105.60753</v>
      </c>
      <c r="V228" s="33" t="n">
        <f aca="false">$B$221*IF(Source_Data!V$5-($B$222+$B$224)&gt;=1,INDEX($D$227:$BK$227,1,Source_Data!V$5-($B$222+$B$224)),0)</f>
        <v>115.25243625</v>
      </c>
      <c r="W228" s="33" t="n">
        <f aca="false">$B$221*IF(Source_Data!W$5-($B$222+$B$224)&gt;=1,INDEX($D$227:$BK$227,1,Source_Data!W$5-($B$222+$B$224)),0)</f>
        <v>124.8973425</v>
      </c>
      <c r="X228" s="33" t="n">
        <f aca="false">$B$221*IF(Source_Data!X$5-($B$222+$B$224)&gt;=1,INDEX($D$227:$BK$227,1,Source_Data!X$5-($B$222+$B$224)),0)</f>
        <v>683.0904675</v>
      </c>
      <c r="Y228" s="33" t="n">
        <f aca="false">$B$221*IF(Source_Data!Y$5-($B$222+$B$224)&gt;=1,INDEX($D$227:$BK$227,1,Source_Data!Y$5-($B$222+$B$224)),0)</f>
        <v>171.6401925</v>
      </c>
      <c r="Z228" s="33" t="n">
        <f aca="false">$B$221*IF(Source_Data!Z$5-($B$222+$B$224)&gt;=1,INDEX($D$227:$BK$227,1,Source_Data!Z$5-($B$222+$B$224)),0)</f>
        <v>112.5965925</v>
      </c>
      <c r="AA228" s="33" t="n">
        <f aca="false">$B$221*IF(Source_Data!AA$5-($B$222+$B$224)&gt;=1,INDEX($D$227:$BK$227,1,Source_Data!AA$5-($B$222+$B$224)),0)</f>
        <v>89.3369925</v>
      </c>
      <c r="AB228" s="33" t="n">
        <f aca="false">$B$221*IF(Source_Data!AB$5-($B$222+$B$224)&gt;=1,INDEX($D$227:$BK$227,1,Source_Data!AB$5-($B$222+$B$224)),0)</f>
        <v>87.5254275</v>
      </c>
      <c r="AC228" s="33" t="n">
        <f aca="false">$B$221*IF(Source_Data!AC$5-($B$222+$B$224)&gt;=1,INDEX($D$227:$BK$227,1,Source_Data!AC$5-($B$222+$B$224)),0)</f>
        <v>85.7138625</v>
      </c>
      <c r="AD228" s="33" t="n">
        <f aca="false">$B$221*IF(Source_Data!AD$5-($B$222+$B$224)&gt;=1,INDEX($D$227:$BK$227,1,Source_Data!AD$5-($B$222+$B$224)),0)</f>
        <v>77.279461875</v>
      </c>
      <c r="AE228" s="33" t="n">
        <f aca="false">$B$221*IF(Source_Data!AE$5-($B$222+$B$224)&gt;=1,INDEX($D$227:$BK$227,1,Source_Data!AE$5-($B$222+$B$224)),0)</f>
        <v>70.15341375</v>
      </c>
      <c r="AF228" s="33" t="n">
        <f aca="false">$B$221*IF(Source_Data!AF$5-($B$222+$B$224)&gt;=1,INDEX($D$227:$BK$227,1,Source_Data!AF$5-($B$222+$B$224)),0)</f>
        <v>61.33787625</v>
      </c>
      <c r="AG228" s="33" t="n">
        <f aca="false">$B$221*IF(Source_Data!AG$5-($B$222+$B$224)&gt;=1,INDEX($D$227:$BK$227,1,Source_Data!AG$5-($B$222+$B$224)),0)</f>
        <v>51.04624875</v>
      </c>
      <c r="AH228" s="33" t="n">
        <f aca="false">$B$221*IF(Source_Data!AH$5-($B$222+$B$224)&gt;=1,INDEX($D$227:$BK$227,1,Source_Data!AH$5-($B$222+$B$224)),0)</f>
        <v>51.04624875</v>
      </c>
      <c r="AI228" s="33" t="n">
        <f aca="false">$B$221*IF(Source_Data!AI$5-($B$222+$B$224)&gt;=1,INDEX($D$227:$BK$227,1,Source_Data!AI$5-($B$222+$B$224)),0)</f>
        <v>51.04624875</v>
      </c>
      <c r="AJ228" s="33" t="n">
        <f aca="false">$B$221*IF(Source_Data!AJ$5-($B$222+$B$224)&gt;=1,INDEX($D$227:$BK$227,1,Source_Data!AJ$5-($B$222+$B$224)),0)</f>
        <v>51.04624875</v>
      </c>
      <c r="AK228" s="33" t="n">
        <f aca="false">$B$221*IF(Source_Data!AK$5-($B$222+$B$224)&gt;=1,INDEX($D$227:$BK$227,1,Source_Data!AK$5-($B$222+$B$224)),0)</f>
        <v>51.04624875</v>
      </c>
      <c r="AL228" s="33" t="n">
        <f aca="false">$B$221*IF(Source_Data!AL$5-($B$222+$B$224)&gt;=1,INDEX($D$227:$BK$227,1,Source_Data!AL$5-($B$222+$B$224)),0)</f>
        <v>43.931383125</v>
      </c>
      <c r="AM228" s="33" t="n">
        <f aca="false">$B$221*IF(Source_Data!AM$5-($B$222+$B$224)&gt;=1,INDEX($D$227:$BK$227,1,Source_Data!AM$5-($B$222+$B$224)),0)</f>
        <v>36.8165175</v>
      </c>
      <c r="AN228" s="33" t="n">
        <f aca="false">$B$221*IF(Source_Data!AN$5-($B$222+$B$224)&gt;=1,INDEX($D$227:$BK$227,1,Source_Data!AN$5-($B$222+$B$224)),0)</f>
        <v>32.958555</v>
      </c>
      <c r="AO228" s="33" t="n">
        <f aca="false">$B$221*IF(Source_Data!AO$5-($B$222+$B$224)&gt;=1,INDEX($D$227:$BK$227,1,Source_Data!AO$5-($B$222+$B$224)),0)</f>
        <v>29.1005925</v>
      </c>
      <c r="AP228" s="33" t="n">
        <f aca="false">$B$221*IF(Source_Data!AP$5-($B$222+$B$224)&gt;=1,INDEX($D$227:$BK$227,1,Source_Data!AP$5-($B$222+$B$224)),0)</f>
        <v>22.8831225</v>
      </c>
      <c r="AQ228" s="33" t="n">
        <f aca="false">$B$221*IF(Source_Data!AQ$5-($B$222+$B$224)&gt;=1,INDEX($D$227:$BK$227,1,Source_Data!AQ$5-($B$222+$B$224)),0)</f>
        <v>19.2823575</v>
      </c>
      <c r="AR228" s="33" t="n">
        <f aca="false">$B$221*IF(Source_Data!AR$5-($B$222+$B$224)&gt;=1,INDEX($D$227:$BK$227,1,Source_Data!AR$5-($B$222+$B$224)),0)</f>
        <v>16.80357</v>
      </c>
      <c r="AS228" s="33" t="n">
        <f aca="false">$B$221*IF(Source_Data!AS$5-($B$222+$B$224)&gt;=1,INDEX($D$227:$BK$227,1,Source_Data!AS$5-($B$222+$B$224)),0)</f>
        <v>7.24626</v>
      </c>
      <c r="AT228" s="33" t="n">
        <f aca="false">$B$221*IF(Source_Data!AT$5-($B$222+$B$224)&gt;=1,INDEX($D$227:$BK$227,1,Source_Data!AT$5-($B$222+$B$224)),0)</f>
        <v>7.24626</v>
      </c>
      <c r="AU228" s="33" t="n">
        <f aca="false">$B$221*IF(Source_Data!AU$5-($B$222+$B$224)&gt;=1,INDEX($D$227:$BK$227,1,Source_Data!AU$5-($B$222+$B$224)),0)</f>
        <v>7.24626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339</v>
      </c>
      <c r="D229" s="33" t="n">
        <f aca="false">Source_Data!D$9+Source_Data!D$10*IF(Source_Data!$C$10=0,0,MAX(0,Inputs!$B$19*Inputs!$B$22*$B$221-Inputs!$B$20)/Source_Data!$C$10)</f>
        <v>0</v>
      </c>
      <c r="E229" s="33" t="n">
        <f aca="false">Source_Data!E$9+Source_Data!E$10*IF(Source_Data!$C$10=0,0,MAX(0,Inputs!$B$19*Inputs!$B$22*$B$221-Inputs!$B$20)/Source_Data!$C$10)</f>
        <v>0</v>
      </c>
      <c r="F229" s="33" t="n">
        <f aca="false">Source_Data!F$9+Source_Data!F$10*IF(Source_Data!$C$10=0,0,MAX(0,Inputs!$B$19*Inputs!$B$22*$B$221-Inputs!$B$20)/Source_Data!$C$10)</f>
        <v>0</v>
      </c>
      <c r="G229" s="33" t="n">
        <f aca="false">Source_Data!G$9+Source_Data!G$10*IF(Source_Data!$C$10=0,0,MAX(0,Inputs!$B$19*Inputs!$B$22*$B$221-Inputs!$B$20)/Source_Data!$C$10)</f>
        <v>85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45</v>
      </c>
      <c r="M229" s="33" t="n">
        <f aca="false">Source_Data!M$9+Source_Data!M$10*IF(Source_Data!$C$10=0,0,MAX(0,Inputs!$B$19*Inputs!$B$22*$B$221-Inputs!$B$20)/Source_Data!$C$10)</f>
        <v>45</v>
      </c>
      <c r="N229" s="33" t="n">
        <f aca="false">Source_Data!N$9+Source_Data!N$10*IF(Source_Data!$C$10=0,0,MAX(0,Inputs!$B$19*Inputs!$B$22*$B$221-Inputs!$B$20)/Source_Data!$C$10)</f>
        <v>45</v>
      </c>
      <c r="O229" s="33" t="n">
        <f aca="false">Source_Data!O$9+Source_Data!O$10*IF(Source_Data!$C$10=0,0,MAX(0,Inputs!$B$19*Inputs!$B$22*$B$221-Inputs!$B$20)/Source_Data!$C$10)</f>
        <v>45</v>
      </c>
      <c r="P229" s="33" t="n">
        <f aca="false">Source_Data!P$9+Source_Data!P$10*IF(Source_Data!$C$10=0,0,MAX(0,Inputs!$B$19*Inputs!$B$22*$B$221-Inputs!$B$20)/Source_Data!$C$10)</f>
        <v>56.25</v>
      </c>
      <c r="Q229" s="33" t="n">
        <f aca="false">Source_Data!Q$9+Source_Data!Q$10*IF(Source_Data!$C$10=0,0,MAX(0,Inputs!$B$19*Inputs!$B$22*$B$221-Inputs!$B$20)/Source_Data!$C$10)</f>
        <v>56.25</v>
      </c>
      <c r="R229" s="33" t="n">
        <f aca="false">Source_Data!R$9+Source_Data!R$10*IF(Source_Data!$C$10=0,0,MAX(0,Inputs!$B$19*Inputs!$B$22*$B$221-Inputs!$B$20)/Source_Data!$C$10)</f>
        <v>56.25</v>
      </c>
      <c r="S229" s="33" t="n">
        <f aca="false">Source_Data!S$9+Source_Data!S$10*IF(Source_Data!$C$10=0,0,MAX(0,Inputs!$B$19*Inputs!$B$22*$B$221-Inputs!$B$20)/Source_Data!$C$10)</f>
        <v>56.25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241.1916115625</v>
      </c>
      <c r="AG229" s="33" t="n">
        <f aca="false">Source_Data!AG$9+Source_Data!AG$10*IF(Source_Data!$C$10=0,0,MAX(0,Inputs!$B$19*Inputs!$B$22*$B$221-Inputs!$B$20)/Source_Data!$C$10)</f>
        <v>16.10722640625</v>
      </c>
      <c r="AH229" s="33" t="n">
        <f aca="false">Source_Data!AH$9+Source_Data!AH$10*IF(Source_Data!$C$10=0,0,MAX(0,Inputs!$B$19*Inputs!$B$22*$B$221-Inputs!$B$20)/Source_Data!$C$10)</f>
        <v>14.4193678125</v>
      </c>
      <c r="AI229" s="33" t="n">
        <f aca="false">Source_Data!AI$9+Source_Data!AI$10*IF(Source_Data!$C$10=0,0,MAX(0,Inputs!$B$19*Inputs!$B$22*$B$221-Inputs!$B$20)/Source_Data!$C$10)</f>
        <v>12.73150921875</v>
      </c>
      <c r="AJ229" s="33" t="n">
        <f aca="false">Source_Data!AJ$9+Source_Data!AJ$10*IF(Source_Data!$C$10=0,0,MAX(0,Inputs!$B$19*Inputs!$B$22*$B$221-Inputs!$B$20)/Source_Data!$C$10)</f>
        <v>10.01136609375</v>
      </c>
      <c r="AK229" s="33" t="n">
        <f aca="false">Source_Data!AK$9+Source_Data!AK$10*IF(Source_Data!$C$10=0,0,MAX(0,Inputs!$B$19*Inputs!$B$22*$B$221-Inputs!$B$20)/Source_Data!$C$10)</f>
        <v>8.43603140625001</v>
      </c>
      <c r="AL229" s="33" t="n">
        <f aca="false">Source_Data!AL$9+Source_Data!AL$10*IF(Source_Data!$C$10=0,0,MAX(0,Inputs!$B$19*Inputs!$B$22*$B$221-Inputs!$B$20)/Source_Data!$C$10)</f>
        <v>7.35156187500001</v>
      </c>
      <c r="AM229" s="33" t="n">
        <f aca="false">Source_Data!AM$9+Source_Data!AM$10*IF(Source_Data!$C$10=0,0,MAX(0,Inputs!$B$19*Inputs!$B$22*$B$221-Inputs!$B$20)/Source_Data!$C$10)</f>
        <v>3.17023875000001</v>
      </c>
      <c r="AN229" s="33" t="n">
        <f aca="false">Source_Data!AN$9+Source_Data!AN$10*IF(Source_Data!$C$10=0,0,MAX(0,Inputs!$B$19*Inputs!$B$22*$B$221-Inputs!$B$20)/Source_Data!$C$10)</f>
        <v>3.17023875000001</v>
      </c>
      <c r="AO229" s="33" t="n">
        <f aca="false">Source_Data!AO$9+Source_Data!AO$10*IF(Source_Data!$C$10=0,0,MAX(0,Inputs!$B$19*Inputs!$B$22*$B$221-Inputs!$B$20)/Source_Data!$C$10)</f>
        <v>3.17023875000001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194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0</v>
      </c>
      <c r="I230" s="33" t="n">
        <f aca="false">Source_Data!I$11*$B$223</f>
        <v>0</v>
      </c>
      <c r="J230" s="33" t="n">
        <f aca="false">Source_Data!J$11*$B$223</f>
        <v>20</v>
      </c>
      <c r="K230" s="33" t="n">
        <f aca="false">Source_Data!K$11*$B$223</f>
        <v>26.4</v>
      </c>
      <c r="L230" s="33" t="n">
        <f aca="false">Source_Data!L$11*$B$223</f>
        <v>40</v>
      </c>
      <c r="M230" s="33" t="n">
        <f aca="false">Source_Data!M$11*$B$223</f>
        <v>26.4</v>
      </c>
      <c r="N230" s="33" t="n">
        <f aca="false">Source_Data!N$11*$B$223</f>
        <v>26.4</v>
      </c>
      <c r="O230" s="33" t="n">
        <f aca="false">Source_Data!O$11*$B$223</f>
        <v>26.4</v>
      </c>
      <c r="P230" s="33" t="n">
        <f aca="false">Source_Data!P$11*$B$223</f>
        <v>5.28</v>
      </c>
      <c r="Q230" s="33" t="n">
        <f aca="false">Source_Data!Q$11*$B$223</f>
        <v>5.28</v>
      </c>
      <c r="R230" s="33" t="n">
        <f aca="false">Source_Data!R$11*$B$223</f>
        <v>120</v>
      </c>
      <c r="S230" s="33" t="n">
        <f aca="false">Source_Data!S$11*$B$223</f>
        <v>120</v>
      </c>
      <c r="T230" s="33" t="n">
        <f aca="false">Source_Data!T$11*$B$223</f>
        <v>164</v>
      </c>
      <c r="U230" s="33" t="n">
        <f aca="false">Source_Data!U$11*$B$223</f>
        <v>117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196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0</v>
      </c>
      <c r="Q231" s="33" t="n">
        <f aca="false">$B$221*IF(Source_Data!Q$5-$B$222&gt;=1,INDEX(Source_Data!$D$12:$BK$12,1,Source_Data!Q$5-$B$222),0)</f>
        <v>0</v>
      </c>
      <c r="R231" s="33" t="n">
        <f aca="false">$B$221*IF(Source_Data!R$5-$B$222&gt;=1,INDEX(Source_Data!$D$12:$BK$12,1,Source_Data!R$5-$B$222),0)</f>
        <v>14.49252</v>
      </c>
      <c r="S231" s="33" t="n">
        <f aca="false">$B$221*IF(Source_Data!S$5-$B$222&gt;=1,INDEX(Source_Data!$D$12:$BK$12,1,Source_Data!S$5-$B$222),0)</f>
        <v>14.49252</v>
      </c>
      <c r="T231" s="33" t="n">
        <f aca="false">$B$221*IF(Source_Data!T$5-$B$222&gt;=1,INDEX(Source_Data!$D$12:$BK$12,1,Source_Data!T$5-$B$222),0)</f>
        <v>12.43494</v>
      </c>
      <c r="U231" s="33" t="n">
        <f aca="false">$B$221*IF(Source_Data!U$5-$B$222&gt;=1,INDEX(Source_Data!$D$12:$BK$12,1,Source_Data!U$5-$B$222),0)</f>
        <v>7.20153</v>
      </c>
      <c r="V231" s="33" t="n">
        <f aca="false">$B$221*IF(Source_Data!V$5-$B$222&gt;=1,INDEX(Source_Data!$D$12:$BK$12,1,Source_Data!V$5-$B$222),0)</f>
        <v>7.93212</v>
      </c>
      <c r="W231" s="33" t="n">
        <f aca="false">$B$221*IF(Source_Data!W$5-$B$222&gt;=1,INDEX(Source_Data!$D$12:$BK$12,1,Source_Data!W$5-$B$222),0)</f>
        <v>7.39536</v>
      </c>
      <c r="X231" s="33" t="n">
        <f aca="false">$B$221*IF(Source_Data!X$5-$B$222&gt;=1,INDEX(Source_Data!$D$12:$BK$12,1,Source_Data!X$5-$B$222),0)</f>
        <v>7.54446</v>
      </c>
      <c r="Y231" s="33" t="n">
        <f aca="false">$B$221*IF(Source_Data!Y$5-$B$222&gt;=1,INDEX(Source_Data!$D$12:$BK$12,1,Source_Data!Y$5-$B$222),0)</f>
        <v>7.54446</v>
      </c>
      <c r="Z231" s="33" t="n">
        <f aca="false">$B$221*IF(Source_Data!Z$5-$B$222&gt;=1,INDEX(Source_Data!$D$12:$BK$12,1,Source_Data!Z$5-$B$222),0)</f>
        <v>8.23032</v>
      </c>
      <c r="AA231" s="33" t="n">
        <f aca="false">$B$221*IF(Source_Data!AA$5-$B$222&gt;=1,INDEX(Source_Data!$D$12:$BK$12,1,Source_Data!AA$5-$B$222),0)</f>
        <v>8.23032</v>
      </c>
      <c r="AB231" s="33" t="n">
        <f aca="false">$B$221*IF(Source_Data!AB$5-$B$222&gt;=1,INDEX(Source_Data!$D$12:$BK$12,1,Source_Data!AB$5-$B$222),0)</f>
        <v>5.72544</v>
      </c>
      <c r="AC231" s="33" t="n">
        <f aca="false">$B$221*IF(Source_Data!AC$5-$B$222&gt;=1,INDEX(Source_Data!$D$12:$BK$12,1,Source_Data!AC$5-$B$222),0)</f>
        <v>5.72544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215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0</v>
      </c>
      <c r="I232" s="33" t="n">
        <f aca="false">Source_Data!I$13*$B$223</f>
        <v>0</v>
      </c>
      <c r="J232" s="33" t="n">
        <f aca="false">Source_Data!J$13*$B$223</f>
        <v>3</v>
      </c>
      <c r="K232" s="33" t="n">
        <f aca="false">Source_Data!K$13*$B$223</f>
        <v>3.96</v>
      </c>
      <c r="L232" s="33" t="n">
        <f aca="false">Source_Data!L$13*$B$223</f>
        <v>6</v>
      </c>
      <c r="M232" s="33" t="n">
        <f aca="false">Source_Data!M$13*$B$223</f>
        <v>3.96</v>
      </c>
      <c r="N232" s="33" t="n">
        <f aca="false">Source_Data!N$13*$B$223</f>
        <v>3.96</v>
      </c>
      <c r="O232" s="33" t="n">
        <f aca="false">Source_Data!O$13*$B$223</f>
        <v>3.96</v>
      </c>
      <c r="P232" s="33" t="n">
        <f aca="false">Source_Data!P$13*$B$223</f>
        <v>0.792</v>
      </c>
      <c r="Q232" s="33" t="n">
        <f aca="false">Source_Data!Q$13*$B$223</f>
        <v>0.792</v>
      </c>
      <c r="R232" s="33" t="n">
        <f aca="false">Source_Data!R$13*$B$223</f>
        <v>18</v>
      </c>
      <c r="S232" s="33" t="n">
        <f aca="false">Source_Data!S$13*$B$223</f>
        <v>18</v>
      </c>
      <c r="T232" s="33" t="n">
        <f aca="false">Source_Data!T$13*$B$223</f>
        <v>24.6</v>
      </c>
      <c r="U232" s="33" t="n">
        <f aca="false">Source_Data!U$13*$B$223</f>
        <v>17.55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216</v>
      </c>
      <c r="D233" s="33" t="n">
        <f aca="false">D228-D229-D230-D231-D232</f>
        <v>0</v>
      </c>
      <c r="E233" s="33" t="n">
        <f aca="false">E228-E229-E230-E231-E232</f>
        <v>0</v>
      </c>
      <c r="F233" s="33" t="n">
        <f aca="false">F228-F229-F230-F231-F232</f>
        <v>0</v>
      </c>
      <c r="G233" s="33" t="n">
        <f aca="false">G228-G229-G230-G231-G232</f>
        <v>-85</v>
      </c>
      <c r="H233" s="33" t="n">
        <f aca="false">H228-H229-H230-H231-H232</f>
        <v>-22.5</v>
      </c>
      <c r="I233" s="33" t="n">
        <f aca="false">I228-I229-I230-I231-I232</f>
        <v>-22.5</v>
      </c>
      <c r="J233" s="33" t="n">
        <f aca="false">J228-J229-J230-J231-J232</f>
        <v>-45.5</v>
      </c>
      <c r="K233" s="33" t="n">
        <f aca="false">K228-K229-K230-K231-K232</f>
        <v>-52.86</v>
      </c>
      <c r="L233" s="33" t="n">
        <f aca="false">L228-L229-L230-L231-L232</f>
        <v>-91</v>
      </c>
      <c r="M233" s="33" t="n">
        <f aca="false">M228-M229-M230-M231-M232</f>
        <v>-75.36</v>
      </c>
      <c r="N233" s="33" t="n">
        <f aca="false">N228-N229-N230-N231-N232</f>
        <v>-57.24435</v>
      </c>
      <c r="O233" s="33" t="n">
        <f aca="false">O228-O229-O230-O231-O232</f>
        <v>-39.1287</v>
      </c>
      <c r="P233" s="33" t="n">
        <f aca="false">P228-P229-P230-P231-P232</f>
        <v>-4.061175</v>
      </c>
      <c r="Q233" s="33" t="n">
        <f aca="false">Q228-Q229-Q230-Q231-Q232</f>
        <v>6.69639</v>
      </c>
      <c r="R233" s="33" t="n">
        <f aca="false">R228-R229-R230-R231-R232</f>
        <v>-141.654975</v>
      </c>
      <c r="S233" s="33" t="n">
        <f aca="false">S228-S229-S230-S231-S232</f>
        <v>-135.7692525</v>
      </c>
      <c r="T233" s="33" t="n">
        <f aca="false">T228-T229-T230-T231-T232</f>
        <v>-157.163885</v>
      </c>
      <c r="U233" s="33" t="n">
        <f aca="false">U228-U229-U230-U231-U232</f>
        <v>-81.144</v>
      </c>
      <c r="V233" s="33" t="n">
        <f aca="false">V228-V229-V230-V231-V232</f>
        <v>62.32031625</v>
      </c>
      <c r="W233" s="33" t="n">
        <f aca="false">W228-W229-W230-W231-W232</f>
        <v>72.5019825</v>
      </c>
      <c r="X233" s="33" t="n">
        <f aca="false">X228-X229-X230-X231-X232</f>
        <v>653.0460075</v>
      </c>
      <c r="Y233" s="33" t="n">
        <f aca="false">Y228-Y229-Y230-Y231-Y232</f>
        <v>141.5957325</v>
      </c>
      <c r="Z233" s="33" t="n">
        <f aca="false">Z228-Z229-Z230-Z231-Z232</f>
        <v>81.8662724999999</v>
      </c>
      <c r="AA233" s="33" t="n">
        <f aca="false">AA228-AA229-AA230-AA231-AA232</f>
        <v>58.6066725</v>
      </c>
      <c r="AB233" s="33" t="n">
        <f aca="false">AB228-AB229-AB230-AB231-AB232</f>
        <v>81.7999875</v>
      </c>
      <c r="AC233" s="33" t="n">
        <f aca="false">AC228-AC229-AC230-AC231-AC232</f>
        <v>79.9884225</v>
      </c>
      <c r="AD233" s="33" t="n">
        <f aca="false">AD228-AD229-AD230-AD231-AD232</f>
        <v>77.279461875</v>
      </c>
      <c r="AE233" s="33" t="n">
        <f aca="false">AE228-AE229-AE230-AE231-AE232</f>
        <v>70.15341375</v>
      </c>
      <c r="AF233" s="33" t="n">
        <f aca="false">AF228-AF229-AF230-AF231-AF232</f>
        <v>-179.8537353125</v>
      </c>
      <c r="AG233" s="33" t="n">
        <f aca="false">AG228-AG229-AG230-AG231-AG232</f>
        <v>34.93902234375</v>
      </c>
      <c r="AH233" s="33" t="n">
        <f aca="false">AH228-AH229-AH230-AH231-AH232</f>
        <v>36.6268809375</v>
      </c>
      <c r="AI233" s="33" t="n">
        <f aca="false">AI228-AI229-AI230-AI231-AI232</f>
        <v>38.31473953125</v>
      </c>
      <c r="AJ233" s="33" t="n">
        <f aca="false">AJ228-AJ229-AJ230-AJ231-AJ232</f>
        <v>41.03488265625</v>
      </c>
      <c r="AK233" s="33" t="n">
        <f aca="false">AK228-AK229-AK230-AK231-AK232</f>
        <v>42.61021734375</v>
      </c>
      <c r="AL233" s="33" t="n">
        <f aca="false">AL228-AL229-AL230-AL231-AL232</f>
        <v>36.57982125</v>
      </c>
      <c r="AM233" s="33" t="n">
        <f aca="false">AM228-AM229-AM230-AM231-AM232</f>
        <v>33.64627875</v>
      </c>
      <c r="AN233" s="33" t="n">
        <f aca="false">AN228-AN229-AN230-AN231-AN232</f>
        <v>29.78831625</v>
      </c>
      <c r="AO233" s="33" t="n">
        <f aca="false">AO228-AO229-AO230-AO231-AO232</f>
        <v>25.93035375</v>
      </c>
      <c r="AP233" s="33" t="n">
        <f aca="false">AP228-AP229-AP230-AP231-AP232</f>
        <v>22.8831225</v>
      </c>
      <c r="AQ233" s="33" t="n">
        <f aca="false">AQ228-AQ229-AQ230-AQ231-AQ232</f>
        <v>19.2823575</v>
      </c>
      <c r="AR233" s="33" t="n">
        <f aca="false">AR228-AR229-AR230-AR231-AR232</f>
        <v>16.80357</v>
      </c>
      <c r="AS233" s="33" t="n">
        <f aca="false">AS228-AS229-AS230-AS231-AS232</f>
        <v>7.24626</v>
      </c>
      <c r="AT233" s="33" t="n">
        <f aca="false">AT228-AT229-AT230-AT231-AT232</f>
        <v>7.24626</v>
      </c>
      <c r="AU233" s="33" t="n">
        <f aca="false">AU228-AU229-AU230-AU231-AU232</f>
        <v>7.24626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217</v>
      </c>
      <c r="D234" s="33" t="n">
        <f aca="false">D233</f>
        <v>0</v>
      </c>
      <c r="E234" s="33" t="n">
        <f aca="false">D234+E233</f>
        <v>0</v>
      </c>
      <c r="F234" s="33" t="n">
        <f aca="false">E234+F233</f>
        <v>0</v>
      </c>
      <c r="G234" s="33" t="n">
        <f aca="false">F234+G233</f>
        <v>-85</v>
      </c>
      <c r="H234" s="33" t="n">
        <f aca="false">G234+H233</f>
        <v>-107.5</v>
      </c>
      <c r="I234" s="33" t="n">
        <f aca="false">H234+I233</f>
        <v>-130</v>
      </c>
      <c r="J234" s="33" t="n">
        <f aca="false">I234+J233</f>
        <v>-175.5</v>
      </c>
      <c r="K234" s="33" t="n">
        <f aca="false">J234+K233</f>
        <v>-228.36</v>
      </c>
      <c r="L234" s="33" t="n">
        <f aca="false">K234+L233</f>
        <v>-319.36</v>
      </c>
      <c r="M234" s="33" t="n">
        <f aca="false">L234+M233</f>
        <v>-394.72</v>
      </c>
      <c r="N234" s="33" t="n">
        <f aca="false">M234+N233</f>
        <v>-451.96435</v>
      </c>
      <c r="O234" s="33" t="n">
        <f aca="false">N234+O233</f>
        <v>-491.09305</v>
      </c>
      <c r="P234" s="33" t="n">
        <f aca="false">O234+P233</f>
        <v>-495.154225</v>
      </c>
      <c r="Q234" s="33" t="n">
        <f aca="false">P234+Q233</f>
        <v>-488.457835</v>
      </c>
      <c r="R234" s="33" t="n">
        <f aca="false">Q234+R233</f>
        <v>-630.11281</v>
      </c>
      <c r="S234" s="33" t="n">
        <f aca="false">R234+S233</f>
        <v>-765.8820625</v>
      </c>
      <c r="T234" s="33" t="n">
        <f aca="false">S234+T233</f>
        <v>-923.0459475</v>
      </c>
      <c r="U234" s="33" t="n">
        <f aca="false">T234+U233</f>
        <v>-1004.1899475</v>
      </c>
      <c r="V234" s="33" t="n">
        <f aca="false">U234+V233</f>
        <v>-941.86963125</v>
      </c>
      <c r="W234" s="33" t="n">
        <f aca="false">V234+W233</f>
        <v>-869.36764875</v>
      </c>
      <c r="X234" s="33" t="n">
        <f aca="false">W234+X233</f>
        <v>-216.32164125</v>
      </c>
      <c r="Y234" s="33" t="n">
        <f aca="false">X234+Y233</f>
        <v>-74.7259087500001</v>
      </c>
      <c r="Z234" s="33" t="n">
        <f aca="false">Y234+Z233</f>
        <v>7.14036374999981</v>
      </c>
      <c r="AA234" s="33" t="n">
        <f aca="false">Z234+AA233</f>
        <v>65.7470362499998</v>
      </c>
      <c r="AB234" s="33" t="n">
        <f aca="false">AA234+AB233</f>
        <v>147.54702375</v>
      </c>
      <c r="AC234" s="33" t="n">
        <f aca="false">AB234+AC233</f>
        <v>227.53544625</v>
      </c>
      <c r="AD234" s="33" t="n">
        <f aca="false">AC234+AD233</f>
        <v>304.814908125</v>
      </c>
      <c r="AE234" s="33" t="n">
        <f aca="false">AD234+AE233</f>
        <v>374.968321875</v>
      </c>
      <c r="AF234" s="33" t="n">
        <f aca="false">AE234+AF233</f>
        <v>195.1145865625</v>
      </c>
      <c r="AG234" s="33" t="n">
        <f aca="false">AF234+AG233</f>
        <v>230.05360890625</v>
      </c>
      <c r="AH234" s="33" t="n">
        <f aca="false">AG234+AH233</f>
        <v>266.68048984375</v>
      </c>
      <c r="AI234" s="33" t="n">
        <f aca="false">AH234+AI233</f>
        <v>304.995229375</v>
      </c>
      <c r="AJ234" s="33" t="n">
        <f aca="false">AI234+AJ233</f>
        <v>346.03011203125</v>
      </c>
      <c r="AK234" s="33" t="n">
        <f aca="false">AJ234+AK233</f>
        <v>388.640329375</v>
      </c>
      <c r="AL234" s="33" t="n">
        <f aca="false">AK234+AL233</f>
        <v>425.220150625</v>
      </c>
      <c r="AM234" s="33" t="n">
        <f aca="false">AL234+AM233</f>
        <v>458.866429375</v>
      </c>
      <c r="AN234" s="33" t="n">
        <f aca="false">AM234+AN233</f>
        <v>488.654745625</v>
      </c>
      <c r="AO234" s="33" t="n">
        <f aca="false">AN234+AO233</f>
        <v>514.585099375</v>
      </c>
      <c r="AP234" s="33" t="n">
        <f aca="false">AO234+AP233</f>
        <v>537.468221875</v>
      </c>
      <c r="AQ234" s="33" t="n">
        <f aca="false">AP234+AQ233</f>
        <v>556.750579375</v>
      </c>
      <c r="AR234" s="33" t="n">
        <f aca="false">AQ234+AR233</f>
        <v>573.554149375</v>
      </c>
      <c r="AS234" s="33" t="n">
        <f aca="false">AR234+AS233</f>
        <v>580.800409375</v>
      </c>
      <c r="AT234" s="33" t="n">
        <f aca="false">AS234+AT233</f>
        <v>588.046669375</v>
      </c>
      <c r="AU234" s="33" t="n">
        <f aca="false">AT234+AU233</f>
        <v>595.292929375</v>
      </c>
      <c r="AV234" s="33" t="n">
        <f aca="false">AU234+AV233</f>
        <v>595.292929375</v>
      </c>
      <c r="AW234" s="33" t="n">
        <f aca="false">AV234+AW233</f>
        <v>595.292929375</v>
      </c>
      <c r="AX234" s="33" t="n">
        <f aca="false">AW234+AX233</f>
        <v>595.292929375</v>
      </c>
      <c r="AY234" s="33" t="n">
        <f aca="false">AX234+AY233</f>
        <v>595.292929375</v>
      </c>
      <c r="AZ234" s="33" t="n">
        <f aca="false">AY234+AZ233</f>
        <v>595.292929375</v>
      </c>
      <c r="BA234" s="33" t="n">
        <f aca="false">AZ234+BA233</f>
        <v>595.292929375</v>
      </c>
      <c r="BB234" s="33" t="n">
        <f aca="false">BA234+BB233</f>
        <v>595.292929375</v>
      </c>
      <c r="BC234" s="33" t="n">
        <f aca="false">BB234+BC233</f>
        <v>595.292929375</v>
      </c>
      <c r="BD234" s="33" t="n">
        <f aca="false">BC234+BD233</f>
        <v>595.292929375</v>
      </c>
      <c r="BE234" s="33" t="n">
        <f aca="false">BD234+BE233</f>
        <v>595.292929375</v>
      </c>
      <c r="BF234" s="33" t="n">
        <f aca="false">BE234+BF233</f>
        <v>595.292929375</v>
      </c>
      <c r="BG234" s="33" t="n">
        <f aca="false">BF234+BG233</f>
        <v>595.292929375</v>
      </c>
      <c r="BH234" s="33" t="n">
        <f aca="false">BG234+BH233</f>
        <v>595.292929375</v>
      </c>
      <c r="BI234" s="33" t="n">
        <f aca="false">BH234+BI233</f>
        <v>595.292929375</v>
      </c>
      <c r="BJ234" s="33" t="n">
        <f aca="false">BI234+BJ233</f>
        <v>595.292929375</v>
      </c>
      <c r="BK234" s="33" t="n">
        <f aca="false">BJ234+BK233</f>
        <v>595.292929375</v>
      </c>
    </row>
    <row r="235" customFormat="false" ht="15" hidden="false" customHeight="false" outlineLevel="0" collapsed="false">
      <c r="A235" s="3" t="s">
        <v>340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-50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0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0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35.9259259259259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35.9259259259259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35.9259259259259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35.9259259259259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341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0</v>
      </c>
      <c r="N236" s="33" t="n">
        <f aca="false">IF(AND(Source_Data!N$6&gt;=Inputs!$B$54,Source_Data!N$6&lt;Inputs!$B$54+3*Inputs!$B$11),Inputs!$B$9*Inputs!$B$7/Inputs!$B$11,0)</f>
        <v>0</v>
      </c>
      <c r="O236" s="33" t="n">
        <f aca="false">IF(AND(Source_Data!O$6&gt;=Inputs!$B$54,Source_Data!O$6&lt;Inputs!$B$54+3*Inputs!$B$11),Inputs!$B$9*Inputs!$B$7/Inputs!$B$11,0)</f>
        <v>0</v>
      </c>
      <c r="P236" s="33" t="n">
        <f aca="false">IF(AND(Source_Data!P$6&gt;=Inputs!$B$54,Source_Data!P$6&lt;Inputs!$B$54+3*Inputs!$B$11),Inputs!$B$9*Inputs!$B$7/Inputs!$B$11,0)</f>
        <v>9.58333333333333</v>
      </c>
      <c r="Q236" s="33" t="n">
        <f aca="false">IF(AND(Source_Data!Q$6&gt;=Inputs!$B$54,Source_Data!Q$6&lt;Inputs!$B$54+3*Inputs!$B$11),Inputs!$B$9*Inputs!$B$7/Inputs!$B$11,0)</f>
        <v>9.58333333333333</v>
      </c>
      <c r="R236" s="33" t="n">
        <f aca="false">IF(AND(Source_Data!R$6&gt;=Inputs!$B$54,Source_Data!R$6&lt;Inputs!$B$54+3*Inputs!$B$11),Inputs!$B$9*Inputs!$B$7/Inputs!$B$11,0)</f>
        <v>9.58333333333333</v>
      </c>
      <c r="S236" s="33" t="n">
        <f aca="false">IF(AND(Source_Data!S$6&gt;=Inputs!$B$54,Source_Data!S$6&lt;Inputs!$B$54+3*Inputs!$B$11),Inputs!$B$9*Inputs!$B$7/Inputs!$B$11,0)</f>
        <v>9.58333333333333</v>
      </c>
      <c r="T236" s="33" t="n">
        <f aca="false">IF(AND(Source_Data!T$6&gt;=Inputs!$B$54,Source_Data!T$6&lt;Inputs!$B$54+3*Inputs!$B$11),Inputs!$B$9*Inputs!$B$7/Inputs!$B$11,0)</f>
        <v>9.58333333333333</v>
      </c>
      <c r="U236" s="33" t="n">
        <f aca="false">IF(AND(Source_Data!U$6&gt;=Inputs!$B$54,Source_Data!U$6&lt;Inputs!$B$54+3*Inputs!$B$11),Inputs!$B$9*Inputs!$B$7/Inputs!$B$11,0)</f>
        <v>9.58333333333333</v>
      </c>
      <c r="V236" s="33" t="n">
        <f aca="false">IF(AND(Source_Data!V$6&gt;=Inputs!$B$54,Source_Data!V$6&lt;Inputs!$B$54+3*Inputs!$B$11),Inputs!$B$9*Inputs!$B$7/Inputs!$B$11,0)</f>
        <v>9.58333333333333</v>
      </c>
      <c r="W236" s="33" t="n">
        <f aca="false">IF(AND(Source_Data!W$6&gt;=Inputs!$B$54,Source_Data!W$6&lt;Inputs!$B$54+3*Inputs!$B$11),Inputs!$B$9*Inputs!$B$7/Inputs!$B$11,0)</f>
        <v>9.58333333333333</v>
      </c>
      <c r="X236" s="33" t="n">
        <f aca="false">IF(AND(Source_Data!X$6&gt;=Inputs!$B$54,Source_Data!X$6&lt;Inputs!$B$54+3*Inputs!$B$11),Inputs!$B$9*Inputs!$B$7/Inputs!$B$11,0)</f>
        <v>9.58333333333333</v>
      </c>
      <c r="Y236" s="33" t="n">
        <f aca="false">IF(AND(Source_Data!Y$6&gt;=Inputs!$B$54,Source_Data!Y$6&lt;Inputs!$B$54+3*Inputs!$B$11),Inputs!$B$9*Inputs!$B$7/Inputs!$B$11,0)</f>
        <v>9.58333333333333</v>
      </c>
      <c r="Z236" s="33" t="n">
        <f aca="false">IF(AND(Source_Data!Z$6&gt;=Inputs!$B$54,Source_Data!Z$6&lt;Inputs!$B$54+3*Inputs!$B$11),Inputs!$B$9*Inputs!$B$7/Inputs!$B$11,0)</f>
        <v>9.58333333333333</v>
      </c>
      <c r="AA236" s="33" t="n">
        <f aca="false">IF(AND(Source_Data!AA$6&gt;=Inputs!$B$54,Source_Data!AA$6&lt;Inputs!$B$54+3*Inputs!$B$11),Inputs!$B$9*Inputs!$B$7/Inputs!$B$11,0)</f>
        <v>9.58333333333333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342</v>
      </c>
      <c r="D237" s="33" t="n">
        <f aca="false">IF(Source_Data!D$6=Inputs!$B$12,-Inputs!$B$7,0)+D236</f>
        <v>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-50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0</v>
      </c>
      <c r="N237" s="33" t="n">
        <f aca="false">IF(Source_Data!N$6=Inputs!$B$12,-Inputs!$B$7,0)+N236</f>
        <v>0</v>
      </c>
      <c r="O237" s="33" t="n">
        <f aca="false">IF(Source_Data!O$6=Inputs!$B$12,-Inputs!$B$7,0)+O236</f>
        <v>0</v>
      </c>
      <c r="P237" s="33" t="n">
        <f aca="false">IF(Source_Data!P$6=Inputs!$B$12,-Inputs!$B$7,0)+P236</f>
        <v>9.58333333333333</v>
      </c>
      <c r="Q237" s="33" t="n">
        <f aca="false">IF(Source_Data!Q$6=Inputs!$B$12,-Inputs!$B$7,0)+Q236</f>
        <v>9.58333333333333</v>
      </c>
      <c r="R237" s="33" t="n">
        <f aca="false">IF(Source_Data!R$6=Inputs!$B$12,-Inputs!$B$7,0)+R236</f>
        <v>9.58333333333333</v>
      </c>
      <c r="S237" s="33" t="n">
        <f aca="false">IF(Source_Data!S$6=Inputs!$B$12,-Inputs!$B$7,0)+S236</f>
        <v>9.58333333333333</v>
      </c>
      <c r="T237" s="33" t="n">
        <f aca="false">IF(Source_Data!T$6=Inputs!$B$12,-Inputs!$B$7,0)+T236</f>
        <v>9.58333333333333</v>
      </c>
      <c r="U237" s="33" t="n">
        <f aca="false">IF(Source_Data!U$6=Inputs!$B$12,-Inputs!$B$7,0)+U236</f>
        <v>9.58333333333333</v>
      </c>
      <c r="V237" s="33" t="n">
        <f aca="false">IF(Source_Data!V$6=Inputs!$B$12,-Inputs!$B$7,0)+V236</f>
        <v>9.58333333333333</v>
      </c>
      <c r="W237" s="33" t="n">
        <f aca="false">IF(Source_Data!W$6=Inputs!$B$12,-Inputs!$B$7,0)+W236</f>
        <v>9.58333333333333</v>
      </c>
      <c r="X237" s="33" t="n">
        <f aca="false">IF(Source_Data!X$6=Inputs!$B$12,-Inputs!$B$7,0)+X236</f>
        <v>9.58333333333333</v>
      </c>
      <c r="Y237" s="33" t="n">
        <f aca="false">IF(Source_Data!Y$6=Inputs!$B$12,-Inputs!$B$7,0)+Y236</f>
        <v>9.58333333333333</v>
      </c>
      <c r="Z237" s="33" t="n">
        <f aca="false">IF(Source_Data!Z$6=Inputs!$B$12,-Inputs!$B$7,0)+Z236</f>
        <v>9.58333333333333</v>
      </c>
      <c r="AA237" s="33" t="n">
        <f aca="false">IF(Source_Data!AA$6=Inputs!$B$12,-Inputs!$B$7,0)+AA236</f>
        <v>9.58333333333333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343</v>
      </c>
      <c r="D238" s="33" t="n">
        <f aca="false">IF(Source_Data!D$6=Inputs!$B$12,Inputs!$B$7,0)+D233-D236</f>
        <v>0</v>
      </c>
      <c r="E238" s="33" t="n">
        <f aca="false">D238+IF(Source_Data!E$6=Inputs!$B$12,Inputs!$B$7,0)+E233-E236</f>
        <v>0</v>
      </c>
      <c r="F238" s="33" t="n">
        <f aca="false">E238+IF(Source_Data!F$6=Inputs!$B$12,Inputs!$B$7,0)+F233-F236</f>
        <v>0</v>
      </c>
      <c r="G238" s="33" t="n">
        <f aca="false">F238+IF(Source_Data!G$6=Inputs!$B$12,Inputs!$B$7,0)+G233-G236</f>
        <v>-35</v>
      </c>
      <c r="H238" s="33" t="n">
        <f aca="false">G238+IF(Source_Data!H$6=Inputs!$B$12,Inputs!$B$7,0)+H233-H236</f>
        <v>-57.5</v>
      </c>
      <c r="I238" s="33" t="n">
        <f aca="false">H238+IF(Source_Data!I$6=Inputs!$B$12,Inputs!$B$7,0)+I233-I236</f>
        <v>-80</v>
      </c>
      <c r="J238" s="33" t="n">
        <f aca="false">I238+IF(Source_Data!J$6=Inputs!$B$12,Inputs!$B$7,0)+J233-J236</f>
        <v>-125.5</v>
      </c>
      <c r="K238" s="33" t="n">
        <f aca="false">J238+IF(Source_Data!K$6=Inputs!$B$12,Inputs!$B$7,0)+K233-K236</f>
        <v>-178.36</v>
      </c>
      <c r="L238" s="33" t="n">
        <f aca="false">K238+IF(Source_Data!L$6=Inputs!$B$12,Inputs!$B$7,0)+L233-L236</f>
        <v>-269.36</v>
      </c>
      <c r="M238" s="33" t="n">
        <f aca="false">L238+IF(Source_Data!M$6=Inputs!$B$12,Inputs!$B$7,0)+M233-M236</f>
        <v>-344.72</v>
      </c>
      <c r="N238" s="33" t="n">
        <f aca="false">M238+IF(Source_Data!N$6=Inputs!$B$12,Inputs!$B$7,0)+N233-N236</f>
        <v>-401.96435</v>
      </c>
      <c r="O238" s="33" t="n">
        <f aca="false">N238+IF(Source_Data!O$6=Inputs!$B$12,Inputs!$B$7,0)+O233-O236</f>
        <v>-441.09305</v>
      </c>
      <c r="P238" s="33" t="n">
        <f aca="false">O238+IF(Source_Data!P$6=Inputs!$B$12,Inputs!$B$7,0)+P233-P236</f>
        <v>-454.737558333333</v>
      </c>
      <c r="Q238" s="33" t="n">
        <f aca="false">P238+IF(Source_Data!Q$6=Inputs!$B$12,Inputs!$B$7,0)+Q233-Q236</f>
        <v>-457.624501666667</v>
      </c>
      <c r="R238" s="33" t="n">
        <f aca="false">Q238+IF(Source_Data!R$6=Inputs!$B$12,Inputs!$B$7,0)+R233-R236</f>
        <v>-608.86281</v>
      </c>
      <c r="S238" s="33" t="n">
        <f aca="false">R238+IF(Source_Data!S$6=Inputs!$B$12,Inputs!$B$7,0)+S233-S236</f>
        <v>-754.215395833333</v>
      </c>
      <c r="T238" s="33" t="n">
        <f aca="false">S238+IF(Source_Data!T$6=Inputs!$B$12,Inputs!$B$7,0)+T233-T236</f>
        <v>-920.962614166667</v>
      </c>
      <c r="U238" s="33" t="n">
        <f aca="false">T238+IF(Source_Data!U$6=Inputs!$B$12,Inputs!$B$7,0)+U233-U236</f>
        <v>-1011.6899475</v>
      </c>
      <c r="V238" s="33" t="n">
        <f aca="false">U238+IF(Source_Data!V$6=Inputs!$B$12,Inputs!$B$7,0)+V233-V236</f>
        <v>-958.952964583333</v>
      </c>
      <c r="W238" s="33" t="n">
        <f aca="false">V238+IF(Source_Data!W$6=Inputs!$B$12,Inputs!$B$7,0)+W233-W236</f>
        <v>-896.034315416667</v>
      </c>
      <c r="X238" s="33" t="n">
        <f aca="false">W238+IF(Source_Data!X$6=Inputs!$B$12,Inputs!$B$7,0)+X233-X236</f>
        <v>-252.57164125</v>
      </c>
      <c r="Y238" s="33" t="n">
        <f aca="false">X238+IF(Source_Data!Y$6=Inputs!$B$12,Inputs!$B$7,0)+Y233-Y236</f>
        <v>-120.559242083334</v>
      </c>
      <c r="Z238" s="33" t="n">
        <f aca="false">Y238+IF(Source_Data!Z$6=Inputs!$B$12,Inputs!$B$7,0)+Z233-Z236</f>
        <v>-48.2763029166671</v>
      </c>
      <c r="AA238" s="33" t="n">
        <f aca="false">Z238+IF(Source_Data!AA$6=Inputs!$B$12,Inputs!$B$7,0)+AA233-AA236</f>
        <v>0.747036249999571</v>
      </c>
      <c r="AB238" s="33" t="n">
        <f aca="false">AA238+IF(Source_Data!AB$6=Inputs!$B$12,Inputs!$B$7,0)+AB233-AB236</f>
        <v>82.5470237499995</v>
      </c>
      <c r="AC238" s="33" t="n">
        <f aca="false">AB238+IF(Source_Data!AC$6=Inputs!$B$12,Inputs!$B$7,0)+AC233-AC236</f>
        <v>162.53544625</v>
      </c>
      <c r="AD238" s="33" t="n">
        <f aca="false">AC238+IF(Source_Data!AD$6=Inputs!$B$12,Inputs!$B$7,0)+AD233-AD236</f>
        <v>239.814908124999</v>
      </c>
      <c r="AE238" s="33" t="n">
        <f aca="false">AD238+IF(Source_Data!AE$6=Inputs!$B$12,Inputs!$B$7,0)+AE233-AE236</f>
        <v>309.968321875</v>
      </c>
      <c r="AF238" s="33" t="n">
        <f aca="false">AE238+IF(Source_Data!AF$6=Inputs!$B$12,Inputs!$B$7,0)+AF233-AF236</f>
        <v>130.1145865625</v>
      </c>
      <c r="AG238" s="33" t="n">
        <f aca="false">AF238+IF(Source_Data!AG$6=Inputs!$B$12,Inputs!$B$7,0)+AG233-AG236</f>
        <v>165.05360890625</v>
      </c>
      <c r="AH238" s="33" t="n">
        <f aca="false">AG238+IF(Source_Data!AH$6=Inputs!$B$12,Inputs!$B$7,0)+AH233-AH236</f>
        <v>201.68048984375</v>
      </c>
      <c r="AI238" s="33" t="n">
        <f aca="false">AH238+IF(Source_Data!AI$6=Inputs!$B$12,Inputs!$B$7,0)+AI233-AI236</f>
        <v>239.995229375</v>
      </c>
      <c r="AJ238" s="33" t="n">
        <f aca="false">AI238+IF(Source_Data!AJ$6=Inputs!$B$12,Inputs!$B$7,0)+AJ233-AJ236</f>
        <v>281.03011203125</v>
      </c>
      <c r="AK238" s="33" t="n">
        <f aca="false">AJ238+IF(Source_Data!AK$6=Inputs!$B$12,Inputs!$B$7,0)+AK233-AK236</f>
        <v>323.640329375</v>
      </c>
      <c r="AL238" s="33" t="n">
        <f aca="false">AK238+IF(Source_Data!AL$6=Inputs!$B$12,Inputs!$B$7,0)+AL233-AL236</f>
        <v>360.220150625</v>
      </c>
      <c r="AM238" s="33" t="n">
        <f aca="false">AL238+IF(Source_Data!AM$6=Inputs!$B$12,Inputs!$B$7,0)+AM233-AM236</f>
        <v>393.866429375</v>
      </c>
      <c r="AN238" s="33" t="n">
        <f aca="false">AM238+IF(Source_Data!AN$6=Inputs!$B$12,Inputs!$B$7,0)+AN233-AN236</f>
        <v>423.654745625</v>
      </c>
      <c r="AO238" s="33" t="n">
        <f aca="false">AN238+IF(Source_Data!AO$6=Inputs!$B$12,Inputs!$B$7,0)+AO233-AO236</f>
        <v>449.585099375</v>
      </c>
      <c r="AP238" s="33" t="n">
        <f aca="false">AO238+IF(Source_Data!AP$6=Inputs!$B$12,Inputs!$B$7,0)+AP233-AP236</f>
        <v>472.468221875</v>
      </c>
      <c r="AQ238" s="33" t="n">
        <f aca="false">AP238+IF(Source_Data!AQ$6=Inputs!$B$12,Inputs!$B$7,0)+AQ233-AQ236</f>
        <v>491.750579375</v>
      </c>
      <c r="AR238" s="33" t="n">
        <f aca="false">AQ238+IF(Source_Data!AR$6=Inputs!$B$12,Inputs!$B$7,0)+AR233-AR236</f>
        <v>508.554149375</v>
      </c>
      <c r="AS238" s="33" t="n">
        <f aca="false">AR238+IF(Source_Data!AS$6=Inputs!$B$12,Inputs!$B$7,0)+AS233-AS236</f>
        <v>515.800409375</v>
      </c>
      <c r="AT238" s="33" t="n">
        <f aca="false">AS238+IF(Source_Data!AT$6=Inputs!$B$12,Inputs!$B$7,0)+AT233-AT236</f>
        <v>523.046669375</v>
      </c>
      <c r="AU238" s="33" t="n">
        <f aca="false">AT238+IF(Source_Data!AU$6=Inputs!$B$12,Inputs!$B$7,0)+AU233-AU236</f>
        <v>530.292929375</v>
      </c>
      <c r="AV238" s="33" t="n">
        <f aca="false">AU238+IF(Source_Data!AV$6=Inputs!$B$12,Inputs!$B$7,0)+AV233-AV236</f>
        <v>530.292929375</v>
      </c>
      <c r="AW238" s="33" t="n">
        <f aca="false">AV238+IF(Source_Data!AW$6=Inputs!$B$12,Inputs!$B$7,0)+AW233-AW236</f>
        <v>530.292929375</v>
      </c>
      <c r="AX238" s="33" t="n">
        <f aca="false">AW238+IF(Source_Data!AX$6=Inputs!$B$12,Inputs!$B$7,0)+AX233-AX236</f>
        <v>530.292929375</v>
      </c>
      <c r="AY238" s="33" t="n">
        <f aca="false">AX238+IF(Source_Data!AY$6=Inputs!$B$12,Inputs!$B$7,0)+AY233-AY236</f>
        <v>530.292929375</v>
      </c>
      <c r="AZ238" s="33" t="n">
        <f aca="false">AY238+IF(Source_Data!AZ$6=Inputs!$B$12,Inputs!$B$7,0)+AZ233-AZ236</f>
        <v>530.292929375</v>
      </c>
      <c r="BA238" s="33" t="n">
        <f aca="false">AZ238+IF(Source_Data!BA$6=Inputs!$B$12,Inputs!$B$7,0)+BA233-BA236</f>
        <v>530.292929375</v>
      </c>
      <c r="BB238" s="33" t="n">
        <f aca="false">BA238+IF(Source_Data!BB$6=Inputs!$B$12,Inputs!$B$7,0)+BB233-BB236</f>
        <v>530.292929375</v>
      </c>
      <c r="BC238" s="33" t="n">
        <f aca="false">BB238+IF(Source_Data!BC$6=Inputs!$B$12,Inputs!$B$7,0)+BC233-BC236</f>
        <v>530.292929375</v>
      </c>
      <c r="BD238" s="33" t="n">
        <f aca="false">BC238+IF(Source_Data!BD$6=Inputs!$B$12,Inputs!$B$7,0)+BD233-BD236</f>
        <v>530.292929375</v>
      </c>
      <c r="BE238" s="33" t="n">
        <f aca="false">BD238+IF(Source_Data!BE$6=Inputs!$B$12,Inputs!$B$7,0)+BE233-BE236</f>
        <v>530.292929375</v>
      </c>
      <c r="BF238" s="33" t="n">
        <f aca="false">BE238+IF(Source_Data!BF$6=Inputs!$B$12,Inputs!$B$7,0)+BF233-BF236</f>
        <v>530.292929375</v>
      </c>
      <c r="BG238" s="33" t="n">
        <f aca="false">BF238+IF(Source_Data!BG$6=Inputs!$B$12,Inputs!$B$7,0)+BG233-BG236</f>
        <v>530.292929375</v>
      </c>
      <c r="BH238" s="33" t="n">
        <f aca="false">BG238+IF(Source_Data!BH$6=Inputs!$B$12,Inputs!$B$7,0)+BH233-BH236</f>
        <v>530.292929375</v>
      </c>
      <c r="BI238" s="33" t="n">
        <f aca="false">BH238+IF(Source_Data!BI$6=Inputs!$B$12,Inputs!$B$7,0)+BI233-BI236</f>
        <v>530.292929375</v>
      </c>
      <c r="BJ238" s="33" t="n">
        <f aca="false">BI238+IF(Source_Data!BJ$6=Inputs!$B$12,Inputs!$B$7,0)+BJ233-BJ236</f>
        <v>530.292929375</v>
      </c>
      <c r="BK238" s="33" t="n">
        <f aca="false">BJ238+IF(Source_Data!BK$6=Inputs!$B$12,Inputs!$B$7,0)+BK233-BK236</f>
        <v>530.292929375</v>
      </c>
    </row>
    <row r="239" customFormat="false" ht="15" hidden="false" customHeight="false" outlineLevel="0" collapsed="false">
      <c r="A239" s="3" t="s">
        <v>344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str">
        <f aca="false">IF(M236&gt;0,M233/M236,"")</f>
        <v/>
      </c>
      <c r="N239" s="31" t="str">
        <f aca="false">IF(N236&gt;0,N233/N236,"")</f>
        <v/>
      </c>
      <c r="O239" s="31" t="str">
        <f aca="false">IF(O236&gt;0,O233/O236,"")</f>
        <v/>
      </c>
      <c r="P239" s="31" t="n">
        <f aca="false">IF(P236&gt;0,P233/P236,"")</f>
        <v>-0.423774782608696</v>
      </c>
      <c r="Q239" s="31" t="n">
        <f aca="false">IF(Q236&gt;0,Q233/Q236,"")</f>
        <v>0.698753739130434</v>
      </c>
      <c r="R239" s="31" t="n">
        <f aca="false">IF(R236&gt;0,R233/R236,"")</f>
        <v>-14.7813886956522</v>
      </c>
      <c r="S239" s="31" t="n">
        <f aca="false">IF(S236&gt;0,S233/S236,"")</f>
        <v>-14.1672263478261</v>
      </c>
      <c r="T239" s="31" t="n">
        <f aca="false">IF(T236&gt;0,T233/T236,"")</f>
        <v>-16.3997097391304</v>
      </c>
      <c r="U239" s="31" t="n">
        <f aca="false">IF(U236&gt;0,U233/U236,"")</f>
        <v>-8.4672</v>
      </c>
      <c r="V239" s="31" t="n">
        <f aca="false">IF(V236&gt;0,V233/V236,"")</f>
        <v>6.50298952173913</v>
      </c>
      <c r="W239" s="31" t="n">
        <f aca="false">IF(W236&gt;0,W233/W236,"")</f>
        <v>7.56542426086957</v>
      </c>
      <c r="X239" s="31" t="n">
        <f aca="false">IF(X236&gt;0,X233/X236,"")</f>
        <v>68.1439312173913</v>
      </c>
      <c r="Y239" s="31" t="n">
        <f aca="false">IF(Y236&gt;0,Y233/Y236,"")</f>
        <v>14.7752068695652</v>
      </c>
      <c r="Z239" s="31" t="n">
        <f aca="false">IF(Z236&gt;0,Z233/Z236,"")</f>
        <v>8.54256756521738</v>
      </c>
      <c r="AA239" s="31" t="n">
        <f aca="false">IF(AA236&gt;0,AA233/AA236,"")</f>
        <v>6.11547886956521</v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345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str">
        <f aca="false">IF(M236&gt;0,(L238+M233+IF(Source_Data!M$6=Inputs!$B$12,Inputs!$B$7,0))/M236,"")</f>
        <v/>
      </c>
      <c r="N240" s="31" t="str">
        <f aca="false">IF(N236&gt;0,(M238+N233+IF(Source_Data!N$6=Inputs!$B$12,Inputs!$B$7,0))/N236,"")</f>
        <v/>
      </c>
      <c r="O240" s="31" t="str">
        <f aca="false">IF(O236&gt;0,(N238+O233+IF(Source_Data!O$6=Inputs!$B$12,Inputs!$B$7,0))/O236,"")</f>
        <v/>
      </c>
      <c r="P240" s="31" t="n">
        <f aca="false">IF(P236&gt;0,(O238+P233+IF(Source_Data!P$6=Inputs!$B$12,Inputs!$B$7,0))/P236,"")</f>
        <v>-46.4508756521739</v>
      </c>
      <c r="Q240" s="31" t="n">
        <f aca="false">IF(Q236&gt;0,(P238+Q233+IF(Source_Data!Q$6=Inputs!$B$12,Inputs!$B$7,0))/Q236,"")</f>
        <v>-46.7521219130435</v>
      </c>
      <c r="R240" s="31" t="n">
        <f aca="false">IF(R236&gt;0,(Q238+R233+IF(Source_Data!R$6=Inputs!$B$12,Inputs!$B$7,0))/R236,"")</f>
        <v>-62.5335106086957</v>
      </c>
      <c r="S240" s="31" t="n">
        <f aca="false">IF(S236&gt;0,(R238+S233+IF(Source_Data!S$6=Inputs!$B$12,Inputs!$B$7,0))/S236,"")</f>
        <v>-77.7007369565218</v>
      </c>
      <c r="T240" s="31" t="n">
        <f aca="false">IF(T236&gt;0,(S238+T233+IF(Source_Data!T$6=Inputs!$B$12,Inputs!$B$7,0))/T236,"")</f>
        <v>-95.1004466956522</v>
      </c>
      <c r="U240" s="31" t="n">
        <f aca="false">IF(U236&gt;0,(T238+U233+IF(Source_Data!U$6=Inputs!$B$12,Inputs!$B$7,0))/U236,"")</f>
        <v>-104.567646695652</v>
      </c>
      <c r="V240" s="31" t="n">
        <f aca="false">IF(V236&gt;0,(U238+V233+IF(Source_Data!V$6=Inputs!$B$12,Inputs!$B$7,0))/V236,"")</f>
        <v>-99.0646571739131</v>
      </c>
      <c r="W240" s="31" t="n">
        <f aca="false">IF(W236&gt;0,(V238+W233+IF(Source_Data!W$6=Inputs!$B$12,Inputs!$B$7,0))/W236,"")</f>
        <v>-92.4992329130435</v>
      </c>
      <c r="X240" s="31" t="n">
        <f aca="false">IF(X236&gt;0,(W238+X233+IF(Source_Data!X$6=Inputs!$B$12,Inputs!$B$7,0))/X236,"")</f>
        <v>-25.3553016956522</v>
      </c>
      <c r="Y240" s="31" t="n">
        <f aca="false">IF(Y236&gt;0,(X238+Y233+IF(Source_Data!Y$6=Inputs!$B$12,Inputs!$B$7,0))/Y236,"")</f>
        <v>-11.580094826087</v>
      </c>
      <c r="Z240" s="31" t="n">
        <f aca="false">IF(Z236&gt;0,(Y238+Z233+IF(Source_Data!Z$6=Inputs!$B$12,Inputs!$B$7,0))/Z236,"")</f>
        <v>-4.03752726086961</v>
      </c>
      <c r="AA240" s="31" t="n">
        <f aca="false">IF(AA236&gt;0,(Z238+AA233+IF(Source_Data!AA$6=Inputs!$B$12,Inputs!$B$7,0))/AA236,"")</f>
        <v>1.07795160869561</v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220</v>
      </c>
      <c r="B242" s="41" t="n">
        <f aca="false">SUM(D233:BK233)</f>
        <v>595.292929375</v>
      </c>
    </row>
    <row r="243" customFormat="false" ht="15" hidden="false" customHeight="false" outlineLevel="0" collapsed="false">
      <c r="A243" s="2" t="s">
        <v>346</v>
      </c>
      <c r="B243" s="41" t="n">
        <f aca="false">SUMPRODUCT(D233:BK233,Project_CF!$D$15:$BK$15)</f>
        <v>43.3863886057456</v>
      </c>
    </row>
    <row r="244" customFormat="false" ht="15" hidden="false" customHeight="false" outlineLevel="0" collapsed="false">
      <c r="A244" s="2" t="s">
        <v>162</v>
      </c>
      <c r="B244" s="41" t="n">
        <f aca="false">MIN(D234:BK234)</f>
        <v>-1004.1899475</v>
      </c>
    </row>
    <row r="245" customFormat="false" ht="15" hidden="false" customHeight="false" outlineLevel="0" collapsed="false">
      <c r="A245" s="2" t="s">
        <v>347</v>
      </c>
      <c r="B245" s="35" t="n">
        <f aca="false">INDEX(Project_CF!$D$6:$BK$6,MATCH(MIN(D234:BK234),D234:BK234,0))</f>
        <v>54</v>
      </c>
    </row>
    <row r="246" customFormat="false" ht="15" hidden="false" customHeight="false" outlineLevel="0" collapsed="false">
      <c r="A246" s="2" t="s">
        <v>348</v>
      </c>
      <c r="B246" s="39" t="n">
        <f aca="false">(1+IRR(D235:BK235,0.05))^4-1</f>
        <v>0.206749787860622</v>
      </c>
    </row>
    <row r="247" customFormat="false" ht="15" hidden="false" customHeight="false" outlineLevel="0" collapsed="false">
      <c r="A247" s="2" t="s">
        <v>349</v>
      </c>
      <c r="B247" s="40" t="n">
        <f aca="false">SUMIF(D235:BK235,"&gt;0")/-SUMIF(D235:BK235,"&lt;0")</f>
        <v>2.87407407407407</v>
      </c>
    </row>
    <row r="248" customFormat="false" ht="15" hidden="false" customHeight="false" outlineLevel="0" collapsed="false">
      <c r="A248" s="2" t="s">
        <v>350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351</v>
      </c>
      <c r="B249" s="41" t="n">
        <f aca="false">MIN(D238:BK238)</f>
        <v>-1011.6899475</v>
      </c>
    </row>
    <row r="250" customFormat="false" ht="15" hidden="false" customHeight="false" outlineLevel="0" collapsed="false">
      <c r="A250" s="2" t="s">
        <v>352</v>
      </c>
      <c r="B250" s="43" t="n">
        <f aca="false">MIN(D239:BK239)</f>
        <v>-16.3997097391304</v>
      </c>
    </row>
    <row r="251" customFormat="false" ht="15" hidden="false" customHeight="false" outlineLevel="0" collapsed="false">
      <c r="A251" s="2" t="s">
        <v>353</v>
      </c>
      <c r="B251" s="35" t="n">
        <f aca="false">COUNTIF(D239:BK239,"&lt;"&amp;Inputs!$B$43)</f>
        <v>6</v>
      </c>
    </row>
    <row r="252" customFormat="false" ht="15" hidden="false" customHeight="false" outlineLevel="0" collapsed="false">
      <c r="A252" s="2" t="s">
        <v>354</v>
      </c>
      <c r="B252" s="43" t="n">
        <f aca="false">MIN(D240:BK240)</f>
        <v>-104.567646695652</v>
      </c>
    </row>
    <row r="253" customFormat="false" ht="15" hidden="false" customHeight="false" outlineLevel="0" collapsed="false">
      <c r="A253" s="2" t="s">
        <v>355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365</v>
      </c>
    </row>
    <row r="257" customFormat="false" ht="15" hidden="false" customHeight="false" outlineLevel="0" collapsed="false">
      <c r="A257" s="3" t="s">
        <v>331</v>
      </c>
      <c r="B257" s="45" t="n">
        <v>1</v>
      </c>
    </row>
    <row r="258" customFormat="false" ht="15" hidden="false" customHeight="false" outlineLevel="0" collapsed="false">
      <c r="A258" s="3" t="s">
        <v>332</v>
      </c>
      <c r="B258" s="45" t="n">
        <v>8</v>
      </c>
    </row>
    <row r="259" customFormat="false" ht="15" hidden="false" customHeight="false" outlineLevel="0" collapsed="false">
      <c r="A259" s="3" t="s">
        <v>333</v>
      </c>
      <c r="B259" s="45" t="n">
        <v>1</v>
      </c>
    </row>
    <row r="260" customFormat="false" ht="15" hidden="false" customHeight="false" outlineLevel="0" collapsed="false">
      <c r="A260" s="3" t="s">
        <v>334</v>
      </c>
      <c r="B260" s="45" t="n">
        <v>0</v>
      </c>
    </row>
    <row r="261" customFormat="false" ht="15" hidden="false" customHeight="false" outlineLevel="0" collapsed="false">
      <c r="A261" s="3" t="s">
        <v>335</v>
      </c>
      <c r="B261" s="45" t="n">
        <v>0</v>
      </c>
    </row>
    <row r="262" customFormat="false" ht="15" hidden="false" customHeight="false" outlineLevel="0" collapsed="false">
      <c r="A262" s="3" t="s">
        <v>336</v>
      </c>
      <c r="B262" s="3" t="n">
        <f aca="false">Inputs!$B$13+3+3*$B$258</f>
        <v>81</v>
      </c>
    </row>
    <row r="263" customFormat="false" ht="15" hidden="false" customHeight="false" outlineLevel="0" collapsed="false">
      <c r="A263" s="3" t="s">
        <v>337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0</v>
      </c>
      <c r="G263" s="33" t="n">
        <f aca="false">Source_Data!G$7+IF($B$261=1,IF(Source_Data!G$6=Inputs!$B$13,Source_Data!$C$8,0),Source_Data!G$8)</f>
        <v>0</v>
      </c>
      <c r="H263" s="33" t="n">
        <f aca="false">Source_Data!H$7+IF($B$261=1,IF(Source_Data!H$6=Inputs!$B$13,Source_Data!$C$8,0),Source_Data!H$8)</f>
        <v>18.11565</v>
      </c>
      <c r="I263" s="33" t="n">
        <f aca="false">Source_Data!I$7+IF($B$261=1,IF(Source_Data!I$6=Inputs!$B$13,Source_Data!$C$8,0),Source_Data!I$8)</f>
        <v>36.2313</v>
      </c>
      <c r="J263" s="33" t="n">
        <f aca="false">Source_Data!J$7+IF($B$261=1,IF(Source_Data!J$6=Inputs!$B$13,Source_Data!$C$8,0),Source_Data!J$8)</f>
        <v>58.260825</v>
      </c>
      <c r="K263" s="33" t="n">
        <f aca="false">Source_Data!K$7+IF($B$261=1,IF(Source_Data!K$6=Inputs!$B$13,Source_Data!$C$8,0),Source_Data!K$8)</f>
        <v>69.01839</v>
      </c>
      <c r="L263" s="33" t="n">
        <f aca="false">Source_Data!L$7+IF($B$261=1,IF(Source_Data!L$6=Inputs!$B$13,Source_Data!$C$8,0),Source_Data!L$8)</f>
        <v>67.087545</v>
      </c>
      <c r="M263" s="33" t="n">
        <f aca="false">Source_Data!M$7+IF($B$261=1,IF(Source_Data!M$6=Inputs!$B$13,Source_Data!$C$8,0),Source_Data!M$8)</f>
        <v>72.9732675</v>
      </c>
      <c r="N263" s="33" t="n">
        <f aca="false">Source_Data!N$7+IF($B$261=1,IF(Source_Data!N$6=Inputs!$B$13,Source_Data!$C$8,0),Source_Data!N$8)</f>
        <v>88.871055</v>
      </c>
      <c r="O263" s="33" t="n">
        <f aca="false">Source_Data!O$7+IF($B$261=1,IF(Source_Data!O$6=Inputs!$B$13,Source_Data!$C$8,0),Source_Data!O$8)</f>
        <v>105.60753</v>
      </c>
      <c r="P263" s="33" t="n">
        <f aca="false">Source_Data!P$7+IF($B$261=1,IF(Source_Data!P$6=Inputs!$B$13,Source_Data!$C$8,0),Source_Data!P$8)</f>
        <v>115.25243625</v>
      </c>
      <c r="Q263" s="33" t="n">
        <f aca="false">Source_Data!Q$7+IF($B$261=1,IF(Source_Data!Q$6=Inputs!$B$13,Source_Data!$C$8,0),Source_Data!Q$8)</f>
        <v>124.8973425</v>
      </c>
      <c r="R263" s="33" t="n">
        <f aca="false">Source_Data!R$7+IF($B$261=1,IF(Source_Data!R$6=Inputs!$B$13,Source_Data!$C$8,0),Source_Data!R$8)</f>
        <v>683.0904675</v>
      </c>
      <c r="S263" s="33" t="n">
        <f aca="false">Source_Data!S$7+IF($B$261=1,IF(Source_Data!S$6=Inputs!$B$13,Source_Data!$C$8,0),Source_Data!S$8)</f>
        <v>171.6401925</v>
      </c>
      <c r="T263" s="33" t="n">
        <f aca="false">Source_Data!T$7+IF($B$261=1,IF(Source_Data!T$6=Inputs!$B$13,Source_Data!$C$8,0),Source_Data!T$8)</f>
        <v>112.5965925</v>
      </c>
      <c r="U263" s="33" t="n">
        <f aca="false">Source_Data!U$7+IF($B$261=1,IF(Source_Data!U$6=Inputs!$B$13,Source_Data!$C$8,0),Source_Data!U$8)</f>
        <v>89.3369925</v>
      </c>
      <c r="V263" s="33" t="n">
        <f aca="false">Source_Data!V$7+IF($B$261=1,IF(Source_Data!V$6=Inputs!$B$13,Source_Data!$C$8,0),Source_Data!V$8)</f>
        <v>87.5254275</v>
      </c>
      <c r="W263" s="33" t="n">
        <f aca="false">Source_Data!W$7+IF($B$261=1,IF(Source_Data!W$6=Inputs!$B$13,Source_Data!$C$8,0),Source_Data!W$8)</f>
        <v>85.7138625</v>
      </c>
      <c r="X263" s="33" t="n">
        <f aca="false">Source_Data!X$7+IF($B$261=1,IF(Source_Data!X$6=Inputs!$B$13,Source_Data!$C$8,0),Source_Data!X$8)</f>
        <v>77.279461875</v>
      </c>
      <c r="Y263" s="33" t="n">
        <f aca="false">Source_Data!Y$7+IF($B$261=1,IF(Source_Data!Y$6=Inputs!$B$13,Source_Data!$C$8,0),Source_Data!Y$8)</f>
        <v>70.15341375</v>
      </c>
      <c r="Z263" s="33" t="n">
        <f aca="false">Source_Data!Z$7+IF($B$261=1,IF(Source_Data!Z$6=Inputs!$B$13,Source_Data!$C$8,0),Source_Data!Z$8)</f>
        <v>61.33787625</v>
      </c>
      <c r="AA263" s="33" t="n">
        <f aca="false">Source_Data!AA$7+IF($B$261=1,IF(Source_Data!AA$6=Inputs!$B$13,Source_Data!$C$8,0),Source_Data!AA$8)</f>
        <v>51.04624875</v>
      </c>
      <c r="AB263" s="33" t="n">
        <f aca="false">Source_Data!AB$7+IF($B$261=1,IF(Source_Data!AB$6=Inputs!$B$13,Source_Data!$C$8,0),Source_Data!AB$8)</f>
        <v>51.04624875</v>
      </c>
      <c r="AC263" s="33" t="n">
        <f aca="false">Source_Data!AC$7+IF($B$261=1,IF(Source_Data!AC$6=Inputs!$B$13,Source_Data!$C$8,0),Source_Data!AC$8)</f>
        <v>51.04624875</v>
      </c>
      <c r="AD263" s="33" t="n">
        <f aca="false">Source_Data!AD$7+IF($B$261=1,IF(Source_Data!AD$6=Inputs!$B$13,Source_Data!$C$8,0),Source_Data!AD$8)</f>
        <v>51.04624875</v>
      </c>
      <c r="AE263" s="33" t="n">
        <f aca="false">Source_Data!AE$7+IF($B$261=1,IF(Source_Data!AE$6=Inputs!$B$13,Source_Data!$C$8,0),Source_Data!AE$8)</f>
        <v>51.04624875</v>
      </c>
      <c r="AF263" s="33" t="n">
        <f aca="false">Source_Data!AF$7+IF($B$261=1,IF(Source_Data!AF$6=Inputs!$B$13,Source_Data!$C$8,0),Source_Data!AF$8)</f>
        <v>43.931383125</v>
      </c>
      <c r="AG263" s="33" t="n">
        <f aca="false">Source_Data!AG$7+IF($B$261=1,IF(Source_Data!AG$6=Inputs!$B$13,Source_Data!$C$8,0),Source_Data!AG$8)</f>
        <v>36.8165175</v>
      </c>
      <c r="AH263" s="33" t="n">
        <f aca="false">Source_Data!AH$7+IF($B$261=1,IF(Source_Data!AH$6=Inputs!$B$13,Source_Data!$C$8,0),Source_Data!AH$8)</f>
        <v>32.958555</v>
      </c>
      <c r="AI263" s="33" t="n">
        <f aca="false">Source_Data!AI$7+IF($B$261=1,IF(Source_Data!AI$6=Inputs!$B$13,Source_Data!$C$8,0),Source_Data!AI$8)</f>
        <v>29.1005925</v>
      </c>
      <c r="AJ263" s="33" t="n">
        <f aca="false">Source_Data!AJ$7+IF($B$261=1,IF(Source_Data!AJ$6=Inputs!$B$13,Source_Data!$C$8,0),Source_Data!AJ$8)</f>
        <v>22.8831225</v>
      </c>
      <c r="AK263" s="33" t="n">
        <f aca="false">Source_Data!AK$7+IF($B$261=1,IF(Source_Data!AK$6=Inputs!$B$13,Source_Data!$C$8,0),Source_Data!AK$8)</f>
        <v>19.2823575</v>
      </c>
      <c r="AL263" s="33" t="n">
        <f aca="false">Source_Data!AL$7+IF($B$261=1,IF(Source_Data!AL$6=Inputs!$B$13,Source_Data!$C$8,0),Source_Data!AL$8)</f>
        <v>16.80357</v>
      </c>
      <c r="AM263" s="33" t="n">
        <f aca="false">Source_Data!AM$7+IF($B$261=1,IF(Source_Data!AM$6=Inputs!$B$13,Source_Data!$C$8,0),Source_Data!AM$8)</f>
        <v>7.24626</v>
      </c>
      <c r="AN263" s="33" t="n">
        <f aca="false">Source_Data!AN$7+IF($B$261=1,IF(Source_Data!AN$6=Inputs!$B$13,Source_Data!$C$8,0),Source_Data!AN$8)</f>
        <v>7.24626</v>
      </c>
      <c r="AO263" s="33" t="n">
        <f aca="false">Source_Data!AO$7+IF($B$261=1,IF(Source_Data!AO$6=Inputs!$B$13,Source_Data!$C$8,0),Source_Data!AO$8)</f>
        <v>7.24626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338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0</v>
      </c>
      <c r="O264" s="33" t="n">
        <f aca="false">$B$257*IF(Source_Data!O$5-($B$258+$B$260)&gt;=1,INDEX($D$263:$BK$263,1,Source_Data!O$5-($B$258+$B$260)),0)</f>
        <v>0</v>
      </c>
      <c r="P264" s="33" t="n">
        <f aca="false">$B$257*IF(Source_Data!P$5-($B$258+$B$260)&gt;=1,INDEX($D$263:$BK$263,1,Source_Data!P$5-($B$258+$B$260)),0)</f>
        <v>18.11565</v>
      </c>
      <c r="Q264" s="33" t="n">
        <f aca="false">$B$257*IF(Source_Data!Q$5-($B$258+$B$260)&gt;=1,INDEX($D$263:$BK$263,1,Source_Data!Q$5-($B$258+$B$260)),0)</f>
        <v>36.2313</v>
      </c>
      <c r="R264" s="33" t="n">
        <f aca="false">$B$257*IF(Source_Data!R$5-($B$258+$B$260)&gt;=1,INDEX($D$263:$BK$263,1,Source_Data!R$5-($B$258+$B$260)),0)</f>
        <v>58.260825</v>
      </c>
      <c r="S264" s="33" t="n">
        <f aca="false">$B$257*IF(Source_Data!S$5-($B$258+$B$260)&gt;=1,INDEX($D$263:$BK$263,1,Source_Data!S$5-($B$258+$B$260)),0)</f>
        <v>69.01839</v>
      </c>
      <c r="T264" s="33" t="n">
        <f aca="false">$B$257*IF(Source_Data!T$5-($B$258+$B$260)&gt;=1,INDEX($D$263:$BK$263,1,Source_Data!T$5-($B$258+$B$260)),0)</f>
        <v>67.087545</v>
      </c>
      <c r="U264" s="33" t="n">
        <f aca="false">$B$257*IF(Source_Data!U$5-($B$258+$B$260)&gt;=1,INDEX($D$263:$BK$263,1,Source_Data!U$5-($B$258+$B$260)),0)</f>
        <v>72.9732675</v>
      </c>
      <c r="V264" s="33" t="n">
        <f aca="false">$B$257*IF(Source_Data!V$5-($B$258+$B$260)&gt;=1,INDEX($D$263:$BK$263,1,Source_Data!V$5-($B$258+$B$260)),0)</f>
        <v>88.871055</v>
      </c>
      <c r="W264" s="33" t="n">
        <f aca="false">$B$257*IF(Source_Data!W$5-($B$258+$B$260)&gt;=1,INDEX($D$263:$BK$263,1,Source_Data!W$5-($B$258+$B$260)),0)</f>
        <v>105.60753</v>
      </c>
      <c r="X264" s="33" t="n">
        <f aca="false">$B$257*IF(Source_Data!X$5-($B$258+$B$260)&gt;=1,INDEX($D$263:$BK$263,1,Source_Data!X$5-($B$258+$B$260)),0)</f>
        <v>115.25243625</v>
      </c>
      <c r="Y264" s="33" t="n">
        <f aca="false">$B$257*IF(Source_Data!Y$5-($B$258+$B$260)&gt;=1,INDEX($D$263:$BK$263,1,Source_Data!Y$5-($B$258+$B$260)),0)</f>
        <v>124.8973425</v>
      </c>
      <c r="Z264" s="33" t="n">
        <f aca="false">$B$257*IF(Source_Data!Z$5-($B$258+$B$260)&gt;=1,INDEX($D$263:$BK$263,1,Source_Data!Z$5-($B$258+$B$260)),0)</f>
        <v>683.0904675</v>
      </c>
      <c r="AA264" s="33" t="n">
        <f aca="false">$B$257*IF(Source_Data!AA$5-($B$258+$B$260)&gt;=1,INDEX($D$263:$BK$263,1,Source_Data!AA$5-($B$258+$B$260)),0)</f>
        <v>171.6401925</v>
      </c>
      <c r="AB264" s="33" t="n">
        <f aca="false">$B$257*IF(Source_Data!AB$5-($B$258+$B$260)&gt;=1,INDEX($D$263:$BK$263,1,Source_Data!AB$5-($B$258+$B$260)),0)</f>
        <v>112.5965925</v>
      </c>
      <c r="AC264" s="33" t="n">
        <f aca="false">$B$257*IF(Source_Data!AC$5-($B$258+$B$260)&gt;=1,INDEX($D$263:$BK$263,1,Source_Data!AC$5-($B$258+$B$260)),0)</f>
        <v>89.3369925</v>
      </c>
      <c r="AD264" s="33" t="n">
        <f aca="false">$B$257*IF(Source_Data!AD$5-($B$258+$B$260)&gt;=1,INDEX($D$263:$BK$263,1,Source_Data!AD$5-($B$258+$B$260)),0)</f>
        <v>87.5254275</v>
      </c>
      <c r="AE264" s="33" t="n">
        <f aca="false">$B$257*IF(Source_Data!AE$5-($B$258+$B$260)&gt;=1,INDEX($D$263:$BK$263,1,Source_Data!AE$5-($B$258+$B$260)),0)</f>
        <v>85.7138625</v>
      </c>
      <c r="AF264" s="33" t="n">
        <f aca="false">$B$257*IF(Source_Data!AF$5-($B$258+$B$260)&gt;=1,INDEX($D$263:$BK$263,1,Source_Data!AF$5-($B$258+$B$260)),0)</f>
        <v>77.279461875</v>
      </c>
      <c r="AG264" s="33" t="n">
        <f aca="false">$B$257*IF(Source_Data!AG$5-($B$258+$B$260)&gt;=1,INDEX($D$263:$BK$263,1,Source_Data!AG$5-($B$258+$B$260)),0)</f>
        <v>70.15341375</v>
      </c>
      <c r="AH264" s="33" t="n">
        <f aca="false">$B$257*IF(Source_Data!AH$5-($B$258+$B$260)&gt;=1,INDEX($D$263:$BK$263,1,Source_Data!AH$5-($B$258+$B$260)),0)</f>
        <v>61.33787625</v>
      </c>
      <c r="AI264" s="33" t="n">
        <f aca="false">$B$257*IF(Source_Data!AI$5-($B$258+$B$260)&gt;=1,INDEX($D$263:$BK$263,1,Source_Data!AI$5-($B$258+$B$260)),0)</f>
        <v>51.04624875</v>
      </c>
      <c r="AJ264" s="33" t="n">
        <f aca="false">$B$257*IF(Source_Data!AJ$5-($B$258+$B$260)&gt;=1,INDEX($D$263:$BK$263,1,Source_Data!AJ$5-($B$258+$B$260)),0)</f>
        <v>51.04624875</v>
      </c>
      <c r="AK264" s="33" t="n">
        <f aca="false">$B$257*IF(Source_Data!AK$5-($B$258+$B$260)&gt;=1,INDEX($D$263:$BK$263,1,Source_Data!AK$5-($B$258+$B$260)),0)</f>
        <v>51.04624875</v>
      </c>
      <c r="AL264" s="33" t="n">
        <f aca="false">$B$257*IF(Source_Data!AL$5-($B$258+$B$260)&gt;=1,INDEX($D$263:$BK$263,1,Source_Data!AL$5-($B$258+$B$260)),0)</f>
        <v>51.04624875</v>
      </c>
      <c r="AM264" s="33" t="n">
        <f aca="false">$B$257*IF(Source_Data!AM$5-($B$258+$B$260)&gt;=1,INDEX($D$263:$BK$263,1,Source_Data!AM$5-($B$258+$B$260)),0)</f>
        <v>51.04624875</v>
      </c>
      <c r="AN264" s="33" t="n">
        <f aca="false">$B$257*IF(Source_Data!AN$5-($B$258+$B$260)&gt;=1,INDEX($D$263:$BK$263,1,Source_Data!AN$5-($B$258+$B$260)),0)</f>
        <v>43.931383125</v>
      </c>
      <c r="AO264" s="33" t="n">
        <f aca="false">$B$257*IF(Source_Data!AO$5-($B$258+$B$260)&gt;=1,INDEX($D$263:$BK$263,1,Source_Data!AO$5-($B$258+$B$260)),0)</f>
        <v>36.8165175</v>
      </c>
      <c r="AP264" s="33" t="n">
        <f aca="false">$B$257*IF(Source_Data!AP$5-($B$258+$B$260)&gt;=1,INDEX($D$263:$BK$263,1,Source_Data!AP$5-($B$258+$B$260)),0)</f>
        <v>32.958555</v>
      </c>
      <c r="AQ264" s="33" t="n">
        <f aca="false">$B$257*IF(Source_Data!AQ$5-($B$258+$B$260)&gt;=1,INDEX($D$263:$BK$263,1,Source_Data!AQ$5-($B$258+$B$260)),0)</f>
        <v>29.1005925</v>
      </c>
      <c r="AR264" s="33" t="n">
        <f aca="false">$B$257*IF(Source_Data!AR$5-($B$258+$B$260)&gt;=1,INDEX($D$263:$BK$263,1,Source_Data!AR$5-($B$258+$B$260)),0)</f>
        <v>22.8831225</v>
      </c>
      <c r="AS264" s="33" t="n">
        <f aca="false">$B$257*IF(Source_Data!AS$5-($B$258+$B$260)&gt;=1,INDEX($D$263:$BK$263,1,Source_Data!AS$5-($B$258+$B$260)),0)</f>
        <v>19.2823575</v>
      </c>
      <c r="AT264" s="33" t="n">
        <f aca="false">$B$257*IF(Source_Data!AT$5-($B$258+$B$260)&gt;=1,INDEX($D$263:$BK$263,1,Source_Data!AT$5-($B$258+$B$260)),0)</f>
        <v>16.80357</v>
      </c>
      <c r="AU264" s="33" t="n">
        <f aca="false">$B$257*IF(Source_Data!AU$5-($B$258+$B$260)&gt;=1,INDEX($D$263:$BK$263,1,Source_Data!AU$5-($B$258+$B$260)),0)</f>
        <v>7.24626</v>
      </c>
      <c r="AV264" s="33" t="n">
        <f aca="false">$B$257*IF(Source_Data!AV$5-($B$258+$B$260)&gt;=1,INDEX($D$263:$BK$263,1,Source_Data!AV$5-($B$258+$B$260)),0)</f>
        <v>7.24626</v>
      </c>
      <c r="AW264" s="33" t="n">
        <f aca="false">$B$257*IF(Source_Data!AW$5-($B$258+$B$260)&gt;=1,INDEX($D$263:$BK$263,1,Source_Data!AW$5-($B$258+$B$260)),0)</f>
        <v>7.24626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339</v>
      </c>
      <c r="D265" s="33" t="n">
        <f aca="false">Source_Data!D$9+Source_Data!D$10*IF(Source_Data!$C$10=0,0,MAX(0,Inputs!$B$19*Inputs!$B$22*$B$257-Inputs!$B$20)/Source_Data!$C$10)</f>
        <v>0</v>
      </c>
      <c r="E265" s="33" t="n">
        <f aca="false">Source_Data!E$9+Source_Data!E$10*IF(Source_Data!$C$10=0,0,MAX(0,Inputs!$B$19*Inputs!$B$22*$B$257-Inputs!$B$20)/Source_Data!$C$10)</f>
        <v>0</v>
      </c>
      <c r="F265" s="33" t="n">
        <f aca="false">Source_Data!F$9+Source_Data!F$10*IF(Source_Data!$C$10=0,0,MAX(0,Inputs!$B$19*Inputs!$B$22*$B$257-Inputs!$B$20)/Source_Data!$C$10)</f>
        <v>0</v>
      </c>
      <c r="G265" s="33" t="n">
        <f aca="false">Source_Data!G$9+Source_Data!G$10*IF(Source_Data!$C$10=0,0,MAX(0,Inputs!$B$19*Inputs!$B$22*$B$257-Inputs!$B$20)/Source_Data!$C$10)</f>
        <v>85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45</v>
      </c>
      <c r="M265" s="33" t="n">
        <f aca="false">Source_Data!M$9+Source_Data!M$10*IF(Source_Data!$C$10=0,0,MAX(0,Inputs!$B$19*Inputs!$B$22*$B$257-Inputs!$B$20)/Source_Data!$C$10)</f>
        <v>45</v>
      </c>
      <c r="N265" s="33" t="n">
        <f aca="false">Source_Data!N$9+Source_Data!N$10*IF(Source_Data!$C$10=0,0,MAX(0,Inputs!$B$19*Inputs!$B$22*$B$257-Inputs!$B$20)/Source_Data!$C$10)</f>
        <v>45</v>
      </c>
      <c r="O265" s="33" t="n">
        <f aca="false">Source_Data!O$9+Source_Data!O$10*IF(Source_Data!$C$10=0,0,MAX(0,Inputs!$B$19*Inputs!$B$22*$B$257-Inputs!$B$20)/Source_Data!$C$10)</f>
        <v>45</v>
      </c>
      <c r="P265" s="33" t="n">
        <f aca="false">Source_Data!P$9+Source_Data!P$10*IF(Source_Data!$C$10=0,0,MAX(0,Inputs!$B$19*Inputs!$B$22*$B$257-Inputs!$B$20)/Source_Data!$C$10)</f>
        <v>56.25</v>
      </c>
      <c r="Q265" s="33" t="n">
        <f aca="false">Source_Data!Q$9+Source_Data!Q$10*IF(Source_Data!$C$10=0,0,MAX(0,Inputs!$B$19*Inputs!$B$22*$B$257-Inputs!$B$20)/Source_Data!$C$10)</f>
        <v>56.25</v>
      </c>
      <c r="R265" s="33" t="n">
        <f aca="false">Source_Data!R$9+Source_Data!R$10*IF(Source_Data!$C$10=0,0,MAX(0,Inputs!$B$19*Inputs!$B$22*$B$257-Inputs!$B$20)/Source_Data!$C$10)</f>
        <v>56.25</v>
      </c>
      <c r="S265" s="33" t="n">
        <f aca="false">Source_Data!S$9+Source_Data!S$10*IF(Source_Data!$C$10=0,0,MAX(0,Inputs!$B$19*Inputs!$B$22*$B$257-Inputs!$B$20)/Source_Data!$C$10)</f>
        <v>56.25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241.1916115625</v>
      </c>
      <c r="AG265" s="33" t="n">
        <f aca="false">Source_Data!AG$9+Source_Data!AG$10*IF(Source_Data!$C$10=0,0,MAX(0,Inputs!$B$19*Inputs!$B$22*$B$257-Inputs!$B$20)/Source_Data!$C$10)</f>
        <v>16.10722640625</v>
      </c>
      <c r="AH265" s="33" t="n">
        <f aca="false">Source_Data!AH$9+Source_Data!AH$10*IF(Source_Data!$C$10=0,0,MAX(0,Inputs!$B$19*Inputs!$B$22*$B$257-Inputs!$B$20)/Source_Data!$C$10)</f>
        <v>14.4193678125</v>
      </c>
      <c r="AI265" s="33" t="n">
        <f aca="false">Source_Data!AI$9+Source_Data!AI$10*IF(Source_Data!$C$10=0,0,MAX(0,Inputs!$B$19*Inputs!$B$22*$B$257-Inputs!$B$20)/Source_Data!$C$10)</f>
        <v>12.73150921875</v>
      </c>
      <c r="AJ265" s="33" t="n">
        <f aca="false">Source_Data!AJ$9+Source_Data!AJ$10*IF(Source_Data!$C$10=0,0,MAX(0,Inputs!$B$19*Inputs!$B$22*$B$257-Inputs!$B$20)/Source_Data!$C$10)</f>
        <v>10.01136609375</v>
      </c>
      <c r="AK265" s="33" t="n">
        <f aca="false">Source_Data!AK$9+Source_Data!AK$10*IF(Source_Data!$C$10=0,0,MAX(0,Inputs!$B$19*Inputs!$B$22*$B$257-Inputs!$B$20)/Source_Data!$C$10)</f>
        <v>8.43603140625001</v>
      </c>
      <c r="AL265" s="33" t="n">
        <f aca="false">Source_Data!AL$9+Source_Data!AL$10*IF(Source_Data!$C$10=0,0,MAX(0,Inputs!$B$19*Inputs!$B$22*$B$257-Inputs!$B$20)/Source_Data!$C$10)</f>
        <v>7.35156187500001</v>
      </c>
      <c r="AM265" s="33" t="n">
        <f aca="false">Source_Data!AM$9+Source_Data!AM$10*IF(Source_Data!$C$10=0,0,MAX(0,Inputs!$B$19*Inputs!$B$22*$B$257-Inputs!$B$20)/Source_Data!$C$10)</f>
        <v>3.17023875000001</v>
      </c>
      <c r="AN265" s="33" t="n">
        <f aca="false">Source_Data!AN$9+Source_Data!AN$10*IF(Source_Data!$C$10=0,0,MAX(0,Inputs!$B$19*Inputs!$B$22*$B$257-Inputs!$B$20)/Source_Data!$C$10)</f>
        <v>3.17023875000001</v>
      </c>
      <c r="AO265" s="33" t="n">
        <f aca="false">Source_Data!AO$9+Source_Data!AO$10*IF(Source_Data!$C$10=0,0,MAX(0,Inputs!$B$19*Inputs!$B$22*$B$257-Inputs!$B$20)/Source_Data!$C$10)</f>
        <v>3.17023875000001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194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0</v>
      </c>
      <c r="I266" s="33" t="n">
        <f aca="false">Source_Data!I$11*$B$259</f>
        <v>0</v>
      </c>
      <c r="J266" s="33" t="n">
        <f aca="false">Source_Data!J$11*$B$259</f>
        <v>20</v>
      </c>
      <c r="K266" s="33" t="n">
        <f aca="false">Source_Data!K$11*$B$259</f>
        <v>26.4</v>
      </c>
      <c r="L266" s="33" t="n">
        <f aca="false">Source_Data!L$11*$B$259</f>
        <v>40</v>
      </c>
      <c r="M266" s="33" t="n">
        <f aca="false">Source_Data!M$11*$B$259</f>
        <v>26.4</v>
      </c>
      <c r="N266" s="33" t="n">
        <f aca="false">Source_Data!N$11*$B$259</f>
        <v>26.4</v>
      </c>
      <c r="O266" s="33" t="n">
        <f aca="false">Source_Data!O$11*$B$259</f>
        <v>26.4</v>
      </c>
      <c r="P266" s="33" t="n">
        <f aca="false">Source_Data!P$11*$B$259</f>
        <v>5.28</v>
      </c>
      <c r="Q266" s="33" t="n">
        <f aca="false">Source_Data!Q$11*$B$259</f>
        <v>5.28</v>
      </c>
      <c r="R266" s="33" t="n">
        <f aca="false">Source_Data!R$11*$B$259</f>
        <v>120</v>
      </c>
      <c r="S266" s="33" t="n">
        <f aca="false">Source_Data!S$11*$B$259</f>
        <v>120</v>
      </c>
      <c r="T266" s="33" t="n">
        <f aca="false">Source_Data!T$11*$B$259</f>
        <v>164</v>
      </c>
      <c r="U266" s="33" t="n">
        <f aca="false">Source_Data!U$11*$B$259</f>
        <v>117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196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0</v>
      </c>
      <c r="S267" s="33" t="n">
        <f aca="false">$B$257*IF(Source_Data!S$5-$B$258&gt;=1,INDEX(Source_Data!$D$12:$BK$12,1,Source_Data!S$5-$B$258),0)</f>
        <v>0</v>
      </c>
      <c r="T267" s="33" t="n">
        <f aca="false">$B$257*IF(Source_Data!T$5-$B$258&gt;=1,INDEX(Source_Data!$D$12:$BK$12,1,Source_Data!T$5-$B$258),0)</f>
        <v>14.49252</v>
      </c>
      <c r="U267" s="33" t="n">
        <f aca="false">$B$257*IF(Source_Data!U$5-$B$258&gt;=1,INDEX(Source_Data!$D$12:$BK$12,1,Source_Data!U$5-$B$258),0)</f>
        <v>14.49252</v>
      </c>
      <c r="V267" s="33" t="n">
        <f aca="false">$B$257*IF(Source_Data!V$5-$B$258&gt;=1,INDEX(Source_Data!$D$12:$BK$12,1,Source_Data!V$5-$B$258),0)</f>
        <v>12.43494</v>
      </c>
      <c r="W267" s="33" t="n">
        <f aca="false">$B$257*IF(Source_Data!W$5-$B$258&gt;=1,INDEX(Source_Data!$D$12:$BK$12,1,Source_Data!W$5-$B$258),0)</f>
        <v>7.20153</v>
      </c>
      <c r="X267" s="33" t="n">
        <f aca="false">$B$257*IF(Source_Data!X$5-$B$258&gt;=1,INDEX(Source_Data!$D$12:$BK$12,1,Source_Data!X$5-$B$258),0)</f>
        <v>7.93212</v>
      </c>
      <c r="Y267" s="33" t="n">
        <f aca="false">$B$257*IF(Source_Data!Y$5-$B$258&gt;=1,INDEX(Source_Data!$D$12:$BK$12,1,Source_Data!Y$5-$B$258),0)</f>
        <v>7.39536</v>
      </c>
      <c r="Z267" s="33" t="n">
        <f aca="false">$B$257*IF(Source_Data!Z$5-$B$258&gt;=1,INDEX(Source_Data!$D$12:$BK$12,1,Source_Data!Z$5-$B$258),0)</f>
        <v>7.54446</v>
      </c>
      <c r="AA267" s="33" t="n">
        <f aca="false">$B$257*IF(Source_Data!AA$5-$B$258&gt;=1,INDEX(Source_Data!$D$12:$BK$12,1,Source_Data!AA$5-$B$258),0)</f>
        <v>7.54446</v>
      </c>
      <c r="AB267" s="33" t="n">
        <f aca="false">$B$257*IF(Source_Data!AB$5-$B$258&gt;=1,INDEX(Source_Data!$D$12:$BK$12,1,Source_Data!AB$5-$B$258),0)</f>
        <v>8.23032</v>
      </c>
      <c r="AC267" s="33" t="n">
        <f aca="false">$B$257*IF(Source_Data!AC$5-$B$258&gt;=1,INDEX(Source_Data!$D$12:$BK$12,1,Source_Data!AC$5-$B$258),0)</f>
        <v>8.23032</v>
      </c>
      <c r="AD267" s="33" t="n">
        <f aca="false">$B$257*IF(Source_Data!AD$5-$B$258&gt;=1,INDEX(Source_Data!$D$12:$BK$12,1,Source_Data!AD$5-$B$258),0)</f>
        <v>5.72544</v>
      </c>
      <c r="AE267" s="33" t="n">
        <f aca="false">$B$257*IF(Source_Data!AE$5-$B$258&gt;=1,INDEX(Source_Data!$D$12:$BK$12,1,Source_Data!AE$5-$B$258),0)</f>
        <v>5.72544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215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0</v>
      </c>
      <c r="I268" s="33" t="n">
        <f aca="false">Source_Data!I$13*$B$259</f>
        <v>0</v>
      </c>
      <c r="J268" s="33" t="n">
        <f aca="false">Source_Data!J$13*$B$259</f>
        <v>3</v>
      </c>
      <c r="K268" s="33" t="n">
        <f aca="false">Source_Data!K$13*$B$259</f>
        <v>3.96</v>
      </c>
      <c r="L268" s="33" t="n">
        <f aca="false">Source_Data!L$13*$B$259</f>
        <v>6</v>
      </c>
      <c r="M268" s="33" t="n">
        <f aca="false">Source_Data!M$13*$B$259</f>
        <v>3.96</v>
      </c>
      <c r="N268" s="33" t="n">
        <f aca="false">Source_Data!N$13*$B$259</f>
        <v>3.96</v>
      </c>
      <c r="O268" s="33" t="n">
        <f aca="false">Source_Data!O$13*$B$259</f>
        <v>3.96</v>
      </c>
      <c r="P268" s="33" t="n">
        <f aca="false">Source_Data!P$13*$B$259</f>
        <v>0.792</v>
      </c>
      <c r="Q268" s="33" t="n">
        <f aca="false">Source_Data!Q$13*$B$259</f>
        <v>0.792</v>
      </c>
      <c r="R268" s="33" t="n">
        <f aca="false">Source_Data!R$13*$B$259</f>
        <v>18</v>
      </c>
      <c r="S268" s="33" t="n">
        <f aca="false">Source_Data!S$13*$B$259</f>
        <v>18</v>
      </c>
      <c r="T268" s="33" t="n">
        <f aca="false">Source_Data!T$13*$B$259</f>
        <v>24.6</v>
      </c>
      <c r="U268" s="33" t="n">
        <f aca="false">Source_Data!U$13*$B$259</f>
        <v>17.55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216</v>
      </c>
      <c r="D269" s="33" t="n">
        <f aca="false">D264-D265-D266-D267-D268</f>
        <v>0</v>
      </c>
      <c r="E269" s="33" t="n">
        <f aca="false">E264-E265-E266-E267-E268</f>
        <v>0</v>
      </c>
      <c r="F269" s="33" t="n">
        <f aca="false">F264-F265-F266-F267-F268</f>
        <v>0</v>
      </c>
      <c r="G269" s="33" t="n">
        <f aca="false">G264-G265-G266-G267-G268</f>
        <v>-85</v>
      </c>
      <c r="H269" s="33" t="n">
        <f aca="false">H264-H265-H266-H267-H268</f>
        <v>-22.5</v>
      </c>
      <c r="I269" s="33" t="n">
        <f aca="false">I264-I265-I266-I267-I268</f>
        <v>-22.5</v>
      </c>
      <c r="J269" s="33" t="n">
        <f aca="false">J264-J265-J266-J267-J268</f>
        <v>-45.5</v>
      </c>
      <c r="K269" s="33" t="n">
        <f aca="false">K264-K265-K266-K267-K268</f>
        <v>-52.86</v>
      </c>
      <c r="L269" s="33" t="n">
        <f aca="false">L264-L265-L266-L267-L268</f>
        <v>-91</v>
      </c>
      <c r="M269" s="33" t="n">
        <f aca="false">M264-M265-M266-M267-M268</f>
        <v>-75.36</v>
      </c>
      <c r="N269" s="33" t="n">
        <f aca="false">N264-N265-N266-N267-N268</f>
        <v>-75.36</v>
      </c>
      <c r="O269" s="33" t="n">
        <f aca="false">O264-O265-O266-O267-O268</f>
        <v>-75.36</v>
      </c>
      <c r="P269" s="33" t="n">
        <f aca="false">P264-P265-P266-P267-P268</f>
        <v>-44.20635</v>
      </c>
      <c r="Q269" s="33" t="n">
        <f aca="false">Q264-Q265-Q266-Q267-Q268</f>
        <v>-26.0907</v>
      </c>
      <c r="R269" s="33" t="n">
        <f aca="false">R264-R265-R266-R267-R268</f>
        <v>-135.989175</v>
      </c>
      <c r="S269" s="33" t="n">
        <f aca="false">S264-S265-S266-S267-S268</f>
        <v>-125.23161</v>
      </c>
      <c r="T269" s="33" t="n">
        <f aca="false">T264-T265-T266-T267-T268</f>
        <v>-181.004975</v>
      </c>
      <c r="U269" s="33" t="n">
        <f aca="false">U264-U265-U266-U267-U268</f>
        <v>-121.0692525</v>
      </c>
      <c r="V269" s="33" t="n">
        <f aca="false">V264-V265-V266-V267-V268</f>
        <v>31.436115</v>
      </c>
      <c r="W269" s="33" t="n">
        <f aca="false">W264-W265-W266-W267-W268</f>
        <v>53.406</v>
      </c>
      <c r="X269" s="33" t="n">
        <f aca="false">X264-X265-X266-X267-X268</f>
        <v>84.82031625</v>
      </c>
      <c r="Y269" s="33" t="n">
        <f aca="false">Y264-Y265-Y266-Y267-Y268</f>
        <v>95.0019825</v>
      </c>
      <c r="Z269" s="33" t="n">
        <f aca="false">Z264-Z265-Z266-Z267-Z268</f>
        <v>653.0460075</v>
      </c>
      <c r="AA269" s="33" t="n">
        <f aca="false">AA264-AA265-AA266-AA267-AA268</f>
        <v>141.5957325</v>
      </c>
      <c r="AB269" s="33" t="n">
        <f aca="false">AB264-AB265-AB266-AB267-AB268</f>
        <v>104.3662725</v>
      </c>
      <c r="AC269" s="33" t="n">
        <f aca="false">AC264-AC265-AC266-AC267-AC268</f>
        <v>81.1066725</v>
      </c>
      <c r="AD269" s="33" t="n">
        <f aca="false">AD264-AD265-AD266-AD267-AD268</f>
        <v>81.7999875</v>
      </c>
      <c r="AE269" s="33" t="n">
        <f aca="false">AE264-AE265-AE266-AE267-AE268</f>
        <v>79.9884225</v>
      </c>
      <c r="AF269" s="33" t="n">
        <f aca="false">AF264-AF265-AF266-AF267-AF268</f>
        <v>-163.9121496875</v>
      </c>
      <c r="AG269" s="33" t="n">
        <f aca="false">AG264-AG265-AG266-AG267-AG268</f>
        <v>54.04618734375</v>
      </c>
      <c r="AH269" s="33" t="n">
        <f aca="false">AH264-AH265-AH266-AH267-AH268</f>
        <v>46.9185084375</v>
      </c>
      <c r="AI269" s="33" t="n">
        <f aca="false">AI264-AI265-AI266-AI267-AI268</f>
        <v>38.31473953125</v>
      </c>
      <c r="AJ269" s="33" t="n">
        <f aca="false">AJ264-AJ265-AJ266-AJ267-AJ268</f>
        <v>41.03488265625</v>
      </c>
      <c r="AK269" s="33" t="n">
        <f aca="false">AK264-AK265-AK266-AK267-AK268</f>
        <v>42.61021734375</v>
      </c>
      <c r="AL269" s="33" t="n">
        <f aca="false">AL264-AL265-AL266-AL267-AL268</f>
        <v>43.694686875</v>
      </c>
      <c r="AM269" s="33" t="n">
        <f aca="false">AM264-AM265-AM266-AM267-AM268</f>
        <v>47.87601</v>
      </c>
      <c r="AN269" s="33" t="n">
        <f aca="false">AN264-AN265-AN266-AN267-AN268</f>
        <v>40.761144375</v>
      </c>
      <c r="AO269" s="33" t="n">
        <f aca="false">AO264-AO265-AO266-AO267-AO268</f>
        <v>33.64627875</v>
      </c>
      <c r="AP269" s="33" t="n">
        <f aca="false">AP264-AP265-AP266-AP267-AP268</f>
        <v>32.958555</v>
      </c>
      <c r="AQ269" s="33" t="n">
        <f aca="false">AQ264-AQ265-AQ266-AQ267-AQ268</f>
        <v>29.1005925</v>
      </c>
      <c r="AR269" s="33" t="n">
        <f aca="false">AR264-AR265-AR266-AR267-AR268</f>
        <v>22.8831225</v>
      </c>
      <c r="AS269" s="33" t="n">
        <f aca="false">AS264-AS265-AS266-AS267-AS268</f>
        <v>19.2823575</v>
      </c>
      <c r="AT269" s="33" t="n">
        <f aca="false">AT264-AT265-AT266-AT267-AT268</f>
        <v>16.80357</v>
      </c>
      <c r="AU269" s="33" t="n">
        <f aca="false">AU264-AU265-AU266-AU267-AU268</f>
        <v>7.24626</v>
      </c>
      <c r="AV269" s="33" t="n">
        <f aca="false">AV264-AV265-AV266-AV267-AV268</f>
        <v>7.24626</v>
      </c>
      <c r="AW269" s="33" t="n">
        <f aca="false">AW264-AW265-AW266-AW267-AW268</f>
        <v>7.24626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217</v>
      </c>
      <c r="D270" s="33" t="n">
        <f aca="false">D269</f>
        <v>0</v>
      </c>
      <c r="E270" s="33" t="n">
        <f aca="false">D270+E269</f>
        <v>0</v>
      </c>
      <c r="F270" s="33" t="n">
        <f aca="false">E270+F269</f>
        <v>0</v>
      </c>
      <c r="G270" s="33" t="n">
        <f aca="false">F270+G269</f>
        <v>-85</v>
      </c>
      <c r="H270" s="33" t="n">
        <f aca="false">G270+H269</f>
        <v>-107.5</v>
      </c>
      <c r="I270" s="33" t="n">
        <f aca="false">H270+I269</f>
        <v>-130</v>
      </c>
      <c r="J270" s="33" t="n">
        <f aca="false">I270+J269</f>
        <v>-175.5</v>
      </c>
      <c r="K270" s="33" t="n">
        <f aca="false">J270+K269</f>
        <v>-228.36</v>
      </c>
      <c r="L270" s="33" t="n">
        <f aca="false">K270+L269</f>
        <v>-319.36</v>
      </c>
      <c r="M270" s="33" t="n">
        <f aca="false">L270+M269</f>
        <v>-394.72</v>
      </c>
      <c r="N270" s="33" t="n">
        <f aca="false">M270+N269</f>
        <v>-470.08</v>
      </c>
      <c r="O270" s="33" t="n">
        <f aca="false">N270+O269</f>
        <v>-545.44</v>
      </c>
      <c r="P270" s="33" t="n">
        <f aca="false">O270+P269</f>
        <v>-589.64635</v>
      </c>
      <c r="Q270" s="33" t="n">
        <f aca="false">P270+Q269</f>
        <v>-615.73705</v>
      </c>
      <c r="R270" s="33" t="n">
        <f aca="false">Q270+R269</f>
        <v>-751.726225</v>
      </c>
      <c r="S270" s="33" t="n">
        <f aca="false">R270+S269</f>
        <v>-876.957835</v>
      </c>
      <c r="T270" s="33" t="n">
        <f aca="false">S270+T269</f>
        <v>-1057.96281</v>
      </c>
      <c r="U270" s="33" t="n">
        <f aca="false">T270+U269</f>
        <v>-1179.0320625</v>
      </c>
      <c r="V270" s="33" t="n">
        <f aca="false">U270+V269</f>
        <v>-1147.5959475</v>
      </c>
      <c r="W270" s="33" t="n">
        <f aca="false">V270+W269</f>
        <v>-1094.1899475</v>
      </c>
      <c r="X270" s="33" t="n">
        <f aca="false">W270+X269</f>
        <v>-1009.36963125</v>
      </c>
      <c r="Y270" s="33" t="n">
        <f aca="false">X270+Y269</f>
        <v>-914.36764875</v>
      </c>
      <c r="Z270" s="33" t="n">
        <f aca="false">Y270+Z269</f>
        <v>-261.32164125</v>
      </c>
      <c r="AA270" s="33" t="n">
        <f aca="false">Z270+AA269</f>
        <v>-119.72590875</v>
      </c>
      <c r="AB270" s="33" t="n">
        <f aca="false">AA270+AB269</f>
        <v>-15.3596362500004</v>
      </c>
      <c r="AC270" s="33" t="n">
        <f aca="false">AB270+AC269</f>
        <v>65.7470362499995</v>
      </c>
      <c r="AD270" s="33" t="n">
        <f aca="false">AC270+AD269</f>
        <v>147.547023749999</v>
      </c>
      <c r="AE270" s="33" t="n">
        <f aca="false">AD270+AE269</f>
        <v>227.535446249999</v>
      </c>
      <c r="AF270" s="33" t="n">
        <f aca="false">AE270+AF269</f>
        <v>63.6232965624997</v>
      </c>
      <c r="AG270" s="33" t="n">
        <f aca="false">AF270+AG269</f>
        <v>117.66948390625</v>
      </c>
      <c r="AH270" s="33" t="n">
        <f aca="false">AG270+AH269</f>
        <v>164.58799234375</v>
      </c>
      <c r="AI270" s="33" t="n">
        <f aca="false">AH270+AI269</f>
        <v>202.902731875</v>
      </c>
      <c r="AJ270" s="33" t="n">
        <f aca="false">AI270+AJ269</f>
        <v>243.93761453125</v>
      </c>
      <c r="AK270" s="33" t="n">
        <f aca="false">AJ270+AK269</f>
        <v>286.547831875</v>
      </c>
      <c r="AL270" s="33" t="n">
        <f aca="false">AK270+AL269</f>
        <v>330.24251875</v>
      </c>
      <c r="AM270" s="33" t="n">
        <f aca="false">AL270+AM269</f>
        <v>378.118528749999</v>
      </c>
      <c r="AN270" s="33" t="n">
        <f aca="false">AM270+AN269</f>
        <v>418.879673124999</v>
      </c>
      <c r="AO270" s="33" t="n">
        <f aca="false">AN270+AO269</f>
        <v>452.525951874999</v>
      </c>
      <c r="AP270" s="33" t="n">
        <f aca="false">AO270+AP269</f>
        <v>485.484506874999</v>
      </c>
      <c r="AQ270" s="33" t="n">
        <f aca="false">AP270+AQ269</f>
        <v>514.585099374999</v>
      </c>
      <c r="AR270" s="33" t="n">
        <f aca="false">AQ270+AR269</f>
        <v>537.468221874999</v>
      </c>
      <c r="AS270" s="33" t="n">
        <f aca="false">AR270+AS269</f>
        <v>556.750579374999</v>
      </c>
      <c r="AT270" s="33" t="n">
        <f aca="false">AS270+AT269</f>
        <v>573.554149374999</v>
      </c>
      <c r="AU270" s="33" t="n">
        <f aca="false">AT270+AU269</f>
        <v>580.800409374999</v>
      </c>
      <c r="AV270" s="33" t="n">
        <f aca="false">AU270+AV269</f>
        <v>588.046669374999</v>
      </c>
      <c r="AW270" s="33" t="n">
        <f aca="false">AV270+AW269</f>
        <v>595.292929374999</v>
      </c>
      <c r="AX270" s="33" t="n">
        <f aca="false">AW270+AX269</f>
        <v>595.292929374999</v>
      </c>
      <c r="AY270" s="33" t="n">
        <f aca="false">AX270+AY269</f>
        <v>595.292929374999</v>
      </c>
      <c r="AZ270" s="33" t="n">
        <f aca="false">AY270+AZ269</f>
        <v>595.292929374999</v>
      </c>
      <c r="BA270" s="33" t="n">
        <f aca="false">AZ270+BA269</f>
        <v>595.292929374999</v>
      </c>
      <c r="BB270" s="33" t="n">
        <f aca="false">BA270+BB269</f>
        <v>595.292929374999</v>
      </c>
      <c r="BC270" s="33" t="n">
        <f aca="false">BB270+BC269</f>
        <v>595.292929374999</v>
      </c>
      <c r="BD270" s="33" t="n">
        <f aca="false">BC270+BD269</f>
        <v>595.292929374999</v>
      </c>
      <c r="BE270" s="33" t="n">
        <f aca="false">BD270+BE269</f>
        <v>595.292929374999</v>
      </c>
      <c r="BF270" s="33" t="n">
        <f aca="false">BE270+BF269</f>
        <v>595.292929374999</v>
      </c>
      <c r="BG270" s="33" t="n">
        <f aca="false">BF270+BG269</f>
        <v>595.292929374999</v>
      </c>
      <c r="BH270" s="33" t="n">
        <f aca="false">BG270+BH269</f>
        <v>595.292929374999</v>
      </c>
      <c r="BI270" s="33" t="n">
        <f aca="false">BH270+BI269</f>
        <v>595.292929374999</v>
      </c>
      <c r="BJ270" s="33" t="n">
        <f aca="false">BI270+BJ269</f>
        <v>595.292929374999</v>
      </c>
      <c r="BK270" s="33" t="n">
        <f aca="false">BJ270+BK269</f>
        <v>595.292929374999</v>
      </c>
    </row>
    <row r="271" customFormat="false" ht="15" hidden="false" customHeight="false" outlineLevel="0" collapsed="false">
      <c r="A271" s="3" t="s">
        <v>340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-50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0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0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35.9259259259259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35.9259259259259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35.9259259259259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35.9259259259259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341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0</v>
      </c>
      <c r="N272" s="33" t="n">
        <f aca="false">IF(AND(Source_Data!N$6&gt;=Inputs!$B$54,Source_Data!N$6&lt;Inputs!$B$54+3*Inputs!$B$11),Inputs!$B$9*Inputs!$B$7/Inputs!$B$11,0)</f>
        <v>0</v>
      </c>
      <c r="O272" s="33" t="n">
        <f aca="false">IF(AND(Source_Data!O$6&gt;=Inputs!$B$54,Source_Data!O$6&lt;Inputs!$B$54+3*Inputs!$B$11),Inputs!$B$9*Inputs!$B$7/Inputs!$B$11,0)</f>
        <v>0</v>
      </c>
      <c r="P272" s="33" t="n">
        <f aca="false">IF(AND(Source_Data!P$6&gt;=Inputs!$B$54,Source_Data!P$6&lt;Inputs!$B$54+3*Inputs!$B$11),Inputs!$B$9*Inputs!$B$7/Inputs!$B$11,0)</f>
        <v>9.58333333333333</v>
      </c>
      <c r="Q272" s="33" t="n">
        <f aca="false">IF(AND(Source_Data!Q$6&gt;=Inputs!$B$54,Source_Data!Q$6&lt;Inputs!$B$54+3*Inputs!$B$11),Inputs!$B$9*Inputs!$B$7/Inputs!$B$11,0)</f>
        <v>9.58333333333333</v>
      </c>
      <c r="R272" s="33" t="n">
        <f aca="false">IF(AND(Source_Data!R$6&gt;=Inputs!$B$54,Source_Data!R$6&lt;Inputs!$B$54+3*Inputs!$B$11),Inputs!$B$9*Inputs!$B$7/Inputs!$B$11,0)</f>
        <v>9.58333333333333</v>
      </c>
      <c r="S272" s="33" t="n">
        <f aca="false">IF(AND(Source_Data!S$6&gt;=Inputs!$B$54,Source_Data!S$6&lt;Inputs!$B$54+3*Inputs!$B$11),Inputs!$B$9*Inputs!$B$7/Inputs!$B$11,0)</f>
        <v>9.58333333333333</v>
      </c>
      <c r="T272" s="33" t="n">
        <f aca="false">IF(AND(Source_Data!T$6&gt;=Inputs!$B$54,Source_Data!T$6&lt;Inputs!$B$54+3*Inputs!$B$11),Inputs!$B$9*Inputs!$B$7/Inputs!$B$11,0)</f>
        <v>9.58333333333333</v>
      </c>
      <c r="U272" s="33" t="n">
        <f aca="false">IF(AND(Source_Data!U$6&gt;=Inputs!$B$54,Source_Data!U$6&lt;Inputs!$B$54+3*Inputs!$B$11),Inputs!$B$9*Inputs!$B$7/Inputs!$B$11,0)</f>
        <v>9.58333333333333</v>
      </c>
      <c r="V272" s="33" t="n">
        <f aca="false">IF(AND(Source_Data!V$6&gt;=Inputs!$B$54,Source_Data!V$6&lt;Inputs!$B$54+3*Inputs!$B$11),Inputs!$B$9*Inputs!$B$7/Inputs!$B$11,0)</f>
        <v>9.58333333333333</v>
      </c>
      <c r="W272" s="33" t="n">
        <f aca="false">IF(AND(Source_Data!W$6&gt;=Inputs!$B$54,Source_Data!W$6&lt;Inputs!$B$54+3*Inputs!$B$11),Inputs!$B$9*Inputs!$B$7/Inputs!$B$11,0)</f>
        <v>9.58333333333333</v>
      </c>
      <c r="X272" s="33" t="n">
        <f aca="false">IF(AND(Source_Data!X$6&gt;=Inputs!$B$54,Source_Data!X$6&lt;Inputs!$B$54+3*Inputs!$B$11),Inputs!$B$9*Inputs!$B$7/Inputs!$B$11,0)</f>
        <v>9.58333333333333</v>
      </c>
      <c r="Y272" s="33" t="n">
        <f aca="false">IF(AND(Source_Data!Y$6&gt;=Inputs!$B$54,Source_Data!Y$6&lt;Inputs!$B$54+3*Inputs!$B$11),Inputs!$B$9*Inputs!$B$7/Inputs!$B$11,0)</f>
        <v>9.58333333333333</v>
      </c>
      <c r="Z272" s="33" t="n">
        <f aca="false">IF(AND(Source_Data!Z$6&gt;=Inputs!$B$54,Source_Data!Z$6&lt;Inputs!$B$54+3*Inputs!$B$11),Inputs!$B$9*Inputs!$B$7/Inputs!$B$11,0)</f>
        <v>9.58333333333333</v>
      </c>
      <c r="AA272" s="33" t="n">
        <f aca="false">IF(AND(Source_Data!AA$6&gt;=Inputs!$B$54,Source_Data!AA$6&lt;Inputs!$B$54+3*Inputs!$B$11),Inputs!$B$9*Inputs!$B$7/Inputs!$B$11,0)</f>
        <v>9.58333333333333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342</v>
      </c>
      <c r="D273" s="33" t="n">
        <f aca="false">IF(Source_Data!D$6=Inputs!$B$12,-Inputs!$B$7,0)+D272</f>
        <v>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-50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0</v>
      </c>
      <c r="N273" s="33" t="n">
        <f aca="false">IF(Source_Data!N$6=Inputs!$B$12,-Inputs!$B$7,0)+N272</f>
        <v>0</v>
      </c>
      <c r="O273" s="33" t="n">
        <f aca="false">IF(Source_Data!O$6=Inputs!$B$12,-Inputs!$B$7,0)+O272</f>
        <v>0</v>
      </c>
      <c r="P273" s="33" t="n">
        <f aca="false">IF(Source_Data!P$6=Inputs!$B$12,-Inputs!$B$7,0)+P272</f>
        <v>9.58333333333333</v>
      </c>
      <c r="Q273" s="33" t="n">
        <f aca="false">IF(Source_Data!Q$6=Inputs!$B$12,-Inputs!$B$7,0)+Q272</f>
        <v>9.58333333333333</v>
      </c>
      <c r="R273" s="33" t="n">
        <f aca="false">IF(Source_Data!R$6=Inputs!$B$12,-Inputs!$B$7,0)+R272</f>
        <v>9.58333333333333</v>
      </c>
      <c r="S273" s="33" t="n">
        <f aca="false">IF(Source_Data!S$6=Inputs!$B$12,-Inputs!$B$7,0)+S272</f>
        <v>9.58333333333333</v>
      </c>
      <c r="T273" s="33" t="n">
        <f aca="false">IF(Source_Data!T$6=Inputs!$B$12,-Inputs!$B$7,0)+T272</f>
        <v>9.58333333333333</v>
      </c>
      <c r="U273" s="33" t="n">
        <f aca="false">IF(Source_Data!U$6=Inputs!$B$12,-Inputs!$B$7,0)+U272</f>
        <v>9.58333333333333</v>
      </c>
      <c r="V273" s="33" t="n">
        <f aca="false">IF(Source_Data!V$6=Inputs!$B$12,-Inputs!$B$7,0)+V272</f>
        <v>9.58333333333333</v>
      </c>
      <c r="W273" s="33" t="n">
        <f aca="false">IF(Source_Data!W$6=Inputs!$B$12,-Inputs!$B$7,0)+W272</f>
        <v>9.58333333333333</v>
      </c>
      <c r="X273" s="33" t="n">
        <f aca="false">IF(Source_Data!X$6=Inputs!$B$12,-Inputs!$B$7,0)+X272</f>
        <v>9.58333333333333</v>
      </c>
      <c r="Y273" s="33" t="n">
        <f aca="false">IF(Source_Data!Y$6=Inputs!$B$12,-Inputs!$B$7,0)+Y272</f>
        <v>9.58333333333333</v>
      </c>
      <c r="Z273" s="33" t="n">
        <f aca="false">IF(Source_Data!Z$6=Inputs!$B$12,-Inputs!$B$7,0)+Z272</f>
        <v>9.58333333333333</v>
      </c>
      <c r="AA273" s="33" t="n">
        <f aca="false">IF(Source_Data!AA$6=Inputs!$B$12,-Inputs!$B$7,0)+AA272</f>
        <v>9.58333333333333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343</v>
      </c>
      <c r="D274" s="33" t="n">
        <f aca="false">IF(Source_Data!D$6=Inputs!$B$12,Inputs!$B$7,0)+D269-D272</f>
        <v>0</v>
      </c>
      <c r="E274" s="33" t="n">
        <f aca="false">D274+IF(Source_Data!E$6=Inputs!$B$12,Inputs!$B$7,0)+E269-E272</f>
        <v>0</v>
      </c>
      <c r="F274" s="33" t="n">
        <f aca="false">E274+IF(Source_Data!F$6=Inputs!$B$12,Inputs!$B$7,0)+F269-F272</f>
        <v>0</v>
      </c>
      <c r="G274" s="33" t="n">
        <f aca="false">F274+IF(Source_Data!G$6=Inputs!$B$12,Inputs!$B$7,0)+G269-G272</f>
        <v>-35</v>
      </c>
      <c r="H274" s="33" t="n">
        <f aca="false">G274+IF(Source_Data!H$6=Inputs!$B$12,Inputs!$B$7,0)+H269-H272</f>
        <v>-57.5</v>
      </c>
      <c r="I274" s="33" t="n">
        <f aca="false">H274+IF(Source_Data!I$6=Inputs!$B$12,Inputs!$B$7,0)+I269-I272</f>
        <v>-80</v>
      </c>
      <c r="J274" s="33" t="n">
        <f aca="false">I274+IF(Source_Data!J$6=Inputs!$B$12,Inputs!$B$7,0)+J269-J272</f>
        <v>-125.5</v>
      </c>
      <c r="K274" s="33" t="n">
        <f aca="false">J274+IF(Source_Data!K$6=Inputs!$B$12,Inputs!$B$7,0)+K269-K272</f>
        <v>-178.36</v>
      </c>
      <c r="L274" s="33" t="n">
        <f aca="false">K274+IF(Source_Data!L$6=Inputs!$B$12,Inputs!$B$7,0)+L269-L272</f>
        <v>-269.36</v>
      </c>
      <c r="M274" s="33" t="n">
        <f aca="false">L274+IF(Source_Data!M$6=Inputs!$B$12,Inputs!$B$7,0)+M269-M272</f>
        <v>-344.72</v>
      </c>
      <c r="N274" s="33" t="n">
        <f aca="false">M274+IF(Source_Data!N$6=Inputs!$B$12,Inputs!$B$7,0)+N269-N272</f>
        <v>-420.08</v>
      </c>
      <c r="O274" s="33" t="n">
        <f aca="false">N274+IF(Source_Data!O$6=Inputs!$B$12,Inputs!$B$7,0)+O269-O272</f>
        <v>-495.44</v>
      </c>
      <c r="P274" s="33" t="n">
        <f aca="false">O274+IF(Source_Data!P$6=Inputs!$B$12,Inputs!$B$7,0)+P269-P272</f>
        <v>-549.229683333334</v>
      </c>
      <c r="Q274" s="33" t="n">
        <f aca="false">P274+IF(Source_Data!Q$6=Inputs!$B$12,Inputs!$B$7,0)+Q269-Q272</f>
        <v>-584.903716666667</v>
      </c>
      <c r="R274" s="33" t="n">
        <f aca="false">Q274+IF(Source_Data!R$6=Inputs!$B$12,Inputs!$B$7,0)+R269-R272</f>
        <v>-730.476225</v>
      </c>
      <c r="S274" s="33" t="n">
        <f aca="false">R274+IF(Source_Data!S$6=Inputs!$B$12,Inputs!$B$7,0)+S269-S272</f>
        <v>-865.291168333334</v>
      </c>
      <c r="T274" s="33" t="n">
        <f aca="false">S274+IF(Source_Data!T$6=Inputs!$B$12,Inputs!$B$7,0)+T269-T272</f>
        <v>-1055.87947666667</v>
      </c>
      <c r="U274" s="33" t="n">
        <f aca="false">T274+IF(Source_Data!U$6=Inputs!$B$12,Inputs!$B$7,0)+U269-U272</f>
        <v>-1186.5320625</v>
      </c>
      <c r="V274" s="33" t="n">
        <f aca="false">U274+IF(Source_Data!V$6=Inputs!$B$12,Inputs!$B$7,0)+V269-V272</f>
        <v>-1164.67928083333</v>
      </c>
      <c r="W274" s="33" t="n">
        <f aca="false">V274+IF(Source_Data!W$6=Inputs!$B$12,Inputs!$B$7,0)+W269-W272</f>
        <v>-1120.85661416667</v>
      </c>
      <c r="X274" s="33" t="n">
        <f aca="false">W274+IF(Source_Data!X$6=Inputs!$B$12,Inputs!$B$7,0)+X269-X272</f>
        <v>-1045.61963125</v>
      </c>
      <c r="Y274" s="33" t="n">
        <f aca="false">X274+IF(Source_Data!Y$6=Inputs!$B$12,Inputs!$B$7,0)+Y269-Y272</f>
        <v>-960.200982083334</v>
      </c>
      <c r="Z274" s="33" t="n">
        <f aca="false">Y274+IF(Source_Data!Z$6=Inputs!$B$12,Inputs!$B$7,0)+Z269-Z272</f>
        <v>-316.738307916667</v>
      </c>
      <c r="AA274" s="33" t="n">
        <f aca="false">Z274+IF(Source_Data!AA$6=Inputs!$B$12,Inputs!$B$7,0)+AA269-AA272</f>
        <v>-184.72590875</v>
      </c>
      <c r="AB274" s="33" t="n">
        <f aca="false">AA274+IF(Source_Data!AB$6=Inputs!$B$12,Inputs!$B$7,0)+AB269-AB272</f>
        <v>-80.3596362500005</v>
      </c>
      <c r="AC274" s="33" t="n">
        <f aca="false">AB274+IF(Source_Data!AC$6=Inputs!$B$12,Inputs!$B$7,0)+AC269-AC272</f>
        <v>0.747036249999496</v>
      </c>
      <c r="AD274" s="33" t="n">
        <f aca="false">AC274+IF(Source_Data!AD$6=Inputs!$B$12,Inputs!$B$7,0)+AD269-AD272</f>
        <v>82.5470237499995</v>
      </c>
      <c r="AE274" s="33" t="n">
        <f aca="false">AD274+IF(Source_Data!AE$6=Inputs!$B$12,Inputs!$B$7,0)+AE269-AE272</f>
        <v>162.535446249999</v>
      </c>
      <c r="AF274" s="33" t="n">
        <f aca="false">AE274+IF(Source_Data!AF$6=Inputs!$B$12,Inputs!$B$7,0)+AF269-AF272</f>
        <v>-1.37670343750037</v>
      </c>
      <c r="AG274" s="33" t="n">
        <f aca="false">AF274+IF(Source_Data!AG$6=Inputs!$B$12,Inputs!$B$7,0)+AG269-AG272</f>
        <v>52.6694839062496</v>
      </c>
      <c r="AH274" s="33" t="n">
        <f aca="false">AG274+IF(Source_Data!AH$6=Inputs!$B$12,Inputs!$B$7,0)+AH269-AH272</f>
        <v>99.5879923437496</v>
      </c>
      <c r="AI274" s="33" t="n">
        <f aca="false">AH274+IF(Source_Data!AI$6=Inputs!$B$12,Inputs!$B$7,0)+AI269-AI272</f>
        <v>137.902731875</v>
      </c>
      <c r="AJ274" s="33" t="n">
        <f aca="false">AI274+IF(Source_Data!AJ$6=Inputs!$B$12,Inputs!$B$7,0)+AJ269-AJ272</f>
        <v>178.93761453125</v>
      </c>
      <c r="AK274" s="33" t="n">
        <f aca="false">AJ274+IF(Source_Data!AK$6=Inputs!$B$12,Inputs!$B$7,0)+AK269-AK272</f>
        <v>221.547831874999</v>
      </c>
      <c r="AL274" s="33" t="n">
        <f aca="false">AK274+IF(Source_Data!AL$6=Inputs!$B$12,Inputs!$B$7,0)+AL269-AL272</f>
        <v>265.24251875</v>
      </c>
      <c r="AM274" s="33" t="n">
        <f aca="false">AL274+IF(Source_Data!AM$6=Inputs!$B$12,Inputs!$B$7,0)+AM269-AM272</f>
        <v>313.118528749999</v>
      </c>
      <c r="AN274" s="33" t="n">
        <f aca="false">AM274+IF(Source_Data!AN$6=Inputs!$B$12,Inputs!$B$7,0)+AN269-AN272</f>
        <v>353.879673124999</v>
      </c>
      <c r="AO274" s="33" t="n">
        <f aca="false">AN274+IF(Source_Data!AO$6=Inputs!$B$12,Inputs!$B$7,0)+AO269-AO272</f>
        <v>387.525951874999</v>
      </c>
      <c r="AP274" s="33" t="n">
        <f aca="false">AO274+IF(Source_Data!AP$6=Inputs!$B$12,Inputs!$B$7,0)+AP269-AP272</f>
        <v>420.484506874999</v>
      </c>
      <c r="AQ274" s="33" t="n">
        <f aca="false">AP274+IF(Source_Data!AQ$6=Inputs!$B$12,Inputs!$B$7,0)+AQ269-AQ272</f>
        <v>449.585099374999</v>
      </c>
      <c r="AR274" s="33" t="n">
        <f aca="false">AQ274+IF(Source_Data!AR$6=Inputs!$B$12,Inputs!$B$7,0)+AR269-AR272</f>
        <v>472.468221874999</v>
      </c>
      <c r="AS274" s="33" t="n">
        <f aca="false">AR274+IF(Source_Data!AS$6=Inputs!$B$12,Inputs!$B$7,0)+AS269-AS272</f>
        <v>491.750579374999</v>
      </c>
      <c r="AT274" s="33" t="n">
        <f aca="false">AS274+IF(Source_Data!AT$6=Inputs!$B$12,Inputs!$B$7,0)+AT269-AT272</f>
        <v>508.554149374999</v>
      </c>
      <c r="AU274" s="33" t="n">
        <f aca="false">AT274+IF(Source_Data!AU$6=Inputs!$B$12,Inputs!$B$7,0)+AU269-AU272</f>
        <v>515.800409374999</v>
      </c>
      <c r="AV274" s="33" t="n">
        <f aca="false">AU274+IF(Source_Data!AV$6=Inputs!$B$12,Inputs!$B$7,0)+AV269-AV272</f>
        <v>523.046669374999</v>
      </c>
      <c r="AW274" s="33" t="n">
        <f aca="false">AV274+IF(Source_Data!AW$6=Inputs!$B$12,Inputs!$B$7,0)+AW269-AW272</f>
        <v>530.292929374999</v>
      </c>
      <c r="AX274" s="33" t="n">
        <f aca="false">AW274+IF(Source_Data!AX$6=Inputs!$B$12,Inputs!$B$7,0)+AX269-AX272</f>
        <v>530.292929374999</v>
      </c>
      <c r="AY274" s="33" t="n">
        <f aca="false">AX274+IF(Source_Data!AY$6=Inputs!$B$12,Inputs!$B$7,0)+AY269-AY272</f>
        <v>530.292929374999</v>
      </c>
      <c r="AZ274" s="33" t="n">
        <f aca="false">AY274+IF(Source_Data!AZ$6=Inputs!$B$12,Inputs!$B$7,0)+AZ269-AZ272</f>
        <v>530.292929374999</v>
      </c>
      <c r="BA274" s="33" t="n">
        <f aca="false">AZ274+IF(Source_Data!BA$6=Inputs!$B$12,Inputs!$B$7,0)+BA269-BA272</f>
        <v>530.292929374999</v>
      </c>
      <c r="BB274" s="33" t="n">
        <f aca="false">BA274+IF(Source_Data!BB$6=Inputs!$B$12,Inputs!$B$7,0)+BB269-BB272</f>
        <v>530.292929374999</v>
      </c>
      <c r="BC274" s="33" t="n">
        <f aca="false">BB274+IF(Source_Data!BC$6=Inputs!$B$12,Inputs!$B$7,0)+BC269-BC272</f>
        <v>530.292929374999</v>
      </c>
      <c r="BD274" s="33" t="n">
        <f aca="false">BC274+IF(Source_Data!BD$6=Inputs!$B$12,Inputs!$B$7,0)+BD269-BD272</f>
        <v>530.292929374999</v>
      </c>
      <c r="BE274" s="33" t="n">
        <f aca="false">BD274+IF(Source_Data!BE$6=Inputs!$B$12,Inputs!$B$7,0)+BE269-BE272</f>
        <v>530.292929374999</v>
      </c>
      <c r="BF274" s="33" t="n">
        <f aca="false">BE274+IF(Source_Data!BF$6=Inputs!$B$12,Inputs!$B$7,0)+BF269-BF272</f>
        <v>530.292929374999</v>
      </c>
      <c r="BG274" s="33" t="n">
        <f aca="false">BF274+IF(Source_Data!BG$6=Inputs!$B$12,Inputs!$B$7,0)+BG269-BG272</f>
        <v>530.292929374999</v>
      </c>
      <c r="BH274" s="33" t="n">
        <f aca="false">BG274+IF(Source_Data!BH$6=Inputs!$B$12,Inputs!$B$7,0)+BH269-BH272</f>
        <v>530.292929374999</v>
      </c>
      <c r="BI274" s="33" t="n">
        <f aca="false">BH274+IF(Source_Data!BI$6=Inputs!$B$12,Inputs!$B$7,0)+BI269-BI272</f>
        <v>530.292929374999</v>
      </c>
      <c r="BJ274" s="33" t="n">
        <f aca="false">BI274+IF(Source_Data!BJ$6=Inputs!$B$12,Inputs!$B$7,0)+BJ269-BJ272</f>
        <v>530.292929374999</v>
      </c>
      <c r="BK274" s="33" t="n">
        <f aca="false">BJ274+IF(Source_Data!BK$6=Inputs!$B$12,Inputs!$B$7,0)+BK269-BK272</f>
        <v>530.292929374999</v>
      </c>
    </row>
    <row r="275" customFormat="false" ht="15" hidden="false" customHeight="false" outlineLevel="0" collapsed="false">
      <c r="A275" s="3" t="s">
        <v>344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str">
        <f aca="false">IF(M272&gt;0,M269/M272,"")</f>
        <v/>
      </c>
      <c r="N275" s="31" t="str">
        <f aca="false">IF(N272&gt;0,N269/N272,"")</f>
        <v/>
      </c>
      <c r="O275" s="31" t="str">
        <f aca="false">IF(O272&gt;0,O269/O272,"")</f>
        <v/>
      </c>
      <c r="P275" s="31" t="n">
        <f aca="false">IF(P272&gt;0,P269/P272,"")</f>
        <v>-4.61283652173913</v>
      </c>
      <c r="Q275" s="31" t="n">
        <f aca="false">IF(Q272&gt;0,Q269/Q272,"")</f>
        <v>-2.72250782608696</v>
      </c>
      <c r="R275" s="31" t="n">
        <f aca="false">IF(R272&gt;0,R269/R272,"")</f>
        <v>-14.1901747826087</v>
      </c>
      <c r="S275" s="31" t="n">
        <f aca="false">IF(S272&gt;0,S269/S272,"")</f>
        <v>-13.0676462608696</v>
      </c>
      <c r="T275" s="31" t="n">
        <f aca="false">IF(T272&gt;0,T269/T272,"")</f>
        <v>-18.8874756521739</v>
      </c>
      <c r="U275" s="31" t="n">
        <f aca="false">IF(U272&gt;0,U269/U272,"")</f>
        <v>-12.6333133043478</v>
      </c>
      <c r="V275" s="31" t="n">
        <f aca="false">IF(V272&gt;0,V269/V272,"")</f>
        <v>3.28029026086957</v>
      </c>
      <c r="W275" s="31" t="n">
        <f aca="false">IF(W272&gt;0,W269/W272,"")</f>
        <v>5.5728</v>
      </c>
      <c r="X275" s="31" t="n">
        <f aca="false">IF(X272&gt;0,X269/X272,"")</f>
        <v>8.85081560869566</v>
      </c>
      <c r="Y275" s="31" t="n">
        <f aca="false">IF(Y272&gt;0,Y269/Y272,"")</f>
        <v>9.91325034782609</v>
      </c>
      <c r="Z275" s="31" t="n">
        <f aca="false">IF(Z272&gt;0,Z269/Z272,"")</f>
        <v>68.1439312173913</v>
      </c>
      <c r="AA275" s="31" t="n">
        <f aca="false">IF(AA272&gt;0,AA269/AA272,"")</f>
        <v>14.7752068695652</v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345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str">
        <f aca="false">IF(M272&gt;0,(L274+M269+IF(Source_Data!M$6=Inputs!$B$12,Inputs!$B$7,0))/M272,"")</f>
        <v/>
      </c>
      <c r="N276" s="31" t="str">
        <f aca="false">IF(N272&gt;0,(M274+N269+IF(Source_Data!N$6=Inputs!$B$12,Inputs!$B$7,0))/N272,"")</f>
        <v/>
      </c>
      <c r="O276" s="31" t="str">
        <f aca="false">IF(O272&gt;0,(N274+O269+IF(Source_Data!O$6=Inputs!$B$12,Inputs!$B$7,0))/O272,"")</f>
        <v/>
      </c>
      <c r="P276" s="31" t="n">
        <f aca="false">IF(P272&gt;0,(O274+P269+IF(Source_Data!P$6=Inputs!$B$12,Inputs!$B$7,0))/P272,"")</f>
        <v>-56.3109234782609</v>
      </c>
      <c r="Q276" s="31" t="n">
        <f aca="false">IF(Q272&gt;0,(P274+Q269+IF(Source_Data!Q$6=Inputs!$B$12,Inputs!$B$7,0))/Q272,"")</f>
        <v>-60.0334313043478</v>
      </c>
      <c r="R276" s="31" t="n">
        <f aca="false">IF(R272&gt;0,(Q274+R269+IF(Source_Data!R$6=Inputs!$B$12,Inputs!$B$7,0))/R272,"")</f>
        <v>-75.2236060869566</v>
      </c>
      <c r="S276" s="31" t="n">
        <f aca="false">IF(S272&gt;0,(R274+S269+IF(Source_Data!S$6=Inputs!$B$12,Inputs!$B$7,0))/S272,"")</f>
        <v>-89.2912523478261</v>
      </c>
      <c r="T276" s="31" t="n">
        <f aca="false">IF(T272&gt;0,(S274+T269+IF(Source_Data!T$6=Inputs!$B$12,Inputs!$B$7,0))/T272,"")</f>
        <v>-109.178728</v>
      </c>
      <c r="U276" s="31" t="n">
        <f aca="false">IF(U272&gt;0,(T274+U269+IF(Source_Data!U$6=Inputs!$B$12,Inputs!$B$7,0))/U272,"")</f>
        <v>-122.812041304348</v>
      </c>
      <c r="V276" s="31" t="n">
        <f aca="false">IF(V272&gt;0,(U274+V269+IF(Source_Data!V$6=Inputs!$B$12,Inputs!$B$7,0))/V272,"")</f>
        <v>-120.531751043478</v>
      </c>
      <c r="W276" s="31" t="n">
        <f aca="false">IF(W272&gt;0,(V274+W269+IF(Source_Data!W$6=Inputs!$B$12,Inputs!$B$7,0))/W272,"")</f>
        <v>-115.958951043478</v>
      </c>
      <c r="X276" s="31" t="n">
        <f aca="false">IF(X272&gt;0,(W274+X269+IF(Source_Data!X$6=Inputs!$B$12,Inputs!$B$7,0))/X272,"")</f>
        <v>-108.108135434783</v>
      </c>
      <c r="Y276" s="31" t="n">
        <f aca="false">IF(Y272&gt;0,(X274+Y269+IF(Source_Data!Y$6=Inputs!$B$12,Inputs!$B$7,0))/Y272,"")</f>
        <v>-99.1948850869566</v>
      </c>
      <c r="Z276" s="31" t="n">
        <f aca="false">IF(Z272&gt;0,(Y274+Z269+IF(Source_Data!Z$6=Inputs!$B$12,Inputs!$B$7,0))/Z272,"")</f>
        <v>-32.0509538695653</v>
      </c>
      <c r="AA276" s="31" t="n">
        <f aca="false">IF(AA272&gt;0,(Z274+AA269+IF(Source_Data!AA$6=Inputs!$B$12,Inputs!$B$7,0))/AA272,"")</f>
        <v>-18.275747</v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220</v>
      </c>
      <c r="B278" s="41" t="n">
        <f aca="false">SUM(D269:BK269)</f>
        <v>595.292929375</v>
      </c>
    </row>
    <row r="279" customFormat="false" ht="15" hidden="false" customHeight="false" outlineLevel="0" collapsed="false">
      <c r="A279" s="2" t="s">
        <v>346</v>
      </c>
      <c r="B279" s="41" t="n">
        <f aca="false">SUMPRODUCT(D269:BK269,Project_CF!$D$15:$BK$15)</f>
        <v>-33.7388961345581</v>
      </c>
    </row>
    <row r="280" customFormat="false" ht="15" hidden="false" customHeight="false" outlineLevel="0" collapsed="false">
      <c r="A280" s="2" t="s">
        <v>162</v>
      </c>
      <c r="B280" s="41" t="n">
        <f aca="false">MIN(D270:BK270)</f>
        <v>-1179.0320625</v>
      </c>
    </row>
    <row r="281" customFormat="false" ht="15" hidden="false" customHeight="false" outlineLevel="0" collapsed="false">
      <c r="A281" s="2" t="s">
        <v>347</v>
      </c>
      <c r="B281" s="35" t="n">
        <f aca="false">INDEX(Project_CF!$D$6:$BK$6,MATCH(MIN(D270:BK270),D270:BK270,0))</f>
        <v>54</v>
      </c>
    </row>
    <row r="282" customFormat="false" ht="15" hidden="false" customHeight="false" outlineLevel="0" collapsed="false">
      <c r="A282" s="2" t="s">
        <v>348</v>
      </c>
      <c r="B282" s="39" t="n">
        <f aca="false">(1+IRR(D271:BK271,0.05))^4-1</f>
        <v>0.188336005761225</v>
      </c>
    </row>
    <row r="283" customFormat="false" ht="15" hidden="false" customHeight="false" outlineLevel="0" collapsed="false">
      <c r="A283" s="2" t="s">
        <v>349</v>
      </c>
      <c r="B283" s="40" t="n">
        <f aca="false">SUMIF(D271:BK271,"&gt;0")/-SUMIF(D271:BK271,"&lt;0")</f>
        <v>2.87407407407407</v>
      </c>
    </row>
    <row r="284" customFormat="false" ht="15" hidden="false" customHeight="false" outlineLevel="0" collapsed="false">
      <c r="A284" s="2" t="s">
        <v>350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351</v>
      </c>
      <c r="B285" s="41" t="n">
        <f aca="false">MIN(D274:BK274)</f>
        <v>-1186.5320625</v>
      </c>
    </row>
    <row r="286" customFormat="false" ht="15" hidden="false" customHeight="false" outlineLevel="0" collapsed="false">
      <c r="A286" s="2" t="s">
        <v>352</v>
      </c>
      <c r="B286" s="43" t="n">
        <f aca="false">MIN(D275:BK275)</f>
        <v>-18.8874756521739</v>
      </c>
    </row>
    <row r="287" customFormat="false" ht="15" hidden="false" customHeight="false" outlineLevel="0" collapsed="false">
      <c r="A287" s="2" t="s">
        <v>353</v>
      </c>
      <c r="B287" s="35" t="n">
        <f aca="false">COUNTIF(D275:BK275,"&lt;"&amp;Inputs!$B$43)</f>
        <v>6</v>
      </c>
    </row>
    <row r="288" customFormat="false" ht="15" hidden="false" customHeight="false" outlineLevel="0" collapsed="false">
      <c r="A288" s="2" t="s">
        <v>354</v>
      </c>
      <c r="B288" s="43" t="n">
        <f aca="false">MIN(D276:BK276)</f>
        <v>-122.812041304348</v>
      </c>
    </row>
    <row r="289" customFormat="false" ht="15" hidden="false" customHeight="false" outlineLevel="0" collapsed="false">
      <c r="A289" s="2" t="s">
        <v>355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366</v>
      </c>
    </row>
    <row r="293" customFormat="false" ht="15" hidden="false" customHeight="false" outlineLevel="0" collapsed="false">
      <c r="A293" s="3" t="s">
        <v>331</v>
      </c>
      <c r="B293" s="45" t="n">
        <v>1</v>
      </c>
    </row>
    <row r="294" customFormat="false" ht="15" hidden="false" customHeight="false" outlineLevel="0" collapsed="false">
      <c r="A294" s="3" t="s">
        <v>332</v>
      </c>
      <c r="B294" s="45" t="n">
        <v>0</v>
      </c>
    </row>
    <row r="295" customFormat="false" ht="15" hidden="false" customHeight="false" outlineLevel="0" collapsed="false">
      <c r="A295" s="3" t="s">
        <v>333</v>
      </c>
      <c r="B295" s="45" t="n">
        <v>1.1</v>
      </c>
    </row>
    <row r="296" customFormat="false" ht="15" hidden="false" customHeight="false" outlineLevel="0" collapsed="false">
      <c r="A296" s="3" t="s">
        <v>334</v>
      </c>
      <c r="B296" s="45" t="n">
        <v>0</v>
      </c>
    </row>
    <row r="297" customFormat="false" ht="15" hidden="false" customHeight="false" outlineLevel="0" collapsed="false">
      <c r="A297" s="3" t="s">
        <v>335</v>
      </c>
      <c r="B297" s="45" t="n">
        <v>0</v>
      </c>
    </row>
    <row r="298" customFormat="false" ht="15" hidden="false" customHeight="false" outlineLevel="0" collapsed="false">
      <c r="A298" s="3" t="s">
        <v>336</v>
      </c>
      <c r="B298" s="3" t="n">
        <f aca="false">Inputs!$B$13+3+3*$B$294</f>
        <v>57</v>
      </c>
    </row>
    <row r="299" customFormat="false" ht="15" hidden="false" customHeight="false" outlineLevel="0" collapsed="false">
      <c r="A299" s="3" t="s">
        <v>337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0</v>
      </c>
      <c r="G299" s="33" t="n">
        <f aca="false">Source_Data!G$7+IF($B$297=1,IF(Source_Data!G$6=Inputs!$B$13,Source_Data!$C$8,0),Source_Data!G$8)</f>
        <v>0</v>
      </c>
      <c r="H299" s="33" t="n">
        <f aca="false">Source_Data!H$7+IF($B$297=1,IF(Source_Data!H$6=Inputs!$B$13,Source_Data!$C$8,0),Source_Data!H$8)</f>
        <v>18.11565</v>
      </c>
      <c r="I299" s="33" t="n">
        <f aca="false">Source_Data!I$7+IF($B$297=1,IF(Source_Data!I$6=Inputs!$B$13,Source_Data!$C$8,0),Source_Data!I$8)</f>
        <v>36.2313</v>
      </c>
      <c r="J299" s="33" t="n">
        <f aca="false">Source_Data!J$7+IF($B$297=1,IF(Source_Data!J$6=Inputs!$B$13,Source_Data!$C$8,0),Source_Data!J$8)</f>
        <v>58.260825</v>
      </c>
      <c r="K299" s="33" t="n">
        <f aca="false">Source_Data!K$7+IF($B$297=1,IF(Source_Data!K$6=Inputs!$B$13,Source_Data!$C$8,0),Source_Data!K$8)</f>
        <v>69.01839</v>
      </c>
      <c r="L299" s="33" t="n">
        <f aca="false">Source_Data!L$7+IF($B$297=1,IF(Source_Data!L$6=Inputs!$B$13,Source_Data!$C$8,0),Source_Data!L$8)</f>
        <v>67.087545</v>
      </c>
      <c r="M299" s="33" t="n">
        <f aca="false">Source_Data!M$7+IF($B$297=1,IF(Source_Data!M$6=Inputs!$B$13,Source_Data!$C$8,0),Source_Data!M$8)</f>
        <v>72.9732675</v>
      </c>
      <c r="N299" s="33" t="n">
        <f aca="false">Source_Data!N$7+IF($B$297=1,IF(Source_Data!N$6=Inputs!$B$13,Source_Data!$C$8,0),Source_Data!N$8)</f>
        <v>88.871055</v>
      </c>
      <c r="O299" s="33" t="n">
        <f aca="false">Source_Data!O$7+IF($B$297=1,IF(Source_Data!O$6=Inputs!$B$13,Source_Data!$C$8,0),Source_Data!O$8)</f>
        <v>105.60753</v>
      </c>
      <c r="P299" s="33" t="n">
        <f aca="false">Source_Data!P$7+IF($B$297=1,IF(Source_Data!P$6=Inputs!$B$13,Source_Data!$C$8,0),Source_Data!P$8)</f>
        <v>115.25243625</v>
      </c>
      <c r="Q299" s="33" t="n">
        <f aca="false">Source_Data!Q$7+IF($B$297=1,IF(Source_Data!Q$6=Inputs!$B$13,Source_Data!$C$8,0),Source_Data!Q$8)</f>
        <v>124.8973425</v>
      </c>
      <c r="R299" s="33" t="n">
        <f aca="false">Source_Data!R$7+IF($B$297=1,IF(Source_Data!R$6=Inputs!$B$13,Source_Data!$C$8,0),Source_Data!R$8)</f>
        <v>683.0904675</v>
      </c>
      <c r="S299" s="33" t="n">
        <f aca="false">Source_Data!S$7+IF($B$297=1,IF(Source_Data!S$6=Inputs!$B$13,Source_Data!$C$8,0),Source_Data!S$8)</f>
        <v>171.6401925</v>
      </c>
      <c r="T299" s="33" t="n">
        <f aca="false">Source_Data!T$7+IF($B$297=1,IF(Source_Data!T$6=Inputs!$B$13,Source_Data!$C$8,0),Source_Data!T$8)</f>
        <v>112.5965925</v>
      </c>
      <c r="U299" s="33" t="n">
        <f aca="false">Source_Data!U$7+IF($B$297=1,IF(Source_Data!U$6=Inputs!$B$13,Source_Data!$C$8,0),Source_Data!U$8)</f>
        <v>89.3369925</v>
      </c>
      <c r="V299" s="33" t="n">
        <f aca="false">Source_Data!V$7+IF($B$297=1,IF(Source_Data!V$6=Inputs!$B$13,Source_Data!$C$8,0),Source_Data!V$8)</f>
        <v>87.5254275</v>
      </c>
      <c r="W299" s="33" t="n">
        <f aca="false">Source_Data!W$7+IF($B$297=1,IF(Source_Data!W$6=Inputs!$B$13,Source_Data!$C$8,0),Source_Data!W$8)</f>
        <v>85.7138625</v>
      </c>
      <c r="X299" s="33" t="n">
        <f aca="false">Source_Data!X$7+IF($B$297=1,IF(Source_Data!X$6=Inputs!$B$13,Source_Data!$C$8,0),Source_Data!X$8)</f>
        <v>77.279461875</v>
      </c>
      <c r="Y299" s="33" t="n">
        <f aca="false">Source_Data!Y$7+IF($B$297=1,IF(Source_Data!Y$6=Inputs!$B$13,Source_Data!$C$8,0),Source_Data!Y$8)</f>
        <v>70.15341375</v>
      </c>
      <c r="Z299" s="33" t="n">
        <f aca="false">Source_Data!Z$7+IF($B$297=1,IF(Source_Data!Z$6=Inputs!$B$13,Source_Data!$C$8,0),Source_Data!Z$8)</f>
        <v>61.33787625</v>
      </c>
      <c r="AA299" s="33" t="n">
        <f aca="false">Source_Data!AA$7+IF($B$297=1,IF(Source_Data!AA$6=Inputs!$B$13,Source_Data!$C$8,0),Source_Data!AA$8)</f>
        <v>51.04624875</v>
      </c>
      <c r="AB299" s="33" t="n">
        <f aca="false">Source_Data!AB$7+IF($B$297=1,IF(Source_Data!AB$6=Inputs!$B$13,Source_Data!$C$8,0),Source_Data!AB$8)</f>
        <v>51.04624875</v>
      </c>
      <c r="AC299" s="33" t="n">
        <f aca="false">Source_Data!AC$7+IF($B$297=1,IF(Source_Data!AC$6=Inputs!$B$13,Source_Data!$C$8,0),Source_Data!AC$8)</f>
        <v>51.04624875</v>
      </c>
      <c r="AD299" s="33" t="n">
        <f aca="false">Source_Data!AD$7+IF($B$297=1,IF(Source_Data!AD$6=Inputs!$B$13,Source_Data!$C$8,0),Source_Data!AD$8)</f>
        <v>51.04624875</v>
      </c>
      <c r="AE299" s="33" t="n">
        <f aca="false">Source_Data!AE$7+IF($B$297=1,IF(Source_Data!AE$6=Inputs!$B$13,Source_Data!$C$8,0),Source_Data!AE$8)</f>
        <v>51.04624875</v>
      </c>
      <c r="AF299" s="33" t="n">
        <f aca="false">Source_Data!AF$7+IF($B$297=1,IF(Source_Data!AF$6=Inputs!$B$13,Source_Data!$C$8,0),Source_Data!AF$8)</f>
        <v>43.931383125</v>
      </c>
      <c r="AG299" s="33" t="n">
        <f aca="false">Source_Data!AG$7+IF($B$297=1,IF(Source_Data!AG$6=Inputs!$B$13,Source_Data!$C$8,0),Source_Data!AG$8)</f>
        <v>36.8165175</v>
      </c>
      <c r="AH299" s="33" t="n">
        <f aca="false">Source_Data!AH$7+IF($B$297=1,IF(Source_Data!AH$6=Inputs!$B$13,Source_Data!$C$8,0),Source_Data!AH$8)</f>
        <v>32.958555</v>
      </c>
      <c r="AI299" s="33" t="n">
        <f aca="false">Source_Data!AI$7+IF($B$297=1,IF(Source_Data!AI$6=Inputs!$B$13,Source_Data!$C$8,0),Source_Data!AI$8)</f>
        <v>29.1005925</v>
      </c>
      <c r="AJ299" s="33" t="n">
        <f aca="false">Source_Data!AJ$7+IF($B$297=1,IF(Source_Data!AJ$6=Inputs!$B$13,Source_Data!$C$8,0),Source_Data!AJ$8)</f>
        <v>22.8831225</v>
      </c>
      <c r="AK299" s="33" t="n">
        <f aca="false">Source_Data!AK$7+IF($B$297=1,IF(Source_Data!AK$6=Inputs!$B$13,Source_Data!$C$8,0),Source_Data!AK$8)</f>
        <v>19.2823575</v>
      </c>
      <c r="AL299" s="33" t="n">
        <f aca="false">Source_Data!AL$7+IF($B$297=1,IF(Source_Data!AL$6=Inputs!$B$13,Source_Data!$C$8,0),Source_Data!AL$8)</f>
        <v>16.80357</v>
      </c>
      <c r="AM299" s="33" t="n">
        <f aca="false">Source_Data!AM$7+IF($B$297=1,IF(Source_Data!AM$6=Inputs!$B$13,Source_Data!$C$8,0),Source_Data!AM$8)</f>
        <v>7.24626</v>
      </c>
      <c r="AN299" s="33" t="n">
        <f aca="false">Source_Data!AN$7+IF($B$297=1,IF(Source_Data!AN$6=Inputs!$B$13,Source_Data!$C$8,0),Source_Data!AN$8)</f>
        <v>7.24626</v>
      </c>
      <c r="AO299" s="33" t="n">
        <f aca="false">Source_Data!AO$7+IF($B$297=1,IF(Source_Data!AO$6=Inputs!$B$13,Source_Data!$C$8,0),Source_Data!AO$8)</f>
        <v>7.24626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338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0</v>
      </c>
      <c r="G300" s="33" t="n">
        <f aca="false">$B$293*IF(Source_Data!G$5-($B$294+$B$296)&gt;=1,INDEX($D$299:$BK$299,1,Source_Data!G$5-($B$294+$B$296)),0)</f>
        <v>0</v>
      </c>
      <c r="H300" s="33" t="n">
        <f aca="false">$B$293*IF(Source_Data!H$5-($B$294+$B$296)&gt;=1,INDEX($D$299:$BK$299,1,Source_Data!H$5-($B$294+$B$296)),0)</f>
        <v>18.11565</v>
      </c>
      <c r="I300" s="33" t="n">
        <f aca="false">$B$293*IF(Source_Data!I$5-($B$294+$B$296)&gt;=1,INDEX($D$299:$BK$299,1,Source_Data!I$5-($B$294+$B$296)),0)</f>
        <v>36.2313</v>
      </c>
      <c r="J300" s="33" t="n">
        <f aca="false">$B$293*IF(Source_Data!J$5-($B$294+$B$296)&gt;=1,INDEX($D$299:$BK$299,1,Source_Data!J$5-($B$294+$B$296)),0)</f>
        <v>58.260825</v>
      </c>
      <c r="K300" s="33" t="n">
        <f aca="false">$B$293*IF(Source_Data!K$5-($B$294+$B$296)&gt;=1,INDEX($D$299:$BK$299,1,Source_Data!K$5-($B$294+$B$296)),0)</f>
        <v>69.01839</v>
      </c>
      <c r="L300" s="33" t="n">
        <f aca="false">$B$293*IF(Source_Data!L$5-($B$294+$B$296)&gt;=1,INDEX($D$299:$BK$299,1,Source_Data!L$5-($B$294+$B$296)),0)</f>
        <v>67.087545</v>
      </c>
      <c r="M300" s="33" t="n">
        <f aca="false">$B$293*IF(Source_Data!M$5-($B$294+$B$296)&gt;=1,INDEX($D$299:$BK$299,1,Source_Data!M$5-($B$294+$B$296)),0)</f>
        <v>72.9732675</v>
      </c>
      <c r="N300" s="33" t="n">
        <f aca="false">$B$293*IF(Source_Data!N$5-($B$294+$B$296)&gt;=1,INDEX($D$299:$BK$299,1,Source_Data!N$5-($B$294+$B$296)),0)</f>
        <v>88.871055</v>
      </c>
      <c r="O300" s="33" t="n">
        <f aca="false">$B$293*IF(Source_Data!O$5-($B$294+$B$296)&gt;=1,INDEX($D$299:$BK$299,1,Source_Data!O$5-($B$294+$B$296)),0)</f>
        <v>105.60753</v>
      </c>
      <c r="P300" s="33" t="n">
        <f aca="false">$B$293*IF(Source_Data!P$5-($B$294+$B$296)&gt;=1,INDEX($D$299:$BK$299,1,Source_Data!P$5-($B$294+$B$296)),0)</f>
        <v>115.25243625</v>
      </c>
      <c r="Q300" s="33" t="n">
        <f aca="false">$B$293*IF(Source_Data!Q$5-($B$294+$B$296)&gt;=1,INDEX($D$299:$BK$299,1,Source_Data!Q$5-($B$294+$B$296)),0)</f>
        <v>124.8973425</v>
      </c>
      <c r="R300" s="33" t="n">
        <f aca="false">$B$293*IF(Source_Data!R$5-($B$294+$B$296)&gt;=1,INDEX($D$299:$BK$299,1,Source_Data!R$5-($B$294+$B$296)),0)</f>
        <v>683.0904675</v>
      </c>
      <c r="S300" s="33" t="n">
        <f aca="false">$B$293*IF(Source_Data!S$5-($B$294+$B$296)&gt;=1,INDEX($D$299:$BK$299,1,Source_Data!S$5-($B$294+$B$296)),0)</f>
        <v>171.6401925</v>
      </c>
      <c r="T300" s="33" t="n">
        <f aca="false">$B$293*IF(Source_Data!T$5-($B$294+$B$296)&gt;=1,INDEX($D$299:$BK$299,1,Source_Data!T$5-($B$294+$B$296)),0)</f>
        <v>112.5965925</v>
      </c>
      <c r="U300" s="33" t="n">
        <f aca="false">$B$293*IF(Source_Data!U$5-($B$294+$B$296)&gt;=1,INDEX($D$299:$BK$299,1,Source_Data!U$5-($B$294+$B$296)),0)</f>
        <v>89.3369925</v>
      </c>
      <c r="V300" s="33" t="n">
        <f aca="false">$B$293*IF(Source_Data!V$5-($B$294+$B$296)&gt;=1,INDEX($D$299:$BK$299,1,Source_Data!V$5-($B$294+$B$296)),0)</f>
        <v>87.5254275</v>
      </c>
      <c r="W300" s="33" t="n">
        <f aca="false">$B$293*IF(Source_Data!W$5-($B$294+$B$296)&gt;=1,INDEX($D$299:$BK$299,1,Source_Data!W$5-($B$294+$B$296)),0)</f>
        <v>85.7138625</v>
      </c>
      <c r="X300" s="33" t="n">
        <f aca="false">$B$293*IF(Source_Data!X$5-($B$294+$B$296)&gt;=1,INDEX($D$299:$BK$299,1,Source_Data!X$5-($B$294+$B$296)),0)</f>
        <v>77.279461875</v>
      </c>
      <c r="Y300" s="33" t="n">
        <f aca="false">$B$293*IF(Source_Data!Y$5-($B$294+$B$296)&gt;=1,INDEX($D$299:$BK$299,1,Source_Data!Y$5-($B$294+$B$296)),0)</f>
        <v>70.15341375</v>
      </c>
      <c r="Z300" s="33" t="n">
        <f aca="false">$B$293*IF(Source_Data!Z$5-($B$294+$B$296)&gt;=1,INDEX($D$299:$BK$299,1,Source_Data!Z$5-($B$294+$B$296)),0)</f>
        <v>61.33787625</v>
      </c>
      <c r="AA300" s="33" t="n">
        <f aca="false">$B$293*IF(Source_Data!AA$5-($B$294+$B$296)&gt;=1,INDEX($D$299:$BK$299,1,Source_Data!AA$5-($B$294+$B$296)),0)</f>
        <v>51.04624875</v>
      </c>
      <c r="AB300" s="33" t="n">
        <f aca="false">$B$293*IF(Source_Data!AB$5-($B$294+$B$296)&gt;=1,INDEX($D$299:$BK$299,1,Source_Data!AB$5-($B$294+$B$296)),0)</f>
        <v>51.04624875</v>
      </c>
      <c r="AC300" s="33" t="n">
        <f aca="false">$B$293*IF(Source_Data!AC$5-($B$294+$B$296)&gt;=1,INDEX($D$299:$BK$299,1,Source_Data!AC$5-($B$294+$B$296)),0)</f>
        <v>51.04624875</v>
      </c>
      <c r="AD300" s="33" t="n">
        <f aca="false">$B$293*IF(Source_Data!AD$5-($B$294+$B$296)&gt;=1,INDEX($D$299:$BK$299,1,Source_Data!AD$5-($B$294+$B$296)),0)</f>
        <v>51.04624875</v>
      </c>
      <c r="AE300" s="33" t="n">
        <f aca="false">$B$293*IF(Source_Data!AE$5-($B$294+$B$296)&gt;=1,INDEX($D$299:$BK$299,1,Source_Data!AE$5-($B$294+$B$296)),0)</f>
        <v>51.04624875</v>
      </c>
      <c r="AF300" s="33" t="n">
        <f aca="false">$B$293*IF(Source_Data!AF$5-($B$294+$B$296)&gt;=1,INDEX($D$299:$BK$299,1,Source_Data!AF$5-($B$294+$B$296)),0)</f>
        <v>43.931383125</v>
      </c>
      <c r="AG300" s="33" t="n">
        <f aca="false">$B$293*IF(Source_Data!AG$5-($B$294+$B$296)&gt;=1,INDEX($D$299:$BK$299,1,Source_Data!AG$5-($B$294+$B$296)),0)</f>
        <v>36.8165175</v>
      </c>
      <c r="AH300" s="33" t="n">
        <f aca="false">$B$293*IF(Source_Data!AH$5-($B$294+$B$296)&gt;=1,INDEX($D$299:$BK$299,1,Source_Data!AH$5-($B$294+$B$296)),0)</f>
        <v>32.958555</v>
      </c>
      <c r="AI300" s="33" t="n">
        <f aca="false">$B$293*IF(Source_Data!AI$5-($B$294+$B$296)&gt;=1,INDEX($D$299:$BK$299,1,Source_Data!AI$5-($B$294+$B$296)),0)</f>
        <v>29.1005925</v>
      </c>
      <c r="AJ300" s="33" t="n">
        <f aca="false">$B$293*IF(Source_Data!AJ$5-($B$294+$B$296)&gt;=1,INDEX($D$299:$BK$299,1,Source_Data!AJ$5-($B$294+$B$296)),0)</f>
        <v>22.8831225</v>
      </c>
      <c r="AK300" s="33" t="n">
        <f aca="false">$B$293*IF(Source_Data!AK$5-($B$294+$B$296)&gt;=1,INDEX($D$299:$BK$299,1,Source_Data!AK$5-($B$294+$B$296)),0)</f>
        <v>19.2823575</v>
      </c>
      <c r="AL300" s="33" t="n">
        <f aca="false">$B$293*IF(Source_Data!AL$5-($B$294+$B$296)&gt;=1,INDEX($D$299:$BK$299,1,Source_Data!AL$5-($B$294+$B$296)),0)</f>
        <v>16.80357</v>
      </c>
      <c r="AM300" s="33" t="n">
        <f aca="false">$B$293*IF(Source_Data!AM$5-($B$294+$B$296)&gt;=1,INDEX($D$299:$BK$299,1,Source_Data!AM$5-($B$294+$B$296)),0)</f>
        <v>7.24626</v>
      </c>
      <c r="AN300" s="33" t="n">
        <f aca="false">$B$293*IF(Source_Data!AN$5-($B$294+$B$296)&gt;=1,INDEX($D$299:$BK$299,1,Source_Data!AN$5-($B$294+$B$296)),0)</f>
        <v>7.24626</v>
      </c>
      <c r="AO300" s="33" t="n">
        <f aca="false">$B$293*IF(Source_Data!AO$5-($B$294+$B$296)&gt;=1,INDEX($D$299:$BK$299,1,Source_Data!AO$5-($B$294+$B$296)),0)</f>
        <v>7.24626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339</v>
      </c>
      <c r="D301" s="33" t="n">
        <f aca="false">Source_Data!D$9+Source_Data!D$10*IF(Source_Data!$C$10=0,0,MAX(0,Inputs!$B$19*Inputs!$B$22*$B$293-Inputs!$B$20)/Source_Data!$C$10)</f>
        <v>0</v>
      </c>
      <c r="E301" s="33" t="n">
        <f aca="false">Source_Data!E$9+Source_Data!E$10*IF(Source_Data!$C$10=0,0,MAX(0,Inputs!$B$19*Inputs!$B$22*$B$293-Inputs!$B$20)/Source_Data!$C$10)</f>
        <v>0</v>
      </c>
      <c r="F301" s="33" t="n">
        <f aca="false">Source_Data!F$9+Source_Data!F$10*IF(Source_Data!$C$10=0,0,MAX(0,Inputs!$B$19*Inputs!$B$22*$B$293-Inputs!$B$20)/Source_Data!$C$10)</f>
        <v>0</v>
      </c>
      <c r="G301" s="33" t="n">
        <f aca="false">Source_Data!G$9+Source_Data!G$10*IF(Source_Data!$C$10=0,0,MAX(0,Inputs!$B$19*Inputs!$B$22*$B$293-Inputs!$B$20)/Source_Data!$C$10)</f>
        <v>85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45</v>
      </c>
      <c r="M301" s="33" t="n">
        <f aca="false">Source_Data!M$9+Source_Data!M$10*IF(Source_Data!$C$10=0,0,MAX(0,Inputs!$B$19*Inputs!$B$22*$B$293-Inputs!$B$20)/Source_Data!$C$10)</f>
        <v>45</v>
      </c>
      <c r="N301" s="33" t="n">
        <f aca="false">Source_Data!N$9+Source_Data!N$10*IF(Source_Data!$C$10=0,0,MAX(0,Inputs!$B$19*Inputs!$B$22*$B$293-Inputs!$B$20)/Source_Data!$C$10)</f>
        <v>45</v>
      </c>
      <c r="O301" s="33" t="n">
        <f aca="false">Source_Data!O$9+Source_Data!O$10*IF(Source_Data!$C$10=0,0,MAX(0,Inputs!$B$19*Inputs!$B$22*$B$293-Inputs!$B$20)/Source_Data!$C$10)</f>
        <v>45</v>
      </c>
      <c r="P301" s="33" t="n">
        <f aca="false">Source_Data!P$9+Source_Data!P$10*IF(Source_Data!$C$10=0,0,MAX(0,Inputs!$B$19*Inputs!$B$22*$B$293-Inputs!$B$20)/Source_Data!$C$10)</f>
        <v>56.25</v>
      </c>
      <c r="Q301" s="33" t="n">
        <f aca="false">Source_Data!Q$9+Source_Data!Q$10*IF(Source_Data!$C$10=0,0,MAX(0,Inputs!$B$19*Inputs!$B$22*$B$293-Inputs!$B$20)/Source_Data!$C$10)</f>
        <v>56.25</v>
      </c>
      <c r="R301" s="33" t="n">
        <f aca="false">Source_Data!R$9+Source_Data!R$10*IF(Source_Data!$C$10=0,0,MAX(0,Inputs!$B$19*Inputs!$B$22*$B$293-Inputs!$B$20)/Source_Data!$C$10)</f>
        <v>56.25</v>
      </c>
      <c r="S301" s="33" t="n">
        <f aca="false">Source_Data!S$9+Source_Data!S$10*IF(Source_Data!$C$10=0,0,MAX(0,Inputs!$B$19*Inputs!$B$22*$B$293-Inputs!$B$20)/Source_Data!$C$10)</f>
        <v>56.25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241.1916115625</v>
      </c>
      <c r="AG301" s="33" t="n">
        <f aca="false">Source_Data!AG$9+Source_Data!AG$10*IF(Source_Data!$C$10=0,0,MAX(0,Inputs!$B$19*Inputs!$B$22*$B$293-Inputs!$B$20)/Source_Data!$C$10)</f>
        <v>16.10722640625</v>
      </c>
      <c r="AH301" s="33" t="n">
        <f aca="false">Source_Data!AH$9+Source_Data!AH$10*IF(Source_Data!$C$10=0,0,MAX(0,Inputs!$B$19*Inputs!$B$22*$B$293-Inputs!$B$20)/Source_Data!$C$10)</f>
        <v>14.4193678125</v>
      </c>
      <c r="AI301" s="33" t="n">
        <f aca="false">Source_Data!AI$9+Source_Data!AI$10*IF(Source_Data!$C$10=0,0,MAX(0,Inputs!$B$19*Inputs!$B$22*$B$293-Inputs!$B$20)/Source_Data!$C$10)</f>
        <v>12.73150921875</v>
      </c>
      <c r="AJ301" s="33" t="n">
        <f aca="false">Source_Data!AJ$9+Source_Data!AJ$10*IF(Source_Data!$C$10=0,0,MAX(0,Inputs!$B$19*Inputs!$B$22*$B$293-Inputs!$B$20)/Source_Data!$C$10)</f>
        <v>10.01136609375</v>
      </c>
      <c r="AK301" s="33" t="n">
        <f aca="false">Source_Data!AK$9+Source_Data!AK$10*IF(Source_Data!$C$10=0,0,MAX(0,Inputs!$B$19*Inputs!$B$22*$B$293-Inputs!$B$20)/Source_Data!$C$10)</f>
        <v>8.43603140625001</v>
      </c>
      <c r="AL301" s="33" t="n">
        <f aca="false">Source_Data!AL$9+Source_Data!AL$10*IF(Source_Data!$C$10=0,0,MAX(0,Inputs!$B$19*Inputs!$B$22*$B$293-Inputs!$B$20)/Source_Data!$C$10)</f>
        <v>7.35156187500001</v>
      </c>
      <c r="AM301" s="33" t="n">
        <f aca="false">Source_Data!AM$9+Source_Data!AM$10*IF(Source_Data!$C$10=0,0,MAX(0,Inputs!$B$19*Inputs!$B$22*$B$293-Inputs!$B$20)/Source_Data!$C$10)</f>
        <v>3.17023875000001</v>
      </c>
      <c r="AN301" s="33" t="n">
        <f aca="false">Source_Data!AN$9+Source_Data!AN$10*IF(Source_Data!$C$10=0,0,MAX(0,Inputs!$B$19*Inputs!$B$22*$B$293-Inputs!$B$20)/Source_Data!$C$10)</f>
        <v>3.17023875000001</v>
      </c>
      <c r="AO301" s="33" t="n">
        <f aca="false">Source_Data!AO$9+Source_Data!AO$10*IF(Source_Data!$C$10=0,0,MAX(0,Inputs!$B$19*Inputs!$B$22*$B$293-Inputs!$B$20)/Source_Data!$C$10)</f>
        <v>3.17023875000001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194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0</v>
      </c>
      <c r="I302" s="33" t="n">
        <f aca="false">Source_Data!I$11*$B$295</f>
        <v>0</v>
      </c>
      <c r="J302" s="33" t="n">
        <f aca="false">Source_Data!J$11*$B$295</f>
        <v>22</v>
      </c>
      <c r="K302" s="33" t="n">
        <f aca="false">Source_Data!K$11*$B$295</f>
        <v>29.04</v>
      </c>
      <c r="L302" s="33" t="n">
        <f aca="false">Source_Data!L$11*$B$295</f>
        <v>44</v>
      </c>
      <c r="M302" s="33" t="n">
        <f aca="false">Source_Data!M$11*$B$295</f>
        <v>29.04</v>
      </c>
      <c r="N302" s="33" t="n">
        <f aca="false">Source_Data!N$11*$B$295</f>
        <v>29.04</v>
      </c>
      <c r="O302" s="33" t="n">
        <f aca="false">Source_Data!O$11*$B$295</f>
        <v>29.04</v>
      </c>
      <c r="P302" s="33" t="n">
        <f aca="false">Source_Data!P$11*$B$295</f>
        <v>5.808</v>
      </c>
      <c r="Q302" s="33" t="n">
        <f aca="false">Source_Data!Q$11*$B$295</f>
        <v>5.808</v>
      </c>
      <c r="R302" s="33" t="n">
        <f aca="false">Source_Data!R$11*$B$295</f>
        <v>132</v>
      </c>
      <c r="S302" s="33" t="n">
        <f aca="false">Source_Data!S$11*$B$295</f>
        <v>132</v>
      </c>
      <c r="T302" s="33" t="n">
        <f aca="false">Source_Data!T$11*$B$295</f>
        <v>180.4</v>
      </c>
      <c r="U302" s="33" t="n">
        <f aca="false">Source_Data!U$11*$B$295</f>
        <v>128.7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196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0</v>
      </c>
      <c r="K303" s="33" t="n">
        <f aca="false">$B$293*IF(Source_Data!K$5-$B$294&gt;=1,INDEX(Source_Data!$D$12:$BK$12,1,Source_Data!K$5-$B$294),0)</f>
        <v>0</v>
      </c>
      <c r="L303" s="33" t="n">
        <f aca="false">$B$293*IF(Source_Data!L$5-$B$294&gt;=1,INDEX(Source_Data!$D$12:$BK$12,1,Source_Data!L$5-$B$294),0)</f>
        <v>14.49252</v>
      </c>
      <c r="M303" s="33" t="n">
        <f aca="false">$B$293*IF(Source_Data!M$5-$B$294&gt;=1,INDEX(Source_Data!$D$12:$BK$12,1,Source_Data!M$5-$B$294),0)</f>
        <v>14.49252</v>
      </c>
      <c r="N303" s="33" t="n">
        <f aca="false">$B$293*IF(Source_Data!N$5-$B$294&gt;=1,INDEX(Source_Data!$D$12:$BK$12,1,Source_Data!N$5-$B$294),0)</f>
        <v>12.43494</v>
      </c>
      <c r="O303" s="33" t="n">
        <f aca="false">$B$293*IF(Source_Data!O$5-$B$294&gt;=1,INDEX(Source_Data!$D$12:$BK$12,1,Source_Data!O$5-$B$294),0)</f>
        <v>7.20153</v>
      </c>
      <c r="P303" s="33" t="n">
        <f aca="false">$B$293*IF(Source_Data!P$5-$B$294&gt;=1,INDEX(Source_Data!$D$12:$BK$12,1,Source_Data!P$5-$B$294),0)</f>
        <v>7.93212</v>
      </c>
      <c r="Q303" s="33" t="n">
        <f aca="false">$B$293*IF(Source_Data!Q$5-$B$294&gt;=1,INDEX(Source_Data!$D$12:$BK$12,1,Source_Data!Q$5-$B$294),0)</f>
        <v>7.39536</v>
      </c>
      <c r="R303" s="33" t="n">
        <f aca="false">$B$293*IF(Source_Data!R$5-$B$294&gt;=1,INDEX(Source_Data!$D$12:$BK$12,1,Source_Data!R$5-$B$294),0)</f>
        <v>7.54446</v>
      </c>
      <c r="S303" s="33" t="n">
        <f aca="false">$B$293*IF(Source_Data!S$5-$B$294&gt;=1,INDEX(Source_Data!$D$12:$BK$12,1,Source_Data!S$5-$B$294),0)</f>
        <v>7.54446</v>
      </c>
      <c r="T303" s="33" t="n">
        <f aca="false">$B$293*IF(Source_Data!T$5-$B$294&gt;=1,INDEX(Source_Data!$D$12:$BK$12,1,Source_Data!T$5-$B$294),0)</f>
        <v>8.23032</v>
      </c>
      <c r="U303" s="33" t="n">
        <f aca="false">$B$293*IF(Source_Data!U$5-$B$294&gt;=1,INDEX(Source_Data!$D$12:$BK$12,1,Source_Data!U$5-$B$294),0)</f>
        <v>8.23032</v>
      </c>
      <c r="V303" s="33" t="n">
        <f aca="false">$B$293*IF(Source_Data!V$5-$B$294&gt;=1,INDEX(Source_Data!$D$12:$BK$12,1,Source_Data!V$5-$B$294),0)</f>
        <v>5.72544</v>
      </c>
      <c r="W303" s="33" t="n">
        <f aca="false">$B$293*IF(Source_Data!W$5-$B$294&gt;=1,INDEX(Source_Data!$D$12:$BK$12,1,Source_Data!W$5-$B$294),0)</f>
        <v>5.72544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215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0</v>
      </c>
      <c r="I304" s="33" t="n">
        <f aca="false">Source_Data!I$13*$B$295</f>
        <v>0</v>
      </c>
      <c r="J304" s="33" t="n">
        <f aca="false">Source_Data!J$13*$B$295</f>
        <v>3.3</v>
      </c>
      <c r="K304" s="33" t="n">
        <f aca="false">Source_Data!K$13*$B$295</f>
        <v>4.356</v>
      </c>
      <c r="L304" s="33" t="n">
        <f aca="false">Source_Data!L$13*$B$295</f>
        <v>6.6</v>
      </c>
      <c r="M304" s="33" t="n">
        <f aca="false">Source_Data!M$13*$B$295</f>
        <v>4.356</v>
      </c>
      <c r="N304" s="33" t="n">
        <f aca="false">Source_Data!N$13*$B$295</f>
        <v>4.356</v>
      </c>
      <c r="O304" s="33" t="n">
        <f aca="false">Source_Data!O$13*$B$295</f>
        <v>4.356</v>
      </c>
      <c r="P304" s="33" t="n">
        <f aca="false">Source_Data!P$13*$B$295</f>
        <v>0.8712</v>
      </c>
      <c r="Q304" s="33" t="n">
        <f aca="false">Source_Data!Q$13*$B$295</f>
        <v>0.8712</v>
      </c>
      <c r="R304" s="33" t="n">
        <f aca="false">Source_Data!R$13*$B$295</f>
        <v>19.8</v>
      </c>
      <c r="S304" s="33" t="n">
        <f aca="false">Source_Data!S$13*$B$295</f>
        <v>19.8</v>
      </c>
      <c r="T304" s="33" t="n">
        <f aca="false">Source_Data!T$13*$B$295</f>
        <v>27.06</v>
      </c>
      <c r="U304" s="33" t="n">
        <f aca="false">Source_Data!U$13*$B$295</f>
        <v>19.305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216</v>
      </c>
      <c r="D305" s="33" t="n">
        <f aca="false">D300-D301-D302-D303-D304</f>
        <v>0</v>
      </c>
      <c r="E305" s="33" t="n">
        <f aca="false">E300-E301-E302-E303-E304</f>
        <v>0</v>
      </c>
      <c r="F305" s="33" t="n">
        <f aca="false">F300-F301-F302-F303-F304</f>
        <v>0</v>
      </c>
      <c r="G305" s="33" t="n">
        <f aca="false">G300-G301-G302-G303-G304</f>
        <v>-85</v>
      </c>
      <c r="H305" s="33" t="n">
        <f aca="false">H300-H301-H302-H303-H304</f>
        <v>-4.38435</v>
      </c>
      <c r="I305" s="33" t="n">
        <f aca="false">I300-I301-I302-I303-I304</f>
        <v>13.7313</v>
      </c>
      <c r="J305" s="33" t="n">
        <f aca="false">J300-J301-J302-J303-J304</f>
        <v>10.460825</v>
      </c>
      <c r="K305" s="33" t="n">
        <f aca="false">K300-K301-K302-K303-K304</f>
        <v>13.12239</v>
      </c>
      <c r="L305" s="33" t="n">
        <f aca="false">L300-L301-L302-L303-L304</f>
        <v>-43.004975</v>
      </c>
      <c r="M305" s="33" t="n">
        <f aca="false">M300-M301-M302-M303-M304</f>
        <v>-19.9152525</v>
      </c>
      <c r="N305" s="33" t="n">
        <f aca="false">N300-N301-N302-N303-N304</f>
        <v>-1.95988499999999</v>
      </c>
      <c r="O305" s="33" t="n">
        <f aca="false">O300-O301-O302-O303-O304</f>
        <v>20.01</v>
      </c>
      <c r="P305" s="33" t="n">
        <f aca="false">P300-P301-P302-P303-P304</f>
        <v>44.39111625</v>
      </c>
      <c r="Q305" s="33" t="n">
        <f aca="false">Q300-Q301-Q302-Q303-Q304</f>
        <v>54.5727825</v>
      </c>
      <c r="R305" s="33" t="n">
        <f aca="false">R300-R301-R302-R303-R304</f>
        <v>467.4960075</v>
      </c>
      <c r="S305" s="33" t="n">
        <f aca="false">S300-S301-S302-S303-S304</f>
        <v>-43.9542675</v>
      </c>
      <c r="T305" s="33" t="n">
        <f aca="false">T300-T301-T302-T303-T304</f>
        <v>-148.0937275</v>
      </c>
      <c r="U305" s="33" t="n">
        <f aca="false">U300-U301-U302-U303-U304</f>
        <v>-111.8983275</v>
      </c>
      <c r="V305" s="33" t="n">
        <f aca="false">V300-V301-V302-V303-V304</f>
        <v>36.7999875</v>
      </c>
      <c r="W305" s="33" t="n">
        <f aca="false">W300-W301-W302-W303-W304</f>
        <v>34.9884225</v>
      </c>
      <c r="X305" s="33" t="n">
        <f aca="false">X300-X301-X302-X303-X304</f>
        <v>54.779461875</v>
      </c>
      <c r="Y305" s="33" t="n">
        <f aca="false">Y300-Y301-Y302-Y303-Y304</f>
        <v>47.65341375</v>
      </c>
      <c r="Z305" s="33" t="n">
        <f aca="false">Z300-Z301-Z302-Z303-Z304</f>
        <v>38.83787625</v>
      </c>
      <c r="AA305" s="33" t="n">
        <f aca="false">AA300-AA301-AA302-AA303-AA304</f>
        <v>28.54624875</v>
      </c>
      <c r="AB305" s="33" t="n">
        <f aca="false">AB300-AB301-AB302-AB303-AB304</f>
        <v>51.04624875</v>
      </c>
      <c r="AC305" s="33" t="n">
        <f aca="false">AC300-AC301-AC302-AC303-AC304</f>
        <v>51.04624875</v>
      </c>
      <c r="AD305" s="33" t="n">
        <f aca="false">AD300-AD301-AD302-AD303-AD304</f>
        <v>51.04624875</v>
      </c>
      <c r="AE305" s="33" t="n">
        <f aca="false">AE300-AE301-AE302-AE303-AE304</f>
        <v>51.04624875</v>
      </c>
      <c r="AF305" s="33" t="n">
        <f aca="false">AF300-AF301-AF302-AF303-AF304</f>
        <v>-197.2602284375</v>
      </c>
      <c r="AG305" s="33" t="n">
        <f aca="false">AG300-AG301-AG302-AG303-AG304</f>
        <v>20.70929109375</v>
      </c>
      <c r="AH305" s="33" t="n">
        <f aca="false">AH300-AH301-AH302-AH303-AH304</f>
        <v>18.5391871875</v>
      </c>
      <c r="AI305" s="33" t="n">
        <f aca="false">AI300-AI301-AI302-AI303-AI304</f>
        <v>16.36908328125</v>
      </c>
      <c r="AJ305" s="33" t="n">
        <f aca="false">AJ300-AJ301-AJ302-AJ303-AJ304</f>
        <v>12.87175640625</v>
      </c>
      <c r="AK305" s="33" t="n">
        <f aca="false">AK300-AK301-AK302-AK303-AK304</f>
        <v>10.84632609375</v>
      </c>
      <c r="AL305" s="33" t="n">
        <f aca="false">AL300-AL301-AL302-AL303-AL304</f>
        <v>9.45200812499999</v>
      </c>
      <c r="AM305" s="33" t="n">
        <f aca="false">AM300-AM301-AM302-AM303-AM304</f>
        <v>4.07602125</v>
      </c>
      <c r="AN305" s="33" t="n">
        <f aca="false">AN300-AN301-AN302-AN303-AN304</f>
        <v>4.07602125</v>
      </c>
      <c r="AO305" s="33" t="n">
        <f aca="false">AO300-AO301-AO302-AO303-AO304</f>
        <v>4.07602125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217</v>
      </c>
      <c r="D306" s="33" t="n">
        <f aca="false">D305</f>
        <v>0</v>
      </c>
      <c r="E306" s="33" t="n">
        <f aca="false">D306+E305</f>
        <v>0</v>
      </c>
      <c r="F306" s="33" t="n">
        <f aca="false">E306+F305</f>
        <v>0</v>
      </c>
      <c r="G306" s="33" t="n">
        <f aca="false">F306+G305</f>
        <v>-85</v>
      </c>
      <c r="H306" s="33" t="n">
        <f aca="false">G306+H305</f>
        <v>-89.38435</v>
      </c>
      <c r="I306" s="33" t="n">
        <f aca="false">H306+I305</f>
        <v>-75.65305</v>
      </c>
      <c r="J306" s="33" t="n">
        <f aca="false">I306+J305</f>
        <v>-65.192225</v>
      </c>
      <c r="K306" s="33" t="n">
        <f aca="false">J306+K305</f>
        <v>-52.069835</v>
      </c>
      <c r="L306" s="33" t="n">
        <f aca="false">K306+L305</f>
        <v>-95.07481</v>
      </c>
      <c r="M306" s="33" t="n">
        <f aca="false">L306+M305</f>
        <v>-114.9900625</v>
      </c>
      <c r="N306" s="33" t="n">
        <f aca="false">M306+N305</f>
        <v>-116.9499475</v>
      </c>
      <c r="O306" s="33" t="n">
        <f aca="false">N306+O305</f>
        <v>-96.9399475</v>
      </c>
      <c r="P306" s="33" t="n">
        <f aca="false">O306+P305</f>
        <v>-52.54883125</v>
      </c>
      <c r="Q306" s="33" t="n">
        <f aca="false">P306+Q305</f>
        <v>2.02395125</v>
      </c>
      <c r="R306" s="33" t="n">
        <f aca="false">Q306+R305</f>
        <v>469.51995875</v>
      </c>
      <c r="S306" s="33" t="n">
        <f aca="false">R306+S305</f>
        <v>425.56569125</v>
      </c>
      <c r="T306" s="33" t="n">
        <f aca="false">S306+T305</f>
        <v>277.47196375</v>
      </c>
      <c r="U306" s="33" t="n">
        <f aca="false">T306+U305</f>
        <v>165.57363625</v>
      </c>
      <c r="V306" s="33" t="n">
        <f aca="false">U306+V305</f>
        <v>202.37362375</v>
      </c>
      <c r="W306" s="33" t="n">
        <f aca="false">V306+W305</f>
        <v>237.362046249999</v>
      </c>
      <c r="X306" s="33" t="n">
        <f aca="false">W306+X305</f>
        <v>292.141508124999</v>
      </c>
      <c r="Y306" s="33" t="n">
        <f aca="false">X306+Y305</f>
        <v>339.794921875</v>
      </c>
      <c r="Z306" s="33" t="n">
        <f aca="false">Y306+Z305</f>
        <v>378.632798124999</v>
      </c>
      <c r="AA306" s="33" t="n">
        <f aca="false">Z306+AA305</f>
        <v>407.179046874999</v>
      </c>
      <c r="AB306" s="33" t="n">
        <f aca="false">AA306+AB305</f>
        <v>458.225295624999</v>
      </c>
      <c r="AC306" s="33" t="n">
        <f aca="false">AB306+AC305</f>
        <v>509.271544374999</v>
      </c>
      <c r="AD306" s="33" t="n">
        <f aca="false">AC306+AD305</f>
        <v>560.317793124999</v>
      </c>
      <c r="AE306" s="33" t="n">
        <f aca="false">AD306+AE305</f>
        <v>611.364041874999</v>
      </c>
      <c r="AF306" s="33" t="n">
        <f aca="false">AE306+AF305</f>
        <v>414.1038134375</v>
      </c>
      <c r="AG306" s="33" t="n">
        <f aca="false">AF306+AG305</f>
        <v>434.81310453125</v>
      </c>
      <c r="AH306" s="33" t="n">
        <f aca="false">AG306+AH305</f>
        <v>453.35229171875</v>
      </c>
      <c r="AI306" s="33" t="n">
        <f aca="false">AH306+AI305</f>
        <v>469.721374999999</v>
      </c>
      <c r="AJ306" s="33" t="n">
        <f aca="false">AI306+AJ305</f>
        <v>482.593131406249</v>
      </c>
      <c r="AK306" s="33" t="n">
        <f aca="false">AJ306+AK305</f>
        <v>493.439457499999</v>
      </c>
      <c r="AL306" s="33" t="n">
        <f aca="false">AK306+AL305</f>
        <v>502.891465624999</v>
      </c>
      <c r="AM306" s="33" t="n">
        <f aca="false">AL306+AM305</f>
        <v>506.967486874999</v>
      </c>
      <c r="AN306" s="33" t="n">
        <f aca="false">AM306+AN305</f>
        <v>511.043508124999</v>
      </c>
      <c r="AO306" s="33" t="n">
        <f aca="false">AN306+AO305</f>
        <v>515.119529374999</v>
      </c>
      <c r="AP306" s="33" t="n">
        <f aca="false">AO306+AP305</f>
        <v>515.119529374999</v>
      </c>
      <c r="AQ306" s="33" t="n">
        <f aca="false">AP306+AQ305</f>
        <v>515.119529374999</v>
      </c>
      <c r="AR306" s="33" t="n">
        <f aca="false">AQ306+AR305</f>
        <v>515.119529374999</v>
      </c>
      <c r="AS306" s="33" t="n">
        <f aca="false">AR306+AS305</f>
        <v>515.119529374999</v>
      </c>
      <c r="AT306" s="33" t="n">
        <f aca="false">AS306+AT305</f>
        <v>515.119529374999</v>
      </c>
      <c r="AU306" s="33" t="n">
        <f aca="false">AT306+AU305</f>
        <v>515.119529374999</v>
      </c>
      <c r="AV306" s="33" t="n">
        <f aca="false">AU306+AV305</f>
        <v>515.119529374999</v>
      </c>
      <c r="AW306" s="33" t="n">
        <f aca="false">AV306+AW305</f>
        <v>515.119529374999</v>
      </c>
      <c r="AX306" s="33" t="n">
        <f aca="false">AW306+AX305</f>
        <v>515.119529374999</v>
      </c>
      <c r="AY306" s="33" t="n">
        <f aca="false">AX306+AY305</f>
        <v>515.119529374999</v>
      </c>
      <c r="AZ306" s="33" t="n">
        <f aca="false">AY306+AZ305</f>
        <v>515.119529374999</v>
      </c>
      <c r="BA306" s="33" t="n">
        <f aca="false">AZ306+BA305</f>
        <v>515.119529374999</v>
      </c>
      <c r="BB306" s="33" t="n">
        <f aca="false">BA306+BB305</f>
        <v>515.119529374999</v>
      </c>
      <c r="BC306" s="33" t="n">
        <f aca="false">BB306+BC305</f>
        <v>515.119529374999</v>
      </c>
      <c r="BD306" s="33" t="n">
        <f aca="false">BC306+BD305</f>
        <v>515.119529374999</v>
      </c>
      <c r="BE306" s="33" t="n">
        <f aca="false">BD306+BE305</f>
        <v>515.119529374999</v>
      </c>
      <c r="BF306" s="33" t="n">
        <f aca="false">BE306+BF305</f>
        <v>515.119529374999</v>
      </c>
      <c r="BG306" s="33" t="n">
        <f aca="false">BF306+BG305</f>
        <v>515.119529374999</v>
      </c>
      <c r="BH306" s="33" t="n">
        <f aca="false">BG306+BH305</f>
        <v>515.119529374999</v>
      </c>
      <c r="BI306" s="33" t="n">
        <f aca="false">BH306+BI305</f>
        <v>515.119529374999</v>
      </c>
      <c r="BJ306" s="33" t="n">
        <f aca="false">BI306+BJ305</f>
        <v>515.119529374999</v>
      </c>
      <c r="BK306" s="33" t="n">
        <f aca="false">BJ306+BK305</f>
        <v>515.119529374999</v>
      </c>
    </row>
    <row r="307" customFormat="false" ht="15" hidden="false" customHeight="false" outlineLevel="0" collapsed="false">
      <c r="A307" s="3" t="s">
        <v>340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-50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0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0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35.9259259259259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35.9259259259259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35.9259259259259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35.9259259259259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341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0</v>
      </c>
      <c r="N308" s="33" t="n">
        <f aca="false">IF(AND(Source_Data!N$6&gt;=Inputs!$B$54,Source_Data!N$6&lt;Inputs!$B$54+3*Inputs!$B$11),Inputs!$B$9*Inputs!$B$7/Inputs!$B$11,0)</f>
        <v>0</v>
      </c>
      <c r="O308" s="33" t="n">
        <f aca="false">IF(AND(Source_Data!O$6&gt;=Inputs!$B$54,Source_Data!O$6&lt;Inputs!$B$54+3*Inputs!$B$11),Inputs!$B$9*Inputs!$B$7/Inputs!$B$11,0)</f>
        <v>0</v>
      </c>
      <c r="P308" s="33" t="n">
        <f aca="false">IF(AND(Source_Data!P$6&gt;=Inputs!$B$54,Source_Data!P$6&lt;Inputs!$B$54+3*Inputs!$B$11),Inputs!$B$9*Inputs!$B$7/Inputs!$B$11,0)</f>
        <v>9.58333333333333</v>
      </c>
      <c r="Q308" s="33" t="n">
        <f aca="false">IF(AND(Source_Data!Q$6&gt;=Inputs!$B$54,Source_Data!Q$6&lt;Inputs!$B$54+3*Inputs!$B$11),Inputs!$B$9*Inputs!$B$7/Inputs!$B$11,0)</f>
        <v>9.58333333333333</v>
      </c>
      <c r="R308" s="33" t="n">
        <f aca="false">IF(AND(Source_Data!R$6&gt;=Inputs!$B$54,Source_Data!R$6&lt;Inputs!$B$54+3*Inputs!$B$11),Inputs!$B$9*Inputs!$B$7/Inputs!$B$11,0)</f>
        <v>9.58333333333333</v>
      </c>
      <c r="S308" s="33" t="n">
        <f aca="false">IF(AND(Source_Data!S$6&gt;=Inputs!$B$54,Source_Data!S$6&lt;Inputs!$B$54+3*Inputs!$B$11),Inputs!$B$9*Inputs!$B$7/Inputs!$B$11,0)</f>
        <v>9.58333333333333</v>
      </c>
      <c r="T308" s="33" t="n">
        <f aca="false">IF(AND(Source_Data!T$6&gt;=Inputs!$B$54,Source_Data!T$6&lt;Inputs!$B$54+3*Inputs!$B$11),Inputs!$B$9*Inputs!$B$7/Inputs!$B$11,0)</f>
        <v>9.58333333333333</v>
      </c>
      <c r="U308" s="33" t="n">
        <f aca="false">IF(AND(Source_Data!U$6&gt;=Inputs!$B$54,Source_Data!U$6&lt;Inputs!$B$54+3*Inputs!$B$11),Inputs!$B$9*Inputs!$B$7/Inputs!$B$11,0)</f>
        <v>9.58333333333333</v>
      </c>
      <c r="V308" s="33" t="n">
        <f aca="false">IF(AND(Source_Data!V$6&gt;=Inputs!$B$54,Source_Data!V$6&lt;Inputs!$B$54+3*Inputs!$B$11),Inputs!$B$9*Inputs!$B$7/Inputs!$B$11,0)</f>
        <v>9.58333333333333</v>
      </c>
      <c r="W308" s="33" t="n">
        <f aca="false">IF(AND(Source_Data!W$6&gt;=Inputs!$B$54,Source_Data!W$6&lt;Inputs!$B$54+3*Inputs!$B$11),Inputs!$B$9*Inputs!$B$7/Inputs!$B$11,0)</f>
        <v>9.58333333333333</v>
      </c>
      <c r="X308" s="33" t="n">
        <f aca="false">IF(AND(Source_Data!X$6&gt;=Inputs!$B$54,Source_Data!X$6&lt;Inputs!$B$54+3*Inputs!$B$11),Inputs!$B$9*Inputs!$B$7/Inputs!$B$11,0)</f>
        <v>9.58333333333333</v>
      </c>
      <c r="Y308" s="33" t="n">
        <f aca="false">IF(AND(Source_Data!Y$6&gt;=Inputs!$B$54,Source_Data!Y$6&lt;Inputs!$B$54+3*Inputs!$B$11),Inputs!$B$9*Inputs!$B$7/Inputs!$B$11,0)</f>
        <v>9.58333333333333</v>
      </c>
      <c r="Z308" s="33" t="n">
        <f aca="false">IF(AND(Source_Data!Z$6&gt;=Inputs!$B$54,Source_Data!Z$6&lt;Inputs!$B$54+3*Inputs!$B$11),Inputs!$B$9*Inputs!$B$7/Inputs!$B$11,0)</f>
        <v>9.58333333333333</v>
      </c>
      <c r="AA308" s="33" t="n">
        <f aca="false">IF(AND(Source_Data!AA$6&gt;=Inputs!$B$54,Source_Data!AA$6&lt;Inputs!$B$54+3*Inputs!$B$11),Inputs!$B$9*Inputs!$B$7/Inputs!$B$11,0)</f>
        <v>9.58333333333333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342</v>
      </c>
      <c r="D309" s="33" t="n">
        <f aca="false">IF(Source_Data!D$6=Inputs!$B$12,-Inputs!$B$7,0)+D308</f>
        <v>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-50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0</v>
      </c>
      <c r="N309" s="33" t="n">
        <f aca="false">IF(Source_Data!N$6=Inputs!$B$12,-Inputs!$B$7,0)+N308</f>
        <v>0</v>
      </c>
      <c r="O309" s="33" t="n">
        <f aca="false">IF(Source_Data!O$6=Inputs!$B$12,-Inputs!$B$7,0)+O308</f>
        <v>0</v>
      </c>
      <c r="P309" s="33" t="n">
        <f aca="false">IF(Source_Data!P$6=Inputs!$B$12,-Inputs!$B$7,0)+P308</f>
        <v>9.58333333333333</v>
      </c>
      <c r="Q309" s="33" t="n">
        <f aca="false">IF(Source_Data!Q$6=Inputs!$B$12,-Inputs!$B$7,0)+Q308</f>
        <v>9.58333333333333</v>
      </c>
      <c r="R309" s="33" t="n">
        <f aca="false">IF(Source_Data!R$6=Inputs!$B$12,-Inputs!$B$7,0)+R308</f>
        <v>9.58333333333333</v>
      </c>
      <c r="S309" s="33" t="n">
        <f aca="false">IF(Source_Data!S$6=Inputs!$B$12,-Inputs!$B$7,0)+S308</f>
        <v>9.58333333333333</v>
      </c>
      <c r="T309" s="33" t="n">
        <f aca="false">IF(Source_Data!T$6=Inputs!$B$12,-Inputs!$B$7,0)+T308</f>
        <v>9.58333333333333</v>
      </c>
      <c r="U309" s="33" t="n">
        <f aca="false">IF(Source_Data!U$6=Inputs!$B$12,-Inputs!$B$7,0)+U308</f>
        <v>9.58333333333333</v>
      </c>
      <c r="V309" s="33" t="n">
        <f aca="false">IF(Source_Data!V$6=Inputs!$B$12,-Inputs!$B$7,0)+V308</f>
        <v>9.58333333333333</v>
      </c>
      <c r="W309" s="33" t="n">
        <f aca="false">IF(Source_Data!W$6=Inputs!$B$12,-Inputs!$B$7,0)+W308</f>
        <v>9.58333333333333</v>
      </c>
      <c r="X309" s="33" t="n">
        <f aca="false">IF(Source_Data!X$6=Inputs!$B$12,-Inputs!$B$7,0)+X308</f>
        <v>9.58333333333333</v>
      </c>
      <c r="Y309" s="33" t="n">
        <f aca="false">IF(Source_Data!Y$6=Inputs!$B$12,-Inputs!$B$7,0)+Y308</f>
        <v>9.58333333333333</v>
      </c>
      <c r="Z309" s="33" t="n">
        <f aca="false">IF(Source_Data!Z$6=Inputs!$B$12,-Inputs!$B$7,0)+Z308</f>
        <v>9.58333333333333</v>
      </c>
      <c r="AA309" s="33" t="n">
        <f aca="false">IF(Source_Data!AA$6=Inputs!$B$12,-Inputs!$B$7,0)+AA308</f>
        <v>9.58333333333333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343</v>
      </c>
      <c r="D310" s="33" t="n">
        <f aca="false">IF(Source_Data!D$6=Inputs!$B$12,Inputs!$B$7,0)+D305-D308</f>
        <v>0</v>
      </c>
      <c r="E310" s="33" t="n">
        <f aca="false">D310+IF(Source_Data!E$6=Inputs!$B$12,Inputs!$B$7,0)+E305-E308</f>
        <v>0</v>
      </c>
      <c r="F310" s="33" t="n">
        <f aca="false">E310+IF(Source_Data!F$6=Inputs!$B$12,Inputs!$B$7,0)+F305-F308</f>
        <v>0</v>
      </c>
      <c r="G310" s="33" t="n">
        <f aca="false">F310+IF(Source_Data!G$6=Inputs!$B$12,Inputs!$B$7,0)+G305-G308</f>
        <v>-35</v>
      </c>
      <c r="H310" s="33" t="n">
        <f aca="false">G310+IF(Source_Data!H$6=Inputs!$B$12,Inputs!$B$7,0)+H305-H308</f>
        <v>-39.38435</v>
      </c>
      <c r="I310" s="33" t="n">
        <f aca="false">H310+IF(Source_Data!I$6=Inputs!$B$12,Inputs!$B$7,0)+I305-I308</f>
        <v>-25.65305</v>
      </c>
      <c r="J310" s="33" t="n">
        <f aca="false">I310+IF(Source_Data!J$6=Inputs!$B$12,Inputs!$B$7,0)+J305-J308</f>
        <v>-15.192225</v>
      </c>
      <c r="K310" s="33" t="n">
        <f aca="false">J310+IF(Source_Data!K$6=Inputs!$B$12,Inputs!$B$7,0)+K305-K308</f>
        <v>-2.06983500000001</v>
      </c>
      <c r="L310" s="33" t="n">
        <f aca="false">K310+IF(Source_Data!L$6=Inputs!$B$12,Inputs!$B$7,0)+L305-L308</f>
        <v>-45.07481</v>
      </c>
      <c r="M310" s="33" t="n">
        <f aca="false">L310+IF(Source_Data!M$6=Inputs!$B$12,Inputs!$B$7,0)+M305-M308</f>
        <v>-64.9900625</v>
      </c>
      <c r="N310" s="33" t="n">
        <f aca="false">M310+IF(Source_Data!N$6=Inputs!$B$12,Inputs!$B$7,0)+N305-N308</f>
        <v>-66.9499475</v>
      </c>
      <c r="O310" s="33" t="n">
        <f aca="false">N310+IF(Source_Data!O$6=Inputs!$B$12,Inputs!$B$7,0)+O305-O308</f>
        <v>-46.9399475</v>
      </c>
      <c r="P310" s="33" t="n">
        <f aca="false">O310+IF(Source_Data!P$6=Inputs!$B$12,Inputs!$B$7,0)+P305-P308</f>
        <v>-12.1321645833333</v>
      </c>
      <c r="Q310" s="33" t="n">
        <f aca="false">P310+IF(Source_Data!Q$6=Inputs!$B$12,Inputs!$B$7,0)+Q305-Q308</f>
        <v>32.8572845833333</v>
      </c>
      <c r="R310" s="33" t="n">
        <f aca="false">Q310+IF(Source_Data!R$6=Inputs!$B$12,Inputs!$B$7,0)+R305-R308</f>
        <v>490.76995875</v>
      </c>
      <c r="S310" s="33" t="n">
        <f aca="false">R310+IF(Source_Data!S$6=Inputs!$B$12,Inputs!$B$7,0)+S305-S308</f>
        <v>437.232357916667</v>
      </c>
      <c r="T310" s="33" t="n">
        <f aca="false">S310+IF(Source_Data!T$6=Inputs!$B$12,Inputs!$B$7,0)+T305-T308</f>
        <v>279.555297083333</v>
      </c>
      <c r="U310" s="33" t="n">
        <f aca="false">T310+IF(Source_Data!U$6=Inputs!$B$12,Inputs!$B$7,0)+U305-U308</f>
        <v>158.07363625</v>
      </c>
      <c r="V310" s="33" t="n">
        <f aca="false">U310+IF(Source_Data!V$6=Inputs!$B$12,Inputs!$B$7,0)+V305-V308</f>
        <v>185.290290416666</v>
      </c>
      <c r="W310" s="33" t="n">
        <f aca="false">V310+IF(Source_Data!W$6=Inputs!$B$12,Inputs!$B$7,0)+W305-W308</f>
        <v>210.695379583333</v>
      </c>
      <c r="X310" s="33" t="n">
        <f aca="false">W310+IF(Source_Data!X$6=Inputs!$B$12,Inputs!$B$7,0)+X305-X308</f>
        <v>255.891508125</v>
      </c>
      <c r="Y310" s="33" t="n">
        <f aca="false">X310+IF(Source_Data!Y$6=Inputs!$B$12,Inputs!$B$7,0)+Y305-Y308</f>
        <v>293.961588541666</v>
      </c>
      <c r="Z310" s="33" t="n">
        <f aca="false">Y310+IF(Source_Data!Z$6=Inputs!$B$12,Inputs!$B$7,0)+Z305-Z308</f>
        <v>323.216131458333</v>
      </c>
      <c r="AA310" s="33" t="n">
        <f aca="false">Z310+IF(Source_Data!AA$6=Inputs!$B$12,Inputs!$B$7,0)+AA305-AA308</f>
        <v>342.179046875</v>
      </c>
      <c r="AB310" s="33" t="n">
        <f aca="false">AA310+IF(Source_Data!AB$6=Inputs!$B$12,Inputs!$B$7,0)+AB305-AB308</f>
        <v>393.225295625</v>
      </c>
      <c r="AC310" s="33" t="n">
        <f aca="false">AB310+IF(Source_Data!AC$6=Inputs!$B$12,Inputs!$B$7,0)+AC305-AC308</f>
        <v>444.271544374999</v>
      </c>
      <c r="AD310" s="33" t="n">
        <f aca="false">AC310+IF(Source_Data!AD$6=Inputs!$B$12,Inputs!$B$7,0)+AD305-AD308</f>
        <v>495.317793124999</v>
      </c>
      <c r="AE310" s="33" t="n">
        <f aca="false">AD310+IF(Source_Data!AE$6=Inputs!$B$12,Inputs!$B$7,0)+AE305-AE308</f>
        <v>546.364041874999</v>
      </c>
      <c r="AF310" s="33" t="n">
        <f aca="false">AE310+IF(Source_Data!AF$6=Inputs!$B$12,Inputs!$B$7,0)+AF305-AF308</f>
        <v>349.1038134375</v>
      </c>
      <c r="AG310" s="33" t="n">
        <f aca="false">AF310+IF(Source_Data!AG$6=Inputs!$B$12,Inputs!$B$7,0)+AG305-AG308</f>
        <v>369.81310453125</v>
      </c>
      <c r="AH310" s="33" t="n">
        <f aca="false">AG310+IF(Source_Data!AH$6=Inputs!$B$12,Inputs!$B$7,0)+AH305-AH308</f>
        <v>388.35229171875</v>
      </c>
      <c r="AI310" s="33" t="n">
        <f aca="false">AH310+IF(Source_Data!AI$6=Inputs!$B$12,Inputs!$B$7,0)+AI305-AI308</f>
        <v>404.721375</v>
      </c>
      <c r="AJ310" s="33" t="n">
        <f aca="false">AI310+IF(Source_Data!AJ$6=Inputs!$B$12,Inputs!$B$7,0)+AJ305-AJ308</f>
        <v>417.59313140625</v>
      </c>
      <c r="AK310" s="33" t="n">
        <f aca="false">AJ310+IF(Source_Data!AK$6=Inputs!$B$12,Inputs!$B$7,0)+AK305-AK308</f>
        <v>428.4394575</v>
      </c>
      <c r="AL310" s="33" t="n">
        <f aca="false">AK310+IF(Source_Data!AL$6=Inputs!$B$12,Inputs!$B$7,0)+AL305-AL308</f>
        <v>437.891465625</v>
      </c>
      <c r="AM310" s="33" t="n">
        <f aca="false">AL310+IF(Source_Data!AM$6=Inputs!$B$12,Inputs!$B$7,0)+AM305-AM308</f>
        <v>441.967486875</v>
      </c>
      <c r="AN310" s="33" t="n">
        <f aca="false">AM310+IF(Source_Data!AN$6=Inputs!$B$12,Inputs!$B$7,0)+AN305-AN308</f>
        <v>446.043508125</v>
      </c>
      <c r="AO310" s="33" t="n">
        <f aca="false">AN310+IF(Source_Data!AO$6=Inputs!$B$12,Inputs!$B$7,0)+AO305-AO308</f>
        <v>450.119529375</v>
      </c>
      <c r="AP310" s="33" t="n">
        <f aca="false">AO310+IF(Source_Data!AP$6=Inputs!$B$12,Inputs!$B$7,0)+AP305-AP308</f>
        <v>450.119529375</v>
      </c>
      <c r="AQ310" s="33" t="n">
        <f aca="false">AP310+IF(Source_Data!AQ$6=Inputs!$B$12,Inputs!$B$7,0)+AQ305-AQ308</f>
        <v>450.119529375</v>
      </c>
      <c r="AR310" s="33" t="n">
        <f aca="false">AQ310+IF(Source_Data!AR$6=Inputs!$B$12,Inputs!$B$7,0)+AR305-AR308</f>
        <v>450.119529375</v>
      </c>
      <c r="AS310" s="33" t="n">
        <f aca="false">AR310+IF(Source_Data!AS$6=Inputs!$B$12,Inputs!$B$7,0)+AS305-AS308</f>
        <v>450.119529375</v>
      </c>
      <c r="AT310" s="33" t="n">
        <f aca="false">AS310+IF(Source_Data!AT$6=Inputs!$B$12,Inputs!$B$7,0)+AT305-AT308</f>
        <v>450.119529375</v>
      </c>
      <c r="AU310" s="33" t="n">
        <f aca="false">AT310+IF(Source_Data!AU$6=Inputs!$B$12,Inputs!$B$7,0)+AU305-AU308</f>
        <v>450.119529375</v>
      </c>
      <c r="AV310" s="33" t="n">
        <f aca="false">AU310+IF(Source_Data!AV$6=Inputs!$B$12,Inputs!$B$7,0)+AV305-AV308</f>
        <v>450.119529375</v>
      </c>
      <c r="AW310" s="33" t="n">
        <f aca="false">AV310+IF(Source_Data!AW$6=Inputs!$B$12,Inputs!$B$7,0)+AW305-AW308</f>
        <v>450.119529375</v>
      </c>
      <c r="AX310" s="33" t="n">
        <f aca="false">AW310+IF(Source_Data!AX$6=Inputs!$B$12,Inputs!$B$7,0)+AX305-AX308</f>
        <v>450.119529375</v>
      </c>
      <c r="AY310" s="33" t="n">
        <f aca="false">AX310+IF(Source_Data!AY$6=Inputs!$B$12,Inputs!$B$7,0)+AY305-AY308</f>
        <v>450.119529375</v>
      </c>
      <c r="AZ310" s="33" t="n">
        <f aca="false">AY310+IF(Source_Data!AZ$6=Inputs!$B$12,Inputs!$B$7,0)+AZ305-AZ308</f>
        <v>450.119529375</v>
      </c>
      <c r="BA310" s="33" t="n">
        <f aca="false">AZ310+IF(Source_Data!BA$6=Inputs!$B$12,Inputs!$B$7,0)+BA305-BA308</f>
        <v>450.119529375</v>
      </c>
      <c r="BB310" s="33" t="n">
        <f aca="false">BA310+IF(Source_Data!BB$6=Inputs!$B$12,Inputs!$B$7,0)+BB305-BB308</f>
        <v>450.119529375</v>
      </c>
      <c r="BC310" s="33" t="n">
        <f aca="false">BB310+IF(Source_Data!BC$6=Inputs!$B$12,Inputs!$B$7,0)+BC305-BC308</f>
        <v>450.119529375</v>
      </c>
      <c r="BD310" s="33" t="n">
        <f aca="false">BC310+IF(Source_Data!BD$6=Inputs!$B$12,Inputs!$B$7,0)+BD305-BD308</f>
        <v>450.119529375</v>
      </c>
      <c r="BE310" s="33" t="n">
        <f aca="false">BD310+IF(Source_Data!BE$6=Inputs!$B$12,Inputs!$B$7,0)+BE305-BE308</f>
        <v>450.119529375</v>
      </c>
      <c r="BF310" s="33" t="n">
        <f aca="false">BE310+IF(Source_Data!BF$6=Inputs!$B$12,Inputs!$B$7,0)+BF305-BF308</f>
        <v>450.119529375</v>
      </c>
      <c r="BG310" s="33" t="n">
        <f aca="false">BF310+IF(Source_Data!BG$6=Inputs!$B$12,Inputs!$B$7,0)+BG305-BG308</f>
        <v>450.119529375</v>
      </c>
      <c r="BH310" s="33" t="n">
        <f aca="false">BG310+IF(Source_Data!BH$6=Inputs!$B$12,Inputs!$B$7,0)+BH305-BH308</f>
        <v>450.119529375</v>
      </c>
      <c r="BI310" s="33" t="n">
        <f aca="false">BH310+IF(Source_Data!BI$6=Inputs!$B$12,Inputs!$B$7,0)+BI305-BI308</f>
        <v>450.119529375</v>
      </c>
      <c r="BJ310" s="33" t="n">
        <f aca="false">BI310+IF(Source_Data!BJ$6=Inputs!$B$12,Inputs!$B$7,0)+BJ305-BJ308</f>
        <v>450.119529375</v>
      </c>
      <c r="BK310" s="33" t="n">
        <f aca="false">BJ310+IF(Source_Data!BK$6=Inputs!$B$12,Inputs!$B$7,0)+BK305-BK308</f>
        <v>450.119529375</v>
      </c>
    </row>
    <row r="311" customFormat="false" ht="15" hidden="false" customHeight="false" outlineLevel="0" collapsed="false">
      <c r="A311" s="3" t="s">
        <v>344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str">
        <f aca="false">IF(M308&gt;0,M305/M308,"")</f>
        <v/>
      </c>
      <c r="N311" s="31" t="str">
        <f aca="false">IF(N308&gt;0,N305/N308,"")</f>
        <v/>
      </c>
      <c r="O311" s="31" t="str">
        <f aca="false">IF(O308&gt;0,O305/O308,"")</f>
        <v/>
      </c>
      <c r="P311" s="31" t="n">
        <f aca="false">IF(P308&gt;0,P305/P308,"")</f>
        <v>4.63211647826087</v>
      </c>
      <c r="Q311" s="31" t="n">
        <f aca="false">IF(Q308&gt;0,Q305/Q308,"")</f>
        <v>5.6945512173913</v>
      </c>
      <c r="R311" s="31" t="n">
        <f aca="false">IF(R308&gt;0,R305/R308,"")</f>
        <v>48.7821920869565</v>
      </c>
      <c r="S311" s="31" t="n">
        <f aca="false">IF(S308&gt;0,S305/S308,"")</f>
        <v>-4.58653226086957</v>
      </c>
      <c r="T311" s="31" t="n">
        <f aca="false">IF(T308&gt;0,T305/T308,"")</f>
        <v>-15.4532585217391</v>
      </c>
      <c r="U311" s="31" t="n">
        <f aca="false">IF(U308&gt;0,U305/U308,"")</f>
        <v>-11.6763472173913</v>
      </c>
      <c r="V311" s="31" t="n">
        <f aca="false">IF(V308&gt;0,V305/V308,"")</f>
        <v>3.83999869565217</v>
      </c>
      <c r="W311" s="31" t="n">
        <f aca="false">IF(W308&gt;0,W305/W308,"")</f>
        <v>3.65096582608695</v>
      </c>
      <c r="X311" s="31" t="n">
        <f aca="false">IF(X308&gt;0,X305/X308,"")</f>
        <v>5.71611776086957</v>
      </c>
      <c r="Y311" s="31" t="n">
        <f aca="false">IF(Y308&gt;0,Y305/Y308,"")</f>
        <v>4.97253013043479</v>
      </c>
      <c r="Z311" s="31" t="n">
        <f aca="false">IF(Z308&gt;0,Z305/Z308,"")</f>
        <v>4.05264795652174</v>
      </c>
      <c r="AA311" s="31" t="n">
        <f aca="false">IF(AA308&gt;0,AA305/AA308,"")</f>
        <v>2.978739</v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345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str">
        <f aca="false">IF(M308&gt;0,(L310+M305+IF(Source_Data!M$6=Inputs!$B$12,Inputs!$B$7,0))/M308,"")</f>
        <v/>
      </c>
      <c r="N312" s="31" t="str">
        <f aca="false">IF(N308&gt;0,(M310+N305+IF(Source_Data!N$6=Inputs!$B$12,Inputs!$B$7,0))/N308,"")</f>
        <v/>
      </c>
      <c r="O312" s="31" t="str">
        <f aca="false">IF(O308&gt;0,(N310+O305+IF(Source_Data!O$6=Inputs!$B$12,Inputs!$B$7,0))/O308,"")</f>
        <v/>
      </c>
      <c r="P312" s="31" t="n">
        <f aca="false">IF(P308&gt;0,(O310+P305+IF(Source_Data!P$6=Inputs!$B$12,Inputs!$B$7,0))/P308,"")</f>
        <v>-0.265964999999999</v>
      </c>
      <c r="Q312" s="31" t="n">
        <f aca="false">IF(Q308&gt;0,(P310+Q305+IF(Source_Data!Q$6=Inputs!$B$12,Inputs!$B$7,0))/Q308,"")</f>
        <v>4.42858621739131</v>
      </c>
      <c r="R312" s="31" t="n">
        <f aca="false">IF(R308&gt;0,(Q310+R305+IF(Source_Data!R$6=Inputs!$B$12,Inputs!$B$7,0))/R308,"")</f>
        <v>52.2107783043478</v>
      </c>
      <c r="S312" s="31" t="n">
        <f aca="false">IF(S308&gt;0,(R310+S305+IF(Source_Data!S$6=Inputs!$B$12,Inputs!$B$7,0))/S308,"")</f>
        <v>46.6242460434782</v>
      </c>
      <c r="T312" s="31" t="n">
        <f aca="false">IF(T308&gt;0,(S310+T305+IF(Source_Data!T$6=Inputs!$B$12,Inputs!$B$7,0))/T308,"")</f>
        <v>30.1709875217391</v>
      </c>
      <c r="U312" s="31" t="n">
        <f aca="false">IF(U308&gt;0,(T310+U305+IF(Source_Data!U$6=Inputs!$B$12,Inputs!$B$7,0))/U308,"")</f>
        <v>17.4946403043478</v>
      </c>
      <c r="V312" s="31" t="n">
        <f aca="false">IF(V308&gt;0,(U310+V305+IF(Source_Data!V$6=Inputs!$B$12,Inputs!$B$7,0))/V308,"")</f>
        <v>20.334639</v>
      </c>
      <c r="W312" s="31" t="n">
        <f aca="false">IF(W308&gt;0,(V310+W305+IF(Source_Data!W$6=Inputs!$B$12,Inputs!$B$7,0))/W308,"")</f>
        <v>22.9856048260869</v>
      </c>
      <c r="X312" s="31" t="n">
        <f aca="false">IF(X308&gt;0,(W310+X305+IF(Source_Data!X$6=Inputs!$B$12,Inputs!$B$7,0))/X308,"")</f>
        <v>27.7017225869565</v>
      </c>
      <c r="Y312" s="31" t="n">
        <f aca="false">IF(Y308&gt;0,(X310+Y305+IF(Source_Data!Y$6=Inputs!$B$12,Inputs!$B$7,0))/Y308,"")</f>
        <v>31.6742527173913</v>
      </c>
      <c r="Z312" s="31" t="n">
        <f aca="false">IF(Z308&gt;0,(Y310+Z305+IF(Source_Data!Z$6=Inputs!$B$12,Inputs!$B$7,0))/Z308,"")</f>
        <v>34.726900673913</v>
      </c>
      <c r="AA312" s="31" t="n">
        <f aca="false">IF(AA308&gt;0,(Z310+AA305+IF(Source_Data!AA$6=Inputs!$B$12,Inputs!$B$7,0))/AA308,"")</f>
        <v>36.705639673913</v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220</v>
      </c>
      <c r="B314" s="41" t="n">
        <f aca="false">SUM(D305:BK305)</f>
        <v>515.119529375</v>
      </c>
    </row>
    <row r="315" customFormat="false" ht="15" hidden="false" customHeight="false" outlineLevel="0" collapsed="false">
      <c r="A315" s="2" t="s">
        <v>346</v>
      </c>
      <c r="B315" s="41" t="n">
        <f aca="false">SUMPRODUCT(D305:BK305,Project_CF!$D$15:$BK$15)</f>
        <v>257.925437188775</v>
      </c>
    </row>
    <row r="316" customFormat="false" ht="15" hidden="false" customHeight="false" outlineLevel="0" collapsed="false">
      <c r="A316" s="2" t="s">
        <v>162</v>
      </c>
      <c r="B316" s="41" t="n">
        <f aca="false">MIN(D306:BK306)</f>
        <v>-116.9499475</v>
      </c>
    </row>
    <row r="317" customFormat="false" ht="15" hidden="false" customHeight="false" outlineLevel="0" collapsed="false">
      <c r="A317" s="2" t="s">
        <v>347</v>
      </c>
      <c r="B317" s="35" t="n">
        <f aca="false">INDEX(Project_CF!$D$6:$BK$6,MATCH(MIN(D306:BK306),D306:BK306,0))</f>
        <v>33</v>
      </c>
    </row>
    <row r="318" customFormat="false" ht="15" hidden="false" customHeight="false" outlineLevel="0" collapsed="false">
      <c r="A318" s="2" t="s">
        <v>348</v>
      </c>
      <c r="B318" s="39" t="n">
        <f aca="false">(1+IRR(D307:BK307,0.05))^4-1</f>
        <v>0.292473250549915</v>
      </c>
    </row>
    <row r="319" customFormat="false" ht="15" hidden="false" customHeight="false" outlineLevel="0" collapsed="false">
      <c r="A319" s="2" t="s">
        <v>349</v>
      </c>
      <c r="B319" s="40" t="n">
        <f aca="false">SUMIF(D307:BK307,"&gt;0")/-SUMIF(D307:BK307,"&lt;0")</f>
        <v>2.87407407407407</v>
      </c>
    </row>
    <row r="320" customFormat="false" ht="15" hidden="false" customHeight="false" outlineLevel="0" collapsed="false">
      <c r="A320" s="2" t="s">
        <v>350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351</v>
      </c>
      <c r="B321" s="41" t="n">
        <f aca="false">MIN(D310:BK310)</f>
        <v>-66.9499475</v>
      </c>
    </row>
    <row r="322" customFormat="false" ht="15" hidden="false" customHeight="false" outlineLevel="0" collapsed="false">
      <c r="A322" s="2" t="s">
        <v>352</v>
      </c>
      <c r="B322" s="43" t="n">
        <f aca="false">MIN(D311:BK311)</f>
        <v>-15.4532585217391</v>
      </c>
    </row>
    <row r="323" customFormat="false" ht="15" hidden="false" customHeight="false" outlineLevel="0" collapsed="false">
      <c r="A323" s="2" t="s">
        <v>353</v>
      </c>
      <c r="B323" s="35" t="n">
        <f aca="false">COUNTIF(D311:BK311,"&lt;"&amp;Inputs!$B$43)</f>
        <v>3</v>
      </c>
    </row>
    <row r="324" customFormat="false" ht="15" hidden="false" customHeight="false" outlineLevel="0" collapsed="false">
      <c r="A324" s="2" t="s">
        <v>354</v>
      </c>
      <c r="B324" s="43" t="n">
        <f aca="false">MIN(D312:BK312)</f>
        <v>-0.265964999999999</v>
      </c>
    </row>
    <row r="325" customFormat="false" ht="15" hidden="false" customHeight="false" outlineLevel="0" collapsed="false">
      <c r="A325" s="2" t="s">
        <v>355</v>
      </c>
      <c r="B325" s="35" t="n">
        <f aca="false">COUNTIF(D312:BK312,"&lt;"&amp;Inputs!$B$43)</f>
        <v>1</v>
      </c>
    </row>
    <row r="328" customFormat="false" ht="15" hidden="false" customHeight="false" outlineLevel="0" collapsed="false">
      <c r="A328" s="8" t="s">
        <v>367</v>
      </c>
    </row>
    <row r="329" customFormat="false" ht="15" hidden="false" customHeight="false" outlineLevel="0" collapsed="false">
      <c r="A329" s="3" t="s">
        <v>331</v>
      </c>
      <c r="B329" s="45" t="n">
        <v>1</v>
      </c>
    </row>
    <row r="330" customFormat="false" ht="15" hidden="false" customHeight="false" outlineLevel="0" collapsed="false">
      <c r="A330" s="3" t="s">
        <v>332</v>
      </c>
      <c r="B330" s="45" t="n">
        <v>0</v>
      </c>
    </row>
    <row r="331" customFormat="false" ht="15" hidden="false" customHeight="false" outlineLevel="0" collapsed="false">
      <c r="A331" s="3" t="s">
        <v>333</v>
      </c>
      <c r="B331" s="45" t="n">
        <v>1.2</v>
      </c>
    </row>
    <row r="332" customFormat="false" ht="15" hidden="false" customHeight="false" outlineLevel="0" collapsed="false">
      <c r="A332" s="3" t="s">
        <v>334</v>
      </c>
      <c r="B332" s="45" t="n">
        <v>0</v>
      </c>
    </row>
    <row r="333" customFormat="false" ht="15" hidden="false" customHeight="false" outlineLevel="0" collapsed="false">
      <c r="A333" s="3" t="s">
        <v>335</v>
      </c>
      <c r="B333" s="45" t="n">
        <v>0</v>
      </c>
    </row>
    <row r="334" customFormat="false" ht="15" hidden="false" customHeight="false" outlineLevel="0" collapsed="false">
      <c r="A334" s="3" t="s">
        <v>336</v>
      </c>
      <c r="B334" s="3" t="n">
        <f aca="false">Inputs!$B$13+3+3*$B$330</f>
        <v>57</v>
      </c>
    </row>
    <row r="335" customFormat="false" ht="15" hidden="false" customHeight="false" outlineLevel="0" collapsed="false">
      <c r="A335" s="3" t="s">
        <v>337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0</v>
      </c>
      <c r="G335" s="33" t="n">
        <f aca="false">Source_Data!G$7+IF($B$333=1,IF(Source_Data!G$6=Inputs!$B$13,Source_Data!$C$8,0),Source_Data!G$8)</f>
        <v>0</v>
      </c>
      <c r="H335" s="33" t="n">
        <f aca="false">Source_Data!H$7+IF($B$333=1,IF(Source_Data!H$6=Inputs!$B$13,Source_Data!$C$8,0),Source_Data!H$8)</f>
        <v>18.11565</v>
      </c>
      <c r="I335" s="33" t="n">
        <f aca="false">Source_Data!I$7+IF($B$333=1,IF(Source_Data!I$6=Inputs!$B$13,Source_Data!$C$8,0),Source_Data!I$8)</f>
        <v>36.2313</v>
      </c>
      <c r="J335" s="33" t="n">
        <f aca="false">Source_Data!J$7+IF($B$333=1,IF(Source_Data!J$6=Inputs!$B$13,Source_Data!$C$8,0),Source_Data!J$8)</f>
        <v>58.260825</v>
      </c>
      <c r="K335" s="33" t="n">
        <f aca="false">Source_Data!K$7+IF($B$333=1,IF(Source_Data!K$6=Inputs!$B$13,Source_Data!$C$8,0),Source_Data!K$8)</f>
        <v>69.01839</v>
      </c>
      <c r="L335" s="33" t="n">
        <f aca="false">Source_Data!L$7+IF($B$333=1,IF(Source_Data!L$6=Inputs!$B$13,Source_Data!$C$8,0),Source_Data!L$8)</f>
        <v>67.087545</v>
      </c>
      <c r="M335" s="33" t="n">
        <f aca="false">Source_Data!M$7+IF($B$333=1,IF(Source_Data!M$6=Inputs!$B$13,Source_Data!$C$8,0),Source_Data!M$8)</f>
        <v>72.9732675</v>
      </c>
      <c r="N335" s="33" t="n">
        <f aca="false">Source_Data!N$7+IF($B$333=1,IF(Source_Data!N$6=Inputs!$B$13,Source_Data!$C$8,0),Source_Data!N$8)</f>
        <v>88.871055</v>
      </c>
      <c r="O335" s="33" t="n">
        <f aca="false">Source_Data!O$7+IF($B$333=1,IF(Source_Data!O$6=Inputs!$B$13,Source_Data!$C$8,0),Source_Data!O$8)</f>
        <v>105.60753</v>
      </c>
      <c r="P335" s="33" t="n">
        <f aca="false">Source_Data!P$7+IF($B$333=1,IF(Source_Data!P$6=Inputs!$B$13,Source_Data!$C$8,0),Source_Data!P$8)</f>
        <v>115.25243625</v>
      </c>
      <c r="Q335" s="33" t="n">
        <f aca="false">Source_Data!Q$7+IF($B$333=1,IF(Source_Data!Q$6=Inputs!$B$13,Source_Data!$C$8,0),Source_Data!Q$8)</f>
        <v>124.8973425</v>
      </c>
      <c r="R335" s="33" t="n">
        <f aca="false">Source_Data!R$7+IF($B$333=1,IF(Source_Data!R$6=Inputs!$B$13,Source_Data!$C$8,0),Source_Data!R$8)</f>
        <v>683.0904675</v>
      </c>
      <c r="S335" s="33" t="n">
        <f aca="false">Source_Data!S$7+IF($B$333=1,IF(Source_Data!S$6=Inputs!$B$13,Source_Data!$C$8,0),Source_Data!S$8)</f>
        <v>171.6401925</v>
      </c>
      <c r="T335" s="33" t="n">
        <f aca="false">Source_Data!T$7+IF($B$333=1,IF(Source_Data!T$6=Inputs!$B$13,Source_Data!$C$8,0),Source_Data!T$8)</f>
        <v>112.5965925</v>
      </c>
      <c r="U335" s="33" t="n">
        <f aca="false">Source_Data!U$7+IF($B$333=1,IF(Source_Data!U$6=Inputs!$B$13,Source_Data!$C$8,0),Source_Data!U$8)</f>
        <v>89.3369925</v>
      </c>
      <c r="V335" s="33" t="n">
        <f aca="false">Source_Data!V$7+IF($B$333=1,IF(Source_Data!V$6=Inputs!$B$13,Source_Data!$C$8,0),Source_Data!V$8)</f>
        <v>87.5254275</v>
      </c>
      <c r="W335" s="33" t="n">
        <f aca="false">Source_Data!W$7+IF($B$333=1,IF(Source_Data!W$6=Inputs!$B$13,Source_Data!$C$8,0),Source_Data!W$8)</f>
        <v>85.7138625</v>
      </c>
      <c r="X335" s="33" t="n">
        <f aca="false">Source_Data!X$7+IF($B$333=1,IF(Source_Data!X$6=Inputs!$B$13,Source_Data!$C$8,0),Source_Data!X$8)</f>
        <v>77.279461875</v>
      </c>
      <c r="Y335" s="33" t="n">
        <f aca="false">Source_Data!Y$7+IF($B$333=1,IF(Source_Data!Y$6=Inputs!$B$13,Source_Data!$C$8,0),Source_Data!Y$8)</f>
        <v>70.15341375</v>
      </c>
      <c r="Z335" s="33" t="n">
        <f aca="false">Source_Data!Z$7+IF($B$333=1,IF(Source_Data!Z$6=Inputs!$B$13,Source_Data!$C$8,0),Source_Data!Z$8)</f>
        <v>61.33787625</v>
      </c>
      <c r="AA335" s="33" t="n">
        <f aca="false">Source_Data!AA$7+IF($B$333=1,IF(Source_Data!AA$6=Inputs!$B$13,Source_Data!$C$8,0),Source_Data!AA$8)</f>
        <v>51.04624875</v>
      </c>
      <c r="AB335" s="33" t="n">
        <f aca="false">Source_Data!AB$7+IF($B$333=1,IF(Source_Data!AB$6=Inputs!$B$13,Source_Data!$C$8,0),Source_Data!AB$8)</f>
        <v>51.04624875</v>
      </c>
      <c r="AC335" s="33" t="n">
        <f aca="false">Source_Data!AC$7+IF($B$333=1,IF(Source_Data!AC$6=Inputs!$B$13,Source_Data!$C$8,0),Source_Data!AC$8)</f>
        <v>51.04624875</v>
      </c>
      <c r="AD335" s="33" t="n">
        <f aca="false">Source_Data!AD$7+IF($B$333=1,IF(Source_Data!AD$6=Inputs!$B$13,Source_Data!$C$8,0),Source_Data!AD$8)</f>
        <v>51.04624875</v>
      </c>
      <c r="AE335" s="33" t="n">
        <f aca="false">Source_Data!AE$7+IF($B$333=1,IF(Source_Data!AE$6=Inputs!$B$13,Source_Data!$C$8,0),Source_Data!AE$8)</f>
        <v>51.04624875</v>
      </c>
      <c r="AF335" s="33" t="n">
        <f aca="false">Source_Data!AF$7+IF($B$333=1,IF(Source_Data!AF$6=Inputs!$B$13,Source_Data!$C$8,0),Source_Data!AF$8)</f>
        <v>43.931383125</v>
      </c>
      <c r="AG335" s="33" t="n">
        <f aca="false">Source_Data!AG$7+IF($B$333=1,IF(Source_Data!AG$6=Inputs!$B$13,Source_Data!$C$8,0),Source_Data!AG$8)</f>
        <v>36.8165175</v>
      </c>
      <c r="AH335" s="33" t="n">
        <f aca="false">Source_Data!AH$7+IF($B$333=1,IF(Source_Data!AH$6=Inputs!$B$13,Source_Data!$C$8,0),Source_Data!AH$8)</f>
        <v>32.958555</v>
      </c>
      <c r="AI335" s="33" t="n">
        <f aca="false">Source_Data!AI$7+IF($B$333=1,IF(Source_Data!AI$6=Inputs!$B$13,Source_Data!$C$8,0),Source_Data!AI$8)</f>
        <v>29.1005925</v>
      </c>
      <c r="AJ335" s="33" t="n">
        <f aca="false">Source_Data!AJ$7+IF($B$333=1,IF(Source_Data!AJ$6=Inputs!$B$13,Source_Data!$C$8,0),Source_Data!AJ$8)</f>
        <v>22.8831225</v>
      </c>
      <c r="AK335" s="33" t="n">
        <f aca="false">Source_Data!AK$7+IF($B$333=1,IF(Source_Data!AK$6=Inputs!$B$13,Source_Data!$C$8,0),Source_Data!AK$8)</f>
        <v>19.2823575</v>
      </c>
      <c r="AL335" s="33" t="n">
        <f aca="false">Source_Data!AL$7+IF($B$333=1,IF(Source_Data!AL$6=Inputs!$B$13,Source_Data!$C$8,0),Source_Data!AL$8)</f>
        <v>16.80357</v>
      </c>
      <c r="AM335" s="33" t="n">
        <f aca="false">Source_Data!AM$7+IF($B$333=1,IF(Source_Data!AM$6=Inputs!$B$13,Source_Data!$C$8,0),Source_Data!AM$8)</f>
        <v>7.24626</v>
      </c>
      <c r="AN335" s="33" t="n">
        <f aca="false">Source_Data!AN$7+IF($B$333=1,IF(Source_Data!AN$6=Inputs!$B$13,Source_Data!$C$8,0),Source_Data!AN$8)</f>
        <v>7.24626</v>
      </c>
      <c r="AO335" s="33" t="n">
        <f aca="false">Source_Data!AO$7+IF($B$333=1,IF(Source_Data!AO$6=Inputs!$B$13,Source_Data!$C$8,0),Source_Data!AO$8)</f>
        <v>7.24626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338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0</v>
      </c>
      <c r="G336" s="33" t="n">
        <f aca="false">$B$329*IF(Source_Data!G$5-($B$330+$B$332)&gt;=1,INDEX($D$335:$BK$335,1,Source_Data!G$5-($B$330+$B$332)),0)</f>
        <v>0</v>
      </c>
      <c r="H336" s="33" t="n">
        <f aca="false">$B$329*IF(Source_Data!H$5-($B$330+$B$332)&gt;=1,INDEX($D$335:$BK$335,1,Source_Data!H$5-($B$330+$B$332)),0)</f>
        <v>18.11565</v>
      </c>
      <c r="I336" s="33" t="n">
        <f aca="false">$B$329*IF(Source_Data!I$5-($B$330+$B$332)&gt;=1,INDEX($D$335:$BK$335,1,Source_Data!I$5-($B$330+$B$332)),0)</f>
        <v>36.2313</v>
      </c>
      <c r="J336" s="33" t="n">
        <f aca="false">$B$329*IF(Source_Data!J$5-($B$330+$B$332)&gt;=1,INDEX($D$335:$BK$335,1,Source_Data!J$5-($B$330+$B$332)),0)</f>
        <v>58.260825</v>
      </c>
      <c r="K336" s="33" t="n">
        <f aca="false">$B$329*IF(Source_Data!K$5-($B$330+$B$332)&gt;=1,INDEX($D$335:$BK$335,1,Source_Data!K$5-($B$330+$B$332)),0)</f>
        <v>69.01839</v>
      </c>
      <c r="L336" s="33" t="n">
        <f aca="false">$B$329*IF(Source_Data!L$5-($B$330+$B$332)&gt;=1,INDEX($D$335:$BK$335,1,Source_Data!L$5-($B$330+$B$332)),0)</f>
        <v>67.087545</v>
      </c>
      <c r="M336" s="33" t="n">
        <f aca="false">$B$329*IF(Source_Data!M$5-($B$330+$B$332)&gt;=1,INDEX($D$335:$BK$335,1,Source_Data!M$5-($B$330+$B$332)),0)</f>
        <v>72.9732675</v>
      </c>
      <c r="N336" s="33" t="n">
        <f aca="false">$B$329*IF(Source_Data!N$5-($B$330+$B$332)&gt;=1,INDEX($D$335:$BK$335,1,Source_Data!N$5-($B$330+$B$332)),0)</f>
        <v>88.871055</v>
      </c>
      <c r="O336" s="33" t="n">
        <f aca="false">$B$329*IF(Source_Data!O$5-($B$330+$B$332)&gt;=1,INDEX($D$335:$BK$335,1,Source_Data!O$5-($B$330+$B$332)),0)</f>
        <v>105.60753</v>
      </c>
      <c r="P336" s="33" t="n">
        <f aca="false">$B$329*IF(Source_Data!P$5-($B$330+$B$332)&gt;=1,INDEX($D$335:$BK$335,1,Source_Data!P$5-($B$330+$B$332)),0)</f>
        <v>115.25243625</v>
      </c>
      <c r="Q336" s="33" t="n">
        <f aca="false">$B$329*IF(Source_Data!Q$5-($B$330+$B$332)&gt;=1,INDEX($D$335:$BK$335,1,Source_Data!Q$5-($B$330+$B$332)),0)</f>
        <v>124.8973425</v>
      </c>
      <c r="R336" s="33" t="n">
        <f aca="false">$B$329*IF(Source_Data!R$5-($B$330+$B$332)&gt;=1,INDEX($D$335:$BK$335,1,Source_Data!R$5-($B$330+$B$332)),0)</f>
        <v>683.0904675</v>
      </c>
      <c r="S336" s="33" t="n">
        <f aca="false">$B$329*IF(Source_Data!S$5-($B$330+$B$332)&gt;=1,INDEX($D$335:$BK$335,1,Source_Data!S$5-($B$330+$B$332)),0)</f>
        <v>171.6401925</v>
      </c>
      <c r="T336" s="33" t="n">
        <f aca="false">$B$329*IF(Source_Data!T$5-($B$330+$B$332)&gt;=1,INDEX($D$335:$BK$335,1,Source_Data!T$5-($B$330+$B$332)),0)</f>
        <v>112.5965925</v>
      </c>
      <c r="U336" s="33" t="n">
        <f aca="false">$B$329*IF(Source_Data!U$5-($B$330+$B$332)&gt;=1,INDEX($D$335:$BK$335,1,Source_Data!U$5-($B$330+$B$332)),0)</f>
        <v>89.3369925</v>
      </c>
      <c r="V336" s="33" t="n">
        <f aca="false">$B$329*IF(Source_Data!V$5-($B$330+$B$332)&gt;=1,INDEX($D$335:$BK$335,1,Source_Data!V$5-($B$330+$B$332)),0)</f>
        <v>87.5254275</v>
      </c>
      <c r="W336" s="33" t="n">
        <f aca="false">$B$329*IF(Source_Data!W$5-($B$330+$B$332)&gt;=1,INDEX($D$335:$BK$335,1,Source_Data!W$5-($B$330+$B$332)),0)</f>
        <v>85.7138625</v>
      </c>
      <c r="X336" s="33" t="n">
        <f aca="false">$B$329*IF(Source_Data!X$5-($B$330+$B$332)&gt;=1,INDEX($D$335:$BK$335,1,Source_Data!X$5-($B$330+$B$332)),0)</f>
        <v>77.279461875</v>
      </c>
      <c r="Y336" s="33" t="n">
        <f aca="false">$B$329*IF(Source_Data!Y$5-($B$330+$B$332)&gt;=1,INDEX($D$335:$BK$335,1,Source_Data!Y$5-($B$330+$B$332)),0)</f>
        <v>70.15341375</v>
      </c>
      <c r="Z336" s="33" t="n">
        <f aca="false">$B$329*IF(Source_Data!Z$5-($B$330+$B$332)&gt;=1,INDEX($D$335:$BK$335,1,Source_Data!Z$5-($B$330+$B$332)),0)</f>
        <v>61.33787625</v>
      </c>
      <c r="AA336" s="33" t="n">
        <f aca="false">$B$329*IF(Source_Data!AA$5-($B$330+$B$332)&gt;=1,INDEX($D$335:$BK$335,1,Source_Data!AA$5-($B$330+$B$332)),0)</f>
        <v>51.04624875</v>
      </c>
      <c r="AB336" s="33" t="n">
        <f aca="false">$B$329*IF(Source_Data!AB$5-($B$330+$B$332)&gt;=1,INDEX($D$335:$BK$335,1,Source_Data!AB$5-($B$330+$B$332)),0)</f>
        <v>51.04624875</v>
      </c>
      <c r="AC336" s="33" t="n">
        <f aca="false">$B$329*IF(Source_Data!AC$5-($B$330+$B$332)&gt;=1,INDEX($D$335:$BK$335,1,Source_Data!AC$5-($B$330+$B$332)),0)</f>
        <v>51.04624875</v>
      </c>
      <c r="AD336" s="33" t="n">
        <f aca="false">$B$329*IF(Source_Data!AD$5-($B$330+$B$332)&gt;=1,INDEX($D$335:$BK$335,1,Source_Data!AD$5-($B$330+$B$332)),0)</f>
        <v>51.04624875</v>
      </c>
      <c r="AE336" s="33" t="n">
        <f aca="false">$B$329*IF(Source_Data!AE$5-($B$330+$B$332)&gt;=1,INDEX($D$335:$BK$335,1,Source_Data!AE$5-($B$330+$B$332)),0)</f>
        <v>51.04624875</v>
      </c>
      <c r="AF336" s="33" t="n">
        <f aca="false">$B$329*IF(Source_Data!AF$5-($B$330+$B$332)&gt;=1,INDEX($D$335:$BK$335,1,Source_Data!AF$5-($B$330+$B$332)),0)</f>
        <v>43.931383125</v>
      </c>
      <c r="AG336" s="33" t="n">
        <f aca="false">$B$329*IF(Source_Data!AG$5-($B$330+$B$332)&gt;=1,INDEX($D$335:$BK$335,1,Source_Data!AG$5-($B$330+$B$332)),0)</f>
        <v>36.8165175</v>
      </c>
      <c r="AH336" s="33" t="n">
        <f aca="false">$B$329*IF(Source_Data!AH$5-($B$330+$B$332)&gt;=1,INDEX($D$335:$BK$335,1,Source_Data!AH$5-($B$330+$B$332)),0)</f>
        <v>32.958555</v>
      </c>
      <c r="AI336" s="33" t="n">
        <f aca="false">$B$329*IF(Source_Data!AI$5-($B$330+$B$332)&gt;=1,INDEX($D$335:$BK$335,1,Source_Data!AI$5-($B$330+$B$332)),0)</f>
        <v>29.1005925</v>
      </c>
      <c r="AJ336" s="33" t="n">
        <f aca="false">$B$329*IF(Source_Data!AJ$5-($B$330+$B$332)&gt;=1,INDEX($D$335:$BK$335,1,Source_Data!AJ$5-($B$330+$B$332)),0)</f>
        <v>22.8831225</v>
      </c>
      <c r="AK336" s="33" t="n">
        <f aca="false">$B$329*IF(Source_Data!AK$5-($B$330+$B$332)&gt;=1,INDEX($D$335:$BK$335,1,Source_Data!AK$5-($B$330+$B$332)),0)</f>
        <v>19.2823575</v>
      </c>
      <c r="AL336" s="33" t="n">
        <f aca="false">$B$329*IF(Source_Data!AL$5-($B$330+$B$332)&gt;=1,INDEX($D$335:$BK$335,1,Source_Data!AL$5-($B$330+$B$332)),0)</f>
        <v>16.80357</v>
      </c>
      <c r="AM336" s="33" t="n">
        <f aca="false">$B$329*IF(Source_Data!AM$5-($B$330+$B$332)&gt;=1,INDEX($D$335:$BK$335,1,Source_Data!AM$5-($B$330+$B$332)),0)</f>
        <v>7.24626</v>
      </c>
      <c r="AN336" s="33" t="n">
        <f aca="false">$B$329*IF(Source_Data!AN$5-($B$330+$B$332)&gt;=1,INDEX($D$335:$BK$335,1,Source_Data!AN$5-($B$330+$B$332)),0)</f>
        <v>7.24626</v>
      </c>
      <c r="AO336" s="33" t="n">
        <f aca="false">$B$329*IF(Source_Data!AO$5-($B$330+$B$332)&gt;=1,INDEX($D$335:$BK$335,1,Source_Data!AO$5-($B$330+$B$332)),0)</f>
        <v>7.24626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339</v>
      </c>
      <c r="D337" s="33" t="n">
        <f aca="false">Source_Data!D$9+Source_Data!D$10*IF(Source_Data!$C$10=0,0,MAX(0,Inputs!$B$19*Inputs!$B$22*$B$329-Inputs!$B$20)/Source_Data!$C$10)</f>
        <v>0</v>
      </c>
      <c r="E337" s="33" t="n">
        <f aca="false">Source_Data!E$9+Source_Data!E$10*IF(Source_Data!$C$10=0,0,MAX(0,Inputs!$B$19*Inputs!$B$22*$B$329-Inputs!$B$20)/Source_Data!$C$10)</f>
        <v>0</v>
      </c>
      <c r="F337" s="33" t="n">
        <f aca="false">Source_Data!F$9+Source_Data!F$10*IF(Source_Data!$C$10=0,0,MAX(0,Inputs!$B$19*Inputs!$B$22*$B$329-Inputs!$B$20)/Source_Data!$C$10)</f>
        <v>0</v>
      </c>
      <c r="G337" s="33" t="n">
        <f aca="false">Source_Data!G$9+Source_Data!G$10*IF(Source_Data!$C$10=0,0,MAX(0,Inputs!$B$19*Inputs!$B$22*$B$329-Inputs!$B$20)/Source_Data!$C$10)</f>
        <v>85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45</v>
      </c>
      <c r="M337" s="33" t="n">
        <f aca="false">Source_Data!M$9+Source_Data!M$10*IF(Source_Data!$C$10=0,0,MAX(0,Inputs!$B$19*Inputs!$B$22*$B$329-Inputs!$B$20)/Source_Data!$C$10)</f>
        <v>45</v>
      </c>
      <c r="N337" s="33" t="n">
        <f aca="false">Source_Data!N$9+Source_Data!N$10*IF(Source_Data!$C$10=0,0,MAX(0,Inputs!$B$19*Inputs!$B$22*$B$329-Inputs!$B$20)/Source_Data!$C$10)</f>
        <v>45</v>
      </c>
      <c r="O337" s="33" t="n">
        <f aca="false">Source_Data!O$9+Source_Data!O$10*IF(Source_Data!$C$10=0,0,MAX(0,Inputs!$B$19*Inputs!$B$22*$B$329-Inputs!$B$20)/Source_Data!$C$10)</f>
        <v>45</v>
      </c>
      <c r="P337" s="33" t="n">
        <f aca="false">Source_Data!P$9+Source_Data!P$10*IF(Source_Data!$C$10=0,0,MAX(0,Inputs!$B$19*Inputs!$B$22*$B$329-Inputs!$B$20)/Source_Data!$C$10)</f>
        <v>56.25</v>
      </c>
      <c r="Q337" s="33" t="n">
        <f aca="false">Source_Data!Q$9+Source_Data!Q$10*IF(Source_Data!$C$10=0,0,MAX(0,Inputs!$B$19*Inputs!$B$22*$B$329-Inputs!$B$20)/Source_Data!$C$10)</f>
        <v>56.25</v>
      </c>
      <c r="R337" s="33" t="n">
        <f aca="false">Source_Data!R$9+Source_Data!R$10*IF(Source_Data!$C$10=0,0,MAX(0,Inputs!$B$19*Inputs!$B$22*$B$329-Inputs!$B$20)/Source_Data!$C$10)</f>
        <v>56.25</v>
      </c>
      <c r="S337" s="33" t="n">
        <f aca="false">Source_Data!S$9+Source_Data!S$10*IF(Source_Data!$C$10=0,0,MAX(0,Inputs!$B$19*Inputs!$B$22*$B$329-Inputs!$B$20)/Source_Data!$C$10)</f>
        <v>56.25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241.1916115625</v>
      </c>
      <c r="AG337" s="33" t="n">
        <f aca="false">Source_Data!AG$9+Source_Data!AG$10*IF(Source_Data!$C$10=0,0,MAX(0,Inputs!$B$19*Inputs!$B$22*$B$329-Inputs!$B$20)/Source_Data!$C$10)</f>
        <v>16.10722640625</v>
      </c>
      <c r="AH337" s="33" t="n">
        <f aca="false">Source_Data!AH$9+Source_Data!AH$10*IF(Source_Data!$C$10=0,0,MAX(0,Inputs!$B$19*Inputs!$B$22*$B$329-Inputs!$B$20)/Source_Data!$C$10)</f>
        <v>14.4193678125</v>
      </c>
      <c r="AI337" s="33" t="n">
        <f aca="false">Source_Data!AI$9+Source_Data!AI$10*IF(Source_Data!$C$10=0,0,MAX(0,Inputs!$B$19*Inputs!$B$22*$B$329-Inputs!$B$20)/Source_Data!$C$10)</f>
        <v>12.73150921875</v>
      </c>
      <c r="AJ337" s="33" t="n">
        <f aca="false">Source_Data!AJ$9+Source_Data!AJ$10*IF(Source_Data!$C$10=0,0,MAX(0,Inputs!$B$19*Inputs!$B$22*$B$329-Inputs!$B$20)/Source_Data!$C$10)</f>
        <v>10.01136609375</v>
      </c>
      <c r="AK337" s="33" t="n">
        <f aca="false">Source_Data!AK$9+Source_Data!AK$10*IF(Source_Data!$C$10=0,0,MAX(0,Inputs!$B$19*Inputs!$B$22*$B$329-Inputs!$B$20)/Source_Data!$C$10)</f>
        <v>8.43603140625001</v>
      </c>
      <c r="AL337" s="33" t="n">
        <f aca="false">Source_Data!AL$9+Source_Data!AL$10*IF(Source_Data!$C$10=0,0,MAX(0,Inputs!$B$19*Inputs!$B$22*$B$329-Inputs!$B$20)/Source_Data!$C$10)</f>
        <v>7.35156187500001</v>
      </c>
      <c r="AM337" s="33" t="n">
        <f aca="false">Source_Data!AM$9+Source_Data!AM$10*IF(Source_Data!$C$10=0,0,MAX(0,Inputs!$B$19*Inputs!$B$22*$B$329-Inputs!$B$20)/Source_Data!$C$10)</f>
        <v>3.17023875000001</v>
      </c>
      <c r="AN337" s="33" t="n">
        <f aca="false">Source_Data!AN$9+Source_Data!AN$10*IF(Source_Data!$C$10=0,0,MAX(0,Inputs!$B$19*Inputs!$B$22*$B$329-Inputs!$B$20)/Source_Data!$C$10)</f>
        <v>3.17023875000001</v>
      </c>
      <c r="AO337" s="33" t="n">
        <f aca="false">Source_Data!AO$9+Source_Data!AO$10*IF(Source_Data!$C$10=0,0,MAX(0,Inputs!$B$19*Inputs!$B$22*$B$329-Inputs!$B$20)/Source_Data!$C$10)</f>
        <v>3.17023875000001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194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0</v>
      </c>
      <c r="I338" s="33" t="n">
        <f aca="false">Source_Data!I$11*$B$331</f>
        <v>0</v>
      </c>
      <c r="J338" s="33" t="n">
        <f aca="false">Source_Data!J$11*$B$331</f>
        <v>24</v>
      </c>
      <c r="K338" s="33" t="n">
        <f aca="false">Source_Data!K$11*$B$331</f>
        <v>31.68</v>
      </c>
      <c r="L338" s="33" t="n">
        <f aca="false">Source_Data!L$11*$B$331</f>
        <v>48</v>
      </c>
      <c r="M338" s="33" t="n">
        <f aca="false">Source_Data!M$11*$B$331</f>
        <v>31.68</v>
      </c>
      <c r="N338" s="33" t="n">
        <f aca="false">Source_Data!N$11*$B$331</f>
        <v>31.68</v>
      </c>
      <c r="O338" s="33" t="n">
        <f aca="false">Source_Data!O$11*$B$331</f>
        <v>31.68</v>
      </c>
      <c r="P338" s="33" t="n">
        <f aca="false">Source_Data!P$11*$B$331</f>
        <v>6.336</v>
      </c>
      <c r="Q338" s="33" t="n">
        <f aca="false">Source_Data!Q$11*$B$331</f>
        <v>6.336</v>
      </c>
      <c r="R338" s="33" t="n">
        <f aca="false">Source_Data!R$11*$B$331</f>
        <v>144</v>
      </c>
      <c r="S338" s="33" t="n">
        <f aca="false">Source_Data!S$11*$B$331</f>
        <v>144</v>
      </c>
      <c r="T338" s="33" t="n">
        <f aca="false">Source_Data!T$11*$B$331</f>
        <v>196.8</v>
      </c>
      <c r="U338" s="33" t="n">
        <f aca="false">Source_Data!U$11*$B$331</f>
        <v>140.4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196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0</v>
      </c>
      <c r="K339" s="33" t="n">
        <f aca="false">$B$329*IF(Source_Data!K$5-$B$330&gt;=1,INDEX(Source_Data!$D$12:$BK$12,1,Source_Data!K$5-$B$330),0)</f>
        <v>0</v>
      </c>
      <c r="L339" s="33" t="n">
        <f aca="false">$B$329*IF(Source_Data!L$5-$B$330&gt;=1,INDEX(Source_Data!$D$12:$BK$12,1,Source_Data!L$5-$B$330),0)</f>
        <v>14.49252</v>
      </c>
      <c r="M339" s="33" t="n">
        <f aca="false">$B$329*IF(Source_Data!M$5-$B$330&gt;=1,INDEX(Source_Data!$D$12:$BK$12,1,Source_Data!M$5-$B$330),0)</f>
        <v>14.49252</v>
      </c>
      <c r="N339" s="33" t="n">
        <f aca="false">$B$329*IF(Source_Data!N$5-$B$330&gt;=1,INDEX(Source_Data!$D$12:$BK$12,1,Source_Data!N$5-$B$330),0)</f>
        <v>12.43494</v>
      </c>
      <c r="O339" s="33" t="n">
        <f aca="false">$B$329*IF(Source_Data!O$5-$B$330&gt;=1,INDEX(Source_Data!$D$12:$BK$12,1,Source_Data!O$5-$B$330),0)</f>
        <v>7.20153</v>
      </c>
      <c r="P339" s="33" t="n">
        <f aca="false">$B$329*IF(Source_Data!P$5-$B$330&gt;=1,INDEX(Source_Data!$D$12:$BK$12,1,Source_Data!P$5-$B$330),0)</f>
        <v>7.93212</v>
      </c>
      <c r="Q339" s="33" t="n">
        <f aca="false">$B$329*IF(Source_Data!Q$5-$B$330&gt;=1,INDEX(Source_Data!$D$12:$BK$12,1,Source_Data!Q$5-$B$330),0)</f>
        <v>7.39536</v>
      </c>
      <c r="R339" s="33" t="n">
        <f aca="false">$B$329*IF(Source_Data!R$5-$B$330&gt;=1,INDEX(Source_Data!$D$12:$BK$12,1,Source_Data!R$5-$B$330),0)</f>
        <v>7.54446</v>
      </c>
      <c r="S339" s="33" t="n">
        <f aca="false">$B$329*IF(Source_Data!S$5-$B$330&gt;=1,INDEX(Source_Data!$D$12:$BK$12,1,Source_Data!S$5-$B$330),0)</f>
        <v>7.54446</v>
      </c>
      <c r="T339" s="33" t="n">
        <f aca="false">$B$329*IF(Source_Data!T$5-$B$330&gt;=1,INDEX(Source_Data!$D$12:$BK$12,1,Source_Data!T$5-$B$330),0)</f>
        <v>8.23032</v>
      </c>
      <c r="U339" s="33" t="n">
        <f aca="false">$B$329*IF(Source_Data!U$5-$B$330&gt;=1,INDEX(Source_Data!$D$12:$BK$12,1,Source_Data!U$5-$B$330),0)</f>
        <v>8.23032</v>
      </c>
      <c r="V339" s="33" t="n">
        <f aca="false">$B$329*IF(Source_Data!V$5-$B$330&gt;=1,INDEX(Source_Data!$D$12:$BK$12,1,Source_Data!V$5-$B$330),0)</f>
        <v>5.72544</v>
      </c>
      <c r="W339" s="33" t="n">
        <f aca="false">$B$329*IF(Source_Data!W$5-$B$330&gt;=1,INDEX(Source_Data!$D$12:$BK$12,1,Source_Data!W$5-$B$330),0)</f>
        <v>5.72544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215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0</v>
      </c>
      <c r="I340" s="33" t="n">
        <f aca="false">Source_Data!I$13*$B$331</f>
        <v>0</v>
      </c>
      <c r="J340" s="33" t="n">
        <f aca="false">Source_Data!J$13*$B$331</f>
        <v>3.6</v>
      </c>
      <c r="K340" s="33" t="n">
        <f aca="false">Source_Data!K$13*$B$331</f>
        <v>4.752</v>
      </c>
      <c r="L340" s="33" t="n">
        <f aca="false">Source_Data!L$13*$B$331</f>
        <v>7.2</v>
      </c>
      <c r="M340" s="33" t="n">
        <f aca="false">Source_Data!M$13*$B$331</f>
        <v>4.752</v>
      </c>
      <c r="N340" s="33" t="n">
        <f aca="false">Source_Data!N$13*$B$331</f>
        <v>4.752</v>
      </c>
      <c r="O340" s="33" t="n">
        <f aca="false">Source_Data!O$13*$B$331</f>
        <v>4.752</v>
      </c>
      <c r="P340" s="33" t="n">
        <f aca="false">Source_Data!P$13*$B$331</f>
        <v>0.9504</v>
      </c>
      <c r="Q340" s="33" t="n">
        <f aca="false">Source_Data!Q$13*$B$331</f>
        <v>0.9504</v>
      </c>
      <c r="R340" s="33" t="n">
        <f aca="false">Source_Data!R$13*$B$331</f>
        <v>21.6</v>
      </c>
      <c r="S340" s="33" t="n">
        <f aca="false">Source_Data!S$13*$B$331</f>
        <v>21.6</v>
      </c>
      <c r="T340" s="33" t="n">
        <f aca="false">Source_Data!T$13*$B$331</f>
        <v>29.52</v>
      </c>
      <c r="U340" s="33" t="n">
        <f aca="false">Source_Data!U$13*$B$331</f>
        <v>21.06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216</v>
      </c>
      <c r="D341" s="33" t="n">
        <f aca="false">D336-D337-D338-D339-D340</f>
        <v>0</v>
      </c>
      <c r="E341" s="33" t="n">
        <f aca="false">E336-E337-E338-E339-E340</f>
        <v>0</v>
      </c>
      <c r="F341" s="33" t="n">
        <f aca="false">F336-F337-F338-F339-F340</f>
        <v>0</v>
      </c>
      <c r="G341" s="33" t="n">
        <f aca="false">G336-G337-G338-G339-G340</f>
        <v>-85</v>
      </c>
      <c r="H341" s="33" t="n">
        <f aca="false">H336-H337-H338-H339-H340</f>
        <v>-4.38435</v>
      </c>
      <c r="I341" s="33" t="n">
        <f aca="false">I336-I337-I338-I339-I340</f>
        <v>13.7313</v>
      </c>
      <c r="J341" s="33" t="n">
        <f aca="false">J336-J337-J338-J339-J340</f>
        <v>8.160825</v>
      </c>
      <c r="K341" s="33" t="n">
        <f aca="false">K336-K337-K338-K339-K340</f>
        <v>10.08639</v>
      </c>
      <c r="L341" s="33" t="n">
        <f aca="false">L336-L337-L338-L339-L340</f>
        <v>-47.604975</v>
      </c>
      <c r="M341" s="33" t="n">
        <f aca="false">M336-M337-M338-M339-M340</f>
        <v>-22.9512525</v>
      </c>
      <c r="N341" s="33" t="n">
        <f aca="false">N336-N337-N338-N339-N340</f>
        <v>-4.99588499999998</v>
      </c>
      <c r="O341" s="33" t="n">
        <f aca="false">O336-O337-O338-O339-O340</f>
        <v>16.974</v>
      </c>
      <c r="P341" s="33" t="n">
        <f aca="false">P336-P337-P338-P339-P340</f>
        <v>43.78391625</v>
      </c>
      <c r="Q341" s="33" t="n">
        <f aca="false">Q336-Q337-Q338-Q339-Q340</f>
        <v>53.9655825</v>
      </c>
      <c r="R341" s="33" t="n">
        <f aca="false">R336-R337-R338-R339-R340</f>
        <v>453.6960075</v>
      </c>
      <c r="S341" s="33" t="n">
        <f aca="false">S336-S337-S338-S339-S340</f>
        <v>-57.7542675</v>
      </c>
      <c r="T341" s="33" t="n">
        <f aca="false">T336-T337-T338-T339-T340</f>
        <v>-166.9537275</v>
      </c>
      <c r="U341" s="33" t="n">
        <f aca="false">U336-U337-U338-U339-U340</f>
        <v>-125.3533275</v>
      </c>
      <c r="V341" s="33" t="n">
        <f aca="false">V336-V337-V338-V339-V340</f>
        <v>36.7999875</v>
      </c>
      <c r="W341" s="33" t="n">
        <f aca="false">W336-W337-W338-W339-W340</f>
        <v>34.9884225</v>
      </c>
      <c r="X341" s="33" t="n">
        <f aca="false">X336-X337-X338-X339-X340</f>
        <v>54.779461875</v>
      </c>
      <c r="Y341" s="33" t="n">
        <f aca="false">Y336-Y337-Y338-Y339-Y340</f>
        <v>47.65341375</v>
      </c>
      <c r="Z341" s="33" t="n">
        <f aca="false">Z336-Z337-Z338-Z339-Z340</f>
        <v>38.83787625</v>
      </c>
      <c r="AA341" s="33" t="n">
        <f aca="false">AA336-AA337-AA338-AA339-AA340</f>
        <v>28.54624875</v>
      </c>
      <c r="AB341" s="33" t="n">
        <f aca="false">AB336-AB337-AB338-AB339-AB340</f>
        <v>51.04624875</v>
      </c>
      <c r="AC341" s="33" t="n">
        <f aca="false">AC336-AC337-AC338-AC339-AC340</f>
        <v>51.04624875</v>
      </c>
      <c r="AD341" s="33" t="n">
        <f aca="false">AD336-AD337-AD338-AD339-AD340</f>
        <v>51.04624875</v>
      </c>
      <c r="AE341" s="33" t="n">
        <f aca="false">AE336-AE337-AE338-AE339-AE340</f>
        <v>51.04624875</v>
      </c>
      <c r="AF341" s="33" t="n">
        <f aca="false">AF336-AF337-AF338-AF339-AF340</f>
        <v>-197.2602284375</v>
      </c>
      <c r="AG341" s="33" t="n">
        <f aca="false">AG336-AG337-AG338-AG339-AG340</f>
        <v>20.70929109375</v>
      </c>
      <c r="AH341" s="33" t="n">
        <f aca="false">AH336-AH337-AH338-AH339-AH340</f>
        <v>18.5391871875</v>
      </c>
      <c r="AI341" s="33" t="n">
        <f aca="false">AI336-AI337-AI338-AI339-AI340</f>
        <v>16.36908328125</v>
      </c>
      <c r="AJ341" s="33" t="n">
        <f aca="false">AJ336-AJ337-AJ338-AJ339-AJ340</f>
        <v>12.87175640625</v>
      </c>
      <c r="AK341" s="33" t="n">
        <f aca="false">AK336-AK337-AK338-AK339-AK340</f>
        <v>10.84632609375</v>
      </c>
      <c r="AL341" s="33" t="n">
        <f aca="false">AL336-AL337-AL338-AL339-AL340</f>
        <v>9.45200812499999</v>
      </c>
      <c r="AM341" s="33" t="n">
        <f aca="false">AM336-AM337-AM338-AM339-AM340</f>
        <v>4.07602125</v>
      </c>
      <c r="AN341" s="33" t="n">
        <f aca="false">AN336-AN337-AN338-AN339-AN340</f>
        <v>4.07602125</v>
      </c>
      <c r="AO341" s="33" t="n">
        <f aca="false">AO336-AO337-AO338-AO339-AO340</f>
        <v>4.07602125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217</v>
      </c>
      <c r="D342" s="33" t="n">
        <f aca="false">D341</f>
        <v>0</v>
      </c>
      <c r="E342" s="33" t="n">
        <f aca="false">D342+E341</f>
        <v>0</v>
      </c>
      <c r="F342" s="33" t="n">
        <f aca="false">E342+F341</f>
        <v>0</v>
      </c>
      <c r="G342" s="33" t="n">
        <f aca="false">F342+G341</f>
        <v>-85</v>
      </c>
      <c r="H342" s="33" t="n">
        <f aca="false">G342+H341</f>
        <v>-89.38435</v>
      </c>
      <c r="I342" s="33" t="n">
        <f aca="false">H342+I341</f>
        <v>-75.65305</v>
      </c>
      <c r="J342" s="33" t="n">
        <f aca="false">I342+J341</f>
        <v>-67.492225</v>
      </c>
      <c r="K342" s="33" t="n">
        <f aca="false">J342+K341</f>
        <v>-57.405835</v>
      </c>
      <c r="L342" s="33" t="n">
        <f aca="false">K342+L341</f>
        <v>-105.01081</v>
      </c>
      <c r="M342" s="33" t="n">
        <f aca="false">L342+M341</f>
        <v>-127.9620625</v>
      </c>
      <c r="N342" s="33" t="n">
        <f aca="false">M342+N341</f>
        <v>-132.9579475</v>
      </c>
      <c r="O342" s="33" t="n">
        <f aca="false">N342+O341</f>
        <v>-115.9839475</v>
      </c>
      <c r="P342" s="33" t="n">
        <f aca="false">O342+P341</f>
        <v>-72.20003125</v>
      </c>
      <c r="Q342" s="33" t="n">
        <f aca="false">P342+Q341</f>
        <v>-18.23444875</v>
      </c>
      <c r="R342" s="33" t="n">
        <f aca="false">Q342+R341</f>
        <v>435.46155875</v>
      </c>
      <c r="S342" s="33" t="n">
        <f aca="false">R342+S341</f>
        <v>377.70729125</v>
      </c>
      <c r="T342" s="33" t="n">
        <f aca="false">S342+T341</f>
        <v>210.75356375</v>
      </c>
      <c r="U342" s="33" t="n">
        <f aca="false">T342+U341</f>
        <v>85.4002362499996</v>
      </c>
      <c r="V342" s="33" t="n">
        <f aca="false">U342+V341</f>
        <v>122.20022375</v>
      </c>
      <c r="W342" s="33" t="n">
        <f aca="false">V342+W341</f>
        <v>157.18864625</v>
      </c>
      <c r="X342" s="33" t="n">
        <f aca="false">W342+X341</f>
        <v>211.968108125</v>
      </c>
      <c r="Y342" s="33" t="n">
        <f aca="false">X342+Y341</f>
        <v>259.621521875</v>
      </c>
      <c r="Z342" s="33" t="n">
        <f aca="false">Y342+Z341</f>
        <v>298.459398125</v>
      </c>
      <c r="AA342" s="33" t="n">
        <f aca="false">Z342+AA341</f>
        <v>327.005646874999</v>
      </c>
      <c r="AB342" s="33" t="n">
        <f aca="false">AA342+AB341</f>
        <v>378.051895624999</v>
      </c>
      <c r="AC342" s="33" t="n">
        <f aca="false">AB342+AC341</f>
        <v>429.098144374999</v>
      </c>
      <c r="AD342" s="33" t="n">
        <f aca="false">AC342+AD341</f>
        <v>480.144393124999</v>
      </c>
      <c r="AE342" s="33" t="n">
        <f aca="false">AD342+AE341</f>
        <v>531.190641874999</v>
      </c>
      <c r="AF342" s="33" t="n">
        <f aca="false">AE342+AF341</f>
        <v>333.9304134375</v>
      </c>
      <c r="AG342" s="33" t="n">
        <f aca="false">AF342+AG341</f>
        <v>354.63970453125</v>
      </c>
      <c r="AH342" s="33" t="n">
        <f aca="false">AG342+AH341</f>
        <v>373.178891718749</v>
      </c>
      <c r="AI342" s="33" t="n">
        <f aca="false">AH342+AI341</f>
        <v>389.547974999999</v>
      </c>
      <c r="AJ342" s="33" t="n">
        <f aca="false">AI342+AJ341</f>
        <v>402.419731406249</v>
      </c>
      <c r="AK342" s="33" t="n">
        <f aca="false">AJ342+AK341</f>
        <v>413.266057499999</v>
      </c>
      <c r="AL342" s="33" t="n">
        <f aca="false">AK342+AL341</f>
        <v>422.718065624999</v>
      </c>
      <c r="AM342" s="33" t="n">
        <f aca="false">AL342+AM341</f>
        <v>426.794086874999</v>
      </c>
      <c r="AN342" s="33" t="n">
        <f aca="false">AM342+AN341</f>
        <v>430.870108124999</v>
      </c>
      <c r="AO342" s="33" t="n">
        <f aca="false">AN342+AO341</f>
        <v>434.946129374999</v>
      </c>
      <c r="AP342" s="33" t="n">
        <f aca="false">AO342+AP341</f>
        <v>434.946129374999</v>
      </c>
      <c r="AQ342" s="33" t="n">
        <f aca="false">AP342+AQ341</f>
        <v>434.946129374999</v>
      </c>
      <c r="AR342" s="33" t="n">
        <f aca="false">AQ342+AR341</f>
        <v>434.946129374999</v>
      </c>
      <c r="AS342" s="33" t="n">
        <f aca="false">AR342+AS341</f>
        <v>434.946129374999</v>
      </c>
      <c r="AT342" s="33" t="n">
        <f aca="false">AS342+AT341</f>
        <v>434.946129374999</v>
      </c>
      <c r="AU342" s="33" t="n">
        <f aca="false">AT342+AU341</f>
        <v>434.946129374999</v>
      </c>
      <c r="AV342" s="33" t="n">
        <f aca="false">AU342+AV341</f>
        <v>434.946129374999</v>
      </c>
      <c r="AW342" s="33" t="n">
        <f aca="false">AV342+AW341</f>
        <v>434.946129374999</v>
      </c>
      <c r="AX342" s="33" t="n">
        <f aca="false">AW342+AX341</f>
        <v>434.946129374999</v>
      </c>
      <c r="AY342" s="33" t="n">
        <f aca="false">AX342+AY341</f>
        <v>434.946129374999</v>
      </c>
      <c r="AZ342" s="33" t="n">
        <f aca="false">AY342+AZ341</f>
        <v>434.946129374999</v>
      </c>
      <c r="BA342" s="33" t="n">
        <f aca="false">AZ342+BA341</f>
        <v>434.946129374999</v>
      </c>
      <c r="BB342" s="33" t="n">
        <f aca="false">BA342+BB341</f>
        <v>434.946129374999</v>
      </c>
      <c r="BC342" s="33" t="n">
        <f aca="false">BB342+BC341</f>
        <v>434.946129374999</v>
      </c>
      <c r="BD342" s="33" t="n">
        <f aca="false">BC342+BD341</f>
        <v>434.946129374999</v>
      </c>
      <c r="BE342" s="33" t="n">
        <f aca="false">BD342+BE341</f>
        <v>434.946129374999</v>
      </c>
      <c r="BF342" s="33" t="n">
        <f aca="false">BE342+BF341</f>
        <v>434.946129374999</v>
      </c>
      <c r="BG342" s="33" t="n">
        <f aca="false">BF342+BG341</f>
        <v>434.946129374999</v>
      </c>
      <c r="BH342" s="33" t="n">
        <f aca="false">BG342+BH341</f>
        <v>434.946129374999</v>
      </c>
      <c r="BI342" s="33" t="n">
        <f aca="false">BH342+BI341</f>
        <v>434.946129374999</v>
      </c>
      <c r="BJ342" s="33" t="n">
        <f aca="false">BI342+BJ341</f>
        <v>434.946129374999</v>
      </c>
      <c r="BK342" s="33" t="n">
        <f aca="false">BJ342+BK341</f>
        <v>434.946129374999</v>
      </c>
    </row>
    <row r="343" customFormat="false" ht="15" hidden="false" customHeight="false" outlineLevel="0" collapsed="false">
      <c r="A343" s="3" t="s">
        <v>340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-50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0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0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35.9259259259259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35.9259259259259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35.9259259259259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35.9259259259259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341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0</v>
      </c>
      <c r="N344" s="33" t="n">
        <f aca="false">IF(AND(Source_Data!N$6&gt;=Inputs!$B$54,Source_Data!N$6&lt;Inputs!$B$54+3*Inputs!$B$11),Inputs!$B$9*Inputs!$B$7/Inputs!$B$11,0)</f>
        <v>0</v>
      </c>
      <c r="O344" s="33" t="n">
        <f aca="false">IF(AND(Source_Data!O$6&gt;=Inputs!$B$54,Source_Data!O$6&lt;Inputs!$B$54+3*Inputs!$B$11),Inputs!$B$9*Inputs!$B$7/Inputs!$B$11,0)</f>
        <v>0</v>
      </c>
      <c r="P344" s="33" t="n">
        <f aca="false">IF(AND(Source_Data!P$6&gt;=Inputs!$B$54,Source_Data!P$6&lt;Inputs!$B$54+3*Inputs!$B$11),Inputs!$B$9*Inputs!$B$7/Inputs!$B$11,0)</f>
        <v>9.58333333333333</v>
      </c>
      <c r="Q344" s="33" t="n">
        <f aca="false">IF(AND(Source_Data!Q$6&gt;=Inputs!$B$54,Source_Data!Q$6&lt;Inputs!$B$54+3*Inputs!$B$11),Inputs!$B$9*Inputs!$B$7/Inputs!$B$11,0)</f>
        <v>9.58333333333333</v>
      </c>
      <c r="R344" s="33" t="n">
        <f aca="false">IF(AND(Source_Data!R$6&gt;=Inputs!$B$54,Source_Data!R$6&lt;Inputs!$B$54+3*Inputs!$B$11),Inputs!$B$9*Inputs!$B$7/Inputs!$B$11,0)</f>
        <v>9.58333333333333</v>
      </c>
      <c r="S344" s="33" t="n">
        <f aca="false">IF(AND(Source_Data!S$6&gt;=Inputs!$B$54,Source_Data!S$6&lt;Inputs!$B$54+3*Inputs!$B$11),Inputs!$B$9*Inputs!$B$7/Inputs!$B$11,0)</f>
        <v>9.58333333333333</v>
      </c>
      <c r="T344" s="33" t="n">
        <f aca="false">IF(AND(Source_Data!T$6&gt;=Inputs!$B$54,Source_Data!T$6&lt;Inputs!$B$54+3*Inputs!$B$11),Inputs!$B$9*Inputs!$B$7/Inputs!$B$11,0)</f>
        <v>9.58333333333333</v>
      </c>
      <c r="U344" s="33" t="n">
        <f aca="false">IF(AND(Source_Data!U$6&gt;=Inputs!$B$54,Source_Data!U$6&lt;Inputs!$B$54+3*Inputs!$B$11),Inputs!$B$9*Inputs!$B$7/Inputs!$B$11,0)</f>
        <v>9.58333333333333</v>
      </c>
      <c r="V344" s="33" t="n">
        <f aca="false">IF(AND(Source_Data!V$6&gt;=Inputs!$B$54,Source_Data!V$6&lt;Inputs!$B$54+3*Inputs!$B$11),Inputs!$B$9*Inputs!$B$7/Inputs!$B$11,0)</f>
        <v>9.58333333333333</v>
      </c>
      <c r="W344" s="33" t="n">
        <f aca="false">IF(AND(Source_Data!W$6&gt;=Inputs!$B$54,Source_Data!W$6&lt;Inputs!$B$54+3*Inputs!$B$11),Inputs!$B$9*Inputs!$B$7/Inputs!$B$11,0)</f>
        <v>9.58333333333333</v>
      </c>
      <c r="X344" s="33" t="n">
        <f aca="false">IF(AND(Source_Data!X$6&gt;=Inputs!$B$54,Source_Data!X$6&lt;Inputs!$B$54+3*Inputs!$B$11),Inputs!$B$9*Inputs!$B$7/Inputs!$B$11,0)</f>
        <v>9.58333333333333</v>
      </c>
      <c r="Y344" s="33" t="n">
        <f aca="false">IF(AND(Source_Data!Y$6&gt;=Inputs!$B$54,Source_Data!Y$6&lt;Inputs!$B$54+3*Inputs!$B$11),Inputs!$B$9*Inputs!$B$7/Inputs!$B$11,0)</f>
        <v>9.58333333333333</v>
      </c>
      <c r="Z344" s="33" t="n">
        <f aca="false">IF(AND(Source_Data!Z$6&gt;=Inputs!$B$54,Source_Data!Z$6&lt;Inputs!$B$54+3*Inputs!$B$11),Inputs!$B$9*Inputs!$B$7/Inputs!$B$11,0)</f>
        <v>9.58333333333333</v>
      </c>
      <c r="AA344" s="33" t="n">
        <f aca="false">IF(AND(Source_Data!AA$6&gt;=Inputs!$B$54,Source_Data!AA$6&lt;Inputs!$B$54+3*Inputs!$B$11),Inputs!$B$9*Inputs!$B$7/Inputs!$B$11,0)</f>
        <v>9.58333333333333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342</v>
      </c>
      <c r="D345" s="33" t="n">
        <f aca="false">IF(Source_Data!D$6=Inputs!$B$12,-Inputs!$B$7,0)+D344</f>
        <v>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-50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0</v>
      </c>
      <c r="N345" s="33" t="n">
        <f aca="false">IF(Source_Data!N$6=Inputs!$B$12,-Inputs!$B$7,0)+N344</f>
        <v>0</v>
      </c>
      <c r="O345" s="33" t="n">
        <f aca="false">IF(Source_Data!O$6=Inputs!$B$12,-Inputs!$B$7,0)+O344</f>
        <v>0</v>
      </c>
      <c r="P345" s="33" t="n">
        <f aca="false">IF(Source_Data!P$6=Inputs!$B$12,-Inputs!$B$7,0)+P344</f>
        <v>9.58333333333333</v>
      </c>
      <c r="Q345" s="33" t="n">
        <f aca="false">IF(Source_Data!Q$6=Inputs!$B$12,-Inputs!$B$7,0)+Q344</f>
        <v>9.58333333333333</v>
      </c>
      <c r="R345" s="33" t="n">
        <f aca="false">IF(Source_Data!R$6=Inputs!$B$12,-Inputs!$B$7,0)+R344</f>
        <v>9.58333333333333</v>
      </c>
      <c r="S345" s="33" t="n">
        <f aca="false">IF(Source_Data!S$6=Inputs!$B$12,-Inputs!$B$7,0)+S344</f>
        <v>9.58333333333333</v>
      </c>
      <c r="T345" s="33" t="n">
        <f aca="false">IF(Source_Data!T$6=Inputs!$B$12,-Inputs!$B$7,0)+T344</f>
        <v>9.58333333333333</v>
      </c>
      <c r="U345" s="33" t="n">
        <f aca="false">IF(Source_Data!U$6=Inputs!$B$12,-Inputs!$B$7,0)+U344</f>
        <v>9.58333333333333</v>
      </c>
      <c r="V345" s="33" t="n">
        <f aca="false">IF(Source_Data!V$6=Inputs!$B$12,-Inputs!$B$7,0)+V344</f>
        <v>9.58333333333333</v>
      </c>
      <c r="W345" s="33" t="n">
        <f aca="false">IF(Source_Data!W$6=Inputs!$B$12,-Inputs!$B$7,0)+W344</f>
        <v>9.58333333333333</v>
      </c>
      <c r="X345" s="33" t="n">
        <f aca="false">IF(Source_Data!X$6=Inputs!$B$12,-Inputs!$B$7,0)+X344</f>
        <v>9.58333333333333</v>
      </c>
      <c r="Y345" s="33" t="n">
        <f aca="false">IF(Source_Data!Y$6=Inputs!$B$12,-Inputs!$B$7,0)+Y344</f>
        <v>9.58333333333333</v>
      </c>
      <c r="Z345" s="33" t="n">
        <f aca="false">IF(Source_Data!Z$6=Inputs!$B$12,-Inputs!$B$7,0)+Z344</f>
        <v>9.58333333333333</v>
      </c>
      <c r="AA345" s="33" t="n">
        <f aca="false">IF(Source_Data!AA$6=Inputs!$B$12,-Inputs!$B$7,0)+AA344</f>
        <v>9.58333333333333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343</v>
      </c>
      <c r="D346" s="33" t="n">
        <f aca="false">IF(Source_Data!D$6=Inputs!$B$12,Inputs!$B$7,0)+D341-D344</f>
        <v>0</v>
      </c>
      <c r="E346" s="33" t="n">
        <f aca="false">D346+IF(Source_Data!E$6=Inputs!$B$12,Inputs!$B$7,0)+E341-E344</f>
        <v>0</v>
      </c>
      <c r="F346" s="33" t="n">
        <f aca="false">E346+IF(Source_Data!F$6=Inputs!$B$12,Inputs!$B$7,0)+F341-F344</f>
        <v>0</v>
      </c>
      <c r="G346" s="33" t="n">
        <f aca="false">F346+IF(Source_Data!G$6=Inputs!$B$12,Inputs!$B$7,0)+G341-G344</f>
        <v>-35</v>
      </c>
      <c r="H346" s="33" t="n">
        <f aca="false">G346+IF(Source_Data!H$6=Inputs!$B$12,Inputs!$B$7,0)+H341-H344</f>
        <v>-39.38435</v>
      </c>
      <c r="I346" s="33" t="n">
        <f aca="false">H346+IF(Source_Data!I$6=Inputs!$B$12,Inputs!$B$7,0)+I341-I344</f>
        <v>-25.65305</v>
      </c>
      <c r="J346" s="33" t="n">
        <f aca="false">I346+IF(Source_Data!J$6=Inputs!$B$12,Inputs!$B$7,0)+J341-J344</f>
        <v>-17.492225</v>
      </c>
      <c r="K346" s="33" t="n">
        <f aca="false">J346+IF(Source_Data!K$6=Inputs!$B$12,Inputs!$B$7,0)+K341-K344</f>
        <v>-7.40583500000001</v>
      </c>
      <c r="L346" s="33" t="n">
        <f aca="false">K346+IF(Source_Data!L$6=Inputs!$B$12,Inputs!$B$7,0)+L341-L344</f>
        <v>-55.01081</v>
      </c>
      <c r="M346" s="33" t="n">
        <f aca="false">L346+IF(Source_Data!M$6=Inputs!$B$12,Inputs!$B$7,0)+M341-M344</f>
        <v>-77.9620625</v>
      </c>
      <c r="N346" s="33" t="n">
        <f aca="false">M346+IF(Source_Data!N$6=Inputs!$B$12,Inputs!$B$7,0)+N341-N344</f>
        <v>-82.9579475</v>
      </c>
      <c r="O346" s="33" t="n">
        <f aca="false">N346+IF(Source_Data!O$6=Inputs!$B$12,Inputs!$B$7,0)+O341-O344</f>
        <v>-65.9839475</v>
      </c>
      <c r="P346" s="33" t="n">
        <f aca="false">O346+IF(Source_Data!P$6=Inputs!$B$12,Inputs!$B$7,0)+P341-P344</f>
        <v>-31.7833645833333</v>
      </c>
      <c r="Q346" s="33" t="n">
        <f aca="false">P346+IF(Source_Data!Q$6=Inputs!$B$12,Inputs!$B$7,0)+Q341-Q344</f>
        <v>12.5988845833333</v>
      </c>
      <c r="R346" s="33" t="n">
        <f aca="false">Q346+IF(Source_Data!R$6=Inputs!$B$12,Inputs!$B$7,0)+R341-R344</f>
        <v>456.71155875</v>
      </c>
      <c r="S346" s="33" t="n">
        <f aca="false">R346+IF(Source_Data!S$6=Inputs!$B$12,Inputs!$B$7,0)+S341-S344</f>
        <v>389.373957916667</v>
      </c>
      <c r="T346" s="33" t="n">
        <f aca="false">S346+IF(Source_Data!T$6=Inputs!$B$12,Inputs!$B$7,0)+T341-T344</f>
        <v>212.836897083333</v>
      </c>
      <c r="U346" s="33" t="n">
        <f aca="false">T346+IF(Source_Data!U$6=Inputs!$B$12,Inputs!$B$7,0)+U341-U344</f>
        <v>77.9002362499997</v>
      </c>
      <c r="V346" s="33" t="n">
        <f aca="false">U346+IF(Source_Data!V$6=Inputs!$B$12,Inputs!$B$7,0)+V341-V344</f>
        <v>105.116890416666</v>
      </c>
      <c r="W346" s="33" t="n">
        <f aca="false">V346+IF(Source_Data!W$6=Inputs!$B$12,Inputs!$B$7,0)+W341-W344</f>
        <v>130.521979583333</v>
      </c>
      <c r="X346" s="33" t="n">
        <f aca="false">W346+IF(Source_Data!X$6=Inputs!$B$12,Inputs!$B$7,0)+X341-X344</f>
        <v>175.718108125</v>
      </c>
      <c r="Y346" s="33" t="n">
        <f aca="false">X346+IF(Source_Data!Y$6=Inputs!$B$12,Inputs!$B$7,0)+Y341-Y344</f>
        <v>213.788188541666</v>
      </c>
      <c r="Z346" s="33" t="n">
        <f aca="false">Y346+IF(Source_Data!Z$6=Inputs!$B$12,Inputs!$B$7,0)+Z341-Z344</f>
        <v>243.042731458333</v>
      </c>
      <c r="AA346" s="33" t="n">
        <f aca="false">Z346+IF(Source_Data!AA$6=Inputs!$B$12,Inputs!$B$7,0)+AA341-AA344</f>
        <v>262.005646875</v>
      </c>
      <c r="AB346" s="33" t="n">
        <f aca="false">AA346+IF(Source_Data!AB$6=Inputs!$B$12,Inputs!$B$7,0)+AB341-AB344</f>
        <v>313.051895625</v>
      </c>
      <c r="AC346" s="33" t="n">
        <f aca="false">AB346+IF(Source_Data!AC$6=Inputs!$B$12,Inputs!$B$7,0)+AC341-AC344</f>
        <v>364.098144375</v>
      </c>
      <c r="AD346" s="33" t="n">
        <f aca="false">AC346+IF(Source_Data!AD$6=Inputs!$B$12,Inputs!$B$7,0)+AD341-AD344</f>
        <v>415.144393124999</v>
      </c>
      <c r="AE346" s="33" t="n">
        <f aca="false">AD346+IF(Source_Data!AE$6=Inputs!$B$12,Inputs!$B$7,0)+AE341-AE344</f>
        <v>466.190641874999</v>
      </c>
      <c r="AF346" s="33" t="n">
        <f aca="false">AE346+IF(Source_Data!AF$6=Inputs!$B$12,Inputs!$B$7,0)+AF341-AF344</f>
        <v>268.9304134375</v>
      </c>
      <c r="AG346" s="33" t="n">
        <f aca="false">AF346+IF(Source_Data!AG$6=Inputs!$B$12,Inputs!$B$7,0)+AG341-AG344</f>
        <v>289.63970453125</v>
      </c>
      <c r="AH346" s="33" t="n">
        <f aca="false">AG346+IF(Source_Data!AH$6=Inputs!$B$12,Inputs!$B$7,0)+AH341-AH344</f>
        <v>308.17889171875</v>
      </c>
      <c r="AI346" s="33" t="n">
        <f aca="false">AH346+IF(Source_Data!AI$6=Inputs!$B$12,Inputs!$B$7,0)+AI341-AI344</f>
        <v>324.547975</v>
      </c>
      <c r="AJ346" s="33" t="n">
        <f aca="false">AI346+IF(Source_Data!AJ$6=Inputs!$B$12,Inputs!$B$7,0)+AJ341-AJ344</f>
        <v>337.41973140625</v>
      </c>
      <c r="AK346" s="33" t="n">
        <f aca="false">AJ346+IF(Source_Data!AK$6=Inputs!$B$12,Inputs!$B$7,0)+AK341-AK344</f>
        <v>348.2660575</v>
      </c>
      <c r="AL346" s="33" t="n">
        <f aca="false">AK346+IF(Source_Data!AL$6=Inputs!$B$12,Inputs!$B$7,0)+AL341-AL344</f>
        <v>357.718065625</v>
      </c>
      <c r="AM346" s="33" t="n">
        <f aca="false">AL346+IF(Source_Data!AM$6=Inputs!$B$12,Inputs!$B$7,0)+AM341-AM344</f>
        <v>361.794086875</v>
      </c>
      <c r="AN346" s="33" t="n">
        <f aca="false">AM346+IF(Source_Data!AN$6=Inputs!$B$12,Inputs!$B$7,0)+AN341-AN344</f>
        <v>365.870108125</v>
      </c>
      <c r="AO346" s="33" t="n">
        <f aca="false">AN346+IF(Source_Data!AO$6=Inputs!$B$12,Inputs!$B$7,0)+AO341-AO344</f>
        <v>369.946129375</v>
      </c>
      <c r="AP346" s="33" t="n">
        <f aca="false">AO346+IF(Source_Data!AP$6=Inputs!$B$12,Inputs!$B$7,0)+AP341-AP344</f>
        <v>369.946129375</v>
      </c>
      <c r="AQ346" s="33" t="n">
        <f aca="false">AP346+IF(Source_Data!AQ$6=Inputs!$B$12,Inputs!$B$7,0)+AQ341-AQ344</f>
        <v>369.946129375</v>
      </c>
      <c r="AR346" s="33" t="n">
        <f aca="false">AQ346+IF(Source_Data!AR$6=Inputs!$B$12,Inputs!$B$7,0)+AR341-AR344</f>
        <v>369.946129375</v>
      </c>
      <c r="AS346" s="33" t="n">
        <f aca="false">AR346+IF(Source_Data!AS$6=Inputs!$B$12,Inputs!$B$7,0)+AS341-AS344</f>
        <v>369.946129375</v>
      </c>
      <c r="AT346" s="33" t="n">
        <f aca="false">AS346+IF(Source_Data!AT$6=Inputs!$B$12,Inputs!$B$7,0)+AT341-AT344</f>
        <v>369.946129375</v>
      </c>
      <c r="AU346" s="33" t="n">
        <f aca="false">AT346+IF(Source_Data!AU$6=Inputs!$B$12,Inputs!$B$7,0)+AU341-AU344</f>
        <v>369.946129375</v>
      </c>
      <c r="AV346" s="33" t="n">
        <f aca="false">AU346+IF(Source_Data!AV$6=Inputs!$B$12,Inputs!$B$7,0)+AV341-AV344</f>
        <v>369.946129375</v>
      </c>
      <c r="AW346" s="33" t="n">
        <f aca="false">AV346+IF(Source_Data!AW$6=Inputs!$B$12,Inputs!$B$7,0)+AW341-AW344</f>
        <v>369.946129375</v>
      </c>
      <c r="AX346" s="33" t="n">
        <f aca="false">AW346+IF(Source_Data!AX$6=Inputs!$B$12,Inputs!$B$7,0)+AX341-AX344</f>
        <v>369.946129375</v>
      </c>
      <c r="AY346" s="33" t="n">
        <f aca="false">AX346+IF(Source_Data!AY$6=Inputs!$B$12,Inputs!$B$7,0)+AY341-AY344</f>
        <v>369.946129375</v>
      </c>
      <c r="AZ346" s="33" t="n">
        <f aca="false">AY346+IF(Source_Data!AZ$6=Inputs!$B$12,Inputs!$B$7,0)+AZ341-AZ344</f>
        <v>369.946129375</v>
      </c>
      <c r="BA346" s="33" t="n">
        <f aca="false">AZ346+IF(Source_Data!BA$6=Inputs!$B$12,Inputs!$B$7,0)+BA341-BA344</f>
        <v>369.946129375</v>
      </c>
      <c r="BB346" s="33" t="n">
        <f aca="false">BA346+IF(Source_Data!BB$6=Inputs!$B$12,Inputs!$B$7,0)+BB341-BB344</f>
        <v>369.946129375</v>
      </c>
      <c r="BC346" s="33" t="n">
        <f aca="false">BB346+IF(Source_Data!BC$6=Inputs!$B$12,Inputs!$B$7,0)+BC341-BC344</f>
        <v>369.946129375</v>
      </c>
      <c r="BD346" s="33" t="n">
        <f aca="false">BC346+IF(Source_Data!BD$6=Inputs!$B$12,Inputs!$B$7,0)+BD341-BD344</f>
        <v>369.946129375</v>
      </c>
      <c r="BE346" s="33" t="n">
        <f aca="false">BD346+IF(Source_Data!BE$6=Inputs!$B$12,Inputs!$B$7,0)+BE341-BE344</f>
        <v>369.946129375</v>
      </c>
      <c r="BF346" s="33" t="n">
        <f aca="false">BE346+IF(Source_Data!BF$6=Inputs!$B$12,Inputs!$B$7,0)+BF341-BF344</f>
        <v>369.946129375</v>
      </c>
      <c r="BG346" s="33" t="n">
        <f aca="false">BF346+IF(Source_Data!BG$6=Inputs!$B$12,Inputs!$B$7,0)+BG341-BG344</f>
        <v>369.946129375</v>
      </c>
      <c r="BH346" s="33" t="n">
        <f aca="false">BG346+IF(Source_Data!BH$6=Inputs!$B$12,Inputs!$B$7,0)+BH341-BH344</f>
        <v>369.946129375</v>
      </c>
      <c r="BI346" s="33" t="n">
        <f aca="false">BH346+IF(Source_Data!BI$6=Inputs!$B$12,Inputs!$B$7,0)+BI341-BI344</f>
        <v>369.946129375</v>
      </c>
      <c r="BJ346" s="33" t="n">
        <f aca="false">BI346+IF(Source_Data!BJ$6=Inputs!$B$12,Inputs!$B$7,0)+BJ341-BJ344</f>
        <v>369.946129375</v>
      </c>
      <c r="BK346" s="33" t="n">
        <f aca="false">BJ346+IF(Source_Data!BK$6=Inputs!$B$12,Inputs!$B$7,0)+BK341-BK344</f>
        <v>369.946129375</v>
      </c>
    </row>
    <row r="347" customFormat="false" ht="15" hidden="false" customHeight="false" outlineLevel="0" collapsed="false">
      <c r="A347" s="3" t="s">
        <v>344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str">
        <f aca="false">IF(M344&gt;0,M341/M344,"")</f>
        <v/>
      </c>
      <c r="N347" s="31" t="str">
        <f aca="false">IF(N344&gt;0,N341/N344,"")</f>
        <v/>
      </c>
      <c r="O347" s="31" t="str">
        <f aca="false">IF(O344&gt;0,O341/O344,"")</f>
        <v/>
      </c>
      <c r="P347" s="31" t="n">
        <f aca="false">IF(P344&gt;0,P341/P344,"")</f>
        <v>4.56875647826087</v>
      </c>
      <c r="Q347" s="31" t="n">
        <f aca="false">IF(Q344&gt;0,Q341/Q344,"")</f>
        <v>5.6311912173913</v>
      </c>
      <c r="R347" s="31" t="n">
        <f aca="false">IF(R344&gt;0,R341/R344,"")</f>
        <v>47.3421920869565</v>
      </c>
      <c r="S347" s="31" t="n">
        <f aca="false">IF(S344&gt;0,S341/S344,"")</f>
        <v>-6.02653226086957</v>
      </c>
      <c r="T347" s="31" t="n">
        <f aca="false">IF(T344&gt;0,T341/T344,"")</f>
        <v>-17.4212585217391</v>
      </c>
      <c r="U347" s="31" t="n">
        <f aca="false">IF(U344&gt;0,U341/U344,"")</f>
        <v>-13.0803472173913</v>
      </c>
      <c r="V347" s="31" t="n">
        <f aca="false">IF(V344&gt;0,V341/V344,"")</f>
        <v>3.83999869565217</v>
      </c>
      <c r="W347" s="31" t="n">
        <f aca="false">IF(W344&gt;0,W341/W344,"")</f>
        <v>3.65096582608695</v>
      </c>
      <c r="X347" s="31" t="n">
        <f aca="false">IF(X344&gt;0,X341/X344,"")</f>
        <v>5.71611776086957</v>
      </c>
      <c r="Y347" s="31" t="n">
        <f aca="false">IF(Y344&gt;0,Y341/Y344,"")</f>
        <v>4.97253013043479</v>
      </c>
      <c r="Z347" s="31" t="n">
        <f aca="false">IF(Z344&gt;0,Z341/Z344,"")</f>
        <v>4.05264795652174</v>
      </c>
      <c r="AA347" s="31" t="n">
        <f aca="false">IF(AA344&gt;0,AA341/AA344,"")</f>
        <v>2.978739</v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345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str">
        <f aca="false">IF(M344&gt;0,(L346+M341+IF(Source_Data!M$6=Inputs!$B$12,Inputs!$B$7,0))/M344,"")</f>
        <v/>
      </c>
      <c r="N348" s="31" t="str">
        <f aca="false">IF(N344&gt;0,(M346+N341+IF(Source_Data!N$6=Inputs!$B$12,Inputs!$B$7,0))/N344,"")</f>
        <v/>
      </c>
      <c r="O348" s="31" t="str">
        <f aca="false">IF(O344&gt;0,(N346+O341+IF(Source_Data!O$6=Inputs!$B$12,Inputs!$B$7,0))/O344,"")</f>
        <v/>
      </c>
      <c r="P348" s="31" t="n">
        <f aca="false">IF(P344&gt;0,(O346+P341+IF(Source_Data!P$6=Inputs!$B$12,Inputs!$B$7,0))/P344,"")</f>
        <v>-2.316525</v>
      </c>
      <c r="Q348" s="31" t="n">
        <f aca="false">IF(Q344&gt;0,(P346+Q341+IF(Source_Data!Q$6=Inputs!$B$12,Inputs!$B$7,0))/Q344,"")</f>
        <v>2.31466621739131</v>
      </c>
      <c r="R348" s="31" t="n">
        <f aca="false">IF(R344&gt;0,(Q346+R341+IF(Source_Data!R$6=Inputs!$B$12,Inputs!$B$7,0))/R344,"")</f>
        <v>48.6568583043478</v>
      </c>
      <c r="S348" s="31" t="n">
        <f aca="false">IF(S344&gt;0,(R346+S341+IF(Source_Data!S$6=Inputs!$B$12,Inputs!$B$7,0))/S344,"")</f>
        <v>41.6303260434782</v>
      </c>
      <c r="T348" s="31" t="n">
        <f aca="false">IF(T344&gt;0,(S346+T341+IF(Source_Data!T$6=Inputs!$B$12,Inputs!$B$7,0))/T344,"")</f>
        <v>23.2090675217391</v>
      </c>
      <c r="U348" s="31" t="n">
        <f aca="false">IF(U344&gt;0,(T346+U341+IF(Source_Data!U$6=Inputs!$B$12,Inputs!$B$7,0))/U344,"")</f>
        <v>9.12872030434779</v>
      </c>
      <c r="V348" s="31" t="n">
        <f aca="false">IF(V344&gt;0,(U346+V341+IF(Source_Data!V$6=Inputs!$B$12,Inputs!$B$7,0))/V344,"")</f>
        <v>11.968719</v>
      </c>
      <c r="W348" s="31" t="n">
        <f aca="false">IF(W344&gt;0,(V346+W341+IF(Source_Data!W$6=Inputs!$B$12,Inputs!$B$7,0))/W344,"")</f>
        <v>14.6196848260869</v>
      </c>
      <c r="X348" s="31" t="n">
        <f aca="false">IF(X344&gt;0,(W346+X341+IF(Source_Data!X$6=Inputs!$B$12,Inputs!$B$7,0))/X344,"")</f>
        <v>19.3358025869565</v>
      </c>
      <c r="Y348" s="31" t="n">
        <f aca="false">IF(Y344&gt;0,(X346+Y341+IF(Source_Data!Y$6=Inputs!$B$12,Inputs!$B$7,0))/Y344,"")</f>
        <v>23.3083327173913</v>
      </c>
      <c r="Z348" s="31" t="n">
        <f aca="false">IF(Z344&gt;0,(Y346+Z341+IF(Source_Data!Z$6=Inputs!$B$12,Inputs!$B$7,0))/Z344,"")</f>
        <v>26.360980673913</v>
      </c>
      <c r="AA348" s="31" t="n">
        <f aca="false">IF(AA344&gt;0,(Z346+AA341+IF(Source_Data!AA$6=Inputs!$B$12,Inputs!$B$7,0))/AA344,"")</f>
        <v>28.339719673913</v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220</v>
      </c>
      <c r="B350" s="41" t="n">
        <f aca="false">SUM(D341:BK341)</f>
        <v>434.946129375</v>
      </c>
    </row>
    <row r="351" customFormat="false" ht="15" hidden="false" customHeight="false" outlineLevel="0" collapsed="false">
      <c r="A351" s="2" t="s">
        <v>346</v>
      </c>
      <c r="B351" s="41" t="n">
        <f aca="false">SUMPRODUCT(D341:BK341,Project_CF!$D$15:$BK$15)</f>
        <v>208.31850328602</v>
      </c>
    </row>
    <row r="352" customFormat="false" ht="15" hidden="false" customHeight="false" outlineLevel="0" collapsed="false">
      <c r="A352" s="2" t="s">
        <v>162</v>
      </c>
      <c r="B352" s="41" t="n">
        <f aca="false">MIN(D342:BK342)</f>
        <v>-132.9579475</v>
      </c>
    </row>
    <row r="353" customFormat="false" ht="15" hidden="false" customHeight="false" outlineLevel="0" collapsed="false">
      <c r="A353" s="2" t="s">
        <v>347</v>
      </c>
      <c r="B353" s="35" t="n">
        <f aca="false">INDEX(Project_CF!$D$6:$BK$6,MATCH(MIN(D342:BK342),D342:BK342,0))</f>
        <v>33</v>
      </c>
    </row>
    <row r="354" customFormat="false" ht="15" hidden="false" customHeight="false" outlineLevel="0" collapsed="false">
      <c r="A354" s="2" t="s">
        <v>348</v>
      </c>
      <c r="B354" s="39" t="n">
        <f aca="false">(1+IRR(D343:BK343,0.05))^4-1</f>
        <v>0.292473250549915</v>
      </c>
    </row>
    <row r="355" customFormat="false" ht="15" hidden="false" customHeight="false" outlineLevel="0" collapsed="false">
      <c r="A355" s="2" t="s">
        <v>349</v>
      </c>
      <c r="B355" s="40" t="n">
        <f aca="false">SUMIF(D343:BK343,"&gt;0")/-SUMIF(D343:BK343,"&lt;0")</f>
        <v>2.87407407407407</v>
      </c>
    </row>
    <row r="356" customFormat="false" ht="15" hidden="false" customHeight="false" outlineLevel="0" collapsed="false">
      <c r="A356" s="2" t="s">
        <v>350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351</v>
      </c>
      <c r="B357" s="41" t="n">
        <f aca="false">MIN(D346:BK346)</f>
        <v>-82.9579475</v>
      </c>
    </row>
    <row r="358" customFormat="false" ht="15" hidden="false" customHeight="false" outlineLevel="0" collapsed="false">
      <c r="A358" s="2" t="s">
        <v>352</v>
      </c>
      <c r="B358" s="43" t="n">
        <f aca="false">MIN(D347:BK347)</f>
        <v>-17.4212585217391</v>
      </c>
    </row>
    <row r="359" customFormat="false" ht="15" hidden="false" customHeight="false" outlineLevel="0" collapsed="false">
      <c r="A359" s="2" t="s">
        <v>353</v>
      </c>
      <c r="B359" s="35" t="n">
        <f aca="false">COUNTIF(D347:BK347,"&lt;"&amp;Inputs!$B$43)</f>
        <v>3</v>
      </c>
    </row>
    <row r="360" customFormat="false" ht="15" hidden="false" customHeight="false" outlineLevel="0" collapsed="false">
      <c r="A360" s="2" t="s">
        <v>354</v>
      </c>
      <c r="B360" s="43" t="n">
        <f aca="false">MIN(D348:BK348)</f>
        <v>-2.316525</v>
      </c>
    </row>
    <row r="361" customFormat="false" ht="15" hidden="false" customHeight="false" outlineLevel="0" collapsed="false">
      <c r="A361" s="2" t="s">
        <v>355</v>
      </c>
      <c r="B361" s="35" t="n">
        <f aca="false">COUNTIF(D348:BK348,"&lt;"&amp;Inputs!$B$43)</f>
        <v>1</v>
      </c>
    </row>
    <row r="364" customFormat="false" ht="15" hidden="false" customHeight="false" outlineLevel="0" collapsed="false">
      <c r="A364" s="8" t="s">
        <v>368</v>
      </c>
    </row>
    <row r="365" customFormat="false" ht="15" hidden="false" customHeight="false" outlineLevel="0" collapsed="false">
      <c r="A365" s="3" t="s">
        <v>331</v>
      </c>
      <c r="B365" s="45" t="n">
        <v>1</v>
      </c>
    </row>
    <row r="366" customFormat="false" ht="15" hidden="false" customHeight="false" outlineLevel="0" collapsed="false">
      <c r="A366" s="3" t="s">
        <v>332</v>
      </c>
      <c r="B366" s="45" t="n">
        <v>0</v>
      </c>
    </row>
    <row r="367" customFormat="false" ht="15" hidden="false" customHeight="false" outlineLevel="0" collapsed="false">
      <c r="A367" s="3" t="s">
        <v>333</v>
      </c>
      <c r="B367" s="45" t="n">
        <v>1</v>
      </c>
    </row>
    <row r="368" customFormat="false" ht="15" hidden="false" customHeight="false" outlineLevel="0" collapsed="false">
      <c r="A368" s="3" t="s">
        <v>334</v>
      </c>
      <c r="B368" s="45" t="n">
        <v>1</v>
      </c>
    </row>
    <row r="369" customFormat="false" ht="15" hidden="false" customHeight="false" outlineLevel="0" collapsed="false">
      <c r="A369" s="3" t="s">
        <v>335</v>
      </c>
      <c r="B369" s="45" t="n">
        <v>0</v>
      </c>
    </row>
    <row r="370" customFormat="false" ht="15" hidden="false" customHeight="false" outlineLevel="0" collapsed="false">
      <c r="A370" s="3" t="s">
        <v>336</v>
      </c>
      <c r="B370" s="3" t="n">
        <f aca="false">Inputs!$B$13+3+3*$B$366</f>
        <v>57</v>
      </c>
    </row>
    <row r="371" customFormat="false" ht="15" hidden="false" customHeight="false" outlineLevel="0" collapsed="false">
      <c r="A371" s="3" t="s">
        <v>337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0</v>
      </c>
      <c r="G371" s="33" t="n">
        <f aca="false">Source_Data!G$7+IF($B$369=1,IF(Source_Data!G$6=Inputs!$B$13,Source_Data!$C$8,0),Source_Data!G$8)</f>
        <v>0</v>
      </c>
      <c r="H371" s="33" t="n">
        <f aca="false">Source_Data!H$7+IF($B$369=1,IF(Source_Data!H$6=Inputs!$B$13,Source_Data!$C$8,0),Source_Data!H$8)</f>
        <v>18.11565</v>
      </c>
      <c r="I371" s="33" t="n">
        <f aca="false">Source_Data!I$7+IF($B$369=1,IF(Source_Data!I$6=Inputs!$B$13,Source_Data!$C$8,0),Source_Data!I$8)</f>
        <v>36.2313</v>
      </c>
      <c r="J371" s="33" t="n">
        <f aca="false">Source_Data!J$7+IF($B$369=1,IF(Source_Data!J$6=Inputs!$B$13,Source_Data!$C$8,0),Source_Data!J$8)</f>
        <v>58.260825</v>
      </c>
      <c r="K371" s="33" t="n">
        <f aca="false">Source_Data!K$7+IF($B$369=1,IF(Source_Data!K$6=Inputs!$B$13,Source_Data!$C$8,0),Source_Data!K$8)</f>
        <v>69.01839</v>
      </c>
      <c r="L371" s="33" t="n">
        <f aca="false">Source_Data!L$7+IF($B$369=1,IF(Source_Data!L$6=Inputs!$B$13,Source_Data!$C$8,0),Source_Data!L$8)</f>
        <v>67.087545</v>
      </c>
      <c r="M371" s="33" t="n">
        <f aca="false">Source_Data!M$7+IF($B$369=1,IF(Source_Data!M$6=Inputs!$B$13,Source_Data!$C$8,0),Source_Data!M$8)</f>
        <v>72.9732675</v>
      </c>
      <c r="N371" s="33" t="n">
        <f aca="false">Source_Data!N$7+IF($B$369=1,IF(Source_Data!N$6=Inputs!$B$13,Source_Data!$C$8,0),Source_Data!N$8)</f>
        <v>88.871055</v>
      </c>
      <c r="O371" s="33" t="n">
        <f aca="false">Source_Data!O$7+IF($B$369=1,IF(Source_Data!O$6=Inputs!$B$13,Source_Data!$C$8,0),Source_Data!O$8)</f>
        <v>105.60753</v>
      </c>
      <c r="P371" s="33" t="n">
        <f aca="false">Source_Data!P$7+IF($B$369=1,IF(Source_Data!P$6=Inputs!$B$13,Source_Data!$C$8,0),Source_Data!P$8)</f>
        <v>115.25243625</v>
      </c>
      <c r="Q371" s="33" t="n">
        <f aca="false">Source_Data!Q$7+IF($B$369=1,IF(Source_Data!Q$6=Inputs!$B$13,Source_Data!$C$8,0),Source_Data!Q$8)</f>
        <v>124.8973425</v>
      </c>
      <c r="R371" s="33" t="n">
        <f aca="false">Source_Data!R$7+IF($B$369=1,IF(Source_Data!R$6=Inputs!$B$13,Source_Data!$C$8,0),Source_Data!R$8)</f>
        <v>683.0904675</v>
      </c>
      <c r="S371" s="33" t="n">
        <f aca="false">Source_Data!S$7+IF($B$369=1,IF(Source_Data!S$6=Inputs!$B$13,Source_Data!$C$8,0),Source_Data!S$8)</f>
        <v>171.6401925</v>
      </c>
      <c r="T371" s="33" t="n">
        <f aca="false">Source_Data!T$7+IF($B$369=1,IF(Source_Data!T$6=Inputs!$B$13,Source_Data!$C$8,0),Source_Data!T$8)</f>
        <v>112.5965925</v>
      </c>
      <c r="U371" s="33" t="n">
        <f aca="false">Source_Data!U$7+IF($B$369=1,IF(Source_Data!U$6=Inputs!$B$13,Source_Data!$C$8,0),Source_Data!U$8)</f>
        <v>89.3369925</v>
      </c>
      <c r="V371" s="33" t="n">
        <f aca="false">Source_Data!V$7+IF($B$369=1,IF(Source_Data!V$6=Inputs!$B$13,Source_Data!$C$8,0),Source_Data!V$8)</f>
        <v>87.5254275</v>
      </c>
      <c r="W371" s="33" t="n">
        <f aca="false">Source_Data!W$7+IF($B$369=1,IF(Source_Data!W$6=Inputs!$B$13,Source_Data!$C$8,0),Source_Data!W$8)</f>
        <v>85.7138625</v>
      </c>
      <c r="X371" s="33" t="n">
        <f aca="false">Source_Data!X$7+IF($B$369=1,IF(Source_Data!X$6=Inputs!$B$13,Source_Data!$C$8,0),Source_Data!X$8)</f>
        <v>77.279461875</v>
      </c>
      <c r="Y371" s="33" t="n">
        <f aca="false">Source_Data!Y$7+IF($B$369=1,IF(Source_Data!Y$6=Inputs!$B$13,Source_Data!$C$8,0),Source_Data!Y$8)</f>
        <v>70.15341375</v>
      </c>
      <c r="Z371" s="33" t="n">
        <f aca="false">Source_Data!Z$7+IF($B$369=1,IF(Source_Data!Z$6=Inputs!$B$13,Source_Data!$C$8,0),Source_Data!Z$8)</f>
        <v>61.33787625</v>
      </c>
      <c r="AA371" s="33" t="n">
        <f aca="false">Source_Data!AA$7+IF($B$369=1,IF(Source_Data!AA$6=Inputs!$B$13,Source_Data!$C$8,0),Source_Data!AA$8)</f>
        <v>51.04624875</v>
      </c>
      <c r="AB371" s="33" t="n">
        <f aca="false">Source_Data!AB$7+IF($B$369=1,IF(Source_Data!AB$6=Inputs!$B$13,Source_Data!$C$8,0),Source_Data!AB$8)</f>
        <v>51.04624875</v>
      </c>
      <c r="AC371" s="33" t="n">
        <f aca="false">Source_Data!AC$7+IF($B$369=1,IF(Source_Data!AC$6=Inputs!$B$13,Source_Data!$C$8,0),Source_Data!AC$8)</f>
        <v>51.04624875</v>
      </c>
      <c r="AD371" s="33" t="n">
        <f aca="false">Source_Data!AD$7+IF($B$369=1,IF(Source_Data!AD$6=Inputs!$B$13,Source_Data!$C$8,0),Source_Data!AD$8)</f>
        <v>51.04624875</v>
      </c>
      <c r="AE371" s="33" t="n">
        <f aca="false">Source_Data!AE$7+IF($B$369=1,IF(Source_Data!AE$6=Inputs!$B$13,Source_Data!$C$8,0),Source_Data!AE$8)</f>
        <v>51.04624875</v>
      </c>
      <c r="AF371" s="33" t="n">
        <f aca="false">Source_Data!AF$7+IF($B$369=1,IF(Source_Data!AF$6=Inputs!$B$13,Source_Data!$C$8,0),Source_Data!AF$8)</f>
        <v>43.931383125</v>
      </c>
      <c r="AG371" s="33" t="n">
        <f aca="false">Source_Data!AG$7+IF($B$369=1,IF(Source_Data!AG$6=Inputs!$B$13,Source_Data!$C$8,0),Source_Data!AG$8)</f>
        <v>36.8165175</v>
      </c>
      <c r="AH371" s="33" t="n">
        <f aca="false">Source_Data!AH$7+IF($B$369=1,IF(Source_Data!AH$6=Inputs!$B$13,Source_Data!$C$8,0),Source_Data!AH$8)</f>
        <v>32.958555</v>
      </c>
      <c r="AI371" s="33" t="n">
        <f aca="false">Source_Data!AI$7+IF($B$369=1,IF(Source_Data!AI$6=Inputs!$B$13,Source_Data!$C$8,0),Source_Data!AI$8)</f>
        <v>29.1005925</v>
      </c>
      <c r="AJ371" s="33" t="n">
        <f aca="false">Source_Data!AJ$7+IF($B$369=1,IF(Source_Data!AJ$6=Inputs!$B$13,Source_Data!$C$8,0),Source_Data!AJ$8)</f>
        <v>22.8831225</v>
      </c>
      <c r="AK371" s="33" t="n">
        <f aca="false">Source_Data!AK$7+IF($B$369=1,IF(Source_Data!AK$6=Inputs!$B$13,Source_Data!$C$8,0),Source_Data!AK$8)</f>
        <v>19.2823575</v>
      </c>
      <c r="AL371" s="33" t="n">
        <f aca="false">Source_Data!AL$7+IF($B$369=1,IF(Source_Data!AL$6=Inputs!$B$13,Source_Data!$C$8,0),Source_Data!AL$8)</f>
        <v>16.80357</v>
      </c>
      <c r="AM371" s="33" t="n">
        <f aca="false">Source_Data!AM$7+IF($B$369=1,IF(Source_Data!AM$6=Inputs!$B$13,Source_Data!$C$8,0),Source_Data!AM$8)</f>
        <v>7.24626</v>
      </c>
      <c r="AN371" s="33" t="n">
        <f aca="false">Source_Data!AN$7+IF($B$369=1,IF(Source_Data!AN$6=Inputs!$B$13,Source_Data!$C$8,0),Source_Data!AN$8)</f>
        <v>7.24626</v>
      </c>
      <c r="AO371" s="33" t="n">
        <f aca="false">Source_Data!AO$7+IF($B$369=1,IF(Source_Data!AO$6=Inputs!$B$13,Source_Data!$C$8,0),Source_Data!AO$8)</f>
        <v>7.24626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338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0</v>
      </c>
      <c r="H372" s="33" t="n">
        <f aca="false">$B$365*IF(Source_Data!H$5-($B$366+$B$368)&gt;=1,INDEX($D$371:$BK$371,1,Source_Data!H$5-($B$366+$B$368)),0)</f>
        <v>0</v>
      </c>
      <c r="I372" s="33" t="n">
        <f aca="false">$B$365*IF(Source_Data!I$5-($B$366+$B$368)&gt;=1,INDEX($D$371:$BK$371,1,Source_Data!I$5-($B$366+$B$368)),0)</f>
        <v>18.11565</v>
      </c>
      <c r="J372" s="33" t="n">
        <f aca="false">$B$365*IF(Source_Data!J$5-($B$366+$B$368)&gt;=1,INDEX($D$371:$BK$371,1,Source_Data!J$5-($B$366+$B$368)),0)</f>
        <v>36.2313</v>
      </c>
      <c r="K372" s="33" t="n">
        <f aca="false">$B$365*IF(Source_Data!K$5-($B$366+$B$368)&gt;=1,INDEX($D$371:$BK$371,1,Source_Data!K$5-($B$366+$B$368)),0)</f>
        <v>58.260825</v>
      </c>
      <c r="L372" s="33" t="n">
        <f aca="false">$B$365*IF(Source_Data!L$5-($B$366+$B$368)&gt;=1,INDEX($D$371:$BK$371,1,Source_Data!L$5-($B$366+$B$368)),0)</f>
        <v>69.01839</v>
      </c>
      <c r="M372" s="33" t="n">
        <f aca="false">$B$365*IF(Source_Data!M$5-($B$366+$B$368)&gt;=1,INDEX($D$371:$BK$371,1,Source_Data!M$5-($B$366+$B$368)),0)</f>
        <v>67.087545</v>
      </c>
      <c r="N372" s="33" t="n">
        <f aca="false">$B$365*IF(Source_Data!N$5-($B$366+$B$368)&gt;=1,INDEX($D$371:$BK$371,1,Source_Data!N$5-($B$366+$B$368)),0)</f>
        <v>72.9732675</v>
      </c>
      <c r="O372" s="33" t="n">
        <f aca="false">$B$365*IF(Source_Data!O$5-($B$366+$B$368)&gt;=1,INDEX($D$371:$BK$371,1,Source_Data!O$5-($B$366+$B$368)),0)</f>
        <v>88.871055</v>
      </c>
      <c r="P372" s="33" t="n">
        <f aca="false">$B$365*IF(Source_Data!P$5-($B$366+$B$368)&gt;=1,INDEX($D$371:$BK$371,1,Source_Data!P$5-($B$366+$B$368)),0)</f>
        <v>105.60753</v>
      </c>
      <c r="Q372" s="33" t="n">
        <f aca="false">$B$365*IF(Source_Data!Q$5-($B$366+$B$368)&gt;=1,INDEX($D$371:$BK$371,1,Source_Data!Q$5-($B$366+$B$368)),0)</f>
        <v>115.25243625</v>
      </c>
      <c r="R372" s="33" t="n">
        <f aca="false">$B$365*IF(Source_Data!R$5-($B$366+$B$368)&gt;=1,INDEX($D$371:$BK$371,1,Source_Data!R$5-($B$366+$B$368)),0)</f>
        <v>124.8973425</v>
      </c>
      <c r="S372" s="33" t="n">
        <f aca="false">$B$365*IF(Source_Data!S$5-($B$366+$B$368)&gt;=1,INDEX($D$371:$BK$371,1,Source_Data!S$5-($B$366+$B$368)),0)</f>
        <v>683.0904675</v>
      </c>
      <c r="T372" s="33" t="n">
        <f aca="false">$B$365*IF(Source_Data!T$5-($B$366+$B$368)&gt;=1,INDEX($D$371:$BK$371,1,Source_Data!T$5-($B$366+$B$368)),0)</f>
        <v>171.6401925</v>
      </c>
      <c r="U372" s="33" t="n">
        <f aca="false">$B$365*IF(Source_Data!U$5-($B$366+$B$368)&gt;=1,INDEX($D$371:$BK$371,1,Source_Data!U$5-($B$366+$B$368)),0)</f>
        <v>112.5965925</v>
      </c>
      <c r="V372" s="33" t="n">
        <f aca="false">$B$365*IF(Source_Data!V$5-($B$366+$B$368)&gt;=1,INDEX($D$371:$BK$371,1,Source_Data!V$5-($B$366+$B$368)),0)</f>
        <v>89.3369925</v>
      </c>
      <c r="W372" s="33" t="n">
        <f aca="false">$B$365*IF(Source_Data!W$5-($B$366+$B$368)&gt;=1,INDEX($D$371:$BK$371,1,Source_Data!W$5-($B$366+$B$368)),0)</f>
        <v>87.5254275</v>
      </c>
      <c r="X372" s="33" t="n">
        <f aca="false">$B$365*IF(Source_Data!X$5-($B$366+$B$368)&gt;=1,INDEX($D$371:$BK$371,1,Source_Data!X$5-($B$366+$B$368)),0)</f>
        <v>85.7138625</v>
      </c>
      <c r="Y372" s="33" t="n">
        <f aca="false">$B$365*IF(Source_Data!Y$5-($B$366+$B$368)&gt;=1,INDEX($D$371:$BK$371,1,Source_Data!Y$5-($B$366+$B$368)),0)</f>
        <v>77.279461875</v>
      </c>
      <c r="Z372" s="33" t="n">
        <f aca="false">$B$365*IF(Source_Data!Z$5-($B$366+$B$368)&gt;=1,INDEX($D$371:$BK$371,1,Source_Data!Z$5-($B$366+$B$368)),0)</f>
        <v>70.15341375</v>
      </c>
      <c r="AA372" s="33" t="n">
        <f aca="false">$B$365*IF(Source_Data!AA$5-($B$366+$B$368)&gt;=1,INDEX($D$371:$BK$371,1,Source_Data!AA$5-($B$366+$B$368)),0)</f>
        <v>61.33787625</v>
      </c>
      <c r="AB372" s="33" t="n">
        <f aca="false">$B$365*IF(Source_Data!AB$5-($B$366+$B$368)&gt;=1,INDEX($D$371:$BK$371,1,Source_Data!AB$5-($B$366+$B$368)),0)</f>
        <v>51.04624875</v>
      </c>
      <c r="AC372" s="33" t="n">
        <f aca="false">$B$365*IF(Source_Data!AC$5-($B$366+$B$368)&gt;=1,INDEX($D$371:$BK$371,1,Source_Data!AC$5-($B$366+$B$368)),0)</f>
        <v>51.04624875</v>
      </c>
      <c r="AD372" s="33" t="n">
        <f aca="false">$B$365*IF(Source_Data!AD$5-($B$366+$B$368)&gt;=1,INDEX($D$371:$BK$371,1,Source_Data!AD$5-($B$366+$B$368)),0)</f>
        <v>51.04624875</v>
      </c>
      <c r="AE372" s="33" t="n">
        <f aca="false">$B$365*IF(Source_Data!AE$5-($B$366+$B$368)&gt;=1,INDEX($D$371:$BK$371,1,Source_Data!AE$5-($B$366+$B$368)),0)</f>
        <v>51.04624875</v>
      </c>
      <c r="AF372" s="33" t="n">
        <f aca="false">$B$365*IF(Source_Data!AF$5-($B$366+$B$368)&gt;=1,INDEX($D$371:$BK$371,1,Source_Data!AF$5-($B$366+$B$368)),0)</f>
        <v>51.04624875</v>
      </c>
      <c r="AG372" s="33" t="n">
        <f aca="false">$B$365*IF(Source_Data!AG$5-($B$366+$B$368)&gt;=1,INDEX($D$371:$BK$371,1,Source_Data!AG$5-($B$366+$B$368)),0)</f>
        <v>43.931383125</v>
      </c>
      <c r="AH372" s="33" t="n">
        <f aca="false">$B$365*IF(Source_Data!AH$5-($B$366+$B$368)&gt;=1,INDEX($D$371:$BK$371,1,Source_Data!AH$5-($B$366+$B$368)),0)</f>
        <v>36.8165175</v>
      </c>
      <c r="AI372" s="33" t="n">
        <f aca="false">$B$365*IF(Source_Data!AI$5-($B$366+$B$368)&gt;=1,INDEX($D$371:$BK$371,1,Source_Data!AI$5-($B$366+$B$368)),0)</f>
        <v>32.958555</v>
      </c>
      <c r="AJ372" s="33" t="n">
        <f aca="false">$B$365*IF(Source_Data!AJ$5-($B$366+$B$368)&gt;=1,INDEX($D$371:$BK$371,1,Source_Data!AJ$5-($B$366+$B$368)),0)</f>
        <v>29.1005925</v>
      </c>
      <c r="AK372" s="33" t="n">
        <f aca="false">$B$365*IF(Source_Data!AK$5-($B$366+$B$368)&gt;=1,INDEX($D$371:$BK$371,1,Source_Data!AK$5-($B$366+$B$368)),0)</f>
        <v>22.8831225</v>
      </c>
      <c r="AL372" s="33" t="n">
        <f aca="false">$B$365*IF(Source_Data!AL$5-($B$366+$B$368)&gt;=1,INDEX($D$371:$BK$371,1,Source_Data!AL$5-($B$366+$B$368)),0)</f>
        <v>19.2823575</v>
      </c>
      <c r="AM372" s="33" t="n">
        <f aca="false">$B$365*IF(Source_Data!AM$5-($B$366+$B$368)&gt;=1,INDEX($D$371:$BK$371,1,Source_Data!AM$5-($B$366+$B$368)),0)</f>
        <v>16.80357</v>
      </c>
      <c r="AN372" s="33" t="n">
        <f aca="false">$B$365*IF(Source_Data!AN$5-($B$366+$B$368)&gt;=1,INDEX($D$371:$BK$371,1,Source_Data!AN$5-($B$366+$B$368)),0)</f>
        <v>7.24626</v>
      </c>
      <c r="AO372" s="33" t="n">
        <f aca="false">$B$365*IF(Source_Data!AO$5-($B$366+$B$368)&gt;=1,INDEX($D$371:$BK$371,1,Source_Data!AO$5-($B$366+$B$368)),0)</f>
        <v>7.24626</v>
      </c>
      <c r="AP372" s="33" t="n">
        <f aca="false">$B$365*IF(Source_Data!AP$5-($B$366+$B$368)&gt;=1,INDEX($D$371:$BK$371,1,Source_Data!AP$5-($B$366+$B$368)),0)</f>
        <v>7.24626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339</v>
      </c>
      <c r="D373" s="33" t="n">
        <f aca="false">Source_Data!D$9+Source_Data!D$10*IF(Source_Data!$C$10=0,0,MAX(0,Inputs!$B$19*Inputs!$B$22*$B$365-Inputs!$B$20)/Source_Data!$C$10)</f>
        <v>0</v>
      </c>
      <c r="E373" s="33" t="n">
        <f aca="false">Source_Data!E$9+Source_Data!E$10*IF(Source_Data!$C$10=0,0,MAX(0,Inputs!$B$19*Inputs!$B$22*$B$365-Inputs!$B$20)/Source_Data!$C$10)</f>
        <v>0</v>
      </c>
      <c r="F373" s="33" t="n">
        <f aca="false">Source_Data!F$9+Source_Data!F$10*IF(Source_Data!$C$10=0,0,MAX(0,Inputs!$B$19*Inputs!$B$22*$B$365-Inputs!$B$20)/Source_Data!$C$10)</f>
        <v>0</v>
      </c>
      <c r="G373" s="33" t="n">
        <f aca="false">Source_Data!G$9+Source_Data!G$10*IF(Source_Data!$C$10=0,0,MAX(0,Inputs!$B$19*Inputs!$B$22*$B$365-Inputs!$B$20)/Source_Data!$C$10)</f>
        <v>85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45</v>
      </c>
      <c r="M373" s="33" t="n">
        <f aca="false">Source_Data!M$9+Source_Data!M$10*IF(Source_Data!$C$10=0,0,MAX(0,Inputs!$B$19*Inputs!$B$22*$B$365-Inputs!$B$20)/Source_Data!$C$10)</f>
        <v>45</v>
      </c>
      <c r="N373" s="33" t="n">
        <f aca="false">Source_Data!N$9+Source_Data!N$10*IF(Source_Data!$C$10=0,0,MAX(0,Inputs!$B$19*Inputs!$B$22*$B$365-Inputs!$B$20)/Source_Data!$C$10)</f>
        <v>45</v>
      </c>
      <c r="O373" s="33" t="n">
        <f aca="false">Source_Data!O$9+Source_Data!O$10*IF(Source_Data!$C$10=0,0,MAX(0,Inputs!$B$19*Inputs!$B$22*$B$365-Inputs!$B$20)/Source_Data!$C$10)</f>
        <v>45</v>
      </c>
      <c r="P373" s="33" t="n">
        <f aca="false">Source_Data!P$9+Source_Data!P$10*IF(Source_Data!$C$10=0,0,MAX(0,Inputs!$B$19*Inputs!$B$22*$B$365-Inputs!$B$20)/Source_Data!$C$10)</f>
        <v>56.25</v>
      </c>
      <c r="Q373" s="33" t="n">
        <f aca="false">Source_Data!Q$9+Source_Data!Q$10*IF(Source_Data!$C$10=0,0,MAX(0,Inputs!$B$19*Inputs!$B$22*$B$365-Inputs!$B$20)/Source_Data!$C$10)</f>
        <v>56.25</v>
      </c>
      <c r="R373" s="33" t="n">
        <f aca="false">Source_Data!R$9+Source_Data!R$10*IF(Source_Data!$C$10=0,0,MAX(0,Inputs!$B$19*Inputs!$B$22*$B$365-Inputs!$B$20)/Source_Data!$C$10)</f>
        <v>56.25</v>
      </c>
      <c r="S373" s="33" t="n">
        <f aca="false">Source_Data!S$9+Source_Data!S$10*IF(Source_Data!$C$10=0,0,MAX(0,Inputs!$B$19*Inputs!$B$22*$B$365-Inputs!$B$20)/Source_Data!$C$10)</f>
        <v>56.25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241.1916115625</v>
      </c>
      <c r="AG373" s="33" t="n">
        <f aca="false">Source_Data!AG$9+Source_Data!AG$10*IF(Source_Data!$C$10=0,0,MAX(0,Inputs!$B$19*Inputs!$B$22*$B$365-Inputs!$B$20)/Source_Data!$C$10)</f>
        <v>16.10722640625</v>
      </c>
      <c r="AH373" s="33" t="n">
        <f aca="false">Source_Data!AH$9+Source_Data!AH$10*IF(Source_Data!$C$10=0,0,MAX(0,Inputs!$B$19*Inputs!$B$22*$B$365-Inputs!$B$20)/Source_Data!$C$10)</f>
        <v>14.4193678125</v>
      </c>
      <c r="AI373" s="33" t="n">
        <f aca="false">Source_Data!AI$9+Source_Data!AI$10*IF(Source_Data!$C$10=0,0,MAX(0,Inputs!$B$19*Inputs!$B$22*$B$365-Inputs!$B$20)/Source_Data!$C$10)</f>
        <v>12.73150921875</v>
      </c>
      <c r="AJ373" s="33" t="n">
        <f aca="false">Source_Data!AJ$9+Source_Data!AJ$10*IF(Source_Data!$C$10=0,0,MAX(0,Inputs!$B$19*Inputs!$B$22*$B$365-Inputs!$B$20)/Source_Data!$C$10)</f>
        <v>10.01136609375</v>
      </c>
      <c r="AK373" s="33" t="n">
        <f aca="false">Source_Data!AK$9+Source_Data!AK$10*IF(Source_Data!$C$10=0,0,MAX(0,Inputs!$B$19*Inputs!$B$22*$B$365-Inputs!$B$20)/Source_Data!$C$10)</f>
        <v>8.43603140625001</v>
      </c>
      <c r="AL373" s="33" t="n">
        <f aca="false">Source_Data!AL$9+Source_Data!AL$10*IF(Source_Data!$C$10=0,0,MAX(0,Inputs!$B$19*Inputs!$B$22*$B$365-Inputs!$B$20)/Source_Data!$C$10)</f>
        <v>7.35156187500001</v>
      </c>
      <c r="AM373" s="33" t="n">
        <f aca="false">Source_Data!AM$9+Source_Data!AM$10*IF(Source_Data!$C$10=0,0,MAX(0,Inputs!$B$19*Inputs!$B$22*$B$365-Inputs!$B$20)/Source_Data!$C$10)</f>
        <v>3.17023875000001</v>
      </c>
      <c r="AN373" s="33" t="n">
        <f aca="false">Source_Data!AN$9+Source_Data!AN$10*IF(Source_Data!$C$10=0,0,MAX(0,Inputs!$B$19*Inputs!$B$22*$B$365-Inputs!$B$20)/Source_Data!$C$10)</f>
        <v>3.17023875000001</v>
      </c>
      <c r="AO373" s="33" t="n">
        <f aca="false">Source_Data!AO$9+Source_Data!AO$10*IF(Source_Data!$C$10=0,0,MAX(0,Inputs!$B$19*Inputs!$B$22*$B$365-Inputs!$B$20)/Source_Data!$C$10)</f>
        <v>3.17023875000001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194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0</v>
      </c>
      <c r="I374" s="33" t="n">
        <f aca="false">Source_Data!I$11*$B$367</f>
        <v>0</v>
      </c>
      <c r="J374" s="33" t="n">
        <f aca="false">Source_Data!J$11*$B$367</f>
        <v>20</v>
      </c>
      <c r="K374" s="33" t="n">
        <f aca="false">Source_Data!K$11*$B$367</f>
        <v>26.4</v>
      </c>
      <c r="L374" s="33" t="n">
        <f aca="false">Source_Data!L$11*$B$367</f>
        <v>40</v>
      </c>
      <c r="M374" s="33" t="n">
        <f aca="false">Source_Data!M$11*$B$367</f>
        <v>26.4</v>
      </c>
      <c r="N374" s="33" t="n">
        <f aca="false">Source_Data!N$11*$B$367</f>
        <v>26.4</v>
      </c>
      <c r="O374" s="33" t="n">
        <f aca="false">Source_Data!O$11*$B$367</f>
        <v>26.4</v>
      </c>
      <c r="P374" s="33" t="n">
        <f aca="false">Source_Data!P$11*$B$367</f>
        <v>5.28</v>
      </c>
      <c r="Q374" s="33" t="n">
        <f aca="false">Source_Data!Q$11*$B$367</f>
        <v>5.28</v>
      </c>
      <c r="R374" s="33" t="n">
        <f aca="false">Source_Data!R$11*$B$367</f>
        <v>120</v>
      </c>
      <c r="S374" s="33" t="n">
        <f aca="false">Source_Data!S$11*$B$367</f>
        <v>120</v>
      </c>
      <c r="T374" s="33" t="n">
        <f aca="false">Source_Data!T$11*$B$367</f>
        <v>164</v>
      </c>
      <c r="U374" s="33" t="n">
        <f aca="false">Source_Data!U$11*$B$367</f>
        <v>117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196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0</v>
      </c>
      <c r="K375" s="33" t="n">
        <f aca="false">$B$365*IF(Source_Data!K$5-$B$366&gt;=1,INDEX(Source_Data!$D$12:$BK$12,1,Source_Data!K$5-$B$366),0)</f>
        <v>0</v>
      </c>
      <c r="L375" s="33" t="n">
        <f aca="false">$B$365*IF(Source_Data!L$5-$B$366&gt;=1,INDEX(Source_Data!$D$12:$BK$12,1,Source_Data!L$5-$B$366),0)</f>
        <v>14.49252</v>
      </c>
      <c r="M375" s="33" t="n">
        <f aca="false">$B$365*IF(Source_Data!M$5-$B$366&gt;=1,INDEX(Source_Data!$D$12:$BK$12,1,Source_Data!M$5-$B$366),0)</f>
        <v>14.49252</v>
      </c>
      <c r="N375" s="33" t="n">
        <f aca="false">$B$365*IF(Source_Data!N$5-$B$366&gt;=1,INDEX(Source_Data!$D$12:$BK$12,1,Source_Data!N$5-$B$366),0)</f>
        <v>12.43494</v>
      </c>
      <c r="O375" s="33" t="n">
        <f aca="false">$B$365*IF(Source_Data!O$5-$B$366&gt;=1,INDEX(Source_Data!$D$12:$BK$12,1,Source_Data!O$5-$B$366),0)</f>
        <v>7.20153</v>
      </c>
      <c r="P375" s="33" t="n">
        <f aca="false">$B$365*IF(Source_Data!P$5-$B$366&gt;=1,INDEX(Source_Data!$D$12:$BK$12,1,Source_Data!P$5-$B$366),0)</f>
        <v>7.93212</v>
      </c>
      <c r="Q375" s="33" t="n">
        <f aca="false">$B$365*IF(Source_Data!Q$5-$B$366&gt;=1,INDEX(Source_Data!$D$12:$BK$12,1,Source_Data!Q$5-$B$366),0)</f>
        <v>7.39536</v>
      </c>
      <c r="R375" s="33" t="n">
        <f aca="false">$B$365*IF(Source_Data!R$5-$B$366&gt;=1,INDEX(Source_Data!$D$12:$BK$12,1,Source_Data!R$5-$B$366),0)</f>
        <v>7.54446</v>
      </c>
      <c r="S375" s="33" t="n">
        <f aca="false">$B$365*IF(Source_Data!S$5-$B$366&gt;=1,INDEX(Source_Data!$D$12:$BK$12,1,Source_Data!S$5-$B$366),0)</f>
        <v>7.54446</v>
      </c>
      <c r="T375" s="33" t="n">
        <f aca="false">$B$365*IF(Source_Data!T$5-$B$366&gt;=1,INDEX(Source_Data!$D$12:$BK$12,1,Source_Data!T$5-$B$366),0)</f>
        <v>8.23032</v>
      </c>
      <c r="U375" s="33" t="n">
        <f aca="false">$B$365*IF(Source_Data!U$5-$B$366&gt;=1,INDEX(Source_Data!$D$12:$BK$12,1,Source_Data!U$5-$B$366),0)</f>
        <v>8.23032</v>
      </c>
      <c r="V375" s="33" t="n">
        <f aca="false">$B$365*IF(Source_Data!V$5-$B$366&gt;=1,INDEX(Source_Data!$D$12:$BK$12,1,Source_Data!V$5-$B$366),0)</f>
        <v>5.72544</v>
      </c>
      <c r="W375" s="33" t="n">
        <f aca="false">$B$365*IF(Source_Data!W$5-$B$366&gt;=1,INDEX(Source_Data!$D$12:$BK$12,1,Source_Data!W$5-$B$366),0)</f>
        <v>5.72544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215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0</v>
      </c>
      <c r="I376" s="33" t="n">
        <f aca="false">Source_Data!I$13*$B$367</f>
        <v>0</v>
      </c>
      <c r="J376" s="33" t="n">
        <f aca="false">Source_Data!J$13*$B$367</f>
        <v>3</v>
      </c>
      <c r="K376" s="33" t="n">
        <f aca="false">Source_Data!K$13*$B$367</f>
        <v>3.96</v>
      </c>
      <c r="L376" s="33" t="n">
        <f aca="false">Source_Data!L$13*$B$367</f>
        <v>6</v>
      </c>
      <c r="M376" s="33" t="n">
        <f aca="false">Source_Data!M$13*$B$367</f>
        <v>3.96</v>
      </c>
      <c r="N376" s="33" t="n">
        <f aca="false">Source_Data!N$13*$B$367</f>
        <v>3.96</v>
      </c>
      <c r="O376" s="33" t="n">
        <f aca="false">Source_Data!O$13*$B$367</f>
        <v>3.96</v>
      </c>
      <c r="P376" s="33" t="n">
        <f aca="false">Source_Data!P$13*$B$367</f>
        <v>0.792</v>
      </c>
      <c r="Q376" s="33" t="n">
        <f aca="false">Source_Data!Q$13*$B$367</f>
        <v>0.792</v>
      </c>
      <c r="R376" s="33" t="n">
        <f aca="false">Source_Data!R$13*$B$367</f>
        <v>18</v>
      </c>
      <c r="S376" s="33" t="n">
        <f aca="false">Source_Data!S$13*$B$367</f>
        <v>18</v>
      </c>
      <c r="T376" s="33" t="n">
        <f aca="false">Source_Data!T$13*$B$367</f>
        <v>24.6</v>
      </c>
      <c r="U376" s="33" t="n">
        <f aca="false">Source_Data!U$13*$B$367</f>
        <v>17.55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216</v>
      </c>
      <c r="D377" s="33" t="n">
        <f aca="false">D372-D373-D374-D375-D376</f>
        <v>0</v>
      </c>
      <c r="E377" s="33" t="n">
        <f aca="false">E372-E373-E374-E375-E376</f>
        <v>0</v>
      </c>
      <c r="F377" s="33" t="n">
        <f aca="false">F372-F373-F374-F375-F376</f>
        <v>0</v>
      </c>
      <c r="G377" s="33" t="n">
        <f aca="false">G372-G373-G374-G375-G376</f>
        <v>-85</v>
      </c>
      <c r="H377" s="33" t="n">
        <f aca="false">H372-H373-H374-H375-H376</f>
        <v>-22.5</v>
      </c>
      <c r="I377" s="33" t="n">
        <f aca="false">I372-I373-I374-I375-I376</f>
        <v>-4.38435</v>
      </c>
      <c r="J377" s="33" t="n">
        <f aca="false">J372-J373-J374-J375-J376</f>
        <v>-9.2687</v>
      </c>
      <c r="K377" s="33" t="n">
        <f aca="false">K372-K373-K374-K375-K376</f>
        <v>5.400825</v>
      </c>
      <c r="L377" s="33" t="n">
        <f aca="false">L372-L373-L374-L375-L376</f>
        <v>-36.47413</v>
      </c>
      <c r="M377" s="33" t="n">
        <f aca="false">M372-M373-M374-M375-M376</f>
        <v>-22.764975</v>
      </c>
      <c r="N377" s="33" t="n">
        <f aca="false">N372-N373-N374-N375-N376</f>
        <v>-14.8216725</v>
      </c>
      <c r="O377" s="33" t="n">
        <f aca="false">O372-O373-O374-O375-O376</f>
        <v>6.30952500000001</v>
      </c>
      <c r="P377" s="33" t="n">
        <f aca="false">P372-P373-P374-P375-P376</f>
        <v>35.35341</v>
      </c>
      <c r="Q377" s="33" t="n">
        <f aca="false">Q372-Q373-Q374-Q375-Q376</f>
        <v>45.53507625</v>
      </c>
      <c r="R377" s="33" t="n">
        <f aca="false">R372-R373-R374-R375-R376</f>
        <v>-76.8971175</v>
      </c>
      <c r="S377" s="33" t="n">
        <f aca="false">S372-S373-S374-S375-S376</f>
        <v>481.2960075</v>
      </c>
      <c r="T377" s="33" t="n">
        <f aca="false">T372-T373-T374-T375-T376</f>
        <v>-70.1901275</v>
      </c>
      <c r="U377" s="33" t="n">
        <f aca="false">U372-U373-U374-U375-U376</f>
        <v>-75.1837275000001</v>
      </c>
      <c r="V377" s="33" t="n">
        <f aca="false">V372-V373-V374-V375-V376</f>
        <v>38.6115525</v>
      </c>
      <c r="W377" s="33" t="n">
        <f aca="false">W372-W373-W374-W375-W376</f>
        <v>36.7999875</v>
      </c>
      <c r="X377" s="33" t="n">
        <f aca="false">X372-X373-X374-X375-X376</f>
        <v>63.2138625</v>
      </c>
      <c r="Y377" s="33" t="n">
        <f aca="false">Y372-Y373-Y374-Y375-Y376</f>
        <v>54.779461875</v>
      </c>
      <c r="Z377" s="33" t="n">
        <f aca="false">Z372-Z373-Z374-Z375-Z376</f>
        <v>47.65341375</v>
      </c>
      <c r="AA377" s="33" t="n">
        <f aca="false">AA372-AA373-AA374-AA375-AA376</f>
        <v>38.83787625</v>
      </c>
      <c r="AB377" s="33" t="n">
        <f aca="false">AB372-AB373-AB374-AB375-AB376</f>
        <v>51.04624875</v>
      </c>
      <c r="AC377" s="33" t="n">
        <f aca="false">AC372-AC373-AC374-AC375-AC376</f>
        <v>51.04624875</v>
      </c>
      <c r="AD377" s="33" t="n">
        <f aca="false">AD372-AD373-AD374-AD375-AD376</f>
        <v>51.04624875</v>
      </c>
      <c r="AE377" s="33" t="n">
        <f aca="false">AE372-AE373-AE374-AE375-AE376</f>
        <v>51.04624875</v>
      </c>
      <c r="AF377" s="33" t="n">
        <f aca="false">AF372-AF373-AF374-AF375-AF376</f>
        <v>-190.1453628125</v>
      </c>
      <c r="AG377" s="33" t="n">
        <f aca="false">AG372-AG373-AG374-AG375-AG376</f>
        <v>27.82415671875</v>
      </c>
      <c r="AH377" s="33" t="n">
        <f aca="false">AH372-AH373-AH374-AH375-AH376</f>
        <v>22.3971496875</v>
      </c>
      <c r="AI377" s="33" t="n">
        <f aca="false">AI372-AI373-AI374-AI375-AI376</f>
        <v>20.22704578125</v>
      </c>
      <c r="AJ377" s="33" t="n">
        <f aca="false">AJ372-AJ373-AJ374-AJ375-AJ376</f>
        <v>19.08922640625</v>
      </c>
      <c r="AK377" s="33" t="n">
        <f aca="false">AK372-AK373-AK374-AK375-AK376</f>
        <v>14.44709109375</v>
      </c>
      <c r="AL377" s="33" t="n">
        <f aca="false">AL372-AL373-AL374-AL375-AL376</f>
        <v>11.930795625</v>
      </c>
      <c r="AM377" s="33" t="n">
        <f aca="false">AM372-AM373-AM374-AM375-AM376</f>
        <v>13.63333125</v>
      </c>
      <c r="AN377" s="33" t="n">
        <f aca="false">AN372-AN373-AN374-AN375-AN376</f>
        <v>4.07602125</v>
      </c>
      <c r="AO377" s="33" t="n">
        <f aca="false">AO372-AO373-AO374-AO375-AO376</f>
        <v>4.07602125</v>
      </c>
      <c r="AP377" s="33" t="n">
        <f aca="false">AP372-AP373-AP374-AP375-AP376</f>
        <v>7.24626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217</v>
      </c>
      <c r="D378" s="33" t="n">
        <f aca="false">D377</f>
        <v>0</v>
      </c>
      <c r="E378" s="33" t="n">
        <f aca="false">D378+E377</f>
        <v>0</v>
      </c>
      <c r="F378" s="33" t="n">
        <f aca="false">E378+F377</f>
        <v>0</v>
      </c>
      <c r="G378" s="33" t="n">
        <f aca="false">F378+G377</f>
        <v>-85</v>
      </c>
      <c r="H378" s="33" t="n">
        <f aca="false">G378+H377</f>
        <v>-107.5</v>
      </c>
      <c r="I378" s="33" t="n">
        <f aca="false">H378+I377</f>
        <v>-111.88435</v>
      </c>
      <c r="J378" s="33" t="n">
        <f aca="false">I378+J377</f>
        <v>-121.15305</v>
      </c>
      <c r="K378" s="33" t="n">
        <f aca="false">J378+K377</f>
        <v>-115.752225</v>
      </c>
      <c r="L378" s="33" t="n">
        <f aca="false">K378+L377</f>
        <v>-152.226355</v>
      </c>
      <c r="M378" s="33" t="n">
        <f aca="false">L378+M377</f>
        <v>-174.99133</v>
      </c>
      <c r="N378" s="33" t="n">
        <f aca="false">M378+N377</f>
        <v>-189.8130025</v>
      </c>
      <c r="O378" s="33" t="n">
        <f aca="false">N378+O377</f>
        <v>-183.5034775</v>
      </c>
      <c r="P378" s="33" t="n">
        <f aca="false">O378+P377</f>
        <v>-148.1500675</v>
      </c>
      <c r="Q378" s="33" t="n">
        <f aca="false">P378+Q377</f>
        <v>-102.61499125</v>
      </c>
      <c r="R378" s="33" t="n">
        <f aca="false">Q378+R377</f>
        <v>-179.51210875</v>
      </c>
      <c r="S378" s="33" t="n">
        <f aca="false">R378+S377</f>
        <v>301.78389875</v>
      </c>
      <c r="T378" s="33" t="n">
        <f aca="false">S378+T377</f>
        <v>231.59377125</v>
      </c>
      <c r="U378" s="33" t="n">
        <f aca="false">T378+U377</f>
        <v>156.41004375</v>
      </c>
      <c r="V378" s="33" t="n">
        <f aca="false">U378+V377</f>
        <v>195.02159625</v>
      </c>
      <c r="W378" s="33" t="n">
        <f aca="false">V378+W377</f>
        <v>231.82158375</v>
      </c>
      <c r="X378" s="33" t="n">
        <f aca="false">W378+X377</f>
        <v>295.03544625</v>
      </c>
      <c r="Y378" s="33" t="n">
        <f aca="false">X378+Y377</f>
        <v>349.814908125</v>
      </c>
      <c r="Z378" s="33" t="n">
        <f aca="false">Y378+Z377</f>
        <v>397.468321875</v>
      </c>
      <c r="AA378" s="33" t="n">
        <f aca="false">Z378+AA377</f>
        <v>436.306198125</v>
      </c>
      <c r="AB378" s="33" t="n">
        <f aca="false">AA378+AB377</f>
        <v>487.352446875</v>
      </c>
      <c r="AC378" s="33" t="n">
        <f aca="false">AB378+AC377</f>
        <v>538.398695625</v>
      </c>
      <c r="AD378" s="33" t="n">
        <f aca="false">AC378+AD377</f>
        <v>589.444944375</v>
      </c>
      <c r="AE378" s="33" t="n">
        <f aca="false">AD378+AE377</f>
        <v>640.491193125</v>
      </c>
      <c r="AF378" s="33" t="n">
        <f aca="false">AE378+AF377</f>
        <v>450.3458303125</v>
      </c>
      <c r="AG378" s="33" t="n">
        <f aca="false">AF378+AG377</f>
        <v>478.16998703125</v>
      </c>
      <c r="AH378" s="33" t="n">
        <f aca="false">AG378+AH377</f>
        <v>500.56713671875</v>
      </c>
      <c r="AI378" s="33" t="n">
        <f aca="false">AH378+AI377</f>
        <v>520.7941825</v>
      </c>
      <c r="AJ378" s="33" t="n">
        <f aca="false">AI378+AJ377</f>
        <v>539.88340890625</v>
      </c>
      <c r="AK378" s="33" t="n">
        <f aca="false">AJ378+AK377</f>
        <v>554.3305</v>
      </c>
      <c r="AL378" s="33" t="n">
        <f aca="false">AK378+AL377</f>
        <v>566.261295625</v>
      </c>
      <c r="AM378" s="33" t="n">
        <f aca="false">AL378+AM377</f>
        <v>579.894626875</v>
      </c>
      <c r="AN378" s="33" t="n">
        <f aca="false">AM378+AN377</f>
        <v>583.970648125</v>
      </c>
      <c r="AO378" s="33" t="n">
        <f aca="false">AN378+AO377</f>
        <v>588.046669375</v>
      </c>
      <c r="AP378" s="33" t="n">
        <f aca="false">AO378+AP377</f>
        <v>595.292929375</v>
      </c>
      <c r="AQ378" s="33" t="n">
        <f aca="false">AP378+AQ377</f>
        <v>595.292929375</v>
      </c>
      <c r="AR378" s="33" t="n">
        <f aca="false">AQ378+AR377</f>
        <v>595.292929375</v>
      </c>
      <c r="AS378" s="33" t="n">
        <f aca="false">AR378+AS377</f>
        <v>595.292929375</v>
      </c>
      <c r="AT378" s="33" t="n">
        <f aca="false">AS378+AT377</f>
        <v>595.292929375</v>
      </c>
      <c r="AU378" s="33" t="n">
        <f aca="false">AT378+AU377</f>
        <v>595.292929375</v>
      </c>
      <c r="AV378" s="33" t="n">
        <f aca="false">AU378+AV377</f>
        <v>595.292929375</v>
      </c>
      <c r="AW378" s="33" t="n">
        <f aca="false">AV378+AW377</f>
        <v>595.292929375</v>
      </c>
      <c r="AX378" s="33" t="n">
        <f aca="false">AW378+AX377</f>
        <v>595.292929375</v>
      </c>
      <c r="AY378" s="33" t="n">
        <f aca="false">AX378+AY377</f>
        <v>595.292929375</v>
      </c>
      <c r="AZ378" s="33" t="n">
        <f aca="false">AY378+AZ377</f>
        <v>595.292929375</v>
      </c>
      <c r="BA378" s="33" t="n">
        <f aca="false">AZ378+BA377</f>
        <v>595.292929375</v>
      </c>
      <c r="BB378" s="33" t="n">
        <f aca="false">BA378+BB377</f>
        <v>595.292929375</v>
      </c>
      <c r="BC378" s="33" t="n">
        <f aca="false">BB378+BC377</f>
        <v>595.292929375</v>
      </c>
      <c r="BD378" s="33" t="n">
        <f aca="false">BC378+BD377</f>
        <v>595.292929375</v>
      </c>
      <c r="BE378" s="33" t="n">
        <f aca="false">BD378+BE377</f>
        <v>595.292929375</v>
      </c>
      <c r="BF378" s="33" t="n">
        <f aca="false">BE378+BF377</f>
        <v>595.292929375</v>
      </c>
      <c r="BG378" s="33" t="n">
        <f aca="false">BF378+BG377</f>
        <v>595.292929375</v>
      </c>
      <c r="BH378" s="33" t="n">
        <f aca="false">BG378+BH377</f>
        <v>595.292929375</v>
      </c>
      <c r="BI378" s="33" t="n">
        <f aca="false">BH378+BI377</f>
        <v>595.292929375</v>
      </c>
      <c r="BJ378" s="33" t="n">
        <f aca="false">BI378+BJ377</f>
        <v>595.292929375</v>
      </c>
      <c r="BK378" s="33" t="n">
        <f aca="false">BJ378+BK377</f>
        <v>595.292929375</v>
      </c>
    </row>
    <row r="379" customFormat="false" ht="15" hidden="false" customHeight="false" outlineLevel="0" collapsed="false">
      <c r="A379" s="3" t="s">
        <v>340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-50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0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0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35.9259259259259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35.9259259259259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35.9259259259259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35.9259259259259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341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0</v>
      </c>
      <c r="N380" s="33" t="n">
        <f aca="false">IF(AND(Source_Data!N$6&gt;=Inputs!$B$54,Source_Data!N$6&lt;Inputs!$B$54+3*Inputs!$B$11),Inputs!$B$9*Inputs!$B$7/Inputs!$B$11,0)</f>
        <v>0</v>
      </c>
      <c r="O380" s="33" t="n">
        <f aca="false">IF(AND(Source_Data!O$6&gt;=Inputs!$B$54,Source_Data!O$6&lt;Inputs!$B$54+3*Inputs!$B$11),Inputs!$B$9*Inputs!$B$7/Inputs!$B$11,0)</f>
        <v>0</v>
      </c>
      <c r="P380" s="33" t="n">
        <f aca="false">IF(AND(Source_Data!P$6&gt;=Inputs!$B$54,Source_Data!P$6&lt;Inputs!$B$54+3*Inputs!$B$11),Inputs!$B$9*Inputs!$B$7/Inputs!$B$11,0)</f>
        <v>9.58333333333333</v>
      </c>
      <c r="Q380" s="33" t="n">
        <f aca="false">IF(AND(Source_Data!Q$6&gt;=Inputs!$B$54,Source_Data!Q$6&lt;Inputs!$B$54+3*Inputs!$B$11),Inputs!$B$9*Inputs!$B$7/Inputs!$B$11,0)</f>
        <v>9.58333333333333</v>
      </c>
      <c r="R380" s="33" t="n">
        <f aca="false">IF(AND(Source_Data!R$6&gt;=Inputs!$B$54,Source_Data!R$6&lt;Inputs!$B$54+3*Inputs!$B$11),Inputs!$B$9*Inputs!$B$7/Inputs!$B$11,0)</f>
        <v>9.58333333333333</v>
      </c>
      <c r="S380" s="33" t="n">
        <f aca="false">IF(AND(Source_Data!S$6&gt;=Inputs!$B$54,Source_Data!S$6&lt;Inputs!$B$54+3*Inputs!$B$11),Inputs!$B$9*Inputs!$B$7/Inputs!$B$11,0)</f>
        <v>9.58333333333333</v>
      </c>
      <c r="T380" s="33" t="n">
        <f aca="false">IF(AND(Source_Data!T$6&gt;=Inputs!$B$54,Source_Data!T$6&lt;Inputs!$B$54+3*Inputs!$B$11),Inputs!$B$9*Inputs!$B$7/Inputs!$B$11,0)</f>
        <v>9.58333333333333</v>
      </c>
      <c r="U380" s="33" t="n">
        <f aca="false">IF(AND(Source_Data!U$6&gt;=Inputs!$B$54,Source_Data!U$6&lt;Inputs!$B$54+3*Inputs!$B$11),Inputs!$B$9*Inputs!$B$7/Inputs!$B$11,0)</f>
        <v>9.58333333333333</v>
      </c>
      <c r="V380" s="33" t="n">
        <f aca="false">IF(AND(Source_Data!V$6&gt;=Inputs!$B$54,Source_Data!V$6&lt;Inputs!$B$54+3*Inputs!$B$11),Inputs!$B$9*Inputs!$B$7/Inputs!$B$11,0)</f>
        <v>9.58333333333333</v>
      </c>
      <c r="W380" s="33" t="n">
        <f aca="false">IF(AND(Source_Data!W$6&gt;=Inputs!$B$54,Source_Data!W$6&lt;Inputs!$B$54+3*Inputs!$B$11),Inputs!$B$9*Inputs!$B$7/Inputs!$B$11,0)</f>
        <v>9.58333333333333</v>
      </c>
      <c r="X380" s="33" t="n">
        <f aca="false">IF(AND(Source_Data!X$6&gt;=Inputs!$B$54,Source_Data!X$6&lt;Inputs!$B$54+3*Inputs!$B$11),Inputs!$B$9*Inputs!$B$7/Inputs!$B$11,0)</f>
        <v>9.58333333333333</v>
      </c>
      <c r="Y380" s="33" t="n">
        <f aca="false">IF(AND(Source_Data!Y$6&gt;=Inputs!$B$54,Source_Data!Y$6&lt;Inputs!$B$54+3*Inputs!$B$11),Inputs!$B$9*Inputs!$B$7/Inputs!$B$11,0)</f>
        <v>9.58333333333333</v>
      </c>
      <c r="Z380" s="33" t="n">
        <f aca="false">IF(AND(Source_Data!Z$6&gt;=Inputs!$B$54,Source_Data!Z$6&lt;Inputs!$B$54+3*Inputs!$B$11),Inputs!$B$9*Inputs!$B$7/Inputs!$B$11,0)</f>
        <v>9.58333333333333</v>
      </c>
      <c r="AA380" s="33" t="n">
        <f aca="false">IF(AND(Source_Data!AA$6&gt;=Inputs!$B$54,Source_Data!AA$6&lt;Inputs!$B$54+3*Inputs!$B$11),Inputs!$B$9*Inputs!$B$7/Inputs!$B$11,0)</f>
        <v>9.58333333333333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342</v>
      </c>
      <c r="D381" s="33" t="n">
        <f aca="false">IF(Source_Data!D$6=Inputs!$B$12,-Inputs!$B$7,0)+D380</f>
        <v>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-50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0</v>
      </c>
      <c r="N381" s="33" t="n">
        <f aca="false">IF(Source_Data!N$6=Inputs!$B$12,-Inputs!$B$7,0)+N380</f>
        <v>0</v>
      </c>
      <c r="O381" s="33" t="n">
        <f aca="false">IF(Source_Data!O$6=Inputs!$B$12,-Inputs!$B$7,0)+O380</f>
        <v>0</v>
      </c>
      <c r="P381" s="33" t="n">
        <f aca="false">IF(Source_Data!P$6=Inputs!$B$12,-Inputs!$B$7,0)+P380</f>
        <v>9.58333333333333</v>
      </c>
      <c r="Q381" s="33" t="n">
        <f aca="false">IF(Source_Data!Q$6=Inputs!$B$12,-Inputs!$B$7,0)+Q380</f>
        <v>9.58333333333333</v>
      </c>
      <c r="R381" s="33" t="n">
        <f aca="false">IF(Source_Data!R$6=Inputs!$B$12,-Inputs!$B$7,0)+R380</f>
        <v>9.58333333333333</v>
      </c>
      <c r="S381" s="33" t="n">
        <f aca="false">IF(Source_Data!S$6=Inputs!$B$12,-Inputs!$B$7,0)+S380</f>
        <v>9.58333333333333</v>
      </c>
      <c r="T381" s="33" t="n">
        <f aca="false">IF(Source_Data!T$6=Inputs!$B$12,-Inputs!$B$7,0)+T380</f>
        <v>9.58333333333333</v>
      </c>
      <c r="U381" s="33" t="n">
        <f aca="false">IF(Source_Data!U$6=Inputs!$B$12,-Inputs!$B$7,0)+U380</f>
        <v>9.58333333333333</v>
      </c>
      <c r="V381" s="33" t="n">
        <f aca="false">IF(Source_Data!V$6=Inputs!$B$12,-Inputs!$B$7,0)+V380</f>
        <v>9.58333333333333</v>
      </c>
      <c r="W381" s="33" t="n">
        <f aca="false">IF(Source_Data!W$6=Inputs!$B$12,-Inputs!$B$7,0)+W380</f>
        <v>9.58333333333333</v>
      </c>
      <c r="X381" s="33" t="n">
        <f aca="false">IF(Source_Data!X$6=Inputs!$B$12,-Inputs!$B$7,0)+X380</f>
        <v>9.58333333333333</v>
      </c>
      <c r="Y381" s="33" t="n">
        <f aca="false">IF(Source_Data!Y$6=Inputs!$B$12,-Inputs!$B$7,0)+Y380</f>
        <v>9.58333333333333</v>
      </c>
      <c r="Z381" s="33" t="n">
        <f aca="false">IF(Source_Data!Z$6=Inputs!$B$12,-Inputs!$B$7,0)+Z380</f>
        <v>9.58333333333333</v>
      </c>
      <c r="AA381" s="33" t="n">
        <f aca="false">IF(Source_Data!AA$6=Inputs!$B$12,-Inputs!$B$7,0)+AA380</f>
        <v>9.58333333333333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343</v>
      </c>
      <c r="D382" s="33" t="n">
        <f aca="false">IF(Source_Data!D$6=Inputs!$B$12,Inputs!$B$7,0)+D377-D380</f>
        <v>0</v>
      </c>
      <c r="E382" s="33" t="n">
        <f aca="false">D382+IF(Source_Data!E$6=Inputs!$B$12,Inputs!$B$7,0)+E377-E380</f>
        <v>0</v>
      </c>
      <c r="F382" s="33" t="n">
        <f aca="false">E382+IF(Source_Data!F$6=Inputs!$B$12,Inputs!$B$7,0)+F377-F380</f>
        <v>0</v>
      </c>
      <c r="G382" s="33" t="n">
        <f aca="false">F382+IF(Source_Data!G$6=Inputs!$B$12,Inputs!$B$7,0)+G377-G380</f>
        <v>-35</v>
      </c>
      <c r="H382" s="33" t="n">
        <f aca="false">G382+IF(Source_Data!H$6=Inputs!$B$12,Inputs!$B$7,0)+H377-H380</f>
        <v>-57.5</v>
      </c>
      <c r="I382" s="33" t="n">
        <f aca="false">H382+IF(Source_Data!I$6=Inputs!$B$12,Inputs!$B$7,0)+I377-I380</f>
        <v>-61.88435</v>
      </c>
      <c r="J382" s="33" t="n">
        <f aca="false">I382+IF(Source_Data!J$6=Inputs!$B$12,Inputs!$B$7,0)+J377-J380</f>
        <v>-71.15305</v>
      </c>
      <c r="K382" s="33" t="n">
        <f aca="false">J382+IF(Source_Data!K$6=Inputs!$B$12,Inputs!$B$7,0)+K377-K380</f>
        <v>-65.752225</v>
      </c>
      <c r="L382" s="33" t="n">
        <f aca="false">K382+IF(Source_Data!L$6=Inputs!$B$12,Inputs!$B$7,0)+L377-L380</f>
        <v>-102.226355</v>
      </c>
      <c r="M382" s="33" t="n">
        <f aca="false">L382+IF(Source_Data!M$6=Inputs!$B$12,Inputs!$B$7,0)+M377-M380</f>
        <v>-124.99133</v>
      </c>
      <c r="N382" s="33" t="n">
        <f aca="false">M382+IF(Source_Data!N$6=Inputs!$B$12,Inputs!$B$7,0)+N377-N380</f>
        <v>-139.8130025</v>
      </c>
      <c r="O382" s="33" t="n">
        <f aca="false">N382+IF(Source_Data!O$6=Inputs!$B$12,Inputs!$B$7,0)+O377-O380</f>
        <v>-133.5034775</v>
      </c>
      <c r="P382" s="33" t="n">
        <f aca="false">O382+IF(Source_Data!P$6=Inputs!$B$12,Inputs!$B$7,0)+P377-P380</f>
        <v>-107.733400833333</v>
      </c>
      <c r="Q382" s="33" t="n">
        <f aca="false">P382+IF(Source_Data!Q$6=Inputs!$B$12,Inputs!$B$7,0)+Q377-Q380</f>
        <v>-71.7816579166667</v>
      </c>
      <c r="R382" s="33" t="n">
        <f aca="false">Q382+IF(Source_Data!R$6=Inputs!$B$12,Inputs!$B$7,0)+R377-R380</f>
        <v>-158.26210875</v>
      </c>
      <c r="S382" s="33" t="n">
        <f aca="false">R382+IF(Source_Data!S$6=Inputs!$B$12,Inputs!$B$7,0)+S377-S380</f>
        <v>313.450565416667</v>
      </c>
      <c r="T382" s="33" t="n">
        <f aca="false">S382+IF(Source_Data!T$6=Inputs!$B$12,Inputs!$B$7,0)+T377-T380</f>
        <v>233.677104583333</v>
      </c>
      <c r="U382" s="33" t="n">
        <f aca="false">T382+IF(Source_Data!U$6=Inputs!$B$12,Inputs!$B$7,0)+U377-U380</f>
        <v>148.91004375</v>
      </c>
      <c r="V382" s="33" t="n">
        <f aca="false">U382+IF(Source_Data!V$6=Inputs!$B$12,Inputs!$B$7,0)+V377-V380</f>
        <v>177.938262916666</v>
      </c>
      <c r="W382" s="33" t="n">
        <f aca="false">V382+IF(Source_Data!W$6=Inputs!$B$12,Inputs!$B$7,0)+W377-W380</f>
        <v>205.154917083333</v>
      </c>
      <c r="X382" s="33" t="n">
        <f aca="false">W382+IF(Source_Data!X$6=Inputs!$B$12,Inputs!$B$7,0)+X377-X380</f>
        <v>258.78544625</v>
      </c>
      <c r="Y382" s="33" t="n">
        <f aca="false">X382+IF(Source_Data!Y$6=Inputs!$B$12,Inputs!$B$7,0)+Y377-Y380</f>
        <v>303.981574791666</v>
      </c>
      <c r="Z382" s="33" t="n">
        <f aca="false">Y382+IF(Source_Data!Z$6=Inputs!$B$12,Inputs!$B$7,0)+Z377-Z380</f>
        <v>342.051655208333</v>
      </c>
      <c r="AA382" s="33" t="n">
        <f aca="false">Z382+IF(Source_Data!AA$6=Inputs!$B$12,Inputs!$B$7,0)+AA377-AA380</f>
        <v>371.306198125</v>
      </c>
      <c r="AB382" s="33" t="n">
        <f aca="false">AA382+IF(Source_Data!AB$6=Inputs!$B$12,Inputs!$B$7,0)+AB377-AB380</f>
        <v>422.352446875</v>
      </c>
      <c r="AC382" s="33" t="n">
        <f aca="false">AB382+IF(Source_Data!AC$6=Inputs!$B$12,Inputs!$B$7,0)+AC377-AC380</f>
        <v>473.398695625</v>
      </c>
      <c r="AD382" s="33" t="n">
        <f aca="false">AC382+IF(Source_Data!AD$6=Inputs!$B$12,Inputs!$B$7,0)+AD377-AD380</f>
        <v>524.444944375</v>
      </c>
      <c r="AE382" s="33" t="n">
        <f aca="false">AD382+IF(Source_Data!AE$6=Inputs!$B$12,Inputs!$B$7,0)+AE377-AE380</f>
        <v>575.491193125</v>
      </c>
      <c r="AF382" s="33" t="n">
        <f aca="false">AE382+IF(Source_Data!AF$6=Inputs!$B$12,Inputs!$B$7,0)+AF377-AF380</f>
        <v>385.3458303125</v>
      </c>
      <c r="AG382" s="33" t="n">
        <f aca="false">AF382+IF(Source_Data!AG$6=Inputs!$B$12,Inputs!$B$7,0)+AG377-AG380</f>
        <v>413.16998703125</v>
      </c>
      <c r="AH382" s="33" t="n">
        <f aca="false">AG382+IF(Source_Data!AH$6=Inputs!$B$12,Inputs!$B$7,0)+AH377-AH380</f>
        <v>435.56713671875</v>
      </c>
      <c r="AI382" s="33" t="n">
        <f aca="false">AH382+IF(Source_Data!AI$6=Inputs!$B$12,Inputs!$B$7,0)+AI377-AI380</f>
        <v>455.7941825</v>
      </c>
      <c r="AJ382" s="33" t="n">
        <f aca="false">AI382+IF(Source_Data!AJ$6=Inputs!$B$12,Inputs!$B$7,0)+AJ377-AJ380</f>
        <v>474.88340890625</v>
      </c>
      <c r="AK382" s="33" t="n">
        <f aca="false">AJ382+IF(Source_Data!AK$6=Inputs!$B$12,Inputs!$B$7,0)+AK377-AK380</f>
        <v>489.3305</v>
      </c>
      <c r="AL382" s="33" t="n">
        <f aca="false">AK382+IF(Source_Data!AL$6=Inputs!$B$12,Inputs!$B$7,0)+AL377-AL380</f>
        <v>501.261295625</v>
      </c>
      <c r="AM382" s="33" t="n">
        <f aca="false">AL382+IF(Source_Data!AM$6=Inputs!$B$12,Inputs!$B$7,0)+AM377-AM380</f>
        <v>514.894626875</v>
      </c>
      <c r="AN382" s="33" t="n">
        <f aca="false">AM382+IF(Source_Data!AN$6=Inputs!$B$12,Inputs!$B$7,0)+AN377-AN380</f>
        <v>518.970648125</v>
      </c>
      <c r="AO382" s="33" t="n">
        <f aca="false">AN382+IF(Source_Data!AO$6=Inputs!$B$12,Inputs!$B$7,0)+AO377-AO380</f>
        <v>523.046669375</v>
      </c>
      <c r="AP382" s="33" t="n">
        <f aca="false">AO382+IF(Source_Data!AP$6=Inputs!$B$12,Inputs!$B$7,0)+AP377-AP380</f>
        <v>530.292929375</v>
      </c>
      <c r="AQ382" s="33" t="n">
        <f aca="false">AP382+IF(Source_Data!AQ$6=Inputs!$B$12,Inputs!$B$7,0)+AQ377-AQ380</f>
        <v>530.292929375</v>
      </c>
      <c r="AR382" s="33" t="n">
        <f aca="false">AQ382+IF(Source_Data!AR$6=Inputs!$B$12,Inputs!$B$7,0)+AR377-AR380</f>
        <v>530.292929375</v>
      </c>
      <c r="AS382" s="33" t="n">
        <f aca="false">AR382+IF(Source_Data!AS$6=Inputs!$B$12,Inputs!$B$7,0)+AS377-AS380</f>
        <v>530.292929375</v>
      </c>
      <c r="AT382" s="33" t="n">
        <f aca="false">AS382+IF(Source_Data!AT$6=Inputs!$B$12,Inputs!$B$7,0)+AT377-AT380</f>
        <v>530.292929375</v>
      </c>
      <c r="AU382" s="33" t="n">
        <f aca="false">AT382+IF(Source_Data!AU$6=Inputs!$B$12,Inputs!$B$7,0)+AU377-AU380</f>
        <v>530.292929375</v>
      </c>
      <c r="AV382" s="33" t="n">
        <f aca="false">AU382+IF(Source_Data!AV$6=Inputs!$B$12,Inputs!$B$7,0)+AV377-AV380</f>
        <v>530.292929375</v>
      </c>
      <c r="AW382" s="33" t="n">
        <f aca="false">AV382+IF(Source_Data!AW$6=Inputs!$B$12,Inputs!$B$7,0)+AW377-AW380</f>
        <v>530.292929375</v>
      </c>
      <c r="AX382" s="33" t="n">
        <f aca="false">AW382+IF(Source_Data!AX$6=Inputs!$B$12,Inputs!$B$7,0)+AX377-AX380</f>
        <v>530.292929375</v>
      </c>
      <c r="AY382" s="33" t="n">
        <f aca="false">AX382+IF(Source_Data!AY$6=Inputs!$B$12,Inputs!$B$7,0)+AY377-AY380</f>
        <v>530.292929375</v>
      </c>
      <c r="AZ382" s="33" t="n">
        <f aca="false">AY382+IF(Source_Data!AZ$6=Inputs!$B$12,Inputs!$B$7,0)+AZ377-AZ380</f>
        <v>530.292929375</v>
      </c>
      <c r="BA382" s="33" t="n">
        <f aca="false">AZ382+IF(Source_Data!BA$6=Inputs!$B$12,Inputs!$B$7,0)+BA377-BA380</f>
        <v>530.292929375</v>
      </c>
      <c r="BB382" s="33" t="n">
        <f aca="false">BA382+IF(Source_Data!BB$6=Inputs!$B$12,Inputs!$B$7,0)+BB377-BB380</f>
        <v>530.292929375</v>
      </c>
      <c r="BC382" s="33" t="n">
        <f aca="false">BB382+IF(Source_Data!BC$6=Inputs!$B$12,Inputs!$B$7,0)+BC377-BC380</f>
        <v>530.292929375</v>
      </c>
      <c r="BD382" s="33" t="n">
        <f aca="false">BC382+IF(Source_Data!BD$6=Inputs!$B$12,Inputs!$B$7,0)+BD377-BD380</f>
        <v>530.292929375</v>
      </c>
      <c r="BE382" s="33" t="n">
        <f aca="false">BD382+IF(Source_Data!BE$6=Inputs!$B$12,Inputs!$B$7,0)+BE377-BE380</f>
        <v>530.292929375</v>
      </c>
      <c r="BF382" s="33" t="n">
        <f aca="false">BE382+IF(Source_Data!BF$6=Inputs!$B$12,Inputs!$B$7,0)+BF377-BF380</f>
        <v>530.292929375</v>
      </c>
      <c r="BG382" s="33" t="n">
        <f aca="false">BF382+IF(Source_Data!BG$6=Inputs!$B$12,Inputs!$B$7,0)+BG377-BG380</f>
        <v>530.292929375</v>
      </c>
      <c r="BH382" s="33" t="n">
        <f aca="false">BG382+IF(Source_Data!BH$6=Inputs!$B$12,Inputs!$B$7,0)+BH377-BH380</f>
        <v>530.292929375</v>
      </c>
      <c r="BI382" s="33" t="n">
        <f aca="false">BH382+IF(Source_Data!BI$6=Inputs!$B$12,Inputs!$B$7,0)+BI377-BI380</f>
        <v>530.292929375</v>
      </c>
      <c r="BJ382" s="33" t="n">
        <f aca="false">BI382+IF(Source_Data!BJ$6=Inputs!$B$12,Inputs!$B$7,0)+BJ377-BJ380</f>
        <v>530.292929375</v>
      </c>
      <c r="BK382" s="33" t="n">
        <f aca="false">BJ382+IF(Source_Data!BK$6=Inputs!$B$12,Inputs!$B$7,0)+BK377-BK380</f>
        <v>530.292929375</v>
      </c>
    </row>
    <row r="383" customFormat="false" ht="15" hidden="false" customHeight="false" outlineLevel="0" collapsed="false">
      <c r="A383" s="3" t="s">
        <v>344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str">
        <f aca="false">IF(M380&gt;0,M377/M380,"")</f>
        <v/>
      </c>
      <c r="N383" s="31" t="str">
        <f aca="false">IF(N380&gt;0,N377/N380,"")</f>
        <v/>
      </c>
      <c r="O383" s="31" t="str">
        <f aca="false">IF(O380&gt;0,O377/O380,"")</f>
        <v/>
      </c>
      <c r="P383" s="31" t="n">
        <f aca="false">IF(P380&gt;0,P377/P380,"")</f>
        <v>3.68905147826087</v>
      </c>
      <c r="Q383" s="31" t="n">
        <f aca="false">IF(Q380&gt;0,Q377/Q380,"")</f>
        <v>4.75148621739131</v>
      </c>
      <c r="R383" s="31" t="n">
        <f aca="false">IF(R380&gt;0,R377/R380,"")</f>
        <v>-8.02404704347826</v>
      </c>
      <c r="S383" s="31" t="n">
        <f aca="false">IF(S380&gt;0,S377/S380,"")</f>
        <v>50.2221920869565</v>
      </c>
      <c r="T383" s="31" t="n">
        <f aca="false">IF(T380&gt;0,T377/T380,"")</f>
        <v>-7.32418721739131</v>
      </c>
      <c r="U383" s="31" t="n">
        <f aca="false">IF(U380&gt;0,U377/U380,"")</f>
        <v>-7.84525852173914</v>
      </c>
      <c r="V383" s="31" t="n">
        <f aca="false">IF(V380&gt;0,V377/V380,"")</f>
        <v>4.02903156521739</v>
      </c>
      <c r="W383" s="31" t="n">
        <f aca="false">IF(W380&gt;0,W377/W380,"")</f>
        <v>3.83999869565217</v>
      </c>
      <c r="X383" s="31" t="n">
        <f aca="false">IF(X380&gt;0,X377/X380,"")</f>
        <v>6.59622913043478</v>
      </c>
      <c r="Y383" s="31" t="n">
        <f aca="false">IF(Y380&gt;0,Y377/Y380,"")</f>
        <v>5.71611776086957</v>
      </c>
      <c r="Z383" s="31" t="n">
        <f aca="false">IF(Z380&gt;0,Z377/Z380,"")</f>
        <v>4.97253013043479</v>
      </c>
      <c r="AA383" s="31" t="n">
        <f aca="false">IF(AA380&gt;0,AA377/AA380,"")</f>
        <v>4.05264795652174</v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345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str">
        <f aca="false">IF(M380&gt;0,(L382+M377+IF(Source_Data!M$6=Inputs!$B$12,Inputs!$B$7,0))/M380,"")</f>
        <v/>
      </c>
      <c r="N384" s="31" t="str">
        <f aca="false">IF(N380&gt;0,(M382+N377+IF(Source_Data!N$6=Inputs!$B$12,Inputs!$B$7,0))/N380,"")</f>
        <v/>
      </c>
      <c r="O384" s="31" t="str">
        <f aca="false">IF(O380&gt;0,(N382+O377+IF(Source_Data!O$6=Inputs!$B$12,Inputs!$B$7,0))/O380,"")</f>
        <v/>
      </c>
      <c r="P384" s="31" t="n">
        <f aca="false">IF(P380&gt;0,(O382+P377+IF(Source_Data!P$6=Inputs!$B$12,Inputs!$B$7,0))/P380,"")</f>
        <v>-10.241746173913</v>
      </c>
      <c r="Q384" s="31" t="n">
        <f aca="false">IF(Q380&gt;0,(P382+Q377+IF(Source_Data!Q$6=Inputs!$B$12,Inputs!$B$7,0))/Q380,"")</f>
        <v>-6.49025995652174</v>
      </c>
      <c r="R384" s="31" t="n">
        <f aca="false">IF(R380&gt;0,(Q382+R377+IF(Source_Data!R$6=Inputs!$B$12,Inputs!$B$7,0))/R380,"")</f>
        <v>-15.514307</v>
      </c>
      <c r="S384" s="31" t="n">
        <f aca="false">IF(S380&gt;0,(R382+S377+IF(Source_Data!S$6=Inputs!$B$12,Inputs!$B$7,0))/S380,"")</f>
        <v>33.7078850869565</v>
      </c>
      <c r="T384" s="31" t="n">
        <f aca="false">IF(T380&gt;0,(S382+T377+IF(Source_Data!T$6=Inputs!$B$12,Inputs!$B$7,0))/T380,"")</f>
        <v>25.3836978695652</v>
      </c>
      <c r="U384" s="31" t="n">
        <f aca="false">IF(U380&gt;0,(T382+U377+IF(Source_Data!U$6=Inputs!$B$12,Inputs!$B$7,0))/U380,"")</f>
        <v>16.5384393478261</v>
      </c>
      <c r="V384" s="31" t="n">
        <f aca="false">IF(V380&gt;0,(U382+V377+IF(Source_Data!V$6=Inputs!$B$12,Inputs!$B$7,0))/V380,"")</f>
        <v>19.5674709130434</v>
      </c>
      <c r="W384" s="31" t="n">
        <f aca="false">IF(W380&gt;0,(V382+W377+IF(Source_Data!W$6=Inputs!$B$12,Inputs!$B$7,0))/W380,"")</f>
        <v>22.4074696086956</v>
      </c>
      <c r="X384" s="31" t="n">
        <f aca="false">IF(X380&gt;0,(W382+X377+IF(Source_Data!X$6=Inputs!$B$12,Inputs!$B$7,0))/X380,"")</f>
        <v>28.0036987391304</v>
      </c>
      <c r="Y384" s="31" t="n">
        <f aca="false">IF(Y380&gt;0,(X382+Y377+IF(Source_Data!Y$6=Inputs!$B$12,Inputs!$B$7,0))/Y380,"")</f>
        <v>32.7198165</v>
      </c>
      <c r="Z384" s="31" t="n">
        <f aca="false">IF(Z380&gt;0,(Y382+Z377+IF(Source_Data!Z$6=Inputs!$B$12,Inputs!$B$7,0))/Z380,"")</f>
        <v>36.6923466304347</v>
      </c>
      <c r="AA384" s="31" t="n">
        <f aca="false">IF(AA380&gt;0,(Z382+AA377+IF(Source_Data!AA$6=Inputs!$B$12,Inputs!$B$7,0))/AA380,"")</f>
        <v>39.7449945869565</v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220</v>
      </c>
      <c r="B386" s="41" t="n">
        <f aca="false">SUM(D377:BK377)</f>
        <v>595.292929375</v>
      </c>
    </row>
    <row r="387" customFormat="false" ht="15" hidden="false" customHeight="false" outlineLevel="0" collapsed="false">
      <c r="A387" s="2" t="s">
        <v>346</v>
      </c>
      <c r="B387" s="41" t="n">
        <f aca="false">SUMPRODUCT(D377:BK377,Project_CF!$D$15:$BK$15)</f>
        <v>257.600961401946</v>
      </c>
    </row>
    <row r="388" customFormat="false" ht="15" hidden="false" customHeight="false" outlineLevel="0" collapsed="false">
      <c r="A388" s="2" t="s">
        <v>162</v>
      </c>
      <c r="B388" s="41" t="n">
        <f aca="false">MIN(D378:BK378)</f>
        <v>-189.8130025</v>
      </c>
    </row>
    <row r="389" customFormat="false" ht="15" hidden="false" customHeight="false" outlineLevel="0" collapsed="false">
      <c r="A389" s="2" t="s">
        <v>347</v>
      </c>
      <c r="B389" s="35" t="n">
        <f aca="false">INDEX(Project_CF!$D$6:$BK$6,MATCH(MIN(D378:BK378),D378:BK378,0))</f>
        <v>33</v>
      </c>
    </row>
    <row r="390" customFormat="false" ht="15" hidden="false" customHeight="false" outlineLevel="0" collapsed="false">
      <c r="A390" s="2" t="s">
        <v>348</v>
      </c>
      <c r="B390" s="39" t="n">
        <f aca="false">(1+IRR(D379:BK379,0.05))^4-1</f>
        <v>0.292473250549915</v>
      </c>
    </row>
    <row r="391" customFormat="false" ht="15" hidden="false" customHeight="false" outlineLevel="0" collapsed="false">
      <c r="A391" s="2" t="s">
        <v>349</v>
      </c>
      <c r="B391" s="40" t="n">
        <f aca="false">SUMIF(D379:BK379,"&gt;0")/-SUMIF(D379:BK379,"&lt;0")</f>
        <v>2.87407407407407</v>
      </c>
    </row>
    <row r="392" customFormat="false" ht="15" hidden="false" customHeight="false" outlineLevel="0" collapsed="false">
      <c r="A392" s="2" t="s">
        <v>350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351</v>
      </c>
      <c r="B393" s="41" t="n">
        <f aca="false">MIN(D382:BK382)</f>
        <v>-158.26210875</v>
      </c>
    </row>
    <row r="394" customFormat="false" ht="15" hidden="false" customHeight="false" outlineLevel="0" collapsed="false">
      <c r="A394" s="2" t="s">
        <v>352</v>
      </c>
      <c r="B394" s="43" t="n">
        <f aca="false">MIN(D383:BK383)</f>
        <v>-8.02404704347826</v>
      </c>
    </row>
    <row r="395" customFormat="false" ht="15" hidden="false" customHeight="false" outlineLevel="0" collapsed="false">
      <c r="A395" s="2" t="s">
        <v>353</v>
      </c>
      <c r="B395" s="35" t="n">
        <f aca="false">COUNTIF(D383:BK383,"&lt;"&amp;Inputs!$B$43)</f>
        <v>3</v>
      </c>
    </row>
    <row r="396" customFormat="false" ht="15" hidden="false" customHeight="false" outlineLevel="0" collapsed="false">
      <c r="A396" s="2" t="s">
        <v>354</v>
      </c>
      <c r="B396" s="43" t="n">
        <f aca="false">MIN(D384:BK384)</f>
        <v>-15.514307</v>
      </c>
    </row>
    <row r="397" customFormat="false" ht="15" hidden="false" customHeight="false" outlineLevel="0" collapsed="false">
      <c r="A397" s="2" t="s">
        <v>355</v>
      </c>
      <c r="B397" s="35" t="n">
        <f aca="false">COUNTIF(D384:BK384,"&lt;"&amp;Inputs!$B$43)</f>
        <v>3</v>
      </c>
    </row>
    <row r="400" customFormat="false" ht="15" hidden="false" customHeight="false" outlineLevel="0" collapsed="false">
      <c r="A400" s="8" t="s">
        <v>369</v>
      </c>
    </row>
    <row r="401" customFormat="false" ht="15" hidden="false" customHeight="false" outlineLevel="0" collapsed="false">
      <c r="A401" s="3" t="s">
        <v>331</v>
      </c>
      <c r="B401" s="45" t="n">
        <v>1</v>
      </c>
    </row>
    <row r="402" customFormat="false" ht="15" hidden="false" customHeight="false" outlineLevel="0" collapsed="false">
      <c r="A402" s="3" t="s">
        <v>332</v>
      </c>
      <c r="B402" s="45" t="n">
        <v>0</v>
      </c>
    </row>
    <row r="403" customFormat="false" ht="15" hidden="false" customHeight="false" outlineLevel="0" collapsed="false">
      <c r="A403" s="3" t="s">
        <v>333</v>
      </c>
      <c r="B403" s="45" t="n">
        <v>1</v>
      </c>
    </row>
    <row r="404" customFormat="false" ht="15" hidden="false" customHeight="false" outlineLevel="0" collapsed="false">
      <c r="A404" s="3" t="s">
        <v>334</v>
      </c>
      <c r="B404" s="45" t="n">
        <v>2</v>
      </c>
    </row>
    <row r="405" customFormat="false" ht="15" hidden="false" customHeight="false" outlineLevel="0" collapsed="false">
      <c r="A405" s="3" t="s">
        <v>335</v>
      </c>
      <c r="B405" s="45" t="n">
        <v>0</v>
      </c>
    </row>
    <row r="406" customFormat="false" ht="15" hidden="false" customHeight="false" outlineLevel="0" collapsed="false">
      <c r="A406" s="3" t="s">
        <v>336</v>
      </c>
      <c r="B406" s="3" t="n">
        <f aca="false">Inputs!$B$13+3+3*$B$402</f>
        <v>57</v>
      </c>
    </row>
    <row r="407" customFormat="false" ht="15" hidden="false" customHeight="false" outlineLevel="0" collapsed="false">
      <c r="A407" s="3" t="s">
        <v>337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0</v>
      </c>
      <c r="G407" s="33" t="n">
        <f aca="false">Source_Data!G$7+IF($B$405=1,IF(Source_Data!G$6=Inputs!$B$13,Source_Data!$C$8,0),Source_Data!G$8)</f>
        <v>0</v>
      </c>
      <c r="H407" s="33" t="n">
        <f aca="false">Source_Data!H$7+IF($B$405=1,IF(Source_Data!H$6=Inputs!$B$13,Source_Data!$C$8,0),Source_Data!H$8)</f>
        <v>18.11565</v>
      </c>
      <c r="I407" s="33" t="n">
        <f aca="false">Source_Data!I$7+IF($B$405=1,IF(Source_Data!I$6=Inputs!$B$13,Source_Data!$C$8,0),Source_Data!I$8)</f>
        <v>36.2313</v>
      </c>
      <c r="J407" s="33" t="n">
        <f aca="false">Source_Data!J$7+IF($B$405=1,IF(Source_Data!J$6=Inputs!$B$13,Source_Data!$C$8,0),Source_Data!J$8)</f>
        <v>58.260825</v>
      </c>
      <c r="K407" s="33" t="n">
        <f aca="false">Source_Data!K$7+IF($B$405=1,IF(Source_Data!K$6=Inputs!$B$13,Source_Data!$C$8,0),Source_Data!K$8)</f>
        <v>69.01839</v>
      </c>
      <c r="L407" s="33" t="n">
        <f aca="false">Source_Data!L$7+IF($B$405=1,IF(Source_Data!L$6=Inputs!$B$13,Source_Data!$C$8,0),Source_Data!L$8)</f>
        <v>67.087545</v>
      </c>
      <c r="M407" s="33" t="n">
        <f aca="false">Source_Data!M$7+IF($B$405=1,IF(Source_Data!M$6=Inputs!$B$13,Source_Data!$C$8,0),Source_Data!M$8)</f>
        <v>72.9732675</v>
      </c>
      <c r="N407" s="33" t="n">
        <f aca="false">Source_Data!N$7+IF($B$405=1,IF(Source_Data!N$6=Inputs!$B$13,Source_Data!$C$8,0),Source_Data!N$8)</f>
        <v>88.871055</v>
      </c>
      <c r="O407" s="33" t="n">
        <f aca="false">Source_Data!O$7+IF($B$405=1,IF(Source_Data!O$6=Inputs!$B$13,Source_Data!$C$8,0),Source_Data!O$8)</f>
        <v>105.60753</v>
      </c>
      <c r="P407" s="33" t="n">
        <f aca="false">Source_Data!P$7+IF($B$405=1,IF(Source_Data!P$6=Inputs!$B$13,Source_Data!$C$8,0),Source_Data!P$8)</f>
        <v>115.25243625</v>
      </c>
      <c r="Q407" s="33" t="n">
        <f aca="false">Source_Data!Q$7+IF($B$405=1,IF(Source_Data!Q$6=Inputs!$B$13,Source_Data!$C$8,0),Source_Data!Q$8)</f>
        <v>124.8973425</v>
      </c>
      <c r="R407" s="33" t="n">
        <f aca="false">Source_Data!R$7+IF($B$405=1,IF(Source_Data!R$6=Inputs!$B$13,Source_Data!$C$8,0),Source_Data!R$8)</f>
        <v>683.0904675</v>
      </c>
      <c r="S407" s="33" t="n">
        <f aca="false">Source_Data!S$7+IF($B$405=1,IF(Source_Data!S$6=Inputs!$B$13,Source_Data!$C$8,0),Source_Data!S$8)</f>
        <v>171.6401925</v>
      </c>
      <c r="T407" s="33" t="n">
        <f aca="false">Source_Data!T$7+IF($B$405=1,IF(Source_Data!T$6=Inputs!$B$13,Source_Data!$C$8,0),Source_Data!T$8)</f>
        <v>112.5965925</v>
      </c>
      <c r="U407" s="33" t="n">
        <f aca="false">Source_Data!U$7+IF($B$405=1,IF(Source_Data!U$6=Inputs!$B$13,Source_Data!$C$8,0),Source_Data!U$8)</f>
        <v>89.3369925</v>
      </c>
      <c r="V407" s="33" t="n">
        <f aca="false">Source_Data!V$7+IF($B$405=1,IF(Source_Data!V$6=Inputs!$B$13,Source_Data!$C$8,0),Source_Data!V$8)</f>
        <v>87.5254275</v>
      </c>
      <c r="W407" s="33" t="n">
        <f aca="false">Source_Data!W$7+IF($B$405=1,IF(Source_Data!W$6=Inputs!$B$13,Source_Data!$C$8,0),Source_Data!W$8)</f>
        <v>85.7138625</v>
      </c>
      <c r="X407" s="33" t="n">
        <f aca="false">Source_Data!X$7+IF($B$405=1,IF(Source_Data!X$6=Inputs!$B$13,Source_Data!$C$8,0),Source_Data!X$8)</f>
        <v>77.279461875</v>
      </c>
      <c r="Y407" s="33" t="n">
        <f aca="false">Source_Data!Y$7+IF($B$405=1,IF(Source_Data!Y$6=Inputs!$B$13,Source_Data!$C$8,0),Source_Data!Y$8)</f>
        <v>70.15341375</v>
      </c>
      <c r="Z407" s="33" t="n">
        <f aca="false">Source_Data!Z$7+IF($B$405=1,IF(Source_Data!Z$6=Inputs!$B$13,Source_Data!$C$8,0),Source_Data!Z$8)</f>
        <v>61.33787625</v>
      </c>
      <c r="AA407" s="33" t="n">
        <f aca="false">Source_Data!AA$7+IF($B$405=1,IF(Source_Data!AA$6=Inputs!$B$13,Source_Data!$C$8,0),Source_Data!AA$8)</f>
        <v>51.04624875</v>
      </c>
      <c r="AB407" s="33" t="n">
        <f aca="false">Source_Data!AB$7+IF($B$405=1,IF(Source_Data!AB$6=Inputs!$B$13,Source_Data!$C$8,0),Source_Data!AB$8)</f>
        <v>51.04624875</v>
      </c>
      <c r="AC407" s="33" t="n">
        <f aca="false">Source_Data!AC$7+IF($B$405=1,IF(Source_Data!AC$6=Inputs!$B$13,Source_Data!$C$8,0),Source_Data!AC$8)</f>
        <v>51.04624875</v>
      </c>
      <c r="AD407" s="33" t="n">
        <f aca="false">Source_Data!AD$7+IF($B$405=1,IF(Source_Data!AD$6=Inputs!$B$13,Source_Data!$C$8,0),Source_Data!AD$8)</f>
        <v>51.04624875</v>
      </c>
      <c r="AE407" s="33" t="n">
        <f aca="false">Source_Data!AE$7+IF($B$405=1,IF(Source_Data!AE$6=Inputs!$B$13,Source_Data!$C$8,0),Source_Data!AE$8)</f>
        <v>51.04624875</v>
      </c>
      <c r="AF407" s="33" t="n">
        <f aca="false">Source_Data!AF$7+IF($B$405=1,IF(Source_Data!AF$6=Inputs!$B$13,Source_Data!$C$8,0),Source_Data!AF$8)</f>
        <v>43.931383125</v>
      </c>
      <c r="AG407" s="33" t="n">
        <f aca="false">Source_Data!AG$7+IF($B$405=1,IF(Source_Data!AG$6=Inputs!$B$13,Source_Data!$C$8,0),Source_Data!AG$8)</f>
        <v>36.8165175</v>
      </c>
      <c r="AH407" s="33" t="n">
        <f aca="false">Source_Data!AH$7+IF($B$405=1,IF(Source_Data!AH$6=Inputs!$B$13,Source_Data!$C$8,0),Source_Data!AH$8)</f>
        <v>32.958555</v>
      </c>
      <c r="AI407" s="33" t="n">
        <f aca="false">Source_Data!AI$7+IF($B$405=1,IF(Source_Data!AI$6=Inputs!$B$13,Source_Data!$C$8,0),Source_Data!AI$8)</f>
        <v>29.1005925</v>
      </c>
      <c r="AJ407" s="33" t="n">
        <f aca="false">Source_Data!AJ$7+IF($B$405=1,IF(Source_Data!AJ$6=Inputs!$B$13,Source_Data!$C$8,0),Source_Data!AJ$8)</f>
        <v>22.8831225</v>
      </c>
      <c r="AK407" s="33" t="n">
        <f aca="false">Source_Data!AK$7+IF($B$405=1,IF(Source_Data!AK$6=Inputs!$B$13,Source_Data!$C$8,0),Source_Data!AK$8)</f>
        <v>19.2823575</v>
      </c>
      <c r="AL407" s="33" t="n">
        <f aca="false">Source_Data!AL$7+IF($B$405=1,IF(Source_Data!AL$6=Inputs!$B$13,Source_Data!$C$8,0),Source_Data!AL$8)</f>
        <v>16.80357</v>
      </c>
      <c r="AM407" s="33" t="n">
        <f aca="false">Source_Data!AM$7+IF($B$405=1,IF(Source_Data!AM$6=Inputs!$B$13,Source_Data!$C$8,0),Source_Data!AM$8)</f>
        <v>7.24626</v>
      </c>
      <c r="AN407" s="33" t="n">
        <f aca="false">Source_Data!AN$7+IF($B$405=1,IF(Source_Data!AN$6=Inputs!$B$13,Source_Data!$C$8,0),Source_Data!AN$8)</f>
        <v>7.24626</v>
      </c>
      <c r="AO407" s="33" t="n">
        <f aca="false">Source_Data!AO$7+IF($B$405=1,IF(Source_Data!AO$6=Inputs!$B$13,Source_Data!$C$8,0),Source_Data!AO$8)</f>
        <v>7.24626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338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0</v>
      </c>
      <c r="I408" s="33" t="n">
        <f aca="false">$B$401*IF(Source_Data!I$5-($B$402+$B$404)&gt;=1,INDEX($D$407:$BK$407,1,Source_Data!I$5-($B$402+$B$404)),0)</f>
        <v>0</v>
      </c>
      <c r="J408" s="33" t="n">
        <f aca="false">$B$401*IF(Source_Data!J$5-($B$402+$B$404)&gt;=1,INDEX($D$407:$BK$407,1,Source_Data!J$5-($B$402+$B$404)),0)</f>
        <v>18.11565</v>
      </c>
      <c r="K408" s="33" t="n">
        <f aca="false">$B$401*IF(Source_Data!K$5-($B$402+$B$404)&gt;=1,INDEX($D$407:$BK$407,1,Source_Data!K$5-($B$402+$B$404)),0)</f>
        <v>36.2313</v>
      </c>
      <c r="L408" s="33" t="n">
        <f aca="false">$B$401*IF(Source_Data!L$5-($B$402+$B$404)&gt;=1,INDEX($D$407:$BK$407,1,Source_Data!L$5-($B$402+$B$404)),0)</f>
        <v>58.260825</v>
      </c>
      <c r="M408" s="33" t="n">
        <f aca="false">$B$401*IF(Source_Data!M$5-($B$402+$B$404)&gt;=1,INDEX($D$407:$BK$407,1,Source_Data!M$5-($B$402+$B$404)),0)</f>
        <v>69.01839</v>
      </c>
      <c r="N408" s="33" t="n">
        <f aca="false">$B$401*IF(Source_Data!N$5-($B$402+$B$404)&gt;=1,INDEX($D$407:$BK$407,1,Source_Data!N$5-($B$402+$B$404)),0)</f>
        <v>67.087545</v>
      </c>
      <c r="O408" s="33" t="n">
        <f aca="false">$B$401*IF(Source_Data!O$5-($B$402+$B$404)&gt;=1,INDEX($D$407:$BK$407,1,Source_Data!O$5-($B$402+$B$404)),0)</f>
        <v>72.9732675</v>
      </c>
      <c r="P408" s="33" t="n">
        <f aca="false">$B$401*IF(Source_Data!P$5-($B$402+$B$404)&gt;=1,INDEX($D$407:$BK$407,1,Source_Data!P$5-($B$402+$B$404)),0)</f>
        <v>88.871055</v>
      </c>
      <c r="Q408" s="33" t="n">
        <f aca="false">$B$401*IF(Source_Data!Q$5-($B$402+$B$404)&gt;=1,INDEX($D$407:$BK$407,1,Source_Data!Q$5-($B$402+$B$404)),0)</f>
        <v>105.60753</v>
      </c>
      <c r="R408" s="33" t="n">
        <f aca="false">$B$401*IF(Source_Data!R$5-($B$402+$B$404)&gt;=1,INDEX($D$407:$BK$407,1,Source_Data!R$5-($B$402+$B$404)),0)</f>
        <v>115.25243625</v>
      </c>
      <c r="S408" s="33" t="n">
        <f aca="false">$B$401*IF(Source_Data!S$5-($B$402+$B$404)&gt;=1,INDEX($D$407:$BK$407,1,Source_Data!S$5-($B$402+$B$404)),0)</f>
        <v>124.8973425</v>
      </c>
      <c r="T408" s="33" t="n">
        <f aca="false">$B$401*IF(Source_Data!T$5-($B$402+$B$404)&gt;=1,INDEX($D$407:$BK$407,1,Source_Data!T$5-($B$402+$B$404)),0)</f>
        <v>683.0904675</v>
      </c>
      <c r="U408" s="33" t="n">
        <f aca="false">$B$401*IF(Source_Data!U$5-($B$402+$B$404)&gt;=1,INDEX($D$407:$BK$407,1,Source_Data!U$5-($B$402+$B$404)),0)</f>
        <v>171.6401925</v>
      </c>
      <c r="V408" s="33" t="n">
        <f aca="false">$B$401*IF(Source_Data!V$5-($B$402+$B$404)&gt;=1,INDEX($D$407:$BK$407,1,Source_Data!V$5-($B$402+$B$404)),0)</f>
        <v>112.5965925</v>
      </c>
      <c r="W408" s="33" t="n">
        <f aca="false">$B$401*IF(Source_Data!W$5-($B$402+$B$404)&gt;=1,INDEX($D$407:$BK$407,1,Source_Data!W$5-($B$402+$B$404)),0)</f>
        <v>89.3369925</v>
      </c>
      <c r="X408" s="33" t="n">
        <f aca="false">$B$401*IF(Source_Data!X$5-($B$402+$B$404)&gt;=1,INDEX($D$407:$BK$407,1,Source_Data!X$5-($B$402+$B$404)),0)</f>
        <v>87.5254275</v>
      </c>
      <c r="Y408" s="33" t="n">
        <f aca="false">$B$401*IF(Source_Data!Y$5-($B$402+$B$404)&gt;=1,INDEX($D$407:$BK$407,1,Source_Data!Y$5-($B$402+$B$404)),0)</f>
        <v>85.7138625</v>
      </c>
      <c r="Z408" s="33" t="n">
        <f aca="false">$B$401*IF(Source_Data!Z$5-($B$402+$B$404)&gt;=1,INDEX($D$407:$BK$407,1,Source_Data!Z$5-($B$402+$B$404)),0)</f>
        <v>77.279461875</v>
      </c>
      <c r="AA408" s="33" t="n">
        <f aca="false">$B$401*IF(Source_Data!AA$5-($B$402+$B$404)&gt;=1,INDEX($D$407:$BK$407,1,Source_Data!AA$5-($B$402+$B$404)),0)</f>
        <v>70.15341375</v>
      </c>
      <c r="AB408" s="33" t="n">
        <f aca="false">$B$401*IF(Source_Data!AB$5-($B$402+$B$404)&gt;=1,INDEX($D$407:$BK$407,1,Source_Data!AB$5-($B$402+$B$404)),0)</f>
        <v>61.33787625</v>
      </c>
      <c r="AC408" s="33" t="n">
        <f aca="false">$B$401*IF(Source_Data!AC$5-($B$402+$B$404)&gt;=1,INDEX($D$407:$BK$407,1,Source_Data!AC$5-($B$402+$B$404)),0)</f>
        <v>51.04624875</v>
      </c>
      <c r="AD408" s="33" t="n">
        <f aca="false">$B$401*IF(Source_Data!AD$5-($B$402+$B$404)&gt;=1,INDEX($D$407:$BK$407,1,Source_Data!AD$5-($B$402+$B$404)),0)</f>
        <v>51.04624875</v>
      </c>
      <c r="AE408" s="33" t="n">
        <f aca="false">$B$401*IF(Source_Data!AE$5-($B$402+$B$404)&gt;=1,INDEX($D$407:$BK$407,1,Source_Data!AE$5-($B$402+$B$404)),0)</f>
        <v>51.04624875</v>
      </c>
      <c r="AF408" s="33" t="n">
        <f aca="false">$B$401*IF(Source_Data!AF$5-($B$402+$B$404)&gt;=1,INDEX($D$407:$BK$407,1,Source_Data!AF$5-($B$402+$B$404)),0)</f>
        <v>51.04624875</v>
      </c>
      <c r="AG408" s="33" t="n">
        <f aca="false">$B$401*IF(Source_Data!AG$5-($B$402+$B$404)&gt;=1,INDEX($D$407:$BK$407,1,Source_Data!AG$5-($B$402+$B$404)),0)</f>
        <v>51.04624875</v>
      </c>
      <c r="AH408" s="33" t="n">
        <f aca="false">$B$401*IF(Source_Data!AH$5-($B$402+$B$404)&gt;=1,INDEX($D$407:$BK$407,1,Source_Data!AH$5-($B$402+$B$404)),0)</f>
        <v>43.931383125</v>
      </c>
      <c r="AI408" s="33" t="n">
        <f aca="false">$B$401*IF(Source_Data!AI$5-($B$402+$B$404)&gt;=1,INDEX($D$407:$BK$407,1,Source_Data!AI$5-($B$402+$B$404)),0)</f>
        <v>36.8165175</v>
      </c>
      <c r="AJ408" s="33" t="n">
        <f aca="false">$B$401*IF(Source_Data!AJ$5-($B$402+$B$404)&gt;=1,INDEX($D$407:$BK$407,1,Source_Data!AJ$5-($B$402+$B$404)),0)</f>
        <v>32.958555</v>
      </c>
      <c r="AK408" s="33" t="n">
        <f aca="false">$B$401*IF(Source_Data!AK$5-($B$402+$B$404)&gt;=1,INDEX($D$407:$BK$407,1,Source_Data!AK$5-($B$402+$B$404)),0)</f>
        <v>29.1005925</v>
      </c>
      <c r="AL408" s="33" t="n">
        <f aca="false">$B$401*IF(Source_Data!AL$5-($B$402+$B$404)&gt;=1,INDEX($D$407:$BK$407,1,Source_Data!AL$5-($B$402+$B$404)),0)</f>
        <v>22.8831225</v>
      </c>
      <c r="AM408" s="33" t="n">
        <f aca="false">$B$401*IF(Source_Data!AM$5-($B$402+$B$404)&gt;=1,INDEX($D$407:$BK$407,1,Source_Data!AM$5-($B$402+$B$404)),0)</f>
        <v>19.2823575</v>
      </c>
      <c r="AN408" s="33" t="n">
        <f aca="false">$B$401*IF(Source_Data!AN$5-($B$402+$B$404)&gt;=1,INDEX($D$407:$BK$407,1,Source_Data!AN$5-($B$402+$B$404)),0)</f>
        <v>16.80357</v>
      </c>
      <c r="AO408" s="33" t="n">
        <f aca="false">$B$401*IF(Source_Data!AO$5-($B$402+$B$404)&gt;=1,INDEX($D$407:$BK$407,1,Source_Data!AO$5-($B$402+$B$404)),0)</f>
        <v>7.24626</v>
      </c>
      <c r="AP408" s="33" t="n">
        <f aca="false">$B$401*IF(Source_Data!AP$5-($B$402+$B$404)&gt;=1,INDEX($D$407:$BK$407,1,Source_Data!AP$5-($B$402+$B$404)),0)</f>
        <v>7.24626</v>
      </c>
      <c r="AQ408" s="33" t="n">
        <f aca="false">$B$401*IF(Source_Data!AQ$5-($B$402+$B$404)&gt;=1,INDEX($D$407:$BK$407,1,Source_Data!AQ$5-($B$402+$B$404)),0)</f>
        <v>7.24626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339</v>
      </c>
      <c r="D409" s="33" t="n">
        <f aca="false">Source_Data!D$9+Source_Data!D$10*IF(Source_Data!$C$10=0,0,MAX(0,Inputs!$B$19*Inputs!$B$22*$B$401-Inputs!$B$20)/Source_Data!$C$10)</f>
        <v>0</v>
      </c>
      <c r="E409" s="33" t="n">
        <f aca="false">Source_Data!E$9+Source_Data!E$10*IF(Source_Data!$C$10=0,0,MAX(0,Inputs!$B$19*Inputs!$B$22*$B$401-Inputs!$B$20)/Source_Data!$C$10)</f>
        <v>0</v>
      </c>
      <c r="F409" s="33" t="n">
        <f aca="false">Source_Data!F$9+Source_Data!F$10*IF(Source_Data!$C$10=0,0,MAX(0,Inputs!$B$19*Inputs!$B$22*$B$401-Inputs!$B$20)/Source_Data!$C$10)</f>
        <v>0</v>
      </c>
      <c r="G409" s="33" t="n">
        <f aca="false">Source_Data!G$9+Source_Data!G$10*IF(Source_Data!$C$10=0,0,MAX(0,Inputs!$B$19*Inputs!$B$22*$B$401-Inputs!$B$20)/Source_Data!$C$10)</f>
        <v>85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45</v>
      </c>
      <c r="M409" s="33" t="n">
        <f aca="false">Source_Data!M$9+Source_Data!M$10*IF(Source_Data!$C$10=0,0,MAX(0,Inputs!$B$19*Inputs!$B$22*$B$401-Inputs!$B$20)/Source_Data!$C$10)</f>
        <v>45</v>
      </c>
      <c r="N409" s="33" t="n">
        <f aca="false">Source_Data!N$9+Source_Data!N$10*IF(Source_Data!$C$10=0,0,MAX(0,Inputs!$B$19*Inputs!$B$22*$B$401-Inputs!$B$20)/Source_Data!$C$10)</f>
        <v>45</v>
      </c>
      <c r="O409" s="33" t="n">
        <f aca="false">Source_Data!O$9+Source_Data!O$10*IF(Source_Data!$C$10=0,0,MAX(0,Inputs!$B$19*Inputs!$B$22*$B$401-Inputs!$B$20)/Source_Data!$C$10)</f>
        <v>45</v>
      </c>
      <c r="P409" s="33" t="n">
        <f aca="false">Source_Data!P$9+Source_Data!P$10*IF(Source_Data!$C$10=0,0,MAX(0,Inputs!$B$19*Inputs!$B$22*$B$401-Inputs!$B$20)/Source_Data!$C$10)</f>
        <v>56.25</v>
      </c>
      <c r="Q409" s="33" t="n">
        <f aca="false">Source_Data!Q$9+Source_Data!Q$10*IF(Source_Data!$C$10=0,0,MAX(0,Inputs!$B$19*Inputs!$B$22*$B$401-Inputs!$B$20)/Source_Data!$C$10)</f>
        <v>56.25</v>
      </c>
      <c r="R409" s="33" t="n">
        <f aca="false">Source_Data!R$9+Source_Data!R$10*IF(Source_Data!$C$10=0,0,MAX(0,Inputs!$B$19*Inputs!$B$22*$B$401-Inputs!$B$20)/Source_Data!$C$10)</f>
        <v>56.25</v>
      </c>
      <c r="S409" s="33" t="n">
        <f aca="false">Source_Data!S$9+Source_Data!S$10*IF(Source_Data!$C$10=0,0,MAX(0,Inputs!$B$19*Inputs!$B$22*$B$401-Inputs!$B$20)/Source_Data!$C$10)</f>
        <v>56.25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241.1916115625</v>
      </c>
      <c r="AG409" s="33" t="n">
        <f aca="false">Source_Data!AG$9+Source_Data!AG$10*IF(Source_Data!$C$10=0,0,MAX(0,Inputs!$B$19*Inputs!$B$22*$B$401-Inputs!$B$20)/Source_Data!$C$10)</f>
        <v>16.10722640625</v>
      </c>
      <c r="AH409" s="33" t="n">
        <f aca="false">Source_Data!AH$9+Source_Data!AH$10*IF(Source_Data!$C$10=0,0,MAX(0,Inputs!$B$19*Inputs!$B$22*$B$401-Inputs!$B$20)/Source_Data!$C$10)</f>
        <v>14.4193678125</v>
      </c>
      <c r="AI409" s="33" t="n">
        <f aca="false">Source_Data!AI$9+Source_Data!AI$10*IF(Source_Data!$C$10=0,0,MAX(0,Inputs!$B$19*Inputs!$B$22*$B$401-Inputs!$B$20)/Source_Data!$C$10)</f>
        <v>12.73150921875</v>
      </c>
      <c r="AJ409" s="33" t="n">
        <f aca="false">Source_Data!AJ$9+Source_Data!AJ$10*IF(Source_Data!$C$10=0,0,MAX(0,Inputs!$B$19*Inputs!$B$22*$B$401-Inputs!$B$20)/Source_Data!$C$10)</f>
        <v>10.01136609375</v>
      </c>
      <c r="AK409" s="33" t="n">
        <f aca="false">Source_Data!AK$9+Source_Data!AK$10*IF(Source_Data!$C$10=0,0,MAX(0,Inputs!$B$19*Inputs!$B$22*$B$401-Inputs!$B$20)/Source_Data!$C$10)</f>
        <v>8.43603140625001</v>
      </c>
      <c r="AL409" s="33" t="n">
        <f aca="false">Source_Data!AL$9+Source_Data!AL$10*IF(Source_Data!$C$10=0,0,MAX(0,Inputs!$B$19*Inputs!$B$22*$B$401-Inputs!$B$20)/Source_Data!$C$10)</f>
        <v>7.35156187500001</v>
      </c>
      <c r="AM409" s="33" t="n">
        <f aca="false">Source_Data!AM$9+Source_Data!AM$10*IF(Source_Data!$C$10=0,0,MAX(0,Inputs!$B$19*Inputs!$B$22*$B$401-Inputs!$B$20)/Source_Data!$C$10)</f>
        <v>3.17023875000001</v>
      </c>
      <c r="AN409" s="33" t="n">
        <f aca="false">Source_Data!AN$9+Source_Data!AN$10*IF(Source_Data!$C$10=0,0,MAX(0,Inputs!$B$19*Inputs!$B$22*$B$401-Inputs!$B$20)/Source_Data!$C$10)</f>
        <v>3.17023875000001</v>
      </c>
      <c r="AO409" s="33" t="n">
        <f aca="false">Source_Data!AO$9+Source_Data!AO$10*IF(Source_Data!$C$10=0,0,MAX(0,Inputs!$B$19*Inputs!$B$22*$B$401-Inputs!$B$20)/Source_Data!$C$10)</f>
        <v>3.17023875000001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194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0</v>
      </c>
      <c r="I410" s="33" t="n">
        <f aca="false">Source_Data!I$11*$B$403</f>
        <v>0</v>
      </c>
      <c r="J410" s="33" t="n">
        <f aca="false">Source_Data!J$11*$B$403</f>
        <v>20</v>
      </c>
      <c r="K410" s="33" t="n">
        <f aca="false">Source_Data!K$11*$B$403</f>
        <v>26.4</v>
      </c>
      <c r="L410" s="33" t="n">
        <f aca="false">Source_Data!L$11*$B$403</f>
        <v>40</v>
      </c>
      <c r="M410" s="33" t="n">
        <f aca="false">Source_Data!M$11*$B$403</f>
        <v>26.4</v>
      </c>
      <c r="N410" s="33" t="n">
        <f aca="false">Source_Data!N$11*$B$403</f>
        <v>26.4</v>
      </c>
      <c r="O410" s="33" t="n">
        <f aca="false">Source_Data!O$11*$B$403</f>
        <v>26.4</v>
      </c>
      <c r="P410" s="33" t="n">
        <f aca="false">Source_Data!P$11*$B$403</f>
        <v>5.28</v>
      </c>
      <c r="Q410" s="33" t="n">
        <f aca="false">Source_Data!Q$11*$B$403</f>
        <v>5.28</v>
      </c>
      <c r="R410" s="33" t="n">
        <f aca="false">Source_Data!R$11*$B$403</f>
        <v>120</v>
      </c>
      <c r="S410" s="33" t="n">
        <f aca="false">Source_Data!S$11*$B$403</f>
        <v>120</v>
      </c>
      <c r="T410" s="33" t="n">
        <f aca="false">Source_Data!T$11*$B$403</f>
        <v>164</v>
      </c>
      <c r="U410" s="33" t="n">
        <f aca="false">Source_Data!U$11*$B$403</f>
        <v>117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196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0</v>
      </c>
      <c r="K411" s="33" t="n">
        <f aca="false">$B$401*IF(Source_Data!K$5-$B$402&gt;=1,INDEX(Source_Data!$D$12:$BK$12,1,Source_Data!K$5-$B$402),0)</f>
        <v>0</v>
      </c>
      <c r="L411" s="33" t="n">
        <f aca="false">$B$401*IF(Source_Data!L$5-$B$402&gt;=1,INDEX(Source_Data!$D$12:$BK$12,1,Source_Data!L$5-$B$402),0)</f>
        <v>14.49252</v>
      </c>
      <c r="M411" s="33" t="n">
        <f aca="false">$B$401*IF(Source_Data!M$5-$B$402&gt;=1,INDEX(Source_Data!$D$12:$BK$12,1,Source_Data!M$5-$B$402),0)</f>
        <v>14.49252</v>
      </c>
      <c r="N411" s="33" t="n">
        <f aca="false">$B$401*IF(Source_Data!N$5-$B$402&gt;=1,INDEX(Source_Data!$D$12:$BK$12,1,Source_Data!N$5-$B$402),0)</f>
        <v>12.43494</v>
      </c>
      <c r="O411" s="33" t="n">
        <f aca="false">$B$401*IF(Source_Data!O$5-$B$402&gt;=1,INDEX(Source_Data!$D$12:$BK$12,1,Source_Data!O$5-$B$402),0)</f>
        <v>7.20153</v>
      </c>
      <c r="P411" s="33" t="n">
        <f aca="false">$B$401*IF(Source_Data!P$5-$B$402&gt;=1,INDEX(Source_Data!$D$12:$BK$12,1,Source_Data!P$5-$B$402),0)</f>
        <v>7.93212</v>
      </c>
      <c r="Q411" s="33" t="n">
        <f aca="false">$B$401*IF(Source_Data!Q$5-$B$402&gt;=1,INDEX(Source_Data!$D$12:$BK$12,1,Source_Data!Q$5-$B$402),0)</f>
        <v>7.39536</v>
      </c>
      <c r="R411" s="33" t="n">
        <f aca="false">$B$401*IF(Source_Data!R$5-$B$402&gt;=1,INDEX(Source_Data!$D$12:$BK$12,1,Source_Data!R$5-$B$402),0)</f>
        <v>7.54446</v>
      </c>
      <c r="S411" s="33" t="n">
        <f aca="false">$B$401*IF(Source_Data!S$5-$B$402&gt;=1,INDEX(Source_Data!$D$12:$BK$12,1,Source_Data!S$5-$B$402),0)</f>
        <v>7.54446</v>
      </c>
      <c r="T411" s="33" t="n">
        <f aca="false">$B$401*IF(Source_Data!T$5-$B$402&gt;=1,INDEX(Source_Data!$D$12:$BK$12,1,Source_Data!T$5-$B$402),0)</f>
        <v>8.23032</v>
      </c>
      <c r="U411" s="33" t="n">
        <f aca="false">$B$401*IF(Source_Data!U$5-$B$402&gt;=1,INDEX(Source_Data!$D$12:$BK$12,1,Source_Data!U$5-$B$402),0)</f>
        <v>8.23032</v>
      </c>
      <c r="V411" s="33" t="n">
        <f aca="false">$B$401*IF(Source_Data!V$5-$B$402&gt;=1,INDEX(Source_Data!$D$12:$BK$12,1,Source_Data!V$5-$B$402),0)</f>
        <v>5.72544</v>
      </c>
      <c r="W411" s="33" t="n">
        <f aca="false">$B$401*IF(Source_Data!W$5-$B$402&gt;=1,INDEX(Source_Data!$D$12:$BK$12,1,Source_Data!W$5-$B$402),0)</f>
        <v>5.72544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215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0</v>
      </c>
      <c r="I412" s="33" t="n">
        <f aca="false">Source_Data!I$13*$B$403</f>
        <v>0</v>
      </c>
      <c r="J412" s="33" t="n">
        <f aca="false">Source_Data!J$13*$B$403</f>
        <v>3</v>
      </c>
      <c r="K412" s="33" t="n">
        <f aca="false">Source_Data!K$13*$B$403</f>
        <v>3.96</v>
      </c>
      <c r="L412" s="33" t="n">
        <f aca="false">Source_Data!L$13*$B$403</f>
        <v>6</v>
      </c>
      <c r="M412" s="33" t="n">
        <f aca="false">Source_Data!M$13*$B$403</f>
        <v>3.96</v>
      </c>
      <c r="N412" s="33" t="n">
        <f aca="false">Source_Data!N$13*$B$403</f>
        <v>3.96</v>
      </c>
      <c r="O412" s="33" t="n">
        <f aca="false">Source_Data!O$13*$B$403</f>
        <v>3.96</v>
      </c>
      <c r="P412" s="33" t="n">
        <f aca="false">Source_Data!P$13*$B$403</f>
        <v>0.792</v>
      </c>
      <c r="Q412" s="33" t="n">
        <f aca="false">Source_Data!Q$13*$B$403</f>
        <v>0.792</v>
      </c>
      <c r="R412" s="33" t="n">
        <f aca="false">Source_Data!R$13*$B$403</f>
        <v>18</v>
      </c>
      <c r="S412" s="33" t="n">
        <f aca="false">Source_Data!S$13*$B$403</f>
        <v>18</v>
      </c>
      <c r="T412" s="33" t="n">
        <f aca="false">Source_Data!T$13*$B$403</f>
        <v>24.6</v>
      </c>
      <c r="U412" s="33" t="n">
        <f aca="false">Source_Data!U$13*$B$403</f>
        <v>17.55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216</v>
      </c>
      <c r="D413" s="33" t="n">
        <f aca="false">D408-D409-D410-D411-D412</f>
        <v>0</v>
      </c>
      <c r="E413" s="33" t="n">
        <f aca="false">E408-E409-E410-E411-E412</f>
        <v>0</v>
      </c>
      <c r="F413" s="33" t="n">
        <f aca="false">F408-F409-F410-F411-F412</f>
        <v>0</v>
      </c>
      <c r="G413" s="33" t="n">
        <f aca="false">G408-G409-G410-G411-G412</f>
        <v>-85</v>
      </c>
      <c r="H413" s="33" t="n">
        <f aca="false">H408-H409-H410-H411-H412</f>
        <v>-22.5</v>
      </c>
      <c r="I413" s="33" t="n">
        <f aca="false">I408-I409-I410-I411-I412</f>
        <v>-22.5</v>
      </c>
      <c r="J413" s="33" t="n">
        <f aca="false">J408-J409-J410-J411-J412</f>
        <v>-27.38435</v>
      </c>
      <c r="K413" s="33" t="n">
        <f aca="false">K408-K409-K410-K411-K412</f>
        <v>-16.6287</v>
      </c>
      <c r="L413" s="33" t="n">
        <f aca="false">L408-L409-L410-L411-L412</f>
        <v>-47.231695</v>
      </c>
      <c r="M413" s="33" t="n">
        <f aca="false">M408-M409-M410-M411-M412</f>
        <v>-20.83413</v>
      </c>
      <c r="N413" s="33" t="n">
        <f aca="false">N408-N409-N410-N411-N412</f>
        <v>-20.707395</v>
      </c>
      <c r="O413" s="33" t="n">
        <f aca="false">O408-O409-O410-O411-O412</f>
        <v>-9.58826249999999</v>
      </c>
      <c r="P413" s="33" t="n">
        <f aca="false">P408-P409-P410-P411-P412</f>
        <v>18.616935</v>
      </c>
      <c r="Q413" s="33" t="n">
        <f aca="false">Q408-Q409-Q410-Q411-Q412</f>
        <v>35.89017</v>
      </c>
      <c r="R413" s="33" t="n">
        <f aca="false">R408-R409-R410-R411-R412</f>
        <v>-86.54202375</v>
      </c>
      <c r="S413" s="33" t="n">
        <f aca="false">S408-S409-S410-S411-S412</f>
        <v>-76.8971175</v>
      </c>
      <c r="T413" s="33" t="n">
        <f aca="false">T408-T409-T410-T411-T412</f>
        <v>441.2601475</v>
      </c>
      <c r="U413" s="33" t="n">
        <f aca="false">U408-U409-U410-U411-U412</f>
        <v>-16.1401275</v>
      </c>
      <c r="V413" s="33" t="n">
        <f aca="false">V408-V409-V410-V411-V412</f>
        <v>61.8711524999999</v>
      </c>
      <c r="W413" s="33" t="n">
        <f aca="false">W408-W409-W410-W411-W412</f>
        <v>38.6115525</v>
      </c>
      <c r="X413" s="33" t="n">
        <f aca="false">X408-X409-X410-X411-X412</f>
        <v>65.0254275</v>
      </c>
      <c r="Y413" s="33" t="n">
        <f aca="false">Y408-Y409-Y410-Y411-Y412</f>
        <v>63.2138625</v>
      </c>
      <c r="Z413" s="33" t="n">
        <f aca="false">Z408-Z409-Z410-Z411-Z412</f>
        <v>54.779461875</v>
      </c>
      <c r="AA413" s="33" t="n">
        <f aca="false">AA408-AA409-AA410-AA411-AA412</f>
        <v>47.65341375</v>
      </c>
      <c r="AB413" s="33" t="n">
        <f aca="false">AB408-AB409-AB410-AB411-AB412</f>
        <v>61.33787625</v>
      </c>
      <c r="AC413" s="33" t="n">
        <f aca="false">AC408-AC409-AC410-AC411-AC412</f>
        <v>51.04624875</v>
      </c>
      <c r="AD413" s="33" t="n">
        <f aca="false">AD408-AD409-AD410-AD411-AD412</f>
        <v>51.04624875</v>
      </c>
      <c r="AE413" s="33" t="n">
        <f aca="false">AE408-AE409-AE410-AE411-AE412</f>
        <v>51.04624875</v>
      </c>
      <c r="AF413" s="33" t="n">
        <f aca="false">AF408-AF409-AF410-AF411-AF412</f>
        <v>-190.1453628125</v>
      </c>
      <c r="AG413" s="33" t="n">
        <f aca="false">AG408-AG409-AG410-AG411-AG412</f>
        <v>34.93902234375</v>
      </c>
      <c r="AH413" s="33" t="n">
        <f aca="false">AH408-AH409-AH410-AH411-AH412</f>
        <v>29.5120153125</v>
      </c>
      <c r="AI413" s="33" t="n">
        <f aca="false">AI408-AI409-AI410-AI411-AI412</f>
        <v>24.08500828125</v>
      </c>
      <c r="AJ413" s="33" t="n">
        <f aca="false">AJ408-AJ409-AJ410-AJ411-AJ412</f>
        <v>22.94718890625</v>
      </c>
      <c r="AK413" s="33" t="n">
        <f aca="false">AK408-AK409-AK410-AK411-AK412</f>
        <v>20.66456109375</v>
      </c>
      <c r="AL413" s="33" t="n">
        <f aca="false">AL408-AL409-AL410-AL411-AL412</f>
        <v>15.531560625</v>
      </c>
      <c r="AM413" s="33" t="n">
        <f aca="false">AM408-AM409-AM410-AM411-AM412</f>
        <v>16.11211875</v>
      </c>
      <c r="AN413" s="33" t="n">
        <f aca="false">AN408-AN409-AN410-AN411-AN412</f>
        <v>13.63333125</v>
      </c>
      <c r="AO413" s="33" t="n">
        <f aca="false">AO408-AO409-AO410-AO411-AO412</f>
        <v>4.07602125</v>
      </c>
      <c r="AP413" s="33" t="n">
        <f aca="false">AP408-AP409-AP410-AP411-AP412</f>
        <v>7.24626</v>
      </c>
      <c r="AQ413" s="33" t="n">
        <f aca="false">AQ408-AQ409-AQ410-AQ411-AQ412</f>
        <v>7.24626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217</v>
      </c>
      <c r="D414" s="33" t="n">
        <f aca="false">D413</f>
        <v>0</v>
      </c>
      <c r="E414" s="33" t="n">
        <f aca="false">D414+E413</f>
        <v>0</v>
      </c>
      <c r="F414" s="33" t="n">
        <f aca="false">E414+F413</f>
        <v>0</v>
      </c>
      <c r="G414" s="33" t="n">
        <f aca="false">F414+G413</f>
        <v>-85</v>
      </c>
      <c r="H414" s="33" t="n">
        <f aca="false">G414+H413</f>
        <v>-107.5</v>
      </c>
      <c r="I414" s="33" t="n">
        <f aca="false">H414+I413</f>
        <v>-130</v>
      </c>
      <c r="J414" s="33" t="n">
        <f aca="false">I414+J413</f>
        <v>-157.38435</v>
      </c>
      <c r="K414" s="33" t="n">
        <f aca="false">J414+K413</f>
        <v>-174.01305</v>
      </c>
      <c r="L414" s="33" t="n">
        <f aca="false">K414+L413</f>
        <v>-221.244745</v>
      </c>
      <c r="M414" s="33" t="n">
        <f aca="false">L414+M413</f>
        <v>-242.078875</v>
      </c>
      <c r="N414" s="33" t="n">
        <f aca="false">M414+N413</f>
        <v>-262.78627</v>
      </c>
      <c r="O414" s="33" t="n">
        <f aca="false">N414+O413</f>
        <v>-272.3745325</v>
      </c>
      <c r="P414" s="33" t="n">
        <f aca="false">O414+P413</f>
        <v>-253.7575975</v>
      </c>
      <c r="Q414" s="33" t="n">
        <f aca="false">P414+Q413</f>
        <v>-217.8674275</v>
      </c>
      <c r="R414" s="33" t="n">
        <f aca="false">Q414+R413</f>
        <v>-304.40945125</v>
      </c>
      <c r="S414" s="33" t="n">
        <f aca="false">R414+S413</f>
        <v>-381.30656875</v>
      </c>
      <c r="T414" s="33" t="n">
        <f aca="false">S414+T413</f>
        <v>59.9535787499998</v>
      </c>
      <c r="U414" s="33" t="n">
        <f aca="false">T414+U413</f>
        <v>43.8134512499998</v>
      </c>
      <c r="V414" s="33" t="n">
        <f aca="false">U414+V413</f>
        <v>105.68460375</v>
      </c>
      <c r="W414" s="33" t="n">
        <f aca="false">V414+W413</f>
        <v>144.29615625</v>
      </c>
      <c r="X414" s="33" t="n">
        <f aca="false">W414+X413</f>
        <v>209.32158375</v>
      </c>
      <c r="Y414" s="33" t="n">
        <f aca="false">X414+Y413</f>
        <v>272.53544625</v>
      </c>
      <c r="Z414" s="33" t="n">
        <f aca="false">Y414+Z413</f>
        <v>327.314908125</v>
      </c>
      <c r="AA414" s="33" t="n">
        <f aca="false">Z414+AA413</f>
        <v>374.968321875</v>
      </c>
      <c r="AB414" s="33" t="n">
        <f aca="false">AA414+AB413</f>
        <v>436.306198125</v>
      </c>
      <c r="AC414" s="33" t="n">
        <f aca="false">AB414+AC413</f>
        <v>487.352446875</v>
      </c>
      <c r="AD414" s="33" t="n">
        <f aca="false">AC414+AD413</f>
        <v>538.398695625</v>
      </c>
      <c r="AE414" s="33" t="n">
        <f aca="false">AD414+AE413</f>
        <v>589.444944375</v>
      </c>
      <c r="AF414" s="33" t="n">
        <f aca="false">AE414+AF413</f>
        <v>399.2995815625</v>
      </c>
      <c r="AG414" s="33" t="n">
        <f aca="false">AF414+AG413</f>
        <v>434.23860390625</v>
      </c>
      <c r="AH414" s="33" t="n">
        <f aca="false">AG414+AH413</f>
        <v>463.75061921875</v>
      </c>
      <c r="AI414" s="33" t="n">
        <f aca="false">AH414+AI413</f>
        <v>487.8356275</v>
      </c>
      <c r="AJ414" s="33" t="n">
        <f aca="false">AI414+AJ413</f>
        <v>510.78281640625</v>
      </c>
      <c r="AK414" s="33" t="n">
        <f aca="false">AJ414+AK413</f>
        <v>531.4473775</v>
      </c>
      <c r="AL414" s="33" t="n">
        <f aca="false">AK414+AL413</f>
        <v>546.978938125</v>
      </c>
      <c r="AM414" s="33" t="n">
        <f aca="false">AL414+AM413</f>
        <v>563.091056875</v>
      </c>
      <c r="AN414" s="33" t="n">
        <f aca="false">AM414+AN413</f>
        <v>576.724388125</v>
      </c>
      <c r="AO414" s="33" t="n">
        <f aca="false">AN414+AO413</f>
        <v>580.800409375</v>
      </c>
      <c r="AP414" s="33" t="n">
        <f aca="false">AO414+AP413</f>
        <v>588.046669375</v>
      </c>
      <c r="AQ414" s="33" t="n">
        <f aca="false">AP414+AQ413</f>
        <v>595.292929375</v>
      </c>
      <c r="AR414" s="33" t="n">
        <f aca="false">AQ414+AR413</f>
        <v>595.292929375</v>
      </c>
      <c r="AS414" s="33" t="n">
        <f aca="false">AR414+AS413</f>
        <v>595.292929375</v>
      </c>
      <c r="AT414" s="33" t="n">
        <f aca="false">AS414+AT413</f>
        <v>595.292929375</v>
      </c>
      <c r="AU414" s="33" t="n">
        <f aca="false">AT414+AU413</f>
        <v>595.292929375</v>
      </c>
      <c r="AV414" s="33" t="n">
        <f aca="false">AU414+AV413</f>
        <v>595.292929375</v>
      </c>
      <c r="AW414" s="33" t="n">
        <f aca="false">AV414+AW413</f>
        <v>595.292929375</v>
      </c>
      <c r="AX414" s="33" t="n">
        <f aca="false">AW414+AX413</f>
        <v>595.292929375</v>
      </c>
      <c r="AY414" s="33" t="n">
        <f aca="false">AX414+AY413</f>
        <v>595.292929375</v>
      </c>
      <c r="AZ414" s="33" t="n">
        <f aca="false">AY414+AZ413</f>
        <v>595.292929375</v>
      </c>
      <c r="BA414" s="33" t="n">
        <f aca="false">AZ414+BA413</f>
        <v>595.292929375</v>
      </c>
      <c r="BB414" s="33" t="n">
        <f aca="false">BA414+BB413</f>
        <v>595.292929375</v>
      </c>
      <c r="BC414" s="33" t="n">
        <f aca="false">BB414+BC413</f>
        <v>595.292929375</v>
      </c>
      <c r="BD414" s="33" t="n">
        <f aca="false">BC414+BD413</f>
        <v>595.292929375</v>
      </c>
      <c r="BE414" s="33" t="n">
        <f aca="false">BD414+BE413</f>
        <v>595.292929375</v>
      </c>
      <c r="BF414" s="33" t="n">
        <f aca="false">BE414+BF413</f>
        <v>595.292929375</v>
      </c>
      <c r="BG414" s="33" t="n">
        <f aca="false">BF414+BG413</f>
        <v>595.292929375</v>
      </c>
      <c r="BH414" s="33" t="n">
        <f aca="false">BG414+BH413</f>
        <v>595.292929375</v>
      </c>
      <c r="BI414" s="33" t="n">
        <f aca="false">BH414+BI413</f>
        <v>595.292929375</v>
      </c>
      <c r="BJ414" s="33" t="n">
        <f aca="false">BI414+BJ413</f>
        <v>595.292929375</v>
      </c>
      <c r="BK414" s="33" t="n">
        <f aca="false">BJ414+BK413</f>
        <v>595.292929375</v>
      </c>
    </row>
    <row r="415" customFormat="false" ht="15" hidden="false" customHeight="false" outlineLevel="0" collapsed="false">
      <c r="A415" s="3" t="s">
        <v>340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-50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0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0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35.9259259259259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35.9259259259259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35.9259259259259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35.9259259259259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341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0</v>
      </c>
      <c r="N416" s="33" t="n">
        <f aca="false">IF(AND(Source_Data!N$6&gt;=Inputs!$B$54,Source_Data!N$6&lt;Inputs!$B$54+3*Inputs!$B$11),Inputs!$B$9*Inputs!$B$7/Inputs!$B$11,0)</f>
        <v>0</v>
      </c>
      <c r="O416" s="33" t="n">
        <f aca="false">IF(AND(Source_Data!O$6&gt;=Inputs!$B$54,Source_Data!O$6&lt;Inputs!$B$54+3*Inputs!$B$11),Inputs!$B$9*Inputs!$B$7/Inputs!$B$11,0)</f>
        <v>0</v>
      </c>
      <c r="P416" s="33" t="n">
        <f aca="false">IF(AND(Source_Data!P$6&gt;=Inputs!$B$54,Source_Data!P$6&lt;Inputs!$B$54+3*Inputs!$B$11),Inputs!$B$9*Inputs!$B$7/Inputs!$B$11,0)</f>
        <v>9.58333333333333</v>
      </c>
      <c r="Q416" s="33" t="n">
        <f aca="false">IF(AND(Source_Data!Q$6&gt;=Inputs!$B$54,Source_Data!Q$6&lt;Inputs!$B$54+3*Inputs!$B$11),Inputs!$B$9*Inputs!$B$7/Inputs!$B$11,0)</f>
        <v>9.58333333333333</v>
      </c>
      <c r="R416" s="33" t="n">
        <f aca="false">IF(AND(Source_Data!R$6&gt;=Inputs!$B$54,Source_Data!R$6&lt;Inputs!$B$54+3*Inputs!$B$11),Inputs!$B$9*Inputs!$B$7/Inputs!$B$11,0)</f>
        <v>9.58333333333333</v>
      </c>
      <c r="S416" s="33" t="n">
        <f aca="false">IF(AND(Source_Data!S$6&gt;=Inputs!$B$54,Source_Data!S$6&lt;Inputs!$B$54+3*Inputs!$B$11),Inputs!$B$9*Inputs!$B$7/Inputs!$B$11,0)</f>
        <v>9.58333333333333</v>
      </c>
      <c r="T416" s="33" t="n">
        <f aca="false">IF(AND(Source_Data!T$6&gt;=Inputs!$B$54,Source_Data!T$6&lt;Inputs!$B$54+3*Inputs!$B$11),Inputs!$B$9*Inputs!$B$7/Inputs!$B$11,0)</f>
        <v>9.58333333333333</v>
      </c>
      <c r="U416" s="33" t="n">
        <f aca="false">IF(AND(Source_Data!U$6&gt;=Inputs!$B$54,Source_Data!U$6&lt;Inputs!$B$54+3*Inputs!$B$11),Inputs!$B$9*Inputs!$B$7/Inputs!$B$11,0)</f>
        <v>9.58333333333333</v>
      </c>
      <c r="V416" s="33" t="n">
        <f aca="false">IF(AND(Source_Data!V$6&gt;=Inputs!$B$54,Source_Data!V$6&lt;Inputs!$B$54+3*Inputs!$B$11),Inputs!$B$9*Inputs!$B$7/Inputs!$B$11,0)</f>
        <v>9.58333333333333</v>
      </c>
      <c r="W416" s="33" t="n">
        <f aca="false">IF(AND(Source_Data!W$6&gt;=Inputs!$B$54,Source_Data!W$6&lt;Inputs!$B$54+3*Inputs!$B$11),Inputs!$B$9*Inputs!$B$7/Inputs!$B$11,0)</f>
        <v>9.58333333333333</v>
      </c>
      <c r="X416" s="33" t="n">
        <f aca="false">IF(AND(Source_Data!X$6&gt;=Inputs!$B$54,Source_Data!X$6&lt;Inputs!$B$54+3*Inputs!$B$11),Inputs!$B$9*Inputs!$B$7/Inputs!$B$11,0)</f>
        <v>9.58333333333333</v>
      </c>
      <c r="Y416" s="33" t="n">
        <f aca="false">IF(AND(Source_Data!Y$6&gt;=Inputs!$B$54,Source_Data!Y$6&lt;Inputs!$B$54+3*Inputs!$B$11),Inputs!$B$9*Inputs!$B$7/Inputs!$B$11,0)</f>
        <v>9.58333333333333</v>
      </c>
      <c r="Z416" s="33" t="n">
        <f aca="false">IF(AND(Source_Data!Z$6&gt;=Inputs!$B$54,Source_Data!Z$6&lt;Inputs!$B$54+3*Inputs!$B$11),Inputs!$B$9*Inputs!$B$7/Inputs!$B$11,0)</f>
        <v>9.58333333333333</v>
      </c>
      <c r="AA416" s="33" t="n">
        <f aca="false">IF(AND(Source_Data!AA$6&gt;=Inputs!$B$54,Source_Data!AA$6&lt;Inputs!$B$54+3*Inputs!$B$11),Inputs!$B$9*Inputs!$B$7/Inputs!$B$11,0)</f>
        <v>9.58333333333333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342</v>
      </c>
      <c r="D417" s="33" t="n">
        <f aca="false">IF(Source_Data!D$6=Inputs!$B$12,-Inputs!$B$7,0)+D416</f>
        <v>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-50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0</v>
      </c>
      <c r="N417" s="33" t="n">
        <f aca="false">IF(Source_Data!N$6=Inputs!$B$12,-Inputs!$B$7,0)+N416</f>
        <v>0</v>
      </c>
      <c r="O417" s="33" t="n">
        <f aca="false">IF(Source_Data!O$6=Inputs!$B$12,-Inputs!$B$7,0)+O416</f>
        <v>0</v>
      </c>
      <c r="P417" s="33" t="n">
        <f aca="false">IF(Source_Data!P$6=Inputs!$B$12,-Inputs!$B$7,0)+P416</f>
        <v>9.58333333333333</v>
      </c>
      <c r="Q417" s="33" t="n">
        <f aca="false">IF(Source_Data!Q$6=Inputs!$B$12,-Inputs!$B$7,0)+Q416</f>
        <v>9.58333333333333</v>
      </c>
      <c r="R417" s="33" t="n">
        <f aca="false">IF(Source_Data!R$6=Inputs!$B$12,-Inputs!$B$7,0)+R416</f>
        <v>9.58333333333333</v>
      </c>
      <c r="S417" s="33" t="n">
        <f aca="false">IF(Source_Data!S$6=Inputs!$B$12,-Inputs!$B$7,0)+S416</f>
        <v>9.58333333333333</v>
      </c>
      <c r="T417" s="33" t="n">
        <f aca="false">IF(Source_Data!T$6=Inputs!$B$12,-Inputs!$B$7,0)+T416</f>
        <v>9.58333333333333</v>
      </c>
      <c r="U417" s="33" t="n">
        <f aca="false">IF(Source_Data!U$6=Inputs!$B$12,-Inputs!$B$7,0)+U416</f>
        <v>9.58333333333333</v>
      </c>
      <c r="V417" s="33" t="n">
        <f aca="false">IF(Source_Data!V$6=Inputs!$B$12,-Inputs!$B$7,0)+V416</f>
        <v>9.58333333333333</v>
      </c>
      <c r="W417" s="33" t="n">
        <f aca="false">IF(Source_Data!W$6=Inputs!$B$12,-Inputs!$B$7,0)+W416</f>
        <v>9.58333333333333</v>
      </c>
      <c r="X417" s="33" t="n">
        <f aca="false">IF(Source_Data!X$6=Inputs!$B$12,-Inputs!$B$7,0)+X416</f>
        <v>9.58333333333333</v>
      </c>
      <c r="Y417" s="33" t="n">
        <f aca="false">IF(Source_Data!Y$6=Inputs!$B$12,-Inputs!$B$7,0)+Y416</f>
        <v>9.58333333333333</v>
      </c>
      <c r="Z417" s="33" t="n">
        <f aca="false">IF(Source_Data!Z$6=Inputs!$B$12,-Inputs!$B$7,0)+Z416</f>
        <v>9.58333333333333</v>
      </c>
      <c r="AA417" s="33" t="n">
        <f aca="false">IF(Source_Data!AA$6=Inputs!$B$12,-Inputs!$B$7,0)+AA416</f>
        <v>9.58333333333333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343</v>
      </c>
      <c r="D418" s="33" t="n">
        <f aca="false">IF(Source_Data!D$6=Inputs!$B$12,Inputs!$B$7,0)+D413-D416</f>
        <v>0</v>
      </c>
      <c r="E418" s="33" t="n">
        <f aca="false">D418+IF(Source_Data!E$6=Inputs!$B$12,Inputs!$B$7,0)+E413-E416</f>
        <v>0</v>
      </c>
      <c r="F418" s="33" t="n">
        <f aca="false">E418+IF(Source_Data!F$6=Inputs!$B$12,Inputs!$B$7,0)+F413-F416</f>
        <v>0</v>
      </c>
      <c r="G418" s="33" t="n">
        <f aca="false">F418+IF(Source_Data!G$6=Inputs!$B$12,Inputs!$B$7,0)+G413-G416</f>
        <v>-35</v>
      </c>
      <c r="H418" s="33" t="n">
        <f aca="false">G418+IF(Source_Data!H$6=Inputs!$B$12,Inputs!$B$7,0)+H413-H416</f>
        <v>-57.5</v>
      </c>
      <c r="I418" s="33" t="n">
        <f aca="false">H418+IF(Source_Data!I$6=Inputs!$B$12,Inputs!$B$7,0)+I413-I416</f>
        <v>-80</v>
      </c>
      <c r="J418" s="33" t="n">
        <f aca="false">I418+IF(Source_Data!J$6=Inputs!$B$12,Inputs!$B$7,0)+J413-J416</f>
        <v>-107.38435</v>
      </c>
      <c r="K418" s="33" t="n">
        <f aca="false">J418+IF(Source_Data!K$6=Inputs!$B$12,Inputs!$B$7,0)+K413-K416</f>
        <v>-124.01305</v>
      </c>
      <c r="L418" s="33" t="n">
        <f aca="false">K418+IF(Source_Data!L$6=Inputs!$B$12,Inputs!$B$7,0)+L413-L416</f>
        <v>-171.244745</v>
      </c>
      <c r="M418" s="33" t="n">
        <f aca="false">L418+IF(Source_Data!M$6=Inputs!$B$12,Inputs!$B$7,0)+M413-M416</f>
        <v>-192.078875</v>
      </c>
      <c r="N418" s="33" t="n">
        <f aca="false">M418+IF(Source_Data!N$6=Inputs!$B$12,Inputs!$B$7,0)+N413-N416</f>
        <v>-212.78627</v>
      </c>
      <c r="O418" s="33" t="n">
        <f aca="false">N418+IF(Source_Data!O$6=Inputs!$B$12,Inputs!$B$7,0)+O413-O416</f>
        <v>-222.3745325</v>
      </c>
      <c r="P418" s="33" t="n">
        <f aca="false">O418+IF(Source_Data!P$6=Inputs!$B$12,Inputs!$B$7,0)+P413-P416</f>
        <v>-213.340930833333</v>
      </c>
      <c r="Q418" s="33" t="n">
        <f aca="false">P418+IF(Source_Data!Q$6=Inputs!$B$12,Inputs!$B$7,0)+Q413-Q416</f>
        <v>-187.034094166667</v>
      </c>
      <c r="R418" s="33" t="n">
        <f aca="false">Q418+IF(Source_Data!R$6=Inputs!$B$12,Inputs!$B$7,0)+R413-R416</f>
        <v>-283.15945125</v>
      </c>
      <c r="S418" s="33" t="n">
        <f aca="false">R418+IF(Source_Data!S$6=Inputs!$B$12,Inputs!$B$7,0)+S413-S416</f>
        <v>-369.639902083333</v>
      </c>
      <c r="T418" s="33" t="n">
        <f aca="false">S418+IF(Source_Data!T$6=Inputs!$B$12,Inputs!$B$7,0)+T413-T416</f>
        <v>62.0369120833332</v>
      </c>
      <c r="U418" s="33" t="n">
        <f aca="false">T418+IF(Source_Data!U$6=Inputs!$B$12,Inputs!$B$7,0)+U413-U416</f>
        <v>36.3134512499998</v>
      </c>
      <c r="V418" s="33" t="n">
        <f aca="false">U418+IF(Source_Data!V$6=Inputs!$B$12,Inputs!$B$7,0)+V413-V416</f>
        <v>88.6012704166664</v>
      </c>
      <c r="W418" s="33" t="n">
        <f aca="false">V418+IF(Source_Data!W$6=Inputs!$B$12,Inputs!$B$7,0)+W413-W416</f>
        <v>117.629489583333</v>
      </c>
      <c r="X418" s="33" t="n">
        <f aca="false">W418+IF(Source_Data!X$6=Inputs!$B$12,Inputs!$B$7,0)+X413-X416</f>
        <v>173.07158375</v>
      </c>
      <c r="Y418" s="33" t="n">
        <f aca="false">X418+IF(Source_Data!Y$6=Inputs!$B$12,Inputs!$B$7,0)+Y413-Y416</f>
        <v>226.702112916666</v>
      </c>
      <c r="Z418" s="33" t="n">
        <f aca="false">Y418+IF(Source_Data!Z$6=Inputs!$B$12,Inputs!$B$7,0)+Z413-Z416</f>
        <v>271.898241458333</v>
      </c>
      <c r="AA418" s="33" t="n">
        <f aca="false">Z418+IF(Source_Data!AA$6=Inputs!$B$12,Inputs!$B$7,0)+AA413-AA416</f>
        <v>309.968321875</v>
      </c>
      <c r="AB418" s="33" t="n">
        <f aca="false">AA418+IF(Source_Data!AB$6=Inputs!$B$12,Inputs!$B$7,0)+AB413-AB416</f>
        <v>371.306198125</v>
      </c>
      <c r="AC418" s="33" t="n">
        <f aca="false">AB418+IF(Source_Data!AC$6=Inputs!$B$12,Inputs!$B$7,0)+AC413-AC416</f>
        <v>422.352446875</v>
      </c>
      <c r="AD418" s="33" t="n">
        <f aca="false">AC418+IF(Source_Data!AD$6=Inputs!$B$12,Inputs!$B$7,0)+AD413-AD416</f>
        <v>473.398695625</v>
      </c>
      <c r="AE418" s="33" t="n">
        <f aca="false">AD418+IF(Source_Data!AE$6=Inputs!$B$12,Inputs!$B$7,0)+AE413-AE416</f>
        <v>524.444944375</v>
      </c>
      <c r="AF418" s="33" t="n">
        <f aca="false">AE418+IF(Source_Data!AF$6=Inputs!$B$12,Inputs!$B$7,0)+AF413-AF416</f>
        <v>334.2995815625</v>
      </c>
      <c r="AG418" s="33" t="n">
        <f aca="false">AF418+IF(Source_Data!AG$6=Inputs!$B$12,Inputs!$B$7,0)+AG413-AG416</f>
        <v>369.23860390625</v>
      </c>
      <c r="AH418" s="33" t="n">
        <f aca="false">AG418+IF(Source_Data!AH$6=Inputs!$B$12,Inputs!$B$7,0)+AH413-AH416</f>
        <v>398.75061921875</v>
      </c>
      <c r="AI418" s="33" t="n">
        <f aca="false">AH418+IF(Source_Data!AI$6=Inputs!$B$12,Inputs!$B$7,0)+AI413-AI416</f>
        <v>422.8356275</v>
      </c>
      <c r="AJ418" s="33" t="n">
        <f aca="false">AI418+IF(Source_Data!AJ$6=Inputs!$B$12,Inputs!$B$7,0)+AJ413-AJ416</f>
        <v>445.78281640625</v>
      </c>
      <c r="AK418" s="33" t="n">
        <f aca="false">AJ418+IF(Source_Data!AK$6=Inputs!$B$12,Inputs!$B$7,0)+AK413-AK416</f>
        <v>466.4473775</v>
      </c>
      <c r="AL418" s="33" t="n">
        <f aca="false">AK418+IF(Source_Data!AL$6=Inputs!$B$12,Inputs!$B$7,0)+AL413-AL416</f>
        <v>481.978938125</v>
      </c>
      <c r="AM418" s="33" t="n">
        <f aca="false">AL418+IF(Source_Data!AM$6=Inputs!$B$12,Inputs!$B$7,0)+AM413-AM416</f>
        <v>498.091056875</v>
      </c>
      <c r="AN418" s="33" t="n">
        <f aca="false">AM418+IF(Source_Data!AN$6=Inputs!$B$12,Inputs!$B$7,0)+AN413-AN416</f>
        <v>511.724388125</v>
      </c>
      <c r="AO418" s="33" t="n">
        <f aca="false">AN418+IF(Source_Data!AO$6=Inputs!$B$12,Inputs!$B$7,0)+AO413-AO416</f>
        <v>515.800409375</v>
      </c>
      <c r="AP418" s="33" t="n">
        <f aca="false">AO418+IF(Source_Data!AP$6=Inputs!$B$12,Inputs!$B$7,0)+AP413-AP416</f>
        <v>523.046669375</v>
      </c>
      <c r="AQ418" s="33" t="n">
        <f aca="false">AP418+IF(Source_Data!AQ$6=Inputs!$B$12,Inputs!$B$7,0)+AQ413-AQ416</f>
        <v>530.292929375</v>
      </c>
      <c r="AR418" s="33" t="n">
        <f aca="false">AQ418+IF(Source_Data!AR$6=Inputs!$B$12,Inputs!$B$7,0)+AR413-AR416</f>
        <v>530.292929375</v>
      </c>
      <c r="AS418" s="33" t="n">
        <f aca="false">AR418+IF(Source_Data!AS$6=Inputs!$B$12,Inputs!$B$7,0)+AS413-AS416</f>
        <v>530.292929375</v>
      </c>
      <c r="AT418" s="33" t="n">
        <f aca="false">AS418+IF(Source_Data!AT$6=Inputs!$B$12,Inputs!$B$7,0)+AT413-AT416</f>
        <v>530.292929375</v>
      </c>
      <c r="AU418" s="33" t="n">
        <f aca="false">AT418+IF(Source_Data!AU$6=Inputs!$B$12,Inputs!$B$7,0)+AU413-AU416</f>
        <v>530.292929375</v>
      </c>
      <c r="AV418" s="33" t="n">
        <f aca="false">AU418+IF(Source_Data!AV$6=Inputs!$B$12,Inputs!$B$7,0)+AV413-AV416</f>
        <v>530.292929375</v>
      </c>
      <c r="AW418" s="33" t="n">
        <f aca="false">AV418+IF(Source_Data!AW$6=Inputs!$B$12,Inputs!$B$7,0)+AW413-AW416</f>
        <v>530.292929375</v>
      </c>
      <c r="AX418" s="33" t="n">
        <f aca="false">AW418+IF(Source_Data!AX$6=Inputs!$B$12,Inputs!$B$7,0)+AX413-AX416</f>
        <v>530.292929375</v>
      </c>
      <c r="AY418" s="33" t="n">
        <f aca="false">AX418+IF(Source_Data!AY$6=Inputs!$B$12,Inputs!$B$7,0)+AY413-AY416</f>
        <v>530.292929375</v>
      </c>
      <c r="AZ418" s="33" t="n">
        <f aca="false">AY418+IF(Source_Data!AZ$6=Inputs!$B$12,Inputs!$B$7,0)+AZ413-AZ416</f>
        <v>530.292929375</v>
      </c>
      <c r="BA418" s="33" t="n">
        <f aca="false">AZ418+IF(Source_Data!BA$6=Inputs!$B$12,Inputs!$B$7,0)+BA413-BA416</f>
        <v>530.292929375</v>
      </c>
      <c r="BB418" s="33" t="n">
        <f aca="false">BA418+IF(Source_Data!BB$6=Inputs!$B$12,Inputs!$B$7,0)+BB413-BB416</f>
        <v>530.292929375</v>
      </c>
      <c r="BC418" s="33" t="n">
        <f aca="false">BB418+IF(Source_Data!BC$6=Inputs!$B$12,Inputs!$B$7,0)+BC413-BC416</f>
        <v>530.292929375</v>
      </c>
      <c r="BD418" s="33" t="n">
        <f aca="false">BC418+IF(Source_Data!BD$6=Inputs!$B$12,Inputs!$B$7,0)+BD413-BD416</f>
        <v>530.292929375</v>
      </c>
      <c r="BE418" s="33" t="n">
        <f aca="false">BD418+IF(Source_Data!BE$6=Inputs!$B$12,Inputs!$B$7,0)+BE413-BE416</f>
        <v>530.292929375</v>
      </c>
      <c r="BF418" s="33" t="n">
        <f aca="false">BE418+IF(Source_Data!BF$6=Inputs!$B$12,Inputs!$B$7,0)+BF413-BF416</f>
        <v>530.292929375</v>
      </c>
      <c r="BG418" s="33" t="n">
        <f aca="false">BF418+IF(Source_Data!BG$6=Inputs!$B$12,Inputs!$B$7,0)+BG413-BG416</f>
        <v>530.292929375</v>
      </c>
      <c r="BH418" s="33" t="n">
        <f aca="false">BG418+IF(Source_Data!BH$6=Inputs!$B$12,Inputs!$B$7,0)+BH413-BH416</f>
        <v>530.292929375</v>
      </c>
      <c r="BI418" s="33" t="n">
        <f aca="false">BH418+IF(Source_Data!BI$6=Inputs!$B$12,Inputs!$B$7,0)+BI413-BI416</f>
        <v>530.292929375</v>
      </c>
      <c r="BJ418" s="33" t="n">
        <f aca="false">BI418+IF(Source_Data!BJ$6=Inputs!$B$12,Inputs!$B$7,0)+BJ413-BJ416</f>
        <v>530.292929375</v>
      </c>
      <c r="BK418" s="33" t="n">
        <f aca="false">BJ418+IF(Source_Data!BK$6=Inputs!$B$12,Inputs!$B$7,0)+BK413-BK416</f>
        <v>530.292929375</v>
      </c>
    </row>
    <row r="419" customFormat="false" ht="15" hidden="false" customHeight="false" outlineLevel="0" collapsed="false">
      <c r="A419" s="3" t="s">
        <v>344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str">
        <f aca="false">IF(M416&gt;0,M413/M416,"")</f>
        <v/>
      </c>
      <c r="N419" s="31" t="str">
        <f aca="false">IF(N416&gt;0,N413/N416,"")</f>
        <v/>
      </c>
      <c r="O419" s="31" t="str">
        <f aca="false">IF(O416&gt;0,O413/O416,"")</f>
        <v/>
      </c>
      <c r="P419" s="31" t="n">
        <f aca="false">IF(P416&gt;0,P413/P416,"")</f>
        <v>1.94263669565218</v>
      </c>
      <c r="Q419" s="31" t="n">
        <f aca="false">IF(Q416&gt;0,Q413/Q416,"")</f>
        <v>3.7450612173913</v>
      </c>
      <c r="R419" s="31" t="n">
        <f aca="false">IF(R416&gt;0,R413/R416,"")</f>
        <v>-9.03047204347826</v>
      </c>
      <c r="S419" s="31" t="n">
        <f aca="false">IF(S416&gt;0,S413/S416,"")</f>
        <v>-8.02404704347826</v>
      </c>
      <c r="T419" s="31" t="n">
        <f aca="false">IF(T416&gt;0,T413/T416,"")</f>
        <v>46.0445371304348</v>
      </c>
      <c r="U419" s="31" t="n">
        <f aca="false">IF(U416&gt;0,U413/U416,"")</f>
        <v>-1.68418721739131</v>
      </c>
      <c r="V419" s="31" t="n">
        <f aca="false">IF(V416&gt;0,V413/V416,"")</f>
        <v>6.45612026086956</v>
      </c>
      <c r="W419" s="31" t="n">
        <f aca="false">IF(W416&gt;0,W413/W416,"")</f>
        <v>4.02903156521739</v>
      </c>
      <c r="X419" s="31" t="n">
        <f aca="false">IF(X416&gt;0,X413/X416,"")</f>
        <v>6.785262</v>
      </c>
      <c r="Y419" s="31" t="n">
        <f aca="false">IF(Y416&gt;0,Y413/Y416,"")</f>
        <v>6.59622913043478</v>
      </c>
      <c r="Z419" s="31" t="n">
        <f aca="false">IF(Z416&gt;0,Z413/Z416,"")</f>
        <v>5.71611776086957</v>
      </c>
      <c r="AA419" s="31" t="n">
        <f aca="false">IF(AA416&gt;0,AA413/AA416,"")</f>
        <v>4.97253013043479</v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345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str">
        <f aca="false">IF(M416&gt;0,(L418+M413+IF(Source_Data!M$6=Inputs!$B$12,Inputs!$B$7,0))/M416,"")</f>
        <v/>
      </c>
      <c r="N420" s="31" t="str">
        <f aca="false">IF(N416&gt;0,(M418+N413+IF(Source_Data!N$6=Inputs!$B$12,Inputs!$B$7,0))/N416,"")</f>
        <v/>
      </c>
      <c r="O420" s="31" t="str">
        <f aca="false">IF(O416&gt;0,(N418+O413+IF(Source_Data!O$6=Inputs!$B$12,Inputs!$B$7,0))/O416,"")</f>
        <v/>
      </c>
      <c r="P420" s="31" t="n">
        <f aca="false">IF(P416&gt;0,(O418+P413+IF(Source_Data!P$6=Inputs!$B$12,Inputs!$B$7,0))/P416,"")</f>
        <v>-21.2616623478261</v>
      </c>
      <c r="Q420" s="31" t="n">
        <f aca="false">IF(Q416&gt;0,(P418+Q413+IF(Source_Data!Q$6=Inputs!$B$12,Inputs!$B$7,0))/Q416,"")</f>
        <v>-18.5166011304348</v>
      </c>
      <c r="R420" s="31" t="n">
        <f aca="false">IF(R416&gt;0,(Q418+R413+IF(Source_Data!R$6=Inputs!$B$12,Inputs!$B$7,0))/R416,"")</f>
        <v>-28.5470731739131</v>
      </c>
      <c r="S420" s="31" t="n">
        <f aca="false">IF(S416&gt;0,(R418+S413+IF(Source_Data!S$6=Inputs!$B$12,Inputs!$B$7,0))/S416,"")</f>
        <v>-37.5711202173913</v>
      </c>
      <c r="T420" s="31" t="n">
        <f aca="false">IF(T416&gt;0,(S418+T413+IF(Source_Data!T$6=Inputs!$B$12,Inputs!$B$7,0))/T416,"")</f>
        <v>7.47341691304346</v>
      </c>
      <c r="U420" s="31" t="n">
        <f aca="false">IF(U416&gt;0,(T418+U413+IF(Source_Data!U$6=Inputs!$B$12,Inputs!$B$7,0))/U416,"")</f>
        <v>4.78922969565215</v>
      </c>
      <c r="V420" s="31" t="n">
        <f aca="false">IF(V416&gt;0,(U418+V413+IF(Source_Data!V$6=Inputs!$B$12,Inputs!$B$7,0))/V416,"")</f>
        <v>10.2453499565217</v>
      </c>
      <c r="W420" s="31" t="n">
        <f aca="false">IF(W416&gt;0,(V418+W413+IF(Source_Data!W$6=Inputs!$B$12,Inputs!$B$7,0))/W416,"")</f>
        <v>13.2743815217391</v>
      </c>
      <c r="X420" s="31" t="n">
        <f aca="false">IF(X416&gt;0,(W418+X413+IF(Source_Data!X$6=Inputs!$B$12,Inputs!$B$7,0))/X416,"")</f>
        <v>19.0596435217391</v>
      </c>
      <c r="Y420" s="31" t="n">
        <f aca="false">IF(Y416&gt;0,(X418+Y413+IF(Source_Data!Y$6=Inputs!$B$12,Inputs!$B$7,0))/Y416,"")</f>
        <v>24.6558726521739</v>
      </c>
      <c r="Z420" s="31" t="n">
        <f aca="false">IF(Z416&gt;0,(Y418+Z413+IF(Source_Data!Z$6=Inputs!$B$12,Inputs!$B$7,0))/Z416,"")</f>
        <v>29.3719904130434</v>
      </c>
      <c r="AA420" s="31" t="n">
        <f aca="false">IF(AA416&gt;0,(Z418+AA413+IF(Source_Data!AA$6=Inputs!$B$12,Inputs!$B$7,0))/AA416,"")</f>
        <v>33.3445205434782</v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220</v>
      </c>
      <c r="B422" s="41" t="n">
        <f aca="false">SUM(D413:BK413)</f>
        <v>595.292929375</v>
      </c>
    </row>
    <row r="423" customFormat="false" ht="15" hidden="false" customHeight="false" outlineLevel="0" collapsed="false">
      <c r="A423" s="2" t="s">
        <v>346</v>
      </c>
      <c r="B423" s="41" t="n">
        <f aca="false">SUMPRODUCT(D413:BK413,Project_CF!$D$15:$BK$15)</f>
        <v>209.278659469093</v>
      </c>
    </row>
    <row r="424" customFormat="false" ht="15" hidden="false" customHeight="false" outlineLevel="0" collapsed="false">
      <c r="A424" s="2" t="s">
        <v>162</v>
      </c>
      <c r="B424" s="41" t="n">
        <f aca="false">MIN(D414:BK414)</f>
        <v>-381.30656875</v>
      </c>
    </row>
    <row r="425" customFormat="false" ht="15" hidden="false" customHeight="false" outlineLevel="0" collapsed="false">
      <c r="A425" s="2" t="s">
        <v>347</v>
      </c>
      <c r="B425" s="35" t="n">
        <f aca="false">INDEX(Project_CF!$D$6:$BK$6,MATCH(MIN(D414:BK414),D414:BK414,0))</f>
        <v>48</v>
      </c>
    </row>
    <row r="426" customFormat="false" ht="15" hidden="false" customHeight="false" outlineLevel="0" collapsed="false">
      <c r="A426" s="2" t="s">
        <v>348</v>
      </c>
      <c r="B426" s="39" t="n">
        <f aca="false">(1+IRR(D415:BK415,0.05))^4-1</f>
        <v>0.292473250549915</v>
      </c>
    </row>
    <row r="427" customFormat="false" ht="15" hidden="false" customHeight="false" outlineLevel="0" collapsed="false">
      <c r="A427" s="2" t="s">
        <v>349</v>
      </c>
      <c r="B427" s="40" t="n">
        <f aca="false">SUMIF(D415:BK415,"&gt;0")/-SUMIF(D415:BK415,"&lt;0")</f>
        <v>2.87407407407407</v>
      </c>
    </row>
    <row r="428" customFormat="false" ht="15" hidden="false" customHeight="false" outlineLevel="0" collapsed="false">
      <c r="A428" s="2" t="s">
        <v>350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351</v>
      </c>
      <c r="B429" s="41" t="n">
        <f aca="false">MIN(D418:BK418)</f>
        <v>-369.639902083333</v>
      </c>
    </row>
    <row r="430" customFormat="false" ht="15" hidden="false" customHeight="false" outlineLevel="0" collapsed="false">
      <c r="A430" s="2" t="s">
        <v>352</v>
      </c>
      <c r="B430" s="43" t="n">
        <f aca="false">MIN(D419:BK419)</f>
        <v>-9.03047204347826</v>
      </c>
    </row>
    <row r="431" customFormat="false" ht="15" hidden="false" customHeight="false" outlineLevel="0" collapsed="false">
      <c r="A431" s="2" t="s">
        <v>353</v>
      </c>
      <c r="B431" s="35" t="n">
        <f aca="false">COUNTIF(D419:BK419,"&lt;"&amp;Inputs!$B$43)</f>
        <v>3</v>
      </c>
    </row>
    <row r="432" customFormat="false" ht="15" hidden="false" customHeight="false" outlineLevel="0" collapsed="false">
      <c r="A432" s="2" t="s">
        <v>354</v>
      </c>
      <c r="B432" s="43" t="n">
        <f aca="false">MIN(D420:BK420)</f>
        <v>-37.5711202173913</v>
      </c>
    </row>
    <row r="433" customFormat="false" ht="15" hidden="false" customHeight="false" outlineLevel="0" collapsed="false">
      <c r="A433" s="2" t="s">
        <v>355</v>
      </c>
      <c r="B433" s="35" t="n">
        <f aca="false">COUNTIF(D420:BK420,"&lt;"&amp;Inputs!$B$43)</f>
        <v>4</v>
      </c>
    </row>
    <row r="436" customFormat="false" ht="15" hidden="false" customHeight="false" outlineLevel="0" collapsed="false">
      <c r="A436" s="8" t="s">
        <v>370</v>
      </c>
    </row>
    <row r="437" customFormat="false" ht="15" hidden="false" customHeight="false" outlineLevel="0" collapsed="false">
      <c r="A437" s="3" t="s">
        <v>331</v>
      </c>
      <c r="B437" s="45" t="n">
        <v>1</v>
      </c>
    </row>
    <row r="438" customFormat="false" ht="15" hidden="false" customHeight="false" outlineLevel="0" collapsed="false">
      <c r="A438" s="3" t="s">
        <v>332</v>
      </c>
      <c r="B438" s="45" t="n">
        <v>0</v>
      </c>
    </row>
    <row r="439" customFormat="false" ht="15" hidden="false" customHeight="false" outlineLevel="0" collapsed="false">
      <c r="A439" s="3" t="s">
        <v>333</v>
      </c>
      <c r="B439" s="45" t="n">
        <v>1</v>
      </c>
    </row>
    <row r="440" customFormat="false" ht="15" hidden="false" customHeight="false" outlineLevel="0" collapsed="false">
      <c r="A440" s="3" t="s">
        <v>334</v>
      </c>
      <c r="B440" s="45" t="n">
        <v>4</v>
      </c>
    </row>
    <row r="441" customFormat="false" ht="15" hidden="false" customHeight="false" outlineLevel="0" collapsed="false">
      <c r="A441" s="3" t="s">
        <v>335</v>
      </c>
      <c r="B441" s="45" t="n">
        <v>0</v>
      </c>
    </row>
    <row r="442" customFormat="false" ht="15" hidden="false" customHeight="false" outlineLevel="0" collapsed="false">
      <c r="A442" s="3" t="s">
        <v>336</v>
      </c>
      <c r="B442" s="3" t="n">
        <f aca="false">Inputs!$B$13+3+3*$B$438</f>
        <v>57</v>
      </c>
    </row>
    <row r="443" customFormat="false" ht="15" hidden="false" customHeight="false" outlineLevel="0" collapsed="false">
      <c r="A443" s="3" t="s">
        <v>337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0</v>
      </c>
      <c r="G443" s="33" t="n">
        <f aca="false">Source_Data!G$7+IF($B$441=1,IF(Source_Data!G$6=Inputs!$B$13,Source_Data!$C$8,0),Source_Data!G$8)</f>
        <v>0</v>
      </c>
      <c r="H443" s="33" t="n">
        <f aca="false">Source_Data!H$7+IF($B$441=1,IF(Source_Data!H$6=Inputs!$B$13,Source_Data!$C$8,0),Source_Data!H$8)</f>
        <v>18.11565</v>
      </c>
      <c r="I443" s="33" t="n">
        <f aca="false">Source_Data!I$7+IF($B$441=1,IF(Source_Data!I$6=Inputs!$B$13,Source_Data!$C$8,0),Source_Data!I$8)</f>
        <v>36.2313</v>
      </c>
      <c r="J443" s="33" t="n">
        <f aca="false">Source_Data!J$7+IF($B$441=1,IF(Source_Data!J$6=Inputs!$B$13,Source_Data!$C$8,0),Source_Data!J$8)</f>
        <v>58.260825</v>
      </c>
      <c r="K443" s="33" t="n">
        <f aca="false">Source_Data!K$7+IF($B$441=1,IF(Source_Data!K$6=Inputs!$B$13,Source_Data!$C$8,0),Source_Data!K$8)</f>
        <v>69.01839</v>
      </c>
      <c r="L443" s="33" t="n">
        <f aca="false">Source_Data!L$7+IF($B$441=1,IF(Source_Data!L$6=Inputs!$B$13,Source_Data!$C$8,0),Source_Data!L$8)</f>
        <v>67.087545</v>
      </c>
      <c r="M443" s="33" t="n">
        <f aca="false">Source_Data!M$7+IF($B$441=1,IF(Source_Data!M$6=Inputs!$B$13,Source_Data!$C$8,0),Source_Data!M$8)</f>
        <v>72.9732675</v>
      </c>
      <c r="N443" s="33" t="n">
        <f aca="false">Source_Data!N$7+IF($B$441=1,IF(Source_Data!N$6=Inputs!$B$13,Source_Data!$C$8,0),Source_Data!N$8)</f>
        <v>88.871055</v>
      </c>
      <c r="O443" s="33" t="n">
        <f aca="false">Source_Data!O$7+IF($B$441=1,IF(Source_Data!O$6=Inputs!$B$13,Source_Data!$C$8,0),Source_Data!O$8)</f>
        <v>105.60753</v>
      </c>
      <c r="P443" s="33" t="n">
        <f aca="false">Source_Data!P$7+IF($B$441=1,IF(Source_Data!P$6=Inputs!$B$13,Source_Data!$C$8,0),Source_Data!P$8)</f>
        <v>115.25243625</v>
      </c>
      <c r="Q443" s="33" t="n">
        <f aca="false">Source_Data!Q$7+IF($B$441=1,IF(Source_Data!Q$6=Inputs!$B$13,Source_Data!$C$8,0),Source_Data!Q$8)</f>
        <v>124.8973425</v>
      </c>
      <c r="R443" s="33" t="n">
        <f aca="false">Source_Data!R$7+IF($B$441=1,IF(Source_Data!R$6=Inputs!$B$13,Source_Data!$C$8,0),Source_Data!R$8)</f>
        <v>683.0904675</v>
      </c>
      <c r="S443" s="33" t="n">
        <f aca="false">Source_Data!S$7+IF($B$441=1,IF(Source_Data!S$6=Inputs!$B$13,Source_Data!$C$8,0),Source_Data!S$8)</f>
        <v>171.6401925</v>
      </c>
      <c r="T443" s="33" t="n">
        <f aca="false">Source_Data!T$7+IF($B$441=1,IF(Source_Data!T$6=Inputs!$B$13,Source_Data!$C$8,0),Source_Data!T$8)</f>
        <v>112.5965925</v>
      </c>
      <c r="U443" s="33" t="n">
        <f aca="false">Source_Data!U$7+IF($B$441=1,IF(Source_Data!U$6=Inputs!$B$13,Source_Data!$C$8,0),Source_Data!U$8)</f>
        <v>89.3369925</v>
      </c>
      <c r="V443" s="33" t="n">
        <f aca="false">Source_Data!V$7+IF($B$441=1,IF(Source_Data!V$6=Inputs!$B$13,Source_Data!$C$8,0),Source_Data!V$8)</f>
        <v>87.5254275</v>
      </c>
      <c r="W443" s="33" t="n">
        <f aca="false">Source_Data!W$7+IF($B$441=1,IF(Source_Data!W$6=Inputs!$B$13,Source_Data!$C$8,0),Source_Data!W$8)</f>
        <v>85.7138625</v>
      </c>
      <c r="X443" s="33" t="n">
        <f aca="false">Source_Data!X$7+IF($B$441=1,IF(Source_Data!X$6=Inputs!$B$13,Source_Data!$C$8,0),Source_Data!X$8)</f>
        <v>77.279461875</v>
      </c>
      <c r="Y443" s="33" t="n">
        <f aca="false">Source_Data!Y$7+IF($B$441=1,IF(Source_Data!Y$6=Inputs!$B$13,Source_Data!$C$8,0),Source_Data!Y$8)</f>
        <v>70.15341375</v>
      </c>
      <c r="Z443" s="33" t="n">
        <f aca="false">Source_Data!Z$7+IF($B$441=1,IF(Source_Data!Z$6=Inputs!$B$13,Source_Data!$C$8,0),Source_Data!Z$8)</f>
        <v>61.33787625</v>
      </c>
      <c r="AA443" s="33" t="n">
        <f aca="false">Source_Data!AA$7+IF($B$441=1,IF(Source_Data!AA$6=Inputs!$B$13,Source_Data!$C$8,0),Source_Data!AA$8)</f>
        <v>51.04624875</v>
      </c>
      <c r="AB443" s="33" t="n">
        <f aca="false">Source_Data!AB$7+IF($B$441=1,IF(Source_Data!AB$6=Inputs!$B$13,Source_Data!$C$8,0),Source_Data!AB$8)</f>
        <v>51.04624875</v>
      </c>
      <c r="AC443" s="33" t="n">
        <f aca="false">Source_Data!AC$7+IF($B$441=1,IF(Source_Data!AC$6=Inputs!$B$13,Source_Data!$C$8,0),Source_Data!AC$8)</f>
        <v>51.04624875</v>
      </c>
      <c r="AD443" s="33" t="n">
        <f aca="false">Source_Data!AD$7+IF($B$441=1,IF(Source_Data!AD$6=Inputs!$B$13,Source_Data!$C$8,0),Source_Data!AD$8)</f>
        <v>51.04624875</v>
      </c>
      <c r="AE443" s="33" t="n">
        <f aca="false">Source_Data!AE$7+IF($B$441=1,IF(Source_Data!AE$6=Inputs!$B$13,Source_Data!$C$8,0),Source_Data!AE$8)</f>
        <v>51.04624875</v>
      </c>
      <c r="AF443" s="33" t="n">
        <f aca="false">Source_Data!AF$7+IF($B$441=1,IF(Source_Data!AF$6=Inputs!$B$13,Source_Data!$C$8,0),Source_Data!AF$8)</f>
        <v>43.931383125</v>
      </c>
      <c r="AG443" s="33" t="n">
        <f aca="false">Source_Data!AG$7+IF($B$441=1,IF(Source_Data!AG$6=Inputs!$B$13,Source_Data!$C$8,0),Source_Data!AG$8)</f>
        <v>36.8165175</v>
      </c>
      <c r="AH443" s="33" t="n">
        <f aca="false">Source_Data!AH$7+IF($B$441=1,IF(Source_Data!AH$6=Inputs!$B$13,Source_Data!$C$8,0),Source_Data!AH$8)</f>
        <v>32.958555</v>
      </c>
      <c r="AI443" s="33" t="n">
        <f aca="false">Source_Data!AI$7+IF($B$441=1,IF(Source_Data!AI$6=Inputs!$B$13,Source_Data!$C$8,0),Source_Data!AI$8)</f>
        <v>29.1005925</v>
      </c>
      <c r="AJ443" s="33" t="n">
        <f aca="false">Source_Data!AJ$7+IF($B$441=1,IF(Source_Data!AJ$6=Inputs!$B$13,Source_Data!$C$8,0),Source_Data!AJ$8)</f>
        <v>22.8831225</v>
      </c>
      <c r="AK443" s="33" t="n">
        <f aca="false">Source_Data!AK$7+IF($B$441=1,IF(Source_Data!AK$6=Inputs!$B$13,Source_Data!$C$8,0),Source_Data!AK$8)</f>
        <v>19.2823575</v>
      </c>
      <c r="AL443" s="33" t="n">
        <f aca="false">Source_Data!AL$7+IF($B$441=1,IF(Source_Data!AL$6=Inputs!$B$13,Source_Data!$C$8,0),Source_Data!AL$8)</f>
        <v>16.80357</v>
      </c>
      <c r="AM443" s="33" t="n">
        <f aca="false">Source_Data!AM$7+IF($B$441=1,IF(Source_Data!AM$6=Inputs!$B$13,Source_Data!$C$8,0),Source_Data!AM$8)</f>
        <v>7.24626</v>
      </c>
      <c r="AN443" s="33" t="n">
        <f aca="false">Source_Data!AN$7+IF($B$441=1,IF(Source_Data!AN$6=Inputs!$B$13,Source_Data!$C$8,0),Source_Data!AN$8)</f>
        <v>7.24626</v>
      </c>
      <c r="AO443" s="33" t="n">
        <f aca="false">Source_Data!AO$7+IF($B$441=1,IF(Source_Data!AO$6=Inputs!$B$13,Source_Data!$C$8,0),Source_Data!AO$8)</f>
        <v>7.24626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338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0</v>
      </c>
      <c r="K444" s="33" t="n">
        <f aca="false">$B$437*IF(Source_Data!K$5-($B$438+$B$440)&gt;=1,INDEX($D$443:$BK$443,1,Source_Data!K$5-($B$438+$B$440)),0)</f>
        <v>0</v>
      </c>
      <c r="L444" s="33" t="n">
        <f aca="false">$B$437*IF(Source_Data!L$5-($B$438+$B$440)&gt;=1,INDEX($D$443:$BK$443,1,Source_Data!L$5-($B$438+$B$440)),0)</f>
        <v>18.11565</v>
      </c>
      <c r="M444" s="33" t="n">
        <f aca="false">$B$437*IF(Source_Data!M$5-($B$438+$B$440)&gt;=1,INDEX($D$443:$BK$443,1,Source_Data!M$5-($B$438+$B$440)),0)</f>
        <v>36.2313</v>
      </c>
      <c r="N444" s="33" t="n">
        <f aca="false">$B$437*IF(Source_Data!N$5-($B$438+$B$440)&gt;=1,INDEX($D$443:$BK$443,1,Source_Data!N$5-($B$438+$B$440)),0)</f>
        <v>58.260825</v>
      </c>
      <c r="O444" s="33" t="n">
        <f aca="false">$B$437*IF(Source_Data!O$5-($B$438+$B$440)&gt;=1,INDEX($D$443:$BK$443,1,Source_Data!O$5-($B$438+$B$440)),0)</f>
        <v>69.01839</v>
      </c>
      <c r="P444" s="33" t="n">
        <f aca="false">$B$437*IF(Source_Data!P$5-($B$438+$B$440)&gt;=1,INDEX($D$443:$BK$443,1,Source_Data!P$5-($B$438+$B$440)),0)</f>
        <v>67.087545</v>
      </c>
      <c r="Q444" s="33" t="n">
        <f aca="false">$B$437*IF(Source_Data!Q$5-($B$438+$B$440)&gt;=1,INDEX($D$443:$BK$443,1,Source_Data!Q$5-($B$438+$B$440)),0)</f>
        <v>72.9732675</v>
      </c>
      <c r="R444" s="33" t="n">
        <f aca="false">$B$437*IF(Source_Data!R$5-($B$438+$B$440)&gt;=1,INDEX($D$443:$BK$443,1,Source_Data!R$5-($B$438+$B$440)),0)</f>
        <v>88.871055</v>
      </c>
      <c r="S444" s="33" t="n">
        <f aca="false">$B$437*IF(Source_Data!S$5-($B$438+$B$440)&gt;=1,INDEX($D$443:$BK$443,1,Source_Data!S$5-($B$438+$B$440)),0)</f>
        <v>105.60753</v>
      </c>
      <c r="T444" s="33" t="n">
        <f aca="false">$B$437*IF(Source_Data!T$5-($B$438+$B$440)&gt;=1,INDEX($D$443:$BK$443,1,Source_Data!T$5-($B$438+$B$440)),0)</f>
        <v>115.25243625</v>
      </c>
      <c r="U444" s="33" t="n">
        <f aca="false">$B$437*IF(Source_Data!U$5-($B$438+$B$440)&gt;=1,INDEX($D$443:$BK$443,1,Source_Data!U$5-($B$438+$B$440)),0)</f>
        <v>124.8973425</v>
      </c>
      <c r="V444" s="33" t="n">
        <f aca="false">$B$437*IF(Source_Data!V$5-($B$438+$B$440)&gt;=1,INDEX($D$443:$BK$443,1,Source_Data!V$5-($B$438+$B$440)),0)</f>
        <v>683.0904675</v>
      </c>
      <c r="W444" s="33" t="n">
        <f aca="false">$B$437*IF(Source_Data!W$5-($B$438+$B$440)&gt;=1,INDEX($D$443:$BK$443,1,Source_Data!W$5-($B$438+$B$440)),0)</f>
        <v>171.6401925</v>
      </c>
      <c r="X444" s="33" t="n">
        <f aca="false">$B$437*IF(Source_Data!X$5-($B$438+$B$440)&gt;=1,INDEX($D$443:$BK$443,1,Source_Data!X$5-($B$438+$B$440)),0)</f>
        <v>112.5965925</v>
      </c>
      <c r="Y444" s="33" t="n">
        <f aca="false">$B$437*IF(Source_Data!Y$5-($B$438+$B$440)&gt;=1,INDEX($D$443:$BK$443,1,Source_Data!Y$5-($B$438+$B$440)),0)</f>
        <v>89.3369925</v>
      </c>
      <c r="Z444" s="33" t="n">
        <f aca="false">$B$437*IF(Source_Data!Z$5-($B$438+$B$440)&gt;=1,INDEX($D$443:$BK$443,1,Source_Data!Z$5-($B$438+$B$440)),0)</f>
        <v>87.5254275</v>
      </c>
      <c r="AA444" s="33" t="n">
        <f aca="false">$B$437*IF(Source_Data!AA$5-($B$438+$B$440)&gt;=1,INDEX($D$443:$BK$443,1,Source_Data!AA$5-($B$438+$B$440)),0)</f>
        <v>85.7138625</v>
      </c>
      <c r="AB444" s="33" t="n">
        <f aca="false">$B$437*IF(Source_Data!AB$5-($B$438+$B$440)&gt;=1,INDEX($D$443:$BK$443,1,Source_Data!AB$5-($B$438+$B$440)),0)</f>
        <v>77.279461875</v>
      </c>
      <c r="AC444" s="33" t="n">
        <f aca="false">$B$437*IF(Source_Data!AC$5-($B$438+$B$440)&gt;=1,INDEX($D$443:$BK$443,1,Source_Data!AC$5-($B$438+$B$440)),0)</f>
        <v>70.15341375</v>
      </c>
      <c r="AD444" s="33" t="n">
        <f aca="false">$B$437*IF(Source_Data!AD$5-($B$438+$B$440)&gt;=1,INDEX($D$443:$BK$443,1,Source_Data!AD$5-($B$438+$B$440)),0)</f>
        <v>61.33787625</v>
      </c>
      <c r="AE444" s="33" t="n">
        <f aca="false">$B$437*IF(Source_Data!AE$5-($B$438+$B$440)&gt;=1,INDEX($D$443:$BK$443,1,Source_Data!AE$5-($B$438+$B$440)),0)</f>
        <v>51.04624875</v>
      </c>
      <c r="AF444" s="33" t="n">
        <f aca="false">$B$437*IF(Source_Data!AF$5-($B$438+$B$440)&gt;=1,INDEX($D$443:$BK$443,1,Source_Data!AF$5-($B$438+$B$440)),0)</f>
        <v>51.04624875</v>
      </c>
      <c r="AG444" s="33" t="n">
        <f aca="false">$B$437*IF(Source_Data!AG$5-($B$438+$B$440)&gt;=1,INDEX($D$443:$BK$443,1,Source_Data!AG$5-($B$438+$B$440)),0)</f>
        <v>51.04624875</v>
      </c>
      <c r="AH444" s="33" t="n">
        <f aca="false">$B$437*IF(Source_Data!AH$5-($B$438+$B$440)&gt;=1,INDEX($D$443:$BK$443,1,Source_Data!AH$5-($B$438+$B$440)),0)</f>
        <v>51.04624875</v>
      </c>
      <c r="AI444" s="33" t="n">
        <f aca="false">$B$437*IF(Source_Data!AI$5-($B$438+$B$440)&gt;=1,INDEX($D$443:$BK$443,1,Source_Data!AI$5-($B$438+$B$440)),0)</f>
        <v>51.04624875</v>
      </c>
      <c r="AJ444" s="33" t="n">
        <f aca="false">$B$437*IF(Source_Data!AJ$5-($B$438+$B$440)&gt;=1,INDEX($D$443:$BK$443,1,Source_Data!AJ$5-($B$438+$B$440)),0)</f>
        <v>43.931383125</v>
      </c>
      <c r="AK444" s="33" t="n">
        <f aca="false">$B$437*IF(Source_Data!AK$5-($B$438+$B$440)&gt;=1,INDEX($D$443:$BK$443,1,Source_Data!AK$5-($B$438+$B$440)),0)</f>
        <v>36.8165175</v>
      </c>
      <c r="AL444" s="33" t="n">
        <f aca="false">$B$437*IF(Source_Data!AL$5-($B$438+$B$440)&gt;=1,INDEX($D$443:$BK$443,1,Source_Data!AL$5-($B$438+$B$440)),0)</f>
        <v>32.958555</v>
      </c>
      <c r="AM444" s="33" t="n">
        <f aca="false">$B$437*IF(Source_Data!AM$5-($B$438+$B$440)&gt;=1,INDEX($D$443:$BK$443,1,Source_Data!AM$5-($B$438+$B$440)),0)</f>
        <v>29.1005925</v>
      </c>
      <c r="AN444" s="33" t="n">
        <f aca="false">$B$437*IF(Source_Data!AN$5-($B$438+$B$440)&gt;=1,INDEX($D$443:$BK$443,1,Source_Data!AN$5-($B$438+$B$440)),0)</f>
        <v>22.8831225</v>
      </c>
      <c r="AO444" s="33" t="n">
        <f aca="false">$B$437*IF(Source_Data!AO$5-($B$438+$B$440)&gt;=1,INDEX($D$443:$BK$443,1,Source_Data!AO$5-($B$438+$B$440)),0)</f>
        <v>19.2823575</v>
      </c>
      <c r="AP444" s="33" t="n">
        <f aca="false">$B$437*IF(Source_Data!AP$5-($B$438+$B$440)&gt;=1,INDEX($D$443:$BK$443,1,Source_Data!AP$5-($B$438+$B$440)),0)</f>
        <v>16.80357</v>
      </c>
      <c r="AQ444" s="33" t="n">
        <f aca="false">$B$437*IF(Source_Data!AQ$5-($B$438+$B$440)&gt;=1,INDEX($D$443:$BK$443,1,Source_Data!AQ$5-($B$438+$B$440)),0)</f>
        <v>7.24626</v>
      </c>
      <c r="AR444" s="33" t="n">
        <f aca="false">$B$437*IF(Source_Data!AR$5-($B$438+$B$440)&gt;=1,INDEX($D$443:$BK$443,1,Source_Data!AR$5-($B$438+$B$440)),0)</f>
        <v>7.24626</v>
      </c>
      <c r="AS444" s="33" t="n">
        <f aca="false">$B$437*IF(Source_Data!AS$5-($B$438+$B$440)&gt;=1,INDEX($D$443:$BK$443,1,Source_Data!AS$5-($B$438+$B$440)),0)</f>
        <v>7.24626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339</v>
      </c>
      <c r="D445" s="33" t="n">
        <f aca="false">Source_Data!D$9+Source_Data!D$10*IF(Source_Data!$C$10=0,0,MAX(0,Inputs!$B$19*Inputs!$B$22*$B$437-Inputs!$B$20)/Source_Data!$C$10)</f>
        <v>0</v>
      </c>
      <c r="E445" s="33" t="n">
        <f aca="false">Source_Data!E$9+Source_Data!E$10*IF(Source_Data!$C$10=0,0,MAX(0,Inputs!$B$19*Inputs!$B$22*$B$437-Inputs!$B$20)/Source_Data!$C$10)</f>
        <v>0</v>
      </c>
      <c r="F445" s="33" t="n">
        <f aca="false">Source_Data!F$9+Source_Data!F$10*IF(Source_Data!$C$10=0,0,MAX(0,Inputs!$B$19*Inputs!$B$22*$B$437-Inputs!$B$20)/Source_Data!$C$10)</f>
        <v>0</v>
      </c>
      <c r="G445" s="33" t="n">
        <f aca="false">Source_Data!G$9+Source_Data!G$10*IF(Source_Data!$C$10=0,0,MAX(0,Inputs!$B$19*Inputs!$B$22*$B$437-Inputs!$B$20)/Source_Data!$C$10)</f>
        <v>85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45</v>
      </c>
      <c r="M445" s="33" t="n">
        <f aca="false">Source_Data!M$9+Source_Data!M$10*IF(Source_Data!$C$10=0,0,MAX(0,Inputs!$B$19*Inputs!$B$22*$B$437-Inputs!$B$20)/Source_Data!$C$10)</f>
        <v>45</v>
      </c>
      <c r="N445" s="33" t="n">
        <f aca="false">Source_Data!N$9+Source_Data!N$10*IF(Source_Data!$C$10=0,0,MAX(0,Inputs!$B$19*Inputs!$B$22*$B$437-Inputs!$B$20)/Source_Data!$C$10)</f>
        <v>45</v>
      </c>
      <c r="O445" s="33" t="n">
        <f aca="false">Source_Data!O$9+Source_Data!O$10*IF(Source_Data!$C$10=0,0,MAX(0,Inputs!$B$19*Inputs!$B$22*$B$437-Inputs!$B$20)/Source_Data!$C$10)</f>
        <v>45</v>
      </c>
      <c r="P445" s="33" t="n">
        <f aca="false">Source_Data!P$9+Source_Data!P$10*IF(Source_Data!$C$10=0,0,MAX(0,Inputs!$B$19*Inputs!$B$22*$B$437-Inputs!$B$20)/Source_Data!$C$10)</f>
        <v>56.25</v>
      </c>
      <c r="Q445" s="33" t="n">
        <f aca="false">Source_Data!Q$9+Source_Data!Q$10*IF(Source_Data!$C$10=0,0,MAX(0,Inputs!$B$19*Inputs!$B$22*$B$437-Inputs!$B$20)/Source_Data!$C$10)</f>
        <v>56.25</v>
      </c>
      <c r="R445" s="33" t="n">
        <f aca="false">Source_Data!R$9+Source_Data!R$10*IF(Source_Data!$C$10=0,0,MAX(0,Inputs!$B$19*Inputs!$B$22*$B$437-Inputs!$B$20)/Source_Data!$C$10)</f>
        <v>56.25</v>
      </c>
      <c r="S445" s="33" t="n">
        <f aca="false">Source_Data!S$9+Source_Data!S$10*IF(Source_Data!$C$10=0,0,MAX(0,Inputs!$B$19*Inputs!$B$22*$B$437-Inputs!$B$20)/Source_Data!$C$10)</f>
        <v>56.25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241.1916115625</v>
      </c>
      <c r="AG445" s="33" t="n">
        <f aca="false">Source_Data!AG$9+Source_Data!AG$10*IF(Source_Data!$C$10=0,0,MAX(0,Inputs!$B$19*Inputs!$B$22*$B$437-Inputs!$B$20)/Source_Data!$C$10)</f>
        <v>16.10722640625</v>
      </c>
      <c r="AH445" s="33" t="n">
        <f aca="false">Source_Data!AH$9+Source_Data!AH$10*IF(Source_Data!$C$10=0,0,MAX(0,Inputs!$B$19*Inputs!$B$22*$B$437-Inputs!$B$20)/Source_Data!$C$10)</f>
        <v>14.4193678125</v>
      </c>
      <c r="AI445" s="33" t="n">
        <f aca="false">Source_Data!AI$9+Source_Data!AI$10*IF(Source_Data!$C$10=0,0,MAX(0,Inputs!$B$19*Inputs!$B$22*$B$437-Inputs!$B$20)/Source_Data!$C$10)</f>
        <v>12.73150921875</v>
      </c>
      <c r="AJ445" s="33" t="n">
        <f aca="false">Source_Data!AJ$9+Source_Data!AJ$10*IF(Source_Data!$C$10=0,0,MAX(0,Inputs!$B$19*Inputs!$B$22*$B$437-Inputs!$B$20)/Source_Data!$C$10)</f>
        <v>10.01136609375</v>
      </c>
      <c r="AK445" s="33" t="n">
        <f aca="false">Source_Data!AK$9+Source_Data!AK$10*IF(Source_Data!$C$10=0,0,MAX(0,Inputs!$B$19*Inputs!$B$22*$B$437-Inputs!$B$20)/Source_Data!$C$10)</f>
        <v>8.43603140625001</v>
      </c>
      <c r="AL445" s="33" t="n">
        <f aca="false">Source_Data!AL$9+Source_Data!AL$10*IF(Source_Data!$C$10=0,0,MAX(0,Inputs!$B$19*Inputs!$B$22*$B$437-Inputs!$B$20)/Source_Data!$C$10)</f>
        <v>7.35156187500001</v>
      </c>
      <c r="AM445" s="33" t="n">
        <f aca="false">Source_Data!AM$9+Source_Data!AM$10*IF(Source_Data!$C$10=0,0,MAX(0,Inputs!$B$19*Inputs!$B$22*$B$437-Inputs!$B$20)/Source_Data!$C$10)</f>
        <v>3.17023875000001</v>
      </c>
      <c r="AN445" s="33" t="n">
        <f aca="false">Source_Data!AN$9+Source_Data!AN$10*IF(Source_Data!$C$10=0,0,MAX(0,Inputs!$B$19*Inputs!$B$22*$B$437-Inputs!$B$20)/Source_Data!$C$10)</f>
        <v>3.17023875000001</v>
      </c>
      <c r="AO445" s="33" t="n">
        <f aca="false">Source_Data!AO$9+Source_Data!AO$10*IF(Source_Data!$C$10=0,0,MAX(0,Inputs!$B$19*Inputs!$B$22*$B$437-Inputs!$B$20)/Source_Data!$C$10)</f>
        <v>3.17023875000001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194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0</v>
      </c>
      <c r="I446" s="33" t="n">
        <f aca="false">Source_Data!I$11*$B$439</f>
        <v>0</v>
      </c>
      <c r="J446" s="33" t="n">
        <f aca="false">Source_Data!J$11*$B$439</f>
        <v>20</v>
      </c>
      <c r="K446" s="33" t="n">
        <f aca="false">Source_Data!K$11*$B$439</f>
        <v>26.4</v>
      </c>
      <c r="L446" s="33" t="n">
        <f aca="false">Source_Data!L$11*$B$439</f>
        <v>40</v>
      </c>
      <c r="M446" s="33" t="n">
        <f aca="false">Source_Data!M$11*$B$439</f>
        <v>26.4</v>
      </c>
      <c r="N446" s="33" t="n">
        <f aca="false">Source_Data!N$11*$B$439</f>
        <v>26.4</v>
      </c>
      <c r="O446" s="33" t="n">
        <f aca="false">Source_Data!O$11*$B$439</f>
        <v>26.4</v>
      </c>
      <c r="P446" s="33" t="n">
        <f aca="false">Source_Data!P$11*$B$439</f>
        <v>5.28</v>
      </c>
      <c r="Q446" s="33" t="n">
        <f aca="false">Source_Data!Q$11*$B$439</f>
        <v>5.28</v>
      </c>
      <c r="R446" s="33" t="n">
        <f aca="false">Source_Data!R$11*$B$439</f>
        <v>120</v>
      </c>
      <c r="S446" s="33" t="n">
        <f aca="false">Source_Data!S$11*$B$439</f>
        <v>120</v>
      </c>
      <c r="T446" s="33" t="n">
        <f aca="false">Source_Data!T$11*$B$439</f>
        <v>164</v>
      </c>
      <c r="U446" s="33" t="n">
        <f aca="false">Source_Data!U$11*$B$439</f>
        <v>117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196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0</v>
      </c>
      <c r="K447" s="33" t="n">
        <f aca="false">$B$437*IF(Source_Data!K$5-$B$438&gt;=1,INDEX(Source_Data!$D$12:$BK$12,1,Source_Data!K$5-$B$438),0)</f>
        <v>0</v>
      </c>
      <c r="L447" s="33" t="n">
        <f aca="false">$B$437*IF(Source_Data!L$5-$B$438&gt;=1,INDEX(Source_Data!$D$12:$BK$12,1,Source_Data!L$5-$B$438),0)</f>
        <v>14.49252</v>
      </c>
      <c r="M447" s="33" t="n">
        <f aca="false">$B$437*IF(Source_Data!M$5-$B$438&gt;=1,INDEX(Source_Data!$D$12:$BK$12,1,Source_Data!M$5-$B$438),0)</f>
        <v>14.49252</v>
      </c>
      <c r="N447" s="33" t="n">
        <f aca="false">$B$437*IF(Source_Data!N$5-$B$438&gt;=1,INDEX(Source_Data!$D$12:$BK$12,1,Source_Data!N$5-$B$438),0)</f>
        <v>12.43494</v>
      </c>
      <c r="O447" s="33" t="n">
        <f aca="false">$B$437*IF(Source_Data!O$5-$B$438&gt;=1,INDEX(Source_Data!$D$12:$BK$12,1,Source_Data!O$5-$B$438),0)</f>
        <v>7.20153</v>
      </c>
      <c r="P447" s="33" t="n">
        <f aca="false">$B$437*IF(Source_Data!P$5-$B$438&gt;=1,INDEX(Source_Data!$D$12:$BK$12,1,Source_Data!P$5-$B$438),0)</f>
        <v>7.93212</v>
      </c>
      <c r="Q447" s="33" t="n">
        <f aca="false">$B$437*IF(Source_Data!Q$5-$B$438&gt;=1,INDEX(Source_Data!$D$12:$BK$12,1,Source_Data!Q$5-$B$438),0)</f>
        <v>7.39536</v>
      </c>
      <c r="R447" s="33" t="n">
        <f aca="false">$B$437*IF(Source_Data!R$5-$B$438&gt;=1,INDEX(Source_Data!$D$12:$BK$12,1,Source_Data!R$5-$B$438),0)</f>
        <v>7.54446</v>
      </c>
      <c r="S447" s="33" t="n">
        <f aca="false">$B$437*IF(Source_Data!S$5-$B$438&gt;=1,INDEX(Source_Data!$D$12:$BK$12,1,Source_Data!S$5-$B$438),0)</f>
        <v>7.54446</v>
      </c>
      <c r="T447" s="33" t="n">
        <f aca="false">$B$437*IF(Source_Data!T$5-$B$438&gt;=1,INDEX(Source_Data!$D$12:$BK$12,1,Source_Data!T$5-$B$438),0)</f>
        <v>8.23032</v>
      </c>
      <c r="U447" s="33" t="n">
        <f aca="false">$B$437*IF(Source_Data!U$5-$B$438&gt;=1,INDEX(Source_Data!$D$12:$BK$12,1,Source_Data!U$5-$B$438),0)</f>
        <v>8.23032</v>
      </c>
      <c r="V447" s="33" t="n">
        <f aca="false">$B$437*IF(Source_Data!V$5-$B$438&gt;=1,INDEX(Source_Data!$D$12:$BK$12,1,Source_Data!V$5-$B$438),0)</f>
        <v>5.72544</v>
      </c>
      <c r="W447" s="33" t="n">
        <f aca="false">$B$437*IF(Source_Data!W$5-$B$438&gt;=1,INDEX(Source_Data!$D$12:$BK$12,1,Source_Data!W$5-$B$438),0)</f>
        <v>5.72544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215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0</v>
      </c>
      <c r="I448" s="33" t="n">
        <f aca="false">Source_Data!I$13*$B$439</f>
        <v>0</v>
      </c>
      <c r="J448" s="33" t="n">
        <f aca="false">Source_Data!J$13*$B$439</f>
        <v>3</v>
      </c>
      <c r="K448" s="33" t="n">
        <f aca="false">Source_Data!K$13*$B$439</f>
        <v>3.96</v>
      </c>
      <c r="L448" s="33" t="n">
        <f aca="false">Source_Data!L$13*$B$439</f>
        <v>6</v>
      </c>
      <c r="M448" s="33" t="n">
        <f aca="false">Source_Data!M$13*$B$439</f>
        <v>3.96</v>
      </c>
      <c r="N448" s="33" t="n">
        <f aca="false">Source_Data!N$13*$B$439</f>
        <v>3.96</v>
      </c>
      <c r="O448" s="33" t="n">
        <f aca="false">Source_Data!O$13*$B$439</f>
        <v>3.96</v>
      </c>
      <c r="P448" s="33" t="n">
        <f aca="false">Source_Data!P$13*$B$439</f>
        <v>0.792</v>
      </c>
      <c r="Q448" s="33" t="n">
        <f aca="false">Source_Data!Q$13*$B$439</f>
        <v>0.792</v>
      </c>
      <c r="R448" s="33" t="n">
        <f aca="false">Source_Data!R$13*$B$439</f>
        <v>18</v>
      </c>
      <c r="S448" s="33" t="n">
        <f aca="false">Source_Data!S$13*$B$439</f>
        <v>18</v>
      </c>
      <c r="T448" s="33" t="n">
        <f aca="false">Source_Data!T$13*$B$439</f>
        <v>24.6</v>
      </c>
      <c r="U448" s="33" t="n">
        <f aca="false">Source_Data!U$13*$B$439</f>
        <v>17.55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216</v>
      </c>
      <c r="D449" s="33" t="n">
        <f aca="false">D444-D445-D446-D447-D448</f>
        <v>0</v>
      </c>
      <c r="E449" s="33" t="n">
        <f aca="false">E444-E445-E446-E447-E448</f>
        <v>0</v>
      </c>
      <c r="F449" s="33" t="n">
        <f aca="false">F444-F445-F446-F447-F448</f>
        <v>0</v>
      </c>
      <c r="G449" s="33" t="n">
        <f aca="false">G444-G445-G446-G447-G448</f>
        <v>-85</v>
      </c>
      <c r="H449" s="33" t="n">
        <f aca="false">H444-H445-H446-H447-H448</f>
        <v>-22.5</v>
      </c>
      <c r="I449" s="33" t="n">
        <f aca="false">I444-I445-I446-I447-I448</f>
        <v>-22.5</v>
      </c>
      <c r="J449" s="33" t="n">
        <f aca="false">J444-J445-J446-J447-J448</f>
        <v>-45.5</v>
      </c>
      <c r="K449" s="33" t="n">
        <f aca="false">K444-K445-K446-K447-K448</f>
        <v>-52.86</v>
      </c>
      <c r="L449" s="33" t="n">
        <f aca="false">L444-L445-L446-L447-L448</f>
        <v>-87.37687</v>
      </c>
      <c r="M449" s="33" t="n">
        <f aca="false">M444-M445-M446-M447-M448</f>
        <v>-53.62122</v>
      </c>
      <c r="N449" s="33" t="n">
        <f aca="false">N444-N445-N446-N447-N448</f>
        <v>-29.534115</v>
      </c>
      <c r="O449" s="33" t="n">
        <f aca="false">O444-O445-O446-O447-O448</f>
        <v>-13.54314</v>
      </c>
      <c r="P449" s="33" t="n">
        <f aca="false">P444-P445-P446-P447-P448</f>
        <v>-3.16657500000001</v>
      </c>
      <c r="Q449" s="33" t="n">
        <f aca="false">Q444-Q445-Q446-Q447-Q448</f>
        <v>3.2559075</v>
      </c>
      <c r="R449" s="33" t="n">
        <f aca="false">R444-R445-R446-R447-R448</f>
        <v>-112.923405</v>
      </c>
      <c r="S449" s="33" t="n">
        <f aca="false">S444-S445-S446-S447-S448</f>
        <v>-96.18693</v>
      </c>
      <c r="T449" s="33" t="n">
        <f aca="false">T444-T445-T446-T447-T448</f>
        <v>-126.57788375</v>
      </c>
      <c r="U449" s="33" t="n">
        <f aca="false">U444-U445-U446-U447-U448</f>
        <v>-62.8829775</v>
      </c>
      <c r="V449" s="33" t="n">
        <f aca="false">V444-V445-V446-V447-V448</f>
        <v>632.3650275</v>
      </c>
      <c r="W449" s="33" t="n">
        <f aca="false">W444-W445-W446-W447-W448</f>
        <v>120.9147525</v>
      </c>
      <c r="X449" s="33" t="n">
        <f aca="false">X444-X445-X446-X447-X448</f>
        <v>90.0965924999999</v>
      </c>
      <c r="Y449" s="33" t="n">
        <f aca="false">Y444-Y445-Y446-Y447-Y448</f>
        <v>66.8369925</v>
      </c>
      <c r="Z449" s="33" t="n">
        <f aca="false">Z444-Z445-Z446-Z447-Z448</f>
        <v>65.0254275</v>
      </c>
      <c r="AA449" s="33" t="n">
        <f aca="false">AA444-AA445-AA446-AA447-AA448</f>
        <v>63.2138625</v>
      </c>
      <c r="AB449" s="33" t="n">
        <f aca="false">AB444-AB445-AB446-AB447-AB448</f>
        <v>77.279461875</v>
      </c>
      <c r="AC449" s="33" t="n">
        <f aca="false">AC444-AC445-AC446-AC447-AC448</f>
        <v>70.15341375</v>
      </c>
      <c r="AD449" s="33" t="n">
        <f aca="false">AD444-AD445-AD446-AD447-AD448</f>
        <v>61.33787625</v>
      </c>
      <c r="AE449" s="33" t="n">
        <f aca="false">AE444-AE445-AE446-AE447-AE448</f>
        <v>51.04624875</v>
      </c>
      <c r="AF449" s="33" t="n">
        <f aca="false">AF444-AF445-AF446-AF447-AF448</f>
        <v>-190.1453628125</v>
      </c>
      <c r="AG449" s="33" t="n">
        <f aca="false">AG444-AG445-AG446-AG447-AG448</f>
        <v>34.93902234375</v>
      </c>
      <c r="AH449" s="33" t="n">
        <f aca="false">AH444-AH445-AH446-AH447-AH448</f>
        <v>36.6268809375</v>
      </c>
      <c r="AI449" s="33" t="n">
        <f aca="false">AI444-AI445-AI446-AI447-AI448</f>
        <v>38.31473953125</v>
      </c>
      <c r="AJ449" s="33" t="n">
        <f aca="false">AJ444-AJ445-AJ446-AJ447-AJ448</f>
        <v>33.92001703125</v>
      </c>
      <c r="AK449" s="33" t="n">
        <f aca="false">AK444-AK445-AK446-AK447-AK448</f>
        <v>28.38048609375</v>
      </c>
      <c r="AL449" s="33" t="n">
        <f aca="false">AL444-AL445-AL446-AL447-AL448</f>
        <v>25.606993125</v>
      </c>
      <c r="AM449" s="33" t="n">
        <f aca="false">AM444-AM445-AM446-AM447-AM448</f>
        <v>25.93035375</v>
      </c>
      <c r="AN449" s="33" t="n">
        <f aca="false">AN444-AN445-AN446-AN447-AN448</f>
        <v>19.71288375</v>
      </c>
      <c r="AO449" s="33" t="n">
        <f aca="false">AO444-AO445-AO446-AO447-AO448</f>
        <v>16.11211875</v>
      </c>
      <c r="AP449" s="33" t="n">
        <f aca="false">AP444-AP445-AP446-AP447-AP448</f>
        <v>16.80357</v>
      </c>
      <c r="AQ449" s="33" t="n">
        <f aca="false">AQ444-AQ445-AQ446-AQ447-AQ448</f>
        <v>7.24626</v>
      </c>
      <c r="AR449" s="33" t="n">
        <f aca="false">AR444-AR445-AR446-AR447-AR448</f>
        <v>7.24626</v>
      </c>
      <c r="AS449" s="33" t="n">
        <f aca="false">AS444-AS445-AS446-AS447-AS448</f>
        <v>7.24626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217</v>
      </c>
      <c r="D450" s="33" t="n">
        <f aca="false">D449</f>
        <v>0</v>
      </c>
      <c r="E450" s="33" t="n">
        <f aca="false">D450+E449</f>
        <v>0</v>
      </c>
      <c r="F450" s="33" t="n">
        <f aca="false">E450+F449</f>
        <v>0</v>
      </c>
      <c r="G450" s="33" t="n">
        <f aca="false">F450+G449</f>
        <v>-85</v>
      </c>
      <c r="H450" s="33" t="n">
        <f aca="false">G450+H449</f>
        <v>-107.5</v>
      </c>
      <c r="I450" s="33" t="n">
        <f aca="false">H450+I449</f>
        <v>-130</v>
      </c>
      <c r="J450" s="33" t="n">
        <f aca="false">I450+J449</f>
        <v>-175.5</v>
      </c>
      <c r="K450" s="33" t="n">
        <f aca="false">J450+K449</f>
        <v>-228.36</v>
      </c>
      <c r="L450" s="33" t="n">
        <f aca="false">K450+L449</f>
        <v>-315.73687</v>
      </c>
      <c r="M450" s="33" t="n">
        <f aca="false">L450+M449</f>
        <v>-369.35809</v>
      </c>
      <c r="N450" s="33" t="n">
        <f aca="false">M450+N449</f>
        <v>-398.892205</v>
      </c>
      <c r="O450" s="33" t="n">
        <f aca="false">N450+O449</f>
        <v>-412.435345</v>
      </c>
      <c r="P450" s="33" t="n">
        <f aca="false">O450+P449</f>
        <v>-415.60192</v>
      </c>
      <c r="Q450" s="33" t="n">
        <f aca="false">P450+Q449</f>
        <v>-412.3460125</v>
      </c>
      <c r="R450" s="33" t="n">
        <f aca="false">Q450+R449</f>
        <v>-525.2694175</v>
      </c>
      <c r="S450" s="33" t="n">
        <f aca="false">R450+S449</f>
        <v>-621.4563475</v>
      </c>
      <c r="T450" s="33" t="n">
        <f aca="false">S450+T449</f>
        <v>-748.03423125</v>
      </c>
      <c r="U450" s="33" t="n">
        <f aca="false">T450+U449</f>
        <v>-810.91720875</v>
      </c>
      <c r="V450" s="33" t="n">
        <f aca="false">U450+V449</f>
        <v>-178.55218125</v>
      </c>
      <c r="W450" s="33" t="n">
        <f aca="false">V450+W449</f>
        <v>-57.6374287500002</v>
      </c>
      <c r="X450" s="33" t="n">
        <f aca="false">W450+X449</f>
        <v>32.4591637499997</v>
      </c>
      <c r="Y450" s="33" t="n">
        <f aca="false">X450+Y449</f>
        <v>99.2961562499996</v>
      </c>
      <c r="Z450" s="33" t="n">
        <f aca="false">Y450+Z449</f>
        <v>164.32158375</v>
      </c>
      <c r="AA450" s="33" t="n">
        <f aca="false">Z450+AA449</f>
        <v>227.53544625</v>
      </c>
      <c r="AB450" s="33" t="n">
        <f aca="false">AA450+AB449</f>
        <v>304.814908125</v>
      </c>
      <c r="AC450" s="33" t="n">
        <f aca="false">AB450+AC449</f>
        <v>374.968321875</v>
      </c>
      <c r="AD450" s="33" t="n">
        <f aca="false">AC450+AD449</f>
        <v>436.306198125</v>
      </c>
      <c r="AE450" s="33" t="n">
        <f aca="false">AD450+AE449</f>
        <v>487.352446875</v>
      </c>
      <c r="AF450" s="33" t="n">
        <f aca="false">AE450+AF449</f>
        <v>297.2070840625</v>
      </c>
      <c r="AG450" s="33" t="n">
        <f aca="false">AF450+AG449</f>
        <v>332.14610640625</v>
      </c>
      <c r="AH450" s="33" t="n">
        <f aca="false">AG450+AH449</f>
        <v>368.77298734375</v>
      </c>
      <c r="AI450" s="33" t="n">
        <f aca="false">AH450+AI449</f>
        <v>407.087726875</v>
      </c>
      <c r="AJ450" s="33" t="n">
        <f aca="false">AI450+AJ449</f>
        <v>441.00774390625</v>
      </c>
      <c r="AK450" s="33" t="n">
        <f aca="false">AJ450+AK449</f>
        <v>469.38823</v>
      </c>
      <c r="AL450" s="33" t="n">
        <f aca="false">AK450+AL449</f>
        <v>494.995223125</v>
      </c>
      <c r="AM450" s="33" t="n">
        <f aca="false">AL450+AM449</f>
        <v>520.925576875</v>
      </c>
      <c r="AN450" s="33" t="n">
        <f aca="false">AM450+AN449</f>
        <v>540.638460624999</v>
      </c>
      <c r="AO450" s="33" t="n">
        <f aca="false">AN450+AO449</f>
        <v>556.750579375</v>
      </c>
      <c r="AP450" s="33" t="n">
        <f aca="false">AO450+AP449</f>
        <v>573.554149375</v>
      </c>
      <c r="AQ450" s="33" t="n">
        <f aca="false">AP450+AQ449</f>
        <v>580.800409375</v>
      </c>
      <c r="AR450" s="33" t="n">
        <f aca="false">AQ450+AR449</f>
        <v>588.046669375</v>
      </c>
      <c r="AS450" s="33" t="n">
        <f aca="false">AR450+AS449</f>
        <v>595.292929375</v>
      </c>
      <c r="AT450" s="33" t="n">
        <f aca="false">AS450+AT449</f>
        <v>595.292929375</v>
      </c>
      <c r="AU450" s="33" t="n">
        <f aca="false">AT450+AU449</f>
        <v>595.292929375</v>
      </c>
      <c r="AV450" s="33" t="n">
        <f aca="false">AU450+AV449</f>
        <v>595.292929375</v>
      </c>
      <c r="AW450" s="33" t="n">
        <f aca="false">AV450+AW449</f>
        <v>595.292929375</v>
      </c>
      <c r="AX450" s="33" t="n">
        <f aca="false">AW450+AX449</f>
        <v>595.292929375</v>
      </c>
      <c r="AY450" s="33" t="n">
        <f aca="false">AX450+AY449</f>
        <v>595.292929375</v>
      </c>
      <c r="AZ450" s="33" t="n">
        <f aca="false">AY450+AZ449</f>
        <v>595.292929375</v>
      </c>
      <c r="BA450" s="33" t="n">
        <f aca="false">AZ450+BA449</f>
        <v>595.292929375</v>
      </c>
      <c r="BB450" s="33" t="n">
        <f aca="false">BA450+BB449</f>
        <v>595.292929375</v>
      </c>
      <c r="BC450" s="33" t="n">
        <f aca="false">BB450+BC449</f>
        <v>595.292929375</v>
      </c>
      <c r="BD450" s="33" t="n">
        <f aca="false">BC450+BD449</f>
        <v>595.292929375</v>
      </c>
      <c r="BE450" s="33" t="n">
        <f aca="false">BD450+BE449</f>
        <v>595.292929375</v>
      </c>
      <c r="BF450" s="33" t="n">
        <f aca="false">BE450+BF449</f>
        <v>595.292929375</v>
      </c>
      <c r="BG450" s="33" t="n">
        <f aca="false">BF450+BG449</f>
        <v>595.292929375</v>
      </c>
      <c r="BH450" s="33" t="n">
        <f aca="false">BG450+BH449</f>
        <v>595.292929375</v>
      </c>
      <c r="BI450" s="33" t="n">
        <f aca="false">BH450+BI449</f>
        <v>595.292929375</v>
      </c>
      <c r="BJ450" s="33" t="n">
        <f aca="false">BI450+BJ449</f>
        <v>595.292929375</v>
      </c>
      <c r="BK450" s="33" t="n">
        <f aca="false">BJ450+BK449</f>
        <v>595.292929375</v>
      </c>
    </row>
    <row r="451" customFormat="false" ht="15" hidden="false" customHeight="false" outlineLevel="0" collapsed="false">
      <c r="A451" s="3" t="s">
        <v>340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-50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0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0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35.9259259259259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35.9259259259259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35.9259259259259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35.9259259259259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341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0</v>
      </c>
      <c r="N452" s="33" t="n">
        <f aca="false">IF(AND(Source_Data!N$6&gt;=Inputs!$B$54,Source_Data!N$6&lt;Inputs!$B$54+3*Inputs!$B$11),Inputs!$B$9*Inputs!$B$7/Inputs!$B$11,0)</f>
        <v>0</v>
      </c>
      <c r="O452" s="33" t="n">
        <f aca="false">IF(AND(Source_Data!O$6&gt;=Inputs!$B$54,Source_Data!O$6&lt;Inputs!$B$54+3*Inputs!$B$11),Inputs!$B$9*Inputs!$B$7/Inputs!$B$11,0)</f>
        <v>0</v>
      </c>
      <c r="P452" s="33" t="n">
        <f aca="false">IF(AND(Source_Data!P$6&gt;=Inputs!$B$54,Source_Data!P$6&lt;Inputs!$B$54+3*Inputs!$B$11),Inputs!$B$9*Inputs!$B$7/Inputs!$B$11,0)</f>
        <v>9.58333333333333</v>
      </c>
      <c r="Q452" s="33" t="n">
        <f aca="false">IF(AND(Source_Data!Q$6&gt;=Inputs!$B$54,Source_Data!Q$6&lt;Inputs!$B$54+3*Inputs!$B$11),Inputs!$B$9*Inputs!$B$7/Inputs!$B$11,0)</f>
        <v>9.58333333333333</v>
      </c>
      <c r="R452" s="33" t="n">
        <f aca="false">IF(AND(Source_Data!R$6&gt;=Inputs!$B$54,Source_Data!R$6&lt;Inputs!$B$54+3*Inputs!$B$11),Inputs!$B$9*Inputs!$B$7/Inputs!$B$11,0)</f>
        <v>9.58333333333333</v>
      </c>
      <c r="S452" s="33" t="n">
        <f aca="false">IF(AND(Source_Data!S$6&gt;=Inputs!$B$54,Source_Data!S$6&lt;Inputs!$B$54+3*Inputs!$B$11),Inputs!$B$9*Inputs!$B$7/Inputs!$B$11,0)</f>
        <v>9.58333333333333</v>
      </c>
      <c r="T452" s="33" t="n">
        <f aca="false">IF(AND(Source_Data!T$6&gt;=Inputs!$B$54,Source_Data!T$6&lt;Inputs!$B$54+3*Inputs!$B$11),Inputs!$B$9*Inputs!$B$7/Inputs!$B$11,0)</f>
        <v>9.58333333333333</v>
      </c>
      <c r="U452" s="33" t="n">
        <f aca="false">IF(AND(Source_Data!U$6&gt;=Inputs!$B$54,Source_Data!U$6&lt;Inputs!$B$54+3*Inputs!$B$11),Inputs!$B$9*Inputs!$B$7/Inputs!$B$11,0)</f>
        <v>9.58333333333333</v>
      </c>
      <c r="V452" s="33" t="n">
        <f aca="false">IF(AND(Source_Data!V$6&gt;=Inputs!$B$54,Source_Data!V$6&lt;Inputs!$B$54+3*Inputs!$B$11),Inputs!$B$9*Inputs!$B$7/Inputs!$B$11,0)</f>
        <v>9.58333333333333</v>
      </c>
      <c r="W452" s="33" t="n">
        <f aca="false">IF(AND(Source_Data!W$6&gt;=Inputs!$B$54,Source_Data!W$6&lt;Inputs!$B$54+3*Inputs!$B$11),Inputs!$B$9*Inputs!$B$7/Inputs!$B$11,0)</f>
        <v>9.58333333333333</v>
      </c>
      <c r="X452" s="33" t="n">
        <f aca="false">IF(AND(Source_Data!X$6&gt;=Inputs!$B$54,Source_Data!X$6&lt;Inputs!$B$54+3*Inputs!$B$11),Inputs!$B$9*Inputs!$B$7/Inputs!$B$11,0)</f>
        <v>9.58333333333333</v>
      </c>
      <c r="Y452" s="33" t="n">
        <f aca="false">IF(AND(Source_Data!Y$6&gt;=Inputs!$B$54,Source_Data!Y$6&lt;Inputs!$B$54+3*Inputs!$B$11),Inputs!$B$9*Inputs!$B$7/Inputs!$B$11,0)</f>
        <v>9.58333333333333</v>
      </c>
      <c r="Z452" s="33" t="n">
        <f aca="false">IF(AND(Source_Data!Z$6&gt;=Inputs!$B$54,Source_Data!Z$6&lt;Inputs!$B$54+3*Inputs!$B$11),Inputs!$B$9*Inputs!$B$7/Inputs!$B$11,0)</f>
        <v>9.58333333333333</v>
      </c>
      <c r="AA452" s="33" t="n">
        <f aca="false">IF(AND(Source_Data!AA$6&gt;=Inputs!$B$54,Source_Data!AA$6&lt;Inputs!$B$54+3*Inputs!$B$11),Inputs!$B$9*Inputs!$B$7/Inputs!$B$11,0)</f>
        <v>9.58333333333333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342</v>
      </c>
      <c r="D453" s="33" t="n">
        <f aca="false">IF(Source_Data!D$6=Inputs!$B$12,-Inputs!$B$7,0)+D452</f>
        <v>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-50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0</v>
      </c>
      <c r="N453" s="33" t="n">
        <f aca="false">IF(Source_Data!N$6=Inputs!$B$12,-Inputs!$B$7,0)+N452</f>
        <v>0</v>
      </c>
      <c r="O453" s="33" t="n">
        <f aca="false">IF(Source_Data!O$6=Inputs!$B$12,-Inputs!$B$7,0)+O452</f>
        <v>0</v>
      </c>
      <c r="P453" s="33" t="n">
        <f aca="false">IF(Source_Data!P$6=Inputs!$B$12,-Inputs!$B$7,0)+P452</f>
        <v>9.58333333333333</v>
      </c>
      <c r="Q453" s="33" t="n">
        <f aca="false">IF(Source_Data!Q$6=Inputs!$B$12,-Inputs!$B$7,0)+Q452</f>
        <v>9.58333333333333</v>
      </c>
      <c r="R453" s="33" t="n">
        <f aca="false">IF(Source_Data!R$6=Inputs!$B$12,-Inputs!$B$7,0)+R452</f>
        <v>9.58333333333333</v>
      </c>
      <c r="S453" s="33" t="n">
        <f aca="false">IF(Source_Data!S$6=Inputs!$B$12,-Inputs!$B$7,0)+S452</f>
        <v>9.58333333333333</v>
      </c>
      <c r="T453" s="33" t="n">
        <f aca="false">IF(Source_Data!T$6=Inputs!$B$12,-Inputs!$B$7,0)+T452</f>
        <v>9.58333333333333</v>
      </c>
      <c r="U453" s="33" t="n">
        <f aca="false">IF(Source_Data!U$6=Inputs!$B$12,-Inputs!$B$7,0)+U452</f>
        <v>9.58333333333333</v>
      </c>
      <c r="V453" s="33" t="n">
        <f aca="false">IF(Source_Data!V$6=Inputs!$B$12,-Inputs!$B$7,0)+V452</f>
        <v>9.58333333333333</v>
      </c>
      <c r="W453" s="33" t="n">
        <f aca="false">IF(Source_Data!W$6=Inputs!$B$12,-Inputs!$B$7,0)+W452</f>
        <v>9.58333333333333</v>
      </c>
      <c r="X453" s="33" t="n">
        <f aca="false">IF(Source_Data!X$6=Inputs!$B$12,-Inputs!$B$7,0)+X452</f>
        <v>9.58333333333333</v>
      </c>
      <c r="Y453" s="33" t="n">
        <f aca="false">IF(Source_Data!Y$6=Inputs!$B$12,-Inputs!$B$7,0)+Y452</f>
        <v>9.58333333333333</v>
      </c>
      <c r="Z453" s="33" t="n">
        <f aca="false">IF(Source_Data!Z$6=Inputs!$B$12,-Inputs!$B$7,0)+Z452</f>
        <v>9.58333333333333</v>
      </c>
      <c r="AA453" s="33" t="n">
        <f aca="false">IF(Source_Data!AA$6=Inputs!$B$12,-Inputs!$B$7,0)+AA452</f>
        <v>9.58333333333333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343</v>
      </c>
      <c r="D454" s="33" t="n">
        <f aca="false">IF(Source_Data!D$6=Inputs!$B$12,Inputs!$B$7,0)+D449-D452</f>
        <v>0</v>
      </c>
      <c r="E454" s="33" t="n">
        <f aca="false">D454+IF(Source_Data!E$6=Inputs!$B$12,Inputs!$B$7,0)+E449-E452</f>
        <v>0</v>
      </c>
      <c r="F454" s="33" t="n">
        <f aca="false">E454+IF(Source_Data!F$6=Inputs!$B$12,Inputs!$B$7,0)+F449-F452</f>
        <v>0</v>
      </c>
      <c r="G454" s="33" t="n">
        <f aca="false">F454+IF(Source_Data!G$6=Inputs!$B$12,Inputs!$B$7,0)+G449-G452</f>
        <v>-35</v>
      </c>
      <c r="H454" s="33" t="n">
        <f aca="false">G454+IF(Source_Data!H$6=Inputs!$B$12,Inputs!$B$7,0)+H449-H452</f>
        <v>-57.5</v>
      </c>
      <c r="I454" s="33" t="n">
        <f aca="false">H454+IF(Source_Data!I$6=Inputs!$B$12,Inputs!$B$7,0)+I449-I452</f>
        <v>-80</v>
      </c>
      <c r="J454" s="33" t="n">
        <f aca="false">I454+IF(Source_Data!J$6=Inputs!$B$12,Inputs!$B$7,0)+J449-J452</f>
        <v>-125.5</v>
      </c>
      <c r="K454" s="33" t="n">
        <f aca="false">J454+IF(Source_Data!K$6=Inputs!$B$12,Inputs!$B$7,0)+K449-K452</f>
        <v>-178.36</v>
      </c>
      <c r="L454" s="33" t="n">
        <f aca="false">K454+IF(Source_Data!L$6=Inputs!$B$12,Inputs!$B$7,0)+L449-L452</f>
        <v>-265.73687</v>
      </c>
      <c r="M454" s="33" t="n">
        <f aca="false">L454+IF(Source_Data!M$6=Inputs!$B$12,Inputs!$B$7,0)+M449-M452</f>
        <v>-319.35809</v>
      </c>
      <c r="N454" s="33" t="n">
        <f aca="false">M454+IF(Source_Data!N$6=Inputs!$B$12,Inputs!$B$7,0)+N449-N452</f>
        <v>-348.892205</v>
      </c>
      <c r="O454" s="33" t="n">
        <f aca="false">N454+IF(Source_Data!O$6=Inputs!$B$12,Inputs!$B$7,0)+O449-O452</f>
        <v>-362.435345</v>
      </c>
      <c r="P454" s="33" t="n">
        <f aca="false">O454+IF(Source_Data!P$6=Inputs!$B$12,Inputs!$B$7,0)+P449-P452</f>
        <v>-375.185253333333</v>
      </c>
      <c r="Q454" s="33" t="n">
        <f aca="false">P454+IF(Source_Data!Q$6=Inputs!$B$12,Inputs!$B$7,0)+Q449-Q452</f>
        <v>-381.512679166667</v>
      </c>
      <c r="R454" s="33" t="n">
        <f aca="false">Q454+IF(Source_Data!R$6=Inputs!$B$12,Inputs!$B$7,0)+R449-R452</f>
        <v>-504.0194175</v>
      </c>
      <c r="S454" s="33" t="n">
        <f aca="false">R454+IF(Source_Data!S$6=Inputs!$B$12,Inputs!$B$7,0)+S449-S452</f>
        <v>-609.789680833333</v>
      </c>
      <c r="T454" s="33" t="n">
        <f aca="false">S454+IF(Source_Data!T$6=Inputs!$B$12,Inputs!$B$7,0)+T449-T452</f>
        <v>-745.950897916667</v>
      </c>
      <c r="U454" s="33" t="n">
        <f aca="false">T454+IF(Source_Data!U$6=Inputs!$B$12,Inputs!$B$7,0)+U449-U452</f>
        <v>-818.41720875</v>
      </c>
      <c r="V454" s="33" t="n">
        <f aca="false">U454+IF(Source_Data!V$6=Inputs!$B$12,Inputs!$B$7,0)+V449-V452</f>
        <v>-195.635514583334</v>
      </c>
      <c r="W454" s="33" t="n">
        <f aca="false">V454+IF(Source_Data!W$6=Inputs!$B$12,Inputs!$B$7,0)+W449-W452</f>
        <v>-84.3040954166671</v>
      </c>
      <c r="X454" s="33" t="n">
        <f aca="false">W454+IF(Source_Data!X$6=Inputs!$B$12,Inputs!$B$7,0)+X449-X452</f>
        <v>-3.79083625000057</v>
      </c>
      <c r="Y454" s="33" t="n">
        <f aca="false">X454+IF(Source_Data!Y$6=Inputs!$B$12,Inputs!$B$7,0)+Y449-Y452</f>
        <v>53.4628229166661</v>
      </c>
      <c r="Z454" s="33" t="n">
        <f aca="false">Y454+IF(Source_Data!Z$6=Inputs!$B$12,Inputs!$B$7,0)+Z449-Z452</f>
        <v>108.904917083333</v>
      </c>
      <c r="AA454" s="33" t="n">
        <f aca="false">Z454+IF(Source_Data!AA$6=Inputs!$B$12,Inputs!$B$7,0)+AA449-AA452</f>
        <v>162.535446249999</v>
      </c>
      <c r="AB454" s="33" t="n">
        <f aca="false">AA454+IF(Source_Data!AB$6=Inputs!$B$12,Inputs!$B$7,0)+AB449-AB452</f>
        <v>239.814908124999</v>
      </c>
      <c r="AC454" s="33" t="n">
        <f aca="false">AB454+IF(Source_Data!AC$6=Inputs!$B$12,Inputs!$B$7,0)+AC449-AC452</f>
        <v>309.968321874999</v>
      </c>
      <c r="AD454" s="33" t="n">
        <f aca="false">AC454+IF(Source_Data!AD$6=Inputs!$B$12,Inputs!$B$7,0)+AD449-AD452</f>
        <v>371.306198124999</v>
      </c>
      <c r="AE454" s="33" t="n">
        <f aca="false">AD454+IF(Source_Data!AE$6=Inputs!$B$12,Inputs!$B$7,0)+AE449-AE452</f>
        <v>422.352446874999</v>
      </c>
      <c r="AF454" s="33" t="n">
        <f aca="false">AE454+IF(Source_Data!AF$6=Inputs!$B$12,Inputs!$B$7,0)+AF449-AF452</f>
        <v>232.207084062499</v>
      </c>
      <c r="AG454" s="33" t="n">
        <f aca="false">AF454+IF(Source_Data!AG$6=Inputs!$B$12,Inputs!$B$7,0)+AG449-AG452</f>
        <v>267.146106406249</v>
      </c>
      <c r="AH454" s="33" t="n">
        <f aca="false">AG454+IF(Source_Data!AH$6=Inputs!$B$12,Inputs!$B$7,0)+AH449-AH452</f>
        <v>303.772987343749</v>
      </c>
      <c r="AI454" s="33" t="n">
        <f aca="false">AH454+IF(Source_Data!AI$6=Inputs!$B$12,Inputs!$B$7,0)+AI449-AI452</f>
        <v>342.087726874999</v>
      </c>
      <c r="AJ454" s="33" t="n">
        <f aca="false">AI454+IF(Source_Data!AJ$6=Inputs!$B$12,Inputs!$B$7,0)+AJ449-AJ452</f>
        <v>376.007743906249</v>
      </c>
      <c r="AK454" s="33" t="n">
        <f aca="false">AJ454+IF(Source_Data!AK$6=Inputs!$B$12,Inputs!$B$7,0)+AK449-AK452</f>
        <v>404.388229999999</v>
      </c>
      <c r="AL454" s="33" t="n">
        <f aca="false">AK454+IF(Source_Data!AL$6=Inputs!$B$12,Inputs!$B$7,0)+AL449-AL452</f>
        <v>429.995223124999</v>
      </c>
      <c r="AM454" s="33" t="n">
        <f aca="false">AL454+IF(Source_Data!AM$6=Inputs!$B$12,Inputs!$B$7,0)+AM449-AM452</f>
        <v>455.925576874999</v>
      </c>
      <c r="AN454" s="33" t="n">
        <f aca="false">AM454+IF(Source_Data!AN$6=Inputs!$B$12,Inputs!$B$7,0)+AN449-AN452</f>
        <v>475.638460624999</v>
      </c>
      <c r="AO454" s="33" t="n">
        <f aca="false">AN454+IF(Source_Data!AO$6=Inputs!$B$12,Inputs!$B$7,0)+AO449-AO452</f>
        <v>491.750579374999</v>
      </c>
      <c r="AP454" s="33" t="n">
        <f aca="false">AO454+IF(Source_Data!AP$6=Inputs!$B$12,Inputs!$B$7,0)+AP449-AP452</f>
        <v>508.554149374999</v>
      </c>
      <c r="AQ454" s="33" t="n">
        <f aca="false">AP454+IF(Source_Data!AQ$6=Inputs!$B$12,Inputs!$B$7,0)+AQ449-AQ452</f>
        <v>515.800409374999</v>
      </c>
      <c r="AR454" s="33" t="n">
        <f aca="false">AQ454+IF(Source_Data!AR$6=Inputs!$B$12,Inputs!$B$7,0)+AR449-AR452</f>
        <v>523.046669374999</v>
      </c>
      <c r="AS454" s="33" t="n">
        <f aca="false">AR454+IF(Source_Data!AS$6=Inputs!$B$12,Inputs!$B$7,0)+AS449-AS452</f>
        <v>530.292929374999</v>
      </c>
      <c r="AT454" s="33" t="n">
        <f aca="false">AS454+IF(Source_Data!AT$6=Inputs!$B$12,Inputs!$B$7,0)+AT449-AT452</f>
        <v>530.292929374999</v>
      </c>
      <c r="AU454" s="33" t="n">
        <f aca="false">AT454+IF(Source_Data!AU$6=Inputs!$B$12,Inputs!$B$7,0)+AU449-AU452</f>
        <v>530.292929374999</v>
      </c>
      <c r="AV454" s="33" t="n">
        <f aca="false">AU454+IF(Source_Data!AV$6=Inputs!$B$12,Inputs!$B$7,0)+AV449-AV452</f>
        <v>530.292929374999</v>
      </c>
      <c r="AW454" s="33" t="n">
        <f aca="false">AV454+IF(Source_Data!AW$6=Inputs!$B$12,Inputs!$B$7,0)+AW449-AW452</f>
        <v>530.292929374999</v>
      </c>
      <c r="AX454" s="33" t="n">
        <f aca="false">AW454+IF(Source_Data!AX$6=Inputs!$B$12,Inputs!$B$7,0)+AX449-AX452</f>
        <v>530.292929374999</v>
      </c>
      <c r="AY454" s="33" t="n">
        <f aca="false">AX454+IF(Source_Data!AY$6=Inputs!$B$12,Inputs!$B$7,0)+AY449-AY452</f>
        <v>530.292929374999</v>
      </c>
      <c r="AZ454" s="33" t="n">
        <f aca="false">AY454+IF(Source_Data!AZ$6=Inputs!$B$12,Inputs!$B$7,0)+AZ449-AZ452</f>
        <v>530.292929374999</v>
      </c>
      <c r="BA454" s="33" t="n">
        <f aca="false">AZ454+IF(Source_Data!BA$6=Inputs!$B$12,Inputs!$B$7,0)+BA449-BA452</f>
        <v>530.292929374999</v>
      </c>
      <c r="BB454" s="33" t="n">
        <f aca="false">BA454+IF(Source_Data!BB$6=Inputs!$B$12,Inputs!$B$7,0)+BB449-BB452</f>
        <v>530.292929374999</v>
      </c>
      <c r="BC454" s="33" t="n">
        <f aca="false">BB454+IF(Source_Data!BC$6=Inputs!$B$12,Inputs!$B$7,0)+BC449-BC452</f>
        <v>530.292929374999</v>
      </c>
      <c r="BD454" s="33" t="n">
        <f aca="false">BC454+IF(Source_Data!BD$6=Inputs!$B$12,Inputs!$B$7,0)+BD449-BD452</f>
        <v>530.292929374999</v>
      </c>
      <c r="BE454" s="33" t="n">
        <f aca="false">BD454+IF(Source_Data!BE$6=Inputs!$B$12,Inputs!$B$7,0)+BE449-BE452</f>
        <v>530.292929374999</v>
      </c>
      <c r="BF454" s="33" t="n">
        <f aca="false">BE454+IF(Source_Data!BF$6=Inputs!$B$12,Inputs!$B$7,0)+BF449-BF452</f>
        <v>530.292929374999</v>
      </c>
      <c r="BG454" s="33" t="n">
        <f aca="false">BF454+IF(Source_Data!BG$6=Inputs!$B$12,Inputs!$B$7,0)+BG449-BG452</f>
        <v>530.292929374999</v>
      </c>
      <c r="BH454" s="33" t="n">
        <f aca="false">BG454+IF(Source_Data!BH$6=Inputs!$B$12,Inputs!$B$7,0)+BH449-BH452</f>
        <v>530.292929374999</v>
      </c>
      <c r="BI454" s="33" t="n">
        <f aca="false">BH454+IF(Source_Data!BI$6=Inputs!$B$12,Inputs!$B$7,0)+BI449-BI452</f>
        <v>530.292929374999</v>
      </c>
      <c r="BJ454" s="33" t="n">
        <f aca="false">BI454+IF(Source_Data!BJ$6=Inputs!$B$12,Inputs!$B$7,0)+BJ449-BJ452</f>
        <v>530.292929374999</v>
      </c>
      <c r="BK454" s="33" t="n">
        <f aca="false">BJ454+IF(Source_Data!BK$6=Inputs!$B$12,Inputs!$B$7,0)+BK449-BK452</f>
        <v>530.292929374999</v>
      </c>
    </row>
    <row r="455" customFormat="false" ht="15" hidden="false" customHeight="false" outlineLevel="0" collapsed="false">
      <c r="A455" s="3" t="s">
        <v>344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str">
        <f aca="false">IF(M452&gt;0,M449/M452,"")</f>
        <v/>
      </c>
      <c r="N455" s="31" t="str">
        <f aca="false">IF(N452&gt;0,N449/N452,"")</f>
        <v/>
      </c>
      <c r="O455" s="31" t="str">
        <f aca="false">IF(O452&gt;0,O449/O452,"")</f>
        <v/>
      </c>
      <c r="P455" s="31" t="n">
        <f aca="false">IF(P452&gt;0,P449/P452,"")</f>
        <v>-0.330425217391305</v>
      </c>
      <c r="Q455" s="31" t="n">
        <f aca="false">IF(Q452&gt;0,Q449/Q452,"")</f>
        <v>0.339746869565218</v>
      </c>
      <c r="R455" s="31" t="n">
        <f aca="false">IF(R452&gt;0,R449/R452,"")</f>
        <v>-11.783311826087</v>
      </c>
      <c r="S455" s="31" t="n">
        <f aca="false">IF(S452&gt;0,S449/S452,"")</f>
        <v>-10.0368970434783</v>
      </c>
      <c r="T455" s="31" t="n">
        <f aca="false">IF(T452&gt;0,T449/T452,"")</f>
        <v>-13.208127</v>
      </c>
      <c r="U455" s="31" t="n">
        <f aca="false">IF(U452&gt;0,U449/U452,"")</f>
        <v>-6.561702</v>
      </c>
      <c r="V455" s="31" t="n">
        <f aca="false">IF(V452&gt;0,V449/V452,"")</f>
        <v>65.9859159130435</v>
      </c>
      <c r="W455" s="31" t="n">
        <f aca="false">IF(W452&gt;0,W449/W452,"")</f>
        <v>12.6171915652174</v>
      </c>
      <c r="X455" s="31" t="n">
        <f aca="false">IF(X452&gt;0,X449/X452,"")</f>
        <v>9.40138356521738</v>
      </c>
      <c r="Y455" s="31" t="n">
        <f aca="false">IF(Y452&gt;0,Y449/Y452,"")</f>
        <v>6.97429486956521</v>
      </c>
      <c r="Z455" s="31" t="n">
        <f aca="false">IF(Z452&gt;0,Z449/Z452,"")</f>
        <v>6.785262</v>
      </c>
      <c r="AA455" s="31" t="n">
        <f aca="false">IF(AA452&gt;0,AA449/AA452,"")</f>
        <v>6.59622913043478</v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345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str">
        <f aca="false">IF(M452&gt;0,(L454+M449+IF(Source_Data!M$6=Inputs!$B$12,Inputs!$B$7,0))/M452,"")</f>
        <v/>
      </c>
      <c r="N456" s="31" t="str">
        <f aca="false">IF(N452&gt;0,(M454+N449+IF(Source_Data!N$6=Inputs!$B$12,Inputs!$B$7,0))/N452,"")</f>
        <v/>
      </c>
      <c r="O456" s="31" t="str">
        <f aca="false">IF(O452&gt;0,(N454+O449+IF(Source_Data!O$6=Inputs!$B$12,Inputs!$B$7,0))/O452,"")</f>
        <v/>
      </c>
      <c r="P456" s="31" t="n">
        <f aca="false">IF(P452&gt;0,(O454+P449+IF(Source_Data!P$6=Inputs!$B$12,Inputs!$B$7,0))/P452,"")</f>
        <v>-38.1497655652174</v>
      </c>
      <c r="Q456" s="31" t="n">
        <f aca="false">IF(Q452&gt;0,(P454+Q449+IF(Source_Data!Q$6=Inputs!$B$12,Inputs!$B$7,0))/Q452,"")</f>
        <v>-38.8100186956522</v>
      </c>
      <c r="R456" s="31" t="n">
        <f aca="false">IF(R452&gt;0,(Q454+R449+IF(Source_Data!R$6=Inputs!$B$12,Inputs!$B$7,0))/R452,"")</f>
        <v>-51.5933305217391</v>
      </c>
      <c r="S456" s="31" t="n">
        <f aca="false">IF(S452&gt;0,(R454+S449+IF(Source_Data!S$6=Inputs!$B$12,Inputs!$B$7,0))/S452,"")</f>
        <v>-62.6302275652174</v>
      </c>
      <c r="T456" s="31" t="n">
        <f aca="false">IF(T452&gt;0,(S454+T449+IF(Source_Data!T$6=Inputs!$B$12,Inputs!$B$7,0))/T452,"")</f>
        <v>-76.8383545652174</v>
      </c>
      <c r="U456" s="31" t="n">
        <f aca="false">IF(U452&gt;0,(T454+U449+IF(Source_Data!U$6=Inputs!$B$12,Inputs!$B$7,0))/U452,"")</f>
        <v>-84.4000565652174</v>
      </c>
      <c r="V456" s="31" t="n">
        <f aca="false">IF(V452&gt;0,(U454+V449+IF(Source_Data!V$6=Inputs!$B$12,Inputs!$B$7,0))/V452,"")</f>
        <v>-19.414140652174</v>
      </c>
      <c r="W456" s="31" t="n">
        <f aca="false">IF(W452&gt;0,(V454+W449+IF(Source_Data!W$6=Inputs!$B$12,Inputs!$B$7,0))/W452,"")</f>
        <v>-7.79694908695657</v>
      </c>
      <c r="X456" s="31" t="n">
        <f aca="false">IF(X452&gt;0,(W454+X449+IF(Source_Data!X$6=Inputs!$B$12,Inputs!$B$7,0))/X452,"")</f>
        <v>0.60443447826081</v>
      </c>
      <c r="Y456" s="31" t="n">
        <f aca="false">IF(Y452&gt;0,(X454+Y449+IF(Source_Data!Y$6=Inputs!$B$12,Inputs!$B$7,0))/Y452,"")</f>
        <v>6.57872934782602</v>
      </c>
      <c r="Z456" s="31" t="n">
        <f aca="false">IF(Z452&gt;0,(Y454+Z449+IF(Source_Data!Z$6=Inputs!$B$12,Inputs!$B$7,0))/Z452,"")</f>
        <v>12.363991347826</v>
      </c>
      <c r="AA456" s="31" t="n">
        <f aca="false">IF(AA452&gt;0,(Z454+AA449+IF(Source_Data!AA$6=Inputs!$B$12,Inputs!$B$7,0))/AA452,"")</f>
        <v>17.9602204782608</v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220</v>
      </c>
      <c r="B458" s="41" t="n">
        <f aca="false">SUM(D449:BK449)</f>
        <v>595.292929375</v>
      </c>
    </row>
    <row r="459" customFormat="false" ht="15" hidden="false" customHeight="false" outlineLevel="0" collapsed="false">
      <c r="A459" s="2" t="s">
        <v>346</v>
      </c>
      <c r="B459" s="41" t="n">
        <f aca="false">SUMPRODUCT(D449:BK449,Project_CF!$D$15:$BK$15)</f>
        <v>117.255627228281</v>
      </c>
    </row>
    <row r="460" customFormat="false" ht="15" hidden="false" customHeight="false" outlineLevel="0" collapsed="false">
      <c r="A460" s="2" t="s">
        <v>162</v>
      </c>
      <c r="B460" s="41" t="n">
        <f aca="false">MIN(D450:BK450)</f>
        <v>-810.91720875</v>
      </c>
    </row>
    <row r="461" customFormat="false" ht="15" hidden="false" customHeight="false" outlineLevel="0" collapsed="false">
      <c r="A461" s="2" t="s">
        <v>347</v>
      </c>
      <c r="B461" s="35" t="n">
        <f aca="false">INDEX(Project_CF!$D$6:$BK$6,MATCH(MIN(D450:BK450),D450:BK450,0))</f>
        <v>54</v>
      </c>
    </row>
    <row r="462" customFormat="false" ht="15" hidden="false" customHeight="false" outlineLevel="0" collapsed="false">
      <c r="A462" s="2" t="s">
        <v>348</v>
      </c>
      <c r="B462" s="39" t="n">
        <f aca="false">(1+IRR(D451:BK451,0.05))^4-1</f>
        <v>0.292473250549915</v>
      </c>
    </row>
    <row r="463" customFormat="false" ht="15" hidden="false" customHeight="false" outlineLevel="0" collapsed="false">
      <c r="A463" s="2" t="s">
        <v>349</v>
      </c>
      <c r="B463" s="40" t="n">
        <f aca="false">SUMIF(D451:BK451,"&gt;0")/-SUMIF(D451:BK451,"&lt;0")</f>
        <v>2.87407407407407</v>
      </c>
    </row>
    <row r="464" customFormat="false" ht="15" hidden="false" customHeight="false" outlineLevel="0" collapsed="false">
      <c r="A464" s="2" t="s">
        <v>350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351</v>
      </c>
      <c r="B465" s="41" t="n">
        <f aca="false">MIN(D454:BK454)</f>
        <v>-818.41720875</v>
      </c>
    </row>
    <row r="466" customFormat="false" ht="15" hidden="false" customHeight="false" outlineLevel="0" collapsed="false">
      <c r="A466" s="2" t="s">
        <v>352</v>
      </c>
      <c r="B466" s="43" t="n">
        <f aca="false">MIN(D455:BK455)</f>
        <v>-13.208127</v>
      </c>
    </row>
    <row r="467" customFormat="false" ht="15" hidden="false" customHeight="false" outlineLevel="0" collapsed="false">
      <c r="A467" s="2" t="s">
        <v>353</v>
      </c>
      <c r="B467" s="35" t="n">
        <f aca="false">COUNTIF(D455:BK455,"&lt;"&amp;Inputs!$B$43)</f>
        <v>6</v>
      </c>
    </row>
    <row r="468" customFormat="false" ht="15" hidden="false" customHeight="false" outlineLevel="0" collapsed="false">
      <c r="A468" s="2" t="s">
        <v>354</v>
      </c>
      <c r="B468" s="43" t="n">
        <f aca="false">MIN(D456:BK456)</f>
        <v>-84.4000565652174</v>
      </c>
    </row>
    <row r="469" customFormat="false" ht="15" hidden="false" customHeight="false" outlineLevel="0" collapsed="false">
      <c r="A469" s="2" t="s">
        <v>355</v>
      </c>
      <c r="B469" s="35" t="n">
        <f aca="false">COUNTIF(D456:BK456,"&lt;"&amp;Inputs!$B$43)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371</v>
      </c>
    </row>
    <row r="2" customFormat="false" ht="15" hidden="false" customHeight="false" outlineLevel="0" collapsed="false">
      <c r="A2" s="6" t="s">
        <v>372</v>
      </c>
    </row>
    <row r="4" customFormat="false" ht="15" hidden="false" customHeight="false" outlineLevel="0" collapsed="false">
      <c r="A4" s="7" t="s">
        <v>373</v>
      </c>
      <c r="B4" s="7" t="s">
        <v>374</v>
      </c>
      <c r="C4" s="7" t="s">
        <v>375</v>
      </c>
      <c r="D4" s="7" t="s">
        <v>376</v>
      </c>
      <c r="E4" s="7" t="s">
        <v>377</v>
      </c>
    </row>
    <row r="5" customFormat="false" ht="15" hidden="false" customHeight="false" outlineLevel="0" collapsed="false">
      <c r="A5" s="3" t="s">
        <v>220</v>
      </c>
      <c r="B5" s="46" t="n">
        <f aca="false">Project_CF!$B$18</f>
        <v>595.292929375</v>
      </c>
      <c r="C5" s="46" t="n">
        <f aca="false">Inputs!$B$46</f>
        <v>595.292929375</v>
      </c>
      <c r="D5" s="47" t="n">
        <f aca="false">ROUND(B5-C5,5)</f>
        <v>0</v>
      </c>
      <c r="E5" s="6" t="s">
        <v>228</v>
      </c>
    </row>
    <row r="6" customFormat="false" ht="15" hidden="false" customHeight="false" outlineLevel="0" collapsed="false">
      <c r="A6" s="3" t="s">
        <v>378</v>
      </c>
      <c r="B6" s="46" t="n">
        <f aca="false">Project_CF!$B$19</f>
        <v>307.532371091529</v>
      </c>
      <c r="C6" s="46" t="n">
        <f aca="false">Inputs!$B$47</f>
        <v>307.532371091529</v>
      </c>
      <c r="D6" s="47" t="n">
        <f aca="false">ROUND(B6-C6,5)</f>
        <v>0</v>
      </c>
      <c r="E6" s="6" t="s">
        <v>228</v>
      </c>
    </row>
    <row r="7" customFormat="false" ht="15" hidden="false" customHeight="false" outlineLevel="0" collapsed="false">
      <c r="A7" s="3" t="s">
        <v>379</v>
      </c>
      <c r="B7" s="46" t="n">
        <f aca="false">Project_CF!$B$20</f>
        <v>-102.0180625</v>
      </c>
      <c r="C7" s="46" t="n">
        <f aca="false">Inputs!$B$48</f>
        <v>-102.0180625</v>
      </c>
      <c r="D7" s="47" t="n">
        <f aca="false">ROUND(B7-C7,5)</f>
        <v>0</v>
      </c>
      <c r="E7" s="6" t="s">
        <v>228</v>
      </c>
    </row>
    <row r="8" customFormat="false" ht="15" hidden="false" customHeight="false" outlineLevel="0" collapsed="false">
      <c r="A8" s="3" t="s">
        <v>380</v>
      </c>
      <c r="B8" s="46" t="n">
        <f aca="false">Project_CF!$C$8</f>
        <v>2673.73575</v>
      </c>
      <c r="C8" s="46" t="n">
        <f aca="false">Inputs!$B$49</f>
        <v>2673.73575</v>
      </c>
      <c r="D8" s="47" t="n">
        <f aca="false">ROUND(B8-C8,5)</f>
        <v>0</v>
      </c>
      <c r="E8" s="6" t="s">
        <v>228</v>
      </c>
    </row>
    <row r="9" customFormat="false" ht="15" hidden="false" customHeight="false" outlineLevel="0" collapsed="false">
      <c r="A9" s="3" t="s">
        <v>166</v>
      </c>
      <c r="B9" s="46" t="n">
        <f aca="false">Project_CF!$C$9</f>
        <v>1169.759390625</v>
      </c>
      <c r="C9" s="46" t="n">
        <f aca="false">Inputs!$B$50</f>
        <v>1169.759390625</v>
      </c>
      <c r="D9" s="47" t="n">
        <f aca="false">ROUND(B9-C9,5)</f>
        <v>0</v>
      </c>
      <c r="E9" s="6" t="s">
        <v>228</v>
      </c>
    </row>
    <row r="10" customFormat="false" ht="15" hidden="false" customHeight="false" outlineLevel="0" collapsed="false">
      <c r="A10" s="3" t="s">
        <v>381</v>
      </c>
      <c r="B10" s="46" t="n">
        <f aca="false">Project_CF!$C$10+Project_CF!$C$11+Project_CF!$C$12</f>
        <v>908.68343</v>
      </c>
      <c r="C10" s="46" t="n">
        <f aca="false">Inputs!$B$51</f>
        <v>908.68343</v>
      </c>
      <c r="D10" s="47" t="n">
        <f aca="false">ROUND(B10-C10,5)</f>
        <v>0</v>
      </c>
      <c r="E10" s="6" t="s">
        <v>228</v>
      </c>
    </row>
    <row r="11" customFormat="false" ht="15" hidden="false" customHeight="false" outlineLevel="0" collapsed="false">
      <c r="A11" s="3" t="s">
        <v>382</v>
      </c>
      <c r="B11" s="46" t="n">
        <f aca="false">Scenarios!$B$26</f>
        <v>595.292929375</v>
      </c>
      <c r="C11" s="46" t="n">
        <f aca="false">Project_CF!$B$18</f>
        <v>595.292929375</v>
      </c>
      <c r="D11" s="47" t="n">
        <f aca="false">ROUND(B11-C11,5)</f>
        <v>0</v>
      </c>
      <c r="E11" s="6" t="s">
        <v>383</v>
      </c>
    </row>
    <row r="12" customFormat="false" ht="15" hidden="false" customHeight="false" outlineLevel="0" collapsed="false">
      <c r="A12" s="3" t="s">
        <v>384</v>
      </c>
      <c r="B12" s="46" t="n">
        <f aca="false">Scenarios!$B$27</f>
        <v>307.532371091529</v>
      </c>
      <c r="C12" s="46" t="n">
        <f aca="false">Project_CF!$B$19</f>
        <v>307.532371091529</v>
      </c>
      <c r="D12" s="47" t="n">
        <f aca="false">ROUND(B12-C12,5)</f>
        <v>0</v>
      </c>
      <c r="E12" s="6" t="s">
        <v>383</v>
      </c>
    </row>
    <row r="13" customFormat="false" ht="15" hidden="false" customHeight="false" outlineLevel="0" collapsed="false">
      <c r="A13" s="3" t="s">
        <v>385</v>
      </c>
      <c r="B13" s="46" t="n">
        <f aca="false">Option_A!B17</f>
        <v>93.7037037037037</v>
      </c>
      <c r="C13" s="46" t="n">
        <f aca="false">Option_A!B5*Inputs!$B$34*(1-Inputs!$B$15)-Inputs!$B$7</f>
        <v>93.7037037037037</v>
      </c>
      <c r="D13" s="47" t="n">
        <f aca="false">ROUND(B13-C13,5)</f>
        <v>0</v>
      </c>
      <c r="E13" s="6" t="s">
        <v>386</v>
      </c>
    </row>
    <row r="14" customFormat="false" ht="15" hidden="false" customHeight="false" outlineLevel="0" collapsed="false">
      <c r="A14" s="3" t="s">
        <v>387</v>
      </c>
      <c r="B14" s="46" t="n">
        <f aca="false">Option_B!B9</f>
        <v>115</v>
      </c>
      <c r="C14" s="46" t="n">
        <f aca="false">Inputs!$B$9*Inputs!$B$7</f>
        <v>115</v>
      </c>
      <c r="D14" s="47" t="n">
        <f aca="false">ROUND(B14-C14,5)</f>
        <v>0</v>
      </c>
      <c r="E14" s="6" t="s">
        <v>386</v>
      </c>
    </row>
    <row r="15" customFormat="false" ht="15" hidden="false" customHeight="false" outlineLevel="0" collapsed="false">
      <c r="A15" s="3" t="s">
        <v>388</v>
      </c>
      <c r="B15" s="46" t="n">
        <f aca="false">Sources_Uses!B14</f>
        <v>112.4754625</v>
      </c>
      <c r="C15" s="46" t="n">
        <f aca="false">MAX(Sources_Uses!B8,Sources_Uses!B12)</f>
        <v>112.4754625</v>
      </c>
      <c r="D15" s="47" t="n">
        <f aca="false">ROUND(B15-C15,5)</f>
        <v>0</v>
      </c>
      <c r="E15" s="6" t="s">
        <v>383</v>
      </c>
    </row>
    <row r="16" customFormat="false" ht="15" hidden="false" customHeight="false" outlineLevel="0" collapsed="false">
      <c r="A16" s="3" t="s">
        <v>389</v>
      </c>
      <c r="B16" s="46" t="n">
        <f aca="false">Option_A!B26</f>
        <v>0.292473250549915</v>
      </c>
      <c r="C16" s="25" t="n">
        <v>0.292473250550028</v>
      </c>
      <c r="D16" s="47" t="n">
        <f aca="false">ROUND(B16-C16,5)</f>
        <v>-0</v>
      </c>
      <c r="E16" s="6" t="s">
        <v>390</v>
      </c>
    </row>
    <row r="17" customFormat="false" ht="15" hidden="false" customHeight="false" outlineLevel="0" collapsed="false">
      <c r="A17" s="3" t="s">
        <v>391</v>
      </c>
      <c r="B17" s="46" t="n">
        <f aca="false">Option_A!B29</f>
        <v>0.225573897725612</v>
      </c>
      <c r="C17" s="25" t="n">
        <v>0.225573897725654</v>
      </c>
      <c r="D17" s="47" t="n">
        <f aca="false">ROUND(B17-C17,5)</f>
        <v>-0</v>
      </c>
      <c r="E17" s="6" t="s">
        <v>392</v>
      </c>
    </row>
    <row r="18" customFormat="false" ht="15" hidden="false" customHeight="false" outlineLevel="0" collapsed="false">
      <c r="A18" s="3" t="s">
        <v>393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392</v>
      </c>
    </row>
    <row r="19" customFormat="false" ht="15" hidden="false" customHeight="false" outlineLevel="0" collapsed="false">
      <c r="A19" s="3" t="s">
        <v>394</v>
      </c>
      <c r="B19" s="46" t="n">
        <f aca="false">Option_B!C34</f>
        <v>0.286576617236228</v>
      </c>
      <c r="C19" s="25" t="n">
        <v>0.286576617236228</v>
      </c>
      <c r="D19" s="47" t="n">
        <f aca="false">ROUND(B19-C19,5)</f>
        <v>0</v>
      </c>
      <c r="E19" s="6" t="s">
        <v>392</v>
      </c>
    </row>
    <row r="20" customFormat="false" ht="15" hidden="false" customHeight="false" outlineLevel="0" collapsed="false">
      <c r="A20" s="3" t="s">
        <v>395</v>
      </c>
      <c r="B20" s="46" t="n">
        <f aca="false">Option_B!D34</f>
        <v>0.273781615486059</v>
      </c>
      <c r="C20" s="25" t="n">
        <v>0.273781615486074</v>
      </c>
      <c r="D20" s="47" t="n">
        <f aca="false">ROUND(B20-C20,5)</f>
        <v>-0</v>
      </c>
      <c r="E20" s="6" t="s">
        <v>392</v>
      </c>
    </row>
    <row r="21" customFormat="false" ht="15" hidden="false" customHeight="false" outlineLevel="0" collapsed="false">
      <c r="A21" s="3" t="s">
        <v>396</v>
      </c>
      <c r="B21" s="46" t="n">
        <f aca="false">-Scenarios!$B$64</f>
        <v>848.604283875</v>
      </c>
      <c r="C21" s="25" t="n">
        <v>848.604283875</v>
      </c>
      <c r="D21" s="47" t="n">
        <f aca="false">ROUND(B21-C21,5)</f>
        <v>0</v>
      </c>
      <c r="E21" s="6" t="s">
        <v>392</v>
      </c>
    </row>
    <row r="22" customFormat="false" ht="15" hidden="false" customHeight="false" outlineLevel="0" collapsed="false">
      <c r="A22" s="3" t="s">
        <v>397</v>
      </c>
      <c r="B22" s="46" t="n">
        <f aca="false">Option_B!B42</f>
        <v>-52.0180625</v>
      </c>
      <c r="C22" s="25" t="n">
        <v>-52.0180625</v>
      </c>
      <c r="D22" s="47" t="n">
        <f aca="false">ROUND(B22-C22,5)</f>
        <v>0</v>
      </c>
      <c r="E22" s="6" t="s">
        <v>392</v>
      </c>
    </row>
    <row r="24" customFormat="false" ht="15" hidden="false" customHeight="false" outlineLevel="0" collapsed="false">
      <c r="A24" s="2" t="s">
        <v>398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399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2026-10-08T08:57:01Z</dcterms:created>
  <dc:creator>Jalour Developments</dc:creator>
  <dc:description/>
  <dc:language>en-US</dc:language>
  <cp:lastModifiedBy/>
  <dcterms:modified xsi:type="dcterms:W3CDTF">2026-10-08T08:57:01Z</dcterms:modified>
  <cp:revision>0</cp:revision>
  <dc:subject>Confidential</dc:subject>
  <dc:title>Financial Annex - L'avenir - Ticket 50m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