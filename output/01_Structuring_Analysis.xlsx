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ase_CF" sheetId="2" state="visible" r:id="rId2"/>
    <sheet xmlns:r="http://schemas.openxmlformats.org/officeDocument/2006/relationships" name="Model_Tieout" sheetId="3" state="visible" r:id="rId3"/>
    <sheet xmlns:r="http://schemas.openxmlformats.org/officeDocument/2006/relationships" name="Project_Scenarios" sheetId="4" state="visible" r:id="rId4"/>
    <sheet xmlns:r="http://schemas.openxmlformats.org/officeDocument/2006/relationships" name="Funding_Plan" sheetId="5" state="visible" r:id="rId5"/>
    <sheet xmlns:r="http://schemas.openxmlformats.org/officeDocument/2006/relationships" name="OptA_Sources" sheetId="6" state="visible" r:id="rId6"/>
    <sheet xmlns:r="http://schemas.openxmlformats.org/officeDocument/2006/relationships" name="OptA_Investor" sheetId="7" state="visible" r:id="rId7"/>
    <sheet xmlns:r="http://schemas.openxmlformats.org/officeDocument/2006/relationships" name="OptA_Jalour_Cost" sheetId="8" state="visible" r:id="rId8"/>
    <sheet xmlns:r="http://schemas.openxmlformats.org/officeDocument/2006/relationships" name="OptB_Summary" sheetId="9" state="visible" r:id="rId9"/>
    <sheet xmlns:r="http://schemas.openxmlformats.org/officeDocument/2006/relationships" name="OptB_Coverage" sheetId="10" state="visible" r:id="rId10"/>
    <sheet xmlns:r="http://schemas.openxmlformats.org/officeDocument/2006/relationships" name="Assumptions_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#,##0.0"/>
    <numFmt numFmtId="167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</font>
    <font>
      <name val="Arial"/>
      <b val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wrapText="1"/>
    </xf>
    <xf numFmtId="2" fontId="3" fillId="0" borderId="0" pivotButton="0" quotePrefix="0" xfId="0"/>
    <xf numFmtId="4" fontId="4" fillId="0" borderId="0" pivotButton="0" quotePrefix="0" xfId="0"/>
    <xf numFmtId="4" fontId="3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4" fontId="0" fillId="0" borderId="0" pivotButton="0" quotePrefix="0" xfId="0"/>
    <xf numFmtId="0" fontId="0" fillId="3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4" borderId="0" pivotButton="0" quotePrefix="0" xfId="0"/>
    <xf numFmtId="166" fontId="3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10" fontId="3" fillId="0" borderId="0" pivotButton="0" quotePrefix="0" xfId="0"/>
    <xf numFmtId="0" fontId="3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INTERNAL - Structuring Analysis (Phase 2). Not for distribution to investors.</t>
        </is>
      </c>
    </row>
    <row r="2">
      <c r="A2" s="2" t="inlineStr">
        <is>
          <t>Contains both projects and combined figures. Source of truth: ALAHLY-SABBOUR MOSTAKBAL CITY -V2.xlsx (cached values, extracted by extract_model.py).</t>
        </is>
      </c>
    </row>
    <row r="4">
      <c r="A4" s="3" t="inlineStr">
        <is>
          <t>Units: EGP million unless stated. Time axis: quarter-end months (M3, M6, ...); NPV/IRR use t = month/12, annual compounding. Model discount rate 14% p.a. (Green Square sheet C72, labelled "Cost Of Capital").</t>
        </is>
      </c>
    </row>
    <row r="5">
      <c r="A5" s="3" t="inlineStr">
        <is>
          <t>Base_CF reproduces the model: GS net 375.4 / NPV 215.3; LA net 595.3 / NPV 307.5 (check cells on that sheet).</t>
        </is>
      </c>
    </row>
    <row r="6">
      <c r="A6" s="3" t="inlineStr">
        <is>
          <t>Scenario, Option A and Option B results were computed in Python (engine.py, run_analysis.py) and written here as values. The Phase 3 Financial Annex will be formula-driven.</t>
        </is>
      </c>
    </row>
    <row r="7">
      <c r="A7" s="3" t="inlineStr">
        <is>
          <t>Tags: MODEL = taken from the source model. ASSUMPTION = mine, needs your confirmation (see Assumptions_Log). Blue font = input.</t>
        </is>
      </c>
    </row>
    <row r="8">
      <c r="A8" s="3" t="inlineStr">
        <is>
          <t>Investor funding date t0: GS M3 (down payment + first instalment due), LA M12 (down payment due). Full ticket assumed funded at t0.</t>
        </is>
      </c>
    </row>
    <row r="9">
      <c r="A9" s="3" t="inlineStr">
        <is>
          <t>Option A face value is measured at the MODEL AVERAGE REALISED PRICE (not launch list price). See OptA_Sources for the launch-price alternative.</t>
        </is>
      </c>
    </row>
    <row r="10">
      <c r="A10" s="3" t="inlineStr">
        <is>
          <t>Option B: 24-month grace from t0, then 12 quarterly payout slots; total return multiple 1.75x of ticket (chosen for IRR parity with Option A, see OptB_Summary).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4" customWidth="1" min="11" max="11"/>
  </cols>
  <sheetData>
    <row r="1">
      <c r="A1" s="1" t="inlineStr">
        <is>
          <t>Base case quarterly cash flows (MODEL) with live net, cumulative and PV formulas</t>
        </is>
      </c>
    </row>
    <row r="2">
      <c r="A2" s="2" t="inlineStr">
        <is>
          <t>Collections, landlord payments and costs extracted from Net Cash Flow -With DP rows 4/5, 11/12, 32/33.</t>
        </is>
      </c>
    </row>
    <row r="3">
      <c r="A3" t="inlineStr">
        <is>
          <t>Discount rate</t>
        </is>
      </c>
      <c r="B3" s="4" t="n">
        <v>0.14</v>
      </c>
    </row>
    <row r="5">
      <c r="A5" s="5" t="inlineStr">
        <is>
          <t>Green Square</t>
        </is>
      </c>
    </row>
    <row r="6">
      <c r="A6" s="6" t="inlineStr">
        <is>
          <t>Month</t>
        </is>
      </c>
      <c r="B6" s="6" t="inlineStr">
        <is>
          <t>t (yrs)</t>
        </is>
      </c>
      <c r="C6" s="6" t="inlineStr">
        <is>
          <t>Collections (sold 80%)</t>
        </is>
      </c>
      <c r="D6" s="6" t="inlineStr">
        <is>
          <t>Landlord payments (incl. DP)</t>
        </is>
      </c>
      <c r="E6" s="6" t="inlineStr">
        <is>
          <t>Construction</t>
        </is>
      </c>
      <c r="F6" s="6" t="inlineStr">
        <is>
          <t>Sales commission</t>
        </is>
      </c>
      <c r="G6" s="6" t="inlineStr">
        <is>
          <t>SG&amp;A &amp; others</t>
        </is>
      </c>
      <c r="H6" s="6" t="inlineStr">
        <is>
          <t>Net cash flow</t>
        </is>
      </c>
      <c r="I6" s="6" t="inlineStr">
        <is>
          <t>Cumulative</t>
        </is>
      </c>
      <c r="J6" s="6" t="inlineStr">
        <is>
          <t>Discount factor</t>
        </is>
      </c>
      <c r="K6" s="6" t="inlineStr">
        <is>
          <t>PV of net</t>
        </is>
      </c>
    </row>
    <row r="7">
      <c r="A7" s="7" t="n">
        <v>3</v>
      </c>
      <c r="B7" s="7">
        <f>A7/12</f>
        <v/>
      </c>
      <c r="C7" s="8" t="n">
        <v>0</v>
      </c>
      <c r="D7" s="8" t="n">
        <v>91.25</v>
      </c>
      <c r="E7" s="8" t="n">
        <v>0</v>
      </c>
      <c r="F7" s="8" t="n">
        <v>0</v>
      </c>
      <c r="G7" s="8" t="n">
        <v>0</v>
      </c>
      <c r="H7" s="9">
        <f>C7-D7-E7-F7-G7</f>
        <v/>
      </c>
      <c r="I7" s="9">
        <f>H7</f>
        <v/>
      </c>
      <c r="J7" s="10">
        <f>1/(1+$B$3)^B7</f>
        <v/>
      </c>
      <c r="K7" s="9">
        <f>H7*J7</f>
        <v/>
      </c>
    </row>
    <row r="8">
      <c r="A8" s="7" t="n">
        <v>6</v>
      </c>
      <c r="B8" s="7">
        <f>A8/12</f>
        <v/>
      </c>
      <c r="C8" s="8" t="n">
        <v>0</v>
      </c>
      <c r="D8" s="8" t="n">
        <v>11.25</v>
      </c>
      <c r="E8" s="8" t="n">
        <v>0</v>
      </c>
      <c r="F8" s="8" t="n">
        <v>0</v>
      </c>
      <c r="G8" s="8" t="n">
        <v>0</v>
      </c>
      <c r="H8" s="9">
        <f>C8-D8-E8-F8-G8</f>
        <v/>
      </c>
      <c r="I8" s="9">
        <f>I7+H8</f>
        <v/>
      </c>
      <c r="J8" s="10">
        <f>1/(1+$B$3)^B8</f>
        <v/>
      </c>
      <c r="K8" s="9">
        <f>H8*J8</f>
        <v/>
      </c>
    </row>
    <row r="9">
      <c r="A9" s="7" t="n">
        <v>9</v>
      </c>
      <c r="B9" s="7">
        <f>A9/12</f>
        <v/>
      </c>
      <c r="C9" s="8" t="n">
        <v>15.1392375</v>
      </c>
      <c r="D9" s="8" t="n">
        <v>11.25</v>
      </c>
      <c r="E9" s="8" t="n">
        <v>0</v>
      </c>
      <c r="F9" s="8" t="n">
        <v>0</v>
      </c>
      <c r="G9" s="8" t="n">
        <v>0</v>
      </c>
      <c r="H9" s="9">
        <f>C9-D9-E9-F9-G9</f>
        <v/>
      </c>
      <c r="I9" s="9">
        <f>I8+H9</f>
        <v/>
      </c>
      <c r="J9" s="10">
        <f>1/(1+$B$3)^B9</f>
        <v/>
      </c>
      <c r="K9" s="9">
        <f>H9*J9</f>
        <v/>
      </c>
    </row>
    <row r="10">
      <c r="A10" s="7" t="n">
        <v>12</v>
      </c>
      <c r="B10" s="7">
        <f>A10/12</f>
        <v/>
      </c>
      <c r="C10" s="8" t="n">
        <v>30.278475</v>
      </c>
      <c r="D10" s="8" t="n">
        <v>11.25</v>
      </c>
      <c r="E10" s="8" t="n">
        <v>0</v>
      </c>
      <c r="F10" s="8" t="n">
        <v>0</v>
      </c>
      <c r="G10" s="8" t="n">
        <v>0</v>
      </c>
      <c r="H10" s="9">
        <f>C10-D10-E10-F10-G10</f>
        <v/>
      </c>
      <c r="I10" s="9">
        <f>I9+H10</f>
        <v/>
      </c>
      <c r="J10" s="10">
        <f>1/(1+$B$3)^B10</f>
        <v/>
      </c>
      <c r="K10" s="9">
        <f>H10*J10</f>
        <v/>
      </c>
    </row>
    <row r="11">
      <c r="A11" s="7" t="n">
        <v>15</v>
      </c>
      <c r="B11" s="7">
        <f>A11/12</f>
        <v/>
      </c>
      <c r="C11" s="8" t="n">
        <v>46.51200625</v>
      </c>
      <c r="D11" s="8" t="n">
        <v>22.5</v>
      </c>
      <c r="E11" s="8" t="n">
        <v>20</v>
      </c>
      <c r="F11" s="8" t="n">
        <v>0</v>
      </c>
      <c r="G11" s="8" t="n">
        <v>3.000000000000001</v>
      </c>
      <c r="H11" s="9">
        <f>C11-D11-E11-F11-G11</f>
        <v/>
      </c>
      <c r="I11" s="9">
        <f>I10+H11</f>
        <v/>
      </c>
      <c r="J11" s="10">
        <f>1/(1+$B$3)^B11</f>
        <v/>
      </c>
      <c r="K11" s="9">
        <f>H11*J11</f>
        <v/>
      </c>
    </row>
    <row r="12">
      <c r="A12" s="7" t="n">
        <v>18</v>
      </c>
      <c r="B12" s="7">
        <f>A12/12</f>
        <v/>
      </c>
      <c r="C12" s="8" t="n">
        <v>62.7455375</v>
      </c>
      <c r="D12" s="8" t="n">
        <v>22.5</v>
      </c>
      <c r="E12" s="8" t="n">
        <v>26.4</v>
      </c>
      <c r="F12" s="8" t="n">
        <v>0</v>
      </c>
      <c r="G12" s="8" t="n">
        <v>3.960000000000001</v>
      </c>
      <c r="H12" s="9">
        <f>C12-D12-E12-F12-G12</f>
        <v/>
      </c>
      <c r="I12" s="9">
        <f>I11+H12</f>
        <v/>
      </c>
      <c r="J12" s="10">
        <f>1/(1+$B$3)^B12</f>
        <v/>
      </c>
      <c r="K12" s="9">
        <f>H12*J12</f>
        <v/>
      </c>
    </row>
    <row r="13">
      <c r="A13" s="7" t="n">
        <v>21</v>
      </c>
      <c r="B13" s="7">
        <f>A13/12</f>
        <v/>
      </c>
      <c r="C13" s="8" t="n">
        <v>62.3657</v>
      </c>
      <c r="D13" s="8" t="n">
        <v>22.5</v>
      </c>
      <c r="E13" s="8" t="n">
        <v>40</v>
      </c>
      <c r="F13" s="8" t="n">
        <v>12.11139</v>
      </c>
      <c r="G13" s="8" t="n">
        <v>6.000000000000002</v>
      </c>
      <c r="H13" s="9">
        <f>C13-D13-E13-F13-G13</f>
        <v/>
      </c>
      <c r="I13" s="9">
        <f>I12+H13</f>
        <v/>
      </c>
      <c r="J13" s="10">
        <f>1/(1+$B$3)^B13</f>
        <v/>
      </c>
      <c r="K13" s="9">
        <f>H13*J13</f>
        <v/>
      </c>
    </row>
    <row r="14">
      <c r="A14" s="7" t="n">
        <v>24</v>
      </c>
      <c r="B14" s="7">
        <f>A14/12</f>
        <v/>
      </c>
      <c r="C14" s="8" t="n">
        <v>63.47355937500001</v>
      </c>
      <c r="D14" s="8" t="n">
        <v>22.5</v>
      </c>
      <c r="E14" s="8" t="n">
        <v>26.4</v>
      </c>
      <c r="F14" s="8" t="n">
        <v>12.11139</v>
      </c>
      <c r="G14" s="8" t="n">
        <v>3.960000000000001</v>
      </c>
      <c r="H14" s="9">
        <f>C14-D14-E14-F14-G14</f>
        <v/>
      </c>
      <c r="I14" s="9">
        <f>I13+H14</f>
        <v/>
      </c>
      <c r="J14" s="10">
        <f>1/(1+$B$3)^B14</f>
        <v/>
      </c>
      <c r="K14" s="9">
        <f>H14*J14</f>
        <v/>
      </c>
    </row>
    <row r="15">
      <c r="A15" s="7" t="n">
        <v>27</v>
      </c>
      <c r="B15" s="7">
        <f>A15/12</f>
        <v/>
      </c>
      <c r="C15" s="8" t="n">
        <v>80.32884843750001</v>
      </c>
      <c r="D15" s="8" t="n">
        <v>33.75</v>
      </c>
      <c r="E15" s="8" t="n">
        <v>26.4</v>
      </c>
      <c r="F15" s="8" t="n">
        <v>9.52126</v>
      </c>
      <c r="G15" s="8" t="n">
        <v>3.960000000000001</v>
      </c>
      <c r="H15" s="9">
        <f>C15-D15-E15-F15-G15</f>
        <v/>
      </c>
      <c r="I15" s="9">
        <f>I14+H15</f>
        <v/>
      </c>
      <c r="J15" s="10">
        <f>1/(1+$B$3)^B15</f>
        <v/>
      </c>
      <c r="K15" s="9">
        <f>H15*J15</f>
        <v/>
      </c>
    </row>
    <row r="16">
      <c r="A16" s="7" t="n">
        <v>30</v>
      </c>
      <c r="B16" s="7">
        <f>A16/12</f>
        <v/>
      </c>
      <c r="C16" s="8" t="n">
        <v>495.2538375</v>
      </c>
      <c r="D16" s="8" t="n">
        <v>33.75</v>
      </c>
      <c r="E16" s="8" t="n">
        <v>26.4</v>
      </c>
      <c r="F16" s="8" t="n">
        <v>9.52126</v>
      </c>
      <c r="G16" s="8" t="n">
        <v>3.960000000000001</v>
      </c>
      <c r="H16" s="9">
        <f>C16-D16-E16-F16-G16</f>
        <v/>
      </c>
      <c r="I16" s="9">
        <f>I15+H16</f>
        <v/>
      </c>
      <c r="J16" s="10">
        <f>1/(1+$B$3)^B16</f>
        <v/>
      </c>
      <c r="K16" s="9">
        <f>H16*J16</f>
        <v/>
      </c>
    </row>
    <row r="17">
      <c r="A17" s="7" t="n">
        <v>33</v>
      </c>
      <c r="B17" s="7">
        <f>A17/12</f>
        <v/>
      </c>
      <c r="C17" s="8" t="n">
        <v>185.57775</v>
      </c>
      <c r="D17" s="8" t="n">
        <v>33.75</v>
      </c>
      <c r="E17" s="8" t="n">
        <v>5.28</v>
      </c>
      <c r="F17" s="8" t="n">
        <v>6.98901</v>
      </c>
      <c r="G17" s="8" t="n">
        <v>0.7920000000000003</v>
      </c>
      <c r="H17" s="9">
        <f>C17-D17-E17-F17-G17</f>
        <v/>
      </c>
      <c r="I17" s="9">
        <f>I16+H17</f>
        <v/>
      </c>
      <c r="J17" s="10">
        <f>1/(1+$B$3)^B17</f>
        <v/>
      </c>
      <c r="K17" s="9">
        <f>H17*J17</f>
        <v/>
      </c>
    </row>
    <row r="18">
      <c r="A18" s="7" t="n">
        <v>36</v>
      </c>
      <c r="B18" s="7">
        <f>A18/12</f>
        <v/>
      </c>
      <c r="C18" s="8" t="n">
        <v>176.534</v>
      </c>
      <c r="D18" s="8" t="n">
        <v>33.75</v>
      </c>
      <c r="E18" s="8" t="n">
        <v>5.28</v>
      </c>
      <c r="F18" s="8" t="n">
        <v>6.98901</v>
      </c>
      <c r="G18" s="8" t="n">
        <v>0.7920000000000003</v>
      </c>
      <c r="H18" s="9">
        <f>C18-D18-E18-F18-G18</f>
        <v/>
      </c>
      <c r="I18" s="9">
        <f>I17+H18</f>
        <v/>
      </c>
      <c r="J18" s="10">
        <f>1/(1+$B$3)^B18</f>
        <v/>
      </c>
      <c r="K18" s="9">
        <f>H18*J18</f>
        <v/>
      </c>
    </row>
    <row r="19">
      <c r="A19" s="7" t="n">
        <v>39</v>
      </c>
      <c r="B19" s="7">
        <f>A19/12</f>
        <v/>
      </c>
      <c r="C19" s="8" t="n">
        <v>97.31075</v>
      </c>
      <c r="D19" s="8" t="n">
        <v>45</v>
      </c>
      <c r="E19" s="8" t="n">
        <v>120</v>
      </c>
      <c r="F19" s="8" t="n">
        <v>7.69804</v>
      </c>
      <c r="G19" s="8" t="n">
        <v>18</v>
      </c>
      <c r="H19" s="9">
        <f>C19-D19-E19-F19-G19</f>
        <v/>
      </c>
      <c r="I19" s="9">
        <f>I18+H19</f>
        <v/>
      </c>
      <c r="J19" s="10">
        <f>1/(1+$B$3)^B19</f>
        <v/>
      </c>
      <c r="K19" s="9">
        <f>H19*J19</f>
        <v/>
      </c>
    </row>
    <row r="20">
      <c r="A20" s="7" t="n">
        <v>42</v>
      </c>
      <c r="B20" s="7">
        <f>A20/12</f>
        <v/>
      </c>
      <c r="C20" s="8" t="n">
        <v>71.30996875</v>
      </c>
      <c r="D20" s="8" t="n">
        <v>45</v>
      </c>
      <c r="E20" s="8" t="n">
        <v>120</v>
      </c>
      <c r="F20" s="8" t="n">
        <v>9.2608</v>
      </c>
      <c r="G20" s="8" t="n">
        <v>18</v>
      </c>
      <c r="H20" s="9">
        <f>C20-D20-E20-F20-G20</f>
        <v/>
      </c>
      <c r="I20" s="9">
        <f>I19+H20</f>
        <v/>
      </c>
      <c r="J20" s="10">
        <f>1/(1+$B$3)^B20</f>
        <v/>
      </c>
      <c r="K20" s="9">
        <f>H20*J20</f>
        <v/>
      </c>
    </row>
    <row r="21">
      <c r="A21" s="7" t="n">
        <v>45</v>
      </c>
      <c r="B21" s="7">
        <f>A21/12</f>
        <v/>
      </c>
      <c r="C21" s="8" t="n">
        <v>71.30996875</v>
      </c>
      <c r="D21" s="8" t="n">
        <v>45</v>
      </c>
      <c r="E21" s="8" t="n">
        <v>164</v>
      </c>
      <c r="F21" s="8" t="n">
        <v>9.2608</v>
      </c>
      <c r="G21" s="8" t="n">
        <v>24.6</v>
      </c>
      <c r="H21" s="9">
        <f>C21-D21-E21-F21-G21</f>
        <v/>
      </c>
      <c r="I21" s="9">
        <f>I20+H21</f>
        <v/>
      </c>
      <c r="J21" s="10">
        <f>1/(1+$B$3)^B21</f>
        <v/>
      </c>
      <c r="K21" s="9">
        <f>H21*J21</f>
        <v/>
      </c>
    </row>
    <row r="22">
      <c r="A22" s="7" t="n">
        <v>48</v>
      </c>
      <c r="B22" s="7">
        <f>A22/12</f>
        <v/>
      </c>
      <c r="C22" s="8" t="n">
        <v>68.03703562499999</v>
      </c>
      <c r="D22" s="8" t="n">
        <v>45</v>
      </c>
      <c r="E22" s="8" t="n">
        <v>117</v>
      </c>
      <c r="F22" s="8" t="n">
        <v>6.6562</v>
      </c>
      <c r="G22" s="8" t="n">
        <v>17.55</v>
      </c>
      <c r="H22" s="9">
        <f>C22-D22-E22-F22-G22</f>
        <v/>
      </c>
      <c r="I22" s="9">
        <f>I21+H22</f>
        <v/>
      </c>
      <c r="J22" s="10">
        <f>1/(1+$B$3)^B22</f>
        <v/>
      </c>
      <c r="K22" s="9">
        <f>H22*J22</f>
        <v/>
      </c>
    </row>
    <row r="23">
      <c r="A23" s="7" t="n">
        <v>51</v>
      </c>
      <c r="B23" s="7">
        <f>A23/12</f>
        <v/>
      </c>
      <c r="C23" s="8" t="n">
        <v>61.2266396875</v>
      </c>
      <c r="D23" s="8" t="n">
        <v>45</v>
      </c>
      <c r="E23" s="8" t="n">
        <v>0</v>
      </c>
      <c r="F23" s="8" t="n">
        <v>0</v>
      </c>
      <c r="G23" s="8" t="n">
        <v>0</v>
      </c>
      <c r="H23" s="9">
        <f>C23-D23-E23-F23-G23</f>
        <v/>
      </c>
      <c r="I23" s="9">
        <f>I22+H23</f>
        <v/>
      </c>
      <c r="J23" s="10">
        <f>1/(1+$B$3)^B23</f>
        <v/>
      </c>
      <c r="K23" s="9">
        <f>H23*J23</f>
        <v/>
      </c>
    </row>
    <row r="24">
      <c r="A24" s="7" t="n">
        <v>54</v>
      </c>
      <c r="B24" s="7">
        <f>A24/12</f>
        <v/>
      </c>
      <c r="C24" s="8" t="n">
        <v>59.7127159375</v>
      </c>
      <c r="D24" s="8" t="n">
        <v>45</v>
      </c>
      <c r="E24" s="8" t="n">
        <v>0</v>
      </c>
      <c r="F24" s="8" t="n">
        <v>0</v>
      </c>
      <c r="G24" s="8" t="n">
        <v>0</v>
      </c>
      <c r="H24" s="9">
        <f>C24-D24-E24-F24-G24</f>
        <v/>
      </c>
      <c r="I24" s="9">
        <f>I23+H24</f>
        <v/>
      </c>
      <c r="J24" s="10">
        <f>1/(1+$B$3)^B24</f>
        <v/>
      </c>
      <c r="K24" s="9">
        <f>H24*J24</f>
        <v/>
      </c>
    </row>
    <row r="25">
      <c r="A25" s="7" t="n">
        <v>57</v>
      </c>
      <c r="B25" s="7">
        <f>A25/12</f>
        <v/>
      </c>
      <c r="C25" s="8" t="n">
        <v>53.7239446875</v>
      </c>
      <c r="D25" s="8" t="n">
        <v>45</v>
      </c>
      <c r="E25" s="8" t="n">
        <v>0</v>
      </c>
      <c r="F25" s="8" t="n">
        <v>0</v>
      </c>
      <c r="G25" s="8" t="n">
        <v>0</v>
      </c>
      <c r="H25" s="9">
        <f>C25-D25-E25-F25-G25</f>
        <v/>
      </c>
      <c r="I25" s="9">
        <f>I24+H25</f>
        <v/>
      </c>
      <c r="J25" s="10">
        <f>1/(1+$B$3)^B25</f>
        <v/>
      </c>
      <c r="K25" s="9">
        <f>H25*J25</f>
        <v/>
      </c>
    </row>
    <row r="26">
      <c r="A26" s="7" t="n">
        <v>60</v>
      </c>
      <c r="B26" s="7">
        <f>A26/12</f>
        <v/>
      </c>
      <c r="C26" s="8" t="n">
        <v>49.3829446875</v>
      </c>
      <c r="D26" s="8" t="n">
        <v>45</v>
      </c>
      <c r="E26" s="8" t="n">
        <v>0</v>
      </c>
      <c r="F26" s="8" t="n">
        <v>0</v>
      </c>
      <c r="G26" s="8" t="n">
        <v>0</v>
      </c>
      <c r="H26" s="9">
        <f>C26-D26-E26-F26-G26</f>
        <v/>
      </c>
      <c r="I26" s="9">
        <f>I25+H26</f>
        <v/>
      </c>
      <c r="J26" s="10">
        <f>1/(1+$B$3)^B26</f>
        <v/>
      </c>
      <c r="K26" s="9">
        <f>H26*J26</f>
        <v/>
      </c>
    </row>
    <row r="27">
      <c r="A27" s="7" t="n">
        <v>63</v>
      </c>
      <c r="B27" s="7">
        <f>A27/12</f>
        <v/>
      </c>
      <c r="C27" s="8" t="n">
        <v>49.3829446875</v>
      </c>
      <c r="D27" s="8" t="n">
        <v>22.5</v>
      </c>
      <c r="E27" s="8" t="n">
        <v>0</v>
      </c>
      <c r="F27" s="8" t="n">
        <v>0</v>
      </c>
      <c r="G27" s="8" t="n">
        <v>0</v>
      </c>
      <c r="H27" s="9">
        <f>C27-D27-E27-F27-G27</f>
        <v/>
      </c>
      <c r="I27" s="9">
        <f>I26+H27</f>
        <v/>
      </c>
      <c r="J27" s="10">
        <f>1/(1+$B$3)^B27</f>
        <v/>
      </c>
      <c r="K27" s="9">
        <f>H27*J27</f>
        <v/>
      </c>
    </row>
    <row r="28">
      <c r="A28" s="7" t="n">
        <v>66</v>
      </c>
      <c r="B28" s="7">
        <f>A28/12</f>
        <v/>
      </c>
      <c r="C28" s="8" t="n">
        <v>42.1027259375</v>
      </c>
      <c r="D28" s="8" t="n">
        <v>22.5</v>
      </c>
      <c r="E28" s="8" t="n">
        <v>0</v>
      </c>
      <c r="F28" s="8" t="n">
        <v>0</v>
      </c>
      <c r="G28" s="8" t="n">
        <v>0</v>
      </c>
      <c r="H28" s="9">
        <f>C28-D28-E28-F28-G28</f>
        <v/>
      </c>
      <c r="I28" s="9">
        <f>I27+H28</f>
        <v/>
      </c>
      <c r="J28" s="10">
        <f>1/(1+$B$3)^B28</f>
        <v/>
      </c>
      <c r="K28" s="9">
        <f>H28*J28</f>
        <v/>
      </c>
    </row>
    <row r="29">
      <c r="A29" s="7" t="n">
        <v>69</v>
      </c>
      <c r="B29" s="7">
        <f>A29/12</f>
        <v/>
      </c>
      <c r="C29" s="8" t="n">
        <v>42.1027259375</v>
      </c>
      <c r="D29" s="8" t="n">
        <v>22.5</v>
      </c>
      <c r="E29" s="8" t="n">
        <v>0</v>
      </c>
      <c r="F29" s="8" t="n">
        <v>0</v>
      </c>
      <c r="G29" s="8" t="n">
        <v>0</v>
      </c>
      <c r="H29" s="9">
        <f>C29-D29-E29-F29-G29</f>
        <v/>
      </c>
      <c r="I29" s="9">
        <f>I28+H29</f>
        <v/>
      </c>
      <c r="J29" s="10">
        <f>1/(1+$B$3)^B29</f>
        <v/>
      </c>
      <c r="K29" s="9">
        <f>H29*J29</f>
        <v/>
      </c>
    </row>
    <row r="30">
      <c r="A30" s="7" t="n">
        <v>72</v>
      </c>
      <c r="B30" s="7">
        <f>A30/12</f>
        <v/>
      </c>
      <c r="C30" s="8" t="n">
        <v>42.1027259375</v>
      </c>
      <c r="D30" s="8" t="n">
        <v>22.5</v>
      </c>
      <c r="E30" s="8" t="n">
        <v>0</v>
      </c>
      <c r="F30" s="8" t="n">
        <v>0</v>
      </c>
      <c r="G30" s="8" t="n">
        <v>0</v>
      </c>
      <c r="H30" s="9">
        <f>C30-D30-E30-F30-G30</f>
        <v/>
      </c>
      <c r="I30" s="9">
        <f>I29+H30</f>
        <v/>
      </c>
      <c r="J30" s="10">
        <f>1/(1+$B$3)^B30</f>
        <v/>
      </c>
      <c r="K30" s="9">
        <f>H30*J30</f>
        <v/>
      </c>
    </row>
    <row r="31">
      <c r="A31" s="7" t="n">
        <v>75</v>
      </c>
      <c r="B31" s="7">
        <f>A31/12</f>
        <v/>
      </c>
      <c r="C31" s="8" t="n">
        <v>36.3147259375</v>
      </c>
      <c r="D31" s="8" t="n">
        <v>0</v>
      </c>
      <c r="E31" s="8" t="n">
        <v>0</v>
      </c>
      <c r="F31" s="8" t="n">
        <v>0</v>
      </c>
      <c r="G31" s="8" t="n">
        <v>0</v>
      </c>
      <c r="H31" s="9">
        <f>C31-D31-E31-F31-G31</f>
        <v/>
      </c>
      <c r="I31" s="9">
        <f>I30+H31</f>
        <v/>
      </c>
      <c r="J31" s="10">
        <f>1/(1+$B$3)^B31</f>
        <v/>
      </c>
      <c r="K31" s="9">
        <f>H31*J31</f>
        <v/>
      </c>
    </row>
    <row r="32">
      <c r="A32" s="7" t="n">
        <v>78</v>
      </c>
      <c r="B32" s="7">
        <f>A32/12</f>
        <v/>
      </c>
      <c r="C32" s="8" t="n">
        <v>33.0386275</v>
      </c>
      <c r="D32" s="8" t="n">
        <v>0</v>
      </c>
      <c r="E32" s="8" t="n">
        <v>0</v>
      </c>
      <c r="F32" s="8" t="n">
        <v>0</v>
      </c>
      <c r="G32" s="8" t="n">
        <v>0</v>
      </c>
      <c r="H32" s="9">
        <f>C32-D32-E32-F32-G32</f>
        <v/>
      </c>
      <c r="I32" s="9">
        <f>I31+H32</f>
        <v/>
      </c>
      <c r="J32" s="10">
        <f>1/(1+$B$3)^B32</f>
        <v/>
      </c>
      <c r="K32" s="9">
        <f>H32*J32</f>
        <v/>
      </c>
    </row>
    <row r="33">
      <c r="A33" s="7" t="n">
        <v>81</v>
      </c>
      <c r="B33" s="7">
        <f>A33/12</f>
        <v/>
      </c>
      <c r="C33" s="8" t="n">
        <v>29.43017125</v>
      </c>
      <c r="D33" s="8" t="n">
        <v>0</v>
      </c>
      <c r="E33" s="8" t="n">
        <v>0</v>
      </c>
      <c r="F33" s="8" t="n">
        <v>0</v>
      </c>
      <c r="G33" s="8" t="n">
        <v>0</v>
      </c>
      <c r="H33" s="9">
        <f>C33-D33-E33-F33-G33</f>
        <v/>
      </c>
      <c r="I33" s="9">
        <f>I32+H33</f>
        <v/>
      </c>
      <c r="J33" s="10">
        <f>1/(1+$B$3)^B33</f>
        <v/>
      </c>
      <c r="K33" s="9">
        <f>H33*J33</f>
        <v/>
      </c>
    </row>
    <row r="34">
      <c r="A34" s="7" t="n">
        <v>84</v>
      </c>
      <c r="B34" s="7">
        <f>A34/12</f>
        <v/>
      </c>
      <c r="C34" s="8" t="n">
        <v>25.08917125</v>
      </c>
      <c r="D34" s="8" t="n">
        <v>0</v>
      </c>
      <c r="E34" s="8" t="n">
        <v>0</v>
      </c>
      <c r="F34" s="8" t="n">
        <v>0</v>
      </c>
      <c r="G34" s="8" t="n">
        <v>0</v>
      </c>
      <c r="H34" s="9">
        <f>C34-D34-E34-F34-G34</f>
        <v/>
      </c>
      <c r="I34" s="9">
        <f>I33+H34</f>
        <v/>
      </c>
      <c r="J34" s="10">
        <f>1/(1+$B$3)^B34</f>
        <v/>
      </c>
      <c r="K34" s="9">
        <f>H34*J34</f>
        <v/>
      </c>
    </row>
    <row r="35">
      <c r="A35" s="7" t="n">
        <v>87</v>
      </c>
      <c r="B35" s="7">
        <f>A35/12</f>
        <v/>
      </c>
      <c r="C35" s="8" t="n">
        <v>25.08917125</v>
      </c>
      <c r="D35" s="8" t="n">
        <v>107.7582103515625</v>
      </c>
      <c r="E35" s="8" t="n">
        <v>0</v>
      </c>
      <c r="F35" s="8" t="n">
        <v>0</v>
      </c>
      <c r="G35" s="8" t="n">
        <v>0</v>
      </c>
      <c r="H35" s="9">
        <f>C35-D35-E35-F35-G35</f>
        <v/>
      </c>
      <c r="I35" s="9">
        <f>I34+H35</f>
        <v/>
      </c>
      <c r="J35" s="10">
        <f>1/(1+$B$3)^B35</f>
        <v/>
      </c>
      <c r="K35" s="9">
        <f>H35*J35</f>
        <v/>
      </c>
    </row>
    <row r="36">
      <c r="A36" s="7" t="n">
        <v>90</v>
      </c>
      <c r="B36" s="7">
        <f>A36/12</f>
        <v/>
      </c>
      <c r="C36" s="8" t="n">
        <v>25.08917125</v>
      </c>
      <c r="D36" s="8" t="n">
        <v>10.97651242187499</v>
      </c>
      <c r="E36" s="8" t="n">
        <v>0</v>
      </c>
      <c r="F36" s="8" t="n">
        <v>0</v>
      </c>
      <c r="G36" s="8" t="n">
        <v>0</v>
      </c>
      <c r="H36" s="9">
        <f>C36-D36-E36-F36-G36</f>
        <v/>
      </c>
      <c r="I36" s="9">
        <f>I35+H36</f>
        <v/>
      </c>
      <c r="J36" s="10">
        <f>1/(1+$B$3)^B36</f>
        <v/>
      </c>
      <c r="K36" s="9">
        <f>H36*J36</f>
        <v/>
      </c>
    </row>
    <row r="37">
      <c r="A37" s="7" t="n">
        <v>93</v>
      </c>
      <c r="B37" s="7">
        <f>A37/12</f>
        <v/>
      </c>
      <c r="C37" s="8" t="n">
        <v>25.08917125</v>
      </c>
      <c r="D37" s="8" t="n">
        <v>10.97651242187499</v>
      </c>
      <c r="E37" s="8" t="n">
        <v>0</v>
      </c>
      <c r="F37" s="8" t="n">
        <v>0</v>
      </c>
      <c r="G37" s="8" t="n">
        <v>0</v>
      </c>
      <c r="H37" s="9">
        <f>C37-D37-E37-F37-G37</f>
        <v/>
      </c>
      <c r="I37" s="9">
        <f>I36+H37</f>
        <v/>
      </c>
      <c r="J37" s="10">
        <f>1/(1+$B$3)^B37</f>
        <v/>
      </c>
      <c r="K37" s="9">
        <f>H37*J37</f>
        <v/>
      </c>
    </row>
    <row r="38">
      <c r="A38" s="7" t="n">
        <v>96</v>
      </c>
      <c r="B38" s="7">
        <f>A38/12</f>
        <v/>
      </c>
      <c r="C38" s="8" t="n">
        <v>25.08917125</v>
      </c>
      <c r="D38" s="8" t="n">
        <v>10.97651242187499</v>
      </c>
      <c r="E38" s="8" t="n">
        <v>0</v>
      </c>
      <c r="F38" s="8" t="n">
        <v>0</v>
      </c>
      <c r="G38" s="8" t="n">
        <v>0</v>
      </c>
      <c r="H38" s="9">
        <f>C38-D38-E38-F38-G38</f>
        <v/>
      </c>
      <c r="I38" s="9">
        <f>I37+H38</f>
        <v/>
      </c>
      <c r="J38" s="10">
        <f>1/(1+$B$3)^B38</f>
        <v/>
      </c>
      <c r="K38" s="9">
        <f>H38*J38</f>
        <v/>
      </c>
    </row>
    <row r="39">
      <c r="A39" s="7" t="n">
        <v>99</v>
      </c>
      <c r="B39" s="7">
        <f>A39/12</f>
        <v/>
      </c>
      <c r="C39" s="8" t="n">
        <v>25.08917125</v>
      </c>
      <c r="D39" s="8" t="n">
        <v>10.97651242187499</v>
      </c>
      <c r="E39" s="8" t="n">
        <v>0</v>
      </c>
      <c r="F39" s="8" t="n">
        <v>0</v>
      </c>
      <c r="G39" s="8" t="n">
        <v>0</v>
      </c>
      <c r="H39" s="9">
        <f>C39-D39-E39-F39-G39</f>
        <v/>
      </c>
      <c r="I39" s="9">
        <f>I38+H39</f>
        <v/>
      </c>
      <c r="J39" s="10">
        <f>1/(1+$B$3)^B39</f>
        <v/>
      </c>
      <c r="K39" s="9">
        <f>H39*J39</f>
        <v/>
      </c>
    </row>
    <row r="40">
      <c r="A40" s="7" t="n">
        <v>102</v>
      </c>
      <c r="B40" s="7">
        <f>A40/12</f>
        <v/>
      </c>
      <c r="C40" s="8" t="n">
        <v>22.905105625</v>
      </c>
      <c r="D40" s="8" t="n">
        <v>10.02098371093749</v>
      </c>
      <c r="E40" s="8" t="n">
        <v>0</v>
      </c>
      <c r="F40" s="8" t="n">
        <v>0</v>
      </c>
      <c r="G40" s="8" t="n">
        <v>0</v>
      </c>
      <c r="H40" s="9">
        <f>C40-D40-E40-F40-G40</f>
        <v/>
      </c>
      <c r="I40" s="9">
        <f>I39+H40</f>
        <v/>
      </c>
      <c r="J40" s="10">
        <f>1/(1+$B$3)^B40</f>
        <v/>
      </c>
      <c r="K40" s="9">
        <f>H40*J40</f>
        <v/>
      </c>
    </row>
    <row r="41">
      <c r="A41" s="7" t="n">
        <v>105</v>
      </c>
      <c r="B41" s="7">
        <f>A41/12</f>
        <v/>
      </c>
      <c r="C41" s="8" t="n">
        <v>22.905105625</v>
      </c>
      <c r="D41" s="8" t="n">
        <v>10.02098371093749</v>
      </c>
      <c r="E41" s="8" t="n">
        <v>0</v>
      </c>
      <c r="F41" s="8" t="n">
        <v>0</v>
      </c>
      <c r="G41" s="8" t="n">
        <v>0</v>
      </c>
      <c r="H41" s="9">
        <f>C41-D41-E41-F41-G41</f>
        <v/>
      </c>
      <c r="I41" s="9">
        <f>I40+H41</f>
        <v/>
      </c>
      <c r="J41" s="10">
        <f>1/(1+$B$3)^B41</f>
        <v/>
      </c>
      <c r="K41" s="9">
        <f>H41*J41</f>
        <v/>
      </c>
    </row>
    <row r="42">
      <c r="A42" s="7" t="n">
        <v>108</v>
      </c>
      <c r="B42" s="7">
        <f>A42/12</f>
        <v/>
      </c>
      <c r="C42" s="8" t="n">
        <v>18.739554375</v>
      </c>
      <c r="D42" s="8" t="n">
        <v>8.198555039062491</v>
      </c>
      <c r="E42" s="8" t="n">
        <v>0</v>
      </c>
      <c r="F42" s="8" t="n">
        <v>0</v>
      </c>
      <c r="G42" s="8" t="n">
        <v>0</v>
      </c>
      <c r="H42" s="9">
        <f>C42-D42-E42-F42-G42</f>
        <v/>
      </c>
      <c r="I42" s="9">
        <f>I41+H42</f>
        <v/>
      </c>
      <c r="J42" s="10">
        <f>1/(1+$B$3)^B42</f>
        <v/>
      </c>
      <c r="K42" s="9">
        <f>H42*J42</f>
        <v/>
      </c>
    </row>
    <row r="43">
      <c r="A43" s="7" t="n">
        <v>111</v>
      </c>
      <c r="B43" s="7">
        <f>A43/12</f>
        <v/>
      </c>
      <c r="C43" s="8" t="n">
        <v>9.626167499999999</v>
      </c>
      <c r="D43" s="8" t="n">
        <v>4.211448281249995</v>
      </c>
      <c r="E43" s="8" t="n">
        <v>0</v>
      </c>
      <c r="F43" s="8" t="n">
        <v>0</v>
      </c>
      <c r="G43" s="8" t="n">
        <v>0</v>
      </c>
      <c r="H43" s="9">
        <f>C43-D43-E43-F43-G43</f>
        <v/>
      </c>
      <c r="I43" s="9">
        <f>I42+H43</f>
        <v/>
      </c>
      <c r="J43" s="10">
        <f>1/(1+$B$3)^B43</f>
        <v/>
      </c>
      <c r="K43" s="9">
        <f>H43*J43</f>
        <v/>
      </c>
    </row>
    <row r="44">
      <c r="A44" s="7" t="n">
        <v>114</v>
      </c>
      <c r="B44" s="7">
        <f>A44/12</f>
        <v/>
      </c>
      <c r="C44" s="8" t="n">
        <v>3.5704725</v>
      </c>
      <c r="D44" s="8" t="n">
        <v>1.562081718749998</v>
      </c>
      <c r="E44" s="8" t="n">
        <v>0</v>
      </c>
      <c r="F44" s="8" t="n">
        <v>0</v>
      </c>
      <c r="G44" s="8" t="n">
        <v>0</v>
      </c>
      <c r="H44" s="9">
        <f>C44-D44-E44-F44-G44</f>
        <v/>
      </c>
      <c r="I44" s="9">
        <f>I43+H44</f>
        <v/>
      </c>
      <c r="J44" s="10">
        <f>1/(1+$B$3)^B44</f>
        <v/>
      </c>
      <c r="K44" s="9">
        <f>H44*J44</f>
        <v/>
      </c>
    </row>
    <row r="45">
      <c r="A45" s="7" t="n">
        <v>117</v>
      </c>
      <c r="B45" s="7">
        <f>A45/12</f>
        <v/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0</v>
      </c>
      <c r="H45" s="9">
        <f>C45-D45-E45-F45-G45</f>
        <v/>
      </c>
      <c r="I45" s="9">
        <f>I44+H45</f>
        <v/>
      </c>
      <c r="J45" s="10">
        <f>1/(1+$B$3)^B45</f>
        <v/>
      </c>
      <c r="K45" s="9">
        <f>H45*J45</f>
        <v/>
      </c>
    </row>
    <row r="46">
      <c r="A46" s="7" t="n">
        <v>120</v>
      </c>
      <c r="B46" s="7">
        <f>A46/12</f>
        <v/>
      </c>
      <c r="C46" s="8" t="n">
        <v>0</v>
      </c>
      <c r="D46" s="8" t="n">
        <v>0</v>
      </c>
      <c r="E46" s="8" t="n">
        <v>0</v>
      </c>
      <c r="F46" s="8" t="n">
        <v>0</v>
      </c>
      <c r="G46" s="8" t="n">
        <v>0</v>
      </c>
      <c r="H46" s="9">
        <f>C46-D46-E46-F46-G46</f>
        <v/>
      </c>
      <c r="I46" s="9">
        <f>I45+H46</f>
        <v/>
      </c>
      <c r="J46" s="10">
        <f>1/(1+$B$3)^B46</f>
        <v/>
      </c>
      <c r="K46" s="9">
        <f>H46*J46</f>
        <v/>
      </c>
    </row>
    <row r="47">
      <c r="A47" s="7" t="n">
        <v>123</v>
      </c>
      <c r="B47" s="7">
        <f>A47/12</f>
        <v/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0</v>
      </c>
      <c r="H47" s="9">
        <f>C47-D47-E47-F47-G47</f>
        <v/>
      </c>
      <c r="I47" s="9">
        <f>I46+H47</f>
        <v/>
      </c>
      <c r="J47" s="10">
        <f>1/(1+$B$3)^B47</f>
        <v/>
      </c>
      <c r="K47" s="9">
        <f>H47*J47</f>
        <v/>
      </c>
    </row>
    <row r="48">
      <c r="A48" s="7" t="n">
        <v>126</v>
      </c>
      <c r="B48" s="7">
        <f>A48/12</f>
        <v/>
      </c>
      <c r="C48" s="8" t="n">
        <v>0</v>
      </c>
      <c r="D48" s="8" t="n">
        <v>0</v>
      </c>
      <c r="E48" s="8" t="n">
        <v>0</v>
      </c>
      <c r="F48" s="8" t="n">
        <v>0</v>
      </c>
      <c r="G48" s="8" t="n">
        <v>0</v>
      </c>
      <c r="H48" s="9">
        <f>C48-D48-E48-F48-G48</f>
        <v/>
      </c>
      <c r="I48" s="9">
        <f>I47+H48</f>
        <v/>
      </c>
      <c r="J48" s="10">
        <f>1/(1+$B$3)^B48</f>
        <v/>
      </c>
      <c r="K48" s="9">
        <f>H48*J48</f>
        <v/>
      </c>
    </row>
    <row r="49">
      <c r="A49" s="7" t="n">
        <v>129</v>
      </c>
      <c r="B49" s="7">
        <f>A49/12</f>
        <v/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0</v>
      </c>
      <c r="H49" s="9">
        <f>C49-D49-E49-F49-G49</f>
        <v/>
      </c>
      <c r="I49" s="9">
        <f>I48+H49</f>
        <v/>
      </c>
      <c r="J49" s="10">
        <f>1/(1+$B$3)^B49</f>
        <v/>
      </c>
      <c r="K49" s="9">
        <f>H49*J49</f>
        <v/>
      </c>
    </row>
    <row r="50">
      <c r="A50" s="11" t="inlineStr">
        <is>
          <t>Total / check</t>
        </is>
      </c>
      <c r="C50" s="12">
        <f>SUM(C7:C49)</f>
        <v/>
      </c>
      <c r="D50" s="12">
        <f>SUM(D7:D49)</f>
        <v/>
      </c>
      <c r="E50" s="12">
        <f>SUM(E7:E49)</f>
        <v/>
      </c>
      <c r="F50" s="12">
        <f>SUM(F7:F49)</f>
        <v/>
      </c>
      <c r="G50" s="12">
        <f>SUM(G7:G49)</f>
        <v/>
      </c>
      <c r="H50" s="12">
        <f>SUM(H7:H49)</f>
        <v/>
      </c>
      <c r="K50" s="12">
        <f>SUM(K7:K49)</f>
        <v/>
      </c>
    </row>
    <row r="51">
      <c r="A51" t="inlineStr">
        <is>
          <t>Peak cumulative shortage</t>
        </is>
      </c>
      <c r="I51" s="12">
        <f>MIN(I7:I49)</f>
        <v/>
      </c>
    </row>
    <row r="52">
      <c r="A52" t="inlineStr">
        <is>
          <t>Model net / NPV (hardcoded from model)</t>
        </is>
      </c>
      <c r="H52" s="12" t="n">
        <v>375.4475274999999</v>
      </c>
      <c r="K52" s="12" t="n">
        <v>215.3113925489239</v>
      </c>
    </row>
    <row r="53">
      <c r="A53" t="inlineStr">
        <is>
          <t>Check (must be 0.00)</t>
        </is>
      </c>
      <c r="H53" s="13">
        <f>ROUND(H50-H52,2)</f>
        <v/>
      </c>
      <c r="K53" s="13">
        <f>ROUND(K50-K52,2)</f>
        <v/>
      </c>
    </row>
    <row r="56">
      <c r="A56" s="5" t="inlineStr">
        <is>
          <t>L'avenir</t>
        </is>
      </c>
    </row>
    <row r="57">
      <c r="A57" s="6" t="inlineStr">
        <is>
          <t>Month</t>
        </is>
      </c>
      <c r="B57" s="6" t="inlineStr">
        <is>
          <t>t (yrs)</t>
        </is>
      </c>
      <c r="C57" s="6" t="inlineStr">
        <is>
          <t>Collections (sold 80%)</t>
        </is>
      </c>
      <c r="D57" s="6" t="inlineStr">
        <is>
          <t>Landlord payments (incl. DP)</t>
        </is>
      </c>
      <c r="E57" s="6" t="inlineStr">
        <is>
          <t>Construction</t>
        </is>
      </c>
      <c r="F57" s="6" t="inlineStr">
        <is>
          <t>Sales commission</t>
        </is>
      </c>
      <c r="G57" s="6" t="inlineStr">
        <is>
          <t>SG&amp;A &amp; others</t>
        </is>
      </c>
      <c r="H57" s="6" t="inlineStr">
        <is>
          <t>Net cash flow</t>
        </is>
      </c>
      <c r="I57" s="6" t="inlineStr">
        <is>
          <t>Cumulative</t>
        </is>
      </c>
      <c r="J57" s="6" t="inlineStr">
        <is>
          <t>Discount factor</t>
        </is>
      </c>
      <c r="K57" s="6" t="inlineStr">
        <is>
          <t>PV of net</t>
        </is>
      </c>
    </row>
    <row r="58">
      <c r="A58" s="7" t="n">
        <v>3</v>
      </c>
      <c r="B58" s="7">
        <f>A58/12</f>
        <v/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0</v>
      </c>
      <c r="H58" s="9">
        <f>C58-D58-E58-F58-G58</f>
        <v/>
      </c>
      <c r="I58" s="9">
        <f>H58</f>
        <v/>
      </c>
      <c r="J58" s="10">
        <f>1/(1+$B$3)^B58</f>
        <v/>
      </c>
      <c r="K58" s="9">
        <f>H58*J58</f>
        <v/>
      </c>
    </row>
    <row r="59">
      <c r="A59" s="7" t="n">
        <v>6</v>
      </c>
      <c r="B59" s="7">
        <f>A59/12</f>
        <v/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0</v>
      </c>
      <c r="H59" s="9">
        <f>C59-D59-E59-F59-G59</f>
        <v/>
      </c>
      <c r="I59" s="9">
        <f>I58+H59</f>
        <v/>
      </c>
      <c r="J59" s="10">
        <f>1/(1+$B$3)^B59</f>
        <v/>
      </c>
      <c r="K59" s="9">
        <f>H59*J59</f>
        <v/>
      </c>
    </row>
    <row r="60">
      <c r="A60" s="7" t="n">
        <v>9</v>
      </c>
      <c r="B60" s="7">
        <f>A60/12</f>
        <v/>
      </c>
      <c r="C60" s="8" t="n">
        <v>0</v>
      </c>
      <c r="D60" s="8" t="n">
        <v>0</v>
      </c>
      <c r="E60" s="8" t="n">
        <v>0</v>
      </c>
      <c r="F60" s="8" t="n">
        <v>0</v>
      </c>
      <c r="G60" s="8" t="n">
        <v>0</v>
      </c>
      <c r="H60" s="9">
        <f>C60-D60-E60-F60-G60</f>
        <v/>
      </c>
      <c r="I60" s="9">
        <f>I59+H60</f>
        <v/>
      </c>
      <c r="J60" s="10">
        <f>1/(1+$B$3)^B60</f>
        <v/>
      </c>
      <c r="K60" s="9">
        <f>H60*J60</f>
        <v/>
      </c>
    </row>
    <row r="61">
      <c r="A61" s="7" t="n">
        <v>12</v>
      </c>
      <c r="B61" s="7">
        <f>A61/12</f>
        <v/>
      </c>
      <c r="C61" s="8" t="n">
        <v>0</v>
      </c>
      <c r="D61" s="8" t="n">
        <v>85</v>
      </c>
      <c r="E61" s="8" t="n">
        <v>0</v>
      </c>
      <c r="F61" s="8" t="n">
        <v>0</v>
      </c>
      <c r="G61" s="8" t="n">
        <v>0</v>
      </c>
      <c r="H61" s="9">
        <f>C61-D61-E61-F61-G61</f>
        <v/>
      </c>
      <c r="I61" s="9">
        <f>I60+H61</f>
        <v/>
      </c>
      <c r="J61" s="10">
        <f>1/(1+$B$3)^B61</f>
        <v/>
      </c>
      <c r="K61" s="9">
        <f>H61*J61</f>
        <v/>
      </c>
    </row>
    <row r="62">
      <c r="A62" s="7" t="n">
        <v>15</v>
      </c>
      <c r="B62" s="7">
        <f>A62/12</f>
        <v/>
      </c>
      <c r="C62" s="8" t="n">
        <v>18.11565</v>
      </c>
      <c r="D62" s="8" t="n">
        <v>22.5</v>
      </c>
      <c r="E62" s="8" t="n">
        <v>0</v>
      </c>
      <c r="F62" s="8" t="n">
        <v>0</v>
      </c>
      <c r="G62" s="8" t="n">
        <v>0</v>
      </c>
      <c r="H62" s="9">
        <f>C62-D62-E62-F62-G62</f>
        <v/>
      </c>
      <c r="I62" s="9">
        <f>I61+H62</f>
        <v/>
      </c>
      <c r="J62" s="10">
        <f>1/(1+$B$3)^B62</f>
        <v/>
      </c>
      <c r="K62" s="9">
        <f>H62*J62</f>
        <v/>
      </c>
    </row>
    <row r="63">
      <c r="A63" s="7" t="n">
        <v>18</v>
      </c>
      <c r="B63" s="7">
        <f>A63/12</f>
        <v/>
      </c>
      <c r="C63" s="8" t="n">
        <v>36.2313</v>
      </c>
      <c r="D63" s="8" t="n">
        <v>22.5</v>
      </c>
      <c r="E63" s="8" t="n">
        <v>0</v>
      </c>
      <c r="F63" s="8" t="n">
        <v>0</v>
      </c>
      <c r="G63" s="8" t="n">
        <v>0</v>
      </c>
      <c r="H63" s="9">
        <f>C63-D63-E63-F63-G63</f>
        <v/>
      </c>
      <c r="I63" s="9">
        <f>I62+H63</f>
        <v/>
      </c>
      <c r="J63" s="10">
        <f>1/(1+$B$3)^B63</f>
        <v/>
      </c>
      <c r="K63" s="9">
        <f>H63*J63</f>
        <v/>
      </c>
    </row>
    <row r="64">
      <c r="A64" s="7" t="n">
        <v>21</v>
      </c>
      <c r="B64" s="7">
        <f>A64/12</f>
        <v/>
      </c>
      <c r="C64" s="8" t="n">
        <v>58.260825</v>
      </c>
      <c r="D64" s="8" t="n">
        <v>22.5</v>
      </c>
      <c r="E64" s="8" t="n">
        <v>20</v>
      </c>
      <c r="F64" s="8" t="n">
        <v>0</v>
      </c>
      <c r="G64" s="8" t="n">
        <v>3.000000000000001</v>
      </c>
      <c r="H64" s="9">
        <f>C64-D64-E64-F64-G64</f>
        <v/>
      </c>
      <c r="I64" s="9">
        <f>I63+H64</f>
        <v/>
      </c>
      <c r="J64" s="10">
        <f>1/(1+$B$3)^B64</f>
        <v/>
      </c>
      <c r="K64" s="9">
        <f>H64*J64</f>
        <v/>
      </c>
    </row>
    <row r="65">
      <c r="A65" s="7" t="n">
        <v>24</v>
      </c>
      <c r="B65" s="7">
        <f>A65/12</f>
        <v/>
      </c>
      <c r="C65" s="8" t="n">
        <v>69.01839</v>
      </c>
      <c r="D65" s="8" t="n">
        <v>22.5</v>
      </c>
      <c r="E65" s="8" t="n">
        <v>26.4</v>
      </c>
      <c r="F65" s="8" t="n">
        <v>0</v>
      </c>
      <c r="G65" s="8" t="n">
        <v>3.960000000000001</v>
      </c>
      <c r="H65" s="9">
        <f>C65-D65-E65-F65-G65</f>
        <v/>
      </c>
      <c r="I65" s="9">
        <f>I64+H65</f>
        <v/>
      </c>
      <c r="J65" s="10">
        <f>1/(1+$B$3)^B65</f>
        <v/>
      </c>
      <c r="K65" s="9">
        <f>H65*J65</f>
        <v/>
      </c>
    </row>
    <row r="66">
      <c r="A66" s="7" t="n">
        <v>27</v>
      </c>
      <c r="B66" s="7">
        <f>A66/12</f>
        <v/>
      </c>
      <c r="C66" s="8" t="n">
        <v>67.08754499999999</v>
      </c>
      <c r="D66" s="8" t="n">
        <v>45</v>
      </c>
      <c r="E66" s="8" t="n">
        <v>40</v>
      </c>
      <c r="F66" s="8" t="n">
        <v>14.49252</v>
      </c>
      <c r="G66" s="8" t="n">
        <v>6.000000000000002</v>
      </c>
      <c r="H66" s="9">
        <f>C66-D66-E66-F66-G66</f>
        <v/>
      </c>
      <c r="I66" s="9">
        <f>I65+H66</f>
        <v/>
      </c>
      <c r="J66" s="10">
        <f>1/(1+$B$3)^B66</f>
        <v/>
      </c>
      <c r="K66" s="9">
        <f>H66*J66</f>
        <v/>
      </c>
    </row>
    <row r="67">
      <c r="A67" s="7" t="n">
        <v>30</v>
      </c>
      <c r="B67" s="7">
        <f>A67/12</f>
        <v/>
      </c>
      <c r="C67" s="8" t="n">
        <v>72.97326750000001</v>
      </c>
      <c r="D67" s="8" t="n">
        <v>45</v>
      </c>
      <c r="E67" s="8" t="n">
        <v>26.4</v>
      </c>
      <c r="F67" s="8" t="n">
        <v>14.49252</v>
      </c>
      <c r="G67" s="8" t="n">
        <v>3.960000000000001</v>
      </c>
      <c r="H67" s="9">
        <f>C67-D67-E67-F67-G67</f>
        <v/>
      </c>
      <c r="I67" s="9">
        <f>I66+H67</f>
        <v/>
      </c>
      <c r="J67" s="10">
        <f>1/(1+$B$3)^B67</f>
        <v/>
      </c>
      <c r="K67" s="9">
        <f>H67*J67</f>
        <v/>
      </c>
    </row>
    <row r="68">
      <c r="A68" s="7" t="n">
        <v>33</v>
      </c>
      <c r="B68" s="7">
        <f>A68/12</f>
        <v/>
      </c>
      <c r="C68" s="8" t="n">
        <v>88.87105500000001</v>
      </c>
      <c r="D68" s="8" t="n">
        <v>45</v>
      </c>
      <c r="E68" s="8" t="n">
        <v>26.4</v>
      </c>
      <c r="F68" s="8" t="n">
        <v>12.43494</v>
      </c>
      <c r="G68" s="8" t="n">
        <v>3.960000000000001</v>
      </c>
      <c r="H68" s="9">
        <f>C68-D68-E68-F68-G68</f>
        <v/>
      </c>
      <c r="I68" s="9">
        <f>I67+H68</f>
        <v/>
      </c>
      <c r="J68" s="10">
        <f>1/(1+$B$3)^B68</f>
        <v/>
      </c>
      <c r="K68" s="9">
        <f>H68*J68</f>
        <v/>
      </c>
    </row>
    <row r="69">
      <c r="A69" s="7" t="n">
        <v>36</v>
      </c>
      <c r="B69" s="7">
        <f>A69/12</f>
        <v/>
      </c>
      <c r="C69" s="8" t="n">
        <v>105.60753</v>
      </c>
      <c r="D69" s="8" t="n">
        <v>45</v>
      </c>
      <c r="E69" s="8" t="n">
        <v>26.4</v>
      </c>
      <c r="F69" s="8" t="n">
        <v>7.20153</v>
      </c>
      <c r="G69" s="8" t="n">
        <v>3.960000000000001</v>
      </c>
      <c r="H69" s="9">
        <f>C69-D69-E69-F69-G69</f>
        <v/>
      </c>
      <c r="I69" s="9">
        <f>I68+H69</f>
        <v/>
      </c>
      <c r="J69" s="10">
        <f>1/(1+$B$3)^B69</f>
        <v/>
      </c>
      <c r="K69" s="9">
        <f>H69*J69</f>
        <v/>
      </c>
    </row>
    <row r="70">
      <c r="A70" s="7" t="n">
        <v>39</v>
      </c>
      <c r="B70" s="7">
        <f>A70/12</f>
        <v/>
      </c>
      <c r="C70" s="8" t="n">
        <v>115.25243625</v>
      </c>
      <c r="D70" s="8" t="n">
        <v>56.25</v>
      </c>
      <c r="E70" s="8" t="n">
        <v>5.28</v>
      </c>
      <c r="F70" s="8" t="n">
        <v>7.93212</v>
      </c>
      <c r="G70" s="8" t="n">
        <v>0.7920000000000003</v>
      </c>
      <c r="H70" s="9">
        <f>C70-D70-E70-F70-G70</f>
        <v/>
      </c>
      <c r="I70" s="9">
        <f>I69+H70</f>
        <v/>
      </c>
      <c r="J70" s="10">
        <f>1/(1+$B$3)^B70</f>
        <v/>
      </c>
      <c r="K70" s="9">
        <f>H70*J70</f>
        <v/>
      </c>
    </row>
    <row r="71">
      <c r="A71" s="7" t="n">
        <v>42</v>
      </c>
      <c r="B71" s="7">
        <f>A71/12</f>
        <v/>
      </c>
      <c r="C71" s="8" t="n">
        <v>124.8973425</v>
      </c>
      <c r="D71" s="8" t="n">
        <v>56.25</v>
      </c>
      <c r="E71" s="8" t="n">
        <v>5.28</v>
      </c>
      <c r="F71" s="8" t="n">
        <v>7.39536</v>
      </c>
      <c r="G71" s="8" t="n">
        <v>0.7920000000000003</v>
      </c>
      <c r="H71" s="9">
        <f>C71-D71-E71-F71-G71</f>
        <v/>
      </c>
      <c r="I71" s="9">
        <f>I70+H71</f>
        <v/>
      </c>
      <c r="J71" s="10">
        <f>1/(1+$B$3)^B71</f>
        <v/>
      </c>
      <c r="K71" s="9">
        <f>H71*J71</f>
        <v/>
      </c>
    </row>
    <row r="72">
      <c r="A72" s="7" t="n">
        <v>45</v>
      </c>
      <c r="B72" s="7">
        <f>A72/12</f>
        <v/>
      </c>
      <c r="C72" s="8" t="n">
        <v>683.0904674999998</v>
      </c>
      <c r="D72" s="8" t="n">
        <v>56.25</v>
      </c>
      <c r="E72" s="8" t="n">
        <v>120</v>
      </c>
      <c r="F72" s="8" t="n">
        <v>7.54446</v>
      </c>
      <c r="G72" s="8" t="n">
        <v>18</v>
      </c>
      <c r="H72" s="9">
        <f>C72-D72-E72-F72-G72</f>
        <v/>
      </c>
      <c r="I72" s="9">
        <f>I71+H72</f>
        <v/>
      </c>
      <c r="J72" s="10">
        <f>1/(1+$B$3)^B72</f>
        <v/>
      </c>
      <c r="K72" s="9">
        <f>H72*J72</f>
        <v/>
      </c>
    </row>
    <row r="73">
      <c r="A73" s="7" t="n">
        <v>48</v>
      </c>
      <c r="B73" s="7">
        <f>A73/12</f>
        <v/>
      </c>
      <c r="C73" s="8" t="n">
        <v>171.6401925</v>
      </c>
      <c r="D73" s="8" t="n">
        <v>56.25</v>
      </c>
      <c r="E73" s="8" t="n">
        <v>120</v>
      </c>
      <c r="F73" s="8" t="n">
        <v>7.54446</v>
      </c>
      <c r="G73" s="8" t="n">
        <v>18</v>
      </c>
      <c r="H73" s="9">
        <f>C73-D73-E73-F73-G73</f>
        <v/>
      </c>
      <c r="I73" s="9">
        <f>I72+H73</f>
        <v/>
      </c>
      <c r="J73" s="10">
        <f>1/(1+$B$3)^B73</f>
        <v/>
      </c>
      <c r="K73" s="9">
        <f>H73*J73</f>
        <v/>
      </c>
    </row>
    <row r="74">
      <c r="A74" s="7" t="n">
        <v>51</v>
      </c>
      <c r="B74" s="7">
        <f>A74/12</f>
        <v/>
      </c>
      <c r="C74" s="8" t="n">
        <v>112.5965924999999</v>
      </c>
      <c r="D74" s="8" t="n">
        <v>45</v>
      </c>
      <c r="E74" s="8" t="n">
        <v>164</v>
      </c>
      <c r="F74" s="8" t="n">
        <v>8.230320000000001</v>
      </c>
      <c r="G74" s="8" t="n">
        <v>24.6</v>
      </c>
      <c r="H74" s="9">
        <f>C74-D74-E74-F74-G74</f>
        <v/>
      </c>
      <c r="I74" s="9">
        <f>I73+H74</f>
        <v/>
      </c>
      <c r="J74" s="10">
        <f>1/(1+$B$3)^B74</f>
        <v/>
      </c>
      <c r="K74" s="9">
        <f>H74*J74</f>
        <v/>
      </c>
    </row>
    <row r="75">
      <c r="A75" s="7" t="n">
        <v>54</v>
      </c>
      <c r="B75" s="7">
        <f>A75/12</f>
        <v/>
      </c>
      <c r="C75" s="8" t="n">
        <v>89.33699249999995</v>
      </c>
      <c r="D75" s="8" t="n">
        <v>45</v>
      </c>
      <c r="E75" s="8" t="n">
        <v>117</v>
      </c>
      <c r="F75" s="8" t="n">
        <v>8.230320000000001</v>
      </c>
      <c r="G75" s="8" t="n">
        <v>17.55</v>
      </c>
      <c r="H75" s="9">
        <f>C75-D75-E75-F75-G75</f>
        <v/>
      </c>
      <c r="I75" s="9">
        <f>I74+H75</f>
        <v/>
      </c>
      <c r="J75" s="10">
        <f>1/(1+$B$3)^B75</f>
        <v/>
      </c>
      <c r="K75" s="9">
        <f>H75*J75</f>
        <v/>
      </c>
    </row>
    <row r="76">
      <c r="A76" s="7" t="n">
        <v>57</v>
      </c>
      <c r="B76" s="7">
        <f>A76/12</f>
        <v/>
      </c>
      <c r="C76" s="8" t="n">
        <v>87.52542749999996</v>
      </c>
      <c r="D76" s="8" t="n">
        <v>45</v>
      </c>
      <c r="E76" s="8" t="n">
        <v>0</v>
      </c>
      <c r="F76" s="8" t="n">
        <v>5.72544</v>
      </c>
      <c r="G76" s="8" t="n">
        <v>0</v>
      </c>
      <c r="H76" s="9">
        <f>C76-D76-E76-F76-G76</f>
        <v/>
      </c>
      <c r="I76" s="9">
        <f>I75+H76</f>
        <v/>
      </c>
      <c r="J76" s="10">
        <f>1/(1+$B$3)^B76</f>
        <v/>
      </c>
      <c r="K76" s="9">
        <f>H76*J76</f>
        <v/>
      </c>
    </row>
    <row r="77">
      <c r="A77" s="7" t="n">
        <v>60</v>
      </c>
      <c r="B77" s="7">
        <f>A77/12</f>
        <v/>
      </c>
      <c r="C77" s="8" t="n">
        <v>85.71386249999996</v>
      </c>
      <c r="D77" s="8" t="n">
        <v>45</v>
      </c>
      <c r="E77" s="8" t="n">
        <v>0</v>
      </c>
      <c r="F77" s="8" t="n">
        <v>5.72544</v>
      </c>
      <c r="G77" s="8" t="n">
        <v>0</v>
      </c>
      <c r="H77" s="9">
        <f>C77-D77-E77-F77-G77</f>
        <v/>
      </c>
      <c r="I77" s="9">
        <f>I76+H77</f>
        <v/>
      </c>
      <c r="J77" s="10">
        <f>1/(1+$B$3)^B77</f>
        <v/>
      </c>
      <c r="K77" s="9">
        <f>H77*J77</f>
        <v/>
      </c>
    </row>
    <row r="78">
      <c r="A78" s="7" t="n">
        <v>63</v>
      </c>
      <c r="B78" s="7">
        <f>A78/12</f>
        <v/>
      </c>
      <c r="C78" s="8" t="n">
        <v>77.279461875</v>
      </c>
      <c r="D78" s="8" t="n">
        <v>22.5</v>
      </c>
      <c r="E78" s="8" t="n">
        <v>0</v>
      </c>
      <c r="F78" s="8" t="n">
        <v>0</v>
      </c>
      <c r="G78" s="8" t="n">
        <v>0</v>
      </c>
      <c r="H78" s="9">
        <f>C78-D78-E78-F78-G78</f>
        <v/>
      </c>
      <c r="I78" s="9">
        <f>I77+H78</f>
        <v/>
      </c>
      <c r="J78" s="10">
        <f>1/(1+$B$3)^B78</f>
        <v/>
      </c>
      <c r="K78" s="9">
        <f>H78*J78</f>
        <v/>
      </c>
    </row>
    <row r="79">
      <c r="A79" s="7" t="n">
        <v>66</v>
      </c>
      <c r="B79" s="7">
        <f>A79/12</f>
        <v/>
      </c>
      <c r="C79" s="8" t="n">
        <v>70.15341375000001</v>
      </c>
      <c r="D79" s="8" t="n">
        <v>22.5</v>
      </c>
      <c r="E79" s="8" t="n">
        <v>0</v>
      </c>
      <c r="F79" s="8" t="n">
        <v>0</v>
      </c>
      <c r="G79" s="8" t="n">
        <v>0</v>
      </c>
      <c r="H79" s="9">
        <f>C79-D79-E79-F79-G79</f>
        <v/>
      </c>
      <c r="I79" s="9">
        <f>I78+H79</f>
        <v/>
      </c>
      <c r="J79" s="10">
        <f>1/(1+$B$3)^B79</f>
        <v/>
      </c>
      <c r="K79" s="9">
        <f>H79*J79</f>
        <v/>
      </c>
    </row>
    <row r="80">
      <c r="A80" s="7" t="n">
        <v>69</v>
      </c>
      <c r="B80" s="7">
        <f>A80/12</f>
        <v/>
      </c>
      <c r="C80" s="8" t="n">
        <v>61.33787624999999</v>
      </c>
      <c r="D80" s="8" t="n">
        <v>22.5</v>
      </c>
      <c r="E80" s="8" t="n">
        <v>0</v>
      </c>
      <c r="F80" s="8" t="n">
        <v>0</v>
      </c>
      <c r="G80" s="8" t="n">
        <v>0</v>
      </c>
      <c r="H80" s="9">
        <f>C80-D80-E80-F80-G80</f>
        <v/>
      </c>
      <c r="I80" s="9">
        <f>I79+H80</f>
        <v/>
      </c>
      <c r="J80" s="10">
        <f>1/(1+$B$3)^B80</f>
        <v/>
      </c>
      <c r="K80" s="9">
        <f>H80*J80</f>
        <v/>
      </c>
    </row>
    <row r="81">
      <c r="A81" s="7" t="n">
        <v>72</v>
      </c>
      <c r="B81" s="7">
        <f>A81/12</f>
        <v/>
      </c>
      <c r="C81" s="8" t="n">
        <v>51.04624874999998</v>
      </c>
      <c r="D81" s="8" t="n">
        <v>22.5</v>
      </c>
      <c r="E81" s="8" t="n">
        <v>0</v>
      </c>
      <c r="F81" s="8" t="n">
        <v>0</v>
      </c>
      <c r="G81" s="8" t="n">
        <v>0</v>
      </c>
      <c r="H81" s="9">
        <f>C81-D81-E81-F81-G81</f>
        <v/>
      </c>
      <c r="I81" s="9">
        <f>I80+H81</f>
        <v/>
      </c>
      <c r="J81" s="10">
        <f>1/(1+$B$3)^B81</f>
        <v/>
      </c>
      <c r="K81" s="9">
        <f>H81*J81</f>
        <v/>
      </c>
    </row>
    <row r="82">
      <c r="A82" s="7" t="n">
        <v>75</v>
      </c>
      <c r="B82" s="7">
        <f>A82/12</f>
        <v/>
      </c>
      <c r="C82" s="8" t="n">
        <v>51.04624874999998</v>
      </c>
      <c r="D82" s="8" t="n">
        <v>0</v>
      </c>
      <c r="E82" s="8" t="n">
        <v>0</v>
      </c>
      <c r="F82" s="8" t="n">
        <v>0</v>
      </c>
      <c r="G82" s="8" t="n">
        <v>0</v>
      </c>
      <c r="H82" s="9">
        <f>C82-D82-E82-F82-G82</f>
        <v/>
      </c>
      <c r="I82" s="9">
        <f>I81+H82</f>
        <v/>
      </c>
      <c r="J82" s="10">
        <f>1/(1+$B$3)^B82</f>
        <v/>
      </c>
      <c r="K82" s="9">
        <f>H82*J82</f>
        <v/>
      </c>
    </row>
    <row r="83">
      <c r="A83" s="7" t="n">
        <v>78</v>
      </c>
      <c r="B83" s="7">
        <f>A83/12</f>
        <v/>
      </c>
      <c r="C83" s="8" t="n">
        <v>51.04624874999998</v>
      </c>
      <c r="D83" s="8" t="n">
        <v>0</v>
      </c>
      <c r="E83" s="8" t="n">
        <v>0</v>
      </c>
      <c r="F83" s="8" t="n">
        <v>0</v>
      </c>
      <c r="G83" s="8" t="n">
        <v>0</v>
      </c>
      <c r="H83" s="9">
        <f>C83-D83-E83-F83-G83</f>
        <v/>
      </c>
      <c r="I83" s="9">
        <f>I82+H83</f>
        <v/>
      </c>
      <c r="J83" s="10">
        <f>1/(1+$B$3)^B83</f>
        <v/>
      </c>
      <c r="K83" s="9">
        <f>H83*J83</f>
        <v/>
      </c>
    </row>
    <row r="84">
      <c r="A84" s="7" t="n">
        <v>81</v>
      </c>
      <c r="B84" s="7">
        <f>A84/12</f>
        <v/>
      </c>
      <c r="C84" s="8" t="n">
        <v>51.04624874999998</v>
      </c>
      <c r="D84" s="8" t="n">
        <v>0</v>
      </c>
      <c r="E84" s="8" t="n">
        <v>0</v>
      </c>
      <c r="F84" s="8" t="n">
        <v>0</v>
      </c>
      <c r="G84" s="8" t="n">
        <v>0</v>
      </c>
      <c r="H84" s="9">
        <f>C84-D84-E84-F84-G84</f>
        <v/>
      </c>
      <c r="I84" s="9">
        <f>I83+H84</f>
        <v/>
      </c>
      <c r="J84" s="10">
        <f>1/(1+$B$3)^B84</f>
        <v/>
      </c>
      <c r="K84" s="9">
        <f>H84*J84</f>
        <v/>
      </c>
    </row>
    <row r="85">
      <c r="A85" s="7" t="n">
        <v>84</v>
      </c>
      <c r="B85" s="7">
        <f>A85/12</f>
        <v/>
      </c>
      <c r="C85" s="8" t="n">
        <v>51.04624874999998</v>
      </c>
      <c r="D85" s="8" t="n">
        <v>0</v>
      </c>
      <c r="E85" s="8" t="n">
        <v>0</v>
      </c>
      <c r="F85" s="8" t="n">
        <v>0</v>
      </c>
      <c r="G85" s="8" t="n">
        <v>0</v>
      </c>
      <c r="H85" s="9">
        <f>C85-D85-E85-F85-G85</f>
        <v/>
      </c>
      <c r="I85" s="9">
        <f>I84+H85</f>
        <v/>
      </c>
      <c r="J85" s="10">
        <f>1/(1+$B$3)^B85</f>
        <v/>
      </c>
      <c r="K85" s="9">
        <f>H85*J85</f>
        <v/>
      </c>
    </row>
    <row r="86">
      <c r="A86" s="7" t="n">
        <v>87</v>
      </c>
      <c r="B86" s="7">
        <f>A86/12</f>
        <v/>
      </c>
      <c r="C86" s="8" t="n">
        <v>43.93138312499998</v>
      </c>
      <c r="D86" s="8" t="n">
        <v>241.1916115624998</v>
      </c>
      <c r="E86" s="8" t="n">
        <v>0</v>
      </c>
      <c r="F86" s="8" t="n">
        <v>0</v>
      </c>
      <c r="G86" s="8" t="n">
        <v>0</v>
      </c>
      <c r="H86" s="9">
        <f>C86-D86-E86-F86-G86</f>
        <v/>
      </c>
      <c r="I86" s="9">
        <f>I85+H86</f>
        <v/>
      </c>
      <c r="J86" s="10">
        <f>1/(1+$B$3)^B86</f>
        <v/>
      </c>
      <c r="K86" s="9">
        <f>H86*J86</f>
        <v/>
      </c>
    </row>
    <row r="87">
      <c r="A87" s="7" t="n">
        <v>90</v>
      </c>
      <c r="B87" s="7">
        <f>A87/12</f>
        <v/>
      </c>
      <c r="C87" s="8" t="n">
        <v>36.8165175</v>
      </c>
      <c r="D87" s="8" t="n">
        <v>16.10722640625002</v>
      </c>
      <c r="E87" s="8" t="n">
        <v>0</v>
      </c>
      <c r="F87" s="8" t="n">
        <v>0</v>
      </c>
      <c r="G87" s="8" t="n">
        <v>0</v>
      </c>
      <c r="H87" s="9">
        <f>C87-D87-E87-F87-G87</f>
        <v/>
      </c>
      <c r="I87" s="9">
        <f>I86+H87</f>
        <v/>
      </c>
      <c r="J87" s="10">
        <f>1/(1+$B$3)^B87</f>
        <v/>
      </c>
      <c r="K87" s="9">
        <f>H87*J87</f>
        <v/>
      </c>
    </row>
    <row r="88">
      <c r="A88" s="7" t="n">
        <v>93</v>
      </c>
      <c r="B88" s="7">
        <f>A88/12</f>
        <v/>
      </c>
      <c r="C88" s="8" t="n">
        <v>32.958555</v>
      </c>
      <c r="D88" s="8" t="n">
        <v>14.41936781250002</v>
      </c>
      <c r="E88" s="8" t="n">
        <v>0</v>
      </c>
      <c r="F88" s="8" t="n">
        <v>0</v>
      </c>
      <c r="G88" s="8" t="n">
        <v>0</v>
      </c>
      <c r="H88" s="9">
        <f>C88-D88-E88-F88-G88</f>
        <v/>
      </c>
      <c r="I88" s="9">
        <f>I87+H88</f>
        <v/>
      </c>
      <c r="J88" s="10">
        <f>1/(1+$B$3)^B88</f>
        <v/>
      </c>
      <c r="K88" s="9">
        <f>H88*J88</f>
        <v/>
      </c>
    </row>
    <row r="89">
      <c r="A89" s="7" t="n">
        <v>96</v>
      </c>
      <c r="B89" s="7">
        <f>A89/12</f>
        <v/>
      </c>
      <c r="C89" s="8" t="n">
        <v>29.1005925</v>
      </c>
      <c r="D89" s="8" t="n">
        <v>12.73150921875002</v>
      </c>
      <c r="E89" s="8" t="n">
        <v>0</v>
      </c>
      <c r="F89" s="8" t="n">
        <v>0</v>
      </c>
      <c r="G89" s="8" t="n">
        <v>0</v>
      </c>
      <c r="H89" s="9">
        <f>C89-D89-E89-F89-G89</f>
        <v/>
      </c>
      <c r="I89" s="9">
        <f>I88+H89</f>
        <v/>
      </c>
      <c r="J89" s="10">
        <f>1/(1+$B$3)^B89</f>
        <v/>
      </c>
      <c r="K89" s="9">
        <f>H89*J89</f>
        <v/>
      </c>
    </row>
    <row r="90">
      <c r="A90" s="7" t="n">
        <v>99</v>
      </c>
      <c r="B90" s="7">
        <f>A90/12</f>
        <v/>
      </c>
      <c r="C90" s="8" t="n">
        <v>22.8831225</v>
      </c>
      <c r="D90" s="8" t="n">
        <v>10.01136609375001</v>
      </c>
      <c r="E90" s="8" t="n">
        <v>0</v>
      </c>
      <c r="F90" s="8" t="n">
        <v>0</v>
      </c>
      <c r="G90" s="8" t="n">
        <v>0</v>
      </c>
      <c r="H90" s="9">
        <f>C90-D90-E90-F90-G90</f>
        <v/>
      </c>
      <c r="I90" s="9">
        <f>I89+H90</f>
        <v/>
      </c>
      <c r="J90" s="10">
        <f>1/(1+$B$3)^B90</f>
        <v/>
      </c>
      <c r="K90" s="9">
        <f>H90*J90</f>
        <v/>
      </c>
    </row>
    <row r="91">
      <c r="A91" s="7" t="n">
        <v>102</v>
      </c>
      <c r="B91" s="7">
        <f>A91/12</f>
        <v/>
      </c>
      <c r="C91" s="8" t="n">
        <v>19.2823575</v>
      </c>
      <c r="D91" s="8" t="n">
        <v>8.436031406250013</v>
      </c>
      <c r="E91" s="8" t="n">
        <v>0</v>
      </c>
      <c r="F91" s="8" t="n">
        <v>0</v>
      </c>
      <c r="G91" s="8" t="n">
        <v>0</v>
      </c>
      <c r="H91" s="9">
        <f>C91-D91-E91-F91-G91</f>
        <v/>
      </c>
      <c r="I91" s="9">
        <f>I90+H91</f>
        <v/>
      </c>
      <c r="J91" s="10">
        <f>1/(1+$B$3)^B91</f>
        <v/>
      </c>
      <c r="K91" s="9">
        <f>H91*J91</f>
        <v/>
      </c>
    </row>
    <row r="92">
      <c r="A92" s="7" t="n">
        <v>105</v>
      </c>
      <c r="B92" s="7">
        <f>A92/12</f>
        <v/>
      </c>
      <c r="C92" s="8" t="n">
        <v>16.80357</v>
      </c>
      <c r="D92" s="8" t="n">
        <v>7.35156187500001</v>
      </c>
      <c r="E92" s="8" t="n">
        <v>0</v>
      </c>
      <c r="F92" s="8" t="n">
        <v>0</v>
      </c>
      <c r="G92" s="8" t="n">
        <v>0</v>
      </c>
      <c r="H92" s="9">
        <f>C92-D92-E92-F92-G92</f>
        <v/>
      </c>
      <c r="I92" s="9">
        <f>I91+H92</f>
        <v/>
      </c>
      <c r="J92" s="10">
        <f>1/(1+$B$3)^B92</f>
        <v/>
      </c>
      <c r="K92" s="9">
        <f>H92*J92</f>
        <v/>
      </c>
    </row>
    <row r="93">
      <c r="A93" s="7" t="n">
        <v>108</v>
      </c>
      <c r="B93" s="7">
        <f>A93/12</f>
        <v/>
      </c>
      <c r="C93" s="8" t="n">
        <v>7.24626</v>
      </c>
      <c r="D93" s="8" t="n">
        <v>3.170238750000005</v>
      </c>
      <c r="E93" s="8" t="n">
        <v>0</v>
      </c>
      <c r="F93" s="8" t="n">
        <v>0</v>
      </c>
      <c r="G93" s="8" t="n">
        <v>0</v>
      </c>
      <c r="H93" s="9">
        <f>C93-D93-E93-F93-G93</f>
        <v/>
      </c>
      <c r="I93" s="9">
        <f>I92+H93</f>
        <v/>
      </c>
      <c r="J93" s="10">
        <f>1/(1+$B$3)^B93</f>
        <v/>
      </c>
      <c r="K93" s="9">
        <f>H93*J93</f>
        <v/>
      </c>
    </row>
    <row r="94">
      <c r="A94" s="7" t="n">
        <v>111</v>
      </c>
      <c r="B94" s="7">
        <f>A94/12</f>
        <v/>
      </c>
      <c r="C94" s="8" t="n">
        <v>7.24626</v>
      </c>
      <c r="D94" s="8" t="n">
        <v>3.170238750000005</v>
      </c>
      <c r="E94" s="8" t="n">
        <v>0</v>
      </c>
      <c r="F94" s="8" t="n">
        <v>0</v>
      </c>
      <c r="G94" s="8" t="n">
        <v>0</v>
      </c>
      <c r="H94" s="9">
        <f>C94-D94-E94-F94-G94</f>
        <v/>
      </c>
      <c r="I94" s="9">
        <f>I93+H94</f>
        <v/>
      </c>
      <c r="J94" s="10">
        <f>1/(1+$B$3)^B94</f>
        <v/>
      </c>
      <c r="K94" s="9">
        <f>H94*J94</f>
        <v/>
      </c>
    </row>
    <row r="95">
      <c r="A95" s="7" t="n">
        <v>114</v>
      </c>
      <c r="B95" s="7">
        <f>A95/12</f>
        <v/>
      </c>
      <c r="C95" s="8" t="n">
        <v>7.24626</v>
      </c>
      <c r="D95" s="8" t="n">
        <v>3.170238750000005</v>
      </c>
      <c r="E95" s="8" t="n">
        <v>0</v>
      </c>
      <c r="F95" s="8" t="n">
        <v>0</v>
      </c>
      <c r="G95" s="8" t="n">
        <v>0</v>
      </c>
      <c r="H95" s="9">
        <f>C95-D95-E95-F95-G95</f>
        <v/>
      </c>
      <c r="I95" s="9">
        <f>I94+H95</f>
        <v/>
      </c>
      <c r="J95" s="10">
        <f>1/(1+$B$3)^B95</f>
        <v/>
      </c>
      <c r="K95" s="9">
        <f>H95*J95</f>
        <v/>
      </c>
    </row>
    <row r="96">
      <c r="A96" s="7" t="n">
        <v>117</v>
      </c>
      <c r="B96" s="7">
        <f>A96/12</f>
        <v/>
      </c>
      <c r="C96" s="8" t="n">
        <v>0</v>
      </c>
      <c r="D96" s="8" t="n">
        <v>0</v>
      </c>
      <c r="E96" s="8" t="n">
        <v>0</v>
      </c>
      <c r="F96" s="8" t="n">
        <v>0</v>
      </c>
      <c r="G96" s="8" t="n">
        <v>0</v>
      </c>
      <c r="H96" s="9">
        <f>C96-D96-E96-F96-G96</f>
        <v/>
      </c>
      <c r="I96" s="9">
        <f>I95+H96</f>
        <v/>
      </c>
      <c r="J96" s="10">
        <f>1/(1+$B$3)^B96</f>
        <v/>
      </c>
      <c r="K96" s="9">
        <f>H96*J96</f>
        <v/>
      </c>
    </row>
    <row r="97">
      <c r="A97" s="7" t="n">
        <v>120</v>
      </c>
      <c r="B97" s="7">
        <f>A97/12</f>
        <v/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9">
        <f>C97-D97-E97-F97-G97</f>
        <v/>
      </c>
      <c r="I97" s="9">
        <f>I96+H97</f>
        <v/>
      </c>
      <c r="J97" s="10">
        <f>1/(1+$B$3)^B97</f>
        <v/>
      </c>
      <c r="K97" s="9">
        <f>H97*J97</f>
        <v/>
      </c>
    </row>
    <row r="98">
      <c r="A98" s="7" t="n">
        <v>123</v>
      </c>
      <c r="B98" s="7">
        <f>A98/12</f>
        <v/>
      </c>
      <c r="C98" s="8" t="n">
        <v>0</v>
      </c>
      <c r="D98" s="8" t="n">
        <v>0</v>
      </c>
      <c r="E98" s="8" t="n">
        <v>0</v>
      </c>
      <c r="F98" s="8" t="n">
        <v>0</v>
      </c>
      <c r="G98" s="8" t="n">
        <v>0</v>
      </c>
      <c r="H98" s="9">
        <f>C98-D98-E98-F98-G98</f>
        <v/>
      </c>
      <c r="I98" s="9">
        <f>I97+H98</f>
        <v/>
      </c>
      <c r="J98" s="10">
        <f>1/(1+$B$3)^B98</f>
        <v/>
      </c>
      <c r="K98" s="9">
        <f>H98*J98</f>
        <v/>
      </c>
    </row>
    <row r="99">
      <c r="A99" s="7" t="n">
        <v>126</v>
      </c>
      <c r="B99" s="7">
        <f>A99/12</f>
        <v/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9">
        <f>C99-D99-E99-F99-G99</f>
        <v/>
      </c>
      <c r="I99" s="9">
        <f>I98+H99</f>
        <v/>
      </c>
      <c r="J99" s="10">
        <f>1/(1+$B$3)^B99</f>
        <v/>
      </c>
      <c r="K99" s="9">
        <f>H99*J99</f>
        <v/>
      </c>
    </row>
    <row r="100">
      <c r="A100" s="7" t="n">
        <v>129</v>
      </c>
      <c r="B100" s="7">
        <f>A100/12</f>
        <v/>
      </c>
      <c r="C100" s="8" t="n">
        <v>0</v>
      </c>
      <c r="D100" s="8" t="n">
        <v>0</v>
      </c>
      <c r="E100" s="8" t="n">
        <v>0</v>
      </c>
      <c r="F100" s="8" t="n">
        <v>0</v>
      </c>
      <c r="G100" s="8" t="n">
        <v>0</v>
      </c>
      <c r="H100" s="9">
        <f>C100-D100-E100-F100-G100</f>
        <v/>
      </c>
      <c r="I100" s="9">
        <f>I99+H100</f>
        <v/>
      </c>
      <c r="J100" s="10">
        <f>1/(1+$B$3)^B100</f>
        <v/>
      </c>
      <c r="K100" s="9">
        <f>H100*J100</f>
        <v/>
      </c>
    </row>
    <row r="101">
      <c r="A101" s="11" t="inlineStr">
        <is>
          <t>Total / check</t>
        </is>
      </c>
      <c r="C101" s="12">
        <f>SUM(C58:C100)</f>
        <v/>
      </c>
      <c r="D101" s="12">
        <f>SUM(D58:D100)</f>
        <v/>
      </c>
      <c r="E101" s="12">
        <f>SUM(E58:E100)</f>
        <v/>
      </c>
      <c r="F101" s="12">
        <f>SUM(F58:F100)</f>
        <v/>
      </c>
      <c r="G101" s="12">
        <f>SUM(G58:G100)</f>
        <v/>
      </c>
      <c r="H101" s="12">
        <f>SUM(H58:H100)</f>
        <v/>
      </c>
      <c r="K101" s="12">
        <f>SUM(K58:K100)</f>
        <v/>
      </c>
    </row>
    <row r="102">
      <c r="A102" t="inlineStr">
        <is>
          <t>Peak cumulative shortage</t>
        </is>
      </c>
      <c r="I102" s="12">
        <f>MIN(I58:I100)</f>
        <v/>
      </c>
    </row>
    <row r="103">
      <c r="A103" t="inlineStr">
        <is>
          <t>Model net / NPV (hardcoded from model)</t>
        </is>
      </c>
      <c r="H103" s="12" t="n">
        <v>595.2929293750002</v>
      </c>
      <c r="K103" s="12" t="n">
        <v>307.5323710915294</v>
      </c>
    </row>
    <row r="104">
      <c r="A104" t="inlineStr">
        <is>
          <t>Check (must be 0.00)</t>
        </is>
      </c>
      <c r="H104" s="13">
        <f>ROUND(H101-H103,2)</f>
        <v/>
      </c>
      <c r="K104" s="13">
        <f>ROUND(K101-K103,2)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4" customWidth="1" min="4" max="4"/>
    <col width="18" customWidth="1" min="5" max="5"/>
    <col width="100" customWidth="1" min="6" max="6"/>
  </cols>
  <sheetData>
    <row r="1">
      <c r="A1" s="1" t="inlineStr">
        <is>
          <t>Headline figures: your prompt vs source model</t>
        </is>
      </c>
    </row>
    <row r="2">
      <c r="A2" s="2" t="inlineStr">
        <is>
          <t>Highlighted rows = conflict with the prompt. Stopped and listed per your instruction.</t>
        </is>
      </c>
    </row>
    <row r="4">
      <c r="A4" s="14" t="inlineStr">
        <is>
          <t>Item</t>
        </is>
      </c>
      <c r="B4" s="14" t="inlineStr">
        <is>
          <t>GS prompt</t>
        </is>
      </c>
      <c r="C4" s="14" t="inlineStr">
        <is>
          <t>GS model</t>
        </is>
      </c>
      <c r="D4" s="14" t="inlineStr">
        <is>
          <t>LA prompt</t>
        </is>
      </c>
      <c r="E4" s="14" t="inlineStr">
        <is>
          <t>LA model</t>
        </is>
      </c>
      <c r="F4" s="14" t="inlineStr">
        <is>
          <t>Status</t>
        </is>
      </c>
    </row>
    <row r="5">
      <c r="A5" s="3" t="inlineStr">
        <is>
          <t>Land area (m2)</t>
        </is>
      </c>
      <c r="B5" s="3" t="n">
        <v>14470</v>
      </c>
      <c r="C5" s="3" t="n">
        <v>14470</v>
      </c>
      <c r="D5" s="3" t="n">
        <v>14910</v>
      </c>
      <c r="E5" s="3" t="n">
        <v>14910</v>
      </c>
      <c r="F5" s="3" t="inlineStr">
        <is>
          <t>OK</t>
        </is>
      </c>
    </row>
    <row r="6">
      <c r="A6" s="3" t="inlineStr">
        <is>
          <t>Total BUA (m2)</t>
        </is>
      </c>
      <c r="B6" s="3" t="n">
        <v>13023</v>
      </c>
      <c r="C6" s="3" t="n">
        <v>13023</v>
      </c>
      <c r="D6" s="3" t="n">
        <v>13419</v>
      </c>
      <c r="E6" s="3" t="n">
        <v>13419</v>
      </c>
      <c r="F6" s="3" t="inlineStr">
        <is>
          <t>OK</t>
        </is>
      </c>
    </row>
    <row r="7">
      <c r="A7" s="3" t="inlineStr">
        <is>
          <t>Sales start / construction start / delivery (month)</t>
        </is>
      </c>
      <c r="B7" s="3" t="inlineStr">
        <is>
          <t>7/13/48</t>
        </is>
      </c>
      <c r="C7" s="3" t="inlineStr">
        <is>
          <t>7/13/48</t>
        </is>
      </c>
      <c r="D7" s="3" t="inlineStr">
        <is>
          <t>13/19/54</t>
        </is>
      </c>
      <c r="E7" s="3" t="inlineStr">
        <is>
          <t>13/19/54</t>
        </is>
      </c>
      <c r="F7" s="3" t="inlineStr">
        <is>
          <t>OK</t>
        </is>
      </c>
    </row>
    <row r="8">
      <c r="A8" s="3" t="inlineStr">
        <is>
          <t>Total sales 100% (EGP m)</t>
        </is>
      </c>
      <c r="B8" s="3" t="n">
        <v>2816</v>
      </c>
      <c r="C8" s="3" t="n">
        <v>2816.2</v>
      </c>
      <c r="D8" s="3" t="n">
        <v>3342</v>
      </c>
      <c r="E8" s="3" t="n">
        <v>3342.2</v>
      </c>
      <c r="F8" s="3" t="inlineStr">
        <is>
          <t>OK</t>
        </is>
      </c>
    </row>
    <row r="9">
      <c r="A9" s="3" t="inlineStr">
        <is>
          <t>Total sales 80% (EGP m)</t>
        </is>
      </c>
      <c r="B9" s="3" t="n">
        <v>2253</v>
      </c>
      <c r="C9" s="3" t="n">
        <v>2253</v>
      </c>
      <c r="D9" s="3" t="n">
        <v>2674</v>
      </c>
      <c r="E9" s="3" t="n">
        <v>2673.7</v>
      </c>
      <c r="F9" s="3" t="inlineStr">
        <is>
          <t>OK</t>
        </is>
      </c>
    </row>
    <row r="10">
      <c r="A10" s="3" t="inlineStr">
        <is>
          <t>Landlord min guarantee / DP (EGP m)</t>
        </is>
      </c>
      <c r="B10" s="3" t="inlineStr">
        <is>
          <t>800 / 80</t>
        </is>
      </c>
      <c r="C10" s="3" t="inlineStr">
        <is>
          <t>800 / 80 (Offers DP)</t>
        </is>
      </c>
      <c r="D10" s="3" t="inlineStr">
        <is>
          <t>850 / 85</t>
        </is>
      </c>
      <c r="E10" s="3" t="inlineStr">
        <is>
          <t>850 / 85 (Offers DP)</t>
        </is>
      </c>
      <c r="F10" s="3" t="inlineStr">
        <is>
          <t>OK - Summary!B3:B4 show 200 but are labels only, not used in any calculation</t>
        </is>
      </c>
    </row>
    <row r="11">
      <c r="A11" s="3" t="inlineStr">
        <is>
          <t>Jalour cash inflow (EGP m)</t>
        </is>
      </c>
      <c r="B11" s="3" t="n">
        <v>1267</v>
      </c>
      <c r="C11" s="3" t="n">
        <v>1267.3</v>
      </c>
      <c r="D11" s="3" t="n">
        <v>1504</v>
      </c>
      <c r="E11" s="3" t="n">
        <v>1504</v>
      </c>
      <c r="F11" s="3" t="inlineStr">
        <is>
          <t>OK</t>
        </is>
      </c>
    </row>
    <row r="12">
      <c r="A12" s="15" t="inlineStr">
        <is>
          <t>Jalour cash outflow (EGP m)</t>
        </is>
      </c>
      <c r="B12" s="15" t="n">
        <v>892</v>
      </c>
      <c r="C12" s="15" t="n">
        <v>891.9</v>
      </c>
      <c r="D12" s="15" t="n">
        <v>862</v>
      </c>
      <c r="E12" s="15" t="n">
        <v>908.7</v>
      </c>
      <c r="F12" s="15" t="inlineStr">
        <is>
          <t>CONFLICT (LA): prompt/Summary 862; cash-flow engine 908.7</t>
        </is>
      </c>
    </row>
    <row r="13">
      <c r="A13" s="15" t="inlineStr">
        <is>
          <t>Jalour net cash flow (EGP m)</t>
        </is>
      </c>
      <c r="B13" s="15" t="n">
        <v>375</v>
      </c>
      <c r="C13" s="15" t="n">
        <v>375.4</v>
      </c>
      <c r="D13" s="15" t="n">
        <v>642</v>
      </c>
      <c r="E13" s="15" t="n">
        <v>595.3</v>
      </c>
      <c r="F13" s="15" t="inlineStr">
        <is>
          <t>CONFLICT (LA): prompt 642 (L'avenir Summary C23); engine and Summary!D4 595.3</t>
        </is>
      </c>
    </row>
    <row r="14">
      <c r="A14" s="3" t="inlineStr">
        <is>
          <t>NPV with DP @14% (EGP m)</t>
        </is>
      </c>
      <c r="B14" s="3" t="n">
        <v>215.3</v>
      </c>
      <c r="C14" s="3" t="n">
        <v>215.3</v>
      </c>
      <c r="D14" s="3" t="n">
        <v>307.5</v>
      </c>
      <c r="E14" s="3" t="n">
        <v>307.5</v>
      </c>
      <c r="F14" s="3" t="inlineStr">
        <is>
          <t>OK (NPV uses the 908.7 cost, i.e. 595.3 basis)</t>
        </is>
      </c>
    </row>
    <row r="15">
      <c r="A15" s="3" t="inlineStr">
        <is>
          <t>NPV without DP (EGP m)</t>
        </is>
      </c>
      <c r="B15" s="3" t="n">
        <v>241.2</v>
      </c>
      <c r="C15" s="3" t="n">
        <v>241.2</v>
      </c>
      <c r="D15" s="3" t="n">
        <v>328.6</v>
      </c>
      <c r="E15" s="3" t="n">
        <v>328.6</v>
      </c>
      <c r="F15" s="3" t="inlineStr">
        <is>
          <t>OK</t>
        </is>
      </c>
    </row>
    <row r="16">
      <c r="A16" s="3" t="inlineStr">
        <is>
          <t>Peak cumulative shortage (EGP m)</t>
        </is>
      </c>
      <c r="B16" s="3" t="n">
        <v>102.5</v>
      </c>
      <c r="C16" s="3" t="n">
        <v>102.5</v>
      </c>
      <c r="D16" s="3" t="n">
        <v>102</v>
      </c>
      <c r="E16" s="3" t="n">
        <v>102</v>
      </c>
      <c r="F16" s="3" t="inlineStr">
        <is>
          <t>OK (GS at M6, LA at M30)</t>
        </is>
      </c>
    </row>
    <row r="17">
      <c r="A17" s="15" t="inlineStr">
        <is>
          <t>Construction cost (EGP m)</t>
        </is>
      </c>
      <c r="B17" s="15" t="n">
        <v>697</v>
      </c>
      <c r="C17" s="15" t="n">
        <v>697.2</v>
      </c>
      <c r="D17" s="15" t="n">
        <v>651</v>
      </c>
      <c r="E17" s="15" t="n">
        <v>697.2</v>
      </c>
      <c r="F17" s="15" t="inlineStr">
        <is>
          <t>CONFLICT (LA): 651 is a truncated SUM (Cash Out Detail!C29 =SUM(AB29:CC29) omits V:AA = 46.4)</t>
        </is>
      </c>
    </row>
    <row r="18">
      <c r="A18" s="3" t="inlineStr">
        <is>
          <t>Sales commission (EGP m)</t>
        </is>
      </c>
      <c r="B18" s="3" t="n">
        <v>90</v>
      </c>
      <c r="C18" s="3" t="n">
        <v>90.09999999999999</v>
      </c>
      <c r="D18" s="3" t="n">
        <v>107</v>
      </c>
      <c r="E18" s="3" t="n">
        <v>106.9</v>
      </c>
      <c r="F18" s="3" t="inlineStr">
        <is>
          <t>OK</t>
        </is>
      </c>
    </row>
    <row r="19">
      <c r="A19" s="3" t="inlineStr">
        <is>
          <t>SG&amp;A (EGP m)</t>
        </is>
      </c>
      <c r="B19" s="3" t="n">
        <v>105</v>
      </c>
      <c r="C19" s="3" t="n">
        <v>104.6</v>
      </c>
      <c r="D19" s="3" t="n">
        <v>105</v>
      </c>
      <c r="E19" s="3" t="n">
        <v>104.6</v>
      </c>
      <c r="F19" s="3" t="inlineStr">
        <is>
          <t>OK - identical because both = 15% x 697.2 (see reconciliation)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8" customWidth="1" min="3" max="3"/>
    <col width="16" customWidth="1" min="4" max="4"/>
    <col width="22" customWidth="1" min="5" max="5"/>
    <col width="10" customWidth="1" min="6" max="6"/>
  </cols>
  <sheetData>
    <row r="1">
      <c r="A1" s="1" t="inlineStr">
        <is>
          <t>Project-level scenarios (Jalour net cash flow, before any investor instrument)</t>
        </is>
      </c>
    </row>
    <row r="2">
      <c r="A2" s="2" t="inlineStr">
        <is>
          <t>ASSUMPTION definitions: sales delay shifts all collections and commission; guarantee schedule and construction timing unchanged; price % scales collections and landlord excess.</t>
        </is>
      </c>
    </row>
    <row r="4">
      <c r="A4" s="14" t="inlineStr">
        <is>
          <t>Project</t>
        </is>
      </c>
      <c r="B4" s="14" t="inlineStr">
        <is>
          <t>Scenario</t>
        </is>
      </c>
      <c r="C4" s="14" t="inlineStr">
        <is>
          <t>Net cash flow (EGP m)</t>
        </is>
      </c>
      <c r="D4" s="14" t="inlineStr">
        <is>
          <t>NPV @14% (EGP m)</t>
        </is>
      </c>
      <c r="E4" s="14" t="inlineStr">
        <is>
          <t>Peak cumulative cash position (EGP m)</t>
        </is>
      </c>
      <c r="F4" s="14" t="inlineStr">
        <is>
          <t>Peak month</t>
        </is>
      </c>
    </row>
    <row r="5">
      <c r="A5" s="3" t="inlineStr">
        <is>
          <t>Green Square</t>
        </is>
      </c>
      <c r="B5" s="3" t="inlineStr">
        <is>
          <t>Base</t>
        </is>
      </c>
      <c r="C5" s="16" t="n">
        <v>375.4475275000002</v>
      </c>
      <c r="D5" s="16" t="n">
        <v>215.311392548924</v>
      </c>
      <c r="E5" s="16" t="n">
        <v>-102.5</v>
      </c>
      <c r="F5" s="17" t="n">
        <v>6</v>
      </c>
    </row>
    <row r="6">
      <c r="A6" s="3" t="inlineStr">
        <is>
          <t>Green Square</t>
        </is>
      </c>
      <c r="B6" s="3" t="inlineStr">
        <is>
          <t>Downside (sales +12m, price -10%)</t>
        </is>
      </c>
      <c r="C6" s="16" t="n">
        <v>257.72937475</v>
      </c>
      <c r="D6" s="16" t="n">
        <v>-33.59468460746148</v>
      </c>
      <c r="E6" s="16" t="n">
        <v>-441.19460834375</v>
      </c>
      <c r="F6" s="17" t="n">
        <v>39</v>
      </c>
    </row>
    <row r="7">
      <c r="A7" s="3" t="inlineStr">
        <is>
          <t>Green Square</t>
        </is>
      </c>
      <c r="B7" s="3" t="inlineStr">
        <is>
          <t>Upside (price +10%)</t>
        </is>
      </c>
      <c r="C7" s="16" t="n">
        <v>493.1656802500001</v>
      </c>
      <c r="D7" s="16" t="n">
        <v>314.5815929584118</v>
      </c>
      <c r="E7" s="16" t="n">
        <v>-102.5</v>
      </c>
      <c r="F7" s="17" t="n">
        <v>6</v>
      </c>
    </row>
    <row r="8">
      <c r="A8" s="3" t="inlineStr">
        <is>
          <t>Green Square</t>
        </is>
      </c>
      <c r="B8" s="3" t="inlineStr">
        <is>
          <t>Construction cost +10%</t>
        </is>
      </c>
      <c r="C8" s="16" t="n">
        <v>295.2741275000001</v>
      </c>
      <c r="D8" s="16" t="n">
        <v>162.3456810366187</v>
      </c>
      <c r="E8" s="16" t="n">
        <v>-102.5</v>
      </c>
      <c r="F8" s="17" t="n">
        <v>6</v>
      </c>
    </row>
    <row r="9">
      <c r="A9" s="3" t="inlineStr">
        <is>
          <t>Green Square</t>
        </is>
      </c>
      <c r="B9" s="3" t="inlineStr">
        <is>
          <t>Collections slip 2 quarters</t>
        </is>
      </c>
      <c r="C9" s="16" t="n">
        <v>375.4475275000001</v>
      </c>
      <c r="D9" s="16" t="n">
        <v>125.4642192885034</v>
      </c>
      <c r="E9" s="16" t="n">
        <v>-235.690784375</v>
      </c>
      <c r="F9" s="17" t="n">
        <v>30</v>
      </c>
    </row>
    <row r="10">
      <c r="A10" s="3" t="inlineStr">
        <is>
          <t>Green Square</t>
        </is>
      </c>
      <c r="B10" s="3" t="inlineStr">
        <is>
          <t>Delivery payments at handover (stress)</t>
        </is>
      </c>
      <c r="C10" s="16" t="n">
        <v>375.4475275</v>
      </c>
      <c r="D10" s="16" t="n">
        <v>155.3293249012312</v>
      </c>
      <c r="E10" s="16" t="n">
        <v>-269.1979209375</v>
      </c>
      <c r="F10" s="17" t="n">
        <v>45</v>
      </c>
    </row>
    <row r="11">
      <c r="A11" s="3" t="inlineStr">
        <is>
          <t>Green Square</t>
        </is>
      </c>
      <c r="B11" s="3" t="inlineStr">
        <is>
          <t>Stress + downside</t>
        </is>
      </c>
      <c r="C11" s="16" t="n">
        <v>257.7293747499999</v>
      </c>
      <c r="D11" s="16" t="n">
        <v>-80.94894853985042</v>
      </c>
      <c r="E11" s="16" t="n">
        <v>-729.38647159375</v>
      </c>
      <c r="F11" s="17" t="n">
        <v>48</v>
      </c>
    </row>
    <row r="12">
      <c r="A12" s="3" t="inlineStr">
        <is>
          <t>L'avenir</t>
        </is>
      </c>
      <c r="B12" s="3" t="inlineStr">
        <is>
          <t>Base</t>
        </is>
      </c>
      <c r="C12" s="16" t="n">
        <v>595.2929293749995</v>
      </c>
      <c r="D12" s="16" t="n">
        <v>307.5323710915292</v>
      </c>
      <c r="E12" s="16" t="n">
        <v>-102.0180625</v>
      </c>
      <c r="F12" s="17" t="n">
        <v>30</v>
      </c>
    </row>
    <row r="13">
      <c r="A13" s="3" t="inlineStr">
        <is>
          <t>L'avenir</t>
        </is>
      </c>
      <c r="B13" s="3" t="inlineStr">
        <is>
          <t>Downside (sales +12m, price -10%)</t>
        </is>
      </c>
      <c r="C13" s="16" t="n">
        <v>455.5902364374995</v>
      </c>
      <c r="D13" s="16" t="n">
        <v>39.8977448934632</v>
      </c>
      <c r="E13" s="16" t="n">
        <v>-848.6042838750002</v>
      </c>
      <c r="F13" s="17" t="n">
        <v>54</v>
      </c>
    </row>
    <row r="14">
      <c r="A14" s="3" t="inlineStr">
        <is>
          <t>L'avenir</t>
        </is>
      </c>
      <c r="B14" s="3" t="inlineStr">
        <is>
          <t>Upside (price +10%)</t>
        </is>
      </c>
      <c r="C14" s="16" t="n">
        <v>734.9956223124996</v>
      </c>
      <c r="D14" s="16" t="n">
        <v>411.5481560868075</v>
      </c>
      <c r="E14" s="16" t="n">
        <v>-87.572785</v>
      </c>
      <c r="F14" s="17" t="n">
        <v>15</v>
      </c>
    </row>
    <row r="15">
      <c r="A15" s="3" t="inlineStr">
        <is>
          <t>L'avenir</t>
        </is>
      </c>
      <c r="B15" s="3" t="inlineStr">
        <is>
          <t>Construction cost +10%</t>
        </is>
      </c>
      <c r="C15" s="16" t="n">
        <v>515.1195293749996</v>
      </c>
      <c r="D15" s="16" t="n">
        <v>257.9254371887749</v>
      </c>
      <c r="E15" s="16" t="n">
        <v>-116.9499475</v>
      </c>
      <c r="F15" s="17" t="n">
        <v>33</v>
      </c>
    </row>
    <row r="16">
      <c r="A16" s="3" t="inlineStr">
        <is>
          <t>L'avenir</t>
        </is>
      </c>
      <c r="B16" s="3" t="inlineStr">
        <is>
          <t>Collections slip 2 quarters</t>
        </is>
      </c>
      <c r="C16" s="16" t="n">
        <v>595.2929293749996</v>
      </c>
      <c r="D16" s="16" t="n">
        <v>209.2786594690933</v>
      </c>
      <c r="E16" s="16" t="n">
        <v>-381.30656875</v>
      </c>
      <c r="F16" s="17" t="n">
        <v>48</v>
      </c>
    </row>
    <row r="17">
      <c r="A17" s="3" t="inlineStr">
        <is>
          <t>L'avenir</t>
        </is>
      </c>
      <c r="B17" s="3" t="inlineStr">
        <is>
          <t>Delivery payments at handover (stress)</t>
        </is>
      </c>
      <c r="C17" s="16" t="n">
        <v>595.2929293749996</v>
      </c>
      <c r="D17" s="16" t="n">
        <v>274.5391799076958</v>
      </c>
      <c r="E17" s="16" t="n">
        <v>-244.3073362500001</v>
      </c>
      <c r="F17" s="17" t="n">
        <v>51</v>
      </c>
    </row>
    <row r="18">
      <c r="A18" s="3" t="inlineStr">
        <is>
          <t>L'avenir</t>
        </is>
      </c>
      <c r="B18" s="3" t="inlineStr">
        <is>
          <t>Stress + downside</t>
        </is>
      </c>
      <c r="C18" s="16" t="n">
        <v>455.5902364374997</v>
      </c>
      <c r="D18" s="16" t="n">
        <v>13.85048869570005</v>
      </c>
      <c r="E18" s="16" t="n">
        <v>-848.6042838750002</v>
      </c>
      <c r="F18" s="17" t="n">
        <v>54</v>
      </c>
    </row>
    <row r="20">
      <c r="A20" s="2" t="inlineStr">
        <is>
          <t>Reading: the model collects delivery payments (20-25% of price) at M30-M36 (GS) and M39-M45 (LA), i.e. 12-18 and 9-15 months BEFORE the model's own handover month (48 / 54). The "Delivery payments at handover" row moves them to handover.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4" customWidth="1" min="8" max="8"/>
    <col width="18" customWidth="1" min="9" max="9"/>
    <col width="14" customWidth="1" min="10" max="10"/>
    <col width="14" customWidth="1" min="11" max="11"/>
    <col width="22" customWidth="1" min="12" max="12"/>
  </cols>
  <sheetData>
    <row r="1">
      <c r="A1" s="1" t="inlineStr">
        <is>
          <t>Funding plan per ticket (per project)</t>
        </is>
      </c>
    </row>
    <row r="2">
      <c r="A2" s="2" t="inlineStr">
        <is>
          <t>Uses: DP and guarantee/working capital to modelled peak are MODEL; pre-construction is an ASSUMPTION (30% of the 5% professional-fee line, 10.5m, pulled ahead of construction start).</t>
        </is>
      </c>
    </row>
    <row r="4">
      <c r="A4" s="14" t="inlineStr">
        <is>
          <t>Project</t>
        </is>
      </c>
      <c r="B4" s="14" t="inlineStr">
        <is>
          <t>Ticket</t>
        </is>
      </c>
      <c r="C4" s="14" t="inlineStr">
        <is>
          <t>Use: down payment</t>
        </is>
      </c>
      <c r="D4" s="14" t="inlineStr">
        <is>
          <t>Use: guarantee instalments &amp; working capital to peak</t>
        </is>
      </c>
      <c r="E4" s="14" t="inlineStr">
        <is>
          <t>Use: design/permits/pre-construction (assumption)</t>
        </is>
      </c>
      <c r="F4" s="14" t="inlineStr">
        <is>
          <t>Total uses at peak</t>
        </is>
      </c>
      <c r="G4" s="14" t="inlineStr">
        <is>
          <t>Ticket applied to uses</t>
        </is>
      </c>
      <c r="H4" s="14" t="inlineStr">
        <is>
          <t>Balance: sponsor equity, collections and other sources</t>
        </is>
      </c>
      <c r="I4" s="14" t="inlineStr">
        <is>
          <t>Ticket above uses = buffer / reserve</t>
        </is>
      </c>
      <c r="J4" s="14" t="inlineStr">
        <is>
          <t>Ticket as % of modelled peak</t>
        </is>
      </c>
      <c r="K4" s="14" t="inlineStr">
        <is>
          <t>Ticket above modelled peak</t>
        </is>
      </c>
      <c r="L4" s="14" t="inlineStr">
        <is>
          <t>Flag</t>
        </is>
      </c>
    </row>
    <row r="5">
      <c r="A5" s="3" t="inlineStr">
        <is>
          <t>Green Square</t>
        </is>
      </c>
      <c r="B5" s="17" t="n">
        <v>50</v>
      </c>
      <c r="C5" s="16" t="n">
        <v>80</v>
      </c>
      <c r="D5" s="16" t="n">
        <v>22.5</v>
      </c>
      <c r="E5" s="16" t="n">
        <v>10.4574</v>
      </c>
      <c r="F5" s="16" t="n">
        <v>112.9574</v>
      </c>
      <c r="G5" s="16" t="n">
        <v>50</v>
      </c>
      <c r="H5" s="16" t="n">
        <v>62.95739999999999</v>
      </c>
      <c r="I5" s="16" t="n">
        <v>0</v>
      </c>
      <c r="J5" s="18" t="n">
        <v>0.4878048780487805</v>
      </c>
      <c r="K5" s="16" t="n">
        <v>0</v>
      </c>
      <c r="L5" s="3" t="inlineStr"/>
    </row>
    <row r="6">
      <c r="A6" s="3" t="inlineStr">
        <is>
          <t>Green Square</t>
        </is>
      </c>
      <c r="B6" s="17" t="n">
        <v>75</v>
      </c>
      <c r="C6" s="16" t="n">
        <v>80</v>
      </c>
      <c r="D6" s="16" t="n">
        <v>22.5</v>
      </c>
      <c r="E6" s="16" t="n">
        <v>10.4574</v>
      </c>
      <c r="F6" s="16" t="n">
        <v>112.9574</v>
      </c>
      <c r="G6" s="16" t="n">
        <v>75</v>
      </c>
      <c r="H6" s="16" t="n">
        <v>37.95739999999999</v>
      </c>
      <c r="I6" s="16" t="n">
        <v>0</v>
      </c>
      <c r="J6" s="18" t="n">
        <v>0.7317073170731707</v>
      </c>
      <c r="K6" s="16" t="n">
        <v>0</v>
      </c>
      <c r="L6" s="3" t="inlineStr"/>
    </row>
    <row r="7">
      <c r="A7" s="3" t="inlineStr">
        <is>
          <t>Green Square</t>
        </is>
      </c>
      <c r="B7" s="17" t="n">
        <v>100</v>
      </c>
      <c r="C7" s="16" t="n">
        <v>80</v>
      </c>
      <c r="D7" s="16" t="n">
        <v>22.5</v>
      </c>
      <c r="E7" s="16" t="n">
        <v>10.4574</v>
      </c>
      <c r="F7" s="16" t="n">
        <v>112.9574</v>
      </c>
      <c r="G7" s="16" t="n">
        <v>100</v>
      </c>
      <c r="H7" s="16" t="n">
        <v>12.95739999999999</v>
      </c>
      <c r="I7" s="16" t="n">
        <v>0</v>
      </c>
      <c r="J7" s="18" t="n">
        <v>0.975609756097561</v>
      </c>
      <c r="K7" s="16" t="n">
        <v>0</v>
      </c>
      <c r="L7" s="3" t="inlineStr"/>
    </row>
    <row r="8">
      <c r="A8" s="3" t="inlineStr">
        <is>
          <t>Green Square</t>
        </is>
      </c>
      <c r="B8" s="17" t="n">
        <v>125</v>
      </c>
      <c r="C8" s="16" t="n">
        <v>80</v>
      </c>
      <c r="D8" s="16" t="n">
        <v>22.5</v>
      </c>
      <c r="E8" s="16" t="n">
        <v>10.4574</v>
      </c>
      <c r="F8" s="16" t="n">
        <v>112.9574</v>
      </c>
      <c r="G8" s="16" t="n">
        <v>112.9574</v>
      </c>
      <c r="H8" s="16" t="n">
        <v>0</v>
      </c>
      <c r="I8" s="16" t="n">
        <v>12.04260000000001</v>
      </c>
      <c r="J8" s="18" t="n">
        <v>1.219512195121951</v>
      </c>
      <c r="K8" s="16" t="n">
        <v>22.5</v>
      </c>
      <c r="L8" s="3" t="inlineStr">
        <is>
          <t>EXCEEDS modelled peak</t>
        </is>
      </c>
    </row>
    <row r="9">
      <c r="A9" s="3" t="inlineStr">
        <is>
          <t>L'avenir</t>
        </is>
      </c>
      <c r="B9" s="17" t="n">
        <v>50</v>
      </c>
      <c r="C9" s="16" t="n">
        <v>85</v>
      </c>
      <c r="D9" s="16" t="n">
        <v>17.0180625</v>
      </c>
      <c r="E9" s="16" t="n">
        <v>10.4574</v>
      </c>
      <c r="F9" s="16" t="n">
        <v>112.4754625</v>
      </c>
      <c r="G9" s="16" t="n">
        <v>50</v>
      </c>
      <c r="H9" s="16" t="n">
        <v>62.47546249999999</v>
      </c>
      <c r="I9" s="16" t="n">
        <v>0</v>
      </c>
      <c r="J9" s="18" t="n">
        <v>0.4901092882449125</v>
      </c>
      <c r="K9" s="16" t="n">
        <v>0</v>
      </c>
      <c r="L9" s="3" t="inlineStr"/>
    </row>
    <row r="10">
      <c r="A10" s="3" t="inlineStr">
        <is>
          <t>L'avenir</t>
        </is>
      </c>
      <c r="B10" s="17" t="n">
        <v>75</v>
      </c>
      <c r="C10" s="16" t="n">
        <v>85</v>
      </c>
      <c r="D10" s="16" t="n">
        <v>17.0180625</v>
      </c>
      <c r="E10" s="16" t="n">
        <v>10.4574</v>
      </c>
      <c r="F10" s="16" t="n">
        <v>112.4754625</v>
      </c>
      <c r="G10" s="16" t="n">
        <v>75</v>
      </c>
      <c r="H10" s="16" t="n">
        <v>37.47546249999999</v>
      </c>
      <c r="I10" s="16" t="n">
        <v>0</v>
      </c>
      <c r="J10" s="18" t="n">
        <v>0.7351639323673688</v>
      </c>
      <c r="K10" s="16" t="n">
        <v>0</v>
      </c>
      <c r="L10" s="3" t="inlineStr"/>
    </row>
    <row r="11">
      <c r="A11" s="3" t="inlineStr">
        <is>
          <t>L'avenir</t>
        </is>
      </c>
      <c r="B11" s="17" t="n">
        <v>100</v>
      </c>
      <c r="C11" s="16" t="n">
        <v>85</v>
      </c>
      <c r="D11" s="16" t="n">
        <v>17.0180625</v>
      </c>
      <c r="E11" s="16" t="n">
        <v>10.4574</v>
      </c>
      <c r="F11" s="16" t="n">
        <v>112.4754625</v>
      </c>
      <c r="G11" s="16" t="n">
        <v>100</v>
      </c>
      <c r="H11" s="16" t="n">
        <v>12.47546249999999</v>
      </c>
      <c r="I11" s="16" t="n">
        <v>0</v>
      </c>
      <c r="J11" s="18" t="n">
        <v>0.980218576489825</v>
      </c>
      <c r="K11" s="16" t="n">
        <v>0</v>
      </c>
      <c r="L11" s="3" t="inlineStr"/>
    </row>
    <row r="12">
      <c r="A12" s="3" t="inlineStr">
        <is>
          <t>L'avenir</t>
        </is>
      </c>
      <c r="B12" s="17" t="n">
        <v>125</v>
      </c>
      <c r="C12" s="16" t="n">
        <v>85</v>
      </c>
      <c r="D12" s="16" t="n">
        <v>17.0180625</v>
      </c>
      <c r="E12" s="16" t="n">
        <v>10.4574</v>
      </c>
      <c r="F12" s="16" t="n">
        <v>112.4754625</v>
      </c>
      <c r="G12" s="16" t="n">
        <v>112.4754625</v>
      </c>
      <c r="H12" s="16" t="n">
        <v>0</v>
      </c>
      <c r="I12" s="16" t="n">
        <v>12.52453750000001</v>
      </c>
      <c r="J12" s="18" t="n">
        <v>1.225273220612281</v>
      </c>
      <c r="K12" s="16" t="n">
        <v>22.9819375</v>
      </c>
      <c r="L12" s="3" t="inlineStr">
        <is>
          <t>EXCEEDS modelled peak</t>
        </is>
      </c>
    </row>
    <row r="14">
      <c r="A14" s="2" t="inlineStr">
        <is>
          <t>Stress: if delivery payments arrive at handover, peak shortage is GS 269 / LA 244, above every ticket. Downside (sales +12m, price -10%): GS 441 / LA 849. No ticket alone covers these; see summary.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22" customWidth="1" min="10" max="10"/>
    <col width="22" customWidth="1" min="11" max="11"/>
  </cols>
  <sheetData>
    <row r="1">
      <c r="A1" s="1" t="inlineStr">
        <is>
          <t>Option A: which inventory funds the units?</t>
        </is>
      </c>
    </row>
    <row r="2">
      <c r="A2" s="2" t="inlineStr">
        <is>
          <t>Pools at the model average realised price. Retained pool = 20% of units not in the model's sales plan and not in its cash flows.</t>
        </is>
      </c>
    </row>
    <row r="4">
      <c r="A4" s="14" t="inlineStr">
        <is>
          <t>Project</t>
        </is>
      </c>
      <c r="B4" s="14" t="inlineStr">
        <is>
          <t>Ticket</t>
        </is>
      </c>
      <c r="C4" s="14" t="inlineStr">
        <is>
          <t>Face value of units (2.0x)</t>
        </is>
      </c>
      <c r="D4" s="14" t="inlineStr">
        <is>
          <t>Retained pool value</t>
        </is>
      </c>
      <c r="E4" s="14" t="inlineStr">
        <is>
          <t>Face as % of retained pool</t>
        </is>
      </c>
      <c r="F4" s="14" t="inlineStr">
        <is>
          <t>Retained pool: retail</t>
        </is>
      </c>
      <c r="G4" s="14" t="inlineStr">
        <is>
          <t>Retained pool: offices</t>
        </is>
      </c>
      <c r="H4" s="14" t="inlineStr">
        <is>
          <t>Face as % of sold programme (80%)</t>
        </is>
      </c>
      <c r="I4" s="14" t="inlineStr">
        <is>
          <t>Face as % of total sales value (100%)</t>
        </is>
      </c>
      <c r="J4" s="14" t="inlineStr">
        <is>
          <t>Avg price / launch price (blended, pool-weighted)</t>
        </is>
      </c>
      <c r="K4" s="14" t="inlineStr">
        <is>
          <t>Face value if measured at launch list price</t>
        </is>
      </c>
    </row>
    <row r="5">
      <c r="A5" s="3" t="inlineStr">
        <is>
          <t>Green Square</t>
        </is>
      </c>
      <c r="B5" s="17" t="n">
        <v>50</v>
      </c>
      <c r="C5" s="16" t="n">
        <v>100</v>
      </c>
      <c r="D5" s="16" t="n">
        <v>563.24475</v>
      </c>
      <c r="E5" s="18" t="n">
        <v>0.1775427112281118</v>
      </c>
      <c r="F5" s="16" t="n">
        <v>232.786125</v>
      </c>
      <c r="G5" s="16" t="n">
        <v>330.458624</v>
      </c>
      <c r="H5" s="18" t="n">
        <v>0.04438567780702794</v>
      </c>
      <c r="I5" s="18" t="n">
        <v>0.03550854224562235</v>
      </c>
      <c r="J5" s="7" t="n">
        <v>1.319491525449743</v>
      </c>
      <c r="K5" s="16" t="n">
        <v>131.9491525449743</v>
      </c>
    </row>
    <row r="6">
      <c r="A6" s="3" t="inlineStr">
        <is>
          <t>Green Square</t>
        </is>
      </c>
      <c r="B6" s="17" t="n">
        <v>75</v>
      </c>
      <c r="C6" s="16" t="n">
        <v>150</v>
      </c>
      <c r="D6" s="16" t="n">
        <v>563.24475</v>
      </c>
      <c r="E6" s="18" t="n">
        <v>0.2663140668421677</v>
      </c>
      <c r="F6" s="16" t="n">
        <v>232.786125</v>
      </c>
      <c r="G6" s="16" t="n">
        <v>330.458624</v>
      </c>
      <c r="H6" s="18" t="n">
        <v>0.06657851671054192</v>
      </c>
      <c r="I6" s="18" t="n">
        <v>0.05326281336843353</v>
      </c>
      <c r="J6" s="7" t="n">
        <v>1.319491525449743</v>
      </c>
      <c r="K6" s="16" t="n">
        <v>197.9237288174614</v>
      </c>
    </row>
    <row r="7">
      <c r="A7" s="3" t="inlineStr">
        <is>
          <t>Green Square</t>
        </is>
      </c>
      <c r="B7" s="17" t="n">
        <v>100</v>
      </c>
      <c r="C7" s="16" t="n">
        <v>200</v>
      </c>
      <c r="D7" s="16" t="n">
        <v>563.24475</v>
      </c>
      <c r="E7" s="18" t="n">
        <v>0.3550854224562235</v>
      </c>
      <c r="F7" s="16" t="n">
        <v>232.786125</v>
      </c>
      <c r="G7" s="16" t="n">
        <v>330.458624</v>
      </c>
      <c r="H7" s="18" t="n">
        <v>0.08877135561405589</v>
      </c>
      <c r="I7" s="18" t="n">
        <v>0.07101708449124471</v>
      </c>
      <c r="J7" s="7" t="n">
        <v>1.319491525449743</v>
      </c>
      <c r="K7" s="16" t="n">
        <v>263.8983050899486</v>
      </c>
    </row>
    <row r="8">
      <c r="A8" s="3" t="inlineStr">
        <is>
          <t>Green Square</t>
        </is>
      </c>
      <c r="B8" s="17" t="n">
        <v>125</v>
      </c>
      <c r="C8" s="16" t="n">
        <v>250</v>
      </c>
      <c r="D8" s="16" t="n">
        <v>563.24475</v>
      </c>
      <c r="E8" s="18" t="n">
        <v>0.4438567780702795</v>
      </c>
      <c r="F8" s="16" t="n">
        <v>232.786125</v>
      </c>
      <c r="G8" s="16" t="n">
        <v>330.458624</v>
      </c>
      <c r="H8" s="18" t="n">
        <v>0.1109641945175699</v>
      </c>
      <c r="I8" s="18" t="n">
        <v>0.08877135561405587</v>
      </c>
      <c r="J8" s="7" t="n">
        <v>1.319491525449743</v>
      </c>
      <c r="K8" s="16" t="n">
        <v>329.8728813624357</v>
      </c>
    </row>
    <row r="9">
      <c r="A9" s="3" t="inlineStr">
        <is>
          <t>L'avenir</t>
        </is>
      </c>
      <c r="B9" s="17" t="n">
        <v>50</v>
      </c>
      <c r="C9" s="16" t="n">
        <v>100</v>
      </c>
      <c r="D9" s="16" t="n">
        <v>668.4339375</v>
      </c>
      <c r="E9" s="18" t="n">
        <v>0.1496034153711712</v>
      </c>
      <c r="F9" s="16" t="n">
        <v>269.2186875</v>
      </c>
      <c r="G9" s="16" t="n">
        <v>399.21524</v>
      </c>
      <c r="H9" s="18" t="n">
        <v>0.03740085384279281</v>
      </c>
      <c r="I9" s="18" t="n">
        <v>0.02992068307423424</v>
      </c>
      <c r="J9" s="7" t="n">
        <v>1.519703389677504</v>
      </c>
      <c r="K9" s="16" t="n">
        <v>151.9703389677504</v>
      </c>
    </row>
    <row r="10">
      <c r="A10" s="3" t="inlineStr">
        <is>
          <t>L'avenir</t>
        </is>
      </c>
      <c r="B10" s="17" t="n">
        <v>75</v>
      </c>
      <c r="C10" s="16" t="n">
        <v>150</v>
      </c>
      <c r="D10" s="16" t="n">
        <v>668.4339375</v>
      </c>
      <c r="E10" s="18" t="n">
        <v>0.2244051230567568</v>
      </c>
      <c r="F10" s="16" t="n">
        <v>269.2186875</v>
      </c>
      <c r="G10" s="16" t="n">
        <v>399.21524</v>
      </c>
      <c r="H10" s="18" t="n">
        <v>0.05610128076418921</v>
      </c>
      <c r="I10" s="18" t="n">
        <v>0.04488102461135137</v>
      </c>
      <c r="J10" s="7" t="n">
        <v>1.519703389677504</v>
      </c>
      <c r="K10" s="16" t="n">
        <v>227.9555084516256</v>
      </c>
    </row>
    <row r="11">
      <c r="A11" s="3" t="inlineStr">
        <is>
          <t>L'avenir</t>
        </is>
      </c>
      <c r="B11" s="17" t="n">
        <v>100</v>
      </c>
      <c r="C11" s="16" t="n">
        <v>200</v>
      </c>
      <c r="D11" s="16" t="n">
        <v>668.4339375</v>
      </c>
      <c r="E11" s="18" t="n">
        <v>0.2992068307423424</v>
      </c>
      <c r="F11" s="16" t="n">
        <v>269.2186875</v>
      </c>
      <c r="G11" s="16" t="n">
        <v>399.21524</v>
      </c>
      <c r="H11" s="18" t="n">
        <v>0.07480170768558561</v>
      </c>
      <c r="I11" s="18" t="n">
        <v>0.05984136614846849</v>
      </c>
      <c r="J11" s="7" t="n">
        <v>1.519703389677504</v>
      </c>
      <c r="K11" s="16" t="n">
        <v>303.9406779355008</v>
      </c>
    </row>
    <row r="12">
      <c r="A12" s="3" t="inlineStr">
        <is>
          <t>L'avenir</t>
        </is>
      </c>
      <c r="B12" s="17" t="n">
        <v>125</v>
      </c>
      <c r="C12" s="16" t="n">
        <v>250</v>
      </c>
      <c r="D12" s="16" t="n">
        <v>668.4339375</v>
      </c>
      <c r="E12" s="18" t="n">
        <v>0.3740085384279281</v>
      </c>
      <c r="F12" s="16" t="n">
        <v>269.2186875</v>
      </c>
      <c r="G12" s="16" t="n">
        <v>399.21524</v>
      </c>
      <c r="H12" s="18" t="n">
        <v>0.09350213460698202</v>
      </c>
      <c r="I12" s="18" t="n">
        <v>0.07480170768558561</v>
      </c>
      <c r="J12" s="7" t="n">
        <v>1.519703389677504</v>
      </c>
      <c r="K12" s="16" t="n">
        <v>379.925847419376</v>
      </c>
    </row>
    <row r="14">
      <c r="A14" s="2" t="inlineStr">
        <is>
          <t>Retail-only allocation exceeds the retail retained pool above a ticket of about 116m (GS) / 135m (LA): a retail/office mix is needed at 125m. Offices-only fits all tickets.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</cols>
  <sheetData>
    <row r="1">
      <c r="A1" s="1" t="inlineStr">
        <is>
          <t>Option A: investor returns (projection, 2.0x face at average modelled price, resold over 4 quarters from handover+3m, 3% resale friction)</t>
        </is>
      </c>
    </row>
    <row r="2">
      <c r="A2" s="2" t="inlineStr">
        <is>
          <t>Downside: resale 12 months later and 10% lower price. Upside: 10% higher price. Returns are the same per EGP at every ticket because the instrument is linear.</t>
        </is>
      </c>
    </row>
    <row r="4">
      <c r="A4" s="14" t="inlineStr">
        <is>
          <t>Project</t>
        </is>
      </c>
      <c r="B4" s="14" t="inlineStr">
        <is>
          <t>Ticket</t>
        </is>
      </c>
      <c r="C4" s="14" t="inlineStr">
        <is>
          <t>Units face value</t>
        </is>
      </c>
      <c r="D4" s="14" t="inlineStr">
        <is>
          <t>Base IRR</t>
        </is>
      </c>
      <c r="E4" s="14" t="inlineStr">
        <is>
          <t>Base MOIC</t>
        </is>
      </c>
      <c r="F4" s="14" t="inlineStr">
        <is>
          <t>Downside IRR</t>
        </is>
      </c>
      <c r="G4" s="14" t="inlineStr">
        <is>
          <t>Downside MOIC</t>
        </is>
      </c>
      <c r="H4" s="14" t="inlineStr">
        <is>
          <t>Upside IRR</t>
        </is>
      </c>
      <c r="I4" s="14" t="inlineStr">
        <is>
          <t>Upside MOIC</t>
        </is>
      </c>
    </row>
    <row r="5">
      <c r="A5" s="3" t="inlineStr">
        <is>
          <t>Green Square</t>
        </is>
      </c>
      <c r="B5" s="17" t="n">
        <v>50</v>
      </c>
      <c r="C5" s="16" t="n">
        <v>100</v>
      </c>
      <c r="D5" s="18" t="n">
        <v>0.1637841623134985</v>
      </c>
      <c r="E5" s="19" t="n">
        <v>1.94</v>
      </c>
      <c r="F5" s="18" t="n">
        <v>0.1093420310799948</v>
      </c>
      <c r="G5" s="19" t="n">
        <v>1.746</v>
      </c>
      <c r="H5" s="18" t="n">
        <v>0.1894910161542157</v>
      </c>
      <c r="I5" s="19" t="n">
        <v>2.134</v>
      </c>
    </row>
    <row r="6">
      <c r="A6" s="3" t="inlineStr">
        <is>
          <t>Green Square</t>
        </is>
      </c>
      <c r="B6" s="17" t="n">
        <v>75</v>
      </c>
      <c r="C6" s="16" t="n">
        <v>150</v>
      </c>
      <c r="D6" s="18" t="n">
        <v>0.1637841623134987</v>
      </c>
      <c r="E6" s="19" t="n">
        <v>1.94</v>
      </c>
      <c r="F6" s="18" t="n">
        <v>0.1093420310799948</v>
      </c>
      <c r="G6" s="19" t="n">
        <v>1.746</v>
      </c>
      <c r="H6" s="18" t="n">
        <v>0.1894910161542157</v>
      </c>
      <c r="I6" s="19" t="n">
        <v>2.134</v>
      </c>
    </row>
    <row r="7">
      <c r="A7" s="3" t="inlineStr">
        <is>
          <t>Green Square</t>
        </is>
      </c>
      <c r="B7" s="17" t="n">
        <v>100</v>
      </c>
      <c r="C7" s="16" t="n">
        <v>200</v>
      </c>
      <c r="D7" s="18" t="n">
        <v>0.1637841623134985</v>
      </c>
      <c r="E7" s="19" t="n">
        <v>1.94</v>
      </c>
      <c r="F7" s="18" t="n">
        <v>0.1093420310799948</v>
      </c>
      <c r="G7" s="19" t="n">
        <v>1.746</v>
      </c>
      <c r="H7" s="18" t="n">
        <v>0.1894910161542157</v>
      </c>
      <c r="I7" s="19" t="n">
        <v>2.134</v>
      </c>
    </row>
    <row r="8">
      <c r="A8" s="3" t="inlineStr">
        <is>
          <t>Green Square</t>
        </is>
      </c>
      <c r="B8" s="17" t="n">
        <v>125</v>
      </c>
      <c r="C8" s="16" t="n">
        <v>250</v>
      </c>
      <c r="D8" s="18" t="n">
        <v>0.1637841623134987</v>
      </c>
      <c r="E8" s="19" t="n">
        <v>1.94</v>
      </c>
      <c r="F8" s="18" t="n">
        <v>0.1093420310799949</v>
      </c>
      <c r="G8" s="19" t="n">
        <v>1.746</v>
      </c>
      <c r="H8" s="18" t="n">
        <v>0.1894910161542158</v>
      </c>
      <c r="I8" s="19" t="n">
        <v>2.134</v>
      </c>
    </row>
    <row r="9">
      <c r="A9" s="3" t="inlineStr">
        <is>
          <t>L'avenir</t>
        </is>
      </c>
      <c r="B9" s="17" t="n">
        <v>50</v>
      </c>
      <c r="C9" s="16" t="n">
        <v>100</v>
      </c>
      <c r="D9" s="18" t="n">
        <v>0.1745636569825642</v>
      </c>
      <c r="E9" s="19" t="n">
        <v>1.94</v>
      </c>
      <c r="F9" s="18" t="n">
        <v>0.1149807023138143</v>
      </c>
      <c r="G9" s="19" t="n">
        <v>1.746</v>
      </c>
      <c r="H9" s="18" t="n">
        <v>0.2021094750438592</v>
      </c>
      <c r="I9" s="19" t="n">
        <v>2.134</v>
      </c>
    </row>
    <row r="10">
      <c r="A10" s="3" t="inlineStr">
        <is>
          <t>L'avenir</t>
        </is>
      </c>
      <c r="B10" s="17" t="n">
        <v>75</v>
      </c>
      <c r="C10" s="16" t="n">
        <v>150</v>
      </c>
      <c r="D10" s="18" t="n">
        <v>0.1745636569825644</v>
      </c>
      <c r="E10" s="19" t="n">
        <v>1.94</v>
      </c>
      <c r="F10" s="18" t="n">
        <v>0.1149807023138142</v>
      </c>
      <c r="G10" s="19" t="n">
        <v>1.746</v>
      </c>
      <c r="H10" s="18" t="n">
        <v>0.2021094750438589</v>
      </c>
      <c r="I10" s="19" t="n">
        <v>2.134</v>
      </c>
    </row>
    <row r="11">
      <c r="A11" s="3" t="inlineStr">
        <is>
          <t>L'avenir</t>
        </is>
      </c>
      <c r="B11" s="17" t="n">
        <v>100</v>
      </c>
      <c r="C11" s="16" t="n">
        <v>200</v>
      </c>
      <c r="D11" s="18" t="n">
        <v>0.1745636569825642</v>
      </c>
      <c r="E11" s="19" t="n">
        <v>1.94</v>
      </c>
      <c r="F11" s="18" t="n">
        <v>0.1149807023138143</v>
      </c>
      <c r="G11" s="19" t="n">
        <v>1.746</v>
      </c>
      <c r="H11" s="18" t="n">
        <v>0.2021094750438592</v>
      </c>
      <c r="I11" s="19" t="n">
        <v>2.134</v>
      </c>
    </row>
    <row r="12">
      <c r="A12" s="3" t="inlineStr">
        <is>
          <t>L'avenir</t>
        </is>
      </c>
      <c r="B12" s="17" t="n">
        <v>125</v>
      </c>
      <c r="C12" s="16" t="n">
        <v>250</v>
      </c>
      <c r="D12" s="18" t="n">
        <v>0.1745636569825643</v>
      </c>
      <c r="E12" s="19" t="n">
        <v>1.94</v>
      </c>
      <c r="F12" s="18" t="n">
        <v>0.1149807023138143</v>
      </c>
      <c r="G12" s="19" t="n">
        <v>1.746</v>
      </c>
      <c r="H12" s="18" t="n">
        <v>0.202109475043859</v>
      </c>
      <c r="I12" s="19" t="n">
        <v>2.134</v>
      </c>
    </row>
    <row r="14">
      <c r="A14" s="11" t="inlineStr">
        <is>
          <t>Face multiple sensitivity (ticket 100m): investor IRR / MOIC</t>
        </is>
      </c>
    </row>
    <row r="15">
      <c r="A15" s="14" t="inlineStr">
        <is>
          <t>Project</t>
        </is>
      </c>
      <c r="B15" s="14" t="inlineStr">
        <is>
          <t>Face multiple</t>
        </is>
      </c>
      <c r="C15" s="14" t="inlineStr">
        <is>
          <t>IRR</t>
        </is>
      </c>
      <c r="D15" s="14" t="inlineStr">
        <is>
          <t>MOIC</t>
        </is>
      </c>
    </row>
    <row r="16">
      <c r="A16" s="3" t="inlineStr">
        <is>
          <t>Green Square</t>
        </is>
      </c>
      <c r="B16" s="19" t="n">
        <v>1.5</v>
      </c>
      <c r="C16" s="18" t="n">
        <v>0.0895680469268695</v>
      </c>
      <c r="D16" s="19" t="n">
        <v>1.455</v>
      </c>
    </row>
    <row r="17">
      <c r="A17" s="3" t="inlineStr">
        <is>
          <t>Green Square</t>
        </is>
      </c>
      <c r="B17" s="19" t="n">
        <v>1.75</v>
      </c>
      <c r="C17" s="18" t="n">
        <v>0.1287162858609006</v>
      </c>
      <c r="D17" s="19" t="n">
        <v>1.6975</v>
      </c>
    </row>
    <row r="18">
      <c r="A18" s="3" t="inlineStr">
        <is>
          <t>Green Square</t>
        </is>
      </c>
      <c r="B18" s="19" t="n">
        <v>2</v>
      </c>
      <c r="C18" s="18" t="n">
        <v>0.1637841623134985</v>
      </c>
      <c r="D18" s="19" t="n">
        <v>1.94</v>
      </c>
    </row>
    <row r="19">
      <c r="A19" s="3" t="inlineStr">
        <is>
          <t>Green Square</t>
        </is>
      </c>
      <c r="B19" s="19" t="n">
        <v>2.25</v>
      </c>
      <c r="C19" s="18" t="n">
        <v>0.1956361012045627</v>
      </c>
      <c r="D19" s="19" t="n">
        <v>2.1825</v>
      </c>
    </row>
    <row r="20">
      <c r="A20" s="3" t="inlineStr">
        <is>
          <t>Green Square</t>
        </is>
      </c>
      <c r="B20" s="19" t="n">
        <v>2.5</v>
      </c>
      <c r="C20" s="18" t="n">
        <v>0.2248801615364157</v>
      </c>
      <c r="D20" s="19" t="n">
        <v>2.425</v>
      </c>
    </row>
    <row r="21">
      <c r="A21" s="3" t="inlineStr">
        <is>
          <t>Green Square</t>
        </is>
      </c>
      <c r="B21" s="19" t="n">
        <v>2.67</v>
      </c>
      <c r="C21" s="18" t="n">
        <v>0.2435085653691215</v>
      </c>
      <c r="D21" s="19" t="n">
        <v>2.5899</v>
      </c>
    </row>
    <row r="22">
      <c r="A22" s="3" t="inlineStr">
        <is>
          <t>Green Square</t>
        </is>
      </c>
      <c r="B22" s="19" t="n">
        <v>3</v>
      </c>
      <c r="C22" s="18" t="n">
        <v>0.2772170694501662</v>
      </c>
      <c r="D22" s="19" t="n">
        <v>2.91</v>
      </c>
    </row>
    <row r="23">
      <c r="A23" s="3" t="inlineStr">
        <is>
          <t>L'avenir</t>
        </is>
      </c>
      <c r="B23" s="19" t="n">
        <v>1.5</v>
      </c>
      <c r="C23" s="18" t="n">
        <v>0.09525686435002913</v>
      </c>
      <c r="D23" s="19" t="n">
        <v>1.455</v>
      </c>
    </row>
    <row r="24">
      <c r="A24" s="3" t="inlineStr">
        <is>
          <t>L'avenir</t>
        </is>
      </c>
      <c r="B24" s="19" t="n">
        <v>1.75</v>
      </c>
      <c r="C24" s="18" t="n">
        <v>0.137049298247821</v>
      </c>
      <c r="D24" s="19" t="n">
        <v>1.6975</v>
      </c>
    </row>
    <row r="25">
      <c r="A25" s="3" t="inlineStr">
        <is>
          <t>L'avenir</t>
        </is>
      </c>
      <c r="B25" s="19" t="n">
        <v>2</v>
      </c>
      <c r="C25" s="18" t="n">
        <v>0.1745636569825642</v>
      </c>
      <c r="D25" s="19" t="n">
        <v>1.94</v>
      </c>
    </row>
    <row r="26">
      <c r="A26" s="3" t="inlineStr">
        <is>
          <t>L'avenir</t>
        </is>
      </c>
      <c r="B26" s="19" t="n">
        <v>2.25</v>
      </c>
      <c r="C26" s="18" t="n">
        <v>0.2086997636130615</v>
      </c>
      <c r="D26" s="19" t="n">
        <v>2.1825</v>
      </c>
    </row>
    <row r="27">
      <c r="A27" s="3" t="inlineStr">
        <is>
          <t>L'avenir</t>
        </is>
      </c>
      <c r="B27" s="19" t="n">
        <v>2.5</v>
      </c>
      <c r="C27" s="18" t="n">
        <v>0.2400917246481687</v>
      </c>
      <c r="D27" s="19" t="n">
        <v>2.425</v>
      </c>
    </row>
    <row r="28">
      <c r="A28" s="3" t="inlineStr">
        <is>
          <t>L'avenir</t>
        </is>
      </c>
      <c r="B28" s="19" t="n">
        <v>2.67</v>
      </c>
      <c r="C28" s="18" t="n">
        <v>0.2601131702652374</v>
      </c>
      <c r="D28" s="19" t="n">
        <v>2.5899</v>
      </c>
    </row>
    <row r="29">
      <c r="A29" s="3" t="inlineStr">
        <is>
          <t>L'avenir</t>
        </is>
      </c>
      <c r="B29" s="19" t="n">
        <v>3</v>
      </c>
      <c r="C29" s="18" t="n">
        <v>0.2963905793730608</v>
      </c>
      <c r="D29" s="19" t="n">
        <v>2.91</v>
      </c>
    </row>
    <row r="31">
      <c r="A31" s="11" t="inlineStr">
        <is>
          <t>Early assignment 24 months after funding at a discount to face (ticket 100m, same for both projects): investor IRR</t>
        </is>
      </c>
    </row>
    <row r="32">
      <c r="A32" s="14" t="inlineStr">
        <is>
          <t>Discount to face</t>
        </is>
      </c>
      <c r="B32" s="14" t="inlineStr">
        <is>
          <t>IRR</t>
        </is>
      </c>
      <c r="C32" s="14" t="inlineStr">
        <is>
          <t>MOIC</t>
        </is>
      </c>
    </row>
    <row r="33">
      <c r="A33" s="18" t="n">
        <v>0</v>
      </c>
      <c r="B33" s="18" t="n">
        <v>0.3928388277184127</v>
      </c>
      <c r="C33" s="19" t="n">
        <v>1.94</v>
      </c>
    </row>
    <row r="34">
      <c r="A34" s="18" t="n">
        <v>0.1</v>
      </c>
      <c r="B34" s="18" t="n">
        <v>0.3213629327327142</v>
      </c>
      <c r="C34" s="19" t="n">
        <v>1.746</v>
      </c>
    </row>
    <row r="35">
      <c r="A35" s="18" t="n">
        <v>0.2</v>
      </c>
      <c r="B35" s="18" t="n">
        <v>0.245792920191795</v>
      </c>
      <c r="C35" s="19" t="n">
        <v>1.552</v>
      </c>
    </row>
    <row r="36">
      <c r="A36" s="18" t="n">
        <v>0.3</v>
      </c>
      <c r="B36" s="18" t="n">
        <v>0.1653325705565771</v>
      </c>
      <c r="C36" s="19" t="n">
        <v>1.358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8" customWidth="1" min="4" max="4"/>
    <col width="16" customWidth="1" min="5" max="5"/>
    <col width="18" customWidth="1" min="6" max="6"/>
    <col width="16" customWidth="1" min="7" max="7"/>
    <col width="22" customWidth="1" min="8" max="8"/>
    <col width="18" customWidth="1" min="9" max="9"/>
  </cols>
  <sheetData>
    <row r="1">
      <c r="A1" s="1" t="inlineStr">
        <is>
          <t>Option A: what the 2.0x units cost Jalour</t>
        </is>
      </c>
    </row>
    <row r="2">
      <c r="A2" s="2" t="inlineStr">
        <is>
          <t>Cost rate = discount rate at which +ticket now equals -value of units given up later (retained: forgone proceeds net of 4% commission; sold: lost collections plus saved commission). "Bears" = landlord 35% still paid in full (as in the model). "Waives" = landlord forgoes its 35% on investor units (needs Al Ahly Sabbour consent).</t>
        </is>
      </c>
    </row>
    <row r="4">
      <c r="A4" s="14" t="inlineStr">
        <is>
          <t>Project</t>
        </is>
      </c>
      <c r="B4" s="14" t="inlineStr">
        <is>
          <t>Ticket</t>
        </is>
      </c>
      <c r="C4" s="14" t="inlineStr">
        <is>
          <t>Unit source</t>
        </is>
      </c>
      <c r="D4" s="14" t="inlineStr">
        <is>
          <t>Landlord 35% on investor units</t>
        </is>
      </c>
      <c r="E4" s="14" t="inlineStr">
        <is>
          <t>Nominal net cost (EGP m)</t>
        </is>
      </c>
      <c r="F4" s="14" t="inlineStr">
        <is>
          <t>NPV @14% of the deal to Jalour (EGP m)</t>
        </is>
      </c>
      <c r="G4" s="14" t="inlineStr">
        <is>
          <t>Jalour cost of capital (IRR)</t>
        </is>
      </c>
      <c r="H4" s="14" t="inlineStr">
        <is>
          <t>Peak cash position before ticket (EGP m)</t>
        </is>
      </c>
      <c r="I4" s="14" t="inlineStr">
        <is>
          <t>Project NPV after deal (EGP m)</t>
        </is>
      </c>
    </row>
    <row r="5">
      <c r="A5" s="3" t="inlineStr">
        <is>
          <t>Green Square</t>
        </is>
      </c>
      <c r="B5" s="17" t="n">
        <v>50</v>
      </c>
      <c r="C5" s="3" t="inlineStr">
        <is>
          <t>Retained 20% pool</t>
        </is>
      </c>
      <c r="D5" s="3" t="inlineStr">
        <is>
          <t>Jalour bears landlord share</t>
        </is>
      </c>
      <c r="E5" s="16" t="n">
        <v>-46</v>
      </c>
      <c r="F5" s="16" t="n">
        <v>-4.016895162583673</v>
      </c>
      <c r="G5" s="18" t="n">
        <v>0.1610234349605274</v>
      </c>
      <c r="H5" s="16" t="n">
        <v>-102.5</v>
      </c>
      <c r="I5" s="16" t="n">
        <v>211.2944973863403</v>
      </c>
    </row>
    <row r="6">
      <c r="A6" s="3" t="inlineStr">
        <is>
          <t>Green Square</t>
        </is>
      </c>
      <c r="B6" s="17" t="n">
        <v>50</v>
      </c>
      <c r="C6" s="3" t="inlineStr">
        <is>
          <t>Retained 20% pool</t>
        </is>
      </c>
      <c r="D6" s="3" t="inlineStr">
        <is>
          <t>Landlord waives share</t>
        </is>
      </c>
      <c r="E6" s="16" t="n">
        <v>-11</v>
      </c>
      <c r="F6" s="16" t="n">
        <v>8.806887200857107</v>
      </c>
      <c r="G6" s="18" t="n">
        <v>0.07163804905839874</v>
      </c>
      <c r="H6" s="16" t="n">
        <v>-102.5</v>
      </c>
      <c r="I6" s="16" t="n">
        <v>224.1182797497812</v>
      </c>
    </row>
    <row r="7">
      <c r="A7" s="3" t="inlineStr">
        <is>
          <t>Green Square</t>
        </is>
      </c>
      <c r="B7" s="17" t="n">
        <v>50</v>
      </c>
      <c r="C7" s="3" t="inlineStr">
        <is>
          <t>Sold programme (pre-sale discount)</t>
        </is>
      </c>
      <c r="D7" s="3" t="inlineStr">
        <is>
          <t>Jalour bears landlord share</t>
        </is>
      </c>
      <c r="E7" s="16" t="n">
        <v>-46.00000000000001</v>
      </c>
      <c r="F7" s="16" t="n">
        <v>-11.7027974394513</v>
      </c>
      <c r="G7" s="18" t="n">
        <v>0.2249312417214275</v>
      </c>
      <c r="H7" s="16" t="n">
        <v>-102.5</v>
      </c>
      <c r="I7" s="16" t="n">
        <v>203.6085951094727</v>
      </c>
    </row>
    <row r="8">
      <c r="A8" s="3" t="inlineStr">
        <is>
          <t>Green Square</t>
        </is>
      </c>
      <c r="B8" s="17" t="n">
        <v>50</v>
      </c>
      <c r="C8" s="3" t="inlineStr">
        <is>
          <t>Sold programme (pre-sale discount)</t>
        </is>
      </c>
      <c r="D8" s="3" t="inlineStr">
        <is>
          <t>Landlord waives share</t>
        </is>
      </c>
      <c r="E8" s="16" t="n">
        <v>-11</v>
      </c>
      <c r="F8" s="16" t="n">
        <v>1.120984923989486</v>
      </c>
      <c r="G8" s="18" t="n">
        <v>0.1262905377929819</v>
      </c>
      <c r="H8" s="16" t="n">
        <v>-102.5</v>
      </c>
      <c r="I8" s="16" t="n">
        <v>216.4323774729136</v>
      </c>
    </row>
    <row r="9">
      <c r="A9" s="3" t="inlineStr">
        <is>
          <t>Green Square</t>
        </is>
      </c>
      <c r="B9" s="17" t="n">
        <v>75</v>
      </c>
      <c r="C9" s="3" t="inlineStr">
        <is>
          <t>Retained 20% pool</t>
        </is>
      </c>
      <c r="D9" s="3" t="inlineStr">
        <is>
          <t>Jalour bears landlord share</t>
        </is>
      </c>
      <c r="E9" s="16" t="n">
        <v>-69</v>
      </c>
      <c r="F9" s="16" t="n">
        <v>-6.025342743875509</v>
      </c>
      <c r="G9" s="18" t="n">
        <v>0.1610234349605274</v>
      </c>
      <c r="H9" s="16" t="n">
        <v>-102.5</v>
      </c>
      <c r="I9" s="16" t="n">
        <v>209.2860498050485</v>
      </c>
    </row>
    <row r="10">
      <c r="A10" s="3" t="inlineStr">
        <is>
          <t>Green Square</t>
        </is>
      </c>
      <c r="B10" s="17" t="n">
        <v>75</v>
      </c>
      <c r="C10" s="3" t="inlineStr">
        <is>
          <t>Retained 20% pool</t>
        </is>
      </c>
      <c r="D10" s="3" t="inlineStr">
        <is>
          <t>Landlord waives share</t>
        </is>
      </c>
      <c r="E10" s="16" t="n">
        <v>-16.5</v>
      </c>
      <c r="F10" s="16" t="n">
        <v>13.21033080128567</v>
      </c>
      <c r="G10" s="18" t="n">
        <v>0.07163804905839885</v>
      </c>
      <c r="H10" s="16" t="n">
        <v>-102.5</v>
      </c>
      <c r="I10" s="16" t="n">
        <v>228.5217233502098</v>
      </c>
    </row>
    <row r="11">
      <c r="A11" s="3" t="inlineStr">
        <is>
          <t>Green Square</t>
        </is>
      </c>
      <c r="B11" s="17" t="n">
        <v>75</v>
      </c>
      <c r="C11" s="3" t="inlineStr">
        <is>
          <t>Sold programme (pre-sale discount)</t>
        </is>
      </c>
      <c r="D11" s="3" t="inlineStr">
        <is>
          <t>Jalour bears landlord share</t>
        </is>
      </c>
      <c r="E11" s="16" t="n">
        <v>-69.00000000000004</v>
      </c>
      <c r="F11" s="16" t="n">
        <v>-17.55419615917696</v>
      </c>
      <c r="G11" s="18" t="n">
        <v>0.2249312417214277</v>
      </c>
      <c r="H11" s="16" t="n">
        <v>-105.4917879780828</v>
      </c>
      <c r="I11" s="16" t="n">
        <v>197.7571963897471</v>
      </c>
    </row>
    <row r="12">
      <c r="A12" s="3" t="inlineStr">
        <is>
          <t>Green Square</t>
        </is>
      </c>
      <c r="B12" s="17" t="n">
        <v>75</v>
      </c>
      <c r="C12" s="3" t="inlineStr">
        <is>
          <t>Sold programme (pre-sale discount)</t>
        </is>
      </c>
      <c r="D12" s="3" t="inlineStr">
        <is>
          <t>Landlord waives share</t>
        </is>
      </c>
      <c r="E12" s="16" t="n">
        <v>-16.50000000000004</v>
      </c>
      <c r="F12" s="16" t="n">
        <v>1.681477385984211</v>
      </c>
      <c r="G12" s="18" t="n">
        <v>0.1262905377929821</v>
      </c>
      <c r="H12" s="16" t="n">
        <v>-105.4917879780828</v>
      </c>
      <c r="I12" s="16" t="n">
        <v>216.9928699349082</v>
      </c>
    </row>
    <row r="13">
      <c r="A13" s="3" t="inlineStr">
        <is>
          <t>Green Square</t>
        </is>
      </c>
      <c r="B13" s="17" t="n">
        <v>100</v>
      </c>
      <c r="C13" s="3" t="inlineStr">
        <is>
          <t>Retained 20% pool</t>
        </is>
      </c>
      <c r="D13" s="3" t="inlineStr">
        <is>
          <t>Jalour bears landlord share</t>
        </is>
      </c>
      <c r="E13" s="16" t="n">
        <v>-92</v>
      </c>
      <c r="F13" s="16" t="n">
        <v>-8.033790325167345</v>
      </c>
      <c r="G13" s="18" t="n">
        <v>0.1610234349605274</v>
      </c>
      <c r="H13" s="16" t="n">
        <v>-102.5</v>
      </c>
      <c r="I13" s="16" t="n">
        <v>207.2776022237567</v>
      </c>
    </row>
    <row r="14">
      <c r="A14" s="3" t="inlineStr">
        <is>
          <t>Green Square</t>
        </is>
      </c>
      <c r="B14" s="17" t="n">
        <v>100</v>
      </c>
      <c r="C14" s="3" t="inlineStr">
        <is>
          <t>Retained 20% pool</t>
        </is>
      </c>
      <c r="D14" s="3" t="inlineStr">
        <is>
          <t>Landlord waives share</t>
        </is>
      </c>
      <c r="E14" s="16" t="n">
        <v>-22</v>
      </c>
      <c r="F14" s="16" t="n">
        <v>17.61377440171421</v>
      </c>
      <c r="G14" s="18" t="n">
        <v>0.07163804905839874</v>
      </c>
      <c r="H14" s="16" t="n">
        <v>-102.5</v>
      </c>
      <c r="I14" s="16" t="n">
        <v>232.9251669506384</v>
      </c>
    </row>
    <row r="15">
      <c r="A15" s="3" t="inlineStr">
        <is>
          <t>Green Square</t>
        </is>
      </c>
      <c r="B15" s="17" t="n">
        <v>100</v>
      </c>
      <c r="C15" s="3" t="inlineStr">
        <is>
          <t>Sold programme (pre-sale discount)</t>
        </is>
      </c>
      <c r="D15" s="3" t="inlineStr">
        <is>
          <t>Jalour bears landlord share</t>
        </is>
      </c>
      <c r="E15" s="16" t="n">
        <v>-92.00000000000003</v>
      </c>
      <c r="F15" s="16" t="n">
        <v>-23.4055948789026</v>
      </c>
      <c r="G15" s="18" t="n">
        <v>0.2249312417214275</v>
      </c>
      <c r="H15" s="16" t="n">
        <v>-111.1796291791104</v>
      </c>
      <c r="I15" s="16" t="n">
        <v>191.9057976700215</v>
      </c>
    </row>
    <row r="16">
      <c r="A16" s="3" t="inlineStr">
        <is>
          <t>Green Square</t>
        </is>
      </c>
      <c r="B16" s="17" t="n">
        <v>100</v>
      </c>
      <c r="C16" s="3" t="inlineStr">
        <is>
          <t>Sold programme (pre-sale discount)</t>
        </is>
      </c>
      <c r="D16" s="3" t="inlineStr">
        <is>
          <t>Landlord waives share</t>
        </is>
      </c>
      <c r="E16" s="16" t="n">
        <v>-22.00000000000001</v>
      </c>
      <c r="F16" s="16" t="n">
        <v>2.241969847978972</v>
      </c>
      <c r="G16" s="18" t="n">
        <v>0.1262905377929819</v>
      </c>
      <c r="H16" s="16" t="n">
        <v>-111.1796291791104</v>
      </c>
      <c r="I16" s="16" t="n">
        <v>217.553362396903</v>
      </c>
    </row>
    <row r="17">
      <c r="A17" s="3" t="inlineStr">
        <is>
          <t>Green Square</t>
        </is>
      </c>
      <c r="B17" s="17" t="n">
        <v>125</v>
      </c>
      <c r="C17" s="3" t="inlineStr">
        <is>
          <t>Retained 20% pool</t>
        </is>
      </c>
      <c r="D17" s="3" t="inlineStr">
        <is>
          <t>Jalour bears landlord share</t>
        </is>
      </c>
      <c r="E17" s="16" t="n">
        <v>-115</v>
      </c>
      <c r="F17" s="16" t="n">
        <v>-10.04223790645919</v>
      </c>
      <c r="G17" s="18" t="n">
        <v>0.1610234349605274</v>
      </c>
      <c r="H17" s="16" t="n">
        <v>-102.5</v>
      </c>
      <c r="I17" s="16" t="n">
        <v>205.2691546424649</v>
      </c>
    </row>
    <row r="18">
      <c r="A18" s="3" t="inlineStr">
        <is>
          <t>Green Square</t>
        </is>
      </c>
      <c r="B18" s="17" t="n">
        <v>125</v>
      </c>
      <c r="C18" s="3" t="inlineStr">
        <is>
          <t>Retained 20% pool</t>
        </is>
      </c>
      <c r="D18" s="3" t="inlineStr">
        <is>
          <t>Landlord waives share</t>
        </is>
      </c>
      <c r="E18" s="16" t="n">
        <v>-27.49999999999999</v>
      </c>
      <c r="F18" s="16" t="n">
        <v>22.01721800214278</v>
      </c>
      <c r="G18" s="18" t="n">
        <v>0.07163804905839882</v>
      </c>
      <c r="H18" s="16" t="n">
        <v>-102.5</v>
      </c>
      <c r="I18" s="16" t="n">
        <v>237.3286105510667</v>
      </c>
    </row>
    <row r="19">
      <c r="A19" s="3" t="inlineStr">
        <is>
          <t>Green Square</t>
        </is>
      </c>
      <c r="B19" s="17" t="n">
        <v>125</v>
      </c>
      <c r="C19" s="3" t="inlineStr">
        <is>
          <t>Sold programme (pre-sale discount)</t>
        </is>
      </c>
      <c r="D19" s="3" t="inlineStr">
        <is>
          <t>Jalour bears landlord share</t>
        </is>
      </c>
      <c r="E19" s="16" t="n">
        <v>-115</v>
      </c>
      <c r="F19" s="16" t="n">
        <v>-29.25699359862828</v>
      </c>
      <c r="G19" s="18" t="n">
        <v>0.2249312417214275</v>
      </c>
      <c r="H19" s="16" t="n">
        <v>-118.0269889593368</v>
      </c>
      <c r="I19" s="16" t="n">
        <v>186.0543989502958</v>
      </c>
    </row>
    <row r="20">
      <c r="A20" s="3" t="inlineStr">
        <is>
          <t>Green Square</t>
        </is>
      </c>
      <c r="B20" s="17" t="n">
        <v>125</v>
      </c>
      <c r="C20" s="3" t="inlineStr">
        <is>
          <t>Sold programme (pre-sale discount)</t>
        </is>
      </c>
      <c r="D20" s="3" t="inlineStr">
        <is>
          <t>Landlord waives share</t>
        </is>
      </c>
      <c r="E20" s="16" t="n">
        <v>-27.50000000000003</v>
      </c>
      <c r="F20" s="16" t="n">
        <v>2.802462309973684</v>
      </c>
      <c r="G20" s="18" t="n">
        <v>0.1262905377929819</v>
      </c>
      <c r="H20" s="16" t="n">
        <v>-118.0269889593368</v>
      </c>
      <c r="I20" s="16" t="n">
        <v>218.1138548588976</v>
      </c>
    </row>
    <row r="21">
      <c r="A21" s="3" t="inlineStr">
        <is>
          <t>L'avenir</t>
        </is>
      </c>
      <c r="B21" s="17" t="n">
        <v>50</v>
      </c>
      <c r="C21" s="3" t="inlineStr">
        <is>
          <t>Retained 20% pool</t>
        </is>
      </c>
      <c r="D21" s="3" t="inlineStr">
        <is>
          <t>Jalour bears landlord share</t>
        </is>
      </c>
      <c r="E21" s="16" t="n">
        <v>-46</v>
      </c>
      <c r="F21" s="16" t="n">
        <v>-5.222670733385229</v>
      </c>
      <c r="G21" s="18" t="n">
        <v>0.1716077104330687</v>
      </c>
      <c r="H21" s="16" t="n">
        <v>-102.0180625</v>
      </c>
      <c r="I21" s="16" t="n">
        <v>302.3097003581439</v>
      </c>
    </row>
    <row r="22">
      <c r="A22" s="3" t="inlineStr">
        <is>
          <t>L'avenir</t>
        </is>
      </c>
      <c r="B22" s="17" t="n">
        <v>50</v>
      </c>
      <c r="C22" s="3" t="inlineStr">
        <is>
          <t>Retained 20% pool</t>
        </is>
      </c>
      <c r="D22" s="3" t="inlineStr">
        <is>
          <t>Landlord waives share</t>
        </is>
      </c>
      <c r="E22" s="16" t="n">
        <v>-11</v>
      </c>
      <c r="F22" s="16" t="n">
        <v>7.948506538352667</v>
      </c>
      <c r="G22" s="18" t="n">
        <v>0.07024749605130137</v>
      </c>
      <c r="H22" s="16" t="n">
        <v>-102.0180625</v>
      </c>
      <c r="I22" s="16" t="n">
        <v>315.4808776298818</v>
      </c>
    </row>
    <row r="23">
      <c r="A23" s="3" t="inlineStr">
        <is>
          <t>L'avenir</t>
        </is>
      </c>
      <c r="B23" s="17" t="n">
        <v>50</v>
      </c>
      <c r="C23" s="3" t="inlineStr">
        <is>
          <t>Sold programme (pre-sale discount)</t>
        </is>
      </c>
      <c r="D23" s="3" t="inlineStr">
        <is>
          <t>Jalour bears landlord share</t>
        </is>
      </c>
      <c r="E23" s="16" t="n">
        <v>-45.99999999999999</v>
      </c>
      <c r="F23" s="16" t="n">
        <v>-11.50711418638301</v>
      </c>
      <c r="G23" s="18" t="n">
        <v>0.2336679041719777</v>
      </c>
      <c r="H23" s="16" t="n">
        <v>-114.7480258493656</v>
      </c>
      <c r="I23" s="16" t="n">
        <v>296.0252569051462</v>
      </c>
    </row>
    <row r="24">
      <c r="A24" s="3" t="inlineStr">
        <is>
          <t>L'avenir</t>
        </is>
      </c>
      <c r="B24" s="17" t="n">
        <v>50</v>
      </c>
      <c r="C24" s="3" t="inlineStr">
        <is>
          <t>Sold programme (pre-sale discount)</t>
        </is>
      </c>
      <c r="D24" s="3" t="inlineStr">
        <is>
          <t>Landlord waives share</t>
        </is>
      </c>
      <c r="E24" s="16" t="n">
        <v>-10.99999999999999</v>
      </c>
      <c r="F24" s="16" t="n">
        <v>1.664063085354883</v>
      </c>
      <c r="G24" s="18" t="n">
        <v>0.1176947169666547</v>
      </c>
      <c r="H24" s="16" t="n">
        <v>-114.7480258493656</v>
      </c>
      <c r="I24" s="16" t="n">
        <v>309.1964341768841</v>
      </c>
    </row>
    <row r="25">
      <c r="A25" s="3" t="inlineStr">
        <is>
          <t>L'avenir</t>
        </is>
      </c>
      <c r="B25" s="17" t="n">
        <v>75</v>
      </c>
      <c r="C25" s="3" t="inlineStr">
        <is>
          <t>Retained 20% pool</t>
        </is>
      </c>
      <c r="D25" s="3" t="inlineStr">
        <is>
          <t>Jalour bears landlord share</t>
        </is>
      </c>
      <c r="E25" s="16" t="n">
        <v>-69</v>
      </c>
      <c r="F25" s="16" t="n">
        <v>-7.834006100077843</v>
      </c>
      <c r="G25" s="18" t="n">
        <v>0.1716077104330689</v>
      </c>
      <c r="H25" s="16" t="n">
        <v>-102.0180625</v>
      </c>
      <c r="I25" s="16" t="n">
        <v>299.6983649914513</v>
      </c>
    </row>
    <row r="26">
      <c r="A26" s="3" t="inlineStr">
        <is>
          <t>L'avenir</t>
        </is>
      </c>
      <c r="B26" s="17" t="n">
        <v>75</v>
      </c>
      <c r="C26" s="3" t="inlineStr">
        <is>
          <t>Retained 20% pool</t>
        </is>
      </c>
      <c r="D26" s="3" t="inlineStr">
        <is>
          <t>Landlord waives share</t>
        </is>
      </c>
      <c r="E26" s="16" t="n">
        <v>-16.5</v>
      </c>
      <c r="F26" s="16" t="n">
        <v>11.922759807529</v>
      </c>
      <c r="G26" s="18" t="n">
        <v>0.07024749605130146</v>
      </c>
      <c r="H26" s="16" t="n">
        <v>-102.0180625</v>
      </c>
      <c r="I26" s="16" t="n">
        <v>319.4551308990582</v>
      </c>
    </row>
    <row r="27">
      <c r="A27" s="3" t="inlineStr">
        <is>
          <t>L'avenir</t>
        </is>
      </c>
      <c r="B27" s="17" t="n">
        <v>75</v>
      </c>
      <c r="C27" s="3" t="inlineStr">
        <is>
          <t>Sold programme (pre-sale discount)</t>
        </is>
      </c>
      <c r="D27" s="3" t="inlineStr">
        <is>
          <t>Jalour bears landlord share</t>
        </is>
      </c>
      <c r="E27" s="16" t="n">
        <v>-68.99999999999999</v>
      </c>
      <c r="F27" s="16" t="n">
        <v>-17.26067127957452</v>
      </c>
      <c r="G27" s="18" t="n">
        <v>0.233667904171978</v>
      </c>
      <c r="H27" s="16" t="n">
        <v>-121.6510650240485</v>
      </c>
      <c r="I27" s="16" t="n">
        <v>290.2716998119547</v>
      </c>
    </row>
    <row r="28">
      <c r="A28" s="3" t="inlineStr">
        <is>
          <t>L'avenir</t>
        </is>
      </c>
      <c r="B28" s="17" t="n">
        <v>75</v>
      </c>
      <c r="C28" s="3" t="inlineStr">
        <is>
          <t>Sold programme (pre-sale discount)</t>
        </is>
      </c>
      <c r="D28" s="3" t="inlineStr">
        <is>
          <t>Landlord waives share</t>
        </is>
      </c>
      <c r="E28" s="16" t="n">
        <v>-16.5</v>
      </c>
      <c r="F28" s="16" t="n">
        <v>2.496094628032331</v>
      </c>
      <c r="G28" s="18" t="n">
        <v>0.1176947169666547</v>
      </c>
      <c r="H28" s="16" t="n">
        <v>-121.6510650240485</v>
      </c>
      <c r="I28" s="16" t="n">
        <v>310.0284657195616</v>
      </c>
    </row>
    <row r="29">
      <c r="A29" s="3" t="inlineStr">
        <is>
          <t>L'avenir</t>
        </is>
      </c>
      <c r="B29" s="17" t="n">
        <v>100</v>
      </c>
      <c r="C29" s="3" t="inlineStr">
        <is>
          <t>Retained 20% pool</t>
        </is>
      </c>
      <c r="D29" s="3" t="inlineStr">
        <is>
          <t>Jalour bears landlord share</t>
        </is>
      </c>
      <c r="E29" s="16" t="n">
        <v>-92</v>
      </c>
      <c r="F29" s="16" t="n">
        <v>-10.44534146677046</v>
      </c>
      <c r="G29" s="18" t="n">
        <v>0.1716077104330687</v>
      </c>
      <c r="H29" s="16" t="n">
        <v>-102.0180625</v>
      </c>
      <c r="I29" s="16" t="n">
        <v>297.0870296247587</v>
      </c>
    </row>
    <row r="30">
      <c r="A30" s="3" t="inlineStr">
        <is>
          <t>L'avenir</t>
        </is>
      </c>
      <c r="B30" s="17" t="n">
        <v>100</v>
      </c>
      <c r="C30" s="3" t="inlineStr">
        <is>
          <t>Retained 20% pool</t>
        </is>
      </c>
      <c r="D30" s="3" t="inlineStr">
        <is>
          <t>Landlord waives share</t>
        </is>
      </c>
      <c r="E30" s="16" t="n">
        <v>-22</v>
      </c>
      <c r="F30" s="16" t="n">
        <v>15.89701307670533</v>
      </c>
      <c r="G30" s="18" t="n">
        <v>0.07024749605130137</v>
      </c>
      <c r="H30" s="16" t="n">
        <v>-102.0180625</v>
      </c>
      <c r="I30" s="16" t="n">
        <v>323.4293841682345</v>
      </c>
    </row>
    <row r="31">
      <c r="A31" s="3" t="inlineStr">
        <is>
          <t>L'avenir</t>
        </is>
      </c>
      <c r="B31" s="17" t="n">
        <v>100</v>
      </c>
      <c r="C31" s="3" t="inlineStr">
        <is>
          <t>Sold programme (pre-sale discount)</t>
        </is>
      </c>
      <c r="D31" s="3" t="inlineStr">
        <is>
          <t>Jalour bears landlord share</t>
        </is>
      </c>
      <c r="E31" s="16" t="n">
        <v>-91.99999999999999</v>
      </c>
      <c r="F31" s="16" t="n">
        <v>-23.01422837276602</v>
      </c>
      <c r="G31" s="18" t="n">
        <v>0.2336679041719777</v>
      </c>
      <c r="H31" s="16" t="n">
        <v>-128.5541041987314</v>
      </c>
      <c r="I31" s="16" t="n">
        <v>284.5181427187631</v>
      </c>
    </row>
    <row r="32">
      <c r="A32" s="3" t="inlineStr">
        <is>
          <t>L'avenir</t>
        </is>
      </c>
      <c r="B32" s="17" t="n">
        <v>100</v>
      </c>
      <c r="C32" s="3" t="inlineStr">
        <is>
          <t>Sold programme (pre-sale discount)</t>
        </is>
      </c>
      <c r="D32" s="3" t="inlineStr">
        <is>
          <t>Landlord waives share</t>
        </is>
      </c>
      <c r="E32" s="16" t="n">
        <v>-21.99999999999998</v>
      </c>
      <c r="F32" s="16" t="n">
        <v>3.328126170709766</v>
      </c>
      <c r="G32" s="18" t="n">
        <v>0.1176947169666547</v>
      </c>
      <c r="H32" s="16" t="n">
        <v>-128.5541041987314</v>
      </c>
      <c r="I32" s="16" t="n">
        <v>310.8604972622389</v>
      </c>
    </row>
    <row r="33">
      <c r="A33" s="3" t="inlineStr">
        <is>
          <t>L'avenir</t>
        </is>
      </c>
      <c r="B33" s="17" t="n">
        <v>125</v>
      </c>
      <c r="C33" s="3" t="inlineStr">
        <is>
          <t>Retained 20% pool</t>
        </is>
      </c>
      <c r="D33" s="3" t="inlineStr">
        <is>
          <t>Jalour bears landlord share</t>
        </is>
      </c>
      <c r="E33" s="16" t="n">
        <v>-115</v>
      </c>
      <c r="F33" s="16" t="n">
        <v>-13.05667683346308</v>
      </c>
      <c r="G33" s="18" t="n">
        <v>0.171607710433069</v>
      </c>
      <c r="H33" s="16" t="n">
        <v>-102.0180625</v>
      </c>
      <c r="I33" s="16" t="n">
        <v>294.4756942580661</v>
      </c>
    </row>
    <row r="34">
      <c r="A34" s="3" t="inlineStr">
        <is>
          <t>L'avenir</t>
        </is>
      </c>
      <c r="B34" s="17" t="n">
        <v>125</v>
      </c>
      <c r="C34" s="3" t="inlineStr">
        <is>
          <t>Retained 20% pool</t>
        </is>
      </c>
      <c r="D34" s="3" t="inlineStr">
        <is>
          <t>Landlord waives share</t>
        </is>
      </c>
      <c r="E34" s="16" t="n">
        <v>-27.50000000000001</v>
      </c>
      <c r="F34" s="16" t="n">
        <v>19.87126634588166</v>
      </c>
      <c r="G34" s="18" t="n">
        <v>0.07024749605130137</v>
      </c>
      <c r="H34" s="16" t="n">
        <v>-102.0180625</v>
      </c>
      <c r="I34" s="16" t="n">
        <v>327.4036374374108</v>
      </c>
    </row>
    <row r="35">
      <c r="A35" s="3" t="inlineStr">
        <is>
          <t>L'avenir</t>
        </is>
      </c>
      <c r="B35" s="17" t="n">
        <v>125</v>
      </c>
      <c r="C35" s="3" t="inlineStr">
        <is>
          <t>Sold programme (pre-sale discount)</t>
        </is>
      </c>
      <c r="D35" s="3" t="inlineStr">
        <is>
          <t>Jalour bears landlord share</t>
        </is>
      </c>
      <c r="E35" s="16" t="n">
        <v>-115</v>
      </c>
      <c r="F35" s="16" t="n">
        <v>-28.76778546595754</v>
      </c>
      <c r="G35" s="18" t="n">
        <v>0.2336679041719779</v>
      </c>
      <c r="H35" s="16" t="n">
        <v>-135.4571433734142</v>
      </c>
      <c r="I35" s="16" t="n">
        <v>278.7645856255717</v>
      </c>
    </row>
    <row r="36">
      <c r="A36" s="3" t="inlineStr">
        <is>
          <t>L'avenir</t>
        </is>
      </c>
      <c r="B36" s="17" t="n">
        <v>125</v>
      </c>
      <c r="C36" s="3" t="inlineStr">
        <is>
          <t>Sold programme (pre-sale discount)</t>
        </is>
      </c>
      <c r="D36" s="3" t="inlineStr">
        <is>
          <t>Landlord waives share</t>
        </is>
      </c>
      <c r="E36" s="16" t="n">
        <v>-27.49999999999999</v>
      </c>
      <c r="F36" s="16" t="n">
        <v>4.160157713387207</v>
      </c>
      <c r="G36" s="18" t="n">
        <v>0.1176947169666547</v>
      </c>
      <c r="H36" s="16" t="n">
        <v>-135.4571433734142</v>
      </c>
      <c r="I36" s="16" t="n">
        <v>311.6925288049165</v>
      </c>
    </row>
    <row r="38">
      <c r="A38" s="11" t="inlineStr">
        <is>
          <t>If Jalour would otherwise have held the retained units longer (ticket 100m, retained, Jalour bears): cost of capital</t>
        </is>
      </c>
    </row>
    <row r="39">
      <c r="A39" s="14" t="inlineStr">
        <is>
          <t>Project</t>
        </is>
      </c>
      <c r="B39" s="14" t="inlineStr">
        <is>
          <t>Retained-unit sale timing forgone</t>
        </is>
      </c>
      <c r="C39" s="14" t="inlineStr">
        <is>
          <t>Cost of capital</t>
        </is>
      </c>
    </row>
    <row r="40">
      <c r="A40" s="3" t="inlineStr">
        <is>
          <t>Green Square</t>
        </is>
      </c>
      <c r="B40" s="3" t="inlineStr">
        <is>
          <t>sold at handover+3m +0m</t>
        </is>
      </c>
      <c r="C40" s="18" t="n">
        <v>0.1610234349605274</v>
      </c>
    </row>
    <row r="41">
      <c r="A41" s="3" t="inlineStr">
        <is>
          <t>Green Square</t>
        </is>
      </c>
      <c r="B41" s="3" t="inlineStr">
        <is>
          <t>sold at handover+3m +12m</t>
        </is>
      </c>
      <c r="C41" s="18" t="n">
        <v>0.1291555384016004</v>
      </c>
    </row>
    <row r="42">
      <c r="A42" s="3" t="inlineStr">
        <is>
          <t>Green Square</t>
        </is>
      </c>
      <c r="B42" s="3" t="inlineStr">
        <is>
          <t>sold at handover+3m +24m</t>
        </is>
      </c>
      <c r="C42" s="18" t="n">
        <v>0.1078151602585856</v>
      </c>
    </row>
    <row r="43">
      <c r="A43" s="3" t="inlineStr">
        <is>
          <t>L'avenir</t>
        </is>
      </c>
      <c r="B43" s="3" t="inlineStr">
        <is>
          <t>sold at handover+3m +0m</t>
        </is>
      </c>
      <c r="C43" s="18" t="n">
        <v>0.1716077104330687</v>
      </c>
    </row>
    <row r="44">
      <c r="A44" s="3" t="inlineStr">
        <is>
          <t>L'avenir</t>
        </is>
      </c>
      <c r="B44" s="3" t="inlineStr">
        <is>
          <t>sold at handover+3m +12m</t>
        </is>
      </c>
      <c r="C44" s="18" t="n">
        <v>0.1358788498624194</v>
      </c>
    </row>
    <row r="45">
      <c r="A45" s="3" t="inlineStr">
        <is>
          <t>L'avenir</t>
        </is>
      </c>
      <c r="B45" s="3" t="inlineStr">
        <is>
          <t>sold at handover+3m +24m</t>
        </is>
      </c>
      <c r="C45" s="18" t="n">
        <v>0.1124608027153787</v>
      </c>
    </row>
    <row r="48">
      <c r="A48" s="22" t="inlineStr">
        <is>
          <t>Escrow released against milestones (retained units, Jalour bears): Jalour cost of capital on funds actually drawn. Undrawn ticket above uses is released at handover.</t>
        </is>
      </c>
    </row>
    <row r="49">
      <c r="A49" s="23" t="inlineStr">
        <is>
          <t>Project</t>
        </is>
      </c>
      <c r="B49" s="23" t="inlineStr">
        <is>
          <t>Ticket</t>
        </is>
      </c>
      <c r="C49" s="23" t="inlineStr">
        <is>
          <t>Drawn against uses</t>
        </is>
      </c>
      <c r="D49" s="23" t="inlineStr">
        <is>
          <t>Held to handover</t>
        </is>
      </c>
      <c r="E49" s="23" t="inlineStr">
        <is>
          <t>Jalour cost of capital</t>
        </is>
      </c>
    </row>
    <row r="50">
      <c r="A50" t="inlineStr">
        <is>
          <t>Green Square</t>
        </is>
      </c>
      <c r="B50" t="n">
        <v>100</v>
      </c>
      <c r="C50" t="n">
        <v>100</v>
      </c>
      <c r="D50" t="n">
        <v>0</v>
      </c>
      <c r="E50" s="24" t="n">
        <v>0.1619</v>
      </c>
    </row>
    <row r="51">
      <c r="A51" t="inlineStr">
        <is>
          <t>Green Square</t>
        </is>
      </c>
      <c r="B51" t="n">
        <v>125</v>
      </c>
      <c r="C51" t="n">
        <v>113</v>
      </c>
      <c r="D51" t="n">
        <v>12</v>
      </c>
      <c r="E51" s="24" t="n">
        <v>0.1759</v>
      </c>
    </row>
    <row r="52">
      <c r="A52" t="inlineStr">
        <is>
          <t>L'avenir</t>
        </is>
      </c>
      <c r="B52" t="n">
        <v>100</v>
      </c>
      <c r="C52" t="n">
        <v>100</v>
      </c>
      <c r="D52" t="n">
        <v>0</v>
      </c>
      <c r="E52" s="24" t="n">
        <v>0.1732</v>
      </c>
    </row>
    <row r="53">
      <c r="A53" t="inlineStr">
        <is>
          <t>L'avenir</t>
        </is>
      </c>
      <c r="B53" t="n">
        <v>125</v>
      </c>
      <c r="C53" t="n">
        <v>112.5</v>
      </c>
      <c r="D53" t="n">
        <v>12.5</v>
      </c>
      <c r="E53" s="24" t="n">
        <v>0.1938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4" customWidth="1" min="3" max="3"/>
    <col width="14" customWidth="1" min="4" max="4"/>
    <col width="10" customWidth="1" min="5" max="5"/>
    <col width="10" customWidth="1" min="6" max="6"/>
    <col width="12" customWidth="1" min="7" max="7"/>
    <col width="18" customWidth="1" min="8" max="8"/>
    <col width="12" customWidth="1" min="9" max="9"/>
    <col width="18" customWidth="1" min="10" max="10"/>
    <col width="12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  <col width="10" customWidth="1" min="17" max="17"/>
    <col width="22" customWidth="1" min="18" max="18"/>
  </cols>
  <sheetData>
    <row r="1">
      <c r="A1" s="1" t="inlineStr">
        <is>
          <t>Option B: structures compared (total return 1.75x of ticket; 24m grace; 12 quarterly payout slots)</t>
        </is>
      </c>
    </row>
    <row r="2">
      <c r="A2" s="2" t="inlineStr">
        <is>
          <t>S1 fixed equal instalments | S2 % of collections with floor 0.4x and cap 1.5x of the equal instalment | S3 hybrid: fixed 1.35x + share of collections, capped 2.0x | S4 fixed multiple on a coverage-gated calendar (skips quarters where cash available &lt; 1.5x instalment).</t>
        </is>
      </c>
    </row>
    <row r="4" ht="75" customHeight="1">
      <c r="A4" s="14" t="inlineStr">
        <is>
          <t>Project</t>
        </is>
      </c>
      <c r="B4" s="14" t="inlineStr">
        <is>
          <t>Ticket</t>
        </is>
      </c>
      <c r="C4" s="14" t="inlineStr">
        <is>
          <t>Structure</t>
        </is>
      </c>
      <c r="D4" s="14" t="inlineStr">
        <is>
          <t>Collections share % (S2/S3)</t>
        </is>
      </c>
      <c r="E4" s="14" t="inlineStr">
        <is>
          <t>Base IRR</t>
        </is>
      </c>
      <c r="F4" s="14" t="inlineStr">
        <is>
          <t>Base MOIC</t>
        </is>
      </c>
      <c r="G4" s="14" t="inlineStr">
        <is>
          <t>Jalour cost of capital</t>
        </is>
      </c>
      <c r="H4" s="14" t="inlineStr">
        <is>
          <t>Base min quarterly coverage (model net CF / payout)</t>
        </is>
      </c>
      <c r="I4" s="14" t="inlineStr">
        <is>
          <t>Quarters &lt; 1.5x (strict)</t>
        </is>
      </c>
      <c r="J4" s="14" t="inlineStr">
        <is>
          <t>Base min coverage incl. retained-unit sale proceeds</t>
        </is>
      </c>
      <c r="K4" s="14" t="inlineStr">
        <is>
          <t>Quarters &lt; 1.5x (incl. retained)</t>
        </is>
      </c>
      <c r="L4" s="14" t="inlineStr">
        <is>
          <t>Window aggregate coverage (strict)</t>
        </is>
      </c>
      <c r="M4" s="14" t="inlineStr">
        <is>
          <t>Downside IRR</t>
        </is>
      </c>
      <c r="N4" s="14" t="inlineStr">
        <is>
          <t>Downside last payout month</t>
        </is>
      </c>
      <c r="O4" s="14" t="inlineStr">
        <is>
          <t>Downside min quarterly coverage</t>
        </is>
      </c>
      <c r="P4" s="14" t="inlineStr">
        <is>
          <t>Downside peak funding gap after ticket &amp; payouts (EGP m, negative)</t>
        </is>
      </c>
      <c r="Q4" s="14" t="inlineStr">
        <is>
          <t>Upside IRR</t>
        </is>
      </c>
      <c r="R4" s="14" t="inlineStr">
        <is>
          <t>Stress (delivery-aligned) peak funding gap after ticket &amp; payouts</t>
        </is>
      </c>
    </row>
    <row r="5">
      <c r="A5" s="3" t="inlineStr">
        <is>
          <t>Green Square</t>
        </is>
      </c>
      <c r="B5" s="17" t="n">
        <v>50</v>
      </c>
      <c r="C5" s="3" t="inlineStr">
        <is>
          <t>S1 Fixed multiple</t>
        </is>
      </c>
      <c r="D5" s="3" t="n"/>
      <c r="E5" s="18" t="n">
        <v>0.1698798870201616</v>
      </c>
      <c r="F5" s="19" t="n">
        <v>1.75</v>
      </c>
      <c r="G5" s="18" t="n">
        <v>0.1698798870201616</v>
      </c>
      <c r="H5" s="7" t="n">
        <v>-23.52697114285714</v>
      </c>
      <c r="I5" s="3" t="inlineStr">
        <is>
          <t>6/12</t>
        </is>
      </c>
      <c r="J5" s="7" t="n">
        <v>-23.52697114285714</v>
      </c>
      <c r="K5" s="3" t="n">
        <v>4</v>
      </c>
      <c r="L5" s="7" t="n">
        <v>2.936952917857143</v>
      </c>
      <c r="M5" s="18" t="n">
        <v>0.1698798870201616</v>
      </c>
      <c r="N5" s="17" t="n">
        <v>63</v>
      </c>
      <c r="O5" s="7" t="n">
        <v>-16.35746337</v>
      </c>
      <c r="P5" s="16" t="n">
        <v>-420.3612750104167</v>
      </c>
      <c r="Q5" s="18" t="n">
        <v>0.1698798870201616</v>
      </c>
      <c r="R5" s="16" t="n">
        <v>-262.9479209375</v>
      </c>
    </row>
    <row r="6">
      <c r="A6" s="3" t="inlineStr">
        <is>
          <t>Green Square</t>
        </is>
      </c>
      <c r="B6" s="17" t="n">
        <v>50</v>
      </c>
      <c r="C6" s="3" t="inlineStr">
        <is>
          <t>S2 % of collections</t>
        </is>
      </c>
      <c r="D6" s="20" t="n">
        <v>0.09406224524903295</v>
      </c>
      <c r="E6" s="18" t="n">
        <v>0.1849927114108404</v>
      </c>
      <c r="F6" s="19" t="n">
        <v>1.75</v>
      </c>
      <c r="G6" s="18" t="n">
        <v>0.1849927114108404</v>
      </c>
      <c r="H6" s="7" t="n">
        <v>-25.57568295182146</v>
      </c>
      <c r="I6" s="3" t="inlineStr">
        <is>
          <t>5/12</t>
        </is>
      </c>
      <c r="J6" s="7" t="n">
        <v>-25.57568295182146</v>
      </c>
      <c r="K6" s="3" t="n">
        <v>4</v>
      </c>
      <c r="L6" s="7" t="n">
        <v>2.93695295142232</v>
      </c>
      <c r="M6" s="18" t="n">
        <v>0.1689621757394897</v>
      </c>
      <c r="N6" s="17" t="n">
        <v>66</v>
      </c>
      <c r="O6" s="7" t="n">
        <v>-17.53934504025177</v>
      </c>
      <c r="P6" s="16" t="n">
        <v>-413.9597674743263</v>
      </c>
      <c r="Q6" s="18" t="n">
        <v>0.1887329985701298</v>
      </c>
      <c r="R6" s="16" t="n">
        <v>-273.33393596268</v>
      </c>
    </row>
    <row r="7">
      <c r="A7" s="3" t="inlineStr">
        <is>
          <t>Green Square</t>
        </is>
      </c>
      <c r="B7" s="17" t="n">
        <v>50</v>
      </c>
      <c r="C7" s="3" t="inlineStr">
        <is>
          <t>S3 Hybrid</t>
        </is>
      </c>
      <c r="D7" s="20" t="n">
        <v>0.01390083491587804</v>
      </c>
      <c r="E7" s="18" t="n">
        <v>0.1779781658023646</v>
      </c>
      <c r="F7" s="19" t="n">
        <v>1.749999999999999</v>
      </c>
      <c r="G7" s="18" t="n">
        <v>0.1779781658023646</v>
      </c>
      <c r="H7" s="7" t="n">
        <v>-25.92863961491248</v>
      </c>
      <c r="I7" s="3" t="inlineStr">
        <is>
          <t>6/12</t>
        </is>
      </c>
      <c r="J7" s="7" t="n">
        <v>-25.92863961491248</v>
      </c>
      <c r="K7" s="3" t="n">
        <v>4</v>
      </c>
      <c r="L7" s="7" t="n">
        <v>2.936952917857144</v>
      </c>
      <c r="M7" s="18" t="n">
        <v>0.1657374632583504</v>
      </c>
      <c r="N7" s="17" t="n">
        <v>63</v>
      </c>
      <c r="O7" s="7" t="n">
        <v>-17.98998997866111</v>
      </c>
      <c r="P7" s="16" t="n">
        <v>-417.0589201148544</v>
      </c>
      <c r="Q7" s="18" t="n">
        <v>0.1866206272909827</v>
      </c>
      <c r="R7" s="16" t="n">
        <v>-261.3663454497939</v>
      </c>
    </row>
    <row r="8">
      <c r="A8" s="3" t="inlineStr">
        <is>
          <t>Green Square</t>
        </is>
      </c>
      <c r="B8" s="17" t="n">
        <v>50</v>
      </c>
      <c r="C8" s="21" t="inlineStr">
        <is>
          <t>S4 Gated fixed multiple</t>
        </is>
      </c>
      <c r="D8" s="3" t="n"/>
      <c r="E8" s="18" t="n">
        <v>0.16471042577957</v>
      </c>
      <c r="F8" s="19" t="n">
        <v>1.75</v>
      </c>
      <c r="G8" s="18" t="n">
        <v>0.16471042577957</v>
      </c>
      <c r="H8" s="7" t="n">
        <v>0.4007263714285714</v>
      </c>
      <c r="I8" s="3" t="inlineStr">
        <is>
          <t>4/8</t>
        </is>
      </c>
      <c r="J8" s="7" t="n">
        <v>2.457869228571429</v>
      </c>
      <c r="K8" s="3" t="n">
        <v>0</v>
      </c>
      <c r="L8" s="7" t="n">
        <v>2.936952917857143</v>
      </c>
      <c r="M8" s="18" t="n">
        <v>0.16471042577957</v>
      </c>
      <c r="N8" s="17" t="n">
        <v>63</v>
      </c>
      <c r="O8" s="7" t="n">
        <v>-0.6984243428571426</v>
      </c>
      <c r="P8" s="16" t="n">
        <v>-424.00710834375</v>
      </c>
      <c r="Q8" s="18" t="n">
        <v>0.16471042577957</v>
      </c>
      <c r="R8" s="16" t="n">
        <v>-252.0104209375</v>
      </c>
    </row>
    <row r="9">
      <c r="A9" s="3" t="inlineStr">
        <is>
          <t>Green Square</t>
        </is>
      </c>
      <c r="B9" s="17" t="n">
        <v>75</v>
      </c>
      <c r="C9" s="3" t="inlineStr">
        <is>
          <t>S1 Fixed multiple</t>
        </is>
      </c>
      <c r="D9" s="3" t="n"/>
      <c r="E9" s="18" t="n">
        <v>0.1698798870201617</v>
      </c>
      <c r="F9" s="19" t="n">
        <v>1.75</v>
      </c>
      <c r="G9" s="18" t="n">
        <v>0.1698798870201617</v>
      </c>
      <c r="H9" s="7" t="n">
        <v>-15.68464742857143</v>
      </c>
      <c r="I9" s="3" t="inlineStr">
        <is>
          <t>8/12</t>
        </is>
      </c>
      <c r="J9" s="7" t="n">
        <v>-15.68464742857143</v>
      </c>
      <c r="K9" s="3" t="n">
        <v>4</v>
      </c>
      <c r="L9" s="7" t="n">
        <v>1.957968611904762</v>
      </c>
      <c r="M9" s="18" t="n">
        <v>0.1698798870201617</v>
      </c>
      <c r="N9" s="17" t="n">
        <v>63</v>
      </c>
      <c r="O9" s="7" t="n">
        <v>-10.90497558</v>
      </c>
      <c r="P9" s="16" t="n">
        <v>-409.94460834375</v>
      </c>
      <c r="Q9" s="18" t="n">
        <v>0.1698798870201617</v>
      </c>
      <c r="R9" s="16" t="n">
        <v>-259.8229209375</v>
      </c>
    </row>
    <row r="10">
      <c r="A10" s="3" t="inlineStr">
        <is>
          <t>Green Square</t>
        </is>
      </c>
      <c r="B10" s="17" t="n">
        <v>75</v>
      </c>
      <c r="C10" s="3" t="inlineStr">
        <is>
          <t>S2 % of collections</t>
        </is>
      </c>
      <c r="D10" s="20" t="n">
        <v>0.1410933687335471</v>
      </c>
      <c r="E10" s="18" t="n">
        <v>0.1849927116824044</v>
      </c>
      <c r="F10" s="19" t="n">
        <v>1.75</v>
      </c>
      <c r="G10" s="18" t="n">
        <v>0.1849927116824044</v>
      </c>
      <c r="H10" s="7" t="n">
        <v>-17.05045519728772</v>
      </c>
      <c r="I10" s="3" t="inlineStr">
        <is>
          <t>6/12</t>
        </is>
      </c>
      <c r="J10" s="7" t="n">
        <v>-17.05045519728772</v>
      </c>
      <c r="K10" s="3" t="n">
        <v>4</v>
      </c>
      <c r="L10" s="7" t="n">
        <v>1.957968626822619</v>
      </c>
      <c r="M10" s="18" t="n">
        <v>0.1689621760172064</v>
      </c>
      <c r="N10" s="17" t="n">
        <v>66</v>
      </c>
      <c r="O10" s="7" t="n">
        <v>-11.69289662223019</v>
      </c>
      <c r="P10" s="16" t="n">
        <v>-400.342347247753</v>
      </c>
      <c r="Q10" s="18" t="n">
        <v>0.1887329987807249</v>
      </c>
      <c r="R10" s="16" t="n">
        <v>-275.4019437702278</v>
      </c>
    </row>
    <row r="11">
      <c r="A11" s="3" t="inlineStr">
        <is>
          <t>Green Square</t>
        </is>
      </c>
      <c r="B11" s="17" t="n">
        <v>75</v>
      </c>
      <c r="C11" s="3" t="inlineStr">
        <is>
          <t>S3 Hybrid</t>
        </is>
      </c>
      <c r="D11" s="20" t="n">
        <v>0.02085125237381705</v>
      </c>
      <c r="E11" s="18" t="n">
        <v>0.1779781658023646</v>
      </c>
      <c r="F11" s="19" t="n">
        <v>1.75</v>
      </c>
      <c r="G11" s="18" t="n">
        <v>0.1779781658023646</v>
      </c>
      <c r="H11" s="7" t="n">
        <v>-17.28575974327499</v>
      </c>
      <c r="I11" s="3" t="inlineStr">
        <is>
          <t>6/12</t>
        </is>
      </c>
      <c r="J11" s="7" t="n">
        <v>-17.28575974327499</v>
      </c>
      <c r="K11" s="3" t="n">
        <v>4</v>
      </c>
      <c r="L11" s="7" t="n">
        <v>1.957968611904762</v>
      </c>
      <c r="M11" s="18" t="n">
        <v>0.1657374632583502</v>
      </c>
      <c r="N11" s="17" t="n">
        <v>63</v>
      </c>
      <c r="O11" s="7" t="n">
        <v>-11.99332665244074</v>
      </c>
      <c r="P11" s="16" t="n">
        <v>-404.9910760004067</v>
      </c>
      <c r="Q11" s="18" t="n">
        <v>0.1866206272909825</v>
      </c>
      <c r="R11" s="16" t="n">
        <v>-257.4505577059408</v>
      </c>
    </row>
    <row r="12">
      <c r="A12" s="3" t="inlineStr">
        <is>
          <t>Green Square</t>
        </is>
      </c>
      <c r="B12" s="17" t="n">
        <v>75</v>
      </c>
      <c r="C12" s="21" t="inlineStr">
        <is>
          <t>S4 Gated fixed multiple</t>
        </is>
      </c>
      <c r="D12" s="3" t="n"/>
      <c r="E12" s="18" t="n">
        <v>0.1647104257795701</v>
      </c>
      <c r="F12" s="19" t="n">
        <v>1.75</v>
      </c>
      <c r="G12" s="18" t="n">
        <v>0.1647104257795701</v>
      </c>
      <c r="H12" s="7" t="n">
        <v>0.2671509142857143</v>
      </c>
      <c r="I12" s="3" t="inlineStr">
        <is>
          <t>4/8</t>
        </is>
      </c>
      <c r="J12" s="7" t="n">
        <v>1.638579485714286</v>
      </c>
      <c r="K12" s="3" t="n">
        <v>0</v>
      </c>
      <c r="L12" s="7" t="n">
        <v>1.957968611904762</v>
      </c>
      <c r="M12" s="18" t="n">
        <v>0.1647104257795701</v>
      </c>
      <c r="N12" s="17" t="n">
        <v>63</v>
      </c>
      <c r="O12" s="7" t="n">
        <v>-0.4656162285714284</v>
      </c>
      <c r="P12" s="16" t="n">
        <v>-415.41335834375</v>
      </c>
      <c r="Q12" s="18" t="n">
        <v>0.1647104257795701</v>
      </c>
      <c r="R12" s="16" t="n">
        <v>-243.4166709375</v>
      </c>
    </row>
    <row r="13">
      <c r="A13" s="3" t="inlineStr">
        <is>
          <t>Green Square</t>
        </is>
      </c>
      <c r="B13" s="17" t="n">
        <v>100</v>
      </c>
      <c r="C13" s="3" t="inlineStr">
        <is>
          <t>S1 Fixed multiple</t>
        </is>
      </c>
      <c r="D13" s="3" t="n"/>
      <c r="E13" s="18" t="n">
        <v>0.1698798870201616</v>
      </c>
      <c r="F13" s="19" t="n">
        <v>1.75</v>
      </c>
      <c r="G13" s="18" t="n">
        <v>0.1698798870201616</v>
      </c>
      <c r="H13" s="7" t="n">
        <v>-11.76348557142857</v>
      </c>
      <c r="I13" s="3" t="inlineStr">
        <is>
          <t>8/12</t>
        </is>
      </c>
      <c r="J13" s="7" t="n">
        <v>-11.76348557142857</v>
      </c>
      <c r="K13" s="3" t="n">
        <v>4</v>
      </c>
      <c r="L13" s="7" t="n">
        <v>1.468476458928571</v>
      </c>
      <c r="M13" s="18" t="n">
        <v>0.1698798870201616</v>
      </c>
      <c r="N13" s="17" t="n">
        <v>63</v>
      </c>
      <c r="O13" s="7" t="n">
        <v>-8.178731685000001</v>
      </c>
      <c r="P13" s="16" t="n">
        <v>-399.5279416770833</v>
      </c>
      <c r="Q13" s="18" t="n">
        <v>0.1698798870201616</v>
      </c>
      <c r="R13" s="16" t="n">
        <v>-256.6979209375</v>
      </c>
    </row>
    <row r="14">
      <c r="A14" s="3" t="inlineStr">
        <is>
          <t>Green Square</t>
        </is>
      </c>
      <c r="B14" s="17" t="n">
        <v>100</v>
      </c>
      <c r="C14" s="3" t="inlineStr">
        <is>
          <t>S2 % of collections</t>
        </is>
      </c>
      <c r="D14" s="20" t="n">
        <v>0.1881244922180612</v>
      </c>
      <c r="E14" s="18" t="n">
        <v>0.1849927118181862</v>
      </c>
      <c r="F14" s="19" t="n">
        <v>1.75</v>
      </c>
      <c r="G14" s="18" t="n">
        <v>0.1849927118181862</v>
      </c>
      <c r="H14" s="7" t="n">
        <v>-12.78784135899332</v>
      </c>
      <c r="I14" s="3" t="inlineStr">
        <is>
          <t>8/12</t>
        </is>
      </c>
      <c r="J14" s="7" t="n">
        <v>-12.78784135899332</v>
      </c>
      <c r="K14" s="3" t="n">
        <v>4</v>
      </c>
      <c r="L14" s="7" t="n">
        <v>1.468476467319866</v>
      </c>
      <c r="M14" s="18" t="n">
        <v>0.1689621761560649</v>
      </c>
      <c r="N14" s="17" t="n">
        <v>66</v>
      </c>
      <c r="O14" s="7" t="n">
        <v>-8.769672439946023</v>
      </c>
      <c r="P14" s="16" t="n">
        <v>-386.7249270211797</v>
      </c>
      <c r="Q14" s="18" t="n">
        <v>0.1887329988860224</v>
      </c>
      <c r="R14" s="16" t="n">
        <v>-277.4699515777756</v>
      </c>
    </row>
    <row r="15">
      <c r="A15" s="3" t="inlineStr">
        <is>
          <t>Green Square</t>
        </is>
      </c>
      <c r="B15" s="17" t="n">
        <v>100</v>
      </c>
      <c r="C15" s="3" t="inlineStr">
        <is>
          <t>S3 Hybrid</t>
        </is>
      </c>
      <c r="D15" s="20" t="n">
        <v>0.02780166983175607</v>
      </c>
      <c r="E15" s="18" t="n">
        <v>0.1779781658023646</v>
      </c>
      <c r="F15" s="19" t="n">
        <v>1.749999999999999</v>
      </c>
      <c r="G15" s="18" t="n">
        <v>0.1779781658023646</v>
      </c>
      <c r="H15" s="7" t="n">
        <v>-12.96431980745624</v>
      </c>
      <c r="I15" s="3" t="inlineStr">
        <is>
          <t>8/12</t>
        </is>
      </c>
      <c r="J15" s="7" t="n">
        <v>-12.96431980745624</v>
      </c>
      <c r="K15" s="3" t="n">
        <v>4</v>
      </c>
      <c r="L15" s="7" t="n">
        <v>1.468476458928572</v>
      </c>
      <c r="M15" s="18" t="n">
        <v>0.1657374632583504</v>
      </c>
      <c r="N15" s="17" t="n">
        <v>63</v>
      </c>
      <c r="O15" s="7" t="n">
        <v>-8.994994989330554</v>
      </c>
      <c r="P15" s="16" t="n">
        <v>-392.9232318859588</v>
      </c>
      <c r="Q15" s="18" t="n">
        <v>0.1866206272909827</v>
      </c>
      <c r="R15" s="16" t="n">
        <v>-253.5347699620878</v>
      </c>
    </row>
    <row r="16">
      <c r="A16" s="3" t="inlineStr">
        <is>
          <t>Green Square</t>
        </is>
      </c>
      <c r="B16" s="17" t="n">
        <v>100</v>
      </c>
      <c r="C16" s="21" t="inlineStr">
        <is>
          <t>S4 Gated fixed multiple</t>
        </is>
      </c>
      <c r="D16" s="3" t="n"/>
      <c r="E16" s="18" t="n">
        <v>0.1735418069967741</v>
      </c>
      <c r="F16" s="19" t="n">
        <v>1.75</v>
      </c>
      <c r="G16" s="18" t="n">
        <v>0.1735418069967743</v>
      </c>
      <c r="H16" s="7" t="n">
        <v>0.1753177875</v>
      </c>
      <c r="I16" s="3" t="inlineStr">
        <is>
          <t>4/7</t>
        </is>
      </c>
      <c r="J16" s="7" t="n">
        <v>5.188919599999999</v>
      </c>
      <c r="K16" s="3" t="n">
        <v>0</v>
      </c>
      <c r="L16" s="7" t="n">
        <v>1.468476458928572</v>
      </c>
      <c r="M16" s="18" t="n">
        <v>0.1735418069967741</v>
      </c>
      <c r="N16" s="17" t="n">
        <v>60</v>
      </c>
      <c r="O16" s="7" t="n">
        <v>-0.3055606499999999</v>
      </c>
      <c r="P16" s="16" t="n">
        <v>-416.1946083437499</v>
      </c>
      <c r="Q16" s="18" t="n">
        <v>0.1735418069967741</v>
      </c>
      <c r="R16" s="16" t="n">
        <v>-244.1979209375</v>
      </c>
    </row>
    <row r="17">
      <c r="A17" s="3" t="inlineStr">
        <is>
          <t>Green Square</t>
        </is>
      </c>
      <c r="B17" s="17" t="n">
        <v>125</v>
      </c>
      <c r="C17" s="3" t="inlineStr">
        <is>
          <t>S1 Fixed multiple</t>
        </is>
      </c>
      <c r="D17" s="3" t="n"/>
      <c r="E17" s="18" t="n">
        <v>0.1698798870201616</v>
      </c>
      <c r="F17" s="19" t="n">
        <v>1.75</v>
      </c>
      <c r="G17" s="18" t="n">
        <v>0.1698798870201616</v>
      </c>
      <c r="H17" s="7" t="n">
        <v>-9.410788457142857</v>
      </c>
      <c r="I17" s="3" t="inlineStr">
        <is>
          <t>9/12</t>
        </is>
      </c>
      <c r="J17" s="7" t="n">
        <v>-9.410788457142857</v>
      </c>
      <c r="K17" s="3" t="n">
        <v>5</v>
      </c>
      <c r="L17" s="7" t="n">
        <v>1.174781167142858</v>
      </c>
      <c r="M17" s="18" t="n">
        <v>0.1698798870201616</v>
      </c>
      <c r="N17" s="17" t="n">
        <v>63</v>
      </c>
      <c r="O17" s="7" t="n">
        <v>-6.542985348</v>
      </c>
      <c r="P17" s="16" t="n">
        <v>-389.1112750104166</v>
      </c>
      <c r="Q17" s="18" t="n">
        <v>0.1698798870201616</v>
      </c>
      <c r="R17" s="16" t="n">
        <v>-253.5729209375</v>
      </c>
    </row>
    <row r="18">
      <c r="A18" s="3" t="inlineStr">
        <is>
          <t>Green Square</t>
        </is>
      </c>
      <c r="B18" s="17" t="n">
        <v>125</v>
      </c>
      <c r="C18" s="3" t="inlineStr">
        <is>
          <t>S2 % of collections</t>
        </is>
      </c>
      <c r="D18" s="20" t="n">
        <v>0.2351556157025755</v>
      </c>
      <c r="E18" s="18" t="n">
        <v>0.1849927118996555</v>
      </c>
      <c r="F18" s="19" t="n">
        <v>1.75</v>
      </c>
      <c r="G18" s="18" t="n">
        <v>0.1849927118996555</v>
      </c>
      <c r="H18" s="7" t="n">
        <v>-10.23027306848787</v>
      </c>
      <c r="I18" s="3" t="inlineStr">
        <is>
          <t>8/12</t>
        </is>
      </c>
      <c r="J18" s="7" t="n">
        <v>-10.23027306848787</v>
      </c>
      <c r="K18" s="3" t="n">
        <v>4</v>
      </c>
      <c r="L18" s="7" t="n">
        <v>1.174781172513286</v>
      </c>
      <c r="M18" s="18" t="n">
        <v>0.1689621762393801</v>
      </c>
      <c r="N18" s="17" t="n">
        <v>66</v>
      </c>
      <c r="O18" s="7" t="n">
        <v>-7.01573793912804</v>
      </c>
      <c r="P18" s="16" t="n">
        <v>-373.1075067946064</v>
      </c>
      <c r="Q18" s="18" t="n">
        <v>0.188732998949201</v>
      </c>
      <c r="R18" s="16" t="n">
        <v>-279.5379593853236</v>
      </c>
    </row>
    <row r="19">
      <c r="A19" s="3" t="inlineStr">
        <is>
          <t>Green Square</t>
        </is>
      </c>
      <c r="B19" s="17" t="n">
        <v>125</v>
      </c>
      <c r="C19" s="3" t="inlineStr">
        <is>
          <t>S3 Hybrid</t>
        </is>
      </c>
      <c r="D19" s="20" t="n">
        <v>0.03475208728969511</v>
      </c>
      <c r="E19" s="18" t="n">
        <v>0.1779781658023648</v>
      </c>
      <c r="F19" s="19" t="n">
        <v>1.75</v>
      </c>
      <c r="G19" s="18" t="n">
        <v>0.1779781658023648</v>
      </c>
      <c r="H19" s="7" t="n">
        <v>-10.37145584596499</v>
      </c>
      <c r="I19" s="3" t="inlineStr">
        <is>
          <t>8/12</t>
        </is>
      </c>
      <c r="J19" s="7" t="n">
        <v>-10.37145584596499</v>
      </c>
      <c r="K19" s="3" t="n">
        <v>4</v>
      </c>
      <c r="L19" s="7" t="n">
        <v>1.174781167142857</v>
      </c>
      <c r="M19" s="18" t="n">
        <v>0.1657374632583503</v>
      </c>
      <c r="N19" s="17" t="n">
        <v>63</v>
      </c>
      <c r="O19" s="7" t="n">
        <v>-7.195995991464443</v>
      </c>
      <c r="P19" s="16" t="n">
        <v>-380.8553877715111</v>
      </c>
      <c r="Q19" s="18" t="n">
        <v>0.1866206272909827</v>
      </c>
      <c r="R19" s="16" t="n">
        <v>-249.6189822182347</v>
      </c>
    </row>
    <row r="20">
      <c r="A20" s="3" t="inlineStr">
        <is>
          <t>Green Square</t>
        </is>
      </c>
      <c r="B20" s="17" t="n">
        <v>125</v>
      </c>
      <c r="C20" s="21" t="inlineStr">
        <is>
          <t>S4 Gated fixed multiple</t>
        </is>
      </c>
      <c r="D20" s="3" t="n"/>
      <c r="E20" s="18" t="n">
        <v>0.173541806996774</v>
      </c>
      <c r="F20" s="19" t="n">
        <v>1.75</v>
      </c>
      <c r="G20" s="18" t="n">
        <v>0.1735418069967742</v>
      </c>
      <c r="H20" s="7" t="n">
        <v>0.14025423</v>
      </c>
      <c r="I20" s="3" t="inlineStr">
        <is>
          <t>4/7</t>
        </is>
      </c>
      <c r="J20" s="7" t="n">
        <v>4.151135679999999</v>
      </c>
      <c r="K20" s="3" t="n">
        <v>0</v>
      </c>
      <c r="L20" s="7" t="n">
        <v>1.174781167142857</v>
      </c>
      <c r="M20" s="18" t="n">
        <v>0.173541806996774</v>
      </c>
      <c r="N20" s="17" t="n">
        <v>60</v>
      </c>
      <c r="O20" s="7" t="n">
        <v>-0.2444485199999999</v>
      </c>
      <c r="P20" s="16" t="n">
        <v>-409.9446083437499</v>
      </c>
      <c r="Q20" s="18" t="n">
        <v>0.173541806996774</v>
      </c>
      <c r="R20" s="16" t="n">
        <v>-237.9479209375</v>
      </c>
    </row>
    <row r="21">
      <c r="A21" s="3" t="inlineStr">
        <is>
          <t>L'avenir</t>
        </is>
      </c>
      <c r="B21" s="17" t="n">
        <v>50</v>
      </c>
      <c r="C21" s="3" t="inlineStr">
        <is>
          <t>S1 Fixed multiple</t>
        </is>
      </c>
      <c r="D21" s="3" t="n"/>
      <c r="E21" s="18" t="n">
        <v>0.1698798870201617</v>
      </c>
      <c r="F21" s="19" t="n">
        <v>1.75</v>
      </c>
      <c r="G21" s="18" t="n">
        <v>0.1698798870201617</v>
      </c>
      <c r="H21" s="7" t="n">
        <v>-17.72348262857144</v>
      </c>
      <c r="I21" s="3" t="inlineStr">
        <is>
          <t>3/12</t>
        </is>
      </c>
      <c r="J21" s="7" t="n">
        <v>-17.72348262857144</v>
      </c>
      <c r="K21" s="3" t="n">
        <v>3</v>
      </c>
      <c r="L21" s="7" t="n">
        <v>6.459981649999995</v>
      </c>
      <c r="M21" s="18" t="n">
        <v>0.1698798870201617</v>
      </c>
      <c r="N21" s="17" t="n">
        <v>72</v>
      </c>
      <c r="O21" s="7" t="n">
        <v>-18.79017810857143</v>
      </c>
      <c r="P21" s="16" t="n">
        <v>-842.354283875</v>
      </c>
      <c r="Q21" s="18" t="n">
        <v>0.1698798870201617</v>
      </c>
      <c r="R21" s="16" t="n">
        <v>-230.7656695833335</v>
      </c>
    </row>
    <row r="22">
      <c r="A22" s="3" t="inlineStr">
        <is>
          <t>L'avenir</t>
        </is>
      </c>
      <c r="B22" s="17" t="n">
        <v>50</v>
      </c>
      <c r="C22" s="3" t="inlineStr">
        <is>
          <t>S2 % of collections</t>
        </is>
      </c>
      <c r="D22" s="20" t="n">
        <v>0.07498803039255207</v>
      </c>
      <c r="E22" s="18" t="n">
        <v>0.1829034956370169</v>
      </c>
      <c r="F22" s="19" t="n">
        <v>1.75</v>
      </c>
      <c r="G22" s="18" t="n">
        <v>0.1829034956370169</v>
      </c>
      <c r="H22" s="7" t="n">
        <v>-15.30589312385783</v>
      </c>
      <c r="I22" s="3" t="inlineStr">
        <is>
          <t>3/12</t>
        </is>
      </c>
      <c r="J22" s="7" t="n">
        <v>-15.30589312385783</v>
      </c>
      <c r="K22" s="3" t="n">
        <v>3</v>
      </c>
      <c r="L22" s="7" t="n">
        <v>6.459981723828359</v>
      </c>
      <c r="M22" s="18" t="n">
        <v>0.1652718460897415</v>
      </c>
      <c r="N22" s="17" t="n">
        <v>75</v>
      </c>
      <c r="O22" s="7" t="n">
        <v>-20.91711696995196</v>
      </c>
      <c r="P22" s="16" t="n">
        <v>-837.3896123484152</v>
      </c>
      <c r="Q22" s="18" t="n">
        <v>0.1885957775579623</v>
      </c>
      <c r="R22" s="16" t="n">
        <v>-240.7233771541367</v>
      </c>
    </row>
    <row r="23">
      <c r="A23" s="3" t="inlineStr">
        <is>
          <t>L'avenir</t>
        </is>
      </c>
      <c r="B23" s="17" t="n">
        <v>50</v>
      </c>
      <c r="C23" s="3" t="inlineStr">
        <is>
          <t>S3 Hybrid</t>
        </is>
      </c>
      <c r="D23" s="20" t="n">
        <v>0.0115615603284261</v>
      </c>
      <c r="E23" s="18" t="n">
        <v>0.1752458961119746</v>
      </c>
      <c r="F23" s="19" t="n">
        <v>1.75</v>
      </c>
      <c r="G23" s="18" t="n">
        <v>0.1752458961119747</v>
      </c>
      <c r="H23" s="7" t="n">
        <v>-18.65708136746698</v>
      </c>
      <c r="I23" s="3" t="inlineStr">
        <is>
          <t>3/12</t>
        </is>
      </c>
      <c r="J23" s="7" t="n">
        <v>-18.65708136746698</v>
      </c>
      <c r="K23" s="3" t="n">
        <v>3</v>
      </c>
      <c r="L23" s="7" t="n">
        <v>6.459981649999997</v>
      </c>
      <c r="M23" s="18" t="n">
        <v>0.1641017139656676</v>
      </c>
      <c r="N23" s="17" t="n">
        <v>72</v>
      </c>
      <c r="O23" s="7" t="n">
        <v>-20.07718820524783</v>
      </c>
      <c r="P23" s="16" t="n">
        <v>-838.3341570981771</v>
      </c>
      <c r="Q23" s="18" t="n">
        <v>0.1835051317134629</v>
      </c>
      <c r="R23" s="16" t="n">
        <v>-229.5887031302959</v>
      </c>
    </row>
    <row r="24">
      <c r="A24" s="3" t="inlineStr">
        <is>
          <t>L'avenir</t>
        </is>
      </c>
      <c r="B24" s="17" t="n">
        <v>50</v>
      </c>
      <c r="C24" s="21" t="inlineStr">
        <is>
          <t>S4 Gated fixed multiple</t>
        </is>
      </c>
      <c r="D24" s="3" t="n"/>
      <c r="E24" s="18" t="n">
        <v>0.1642767790747338</v>
      </c>
      <c r="F24" s="19" t="n">
        <v>1.75</v>
      </c>
      <c r="G24" s="18" t="n">
        <v>0.1642767790747338</v>
      </c>
      <c r="H24" s="7" t="n">
        <v>2.936185585714284</v>
      </c>
      <c r="I24" s="3" t="inlineStr">
        <is>
          <t>0/9</t>
        </is>
      </c>
      <c r="J24" s="7" t="n">
        <v>2.936185585714284</v>
      </c>
      <c r="K24" s="3" t="n">
        <v>0</v>
      </c>
      <c r="L24" s="7" t="n">
        <v>6.459981649999996</v>
      </c>
      <c r="M24" s="18" t="n">
        <v>0.1642767790747338</v>
      </c>
      <c r="N24" s="17" t="n">
        <v>72</v>
      </c>
      <c r="O24" s="7" t="n">
        <v>-12.90419964</v>
      </c>
      <c r="P24" s="16" t="n">
        <v>-827.7709505416667</v>
      </c>
      <c r="Q24" s="18" t="n">
        <v>0.1642767790747338</v>
      </c>
      <c r="R24" s="16" t="n">
        <v>-223.4740029166668</v>
      </c>
    </row>
    <row r="25">
      <c r="A25" s="3" t="inlineStr">
        <is>
          <t>L'avenir</t>
        </is>
      </c>
      <c r="B25" s="17" t="n">
        <v>75</v>
      </c>
      <c r="C25" s="3" t="inlineStr">
        <is>
          <t>S1 Fixed multiple</t>
        </is>
      </c>
      <c r="D25" s="3" t="n"/>
      <c r="E25" s="18" t="n">
        <v>0.1698798870201616</v>
      </c>
      <c r="F25" s="19" t="n">
        <v>1.75</v>
      </c>
      <c r="G25" s="18" t="n">
        <v>0.1698798870201615</v>
      </c>
      <c r="H25" s="7" t="n">
        <v>-11.81565508571429</v>
      </c>
      <c r="I25" s="3" t="inlineStr">
        <is>
          <t>3/12</t>
        </is>
      </c>
      <c r="J25" s="7" t="n">
        <v>-11.81565508571429</v>
      </c>
      <c r="K25" s="3" t="n">
        <v>3</v>
      </c>
      <c r="L25" s="7" t="n">
        <v>4.306654433333331</v>
      </c>
      <c r="M25" s="18" t="n">
        <v>0.1698798870201616</v>
      </c>
      <c r="N25" s="17" t="n">
        <v>72</v>
      </c>
      <c r="O25" s="7" t="n">
        <v>-12.52678540571429</v>
      </c>
      <c r="P25" s="16" t="n">
        <v>-839.2292838750001</v>
      </c>
      <c r="Q25" s="18" t="n">
        <v>0.1698798870201616</v>
      </c>
      <c r="R25" s="16" t="n">
        <v>-223.9948362500002</v>
      </c>
    </row>
    <row r="26">
      <c r="A26" s="3" t="inlineStr">
        <is>
          <t>L'avenir</t>
        </is>
      </c>
      <c r="B26" s="17" t="n">
        <v>75</v>
      </c>
      <c r="C26" s="3" t="inlineStr">
        <is>
          <t>S2 % of collections</t>
        </is>
      </c>
      <c r="D26" s="20" t="n">
        <v>0.1124820461601655</v>
      </c>
      <c r="E26" s="18" t="n">
        <v>0.1829034959790143</v>
      </c>
      <c r="F26" s="19" t="n">
        <v>1.75</v>
      </c>
      <c r="G26" s="18" t="n">
        <v>0.1829034959790143</v>
      </c>
      <c r="H26" s="7" t="n">
        <v>-10.20392869740908</v>
      </c>
      <c r="I26" s="3" t="inlineStr">
        <is>
          <t>3/12</t>
        </is>
      </c>
      <c r="J26" s="7" t="n">
        <v>-10.20392869740908</v>
      </c>
      <c r="K26" s="3" t="n">
        <v>3</v>
      </c>
      <c r="L26" s="7" t="n">
        <v>4.306654466145937</v>
      </c>
      <c r="M26" s="18" t="n">
        <v>0.1652718463685847</v>
      </c>
      <c r="N26" s="17" t="n">
        <v>75</v>
      </c>
      <c r="O26" s="7" t="n">
        <v>-13.94474457580419</v>
      </c>
      <c r="P26" s="16" t="n">
        <v>-831.78227688063</v>
      </c>
      <c r="Q26" s="18" t="n">
        <v>0.1885957778528314</v>
      </c>
      <c r="R26" s="16" t="n">
        <v>-238.931397959851</v>
      </c>
    </row>
    <row r="27">
      <c r="A27" s="3" t="inlineStr">
        <is>
          <t>L'avenir</t>
        </is>
      </c>
      <c r="B27" s="17" t="n">
        <v>75</v>
      </c>
      <c r="C27" s="3" t="inlineStr">
        <is>
          <t>S3 Hybrid</t>
        </is>
      </c>
      <c r="D27" s="20" t="n">
        <v>0.01734234049263916</v>
      </c>
      <c r="E27" s="18" t="n">
        <v>0.1752458961119747</v>
      </c>
      <c r="F27" s="19" t="n">
        <v>1.75</v>
      </c>
      <c r="G27" s="18" t="n">
        <v>0.1752458961119747</v>
      </c>
      <c r="H27" s="7" t="n">
        <v>-12.43805424497798</v>
      </c>
      <c r="I27" s="3" t="inlineStr">
        <is>
          <t>3/12</t>
        </is>
      </c>
      <c r="J27" s="7" t="n">
        <v>-12.43805424497798</v>
      </c>
      <c r="K27" s="3" t="n">
        <v>3</v>
      </c>
      <c r="L27" s="7" t="n">
        <v>4.306654433333331</v>
      </c>
      <c r="M27" s="18" t="n">
        <v>0.1641017139656678</v>
      </c>
      <c r="N27" s="17" t="n">
        <v>72</v>
      </c>
      <c r="O27" s="7" t="n">
        <v>-13.38479213683189</v>
      </c>
      <c r="P27" s="16" t="n">
        <v>-833.1990937097656</v>
      </c>
      <c r="Q27" s="18" t="n">
        <v>0.1835051317134628</v>
      </c>
      <c r="R27" s="16" t="n">
        <v>-222.2293865704437</v>
      </c>
    </row>
    <row r="28">
      <c r="A28" s="3" t="inlineStr">
        <is>
          <t>L'avenir</t>
        </is>
      </c>
      <c r="B28" s="17" t="n">
        <v>75</v>
      </c>
      <c r="C28" s="21" t="inlineStr">
        <is>
          <t>S4 Gated fixed multiple</t>
        </is>
      </c>
      <c r="D28" s="3" t="n"/>
      <c r="E28" s="18" t="n">
        <v>0.1642767790747338</v>
      </c>
      <c r="F28" s="19" t="n">
        <v>1.75</v>
      </c>
      <c r="G28" s="18" t="n">
        <v>0.1642767790747338</v>
      </c>
      <c r="H28" s="7" t="n">
        <v>1.957457057142856</v>
      </c>
      <c r="I28" s="3" t="inlineStr">
        <is>
          <t>0/9</t>
        </is>
      </c>
      <c r="J28" s="7" t="n">
        <v>1.957457057142856</v>
      </c>
      <c r="K28" s="3" t="n">
        <v>0</v>
      </c>
      <c r="L28" s="7" t="n">
        <v>4.306654433333331</v>
      </c>
      <c r="M28" s="18" t="n">
        <v>0.1642767790747338</v>
      </c>
      <c r="N28" s="17" t="n">
        <v>72</v>
      </c>
      <c r="O28" s="7" t="n">
        <v>-8.602799759999998</v>
      </c>
      <c r="P28" s="16" t="n">
        <v>-817.354283875</v>
      </c>
      <c r="Q28" s="18" t="n">
        <v>0.1642767790747338</v>
      </c>
      <c r="R28" s="16" t="n">
        <v>-213.0573362500002</v>
      </c>
    </row>
    <row r="29">
      <c r="A29" s="3" t="inlineStr">
        <is>
          <t>L'avenir</t>
        </is>
      </c>
      <c r="B29" s="17" t="n">
        <v>100</v>
      </c>
      <c r="C29" s="3" t="inlineStr">
        <is>
          <t>S1 Fixed multiple</t>
        </is>
      </c>
      <c r="D29" s="3" t="n"/>
      <c r="E29" s="18" t="n">
        <v>0.1698798870201617</v>
      </c>
      <c r="F29" s="19" t="n">
        <v>1.75</v>
      </c>
      <c r="G29" s="18" t="n">
        <v>0.1698798870201617</v>
      </c>
      <c r="H29" s="7" t="n">
        <v>-8.86174131428572</v>
      </c>
      <c r="I29" s="3" t="inlineStr">
        <is>
          <t>3/12</t>
        </is>
      </c>
      <c r="J29" s="7" t="n">
        <v>-8.86174131428572</v>
      </c>
      <c r="K29" s="3" t="n">
        <v>3</v>
      </c>
      <c r="L29" s="7" t="n">
        <v>3.229990824999998</v>
      </c>
      <c r="M29" s="18" t="n">
        <v>0.1698798870201617</v>
      </c>
      <c r="N29" s="17" t="n">
        <v>72</v>
      </c>
      <c r="O29" s="7" t="n">
        <v>-9.395089054285714</v>
      </c>
      <c r="P29" s="16" t="n">
        <v>-836.104283875</v>
      </c>
      <c r="Q29" s="18" t="n">
        <v>0.1698798870201617</v>
      </c>
      <c r="R29" s="16" t="n">
        <v>-217.2240029166668</v>
      </c>
    </row>
    <row r="30">
      <c r="A30" s="3" t="inlineStr">
        <is>
          <t>L'avenir</t>
        </is>
      </c>
      <c r="B30" s="17" t="n">
        <v>100</v>
      </c>
      <c r="C30" s="3" t="inlineStr">
        <is>
          <t>S2 % of collections</t>
        </is>
      </c>
      <c r="D30" s="20" t="n">
        <v>0.1499760619277789</v>
      </c>
      <c r="E30" s="18" t="n">
        <v>0.182903496150013</v>
      </c>
      <c r="F30" s="19" t="n">
        <v>1.75</v>
      </c>
      <c r="G30" s="18" t="n">
        <v>0.182903496150013</v>
      </c>
      <c r="H30" s="7" t="n">
        <v>-7.652946503620752</v>
      </c>
      <c r="I30" s="3" t="inlineStr">
        <is>
          <t>3/12</t>
        </is>
      </c>
      <c r="J30" s="7" t="n">
        <v>-7.652946503620752</v>
      </c>
      <c r="K30" s="3" t="n">
        <v>3</v>
      </c>
      <c r="L30" s="7" t="n">
        <v>3.229990843457089</v>
      </c>
      <c r="M30" s="18" t="n">
        <v>0.1652718465080065</v>
      </c>
      <c r="N30" s="17" t="n">
        <v>75</v>
      </c>
      <c r="O30" s="7" t="n">
        <v>-10.45855840529172</v>
      </c>
      <c r="P30" s="16" t="n">
        <v>-826.1749414128448</v>
      </c>
      <c r="Q30" s="18" t="n">
        <v>0.1885957780002659</v>
      </c>
      <c r="R30" s="16" t="n">
        <v>-237.1394187655653</v>
      </c>
    </row>
    <row r="31">
      <c r="A31" s="3" t="inlineStr">
        <is>
          <t>L'avenir</t>
        </is>
      </c>
      <c r="B31" s="17" t="n">
        <v>100</v>
      </c>
      <c r="C31" s="3" t="inlineStr">
        <is>
          <t>S3 Hybrid</t>
        </is>
      </c>
      <c r="D31" s="20" t="n">
        <v>0.02312312065685221</v>
      </c>
      <c r="E31" s="18" t="n">
        <v>0.1752458961119746</v>
      </c>
      <c r="F31" s="19" t="n">
        <v>1.75</v>
      </c>
      <c r="G31" s="18" t="n">
        <v>0.1752458961119747</v>
      </c>
      <c r="H31" s="7" t="n">
        <v>-9.328540683733488</v>
      </c>
      <c r="I31" s="3" t="inlineStr">
        <is>
          <t>3/12</t>
        </is>
      </c>
      <c r="J31" s="7" t="n">
        <v>-9.328540683733488</v>
      </c>
      <c r="K31" s="3" t="n">
        <v>3</v>
      </c>
      <c r="L31" s="7" t="n">
        <v>3.229990824999998</v>
      </c>
      <c r="M31" s="18" t="n">
        <v>0.1641017139656676</v>
      </c>
      <c r="N31" s="17" t="n">
        <v>72</v>
      </c>
      <c r="O31" s="7" t="n">
        <v>-10.03859410262392</v>
      </c>
      <c r="P31" s="16" t="n">
        <v>-828.0640303213543</v>
      </c>
      <c r="Q31" s="18" t="n">
        <v>0.1835051317134629</v>
      </c>
      <c r="R31" s="16" t="n">
        <v>-214.8700700105916</v>
      </c>
    </row>
    <row r="32">
      <c r="A32" s="3" t="inlineStr">
        <is>
          <t>L'avenir</t>
        </is>
      </c>
      <c r="B32" s="17" t="n">
        <v>100</v>
      </c>
      <c r="C32" s="21" t="inlineStr">
        <is>
          <t>S4 Gated fixed multiple</t>
        </is>
      </c>
      <c r="D32" s="3" t="n"/>
      <c r="E32" s="18" t="n">
        <v>0.1718579671328848</v>
      </c>
      <c r="F32" s="19" t="n">
        <v>1.75</v>
      </c>
      <c r="G32" s="18" t="n">
        <v>0.1718579671328848</v>
      </c>
      <c r="H32" s="7" t="n">
        <v>1.599470742857141</v>
      </c>
      <c r="I32" s="3" t="inlineStr">
        <is>
          <t>0/8</t>
        </is>
      </c>
      <c r="J32" s="7" t="n">
        <v>1.775445771428571</v>
      </c>
      <c r="K32" s="3" t="n">
        <v>0</v>
      </c>
      <c r="L32" s="7" t="n">
        <v>3.229990824999998</v>
      </c>
      <c r="M32" s="18" t="n">
        <v>0.1718579671328848</v>
      </c>
      <c r="N32" s="17" t="n">
        <v>69</v>
      </c>
      <c r="O32" s="7" t="n">
        <v>-5.73519984</v>
      </c>
      <c r="P32" s="16" t="n">
        <v>-814.2292838750001</v>
      </c>
      <c r="Q32" s="18" t="n">
        <v>0.1718579671328848</v>
      </c>
      <c r="R32" s="16" t="n">
        <v>-209.9323362500002</v>
      </c>
    </row>
    <row r="33">
      <c r="A33" s="3" t="inlineStr">
        <is>
          <t>L'avenir</t>
        </is>
      </c>
      <c r="B33" s="17" t="n">
        <v>125</v>
      </c>
      <c r="C33" s="3" t="inlineStr">
        <is>
          <t>S1 Fixed multiple</t>
        </is>
      </c>
      <c r="D33" s="3" t="n"/>
      <c r="E33" s="18" t="n">
        <v>0.1698798870201615</v>
      </c>
      <c r="F33" s="19" t="n">
        <v>1.75</v>
      </c>
      <c r="G33" s="18" t="n">
        <v>0.1698798870201617</v>
      </c>
      <c r="H33" s="7" t="n">
        <v>-7.089393051428576</v>
      </c>
      <c r="I33" s="3" t="inlineStr">
        <is>
          <t>3/12</t>
        </is>
      </c>
      <c r="J33" s="7" t="n">
        <v>-7.089393051428576</v>
      </c>
      <c r="K33" s="3" t="n">
        <v>3</v>
      </c>
      <c r="L33" s="7" t="n">
        <v>2.583992659999999</v>
      </c>
      <c r="M33" s="18" t="n">
        <v>0.1698798870201615</v>
      </c>
      <c r="N33" s="17" t="n">
        <v>72</v>
      </c>
      <c r="O33" s="7" t="n">
        <v>-7.516071243428572</v>
      </c>
      <c r="P33" s="16" t="n">
        <v>-832.979283875</v>
      </c>
      <c r="Q33" s="18" t="n">
        <v>0.1698798870201615</v>
      </c>
      <c r="R33" s="16" t="n">
        <v>-210.4531695833335</v>
      </c>
    </row>
    <row r="34">
      <c r="A34" s="3" t="inlineStr">
        <is>
          <t>L'avenir</t>
        </is>
      </c>
      <c r="B34" s="17" t="n">
        <v>125</v>
      </c>
      <c r="C34" s="3" t="inlineStr">
        <is>
          <t>S2 % of collections</t>
        </is>
      </c>
      <c r="D34" s="20" t="n">
        <v>0.1874700776953923</v>
      </c>
      <c r="E34" s="18" t="n">
        <v>0.1829034962526125</v>
      </c>
      <c r="F34" s="19" t="n">
        <v>1.75</v>
      </c>
      <c r="G34" s="18" t="n">
        <v>0.1829034962526125</v>
      </c>
      <c r="H34" s="7" t="n">
        <v>-6.122357193567295</v>
      </c>
      <c r="I34" s="3" t="inlineStr">
        <is>
          <t>3/12</t>
        </is>
      </c>
      <c r="J34" s="7" t="n">
        <v>-6.122357193567295</v>
      </c>
      <c r="K34" s="3" t="n">
        <v>3</v>
      </c>
      <c r="L34" s="7" t="n">
        <v>2.583992671812536</v>
      </c>
      <c r="M34" s="18" t="n">
        <v>0.1652718465916595</v>
      </c>
      <c r="N34" s="17" t="n">
        <v>75</v>
      </c>
      <c r="O34" s="7" t="n">
        <v>-8.366846711483896</v>
      </c>
      <c r="P34" s="16" t="n">
        <v>-820.5676059450597</v>
      </c>
      <c r="Q34" s="18" t="n">
        <v>0.1885957780887267</v>
      </c>
      <c r="R34" s="16" t="n">
        <v>-235.3474395712796</v>
      </c>
    </row>
    <row r="35">
      <c r="A35" s="3" t="inlineStr">
        <is>
          <t>L'avenir</t>
        </is>
      </c>
      <c r="B35" s="17" t="n">
        <v>125</v>
      </c>
      <c r="C35" s="3" t="inlineStr">
        <is>
          <t>S3 Hybrid</t>
        </is>
      </c>
      <c r="D35" s="20" t="n">
        <v>0.02890390082106527</v>
      </c>
      <c r="E35" s="18" t="n">
        <v>0.1752458961119747</v>
      </c>
      <c r="F35" s="19" t="n">
        <v>1.75</v>
      </c>
      <c r="G35" s="18" t="n">
        <v>0.1752458961119749</v>
      </c>
      <c r="H35" s="7" t="n">
        <v>-7.462832546986791</v>
      </c>
      <c r="I35" s="3" t="inlineStr">
        <is>
          <t>3/12</t>
        </is>
      </c>
      <c r="J35" s="7" t="n">
        <v>-7.462832546986791</v>
      </c>
      <c r="K35" s="3" t="n">
        <v>3</v>
      </c>
      <c r="L35" s="7" t="n">
        <v>2.583992659999999</v>
      </c>
      <c r="M35" s="18" t="n">
        <v>0.1641017139656677</v>
      </c>
      <c r="N35" s="17" t="n">
        <v>72</v>
      </c>
      <c r="O35" s="7" t="n">
        <v>-8.030875282099132</v>
      </c>
      <c r="P35" s="16" t="n">
        <v>-822.9289669329427</v>
      </c>
      <c r="Q35" s="18" t="n">
        <v>0.1835051317134628</v>
      </c>
      <c r="R35" s="16" t="n">
        <v>-207.5107534507395</v>
      </c>
    </row>
    <row r="36">
      <c r="A36" s="3" t="inlineStr">
        <is>
          <t>L'avenir</t>
        </is>
      </c>
      <c r="B36" s="17" t="n">
        <v>125</v>
      </c>
      <c r="C36" s="21" t="inlineStr">
        <is>
          <t>S4 Gated fixed multiple</t>
        </is>
      </c>
      <c r="D36" s="3" t="n"/>
      <c r="E36" s="18" t="n">
        <v>0.1691581627684267</v>
      </c>
      <c r="F36" s="19" t="n">
        <v>1.75</v>
      </c>
      <c r="G36" s="18" t="n">
        <v>0.1691581627684269</v>
      </c>
      <c r="H36" s="7" t="n">
        <v>0.9596824457142846</v>
      </c>
      <c r="I36" s="3" t="inlineStr">
        <is>
          <t>3/6</t>
        </is>
      </c>
      <c r="J36" s="7" t="n">
        <v>1.513508091428571</v>
      </c>
      <c r="K36" s="3" t="n">
        <v>0</v>
      </c>
      <c r="L36" s="7" t="n">
        <v>2.583992659999998</v>
      </c>
      <c r="M36" s="18" t="n">
        <v>0.1691581627684267</v>
      </c>
      <c r="N36" s="17" t="n">
        <v>66</v>
      </c>
      <c r="O36" s="7" t="n">
        <v>-3.441119903999999</v>
      </c>
      <c r="P36" s="16" t="n">
        <v>-796.5209505416667</v>
      </c>
      <c r="Q36" s="18" t="n">
        <v>0.1691581627684267</v>
      </c>
      <c r="R36" s="16" t="n">
        <v>-192.2240029166668</v>
      </c>
    </row>
    <row r="38">
      <c r="A38" s="11" t="inlineStr">
        <is>
          <t>S1 investor IRR vs total multiple (ticket 100m, equal instalments)</t>
        </is>
      </c>
    </row>
    <row r="39">
      <c r="A39" s="14" t="inlineStr">
        <is>
          <t>Project</t>
        </is>
      </c>
      <c r="B39" s="14" t="inlineStr">
        <is>
          <t>Total multiple</t>
        </is>
      </c>
      <c r="C39" s="14" t="inlineStr">
        <is>
          <t>IRR</t>
        </is>
      </c>
    </row>
    <row r="40">
      <c r="A40" s="3" t="inlineStr">
        <is>
          <t>Green Square</t>
        </is>
      </c>
      <c r="B40" s="19" t="n">
        <v>1.5</v>
      </c>
      <c r="C40" s="18" t="n">
        <v>0.1198187109732844</v>
      </c>
    </row>
    <row r="41">
      <c r="A41" s="3" t="inlineStr">
        <is>
          <t>Green Square</t>
        </is>
      </c>
      <c r="B41" s="19" t="n">
        <v>1.6</v>
      </c>
      <c r="C41" s="18" t="n">
        <v>0.1404562028203688</v>
      </c>
    </row>
    <row r="42">
      <c r="A42" s="3" t="inlineStr">
        <is>
          <t>Green Square</t>
        </is>
      </c>
      <c r="B42" s="19" t="n">
        <v>1.7</v>
      </c>
      <c r="C42" s="18" t="n">
        <v>0.1602625585680095</v>
      </c>
    </row>
    <row r="43">
      <c r="A43" s="3" t="inlineStr">
        <is>
          <t>Green Square</t>
        </is>
      </c>
      <c r="B43" s="19" t="n">
        <v>1.75</v>
      </c>
      <c r="C43" s="18" t="n">
        <v>0.1698798870201616</v>
      </c>
    </row>
    <row r="44">
      <c r="A44" s="3" t="inlineStr">
        <is>
          <t>Green Square</t>
        </is>
      </c>
      <c r="B44" s="19" t="n">
        <v>1.8</v>
      </c>
      <c r="C44" s="18" t="n">
        <v>0.1793188337332411</v>
      </c>
    </row>
    <row r="45">
      <c r="A45" s="3" t="inlineStr">
        <is>
          <t>Green Square</t>
        </is>
      </c>
      <c r="B45" s="19" t="n">
        <v>1.9</v>
      </c>
      <c r="C45" s="18" t="n">
        <v>0.1976941321815417</v>
      </c>
    </row>
    <row r="46">
      <c r="A46" s="3" t="inlineStr">
        <is>
          <t>Green Square</t>
        </is>
      </c>
      <c r="B46" s="19" t="n">
        <v>2</v>
      </c>
      <c r="C46" s="18" t="n">
        <v>0.2154479001940968</v>
      </c>
    </row>
    <row r="47">
      <c r="A47" s="3" t="inlineStr">
        <is>
          <t>L'avenir</t>
        </is>
      </c>
      <c r="B47" s="19" t="n">
        <v>1.5</v>
      </c>
      <c r="C47" s="18" t="n">
        <v>0.1198187109732845</v>
      </c>
    </row>
    <row r="48">
      <c r="A48" s="3" t="inlineStr">
        <is>
          <t>L'avenir</t>
        </is>
      </c>
      <c r="B48" s="19" t="n">
        <v>1.6</v>
      </c>
      <c r="C48" s="18" t="n">
        <v>0.1404562028203684</v>
      </c>
    </row>
    <row r="49">
      <c r="A49" s="3" t="inlineStr">
        <is>
          <t>L'avenir</t>
        </is>
      </c>
      <c r="B49" s="19" t="n">
        <v>1.7</v>
      </c>
      <c r="C49" s="18" t="n">
        <v>0.1602625585680095</v>
      </c>
    </row>
    <row r="50">
      <c r="A50" s="3" t="inlineStr">
        <is>
          <t>L'avenir</t>
        </is>
      </c>
      <c r="B50" s="19" t="n">
        <v>1.75</v>
      </c>
      <c r="C50" s="18" t="n">
        <v>0.1698798870201617</v>
      </c>
    </row>
    <row r="51">
      <c r="A51" s="3" t="inlineStr">
        <is>
          <t>L'avenir</t>
        </is>
      </c>
      <c r="B51" s="19" t="n">
        <v>1.8</v>
      </c>
      <c r="C51" s="18" t="n">
        <v>0.1793188337332455</v>
      </c>
    </row>
    <row r="52">
      <c r="A52" s="3" t="inlineStr">
        <is>
          <t>L'avenir</t>
        </is>
      </c>
      <c r="B52" s="19" t="n">
        <v>1.9</v>
      </c>
      <c r="C52" s="18" t="n">
        <v>0.1976941321815807</v>
      </c>
    </row>
    <row r="53">
      <c r="A53" s="3" t="inlineStr">
        <is>
          <t>L'avenir</t>
        </is>
      </c>
      <c r="B53" s="19" t="n">
        <v>2</v>
      </c>
      <c r="C53" s="18" t="n">
        <v>0.2154479001940968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8" customWidth="1" min="6" max="6"/>
    <col width="28" customWidth="1" min="7" max="7"/>
  </cols>
  <sheetData>
    <row r="1">
      <c r="A1" s="1" t="inlineStr">
        <is>
          <t>Option B recommended structure (S4): payouts and coverage by quarter, base case</t>
        </is>
      </c>
    </row>
    <row r="2">
      <c r="A2" s="2" t="inlineStr">
        <is>
          <t>Strict = model net cash flow / payout. Incl. retained = (net cash flow + sale proceeds of the 20% retained units, ASSUMPTION: sold evenly over the 4 quarters from handover+3m, net of 4% commission) / payout.</t>
        </is>
      </c>
    </row>
    <row r="4">
      <c r="A4" s="11" t="inlineStr">
        <is>
          <t>Green Square - ticket 50m</t>
        </is>
      </c>
    </row>
    <row r="5">
      <c r="A5" s="14" t="inlineStr">
        <is>
          <t>Month</t>
        </is>
      </c>
      <c r="B5" s="14" t="inlineStr">
        <is>
          <t>Net cash flow before payout</t>
        </is>
      </c>
      <c r="C5" s="14" t="inlineStr">
        <is>
          <t>Retained-unit proceeds (assumption)</t>
        </is>
      </c>
      <c r="D5" s="14" t="inlineStr">
        <is>
          <t>Payout</t>
        </is>
      </c>
      <c r="E5" s="14" t="inlineStr">
        <is>
          <t>Coverage strict</t>
        </is>
      </c>
      <c r="F5" s="14" t="inlineStr">
        <is>
          <t>Coverage incl. retained</t>
        </is>
      </c>
      <c r="G5" s="14" t="inlineStr">
        <is>
          <t>Note</t>
        </is>
      </c>
    </row>
    <row r="6">
      <c r="A6" s="17" t="n">
        <v>30</v>
      </c>
      <c r="B6" s="16" t="n">
        <v>421.6225775000001</v>
      </c>
      <c r="C6" s="16" t="n">
        <v>0</v>
      </c>
      <c r="D6" s="9" t="n">
        <v>10.9375</v>
      </c>
      <c r="E6" s="19" t="n">
        <v>38.54834994285715</v>
      </c>
      <c r="F6" s="19" t="n">
        <v>38.54834994285715</v>
      </c>
      <c r="G6" s="3" t="inlineStr"/>
    </row>
    <row r="7">
      <c r="A7" s="17" t="n">
        <v>33</v>
      </c>
      <c r="B7" s="16" t="n">
        <v>138.76674</v>
      </c>
      <c r="C7" s="16" t="n">
        <v>0</v>
      </c>
      <c r="D7" s="9" t="n">
        <v>10.9375</v>
      </c>
      <c r="E7" s="19" t="n">
        <v>12.6872448</v>
      </c>
      <c r="F7" s="19" t="n">
        <v>12.6872448</v>
      </c>
      <c r="G7" s="3" t="inlineStr"/>
    </row>
    <row r="8">
      <c r="A8" s="17" t="n">
        <v>36</v>
      </c>
      <c r="B8" s="16" t="n">
        <v>129.72299</v>
      </c>
      <c r="C8" s="16" t="n">
        <v>0</v>
      </c>
      <c r="D8" s="9" t="n">
        <v>10.9375</v>
      </c>
      <c r="E8" s="19" t="n">
        <v>11.86038765714286</v>
      </c>
      <c r="F8" s="19" t="n">
        <v>11.86038765714286</v>
      </c>
      <c r="G8" s="3" t="inlineStr"/>
    </row>
    <row r="9">
      <c r="A9" s="17" t="n">
        <v>39</v>
      </c>
      <c r="B9" s="16" t="n">
        <v>-93.38729000000001</v>
      </c>
      <c r="C9" s="16" t="n">
        <v>0</v>
      </c>
      <c r="D9" s="9" t="n">
        <v>0</v>
      </c>
      <c r="E9" s="3" t="n"/>
      <c r="F9" s="3" t="n"/>
      <c r="G9" s="3" t="inlineStr">
        <is>
          <t>skipped (coverage &lt; 1.5x)</t>
        </is>
      </c>
    </row>
    <row r="10">
      <c r="A10" s="17" t="n">
        <v>42</v>
      </c>
      <c r="B10" s="16" t="n">
        <v>-120.95083125</v>
      </c>
      <c r="C10" s="16" t="n">
        <v>0</v>
      </c>
      <c r="D10" s="9" t="n">
        <v>0</v>
      </c>
      <c r="E10" s="3" t="n"/>
      <c r="F10" s="3" t="n"/>
      <c r="G10" s="3" t="inlineStr">
        <is>
          <t>skipped (coverage &lt; 1.5x)</t>
        </is>
      </c>
    </row>
    <row r="11">
      <c r="A11" s="17" t="n">
        <v>45</v>
      </c>
      <c r="B11" s="16" t="n">
        <v>-171.55083125</v>
      </c>
      <c r="C11" s="16" t="n">
        <v>0</v>
      </c>
      <c r="D11" s="9" t="n">
        <v>0</v>
      </c>
      <c r="E11" s="3" t="n"/>
      <c r="F11" s="3" t="n"/>
      <c r="G11" s="3" t="inlineStr">
        <is>
          <t>skipped (coverage &lt; 1.5x)</t>
        </is>
      </c>
    </row>
    <row r="12">
      <c r="A12" s="17" t="n">
        <v>48</v>
      </c>
      <c r="B12" s="16" t="n">
        <v>-118.169164375</v>
      </c>
      <c r="C12" s="16" t="n">
        <v>0</v>
      </c>
      <c r="D12" s="9" t="n">
        <v>0</v>
      </c>
      <c r="E12" s="3" t="n"/>
      <c r="F12" s="3" t="n"/>
      <c r="G12" s="3" t="inlineStr">
        <is>
          <t>skipped (coverage &lt; 1.5x)</t>
        </is>
      </c>
    </row>
    <row r="13">
      <c r="A13" s="17" t="n">
        <v>51</v>
      </c>
      <c r="B13" s="16" t="n">
        <v>16.2266396875</v>
      </c>
      <c r="C13" s="16" t="n">
        <v>135.17874</v>
      </c>
      <c r="D13" s="9" t="n">
        <v>10.9375</v>
      </c>
      <c r="E13" s="19" t="n">
        <v>1.483578485714286</v>
      </c>
      <c r="F13" s="19" t="n">
        <v>13.84277757142857</v>
      </c>
      <c r="G13" s="3" t="inlineStr"/>
    </row>
    <row r="14">
      <c r="A14" s="17" t="n">
        <v>54</v>
      </c>
      <c r="B14" s="16" t="n">
        <v>14.7127159375</v>
      </c>
      <c r="C14" s="16" t="n">
        <v>135.17874</v>
      </c>
      <c r="D14" s="9" t="n">
        <v>10.9375</v>
      </c>
      <c r="E14" s="19" t="n">
        <v>1.3451626</v>
      </c>
      <c r="F14" s="19" t="n">
        <v>13.70436168571428</v>
      </c>
      <c r="G14" s="3" t="inlineStr"/>
    </row>
    <row r="15">
      <c r="A15" s="17" t="n">
        <v>57</v>
      </c>
      <c r="B15" s="16" t="n">
        <v>8.723944687500001</v>
      </c>
      <c r="C15" s="16" t="n">
        <v>135.17874</v>
      </c>
      <c r="D15" s="9" t="n">
        <v>10.9375</v>
      </c>
      <c r="E15" s="19" t="n">
        <v>0.7976178000000002</v>
      </c>
      <c r="F15" s="19" t="n">
        <v>13.15681688571428</v>
      </c>
      <c r="G15" s="3" t="inlineStr"/>
    </row>
    <row r="16">
      <c r="A16" s="17" t="n">
        <v>60</v>
      </c>
      <c r="B16" s="16" t="n">
        <v>4.3829446875</v>
      </c>
      <c r="C16" s="16" t="n">
        <v>135.17874</v>
      </c>
      <c r="D16" s="9" t="n">
        <v>10.9375</v>
      </c>
      <c r="E16" s="19" t="n">
        <v>0.4007263714285714</v>
      </c>
      <c r="F16" s="19" t="n">
        <v>12.75992545714285</v>
      </c>
      <c r="G16" s="3" t="inlineStr"/>
    </row>
    <row r="17">
      <c r="A17" s="17" t="n">
        <v>63</v>
      </c>
      <c r="B17" s="16" t="n">
        <v>26.8829446875</v>
      </c>
      <c r="C17" s="16" t="n">
        <v>0</v>
      </c>
      <c r="D17" s="9" t="n">
        <v>10.9375</v>
      </c>
      <c r="E17" s="19" t="n">
        <v>2.457869228571429</v>
      </c>
      <c r="F17" s="19" t="n">
        <v>2.457869228571429</v>
      </c>
      <c r="G17" s="3" t="inlineStr"/>
    </row>
    <row r="20">
      <c r="A20" s="11" t="inlineStr">
        <is>
          <t>Green Square - ticket 75m</t>
        </is>
      </c>
    </row>
    <row r="21">
      <c r="A21" s="14" t="inlineStr">
        <is>
          <t>Month</t>
        </is>
      </c>
      <c r="B21" s="14" t="inlineStr">
        <is>
          <t>Net cash flow before payout</t>
        </is>
      </c>
      <c r="C21" s="14" t="inlineStr">
        <is>
          <t>Retained-unit proceeds (assumption)</t>
        </is>
      </c>
      <c r="D21" s="14" t="inlineStr">
        <is>
          <t>Payout</t>
        </is>
      </c>
      <c r="E21" s="14" t="inlineStr">
        <is>
          <t>Coverage strict</t>
        </is>
      </c>
      <c r="F21" s="14" t="inlineStr">
        <is>
          <t>Coverage incl. retained</t>
        </is>
      </c>
      <c r="G21" s="14" t="inlineStr">
        <is>
          <t>Note</t>
        </is>
      </c>
    </row>
    <row r="22">
      <c r="A22" s="17" t="n">
        <v>30</v>
      </c>
      <c r="B22" s="16" t="n">
        <v>421.6225775000001</v>
      </c>
      <c r="C22" s="16" t="n">
        <v>0</v>
      </c>
      <c r="D22" s="9" t="n">
        <v>16.40625</v>
      </c>
      <c r="E22" s="19" t="n">
        <v>25.69889996190477</v>
      </c>
      <c r="F22" s="19" t="n">
        <v>25.69889996190477</v>
      </c>
      <c r="G22" s="3" t="inlineStr"/>
    </row>
    <row r="23">
      <c r="A23" s="17" t="n">
        <v>33</v>
      </c>
      <c r="B23" s="16" t="n">
        <v>138.76674</v>
      </c>
      <c r="C23" s="16" t="n">
        <v>0</v>
      </c>
      <c r="D23" s="9" t="n">
        <v>16.40625</v>
      </c>
      <c r="E23" s="19" t="n">
        <v>8.4581632</v>
      </c>
      <c r="F23" s="19" t="n">
        <v>8.4581632</v>
      </c>
      <c r="G23" s="3" t="inlineStr"/>
    </row>
    <row r="24">
      <c r="A24" s="17" t="n">
        <v>36</v>
      </c>
      <c r="B24" s="16" t="n">
        <v>129.72299</v>
      </c>
      <c r="C24" s="16" t="n">
        <v>0</v>
      </c>
      <c r="D24" s="9" t="n">
        <v>16.40625</v>
      </c>
      <c r="E24" s="19" t="n">
        <v>7.906925104761903</v>
      </c>
      <c r="F24" s="19" t="n">
        <v>7.906925104761903</v>
      </c>
      <c r="G24" s="3" t="inlineStr"/>
    </row>
    <row r="25">
      <c r="A25" s="17" t="n">
        <v>39</v>
      </c>
      <c r="B25" s="16" t="n">
        <v>-93.38729000000001</v>
      </c>
      <c r="C25" s="16" t="n">
        <v>0</v>
      </c>
      <c r="D25" s="9" t="n">
        <v>0</v>
      </c>
      <c r="E25" s="3" t="n"/>
      <c r="F25" s="3" t="n"/>
      <c r="G25" s="3" t="inlineStr">
        <is>
          <t>skipped (coverage &lt; 1.5x)</t>
        </is>
      </c>
    </row>
    <row r="26">
      <c r="A26" s="17" t="n">
        <v>42</v>
      </c>
      <c r="B26" s="16" t="n">
        <v>-120.95083125</v>
      </c>
      <c r="C26" s="16" t="n">
        <v>0</v>
      </c>
      <c r="D26" s="9" t="n">
        <v>0</v>
      </c>
      <c r="E26" s="3" t="n"/>
      <c r="F26" s="3" t="n"/>
      <c r="G26" s="3" t="inlineStr">
        <is>
          <t>skipped (coverage &lt; 1.5x)</t>
        </is>
      </c>
    </row>
    <row r="27">
      <c r="A27" s="17" t="n">
        <v>45</v>
      </c>
      <c r="B27" s="16" t="n">
        <v>-171.55083125</v>
      </c>
      <c r="C27" s="16" t="n">
        <v>0</v>
      </c>
      <c r="D27" s="9" t="n">
        <v>0</v>
      </c>
      <c r="E27" s="3" t="n"/>
      <c r="F27" s="3" t="n"/>
      <c r="G27" s="3" t="inlineStr">
        <is>
          <t>skipped (coverage &lt; 1.5x)</t>
        </is>
      </c>
    </row>
    <row r="28">
      <c r="A28" s="17" t="n">
        <v>48</v>
      </c>
      <c r="B28" s="16" t="n">
        <v>-118.169164375</v>
      </c>
      <c r="C28" s="16" t="n">
        <v>0</v>
      </c>
      <c r="D28" s="9" t="n">
        <v>0</v>
      </c>
      <c r="E28" s="3" t="n"/>
      <c r="F28" s="3" t="n"/>
      <c r="G28" s="3" t="inlineStr">
        <is>
          <t>skipped (coverage &lt; 1.5x)</t>
        </is>
      </c>
    </row>
    <row r="29">
      <c r="A29" s="17" t="n">
        <v>51</v>
      </c>
      <c r="B29" s="16" t="n">
        <v>16.2266396875</v>
      </c>
      <c r="C29" s="16" t="n">
        <v>135.17874</v>
      </c>
      <c r="D29" s="9" t="n">
        <v>16.40625</v>
      </c>
      <c r="E29" s="19" t="n">
        <v>0.9890523238095236</v>
      </c>
      <c r="F29" s="19" t="n">
        <v>9.22851838095238</v>
      </c>
      <c r="G29" s="3" t="inlineStr"/>
    </row>
    <row r="30">
      <c r="A30" s="17" t="n">
        <v>54</v>
      </c>
      <c r="B30" s="16" t="n">
        <v>14.7127159375</v>
      </c>
      <c r="C30" s="16" t="n">
        <v>135.17874</v>
      </c>
      <c r="D30" s="9" t="n">
        <v>16.40625</v>
      </c>
      <c r="E30" s="19" t="n">
        <v>0.8967750666666667</v>
      </c>
      <c r="F30" s="19" t="n">
        <v>9.136241123809523</v>
      </c>
      <c r="G30" s="3" t="inlineStr"/>
    </row>
    <row r="31">
      <c r="A31" s="17" t="n">
        <v>57</v>
      </c>
      <c r="B31" s="16" t="n">
        <v>8.723944687500001</v>
      </c>
      <c r="C31" s="16" t="n">
        <v>135.17874</v>
      </c>
      <c r="D31" s="9" t="n">
        <v>16.40625</v>
      </c>
      <c r="E31" s="19" t="n">
        <v>0.5317452</v>
      </c>
      <c r="F31" s="19" t="n">
        <v>8.771211257142856</v>
      </c>
      <c r="G31" s="3" t="inlineStr"/>
    </row>
    <row r="32">
      <c r="A32" s="17" t="n">
        <v>60</v>
      </c>
      <c r="B32" s="16" t="n">
        <v>4.3829446875</v>
      </c>
      <c r="C32" s="16" t="n">
        <v>135.17874</v>
      </c>
      <c r="D32" s="9" t="n">
        <v>16.40625</v>
      </c>
      <c r="E32" s="19" t="n">
        <v>0.2671509142857143</v>
      </c>
      <c r="F32" s="19" t="n">
        <v>8.506616971428569</v>
      </c>
      <c r="G32" s="3" t="inlineStr"/>
    </row>
    <row r="33">
      <c r="A33" s="17" t="n">
        <v>63</v>
      </c>
      <c r="B33" s="16" t="n">
        <v>26.8829446875</v>
      </c>
      <c r="C33" s="16" t="n">
        <v>0</v>
      </c>
      <c r="D33" s="9" t="n">
        <v>16.40625</v>
      </c>
      <c r="E33" s="19" t="n">
        <v>1.638579485714286</v>
      </c>
      <c r="F33" s="19" t="n">
        <v>1.638579485714286</v>
      </c>
      <c r="G33" s="3" t="inlineStr"/>
    </row>
    <row r="36">
      <c r="A36" s="11" t="inlineStr">
        <is>
          <t>Green Square - ticket 100m</t>
        </is>
      </c>
    </row>
    <row r="37">
      <c r="A37" s="14" t="inlineStr">
        <is>
          <t>Month</t>
        </is>
      </c>
      <c r="B37" s="14" t="inlineStr">
        <is>
          <t>Net cash flow before payout</t>
        </is>
      </c>
      <c r="C37" s="14" t="inlineStr">
        <is>
          <t>Retained-unit proceeds (assumption)</t>
        </is>
      </c>
      <c r="D37" s="14" t="inlineStr">
        <is>
          <t>Payout</t>
        </is>
      </c>
      <c r="E37" s="14" t="inlineStr">
        <is>
          <t>Coverage strict</t>
        </is>
      </c>
      <c r="F37" s="14" t="inlineStr">
        <is>
          <t>Coverage incl. retained</t>
        </is>
      </c>
      <c r="G37" s="14" t="inlineStr">
        <is>
          <t>Note</t>
        </is>
      </c>
    </row>
    <row r="38">
      <c r="A38" s="17" t="n">
        <v>30</v>
      </c>
      <c r="B38" s="16" t="n">
        <v>421.6225775000001</v>
      </c>
      <c r="C38" s="16" t="n">
        <v>0</v>
      </c>
      <c r="D38" s="9" t="n">
        <v>25</v>
      </c>
      <c r="E38" s="19" t="n">
        <v>16.8649031</v>
      </c>
      <c r="F38" s="19" t="n">
        <v>16.8649031</v>
      </c>
      <c r="G38" s="3" t="inlineStr"/>
    </row>
    <row r="39">
      <c r="A39" s="17" t="n">
        <v>33</v>
      </c>
      <c r="B39" s="16" t="n">
        <v>138.76674</v>
      </c>
      <c r="C39" s="16" t="n">
        <v>0</v>
      </c>
      <c r="D39" s="9" t="n">
        <v>25</v>
      </c>
      <c r="E39" s="19" t="n">
        <v>5.5506696</v>
      </c>
      <c r="F39" s="19" t="n">
        <v>5.5506696</v>
      </c>
      <c r="G39" s="3" t="inlineStr"/>
    </row>
    <row r="40">
      <c r="A40" s="17" t="n">
        <v>36</v>
      </c>
      <c r="B40" s="16" t="n">
        <v>129.72299</v>
      </c>
      <c r="C40" s="16" t="n">
        <v>0</v>
      </c>
      <c r="D40" s="9" t="n">
        <v>25</v>
      </c>
      <c r="E40" s="19" t="n">
        <v>5.188919599999999</v>
      </c>
      <c r="F40" s="19" t="n">
        <v>5.188919599999999</v>
      </c>
      <c r="G40" s="3" t="inlineStr"/>
    </row>
    <row r="41">
      <c r="A41" s="17" t="n">
        <v>39</v>
      </c>
      <c r="B41" s="16" t="n">
        <v>-93.38729000000001</v>
      </c>
      <c r="C41" s="16" t="n">
        <v>0</v>
      </c>
      <c r="D41" s="9" t="n">
        <v>0</v>
      </c>
      <c r="E41" s="3" t="n"/>
      <c r="F41" s="3" t="n"/>
      <c r="G41" s="3" t="inlineStr">
        <is>
          <t>skipped (coverage &lt; 1.5x)</t>
        </is>
      </c>
    </row>
    <row r="42">
      <c r="A42" s="17" t="n">
        <v>42</v>
      </c>
      <c r="B42" s="16" t="n">
        <v>-120.95083125</v>
      </c>
      <c r="C42" s="16" t="n">
        <v>0</v>
      </c>
      <c r="D42" s="9" t="n">
        <v>0</v>
      </c>
      <c r="E42" s="3" t="n"/>
      <c r="F42" s="3" t="n"/>
      <c r="G42" s="3" t="inlineStr">
        <is>
          <t>skipped (coverage &lt; 1.5x)</t>
        </is>
      </c>
    </row>
    <row r="43">
      <c r="A43" s="17" t="n">
        <v>45</v>
      </c>
      <c r="B43" s="16" t="n">
        <v>-171.55083125</v>
      </c>
      <c r="C43" s="16" t="n">
        <v>0</v>
      </c>
      <c r="D43" s="9" t="n">
        <v>0</v>
      </c>
      <c r="E43" s="3" t="n"/>
      <c r="F43" s="3" t="n"/>
      <c r="G43" s="3" t="inlineStr">
        <is>
          <t>skipped (coverage &lt; 1.5x)</t>
        </is>
      </c>
    </row>
    <row r="44">
      <c r="A44" s="17" t="n">
        <v>48</v>
      </c>
      <c r="B44" s="16" t="n">
        <v>-118.169164375</v>
      </c>
      <c r="C44" s="16" t="n">
        <v>0</v>
      </c>
      <c r="D44" s="9" t="n">
        <v>0</v>
      </c>
      <c r="E44" s="3" t="n"/>
      <c r="F44" s="3" t="n"/>
      <c r="G44" s="3" t="inlineStr">
        <is>
          <t>skipped (coverage &lt; 1.5x)</t>
        </is>
      </c>
    </row>
    <row r="45">
      <c r="A45" s="17" t="n">
        <v>51</v>
      </c>
      <c r="B45" s="16" t="n">
        <v>16.2266396875</v>
      </c>
      <c r="C45" s="16" t="n">
        <v>135.17874</v>
      </c>
      <c r="D45" s="9" t="n">
        <v>25</v>
      </c>
      <c r="E45" s="19" t="n">
        <v>0.6490655874999999</v>
      </c>
      <c r="F45" s="19" t="n">
        <v>6.056215187499999</v>
      </c>
      <c r="G45" s="3" t="inlineStr"/>
    </row>
    <row r="46">
      <c r="A46" s="17" t="n">
        <v>54</v>
      </c>
      <c r="B46" s="16" t="n">
        <v>14.7127159375</v>
      </c>
      <c r="C46" s="16" t="n">
        <v>135.17874</v>
      </c>
      <c r="D46" s="9" t="n">
        <v>25</v>
      </c>
      <c r="E46" s="19" t="n">
        <v>0.5885086375</v>
      </c>
      <c r="F46" s="19" t="n">
        <v>5.995658237499999</v>
      </c>
      <c r="G46" s="3" t="inlineStr"/>
    </row>
    <row r="47">
      <c r="A47" s="17" t="n">
        <v>57</v>
      </c>
      <c r="B47" s="16" t="n">
        <v>8.723944687500001</v>
      </c>
      <c r="C47" s="16" t="n">
        <v>135.17874</v>
      </c>
      <c r="D47" s="9" t="n">
        <v>25</v>
      </c>
      <c r="E47" s="19" t="n">
        <v>0.3489577875000001</v>
      </c>
      <c r="F47" s="19" t="n">
        <v>5.756107387499998</v>
      </c>
      <c r="G47" s="3" t="inlineStr"/>
    </row>
    <row r="48">
      <c r="A48" s="17" t="n">
        <v>60</v>
      </c>
      <c r="B48" s="16" t="n">
        <v>4.3829446875</v>
      </c>
      <c r="C48" s="16" t="n">
        <v>135.17874</v>
      </c>
      <c r="D48" s="9" t="n">
        <v>25</v>
      </c>
      <c r="E48" s="19" t="n">
        <v>0.1753177875</v>
      </c>
      <c r="F48" s="19" t="n">
        <v>5.582467387499999</v>
      </c>
      <c r="G48" s="3" t="inlineStr"/>
    </row>
    <row r="49">
      <c r="A49" s="17" t="n">
        <v>63</v>
      </c>
      <c r="B49" s="16" t="n">
        <v>26.8829446875</v>
      </c>
      <c r="C49" s="16" t="n">
        <v>0</v>
      </c>
      <c r="D49" s="9" t="n">
        <v>0</v>
      </c>
      <c r="E49" s="3" t="n"/>
      <c r="F49" s="3" t="n"/>
      <c r="G49" s="3" t="inlineStr">
        <is>
          <t>skipped (coverage &lt; 1.5x)</t>
        </is>
      </c>
    </row>
    <row r="52">
      <c r="A52" s="11" t="inlineStr">
        <is>
          <t>Green Square - ticket 125m</t>
        </is>
      </c>
    </row>
    <row r="53">
      <c r="A53" s="14" t="inlineStr">
        <is>
          <t>Month</t>
        </is>
      </c>
      <c r="B53" s="14" t="inlineStr">
        <is>
          <t>Net cash flow before payout</t>
        </is>
      </c>
      <c r="C53" s="14" t="inlineStr">
        <is>
          <t>Retained-unit proceeds (assumption)</t>
        </is>
      </c>
      <c r="D53" s="14" t="inlineStr">
        <is>
          <t>Payout</t>
        </is>
      </c>
      <c r="E53" s="14" t="inlineStr">
        <is>
          <t>Coverage strict</t>
        </is>
      </c>
      <c r="F53" s="14" t="inlineStr">
        <is>
          <t>Coverage incl. retained</t>
        </is>
      </c>
      <c r="G53" s="14" t="inlineStr">
        <is>
          <t>Note</t>
        </is>
      </c>
    </row>
    <row r="54">
      <c r="A54" s="17" t="n">
        <v>30</v>
      </c>
      <c r="B54" s="16" t="n">
        <v>421.6225775000001</v>
      </c>
      <c r="C54" s="16" t="n">
        <v>0</v>
      </c>
      <c r="D54" s="9" t="n">
        <v>31.25</v>
      </c>
      <c r="E54" s="19" t="n">
        <v>13.49192248</v>
      </c>
      <c r="F54" s="19" t="n">
        <v>13.49192248</v>
      </c>
      <c r="G54" s="3" t="inlineStr"/>
    </row>
    <row r="55">
      <c r="A55" s="17" t="n">
        <v>33</v>
      </c>
      <c r="B55" s="16" t="n">
        <v>138.76674</v>
      </c>
      <c r="C55" s="16" t="n">
        <v>0</v>
      </c>
      <c r="D55" s="9" t="n">
        <v>31.25</v>
      </c>
      <c r="E55" s="19" t="n">
        <v>4.44053568</v>
      </c>
      <c r="F55" s="19" t="n">
        <v>4.44053568</v>
      </c>
      <c r="G55" s="3" t="inlineStr"/>
    </row>
    <row r="56">
      <c r="A56" s="17" t="n">
        <v>36</v>
      </c>
      <c r="B56" s="16" t="n">
        <v>129.72299</v>
      </c>
      <c r="C56" s="16" t="n">
        <v>0</v>
      </c>
      <c r="D56" s="9" t="n">
        <v>31.25</v>
      </c>
      <c r="E56" s="19" t="n">
        <v>4.151135679999999</v>
      </c>
      <c r="F56" s="19" t="n">
        <v>4.151135679999999</v>
      </c>
      <c r="G56" s="3" t="inlineStr"/>
    </row>
    <row r="57">
      <c r="A57" s="17" t="n">
        <v>39</v>
      </c>
      <c r="B57" s="16" t="n">
        <v>-93.38729000000001</v>
      </c>
      <c r="C57" s="16" t="n">
        <v>0</v>
      </c>
      <c r="D57" s="9" t="n">
        <v>0</v>
      </c>
      <c r="E57" s="3" t="n"/>
      <c r="F57" s="3" t="n"/>
      <c r="G57" s="3" t="inlineStr">
        <is>
          <t>skipped (coverage &lt; 1.5x)</t>
        </is>
      </c>
    </row>
    <row r="58">
      <c r="A58" s="17" t="n">
        <v>42</v>
      </c>
      <c r="B58" s="16" t="n">
        <v>-120.95083125</v>
      </c>
      <c r="C58" s="16" t="n">
        <v>0</v>
      </c>
      <c r="D58" s="9" t="n">
        <v>0</v>
      </c>
      <c r="E58" s="3" t="n"/>
      <c r="F58" s="3" t="n"/>
      <c r="G58" s="3" t="inlineStr">
        <is>
          <t>skipped (coverage &lt; 1.5x)</t>
        </is>
      </c>
    </row>
    <row r="59">
      <c r="A59" s="17" t="n">
        <v>45</v>
      </c>
      <c r="B59" s="16" t="n">
        <v>-171.55083125</v>
      </c>
      <c r="C59" s="16" t="n">
        <v>0</v>
      </c>
      <c r="D59" s="9" t="n">
        <v>0</v>
      </c>
      <c r="E59" s="3" t="n"/>
      <c r="F59" s="3" t="n"/>
      <c r="G59" s="3" t="inlineStr">
        <is>
          <t>skipped (coverage &lt; 1.5x)</t>
        </is>
      </c>
    </row>
    <row r="60">
      <c r="A60" s="17" t="n">
        <v>48</v>
      </c>
      <c r="B60" s="16" t="n">
        <v>-118.169164375</v>
      </c>
      <c r="C60" s="16" t="n">
        <v>0</v>
      </c>
      <c r="D60" s="9" t="n">
        <v>0</v>
      </c>
      <c r="E60" s="3" t="n"/>
      <c r="F60" s="3" t="n"/>
      <c r="G60" s="3" t="inlineStr">
        <is>
          <t>skipped (coverage &lt; 1.5x)</t>
        </is>
      </c>
    </row>
    <row r="61">
      <c r="A61" s="17" t="n">
        <v>51</v>
      </c>
      <c r="B61" s="16" t="n">
        <v>16.2266396875</v>
      </c>
      <c r="C61" s="16" t="n">
        <v>135.17874</v>
      </c>
      <c r="D61" s="9" t="n">
        <v>31.25</v>
      </c>
      <c r="E61" s="19" t="n">
        <v>0.5192524699999999</v>
      </c>
      <c r="F61" s="19" t="n">
        <v>4.844972149999999</v>
      </c>
      <c r="G61" s="3" t="inlineStr"/>
    </row>
    <row r="62">
      <c r="A62" s="17" t="n">
        <v>54</v>
      </c>
      <c r="B62" s="16" t="n">
        <v>14.7127159375</v>
      </c>
      <c r="C62" s="16" t="n">
        <v>135.17874</v>
      </c>
      <c r="D62" s="9" t="n">
        <v>31.25</v>
      </c>
      <c r="E62" s="19" t="n">
        <v>0.47080691</v>
      </c>
      <c r="F62" s="19" t="n">
        <v>4.796526589999999</v>
      </c>
      <c r="G62" s="3" t="inlineStr"/>
    </row>
    <row r="63">
      <c r="A63" s="17" t="n">
        <v>57</v>
      </c>
      <c r="B63" s="16" t="n">
        <v>8.723944687500001</v>
      </c>
      <c r="C63" s="16" t="n">
        <v>135.17874</v>
      </c>
      <c r="D63" s="9" t="n">
        <v>31.25</v>
      </c>
      <c r="E63" s="19" t="n">
        <v>0.27916623</v>
      </c>
      <c r="F63" s="19" t="n">
        <v>4.604885909999999</v>
      </c>
      <c r="G63" s="3" t="inlineStr"/>
    </row>
    <row r="64">
      <c r="A64" s="17" t="n">
        <v>60</v>
      </c>
      <c r="B64" s="16" t="n">
        <v>4.3829446875</v>
      </c>
      <c r="C64" s="16" t="n">
        <v>135.17874</v>
      </c>
      <c r="D64" s="9" t="n">
        <v>31.25</v>
      </c>
      <c r="E64" s="19" t="n">
        <v>0.14025423</v>
      </c>
      <c r="F64" s="19" t="n">
        <v>4.465973909999999</v>
      </c>
      <c r="G64" s="3" t="inlineStr"/>
    </row>
    <row r="65">
      <c r="A65" s="17" t="n">
        <v>63</v>
      </c>
      <c r="B65" s="16" t="n">
        <v>26.8829446875</v>
      </c>
      <c r="C65" s="16" t="n">
        <v>0</v>
      </c>
      <c r="D65" s="9" t="n">
        <v>0</v>
      </c>
      <c r="E65" s="3" t="n"/>
      <c r="F65" s="3" t="n"/>
      <c r="G65" s="3" t="inlineStr">
        <is>
          <t>skipped (coverage &lt; 1.5x)</t>
        </is>
      </c>
    </row>
    <row r="68">
      <c r="A68" s="11" t="inlineStr">
        <is>
          <t>L'avenir - ticket 50m</t>
        </is>
      </c>
    </row>
    <row r="69">
      <c r="A69" s="14" t="inlineStr">
        <is>
          <t>Month</t>
        </is>
      </c>
      <c r="B69" s="14" t="inlineStr">
        <is>
          <t>Net cash flow before payout</t>
        </is>
      </c>
      <c r="C69" s="14" t="inlineStr">
        <is>
          <t>Retained-unit proceeds (assumption)</t>
        </is>
      </c>
      <c r="D69" s="14" t="inlineStr">
        <is>
          <t>Payout</t>
        </is>
      </c>
      <c r="E69" s="14" t="inlineStr">
        <is>
          <t>Coverage strict</t>
        </is>
      </c>
      <c r="F69" s="14" t="inlineStr">
        <is>
          <t>Coverage incl. retained</t>
        </is>
      </c>
      <c r="G69" s="14" t="inlineStr">
        <is>
          <t>Note</t>
        </is>
      </c>
    </row>
    <row r="70">
      <c r="A70" s="17" t="n">
        <v>39</v>
      </c>
      <c r="B70" s="16" t="n">
        <v>44.99831625</v>
      </c>
      <c r="C70" s="16" t="n">
        <v>0</v>
      </c>
      <c r="D70" s="9" t="n">
        <v>9.722222222222221</v>
      </c>
      <c r="E70" s="19" t="n">
        <v>4.628398242857143</v>
      </c>
      <c r="F70" s="19" t="n">
        <v>4.628398242857143</v>
      </c>
      <c r="G70" s="3" t="inlineStr"/>
    </row>
    <row r="71">
      <c r="A71" s="17" t="n">
        <v>42</v>
      </c>
      <c r="B71" s="16" t="n">
        <v>55.17998249999998</v>
      </c>
      <c r="C71" s="16" t="n">
        <v>0</v>
      </c>
      <c r="D71" s="9" t="n">
        <v>9.722222222222221</v>
      </c>
      <c r="E71" s="19" t="n">
        <v>5.675655342857142</v>
      </c>
      <c r="F71" s="19" t="n">
        <v>5.675655342857142</v>
      </c>
      <c r="G71" s="3" t="inlineStr"/>
    </row>
    <row r="72">
      <c r="A72" s="17" t="n">
        <v>45</v>
      </c>
      <c r="B72" s="16" t="n">
        <v>481.2960074999998</v>
      </c>
      <c r="C72" s="16" t="n">
        <v>0</v>
      </c>
      <c r="D72" s="9" t="n">
        <v>9.722222222222221</v>
      </c>
      <c r="E72" s="19" t="n">
        <v>49.50473219999999</v>
      </c>
      <c r="F72" s="19" t="n">
        <v>49.50473219999999</v>
      </c>
      <c r="G72" s="3" t="inlineStr"/>
    </row>
    <row r="73">
      <c r="A73" s="17" t="n">
        <v>48</v>
      </c>
      <c r="B73" s="16" t="n">
        <v>-30.15426749999999</v>
      </c>
      <c r="C73" s="16" t="n">
        <v>0</v>
      </c>
      <c r="D73" s="9" t="n">
        <v>0</v>
      </c>
      <c r="E73" s="3" t="n"/>
      <c r="F73" s="3" t="n"/>
      <c r="G73" s="3" t="inlineStr">
        <is>
          <t>skipped (coverage &lt; 1.5x)</t>
        </is>
      </c>
    </row>
    <row r="74">
      <c r="A74" s="17" t="n">
        <v>51</v>
      </c>
      <c r="B74" s="16" t="n">
        <v>-129.2337275000001</v>
      </c>
      <c r="C74" s="16" t="n">
        <v>0</v>
      </c>
      <c r="D74" s="9" t="n">
        <v>0</v>
      </c>
      <c r="E74" s="3" t="n"/>
      <c r="F74" s="3" t="n"/>
      <c r="G74" s="3" t="inlineStr">
        <is>
          <t>skipped (coverage &lt; 1.5x)</t>
        </is>
      </c>
    </row>
    <row r="75">
      <c r="A75" s="17" t="n">
        <v>54</v>
      </c>
      <c r="B75" s="16" t="n">
        <v>-98.44332750000007</v>
      </c>
      <c r="C75" s="16" t="n">
        <v>0</v>
      </c>
      <c r="D75" s="9" t="n">
        <v>0</v>
      </c>
      <c r="E75" s="3" t="n"/>
      <c r="F75" s="3" t="n"/>
      <c r="G75" s="3" t="inlineStr">
        <is>
          <t>skipped (coverage &lt; 1.5x)</t>
        </is>
      </c>
    </row>
    <row r="76">
      <c r="A76" s="17" t="n">
        <v>57</v>
      </c>
      <c r="B76" s="16" t="n">
        <v>36.79998749999996</v>
      </c>
      <c r="C76" s="16" t="n">
        <v>160.424145</v>
      </c>
      <c r="D76" s="9" t="n">
        <v>9.722222222222221</v>
      </c>
      <c r="E76" s="19" t="n">
        <v>3.785141571428568</v>
      </c>
      <c r="F76" s="19" t="n">
        <v>20.28591077142857</v>
      </c>
      <c r="G76" s="3" t="inlineStr"/>
    </row>
    <row r="77">
      <c r="A77" s="17" t="n">
        <v>60</v>
      </c>
      <c r="B77" s="16" t="n">
        <v>34.98842249999996</v>
      </c>
      <c r="C77" s="16" t="n">
        <v>160.424145</v>
      </c>
      <c r="D77" s="9" t="n">
        <v>9.722222222222221</v>
      </c>
      <c r="E77" s="19" t="n">
        <v>3.598809171428568</v>
      </c>
      <c r="F77" s="19" t="n">
        <v>20.09957837142857</v>
      </c>
      <c r="G77" s="3" t="inlineStr"/>
    </row>
    <row r="78">
      <c r="A78" s="17" t="n">
        <v>63</v>
      </c>
      <c r="B78" s="16" t="n">
        <v>54.779461875</v>
      </c>
      <c r="C78" s="16" t="n">
        <v>160.424145</v>
      </c>
      <c r="D78" s="9" t="n">
        <v>9.722222222222221</v>
      </c>
      <c r="E78" s="19" t="n">
        <v>5.634458935714286</v>
      </c>
      <c r="F78" s="19" t="n">
        <v>22.13522813571429</v>
      </c>
      <c r="G78" s="3" t="inlineStr"/>
    </row>
    <row r="79">
      <c r="A79" s="17" t="n">
        <v>66</v>
      </c>
      <c r="B79" s="16" t="n">
        <v>47.65341375000001</v>
      </c>
      <c r="C79" s="16" t="n">
        <v>160.424145</v>
      </c>
      <c r="D79" s="9" t="n">
        <v>9.722222222222221</v>
      </c>
      <c r="E79" s="19" t="n">
        <v>4.901493985714287</v>
      </c>
      <c r="F79" s="19" t="n">
        <v>21.40226318571429</v>
      </c>
      <c r="G79" s="3" t="inlineStr"/>
    </row>
    <row r="80">
      <c r="A80" s="17" t="n">
        <v>69</v>
      </c>
      <c r="B80" s="16" t="n">
        <v>38.83787624999999</v>
      </c>
      <c r="C80" s="16" t="n">
        <v>0</v>
      </c>
      <c r="D80" s="9" t="n">
        <v>9.722222222222221</v>
      </c>
      <c r="E80" s="19" t="n">
        <v>3.994752985714285</v>
      </c>
      <c r="F80" s="19" t="n">
        <v>3.994752985714285</v>
      </c>
      <c r="G80" s="3" t="inlineStr"/>
    </row>
    <row r="81">
      <c r="A81" s="17" t="n">
        <v>72</v>
      </c>
      <c r="B81" s="16" t="n">
        <v>28.54624874999998</v>
      </c>
      <c r="C81" s="16" t="n">
        <v>0</v>
      </c>
      <c r="D81" s="9" t="n">
        <v>9.722222222222221</v>
      </c>
      <c r="E81" s="19" t="n">
        <v>2.936185585714284</v>
      </c>
      <c r="F81" s="19" t="n">
        <v>2.936185585714284</v>
      </c>
      <c r="G81" s="3" t="inlineStr"/>
    </row>
    <row r="84">
      <c r="A84" s="11" t="inlineStr">
        <is>
          <t>L'avenir - ticket 75m</t>
        </is>
      </c>
    </row>
    <row r="85">
      <c r="A85" s="14" t="inlineStr">
        <is>
          <t>Month</t>
        </is>
      </c>
      <c r="B85" s="14" t="inlineStr">
        <is>
          <t>Net cash flow before payout</t>
        </is>
      </c>
      <c r="C85" s="14" t="inlineStr">
        <is>
          <t>Retained-unit proceeds (assumption)</t>
        </is>
      </c>
      <c r="D85" s="14" t="inlineStr">
        <is>
          <t>Payout</t>
        </is>
      </c>
      <c r="E85" s="14" t="inlineStr">
        <is>
          <t>Coverage strict</t>
        </is>
      </c>
      <c r="F85" s="14" t="inlineStr">
        <is>
          <t>Coverage incl. retained</t>
        </is>
      </c>
      <c r="G85" s="14" t="inlineStr">
        <is>
          <t>Note</t>
        </is>
      </c>
    </row>
    <row r="86">
      <c r="A86" s="17" t="n">
        <v>39</v>
      </c>
      <c r="B86" s="16" t="n">
        <v>44.99831625</v>
      </c>
      <c r="C86" s="16" t="n">
        <v>0</v>
      </c>
      <c r="D86" s="9" t="n">
        <v>14.58333333333333</v>
      </c>
      <c r="E86" s="19" t="n">
        <v>3.085598828571428</v>
      </c>
      <c r="F86" s="19" t="n">
        <v>3.085598828571428</v>
      </c>
      <c r="G86" s="3" t="inlineStr"/>
    </row>
    <row r="87">
      <c r="A87" s="17" t="n">
        <v>42</v>
      </c>
      <c r="B87" s="16" t="n">
        <v>55.17998249999998</v>
      </c>
      <c r="C87" s="16" t="n">
        <v>0</v>
      </c>
      <c r="D87" s="9" t="n">
        <v>14.58333333333333</v>
      </c>
      <c r="E87" s="19" t="n">
        <v>3.783770228571427</v>
      </c>
      <c r="F87" s="19" t="n">
        <v>3.783770228571427</v>
      </c>
      <c r="G87" s="3" t="inlineStr"/>
    </row>
    <row r="88">
      <c r="A88" s="17" t="n">
        <v>45</v>
      </c>
      <c r="B88" s="16" t="n">
        <v>481.2960074999998</v>
      </c>
      <c r="C88" s="16" t="n">
        <v>0</v>
      </c>
      <c r="D88" s="9" t="n">
        <v>14.58333333333333</v>
      </c>
      <c r="E88" s="19" t="n">
        <v>33.00315479999998</v>
      </c>
      <c r="F88" s="19" t="n">
        <v>33.00315479999998</v>
      </c>
      <c r="G88" s="3" t="inlineStr"/>
    </row>
    <row r="89">
      <c r="A89" s="17" t="n">
        <v>48</v>
      </c>
      <c r="B89" s="16" t="n">
        <v>-30.15426749999999</v>
      </c>
      <c r="C89" s="16" t="n">
        <v>0</v>
      </c>
      <c r="D89" s="9" t="n">
        <v>0</v>
      </c>
      <c r="E89" s="3" t="n"/>
      <c r="F89" s="3" t="n"/>
      <c r="G89" s="3" t="inlineStr">
        <is>
          <t>skipped (coverage &lt; 1.5x)</t>
        </is>
      </c>
    </row>
    <row r="90">
      <c r="A90" s="17" t="n">
        <v>51</v>
      </c>
      <c r="B90" s="16" t="n">
        <v>-129.2337275000001</v>
      </c>
      <c r="C90" s="16" t="n">
        <v>0</v>
      </c>
      <c r="D90" s="9" t="n">
        <v>0</v>
      </c>
      <c r="E90" s="3" t="n"/>
      <c r="F90" s="3" t="n"/>
      <c r="G90" s="3" t="inlineStr">
        <is>
          <t>skipped (coverage &lt; 1.5x)</t>
        </is>
      </c>
    </row>
    <row r="91">
      <c r="A91" s="17" t="n">
        <v>54</v>
      </c>
      <c r="B91" s="16" t="n">
        <v>-98.44332750000007</v>
      </c>
      <c r="C91" s="16" t="n">
        <v>0</v>
      </c>
      <c r="D91" s="9" t="n">
        <v>0</v>
      </c>
      <c r="E91" s="3" t="n"/>
      <c r="F91" s="3" t="n"/>
      <c r="G91" s="3" t="inlineStr">
        <is>
          <t>skipped (coverage &lt; 1.5x)</t>
        </is>
      </c>
    </row>
    <row r="92">
      <c r="A92" s="17" t="n">
        <v>57</v>
      </c>
      <c r="B92" s="16" t="n">
        <v>36.79998749999996</v>
      </c>
      <c r="C92" s="16" t="n">
        <v>160.424145</v>
      </c>
      <c r="D92" s="9" t="n">
        <v>14.58333333333333</v>
      </c>
      <c r="E92" s="19" t="n">
        <v>2.523427714285712</v>
      </c>
      <c r="F92" s="19" t="n">
        <v>13.52394051428571</v>
      </c>
      <c r="G92" s="3" t="inlineStr"/>
    </row>
    <row r="93">
      <c r="A93" s="17" t="n">
        <v>60</v>
      </c>
      <c r="B93" s="16" t="n">
        <v>34.98842249999996</v>
      </c>
      <c r="C93" s="16" t="n">
        <v>160.424145</v>
      </c>
      <c r="D93" s="9" t="n">
        <v>14.58333333333333</v>
      </c>
      <c r="E93" s="19" t="n">
        <v>2.399206114285712</v>
      </c>
      <c r="F93" s="19" t="n">
        <v>13.39971891428571</v>
      </c>
      <c r="G93" s="3" t="inlineStr"/>
    </row>
    <row r="94">
      <c r="A94" s="17" t="n">
        <v>63</v>
      </c>
      <c r="B94" s="16" t="n">
        <v>54.779461875</v>
      </c>
      <c r="C94" s="16" t="n">
        <v>160.424145</v>
      </c>
      <c r="D94" s="9" t="n">
        <v>14.58333333333333</v>
      </c>
      <c r="E94" s="19" t="n">
        <v>3.756305957142857</v>
      </c>
      <c r="F94" s="19" t="n">
        <v>14.75681875714286</v>
      </c>
      <c r="G94" s="3" t="inlineStr"/>
    </row>
    <row r="95">
      <c r="A95" s="17" t="n">
        <v>66</v>
      </c>
      <c r="B95" s="16" t="n">
        <v>47.65341375000001</v>
      </c>
      <c r="C95" s="16" t="n">
        <v>160.424145</v>
      </c>
      <c r="D95" s="9" t="n">
        <v>14.58333333333333</v>
      </c>
      <c r="E95" s="19" t="n">
        <v>3.267662657142858</v>
      </c>
      <c r="F95" s="19" t="n">
        <v>14.26817545714285</v>
      </c>
      <c r="G95" s="3" t="inlineStr"/>
    </row>
    <row r="96">
      <c r="A96" s="17" t="n">
        <v>69</v>
      </c>
      <c r="B96" s="16" t="n">
        <v>38.83787624999999</v>
      </c>
      <c r="C96" s="16" t="n">
        <v>0</v>
      </c>
      <c r="D96" s="9" t="n">
        <v>14.58333333333333</v>
      </c>
      <c r="E96" s="19" t="n">
        <v>2.663168657142857</v>
      </c>
      <c r="F96" s="19" t="n">
        <v>2.663168657142857</v>
      </c>
      <c r="G96" s="3" t="inlineStr"/>
    </row>
    <row r="97">
      <c r="A97" s="17" t="n">
        <v>72</v>
      </c>
      <c r="B97" s="16" t="n">
        <v>28.54624874999998</v>
      </c>
      <c r="C97" s="16" t="n">
        <v>0</v>
      </c>
      <c r="D97" s="9" t="n">
        <v>14.58333333333333</v>
      </c>
      <c r="E97" s="19" t="n">
        <v>1.957457057142856</v>
      </c>
      <c r="F97" s="19" t="n">
        <v>1.957457057142856</v>
      </c>
      <c r="G97" s="3" t="inlineStr"/>
    </row>
    <row r="100">
      <c r="A100" s="11" t="inlineStr">
        <is>
          <t>L'avenir - ticket 100m</t>
        </is>
      </c>
    </row>
    <row r="101">
      <c r="A101" s="14" t="inlineStr">
        <is>
          <t>Month</t>
        </is>
      </c>
      <c r="B101" s="14" t="inlineStr">
        <is>
          <t>Net cash flow before payout</t>
        </is>
      </c>
      <c r="C101" s="14" t="inlineStr">
        <is>
          <t>Retained-unit proceeds (assumption)</t>
        </is>
      </c>
      <c r="D101" s="14" t="inlineStr">
        <is>
          <t>Payout</t>
        </is>
      </c>
      <c r="E101" s="14" t="inlineStr">
        <is>
          <t>Coverage strict</t>
        </is>
      </c>
      <c r="F101" s="14" t="inlineStr">
        <is>
          <t>Coverage incl. retained</t>
        </is>
      </c>
      <c r="G101" s="14" t="inlineStr">
        <is>
          <t>Note</t>
        </is>
      </c>
    </row>
    <row r="102">
      <c r="A102" s="17" t="n">
        <v>39</v>
      </c>
      <c r="B102" s="16" t="n">
        <v>44.99831625</v>
      </c>
      <c r="C102" s="16" t="n">
        <v>0</v>
      </c>
      <c r="D102" s="9" t="n">
        <v>21.875</v>
      </c>
      <c r="E102" s="19" t="n">
        <v>2.057065885714286</v>
      </c>
      <c r="F102" s="19" t="n">
        <v>2.057065885714286</v>
      </c>
      <c r="G102" s="3" t="inlineStr"/>
    </row>
    <row r="103">
      <c r="A103" s="17" t="n">
        <v>42</v>
      </c>
      <c r="B103" s="16" t="n">
        <v>55.17998249999998</v>
      </c>
      <c r="C103" s="16" t="n">
        <v>0</v>
      </c>
      <c r="D103" s="9" t="n">
        <v>21.875</v>
      </c>
      <c r="E103" s="19" t="n">
        <v>2.522513485714285</v>
      </c>
      <c r="F103" s="19" t="n">
        <v>2.522513485714285</v>
      </c>
      <c r="G103" s="3" t="inlineStr"/>
    </row>
    <row r="104">
      <c r="A104" s="17" t="n">
        <v>45</v>
      </c>
      <c r="B104" s="16" t="n">
        <v>481.2960074999998</v>
      </c>
      <c r="C104" s="16" t="n">
        <v>0</v>
      </c>
      <c r="D104" s="9" t="n">
        <v>21.875</v>
      </c>
      <c r="E104" s="19" t="n">
        <v>22.00210319999999</v>
      </c>
      <c r="F104" s="19" t="n">
        <v>22.00210319999999</v>
      </c>
      <c r="G104" s="3" t="inlineStr"/>
    </row>
    <row r="105">
      <c r="A105" s="17" t="n">
        <v>48</v>
      </c>
      <c r="B105" s="16" t="n">
        <v>-30.15426749999999</v>
      </c>
      <c r="C105" s="16" t="n">
        <v>0</v>
      </c>
      <c r="D105" s="9" t="n">
        <v>0</v>
      </c>
      <c r="E105" s="3" t="n"/>
      <c r="F105" s="3" t="n"/>
      <c r="G105" s="3" t="inlineStr">
        <is>
          <t>skipped (coverage &lt; 1.5x)</t>
        </is>
      </c>
    </row>
    <row r="106">
      <c r="A106" s="17" t="n">
        <v>51</v>
      </c>
      <c r="B106" s="16" t="n">
        <v>-129.2337275000001</v>
      </c>
      <c r="C106" s="16" t="n">
        <v>0</v>
      </c>
      <c r="D106" s="9" t="n">
        <v>0</v>
      </c>
      <c r="E106" s="3" t="n"/>
      <c r="F106" s="3" t="n"/>
      <c r="G106" s="3" t="inlineStr">
        <is>
          <t>skipped (coverage &lt; 1.5x)</t>
        </is>
      </c>
    </row>
    <row r="107">
      <c r="A107" s="17" t="n">
        <v>54</v>
      </c>
      <c r="B107" s="16" t="n">
        <v>-98.44332750000007</v>
      </c>
      <c r="C107" s="16" t="n">
        <v>0</v>
      </c>
      <c r="D107" s="9" t="n">
        <v>0</v>
      </c>
      <c r="E107" s="3" t="n"/>
      <c r="F107" s="3" t="n"/>
      <c r="G107" s="3" t="inlineStr">
        <is>
          <t>skipped (coverage &lt; 1.5x)</t>
        </is>
      </c>
    </row>
    <row r="108">
      <c r="A108" s="17" t="n">
        <v>57</v>
      </c>
      <c r="B108" s="16" t="n">
        <v>36.79998749999996</v>
      </c>
      <c r="C108" s="16" t="n">
        <v>160.424145</v>
      </c>
      <c r="D108" s="9" t="n">
        <v>21.875</v>
      </c>
      <c r="E108" s="19" t="n">
        <v>1.682285142857141</v>
      </c>
      <c r="F108" s="19" t="n">
        <v>9.01596034285714</v>
      </c>
      <c r="G108" s="3" t="inlineStr"/>
    </row>
    <row r="109">
      <c r="A109" s="17" t="n">
        <v>60</v>
      </c>
      <c r="B109" s="16" t="n">
        <v>34.98842249999996</v>
      </c>
      <c r="C109" s="16" t="n">
        <v>160.424145</v>
      </c>
      <c r="D109" s="9" t="n">
        <v>21.875</v>
      </c>
      <c r="E109" s="19" t="n">
        <v>1.599470742857141</v>
      </c>
      <c r="F109" s="19" t="n">
        <v>8.93314594285714</v>
      </c>
      <c r="G109" s="3" t="inlineStr"/>
    </row>
    <row r="110">
      <c r="A110" s="17" t="n">
        <v>63</v>
      </c>
      <c r="B110" s="16" t="n">
        <v>54.779461875</v>
      </c>
      <c r="C110" s="16" t="n">
        <v>160.424145</v>
      </c>
      <c r="D110" s="9" t="n">
        <v>21.875</v>
      </c>
      <c r="E110" s="19" t="n">
        <v>2.504203971428571</v>
      </c>
      <c r="F110" s="19" t="n">
        <v>9.837879171428572</v>
      </c>
      <c r="G110" s="3" t="inlineStr"/>
    </row>
    <row r="111">
      <c r="A111" s="17" t="n">
        <v>66</v>
      </c>
      <c r="B111" s="16" t="n">
        <v>47.65341375000001</v>
      </c>
      <c r="C111" s="16" t="n">
        <v>160.424145</v>
      </c>
      <c r="D111" s="9" t="n">
        <v>21.875</v>
      </c>
      <c r="E111" s="19" t="n">
        <v>2.178441771428572</v>
      </c>
      <c r="F111" s="19" t="n">
        <v>9.51211697142857</v>
      </c>
      <c r="G111" s="3" t="inlineStr"/>
    </row>
    <row r="112">
      <c r="A112" s="17" t="n">
        <v>69</v>
      </c>
      <c r="B112" s="16" t="n">
        <v>38.83787624999999</v>
      </c>
      <c r="C112" s="16" t="n">
        <v>0</v>
      </c>
      <c r="D112" s="9" t="n">
        <v>21.875</v>
      </c>
      <c r="E112" s="19" t="n">
        <v>1.775445771428571</v>
      </c>
      <c r="F112" s="19" t="n">
        <v>1.775445771428571</v>
      </c>
      <c r="G112" s="3" t="inlineStr"/>
    </row>
    <row r="113">
      <c r="A113" s="17" t="n">
        <v>72</v>
      </c>
      <c r="B113" s="16" t="n">
        <v>28.54624874999998</v>
      </c>
      <c r="C113" s="16" t="n">
        <v>0</v>
      </c>
      <c r="D113" s="9" t="n">
        <v>0</v>
      </c>
      <c r="E113" s="3" t="n"/>
      <c r="F113" s="3" t="n"/>
      <c r="G113" s="3" t="inlineStr">
        <is>
          <t>skipped (coverage &lt; 1.5x)</t>
        </is>
      </c>
    </row>
    <row r="116">
      <c r="A116" s="11" t="inlineStr">
        <is>
          <t>L'avenir - ticket 125m</t>
        </is>
      </c>
    </row>
    <row r="117">
      <c r="A117" s="14" t="inlineStr">
        <is>
          <t>Month</t>
        </is>
      </c>
      <c r="B117" s="14" t="inlineStr">
        <is>
          <t>Net cash flow before payout</t>
        </is>
      </c>
      <c r="C117" s="14" t="inlineStr">
        <is>
          <t>Retained-unit proceeds (assumption)</t>
        </is>
      </c>
      <c r="D117" s="14" t="inlineStr">
        <is>
          <t>Payout</t>
        </is>
      </c>
      <c r="E117" s="14" t="inlineStr">
        <is>
          <t>Coverage strict</t>
        </is>
      </c>
      <c r="F117" s="14" t="inlineStr">
        <is>
          <t>Coverage incl. retained</t>
        </is>
      </c>
      <c r="G117" s="14" t="inlineStr">
        <is>
          <t>Note</t>
        </is>
      </c>
    </row>
    <row r="118">
      <c r="A118" s="17" t="n">
        <v>39</v>
      </c>
      <c r="B118" s="16" t="n">
        <v>44.99831625</v>
      </c>
      <c r="C118" s="16" t="n">
        <v>0</v>
      </c>
      <c r="D118" s="9" t="n">
        <v>0</v>
      </c>
      <c r="E118" s="3" t="n"/>
      <c r="F118" s="3" t="n"/>
      <c r="G118" s="3" t="inlineStr">
        <is>
          <t>skipped (coverage &lt; 1.5x)</t>
        </is>
      </c>
    </row>
    <row r="119">
      <c r="A119" s="17" t="n">
        <v>42</v>
      </c>
      <c r="B119" s="16" t="n">
        <v>55.17998249999998</v>
      </c>
      <c r="C119" s="16" t="n">
        <v>0</v>
      </c>
      <c r="D119" s="9" t="n">
        <v>36.45833333333334</v>
      </c>
      <c r="E119" s="19" t="n">
        <v>1.513508091428571</v>
      </c>
      <c r="F119" s="19" t="n">
        <v>1.513508091428571</v>
      </c>
      <c r="G119" s="3" t="inlineStr"/>
    </row>
    <row r="120">
      <c r="A120" s="17" t="n">
        <v>45</v>
      </c>
      <c r="B120" s="16" t="n">
        <v>481.2960074999998</v>
      </c>
      <c r="C120" s="16" t="n">
        <v>0</v>
      </c>
      <c r="D120" s="9" t="n">
        <v>36.45833333333334</v>
      </c>
      <c r="E120" s="19" t="n">
        <v>13.20126191999999</v>
      </c>
      <c r="F120" s="19" t="n">
        <v>13.20126191999999</v>
      </c>
      <c r="G120" s="3" t="inlineStr"/>
    </row>
    <row r="121">
      <c r="A121" s="17" t="n">
        <v>48</v>
      </c>
      <c r="B121" s="16" t="n">
        <v>-30.15426749999999</v>
      </c>
      <c r="C121" s="16" t="n">
        <v>0</v>
      </c>
      <c r="D121" s="9" t="n">
        <v>0</v>
      </c>
      <c r="E121" s="3" t="n"/>
      <c r="F121" s="3" t="n"/>
      <c r="G121" s="3" t="inlineStr">
        <is>
          <t>skipped (coverage &lt; 1.5x)</t>
        </is>
      </c>
    </row>
    <row r="122">
      <c r="A122" s="17" t="n">
        <v>51</v>
      </c>
      <c r="B122" s="16" t="n">
        <v>-129.2337275000001</v>
      </c>
      <c r="C122" s="16" t="n">
        <v>0</v>
      </c>
      <c r="D122" s="9" t="n">
        <v>0</v>
      </c>
      <c r="E122" s="3" t="n"/>
      <c r="F122" s="3" t="n"/>
      <c r="G122" s="3" t="inlineStr">
        <is>
          <t>skipped (coverage &lt; 1.5x)</t>
        </is>
      </c>
    </row>
    <row r="123">
      <c r="A123" s="17" t="n">
        <v>54</v>
      </c>
      <c r="B123" s="16" t="n">
        <v>-98.44332750000007</v>
      </c>
      <c r="C123" s="16" t="n">
        <v>0</v>
      </c>
      <c r="D123" s="9" t="n">
        <v>0</v>
      </c>
      <c r="E123" s="3" t="n"/>
      <c r="F123" s="3" t="n"/>
      <c r="G123" s="3" t="inlineStr">
        <is>
          <t>skipped (coverage &lt; 1.5x)</t>
        </is>
      </c>
    </row>
    <row r="124">
      <c r="A124" s="17" t="n">
        <v>57</v>
      </c>
      <c r="B124" s="16" t="n">
        <v>36.79998749999996</v>
      </c>
      <c r="C124" s="16" t="n">
        <v>160.424145</v>
      </c>
      <c r="D124" s="9" t="n">
        <v>36.45833333333334</v>
      </c>
      <c r="E124" s="19" t="n">
        <v>1.009371085714285</v>
      </c>
      <c r="F124" s="19" t="n">
        <v>5.409576205714283</v>
      </c>
      <c r="G124" s="3" t="inlineStr"/>
    </row>
    <row r="125">
      <c r="A125" s="17" t="n">
        <v>60</v>
      </c>
      <c r="B125" s="16" t="n">
        <v>34.98842249999996</v>
      </c>
      <c r="C125" s="16" t="n">
        <v>160.424145</v>
      </c>
      <c r="D125" s="9" t="n">
        <v>36.45833333333334</v>
      </c>
      <c r="E125" s="19" t="n">
        <v>0.9596824457142846</v>
      </c>
      <c r="F125" s="19" t="n">
        <v>5.359887565714284</v>
      </c>
      <c r="G125" s="3" t="inlineStr"/>
    </row>
    <row r="126">
      <c r="A126" s="17" t="n">
        <v>63</v>
      </c>
      <c r="B126" s="16" t="n">
        <v>54.779461875</v>
      </c>
      <c r="C126" s="16" t="n">
        <v>160.424145</v>
      </c>
      <c r="D126" s="9" t="n">
        <v>36.45833333333334</v>
      </c>
      <c r="E126" s="19" t="n">
        <v>1.502522382857143</v>
      </c>
      <c r="F126" s="19" t="n">
        <v>5.902727502857142</v>
      </c>
      <c r="G126" s="3" t="inlineStr"/>
    </row>
    <row r="127">
      <c r="A127" s="17" t="n">
        <v>66</v>
      </c>
      <c r="B127" s="16" t="n">
        <v>47.65341375000001</v>
      </c>
      <c r="C127" s="16" t="n">
        <v>160.424145</v>
      </c>
      <c r="D127" s="9" t="n">
        <v>36.45833333333334</v>
      </c>
      <c r="E127" s="19" t="n">
        <v>1.307065062857143</v>
      </c>
      <c r="F127" s="19" t="n">
        <v>5.707270182857142</v>
      </c>
      <c r="G127" s="3" t="inlineStr"/>
    </row>
    <row r="128">
      <c r="A128" s="17" t="n">
        <v>69</v>
      </c>
      <c r="B128" s="16" t="n">
        <v>38.83787624999999</v>
      </c>
      <c r="C128" s="16" t="n">
        <v>0</v>
      </c>
      <c r="D128" s="9" t="n">
        <v>0</v>
      </c>
      <c r="E128" s="3" t="n"/>
      <c r="F128" s="3" t="n"/>
      <c r="G128" s="3" t="inlineStr">
        <is>
          <t>skipped (coverage &lt; 1.5x)</t>
        </is>
      </c>
    </row>
    <row r="129">
      <c r="A129" s="17" t="n">
        <v>72</v>
      </c>
      <c r="B129" s="16" t="n">
        <v>28.54624874999998</v>
      </c>
      <c r="C129" s="16" t="n">
        <v>0</v>
      </c>
      <c r="D129" s="9" t="n">
        <v>0</v>
      </c>
      <c r="E129" s="3" t="n"/>
      <c r="F129" s="3" t="n"/>
      <c r="G129" s="3" t="inlineStr">
        <is>
          <t>skipped (coverage &lt; 1.5x)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0" customWidth="1" min="2" max="2"/>
    <col width="70" customWidth="1" min="3" max="3"/>
  </cols>
  <sheetData>
    <row r="1">
      <c r="A1" s="1" t="inlineStr">
        <is>
          <t>Assumptions made in this analysis (all need your confirmation)</t>
        </is>
      </c>
    </row>
    <row r="3">
      <c r="A3" s="14" t="inlineStr">
        <is>
          <t>Ref</t>
        </is>
      </c>
      <c r="B3" s="14" t="inlineStr">
        <is>
          <t>Assumption</t>
        </is>
      </c>
      <c r="C3" s="14" t="inlineStr">
        <is>
          <t>Note</t>
        </is>
      </c>
    </row>
    <row r="4">
      <c r="A4" s="3" t="inlineStr">
        <is>
          <t>A1</t>
        </is>
      </c>
      <c r="B4" s="3" t="inlineStr">
        <is>
          <t>Investor funds 100% of ticket at t0 (GS M3, LA M12); undrawn funds earn nothing.</t>
        </is>
      </c>
      <c r="C4" s="3" t="inlineStr">
        <is>
          <t>Timing of DP in model</t>
        </is>
      </c>
    </row>
    <row r="5">
      <c r="A5" s="3" t="inlineStr">
        <is>
          <t>A2</t>
        </is>
      </c>
      <c r="B5" s="3" t="inlineStr">
        <is>
          <t>Option A face value measured at model average realised price (GS avg 268/163 k EGP/m2 retail/office vs launch 200/125; LA 301/191).</t>
        </is>
      </c>
      <c r="C5" s="3" t="inlineStr">
        <is>
          <t>Decision needed: launch list price would multiply the cost to Jalour by about 1.3x (GS) / 1.5x (LA)</t>
        </is>
      </c>
    </row>
    <row r="6">
      <c r="A6" s="3" t="inlineStr">
        <is>
          <t>A3</t>
        </is>
      </c>
      <c r="B6" s="3" t="inlineStr">
        <is>
          <t>Investor resells units over 4 quarters from handover+3m at face less 3% friction.</t>
        </is>
      </c>
      <c r="C6" s="3" t="inlineStr">
        <is>
          <t>No data in model</t>
        </is>
      </c>
    </row>
    <row r="7">
      <c r="A7" s="3" t="inlineStr">
        <is>
          <t>A4</t>
        </is>
      </c>
      <c r="B7" s="3" t="inlineStr">
        <is>
          <t>Retained units would otherwise have been sold by Jalour on the same timing, less 4% commission.</t>
        </is>
      </c>
      <c r="C7" s="3" t="inlineStr">
        <is>
          <t>Model has no retained-unit sale</t>
        </is>
      </c>
    </row>
    <row r="8">
      <c r="A8" s="3" t="inlineStr">
        <is>
          <t>A5</t>
        </is>
      </c>
      <c r="B8" s="3" t="inlineStr">
        <is>
          <t>Sold-programme source: investor units removed pro rata from every collection wave.</t>
        </is>
      </c>
      <c r="C8" s="3" t="inlineStr">
        <is>
          <t>Simplification</t>
        </is>
      </c>
    </row>
    <row r="9">
      <c r="A9" s="3" t="inlineStr">
        <is>
          <t>A6</t>
        </is>
      </c>
      <c r="B9" s="3" t="inlineStr">
        <is>
          <t>Landlord waiver reduces the year-8+ excess settlement pro rata; guarantee schedule unchanged (total landlord stays above the guarantee).</t>
        </is>
      </c>
      <c r="C9" s="3" t="inlineStr">
        <is>
          <t>Needs Al Ahly Sabbour</t>
        </is>
      </c>
    </row>
    <row r="10">
      <c r="A10" s="3" t="inlineStr">
        <is>
          <t>A7</t>
        </is>
      </c>
      <c r="B10" s="3" t="inlineStr">
        <is>
          <t>Pre-construction/design/permits: 10.5m (30% of the 5% professional-fee line) incurred ahead of construction. The model has no pre-construction cost.</t>
        </is>
      </c>
      <c r="C10" s="3" t="inlineStr">
        <is>
          <t>Confirm real budget</t>
        </is>
      </c>
    </row>
    <row r="11">
      <c r="A11" s="3" t="inlineStr">
        <is>
          <t>A8</t>
        </is>
      </c>
      <c r="B11" s="3" t="inlineStr">
        <is>
          <t>Downside = all collections and commission shifted +12 months and price -10%; guarantee instalments and construction timing unchanged.</t>
        </is>
      </c>
      <c r="C11" s="3" t="inlineStr">
        <is>
          <t>Defined by me</t>
        </is>
      </c>
    </row>
    <row r="12">
      <c r="A12" s="3" t="inlineStr">
        <is>
          <t>A9</t>
        </is>
      </c>
      <c r="B12" s="3" t="inlineStr">
        <is>
          <t>Option B total return 1.75x: chosen for IRR parity with Option A (16.4%/17.5%); not a market-tested price.</t>
        </is>
      </c>
      <c r="C12" s="3" t="inlineStr">
        <is>
          <t>Decision needed</t>
        </is>
      </c>
    </row>
    <row r="13">
      <c r="A13" s="3" t="inlineStr">
        <is>
          <t>A10</t>
        </is>
      </c>
      <c r="B13" s="3" t="inlineStr">
        <is>
          <t>S4 schedule is fixed at signing from base-case cash flows and applied unchanged in downside/stress.</t>
        </is>
      </c>
      <c r="C13" s="3" t="inlineStr">
        <is>
          <t>Contractual design</t>
        </is>
      </c>
    </row>
    <row r="14">
      <c r="A14" s="3" t="inlineStr">
        <is>
          <t>A11</t>
        </is>
      </c>
      <c r="B14" s="3" t="inlineStr">
        <is>
          <t>Retained-unit sale proceeds are counted as payout cash only in the "incl. retained" coverage measure.</t>
        </is>
      </c>
      <c r="C14" s="3" t="inlineStr">
        <is>
          <t>Requires earmarking/sweep of those proceeds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2026-10-07T11:36:57Z</dcterms:created>
  <dcterms:modified xmlns:dcterms="http://purl.org/dc/terms/" xmlns:xsi="http://www.w3.org/2001/XMLSchema-instance" xsi:type="dcterms:W3CDTF">2026-10-07T11:38:25Z</dcterms:modified>
</cp:coreProperties>
</file>