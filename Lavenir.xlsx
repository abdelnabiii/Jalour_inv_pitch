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L'avenir" sheetId="3" state="visible" r:id="rId5"/>
    <sheet name="Stage Schedule &amp; Costs (2)" sheetId="4" state="visible" r:id="rId6"/>
    <sheet name="Cash Out Detail" sheetId="5" state="visible" r:id="rId7"/>
    <sheet name="Offers" sheetId="6" state="visible" r:id="rId8"/>
    <sheet name="Offers DP" sheetId="7" state="visible" r:id="rId9"/>
    <sheet name="Cash In Flow Summary" sheetId="8" state="visible" r:id="rId10"/>
    <sheet name="Net Cash Flow -With DP" sheetId="9" state="visible" r:id="rId11"/>
    <sheet name="Net Cash Flow -Without D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<sst xmlns="http://schemas.openxmlformats.org/spreadsheetml/2006/main" count="1803" uniqueCount="304">
  <si>
    <t xml:space="preserve">L'avenir EL-Mostakbal City -Summary</t>
  </si>
  <si>
    <t xml:space="preserve">Land Area: </t>
  </si>
  <si>
    <t xml:space="preserve">m² </t>
  </si>
  <si>
    <t xml:space="preserve">Construction Start:</t>
  </si>
  <si>
    <t xml:space="preserve">Month</t>
  </si>
  <si>
    <t xml:space="preserve">footprint %  : </t>
  </si>
  <si>
    <t xml:space="preserve">Construction Duration :</t>
  </si>
  <si>
    <t xml:space="preserve">footprint  : </t>
  </si>
  <si>
    <t xml:space="preserve">Project Delivery :</t>
  </si>
  <si>
    <t xml:space="preserve">Height: </t>
  </si>
  <si>
    <t xml:space="preserve">G+2 </t>
  </si>
  <si>
    <t xml:space="preserve">Retail:</t>
  </si>
  <si>
    <t xml:space="preserve">Sales Start:</t>
  </si>
  <si>
    <t xml:space="preserve">Offices:</t>
  </si>
  <si>
    <t xml:space="preserve">Maximum Cash Shortage :</t>
  </si>
  <si>
    <t xml:space="preserve">MEGP</t>
  </si>
  <si>
    <t xml:space="preserve">Total BUA: </t>
  </si>
  <si>
    <t xml:space="preserve">RETAINED %:</t>
  </si>
  <si>
    <t xml:space="preserve">Downpayment </t>
  </si>
  <si>
    <t xml:space="preserve">NPV-With DP</t>
  </si>
  <si>
    <t xml:space="preserve">NPV-Without DP</t>
  </si>
  <si>
    <t xml:space="preserve">CASH INFLOW JALOUR</t>
  </si>
  <si>
    <t xml:space="preserve">COMMERCIAL</t>
  </si>
  <si>
    <t xml:space="preserve">ADMIN</t>
  </si>
  <si>
    <t xml:space="preserve">CASH OUTFLOW JALOUR</t>
  </si>
  <si>
    <t xml:space="preserve">Construction Cost</t>
  </si>
  <si>
    <t xml:space="preserve">Sales Commission</t>
  </si>
  <si>
    <t xml:space="preserve">SGA&amp; Others Cost</t>
  </si>
  <si>
    <t xml:space="preserve">Diff</t>
  </si>
  <si>
    <t xml:space="preserve">NET CASH FLOW JALOUR -MEGP</t>
  </si>
  <si>
    <t xml:space="preserve">Note: NPV figures are as at this project's own start (M1 = sales launch), not the shared calendar start used in the combined workbook. All time axes are shifted back 12 months.</t>
  </si>
  <si>
    <t xml:space="preserve">Note: 'Construction Cost', 'Sales Commission' and 'SGA' above are picked up exactly as in the original Summary sheet (see Cash Out Detail check rows).</t>
  </si>
  <si>
    <t xml:space="preserve">Total Sales 100%</t>
  </si>
  <si>
    <t xml:space="preserve">Total Sales 80%</t>
  </si>
  <si>
    <t xml:space="preserve">ALAHLY - SABBOUR %</t>
  </si>
  <si>
    <t xml:space="preserve">Total Collections MEGP</t>
  </si>
  <si>
    <t xml:space="preserve">ALAHLY - SABBOUR Payments MEGP</t>
  </si>
  <si>
    <t xml:space="preserve">CASH OUT FLOW CAPEX -MEGP</t>
  </si>
  <si>
    <t xml:space="preserve">Net Cash Flow</t>
  </si>
  <si>
    <t xml:space="preserve">Net Cash Flow-Accum</t>
  </si>
  <si>
    <t xml:space="preserve">L'AVENIR - ASSUMPTIONS AND TIMELINE</t>
  </si>
  <si>
    <t xml:space="preserve">Standalone model. Month 1 (M1) is this project's own sales launch. Blue = input, black = formula or fixed reference. Cash flows are in MEGP unless stated.</t>
  </si>
  <si>
    <t xml:space="preserve">NPV SETTINGS</t>
  </si>
  <si>
    <t xml:space="preserve">Cost of capital (annual)</t>
  </si>
  <si>
    <t xml:space="preserve">Carried over unchanged from the combined model, where it was a single shared input.</t>
  </si>
  <si>
    <t xml:space="preserve">Quarter column (month at end of quarter)</t>
  </si>
  <si>
    <t xml:space="preserve">M -9</t>
  </si>
  <si>
    <t xml:space="preserve">M -6</t>
  </si>
  <si>
    <t xml:space="preserve">M -3</t>
  </si>
  <si>
    <t xml:space="preserve">M 0</t>
  </si>
  <si>
    <t xml:space="preserve">M 3</t>
  </si>
  <si>
    <t xml:space="preserve">M 6</t>
  </si>
  <si>
    <t xml:space="preserve">M 9</t>
  </si>
  <si>
    <t xml:space="preserve">M 12</t>
  </si>
  <si>
    <t xml:space="preserve">M 15</t>
  </si>
  <si>
    <t xml:space="preserve">M 18</t>
  </si>
  <si>
    <t xml:space="preserve">M 21</t>
  </si>
  <si>
    <t xml:space="preserve">M 24</t>
  </si>
  <si>
    <t xml:space="preserve">M 27</t>
  </si>
  <si>
    <t xml:space="preserve">M 30</t>
  </si>
  <si>
    <t xml:space="preserve">M 33</t>
  </si>
  <si>
    <t xml:space="preserve">M 36</t>
  </si>
  <si>
    <t xml:space="preserve">M 39</t>
  </si>
  <si>
    <t xml:space="preserve">M 42</t>
  </si>
  <si>
    <t xml:space="preserve">M 45</t>
  </si>
  <si>
    <t xml:space="preserve">M 48</t>
  </si>
  <si>
    <t xml:space="preserve">M 51</t>
  </si>
  <si>
    <t xml:space="preserve">M 54</t>
  </si>
  <si>
    <t xml:space="preserve">M 57</t>
  </si>
  <si>
    <t xml:space="preserve">M 60</t>
  </si>
  <si>
    <t xml:space="preserve">M 63</t>
  </si>
  <si>
    <t xml:space="preserve">M 66</t>
  </si>
  <si>
    <t xml:space="preserve">M 69</t>
  </si>
  <si>
    <t xml:space="preserve">M 72</t>
  </si>
  <si>
    <t xml:space="preserve">M 75</t>
  </si>
  <si>
    <t xml:space="preserve">M 78</t>
  </si>
  <si>
    <t xml:space="preserve">M 81</t>
  </si>
  <si>
    <t xml:space="preserve">M 84</t>
  </si>
  <si>
    <t xml:space="preserve">M 87</t>
  </si>
  <si>
    <t xml:space="preserve">M 90</t>
  </si>
  <si>
    <t xml:space="preserve">M 93</t>
  </si>
  <si>
    <t xml:space="preserve">M 96</t>
  </si>
  <si>
    <t xml:space="preserve">M 99</t>
  </si>
  <si>
    <t xml:space="preserve">M 102</t>
  </si>
  <si>
    <t xml:space="preserve">M 105</t>
  </si>
  <si>
    <t xml:space="preserve">M 108</t>
  </si>
  <si>
    <t xml:space="preserve">M 111</t>
  </si>
  <si>
    <t xml:space="preserve">Discount period (years from the start of M1)</t>
  </si>
  <si>
    <t xml:space="preserve">TIMELINE (months counted from this project's own M1)</t>
  </si>
  <si>
    <t xml:space="preserve">Sales start (launch) month</t>
  </si>
  <si>
    <t xml:space="preserve">M1 = launch. Equals original Sales Start less the calendar offset below.</t>
  </si>
  <si>
    <t xml:space="preserve">Construction start offset from launch (months)</t>
  </si>
  <si>
    <t xml:space="preserve">Gap kept from the original model: construction start less sales start on the shared calendar.</t>
  </si>
  <si>
    <t xml:space="preserve">Construction start month</t>
  </si>
  <si>
    <t xml:space="preserve">Drives the stage schedule on 'Cash Out Detail'.</t>
  </si>
  <si>
    <t xml:space="preserve">Construction duration (months)</t>
  </si>
  <si>
    <t xml:space="preserve">Project delivery month (end of construction)</t>
  </si>
  <si>
    <t xml:space="preserve">Calendar offset removed from the shared timeline (months)</t>
  </si>
  <si>
    <t xml:space="preserve">Equals original Sales Start month less 1. Structural: it re-labels the axis and the discount months; do not overwrite.</t>
  </si>
  <si>
    <t xml:space="preserve">Original Sales Start month (shared calendar, for reference)</t>
  </si>
  <si>
    <t xml:space="preserve">Original Construction Start month (shared calendar, for reference)</t>
  </si>
  <si>
    <t xml:space="preserve">Unit handover month, original shared calendar (project sheet C5)</t>
  </si>
  <si>
    <t xml:space="preserve">Unit handover month, own timeline</t>
  </si>
  <si>
    <t xml:space="preserve">Feeds project sheet C5 (months-to-delivery row).</t>
  </si>
  <si>
    <t xml:space="preserve">COST SCALING (as picked up by the original Cash Out Detail)</t>
  </si>
  <si>
    <t xml:space="preserve">Construction cost multiple of the base stage schedule</t>
  </si>
  <si>
    <t xml:space="preserve">Base 'Stage Schedule &amp; Costs (2)' is the NURV build cost; this project is a multiple of it.</t>
  </si>
  <si>
    <t xml:space="preserve">Additional size multiple</t>
  </si>
  <si>
    <t xml:space="preserve">None for this project (1.0).</t>
  </si>
  <si>
    <t xml:space="preserve">Combined multiple (information)</t>
  </si>
  <si>
    <t xml:space="preserve">OTHER</t>
  </si>
  <si>
    <t xml:space="preserve">Downpayment shown on Summary (MEGP)</t>
  </si>
  <si>
    <t xml:space="preserve">Was 'Summary'!B3:B5 on the combined sheet.</t>
  </si>
  <si>
    <t xml:space="preserve">L'AVENIR</t>
  </si>
  <si>
    <t xml:space="preserve">BUA (M²)</t>
  </si>
  <si>
    <t xml:space="preserve">RETAINED%</t>
  </si>
  <si>
    <t xml:space="preserve">Total</t>
  </si>
  <si>
    <t xml:space="preserve">COMMERCIAL PRICE</t>
  </si>
  <si>
    <t xml:space="preserve">ADMIN PRICE</t>
  </si>
  <si>
    <t xml:space="preserve">DELIVERY DATE(month)</t>
  </si>
  <si>
    <t xml:space="preserve">TARGET SALES % COMM.</t>
  </si>
  <si>
    <t xml:space="preserve">TARGET SALES % ADMIN</t>
  </si>
  <si>
    <t xml:space="preserve">INSTALLMENTS (YRS)</t>
  </si>
  <si>
    <t xml:space="preserve">DOWN PAYMENT %</t>
  </si>
  <si>
    <t xml:space="preserve">3 MONTHS %</t>
  </si>
  <si>
    <t xml:space="preserve">DELIVERY PAYMENT %</t>
  </si>
  <si>
    <t xml:space="preserve">YEAR 1 (4Q) %</t>
  </si>
  <si>
    <t xml:space="preserve">YEAR 2 (4Q) %</t>
  </si>
  <si>
    <t xml:space="preserve">YEAR 3 (4Q) %</t>
  </si>
  <si>
    <t xml:space="preserve">YEAR 4 (4Q) %</t>
  </si>
  <si>
    <t xml:space="preserve">YEAR 5 (4Q) %</t>
  </si>
  <si>
    <t xml:space="preserve">YEAR 6 (4Q) %</t>
  </si>
  <si>
    <t xml:space="preserve">YEAR 7 (4Q) %</t>
  </si>
  <si>
    <t xml:space="preserve">YEAR 8 (4Q) %</t>
  </si>
  <si>
    <t xml:space="preserve">Total Sales(COMMERCIAL)</t>
  </si>
  <si>
    <t xml:space="preserve">Total Sales (ADMIN)</t>
  </si>
  <si>
    <t xml:space="preserve">Total Sales</t>
  </si>
  <si>
    <t xml:space="preserve">Bulk Payments</t>
  </si>
  <si>
    <t xml:space="preserve">DOWN PAYMENT (COMMERCIAL)</t>
  </si>
  <si>
    <t xml:space="preserve">DOWN PAYMENT (ADMIN)</t>
  </si>
  <si>
    <t xml:space="preserve">3 MONTHS (COMMERCIAL)</t>
  </si>
  <si>
    <t xml:space="preserve">3 MONTHS (ADMIN)</t>
  </si>
  <si>
    <t xml:space="preserve">DELIVERY PAYMENT (COMMERCIAL)</t>
  </si>
  <si>
    <t xml:space="preserve">DELIVERY PAYMENT (ADMIN)</t>
  </si>
  <si>
    <t xml:space="preserve">Instalments</t>
  </si>
  <si>
    <t xml:space="preserve">MONTH -9 (COMMERCIAL)</t>
  </si>
  <si>
    <t xml:space="preserve">MONTH -9 (ADMIN)</t>
  </si>
  <si>
    <t xml:space="preserve">MONTH -6 (COMMERCIAL)</t>
  </si>
  <si>
    <t xml:space="preserve">MONTH -6 (ADMIN)</t>
  </si>
  <si>
    <t xml:space="preserve">MONTH -3 (COMMERCIAL)</t>
  </si>
  <si>
    <t xml:space="preserve">MONTH -3 (ADMIN)</t>
  </si>
  <si>
    <t xml:space="preserve">MONTH 0 (COMMERCIAL)</t>
  </si>
  <si>
    <t xml:space="preserve">MONTH 0 (ADMIN)</t>
  </si>
  <si>
    <t xml:space="preserve">MONTH 3 (COMMERCIAL)</t>
  </si>
  <si>
    <t xml:space="preserve">MONTH 3 (ADMIN)</t>
  </si>
  <si>
    <t xml:space="preserve">MONTH 6 (COMMERCIAL)</t>
  </si>
  <si>
    <t xml:space="preserve">MONTH 6 (ADMIN)</t>
  </si>
  <si>
    <t xml:space="preserve">MONTH 9 (COMMERCIAL)</t>
  </si>
  <si>
    <t xml:space="preserve">MONTH 9 (ADMIN)</t>
  </si>
  <si>
    <t xml:space="preserve">MONTH 12 (COMMERCIAL)</t>
  </si>
  <si>
    <t xml:space="preserve">MONTH 12 (ADMIN)</t>
  </si>
  <si>
    <t xml:space="preserve">MONTH 15 (COMMERCIAL)</t>
  </si>
  <si>
    <t xml:space="preserve">MONTH 15 (ADMIN)</t>
  </si>
  <si>
    <t xml:space="preserve">MONTH 18 (COMMERCIAL)</t>
  </si>
  <si>
    <t xml:space="preserve">MONTH 18 (ADMIN)</t>
  </si>
  <si>
    <t xml:space="preserve">MONTH 21 (COMMERCIAL)</t>
  </si>
  <si>
    <t xml:space="preserve">MONTH 21 (ADMIN)</t>
  </si>
  <si>
    <t xml:space="preserve">MONTH 24 (COMMERCIAL)</t>
  </si>
  <si>
    <t xml:space="preserve">MONTH 24 (ADMIN)</t>
  </si>
  <si>
    <t xml:space="preserve">MONTH 27 (COMMERCIAL)</t>
  </si>
  <si>
    <t xml:space="preserve">MONTH 27 (ADMIN)</t>
  </si>
  <si>
    <t xml:space="preserve">MONTH 30 (COMMERCIAL)</t>
  </si>
  <si>
    <t xml:space="preserve">MONTH 30 (ADMIN)</t>
  </si>
  <si>
    <t xml:space="preserve">MONTH 33 (COMMERCIAL)</t>
  </si>
  <si>
    <t xml:space="preserve">MONTH 33 (ADMIN)</t>
  </si>
  <si>
    <t xml:space="preserve">MONTH 36 (COMMERCIAL)</t>
  </si>
  <si>
    <t xml:space="preserve">MONTH 36 (ADMIN)</t>
  </si>
  <si>
    <t xml:space="preserve">Total Collections</t>
  </si>
  <si>
    <t xml:space="preserve">Total Sales NPV</t>
  </si>
  <si>
    <t xml:space="preserve">Cost Of Capital</t>
  </si>
  <si>
    <t xml:space="preserve">%</t>
  </si>
  <si>
    <t xml:space="preserve">Total Sales Accumulated NPV</t>
  </si>
  <si>
    <t xml:space="preserve">Total Sales Accumulated</t>
  </si>
  <si>
    <t xml:space="preserve">Bulk Payments Accumulated</t>
  </si>
  <si>
    <t xml:space="preserve">Instalments Accumulated</t>
  </si>
  <si>
    <t xml:space="preserve">NOTES:</t>
  </si>
  <si>
    <t xml:space="preserve">Construction Schedule &amp; Cost Plan</t>
  </si>
  <si>
    <t xml:space="preserve">Enter Duration (months) and Stage Cost (EGP) in the grey cells. All other fields calculate automatically.</t>
  </si>
  <si>
    <t xml:space="preserve">No.</t>
  </si>
  <si>
    <t xml:space="preserve">Category</t>
  </si>
  <si>
    <t xml:space="preserve">Stage</t>
  </si>
  <si>
    <t xml:space="preserve">Duration
(Months)</t>
  </si>
  <si>
    <t xml:space="preserve">Start
Month</t>
  </si>
  <si>
    <t xml:space="preserve">End
Month</t>
  </si>
  <si>
    <t xml:space="preserve">Stage Cost
(EGP)</t>
  </si>
  <si>
    <t xml:space="preserve">Cost / Month
(EGP)</t>
  </si>
  <si>
    <t xml:space="preserve">Excavation</t>
  </si>
  <si>
    <t xml:space="preserve">Replacement</t>
  </si>
  <si>
    <t xml:space="preserve">Replacement (Backfill)</t>
  </si>
  <si>
    <t xml:space="preserve">Concrete Structure</t>
  </si>
  <si>
    <t xml:space="preserve">Basement Floor</t>
  </si>
  <si>
    <t xml:space="preserve">Ground Floor</t>
  </si>
  <si>
    <t xml:space="preserve">1st Floor</t>
  </si>
  <si>
    <t xml:space="preserve">2nd Floor</t>
  </si>
  <si>
    <t xml:space="preserve">3rd Floor</t>
  </si>
  <si>
    <t xml:space="preserve">Building Works</t>
  </si>
  <si>
    <t xml:space="preserve">MEP &amp; Plumbing</t>
  </si>
  <si>
    <t xml:space="preserve">Curtain Walls</t>
  </si>
  <si>
    <t xml:space="preserve">Landscape</t>
  </si>
  <si>
    <t xml:space="preserve">TOTAL</t>
  </si>
  <si>
    <t xml:space="preserve">Project Duration &amp; Cost</t>
  </si>
  <si>
    <t xml:space="preserve">Notes: Stages run sequentially (Start Month of each stage = End Month of the previous stage). MEP &amp; Plumbing duration is split evenly across the 5 floor stages. To run two stages in parallel, overwrite that stage's Start Month formula.</t>
  </si>
  <si>
    <t xml:space="preserve">Cash Out — Construction Spend by Stage</t>
  </si>
  <si>
    <t xml:space="preserve">Stage costs are spread evenly (straight-line) across each stage's duration and pulled from the Stage Schedule &amp; Costs sheet. Row 3 = project month (M1 = sales launch); row 4 = construction month (1 = construction start).</t>
  </si>
  <si>
    <t xml:space="preserve">Project month (M1 = sales launch)</t>
  </si>
  <si>
    <t xml:space="preserve">Total Monthly Spend (EGP)</t>
  </si>
  <si>
    <t xml:space="preserve">Cumulative Spend (EGP)</t>
  </si>
  <si>
    <t xml:space="preserve">L'avenir</t>
  </si>
  <si>
    <t xml:space="preserve">Total Cost</t>
  </si>
  <si>
    <t xml:space="preserve">Contingency (% of Construction Cost) — rate</t>
  </si>
  <si>
    <t xml:space="preserve">Professional Fees (% of Construction Cost) — rate</t>
  </si>
  <si>
    <t xml:space="preserve">G&amp;A / Overhead (EGP, full horizon)</t>
  </si>
  <si>
    <t xml:space="preserve">Cash Out Detail</t>
  </si>
  <si>
    <t xml:space="preserve">Check: total cost (MEGP) vs capex on Net Cash Flow</t>
  </si>
  <si>
    <t xml:space="preserve">Summary basis vs full schedule (MEGP)</t>
  </si>
  <si>
    <t xml:space="preserve">Summary basis</t>
  </si>
  <si>
    <t xml:space="preserve">Full schedule</t>
  </si>
  <si>
    <t xml:space="preserve">Not in Summary</t>
  </si>
  <si>
    <t xml:space="preserve">Construction cost</t>
  </si>
  <si>
    <t xml:space="preserve">Sales commission</t>
  </si>
  <si>
    <t xml:space="preserve">SGA and others</t>
  </si>
  <si>
    <t xml:space="preserve">The Summary sheet totals each cost line over the same column ranges as the original model. Where 'Not in Summary' is non-zero, the Summary line omits part of the schedule; row 37 and the Net Cash Flow sheets always use the full schedule.</t>
  </si>
  <si>
    <t xml:space="preserve">NOTES</t>
  </si>
  <si>
    <t xml:space="preserve">LANDLORD %</t>
  </si>
  <si>
    <t xml:space="preserve">MIN. GUARANTEED</t>
  </si>
  <si>
    <t xml:space="preserve">850 M</t>
  </si>
  <si>
    <t xml:space="preserve">PAYMENT PERIOD</t>
  </si>
  <si>
    <t xml:space="preserve">YEAR 1 (M)</t>
  </si>
  <si>
    <t xml:space="preserve">OR 35% OF COLLECTIONS WHICHEVER HIGHER</t>
  </si>
  <si>
    <t xml:space="preserve">YEAR 2 (M)</t>
  </si>
  <si>
    <t xml:space="preserve">YEAR 3 (M)</t>
  </si>
  <si>
    <t xml:space="preserve">YEAR 4 (M)</t>
  </si>
  <si>
    <t xml:space="preserve">YEAR 5 (M)</t>
  </si>
  <si>
    <t xml:space="preserve">YEAR 6 (M)</t>
  </si>
  <si>
    <t xml:space="preserve">YEAR 7 (M)</t>
  </si>
  <si>
    <t xml:space="preserve">EXCESS AMOUNT (YRS)</t>
  </si>
  <si>
    <t xml:space="preserve">PROJECT DELIVERY</t>
  </si>
  <si>
    <t xml:space="preserve">54 MONTHS</t>
  </si>
  <si>
    <t xml:space="preserve">DEVELOPER %</t>
  </si>
  <si>
    <t xml:space="preserve">DESIGN</t>
  </si>
  <si>
    <t xml:space="preserve">☑</t>
  </si>
  <si>
    <t xml:space="preserve">PERMITS</t>
  </si>
  <si>
    <t xml:space="preserve">CONSTRUCTION</t>
  </si>
  <si>
    <t xml:space="preserve">FINISHING</t>
  </si>
  <si>
    <t xml:space="preserve">CORE &amp; SHELL</t>
  </si>
  <si>
    <t xml:space="preserve">MARKETING</t>
  </si>
  <si>
    <t xml:space="preserve">SALES</t>
  </si>
  <si>
    <t xml:space="preserve">COLLECTION</t>
  </si>
  <si>
    <t xml:space="preserve">PROJECT NAME</t>
  </si>
  <si>
    <t xml:space="preserve">UNDER: JALOUR</t>
  </si>
  <si>
    <t xml:space="preserve">OPERATION, MANAGEMENT, MAINT.</t>
  </si>
  <si>
    <t xml:space="preserve">OR FACILITY MANAGEMENT COMPANY ASSIGNED BY JALOUR</t>
  </si>
  <si>
    <t xml:space="preserve">NPV Diff with vs without downpayments</t>
  </si>
  <si>
    <t xml:space="preserve">NPV with DP</t>
  </si>
  <si>
    <t xml:space="preserve">Landlord Share of Collections</t>
  </si>
  <si>
    <t xml:space="preserve">Minimum Guaranteed Amount</t>
  </si>
  <si>
    <t xml:space="preserve">Payment Period</t>
  </si>
  <si>
    <t xml:space="preserve">Downpayment %</t>
  </si>
  <si>
    <t xml:space="preserve">Downpayment Amount (m)</t>
  </si>
  <si>
    <t xml:space="preserve">Year 1 (m)</t>
  </si>
  <si>
    <t xml:space="preserve">Year 2 (m)</t>
  </si>
  <si>
    <t xml:space="preserve">Year 3 (m)</t>
  </si>
  <si>
    <t xml:space="preserve">Year 4 (m)</t>
  </si>
  <si>
    <t xml:space="preserve">Year 5 (m)</t>
  </si>
  <si>
    <t xml:space="preserve">Year 6 (m)</t>
  </si>
  <si>
    <t xml:space="preserve">Year 7 (m)</t>
  </si>
  <si>
    <t xml:space="preserve">Settlement of excess over guarantee</t>
  </si>
  <si>
    <t xml:space="preserve">Developer Share of Collections</t>
  </si>
  <si>
    <t xml:space="preserve">Design</t>
  </si>
  <si>
    <t xml:space="preserve">Jalour</t>
  </si>
  <si>
    <t xml:space="preserve">Permits &amp; License</t>
  </si>
  <si>
    <t xml:space="preserve">Construction</t>
  </si>
  <si>
    <t xml:space="preserve">Finishing Standard</t>
  </si>
  <si>
    <t xml:space="preserve">Marketing, Sales and Collections</t>
  </si>
  <si>
    <t xml:space="preserve">Project Branding</t>
  </si>
  <si>
    <t xml:space="preserve">Operation, Management&amp; Maintenance</t>
  </si>
  <si>
    <t xml:space="preserve">Jalour /FM co.</t>
  </si>
  <si>
    <t xml:space="preserve">Project Delivery</t>
  </si>
  <si>
    <t xml:space="preserve">Sales - 20% RETAINED</t>
  </si>
  <si>
    <t xml:space="preserve">Project</t>
  </si>
  <si>
    <t xml:space="preserve">M 114</t>
  </si>
  <si>
    <t xml:space="preserve">M 117</t>
  </si>
  <si>
    <t xml:space="preserve">Accumulated  MEGP</t>
  </si>
  <si>
    <t xml:space="preserve">100% Sales</t>
  </si>
  <si>
    <t xml:space="preserve">ALAHLY - SABBOUR ACCUM</t>
  </si>
  <si>
    <t xml:space="preserve">Cash Available for Operation after - 20% RETAINED UNITS</t>
  </si>
  <si>
    <t xml:space="preserve">Cash Available for Operation -MEGP</t>
  </si>
  <si>
    <t xml:space="preserve">NPV Cash Available for Operation -MEGP</t>
  </si>
  <si>
    <t xml:space="preserve">NPV CASH OUT FLOW CAPEX -MEGP</t>
  </si>
  <si>
    <t xml:space="preserve">NET CASH FLOW -MEGP</t>
  </si>
  <si>
    <t xml:space="preserve">NPV NET CASH FLOW -MEGP</t>
  </si>
  <si>
    <t xml:space="preserve">NET CASH FLOW -MEGP-ACCUMULATED</t>
  </si>
  <si>
    <t xml:space="preserve">NPV NET CASH FLOW -MEGP-ACCUMULATED</t>
  </si>
  <si>
    <t xml:space="preserve">Accumulated Cash Available for Operation -MEGP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</si>
</sst>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* #,##0.00_);_(* \(#,##0.00\);_(* \-??_);_(@_)"/>
    <numFmt numFmtId="166" formatCode="0%"/>
    <numFmt numFmtId="167" formatCode="#,##0_);[RED]\(#,##0\)"/>
    <numFmt numFmtId="168" formatCode="&quot;M &quot;0"/>
    <numFmt numFmtId="169" formatCode="0"/>
    <numFmt numFmtId="170" formatCode="#,##0"/>
    <numFmt numFmtId="171" formatCode="0.0%"/>
    <numFmt numFmtId="172" formatCode="#,##0.00"/>
    <numFmt numFmtId="173" formatCode="0.0"/>
    <numFmt numFmtId="174" formatCode="_(* #,##0_);_(* \(#,##0\);_(* \-??_);_(@_)"/>
    <numFmt numFmtId="175" formatCode="\M0"/>
    <numFmt numFmtId="176" formatCode="#,##0;\(#,##0\);\-"/>
    <numFmt numFmtId="177" formatCode="General"/>
    <numFmt numFmtId="178" formatCode="#,##0.00;\(#,##0.00\);\-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1"/>
      <color theme="1"/>
      <name val="Calibri"/>
      <family val="0"/>
      <charset val="1"/>
    </font>
    <font>
      <b val="true"/>
      <sz val="12"/>
      <color rgb="FFC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002060"/>
      <name val="Calibri"/>
      <family val="2"/>
      <charset val="1"/>
    </font>
    <font>
      <b val="true"/>
      <sz val="10"/>
      <color rgb="FFFF0000"/>
      <name val="Segoe UI"/>
      <family val="2"/>
      <charset val="1"/>
    </font>
    <font>
      <b val="true"/>
      <sz val="16"/>
      <color rgb="FF00206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22"/>
      <color rgb="FFFF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206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6"/>
      <color rgb="FF1F3864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002060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rgb="FF000000"/>
      <name val="Lucida Sans Unicode"/>
      <family val="2"/>
      <charset val="1"/>
    </font>
    <font>
      <sz val="10"/>
      <color theme="1"/>
      <name val="Lucida Sans Unicode"/>
      <family val="2"/>
      <charset val="1"/>
    </font>
    <font>
      <b val="true"/>
      <sz val="9"/>
      <color theme="0"/>
      <name val="Segoe UI"/>
      <family val="2"/>
      <charset val="1"/>
    </font>
    <font>
      <b val="true"/>
      <sz val="9"/>
      <color rgb="FF002060"/>
      <name val="Segoe UI"/>
      <family val="2"/>
      <charset val="1"/>
    </font>
    <font>
      <sz val="9"/>
      <color theme="1"/>
      <name val="Segoe UI"/>
      <family val="2"/>
      <charset val="1"/>
    </font>
    <font>
      <b val="true"/>
      <sz val="9"/>
      <color rgb="FFFF0000"/>
      <name val="Segoe UI"/>
      <family val="2"/>
      <charset val="1"/>
    </font>
    <font>
      <sz val="9"/>
      <color theme="9" tint="0.3999"/>
      <name val="Segoe UI"/>
      <family val="2"/>
      <charset val="1"/>
    </font>
    <font>
      <b val="true"/>
      <sz val="9"/>
      <color theme="9" tint="0.3999"/>
      <name val="Segoe UI"/>
      <family val="2"/>
      <charset val="1"/>
    </font>
    <font>
      <b val="true"/>
      <sz val="9"/>
      <color theme="1"/>
      <name val="Segoe U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rgb="FF1F3864"/>
      </patternFill>
    </fill>
    <fill>
      <patternFill patternType="solid">
        <fgColor theme="0" tint="-0.25"/>
        <bgColor rgb="FFBEBEBE"/>
      </patternFill>
    </fill>
    <fill>
      <patternFill patternType="solid">
        <fgColor theme="4" tint="0.7999"/>
        <bgColor rgb="FFF2F2F2"/>
      </patternFill>
    </fill>
    <fill>
      <patternFill patternType="solid">
        <fgColor theme="0" tint="-0.15"/>
        <bgColor rgb="FFDEEBF7"/>
      </patternFill>
    </fill>
    <fill>
      <patternFill patternType="solid">
        <fgColor rgb="FF1F3864"/>
        <bgColor rgb="FF333399"/>
      </patternFill>
    </fill>
    <fill>
      <patternFill patternType="solid">
        <fgColor rgb="FFFCE5B4"/>
        <bgColor rgb="FFFBE5D6"/>
      </patternFill>
    </fill>
    <fill>
      <patternFill patternType="solid">
        <fgColor rgb="FFF2F2F2"/>
        <bgColor rgb="FFDEEBF7"/>
      </patternFill>
    </fill>
    <fill>
      <patternFill patternType="solid">
        <fgColor theme="9" tint="0.5999"/>
        <bgColor rgb="FFD9D9D9"/>
      </patternFill>
    </fill>
    <fill>
      <patternFill patternType="solid">
        <fgColor theme="5" tint="0.7999"/>
        <bgColor rgb="FFFCE5B4"/>
      </patternFill>
    </fill>
    <fill>
      <patternFill patternType="solid">
        <fgColor theme="9" tint="0.3999"/>
        <bgColor rgb="FFC5E0B4"/>
      </patternFill>
    </fill>
    <fill>
      <patternFill patternType="solid">
        <fgColor rgb="FFFF0000"/>
        <bgColor rgb="FFC00000"/>
      </patternFill>
    </fill>
    <fill>
      <patternFill patternType="solid">
        <fgColor rgb="FF00B0F0"/>
        <bgColor rgb="FF33CC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3" fillId="3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6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8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6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8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8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8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7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5" fillId="0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5" fillId="9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5" fillId="9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6" fillId="8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3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7" fillId="3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1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9" fillId="10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8" fillId="1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7" fillId="3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11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9" fillId="11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11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9" fillId="5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8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9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0" borderId="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2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Normal 2" xfId="23"/>
    <cellStyle name="Normal 3" xfId="24"/>
    <cellStyle name="Normal 4" xfId="25"/>
    <cellStyle name="Normal 47" xfId="26"/>
    <cellStyle name="Normal 5" xfId="27"/>
    <cellStyle name="Percent 2" xfId="28"/>
    <cellStyle name="Percent 3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BE5D6"/>
      <rgbColor rgb="FFBEBEBE"/>
      <rgbColor rgb="FFFF99CC"/>
      <rgbColor rgb="FFCC99FF"/>
      <rgbColor rgb="FFFCE5B4"/>
      <rgbColor rgb="FF3366FF"/>
      <rgbColor rgb="FF33CCCC"/>
      <rgbColor rgb="FF99CC00"/>
      <rgbColor rgb="FFFFCC00"/>
      <rgbColor rgb="FFFF9900"/>
      <rgbColor rgb="FFFF6600"/>
      <rgbColor rgb="FF595959"/>
      <rgbColor rgb="FFA9D18E"/>
      <rgbColor rgb="FF002060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.88"/>
    <col collapsed="false" customWidth="true" hidden="false" outlineLevel="0" max="2" min="2" style="0" width="6.22"/>
    <col collapsed="false" customWidth="true" hidden="false" outlineLevel="0" max="3" min="3" style="0" width="13.77"/>
    <col collapsed="false" customWidth="true" hidden="false" outlineLevel="0" max="4" min="4" style="0" width="22.77"/>
    <col collapsed="false" customWidth="true" hidden="false" outlineLevel="0" max="6" min="5" style="0" width="16.11"/>
  </cols>
  <sheetData>
    <row r="1" customFormat="false" ht="15" hidden="false" customHeight="true" outlineLevel="0" collapsed="false">
      <c r="A1" s="1" t="s">
        <v>0</v>
      </c>
      <c r="B1" s="2"/>
    </row>
    <row r="2" customFormat="false" ht="15" hidden="false" customHeight="true" outlineLevel="0" collapsed="false">
      <c r="A2" s="3" t="s">
        <v>1</v>
      </c>
      <c r="B2" s="2" t="s">
        <v>2</v>
      </c>
      <c r="C2" s="4" t="n">
        <v>14910</v>
      </c>
      <c r="D2" s="5" t="s">
        <v>3</v>
      </c>
      <c r="E2" s="6" t="n">
        <f aca="false">Assumptions!$C$12</f>
        <v>7</v>
      </c>
      <c r="F2" s="5" t="s">
        <v>4</v>
      </c>
    </row>
    <row r="3" customFormat="false" ht="15" hidden="false" customHeight="true" outlineLevel="0" collapsed="false">
      <c r="A3" s="3" t="s">
        <v>5</v>
      </c>
      <c r="B3" s="2"/>
      <c r="C3" s="7" t="n">
        <f aca="false">C4/C2</f>
        <v>0.3</v>
      </c>
      <c r="D3" s="5" t="s">
        <v>6</v>
      </c>
      <c r="E3" s="8" t="n">
        <f aca="false">Assumptions!$C$13</f>
        <v>36</v>
      </c>
      <c r="F3" s="5" t="s">
        <v>4</v>
      </c>
    </row>
    <row r="4" customFormat="false" ht="15" hidden="false" customHeight="true" outlineLevel="0" collapsed="false">
      <c r="A4" s="3" t="s">
        <v>7</v>
      </c>
      <c r="B4" s="2" t="s">
        <v>2</v>
      </c>
      <c r="C4" s="4" t="n">
        <v>4473</v>
      </c>
      <c r="D4" s="5" t="s">
        <v>8</v>
      </c>
      <c r="E4" s="2" t="n">
        <f aca="false">E3+E2-1</f>
        <v>42</v>
      </c>
      <c r="F4" s="5" t="s">
        <v>4</v>
      </c>
    </row>
    <row r="5" customFormat="false" ht="15" hidden="false" customHeight="false" outlineLevel="0" collapsed="false">
      <c r="A5" s="0" t="s">
        <v>9</v>
      </c>
      <c r="B5" s="2"/>
      <c r="C5" s="9" t="s">
        <v>10</v>
      </c>
    </row>
    <row r="6" customFormat="false" ht="15" hidden="false" customHeight="false" outlineLevel="0" collapsed="false">
      <c r="A6" s="0" t="s">
        <v>11</v>
      </c>
      <c r="B6" s="2" t="s">
        <v>2</v>
      </c>
      <c r="C6" s="9" t="n">
        <f aca="false">C4</f>
        <v>4473</v>
      </c>
      <c r="D6" s="5" t="s">
        <v>12</v>
      </c>
      <c r="E6" s="8" t="n">
        <f aca="false">Assumptions!$C$10</f>
        <v>1</v>
      </c>
      <c r="F6" s="5" t="s">
        <v>4</v>
      </c>
    </row>
    <row r="7" customFormat="false" ht="15" hidden="false" customHeight="false" outlineLevel="0" collapsed="false">
      <c r="A7" s="0" t="s">
        <v>13</v>
      </c>
      <c r="B7" s="2" t="s">
        <v>2</v>
      </c>
      <c r="C7" s="9" t="n">
        <v>8946</v>
      </c>
      <c r="D7" s="5" t="s">
        <v>14</v>
      </c>
      <c r="E7" s="10" t="n">
        <f aca="false">MIN(C49:AT49)</f>
        <v>-102.0180625</v>
      </c>
      <c r="F7" s="5" t="s">
        <v>15</v>
      </c>
    </row>
    <row r="8" customFormat="false" ht="15" hidden="false" customHeight="false" outlineLevel="0" collapsed="false">
      <c r="A8" s="0" t="s">
        <v>16</v>
      </c>
      <c r="B8" s="2" t="s">
        <v>2</v>
      </c>
      <c r="C8" s="9" t="n">
        <f aca="false">C7+C6</f>
        <v>13419</v>
      </c>
    </row>
    <row r="9" customFormat="false" ht="15" hidden="false" customHeight="true" outlineLevel="0" collapsed="false">
      <c r="A9" s="0" t="s">
        <v>17</v>
      </c>
      <c r="C9" s="7" t="n">
        <v>0.2</v>
      </c>
    </row>
    <row r="10" customFormat="false" ht="15" hidden="false" customHeight="false" outlineLevel="0" collapsed="false">
      <c r="A10" s="11" t="s">
        <v>18</v>
      </c>
      <c r="B10" s="11"/>
      <c r="C10" s="12" t="n">
        <f aca="false">Assumptions!$C$27</f>
        <v>200</v>
      </c>
    </row>
    <row r="11" customFormat="false" ht="15" hidden="false" customHeight="false" outlineLevel="0" collapsed="false">
      <c r="C11" s="13" t="s">
        <v>15</v>
      </c>
      <c r="D11" s="13" t="s">
        <v>19</v>
      </c>
      <c r="E11" s="13" t="s">
        <v>20</v>
      </c>
      <c r="F11" s="13"/>
    </row>
    <row r="12" customFormat="false" ht="15" hidden="false" customHeight="false" outlineLevel="0" collapsed="false">
      <c r="A12" s="14" t="s">
        <v>21</v>
      </c>
      <c r="B12" s="14"/>
      <c r="C12" s="15" t="n">
        <f aca="false">SUM(C13:C14)</f>
        <v>1503.976359375</v>
      </c>
      <c r="D12" s="15" t="n">
        <f aca="false">'Net Cash Flow -With DP'!C16</f>
        <v>994.806304020405</v>
      </c>
      <c r="E12" s="15" t="n">
        <f aca="false">'Net Cash Flow -Without DP'!C16</f>
        <v>1018.76992066904</v>
      </c>
      <c r="F12" s="15"/>
    </row>
    <row r="13" customFormat="false" ht="15" hidden="false" customHeight="false" outlineLevel="0" collapsed="false">
      <c r="A13" s="16" t="s">
        <v>22</v>
      </c>
      <c r="C13" s="9" t="n">
        <f aca="false">C32-C36</f>
        <v>605.742046875</v>
      </c>
      <c r="D13" s="9"/>
      <c r="E13" s="9"/>
      <c r="F13" s="9"/>
    </row>
    <row r="14" customFormat="false" ht="15" hidden="false" customHeight="false" outlineLevel="0" collapsed="false">
      <c r="A14" s="16" t="s">
        <v>23</v>
      </c>
      <c r="C14" s="9" t="n">
        <f aca="false">C33-C37</f>
        <v>898.2343125</v>
      </c>
      <c r="D14" s="9"/>
      <c r="E14" s="9"/>
      <c r="F14" s="9"/>
    </row>
    <row r="15" customFormat="false" ht="15" hidden="false" customHeight="false" outlineLevel="0" collapsed="false">
      <c r="A15" s="16"/>
      <c r="D15" s="9"/>
      <c r="E15" s="9"/>
      <c r="F15" s="9"/>
    </row>
    <row r="16" customFormat="false" ht="15" hidden="false" customHeight="false" outlineLevel="0" collapsed="false">
      <c r="C16" s="13" t="s">
        <v>15</v>
      </c>
      <c r="D16" s="13" t="s">
        <v>19</v>
      </c>
      <c r="E16" s="13" t="s">
        <v>20</v>
      </c>
      <c r="F16" s="13"/>
    </row>
    <row r="17" customFormat="false" ht="15" hidden="false" customHeight="false" outlineLevel="0" collapsed="false">
      <c r="A17" s="14" t="s">
        <v>24</v>
      </c>
      <c r="B17" s="14"/>
      <c r="C17" s="15" t="n">
        <f aca="false">SUM(C18:C20)</f>
        <v>-862.28343</v>
      </c>
      <c r="D17" s="15" t="n">
        <f aca="false">-'Net Cash Flow -With DP'!C24</f>
        <v>-644.219400976061</v>
      </c>
      <c r="E17" s="15" t="n">
        <f aca="false">-'Net Cash Flow -Without DP'!C24</f>
        <v>-644.219400976061</v>
      </c>
      <c r="F17" s="15"/>
    </row>
    <row r="18" customFormat="false" ht="15" hidden="false" customHeight="false" outlineLevel="0" collapsed="false">
      <c r="A18" s="16" t="s">
        <v>25</v>
      </c>
      <c r="C18" s="9" t="n">
        <f aca="false">-'Cash Out Detail'!C28/1000000</f>
        <v>-650.76</v>
      </c>
      <c r="D18" s="9"/>
      <c r="E18" s="9"/>
      <c r="F18" s="9"/>
    </row>
    <row r="19" customFormat="false" ht="15" hidden="false" customHeight="false" outlineLevel="0" collapsed="false">
      <c r="A19" s="16" t="s">
        <v>26</v>
      </c>
      <c r="B19" s="17" t="n">
        <v>0.04</v>
      </c>
      <c r="C19" s="9" t="n">
        <f aca="false">-'Cash Out Detail'!C31/1000000</f>
        <v>-106.94943</v>
      </c>
      <c r="D19" s="9"/>
      <c r="E19" s="9"/>
      <c r="F19" s="9"/>
    </row>
    <row r="20" customFormat="false" ht="15" hidden="false" customHeight="false" outlineLevel="0" collapsed="false">
      <c r="A20" s="16" t="s">
        <v>27</v>
      </c>
      <c r="B20" s="17" t="n">
        <v>0.15</v>
      </c>
      <c r="C20" s="9" t="n">
        <f aca="false">-'Cash Out Detail'!C34/1000000</f>
        <v>-104.574</v>
      </c>
      <c r="D20" s="9"/>
      <c r="E20" s="9"/>
      <c r="F20" s="9"/>
    </row>
    <row r="21" customFormat="false" ht="15" hidden="false" customHeight="false" outlineLevel="0" collapsed="false">
      <c r="D21" s="9"/>
      <c r="E21" s="9"/>
      <c r="F21" s="9"/>
    </row>
    <row r="22" customFormat="false" ht="15" hidden="false" customHeight="false" outlineLevel="0" collapsed="false">
      <c r="C22" s="13" t="s">
        <v>15</v>
      </c>
      <c r="D22" s="13" t="s">
        <v>19</v>
      </c>
      <c r="E22" s="13" t="s">
        <v>20</v>
      </c>
      <c r="F22" s="13" t="s">
        <v>28</v>
      </c>
    </row>
    <row r="23" customFormat="false" ht="15" hidden="false" customHeight="false" outlineLevel="0" collapsed="false">
      <c r="A23" s="11" t="s">
        <v>29</v>
      </c>
      <c r="B23" s="11"/>
      <c r="C23" s="18" t="n">
        <f aca="false">C12+C17</f>
        <v>641.692929375</v>
      </c>
      <c r="D23" s="18" t="n">
        <f aca="false">'Net Cash Flow -With DP'!C40</f>
        <v>350.586903044344</v>
      </c>
      <c r="E23" s="18" t="n">
        <f aca="false">'Net Cash Flow -Without DP'!C40</f>
        <v>374.550519692982</v>
      </c>
      <c r="F23" s="19" t="n">
        <f aca="false">D23-E23</f>
        <v>-23.963616648638</v>
      </c>
    </row>
    <row r="25" customFormat="false" ht="15" hidden="false" customHeight="false" outlineLevel="0" collapsed="false">
      <c r="A25" s="20" t="s">
        <v>30</v>
      </c>
    </row>
    <row r="26" customFormat="false" ht="15" hidden="false" customHeight="false" outlineLevel="0" collapsed="false">
      <c r="A26" s="20" t="s">
        <v>31</v>
      </c>
    </row>
    <row r="27" customFormat="false" ht="15" hidden="false" customHeight="false" outlineLevel="0" collapsed="false">
      <c r="A27" s="21" t="s">
        <v>32</v>
      </c>
      <c r="B27" s="21"/>
      <c r="C27" s="22" t="n">
        <f aca="false">SUM(C28:C29)</f>
        <v>3342.1696875</v>
      </c>
    </row>
    <row r="28" customFormat="false" ht="15" hidden="false" customHeight="false" outlineLevel="0" collapsed="false">
      <c r="A28" s="16" t="s">
        <v>22</v>
      </c>
      <c r="B28" s="16"/>
      <c r="C28" s="9" t="n">
        <f aca="false">C32*100/80</f>
        <v>1346.0934375</v>
      </c>
    </row>
    <row r="29" customFormat="false" ht="15" hidden="false" customHeight="false" outlineLevel="0" collapsed="false">
      <c r="A29" s="16" t="s">
        <v>23</v>
      </c>
      <c r="B29" s="16"/>
      <c r="C29" s="9" t="n">
        <f aca="false">C33*100/80</f>
        <v>1996.07625</v>
      </c>
    </row>
    <row r="31" customFormat="false" ht="15" hidden="false" customHeight="false" outlineLevel="0" collapsed="false">
      <c r="A31" s="21" t="s">
        <v>33</v>
      </c>
      <c r="B31" s="21"/>
      <c r="C31" s="22" t="n">
        <f aca="false">SUM(C32:C33)</f>
        <v>2673.73575</v>
      </c>
    </row>
    <row r="32" customFormat="false" ht="15" hidden="false" customHeight="false" outlineLevel="0" collapsed="false">
      <c r="A32" s="16" t="s">
        <v>22</v>
      </c>
      <c r="B32" s="16"/>
      <c r="C32" s="9" t="n">
        <f aca="false">'L''avenir'!D24/1000</f>
        <v>1076.87475</v>
      </c>
    </row>
    <row r="33" customFormat="false" ht="15" hidden="false" customHeight="false" outlineLevel="0" collapsed="false">
      <c r="A33" s="16" t="s">
        <v>23</v>
      </c>
      <c r="B33" s="16"/>
      <c r="C33" s="9" t="n">
        <f aca="false">'L''avenir'!D25/1000</f>
        <v>1596.861</v>
      </c>
    </row>
    <row r="35" customFormat="false" ht="15" hidden="false" customHeight="false" outlineLevel="0" collapsed="false">
      <c r="A35" s="21" t="s">
        <v>34</v>
      </c>
      <c r="B35" s="23" t="n">
        <v>0.35</v>
      </c>
      <c r="C35" s="22" t="n">
        <f aca="false">SUM(C36:C37)</f>
        <v>1169.759390625</v>
      </c>
    </row>
    <row r="36" customFormat="false" ht="15" hidden="false" customHeight="false" outlineLevel="0" collapsed="false">
      <c r="A36" s="16" t="s">
        <v>22</v>
      </c>
      <c r="B36" s="16"/>
      <c r="C36" s="9" t="n">
        <f aca="false">C28*B35</f>
        <v>471.132703125</v>
      </c>
    </row>
    <row r="37" customFormat="false" ht="15" hidden="false" customHeight="false" outlineLevel="0" collapsed="false">
      <c r="A37" s="16" t="s">
        <v>23</v>
      </c>
      <c r="B37" s="16"/>
      <c r="C37" s="9" t="n">
        <f aca="false">C29*B35</f>
        <v>698.6266875</v>
      </c>
    </row>
    <row r="44" customFormat="false" ht="15" hidden="false" customHeight="false" outlineLevel="0" collapsed="false">
      <c r="A44" s="14"/>
      <c r="B44" s="14"/>
      <c r="C44" s="15" t="str">
        <f aca="false">'Net Cash Flow -With DP'!D3</f>
        <v>M -9</v>
      </c>
      <c r="D44" s="15" t="str">
        <f aca="false">'Net Cash Flow -With DP'!E3</f>
        <v>M -6</v>
      </c>
      <c r="E44" s="15" t="str">
        <f aca="false">'Net Cash Flow -With DP'!F3</f>
        <v>M -3</v>
      </c>
      <c r="F44" s="15" t="str">
        <f aca="false">'Net Cash Flow -With DP'!G3</f>
        <v>M 0</v>
      </c>
      <c r="G44" s="15" t="str">
        <f aca="false">'Net Cash Flow -With DP'!H3</f>
        <v>M 3</v>
      </c>
      <c r="H44" s="15" t="str">
        <f aca="false">'Net Cash Flow -With DP'!I3</f>
        <v>M 6</v>
      </c>
      <c r="I44" s="15" t="str">
        <f aca="false">'Net Cash Flow -With DP'!J3</f>
        <v>M 9</v>
      </c>
      <c r="J44" s="15" t="str">
        <f aca="false">'Net Cash Flow -With DP'!K3</f>
        <v>M 12</v>
      </c>
      <c r="K44" s="15" t="str">
        <f aca="false">'Net Cash Flow -With DP'!L3</f>
        <v>M 15</v>
      </c>
      <c r="L44" s="15" t="str">
        <f aca="false">'Net Cash Flow -With DP'!M3</f>
        <v>M 18</v>
      </c>
      <c r="M44" s="15" t="str">
        <f aca="false">'Net Cash Flow -With DP'!N3</f>
        <v>M 21</v>
      </c>
      <c r="N44" s="15" t="str">
        <f aca="false">'Net Cash Flow -With DP'!O3</f>
        <v>M 24</v>
      </c>
      <c r="O44" s="15" t="str">
        <f aca="false">'Net Cash Flow -With DP'!P3</f>
        <v>M 27</v>
      </c>
      <c r="P44" s="15" t="str">
        <f aca="false">'Net Cash Flow -With DP'!Q3</f>
        <v>M 30</v>
      </c>
      <c r="Q44" s="15" t="str">
        <f aca="false">'Net Cash Flow -With DP'!R3</f>
        <v>M 33</v>
      </c>
      <c r="R44" s="15" t="str">
        <f aca="false">'Net Cash Flow -With DP'!S3</f>
        <v>M 36</v>
      </c>
      <c r="S44" s="15" t="str">
        <f aca="false">'Net Cash Flow -With DP'!T3</f>
        <v>M 39</v>
      </c>
      <c r="T44" s="15" t="str">
        <f aca="false">'Net Cash Flow -With DP'!U3</f>
        <v>M 42</v>
      </c>
      <c r="U44" s="15" t="str">
        <f aca="false">'Net Cash Flow -With DP'!V3</f>
        <v>M 45</v>
      </c>
      <c r="V44" s="15" t="str">
        <f aca="false">'Net Cash Flow -With DP'!W3</f>
        <v>M 48</v>
      </c>
      <c r="W44" s="15" t="str">
        <f aca="false">'Net Cash Flow -With DP'!X3</f>
        <v>M 51</v>
      </c>
      <c r="X44" s="15" t="str">
        <f aca="false">'Net Cash Flow -With DP'!Y3</f>
        <v>M 54</v>
      </c>
      <c r="Y44" s="15" t="str">
        <f aca="false">'Net Cash Flow -With DP'!Z3</f>
        <v>M 57</v>
      </c>
      <c r="Z44" s="15" t="str">
        <f aca="false">'Net Cash Flow -With DP'!AA3</f>
        <v>M 60</v>
      </c>
      <c r="AA44" s="15" t="str">
        <f aca="false">'Net Cash Flow -With DP'!AB3</f>
        <v>M 63</v>
      </c>
      <c r="AB44" s="15" t="str">
        <f aca="false">'Net Cash Flow -With DP'!AC3</f>
        <v>M 66</v>
      </c>
      <c r="AC44" s="15" t="str">
        <f aca="false">'Net Cash Flow -With DP'!AD3</f>
        <v>M 69</v>
      </c>
      <c r="AD44" s="15" t="str">
        <f aca="false">'Net Cash Flow -With DP'!AE3</f>
        <v>M 72</v>
      </c>
      <c r="AE44" s="15" t="str">
        <f aca="false">'Net Cash Flow -With DP'!AF3</f>
        <v>M 75</v>
      </c>
      <c r="AF44" s="15" t="str">
        <f aca="false">'Net Cash Flow -With DP'!AG3</f>
        <v>M 78</v>
      </c>
      <c r="AG44" s="15" t="str">
        <f aca="false">'Net Cash Flow -With DP'!AH3</f>
        <v>M 81</v>
      </c>
      <c r="AH44" s="15" t="str">
        <f aca="false">'Net Cash Flow -With DP'!AI3</f>
        <v>M 84</v>
      </c>
      <c r="AI44" s="15" t="str">
        <f aca="false">'Net Cash Flow -With DP'!AJ3</f>
        <v>M 87</v>
      </c>
      <c r="AJ44" s="15" t="str">
        <f aca="false">'Net Cash Flow -With DP'!AK3</f>
        <v>M 90</v>
      </c>
      <c r="AK44" s="15" t="str">
        <f aca="false">'Net Cash Flow -With DP'!AL3</f>
        <v>M 93</v>
      </c>
      <c r="AL44" s="15" t="str">
        <f aca="false">'Net Cash Flow -With DP'!AM3</f>
        <v>M 96</v>
      </c>
      <c r="AM44" s="15" t="str">
        <f aca="false">'Net Cash Flow -With DP'!AN3</f>
        <v>M 99</v>
      </c>
      <c r="AN44" s="15" t="str">
        <f aca="false">'Net Cash Flow -With DP'!AO3</f>
        <v>M 102</v>
      </c>
      <c r="AO44" s="15" t="str">
        <f aca="false">'Net Cash Flow -With DP'!AP3</f>
        <v>M 105</v>
      </c>
      <c r="AP44" s="15" t="str">
        <f aca="false">'Net Cash Flow -With DP'!AQ3</f>
        <v>M 108</v>
      </c>
      <c r="AQ44" s="15" t="str">
        <f aca="false">'Net Cash Flow -With DP'!AR3</f>
        <v>M 111</v>
      </c>
      <c r="AR44" s="15" t="str">
        <f aca="false">'Net Cash Flow -With DP'!AS3</f>
        <v>M 114</v>
      </c>
      <c r="AS44" s="15" t="str">
        <f aca="false">'Net Cash Flow -With DP'!AT3</f>
        <v>M 117</v>
      </c>
      <c r="AT44" s="15" t="n">
        <f aca="false">'Net Cash Flow -With DP'!AU3</f>
        <v>0</v>
      </c>
    </row>
    <row r="45" customFormat="false" ht="15" hidden="false" customHeight="true" outlineLevel="0" collapsed="false">
      <c r="A45" s="24" t="s">
        <v>35</v>
      </c>
      <c r="C45" s="9" t="n">
        <f aca="false">'Net Cash Flow -With DP'!D4</f>
        <v>0</v>
      </c>
      <c r="D45" s="9" t="n">
        <f aca="false">'Net Cash Flow -With DP'!E4</f>
        <v>0</v>
      </c>
      <c r="E45" s="9" t="n">
        <f aca="false">'Net Cash Flow -With DP'!F4</f>
        <v>0</v>
      </c>
      <c r="F45" s="9" t="n">
        <f aca="false">'Net Cash Flow -With DP'!G4</f>
        <v>0</v>
      </c>
      <c r="G45" s="9" t="n">
        <f aca="false">'Net Cash Flow -With DP'!H4</f>
        <v>18.11565</v>
      </c>
      <c r="H45" s="9" t="n">
        <f aca="false">'Net Cash Flow -With DP'!I4</f>
        <v>36.2313</v>
      </c>
      <c r="I45" s="9" t="n">
        <f aca="false">'Net Cash Flow -With DP'!J4</f>
        <v>58.260825</v>
      </c>
      <c r="J45" s="9" t="n">
        <f aca="false">'Net Cash Flow -With DP'!K4</f>
        <v>69.01839</v>
      </c>
      <c r="K45" s="9" t="n">
        <f aca="false">'Net Cash Flow -With DP'!L4</f>
        <v>67.087545</v>
      </c>
      <c r="L45" s="9" t="n">
        <f aca="false">'Net Cash Flow -With DP'!M4</f>
        <v>72.9732675</v>
      </c>
      <c r="M45" s="9" t="n">
        <f aca="false">'Net Cash Flow -With DP'!N4</f>
        <v>88.871055</v>
      </c>
      <c r="N45" s="9" t="n">
        <f aca="false">'Net Cash Flow -With DP'!O4</f>
        <v>105.60753</v>
      </c>
      <c r="O45" s="9" t="n">
        <f aca="false">'Net Cash Flow -With DP'!P4</f>
        <v>115.25243625</v>
      </c>
      <c r="P45" s="9" t="n">
        <f aca="false">'Net Cash Flow -With DP'!Q4</f>
        <v>124.8973425</v>
      </c>
      <c r="Q45" s="9" t="n">
        <f aca="false">'Net Cash Flow -With DP'!R4</f>
        <v>683.0904675</v>
      </c>
      <c r="R45" s="9" t="n">
        <f aca="false">'Net Cash Flow -With DP'!S4</f>
        <v>171.6401925</v>
      </c>
      <c r="S45" s="9" t="n">
        <f aca="false">'Net Cash Flow -With DP'!T4</f>
        <v>112.5965925</v>
      </c>
      <c r="T45" s="9" t="n">
        <f aca="false">'Net Cash Flow -With DP'!U4</f>
        <v>89.3369925</v>
      </c>
      <c r="U45" s="9" t="n">
        <f aca="false">'Net Cash Flow -With DP'!V4</f>
        <v>87.5254275</v>
      </c>
      <c r="V45" s="9" t="n">
        <f aca="false">'Net Cash Flow -With DP'!W4</f>
        <v>85.7138625</v>
      </c>
      <c r="W45" s="9" t="n">
        <f aca="false">'Net Cash Flow -With DP'!X4</f>
        <v>77.279461875</v>
      </c>
      <c r="X45" s="9" t="n">
        <f aca="false">'Net Cash Flow -With DP'!Y4</f>
        <v>70.15341375</v>
      </c>
      <c r="Y45" s="9" t="n">
        <f aca="false">'Net Cash Flow -With DP'!Z4</f>
        <v>61.33787625</v>
      </c>
      <c r="Z45" s="9" t="n">
        <f aca="false">'Net Cash Flow -With DP'!AA4</f>
        <v>51.04624875</v>
      </c>
      <c r="AA45" s="9" t="n">
        <f aca="false">'Net Cash Flow -With DP'!AB4</f>
        <v>51.04624875</v>
      </c>
      <c r="AB45" s="9" t="n">
        <f aca="false">'Net Cash Flow -With DP'!AC4</f>
        <v>51.04624875</v>
      </c>
      <c r="AC45" s="9" t="n">
        <f aca="false">'Net Cash Flow -With DP'!AD4</f>
        <v>51.04624875</v>
      </c>
      <c r="AD45" s="9" t="n">
        <f aca="false">'Net Cash Flow -With DP'!AE4</f>
        <v>51.04624875</v>
      </c>
      <c r="AE45" s="9" t="n">
        <f aca="false">'Net Cash Flow -With DP'!AF4</f>
        <v>43.931383125</v>
      </c>
      <c r="AF45" s="9" t="n">
        <f aca="false">'Net Cash Flow -With DP'!AG4</f>
        <v>36.8165175</v>
      </c>
      <c r="AG45" s="9" t="n">
        <f aca="false">'Net Cash Flow -With DP'!AH4</f>
        <v>32.958555</v>
      </c>
      <c r="AH45" s="9" t="n">
        <f aca="false">'Net Cash Flow -With DP'!AI4</f>
        <v>29.1005925</v>
      </c>
      <c r="AI45" s="9" t="n">
        <f aca="false">'Net Cash Flow -With DP'!AJ4</f>
        <v>22.8831225</v>
      </c>
      <c r="AJ45" s="9" t="n">
        <f aca="false">'Net Cash Flow -With DP'!AK4</f>
        <v>19.2823575</v>
      </c>
      <c r="AK45" s="9" t="n">
        <f aca="false">'Net Cash Flow -With DP'!AL4</f>
        <v>16.80357</v>
      </c>
      <c r="AL45" s="9" t="n">
        <f aca="false">'Net Cash Flow -With DP'!AM4</f>
        <v>7.24626</v>
      </c>
      <c r="AM45" s="9" t="n">
        <f aca="false">'Net Cash Flow -With DP'!AN4</f>
        <v>7.24626</v>
      </c>
      <c r="AN45" s="9" t="n">
        <f aca="false">'Net Cash Flow -With DP'!AO4</f>
        <v>7.24626</v>
      </c>
      <c r="AO45" s="9" t="n">
        <f aca="false">'Net Cash Flow -With DP'!AP4</f>
        <v>0</v>
      </c>
      <c r="AP45" s="9" t="n">
        <f aca="false">'Net Cash Flow -With DP'!AQ4</f>
        <v>0</v>
      </c>
      <c r="AQ45" s="9" t="n">
        <f aca="false">'Net Cash Flow -With DP'!AR4</f>
        <v>0</v>
      </c>
      <c r="AR45" s="9" t="n">
        <f aca="false">'Net Cash Flow -With DP'!AS4</f>
        <v>0</v>
      </c>
      <c r="AS45" s="9" t="n">
        <f aca="false">'Net Cash Flow -With DP'!AT4</f>
        <v>0</v>
      </c>
      <c r="AT45" s="9" t="n">
        <f aca="false">'Net Cash Flow -With DP'!AU4</f>
        <v>0</v>
      </c>
    </row>
    <row r="46" customFormat="false" ht="15" hidden="false" customHeight="true" outlineLevel="0" collapsed="false">
      <c r="A46" s="24" t="s">
        <v>36</v>
      </c>
      <c r="C46" s="9" t="n">
        <f aca="false">-'Net Cash Flow -With DP'!D8</f>
        <v>-0</v>
      </c>
      <c r="D46" s="9" t="n">
        <f aca="false">-'Net Cash Flow -With DP'!E8</f>
        <v>-0</v>
      </c>
      <c r="E46" s="9" t="n">
        <f aca="false">-'Net Cash Flow -With DP'!F8</f>
        <v>-0</v>
      </c>
      <c r="F46" s="9" t="n">
        <f aca="false">-'Net Cash Flow -With DP'!G8</f>
        <v>-85</v>
      </c>
      <c r="G46" s="9" t="n">
        <f aca="false">-'Net Cash Flow -With DP'!H8</f>
        <v>-22.5</v>
      </c>
      <c r="H46" s="9" t="n">
        <f aca="false">-'Net Cash Flow -With DP'!I8</f>
        <v>-22.5</v>
      </c>
      <c r="I46" s="9" t="n">
        <f aca="false">-'Net Cash Flow -With DP'!J8</f>
        <v>-22.5</v>
      </c>
      <c r="J46" s="9" t="n">
        <f aca="false">-'Net Cash Flow -With DP'!K8</f>
        <v>-22.5</v>
      </c>
      <c r="K46" s="9" t="n">
        <f aca="false">-'Net Cash Flow -With DP'!L8</f>
        <v>-45</v>
      </c>
      <c r="L46" s="9" t="n">
        <f aca="false">-'Net Cash Flow -With DP'!M8</f>
        <v>-45</v>
      </c>
      <c r="M46" s="9" t="n">
        <f aca="false">-'Net Cash Flow -With DP'!N8</f>
        <v>-45</v>
      </c>
      <c r="N46" s="9" t="n">
        <f aca="false">-'Net Cash Flow -With DP'!O8</f>
        <v>-45</v>
      </c>
      <c r="O46" s="9" t="n">
        <f aca="false">-'Net Cash Flow -With DP'!P8</f>
        <v>-56.25</v>
      </c>
      <c r="P46" s="9" t="n">
        <f aca="false">-'Net Cash Flow -With DP'!Q8</f>
        <v>-56.25</v>
      </c>
      <c r="Q46" s="9" t="n">
        <f aca="false">-'Net Cash Flow -With DP'!R8</f>
        <v>-56.25</v>
      </c>
      <c r="R46" s="9" t="n">
        <f aca="false">-'Net Cash Flow -With DP'!S8</f>
        <v>-56.25</v>
      </c>
      <c r="S46" s="9" t="n">
        <f aca="false">-'Net Cash Flow -With DP'!T8</f>
        <v>-45</v>
      </c>
      <c r="T46" s="9" t="n">
        <f aca="false">-'Net Cash Flow -With DP'!U8</f>
        <v>-45</v>
      </c>
      <c r="U46" s="9" t="n">
        <f aca="false">-'Net Cash Flow -With DP'!V8</f>
        <v>-45</v>
      </c>
      <c r="V46" s="9" t="n">
        <f aca="false">-'Net Cash Flow -With DP'!W8</f>
        <v>-45</v>
      </c>
      <c r="W46" s="9" t="n">
        <f aca="false">-'Net Cash Flow -With DP'!X8</f>
        <v>-22.5</v>
      </c>
      <c r="X46" s="9" t="n">
        <f aca="false">-'Net Cash Flow -With DP'!Y8</f>
        <v>-22.5</v>
      </c>
      <c r="Y46" s="9" t="n">
        <f aca="false">-'Net Cash Flow -With DP'!Z8</f>
        <v>-22.5</v>
      </c>
      <c r="Z46" s="9" t="n">
        <f aca="false">-'Net Cash Flow -With DP'!AA8</f>
        <v>-22.5</v>
      </c>
      <c r="AA46" s="9" t="n">
        <f aca="false">-'Net Cash Flow -With DP'!AB8</f>
        <v>-0</v>
      </c>
      <c r="AB46" s="9" t="n">
        <f aca="false">-'Net Cash Flow -With DP'!AC8</f>
        <v>-0</v>
      </c>
      <c r="AC46" s="9" t="n">
        <f aca="false">-'Net Cash Flow -With DP'!AD8</f>
        <v>-0</v>
      </c>
      <c r="AD46" s="9" t="n">
        <f aca="false">-'Net Cash Flow -With DP'!AE8</f>
        <v>-0</v>
      </c>
      <c r="AE46" s="9" t="n">
        <f aca="false">-'Net Cash Flow -With DP'!AF8</f>
        <v>-241.1916115625</v>
      </c>
      <c r="AF46" s="9" t="n">
        <f aca="false">-'Net Cash Flow -With DP'!AG8</f>
        <v>-16.10722640625</v>
      </c>
      <c r="AG46" s="9" t="n">
        <f aca="false">-'Net Cash Flow -With DP'!AH8</f>
        <v>-14.4193678125</v>
      </c>
      <c r="AH46" s="9" t="n">
        <f aca="false">-'Net Cash Flow -With DP'!AI8</f>
        <v>-12.73150921875</v>
      </c>
      <c r="AI46" s="9" t="n">
        <f aca="false">-'Net Cash Flow -With DP'!AJ8</f>
        <v>-10.01136609375</v>
      </c>
      <c r="AJ46" s="9" t="n">
        <f aca="false">-'Net Cash Flow -With DP'!AK8</f>
        <v>-8.43603140625</v>
      </c>
      <c r="AK46" s="9" t="n">
        <f aca="false">-'Net Cash Flow -With DP'!AL8</f>
        <v>-7.351561875</v>
      </c>
      <c r="AL46" s="9" t="n">
        <f aca="false">-'Net Cash Flow -With DP'!AM8</f>
        <v>-3.17023875</v>
      </c>
      <c r="AM46" s="9" t="n">
        <f aca="false">-'Net Cash Flow -With DP'!AN8</f>
        <v>-3.17023875</v>
      </c>
      <c r="AN46" s="9" t="n">
        <f aca="false">-'Net Cash Flow -With DP'!AO8</f>
        <v>-3.17023875</v>
      </c>
      <c r="AO46" s="9" t="n">
        <f aca="false">-'Net Cash Flow -With DP'!AP8</f>
        <v>-0</v>
      </c>
      <c r="AP46" s="9" t="n">
        <f aca="false">-'Net Cash Flow -With DP'!AQ8</f>
        <v>-0</v>
      </c>
      <c r="AQ46" s="9" t="n">
        <f aca="false">-'Net Cash Flow -With DP'!AR8</f>
        <v>-0</v>
      </c>
      <c r="AR46" s="9" t="n">
        <f aca="false">-'Net Cash Flow -With DP'!AS8</f>
        <v>-0</v>
      </c>
      <c r="AS46" s="9" t="n">
        <f aca="false">-'Net Cash Flow -With DP'!AT8</f>
        <v>-0</v>
      </c>
      <c r="AT46" s="9" t="n">
        <f aca="false">-'Net Cash Flow -With DP'!AU8</f>
        <v>-0</v>
      </c>
    </row>
    <row r="47" customFormat="false" ht="15" hidden="false" customHeight="true" outlineLevel="0" collapsed="false">
      <c r="A47" s="24" t="s">
        <v>37</v>
      </c>
      <c r="C47" s="9" t="n">
        <f aca="false">-'Net Cash Flow -With DP'!D20</f>
        <v>-0</v>
      </c>
      <c r="D47" s="9" t="n">
        <f aca="false">-'Net Cash Flow -With DP'!E20</f>
        <v>-0</v>
      </c>
      <c r="E47" s="9" t="n">
        <f aca="false">-'Net Cash Flow -With DP'!F20</f>
        <v>-0</v>
      </c>
      <c r="F47" s="9" t="n">
        <f aca="false">-'Net Cash Flow -With DP'!G20</f>
        <v>-0</v>
      </c>
      <c r="G47" s="9" t="n">
        <f aca="false">-'Net Cash Flow -With DP'!H20</f>
        <v>-0</v>
      </c>
      <c r="H47" s="9" t="n">
        <f aca="false">-'Net Cash Flow -With DP'!I20</f>
        <v>-0</v>
      </c>
      <c r="I47" s="9" t="n">
        <f aca="false">-'Net Cash Flow -With DP'!J20</f>
        <v>-23</v>
      </c>
      <c r="J47" s="9" t="n">
        <f aca="false">-'Net Cash Flow -With DP'!K20</f>
        <v>-30.36</v>
      </c>
      <c r="K47" s="9" t="n">
        <f aca="false">-'Net Cash Flow -With DP'!L20</f>
        <v>-60.49252</v>
      </c>
      <c r="L47" s="9" t="n">
        <f aca="false">-'Net Cash Flow -With DP'!M20</f>
        <v>-44.85252</v>
      </c>
      <c r="M47" s="9" t="n">
        <f aca="false">-'Net Cash Flow -With DP'!N20</f>
        <v>-42.79494</v>
      </c>
      <c r="N47" s="9" t="n">
        <f aca="false">-'Net Cash Flow -With DP'!O20</f>
        <v>-37.56153</v>
      </c>
      <c r="O47" s="9" t="n">
        <f aca="false">-'Net Cash Flow -With DP'!P20</f>
        <v>-14.00412</v>
      </c>
      <c r="P47" s="9" t="n">
        <f aca="false">-'Net Cash Flow -With DP'!Q20</f>
        <v>-13.46736</v>
      </c>
      <c r="Q47" s="9" t="n">
        <f aca="false">-'Net Cash Flow -With DP'!R20</f>
        <v>-145.54446</v>
      </c>
      <c r="R47" s="9" t="n">
        <f aca="false">-'Net Cash Flow -With DP'!S20</f>
        <v>-145.54446</v>
      </c>
      <c r="S47" s="9" t="n">
        <f aca="false">-'Net Cash Flow -With DP'!T20</f>
        <v>-196.83032</v>
      </c>
      <c r="T47" s="9" t="n">
        <f aca="false">-'Net Cash Flow -With DP'!U20</f>
        <v>-142.78032</v>
      </c>
      <c r="U47" s="9" t="n">
        <f aca="false">-'Net Cash Flow -With DP'!V20</f>
        <v>-5.72544</v>
      </c>
      <c r="V47" s="9" t="n">
        <f aca="false">-'Net Cash Flow -With DP'!W20</f>
        <v>-5.72544</v>
      </c>
      <c r="W47" s="9" t="n">
        <f aca="false">-'Net Cash Flow -With DP'!X20</f>
        <v>-0</v>
      </c>
      <c r="X47" s="9" t="n">
        <f aca="false">-'Net Cash Flow -With DP'!Y20</f>
        <v>-0</v>
      </c>
      <c r="Y47" s="9" t="n">
        <f aca="false">-'Net Cash Flow -With DP'!Z20</f>
        <v>-0</v>
      </c>
      <c r="Z47" s="9" t="n">
        <f aca="false">-'Net Cash Flow -With DP'!AA20</f>
        <v>-0</v>
      </c>
      <c r="AA47" s="9" t="n">
        <f aca="false">-'Net Cash Flow -With DP'!AB20</f>
        <v>-0</v>
      </c>
      <c r="AB47" s="9" t="n">
        <f aca="false">-'Net Cash Flow -With DP'!AC20</f>
        <v>-0</v>
      </c>
      <c r="AC47" s="9" t="n">
        <f aca="false">-'Net Cash Flow -With DP'!AD20</f>
        <v>-0</v>
      </c>
      <c r="AD47" s="9" t="n">
        <f aca="false">-'Net Cash Flow -With DP'!AE20</f>
        <v>-0</v>
      </c>
      <c r="AE47" s="9" t="n">
        <f aca="false">-'Net Cash Flow -With DP'!AF20</f>
        <v>-0</v>
      </c>
      <c r="AF47" s="9" t="n">
        <f aca="false">-'Net Cash Flow -With DP'!AG20</f>
        <v>-0</v>
      </c>
      <c r="AG47" s="9" t="n">
        <f aca="false">-'Net Cash Flow -With DP'!AH20</f>
        <v>-0</v>
      </c>
      <c r="AH47" s="9" t="n">
        <f aca="false">-'Net Cash Flow -With DP'!AI20</f>
        <v>-0</v>
      </c>
      <c r="AI47" s="9" t="n">
        <f aca="false">-'Net Cash Flow -With DP'!AJ20</f>
        <v>-0</v>
      </c>
      <c r="AJ47" s="9" t="n">
        <f aca="false">-'Net Cash Flow -With DP'!AK20</f>
        <v>-0</v>
      </c>
      <c r="AK47" s="9" t="n">
        <f aca="false">-'Net Cash Flow -With DP'!AL20</f>
        <v>-0</v>
      </c>
      <c r="AL47" s="9" t="n">
        <f aca="false">-'Net Cash Flow -With DP'!AM20</f>
        <v>-0</v>
      </c>
      <c r="AM47" s="9" t="n">
        <f aca="false">-'Net Cash Flow -With DP'!AN20</f>
        <v>-0</v>
      </c>
      <c r="AN47" s="9" t="n">
        <f aca="false">-'Net Cash Flow -With DP'!AO20</f>
        <v>-0</v>
      </c>
      <c r="AO47" s="9" t="n">
        <f aca="false">-'Net Cash Flow -With DP'!AP20</f>
        <v>-0</v>
      </c>
      <c r="AP47" s="9" t="n">
        <f aca="false">-'Net Cash Flow -With DP'!AQ20</f>
        <v>-0</v>
      </c>
      <c r="AQ47" s="9" t="n">
        <f aca="false">-'Net Cash Flow -With DP'!AR20</f>
        <v>-0</v>
      </c>
      <c r="AR47" s="9" t="n">
        <f aca="false">-'Net Cash Flow -With DP'!AS20</f>
        <v>-0</v>
      </c>
      <c r="AS47" s="9" t="n">
        <f aca="false">-'Net Cash Flow -With DP'!AT20</f>
        <v>-0</v>
      </c>
      <c r="AT47" s="9" t="n">
        <f aca="false">-'Net Cash Flow -With DP'!AU20</f>
        <v>-0</v>
      </c>
    </row>
    <row r="48" customFormat="false" ht="15" hidden="false" customHeight="false" outlineLevel="0" collapsed="false">
      <c r="A48" s="14" t="s">
        <v>38</v>
      </c>
      <c r="B48" s="14"/>
      <c r="C48" s="15" t="n">
        <f aca="false">SUM(C45:C47)</f>
        <v>0</v>
      </c>
      <c r="D48" s="15" t="n">
        <f aca="false">SUM(D45:D47)</f>
        <v>0</v>
      </c>
      <c r="E48" s="15" t="n">
        <f aca="false">SUM(E45:E47)</f>
        <v>0</v>
      </c>
      <c r="F48" s="15" t="n">
        <f aca="false">SUM(F45:F47)</f>
        <v>-85</v>
      </c>
      <c r="G48" s="15" t="n">
        <f aca="false">SUM(G45:G47)</f>
        <v>-4.38435</v>
      </c>
      <c r="H48" s="15" t="n">
        <f aca="false">SUM(H45:H47)</f>
        <v>13.7313</v>
      </c>
      <c r="I48" s="15" t="n">
        <f aca="false">SUM(I45:I47)</f>
        <v>12.760825</v>
      </c>
      <c r="J48" s="15" t="n">
        <f aca="false">SUM(J45:J47)</f>
        <v>16.15839</v>
      </c>
      <c r="K48" s="15" t="n">
        <f aca="false">SUM(K45:K47)</f>
        <v>-38.404975</v>
      </c>
      <c r="L48" s="15" t="n">
        <f aca="false">SUM(L45:L47)</f>
        <v>-16.8792525</v>
      </c>
      <c r="M48" s="15" t="n">
        <f aca="false">SUM(M45:M47)</f>
        <v>1.076115</v>
      </c>
      <c r="N48" s="15" t="n">
        <f aca="false">SUM(N45:N47)</f>
        <v>23.046</v>
      </c>
      <c r="O48" s="15" t="n">
        <f aca="false">SUM(O45:O47)</f>
        <v>44.99831625</v>
      </c>
      <c r="P48" s="15" t="n">
        <f aca="false">SUM(P45:P47)</f>
        <v>55.1799825</v>
      </c>
      <c r="Q48" s="15" t="n">
        <f aca="false">SUM(Q45:Q47)</f>
        <v>481.2960075</v>
      </c>
      <c r="R48" s="15" t="n">
        <f aca="false">SUM(R45:R47)</f>
        <v>-30.1542675</v>
      </c>
      <c r="S48" s="15" t="n">
        <f aca="false">SUM(S45:S47)</f>
        <v>-129.2337275</v>
      </c>
      <c r="T48" s="15" t="n">
        <f aca="false">SUM(T45:T47)</f>
        <v>-98.4433275</v>
      </c>
      <c r="U48" s="15" t="n">
        <f aca="false">SUM(U45:U47)</f>
        <v>36.7999875</v>
      </c>
      <c r="V48" s="15" t="n">
        <f aca="false">SUM(V45:V47)</f>
        <v>34.9884225</v>
      </c>
      <c r="W48" s="15" t="n">
        <f aca="false">SUM(W45:W47)</f>
        <v>54.779461875</v>
      </c>
      <c r="X48" s="15" t="n">
        <f aca="false">SUM(X45:X47)</f>
        <v>47.65341375</v>
      </c>
      <c r="Y48" s="15" t="n">
        <f aca="false">SUM(Y45:Y47)</f>
        <v>38.83787625</v>
      </c>
      <c r="Z48" s="15" t="n">
        <f aca="false">SUM(Z45:Z47)</f>
        <v>28.54624875</v>
      </c>
      <c r="AA48" s="15" t="n">
        <f aca="false">SUM(AA45:AA47)</f>
        <v>51.04624875</v>
      </c>
      <c r="AB48" s="15" t="n">
        <f aca="false">SUM(AB45:AB47)</f>
        <v>51.04624875</v>
      </c>
      <c r="AC48" s="15" t="n">
        <f aca="false">SUM(AC45:AC47)</f>
        <v>51.04624875</v>
      </c>
      <c r="AD48" s="15" t="n">
        <f aca="false">SUM(AD45:AD47)</f>
        <v>51.04624875</v>
      </c>
      <c r="AE48" s="15" t="n">
        <f aca="false">SUM(AE45:AE47)</f>
        <v>-197.2602284375</v>
      </c>
      <c r="AF48" s="15" t="n">
        <f aca="false">SUM(AF45:AF47)</f>
        <v>20.70929109375</v>
      </c>
      <c r="AG48" s="15" t="n">
        <f aca="false">SUM(AG45:AG47)</f>
        <v>18.5391871875</v>
      </c>
      <c r="AH48" s="15" t="n">
        <f aca="false">SUM(AH45:AH47)</f>
        <v>16.36908328125</v>
      </c>
      <c r="AI48" s="15" t="n">
        <f aca="false">SUM(AI45:AI47)</f>
        <v>12.87175640625</v>
      </c>
      <c r="AJ48" s="15" t="n">
        <f aca="false">SUM(AJ45:AJ47)</f>
        <v>10.84632609375</v>
      </c>
      <c r="AK48" s="15" t="n">
        <f aca="false">SUM(AK45:AK47)</f>
        <v>9.452008125</v>
      </c>
      <c r="AL48" s="15" t="n">
        <f aca="false">SUM(AL45:AL47)</f>
        <v>4.07602125</v>
      </c>
      <c r="AM48" s="15" t="n">
        <f aca="false">SUM(AM45:AM47)</f>
        <v>4.07602125</v>
      </c>
      <c r="AN48" s="15" t="n">
        <f aca="false">SUM(AN45:AN47)</f>
        <v>4.07602125</v>
      </c>
      <c r="AO48" s="15" t="n">
        <f aca="false">SUM(AO45:AO47)</f>
        <v>0</v>
      </c>
      <c r="AP48" s="15" t="n">
        <f aca="false">SUM(AP45:AP47)</f>
        <v>0</v>
      </c>
      <c r="AQ48" s="15" t="n">
        <f aca="false">SUM(AQ45:AQ47)</f>
        <v>0</v>
      </c>
      <c r="AR48" s="15" t="n">
        <f aca="false">SUM(AR45:AR47)</f>
        <v>0</v>
      </c>
      <c r="AS48" s="15" t="n">
        <f aca="false">SUM(AS45:AS47)</f>
        <v>0</v>
      </c>
      <c r="AT48" s="15" t="n">
        <f aca="false">SUM(AT45:AT47)</f>
        <v>0</v>
      </c>
    </row>
    <row r="49" customFormat="false" ht="15" hidden="false" customHeight="false" outlineLevel="0" collapsed="false">
      <c r="A49" s="0" t="s">
        <v>39</v>
      </c>
      <c r="C49" s="9" t="n">
        <f aca="false">C48</f>
        <v>0</v>
      </c>
      <c r="D49" s="10" t="n">
        <f aca="false">C49+D48</f>
        <v>0</v>
      </c>
      <c r="E49" s="10" t="n">
        <f aca="false">D49+E48</f>
        <v>0</v>
      </c>
      <c r="F49" s="10" t="n">
        <f aca="false">E49+F48</f>
        <v>-85</v>
      </c>
      <c r="G49" s="10" t="n">
        <f aca="false">F49+G48</f>
        <v>-89.38435</v>
      </c>
      <c r="H49" s="10" t="n">
        <f aca="false">G49+H48</f>
        <v>-75.65305</v>
      </c>
      <c r="I49" s="10" t="n">
        <f aca="false">H49+I48</f>
        <v>-62.892225</v>
      </c>
      <c r="J49" s="10" t="n">
        <f aca="false">I49+J48</f>
        <v>-46.733835</v>
      </c>
      <c r="K49" s="10" t="n">
        <f aca="false">J49+K48</f>
        <v>-85.13881</v>
      </c>
      <c r="L49" s="10" t="n">
        <f aca="false">K49+L48</f>
        <v>-102.0180625</v>
      </c>
      <c r="M49" s="10" t="n">
        <f aca="false">L49+M48</f>
        <v>-100.9419475</v>
      </c>
      <c r="N49" s="10" t="n">
        <f aca="false">M49+N48</f>
        <v>-77.8959475</v>
      </c>
      <c r="O49" s="10" t="n">
        <f aca="false">N49+O48</f>
        <v>-32.89763125</v>
      </c>
      <c r="P49" s="10" t="n">
        <f aca="false">O49+P48</f>
        <v>22.28235125</v>
      </c>
      <c r="Q49" s="10" t="n">
        <f aca="false">P49+Q48</f>
        <v>503.57835875</v>
      </c>
      <c r="R49" s="10" t="n">
        <f aca="false">Q49+R48</f>
        <v>473.42409125</v>
      </c>
      <c r="S49" s="10" t="n">
        <f aca="false">R49+S48</f>
        <v>344.19036375</v>
      </c>
      <c r="T49" s="10" t="n">
        <f aca="false">S49+T48</f>
        <v>245.74703625</v>
      </c>
      <c r="U49" s="10" t="n">
        <f aca="false">T49+U48</f>
        <v>282.54702375</v>
      </c>
      <c r="V49" s="10" t="n">
        <f aca="false">U49+V48</f>
        <v>317.53544625</v>
      </c>
      <c r="W49" s="10" t="n">
        <f aca="false">V49+W48</f>
        <v>372.314908125</v>
      </c>
      <c r="X49" s="10" t="n">
        <f aca="false">W49+X48</f>
        <v>419.968321875</v>
      </c>
      <c r="Y49" s="10" t="n">
        <f aca="false">X49+Y48</f>
        <v>458.806198125</v>
      </c>
      <c r="Z49" s="10" t="n">
        <f aca="false">Y49+Z48</f>
        <v>487.352446875</v>
      </c>
      <c r="AA49" s="10" t="n">
        <f aca="false">Z49+AA48</f>
        <v>538.398695625</v>
      </c>
      <c r="AB49" s="10" t="n">
        <f aca="false">AA49+AB48</f>
        <v>589.444944375</v>
      </c>
      <c r="AC49" s="10" t="n">
        <f aca="false">AB49+AC48</f>
        <v>640.491193125</v>
      </c>
      <c r="AD49" s="10" t="n">
        <f aca="false">AC49+AD48</f>
        <v>691.537441875</v>
      </c>
      <c r="AE49" s="10" t="n">
        <f aca="false">AD49+AE48</f>
        <v>494.2772134375</v>
      </c>
      <c r="AF49" s="10" t="n">
        <f aca="false">AE49+AF48</f>
        <v>514.98650453125</v>
      </c>
      <c r="AG49" s="10" t="n">
        <f aca="false">AF49+AG48</f>
        <v>533.52569171875</v>
      </c>
      <c r="AH49" s="10" t="n">
        <f aca="false">AG49+AH48</f>
        <v>549.894775</v>
      </c>
      <c r="AI49" s="10" t="n">
        <f aca="false">AH49+AI48</f>
        <v>562.76653140625</v>
      </c>
      <c r="AJ49" s="10" t="n">
        <f aca="false">AI49+AJ48</f>
        <v>573.6128575</v>
      </c>
      <c r="AK49" s="10" t="n">
        <f aca="false">AJ49+AK48</f>
        <v>583.064865625</v>
      </c>
      <c r="AL49" s="10" t="n">
        <f aca="false">AK49+AL48</f>
        <v>587.140886875</v>
      </c>
      <c r="AM49" s="10" t="n">
        <f aca="false">AL49+AM48</f>
        <v>591.216908125001</v>
      </c>
      <c r="AN49" s="10" t="n">
        <f aca="false">AM49+AN48</f>
        <v>595.292929375001</v>
      </c>
      <c r="AO49" s="10" t="n">
        <f aca="false">AN49+AO48</f>
        <v>595.292929375001</v>
      </c>
      <c r="AP49" s="10" t="n">
        <f aca="false">AO49+AP48</f>
        <v>595.292929375001</v>
      </c>
      <c r="AQ49" s="10" t="n">
        <f aca="false">AP49+AQ48</f>
        <v>595.292929375001</v>
      </c>
      <c r="AR49" s="10" t="n">
        <f aca="false">AQ49+AR48</f>
        <v>595.292929375001</v>
      </c>
      <c r="AS49" s="10" t="n">
        <f aca="false">AR49+AS48</f>
        <v>595.292929375001</v>
      </c>
      <c r="AT49" s="10" t="n">
        <f aca="false">AS49+AT48</f>
        <v>595.292929375001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45" min="5" style="0" width="9"/>
  </cols>
  <sheetData>
    <row r="1" customFormat="false" ht="19.7" hidden="false" customHeight="false" outlineLevel="0" collapsed="false">
      <c r="A1" s="25" t="s">
        <v>40</v>
      </c>
    </row>
    <row r="2" customFormat="false" ht="15" hidden="false" customHeight="false" outlineLevel="0" collapsed="false">
      <c r="A2" s="20" t="s">
        <v>41</v>
      </c>
    </row>
    <row r="4" customFormat="false" ht="15" hidden="false" customHeight="false" outlineLevel="0" collapsed="false">
      <c r="A4" s="26" t="s">
        <v>42</v>
      </c>
      <c r="B4" s="27"/>
      <c r="C4" s="27"/>
      <c r="D4" s="27"/>
      <c r="E4" s="27"/>
    </row>
    <row r="5" customFormat="false" ht="15" hidden="false" customHeight="false" outlineLevel="0" collapsed="false">
      <c r="A5" s="28" t="s">
        <v>43</v>
      </c>
      <c r="C5" s="29" t="n">
        <v>0.14</v>
      </c>
      <c r="D5" s="20" t="s">
        <v>44</v>
      </c>
    </row>
    <row r="6" customFormat="false" ht="15" hidden="false" customHeight="false" outlineLevel="0" collapsed="false">
      <c r="A6" s="28" t="s">
        <v>45</v>
      </c>
      <c r="E6" s="30" t="s">
        <v>46</v>
      </c>
      <c r="F6" s="30" t="s">
        <v>47</v>
      </c>
      <c r="G6" s="30" t="s">
        <v>48</v>
      </c>
      <c r="H6" s="30" t="s">
        <v>49</v>
      </c>
      <c r="I6" s="30" t="s">
        <v>50</v>
      </c>
      <c r="J6" s="30" t="s">
        <v>51</v>
      </c>
      <c r="K6" s="30" t="s">
        <v>52</v>
      </c>
      <c r="L6" s="30" t="s">
        <v>53</v>
      </c>
      <c r="M6" s="30" t="s">
        <v>54</v>
      </c>
      <c r="N6" s="30" t="s">
        <v>55</v>
      </c>
      <c r="O6" s="30" t="s">
        <v>56</v>
      </c>
      <c r="P6" s="30" t="s">
        <v>57</v>
      </c>
      <c r="Q6" s="30" t="s">
        <v>58</v>
      </c>
      <c r="R6" s="30" t="s">
        <v>59</v>
      </c>
      <c r="S6" s="30" t="s">
        <v>60</v>
      </c>
      <c r="T6" s="30" t="s">
        <v>61</v>
      </c>
      <c r="U6" s="30" t="s">
        <v>62</v>
      </c>
      <c r="V6" s="30" t="s">
        <v>63</v>
      </c>
      <c r="W6" s="30" t="s">
        <v>64</v>
      </c>
      <c r="X6" s="30" t="s">
        <v>65</v>
      </c>
      <c r="Y6" s="30" t="s">
        <v>66</v>
      </c>
      <c r="Z6" s="30" t="s">
        <v>67</v>
      </c>
      <c r="AA6" s="30" t="s">
        <v>68</v>
      </c>
      <c r="AB6" s="30" t="s">
        <v>69</v>
      </c>
      <c r="AC6" s="30" t="s">
        <v>70</v>
      </c>
      <c r="AD6" s="30" t="s">
        <v>71</v>
      </c>
      <c r="AE6" s="30" t="s">
        <v>72</v>
      </c>
      <c r="AF6" s="30" t="s">
        <v>73</v>
      </c>
      <c r="AG6" s="30" t="s">
        <v>74</v>
      </c>
      <c r="AH6" s="30" t="s">
        <v>75</v>
      </c>
      <c r="AI6" s="30" t="s">
        <v>76</v>
      </c>
      <c r="AJ6" s="30" t="s">
        <v>77</v>
      </c>
      <c r="AK6" s="30" t="s">
        <v>78</v>
      </c>
      <c r="AL6" s="30" t="s">
        <v>79</v>
      </c>
      <c r="AM6" s="30" t="s">
        <v>80</v>
      </c>
      <c r="AN6" s="30" t="s">
        <v>81</v>
      </c>
      <c r="AO6" s="30" t="s">
        <v>82</v>
      </c>
      <c r="AP6" s="30" t="s">
        <v>83</v>
      </c>
      <c r="AQ6" s="30" t="s">
        <v>84</v>
      </c>
      <c r="AR6" s="30" t="s">
        <v>85</v>
      </c>
      <c r="AS6" s="30" t="s">
        <v>86</v>
      </c>
    </row>
    <row r="7" customFormat="false" ht="15" hidden="false" customHeight="false" outlineLevel="0" collapsed="false">
      <c r="A7" s="28" t="s">
        <v>87</v>
      </c>
      <c r="E7" s="31" t="n">
        <f aca="false">(3-$C$15)/12</f>
        <v>-0.75</v>
      </c>
      <c r="F7" s="31" t="n">
        <f aca="false">0.25+E7</f>
        <v>-0.5</v>
      </c>
      <c r="G7" s="31" t="n">
        <f aca="false">0.25+F7</f>
        <v>-0.25</v>
      </c>
      <c r="H7" s="31" t="n">
        <f aca="false">0.25+G7</f>
        <v>0</v>
      </c>
      <c r="I7" s="31" t="n">
        <f aca="false">0.25+H7</f>
        <v>0.25</v>
      </c>
      <c r="J7" s="31" t="n">
        <f aca="false">0.25+I7</f>
        <v>0.5</v>
      </c>
      <c r="K7" s="31" t="n">
        <f aca="false">0.25+J7</f>
        <v>0.75</v>
      </c>
      <c r="L7" s="31" t="n">
        <f aca="false">0.25+K7</f>
        <v>1</v>
      </c>
      <c r="M7" s="31" t="n">
        <f aca="false">0.25+L7</f>
        <v>1.25</v>
      </c>
      <c r="N7" s="31" t="n">
        <f aca="false">0.25+M7</f>
        <v>1.5</v>
      </c>
      <c r="O7" s="31" t="n">
        <f aca="false">0.25+N7</f>
        <v>1.75</v>
      </c>
      <c r="P7" s="31" t="n">
        <f aca="false">0.25+O7</f>
        <v>2</v>
      </c>
      <c r="Q7" s="31" t="n">
        <f aca="false">0.25+P7</f>
        <v>2.25</v>
      </c>
      <c r="R7" s="31" t="n">
        <f aca="false">0.25+Q7</f>
        <v>2.5</v>
      </c>
      <c r="S7" s="31" t="n">
        <f aca="false">0.25+R7</f>
        <v>2.75</v>
      </c>
      <c r="T7" s="31" t="n">
        <f aca="false">0.25+S7</f>
        <v>3</v>
      </c>
      <c r="U7" s="31" t="n">
        <f aca="false">0.25+T7</f>
        <v>3.25</v>
      </c>
      <c r="V7" s="31" t="n">
        <f aca="false">0.25+U7</f>
        <v>3.5</v>
      </c>
      <c r="W7" s="31" t="n">
        <f aca="false">0.25+V7</f>
        <v>3.75</v>
      </c>
      <c r="X7" s="31" t="n">
        <f aca="false">0.25+W7</f>
        <v>4</v>
      </c>
      <c r="Y7" s="31" t="n">
        <f aca="false">0.25+X7</f>
        <v>4.25</v>
      </c>
      <c r="Z7" s="31" t="n">
        <f aca="false">0.25+Y7</f>
        <v>4.5</v>
      </c>
      <c r="AA7" s="31" t="n">
        <f aca="false">0.25+Z7</f>
        <v>4.75</v>
      </c>
      <c r="AB7" s="31" t="n">
        <f aca="false">0.25+AA7</f>
        <v>5</v>
      </c>
      <c r="AC7" s="31" t="n">
        <f aca="false">0.25+AB7</f>
        <v>5.25</v>
      </c>
      <c r="AD7" s="31" t="n">
        <f aca="false">0.25+AC7</f>
        <v>5.5</v>
      </c>
      <c r="AE7" s="31" t="n">
        <f aca="false">0.25+AD7</f>
        <v>5.75</v>
      </c>
      <c r="AF7" s="31" t="n">
        <f aca="false">0.25+AE7</f>
        <v>6</v>
      </c>
      <c r="AG7" s="31" t="n">
        <f aca="false">0.25+AF7</f>
        <v>6.25</v>
      </c>
      <c r="AH7" s="31" t="n">
        <f aca="false">0.25+AG7</f>
        <v>6.5</v>
      </c>
      <c r="AI7" s="31" t="n">
        <f aca="false">0.25+AH7</f>
        <v>6.75</v>
      </c>
      <c r="AJ7" s="31" t="n">
        <f aca="false">0.25+AI7</f>
        <v>7</v>
      </c>
      <c r="AK7" s="31" t="n">
        <f aca="false">0.25+AJ7</f>
        <v>7.25</v>
      </c>
      <c r="AL7" s="31" t="n">
        <f aca="false">0.25+AK7</f>
        <v>7.5</v>
      </c>
      <c r="AM7" s="31" t="n">
        <f aca="false">0.25+AL7</f>
        <v>7.75</v>
      </c>
      <c r="AN7" s="31" t="n">
        <f aca="false">0.25+AM7</f>
        <v>8</v>
      </c>
      <c r="AO7" s="31" t="n">
        <f aca="false">0.25+AN7</f>
        <v>8.25</v>
      </c>
      <c r="AP7" s="31" t="n">
        <f aca="false">0.25+AO7</f>
        <v>8.5</v>
      </c>
      <c r="AQ7" s="31" t="n">
        <f aca="false">0.25+AP7</f>
        <v>8.75</v>
      </c>
      <c r="AR7" s="31" t="n">
        <f aca="false">0.25+AQ7</f>
        <v>9</v>
      </c>
      <c r="AS7" s="31" t="n">
        <f aca="false">0.25+AR7</f>
        <v>9.25</v>
      </c>
    </row>
    <row r="9" customFormat="false" ht="15" hidden="false" customHeight="false" outlineLevel="0" collapsed="false">
      <c r="A9" s="26" t="s">
        <v>88</v>
      </c>
      <c r="B9" s="27"/>
      <c r="C9" s="27"/>
      <c r="D9" s="27"/>
      <c r="E9" s="27"/>
    </row>
    <row r="10" customFormat="false" ht="15" hidden="false" customHeight="false" outlineLevel="0" collapsed="false">
      <c r="A10" s="28" t="s">
        <v>89</v>
      </c>
      <c r="C10" s="32" t="n">
        <v>1</v>
      </c>
      <c r="D10" s="20" t="s">
        <v>90</v>
      </c>
    </row>
    <row r="11" customFormat="false" ht="15" hidden="false" customHeight="false" outlineLevel="0" collapsed="false">
      <c r="A11" s="28" t="s">
        <v>91</v>
      </c>
      <c r="C11" s="33" t="n">
        <v>6</v>
      </c>
      <c r="D11" s="20" t="s">
        <v>92</v>
      </c>
    </row>
    <row r="12" customFormat="false" ht="15" hidden="false" customHeight="false" outlineLevel="0" collapsed="false">
      <c r="A12" s="28" t="s">
        <v>93</v>
      </c>
      <c r="C12" s="34" t="n">
        <f aca="false">$C$10+$C$11</f>
        <v>7</v>
      </c>
      <c r="D12" s="20" t="s">
        <v>94</v>
      </c>
    </row>
    <row r="13" customFormat="false" ht="15" hidden="false" customHeight="false" outlineLevel="0" collapsed="false">
      <c r="A13" s="28" t="s">
        <v>95</v>
      </c>
      <c r="C13" s="33" t="n">
        <v>36</v>
      </c>
    </row>
    <row r="14" customFormat="false" ht="15" hidden="false" customHeight="false" outlineLevel="0" collapsed="false">
      <c r="A14" s="28" t="s">
        <v>96</v>
      </c>
      <c r="C14" s="34" t="n">
        <f aca="false">$C$12+$C$13-1</f>
        <v>42</v>
      </c>
    </row>
    <row r="15" customFormat="false" ht="15" hidden="false" customHeight="false" outlineLevel="0" collapsed="false">
      <c r="A15" s="28" t="s">
        <v>97</v>
      </c>
      <c r="C15" s="32" t="n">
        <v>12</v>
      </c>
      <c r="D15" s="20" t="s">
        <v>98</v>
      </c>
    </row>
    <row r="16" customFormat="false" ht="15" hidden="false" customHeight="false" outlineLevel="0" collapsed="false">
      <c r="A16" s="28" t="s">
        <v>99</v>
      </c>
      <c r="C16" s="32" t="n">
        <v>13</v>
      </c>
    </row>
    <row r="17" customFormat="false" ht="15" hidden="false" customHeight="false" outlineLevel="0" collapsed="false">
      <c r="A17" s="28" t="s">
        <v>100</v>
      </c>
      <c r="C17" s="32" t="n">
        <v>19</v>
      </c>
    </row>
    <row r="18" customFormat="false" ht="15" hidden="false" customHeight="false" outlineLevel="0" collapsed="false">
      <c r="A18" s="28" t="s">
        <v>101</v>
      </c>
      <c r="C18" s="32" t="n">
        <v>48</v>
      </c>
    </row>
    <row r="19" customFormat="false" ht="15" hidden="false" customHeight="false" outlineLevel="0" collapsed="false">
      <c r="A19" s="28" t="s">
        <v>102</v>
      </c>
      <c r="C19" s="34" t="n">
        <f aca="false">$C$18-$C$15</f>
        <v>36</v>
      </c>
      <c r="D19" s="20" t="s">
        <v>103</v>
      </c>
    </row>
    <row r="21" customFormat="false" ht="15" hidden="false" customHeight="false" outlineLevel="0" collapsed="false">
      <c r="A21" s="26" t="s">
        <v>104</v>
      </c>
      <c r="B21" s="27"/>
      <c r="C21" s="27"/>
      <c r="D21" s="27"/>
      <c r="E21" s="27"/>
    </row>
    <row r="22" customFormat="false" ht="15" hidden="false" customHeight="false" outlineLevel="0" collapsed="false">
      <c r="A22" s="28" t="s">
        <v>105</v>
      </c>
      <c r="C22" s="35" t="n">
        <v>8</v>
      </c>
      <c r="D22" s="20" t="s">
        <v>106</v>
      </c>
    </row>
    <row r="23" customFormat="false" ht="15" hidden="false" customHeight="false" outlineLevel="0" collapsed="false">
      <c r="A23" s="28" t="s">
        <v>107</v>
      </c>
      <c r="C23" s="35" t="n">
        <v>1</v>
      </c>
      <c r="D23" s="20" t="s">
        <v>108</v>
      </c>
    </row>
    <row r="24" customFormat="false" ht="15" hidden="false" customHeight="false" outlineLevel="0" collapsed="false">
      <c r="A24" s="28" t="s">
        <v>109</v>
      </c>
      <c r="C24" s="36" t="n">
        <f aca="false">$C$22*$C$23</f>
        <v>8</v>
      </c>
    </row>
    <row r="26" customFormat="false" ht="15" hidden="false" customHeight="false" outlineLevel="0" collapsed="false">
      <c r="A26" s="26" t="s">
        <v>110</v>
      </c>
      <c r="B26" s="27"/>
      <c r="C26" s="27"/>
      <c r="D26" s="27"/>
      <c r="E26" s="27"/>
    </row>
    <row r="27" customFormat="false" ht="15" hidden="false" customHeight="false" outlineLevel="0" collapsed="false">
      <c r="A27" s="28" t="s">
        <v>111</v>
      </c>
      <c r="C27" s="37" t="n">
        <v>200</v>
      </c>
      <c r="D27" s="2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8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19.3359375" defaultRowHeight="15" zeroHeight="false" outlineLevelRow="0" outlineLevelCol="0"/>
  <cols>
    <col collapsed="false" customWidth="true" hidden="false" outlineLevel="0" max="1" min="1" style="0" width="38.44"/>
    <col collapsed="false" customWidth="true" hidden="false" outlineLevel="0" max="3" min="2" style="0" width="12.67"/>
    <col collapsed="false" customWidth="true" hidden="false" outlineLevel="0" max="40" min="4" style="0" width="13.67"/>
    <col collapsed="false" customWidth="true" hidden="true" outlineLevel="0" max="53" min="41" style="0" width="11.53"/>
  </cols>
  <sheetData>
    <row r="1" customFormat="false" ht="34.5" hidden="false" customHeight="true" outlineLevel="0" collapsed="false">
      <c r="A1" s="38" t="s">
        <v>113</v>
      </c>
    </row>
    <row r="2" customFormat="false" ht="15" hidden="false" customHeight="false" outlineLevel="0" collapsed="false">
      <c r="A2" s="39"/>
      <c r="B2" s="39" t="s">
        <v>114</v>
      </c>
      <c r="C2" s="39" t="s">
        <v>115</v>
      </c>
      <c r="D2" s="39" t="s">
        <v>116</v>
      </c>
      <c r="E2" s="39" t="s">
        <v>46</v>
      </c>
      <c r="F2" s="39" t="s">
        <v>47</v>
      </c>
      <c r="G2" s="39" t="s">
        <v>48</v>
      </c>
      <c r="H2" s="39" t="s">
        <v>49</v>
      </c>
      <c r="I2" s="39" t="s">
        <v>50</v>
      </c>
      <c r="J2" s="39" t="s">
        <v>51</v>
      </c>
      <c r="K2" s="39" t="s">
        <v>52</v>
      </c>
      <c r="L2" s="39" t="s">
        <v>53</v>
      </c>
      <c r="M2" s="39" t="s">
        <v>54</v>
      </c>
      <c r="N2" s="39" t="s">
        <v>55</v>
      </c>
      <c r="O2" s="39" t="s">
        <v>56</v>
      </c>
      <c r="P2" s="39" t="s">
        <v>57</v>
      </c>
      <c r="Q2" s="39" t="s">
        <v>58</v>
      </c>
      <c r="R2" s="39" t="s">
        <v>59</v>
      </c>
      <c r="S2" s="39" t="s">
        <v>60</v>
      </c>
      <c r="T2" s="39" t="s">
        <v>61</v>
      </c>
      <c r="U2" s="39" t="s">
        <v>62</v>
      </c>
      <c r="V2" s="39" t="s">
        <v>63</v>
      </c>
      <c r="W2" s="39" t="s">
        <v>64</v>
      </c>
      <c r="X2" s="39" t="s">
        <v>65</v>
      </c>
      <c r="Y2" s="39" t="s">
        <v>66</v>
      </c>
      <c r="Z2" s="39" t="s">
        <v>67</v>
      </c>
      <c r="AA2" s="39" t="s">
        <v>68</v>
      </c>
      <c r="AB2" s="39" t="s">
        <v>69</v>
      </c>
      <c r="AC2" s="39" t="s">
        <v>70</v>
      </c>
      <c r="AD2" s="39" t="s">
        <v>71</v>
      </c>
      <c r="AE2" s="39" t="s">
        <v>72</v>
      </c>
      <c r="AF2" s="39" t="s">
        <v>73</v>
      </c>
      <c r="AG2" s="39" t="s">
        <v>74</v>
      </c>
      <c r="AH2" s="39" t="s">
        <v>75</v>
      </c>
      <c r="AI2" s="39" t="s">
        <v>76</v>
      </c>
      <c r="AJ2" s="39" t="s">
        <v>77</v>
      </c>
      <c r="AK2" s="39" t="s">
        <v>78</v>
      </c>
      <c r="AL2" s="39" t="s">
        <v>79</v>
      </c>
      <c r="AM2" s="39" t="s">
        <v>80</v>
      </c>
      <c r="AN2" s="39" t="s">
        <v>81</v>
      </c>
    </row>
    <row r="3" customFormat="false" ht="15" hidden="false" customHeight="false" outlineLevel="0" collapsed="false">
      <c r="A3" s="3" t="s">
        <v>117</v>
      </c>
      <c r="D3" s="40"/>
      <c r="E3" s="40" t="n">
        <v>200</v>
      </c>
      <c r="F3" s="40" t="n">
        <v>200</v>
      </c>
      <c r="G3" s="41" t="n">
        <v>225</v>
      </c>
      <c r="H3" s="41" t="n">
        <v>225</v>
      </c>
      <c r="I3" s="41" t="n">
        <v>250</v>
      </c>
      <c r="J3" s="41" t="n">
        <v>250</v>
      </c>
      <c r="K3" s="41" t="n">
        <v>275</v>
      </c>
      <c r="L3" s="41" t="n">
        <v>275</v>
      </c>
      <c r="M3" s="41" t="n">
        <v>300</v>
      </c>
      <c r="N3" s="41" t="n">
        <v>300</v>
      </c>
      <c r="O3" s="40" t="n">
        <v>330</v>
      </c>
      <c r="P3" s="40" t="n">
        <v>330</v>
      </c>
      <c r="Q3" s="40" t="n">
        <v>360</v>
      </c>
      <c r="R3" s="40" t="n">
        <v>360</v>
      </c>
      <c r="S3" s="40" t="n">
        <v>360</v>
      </c>
      <c r="T3" s="40" t="n">
        <v>360</v>
      </c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customFormat="false" ht="15" hidden="false" customHeight="false" outlineLevel="0" collapsed="false">
      <c r="A4" s="3" t="s">
        <v>118</v>
      </c>
      <c r="D4" s="40"/>
      <c r="E4" s="40" t="n">
        <v>125</v>
      </c>
      <c r="F4" s="40" t="n">
        <v>125</v>
      </c>
      <c r="G4" s="41" t="n">
        <v>135</v>
      </c>
      <c r="H4" s="41" t="n">
        <v>135</v>
      </c>
      <c r="I4" s="41" t="n">
        <v>160</v>
      </c>
      <c r="J4" s="41" t="n">
        <v>160</v>
      </c>
      <c r="K4" s="41" t="n">
        <v>180</v>
      </c>
      <c r="L4" s="41" t="n">
        <v>180</v>
      </c>
      <c r="M4" s="41" t="n">
        <v>200</v>
      </c>
      <c r="N4" s="41" t="n">
        <v>200</v>
      </c>
      <c r="O4" s="40" t="n">
        <v>220</v>
      </c>
      <c r="P4" s="40" t="n">
        <v>220</v>
      </c>
      <c r="Q4" s="40" t="n">
        <v>240</v>
      </c>
      <c r="R4" s="40" t="n">
        <v>240</v>
      </c>
      <c r="S4" s="40" t="n">
        <v>240</v>
      </c>
      <c r="T4" s="40" t="n">
        <v>240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</row>
    <row r="5" customFormat="false" ht="15" hidden="false" customHeight="false" outlineLevel="0" collapsed="false">
      <c r="A5" s="3" t="s">
        <v>119</v>
      </c>
      <c r="C5" s="42" t="n">
        <f aca="false">Assumptions!$C$19</f>
        <v>36</v>
      </c>
      <c r="E5" s="40" t="n">
        <f aca="false">IF(C5-3&lt;0,0,C5-3)</f>
        <v>33</v>
      </c>
      <c r="F5" s="40" t="n">
        <f aca="false">IF(E5-3&lt;0,0,E5-3)</f>
        <v>30</v>
      </c>
      <c r="G5" s="40" t="n">
        <f aca="false">IF(F5-3&lt;0,0,F5-3)</f>
        <v>27</v>
      </c>
      <c r="H5" s="40" t="n">
        <f aca="false">IF(G5-3&lt;0,0,G5-3)</f>
        <v>24</v>
      </c>
      <c r="I5" s="40" t="n">
        <f aca="false">IF(H5-3&lt;0,0,H5-3)</f>
        <v>21</v>
      </c>
      <c r="J5" s="40" t="n">
        <f aca="false">IF(I5-3&lt;0,0,I5-3)</f>
        <v>18</v>
      </c>
      <c r="K5" s="40" t="n">
        <f aca="false">IF(J5-3&lt;0,0,J5-3)</f>
        <v>15</v>
      </c>
      <c r="L5" s="40" t="n">
        <f aca="false">IF(K5-3&lt;0,0,K5-3)</f>
        <v>12</v>
      </c>
      <c r="M5" s="40" t="n">
        <f aca="false">IF(L5-3&lt;0,0,L5-3)</f>
        <v>9</v>
      </c>
      <c r="N5" s="40" t="n">
        <f aca="false">IF(M5-3&lt;0,0,M5-3)</f>
        <v>6</v>
      </c>
      <c r="O5" s="40" t="n">
        <f aca="false">IF(N5-3&lt;0,0,N5-3)</f>
        <v>3</v>
      </c>
      <c r="P5" s="40" t="n">
        <f aca="false">IF(O5-3&lt;0,0,O5-3)</f>
        <v>0</v>
      </c>
      <c r="Q5" s="40" t="n">
        <f aca="false">IF(P5-3&lt;0,0,P5-3)</f>
        <v>0</v>
      </c>
      <c r="R5" s="40" t="n">
        <f aca="false">IF(Q5-3&lt;0,0,Q5-3)</f>
        <v>0</v>
      </c>
      <c r="S5" s="40" t="n">
        <f aca="false">IF(R5-3&lt;0,0,R5-3)</f>
        <v>0</v>
      </c>
      <c r="T5" s="40" t="n">
        <f aca="false">IF(S5-3&lt;0,0,S5-3)</f>
        <v>0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</row>
    <row r="6" customFormat="false" ht="15" hidden="false" customHeight="false" outlineLevel="0" collapsed="false">
      <c r="A6" s="3" t="s">
        <v>120</v>
      </c>
      <c r="B6" s="3" t="n">
        <v>4473</v>
      </c>
      <c r="C6" s="3" t="n">
        <v>20</v>
      </c>
      <c r="D6" s="40"/>
      <c r="E6" s="40"/>
      <c r="F6" s="40"/>
      <c r="G6" s="41"/>
      <c r="H6" s="41"/>
      <c r="I6" s="41" t="n">
        <v>10</v>
      </c>
      <c r="J6" s="41" t="n">
        <v>10</v>
      </c>
      <c r="K6" s="41" t="n">
        <v>10</v>
      </c>
      <c r="L6" s="41" t="n">
        <v>7</v>
      </c>
      <c r="M6" s="41" t="n">
        <v>7</v>
      </c>
      <c r="N6" s="41" t="n">
        <v>6</v>
      </c>
      <c r="O6" s="41" t="n">
        <v>5</v>
      </c>
      <c r="P6" s="41" t="n">
        <v>5</v>
      </c>
      <c r="Q6" s="41" t="n">
        <v>5</v>
      </c>
      <c r="R6" s="41" t="n">
        <v>5</v>
      </c>
      <c r="S6" s="40" t="n">
        <v>5</v>
      </c>
      <c r="T6" s="40" t="n">
        <v>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</row>
    <row r="7" customFormat="false" ht="15" hidden="false" customHeight="false" outlineLevel="0" collapsed="false">
      <c r="A7" s="3" t="s">
        <v>121</v>
      </c>
      <c r="B7" s="3" t="n">
        <v>10437</v>
      </c>
      <c r="C7" s="3" t="n">
        <v>20</v>
      </c>
      <c r="D7" s="40"/>
      <c r="E7" s="40"/>
      <c r="F7" s="40"/>
      <c r="G7" s="41"/>
      <c r="H7" s="41"/>
      <c r="I7" s="41" t="n">
        <v>15</v>
      </c>
      <c r="J7" s="41" t="n">
        <v>15</v>
      </c>
      <c r="K7" s="41" t="n">
        <v>10</v>
      </c>
      <c r="L7" s="41" t="n">
        <v>5</v>
      </c>
      <c r="M7" s="41" t="n">
        <v>5</v>
      </c>
      <c r="N7" s="41" t="n">
        <v>5</v>
      </c>
      <c r="O7" s="41" t="n">
        <v>5</v>
      </c>
      <c r="P7" s="41" t="n">
        <v>5</v>
      </c>
      <c r="Q7" s="41" t="n">
        <v>5</v>
      </c>
      <c r="R7" s="41" t="n">
        <v>5</v>
      </c>
      <c r="S7" s="40" t="n">
        <v>2.5</v>
      </c>
      <c r="T7" s="40" t="n">
        <v>2.5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</row>
    <row r="8" customFormat="false" ht="15" hidden="false" customHeight="false" outlineLevel="0" collapsed="false">
      <c r="A8" s="3" t="s">
        <v>122</v>
      </c>
      <c r="D8" s="40"/>
      <c r="E8" s="40"/>
      <c r="F8" s="40"/>
      <c r="G8" s="43"/>
      <c r="H8" s="43"/>
      <c r="I8" s="43" t="n">
        <v>8</v>
      </c>
      <c r="J8" s="43" t="n">
        <v>8</v>
      </c>
      <c r="K8" s="43" t="n">
        <v>8</v>
      </c>
      <c r="L8" s="43" t="n">
        <v>6</v>
      </c>
      <c r="M8" s="43" t="n">
        <v>6</v>
      </c>
      <c r="N8" s="43" t="n">
        <v>6</v>
      </c>
      <c r="O8" s="43" t="n">
        <v>4</v>
      </c>
      <c r="P8" s="43" t="n">
        <v>4</v>
      </c>
      <c r="Q8" s="43" t="n">
        <v>4</v>
      </c>
      <c r="R8" s="43" t="n">
        <v>3</v>
      </c>
      <c r="S8" s="43" t="n">
        <v>3</v>
      </c>
      <c r="T8" s="43" t="n">
        <v>2</v>
      </c>
      <c r="U8" s="43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</row>
    <row r="9" customFormat="false" ht="15" hidden="false" customHeight="false" outlineLevel="0" collapsed="false"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</row>
    <row r="10" customFormat="false" ht="15" hidden="false" customHeight="false" outlineLevel="0" collapsed="false">
      <c r="A10" s="3" t="s">
        <v>123</v>
      </c>
      <c r="D10" s="40"/>
      <c r="E10" s="40"/>
      <c r="F10" s="40"/>
      <c r="G10" s="40"/>
      <c r="H10" s="40"/>
      <c r="I10" s="40" t="n">
        <v>5</v>
      </c>
      <c r="J10" s="40" t="n">
        <v>5</v>
      </c>
      <c r="K10" s="40" t="n">
        <v>10</v>
      </c>
      <c r="L10" s="40" t="n">
        <v>10</v>
      </c>
      <c r="M10" s="40" t="n">
        <v>10</v>
      </c>
      <c r="N10" s="40" t="n">
        <v>10</v>
      </c>
      <c r="O10" s="40" t="n">
        <v>15</v>
      </c>
      <c r="P10" s="40" t="n">
        <v>15</v>
      </c>
      <c r="Q10" s="40" t="n">
        <v>15</v>
      </c>
      <c r="R10" s="40" t="n">
        <v>15</v>
      </c>
      <c r="S10" s="40" t="n">
        <v>20</v>
      </c>
      <c r="T10" s="40" t="n">
        <v>20</v>
      </c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</row>
    <row r="11" customFormat="false" ht="15" hidden="false" customHeight="false" outlineLevel="0" collapsed="false">
      <c r="A11" s="3" t="s">
        <v>124</v>
      </c>
      <c r="D11" s="40"/>
      <c r="E11" s="40"/>
      <c r="F11" s="40"/>
      <c r="G11" s="40"/>
      <c r="H11" s="40"/>
      <c r="I11" s="40" t="n">
        <v>5</v>
      </c>
      <c r="J11" s="40" t="n">
        <v>5</v>
      </c>
      <c r="K11" s="40" t="n">
        <v>10</v>
      </c>
      <c r="L11" s="40" t="n">
        <v>10</v>
      </c>
      <c r="M11" s="40" t="n">
        <v>10</v>
      </c>
      <c r="N11" s="40" t="n">
        <v>10</v>
      </c>
      <c r="O11" s="40" t="n">
        <v>15</v>
      </c>
      <c r="P11" s="40" t="n">
        <v>15</v>
      </c>
      <c r="Q11" s="40" t="n">
        <v>15</v>
      </c>
      <c r="R11" s="40" t="n">
        <v>15</v>
      </c>
      <c r="S11" s="40" t="n">
        <v>20</v>
      </c>
      <c r="T11" s="40" t="n">
        <v>20</v>
      </c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</row>
    <row r="12" customFormat="false" ht="15" hidden="false" customHeight="false" outlineLevel="0" collapsed="false">
      <c r="A12" s="3" t="s">
        <v>125</v>
      </c>
      <c r="D12" s="40"/>
      <c r="E12" s="40"/>
      <c r="F12" s="40"/>
      <c r="G12" s="40"/>
      <c r="H12" s="40"/>
      <c r="I12" s="40" t="n">
        <v>20</v>
      </c>
      <c r="J12" s="40" t="n">
        <v>20</v>
      </c>
      <c r="K12" s="40" t="n">
        <v>20</v>
      </c>
      <c r="L12" s="40" t="n">
        <v>20</v>
      </c>
      <c r="M12" s="40" t="n">
        <v>20</v>
      </c>
      <c r="N12" s="40" t="n">
        <v>20</v>
      </c>
      <c r="O12" s="40" t="n">
        <v>25</v>
      </c>
      <c r="P12" s="40" t="n">
        <v>25</v>
      </c>
      <c r="Q12" s="40" t="n">
        <v>25</v>
      </c>
      <c r="R12" s="40" t="n">
        <v>25</v>
      </c>
      <c r="S12" s="40" t="n">
        <v>25</v>
      </c>
      <c r="T12" s="40" t="n">
        <v>25</v>
      </c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</row>
    <row r="13" customFormat="false" ht="15" hidden="false" customHeight="false" outlineLevel="0" collapsed="false"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</row>
    <row r="14" customFormat="false" ht="15" hidden="false" customHeight="false" outlineLevel="0" collapsed="false">
      <c r="A14" s="3" t="s">
        <v>126</v>
      </c>
      <c r="D14" s="40"/>
      <c r="E14" s="40"/>
      <c r="F14" s="40"/>
      <c r="G14" s="40"/>
      <c r="H14" s="40"/>
      <c r="I14" s="40" t="n">
        <v>10</v>
      </c>
      <c r="J14" s="40" t="n">
        <v>12</v>
      </c>
      <c r="K14" s="40" t="n">
        <v>12</v>
      </c>
      <c r="L14" s="40" t="n">
        <v>12</v>
      </c>
      <c r="M14" s="40" t="n">
        <v>15</v>
      </c>
      <c r="N14" s="40" t="n">
        <v>15</v>
      </c>
      <c r="O14" s="40" t="n">
        <v>15</v>
      </c>
      <c r="P14" s="40" t="n">
        <v>15</v>
      </c>
      <c r="Q14" s="40" t="n">
        <v>15</v>
      </c>
      <c r="R14" s="40" t="n">
        <v>15</v>
      </c>
      <c r="S14" s="40" t="n">
        <v>15</v>
      </c>
      <c r="T14" s="40" t="n">
        <v>15</v>
      </c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</row>
    <row r="15" customFormat="false" ht="15" hidden="false" customHeight="false" outlineLevel="0" collapsed="false">
      <c r="A15" s="3" t="s">
        <v>127</v>
      </c>
      <c r="D15" s="40"/>
      <c r="E15" s="40"/>
      <c r="F15" s="40"/>
      <c r="G15" s="40"/>
      <c r="H15" s="40"/>
      <c r="I15" s="40" t="n">
        <v>10</v>
      </c>
      <c r="J15" s="40" t="n">
        <v>12</v>
      </c>
      <c r="K15" s="40" t="n">
        <v>12</v>
      </c>
      <c r="L15" s="40" t="n">
        <v>12</v>
      </c>
      <c r="M15" s="40" t="n">
        <v>15</v>
      </c>
      <c r="N15" s="40" t="n">
        <v>15</v>
      </c>
      <c r="O15" s="40" t="n">
        <v>15</v>
      </c>
      <c r="P15" s="40" t="n">
        <v>15</v>
      </c>
      <c r="Q15" s="40" t="n">
        <v>15</v>
      </c>
      <c r="R15" s="40" t="n">
        <v>15</v>
      </c>
      <c r="S15" s="40" t="n">
        <v>10</v>
      </c>
      <c r="T15" s="40" t="n">
        <v>10</v>
      </c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</row>
    <row r="16" customFormat="false" ht="15" hidden="false" customHeight="false" outlineLevel="0" collapsed="false">
      <c r="A16" s="3" t="s">
        <v>128</v>
      </c>
      <c r="D16" s="40"/>
      <c r="E16" s="40"/>
      <c r="F16" s="40"/>
      <c r="G16" s="40"/>
      <c r="H16" s="40"/>
      <c r="I16" s="40" t="n">
        <v>10</v>
      </c>
      <c r="J16" s="40" t="n">
        <v>12</v>
      </c>
      <c r="K16" s="40" t="n">
        <v>12</v>
      </c>
      <c r="L16" s="40" t="n">
        <v>12</v>
      </c>
      <c r="M16" s="40" t="n">
        <v>15</v>
      </c>
      <c r="N16" s="40" t="n">
        <v>15</v>
      </c>
      <c r="O16" s="40" t="n">
        <v>7.5</v>
      </c>
      <c r="P16" s="40" t="n">
        <v>7.5</v>
      </c>
      <c r="Q16" s="40" t="n">
        <v>7.5</v>
      </c>
      <c r="R16" s="40" t="n">
        <v>7.5</v>
      </c>
      <c r="S16" s="40" t="n">
        <v>10</v>
      </c>
      <c r="T16" s="40" t="n">
        <v>10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</row>
    <row r="17" customFormat="false" ht="15" hidden="false" customHeight="false" outlineLevel="0" collapsed="false">
      <c r="A17" s="3" t="s">
        <v>129</v>
      </c>
      <c r="D17" s="40"/>
      <c r="E17" s="40"/>
      <c r="F17" s="40"/>
      <c r="G17" s="40"/>
      <c r="H17" s="40"/>
      <c r="I17" s="40" t="n">
        <v>8</v>
      </c>
      <c r="J17" s="40" t="n">
        <v>10</v>
      </c>
      <c r="K17" s="40" t="n">
        <v>8</v>
      </c>
      <c r="L17" s="40" t="n">
        <v>8</v>
      </c>
      <c r="M17" s="40" t="n">
        <v>5</v>
      </c>
      <c r="N17" s="40" t="n">
        <v>5</v>
      </c>
      <c r="O17" s="40" t="n">
        <v>7.5</v>
      </c>
      <c r="P17" s="40" t="n">
        <v>7.5</v>
      </c>
      <c r="Q17" s="40" t="n">
        <v>7.5</v>
      </c>
      <c r="R17" s="40" t="n">
        <v>7.5</v>
      </c>
      <c r="S17" s="40" t="n">
        <v>0</v>
      </c>
      <c r="T17" s="40" t="n">
        <v>0</v>
      </c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</row>
    <row r="18" customFormat="false" ht="15" hidden="false" customHeight="false" outlineLevel="0" collapsed="false">
      <c r="A18" s="3" t="s">
        <v>130</v>
      </c>
      <c r="D18" s="40"/>
      <c r="E18" s="40"/>
      <c r="F18" s="40"/>
      <c r="G18" s="40"/>
      <c r="H18" s="40"/>
      <c r="I18" s="40" t="n">
        <v>8</v>
      </c>
      <c r="J18" s="40" t="n">
        <v>8</v>
      </c>
      <c r="K18" s="40" t="n">
        <v>8</v>
      </c>
      <c r="L18" s="40" t="n">
        <v>8</v>
      </c>
      <c r="M18" s="40" t="n">
        <v>5</v>
      </c>
      <c r="N18" s="40" t="n">
        <v>5</v>
      </c>
      <c r="O18" s="40" t="n">
        <v>0</v>
      </c>
      <c r="P18" s="40" t="n">
        <v>0</v>
      </c>
      <c r="Q18" s="40" t="n">
        <v>0</v>
      </c>
      <c r="R18" s="40" t="n">
        <v>0</v>
      </c>
      <c r="S18" s="40" t="n">
        <v>0</v>
      </c>
      <c r="T18" s="40" t="n">
        <v>0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</row>
    <row r="19" customFormat="false" ht="15" hidden="false" customHeight="false" outlineLevel="0" collapsed="false">
      <c r="A19" s="3" t="s">
        <v>131</v>
      </c>
      <c r="D19" s="40"/>
      <c r="E19" s="40"/>
      <c r="F19" s="40"/>
      <c r="G19" s="40"/>
      <c r="H19" s="40"/>
      <c r="I19" s="40" t="n">
        <v>8</v>
      </c>
      <c r="J19" s="40" t="n">
        <v>8</v>
      </c>
      <c r="K19" s="40" t="n">
        <v>8</v>
      </c>
      <c r="L19" s="40" t="n">
        <v>8</v>
      </c>
      <c r="M19" s="40" t="n">
        <v>5</v>
      </c>
      <c r="N19" s="40" t="n">
        <v>5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</row>
    <row r="20" customFormat="false" ht="15" hidden="false" customHeight="false" outlineLevel="0" collapsed="false">
      <c r="A20" s="3" t="s">
        <v>132</v>
      </c>
      <c r="D20" s="40"/>
      <c r="E20" s="40"/>
      <c r="F20" s="40"/>
      <c r="G20" s="40"/>
      <c r="H20" s="40"/>
      <c r="I20" s="40" t="n">
        <v>8</v>
      </c>
      <c r="J20" s="40" t="n">
        <v>8</v>
      </c>
      <c r="K20" s="40" t="n">
        <v>0</v>
      </c>
      <c r="L20" s="40" t="n">
        <v>0</v>
      </c>
      <c r="M20" s="40" t="n">
        <v>0</v>
      </c>
      <c r="N20" s="40" t="n">
        <v>0</v>
      </c>
      <c r="O20" s="40" t="n">
        <v>0</v>
      </c>
      <c r="P20" s="40" t="n">
        <v>0</v>
      </c>
      <c r="Q20" s="40" t="n">
        <v>0</v>
      </c>
      <c r="R20" s="40" t="n">
        <v>0</v>
      </c>
      <c r="S20" s="40" t="n">
        <v>0</v>
      </c>
      <c r="T20" s="40" t="n">
        <v>0</v>
      </c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</row>
    <row r="21" customFormat="false" ht="15" hidden="false" customHeight="false" outlineLevel="0" collapsed="false">
      <c r="A21" s="3" t="s">
        <v>133</v>
      </c>
      <c r="D21" s="40"/>
      <c r="E21" s="40"/>
      <c r="F21" s="40"/>
      <c r="G21" s="40"/>
      <c r="H21" s="40"/>
      <c r="I21" s="40" t="n">
        <v>8</v>
      </c>
      <c r="J21" s="40" t="n">
        <v>0</v>
      </c>
      <c r="K21" s="40" t="n">
        <v>0</v>
      </c>
      <c r="L21" s="40" t="n">
        <v>0</v>
      </c>
      <c r="M21" s="40" t="n">
        <v>0</v>
      </c>
      <c r="N21" s="40" t="n">
        <v>0</v>
      </c>
      <c r="O21" s="40" t="n">
        <v>0</v>
      </c>
      <c r="P21" s="40" t="n">
        <v>0</v>
      </c>
      <c r="Q21" s="40" t="n">
        <v>0</v>
      </c>
      <c r="R21" s="40" t="n">
        <v>0</v>
      </c>
      <c r="S21" s="40" t="n">
        <v>0</v>
      </c>
      <c r="T21" s="40" t="n">
        <v>0</v>
      </c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</row>
    <row r="22" customFormat="false" ht="15" hidden="false" customHeight="false" outlineLevel="0" collapsed="false"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</row>
    <row r="23" customFormat="false" ht="15" hidden="false" customHeight="false" outlineLevel="0" collapsed="false"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customFormat="false" ht="15" hidden="false" customHeight="false" outlineLevel="0" collapsed="false">
      <c r="A24" s="44" t="s">
        <v>134</v>
      </c>
      <c r="B24" s="44"/>
      <c r="C24" s="44"/>
      <c r="D24" s="45" t="n">
        <f aca="false">SUM(E24:T24)</f>
        <v>1076874.75</v>
      </c>
      <c r="E24" s="46" t="n">
        <f aca="false">E3*$B$6*(E6/100)</f>
        <v>0</v>
      </c>
      <c r="F24" s="46" t="n">
        <f aca="false">F3*$B$6*(F6/100)</f>
        <v>0</v>
      </c>
      <c r="G24" s="46" t="n">
        <f aca="false">G3*$B$6*(G6/100)</f>
        <v>0</v>
      </c>
      <c r="H24" s="46" t="n">
        <f aca="false">H3*$B$6*(H6/100)</f>
        <v>0</v>
      </c>
      <c r="I24" s="46" t="n">
        <f aca="false">I3*$B$6*(I6/100)</f>
        <v>111825</v>
      </c>
      <c r="J24" s="46" t="n">
        <f aca="false">J3*$B$6*(J6/100)</f>
        <v>111825</v>
      </c>
      <c r="K24" s="46" t="n">
        <f aca="false">K3*$B$6*(K6/100)</f>
        <v>123007.5</v>
      </c>
      <c r="L24" s="46" t="n">
        <f aca="false">L3*$B$6*(L6/100)</f>
        <v>86105.25</v>
      </c>
      <c r="M24" s="46" t="n">
        <f aca="false">M3*$B$6*(M6/100)</f>
        <v>93933</v>
      </c>
      <c r="N24" s="46" t="n">
        <f aca="false">N3*$B$6*(N6/100)</f>
        <v>80514</v>
      </c>
      <c r="O24" s="46" t="n">
        <f aca="false">O3*$B$6*(O6/100)</f>
        <v>73804.5</v>
      </c>
      <c r="P24" s="46" t="n">
        <f aca="false">P3*$B$6*(P6/100)</f>
        <v>73804.5</v>
      </c>
      <c r="Q24" s="46" t="n">
        <f aca="false">Q3*$B$6*(Q6/100)</f>
        <v>80514</v>
      </c>
      <c r="R24" s="46" t="n">
        <f aca="false">R3*$B$6*(R6/100)</f>
        <v>80514</v>
      </c>
      <c r="S24" s="46" t="n">
        <f aca="false">S3*$B$6*(S6/100)</f>
        <v>80514</v>
      </c>
      <c r="T24" s="46" t="n">
        <f aca="false">T3*$B$6*(T6/100)</f>
        <v>80514</v>
      </c>
    </row>
    <row r="25" customFormat="false" ht="15" hidden="false" customHeight="false" outlineLevel="0" collapsed="false">
      <c r="A25" s="44" t="s">
        <v>135</v>
      </c>
      <c r="B25" s="44"/>
      <c r="C25" s="44"/>
      <c r="D25" s="45" t="n">
        <f aca="false">SUM(E25:T25)</f>
        <v>1596861</v>
      </c>
      <c r="E25" s="46" t="n">
        <f aca="false">E4*$B$7*(E7/100)</f>
        <v>0</v>
      </c>
      <c r="F25" s="46" t="n">
        <f aca="false">F4*$B$7*(F7/100)</f>
        <v>0</v>
      </c>
      <c r="G25" s="46" t="n">
        <f aca="false">G4*$B$7*(G7/100)</f>
        <v>0</v>
      </c>
      <c r="H25" s="46" t="n">
        <f aca="false">H4*$B$7*(H7/100)</f>
        <v>0</v>
      </c>
      <c r="I25" s="46" t="n">
        <f aca="false">I4*$B$7*(I7/100)</f>
        <v>250488</v>
      </c>
      <c r="J25" s="46" t="n">
        <f aca="false">J4*$B$7*(J7/100)</f>
        <v>250488</v>
      </c>
      <c r="K25" s="46" t="n">
        <f aca="false">K4*$B$7*(K7/100)</f>
        <v>187866</v>
      </c>
      <c r="L25" s="46" t="n">
        <f aca="false">L4*$B$7*(L7/100)</f>
        <v>93933</v>
      </c>
      <c r="M25" s="46" t="n">
        <f aca="false">M4*$B$7*(M7/100)</f>
        <v>104370</v>
      </c>
      <c r="N25" s="46" t="n">
        <f aca="false">N4*$B$7*(N7/100)</f>
        <v>104370</v>
      </c>
      <c r="O25" s="46" t="n">
        <f aca="false">O4*$B$7*(O7/100)</f>
        <v>114807</v>
      </c>
      <c r="P25" s="46" t="n">
        <f aca="false">P4*$B$7*(P7/100)</f>
        <v>114807</v>
      </c>
      <c r="Q25" s="46" t="n">
        <f aca="false">Q4*$B$7*(Q7/100)</f>
        <v>125244</v>
      </c>
      <c r="R25" s="46" t="n">
        <f aca="false">R4*$B$7*(R7/100)</f>
        <v>125244</v>
      </c>
      <c r="S25" s="46" t="n">
        <f aca="false">S4*$B$7*(S7/100)</f>
        <v>62622</v>
      </c>
      <c r="T25" s="46" t="n">
        <f aca="false">T4*$B$7*(T7/100)</f>
        <v>62622</v>
      </c>
    </row>
    <row r="26" customFormat="false" ht="15" hidden="false" customHeight="false" outlineLevel="0" collapsed="false">
      <c r="A26" s="47" t="s">
        <v>136</v>
      </c>
      <c r="B26" s="47"/>
      <c r="C26" s="47"/>
      <c r="D26" s="48" t="n">
        <f aca="false">SUM(D24:D25)</f>
        <v>2673735.75</v>
      </c>
      <c r="E26" s="48" t="n">
        <f aca="false">SUM(E24:E25)</f>
        <v>0</v>
      </c>
      <c r="F26" s="48" t="n">
        <f aca="false">SUM(F24:F25)</f>
        <v>0</v>
      </c>
      <c r="G26" s="48" t="n">
        <f aca="false">SUM(G24:G25)</f>
        <v>0</v>
      </c>
      <c r="H26" s="48" t="n">
        <f aca="false">SUM(H24:H25)</f>
        <v>0</v>
      </c>
      <c r="I26" s="48" t="n">
        <f aca="false">SUM(I24:I25)</f>
        <v>362313</v>
      </c>
      <c r="J26" s="48" t="n">
        <f aca="false">SUM(J24:J25)</f>
        <v>362313</v>
      </c>
      <c r="K26" s="48" t="n">
        <f aca="false">SUM(K24:K25)</f>
        <v>310873.5</v>
      </c>
      <c r="L26" s="48" t="n">
        <f aca="false">SUM(L24:L25)</f>
        <v>180038.25</v>
      </c>
      <c r="M26" s="48" t="n">
        <f aca="false">SUM(M24:M25)</f>
        <v>198303</v>
      </c>
      <c r="N26" s="48" t="n">
        <f aca="false">SUM(N24:N25)</f>
        <v>184884</v>
      </c>
      <c r="O26" s="48" t="n">
        <f aca="false">SUM(O24:O25)</f>
        <v>188611.5</v>
      </c>
      <c r="P26" s="48" t="n">
        <f aca="false">SUM(P24:P25)</f>
        <v>188611.5</v>
      </c>
      <c r="Q26" s="48" t="n">
        <f aca="false">SUM(Q24:Q25)</f>
        <v>205758</v>
      </c>
      <c r="R26" s="48" t="n">
        <f aca="false">SUM(R24:R25)</f>
        <v>205758</v>
      </c>
      <c r="S26" s="48" t="n">
        <f aca="false">SUM(S24:S25)</f>
        <v>143136</v>
      </c>
      <c r="T26" s="48" t="n">
        <f aca="false">SUM(T24:T25)</f>
        <v>143136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customFormat="false" ht="15" hidden="false" customHeight="false" outlineLevel="0" collapsed="false">
      <c r="A27" s="47"/>
      <c r="B27" s="47"/>
      <c r="C27" s="47"/>
      <c r="D27" s="48"/>
      <c r="E27" s="48" t="n">
        <f aca="false">E26</f>
        <v>0</v>
      </c>
      <c r="F27" s="48" t="n">
        <f aca="false">E27+F26</f>
        <v>0</v>
      </c>
      <c r="G27" s="48" t="n">
        <f aca="false">E27+G26</f>
        <v>0</v>
      </c>
      <c r="H27" s="48" t="n">
        <f aca="false">G27+H26</f>
        <v>0</v>
      </c>
      <c r="I27" s="48" t="n">
        <f aca="false">H27+I26</f>
        <v>362313</v>
      </c>
      <c r="J27" s="48" t="n">
        <f aca="false">I27+J26</f>
        <v>724626</v>
      </c>
      <c r="K27" s="48" t="n">
        <f aca="false">J27+K26</f>
        <v>1035499.5</v>
      </c>
      <c r="L27" s="48" t="n">
        <f aca="false">K27+L26</f>
        <v>1215537.75</v>
      </c>
      <c r="M27" s="48" t="n">
        <f aca="false">L27+M26</f>
        <v>1413840.75</v>
      </c>
      <c r="N27" s="48" t="n">
        <f aca="false">M27+N26</f>
        <v>1598724.75</v>
      </c>
      <c r="O27" s="48" t="n">
        <f aca="false">N27+O26</f>
        <v>1787336.25</v>
      </c>
      <c r="P27" s="48" t="n">
        <f aca="false">O27+P26</f>
        <v>1975947.75</v>
      </c>
      <c r="Q27" s="48" t="n">
        <f aca="false">P27+Q26</f>
        <v>2181705.75</v>
      </c>
      <c r="R27" s="48" t="n">
        <f aca="false">Q27+R26</f>
        <v>2387463.75</v>
      </c>
      <c r="S27" s="48" t="n">
        <f aca="false">R27+S26</f>
        <v>2530599.75</v>
      </c>
      <c r="T27" s="48" t="n">
        <f aca="false">S27+T26</f>
        <v>2673735.75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customFormat="false" ht="15" hidden="false" customHeight="false" outlineLevel="0" collapsed="false">
      <c r="A28" s="49"/>
      <c r="B28" s="49"/>
      <c r="C28" s="49"/>
      <c r="D28" s="50"/>
      <c r="E28" s="50"/>
      <c r="F28" s="50"/>
      <c r="G28" s="51" t="n">
        <f aca="false">G26*4%</f>
        <v>0</v>
      </c>
      <c r="H28" s="51" t="n">
        <f aca="false">H26*4%</f>
        <v>0</v>
      </c>
      <c r="I28" s="51" t="n">
        <f aca="false">I26*4%</f>
        <v>14492.52</v>
      </c>
      <c r="J28" s="51" t="n">
        <f aca="false">J26*4%</f>
        <v>14492.52</v>
      </c>
      <c r="K28" s="51" t="n">
        <f aca="false">K26*4%</f>
        <v>12434.94</v>
      </c>
      <c r="L28" s="51" t="n">
        <f aca="false">L26*4%</f>
        <v>7201.53</v>
      </c>
      <c r="M28" s="51" t="n">
        <f aca="false">M26*4%</f>
        <v>7932.12</v>
      </c>
      <c r="N28" s="51" t="n">
        <f aca="false">N26*4%</f>
        <v>7395.36</v>
      </c>
      <c r="O28" s="51" t="n">
        <f aca="false">O26*4%</f>
        <v>7544.46</v>
      </c>
      <c r="P28" s="51" t="n">
        <f aca="false">P26*4%</f>
        <v>7544.46</v>
      </c>
      <c r="Q28" s="51" t="n">
        <f aca="false">Q26*4%</f>
        <v>8230.32</v>
      </c>
      <c r="R28" s="51" t="n">
        <f aca="false">R26*4%</f>
        <v>8230.32</v>
      </c>
      <c r="S28" s="51" t="n">
        <f aca="false">S26*4%</f>
        <v>5725.44</v>
      </c>
      <c r="T28" s="51" t="n">
        <f aca="false">T26*4%</f>
        <v>5725.44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customFormat="false" ht="15" hidden="false" customHeight="false" outlineLevel="0" collapsed="false">
      <c r="A29" s="39"/>
      <c r="B29" s="39"/>
      <c r="C29" s="39"/>
      <c r="D29" s="39" t="s">
        <v>116</v>
      </c>
      <c r="E29" s="39" t="s">
        <v>46</v>
      </c>
      <c r="F29" s="39" t="s">
        <v>47</v>
      </c>
      <c r="G29" s="39" t="s">
        <v>48</v>
      </c>
      <c r="H29" s="39" t="s">
        <v>49</v>
      </c>
      <c r="I29" s="39" t="s">
        <v>50</v>
      </c>
      <c r="J29" s="39" t="s">
        <v>51</v>
      </c>
      <c r="K29" s="39" t="s">
        <v>52</v>
      </c>
      <c r="L29" s="39" t="s">
        <v>53</v>
      </c>
      <c r="M29" s="39" t="s">
        <v>54</v>
      </c>
      <c r="N29" s="39" t="s">
        <v>55</v>
      </c>
      <c r="O29" s="39" t="s">
        <v>56</v>
      </c>
      <c r="P29" s="39" t="s">
        <v>57</v>
      </c>
      <c r="Q29" s="39" t="s">
        <v>58</v>
      </c>
      <c r="R29" s="39" t="s">
        <v>59</v>
      </c>
      <c r="S29" s="39" t="s">
        <v>60</v>
      </c>
      <c r="T29" s="39" t="s">
        <v>61</v>
      </c>
      <c r="U29" s="39" t="s">
        <v>62</v>
      </c>
      <c r="V29" s="39" t="s">
        <v>63</v>
      </c>
      <c r="W29" s="39" t="s">
        <v>64</v>
      </c>
      <c r="X29" s="39" t="s">
        <v>65</v>
      </c>
      <c r="Y29" s="39" t="s">
        <v>66</v>
      </c>
      <c r="Z29" s="39" t="s">
        <v>67</v>
      </c>
      <c r="AA29" s="39" t="s">
        <v>68</v>
      </c>
      <c r="AB29" s="39" t="s">
        <v>69</v>
      </c>
      <c r="AC29" s="39" t="s">
        <v>70</v>
      </c>
      <c r="AD29" s="39" t="s">
        <v>71</v>
      </c>
      <c r="AE29" s="39" t="s">
        <v>72</v>
      </c>
      <c r="AF29" s="39" t="s">
        <v>73</v>
      </c>
      <c r="AG29" s="39" t="s">
        <v>74</v>
      </c>
      <c r="AH29" s="39" t="s">
        <v>75</v>
      </c>
      <c r="AI29" s="39" t="s">
        <v>76</v>
      </c>
      <c r="AJ29" s="39" t="s">
        <v>77</v>
      </c>
      <c r="AK29" s="39" t="s">
        <v>78</v>
      </c>
      <c r="AL29" s="39" t="s">
        <v>79</v>
      </c>
      <c r="AM29" s="39" t="s">
        <v>80</v>
      </c>
      <c r="AN29" s="39" t="s">
        <v>81</v>
      </c>
    </row>
    <row r="30" customFormat="false" ht="15" hidden="false" customHeight="false" outlineLevel="0" collapsed="false">
      <c r="A30" s="52" t="s">
        <v>137</v>
      </c>
      <c r="D30" s="53"/>
      <c r="E30" s="41"/>
      <c r="F30" s="41"/>
      <c r="G30" s="41"/>
      <c r="H30" s="41"/>
      <c r="I30" s="41"/>
      <c r="J30" s="41"/>
      <c r="K30" s="41"/>
      <c r="L30" s="41"/>
    </row>
    <row r="31" customFormat="false" ht="15" hidden="false" customHeight="false" outlineLevel="0" collapsed="false">
      <c r="A31" s="3" t="s">
        <v>138</v>
      </c>
      <c r="D31" s="45" t="n">
        <f aca="false">SUM(E31:AZ31)</f>
        <v>128039.625</v>
      </c>
      <c r="E31" s="54" t="n">
        <f aca="false">E3*$B$6*(E6/100)*E10/100</f>
        <v>0</v>
      </c>
      <c r="F31" s="54" t="n">
        <f aca="false">F3*$B$6*(F6/100)*F10/100</f>
        <v>0</v>
      </c>
      <c r="G31" s="54" t="n">
        <f aca="false">G3*$B$6*(G6/100)*G10/100</f>
        <v>0</v>
      </c>
      <c r="H31" s="54" t="n">
        <f aca="false">H3*$B$6*(H6/100)*H10/100</f>
        <v>0</v>
      </c>
      <c r="I31" s="54" t="n">
        <f aca="false">I3*$B$6*(I6/100)*I10/100</f>
        <v>5591.25</v>
      </c>
      <c r="J31" s="54" t="n">
        <f aca="false">J3*$B$6*(J6/100)*J10/100</f>
        <v>5591.25</v>
      </c>
      <c r="K31" s="54" t="n">
        <f aca="false">K3*$B$6*(K6/100)*K10/100</f>
        <v>12300.75</v>
      </c>
      <c r="L31" s="54" t="n">
        <f aca="false">L3*$B$6*(L6/100)*L10/100</f>
        <v>8610.525</v>
      </c>
      <c r="M31" s="54" t="n">
        <f aca="false">M3*$B$6*(M6/100)*M10/100</f>
        <v>9393.3</v>
      </c>
      <c r="N31" s="54" t="n">
        <f aca="false">N3*$B$6*(N6/100)*N10/100</f>
        <v>8051.4</v>
      </c>
      <c r="O31" s="54" t="n">
        <f aca="false">O3*$B$6*(O6/100)*O10/100</f>
        <v>11070.675</v>
      </c>
      <c r="P31" s="54" t="n">
        <f aca="false">P3*$B$6*(P6/100)*P10/100</f>
        <v>11070.675</v>
      </c>
      <c r="Q31" s="54" t="n">
        <f aca="false">Q3*$B$6*(Q6/100)*Q10/100</f>
        <v>12077.1</v>
      </c>
      <c r="R31" s="54" t="n">
        <f aca="false">R3*$B$6*(R6/100)*R10/100</f>
        <v>12077.1</v>
      </c>
      <c r="S31" s="54" t="n">
        <f aca="false">S3*$B$6*(S6/100)*S10/100</f>
        <v>16102.8</v>
      </c>
      <c r="T31" s="54" t="n">
        <f aca="false">T3*$B$6*(T6/100)*T10/100</f>
        <v>16102.8</v>
      </c>
      <c r="U31" s="54" t="n">
        <f aca="false">U3*$B$6*(U6/100)*U10/100</f>
        <v>0</v>
      </c>
      <c r="V31" s="54" t="n">
        <f aca="false">V3*$B$6*(V6/100)*V10/100</f>
        <v>0</v>
      </c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customFormat="false" ht="15" hidden="false" customHeight="false" outlineLevel="0" collapsed="false">
      <c r="A32" s="3" t="s">
        <v>139</v>
      </c>
      <c r="D32" s="45" t="n">
        <f aca="false">SUM(E32:AZ32)</f>
        <v>171166.8</v>
      </c>
      <c r="E32" s="54" t="n">
        <f aca="false">E4*$B$7*(E7/100)*E10/100</f>
        <v>0</v>
      </c>
      <c r="F32" s="54" t="n">
        <f aca="false">F4*$B$7*(F7/100)*F10/100</f>
        <v>0</v>
      </c>
      <c r="G32" s="54" t="n">
        <f aca="false">G4*$B$7*(G7/100)*G10/100</f>
        <v>0</v>
      </c>
      <c r="H32" s="54" t="n">
        <f aca="false">H4*$B$7*(H7/100)*H10/100</f>
        <v>0</v>
      </c>
      <c r="I32" s="54" t="n">
        <f aca="false">I4*$B$7*(I7/100)*I10/100</f>
        <v>12524.4</v>
      </c>
      <c r="J32" s="54" t="n">
        <f aca="false">J4*$B$7*(J7/100)*J10/100</f>
        <v>12524.4</v>
      </c>
      <c r="K32" s="54" t="n">
        <f aca="false">K4*$B$7*(K7/100)*K10/100</f>
        <v>18786.6</v>
      </c>
      <c r="L32" s="54" t="n">
        <f aca="false">L4*$B$7*(L7/100)*L10/100</f>
        <v>9393.3</v>
      </c>
      <c r="M32" s="54" t="n">
        <f aca="false">M4*$B$7*(M7/100)*M10/100</f>
        <v>10437</v>
      </c>
      <c r="N32" s="54" t="n">
        <f aca="false">N4*$B$7*(N7/100)*N10/100</f>
        <v>10437</v>
      </c>
      <c r="O32" s="54" t="n">
        <f aca="false">O4*$B$7*(O7/100)*O10/100</f>
        <v>17221.05</v>
      </c>
      <c r="P32" s="54" t="n">
        <f aca="false">P4*$B$7*(P7/100)*P10/100</f>
        <v>17221.05</v>
      </c>
      <c r="Q32" s="54" t="n">
        <f aca="false">Q4*$B$7*(Q7/100)*Q10/100</f>
        <v>18786.6</v>
      </c>
      <c r="R32" s="54" t="n">
        <f aca="false">R4*$B$7*(R7/100)*R10/100</f>
        <v>18786.6</v>
      </c>
      <c r="S32" s="54" t="n">
        <f aca="false">S4*$B$7*(S7/100)*S10/100</f>
        <v>12524.4</v>
      </c>
      <c r="T32" s="54" t="n">
        <f aca="false">T4*$B$7*(T7/100)*T10/100</f>
        <v>12524.4</v>
      </c>
      <c r="U32" s="54" t="n">
        <f aca="false">U4*$B$7*(U7/100)*U10/100</f>
        <v>0</v>
      </c>
      <c r="V32" s="54" t="n">
        <f aca="false">V4*$B$7*(V7/100)*V10/100</f>
        <v>0</v>
      </c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customFormat="false" ht="15" hidden="false" customHeight="false" outlineLevel="0" collapsed="false">
      <c r="A33" s="3" t="s">
        <v>140</v>
      </c>
      <c r="D33" s="45" t="n">
        <f aca="false">SUM(E33:AZ33)</f>
        <v>128039.625</v>
      </c>
      <c r="E33" s="40"/>
      <c r="F33" s="40" t="n">
        <f aca="false">E31</f>
        <v>0</v>
      </c>
      <c r="G33" s="40" t="n">
        <f aca="false">F31</f>
        <v>0</v>
      </c>
      <c r="H33" s="40" t="n">
        <f aca="false">G31</f>
        <v>0</v>
      </c>
      <c r="I33" s="40" t="n">
        <f aca="false">H31</f>
        <v>0</v>
      </c>
      <c r="J33" s="40" t="n">
        <f aca="false">I31</f>
        <v>5591.25</v>
      </c>
      <c r="K33" s="40" t="n">
        <f aca="false">J31</f>
        <v>5591.25</v>
      </c>
      <c r="L33" s="40" t="n">
        <f aca="false">K31</f>
        <v>12300.75</v>
      </c>
      <c r="M33" s="40" t="n">
        <f aca="false">L31</f>
        <v>8610.525</v>
      </c>
      <c r="N33" s="40" t="n">
        <f aca="false">M31</f>
        <v>9393.3</v>
      </c>
      <c r="O33" s="40" t="n">
        <f aca="false">N31</f>
        <v>8051.4</v>
      </c>
      <c r="P33" s="40" t="n">
        <f aca="false">O31</f>
        <v>11070.675</v>
      </c>
      <c r="Q33" s="40" t="n">
        <f aca="false">P31</f>
        <v>11070.675</v>
      </c>
      <c r="R33" s="40" t="n">
        <f aca="false">Q31</f>
        <v>12077.1</v>
      </c>
      <c r="S33" s="40" t="n">
        <f aca="false">R31</f>
        <v>12077.1</v>
      </c>
      <c r="T33" s="40" t="n">
        <f aca="false">S31</f>
        <v>16102.8</v>
      </c>
      <c r="U33" s="40" t="n">
        <f aca="false">T31</f>
        <v>16102.8</v>
      </c>
      <c r="V33" s="40" t="n">
        <f aca="false">U31</f>
        <v>0</v>
      </c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</row>
    <row r="34" customFormat="false" ht="15" hidden="false" customHeight="false" outlineLevel="0" collapsed="false">
      <c r="A34" s="3" t="s">
        <v>141</v>
      </c>
      <c r="D34" s="45" t="n">
        <f aca="false">SUM(E34:AZ34)</f>
        <v>171166.8</v>
      </c>
      <c r="E34" s="40"/>
      <c r="F34" s="40" t="n">
        <f aca="false">E32</f>
        <v>0</v>
      </c>
      <c r="G34" s="40" t="n">
        <f aca="false">F32</f>
        <v>0</v>
      </c>
      <c r="H34" s="40" t="n">
        <f aca="false">G32</f>
        <v>0</v>
      </c>
      <c r="I34" s="40" t="n">
        <f aca="false">H32</f>
        <v>0</v>
      </c>
      <c r="J34" s="40" t="n">
        <f aca="false">I32</f>
        <v>12524.4</v>
      </c>
      <c r="K34" s="40" t="n">
        <f aca="false">J32</f>
        <v>12524.4</v>
      </c>
      <c r="L34" s="40" t="n">
        <f aca="false">K32</f>
        <v>18786.6</v>
      </c>
      <c r="M34" s="40" t="n">
        <f aca="false">L32</f>
        <v>9393.3</v>
      </c>
      <c r="N34" s="40" t="n">
        <f aca="false">M32</f>
        <v>10437</v>
      </c>
      <c r="O34" s="40" t="n">
        <f aca="false">N32</f>
        <v>10437</v>
      </c>
      <c r="P34" s="40" t="n">
        <f aca="false">O32</f>
        <v>17221.05</v>
      </c>
      <c r="Q34" s="40" t="n">
        <f aca="false">P32</f>
        <v>17221.05</v>
      </c>
      <c r="R34" s="40" t="n">
        <f aca="false">Q32</f>
        <v>18786.6</v>
      </c>
      <c r="S34" s="40" t="n">
        <f aca="false">R32</f>
        <v>18786.6</v>
      </c>
      <c r="T34" s="40" t="n">
        <f aca="false">S32</f>
        <v>12524.4</v>
      </c>
      <c r="U34" s="40" t="n">
        <f aca="false">T32</f>
        <v>12524.4</v>
      </c>
      <c r="V34" s="40" t="n">
        <f aca="false">U32</f>
        <v>0</v>
      </c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</row>
    <row r="35" customFormat="false" ht="15" hidden="false" customHeight="false" outlineLevel="0" collapsed="false">
      <c r="A35" s="3" t="s">
        <v>142</v>
      </c>
      <c r="D35" s="45" t="n">
        <f aca="false">SUM(E35:AZ35)</f>
        <v>238858.2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 t="n">
        <f aca="false">SUM(E85:S85)</f>
        <v>218729.7</v>
      </c>
      <c r="T35" s="40" t="n">
        <f aca="false">SUM(T85)</f>
        <v>20128.5</v>
      </c>
      <c r="U35" s="40" t="n">
        <f aca="false">SUM(U85)</f>
        <v>0</v>
      </c>
      <c r="V35" s="40" t="n">
        <f aca="false">SUM(V85)</f>
        <v>0</v>
      </c>
      <c r="W35" s="40" t="n">
        <f aca="false">SUM(W85)</f>
        <v>0</v>
      </c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</row>
    <row r="36" customFormat="false" ht="15" hidden="false" customHeight="false" outlineLevel="0" collapsed="false">
      <c r="A36" s="3" t="s">
        <v>143</v>
      </c>
      <c r="D36" s="45" t="n">
        <f aca="false">SUM(E36:AZ36)</f>
        <v>349639.5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 t="n">
        <f aca="false">SUM(E86:S86)</f>
        <v>333984</v>
      </c>
      <c r="T36" s="40" t="n">
        <f aca="false">SUM(T86)</f>
        <v>15655.5</v>
      </c>
      <c r="U36" s="40" t="n">
        <f aca="false">SUM(U86)</f>
        <v>0</v>
      </c>
      <c r="V36" s="40" t="n">
        <f aca="false">SUM(V86)</f>
        <v>0</v>
      </c>
      <c r="W36" s="40" t="n">
        <f aca="false">SUM(W86)</f>
        <v>0</v>
      </c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</row>
    <row r="37" customFormat="false" ht="15" hidden="false" customHeight="false" outlineLevel="0" collapsed="false">
      <c r="A37" s="52" t="s">
        <v>144</v>
      </c>
      <c r="D37" s="45" t="n">
        <f aca="false">SUM(E37:AZ37)</f>
        <v>0</v>
      </c>
      <c r="E37" s="45"/>
      <c r="F37" s="45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</row>
    <row r="38" customFormat="false" ht="15" hidden="false" customHeight="false" outlineLevel="0" collapsed="false">
      <c r="A38" s="3" t="s">
        <v>145</v>
      </c>
      <c r="D38" s="45" t="n">
        <f aca="false">SUM(E38:AZ38)</f>
        <v>0</v>
      </c>
      <c r="E38" s="45"/>
      <c r="F38" s="45"/>
      <c r="G38" s="40" t="n">
        <f aca="false">$E$24*$E$14/100/4</f>
        <v>0</v>
      </c>
      <c r="H38" s="40" t="n">
        <f aca="false">$E$24*$E$14/100/4</f>
        <v>0</v>
      </c>
      <c r="I38" s="40" t="n">
        <f aca="false">$E$24*$E$14/100/4</f>
        <v>0</v>
      </c>
      <c r="J38" s="40" t="n">
        <f aca="false">$E$24*$E$14/100/4</f>
        <v>0</v>
      </c>
      <c r="K38" s="40" t="n">
        <f aca="false">$E$24*$E$15/100/4</f>
        <v>0</v>
      </c>
      <c r="L38" s="40" t="n">
        <f aca="false">$E$24*$E$15/100/4</f>
        <v>0</v>
      </c>
      <c r="M38" s="40" t="n">
        <f aca="false">$E$24*$E$15/100/4</f>
        <v>0</v>
      </c>
      <c r="N38" s="40" t="n">
        <f aca="false">$E$24*$E$15/100/4</f>
        <v>0</v>
      </c>
      <c r="O38" s="40" t="n">
        <f aca="false">$E$24*$E$16/100/4</f>
        <v>0</v>
      </c>
      <c r="P38" s="40" t="n">
        <f aca="false">$E$24*$E$16/100/4</f>
        <v>0</v>
      </c>
      <c r="Q38" s="40" t="n">
        <f aca="false">$E$24*$E$16/100/4</f>
        <v>0</v>
      </c>
      <c r="R38" s="40" t="n">
        <f aca="false">$E$24*$E$16/100/4</f>
        <v>0</v>
      </c>
      <c r="S38" s="40" t="n">
        <f aca="false">$E$24*$E$17/100/4</f>
        <v>0</v>
      </c>
      <c r="T38" s="40" t="n">
        <f aca="false">$E$24*$E$17/100/4</f>
        <v>0</v>
      </c>
      <c r="U38" s="40" t="n">
        <f aca="false">$E$24*$E$17/100/4</f>
        <v>0</v>
      </c>
      <c r="V38" s="40" t="n">
        <f aca="false">$E$24*$E$17/100/4</f>
        <v>0</v>
      </c>
      <c r="W38" s="40" t="n">
        <f aca="false">$E$24*$E$18/100/4</f>
        <v>0</v>
      </c>
      <c r="X38" s="40" t="n">
        <f aca="false">$E$24*$E$18/100/4</f>
        <v>0</v>
      </c>
      <c r="Y38" s="40" t="n">
        <f aca="false">$E$24*$E$18/100/4</f>
        <v>0</v>
      </c>
      <c r="Z38" s="40" t="n">
        <f aca="false">$E$24*$E$18/100/4</f>
        <v>0</v>
      </c>
      <c r="AA38" s="40" t="n">
        <f aca="false">$E$24*$E$19/100/4</f>
        <v>0</v>
      </c>
      <c r="AB38" s="40" t="n">
        <f aca="false">$E$24*$E$19/100/4</f>
        <v>0</v>
      </c>
      <c r="AC38" s="40" t="n">
        <f aca="false">$E$24*$E$19/100/4</f>
        <v>0</v>
      </c>
      <c r="AD38" s="40" t="n">
        <f aca="false">$E$24*$E$19/100/4</f>
        <v>0</v>
      </c>
      <c r="AE38" s="40" t="n">
        <f aca="false">$E$24*$E$20/100/4</f>
        <v>0</v>
      </c>
      <c r="AF38" s="40" t="n">
        <f aca="false">$E$24*$E$20/100/4</f>
        <v>0</v>
      </c>
      <c r="AG38" s="40" t="n">
        <f aca="false">$E$24*$E$20/100/4</f>
        <v>0</v>
      </c>
      <c r="AH38" s="40" t="n">
        <f aca="false">$E$24*$E$20/100/4</f>
        <v>0</v>
      </c>
      <c r="AI38" s="40" t="n">
        <f aca="false">$E$24*$E$21/100/4</f>
        <v>0</v>
      </c>
      <c r="AJ38" s="40" t="n">
        <f aca="false">$E$24*$E$21/100/4</f>
        <v>0</v>
      </c>
      <c r="AK38" s="40" t="n">
        <f aca="false">$E$24*$E$21/100/4</f>
        <v>0</v>
      </c>
      <c r="AL38" s="40" t="n">
        <f aca="false">$E$24*$E$21/100/4</f>
        <v>0</v>
      </c>
      <c r="AM38" s="40"/>
      <c r="AN38" s="40"/>
      <c r="AO38" s="40"/>
      <c r="AP38" s="40"/>
    </row>
    <row r="39" customFormat="false" ht="15" hidden="false" customHeight="false" outlineLevel="0" collapsed="false">
      <c r="A39" s="3" t="s">
        <v>146</v>
      </c>
      <c r="D39" s="45" t="n">
        <f aca="false">SUM(E39:AZ39)</f>
        <v>0</v>
      </c>
      <c r="E39" s="45"/>
      <c r="F39" s="45"/>
      <c r="G39" s="40" t="n">
        <f aca="false">$E$25*$E$14/100/4</f>
        <v>0</v>
      </c>
      <c r="H39" s="40" t="n">
        <f aca="false">$E$25*$E$14/100/4</f>
        <v>0</v>
      </c>
      <c r="I39" s="40" t="n">
        <f aca="false">$E$25*$E$14/100/4</f>
        <v>0</v>
      </c>
      <c r="J39" s="40" t="n">
        <f aca="false">$E$25*$E$14/100/4</f>
        <v>0</v>
      </c>
      <c r="K39" s="40" t="n">
        <f aca="false">$E$25*$E$15/100/4</f>
        <v>0</v>
      </c>
      <c r="L39" s="40" t="n">
        <f aca="false">$E$25*$E$15/100/4</f>
        <v>0</v>
      </c>
      <c r="M39" s="40" t="n">
        <f aca="false">$E$25*$E$15/100/4</f>
        <v>0</v>
      </c>
      <c r="N39" s="40" t="n">
        <f aca="false">$E$25*$E$15/100/4</f>
        <v>0</v>
      </c>
      <c r="O39" s="40" t="n">
        <f aca="false">$E$25*$E$16/100/4</f>
        <v>0</v>
      </c>
      <c r="P39" s="40" t="n">
        <f aca="false">$E$25*$E$16/100/4</f>
        <v>0</v>
      </c>
      <c r="Q39" s="40" t="n">
        <f aca="false">$E$25*$E$16/100/4</f>
        <v>0</v>
      </c>
      <c r="R39" s="40" t="n">
        <f aca="false">$E$25*$E$16/100/4</f>
        <v>0</v>
      </c>
      <c r="S39" s="40" t="n">
        <f aca="false">$E$25*$E$17/100/4</f>
        <v>0</v>
      </c>
      <c r="T39" s="40" t="n">
        <f aca="false">$E$25*$E$17/100/4</f>
        <v>0</v>
      </c>
      <c r="U39" s="40" t="n">
        <f aca="false">$E$25*$E$17/100/4</f>
        <v>0</v>
      </c>
      <c r="V39" s="40" t="n">
        <f aca="false">$E$25*$E$17/100/4</f>
        <v>0</v>
      </c>
      <c r="W39" s="40" t="n">
        <f aca="false">$E$25*$E$18/100/4</f>
        <v>0</v>
      </c>
      <c r="X39" s="40" t="n">
        <f aca="false">$E$25*$E$18/100/4</f>
        <v>0</v>
      </c>
      <c r="Y39" s="40" t="n">
        <f aca="false">$E$25*$E$18/100/4</f>
        <v>0</v>
      </c>
      <c r="Z39" s="40" t="n">
        <f aca="false">$E$25*$E$18/100/4</f>
        <v>0</v>
      </c>
      <c r="AA39" s="40" t="n">
        <f aca="false">$E$25*$E$19/100/4</f>
        <v>0</v>
      </c>
      <c r="AB39" s="40" t="n">
        <f aca="false">$E$25*$E$19/100/4</f>
        <v>0</v>
      </c>
      <c r="AC39" s="40" t="n">
        <f aca="false">$E$25*$E$19/100/4</f>
        <v>0</v>
      </c>
      <c r="AD39" s="40" t="n">
        <f aca="false">$E$25*$E$19/100/4</f>
        <v>0</v>
      </c>
      <c r="AE39" s="40" t="n">
        <f aca="false">$E$25*$E$20/100/4</f>
        <v>0</v>
      </c>
      <c r="AF39" s="40" t="n">
        <f aca="false">$E$25*$E$20/100/4</f>
        <v>0</v>
      </c>
      <c r="AG39" s="40" t="n">
        <f aca="false">$E$25*$E$20/100/4</f>
        <v>0</v>
      </c>
      <c r="AH39" s="40" t="n">
        <f aca="false">$E$25*$E$20/100/4</f>
        <v>0</v>
      </c>
      <c r="AI39" s="40" t="n">
        <f aca="false">$E$25*$E$21/100/4</f>
        <v>0</v>
      </c>
      <c r="AJ39" s="40" t="n">
        <f aca="false">$E$25*$E$21/100/4</f>
        <v>0</v>
      </c>
      <c r="AK39" s="40" t="n">
        <f aca="false">$E$25*$E$21/100/4</f>
        <v>0</v>
      </c>
      <c r="AL39" s="40" t="n">
        <f aca="false">$E$25*$E$21/100/4</f>
        <v>0</v>
      </c>
      <c r="AM39" s="40"/>
      <c r="AN39" s="40"/>
      <c r="AO39" s="40"/>
      <c r="AP39" s="40"/>
    </row>
    <row r="40" customFormat="false" ht="15" hidden="false" customHeight="false" outlineLevel="0" collapsed="false">
      <c r="A40" s="3" t="s">
        <v>147</v>
      </c>
      <c r="D40" s="45" t="n">
        <f aca="false">SUM(E40:AZ40)</f>
        <v>0</v>
      </c>
      <c r="E40" s="45"/>
      <c r="F40" s="45"/>
      <c r="G40" s="45"/>
      <c r="H40" s="40" t="n">
        <f aca="false">$F$24*$F$14/100/4</f>
        <v>0</v>
      </c>
      <c r="I40" s="40" t="n">
        <f aca="false">$F$24*$F$14/100/4</f>
        <v>0</v>
      </c>
      <c r="J40" s="40" t="n">
        <f aca="false">$F$24*$F$14/100/4</f>
        <v>0</v>
      </c>
      <c r="K40" s="40" t="n">
        <f aca="false">$F$24*$F$14/100/4</f>
        <v>0</v>
      </c>
      <c r="L40" s="40" t="n">
        <f aca="false">$F$24*$F$15/100/4</f>
        <v>0</v>
      </c>
      <c r="M40" s="40" t="n">
        <f aca="false">$F$24*$F$15/100/4</f>
        <v>0</v>
      </c>
      <c r="N40" s="40" t="n">
        <f aca="false">$F$24*$F$15/100/4</f>
        <v>0</v>
      </c>
      <c r="O40" s="40" t="n">
        <f aca="false">$F$24*$F$15/100/4</f>
        <v>0</v>
      </c>
      <c r="P40" s="40" t="n">
        <f aca="false">$F$24*$F$16/100/4</f>
        <v>0</v>
      </c>
      <c r="Q40" s="40" t="n">
        <f aca="false">$F$24*$F$16/100/4</f>
        <v>0</v>
      </c>
      <c r="R40" s="40" t="n">
        <f aca="false">$F$24*$F$16/100/4</f>
        <v>0</v>
      </c>
      <c r="S40" s="40" t="n">
        <f aca="false">$F$24*$F$16/100/4</f>
        <v>0</v>
      </c>
      <c r="T40" s="40" t="n">
        <f aca="false">$F$24*$F$17/100/4</f>
        <v>0</v>
      </c>
      <c r="U40" s="40" t="n">
        <f aca="false">$F$24*$F$17/100/4</f>
        <v>0</v>
      </c>
      <c r="V40" s="40" t="n">
        <f aca="false">$F$24*$F$17/100/4</f>
        <v>0</v>
      </c>
      <c r="W40" s="40" t="n">
        <f aca="false">$F$24*$F$17/100/4</f>
        <v>0</v>
      </c>
      <c r="X40" s="40" t="n">
        <f aca="false">$F$24*$F$18/100/4</f>
        <v>0</v>
      </c>
      <c r="Y40" s="40" t="n">
        <f aca="false">$F$24*$F$18/100/4</f>
        <v>0</v>
      </c>
      <c r="Z40" s="40" t="n">
        <f aca="false">$F$24*$F$18/100/4</f>
        <v>0</v>
      </c>
      <c r="AA40" s="40" t="n">
        <f aca="false">$F$24*$F$18/100/4</f>
        <v>0</v>
      </c>
      <c r="AB40" s="40" t="n">
        <f aca="false">$F$24*$F$19/100/4</f>
        <v>0</v>
      </c>
      <c r="AC40" s="40" t="n">
        <f aca="false">$F$24*$F$19/100/4</f>
        <v>0</v>
      </c>
      <c r="AD40" s="40" t="n">
        <f aca="false">$F$24*$F$19/100/4</f>
        <v>0</v>
      </c>
      <c r="AE40" s="40" t="n">
        <f aca="false">$F$24*$F$19/100/4</f>
        <v>0</v>
      </c>
      <c r="AF40" s="40" t="n">
        <f aca="false">$F$24*$F$20/100/4</f>
        <v>0</v>
      </c>
      <c r="AG40" s="40" t="n">
        <f aca="false">$F$24*$F$20/100/4</f>
        <v>0</v>
      </c>
      <c r="AH40" s="40" t="n">
        <f aca="false">$F$24*$F$20/100/4</f>
        <v>0</v>
      </c>
      <c r="AI40" s="40" t="n">
        <f aca="false">$F$24*$F$20/100/4</f>
        <v>0</v>
      </c>
      <c r="AJ40" s="40" t="n">
        <f aca="false">$F$24*$F$21/100/4</f>
        <v>0</v>
      </c>
      <c r="AK40" s="40" t="n">
        <f aca="false">$F$24*$F$21/100/4</f>
        <v>0</v>
      </c>
      <c r="AL40" s="40" t="n">
        <f aca="false">$F$24*$F$21/100/4</f>
        <v>0</v>
      </c>
      <c r="AM40" s="40" t="n">
        <f aca="false">$F$24*$F$21/100/4</f>
        <v>0</v>
      </c>
      <c r="AN40" s="40"/>
      <c r="AO40" s="40"/>
      <c r="AP40" s="40"/>
      <c r="AQ40" s="40"/>
    </row>
    <row r="41" customFormat="false" ht="15" hidden="false" customHeight="false" outlineLevel="0" collapsed="false">
      <c r="A41" s="3" t="s">
        <v>148</v>
      </c>
      <c r="D41" s="45" t="n">
        <f aca="false">SUM(E41:AZ41)</f>
        <v>0</v>
      </c>
      <c r="E41" s="45"/>
      <c r="F41" s="45"/>
      <c r="G41" s="45"/>
      <c r="H41" s="40" t="n">
        <f aca="false">$F$25*$F$14/100/4</f>
        <v>0</v>
      </c>
      <c r="I41" s="40" t="n">
        <f aca="false">$F$25*$F$14/100/4</f>
        <v>0</v>
      </c>
      <c r="J41" s="40" t="n">
        <f aca="false">$F$25*$F$14/100/4</f>
        <v>0</v>
      </c>
      <c r="K41" s="40" t="n">
        <f aca="false">$F$25*$F$14/100/4</f>
        <v>0</v>
      </c>
      <c r="L41" s="40" t="n">
        <f aca="false">$F$25*$F$15/100/4</f>
        <v>0</v>
      </c>
      <c r="M41" s="40" t="n">
        <f aca="false">$F$25*$F$15/100/4</f>
        <v>0</v>
      </c>
      <c r="N41" s="40" t="n">
        <f aca="false">$F$25*$F$15/100/4</f>
        <v>0</v>
      </c>
      <c r="O41" s="40" t="n">
        <f aca="false">$F$25*$F$15/100/4</f>
        <v>0</v>
      </c>
      <c r="P41" s="40" t="n">
        <f aca="false">$F$25*$F$16/100/4</f>
        <v>0</v>
      </c>
      <c r="Q41" s="40" t="n">
        <f aca="false">$F$25*$F$16/100/4</f>
        <v>0</v>
      </c>
      <c r="R41" s="40" t="n">
        <f aca="false">$F$25*$F$16/100/4</f>
        <v>0</v>
      </c>
      <c r="S41" s="40" t="n">
        <f aca="false">$F$25*$F$16/100/4</f>
        <v>0</v>
      </c>
      <c r="T41" s="40" t="n">
        <f aca="false">$F$25*$F$17/100/4</f>
        <v>0</v>
      </c>
      <c r="U41" s="40" t="n">
        <f aca="false">$F$25*$F$17/100/4</f>
        <v>0</v>
      </c>
      <c r="V41" s="40" t="n">
        <f aca="false">$F$25*$F$17/100/4</f>
        <v>0</v>
      </c>
      <c r="W41" s="40" t="n">
        <f aca="false">$F$25*$F$17/100/4</f>
        <v>0</v>
      </c>
      <c r="X41" s="40" t="n">
        <f aca="false">$F$25*$F$18/100/4</f>
        <v>0</v>
      </c>
      <c r="Y41" s="40" t="n">
        <f aca="false">$F$25*$F$18/100/4</f>
        <v>0</v>
      </c>
      <c r="Z41" s="40" t="n">
        <f aca="false">$F$25*$F$18/100/4</f>
        <v>0</v>
      </c>
      <c r="AA41" s="40" t="n">
        <f aca="false">$F$25*$F$18/100/4</f>
        <v>0</v>
      </c>
      <c r="AB41" s="40" t="n">
        <f aca="false">$F$25*$F$19/100/4</f>
        <v>0</v>
      </c>
      <c r="AC41" s="40" t="n">
        <f aca="false">$F$25*$F$19/100/4</f>
        <v>0</v>
      </c>
      <c r="AD41" s="40" t="n">
        <f aca="false">$F$25*$F$19/100/4</f>
        <v>0</v>
      </c>
      <c r="AE41" s="40" t="n">
        <f aca="false">$F$25*$F$19/100/4</f>
        <v>0</v>
      </c>
      <c r="AF41" s="40" t="n">
        <f aca="false">$F$25*$F$20/100/4</f>
        <v>0</v>
      </c>
      <c r="AG41" s="40" t="n">
        <f aca="false">$F$25*$F$20/100/4</f>
        <v>0</v>
      </c>
      <c r="AH41" s="40" t="n">
        <f aca="false">$F$25*$F$20/100/4</f>
        <v>0</v>
      </c>
      <c r="AI41" s="40" t="n">
        <f aca="false">$F$25*$F$20/100/4</f>
        <v>0</v>
      </c>
      <c r="AJ41" s="40" t="n">
        <f aca="false">$F$25*$F$21/100/4</f>
        <v>0</v>
      </c>
      <c r="AK41" s="40" t="n">
        <f aca="false">$F$25*$F$21/100/4</f>
        <v>0</v>
      </c>
      <c r="AL41" s="40" t="n">
        <f aca="false">$F$25*$F$21/100/4</f>
        <v>0</v>
      </c>
      <c r="AM41" s="40" t="n">
        <f aca="false">$F$25*$F$21/100/4</f>
        <v>0</v>
      </c>
      <c r="AN41" s="40"/>
      <c r="AO41" s="40"/>
      <c r="AP41" s="40"/>
      <c r="AQ41" s="40"/>
    </row>
    <row r="42" customFormat="false" ht="15" hidden="false" customHeight="false" outlineLevel="0" collapsed="false">
      <c r="A42" s="3" t="s">
        <v>149</v>
      </c>
      <c r="D42" s="45" t="n">
        <f aca="false">SUM(E42:AZ42)</f>
        <v>0</v>
      </c>
      <c r="E42" s="45"/>
      <c r="F42" s="45"/>
      <c r="G42" s="45"/>
      <c r="H42" s="45"/>
      <c r="I42" s="40" t="n">
        <f aca="false">$G$24*$G$14/100/4</f>
        <v>0</v>
      </c>
      <c r="J42" s="40" t="n">
        <f aca="false">$G$24*$G$14/100/4</f>
        <v>0</v>
      </c>
      <c r="K42" s="40" t="n">
        <f aca="false">$G$24*$G$14/100/4</f>
        <v>0</v>
      </c>
      <c r="L42" s="40" t="n">
        <f aca="false">$G$24*$G$14/100/4</f>
        <v>0</v>
      </c>
      <c r="M42" s="40" t="n">
        <f aca="false">$G$24*$G$15/100/4</f>
        <v>0</v>
      </c>
      <c r="N42" s="40" t="n">
        <f aca="false">$G$24*$G$15/100/4</f>
        <v>0</v>
      </c>
      <c r="O42" s="40" t="n">
        <f aca="false">$G$24*$G$15/100/4</f>
        <v>0</v>
      </c>
      <c r="P42" s="40" t="n">
        <f aca="false">$G$24*$G$15/100/4</f>
        <v>0</v>
      </c>
      <c r="Q42" s="40" t="n">
        <f aca="false">$G$24*$G$16/100/4</f>
        <v>0</v>
      </c>
      <c r="R42" s="40" t="n">
        <f aca="false">$G$24*$G$16/100/4</f>
        <v>0</v>
      </c>
      <c r="S42" s="40" t="n">
        <f aca="false">$G$24*$G$16/100/4</f>
        <v>0</v>
      </c>
      <c r="T42" s="40" t="n">
        <f aca="false">$G$24*$G$16/100/4</f>
        <v>0</v>
      </c>
      <c r="U42" s="40" t="n">
        <f aca="false">$G$24*$G$17/100/4</f>
        <v>0</v>
      </c>
      <c r="V42" s="40" t="n">
        <f aca="false">$G$24*$G$17/100/4</f>
        <v>0</v>
      </c>
      <c r="W42" s="40" t="n">
        <f aca="false">$G$24*$G$17/100/4</f>
        <v>0</v>
      </c>
      <c r="X42" s="40" t="n">
        <f aca="false">$G$24*$G$17/100/4</f>
        <v>0</v>
      </c>
      <c r="Y42" s="40" t="n">
        <f aca="false">$G$24*$G$18/100/4</f>
        <v>0</v>
      </c>
      <c r="Z42" s="40" t="n">
        <f aca="false">$G$24*$G$18/100/4</f>
        <v>0</v>
      </c>
      <c r="AA42" s="40" t="n">
        <f aca="false">$G$24*$G$18/100/4</f>
        <v>0</v>
      </c>
      <c r="AB42" s="40" t="n">
        <f aca="false">$G$24*$G$18/100/4</f>
        <v>0</v>
      </c>
      <c r="AC42" s="40" t="n">
        <f aca="false">$G$24*$G$19/100/4</f>
        <v>0</v>
      </c>
      <c r="AD42" s="40" t="n">
        <f aca="false">$G$24*$G$19/100/4</f>
        <v>0</v>
      </c>
      <c r="AE42" s="40" t="n">
        <f aca="false">$G$24*$G$19/100/4</f>
        <v>0</v>
      </c>
      <c r="AF42" s="40" t="n">
        <f aca="false">$G$24*$G$19/100/4</f>
        <v>0</v>
      </c>
      <c r="AG42" s="40" t="n">
        <f aca="false">$G$24*$G$20/100/4</f>
        <v>0</v>
      </c>
      <c r="AH42" s="40" t="n">
        <f aca="false">$G$24*$G$20/100/4</f>
        <v>0</v>
      </c>
      <c r="AI42" s="40" t="n">
        <f aca="false">$G$24*$G$20/100/4</f>
        <v>0</v>
      </c>
      <c r="AJ42" s="40" t="n">
        <f aca="false">$G$24*$G$20/100/4</f>
        <v>0</v>
      </c>
      <c r="AK42" s="40" t="n">
        <f aca="false">$G$24*$G$21/100/4</f>
        <v>0</v>
      </c>
      <c r="AL42" s="40" t="n">
        <f aca="false">$G$24*$G$21/100/4</f>
        <v>0</v>
      </c>
      <c r="AM42" s="40" t="n">
        <f aca="false">$G$24*$G$21/100/4</f>
        <v>0</v>
      </c>
      <c r="AN42" s="40" t="n">
        <f aca="false">$G$24*$G$21/100/4</f>
        <v>0</v>
      </c>
      <c r="AO42" s="40"/>
      <c r="AP42" s="40"/>
      <c r="AQ42" s="40"/>
      <c r="AR42" s="40"/>
    </row>
    <row r="43" customFormat="false" ht="15" hidden="false" customHeight="false" outlineLevel="0" collapsed="false">
      <c r="A43" s="3" t="s">
        <v>150</v>
      </c>
      <c r="D43" s="45" t="n">
        <f aca="false">SUM(E43:AZ43)</f>
        <v>0</v>
      </c>
      <c r="E43" s="45"/>
      <c r="F43" s="45"/>
      <c r="G43" s="45"/>
      <c r="H43" s="45"/>
      <c r="I43" s="40" t="n">
        <f aca="false">$G$25*$G$14/100/4</f>
        <v>0</v>
      </c>
      <c r="J43" s="40" t="n">
        <f aca="false">$G$25*$G$14/100/4</f>
        <v>0</v>
      </c>
      <c r="K43" s="40" t="n">
        <f aca="false">$G$25*$G$14/100/4</f>
        <v>0</v>
      </c>
      <c r="L43" s="40" t="n">
        <f aca="false">$G$25*$G$14/100/4</f>
        <v>0</v>
      </c>
      <c r="M43" s="40" t="n">
        <f aca="false">$G$25*$G$15/100/4</f>
        <v>0</v>
      </c>
      <c r="N43" s="40" t="n">
        <f aca="false">$G$25*$G$15/100/4</f>
        <v>0</v>
      </c>
      <c r="O43" s="40" t="n">
        <f aca="false">$G$25*$G$15/100/4</f>
        <v>0</v>
      </c>
      <c r="P43" s="40" t="n">
        <f aca="false">$G$25*$G$15/100/4</f>
        <v>0</v>
      </c>
      <c r="Q43" s="40" t="n">
        <f aca="false">$G$25*$G$16/100/4</f>
        <v>0</v>
      </c>
      <c r="R43" s="40" t="n">
        <f aca="false">$G$25*$G$16/100/4</f>
        <v>0</v>
      </c>
      <c r="S43" s="40" t="n">
        <f aca="false">$G$25*$G$16/100/4</f>
        <v>0</v>
      </c>
      <c r="T43" s="40" t="n">
        <f aca="false">$G$25*$G$16/100/4</f>
        <v>0</v>
      </c>
      <c r="U43" s="40" t="n">
        <f aca="false">$G$25*$G$17/100/4</f>
        <v>0</v>
      </c>
      <c r="V43" s="40" t="n">
        <f aca="false">$G$25*$G$17/100/4</f>
        <v>0</v>
      </c>
      <c r="W43" s="40" t="n">
        <f aca="false">$G$25*$G$17/100/4</f>
        <v>0</v>
      </c>
      <c r="X43" s="40" t="n">
        <f aca="false">$G$25*$G$17/100/4</f>
        <v>0</v>
      </c>
      <c r="Y43" s="40" t="n">
        <f aca="false">$G$25*$G$18/100/4</f>
        <v>0</v>
      </c>
      <c r="Z43" s="40" t="n">
        <f aca="false">$G$25*$G$18/100/4</f>
        <v>0</v>
      </c>
      <c r="AA43" s="40" t="n">
        <f aca="false">$G$25*$G$18/100/4</f>
        <v>0</v>
      </c>
      <c r="AB43" s="40" t="n">
        <f aca="false">$G$25*$G$18/100/4</f>
        <v>0</v>
      </c>
      <c r="AC43" s="40" t="n">
        <f aca="false">$G$25*$G$19/100/4</f>
        <v>0</v>
      </c>
      <c r="AD43" s="40" t="n">
        <f aca="false">$G$25*$G$19/100/4</f>
        <v>0</v>
      </c>
      <c r="AE43" s="40" t="n">
        <f aca="false">$G$25*$G$19/100/4</f>
        <v>0</v>
      </c>
      <c r="AF43" s="40" t="n">
        <f aca="false">$G$25*$G$19/100/4</f>
        <v>0</v>
      </c>
      <c r="AG43" s="40" t="n">
        <f aca="false">$G$25*$G$20/100/4</f>
        <v>0</v>
      </c>
      <c r="AH43" s="40" t="n">
        <f aca="false">$G$25*$G$20/100/4</f>
        <v>0</v>
      </c>
      <c r="AI43" s="40" t="n">
        <f aca="false">$G$25*$G$20/100/4</f>
        <v>0</v>
      </c>
      <c r="AJ43" s="40" t="n">
        <f aca="false">$G$25*$G$20/100/4</f>
        <v>0</v>
      </c>
      <c r="AK43" s="40" t="n">
        <f aca="false">$G$25*$G$21/100/4</f>
        <v>0</v>
      </c>
      <c r="AL43" s="40" t="n">
        <f aca="false">$G$25*$G$21/100/4</f>
        <v>0</v>
      </c>
      <c r="AM43" s="40" t="n">
        <f aca="false">$G$25*$G$21/100/4</f>
        <v>0</v>
      </c>
      <c r="AN43" s="40" t="n">
        <f aca="false">$G$25*$G$21/100/4</f>
        <v>0</v>
      </c>
      <c r="AO43" s="40"/>
      <c r="AP43" s="40"/>
      <c r="AQ43" s="40"/>
      <c r="AR43" s="40"/>
    </row>
    <row r="44" customFormat="false" ht="15" hidden="false" customHeight="false" outlineLevel="0" collapsed="false">
      <c r="A44" s="3" t="s">
        <v>151</v>
      </c>
      <c r="D44" s="45" t="n">
        <f aca="false">SUM(E44:AZ44)</f>
        <v>0</v>
      </c>
      <c r="E44" s="45"/>
      <c r="F44" s="45"/>
      <c r="G44" s="45"/>
      <c r="H44" s="45"/>
      <c r="I44" s="45"/>
      <c r="J44" s="40" t="n">
        <f aca="false">$H$24*$H$14/100/4</f>
        <v>0</v>
      </c>
      <c r="K44" s="40" t="n">
        <f aca="false">$H$24*$H$14/100/4</f>
        <v>0</v>
      </c>
      <c r="L44" s="40" t="n">
        <f aca="false">$H$24*$H$14/100/4</f>
        <v>0</v>
      </c>
      <c r="M44" s="40" t="n">
        <f aca="false">$H$24*$H$14/100/4</f>
        <v>0</v>
      </c>
      <c r="N44" s="40" t="n">
        <f aca="false">$H$24*$H$15/100/4</f>
        <v>0</v>
      </c>
      <c r="O44" s="40" t="n">
        <f aca="false">$H$24*$H$15/100/4</f>
        <v>0</v>
      </c>
      <c r="P44" s="40" t="n">
        <f aca="false">$H$24*$H$15/100/4</f>
        <v>0</v>
      </c>
      <c r="Q44" s="40" t="n">
        <f aca="false">$H$24*$H$15/100/4</f>
        <v>0</v>
      </c>
      <c r="R44" s="40" t="n">
        <f aca="false">$H$24*$H$16/100/4</f>
        <v>0</v>
      </c>
      <c r="S44" s="40" t="n">
        <f aca="false">$H$24*$H$16/100/4</f>
        <v>0</v>
      </c>
      <c r="T44" s="40" t="n">
        <f aca="false">$H$24*$H$16/100/4</f>
        <v>0</v>
      </c>
      <c r="U44" s="40" t="n">
        <f aca="false">$H$24*$H$16/100/4</f>
        <v>0</v>
      </c>
      <c r="V44" s="40" t="n">
        <f aca="false">$H$24*$H$17/100/4</f>
        <v>0</v>
      </c>
      <c r="W44" s="40" t="n">
        <f aca="false">$H$24*$H$17/100/4</f>
        <v>0</v>
      </c>
      <c r="X44" s="40" t="n">
        <f aca="false">$H$24*$H$17/100/4</f>
        <v>0</v>
      </c>
      <c r="Y44" s="40" t="n">
        <f aca="false">$H$24*$H$17/100/4</f>
        <v>0</v>
      </c>
      <c r="Z44" s="40" t="n">
        <f aca="false">$H$24*$H$18/100/4</f>
        <v>0</v>
      </c>
      <c r="AA44" s="40" t="n">
        <f aca="false">$H$24*$H$18/100/4</f>
        <v>0</v>
      </c>
      <c r="AB44" s="40" t="n">
        <f aca="false">$H$24*$H$18/100/4</f>
        <v>0</v>
      </c>
      <c r="AC44" s="40" t="n">
        <f aca="false">$H$24*$H$18/100/4</f>
        <v>0</v>
      </c>
      <c r="AD44" s="40" t="n">
        <f aca="false">$H$24*$H$19/100/4</f>
        <v>0</v>
      </c>
      <c r="AE44" s="40" t="n">
        <f aca="false">$H$24*$H$19/100/4</f>
        <v>0</v>
      </c>
      <c r="AF44" s="40" t="n">
        <f aca="false">$H$24*$H$19/100/4</f>
        <v>0</v>
      </c>
      <c r="AG44" s="40" t="n">
        <f aca="false">$H$24*$H$19/100/4</f>
        <v>0</v>
      </c>
      <c r="AH44" s="40" t="n">
        <f aca="false">$H$24*$H$20/100/4</f>
        <v>0</v>
      </c>
      <c r="AI44" s="40" t="n">
        <f aca="false">$H$24*$H$20/100/4</f>
        <v>0</v>
      </c>
      <c r="AJ44" s="40" t="n">
        <f aca="false">$H$24*$H$20/100/4</f>
        <v>0</v>
      </c>
      <c r="AK44" s="40" t="n">
        <f aca="false">$H$24*$H$20/100/4</f>
        <v>0</v>
      </c>
      <c r="AL44" s="40" t="n">
        <f aca="false">$H$24*$H$21/100/4</f>
        <v>0</v>
      </c>
      <c r="AM44" s="40" t="n">
        <f aca="false">$H$24*$H$21/100/4</f>
        <v>0</v>
      </c>
      <c r="AN44" s="40" t="n">
        <f aca="false">$H$24*$H$21/100/4</f>
        <v>0</v>
      </c>
      <c r="AO44" s="40" t="n">
        <f aca="false">$H$24*$H$21/100/4</f>
        <v>0</v>
      </c>
      <c r="AP44" s="40"/>
      <c r="AQ44" s="40"/>
      <c r="AR44" s="40"/>
    </row>
    <row r="45" customFormat="false" ht="15" hidden="false" customHeight="false" outlineLevel="0" collapsed="false">
      <c r="A45" s="3" t="s">
        <v>152</v>
      </c>
      <c r="D45" s="45" t="n">
        <f aca="false">SUM(E45:AZ45)</f>
        <v>0</v>
      </c>
      <c r="E45" s="45"/>
      <c r="F45" s="45"/>
      <c r="G45" s="45"/>
      <c r="H45" s="45"/>
      <c r="I45" s="45"/>
      <c r="J45" s="40" t="n">
        <f aca="false">$H$25*$H$14/100/4</f>
        <v>0</v>
      </c>
      <c r="K45" s="40" t="n">
        <f aca="false">$H$25*$H$14/100/4</f>
        <v>0</v>
      </c>
      <c r="L45" s="40" t="n">
        <f aca="false">$H$25*$H$14/100/4</f>
        <v>0</v>
      </c>
      <c r="M45" s="40" t="n">
        <f aca="false">$H$25*$H$14/100/4</f>
        <v>0</v>
      </c>
      <c r="N45" s="40" t="n">
        <f aca="false">$H$25*$H$15/100/4</f>
        <v>0</v>
      </c>
      <c r="O45" s="40" t="n">
        <f aca="false">$H$25*$H$15/100/4</f>
        <v>0</v>
      </c>
      <c r="P45" s="40" t="n">
        <f aca="false">$H$25*$H$15/100/4</f>
        <v>0</v>
      </c>
      <c r="Q45" s="40" t="n">
        <f aca="false">$H$25*$H$15/100/4</f>
        <v>0</v>
      </c>
      <c r="R45" s="40" t="n">
        <f aca="false">$H$25*$H$16/100/4</f>
        <v>0</v>
      </c>
      <c r="S45" s="40" t="n">
        <f aca="false">$H$25*$H$16/100/4</f>
        <v>0</v>
      </c>
      <c r="T45" s="40" t="n">
        <f aca="false">$H$25*$H$16/100/4</f>
        <v>0</v>
      </c>
      <c r="U45" s="40" t="n">
        <f aca="false">$H$25*$H$16/100/4</f>
        <v>0</v>
      </c>
      <c r="V45" s="40" t="n">
        <f aca="false">$H$25*$H$17/100/4</f>
        <v>0</v>
      </c>
      <c r="W45" s="40" t="n">
        <f aca="false">$H$25*$H$17/100/4</f>
        <v>0</v>
      </c>
      <c r="X45" s="40" t="n">
        <f aca="false">$H$25*$H$17/100/4</f>
        <v>0</v>
      </c>
      <c r="Y45" s="40" t="n">
        <f aca="false">$H$25*$H$17/100/4</f>
        <v>0</v>
      </c>
      <c r="Z45" s="40" t="n">
        <f aca="false">$H$25*$H$18/100/4</f>
        <v>0</v>
      </c>
      <c r="AA45" s="40" t="n">
        <f aca="false">$H$25*$H$18/100/4</f>
        <v>0</v>
      </c>
      <c r="AB45" s="40" t="n">
        <f aca="false">$H$25*$H$18/100/4</f>
        <v>0</v>
      </c>
      <c r="AC45" s="40" t="n">
        <f aca="false">$H$25*$H$18/100/4</f>
        <v>0</v>
      </c>
      <c r="AD45" s="40" t="n">
        <f aca="false">$H$25*$H$19/100/4</f>
        <v>0</v>
      </c>
      <c r="AE45" s="40" t="n">
        <f aca="false">$H$25*$H$19/100/4</f>
        <v>0</v>
      </c>
      <c r="AF45" s="40" t="n">
        <f aca="false">$H$25*$H$19/100/4</f>
        <v>0</v>
      </c>
      <c r="AG45" s="40" t="n">
        <f aca="false">$H$25*$H$19/100/4</f>
        <v>0</v>
      </c>
      <c r="AH45" s="40" t="n">
        <f aca="false">$H$25*$H$20/100/4</f>
        <v>0</v>
      </c>
      <c r="AI45" s="40" t="n">
        <f aca="false">$H$25*$H$20/100/4</f>
        <v>0</v>
      </c>
      <c r="AJ45" s="40" t="n">
        <f aca="false">$H$25*$H$20/100/4</f>
        <v>0</v>
      </c>
      <c r="AK45" s="40" t="n">
        <f aca="false">$H$25*$H$20/100/4</f>
        <v>0</v>
      </c>
      <c r="AL45" s="40" t="n">
        <f aca="false">$H$25*$H$21/100/4</f>
        <v>0</v>
      </c>
      <c r="AM45" s="40" t="n">
        <f aca="false">$H$25*$H$21/100/4</f>
        <v>0</v>
      </c>
      <c r="AN45" s="40" t="n">
        <f aca="false">$H$25*$H$21/100/4</f>
        <v>0</v>
      </c>
      <c r="AO45" s="40" t="n">
        <f aca="false">$H$25*$H$21/100/4</f>
        <v>0</v>
      </c>
      <c r="AP45" s="40"/>
      <c r="AQ45" s="40"/>
      <c r="AR45" s="40"/>
    </row>
    <row r="46" customFormat="false" ht="15" hidden="false" customHeight="false" outlineLevel="0" collapsed="false">
      <c r="A46" s="3" t="s">
        <v>153</v>
      </c>
      <c r="D46" s="45" t="n">
        <f aca="false">SUM(E46:AZ46)</f>
        <v>78277.5</v>
      </c>
      <c r="E46" s="45"/>
      <c r="F46" s="45"/>
      <c r="G46" s="45"/>
      <c r="H46" s="45"/>
      <c r="I46" s="45"/>
      <c r="J46" s="45"/>
      <c r="K46" s="40" t="n">
        <f aca="false">$I$24*$I$14/100/4</f>
        <v>2795.625</v>
      </c>
      <c r="L46" s="40" t="n">
        <f aca="false">$I$24*$I$14/100/4</f>
        <v>2795.625</v>
      </c>
      <c r="M46" s="40" t="n">
        <f aca="false">$I$24*$I$14/100/4</f>
        <v>2795.625</v>
      </c>
      <c r="N46" s="40" t="n">
        <f aca="false">$I$24*$I$14/100/4</f>
        <v>2795.625</v>
      </c>
      <c r="O46" s="40" t="n">
        <f aca="false">$I$24*$I$15/100/4</f>
        <v>2795.625</v>
      </c>
      <c r="P46" s="40" t="n">
        <f aca="false">$I$24*$I$15/100/4</f>
        <v>2795.625</v>
      </c>
      <c r="Q46" s="40" t="n">
        <f aca="false">$I$24*$I$15/100/4</f>
        <v>2795.625</v>
      </c>
      <c r="R46" s="40" t="n">
        <f aca="false">$I$24*$I$15/100/4</f>
        <v>2795.625</v>
      </c>
      <c r="S46" s="40" t="n">
        <f aca="false">$I$24*$I$16/100/4</f>
        <v>2795.625</v>
      </c>
      <c r="T46" s="40" t="n">
        <f aca="false">$I$24*$I$16/100/4</f>
        <v>2795.625</v>
      </c>
      <c r="U46" s="40" t="n">
        <f aca="false">$I$24*$I$16/100/4</f>
        <v>2795.625</v>
      </c>
      <c r="V46" s="40" t="n">
        <f aca="false">$I$24*$I$16/100/4</f>
        <v>2795.625</v>
      </c>
      <c r="W46" s="40" t="n">
        <f aca="false">$I$24*$I$17/100/4</f>
        <v>2236.5</v>
      </c>
      <c r="X46" s="40" t="n">
        <f aca="false">$I$24*$I$17/100/4</f>
        <v>2236.5</v>
      </c>
      <c r="Y46" s="40" t="n">
        <f aca="false">$I$24*$I$17/100/4</f>
        <v>2236.5</v>
      </c>
      <c r="Z46" s="40" t="n">
        <f aca="false">$I$24*$I$17/100/4</f>
        <v>2236.5</v>
      </c>
      <c r="AA46" s="40" t="n">
        <f aca="false">$I$24*$I$18/100/4</f>
        <v>2236.5</v>
      </c>
      <c r="AB46" s="40" t="n">
        <f aca="false">$I$24*$I$18/100/4</f>
        <v>2236.5</v>
      </c>
      <c r="AC46" s="40" t="n">
        <f aca="false">$I$24*$I$18/100/4</f>
        <v>2236.5</v>
      </c>
      <c r="AD46" s="40" t="n">
        <f aca="false">$I$24*$I$18/100/4</f>
        <v>2236.5</v>
      </c>
      <c r="AE46" s="40" t="n">
        <f aca="false">$I$24*$I$19/100/4</f>
        <v>2236.5</v>
      </c>
      <c r="AF46" s="40" t="n">
        <f aca="false">$I$24*$I$19/100/4</f>
        <v>2236.5</v>
      </c>
      <c r="AG46" s="40" t="n">
        <f aca="false">$I$24*$I$19/100/4</f>
        <v>2236.5</v>
      </c>
      <c r="AH46" s="40" t="n">
        <f aca="false">$I$24*$I$19/100/4</f>
        <v>2236.5</v>
      </c>
      <c r="AI46" s="40" t="n">
        <f aca="false">$I$24*$I$20/100/4</f>
        <v>2236.5</v>
      </c>
      <c r="AJ46" s="40" t="n">
        <f aca="false">$I$24*$I$20/100/4</f>
        <v>2236.5</v>
      </c>
      <c r="AK46" s="40" t="n">
        <f aca="false">$I$24*$I$20/100/4</f>
        <v>2236.5</v>
      </c>
      <c r="AL46" s="40" t="n">
        <f aca="false">$I$24*$I$20/100/4</f>
        <v>2236.5</v>
      </c>
      <c r="AM46" s="40" t="n">
        <f aca="false">$I$24*$I$21/100/4</f>
        <v>2236.5</v>
      </c>
      <c r="AN46" s="40" t="n">
        <f aca="false">$I$24*$I$21/100/4</f>
        <v>2236.5</v>
      </c>
      <c r="AO46" s="40" t="n">
        <f aca="false">$I$24*$I$21/100/4</f>
        <v>2236.5</v>
      </c>
      <c r="AP46" s="40" t="n">
        <f aca="false">$I$24*$I$21/100/4</f>
        <v>2236.5</v>
      </c>
      <c r="AQ46" s="40"/>
      <c r="AR46" s="40"/>
      <c r="AS46" s="40"/>
    </row>
    <row r="47" customFormat="false" ht="15" hidden="false" customHeight="false" outlineLevel="0" collapsed="false">
      <c r="A47" s="3" t="s">
        <v>154</v>
      </c>
      <c r="D47" s="45" t="n">
        <f aca="false">SUM(E47:AZ47)</f>
        <v>175341.6</v>
      </c>
      <c r="E47" s="45"/>
      <c r="F47" s="45"/>
      <c r="G47" s="45"/>
      <c r="H47" s="45"/>
      <c r="I47" s="45"/>
      <c r="J47" s="45"/>
      <c r="K47" s="40" t="n">
        <f aca="false">$I$25*$I$14/100/4</f>
        <v>6262.2</v>
      </c>
      <c r="L47" s="40" t="n">
        <f aca="false">$I$25*$I$14/100/4</f>
        <v>6262.2</v>
      </c>
      <c r="M47" s="40" t="n">
        <f aca="false">$I$25*$I$14/100/4</f>
        <v>6262.2</v>
      </c>
      <c r="N47" s="40" t="n">
        <f aca="false">$I$25*$I$14/100/4</f>
        <v>6262.2</v>
      </c>
      <c r="O47" s="40" t="n">
        <f aca="false">$I$25*$I$15/100/4</f>
        <v>6262.2</v>
      </c>
      <c r="P47" s="40" t="n">
        <f aca="false">$I$25*$I$15/100/4</f>
        <v>6262.2</v>
      </c>
      <c r="Q47" s="40" t="n">
        <f aca="false">$I$25*$I$15/100/4</f>
        <v>6262.2</v>
      </c>
      <c r="R47" s="40" t="n">
        <f aca="false">$I$25*$I$15/100/4</f>
        <v>6262.2</v>
      </c>
      <c r="S47" s="40" t="n">
        <f aca="false">$I$25*$I$16/100/4</f>
        <v>6262.2</v>
      </c>
      <c r="T47" s="40" t="n">
        <f aca="false">$I$25*$I$16/100/4</f>
        <v>6262.2</v>
      </c>
      <c r="U47" s="40" t="n">
        <f aca="false">$I$25*$I$16/100/4</f>
        <v>6262.2</v>
      </c>
      <c r="V47" s="40" t="n">
        <f aca="false">$I$25*$I$16/100/4</f>
        <v>6262.2</v>
      </c>
      <c r="W47" s="40" t="n">
        <f aca="false">$I$25*$I$17/100/4</f>
        <v>5009.76</v>
      </c>
      <c r="X47" s="40" t="n">
        <f aca="false">$I$25*$I$17/100/4</f>
        <v>5009.76</v>
      </c>
      <c r="Y47" s="40" t="n">
        <f aca="false">$I$25*$I$17/100/4</f>
        <v>5009.76</v>
      </c>
      <c r="Z47" s="40" t="n">
        <f aca="false">$I$25*$I$17/100/4</f>
        <v>5009.76</v>
      </c>
      <c r="AA47" s="40" t="n">
        <f aca="false">$I$25*$I$18/100/4</f>
        <v>5009.76</v>
      </c>
      <c r="AB47" s="40" t="n">
        <f aca="false">$I$25*$I$18/100/4</f>
        <v>5009.76</v>
      </c>
      <c r="AC47" s="40" t="n">
        <f aca="false">$I$25*$I$18/100/4</f>
        <v>5009.76</v>
      </c>
      <c r="AD47" s="40" t="n">
        <f aca="false">$I$25*$I$18/100/4</f>
        <v>5009.76</v>
      </c>
      <c r="AE47" s="40" t="n">
        <f aca="false">$I$25*$I$19/100/4</f>
        <v>5009.76</v>
      </c>
      <c r="AF47" s="40" t="n">
        <f aca="false">$I$25*$I$19/100/4</f>
        <v>5009.76</v>
      </c>
      <c r="AG47" s="40" t="n">
        <f aca="false">$I$25*$I$19/100/4</f>
        <v>5009.76</v>
      </c>
      <c r="AH47" s="40" t="n">
        <f aca="false">$I$25*$I$19/100/4</f>
        <v>5009.76</v>
      </c>
      <c r="AI47" s="40" t="n">
        <f aca="false">$I$25*$I$20/100/4</f>
        <v>5009.76</v>
      </c>
      <c r="AJ47" s="40" t="n">
        <f aca="false">$I$25*$I$20/100/4</f>
        <v>5009.76</v>
      </c>
      <c r="AK47" s="40" t="n">
        <f aca="false">$I$25*$I$20/100/4</f>
        <v>5009.76</v>
      </c>
      <c r="AL47" s="40" t="n">
        <f aca="false">$I$25*$I$20/100/4</f>
        <v>5009.76</v>
      </c>
      <c r="AM47" s="40" t="n">
        <f aca="false">$I$25*$I$21/100/4</f>
        <v>5009.76</v>
      </c>
      <c r="AN47" s="40" t="n">
        <f aca="false">$I$25*$I$21/100/4</f>
        <v>5009.76</v>
      </c>
      <c r="AO47" s="40" t="n">
        <f aca="false">$I$25*$I$21/100/4</f>
        <v>5009.76</v>
      </c>
      <c r="AP47" s="40" t="n">
        <f aca="false">$I$25*$I$21/100/4</f>
        <v>5009.76</v>
      </c>
      <c r="AQ47" s="40"/>
      <c r="AR47" s="40"/>
      <c r="AS47" s="40"/>
      <c r="AT47" s="40"/>
    </row>
    <row r="48" customFormat="false" ht="15" hidden="false" customHeight="false" outlineLevel="0" collapsed="false">
      <c r="A48" s="3" t="s">
        <v>155</v>
      </c>
      <c r="D48" s="45" t="n">
        <f aca="false">SUM(E48:AZ48)</f>
        <v>78277.5</v>
      </c>
      <c r="E48" s="45"/>
      <c r="F48" s="45"/>
      <c r="G48" s="45"/>
      <c r="H48" s="45"/>
      <c r="I48" s="45"/>
      <c r="J48" s="45"/>
      <c r="K48" s="45"/>
      <c r="L48" s="40" t="n">
        <f aca="false">$J$24*$J$14/100/4</f>
        <v>3354.75</v>
      </c>
      <c r="M48" s="40" t="n">
        <f aca="false">$J$24*$J$14/100/4</f>
        <v>3354.75</v>
      </c>
      <c r="N48" s="40" t="n">
        <f aca="false">$J$24*$J$14/100/4</f>
        <v>3354.75</v>
      </c>
      <c r="O48" s="40" t="n">
        <f aca="false">$J$24*$J$14/100/4</f>
        <v>3354.75</v>
      </c>
      <c r="P48" s="40" t="n">
        <f aca="false">$J$24*$J$15/100/4</f>
        <v>3354.75</v>
      </c>
      <c r="Q48" s="40" t="n">
        <f aca="false">$J$24*$J$15/100/4</f>
        <v>3354.75</v>
      </c>
      <c r="R48" s="40" t="n">
        <f aca="false">$J$24*$J$15/100/4</f>
        <v>3354.75</v>
      </c>
      <c r="S48" s="40" t="n">
        <f aca="false">$J$24*$J$15/100/4</f>
        <v>3354.75</v>
      </c>
      <c r="T48" s="40" t="n">
        <f aca="false">$J$24*$J$16/100/4</f>
        <v>3354.75</v>
      </c>
      <c r="U48" s="40" t="n">
        <f aca="false">$J$24*$J$16/100/4</f>
        <v>3354.75</v>
      </c>
      <c r="V48" s="40" t="n">
        <f aca="false">$J$24*$J$16/100/4</f>
        <v>3354.75</v>
      </c>
      <c r="W48" s="40" t="n">
        <f aca="false">$J$24*$J$16/100/4</f>
        <v>3354.75</v>
      </c>
      <c r="X48" s="40" t="n">
        <f aca="false">$J$24*$J$17/100/4</f>
        <v>2795.625</v>
      </c>
      <c r="Y48" s="40" t="n">
        <f aca="false">$J$24*$J$17/100/4</f>
        <v>2795.625</v>
      </c>
      <c r="Z48" s="40" t="n">
        <f aca="false">$J$24*$J$17/100/4</f>
        <v>2795.625</v>
      </c>
      <c r="AA48" s="40" t="n">
        <f aca="false">$J$24*$J$17/100/4</f>
        <v>2795.625</v>
      </c>
      <c r="AB48" s="40" t="n">
        <f aca="false">$J$24*$J$18/100/4</f>
        <v>2236.5</v>
      </c>
      <c r="AC48" s="40" t="n">
        <f aca="false">$J$24*$J$18/100/4</f>
        <v>2236.5</v>
      </c>
      <c r="AD48" s="40" t="n">
        <f aca="false">$J$24*$J$18/100/4</f>
        <v>2236.5</v>
      </c>
      <c r="AE48" s="40" t="n">
        <f aca="false">$J$24*$J$18/100/4</f>
        <v>2236.5</v>
      </c>
      <c r="AF48" s="40" t="n">
        <f aca="false">$J$24*$J$19/100/4</f>
        <v>2236.5</v>
      </c>
      <c r="AG48" s="40" t="n">
        <f aca="false">$J$24*$J$19/100/4</f>
        <v>2236.5</v>
      </c>
      <c r="AH48" s="40" t="n">
        <f aca="false">$J$24*$J$19/100/4</f>
        <v>2236.5</v>
      </c>
      <c r="AI48" s="40" t="n">
        <f aca="false">$J$24*$J$19/100/4</f>
        <v>2236.5</v>
      </c>
      <c r="AJ48" s="40" t="n">
        <f aca="false">$J$24*$J$20/100/4</f>
        <v>2236.5</v>
      </c>
      <c r="AK48" s="40" t="n">
        <f aca="false">$J$24*$J$20/100/4</f>
        <v>2236.5</v>
      </c>
      <c r="AL48" s="40" t="n">
        <f aca="false">$J$24*$J$20/100/4</f>
        <v>2236.5</v>
      </c>
      <c r="AM48" s="40" t="n">
        <f aca="false">$J$24*$J$20/100/4</f>
        <v>2236.5</v>
      </c>
      <c r="AN48" s="40" t="n">
        <f aca="false">$J$24*$J$21/100/4</f>
        <v>0</v>
      </c>
      <c r="AO48" s="40" t="n">
        <f aca="false">$J$24*$J$21/100/4</f>
        <v>0</v>
      </c>
      <c r="AP48" s="40" t="n">
        <f aca="false">$J$24*$J$21/100/4</f>
        <v>0</v>
      </c>
      <c r="AQ48" s="40" t="n">
        <f aca="false">$J$24*$J$21/100/4</f>
        <v>0</v>
      </c>
      <c r="AR48" s="40"/>
      <c r="AS48" s="40"/>
      <c r="AT48" s="40"/>
      <c r="AU48" s="40"/>
    </row>
    <row r="49" customFormat="false" ht="15" hidden="false" customHeight="false" outlineLevel="0" collapsed="false">
      <c r="A49" s="3" t="s">
        <v>156</v>
      </c>
      <c r="D49" s="45" t="n">
        <f aca="false">SUM(E49:AZ49)</f>
        <v>175341.6</v>
      </c>
      <c r="E49" s="45"/>
      <c r="F49" s="45"/>
      <c r="G49" s="45"/>
      <c r="H49" s="45"/>
      <c r="I49" s="45"/>
      <c r="J49" s="45"/>
      <c r="K49" s="45"/>
      <c r="L49" s="40" t="n">
        <f aca="false">$J$25*$J$14/100/4</f>
        <v>7514.64</v>
      </c>
      <c r="M49" s="40" t="n">
        <f aca="false">$J$25*$J$14/100/4</f>
        <v>7514.64</v>
      </c>
      <c r="N49" s="40" t="n">
        <f aca="false">$J$25*$J$14/100/4</f>
        <v>7514.64</v>
      </c>
      <c r="O49" s="40" t="n">
        <f aca="false">$J$25*$J$14/100/4</f>
        <v>7514.64</v>
      </c>
      <c r="P49" s="40" t="n">
        <f aca="false">$J$25*$J$15/100/4</f>
        <v>7514.64</v>
      </c>
      <c r="Q49" s="40" t="n">
        <f aca="false">$J$25*$J$15/100/4</f>
        <v>7514.64</v>
      </c>
      <c r="R49" s="40" t="n">
        <f aca="false">$J$25*$J$15/100/4</f>
        <v>7514.64</v>
      </c>
      <c r="S49" s="40" t="n">
        <f aca="false">$J$25*$J$15/100/4</f>
        <v>7514.64</v>
      </c>
      <c r="T49" s="40" t="n">
        <f aca="false">$J$25*$J$16/100/4</f>
        <v>7514.64</v>
      </c>
      <c r="U49" s="40" t="n">
        <f aca="false">$J$25*$J$16/100/4</f>
        <v>7514.64</v>
      </c>
      <c r="V49" s="40" t="n">
        <f aca="false">$J$25*$J$16/100/4</f>
        <v>7514.64</v>
      </c>
      <c r="W49" s="40" t="n">
        <f aca="false">$J$25*$J$16/100/4</f>
        <v>7514.64</v>
      </c>
      <c r="X49" s="40" t="n">
        <f aca="false">$J$25*$J$17/100/4</f>
        <v>6262.2</v>
      </c>
      <c r="Y49" s="40" t="n">
        <f aca="false">$J$25*$J$17/100/4</f>
        <v>6262.2</v>
      </c>
      <c r="Z49" s="40" t="n">
        <f aca="false">$J$25*$J$17/100/4</f>
        <v>6262.2</v>
      </c>
      <c r="AA49" s="40" t="n">
        <f aca="false">$J$25*$J$17/100/4</f>
        <v>6262.2</v>
      </c>
      <c r="AB49" s="40" t="n">
        <f aca="false">$J$25*$J$18/100/4</f>
        <v>5009.76</v>
      </c>
      <c r="AC49" s="40" t="n">
        <f aca="false">$J$25*$J$18/100/4</f>
        <v>5009.76</v>
      </c>
      <c r="AD49" s="40" t="n">
        <f aca="false">$J$25*$J$18/100/4</f>
        <v>5009.76</v>
      </c>
      <c r="AE49" s="40" t="n">
        <f aca="false">$J$25*$J$18/100/4</f>
        <v>5009.76</v>
      </c>
      <c r="AF49" s="40" t="n">
        <f aca="false">$J$25*$J$19/100/4</f>
        <v>5009.76</v>
      </c>
      <c r="AG49" s="40" t="n">
        <f aca="false">$J$25*$J$19/100/4</f>
        <v>5009.76</v>
      </c>
      <c r="AH49" s="40" t="n">
        <f aca="false">$J$25*$J$19/100/4</f>
        <v>5009.76</v>
      </c>
      <c r="AI49" s="40" t="n">
        <f aca="false">$J$25*$J$19/100/4</f>
        <v>5009.76</v>
      </c>
      <c r="AJ49" s="40" t="n">
        <f aca="false">$J$25*$J$20/100/4</f>
        <v>5009.76</v>
      </c>
      <c r="AK49" s="40" t="n">
        <f aca="false">$J$25*$J$20/100/4</f>
        <v>5009.76</v>
      </c>
      <c r="AL49" s="40" t="n">
        <f aca="false">$J$25*$J$20/100/4</f>
        <v>5009.76</v>
      </c>
      <c r="AM49" s="40" t="n">
        <f aca="false">$J$25*$J$20/100/4</f>
        <v>5009.76</v>
      </c>
      <c r="AN49" s="40" t="n">
        <f aca="false">$J$25*$J$21/100/4</f>
        <v>0</v>
      </c>
      <c r="AO49" s="40" t="n">
        <f aca="false">$J$25*$J$21/100/4</f>
        <v>0</v>
      </c>
      <c r="AP49" s="40" t="n">
        <f aca="false">$J$25*$J$21/100/4</f>
        <v>0</v>
      </c>
      <c r="AQ49" s="40" t="n">
        <f aca="false">$J$25*$J$21/100/4</f>
        <v>0</v>
      </c>
      <c r="AR49" s="40"/>
      <c r="AS49" s="40"/>
      <c r="AT49" s="40"/>
      <c r="AU49" s="55" t="n">
        <f aca="false">AS49</f>
        <v>0</v>
      </c>
      <c r="AV49" s="55" t="n">
        <f aca="false">AU49</f>
        <v>0</v>
      </c>
    </row>
    <row r="50" customFormat="false" ht="15" hidden="false" customHeight="false" outlineLevel="0" collapsed="false">
      <c r="A50" s="3" t="s">
        <v>157</v>
      </c>
      <c r="D50" s="45" t="n">
        <f aca="false">SUM(E50:AZ50)</f>
        <v>73804.5</v>
      </c>
      <c r="E50" s="45"/>
      <c r="F50" s="45"/>
      <c r="G50" s="45"/>
      <c r="H50" s="45"/>
      <c r="I50" s="45"/>
      <c r="J50" s="45"/>
      <c r="K50" s="45"/>
      <c r="L50" s="45"/>
      <c r="M50" s="40" t="n">
        <f aca="false">$K$24*$K$14/100/4</f>
        <v>3690.225</v>
      </c>
      <c r="N50" s="40" t="n">
        <f aca="false">$K$24*$K$14/100/4</f>
        <v>3690.225</v>
      </c>
      <c r="O50" s="40" t="n">
        <f aca="false">$K$24*$K$14/100/4</f>
        <v>3690.225</v>
      </c>
      <c r="P50" s="40" t="n">
        <f aca="false">$K$24*$K$14/100/4</f>
        <v>3690.225</v>
      </c>
      <c r="Q50" s="40" t="n">
        <f aca="false">$K$24*$K$15/100/4</f>
        <v>3690.225</v>
      </c>
      <c r="R50" s="40" t="n">
        <f aca="false">$K$24*$K$15/100/4</f>
        <v>3690.225</v>
      </c>
      <c r="S50" s="40" t="n">
        <f aca="false">$K$24*$K$15/100/4</f>
        <v>3690.225</v>
      </c>
      <c r="T50" s="40" t="n">
        <f aca="false">$K$24*$K$15/100/4</f>
        <v>3690.225</v>
      </c>
      <c r="U50" s="40" t="n">
        <f aca="false">$K$24*$K$16/100/4</f>
        <v>3690.225</v>
      </c>
      <c r="V50" s="40" t="n">
        <f aca="false">$K$24*$K$16/100/4</f>
        <v>3690.225</v>
      </c>
      <c r="W50" s="40" t="n">
        <f aca="false">$K$24*$K$16/100/4</f>
        <v>3690.225</v>
      </c>
      <c r="X50" s="40" t="n">
        <f aca="false">$K$24*$K$16/100/4</f>
        <v>3690.225</v>
      </c>
      <c r="Y50" s="40" t="n">
        <f aca="false">$K$24*$K$17/100/4</f>
        <v>2460.15</v>
      </c>
      <c r="Z50" s="40" t="n">
        <f aca="false">$K$24*$K$17/100/4</f>
        <v>2460.15</v>
      </c>
      <c r="AA50" s="40" t="n">
        <f aca="false">$K$24*$K$17/100/4</f>
        <v>2460.15</v>
      </c>
      <c r="AB50" s="40" t="n">
        <f aca="false">$K$24*$K$17/100/4</f>
        <v>2460.15</v>
      </c>
      <c r="AC50" s="40" t="n">
        <f aca="false">$K$24*$K$18/100/4</f>
        <v>2460.15</v>
      </c>
      <c r="AD50" s="40" t="n">
        <f aca="false">$K$24*$K$18/100/4</f>
        <v>2460.15</v>
      </c>
      <c r="AE50" s="40" t="n">
        <f aca="false">$K$24*$K$18/100/4</f>
        <v>2460.15</v>
      </c>
      <c r="AF50" s="40" t="n">
        <f aca="false">$K$24*$K$18/100/4</f>
        <v>2460.15</v>
      </c>
      <c r="AG50" s="40" t="n">
        <f aca="false">$K$24*$K$19/100/4</f>
        <v>2460.15</v>
      </c>
      <c r="AH50" s="40" t="n">
        <f aca="false">$K$24*$K$19/100/4</f>
        <v>2460.15</v>
      </c>
      <c r="AI50" s="40" t="n">
        <f aca="false">$K$24*$K$19/100/4</f>
        <v>2460.15</v>
      </c>
      <c r="AJ50" s="40" t="n">
        <f aca="false">$K$24*$K$19/100/4</f>
        <v>2460.15</v>
      </c>
      <c r="AK50" s="40" t="n">
        <f aca="false">$K$24*$K$20/100/4</f>
        <v>0</v>
      </c>
      <c r="AL50" s="40" t="n">
        <f aca="false">$K$24*$K$20/100/4</f>
        <v>0</v>
      </c>
      <c r="AM50" s="40" t="n">
        <f aca="false">$K$24*$K$20/100/4</f>
        <v>0</v>
      </c>
      <c r="AN50" s="40" t="n">
        <f aca="false">$K$24*$K$20/100/4</f>
        <v>0</v>
      </c>
      <c r="AO50" s="40" t="n">
        <f aca="false">$K$24*$K$21/100/4</f>
        <v>0</v>
      </c>
      <c r="AP50" s="40" t="n">
        <f aca="false">$K$24*$K$21/100/4</f>
        <v>0</v>
      </c>
      <c r="AQ50" s="40" t="n">
        <f aca="false">$K$24*$K$21/100/4</f>
        <v>0</v>
      </c>
      <c r="AR50" s="40" t="n">
        <f aca="false">$K$24*$K$21/100/4</f>
        <v>0</v>
      </c>
      <c r="AS50" s="40"/>
      <c r="AT50" s="40"/>
      <c r="AU50" s="40"/>
      <c r="AV50" s="40"/>
    </row>
    <row r="51" customFormat="false" ht="15" hidden="false" customHeight="false" outlineLevel="0" collapsed="false">
      <c r="A51" s="3" t="s">
        <v>158</v>
      </c>
      <c r="D51" s="45" t="n">
        <f aca="false">SUM(E51:AZ51)</f>
        <v>112719.6</v>
      </c>
      <c r="E51" s="45"/>
      <c r="F51" s="45"/>
      <c r="G51" s="45"/>
      <c r="H51" s="45"/>
      <c r="I51" s="45"/>
      <c r="J51" s="45"/>
      <c r="K51" s="45"/>
      <c r="L51" s="45"/>
      <c r="M51" s="40" t="n">
        <f aca="false">$K$25*$K$14/100/4</f>
        <v>5635.98</v>
      </c>
      <c r="N51" s="40" t="n">
        <f aca="false">$K$25*$K$14/100/4</f>
        <v>5635.98</v>
      </c>
      <c r="O51" s="40" t="n">
        <f aca="false">$K$25*$K$14/100/4</f>
        <v>5635.98</v>
      </c>
      <c r="P51" s="40" t="n">
        <f aca="false">$K$25*$K$14/100/4</f>
        <v>5635.98</v>
      </c>
      <c r="Q51" s="40" t="n">
        <f aca="false">$K$25*$K$15/100/4</f>
        <v>5635.98</v>
      </c>
      <c r="R51" s="40" t="n">
        <f aca="false">$K$25*$K$15/100/4</f>
        <v>5635.98</v>
      </c>
      <c r="S51" s="40" t="n">
        <f aca="false">$K$25*$K$15/100/4</f>
        <v>5635.98</v>
      </c>
      <c r="T51" s="40" t="n">
        <f aca="false">$K$25*$K$15/100/4</f>
        <v>5635.98</v>
      </c>
      <c r="U51" s="40" t="n">
        <f aca="false">$K$25*$K$16/100/4</f>
        <v>5635.98</v>
      </c>
      <c r="V51" s="40" t="n">
        <f aca="false">$K$25*$K$16/100/4</f>
        <v>5635.98</v>
      </c>
      <c r="W51" s="40" t="n">
        <f aca="false">$K$25*$K$16/100/4</f>
        <v>5635.98</v>
      </c>
      <c r="X51" s="40" t="n">
        <f aca="false">$K$25*$K$16/100/4</f>
        <v>5635.98</v>
      </c>
      <c r="Y51" s="40" t="n">
        <f aca="false">$K$25*$K$17/100/4</f>
        <v>3757.32</v>
      </c>
      <c r="Z51" s="40" t="n">
        <f aca="false">$K$25*$K$17/100/4</f>
        <v>3757.32</v>
      </c>
      <c r="AA51" s="40" t="n">
        <f aca="false">$K$25*$K$17/100/4</f>
        <v>3757.32</v>
      </c>
      <c r="AB51" s="40" t="n">
        <f aca="false">$K$25*$K$17/100/4</f>
        <v>3757.32</v>
      </c>
      <c r="AC51" s="40" t="n">
        <f aca="false">$K$25*$K$18/100/4</f>
        <v>3757.32</v>
      </c>
      <c r="AD51" s="40" t="n">
        <f aca="false">$K$25*$K$18/100/4</f>
        <v>3757.32</v>
      </c>
      <c r="AE51" s="40" t="n">
        <f aca="false">$K$25*$K$18/100/4</f>
        <v>3757.32</v>
      </c>
      <c r="AF51" s="40" t="n">
        <f aca="false">$K$25*$K$18/100/4</f>
        <v>3757.32</v>
      </c>
      <c r="AG51" s="40" t="n">
        <f aca="false">$K$25*$K$19/100/4</f>
        <v>3757.32</v>
      </c>
      <c r="AH51" s="40" t="n">
        <f aca="false">$K$25*$K$19/100/4</f>
        <v>3757.32</v>
      </c>
      <c r="AI51" s="40" t="n">
        <f aca="false">$K$25*$K$19/100/4</f>
        <v>3757.32</v>
      </c>
      <c r="AJ51" s="40" t="n">
        <f aca="false">$K$25*$K$19/100/4</f>
        <v>3757.32</v>
      </c>
      <c r="AK51" s="40" t="n">
        <f aca="false">$K$25*$K$20/100/4</f>
        <v>0</v>
      </c>
      <c r="AL51" s="40" t="n">
        <f aca="false">$K$25*$K$20/100/4</f>
        <v>0</v>
      </c>
      <c r="AM51" s="40" t="n">
        <f aca="false">$K$25*$K$20/100/4</f>
        <v>0</v>
      </c>
      <c r="AN51" s="40" t="n">
        <f aca="false">$K$25*$K$20/100/4</f>
        <v>0</v>
      </c>
      <c r="AO51" s="40" t="n">
        <f aca="false">$K$25*$K$21/100/4</f>
        <v>0</v>
      </c>
      <c r="AP51" s="40" t="n">
        <f aca="false">$K$25*$K$21/100/4</f>
        <v>0</v>
      </c>
      <c r="AQ51" s="40" t="n">
        <f aca="false">$K$25*$K$21/100/4</f>
        <v>0</v>
      </c>
      <c r="AR51" s="40" t="n">
        <f aca="false">$K$25*$K$21/100/4</f>
        <v>0</v>
      </c>
      <c r="AS51" s="40"/>
      <c r="AT51" s="40"/>
      <c r="AU51" s="40"/>
      <c r="AV51" s="40"/>
    </row>
    <row r="52" customFormat="false" ht="15" hidden="false" customHeight="false" outlineLevel="0" collapsed="false">
      <c r="A52" s="3" t="s">
        <v>159</v>
      </c>
      <c r="D52" s="45" t="n">
        <f aca="false">SUM(E52:AZ52)</f>
        <v>51663.15</v>
      </c>
      <c r="E52" s="45"/>
      <c r="F52" s="45"/>
      <c r="G52" s="45"/>
      <c r="H52" s="45"/>
      <c r="I52" s="45"/>
      <c r="J52" s="45"/>
      <c r="K52" s="45"/>
      <c r="L52" s="45"/>
      <c r="M52" s="45"/>
      <c r="N52" s="40" t="n">
        <f aca="false">$L$24*$L$14/100/4</f>
        <v>2583.1575</v>
      </c>
      <c r="O52" s="40" t="n">
        <f aca="false">$L$24*$L$14/100/4</f>
        <v>2583.1575</v>
      </c>
      <c r="P52" s="40" t="n">
        <f aca="false">$L$24*$L$14/100/4</f>
        <v>2583.1575</v>
      </c>
      <c r="Q52" s="40" t="n">
        <f aca="false">$L$24*$L$14/100/4</f>
        <v>2583.1575</v>
      </c>
      <c r="R52" s="40" t="n">
        <f aca="false">$L$24*$L$15/100/4</f>
        <v>2583.1575</v>
      </c>
      <c r="S52" s="40" t="n">
        <f aca="false">$L$24*$L$15/100/4</f>
        <v>2583.1575</v>
      </c>
      <c r="T52" s="40" t="n">
        <f aca="false">$L$24*$L$15/100/4</f>
        <v>2583.1575</v>
      </c>
      <c r="U52" s="40" t="n">
        <f aca="false">$L$24*$L$15/100/4</f>
        <v>2583.1575</v>
      </c>
      <c r="V52" s="40" t="n">
        <f aca="false">$L$24*$L$16/100/4</f>
        <v>2583.1575</v>
      </c>
      <c r="W52" s="40" t="n">
        <f aca="false">$L$24*$L$16/100/4</f>
        <v>2583.1575</v>
      </c>
      <c r="X52" s="40" t="n">
        <f aca="false">$L$24*$L$16/100/4</f>
        <v>2583.1575</v>
      </c>
      <c r="Y52" s="40" t="n">
        <f aca="false">$L$24*$L$16/100/4</f>
        <v>2583.1575</v>
      </c>
      <c r="Z52" s="40" t="n">
        <f aca="false">$L$24*$L$17/100/4</f>
        <v>1722.105</v>
      </c>
      <c r="AA52" s="40" t="n">
        <f aca="false">$L$24*$L$17/100/4</f>
        <v>1722.105</v>
      </c>
      <c r="AB52" s="40" t="n">
        <f aca="false">$L$24*$L$17/100/4</f>
        <v>1722.105</v>
      </c>
      <c r="AC52" s="40" t="n">
        <f aca="false">$L$24*$L$17/100/4</f>
        <v>1722.105</v>
      </c>
      <c r="AD52" s="40" t="n">
        <f aca="false">$L$24*$L$18/100/4</f>
        <v>1722.105</v>
      </c>
      <c r="AE52" s="40" t="n">
        <f aca="false">$L$24*$L$18/100/4</f>
        <v>1722.105</v>
      </c>
      <c r="AF52" s="40" t="n">
        <f aca="false">$L$24*$L$18/100/4</f>
        <v>1722.105</v>
      </c>
      <c r="AG52" s="40" t="n">
        <f aca="false">$L$24*$L$18/100/4</f>
        <v>1722.105</v>
      </c>
      <c r="AH52" s="40" t="n">
        <f aca="false">$L$24*$L$19/100/4</f>
        <v>1722.105</v>
      </c>
      <c r="AI52" s="40" t="n">
        <f aca="false">$L$24*$L$19/100/4</f>
        <v>1722.105</v>
      </c>
      <c r="AJ52" s="40" t="n">
        <f aca="false">$L$24*$L$19/100/4</f>
        <v>1722.105</v>
      </c>
      <c r="AK52" s="40" t="n">
        <f aca="false">$L$24*$L$19/100/4</f>
        <v>1722.105</v>
      </c>
      <c r="AL52" s="40" t="n">
        <f aca="false">$L$24*$L$20/100/4</f>
        <v>0</v>
      </c>
      <c r="AM52" s="40" t="n">
        <f aca="false">$L$24*$L$20/100/4</f>
        <v>0</v>
      </c>
      <c r="AN52" s="40" t="n">
        <f aca="false">$L$24*$L$20/100/4</f>
        <v>0</v>
      </c>
      <c r="AO52" s="40" t="n">
        <f aca="false">$L$24*$L$20/100/4</f>
        <v>0</v>
      </c>
      <c r="AP52" s="40" t="n">
        <f aca="false">$L$24*$L$21/100/4</f>
        <v>0</v>
      </c>
      <c r="AQ52" s="40" t="n">
        <f aca="false">$L$24*$L$21/100/4</f>
        <v>0</v>
      </c>
      <c r="AR52" s="40" t="n">
        <f aca="false">$L$24*$L$21/100/4</f>
        <v>0</v>
      </c>
      <c r="AS52" s="40" t="n">
        <f aca="false">$L$24*$L$21/100/4</f>
        <v>0</v>
      </c>
      <c r="AT52" s="40"/>
      <c r="AU52" s="40"/>
      <c r="AV52" s="40"/>
      <c r="AW52" s="55" t="n">
        <f aca="false">$L$24*$L$21/100/4</f>
        <v>0</v>
      </c>
      <c r="AX52" s="55" t="n">
        <f aca="false">AW52</f>
        <v>0</v>
      </c>
      <c r="AY52" s="55" t="n">
        <f aca="false">AX52</f>
        <v>0</v>
      </c>
    </row>
    <row r="53" customFormat="false" ht="15" hidden="false" customHeight="false" outlineLevel="0" collapsed="false">
      <c r="A53" s="3" t="s">
        <v>160</v>
      </c>
      <c r="D53" s="45" t="n">
        <f aca="false">SUM(E53:AZ53)</f>
        <v>56359.8</v>
      </c>
      <c r="E53" s="45"/>
      <c r="F53" s="45"/>
      <c r="G53" s="45"/>
      <c r="H53" s="45"/>
      <c r="I53" s="45"/>
      <c r="J53" s="45"/>
      <c r="K53" s="45"/>
      <c r="L53" s="45"/>
      <c r="M53" s="45"/>
      <c r="N53" s="40" t="n">
        <f aca="false">$L$25*$L$14/100/4</f>
        <v>2817.99</v>
      </c>
      <c r="O53" s="40" t="n">
        <f aca="false">$L$25*$L$14/100/4</f>
        <v>2817.99</v>
      </c>
      <c r="P53" s="40" t="n">
        <f aca="false">$L$25*$L$14/100/4</f>
        <v>2817.99</v>
      </c>
      <c r="Q53" s="40" t="n">
        <f aca="false">$L$25*$L$14/100/4</f>
        <v>2817.99</v>
      </c>
      <c r="R53" s="40" t="n">
        <f aca="false">$L$25*$L$15/100/4</f>
        <v>2817.99</v>
      </c>
      <c r="S53" s="40" t="n">
        <f aca="false">$L$25*$L$15/100/4</f>
        <v>2817.99</v>
      </c>
      <c r="T53" s="40" t="n">
        <f aca="false">$L$25*$L$15/100/4</f>
        <v>2817.99</v>
      </c>
      <c r="U53" s="40" t="n">
        <f aca="false">$L$25*$L$15/100/4</f>
        <v>2817.99</v>
      </c>
      <c r="V53" s="40" t="n">
        <f aca="false">$L$25*$L$16/100/4</f>
        <v>2817.99</v>
      </c>
      <c r="W53" s="40" t="n">
        <f aca="false">$L$25*$L$16/100/4</f>
        <v>2817.99</v>
      </c>
      <c r="X53" s="40" t="n">
        <f aca="false">$L$25*$L$16/100/4</f>
        <v>2817.99</v>
      </c>
      <c r="Y53" s="40" t="n">
        <f aca="false">$L$25*$L$16/100/4</f>
        <v>2817.99</v>
      </c>
      <c r="Z53" s="40" t="n">
        <f aca="false">$L$25*$L$17/100/4</f>
        <v>1878.66</v>
      </c>
      <c r="AA53" s="40" t="n">
        <f aca="false">$L$25*$L$17/100/4</f>
        <v>1878.66</v>
      </c>
      <c r="AB53" s="40" t="n">
        <f aca="false">$L$25*$L$17/100/4</f>
        <v>1878.66</v>
      </c>
      <c r="AC53" s="40" t="n">
        <f aca="false">$L$25*$L$17/100/4</f>
        <v>1878.66</v>
      </c>
      <c r="AD53" s="40" t="n">
        <f aca="false">$L$25*$L$18/100/4</f>
        <v>1878.66</v>
      </c>
      <c r="AE53" s="40" t="n">
        <f aca="false">$L$25*$L$18/100/4</f>
        <v>1878.66</v>
      </c>
      <c r="AF53" s="40" t="n">
        <f aca="false">$L$25*$L$18/100/4</f>
        <v>1878.66</v>
      </c>
      <c r="AG53" s="40" t="n">
        <f aca="false">$L$25*$L$18/100/4</f>
        <v>1878.66</v>
      </c>
      <c r="AH53" s="40" t="n">
        <f aca="false">$L$25*$L$19/100/4</f>
        <v>1878.66</v>
      </c>
      <c r="AI53" s="40" t="n">
        <f aca="false">$L$25*$L$19/100/4</f>
        <v>1878.66</v>
      </c>
      <c r="AJ53" s="40" t="n">
        <f aca="false">$L$25*$L$19/100/4</f>
        <v>1878.66</v>
      </c>
      <c r="AK53" s="40" t="n">
        <f aca="false">$L$25*$L$19/100/4</f>
        <v>1878.66</v>
      </c>
      <c r="AL53" s="40" t="n">
        <f aca="false">$L$25*$L$20/100/4</f>
        <v>0</v>
      </c>
      <c r="AM53" s="40" t="n">
        <f aca="false">$L$25*$L$20/100/4</f>
        <v>0</v>
      </c>
      <c r="AN53" s="40" t="n">
        <f aca="false">$L$25*$L$20/100/4</f>
        <v>0</v>
      </c>
      <c r="AO53" s="40" t="n">
        <f aca="false">$L$25*$L$20/100/4</f>
        <v>0</v>
      </c>
      <c r="AP53" s="40" t="n">
        <f aca="false">$L$25*$L$21/100/4</f>
        <v>0</v>
      </c>
      <c r="AQ53" s="40" t="n">
        <f aca="false">$L$25*$L$21/100/4</f>
        <v>0</v>
      </c>
      <c r="AR53" s="40" t="n">
        <f aca="false">$L$25*$L$21/100/4</f>
        <v>0</v>
      </c>
      <c r="AS53" s="40" t="n">
        <f aca="false">$L$25*$L$21/100/4</f>
        <v>0</v>
      </c>
      <c r="AT53" s="40"/>
      <c r="AU53" s="40"/>
      <c r="AV53" s="40"/>
      <c r="AW53" s="55" t="n">
        <f aca="false">$L$25*$L$21/100/4</f>
        <v>0</v>
      </c>
      <c r="AX53" s="55" t="n">
        <f aca="false">AW53</f>
        <v>0</v>
      </c>
      <c r="AY53" s="55" t="n">
        <f aca="false">AX53</f>
        <v>0</v>
      </c>
    </row>
    <row r="54" customFormat="false" ht="15" hidden="false" customHeight="false" outlineLevel="0" collapsed="false">
      <c r="A54" s="3" t="s">
        <v>161</v>
      </c>
      <c r="D54" s="45" t="n">
        <f aca="false">SUM(E54:AZ54)</f>
        <v>56359.8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0" t="n">
        <f aca="false">$M$24*$M$14/100/4</f>
        <v>3522.4875</v>
      </c>
      <c r="P54" s="40" t="n">
        <f aca="false">$M$24*$M$14/100/4</f>
        <v>3522.4875</v>
      </c>
      <c r="Q54" s="40" t="n">
        <f aca="false">$M$24*$M$14/100/4</f>
        <v>3522.4875</v>
      </c>
      <c r="R54" s="40" t="n">
        <f aca="false">$M$24*$M$14/100/4</f>
        <v>3522.4875</v>
      </c>
      <c r="S54" s="40" t="n">
        <f aca="false">$M$24*$M$15/100/4</f>
        <v>3522.4875</v>
      </c>
      <c r="T54" s="40" t="n">
        <f aca="false">$M$24*$M$15/100/4</f>
        <v>3522.4875</v>
      </c>
      <c r="U54" s="40" t="n">
        <f aca="false">$M$24*$M$15/100/4</f>
        <v>3522.4875</v>
      </c>
      <c r="V54" s="40" t="n">
        <f aca="false">$M$24*$M$15/100/4</f>
        <v>3522.4875</v>
      </c>
      <c r="W54" s="40" t="n">
        <f aca="false">$M$24*$M$16/100/4</f>
        <v>3522.4875</v>
      </c>
      <c r="X54" s="40" t="n">
        <f aca="false">$M$24*$M$16/100/4</f>
        <v>3522.4875</v>
      </c>
      <c r="Y54" s="40" t="n">
        <f aca="false">$M$24*$M$16/100/4</f>
        <v>3522.4875</v>
      </c>
      <c r="Z54" s="40" t="n">
        <f aca="false">$M$24*$M$16/100/4</f>
        <v>3522.4875</v>
      </c>
      <c r="AA54" s="40" t="n">
        <f aca="false">$M$24*$M$17/100/4</f>
        <v>1174.1625</v>
      </c>
      <c r="AB54" s="40" t="n">
        <f aca="false">$M$24*$M$17/100/4</f>
        <v>1174.1625</v>
      </c>
      <c r="AC54" s="40" t="n">
        <f aca="false">$M$24*$M$17/100/4</f>
        <v>1174.1625</v>
      </c>
      <c r="AD54" s="40" t="n">
        <f aca="false">$M$24*$M$17/100/4</f>
        <v>1174.1625</v>
      </c>
      <c r="AE54" s="40" t="n">
        <f aca="false">$M$24*$M$18/100/4</f>
        <v>1174.1625</v>
      </c>
      <c r="AF54" s="40" t="n">
        <f aca="false">$M$24*$M$18/100/4</f>
        <v>1174.1625</v>
      </c>
      <c r="AG54" s="40" t="n">
        <f aca="false">$M$24*$M$18/100/4</f>
        <v>1174.1625</v>
      </c>
      <c r="AH54" s="40" t="n">
        <f aca="false">$M$24*$M$18/100/4</f>
        <v>1174.1625</v>
      </c>
      <c r="AI54" s="40" t="n">
        <f aca="false">$M$24*$M$19/100/4</f>
        <v>1174.1625</v>
      </c>
      <c r="AJ54" s="40" t="n">
        <f aca="false">$M$24*$M$19/100/4</f>
        <v>1174.1625</v>
      </c>
      <c r="AK54" s="40" t="n">
        <f aca="false">$M$24*$M$19/100/4</f>
        <v>1174.1625</v>
      </c>
      <c r="AL54" s="40" t="n">
        <f aca="false">$M$24*$M$19/100/4</f>
        <v>1174.1625</v>
      </c>
      <c r="AM54" s="40" t="n">
        <f aca="false">$M$24*$M$20/100/4</f>
        <v>0</v>
      </c>
      <c r="AN54" s="40" t="n">
        <f aca="false">$M$24*$M$20/100/4</f>
        <v>0</v>
      </c>
      <c r="AO54" s="40" t="n">
        <f aca="false">$M$24*$M$20/100/4</f>
        <v>0</v>
      </c>
      <c r="AP54" s="40" t="n">
        <f aca="false">$M$24*$M$20/100/4</f>
        <v>0</v>
      </c>
      <c r="AQ54" s="40" t="n">
        <f aca="false">$M$24*$M$21/100/4</f>
        <v>0</v>
      </c>
      <c r="AR54" s="40" t="n">
        <f aca="false">$M$24*$M$21/100/4</f>
        <v>0</v>
      </c>
      <c r="AS54" s="40" t="n">
        <f aca="false">$M$24*$M$21/100/4</f>
        <v>0</v>
      </c>
      <c r="AT54" s="40" t="n">
        <f aca="false">$M$24*$M$21/100/4</f>
        <v>0</v>
      </c>
      <c r="AU54" s="40"/>
      <c r="AV54" s="40"/>
      <c r="AW54" s="40"/>
      <c r="AX54" s="40"/>
      <c r="AZ54" s="55"/>
    </row>
    <row r="55" customFormat="false" ht="15" hidden="false" customHeight="false" outlineLevel="0" collapsed="false">
      <c r="A55" s="3" t="s">
        <v>162</v>
      </c>
      <c r="D55" s="45" t="n">
        <f aca="false">SUM(E55:AZ55)</f>
        <v>62622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0" t="n">
        <f aca="false">$M$25*$M$14/100/4</f>
        <v>3913.875</v>
      </c>
      <c r="P55" s="40" t="n">
        <f aca="false">$M$25*$M$14/100/4</f>
        <v>3913.875</v>
      </c>
      <c r="Q55" s="40" t="n">
        <f aca="false">$M$25*$M$14/100/4</f>
        <v>3913.875</v>
      </c>
      <c r="R55" s="40" t="n">
        <f aca="false">$M$25*$M$14/100/4</f>
        <v>3913.875</v>
      </c>
      <c r="S55" s="40" t="n">
        <f aca="false">$M$25*$M$15/100/4</f>
        <v>3913.875</v>
      </c>
      <c r="T55" s="40" t="n">
        <f aca="false">$M$25*$M$15/100/4</f>
        <v>3913.875</v>
      </c>
      <c r="U55" s="40" t="n">
        <f aca="false">$M$25*$M$15/100/4</f>
        <v>3913.875</v>
      </c>
      <c r="V55" s="40" t="n">
        <f aca="false">$M$25*$M$15/100/4</f>
        <v>3913.875</v>
      </c>
      <c r="W55" s="40" t="n">
        <f aca="false">$M$25*$M$16/100/4</f>
        <v>3913.875</v>
      </c>
      <c r="X55" s="40" t="n">
        <f aca="false">$M$25*$M$16/100/4</f>
        <v>3913.875</v>
      </c>
      <c r="Y55" s="40" t="n">
        <f aca="false">$M$25*$M$16/100/4</f>
        <v>3913.875</v>
      </c>
      <c r="Z55" s="40" t="n">
        <f aca="false">$M$25*$M$16/100/4</f>
        <v>3913.875</v>
      </c>
      <c r="AA55" s="40" t="n">
        <f aca="false">$M$25*$M$17/100/4</f>
        <v>1304.625</v>
      </c>
      <c r="AB55" s="40" t="n">
        <f aca="false">$M$25*$M$17/100/4</f>
        <v>1304.625</v>
      </c>
      <c r="AC55" s="40" t="n">
        <f aca="false">$M$25*$M$17/100/4</f>
        <v>1304.625</v>
      </c>
      <c r="AD55" s="40" t="n">
        <f aca="false">$M$25*$M$17/100/4</f>
        <v>1304.625</v>
      </c>
      <c r="AE55" s="40" t="n">
        <f aca="false">$M$25*$M$18/100/4</f>
        <v>1304.625</v>
      </c>
      <c r="AF55" s="40" t="n">
        <f aca="false">$M$25*$M$18/100/4</f>
        <v>1304.625</v>
      </c>
      <c r="AG55" s="40" t="n">
        <f aca="false">$M$25*$M$18/100/4</f>
        <v>1304.625</v>
      </c>
      <c r="AH55" s="40" t="n">
        <f aca="false">$M$25*$M$18/100/4</f>
        <v>1304.625</v>
      </c>
      <c r="AI55" s="40" t="n">
        <f aca="false">$M$25*$M$19/100/4</f>
        <v>1304.625</v>
      </c>
      <c r="AJ55" s="40" t="n">
        <f aca="false">$M$25*$M$19/100/4</f>
        <v>1304.625</v>
      </c>
      <c r="AK55" s="40" t="n">
        <f aca="false">$M$25*$M$19/100/4</f>
        <v>1304.625</v>
      </c>
      <c r="AL55" s="40" t="n">
        <f aca="false">$M$25*$M$19/100/4</f>
        <v>1304.625</v>
      </c>
      <c r="AM55" s="40" t="n">
        <f aca="false">$M$25*$M$20/100/4</f>
        <v>0</v>
      </c>
      <c r="AN55" s="40" t="n">
        <f aca="false">$M$25*$M$20/100/4</f>
        <v>0</v>
      </c>
      <c r="AO55" s="40" t="n">
        <f aca="false">$M$25*$M$20/100/4</f>
        <v>0</v>
      </c>
      <c r="AP55" s="40" t="n">
        <f aca="false">$M$25*$M$20/100/4</f>
        <v>0</v>
      </c>
      <c r="AQ55" s="40" t="n">
        <f aca="false">$M$25*$M$21/100/4</f>
        <v>0</v>
      </c>
      <c r="AR55" s="40" t="n">
        <f aca="false">$M$25*$M$21/100/4</f>
        <v>0</v>
      </c>
      <c r="AS55" s="40" t="n">
        <f aca="false">$M$25*$M$21/100/4</f>
        <v>0</v>
      </c>
      <c r="AT55" s="40" t="n">
        <f aca="false">$M$25*$M$21/100/4</f>
        <v>0</v>
      </c>
      <c r="AU55" s="40"/>
      <c r="AV55" s="40"/>
      <c r="AW55" s="40"/>
      <c r="AX55" s="40"/>
      <c r="AZ55" s="55"/>
    </row>
    <row r="56" customFormat="false" ht="15" hidden="false" customHeight="false" outlineLevel="0" collapsed="false">
      <c r="A56" s="3" t="s">
        <v>163</v>
      </c>
      <c r="D56" s="45" t="n">
        <f aca="false">SUM(E56:AZ56)</f>
        <v>48308.4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0" t="n">
        <f aca="false">$N$24*$N$14/100/4</f>
        <v>3019.275</v>
      </c>
      <c r="Q56" s="40" t="n">
        <f aca="false">$N$24*$N$14/100/4</f>
        <v>3019.275</v>
      </c>
      <c r="R56" s="40" t="n">
        <f aca="false">$N$24*$N$14/100/4</f>
        <v>3019.275</v>
      </c>
      <c r="S56" s="40" t="n">
        <f aca="false">$N$24*$N$14/100/4</f>
        <v>3019.275</v>
      </c>
      <c r="T56" s="40" t="n">
        <f aca="false">$N$24*$N$15/100/4</f>
        <v>3019.275</v>
      </c>
      <c r="U56" s="40" t="n">
        <f aca="false">$N$24*$N$15/100/4</f>
        <v>3019.275</v>
      </c>
      <c r="V56" s="40" t="n">
        <f aca="false">$N$24*$N$15/100/4</f>
        <v>3019.275</v>
      </c>
      <c r="W56" s="40" t="n">
        <f aca="false">$N$24*$N$15/100/4</f>
        <v>3019.275</v>
      </c>
      <c r="X56" s="40" t="n">
        <f aca="false">$N$24*$N$16/100/4</f>
        <v>3019.275</v>
      </c>
      <c r="Y56" s="40" t="n">
        <f aca="false">$N$24*$N$16/100/4</f>
        <v>3019.275</v>
      </c>
      <c r="Z56" s="40" t="n">
        <f aca="false">$N$24*$N$16/100/4</f>
        <v>3019.275</v>
      </c>
      <c r="AA56" s="40" t="n">
        <f aca="false">$N$24*$N$16/100/4</f>
        <v>3019.275</v>
      </c>
      <c r="AB56" s="40" t="n">
        <f aca="false">$N$24*$N$17/100/4</f>
        <v>1006.425</v>
      </c>
      <c r="AC56" s="40" t="n">
        <f aca="false">$N$24*$N$17/100/4</f>
        <v>1006.425</v>
      </c>
      <c r="AD56" s="40" t="n">
        <f aca="false">$N$24*$N$17/100/4</f>
        <v>1006.425</v>
      </c>
      <c r="AE56" s="40" t="n">
        <f aca="false">$N$24*$N$17/100/4</f>
        <v>1006.425</v>
      </c>
      <c r="AF56" s="40" t="n">
        <f aca="false">$N$24*$N$18/100/4</f>
        <v>1006.425</v>
      </c>
      <c r="AG56" s="40" t="n">
        <f aca="false">$N$24*$N$18/100/4</f>
        <v>1006.425</v>
      </c>
      <c r="AH56" s="40" t="n">
        <f aca="false">$N$24*$N$18/100/4</f>
        <v>1006.425</v>
      </c>
      <c r="AI56" s="40" t="n">
        <f aca="false">$N$24*$N$18/100/4</f>
        <v>1006.425</v>
      </c>
      <c r="AJ56" s="40" t="n">
        <f aca="false">$N$24*$N$19/100/4</f>
        <v>1006.425</v>
      </c>
      <c r="AK56" s="40" t="n">
        <f aca="false">$N$24*$N$19/100/4</f>
        <v>1006.425</v>
      </c>
      <c r="AL56" s="40" t="n">
        <f aca="false">$N$24*$N$19/100/4</f>
        <v>1006.425</v>
      </c>
      <c r="AM56" s="40" t="n">
        <f aca="false">$N$24*$N$19/100/4</f>
        <v>1006.425</v>
      </c>
      <c r="AN56" s="40" t="n">
        <f aca="false">$N$24*$N$20/100/4</f>
        <v>0</v>
      </c>
      <c r="AO56" s="40" t="n">
        <f aca="false">$N$24*$N$20/100/4</f>
        <v>0</v>
      </c>
      <c r="AP56" s="40" t="n">
        <f aca="false">$N$24*$N$20/100/4</f>
        <v>0</v>
      </c>
      <c r="AQ56" s="40" t="n">
        <f aca="false">$N$24*$N$20/100/4</f>
        <v>0</v>
      </c>
      <c r="AR56" s="40" t="n">
        <f aca="false">$N$24*$N$21/100/4</f>
        <v>0</v>
      </c>
      <c r="AS56" s="40" t="n">
        <f aca="false">$N$24*$N$21/100/4</f>
        <v>0</v>
      </c>
      <c r="AT56" s="40" t="n">
        <f aca="false">$N$24*$N$21/100/4</f>
        <v>0</v>
      </c>
      <c r="AU56" s="40" t="n">
        <f aca="false">$N$24*$N$21/100/4</f>
        <v>0</v>
      </c>
      <c r="AV56" s="40"/>
      <c r="AW56" s="40"/>
      <c r="AX56" s="40"/>
      <c r="AY56" s="55" t="n">
        <f aca="false">AW56</f>
        <v>0</v>
      </c>
      <c r="AZ56" s="55" t="n">
        <f aca="false">$N$24*$N$21/100/4</f>
        <v>0</v>
      </c>
      <c r="BA56" s="55" t="n">
        <f aca="false">AZ56</f>
        <v>0</v>
      </c>
      <c r="BB56" s="55" t="n">
        <f aca="false">BA56</f>
        <v>0</v>
      </c>
    </row>
    <row r="57" customFormat="false" ht="15" hidden="false" customHeight="false" outlineLevel="0" collapsed="false">
      <c r="A57" s="3" t="s">
        <v>164</v>
      </c>
      <c r="D57" s="45" t="n">
        <f aca="false">SUM(E57:AZ57)</f>
        <v>62622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0" t="n">
        <f aca="false">$N$25*$N$14/100/4</f>
        <v>3913.875</v>
      </c>
      <c r="Q57" s="40" t="n">
        <f aca="false">$N$25*$N$14/100/4</f>
        <v>3913.875</v>
      </c>
      <c r="R57" s="40" t="n">
        <f aca="false">$N$25*$N$14/100/4</f>
        <v>3913.875</v>
      </c>
      <c r="S57" s="40" t="n">
        <f aca="false">$N$25*$N$14/100/4</f>
        <v>3913.875</v>
      </c>
      <c r="T57" s="40" t="n">
        <f aca="false">$N$25*$N$15/100/4</f>
        <v>3913.875</v>
      </c>
      <c r="U57" s="40" t="n">
        <f aca="false">$N$25*$N$15/100/4</f>
        <v>3913.875</v>
      </c>
      <c r="V57" s="40" t="n">
        <f aca="false">$N$25*$N$15/100/4</f>
        <v>3913.875</v>
      </c>
      <c r="W57" s="40" t="n">
        <f aca="false">$N$25*$N$15/100/4</f>
        <v>3913.875</v>
      </c>
      <c r="X57" s="40" t="n">
        <f aca="false">$N$25*$N$16/100/4</f>
        <v>3913.875</v>
      </c>
      <c r="Y57" s="40" t="n">
        <f aca="false">$N$25*$N$16/100/4</f>
        <v>3913.875</v>
      </c>
      <c r="Z57" s="40" t="n">
        <f aca="false">$N$25*$N$16/100/4</f>
        <v>3913.875</v>
      </c>
      <c r="AA57" s="40" t="n">
        <f aca="false">$N$25*$N$16/100/4</f>
        <v>3913.875</v>
      </c>
      <c r="AB57" s="40" t="n">
        <f aca="false">$N$25*$N$17/100/4</f>
        <v>1304.625</v>
      </c>
      <c r="AC57" s="40" t="n">
        <f aca="false">$N$25*$N$17/100/4</f>
        <v>1304.625</v>
      </c>
      <c r="AD57" s="40" t="n">
        <f aca="false">$N$25*$N$17/100/4</f>
        <v>1304.625</v>
      </c>
      <c r="AE57" s="40" t="n">
        <f aca="false">$N$25*$N$17/100/4</f>
        <v>1304.625</v>
      </c>
      <c r="AF57" s="40" t="n">
        <f aca="false">$N$25*$N$18/100/4</f>
        <v>1304.625</v>
      </c>
      <c r="AG57" s="40" t="n">
        <f aca="false">$N$25*$N$18/100/4</f>
        <v>1304.625</v>
      </c>
      <c r="AH57" s="40" t="n">
        <f aca="false">$N$25*$N$18/100/4</f>
        <v>1304.625</v>
      </c>
      <c r="AI57" s="40" t="n">
        <f aca="false">$N$25*$N$18/100/4</f>
        <v>1304.625</v>
      </c>
      <c r="AJ57" s="40" t="n">
        <f aca="false">$N$25*$N$19/100/4</f>
        <v>1304.625</v>
      </c>
      <c r="AK57" s="40" t="n">
        <f aca="false">$N$25*$N$19/100/4</f>
        <v>1304.625</v>
      </c>
      <c r="AL57" s="40" t="n">
        <f aca="false">$N$25*$N$19/100/4</f>
        <v>1304.625</v>
      </c>
      <c r="AM57" s="40" t="n">
        <f aca="false">$N$25*$N$19/100/4</f>
        <v>1304.625</v>
      </c>
      <c r="AN57" s="40" t="n">
        <f aca="false">$N$25*$N$20/100/4</f>
        <v>0</v>
      </c>
      <c r="AO57" s="40" t="n">
        <f aca="false">$N$25*$N$20/100/4</f>
        <v>0</v>
      </c>
      <c r="AP57" s="40" t="n">
        <f aca="false">$N$25*$N$20/100/4</f>
        <v>0</v>
      </c>
      <c r="AQ57" s="40" t="n">
        <f aca="false">$N$25*$N$20/100/4</f>
        <v>0</v>
      </c>
      <c r="AR57" s="40" t="n">
        <f aca="false">$N$25*$N$21/100/4</f>
        <v>0</v>
      </c>
      <c r="AS57" s="40" t="n">
        <f aca="false">$N$25*$N$21/100/4</f>
        <v>0</v>
      </c>
      <c r="AT57" s="40" t="n">
        <f aca="false">$N$25*$N$21/100/4</f>
        <v>0</v>
      </c>
      <c r="AU57" s="40" t="n">
        <f aca="false">$N$25*$N$21/100/4</f>
        <v>0</v>
      </c>
      <c r="AV57" s="40"/>
      <c r="AW57" s="40"/>
      <c r="AX57" s="40"/>
      <c r="AY57" s="55" t="n">
        <f aca="false">AW57</f>
        <v>0</v>
      </c>
      <c r="AZ57" s="55" t="n">
        <f aca="false">$N$25*$N$21/100/4</f>
        <v>0</v>
      </c>
      <c r="BA57" s="55" t="n">
        <f aca="false">AZ57</f>
        <v>0</v>
      </c>
      <c r="BB57" s="55" t="n">
        <f aca="false">BA57</f>
        <v>0</v>
      </c>
    </row>
    <row r="58" customFormat="false" ht="15" hidden="false" customHeight="false" outlineLevel="0" collapsed="false">
      <c r="A58" s="3" t="s">
        <v>165</v>
      </c>
      <c r="D58" s="45" t="n">
        <f aca="false">SUM(E58:AZ58)</f>
        <v>33212.025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0" t="n">
        <f aca="false">$O$24*$O$14/100/4</f>
        <v>2767.66875</v>
      </c>
      <c r="R58" s="40" t="n">
        <f aca="false">$O$24*$O$14/100/4</f>
        <v>2767.66875</v>
      </c>
      <c r="S58" s="40" t="n">
        <f aca="false">$O$24*$O$14/100/4</f>
        <v>2767.66875</v>
      </c>
      <c r="T58" s="40" t="n">
        <f aca="false">$O$24*$O$14/100/4</f>
        <v>2767.66875</v>
      </c>
      <c r="U58" s="40" t="n">
        <f aca="false">$O$24*$O$15/100/4</f>
        <v>2767.66875</v>
      </c>
      <c r="V58" s="40" t="n">
        <f aca="false">$O$24*$O$15/100/4</f>
        <v>2767.66875</v>
      </c>
      <c r="W58" s="40" t="n">
        <f aca="false">$O$24*$O$15/100/4</f>
        <v>2767.66875</v>
      </c>
      <c r="X58" s="40" t="n">
        <f aca="false">$O$24*$O$15/100/4</f>
        <v>2767.66875</v>
      </c>
      <c r="Y58" s="40" t="n">
        <f aca="false">$O$24*$O$16/100/4</f>
        <v>1383.834375</v>
      </c>
      <c r="Z58" s="40" t="n">
        <f aca="false">$O$24*$O$16/100/4</f>
        <v>1383.834375</v>
      </c>
      <c r="AA58" s="40" t="n">
        <f aca="false">$O$24*$O$16/100/4</f>
        <v>1383.834375</v>
      </c>
      <c r="AB58" s="40" t="n">
        <f aca="false">$O$24*$O$16/100/4</f>
        <v>1383.834375</v>
      </c>
      <c r="AC58" s="40" t="n">
        <f aca="false">$O$24*$O$17/100/4</f>
        <v>1383.834375</v>
      </c>
      <c r="AD58" s="40" t="n">
        <f aca="false">$O$24*$O$17/100/4</f>
        <v>1383.834375</v>
      </c>
      <c r="AE58" s="40" t="n">
        <f aca="false">$O$24*$O$17/100/4</f>
        <v>1383.834375</v>
      </c>
      <c r="AF58" s="40" t="n">
        <f aca="false">$O$24*$O$17/100/4</f>
        <v>1383.834375</v>
      </c>
      <c r="AG58" s="40" t="n">
        <f aca="false">$O$24*$O$18/100/4</f>
        <v>0</v>
      </c>
      <c r="AH58" s="40" t="n">
        <f aca="false">$O$24*$O$18/100/4</f>
        <v>0</v>
      </c>
      <c r="AI58" s="40" t="n">
        <f aca="false">$O$24*$O$18/100/4</f>
        <v>0</v>
      </c>
      <c r="AJ58" s="40" t="n">
        <f aca="false">$O$24*$O$18/100/4</f>
        <v>0</v>
      </c>
      <c r="AK58" s="40" t="n">
        <f aca="false">$O$24*$O$19/100/4</f>
        <v>0</v>
      </c>
      <c r="AL58" s="40" t="n">
        <f aca="false">$O$24*$O$19/100/4</f>
        <v>0</v>
      </c>
      <c r="AM58" s="40" t="n">
        <f aca="false">$O$24*$O$19/100/4</f>
        <v>0</v>
      </c>
      <c r="AN58" s="40" t="n">
        <f aca="false">$O$24*$O$19/100/4</f>
        <v>0</v>
      </c>
      <c r="AO58" s="40" t="n">
        <f aca="false">$O$24*$O$20/100/4</f>
        <v>0</v>
      </c>
      <c r="AP58" s="40" t="n">
        <f aca="false">$O$24*$O$20/100/4</f>
        <v>0</v>
      </c>
      <c r="AQ58" s="40" t="n">
        <f aca="false">$O$24*$O$20/100/4</f>
        <v>0</v>
      </c>
      <c r="AR58" s="40" t="n">
        <f aca="false">$O$24*$O$20/100/4</f>
        <v>0</v>
      </c>
      <c r="AS58" s="40" t="n">
        <f aca="false">$O$24*$O$21/100/4</f>
        <v>0</v>
      </c>
      <c r="AT58" s="40" t="n">
        <f aca="false">$O$24*$O$21/100/4</f>
        <v>0</v>
      </c>
      <c r="AU58" s="40" t="n">
        <f aca="false">$O$24*$O$21/100/4</f>
        <v>0</v>
      </c>
      <c r="AV58" s="40" t="n">
        <f aca="false">$O$24*$O$21/100/4</f>
        <v>0</v>
      </c>
      <c r="AW58" s="40"/>
      <c r="AX58" s="40"/>
      <c r="AY58" s="40"/>
      <c r="AZ58" s="40"/>
      <c r="BB58" s="55"/>
      <c r="BC58" s="55"/>
    </row>
    <row r="59" customFormat="false" ht="15" hidden="false" customHeight="false" outlineLevel="0" collapsed="false">
      <c r="A59" s="3" t="s">
        <v>166</v>
      </c>
      <c r="D59" s="45" t="n">
        <f aca="false">SUM(E59:AZ59)</f>
        <v>51663.15</v>
      </c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0" t="n">
        <f aca="false">$O$25*$O$14/100/4</f>
        <v>4305.2625</v>
      </c>
      <c r="R59" s="40" t="n">
        <f aca="false">$O$25*$O$14/100/4</f>
        <v>4305.2625</v>
      </c>
      <c r="S59" s="40" t="n">
        <f aca="false">$O$25*$O$14/100/4</f>
        <v>4305.2625</v>
      </c>
      <c r="T59" s="40" t="n">
        <f aca="false">$O$25*$O$14/100/4</f>
        <v>4305.2625</v>
      </c>
      <c r="U59" s="40" t="n">
        <f aca="false">$O$25*$O$15/100/4</f>
        <v>4305.2625</v>
      </c>
      <c r="V59" s="40" t="n">
        <f aca="false">$O$25*$O$15/100/4</f>
        <v>4305.2625</v>
      </c>
      <c r="W59" s="40" t="n">
        <f aca="false">$O$25*$O$15/100/4</f>
        <v>4305.2625</v>
      </c>
      <c r="X59" s="40" t="n">
        <f aca="false">$O$25*$O$15/100/4</f>
        <v>4305.2625</v>
      </c>
      <c r="Y59" s="40" t="n">
        <f aca="false">$O$25*$O$16/100/4</f>
        <v>2152.63125</v>
      </c>
      <c r="Z59" s="40" t="n">
        <f aca="false">$O$25*$O$16/100/4</f>
        <v>2152.63125</v>
      </c>
      <c r="AA59" s="40" t="n">
        <f aca="false">$O$25*$O$16/100/4</f>
        <v>2152.63125</v>
      </c>
      <c r="AB59" s="40" t="n">
        <f aca="false">$O$25*$O$16/100/4</f>
        <v>2152.63125</v>
      </c>
      <c r="AC59" s="40" t="n">
        <f aca="false">$O$25*$O$17/100/4</f>
        <v>2152.63125</v>
      </c>
      <c r="AD59" s="40" t="n">
        <f aca="false">$O$25*$O$17/100/4</f>
        <v>2152.63125</v>
      </c>
      <c r="AE59" s="40" t="n">
        <f aca="false">$O$25*$O$17/100/4</f>
        <v>2152.63125</v>
      </c>
      <c r="AF59" s="40" t="n">
        <f aca="false">$O$25*$O$17/100/4</f>
        <v>2152.63125</v>
      </c>
      <c r="AG59" s="40" t="n">
        <f aca="false">$O$25*$O$18/100/4</f>
        <v>0</v>
      </c>
      <c r="AH59" s="40" t="n">
        <f aca="false">$O$25*$O$18/100/4</f>
        <v>0</v>
      </c>
      <c r="AI59" s="40" t="n">
        <f aca="false">$O$25*$O$18/100/4</f>
        <v>0</v>
      </c>
      <c r="AJ59" s="40" t="n">
        <f aca="false">$O$25*$O$18/100/4</f>
        <v>0</v>
      </c>
      <c r="AK59" s="40" t="n">
        <f aca="false">$O$25*$O$19/100/4</f>
        <v>0</v>
      </c>
      <c r="AL59" s="40" t="n">
        <f aca="false">$O$25*$O$19/100/4</f>
        <v>0</v>
      </c>
      <c r="AM59" s="40" t="n">
        <f aca="false">$O$25*$O$19/100/4</f>
        <v>0</v>
      </c>
      <c r="AN59" s="40" t="n">
        <f aca="false">$O$25*$O$19/100/4</f>
        <v>0</v>
      </c>
      <c r="AO59" s="40" t="n">
        <f aca="false">$O$25*$O$20/100/4</f>
        <v>0</v>
      </c>
      <c r="AP59" s="40" t="n">
        <f aca="false">$O$25*$O$20/100/4</f>
        <v>0</v>
      </c>
      <c r="AQ59" s="40" t="n">
        <f aca="false">$O$25*$O$20/100/4</f>
        <v>0</v>
      </c>
      <c r="AR59" s="40" t="n">
        <f aca="false">$O$25*$O$20/100/4</f>
        <v>0</v>
      </c>
      <c r="AS59" s="40" t="n">
        <f aca="false">$O$25*$O$21/100/4</f>
        <v>0</v>
      </c>
      <c r="AT59" s="40" t="n">
        <f aca="false">$O$25*$O$21/100/4</f>
        <v>0</v>
      </c>
      <c r="AU59" s="40" t="n">
        <f aca="false">$O$25*$O$21/100/4</f>
        <v>0</v>
      </c>
      <c r="AV59" s="40" t="n">
        <f aca="false">$O$25*$O$21/100/4</f>
        <v>0</v>
      </c>
      <c r="AW59" s="40"/>
      <c r="AX59" s="40"/>
      <c r="AY59" s="40"/>
      <c r="AZ59" s="40"/>
      <c r="BB59" s="55"/>
      <c r="BC59" s="55"/>
    </row>
    <row r="60" customFormat="false" ht="15" hidden="false" customHeight="false" outlineLevel="0" collapsed="false">
      <c r="A60" s="3" t="s">
        <v>167</v>
      </c>
      <c r="D60" s="45" t="n">
        <f aca="false">SUM(E60:AZ60)</f>
        <v>33212.025</v>
      </c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0" t="n">
        <f aca="false">$P$24*$P$14/100/4</f>
        <v>2767.66875</v>
      </c>
      <c r="S60" s="40" t="n">
        <f aca="false">$P$24*$P$14/100/4</f>
        <v>2767.66875</v>
      </c>
      <c r="T60" s="40" t="n">
        <f aca="false">$P$24*$P$14/100/4</f>
        <v>2767.66875</v>
      </c>
      <c r="U60" s="40" t="n">
        <f aca="false">$P$24*$P$14/100/4</f>
        <v>2767.66875</v>
      </c>
      <c r="V60" s="40" t="n">
        <f aca="false">$P$24*$P$15/100/4</f>
        <v>2767.66875</v>
      </c>
      <c r="W60" s="40" t="n">
        <f aca="false">$P$24*$P$15/100/4</f>
        <v>2767.66875</v>
      </c>
      <c r="X60" s="40" t="n">
        <f aca="false">$P$24*$P$15/100/4</f>
        <v>2767.66875</v>
      </c>
      <c r="Y60" s="40" t="n">
        <f aca="false">$P$24*$P$15/100/4</f>
        <v>2767.66875</v>
      </c>
      <c r="Z60" s="40" t="n">
        <f aca="false">$P$24*$P$16/100/4</f>
        <v>1383.834375</v>
      </c>
      <c r="AA60" s="40" t="n">
        <f aca="false">$P$24*$P$16/100/4</f>
        <v>1383.834375</v>
      </c>
      <c r="AB60" s="40" t="n">
        <f aca="false">$P$24*$P$16/100/4</f>
        <v>1383.834375</v>
      </c>
      <c r="AC60" s="40" t="n">
        <f aca="false">$P$24*$P$16/100/4</f>
        <v>1383.834375</v>
      </c>
      <c r="AD60" s="40" t="n">
        <f aca="false">$P$24*$P$17/100/4</f>
        <v>1383.834375</v>
      </c>
      <c r="AE60" s="40" t="n">
        <f aca="false">$P$24*$P$17/100/4</f>
        <v>1383.834375</v>
      </c>
      <c r="AF60" s="40" t="n">
        <f aca="false">$P$24*$P$17/100/4</f>
        <v>1383.834375</v>
      </c>
      <c r="AG60" s="40" t="n">
        <f aca="false">$P$24*$P$17/100/4</f>
        <v>1383.834375</v>
      </c>
      <c r="AH60" s="40" t="n">
        <f aca="false">$P$24*$P$18/100/4</f>
        <v>0</v>
      </c>
      <c r="AI60" s="40" t="n">
        <f aca="false">$P$24*$P$18/100/4</f>
        <v>0</v>
      </c>
      <c r="AJ60" s="40" t="n">
        <f aca="false">$P$24*$P$18/100/4</f>
        <v>0</v>
      </c>
      <c r="AK60" s="40" t="n">
        <f aca="false">$P$24*$P$18/100/4</f>
        <v>0</v>
      </c>
      <c r="AL60" s="40" t="n">
        <f aca="false">$P$24*$P$19/100/4</f>
        <v>0</v>
      </c>
      <c r="AM60" s="40" t="n">
        <f aca="false">$P$24*$P$19/100/4</f>
        <v>0</v>
      </c>
      <c r="AN60" s="40" t="n">
        <f aca="false">$P$24*$P$19/100/4</f>
        <v>0</v>
      </c>
      <c r="AO60" s="40" t="n">
        <f aca="false">$P$24*$P$19/100/4</f>
        <v>0</v>
      </c>
      <c r="AP60" s="40" t="n">
        <f aca="false">$P$24*$P$20/100/4</f>
        <v>0</v>
      </c>
      <c r="AQ60" s="40" t="n">
        <f aca="false">$P$24*$P$20/100/4</f>
        <v>0</v>
      </c>
      <c r="AR60" s="40" t="n">
        <f aca="false">$P$24*$P$20/100/4</f>
        <v>0</v>
      </c>
      <c r="AS60" s="40" t="n">
        <f aca="false">$P$24*$P$20/100/4</f>
        <v>0</v>
      </c>
      <c r="AT60" s="40" t="n">
        <f aca="false">$P$24*$P$21/100/4</f>
        <v>0</v>
      </c>
      <c r="AU60" s="40" t="n">
        <f aca="false">$P$24*$P$21/100/4</f>
        <v>0</v>
      </c>
      <c r="AV60" s="40" t="n">
        <f aca="false">$P$24*$P$21/100/4</f>
        <v>0</v>
      </c>
      <c r="AW60" s="40" t="n">
        <f aca="false">$P$24*$P$21/100/4</f>
        <v>0</v>
      </c>
      <c r="AX60" s="40"/>
      <c r="AY60" s="40"/>
      <c r="AZ60" s="40"/>
      <c r="BA60" s="55" t="n">
        <f aca="false">$P$24*$P$20/100/4</f>
        <v>0</v>
      </c>
      <c r="BB60" s="55" t="n">
        <f aca="false">BA60</f>
        <v>0</v>
      </c>
      <c r="BC60" s="55" t="n">
        <f aca="false">$P$24*$P$21/100/4</f>
        <v>0</v>
      </c>
      <c r="BD60" s="55" t="n">
        <f aca="false">BC60</f>
        <v>0</v>
      </c>
      <c r="BE60" s="55" t="n">
        <f aca="false">BD60</f>
        <v>0</v>
      </c>
    </row>
    <row r="61" customFormat="false" ht="15" hidden="false" customHeight="false" outlineLevel="0" collapsed="false">
      <c r="A61" s="3" t="s">
        <v>168</v>
      </c>
      <c r="D61" s="45" t="n">
        <f aca="false">SUM(E61:AZ61)</f>
        <v>51663.15</v>
      </c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0" t="n">
        <f aca="false">$P$25*$P$14/100/4</f>
        <v>4305.2625</v>
      </c>
      <c r="S61" s="40" t="n">
        <f aca="false">$P$25*$P$14/100/4</f>
        <v>4305.2625</v>
      </c>
      <c r="T61" s="40" t="n">
        <f aca="false">$P$25*$P$14/100/4</f>
        <v>4305.2625</v>
      </c>
      <c r="U61" s="40" t="n">
        <f aca="false">$P$25*$P$14/100/4</f>
        <v>4305.2625</v>
      </c>
      <c r="V61" s="40" t="n">
        <f aca="false">$P$25*$P$15/100/4</f>
        <v>4305.2625</v>
      </c>
      <c r="W61" s="40" t="n">
        <f aca="false">$P$25*$P$15/100/4</f>
        <v>4305.2625</v>
      </c>
      <c r="X61" s="40" t="n">
        <f aca="false">$P$25*$P$15/100/4</f>
        <v>4305.2625</v>
      </c>
      <c r="Y61" s="40" t="n">
        <f aca="false">$P$25*$P$15/100/4</f>
        <v>4305.2625</v>
      </c>
      <c r="Z61" s="40" t="n">
        <f aca="false">$P$25*$P$16/100/4</f>
        <v>2152.63125</v>
      </c>
      <c r="AA61" s="40" t="n">
        <f aca="false">$P$25*$P$16/100/4</f>
        <v>2152.63125</v>
      </c>
      <c r="AB61" s="40" t="n">
        <f aca="false">$P$25*$P$16/100/4</f>
        <v>2152.63125</v>
      </c>
      <c r="AC61" s="40" t="n">
        <f aca="false">$P$25*$P$16/100/4</f>
        <v>2152.63125</v>
      </c>
      <c r="AD61" s="40" t="n">
        <f aca="false">$P$25*$P$17/100/4</f>
        <v>2152.63125</v>
      </c>
      <c r="AE61" s="40" t="n">
        <f aca="false">$P$25*$P$17/100/4</f>
        <v>2152.63125</v>
      </c>
      <c r="AF61" s="40" t="n">
        <f aca="false">$P$25*$P$17/100/4</f>
        <v>2152.63125</v>
      </c>
      <c r="AG61" s="40" t="n">
        <f aca="false">$P$25*$P$17/100/4</f>
        <v>2152.63125</v>
      </c>
      <c r="AH61" s="40" t="n">
        <f aca="false">$P$25*$P$18/100/4</f>
        <v>0</v>
      </c>
      <c r="AI61" s="40" t="n">
        <f aca="false">$P$25*$P$18/100/4</f>
        <v>0</v>
      </c>
      <c r="AJ61" s="40" t="n">
        <f aca="false">$P$25*$P$18/100/4</f>
        <v>0</v>
      </c>
      <c r="AK61" s="40" t="n">
        <f aca="false">$P$25*$P$18/100/4</f>
        <v>0</v>
      </c>
      <c r="AL61" s="40" t="n">
        <f aca="false">$P$25*$P$19/100/4</f>
        <v>0</v>
      </c>
      <c r="AM61" s="40" t="n">
        <f aca="false">$P$25*$P$19/100/4</f>
        <v>0</v>
      </c>
      <c r="AN61" s="40" t="n">
        <f aca="false">$P$25*$P$19/100/4</f>
        <v>0</v>
      </c>
      <c r="AO61" s="40" t="n">
        <f aca="false">$P$25*$P$19/100/4</f>
        <v>0</v>
      </c>
      <c r="AP61" s="40" t="n">
        <f aca="false">$P$25*$P$20/100/4</f>
        <v>0</v>
      </c>
      <c r="AQ61" s="40" t="n">
        <f aca="false">$P$25*$P$20/100/4</f>
        <v>0</v>
      </c>
      <c r="AR61" s="40" t="n">
        <f aca="false">$P$25*$P$20/100/4</f>
        <v>0</v>
      </c>
      <c r="AS61" s="40" t="n">
        <f aca="false">$P$25*$P$20/100/4</f>
        <v>0</v>
      </c>
      <c r="AT61" s="40" t="n">
        <f aca="false">$P$25*$P$21/100/4</f>
        <v>0</v>
      </c>
      <c r="AU61" s="40" t="n">
        <f aca="false">$P$25*$P$21/100/4</f>
        <v>0</v>
      </c>
      <c r="AV61" s="40" t="n">
        <f aca="false">$P$25*$P$21/100/4</f>
        <v>0</v>
      </c>
      <c r="AW61" s="40" t="n">
        <f aca="false">$P$25*$P$21/100/4</f>
        <v>0</v>
      </c>
      <c r="AX61" s="40"/>
      <c r="AY61" s="40"/>
      <c r="AZ61" s="40"/>
      <c r="BA61" s="55" t="n">
        <f aca="false">$P$25*$P$20/100/4</f>
        <v>0</v>
      </c>
      <c r="BB61" s="55" t="n">
        <f aca="false">BA61</f>
        <v>0</v>
      </c>
      <c r="BC61" s="55" t="n">
        <f aca="false">$P$25*$P$21/100/4</f>
        <v>0</v>
      </c>
      <c r="BD61" s="55" t="n">
        <f aca="false">BC61</f>
        <v>0</v>
      </c>
      <c r="BE61" s="55" t="n">
        <f aca="false">BD61</f>
        <v>0</v>
      </c>
    </row>
    <row r="62" customFormat="false" ht="15" hidden="false" customHeight="false" outlineLevel="0" collapsed="false">
      <c r="A62" s="3" t="s">
        <v>169</v>
      </c>
      <c r="D62" s="45" t="n">
        <f aca="false">SUM(E62:AZ62)</f>
        <v>36231.3</v>
      </c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0" t="n">
        <f aca="false">$Q$24*$Q$14/100/4</f>
        <v>3019.275</v>
      </c>
      <c r="T62" s="40" t="n">
        <f aca="false">$Q$24*$Q$14/100/4</f>
        <v>3019.275</v>
      </c>
      <c r="U62" s="40" t="n">
        <f aca="false">$Q$24*$Q$14/100/4</f>
        <v>3019.275</v>
      </c>
      <c r="V62" s="40" t="n">
        <f aca="false">$Q$24*$Q$14/100/4</f>
        <v>3019.275</v>
      </c>
      <c r="W62" s="40" t="n">
        <f aca="false">$Q$24*$Q$15/100/4</f>
        <v>3019.275</v>
      </c>
      <c r="X62" s="40" t="n">
        <f aca="false">$Q$24*$Q$15/100/4</f>
        <v>3019.275</v>
      </c>
      <c r="Y62" s="40" t="n">
        <f aca="false">$Q$24*$Q$15/100/4</f>
        <v>3019.275</v>
      </c>
      <c r="Z62" s="40" t="n">
        <f aca="false">$Q$24*$Q$15/100/4</f>
        <v>3019.275</v>
      </c>
      <c r="AA62" s="40" t="n">
        <f aca="false">$Q$24*$Q$16/100/4</f>
        <v>1509.6375</v>
      </c>
      <c r="AB62" s="40" t="n">
        <f aca="false">$Q$24*$Q$16/100/4</f>
        <v>1509.6375</v>
      </c>
      <c r="AC62" s="40" t="n">
        <f aca="false">$Q$24*$Q$16/100/4</f>
        <v>1509.6375</v>
      </c>
      <c r="AD62" s="40" t="n">
        <f aca="false">$Q$24*$Q$16/100/4</f>
        <v>1509.6375</v>
      </c>
      <c r="AE62" s="40" t="n">
        <f aca="false">$Q$24*$Q$17/100/4</f>
        <v>1509.6375</v>
      </c>
      <c r="AF62" s="40" t="n">
        <f aca="false">$Q$24*$Q$17/100/4</f>
        <v>1509.6375</v>
      </c>
      <c r="AG62" s="40" t="n">
        <f aca="false">$Q$24*$Q$17/100/4</f>
        <v>1509.6375</v>
      </c>
      <c r="AH62" s="40" t="n">
        <f aca="false">$Q$24*$Q$17/100/4</f>
        <v>1509.6375</v>
      </c>
      <c r="AI62" s="40" t="n">
        <f aca="false">$Q$24*$Q$18/100/4</f>
        <v>0</v>
      </c>
      <c r="AJ62" s="40" t="n">
        <f aca="false">$Q$24*$Q$18/100/4</f>
        <v>0</v>
      </c>
      <c r="AK62" s="40" t="n">
        <f aca="false">$Q$24*$Q$18/100/4</f>
        <v>0</v>
      </c>
      <c r="AL62" s="40" t="n">
        <f aca="false">$Q$24*$Q$18/100/4</f>
        <v>0</v>
      </c>
      <c r="AM62" s="40" t="n">
        <f aca="false">$Q$24*$Q$19/100/4</f>
        <v>0</v>
      </c>
      <c r="AN62" s="40" t="n">
        <f aca="false">$Q$24*$Q$19/100/4</f>
        <v>0</v>
      </c>
      <c r="AO62" s="40" t="n">
        <f aca="false">$Q$24*$Q$19/100/4</f>
        <v>0</v>
      </c>
      <c r="AP62" s="40" t="n">
        <f aca="false">$Q$24*$Q$19/100/4</f>
        <v>0</v>
      </c>
      <c r="AQ62" s="40" t="n">
        <f aca="false">$Q$24*$Q$20/100/4</f>
        <v>0</v>
      </c>
      <c r="AR62" s="40" t="n">
        <f aca="false">$Q$24*$Q$20/100/4</f>
        <v>0</v>
      </c>
      <c r="AS62" s="40" t="n">
        <f aca="false">$Q$24*$Q$20/100/4</f>
        <v>0</v>
      </c>
      <c r="AT62" s="40" t="n">
        <f aca="false">$Q$24*$Q$20/100/4</f>
        <v>0</v>
      </c>
      <c r="AU62" s="40" t="n">
        <f aca="false">$Q$24*$Q$21/100/4</f>
        <v>0</v>
      </c>
      <c r="AV62" s="40" t="n">
        <f aca="false">$Q$24*$Q$21/100/4</f>
        <v>0</v>
      </c>
      <c r="AW62" s="40" t="n">
        <f aca="false">$Q$24*$Q$21/100/4</f>
        <v>0</v>
      </c>
      <c r="AX62" s="40" t="n">
        <f aca="false">$Q$24*$Q$21/100/4</f>
        <v>0</v>
      </c>
      <c r="AY62" s="40"/>
      <c r="AZ62" s="40"/>
      <c r="BA62" s="40"/>
      <c r="BB62" s="40"/>
      <c r="BD62" s="55"/>
      <c r="BE62" s="55"/>
      <c r="BF62" s="55"/>
    </row>
    <row r="63" customFormat="false" ht="15" hidden="false" customHeight="false" outlineLevel="0" collapsed="false">
      <c r="A63" s="3" t="s">
        <v>170</v>
      </c>
      <c r="D63" s="45" t="n">
        <f aca="false">SUM(E63:AZ63)</f>
        <v>56359.8</v>
      </c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0" t="n">
        <f aca="false">$Q$25*$Q$14/100/4</f>
        <v>4696.65</v>
      </c>
      <c r="T63" s="40" t="n">
        <f aca="false">$Q$25*$Q$14/100/4</f>
        <v>4696.65</v>
      </c>
      <c r="U63" s="40" t="n">
        <f aca="false">$Q$25*$Q$14/100/4</f>
        <v>4696.65</v>
      </c>
      <c r="V63" s="40" t="n">
        <f aca="false">$Q$25*$Q$14/100/4</f>
        <v>4696.65</v>
      </c>
      <c r="W63" s="40" t="n">
        <f aca="false">$Q$25*$Q$15/100/4</f>
        <v>4696.65</v>
      </c>
      <c r="X63" s="40" t="n">
        <f aca="false">$Q$25*$Q$15/100/4</f>
        <v>4696.65</v>
      </c>
      <c r="Y63" s="40" t="n">
        <f aca="false">$Q$25*$Q$15/100/4</f>
        <v>4696.65</v>
      </c>
      <c r="Z63" s="40" t="n">
        <f aca="false">$Q$25*$Q$15/100/4</f>
        <v>4696.65</v>
      </c>
      <c r="AA63" s="40" t="n">
        <f aca="false">$Q$25*$Q$16/100/4</f>
        <v>2348.325</v>
      </c>
      <c r="AB63" s="40" t="n">
        <f aca="false">$Q$25*$Q$16/100/4</f>
        <v>2348.325</v>
      </c>
      <c r="AC63" s="40" t="n">
        <f aca="false">$Q$25*$Q$16/100/4</f>
        <v>2348.325</v>
      </c>
      <c r="AD63" s="40" t="n">
        <f aca="false">$Q$25*$Q$16/100/4</f>
        <v>2348.325</v>
      </c>
      <c r="AE63" s="40" t="n">
        <f aca="false">$Q$25*$Q$17/100/4</f>
        <v>2348.325</v>
      </c>
      <c r="AF63" s="40" t="n">
        <f aca="false">$Q$25*$Q$17/100/4</f>
        <v>2348.325</v>
      </c>
      <c r="AG63" s="40" t="n">
        <f aca="false">$Q$25*$Q$17/100/4</f>
        <v>2348.325</v>
      </c>
      <c r="AH63" s="40" t="n">
        <f aca="false">$Q$25*$Q$17/100/4</f>
        <v>2348.325</v>
      </c>
      <c r="AI63" s="40" t="n">
        <f aca="false">$Q$25*$Q$18/100/4</f>
        <v>0</v>
      </c>
      <c r="AJ63" s="40" t="n">
        <f aca="false">$Q$25*$Q$18/100/4</f>
        <v>0</v>
      </c>
      <c r="AK63" s="40" t="n">
        <f aca="false">$Q$25*$Q$18/100/4</f>
        <v>0</v>
      </c>
      <c r="AL63" s="40" t="n">
        <f aca="false">$Q$25*$Q$18/100/4</f>
        <v>0</v>
      </c>
      <c r="AM63" s="40" t="n">
        <f aca="false">$Q$25*$Q$19/100/4</f>
        <v>0</v>
      </c>
      <c r="AN63" s="40" t="n">
        <f aca="false">$Q$25*$Q$19/100/4</f>
        <v>0</v>
      </c>
      <c r="AO63" s="40" t="n">
        <f aca="false">$Q$25*$Q$19/100/4</f>
        <v>0</v>
      </c>
      <c r="AP63" s="40" t="n">
        <f aca="false">$Q$25*$Q$19/100/4</f>
        <v>0</v>
      </c>
      <c r="AQ63" s="40" t="n">
        <f aca="false">$Q$25*$Q$20/100/4</f>
        <v>0</v>
      </c>
      <c r="AR63" s="40" t="n">
        <f aca="false">$Q$25*$Q$20/100/4</f>
        <v>0</v>
      </c>
      <c r="AS63" s="40" t="n">
        <f aca="false">$Q$25*$Q$20/100/4</f>
        <v>0</v>
      </c>
      <c r="AT63" s="40" t="n">
        <f aca="false">$Q$25*$Q$20/100/4</f>
        <v>0</v>
      </c>
      <c r="AU63" s="40" t="n">
        <f aca="false">$Q$25*$Q$21/100/4</f>
        <v>0</v>
      </c>
      <c r="AV63" s="40" t="n">
        <f aca="false">$Q$25*$Q$21/100/4</f>
        <v>0</v>
      </c>
      <c r="AW63" s="40" t="n">
        <f aca="false">$Q$25*$Q$21/100/4</f>
        <v>0</v>
      </c>
      <c r="AX63" s="40" t="n">
        <f aca="false">$Q$25*$Q$21/100/4</f>
        <v>0</v>
      </c>
      <c r="AY63" s="40"/>
      <c r="AZ63" s="40"/>
      <c r="BA63" s="40"/>
      <c r="BB63" s="40"/>
      <c r="BD63" s="55"/>
      <c r="BE63" s="55"/>
      <c r="BF63" s="55"/>
    </row>
    <row r="64" customFormat="false" ht="15" hidden="false" customHeight="false" outlineLevel="0" collapsed="false">
      <c r="A64" s="3" t="s">
        <v>171</v>
      </c>
      <c r="D64" s="45" t="n">
        <f aca="false">SUM(E64:AZ64)</f>
        <v>36231.3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0" t="n">
        <f aca="false">$R$24*$R$14/100/4</f>
        <v>3019.275</v>
      </c>
      <c r="U64" s="40" t="n">
        <f aca="false">$R$24*$R$14/100/4</f>
        <v>3019.275</v>
      </c>
      <c r="V64" s="40" t="n">
        <f aca="false">$R$24*$R$14/100/4</f>
        <v>3019.275</v>
      </c>
      <c r="W64" s="40" t="n">
        <f aca="false">$R$24*$R$14/100/4</f>
        <v>3019.275</v>
      </c>
      <c r="X64" s="40" t="n">
        <f aca="false">$R$24*$R$15/100/4</f>
        <v>3019.275</v>
      </c>
      <c r="Y64" s="40" t="n">
        <f aca="false">$R$24*$R$15/100/4</f>
        <v>3019.275</v>
      </c>
      <c r="Z64" s="40" t="n">
        <f aca="false">$R$24*$R$15/100/4</f>
        <v>3019.275</v>
      </c>
      <c r="AA64" s="40" t="n">
        <f aca="false">$R$24*$R$15/100/4</f>
        <v>3019.275</v>
      </c>
      <c r="AB64" s="40" t="n">
        <f aca="false">$R$24*$R$16/100/4</f>
        <v>1509.6375</v>
      </c>
      <c r="AC64" s="40" t="n">
        <f aca="false">$R$24*$R$16/100/4</f>
        <v>1509.6375</v>
      </c>
      <c r="AD64" s="40" t="n">
        <f aca="false">$R$24*$R$16/100/4</f>
        <v>1509.6375</v>
      </c>
      <c r="AE64" s="40" t="n">
        <f aca="false">$R$24*$R$16/100/4</f>
        <v>1509.6375</v>
      </c>
      <c r="AF64" s="40" t="n">
        <f aca="false">$R$24*$R$17/100/4</f>
        <v>1509.6375</v>
      </c>
      <c r="AG64" s="40" t="n">
        <f aca="false">$R$24*$R$17/100/4</f>
        <v>1509.6375</v>
      </c>
      <c r="AH64" s="40" t="n">
        <f aca="false">$R$24*$R$17/100/4</f>
        <v>1509.6375</v>
      </c>
      <c r="AI64" s="40" t="n">
        <f aca="false">$R$24*$R$17/100/4</f>
        <v>1509.6375</v>
      </c>
      <c r="AJ64" s="40" t="n">
        <f aca="false">$R$24*$R$18/100/4</f>
        <v>0</v>
      </c>
      <c r="AK64" s="40" t="n">
        <f aca="false">$R$24*$R$18/100/4</f>
        <v>0</v>
      </c>
      <c r="AL64" s="40" t="n">
        <f aca="false">$R$24*$R$18/100/4</f>
        <v>0</v>
      </c>
      <c r="AM64" s="40" t="n">
        <f aca="false">$R$24*$R$18/100/4</f>
        <v>0</v>
      </c>
      <c r="AN64" s="40" t="n">
        <f aca="false">$R$24*$R$19/100/4</f>
        <v>0</v>
      </c>
      <c r="AO64" s="40" t="n">
        <f aca="false">$R$24*$R$19/100/4</f>
        <v>0</v>
      </c>
      <c r="AP64" s="40" t="n">
        <f aca="false">$R$24*$R$19/100/4</f>
        <v>0</v>
      </c>
      <c r="AQ64" s="40" t="n">
        <f aca="false">$R$24*$R$19/100/4</f>
        <v>0</v>
      </c>
      <c r="AR64" s="40" t="n">
        <f aca="false">$R$24*$R$20/100/4</f>
        <v>0</v>
      </c>
      <c r="AS64" s="40" t="n">
        <f aca="false">$R$24*$R$20/100/4</f>
        <v>0</v>
      </c>
      <c r="AT64" s="40" t="n">
        <f aca="false">$R$24*$R$20/100/4</f>
        <v>0</v>
      </c>
      <c r="AU64" s="40" t="n">
        <f aca="false">$R$24*$R$20/100/4</f>
        <v>0</v>
      </c>
      <c r="AV64" s="40" t="n">
        <f aca="false">$R$24*$R$21/100/4</f>
        <v>0</v>
      </c>
      <c r="AW64" s="40" t="n">
        <f aca="false">$R$24*$R$21/100/4</f>
        <v>0</v>
      </c>
      <c r="AX64" s="40" t="n">
        <f aca="false">$R$24*$R$21/100/4</f>
        <v>0</v>
      </c>
      <c r="AY64" s="40" t="n">
        <f aca="false">$R$24*$R$21/100/4</f>
        <v>0</v>
      </c>
      <c r="AZ64" s="40"/>
      <c r="BA64" s="40"/>
      <c r="BB64" s="40"/>
      <c r="BC64" s="55" t="n">
        <f aca="false">BA64</f>
        <v>0</v>
      </c>
      <c r="BD64" s="55" t="n">
        <f aca="false">$R$24*$R$20/100/4</f>
        <v>0</v>
      </c>
      <c r="BE64" s="55" t="n">
        <f aca="false">BD64</f>
        <v>0</v>
      </c>
      <c r="BF64" s="55" t="n">
        <f aca="false">$R$24*$R$21/100/4</f>
        <v>0</v>
      </c>
      <c r="BG64" s="55" t="n">
        <f aca="false">BF64</f>
        <v>0</v>
      </c>
      <c r="BH64" s="55" t="n">
        <f aca="false">BG64</f>
        <v>0</v>
      </c>
    </row>
    <row r="65" customFormat="false" ht="15" hidden="false" customHeight="false" outlineLevel="0" collapsed="false">
      <c r="A65" s="3" t="s">
        <v>172</v>
      </c>
      <c r="D65" s="45" t="n">
        <f aca="false">SUM(E65:AZ65)</f>
        <v>56359.8</v>
      </c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0" t="n">
        <f aca="false">$R$25*$R$14/100/4</f>
        <v>4696.65</v>
      </c>
      <c r="U65" s="40" t="n">
        <f aca="false">$R$25*$R$14/100/4</f>
        <v>4696.65</v>
      </c>
      <c r="V65" s="40" t="n">
        <f aca="false">$R$25*$R$14/100/4</f>
        <v>4696.65</v>
      </c>
      <c r="W65" s="40" t="n">
        <f aca="false">$R$25*$R$14/100/4</f>
        <v>4696.65</v>
      </c>
      <c r="X65" s="40" t="n">
        <f aca="false">$R$25*$R$15/100/4</f>
        <v>4696.65</v>
      </c>
      <c r="Y65" s="40" t="n">
        <f aca="false">$R$25*$R$15/100/4</f>
        <v>4696.65</v>
      </c>
      <c r="Z65" s="40" t="n">
        <f aca="false">$R$25*$R$15/100/4</f>
        <v>4696.65</v>
      </c>
      <c r="AA65" s="40" t="n">
        <f aca="false">$R$25*$R$15/100/4</f>
        <v>4696.65</v>
      </c>
      <c r="AB65" s="40" t="n">
        <f aca="false">$R$25*$R$16/100/4</f>
        <v>2348.325</v>
      </c>
      <c r="AC65" s="40" t="n">
        <f aca="false">$R$25*$R$16/100/4</f>
        <v>2348.325</v>
      </c>
      <c r="AD65" s="40" t="n">
        <f aca="false">$R$25*$R$16/100/4</f>
        <v>2348.325</v>
      </c>
      <c r="AE65" s="40" t="n">
        <f aca="false">$R$25*$R$16/100/4</f>
        <v>2348.325</v>
      </c>
      <c r="AF65" s="40" t="n">
        <f aca="false">$R$25*$R$17/100/4</f>
        <v>2348.325</v>
      </c>
      <c r="AG65" s="40" t="n">
        <f aca="false">$R$25*$R$17/100/4</f>
        <v>2348.325</v>
      </c>
      <c r="AH65" s="40" t="n">
        <f aca="false">$R$25*$R$17/100/4</f>
        <v>2348.325</v>
      </c>
      <c r="AI65" s="40" t="n">
        <f aca="false">$R$25*$R$17/100/4</f>
        <v>2348.325</v>
      </c>
      <c r="AJ65" s="40" t="n">
        <f aca="false">$R$25*$R$18/100/4</f>
        <v>0</v>
      </c>
      <c r="AK65" s="40" t="n">
        <f aca="false">$R$25*$R$18/100/4</f>
        <v>0</v>
      </c>
      <c r="AL65" s="40" t="n">
        <f aca="false">$R$25*$R$18/100/4</f>
        <v>0</v>
      </c>
      <c r="AM65" s="40" t="n">
        <f aca="false">$R$25*$R$18/100/4</f>
        <v>0</v>
      </c>
      <c r="AN65" s="40" t="n">
        <f aca="false">$R$25*$R$19/100/4</f>
        <v>0</v>
      </c>
      <c r="AO65" s="40" t="n">
        <f aca="false">$R$25*$R$19/100/4</f>
        <v>0</v>
      </c>
      <c r="AP65" s="40" t="n">
        <f aca="false">$R$25*$R$19/100/4</f>
        <v>0</v>
      </c>
      <c r="AQ65" s="40" t="n">
        <f aca="false">$R$25*$R$19/100/4</f>
        <v>0</v>
      </c>
      <c r="AR65" s="40" t="n">
        <f aca="false">$R$25*$R$20/100/4</f>
        <v>0</v>
      </c>
      <c r="AS65" s="40" t="n">
        <f aca="false">$R$25*$R$20/100/4</f>
        <v>0</v>
      </c>
      <c r="AT65" s="40" t="n">
        <f aca="false">$R$25*$R$20/100/4</f>
        <v>0</v>
      </c>
      <c r="AU65" s="40" t="n">
        <f aca="false">$R$25*$R$20/100/4</f>
        <v>0</v>
      </c>
      <c r="AV65" s="40" t="n">
        <f aca="false">$R$25*$R$21/100/4</f>
        <v>0</v>
      </c>
      <c r="AW65" s="40" t="n">
        <f aca="false">$R$25*$R$21/100/4</f>
        <v>0</v>
      </c>
      <c r="AX65" s="40" t="n">
        <f aca="false">$R$25*$R$21/100/4</f>
        <v>0</v>
      </c>
      <c r="AY65" s="40" t="n">
        <f aca="false">$R$25*$R$21/100/4</f>
        <v>0</v>
      </c>
      <c r="AZ65" s="40"/>
      <c r="BA65" s="40"/>
      <c r="BB65" s="40"/>
      <c r="BC65" s="55" t="n">
        <f aca="false">BA65</f>
        <v>0</v>
      </c>
      <c r="BD65" s="55" t="n">
        <f aca="false">$R$25*$R$20/100/4</f>
        <v>0</v>
      </c>
      <c r="BE65" s="55" t="n">
        <f aca="false">BD65</f>
        <v>0</v>
      </c>
      <c r="BF65" s="55" t="n">
        <f aca="false">$R$25*$R$21/100/4</f>
        <v>0</v>
      </c>
      <c r="BG65" s="55" t="n">
        <f aca="false">BF65</f>
        <v>0</v>
      </c>
      <c r="BH65" s="55" t="n">
        <f aca="false">BG65</f>
        <v>0</v>
      </c>
    </row>
    <row r="66" customFormat="false" ht="15" hidden="false" customHeight="false" outlineLevel="0" collapsed="false">
      <c r="A66" s="3" t="s">
        <v>173</v>
      </c>
      <c r="D66" s="45" t="n">
        <f aca="false">SUM(E66:AZ66)</f>
        <v>28179.9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0" t="n">
        <f aca="false">$S$24*$S$14/100/4</f>
        <v>3019.275</v>
      </c>
      <c r="V66" s="40" t="n">
        <f aca="false">$S$24*$S$14/100/4</f>
        <v>3019.275</v>
      </c>
      <c r="W66" s="40" t="n">
        <f aca="false">$S$24*$S$14/100/4</f>
        <v>3019.275</v>
      </c>
      <c r="X66" s="40" t="n">
        <f aca="false">$S$24*$S$14/100/4</f>
        <v>3019.275</v>
      </c>
      <c r="Y66" s="40" t="n">
        <f aca="false">$S$24*$S$15/100/4</f>
        <v>2012.85</v>
      </c>
      <c r="Z66" s="40" t="n">
        <f aca="false">$S$24*$S$15/100/4</f>
        <v>2012.85</v>
      </c>
      <c r="AA66" s="40" t="n">
        <f aca="false">$S$24*$S$15/100/4</f>
        <v>2012.85</v>
      </c>
      <c r="AB66" s="40" t="n">
        <f aca="false">$S$24*$S$15/100/4</f>
        <v>2012.85</v>
      </c>
      <c r="AC66" s="40" t="n">
        <f aca="false">$S$24*$S$16/100/4</f>
        <v>2012.85</v>
      </c>
      <c r="AD66" s="40" t="n">
        <f aca="false">$S$24*$S$16/100/4</f>
        <v>2012.85</v>
      </c>
      <c r="AE66" s="40" t="n">
        <f aca="false">$S$24*$S$16/100/4</f>
        <v>2012.85</v>
      </c>
      <c r="AF66" s="40" t="n">
        <f aca="false">$S$24*$S$16/100/4</f>
        <v>2012.85</v>
      </c>
      <c r="AG66" s="40" t="n">
        <f aca="false">$S$24*$S$17/100/4</f>
        <v>0</v>
      </c>
      <c r="AH66" s="40" t="n">
        <f aca="false">$S$24*$S$17/100/4</f>
        <v>0</v>
      </c>
      <c r="AI66" s="40" t="n">
        <f aca="false">$S$24*$S$17/100/4</f>
        <v>0</v>
      </c>
      <c r="AJ66" s="40" t="n">
        <f aca="false">$S$24*$S$17/100/4</f>
        <v>0</v>
      </c>
      <c r="AK66" s="40" t="n">
        <f aca="false">$S$24*$S$18/100/4</f>
        <v>0</v>
      </c>
      <c r="AL66" s="40" t="n">
        <f aca="false">$S$24*$S$18/100/4</f>
        <v>0</v>
      </c>
      <c r="AM66" s="40" t="n">
        <f aca="false">$S$24*$S$18/100/4</f>
        <v>0</v>
      </c>
      <c r="AN66" s="40" t="n">
        <f aca="false">$S$24*$S$18/100/4</f>
        <v>0</v>
      </c>
      <c r="AO66" s="40" t="n">
        <f aca="false">$S$24*$S$19/100/4</f>
        <v>0</v>
      </c>
      <c r="AP66" s="40" t="n">
        <f aca="false">$S$24*$S$19/100/4</f>
        <v>0</v>
      </c>
      <c r="AQ66" s="40" t="n">
        <f aca="false">$S$24*$S$19/100/4</f>
        <v>0</v>
      </c>
      <c r="AR66" s="40" t="n">
        <f aca="false">$S$24*$S$19/100/4</f>
        <v>0</v>
      </c>
      <c r="AS66" s="40" t="n">
        <f aca="false">$S$24*$S$20/100/4</f>
        <v>0</v>
      </c>
      <c r="AT66" s="40" t="n">
        <f aca="false">$S$24*$S$20/100/4</f>
        <v>0</v>
      </c>
      <c r="AU66" s="40" t="n">
        <f aca="false">$S$24*$S$20/100/4</f>
        <v>0</v>
      </c>
      <c r="AV66" s="40" t="n">
        <f aca="false">$S$24*$S$20/100/4</f>
        <v>0</v>
      </c>
      <c r="AW66" s="40" t="n">
        <f aca="false">$S$24*$S$21/100/4</f>
        <v>0</v>
      </c>
      <c r="AX66" s="40" t="n">
        <f aca="false">$S$24*$S$21/100/4</f>
        <v>0</v>
      </c>
      <c r="AY66" s="40" t="n">
        <f aca="false">$S$24*$S$21/100/4</f>
        <v>0</v>
      </c>
      <c r="AZ66" s="40" t="n">
        <f aca="false">$S$24*$S$21/100/4</f>
        <v>0</v>
      </c>
      <c r="BA66" s="40"/>
      <c r="BB66" s="40"/>
      <c r="BC66" s="40"/>
      <c r="BD66" s="40"/>
      <c r="BF66" s="55"/>
      <c r="BG66" s="55"/>
      <c r="BH66" s="55"/>
      <c r="BI66" s="55"/>
    </row>
    <row r="67" customFormat="false" ht="15" hidden="false" customHeight="false" outlineLevel="0" collapsed="false">
      <c r="A67" s="3" t="s">
        <v>174</v>
      </c>
      <c r="D67" s="45" t="n">
        <f aca="false">SUM(E67:AZ67)</f>
        <v>21917.7</v>
      </c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0" t="n">
        <f aca="false">$S$25*$S$14/100/4</f>
        <v>2348.325</v>
      </c>
      <c r="V67" s="40" t="n">
        <f aca="false">$S$25*$S$14/100/4</f>
        <v>2348.325</v>
      </c>
      <c r="W67" s="40" t="n">
        <f aca="false">$S$25*$S$14/100/4</f>
        <v>2348.325</v>
      </c>
      <c r="X67" s="40" t="n">
        <f aca="false">$S$25*$S$14/100/4</f>
        <v>2348.325</v>
      </c>
      <c r="Y67" s="40" t="n">
        <f aca="false">$S$25*$S$15/100/4</f>
        <v>1565.55</v>
      </c>
      <c r="Z67" s="40" t="n">
        <f aca="false">$S$25*$S$15/100/4</f>
        <v>1565.55</v>
      </c>
      <c r="AA67" s="40" t="n">
        <f aca="false">$S$25*$S$15/100/4</f>
        <v>1565.55</v>
      </c>
      <c r="AB67" s="40" t="n">
        <f aca="false">$S$25*$S$15/100/4</f>
        <v>1565.55</v>
      </c>
      <c r="AC67" s="40" t="n">
        <f aca="false">$S$25*$S$16/100/4</f>
        <v>1565.55</v>
      </c>
      <c r="AD67" s="40" t="n">
        <f aca="false">$S$25*$S$16/100/4</f>
        <v>1565.55</v>
      </c>
      <c r="AE67" s="40" t="n">
        <f aca="false">$S$25*$S$16/100/4</f>
        <v>1565.55</v>
      </c>
      <c r="AF67" s="40" t="n">
        <f aca="false">$S$25*$S$16/100/4</f>
        <v>1565.55</v>
      </c>
      <c r="AG67" s="40" t="n">
        <f aca="false">$S$25*$S$17/100/4</f>
        <v>0</v>
      </c>
      <c r="AH67" s="40" t="n">
        <f aca="false">$S$25*$S$17/100/4</f>
        <v>0</v>
      </c>
      <c r="AI67" s="40" t="n">
        <f aca="false">$S$25*$S$17/100/4</f>
        <v>0</v>
      </c>
      <c r="AJ67" s="40" t="n">
        <f aca="false">$S$25*$S$17/100/4</f>
        <v>0</v>
      </c>
      <c r="AK67" s="40" t="n">
        <f aca="false">$S$25*$S$18/100/4</f>
        <v>0</v>
      </c>
      <c r="AL67" s="40" t="n">
        <f aca="false">$S$25*$S$18/100/4</f>
        <v>0</v>
      </c>
      <c r="AM67" s="40" t="n">
        <f aca="false">$S$25*$S$18/100/4</f>
        <v>0</v>
      </c>
      <c r="AN67" s="40" t="n">
        <f aca="false">$S$25*$S$18/100/4</f>
        <v>0</v>
      </c>
      <c r="AO67" s="40" t="n">
        <f aca="false">$S$25*$S$19/100/4</f>
        <v>0</v>
      </c>
      <c r="AP67" s="40" t="n">
        <f aca="false">$S$25*$S$19/100/4</f>
        <v>0</v>
      </c>
      <c r="AQ67" s="40" t="n">
        <f aca="false">$S$25*$S$19/100/4</f>
        <v>0</v>
      </c>
      <c r="AR67" s="40" t="n">
        <f aca="false">$S$25*$S$19/100/4</f>
        <v>0</v>
      </c>
      <c r="AS67" s="40" t="n">
        <f aca="false">$S$25*$S$20/100/4</f>
        <v>0</v>
      </c>
      <c r="AT67" s="40" t="n">
        <f aca="false">$S$25*$S$20/100/4</f>
        <v>0</v>
      </c>
      <c r="AU67" s="40" t="n">
        <f aca="false">$S$25*$S$20/100/4</f>
        <v>0</v>
      </c>
      <c r="AV67" s="40" t="n">
        <f aca="false">$S$25*$S$20/100/4</f>
        <v>0</v>
      </c>
      <c r="AW67" s="40" t="n">
        <f aca="false">$S$25*$S$21/100/4</f>
        <v>0</v>
      </c>
      <c r="AX67" s="40" t="n">
        <f aca="false">$S$25*$S$21/100/4</f>
        <v>0</v>
      </c>
      <c r="AY67" s="40" t="n">
        <f aca="false">$S$25*$S$21/100/4</f>
        <v>0</v>
      </c>
      <c r="AZ67" s="40" t="n">
        <f aca="false">$S$25*$S$21/100/4</f>
        <v>0</v>
      </c>
      <c r="BA67" s="40"/>
      <c r="BB67" s="40"/>
      <c r="BC67" s="40"/>
      <c r="BD67" s="40"/>
      <c r="BF67" s="55"/>
      <c r="BG67" s="55"/>
      <c r="BH67" s="55"/>
      <c r="BI67" s="55"/>
    </row>
    <row r="68" customFormat="false" ht="15" hidden="false" customHeight="false" outlineLevel="0" collapsed="false">
      <c r="A68" s="3" t="s">
        <v>175</v>
      </c>
      <c r="D68" s="45" t="n">
        <f aca="false">SUM(E68:AZ68)</f>
        <v>28179.9</v>
      </c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0" t="n">
        <f aca="false">$T$24*$T$14/100/4</f>
        <v>3019.275</v>
      </c>
      <c r="W68" s="40" t="n">
        <f aca="false">$T$24*$T$14/100/4</f>
        <v>3019.275</v>
      </c>
      <c r="X68" s="40" t="n">
        <f aca="false">$T$24*$T$14/100/4</f>
        <v>3019.275</v>
      </c>
      <c r="Y68" s="40" t="n">
        <f aca="false">$T$24*$T$14/100/4</f>
        <v>3019.275</v>
      </c>
      <c r="Z68" s="40" t="n">
        <f aca="false">$T$24*$T$15/100/4</f>
        <v>2012.85</v>
      </c>
      <c r="AA68" s="40" t="n">
        <f aca="false">$T$24*$T$15/100/4</f>
        <v>2012.85</v>
      </c>
      <c r="AB68" s="40" t="n">
        <f aca="false">$T$24*$T$15/100/4</f>
        <v>2012.85</v>
      </c>
      <c r="AC68" s="40" t="n">
        <f aca="false">$T$24*$T$15/100/4</f>
        <v>2012.85</v>
      </c>
      <c r="AD68" s="40" t="n">
        <f aca="false">$T$24*$T$16/100/4</f>
        <v>2012.85</v>
      </c>
      <c r="AE68" s="40" t="n">
        <f aca="false">$T$24*$T$16/100/4</f>
        <v>2012.85</v>
      </c>
      <c r="AF68" s="40" t="n">
        <f aca="false">$T$24*$T$16/100/4</f>
        <v>2012.85</v>
      </c>
      <c r="AG68" s="40" t="n">
        <f aca="false">$T$24*$T$16/100/4</f>
        <v>2012.85</v>
      </c>
      <c r="AH68" s="40" t="n">
        <f aca="false">$T$24*$T$17/100/4</f>
        <v>0</v>
      </c>
      <c r="AI68" s="40" t="n">
        <f aca="false">$T$24*$T$17/100/4</f>
        <v>0</v>
      </c>
      <c r="AJ68" s="40" t="n">
        <f aca="false">$T$24*$T$17/100/4</f>
        <v>0</v>
      </c>
      <c r="AK68" s="40" t="n">
        <f aca="false">$T$24*$T$17/100/4</f>
        <v>0</v>
      </c>
      <c r="AL68" s="40" t="n">
        <f aca="false">$T$24*$T$18/100/4</f>
        <v>0</v>
      </c>
      <c r="AM68" s="40" t="n">
        <f aca="false">$T$24*$T$18/100/4</f>
        <v>0</v>
      </c>
      <c r="AN68" s="40" t="n">
        <f aca="false">$T$24*$T$18/100/4</f>
        <v>0</v>
      </c>
      <c r="AO68" s="40" t="n">
        <f aca="false">$T$24*$T$18/100/4</f>
        <v>0</v>
      </c>
      <c r="AP68" s="40" t="n">
        <f aca="false">$T$24*$T$19/100/4</f>
        <v>0</v>
      </c>
      <c r="AQ68" s="40" t="n">
        <f aca="false">$T$24*$T$19/100/4</f>
        <v>0</v>
      </c>
      <c r="AR68" s="40" t="n">
        <f aca="false">$T$24*$T$19/100/4</f>
        <v>0</v>
      </c>
      <c r="AS68" s="40" t="n">
        <f aca="false">$T$24*$T$19/100/4</f>
        <v>0</v>
      </c>
      <c r="AT68" s="40" t="n">
        <f aca="false">$T$24*$T$20/100/4</f>
        <v>0</v>
      </c>
      <c r="AU68" s="40" t="n">
        <f aca="false">$T$24*$T$20/100/4</f>
        <v>0</v>
      </c>
      <c r="AV68" s="40" t="n">
        <f aca="false">$T$24*$T$20/100/4</f>
        <v>0</v>
      </c>
      <c r="AW68" s="40" t="n">
        <f aca="false">$T$24*$T$20/100/4</f>
        <v>0</v>
      </c>
      <c r="AX68" s="40" t="n">
        <f aca="false">$T$24*$T$21/100/4</f>
        <v>0</v>
      </c>
      <c r="AY68" s="40" t="n">
        <f aca="false">$T$24*$T$21/100/4</f>
        <v>0</v>
      </c>
      <c r="AZ68" s="40" t="n">
        <f aca="false">$T$24*$T$21/100/4</f>
        <v>0</v>
      </c>
      <c r="BA68" s="40" t="n">
        <f aca="false">$T$24*$T$21/100/4</f>
        <v>0</v>
      </c>
      <c r="BB68" s="40"/>
      <c r="BC68" s="40"/>
      <c r="BD68" s="40"/>
      <c r="BE68" s="55" t="n">
        <f aca="false">$T$24*$T$19/100/4</f>
        <v>0</v>
      </c>
      <c r="BF68" s="55" t="n">
        <f aca="false">BE68</f>
        <v>0</v>
      </c>
      <c r="BG68" s="55" t="n">
        <f aca="false">$T$24*$T$20/100/4</f>
        <v>0</v>
      </c>
      <c r="BH68" s="55" t="n">
        <f aca="false">BG68</f>
        <v>0</v>
      </c>
      <c r="BI68" s="55" t="n">
        <f aca="false">$T$24*$T$21/100/4</f>
        <v>0</v>
      </c>
      <c r="BJ68" s="55" t="n">
        <f aca="false">BI68</f>
        <v>0</v>
      </c>
      <c r="BK68" s="55" t="n">
        <f aca="false">BJ68</f>
        <v>0</v>
      </c>
    </row>
    <row r="69" customFormat="false" ht="15" hidden="false" customHeight="false" outlineLevel="0" collapsed="false">
      <c r="A69" s="3" t="s">
        <v>176</v>
      </c>
      <c r="D69" s="45" t="n">
        <f aca="false">SUM(E69:AZ69)</f>
        <v>21917.7</v>
      </c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0" t="n">
        <f aca="false">$T$25*$T$14/100/4</f>
        <v>2348.325</v>
      </c>
      <c r="W69" s="40" t="n">
        <f aca="false">$T$25*$T$14/100/4</f>
        <v>2348.325</v>
      </c>
      <c r="X69" s="40" t="n">
        <f aca="false">$T$25*$T$14/100/4</f>
        <v>2348.325</v>
      </c>
      <c r="Y69" s="40" t="n">
        <f aca="false">$T$25*$T$14/100/4</f>
        <v>2348.325</v>
      </c>
      <c r="Z69" s="40" t="n">
        <f aca="false">$T$25*$T$15/100/4</f>
        <v>1565.55</v>
      </c>
      <c r="AA69" s="40" t="n">
        <f aca="false">$T$25*$T$15/100/4</f>
        <v>1565.55</v>
      </c>
      <c r="AB69" s="40" t="n">
        <f aca="false">$T$25*$T$15/100/4</f>
        <v>1565.55</v>
      </c>
      <c r="AC69" s="40" t="n">
        <f aca="false">$T$25*$T$15/100/4</f>
        <v>1565.55</v>
      </c>
      <c r="AD69" s="40" t="n">
        <f aca="false">$T$25*$T$16/100/4</f>
        <v>1565.55</v>
      </c>
      <c r="AE69" s="40" t="n">
        <f aca="false">$T$25*$T$16/100/4</f>
        <v>1565.55</v>
      </c>
      <c r="AF69" s="40" t="n">
        <f aca="false">$T$25*$T$16/100/4</f>
        <v>1565.55</v>
      </c>
      <c r="AG69" s="40" t="n">
        <f aca="false">$T$25*$T$16/100/4</f>
        <v>1565.55</v>
      </c>
      <c r="AH69" s="40" t="n">
        <f aca="false">$T$25*$T$17/100/4</f>
        <v>0</v>
      </c>
      <c r="AI69" s="40" t="n">
        <f aca="false">$T$25*$T$17/100/4</f>
        <v>0</v>
      </c>
      <c r="AJ69" s="40" t="n">
        <f aca="false">$T$25*$T$17/100/4</f>
        <v>0</v>
      </c>
      <c r="AK69" s="40" t="n">
        <f aca="false">$T$25*$T$17/100/4</f>
        <v>0</v>
      </c>
      <c r="AL69" s="40" t="n">
        <f aca="false">$T$25*$T$18/100/4</f>
        <v>0</v>
      </c>
      <c r="AM69" s="40" t="n">
        <f aca="false">$T$25*$T$18/100/4</f>
        <v>0</v>
      </c>
      <c r="AN69" s="40" t="n">
        <f aca="false">$T$25*$T$18/100/4</f>
        <v>0</v>
      </c>
      <c r="AO69" s="40" t="n">
        <f aca="false">$T$25*$T$18/100/4</f>
        <v>0</v>
      </c>
      <c r="AP69" s="40" t="n">
        <f aca="false">$T$25*$T$19/100/4</f>
        <v>0</v>
      </c>
      <c r="AQ69" s="40" t="n">
        <f aca="false">$T$25*$T$19/100/4</f>
        <v>0</v>
      </c>
      <c r="AR69" s="40" t="n">
        <f aca="false">$T$25*$T$19/100/4</f>
        <v>0</v>
      </c>
      <c r="AS69" s="40" t="n">
        <f aca="false">$T$25*$T$19/100/4</f>
        <v>0</v>
      </c>
      <c r="AT69" s="40" t="n">
        <f aca="false">$T$25*$T$20/100/4</f>
        <v>0</v>
      </c>
      <c r="AU69" s="40" t="n">
        <f aca="false">$T$25*$T$20/100/4</f>
        <v>0</v>
      </c>
      <c r="AV69" s="40" t="n">
        <f aca="false">$T$25*$T$20/100/4</f>
        <v>0</v>
      </c>
      <c r="AW69" s="40" t="n">
        <f aca="false">$T$25*$T$20/100/4</f>
        <v>0</v>
      </c>
      <c r="AX69" s="40" t="n">
        <f aca="false">$T$25*$T$21/100/4</f>
        <v>0</v>
      </c>
      <c r="AY69" s="40" t="n">
        <f aca="false">$T$25*$T$21/100/4</f>
        <v>0</v>
      </c>
      <c r="AZ69" s="40" t="n">
        <f aca="false">$T$25*$T$21/100/4</f>
        <v>0</v>
      </c>
      <c r="BA69" s="40" t="n">
        <f aca="false">$T$25*$T$21/100/4</f>
        <v>0</v>
      </c>
      <c r="BB69" s="40"/>
      <c r="BC69" s="40"/>
      <c r="BD69" s="40"/>
      <c r="BE69" s="55" t="n">
        <f aca="false">$T$25*$T$19/100/4</f>
        <v>0</v>
      </c>
      <c r="BF69" s="55" t="n">
        <f aca="false">BE69</f>
        <v>0</v>
      </c>
      <c r="BG69" s="55" t="n">
        <f aca="false">$T$25*$T$20/100/4</f>
        <v>0</v>
      </c>
      <c r="BH69" s="55" t="n">
        <f aca="false">BG69</f>
        <v>0</v>
      </c>
      <c r="BI69" s="55" t="n">
        <f aca="false">$T$25*$T$21/100/4</f>
        <v>0</v>
      </c>
      <c r="BJ69" s="55" t="n">
        <f aca="false">BI69</f>
        <v>0</v>
      </c>
      <c r="BK69" s="55" t="n">
        <f aca="false">BJ69</f>
        <v>0</v>
      </c>
    </row>
    <row r="70" customFormat="false" ht="15" hidden="false" customHeight="false" outlineLevel="0" collapsed="false">
      <c r="A70" s="47" t="s">
        <v>177</v>
      </c>
      <c r="B70" s="47"/>
      <c r="C70" s="47"/>
      <c r="D70" s="48" t="n">
        <f aca="false">SUM(E70:AZ70)</f>
        <v>2673735.75</v>
      </c>
      <c r="E70" s="56" t="n">
        <f aca="false">SUM(E31:E69)</f>
        <v>0</v>
      </c>
      <c r="F70" s="56" t="n">
        <f aca="false">SUM(F31:F69)</f>
        <v>0</v>
      </c>
      <c r="G70" s="56" t="n">
        <f aca="false">SUM(G31:G69)</f>
        <v>0</v>
      </c>
      <c r="H70" s="56" t="n">
        <f aca="false">SUM(H31:H69)</f>
        <v>0</v>
      </c>
      <c r="I70" s="56" t="n">
        <f aca="false">SUM(I31:I69)</f>
        <v>18115.65</v>
      </c>
      <c r="J70" s="56" t="n">
        <f aca="false">SUM(J31:J69)</f>
        <v>36231.3</v>
      </c>
      <c r="K70" s="56" t="n">
        <f aca="false">SUM(K31:K69)</f>
        <v>58260.825</v>
      </c>
      <c r="L70" s="56" t="n">
        <f aca="false">SUM(L31:L69)</f>
        <v>69018.39</v>
      </c>
      <c r="M70" s="56" t="n">
        <f aca="false">SUM(M31:M69)</f>
        <v>67087.545</v>
      </c>
      <c r="N70" s="56" t="n">
        <f aca="false">SUM(N31:N69)</f>
        <v>72973.2675</v>
      </c>
      <c r="O70" s="56" t="n">
        <f aca="false">SUM(O31:O69)</f>
        <v>88871.055</v>
      </c>
      <c r="P70" s="56" t="n">
        <f aca="false">SUM(P31:P69)</f>
        <v>105607.53</v>
      </c>
      <c r="Q70" s="56" t="n">
        <f aca="false">SUM(Q31:Q69)</f>
        <v>115252.43625</v>
      </c>
      <c r="R70" s="56" t="n">
        <f aca="false">SUM(R31:R69)</f>
        <v>124897.3425</v>
      </c>
      <c r="S70" s="56" t="n">
        <f aca="false">SUM(S31:S69)</f>
        <v>683090.4675</v>
      </c>
      <c r="T70" s="56" t="n">
        <f aca="false">SUM(T31:T69)</f>
        <v>171640.1925</v>
      </c>
      <c r="U70" s="56" t="n">
        <f aca="false">SUM(U31:U69)</f>
        <v>112596.5925</v>
      </c>
      <c r="V70" s="56" t="n">
        <f aca="false">SUM(V31:V69)</f>
        <v>89336.9925</v>
      </c>
      <c r="W70" s="56" t="n">
        <f aca="false">SUM(W31:W69)</f>
        <v>87525.4275</v>
      </c>
      <c r="X70" s="56" t="n">
        <f aca="false">SUM(X31:X69)</f>
        <v>85713.8625</v>
      </c>
      <c r="Y70" s="56" t="n">
        <f aca="false">SUM(Y31:Y69)</f>
        <v>77279.461875</v>
      </c>
      <c r="Z70" s="56" t="n">
        <f aca="false">SUM(Z31:Z69)</f>
        <v>70153.41375</v>
      </c>
      <c r="AA70" s="56" t="n">
        <f aca="false">SUM(AA31:AA69)</f>
        <v>61337.87625</v>
      </c>
      <c r="AB70" s="56" t="n">
        <f aca="false">SUM(AB31:AB69)</f>
        <v>51046.24875</v>
      </c>
      <c r="AC70" s="56" t="n">
        <f aca="false">SUM(AC31:AC69)</f>
        <v>51046.24875</v>
      </c>
      <c r="AD70" s="56" t="n">
        <f aca="false">SUM(AD31:AD69)</f>
        <v>51046.24875</v>
      </c>
      <c r="AE70" s="56" t="n">
        <f aca="false">SUM(AE31:AE69)</f>
        <v>51046.24875</v>
      </c>
      <c r="AF70" s="56" t="n">
        <f aca="false">SUM(AF31:AF69)</f>
        <v>51046.24875</v>
      </c>
      <c r="AG70" s="56" t="n">
        <f aca="false">SUM(AG31:AG69)</f>
        <v>43931.383125</v>
      </c>
      <c r="AH70" s="56" t="n">
        <f aca="false">SUM(AH31:AH69)</f>
        <v>36816.5175</v>
      </c>
      <c r="AI70" s="56" t="n">
        <f aca="false">SUM(AI31:AI69)</f>
        <v>32958.555</v>
      </c>
      <c r="AJ70" s="56" t="n">
        <f aca="false">SUM(AJ31:AJ69)</f>
        <v>29100.5925</v>
      </c>
      <c r="AK70" s="56" t="n">
        <f aca="false">SUM(AK31:AK69)</f>
        <v>22883.1225</v>
      </c>
      <c r="AL70" s="56" t="n">
        <f aca="false">SUM(AL31:AL69)</f>
        <v>19282.3575</v>
      </c>
      <c r="AM70" s="56" t="n">
        <f aca="false">SUM(AM31:AM69)</f>
        <v>16803.57</v>
      </c>
      <c r="AN70" s="56" t="n">
        <f aca="false">SUM(AN31:AN69)</f>
        <v>7246.26</v>
      </c>
      <c r="AO70" s="56" t="n">
        <f aca="false">SUM(AO31:AO69)</f>
        <v>7246.26</v>
      </c>
      <c r="AP70" s="56" t="n">
        <f aca="false">SUM(AP31:AP69)</f>
        <v>7246.26</v>
      </c>
      <c r="AQ70" s="56" t="n">
        <f aca="false">SUM(AQ31:AQ69)</f>
        <v>0</v>
      </c>
    </row>
    <row r="71" customFormat="false" ht="15" hidden="false" customHeight="false" outlineLevel="0" collapsed="false">
      <c r="A71" s="57" t="s">
        <v>178</v>
      </c>
      <c r="B71" s="57"/>
      <c r="C71" s="57"/>
      <c r="D71" s="58" t="n">
        <f aca="false">SUM(E71:AS71)</f>
        <v>1766311.83089056</v>
      </c>
      <c r="E71" s="59" t="n">
        <f aca="false">+E70/((1+$C$72)^E$73)</f>
        <v>0</v>
      </c>
      <c r="F71" s="59" t="n">
        <f aca="false">+F70/((1+$C$72)^F$73)</f>
        <v>0</v>
      </c>
      <c r="G71" s="59" t="n">
        <f aca="false">+G70/((1+$C$72)^G$73)</f>
        <v>0</v>
      </c>
      <c r="H71" s="59" t="n">
        <f aca="false">+H70/((1+$C$72)^H$73)</f>
        <v>0</v>
      </c>
      <c r="I71" s="59" t="n">
        <f aca="false">+I70/((1+$C$72)^I$73)</f>
        <v>17531.8484787843</v>
      </c>
      <c r="J71" s="59" t="n">
        <f aca="false">+J70/((1+$C$72)^J$73)</f>
        <v>33933.7215151598</v>
      </c>
      <c r="K71" s="59" t="n">
        <f aca="false">+K70/((1+$C$72)^K$73)</f>
        <v>52807.7898720455</v>
      </c>
      <c r="L71" s="59" t="n">
        <f aca="false">+L70/((1+$C$72)^L$73)</f>
        <v>60542.447368421</v>
      </c>
      <c r="M71" s="59" t="n">
        <f aca="false">+M70/((1+$C$72)^M$73)</f>
        <v>56952.2433256011</v>
      </c>
      <c r="N71" s="59" t="n">
        <f aca="false">+N70/((1+$C$72)^N$73)</f>
        <v>59952.3920747856</v>
      </c>
      <c r="O71" s="59" t="n">
        <f aca="false">+O70/((1+$C$72)^O$73)</f>
        <v>70660.5227312135</v>
      </c>
      <c r="P71" s="59" t="n">
        <f aca="false">+P70/((1+$C$72)^P$73)</f>
        <v>81261.5650969529</v>
      </c>
      <c r="Q71" s="59" t="n">
        <f aca="false">+Q70/((1+$C$72)^Q$73)</f>
        <v>85825.0764464046</v>
      </c>
      <c r="R71" s="59" t="n">
        <f aca="false">+R70/((1+$C$72)^R$73)</f>
        <v>90010.0637809782</v>
      </c>
      <c r="S71" s="59" t="n">
        <f aca="false">+S70/((1+$C$72)^S$73)</f>
        <v>476419.889055949</v>
      </c>
      <c r="T71" s="59" t="n">
        <f aca="false">+T70/((1+$C$72)^T$73)</f>
        <v>115852.240972931</v>
      </c>
      <c r="U71" s="59" t="n">
        <f aca="false">+U70/((1+$C$72)^U$73)</f>
        <v>73550.3054824751</v>
      </c>
      <c r="V71" s="59" t="n">
        <f aca="false">+V70/((1+$C$72)^V$73)</f>
        <v>56476.054457296</v>
      </c>
      <c r="W71" s="59" t="n">
        <f aca="false">+W70/((1+$C$72)^W$73)</f>
        <v>53547.7279340074</v>
      </c>
      <c r="X71" s="59" t="n">
        <f aca="false">+X70/((1+$C$72)^X$73)</f>
        <v>50749.4874834703</v>
      </c>
      <c r="Y71" s="59" t="n">
        <f aca="false">+Y70/((1+$C$72)^Y$73)</f>
        <v>44281.1071686952</v>
      </c>
      <c r="Z71" s="59" t="n">
        <f aca="false">+Z70/((1+$C$72)^Z$73)</f>
        <v>38902.452235623</v>
      </c>
      <c r="AA71" s="59" t="n">
        <f aca="false">+AA70/((1+$C$72)^AA$73)</f>
        <v>32917.7915783369</v>
      </c>
      <c r="AB71" s="59" t="n">
        <f aca="false">+AB70/((1+$C$72)^AB$73)</f>
        <v>26511.8220338664</v>
      </c>
      <c r="AC71" s="59" t="n">
        <f aca="false">+AC70/((1+$C$72)^AC$73)</f>
        <v>25657.442421014</v>
      </c>
      <c r="AD71" s="59" t="n">
        <f aca="false">+AD70/((1+$C$72)^AD$73)</f>
        <v>24830.5963560982</v>
      </c>
      <c r="AE71" s="59" t="n">
        <f aca="false">+AE70/((1+$C$72)^AE$73)</f>
        <v>24030.3965329959</v>
      </c>
      <c r="AF71" s="59" t="n">
        <f aca="false">+AF70/((1+$C$72)^AF$73)</f>
        <v>23255.9842402337</v>
      </c>
      <c r="AG71" s="59" t="n">
        <f aca="false">+AG70/((1+$C$72)^AG$73)</f>
        <v>19369.551101221</v>
      </c>
      <c r="AH71" s="59" t="n">
        <f aca="false">+AH70/((1+$C$72)^AH$73)</f>
        <v>15709.4569409785</v>
      </c>
      <c r="AI71" s="59" t="n">
        <f aca="false">+AI70/((1+$C$72)^AI$73)</f>
        <v>13610.0717950381</v>
      </c>
      <c r="AJ71" s="59" t="n">
        <f aca="false">+AJ70/((1+$C$72)^AJ$73)</f>
        <v>11629.6828707327</v>
      </c>
      <c r="AK71" s="59" t="n">
        <f aca="false">+AK70/((1+$C$72)^AK$73)</f>
        <v>8850.24133071761</v>
      </c>
      <c r="AL71" s="59" t="n">
        <f aca="false">+AL70/((1+$C$72)^AL$73)</f>
        <v>7217.28317566432</v>
      </c>
      <c r="AM71" s="59" t="n">
        <f aca="false">+AM70/((1+$C$72)^AM$73)</f>
        <v>6086.79901467396</v>
      </c>
      <c r="AN71" s="59" t="n">
        <f aca="false">+AN70/((1+$C$72)^AN$73)</f>
        <v>2540.24205680287</v>
      </c>
      <c r="AO71" s="59" t="n">
        <f aca="false">+AO70/((1+$C$72)^AO$73)</f>
        <v>2458.37929300375</v>
      </c>
      <c r="AP71" s="59" t="n">
        <f aca="false">+AP70/((1+$C$72)^AP$73)</f>
        <v>2379.15466838467</v>
      </c>
      <c r="AQ71" s="59" t="n">
        <f aca="false">+AQ70/((1+$C$72)^AQ$73)</f>
        <v>0</v>
      </c>
      <c r="AR71" s="59" t="n">
        <f aca="false">+AR70/((1+$C$72)^AR$73)</f>
        <v>0</v>
      </c>
      <c r="AS71" s="59" t="n">
        <f aca="false">+AS70/((1+$C$72)^AS$73)</f>
        <v>0</v>
      </c>
      <c r="AT71" s="60"/>
    </row>
    <row r="72" customFormat="false" ht="15" hidden="false" customHeight="true" outlineLevel="0" collapsed="false">
      <c r="A72" s="61" t="s">
        <v>179</v>
      </c>
      <c r="B72" s="61" t="s">
        <v>180</v>
      </c>
      <c r="C72" s="62" t="n">
        <f aca="false">Assumptions!$C$5</f>
        <v>0.14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</row>
    <row r="73" customFormat="false" ht="15" hidden="false" customHeight="true" outlineLevel="0" collapsed="false">
      <c r="A73" s="47"/>
      <c r="B73" s="47"/>
      <c r="C73" s="47"/>
      <c r="D73" s="64"/>
      <c r="E73" s="64" t="n">
        <f aca="false">Assumptions!E$7</f>
        <v>-0.75</v>
      </c>
      <c r="F73" s="64" t="n">
        <f aca="false">Assumptions!F$7</f>
        <v>-0.5</v>
      </c>
      <c r="G73" s="64" t="n">
        <f aca="false">Assumptions!G$7</f>
        <v>-0.25</v>
      </c>
      <c r="H73" s="64" t="n">
        <f aca="false">Assumptions!H$7</f>
        <v>0</v>
      </c>
      <c r="I73" s="64" t="n">
        <f aca="false">Assumptions!I$7</f>
        <v>0.25</v>
      </c>
      <c r="J73" s="64" t="n">
        <f aca="false">Assumptions!J$7</f>
        <v>0.5</v>
      </c>
      <c r="K73" s="64" t="n">
        <f aca="false">Assumptions!K$7</f>
        <v>0.75</v>
      </c>
      <c r="L73" s="64" t="n">
        <f aca="false">Assumptions!L$7</f>
        <v>1</v>
      </c>
      <c r="M73" s="64" t="n">
        <f aca="false">Assumptions!M$7</f>
        <v>1.25</v>
      </c>
      <c r="N73" s="64" t="n">
        <f aca="false">Assumptions!N$7</f>
        <v>1.5</v>
      </c>
      <c r="O73" s="64" t="n">
        <f aca="false">Assumptions!O$7</f>
        <v>1.75</v>
      </c>
      <c r="P73" s="64" t="n">
        <f aca="false">Assumptions!P$7</f>
        <v>2</v>
      </c>
      <c r="Q73" s="64" t="n">
        <f aca="false">Assumptions!Q$7</f>
        <v>2.25</v>
      </c>
      <c r="R73" s="64" t="n">
        <f aca="false">Assumptions!R$7</f>
        <v>2.5</v>
      </c>
      <c r="S73" s="64" t="n">
        <f aca="false">Assumptions!S$7</f>
        <v>2.75</v>
      </c>
      <c r="T73" s="64" t="n">
        <f aca="false">Assumptions!T$7</f>
        <v>3</v>
      </c>
      <c r="U73" s="64" t="n">
        <f aca="false">Assumptions!U$7</f>
        <v>3.25</v>
      </c>
      <c r="V73" s="64" t="n">
        <f aca="false">Assumptions!V$7</f>
        <v>3.5</v>
      </c>
      <c r="W73" s="64" t="n">
        <f aca="false">Assumptions!W$7</f>
        <v>3.75</v>
      </c>
      <c r="X73" s="64" t="n">
        <f aca="false">Assumptions!X$7</f>
        <v>4</v>
      </c>
      <c r="Y73" s="64" t="n">
        <f aca="false">Assumptions!Y$7</f>
        <v>4.25</v>
      </c>
      <c r="Z73" s="64" t="n">
        <f aca="false">Assumptions!Z$7</f>
        <v>4.5</v>
      </c>
      <c r="AA73" s="64" t="n">
        <f aca="false">Assumptions!AA$7</f>
        <v>4.75</v>
      </c>
      <c r="AB73" s="64" t="n">
        <f aca="false">Assumptions!AB$7</f>
        <v>5</v>
      </c>
      <c r="AC73" s="64" t="n">
        <f aca="false">Assumptions!AC$7</f>
        <v>5.25</v>
      </c>
      <c r="AD73" s="64" t="n">
        <f aca="false">Assumptions!AD$7</f>
        <v>5.5</v>
      </c>
      <c r="AE73" s="64" t="n">
        <f aca="false">Assumptions!AE$7</f>
        <v>5.75</v>
      </c>
      <c r="AF73" s="64" t="n">
        <f aca="false">Assumptions!AF$7</f>
        <v>6</v>
      </c>
      <c r="AG73" s="64" t="n">
        <f aca="false">Assumptions!AG$7</f>
        <v>6.25</v>
      </c>
      <c r="AH73" s="64" t="n">
        <f aca="false">Assumptions!AH$7</f>
        <v>6.5</v>
      </c>
      <c r="AI73" s="64" t="n">
        <f aca="false">Assumptions!AI$7</f>
        <v>6.75</v>
      </c>
      <c r="AJ73" s="64" t="n">
        <f aca="false">Assumptions!AJ$7</f>
        <v>7</v>
      </c>
      <c r="AK73" s="64" t="n">
        <f aca="false">Assumptions!AK$7</f>
        <v>7.25</v>
      </c>
      <c r="AL73" s="64" t="n">
        <f aca="false">Assumptions!AL$7</f>
        <v>7.5</v>
      </c>
      <c r="AM73" s="64" t="n">
        <f aca="false">Assumptions!AM$7</f>
        <v>7.75</v>
      </c>
      <c r="AN73" s="64" t="n">
        <f aca="false">Assumptions!AN$7</f>
        <v>8</v>
      </c>
      <c r="AO73" s="64" t="n">
        <f aca="false">Assumptions!AO$7</f>
        <v>8.25</v>
      </c>
      <c r="AP73" s="64" t="n">
        <f aca="false">Assumptions!AP$7</f>
        <v>8.5</v>
      </c>
      <c r="AQ73" s="64" t="n">
        <f aca="false">Assumptions!AQ$7</f>
        <v>8.75</v>
      </c>
      <c r="AR73" s="64" t="n">
        <f aca="false">Assumptions!AR$7</f>
        <v>9</v>
      </c>
      <c r="AS73" s="64" t="n">
        <f aca="false">Assumptions!AS$7</f>
        <v>9.25</v>
      </c>
    </row>
    <row r="74" customFormat="false" ht="15" hidden="false" customHeight="false" outlineLevel="0" collapsed="false">
      <c r="D74" s="65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</row>
    <row r="75" customFormat="false" ht="15" hidden="false" customHeight="false" outlineLevel="0" collapsed="false">
      <c r="A75" s="57" t="s">
        <v>181</v>
      </c>
      <c r="B75" s="57"/>
      <c r="C75" s="57"/>
      <c r="D75" s="58"/>
      <c r="E75" s="59" t="n">
        <f aca="false">E71</f>
        <v>0</v>
      </c>
      <c r="F75" s="59" t="n">
        <f aca="false">E75+F71</f>
        <v>0</v>
      </c>
      <c r="G75" s="59" t="n">
        <f aca="false">F75+G71</f>
        <v>0</v>
      </c>
      <c r="H75" s="59" t="n">
        <f aca="false">G75+H71</f>
        <v>0</v>
      </c>
      <c r="I75" s="59" t="n">
        <f aca="false">H75+I71</f>
        <v>17531.8484787843</v>
      </c>
      <c r="J75" s="59" t="n">
        <f aca="false">I75+J71</f>
        <v>51465.5699939442</v>
      </c>
      <c r="K75" s="59" t="n">
        <f aca="false">J75+K71</f>
        <v>104273.35986599</v>
      </c>
      <c r="L75" s="59" t="n">
        <f aca="false">K75+L71</f>
        <v>164815.807234411</v>
      </c>
      <c r="M75" s="59" t="n">
        <f aca="false">L75+M71</f>
        <v>221768.050560012</v>
      </c>
      <c r="N75" s="59" t="n">
        <f aca="false">M75+N71</f>
        <v>281720.442634797</v>
      </c>
      <c r="O75" s="59" t="n">
        <f aca="false">N75+O71</f>
        <v>352380.965366011</v>
      </c>
      <c r="P75" s="59" t="n">
        <f aca="false">O75+P71</f>
        <v>433642.530462964</v>
      </c>
      <c r="Q75" s="59" t="n">
        <f aca="false">P75+Q71</f>
        <v>519467.606909368</v>
      </c>
      <c r="R75" s="59" t="n">
        <f aca="false">Q75+R71</f>
        <v>609477.670690347</v>
      </c>
      <c r="S75" s="59" t="n">
        <f aca="false">R75+S71</f>
        <v>1085897.5597463</v>
      </c>
      <c r="T75" s="59" t="n">
        <f aca="false">S75+T71</f>
        <v>1201749.80071923</v>
      </c>
      <c r="U75" s="59" t="n">
        <f aca="false">T75+U71</f>
        <v>1275300.1062017</v>
      </c>
      <c r="V75" s="59" t="n">
        <f aca="false">U75+V71</f>
        <v>1331776.160659</v>
      </c>
      <c r="W75" s="59" t="n">
        <f aca="false">V75+W71</f>
        <v>1385323.888593</v>
      </c>
      <c r="X75" s="59" t="n">
        <f aca="false">W75+X71</f>
        <v>1436073.37607647</v>
      </c>
      <c r="Y75" s="59" t="n">
        <f aca="false">X75+Y71</f>
        <v>1480354.48324517</v>
      </c>
      <c r="Z75" s="59" t="n">
        <f aca="false">Y75+Z71</f>
        <v>1519256.93548079</v>
      </c>
      <c r="AA75" s="59" t="n">
        <f aca="false">Z75+AA71</f>
        <v>1552174.72705913</v>
      </c>
      <c r="AB75" s="59" t="n">
        <f aca="false">AA75+AB71</f>
        <v>1578686.549093</v>
      </c>
      <c r="AC75" s="59" t="n">
        <f aca="false">AB75+AC71</f>
        <v>1604343.99151401</v>
      </c>
      <c r="AD75" s="59" t="n">
        <f aca="false">AC75+AD71</f>
        <v>1629174.58787011</v>
      </c>
      <c r="AE75" s="59" t="n">
        <f aca="false">AD75+AE71</f>
        <v>1653204.9844031</v>
      </c>
      <c r="AF75" s="59" t="n">
        <f aca="false">AE75+AF71</f>
        <v>1676460.96864334</v>
      </c>
      <c r="AG75" s="59" t="n">
        <f aca="false">AF75+AG71</f>
        <v>1695830.51974456</v>
      </c>
      <c r="AH75" s="59" t="n">
        <f aca="false">AG75+AH71</f>
        <v>1711539.97668554</v>
      </c>
      <c r="AI75" s="59" t="n">
        <f aca="false">AH75+AI71</f>
        <v>1725150.04848058</v>
      </c>
      <c r="AJ75" s="59" t="n">
        <f aca="false">AI75+AJ71</f>
        <v>1736779.73135131</v>
      </c>
      <c r="AK75" s="59" t="n">
        <f aca="false">AJ75+AK71</f>
        <v>1745629.97268203</v>
      </c>
      <c r="AL75" s="59" t="n">
        <f aca="false">AK75+AL71</f>
        <v>1752847.25585769</v>
      </c>
      <c r="AM75" s="59" t="n">
        <f aca="false">AL75+AM71</f>
        <v>1758934.05487236</v>
      </c>
      <c r="AN75" s="59" t="n">
        <f aca="false">AM75+AN71</f>
        <v>1761474.29692917</v>
      </c>
      <c r="AO75" s="59" t="n">
        <f aca="false">AN75+AO71</f>
        <v>1763932.67622217</v>
      </c>
      <c r="AP75" s="59" t="n">
        <f aca="false">AO75+AP71</f>
        <v>1766311.83089056</v>
      </c>
      <c r="AQ75" s="59" t="n">
        <f aca="false">AP75+AQ71</f>
        <v>1766311.83089056</v>
      </c>
      <c r="AR75" s="59"/>
      <c r="AS75" s="59"/>
      <c r="AT75" s="60"/>
    </row>
    <row r="76" customFormat="false" ht="15" hidden="false" customHeight="false" outlineLevel="0" collapsed="false">
      <c r="A76" s="47" t="s">
        <v>182</v>
      </c>
      <c r="B76" s="47"/>
      <c r="C76" s="47"/>
      <c r="D76" s="66"/>
      <c r="E76" s="67" t="n">
        <f aca="false">SUM(E77:E78)</f>
        <v>0</v>
      </c>
      <c r="F76" s="67" t="n">
        <f aca="false">SUM(F77:F78)</f>
        <v>0</v>
      </c>
      <c r="G76" s="67" t="n">
        <f aca="false">SUM(G77:G78)</f>
        <v>0</v>
      </c>
      <c r="H76" s="67" t="n">
        <f aca="false">SUM(H77:H78)</f>
        <v>0</v>
      </c>
      <c r="I76" s="67" t="n">
        <f aca="false">SUM(I77:I78)</f>
        <v>18115.65</v>
      </c>
      <c r="J76" s="67" t="n">
        <f aca="false">SUM(J77:J78)</f>
        <v>54346.95</v>
      </c>
      <c r="K76" s="67" t="n">
        <f aca="false">SUM(K77:K78)</f>
        <v>112607.775</v>
      </c>
      <c r="L76" s="67" t="n">
        <f aca="false">SUM(L77:L78)</f>
        <v>181626.165</v>
      </c>
      <c r="M76" s="67" t="n">
        <f aca="false">SUM(M77:M78)</f>
        <v>248713.71</v>
      </c>
      <c r="N76" s="67" t="n">
        <f aca="false">SUM(N77:N78)</f>
        <v>321686.9775</v>
      </c>
      <c r="O76" s="67" t="n">
        <f aca="false">SUM(O77:O78)</f>
        <v>410558.0325</v>
      </c>
      <c r="P76" s="67" t="n">
        <f aca="false">SUM(P77:P78)</f>
        <v>516165.5625</v>
      </c>
      <c r="Q76" s="67" t="n">
        <f aca="false">SUM(Q77:Q78)</f>
        <v>631417.99875</v>
      </c>
      <c r="R76" s="67" t="n">
        <f aca="false">SUM(R77:R78)</f>
        <v>756315.34125</v>
      </c>
      <c r="S76" s="67" t="n">
        <f aca="false">SUM(S77:S78)</f>
        <v>1439405.80875</v>
      </c>
      <c r="T76" s="67" t="n">
        <f aca="false">SUM(T77:T78)</f>
        <v>1611046.00125</v>
      </c>
      <c r="U76" s="67" t="n">
        <f aca="false">SUM(U77:U78)</f>
        <v>1723642.59375</v>
      </c>
      <c r="V76" s="67" t="n">
        <f aca="false">SUM(V77:V78)</f>
        <v>1812979.58625</v>
      </c>
      <c r="W76" s="67" t="n">
        <f aca="false">SUM(W77:W78)</f>
        <v>1900505.01375</v>
      </c>
      <c r="X76" s="67" t="n">
        <f aca="false">SUM(X77:X78)</f>
        <v>1986218.87625</v>
      </c>
      <c r="Y76" s="67" t="n">
        <f aca="false">SUM(Y77:Y78)</f>
        <v>2063498.338125</v>
      </c>
      <c r="Z76" s="67" t="n">
        <f aca="false">SUM(Z77:Z78)</f>
        <v>2133651.751875</v>
      </c>
      <c r="AA76" s="67" t="n">
        <f aca="false">SUM(AA77:AA78)</f>
        <v>2194989.628125</v>
      </c>
      <c r="AB76" s="67" t="n">
        <f aca="false">SUM(AB77:AB78)</f>
        <v>2246035.876875</v>
      </c>
      <c r="AC76" s="67" t="n">
        <f aca="false">SUM(AC77:AC78)</f>
        <v>2297082.125625</v>
      </c>
      <c r="AD76" s="67" t="n">
        <f aca="false">SUM(AD77:AD78)</f>
        <v>2348128.374375</v>
      </c>
      <c r="AE76" s="67" t="n">
        <f aca="false">SUM(AE77:AE78)</f>
        <v>2399174.623125</v>
      </c>
      <c r="AF76" s="67" t="n">
        <f aca="false">SUM(AF77:AF78)</f>
        <v>2450220.871875</v>
      </c>
      <c r="AG76" s="67" t="n">
        <f aca="false">SUM(AG77:AG78)</f>
        <v>2494152.255</v>
      </c>
      <c r="AH76" s="67" t="n">
        <f aca="false">SUM(AH77:AH78)</f>
        <v>2530968.7725</v>
      </c>
      <c r="AI76" s="67" t="n">
        <f aca="false">SUM(AI77:AI78)</f>
        <v>2563927.3275</v>
      </c>
      <c r="AJ76" s="67" t="n">
        <f aca="false">SUM(AJ77:AJ78)</f>
        <v>2593027.92</v>
      </c>
      <c r="AK76" s="67" t="n">
        <f aca="false">SUM(AK77:AK78)</f>
        <v>2615911.0425</v>
      </c>
      <c r="AL76" s="67" t="n">
        <f aca="false">SUM(AL77:AL78)</f>
        <v>2635193.4</v>
      </c>
      <c r="AM76" s="67" t="n">
        <f aca="false">SUM(AM77:AM78)</f>
        <v>2651996.97</v>
      </c>
      <c r="AN76" s="67" t="n">
        <f aca="false">SUM(AN77:AN78)</f>
        <v>2659243.23</v>
      </c>
      <c r="AO76" s="67" t="n">
        <f aca="false">SUM(AO77:AO78)</f>
        <v>2666489.49</v>
      </c>
      <c r="AP76" s="67" t="n">
        <f aca="false">SUM(AP77:AP78)</f>
        <v>2673735.75</v>
      </c>
      <c r="AQ76" s="67" t="n">
        <f aca="false">SUM(AQ77:AQ78)</f>
        <v>2673735.75</v>
      </c>
      <c r="AR76" s="67" t="n">
        <f aca="false">SUM(AR77:AR78)</f>
        <v>2673735.75</v>
      </c>
      <c r="AS76" s="67" t="n">
        <f aca="false">SUM(AS77:AS78)</f>
        <v>2673735.75</v>
      </c>
      <c r="AT76" s="60"/>
    </row>
    <row r="77" customFormat="false" ht="15" hidden="false" customHeight="false" outlineLevel="0" collapsed="false">
      <c r="A77" s="3" t="s">
        <v>183</v>
      </c>
      <c r="D77" s="45"/>
      <c r="E77" s="45" t="n">
        <f aca="false">SUM(E31:E36)</f>
        <v>0</v>
      </c>
      <c r="F77" s="45" t="n">
        <f aca="false">E77+SUM(F31:F36)</f>
        <v>0</v>
      </c>
      <c r="G77" s="60" t="n">
        <f aca="false">F77+SUM(G31:G36)</f>
        <v>0</v>
      </c>
      <c r="H77" s="60" t="n">
        <f aca="false">G77+SUM(H31:H36)</f>
        <v>0</v>
      </c>
      <c r="I77" s="60" t="n">
        <f aca="false">H77+SUM(I31:I36)</f>
        <v>18115.65</v>
      </c>
      <c r="J77" s="60" t="n">
        <f aca="false">I77+SUM(J31:J36)</f>
        <v>54346.95</v>
      </c>
      <c r="K77" s="60" t="n">
        <f aca="false">J77+SUM(K31:K36)</f>
        <v>103549.95</v>
      </c>
      <c r="L77" s="60" t="n">
        <f aca="false">K77+SUM(L31:L36)</f>
        <v>152641.125</v>
      </c>
      <c r="M77" s="60" t="n">
        <f aca="false">L77+SUM(M31:M36)</f>
        <v>190475.25</v>
      </c>
      <c r="N77" s="60" t="n">
        <f aca="false">M77+SUM(N31:N36)</f>
        <v>228793.95</v>
      </c>
      <c r="O77" s="60" t="n">
        <f aca="false">N77+SUM(O31:O36)</f>
        <v>275574.075</v>
      </c>
      <c r="P77" s="60" t="n">
        <f aca="false">O77+SUM(P31:P36)</f>
        <v>332157.525</v>
      </c>
      <c r="Q77" s="60" t="n">
        <f aca="false">P77+SUM(Q31:Q36)</f>
        <v>391312.95</v>
      </c>
      <c r="R77" s="60" t="n">
        <f aca="false">Q77+SUM(R31:R36)</f>
        <v>453040.35</v>
      </c>
      <c r="S77" s="60" t="n">
        <f aca="false">R77+SUM(S31:S36)</f>
        <v>1065244.95</v>
      </c>
      <c r="T77" s="60" t="n">
        <f aca="false">S77+SUM(T31:T36)</f>
        <v>1158283.35</v>
      </c>
      <c r="U77" s="60" t="n">
        <f aca="false">T77+SUM(U31:U36)</f>
        <v>1186910.55</v>
      </c>
      <c r="V77" s="60" t="n">
        <f aca="false">U77+SUM(V31:V36)</f>
        <v>1186910.55</v>
      </c>
      <c r="W77" s="60" t="n">
        <f aca="false">V77+SUM(W31:W36)</f>
        <v>1186910.55</v>
      </c>
      <c r="X77" s="60" t="n">
        <f aca="false">W77+SUM(X31:X36)</f>
        <v>1186910.55</v>
      </c>
      <c r="Y77" s="60" t="n">
        <f aca="false">X77+SUM(Y31:Y36)</f>
        <v>1186910.55</v>
      </c>
      <c r="Z77" s="40" t="n">
        <f aca="false">Y77+SUM(Z31:Z36)</f>
        <v>1186910.55</v>
      </c>
      <c r="AA77" s="40" t="n">
        <f aca="false">Z77+SUM(AA31:AA36)</f>
        <v>1186910.55</v>
      </c>
      <c r="AB77" s="40" t="n">
        <f aca="false">AA77+SUM(AB31:AB36)</f>
        <v>1186910.55</v>
      </c>
      <c r="AC77" s="40" t="n">
        <f aca="false">AB77+SUM(AC31:AC36)</f>
        <v>1186910.55</v>
      </c>
      <c r="AD77" s="40" t="n">
        <f aca="false">AC77+SUM(AD31:AD36)</f>
        <v>1186910.55</v>
      </c>
      <c r="AE77" s="40" t="n">
        <f aca="false">AD77+SUM(AE31:AE36)</f>
        <v>1186910.55</v>
      </c>
      <c r="AF77" s="40" t="n">
        <f aca="false">AE77+SUM(AF31:AF36)</f>
        <v>1186910.55</v>
      </c>
      <c r="AG77" s="40" t="n">
        <f aca="false">AF77+SUM(AG31:AG36)</f>
        <v>1186910.55</v>
      </c>
      <c r="AH77" s="40" t="n">
        <f aca="false">AG77+SUM(AH31:AH36)</f>
        <v>1186910.55</v>
      </c>
      <c r="AI77" s="40" t="n">
        <f aca="false">AH77+SUM(AI31:AI36)</f>
        <v>1186910.55</v>
      </c>
      <c r="AJ77" s="40" t="n">
        <f aca="false">AI77+SUM(AJ31:AJ36)</f>
        <v>1186910.55</v>
      </c>
      <c r="AK77" s="40" t="n">
        <f aca="false">AJ77+SUM(AK31:AK36)</f>
        <v>1186910.55</v>
      </c>
      <c r="AL77" s="40" t="n">
        <f aca="false">AK77+SUM(AL31:AL36)</f>
        <v>1186910.55</v>
      </c>
      <c r="AM77" s="40" t="n">
        <f aca="false">AL77+SUM(AM31:AM36)</f>
        <v>1186910.55</v>
      </c>
      <c r="AN77" s="40" t="n">
        <f aca="false">AM77+SUM(AN31:AN36)</f>
        <v>1186910.55</v>
      </c>
      <c r="AO77" s="40" t="n">
        <f aca="false">AN77+SUM(AO31:AO36)</f>
        <v>1186910.55</v>
      </c>
      <c r="AP77" s="40" t="n">
        <f aca="false">AO77+SUM(AP31:AP36)</f>
        <v>1186910.55</v>
      </c>
      <c r="AQ77" s="40" t="n">
        <f aca="false">AP77+SUM(AQ31:AQ36)</f>
        <v>1186910.55</v>
      </c>
      <c r="AR77" s="40" t="n">
        <f aca="false">AQ77+SUM(AR31:AR36)</f>
        <v>1186910.55</v>
      </c>
      <c r="AS77" s="40" t="n">
        <f aca="false">AR77+SUM(AS31:AS36)</f>
        <v>1186910.55</v>
      </c>
    </row>
    <row r="78" customFormat="false" ht="15" hidden="false" customHeight="false" outlineLevel="0" collapsed="false">
      <c r="A78" s="3" t="s">
        <v>184</v>
      </c>
      <c r="D78" s="45"/>
      <c r="E78" s="45" t="n">
        <f aca="false">SUM(E38:E69)</f>
        <v>0</v>
      </c>
      <c r="F78" s="45" t="n">
        <f aca="false">E78+SUM(F38:F69)</f>
        <v>0</v>
      </c>
      <c r="G78" s="45" t="n">
        <f aca="false">F78+SUM(G38:G69)</f>
        <v>0</v>
      </c>
      <c r="H78" s="45" t="n">
        <f aca="false">G78+SUM(H38:H69)</f>
        <v>0</v>
      </c>
      <c r="I78" s="45" t="n">
        <f aca="false">H78+SUM(I38:I69)</f>
        <v>0</v>
      </c>
      <c r="J78" s="45" t="n">
        <f aca="false">I78+SUM(J38:J69)</f>
        <v>0</v>
      </c>
      <c r="K78" s="45" t="n">
        <f aca="false">J78+SUM(K38:K69)</f>
        <v>9057.825</v>
      </c>
      <c r="L78" s="45" t="n">
        <f aca="false">K78+SUM(L38:L69)</f>
        <v>28985.04</v>
      </c>
      <c r="M78" s="45" t="n">
        <f aca="false">L78+SUM(M38:M69)</f>
        <v>58238.46</v>
      </c>
      <c r="N78" s="45" t="n">
        <f aca="false">M78+SUM(N38:N69)</f>
        <v>92893.0275</v>
      </c>
      <c r="O78" s="45" t="n">
        <f aca="false">N78+SUM(O38:O69)</f>
        <v>134983.9575</v>
      </c>
      <c r="P78" s="45" t="n">
        <f aca="false">O78+SUM(P38:P69)</f>
        <v>184008.0375</v>
      </c>
      <c r="Q78" s="45" t="n">
        <f aca="false">P78+SUM(Q38:Q69)</f>
        <v>240105.04875</v>
      </c>
      <c r="R78" s="45" t="n">
        <f aca="false">Q78+SUM(R38:R69)</f>
        <v>303274.99125</v>
      </c>
      <c r="S78" s="45" t="n">
        <f aca="false">R78+SUM(S38:S69)</f>
        <v>374160.85875</v>
      </c>
      <c r="T78" s="45" t="n">
        <f aca="false">S78+SUM(T38:T69)</f>
        <v>452762.65125</v>
      </c>
      <c r="U78" s="45" t="n">
        <f aca="false">T78+SUM(U38:U69)</f>
        <v>536732.04375</v>
      </c>
      <c r="V78" s="45" t="n">
        <f aca="false">U78+SUM(V38:V69)</f>
        <v>626069.03625</v>
      </c>
      <c r="W78" s="45" t="n">
        <f aca="false">V78+SUM(W38:W69)</f>
        <v>713594.46375</v>
      </c>
      <c r="X78" s="45" t="n">
        <f aca="false">W78+SUM(X38:X69)</f>
        <v>799308.32625</v>
      </c>
      <c r="Y78" s="45" t="n">
        <f aca="false">X78+SUM(Y38:Y69)</f>
        <v>876587.788125</v>
      </c>
      <c r="Z78" s="45" t="n">
        <f aca="false">Y78+SUM(Z38:Z69)</f>
        <v>946741.201875</v>
      </c>
      <c r="AA78" s="45" t="n">
        <f aca="false">Z78+SUM(AA38:AA69)</f>
        <v>1008079.078125</v>
      </c>
      <c r="AB78" s="45" t="n">
        <f aca="false">AA78+SUM(AB38:AB69)</f>
        <v>1059125.326875</v>
      </c>
      <c r="AC78" s="45" t="n">
        <f aca="false">AB78+SUM(AC38:AC69)</f>
        <v>1110171.575625</v>
      </c>
      <c r="AD78" s="45" t="n">
        <f aca="false">AC78+SUM(AD38:AD69)</f>
        <v>1161217.824375</v>
      </c>
      <c r="AE78" s="45" t="n">
        <f aca="false">AD78+SUM(AE38:AE69)</f>
        <v>1212264.073125</v>
      </c>
      <c r="AF78" s="45" t="n">
        <f aca="false">AE78+SUM(AF38:AF69)</f>
        <v>1263310.321875</v>
      </c>
      <c r="AG78" s="45" t="n">
        <f aca="false">AF78+SUM(AG38:AG69)</f>
        <v>1307241.705</v>
      </c>
      <c r="AH78" s="45" t="n">
        <f aca="false">AG78+SUM(AH38:AH69)</f>
        <v>1344058.2225</v>
      </c>
      <c r="AI78" s="45" t="n">
        <f aca="false">AH78+SUM(AI38:AI69)</f>
        <v>1377016.7775</v>
      </c>
      <c r="AJ78" s="45" t="n">
        <f aca="false">AI78+SUM(AJ38:AJ69)</f>
        <v>1406117.37</v>
      </c>
      <c r="AK78" s="45" t="n">
        <f aca="false">AJ78+SUM(AK38:AK69)</f>
        <v>1429000.4925</v>
      </c>
      <c r="AL78" s="45" t="n">
        <f aca="false">AK78+SUM(AL38:AL69)</f>
        <v>1448282.85</v>
      </c>
      <c r="AM78" s="45" t="n">
        <f aca="false">AL78+SUM(AM38:AM69)</f>
        <v>1465086.42</v>
      </c>
      <c r="AN78" s="45" t="n">
        <f aca="false">AM78+SUM(AN38:AN69)</f>
        <v>1472332.68</v>
      </c>
      <c r="AO78" s="45" t="n">
        <f aca="false">AN78+SUM(AO38:AO69)</f>
        <v>1479578.94</v>
      </c>
      <c r="AP78" s="45" t="n">
        <f aca="false">AO78+SUM(AP38:AP69)</f>
        <v>1486825.2</v>
      </c>
      <c r="AQ78" s="45" t="n">
        <f aca="false">AP78+SUM(AQ38:AQ69)</f>
        <v>1486825.2</v>
      </c>
      <c r="AR78" s="45" t="n">
        <f aca="false">AQ78+SUM(AR38:AR69)</f>
        <v>1486825.2</v>
      </c>
      <c r="AS78" s="45" t="n">
        <f aca="false">AR78+SUM(AS38:AS69)</f>
        <v>1486825.2</v>
      </c>
      <c r="AT78" s="60"/>
    </row>
    <row r="81" customFormat="false" ht="15" hidden="false" customHeight="false" outlineLevel="0" collapsed="false">
      <c r="A81" s="68" t="s">
        <v>185</v>
      </c>
    </row>
    <row r="82" customFormat="false" ht="15" hidden="false" customHeight="false" outlineLevel="0" collapsed="false">
      <c r="A82" s="3" t="str">
        <f aca="false">"1- LAUNCH : MONTH "&amp;Assumptions!$C$10</f>
        <v>1- LAUNCH : MONTH 1</v>
      </c>
    </row>
    <row r="83" customFormat="false" ht="15" hidden="false" customHeight="false" outlineLevel="0" collapsed="false">
      <c r="A83" s="3" t="str">
        <f aca="false">"2- START OF CONSTRUCTION : MONTH "&amp;Assumptions!$C$12</f>
        <v>2- START OF CONSTRUCTION : MONTH 7</v>
      </c>
    </row>
    <row r="85" customFormat="false" ht="15" hidden="false" customHeight="false" outlineLevel="0" collapsed="false">
      <c r="A85" s="3" t="s">
        <v>142</v>
      </c>
      <c r="D85" s="69" t="n">
        <f aca="false">D70-D24-D25</f>
        <v>0</v>
      </c>
      <c r="E85" s="70" t="n">
        <f aca="false">E24*E12/100</f>
        <v>0</v>
      </c>
      <c r="F85" s="70" t="n">
        <f aca="false">F24*F12/100</f>
        <v>0</v>
      </c>
      <c r="G85" s="70" t="n">
        <f aca="false">G24*G12/100</f>
        <v>0</v>
      </c>
      <c r="H85" s="70" t="n">
        <f aca="false">H24*H12/100</f>
        <v>0</v>
      </c>
      <c r="I85" s="70" t="n">
        <f aca="false">I24*I12/100</f>
        <v>22365</v>
      </c>
      <c r="J85" s="70" t="n">
        <f aca="false">J24*J12/100</f>
        <v>22365</v>
      </c>
      <c r="K85" s="70" t="n">
        <f aca="false">K24*K12/100</f>
        <v>24601.5</v>
      </c>
      <c r="L85" s="70" t="n">
        <f aca="false">L24*L12/100</f>
        <v>17221.05</v>
      </c>
      <c r="M85" s="70" t="n">
        <f aca="false">M24*M12/100</f>
        <v>18786.6</v>
      </c>
      <c r="N85" s="70" t="n">
        <f aca="false">N24*N12/100</f>
        <v>16102.8</v>
      </c>
      <c r="O85" s="70" t="n">
        <f aca="false">O24*O12/100</f>
        <v>18451.125</v>
      </c>
      <c r="P85" s="70" t="n">
        <f aca="false">P24*P12/100</f>
        <v>18451.125</v>
      </c>
      <c r="Q85" s="70" t="n">
        <f aca="false">Q24*Q12/100</f>
        <v>20128.5</v>
      </c>
      <c r="R85" s="70" t="n">
        <f aca="false">R24*R12/100</f>
        <v>20128.5</v>
      </c>
      <c r="S85" s="70" t="n">
        <f aca="false">S24*S12/100</f>
        <v>20128.5</v>
      </c>
      <c r="T85" s="70" t="n">
        <f aca="false">T24*T12/100</f>
        <v>20128.5</v>
      </c>
      <c r="U85" s="70" t="n">
        <f aca="false">U24*U12/100</f>
        <v>0</v>
      </c>
      <c r="V85" s="70" t="n">
        <f aca="false">V24*V12/100</f>
        <v>0</v>
      </c>
      <c r="W85" s="70" t="n">
        <f aca="false">W24*W12/100</f>
        <v>0</v>
      </c>
      <c r="X85" s="70" t="n">
        <f aca="false">X24*X12/100</f>
        <v>0</v>
      </c>
      <c r="Y85" s="70" t="n">
        <f aca="false">Y24*Y12/100</f>
        <v>0</v>
      </c>
    </row>
    <row r="86" customFormat="false" ht="15" hidden="false" customHeight="false" outlineLevel="0" collapsed="false">
      <c r="A86" s="3" t="s">
        <v>143</v>
      </c>
      <c r="D86" s="53"/>
      <c r="E86" s="70" t="n">
        <f aca="false">E25*E12/100</f>
        <v>0</v>
      </c>
      <c r="F86" s="70" t="n">
        <f aca="false">F25*F12/100</f>
        <v>0</v>
      </c>
      <c r="G86" s="70" t="n">
        <f aca="false">G25*G12/100</f>
        <v>0</v>
      </c>
      <c r="H86" s="70" t="n">
        <f aca="false">H25*H12/100</f>
        <v>0</v>
      </c>
      <c r="I86" s="70" t="n">
        <f aca="false">I25*I12/100</f>
        <v>50097.6</v>
      </c>
      <c r="J86" s="70" t="n">
        <f aca="false">J25*J12/100</f>
        <v>50097.6</v>
      </c>
      <c r="K86" s="70" t="n">
        <f aca="false">K25*K12/100</f>
        <v>37573.2</v>
      </c>
      <c r="L86" s="70" t="n">
        <f aca="false">L25*L12/100</f>
        <v>18786.6</v>
      </c>
      <c r="M86" s="70" t="n">
        <f aca="false">M25*M12/100</f>
        <v>20874</v>
      </c>
      <c r="N86" s="70" t="n">
        <f aca="false">N25*N12/100</f>
        <v>20874</v>
      </c>
      <c r="O86" s="70" t="n">
        <f aca="false">O25*O12/100</f>
        <v>28701.75</v>
      </c>
      <c r="P86" s="70" t="n">
        <f aca="false">P25*P12/100</f>
        <v>28701.75</v>
      </c>
      <c r="Q86" s="70" t="n">
        <f aca="false">Q25*Q12/100</f>
        <v>31311</v>
      </c>
      <c r="R86" s="70" t="n">
        <f aca="false">R25*R12/100</f>
        <v>31311</v>
      </c>
      <c r="S86" s="70" t="n">
        <f aca="false">S25*S12/100</f>
        <v>15655.5</v>
      </c>
      <c r="T86" s="70" t="n">
        <f aca="false">T25*T12/100</f>
        <v>15655.5</v>
      </c>
      <c r="U86" s="70" t="n">
        <f aca="false">U25*U12/100</f>
        <v>0</v>
      </c>
      <c r="V86" s="70" t="n">
        <f aca="false">V25*V12/100</f>
        <v>0</v>
      </c>
      <c r="W86" s="70" t="n">
        <f aca="false">W25*W12/100</f>
        <v>0</v>
      </c>
      <c r="X86" s="70" t="n">
        <f aca="false">X25*X12/100</f>
        <v>0</v>
      </c>
      <c r="Y86" s="70" t="n">
        <f aca="false">Y25*Y12/100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6"/>
  </cols>
  <sheetData>
    <row r="1" customFormat="false" ht="19.5" hidden="false" customHeight="true" outlineLevel="0" collapsed="false">
      <c r="A1" s="71" t="s">
        <v>186</v>
      </c>
      <c r="B1" s="71"/>
      <c r="C1" s="71"/>
      <c r="D1" s="71"/>
      <c r="E1" s="71"/>
      <c r="F1" s="71"/>
      <c r="G1" s="71"/>
      <c r="H1" s="71"/>
    </row>
    <row r="2" customFormat="false" ht="15" hidden="false" customHeight="true" outlineLevel="0" collapsed="false">
      <c r="A2" s="72" t="s">
        <v>187</v>
      </c>
      <c r="B2" s="72"/>
      <c r="C2" s="72"/>
      <c r="D2" s="72"/>
      <c r="E2" s="72"/>
      <c r="F2" s="72"/>
      <c r="G2" s="72"/>
      <c r="H2" s="72"/>
    </row>
    <row r="3" customFormat="false" ht="15" hidden="false" customHeight="true" outlineLevel="0" collapsed="false"/>
    <row r="4" customFormat="false" ht="27.75" hidden="false" customHeight="true" outlineLevel="0" collapsed="false">
      <c r="A4" s="73" t="s">
        <v>188</v>
      </c>
      <c r="B4" s="73" t="s">
        <v>189</v>
      </c>
      <c r="C4" s="73" t="s">
        <v>190</v>
      </c>
      <c r="D4" s="73" t="s">
        <v>191</v>
      </c>
      <c r="E4" s="73" t="s">
        <v>192</v>
      </c>
      <c r="F4" s="73" t="s">
        <v>193</v>
      </c>
      <c r="G4" s="73" t="s">
        <v>194</v>
      </c>
      <c r="H4" s="73" t="s">
        <v>195</v>
      </c>
    </row>
    <row r="5" customFormat="false" ht="15" hidden="false" customHeight="true" outlineLevel="0" collapsed="false">
      <c r="A5" s="74" t="n">
        <v>1</v>
      </c>
      <c r="B5" s="74" t="s">
        <v>196</v>
      </c>
      <c r="C5" s="74" t="s">
        <v>196</v>
      </c>
      <c r="D5" s="75" t="n">
        <v>3</v>
      </c>
      <c r="E5" s="76" t="n">
        <v>0</v>
      </c>
      <c r="F5" s="76" t="n">
        <f aca="false">E5+D5</f>
        <v>3</v>
      </c>
      <c r="G5" s="77" t="n">
        <v>2500000</v>
      </c>
      <c r="H5" s="78" t="n">
        <f aca="false">IF(D5=0,0,G5/D5)</f>
        <v>833333.333333333</v>
      </c>
    </row>
    <row r="6" customFormat="false" ht="15" hidden="false" customHeight="true" outlineLevel="0" collapsed="false">
      <c r="A6" s="74" t="n">
        <v>2</v>
      </c>
      <c r="B6" s="74" t="s">
        <v>197</v>
      </c>
      <c r="C6" s="74" t="s">
        <v>198</v>
      </c>
      <c r="D6" s="75" t="n">
        <v>3</v>
      </c>
      <c r="E6" s="76" t="n">
        <f aca="false">F5</f>
        <v>3</v>
      </c>
      <c r="F6" s="76" t="n">
        <f aca="false">E6+D6</f>
        <v>6</v>
      </c>
      <c r="G6" s="77" t="n">
        <v>3300000</v>
      </c>
      <c r="H6" s="78" t="n">
        <f aca="false">IF(D6=0,0,G6/D6)</f>
        <v>1100000</v>
      </c>
    </row>
    <row r="7" customFormat="false" ht="15" hidden="false" customHeight="true" outlineLevel="0" collapsed="false">
      <c r="A7" s="74" t="n">
        <v>3</v>
      </c>
      <c r="B7" s="74" t="s">
        <v>199</v>
      </c>
      <c r="C7" s="74" t="s">
        <v>200</v>
      </c>
      <c r="D7" s="75" t="n">
        <v>3</v>
      </c>
      <c r="E7" s="76" t="n">
        <f aca="false">F6</f>
        <v>6</v>
      </c>
      <c r="F7" s="76" t="n">
        <f aca="false">E7+D7</f>
        <v>9</v>
      </c>
      <c r="G7" s="77" t="n">
        <v>5000000</v>
      </c>
      <c r="H7" s="78" t="n">
        <f aca="false">IF(D7=0,0,G7/D7)</f>
        <v>1666666.66666667</v>
      </c>
    </row>
    <row r="8" customFormat="false" ht="15" hidden="false" customHeight="true" outlineLevel="0" collapsed="false">
      <c r="A8" s="74" t="n">
        <v>4</v>
      </c>
      <c r="B8" s="74"/>
      <c r="C8" s="74" t="s">
        <v>201</v>
      </c>
      <c r="D8" s="75" t="n">
        <v>3</v>
      </c>
      <c r="E8" s="76" t="n">
        <f aca="false">F7</f>
        <v>9</v>
      </c>
      <c r="F8" s="76" t="n">
        <f aca="false">E8+D8</f>
        <v>12</v>
      </c>
      <c r="G8" s="77" t="n">
        <v>3300000</v>
      </c>
      <c r="H8" s="78" t="n">
        <f aca="false">IF(D8=0,0,G8/D8)</f>
        <v>1100000</v>
      </c>
    </row>
    <row r="9" customFormat="false" ht="15" hidden="false" customHeight="true" outlineLevel="0" collapsed="false">
      <c r="A9" s="74" t="n">
        <v>5</v>
      </c>
      <c r="B9" s="74"/>
      <c r="C9" s="74" t="s">
        <v>202</v>
      </c>
      <c r="D9" s="75" t="n">
        <v>3</v>
      </c>
      <c r="E9" s="76" t="n">
        <f aca="false">F8</f>
        <v>12</v>
      </c>
      <c r="F9" s="76" t="n">
        <f aca="false">E9+D9</f>
        <v>15</v>
      </c>
      <c r="G9" s="77" t="n">
        <v>3300000</v>
      </c>
      <c r="H9" s="78" t="n">
        <f aca="false">IF(D9=0,0,G9/D9)</f>
        <v>1100000</v>
      </c>
    </row>
    <row r="10" customFormat="false" ht="15" hidden="false" customHeight="true" outlineLevel="0" collapsed="false">
      <c r="A10" s="74" t="n">
        <v>6</v>
      </c>
      <c r="B10" s="74"/>
      <c r="C10" s="74" t="s">
        <v>203</v>
      </c>
      <c r="D10" s="75" t="n">
        <v>3</v>
      </c>
      <c r="E10" s="76" t="n">
        <f aca="false">F9</f>
        <v>15</v>
      </c>
      <c r="F10" s="76" t="n">
        <f aca="false">E10+D10</f>
        <v>18</v>
      </c>
      <c r="G10" s="77" t="n">
        <v>3300000</v>
      </c>
      <c r="H10" s="78" t="n">
        <f aca="false">IF(D10=0,0,G10/D10)</f>
        <v>1100000</v>
      </c>
    </row>
    <row r="11" customFormat="false" ht="15" hidden="false" customHeight="true" outlineLevel="0" collapsed="false">
      <c r="A11" s="74" t="n">
        <v>7</v>
      </c>
      <c r="B11" s="74"/>
      <c r="C11" s="74" t="s">
        <v>204</v>
      </c>
      <c r="D11" s="75"/>
      <c r="E11" s="76" t="n">
        <f aca="false">F10</f>
        <v>18</v>
      </c>
      <c r="F11" s="76" t="n">
        <f aca="false">E11+D11</f>
        <v>18</v>
      </c>
      <c r="G11" s="77"/>
      <c r="H11" s="78" t="n">
        <f aca="false">IF(D11=0,0,G11/D11)</f>
        <v>0</v>
      </c>
    </row>
    <row r="12" customFormat="false" ht="15" hidden="false" customHeight="true" outlineLevel="0" collapsed="false">
      <c r="A12" s="74" t="n">
        <v>8</v>
      </c>
      <c r="B12" s="74" t="s">
        <v>205</v>
      </c>
      <c r="C12" s="74" t="s">
        <v>200</v>
      </c>
      <c r="D12" s="75" t="n">
        <v>1.5</v>
      </c>
      <c r="E12" s="76" t="n">
        <f aca="false">F11</f>
        <v>18</v>
      </c>
      <c r="F12" s="76" t="n">
        <f aca="false">E12+D12</f>
        <v>19.5</v>
      </c>
      <c r="G12" s="77" t="n">
        <v>330000</v>
      </c>
      <c r="H12" s="78" t="n">
        <f aca="false">IF(D12=0,0,G12/D12)</f>
        <v>220000</v>
      </c>
    </row>
    <row r="13" customFormat="false" ht="15" hidden="false" customHeight="true" outlineLevel="0" collapsed="false">
      <c r="A13" s="74" t="n">
        <v>9</v>
      </c>
      <c r="B13" s="74"/>
      <c r="C13" s="74" t="s">
        <v>201</v>
      </c>
      <c r="D13" s="75" t="n">
        <v>1.5</v>
      </c>
      <c r="E13" s="76" t="n">
        <f aca="false">F12</f>
        <v>19.5</v>
      </c>
      <c r="F13" s="76" t="n">
        <f aca="false">E13+D13</f>
        <v>21</v>
      </c>
      <c r="G13" s="77" t="n">
        <v>330000</v>
      </c>
      <c r="H13" s="78" t="n">
        <f aca="false">IF(D13=0,0,G13/D13)</f>
        <v>220000</v>
      </c>
    </row>
    <row r="14" customFormat="false" ht="15" hidden="false" customHeight="true" outlineLevel="0" collapsed="false">
      <c r="A14" s="74" t="n">
        <v>10</v>
      </c>
      <c r="B14" s="74"/>
      <c r="C14" s="74" t="s">
        <v>202</v>
      </c>
      <c r="D14" s="75" t="n">
        <v>1.5</v>
      </c>
      <c r="E14" s="76" t="n">
        <f aca="false">F13</f>
        <v>21</v>
      </c>
      <c r="F14" s="76" t="n">
        <f aca="false">E14+D14</f>
        <v>22.5</v>
      </c>
      <c r="G14" s="77" t="n">
        <v>330000</v>
      </c>
      <c r="H14" s="78" t="n">
        <f aca="false">IF(D14=0,0,G14/D14)</f>
        <v>220000</v>
      </c>
    </row>
    <row r="15" customFormat="false" ht="15" hidden="false" customHeight="true" outlineLevel="0" collapsed="false">
      <c r="A15" s="74" t="n">
        <v>11</v>
      </c>
      <c r="B15" s="74"/>
      <c r="C15" s="74" t="s">
        <v>203</v>
      </c>
      <c r="D15" s="75" t="n">
        <v>1.5</v>
      </c>
      <c r="E15" s="76" t="n">
        <f aca="false">F14</f>
        <v>22.5</v>
      </c>
      <c r="F15" s="76" t="n">
        <f aca="false">E15+D15</f>
        <v>24</v>
      </c>
      <c r="G15" s="77" t="n">
        <v>330000</v>
      </c>
      <c r="H15" s="78" t="n">
        <f aca="false">IF(D15=0,0,G15/D15)</f>
        <v>220000</v>
      </c>
    </row>
    <row r="16" customFormat="false" ht="15" hidden="false" customHeight="true" outlineLevel="0" collapsed="false">
      <c r="A16" s="74" t="n">
        <v>12</v>
      </c>
      <c r="B16" s="74"/>
      <c r="C16" s="74" t="s">
        <v>204</v>
      </c>
      <c r="D16" s="75" t="n">
        <v>0</v>
      </c>
      <c r="E16" s="76" t="n">
        <f aca="false">F15</f>
        <v>24</v>
      </c>
      <c r="F16" s="76" t="n">
        <f aca="false">E16+D16</f>
        <v>24</v>
      </c>
      <c r="G16" s="77" t="n">
        <v>0</v>
      </c>
      <c r="H16" s="78" t="n">
        <f aca="false">IF(D16=0,0,G16/D16)</f>
        <v>0</v>
      </c>
    </row>
    <row r="17" customFormat="false" ht="15" hidden="false" customHeight="true" outlineLevel="0" collapsed="false">
      <c r="A17" s="74" t="n">
        <v>13</v>
      </c>
      <c r="B17" s="74" t="s">
        <v>206</v>
      </c>
      <c r="C17" s="74" t="s">
        <v>200</v>
      </c>
      <c r="D17" s="75" t="n">
        <v>2</v>
      </c>
      <c r="E17" s="76" t="n">
        <f aca="false">F16</f>
        <v>24</v>
      </c>
      <c r="F17" s="76" t="n">
        <f aca="false">E17+D17</f>
        <v>26</v>
      </c>
      <c r="G17" s="77" t="n">
        <v>10000000</v>
      </c>
      <c r="H17" s="78" t="n">
        <f aca="false">IF(D17=0,0,G17/D17)</f>
        <v>5000000</v>
      </c>
    </row>
    <row r="18" customFormat="false" ht="15" hidden="false" customHeight="true" outlineLevel="0" collapsed="false">
      <c r="A18" s="74" t="n">
        <v>14</v>
      </c>
      <c r="B18" s="74"/>
      <c r="C18" s="74" t="s">
        <v>201</v>
      </c>
      <c r="D18" s="75" t="n">
        <v>2</v>
      </c>
      <c r="E18" s="76" t="n">
        <f aca="false">F17</f>
        <v>26</v>
      </c>
      <c r="F18" s="76" t="n">
        <f aca="false">E18+D18</f>
        <v>28</v>
      </c>
      <c r="G18" s="77" t="n">
        <v>10000000</v>
      </c>
      <c r="H18" s="78" t="n">
        <f aca="false">IF(D18=0,0,G18/D18)</f>
        <v>5000000</v>
      </c>
    </row>
    <row r="19" customFormat="false" ht="15" hidden="false" customHeight="true" outlineLevel="0" collapsed="false">
      <c r="A19" s="74" t="n">
        <v>15</v>
      </c>
      <c r="B19" s="74"/>
      <c r="C19" s="74" t="s">
        <v>202</v>
      </c>
      <c r="D19" s="75" t="n">
        <v>2</v>
      </c>
      <c r="E19" s="76" t="n">
        <f aca="false">F18</f>
        <v>28</v>
      </c>
      <c r="F19" s="76" t="n">
        <f aca="false">E19+D19</f>
        <v>30</v>
      </c>
      <c r="G19" s="77" t="n">
        <v>10000000</v>
      </c>
      <c r="H19" s="78" t="n">
        <f aca="false">IF(D19=0,0,G19/D19)</f>
        <v>5000000</v>
      </c>
    </row>
    <row r="20" customFormat="false" ht="15" hidden="false" customHeight="true" outlineLevel="0" collapsed="false">
      <c r="A20" s="74" t="n">
        <v>16</v>
      </c>
      <c r="B20" s="74"/>
      <c r="C20" s="74" t="s">
        <v>203</v>
      </c>
      <c r="D20" s="75" t="n">
        <v>2</v>
      </c>
      <c r="E20" s="76" t="n">
        <f aca="false">F19</f>
        <v>30</v>
      </c>
      <c r="F20" s="76" t="n">
        <f aca="false">E20+D20</f>
        <v>32</v>
      </c>
      <c r="G20" s="77" t="n">
        <v>10000000</v>
      </c>
      <c r="H20" s="78" t="n">
        <f aca="false">IF(D20=0,0,G20/D20)</f>
        <v>5000000</v>
      </c>
    </row>
    <row r="21" customFormat="false" ht="15" hidden="false" customHeight="true" outlineLevel="0" collapsed="false">
      <c r="A21" s="74" t="n">
        <v>17</v>
      </c>
      <c r="B21" s="74"/>
      <c r="C21" s="74" t="s">
        <v>204</v>
      </c>
      <c r="D21" s="75" t="n">
        <v>0</v>
      </c>
      <c r="E21" s="76" t="n">
        <f aca="false">F20</f>
        <v>32</v>
      </c>
      <c r="F21" s="76" t="n">
        <f aca="false">E21+D21</f>
        <v>32</v>
      </c>
      <c r="G21" s="77"/>
      <c r="H21" s="78" t="n">
        <f aca="false">IF(D21=0,0,G21/D21)</f>
        <v>0</v>
      </c>
    </row>
    <row r="22" customFormat="false" ht="15" hidden="false" customHeight="true" outlineLevel="0" collapsed="false">
      <c r="A22" s="74" t="n">
        <v>18</v>
      </c>
      <c r="B22" s="74" t="s">
        <v>207</v>
      </c>
      <c r="C22" s="74" t="s">
        <v>207</v>
      </c>
      <c r="D22" s="75" t="n">
        <v>2</v>
      </c>
      <c r="E22" s="76" t="n">
        <f aca="false">F21</f>
        <v>32</v>
      </c>
      <c r="F22" s="76" t="n">
        <f aca="false">E22+D22</f>
        <v>34</v>
      </c>
      <c r="G22" s="77" t="n">
        <v>21000000</v>
      </c>
      <c r="H22" s="78" t="n">
        <f aca="false">IF(D22=0,0,G22/D22)</f>
        <v>10500000</v>
      </c>
    </row>
    <row r="23" customFormat="false" ht="15" hidden="false" customHeight="true" outlineLevel="0" collapsed="false">
      <c r="A23" s="74" t="n">
        <v>19</v>
      </c>
      <c r="B23" s="74" t="s">
        <v>208</v>
      </c>
      <c r="C23" s="74" t="s">
        <v>208</v>
      </c>
      <c r="D23" s="75" t="n">
        <v>2</v>
      </c>
      <c r="E23" s="76" t="n">
        <f aca="false">F22</f>
        <v>34</v>
      </c>
      <c r="F23" s="76" t="n">
        <f aca="false">E23+D23</f>
        <v>36</v>
      </c>
      <c r="G23" s="77" t="n">
        <v>4125000</v>
      </c>
      <c r="H23" s="78" t="n">
        <f aca="false">IF(D23=0,0,G23/D23)</f>
        <v>2062500</v>
      </c>
    </row>
    <row r="24" customFormat="false" ht="15.75" hidden="false" customHeight="true" outlineLevel="0" collapsed="false"/>
    <row r="25" customFormat="false" ht="15" hidden="false" customHeight="true" outlineLevel="0" collapsed="false">
      <c r="B25" s="79" t="s">
        <v>209</v>
      </c>
      <c r="C25" s="79" t="s">
        <v>210</v>
      </c>
      <c r="F25" s="80" t="n">
        <f aca="false">F23</f>
        <v>36</v>
      </c>
      <c r="G25" s="81" t="n">
        <f aca="false">SUM(G5:G23)</f>
        <v>87145000</v>
      </c>
    </row>
    <row r="26" customFormat="false" ht="15.75" hidden="false" customHeight="true" outlineLevel="0" collapsed="false"/>
    <row r="27" customFormat="false" ht="15" hidden="false" customHeight="true" outlineLevel="0" collapsed="false">
      <c r="A27" s="72" t="s">
        <v>211</v>
      </c>
      <c r="B27" s="72"/>
      <c r="C27" s="72"/>
      <c r="D27" s="72"/>
      <c r="E27" s="72"/>
      <c r="F27" s="72"/>
      <c r="G27" s="72"/>
      <c r="H27" s="72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H1"/>
    <mergeCell ref="A2:H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05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13.00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.56"/>
    <col collapsed="false" customWidth="true" hidden="false" outlineLevel="0" max="57" min="3" style="0" width="12"/>
  </cols>
  <sheetData>
    <row r="1" customFormat="false" ht="19.5" hidden="false" customHeight="true" outlineLevel="0" collapsed="false">
      <c r="A1" s="71" t="s">
        <v>212</v>
      </c>
      <c r="B1" s="71"/>
      <c r="C1" s="71"/>
      <c r="D1" s="71"/>
      <c r="E1" s="71"/>
      <c r="F1" s="71"/>
      <c r="G1" s="71"/>
    </row>
    <row r="2" customFormat="false" ht="15" hidden="false" customHeight="true" outlineLevel="0" collapsed="false">
      <c r="A2" s="72" t="s">
        <v>213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customFormat="false" ht="15" hidden="false" customHeight="true" outlineLevel="0" collapsed="false">
      <c r="B3" s="82" t="s">
        <v>214</v>
      </c>
      <c r="D3" s="83" t="n">
        <v>1</v>
      </c>
      <c r="E3" s="83" t="n">
        <f aca="false">D3+1</f>
        <v>2</v>
      </c>
      <c r="F3" s="83" t="n">
        <f aca="false">E3+1</f>
        <v>3</v>
      </c>
      <c r="G3" s="83" t="n">
        <f aca="false">F3+1</f>
        <v>4</v>
      </c>
      <c r="H3" s="83" t="n">
        <f aca="false">G3+1</f>
        <v>5</v>
      </c>
      <c r="I3" s="83" t="n">
        <f aca="false">H3+1</f>
        <v>6</v>
      </c>
      <c r="J3" s="83" t="n">
        <f aca="false">I3+1</f>
        <v>7</v>
      </c>
      <c r="K3" s="83" t="n">
        <f aca="false">J3+1</f>
        <v>8</v>
      </c>
      <c r="L3" s="83" t="n">
        <f aca="false">K3+1</f>
        <v>9</v>
      </c>
      <c r="M3" s="83" t="n">
        <f aca="false">L3+1</f>
        <v>10</v>
      </c>
      <c r="N3" s="83" t="n">
        <f aca="false">M3+1</f>
        <v>11</v>
      </c>
      <c r="O3" s="83" t="n">
        <f aca="false">N3+1</f>
        <v>12</v>
      </c>
      <c r="P3" s="83" t="n">
        <f aca="false">O3+1</f>
        <v>13</v>
      </c>
      <c r="Q3" s="83" t="n">
        <f aca="false">P3+1</f>
        <v>14</v>
      </c>
      <c r="R3" s="83" t="n">
        <f aca="false">Q3+1</f>
        <v>15</v>
      </c>
      <c r="S3" s="83" t="n">
        <f aca="false">R3+1</f>
        <v>16</v>
      </c>
      <c r="T3" s="83" t="n">
        <f aca="false">S3+1</f>
        <v>17</v>
      </c>
      <c r="U3" s="83" t="n">
        <f aca="false">T3+1</f>
        <v>18</v>
      </c>
      <c r="V3" s="83" t="n">
        <f aca="false">U3+1</f>
        <v>19</v>
      </c>
      <c r="W3" s="83" t="n">
        <f aca="false">V3+1</f>
        <v>20</v>
      </c>
      <c r="X3" s="83" t="n">
        <f aca="false">W3+1</f>
        <v>21</v>
      </c>
      <c r="Y3" s="83" t="n">
        <f aca="false">X3+1</f>
        <v>22</v>
      </c>
      <c r="Z3" s="83" t="n">
        <f aca="false">Y3+1</f>
        <v>23</v>
      </c>
      <c r="AA3" s="83" t="n">
        <f aca="false">Z3+1</f>
        <v>24</v>
      </c>
      <c r="AB3" s="83" t="n">
        <f aca="false">AA3+1</f>
        <v>25</v>
      </c>
      <c r="AC3" s="83" t="n">
        <f aca="false">AB3+1</f>
        <v>26</v>
      </c>
      <c r="AD3" s="83" t="n">
        <f aca="false">AC3+1</f>
        <v>27</v>
      </c>
      <c r="AE3" s="83" t="n">
        <f aca="false">AD3+1</f>
        <v>28</v>
      </c>
      <c r="AF3" s="83" t="n">
        <f aca="false">AE3+1</f>
        <v>29</v>
      </c>
      <c r="AG3" s="83" t="n">
        <f aca="false">AF3+1</f>
        <v>30</v>
      </c>
      <c r="AH3" s="83" t="n">
        <f aca="false">AG3+1</f>
        <v>31</v>
      </c>
      <c r="AI3" s="83" t="n">
        <f aca="false">AH3+1</f>
        <v>32</v>
      </c>
      <c r="AJ3" s="83" t="n">
        <f aca="false">AI3+1</f>
        <v>33</v>
      </c>
      <c r="AK3" s="83" t="n">
        <f aca="false">AJ3+1</f>
        <v>34</v>
      </c>
      <c r="AL3" s="83" t="n">
        <f aca="false">AK3+1</f>
        <v>35</v>
      </c>
      <c r="AM3" s="83" t="n">
        <f aca="false">AL3+1</f>
        <v>36</v>
      </c>
      <c r="AN3" s="83" t="n">
        <f aca="false">AM3+1</f>
        <v>37</v>
      </c>
      <c r="AO3" s="83" t="n">
        <f aca="false">AN3+1</f>
        <v>38</v>
      </c>
      <c r="AP3" s="83" t="n">
        <f aca="false">AO3+1</f>
        <v>39</v>
      </c>
      <c r="AQ3" s="83" t="n">
        <f aca="false">AP3+1</f>
        <v>40</v>
      </c>
      <c r="AR3" s="83" t="n">
        <f aca="false">AQ3+1</f>
        <v>41</v>
      </c>
      <c r="AS3" s="83" t="n">
        <f aca="false">AR3+1</f>
        <v>42</v>
      </c>
      <c r="AT3" s="83" t="n">
        <f aca="false">AS3+1</f>
        <v>43</v>
      </c>
      <c r="AU3" s="83" t="n">
        <f aca="false">AT3+1</f>
        <v>44</v>
      </c>
      <c r="AV3" s="83" t="n">
        <f aca="false">AU3+1</f>
        <v>45</v>
      </c>
      <c r="AW3" s="83" t="n">
        <f aca="false">AV3+1</f>
        <v>46</v>
      </c>
      <c r="AX3" s="83" t="n">
        <f aca="false">AW3+1</f>
        <v>47</v>
      </c>
      <c r="AY3" s="83" t="n">
        <f aca="false">AX3+1</f>
        <v>48</v>
      </c>
      <c r="AZ3" s="83" t="n">
        <f aca="false">AY3+1</f>
        <v>49</v>
      </c>
      <c r="BA3" s="83" t="n">
        <f aca="false">AZ3+1</f>
        <v>50</v>
      </c>
      <c r="BB3" s="83" t="n">
        <f aca="false">BA3+1</f>
        <v>51</v>
      </c>
      <c r="BC3" s="83" t="n">
        <f aca="false">BB3+1</f>
        <v>52</v>
      </c>
      <c r="BD3" s="83" t="n">
        <f aca="false">BC3+1</f>
        <v>53</v>
      </c>
      <c r="BE3" s="83" t="n">
        <f aca="false">BD3+1</f>
        <v>54</v>
      </c>
      <c r="BF3" s="83" t="n">
        <f aca="false">BE3+1</f>
        <v>55</v>
      </c>
      <c r="BG3" s="83" t="n">
        <f aca="false">BF3+1</f>
        <v>56</v>
      </c>
      <c r="BH3" s="83" t="n">
        <f aca="false">BG3+1</f>
        <v>57</v>
      </c>
      <c r="BI3" s="83" t="n">
        <f aca="false">BH3+1</f>
        <v>58</v>
      </c>
      <c r="BJ3" s="83" t="n">
        <f aca="false">BI3+1</f>
        <v>59</v>
      </c>
      <c r="BK3" s="83" t="n">
        <f aca="false">BJ3+1</f>
        <v>60</v>
      </c>
    </row>
    <row r="4" customFormat="false" ht="15" hidden="false" customHeight="true" outlineLevel="0" collapsed="false">
      <c r="A4" s="82" t="s">
        <v>188</v>
      </c>
      <c r="B4" s="82" t="s">
        <v>190</v>
      </c>
      <c r="C4" s="83"/>
      <c r="D4" s="83" t="n">
        <f aca="false">D3-(Assumptions!$C$12-1)</f>
        <v>-5</v>
      </c>
      <c r="E4" s="83" t="n">
        <f aca="false">E3-(Assumptions!$C$12-1)</f>
        <v>-4</v>
      </c>
      <c r="F4" s="83" t="n">
        <f aca="false">F3-(Assumptions!$C$12-1)</f>
        <v>-3</v>
      </c>
      <c r="G4" s="83" t="n">
        <f aca="false">G3-(Assumptions!$C$12-1)</f>
        <v>-2</v>
      </c>
      <c r="H4" s="83" t="n">
        <f aca="false">H3-(Assumptions!$C$12-1)</f>
        <v>-1</v>
      </c>
      <c r="I4" s="83" t="n">
        <f aca="false">I3-(Assumptions!$C$12-1)</f>
        <v>0</v>
      </c>
      <c r="J4" s="83" t="n">
        <f aca="false">J3-(Assumptions!$C$12-1)</f>
        <v>1</v>
      </c>
      <c r="K4" s="83" t="n">
        <f aca="false">K3-(Assumptions!$C$12-1)</f>
        <v>2</v>
      </c>
      <c r="L4" s="83" t="n">
        <f aca="false">L3-(Assumptions!$C$12-1)</f>
        <v>3</v>
      </c>
      <c r="M4" s="83" t="n">
        <f aca="false">M3-(Assumptions!$C$12-1)</f>
        <v>4</v>
      </c>
      <c r="N4" s="83" t="n">
        <f aca="false">N3-(Assumptions!$C$12-1)</f>
        <v>5</v>
      </c>
      <c r="O4" s="83" t="n">
        <f aca="false">O3-(Assumptions!$C$12-1)</f>
        <v>6</v>
      </c>
      <c r="P4" s="83" t="n">
        <f aca="false">P3-(Assumptions!$C$12-1)</f>
        <v>7</v>
      </c>
      <c r="Q4" s="83" t="n">
        <f aca="false">Q3-(Assumptions!$C$12-1)</f>
        <v>8</v>
      </c>
      <c r="R4" s="83" t="n">
        <f aca="false">R3-(Assumptions!$C$12-1)</f>
        <v>9</v>
      </c>
      <c r="S4" s="83" t="n">
        <f aca="false">S3-(Assumptions!$C$12-1)</f>
        <v>10</v>
      </c>
      <c r="T4" s="83" t="n">
        <f aca="false">T3-(Assumptions!$C$12-1)</f>
        <v>11</v>
      </c>
      <c r="U4" s="83" t="n">
        <f aca="false">U3-(Assumptions!$C$12-1)</f>
        <v>12</v>
      </c>
      <c r="V4" s="83" t="n">
        <f aca="false">V3-(Assumptions!$C$12-1)</f>
        <v>13</v>
      </c>
      <c r="W4" s="83" t="n">
        <f aca="false">W3-(Assumptions!$C$12-1)</f>
        <v>14</v>
      </c>
      <c r="X4" s="83" t="n">
        <f aca="false">X3-(Assumptions!$C$12-1)</f>
        <v>15</v>
      </c>
      <c r="Y4" s="83" t="n">
        <f aca="false">Y3-(Assumptions!$C$12-1)</f>
        <v>16</v>
      </c>
      <c r="Z4" s="83" t="n">
        <f aca="false">Z3-(Assumptions!$C$12-1)</f>
        <v>17</v>
      </c>
      <c r="AA4" s="83" t="n">
        <f aca="false">AA3-(Assumptions!$C$12-1)</f>
        <v>18</v>
      </c>
      <c r="AB4" s="83" t="n">
        <f aca="false">AB3-(Assumptions!$C$12-1)</f>
        <v>19</v>
      </c>
      <c r="AC4" s="83" t="n">
        <f aca="false">AC3-(Assumptions!$C$12-1)</f>
        <v>20</v>
      </c>
      <c r="AD4" s="83" t="n">
        <f aca="false">AD3-(Assumptions!$C$12-1)</f>
        <v>21</v>
      </c>
      <c r="AE4" s="83" t="n">
        <f aca="false">AE3-(Assumptions!$C$12-1)</f>
        <v>22</v>
      </c>
      <c r="AF4" s="83" t="n">
        <f aca="false">AF3-(Assumptions!$C$12-1)</f>
        <v>23</v>
      </c>
      <c r="AG4" s="83" t="n">
        <f aca="false">AG3-(Assumptions!$C$12-1)</f>
        <v>24</v>
      </c>
      <c r="AH4" s="83" t="n">
        <f aca="false">AH3-(Assumptions!$C$12-1)</f>
        <v>25</v>
      </c>
      <c r="AI4" s="83" t="n">
        <f aca="false">AI3-(Assumptions!$C$12-1)</f>
        <v>26</v>
      </c>
      <c r="AJ4" s="83" t="n">
        <f aca="false">AJ3-(Assumptions!$C$12-1)</f>
        <v>27</v>
      </c>
      <c r="AK4" s="83" t="n">
        <f aca="false">AK3-(Assumptions!$C$12-1)</f>
        <v>28</v>
      </c>
      <c r="AL4" s="83" t="n">
        <f aca="false">AL3-(Assumptions!$C$12-1)</f>
        <v>29</v>
      </c>
      <c r="AM4" s="83" t="n">
        <f aca="false">AM3-(Assumptions!$C$12-1)</f>
        <v>30</v>
      </c>
      <c r="AN4" s="83" t="n">
        <f aca="false">AN3-(Assumptions!$C$12-1)</f>
        <v>31</v>
      </c>
      <c r="AO4" s="83" t="n">
        <f aca="false">AO3-(Assumptions!$C$12-1)</f>
        <v>32</v>
      </c>
      <c r="AP4" s="83" t="n">
        <f aca="false">AP3-(Assumptions!$C$12-1)</f>
        <v>33</v>
      </c>
      <c r="AQ4" s="83" t="n">
        <f aca="false">AQ3-(Assumptions!$C$12-1)</f>
        <v>34</v>
      </c>
      <c r="AR4" s="83" t="n">
        <f aca="false">AR3-(Assumptions!$C$12-1)</f>
        <v>35</v>
      </c>
      <c r="AS4" s="83" t="n">
        <f aca="false">AS3-(Assumptions!$C$12-1)</f>
        <v>36</v>
      </c>
      <c r="AT4" s="83" t="n">
        <f aca="false">AT3-(Assumptions!$C$12-1)</f>
        <v>37</v>
      </c>
      <c r="AU4" s="83" t="n">
        <f aca="false">AU3-(Assumptions!$C$12-1)</f>
        <v>38</v>
      </c>
      <c r="AV4" s="83" t="n">
        <f aca="false">AV3-(Assumptions!$C$12-1)</f>
        <v>39</v>
      </c>
      <c r="AW4" s="83" t="n">
        <f aca="false">AW3-(Assumptions!$C$12-1)</f>
        <v>40</v>
      </c>
      <c r="AX4" s="83" t="n">
        <f aca="false">AX3-(Assumptions!$C$12-1)</f>
        <v>41</v>
      </c>
      <c r="AY4" s="83" t="n">
        <f aca="false">AY3-(Assumptions!$C$12-1)</f>
        <v>42</v>
      </c>
      <c r="AZ4" s="83" t="n">
        <f aca="false">AZ3-(Assumptions!$C$12-1)</f>
        <v>43</v>
      </c>
      <c r="BA4" s="83" t="n">
        <f aca="false">BA3-(Assumptions!$C$12-1)</f>
        <v>44</v>
      </c>
      <c r="BB4" s="83" t="n">
        <f aca="false">BB3-(Assumptions!$C$12-1)</f>
        <v>45</v>
      </c>
      <c r="BC4" s="83" t="n">
        <f aca="false">BC3-(Assumptions!$C$12-1)</f>
        <v>46</v>
      </c>
      <c r="BD4" s="83" t="n">
        <f aca="false">BD3-(Assumptions!$C$12-1)</f>
        <v>47</v>
      </c>
      <c r="BE4" s="83" t="n">
        <f aca="false">BE3-(Assumptions!$C$12-1)</f>
        <v>48</v>
      </c>
      <c r="BF4" s="83" t="n">
        <f aca="false">BF3-(Assumptions!$C$12-1)</f>
        <v>49</v>
      </c>
      <c r="BG4" s="83" t="n">
        <f aca="false">BG3-(Assumptions!$C$12-1)</f>
        <v>50</v>
      </c>
      <c r="BH4" s="83" t="n">
        <f aca="false">BH3-(Assumptions!$C$12-1)</f>
        <v>51</v>
      </c>
      <c r="BI4" s="83" t="n">
        <f aca="false">BI3-(Assumptions!$C$12-1)</f>
        <v>52</v>
      </c>
      <c r="BJ4" s="83" t="n">
        <f aca="false">BJ3-(Assumptions!$C$12-1)</f>
        <v>53</v>
      </c>
      <c r="BK4" s="83" t="n">
        <f aca="false">BK3-(Assumptions!$C$12-1)</f>
        <v>54</v>
      </c>
    </row>
    <row r="5" customFormat="false" ht="15" hidden="false" customHeight="true" outlineLevel="0" collapsed="false">
      <c r="A5" s="74" t="n">
        <f aca="false">'Stage Schedule &amp; Costs (2)'!A5</f>
        <v>1</v>
      </c>
      <c r="B5" s="84" t="str">
        <f aca="false">'Stage Schedule &amp; Costs (2)'!B5&amp;" - "&amp;'Stage Schedule &amp; Costs (2)'!C5</f>
        <v>Excavation - Excavation</v>
      </c>
      <c r="C5" s="85" t="n">
        <f aca="false">SUM(D5:BE5)</f>
        <v>2500000</v>
      </c>
      <c r="D5" s="85" t="n">
        <f aca="false">MAX(0,MIN('Stage Schedule &amp; Costs (2)'!$F5,D$4)-MAX('Stage Schedule &amp; Costs (2)'!$E5,D$4-1))*'Stage Schedule &amp; Costs (2)'!$H5</f>
        <v>0</v>
      </c>
      <c r="E5" s="85" t="n">
        <f aca="false">MAX(0,MIN('Stage Schedule &amp; Costs (2)'!$F5,E$4)-MAX('Stage Schedule &amp; Costs (2)'!$E5,E$4-1))*'Stage Schedule &amp; Costs (2)'!$H5</f>
        <v>0</v>
      </c>
      <c r="F5" s="85" t="n">
        <f aca="false">MAX(0,MIN('Stage Schedule &amp; Costs (2)'!$F5,F$4)-MAX('Stage Schedule &amp; Costs (2)'!$E5,F$4-1))*'Stage Schedule &amp; Costs (2)'!$H5</f>
        <v>0</v>
      </c>
      <c r="G5" s="85" t="n">
        <f aca="false">MAX(0,MIN('Stage Schedule &amp; Costs (2)'!$F5,G$4)-MAX('Stage Schedule &amp; Costs (2)'!$E5,G$4-1))*'Stage Schedule &amp; Costs (2)'!$H5</f>
        <v>0</v>
      </c>
      <c r="H5" s="85" t="n">
        <f aca="false">MAX(0,MIN('Stage Schedule &amp; Costs (2)'!$F5,H$4)-MAX('Stage Schedule &amp; Costs (2)'!$E5,H$4-1))*'Stage Schedule &amp; Costs (2)'!$H5</f>
        <v>0</v>
      </c>
      <c r="I5" s="85" t="n">
        <f aca="false">MAX(0,MIN('Stage Schedule &amp; Costs (2)'!$F5,I$4)-MAX('Stage Schedule &amp; Costs (2)'!$E5,I$4-1))*'Stage Schedule &amp; Costs (2)'!$H5</f>
        <v>0</v>
      </c>
      <c r="J5" s="85" t="n">
        <f aca="false">MAX(0,MIN('Stage Schedule &amp; Costs (2)'!$F5,J$4)-MAX('Stage Schedule &amp; Costs (2)'!$E5,J$4-1))*'Stage Schedule &amp; Costs (2)'!$H5</f>
        <v>833333.333333333</v>
      </c>
      <c r="K5" s="85" t="n">
        <f aca="false">MAX(0,MIN('Stage Schedule &amp; Costs (2)'!$F5,K$4)-MAX('Stage Schedule &amp; Costs (2)'!$E5,K$4-1))*'Stage Schedule &amp; Costs (2)'!$H5</f>
        <v>833333.333333333</v>
      </c>
      <c r="L5" s="85" t="n">
        <f aca="false">MAX(0,MIN('Stage Schedule &amp; Costs (2)'!$F5,L$4)-MAX('Stage Schedule &amp; Costs (2)'!$E5,L$4-1))*'Stage Schedule &amp; Costs (2)'!$H5</f>
        <v>833333.333333333</v>
      </c>
      <c r="M5" s="85" t="n">
        <f aca="false">MAX(0,MIN('Stage Schedule &amp; Costs (2)'!$F5,M$4)-MAX('Stage Schedule &amp; Costs (2)'!$E5,M$4-1))*'Stage Schedule &amp; Costs (2)'!$H5</f>
        <v>0</v>
      </c>
      <c r="N5" s="85" t="n">
        <f aca="false">MAX(0,MIN('Stage Schedule &amp; Costs (2)'!$F5,N$4)-MAX('Stage Schedule &amp; Costs (2)'!$E5,N$4-1))*'Stage Schedule &amp; Costs (2)'!$H5</f>
        <v>0</v>
      </c>
      <c r="O5" s="85" t="n">
        <f aca="false">MAX(0,MIN('Stage Schedule &amp; Costs (2)'!$F5,O$4)-MAX('Stage Schedule &amp; Costs (2)'!$E5,O$4-1))*'Stage Schedule &amp; Costs (2)'!$H5</f>
        <v>0</v>
      </c>
      <c r="P5" s="85" t="n">
        <f aca="false">MAX(0,MIN('Stage Schedule &amp; Costs (2)'!$F5,P$4)-MAX('Stage Schedule &amp; Costs (2)'!$E5,P$4-1))*'Stage Schedule &amp; Costs (2)'!$H5</f>
        <v>0</v>
      </c>
      <c r="Q5" s="85" t="n">
        <f aca="false">MAX(0,MIN('Stage Schedule &amp; Costs (2)'!$F5,Q$4)-MAX('Stage Schedule &amp; Costs (2)'!$E5,Q$4-1))*'Stage Schedule &amp; Costs (2)'!$H5</f>
        <v>0</v>
      </c>
      <c r="R5" s="85" t="n">
        <f aca="false">MAX(0,MIN('Stage Schedule &amp; Costs (2)'!$F5,R$4)-MAX('Stage Schedule &amp; Costs (2)'!$E5,R$4-1))*'Stage Schedule &amp; Costs (2)'!$H5</f>
        <v>0</v>
      </c>
      <c r="S5" s="85" t="n">
        <f aca="false">MAX(0,MIN('Stage Schedule &amp; Costs (2)'!$F5,S$4)-MAX('Stage Schedule &amp; Costs (2)'!$E5,S$4-1))*'Stage Schedule &amp; Costs (2)'!$H5</f>
        <v>0</v>
      </c>
      <c r="T5" s="85" t="n">
        <f aca="false">MAX(0,MIN('Stage Schedule &amp; Costs (2)'!$F5,T$4)-MAX('Stage Schedule &amp; Costs (2)'!$E5,T$4-1))*'Stage Schedule &amp; Costs (2)'!$H5</f>
        <v>0</v>
      </c>
      <c r="U5" s="85" t="n">
        <f aca="false">MAX(0,MIN('Stage Schedule &amp; Costs (2)'!$F5,U$4)-MAX('Stage Schedule &amp; Costs (2)'!$E5,U$4-1))*'Stage Schedule &amp; Costs (2)'!$H5</f>
        <v>0</v>
      </c>
      <c r="V5" s="85" t="n">
        <f aca="false">MAX(0,MIN('Stage Schedule &amp; Costs (2)'!$F5,V$4)-MAX('Stage Schedule &amp; Costs (2)'!$E5,V$4-1))*'Stage Schedule &amp; Costs (2)'!$H5</f>
        <v>0</v>
      </c>
      <c r="W5" s="85" t="n">
        <f aca="false">MAX(0,MIN('Stage Schedule &amp; Costs (2)'!$F5,W$4)-MAX('Stage Schedule &amp; Costs (2)'!$E5,W$4-1))*'Stage Schedule &amp; Costs (2)'!$H5</f>
        <v>0</v>
      </c>
      <c r="X5" s="85" t="n">
        <f aca="false">MAX(0,MIN('Stage Schedule &amp; Costs (2)'!$F5,X$4)-MAX('Stage Schedule &amp; Costs (2)'!$E5,X$4-1))*'Stage Schedule &amp; Costs (2)'!$H5</f>
        <v>0</v>
      </c>
      <c r="Y5" s="85" t="n">
        <f aca="false">MAX(0,MIN('Stage Schedule &amp; Costs (2)'!$F5,Y$4)-MAX('Stage Schedule &amp; Costs (2)'!$E5,Y$4-1))*'Stage Schedule &amp; Costs (2)'!$H5</f>
        <v>0</v>
      </c>
      <c r="Z5" s="85" t="n">
        <f aca="false">MAX(0,MIN('Stage Schedule &amp; Costs (2)'!$F5,Z$4)-MAX('Stage Schedule &amp; Costs (2)'!$E5,Z$4-1))*'Stage Schedule &amp; Costs (2)'!$H5</f>
        <v>0</v>
      </c>
      <c r="AA5" s="85" t="n">
        <f aca="false">MAX(0,MIN('Stage Schedule &amp; Costs (2)'!$F5,AA$4)-MAX('Stage Schedule &amp; Costs (2)'!$E5,AA$4-1))*'Stage Schedule &amp; Costs (2)'!$H5</f>
        <v>0</v>
      </c>
      <c r="AB5" s="85" t="n">
        <f aca="false">MAX(0,MIN('Stage Schedule &amp; Costs (2)'!$F5,AB$4)-MAX('Stage Schedule &amp; Costs (2)'!$E5,AB$4-1))*'Stage Schedule &amp; Costs (2)'!$H5</f>
        <v>0</v>
      </c>
      <c r="AC5" s="85" t="n">
        <f aca="false">MAX(0,MIN('Stage Schedule &amp; Costs (2)'!$F5,AC$4)-MAX('Stage Schedule &amp; Costs (2)'!$E5,AC$4-1))*'Stage Schedule &amp; Costs (2)'!$H5</f>
        <v>0</v>
      </c>
      <c r="AD5" s="85" t="n">
        <f aca="false">MAX(0,MIN('Stage Schedule &amp; Costs (2)'!$F5,AD$4)-MAX('Stage Schedule &amp; Costs (2)'!$E5,AD$4-1))*'Stage Schedule &amp; Costs (2)'!$H5</f>
        <v>0</v>
      </c>
      <c r="AE5" s="85" t="n">
        <f aca="false">MAX(0,MIN('Stage Schedule &amp; Costs (2)'!$F5,AE$4)-MAX('Stage Schedule &amp; Costs (2)'!$E5,AE$4-1))*'Stage Schedule &amp; Costs (2)'!$H5</f>
        <v>0</v>
      </c>
      <c r="AF5" s="85" t="n">
        <f aca="false">MAX(0,MIN('Stage Schedule &amp; Costs (2)'!$F5,AF$4)-MAX('Stage Schedule &amp; Costs (2)'!$E5,AF$4-1))*'Stage Schedule &amp; Costs (2)'!$H5</f>
        <v>0</v>
      </c>
      <c r="AG5" s="85" t="n">
        <f aca="false">MAX(0,MIN('Stage Schedule &amp; Costs (2)'!$F5,AG$4)-MAX('Stage Schedule &amp; Costs (2)'!$E5,AG$4-1))*'Stage Schedule &amp; Costs (2)'!$H5</f>
        <v>0</v>
      </c>
      <c r="AH5" s="85" t="n">
        <f aca="false">MAX(0,MIN('Stage Schedule &amp; Costs (2)'!$F5,AH$4)-MAX('Stage Schedule &amp; Costs (2)'!$E5,AH$4-1))*'Stage Schedule &amp; Costs (2)'!$H5</f>
        <v>0</v>
      </c>
      <c r="AI5" s="85" t="n">
        <f aca="false">MAX(0,MIN('Stage Schedule &amp; Costs (2)'!$F5,AI$4)-MAX('Stage Schedule &amp; Costs (2)'!$E5,AI$4-1))*'Stage Schedule &amp; Costs (2)'!$H5</f>
        <v>0</v>
      </c>
      <c r="AJ5" s="85" t="n">
        <f aca="false">MAX(0,MIN('Stage Schedule &amp; Costs (2)'!$F5,AJ$4)-MAX('Stage Schedule &amp; Costs (2)'!$E5,AJ$4-1))*'Stage Schedule &amp; Costs (2)'!$H5</f>
        <v>0</v>
      </c>
      <c r="AK5" s="85" t="n">
        <f aca="false">MAX(0,MIN('Stage Schedule &amp; Costs (2)'!$F5,AK$4)-MAX('Stage Schedule &amp; Costs (2)'!$E5,AK$4-1))*'Stage Schedule &amp; Costs (2)'!$H5</f>
        <v>0</v>
      </c>
      <c r="AL5" s="85" t="n">
        <f aca="false">MAX(0,MIN('Stage Schedule &amp; Costs (2)'!$F5,AL$4)-MAX('Stage Schedule &amp; Costs (2)'!$E5,AL$4-1))*'Stage Schedule &amp; Costs (2)'!$H5</f>
        <v>0</v>
      </c>
      <c r="AM5" s="85" t="n">
        <f aca="false">MAX(0,MIN('Stage Schedule &amp; Costs (2)'!$F5,AM$4)-MAX('Stage Schedule &amp; Costs (2)'!$E5,AM$4-1))*'Stage Schedule &amp; Costs (2)'!$H5</f>
        <v>0</v>
      </c>
      <c r="AN5" s="85" t="n">
        <f aca="false">MAX(0,MIN('Stage Schedule &amp; Costs (2)'!$F5,AN$4)-MAX('Stage Schedule &amp; Costs (2)'!$E5,AN$4-1))*'Stage Schedule &amp; Costs (2)'!$H5</f>
        <v>0</v>
      </c>
      <c r="AO5" s="85" t="n">
        <f aca="false">MAX(0,MIN('Stage Schedule &amp; Costs (2)'!$F5,AO$4)-MAX('Stage Schedule &amp; Costs (2)'!$E5,AO$4-1))*'Stage Schedule &amp; Costs (2)'!$H5</f>
        <v>0</v>
      </c>
      <c r="AP5" s="85" t="n">
        <f aca="false">MAX(0,MIN('Stage Schedule &amp; Costs (2)'!$F5,AP$4)-MAX('Stage Schedule &amp; Costs (2)'!$E5,AP$4-1))*'Stage Schedule &amp; Costs (2)'!$H5</f>
        <v>0</v>
      </c>
      <c r="AQ5" s="85" t="n">
        <f aca="false">MAX(0,MIN('Stage Schedule &amp; Costs (2)'!$F5,AQ$4)-MAX('Stage Schedule &amp; Costs (2)'!$E5,AQ$4-1))*'Stage Schedule &amp; Costs (2)'!$H5</f>
        <v>0</v>
      </c>
      <c r="AR5" s="85" t="n">
        <f aca="false">MAX(0,MIN('Stage Schedule &amp; Costs (2)'!$F5,AR$4)-MAX('Stage Schedule &amp; Costs (2)'!$E5,AR$4-1))*'Stage Schedule &amp; Costs (2)'!$H5</f>
        <v>0</v>
      </c>
      <c r="AS5" s="85" t="n">
        <f aca="false">MAX(0,MIN('Stage Schedule &amp; Costs (2)'!$F5,AS$4)-MAX('Stage Schedule &amp; Costs (2)'!$E5,AS$4-1))*'Stage Schedule &amp; Costs (2)'!$H5</f>
        <v>0</v>
      </c>
      <c r="AT5" s="85" t="n">
        <f aca="false">MAX(0,MIN('Stage Schedule &amp; Costs (2)'!$F5,AT$4)-MAX('Stage Schedule &amp; Costs (2)'!$E5,AT$4-1))*'Stage Schedule &amp; Costs (2)'!$H5</f>
        <v>0</v>
      </c>
      <c r="AU5" s="85" t="n">
        <f aca="false">MAX(0,MIN('Stage Schedule &amp; Costs (2)'!$F5,AU$4)-MAX('Stage Schedule &amp; Costs (2)'!$E5,AU$4-1))*'Stage Schedule &amp; Costs (2)'!$H5</f>
        <v>0</v>
      </c>
      <c r="AV5" s="85" t="n">
        <f aca="false">MAX(0,MIN('Stage Schedule &amp; Costs (2)'!$F5,AV$4)-MAX('Stage Schedule &amp; Costs (2)'!$E5,AV$4-1))*'Stage Schedule &amp; Costs (2)'!$H5</f>
        <v>0</v>
      </c>
      <c r="AW5" s="85" t="n">
        <f aca="false">MAX(0,MIN('Stage Schedule &amp; Costs (2)'!$F5,AW$4)-MAX('Stage Schedule &amp; Costs (2)'!$E5,AW$4-1))*'Stage Schedule &amp; Costs (2)'!$H5</f>
        <v>0</v>
      </c>
      <c r="AX5" s="85" t="n">
        <f aca="false">MAX(0,MIN('Stage Schedule &amp; Costs (2)'!$F5,AX$4)-MAX('Stage Schedule &amp; Costs (2)'!$E5,AX$4-1))*'Stage Schedule &amp; Costs (2)'!$H5</f>
        <v>0</v>
      </c>
      <c r="AY5" s="85" t="n">
        <f aca="false">MAX(0,MIN('Stage Schedule &amp; Costs (2)'!$F5,AY$4)-MAX('Stage Schedule &amp; Costs (2)'!$E5,AY$4-1))*'Stage Schedule &amp; Costs (2)'!$H5</f>
        <v>0</v>
      </c>
      <c r="AZ5" s="85" t="n">
        <f aca="false">MAX(0,MIN('Stage Schedule &amp; Costs (2)'!$F5,AZ$4)-MAX('Stage Schedule &amp; Costs (2)'!$E5,AZ$4-1))*'Stage Schedule &amp; Costs (2)'!$H5</f>
        <v>0</v>
      </c>
      <c r="BA5" s="85" t="n">
        <f aca="false">MAX(0,MIN('Stage Schedule &amp; Costs (2)'!$F5,BA$4)-MAX('Stage Schedule &amp; Costs (2)'!$E5,BA$4-1))*'Stage Schedule &amp; Costs (2)'!$H5</f>
        <v>0</v>
      </c>
      <c r="BB5" s="85" t="n">
        <f aca="false">MAX(0,MIN('Stage Schedule &amp; Costs (2)'!$F5,BB$4)-MAX('Stage Schedule &amp; Costs (2)'!$E5,BB$4-1))*'Stage Schedule &amp; Costs (2)'!$H5</f>
        <v>0</v>
      </c>
      <c r="BC5" s="85" t="n">
        <f aca="false">MAX(0,MIN('Stage Schedule &amp; Costs (2)'!$F5,BC$4)-MAX('Stage Schedule &amp; Costs (2)'!$E5,BC$4-1))*'Stage Schedule &amp; Costs (2)'!$H5</f>
        <v>0</v>
      </c>
      <c r="BD5" s="85" t="n">
        <f aca="false">MAX(0,MIN('Stage Schedule &amp; Costs (2)'!$F5,BD$4)-MAX('Stage Schedule &amp; Costs (2)'!$E5,BD$4-1))*'Stage Schedule &amp; Costs (2)'!$H5</f>
        <v>0</v>
      </c>
      <c r="BE5" s="85" t="n">
        <f aca="false">MAX(0,MIN('Stage Schedule &amp; Costs (2)'!$F5,BE$4)-MAX('Stage Schedule &amp; Costs (2)'!$E5,BE$4-1))*'Stage Schedule &amp; Costs (2)'!$H5</f>
        <v>0</v>
      </c>
      <c r="BF5" s="85" t="n">
        <f aca="false">MAX(0,MIN('Stage Schedule &amp; Costs (2)'!$F5,BF$4)-MAX('Stage Schedule &amp; Costs (2)'!$E5,BF$4-1))*'Stage Schedule &amp; Costs (2)'!$H5</f>
        <v>0</v>
      </c>
      <c r="BG5" s="85" t="n">
        <f aca="false">MAX(0,MIN('Stage Schedule &amp; Costs (2)'!$F5,BG$4)-MAX('Stage Schedule &amp; Costs (2)'!$E5,BG$4-1))*'Stage Schedule &amp; Costs (2)'!$H5</f>
        <v>0</v>
      </c>
      <c r="BH5" s="85" t="n">
        <f aca="false">MAX(0,MIN('Stage Schedule &amp; Costs (2)'!$F5,BH$4)-MAX('Stage Schedule &amp; Costs (2)'!$E5,BH$4-1))*'Stage Schedule &amp; Costs (2)'!$H5</f>
        <v>0</v>
      </c>
      <c r="BI5" s="85" t="n">
        <f aca="false">MAX(0,MIN('Stage Schedule &amp; Costs (2)'!$F5,BI$4)-MAX('Stage Schedule &amp; Costs (2)'!$E5,BI$4-1))*'Stage Schedule &amp; Costs (2)'!$H5</f>
        <v>0</v>
      </c>
      <c r="BJ5" s="85" t="n">
        <f aca="false">MAX(0,MIN('Stage Schedule &amp; Costs (2)'!$F5,BJ$4)-MAX('Stage Schedule &amp; Costs (2)'!$E5,BJ$4-1))*'Stage Schedule &amp; Costs (2)'!$H5</f>
        <v>0</v>
      </c>
      <c r="BK5" s="85" t="n">
        <f aca="false">MAX(0,MIN('Stage Schedule &amp; Costs (2)'!$F5,BK$4)-MAX('Stage Schedule &amp; Costs (2)'!$E5,BK$4-1))*'Stage Schedule &amp; Costs (2)'!$H5</f>
        <v>0</v>
      </c>
    </row>
    <row r="6" customFormat="false" ht="15" hidden="false" customHeight="true" outlineLevel="0" collapsed="false">
      <c r="A6" s="86" t="n">
        <f aca="false">'Stage Schedule &amp; Costs (2)'!A6</f>
        <v>2</v>
      </c>
      <c r="B6" s="87" t="str">
        <f aca="false">'Stage Schedule &amp; Costs (2)'!B6&amp;" - "&amp;'Stage Schedule &amp; Costs (2)'!C6</f>
        <v>Replacement - Replacement (Backfill)</v>
      </c>
      <c r="C6" s="88" t="n">
        <f aca="false">SUM(D6:BE6)</f>
        <v>3300000</v>
      </c>
      <c r="D6" s="88" t="n">
        <f aca="false">MAX(0,MIN('Stage Schedule &amp; Costs (2)'!$F6,D$4)-MAX('Stage Schedule &amp; Costs (2)'!$E6,D$4-1))*'Stage Schedule &amp; Costs (2)'!$H6</f>
        <v>0</v>
      </c>
      <c r="E6" s="88" t="n">
        <f aca="false">MAX(0,MIN('Stage Schedule &amp; Costs (2)'!$F6,E$4)-MAX('Stage Schedule &amp; Costs (2)'!$E6,E$4-1))*'Stage Schedule &amp; Costs (2)'!$H6</f>
        <v>0</v>
      </c>
      <c r="F6" s="88" t="n">
        <f aca="false">MAX(0,MIN('Stage Schedule &amp; Costs (2)'!$F6,F$4)-MAX('Stage Schedule &amp; Costs (2)'!$E6,F$4-1))*'Stage Schedule &amp; Costs (2)'!$H6</f>
        <v>0</v>
      </c>
      <c r="G6" s="88" t="n">
        <f aca="false">MAX(0,MIN('Stage Schedule &amp; Costs (2)'!$F6,G$4)-MAX('Stage Schedule &amp; Costs (2)'!$E6,G$4-1))*'Stage Schedule &amp; Costs (2)'!$H6</f>
        <v>0</v>
      </c>
      <c r="H6" s="88" t="n">
        <f aca="false">MAX(0,MIN('Stage Schedule &amp; Costs (2)'!$F6,H$4)-MAX('Stage Schedule &amp; Costs (2)'!$E6,H$4-1))*'Stage Schedule &amp; Costs (2)'!$H6</f>
        <v>0</v>
      </c>
      <c r="I6" s="88" t="n">
        <f aca="false">MAX(0,MIN('Stage Schedule &amp; Costs (2)'!$F6,I$4)-MAX('Stage Schedule &amp; Costs (2)'!$E6,I$4-1))*'Stage Schedule &amp; Costs (2)'!$H6</f>
        <v>0</v>
      </c>
      <c r="J6" s="88" t="n">
        <f aca="false">MAX(0,MIN('Stage Schedule &amp; Costs (2)'!$F6,J$4)-MAX('Stage Schedule &amp; Costs (2)'!$E6,J$4-1))*'Stage Schedule &amp; Costs (2)'!$H6</f>
        <v>0</v>
      </c>
      <c r="K6" s="88" t="n">
        <f aca="false">MAX(0,MIN('Stage Schedule &amp; Costs (2)'!$F6,K$4)-MAX('Stage Schedule &amp; Costs (2)'!$E6,K$4-1))*'Stage Schedule &amp; Costs (2)'!$H6</f>
        <v>0</v>
      </c>
      <c r="L6" s="88" t="n">
        <f aca="false">MAX(0,MIN('Stage Schedule &amp; Costs (2)'!$F6,L$4)-MAX('Stage Schedule &amp; Costs (2)'!$E6,L$4-1))*'Stage Schedule &amp; Costs (2)'!$H6</f>
        <v>0</v>
      </c>
      <c r="M6" s="88" t="n">
        <f aca="false">MAX(0,MIN('Stage Schedule &amp; Costs (2)'!$F6,M$4)-MAX('Stage Schedule &amp; Costs (2)'!$E6,M$4-1))*'Stage Schedule &amp; Costs (2)'!$H6</f>
        <v>1100000</v>
      </c>
      <c r="N6" s="88" t="n">
        <f aca="false">MAX(0,MIN('Stage Schedule &amp; Costs (2)'!$F6,N$4)-MAX('Stage Schedule &amp; Costs (2)'!$E6,N$4-1))*'Stage Schedule &amp; Costs (2)'!$H6</f>
        <v>1100000</v>
      </c>
      <c r="O6" s="88" t="n">
        <f aca="false">MAX(0,MIN('Stage Schedule &amp; Costs (2)'!$F6,O$4)-MAX('Stage Schedule &amp; Costs (2)'!$E6,O$4-1))*'Stage Schedule &amp; Costs (2)'!$H6</f>
        <v>1100000</v>
      </c>
      <c r="P6" s="88" t="n">
        <f aca="false">MAX(0,MIN('Stage Schedule &amp; Costs (2)'!$F6,P$4)-MAX('Stage Schedule &amp; Costs (2)'!$E6,P$4-1))*'Stage Schedule &amp; Costs (2)'!$H6</f>
        <v>0</v>
      </c>
      <c r="Q6" s="88" t="n">
        <f aca="false">MAX(0,MIN('Stage Schedule &amp; Costs (2)'!$F6,Q$4)-MAX('Stage Schedule &amp; Costs (2)'!$E6,Q$4-1))*'Stage Schedule &amp; Costs (2)'!$H6</f>
        <v>0</v>
      </c>
      <c r="R6" s="88" t="n">
        <f aca="false">MAX(0,MIN('Stage Schedule &amp; Costs (2)'!$F6,R$4)-MAX('Stage Schedule &amp; Costs (2)'!$E6,R$4-1))*'Stage Schedule &amp; Costs (2)'!$H6</f>
        <v>0</v>
      </c>
      <c r="S6" s="88" t="n">
        <f aca="false">MAX(0,MIN('Stage Schedule &amp; Costs (2)'!$F6,S$4)-MAX('Stage Schedule &amp; Costs (2)'!$E6,S$4-1))*'Stage Schedule &amp; Costs (2)'!$H6</f>
        <v>0</v>
      </c>
      <c r="T6" s="88" t="n">
        <f aca="false">MAX(0,MIN('Stage Schedule &amp; Costs (2)'!$F6,T$4)-MAX('Stage Schedule &amp; Costs (2)'!$E6,T$4-1))*'Stage Schedule &amp; Costs (2)'!$H6</f>
        <v>0</v>
      </c>
      <c r="U6" s="88" t="n">
        <f aca="false">MAX(0,MIN('Stage Schedule &amp; Costs (2)'!$F6,U$4)-MAX('Stage Schedule &amp; Costs (2)'!$E6,U$4-1))*'Stage Schedule &amp; Costs (2)'!$H6</f>
        <v>0</v>
      </c>
      <c r="V6" s="88" t="n">
        <f aca="false">MAX(0,MIN('Stage Schedule &amp; Costs (2)'!$F6,V$4)-MAX('Stage Schedule &amp; Costs (2)'!$E6,V$4-1))*'Stage Schedule &amp; Costs (2)'!$H6</f>
        <v>0</v>
      </c>
      <c r="W6" s="88" t="n">
        <f aca="false">MAX(0,MIN('Stage Schedule &amp; Costs (2)'!$F6,W$4)-MAX('Stage Schedule &amp; Costs (2)'!$E6,W$4-1))*'Stage Schedule &amp; Costs (2)'!$H6</f>
        <v>0</v>
      </c>
      <c r="X6" s="88" t="n">
        <f aca="false">MAX(0,MIN('Stage Schedule &amp; Costs (2)'!$F6,X$4)-MAX('Stage Schedule &amp; Costs (2)'!$E6,X$4-1))*'Stage Schedule &amp; Costs (2)'!$H6</f>
        <v>0</v>
      </c>
      <c r="Y6" s="88" t="n">
        <f aca="false">MAX(0,MIN('Stage Schedule &amp; Costs (2)'!$F6,Y$4)-MAX('Stage Schedule &amp; Costs (2)'!$E6,Y$4-1))*'Stage Schedule &amp; Costs (2)'!$H6</f>
        <v>0</v>
      </c>
      <c r="Z6" s="88" t="n">
        <f aca="false">MAX(0,MIN('Stage Schedule &amp; Costs (2)'!$F6,Z$4)-MAX('Stage Schedule &amp; Costs (2)'!$E6,Z$4-1))*'Stage Schedule &amp; Costs (2)'!$H6</f>
        <v>0</v>
      </c>
      <c r="AA6" s="88" t="n">
        <f aca="false">MAX(0,MIN('Stage Schedule &amp; Costs (2)'!$F6,AA$4)-MAX('Stage Schedule &amp; Costs (2)'!$E6,AA$4-1))*'Stage Schedule &amp; Costs (2)'!$H6</f>
        <v>0</v>
      </c>
      <c r="AB6" s="88" t="n">
        <f aca="false">MAX(0,MIN('Stage Schedule &amp; Costs (2)'!$F6,AB$4)-MAX('Stage Schedule &amp; Costs (2)'!$E6,AB$4-1))*'Stage Schedule &amp; Costs (2)'!$H6</f>
        <v>0</v>
      </c>
      <c r="AC6" s="88" t="n">
        <f aca="false">MAX(0,MIN('Stage Schedule &amp; Costs (2)'!$F6,AC$4)-MAX('Stage Schedule &amp; Costs (2)'!$E6,AC$4-1))*'Stage Schedule &amp; Costs (2)'!$H6</f>
        <v>0</v>
      </c>
      <c r="AD6" s="88" t="n">
        <f aca="false">MAX(0,MIN('Stage Schedule &amp; Costs (2)'!$F6,AD$4)-MAX('Stage Schedule &amp; Costs (2)'!$E6,AD$4-1))*'Stage Schedule &amp; Costs (2)'!$H6</f>
        <v>0</v>
      </c>
      <c r="AE6" s="88" t="n">
        <f aca="false">MAX(0,MIN('Stage Schedule &amp; Costs (2)'!$F6,AE$4)-MAX('Stage Schedule &amp; Costs (2)'!$E6,AE$4-1))*'Stage Schedule &amp; Costs (2)'!$H6</f>
        <v>0</v>
      </c>
      <c r="AF6" s="88" t="n">
        <f aca="false">MAX(0,MIN('Stage Schedule &amp; Costs (2)'!$F6,AF$4)-MAX('Stage Schedule &amp; Costs (2)'!$E6,AF$4-1))*'Stage Schedule &amp; Costs (2)'!$H6</f>
        <v>0</v>
      </c>
      <c r="AG6" s="88" t="n">
        <f aca="false">MAX(0,MIN('Stage Schedule &amp; Costs (2)'!$F6,AG$4)-MAX('Stage Schedule &amp; Costs (2)'!$E6,AG$4-1))*'Stage Schedule &amp; Costs (2)'!$H6</f>
        <v>0</v>
      </c>
      <c r="AH6" s="88" t="n">
        <f aca="false">MAX(0,MIN('Stage Schedule &amp; Costs (2)'!$F6,AH$4)-MAX('Stage Schedule &amp; Costs (2)'!$E6,AH$4-1))*'Stage Schedule &amp; Costs (2)'!$H6</f>
        <v>0</v>
      </c>
      <c r="AI6" s="88" t="n">
        <f aca="false">MAX(0,MIN('Stage Schedule &amp; Costs (2)'!$F6,AI$4)-MAX('Stage Schedule &amp; Costs (2)'!$E6,AI$4-1))*'Stage Schedule &amp; Costs (2)'!$H6</f>
        <v>0</v>
      </c>
      <c r="AJ6" s="88" t="n">
        <f aca="false">MAX(0,MIN('Stage Schedule &amp; Costs (2)'!$F6,AJ$4)-MAX('Stage Schedule &amp; Costs (2)'!$E6,AJ$4-1))*'Stage Schedule &amp; Costs (2)'!$H6</f>
        <v>0</v>
      </c>
      <c r="AK6" s="88" t="n">
        <f aca="false">MAX(0,MIN('Stage Schedule &amp; Costs (2)'!$F6,AK$4)-MAX('Stage Schedule &amp; Costs (2)'!$E6,AK$4-1))*'Stage Schedule &amp; Costs (2)'!$H6</f>
        <v>0</v>
      </c>
      <c r="AL6" s="88" t="n">
        <f aca="false">MAX(0,MIN('Stage Schedule &amp; Costs (2)'!$F6,AL$4)-MAX('Stage Schedule &amp; Costs (2)'!$E6,AL$4-1))*'Stage Schedule &amp; Costs (2)'!$H6</f>
        <v>0</v>
      </c>
      <c r="AM6" s="88" t="n">
        <f aca="false">MAX(0,MIN('Stage Schedule &amp; Costs (2)'!$F6,AM$4)-MAX('Stage Schedule &amp; Costs (2)'!$E6,AM$4-1))*'Stage Schedule &amp; Costs (2)'!$H6</f>
        <v>0</v>
      </c>
      <c r="AN6" s="88" t="n">
        <f aca="false">MAX(0,MIN('Stage Schedule &amp; Costs (2)'!$F6,AN$4)-MAX('Stage Schedule &amp; Costs (2)'!$E6,AN$4-1))*'Stage Schedule &amp; Costs (2)'!$H6</f>
        <v>0</v>
      </c>
      <c r="AO6" s="88" t="n">
        <f aca="false">MAX(0,MIN('Stage Schedule &amp; Costs (2)'!$F6,AO$4)-MAX('Stage Schedule &amp; Costs (2)'!$E6,AO$4-1))*'Stage Schedule &amp; Costs (2)'!$H6</f>
        <v>0</v>
      </c>
      <c r="AP6" s="88" t="n">
        <f aca="false">MAX(0,MIN('Stage Schedule &amp; Costs (2)'!$F6,AP$4)-MAX('Stage Schedule &amp; Costs (2)'!$E6,AP$4-1))*'Stage Schedule &amp; Costs (2)'!$H6</f>
        <v>0</v>
      </c>
      <c r="AQ6" s="88" t="n">
        <f aca="false">MAX(0,MIN('Stage Schedule &amp; Costs (2)'!$F6,AQ$4)-MAX('Stage Schedule &amp; Costs (2)'!$E6,AQ$4-1))*'Stage Schedule &amp; Costs (2)'!$H6</f>
        <v>0</v>
      </c>
      <c r="AR6" s="88" t="n">
        <f aca="false">MAX(0,MIN('Stage Schedule &amp; Costs (2)'!$F6,AR$4)-MAX('Stage Schedule &amp; Costs (2)'!$E6,AR$4-1))*'Stage Schedule &amp; Costs (2)'!$H6</f>
        <v>0</v>
      </c>
      <c r="AS6" s="88" t="n">
        <f aca="false">MAX(0,MIN('Stage Schedule &amp; Costs (2)'!$F6,AS$4)-MAX('Stage Schedule &amp; Costs (2)'!$E6,AS$4-1))*'Stage Schedule &amp; Costs (2)'!$H6</f>
        <v>0</v>
      </c>
      <c r="AT6" s="88" t="n">
        <f aca="false">MAX(0,MIN('Stage Schedule &amp; Costs (2)'!$F6,AT$4)-MAX('Stage Schedule &amp; Costs (2)'!$E6,AT$4-1))*'Stage Schedule &amp; Costs (2)'!$H6</f>
        <v>0</v>
      </c>
      <c r="AU6" s="88" t="n">
        <f aca="false">MAX(0,MIN('Stage Schedule &amp; Costs (2)'!$F6,AU$4)-MAX('Stage Schedule &amp; Costs (2)'!$E6,AU$4-1))*'Stage Schedule &amp; Costs (2)'!$H6</f>
        <v>0</v>
      </c>
      <c r="AV6" s="88" t="n">
        <f aca="false">MAX(0,MIN('Stage Schedule &amp; Costs (2)'!$F6,AV$4)-MAX('Stage Schedule &amp; Costs (2)'!$E6,AV$4-1))*'Stage Schedule &amp; Costs (2)'!$H6</f>
        <v>0</v>
      </c>
      <c r="AW6" s="88" t="n">
        <f aca="false">MAX(0,MIN('Stage Schedule &amp; Costs (2)'!$F6,AW$4)-MAX('Stage Schedule &amp; Costs (2)'!$E6,AW$4-1))*'Stage Schedule &amp; Costs (2)'!$H6</f>
        <v>0</v>
      </c>
      <c r="AX6" s="88" t="n">
        <f aca="false">MAX(0,MIN('Stage Schedule &amp; Costs (2)'!$F6,AX$4)-MAX('Stage Schedule &amp; Costs (2)'!$E6,AX$4-1))*'Stage Schedule &amp; Costs (2)'!$H6</f>
        <v>0</v>
      </c>
      <c r="AY6" s="88" t="n">
        <f aca="false">MAX(0,MIN('Stage Schedule &amp; Costs (2)'!$F6,AY$4)-MAX('Stage Schedule &amp; Costs (2)'!$E6,AY$4-1))*'Stage Schedule &amp; Costs (2)'!$H6</f>
        <v>0</v>
      </c>
      <c r="AZ6" s="88" t="n">
        <f aca="false">MAX(0,MIN('Stage Schedule &amp; Costs (2)'!$F6,AZ$4)-MAX('Stage Schedule &amp; Costs (2)'!$E6,AZ$4-1))*'Stage Schedule &amp; Costs (2)'!$H6</f>
        <v>0</v>
      </c>
      <c r="BA6" s="88" t="n">
        <f aca="false">MAX(0,MIN('Stage Schedule &amp; Costs (2)'!$F6,BA$4)-MAX('Stage Schedule &amp; Costs (2)'!$E6,BA$4-1))*'Stage Schedule &amp; Costs (2)'!$H6</f>
        <v>0</v>
      </c>
      <c r="BB6" s="88" t="n">
        <f aca="false">MAX(0,MIN('Stage Schedule &amp; Costs (2)'!$F6,BB$4)-MAX('Stage Schedule &amp; Costs (2)'!$E6,BB$4-1))*'Stage Schedule &amp; Costs (2)'!$H6</f>
        <v>0</v>
      </c>
      <c r="BC6" s="88" t="n">
        <f aca="false">MAX(0,MIN('Stage Schedule &amp; Costs (2)'!$F6,BC$4)-MAX('Stage Schedule &amp; Costs (2)'!$E6,BC$4-1))*'Stage Schedule &amp; Costs (2)'!$H6</f>
        <v>0</v>
      </c>
      <c r="BD6" s="88" t="n">
        <f aca="false">MAX(0,MIN('Stage Schedule &amp; Costs (2)'!$F6,BD$4)-MAX('Stage Schedule &amp; Costs (2)'!$E6,BD$4-1))*'Stage Schedule &amp; Costs (2)'!$H6</f>
        <v>0</v>
      </c>
      <c r="BE6" s="88" t="n">
        <f aca="false">MAX(0,MIN('Stage Schedule &amp; Costs (2)'!$F6,BE$4)-MAX('Stage Schedule &amp; Costs (2)'!$E6,BE$4-1))*'Stage Schedule &amp; Costs (2)'!$H6</f>
        <v>0</v>
      </c>
      <c r="BF6" s="88" t="n">
        <f aca="false">MAX(0,MIN('Stage Schedule &amp; Costs (2)'!$F6,BF$4)-MAX('Stage Schedule &amp; Costs (2)'!$E6,BF$4-1))*'Stage Schedule &amp; Costs (2)'!$H6</f>
        <v>0</v>
      </c>
      <c r="BG6" s="88" t="n">
        <f aca="false">MAX(0,MIN('Stage Schedule &amp; Costs (2)'!$F6,BG$4)-MAX('Stage Schedule &amp; Costs (2)'!$E6,BG$4-1))*'Stage Schedule &amp; Costs (2)'!$H6</f>
        <v>0</v>
      </c>
      <c r="BH6" s="88" t="n">
        <f aca="false">MAX(0,MIN('Stage Schedule &amp; Costs (2)'!$F6,BH$4)-MAX('Stage Schedule &amp; Costs (2)'!$E6,BH$4-1))*'Stage Schedule &amp; Costs (2)'!$H6</f>
        <v>0</v>
      </c>
      <c r="BI6" s="88" t="n">
        <f aca="false">MAX(0,MIN('Stage Schedule &amp; Costs (2)'!$F6,BI$4)-MAX('Stage Schedule &amp; Costs (2)'!$E6,BI$4-1))*'Stage Schedule &amp; Costs (2)'!$H6</f>
        <v>0</v>
      </c>
      <c r="BJ6" s="88" t="n">
        <f aca="false">MAX(0,MIN('Stage Schedule &amp; Costs (2)'!$F6,BJ$4)-MAX('Stage Schedule &amp; Costs (2)'!$E6,BJ$4-1))*'Stage Schedule &amp; Costs (2)'!$H6</f>
        <v>0</v>
      </c>
      <c r="BK6" s="88" t="n">
        <f aca="false">MAX(0,MIN('Stage Schedule &amp; Costs (2)'!$F6,BK$4)-MAX('Stage Schedule &amp; Costs (2)'!$E6,BK$4-1))*'Stage Schedule &amp; Costs (2)'!$H6</f>
        <v>0</v>
      </c>
    </row>
    <row r="7" customFormat="false" ht="15" hidden="false" customHeight="true" outlineLevel="0" collapsed="false">
      <c r="A7" s="74" t="n">
        <f aca="false">'Stage Schedule &amp; Costs (2)'!A7</f>
        <v>3</v>
      </c>
      <c r="B7" s="84" t="str">
        <f aca="false">'Stage Schedule &amp; Costs (2)'!B7&amp;" - "&amp;'Stage Schedule &amp; Costs (2)'!C7</f>
        <v>Concrete Structure - Basement Floor</v>
      </c>
      <c r="C7" s="85" t="n">
        <f aca="false">SUM(D7:BE7)</f>
        <v>5000000</v>
      </c>
      <c r="D7" s="85" t="n">
        <f aca="false">MAX(0,MIN('Stage Schedule &amp; Costs (2)'!$F7,D$4)-MAX('Stage Schedule &amp; Costs (2)'!$E7,D$4-1))*'Stage Schedule &amp; Costs (2)'!$H7</f>
        <v>0</v>
      </c>
      <c r="E7" s="85" t="n">
        <f aca="false">MAX(0,MIN('Stage Schedule &amp; Costs (2)'!$F7,E$4)-MAX('Stage Schedule &amp; Costs (2)'!$E7,E$4-1))*'Stage Schedule &amp; Costs (2)'!$H7</f>
        <v>0</v>
      </c>
      <c r="F7" s="85" t="n">
        <f aca="false">MAX(0,MIN('Stage Schedule &amp; Costs (2)'!$F7,F$4)-MAX('Stage Schedule &amp; Costs (2)'!$E7,F$4-1))*'Stage Schedule &amp; Costs (2)'!$H7</f>
        <v>0</v>
      </c>
      <c r="G7" s="85" t="n">
        <f aca="false">MAX(0,MIN('Stage Schedule &amp; Costs (2)'!$F7,G$4)-MAX('Stage Schedule &amp; Costs (2)'!$E7,G$4-1))*'Stage Schedule &amp; Costs (2)'!$H7</f>
        <v>0</v>
      </c>
      <c r="H7" s="85" t="n">
        <f aca="false">MAX(0,MIN('Stage Schedule &amp; Costs (2)'!$F7,H$4)-MAX('Stage Schedule &amp; Costs (2)'!$E7,H$4-1))*'Stage Schedule &amp; Costs (2)'!$H7</f>
        <v>0</v>
      </c>
      <c r="I7" s="85" t="n">
        <f aca="false">MAX(0,MIN('Stage Schedule &amp; Costs (2)'!$F7,I$4)-MAX('Stage Schedule &amp; Costs (2)'!$E7,I$4-1))*'Stage Schedule &amp; Costs (2)'!$H7</f>
        <v>0</v>
      </c>
      <c r="J7" s="85" t="n">
        <f aca="false">MAX(0,MIN('Stage Schedule &amp; Costs (2)'!$F7,J$4)-MAX('Stage Schedule &amp; Costs (2)'!$E7,J$4-1))*'Stage Schedule &amp; Costs (2)'!$H7</f>
        <v>0</v>
      </c>
      <c r="K7" s="85" t="n">
        <f aca="false">MAX(0,MIN('Stage Schedule &amp; Costs (2)'!$F7,K$4)-MAX('Stage Schedule &amp; Costs (2)'!$E7,K$4-1))*'Stage Schedule &amp; Costs (2)'!$H7</f>
        <v>0</v>
      </c>
      <c r="L7" s="85" t="n">
        <f aca="false">MAX(0,MIN('Stage Schedule &amp; Costs (2)'!$F7,L$4)-MAX('Stage Schedule &amp; Costs (2)'!$E7,L$4-1))*'Stage Schedule &amp; Costs (2)'!$H7</f>
        <v>0</v>
      </c>
      <c r="M7" s="85" t="n">
        <f aca="false">MAX(0,MIN('Stage Schedule &amp; Costs (2)'!$F7,M$4)-MAX('Stage Schedule &amp; Costs (2)'!$E7,M$4-1))*'Stage Schedule &amp; Costs (2)'!$H7</f>
        <v>0</v>
      </c>
      <c r="N7" s="85" t="n">
        <f aca="false">MAX(0,MIN('Stage Schedule &amp; Costs (2)'!$F7,N$4)-MAX('Stage Schedule &amp; Costs (2)'!$E7,N$4-1))*'Stage Schedule &amp; Costs (2)'!$H7</f>
        <v>0</v>
      </c>
      <c r="O7" s="85" t="n">
        <f aca="false">MAX(0,MIN('Stage Schedule &amp; Costs (2)'!$F7,O$4)-MAX('Stage Schedule &amp; Costs (2)'!$E7,O$4-1))*'Stage Schedule &amp; Costs (2)'!$H7</f>
        <v>0</v>
      </c>
      <c r="P7" s="85" t="n">
        <f aca="false">MAX(0,MIN('Stage Schedule &amp; Costs (2)'!$F7,P$4)-MAX('Stage Schedule &amp; Costs (2)'!$E7,P$4-1))*'Stage Schedule &amp; Costs (2)'!$H7</f>
        <v>1666666.66666667</v>
      </c>
      <c r="Q7" s="85" t="n">
        <f aca="false">MAX(0,MIN('Stage Schedule &amp; Costs (2)'!$F7,Q$4)-MAX('Stage Schedule &amp; Costs (2)'!$E7,Q$4-1))*'Stage Schedule &amp; Costs (2)'!$H7</f>
        <v>1666666.66666667</v>
      </c>
      <c r="R7" s="85" t="n">
        <f aca="false">MAX(0,MIN('Stage Schedule &amp; Costs (2)'!$F7,R$4)-MAX('Stage Schedule &amp; Costs (2)'!$E7,R$4-1))*'Stage Schedule &amp; Costs (2)'!$H7</f>
        <v>1666666.66666667</v>
      </c>
      <c r="S7" s="85" t="n">
        <f aca="false">MAX(0,MIN('Stage Schedule &amp; Costs (2)'!$F7,S$4)-MAX('Stage Schedule &amp; Costs (2)'!$E7,S$4-1))*'Stage Schedule &amp; Costs (2)'!$H7</f>
        <v>0</v>
      </c>
      <c r="T7" s="85" t="n">
        <f aca="false">MAX(0,MIN('Stage Schedule &amp; Costs (2)'!$F7,T$4)-MAX('Stage Schedule &amp; Costs (2)'!$E7,T$4-1))*'Stage Schedule &amp; Costs (2)'!$H7</f>
        <v>0</v>
      </c>
      <c r="U7" s="85" t="n">
        <f aca="false">MAX(0,MIN('Stage Schedule &amp; Costs (2)'!$F7,U$4)-MAX('Stage Schedule &amp; Costs (2)'!$E7,U$4-1))*'Stage Schedule &amp; Costs (2)'!$H7</f>
        <v>0</v>
      </c>
      <c r="V7" s="85" t="n">
        <f aca="false">MAX(0,MIN('Stage Schedule &amp; Costs (2)'!$F7,V$4)-MAX('Stage Schedule &amp; Costs (2)'!$E7,V$4-1))*'Stage Schedule &amp; Costs (2)'!$H7</f>
        <v>0</v>
      </c>
      <c r="W7" s="85" t="n">
        <f aca="false">MAX(0,MIN('Stage Schedule &amp; Costs (2)'!$F7,W$4)-MAX('Stage Schedule &amp; Costs (2)'!$E7,W$4-1))*'Stage Schedule &amp; Costs (2)'!$H7</f>
        <v>0</v>
      </c>
      <c r="X7" s="85" t="n">
        <f aca="false">MAX(0,MIN('Stage Schedule &amp; Costs (2)'!$F7,X$4)-MAX('Stage Schedule &amp; Costs (2)'!$E7,X$4-1))*'Stage Schedule &amp; Costs (2)'!$H7</f>
        <v>0</v>
      </c>
      <c r="Y7" s="85" t="n">
        <f aca="false">MAX(0,MIN('Stage Schedule &amp; Costs (2)'!$F7,Y$4)-MAX('Stage Schedule &amp; Costs (2)'!$E7,Y$4-1))*'Stage Schedule &amp; Costs (2)'!$H7</f>
        <v>0</v>
      </c>
      <c r="Z7" s="85" t="n">
        <f aca="false">MAX(0,MIN('Stage Schedule &amp; Costs (2)'!$F7,Z$4)-MAX('Stage Schedule &amp; Costs (2)'!$E7,Z$4-1))*'Stage Schedule &amp; Costs (2)'!$H7</f>
        <v>0</v>
      </c>
      <c r="AA7" s="85" t="n">
        <f aca="false">MAX(0,MIN('Stage Schedule &amp; Costs (2)'!$F7,AA$4)-MAX('Stage Schedule &amp; Costs (2)'!$E7,AA$4-1))*'Stage Schedule &amp; Costs (2)'!$H7</f>
        <v>0</v>
      </c>
      <c r="AB7" s="85" t="n">
        <f aca="false">MAX(0,MIN('Stage Schedule &amp; Costs (2)'!$F7,AB$4)-MAX('Stage Schedule &amp; Costs (2)'!$E7,AB$4-1))*'Stage Schedule &amp; Costs (2)'!$H7</f>
        <v>0</v>
      </c>
      <c r="AC7" s="85" t="n">
        <f aca="false">MAX(0,MIN('Stage Schedule &amp; Costs (2)'!$F7,AC$4)-MAX('Stage Schedule &amp; Costs (2)'!$E7,AC$4-1))*'Stage Schedule &amp; Costs (2)'!$H7</f>
        <v>0</v>
      </c>
      <c r="AD7" s="85" t="n">
        <f aca="false">MAX(0,MIN('Stage Schedule &amp; Costs (2)'!$F7,AD$4)-MAX('Stage Schedule &amp; Costs (2)'!$E7,AD$4-1))*'Stage Schedule &amp; Costs (2)'!$H7</f>
        <v>0</v>
      </c>
      <c r="AE7" s="85" t="n">
        <f aca="false">MAX(0,MIN('Stage Schedule &amp; Costs (2)'!$F7,AE$4)-MAX('Stage Schedule &amp; Costs (2)'!$E7,AE$4-1))*'Stage Schedule &amp; Costs (2)'!$H7</f>
        <v>0</v>
      </c>
      <c r="AF7" s="85" t="n">
        <f aca="false">MAX(0,MIN('Stage Schedule &amp; Costs (2)'!$F7,AF$4)-MAX('Stage Schedule &amp; Costs (2)'!$E7,AF$4-1))*'Stage Schedule &amp; Costs (2)'!$H7</f>
        <v>0</v>
      </c>
      <c r="AG7" s="85" t="n">
        <f aca="false">MAX(0,MIN('Stage Schedule &amp; Costs (2)'!$F7,AG$4)-MAX('Stage Schedule &amp; Costs (2)'!$E7,AG$4-1))*'Stage Schedule &amp; Costs (2)'!$H7</f>
        <v>0</v>
      </c>
      <c r="AH7" s="85" t="n">
        <f aca="false">MAX(0,MIN('Stage Schedule &amp; Costs (2)'!$F7,AH$4)-MAX('Stage Schedule &amp; Costs (2)'!$E7,AH$4-1))*'Stage Schedule &amp; Costs (2)'!$H7</f>
        <v>0</v>
      </c>
      <c r="AI7" s="85" t="n">
        <f aca="false">MAX(0,MIN('Stage Schedule &amp; Costs (2)'!$F7,AI$4)-MAX('Stage Schedule &amp; Costs (2)'!$E7,AI$4-1))*'Stage Schedule &amp; Costs (2)'!$H7</f>
        <v>0</v>
      </c>
      <c r="AJ7" s="85" t="n">
        <f aca="false">MAX(0,MIN('Stage Schedule &amp; Costs (2)'!$F7,AJ$4)-MAX('Stage Schedule &amp; Costs (2)'!$E7,AJ$4-1))*'Stage Schedule &amp; Costs (2)'!$H7</f>
        <v>0</v>
      </c>
      <c r="AK7" s="85" t="n">
        <f aca="false">MAX(0,MIN('Stage Schedule &amp; Costs (2)'!$F7,AK$4)-MAX('Stage Schedule &amp; Costs (2)'!$E7,AK$4-1))*'Stage Schedule &amp; Costs (2)'!$H7</f>
        <v>0</v>
      </c>
      <c r="AL7" s="85" t="n">
        <f aca="false">MAX(0,MIN('Stage Schedule &amp; Costs (2)'!$F7,AL$4)-MAX('Stage Schedule &amp; Costs (2)'!$E7,AL$4-1))*'Stage Schedule &amp; Costs (2)'!$H7</f>
        <v>0</v>
      </c>
      <c r="AM7" s="85" t="n">
        <f aca="false">MAX(0,MIN('Stage Schedule &amp; Costs (2)'!$F7,AM$4)-MAX('Stage Schedule &amp; Costs (2)'!$E7,AM$4-1))*'Stage Schedule &amp; Costs (2)'!$H7</f>
        <v>0</v>
      </c>
      <c r="AN7" s="85" t="n">
        <f aca="false">MAX(0,MIN('Stage Schedule &amp; Costs (2)'!$F7,AN$4)-MAX('Stage Schedule &amp; Costs (2)'!$E7,AN$4-1))*'Stage Schedule &amp; Costs (2)'!$H7</f>
        <v>0</v>
      </c>
      <c r="AO7" s="85" t="n">
        <f aca="false">MAX(0,MIN('Stage Schedule &amp; Costs (2)'!$F7,AO$4)-MAX('Stage Schedule &amp; Costs (2)'!$E7,AO$4-1))*'Stage Schedule &amp; Costs (2)'!$H7</f>
        <v>0</v>
      </c>
      <c r="AP7" s="85" t="n">
        <f aca="false">MAX(0,MIN('Stage Schedule &amp; Costs (2)'!$F7,AP$4)-MAX('Stage Schedule &amp; Costs (2)'!$E7,AP$4-1))*'Stage Schedule &amp; Costs (2)'!$H7</f>
        <v>0</v>
      </c>
      <c r="AQ7" s="85" t="n">
        <f aca="false">MAX(0,MIN('Stage Schedule &amp; Costs (2)'!$F7,AQ$4)-MAX('Stage Schedule &amp; Costs (2)'!$E7,AQ$4-1))*'Stage Schedule &amp; Costs (2)'!$H7</f>
        <v>0</v>
      </c>
      <c r="AR7" s="85" t="n">
        <f aca="false">MAX(0,MIN('Stage Schedule &amp; Costs (2)'!$F7,AR$4)-MAX('Stage Schedule &amp; Costs (2)'!$E7,AR$4-1))*'Stage Schedule &amp; Costs (2)'!$H7</f>
        <v>0</v>
      </c>
      <c r="AS7" s="85" t="n">
        <f aca="false">MAX(0,MIN('Stage Schedule &amp; Costs (2)'!$F7,AS$4)-MAX('Stage Schedule &amp; Costs (2)'!$E7,AS$4-1))*'Stage Schedule &amp; Costs (2)'!$H7</f>
        <v>0</v>
      </c>
      <c r="AT7" s="85" t="n">
        <f aca="false">MAX(0,MIN('Stage Schedule &amp; Costs (2)'!$F7,AT$4)-MAX('Stage Schedule &amp; Costs (2)'!$E7,AT$4-1))*'Stage Schedule &amp; Costs (2)'!$H7</f>
        <v>0</v>
      </c>
      <c r="AU7" s="85" t="n">
        <f aca="false">MAX(0,MIN('Stage Schedule &amp; Costs (2)'!$F7,AU$4)-MAX('Stage Schedule &amp; Costs (2)'!$E7,AU$4-1))*'Stage Schedule &amp; Costs (2)'!$H7</f>
        <v>0</v>
      </c>
      <c r="AV7" s="85" t="n">
        <f aca="false">MAX(0,MIN('Stage Schedule &amp; Costs (2)'!$F7,AV$4)-MAX('Stage Schedule &amp; Costs (2)'!$E7,AV$4-1))*'Stage Schedule &amp; Costs (2)'!$H7</f>
        <v>0</v>
      </c>
      <c r="AW7" s="85" t="n">
        <f aca="false">MAX(0,MIN('Stage Schedule &amp; Costs (2)'!$F7,AW$4)-MAX('Stage Schedule &amp; Costs (2)'!$E7,AW$4-1))*'Stage Schedule &amp; Costs (2)'!$H7</f>
        <v>0</v>
      </c>
      <c r="AX7" s="85" t="n">
        <f aca="false">MAX(0,MIN('Stage Schedule &amp; Costs (2)'!$F7,AX$4)-MAX('Stage Schedule &amp; Costs (2)'!$E7,AX$4-1))*'Stage Schedule &amp; Costs (2)'!$H7</f>
        <v>0</v>
      </c>
      <c r="AY7" s="85" t="n">
        <f aca="false">MAX(0,MIN('Stage Schedule &amp; Costs (2)'!$F7,AY$4)-MAX('Stage Schedule &amp; Costs (2)'!$E7,AY$4-1))*'Stage Schedule &amp; Costs (2)'!$H7</f>
        <v>0</v>
      </c>
      <c r="AZ7" s="85" t="n">
        <f aca="false">MAX(0,MIN('Stage Schedule &amp; Costs (2)'!$F7,AZ$4)-MAX('Stage Schedule &amp; Costs (2)'!$E7,AZ$4-1))*'Stage Schedule &amp; Costs (2)'!$H7</f>
        <v>0</v>
      </c>
      <c r="BA7" s="85" t="n">
        <f aca="false">MAX(0,MIN('Stage Schedule &amp; Costs (2)'!$F7,BA$4)-MAX('Stage Schedule &amp; Costs (2)'!$E7,BA$4-1))*'Stage Schedule &amp; Costs (2)'!$H7</f>
        <v>0</v>
      </c>
      <c r="BB7" s="85" t="n">
        <f aca="false">MAX(0,MIN('Stage Schedule &amp; Costs (2)'!$F7,BB$4)-MAX('Stage Schedule &amp; Costs (2)'!$E7,BB$4-1))*'Stage Schedule &amp; Costs (2)'!$H7</f>
        <v>0</v>
      </c>
      <c r="BC7" s="85" t="n">
        <f aca="false">MAX(0,MIN('Stage Schedule &amp; Costs (2)'!$F7,BC$4)-MAX('Stage Schedule &amp; Costs (2)'!$E7,BC$4-1))*'Stage Schedule &amp; Costs (2)'!$H7</f>
        <v>0</v>
      </c>
      <c r="BD7" s="85" t="n">
        <f aca="false">MAX(0,MIN('Stage Schedule &amp; Costs (2)'!$F7,BD$4)-MAX('Stage Schedule &amp; Costs (2)'!$E7,BD$4-1))*'Stage Schedule &amp; Costs (2)'!$H7</f>
        <v>0</v>
      </c>
      <c r="BE7" s="85" t="n">
        <f aca="false">MAX(0,MIN('Stage Schedule &amp; Costs (2)'!$F7,BE$4)-MAX('Stage Schedule &amp; Costs (2)'!$E7,BE$4-1))*'Stage Schedule &amp; Costs (2)'!$H7</f>
        <v>0</v>
      </c>
      <c r="BF7" s="85" t="n">
        <f aca="false">MAX(0,MIN('Stage Schedule &amp; Costs (2)'!$F7,BF$4)-MAX('Stage Schedule &amp; Costs (2)'!$E7,BF$4-1))*'Stage Schedule &amp; Costs (2)'!$H7</f>
        <v>0</v>
      </c>
      <c r="BG7" s="85" t="n">
        <f aca="false">MAX(0,MIN('Stage Schedule &amp; Costs (2)'!$F7,BG$4)-MAX('Stage Schedule &amp; Costs (2)'!$E7,BG$4-1))*'Stage Schedule &amp; Costs (2)'!$H7</f>
        <v>0</v>
      </c>
      <c r="BH7" s="85" t="n">
        <f aca="false">MAX(0,MIN('Stage Schedule &amp; Costs (2)'!$F7,BH$4)-MAX('Stage Schedule &amp; Costs (2)'!$E7,BH$4-1))*'Stage Schedule &amp; Costs (2)'!$H7</f>
        <v>0</v>
      </c>
      <c r="BI7" s="85" t="n">
        <f aca="false">MAX(0,MIN('Stage Schedule &amp; Costs (2)'!$F7,BI$4)-MAX('Stage Schedule &amp; Costs (2)'!$E7,BI$4-1))*'Stage Schedule &amp; Costs (2)'!$H7</f>
        <v>0</v>
      </c>
      <c r="BJ7" s="85" t="n">
        <f aca="false">MAX(0,MIN('Stage Schedule &amp; Costs (2)'!$F7,BJ$4)-MAX('Stage Schedule &amp; Costs (2)'!$E7,BJ$4-1))*'Stage Schedule &amp; Costs (2)'!$H7</f>
        <v>0</v>
      </c>
      <c r="BK7" s="85" t="n">
        <f aca="false">MAX(0,MIN('Stage Schedule &amp; Costs (2)'!$F7,BK$4)-MAX('Stage Schedule &amp; Costs (2)'!$E7,BK$4-1))*'Stage Schedule &amp; Costs (2)'!$H7</f>
        <v>0</v>
      </c>
    </row>
    <row r="8" customFormat="false" ht="15" hidden="false" customHeight="true" outlineLevel="0" collapsed="false">
      <c r="A8" s="86" t="n">
        <f aca="false">'Stage Schedule &amp; Costs (2)'!A8</f>
        <v>4</v>
      </c>
      <c r="B8" s="87" t="str">
        <f aca="false">'Stage Schedule &amp; Costs (2)'!B8&amp;" - "&amp;'Stage Schedule &amp; Costs (2)'!C8</f>
        <v> - Ground Floor</v>
      </c>
      <c r="C8" s="88" t="n">
        <f aca="false">SUM(D8:BE8)</f>
        <v>3300000</v>
      </c>
      <c r="D8" s="88" t="n">
        <f aca="false">MAX(0,MIN('Stage Schedule &amp; Costs (2)'!$F8,D$4)-MAX('Stage Schedule &amp; Costs (2)'!$E8,D$4-1))*'Stage Schedule &amp; Costs (2)'!$H8</f>
        <v>0</v>
      </c>
      <c r="E8" s="88" t="n">
        <f aca="false">MAX(0,MIN('Stage Schedule &amp; Costs (2)'!$F8,E$4)-MAX('Stage Schedule &amp; Costs (2)'!$E8,E$4-1))*'Stage Schedule &amp; Costs (2)'!$H8</f>
        <v>0</v>
      </c>
      <c r="F8" s="88" t="n">
        <f aca="false">MAX(0,MIN('Stage Schedule &amp; Costs (2)'!$F8,F$4)-MAX('Stage Schedule &amp; Costs (2)'!$E8,F$4-1))*'Stage Schedule &amp; Costs (2)'!$H8</f>
        <v>0</v>
      </c>
      <c r="G8" s="88" t="n">
        <f aca="false">MAX(0,MIN('Stage Schedule &amp; Costs (2)'!$F8,G$4)-MAX('Stage Schedule &amp; Costs (2)'!$E8,G$4-1))*'Stage Schedule &amp; Costs (2)'!$H8</f>
        <v>0</v>
      </c>
      <c r="H8" s="88" t="n">
        <f aca="false">MAX(0,MIN('Stage Schedule &amp; Costs (2)'!$F8,H$4)-MAX('Stage Schedule &amp; Costs (2)'!$E8,H$4-1))*'Stage Schedule &amp; Costs (2)'!$H8</f>
        <v>0</v>
      </c>
      <c r="I8" s="88" t="n">
        <f aca="false">MAX(0,MIN('Stage Schedule &amp; Costs (2)'!$F8,I$4)-MAX('Stage Schedule &amp; Costs (2)'!$E8,I$4-1))*'Stage Schedule &amp; Costs (2)'!$H8</f>
        <v>0</v>
      </c>
      <c r="J8" s="88" t="n">
        <f aca="false">MAX(0,MIN('Stage Schedule &amp; Costs (2)'!$F8,J$4)-MAX('Stage Schedule &amp; Costs (2)'!$E8,J$4-1))*'Stage Schedule &amp; Costs (2)'!$H8</f>
        <v>0</v>
      </c>
      <c r="K8" s="88" t="n">
        <f aca="false">MAX(0,MIN('Stage Schedule &amp; Costs (2)'!$F8,K$4)-MAX('Stage Schedule &amp; Costs (2)'!$E8,K$4-1))*'Stage Schedule &amp; Costs (2)'!$H8</f>
        <v>0</v>
      </c>
      <c r="L8" s="88" t="n">
        <f aca="false">MAX(0,MIN('Stage Schedule &amp; Costs (2)'!$F8,L$4)-MAX('Stage Schedule &amp; Costs (2)'!$E8,L$4-1))*'Stage Schedule &amp; Costs (2)'!$H8</f>
        <v>0</v>
      </c>
      <c r="M8" s="88" t="n">
        <f aca="false">MAX(0,MIN('Stage Schedule &amp; Costs (2)'!$F8,M$4)-MAX('Stage Schedule &amp; Costs (2)'!$E8,M$4-1))*'Stage Schedule &amp; Costs (2)'!$H8</f>
        <v>0</v>
      </c>
      <c r="N8" s="88" t="n">
        <f aca="false">MAX(0,MIN('Stage Schedule &amp; Costs (2)'!$F8,N$4)-MAX('Stage Schedule &amp; Costs (2)'!$E8,N$4-1))*'Stage Schedule &amp; Costs (2)'!$H8</f>
        <v>0</v>
      </c>
      <c r="O8" s="88" t="n">
        <f aca="false">MAX(0,MIN('Stage Schedule &amp; Costs (2)'!$F8,O$4)-MAX('Stage Schedule &amp; Costs (2)'!$E8,O$4-1))*'Stage Schedule &amp; Costs (2)'!$H8</f>
        <v>0</v>
      </c>
      <c r="P8" s="88" t="n">
        <f aca="false">MAX(0,MIN('Stage Schedule &amp; Costs (2)'!$F8,P$4)-MAX('Stage Schedule &amp; Costs (2)'!$E8,P$4-1))*'Stage Schedule &amp; Costs (2)'!$H8</f>
        <v>0</v>
      </c>
      <c r="Q8" s="88" t="n">
        <f aca="false">MAX(0,MIN('Stage Schedule &amp; Costs (2)'!$F8,Q$4)-MAX('Stage Schedule &amp; Costs (2)'!$E8,Q$4-1))*'Stage Schedule &amp; Costs (2)'!$H8</f>
        <v>0</v>
      </c>
      <c r="R8" s="88" t="n">
        <f aca="false">MAX(0,MIN('Stage Schedule &amp; Costs (2)'!$F8,R$4)-MAX('Stage Schedule &amp; Costs (2)'!$E8,R$4-1))*'Stage Schedule &amp; Costs (2)'!$H8</f>
        <v>0</v>
      </c>
      <c r="S8" s="88" t="n">
        <f aca="false">MAX(0,MIN('Stage Schedule &amp; Costs (2)'!$F8,S$4)-MAX('Stage Schedule &amp; Costs (2)'!$E8,S$4-1))*'Stage Schedule &amp; Costs (2)'!$H8</f>
        <v>1100000</v>
      </c>
      <c r="T8" s="88" t="n">
        <f aca="false">MAX(0,MIN('Stage Schedule &amp; Costs (2)'!$F8,T$4)-MAX('Stage Schedule &amp; Costs (2)'!$E8,T$4-1))*'Stage Schedule &amp; Costs (2)'!$H8</f>
        <v>1100000</v>
      </c>
      <c r="U8" s="88" t="n">
        <f aca="false">MAX(0,MIN('Stage Schedule &amp; Costs (2)'!$F8,U$4)-MAX('Stage Schedule &amp; Costs (2)'!$E8,U$4-1))*'Stage Schedule &amp; Costs (2)'!$H8</f>
        <v>1100000</v>
      </c>
      <c r="V8" s="88" t="n">
        <f aca="false">MAX(0,MIN('Stage Schedule &amp; Costs (2)'!$F8,V$4)-MAX('Stage Schedule &amp; Costs (2)'!$E8,V$4-1))*'Stage Schedule &amp; Costs (2)'!$H8</f>
        <v>0</v>
      </c>
      <c r="W8" s="88" t="n">
        <f aca="false">MAX(0,MIN('Stage Schedule &amp; Costs (2)'!$F8,W$4)-MAX('Stage Schedule &amp; Costs (2)'!$E8,W$4-1))*'Stage Schedule &amp; Costs (2)'!$H8</f>
        <v>0</v>
      </c>
      <c r="X8" s="88" t="n">
        <f aca="false">MAX(0,MIN('Stage Schedule &amp; Costs (2)'!$F8,X$4)-MAX('Stage Schedule &amp; Costs (2)'!$E8,X$4-1))*'Stage Schedule &amp; Costs (2)'!$H8</f>
        <v>0</v>
      </c>
      <c r="Y8" s="88" t="n">
        <f aca="false">MAX(0,MIN('Stage Schedule &amp; Costs (2)'!$F8,Y$4)-MAX('Stage Schedule &amp; Costs (2)'!$E8,Y$4-1))*'Stage Schedule &amp; Costs (2)'!$H8</f>
        <v>0</v>
      </c>
      <c r="Z8" s="88" t="n">
        <f aca="false">MAX(0,MIN('Stage Schedule &amp; Costs (2)'!$F8,Z$4)-MAX('Stage Schedule &amp; Costs (2)'!$E8,Z$4-1))*'Stage Schedule &amp; Costs (2)'!$H8</f>
        <v>0</v>
      </c>
      <c r="AA8" s="88" t="n">
        <f aca="false">MAX(0,MIN('Stage Schedule &amp; Costs (2)'!$F8,AA$4)-MAX('Stage Schedule &amp; Costs (2)'!$E8,AA$4-1))*'Stage Schedule &amp; Costs (2)'!$H8</f>
        <v>0</v>
      </c>
      <c r="AB8" s="88" t="n">
        <f aca="false">MAX(0,MIN('Stage Schedule &amp; Costs (2)'!$F8,AB$4)-MAX('Stage Schedule &amp; Costs (2)'!$E8,AB$4-1))*'Stage Schedule &amp; Costs (2)'!$H8</f>
        <v>0</v>
      </c>
      <c r="AC8" s="88" t="n">
        <f aca="false">MAX(0,MIN('Stage Schedule &amp; Costs (2)'!$F8,AC$4)-MAX('Stage Schedule &amp; Costs (2)'!$E8,AC$4-1))*'Stage Schedule &amp; Costs (2)'!$H8</f>
        <v>0</v>
      </c>
      <c r="AD8" s="88" t="n">
        <f aca="false">MAX(0,MIN('Stage Schedule &amp; Costs (2)'!$F8,AD$4)-MAX('Stage Schedule &amp; Costs (2)'!$E8,AD$4-1))*'Stage Schedule &amp; Costs (2)'!$H8</f>
        <v>0</v>
      </c>
      <c r="AE8" s="88" t="n">
        <f aca="false">MAX(0,MIN('Stage Schedule &amp; Costs (2)'!$F8,AE$4)-MAX('Stage Schedule &amp; Costs (2)'!$E8,AE$4-1))*'Stage Schedule &amp; Costs (2)'!$H8</f>
        <v>0</v>
      </c>
      <c r="AF8" s="88" t="n">
        <f aca="false">MAX(0,MIN('Stage Schedule &amp; Costs (2)'!$F8,AF$4)-MAX('Stage Schedule &amp; Costs (2)'!$E8,AF$4-1))*'Stage Schedule &amp; Costs (2)'!$H8</f>
        <v>0</v>
      </c>
      <c r="AG8" s="88" t="n">
        <f aca="false">MAX(0,MIN('Stage Schedule &amp; Costs (2)'!$F8,AG$4)-MAX('Stage Schedule &amp; Costs (2)'!$E8,AG$4-1))*'Stage Schedule &amp; Costs (2)'!$H8</f>
        <v>0</v>
      </c>
      <c r="AH8" s="88" t="n">
        <f aca="false">MAX(0,MIN('Stage Schedule &amp; Costs (2)'!$F8,AH$4)-MAX('Stage Schedule &amp; Costs (2)'!$E8,AH$4-1))*'Stage Schedule &amp; Costs (2)'!$H8</f>
        <v>0</v>
      </c>
      <c r="AI8" s="88" t="n">
        <f aca="false">MAX(0,MIN('Stage Schedule &amp; Costs (2)'!$F8,AI$4)-MAX('Stage Schedule &amp; Costs (2)'!$E8,AI$4-1))*'Stage Schedule &amp; Costs (2)'!$H8</f>
        <v>0</v>
      </c>
      <c r="AJ8" s="88" t="n">
        <f aca="false">MAX(0,MIN('Stage Schedule &amp; Costs (2)'!$F8,AJ$4)-MAX('Stage Schedule &amp; Costs (2)'!$E8,AJ$4-1))*'Stage Schedule &amp; Costs (2)'!$H8</f>
        <v>0</v>
      </c>
      <c r="AK8" s="88" t="n">
        <f aca="false">MAX(0,MIN('Stage Schedule &amp; Costs (2)'!$F8,AK$4)-MAX('Stage Schedule &amp; Costs (2)'!$E8,AK$4-1))*'Stage Schedule &amp; Costs (2)'!$H8</f>
        <v>0</v>
      </c>
      <c r="AL8" s="88" t="n">
        <f aca="false">MAX(0,MIN('Stage Schedule &amp; Costs (2)'!$F8,AL$4)-MAX('Stage Schedule &amp; Costs (2)'!$E8,AL$4-1))*'Stage Schedule &amp; Costs (2)'!$H8</f>
        <v>0</v>
      </c>
      <c r="AM8" s="88" t="n">
        <f aca="false">MAX(0,MIN('Stage Schedule &amp; Costs (2)'!$F8,AM$4)-MAX('Stage Schedule &amp; Costs (2)'!$E8,AM$4-1))*'Stage Schedule &amp; Costs (2)'!$H8</f>
        <v>0</v>
      </c>
      <c r="AN8" s="88" t="n">
        <f aca="false">MAX(0,MIN('Stage Schedule &amp; Costs (2)'!$F8,AN$4)-MAX('Stage Schedule &amp; Costs (2)'!$E8,AN$4-1))*'Stage Schedule &amp; Costs (2)'!$H8</f>
        <v>0</v>
      </c>
      <c r="AO8" s="88" t="n">
        <f aca="false">MAX(0,MIN('Stage Schedule &amp; Costs (2)'!$F8,AO$4)-MAX('Stage Schedule &amp; Costs (2)'!$E8,AO$4-1))*'Stage Schedule &amp; Costs (2)'!$H8</f>
        <v>0</v>
      </c>
      <c r="AP8" s="88" t="n">
        <f aca="false">MAX(0,MIN('Stage Schedule &amp; Costs (2)'!$F8,AP$4)-MAX('Stage Schedule &amp; Costs (2)'!$E8,AP$4-1))*'Stage Schedule &amp; Costs (2)'!$H8</f>
        <v>0</v>
      </c>
      <c r="AQ8" s="88" t="n">
        <f aca="false">MAX(0,MIN('Stage Schedule &amp; Costs (2)'!$F8,AQ$4)-MAX('Stage Schedule &amp; Costs (2)'!$E8,AQ$4-1))*'Stage Schedule &amp; Costs (2)'!$H8</f>
        <v>0</v>
      </c>
      <c r="AR8" s="88" t="n">
        <f aca="false">MAX(0,MIN('Stage Schedule &amp; Costs (2)'!$F8,AR$4)-MAX('Stage Schedule &amp; Costs (2)'!$E8,AR$4-1))*'Stage Schedule &amp; Costs (2)'!$H8</f>
        <v>0</v>
      </c>
      <c r="AS8" s="88" t="n">
        <f aca="false">MAX(0,MIN('Stage Schedule &amp; Costs (2)'!$F8,AS$4)-MAX('Stage Schedule &amp; Costs (2)'!$E8,AS$4-1))*'Stage Schedule &amp; Costs (2)'!$H8</f>
        <v>0</v>
      </c>
      <c r="AT8" s="88" t="n">
        <f aca="false">MAX(0,MIN('Stage Schedule &amp; Costs (2)'!$F8,AT$4)-MAX('Stage Schedule &amp; Costs (2)'!$E8,AT$4-1))*'Stage Schedule &amp; Costs (2)'!$H8</f>
        <v>0</v>
      </c>
      <c r="AU8" s="88" t="n">
        <f aca="false">MAX(0,MIN('Stage Schedule &amp; Costs (2)'!$F8,AU$4)-MAX('Stage Schedule &amp; Costs (2)'!$E8,AU$4-1))*'Stage Schedule &amp; Costs (2)'!$H8</f>
        <v>0</v>
      </c>
      <c r="AV8" s="88" t="n">
        <f aca="false">MAX(0,MIN('Stage Schedule &amp; Costs (2)'!$F8,AV$4)-MAX('Stage Schedule &amp; Costs (2)'!$E8,AV$4-1))*'Stage Schedule &amp; Costs (2)'!$H8</f>
        <v>0</v>
      </c>
      <c r="AW8" s="88" t="n">
        <f aca="false">MAX(0,MIN('Stage Schedule &amp; Costs (2)'!$F8,AW$4)-MAX('Stage Schedule &amp; Costs (2)'!$E8,AW$4-1))*'Stage Schedule &amp; Costs (2)'!$H8</f>
        <v>0</v>
      </c>
      <c r="AX8" s="88" t="n">
        <f aca="false">MAX(0,MIN('Stage Schedule &amp; Costs (2)'!$F8,AX$4)-MAX('Stage Schedule &amp; Costs (2)'!$E8,AX$4-1))*'Stage Schedule &amp; Costs (2)'!$H8</f>
        <v>0</v>
      </c>
      <c r="AY8" s="88" t="n">
        <f aca="false">MAX(0,MIN('Stage Schedule &amp; Costs (2)'!$F8,AY$4)-MAX('Stage Schedule &amp; Costs (2)'!$E8,AY$4-1))*'Stage Schedule &amp; Costs (2)'!$H8</f>
        <v>0</v>
      </c>
      <c r="AZ8" s="88" t="n">
        <f aca="false">MAX(0,MIN('Stage Schedule &amp; Costs (2)'!$F8,AZ$4)-MAX('Stage Schedule &amp; Costs (2)'!$E8,AZ$4-1))*'Stage Schedule &amp; Costs (2)'!$H8</f>
        <v>0</v>
      </c>
      <c r="BA8" s="88" t="n">
        <f aca="false">MAX(0,MIN('Stage Schedule &amp; Costs (2)'!$F8,BA$4)-MAX('Stage Schedule &amp; Costs (2)'!$E8,BA$4-1))*'Stage Schedule &amp; Costs (2)'!$H8</f>
        <v>0</v>
      </c>
      <c r="BB8" s="88" t="n">
        <f aca="false">MAX(0,MIN('Stage Schedule &amp; Costs (2)'!$F8,BB$4)-MAX('Stage Schedule &amp; Costs (2)'!$E8,BB$4-1))*'Stage Schedule &amp; Costs (2)'!$H8</f>
        <v>0</v>
      </c>
      <c r="BC8" s="88" t="n">
        <f aca="false">MAX(0,MIN('Stage Schedule &amp; Costs (2)'!$F8,BC$4)-MAX('Stage Schedule &amp; Costs (2)'!$E8,BC$4-1))*'Stage Schedule &amp; Costs (2)'!$H8</f>
        <v>0</v>
      </c>
      <c r="BD8" s="88" t="n">
        <f aca="false">MAX(0,MIN('Stage Schedule &amp; Costs (2)'!$F8,BD$4)-MAX('Stage Schedule &amp; Costs (2)'!$E8,BD$4-1))*'Stage Schedule &amp; Costs (2)'!$H8</f>
        <v>0</v>
      </c>
      <c r="BE8" s="88" t="n">
        <f aca="false">MAX(0,MIN('Stage Schedule &amp; Costs (2)'!$F8,BE$4)-MAX('Stage Schedule &amp; Costs (2)'!$E8,BE$4-1))*'Stage Schedule &amp; Costs (2)'!$H8</f>
        <v>0</v>
      </c>
      <c r="BF8" s="88" t="n">
        <f aca="false">MAX(0,MIN('Stage Schedule &amp; Costs (2)'!$F8,BF$4)-MAX('Stage Schedule &amp; Costs (2)'!$E8,BF$4-1))*'Stage Schedule &amp; Costs (2)'!$H8</f>
        <v>0</v>
      </c>
      <c r="BG8" s="88" t="n">
        <f aca="false">MAX(0,MIN('Stage Schedule &amp; Costs (2)'!$F8,BG$4)-MAX('Stage Schedule &amp; Costs (2)'!$E8,BG$4-1))*'Stage Schedule &amp; Costs (2)'!$H8</f>
        <v>0</v>
      </c>
      <c r="BH8" s="88" t="n">
        <f aca="false">MAX(0,MIN('Stage Schedule &amp; Costs (2)'!$F8,BH$4)-MAX('Stage Schedule &amp; Costs (2)'!$E8,BH$4-1))*'Stage Schedule &amp; Costs (2)'!$H8</f>
        <v>0</v>
      </c>
      <c r="BI8" s="88" t="n">
        <f aca="false">MAX(0,MIN('Stage Schedule &amp; Costs (2)'!$F8,BI$4)-MAX('Stage Schedule &amp; Costs (2)'!$E8,BI$4-1))*'Stage Schedule &amp; Costs (2)'!$H8</f>
        <v>0</v>
      </c>
      <c r="BJ8" s="88" t="n">
        <f aca="false">MAX(0,MIN('Stage Schedule &amp; Costs (2)'!$F8,BJ$4)-MAX('Stage Schedule &amp; Costs (2)'!$E8,BJ$4-1))*'Stage Schedule &amp; Costs (2)'!$H8</f>
        <v>0</v>
      </c>
      <c r="BK8" s="88" t="n">
        <f aca="false">MAX(0,MIN('Stage Schedule &amp; Costs (2)'!$F8,BK$4)-MAX('Stage Schedule &amp; Costs (2)'!$E8,BK$4-1))*'Stage Schedule &amp; Costs (2)'!$H8</f>
        <v>0</v>
      </c>
    </row>
    <row r="9" customFormat="false" ht="15" hidden="false" customHeight="true" outlineLevel="0" collapsed="false">
      <c r="A9" s="74" t="n">
        <f aca="false">'Stage Schedule &amp; Costs (2)'!A9</f>
        <v>5</v>
      </c>
      <c r="B9" s="84" t="str">
        <f aca="false">'Stage Schedule &amp; Costs (2)'!B9&amp;" - "&amp;'Stage Schedule &amp; Costs (2)'!C9</f>
        <v> - 1st Floor</v>
      </c>
      <c r="C9" s="85" t="n">
        <f aca="false">SUM(D9:BE9)</f>
        <v>3300000</v>
      </c>
      <c r="D9" s="85" t="n">
        <f aca="false">MAX(0,MIN('Stage Schedule &amp; Costs (2)'!$F9,D$4)-MAX('Stage Schedule &amp; Costs (2)'!$E9,D$4-1))*'Stage Schedule &amp; Costs (2)'!$H9</f>
        <v>0</v>
      </c>
      <c r="E9" s="85" t="n">
        <f aca="false">MAX(0,MIN('Stage Schedule &amp; Costs (2)'!$F9,E$4)-MAX('Stage Schedule &amp; Costs (2)'!$E9,E$4-1))*'Stage Schedule &amp; Costs (2)'!$H9</f>
        <v>0</v>
      </c>
      <c r="F9" s="85" t="n">
        <f aca="false">MAX(0,MIN('Stage Schedule &amp; Costs (2)'!$F9,F$4)-MAX('Stage Schedule &amp; Costs (2)'!$E9,F$4-1))*'Stage Schedule &amp; Costs (2)'!$H9</f>
        <v>0</v>
      </c>
      <c r="G9" s="85" t="n">
        <f aca="false">MAX(0,MIN('Stage Schedule &amp; Costs (2)'!$F9,G$4)-MAX('Stage Schedule &amp; Costs (2)'!$E9,G$4-1))*'Stage Schedule &amp; Costs (2)'!$H9</f>
        <v>0</v>
      </c>
      <c r="H9" s="85" t="n">
        <f aca="false">MAX(0,MIN('Stage Schedule &amp; Costs (2)'!$F9,H$4)-MAX('Stage Schedule &amp; Costs (2)'!$E9,H$4-1))*'Stage Schedule &amp; Costs (2)'!$H9</f>
        <v>0</v>
      </c>
      <c r="I9" s="85" t="n">
        <f aca="false">MAX(0,MIN('Stage Schedule &amp; Costs (2)'!$F9,I$4)-MAX('Stage Schedule &amp; Costs (2)'!$E9,I$4-1))*'Stage Schedule &amp; Costs (2)'!$H9</f>
        <v>0</v>
      </c>
      <c r="J9" s="85" t="n">
        <f aca="false">MAX(0,MIN('Stage Schedule &amp; Costs (2)'!$F9,J$4)-MAX('Stage Schedule &amp; Costs (2)'!$E9,J$4-1))*'Stage Schedule &amp; Costs (2)'!$H9</f>
        <v>0</v>
      </c>
      <c r="K9" s="85" t="n">
        <f aca="false">MAX(0,MIN('Stage Schedule &amp; Costs (2)'!$F9,K$4)-MAX('Stage Schedule &amp; Costs (2)'!$E9,K$4-1))*'Stage Schedule &amp; Costs (2)'!$H9</f>
        <v>0</v>
      </c>
      <c r="L9" s="85" t="n">
        <f aca="false">MAX(0,MIN('Stage Schedule &amp; Costs (2)'!$F9,L$4)-MAX('Stage Schedule &amp; Costs (2)'!$E9,L$4-1))*'Stage Schedule &amp; Costs (2)'!$H9</f>
        <v>0</v>
      </c>
      <c r="M9" s="85" t="n">
        <f aca="false">MAX(0,MIN('Stage Schedule &amp; Costs (2)'!$F9,M$4)-MAX('Stage Schedule &amp; Costs (2)'!$E9,M$4-1))*'Stage Schedule &amp; Costs (2)'!$H9</f>
        <v>0</v>
      </c>
      <c r="N9" s="85" t="n">
        <f aca="false">MAX(0,MIN('Stage Schedule &amp; Costs (2)'!$F9,N$4)-MAX('Stage Schedule &amp; Costs (2)'!$E9,N$4-1))*'Stage Schedule &amp; Costs (2)'!$H9</f>
        <v>0</v>
      </c>
      <c r="O9" s="85" t="n">
        <f aca="false">MAX(0,MIN('Stage Schedule &amp; Costs (2)'!$F9,O$4)-MAX('Stage Schedule &amp; Costs (2)'!$E9,O$4-1))*'Stage Schedule &amp; Costs (2)'!$H9</f>
        <v>0</v>
      </c>
      <c r="P9" s="85" t="n">
        <f aca="false">MAX(0,MIN('Stage Schedule &amp; Costs (2)'!$F9,P$4)-MAX('Stage Schedule &amp; Costs (2)'!$E9,P$4-1))*'Stage Schedule &amp; Costs (2)'!$H9</f>
        <v>0</v>
      </c>
      <c r="Q9" s="85" t="n">
        <f aca="false">MAX(0,MIN('Stage Schedule &amp; Costs (2)'!$F9,Q$4)-MAX('Stage Schedule &amp; Costs (2)'!$E9,Q$4-1))*'Stage Schedule &amp; Costs (2)'!$H9</f>
        <v>0</v>
      </c>
      <c r="R9" s="85" t="n">
        <f aca="false">MAX(0,MIN('Stage Schedule &amp; Costs (2)'!$F9,R$4)-MAX('Stage Schedule &amp; Costs (2)'!$E9,R$4-1))*'Stage Schedule &amp; Costs (2)'!$H9</f>
        <v>0</v>
      </c>
      <c r="S9" s="85" t="n">
        <f aca="false">MAX(0,MIN('Stage Schedule &amp; Costs (2)'!$F9,S$4)-MAX('Stage Schedule &amp; Costs (2)'!$E9,S$4-1))*'Stage Schedule &amp; Costs (2)'!$H9</f>
        <v>0</v>
      </c>
      <c r="T9" s="85" t="n">
        <f aca="false">MAX(0,MIN('Stage Schedule &amp; Costs (2)'!$F9,T$4)-MAX('Stage Schedule &amp; Costs (2)'!$E9,T$4-1))*'Stage Schedule &amp; Costs (2)'!$H9</f>
        <v>0</v>
      </c>
      <c r="U9" s="85" t="n">
        <f aca="false">MAX(0,MIN('Stage Schedule &amp; Costs (2)'!$F9,U$4)-MAX('Stage Schedule &amp; Costs (2)'!$E9,U$4-1))*'Stage Schedule &amp; Costs (2)'!$H9</f>
        <v>0</v>
      </c>
      <c r="V9" s="85" t="n">
        <f aca="false">MAX(0,MIN('Stage Schedule &amp; Costs (2)'!$F9,V$4)-MAX('Stage Schedule &amp; Costs (2)'!$E9,V$4-1))*'Stage Schedule &amp; Costs (2)'!$H9</f>
        <v>1100000</v>
      </c>
      <c r="W9" s="85" t="n">
        <f aca="false">MAX(0,MIN('Stage Schedule &amp; Costs (2)'!$F9,W$4)-MAX('Stage Schedule &amp; Costs (2)'!$E9,W$4-1))*'Stage Schedule &amp; Costs (2)'!$H9</f>
        <v>1100000</v>
      </c>
      <c r="X9" s="85" t="n">
        <f aca="false">MAX(0,MIN('Stage Schedule &amp; Costs (2)'!$F9,X$4)-MAX('Stage Schedule &amp; Costs (2)'!$E9,X$4-1))*'Stage Schedule &amp; Costs (2)'!$H9</f>
        <v>1100000</v>
      </c>
      <c r="Y9" s="85" t="n">
        <f aca="false">MAX(0,MIN('Stage Schedule &amp; Costs (2)'!$F9,Y$4)-MAX('Stage Schedule &amp; Costs (2)'!$E9,Y$4-1))*'Stage Schedule &amp; Costs (2)'!$H9</f>
        <v>0</v>
      </c>
      <c r="Z9" s="85" t="n">
        <f aca="false">MAX(0,MIN('Stage Schedule &amp; Costs (2)'!$F9,Z$4)-MAX('Stage Schedule &amp; Costs (2)'!$E9,Z$4-1))*'Stage Schedule &amp; Costs (2)'!$H9</f>
        <v>0</v>
      </c>
      <c r="AA9" s="85" t="n">
        <f aca="false">MAX(0,MIN('Stage Schedule &amp; Costs (2)'!$F9,AA$4)-MAX('Stage Schedule &amp; Costs (2)'!$E9,AA$4-1))*'Stage Schedule &amp; Costs (2)'!$H9</f>
        <v>0</v>
      </c>
      <c r="AB9" s="85" t="n">
        <f aca="false">MAX(0,MIN('Stage Schedule &amp; Costs (2)'!$F9,AB$4)-MAX('Stage Schedule &amp; Costs (2)'!$E9,AB$4-1))*'Stage Schedule &amp; Costs (2)'!$H9</f>
        <v>0</v>
      </c>
      <c r="AC9" s="85" t="n">
        <f aca="false">MAX(0,MIN('Stage Schedule &amp; Costs (2)'!$F9,AC$4)-MAX('Stage Schedule &amp; Costs (2)'!$E9,AC$4-1))*'Stage Schedule &amp; Costs (2)'!$H9</f>
        <v>0</v>
      </c>
      <c r="AD9" s="85" t="n">
        <f aca="false">MAX(0,MIN('Stage Schedule &amp; Costs (2)'!$F9,AD$4)-MAX('Stage Schedule &amp; Costs (2)'!$E9,AD$4-1))*'Stage Schedule &amp; Costs (2)'!$H9</f>
        <v>0</v>
      </c>
      <c r="AE9" s="85" t="n">
        <f aca="false">MAX(0,MIN('Stage Schedule &amp; Costs (2)'!$F9,AE$4)-MAX('Stage Schedule &amp; Costs (2)'!$E9,AE$4-1))*'Stage Schedule &amp; Costs (2)'!$H9</f>
        <v>0</v>
      </c>
      <c r="AF9" s="85" t="n">
        <f aca="false">MAX(0,MIN('Stage Schedule &amp; Costs (2)'!$F9,AF$4)-MAX('Stage Schedule &amp; Costs (2)'!$E9,AF$4-1))*'Stage Schedule &amp; Costs (2)'!$H9</f>
        <v>0</v>
      </c>
      <c r="AG9" s="85" t="n">
        <f aca="false">MAX(0,MIN('Stage Schedule &amp; Costs (2)'!$F9,AG$4)-MAX('Stage Schedule &amp; Costs (2)'!$E9,AG$4-1))*'Stage Schedule &amp; Costs (2)'!$H9</f>
        <v>0</v>
      </c>
      <c r="AH9" s="85" t="n">
        <f aca="false">MAX(0,MIN('Stage Schedule &amp; Costs (2)'!$F9,AH$4)-MAX('Stage Schedule &amp; Costs (2)'!$E9,AH$4-1))*'Stage Schedule &amp; Costs (2)'!$H9</f>
        <v>0</v>
      </c>
      <c r="AI9" s="85" t="n">
        <f aca="false">MAX(0,MIN('Stage Schedule &amp; Costs (2)'!$F9,AI$4)-MAX('Stage Schedule &amp; Costs (2)'!$E9,AI$4-1))*'Stage Schedule &amp; Costs (2)'!$H9</f>
        <v>0</v>
      </c>
      <c r="AJ9" s="85" t="n">
        <f aca="false">MAX(0,MIN('Stage Schedule &amp; Costs (2)'!$F9,AJ$4)-MAX('Stage Schedule &amp; Costs (2)'!$E9,AJ$4-1))*'Stage Schedule &amp; Costs (2)'!$H9</f>
        <v>0</v>
      </c>
      <c r="AK9" s="85" t="n">
        <f aca="false">MAX(0,MIN('Stage Schedule &amp; Costs (2)'!$F9,AK$4)-MAX('Stage Schedule &amp; Costs (2)'!$E9,AK$4-1))*'Stage Schedule &amp; Costs (2)'!$H9</f>
        <v>0</v>
      </c>
      <c r="AL9" s="85" t="n">
        <f aca="false">MAX(0,MIN('Stage Schedule &amp; Costs (2)'!$F9,AL$4)-MAX('Stage Schedule &amp; Costs (2)'!$E9,AL$4-1))*'Stage Schedule &amp; Costs (2)'!$H9</f>
        <v>0</v>
      </c>
      <c r="AM9" s="85" t="n">
        <f aca="false">MAX(0,MIN('Stage Schedule &amp; Costs (2)'!$F9,AM$4)-MAX('Stage Schedule &amp; Costs (2)'!$E9,AM$4-1))*'Stage Schedule &amp; Costs (2)'!$H9</f>
        <v>0</v>
      </c>
      <c r="AN9" s="85" t="n">
        <f aca="false">MAX(0,MIN('Stage Schedule &amp; Costs (2)'!$F9,AN$4)-MAX('Stage Schedule &amp; Costs (2)'!$E9,AN$4-1))*'Stage Schedule &amp; Costs (2)'!$H9</f>
        <v>0</v>
      </c>
      <c r="AO9" s="85" t="n">
        <f aca="false">MAX(0,MIN('Stage Schedule &amp; Costs (2)'!$F9,AO$4)-MAX('Stage Schedule &amp; Costs (2)'!$E9,AO$4-1))*'Stage Schedule &amp; Costs (2)'!$H9</f>
        <v>0</v>
      </c>
      <c r="AP9" s="85" t="n">
        <f aca="false">MAX(0,MIN('Stage Schedule &amp; Costs (2)'!$F9,AP$4)-MAX('Stage Schedule &amp; Costs (2)'!$E9,AP$4-1))*'Stage Schedule &amp; Costs (2)'!$H9</f>
        <v>0</v>
      </c>
      <c r="AQ9" s="85" t="n">
        <f aca="false">MAX(0,MIN('Stage Schedule &amp; Costs (2)'!$F9,AQ$4)-MAX('Stage Schedule &amp; Costs (2)'!$E9,AQ$4-1))*'Stage Schedule &amp; Costs (2)'!$H9</f>
        <v>0</v>
      </c>
      <c r="AR9" s="85" t="n">
        <f aca="false">MAX(0,MIN('Stage Schedule &amp; Costs (2)'!$F9,AR$4)-MAX('Stage Schedule &amp; Costs (2)'!$E9,AR$4-1))*'Stage Schedule &amp; Costs (2)'!$H9</f>
        <v>0</v>
      </c>
      <c r="AS9" s="85" t="n">
        <f aca="false">MAX(0,MIN('Stage Schedule &amp; Costs (2)'!$F9,AS$4)-MAX('Stage Schedule &amp; Costs (2)'!$E9,AS$4-1))*'Stage Schedule &amp; Costs (2)'!$H9</f>
        <v>0</v>
      </c>
      <c r="AT9" s="85" t="n">
        <f aca="false">MAX(0,MIN('Stage Schedule &amp; Costs (2)'!$F9,AT$4)-MAX('Stage Schedule &amp; Costs (2)'!$E9,AT$4-1))*'Stage Schedule &amp; Costs (2)'!$H9</f>
        <v>0</v>
      </c>
      <c r="AU9" s="85" t="n">
        <f aca="false">MAX(0,MIN('Stage Schedule &amp; Costs (2)'!$F9,AU$4)-MAX('Stage Schedule &amp; Costs (2)'!$E9,AU$4-1))*'Stage Schedule &amp; Costs (2)'!$H9</f>
        <v>0</v>
      </c>
      <c r="AV9" s="85" t="n">
        <f aca="false">MAX(0,MIN('Stage Schedule &amp; Costs (2)'!$F9,AV$4)-MAX('Stage Schedule &amp; Costs (2)'!$E9,AV$4-1))*'Stage Schedule &amp; Costs (2)'!$H9</f>
        <v>0</v>
      </c>
      <c r="AW9" s="85" t="n">
        <f aca="false">MAX(0,MIN('Stage Schedule &amp; Costs (2)'!$F9,AW$4)-MAX('Stage Schedule &amp; Costs (2)'!$E9,AW$4-1))*'Stage Schedule &amp; Costs (2)'!$H9</f>
        <v>0</v>
      </c>
      <c r="AX9" s="85" t="n">
        <f aca="false">MAX(0,MIN('Stage Schedule &amp; Costs (2)'!$F9,AX$4)-MAX('Stage Schedule &amp; Costs (2)'!$E9,AX$4-1))*'Stage Schedule &amp; Costs (2)'!$H9</f>
        <v>0</v>
      </c>
      <c r="AY9" s="85" t="n">
        <f aca="false">MAX(0,MIN('Stage Schedule &amp; Costs (2)'!$F9,AY$4)-MAX('Stage Schedule &amp; Costs (2)'!$E9,AY$4-1))*'Stage Schedule &amp; Costs (2)'!$H9</f>
        <v>0</v>
      </c>
      <c r="AZ9" s="85" t="n">
        <f aca="false">MAX(0,MIN('Stage Schedule &amp; Costs (2)'!$F9,AZ$4)-MAX('Stage Schedule &amp; Costs (2)'!$E9,AZ$4-1))*'Stage Schedule &amp; Costs (2)'!$H9</f>
        <v>0</v>
      </c>
      <c r="BA9" s="85" t="n">
        <f aca="false">MAX(0,MIN('Stage Schedule &amp; Costs (2)'!$F9,BA$4)-MAX('Stage Schedule &amp; Costs (2)'!$E9,BA$4-1))*'Stage Schedule &amp; Costs (2)'!$H9</f>
        <v>0</v>
      </c>
      <c r="BB9" s="85" t="n">
        <f aca="false">MAX(0,MIN('Stage Schedule &amp; Costs (2)'!$F9,BB$4)-MAX('Stage Schedule &amp; Costs (2)'!$E9,BB$4-1))*'Stage Schedule &amp; Costs (2)'!$H9</f>
        <v>0</v>
      </c>
      <c r="BC9" s="85" t="n">
        <f aca="false">MAX(0,MIN('Stage Schedule &amp; Costs (2)'!$F9,BC$4)-MAX('Stage Schedule &amp; Costs (2)'!$E9,BC$4-1))*'Stage Schedule &amp; Costs (2)'!$H9</f>
        <v>0</v>
      </c>
      <c r="BD9" s="85" t="n">
        <f aca="false">MAX(0,MIN('Stage Schedule &amp; Costs (2)'!$F9,BD$4)-MAX('Stage Schedule &amp; Costs (2)'!$E9,BD$4-1))*'Stage Schedule &amp; Costs (2)'!$H9</f>
        <v>0</v>
      </c>
      <c r="BE9" s="85" t="n">
        <f aca="false">MAX(0,MIN('Stage Schedule &amp; Costs (2)'!$F9,BE$4)-MAX('Stage Schedule &amp; Costs (2)'!$E9,BE$4-1))*'Stage Schedule &amp; Costs (2)'!$H9</f>
        <v>0</v>
      </c>
      <c r="BF9" s="85" t="n">
        <f aca="false">MAX(0,MIN('Stage Schedule &amp; Costs (2)'!$F9,BF$4)-MAX('Stage Schedule &amp; Costs (2)'!$E9,BF$4-1))*'Stage Schedule &amp; Costs (2)'!$H9</f>
        <v>0</v>
      </c>
      <c r="BG9" s="85" t="n">
        <f aca="false">MAX(0,MIN('Stage Schedule &amp; Costs (2)'!$F9,BG$4)-MAX('Stage Schedule &amp; Costs (2)'!$E9,BG$4-1))*'Stage Schedule &amp; Costs (2)'!$H9</f>
        <v>0</v>
      </c>
      <c r="BH9" s="85" t="n">
        <f aca="false">MAX(0,MIN('Stage Schedule &amp; Costs (2)'!$F9,BH$4)-MAX('Stage Schedule &amp; Costs (2)'!$E9,BH$4-1))*'Stage Schedule &amp; Costs (2)'!$H9</f>
        <v>0</v>
      </c>
      <c r="BI9" s="85" t="n">
        <f aca="false">MAX(0,MIN('Stage Schedule &amp; Costs (2)'!$F9,BI$4)-MAX('Stage Schedule &amp; Costs (2)'!$E9,BI$4-1))*'Stage Schedule &amp; Costs (2)'!$H9</f>
        <v>0</v>
      </c>
      <c r="BJ9" s="85" t="n">
        <f aca="false">MAX(0,MIN('Stage Schedule &amp; Costs (2)'!$F9,BJ$4)-MAX('Stage Schedule &amp; Costs (2)'!$E9,BJ$4-1))*'Stage Schedule &amp; Costs (2)'!$H9</f>
        <v>0</v>
      </c>
      <c r="BK9" s="85" t="n">
        <f aca="false">MAX(0,MIN('Stage Schedule &amp; Costs (2)'!$F9,BK$4)-MAX('Stage Schedule &amp; Costs (2)'!$E9,BK$4-1))*'Stage Schedule &amp; Costs (2)'!$H9</f>
        <v>0</v>
      </c>
    </row>
    <row r="10" customFormat="false" ht="15" hidden="false" customHeight="true" outlineLevel="0" collapsed="false">
      <c r="A10" s="86" t="n">
        <f aca="false">'Stage Schedule &amp; Costs (2)'!A10</f>
        <v>6</v>
      </c>
      <c r="B10" s="87" t="str">
        <f aca="false">'Stage Schedule &amp; Costs (2)'!B10&amp;" - "&amp;'Stage Schedule &amp; Costs (2)'!C10</f>
        <v> - 2nd Floor</v>
      </c>
      <c r="C10" s="88" t="n">
        <f aca="false">SUM(D10:BE10)</f>
        <v>3300000</v>
      </c>
      <c r="D10" s="88" t="n">
        <f aca="false">MAX(0,MIN('Stage Schedule &amp; Costs (2)'!$F10,D$4)-MAX('Stage Schedule &amp; Costs (2)'!$E10,D$4-1))*'Stage Schedule &amp; Costs (2)'!$H10</f>
        <v>0</v>
      </c>
      <c r="E10" s="88" t="n">
        <f aca="false">MAX(0,MIN('Stage Schedule &amp; Costs (2)'!$F10,E$4)-MAX('Stage Schedule &amp; Costs (2)'!$E10,E$4-1))*'Stage Schedule &amp; Costs (2)'!$H10</f>
        <v>0</v>
      </c>
      <c r="F10" s="88" t="n">
        <f aca="false">MAX(0,MIN('Stage Schedule &amp; Costs (2)'!$F10,F$4)-MAX('Stage Schedule &amp; Costs (2)'!$E10,F$4-1))*'Stage Schedule &amp; Costs (2)'!$H10</f>
        <v>0</v>
      </c>
      <c r="G10" s="88" t="n">
        <f aca="false">MAX(0,MIN('Stage Schedule &amp; Costs (2)'!$F10,G$4)-MAX('Stage Schedule &amp; Costs (2)'!$E10,G$4-1))*'Stage Schedule &amp; Costs (2)'!$H10</f>
        <v>0</v>
      </c>
      <c r="H10" s="88" t="n">
        <f aca="false">MAX(0,MIN('Stage Schedule &amp; Costs (2)'!$F10,H$4)-MAX('Stage Schedule &amp; Costs (2)'!$E10,H$4-1))*'Stage Schedule &amp; Costs (2)'!$H10</f>
        <v>0</v>
      </c>
      <c r="I10" s="88" t="n">
        <f aca="false">MAX(0,MIN('Stage Schedule &amp; Costs (2)'!$F10,I$4)-MAX('Stage Schedule &amp; Costs (2)'!$E10,I$4-1))*'Stage Schedule &amp; Costs (2)'!$H10</f>
        <v>0</v>
      </c>
      <c r="J10" s="88" t="n">
        <f aca="false">MAX(0,MIN('Stage Schedule &amp; Costs (2)'!$F10,J$4)-MAX('Stage Schedule &amp; Costs (2)'!$E10,J$4-1))*'Stage Schedule &amp; Costs (2)'!$H10</f>
        <v>0</v>
      </c>
      <c r="K10" s="88" t="n">
        <f aca="false">MAX(0,MIN('Stage Schedule &amp; Costs (2)'!$F10,K$4)-MAX('Stage Schedule &amp; Costs (2)'!$E10,K$4-1))*'Stage Schedule &amp; Costs (2)'!$H10</f>
        <v>0</v>
      </c>
      <c r="L10" s="88" t="n">
        <f aca="false">MAX(0,MIN('Stage Schedule &amp; Costs (2)'!$F10,L$4)-MAX('Stage Schedule &amp; Costs (2)'!$E10,L$4-1))*'Stage Schedule &amp; Costs (2)'!$H10</f>
        <v>0</v>
      </c>
      <c r="M10" s="88" t="n">
        <f aca="false">MAX(0,MIN('Stage Schedule &amp; Costs (2)'!$F10,M$4)-MAX('Stage Schedule &amp; Costs (2)'!$E10,M$4-1))*'Stage Schedule &amp; Costs (2)'!$H10</f>
        <v>0</v>
      </c>
      <c r="N10" s="88" t="n">
        <f aca="false">MAX(0,MIN('Stage Schedule &amp; Costs (2)'!$F10,N$4)-MAX('Stage Schedule &amp; Costs (2)'!$E10,N$4-1))*'Stage Schedule &amp; Costs (2)'!$H10</f>
        <v>0</v>
      </c>
      <c r="O10" s="88" t="n">
        <f aca="false">MAX(0,MIN('Stage Schedule &amp; Costs (2)'!$F10,O$4)-MAX('Stage Schedule &amp; Costs (2)'!$E10,O$4-1))*'Stage Schedule &amp; Costs (2)'!$H10</f>
        <v>0</v>
      </c>
      <c r="P10" s="88" t="n">
        <f aca="false">MAX(0,MIN('Stage Schedule &amp; Costs (2)'!$F10,P$4)-MAX('Stage Schedule &amp; Costs (2)'!$E10,P$4-1))*'Stage Schedule &amp; Costs (2)'!$H10</f>
        <v>0</v>
      </c>
      <c r="Q10" s="88" t="n">
        <f aca="false">MAX(0,MIN('Stage Schedule &amp; Costs (2)'!$F10,Q$4)-MAX('Stage Schedule &amp; Costs (2)'!$E10,Q$4-1))*'Stage Schedule &amp; Costs (2)'!$H10</f>
        <v>0</v>
      </c>
      <c r="R10" s="88" t="n">
        <f aca="false">MAX(0,MIN('Stage Schedule &amp; Costs (2)'!$F10,R$4)-MAX('Stage Schedule &amp; Costs (2)'!$E10,R$4-1))*'Stage Schedule &amp; Costs (2)'!$H10</f>
        <v>0</v>
      </c>
      <c r="S10" s="88" t="n">
        <f aca="false">MAX(0,MIN('Stage Schedule &amp; Costs (2)'!$F10,S$4)-MAX('Stage Schedule &amp; Costs (2)'!$E10,S$4-1))*'Stage Schedule &amp; Costs (2)'!$H10</f>
        <v>0</v>
      </c>
      <c r="T10" s="88" t="n">
        <f aca="false">MAX(0,MIN('Stage Schedule &amp; Costs (2)'!$F10,T$4)-MAX('Stage Schedule &amp; Costs (2)'!$E10,T$4-1))*'Stage Schedule &amp; Costs (2)'!$H10</f>
        <v>0</v>
      </c>
      <c r="U10" s="88" t="n">
        <f aca="false">MAX(0,MIN('Stage Schedule &amp; Costs (2)'!$F10,U$4)-MAX('Stage Schedule &amp; Costs (2)'!$E10,U$4-1))*'Stage Schedule &amp; Costs (2)'!$H10</f>
        <v>0</v>
      </c>
      <c r="V10" s="88" t="n">
        <f aca="false">MAX(0,MIN('Stage Schedule &amp; Costs (2)'!$F10,V$4)-MAX('Stage Schedule &amp; Costs (2)'!$E10,V$4-1))*'Stage Schedule &amp; Costs (2)'!$H10</f>
        <v>0</v>
      </c>
      <c r="W10" s="88" t="n">
        <f aca="false">MAX(0,MIN('Stage Schedule &amp; Costs (2)'!$F10,W$4)-MAX('Stage Schedule &amp; Costs (2)'!$E10,W$4-1))*'Stage Schedule &amp; Costs (2)'!$H10</f>
        <v>0</v>
      </c>
      <c r="X10" s="88" t="n">
        <f aca="false">MAX(0,MIN('Stage Schedule &amp; Costs (2)'!$F10,X$4)-MAX('Stage Schedule &amp; Costs (2)'!$E10,X$4-1))*'Stage Schedule &amp; Costs (2)'!$H10</f>
        <v>0</v>
      </c>
      <c r="Y10" s="88" t="n">
        <f aca="false">MAX(0,MIN('Stage Schedule &amp; Costs (2)'!$F10,Y$4)-MAX('Stage Schedule &amp; Costs (2)'!$E10,Y$4-1))*'Stage Schedule &amp; Costs (2)'!$H10</f>
        <v>1100000</v>
      </c>
      <c r="Z10" s="88" t="n">
        <f aca="false">MAX(0,MIN('Stage Schedule &amp; Costs (2)'!$F10,Z$4)-MAX('Stage Schedule &amp; Costs (2)'!$E10,Z$4-1))*'Stage Schedule &amp; Costs (2)'!$H10</f>
        <v>1100000</v>
      </c>
      <c r="AA10" s="88" t="n">
        <f aca="false">MAX(0,MIN('Stage Schedule &amp; Costs (2)'!$F10,AA$4)-MAX('Stage Schedule &amp; Costs (2)'!$E10,AA$4-1))*'Stage Schedule &amp; Costs (2)'!$H10</f>
        <v>1100000</v>
      </c>
      <c r="AB10" s="88" t="n">
        <f aca="false">MAX(0,MIN('Stage Schedule &amp; Costs (2)'!$F10,AB$4)-MAX('Stage Schedule &amp; Costs (2)'!$E10,AB$4-1))*'Stage Schedule &amp; Costs (2)'!$H10</f>
        <v>0</v>
      </c>
      <c r="AC10" s="88" t="n">
        <f aca="false">MAX(0,MIN('Stage Schedule &amp; Costs (2)'!$F10,AC$4)-MAX('Stage Schedule &amp; Costs (2)'!$E10,AC$4-1))*'Stage Schedule &amp; Costs (2)'!$H10</f>
        <v>0</v>
      </c>
      <c r="AD10" s="88" t="n">
        <f aca="false">MAX(0,MIN('Stage Schedule &amp; Costs (2)'!$F10,AD$4)-MAX('Stage Schedule &amp; Costs (2)'!$E10,AD$4-1))*'Stage Schedule &amp; Costs (2)'!$H10</f>
        <v>0</v>
      </c>
      <c r="AE10" s="88" t="n">
        <f aca="false">MAX(0,MIN('Stage Schedule &amp; Costs (2)'!$F10,AE$4)-MAX('Stage Schedule &amp; Costs (2)'!$E10,AE$4-1))*'Stage Schedule &amp; Costs (2)'!$H10</f>
        <v>0</v>
      </c>
      <c r="AF10" s="88" t="n">
        <f aca="false">MAX(0,MIN('Stage Schedule &amp; Costs (2)'!$F10,AF$4)-MAX('Stage Schedule &amp; Costs (2)'!$E10,AF$4-1))*'Stage Schedule &amp; Costs (2)'!$H10</f>
        <v>0</v>
      </c>
      <c r="AG10" s="88" t="n">
        <f aca="false">MAX(0,MIN('Stage Schedule &amp; Costs (2)'!$F10,AG$4)-MAX('Stage Schedule &amp; Costs (2)'!$E10,AG$4-1))*'Stage Schedule &amp; Costs (2)'!$H10</f>
        <v>0</v>
      </c>
      <c r="AH10" s="88" t="n">
        <f aca="false">MAX(0,MIN('Stage Schedule &amp; Costs (2)'!$F10,AH$4)-MAX('Stage Schedule &amp; Costs (2)'!$E10,AH$4-1))*'Stage Schedule &amp; Costs (2)'!$H10</f>
        <v>0</v>
      </c>
      <c r="AI10" s="88" t="n">
        <f aca="false">MAX(0,MIN('Stage Schedule &amp; Costs (2)'!$F10,AI$4)-MAX('Stage Schedule &amp; Costs (2)'!$E10,AI$4-1))*'Stage Schedule &amp; Costs (2)'!$H10</f>
        <v>0</v>
      </c>
      <c r="AJ10" s="88" t="n">
        <f aca="false">MAX(0,MIN('Stage Schedule &amp; Costs (2)'!$F10,AJ$4)-MAX('Stage Schedule &amp; Costs (2)'!$E10,AJ$4-1))*'Stage Schedule &amp; Costs (2)'!$H10</f>
        <v>0</v>
      </c>
      <c r="AK10" s="88" t="n">
        <f aca="false">MAX(0,MIN('Stage Schedule &amp; Costs (2)'!$F10,AK$4)-MAX('Stage Schedule &amp; Costs (2)'!$E10,AK$4-1))*'Stage Schedule &amp; Costs (2)'!$H10</f>
        <v>0</v>
      </c>
      <c r="AL10" s="88" t="n">
        <f aca="false">MAX(0,MIN('Stage Schedule &amp; Costs (2)'!$F10,AL$4)-MAX('Stage Schedule &amp; Costs (2)'!$E10,AL$4-1))*'Stage Schedule &amp; Costs (2)'!$H10</f>
        <v>0</v>
      </c>
      <c r="AM10" s="88" t="n">
        <f aca="false">MAX(0,MIN('Stage Schedule &amp; Costs (2)'!$F10,AM$4)-MAX('Stage Schedule &amp; Costs (2)'!$E10,AM$4-1))*'Stage Schedule &amp; Costs (2)'!$H10</f>
        <v>0</v>
      </c>
      <c r="AN10" s="88" t="n">
        <f aca="false">MAX(0,MIN('Stage Schedule &amp; Costs (2)'!$F10,AN$4)-MAX('Stage Schedule &amp; Costs (2)'!$E10,AN$4-1))*'Stage Schedule &amp; Costs (2)'!$H10</f>
        <v>0</v>
      </c>
      <c r="AO10" s="88" t="n">
        <f aca="false">MAX(0,MIN('Stage Schedule &amp; Costs (2)'!$F10,AO$4)-MAX('Stage Schedule &amp; Costs (2)'!$E10,AO$4-1))*'Stage Schedule &amp; Costs (2)'!$H10</f>
        <v>0</v>
      </c>
      <c r="AP10" s="88" t="n">
        <f aca="false">MAX(0,MIN('Stage Schedule &amp; Costs (2)'!$F10,AP$4)-MAX('Stage Schedule &amp; Costs (2)'!$E10,AP$4-1))*'Stage Schedule &amp; Costs (2)'!$H10</f>
        <v>0</v>
      </c>
      <c r="AQ10" s="88" t="n">
        <f aca="false">MAX(0,MIN('Stage Schedule &amp; Costs (2)'!$F10,AQ$4)-MAX('Stage Schedule &amp; Costs (2)'!$E10,AQ$4-1))*'Stage Schedule &amp; Costs (2)'!$H10</f>
        <v>0</v>
      </c>
      <c r="AR10" s="88" t="n">
        <f aca="false">MAX(0,MIN('Stage Schedule &amp; Costs (2)'!$F10,AR$4)-MAX('Stage Schedule &amp; Costs (2)'!$E10,AR$4-1))*'Stage Schedule &amp; Costs (2)'!$H10</f>
        <v>0</v>
      </c>
      <c r="AS10" s="88" t="n">
        <f aca="false">MAX(0,MIN('Stage Schedule &amp; Costs (2)'!$F10,AS$4)-MAX('Stage Schedule &amp; Costs (2)'!$E10,AS$4-1))*'Stage Schedule &amp; Costs (2)'!$H10</f>
        <v>0</v>
      </c>
      <c r="AT10" s="88" t="n">
        <f aca="false">MAX(0,MIN('Stage Schedule &amp; Costs (2)'!$F10,AT$4)-MAX('Stage Schedule &amp; Costs (2)'!$E10,AT$4-1))*'Stage Schedule &amp; Costs (2)'!$H10</f>
        <v>0</v>
      </c>
      <c r="AU10" s="88" t="n">
        <f aca="false">MAX(0,MIN('Stage Schedule &amp; Costs (2)'!$F10,AU$4)-MAX('Stage Schedule &amp; Costs (2)'!$E10,AU$4-1))*'Stage Schedule &amp; Costs (2)'!$H10</f>
        <v>0</v>
      </c>
      <c r="AV10" s="88" t="n">
        <f aca="false">MAX(0,MIN('Stage Schedule &amp; Costs (2)'!$F10,AV$4)-MAX('Stage Schedule &amp; Costs (2)'!$E10,AV$4-1))*'Stage Schedule &amp; Costs (2)'!$H10</f>
        <v>0</v>
      </c>
      <c r="AW10" s="88" t="n">
        <f aca="false">MAX(0,MIN('Stage Schedule &amp; Costs (2)'!$F10,AW$4)-MAX('Stage Schedule &amp; Costs (2)'!$E10,AW$4-1))*'Stage Schedule &amp; Costs (2)'!$H10</f>
        <v>0</v>
      </c>
      <c r="AX10" s="88" t="n">
        <f aca="false">MAX(0,MIN('Stage Schedule &amp; Costs (2)'!$F10,AX$4)-MAX('Stage Schedule &amp; Costs (2)'!$E10,AX$4-1))*'Stage Schedule &amp; Costs (2)'!$H10</f>
        <v>0</v>
      </c>
      <c r="AY10" s="88" t="n">
        <f aca="false">MAX(0,MIN('Stage Schedule &amp; Costs (2)'!$F10,AY$4)-MAX('Stage Schedule &amp; Costs (2)'!$E10,AY$4-1))*'Stage Schedule &amp; Costs (2)'!$H10</f>
        <v>0</v>
      </c>
      <c r="AZ10" s="88" t="n">
        <f aca="false">MAX(0,MIN('Stage Schedule &amp; Costs (2)'!$F10,AZ$4)-MAX('Stage Schedule &amp; Costs (2)'!$E10,AZ$4-1))*'Stage Schedule &amp; Costs (2)'!$H10</f>
        <v>0</v>
      </c>
      <c r="BA10" s="88" t="n">
        <f aca="false">MAX(0,MIN('Stage Schedule &amp; Costs (2)'!$F10,BA$4)-MAX('Stage Schedule &amp; Costs (2)'!$E10,BA$4-1))*'Stage Schedule &amp; Costs (2)'!$H10</f>
        <v>0</v>
      </c>
      <c r="BB10" s="88" t="n">
        <f aca="false">MAX(0,MIN('Stage Schedule &amp; Costs (2)'!$F10,BB$4)-MAX('Stage Schedule &amp; Costs (2)'!$E10,BB$4-1))*'Stage Schedule &amp; Costs (2)'!$H10</f>
        <v>0</v>
      </c>
      <c r="BC10" s="88" t="n">
        <f aca="false">MAX(0,MIN('Stage Schedule &amp; Costs (2)'!$F10,BC$4)-MAX('Stage Schedule &amp; Costs (2)'!$E10,BC$4-1))*'Stage Schedule &amp; Costs (2)'!$H10</f>
        <v>0</v>
      </c>
      <c r="BD10" s="88" t="n">
        <f aca="false">MAX(0,MIN('Stage Schedule &amp; Costs (2)'!$F10,BD$4)-MAX('Stage Schedule &amp; Costs (2)'!$E10,BD$4-1))*'Stage Schedule &amp; Costs (2)'!$H10</f>
        <v>0</v>
      </c>
      <c r="BE10" s="88" t="n">
        <f aca="false">MAX(0,MIN('Stage Schedule &amp; Costs (2)'!$F10,BE$4)-MAX('Stage Schedule &amp; Costs (2)'!$E10,BE$4-1))*'Stage Schedule &amp; Costs (2)'!$H10</f>
        <v>0</v>
      </c>
      <c r="BF10" s="88" t="n">
        <f aca="false">MAX(0,MIN('Stage Schedule &amp; Costs (2)'!$F10,BF$4)-MAX('Stage Schedule &amp; Costs (2)'!$E10,BF$4-1))*'Stage Schedule &amp; Costs (2)'!$H10</f>
        <v>0</v>
      </c>
      <c r="BG10" s="88" t="n">
        <f aca="false">MAX(0,MIN('Stage Schedule &amp; Costs (2)'!$F10,BG$4)-MAX('Stage Schedule &amp; Costs (2)'!$E10,BG$4-1))*'Stage Schedule &amp; Costs (2)'!$H10</f>
        <v>0</v>
      </c>
      <c r="BH10" s="88" t="n">
        <f aca="false">MAX(0,MIN('Stage Schedule &amp; Costs (2)'!$F10,BH$4)-MAX('Stage Schedule &amp; Costs (2)'!$E10,BH$4-1))*'Stage Schedule &amp; Costs (2)'!$H10</f>
        <v>0</v>
      </c>
      <c r="BI10" s="88" t="n">
        <f aca="false">MAX(0,MIN('Stage Schedule &amp; Costs (2)'!$F10,BI$4)-MAX('Stage Schedule &amp; Costs (2)'!$E10,BI$4-1))*'Stage Schedule &amp; Costs (2)'!$H10</f>
        <v>0</v>
      </c>
      <c r="BJ10" s="88" t="n">
        <f aca="false">MAX(0,MIN('Stage Schedule &amp; Costs (2)'!$F10,BJ$4)-MAX('Stage Schedule &amp; Costs (2)'!$E10,BJ$4-1))*'Stage Schedule &amp; Costs (2)'!$H10</f>
        <v>0</v>
      </c>
      <c r="BK10" s="88" t="n">
        <f aca="false">MAX(0,MIN('Stage Schedule &amp; Costs (2)'!$F10,BK$4)-MAX('Stage Schedule &amp; Costs (2)'!$E10,BK$4-1))*'Stage Schedule &amp; Costs (2)'!$H10</f>
        <v>0</v>
      </c>
    </row>
    <row r="11" customFormat="false" ht="15" hidden="false" customHeight="true" outlineLevel="0" collapsed="false">
      <c r="A11" s="74" t="n">
        <f aca="false">'Stage Schedule &amp; Costs (2)'!A11</f>
        <v>7</v>
      </c>
      <c r="B11" s="84" t="str">
        <f aca="false">'Stage Schedule &amp; Costs (2)'!B11&amp;" - "&amp;'Stage Schedule &amp; Costs (2)'!C11</f>
        <v> - 3rd Floor</v>
      </c>
      <c r="C11" s="85" t="n">
        <f aca="false">SUM(D11:BE11)</f>
        <v>0</v>
      </c>
      <c r="D11" s="85" t="n">
        <f aca="false">MAX(0,MIN('Stage Schedule &amp; Costs (2)'!$F11,D$4)-MAX('Stage Schedule &amp; Costs (2)'!$E11,D$4-1))*'Stage Schedule &amp; Costs (2)'!$H11</f>
        <v>0</v>
      </c>
      <c r="E11" s="85" t="n">
        <f aca="false">MAX(0,MIN('Stage Schedule &amp; Costs (2)'!$F11,E$4)-MAX('Stage Schedule &amp; Costs (2)'!$E11,E$4-1))*'Stage Schedule &amp; Costs (2)'!$H11</f>
        <v>0</v>
      </c>
      <c r="F11" s="85" t="n">
        <f aca="false">MAX(0,MIN('Stage Schedule &amp; Costs (2)'!$F11,F$4)-MAX('Stage Schedule &amp; Costs (2)'!$E11,F$4-1))*'Stage Schedule &amp; Costs (2)'!$H11</f>
        <v>0</v>
      </c>
      <c r="G11" s="85" t="n">
        <f aca="false">MAX(0,MIN('Stage Schedule &amp; Costs (2)'!$F11,G$4)-MAX('Stage Schedule &amp; Costs (2)'!$E11,G$4-1))*'Stage Schedule &amp; Costs (2)'!$H11</f>
        <v>0</v>
      </c>
      <c r="H11" s="85" t="n">
        <f aca="false">MAX(0,MIN('Stage Schedule &amp; Costs (2)'!$F11,H$4)-MAX('Stage Schedule &amp; Costs (2)'!$E11,H$4-1))*'Stage Schedule &amp; Costs (2)'!$H11</f>
        <v>0</v>
      </c>
      <c r="I11" s="85" t="n">
        <f aca="false">MAX(0,MIN('Stage Schedule &amp; Costs (2)'!$F11,I$4)-MAX('Stage Schedule &amp; Costs (2)'!$E11,I$4-1))*'Stage Schedule &amp; Costs (2)'!$H11</f>
        <v>0</v>
      </c>
      <c r="J11" s="85" t="n">
        <f aca="false">MAX(0,MIN('Stage Schedule &amp; Costs (2)'!$F11,J$4)-MAX('Stage Schedule &amp; Costs (2)'!$E11,J$4-1))*'Stage Schedule &amp; Costs (2)'!$H11</f>
        <v>0</v>
      </c>
      <c r="K11" s="85" t="n">
        <f aca="false">MAX(0,MIN('Stage Schedule &amp; Costs (2)'!$F11,K$4)-MAX('Stage Schedule &amp; Costs (2)'!$E11,K$4-1))*'Stage Schedule &amp; Costs (2)'!$H11</f>
        <v>0</v>
      </c>
      <c r="L11" s="85" t="n">
        <f aca="false">MAX(0,MIN('Stage Schedule &amp; Costs (2)'!$F11,L$4)-MAX('Stage Schedule &amp; Costs (2)'!$E11,L$4-1))*'Stage Schedule &amp; Costs (2)'!$H11</f>
        <v>0</v>
      </c>
      <c r="M11" s="85" t="n">
        <f aca="false">MAX(0,MIN('Stage Schedule &amp; Costs (2)'!$F11,M$4)-MAX('Stage Schedule &amp; Costs (2)'!$E11,M$4-1))*'Stage Schedule &amp; Costs (2)'!$H11</f>
        <v>0</v>
      </c>
      <c r="N11" s="85" t="n">
        <f aca="false">MAX(0,MIN('Stage Schedule &amp; Costs (2)'!$F11,N$4)-MAX('Stage Schedule &amp; Costs (2)'!$E11,N$4-1))*'Stage Schedule &amp; Costs (2)'!$H11</f>
        <v>0</v>
      </c>
      <c r="O11" s="85" t="n">
        <f aca="false">MAX(0,MIN('Stage Schedule &amp; Costs (2)'!$F11,O$4)-MAX('Stage Schedule &amp; Costs (2)'!$E11,O$4-1))*'Stage Schedule &amp; Costs (2)'!$H11</f>
        <v>0</v>
      </c>
      <c r="P11" s="85" t="n">
        <f aca="false">MAX(0,MIN('Stage Schedule &amp; Costs (2)'!$F11,P$4)-MAX('Stage Schedule &amp; Costs (2)'!$E11,P$4-1))*'Stage Schedule &amp; Costs (2)'!$H11</f>
        <v>0</v>
      </c>
      <c r="Q11" s="85" t="n">
        <f aca="false">MAX(0,MIN('Stage Schedule &amp; Costs (2)'!$F11,Q$4)-MAX('Stage Schedule &amp; Costs (2)'!$E11,Q$4-1))*'Stage Schedule &amp; Costs (2)'!$H11</f>
        <v>0</v>
      </c>
      <c r="R11" s="85" t="n">
        <f aca="false">MAX(0,MIN('Stage Schedule &amp; Costs (2)'!$F11,R$4)-MAX('Stage Schedule &amp; Costs (2)'!$E11,R$4-1))*'Stage Schedule &amp; Costs (2)'!$H11</f>
        <v>0</v>
      </c>
      <c r="S11" s="85" t="n">
        <f aca="false">MAX(0,MIN('Stage Schedule &amp; Costs (2)'!$F11,S$4)-MAX('Stage Schedule &amp; Costs (2)'!$E11,S$4-1))*'Stage Schedule &amp; Costs (2)'!$H11</f>
        <v>0</v>
      </c>
      <c r="T11" s="85" t="n">
        <f aca="false">MAX(0,MIN('Stage Schedule &amp; Costs (2)'!$F11,T$4)-MAX('Stage Schedule &amp; Costs (2)'!$E11,T$4-1))*'Stage Schedule &amp; Costs (2)'!$H11</f>
        <v>0</v>
      </c>
      <c r="U11" s="85" t="n">
        <f aca="false">MAX(0,MIN('Stage Schedule &amp; Costs (2)'!$F11,U$4)-MAX('Stage Schedule &amp; Costs (2)'!$E11,U$4-1))*'Stage Schedule &amp; Costs (2)'!$H11</f>
        <v>0</v>
      </c>
      <c r="V11" s="85" t="n">
        <f aca="false">MAX(0,MIN('Stage Schedule &amp; Costs (2)'!$F11,V$4)-MAX('Stage Schedule &amp; Costs (2)'!$E11,V$4-1))*'Stage Schedule &amp; Costs (2)'!$H11</f>
        <v>0</v>
      </c>
      <c r="W11" s="85" t="n">
        <f aca="false">MAX(0,MIN('Stage Schedule &amp; Costs (2)'!$F11,W$4)-MAX('Stage Schedule &amp; Costs (2)'!$E11,W$4-1))*'Stage Schedule &amp; Costs (2)'!$H11</f>
        <v>0</v>
      </c>
      <c r="X11" s="85" t="n">
        <f aca="false">MAX(0,MIN('Stage Schedule &amp; Costs (2)'!$F11,X$4)-MAX('Stage Schedule &amp; Costs (2)'!$E11,X$4-1))*'Stage Schedule &amp; Costs (2)'!$H11</f>
        <v>0</v>
      </c>
      <c r="Y11" s="85" t="n">
        <f aca="false">MAX(0,MIN('Stage Schedule &amp; Costs (2)'!$F11,Y$4)-MAX('Stage Schedule &amp; Costs (2)'!$E11,Y$4-1))*'Stage Schedule &amp; Costs (2)'!$H11</f>
        <v>0</v>
      </c>
      <c r="Z11" s="85" t="n">
        <f aca="false">MAX(0,MIN('Stage Schedule &amp; Costs (2)'!$F11,Z$4)-MAX('Stage Schedule &amp; Costs (2)'!$E11,Z$4-1))*'Stage Schedule &amp; Costs (2)'!$H11</f>
        <v>0</v>
      </c>
      <c r="AA11" s="85" t="n">
        <f aca="false">MAX(0,MIN('Stage Schedule &amp; Costs (2)'!$F11,AA$4)-MAX('Stage Schedule &amp; Costs (2)'!$E11,AA$4-1))*'Stage Schedule &amp; Costs (2)'!$H11</f>
        <v>0</v>
      </c>
      <c r="AB11" s="85" t="n">
        <f aca="false">MAX(0,MIN('Stage Schedule &amp; Costs (2)'!$F11,AB$4)-MAX('Stage Schedule &amp; Costs (2)'!$E11,AB$4-1))*'Stage Schedule &amp; Costs (2)'!$H11</f>
        <v>0</v>
      </c>
      <c r="AC11" s="85" t="n">
        <f aca="false">MAX(0,MIN('Stage Schedule &amp; Costs (2)'!$F11,AC$4)-MAX('Stage Schedule &amp; Costs (2)'!$E11,AC$4-1))*'Stage Schedule &amp; Costs (2)'!$H11</f>
        <v>0</v>
      </c>
      <c r="AD11" s="85" t="n">
        <f aca="false">MAX(0,MIN('Stage Schedule &amp; Costs (2)'!$F11,AD$4)-MAX('Stage Schedule &amp; Costs (2)'!$E11,AD$4-1))*'Stage Schedule &amp; Costs (2)'!$H11</f>
        <v>0</v>
      </c>
      <c r="AE11" s="85" t="n">
        <f aca="false">MAX(0,MIN('Stage Schedule &amp; Costs (2)'!$F11,AE$4)-MAX('Stage Schedule &amp; Costs (2)'!$E11,AE$4-1))*'Stage Schedule &amp; Costs (2)'!$H11</f>
        <v>0</v>
      </c>
      <c r="AF11" s="85" t="n">
        <f aca="false">MAX(0,MIN('Stage Schedule &amp; Costs (2)'!$F11,AF$4)-MAX('Stage Schedule &amp; Costs (2)'!$E11,AF$4-1))*'Stage Schedule &amp; Costs (2)'!$H11</f>
        <v>0</v>
      </c>
      <c r="AG11" s="85" t="n">
        <f aca="false">MAX(0,MIN('Stage Schedule &amp; Costs (2)'!$F11,AG$4)-MAX('Stage Schedule &amp; Costs (2)'!$E11,AG$4-1))*'Stage Schedule &amp; Costs (2)'!$H11</f>
        <v>0</v>
      </c>
      <c r="AH11" s="85" t="n">
        <f aca="false">MAX(0,MIN('Stage Schedule &amp; Costs (2)'!$F11,AH$4)-MAX('Stage Schedule &amp; Costs (2)'!$E11,AH$4-1))*'Stage Schedule &amp; Costs (2)'!$H11</f>
        <v>0</v>
      </c>
      <c r="AI11" s="85" t="n">
        <f aca="false">MAX(0,MIN('Stage Schedule &amp; Costs (2)'!$F11,AI$4)-MAX('Stage Schedule &amp; Costs (2)'!$E11,AI$4-1))*'Stage Schedule &amp; Costs (2)'!$H11</f>
        <v>0</v>
      </c>
      <c r="AJ11" s="85" t="n">
        <f aca="false">MAX(0,MIN('Stage Schedule &amp; Costs (2)'!$F11,AJ$4)-MAX('Stage Schedule &amp; Costs (2)'!$E11,AJ$4-1))*'Stage Schedule &amp; Costs (2)'!$H11</f>
        <v>0</v>
      </c>
      <c r="AK11" s="85" t="n">
        <f aca="false">MAX(0,MIN('Stage Schedule &amp; Costs (2)'!$F11,AK$4)-MAX('Stage Schedule &amp; Costs (2)'!$E11,AK$4-1))*'Stage Schedule &amp; Costs (2)'!$H11</f>
        <v>0</v>
      </c>
      <c r="AL11" s="85" t="n">
        <f aca="false">MAX(0,MIN('Stage Schedule &amp; Costs (2)'!$F11,AL$4)-MAX('Stage Schedule &amp; Costs (2)'!$E11,AL$4-1))*'Stage Schedule &amp; Costs (2)'!$H11</f>
        <v>0</v>
      </c>
      <c r="AM11" s="85" t="n">
        <f aca="false">MAX(0,MIN('Stage Schedule &amp; Costs (2)'!$F11,AM$4)-MAX('Stage Schedule &amp; Costs (2)'!$E11,AM$4-1))*'Stage Schedule &amp; Costs (2)'!$H11</f>
        <v>0</v>
      </c>
      <c r="AN11" s="85" t="n">
        <f aca="false">MAX(0,MIN('Stage Schedule &amp; Costs (2)'!$F11,AN$4)-MAX('Stage Schedule &amp; Costs (2)'!$E11,AN$4-1))*'Stage Schedule &amp; Costs (2)'!$H11</f>
        <v>0</v>
      </c>
      <c r="AO11" s="85" t="n">
        <f aca="false">MAX(0,MIN('Stage Schedule &amp; Costs (2)'!$F11,AO$4)-MAX('Stage Schedule &amp; Costs (2)'!$E11,AO$4-1))*'Stage Schedule &amp; Costs (2)'!$H11</f>
        <v>0</v>
      </c>
      <c r="AP11" s="85" t="n">
        <f aca="false">MAX(0,MIN('Stage Schedule &amp; Costs (2)'!$F11,AP$4)-MAX('Stage Schedule &amp; Costs (2)'!$E11,AP$4-1))*'Stage Schedule &amp; Costs (2)'!$H11</f>
        <v>0</v>
      </c>
      <c r="AQ11" s="85" t="n">
        <f aca="false">MAX(0,MIN('Stage Schedule &amp; Costs (2)'!$F11,AQ$4)-MAX('Stage Schedule &amp; Costs (2)'!$E11,AQ$4-1))*'Stage Schedule &amp; Costs (2)'!$H11</f>
        <v>0</v>
      </c>
      <c r="AR11" s="85" t="n">
        <f aca="false">MAX(0,MIN('Stage Schedule &amp; Costs (2)'!$F11,AR$4)-MAX('Stage Schedule &amp; Costs (2)'!$E11,AR$4-1))*'Stage Schedule &amp; Costs (2)'!$H11</f>
        <v>0</v>
      </c>
      <c r="AS11" s="85" t="n">
        <f aca="false">MAX(0,MIN('Stage Schedule &amp; Costs (2)'!$F11,AS$4)-MAX('Stage Schedule &amp; Costs (2)'!$E11,AS$4-1))*'Stage Schedule &amp; Costs (2)'!$H11</f>
        <v>0</v>
      </c>
      <c r="AT11" s="85" t="n">
        <f aca="false">MAX(0,MIN('Stage Schedule &amp; Costs (2)'!$F11,AT$4)-MAX('Stage Schedule &amp; Costs (2)'!$E11,AT$4-1))*'Stage Schedule &amp; Costs (2)'!$H11</f>
        <v>0</v>
      </c>
      <c r="AU11" s="85" t="n">
        <f aca="false">MAX(0,MIN('Stage Schedule &amp; Costs (2)'!$F11,AU$4)-MAX('Stage Schedule &amp; Costs (2)'!$E11,AU$4-1))*'Stage Schedule &amp; Costs (2)'!$H11</f>
        <v>0</v>
      </c>
      <c r="AV11" s="85" t="n">
        <f aca="false">MAX(0,MIN('Stage Schedule &amp; Costs (2)'!$F11,AV$4)-MAX('Stage Schedule &amp; Costs (2)'!$E11,AV$4-1))*'Stage Schedule &amp; Costs (2)'!$H11</f>
        <v>0</v>
      </c>
      <c r="AW11" s="85" t="n">
        <f aca="false">MAX(0,MIN('Stage Schedule &amp; Costs (2)'!$F11,AW$4)-MAX('Stage Schedule &amp; Costs (2)'!$E11,AW$4-1))*'Stage Schedule &amp; Costs (2)'!$H11</f>
        <v>0</v>
      </c>
      <c r="AX11" s="85" t="n">
        <f aca="false">MAX(0,MIN('Stage Schedule &amp; Costs (2)'!$F11,AX$4)-MAX('Stage Schedule &amp; Costs (2)'!$E11,AX$4-1))*'Stage Schedule &amp; Costs (2)'!$H11</f>
        <v>0</v>
      </c>
      <c r="AY11" s="85" t="n">
        <f aca="false">MAX(0,MIN('Stage Schedule &amp; Costs (2)'!$F11,AY$4)-MAX('Stage Schedule &amp; Costs (2)'!$E11,AY$4-1))*'Stage Schedule &amp; Costs (2)'!$H11</f>
        <v>0</v>
      </c>
      <c r="AZ11" s="85" t="n">
        <f aca="false">MAX(0,MIN('Stage Schedule &amp; Costs (2)'!$F11,AZ$4)-MAX('Stage Schedule &amp; Costs (2)'!$E11,AZ$4-1))*'Stage Schedule &amp; Costs (2)'!$H11</f>
        <v>0</v>
      </c>
      <c r="BA11" s="85" t="n">
        <f aca="false">MAX(0,MIN('Stage Schedule &amp; Costs (2)'!$F11,BA$4)-MAX('Stage Schedule &amp; Costs (2)'!$E11,BA$4-1))*'Stage Schedule &amp; Costs (2)'!$H11</f>
        <v>0</v>
      </c>
      <c r="BB11" s="85" t="n">
        <f aca="false">MAX(0,MIN('Stage Schedule &amp; Costs (2)'!$F11,BB$4)-MAX('Stage Schedule &amp; Costs (2)'!$E11,BB$4-1))*'Stage Schedule &amp; Costs (2)'!$H11</f>
        <v>0</v>
      </c>
      <c r="BC11" s="85" t="n">
        <f aca="false">MAX(0,MIN('Stage Schedule &amp; Costs (2)'!$F11,BC$4)-MAX('Stage Schedule &amp; Costs (2)'!$E11,BC$4-1))*'Stage Schedule &amp; Costs (2)'!$H11</f>
        <v>0</v>
      </c>
      <c r="BD11" s="85" t="n">
        <f aca="false">MAX(0,MIN('Stage Schedule &amp; Costs (2)'!$F11,BD$4)-MAX('Stage Schedule &amp; Costs (2)'!$E11,BD$4-1))*'Stage Schedule &amp; Costs (2)'!$H11</f>
        <v>0</v>
      </c>
      <c r="BE11" s="85" t="n">
        <f aca="false">MAX(0,MIN('Stage Schedule &amp; Costs (2)'!$F11,BE$4)-MAX('Stage Schedule &amp; Costs (2)'!$E11,BE$4-1))*'Stage Schedule &amp; Costs (2)'!$H11</f>
        <v>0</v>
      </c>
      <c r="BF11" s="85" t="n">
        <f aca="false">MAX(0,MIN('Stage Schedule &amp; Costs (2)'!$F11,BF$4)-MAX('Stage Schedule &amp; Costs (2)'!$E11,BF$4-1))*'Stage Schedule &amp; Costs (2)'!$H11</f>
        <v>0</v>
      </c>
      <c r="BG11" s="85" t="n">
        <f aca="false">MAX(0,MIN('Stage Schedule &amp; Costs (2)'!$F11,BG$4)-MAX('Stage Schedule &amp; Costs (2)'!$E11,BG$4-1))*'Stage Schedule &amp; Costs (2)'!$H11</f>
        <v>0</v>
      </c>
      <c r="BH11" s="85" t="n">
        <f aca="false">MAX(0,MIN('Stage Schedule &amp; Costs (2)'!$F11,BH$4)-MAX('Stage Schedule &amp; Costs (2)'!$E11,BH$4-1))*'Stage Schedule &amp; Costs (2)'!$H11</f>
        <v>0</v>
      </c>
      <c r="BI11" s="85" t="n">
        <f aca="false">MAX(0,MIN('Stage Schedule &amp; Costs (2)'!$F11,BI$4)-MAX('Stage Schedule &amp; Costs (2)'!$E11,BI$4-1))*'Stage Schedule &amp; Costs (2)'!$H11</f>
        <v>0</v>
      </c>
      <c r="BJ11" s="85" t="n">
        <f aca="false">MAX(0,MIN('Stage Schedule &amp; Costs (2)'!$F11,BJ$4)-MAX('Stage Schedule &amp; Costs (2)'!$E11,BJ$4-1))*'Stage Schedule &amp; Costs (2)'!$H11</f>
        <v>0</v>
      </c>
      <c r="BK11" s="85" t="n">
        <f aca="false">MAX(0,MIN('Stage Schedule &amp; Costs (2)'!$F11,BK$4)-MAX('Stage Schedule &amp; Costs (2)'!$E11,BK$4-1))*'Stage Schedule &amp; Costs (2)'!$H11</f>
        <v>0</v>
      </c>
    </row>
    <row r="12" customFormat="false" ht="15" hidden="false" customHeight="true" outlineLevel="0" collapsed="false">
      <c r="A12" s="86" t="n">
        <f aca="false">'Stage Schedule &amp; Costs (2)'!A12</f>
        <v>8</v>
      </c>
      <c r="B12" s="87" t="str">
        <f aca="false">'Stage Schedule &amp; Costs (2)'!B12&amp;" - "&amp;'Stage Schedule &amp; Costs (2)'!C12</f>
        <v>Building Works - Basement Floor</v>
      </c>
      <c r="C12" s="88" t="n">
        <f aca="false">SUM(D12:BE12)</f>
        <v>330000</v>
      </c>
      <c r="D12" s="88" t="n">
        <f aca="false">MAX(0,MIN('Stage Schedule &amp; Costs (2)'!$F12,D$4)-MAX('Stage Schedule &amp; Costs (2)'!$E12,D$4-1))*'Stage Schedule &amp; Costs (2)'!$H12</f>
        <v>0</v>
      </c>
      <c r="E12" s="88" t="n">
        <f aca="false">MAX(0,MIN('Stage Schedule &amp; Costs (2)'!$F12,E$4)-MAX('Stage Schedule &amp; Costs (2)'!$E12,E$4-1))*'Stage Schedule &amp; Costs (2)'!$H12</f>
        <v>0</v>
      </c>
      <c r="F12" s="88" t="n">
        <f aca="false">MAX(0,MIN('Stage Schedule &amp; Costs (2)'!$F12,F$4)-MAX('Stage Schedule &amp; Costs (2)'!$E12,F$4-1))*'Stage Schedule &amp; Costs (2)'!$H12</f>
        <v>0</v>
      </c>
      <c r="G12" s="88" t="n">
        <f aca="false">MAX(0,MIN('Stage Schedule &amp; Costs (2)'!$F12,G$4)-MAX('Stage Schedule &amp; Costs (2)'!$E12,G$4-1))*'Stage Schedule &amp; Costs (2)'!$H12</f>
        <v>0</v>
      </c>
      <c r="H12" s="88" t="n">
        <f aca="false">MAX(0,MIN('Stage Schedule &amp; Costs (2)'!$F12,H$4)-MAX('Stage Schedule &amp; Costs (2)'!$E12,H$4-1))*'Stage Schedule &amp; Costs (2)'!$H12</f>
        <v>0</v>
      </c>
      <c r="I12" s="88" t="n">
        <f aca="false">MAX(0,MIN('Stage Schedule &amp; Costs (2)'!$F12,I$4)-MAX('Stage Schedule &amp; Costs (2)'!$E12,I$4-1))*'Stage Schedule &amp; Costs (2)'!$H12</f>
        <v>0</v>
      </c>
      <c r="J12" s="88" t="n">
        <f aca="false">MAX(0,MIN('Stage Schedule &amp; Costs (2)'!$F12,J$4)-MAX('Stage Schedule &amp; Costs (2)'!$E12,J$4-1))*'Stage Schedule &amp; Costs (2)'!$H12</f>
        <v>0</v>
      </c>
      <c r="K12" s="88" t="n">
        <f aca="false">MAX(0,MIN('Stage Schedule &amp; Costs (2)'!$F12,K$4)-MAX('Stage Schedule &amp; Costs (2)'!$E12,K$4-1))*'Stage Schedule &amp; Costs (2)'!$H12</f>
        <v>0</v>
      </c>
      <c r="L12" s="88" t="n">
        <f aca="false">MAX(0,MIN('Stage Schedule &amp; Costs (2)'!$F12,L$4)-MAX('Stage Schedule &amp; Costs (2)'!$E12,L$4-1))*'Stage Schedule &amp; Costs (2)'!$H12</f>
        <v>0</v>
      </c>
      <c r="M12" s="88" t="n">
        <f aca="false">MAX(0,MIN('Stage Schedule &amp; Costs (2)'!$F12,M$4)-MAX('Stage Schedule &amp; Costs (2)'!$E12,M$4-1))*'Stage Schedule &amp; Costs (2)'!$H12</f>
        <v>0</v>
      </c>
      <c r="N12" s="88" t="n">
        <f aca="false">MAX(0,MIN('Stage Schedule &amp; Costs (2)'!$F12,N$4)-MAX('Stage Schedule &amp; Costs (2)'!$E12,N$4-1))*'Stage Schedule &amp; Costs (2)'!$H12</f>
        <v>0</v>
      </c>
      <c r="O12" s="88" t="n">
        <f aca="false">MAX(0,MIN('Stage Schedule &amp; Costs (2)'!$F12,O$4)-MAX('Stage Schedule &amp; Costs (2)'!$E12,O$4-1))*'Stage Schedule &amp; Costs (2)'!$H12</f>
        <v>0</v>
      </c>
      <c r="P12" s="88" t="n">
        <f aca="false">MAX(0,MIN('Stage Schedule &amp; Costs (2)'!$F12,P$4)-MAX('Stage Schedule &amp; Costs (2)'!$E12,P$4-1))*'Stage Schedule &amp; Costs (2)'!$H12</f>
        <v>0</v>
      </c>
      <c r="Q12" s="88" t="n">
        <f aca="false">MAX(0,MIN('Stage Schedule &amp; Costs (2)'!$F12,Q$4)-MAX('Stage Schedule &amp; Costs (2)'!$E12,Q$4-1))*'Stage Schedule &amp; Costs (2)'!$H12</f>
        <v>0</v>
      </c>
      <c r="R12" s="88" t="n">
        <f aca="false">MAX(0,MIN('Stage Schedule &amp; Costs (2)'!$F12,R$4)-MAX('Stage Schedule &amp; Costs (2)'!$E12,R$4-1))*'Stage Schedule &amp; Costs (2)'!$H12</f>
        <v>0</v>
      </c>
      <c r="S12" s="88" t="n">
        <f aca="false">MAX(0,MIN('Stage Schedule &amp; Costs (2)'!$F12,S$4)-MAX('Stage Schedule &amp; Costs (2)'!$E12,S$4-1))*'Stage Schedule &amp; Costs (2)'!$H12</f>
        <v>0</v>
      </c>
      <c r="T12" s="88" t="n">
        <f aca="false">MAX(0,MIN('Stage Schedule &amp; Costs (2)'!$F12,T$4)-MAX('Stage Schedule &amp; Costs (2)'!$E12,T$4-1))*'Stage Schedule &amp; Costs (2)'!$H12</f>
        <v>0</v>
      </c>
      <c r="U12" s="88" t="n">
        <f aca="false">MAX(0,MIN('Stage Schedule &amp; Costs (2)'!$F12,U$4)-MAX('Stage Schedule &amp; Costs (2)'!$E12,U$4-1))*'Stage Schedule &amp; Costs (2)'!$H12</f>
        <v>0</v>
      </c>
      <c r="V12" s="88" t="n">
        <f aca="false">MAX(0,MIN('Stage Schedule &amp; Costs (2)'!$F12,V$4)-MAX('Stage Schedule &amp; Costs (2)'!$E12,V$4-1))*'Stage Schedule &amp; Costs (2)'!$H12</f>
        <v>0</v>
      </c>
      <c r="W12" s="88" t="n">
        <f aca="false">MAX(0,MIN('Stage Schedule &amp; Costs (2)'!$F12,W$4)-MAX('Stage Schedule &amp; Costs (2)'!$E12,W$4-1))*'Stage Schedule &amp; Costs (2)'!$H12</f>
        <v>0</v>
      </c>
      <c r="X12" s="88" t="n">
        <f aca="false">MAX(0,MIN('Stage Schedule &amp; Costs (2)'!$F12,X$4)-MAX('Stage Schedule &amp; Costs (2)'!$E12,X$4-1))*'Stage Schedule &amp; Costs (2)'!$H12</f>
        <v>0</v>
      </c>
      <c r="Y12" s="88" t="n">
        <f aca="false">MAX(0,MIN('Stage Schedule &amp; Costs (2)'!$F12,Y$4)-MAX('Stage Schedule &amp; Costs (2)'!$E12,Y$4-1))*'Stage Schedule &amp; Costs (2)'!$H12</f>
        <v>0</v>
      </c>
      <c r="Z12" s="88" t="n">
        <f aca="false">MAX(0,MIN('Stage Schedule &amp; Costs (2)'!$F12,Z$4)-MAX('Stage Schedule &amp; Costs (2)'!$E12,Z$4-1))*'Stage Schedule &amp; Costs (2)'!$H12</f>
        <v>0</v>
      </c>
      <c r="AA12" s="88" t="n">
        <f aca="false">MAX(0,MIN('Stage Schedule &amp; Costs (2)'!$F12,AA$4)-MAX('Stage Schedule &amp; Costs (2)'!$E12,AA$4-1))*'Stage Schedule &amp; Costs (2)'!$H12</f>
        <v>0</v>
      </c>
      <c r="AB12" s="88" t="n">
        <f aca="false">MAX(0,MIN('Stage Schedule &amp; Costs (2)'!$F12,AB$4)-MAX('Stage Schedule &amp; Costs (2)'!$E12,AB$4-1))*'Stage Schedule &amp; Costs (2)'!$H12</f>
        <v>220000</v>
      </c>
      <c r="AC12" s="88" t="n">
        <f aca="false">MAX(0,MIN('Stage Schedule &amp; Costs (2)'!$F12,AC$4)-MAX('Stage Schedule &amp; Costs (2)'!$E12,AC$4-1))*'Stage Schedule &amp; Costs (2)'!$H12</f>
        <v>110000</v>
      </c>
      <c r="AD12" s="88" t="n">
        <f aca="false">MAX(0,MIN('Stage Schedule &amp; Costs (2)'!$F12,AD$4)-MAX('Stage Schedule &amp; Costs (2)'!$E12,AD$4-1))*'Stage Schedule &amp; Costs (2)'!$H12</f>
        <v>0</v>
      </c>
      <c r="AE12" s="88" t="n">
        <f aca="false">MAX(0,MIN('Stage Schedule &amp; Costs (2)'!$F12,AE$4)-MAX('Stage Schedule &amp; Costs (2)'!$E12,AE$4-1))*'Stage Schedule &amp; Costs (2)'!$H12</f>
        <v>0</v>
      </c>
      <c r="AF12" s="88" t="n">
        <f aca="false">MAX(0,MIN('Stage Schedule &amp; Costs (2)'!$F12,AF$4)-MAX('Stage Schedule &amp; Costs (2)'!$E12,AF$4-1))*'Stage Schedule &amp; Costs (2)'!$H12</f>
        <v>0</v>
      </c>
      <c r="AG12" s="88" t="n">
        <f aca="false">MAX(0,MIN('Stage Schedule &amp; Costs (2)'!$F12,AG$4)-MAX('Stage Schedule &amp; Costs (2)'!$E12,AG$4-1))*'Stage Schedule &amp; Costs (2)'!$H12</f>
        <v>0</v>
      </c>
      <c r="AH12" s="88" t="n">
        <f aca="false">MAX(0,MIN('Stage Schedule &amp; Costs (2)'!$F12,AH$4)-MAX('Stage Schedule &amp; Costs (2)'!$E12,AH$4-1))*'Stage Schedule &amp; Costs (2)'!$H12</f>
        <v>0</v>
      </c>
      <c r="AI12" s="88" t="n">
        <f aca="false">MAX(0,MIN('Stage Schedule &amp; Costs (2)'!$F12,AI$4)-MAX('Stage Schedule &amp; Costs (2)'!$E12,AI$4-1))*'Stage Schedule &amp; Costs (2)'!$H12</f>
        <v>0</v>
      </c>
      <c r="AJ12" s="88" t="n">
        <f aca="false">MAX(0,MIN('Stage Schedule &amp; Costs (2)'!$F12,AJ$4)-MAX('Stage Schedule &amp; Costs (2)'!$E12,AJ$4-1))*'Stage Schedule &amp; Costs (2)'!$H12</f>
        <v>0</v>
      </c>
      <c r="AK12" s="88" t="n">
        <f aca="false">MAX(0,MIN('Stage Schedule &amp; Costs (2)'!$F12,AK$4)-MAX('Stage Schedule &amp; Costs (2)'!$E12,AK$4-1))*'Stage Schedule &amp; Costs (2)'!$H12</f>
        <v>0</v>
      </c>
      <c r="AL12" s="88" t="n">
        <f aca="false">MAX(0,MIN('Stage Schedule &amp; Costs (2)'!$F12,AL$4)-MAX('Stage Schedule &amp; Costs (2)'!$E12,AL$4-1))*'Stage Schedule &amp; Costs (2)'!$H12</f>
        <v>0</v>
      </c>
      <c r="AM12" s="88" t="n">
        <f aca="false">MAX(0,MIN('Stage Schedule &amp; Costs (2)'!$F12,AM$4)-MAX('Stage Schedule &amp; Costs (2)'!$E12,AM$4-1))*'Stage Schedule &amp; Costs (2)'!$H12</f>
        <v>0</v>
      </c>
      <c r="AN12" s="88" t="n">
        <f aca="false">MAX(0,MIN('Stage Schedule &amp; Costs (2)'!$F12,AN$4)-MAX('Stage Schedule &amp; Costs (2)'!$E12,AN$4-1))*'Stage Schedule &amp; Costs (2)'!$H12</f>
        <v>0</v>
      </c>
      <c r="AO12" s="88" t="n">
        <f aca="false">MAX(0,MIN('Stage Schedule &amp; Costs (2)'!$F12,AO$4)-MAX('Stage Schedule &amp; Costs (2)'!$E12,AO$4-1))*'Stage Schedule &amp; Costs (2)'!$H12</f>
        <v>0</v>
      </c>
      <c r="AP12" s="88" t="n">
        <f aca="false">MAX(0,MIN('Stage Schedule &amp; Costs (2)'!$F12,AP$4)-MAX('Stage Schedule &amp; Costs (2)'!$E12,AP$4-1))*'Stage Schedule &amp; Costs (2)'!$H12</f>
        <v>0</v>
      </c>
      <c r="AQ12" s="88" t="n">
        <f aca="false">MAX(0,MIN('Stage Schedule &amp; Costs (2)'!$F12,AQ$4)-MAX('Stage Schedule &amp; Costs (2)'!$E12,AQ$4-1))*'Stage Schedule &amp; Costs (2)'!$H12</f>
        <v>0</v>
      </c>
      <c r="AR12" s="88" t="n">
        <f aca="false">MAX(0,MIN('Stage Schedule &amp; Costs (2)'!$F12,AR$4)-MAX('Stage Schedule &amp; Costs (2)'!$E12,AR$4-1))*'Stage Schedule &amp; Costs (2)'!$H12</f>
        <v>0</v>
      </c>
      <c r="AS12" s="88" t="n">
        <f aca="false">MAX(0,MIN('Stage Schedule &amp; Costs (2)'!$F12,AS$4)-MAX('Stage Schedule &amp; Costs (2)'!$E12,AS$4-1))*'Stage Schedule &amp; Costs (2)'!$H12</f>
        <v>0</v>
      </c>
      <c r="AT12" s="88" t="n">
        <f aca="false">MAX(0,MIN('Stage Schedule &amp; Costs (2)'!$F12,AT$4)-MAX('Stage Schedule &amp; Costs (2)'!$E12,AT$4-1))*'Stage Schedule &amp; Costs (2)'!$H12</f>
        <v>0</v>
      </c>
      <c r="AU12" s="88" t="n">
        <f aca="false">MAX(0,MIN('Stage Schedule &amp; Costs (2)'!$F12,AU$4)-MAX('Stage Schedule &amp; Costs (2)'!$E12,AU$4-1))*'Stage Schedule &amp; Costs (2)'!$H12</f>
        <v>0</v>
      </c>
      <c r="AV12" s="88" t="n">
        <f aca="false">MAX(0,MIN('Stage Schedule &amp; Costs (2)'!$F12,AV$4)-MAX('Stage Schedule &amp; Costs (2)'!$E12,AV$4-1))*'Stage Schedule &amp; Costs (2)'!$H12</f>
        <v>0</v>
      </c>
      <c r="AW12" s="88" t="n">
        <f aca="false">MAX(0,MIN('Stage Schedule &amp; Costs (2)'!$F12,AW$4)-MAX('Stage Schedule &amp; Costs (2)'!$E12,AW$4-1))*'Stage Schedule &amp; Costs (2)'!$H12</f>
        <v>0</v>
      </c>
      <c r="AX12" s="88" t="n">
        <f aca="false">MAX(0,MIN('Stage Schedule &amp; Costs (2)'!$F12,AX$4)-MAX('Stage Schedule &amp; Costs (2)'!$E12,AX$4-1))*'Stage Schedule &amp; Costs (2)'!$H12</f>
        <v>0</v>
      </c>
      <c r="AY12" s="88" t="n">
        <f aca="false">MAX(0,MIN('Stage Schedule &amp; Costs (2)'!$F12,AY$4)-MAX('Stage Schedule &amp; Costs (2)'!$E12,AY$4-1))*'Stage Schedule &amp; Costs (2)'!$H12</f>
        <v>0</v>
      </c>
      <c r="AZ12" s="88" t="n">
        <f aca="false">MAX(0,MIN('Stage Schedule &amp; Costs (2)'!$F12,AZ$4)-MAX('Stage Schedule &amp; Costs (2)'!$E12,AZ$4-1))*'Stage Schedule &amp; Costs (2)'!$H12</f>
        <v>0</v>
      </c>
      <c r="BA12" s="88" t="n">
        <f aca="false">MAX(0,MIN('Stage Schedule &amp; Costs (2)'!$F12,BA$4)-MAX('Stage Schedule &amp; Costs (2)'!$E12,BA$4-1))*'Stage Schedule &amp; Costs (2)'!$H12</f>
        <v>0</v>
      </c>
      <c r="BB12" s="88" t="n">
        <f aca="false">MAX(0,MIN('Stage Schedule &amp; Costs (2)'!$F12,BB$4)-MAX('Stage Schedule &amp; Costs (2)'!$E12,BB$4-1))*'Stage Schedule &amp; Costs (2)'!$H12</f>
        <v>0</v>
      </c>
      <c r="BC12" s="88" t="n">
        <f aca="false">MAX(0,MIN('Stage Schedule &amp; Costs (2)'!$F12,BC$4)-MAX('Stage Schedule &amp; Costs (2)'!$E12,BC$4-1))*'Stage Schedule &amp; Costs (2)'!$H12</f>
        <v>0</v>
      </c>
      <c r="BD12" s="88" t="n">
        <f aca="false">MAX(0,MIN('Stage Schedule &amp; Costs (2)'!$F12,BD$4)-MAX('Stage Schedule &amp; Costs (2)'!$E12,BD$4-1))*'Stage Schedule &amp; Costs (2)'!$H12</f>
        <v>0</v>
      </c>
      <c r="BE12" s="88" t="n">
        <f aca="false">MAX(0,MIN('Stage Schedule &amp; Costs (2)'!$F12,BE$4)-MAX('Stage Schedule &amp; Costs (2)'!$E12,BE$4-1))*'Stage Schedule &amp; Costs (2)'!$H12</f>
        <v>0</v>
      </c>
      <c r="BF12" s="88" t="n">
        <f aca="false">MAX(0,MIN('Stage Schedule &amp; Costs (2)'!$F12,BF$4)-MAX('Stage Schedule &amp; Costs (2)'!$E12,BF$4-1))*'Stage Schedule &amp; Costs (2)'!$H12</f>
        <v>0</v>
      </c>
      <c r="BG12" s="88" t="n">
        <f aca="false">MAX(0,MIN('Stage Schedule &amp; Costs (2)'!$F12,BG$4)-MAX('Stage Schedule &amp; Costs (2)'!$E12,BG$4-1))*'Stage Schedule &amp; Costs (2)'!$H12</f>
        <v>0</v>
      </c>
      <c r="BH12" s="88" t="n">
        <f aca="false">MAX(0,MIN('Stage Schedule &amp; Costs (2)'!$F12,BH$4)-MAX('Stage Schedule &amp; Costs (2)'!$E12,BH$4-1))*'Stage Schedule &amp; Costs (2)'!$H12</f>
        <v>0</v>
      </c>
      <c r="BI12" s="88" t="n">
        <f aca="false">MAX(0,MIN('Stage Schedule &amp; Costs (2)'!$F12,BI$4)-MAX('Stage Schedule &amp; Costs (2)'!$E12,BI$4-1))*'Stage Schedule &amp; Costs (2)'!$H12</f>
        <v>0</v>
      </c>
      <c r="BJ12" s="88" t="n">
        <f aca="false">MAX(0,MIN('Stage Schedule &amp; Costs (2)'!$F12,BJ$4)-MAX('Stage Schedule &amp; Costs (2)'!$E12,BJ$4-1))*'Stage Schedule &amp; Costs (2)'!$H12</f>
        <v>0</v>
      </c>
      <c r="BK12" s="88" t="n">
        <f aca="false">MAX(0,MIN('Stage Schedule &amp; Costs (2)'!$F12,BK$4)-MAX('Stage Schedule &amp; Costs (2)'!$E12,BK$4-1))*'Stage Schedule &amp; Costs (2)'!$H12</f>
        <v>0</v>
      </c>
    </row>
    <row r="13" customFormat="false" ht="15" hidden="false" customHeight="true" outlineLevel="0" collapsed="false">
      <c r="A13" s="74" t="n">
        <f aca="false">'Stage Schedule &amp; Costs (2)'!A13</f>
        <v>9</v>
      </c>
      <c r="B13" s="84" t="str">
        <f aca="false">'Stage Schedule &amp; Costs (2)'!B13&amp;" - "&amp;'Stage Schedule &amp; Costs (2)'!C13</f>
        <v> - Ground Floor</v>
      </c>
      <c r="C13" s="85" t="n">
        <f aca="false">SUM(D13:BE13)</f>
        <v>330000</v>
      </c>
      <c r="D13" s="85" t="n">
        <f aca="false">MAX(0,MIN('Stage Schedule &amp; Costs (2)'!$F13,D$4)-MAX('Stage Schedule &amp; Costs (2)'!$E13,D$4-1))*'Stage Schedule &amp; Costs (2)'!$H13</f>
        <v>0</v>
      </c>
      <c r="E13" s="85" t="n">
        <f aca="false">MAX(0,MIN('Stage Schedule &amp; Costs (2)'!$F13,E$4)-MAX('Stage Schedule &amp; Costs (2)'!$E13,E$4-1))*'Stage Schedule &amp; Costs (2)'!$H13</f>
        <v>0</v>
      </c>
      <c r="F13" s="85" t="n">
        <f aca="false">MAX(0,MIN('Stage Schedule &amp; Costs (2)'!$F13,F$4)-MAX('Stage Schedule &amp; Costs (2)'!$E13,F$4-1))*'Stage Schedule &amp; Costs (2)'!$H13</f>
        <v>0</v>
      </c>
      <c r="G13" s="85" t="n">
        <f aca="false">MAX(0,MIN('Stage Schedule &amp; Costs (2)'!$F13,G$4)-MAX('Stage Schedule &amp; Costs (2)'!$E13,G$4-1))*'Stage Schedule &amp; Costs (2)'!$H13</f>
        <v>0</v>
      </c>
      <c r="H13" s="85" t="n">
        <f aca="false">MAX(0,MIN('Stage Schedule &amp; Costs (2)'!$F13,H$4)-MAX('Stage Schedule &amp; Costs (2)'!$E13,H$4-1))*'Stage Schedule &amp; Costs (2)'!$H13</f>
        <v>0</v>
      </c>
      <c r="I13" s="85" t="n">
        <f aca="false">MAX(0,MIN('Stage Schedule &amp; Costs (2)'!$F13,I$4)-MAX('Stage Schedule &amp; Costs (2)'!$E13,I$4-1))*'Stage Schedule &amp; Costs (2)'!$H13</f>
        <v>0</v>
      </c>
      <c r="J13" s="85" t="n">
        <f aca="false">MAX(0,MIN('Stage Schedule &amp; Costs (2)'!$F13,J$4)-MAX('Stage Schedule &amp; Costs (2)'!$E13,J$4-1))*'Stage Schedule &amp; Costs (2)'!$H13</f>
        <v>0</v>
      </c>
      <c r="K13" s="85" t="n">
        <f aca="false">MAX(0,MIN('Stage Schedule &amp; Costs (2)'!$F13,K$4)-MAX('Stage Schedule &amp; Costs (2)'!$E13,K$4-1))*'Stage Schedule &amp; Costs (2)'!$H13</f>
        <v>0</v>
      </c>
      <c r="L13" s="85" t="n">
        <f aca="false">MAX(0,MIN('Stage Schedule &amp; Costs (2)'!$F13,L$4)-MAX('Stage Schedule &amp; Costs (2)'!$E13,L$4-1))*'Stage Schedule &amp; Costs (2)'!$H13</f>
        <v>0</v>
      </c>
      <c r="M13" s="85" t="n">
        <f aca="false">MAX(0,MIN('Stage Schedule &amp; Costs (2)'!$F13,M$4)-MAX('Stage Schedule &amp; Costs (2)'!$E13,M$4-1))*'Stage Schedule &amp; Costs (2)'!$H13</f>
        <v>0</v>
      </c>
      <c r="N13" s="85" t="n">
        <f aca="false">MAX(0,MIN('Stage Schedule &amp; Costs (2)'!$F13,N$4)-MAX('Stage Schedule &amp; Costs (2)'!$E13,N$4-1))*'Stage Schedule &amp; Costs (2)'!$H13</f>
        <v>0</v>
      </c>
      <c r="O13" s="85" t="n">
        <f aca="false">MAX(0,MIN('Stage Schedule &amp; Costs (2)'!$F13,O$4)-MAX('Stage Schedule &amp; Costs (2)'!$E13,O$4-1))*'Stage Schedule &amp; Costs (2)'!$H13</f>
        <v>0</v>
      </c>
      <c r="P13" s="85" t="n">
        <f aca="false">MAX(0,MIN('Stage Schedule &amp; Costs (2)'!$F13,P$4)-MAX('Stage Schedule &amp; Costs (2)'!$E13,P$4-1))*'Stage Schedule &amp; Costs (2)'!$H13</f>
        <v>0</v>
      </c>
      <c r="Q13" s="85" t="n">
        <f aca="false">MAX(0,MIN('Stage Schedule &amp; Costs (2)'!$F13,Q$4)-MAX('Stage Schedule &amp; Costs (2)'!$E13,Q$4-1))*'Stage Schedule &amp; Costs (2)'!$H13</f>
        <v>0</v>
      </c>
      <c r="R13" s="85" t="n">
        <f aca="false">MAX(0,MIN('Stage Schedule &amp; Costs (2)'!$F13,R$4)-MAX('Stage Schedule &amp; Costs (2)'!$E13,R$4-1))*'Stage Schedule &amp; Costs (2)'!$H13</f>
        <v>0</v>
      </c>
      <c r="S13" s="85" t="n">
        <f aca="false">MAX(0,MIN('Stage Schedule &amp; Costs (2)'!$F13,S$4)-MAX('Stage Schedule &amp; Costs (2)'!$E13,S$4-1))*'Stage Schedule &amp; Costs (2)'!$H13</f>
        <v>0</v>
      </c>
      <c r="T13" s="85" t="n">
        <f aca="false">MAX(0,MIN('Stage Schedule &amp; Costs (2)'!$F13,T$4)-MAX('Stage Schedule &amp; Costs (2)'!$E13,T$4-1))*'Stage Schedule &amp; Costs (2)'!$H13</f>
        <v>0</v>
      </c>
      <c r="U13" s="85" t="n">
        <f aca="false">MAX(0,MIN('Stage Schedule &amp; Costs (2)'!$F13,U$4)-MAX('Stage Schedule &amp; Costs (2)'!$E13,U$4-1))*'Stage Schedule &amp; Costs (2)'!$H13</f>
        <v>0</v>
      </c>
      <c r="V13" s="85" t="n">
        <f aca="false">MAX(0,MIN('Stage Schedule &amp; Costs (2)'!$F13,V$4)-MAX('Stage Schedule &amp; Costs (2)'!$E13,V$4-1))*'Stage Schedule &amp; Costs (2)'!$H13</f>
        <v>0</v>
      </c>
      <c r="W13" s="85" t="n">
        <f aca="false">MAX(0,MIN('Stage Schedule &amp; Costs (2)'!$F13,W$4)-MAX('Stage Schedule &amp; Costs (2)'!$E13,W$4-1))*'Stage Schedule &amp; Costs (2)'!$H13</f>
        <v>0</v>
      </c>
      <c r="X13" s="85" t="n">
        <f aca="false">MAX(0,MIN('Stage Schedule &amp; Costs (2)'!$F13,X$4)-MAX('Stage Schedule &amp; Costs (2)'!$E13,X$4-1))*'Stage Schedule &amp; Costs (2)'!$H13</f>
        <v>0</v>
      </c>
      <c r="Y13" s="85" t="n">
        <f aca="false">MAX(0,MIN('Stage Schedule &amp; Costs (2)'!$F13,Y$4)-MAX('Stage Schedule &amp; Costs (2)'!$E13,Y$4-1))*'Stage Schedule &amp; Costs (2)'!$H13</f>
        <v>0</v>
      </c>
      <c r="Z13" s="85" t="n">
        <f aca="false">MAX(0,MIN('Stage Schedule &amp; Costs (2)'!$F13,Z$4)-MAX('Stage Schedule &amp; Costs (2)'!$E13,Z$4-1))*'Stage Schedule &amp; Costs (2)'!$H13</f>
        <v>0</v>
      </c>
      <c r="AA13" s="85" t="n">
        <f aca="false">MAX(0,MIN('Stage Schedule &amp; Costs (2)'!$F13,AA$4)-MAX('Stage Schedule &amp; Costs (2)'!$E13,AA$4-1))*'Stage Schedule &amp; Costs (2)'!$H13</f>
        <v>0</v>
      </c>
      <c r="AB13" s="85" t="n">
        <f aca="false">MAX(0,MIN('Stage Schedule &amp; Costs (2)'!$F13,AB$4)-MAX('Stage Schedule &amp; Costs (2)'!$E13,AB$4-1))*'Stage Schedule &amp; Costs (2)'!$H13</f>
        <v>0</v>
      </c>
      <c r="AC13" s="85" t="n">
        <f aca="false">MAX(0,MIN('Stage Schedule &amp; Costs (2)'!$F13,AC$4)-MAX('Stage Schedule &amp; Costs (2)'!$E13,AC$4-1))*'Stage Schedule &amp; Costs (2)'!$H13</f>
        <v>110000</v>
      </c>
      <c r="AD13" s="85" t="n">
        <f aca="false">MAX(0,MIN('Stage Schedule &amp; Costs (2)'!$F13,AD$4)-MAX('Stage Schedule &amp; Costs (2)'!$E13,AD$4-1))*'Stage Schedule &amp; Costs (2)'!$H13</f>
        <v>220000</v>
      </c>
      <c r="AE13" s="85" t="n">
        <f aca="false">MAX(0,MIN('Stage Schedule &amp; Costs (2)'!$F13,AE$4)-MAX('Stage Schedule &amp; Costs (2)'!$E13,AE$4-1))*'Stage Schedule &amp; Costs (2)'!$H13</f>
        <v>0</v>
      </c>
      <c r="AF13" s="85" t="n">
        <f aca="false">MAX(0,MIN('Stage Schedule &amp; Costs (2)'!$F13,AF$4)-MAX('Stage Schedule &amp; Costs (2)'!$E13,AF$4-1))*'Stage Schedule &amp; Costs (2)'!$H13</f>
        <v>0</v>
      </c>
      <c r="AG13" s="85" t="n">
        <f aca="false">MAX(0,MIN('Stage Schedule &amp; Costs (2)'!$F13,AG$4)-MAX('Stage Schedule &amp; Costs (2)'!$E13,AG$4-1))*'Stage Schedule &amp; Costs (2)'!$H13</f>
        <v>0</v>
      </c>
      <c r="AH13" s="85" t="n">
        <f aca="false">MAX(0,MIN('Stage Schedule &amp; Costs (2)'!$F13,AH$4)-MAX('Stage Schedule &amp; Costs (2)'!$E13,AH$4-1))*'Stage Schedule &amp; Costs (2)'!$H13</f>
        <v>0</v>
      </c>
      <c r="AI13" s="85" t="n">
        <f aca="false">MAX(0,MIN('Stage Schedule &amp; Costs (2)'!$F13,AI$4)-MAX('Stage Schedule &amp; Costs (2)'!$E13,AI$4-1))*'Stage Schedule &amp; Costs (2)'!$H13</f>
        <v>0</v>
      </c>
      <c r="AJ13" s="85" t="n">
        <f aca="false">MAX(0,MIN('Stage Schedule &amp; Costs (2)'!$F13,AJ$4)-MAX('Stage Schedule &amp; Costs (2)'!$E13,AJ$4-1))*'Stage Schedule &amp; Costs (2)'!$H13</f>
        <v>0</v>
      </c>
      <c r="AK13" s="85" t="n">
        <f aca="false">MAX(0,MIN('Stage Schedule &amp; Costs (2)'!$F13,AK$4)-MAX('Stage Schedule &amp; Costs (2)'!$E13,AK$4-1))*'Stage Schedule &amp; Costs (2)'!$H13</f>
        <v>0</v>
      </c>
      <c r="AL13" s="85" t="n">
        <f aca="false">MAX(0,MIN('Stage Schedule &amp; Costs (2)'!$F13,AL$4)-MAX('Stage Schedule &amp; Costs (2)'!$E13,AL$4-1))*'Stage Schedule &amp; Costs (2)'!$H13</f>
        <v>0</v>
      </c>
      <c r="AM13" s="85" t="n">
        <f aca="false">MAX(0,MIN('Stage Schedule &amp; Costs (2)'!$F13,AM$4)-MAX('Stage Schedule &amp; Costs (2)'!$E13,AM$4-1))*'Stage Schedule &amp; Costs (2)'!$H13</f>
        <v>0</v>
      </c>
      <c r="AN13" s="85" t="n">
        <f aca="false">MAX(0,MIN('Stage Schedule &amp; Costs (2)'!$F13,AN$4)-MAX('Stage Schedule &amp; Costs (2)'!$E13,AN$4-1))*'Stage Schedule &amp; Costs (2)'!$H13</f>
        <v>0</v>
      </c>
      <c r="AO13" s="85" t="n">
        <f aca="false">MAX(0,MIN('Stage Schedule &amp; Costs (2)'!$F13,AO$4)-MAX('Stage Schedule &amp; Costs (2)'!$E13,AO$4-1))*'Stage Schedule &amp; Costs (2)'!$H13</f>
        <v>0</v>
      </c>
      <c r="AP13" s="85" t="n">
        <f aca="false">MAX(0,MIN('Stage Schedule &amp; Costs (2)'!$F13,AP$4)-MAX('Stage Schedule &amp; Costs (2)'!$E13,AP$4-1))*'Stage Schedule &amp; Costs (2)'!$H13</f>
        <v>0</v>
      </c>
      <c r="AQ13" s="85" t="n">
        <f aca="false">MAX(0,MIN('Stage Schedule &amp; Costs (2)'!$F13,AQ$4)-MAX('Stage Schedule &amp; Costs (2)'!$E13,AQ$4-1))*'Stage Schedule &amp; Costs (2)'!$H13</f>
        <v>0</v>
      </c>
      <c r="AR13" s="85" t="n">
        <f aca="false">MAX(0,MIN('Stage Schedule &amp; Costs (2)'!$F13,AR$4)-MAX('Stage Schedule &amp; Costs (2)'!$E13,AR$4-1))*'Stage Schedule &amp; Costs (2)'!$H13</f>
        <v>0</v>
      </c>
      <c r="AS13" s="85" t="n">
        <f aca="false">MAX(0,MIN('Stage Schedule &amp; Costs (2)'!$F13,AS$4)-MAX('Stage Schedule &amp; Costs (2)'!$E13,AS$4-1))*'Stage Schedule &amp; Costs (2)'!$H13</f>
        <v>0</v>
      </c>
      <c r="AT13" s="85" t="n">
        <f aca="false">MAX(0,MIN('Stage Schedule &amp; Costs (2)'!$F13,AT$4)-MAX('Stage Schedule &amp; Costs (2)'!$E13,AT$4-1))*'Stage Schedule &amp; Costs (2)'!$H13</f>
        <v>0</v>
      </c>
      <c r="AU13" s="85" t="n">
        <f aca="false">MAX(0,MIN('Stage Schedule &amp; Costs (2)'!$F13,AU$4)-MAX('Stage Schedule &amp; Costs (2)'!$E13,AU$4-1))*'Stage Schedule &amp; Costs (2)'!$H13</f>
        <v>0</v>
      </c>
      <c r="AV13" s="85" t="n">
        <f aca="false">MAX(0,MIN('Stage Schedule &amp; Costs (2)'!$F13,AV$4)-MAX('Stage Schedule &amp; Costs (2)'!$E13,AV$4-1))*'Stage Schedule &amp; Costs (2)'!$H13</f>
        <v>0</v>
      </c>
      <c r="AW13" s="85" t="n">
        <f aca="false">MAX(0,MIN('Stage Schedule &amp; Costs (2)'!$F13,AW$4)-MAX('Stage Schedule &amp; Costs (2)'!$E13,AW$4-1))*'Stage Schedule &amp; Costs (2)'!$H13</f>
        <v>0</v>
      </c>
      <c r="AX13" s="85" t="n">
        <f aca="false">MAX(0,MIN('Stage Schedule &amp; Costs (2)'!$F13,AX$4)-MAX('Stage Schedule &amp; Costs (2)'!$E13,AX$4-1))*'Stage Schedule &amp; Costs (2)'!$H13</f>
        <v>0</v>
      </c>
      <c r="AY13" s="85" t="n">
        <f aca="false">MAX(0,MIN('Stage Schedule &amp; Costs (2)'!$F13,AY$4)-MAX('Stage Schedule &amp; Costs (2)'!$E13,AY$4-1))*'Stage Schedule &amp; Costs (2)'!$H13</f>
        <v>0</v>
      </c>
      <c r="AZ13" s="85" t="n">
        <f aca="false">MAX(0,MIN('Stage Schedule &amp; Costs (2)'!$F13,AZ$4)-MAX('Stage Schedule &amp; Costs (2)'!$E13,AZ$4-1))*'Stage Schedule &amp; Costs (2)'!$H13</f>
        <v>0</v>
      </c>
      <c r="BA13" s="85" t="n">
        <f aca="false">MAX(0,MIN('Stage Schedule &amp; Costs (2)'!$F13,BA$4)-MAX('Stage Schedule &amp; Costs (2)'!$E13,BA$4-1))*'Stage Schedule &amp; Costs (2)'!$H13</f>
        <v>0</v>
      </c>
      <c r="BB13" s="85" t="n">
        <f aca="false">MAX(0,MIN('Stage Schedule &amp; Costs (2)'!$F13,BB$4)-MAX('Stage Schedule &amp; Costs (2)'!$E13,BB$4-1))*'Stage Schedule &amp; Costs (2)'!$H13</f>
        <v>0</v>
      </c>
      <c r="BC13" s="85" t="n">
        <f aca="false">MAX(0,MIN('Stage Schedule &amp; Costs (2)'!$F13,BC$4)-MAX('Stage Schedule &amp; Costs (2)'!$E13,BC$4-1))*'Stage Schedule &amp; Costs (2)'!$H13</f>
        <v>0</v>
      </c>
      <c r="BD13" s="85" t="n">
        <f aca="false">MAX(0,MIN('Stage Schedule &amp; Costs (2)'!$F13,BD$4)-MAX('Stage Schedule &amp; Costs (2)'!$E13,BD$4-1))*'Stage Schedule &amp; Costs (2)'!$H13</f>
        <v>0</v>
      </c>
      <c r="BE13" s="85" t="n">
        <f aca="false">MAX(0,MIN('Stage Schedule &amp; Costs (2)'!$F13,BE$4)-MAX('Stage Schedule &amp; Costs (2)'!$E13,BE$4-1))*'Stage Schedule &amp; Costs (2)'!$H13</f>
        <v>0</v>
      </c>
      <c r="BF13" s="85" t="n">
        <f aca="false">MAX(0,MIN('Stage Schedule &amp; Costs (2)'!$F13,BF$4)-MAX('Stage Schedule &amp; Costs (2)'!$E13,BF$4-1))*'Stage Schedule &amp; Costs (2)'!$H13</f>
        <v>0</v>
      </c>
      <c r="BG13" s="85" t="n">
        <f aca="false">MAX(0,MIN('Stage Schedule &amp; Costs (2)'!$F13,BG$4)-MAX('Stage Schedule &amp; Costs (2)'!$E13,BG$4-1))*'Stage Schedule &amp; Costs (2)'!$H13</f>
        <v>0</v>
      </c>
      <c r="BH13" s="85" t="n">
        <f aca="false">MAX(0,MIN('Stage Schedule &amp; Costs (2)'!$F13,BH$4)-MAX('Stage Schedule &amp; Costs (2)'!$E13,BH$4-1))*'Stage Schedule &amp; Costs (2)'!$H13</f>
        <v>0</v>
      </c>
      <c r="BI13" s="85" t="n">
        <f aca="false">MAX(0,MIN('Stage Schedule &amp; Costs (2)'!$F13,BI$4)-MAX('Stage Schedule &amp; Costs (2)'!$E13,BI$4-1))*'Stage Schedule &amp; Costs (2)'!$H13</f>
        <v>0</v>
      </c>
      <c r="BJ13" s="85" t="n">
        <f aca="false">MAX(0,MIN('Stage Schedule &amp; Costs (2)'!$F13,BJ$4)-MAX('Stage Schedule &amp; Costs (2)'!$E13,BJ$4-1))*'Stage Schedule &amp; Costs (2)'!$H13</f>
        <v>0</v>
      </c>
      <c r="BK13" s="85" t="n">
        <f aca="false">MAX(0,MIN('Stage Schedule &amp; Costs (2)'!$F13,BK$4)-MAX('Stage Schedule &amp; Costs (2)'!$E13,BK$4-1))*'Stage Schedule &amp; Costs (2)'!$H13</f>
        <v>0</v>
      </c>
    </row>
    <row r="14" customFormat="false" ht="15" hidden="false" customHeight="true" outlineLevel="0" collapsed="false">
      <c r="A14" s="86" t="n">
        <f aca="false">'Stage Schedule &amp; Costs (2)'!A14</f>
        <v>10</v>
      </c>
      <c r="B14" s="87" t="str">
        <f aca="false">'Stage Schedule &amp; Costs (2)'!B14&amp;" - "&amp;'Stage Schedule &amp; Costs (2)'!C14</f>
        <v> - 1st Floor</v>
      </c>
      <c r="C14" s="88" t="n">
        <f aca="false">SUM(D14:BE14)</f>
        <v>330000</v>
      </c>
      <c r="D14" s="88" t="n">
        <f aca="false">MAX(0,MIN('Stage Schedule &amp; Costs (2)'!$F14,D$4)-MAX('Stage Schedule &amp; Costs (2)'!$E14,D$4-1))*'Stage Schedule &amp; Costs (2)'!$H14</f>
        <v>0</v>
      </c>
      <c r="E14" s="88" t="n">
        <f aca="false">MAX(0,MIN('Stage Schedule &amp; Costs (2)'!$F14,E$4)-MAX('Stage Schedule &amp; Costs (2)'!$E14,E$4-1))*'Stage Schedule &amp; Costs (2)'!$H14</f>
        <v>0</v>
      </c>
      <c r="F14" s="88" t="n">
        <f aca="false">MAX(0,MIN('Stage Schedule &amp; Costs (2)'!$F14,F$4)-MAX('Stage Schedule &amp; Costs (2)'!$E14,F$4-1))*'Stage Schedule &amp; Costs (2)'!$H14</f>
        <v>0</v>
      </c>
      <c r="G14" s="88" t="n">
        <f aca="false">MAX(0,MIN('Stage Schedule &amp; Costs (2)'!$F14,G$4)-MAX('Stage Schedule &amp; Costs (2)'!$E14,G$4-1))*'Stage Schedule &amp; Costs (2)'!$H14</f>
        <v>0</v>
      </c>
      <c r="H14" s="88" t="n">
        <f aca="false">MAX(0,MIN('Stage Schedule &amp; Costs (2)'!$F14,H$4)-MAX('Stage Schedule &amp; Costs (2)'!$E14,H$4-1))*'Stage Schedule &amp; Costs (2)'!$H14</f>
        <v>0</v>
      </c>
      <c r="I14" s="88" t="n">
        <f aca="false">MAX(0,MIN('Stage Schedule &amp; Costs (2)'!$F14,I$4)-MAX('Stage Schedule &amp; Costs (2)'!$E14,I$4-1))*'Stage Schedule &amp; Costs (2)'!$H14</f>
        <v>0</v>
      </c>
      <c r="J14" s="88" t="n">
        <f aca="false">MAX(0,MIN('Stage Schedule &amp; Costs (2)'!$F14,J$4)-MAX('Stage Schedule &amp; Costs (2)'!$E14,J$4-1))*'Stage Schedule &amp; Costs (2)'!$H14</f>
        <v>0</v>
      </c>
      <c r="K14" s="88" t="n">
        <f aca="false">MAX(0,MIN('Stage Schedule &amp; Costs (2)'!$F14,K$4)-MAX('Stage Schedule &amp; Costs (2)'!$E14,K$4-1))*'Stage Schedule &amp; Costs (2)'!$H14</f>
        <v>0</v>
      </c>
      <c r="L14" s="88" t="n">
        <f aca="false">MAX(0,MIN('Stage Schedule &amp; Costs (2)'!$F14,L$4)-MAX('Stage Schedule &amp; Costs (2)'!$E14,L$4-1))*'Stage Schedule &amp; Costs (2)'!$H14</f>
        <v>0</v>
      </c>
      <c r="M14" s="88" t="n">
        <f aca="false">MAX(0,MIN('Stage Schedule &amp; Costs (2)'!$F14,M$4)-MAX('Stage Schedule &amp; Costs (2)'!$E14,M$4-1))*'Stage Schedule &amp; Costs (2)'!$H14</f>
        <v>0</v>
      </c>
      <c r="N14" s="88" t="n">
        <f aca="false">MAX(0,MIN('Stage Schedule &amp; Costs (2)'!$F14,N$4)-MAX('Stage Schedule &amp; Costs (2)'!$E14,N$4-1))*'Stage Schedule &amp; Costs (2)'!$H14</f>
        <v>0</v>
      </c>
      <c r="O14" s="88" t="n">
        <f aca="false">MAX(0,MIN('Stage Schedule &amp; Costs (2)'!$F14,O$4)-MAX('Stage Schedule &amp; Costs (2)'!$E14,O$4-1))*'Stage Schedule &amp; Costs (2)'!$H14</f>
        <v>0</v>
      </c>
      <c r="P14" s="88" t="n">
        <f aca="false">MAX(0,MIN('Stage Schedule &amp; Costs (2)'!$F14,P$4)-MAX('Stage Schedule &amp; Costs (2)'!$E14,P$4-1))*'Stage Schedule &amp; Costs (2)'!$H14</f>
        <v>0</v>
      </c>
      <c r="Q14" s="88" t="n">
        <f aca="false">MAX(0,MIN('Stage Schedule &amp; Costs (2)'!$F14,Q$4)-MAX('Stage Schedule &amp; Costs (2)'!$E14,Q$4-1))*'Stage Schedule &amp; Costs (2)'!$H14</f>
        <v>0</v>
      </c>
      <c r="R14" s="88" t="n">
        <f aca="false">MAX(0,MIN('Stage Schedule &amp; Costs (2)'!$F14,R$4)-MAX('Stage Schedule &amp; Costs (2)'!$E14,R$4-1))*'Stage Schedule &amp; Costs (2)'!$H14</f>
        <v>0</v>
      </c>
      <c r="S14" s="88" t="n">
        <f aca="false">MAX(0,MIN('Stage Schedule &amp; Costs (2)'!$F14,S$4)-MAX('Stage Schedule &amp; Costs (2)'!$E14,S$4-1))*'Stage Schedule &amp; Costs (2)'!$H14</f>
        <v>0</v>
      </c>
      <c r="T14" s="88" t="n">
        <f aca="false">MAX(0,MIN('Stage Schedule &amp; Costs (2)'!$F14,T$4)-MAX('Stage Schedule &amp; Costs (2)'!$E14,T$4-1))*'Stage Schedule &amp; Costs (2)'!$H14</f>
        <v>0</v>
      </c>
      <c r="U14" s="88" t="n">
        <f aca="false">MAX(0,MIN('Stage Schedule &amp; Costs (2)'!$F14,U$4)-MAX('Stage Schedule &amp; Costs (2)'!$E14,U$4-1))*'Stage Schedule &amp; Costs (2)'!$H14</f>
        <v>0</v>
      </c>
      <c r="V14" s="88" t="n">
        <f aca="false">MAX(0,MIN('Stage Schedule &amp; Costs (2)'!$F14,V$4)-MAX('Stage Schedule &amp; Costs (2)'!$E14,V$4-1))*'Stage Schedule &amp; Costs (2)'!$H14</f>
        <v>0</v>
      </c>
      <c r="W14" s="88" t="n">
        <f aca="false">MAX(0,MIN('Stage Schedule &amp; Costs (2)'!$F14,W$4)-MAX('Stage Schedule &amp; Costs (2)'!$E14,W$4-1))*'Stage Schedule &amp; Costs (2)'!$H14</f>
        <v>0</v>
      </c>
      <c r="X14" s="88" t="n">
        <f aca="false">MAX(0,MIN('Stage Schedule &amp; Costs (2)'!$F14,X$4)-MAX('Stage Schedule &amp; Costs (2)'!$E14,X$4-1))*'Stage Schedule &amp; Costs (2)'!$H14</f>
        <v>0</v>
      </c>
      <c r="Y14" s="88" t="n">
        <f aca="false">MAX(0,MIN('Stage Schedule &amp; Costs (2)'!$F14,Y$4)-MAX('Stage Schedule &amp; Costs (2)'!$E14,Y$4-1))*'Stage Schedule &amp; Costs (2)'!$H14</f>
        <v>0</v>
      </c>
      <c r="Z14" s="88" t="n">
        <f aca="false">MAX(0,MIN('Stage Schedule &amp; Costs (2)'!$F14,Z$4)-MAX('Stage Schedule &amp; Costs (2)'!$E14,Z$4-1))*'Stage Schedule &amp; Costs (2)'!$H14</f>
        <v>0</v>
      </c>
      <c r="AA14" s="88" t="n">
        <f aca="false">MAX(0,MIN('Stage Schedule &amp; Costs (2)'!$F14,AA$4)-MAX('Stage Schedule &amp; Costs (2)'!$E14,AA$4-1))*'Stage Schedule &amp; Costs (2)'!$H14</f>
        <v>0</v>
      </c>
      <c r="AB14" s="88" t="n">
        <f aca="false">MAX(0,MIN('Stage Schedule &amp; Costs (2)'!$F14,AB$4)-MAX('Stage Schedule &amp; Costs (2)'!$E14,AB$4-1))*'Stage Schedule &amp; Costs (2)'!$H14</f>
        <v>0</v>
      </c>
      <c r="AC14" s="88" t="n">
        <f aca="false">MAX(0,MIN('Stage Schedule &amp; Costs (2)'!$F14,AC$4)-MAX('Stage Schedule &amp; Costs (2)'!$E14,AC$4-1))*'Stage Schedule &amp; Costs (2)'!$H14</f>
        <v>0</v>
      </c>
      <c r="AD14" s="88" t="n">
        <f aca="false">MAX(0,MIN('Stage Schedule &amp; Costs (2)'!$F14,AD$4)-MAX('Stage Schedule &amp; Costs (2)'!$E14,AD$4-1))*'Stage Schedule &amp; Costs (2)'!$H14</f>
        <v>0</v>
      </c>
      <c r="AE14" s="88" t="n">
        <f aca="false">MAX(0,MIN('Stage Schedule &amp; Costs (2)'!$F14,AE$4)-MAX('Stage Schedule &amp; Costs (2)'!$E14,AE$4-1))*'Stage Schedule &amp; Costs (2)'!$H14</f>
        <v>220000</v>
      </c>
      <c r="AF14" s="88" t="n">
        <f aca="false">MAX(0,MIN('Stage Schedule &amp; Costs (2)'!$F14,AF$4)-MAX('Stage Schedule &amp; Costs (2)'!$E14,AF$4-1))*'Stage Schedule &amp; Costs (2)'!$H14</f>
        <v>110000</v>
      </c>
      <c r="AG14" s="88" t="n">
        <f aca="false">MAX(0,MIN('Stage Schedule &amp; Costs (2)'!$F14,AG$4)-MAX('Stage Schedule &amp; Costs (2)'!$E14,AG$4-1))*'Stage Schedule &amp; Costs (2)'!$H14</f>
        <v>0</v>
      </c>
      <c r="AH14" s="88" t="n">
        <f aca="false">MAX(0,MIN('Stage Schedule &amp; Costs (2)'!$F14,AH$4)-MAX('Stage Schedule &amp; Costs (2)'!$E14,AH$4-1))*'Stage Schedule &amp; Costs (2)'!$H14</f>
        <v>0</v>
      </c>
      <c r="AI14" s="88" t="n">
        <f aca="false">MAX(0,MIN('Stage Schedule &amp; Costs (2)'!$F14,AI$4)-MAX('Stage Schedule &amp; Costs (2)'!$E14,AI$4-1))*'Stage Schedule &amp; Costs (2)'!$H14</f>
        <v>0</v>
      </c>
      <c r="AJ14" s="88" t="n">
        <f aca="false">MAX(0,MIN('Stage Schedule &amp; Costs (2)'!$F14,AJ$4)-MAX('Stage Schedule &amp; Costs (2)'!$E14,AJ$4-1))*'Stage Schedule &amp; Costs (2)'!$H14</f>
        <v>0</v>
      </c>
      <c r="AK14" s="88" t="n">
        <f aca="false">MAX(0,MIN('Stage Schedule &amp; Costs (2)'!$F14,AK$4)-MAX('Stage Schedule &amp; Costs (2)'!$E14,AK$4-1))*'Stage Schedule &amp; Costs (2)'!$H14</f>
        <v>0</v>
      </c>
      <c r="AL14" s="88" t="n">
        <f aca="false">MAX(0,MIN('Stage Schedule &amp; Costs (2)'!$F14,AL$4)-MAX('Stage Schedule &amp; Costs (2)'!$E14,AL$4-1))*'Stage Schedule &amp; Costs (2)'!$H14</f>
        <v>0</v>
      </c>
      <c r="AM14" s="88" t="n">
        <f aca="false">MAX(0,MIN('Stage Schedule &amp; Costs (2)'!$F14,AM$4)-MAX('Stage Schedule &amp; Costs (2)'!$E14,AM$4-1))*'Stage Schedule &amp; Costs (2)'!$H14</f>
        <v>0</v>
      </c>
      <c r="AN14" s="88" t="n">
        <f aca="false">MAX(0,MIN('Stage Schedule &amp; Costs (2)'!$F14,AN$4)-MAX('Stage Schedule &amp; Costs (2)'!$E14,AN$4-1))*'Stage Schedule &amp; Costs (2)'!$H14</f>
        <v>0</v>
      </c>
      <c r="AO14" s="88" t="n">
        <f aca="false">MAX(0,MIN('Stage Schedule &amp; Costs (2)'!$F14,AO$4)-MAX('Stage Schedule &amp; Costs (2)'!$E14,AO$4-1))*'Stage Schedule &amp; Costs (2)'!$H14</f>
        <v>0</v>
      </c>
      <c r="AP14" s="88" t="n">
        <f aca="false">MAX(0,MIN('Stage Schedule &amp; Costs (2)'!$F14,AP$4)-MAX('Stage Schedule &amp; Costs (2)'!$E14,AP$4-1))*'Stage Schedule &amp; Costs (2)'!$H14</f>
        <v>0</v>
      </c>
      <c r="AQ14" s="88" t="n">
        <f aca="false">MAX(0,MIN('Stage Schedule &amp; Costs (2)'!$F14,AQ$4)-MAX('Stage Schedule &amp; Costs (2)'!$E14,AQ$4-1))*'Stage Schedule &amp; Costs (2)'!$H14</f>
        <v>0</v>
      </c>
      <c r="AR14" s="88" t="n">
        <f aca="false">MAX(0,MIN('Stage Schedule &amp; Costs (2)'!$F14,AR$4)-MAX('Stage Schedule &amp; Costs (2)'!$E14,AR$4-1))*'Stage Schedule &amp; Costs (2)'!$H14</f>
        <v>0</v>
      </c>
      <c r="AS14" s="88" t="n">
        <f aca="false">MAX(0,MIN('Stage Schedule &amp; Costs (2)'!$F14,AS$4)-MAX('Stage Schedule &amp; Costs (2)'!$E14,AS$4-1))*'Stage Schedule &amp; Costs (2)'!$H14</f>
        <v>0</v>
      </c>
      <c r="AT14" s="88" t="n">
        <f aca="false">MAX(0,MIN('Stage Schedule &amp; Costs (2)'!$F14,AT$4)-MAX('Stage Schedule &amp; Costs (2)'!$E14,AT$4-1))*'Stage Schedule &amp; Costs (2)'!$H14</f>
        <v>0</v>
      </c>
      <c r="AU14" s="88" t="n">
        <f aca="false">MAX(0,MIN('Stage Schedule &amp; Costs (2)'!$F14,AU$4)-MAX('Stage Schedule &amp; Costs (2)'!$E14,AU$4-1))*'Stage Schedule &amp; Costs (2)'!$H14</f>
        <v>0</v>
      </c>
      <c r="AV14" s="88" t="n">
        <f aca="false">MAX(0,MIN('Stage Schedule &amp; Costs (2)'!$F14,AV$4)-MAX('Stage Schedule &amp; Costs (2)'!$E14,AV$4-1))*'Stage Schedule &amp; Costs (2)'!$H14</f>
        <v>0</v>
      </c>
      <c r="AW14" s="88" t="n">
        <f aca="false">MAX(0,MIN('Stage Schedule &amp; Costs (2)'!$F14,AW$4)-MAX('Stage Schedule &amp; Costs (2)'!$E14,AW$4-1))*'Stage Schedule &amp; Costs (2)'!$H14</f>
        <v>0</v>
      </c>
      <c r="AX14" s="88" t="n">
        <f aca="false">MAX(0,MIN('Stage Schedule &amp; Costs (2)'!$F14,AX$4)-MAX('Stage Schedule &amp; Costs (2)'!$E14,AX$4-1))*'Stage Schedule &amp; Costs (2)'!$H14</f>
        <v>0</v>
      </c>
      <c r="AY14" s="88" t="n">
        <f aca="false">MAX(0,MIN('Stage Schedule &amp; Costs (2)'!$F14,AY$4)-MAX('Stage Schedule &amp; Costs (2)'!$E14,AY$4-1))*'Stage Schedule &amp; Costs (2)'!$H14</f>
        <v>0</v>
      </c>
      <c r="AZ14" s="88" t="n">
        <f aca="false">MAX(0,MIN('Stage Schedule &amp; Costs (2)'!$F14,AZ$4)-MAX('Stage Schedule &amp; Costs (2)'!$E14,AZ$4-1))*'Stage Schedule &amp; Costs (2)'!$H14</f>
        <v>0</v>
      </c>
      <c r="BA14" s="88" t="n">
        <f aca="false">MAX(0,MIN('Stage Schedule &amp; Costs (2)'!$F14,BA$4)-MAX('Stage Schedule &amp; Costs (2)'!$E14,BA$4-1))*'Stage Schedule &amp; Costs (2)'!$H14</f>
        <v>0</v>
      </c>
      <c r="BB14" s="88" t="n">
        <f aca="false">MAX(0,MIN('Stage Schedule &amp; Costs (2)'!$F14,BB$4)-MAX('Stage Schedule &amp; Costs (2)'!$E14,BB$4-1))*'Stage Schedule &amp; Costs (2)'!$H14</f>
        <v>0</v>
      </c>
      <c r="BC14" s="88" t="n">
        <f aca="false">MAX(0,MIN('Stage Schedule &amp; Costs (2)'!$F14,BC$4)-MAX('Stage Schedule &amp; Costs (2)'!$E14,BC$4-1))*'Stage Schedule &amp; Costs (2)'!$H14</f>
        <v>0</v>
      </c>
      <c r="BD14" s="88" t="n">
        <f aca="false">MAX(0,MIN('Stage Schedule &amp; Costs (2)'!$F14,BD$4)-MAX('Stage Schedule &amp; Costs (2)'!$E14,BD$4-1))*'Stage Schedule &amp; Costs (2)'!$H14</f>
        <v>0</v>
      </c>
      <c r="BE14" s="88" t="n">
        <f aca="false">MAX(0,MIN('Stage Schedule &amp; Costs (2)'!$F14,BE$4)-MAX('Stage Schedule &amp; Costs (2)'!$E14,BE$4-1))*'Stage Schedule &amp; Costs (2)'!$H14</f>
        <v>0</v>
      </c>
      <c r="BF14" s="88" t="n">
        <f aca="false">MAX(0,MIN('Stage Schedule &amp; Costs (2)'!$F14,BF$4)-MAX('Stage Schedule &amp; Costs (2)'!$E14,BF$4-1))*'Stage Schedule &amp; Costs (2)'!$H14</f>
        <v>0</v>
      </c>
      <c r="BG14" s="88" t="n">
        <f aca="false">MAX(0,MIN('Stage Schedule &amp; Costs (2)'!$F14,BG$4)-MAX('Stage Schedule &amp; Costs (2)'!$E14,BG$4-1))*'Stage Schedule &amp; Costs (2)'!$H14</f>
        <v>0</v>
      </c>
      <c r="BH14" s="88" t="n">
        <f aca="false">MAX(0,MIN('Stage Schedule &amp; Costs (2)'!$F14,BH$4)-MAX('Stage Schedule &amp; Costs (2)'!$E14,BH$4-1))*'Stage Schedule &amp; Costs (2)'!$H14</f>
        <v>0</v>
      </c>
      <c r="BI14" s="88" t="n">
        <f aca="false">MAX(0,MIN('Stage Schedule &amp; Costs (2)'!$F14,BI$4)-MAX('Stage Schedule &amp; Costs (2)'!$E14,BI$4-1))*'Stage Schedule &amp; Costs (2)'!$H14</f>
        <v>0</v>
      </c>
      <c r="BJ14" s="88" t="n">
        <f aca="false">MAX(0,MIN('Stage Schedule &amp; Costs (2)'!$F14,BJ$4)-MAX('Stage Schedule &amp; Costs (2)'!$E14,BJ$4-1))*'Stage Schedule &amp; Costs (2)'!$H14</f>
        <v>0</v>
      </c>
      <c r="BK14" s="88" t="n">
        <f aca="false">MAX(0,MIN('Stage Schedule &amp; Costs (2)'!$F14,BK$4)-MAX('Stage Schedule &amp; Costs (2)'!$E14,BK$4-1))*'Stage Schedule &amp; Costs (2)'!$H14</f>
        <v>0</v>
      </c>
    </row>
    <row r="15" customFormat="false" ht="15" hidden="false" customHeight="true" outlineLevel="0" collapsed="false">
      <c r="A15" s="74" t="n">
        <f aca="false">'Stage Schedule &amp; Costs (2)'!A15</f>
        <v>11</v>
      </c>
      <c r="B15" s="84" t="str">
        <f aca="false">'Stage Schedule &amp; Costs (2)'!B15&amp;" - "&amp;'Stage Schedule &amp; Costs (2)'!C15</f>
        <v> - 2nd Floor</v>
      </c>
      <c r="C15" s="85" t="n">
        <f aca="false">SUM(D15:BE15)</f>
        <v>330000</v>
      </c>
      <c r="D15" s="85" t="n">
        <f aca="false">MAX(0,MIN('Stage Schedule &amp; Costs (2)'!$F15,D$4)-MAX('Stage Schedule &amp; Costs (2)'!$E15,D$4-1))*'Stage Schedule &amp; Costs (2)'!$H15</f>
        <v>0</v>
      </c>
      <c r="E15" s="85" t="n">
        <f aca="false">MAX(0,MIN('Stage Schedule &amp; Costs (2)'!$F15,E$4)-MAX('Stage Schedule &amp; Costs (2)'!$E15,E$4-1))*'Stage Schedule &amp; Costs (2)'!$H15</f>
        <v>0</v>
      </c>
      <c r="F15" s="85" t="n">
        <f aca="false">MAX(0,MIN('Stage Schedule &amp; Costs (2)'!$F15,F$4)-MAX('Stage Schedule &amp; Costs (2)'!$E15,F$4-1))*'Stage Schedule &amp; Costs (2)'!$H15</f>
        <v>0</v>
      </c>
      <c r="G15" s="85" t="n">
        <f aca="false">MAX(0,MIN('Stage Schedule &amp; Costs (2)'!$F15,G$4)-MAX('Stage Schedule &amp; Costs (2)'!$E15,G$4-1))*'Stage Schedule &amp; Costs (2)'!$H15</f>
        <v>0</v>
      </c>
      <c r="H15" s="85" t="n">
        <f aca="false">MAX(0,MIN('Stage Schedule &amp; Costs (2)'!$F15,H$4)-MAX('Stage Schedule &amp; Costs (2)'!$E15,H$4-1))*'Stage Schedule &amp; Costs (2)'!$H15</f>
        <v>0</v>
      </c>
      <c r="I15" s="85" t="n">
        <f aca="false">MAX(0,MIN('Stage Schedule &amp; Costs (2)'!$F15,I$4)-MAX('Stage Schedule &amp; Costs (2)'!$E15,I$4-1))*'Stage Schedule &amp; Costs (2)'!$H15</f>
        <v>0</v>
      </c>
      <c r="J15" s="85" t="n">
        <f aca="false">MAX(0,MIN('Stage Schedule &amp; Costs (2)'!$F15,J$4)-MAX('Stage Schedule &amp; Costs (2)'!$E15,J$4-1))*'Stage Schedule &amp; Costs (2)'!$H15</f>
        <v>0</v>
      </c>
      <c r="K15" s="85" t="n">
        <f aca="false">MAX(0,MIN('Stage Schedule &amp; Costs (2)'!$F15,K$4)-MAX('Stage Schedule &amp; Costs (2)'!$E15,K$4-1))*'Stage Schedule &amp; Costs (2)'!$H15</f>
        <v>0</v>
      </c>
      <c r="L15" s="85" t="n">
        <f aca="false">MAX(0,MIN('Stage Schedule &amp; Costs (2)'!$F15,L$4)-MAX('Stage Schedule &amp; Costs (2)'!$E15,L$4-1))*'Stage Schedule &amp; Costs (2)'!$H15</f>
        <v>0</v>
      </c>
      <c r="M15" s="85" t="n">
        <f aca="false">MAX(0,MIN('Stage Schedule &amp; Costs (2)'!$F15,M$4)-MAX('Stage Schedule &amp; Costs (2)'!$E15,M$4-1))*'Stage Schedule &amp; Costs (2)'!$H15</f>
        <v>0</v>
      </c>
      <c r="N15" s="85" t="n">
        <f aca="false">MAX(0,MIN('Stage Schedule &amp; Costs (2)'!$F15,N$4)-MAX('Stage Schedule &amp; Costs (2)'!$E15,N$4-1))*'Stage Schedule &amp; Costs (2)'!$H15</f>
        <v>0</v>
      </c>
      <c r="O15" s="85" t="n">
        <f aca="false">MAX(0,MIN('Stage Schedule &amp; Costs (2)'!$F15,O$4)-MAX('Stage Schedule &amp; Costs (2)'!$E15,O$4-1))*'Stage Schedule &amp; Costs (2)'!$H15</f>
        <v>0</v>
      </c>
      <c r="P15" s="85" t="n">
        <f aca="false">MAX(0,MIN('Stage Schedule &amp; Costs (2)'!$F15,P$4)-MAX('Stage Schedule &amp; Costs (2)'!$E15,P$4-1))*'Stage Schedule &amp; Costs (2)'!$H15</f>
        <v>0</v>
      </c>
      <c r="Q15" s="85" t="n">
        <f aca="false">MAX(0,MIN('Stage Schedule &amp; Costs (2)'!$F15,Q$4)-MAX('Stage Schedule &amp; Costs (2)'!$E15,Q$4-1))*'Stage Schedule &amp; Costs (2)'!$H15</f>
        <v>0</v>
      </c>
      <c r="R15" s="85" t="n">
        <f aca="false">MAX(0,MIN('Stage Schedule &amp; Costs (2)'!$F15,R$4)-MAX('Stage Schedule &amp; Costs (2)'!$E15,R$4-1))*'Stage Schedule &amp; Costs (2)'!$H15</f>
        <v>0</v>
      </c>
      <c r="S15" s="85" t="n">
        <f aca="false">MAX(0,MIN('Stage Schedule &amp; Costs (2)'!$F15,S$4)-MAX('Stage Schedule &amp; Costs (2)'!$E15,S$4-1))*'Stage Schedule &amp; Costs (2)'!$H15</f>
        <v>0</v>
      </c>
      <c r="T15" s="85" t="n">
        <f aca="false">MAX(0,MIN('Stage Schedule &amp; Costs (2)'!$F15,T$4)-MAX('Stage Schedule &amp; Costs (2)'!$E15,T$4-1))*'Stage Schedule &amp; Costs (2)'!$H15</f>
        <v>0</v>
      </c>
      <c r="U15" s="85" t="n">
        <f aca="false">MAX(0,MIN('Stage Schedule &amp; Costs (2)'!$F15,U$4)-MAX('Stage Schedule &amp; Costs (2)'!$E15,U$4-1))*'Stage Schedule &amp; Costs (2)'!$H15</f>
        <v>0</v>
      </c>
      <c r="V15" s="85" t="n">
        <f aca="false">MAX(0,MIN('Stage Schedule &amp; Costs (2)'!$F15,V$4)-MAX('Stage Schedule &amp; Costs (2)'!$E15,V$4-1))*'Stage Schedule &amp; Costs (2)'!$H15</f>
        <v>0</v>
      </c>
      <c r="W15" s="85" t="n">
        <f aca="false">MAX(0,MIN('Stage Schedule &amp; Costs (2)'!$F15,W$4)-MAX('Stage Schedule &amp; Costs (2)'!$E15,W$4-1))*'Stage Schedule &amp; Costs (2)'!$H15</f>
        <v>0</v>
      </c>
      <c r="X15" s="85" t="n">
        <f aca="false">MAX(0,MIN('Stage Schedule &amp; Costs (2)'!$F15,X$4)-MAX('Stage Schedule &amp; Costs (2)'!$E15,X$4-1))*'Stage Schedule &amp; Costs (2)'!$H15</f>
        <v>0</v>
      </c>
      <c r="Y15" s="85" t="n">
        <f aca="false">MAX(0,MIN('Stage Schedule &amp; Costs (2)'!$F15,Y$4)-MAX('Stage Schedule &amp; Costs (2)'!$E15,Y$4-1))*'Stage Schedule &amp; Costs (2)'!$H15</f>
        <v>0</v>
      </c>
      <c r="Z15" s="85" t="n">
        <f aca="false">MAX(0,MIN('Stage Schedule &amp; Costs (2)'!$F15,Z$4)-MAX('Stage Schedule &amp; Costs (2)'!$E15,Z$4-1))*'Stage Schedule &amp; Costs (2)'!$H15</f>
        <v>0</v>
      </c>
      <c r="AA15" s="85" t="n">
        <f aca="false">MAX(0,MIN('Stage Schedule &amp; Costs (2)'!$F15,AA$4)-MAX('Stage Schedule &amp; Costs (2)'!$E15,AA$4-1))*'Stage Schedule &amp; Costs (2)'!$H15</f>
        <v>0</v>
      </c>
      <c r="AB15" s="85" t="n">
        <f aca="false">MAX(0,MIN('Stage Schedule &amp; Costs (2)'!$F15,AB$4)-MAX('Stage Schedule &amp; Costs (2)'!$E15,AB$4-1))*'Stage Schedule &amp; Costs (2)'!$H15</f>
        <v>0</v>
      </c>
      <c r="AC15" s="85" t="n">
        <f aca="false">MAX(0,MIN('Stage Schedule &amp; Costs (2)'!$F15,AC$4)-MAX('Stage Schedule &amp; Costs (2)'!$E15,AC$4-1))*'Stage Schedule &amp; Costs (2)'!$H15</f>
        <v>0</v>
      </c>
      <c r="AD15" s="85" t="n">
        <f aca="false">MAX(0,MIN('Stage Schedule &amp; Costs (2)'!$F15,AD$4)-MAX('Stage Schedule &amp; Costs (2)'!$E15,AD$4-1))*'Stage Schedule &amp; Costs (2)'!$H15</f>
        <v>0</v>
      </c>
      <c r="AE15" s="85" t="n">
        <f aca="false">MAX(0,MIN('Stage Schedule &amp; Costs (2)'!$F15,AE$4)-MAX('Stage Schedule &amp; Costs (2)'!$E15,AE$4-1))*'Stage Schedule &amp; Costs (2)'!$H15</f>
        <v>0</v>
      </c>
      <c r="AF15" s="85" t="n">
        <f aca="false">MAX(0,MIN('Stage Schedule &amp; Costs (2)'!$F15,AF$4)-MAX('Stage Schedule &amp; Costs (2)'!$E15,AF$4-1))*'Stage Schedule &amp; Costs (2)'!$H15</f>
        <v>110000</v>
      </c>
      <c r="AG15" s="85" t="n">
        <f aca="false">MAX(0,MIN('Stage Schedule &amp; Costs (2)'!$F15,AG$4)-MAX('Stage Schedule &amp; Costs (2)'!$E15,AG$4-1))*'Stage Schedule &amp; Costs (2)'!$H15</f>
        <v>220000</v>
      </c>
      <c r="AH15" s="85" t="n">
        <f aca="false">MAX(0,MIN('Stage Schedule &amp; Costs (2)'!$F15,AH$4)-MAX('Stage Schedule &amp; Costs (2)'!$E15,AH$4-1))*'Stage Schedule &amp; Costs (2)'!$H15</f>
        <v>0</v>
      </c>
      <c r="AI15" s="85" t="n">
        <f aca="false">MAX(0,MIN('Stage Schedule &amp; Costs (2)'!$F15,AI$4)-MAX('Stage Schedule &amp; Costs (2)'!$E15,AI$4-1))*'Stage Schedule &amp; Costs (2)'!$H15</f>
        <v>0</v>
      </c>
      <c r="AJ15" s="85" t="n">
        <f aca="false">MAX(0,MIN('Stage Schedule &amp; Costs (2)'!$F15,AJ$4)-MAX('Stage Schedule &amp; Costs (2)'!$E15,AJ$4-1))*'Stage Schedule &amp; Costs (2)'!$H15</f>
        <v>0</v>
      </c>
      <c r="AK15" s="85" t="n">
        <f aca="false">MAX(0,MIN('Stage Schedule &amp; Costs (2)'!$F15,AK$4)-MAX('Stage Schedule &amp; Costs (2)'!$E15,AK$4-1))*'Stage Schedule &amp; Costs (2)'!$H15</f>
        <v>0</v>
      </c>
      <c r="AL15" s="85" t="n">
        <f aca="false">MAX(0,MIN('Stage Schedule &amp; Costs (2)'!$F15,AL$4)-MAX('Stage Schedule &amp; Costs (2)'!$E15,AL$4-1))*'Stage Schedule &amp; Costs (2)'!$H15</f>
        <v>0</v>
      </c>
      <c r="AM15" s="85" t="n">
        <f aca="false">MAX(0,MIN('Stage Schedule &amp; Costs (2)'!$F15,AM$4)-MAX('Stage Schedule &amp; Costs (2)'!$E15,AM$4-1))*'Stage Schedule &amp; Costs (2)'!$H15</f>
        <v>0</v>
      </c>
      <c r="AN15" s="85" t="n">
        <f aca="false">MAX(0,MIN('Stage Schedule &amp; Costs (2)'!$F15,AN$4)-MAX('Stage Schedule &amp; Costs (2)'!$E15,AN$4-1))*'Stage Schedule &amp; Costs (2)'!$H15</f>
        <v>0</v>
      </c>
      <c r="AO15" s="85" t="n">
        <f aca="false">MAX(0,MIN('Stage Schedule &amp; Costs (2)'!$F15,AO$4)-MAX('Stage Schedule &amp; Costs (2)'!$E15,AO$4-1))*'Stage Schedule &amp; Costs (2)'!$H15</f>
        <v>0</v>
      </c>
      <c r="AP15" s="85" t="n">
        <f aca="false">MAX(0,MIN('Stage Schedule &amp; Costs (2)'!$F15,AP$4)-MAX('Stage Schedule &amp; Costs (2)'!$E15,AP$4-1))*'Stage Schedule &amp; Costs (2)'!$H15</f>
        <v>0</v>
      </c>
      <c r="AQ15" s="85" t="n">
        <f aca="false">MAX(0,MIN('Stage Schedule &amp; Costs (2)'!$F15,AQ$4)-MAX('Stage Schedule &amp; Costs (2)'!$E15,AQ$4-1))*'Stage Schedule &amp; Costs (2)'!$H15</f>
        <v>0</v>
      </c>
      <c r="AR15" s="85" t="n">
        <f aca="false">MAX(0,MIN('Stage Schedule &amp; Costs (2)'!$F15,AR$4)-MAX('Stage Schedule &amp; Costs (2)'!$E15,AR$4-1))*'Stage Schedule &amp; Costs (2)'!$H15</f>
        <v>0</v>
      </c>
      <c r="AS15" s="85" t="n">
        <f aca="false">MAX(0,MIN('Stage Schedule &amp; Costs (2)'!$F15,AS$4)-MAX('Stage Schedule &amp; Costs (2)'!$E15,AS$4-1))*'Stage Schedule &amp; Costs (2)'!$H15</f>
        <v>0</v>
      </c>
      <c r="AT15" s="85" t="n">
        <f aca="false">MAX(0,MIN('Stage Schedule &amp; Costs (2)'!$F15,AT$4)-MAX('Stage Schedule &amp; Costs (2)'!$E15,AT$4-1))*'Stage Schedule &amp; Costs (2)'!$H15</f>
        <v>0</v>
      </c>
      <c r="AU15" s="85" t="n">
        <f aca="false">MAX(0,MIN('Stage Schedule &amp; Costs (2)'!$F15,AU$4)-MAX('Stage Schedule &amp; Costs (2)'!$E15,AU$4-1))*'Stage Schedule &amp; Costs (2)'!$H15</f>
        <v>0</v>
      </c>
      <c r="AV15" s="85" t="n">
        <f aca="false">MAX(0,MIN('Stage Schedule &amp; Costs (2)'!$F15,AV$4)-MAX('Stage Schedule &amp; Costs (2)'!$E15,AV$4-1))*'Stage Schedule &amp; Costs (2)'!$H15</f>
        <v>0</v>
      </c>
      <c r="AW15" s="85" t="n">
        <f aca="false">MAX(0,MIN('Stage Schedule &amp; Costs (2)'!$F15,AW$4)-MAX('Stage Schedule &amp; Costs (2)'!$E15,AW$4-1))*'Stage Schedule &amp; Costs (2)'!$H15</f>
        <v>0</v>
      </c>
      <c r="AX15" s="85" t="n">
        <f aca="false">MAX(0,MIN('Stage Schedule &amp; Costs (2)'!$F15,AX$4)-MAX('Stage Schedule &amp; Costs (2)'!$E15,AX$4-1))*'Stage Schedule &amp; Costs (2)'!$H15</f>
        <v>0</v>
      </c>
      <c r="AY15" s="85" t="n">
        <f aca="false">MAX(0,MIN('Stage Schedule &amp; Costs (2)'!$F15,AY$4)-MAX('Stage Schedule &amp; Costs (2)'!$E15,AY$4-1))*'Stage Schedule &amp; Costs (2)'!$H15</f>
        <v>0</v>
      </c>
      <c r="AZ15" s="85" t="n">
        <f aca="false">MAX(0,MIN('Stage Schedule &amp; Costs (2)'!$F15,AZ$4)-MAX('Stage Schedule &amp; Costs (2)'!$E15,AZ$4-1))*'Stage Schedule &amp; Costs (2)'!$H15</f>
        <v>0</v>
      </c>
      <c r="BA15" s="85" t="n">
        <f aca="false">MAX(0,MIN('Stage Schedule &amp; Costs (2)'!$F15,BA$4)-MAX('Stage Schedule &amp; Costs (2)'!$E15,BA$4-1))*'Stage Schedule &amp; Costs (2)'!$H15</f>
        <v>0</v>
      </c>
      <c r="BB15" s="85" t="n">
        <f aca="false">MAX(0,MIN('Stage Schedule &amp; Costs (2)'!$F15,BB$4)-MAX('Stage Schedule &amp; Costs (2)'!$E15,BB$4-1))*'Stage Schedule &amp; Costs (2)'!$H15</f>
        <v>0</v>
      </c>
      <c r="BC15" s="85" t="n">
        <f aca="false">MAX(0,MIN('Stage Schedule &amp; Costs (2)'!$F15,BC$4)-MAX('Stage Schedule &amp; Costs (2)'!$E15,BC$4-1))*'Stage Schedule &amp; Costs (2)'!$H15</f>
        <v>0</v>
      </c>
      <c r="BD15" s="85" t="n">
        <f aca="false">MAX(0,MIN('Stage Schedule &amp; Costs (2)'!$F15,BD$4)-MAX('Stage Schedule &amp; Costs (2)'!$E15,BD$4-1))*'Stage Schedule &amp; Costs (2)'!$H15</f>
        <v>0</v>
      </c>
      <c r="BE15" s="85" t="n">
        <f aca="false">MAX(0,MIN('Stage Schedule &amp; Costs (2)'!$F15,BE$4)-MAX('Stage Schedule &amp; Costs (2)'!$E15,BE$4-1))*'Stage Schedule &amp; Costs (2)'!$H15</f>
        <v>0</v>
      </c>
      <c r="BF15" s="85" t="n">
        <f aca="false">MAX(0,MIN('Stage Schedule &amp; Costs (2)'!$F15,BF$4)-MAX('Stage Schedule &amp; Costs (2)'!$E15,BF$4-1))*'Stage Schedule &amp; Costs (2)'!$H15</f>
        <v>0</v>
      </c>
      <c r="BG15" s="85" t="n">
        <f aca="false">MAX(0,MIN('Stage Schedule &amp; Costs (2)'!$F15,BG$4)-MAX('Stage Schedule &amp; Costs (2)'!$E15,BG$4-1))*'Stage Schedule &amp; Costs (2)'!$H15</f>
        <v>0</v>
      </c>
      <c r="BH15" s="85" t="n">
        <f aca="false">MAX(0,MIN('Stage Schedule &amp; Costs (2)'!$F15,BH$4)-MAX('Stage Schedule &amp; Costs (2)'!$E15,BH$4-1))*'Stage Schedule &amp; Costs (2)'!$H15</f>
        <v>0</v>
      </c>
      <c r="BI15" s="85" t="n">
        <f aca="false">MAX(0,MIN('Stage Schedule &amp; Costs (2)'!$F15,BI$4)-MAX('Stage Schedule &amp; Costs (2)'!$E15,BI$4-1))*'Stage Schedule &amp; Costs (2)'!$H15</f>
        <v>0</v>
      </c>
      <c r="BJ15" s="85" t="n">
        <f aca="false">MAX(0,MIN('Stage Schedule &amp; Costs (2)'!$F15,BJ$4)-MAX('Stage Schedule &amp; Costs (2)'!$E15,BJ$4-1))*'Stage Schedule &amp; Costs (2)'!$H15</f>
        <v>0</v>
      </c>
      <c r="BK15" s="85" t="n">
        <f aca="false">MAX(0,MIN('Stage Schedule &amp; Costs (2)'!$F15,BK$4)-MAX('Stage Schedule &amp; Costs (2)'!$E15,BK$4-1))*'Stage Schedule &amp; Costs (2)'!$H15</f>
        <v>0</v>
      </c>
    </row>
    <row r="16" customFormat="false" ht="15" hidden="false" customHeight="true" outlineLevel="0" collapsed="false">
      <c r="A16" s="86" t="n">
        <f aca="false">'Stage Schedule &amp; Costs (2)'!A16</f>
        <v>12</v>
      </c>
      <c r="B16" s="87" t="str">
        <f aca="false">'Stage Schedule &amp; Costs (2)'!B16&amp;" - "&amp;'Stage Schedule &amp; Costs (2)'!C16</f>
        <v> - 3rd Floor</v>
      </c>
      <c r="C16" s="88" t="n">
        <f aca="false">SUM(D16:BE16)</f>
        <v>0</v>
      </c>
      <c r="D16" s="88" t="n">
        <f aca="false">MAX(0,MIN('Stage Schedule &amp; Costs (2)'!$F16,D$4)-MAX('Stage Schedule &amp; Costs (2)'!$E16,D$4-1))*'Stage Schedule &amp; Costs (2)'!$H16</f>
        <v>0</v>
      </c>
      <c r="E16" s="88" t="n">
        <f aca="false">MAX(0,MIN('Stage Schedule &amp; Costs (2)'!$F16,E$4)-MAX('Stage Schedule &amp; Costs (2)'!$E16,E$4-1))*'Stage Schedule &amp; Costs (2)'!$H16</f>
        <v>0</v>
      </c>
      <c r="F16" s="88" t="n">
        <f aca="false">MAX(0,MIN('Stage Schedule &amp; Costs (2)'!$F16,F$4)-MAX('Stage Schedule &amp; Costs (2)'!$E16,F$4-1))*'Stage Schedule &amp; Costs (2)'!$H16</f>
        <v>0</v>
      </c>
      <c r="G16" s="88" t="n">
        <f aca="false">MAX(0,MIN('Stage Schedule &amp; Costs (2)'!$F16,G$4)-MAX('Stage Schedule &amp; Costs (2)'!$E16,G$4-1))*'Stage Schedule &amp; Costs (2)'!$H16</f>
        <v>0</v>
      </c>
      <c r="H16" s="88" t="n">
        <f aca="false">MAX(0,MIN('Stage Schedule &amp; Costs (2)'!$F16,H$4)-MAX('Stage Schedule &amp; Costs (2)'!$E16,H$4-1))*'Stage Schedule &amp; Costs (2)'!$H16</f>
        <v>0</v>
      </c>
      <c r="I16" s="88" t="n">
        <f aca="false">MAX(0,MIN('Stage Schedule &amp; Costs (2)'!$F16,I$4)-MAX('Stage Schedule &amp; Costs (2)'!$E16,I$4-1))*'Stage Schedule &amp; Costs (2)'!$H16</f>
        <v>0</v>
      </c>
      <c r="J16" s="88" t="n">
        <f aca="false">MAX(0,MIN('Stage Schedule &amp; Costs (2)'!$F16,J$4)-MAX('Stage Schedule &amp; Costs (2)'!$E16,J$4-1))*'Stage Schedule &amp; Costs (2)'!$H16</f>
        <v>0</v>
      </c>
      <c r="K16" s="88" t="n">
        <f aca="false">MAX(0,MIN('Stage Schedule &amp; Costs (2)'!$F16,K$4)-MAX('Stage Schedule &amp; Costs (2)'!$E16,K$4-1))*'Stage Schedule &amp; Costs (2)'!$H16</f>
        <v>0</v>
      </c>
      <c r="L16" s="88" t="n">
        <f aca="false">MAX(0,MIN('Stage Schedule &amp; Costs (2)'!$F16,L$4)-MAX('Stage Schedule &amp; Costs (2)'!$E16,L$4-1))*'Stage Schedule &amp; Costs (2)'!$H16</f>
        <v>0</v>
      </c>
      <c r="M16" s="88" t="n">
        <f aca="false">MAX(0,MIN('Stage Schedule &amp; Costs (2)'!$F16,M$4)-MAX('Stage Schedule &amp; Costs (2)'!$E16,M$4-1))*'Stage Schedule &amp; Costs (2)'!$H16</f>
        <v>0</v>
      </c>
      <c r="N16" s="88" t="n">
        <f aca="false">MAX(0,MIN('Stage Schedule &amp; Costs (2)'!$F16,N$4)-MAX('Stage Schedule &amp; Costs (2)'!$E16,N$4-1))*'Stage Schedule &amp; Costs (2)'!$H16</f>
        <v>0</v>
      </c>
      <c r="O16" s="88" t="n">
        <f aca="false">MAX(0,MIN('Stage Schedule &amp; Costs (2)'!$F16,O$4)-MAX('Stage Schedule &amp; Costs (2)'!$E16,O$4-1))*'Stage Schedule &amp; Costs (2)'!$H16</f>
        <v>0</v>
      </c>
      <c r="P16" s="88" t="n">
        <f aca="false">MAX(0,MIN('Stage Schedule &amp; Costs (2)'!$F16,P$4)-MAX('Stage Schedule &amp; Costs (2)'!$E16,P$4-1))*'Stage Schedule &amp; Costs (2)'!$H16</f>
        <v>0</v>
      </c>
      <c r="Q16" s="88" t="n">
        <f aca="false">MAX(0,MIN('Stage Schedule &amp; Costs (2)'!$F16,Q$4)-MAX('Stage Schedule &amp; Costs (2)'!$E16,Q$4-1))*'Stage Schedule &amp; Costs (2)'!$H16</f>
        <v>0</v>
      </c>
      <c r="R16" s="88" t="n">
        <f aca="false">MAX(0,MIN('Stage Schedule &amp; Costs (2)'!$F16,R$4)-MAX('Stage Schedule &amp; Costs (2)'!$E16,R$4-1))*'Stage Schedule &amp; Costs (2)'!$H16</f>
        <v>0</v>
      </c>
      <c r="S16" s="88" t="n">
        <f aca="false">MAX(0,MIN('Stage Schedule &amp; Costs (2)'!$F16,S$4)-MAX('Stage Schedule &amp; Costs (2)'!$E16,S$4-1))*'Stage Schedule &amp; Costs (2)'!$H16</f>
        <v>0</v>
      </c>
      <c r="T16" s="88" t="n">
        <f aca="false">MAX(0,MIN('Stage Schedule &amp; Costs (2)'!$F16,T$4)-MAX('Stage Schedule &amp; Costs (2)'!$E16,T$4-1))*'Stage Schedule &amp; Costs (2)'!$H16</f>
        <v>0</v>
      </c>
      <c r="U16" s="88" t="n">
        <f aca="false">MAX(0,MIN('Stage Schedule &amp; Costs (2)'!$F16,U$4)-MAX('Stage Schedule &amp; Costs (2)'!$E16,U$4-1))*'Stage Schedule &amp; Costs (2)'!$H16</f>
        <v>0</v>
      </c>
      <c r="V16" s="88" t="n">
        <f aca="false">MAX(0,MIN('Stage Schedule &amp; Costs (2)'!$F16,V$4)-MAX('Stage Schedule &amp; Costs (2)'!$E16,V$4-1))*'Stage Schedule &amp; Costs (2)'!$H16</f>
        <v>0</v>
      </c>
      <c r="W16" s="88" t="n">
        <f aca="false">MAX(0,MIN('Stage Schedule &amp; Costs (2)'!$F16,W$4)-MAX('Stage Schedule &amp; Costs (2)'!$E16,W$4-1))*'Stage Schedule &amp; Costs (2)'!$H16</f>
        <v>0</v>
      </c>
      <c r="X16" s="88" t="n">
        <f aca="false">MAX(0,MIN('Stage Schedule &amp; Costs (2)'!$F16,X$4)-MAX('Stage Schedule &amp; Costs (2)'!$E16,X$4-1))*'Stage Schedule &amp; Costs (2)'!$H16</f>
        <v>0</v>
      </c>
      <c r="Y16" s="88" t="n">
        <f aca="false">MAX(0,MIN('Stage Schedule &amp; Costs (2)'!$F16,Y$4)-MAX('Stage Schedule &amp; Costs (2)'!$E16,Y$4-1))*'Stage Schedule &amp; Costs (2)'!$H16</f>
        <v>0</v>
      </c>
      <c r="Z16" s="88" t="n">
        <f aca="false">MAX(0,MIN('Stage Schedule &amp; Costs (2)'!$F16,Z$4)-MAX('Stage Schedule &amp; Costs (2)'!$E16,Z$4-1))*'Stage Schedule &amp; Costs (2)'!$H16</f>
        <v>0</v>
      </c>
      <c r="AA16" s="88" t="n">
        <f aca="false">MAX(0,MIN('Stage Schedule &amp; Costs (2)'!$F16,AA$4)-MAX('Stage Schedule &amp; Costs (2)'!$E16,AA$4-1))*'Stage Schedule &amp; Costs (2)'!$H16</f>
        <v>0</v>
      </c>
      <c r="AB16" s="88" t="n">
        <f aca="false">MAX(0,MIN('Stage Schedule &amp; Costs (2)'!$F16,AB$4)-MAX('Stage Schedule &amp; Costs (2)'!$E16,AB$4-1))*'Stage Schedule &amp; Costs (2)'!$H16</f>
        <v>0</v>
      </c>
      <c r="AC16" s="88" t="n">
        <f aca="false">MAX(0,MIN('Stage Schedule &amp; Costs (2)'!$F16,AC$4)-MAX('Stage Schedule &amp; Costs (2)'!$E16,AC$4-1))*'Stage Schedule &amp; Costs (2)'!$H16</f>
        <v>0</v>
      </c>
      <c r="AD16" s="88" t="n">
        <f aca="false">MAX(0,MIN('Stage Schedule &amp; Costs (2)'!$F16,AD$4)-MAX('Stage Schedule &amp; Costs (2)'!$E16,AD$4-1))*'Stage Schedule &amp; Costs (2)'!$H16</f>
        <v>0</v>
      </c>
      <c r="AE16" s="88" t="n">
        <f aca="false">MAX(0,MIN('Stage Schedule &amp; Costs (2)'!$F16,AE$4)-MAX('Stage Schedule &amp; Costs (2)'!$E16,AE$4-1))*'Stage Schedule &amp; Costs (2)'!$H16</f>
        <v>0</v>
      </c>
      <c r="AF16" s="88" t="n">
        <f aca="false">MAX(0,MIN('Stage Schedule &amp; Costs (2)'!$F16,AF$4)-MAX('Stage Schedule &amp; Costs (2)'!$E16,AF$4-1))*'Stage Schedule &amp; Costs (2)'!$H16</f>
        <v>0</v>
      </c>
      <c r="AG16" s="88" t="n">
        <f aca="false">MAX(0,MIN('Stage Schedule &amp; Costs (2)'!$F16,AG$4)-MAX('Stage Schedule &amp; Costs (2)'!$E16,AG$4-1))*'Stage Schedule &amp; Costs (2)'!$H16</f>
        <v>0</v>
      </c>
      <c r="AH16" s="88" t="n">
        <f aca="false">MAX(0,MIN('Stage Schedule &amp; Costs (2)'!$F16,AH$4)-MAX('Stage Schedule &amp; Costs (2)'!$E16,AH$4-1))*'Stage Schedule &amp; Costs (2)'!$H16</f>
        <v>0</v>
      </c>
      <c r="AI16" s="88" t="n">
        <f aca="false">MAX(0,MIN('Stage Schedule &amp; Costs (2)'!$F16,AI$4)-MAX('Stage Schedule &amp; Costs (2)'!$E16,AI$4-1))*'Stage Schedule &amp; Costs (2)'!$H16</f>
        <v>0</v>
      </c>
      <c r="AJ16" s="88" t="n">
        <f aca="false">MAX(0,MIN('Stage Schedule &amp; Costs (2)'!$F16,AJ$4)-MAX('Stage Schedule &amp; Costs (2)'!$E16,AJ$4-1))*'Stage Schedule &amp; Costs (2)'!$H16</f>
        <v>0</v>
      </c>
      <c r="AK16" s="88" t="n">
        <f aca="false">MAX(0,MIN('Stage Schedule &amp; Costs (2)'!$F16,AK$4)-MAX('Stage Schedule &amp; Costs (2)'!$E16,AK$4-1))*'Stage Schedule &amp; Costs (2)'!$H16</f>
        <v>0</v>
      </c>
      <c r="AL16" s="88" t="n">
        <f aca="false">MAX(0,MIN('Stage Schedule &amp; Costs (2)'!$F16,AL$4)-MAX('Stage Schedule &amp; Costs (2)'!$E16,AL$4-1))*'Stage Schedule &amp; Costs (2)'!$H16</f>
        <v>0</v>
      </c>
      <c r="AM16" s="88" t="n">
        <f aca="false">MAX(0,MIN('Stage Schedule &amp; Costs (2)'!$F16,AM$4)-MAX('Stage Schedule &amp; Costs (2)'!$E16,AM$4-1))*'Stage Schedule &amp; Costs (2)'!$H16</f>
        <v>0</v>
      </c>
      <c r="AN16" s="88" t="n">
        <f aca="false">MAX(0,MIN('Stage Schedule &amp; Costs (2)'!$F16,AN$4)-MAX('Stage Schedule &amp; Costs (2)'!$E16,AN$4-1))*'Stage Schedule &amp; Costs (2)'!$H16</f>
        <v>0</v>
      </c>
      <c r="AO16" s="88" t="n">
        <f aca="false">MAX(0,MIN('Stage Schedule &amp; Costs (2)'!$F16,AO$4)-MAX('Stage Schedule &amp; Costs (2)'!$E16,AO$4-1))*'Stage Schedule &amp; Costs (2)'!$H16</f>
        <v>0</v>
      </c>
      <c r="AP16" s="88" t="n">
        <f aca="false">MAX(0,MIN('Stage Schedule &amp; Costs (2)'!$F16,AP$4)-MAX('Stage Schedule &amp; Costs (2)'!$E16,AP$4-1))*'Stage Schedule &amp; Costs (2)'!$H16</f>
        <v>0</v>
      </c>
      <c r="AQ16" s="88" t="n">
        <f aca="false">MAX(0,MIN('Stage Schedule &amp; Costs (2)'!$F16,AQ$4)-MAX('Stage Schedule &amp; Costs (2)'!$E16,AQ$4-1))*'Stage Schedule &amp; Costs (2)'!$H16</f>
        <v>0</v>
      </c>
      <c r="AR16" s="88" t="n">
        <f aca="false">MAX(0,MIN('Stage Schedule &amp; Costs (2)'!$F16,AR$4)-MAX('Stage Schedule &amp; Costs (2)'!$E16,AR$4-1))*'Stage Schedule &amp; Costs (2)'!$H16</f>
        <v>0</v>
      </c>
      <c r="AS16" s="88" t="n">
        <f aca="false">MAX(0,MIN('Stage Schedule &amp; Costs (2)'!$F16,AS$4)-MAX('Stage Schedule &amp; Costs (2)'!$E16,AS$4-1))*'Stage Schedule &amp; Costs (2)'!$H16</f>
        <v>0</v>
      </c>
      <c r="AT16" s="88" t="n">
        <f aca="false">MAX(0,MIN('Stage Schedule &amp; Costs (2)'!$F16,AT$4)-MAX('Stage Schedule &amp; Costs (2)'!$E16,AT$4-1))*'Stage Schedule &amp; Costs (2)'!$H16</f>
        <v>0</v>
      </c>
      <c r="AU16" s="88" t="n">
        <f aca="false">MAX(0,MIN('Stage Schedule &amp; Costs (2)'!$F16,AU$4)-MAX('Stage Schedule &amp; Costs (2)'!$E16,AU$4-1))*'Stage Schedule &amp; Costs (2)'!$H16</f>
        <v>0</v>
      </c>
      <c r="AV16" s="88" t="n">
        <f aca="false">MAX(0,MIN('Stage Schedule &amp; Costs (2)'!$F16,AV$4)-MAX('Stage Schedule &amp; Costs (2)'!$E16,AV$4-1))*'Stage Schedule &amp; Costs (2)'!$H16</f>
        <v>0</v>
      </c>
      <c r="AW16" s="88" t="n">
        <f aca="false">MAX(0,MIN('Stage Schedule &amp; Costs (2)'!$F16,AW$4)-MAX('Stage Schedule &amp; Costs (2)'!$E16,AW$4-1))*'Stage Schedule &amp; Costs (2)'!$H16</f>
        <v>0</v>
      </c>
      <c r="AX16" s="88" t="n">
        <f aca="false">MAX(0,MIN('Stage Schedule &amp; Costs (2)'!$F16,AX$4)-MAX('Stage Schedule &amp; Costs (2)'!$E16,AX$4-1))*'Stage Schedule &amp; Costs (2)'!$H16</f>
        <v>0</v>
      </c>
      <c r="AY16" s="88" t="n">
        <f aca="false">MAX(0,MIN('Stage Schedule &amp; Costs (2)'!$F16,AY$4)-MAX('Stage Schedule &amp; Costs (2)'!$E16,AY$4-1))*'Stage Schedule &amp; Costs (2)'!$H16</f>
        <v>0</v>
      </c>
      <c r="AZ16" s="88" t="n">
        <f aca="false">MAX(0,MIN('Stage Schedule &amp; Costs (2)'!$F16,AZ$4)-MAX('Stage Schedule &amp; Costs (2)'!$E16,AZ$4-1))*'Stage Schedule &amp; Costs (2)'!$H16</f>
        <v>0</v>
      </c>
      <c r="BA16" s="88" t="n">
        <f aca="false">MAX(0,MIN('Stage Schedule &amp; Costs (2)'!$F16,BA$4)-MAX('Stage Schedule &amp; Costs (2)'!$E16,BA$4-1))*'Stage Schedule &amp; Costs (2)'!$H16</f>
        <v>0</v>
      </c>
      <c r="BB16" s="88" t="n">
        <f aca="false">MAX(0,MIN('Stage Schedule &amp; Costs (2)'!$F16,BB$4)-MAX('Stage Schedule &amp; Costs (2)'!$E16,BB$4-1))*'Stage Schedule &amp; Costs (2)'!$H16</f>
        <v>0</v>
      </c>
      <c r="BC16" s="88" t="n">
        <f aca="false">MAX(0,MIN('Stage Schedule &amp; Costs (2)'!$F16,BC$4)-MAX('Stage Schedule &amp; Costs (2)'!$E16,BC$4-1))*'Stage Schedule &amp; Costs (2)'!$H16</f>
        <v>0</v>
      </c>
      <c r="BD16" s="88" t="n">
        <f aca="false">MAX(0,MIN('Stage Schedule &amp; Costs (2)'!$F16,BD$4)-MAX('Stage Schedule &amp; Costs (2)'!$E16,BD$4-1))*'Stage Schedule &amp; Costs (2)'!$H16</f>
        <v>0</v>
      </c>
      <c r="BE16" s="88" t="n">
        <f aca="false">MAX(0,MIN('Stage Schedule &amp; Costs (2)'!$F16,BE$4)-MAX('Stage Schedule &amp; Costs (2)'!$E16,BE$4-1))*'Stage Schedule &amp; Costs (2)'!$H16</f>
        <v>0</v>
      </c>
      <c r="BF16" s="88" t="n">
        <f aca="false">MAX(0,MIN('Stage Schedule &amp; Costs (2)'!$F16,BF$4)-MAX('Stage Schedule &amp; Costs (2)'!$E16,BF$4-1))*'Stage Schedule &amp; Costs (2)'!$H16</f>
        <v>0</v>
      </c>
      <c r="BG16" s="88" t="n">
        <f aca="false">MAX(0,MIN('Stage Schedule &amp; Costs (2)'!$F16,BG$4)-MAX('Stage Schedule &amp; Costs (2)'!$E16,BG$4-1))*'Stage Schedule &amp; Costs (2)'!$H16</f>
        <v>0</v>
      </c>
      <c r="BH16" s="88" t="n">
        <f aca="false">MAX(0,MIN('Stage Schedule &amp; Costs (2)'!$F16,BH$4)-MAX('Stage Schedule &amp; Costs (2)'!$E16,BH$4-1))*'Stage Schedule &amp; Costs (2)'!$H16</f>
        <v>0</v>
      </c>
      <c r="BI16" s="88" t="n">
        <f aca="false">MAX(0,MIN('Stage Schedule &amp; Costs (2)'!$F16,BI$4)-MAX('Stage Schedule &amp; Costs (2)'!$E16,BI$4-1))*'Stage Schedule &amp; Costs (2)'!$H16</f>
        <v>0</v>
      </c>
      <c r="BJ16" s="88" t="n">
        <f aca="false">MAX(0,MIN('Stage Schedule &amp; Costs (2)'!$F16,BJ$4)-MAX('Stage Schedule &amp; Costs (2)'!$E16,BJ$4-1))*'Stage Schedule &amp; Costs (2)'!$H16</f>
        <v>0</v>
      </c>
      <c r="BK16" s="88" t="n">
        <f aca="false">MAX(0,MIN('Stage Schedule &amp; Costs (2)'!$F16,BK$4)-MAX('Stage Schedule &amp; Costs (2)'!$E16,BK$4-1))*'Stage Schedule &amp; Costs (2)'!$H16</f>
        <v>0</v>
      </c>
    </row>
    <row r="17" customFormat="false" ht="15" hidden="false" customHeight="true" outlineLevel="0" collapsed="false">
      <c r="A17" s="74" t="n">
        <f aca="false">'Stage Schedule &amp; Costs (2)'!A17</f>
        <v>13</v>
      </c>
      <c r="B17" s="84" t="str">
        <f aca="false">'Stage Schedule &amp; Costs (2)'!B17&amp;" - "&amp;'Stage Schedule &amp; Costs (2)'!C17</f>
        <v>MEP &amp; Plumbing - Basement Floor</v>
      </c>
      <c r="C17" s="85" t="n">
        <f aca="false">SUM(D17:BE17)</f>
        <v>10000000</v>
      </c>
      <c r="D17" s="85" t="n">
        <f aca="false">MAX(0,MIN('Stage Schedule &amp; Costs (2)'!$F17,D$4)-MAX('Stage Schedule &amp; Costs (2)'!$E17,D$4-1))*'Stage Schedule &amp; Costs (2)'!$H17</f>
        <v>0</v>
      </c>
      <c r="E17" s="85" t="n">
        <f aca="false">MAX(0,MIN('Stage Schedule &amp; Costs (2)'!$F17,E$4)-MAX('Stage Schedule &amp; Costs (2)'!$E17,E$4-1))*'Stage Schedule &amp; Costs (2)'!$H17</f>
        <v>0</v>
      </c>
      <c r="F17" s="85" t="n">
        <f aca="false">MAX(0,MIN('Stage Schedule &amp; Costs (2)'!$F17,F$4)-MAX('Stage Schedule &amp; Costs (2)'!$E17,F$4-1))*'Stage Schedule &amp; Costs (2)'!$H17</f>
        <v>0</v>
      </c>
      <c r="G17" s="85" t="n">
        <f aca="false">MAX(0,MIN('Stage Schedule &amp; Costs (2)'!$F17,G$4)-MAX('Stage Schedule &amp; Costs (2)'!$E17,G$4-1))*'Stage Schedule &amp; Costs (2)'!$H17</f>
        <v>0</v>
      </c>
      <c r="H17" s="85" t="n">
        <f aca="false">MAX(0,MIN('Stage Schedule &amp; Costs (2)'!$F17,H$4)-MAX('Stage Schedule &amp; Costs (2)'!$E17,H$4-1))*'Stage Schedule &amp; Costs (2)'!$H17</f>
        <v>0</v>
      </c>
      <c r="I17" s="85" t="n">
        <f aca="false">MAX(0,MIN('Stage Schedule &amp; Costs (2)'!$F17,I$4)-MAX('Stage Schedule &amp; Costs (2)'!$E17,I$4-1))*'Stage Schedule &amp; Costs (2)'!$H17</f>
        <v>0</v>
      </c>
      <c r="J17" s="85" t="n">
        <f aca="false">MAX(0,MIN('Stage Schedule &amp; Costs (2)'!$F17,J$4)-MAX('Stage Schedule &amp; Costs (2)'!$E17,J$4-1))*'Stage Schedule &amp; Costs (2)'!$H17</f>
        <v>0</v>
      </c>
      <c r="K17" s="85" t="n">
        <f aca="false">MAX(0,MIN('Stage Schedule &amp; Costs (2)'!$F17,K$4)-MAX('Stage Schedule &amp; Costs (2)'!$E17,K$4-1))*'Stage Schedule &amp; Costs (2)'!$H17</f>
        <v>0</v>
      </c>
      <c r="L17" s="85" t="n">
        <f aca="false">MAX(0,MIN('Stage Schedule &amp; Costs (2)'!$F17,L$4)-MAX('Stage Schedule &amp; Costs (2)'!$E17,L$4-1))*'Stage Schedule &amp; Costs (2)'!$H17</f>
        <v>0</v>
      </c>
      <c r="M17" s="85" t="n">
        <f aca="false">MAX(0,MIN('Stage Schedule &amp; Costs (2)'!$F17,M$4)-MAX('Stage Schedule &amp; Costs (2)'!$E17,M$4-1))*'Stage Schedule &amp; Costs (2)'!$H17</f>
        <v>0</v>
      </c>
      <c r="N17" s="85" t="n">
        <f aca="false">MAX(0,MIN('Stage Schedule &amp; Costs (2)'!$F17,N$4)-MAX('Stage Schedule &amp; Costs (2)'!$E17,N$4-1))*'Stage Schedule &amp; Costs (2)'!$H17</f>
        <v>0</v>
      </c>
      <c r="O17" s="85" t="n">
        <f aca="false">MAX(0,MIN('Stage Schedule &amp; Costs (2)'!$F17,O$4)-MAX('Stage Schedule &amp; Costs (2)'!$E17,O$4-1))*'Stage Schedule &amp; Costs (2)'!$H17</f>
        <v>0</v>
      </c>
      <c r="P17" s="85" t="n">
        <f aca="false">MAX(0,MIN('Stage Schedule &amp; Costs (2)'!$F17,P$4)-MAX('Stage Schedule &amp; Costs (2)'!$E17,P$4-1))*'Stage Schedule &amp; Costs (2)'!$H17</f>
        <v>0</v>
      </c>
      <c r="Q17" s="85" t="n">
        <f aca="false">MAX(0,MIN('Stage Schedule &amp; Costs (2)'!$F17,Q$4)-MAX('Stage Schedule &amp; Costs (2)'!$E17,Q$4-1))*'Stage Schedule &amp; Costs (2)'!$H17</f>
        <v>0</v>
      </c>
      <c r="R17" s="85" t="n">
        <f aca="false">MAX(0,MIN('Stage Schedule &amp; Costs (2)'!$F17,R$4)-MAX('Stage Schedule &amp; Costs (2)'!$E17,R$4-1))*'Stage Schedule &amp; Costs (2)'!$H17</f>
        <v>0</v>
      </c>
      <c r="S17" s="85" t="n">
        <f aca="false">MAX(0,MIN('Stage Schedule &amp; Costs (2)'!$F17,S$4)-MAX('Stage Schedule &amp; Costs (2)'!$E17,S$4-1))*'Stage Schedule &amp; Costs (2)'!$H17</f>
        <v>0</v>
      </c>
      <c r="T17" s="85" t="n">
        <f aca="false">MAX(0,MIN('Stage Schedule &amp; Costs (2)'!$F17,T$4)-MAX('Stage Schedule &amp; Costs (2)'!$E17,T$4-1))*'Stage Schedule &amp; Costs (2)'!$H17</f>
        <v>0</v>
      </c>
      <c r="U17" s="85" t="n">
        <f aca="false">MAX(0,MIN('Stage Schedule &amp; Costs (2)'!$F17,U$4)-MAX('Stage Schedule &amp; Costs (2)'!$E17,U$4-1))*'Stage Schedule &amp; Costs (2)'!$H17</f>
        <v>0</v>
      </c>
      <c r="V17" s="85" t="n">
        <f aca="false">MAX(0,MIN('Stage Schedule &amp; Costs (2)'!$F17,V$4)-MAX('Stage Schedule &amp; Costs (2)'!$E17,V$4-1))*'Stage Schedule &amp; Costs (2)'!$H17</f>
        <v>0</v>
      </c>
      <c r="W17" s="85" t="n">
        <f aca="false">MAX(0,MIN('Stage Schedule &amp; Costs (2)'!$F17,W$4)-MAX('Stage Schedule &amp; Costs (2)'!$E17,W$4-1))*'Stage Schedule &amp; Costs (2)'!$H17</f>
        <v>0</v>
      </c>
      <c r="X17" s="85" t="n">
        <f aca="false">MAX(0,MIN('Stage Schedule &amp; Costs (2)'!$F17,X$4)-MAX('Stage Schedule &amp; Costs (2)'!$E17,X$4-1))*'Stage Schedule &amp; Costs (2)'!$H17</f>
        <v>0</v>
      </c>
      <c r="Y17" s="85" t="n">
        <f aca="false">MAX(0,MIN('Stage Schedule &amp; Costs (2)'!$F17,Y$4)-MAX('Stage Schedule &amp; Costs (2)'!$E17,Y$4-1))*'Stage Schedule &amp; Costs (2)'!$H17</f>
        <v>0</v>
      </c>
      <c r="Z17" s="85" t="n">
        <f aca="false">MAX(0,MIN('Stage Schedule &amp; Costs (2)'!$F17,Z$4)-MAX('Stage Schedule &amp; Costs (2)'!$E17,Z$4-1))*'Stage Schedule &amp; Costs (2)'!$H17</f>
        <v>0</v>
      </c>
      <c r="AA17" s="85" t="n">
        <f aca="false">MAX(0,MIN('Stage Schedule &amp; Costs (2)'!$F17,AA$4)-MAX('Stage Schedule &amp; Costs (2)'!$E17,AA$4-1))*'Stage Schedule &amp; Costs (2)'!$H17</f>
        <v>0</v>
      </c>
      <c r="AB17" s="85" t="n">
        <f aca="false">MAX(0,MIN('Stage Schedule &amp; Costs (2)'!$F17,AB$4)-MAX('Stage Schedule &amp; Costs (2)'!$E17,AB$4-1))*'Stage Schedule &amp; Costs (2)'!$H17</f>
        <v>0</v>
      </c>
      <c r="AC17" s="85" t="n">
        <f aca="false">MAX(0,MIN('Stage Schedule &amp; Costs (2)'!$F17,AC$4)-MAX('Stage Schedule &amp; Costs (2)'!$E17,AC$4-1))*'Stage Schedule &amp; Costs (2)'!$H17</f>
        <v>0</v>
      </c>
      <c r="AD17" s="85" t="n">
        <f aca="false">MAX(0,MIN('Stage Schedule &amp; Costs (2)'!$F17,AD$4)-MAX('Stage Schedule &amp; Costs (2)'!$E17,AD$4-1))*'Stage Schedule &amp; Costs (2)'!$H17</f>
        <v>0</v>
      </c>
      <c r="AE17" s="85" t="n">
        <f aca="false">MAX(0,MIN('Stage Schedule &amp; Costs (2)'!$F17,AE$4)-MAX('Stage Schedule &amp; Costs (2)'!$E17,AE$4-1))*'Stage Schedule &amp; Costs (2)'!$H17</f>
        <v>0</v>
      </c>
      <c r="AF17" s="85" t="n">
        <f aca="false">MAX(0,MIN('Stage Schedule &amp; Costs (2)'!$F17,AF$4)-MAX('Stage Schedule &amp; Costs (2)'!$E17,AF$4-1))*'Stage Schedule &amp; Costs (2)'!$H17</f>
        <v>0</v>
      </c>
      <c r="AG17" s="85" t="n">
        <f aca="false">MAX(0,MIN('Stage Schedule &amp; Costs (2)'!$F17,AG$4)-MAX('Stage Schedule &amp; Costs (2)'!$E17,AG$4-1))*'Stage Schedule &amp; Costs (2)'!$H17</f>
        <v>0</v>
      </c>
      <c r="AH17" s="85" t="n">
        <f aca="false">MAX(0,MIN('Stage Schedule &amp; Costs (2)'!$F17,AH$4)-MAX('Stage Schedule &amp; Costs (2)'!$E17,AH$4-1))*'Stage Schedule &amp; Costs (2)'!$H17</f>
        <v>5000000</v>
      </c>
      <c r="AI17" s="85" t="n">
        <f aca="false">MAX(0,MIN('Stage Schedule &amp; Costs (2)'!$F17,AI$4)-MAX('Stage Schedule &amp; Costs (2)'!$E17,AI$4-1))*'Stage Schedule &amp; Costs (2)'!$H17</f>
        <v>5000000</v>
      </c>
      <c r="AJ17" s="85" t="n">
        <f aca="false">MAX(0,MIN('Stage Schedule &amp; Costs (2)'!$F17,AJ$4)-MAX('Stage Schedule &amp; Costs (2)'!$E17,AJ$4-1))*'Stage Schedule &amp; Costs (2)'!$H17</f>
        <v>0</v>
      </c>
      <c r="AK17" s="85" t="n">
        <f aca="false">MAX(0,MIN('Stage Schedule &amp; Costs (2)'!$F17,AK$4)-MAX('Stage Schedule &amp; Costs (2)'!$E17,AK$4-1))*'Stage Schedule &amp; Costs (2)'!$H17</f>
        <v>0</v>
      </c>
      <c r="AL17" s="85" t="n">
        <f aca="false">MAX(0,MIN('Stage Schedule &amp; Costs (2)'!$F17,AL$4)-MAX('Stage Schedule &amp; Costs (2)'!$E17,AL$4-1))*'Stage Schedule &amp; Costs (2)'!$H17</f>
        <v>0</v>
      </c>
      <c r="AM17" s="85" t="n">
        <f aca="false">MAX(0,MIN('Stage Schedule &amp; Costs (2)'!$F17,AM$4)-MAX('Stage Schedule &amp; Costs (2)'!$E17,AM$4-1))*'Stage Schedule &amp; Costs (2)'!$H17</f>
        <v>0</v>
      </c>
      <c r="AN17" s="85" t="n">
        <f aca="false">MAX(0,MIN('Stage Schedule &amp; Costs (2)'!$F17,AN$4)-MAX('Stage Schedule &amp; Costs (2)'!$E17,AN$4-1))*'Stage Schedule &amp; Costs (2)'!$H17</f>
        <v>0</v>
      </c>
      <c r="AO17" s="85" t="n">
        <f aca="false">MAX(0,MIN('Stage Schedule &amp; Costs (2)'!$F17,AO$4)-MAX('Stage Schedule &amp; Costs (2)'!$E17,AO$4-1))*'Stage Schedule &amp; Costs (2)'!$H17</f>
        <v>0</v>
      </c>
      <c r="AP17" s="85" t="n">
        <f aca="false">MAX(0,MIN('Stage Schedule &amp; Costs (2)'!$F17,AP$4)-MAX('Stage Schedule &amp; Costs (2)'!$E17,AP$4-1))*'Stage Schedule &amp; Costs (2)'!$H17</f>
        <v>0</v>
      </c>
      <c r="AQ17" s="85" t="n">
        <f aca="false">MAX(0,MIN('Stage Schedule &amp; Costs (2)'!$F17,AQ$4)-MAX('Stage Schedule &amp; Costs (2)'!$E17,AQ$4-1))*'Stage Schedule &amp; Costs (2)'!$H17</f>
        <v>0</v>
      </c>
      <c r="AR17" s="85" t="n">
        <f aca="false">MAX(0,MIN('Stage Schedule &amp; Costs (2)'!$F17,AR$4)-MAX('Stage Schedule &amp; Costs (2)'!$E17,AR$4-1))*'Stage Schedule &amp; Costs (2)'!$H17</f>
        <v>0</v>
      </c>
      <c r="AS17" s="85" t="n">
        <f aca="false">MAX(0,MIN('Stage Schedule &amp; Costs (2)'!$F17,AS$4)-MAX('Stage Schedule &amp; Costs (2)'!$E17,AS$4-1))*'Stage Schedule &amp; Costs (2)'!$H17</f>
        <v>0</v>
      </c>
      <c r="AT17" s="85" t="n">
        <f aca="false">MAX(0,MIN('Stage Schedule &amp; Costs (2)'!$F17,AT$4)-MAX('Stage Schedule &amp; Costs (2)'!$E17,AT$4-1))*'Stage Schedule &amp; Costs (2)'!$H17</f>
        <v>0</v>
      </c>
      <c r="AU17" s="85" t="n">
        <f aca="false">MAX(0,MIN('Stage Schedule &amp; Costs (2)'!$F17,AU$4)-MAX('Stage Schedule &amp; Costs (2)'!$E17,AU$4-1))*'Stage Schedule &amp; Costs (2)'!$H17</f>
        <v>0</v>
      </c>
      <c r="AV17" s="85" t="n">
        <f aca="false">MAX(0,MIN('Stage Schedule &amp; Costs (2)'!$F17,AV$4)-MAX('Stage Schedule &amp; Costs (2)'!$E17,AV$4-1))*'Stage Schedule &amp; Costs (2)'!$H17</f>
        <v>0</v>
      </c>
      <c r="AW17" s="85" t="n">
        <f aca="false">MAX(0,MIN('Stage Schedule &amp; Costs (2)'!$F17,AW$4)-MAX('Stage Schedule &amp; Costs (2)'!$E17,AW$4-1))*'Stage Schedule &amp; Costs (2)'!$H17</f>
        <v>0</v>
      </c>
      <c r="AX17" s="85" t="n">
        <f aca="false">MAX(0,MIN('Stage Schedule &amp; Costs (2)'!$F17,AX$4)-MAX('Stage Schedule &amp; Costs (2)'!$E17,AX$4-1))*'Stage Schedule &amp; Costs (2)'!$H17</f>
        <v>0</v>
      </c>
      <c r="AY17" s="85" t="n">
        <f aca="false">MAX(0,MIN('Stage Schedule &amp; Costs (2)'!$F17,AY$4)-MAX('Stage Schedule &amp; Costs (2)'!$E17,AY$4-1))*'Stage Schedule &amp; Costs (2)'!$H17</f>
        <v>0</v>
      </c>
      <c r="AZ17" s="85" t="n">
        <f aca="false">MAX(0,MIN('Stage Schedule &amp; Costs (2)'!$F17,AZ$4)-MAX('Stage Schedule &amp; Costs (2)'!$E17,AZ$4-1))*'Stage Schedule &amp; Costs (2)'!$H17</f>
        <v>0</v>
      </c>
      <c r="BA17" s="85" t="n">
        <f aca="false">MAX(0,MIN('Stage Schedule &amp; Costs (2)'!$F17,BA$4)-MAX('Stage Schedule &amp; Costs (2)'!$E17,BA$4-1))*'Stage Schedule &amp; Costs (2)'!$H17</f>
        <v>0</v>
      </c>
      <c r="BB17" s="85" t="n">
        <f aca="false">MAX(0,MIN('Stage Schedule &amp; Costs (2)'!$F17,BB$4)-MAX('Stage Schedule &amp; Costs (2)'!$E17,BB$4-1))*'Stage Schedule &amp; Costs (2)'!$H17</f>
        <v>0</v>
      </c>
      <c r="BC17" s="85" t="n">
        <f aca="false">MAX(0,MIN('Stage Schedule &amp; Costs (2)'!$F17,BC$4)-MAX('Stage Schedule &amp; Costs (2)'!$E17,BC$4-1))*'Stage Schedule &amp; Costs (2)'!$H17</f>
        <v>0</v>
      </c>
      <c r="BD17" s="85" t="n">
        <f aca="false">MAX(0,MIN('Stage Schedule &amp; Costs (2)'!$F17,BD$4)-MAX('Stage Schedule &amp; Costs (2)'!$E17,BD$4-1))*'Stage Schedule &amp; Costs (2)'!$H17</f>
        <v>0</v>
      </c>
      <c r="BE17" s="85" t="n">
        <f aca="false">MAX(0,MIN('Stage Schedule &amp; Costs (2)'!$F17,BE$4)-MAX('Stage Schedule &amp; Costs (2)'!$E17,BE$4-1))*'Stage Schedule &amp; Costs (2)'!$H17</f>
        <v>0</v>
      </c>
      <c r="BF17" s="85" t="n">
        <f aca="false">MAX(0,MIN('Stage Schedule &amp; Costs (2)'!$F17,BF$4)-MAX('Stage Schedule &amp; Costs (2)'!$E17,BF$4-1))*'Stage Schedule &amp; Costs (2)'!$H17</f>
        <v>0</v>
      </c>
      <c r="BG17" s="85" t="n">
        <f aca="false">MAX(0,MIN('Stage Schedule &amp; Costs (2)'!$F17,BG$4)-MAX('Stage Schedule &amp; Costs (2)'!$E17,BG$4-1))*'Stage Schedule &amp; Costs (2)'!$H17</f>
        <v>0</v>
      </c>
      <c r="BH17" s="85" t="n">
        <f aca="false">MAX(0,MIN('Stage Schedule &amp; Costs (2)'!$F17,BH$4)-MAX('Stage Schedule &amp; Costs (2)'!$E17,BH$4-1))*'Stage Schedule &amp; Costs (2)'!$H17</f>
        <v>0</v>
      </c>
      <c r="BI17" s="85" t="n">
        <f aca="false">MAX(0,MIN('Stage Schedule &amp; Costs (2)'!$F17,BI$4)-MAX('Stage Schedule &amp; Costs (2)'!$E17,BI$4-1))*'Stage Schedule &amp; Costs (2)'!$H17</f>
        <v>0</v>
      </c>
      <c r="BJ17" s="85" t="n">
        <f aca="false">MAX(0,MIN('Stage Schedule &amp; Costs (2)'!$F17,BJ$4)-MAX('Stage Schedule &amp; Costs (2)'!$E17,BJ$4-1))*'Stage Schedule &amp; Costs (2)'!$H17</f>
        <v>0</v>
      </c>
      <c r="BK17" s="85" t="n">
        <f aca="false">MAX(0,MIN('Stage Schedule &amp; Costs (2)'!$F17,BK$4)-MAX('Stage Schedule &amp; Costs (2)'!$E17,BK$4-1))*'Stage Schedule &amp; Costs (2)'!$H17</f>
        <v>0</v>
      </c>
    </row>
    <row r="18" customFormat="false" ht="15" hidden="false" customHeight="true" outlineLevel="0" collapsed="false">
      <c r="A18" s="86" t="n">
        <f aca="false">'Stage Schedule &amp; Costs (2)'!A18</f>
        <v>14</v>
      </c>
      <c r="B18" s="87" t="str">
        <f aca="false">'Stage Schedule &amp; Costs (2)'!B18&amp;" - "&amp;'Stage Schedule &amp; Costs (2)'!C18</f>
        <v> - Ground Floor</v>
      </c>
      <c r="C18" s="88" t="n">
        <f aca="false">SUM(D18:BE18)</f>
        <v>10000000</v>
      </c>
      <c r="D18" s="88" t="n">
        <f aca="false">MAX(0,MIN('Stage Schedule &amp; Costs (2)'!$F18,D$4)-MAX('Stage Schedule &amp; Costs (2)'!$E18,D$4-1))*'Stage Schedule &amp; Costs (2)'!$H18</f>
        <v>0</v>
      </c>
      <c r="E18" s="88" t="n">
        <f aca="false">MAX(0,MIN('Stage Schedule &amp; Costs (2)'!$F18,E$4)-MAX('Stage Schedule &amp; Costs (2)'!$E18,E$4-1))*'Stage Schedule &amp; Costs (2)'!$H18</f>
        <v>0</v>
      </c>
      <c r="F18" s="88" t="n">
        <f aca="false">MAX(0,MIN('Stage Schedule &amp; Costs (2)'!$F18,F$4)-MAX('Stage Schedule &amp; Costs (2)'!$E18,F$4-1))*'Stage Schedule &amp; Costs (2)'!$H18</f>
        <v>0</v>
      </c>
      <c r="G18" s="88" t="n">
        <f aca="false">MAX(0,MIN('Stage Schedule &amp; Costs (2)'!$F18,G$4)-MAX('Stage Schedule &amp; Costs (2)'!$E18,G$4-1))*'Stage Schedule &amp; Costs (2)'!$H18</f>
        <v>0</v>
      </c>
      <c r="H18" s="88" t="n">
        <f aca="false">MAX(0,MIN('Stage Schedule &amp; Costs (2)'!$F18,H$4)-MAX('Stage Schedule &amp; Costs (2)'!$E18,H$4-1))*'Stage Schedule &amp; Costs (2)'!$H18</f>
        <v>0</v>
      </c>
      <c r="I18" s="88" t="n">
        <f aca="false">MAX(0,MIN('Stage Schedule &amp; Costs (2)'!$F18,I$4)-MAX('Stage Schedule &amp; Costs (2)'!$E18,I$4-1))*'Stage Schedule &amp; Costs (2)'!$H18</f>
        <v>0</v>
      </c>
      <c r="J18" s="88" t="n">
        <f aca="false">MAX(0,MIN('Stage Schedule &amp; Costs (2)'!$F18,J$4)-MAX('Stage Schedule &amp; Costs (2)'!$E18,J$4-1))*'Stage Schedule &amp; Costs (2)'!$H18</f>
        <v>0</v>
      </c>
      <c r="K18" s="88" t="n">
        <f aca="false">MAX(0,MIN('Stage Schedule &amp; Costs (2)'!$F18,K$4)-MAX('Stage Schedule &amp; Costs (2)'!$E18,K$4-1))*'Stage Schedule &amp; Costs (2)'!$H18</f>
        <v>0</v>
      </c>
      <c r="L18" s="88" t="n">
        <f aca="false">MAX(0,MIN('Stage Schedule &amp; Costs (2)'!$F18,L$4)-MAX('Stage Schedule &amp; Costs (2)'!$E18,L$4-1))*'Stage Schedule &amp; Costs (2)'!$H18</f>
        <v>0</v>
      </c>
      <c r="M18" s="88" t="n">
        <f aca="false">MAX(0,MIN('Stage Schedule &amp; Costs (2)'!$F18,M$4)-MAX('Stage Schedule &amp; Costs (2)'!$E18,M$4-1))*'Stage Schedule &amp; Costs (2)'!$H18</f>
        <v>0</v>
      </c>
      <c r="N18" s="88" t="n">
        <f aca="false">MAX(0,MIN('Stage Schedule &amp; Costs (2)'!$F18,N$4)-MAX('Stage Schedule &amp; Costs (2)'!$E18,N$4-1))*'Stage Schedule &amp; Costs (2)'!$H18</f>
        <v>0</v>
      </c>
      <c r="O18" s="88" t="n">
        <f aca="false">MAX(0,MIN('Stage Schedule &amp; Costs (2)'!$F18,O$4)-MAX('Stage Schedule &amp; Costs (2)'!$E18,O$4-1))*'Stage Schedule &amp; Costs (2)'!$H18</f>
        <v>0</v>
      </c>
      <c r="P18" s="88" t="n">
        <f aca="false">MAX(0,MIN('Stage Schedule &amp; Costs (2)'!$F18,P$4)-MAX('Stage Schedule &amp; Costs (2)'!$E18,P$4-1))*'Stage Schedule &amp; Costs (2)'!$H18</f>
        <v>0</v>
      </c>
      <c r="Q18" s="88" t="n">
        <f aca="false">MAX(0,MIN('Stage Schedule &amp; Costs (2)'!$F18,Q$4)-MAX('Stage Schedule &amp; Costs (2)'!$E18,Q$4-1))*'Stage Schedule &amp; Costs (2)'!$H18</f>
        <v>0</v>
      </c>
      <c r="R18" s="88" t="n">
        <f aca="false">MAX(0,MIN('Stage Schedule &amp; Costs (2)'!$F18,R$4)-MAX('Stage Schedule &amp; Costs (2)'!$E18,R$4-1))*'Stage Schedule &amp; Costs (2)'!$H18</f>
        <v>0</v>
      </c>
      <c r="S18" s="88" t="n">
        <f aca="false">MAX(0,MIN('Stage Schedule &amp; Costs (2)'!$F18,S$4)-MAX('Stage Schedule &amp; Costs (2)'!$E18,S$4-1))*'Stage Schedule &amp; Costs (2)'!$H18</f>
        <v>0</v>
      </c>
      <c r="T18" s="88" t="n">
        <f aca="false">MAX(0,MIN('Stage Schedule &amp; Costs (2)'!$F18,T$4)-MAX('Stage Schedule &amp; Costs (2)'!$E18,T$4-1))*'Stage Schedule &amp; Costs (2)'!$H18</f>
        <v>0</v>
      </c>
      <c r="U18" s="88" t="n">
        <f aca="false">MAX(0,MIN('Stage Schedule &amp; Costs (2)'!$F18,U$4)-MAX('Stage Schedule &amp; Costs (2)'!$E18,U$4-1))*'Stage Schedule &amp; Costs (2)'!$H18</f>
        <v>0</v>
      </c>
      <c r="V18" s="88" t="n">
        <f aca="false">MAX(0,MIN('Stage Schedule &amp; Costs (2)'!$F18,V$4)-MAX('Stage Schedule &amp; Costs (2)'!$E18,V$4-1))*'Stage Schedule &amp; Costs (2)'!$H18</f>
        <v>0</v>
      </c>
      <c r="W18" s="88" t="n">
        <f aca="false">MAX(0,MIN('Stage Schedule &amp; Costs (2)'!$F18,W$4)-MAX('Stage Schedule &amp; Costs (2)'!$E18,W$4-1))*'Stage Schedule &amp; Costs (2)'!$H18</f>
        <v>0</v>
      </c>
      <c r="X18" s="88" t="n">
        <f aca="false">MAX(0,MIN('Stage Schedule &amp; Costs (2)'!$F18,X$4)-MAX('Stage Schedule &amp; Costs (2)'!$E18,X$4-1))*'Stage Schedule &amp; Costs (2)'!$H18</f>
        <v>0</v>
      </c>
      <c r="Y18" s="88" t="n">
        <f aca="false">MAX(0,MIN('Stage Schedule &amp; Costs (2)'!$F18,Y$4)-MAX('Stage Schedule &amp; Costs (2)'!$E18,Y$4-1))*'Stage Schedule &amp; Costs (2)'!$H18</f>
        <v>0</v>
      </c>
      <c r="Z18" s="88" t="n">
        <f aca="false">MAX(0,MIN('Stage Schedule &amp; Costs (2)'!$F18,Z$4)-MAX('Stage Schedule &amp; Costs (2)'!$E18,Z$4-1))*'Stage Schedule &amp; Costs (2)'!$H18</f>
        <v>0</v>
      </c>
      <c r="AA18" s="88" t="n">
        <f aca="false">MAX(0,MIN('Stage Schedule &amp; Costs (2)'!$F18,AA$4)-MAX('Stage Schedule &amp; Costs (2)'!$E18,AA$4-1))*'Stage Schedule &amp; Costs (2)'!$H18</f>
        <v>0</v>
      </c>
      <c r="AB18" s="88" t="n">
        <f aca="false">MAX(0,MIN('Stage Schedule &amp; Costs (2)'!$F18,AB$4)-MAX('Stage Schedule &amp; Costs (2)'!$E18,AB$4-1))*'Stage Schedule &amp; Costs (2)'!$H18</f>
        <v>0</v>
      </c>
      <c r="AC18" s="88" t="n">
        <f aca="false">MAX(0,MIN('Stage Schedule &amp; Costs (2)'!$F18,AC$4)-MAX('Stage Schedule &amp; Costs (2)'!$E18,AC$4-1))*'Stage Schedule &amp; Costs (2)'!$H18</f>
        <v>0</v>
      </c>
      <c r="AD18" s="88" t="n">
        <f aca="false">MAX(0,MIN('Stage Schedule &amp; Costs (2)'!$F18,AD$4)-MAX('Stage Schedule &amp; Costs (2)'!$E18,AD$4-1))*'Stage Schedule &amp; Costs (2)'!$H18</f>
        <v>0</v>
      </c>
      <c r="AE18" s="88" t="n">
        <f aca="false">MAX(0,MIN('Stage Schedule &amp; Costs (2)'!$F18,AE$4)-MAX('Stage Schedule &amp; Costs (2)'!$E18,AE$4-1))*'Stage Schedule &amp; Costs (2)'!$H18</f>
        <v>0</v>
      </c>
      <c r="AF18" s="88" t="n">
        <f aca="false">MAX(0,MIN('Stage Schedule &amp; Costs (2)'!$F18,AF$4)-MAX('Stage Schedule &amp; Costs (2)'!$E18,AF$4-1))*'Stage Schedule &amp; Costs (2)'!$H18</f>
        <v>0</v>
      </c>
      <c r="AG18" s="88" t="n">
        <f aca="false">MAX(0,MIN('Stage Schedule &amp; Costs (2)'!$F18,AG$4)-MAX('Stage Schedule &amp; Costs (2)'!$E18,AG$4-1))*'Stage Schedule &amp; Costs (2)'!$H18</f>
        <v>0</v>
      </c>
      <c r="AH18" s="88" t="n">
        <f aca="false">MAX(0,MIN('Stage Schedule &amp; Costs (2)'!$F18,AH$4)-MAX('Stage Schedule &amp; Costs (2)'!$E18,AH$4-1))*'Stage Schedule &amp; Costs (2)'!$H18</f>
        <v>0</v>
      </c>
      <c r="AI18" s="88" t="n">
        <f aca="false">MAX(0,MIN('Stage Schedule &amp; Costs (2)'!$F18,AI$4)-MAX('Stage Schedule &amp; Costs (2)'!$E18,AI$4-1))*'Stage Schedule &amp; Costs (2)'!$H18</f>
        <v>0</v>
      </c>
      <c r="AJ18" s="88" t="n">
        <f aca="false">MAX(0,MIN('Stage Schedule &amp; Costs (2)'!$F18,AJ$4)-MAX('Stage Schedule &amp; Costs (2)'!$E18,AJ$4-1))*'Stage Schedule &amp; Costs (2)'!$H18</f>
        <v>5000000</v>
      </c>
      <c r="AK18" s="88" t="n">
        <f aca="false">MAX(0,MIN('Stage Schedule &amp; Costs (2)'!$F18,AK$4)-MAX('Stage Schedule &amp; Costs (2)'!$E18,AK$4-1))*'Stage Schedule &amp; Costs (2)'!$H18</f>
        <v>5000000</v>
      </c>
      <c r="AL18" s="88" t="n">
        <f aca="false">MAX(0,MIN('Stage Schedule &amp; Costs (2)'!$F18,AL$4)-MAX('Stage Schedule &amp; Costs (2)'!$E18,AL$4-1))*'Stage Schedule &amp; Costs (2)'!$H18</f>
        <v>0</v>
      </c>
      <c r="AM18" s="88" t="n">
        <f aca="false">MAX(0,MIN('Stage Schedule &amp; Costs (2)'!$F18,AM$4)-MAX('Stage Schedule &amp; Costs (2)'!$E18,AM$4-1))*'Stage Schedule &amp; Costs (2)'!$H18</f>
        <v>0</v>
      </c>
      <c r="AN18" s="88" t="n">
        <f aca="false">MAX(0,MIN('Stage Schedule &amp; Costs (2)'!$F18,AN$4)-MAX('Stage Schedule &amp; Costs (2)'!$E18,AN$4-1))*'Stage Schedule &amp; Costs (2)'!$H18</f>
        <v>0</v>
      </c>
      <c r="AO18" s="88" t="n">
        <f aca="false">MAX(0,MIN('Stage Schedule &amp; Costs (2)'!$F18,AO$4)-MAX('Stage Schedule &amp; Costs (2)'!$E18,AO$4-1))*'Stage Schedule &amp; Costs (2)'!$H18</f>
        <v>0</v>
      </c>
      <c r="AP18" s="88" t="n">
        <f aca="false">MAX(0,MIN('Stage Schedule &amp; Costs (2)'!$F18,AP$4)-MAX('Stage Schedule &amp; Costs (2)'!$E18,AP$4-1))*'Stage Schedule &amp; Costs (2)'!$H18</f>
        <v>0</v>
      </c>
      <c r="AQ18" s="88" t="n">
        <f aca="false">MAX(0,MIN('Stage Schedule &amp; Costs (2)'!$F18,AQ$4)-MAX('Stage Schedule &amp; Costs (2)'!$E18,AQ$4-1))*'Stage Schedule &amp; Costs (2)'!$H18</f>
        <v>0</v>
      </c>
      <c r="AR18" s="88" t="n">
        <f aca="false">MAX(0,MIN('Stage Schedule &amp; Costs (2)'!$F18,AR$4)-MAX('Stage Schedule &amp; Costs (2)'!$E18,AR$4-1))*'Stage Schedule &amp; Costs (2)'!$H18</f>
        <v>0</v>
      </c>
      <c r="AS18" s="88" t="n">
        <f aca="false">MAX(0,MIN('Stage Schedule &amp; Costs (2)'!$F18,AS$4)-MAX('Stage Schedule &amp; Costs (2)'!$E18,AS$4-1))*'Stage Schedule &amp; Costs (2)'!$H18</f>
        <v>0</v>
      </c>
      <c r="AT18" s="88" t="n">
        <f aca="false">MAX(0,MIN('Stage Schedule &amp; Costs (2)'!$F18,AT$4)-MAX('Stage Schedule &amp; Costs (2)'!$E18,AT$4-1))*'Stage Schedule &amp; Costs (2)'!$H18</f>
        <v>0</v>
      </c>
      <c r="AU18" s="88" t="n">
        <f aca="false">MAX(0,MIN('Stage Schedule &amp; Costs (2)'!$F18,AU$4)-MAX('Stage Schedule &amp; Costs (2)'!$E18,AU$4-1))*'Stage Schedule &amp; Costs (2)'!$H18</f>
        <v>0</v>
      </c>
      <c r="AV18" s="88" t="n">
        <f aca="false">MAX(0,MIN('Stage Schedule &amp; Costs (2)'!$F18,AV$4)-MAX('Stage Schedule &amp; Costs (2)'!$E18,AV$4-1))*'Stage Schedule &amp; Costs (2)'!$H18</f>
        <v>0</v>
      </c>
      <c r="AW18" s="88" t="n">
        <f aca="false">MAX(0,MIN('Stage Schedule &amp; Costs (2)'!$F18,AW$4)-MAX('Stage Schedule &amp; Costs (2)'!$E18,AW$4-1))*'Stage Schedule &amp; Costs (2)'!$H18</f>
        <v>0</v>
      </c>
      <c r="AX18" s="88" t="n">
        <f aca="false">MAX(0,MIN('Stage Schedule &amp; Costs (2)'!$F18,AX$4)-MAX('Stage Schedule &amp; Costs (2)'!$E18,AX$4-1))*'Stage Schedule &amp; Costs (2)'!$H18</f>
        <v>0</v>
      </c>
      <c r="AY18" s="88" t="n">
        <f aca="false">MAX(0,MIN('Stage Schedule &amp; Costs (2)'!$F18,AY$4)-MAX('Stage Schedule &amp; Costs (2)'!$E18,AY$4-1))*'Stage Schedule &amp; Costs (2)'!$H18</f>
        <v>0</v>
      </c>
      <c r="AZ18" s="88" t="n">
        <f aca="false">MAX(0,MIN('Stage Schedule &amp; Costs (2)'!$F18,AZ$4)-MAX('Stage Schedule &amp; Costs (2)'!$E18,AZ$4-1))*'Stage Schedule &amp; Costs (2)'!$H18</f>
        <v>0</v>
      </c>
      <c r="BA18" s="88" t="n">
        <f aca="false">MAX(0,MIN('Stage Schedule &amp; Costs (2)'!$F18,BA$4)-MAX('Stage Schedule &amp; Costs (2)'!$E18,BA$4-1))*'Stage Schedule &amp; Costs (2)'!$H18</f>
        <v>0</v>
      </c>
      <c r="BB18" s="88" t="n">
        <f aca="false">MAX(0,MIN('Stage Schedule &amp; Costs (2)'!$F18,BB$4)-MAX('Stage Schedule &amp; Costs (2)'!$E18,BB$4-1))*'Stage Schedule &amp; Costs (2)'!$H18</f>
        <v>0</v>
      </c>
      <c r="BC18" s="88" t="n">
        <f aca="false">MAX(0,MIN('Stage Schedule &amp; Costs (2)'!$F18,BC$4)-MAX('Stage Schedule &amp; Costs (2)'!$E18,BC$4-1))*'Stage Schedule &amp; Costs (2)'!$H18</f>
        <v>0</v>
      </c>
      <c r="BD18" s="88" t="n">
        <f aca="false">MAX(0,MIN('Stage Schedule &amp; Costs (2)'!$F18,BD$4)-MAX('Stage Schedule &amp; Costs (2)'!$E18,BD$4-1))*'Stage Schedule &amp; Costs (2)'!$H18</f>
        <v>0</v>
      </c>
      <c r="BE18" s="88" t="n">
        <f aca="false">MAX(0,MIN('Stage Schedule &amp; Costs (2)'!$F18,BE$4)-MAX('Stage Schedule &amp; Costs (2)'!$E18,BE$4-1))*'Stage Schedule &amp; Costs (2)'!$H18</f>
        <v>0</v>
      </c>
      <c r="BF18" s="88" t="n">
        <f aca="false">MAX(0,MIN('Stage Schedule &amp; Costs (2)'!$F18,BF$4)-MAX('Stage Schedule &amp; Costs (2)'!$E18,BF$4-1))*'Stage Schedule &amp; Costs (2)'!$H18</f>
        <v>0</v>
      </c>
      <c r="BG18" s="88" t="n">
        <f aca="false">MAX(0,MIN('Stage Schedule &amp; Costs (2)'!$F18,BG$4)-MAX('Stage Schedule &amp; Costs (2)'!$E18,BG$4-1))*'Stage Schedule &amp; Costs (2)'!$H18</f>
        <v>0</v>
      </c>
      <c r="BH18" s="88" t="n">
        <f aca="false">MAX(0,MIN('Stage Schedule &amp; Costs (2)'!$F18,BH$4)-MAX('Stage Schedule &amp; Costs (2)'!$E18,BH$4-1))*'Stage Schedule &amp; Costs (2)'!$H18</f>
        <v>0</v>
      </c>
      <c r="BI18" s="88" t="n">
        <f aca="false">MAX(0,MIN('Stage Schedule &amp; Costs (2)'!$F18,BI$4)-MAX('Stage Schedule &amp; Costs (2)'!$E18,BI$4-1))*'Stage Schedule &amp; Costs (2)'!$H18</f>
        <v>0</v>
      </c>
      <c r="BJ18" s="88" t="n">
        <f aca="false">MAX(0,MIN('Stage Schedule &amp; Costs (2)'!$F18,BJ$4)-MAX('Stage Schedule &amp; Costs (2)'!$E18,BJ$4-1))*'Stage Schedule &amp; Costs (2)'!$H18</f>
        <v>0</v>
      </c>
      <c r="BK18" s="88" t="n">
        <f aca="false">MAX(0,MIN('Stage Schedule &amp; Costs (2)'!$F18,BK$4)-MAX('Stage Schedule &amp; Costs (2)'!$E18,BK$4-1))*'Stage Schedule &amp; Costs (2)'!$H18</f>
        <v>0</v>
      </c>
    </row>
    <row r="19" customFormat="false" ht="15" hidden="false" customHeight="true" outlineLevel="0" collapsed="false">
      <c r="A19" s="74" t="n">
        <f aca="false">'Stage Schedule &amp; Costs (2)'!A19</f>
        <v>15</v>
      </c>
      <c r="B19" s="84" t="str">
        <f aca="false">'Stage Schedule &amp; Costs (2)'!B19&amp;" - "&amp;'Stage Schedule &amp; Costs (2)'!C19</f>
        <v> - 1st Floor</v>
      </c>
      <c r="C19" s="85" t="n">
        <f aca="false">SUM(D19:BE19)</f>
        <v>10000000</v>
      </c>
      <c r="D19" s="85" t="n">
        <f aca="false">MAX(0,MIN('Stage Schedule &amp; Costs (2)'!$F19,D$4)-MAX('Stage Schedule &amp; Costs (2)'!$E19,D$4-1))*'Stage Schedule &amp; Costs (2)'!$H19</f>
        <v>0</v>
      </c>
      <c r="E19" s="85" t="n">
        <f aca="false">MAX(0,MIN('Stage Schedule &amp; Costs (2)'!$F19,E$4)-MAX('Stage Schedule &amp; Costs (2)'!$E19,E$4-1))*'Stage Schedule &amp; Costs (2)'!$H19</f>
        <v>0</v>
      </c>
      <c r="F19" s="85" t="n">
        <f aca="false">MAX(0,MIN('Stage Schedule &amp; Costs (2)'!$F19,F$4)-MAX('Stage Schedule &amp; Costs (2)'!$E19,F$4-1))*'Stage Schedule &amp; Costs (2)'!$H19</f>
        <v>0</v>
      </c>
      <c r="G19" s="85" t="n">
        <f aca="false">MAX(0,MIN('Stage Schedule &amp; Costs (2)'!$F19,G$4)-MAX('Stage Schedule &amp; Costs (2)'!$E19,G$4-1))*'Stage Schedule &amp; Costs (2)'!$H19</f>
        <v>0</v>
      </c>
      <c r="H19" s="85" t="n">
        <f aca="false">MAX(0,MIN('Stage Schedule &amp; Costs (2)'!$F19,H$4)-MAX('Stage Schedule &amp; Costs (2)'!$E19,H$4-1))*'Stage Schedule &amp; Costs (2)'!$H19</f>
        <v>0</v>
      </c>
      <c r="I19" s="85" t="n">
        <f aca="false">MAX(0,MIN('Stage Schedule &amp; Costs (2)'!$F19,I$4)-MAX('Stage Schedule &amp; Costs (2)'!$E19,I$4-1))*'Stage Schedule &amp; Costs (2)'!$H19</f>
        <v>0</v>
      </c>
      <c r="J19" s="85" t="n">
        <f aca="false">MAX(0,MIN('Stage Schedule &amp; Costs (2)'!$F19,J$4)-MAX('Stage Schedule &amp; Costs (2)'!$E19,J$4-1))*'Stage Schedule &amp; Costs (2)'!$H19</f>
        <v>0</v>
      </c>
      <c r="K19" s="85" t="n">
        <f aca="false">MAX(0,MIN('Stage Schedule &amp; Costs (2)'!$F19,K$4)-MAX('Stage Schedule &amp; Costs (2)'!$E19,K$4-1))*'Stage Schedule &amp; Costs (2)'!$H19</f>
        <v>0</v>
      </c>
      <c r="L19" s="85" t="n">
        <f aca="false">MAX(0,MIN('Stage Schedule &amp; Costs (2)'!$F19,L$4)-MAX('Stage Schedule &amp; Costs (2)'!$E19,L$4-1))*'Stage Schedule &amp; Costs (2)'!$H19</f>
        <v>0</v>
      </c>
      <c r="M19" s="85" t="n">
        <f aca="false">MAX(0,MIN('Stage Schedule &amp; Costs (2)'!$F19,M$4)-MAX('Stage Schedule &amp; Costs (2)'!$E19,M$4-1))*'Stage Schedule &amp; Costs (2)'!$H19</f>
        <v>0</v>
      </c>
      <c r="N19" s="85" t="n">
        <f aca="false">MAX(0,MIN('Stage Schedule &amp; Costs (2)'!$F19,N$4)-MAX('Stage Schedule &amp; Costs (2)'!$E19,N$4-1))*'Stage Schedule &amp; Costs (2)'!$H19</f>
        <v>0</v>
      </c>
      <c r="O19" s="85" t="n">
        <f aca="false">MAX(0,MIN('Stage Schedule &amp; Costs (2)'!$F19,O$4)-MAX('Stage Schedule &amp; Costs (2)'!$E19,O$4-1))*'Stage Schedule &amp; Costs (2)'!$H19</f>
        <v>0</v>
      </c>
      <c r="P19" s="85" t="n">
        <f aca="false">MAX(0,MIN('Stage Schedule &amp; Costs (2)'!$F19,P$4)-MAX('Stage Schedule &amp; Costs (2)'!$E19,P$4-1))*'Stage Schedule &amp; Costs (2)'!$H19</f>
        <v>0</v>
      </c>
      <c r="Q19" s="85" t="n">
        <f aca="false">MAX(0,MIN('Stage Schedule &amp; Costs (2)'!$F19,Q$4)-MAX('Stage Schedule &amp; Costs (2)'!$E19,Q$4-1))*'Stage Schedule &amp; Costs (2)'!$H19</f>
        <v>0</v>
      </c>
      <c r="R19" s="85" t="n">
        <f aca="false">MAX(0,MIN('Stage Schedule &amp; Costs (2)'!$F19,R$4)-MAX('Stage Schedule &amp; Costs (2)'!$E19,R$4-1))*'Stage Schedule &amp; Costs (2)'!$H19</f>
        <v>0</v>
      </c>
      <c r="S19" s="85" t="n">
        <f aca="false">MAX(0,MIN('Stage Schedule &amp; Costs (2)'!$F19,S$4)-MAX('Stage Schedule &amp; Costs (2)'!$E19,S$4-1))*'Stage Schedule &amp; Costs (2)'!$H19</f>
        <v>0</v>
      </c>
      <c r="T19" s="85" t="n">
        <f aca="false">MAX(0,MIN('Stage Schedule &amp; Costs (2)'!$F19,T$4)-MAX('Stage Schedule &amp; Costs (2)'!$E19,T$4-1))*'Stage Schedule &amp; Costs (2)'!$H19</f>
        <v>0</v>
      </c>
      <c r="U19" s="85" t="n">
        <f aca="false">MAX(0,MIN('Stage Schedule &amp; Costs (2)'!$F19,U$4)-MAX('Stage Schedule &amp; Costs (2)'!$E19,U$4-1))*'Stage Schedule &amp; Costs (2)'!$H19</f>
        <v>0</v>
      </c>
      <c r="V19" s="85" t="n">
        <f aca="false">MAX(0,MIN('Stage Schedule &amp; Costs (2)'!$F19,V$4)-MAX('Stage Schedule &amp; Costs (2)'!$E19,V$4-1))*'Stage Schedule &amp; Costs (2)'!$H19</f>
        <v>0</v>
      </c>
      <c r="W19" s="85" t="n">
        <f aca="false">MAX(0,MIN('Stage Schedule &amp; Costs (2)'!$F19,W$4)-MAX('Stage Schedule &amp; Costs (2)'!$E19,W$4-1))*'Stage Schedule &amp; Costs (2)'!$H19</f>
        <v>0</v>
      </c>
      <c r="X19" s="85" t="n">
        <f aca="false">MAX(0,MIN('Stage Schedule &amp; Costs (2)'!$F19,X$4)-MAX('Stage Schedule &amp; Costs (2)'!$E19,X$4-1))*'Stage Schedule &amp; Costs (2)'!$H19</f>
        <v>0</v>
      </c>
      <c r="Y19" s="85" t="n">
        <f aca="false">MAX(0,MIN('Stage Schedule &amp; Costs (2)'!$F19,Y$4)-MAX('Stage Schedule &amp; Costs (2)'!$E19,Y$4-1))*'Stage Schedule &amp; Costs (2)'!$H19</f>
        <v>0</v>
      </c>
      <c r="Z19" s="85" t="n">
        <f aca="false">MAX(0,MIN('Stage Schedule &amp; Costs (2)'!$F19,Z$4)-MAX('Stage Schedule &amp; Costs (2)'!$E19,Z$4-1))*'Stage Schedule &amp; Costs (2)'!$H19</f>
        <v>0</v>
      </c>
      <c r="AA19" s="85" t="n">
        <f aca="false">MAX(0,MIN('Stage Schedule &amp; Costs (2)'!$F19,AA$4)-MAX('Stage Schedule &amp; Costs (2)'!$E19,AA$4-1))*'Stage Schedule &amp; Costs (2)'!$H19</f>
        <v>0</v>
      </c>
      <c r="AB19" s="85" t="n">
        <f aca="false">MAX(0,MIN('Stage Schedule &amp; Costs (2)'!$F19,AB$4)-MAX('Stage Schedule &amp; Costs (2)'!$E19,AB$4-1))*'Stage Schedule &amp; Costs (2)'!$H19</f>
        <v>0</v>
      </c>
      <c r="AC19" s="85" t="n">
        <f aca="false">MAX(0,MIN('Stage Schedule &amp; Costs (2)'!$F19,AC$4)-MAX('Stage Schedule &amp; Costs (2)'!$E19,AC$4-1))*'Stage Schedule &amp; Costs (2)'!$H19</f>
        <v>0</v>
      </c>
      <c r="AD19" s="85" t="n">
        <f aca="false">MAX(0,MIN('Stage Schedule &amp; Costs (2)'!$F19,AD$4)-MAX('Stage Schedule &amp; Costs (2)'!$E19,AD$4-1))*'Stage Schedule &amp; Costs (2)'!$H19</f>
        <v>0</v>
      </c>
      <c r="AE19" s="85" t="n">
        <f aca="false">MAX(0,MIN('Stage Schedule &amp; Costs (2)'!$F19,AE$4)-MAX('Stage Schedule &amp; Costs (2)'!$E19,AE$4-1))*'Stage Schedule &amp; Costs (2)'!$H19</f>
        <v>0</v>
      </c>
      <c r="AF19" s="85" t="n">
        <f aca="false">MAX(0,MIN('Stage Schedule &amp; Costs (2)'!$F19,AF$4)-MAX('Stage Schedule &amp; Costs (2)'!$E19,AF$4-1))*'Stage Schedule &amp; Costs (2)'!$H19</f>
        <v>0</v>
      </c>
      <c r="AG19" s="85" t="n">
        <f aca="false">MAX(0,MIN('Stage Schedule &amp; Costs (2)'!$F19,AG$4)-MAX('Stage Schedule &amp; Costs (2)'!$E19,AG$4-1))*'Stage Schedule &amp; Costs (2)'!$H19</f>
        <v>0</v>
      </c>
      <c r="AH19" s="85" t="n">
        <f aca="false">MAX(0,MIN('Stage Schedule &amp; Costs (2)'!$F19,AH$4)-MAX('Stage Schedule &amp; Costs (2)'!$E19,AH$4-1))*'Stage Schedule &amp; Costs (2)'!$H19</f>
        <v>0</v>
      </c>
      <c r="AI19" s="85" t="n">
        <f aca="false">MAX(0,MIN('Stage Schedule &amp; Costs (2)'!$F19,AI$4)-MAX('Stage Schedule &amp; Costs (2)'!$E19,AI$4-1))*'Stage Schedule &amp; Costs (2)'!$H19</f>
        <v>0</v>
      </c>
      <c r="AJ19" s="85" t="n">
        <f aca="false">MAX(0,MIN('Stage Schedule &amp; Costs (2)'!$F19,AJ$4)-MAX('Stage Schedule &amp; Costs (2)'!$E19,AJ$4-1))*'Stage Schedule &amp; Costs (2)'!$H19</f>
        <v>0</v>
      </c>
      <c r="AK19" s="85" t="n">
        <f aca="false">MAX(0,MIN('Stage Schedule &amp; Costs (2)'!$F19,AK$4)-MAX('Stage Schedule &amp; Costs (2)'!$E19,AK$4-1))*'Stage Schedule &amp; Costs (2)'!$H19</f>
        <v>0</v>
      </c>
      <c r="AL19" s="85" t="n">
        <f aca="false">MAX(0,MIN('Stage Schedule &amp; Costs (2)'!$F19,AL$4)-MAX('Stage Schedule &amp; Costs (2)'!$E19,AL$4-1))*'Stage Schedule &amp; Costs (2)'!$H19</f>
        <v>5000000</v>
      </c>
      <c r="AM19" s="85" t="n">
        <f aca="false">MAX(0,MIN('Stage Schedule &amp; Costs (2)'!$F19,AM$4)-MAX('Stage Schedule &amp; Costs (2)'!$E19,AM$4-1))*'Stage Schedule &amp; Costs (2)'!$H19</f>
        <v>5000000</v>
      </c>
      <c r="AN19" s="85" t="n">
        <f aca="false">MAX(0,MIN('Stage Schedule &amp; Costs (2)'!$F19,AN$4)-MAX('Stage Schedule &amp; Costs (2)'!$E19,AN$4-1))*'Stage Schedule &amp; Costs (2)'!$H19</f>
        <v>0</v>
      </c>
      <c r="AO19" s="85" t="n">
        <f aca="false">MAX(0,MIN('Stage Schedule &amp; Costs (2)'!$F19,AO$4)-MAX('Stage Schedule &amp; Costs (2)'!$E19,AO$4-1))*'Stage Schedule &amp; Costs (2)'!$H19</f>
        <v>0</v>
      </c>
      <c r="AP19" s="85" t="n">
        <f aca="false">MAX(0,MIN('Stage Schedule &amp; Costs (2)'!$F19,AP$4)-MAX('Stage Schedule &amp; Costs (2)'!$E19,AP$4-1))*'Stage Schedule &amp; Costs (2)'!$H19</f>
        <v>0</v>
      </c>
      <c r="AQ19" s="85" t="n">
        <f aca="false">MAX(0,MIN('Stage Schedule &amp; Costs (2)'!$F19,AQ$4)-MAX('Stage Schedule &amp; Costs (2)'!$E19,AQ$4-1))*'Stage Schedule &amp; Costs (2)'!$H19</f>
        <v>0</v>
      </c>
      <c r="AR19" s="85" t="n">
        <f aca="false">MAX(0,MIN('Stage Schedule &amp; Costs (2)'!$F19,AR$4)-MAX('Stage Schedule &amp; Costs (2)'!$E19,AR$4-1))*'Stage Schedule &amp; Costs (2)'!$H19</f>
        <v>0</v>
      </c>
      <c r="AS19" s="85" t="n">
        <f aca="false">MAX(0,MIN('Stage Schedule &amp; Costs (2)'!$F19,AS$4)-MAX('Stage Schedule &amp; Costs (2)'!$E19,AS$4-1))*'Stage Schedule &amp; Costs (2)'!$H19</f>
        <v>0</v>
      </c>
      <c r="AT19" s="85" t="n">
        <f aca="false">MAX(0,MIN('Stage Schedule &amp; Costs (2)'!$F19,AT$4)-MAX('Stage Schedule &amp; Costs (2)'!$E19,AT$4-1))*'Stage Schedule &amp; Costs (2)'!$H19</f>
        <v>0</v>
      </c>
      <c r="AU19" s="85" t="n">
        <f aca="false">MAX(0,MIN('Stage Schedule &amp; Costs (2)'!$F19,AU$4)-MAX('Stage Schedule &amp; Costs (2)'!$E19,AU$4-1))*'Stage Schedule &amp; Costs (2)'!$H19</f>
        <v>0</v>
      </c>
      <c r="AV19" s="85" t="n">
        <f aca="false">MAX(0,MIN('Stage Schedule &amp; Costs (2)'!$F19,AV$4)-MAX('Stage Schedule &amp; Costs (2)'!$E19,AV$4-1))*'Stage Schedule &amp; Costs (2)'!$H19</f>
        <v>0</v>
      </c>
      <c r="AW19" s="85" t="n">
        <f aca="false">MAX(0,MIN('Stage Schedule &amp; Costs (2)'!$F19,AW$4)-MAX('Stage Schedule &amp; Costs (2)'!$E19,AW$4-1))*'Stage Schedule &amp; Costs (2)'!$H19</f>
        <v>0</v>
      </c>
      <c r="AX19" s="85" t="n">
        <f aca="false">MAX(0,MIN('Stage Schedule &amp; Costs (2)'!$F19,AX$4)-MAX('Stage Schedule &amp; Costs (2)'!$E19,AX$4-1))*'Stage Schedule &amp; Costs (2)'!$H19</f>
        <v>0</v>
      </c>
      <c r="AY19" s="85" t="n">
        <f aca="false">MAX(0,MIN('Stage Schedule &amp; Costs (2)'!$F19,AY$4)-MAX('Stage Schedule &amp; Costs (2)'!$E19,AY$4-1))*'Stage Schedule &amp; Costs (2)'!$H19</f>
        <v>0</v>
      </c>
      <c r="AZ19" s="85" t="n">
        <f aca="false">MAX(0,MIN('Stage Schedule &amp; Costs (2)'!$F19,AZ$4)-MAX('Stage Schedule &amp; Costs (2)'!$E19,AZ$4-1))*'Stage Schedule &amp; Costs (2)'!$H19</f>
        <v>0</v>
      </c>
      <c r="BA19" s="85" t="n">
        <f aca="false">MAX(0,MIN('Stage Schedule &amp; Costs (2)'!$F19,BA$4)-MAX('Stage Schedule &amp; Costs (2)'!$E19,BA$4-1))*'Stage Schedule &amp; Costs (2)'!$H19</f>
        <v>0</v>
      </c>
      <c r="BB19" s="85" t="n">
        <f aca="false">MAX(0,MIN('Stage Schedule &amp; Costs (2)'!$F19,BB$4)-MAX('Stage Schedule &amp; Costs (2)'!$E19,BB$4-1))*'Stage Schedule &amp; Costs (2)'!$H19</f>
        <v>0</v>
      </c>
      <c r="BC19" s="85" t="n">
        <f aca="false">MAX(0,MIN('Stage Schedule &amp; Costs (2)'!$F19,BC$4)-MAX('Stage Schedule &amp; Costs (2)'!$E19,BC$4-1))*'Stage Schedule &amp; Costs (2)'!$H19</f>
        <v>0</v>
      </c>
      <c r="BD19" s="85" t="n">
        <f aca="false">MAX(0,MIN('Stage Schedule &amp; Costs (2)'!$F19,BD$4)-MAX('Stage Schedule &amp; Costs (2)'!$E19,BD$4-1))*'Stage Schedule &amp; Costs (2)'!$H19</f>
        <v>0</v>
      </c>
      <c r="BE19" s="85" t="n">
        <f aca="false">MAX(0,MIN('Stage Schedule &amp; Costs (2)'!$F19,BE$4)-MAX('Stage Schedule &amp; Costs (2)'!$E19,BE$4-1))*'Stage Schedule &amp; Costs (2)'!$H19</f>
        <v>0</v>
      </c>
      <c r="BF19" s="85" t="n">
        <f aca="false">MAX(0,MIN('Stage Schedule &amp; Costs (2)'!$F19,BF$4)-MAX('Stage Schedule &amp; Costs (2)'!$E19,BF$4-1))*'Stage Schedule &amp; Costs (2)'!$H19</f>
        <v>0</v>
      </c>
      <c r="BG19" s="85" t="n">
        <f aca="false">MAX(0,MIN('Stage Schedule &amp; Costs (2)'!$F19,BG$4)-MAX('Stage Schedule &amp; Costs (2)'!$E19,BG$4-1))*'Stage Schedule &amp; Costs (2)'!$H19</f>
        <v>0</v>
      </c>
      <c r="BH19" s="85" t="n">
        <f aca="false">MAX(0,MIN('Stage Schedule &amp; Costs (2)'!$F19,BH$4)-MAX('Stage Schedule &amp; Costs (2)'!$E19,BH$4-1))*'Stage Schedule &amp; Costs (2)'!$H19</f>
        <v>0</v>
      </c>
      <c r="BI19" s="85" t="n">
        <f aca="false">MAX(0,MIN('Stage Schedule &amp; Costs (2)'!$F19,BI$4)-MAX('Stage Schedule &amp; Costs (2)'!$E19,BI$4-1))*'Stage Schedule &amp; Costs (2)'!$H19</f>
        <v>0</v>
      </c>
      <c r="BJ19" s="85" t="n">
        <f aca="false">MAX(0,MIN('Stage Schedule &amp; Costs (2)'!$F19,BJ$4)-MAX('Stage Schedule &amp; Costs (2)'!$E19,BJ$4-1))*'Stage Schedule &amp; Costs (2)'!$H19</f>
        <v>0</v>
      </c>
      <c r="BK19" s="85" t="n">
        <f aca="false">MAX(0,MIN('Stage Schedule &amp; Costs (2)'!$F19,BK$4)-MAX('Stage Schedule &amp; Costs (2)'!$E19,BK$4-1))*'Stage Schedule &amp; Costs (2)'!$H19</f>
        <v>0</v>
      </c>
    </row>
    <row r="20" customFormat="false" ht="15" hidden="false" customHeight="true" outlineLevel="0" collapsed="false">
      <c r="A20" s="86" t="n">
        <f aca="false">'Stage Schedule &amp; Costs (2)'!A20</f>
        <v>16</v>
      </c>
      <c r="B20" s="87" t="str">
        <f aca="false">'Stage Schedule &amp; Costs (2)'!B20&amp;" - "&amp;'Stage Schedule &amp; Costs (2)'!C20</f>
        <v> - 2nd Floor</v>
      </c>
      <c r="C20" s="88" t="n">
        <f aca="false">SUM(D20:BE20)</f>
        <v>10000000</v>
      </c>
      <c r="D20" s="88" t="n">
        <f aca="false">MAX(0,MIN('Stage Schedule &amp; Costs (2)'!$F20,D$4)-MAX('Stage Schedule &amp; Costs (2)'!$E20,D$4-1))*'Stage Schedule &amp; Costs (2)'!$H20</f>
        <v>0</v>
      </c>
      <c r="E20" s="88" t="n">
        <f aca="false">MAX(0,MIN('Stage Schedule &amp; Costs (2)'!$F20,E$4)-MAX('Stage Schedule &amp; Costs (2)'!$E20,E$4-1))*'Stage Schedule &amp; Costs (2)'!$H20</f>
        <v>0</v>
      </c>
      <c r="F20" s="88" t="n">
        <f aca="false">MAX(0,MIN('Stage Schedule &amp; Costs (2)'!$F20,F$4)-MAX('Stage Schedule &amp; Costs (2)'!$E20,F$4-1))*'Stage Schedule &amp; Costs (2)'!$H20</f>
        <v>0</v>
      </c>
      <c r="G20" s="88" t="n">
        <f aca="false">MAX(0,MIN('Stage Schedule &amp; Costs (2)'!$F20,G$4)-MAX('Stage Schedule &amp; Costs (2)'!$E20,G$4-1))*'Stage Schedule &amp; Costs (2)'!$H20</f>
        <v>0</v>
      </c>
      <c r="H20" s="88" t="n">
        <f aca="false">MAX(0,MIN('Stage Schedule &amp; Costs (2)'!$F20,H$4)-MAX('Stage Schedule &amp; Costs (2)'!$E20,H$4-1))*'Stage Schedule &amp; Costs (2)'!$H20</f>
        <v>0</v>
      </c>
      <c r="I20" s="88" t="n">
        <f aca="false">MAX(0,MIN('Stage Schedule &amp; Costs (2)'!$F20,I$4)-MAX('Stage Schedule &amp; Costs (2)'!$E20,I$4-1))*'Stage Schedule &amp; Costs (2)'!$H20</f>
        <v>0</v>
      </c>
      <c r="J20" s="88" t="n">
        <f aca="false">MAX(0,MIN('Stage Schedule &amp; Costs (2)'!$F20,J$4)-MAX('Stage Schedule &amp; Costs (2)'!$E20,J$4-1))*'Stage Schedule &amp; Costs (2)'!$H20</f>
        <v>0</v>
      </c>
      <c r="K20" s="88" t="n">
        <f aca="false">MAX(0,MIN('Stage Schedule &amp; Costs (2)'!$F20,K$4)-MAX('Stage Schedule &amp; Costs (2)'!$E20,K$4-1))*'Stage Schedule &amp; Costs (2)'!$H20</f>
        <v>0</v>
      </c>
      <c r="L20" s="88" t="n">
        <f aca="false">MAX(0,MIN('Stage Schedule &amp; Costs (2)'!$F20,L$4)-MAX('Stage Schedule &amp; Costs (2)'!$E20,L$4-1))*'Stage Schedule &amp; Costs (2)'!$H20</f>
        <v>0</v>
      </c>
      <c r="M20" s="88" t="n">
        <f aca="false">MAX(0,MIN('Stage Schedule &amp; Costs (2)'!$F20,M$4)-MAX('Stage Schedule &amp; Costs (2)'!$E20,M$4-1))*'Stage Schedule &amp; Costs (2)'!$H20</f>
        <v>0</v>
      </c>
      <c r="N20" s="88" t="n">
        <f aca="false">MAX(0,MIN('Stage Schedule &amp; Costs (2)'!$F20,N$4)-MAX('Stage Schedule &amp; Costs (2)'!$E20,N$4-1))*'Stage Schedule &amp; Costs (2)'!$H20</f>
        <v>0</v>
      </c>
      <c r="O20" s="88" t="n">
        <f aca="false">MAX(0,MIN('Stage Schedule &amp; Costs (2)'!$F20,O$4)-MAX('Stage Schedule &amp; Costs (2)'!$E20,O$4-1))*'Stage Schedule &amp; Costs (2)'!$H20</f>
        <v>0</v>
      </c>
      <c r="P20" s="88" t="n">
        <f aca="false">MAX(0,MIN('Stage Schedule &amp; Costs (2)'!$F20,P$4)-MAX('Stage Schedule &amp; Costs (2)'!$E20,P$4-1))*'Stage Schedule &amp; Costs (2)'!$H20</f>
        <v>0</v>
      </c>
      <c r="Q20" s="88" t="n">
        <f aca="false">MAX(0,MIN('Stage Schedule &amp; Costs (2)'!$F20,Q$4)-MAX('Stage Schedule &amp; Costs (2)'!$E20,Q$4-1))*'Stage Schedule &amp; Costs (2)'!$H20</f>
        <v>0</v>
      </c>
      <c r="R20" s="88" t="n">
        <f aca="false">MAX(0,MIN('Stage Schedule &amp; Costs (2)'!$F20,R$4)-MAX('Stage Schedule &amp; Costs (2)'!$E20,R$4-1))*'Stage Schedule &amp; Costs (2)'!$H20</f>
        <v>0</v>
      </c>
      <c r="S20" s="88" t="n">
        <f aca="false">MAX(0,MIN('Stage Schedule &amp; Costs (2)'!$F20,S$4)-MAX('Stage Schedule &amp; Costs (2)'!$E20,S$4-1))*'Stage Schedule &amp; Costs (2)'!$H20</f>
        <v>0</v>
      </c>
      <c r="T20" s="88" t="n">
        <f aca="false">MAX(0,MIN('Stage Schedule &amp; Costs (2)'!$F20,T$4)-MAX('Stage Schedule &amp; Costs (2)'!$E20,T$4-1))*'Stage Schedule &amp; Costs (2)'!$H20</f>
        <v>0</v>
      </c>
      <c r="U20" s="88" t="n">
        <f aca="false">MAX(0,MIN('Stage Schedule &amp; Costs (2)'!$F20,U$4)-MAX('Stage Schedule &amp; Costs (2)'!$E20,U$4-1))*'Stage Schedule &amp; Costs (2)'!$H20</f>
        <v>0</v>
      </c>
      <c r="V20" s="88" t="n">
        <f aca="false">MAX(0,MIN('Stage Schedule &amp; Costs (2)'!$F20,V$4)-MAX('Stage Schedule &amp; Costs (2)'!$E20,V$4-1))*'Stage Schedule &amp; Costs (2)'!$H20</f>
        <v>0</v>
      </c>
      <c r="W20" s="88" t="n">
        <f aca="false">MAX(0,MIN('Stage Schedule &amp; Costs (2)'!$F20,W$4)-MAX('Stage Schedule &amp; Costs (2)'!$E20,W$4-1))*'Stage Schedule &amp; Costs (2)'!$H20</f>
        <v>0</v>
      </c>
      <c r="X20" s="88" t="n">
        <f aca="false">MAX(0,MIN('Stage Schedule &amp; Costs (2)'!$F20,X$4)-MAX('Stage Schedule &amp; Costs (2)'!$E20,X$4-1))*'Stage Schedule &amp; Costs (2)'!$H20</f>
        <v>0</v>
      </c>
      <c r="Y20" s="88" t="n">
        <f aca="false">MAX(0,MIN('Stage Schedule &amp; Costs (2)'!$F20,Y$4)-MAX('Stage Schedule &amp; Costs (2)'!$E20,Y$4-1))*'Stage Schedule &amp; Costs (2)'!$H20</f>
        <v>0</v>
      </c>
      <c r="Z20" s="88" t="n">
        <f aca="false">MAX(0,MIN('Stage Schedule &amp; Costs (2)'!$F20,Z$4)-MAX('Stage Schedule &amp; Costs (2)'!$E20,Z$4-1))*'Stage Schedule &amp; Costs (2)'!$H20</f>
        <v>0</v>
      </c>
      <c r="AA20" s="88" t="n">
        <f aca="false">MAX(0,MIN('Stage Schedule &amp; Costs (2)'!$F20,AA$4)-MAX('Stage Schedule &amp; Costs (2)'!$E20,AA$4-1))*'Stage Schedule &amp; Costs (2)'!$H20</f>
        <v>0</v>
      </c>
      <c r="AB20" s="88" t="n">
        <f aca="false">MAX(0,MIN('Stage Schedule &amp; Costs (2)'!$F20,AB$4)-MAX('Stage Schedule &amp; Costs (2)'!$E20,AB$4-1))*'Stage Schedule &amp; Costs (2)'!$H20</f>
        <v>0</v>
      </c>
      <c r="AC20" s="88" t="n">
        <f aca="false">MAX(0,MIN('Stage Schedule &amp; Costs (2)'!$F20,AC$4)-MAX('Stage Schedule &amp; Costs (2)'!$E20,AC$4-1))*'Stage Schedule &amp; Costs (2)'!$H20</f>
        <v>0</v>
      </c>
      <c r="AD20" s="88" t="n">
        <f aca="false">MAX(0,MIN('Stage Schedule &amp; Costs (2)'!$F20,AD$4)-MAX('Stage Schedule &amp; Costs (2)'!$E20,AD$4-1))*'Stage Schedule &amp; Costs (2)'!$H20</f>
        <v>0</v>
      </c>
      <c r="AE20" s="88" t="n">
        <f aca="false">MAX(0,MIN('Stage Schedule &amp; Costs (2)'!$F20,AE$4)-MAX('Stage Schedule &amp; Costs (2)'!$E20,AE$4-1))*'Stage Schedule &amp; Costs (2)'!$H20</f>
        <v>0</v>
      </c>
      <c r="AF20" s="88" t="n">
        <f aca="false">MAX(0,MIN('Stage Schedule &amp; Costs (2)'!$F20,AF$4)-MAX('Stage Schedule &amp; Costs (2)'!$E20,AF$4-1))*'Stage Schedule &amp; Costs (2)'!$H20</f>
        <v>0</v>
      </c>
      <c r="AG20" s="88" t="n">
        <f aca="false">MAX(0,MIN('Stage Schedule &amp; Costs (2)'!$F20,AG$4)-MAX('Stage Schedule &amp; Costs (2)'!$E20,AG$4-1))*'Stage Schedule &amp; Costs (2)'!$H20</f>
        <v>0</v>
      </c>
      <c r="AH20" s="88" t="n">
        <f aca="false">MAX(0,MIN('Stage Schedule &amp; Costs (2)'!$F20,AH$4)-MAX('Stage Schedule &amp; Costs (2)'!$E20,AH$4-1))*'Stage Schedule &amp; Costs (2)'!$H20</f>
        <v>0</v>
      </c>
      <c r="AI20" s="88" t="n">
        <f aca="false">MAX(0,MIN('Stage Schedule &amp; Costs (2)'!$F20,AI$4)-MAX('Stage Schedule &amp; Costs (2)'!$E20,AI$4-1))*'Stage Schedule &amp; Costs (2)'!$H20</f>
        <v>0</v>
      </c>
      <c r="AJ20" s="88" t="n">
        <f aca="false">MAX(0,MIN('Stage Schedule &amp; Costs (2)'!$F20,AJ$4)-MAX('Stage Schedule &amp; Costs (2)'!$E20,AJ$4-1))*'Stage Schedule &amp; Costs (2)'!$H20</f>
        <v>0</v>
      </c>
      <c r="AK20" s="88" t="n">
        <f aca="false">MAX(0,MIN('Stage Schedule &amp; Costs (2)'!$F20,AK$4)-MAX('Stage Schedule &amp; Costs (2)'!$E20,AK$4-1))*'Stage Schedule &amp; Costs (2)'!$H20</f>
        <v>0</v>
      </c>
      <c r="AL20" s="88" t="n">
        <f aca="false">MAX(0,MIN('Stage Schedule &amp; Costs (2)'!$F20,AL$4)-MAX('Stage Schedule &amp; Costs (2)'!$E20,AL$4-1))*'Stage Schedule &amp; Costs (2)'!$H20</f>
        <v>0</v>
      </c>
      <c r="AM20" s="88" t="n">
        <f aca="false">MAX(0,MIN('Stage Schedule &amp; Costs (2)'!$F20,AM$4)-MAX('Stage Schedule &amp; Costs (2)'!$E20,AM$4-1))*'Stage Schedule &amp; Costs (2)'!$H20</f>
        <v>0</v>
      </c>
      <c r="AN20" s="88" t="n">
        <f aca="false">MAX(0,MIN('Stage Schedule &amp; Costs (2)'!$F20,AN$4)-MAX('Stage Schedule &amp; Costs (2)'!$E20,AN$4-1))*'Stage Schedule &amp; Costs (2)'!$H20</f>
        <v>5000000</v>
      </c>
      <c r="AO20" s="88" t="n">
        <f aca="false">MAX(0,MIN('Stage Schedule &amp; Costs (2)'!$F20,AO$4)-MAX('Stage Schedule &amp; Costs (2)'!$E20,AO$4-1))*'Stage Schedule &amp; Costs (2)'!$H20</f>
        <v>5000000</v>
      </c>
      <c r="AP20" s="88" t="n">
        <f aca="false">MAX(0,MIN('Stage Schedule &amp; Costs (2)'!$F20,AP$4)-MAX('Stage Schedule &amp; Costs (2)'!$E20,AP$4-1))*'Stage Schedule &amp; Costs (2)'!$H20</f>
        <v>0</v>
      </c>
      <c r="AQ20" s="88" t="n">
        <f aca="false">MAX(0,MIN('Stage Schedule &amp; Costs (2)'!$F20,AQ$4)-MAX('Stage Schedule &amp; Costs (2)'!$E20,AQ$4-1))*'Stage Schedule &amp; Costs (2)'!$H20</f>
        <v>0</v>
      </c>
      <c r="AR20" s="88" t="n">
        <f aca="false">MAX(0,MIN('Stage Schedule &amp; Costs (2)'!$F20,AR$4)-MAX('Stage Schedule &amp; Costs (2)'!$E20,AR$4-1))*'Stage Schedule &amp; Costs (2)'!$H20</f>
        <v>0</v>
      </c>
      <c r="AS20" s="88" t="n">
        <f aca="false">MAX(0,MIN('Stage Schedule &amp; Costs (2)'!$F20,AS$4)-MAX('Stage Schedule &amp; Costs (2)'!$E20,AS$4-1))*'Stage Schedule &amp; Costs (2)'!$H20</f>
        <v>0</v>
      </c>
      <c r="AT20" s="88" t="n">
        <f aca="false">MAX(0,MIN('Stage Schedule &amp; Costs (2)'!$F20,AT$4)-MAX('Stage Schedule &amp; Costs (2)'!$E20,AT$4-1))*'Stage Schedule &amp; Costs (2)'!$H20</f>
        <v>0</v>
      </c>
      <c r="AU20" s="88" t="n">
        <f aca="false">MAX(0,MIN('Stage Schedule &amp; Costs (2)'!$F20,AU$4)-MAX('Stage Schedule &amp; Costs (2)'!$E20,AU$4-1))*'Stage Schedule &amp; Costs (2)'!$H20</f>
        <v>0</v>
      </c>
      <c r="AV20" s="88" t="n">
        <f aca="false">MAX(0,MIN('Stage Schedule &amp; Costs (2)'!$F20,AV$4)-MAX('Stage Schedule &amp; Costs (2)'!$E20,AV$4-1))*'Stage Schedule &amp; Costs (2)'!$H20</f>
        <v>0</v>
      </c>
      <c r="AW20" s="88" t="n">
        <f aca="false">MAX(0,MIN('Stage Schedule &amp; Costs (2)'!$F20,AW$4)-MAX('Stage Schedule &amp; Costs (2)'!$E20,AW$4-1))*'Stage Schedule &amp; Costs (2)'!$H20</f>
        <v>0</v>
      </c>
      <c r="AX20" s="88" t="n">
        <f aca="false">MAX(0,MIN('Stage Schedule &amp; Costs (2)'!$F20,AX$4)-MAX('Stage Schedule &amp; Costs (2)'!$E20,AX$4-1))*'Stage Schedule &amp; Costs (2)'!$H20</f>
        <v>0</v>
      </c>
      <c r="AY20" s="88" t="n">
        <f aca="false">MAX(0,MIN('Stage Schedule &amp; Costs (2)'!$F20,AY$4)-MAX('Stage Schedule &amp; Costs (2)'!$E20,AY$4-1))*'Stage Schedule &amp; Costs (2)'!$H20</f>
        <v>0</v>
      </c>
      <c r="AZ20" s="88" t="n">
        <f aca="false">MAX(0,MIN('Stage Schedule &amp; Costs (2)'!$F20,AZ$4)-MAX('Stage Schedule &amp; Costs (2)'!$E20,AZ$4-1))*'Stage Schedule &amp; Costs (2)'!$H20</f>
        <v>0</v>
      </c>
      <c r="BA20" s="88" t="n">
        <f aca="false">MAX(0,MIN('Stage Schedule &amp; Costs (2)'!$F20,BA$4)-MAX('Stage Schedule &amp; Costs (2)'!$E20,BA$4-1))*'Stage Schedule &amp; Costs (2)'!$H20</f>
        <v>0</v>
      </c>
      <c r="BB20" s="88" t="n">
        <f aca="false">MAX(0,MIN('Stage Schedule &amp; Costs (2)'!$F20,BB$4)-MAX('Stage Schedule &amp; Costs (2)'!$E20,BB$4-1))*'Stage Schedule &amp; Costs (2)'!$H20</f>
        <v>0</v>
      </c>
      <c r="BC20" s="88" t="n">
        <f aca="false">MAX(0,MIN('Stage Schedule &amp; Costs (2)'!$F20,BC$4)-MAX('Stage Schedule &amp; Costs (2)'!$E20,BC$4-1))*'Stage Schedule &amp; Costs (2)'!$H20</f>
        <v>0</v>
      </c>
      <c r="BD20" s="88" t="n">
        <f aca="false">MAX(0,MIN('Stage Schedule &amp; Costs (2)'!$F20,BD$4)-MAX('Stage Schedule &amp; Costs (2)'!$E20,BD$4-1))*'Stage Schedule &amp; Costs (2)'!$H20</f>
        <v>0</v>
      </c>
      <c r="BE20" s="88" t="n">
        <f aca="false">MAX(0,MIN('Stage Schedule &amp; Costs (2)'!$F20,BE$4)-MAX('Stage Schedule &amp; Costs (2)'!$E20,BE$4-1))*'Stage Schedule &amp; Costs (2)'!$H20</f>
        <v>0</v>
      </c>
      <c r="BF20" s="88" t="n">
        <f aca="false">MAX(0,MIN('Stage Schedule &amp; Costs (2)'!$F20,BF$4)-MAX('Stage Schedule &amp; Costs (2)'!$E20,BF$4-1))*'Stage Schedule &amp; Costs (2)'!$H20</f>
        <v>0</v>
      </c>
      <c r="BG20" s="88" t="n">
        <f aca="false">MAX(0,MIN('Stage Schedule &amp; Costs (2)'!$F20,BG$4)-MAX('Stage Schedule &amp; Costs (2)'!$E20,BG$4-1))*'Stage Schedule &amp; Costs (2)'!$H20</f>
        <v>0</v>
      </c>
      <c r="BH20" s="88" t="n">
        <f aca="false">MAX(0,MIN('Stage Schedule &amp; Costs (2)'!$F20,BH$4)-MAX('Stage Schedule &amp; Costs (2)'!$E20,BH$4-1))*'Stage Schedule &amp; Costs (2)'!$H20</f>
        <v>0</v>
      </c>
      <c r="BI20" s="88" t="n">
        <f aca="false">MAX(0,MIN('Stage Schedule &amp; Costs (2)'!$F20,BI$4)-MAX('Stage Schedule &amp; Costs (2)'!$E20,BI$4-1))*'Stage Schedule &amp; Costs (2)'!$H20</f>
        <v>0</v>
      </c>
      <c r="BJ20" s="88" t="n">
        <f aca="false">MAX(0,MIN('Stage Schedule &amp; Costs (2)'!$F20,BJ$4)-MAX('Stage Schedule &amp; Costs (2)'!$E20,BJ$4-1))*'Stage Schedule &amp; Costs (2)'!$H20</f>
        <v>0</v>
      </c>
      <c r="BK20" s="88" t="n">
        <f aca="false">MAX(0,MIN('Stage Schedule &amp; Costs (2)'!$F20,BK$4)-MAX('Stage Schedule &amp; Costs (2)'!$E20,BK$4-1))*'Stage Schedule &amp; Costs (2)'!$H20</f>
        <v>0</v>
      </c>
    </row>
    <row r="21" customFormat="false" ht="15" hidden="false" customHeight="true" outlineLevel="0" collapsed="false">
      <c r="A21" s="74" t="n">
        <f aca="false">'Stage Schedule &amp; Costs (2)'!A21</f>
        <v>17</v>
      </c>
      <c r="B21" s="84" t="str">
        <f aca="false">'Stage Schedule &amp; Costs (2)'!B21&amp;" - "&amp;'Stage Schedule &amp; Costs (2)'!C21</f>
        <v> - 3rd Floor</v>
      </c>
      <c r="C21" s="85" t="n">
        <f aca="false">SUM(D21:BE21)</f>
        <v>0</v>
      </c>
      <c r="D21" s="85" t="n">
        <f aca="false">MAX(0,MIN('Stage Schedule &amp; Costs (2)'!$F21,D$4)-MAX('Stage Schedule &amp; Costs (2)'!$E21,D$4-1))*'Stage Schedule &amp; Costs (2)'!$H21</f>
        <v>0</v>
      </c>
      <c r="E21" s="85" t="n">
        <f aca="false">MAX(0,MIN('Stage Schedule &amp; Costs (2)'!$F21,E$4)-MAX('Stage Schedule &amp; Costs (2)'!$E21,E$4-1))*'Stage Schedule &amp; Costs (2)'!$H21</f>
        <v>0</v>
      </c>
      <c r="F21" s="85" t="n">
        <f aca="false">MAX(0,MIN('Stage Schedule &amp; Costs (2)'!$F21,F$4)-MAX('Stage Schedule &amp; Costs (2)'!$E21,F$4-1))*'Stage Schedule &amp; Costs (2)'!$H21</f>
        <v>0</v>
      </c>
      <c r="G21" s="85" t="n">
        <f aca="false">MAX(0,MIN('Stage Schedule &amp; Costs (2)'!$F21,G$4)-MAX('Stage Schedule &amp; Costs (2)'!$E21,G$4-1))*'Stage Schedule &amp; Costs (2)'!$H21</f>
        <v>0</v>
      </c>
      <c r="H21" s="85" t="n">
        <f aca="false">MAX(0,MIN('Stage Schedule &amp; Costs (2)'!$F21,H$4)-MAX('Stage Schedule &amp; Costs (2)'!$E21,H$4-1))*'Stage Schedule &amp; Costs (2)'!$H21</f>
        <v>0</v>
      </c>
      <c r="I21" s="85" t="n">
        <f aca="false">MAX(0,MIN('Stage Schedule &amp; Costs (2)'!$F21,I$4)-MAX('Stage Schedule &amp; Costs (2)'!$E21,I$4-1))*'Stage Schedule &amp; Costs (2)'!$H21</f>
        <v>0</v>
      </c>
      <c r="J21" s="85" t="n">
        <f aca="false">MAX(0,MIN('Stage Schedule &amp; Costs (2)'!$F21,J$4)-MAX('Stage Schedule &amp; Costs (2)'!$E21,J$4-1))*'Stage Schedule &amp; Costs (2)'!$H21</f>
        <v>0</v>
      </c>
      <c r="K21" s="85" t="n">
        <f aca="false">MAX(0,MIN('Stage Schedule &amp; Costs (2)'!$F21,K$4)-MAX('Stage Schedule &amp; Costs (2)'!$E21,K$4-1))*'Stage Schedule &amp; Costs (2)'!$H21</f>
        <v>0</v>
      </c>
      <c r="L21" s="85" t="n">
        <f aca="false">MAX(0,MIN('Stage Schedule &amp; Costs (2)'!$F21,L$4)-MAX('Stage Schedule &amp; Costs (2)'!$E21,L$4-1))*'Stage Schedule &amp; Costs (2)'!$H21</f>
        <v>0</v>
      </c>
      <c r="M21" s="85" t="n">
        <f aca="false">MAX(0,MIN('Stage Schedule &amp; Costs (2)'!$F21,M$4)-MAX('Stage Schedule &amp; Costs (2)'!$E21,M$4-1))*'Stage Schedule &amp; Costs (2)'!$H21</f>
        <v>0</v>
      </c>
      <c r="N21" s="85" t="n">
        <f aca="false">MAX(0,MIN('Stage Schedule &amp; Costs (2)'!$F21,N$4)-MAX('Stage Schedule &amp; Costs (2)'!$E21,N$4-1))*'Stage Schedule &amp; Costs (2)'!$H21</f>
        <v>0</v>
      </c>
      <c r="O21" s="85" t="n">
        <f aca="false">MAX(0,MIN('Stage Schedule &amp; Costs (2)'!$F21,O$4)-MAX('Stage Schedule &amp; Costs (2)'!$E21,O$4-1))*'Stage Schedule &amp; Costs (2)'!$H21</f>
        <v>0</v>
      </c>
      <c r="P21" s="85" t="n">
        <f aca="false">MAX(0,MIN('Stage Schedule &amp; Costs (2)'!$F21,P$4)-MAX('Stage Schedule &amp; Costs (2)'!$E21,P$4-1))*'Stage Schedule &amp; Costs (2)'!$H21</f>
        <v>0</v>
      </c>
      <c r="Q21" s="85" t="n">
        <f aca="false">MAX(0,MIN('Stage Schedule &amp; Costs (2)'!$F21,Q$4)-MAX('Stage Schedule &amp; Costs (2)'!$E21,Q$4-1))*'Stage Schedule &amp; Costs (2)'!$H21</f>
        <v>0</v>
      </c>
      <c r="R21" s="85" t="n">
        <f aca="false">MAX(0,MIN('Stage Schedule &amp; Costs (2)'!$F21,R$4)-MAX('Stage Schedule &amp; Costs (2)'!$E21,R$4-1))*'Stage Schedule &amp; Costs (2)'!$H21</f>
        <v>0</v>
      </c>
      <c r="S21" s="85" t="n">
        <f aca="false">MAX(0,MIN('Stage Schedule &amp; Costs (2)'!$F21,S$4)-MAX('Stage Schedule &amp; Costs (2)'!$E21,S$4-1))*'Stage Schedule &amp; Costs (2)'!$H21</f>
        <v>0</v>
      </c>
      <c r="T21" s="85" t="n">
        <f aca="false">MAX(0,MIN('Stage Schedule &amp; Costs (2)'!$F21,T$4)-MAX('Stage Schedule &amp; Costs (2)'!$E21,T$4-1))*'Stage Schedule &amp; Costs (2)'!$H21</f>
        <v>0</v>
      </c>
      <c r="U21" s="85" t="n">
        <f aca="false">MAX(0,MIN('Stage Schedule &amp; Costs (2)'!$F21,U$4)-MAX('Stage Schedule &amp; Costs (2)'!$E21,U$4-1))*'Stage Schedule &amp; Costs (2)'!$H21</f>
        <v>0</v>
      </c>
      <c r="V21" s="85" t="n">
        <f aca="false">MAX(0,MIN('Stage Schedule &amp; Costs (2)'!$F21,V$4)-MAX('Stage Schedule &amp; Costs (2)'!$E21,V$4-1))*'Stage Schedule &amp; Costs (2)'!$H21</f>
        <v>0</v>
      </c>
      <c r="W21" s="85" t="n">
        <f aca="false">MAX(0,MIN('Stage Schedule &amp; Costs (2)'!$F21,W$4)-MAX('Stage Schedule &amp; Costs (2)'!$E21,W$4-1))*'Stage Schedule &amp; Costs (2)'!$H21</f>
        <v>0</v>
      </c>
      <c r="X21" s="85" t="n">
        <f aca="false">MAX(0,MIN('Stage Schedule &amp; Costs (2)'!$F21,X$4)-MAX('Stage Schedule &amp; Costs (2)'!$E21,X$4-1))*'Stage Schedule &amp; Costs (2)'!$H21</f>
        <v>0</v>
      </c>
      <c r="Y21" s="85" t="n">
        <f aca="false">MAX(0,MIN('Stage Schedule &amp; Costs (2)'!$F21,Y$4)-MAX('Stage Schedule &amp; Costs (2)'!$E21,Y$4-1))*'Stage Schedule &amp; Costs (2)'!$H21</f>
        <v>0</v>
      </c>
      <c r="Z21" s="85" t="n">
        <f aca="false">MAX(0,MIN('Stage Schedule &amp; Costs (2)'!$F21,Z$4)-MAX('Stage Schedule &amp; Costs (2)'!$E21,Z$4-1))*'Stage Schedule &amp; Costs (2)'!$H21</f>
        <v>0</v>
      </c>
      <c r="AA21" s="85" t="n">
        <f aca="false">MAX(0,MIN('Stage Schedule &amp; Costs (2)'!$F21,AA$4)-MAX('Stage Schedule &amp; Costs (2)'!$E21,AA$4-1))*'Stage Schedule &amp; Costs (2)'!$H21</f>
        <v>0</v>
      </c>
      <c r="AB21" s="85" t="n">
        <f aca="false">MAX(0,MIN('Stage Schedule &amp; Costs (2)'!$F21,AB$4)-MAX('Stage Schedule &amp; Costs (2)'!$E21,AB$4-1))*'Stage Schedule &amp; Costs (2)'!$H21</f>
        <v>0</v>
      </c>
      <c r="AC21" s="85" t="n">
        <f aca="false">MAX(0,MIN('Stage Schedule &amp; Costs (2)'!$F21,AC$4)-MAX('Stage Schedule &amp; Costs (2)'!$E21,AC$4-1))*'Stage Schedule &amp; Costs (2)'!$H21</f>
        <v>0</v>
      </c>
      <c r="AD21" s="85" t="n">
        <f aca="false">MAX(0,MIN('Stage Schedule &amp; Costs (2)'!$F21,AD$4)-MAX('Stage Schedule &amp; Costs (2)'!$E21,AD$4-1))*'Stage Schedule &amp; Costs (2)'!$H21</f>
        <v>0</v>
      </c>
      <c r="AE21" s="85" t="n">
        <f aca="false">MAX(0,MIN('Stage Schedule &amp; Costs (2)'!$F21,AE$4)-MAX('Stage Schedule &amp; Costs (2)'!$E21,AE$4-1))*'Stage Schedule &amp; Costs (2)'!$H21</f>
        <v>0</v>
      </c>
      <c r="AF21" s="85" t="n">
        <f aca="false">MAX(0,MIN('Stage Schedule &amp; Costs (2)'!$F21,AF$4)-MAX('Stage Schedule &amp; Costs (2)'!$E21,AF$4-1))*'Stage Schedule &amp; Costs (2)'!$H21</f>
        <v>0</v>
      </c>
      <c r="AG21" s="85" t="n">
        <f aca="false">MAX(0,MIN('Stage Schedule &amp; Costs (2)'!$F21,AG$4)-MAX('Stage Schedule &amp; Costs (2)'!$E21,AG$4-1))*'Stage Schedule &amp; Costs (2)'!$H21</f>
        <v>0</v>
      </c>
      <c r="AH21" s="85" t="n">
        <f aca="false">MAX(0,MIN('Stage Schedule &amp; Costs (2)'!$F21,AH$4)-MAX('Stage Schedule &amp; Costs (2)'!$E21,AH$4-1))*'Stage Schedule &amp; Costs (2)'!$H21</f>
        <v>0</v>
      </c>
      <c r="AI21" s="85" t="n">
        <f aca="false">MAX(0,MIN('Stage Schedule &amp; Costs (2)'!$F21,AI$4)-MAX('Stage Schedule &amp; Costs (2)'!$E21,AI$4-1))*'Stage Schedule &amp; Costs (2)'!$H21</f>
        <v>0</v>
      </c>
      <c r="AJ21" s="85" t="n">
        <f aca="false">MAX(0,MIN('Stage Schedule &amp; Costs (2)'!$F21,AJ$4)-MAX('Stage Schedule &amp; Costs (2)'!$E21,AJ$4-1))*'Stage Schedule &amp; Costs (2)'!$H21</f>
        <v>0</v>
      </c>
      <c r="AK21" s="85" t="n">
        <f aca="false">MAX(0,MIN('Stage Schedule &amp; Costs (2)'!$F21,AK$4)-MAX('Stage Schedule &amp; Costs (2)'!$E21,AK$4-1))*'Stage Schedule &amp; Costs (2)'!$H21</f>
        <v>0</v>
      </c>
      <c r="AL21" s="85" t="n">
        <f aca="false">MAX(0,MIN('Stage Schedule &amp; Costs (2)'!$F21,AL$4)-MAX('Stage Schedule &amp; Costs (2)'!$E21,AL$4-1))*'Stage Schedule &amp; Costs (2)'!$H21</f>
        <v>0</v>
      </c>
      <c r="AM21" s="85" t="n">
        <f aca="false">MAX(0,MIN('Stage Schedule &amp; Costs (2)'!$F21,AM$4)-MAX('Stage Schedule &amp; Costs (2)'!$E21,AM$4-1))*'Stage Schedule &amp; Costs (2)'!$H21</f>
        <v>0</v>
      </c>
      <c r="AN21" s="85" t="n">
        <f aca="false">MAX(0,MIN('Stage Schedule &amp; Costs (2)'!$F21,AN$4)-MAX('Stage Schedule &amp; Costs (2)'!$E21,AN$4-1))*'Stage Schedule &amp; Costs (2)'!$H21</f>
        <v>0</v>
      </c>
      <c r="AO21" s="85" t="n">
        <f aca="false">MAX(0,MIN('Stage Schedule &amp; Costs (2)'!$F21,AO$4)-MAX('Stage Schedule &amp; Costs (2)'!$E21,AO$4-1))*'Stage Schedule &amp; Costs (2)'!$H21</f>
        <v>0</v>
      </c>
      <c r="AP21" s="85" t="n">
        <f aca="false">MAX(0,MIN('Stage Schedule &amp; Costs (2)'!$F21,AP$4)-MAX('Stage Schedule &amp; Costs (2)'!$E21,AP$4-1))*'Stage Schedule &amp; Costs (2)'!$H21</f>
        <v>0</v>
      </c>
      <c r="AQ21" s="85" t="n">
        <f aca="false">MAX(0,MIN('Stage Schedule &amp; Costs (2)'!$F21,AQ$4)-MAX('Stage Schedule &amp; Costs (2)'!$E21,AQ$4-1))*'Stage Schedule &amp; Costs (2)'!$H21</f>
        <v>0</v>
      </c>
      <c r="AR21" s="85" t="n">
        <f aca="false">MAX(0,MIN('Stage Schedule &amp; Costs (2)'!$F21,AR$4)-MAX('Stage Schedule &amp; Costs (2)'!$E21,AR$4-1))*'Stage Schedule &amp; Costs (2)'!$H21</f>
        <v>0</v>
      </c>
      <c r="AS21" s="85" t="n">
        <f aca="false">MAX(0,MIN('Stage Schedule &amp; Costs (2)'!$F21,AS$4)-MAX('Stage Schedule &amp; Costs (2)'!$E21,AS$4-1))*'Stage Schedule &amp; Costs (2)'!$H21</f>
        <v>0</v>
      </c>
      <c r="AT21" s="85" t="n">
        <f aca="false">MAX(0,MIN('Stage Schedule &amp; Costs (2)'!$F21,AT$4)-MAX('Stage Schedule &amp; Costs (2)'!$E21,AT$4-1))*'Stage Schedule &amp; Costs (2)'!$H21</f>
        <v>0</v>
      </c>
      <c r="AU21" s="85" t="n">
        <f aca="false">MAX(0,MIN('Stage Schedule &amp; Costs (2)'!$F21,AU$4)-MAX('Stage Schedule &amp; Costs (2)'!$E21,AU$4-1))*'Stage Schedule &amp; Costs (2)'!$H21</f>
        <v>0</v>
      </c>
      <c r="AV21" s="85" t="n">
        <f aca="false">MAX(0,MIN('Stage Schedule &amp; Costs (2)'!$F21,AV$4)-MAX('Stage Schedule &amp; Costs (2)'!$E21,AV$4-1))*'Stage Schedule &amp; Costs (2)'!$H21</f>
        <v>0</v>
      </c>
      <c r="AW21" s="85" t="n">
        <f aca="false">MAX(0,MIN('Stage Schedule &amp; Costs (2)'!$F21,AW$4)-MAX('Stage Schedule &amp; Costs (2)'!$E21,AW$4-1))*'Stage Schedule &amp; Costs (2)'!$H21</f>
        <v>0</v>
      </c>
      <c r="AX21" s="85" t="n">
        <f aca="false">MAX(0,MIN('Stage Schedule &amp; Costs (2)'!$F21,AX$4)-MAX('Stage Schedule &amp; Costs (2)'!$E21,AX$4-1))*'Stage Schedule &amp; Costs (2)'!$H21</f>
        <v>0</v>
      </c>
      <c r="AY21" s="85" t="n">
        <f aca="false">MAX(0,MIN('Stage Schedule &amp; Costs (2)'!$F21,AY$4)-MAX('Stage Schedule &amp; Costs (2)'!$E21,AY$4-1))*'Stage Schedule &amp; Costs (2)'!$H21</f>
        <v>0</v>
      </c>
      <c r="AZ21" s="85" t="n">
        <f aca="false">MAX(0,MIN('Stage Schedule &amp; Costs (2)'!$F21,AZ$4)-MAX('Stage Schedule &amp; Costs (2)'!$E21,AZ$4-1))*'Stage Schedule &amp; Costs (2)'!$H21</f>
        <v>0</v>
      </c>
      <c r="BA21" s="85" t="n">
        <f aca="false">MAX(0,MIN('Stage Schedule &amp; Costs (2)'!$F21,BA$4)-MAX('Stage Schedule &amp; Costs (2)'!$E21,BA$4-1))*'Stage Schedule &amp; Costs (2)'!$H21</f>
        <v>0</v>
      </c>
      <c r="BB21" s="85" t="n">
        <f aca="false">MAX(0,MIN('Stage Schedule &amp; Costs (2)'!$F21,BB$4)-MAX('Stage Schedule &amp; Costs (2)'!$E21,BB$4-1))*'Stage Schedule &amp; Costs (2)'!$H21</f>
        <v>0</v>
      </c>
      <c r="BC21" s="85" t="n">
        <f aca="false">MAX(0,MIN('Stage Schedule &amp; Costs (2)'!$F21,BC$4)-MAX('Stage Schedule &amp; Costs (2)'!$E21,BC$4-1))*'Stage Schedule &amp; Costs (2)'!$H21</f>
        <v>0</v>
      </c>
      <c r="BD21" s="85" t="n">
        <f aca="false">MAX(0,MIN('Stage Schedule &amp; Costs (2)'!$F21,BD$4)-MAX('Stage Schedule &amp; Costs (2)'!$E21,BD$4-1))*'Stage Schedule &amp; Costs (2)'!$H21</f>
        <v>0</v>
      </c>
      <c r="BE21" s="85" t="n">
        <f aca="false">MAX(0,MIN('Stage Schedule &amp; Costs (2)'!$F21,BE$4)-MAX('Stage Schedule &amp; Costs (2)'!$E21,BE$4-1))*'Stage Schedule &amp; Costs (2)'!$H21</f>
        <v>0</v>
      </c>
      <c r="BF21" s="85" t="n">
        <f aca="false">MAX(0,MIN('Stage Schedule &amp; Costs (2)'!$F21,BF$4)-MAX('Stage Schedule &amp; Costs (2)'!$E21,BF$4-1))*'Stage Schedule &amp; Costs (2)'!$H21</f>
        <v>0</v>
      </c>
      <c r="BG21" s="85" t="n">
        <f aca="false">MAX(0,MIN('Stage Schedule &amp; Costs (2)'!$F21,BG$4)-MAX('Stage Schedule &amp; Costs (2)'!$E21,BG$4-1))*'Stage Schedule &amp; Costs (2)'!$H21</f>
        <v>0</v>
      </c>
      <c r="BH21" s="85" t="n">
        <f aca="false">MAX(0,MIN('Stage Schedule &amp; Costs (2)'!$F21,BH$4)-MAX('Stage Schedule &amp; Costs (2)'!$E21,BH$4-1))*'Stage Schedule &amp; Costs (2)'!$H21</f>
        <v>0</v>
      </c>
      <c r="BI21" s="85" t="n">
        <f aca="false">MAX(0,MIN('Stage Schedule &amp; Costs (2)'!$F21,BI$4)-MAX('Stage Schedule &amp; Costs (2)'!$E21,BI$4-1))*'Stage Schedule &amp; Costs (2)'!$H21</f>
        <v>0</v>
      </c>
      <c r="BJ21" s="85" t="n">
        <f aca="false">MAX(0,MIN('Stage Schedule &amp; Costs (2)'!$F21,BJ$4)-MAX('Stage Schedule &amp; Costs (2)'!$E21,BJ$4-1))*'Stage Schedule &amp; Costs (2)'!$H21</f>
        <v>0</v>
      </c>
      <c r="BK21" s="85" t="n">
        <f aca="false">MAX(0,MIN('Stage Schedule &amp; Costs (2)'!$F21,BK$4)-MAX('Stage Schedule &amp; Costs (2)'!$E21,BK$4-1))*'Stage Schedule &amp; Costs (2)'!$H21</f>
        <v>0</v>
      </c>
    </row>
    <row r="22" customFormat="false" ht="15" hidden="false" customHeight="true" outlineLevel="0" collapsed="false">
      <c r="A22" s="86" t="n">
        <f aca="false">'Stage Schedule &amp; Costs (2)'!A22</f>
        <v>18</v>
      </c>
      <c r="B22" s="87" t="str">
        <f aca="false">'Stage Schedule &amp; Costs (2)'!B22&amp;" - "&amp;'Stage Schedule &amp; Costs (2)'!C22</f>
        <v>Curtain Walls - Curtain Walls</v>
      </c>
      <c r="C22" s="88" t="n">
        <f aca="false">SUM(D22:BE22)</f>
        <v>21000000</v>
      </c>
      <c r="D22" s="88" t="n">
        <f aca="false">MAX(0,MIN('Stage Schedule &amp; Costs (2)'!$F22,D$4)-MAX('Stage Schedule &amp; Costs (2)'!$E22,D$4-1))*'Stage Schedule &amp; Costs (2)'!$H22</f>
        <v>0</v>
      </c>
      <c r="E22" s="88" t="n">
        <f aca="false">MAX(0,MIN('Stage Schedule &amp; Costs (2)'!$F22,E$4)-MAX('Stage Schedule &amp; Costs (2)'!$E22,E$4-1))*'Stage Schedule &amp; Costs (2)'!$H22</f>
        <v>0</v>
      </c>
      <c r="F22" s="88" t="n">
        <f aca="false">MAX(0,MIN('Stage Schedule &amp; Costs (2)'!$F22,F$4)-MAX('Stage Schedule &amp; Costs (2)'!$E22,F$4-1))*'Stage Schedule &amp; Costs (2)'!$H22</f>
        <v>0</v>
      </c>
      <c r="G22" s="88" t="n">
        <f aca="false">MAX(0,MIN('Stage Schedule &amp; Costs (2)'!$F22,G$4)-MAX('Stage Schedule &amp; Costs (2)'!$E22,G$4-1))*'Stage Schedule &amp; Costs (2)'!$H22</f>
        <v>0</v>
      </c>
      <c r="H22" s="88" t="n">
        <f aca="false">MAX(0,MIN('Stage Schedule &amp; Costs (2)'!$F22,H$4)-MAX('Stage Schedule &amp; Costs (2)'!$E22,H$4-1))*'Stage Schedule &amp; Costs (2)'!$H22</f>
        <v>0</v>
      </c>
      <c r="I22" s="88" t="n">
        <f aca="false">MAX(0,MIN('Stage Schedule &amp; Costs (2)'!$F22,I$4)-MAX('Stage Schedule &amp; Costs (2)'!$E22,I$4-1))*'Stage Schedule &amp; Costs (2)'!$H22</f>
        <v>0</v>
      </c>
      <c r="J22" s="88" t="n">
        <f aca="false">MAX(0,MIN('Stage Schedule &amp; Costs (2)'!$F22,J$4)-MAX('Stage Schedule &amp; Costs (2)'!$E22,J$4-1))*'Stage Schedule &amp; Costs (2)'!$H22</f>
        <v>0</v>
      </c>
      <c r="K22" s="88" t="n">
        <f aca="false">MAX(0,MIN('Stage Schedule &amp; Costs (2)'!$F22,K$4)-MAX('Stage Schedule &amp; Costs (2)'!$E22,K$4-1))*'Stage Schedule &amp; Costs (2)'!$H22</f>
        <v>0</v>
      </c>
      <c r="L22" s="88" t="n">
        <f aca="false">MAX(0,MIN('Stage Schedule &amp; Costs (2)'!$F22,L$4)-MAX('Stage Schedule &amp; Costs (2)'!$E22,L$4-1))*'Stage Schedule &amp; Costs (2)'!$H22</f>
        <v>0</v>
      </c>
      <c r="M22" s="88" t="n">
        <f aca="false">MAX(0,MIN('Stage Schedule &amp; Costs (2)'!$F22,M$4)-MAX('Stage Schedule &amp; Costs (2)'!$E22,M$4-1))*'Stage Schedule &amp; Costs (2)'!$H22</f>
        <v>0</v>
      </c>
      <c r="N22" s="88" t="n">
        <f aca="false">MAX(0,MIN('Stage Schedule &amp; Costs (2)'!$F22,N$4)-MAX('Stage Schedule &amp; Costs (2)'!$E22,N$4-1))*'Stage Schedule &amp; Costs (2)'!$H22</f>
        <v>0</v>
      </c>
      <c r="O22" s="88" t="n">
        <f aca="false">MAX(0,MIN('Stage Schedule &amp; Costs (2)'!$F22,O$4)-MAX('Stage Schedule &amp; Costs (2)'!$E22,O$4-1))*'Stage Schedule &amp; Costs (2)'!$H22</f>
        <v>0</v>
      </c>
      <c r="P22" s="88" t="n">
        <f aca="false">MAX(0,MIN('Stage Schedule &amp; Costs (2)'!$F22,P$4)-MAX('Stage Schedule &amp; Costs (2)'!$E22,P$4-1))*'Stage Schedule &amp; Costs (2)'!$H22</f>
        <v>0</v>
      </c>
      <c r="Q22" s="88" t="n">
        <f aca="false">MAX(0,MIN('Stage Schedule &amp; Costs (2)'!$F22,Q$4)-MAX('Stage Schedule &amp; Costs (2)'!$E22,Q$4-1))*'Stage Schedule &amp; Costs (2)'!$H22</f>
        <v>0</v>
      </c>
      <c r="R22" s="88" t="n">
        <f aca="false">MAX(0,MIN('Stage Schedule &amp; Costs (2)'!$F22,R$4)-MAX('Stage Schedule &amp; Costs (2)'!$E22,R$4-1))*'Stage Schedule &amp; Costs (2)'!$H22</f>
        <v>0</v>
      </c>
      <c r="S22" s="88" t="n">
        <f aca="false">MAX(0,MIN('Stage Schedule &amp; Costs (2)'!$F22,S$4)-MAX('Stage Schedule &amp; Costs (2)'!$E22,S$4-1))*'Stage Schedule &amp; Costs (2)'!$H22</f>
        <v>0</v>
      </c>
      <c r="T22" s="88" t="n">
        <f aca="false">MAX(0,MIN('Stage Schedule &amp; Costs (2)'!$F22,T$4)-MAX('Stage Schedule &amp; Costs (2)'!$E22,T$4-1))*'Stage Schedule &amp; Costs (2)'!$H22</f>
        <v>0</v>
      </c>
      <c r="U22" s="88" t="n">
        <f aca="false">MAX(0,MIN('Stage Schedule &amp; Costs (2)'!$F22,U$4)-MAX('Stage Schedule &amp; Costs (2)'!$E22,U$4-1))*'Stage Schedule &amp; Costs (2)'!$H22</f>
        <v>0</v>
      </c>
      <c r="V22" s="88" t="n">
        <f aca="false">MAX(0,MIN('Stage Schedule &amp; Costs (2)'!$F22,V$4)-MAX('Stage Schedule &amp; Costs (2)'!$E22,V$4-1))*'Stage Schedule &amp; Costs (2)'!$H22</f>
        <v>0</v>
      </c>
      <c r="W22" s="88" t="n">
        <f aca="false">MAX(0,MIN('Stage Schedule &amp; Costs (2)'!$F22,W$4)-MAX('Stage Schedule &amp; Costs (2)'!$E22,W$4-1))*'Stage Schedule &amp; Costs (2)'!$H22</f>
        <v>0</v>
      </c>
      <c r="X22" s="88" t="n">
        <f aca="false">MAX(0,MIN('Stage Schedule &amp; Costs (2)'!$F22,X$4)-MAX('Stage Schedule &amp; Costs (2)'!$E22,X$4-1))*'Stage Schedule &amp; Costs (2)'!$H22</f>
        <v>0</v>
      </c>
      <c r="Y22" s="88" t="n">
        <f aca="false">MAX(0,MIN('Stage Schedule &amp; Costs (2)'!$F22,Y$4)-MAX('Stage Schedule &amp; Costs (2)'!$E22,Y$4-1))*'Stage Schedule &amp; Costs (2)'!$H22</f>
        <v>0</v>
      </c>
      <c r="Z22" s="88" t="n">
        <f aca="false">MAX(0,MIN('Stage Schedule &amp; Costs (2)'!$F22,Z$4)-MAX('Stage Schedule &amp; Costs (2)'!$E22,Z$4-1))*'Stage Schedule &amp; Costs (2)'!$H22</f>
        <v>0</v>
      </c>
      <c r="AA22" s="88" t="n">
        <f aca="false">MAX(0,MIN('Stage Schedule &amp; Costs (2)'!$F22,AA$4)-MAX('Stage Schedule &amp; Costs (2)'!$E22,AA$4-1))*'Stage Schedule &amp; Costs (2)'!$H22</f>
        <v>0</v>
      </c>
      <c r="AB22" s="88" t="n">
        <f aca="false">MAX(0,MIN('Stage Schedule &amp; Costs (2)'!$F22,AB$4)-MAX('Stage Schedule &amp; Costs (2)'!$E22,AB$4-1))*'Stage Schedule &amp; Costs (2)'!$H22</f>
        <v>0</v>
      </c>
      <c r="AC22" s="88" t="n">
        <f aca="false">MAX(0,MIN('Stage Schedule &amp; Costs (2)'!$F22,AC$4)-MAX('Stage Schedule &amp; Costs (2)'!$E22,AC$4-1))*'Stage Schedule &amp; Costs (2)'!$H22</f>
        <v>0</v>
      </c>
      <c r="AD22" s="88" t="n">
        <f aca="false">MAX(0,MIN('Stage Schedule &amp; Costs (2)'!$F22,AD$4)-MAX('Stage Schedule &amp; Costs (2)'!$E22,AD$4-1))*'Stage Schedule &amp; Costs (2)'!$H22</f>
        <v>0</v>
      </c>
      <c r="AE22" s="88" t="n">
        <f aca="false">MAX(0,MIN('Stage Schedule &amp; Costs (2)'!$F22,AE$4)-MAX('Stage Schedule &amp; Costs (2)'!$E22,AE$4-1))*'Stage Schedule &amp; Costs (2)'!$H22</f>
        <v>0</v>
      </c>
      <c r="AF22" s="88" t="n">
        <f aca="false">MAX(0,MIN('Stage Schedule &amp; Costs (2)'!$F22,AF$4)-MAX('Stage Schedule &amp; Costs (2)'!$E22,AF$4-1))*'Stage Schedule &amp; Costs (2)'!$H22</f>
        <v>0</v>
      </c>
      <c r="AG22" s="88" t="n">
        <f aca="false">MAX(0,MIN('Stage Schedule &amp; Costs (2)'!$F22,AG$4)-MAX('Stage Schedule &amp; Costs (2)'!$E22,AG$4-1))*'Stage Schedule &amp; Costs (2)'!$H22</f>
        <v>0</v>
      </c>
      <c r="AH22" s="88" t="n">
        <f aca="false">MAX(0,MIN('Stage Schedule &amp; Costs (2)'!$F22,AH$4)-MAX('Stage Schedule &amp; Costs (2)'!$E22,AH$4-1))*'Stage Schedule &amp; Costs (2)'!$H22</f>
        <v>0</v>
      </c>
      <c r="AI22" s="88" t="n">
        <f aca="false">MAX(0,MIN('Stage Schedule &amp; Costs (2)'!$F22,AI$4)-MAX('Stage Schedule &amp; Costs (2)'!$E22,AI$4-1))*'Stage Schedule &amp; Costs (2)'!$H22</f>
        <v>0</v>
      </c>
      <c r="AJ22" s="88" t="n">
        <f aca="false">MAX(0,MIN('Stage Schedule &amp; Costs (2)'!$F22,AJ$4)-MAX('Stage Schedule &amp; Costs (2)'!$E22,AJ$4-1))*'Stage Schedule &amp; Costs (2)'!$H22</f>
        <v>0</v>
      </c>
      <c r="AK22" s="88" t="n">
        <f aca="false">MAX(0,MIN('Stage Schedule &amp; Costs (2)'!$F22,AK$4)-MAX('Stage Schedule &amp; Costs (2)'!$E22,AK$4-1))*'Stage Schedule &amp; Costs (2)'!$H22</f>
        <v>0</v>
      </c>
      <c r="AL22" s="88" t="n">
        <f aca="false">MAX(0,MIN('Stage Schedule &amp; Costs (2)'!$F22,AL$4)-MAX('Stage Schedule &amp; Costs (2)'!$E22,AL$4-1))*'Stage Schedule &amp; Costs (2)'!$H22</f>
        <v>0</v>
      </c>
      <c r="AM22" s="88" t="n">
        <f aca="false">MAX(0,MIN('Stage Schedule &amp; Costs (2)'!$F22,AM$4)-MAX('Stage Schedule &amp; Costs (2)'!$E22,AM$4-1))*'Stage Schedule &amp; Costs (2)'!$H22</f>
        <v>0</v>
      </c>
      <c r="AN22" s="88" t="n">
        <f aca="false">MAX(0,MIN('Stage Schedule &amp; Costs (2)'!$F22,AN$4)-MAX('Stage Schedule &amp; Costs (2)'!$E22,AN$4-1))*'Stage Schedule &amp; Costs (2)'!$H22</f>
        <v>0</v>
      </c>
      <c r="AO22" s="88" t="n">
        <f aca="false">MAX(0,MIN('Stage Schedule &amp; Costs (2)'!$F22,AO$4)-MAX('Stage Schedule &amp; Costs (2)'!$E22,AO$4-1))*'Stage Schedule &amp; Costs (2)'!$H22</f>
        <v>0</v>
      </c>
      <c r="AP22" s="88" t="n">
        <f aca="false">MAX(0,MIN('Stage Schedule &amp; Costs (2)'!$F22,AP$4)-MAX('Stage Schedule &amp; Costs (2)'!$E22,AP$4-1))*'Stage Schedule &amp; Costs (2)'!$H22</f>
        <v>10500000</v>
      </c>
      <c r="AQ22" s="88" t="n">
        <f aca="false">MAX(0,MIN('Stage Schedule &amp; Costs (2)'!$F22,AQ$4)-MAX('Stage Schedule &amp; Costs (2)'!$E22,AQ$4-1))*'Stage Schedule &amp; Costs (2)'!$H22</f>
        <v>10500000</v>
      </c>
      <c r="AR22" s="88" t="n">
        <f aca="false">MAX(0,MIN('Stage Schedule &amp; Costs (2)'!$F22,AR$4)-MAX('Stage Schedule &amp; Costs (2)'!$E22,AR$4-1))*'Stage Schedule &amp; Costs (2)'!$H22</f>
        <v>0</v>
      </c>
      <c r="AS22" s="88" t="n">
        <f aca="false">MAX(0,MIN('Stage Schedule &amp; Costs (2)'!$F22,AS$4)-MAX('Stage Schedule &amp; Costs (2)'!$E22,AS$4-1))*'Stage Schedule &amp; Costs (2)'!$H22</f>
        <v>0</v>
      </c>
      <c r="AT22" s="88" t="n">
        <f aca="false">MAX(0,MIN('Stage Schedule &amp; Costs (2)'!$F22,AT$4)-MAX('Stage Schedule &amp; Costs (2)'!$E22,AT$4-1))*'Stage Schedule &amp; Costs (2)'!$H22</f>
        <v>0</v>
      </c>
      <c r="AU22" s="88" t="n">
        <f aca="false">MAX(0,MIN('Stage Schedule &amp; Costs (2)'!$F22,AU$4)-MAX('Stage Schedule &amp; Costs (2)'!$E22,AU$4-1))*'Stage Schedule &amp; Costs (2)'!$H22</f>
        <v>0</v>
      </c>
      <c r="AV22" s="88" t="n">
        <f aca="false">MAX(0,MIN('Stage Schedule &amp; Costs (2)'!$F22,AV$4)-MAX('Stage Schedule &amp; Costs (2)'!$E22,AV$4-1))*'Stage Schedule &amp; Costs (2)'!$H22</f>
        <v>0</v>
      </c>
      <c r="AW22" s="88" t="n">
        <f aca="false">MAX(0,MIN('Stage Schedule &amp; Costs (2)'!$F22,AW$4)-MAX('Stage Schedule &amp; Costs (2)'!$E22,AW$4-1))*'Stage Schedule &amp; Costs (2)'!$H22</f>
        <v>0</v>
      </c>
      <c r="AX22" s="88" t="n">
        <f aca="false">MAX(0,MIN('Stage Schedule &amp; Costs (2)'!$F22,AX$4)-MAX('Stage Schedule &amp; Costs (2)'!$E22,AX$4-1))*'Stage Schedule &amp; Costs (2)'!$H22</f>
        <v>0</v>
      </c>
      <c r="AY22" s="88" t="n">
        <f aca="false">MAX(0,MIN('Stage Schedule &amp; Costs (2)'!$F22,AY$4)-MAX('Stage Schedule &amp; Costs (2)'!$E22,AY$4-1))*'Stage Schedule &amp; Costs (2)'!$H22</f>
        <v>0</v>
      </c>
      <c r="AZ22" s="88" t="n">
        <f aca="false">MAX(0,MIN('Stage Schedule &amp; Costs (2)'!$F22,AZ$4)-MAX('Stage Schedule &amp; Costs (2)'!$E22,AZ$4-1))*'Stage Schedule &amp; Costs (2)'!$H22</f>
        <v>0</v>
      </c>
      <c r="BA22" s="88" t="n">
        <f aca="false">MAX(0,MIN('Stage Schedule &amp; Costs (2)'!$F22,BA$4)-MAX('Stage Schedule &amp; Costs (2)'!$E22,BA$4-1))*'Stage Schedule &amp; Costs (2)'!$H22</f>
        <v>0</v>
      </c>
      <c r="BB22" s="88" t="n">
        <f aca="false">MAX(0,MIN('Stage Schedule &amp; Costs (2)'!$F22,BB$4)-MAX('Stage Schedule &amp; Costs (2)'!$E22,BB$4-1))*'Stage Schedule &amp; Costs (2)'!$H22</f>
        <v>0</v>
      </c>
      <c r="BC22" s="88" t="n">
        <f aca="false">MAX(0,MIN('Stage Schedule &amp; Costs (2)'!$F22,BC$4)-MAX('Stage Schedule &amp; Costs (2)'!$E22,BC$4-1))*'Stage Schedule &amp; Costs (2)'!$H22</f>
        <v>0</v>
      </c>
      <c r="BD22" s="88" t="n">
        <f aca="false">MAX(0,MIN('Stage Schedule &amp; Costs (2)'!$F22,BD$4)-MAX('Stage Schedule &amp; Costs (2)'!$E22,BD$4-1))*'Stage Schedule &amp; Costs (2)'!$H22</f>
        <v>0</v>
      </c>
      <c r="BE22" s="88" t="n">
        <f aca="false">MAX(0,MIN('Stage Schedule &amp; Costs (2)'!$F22,BE$4)-MAX('Stage Schedule &amp; Costs (2)'!$E22,BE$4-1))*'Stage Schedule &amp; Costs (2)'!$H22</f>
        <v>0</v>
      </c>
      <c r="BF22" s="88" t="n">
        <f aca="false">MAX(0,MIN('Stage Schedule &amp; Costs (2)'!$F22,BF$4)-MAX('Stage Schedule &amp; Costs (2)'!$E22,BF$4-1))*'Stage Schedule &amp; Costs (2)'!$H22</f>
        <v>0</v>
      </c>
      <c r="BG22" s="88" t="n">
        <f aca="false">MAX(0,MIN('Stage Schedule &amp; Costs (2)'!$F22,BG$4)-MAX('Stage Schedule &amp; Costs (2)'!$E22,BG$4-1))*'Stage Schedule &amp; Costs (2)'!$H22</f>
        <v>0</v>
      </c>
      <c r="BH22" s="88" t="n">
        <f aca="false">MAX(0,MIN('Stage Schedule &amp; Costs (2)'!$F22,BH$4)-MAX('Stage Schedule &amp; Costs (2)'!$E22,BH$4-1))*'Stage Schedule &amp; Costs (2)'!$H22</f>
        <v>0</v>
      </c>
      <c r="BI22" s="88" t="n">
        <f aca="false">MAX(0,MIN('Stage Schedule &amp; Costs (2)'!$F22,BI$4)-MAX('Stage Schedule &amp; Costs (2)'!$E22,BI$4-1))*'Stage Schedule &amp; Costs (2)'!$H22</f>
        <v>0</v>
      </c>
      <c r="BJ22" s="88" t="n">
        <f aca="false">MAX(0,MIN('Stage Schedule &amp; Costs (2)'!$F22,BJ$4)-MAX('Stage Schedule &amp; Costs (2)'!$E22,BJ$4-1))*'Stage Schedule &amp; Costs (2)'!$H22</f>
        <v>0</v>
      </c>
      <c r="BK22" s="88" t="n">
        <f aca="false">MAX(0,MIN('Stage Schedule &amp; Costs (2)'!$F22,BK$4)-MAX('Stage Schedule &amp; Costs (2)'!$E22,BK$4-1))*'Stage Schedule &amp; Costs (2)'!$H22</f>
        <v>0</v>
      </c>
    </row>
    <row r="23" customFormat="false" ht="15" hidden="false" customHeight="true" outlineLevel="0" collapsed="false">
      <c r="A23" s="74" t="n">
        <f aca="false">'Stage Schedule &amp; Costs (2)'!A23</f>
        <v>19</v>
      </c>
      <c r="B23" s="84" t="str">
        <f aca="false">'Stage Schedule &amp; Costs (2)'!B23&amp;" - "&amp;'Stage Schedule &amp; Costs (2)'!C23</f>
        <v>Landscape - Landscape</v>
      </c>
      <c r="C23" s="85" t="n">
        <f aca="false">SUM(D23:BE23)</f>
        <v>4125000</v>
      </c>
      <c r="D23" s="85" t="n">
        <f aca="false">MAX(0,MIN('Stage Schedule &amp; Costs (2)'!$F23,D$4)-MAX('Stage Schedule &amp; Costs (2)'!$E23,D$4-1))*'Stage Schedule &amp; Costs (2)'!$H23</f>
        <v>0</v>
      </c>
      <c r="E23" s="85" t="n">
        <f aca="false">MAX(0,MIN('Stage Schedule &amp; Costs (2)'!$F23,E$4)-MAX('Stage Schedule &amp; Costs (2)'!$E23,E$4-1))*'Stage Schedule &amp; Costs (2)'!$H23</f>
        <v>0</v>
      </c>
      <c r="F23" s="85" t="n">
        <f aca="false">MAX(0,MIN('Stage Schedule &amp; Costs (2)'!$F23,F$4)-MAX('Stage Schedule &amp; Costs (2)'!$E23,F$4-1))*'Stage Schedule &amp; Costs (2)'!$H23</f>
        <v>0</v>
      </c>
      <c r="G23" s="85" t="n">
        <f aca="false">MAX(0,MIN('Stage Schedule &amp; Costs (2)'!$F23,G$4)-MAX('Stage Schedule &amp; Costs (2)'!$E23,G$4-1))*'Stage Schedule &amp; Costs (2)'!$H23</f>
        <v>0</v>
      </c>
      <c r="H23" s="85" t="n">
        <f aca="false">MAX(0,MIN('Stage Schedule &amp; Costs (2)'!$F23,H$4)-MAX('Stage Schedule &amp; Costs (2)'!$E23,H$4-1))*'Stage Schedule &amp; Costs (2)'!$H23</f>
        <v>0</v>
      </c>
      <c r="I23" s="85" t="n">
        <f aca="false">MAX(0,MIN('Stage Schedule &amp; Costs (2)'!$F23,I$4)-MAX('Stage Schedule &amp; Costs (2)'!$E23,I$4-1))*'Stage Schedule &amp; Costs (2)'!$H23</f>
        <v>0</v>
      </c>
      <c r="J23" s="85" t="n">
        <f aca="false">MAX(0,MIN('Stage Schedule &amp; Costs (2)'!$F23,J$4)-MAX('Stage Schedule &amp; Costs (2)'!$E23,J$4-1))*'Stage Schedule &amp; Costs (2)'!$H23</f>
        <v>0</v>
      </c>
      <c r="K23" s="85" t="n">
        <f aca="false">MAX(0,MIN('Stage Schedule &amp; Costs (2)'!$F23,K$4)-MAX('Stage Schedule &amp; Costs (2)'!$E23,K$4-1))*'Stage Schedule &amp; Costs (2)'!$H23</f>
        <v>0</v>
      </c>
      <c r="L23" s="85" t="n">
        <f aca="false">MAX(0,MIN('Stage Schedule &amp; Costs (2)'!$F23,L$4)-MAX('Stage Schedule &amp; Costs (2)'!$E23,L$4-1))*'Stage Schedule &amp; Costs (2)'!$H23</f>
        <v>0</v>
      </c>
      <c r="M23" s="85" t="n">
        <f aca="false">MAX(0,MIN('Stage Schedule &amp; Costs (2)'!$F23,M$4)-MAX('Stage Schedule &amp; Costs (2)'!$E23,M$4-1))*'Stage Schedule &amp; Costs (2)'!$H23</f>
        <v>0</v>
      </c>
      <c r="N23" s="85" t="n">
        <f aca="false">MAX(0,MIN('Stage Schedule &amp; Costs (2)'!$F23,N$4)-MAX('Stage Schedule &amp; Costs (2)'!$E23,N$4-1))*'Stage Schedule &amp; Costs (2)'!$H23</f>
        <v>0</v>
      </c>
      <c r="O23" s="85" t="n">
        <f aca="false">MAX(0,MIN('Stage Schedule &amp; Costs (2)'!$F23,O$4)-MAX('Stage Schedule &amp; Costs (2)'!$E23,O$4-1))*'Stage Schedule &amp; Costs (2)'!$H23</f>
        <v>0</v>
      </c>
      <c r="P23" s="85" t="n">
        <f aca="false">MAX(0,MIN('Stage Schedule &amp; Costs (2)'!$F23,P$4)-MAX('Stage Schedule &amp; Costs (2)'!$E23,P$4-1))*'Stage Schedule &amp; Costs (2)'!$H23</f>
        <v>0</v>
      </c>
      <c r="Q23" s="85" t="n">
        <f aca="false">MAX(0,MIN('Stage Schedule &amp; Costs (2)'!$F23,Q$4)-MAX('Stage Schedule &amp; Costs (2)'!$E23,Q$4-1))*'Stage Schedule &amp; Costs (2)'!$H23</f>
        <v>0</v>
      </c>
      <c r="R23" s="85" t="n">
        <f aca="false">MAX(0,MIN('Stage Schedule &amp; Costs (2)'!$F23,R$4)-MAX('Stage Schedule &amp; Costs (2)'!$E23,R$4-1))*'Stage Schedule &amp; Costs (2)'!$H23</f>
        <v>0</v>
      </c>
      <c r="S23" s="85" t="n">
        <f aca="false">MAX(0,MIN('Stage Schedule &amp; Costs (2)'!$F23,S$4)-MAX('Stage Schedule &amp; Costs (2)'!$E23,S$4-1))*'Stage Schedule &amp; Costs (2)'!$H23</f>
        <v>0</v>
      </c>
      <c r="T23" s="85" t="n">
        <f aca="false">MAX(0,MIN('Stage Schedule &amp; Costs (2)'!$F23,T$4)-MAX('Stage Schedule &amp; Costs (2)'!$E23,T$4-1))*'Stage Schedule &amp; Costs (2)'!$H23</f>
        <v>0</v>
      </c>
      <c r="U23" s="85" t="n">
        <f aca="false">MAX(0,MIN('Stage Schedule &amp; Costs (2)'!$F23,U$4)-MAX('Stage Schedule &amp; Costs (2)'!$E23,U$4-1))*'Stage Schedule &amp; Costs (2)'!$H23</f>
        <v>0</v>
      </c>
      <c r="V23" s="85" t="n">
        <f aca="false">MAX(0,MIN('Stage Schedule &amp; Costs (2)'!$F23,V$4)-MAX('Stage Schedule &amp; Costs (2)'!$E23,V$4-1))*'Stage Schedule &amp; Costs (2)'!$H23</f>
        <v>0</v>
      </c>
      <c r="W23" s="85" t="n">
        <f aca="false">MAX(0,MIN('Stage Schedule &amp; Costs (2)'!$F23,W$4)-MAX('Stage Schedule &amp; Costs (2)'!$E23,W$4-1))*'Stage Schedule &amp; Costs (2)'!$H23</f>
        <v>0</v>
      </c>
      <c r="X23" s="85" t="n">
        <f aca="false">MAX(0,MIN('Stage Schedule &amp; Costs (2)'!$F23,X$4)-MAX('Stage Schedule &amp; Costs (2)'!$E23,X$4-1))*'Stage Schedule &amp; Costs (2)'!$H23</f>
        <v>0</v>
      </c>
      <c r="Y23" s="85" t="n">
        <f aca="false">MAX(0,MIN('Stage Schedule &amp; Costs (2)'!$F23,Y$4)-MAX('Stage Schedule &amp; Costs (2)'!$E23,Y$4-1))*'Stage Schedule &amp; Costs (2)'!$H23</f>
        <v>0</v>
      </c>
      <c r="Z23" s="85" t="n">
        <f aca="false">MAX(0,MIN('Stage Schedule &amp; Costs (2)'!$F23,Z$4)-MAX('Stage Schedule &amp; Costs (2)'!$E23,Z$4-1))*'Stage Schedule &amp; Costs (2)'!$H23</f>
        <v>0</v>
      </c>
      <c r="AA23" s="85" t="n">
        <f aca="false">MAX(0,MIN('Stage Schedule &amp; Costs (2)'!$F23,AA$4)-MAX('Stage Schedule &amp; Costs (2)'!$E23,AA$4-1))*'Stage Schedule &amp; Costs (2)'!$H23</f>
        <v>0</v>
      </c>
      <c r="AB23" s="85" t="n">
        <f aca="false">MAX(0,MIN('Stage Schedule &amp; Costs (2)'!$F23,AB$4)-MAX('Stage Schedule &amp; Costs (2)'!$E23,AB$4-1))*'Stage Schedule &amp; Costs (2)'!$H23</f>
        <v>0</v>
      </c>
      <c r="AC23" s="85" t="n">
        <f aca="false">MAX(0,MIN('Stage Schedule &amp; Costs (2)'!$F23,AC$4)-MAX('Stage Schedule &amp; Costs (2)'!$E23,AC$4-1))*'Stage Schedule &amp; Costs (2)'!$H23</f>
        <v>0</v>
      </c>
      <c r="AD23" s="85" t="n">
        <f aca="false">MAX(0,MIN('Stage Schedule &amp; Costs (2)'!$F23,AD$4)-MAX('Stage Schedule &amp; Costs (2)'!$E23,AD$4-1))*'Stage Schedule &amp; Costs (2)'!$H23</f>
        <v>0</v>
      </c>
      <c r="AE23" s="85" t="n">
        <f aca="false">MAX(0,MIN('Stage Schedule &amp; Costs (2)'!$F23,AE$4)-MAX('Stage Schedule &amp; Costs (2)'!$E23,AE$4-1))*'Stage Schedule &amp; Costs (2)'!$H23</f>
        <v>0</v>
      </c>
      <c r="AF23" s="85" t="n">
        <f aca="false">MAX(0,MIN('Stage Schedule &amp; Costs (2)'!$F23,AF$4)-MAX('Stage Schedule &amp; Costs (2)'!$E23,AF$4-1))*'Stage Schedule &amp; Costs (2)'!$H23</f>
        <v>0</v>
      </c>
      <c r="AG23" s="85" t="n">
        <f aca="false">MAX(0,MIN('Stage Schedule &amp; Costs (2)'!$F23,AG$4)-MAX('Stage Schedule &amp; Costs (2)'!$E23,AG$4-1))*'Stage Schedule &amp; Costs (2)'!$H23</f>
        <v>0</v>
      </c>
      <c r="AH23" s="85" t="n">
        <f aca="false">MAX(0,MIN('Stage Schedule &amp; Costs (2)'!$F23,AH$4)-MAX('Stage Schedule &amp; Costs (2)'!$E23,AH$4-1))*'Stage Schedule &amp; Costs (2)'!$H23</f>
        <v>0</v>
      </c>
      <c r="AI23" s="85" t="n">
        <f aca="false">MAX(0,MIN('Stage Schedule &amp; Costs (2)'!$F23,AI$4)-MAX('Stage Schedule &amp; Costs (2)'!$E23,AI$4-1))*'Stage Schedule &amp; Costs (2)'!$H23</f>
        <v>0</v>
      </c>
      <c r="AJ23" s="85" t="n">
        <f aca="false">MAX(0,MIN('Stage Schedule &amp; Costs (2)'!$F23,AJ$4)-MAX('Stage Schedule &amp; Costs (2)'!$E23,AJ$4-1))*'Stage Schedule &amp; Costs (2)'!$H23</f>
        <v>0</v>
      </c>
      <c r="AK23" s="85" t="n">
        <f aca="false">MAX(0,MIN('Stage Schedule &amp; Costs (2)'!$F23,AK$4)-MAX('Stage Schedule &amp; Costs (2)'!$E23,AK$4-1))*'Stage Schedule &amp; Costs (2)'!$H23</f>
        <v>0</v>
      </c>
      <c r="AL23" s="85" t="n">
        <f aca="false">MAX(0,MIN('Stage Schedule &amp; Costs (2)'!$F23,AL$4)-MAX('Stage Schedule &amp; Costs (2)'!$E23,AL$4-1))*'Stage Schedule &amp; Costs (2)'!$H23</f>
        <v>0</v>
      </c>
      <c r="AM23" s="85" t="n">
        <f aca="false">MAX(0,MIN('Stage Schedule &amp; Costs (2)'!$F23,AM$4)-MAX('Stage Schedule &amp; Costs (2)'!$E23,AM$4-1))*'Stage Schedule &amp; Costs (2)'!$H23</f>
        <v>0</v>
      </c>
      <c r="AN23" s="85" t="n">
        <f aca="false">MAX(0,MIN('Stage Schedule &amp; Costs (2)'!$F23,AN$4)-MAX('Stage Schedule &amp; Costs (2)'!$E23,AN$4-1))*'Stage Schedule &amp; Costs (2)'!$H23</f>
        <v>0</v>
      </c>
      <c r="AO23" s="85" t="n">
        <f aca="false">MAX(0,MIN('Stage Schedule &amp; Costs (2)'!$F23,AO$4)-MAX('Stage Schedule &amp; Costs (2)'!$E23,AO$4-1))*'Stage Schedule &amp; Costs (2)'!$H23</f>
        <v>0</v>
      </c>
      <c r="AP23" s="85" t="n">
        <f aca="false">MAX(0,MIN('Stage Schedule &amp; Costs (2)'!$F23,AP$4)-MAX('Stage Schedule &amp; Costs (2)'!$E23,AP$4-1))*'Stage Schedule &amp; Costs (2)'!$H23</f>
        <v>0</v>
      </c>
      <c r="AQ23" s="85" t="n">
        <f aca="false">MAX(0,MIN('Stage Schedule &amp; Costs (2)'!$F23,AQ$4)-MAX('Stage Schedule &amp; Costs (2)'!$E23,AQ$4-1))*'Stage Schedule &amp; Costs (2)'!$H23</f>
        <v>0</v>
      </c>
      <c r="AR23" s="85" t="n">
        <f aca="false">MAX(0,MIN('Stage Schedule &amp; Costs (2)'!$F23,AR$4)-MAX('Stage Schedule &amp; Costs (2)'!$E23,AR$4-1))*'Stage Schedule &amp; Costs (2)'!$H23</f>
        <v>2062500</v>
      </c>
      <c r="AS23" s="85" t="n">
        <f aca="false">MAX(0,MIN('Stage Schedule &amp; Costs (2)'!$F23,AS$4)-MAX('Stage Schedule &amp; Costs (2)'!$E23,AS$4-1))*'Stage Schedule &amp; Costs (2)'!$H23</f>
        <v>2062500</v>
      </c>
      <c r="AT23" s="85" t="n">
        <f aca="false">MAX(0,MIN('Stage Schedule &amp; Costs (2)'!$F23,AT$4)-MAX('Stage Schedule &amp; Costs (2)'!$E23,AT$4-1))*'Stage Schedule &amp; Costs (2)'!$H23</f>
        <v>0</v>
      </c>
      <c r="AU23" s="85" t="n">
        <f aca="false">MAX(0,MIN('Stage Schedule &amp; Costs (2)'!$F23,AU$4)-MAX('Stage Schedule &amp; Costs (2)'!$E23,AU$4-1))*'Stage Schedule &amp; Costs (2)'!$H23</f>
        <v>0</v>
      </c>
      <c r="AV23" s="85" t="n">
        <f aca="false">MAX(0,MIN('Stage Schedule &amp; Costs (2)'!$F23,AV$4)-MAX('Stage Schedule &amp; Costs (2)'!$E23,AV$4-1))*'Stage Schedule &amp; Costs (2)'!$H23</f>
        <v>0</v>
      </c>
      <c r="AW23" s="85" t="n">
        <f aca="false">MAX(0,MIN('Stage Schedule &amp; Costs (2)'!$F23,AW$4)-MAX('Stage Schedule &amp; Costs (2)'!$E23,AW$4-1))*'Stage Schedule &amp; Costs (2)'!$H23</f>
        <v>0</v>
      </c>
      <c r="AX23" s="85" t="n">
        <f aca="false">MAX(0,MIN('Stage Schedule &amp; Costs (2)'!$F23,AX$4)-MAX('Stage Schedule &amp; Costs (2)'!$E23,AX$4-1))*'Stage Schedule &amp; Costs (2)'!$H23</f>
        <v>0</v>
      </c>
      <c r="AY23" s="85" t="n">
        <f aca="false">MAX(0,MIN('Stage Schedule &amp; Costs (2)'!$F23,AY$4)-MAX('Stage Schedule &amp; Costs (2)'!$E23,AY$4-1))*'Stage Schedule &amp; Costs (2)'!$H23</f>
        <v>0</v>
      </c>
      <c r="AZ23" s="85" t="n">
        <f aca="false">MAX(0,MIN('Stage Schedule &amp; Costs (2)'!$F23,AZ$4)-MAX('Stage Schedule &amp; Costs (2)'!$E23,AZ$4-1))*'Stage Schedule &amp; Costs (2)'!$H23</f>
        <v>0</v>
      </c>
      <c r="BA23" s="85" t="n">
        <f aca="false">MAX(0,MIN('Stage Schedule &amp; Costs (2)'!$F23,BA$4)-MAX('Stage Schedule &amp; Costs (2)'!$E23,BA$4-1))*'Stage Schedule &amp; Costs (2)'!$H23</f>
        <v>0</v>
      </c>
      <c r="BB23" s="85" t="n">
        <f aca="false">MAX(0,MIN('Stage Schedule &amp; Costs (2)'!$F23,BB$4)-MAX('Stage Schedule &amp; Costs (2)'!$E23,BB$4-1))*'Stage Schedule &amp; Costs (2)'!$H23</f>
        <v>0</v>
      </c>
      <c r="BC23" s="85" t="n">
        <f aca="false">MAX(0,MIN('Stage Schedule &amp; Costs (2)'!$F23,BC$4)-MAX('Stage Schedule &amp; Costs (2)'!$E23,BC$4-1))*'Stage Schedule &amp; Costs (2)'!$H23</f>
        <v>0</v>
      </c>
      <c r="BD23" s="85" t="n">
        <f aca="false">MAX(0,MIN('Stage Schedule &amp; Costs (2)'!$F23,BD$4)-MAX('Stage Schedule &amp; Costs (2)'!$E23,BD$4-1))*'Stage Schedule &amp; Costs (2)'!$H23</f>
        <v>0</v>
      </c>
      <c r="BE23" s="85" t="n">
        <f aca="false">MAX(0,MIN('Stage Schedule &amp; Costs (2)'!$F23,BE$4)-MAX('Stage Schedule &amp; Costs (2)'!$E23,BE$4-1))*'Stage Schedule &amp; Costs (2)'!$H23</f>
        <v>0</v>
      </c>
      <c r="BF23" s="85" t="n">
        <f aca="false">MAX(0,MIN('Stage Schedule &amp; Costs (2)'!$F23,BF$4)-MAX('Stage Schedule &amp; Costs (2)'!$E23,BF$4-1))*'Stage Schedule &amp; Costs (2)'!$H23</f>
        <v>0</v>
      </c>
      <c r="BG23" s="85" t="n">
        <f aca="false">MAX(0,MIN('Stage Schedule &amp; Costs (2)'!$F23,BG$4)-MAX('Stage Schedule &amp; Costs (2)'!$E23,BG$4-1))*'Stage Schedule &amp; Costs (2)'!$H23</f>
        <v>0</v>
      </c>
      <c r="BH23" s="85" t="n">
        <f aca="false">MAX(0,MIN('Stage Schedule &amp; Costs (2)'!$F23,BH$4)-MAX('Stage Schedule &amp; Costs (2)'!$E23,BH$4-1))*'Stage Schedule &amp; Costs (2)'!$H23</f>
        <v>0</v>
      </c>
      <c r="BI23" s="85" t="n">
        <f aca="false">MAX(0,MIN('Stage Schedule &amp; Costs (2)'!$F23,BI$4)-MAX('Stage Schedule &amp; Costs (2)'!$E23,BI$4-1))*'Stage Schedule &amp; Costs (2)'!$H23</f>
        <v>0</v>
      </c>
      <c r="BJ23" s="85" t="n">
        <f aca="false">MAX(0,MIN('Stage Schedule &amp; Costs (2)'!$F23,BJ$4)-MAX('Stage Schedule &amp; Costs (2)'!$E23,BJ$4-1))*'Stage Schedule &amp; Costs (2)'!$H23</f>
        <v>0</v>
      </c>
      <c r="BK23" s="85" t="n">
        <f aca="false">MAX(0,MIN('Stage Schedule &amp; Costs (2)'!$F23,BK$4)-MAX('Stage Schedule &amp; Costs (2)'!$E23,BK$4-1))*'Stage Schedule &amp; Costs (2)'!$H23</f>
        <v>0</v>
      </c>
    </row>
    <row r="24" customFormat="false" ht="15" hidden="false" customHeight="true" outlineLevel="0" collapsed="false">
      <c r="B24" s="79" t="s">
        <v>215</v>
      </c>
      <c r="C24" s="89" t="n">
        <f aca="false">SUM(D24:BE24)</f>
        <v>87145000</v>
      </c>
      <c r="D24" s="89" t="n">
        <f aca="false">SUM(D5:D23)</f>
        <v>0</v>
      </c>
      <c r="E24" s="89" t="n">
        <f aca="false">SUM(E5:E23)</f>
        <v>0</v>
      </c>
      <c r="F24" s="89" t="n">
        <f aca="false">SUM(F5:F23)</f>
        <v>0</v>
      </c>
      <c r="G24" s="89" t="n">
        <f aca="false">SUM(G5:G23)</f>
        <v>0</v>
      </c>
      <c r="H24" s="89" t="n">
        <f aca="false">SUM(H5:H23)</f>
        <v>0</v>
      </c>
      <c r="I24" s="89" t="n">
        <f aca="false">SUM(I5:I23)</f>
        <v>0</v>
      </c>
      <c r="J24" s="89" t="n">
        <f aca="false">SUM(J5:J23)</f>
        <v>833333.333333333</v>
      </c>
      <c r="K24" s="89" t="n">
        <f aca="false">SUM(K5:K23)</f>
        <v>833333.333333333</v>
      </c>
      <c r="L24" s="89" t="n">
        <f aca="false">SUM(L5:L23)</f>
        <v>833333.333333333</v>
      </c>
      <c r="M24" s="89" t="n">
        <f aca="false">SUM(M5:M23)</f>
        <v>1100000</v>
      </c>
      <c r="N24" s="89" t="n">
        <f aca="false">SUM(N5:N23)</f>
        <v>1100000</v>
      </c>
      <c r="O24" s="89" t="n">
        <f aca="false">SUM(O5:O23)</f>
        <v>1100000</v>
      </c>
      <c r="P24" s="89" t="n">
        <f aca="false">SUM(P5:P23)</f>
        <v>1666666.66666667</v>
      </c>
      <c r="Q24" s="89" t="n">
        <f aca="false">SUM(Q5:Q23)</f>
        <v>1666666.66666667</v>
      </c>
      <c r="R24" s="89" t="n">
        <f aca="false">SUM(R5:R23)</f>
        <v>1666666.66666667</v>
      </c>
      <c r="S24" s="89" t="n">
        <f aca="false">SUM(S5:S23)</f>
        <v>1100000</v>
      </c>
      <c r="T24" s="89" t="n">
        <f aca="false">SUM(T5:T23)</f>
        <v>1100000</v>
      </c>
      <c r="U24" s="89" t="n">
        <f aca="false">SUM(U5:U23)</f>
        <v>1100000</v>
      </c>
      <c r="V24" s="89" t="n">
        <f aca="false">SUM(V5:V23)</f>
        <v>1100000</v>
      </c>
      <c r="W24" s="89" t="n">
        <f aca="false">SUM(W5:W23)</f>
        <v>1100000</v>
      </c>
      <c r="X24" s="89" t="n">
        <f aca="false">SUM(X5:X23)</f>
        <v>1100000</v>
      </c>
      <c r="Y24" s="89" t="n">
        <f aca="false">SUM(Y5:Y23)</f>
        <v>1100000</v>
      </c>
      <c r="Z24" s="89" t="n">
        <f aca="false">SUM(Z5:Z23)</f>
        <v>1100000</v>
      </c>
      <c r="AA24" s="89" t="n">
        <f aca="false">SUM(AA5:AA23)</f>
        <v>1100000</v>
      </c>
      <c r="AB24" s="89" t="n">
        <f aca="false">SUM(AB5:AB23)</f>
        <v>220000</v>
      </c>
      <c r="AC24" s="89" t="n">
        <f aca="false">SUM(AC5:AC23)</f>
        <v>220000</v>
      </c>
      <c r="AD24" s="89" t="n">
        <f aca="false">SUM(AD5:AD23)</f>
        <v>220000</v>
      </c>
      <c r="AE24" s="89" t="n">
        <f aca="false">SUM(AE5:AE23)</f>
        <v>220000</v>
      </c>
      <c r="AF24" s="89" t="n">
        <f aca="false">SUM(AF5:AF23)</f>
        <v>220000</v>
      </c>
      <c r="AG24" s="89" t="n">
        <f aca="false">SUM(AG5:AG23)</f>
        <v>220000</v>
      </c>
      <c r="AH24" s="89" t="n">
        <f aca="false">SUM(AH5:AH23)</f>
        <v>5000000</v>
      </c>
      <c r="AI24" s="89" t="n">
        <f aca="false">SUM(AI5:AI23)</f>
        <v>5000000</v>
      </c>
      <c r="AJ24" s="89" t="n">
        <f aca="false">SUM(AJ5:AJ23)</f>
        <v>5000000</v>
      </c>
      <c r="AK24" s="89" t="n">
        <f aca="false">SUM(AK5:AK23)</f>
        <v>5000000</v>
      </c>
      <c r="AL24" s="89" t="n">
        <f aca="false">SUM(AL5:AL23)</f>
        <v>5000000</v>
      </c>
      <c r="AM24" s="89" t="n">
        <f aca="false">SUM(AM5:AM23)</f>
        <v>5000000</v>
      </c>
      <c r="AN24" s="89" t="n">
        <f aca="false">SUM(AN5:AN23)</f>
        <v>5000000</v>
      </c>
      <c r="AO24" s="89" t="n">
        <f aca="false">SUM(AO5:AO23)</f>
        <v>5000000</v>
      </c>
      <c r="AP24" s="89" t="n">
        <f aca="false">SUM(AP5:AP23)</f>
        <v>10500000</v>
      </c>
      <c r="AQ24" s="89" t="n">
        <f aca="false">SUM(AQ5:AQ23)</f>
        <v>10500000</v>
      </c>
      <c r="AR24" s="89" t="n">
        <f aca="false">SUM(AR5:AR23)</f>
        <v>2062500</v>
      </c>
      <c r="AS24" s="89" t="n">
        <f aca="false">SUM(AS5:AS23)</f>
        <v>2062500</v>
      </c>
      <c r="AT24" s="89" t="n">
        <f aca="false">SUM(AT5:AT23)</f>
        <v>0</v>
      </c>
      <c r="AU24" s="89" t="n">
        <f aca="false">SUM(AU5:AU23)</f>
        <v>0</v>
      </c>
      <c r="AV24" s="89" t="n">
        <f aca="false">SUM(AV5:AV23)</f>
        <v>0</v>
      </c>
      <c r="AW24" s="89" t="n">
        <f aca="false">SUM(AW5:AW23)</f>
        <v>0</v>
      </c>
      <c r="AX24" s="89" t="n">
        <f aca="false">SUM(AX5:AX23)</f>
        <v>0</v>
      </c>
      <c r="AY24" s="89" t="n">
        <f aca="false">SUM(AY5:AY23)</f>
        <v>0</v>
      </c>
      <c r="AZ24" s="89" t="n">
        <f aca="false">SUM(AZ5:AZ23)</f>
        <v>0</v>
      </c>
      <c r="BA24" s="89" t="n">
        <f aca="false">SUM(BA5:BA23)</f>
        <v>0</v>
      </c>
      <c r="BB24" s="89" t="n">
        <f aca="false">SUM(BB5:BB23)</f>
        <v>0</v>
      </c>
      <c r="BC24" s="89" t="n">
        <f aca="false">SUM(BC5:BC23)</f>
        <v>0</v>
      </c>
      <c r="BD24" s="89" t="n">
        <f aca="false">SUM(BD5:BD23)</f>
        <v>0</v>
      </c>
      <c r="BE24" s="89" t="n">
        <f aca="false">SUM(BE5:BE23)</f>
        <v>0</v>
      </c>
    </row>
    <row r="25" customFormat="false" ht="15" hidden="false" customHeight="true" outlineLevel="0" collapsed="false">
      <c r="B25" s="79" t="s">
        <v>216</v>
      </c>
      <c r="C25" s="89"/>
      <c r="D25" s="89" t="n">
        <f aca="false">D24</f>
        <v>0</v>
      </c>
      <c r="E25" s="89" t="n">
        <f aca="false">D25+E24</f>
        <v>0</v>
      </c>
      <c r="F25" s="89" t="n">
        <f aca="false">E25+F24</f>
        <v>0</v>
      </c>
      <c r="G25" s="89" t="n">
        <f aca="false">F25+G24</f>
        <v>0</v>
      </c>
      <c r="H25" s="89" t="n">
        <f aca="false">G25+H24</f>
        <v>0</v>
      </c>
      <c r="I25" s="89" t="n">
        <f aca="false">H25+I24</f>
        <v>0</v>
      </c>
      <c r="J25" s="89" t="n">
        <f aca="false">I25+J24</f>
        <v>833333.333333333</v>
      </c>
      <c r="K25" s="89" t="n">
        <f aca="false">J25+K24</f>
        <v>1666666.66666667</v>
      </c>
      <c r="L25" s="89" t="n">
        <f aca="false">K25+L24</f>
        <v>2500000</v>
      </c>
      <c r="M25" s="89" t="n">
        <f aca="false">L25+M24</f>
        <v>3600000</v>
      </c>
      <c r="N25" s="89" t="n">
        <f aca="false">M25+N24</f>
        <v>4700000</v>
      </c>
      <c r="O25" s="89" t="n">
        <f aca="false">N25+O24</f>
        <v>5800000</v>
      </c>
      <c r="P25" s="89" t="n">
        <f aca="false">O25+P24</f>
        <v>7466666.66666667</v>
      </c>
      <c r="Q25" s="89" t="n">
        <f aca="false">P25+Q24</f>
        <v>9133333.33333333</v>
      </c>
      <c r="R25" s="89" t="n">
        <f aca="false">Q25+R24</f>
        <v>10800000</v>
      </c>
      <c r="S25" s="89" t="n">
        <f aca="false">R25+S24</f>
        <v>11900000</v>
      </c>
      <c r="T25" s="89" t="n">
        <f aca="false">S25+T24</f>
        <v>13000000</v>
      </c>
      <c r="U25" s="89" t="n">
        <f aca="false">T25+U24</f>
        <v>14100000</v>
      </c>
      <c r="V25" s="89" t="n">
        <f aca="false">U25+V24</f>
        <v>15200000</v>
      </c>
      <c r="W25" s="89" t="n">
        <f aca="false">V25+W24</f>
        <v>16300000</v>
      </c>
      <c r="X25" s="89" t="n">
        <f aca="false">W25+X24</f>
        <v>17400000</v>
      </c>
      <c r="Y25" s="89" t="n">
        <f aca="false">X25+Y24</f>
        <v>18500000</v>
      </c>
      <c r="Z25" s="89" t="n">
        <f aca="false">Y25+Z24</f>
        <v>19600000</v>
      </c>
      <c r="AA25" s="89" t="n">
        <f aca="false">Z25+AA24</f>
        <v>20700000</v>
      </c>
      <c r="AB25" s="89" t="n">
        <f aca="false">AA25+AB24</f>
        <v>20920000</v>
      </c>
      <c r="AC25" s="89" t="n">
        <f aca="false">AB25+AC24</f>
        <v>21140000</v>
      </c>
      <c r="AD25" s="89" t="n">
        <f aca="false">AC25+AD24</f>
        <v>21360000</v>
      </c>
      <c r="AE25" s="89" t="n">
        <f aca="false">AD25+AE24</f>
        <v>21580000</v>
      </c>
      <c r="AF25" s="89" t="n">
        <f aca="false">AE25+AF24</f>
        <v>21800000</v>
      </c>
      <c r="AG25" s="89" t="n">
        <f aca="false">AF25+AG24</f>
        <v>22020000</v>
      </c>
      <c r="AH25" s="89" t="n">
        <f aca="false">AG25+AH24</f>
        <v>27020000</v>
      </c>
      <c r="AI25" s="89" t="n">
        <f aca="false">AH25+AI24</f>
        <v>32020000</v>
      </c>
      <c r="AJ25" s="89" t="n">
        <f aca="false">AI25+AJ24</f>
        <v>37020000</v>
      </c>
      <c r="AK25" s="89" t="n">
        <f aca="false">AJ25+AK24</f>
        <v>42020000</v>
      </c>
      <c r="AL25" s="89" t="n">
        <f aca="false">AK25+AL24</f>
        <v>47020000</v>
      </c>
      <c r="AM25" s="89" t="n">
        <f aca="false">AL25+AM24</f>
        <v>52020000</v>
      </c>
      <c r="AN25" s="89" t="n">
        <f aca="false">AM25+AN24</f>
        <v>57020000</v>
      </c>
      <c r="AO25" s="89" t="n">
        <f aca="false">AN25+AO24</f>
        <v>62020000</v>
      </c>
      <c r="AP25" s="89" t="n">
        <f aca="false">AO25+AP24</f>
        <v>72520000</v>
      </c>
      <c r="AQ25" s="89" t="n">
        <f aca="false">AP25+AQ24</f>
        <v>83020000</v>
      </c>
      <c r="AR25" s="89" t="n">
        <f aca="false">AQ25+AR24</f>
        <v>85082500</v>
      </c>
      <c r="AS25" s="89" t="n">
        <f aca="false">AR25+AS24</f>
        <v>87145000</v>
      </c>
      <c r="AT25" s="89" t="n">
        <f aca="false">AS25+AT24</f>
        <v>87145000</v>
      </c>
      <c r="AU25" s="89" t="n">
        <f aca="false">AT25+AU24</f>
        <v>87145000</v>
      </c>
      <c r="AV25" s="89" t="n">
        <f aca="false">AU25+AV24</f>
        <v>87145000</v>
      </c>
      <c r="AW25" s="89" t="n">
        <f aca="false">AV25+AW24</f>
        <v>87145000</v>
      </c>
      <c r="AX25" s="89" t="n">
        <f aca="false">AW25+AX24</f>
        <v>87145000</v>
      </c>
      <c r="AY25" s="89" t="n">
        <f aca="false">AX25+AY24</f>
        <v>87145000</v>
      </c>
      <c r="AZ25" s="89" t="n">
        <f aca="false">AY25+AZ24</f>
        <v>87145000</v>
      </c>
      <c r="BA25" s="89" t="n">
        <f aca="false">AZ25+BA24</f>
        <v>87145000</v>
      </c>
      <c r="BB25" s="89" t="n">
        <f aca="false">BA25+BB24</f>
        <v>87145000</v>
      </c>
      <c r="BC25" s="89" t="n">
        <f aca="false">BB25+BC24</f>
        <v>87145000</v>
      </c>
      <c r="BD25" s="89" t="n">
        <f aca="false">BC25+BD24</f>
        <v>87145000</v>
      </c>
      <c r="BE25" s="89" t="n">
        <f aca="false">BD25+BE24</f>
        <v>87145000</v>
      </c>
    </row>
    <row r="26" customFormat="false" ht="15.75" hidden="false" customHeight="true" outlineLevel="0" collapsed="false"/>
    <row r="27" customFormat="false" ht="15" hidden="false" customHeight="false" outlineLevel="0" collapsed="false">
      <c r="B27" s="90" t="s">
        <v>25</v>
      </c>
      <c r="C27" s="91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</row>
    <row r="28" customFormat="false" ht="15.75" hidden="false" customHeight="true" outlineLevel="0" collapsed="false">
      <c r="B28" s="93" t="s">
        <v>217</v>
      </c>
      <c r="C28" s="94" t="n">
        <f aca="false">SUM(P28:BQ28)</f>
        <v>650760000</v>
      </c>
      <c r="D28" s="95" t="n">
        <f aca="false">D24*Assumptions!$C$22*Assumptions!$C$23</f>
        <v>0</v>
      </c>
      <c r="E28" s="95" t="n">
        <f aca="false">E24*Assumptions!$C$22*Assumptions!$C$23</f>
        <v>0</v>
      </c>
      <c r="F28" s="95" t="n">
        <f aca="false">F24*Assumptions!$C$22*Assumptions!$C$23</f>
        <v>0</v>
      </c>
      <c r="G28" s="95" t="n">
        <f aca="false">G24*Assumptions!$C$22*Assumptions!$C$23</f>
        <v>0</v>
      </c>
      <c r="H28" s="95" t="n">
        <f aca="false">H24*Assumptions!$C$22*Assumptions!$C$23</f>
        <v>0</v>
      </c>
      <c r="I28" s="95" t="n">
        <f aca="false">I24*Assumptions!$C$22*Assumptions!$C$23</f>
        <v>0</v>
      </c>
      <c r="J28" s="95" t="n">
        <f aca="false">J24*Assumptions!$C$22*Assumptions!$C$23</f>
        <v>6666666.66666667</v>
      </c>
      <c r="K28" s="95" t="n">
        <f aca="false">K24*Assumptions!$C$22*Assumptions!$C$23</f>
        <v>6666666.66666667</v>
      </c>
      <c r="L28" s="95" t="n">
        <f aca="false">L24*Assumptions!$C$22*Assumptions!$C$23</f>
        <v>6666666.66666667</v>
      </c>
      <c r="M28" s="95" t="n">
        <f aca="false">M24*Assumptions!$C$22*Assumptions!$C$23</f>
        <v>8800000</v>
      </c>
      <c r="N28" s="95" t="n">
        <f aca="false">N24*Assumptions!$C$22*Assumptions!$C$23</f>
        <v>8800000</v>
      </c>
      <c r="O28" s="95" t="n">
        <f aca="false">O24*Assumptions!$C$22*Assumptions!$C$23</f>
        <v>8800000</v>
      </c>
      <c r="P28" s="95" t="n">
        <f aca="false">P24*Assumptions!$C$22*Assumptions!$C$23</f>
        <v>13333333.3333333</v>
      </c>
      <c r="Q28" s="95" t="n">
        <f aca="false">Q24*Assumptions!$C$22*Assumptions!$C$23</f>
        <v>13333333.3333333</v>
      </c>
      <c r="R28" s="95" t="n">
        <f aca="false">R24*Assumptions!$C$22*Assumptions!$C$23</f>
        <v>13333333.3333333</v>
      </c>
      <c r="S28" s="95" t="n">
        <f aca="false">S24*Assumptions!$C$22*Assumptions!$C$23</f>
        <v>8800000</v>
      </c>
      <c r="T28" s="95" t="n">
        <f aca="false">T24*Assumptions!$C$22*Assumptions!$C$23</f>
        <v>8800000</v>
      </c>
      <c r="U28" s="95" t="n">
        <f aca="false">U24*Assumptions!$C$22*Assumptions!$C$23</f>
        <v>8800000</v>
      </c>
      <c r="V28" s="95" t="n">
        <f aca="false">V24*Assumptions!$C$22*Assumptions!$C$23</f>
        <v>8800000</v>
      </c>
      <c r="W28" s="95" t="n">
        <f aca="false">W24*Assumptions!$C$22*Assumptions!$C$23</f>
        <v>8800000</v>
      </c>
      <c r="X28" s="95" t="n">
        <f aca="false">X24*Assumptions!$C$22*Assumptions!$C$23</f>
        <v>8800000</v>
      </c>
      <c r="Y28" s="95" t="n">
        <f aca="false">Y24*Assumptions!$C$22*Assumptions!$C$23</f>
        <v>8800000</v>
      </c>
      <c r="Z28" s="95" t="n">
        <f aca="false">Z24*Assumptions!$C$22*Assumptions!$C$23</f>
        <v>8800000</v>
      </c>
      <c r="AA28" s="95" t="n">
        <f aca="false">AA24*Assumptions!$C$22*Assumptions!$C$23</f>
        <v>8800000</v>
      </c>
      <c r="AB28" s="95" t="n">
        <f aca="false">AB24*Assumptions!$C$22*Assumptions!$C$23</f>
        <v>1760000</v>
      </c>
      <c r="AC28" s="95" t="n">
        <f aca="false">AC24*Assumptions!$C$22*Assumptions!$C$23</f>
        <v>1760000</v>
      </c>
      <c r="AD28" s="95" t="n">
        <f aca="false">AD24*Assumptions!$C$22*Assumptions!$C$23</f>
        <v>1760000</v>
      </c>
      <c r="AE28" s="95" t="n">
        <f aca="false">AE24*Assumptions!$C$22*Assumptions!$C$23</f>
        <v>1760000</v>
      </c>
      <c r="AF28" s="95" t="n">
        <f aca="false">AF24*Assumptions!$C$22*Assumptions!$C$23</f>
        <v>1760000</v>
      </c>
      <c r="AG28" s="95" t="n">
        <f aca="false">AG24*Assumptions!$C$22*Assumptions!$C$23</f>
        <v>1760000</v>
      </c>
      <c r="AH28" s="95" t="n">
        <f aca="false">AH24*Assumptions!$C$22*Assumptions!$C$23</f>
        <v>40000000</v>
      </c>
      <c r="AI28" s="95" t="n">
        <f aca="false">AI24*Assumptions!$C$22*Assumptions!$C$23</f>
        <v>40000000</v>
      </c>
      <c r="AJ28" s="95" t="n">
        <f aca="false">AJ24*Assumptions!$C$22*Assumptions!$C$23</f>
        <v>40000000</v>
      </c>
      <c r="AK28" s="95" t="n">
        <f aca="false">AK24*Assumptions!$C$22*Assumptions!$C$23</f>
        <v>40000000</v>
      </c>
      <c r="AL28" s="95" t="n">
        <f aca="false">AL24*Assumptions!$C$22*Assumptions!$C$23</f>
        <v>40000000</v>
      </c>
      <c r="AM28" s="95" t="n">
        <f aca="false">AM24*Assumptions!$C$22*Assumptions!$C$23</f>
        <v>40000000</v>
      </c>
      <c r="AN28" s="95" t="n">
        <f aca="false">AN24*Assumptions!$C$22*Assumptions!$C$23</f>
        <v>40000000</v>
      </c>
      <c r="AO28" s="95" t="n">
        <f aca="false">AO24*Assumptions!$C$22*Assumptions!$C$23</f>
        <v>40000000</v>
      </c>
      <c r="AP28" s="95" t="n">
        <f aca="false">AP24*Assumptions!$C$22*Assumptions!$C$23</f>
        <v>84000000</v>
      </c>
      <c r="AQ28" s="95" t="n">
        <f aca="false">AQ24*Assumptions!$C$22*Assumptions!$C$23</f>
        <v>84000000</v>
      </c>
      <c r="AR28" s="95" t="n">
        <f aca="false">AR24*Assumptions!$C$22*Assumptions!$C$23</f>
        <v>16500000</v>
      </c>
      <c r="AS28" s="95" t="n">
        <f aca="false">AS24*Assumptions!$C$22*Assumptions!$C$23</f>
        <v>16500000</v>
      </c>
      <c r="AT28" s="95" t="n">
        <f aca="false">AT24*Assumptions!$C$22*Assumptions!$C$23</f>
        <v>0</v>
      </c>
      <c r="AU28" s="95" t="n">
        <f aca="false">AU24*Assumptions!$C$22*Assumptions!$C$23</f>
        <v>0</v>
      </c>
      <c r="AV28" s="95" t="n">
        <f aca="false">AV24*Assumptions!$C$22*Assumptions!$C$23</f>
        <v>0</v>
      </c>
      <c r="AW28" s="95" t="n">
        <f aca="false">AW24*Assumptions!$C$22*Assumptions!$C$23</f>
        <v>0</v>
      </c>
      <c r="AX28" s="95" t="n">
        <f aca="false">AX24*Assumptions!$C$22*Assumptions!$C$23</f>
        <v>0</v>
      </c>
      <c r="AY28" s="95" t="n">
        <f aca="false">AY24*Assumptions!$C$22*Assumptions!$C$23</f>
        <v>0</v>
      </c>
      <c r="AZ28" s="95" t="n">
        <f aca="false">AZ24*Assumptions!$C$22*Assumptions!$C$23</f>
        <v>0</v>
      </c>
      <c r="BA28" s="95" t="n">
        <f aca="false">BA24*Assumptions!$C$22*Assumptions!$C$23</f>
        <v>0</v>
      </c>
      <c r="BB28" s="95" t="n">
        <f aca="false">BB24*Assumptions!$C$22*Assumptions!$C$23</f>
        <v>0</v>
      </c>
      <c r="BC28" s="95" t="n">
        <f aca="false">BC24*Assumptions!$C$22*Assumptions!$C$23</f>
        <v>0</v>
      </c>
      <c r="BD28" s="95" t="n">
        <f aca="false">BD24*Assumptions!$C$22*Assumptions!$C$23</f>
        <v>0</v>
      </c>
      <c r="BE28" s="95" t="n">
        <f aca="false">BE24*Assumptions!$C$22*Assumptions!$C$23</f>
        <v>0</v>
      </c>
      <c r="BF28" s="95" t="n">
        <f aca="false">BF24*Assumptions!$C$22*Assumptions!$C$23</f>
        <v>0</v>
      </c>
      <c r="BG28" s="95" t="n">
        <f aca="false">BG24*Assumptions!$C$22*Assumptions!$C$23</f>
        <v>0</v>
      </c>
      <c r="BH28" s="95" t="n">
        <f aca="false">BH24*Assumptions!$C$22*Assumptions!$C$23</f>
        <v>0</v>
      </c>
      <c r="BI28" s="95" t="n">
        <f aca="false">BI24*Assumptions!$C$22*Assumptions!$C$23</f>
        <v>0</v>
      </c>
      <c r="BJ28" s="95" t="n">
        <f aca="false">BJ24*Assumptions!$C$22*Assumptions!$C$23</f>
        <v>0</v>
      </c>
      <c r="BK28" s="95" t="n">
        <f aca="false">BK24*Assumptions!$C$22*Assumptions!$C$23</f>
        <v>0</v>
      </c>
    </row>
    <row r="29" customFormat="false" ht="15.75" hidden="false" customHeight="true" outlineLevel="0" collapsed="false"/>
    <row r="30" customFormat="false" ht="15.75" hidden="false" customHeight="true" outlineLevel="0" collapsed="false">
      <c r="B30" s="90" t="s">
        <v>26</v>
      </c>
      <c r="C30" s="96" t="n">
        <v>0.04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</row>
    <row r="31" customFormat="false" ht="15.75" hidden="false" customHeight="true" outlineLevel="0" collapsed="false">
      <c r="B31" s="97" t="s">
        <v>217</v>
      </c>
      <c r="C31" s="98" t="n">
        <f aca="false">SUM(D31:BE31)</f>
        <v>106949430</v>
      </c>
      <c r="D31" s="99" t="n">
        <f aca="false">'L''avenir'!$E$26/3*$C$30*1000</f>
        <v>0</v>
      </c>
      <c r="E31" s="99" t="n">
        <f aca="false">'L''avenir'!$E$26/3*$C$30*1000</f>
        <v>0</v>
      </c>
      <c r="F31" s="99" t="n">
        <f aca="false">'L''avenir'!$E$26/3*$C$30*1000</f>
        <v>0</v>
      </c>
      <c r="G31" s="99" t="n">
        <f aca="false">'L''avenir'!$F$26/3*$C$30*1000</f>
        <v>0</v>
      </c>
      <c r="H31" s="99" t="n">
        <f aca="false">'L''avenir'!$F$26/3*$C$30*1000</f>
        <v>0</v>
      </c>
      <c r="I31" s="99" t="n">
        <f aca="false">'L''avenir'!$F$26/3*$C$30*1000</f>
        <v>0</v>
      </c>
      <c r="J31" s="99" t="n">
        <f aca="false">'L''avenir'!$G$26/3*$C$30*1000</f>
        <v>0</v>
      </c>
      <c r="K31" s="99" t="n">
        <f aca="false">'L''avenir'!$G$26/3*$C$30*1000</f>
        <v>0</v>
      </c>
      <c r="L31" s="99" t="n">
        <f aca="false">'L''avenir'!$G$26/3*$C$30*1000</f>
        <v>0</v>
      </c>
      <c r="M31" s="99" t="n">
        <f aca="false">'L''avenir'!$H$26/3*$C$30*1000</f>
        <v>0</v>
      </c>
      <c r="N31" s="99" t="n">
        <f aca="false">'L''avenir'!$H$26/3*$C$30*1000</f>
        <v>0</v>
      </c>
      <c r="O31" s="99" t="n">
        <f aca="false">'L''avenir'!$H$26/3*$C$30*1000</f>
        <v>0</v>
      </c>
      <c r="P31" s="99" t="n">
        <f aca="false">'L''avenir'!$I$26/3*$C$30*1000</f>
        <v>4830840</v>
      </c>
      <c r="Q31" s="99" t="n">
        <f aca="false">'L''avenir'!$I$26/3*$C$30*1000</f>
        <v>4830840</v>
      </c>
      <c r="R31" s="99" t="n">
        <f aca="false">'L''avenir'!$I$26/3*$C$30*1000</f>
        <v>4830840</v>
      </c>
      <c r="S31" s="99" t="n">
        <f aca="false">'L''avenir'!$J$26/3*$C$30*1000</f>
        <v>4830840</v>
      </c>
      <c r="T31" s="99" t="n">
        <f aca="false">'L''avenir'!$J$26/3*$C$30*1000</f>
        <v>4830840</v>
      </c>
      <c r="U31" s="99" t="n">
        <f aca="false">'L''avenir'!$J$26/3*$C$30*1000</f>
        <v>4830840</v>
      </c>
      <c r="V31" s="99" t="n">
        <f aca="false">'L''avenir'!$K$26/3*$C$30*1000</f>
        <v>4144980</v>
      </c>
      <c r="W31" s="99" t="n">
        <f aca="false">'L''avenir'!$K$26/3*$C$30*1000</f>
        <v>4144980</v>
      </c>
      <c r="X31" s="99" t="n">
        <f aca="false">'L''avenir'!$K$26/3*$C$30*1000</f>
        <v>4144980</v>
      </c>
      <c r="Y31" s="99" t="n">
        <f aca="false">'L''avenir'!$L$26/3*$C$30*1000</f>
        <v>2400510</v>
      </c>
      <c r="Z31" s="99" t="n">
        <f aca="false">'L''avenir'!$L$26/3*$C$30*1000</f>
        <v>2400510</v>
      </c>
      <c r="AA31" s="99" t="n">
        <f aca="false">'L''avenir'!$L$26/3*$C$30*1000</f>
        <v>2400510</v>
      </c>
      <c r="AB31" s="99" t="n">
        <f aca="false">'L''avenir'!$M$26/3*$C$30*1000</f>
        <v>2644040</v>
      </c>
      <c r="AC31" s="99" t="n">
        <f aca="false">'L''avenir'!$M$26/3*$C$30*1000</f>
        <v>2644040</v>
      </c>
      <c r="AD31" s="99" t="n">
        <f aca="false">'L''avenir'!$M$26/3*$C$30*1000</f>
        <v>2644040</v>
      </c>
      <c r="AE31" s="99" t="n">
        <f aca="false">'L''avenir'!$N$26/3*$C$30*1000</f>
        <v>2465120</v>
      </c>
      <c r="AF31" s="99" t="n">
        <f aca="false">'L''avenir'!$N$26/3*$C$30*1000</f>
        <v>2465120</v>
      </c>
      <c r="AG31" s="99" t="n">
        <f aca="false">'L''avenir'!$N$26/3*$C$30*1000</f>
        <v>2465120</v>
      </c>
      <c r="AH31" s="99" t="n">
        <f aca="false">'L''avenir'!$O$26/3*$C$30*1000</f>
        <v>2514820</v>
      </c>
      <c r="AI31" s="99" t="n">
        <f aca="false">'L''avenir'!$O$26/3*$C$30*1000</f>
        <v>2514820</v>
      </c>
      <c r="AJ31" s="99" t="n">
        <f aca="false">'L''avenir'!$O$26/3*$C$30*1000</f>
        <v>2514820</v>
      </c>
      <c r="AK31" s="99" t="n">
        <f aca="false">'L''avenir'!$P$26/3*$C$30*1000</f>
        <v>2514820</v>
      </c>
      <c r="AL31" s="99" t="n">
        <f aca="false">'L''avenir'!$P$26/3*$C$30*1000</f>
        <v>2514820</v>
      </c>
      <c r="AM31" s="99" t="n">
        <f aca="false">'L''avenir'!$P$26/3*$C$30*1000</f>
        <v>2514820</v>
      </c>
      <c r="AN31" s="99" t="n">
        <f aca="false">'L''avenir'!$Q$26/3*$C$30*1000</f>
        <v>2743440</v>
      </c>
      <c r="AO31" s="99" t="n">
        <f aca="false">'L''avenir'!$Q$26/3*$C$30*1000</f>
        <v>2743440</v>
      </c>
      <c r="AP31" s="99" t="n">
        <f aca="false">'L''avenir'!$Q$26/3*$C$30*1000</f>
        <v>2743440</v>
      </c>
      <c r="AQ31" s="99" t="n">
        <f aca="false">'L''avenir'!$R$26/3*$C$30*1000</f>
        <v>2743440</v>
      </c>
      <c r="AR31" s="99" t="n">
        <f aca="false">'L''avenir'!$R$26/3*$C$30*1000</f>
        <v>2743440</v>
      </c>
      <c r="AS31" s="99" t="n">
        <f aca="false">'L''avenir'!$R$26/3*$C$30*1000</f>
        <v>2743440</v>
      </c>
      <c r="AT31" s="99" t="n">
        <f aca="false">'L''avenir'!$S$26/3*$C$30*1000</f>
        <v>1908480</v>
      </c>
      <c r="AU31" s="99" t="n">
        <f aca="false">'L''avenir'!$S$26/3*$C$30*1000</f>
        <v>1908480</v>
      </c>
      <c r="AV31" s="99" t="n">
        <f aca="false">'L''avenir'!$S$26/3*$C$30*1000</f>
        <v>1908480</v>
      </c>
      <c r="AW31" s="99" t="n">
        <f aca="false">'L''avenir'!$T$26/3*$C$30*1000</f>
        <v>1908480</v>
      </c>
      <c r="AX31" s="99" t="n">
        <f aca="false">'L''avenir'!$T$26/3*$C$30*1000</f>
        <v>1908480</v>
      </c>
      <c r="AY31" s="99" t="n">
        <f aca="false">'L''avenir'!$T$26/3*$C$30*1000</f>
        <v>1908480</v>
      </c>
      <c r="AZ31" s="99" t="n">
        <f aca="false">'L''avenir'!$U$26/3*$C$30*1000</f>
        <v>0</v>
      </c>
      <c r="BA31" s="99" t="n">
        <f aca="false">'L''avenir'!$U$26/3*$C$30*1000</f>
        <v>0</v>
      </c>
      <c r="BB31" s="99" t="n">
        <f aca="false">'L''avenir'!$U$26/3*$C$30*1000</f>
        <v>0</v>
      </c>
      <c r="BC31" s="99" t="n">
        <f aca="false">'L''avenir'!$V$26/3*$C$30*1000</f>
        <v>0</v>
      </c>
      <c r="BD31" s="99" t="n">
        <f aca="false">'L''avenir'!$V$26/3*$C$30*1000</f>
        <v>0</v>
      </c>
      <c r="BE31" s="99" t="n">
        <f aca="false">'L''avenir'!$V$26/3*$C$30*1000</f>
        <v>0</v>
      </c>
      <c r="BF31" s="99" t="n">
        <f aca="false">'L''avenir'!$W$26/3*$C$30*1000</f>
        <v>0</v>
      </c>
      <c r="BG31" s="99" t="n">
        <f aca="false">'L''avenir'!$W$26/3*$C$30*1000</f>
        <v>0</v>
      </c>
      <c r="BH31" s="99" t="n">
        <f aca="false">'L''avenir'!$W$26/3*$C$30*1000</f>
        <v>0</v>
      </c>
      <c r="BI31" s="99" t="n">
        <f aca="false">'L''avenir'!$X$26/3*$C$30*1000</f>
        <v>0</v>
      </c>
      <c r="BJ31" s="99" t="n">
        <f aca="false">'L''avenir'!$X$26/3*$C$30*1000</f>
        <v>0</v>
      </c>
      <c r="BK31" s="99" t="n">
        <f aca="false">'L''avenir'!$X$26/3*$C$30*1000</f>
        <v>0</v>
      </c>
    </row>
    <row r="32" customFormat="false" ht="15.75" hidden="false" customHeight="true" outlineLevel="0" collapsed="false"/>
    <row r="33" customFormat="false" ht="15" hidden="false" customHeight="false" outlineLevel="0" collapsed="false">
      <c r="B33" s="90" t="s">
        <v>27</v>
      </c>
      <c r="C33" s="96" t="n">
        <f aca="false">C42</f>
        <v>0.15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</row>
    <row r="34" customFormat="false" ht="15" hidden="false" customHeight="false" outlineLevel="0" collapsed="false">
      <c r="B34" s="100" t="s">
        <v>217</v>
      </c>
      <c r="C34" s="101" t="n">
        <f aca="false">SUM(D34:BE34)</f>
        <v>104574000</v>
      </c>
      <c r="D34" s="102" t="n">
        <f aca="false">D28*$C$33</f>
        <v>0</v>
      </c>
      <c r="E34" s="102" t="n">
        <f aca="false">E28*$C$33</f>
        <v>0</v>
      </c>
      <c r="F34" s="102" t="n">
        <f aca="false">F28*$C$33</f>
        <v>0</v>
      </c>
      <c r="G34" s="102" t="n">
        <f aca="false">G28*$C$33</f>
        <v>0</v>
      </c>
      <c r="H34" s="102" t="n">
        <f aca="false">H28*$C$33</f>
        <v>0</v>
      </c>
      <c r="I34" s="102" t="n">
        <f aca="false">I28*$C$33</f>
        <v>0</v>
      </c>
      <c r="J34" s="102" t="n">
        <f aca="false">J28*$C$33</f>
        <v>1000000</v>
      </c>
      <c r="K34" s="102" t="n">
        <f aca="false">K28*$C$33</f>
        <v>1000000</v>
      </c>
      <c r="L34" s="102" t="n">
        <f aca="false">L28*$C$33</f>
        <v>1000000</v>
      </c>
      <c r="M34" s="102" t="n">
        <f aca="false">M28*$C$33</f>
        <v>1320000</v>
      </c>
      <c r="N34" s="102" t="n">
        <f aca="false">N28*$C$33</f>
        <v>1320000</v>
      </c>
      <c r="O34" s="102" t="n">
        <f aca="false">O28*$C$33</f>
        <v>1320000</v>
      </c>
      <c r="P34" s="102" t="n">
        <f aca="false">P28*$C$33</f>
        <v>2000000</v>
      </c>
      <c r="Q34" s="102" t="n">
        <f aca="false">Q28*$C$33</f>
        <v>2000000</v>
      </c>
      <c r="R34" s="102" t="n">
        <f aca="false">R28*$C$33</f>
        <v>2000000</v>
      </c>
      <c r="S34" s="102" t="n">
        <f aca="false">S28*$C$33</f>
        <v>1320000</v>
      </c>
      <c r="T34" s="102" t="n">
        <f aca="false">T28*$C$33</f>
        <v>1320000</v>
      </c>
      <c r="U34" s="102" t="n">
        <f aca="false">U28*$C$33</f>
        <v>1320000</v>
      </c>
      <c r="V34" s="102" t="n">
        <f aca="false">V28*$C$33</f>
        <v>1320000</v>
      </c>
      <c r="W34" s="102" t="n">
        <f aca="false">W28*$C$33</f>
        <v>1320000</v>
      </c>
      <c r="X34" s="102" t="n">
        <f aca="false">X28*$C$33</f>
        <v>1320000</v>
      </c>
      <c r="Y34" s="102" t="n">
        <f aca="false">Y28*$C$33</f>
        <v>1320000</v>
      </c>
      <c r="Z34" s="102" t="n">
        <f aca="false">Z28*$C$33</f>
        <v>1320000</v>
      </c>
      <c r="AA34" s="102" t="n">
        <f aca="false">AA28*$C$33</f>
        <v>1320000</v>
      </c>
      <c r="AB34" s="102" t="n">
        <f aca="false">AB28*$C$33</f>
        <v>264000</v>
      </c>
      <c r="AC34" s="102" t="n">
        <f aca="false">AC28*$C$33</f>
        <v>264000</v>
      </c>
      <c r="AD34" s="102" t="n">
        <f aca="false">AD28*$C$33</f>
        <v>264000</v>
      </c>
      <c r="AE34" s="102" t="n">
        <f aca="false">AE28*$C$33</f>
        <v>264000</v>
      </c>
      <c r="AF34" s="102" t="n">
        <f aca="false">AF28*$C$33</f>
        <v>264000</v>
      </c>
      <c r="AG34" s="102" t="n">
        <f aca="false">AG28*$C$33</f>
        <v>264000</v>
      </c>
      <c r="AH34" s="102" t="n">
        <f aca="false">AH28*$C$33</f>
        <v>6000000</v>
      </c>
      <c r="AI34" s="102" t="n">
        <f aca="false">AI28*$C$33</f>
        <v>6000000</v>
      </c>
      <c r="AJ34" s="102" t="n">
        <f aca="false">AJ28*$C$33</f>
        <v>6000000</v>
      </c>
      <c r="AK34" s="102" t="n">
        <f aca="false">AK28*$C$33</f>
        <v>6000000</v>
      </c>
      <c r="AL34" s="102" t="n">
        <f aca="false">AL28*$C$33</f>
        <v>6000000</v>
      </c>
      <c r="AM34" s="102" t="n">
        <f aca="false">AM28*$C$33</f>
        <v>6000000</v>
      </c>
      <c r="AN34" s="102" t="n">
        <f aca="false">AN28*$C$33</f>
        <v>6000000</v>
      </c>
      <c r="AO34" s="102" t="n">
        <f aca="false">AO28*$C$33</f>
        <v>6000000</v>
      </c>
      <c r="AP34" s="102" t="n">
        <f aca="false">AP28*$C$33</f>
        <v>12600000</v>
      </c>
      <c r="AQ34" s="102" t="n">
        <f aca="false">AQ28*$C$33</f>
        <v>12600000</v>
      </c>
      <c r="AR34" s="102" t="n">
        <f aca="false">AR28*$C$33</f>
        <v>2475000</v>
      </c>
      <c r="AS34" s="102" t="n">
        <f aca="false">AS28*$C$33</f>
        <v>2475000</v>
      </c>
      <c r="AT34" s="102" t="n">
        <f aca="false">AT28*$C$33</f>
        <v>0</v>
      </c>
      <c r="AU34" s="102" t="n">
        <f aca="false">AU28*$C$33</f>
        <v>0</v>
      </c>
      <c r="AV34" s="102" t="n">
        <f aca="false">AV28*$C$33</f>
        <v>0</v>
      </c>
      <c r="AW34" s="102" t="n">
        <f aca="false">AW28*$C$33</f>
        <v>0</v>
      </c>
      <c r="AX34" s="102" t="n">
        <f aca="false">AX28*$C$33</f>
        <v>0</v>
      </c>
      <c r="AY34" s="102" t="n">
        <f aca="false">AY28*$C$33</f>
        <v>0</v>
      </c>
      <c r="AZ34" s="102" t="n">
        <f aca="false">AZ28*$C$33</f>
        <v>0</v>
      </c>
      <c r="BA34" s="102" t="n">
        <f aca="false">BA28*$C$33</f>
        <v>0</v>
      </c>
      <c r="BB34" s="102" t="n">
        <f aca="false">BB28*$C$33</f>
        <v>0</v>
      </c>
      <c r="BC34" s="102" t="n">
        <f aca="false">BC28*$C$33</f>
        <v>0</v>
      </c>
      <c r="BD34" s="102" t="n">
        <f aca="false">BD28*$C$33</f>
        <v>0</v>
      </c>
      <c r="BE34" s="102" t="n">
        <f aca="false">BE28*$C$33</f>
        <v>0</v>
      </c>
      <c r="BF34" s="102" t="n">
        <f aca="false">BF28*$C$33</f>
        <v>0</v>
      </c>
      <c r="BG34" s="102" t="n">
        <f aca="false">BG28*$C$33</f>
        <v>0</v>
      </c>
      <c r="BH34" s="102" t="n">
        <f aca="false">BH28*$C$33</f>
        <v>0</v>
      </c>
      <c r="BI34" s="102" t="n">
        <f aca="false">BI28*$C$33</f>
        <v>0</v>
      </c>
      <c r="BJ34" s="102" t="n">
        <f aca="false">BJ28*$C$33</f>
        <v>0</v>
      </c>
      <c r="BK34" s="102" t="n">
        <f aca="false">BK28*$C$33</f>
        <v>0</v>
      </c>
    </row>
    <row r="36" customFormat="false" ht="15" hidden="false" customHeight="false" outlineLevel="0" collapsed="false">
      <c r="B36" s="90" t="s">
        <v>218</v>
      </c>
      <c r="C36" s="96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</row>
    <row r="37" customFormat="false" ht="15" hidden="false" customHeight="false" outlineLevel="0" collapsed="false">
      <c r="B37" s="103" t="s">
        <v>217</v>
      </c>
      <c r="C37" s="104" t="n">
        <f aca="false">SUM(D37:BK37)</f>
        <v>908683430</v>
      </c>
      <c r="D37" s="105" t="n">
        <f aca="false">SUM(D34,D31,D28)</f>
        <v>0</v>
      </c>
      <c r="E37" s="105" t="n">
        <f aca="false">SUM(E34,E31,E28)</f>
        <v>0</v>
      </c>
      <c r="F37" s="105" t="n">
        <f aca="false">SUM(F34,F31,F28)</f>
        <v>0</v>
      </c>
      <c r="G37" s="105" t="n">
        <f aca="false">SUM(G34,G31,G28)</f>
        <v>0</v>
      </c>
      <c r="H37" s="105" t="n">
        <f aca="false">SUM(H34,H31,H28)</f>
        <v>0</v>
      </c>
      <c r="I37" s="105" t="n">
        <f aca="false">SUM(I34,I31,I28)</f>
        <v>0</v>
      </c>
      <c r="J37" s="105" t="n">
        <f aca="false">SUM(J34,J31,J28)</f>
        <v>7666666.66666667</v>
      </c>
      <c r="K37" s="105" t="n">
        <f aca="false">SUM(K34,K31,K28)</f>
        <v>7666666.66666667</v>
      </c>
      <c r="L37" s="105" t="n">
        <f aca="false">SUM(L34,L31,L28)</f>
        <v>7666666.66666667</v>
      </c>
      <c r="M37" s="105" t="n">
        <f aca="false">SUM(M34,M31,M28)</f>
        <v>10120000</v>
      </c>
      <c r="N37" s="105" t="n">
        <f aca="false">SUM(N34,N31,N28)</f>
        <v>10120000</v>
      </c>
      <c r="O37" s="105" t="n">
        <f aca="false">SUM(O34,O31,O28)</f>
        <v>10120000</v>
      </c>
      <c r="P37" s="105" t="n">
        <f aca="false">SUM(P34,P31,P28)</f>
        <v>20164173.3333333</v>
      </c>
      <c r="Q37" s="105" t="n">
        <f aca="false">SUM(Q34,Q31,Q28)</f>
        <v>20164173.3333333</v>
      </c>
      <c r="R37" s="105" t="n">
        <f aca="false">SUM(R34,R31,R28)</f>
        <v>20164173.3333333</v>
      </c>
      <c r="S37" s="105" t="n">
        <f aca="false">SUM(S34,S31,S28)</f>
        <v>14950840</v>
      </c>
      <c r="T37" s="105" t="n">
        <f aca="false">SUM(T34,T31,T28)</f>
        <v>14950840</v>
      </c>
      <c r="U37" s="105" t="n">
        <f aca="false">SUM(U34,U31,U28)</f>
        <v>14950840</v>
      </c>
      <c r="V37" s="105" t="n">
        <f aca="false">SUM(V34,V31,V28)</f>
        <v>14264980</v>
      </c>
      <c r="W37" s="105" t="n">
        <f aca="false">SUM(W34,W31,W28)</f>
        <v>14264980</v>
      </c>
      <c r="X37" s="105" t="n">
        <f aca="false">SUM(X34,X31,X28)</f>
        <v>14264980</v>
      </c>
      <c r="Y37" s="105" t="n">
        <f aca="false">SUM(Y34,Y31,Y28)</f>
        <v>12520510</v>
      </c>
      <c r="Z37" s="105" t="n">
        <f aca="false">SUM(Z34,Z31,Z28)</f>
        <v>12520510</v>
      </c>
      <c r="AA37" s="105" t="n">
        <f aca="false">SUM(AA34,AA31,AA28)</f>
        <v>12520510</v>
      </c>
      <c r="AB37" s="105" t="n">
        <f aca="false">SUM(AB34,AB31,AB28)</f>
        <v>4668040</v>
      </c>
      <c r="AC37" s="105" t="n">
        <f aca="false">SUM(AC34,AC31,AC28)</f>
        <v>4668040</v>
      </c>
      <c r="AD37" s="105" t="n">
        <f aca="false">SUM(AD34,AD31,AD28)</f>
        <v>4668040</v>
      </c>
      <c r="AE37" s="105" t="n">
        <f aca="false">SUM(AE34,AE31,AE28)</f>
        <v>4489120</v>
      </c>
      <c r="AF37" s="105" t="n">
        <f aca="false">SUM(AF34,AF31,AF28)</f>
        <v>4489120</v>
      </c>
      <c r="AG37" s="105" t="n">
        <f aca="false">SUM(AG34,AG31,AG28)</f>
        <v>4489120</v>
      </c>
      <c r="AH37" s="105" t="n">
        <f aca="false">SUM(AH34,AH31,AH28)</f>
        <v>48514820</v>
      </c>
      <c r="AI37" s="105" t="n">
        <f aca="false">SUM(AI34,AI31,AI28)</f>
        <v>48514820</v>
      </c>
      <c r="AJ37" s="105" t="n">
        <f aca="false">SUM(AJ34,AJ31,AJ28)</f>
        <v>48514820</v>
      </c>
      <c r="AK37" s="105" t="n">
        <f aca="false">SUM(AK34,AK31,AK28)</f>
        <v>48514820</v>
      </c>
      <c r="AL37" s="105" t="n">
        <f aca="false">SUM(AL34,AL31,AL28)</f>
        <v>48514820</v>
      </c>
      <c r="AM37" s="105" t="n">
        <f aca="false">SUM(AM34,AM31,AM28)</f>
        <v>48514820</v>
      </c>
      <c r="AN37" s="105" t="n">
        <f aca="false">SUM(AN34,AN31,AN28)</f>
        <v>48743440</v>
      </c>
      <c r="AO37" s="105" t="n">
        <f aca="false">SUM(AO34,AO31,AO28)</f>
        <v>48743440</v>
      </c>
      <c r="AP37" s="105" t="n">
        <f aca="false">SUM(AP34,AP31,AP28)</f>
        <v>99343440</v>
      </c>
      <c r="AQ37" s="105" t="n">
        <f aca="false">SUM(AQ34,AQ31,AQ28)</f>
        <v>99343440</v>
      </c>
      <c r="AR37" s="105" t="n">
        <f aca="false">SUM(AR34,AR31,AR28)</f>
        <v>21718440</v>
      </c>
      <c r="AS37" s="105" t="n">
        <f aca="false">SUM(AS34,AS31,AS28)</f>
        <v>21718440</v>
      </c>
      <c r="AT37" s="105" t="n">
        <f aca="false">SUM(AT34,AT31,AT28)</f>
        <v>1908480</v>
      </c>
      <c r="AU37" s="105" t="n">
        <f aca="false">SUM(AU34,AU31,AU28)</f>
        <v>1908480</v>
      </c>
      <c r="AV37" s="105" t="n">
        <f aca="false">SUM(AV34,AV31,AV28)</f>
        <v>1908480</v>
      </c>
      <c r="AW37" s="105" t="n">
        <f aca="false">SUM(AW34,AW31,AW28)</f>
        <v>1908480</v>
      </c>
      <c r="AX37" s="105" t="n">
        <f aca="false">SUM(AX34,AX31,AX28)</f>
        <v>1908480</v>
      </c>
      <c r="AY37" s="105" t="n">
        <f aca="false">SUM(AY34,AY31,AY28)</f>
        <v>1908480</v>
      </c>
      <c r="AZ37" s="105" t="n">
        <f aca="false">SUM(AZ34,AZ31,AZ28)</f>
        <v>0</v>
      </c>
      <c r="BA37" s="105" t="n">
        <f aca="false">SUM(BA34,BA31,BA28)</f>
        <v>0</v>
      </c>
      <c r="BB37" s="105" t="n">
        <f aca="false">SUM(BB34,BB31,BB28)</f>
        <v>0</v>
      </c>
      <c r="BC37" s="105" t="n">
        <f aca="false">SUM(BC34,BC31,BC28)</f>
        <v>0</v>
      </c>
      <c r="BD37" s="105" t="n">
        <f aca="false">SUM(BD34,BD31,BD28)</f>
        <v>0</v>
      </c>
      <c r="BE37" s="105" t="n">
        <f aca="false">SUM(BE34,BE31,BE28)</f>
        <v>0</v>
      </c>
      <c r="BF37" s="105" t="n">
        <f aca="false">SUM(BF34,BF31,BF28)</f>
        <v>0</v>
      </c>
      <c r="BG37" s="105" t="n">
        <f aca="false">SUM(BG34,BG31,BG28)</f>
        <v>0</v>
      </c>
      <c r="BH37" s="105" t="n">
        <f aca="false">SUM(BH34,BH31,BH28)</f>
        <v>0</v>
      </c>
      <c r="BI37" s="105" t="n">
        <f aca="false">SUM(BI34,BI31,BI28)</f>
        <v>0</v>
      </c>
      <c r="BJ37" s="105" t="n">
        <f aca="false">SUM(BJ34,BJ31,BJ28)</f>
        <v>0</v>
      </c>
      <c r="BK37" s="105" t="n">
        <f aca="false">SUM(BK34,BK31,BK28)</f>
        <v>0</v>
      </c>
    </row>
    <row r="39" customFormat="false" ht="15" hidden="false" customHeight="false" outlineLevel="0" collapsed="false">
      <c r="B39" s="0" t="s">
        <v>219</v>
      </c>
      <c r="C39" s="106" t="n">
        <v>0.05</v>
      </c>
    </row>
    <row r="40" customFormat="false" ht="15.75" hidden="false" customHeight="true" outlineLevel="0" collapsed="false">
      <c r="B40" s="0" t="s">
        <v>220</v>
      </c>
      <c r="C40" s="106" t="n">
        <v>0.05</v>
      </c>
    </row>
    <row r="41" customFormat="false" ht="15.75" hidden="false" customHeight="true" outlineLevel="0" collapsed="false">
      <c r="B41" s="0" t="s">
        <v>221</v>
      </c>
      <c r="C41" s="106" t="n">
        <v>0.05</v>
      </c>
    </row>
    <row r="42" customFormat="false" ht="15.75" hidden="false" customHeight="true" outlineLevel="0" collapsed="false">
      <c r="C42" s="96" t="n">
        <f aca="false">SUM(C39:C41)</f>
        <v>0.15</v>
      </c>
    </row>
    <row r="43" customFormat="false" ht="15" hidden="false" customHeight="false" outlineLevel="0" collapsed="false">
      <c r="D43" s="107" t="s">
        <v>222</v>
      </c>
      <c r="E43" s="107" t="s">
        <v>38</v>
      </c>
      <c r="F43" s="107" t="s">
        <v>28</v>
      </c>
    </row>
    <row r="44" customFormat="false" ht="15.75" hidden="false" customHeight="true" outlineLevel="0" collapsed="false">
      <c r="B44" s="28" t="s">
        <v>223</v>
      </c>
      <c r="D44" s="108" t="n">
        <f aca="false">C37/1000000</f>
        <v>908.68343</v>
      </c>
      <c r="E44" s="108" t="n">
        <f aca="false">'Net Cash Flow -With DP'!C20</f>
        <v>908.68343</v>
      </c>
      <c r="F44" s="108" t="n">
        <f aca="false">E44-D44</f>
        <v>0</v>
      </c>
    </row>
    <row r="46" customFormat="false" ht="15.75" hidden="false" customHeight="true" outlineLevel="0" collapsed="false">
      <c r="B46" s="107" t="s">
        <v>224</v>
      </c>
      <c r="D46" s="107" t="s">
        <v>225</v>
      </c>
      <c r="E46" s="107" t="s">
        <v>226</v>
      </c>
      <c r="F46" s="107" t="s">
        <v>227</v>
      </c>
    </row>
    <row r="47" customFormat="false" ht="15.75" hidden="false" customHeight="true" outlineLevel="0" collapsed="false">
      <c r="B47" s="28" t="s">
        <v>228</v>
      </c>
      <c r="D47" s="109" t="n">
        <f aca="false">C28/1000000</f>
        <v>650.76</v>
      </c>
      <c r="E47" s="109" t="n">
        <f aca="false">SUM(D28:BK28)/1000000</f>
        <v>697.16</v>
      </c>
      <c r="F47" s="109" t="n">
        <f aca="false">E47-D47</f>
        <v>46.4</v>
      </c>
    </row>
    <row r="48" customFormat="false" ht="15.75" hidden="false" customHeight="true" outlineLevel="0" collapsed="false">
      <c r="B48" s="28" t="s">
        <v>229</v>
      </c>
      <c r="D48" s="109" t="n">
        <f aca="false">C31/1000000</f>
        <v>106.94943</v>
      </c>
      <c r="E48" s="109" t="n">
        <f aca="false">SUM(D31:BK31)/1000000</f>
        <v>106.94943</v>
      </c>
      <c r="F48" s="109" t="n">
        <f aca="false">E48-D48</f>
        <v>0</v>
      </c>
    </row>
    <row r="49" customFormat="false" ht="15" hidden="false" customHeight="false" outlineLevel="0" collapsed="false">
      <c r="B49" s="28" t="s">
        <v>230</v>
      </c>
      <c r="D49" s="109" t="n">
        <f aca="false">C34/1000000</f>
        <v>104.574</v>
      </c>
      <c r="E49" s="109" t="n">
        <f aca="false">SUM(D34:BK34)/1000000</f>
        <v>104.574</v>
      </c>
      <c r="F49" s="109" t="n">
        <f aca="false">E49-D49</f>
        <v>0</v>
      </c>
    </row>
    <row r="50" customFormat="false" ht="15.75" hidden="false" customHeight="true" outlineLevel="0" collapsed="false"/>
    <row r="51" customFormat="false" ht="15.75" hidden="false" customHeight="true" outlineLevel="0" collapsed="false">
      <c r="B51" s="20" t="s">
        <v>231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mergeCells count="2">
    <mergeCell ref="A1:G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5.77"/>
    <col collapsed="false" customWidth="true" hidden="false" outlineLevel="0" max="5" min="3" style="0" width="13"/>
  </cols>
  <sheetData>
    <row r="2" customFormat="false" ht="17.35" hidden="false" customHeight="false" outlineLevel="0" collapsed="false">
      <c r="B2" s="110"/>
      <c r="C2" s="110" t="s">
        <v>113</v>
      </c>
      <c r="D2" s="110" t="s">
        <v>232</v>
      </c>
    </row>
    <row r="3" customFormat="false" ht="17.35" hidden="false" customHeight="false" outlineLevel="0" collapsed="false">
      <c r="B3" s="110" t="s">
        <v>233</v>
      </c>
      <c r="C3" s="111" t="n">
        <v>0.35</v>
      </c>
      <c r="D3" s="112"/>
    </row>
    <row r="4" customFormat="false" ht="17.35" hidden="false" customHeight="false" outlineLevel="0" collapsed="false">
      <c r="B4" s="110" t="s">
        <v>234</v>
      </c>
      <c r="C4" s="112" t="s">
        <v>235</v>
      </c>
      <c r="D4" s="112"/>
    </row>
    <row r="5" customFormat="false" ht="17.35" hidden="false" customHeight="false" outlineLevel="0" collapsed="false">
      <c r="B5" s="110" t="s">
        <v>236</v>
      </c>
      <c r="C5" s="112" t="n">
        <v>6</v>
      </c>
      <c r="D5" s="112"/>
    </row>
    <row r="6" customFormat="false" ht="30" hidden="false" customHeight="true" outlineLevel="0" collapsed="false">
      <c r="B6" s="110" t="s">
        <v>237</v>
      </c>
      <c r="C6" s="112" t="n">
        <v>0</v>
      </c>
      <c r="D6" s="113" t="s">
        <v>238</v>
      </c>
    </row>
    <row r="7" customFormat="false" ht="30" hidden="false" customHeight="true" outlineLevel="0" collapsed="false">
      <c r="B7" s="110" t="s">
        <v>239</v>
      </c>
      <c r="C7" s="112" t="n">
        <v>100</v>
      </c>
      <c r="D7" s="113" t="s">
        <v>238</v>
      </c>
    </row>
    <row r="8" customFormat="false" ht="30" hidden="false" customHeight="true" outlineLevel="0" collapsed="false">
      <c r="B8" s="110" t="s">
        <v>240</v>
      </c>
      <c r="C8" s="112" t="n">
        <v>200</v>
      </c>
      <c r="D8" s="113" t="s">
        <v>238</v>
      </c>
    </row>
    <row r="9" customFormat="false" ht="30" hidden="false" customHeight="true" outlineLevel="0" collapsed="false">
      <c r="B9" s="110" t="s">
        <v>241</v>
      </c>
      <c r="C9" s="112" t="n">
        <v>250</v>
      </c>
      <c r="D9" s="113" t="s">
        <v>238</v>
      </c>
    </row>
    <row r="10" customFormat="false" ht="30" hidden="false" customHeight="true" outlineLevel="0" collapsed="false">
      <c r="B10" s="110" t="s">
        <v>242</v>
      </c>
      <c r="C10" s="112" t="n">
        <v>200</v>
      </c>
      <c r="D10" s="113" t="s">
        <v>238</v>
      </c>
    </row>
    <row r="11" customFormat="false" ht="30" hidden="false" customHeight="true" outlineLevel="0" collapsed="false">
      <c r="B11" s="110" t="s">
        <v>243</v>
      </c>
      <c r="C11" s="112" t="n">
        <v>100</v>
      </c>
      <c r="D11" s="113" t="s">
        <v>238</v>
      </c>
    </row>
    <row r="12" customFormat="false" ht="30" hidden="false" customHeight="true" outlineLevel="0" collapsed="false">
      <c r="B12" s="110" t="s">
        <v>244</v>
      </c>
      <c r="C12" s="112" t="n">
        <v>0</v>
      </c>
      <c r="D12" s="113" t="s">
        <v>238</v>
      </c>
    </row>
    <row r="13" customFormat="false" ht="17.35" hidden="false" customHeight="false" outlineLevel="0" collapsed="false">
      <c r="B13" s="110" t="s">
        <v>245</v>
      </c>
      <c r="C13" s="112" t="n">
        <v>8</v>
      </c>
      <c r="D13" s="112"/>
    </row>
    <row r="14" customFormat="false" ht="17.35" hidden="false" customHeight="false" outlineLevel="0" collapsed="false">
      <c r="B14" s="110" t="s">
        <v>246</v>
      </c>
      <c r="C14" s="112" t="s">
        <v>247</v>
      </c>
      <c r="D14" s="112"/>
    </row>
    <row r="16" customFormat="false" ht="17.35" hidden="false" customHeight="false" outlineLevel="0" collapsed="false">
      <c r="B16" s="110" t="s">
        <v>248</v>
      </c>
      <c r="C16" s="111" t="n">
        <v>0.65</v>
      </c>
      <c r="D16" s="112"/>
    </row>
    <row r="17" customFormat="false" ht="17.35" hidden="false" customHeight="false" outlineLevel="0" collapsed="false">
      <c r="B17" s="110" t="s">
        <v>249</v>
      </c>
      <c r="C17" s="114" t="s">
        <v>250</v>
      </c>
      <c r="D17" s="112"/>
    </row>
    <row r="18" customFormat="false" ht="17.35" hidden="false" customHeight="false" outlineLevel="0" collapsed="false">
      <c r="B18" s="110" t="s">
        <v>251</v>
      </c>
      <c r="C18" s="114" t="s">
        <v>250</v>
      </c>
      <c r="D18" s="112"/>
    </row>
    <row r="19" customFormat="false" ht="17.35" hidden="false" customHeight="false" outlineLevel="0" collapsed="false">
      <c r="B19" s="110" t="s">
        <v>252</v>
      </c>
      <c r="C19" s="114" t="s">
        <v>250</v>
      </c>
      <c r="D19" s="112"/>
    </row>
    <row r="20" customFormat="false" ht="17.35" hidden="false" customHeight="false" outlineLevel="0" collapsed="false">
      <c r="B20" s="110" t="s">
        <v>253</v>
      </c>
      <c r="C20" s="115" t="s">
        <v>254</v>
      </c>
      <c r="D20" s="112"/>
    </row>
    <row r="21" customFormat="false" ht="17.35" hidden="false" customHeight="false" outlineLevel="0" collapsed="false">
      <c r="B21" s="110" t="s">
        <v>255</v>
      </c>
      <c r="C21" s="114" t="s">
        <v>250</v>
      </c>
      <c r="D21" s="112"/>
    </row>
    <row r="22" customFormat="false" ht="17.35" hidden="false" customHeight="false" outlineLevel="0" collapsed="false">
      <c r="B22" s="110" t="s">
        <v>256</v>
      </c>
      <c r="C22" s="114" t="s">
        <v>250</v>
      </c>
      <c r="D22" s="112"/>
    </row>
    <row r="23" customFormat="false" ht="17.35" hidden="false" customHeight="false" outlineLevel="0" collapsed="false">
      <c r="B23" s="110" t="s">
        <v>257</v>
      </c>
      <c r="C23" s="114" t="s">
        <v>250</v>
      </c>
      <c r="D23" s="112"/>
    </row>
    <row r="24" customFormat="false" ht="17.35" hidden="false" customHeight="false" outlineLevel="0" collapsed="false">
      <c r="B24" s="110" t="s">
        <v>258</v>
      </c>
      <c r="C24" s="115" t="s">
        <v>259</v>
      </c>
      <c r="D24" s="112"/>
    </row>
    <row r="25" customFormat="false" ht="62.25" hidden="false" customHeight="true" outlineLevel="0" collapsed="false">
      <c r="B25" s="116" t="s">
        <v>260</v>
      </c>
      <c r="C25" s="115" t="s">
        <v>259</v>
      </c>
      <c r="D25" s="117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44.22"/>
    <col collapsed="false" customWidth="true" hidden="false" outlineLevel="0" max="5" min="3" style="0" width="13"/>
  </cols>
  <sheetData>
    <row r="1" customFormat="false" ht="15" hidden="false" customHeight="false" outlineLevel="0" collapsed="false">
      <c r="B1" s="118" t="s">
        <v>262</v>
      </c>
      <c r="C1" s="119" t="n">
        <f aca="false">Summary!F23</f>
        <v>-23.963616648638</v>
      </c>
    </row>
    <row r="2" customFormat="false" ht="15" hidden="false" customHeight="false" outlineLevel="0" collapsed="false">
      <c r="B2" s="118" t="s">
        <v>263</v>
      </c>
      <c r="C2" s="119" t="n">
        <f aca="false">Summary!D23</f>
        <v>350.586903044344</v>
      </c>
    </row>
    <row r="3" customFormat="false" ht="15" hidden="false" customHeight="false" outlineLevel="0" collapsed="false">
      <c r="C3" s="119" t="n">
        <f aca="false">SUM(C9:C16)</f>
        <v>850</v>
      </c>
      <c r="E3" s="119" t="n">
        <f aca="false">C3-850</f>
        <v>0</v>
      </c>
    </row>
    <row r="4" customFormat="false" ht="15" hidden="false" customHeight="false" outlineLevel="0" collapsed="false">
      <c r="B4" s="120" t="s">
        <v>15</v>
      </c>
      <c r="C4" s="121" t="s">
        <v>113</v>
      </c>
      <c r="D4" s="122" t="s">
        <v>232</v>
      </c>
      <c r="E4" s="118" t="n">
        <f aca="false">E3/6</f>
        <v>0</v>
      </c>
    </row>
    <row r="5" customFormat="false" ht="15" hidden="false" customHeight="false" outlineLevel="0" collapsed="false">
      <c r="B5" s="122" t="s">
        <v>264</v>
      </c>
      <c r="C5" s="123" t="n">
        <v>0.35</v>
      </c>
      <c r="D5" s="122"/>
    </row>
    <row r="6" customFormat="false" ht="15" hidden="false" customHeight="false" outlineLevel="0" collapsed="false">
      <c r="B6" s="122" t="s">
        <v>265</v>
      </c>
      <c r="C6" s="122" t="n">
        <v>850</v>
      </c>
      <c r="D6" s="122"/>
    </row>
    <row r="7" customFormat="false" ht="15" hidden="false" customHeight="false" outlineLevel="0" collapsed="false">
      <c r="B7" s="122" t="s">
        <v>266</v>
      </c>
      <c r="C7" s="122" t="n">
        <v>6</v>
      </c>
      <c r="D7" s="122"/>
    </row>
    <row r="8" customFormat="false" ht="15" hidden="false" customHeight="false" outlineLevel="0" collapsed="false">
      <c r="B8" s="122" t="s">
        <v>267</v>
      </c>
      <c r="C8" s="123" t="n">
        <v>0.1</v>
      </c>
      <c r="D8" s="122"/>
    </row>
    <row r="9" customFormat="false" ht="15" hidden="false" customHeight="false" outlineLevel="0" collapsed="false">
      <c r="B9" s="122" t="s">
        <v>268</v>
      </c>
      <c r="C9" s="124" t="n">
        <f aca="false">C8*C6</f>
        <v>85</v>
      </c>
      <c r="D9" s="122"/>
    </row>
    <row r="10" customFormat="false" ht="46.25" hidden="false" customHeight="false" outlineLevel="0" collapsed="false">
      <c r="B10" s="122" t="s">
        <v>269</v>
      </c>
      <c r="C10" s="122" t="n">
        <v>0</v>
      </c>
      <c r="D10" s="125" t="s">
        <v>238</v>
      </c>
      <c r="E10" s="119"/>
    </row>
    <row r="11" customFormat="false" ht="46.25" hidden="false" customHeight="false" outlineLevel="0" collapsed="false">
      <c r="B11" s="122" t="s">
        <v>270</v>
      </c>
      <c r="C11" s="122" t="n">
        <v>90</v>
      </c>
      <c r="D11" s="125" t="s">
        <v>238</v>
      </c>
      <c r="E11" s="119"/>
    </row>
    <row r="12" customFormat="false" ht="46.25" hidden="false" customHeight="false" outlineLevel="0" collapsed="false">
      <c r="B12" s="122" t="s">
        <v>271</v>
      </c>
      <c r="C12" s="126" t="n">
        <v>180</v>
      </c>
      <c r="D12" s="125" t="s">
        <v>238</v>
      </c>
      <c r="E12" s="119"/>
    </row>
    <row r="13" customFormat="false" ht="46.25" hidden="false" customHeight="false" outlineLevel="0" collapsed="false">
      <c r="B13" s="122" t="s">
        <v>272</v>
      </c>
      <c r="C13" s="126" t="n">
        <v>225</v>
      </c>
      <c r="D13" s="125" t="s">
        <v>238</v>
      </c>
      <c r="E13" s="119"/>
    </row>
    <row r="14" customFormat="false" ht="46.25" hidden="false" customHeight="false" outlineLevel="0" collapsed="false">
      <c r="B14" s="122" t="s">
        <v>273</v>
      </c>
      <c r="C14" s="126" t="n">
        <v>180</v>
      </c>
      <c r="D14" s="125" t="s">
        <v>238</v>
      </c>
      <c r="E14" s="119"/>
    </row>
    <row r="15" customFormat="false" ht="46.25" hidden="false" customHeight="false" outlineLevel="0" collapsed="false">
      <c r="B15" s="122" t="s">
        <v>274</v>
      </c>
      <c r="C15" s="126" t="n">
        <v>90</v>
      </c>
      <c r="D15" s="125" t="s">
        <v>238</v>
      </c>
      <c r="E15" s="119"/>
    </row>
    <row r="16" customFormat="false" ht="46.25" hidden="false" customHeight="false" outlineLevel="0" collapsed="false">
      <c r="B16" s="122" t="s">
        <v>275</v>
      </c>
      <c r="C16" s="122" t="n">
        <v>0</v>
      </c>
      <c r="D16" s="125" t="s">
        <v>238</v>
      </c>
      <c r="E16" s="119"/>
    </row>
    <row r="17" customFormat="false" ht="15" hidden="false" customHeight="false" outlineLevel="0" collapsed="false">
      <c r="B17" s="122" t="s">
        <v>276</v>
      </c>
      <c r="C17" s="122" t="n">
        <v>8</v>
      </c>
      <c r="D17" s="122"/>
    </row>
    <row r="18" customFormat="false" ht="15" hidden="false" customHeight="false" outlineLevel="0" collapsed="false">
      <c r="B18" s="122" t="s">
        <v>246</v>
      </c>
      <c r="C18" s="122" t="s">
        <v>247</v>
      </c>
      <c r="D18" s="122"/>
    </row>
    <row r="20" customFormat="false" ht="15" hidden="false" customHeight="false" outlineLevel="0" collapsed="false">
      <c r="B20" s="127"/>
      <c r="C20" s="121" t="s">
        <v>113</v>
      </c>
      <c r="D20" s="122"/>
    </row>
    <row r="21" customFormat="false" ht="15" hidden="false" customHeight="false" outlineLevel="0" collapsed="false">
      <c r="B21" s="128" t="s">
        <v>277</v>
      </c>
      <c r="C21" s="129" t="n">
        <v>0.65</v>
      </c>
      <c r="D21" s="122"/>
    </row>
    <row r="22" customFormat="false" ht="15" hidden="false" customHeight="false" outlineLevel="0" collapsed="false">
      <c r="B22" s="128" t="s">
        <v>278</v>
      </c>
      <c r="C22" s="128" t="s">
        <v>279</v>
      </c>
      <c r="D22" s="122"/>
    </row>
    <row r="23" customFormat="false" ht="15" hidden="false" customHeight="false" outlineLevel="0" collapsed="false">
      <c r="B23" s="128" t="s">
        <v>280</v>
      </c>
      <c r="C23" s="128" t="s">
        <v>279</v>
      </c>
      <c r="D23" s="122"/>
    </row>
    <row r="24" customFormat="false" ht="15" hidden="false" customHeight="false" outlineLevel="0" collapsed="false">
      <c r="B24" s="128" t="s">
        <v>281</v>
      </c>
      <c r="C24" s="128" t="s">
        <v>279</v>
      </c>
      <c r="D24" s="122"/>
    </row>
    <row r="25" customFormat="false" ht="25.35" hidden="false" customHeight="false" outlineLevel="0" collapsed="false">
      <c r="B25" s="128" t="s">
        <v>282</v>
      </c>
      <c r="C25" s="128" t="s">
        <v>254</v>
      </c>
      <c r="D25" s="122"/>
    </row>
    <row r="26" customFormat="false" ht="15" hidden="false" customHeight="false" outlineLevel="0" collapsed="false">
      <c r="B26" s="128" t="s">
        <v>283</v>
      </c>
      <c r="C26" s="128" t="s">
        <v>279</v>
      </c>
      <c r="D26" s="122"/>
    </row>
    <row r="27" customFormat="false" ht="15" hidden="false" customHeight="false" outlineLevel="0" collapsed="false">
      <c r="B27" s="128" t="s">
        <v>284</v>
      </c>
      <c r="C27" s="128" t="s">
        <v>279</v>
      </c>
      <c r="D27" s="122"/>
    </row>
    <row r="28" customFormat="false" ht="15" hidden="false" customHeight="false" outlineLevel="0" collapsed="false">
      <c r="B28" s="128" t="s">
        <v>285</v>
      </c>
      <c r="C28" s="128" t="s">
        <v>286</v>
      </c>
      <c r="D28" s="122"/>
    </row>
    <row r="29" customFormat="false" ht="57.45" hidden="false" customHeight="false" outlineLevel="0" collapsed="false">
      <c r="B29" s="128" t="s">
        <v>287</v>
      </c>
      <c r="C29" s="128" t="s">
        <v>247</v>
      </c>
      <c r="D29" s="130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777343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12.22"/>
    <col collapsed="false" customWidth="true" hidden="false" outlineLevel="0" max="3" min="3" style="0" width="14.88"/>
    <col collapsed="false" customWidth="true" hidden="false" outlineLevel="0" max="46" min="4" style="0" width="7.22"/>
  </cols>
  <sheetData>
    <row r="1" customFormat="false" ht="15" hidden="false" customHeight="true" outlineLevel="0" collapsed="false">
      <c r="B1" s="24" t="s">
        <v>288</v>
      </c>
    </row>
    <row r="2" customFormat="false" ht="15" hidden="false" customHeight="true" outlineLevel="0" collapsed="false">
      <c r="B2" s="24" t="s">
        <v>15</v>
      </c>
    </row>
    <row r="3" customFormat="false" ht="15" hidden="false" customHeight="false" outlineLevel="0" collapsed="false">
      <c r="B3" s="131" t="s">
        <v>289</v>
      </c>
      <c r="C3" s="131" t="s">
        <v>136</v>
      </c>
      <c r="D3" s="131" t="s">
        <v>46</v>
      </c>
      <c r="E3" s="131" t="s">
        <v>47</v>
      </c>
      <c r="F3" s="131" t="s">
        <v>48</v>
      </c>
      <c r="G3" s="131" t="s">
        <v>49</v>
      </c>
      <c r="H3" s="131" t="s">
        <v>50</v>
      </c>
      <c r="I3" s="131" t="s">
        <v>51</v>
      </c>
      <c r="J3" s="131" t="s">
        <v>52</v>
      </c>
      <c r="K3" s="131" t="s">
        <v>53</v>
      </c>
      <c r="L3" s="131" t="s">
        <v>54</v>
      </c>
      <c r="M3" s="131" t="s">
        <v>55</v>
      </c>
      <c r="N3" s="131" t="s">
        <v>56</v>
      </c>
      <c r="O3" s="131" t="s">
        <v>57</v>
      </c>
      <c r="P3" s="131" t="s">
        <v>58</v>
      </c>
      <c r="Q3" s="131" t="s">
        <v>59</v>
      </c>
      <c r="R3" s="131" t="s">
        <v>60</v>
      </c>
      <c r="S3" s="131" t="s">
        <v>61</v>
      </c>
      <c r="T3" s="131" t="s">
        <v>62</v>
      </c>
      <c r="U3" s="131" t="s">
        <v>63</v>
      </c>
      <c r="V3" s="131" t="s">
        <v>64</v>
      </c>
      <c r="W3" s="131" t="s">
        <v>65</v>
      </c>
      <c r="X3" s="131" t="s">
        <v>66</v>
      </c>
      <c r="Y3" s="131" t="s">
        <v>67</v>
      </c>
      <c r="Z3" s="131" t="s">
        <v>68</v>
      </c>
      <c r="AA3" s="131" t="s">
        <v>69</v>
      </c>
      <c r="AB3" s="131" t="s">
        <v>70</v>
      </c>
      <c r="AC3" s="131" t="s">
        <v>71</v>
      </c>
      <c r="AD3" s="131" t="s">
        <v>72</v>
      </c>
      <c r="AE3" s="131" t="s">
        <v>73</v>
      </c>
      <c r="AF3" s="131" t="s">
        <v>74</v>
      </c>
      <c r="AG3" s="131" t="s">
        <v>75</v>
      </c>
      <c r="AH3" s="131" t="s">
        <v>76</v>
      </c>
      <c r="AI3" s="131" t="s">
        <v>77</v>
      </c>
      <c r="AJ3" s="131" t="s">
        <v>78</v>
      </c>
      <c r="AK3" s="131" t="s">
        <v>79</v>
      </c>
      <c r="AL3" s="131" t="s">
        <v>80</v>
      </c>
      <c r="AM3" s="131" t="s">
        <v>81</v>
      </c>
      <c r="AN3" s="131" t="s">
        <v>82</v>
      </c>
      <c r="AO3" s="131" t="s">
        <v>83</v>
      </c>
      <c r="AP3" s="131" t="s">
        <v>84</v>
      </c>
      <c r="AQ3" s="131" t="s">
        <v>85</v>
      </c>
      <c r="AR3" s="131" t="s">
        <v>86</v>
      </c>
      <c r="AS3" s="131" t="s">
        <v>290</v>
      </c>
      <c r="AT3" s="131" t="s">
        <v>291</v>
      </c>
    </row>
    <row r="4" customFormat="false" ht="15" hidden="false" customHeight="false" outlineLevel="0" collapsed="false">
      <c r="B4" s="132" t="s">
        <v>217</v>
      </c>
      <c r="C4" s="132" t="n">
        <f aca="false">SUM(D4:ZZ4)</f>
        <v>2673.73575</v>
      </c>
      <c r="D4" s="133" t="n">
        <f aca="false">'L''avenir'!E70/1000</f>
        <v>0</v>
      </c>
      <c r="E4" s="133" t="n">
        <f aca="false">'L''avenir'!F70/1000</f>
        <v>0</v>
      </c>
      <c r="F4" s="133" t="n">
        <f aca="false">'L''avenir'!G70/1000</f>
        <v>0</v>
      </c>
      <c r="G4" s="133" t="n">
        <f aca="false">'L''avenir'!H70/1000</f>
        <v>0</v>
      </c>
      <c r="H4" s="133" t="n">
        <f aca="false">'L''avenir'!I70/1000</f>
        <v>18.11565</v>
      </c>
      <c r="I4" s="133" t="n">
        <f aca="false">'L''avenir'!J70/1000</f>
        <v>36.2313</v>
      </c>
      <c r="J4" s="133" t="n">
        <f aca="false">'L''avenir'!K70/1000</f>
        <v>58.260825</v>
      </c>
      <c r="K4" s="133" t="n">
        <f aca="false">'L''avenir'!L70/1000</f>
        <v>69.01839</v>
      </c>
      <c r="L4" s="133" t="n">
        <f aca="false">'L''avenir'!M70/1000</f>
        <v>67.087545</v>
      </c>
      <c r="M4" s="133" t="n">
        <f aca="false">'L''avenir'!N70/1000</f>
        <v>72.9732675</v>
      </c>
      <c r="N4" s="133" t="n">
        <f aca="false">'L''avenir'!O70/1000</f>
        <v>88.871055</v>
      </c>
      <c r="O4" s="133" t="n">
        <f aca="false">'L''avenir'!P70/1000</f>
        <v>105.60753</v>
      </c>
      <c r="P4" s="133" t="n">
        <f aca="false">'L''avenir'!Q70/1000</f>
        <v>115.25243625</v>
      </c>
      <c r="Q4" s="133" t="n">
        <f aca="false">'L''avenir'!R70/1000</f>
        <v>124.8973425</v>
      </c>
      <c r="R4" s="133" t="n">
        <f aca="false">'L''avenir'!S70/1000</f>
        <v>683.0904675</v>
      </c>
      <c r="S4" s="133" t="n">
        <f aca="false">'L''avenir'!T70/1000</f>
        <v>171.6401925</v>
      </c>
      <c r="T4" s="133" t="n">
        <f aca="false">'L''avenir'!U70/1000</f>
        <v>112.5965925</v>
      </c>
      <c r="U4" s="133" t="n">
        <f aca="false">'L''avenir'!V70/1000</f>
        <v>89.3369925</v>
      </c>
      <c r="V4" s="133" t="n">
        <f aca="false">'L''avenir'!W70/1000</f>
        <v>87.5254275</v>
      </c>
      <c r="W4" s="133" t="n">
        <f aca="false">'L''avenir'!X70/1000</f>
        <v>85.7138625</v>
      </c>
      <c r="X4" s="133" t="n">
        <f aca="false">'L''avenir'!Y70/1000</f>
        <v>77.279461875</v>
      </c>
      <c r="Y4" s="133" t="n">
        <f aca="false">'L''avenir'!Z70/1000</f>
        <v>70.15341375</v>
      </c>
      <c r="Z4" s="133" t="n">
        <f aca="false">'L''avenir'!AA70/1000</f>
        <v>61.33787625</v>
      </c>
      <c r="AA4" s="133" t="n">
        <f aca="false">'L''avenir'!AB70/1000</f>
        <v>51.04624875</v>
      </c>
      <c r="AB4" s="133" t="n">
        <f aca="false">'L''avenir'!AC70/1000</f>
        <v>51.04624875</v>
      </c>
      <c r="AC4" s="133" t="n">
        <f aca="false">'L''avenir'!AD70/1000</f>
        <v>51.04624875</v>
      </c>
      <c r="AD4" s="133" t="n">
        <f aca="false">'L''avenir'!AE70/1000</f>
        <v>51.04624875</v>
      </c>
      <c r="AE4" s="133" t="n">
        <f aca="false">'L''avenir'!AF70/1000</f>
        <v>51.04624875</v>
      </c>
      <c r="AF4" s="133" t="n">
        <f aca="false">'L''avenir'!AG70/1000</f>
        <v>43.931383125</v>
      </c>
      <c r="AG4" s="133" t="n">
        <f aca="false">'L''avenir'!AH70/1000</f>
        <v>36.8165175</v>
      </c>
      <c r="AH4" s="133" t="n">
        <f aca="false">'L''avenir'!AI70/1000</f>
        <v>32.958555</v>
      </c>
      <c r="AI4" s="133" t="n">
        <f aca="false">'L''avenir'!AJ70/1000</f>
        <v>29.1005925</v>
      </c>
      <c r="AJ4" s="133" t="n">
        <f aca="false">'L''avenir'!AK70/1000</f>
        <v>22.8831225</v>
      </c>
      <c r="AK4" s="133" t="n">
        <f aca="false">'L''avenir'!AL70/1000</f>
        <v>19.2823575</v>
      </c>
      <c r="AL4" s="133" t="n">
        <f aca="false">'L''avenir'!AM70/1000</f>
        <v>16.80357</v>
      </c>
      <c r="AM4" s="133" t="n">
        <f aca="false">'L''avenir'!AN70/1000</f>
        <v>7.24626</v>
      </c>
      <c r="AN4" s="133" t="n">
        <f aca="false">'L''avenir'!AO70/1000</f>
        <v>7.24626</v>
      </c>
      <c r="AO4" s="133" t="n">
        <f aca="false">'L''avenir'!AP70/1000</f>
        <v>7.24626</v>
      </c>
      <c r="AP4" s="133" t="n">
        <f aca="false">'L''avenir'!AQ70/1000</f>
        <v>0</v>
      </c>
      <c r="AQ4" s="133" t="n">
        <f aca="false">'L''avenir'!AR70/1000</f>
        <v>0</v>
      </c>
      <c r="AR4" s="133" t="n">
        <f aca="false">'L''avenir'!AS70/1000</f>
        <v>0</v>
      </c>
      <c r="AS4" s="133" t="n">
        <f aca="false">'L''avenir'!AT70/1000</f>
        <v>0</v>
      </c>
      <c r="AT4" s="133" t="n">
        <f aca="false">'L''avenir'!AU70/1000</f>
        <v>0</v>
      </c>
    </row>
    <row r="6" customFormat="false" ht="15" hidden="false" customHeight="false" outlineLevel="0" collapsed="false">
      <c r="B6" s="134" t="s">
        <v>289</v>
      </c>
      <c r="C6" s="134" t="s">
        <v>178</v>
      </c>
      <c r="D6" s="134" t="s">
        <v>46</v>
      </c>
      <c r="E6" s="134" t="s">
        <v>47</v>
      </c>
      <c r="F6" s="134" t="s">
        <v>48</v>
      </c>
      <c r="G6" s="134" t="s">
        <v>49</v>
      </c>
      <c r="H6" s="134" t="s">
        <v>50</v>
      </c>
      <c r="I6" s="134" t="s">
        <v>51</v>
      </c>
      <c r="J6" s="134" t="s">
        <v>52</v>
      </c>
      <c r="K6" s="134" t="s">
        <v>53</v>
      </c>
      <c r="L6" s="134" t="s">
        <v>54</v>
      </c>
      <c r="M6" s="134" t="s">
        <v>55</v>
      </c>
      <c r="N6" s="134" t="s">
        <v>56</v>
      </c>
      <c r="O6" s="134" t="s">
        <v>57</v>
      </c>
      <c r="P6" s="134" t="s">
        <v>58</v>
      </c>
      <c r="Q6" s="134" t="s">
        <v>59</v>
      </c>
      <c r="R6" s="134" t="s">
        <v>60</v>
      </c>
      <c r="S6" s="134" t="s">
        <v>61</v>
      </c>
      <c r="T6" s="134" t="s">
        <v>62</v>
      </c>
      <c r="U6" s="134" t="s">
        <v>63</v>
      </c>
      <c r="V6" s="134" t="s">
        <v>64</v>
      </c>
      <c r="W6" s="134" t="s">
        <v>65</v>
      </c>
      <c r="X6" s="134" t="s">
        <v>66</v>
      </c>
      <c r="Y6" s="134" t="s">
        <v>67</v>
      </c>
      <c r="Z6" s="134" t="s">
        <v>68</v>
      </c>
      <c r="AA6" s="134" t="s">
        <v>69</v>
      </c>
      <c r="AB6" s="134" t="s">
        <v>70</v>
      </c>
      <c r="AC6" s="134" t="s">
        <v>71</v>
      </c>
      <c r="AD6" s="134" t="s">
        <v>72</v>
      </c>
      <c r="AE6" s="134" t="s">
        <v>73</v>
      </c>
      <c r="AF6" s="134" t="s">
        <v>74</v>
      </c>
      <c r="AG6" s="134" t="s">
        <v>75</v>
      </c>
      <c r="AH6" s="134" t="s">
        <v>76</v>
      </c>
      <c r="AI6" s="134" t="s">
        <v>77</v>
      </c>
      <c r="AJ6" s="134" t="s">
        <v>78</v>
      </c>
      <c r="AK6" s="134" t="s">
        <v>79</v>
      </c>
      <c r="AL6" s="134" t="s">
        <v>80</v>
      </c>
      <c r="AM6" s="134" t="s">
        <v>81</v>
      </c>
      <c r="AN6" s="134" t="s">
        <v>82</v>
      </c>
      <c r="AO6" s="134" t="s">
        <v>83</v>
      </c>
      <c r="AP6" s="134" t="s">
        <v>84</v>
      </c>
      <c r="AQ6" s="134" t="s">
        <v>85</v>
      </c>
      <c r="AR6" s="134" t="s">
        <v>86</v>
      </c>
      <c r="AS6" s="134" t="s">
        <v>290</v>
      </c>
      <c r="AT6" s="134" t="s">
        <v>291</v>
      </c>
    </row>
    <row r="7" customFormat="false" ht="15" hidden="false" customHeight="false" outlineLevel="0" collapsed="false">
      <c r="B7" s="132" t="s">
        <v>217</v>
      </c>
      <c r="C7" s="132" t="n">
        <f aca="false">SUM(D7:ZZ7)</f>
        <v>1766.31183089056</v>
      </c>
      <c r="D7" s="133" t="n">
        <f aca="false">'L''avenir'!E71/1000</f>
        <v>0</v>
      </c>
      <c r="E7" s="133" t="n">
        <f aca="false">'L''avenir'!F71/1000</f>
        <v>0</v>
      </c>
      <c r="F7" s="133" t="n">
        <f aca="false">'L''avenir'!G71/1000</f>
        <v>0</v>
      </c>
      <c r="G7" s="133" t="n">
        <f aca="false">'L''avenir'!H71/1000</f>
        <v>0</v>
      </c>
      <c r="H7" s="133" t="n">
        <f aca="false">'L''avenir'!I71/1000</f>
        <v>17.5318484787843</v>
      </c>
      <c r="I7" s="133" t="n">
        <f aca="false">'L''avenir'!J71/1000</f>
        <v>33.9337215151598</v>
      </c>
      <c r="J7" s="133" t="n">
        <f aca="false">'L''avenir'!K71/1000</f>
        <v>52.8077898720455</v>
      </c>
      <c r="K7" s="133" t="n">
        <f aca="false">'L''avenir'!L71/1000</f>
        <v>60.542447368421</v>
      </c>
      <c r="L7" s="133" t="n">
        <f aca="false">'L''avenir'!M71/1000</f>
        <v>56.9522433256011</v>
      </c>
      <c r="M7" s="133" t="n">
        <f aca="false">'L''avenir'!N71/1000</f>
        <v>59.9523920747856</v>
      </c>
      <c r="N7" s="133" t="n">
        <f aca="false">'L''avenir'!O71/1000</f>
        <v>70.6605227312135</v>
      </c>
      <c r="O7" s="133" t="n">
        <f aca="false">'L''avenir'!P71/1000</f>
        <v>81.2615650969529</v>
      </c>
      <c r="P7" s="133" t="n">
        <f aca="false">'L''avenir'!Q71/1000</f>
        <v>85.8250764464046</v>
      </c>
      <c r="Q7" s="133" t="n">
        <f aca="false">'L''avenir'!R71/1000</f>
        <v>90.0100637809782</v>
      </c>
      <c r="R7" s="133" t="n">
        <f aca="false">'L''avenir'!S71/1000</f>
        <v>476.419889055949</v>
      </c>
      <c r="S7" s="133" t="n">
        <f aca="false">'L''avenir'!T71/1000</f>
        <v>115.852240972931</v>
      </c>
      <c r="T7" s="133" t="n">
        <f aca="false">'L''avenir'!U71/1000</f>
        <v>73.5503054824751</v>
      </c>
      <c r="U7" s="133" t="n">
        <f aca="false">'L''avenir'!V71/1000</f>
        <v>56.476054457296</v>
      </c>
      <c r="V7" s="133" t="n">
        <f aca="false">'L''avenir'!W71/1000</f>
        <v>53.5477279340074</v>
      </c>
      <c r="W7" s="133" t="n">
        <f aca="false">'L''avenir'!X71/1000</f>
        <v>50.7494874834703</v>
      </c>
      <c r="X7" s="133" t="n">
        <f aca="false">'L''avenir'!Y71/1000</f>
        <v>44.2811071686952</v>
      </c>
      <c r="Y7" s="133" t="n">
        <f aca="false">'L''avenir'!Z71/1000</f>
        <v>38.902452235623</v>
      </c>
      <c r="Z7" s="133" t="n">
        <f aca="false">'L''avenir'!AA71/1000</f>
        <v>32.9177915783369</v>
      </c>
      <c r="AA7" s="133" t="n">
        <f aca="false">'L''avenir'!AB71/1000</f>
        <v>26.5118220338664</v>
      </c>
      <c r="AB7" s="133" t="n">
        <f aca="false">'L''avenir'!AC71/1000</f>
        <v>25.657442421014</v>
      </c>
      <c r="AC7" s="133" t="n">
        <f aca="false">'L''avenir'!AD71/1000</f>
        <v>24.8305963560982</v>
      </c>
      <c r="AD7" s="133" t="n">
        <f aca="false">'L''avenir'!AE71/1000</f>
        <v>24.0303965329959</v>
      </c>
      <c r="AE7" s="133" t="n">
        <f aca="false">'L''avenir'!AF71/1000</f>
        <v>23.2559842402337</v>
      </c>
      <c r="AF7" s="133" t="n">
        <f aca="false">'L''avenir'!AG71/1000</f>
        <v>19.369551101221</v>
      </c>
      <c r="AG7" s="133" t="n">
        <f aca="false">'L''avenir'!AH71/1000</f>
        <v>15.7094569409785</v>
      </c>
      <c r="AH7" s="133" t="n">
        <f aca="false">'L''avenir'!AI71/1000</f>
        <v>13.6100717950381</v>
      </c>
      <c r="AI7" s="133" t="n">
        <f aca="false">'L''avenir'!AJ71/1000</f>
        <v>11.6296828707327</v>
      </c>
      <c r="AJ7" s="133" t="n">
        <f aca="false">'L''avenir'!AK71/1000</f>
        <v>8.85024133071761</v>
      </c>
      <c r="AK7" s="133" t="n">
        <f aca="false">'L''avenir'!AL71/1000</f>
        <v>7.21728317566432</v>
      </c>
      <c r="AL7" s="133" t="n">
        <f aca="false">'L''avenir'!AM71/1000</f>
        <v>6.08679901467396</v>
      </c>
      <c r="AM7" s="133" t="n">
        <f aca="false">'L''avenir'!AN71/1000</f>
        <v>2.54024205680287</v>
      </c>
      <c r="AN7" s="133" t="n">
        <f aca="false">'L''avenir'!AO71/1000</f>
        <v>2.45837929300375</v>
      </c>
      <c r="AO7" s="133" t="n">
        <f aca="false">'L''avenir'!AP71/1000</f>
        <v>2.37915466838467</v>
      </c>
      <c r="AP7" s="133" t="n">
        <f aca="false">'L''avenir'!AQ71/1000</f>
        <v>0</v>
      </c>
      <c r="AQ7" s="133" t="n">
        <f aca="false">'L''avenir'!AR71/1000</f>
        <v>0</v>
      </c>
      <c r="AR7" s="133" t="n">
        <f aca="false">'L''avenir'!AS71/1000</f>
        <v>0</v>
      </c>
      <c r="AS7" s="133" t="n">
        <f aca="false">'L''avenir'!AT71/1000</f>
        <v>0</v>
      </c>
      <c r="AT7" s="133" t="n">
        <f aca="false">'L''avenir'!AU71/1000</f>
        <v>0</v>
      </c>
    </row>
    <row r="9" customFormat="false" ht="15" hidden="false" customHeight="false" outlineLevel="0" collapsed="false">
      <c r="B9" s="24" t="s">
        <v>292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</row>
    <row r="10" customFormat="false" ht="15" hidden="false" customHeight="false" outlineLevel="0" collapsed="false">
      <c r="B10" s="131" t="s">
        <v>289</v>
      </c>
      <c r="C10" s="131" t="s">
        <v>136</v>
      </c>
      <c r="D10" s="131" t="s">
        <v>46</v>
      </c>
      <c r="E10" s="131" t="s">
        <v>47</v>
      </c>
      <c r="F10" s="131" t="s">
        <v>48</v>
      </c>
      <c r="G10" s="131" t="s">
        <v>49</v>
      </c>
      <c r="H10" s="131" t="s">
        <v>50</v>
      </c>
      <c r="I10" s="131" t="s">
        <v>51</v>
      </c>
      <c r="J10" s="131" t="s">
        <v>52</v>
      </c>
      <c r="K10" s="131" t="s">
        <v>53</v>
      </c>
      <c r="L10" s="131" t="s">
        <v>54</v>
      </c>
      <c r="M10" s="131" t="s">
        <v>55</v>
      </c>
      <c r="N10" s="131" t="s">
        <v>56</v>
      </c>
      <c r="O10" s="131" t="s">
        <v>57</v>
      </c>
      <c r="P10" s="131" t="s">
        <v>58</v>
      </c>
      <c r="Q10" s="131" t="s">
        <v>59</v>
      </c>
      <c r="R10" s="131" t="s">
        <v>60</v>
      </c>
      <c r="S10" s="131" t="s">
        <v>61</v>
      </c>
      <c r="T10" s="131" t="s">
        <v>62</v>
      </c>
      <c r="U10" s="131" t="s">
        <v>63</v>
      </c>
      <c r="V10" s="131" t="s">
        <v>64</v>
      </c>
      <c r="W10" s="131" t="s">
        <v>65</v>
      </c>
      <c r="X10" s="131" t="s">
        <v>66</v>
      </c>
      <c r="Y10" s="131" t="s">
        <v>67</v>
      </c>
      <c r="Z10" s="131" t="s">
        <v>68</v>
      </c>
      <c r="AA10" s="131" t="s">
        <v>69</v>
      </c>
      <c r="AB10" s="131" t="s">
        <v>70</v>
      </c>
      <c r="AC10" s="131" t="s">
        <v>71</v>
      </c>
      <c r="AD10" s="131" t="s">
        <v>72</v>
      </c>
      <c r="AE10" s="131" t="s">
        <v>73</v>
      </c>
      <c r="AF10" s="131" t="s">
        <v>74</v>
      </c>
      <c r="AG10" s="131" t="s">
        <v>75</v>
      </c>
      <c r="AH10" s="131" t="s">
        <v>76</v>
      </c>
      <c r="AI10" s="131" t="s">
        <v>77</v>
      </c>
      <c r="AJ10" s="131" t="s">
        <v>78</v>
      </c>
      <c r="AK10" s="131" t="s">
        <v>79</v>
      </c>
      <c r="AL10" s="131" t="s">
        <v>80</v>
      </c>
      <c r="AM10" s="131" t="s">
        <v>81</v>
      </c>
      <c r="AN10" s="131" t="s">
        <v>82</v>
      </c>
      <c r="AO10" s="131" t="s">
        <v>83</v>
      </c>
      <c r="AP10" s="131" t="s">
        <v>84</v>
      </c>
      <c r="AQ10" s="131" t="s">
        <v>85</v>
      </c>
      <c r="AR10" s="131" t="s">
        <v>86</v>
      </c>
      <c r="AS10" s="131" t="s">
        <v>290</v>
      </c>
      <c r="AT10" s="131" t="s">
        <v>291</v>
      </c>
    </row>
    <row r="11" customFormat="false" ht="15" hidden="false" customHeight="false" outlineLevel="0" collapsed="false">
      <c r="B11" s="132" t="s">
        <v>217</v>
      </c>
      <c r="C11" s="132" t="n">
        <f aca="false">MAX(D11:ZZ11)</f>
        <v>2673.73575</v>
      </c>
      <c r="D11" s="133" t="n">
        <f aca="false">D4</f>
        <v>0</v>
      </c>
      <c r="E11" s="133" t="n">
        <f aca="false">D11+E4</f>
        <v>0</v>
      </c>
      <c r="F11" s="133" t="n">
        <f aca="false">E11+F4</f>
        <v>0</v>
      </c>
      <c r="G11" s="133" t="n">
        <f aca="false">F11+G4</f>
        <v>0</v>
      </c>
      <c r="H11" s="133" t="n">
        <f aca="false">G11+H4</f>
        <v>18.11565</v>
      </c>
      <c r="I11" s="133" t="n">
        <f aca="false">H11+I4</f>
        <v>54.34695</v>
      </c>
      <c r="J11" s="133" t="n">
        <f aca="false">I11+J4</f>
        <v>112.607775</v>
      </c>
      <c r="K11" s="133" t="n">
        <f aca="false">J11+K4</f>
        <v>181.626165</v>
      </c>
      <c r="L11" s="133" t="n">
        <f aca="false">K11+L4</f>
        <v>248.71371</v>
      </c>
      <c r="M11" s="133" t="n">
        <f aca="false">L11+M4</f>
        <v>321.6869775</v>
      </c>
      <c r="N11" s="133" t="n">
        <f aca="false">M11+N4</f>
        <v>410.5580325</v>
      </c>
      <c r="O11" s="133" t="n">
        <f aca="false">N11+O4</f>
        <v>516.1655625</v>
      </c>
      <c r="P11" s="133" t="n">
        <f aca="false">O11+P4</f>
        <v>631.41799875</v>
      </c>
      <c r="Q11" s="133" t="n">
        <f aca="false">P11+Q4</f>
        <v>756.31534125</v>
      </c>
      <c r="R11" s="133" t="n">
        <f aca="false">Q11+R4</f>
        <v>1439.40580875</v>
      </c>
      <c r="S11" s="133" t="n">
        <f aca="false">R11+S4</f>
        <v>1611.04600125</v>
      </c>
      <c r="T11" s="133" t="n">
        <f aca="false">S11+T4</f>
        <v>1723.64259375</v>
      </c>
      <c r="U11" s="133" t="n">
        <f aca="false">T11+U4</f>
        <v>1812.97958625</v>
      </c>
      <c r="V11" s="133" t="n">
        <f aca="false">U11+V4</f>
        <v>1900.50501375</v>
      </c>
      <c r="W11" s="133" t="n">
        <f aca="false">V11+W4</f>
        <v>1986.21887625</v>
      </c>
      <c r="X11" s="133" t="n">
        <f aca="false">W11+X4</f>
        <v>2063.498338125</v>
      </c>
      <c r="Y11" s="133" t="n">
        <f aca="false">X11+Y4</f>
        <v>2133.651751875</v>
      </c>
      <c r="Z11" s="133" t="n">
        <f aca="false">Y11+Z4</f>
        <v>2194.989628125</v>
      </c>
      <c r="AA11" s="133" t="n">
        <f aca="false">Z11+AA4</f>
        <v>2246.035876875</v>
      </c>
      <c r="AB11" s="133" t="n">
        <f aca="false">AA11+AB4</f>
        <v>2297.082125625</v>
      </c>
      <c r="AC11" s="133" t="n">
        <f aca="false">AB11+AC4</f>
        <v>2348.128374375</v>
      </c>
      <c r="AD11" s="133" t="n">
        <f aca="false">AC11+AD4</f>
        <v>2399.174623125</v>
      </c>
      <c r="AE11" s="133" t="n">
        <f aca="false">AD11+AE4</f>
        <v>2450.220871875</v>
      </c>
      <c r="AF11" s="133" t="n">
        <f aca="false">AE11+AF4</f>
        <v>2494.152255</v>
      </c>
      <c r="AG11" s="133" t="n">
        <f aca="false">AF11+AG4</f>
        <v>2530.9687725</v>
      </c>
      <c r="AH11" s="133" t="n">
        <f aca="false">AG11+AH4</f>
        <v>2563.9273275</v>
      </c>
      <c r="AI11" s="133" t="n">
        <f aca="false">AH11+AI4</f>
        <v>2593.02792</v>
      </c>
      <c r="AJ11" s="133" t="n">
        <f aca="false">AI11+AJ4</f>
        <v>2615.9110425</v>
      </c>
      <c r="AK11" s="133" t="n">
        <f aca="false">AJ11+AK4</f>
        <v>2635.1934</v>
      </c>
      <c r="AL11" s="133" t="n">
        <f aca="false">AK11+AL4</f>
        <v>2651.99697</v>
      </c>
      <c r="AM11" s="133" t="n">
        <f aca="false">AL11+AM4</f>
        <v>2659.24323</v>
      </c>
      <c r="AN11" s="133" t="n">
        <f aca="false">AM11+AN4</f>
        <v>2666.48949</v>
      </c>
      <c r="AO11" s="133" t="n">
        <f aca="false">AN11+AO4</f>
        <v>2673.73575</v>
      </c>
      <c r="AP11" s="133" t="n">
        <f aca="false">AO11+AP4</f>
        <v>2673.73575</v>
      </c>
      <c r="AQ11" s="133" t="n">
        <f aca="false">AP11+AQ4</f>
        <v>2673.73575</v>
      </c>
      <c r="AR11" s="133" t="n">
        <f aca="false">AQ11+AR4</f>
        <v>2673.73575</v>
      </c>
      <c r="AS11" s="133" t="n">
        <f aca="false">AR11+AS4</f>
        <v>2673.73575</v>
      </c>
      <c r="AT11" s="133" t="n">
        <f aca="false">AS11+AT4</f>
        <v>2673.73575</v>
      </c>
    </row>
    <row r="13" customFormat="false" ht="15" hidden="false" customHeight="false" outlineLevel="0" collapsed="false">
      <c r="B13" s="134" t="s">
        <v>289</v>
      </c>
      <c r="C13" s="134" t="s">
        <v>178</v>
      </c>
      <c r="D13" s="134" t="s">
        <v>46</v>
      </c>
      <c r="E13" s="134" t="s">
        <v>47</v>
      </c>
      <c r="F13" s="134" t="s">
        <v>48</v>
      </c>
      <c r="G13" s="134" t="s">
        <v>49</v>
      </c>
      <c r="H13" s="134" t="s">
        <v>50</v>
      </c>
      <c r="I13" s="134" t="s">
        <v>51</v>
      </c>
      <c r="J13" s="134" t="s">
        <v>52</v>
      </c>
      <c r="K13" s="134" t="s">
        <v>53</v>
      </c>
      <c r="L13" s="134" t="s">
        <v>54</v>
      </c>
      <c r="M13" s="134" t="s">
        <v>55</v>
      </c>
      <c r="N13" s="134" t="s">
        <v>56</v>
      </c>
      <c r="O13" s="134" t="s">
        <v>57</v>
      </c>
      <c r="P13" s="134" t="s">
        <v>58</v>
      </c>
      <c r="Q13" s="134" t="s">
        <v>59</v>
      </c>
      <c r="R13" s="134" t="s">
        <v>60</v>
      </c>
      <c r="S13" s="134" t="s">
        <v>61</v>
      </c>
      <c r="T13" s="134" t="s">
        <v>62</v>
      </c>
      <c r="U13" s="134" t="s">
        <v>63</v>
      </c>
      <c r="V13" s="134" t="s">
        <v>64</v>
      </c>
      <c r="W13" s="134" t="s">
        <v>65</v>
      </c>
      <c r="X13" s="134" t="s">
        <v>66</v>
      </c>
      <c r="Y13" s="134" t="s">
        <v>67</v>
      </c>
      <c r="Z13" s="134" t="s">
        <v>68</v>
      </c>
      <c r="AA13" s="134" t="s">
        <v>69</v>
      </c>
      <c r="AB13" s="134" t="s">
        <v>70</v>
      </c>
      <c r="AC13" s="134" t="s">
        <v>71</v>
      </c>
      <c r="AD13" s="134" t="s">
        <v>72</v>
      </c>
      <c r="AE13" s="134" t="s">
        <v>73</v>
      </c>
      <c r="AF13" s="134" t="s">
        <v>74</v>
      </c>
      <c r="AG13" s="134" t="s">
        <v>75</v>
      </c>
      <c r="AH13" s="134" t="s">
        <v>76</v>
      </c>
      <c r="AI13" s="134" t="s">
        <v>77</v>
      </c>
      <c r="AJ13" s="134" t="s">
        <v>78</v>
      </c>
      <c r="AK13" s="134" t="s">
        <v>79</v>
      </c>
      <c r="AL13" s="134" t="s">
        <v>80</v>
      </c>
      <c r="AM13" s="134" t="s">
        <v>81</v>
      </c>
      <c r="AN13" s="134" t="s">
        <v>82</v>
      </c>
      <c r="AO13" s="134" t="s">
        <v>83</v>
      </c>
      <c r="AP13" s="134" t="s">
        <v>84</v>
      </c>
      <c r="AQ13" s="134" t="s">
        <v>85</v>
      </c>
      <c r="AR13" s="134" t="s">
        <v>86</v>
      </c>
      <c r="AS13" s="134" t="s">
        <v>290</v>
      </c>
      <c r="AT13" s="134" t="s">
        <v>291</v>
      </c>
    </row>
    <row r="14" customFormat="false" ht="15" hidden="false" customHeight="false" outlineLevel="0" collapsed="false">
      <c r="B14" s="132" t="s">
        <v>217</v>
      </c>
      <c r="C14" s="132" t="n">
        <f aca="false">MAX(D14:ZZ14)</f>
        <v>1766.31183089056</v>
      </c>
      <c r="D14" s="133" t="n">
        <f aca="false">D7</f>
        <v>0</v>
      </c>
      <c r="E14" s="133" t="n">
        <f aca="false">D14+E7</f>
        <v>0</v>
      </c>
      <c r="F14" s="133" t="n">
        <f aca="false">E14+F7</f>
        <v>0</v>
      </c>
      <c r="G14" s="133" t="n">
        <f aca="false">F14+G7</f>
        <v>0</v>
      </c>
      <c r="H14" s="133" t="n">
        <f aca="false">G14+H7</f>
        <v>17.5318484787843</v>
      </c>
      <c r="I14" s="133" t="n">
        <f aca="false">H14+I7</f>
        <v>51.4655699939442</v>
      </c>
      <c r="J14" s="133" t="n">
        <f aca="false">I14+J7</f>
        <v>104.27335986599</v>
      </c>
      <c r="K14" s="133" t="n">
        <f aca="false">J14+K7</f>
        <v>164.815807234411</v>
      </c>
      <c r="L14" s="133" t="n">
        <f aca="false">K14+L7</f>
        <v>221.768050560012</v>
      </c>
      <c r="M14" s="133" t="n">
        <f aca="false">L14+M7</f>
        <v>281.720442634797</v>
      </c>
      <c r="N14" s="133" t="n">
        <f aca="false">M14+N7</f>
        <v>352.380965366011</v>
      </c>
      <c r="O14" s="133" t="n">
        <f aca="false">N14+O7</f>
        <v>433.642530462964</v>
      </c>
      <c r="P14" s="133" t="n">
        <f aca="false">O14+P7</f>
        <v>519.467606909368</v>
      </c>
      <c r="Q14" s="133" t="n">
        <f aca="false">P14+Q7</f>
        <v>609.477670690347</v>
      </c>
      <c r="R14" s="133" t="n">
        <f aca="false">Q14+R7</f>
        <v>1085.8975597463</v>
      </c>
      <c r="S14" s="133" t="n">
        <f aca="false">R14+S7</f>
        <v>1201.74980071923</v>
      </c>
      <c r="T14" s="133" t="n">
        <f aca="false">S14+T7</f>
        <v>1275.3001062017</v>
      </c>
      <c r="U14" s="133" t="n">
        <f aca="false">T14+U7</f>
        <v>1331.776160659</v>
      </c>
      <c r="V14" s="133" t="n">
        <f aca="false">U14+V7</f>
        <v>1385.323888593</v>
      </c>
      <c r="W14" s="133" t="n">
        <f aca="false">V14+W7</f>
        <v>1436.07337607648</v>
      </c>
      <c r="X14" s="133" t="n">
        <f aca="false">W14+X7</f>
        <v>1480.35448324517</v>
      </c>
      <c r="Y14" s="133" t="n">
        <f aca="false">X14+Y7</f>
        <v>1519.25693548079</v>
      </c>
      <c r="Z14" s="133" t="n">
        <f aca="false">Y14+Z7</f>
        <v>1552.17472705913</v>
      </c>
      <c r="AA14" s="133" t="n">
        <f aca="false">Z14+AA7</f>
        <v>1578.686549093</v>
      </c>
      <c r="AB14" s="133" t="n">
        <f aca="false">AA14+AB7</f>
        <v>1604.34399151401</v>
      </c>
      <c r="AC14" s="133" t="n">
        <f aca="false">AB14+AC7</f>
        <v>1629.17458787011</v>
      </c>
      <c r="AD14" s="133" t="n">
        <f aca="false">AC14+AD7</f>
        <v>1653.2049844031</v>
      </c>
      <c r="AE14" s="133" t="n">
        <f aca="false">AD14+AE7</f>
        <v>1676.46096864334</v>
      </c>
      <c r="AF14" s="133" t="n">
        <f aca="false">AE14+AF7</f>
        <v>1695.83051974456</v>
      </c>
      <c r="AG14" s="133" t="n">
        <f aca="false">AF14+AG7</f>
        <v>1711.53997668554</v>
      </c>
      <c r="AH14" s="133" t="n">
        <f aca="false">AG14+AH7</f>
        <v>1725.15004848058</v>
      </c>
      <c r="AI14" s="133" t="n">
        <f aca="false">AH14+AI7</f>
        <v>1736.77973135131</v>
      </c>
      <c r="AJ14" s="133" t="n">
        <f aca="false">AI14+AJ7</f>
        <v>1745.62997268203</v>
      </c>
      <c r="AK14" s="133" t="n">
        <f aca="false">AJ14+AK7</f>
        <v>1752.84725585769</v>
      </c>
      <c r="AL14" s="133" t="n">
        <f aca="false">AK14+AL7</f>
        <v>1758.93405487236</v>
      </c>
      <c r="AM14" s="133" t="n">
        <f aca="false">AL14+AM7</f>
        <v>1761.47429692917</v>
      </c>
      <c r="AN14" s="133" t="n">
        <f aca="false">AM14+AN7</f>
        <v>1763.93267622217</v>
      </c>
      <c r="AO14" s="133" t="n">
        <f aca="false">AN14+AO7</f>
        <v>1766.31183089056</v>
      </c>
      <c r="AP14" s="133" t="n">
        <f aca="false">AO14+AP7</f>
        <v>1766.31183089056</v>
      </c>
      <c r="AQ14" s="133" t="n">
        <f aca="false">AP14+AQ7</f>
        <v>1766.31183089056</v>
      </c>
      <c r="AR14" s="133" t="n">
        <f aca="false">AQ14+AR7</f>
        <v>1766.31183089056</v>
      </c>
      <c r="AS14" s="133" t="n">
        <f aca="false">AR14+AS7</f>
        <v>1766.31183089056</v>
      </c>
      <c r="AT14" s="133" t="n">
        <f aca="false">AS14+AT7</f>
        <v>1766.31183089056</v>
      </c>
    </row>
    <row r="15" customFormat="false" ht="15" hidden="false" customHeight="true" outlineLevel="0" collapsed="false"/>
    <row r="16" customFormat="false" ht="15" hidden="false" customHeight="false" outlineLevel="0" collapsed="false">
      <c r="B16" s="136" t="s">
        <v>293</v>
      </c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</row>
    <row r="17" customFormat="false" ht="15" hidden="false" customHeight="false" outlineLevel="0" collapsed="false">
      <c r="B17" s="131" t="s">
        <v>289</v>
      </c>
      <c r="C17" s="131" t="s">
        <v>136</v>
      </c>
      <c r="D17" s="131" t="s">
        <v>46</v>
      </c>
      <c r="E17" s="131" t="s">
        <v>47</v>
      </c>
      <c r="F17" s="131" t="s">
        <v>48</v>
      </c>
      <c r="G17" s="131" t="s">
        <v>49</v>
      </c>
      <c r="H17" s="131" t="s">
        <v>50</v>
      </c>
      <c r="I17" s="131" t="s">
        <v>51</v>
      </c>
      <c r="J17" s="131" t="s">
        <v>52</v>
      </c>
      <c r="K17" s="131" t="s">
        <v>53</v>
      </c>
      <c r="L17" s="131" t="s">
        <v>54</v>
      </c>
      <c r="M17" s="131" t="s">
        <v>55</v>
      </c>
      <c r="N17" s="131" t="s">
        <v>56</v>
      </c>
      <c r="O17" s="131" t="s">
        <v>57</v>
      </c>
      <c r="P17" s="131" t="s">
        <v>58</v>
      </c>
      <c r="Q17" s="131" t="s">
        <v>59</v>
      </c>
      <c r="R17" s="131" t="s">
        <v>60</v>
      </c>
      <c r="S17" s="131" t="s">
        <v>61</v>
      </c>
      <c r="T17" s="131" t="s">
        <v>62</v>
      </c>
      <c r="U17" s="131" t="s">
        <v>63</v>
      </c>
      <c r="V17" s="131" t="s">
        <v>64</v>
      </c>
      <c r="W17" s="131" t="s">
        <v>65</v>
      </c>
      <c r="X17" s="131" t="s">
        <v>66</v>
      </c>
      <c r="Y17" s="131" t="s">
        <v>67</v>
      </c>
      <c r="Z17" s="131" t="s">
        <v>68</v>
      </c>
      <c r="AA17" s="131" t="s">
        <v>69</v>
      </c>
      <c r="AB17" s="131" t="s">
        <v>70</v>
      </c>
      <c r="AC17" s="131" t="s">
        <v>71</v>
      </c>
      <c r="AD17" s="131" t="s">
        <v>72</v>
      </c>
      <c r="AE17" s="131" t="s">
        <v>73</v>
      </c>
      <c r="AF17" s="131" t="s">
        <v>74</v>
      </c>
      <c r="AG17" s="131" t="s">
        <v>75</v>
      </c>
      <c r="AH17" s="131" t="s">
        <v>76</v>
      </c>
      <c r="AI17" s="131" t="s">
        <v>77</v>
      </c>
      <c r="AJ17" s="131" t="s">
        <v>78</v>
      </c>
      <c r="AK17" s="131" t="s">
        <v>79</v>
      </c>
      <c r="AL17" s="131" t="s">
        <v>80</v>
      </c>
      <c r="AM17" s="131" t="s">
        <v>81</v>
      </c>
      <c r="AN17" s="131" t="s">
        <v>82</v>
      </c>
      <c r="AO17" s="131" t="s">
        <v>83</v>
      </c>
      <c r="AP17" s="131" t="s">
        <v>84</v>
      </c>
      <c r="AQ17" s="131" t="s">
        <v>85</v>
      </c>
      <c r="AR17" s="131" t="s">
        <v>86</v>
      </c>
      <c r="AS17" s="131" t="s">
        <v>290</v>
      </c>
      <c r="AT17" s="131" t="s">
        <v>291</v>
      </c>
    </row>
    <row r="18" customFormat="false" ht="15" hidden="false" customHeight="false" outlineLevel="0" collapsed="false">
      <c r="B18" s="132" t="s">
        <v>217</v>
      </c>
      <c r="C18" s="132" t="n">
        <f aca="false">SUM(D18:ZZ18)</f>
        <v>3342.1696875</v>
      </c>
      <c r="D18" s="133" t="n">
        <f aca="false">D4*100/80</f>
        <v>0</v>
      </c>
      <c r="E18" s="133" t="n">
        <f aca="false">E4*100/80</f>
        <v>0</v>
      </c>
      <c r="F18" s="133" t="n">
        <f aca="false">F4*100/80</f>
        <v>0</v>
      </c>
      <c r="G18" s="133" t="n">
        <f aca="false">G4*100/80</f>
        <v>0</v>
      </c>
      <c r="H18" s="133" t="n">
        <f aca="false">H4*100/80</f>
        <v>22.6445625</v>
      </c>
      <c r="I18" s="133" t="n">
        <f aca="false">I4*100/80</f>
        <v>45.289125</v>
      </c>
      <c r="J18" s="133" t="n">
        <f aca="false">J4*100/80</f>
        <v>72.82603125</v>
      </c>
      <c r="K18" s="133" t="n">
        <f aca="false">K4*100/80</f>
        <v>86.2729875</v>
      </c>
      <c r="L18" s="133" t="n">
        <f aca="false">L4*100/80</f>
        <v>83.85943125</v>
      </c>
      <c r="M18" s="133" t="n">
        <f aca="false">M4*100/80</f>
        <v>91.216584375</v>
      </c>
      <c r="N18" s="133" t="n">
        <f aca="false">N4*100/80</f>
        <v>111.08881875</v>
      </c>
      <c r="O18" s="133" t="n">
        <f aca="false">O4*100/80</f>
        <v>132.0094125</v>
      </c>
      <c r="P18" s="133" t="n">
        <f aca="false">P4*100/80</f>
        <v>144.0655453125</v>
      </c>
      <c r="Q18" s="133" t="n">
        <f aca="false">Q4*100/80</f>
        <v>156.121678125</v>
      </c>
      <c r="R18" s="133" t="n">
        <f aca="false">R4*100/80</f>
        <v>853.863084375</v>
      </c>
      <c r="S18" s="133" t="n">
        <f aca="false">S4*100/80</f>
        <v>214.550240625</v>
      </c>
      <c r="T18" s="133" t="n">
        <f aca="false">T4*100/80</f>
        <v>140.745740625</v>
      </c>
      <c r="U18" s="133" t="n">
        <f aca="false">U4*100/80</f>
        <v>111.671240625</v>
      </c>
      <c r="V18" s="133" t="n">
        <f aca="false">V4*100/80</f>
        <v>109.406784375</v>
      </c>
      <c r="W18" s="133" t="n">
        <f aca="false">W4*100/80</f>
        <v>107.142328125</v>
      </c>
      <c r="X18" s="133" t="n">
        <f aca="false">X4*100/80</f>
        <v>96.59932734375</v>
      </c>
      <c r="Y18" s="133" t="n">
        <f aca="false">Y4*100/80</f>
        <v>87.6917671875</v>
      </c>
      <c r="Z18" s="133" t="n">
        <f aca="false">Z4*100/80</f>
        <v>76.6723453125</v>
      </c>
      <c r="AA18" s="133" t="n">
        <f aca="false">AA4*100/80</f>
        <v>63.8078109375</v>
      </c>
      <c r="AB18" s="133" t="n">
        <f aca="false">AB4*100/80</f>
        <v>63.8078109375</v>
      </c>
      <c r="AC18" s="133" t="n">
        <f aca="false">AC4*100/80</f>
        <v>63.8078109375</v>
      </c>
      <c r="AD18" s="133" t="n">
        <f aca="false">AD4*100/80</f>
        <v>63.8078109375</v>
      </c>
      <c r="AE18" s="133" t="n">
        <f aca="false">AE4*100/80</f>
        <v>63.8078109375</v>
      </c>
      <c r="AF18" s="133" t="n">
        <f aca="false">AF4*100/80</f>
        <v>54.91422890625</v>
      </c>
      <c r="AG18" s="133" t="n">
        <f aca="false">AG4*100/80</f>
        <v>46.020646875</v>
      </c>
      <c r="AH18" s="133" t="n">
        <f aca="false">AH4*100/80</f>
        <v>41.19819375</v>
      </c>
      <c r="AI18" s="133" t="n">
        <f aca="false">AI4*100/80</f>
        <v>36.375740625</v>
      </c>
      <c r="AJ18" s="133" t="n">
        <f aca="false">AJ4*100/80</f>
        <v>28.603903125</v>
      </c>
      <c r="AK18" s="133" t="n">
        <f aca="false">AK4*100/80</f>
        <v>24.102946875</v>
      </c>
      <c r="AL18" s="133" t="n">
        <f aca="false">AL4*100/80</f>
        <v>21.0044625</v>
      </c>
      <c r="AM18" s="133" t="n">
        <f aca="false">AM4*100/80</f>
        <v>9.057825</v>
      </c>
      <c r="AN18" s="133" t="n">
        <f aca="false">AN4*100/80</f>
        <v>9.057825</v>
      </c>
      <c r="AO18" s="133" t="n">
        <f aca="false">AO4*100/80</f>
        <v>9.057825</v>
      </c>
      <c r="AP18" s="133" t="n">
        <f aca="false">AP4*100/80</f>
        <v>0</v>
      </c>
      <c r="AQ18" s="133" t="n">
        <f aca="false">AQ4*100/80</f>
        <v>0</v>
      </c>
      <c r="AR18" s="133" t="n">
        <f aca="false">AR4*100/80</f>
        <v>0</v>
      </c>
      <c r="AS18" s="133" t="n">
        <f aca="false">AS4*100/80</f>
        <v>0</v>
      </c>
      <c r="AT18" s="133" t="n">
        <f aca="false">AT4*100/80</f>
        <v>0</v>
      </c>
    </row>
    <row r="20" customFormat="false" ht="15" hidden="false" customHeight="false" outlineLevel="0" collapsed="false">
      <c r="B20" s="136" t="s">
        <v>34</v>
      </c>
      <c r="D20" s="138" t="n">
        <v>0.35</v>
      </c>
    </row>
    <row r="21" customFormat="false" ht="15" hidden="false" customHeight="false" outlineLevel="0" collapsed="false">
      <c r="B21" s="131" t="s">
        <v>289</v>
      </c>
      <c r="C21" s="131" t="s">
        <v>136</v>
      </c>
      <c r="D21" s="131" t="s">
        <v>46</v>
      </c>
      <c r="E21" s="131" t="s">
        <v>47</v>
      </c>
      <c r="F21" s="131" t="s">
        <v>48</v>
      </c>
      <c r="G21" s="131" t="s">
        <v>49</v>
      </c>
      <c r="H21" s="131" t="s">
        <v>50</v>
      </c>
      <c r="I21" s="131" t="s">
        <v>51</v>
      </c>
      <c r="J21" s="131" t="s">
        <v>52</v>
      </c>
      <c r="K21" s="131" t="s">
        <v>53</v>
      </c>
      <c r="L21" s="131" t="s">
        <v>54</v>
      </c>
      <c r="M21" s="131" t="s">
        <v>55</v>
      </c>
      <c r="N21" s="131" t="s">
        <v>56</v>
      </c>
      <c r="O21" s="131" t="s">
        <v>57</v>
      </c>
      <c r="P21" s="131" t="s">
        <v>58</v>
      </c>
      <c r="Q21" s="131" t="s">
        <v>59</v>
      </c>
      <c r="R21" s="131" t="s">
        <v>60</v>
      </c>
      <c r="S21" s="131" t="s">
        <v>61</v>
      </c>
      <c r="T21" s="131" t="s">
        <v>62</v>
      </c>
      <c r="U21" s="131" t="s">
        <v>63</v>
      </c>
      <c r="V21" s="131" t="s">
        <v>64</v>
      </c>
      <c r="W21" s="131" t="s">
        <v>65</v>
      </c>
      <c r="X21" s="131" t="s">
        <v>66</v>
      </c>
      <c r="Y21" s="131" t="s">
        <v>67</v>
      </c>
      <c r="Z21" s="131" t="s">
        <v>68</v>
      </c>
      <c r="AA21" s="131" t="s">
        <v>69</v>
      </c>
      <c r="AB21" s="131" t="s">
        <v>70</v>
      </c>
      <c r="AC21" s="131" t="s">
        <v>71</v>
      </c>
      <c r="AD21" s="131" t="s">
        <v>72</v>
      </c>
      <c r="AE21" s="131" t="s">
        <v>73</v>
      </c>
      <c r="AF21" s="131" t="s">
        <v>74</v>
      </c>
      <c r="AG21" s="131" t="s">
        <v>75</v>
      </c>
      <c r="AH21" s="131" t="s">
        <v>76</v>
      </c>
      <c r="AI21" s="131" t="s">
        <v>77</v>
      </c>
      <c r="AJ21" s="131" t="s">
        <v>78</v>
      </c>
      <c r="AK21" s="131" t="s">
        <v>79</v>
      </c>
      <c r="AL21" s="131" t="s">
        <v>80</v>
      </c>
      <c r="AM21" s="131" t="s">
        <v>81</v>
      </c>
      <c r="AN21" s="131" t="s">
        <v>82</v>
      </c>
      <c r="AO21" s="131" t="s">
        <v>83</v>
      </c>
      <c r="AP21" s="131" t="s">
        <v>84</v>
      </c>
      <c r="AQ21" s="131" t="s">
        <v>85</v>
      </c>
      <c r="AR21" s="131" t="s">
        <v>86</v>
      </c>
      <c r="AS21" s="131" t="s">
        <v>290</v>
      </c>
      <c r="AT21" s="131" t="s">
        <v>291</v>
      </c>
    </row>
    <row r="22" customFormat="false" ht="15" hidden="false" customHeight="false" outlineLevel="0" collapsed="false">
      <c r="B22" s="132" t="s">
        <v>217</v>
      </c>
      <c r="C22" s="132" t="n">
        <f aca="false">SUM(D22:ZZ22)</f>
        <v>1169.759390625</v>
      </c>
      <c r="D22" s="133" t="n">
        <f aca="false">D18*$D$20</f>
        <v>0</v>
      </c>
      <c r="E22" s="133" t="n">
        <f aca="false">E18*$D$20</f>
        <v>0</v>
      </c>
      <c r="F22" s="133" t="n">
        <f aca="false">F18*$D$20</f>
        <v>0</v>
      </c>
      <c r="G22" s="133" t="n">
        <f aca="false">G18*$D$20</f>
        <v>0</v>
      </c>
      <c r="H22" s="133" t="n">
        <f aca="false">H18*$D$20</f>
        <v>7.925596875</v>
      </c>
      <c r="I22" s="133" t="n">
        <f aca="false">I18*$D$20</f>
        <v>15.85119375</v>
      </c>
      <c r="J22" s="133" t="n">
        <f aca="false">J18*$D$20</f>
        <v>25.4891109375</v>
      </c>
      <c r="K22" s="133" t="n">
        <f aca="false">K18*$D$20</f>
        <v>30.195545625</v>
      </c>
      <c r="L22" s="133" t="n">
        <f aca="false">L18*$D$20</f>
        <v>29.3508009375</v>
      </c>
      <c r="M22" s="133" t="n">
        <f aca="false">M18*$D$20</f>
        <v>31.92580453125</v>
      </c>
      <c r="N22" s="133" t="n">
        <f aca="false">N18*$D$20</f>
        <v>38.8810865625</v>
      </c>
      <c r="O22" s="133" t="n">
        <f aca="false">O18*$D$20</f>
        <v>46.203294375</v>
      </c>
      <c r="P22" s="133" t="n">
        <f aca="false">P18*$D$20</f>
        <v>50.422940859375</v>
      </c>
      <c r="Q22" s="133" t="n">
        <f aca="false">Q18*$D$20</f>
        <v>54.64258734375</v>
      </c>
      <c r="R22" s="133" t="n">
        <f aca="false">R18*$D$20</f>
        <v>298.85207953125</v>
      </c>
      <c r="S22" s="133" t="n">
        <f aca="false">S18*$D$20</f>
        <v>75.09258421875</v>
      </c>
      <c r="T22" s="133" t="n">
        <f aca="false">T18*$D$20</f>
        <v>49.26100921875</v>
      </c>
      <c r="U22" s="133" t="n">
        <f aca="false">U18*$D$20</f>
        <v>39.08493421875</v>
      </c>
      <c r="V22" s="133" t="n">
        <f aca="false">V18*$D$20</f>
        <v>38.29237453125</v>
      </c>
      <c r="W22" s="133" t="n">
        <f aca="false">W18*$D$20</f>
        <v>37.49981484375</v>
      </c>
      <c r="X22" s="133" t="n">
        <f aca="false">X18*$D$20</f>
        <v>33.8097645703125</v>
      </c>
      <c r="Y22" s="133" t="n">
        <f aca="false">Y18*$D$20</f>
        <v>30.692118515625</v>
      </c>
      <c r="Z22" s="133" t="n">
        <f aca="false">Z18*$D$20</f>
        <v>26.835320859375</v>
      </c>
      <c r="AA22" s="133" t="n">
        <f aca="false">AA18*$D$20</f>
        <v>22.332733828125</v>
      </c>
      <c r="AB22" s="133" t="n">
        <f aca="false">AB18*$D$20</f>
        <v>22.332733828125</v>
      </c>
      <c r="AC22" s="133" t="n">
        <f aca="false">AC18*$D$20</f>
        <v>22.332733828125</v>
      </c>
      <c r="AD22" s="133" t="n">
        <f aca="false">AD18*$D$20</f>
        <v>22.332733828125</v>
      </c>
      <c r="AE22" s="133" t="n">
        <f aca="false">AE18*$D$20</f>
        <v>22.332733828125</v>
      </c>
      <c r="AF22" s="133" t="n">
        <f aca="false">AF18*$D$20</f>
        <v>19.2199801171875</v>
      </c>
      <c r="AG22" s="133" t="n">
        <f aca="false">AG18*$D$20</f>
        <v>16.10722640625</v>
      </c>
      <c r="AH22" s="133" t="n">
        <f aca="false">AH18*$D$20</f>
        <v>14.4193678125</v>
      </c>
      <c r="AI22" s="133" t="n">
        <f aca="false">AI18*$D$20</f>
        <v>12.73150921875</v>
      </c>
      <c r="AJ22" s="133" t="n">
        <f aca="false">AJ18*$D$20</f>
        <v>10.01136609375</v>
      </c>
      <c r="AK22" s="133" t="n">
        <f aca="false">AK18*$D$20</f>
        <v>8.43603140625</v>
      </c>
      <c r="AL22" s="133" t="n">
        <f aca="false">AL18*$D$20</f>
        <v>7.351561875</v>
      </c>
      <c r="AM22" s="133" t="n">
        <f aca="false">AM18*$D$20</f>
        <v>3.17023875</v>
      </c>
      <c r="AN22" s="133" t="n">
        <f aca="false">AN18*$D$20</f>
        <v>3.17023875</v>
      </c>
      <c r="AO22" s="133" t="n">
        <f aca="false">AO18*$D$20</f>
        <v>3.17023875</v>
      </c>
      <c r="AP22" s="133" t="n">
        <f aca="false">AP18*$D$20</f>
        <v>0</v>
      </c>
      <c r="AQ22" s="133" t="n">
        <f aca="false">AQ18*$D$20</f>
        <v>0</v>
      </c>
      <c r="AR22" s="133" t="n">
        <f aca="false">AR18*$D$20</f>
        <v>0</v>
      </c>
      <c r="AS22" s="133" t="n">
        <f aca="false">AS18*$D$20</f>
        <v>0</v>
      </c>
      <c r="AT22" s="133" t="n">
        <f aca="false">AT18*$D$20</f>
        <v>0</v>
      </c>
    </row>
    <row r="24" customFormat="false" ht="15" hidden="false" customHeight="false" outlineLevel="0" collapsed="false">
      <c r="B24" s="139" t="s">
        <v>294</v>
      </c>
      <c r="C24" s="140"/>
      <c r="D24" s="138"/>
    </row>
    <row r="25" customFormat="false" ht="15" hidden="false" customHeight="false" outlineLevel="0" collapsed="false">
      <c r="B25" s="131" t="s">
        <v>289</v>
      </c>
      <c r="C25" s="131" t="s">
        <v>136</v>
      </c>
      <c r="D25" s="131" t="s">
        <v>46</v>
      </c>
      <c r="E25" s="131" t="s">
        <v>47</v>
      </c>
      <c r="F25" s="131" t="s">
        <v>48</v>
      </c>
      <c r="G25" s="131" t="s">
        <v>49</v>
      </c>
      <c r="H25" s="131" t="s">
        <v>50</v>
      </c>
      <c r="I25" s="131" t="s">
        <v>51</v>
      </c>
      <c r="J25" s="131" t="s">
        <v>52</v>
      </c>
      <c r="K25" s="131" t="s">
        <v>53</v>
      </c>
      <c r="L25" s="131" t="s">
        <v>54</v>
      </c>
      <c r="M25" s="131" t="s">
        <v>55</v>
      </c>
      <c r="N25" s="131" t="s">
        <v>56</v>
      </c>
      <c r="O25" s="131" t="s">
        <v>57</v>
      </c>
      <c r="P25" s="131" t="s">
        <v>58</v>
      </c>
      <c r="Q25" s="131" t="s">
        <v>59</v>
      </c>
      <c r="R25" s="131" t="s">
        <v>60</v>
      </c>
      <c r="S25" s="131" t="s">
        <v>61</v>
      </c>
      <c r="T25" s="131" t="s">
        <v>62</v>
      </c>
      <c r="U25" s="131" t="s">
        <v>63</v>
      </c>
      <c r="V25" s="131" t="s">
        <v>64</v>
      </c>
      <c r="W25" s="131" t="s">
        <v>65</v>
      </c>
      <c r="X25" s="131" t="s">
        <v>66</v>
      </c>
      <c r="Y25" s="131" t="s">
        <v>67</v>
      </c>
      <c r="Z25" s="131" t="s">
        <v>68</v>
      </c>
      <c r="AA25" s="131" t="s">
        <v>69</v>
      </c>
      <c r="AB25" s="131" t="s">
        <v>70</v>
      </c>
      <c r="AC25" s="131" t="s">
        <v>71</v>
      </c>
      <c r="AD25" s="131" t="s">
        <v>72</v>
      </c>
      <c r="AE25" s="131" t="s">
        <v>73</v>
      </c>
      <c r="AF25" s="131" t="s">
        <v>74</v>
      </c>
      <c r="AG25" s="131" t="s">
        <v>75</v>
      </c>
      <c r="AH25" s="131" t="s">
        <v>76</v>
      </c>
      <c r="AI25" s="131" t="s">
        <v>77</v>
      </c>
      <c r="AJ25" s="131" t="s">
        <v>78</v>
      </c>
      <c r="AK25" s="131" t="s">
        <v>79</v>
      </c>
      <c r="AL25" s="131" t="s">
        <v>80</v>
      </c>
      <c r="AM25" s="131" t="s">
        <v>81</v>
      </c>
      <c r="AN25" s="131" t="s">
        <v>82</v>
      </c>
      <c r="AO25" s="131" t="s">
        <v>83</v>
      </c>
      <c r="AP25" s="131" t="s">
        <v>84</v>
      </c>
      <c r="AQ25" s="131" t="s">
        <v>85</v>
      </c>
      <c r="AR25" s="131" t="s">
        <v>86</v>
      </c>
      <c r="AS25" s="131" t="s">
        <v>290</v>
      </c>
      <c r="AT25" s="131" t="s">
        <v>291</v>
      </c>
    </row>
    <row r="26" customFormat="false" ht="15" hidden="false" customHeight="false" outlineLevel="0" collapsed="false">
      <c r="B26" s="132" t="s">
        <v>217</v>
      </c>
      <c r="C26" s="132" t="n">
        <f aca="false">MAX(D26:ZZ26)</f>
        <v>1169.759390625</v>
      </c>
      <c r="D26" s="133" t="n">
        <f aca="false">D22</f>
        <v>0</v>
      </c>
      <c r="E26" s="133" t="n">
        <f aca="false">D26+E22</f>
        <v>0</v>
      </c>
      <c r="F26" s="133" t="n">
        <f aca="false">E26+F22</f>
        <v>0</v>
      </c>
      <c r="G26" s="133" t="n">
        <f aca="false">F26+G22</f>
        <v>0</v>
      </c>
      <c r="H26" s="133" t="n">
        <f aca="false">G26+H22</f>
        <v>7.925596875</v>
      </c>
      <c r="I26" s="133" t="n">
        <f aca="false">H26+I22</f>
        <v>23.776790625</v>
      </c>
      <c r="J26" s="133" t="n">
        <f aca="false">I26+J22</f>
        <v>49.2659015625</v>
      </c>
      <c r="K26" s="133" t="n">
        <f aca="false">J26+K22</f>
        <v>79.4614471875</v>
      </c>
      <c r="L26" s="133" t="n">
        <f aca="false">K26+L22</f>
        <v>108.812248125</v>
      </c>
      <c r="M26" s="133" t="n">
        <f aca="false">L26+M22</f>
        <v>140.73805265625</v>
      </c>
      <c r="N26" s="133" t="n">
        <f aca="false">M26+N22</f>
        <v>179.61913921875</v>
      </c>
      <c r="O26" s="133" t="n">
        <f aca="false">N26+O22</f>
        <v>225.82243359375</v>
      </c>
      <c r="P26" s="133" t="n">
        <f aca="false">O26+P22</f>
        <v>276.245374453125</v>
      </c>
      <c r="Q26" s="133" t="n">
        <f aca="false">P26+Q22</f>
        <v>330.887961796875</v>
      </c>
      <c r="R26" s="133" t="n">
        <f aca="false">Q26+R22</f>
        <v>629.740041328125</v>
      </c>
      <c r="S26" s="133" t="n">
        <f aca="false">R26+S22</f>
        <v>704.832625546875</v>
      </c>
      <c r="T26" s="133" t="n">
        <f aca="false">S26+T22</f>
        <v>754.093634765625</v>
      </c>
      <c r="U26" s="133" t="n">
        <f aca="false">T26+U22</f>
        <v>793.178568984375</v>
      </c>
      <c r="V26" s="133" t="n">
        <f aca="false">U26+V22</f>
        <v>831.470943515625</v>
      </c>
      <c r="W26" s="133" t="n">
        <f aca="false">V26+W22</f>
        <v>868.970758359375</v>
      </c>
      <c r="X26" s="133" t="n">
        <f aca="false">W26+X22</f>
        <v>902.780522929687</v>
      </c>
      <c r="Y26" s="133" t="n">
        <f aca="false">X26+Y22</f>
        <v>933.472641445312</v>
      </c>
      <c r="Z26" s="133" t="n">
        <f aca="false">Y26+Z22</f>
        <v>960.307962304687</v>
      </c>
      <c r="AA26" s="133" t="n">
        <f aca="false">Z26+AA22</f>
        <v>982.640696132812</v>
      </c>
      <c r="AB26" s="133" t="n">
        <f aca="false">AA26+AB22</f>
        <v>1004.97342996094</v>
      </c>
      <c r="AC26" s="133" t="n">
        <f aca="false">AB26+AC22</f>
        <v>1027.30616378906</v>
      </c>
      <c r="AD26" s="133" t="n">
        <f aca="false">AC26+AD22</f>
        <v>1049.63889761719</v>
      </c>
      <c r="AE26" s="133" t="n">
        <f aca="false">AD26+AE22</f>
        <v>1071.97163144531</v>
      </c>
      <c r="AF26" s="133" t="n">
        <f aca="false">AE26+AF22</f>
        <v>1091.1916115625</v>
      </c>
      <c r="AG26" s="133" t="n">
        <f aca="false">AF26+AG22</f>
        <v>1107.29883796875</v>
      </c>
      <c r="AH26" s="133" t="n">
        <f aca="false">AG26+AH22</f>
        <v>1121.71820578125</v>
      </c>
      <c r="AI26" s="133" t="n">
        <f aca="false">AH26+AI22</f>
        <v>1134.449715</v>
      </c>
      <c r="AJ26" s="133" t="n">
        <f aca="false">AI26+AJ22</f>
        <v>1144.46108109375</v>
      </c>
      <c r="AK26" s="133" t="n">
        <f aca="false">AJ26+AK22</f>
        <v>1152.8971125</v>
      </c>
      <c r="AL26" s="133" t="n">
        <f aca="false">AK26+AL22</f>
        <v>1160.248674375</v>
      </c>
      <c r="AM26" s="133" t="n">
        <f aca="false">AL26+AM22</f>
        <v>1163.418913125</v>
      </c>
      <c r="AN26" s="133" t="n">
        <f aca="false">AM26+AN22</f>
        <v>1166.589151875</v>
      </c>
      <c r="AO26" s="133" t="n">
        <f aca="false">AN26+AO22</f>
        <v>1169.759390625</v>
      </c>
      <c r="AP26" s="133" t="n">
        <f aca="false">AO26+AP22</f>
        <v>1169.759390625</v>
      </c>
      <c r="AQ26" s="133" t="n">
        <f aca="false">AP26+AQ22</f>
        <v>1169.759390625</v>
      </c>
      <c r="AR26" s="133" t="n">
        <f aca="false">AQ26+AR22</f>
        <v>1169.759390625</v>
      </c>
      <c r="AS26" s="133" t="n">
        <f aca="false">AR26+AS22</f>
        <v>1169.759390625</v>
      </c>
      <c r="AT26" s="133" t="n">
        <f aca="false">AS26+AT22</f>
        <v>1169.759390625</v>
      </c>
    </row>
    <row r="28" customFormat="false" ht="4.5" hidden="false" customHeight="true" outlineLevel="0" collapsed="false"/>
    <row r="29" customFormat="false" ht="6" hidden="false" customHeight="true" outlineLevel="0" collapsed="false"/>
    <row r="30" customFormat="false" ht="4.5" hidden="false" customHeight="true" outlineLevel="0" collapsed="false"/>
    <row r="37" customFormat="false" ht="4.5" hidden="false" customHeight="true" outlineLevel="0" collapsed="false"/>
    <row r="38" customFormat="false" ht="6" hidden="false" customHeight="true" outlineLevel="0" collapsed="false"/>
    <row r="39" customFormat="false" ht="4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777343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52.22"/>
    <col collapsed="false" customWidth="true" hidden="false" outlineLevel="0" max="3" min="3" style="0" width="9.21"/>
    <col collapsed="false" customWidth="true" hidden="false" outlineLevel="0" max="46" min="4" style="0" width="7.22"/>
  </cols>
  <sheetData>
    <row r="1" customFormat="false" ht="15" hidden="false" customHeight="true" outlineLevel="0" collapsed="false">
      <c r="B1" s="24" t="s">
        <v>295</v>
      </c>
    </row>
    <row r="2" customFormat="false" ht="15" hidden="false" customHeight="true" outlineLevel="0" collapsed="false">
      <c r="B2" s="24" t="s">
        <v>35</v>
      </c>
    </row>
    <row r="3" customFormat="false" ht="15" hidden="false" customHeight="false" outlineLevel="0" collapsed="false">
      <c r="B3" s="131" t="s">
        <v>289</v>
      </c>
      <c r="C3" s="131" t="s">
        <v>136</v>
      </c>
      <c r="D3" s="131" t="s">
        <v>46</v>
      </c>
      <c r="E3" s="131" t="s">
        <v>47</v>
      </c>
      <c r="F3" s="131" t="s">
        <v>48</v>
      </c>
      <c r="G3" s="131" t="s">
        <v>49</v>
      </c>
      <c r="H3" s="131" t="s">
        <v>50</v>
      </c>
      <c r="I3" s="131" t="s">
        <v>51</v>
      </c>
      <c r="J3" s="131" t="s">
        <v>52</v>
      </c>
      <c r="K3" s="131" t="s">
        <v>53</v>
      </c>
      <c r="L3" s="131" t="s">
        <v>54</v>
      </c>
      <c r="M3" s="131" t="s">
        <v>55</v>
      </c>
      <c r="N3" s="131" t="s">
        <v>56</v>
      </c>
      <c r="O3" s="131" t="s">
        <v>57</v>
      </c>
      <c r="P3" s="131" t="s">
        <v>58</v>
      </c>
      <c r="Q3" s="131" t="s">
        <v>59</v>
      </c>
      <c r="R3" s="131" t="s">
        <v>60</v>
      </c>
      <c r="S3" s="131" t="s">
        <v>61</v>
      </c>
      <c r="T3" s="131" t="s">
        <v>62</v>
      </c>
      <c r="U3" s="131" t="s">
        <v>63</v>
      </c>
      <c r="V3" s="131" t="s">
        <v>64</v>
      </c>
      <c r="W3" s="131" t="s">
        <v>65</v>
      </c>
      <c r="X3" s="131" t="s">
        <v>66</v>
      </c>
      <c r="Y3" s="131" t="s">
        <v>67</v>
      </c>
      <c r="Z3" s="131" t="s">
        <v>68</v>
      </c>
      <c r="AA3" s="131" t="s">
        <v>69</v>
      </c>
      <c r="AB3" s="131" t="s">
        <v>70</v>
      </c>
      <c r="AC3" s="131" t="s">
        <v>71</v>
      </c>
      <c r="AD3" s="131" t="s">
        <v>72</v>
      </c>
      <c r="AE3" s="131" t="s">
        <v>73</v>
      </c>
      <c r="AF3" s="131" t="s">
        <v>74</v>
      </c>
      <c r="AG3" s="131" t="s">
        <v>75</v>
      </c>
      <c r="AH3" s="131" t="s">
        <v>76</v>
      </c>
      <c r="AI3" s="131" t="s">
        <v>77</v>
      </c>
      <c r="AJ3" s="131" t="s">
        <v>78</v>
      </c>
      <c r="AK3" s="131" t="s">
        <v>79</v>
      </c>
      <c r="AL3" s="131" t="s">
        <v>80</v>
      </c>
      <c r="AM3" s="131" t="s">
        <v>81</v>
      </c>
      <c r="AN3" s="131" t="s">
        <v>82</v>
      </c>
      <c r="AO3" s="131" t="s">
        <v>83</v>
      </c>
      <c r="AP3" s="131" t="s">
        <v>84</v>
      </c>
      <c r="AQ3" s="131" t="s">
        <v>85</v>
      </c>
      <c r="AR3" s="131" t="s">
        <v>86</v>
      </c>
      <c r="AS3" s="131" t="s">
        <v>290</v>
      </c>
      <c r="AT3" s="131" t="s">
        <v>291</v>
      </c>
    </row>
    <row r="4" customFormat="false" ht="15" hidden="false" customHeight="false" outlineLevel="0" collapsed="false">
      <c r="B4" s="132" t="s">
        <v>217</v>
      </c>
      <c r="C4" s="132" t="n">
        <f aca="false">SUM(D4:ZZ4)</f>
        <v>2673.73575</v>
      </c>
      <c r="D4" s="133" t="n">
        <f aca="false">'Cash In Flow Summary'!D4</f>
        <v>0</v>
      </c>
      <c r="E4" s="133" t="n">
        <f aca="false">'Cash In Flow Summary'!E4</f>
        <v>0</v>
      </c>
      <c r="F4" s="133" t="n">
        <f aca="false">'Cash In Flow Summary'!F4</f>
        <v>0</v>
      </c>
      <c r="G4" s="133" t="n">
        <f aca="false">'Cash In Flow Summary'!G4</f>
        <v>0</v>
      </c>
      <c r="H4" s="133" t="n">
        <f aca="false">'Cash In Flow Summary'!H4</f>
        <v>18.11565</v>
      </c>
      <c r="I4" s="133" t="n">
        <f aca="false">'Cash In Flow Summary'!I4</f>
        <v>36.2313</v>
      </c>
      <c r="J4" s="133" t="n">
        <f aca="false">'Cash In Flow Summary'!J4</f>
        <v>58.260825</v>
      </c>
      <c r="K4" s="133" t="n">
        <f aca="false">'Cash In Flow Summary'!K4</f>
        <v>69.01839</v>
      </c>
      <c r="L4" s="133" t="n">
        <f aca="false">'Cash In Flow Summary'!L4</f>
        <v>67.087545</v>
      </c>
      <c r="M4" s="133" t="n">
        <f aca="false">'Cash In Flow Summary'!M4</f>
        <v>72.9732675</v>
      </c>
      <c r="N4" s="133" t="n">
        <f aca="false">'Cash In Flow Summary'!N4</f>
        <v>88.871055</v>
      </c>
      <c r="O4" s="133" t="n">
        <f aca="false">'Cash In Flow Summary'!O4</f>
        <v>105.60753</v>
      </c>
      <c r="P4" s="133" t="n">
        <f aca="false">'Cash In Flow Summary'!P4</f>
        <v>115.25243625</v>
      </c>
      <c r="Q4" s="133" t="n">
        <f aca="false">'Cash In Flow Summary'!Q4</f>
        <v>124.8973425</v>
      </c>
      <c r="R4" s="133" t="n">
        <f aca="false">'Cash In Flow Summary'!R4</f>
        <v>683.0904675</v>
      </c>
      <c r="S4" s="133" t="n">
        <f aca="false">'Cash In Flow Summary'!S4</f>
        <v>171.6401925</v>
      </c>
      <c r="T4" s="133" t="n">
        <f aca="false">'Cash In Flow Summary'!T4</f>
        <v>112.5965925</v>
      </c>
      <c r="U4" s="133" t="n">
        <f aca="false">'Cash In Flow Summary'!U4</f>
        <v>89.3369925</v>
      </c>
      <c r="V4" s="133" t="n">
        <f aca="false">'Cash In Flow Summary'!V4</f>
        <v>87.5254275</v>
      </c>
      <c r="W4" s="133" t="n">
        <f aca="false">'Cash In Flow Summary'!W4</f>
        <v>85.7138625</v>
      </c>
      <c r="X4" s="133" t="n">
        <f aca="false">'Cash In Flow Summary'!X4</f>
        <v>77.279461875</v>
      </c>
      <c r="Y4" s="133" t="n">
        <f aca="false">'Cash In Flow Summary'!Y4</f>
        <v>70.15341375</v>
      </c>
      <c r="Z4" s="133" t="n">
        <f aca="false">'Cash In Flow Summary'!Z4</f>
        <v>61.33787625</v>
      </c>
      <c r="AA4" s="133" t="n">
        <f aca="false">'Cash In Flow Summary'!AA4</f>
        <v>51.04624875</v>
      </c>
      <c r="AB4" s="133" t="n">
        <f aca="false">'Cash In Flow Summary'!AB4</f>
        <v>51.04624875</v>
      </c>
      <c r="AC4" s="133" t="n">
        <f aca="false">'Cash In Flow Summary'!AC4</f>
        <v>51.04624875</v>
      </c>
      <c r="AD4" s="133" t="n">
        <f aca="false">'Cash In Flow Summary'!AD4</f>
        <v>51.04624875</v>
      </c>
      <c r="AE4" s="133" t="n">
        <f aca="false">'Cash In Flow Summary'!AE4</f>
        <v>51.04624875</v>
      </c>
      <c r="AF4" s="133" t="n">
        <f aca="false">'Cash In Flow Summary'!AF4</f>
        <v>43.931383125</v>
      </c>
      <c r="AG4" s="133" t="n">
        <f aca="false">'Cash In Flow Summary'!AG4</f>
        <v>36.8165175</v>
      </c>
      <c r="AH4" s="133" t="n">
        <f aca="false">'Cash In Flow Summary'!AH4</f>
        <v>32.958555</v>
      </c>
      <c r="AI4" s="133" t="n">
        <f aca="false">'Cash In Flow Summary'!AI4</f>
        <v>29.1005925</v>
      </c>
      <c r="AJ4" s="133" t="n">
        <f aca="false">'Cash In Flow Summary'!AJ4</f>
        <v>22.8831225</v>
      </c>
      <c r="AK4" s="133" t="n">
        <f aca="false">'Cash In Flow Summary'!AK4</f>
        <v>19.2823575</v>
      </c>
      <c r="AL4" s="133" t="n">
        <f aca="false">'Cash In Flow Summary'!AL4</f>
        <v>16.80357</v>
      </c>
      <c r="AM4" s="133" t="n">
        <f aca="false">'Cash In Flow Summary'!AM4</f>
        <v>7.24626</v>
      </c>
      <c r="AN4" s="133" t="n">
        <f aca="false">'Cash In Flow Summary'!AN4</f>
        <v>7.24626</v>
      </c>
      <c r="AO4" s="133" t="n">
        <f aca="false">'Cash In Flow Summary'!AO4</f>
        <v>7.24626</v>
      </c>
      <c r="AP4" s="133" t="n">
        <f aca="false">'Cash In Flow Summary'!AP4</f>
        <v>0</v>
      </c>
      <c r="AQ4" s="133" t="n">
        <f aca="false">'Cash In Flow Summary'!AQ4</f>
        <v>0</v>
      </c>
      <c r="AR4" s="133" t="n">
        <f aca="false">'Cash In Flow Summary'!AR4</f>
        <v>0</v>
      </c>
      <c r="AS4" s="133" t="n">
        <f aca="false">'Cash In Flow Summary'!AS4</f>
        <v>0</v>
      </c>
      <c r="AT4" s="133" t="n">
        <f aca="false">'Cash In Flow Summary'!AT4</f>
        <v>0</v>
      </c>
    </row>
    <row r="6" customFormat="false" ht="15" hidden="false" customHeight="false" outlineLevel="0" collapsed="false">
      <c r="B6" s="136" t="s">
        <v>36</v>
      </c>
      <c r="D6" s="138"/>
    </row>
    <row r="7" customFormat="false" ht="15" hidden="false" customHeight="false" outlineLevel="0" collapsed="false">
      <c r="B7" s="131" t="s">
        <v>289</v>
      </c>
      <c r="C7" s="131" t="s">
        <v>136</v>
      </c>
      <c r="D7" s="131" t="s">
        <v>46</v>
      </c>
      <c r="E7" s="131" t="s">
        <v>47</v>
      </c>
      <c r="F7" s="131" t="s">
        <v>48</v>
      </c>
      <c r="G7" s="131" t="s">
        <v>49</v>
      </c>
      <c r="H7" s="131" t="s">
        <v>50</v>
      </c>
      <c r="I7" s="131" t="s">
        <v>51</v>
      </c>
      <c r="J7" s="131" t="s">
        <v>52</v>
      </c>
      <c r="K7" s="131" t="s">
        <v>53</v>
      </c>
      <c r="L7" s="131" t="s">
        <v>54</v>
      </c>
      <c r="M7" s="131" t="s">
        <v>55</v>
      </c>
      <c r="N7" s="131" t="s">
        <v>56</v>
      </c>
      <c r="O7" s="131" t="s">
        <v>57</v>
      </c>
      <c r="P7" s="131" t="s">
        <v>58</v>
      </c>
      <c r="Q7" s="131" t="s">
        <v>59</v>
      </c>
      <c r="R7" s="131" t="s">
        <v>60</v>
      </c>
      <c r="S7" s="131" t="s">
        <v>61</v>
      </c>
      <c r="T7" s="131" t="s">
        <v>62</v>
      </c>
      <c r="U7" s="131" t="s">
        <v>63</v>
      </c>
      <c r="V7" s="131" t="s">
        <v>64</v>
      </c>
      <c r="W7" s="131" t="s">
        <v>65</v>
      </c>
      <c r="X7" s="131" t="s">
        <v>66</v>
      </c>
      <c r="Y7" s="131" t="s">
        <v>67</v>
      </c>
      <c r="Z7" s="131" t="s">
        <v>68</v>
      </c>
      <c r="AA7" s="131" t="s">
        <v>69</v>
      </c>
      <c r="AB7" s="131" t="s">
        <v>70</v>
      </c>
      <c r="AC7" s="131" t="s">
        <v>71</v>
      </c>
      <c r="AD7" s="131" t="s">
        <v>72</v>
      </c>
      <c r="AE7" s="131" t="s">
        <v>73</v>
      </c>
      <c r="AF7" s="131" t="s">
        <v>74</v>
      </c>
      <c r="AG7" s="131" t="s">
        <v>75</v>
      </c>
      <c r="AH7" s="131" t="s">
        <v>76</v>
      </c>
      <c r="AI7" s="131" t="s">
        <v>77</v>
      </c>
      <c r="AJ7" s="131" t="s">
        <v>78</v>
      </c>
      <c r="AK7" s="131" t="s">
        <v>79</v>
      </c>
      <c r="AL7" s="131" t="s">
        <v>80</v>
      </c>
      <c r="AM7" s="131" t="s">
        <v>81</v>
      </c>
      <c r="AN7" s="131" t="s">
        <v>82</v>
      </c>
      <c r="AO7" s="131" t="s">
        <v>83</v>
      </c>
      <c r="AP7" s="131" t="s">
        <v>84</v>
      </c>
      <c r="AQ7" s="131" t="s">
        <v>85</v>
      </c>
      <c r="AR7" s="131" t="s">
        <v>86</v>
      </c>
      <c r="AS7" s="131" t="s">
        <v>290</v>
      </c>
      <c r="AT7" s="131" t="s">
        <v>291</v>
      </c>
    </row>
    <row r="8" customFormat="false" ht="15" hidden="false" customHeight="false" outlineLevel="0" collapsed="false">
      <c r="B8" s="132" t="s">
        <v>217</v>
      </c>
      <c r="C8" s="132" t="n">
        <f aca="false">SUM(D8:ZZ8)</f>
        <v>1169.759390625</v>
      </c>
      <c r="D8" s="133" t="n">
        <f aca="false">'Offers DP'!$C$10/4</f>
        <v>0</v>
      </c>
      <c r="E8" s="133" t="n">
        <f aca="false">'Offers DP'!$C$10/4</f>
        <v>0</v>
      </c>
      <c r="F8" s="133" t="n">
        <f aca="false">'Offers DP'!$C$10/4</f>
        <v>0</v>
      </c>
      <c r="G8" s="141" t="n">
        <f aca="false">'Offers DP'!$C$10/4++'Offers DP'!C9</f>
        <v>85</v>
      </c>
      <c r="H8" s="133" t="n">
        <f aca="false">'Offers DP'!$C$11/4</f>
        <v>22.5</v>
      </c>
      <c r="I8" s="133" t="n">
        <f aca="false">'Offers DP'!$C$11/4</f>
        <v>22.5</v>
      </c>
      <c r="J8" s="133" t="n">
        <f aca="false">'Offers DP'!$C$11/4</f>
        <v>22.5</v>
      </c>
      <c r="K8" s="133" t="n">
        <f aca="false">'Offers DP'!$C$11/4</f>
        <v>22.5</v>
      </c>
      <c r="L8" s="133" t="n">
        <f aca="false">'Offers DP'!$C$12/4</f>
        <v>45</v>
      </c>
      <c r="M8" s="133" t="n">
        <f aca="false">'Offers DP'!$C$12/4</f>
        <v>45</v>
      </c>
      <c r="N8" s="133" t="n">
        <f aca="false">'Offers DP'!$C$12/4</f>
        <v>45</v>
      </c>
      <c r="O8" s="133" t="n">
        <f aca="false">'Offers DP'!$C$12/4</f>
        <v>45</v>
      </c>
      <c r="P8" s="133" t="n">
        <f aca="false">'Offers DP'!$C$13/4</f>
        <v>56.25</v>
      </c>
      <c r="Q8" s="133" t="n">
        <f aca="false">'Offers DP'!$C$13/4</f>
        <v>56.25</v>
      </c>
      <c r="R8" s="133" t="n">
        <f aca="false">'Offers DP'!$C$13/4</f>
        <v>56.25</v>
      </c>
      <c r="S8" s="133" t="n">
        <f aca="false">'Offers DP'!$C$13/4</f>
        <v>56.25</v>
      </c>
      <c r="T8" s="133" t="n">
        <f aca="false">'Offers DP'!$C$14/4</f>
        <v>45</v>
      </c>
      <c r="U8" s="133" t="n">
        <f aca="false">'Offers DP'!$C$14/4</f>
        <v>45</v>
      </c>
      <c r="V8" s="133" t="n">
        <f aca="false">'Offers DP'!$C$14/4</f>
        <v>45</v>
      </c>
      <c r="W8" s="133" t="n">
        <f aca="false">'Offers DP'!$C$14/4</f>
        <v>45</v>
      </c>
      <c r="X8" s="133" t="n">
        <f aca="false">'Offers DP'!$C$15/4</f>
        <v>22.5</v>
      </c>
      <c r="Y8" s="133" t="n">
        <f aca="false">'Offers DP'!$C$15/4</f>
        <v>22.5</v>
      </c>
      <c r="Z8" s="133" t="n">
        <f aca="false">'Offers DP'!$C$15/4</f>
        <v>22.5</v>
      </c>
      <c r="AA8" s="133" t="n">
        <f aca="false">'Offers DP'!$C$15/4</f>
        <v>22.5</v>
      </c>
      <c r="AB8" s="133" t="n">
        <f aca="false">'Offers DP'!$C$16/4</f>
        <v>0</v>
      </c>
      <c r="AC8" s="133" t="n">
        <f aca="false">'Offers DP'!$C$16/4</f>
        <v>0</v>
      </c>
      <c r="AD8" s="133" t="n">
        <f aca="false">'Offers DP'!$C$16/4</f>
        <v>0</v>
      </c>
      <c r="AE8" s="133" t="n">
        <f aca="false">'Offers DP'!$C$16/4</f>
        <v>0</v>
      </c>
      <c r="AF8" s="133" t="n">
        <f aca="false">-SUM(D8:AE8)+SUM('Cash In Flow Summary'!D22:AE22)+'Cash In Flow Summary'!AF22</f>
        <v>241.1916115625</v>
      </c>
      <c r="AG8" s="133" t="n">
        <f aca="false">'Cash In Flow Summary'!AG22</f>
        <v>16.10722640625</v>
      </c>
      <c r="AH8" s="133" t="n">
        <f aca="false">'Cash In Flow Summary'!AH22</f>
        <v>14.4193678125</v>
      </c>
      <c r="AI8" s="133" t="n">
        <f aca="false">'Cash In Flow Summary'!AI22</f>
        <v>12.73150921875</v>
      </c>
      <c r="AJ8" s="133" t="n">
        <f aca="false">'Cash In Flow Summary'!AJ22</f>
        <v>10.01136609375</v>
      </c>
      <c r="AK8" s="133" t="n">
        <f aca="false">'Cash In Flow Summary'!AK22</f>
        <v>8.43603140625</v>
      </c>
      <c r="AL8" s="133" t="n">
        <f aca="false">'Cash In Flow Summary'!AL22</f>
        <v>7.351561875</v>
      </c>
      <c r="AM8" s="133" t="n">
        <f aca="false">'Cash In Flow Summary'!AM22</f>
        <v>3.17023875</v>
      </c>
      <c r="AN8" s="133" t="n">
        <f aca="false">'Cash In Flow Summary'!AN22</f>
        <v>3.17023875</v>
      </c>
      <c r="AO8" s="133" t="n">
        <f aca="false">'Cash In Flow Summary'!AO22</f>
        <v>3.17023875</v>
      </c>
      <c r="AP8" s="133" t="n">
        <f aca="false">'Cash In Flow Summary'!AP22</f>
        <v>0</v>
      </c>
      <c r="AQ8" s="133" t="n">
        <f aca="false">'Cash In Flow Summary'!AQ22</f>
        <v>0</v>
      </c>
      <c r="AR8" s="133" t="n">
        <f aca="false">'Cash In Flow Summary'!AR22</f>
        <v>0</v>
      </c>
      <c r="AS8" s="133" t="n">
        <f aca="false">'Cash In Flow Summary'!AS22</f>
        <v>0</v>
      </c>
      <c r="AT8" s="133" t="n">
        <f aca="false">'Cash In Flow Summary'!AT22</f>
        <v>0</v>
      </c>
    </row>
    <row r="10" customFormat="false" ht="15" hidden="false" customHeight="false" outlineLevel="0" collapsed="false">
      <c r="A10" s="142"/>
      <c r="B10" s="143" t="s">
        <v>296</v>
      </c>
      <c r="C10" s="144"/>
      <c r="D10" s="145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7"/>
    </row>
    <row r="11" customFormat="false" ht="15" hidden="false" customHeight="false" outlineLevel="0" collapsed="false">
      <c r="A11" s="148"/>
      <c r="B11" s="149" t="s">
        <v>289</v>
      </c>
      <c r="C11" s="131" t="s">
        <v>136</v>
      </c>
      <c r="D11" s="131" t="s">
        <v>46</v>
      </c>
      <c r="E11" s="131" t="s">
        <v>47</v>
      </c>
      <c r="F11" s="131" t="s">
        <v>48</v>
      </c>
      <c r="G11" s="131" t="s">
        <v>49</v>
      </c>
      <c r="H11" s="131" t="s">
        <v>50</v>
      </c>
      <c r="I11" s="131" t="s">
        <v>51</v>
      </c>
      <c r="J11" s="131" t="s">
        <v>52</v>
      </c>
      <c r="K11" s="131" t="s">
        <v>53</v>
      </c>
      <c r="L11" s="131" t="s">
        <v>54</v>
      </c>
      <c r="M11" s="131" t="s">
        <v>55</v>
      </c>
      <c r="N11" s="131" t="s">
        <v>56</v>
      </c>
      <c r="O11" s="131" t="s">
        <v>57</v>
      </c>
      <c r="P11" s="131" t="s">
        <v>58</v>
      </c>
      <c r="Q11" s="131" t="s">
        <v>59</v>
      </c>
      <c r="R11" s="131" t="s">
        <v>60</v>
      </c>
      <c r="S11" s="131" t="s">
        <v>61</v>
      </c>
      <c r="T11" s="131" t="s">
        <v>62</v>
      </c>
      <c r="U11" s="131" t="s">
        <v>63</v>
      </c>
      <c r="V11" s="131" t="s">
        <v>64</v>
      </c>
      <c r="W11" s="131" t="s">
        <v>65</v>
      </c>
      <c r="X11" s="131" t="s">
        <v>66</v>
      </c>
      <c r="Y11" s="131" t="s">
        <v>67</v>
      </c>
      <c r="Z11" s="131" t="s">
        <v>68</v>
      </c>
      <c r="AA11" s="131" t="s">
        <v>69</v>
      </c>
      <c r="AB11" s="131" t="s">
        <v>70</v>
      </c>
      <c r="AC11" s="131" t="s">
        <v>71</v>
      </c>
      <c r="AD11" s="131" t="s">
        <v>72</v>
      </c>
      <c r="AE11" s="131" t="s">
        <v>73</v>
      </c>
      <c r="AF11" s="131" t="s">
        <v>74</v>
      </c>
      <c r="AG11" s="131" t="s">
        <v>75</v>
      </c>
      <c r="AH11" s="131" t="s">
        <v>76</v>
      </c>
      <c r="AI11" s="131" t="s">
        <v>77</v>
      </c>
      <c r="AJ11" s="131" t="s">
        <v>78</v>
      </c>
      <c r="AK11" s="131" t="s">
        <v>79</v>
      </c>
      <c r="AL11" s="131" t="s">
        <v>80</v>
      </c>
      <c r="AM11" s="131" t="s">
        <v>81</v>
      </c>
      <c r="AN11" s="131" t="s">
        <v>82</v>
      </c>
      <c r="AO11" s="131" t="s">
        <v>83</v>
      </c>
      <c r="AP11" s="131" t="s">
        <v>84</v>
      </c>
      <c r="AQ11" s="131" t="s">
        <v>85</v>
      </c>
      <c r="AR11" s="131" t="s">
        <v>86</v>
      </c>
      <c r="AS11" s="131" t="s">
        <v>290</v>
      </c>
      <c r="AT11" s="150" t="s">
        <v>291</v>
      </c>
    </row>
    <row r="12" customFormat="false" ht="15" hidden="false" customHeight="false" outlineLevel="0" collapsed="false">
      <c r="A12" s="142"/>
      <c r="B12" s="151" t="s">
        <v>217</v>
      </c>
      <c r="C12" s="132" t="n">
        <f aca="false">SUM(D12:ZZ12)</f>
        <v>1503.976359375</v>
      </c>
      <c r="D12" s="133" t="n">
        <f aca="false">D4-D8</f>
        <v>0</v>
      </c>
      <c r="E12" s="133" t="n">
        <f aca="false">E4-E8</f>
        <v>0</v>
      </c>
      <c r="F12" s="133" t="n">
        <f aca="false">F4-F8</f>
        <v>0</v>
      </c>
      <c r="G12" s="133" t="n">
        <f aca="false">G4-G8</f>
        <v>-85</v>
      </c>
      <c r="H12" s="133" t="n">
        <f aca="false">H4-H8</f>
        <v>-4.38435</v>
      </c>
      <c r="I12" s="133" t="n">
        <f aca="false">I4-I8</f>
        <v>13.7313</v>
      </c>
      <c r="J12" s="133" t="n">
        <f aca="false">J4-J8</f>
        <v>35.760825</v>
      </c>
      <c r="K12" s="133" t="n">
        <f aca="false">K4-K8</f>
        <v>46.51839</v>
      </c>
      <c r="L12" s="133" t="n">
        <f aca="false">L4-L8</f>
        <v>22.087545</v>
      </c>
      <c r="M12" s="133" t="n">
        <f aca="false">M4-M8</f>
        <v>27.9732675</v>
      </c>
      <c r="N12" s="133" t="n">
        <f aca="false">N4-N8</f>
        <v>43.871055</v>
      </c>
      <c r="O12" s="133" t="n">
        <f aca="false">O4-O8</f>
        <v>60.60753</v>
      </c>
      <c r="P12" s="133" t="n">
        <f aca="false">P4-P8</f>
        <v>59.00243625</v>
      </c>
      <c r="Q12" s="133" t="n">
        <f aca="false">Q4-Q8</f>
        <v>68.6473425</v>
      </c>
      <c r="R12" s="133" t="n">
        <f aca="false">R4-R8</f>
        <v>626.8404675</v>
      </c>
      <c r="S12" s="133" t="n">
        <f aca="false">S4-S8</f>
        <v>115.3901925</v>
      </c>
      <c r="T12" s="133" t="n">
        <f aca="false">T4-T8</f>
        <v>67.5965925</v>
      </c>
      <c r="U12" s="133" t="n">
        <f aca="false">U4-U8</f>
        <v>44.3369925</v>
      </c>
      <c r="V12" s="133" t="n">
        <f aca="false">V4-V8</f>
        <v>42.5254275</v>
      </c>
      <c r="W12" s="133" t="n">
        <f aca="false">W4-W8</f>
        <v>40.7138625</v>
      </c>
      <c r="X12" s="133" t="n">
        <f aca="false">X4-X8</f>
        <v>54.779461875</v>
      </c>
      <c r="Y12" s="133" t="n">
        <f aca="false">Y4-Y8</f>
        <v>47.65341375</v>
      </c>
      <c r="Z12" s="133" t="n">
        <f aca="false">Z4-Z8</f>
        <v>38.83787625</v>
      </c>
      <c r="AA12" s="133" t="n">
        <f aca="false">AA4-AA8</f>
        <v>28.54624875</v>
      </c>
      <c r="AB12" s="133" t="n">
        <f aca="false">AB4-AB8</f>
        <v>51.04624875</v>
      </c>
      <c r="AC12" s="133" t="n">
        <f aca="false">AC4-AC8</f>
        <v>51.04624875</v>
      </c>
      <c r="AD12" s="133" t="n">
        <f aca="false">AD4-AD8</f>
        <v>51.04624875</v>
      </c>
      <c r="AE12" s="133" t="n">
        <f aca="false">AE4-AE8</f>
        <v>51.04624875</v>
      </c>
      <c r="AF12" s="133" t="n">
        <f aca="false">AF4-AF8</f>
        <v>-197.2602284375</v>
      </c>
      <c r="AG12" s="133" t="n">
        <f aca="false">AG4-AG8</f>
        <v>20.70929109375</v>
      </c>
      <c r="AH12" s="133" t="n">
        <f aca="false">AH4-AH8</f>
        <v>18.5391871875</v>
      </c>
      <c r="AI12" s="133" t="n">
        <f aca="false">AI4-AI8</f>
        <v>16.36908328125</v>
      </c>
      <c r="AJ12" s="133" t="n">
        <f aca="false">AJ4-AJ8</f>
        <v>12.87175640625</v>
      </c>
      <c r="AK12" s="133" t="n">
        <f aca="false">AK4-AK8</f>
        <v>10.84632609375</v>
      </c>
      <c r="AL12" s="133" t="n">
        <f aca="false">AL4-AL8</f>
        <v>9.452008125</v>
      </c>
      <c r="AM12" s="133" t="n">
        <f aca="false">AM4-AM8</f>
        <v>4.07602125</v>
      </c>
      <c r="AN12" s="133" t="n">
        <f aca="false">AN4-AN8</f>
        <v>4.07602125</v>
      </c>
      <c r="AO12" s="133" t="n">
        <f aca="false">AO4-AO8</f>
        <v>4.07602125</v>
      </c>
      <c r="AP12" s="133" t="n">
        <f aca="false">AP4-AP8</f>
        <v>0</v>
      </c>
      <c r="AQ12" s="133" t="n">
        <f aca="false">AQ4-AQ8</f>
        <v>0</v>
      </c>
      <c r="AR12" s="133" t="n">
        <f aca="false">AR4-AR8</f>
        <v>0</v>
      </c>
      <c r="AS12" s="133" t="n">
        <f aca="false">AS4-AS8</f>
        <v>0</v>
      </c>
      <c r="AT12" s="152" t="n">
        <f aca="false">AT4-AT8</f>
        <v>0</v>
      </c>
    </row>
    <row r="14" customFormat="false" ht="15" hidden="false" customHeight="false" outlineLevel="0" collapsed="false">
      <c r="A14" s="142"/>
      <c r="B14" s="153" t="s">
        <v>297</v>
      </c>
      <c r="D14" s="138"/>
      <c r="AT14" s="154"/>
    </row>
    <row r="15" customFormat="false" ht="13.5" hidden="false" customHeight="true" outlineLevel="0" collapsed="false">
      <c r="A15" s="148"/>
      <c r="B15" s="155" t="s">
        <v>289</v>
      </c>
      <c r="C15" s="134" t="s">
        <v>136</v>
      </c>
      <c r="D15" s="134" t="s">
        <v>46</v>
      </c>
      <c r="E15" s="134" t="s">
        <v>47</v>
      </c>
      <c r="F15" s="134" t="s">
        <v>48</v>
      </c>
      <c r="G15" s="134" t="s">
        <v>49</v>
      </c>
      <c r="H15" s="134" t="s">
        <v>50</v>
      </c>
      <c r="I15" s="134" t="s">
        <v>51</v>
      </c>
      <c r="J15" s="134" t="s">
        <v>52</v>
      </c>
      <c r="K15" s="134" t="s">
        <v>53</v>
      </c>
      <c r="L15" s="134" t="s">
        <v>54</v>
      </c>
      <c r="M15" s="134" t="s">
        <v>55</v>
      </c>
      <c r="N15" s="134" t="s">
        <v>56</v>
      </c>
      <c r="O15" s="134" t="s">
        <v>57</v>
      </c>
      <c r="P15" s="134" t="s">
        <v>58</v>
      </c>
      <c r="Q15" s="134" t="s">
        <v>59</v>
      </c>
      <c r="R15" s="134" t="s">
        <v>60</v>
      </c>
      <c r="S15" s="134" t="s">
        <v>61</v>
      </c>
      <c r="T15" s="134" t="s">
        <v>62</v>
      </c>
      <c r="U15" s="134" t="s">
        <v>63</v>
      </c>
      <c r="V15" s="134" t="s">
        <v>64</v>
      </c>
      <c r="W15" s="134" t="s">
        <v>65</v>
      </c>
      <c r="X15" s="134" t="s">
        <v>66</v>
      </c>
      <c r="Y15" s="134" t="s">
        <v>67</v>
      </c>
      <c r="Z15" s="134" t="s">
        <v>68</v>
      </c>
      <c r="AA15" s="134" t="s">
        <v>69</v>
      </c>
      <c r="AB15" s="134" t="s">
        <v>70</v>
      </c>
      <c r="AC15" s="134" t="s">
        <v>71</v>
      </c>
      <c r="AD15" s="134" t="s">
        <v>72</v>
      </c>
      <c r="AE15" s="134" t="s">
        <v>73</v>
      </c>
      <c r="AF15" s="134" t="s">
        <v>74</v>
      </c>
      <c r="AG15" s="134" t="s">
        <v>75</v>
      </c>
      <c r="AH15" s="134" t="s">
        <v>76</v>
      </c>
      <c r="AI15" s="134" t="s">
        <v>77</v>
      </c>
      <c r="AJ15" s="134" t="s">
        <v>78</v>
      </c>
      <c r="AK15" s="134" t="s">
        <v>79</v>
      </c>
      <c r="AL15" s="134" t="s">
        <v>80</v>
      </c>
      <c r="AM15" s="134" t="s">
        <v>81</v>
      </c>
      <c r="AN15" s="134" t="s">
        <v>82</v>
      </c>
      <c r="AO15" s="134" t="s">
        <v>83</v>
      </c>
      <c r="AP15" s="134" t="s">
        <v>84</v>
      </c>
      <c r="AQ15" s="134" t="s">
        <v>85</v>
      </c>
      <c r="AR15" s="134" t="s">
        <v>86</v>
      </c>
      <c r="AS15" s="134" t="s">
        <v>290</v>
      </c>
      <c r="AT15" s="156" t="s">
        <v>291</v>
      </c>
    </row>
    <row r="16" customFormat="false" ht="15" hidden="false" customHeight="false" outlineLevel="0" collapsed="false">
      <c r="A16" s="142"/>
      <c r="B16" s="151" t="s">
        <v>217</v>
      </c>
      <c r="C16" s="132" t="n">
        <f aca="false">SUM(D16:AT16)</f>
        <v>994.806304020405</v>
      </c>
      <c r="D16" s="133" t="n">
        <f aca="false">+D12/((1+Assumptions!$C$5)^Assumptions!E$7)</f>
        <v>0</v>
      </c>
      <c r="E16" s="133" t="n">
        <f aca="false">+E12/((1+Assumptions!$C$5)^Assumptions!F$7)</f>
        <v>0</v>
      </c>
      <c r="F16" s="133" t="n">
        <f aca="false">+F12/((1+Assumptions!$C$5)^Assumptions!G$7)</f>
        <v>0</v>
      </c>
      <c r="G16" s="133" t="n">
        <f aca="false">+G12/((1+Assumptions!$C$5)^Assumptions!H$7)</f>
        <v>-85</v>
      </c>
      <c r="H16" s="133" t="n">
        <f aca="false">+H12/((1+Assumptions!$C$5)^Assumptions!I$7)</f>
        <v>-4.24305834336378</v>
      </c>
      <c r="I16" s="133" t="n">
        <f aca="false">+I12/((1+Assumptions!$C$5)^Assumptions!J$7)</f>
        <v>12.8605407545717</v>
      </c>
      <c r="J16" s="133" t="n">
        <f aca="false">+J12/((1+Assumptions!$C$5)^Assumptions!K$7)</f>
        <v>32.4137210939082</v>
      </c>
      <c r="K16" s="133" t="n">
        <f aca="false">+K12/((1+Assumptions!$C$5)^Assumptions!L$7)</f>
        <v>40.8056052631579</v>
      </c>
      <c r="L16" s="133" t="n">
        <f aca="false">+L12/((1+Assumptions!$C$5)^Assumptions!M$7)</f>
        <v>18.7506524095518</v>
      </c>
      <c r="M16" s="133" t="n">
        <f aca="false">+M12/((1+Assumptions!$C$5)^Assumptions!N$7)</f>
        <v>22.9818995123503</v>
      </c>
      <c r="N16" s="133" t="n">
        <f aca="false">+N12/((1+Assumptions!$C$5)^Assumptions!O$7)</f>
        <v>34.8814546993936</v>
      </c>
      <c r="O16" s="133" t="n">
        <f aca="false">+O12/((1+Assumptions!$C$5)^Assumptions!P$7)</f>
        <v>46.6355263157895</v>
      </c>
      <c r="P16" s="133" t="n">
        <f aca="false">+P12/((1+Assumptions!$C$5)^Assumptions!Q$7)</f>
        <v>43.9373671086312</v>
      </c>
      <c r="Q16" s="133" t="n">
        <f aca="false">+Q12/((1+Assumptions!$C$5)^Assumptions!R$7)</f>
        <v>49.4722429888342</v>
      </c>
      <c r="R16" s="133" t="n">
        <f aca="false">+R12/((1+Assumptions!$C$5)^Assumptions!S$7)</f>
        <v>437.188454810532</v>
      </c>
      <c r="S16" s="133" t="n">
        <f aca="false">+S12/((1+Assumptions!$C$5)^Assumptions!T$7)</f>
        <v>77.8850931865675</v>
      </c>
      <c r="T16" s="133" t="n">
        <f aca="false">+T12/((1+Assumptions!$C$5)^Assumptions!U$7)</f>
        <v>44.1554217366692</v>
      </c>
      <c r="U16" s="133" t="n">
        <f aca="false">+U12/((1+Assumptions!$C$5)^Assumptions!V$7)</f>
        <v>28.0284609189494</v>
      </c>
      <c r="V16" s="133" t="n">
        <f aca="false">+V12/((1+Assumptions!$C$5)^Assumptions!W$7)</f>
        <v>26.0168968845923</v>
      </c>
      <c r="W16" s="133" t="n">
        <f aca="false">+W12/((1+Assumptions!$C$5)^Assumptions!X$7)</f>
        <v>24.1058750018118</v>
      </c>
      <c r="X16" s="133" t="n">
        <f aca="false">+X12/((1+Assumptions!$C$5)^Assumptions!Y$7)</f>
        <v>31.3886142977277</v>
      </c>
      <c r="Y16" s="133" t="n">
        <f aca="false">+Y12/((1+Assumptions!$C$5)^Assumptions!Z$7)</f>
        <v>26.4254375258218</v>
      </c>
      <c r="Z16" s="133" t="n">
        <f aca="false">+Z12/((1+Assumptions!$C$5)^Assumptions!AA$7)</f>
        <v>20.8428656794706</v>
      </c>
      <c r="AA16" s="133" t="n">
        <f aca="false">+AA12/((1+Assumptions!$C$5)^Assumptions!AB$7)</f>
        <v>14.8260270857705</v>
      </c>
      <c r="AB16" s="133" t="n">
        <f aca="false">+AB12/((1+Assumptions!$C$5)^Assumptions!AC$7)</f>
        <v>25.657442421014</v>
      </c>
      <c r="AC16" s="133" t="n">
        <f aca="false">+AC12/((1+Assumptions!$C$5)^Assumptions!AD$7)</f>
        <v>24.8305963560982</v>
      </c>
      <c r="AD16" s="133" t="n">
        <f aca="false">+AD12/((1+Assumptions!$C$5)^Assumptions!AE$7)</f>
        <v>24.0303965329959</v>
      </c>
      <c r="AE16" s="133" t="n">
        <f aca="false">+AE12/((1+Assumptions!$C$5)^Assumptions!AF$7)</f>
        <v>23.2559842402337</v>
      </c>
      <c r="AF16" s="133" t="n">
        <f aca="false">+AF12/((1+Assumptions!$C$5)^Assumptions!AG$7)</f>
        <v>-86.9729519802977</v>
      </c>
      <c r="AG16" s="133" t="n">
        <f aca="false">+AG12/((1+Assumptions!$C$5)^Assumptions!AH$7)</f>
        <v>8.83656952930039</v>
      </c>
      <c r="AH16" s="133" t="n">
        <f aca="false">+AH12/((1+Assumptions!$C$5)^Assumptions!AI$7)</f>
        <v>7.65566538470893</v>
      </c>
      <c r="AI16" s="133" t="n">
        <f aca="false">+AI12/((1+Assumptions!$C$5)^Assumptions!AJ$7)</f>
        <v>6.54169661478716</v>
      </c>
      <c r="AJ16" s="133" t="n">
        <f aca="false">+AJ12/((1+Assumptions!$C$5)^Assumptions!AK$7)</f>
        <v>4.97826074852866</v>
      </c>
      <c r="AK16" s="133" t="n">
        <f aca="false">+AK12/((1+Assumptions!$C$5)^Assumptions!AL$7)</f>
        <v>4.05972178631118</v>
      </c>
      <c r="AL16" s="133" t="n">
        <f aca="false">+AL12/((1+Assumptions!$C$5)^Assumptions!AM$7)</f>
        <v>3.4238244457541</v>
      </c>
      <c r="AM16" s="133" t="n">
        <f aca="false">+AM12/((1+Assumptions!$C$5)^Assumptions!AN$7)</f>
        <v>1.42888615695162</v>
      </c>
      <c r="AN16" s="133" t="n">
        <f aca="false">+AN12/((1+Assumptions!$C$5)^Assumptions!AO$7)</f>
        <v>1.38283835231461</v>
      </c>
      <c r="AO16" s="133" t="n">
        <f aca="false">+AO12/((1+Assumptions!$C$5)^Assumptions!AP$7)</f>
        <v>1.33827450096638</v>
      </c>
      <c r="AP16" s="133" t="n">
        <f aca="false">+AP12/((1+Assumptions!$C$5)^Assumptions!AQ$7)</f>
        <v>0</v>
      </c>
      <c r="AQ16" s="133" t="n">
        <f aca="false">+AQ12/((1+Assumptions!$C$5)^Assumptions!AR$7)</f>
        <v>0</v>
      </c>
      <c r="AR16" s="133" t="n">
        <f aca="false">+AR12/((1+Assumptions!$C$5)^Assumptions!AS$7)</f>
        <v>0</v>
      </c>
      <c r="AS16" s="133" t="n">
        <f aca="false">+AS12/((1+Assumptions!$C$5)^Assumptions!AT$7)</f>
        <v>0</v>
      </c>
      <c r="AT16" s="152" t="n">
        <f aca="false">+AT12/((1+Assumptions!$C$5)^Assumptions!AU$7)</f>
        <v>0</v>
      </c>
    </row>
    <row r="18" customFormat="false" ht="15" hidden="false" customHeight="false" outlineLevel="0" collapsed="false">
      <c r="A18" s="157"/>
      <c r="B18" s="143" t="s">
        <v>37</v>
      </c>
      <c r="C18" s="144"/>
      <c r="D18" s="145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7"/>
    </row>
    <row r="19" customFormat="false" ht="15" hidden="false" customHeight="false" outlineLevel="0" collapsed="false">
      <c r="A19" s="158"/>
      <c r="B19" s="149" t="s">
        <v>289</v>
      </c>
      <c r="C19" s="131" t="s">
        <v>136</v>
      </c>
      <c r="D19" s="131" t="s">
        <v>46</v>
      </c>
      <c r="E19" s="131" t="s">
        <v>47</v>
      </c>
      <c r="F19" s="131" t="s">
        <v>48</v>
      </c>
      <c r="G19" s="131" t="s">
        <v>49</v>
      </c>
      <c r="H19" s="131" t="s">
        <v>50</v>
      </c>
      <c r="I19" s="131" t="s">
        <v>51</v>
      </c>
      <c r="J19" s="131" t="s">
        <v>52</v>
      </c>
      <c r="K19" s="131" t="s">
        <v>53</v>
      </c>
      <c r="L19" s="131" t="s">
        <v>54</v>
      </c>
      <c r="M19" s="131" t="s">
        <v>55</v>
      </c>
      <c r="N19" s="131" t="s">
        <v>56</v>
      </c>
      <c r="O19" s="131" t="s">
        <v>57</v>
      </c>
      <c r="P19" s="131" t="s">
        <v>58</v>
      </c>
      <c r="Q19" s="131" t="s">
        <v>59</v>
      </c>
      <c r="R19" s="131" t="s">
        <v>60</v>
      </c>
      <c r="S19" s="131" t="s">
        <v>61</v>
      </c>
      <c r="T19" s="131" t="s">
        <v>62</v>
      </c>
      <c r="U19" s="131" t="s">
        <v>63</v>
      </c>
      <c r="V19" s="131" t="s">
        <v>64</v>
      </c>
      <c r="W19" s="131" t="s">
        <v>65</v>
      </c>
      <c r="X19" s="131" t="s">
        <v>66</v>
      </c>
      <c r="Y19" s="131" t="s">
        <v>67</v>
      </c>
      <c r="Z19" s="131" t="s">
        <v>68</v>
      </c>
      <c r="AA19" s="131" t="s">
        <v>69</v>
      </c>
      <c r="AB19" s="131" t="s">
        <v>70</v>
      </c>
      <c r="AC19" s="131" t="s">
        <v>71</v>
      </c>
      <c r="AD19" s="131" t="s">
        <v>72</v>
      </c>
      <c r="AE19" s="131" t="s">
        <v>73</v>
      </c>
      <c r="AF19" s="131" t="s">
        <v>74</v>
      </c>
      <c r="AG19" s="131" t="s">
        <v>75</v>
      </c>
      <c r="AH19" s="131" t="s">
        <v>76</v>
      </c>
      <c r="AI19" s="131" t="s">
        <v>77</v>
      </c>
      <c r="AJ19" s="131" t="s">
        <v>78</v>
      </c>
      <c r="AK19" s="131" t="s">
        <v>79</v>
      </c>
      <c r="AL19" s="131" t="s">
        <v>80</v>
      </c>
      <c r="AM19" s="131" t="s">
        <v>81</v>
      </c>
      <c r="AN19" s="131" t="s">
        <v>82</v>
      </c>
      <c r="AO19" s="131" t="s">
        <v>83</v>
      </c>
      <c r="AP19" s="131" t="s">
        <v>84</v>
      </c>
      <c r="AQ19" s="131" t="s">
        <v>85</v>
      </c>
      <c r="AR19" s="131" t="s">
        <v>86</v>
      </c>
      <c r="AS19" s="131" t="s">
        <v>290</v>
      </c>
      <c r="AT19" s="150" t="s">
        <v>291</v>
      </c>
    </row>
    <row r="20" customFormat="false" ht="15" hidden="false" customHeight="false" outlineLevel="0" collapsed="false">
      <c r="A20" s="157"/>
      <c r="B20" s="151" t="s">
        <v>217</v>
      </c>
      <c r="C20" s="132" t="n">
        <f aca="false">SUM(H20:AAD20)</f>
        <v>908.68343</v>
      </c>
      <c r="D20" s="132"/>
      <c r="E20" s="132"/>
      <c r="F20" s="132"/>
      <c r="G20" s="132"/>
      <c r="H20" s="133" t="n">
        <f aca="false">SUM('Cash Out Detail'!D37:F37)/1000000</f>
        <v>0</v>
      </c>
      <c r="I20" s="133" t="n">
        <f aca="false">SUM('Cash Out Detail'!G37:I37)/1000000</f>
        <v>0</v>
      </c>
      <c r="J20" s="133" t="n">
        <f aca="false">SUM('Cash Out Detail'!J37:L37)/1000000</f>
        <v>23</v>
      </c>
      <c r="K20" s="133" t="n">
        <f aca="false">SUM('Cash Out Detail'!M37:O37)/1000000</f>
        <v>30.36</v>
      </c>
      <c r="L20" s="133" t="n">
        <f aca="false">SUM('Cash Out Detail'!P37:R37)/1000000</f>
        <v>60.49252</v>
      </c>
      <c r="M20" s="133" t="n">
        <f aca="false">SUM('Cash Out Detail'!S37:U37)/1000000</f>
        <v>44.85252</v>
      </c>
      <c r="N20" s="133" t="n">
        <f aca="false">SUM('Cash Out Detail'!V37:X37)/1000000</f>
        <v>42.79494</v>
      </c>
      <c r="O20" s="133" t="n">
        <f aca="false">SUM('Cash Out Detail'!Y37:AA37)/1000000</f>
        <v>37.56153</v>
      </c>
      <c r="P20" s="133" t="n">
        <f aca="false">SUM('Cash Out Detail'!AB37:AD37)/1000000</f>
        <v>14.00412</v>
      </c>
      <c r="Q20" s="133" t="n">
        <f aca="false">SUM('Cash Out Detail'!AE37:AG37)/1000000</f>
        <v>13.46736</v>
      </c>
      <c r="R20" s="133" t="n">
        <f aca="false">SUM('Cash Out Detail'!AH37:AJ37)/1000000</f>
        <v>145.54446</v>
      </c>
      <c r="S20" s="133" t="n">
        <f aca="false">SUM('Cash Out Detail'!AK37:AM37)/1000000</f>
        <v>145.54446</v>
      </c>
      <c r="T20" s="133" t="n">
        <f aca="false">SUM('Cash Out Detail'!AN37:AP37)/1000000</f>
        <v>196.83032</v>
      </c>
      <c r="U20" s="133" t="n">
        <f aca="false">SUM('Cash Out Detail'!AQ37:AS37)/1000000</f>
        <v>142.78032</v>
      </c>
      <c r="V20" s="133" t="n">
        <f aca="false">SUM('Cash Out Detail'!AT37:AV37)/1000000</f>
        <v>5.72544</v>
      </c>
      <c r="W20" s="133" t="n">
        <f aca="false">SUM('Cash Out Detail'!AW37:AY37)/1000000</f>
        <v>5.72544</v>
      </c>
      <c r="X20" s="133" t="n">
        <f aca="false">SUM('Cash Out Detail'!AZ37:BB37)/1000000</f>
        <v>0</v>
      </c>
      <c r="Y20" s="133" t="n">
        <f aca="false">SUM('Cash Out Detail'!BC37:BE37)/1000000</f>
        <v>0</v>
      </c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52"/>
    </row>
    <row r="22" customFormat="false" ht="15" hidden="false" customHeight="false" outlineLevel="0" collapsed="false">
      <c r="B22" s="153" t="s">
        <v>298</v>
      </c>
    </row>
    <row r="23" customFormat="false" ht="15" hidden="false" customHeight="false" outlineLevel="0" collapsed="false">
      <c r="A23" s="158"/>
      <c r="B23" s="155" t="s">
        <v>289</v>
      </c>
      <c r="C23" s="134" t="s">
        <v>136</v>
      </c>
      <c r="D23" s="134" t="s">
        <v>46</v>
      </c>
      <c r="E23" s="134" t="s">
        <v>47</v>
      </c>
      <c r="F23" s="134" t="s">
        <v>48</v>
      </c>
      <c r="G23" s="134" t="s">
        <v>49</v>
      </c>
      <c r="H23" s="134" t="s">
        <v>50</v>
      </c>
      <c r="I23" s="134" t="s">
        <v>51</v>
      </c>
      <c r="J23" s="134" t="s">
        <v>52</v>
      </c>
      <c r="K23" s="134" t="s">
        <v>53</v>
      </c>
      <c r="L23" s="134" t="s">
        <v>54</v>
      </c>
      <c r="M23" s="134" t="s">
        <v>55</v>
      </c>
      <c r="N23" s="134" t="s">
        <v>56</v>
      </c>
      <c r="O23" s="134" t="s">
        <v>57</v>
      </c>
      <c r="P23" s="134" t="s">
        <v>58</v>
      </c>
      <c r="Q23" s="134" t="s">
        <v>59</v>
      </c>
      <c r="R23" s="134" t="s">
        <v>60</v>
      </c>
      <c r="S23" s="134" t="s">
        <v>61</v>
      </c>
      <c r="T23" s="134" t="s">
        <v>62</v>
      </c>
      <c r="U23" s="134" t="s">
        <v>63</v>
      </c>
      <c r="V23" s="134" t="s">
        <v>64</v>
      </c>
      <c r="W23" s="134" t="s">
        <v>65</v>
      </c>
      <c r="X23" s="134" t="s">
        <v>66</v>
      </c>
      <c r="Y23" s="134" t="s">
        <v>67</v>
      </c>
      <c r="Z23" s="134" t="s">
        <v>68</v>
      </c>
      <c r="AA23" s="134" t="s">
        <v>69</v>
      </c>
      <c r="AB23" s="134" t="s">
        <v>70</v>
      </c>
      <c r="AC23" s="134" t="s">
        <v>71</v>
      </c>
      <c r="AD23" s="134" t="s">
        <v>72</v>
      </c>
      <c r="AE23" s="134" t="s">
        <v>73</v>
      </c>
      <c r="AF23" s="134" t="s">
        <v>74</v>
      </c>
      <c r="AG23" s="134" t="s">
        <v>75</v>
      </c>
      <c r="AH23" s="134" t="s">
        <v>76</v>
      </c>
      <c r="AI23" s="134" t="s">
        <v>77</v>
      </c>
      <c r="AJ23" s="134" t="s">
        <v>78</v>
      </c>
      <c r="AK23" s="134" t="s">
        <v>79</v>
      </c>
      <c r="AL23" s="134" t="s">
        <v>80</v>
      </c>
      <c r="AM23" s="134" t="s">
        <v>81</v>
      </c>
      <c r="AN23" s="134" t="s">
        <v>82</v>
      </c>
      <c r="AO23" s="134" t="s">
        <v>83</v>
      </c>
      <c r="AP23" s="134" t="s">
        <v>84</v>
      </c>
      <c r="AQ23" s="134" t="s">
        <v>85</v>
      </c>
      <c r="AR23" s="134" t="s">
        <v>86</v>
      </c>
      <c r="AS23" s="134" t="s">
        <v>290</v>
      </c>
      <c r="AT23" s="156" t="s">
        <v>291</v>
      </c>
    </row>
    <row r="24" customFormat="false" ht="15" hidden="false" customHeight="false" outlineLevel="0" collapsed="false">
      <c r="A24" s="157"/>
      <c r="B24" s="151" t="s">
        <v>217</v>
      </c>
      <c r="C24" s="132" t="n">
        <f aca="false">SUM(D24:ZZ24)</f>
        <v>644.219400976061</v>
      </c>
      <c r="D24" s="133" t="n">
        <f aca="false">+D20/((1+Assumptions!$C$5)^Assumptions!E$7)</f>
        <v>0</v>
      </c>
      <c r="E24" s="133" t="n">
        <f aca="false">+E20/((1+Assumptions!$C$5)^Assumptions!F$7)</f>
        <v>0</v>
      </c>
      <c r="F24" s="133" t="n">
        <f aca="false">+F20/((1+Assumptions!$C$5)^Assumptions!G$7)</f>
        <v>0</v>
      </c>
      <c r="G24" s="133" t="n">
        <f aca="false">+G20/((1+Assumptions!$C$5)^Assumptions!H$7)</f>
        <v>0</v>
      </c>
      <c r="H24" s="133" t="n">
        <f aca="false">+H20/((1+Assumptions!$C$5)^Assumptions!I$7)</f>
        <v>0</v>
      </c>
      <c r="I24" s="133" t="n">
        <f aca="false">+I20/((1+Assumptions!$C$5)^Assumptions!J$7)</f>
        <v>0</v>
      </c>
      <c r="J24" s="133" t="n">
        <f aca="false">+J20/((1+Assumptions!$C$5)^Assumptions!K$7)</f>
        <v>20.8472703065404</v>
      </c>
      <c r="K24" s="133" t="n">
        <f aca="false">+K20/((1+Assumptions!$C$5)^Assumptions!L$7)</f>
        <v>26.6315789473684</v>
      </c>
      <c r="L24" s="133" t="n">
        <f aca="false">+L20/((1+Assumptions!$C$5)^Assumptions!M$7)</f>
        <v>51.3535667226874</v>
      </c>
      <c r="M24" s="133" t="n">
        <f aca="false">+M20/((1+Assumptions!$C$5)^Assumptions!N$7)</f>
        <v>36.8493279348107</v>
      </c>
      <c r="N24" s="133" t="n">
        <f aca="false">+N20/((1+Assumptions!$C$5)^Assumptions!O$7)</f>
        <v>34.0258459928367</v>
      </c>
      <c r="O24" s="133" t="n">
        <f aca="false">+O20/((1+Assumptions!$C$5)^Assumptions!P$7)</f>
        <v>28.902377654663</v>
      </c>
      <c r="P24" s="133" t="n">
        <f aca="false">+P20/((1+Assumptions!$C$5)^Assumptions!Q$7)</f>
        <v>10.4284534771786</v>
      </c>
      <c r="Q24" s="133" t="n">
        <f aca="false">+Q20/((1+Assumptions!$C$5)^Assumptions!R$7)</f>
        <v>9.70555424396956</v>
      </c>
      <c r="R24" s="133" t="n">
        <f aca="false">+R20/((1+Assumptions!$C$5)^Assumptions!S$7)</f>
        <v>101.509651773772</v>
      </c>
      <c r="S24" s="133" t="n">
        <f aca="false">+S20/((1+Assumptions!$C$5)^Assumptions!T$7)</f>
        <v>98.2383648410037</v>
      </c>
      <c r="T24" s="133" t="n">
        <f aca="false">+T20/((1+Assumptions!$C$5)^Assumptions!U$7)</f>
        <v>128.573430534439</v>
      </c>
      <c r="U24" s="133" t="n">
        <f aca="false">+U20/((1+Assumptions!$C$5)^Assumptions!V$7)</f>
        <v>90.2612557474458</v>
      </c>
      <c r="V24" s="133" t="n">
        <f aca="false">+V20/((1+Assumptions!$C$5)^Assumptions!W$7)</f>
        <v>3.50280269607919</v>
      </c>
      <c r="W24" s="133" t="n">
        <f aca="false">+W20/((1+Assumptions!$C$5)^Assumptions!X$7)</f>
        <v>3.38992010326638</v>
      </c>
      <c r="X24" s="133" t="n">
        <f aca="false">+X20/((1+Assumptions!$C$5)^Assumptions!Y$7)</f>
        <v>0</v>
      </c>
      <c r="Y24" s="133" t="n">
        <f aca="false">+Y20/((1+Assumptions!$C$5)^Assumptions!Z$7)</f>
        <v>0</v>
      </c>
      <c r="Z24" s="133" t="n">
        <f aca="false">+Z20/((1+Assumptions!$C$5)^Assumptions!AA$7)</f>
        <v>0</v>
      </c>
      <c r="AA24" s="133" t="n">
        <f aca="false">+AA20/((1+Assumptions!$C$5)^Assumptions!AB$7)</f>
        <v>0</v>
      </c>
      <c r="AB24" s="133" t="n">
        <f aca="false">+AF20/((1+Assumptions!$C$5)^Assumptions!AC$7)</f>
        <v>0</v>
      </c>
      <c r="AC24" s="133" t="n">
        <f aca="false">+AG20/((1+Assumptions!$C$5)^Assumptions!AD$7)</f>
        <v>0</v>
      </c>
      <c r="AD24" s="133" t="n">
        <f aca="false">+AH20/((1+Assumptions!$C$5)^Assumptions!AE$7)</f>
        <v>0</v>
      </c>
      <c r="AE24" s="133" t="n">
        <f aca="false">+AI20/((1+Assumptions!$C$5)^Assumptions!AF$7)</f>
        <v>0</v>
      </c>
      <c r="AF24" s="133" t="n">
        <f aca="false">+AJ20/((1+Assumptions!$C$5)^Assumptions!AG$7)</f>
        <v>0</v>
      </c>
      <c r="AG24" s="133" t="n">
        <f aca="false">+AK20/((1+Assumptions!$C$5)^Assumptions!AH$7)</f>
        <v>0</v>
      </c>
      <c r="AH24" s="133" t="n">
        <f aca="false">+AL20/((1+Assumptions!$C$5)^Assumptions!AI$7)</f>
        <v>0</v>
      </c>
      <c r="AI24" s="133" t="n">
        <f aca="false">+AM20/((1+Assumptions!$C$5)^Assumptions!AJ$7)</f>
        <v>0</v>
      </c>
      <c r="AJ24" s="133" t="n">
        <f aca="false">+AN20/((1+Assumptions!$C$5)^Assumptions!AK$7)</f>
        <v>0</v>
      </c>
      <c r="AK24" s="133" t="n">
        <f aca="false">+AO20/((1+Assumptions!$C$5)^Assumptions!AL$7)</f>
        <v>0</v>
      </c>
      <c r="AL24" s="133" t="n">
        <f aca="false">+AP20/((1+Assumptions!$C$5)^Assumptions!AM$7)</f>
        <v>0</v>
      </c>
      <c r="AM24" s="133" t="n">
        <f aca="false">+AQ20/((1+Assumptions!$C$5)^Assumptions!AN$7)</f>
        <v>0</v>
      </c>
      <c r="AN24" s="133" t="n">
        <f aca="false">+AR20/((1+Assumptions!$C$5)^Assumptions!AO$7)</f>
        <v>0</v>
      </c>
      <c r="AO24" s="133" t="n">
        <f aca="false">+AS20/((1+Assumptions!$C$5)^Assumptions!AP$7)</f>
        <v>0</v>
      </c>
      <c r="AP24" s="133" t="n">
        <f aca="false">+AT20/((1+Assumptions!$C$5)^Assumptions!AQ$7)</f>
        <v>0</v>
      </c>
      <c r="AQ24" s="133" t="n">
        <f aca="false">+AU20/((1+Assumptions!$C$5)^Assumptions!AR$7)</f>
        <v>0</v>
      </c>
      <c r="AR24" s="133" t="n">
        <f aca="false">+AV20/((1+Assumptions!$C$5)^Assumptions!AS$7)</f>
        <v>0</v>
      </c>
      <c r="AS24" s="133" t="n">
        <f aca="false">+AW20/((1+Assumptions!$C$5)^Assumptions!AT$7)</f>
        <v>0</v>
      </c>
      <c r="AT24" s="152" t="n">
        <f aca="false">+AX20/((1+Assumptions!$C$5)^Assumptions!AU$7)</f>
        <v>0</v>
      </c>
    </row>
    <row r="26" customFormat="false" ht="15" hidden="false" customHeight="false" outlineLevel="0" collapsed="false">
      <c r="A26" s="159"/>
      <c r="B26" s="143" t="s">
        <v>299</v>
      </c>
      <c r="C26" s="144"/>
      <c r="D26" s="145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7"/>
    </row>
    <row r="27" customFormat="false" ht="15" hidden="false" customHeight="false" outlineLevel="0" collapsed="false">
      <c r="A27" s="160"/>
      <c r="B27" s="149" t="s">
        <v>289</v>
      </c>
      <c r="C27" s="131" t="s">
        <v>136</v>
      </c>
      <c r="D27" s="131" t="s">
        <v>46</v>
      </c>
      <c r="E27" s="131" t="s">
        <v>47</v>
      </c>
      <c r="F27" s="131" t="s">
        <v>48</v>
      </c>
      <c r="G27" s="131" t="s">
        <v>49</v>
      </c>
      <c r="H27" s="131" t="s">
        <v>50</v>
      </c>
      <c r="I27" s="131" t="s">
        <v>51</v>
      </c>
      <c r="J27" s="131" t="s">
        <v>52</v>
      </c>
      <c r="K27" s="131" t="s">
        <v>53</v>
      </c>
      <c r="L27" s="131" t="s">
        <v>54</v>
      </c>
      <c r="M27" s="131" t="s">
        <v>55</v>
      </c>
      <c r="N27" s="131" t="s">
        <v>56</v>
      </c>
      <c r="O27" s="131" t="s">
        <v>57</v>
      </c>
      <c r="P27" s="131" t="s">
        <v>58</v>
      </c>
      <c r="Q27" s="131" t="s">
        <v>59</v>
      </c>
      <c r="R27" s="131" t="s">
        <v>60</v>
      </c>
      <c r="S27" s="131" t="s">
        <v>61</v>
      </c>
      <c r="T27" s="131" t="s">
        <v>62</v>
      </c>
      <c r="U27" s="131" t="s">
        <v>63</v>
      </c>
      <c r="V27" s="131" t="s">
        <v>64</v>
      </c>
      <c r="W27" s="131" t="s">
        <v>65</v>
      </c>
      <c r="X27" s="131" t="s">
        <v>66</v>
      </c>
      <c r="Y27" s="131" t="s">
        <v>67</v>
      </c>
      <c r="Z27" s="131" t="s">
        <v>68</v>
      </c>
      <c r="AA27" s="131" t="s">
        <v>69</v>
      </c>
      <c r="AB27" s="131" t="s">
        <v>70</v>
      </c>
      <c r="AC27" s="131" t="s">
        <v>71</v>
      </c>
      <c r="AD27" s="131" t="s">
        <v>72</v>
      </c>
      <c r="AE27" s="131" t="s">
        <v>73</v>
      </c>
      <c r="AF27" s="131" t="s">
        <v>74</v>
      </c>
      <c r="AG27" s="131" t="s">
        <v>75</v>
      </c>
      <c r="AH27" s="131" t="s">
        <v>76</v>
      </c>
      <c r="AI27" s="131" t="s">
        <v>77</v>
      </c>
      <c r="AJ27" s="131" t="s">
        <v>78</v>
      </c>
      <c r="AK27" s="131" t="s">
        <v>79</v>
      </c>
      <c r="AL27" s="131" t="s">
        <v>80</v>
      </c>
      <c r="AM27" s="131" t="s">
        <v>81</v>
      </c>
      <c r="AN27" s="131" t="s">
        <v>82</v>
      </c>
      <c r="AO27" s="131" t="s">
        <v>83</v>
      </c>
      <c r="AP27" s="131" t="s">
        <v>84</v>
      </c>
      <c r="AQ27" s="131" t="s">
        <v>85</v>
      </c>
      <c r="AR27" s="131" t="s">
        <v>86</v>
      </c>
      <c r="AS27" s="131" t="s">
        <v>290</v>
      </c>
      <c r="AT27" s="150" t="s">
        <v>291</v>
      </c>
    </row>
    <row r="28" customFormat="false" ht="13.5" hidden="false" customHeight="true" outlineLevel="0" collapsed="false">
      <c r="A28" s="159"/>
      <c r="B28" s="151" t="s">
        <v>217</v>
      </c>
      <c r="C28" s="132" t="n">
        <f aca="false">SUM(D28:ZZ28)</f>
        <v>595.292929375</v>
      </c>
      <c r="D28" s="133" t="n">
        <f aca="false">D12-D20</f>
        <v>0</v>
      </c>
      <c r="E28" s="133" t="n">
        <f aca="false">E12-E20</f>
        <v>0</v>
      </c>
      <c r="F28" s="133" t="n">
        <f aca="false">F12-F20</f>
        <v>0</v>
      </c>
      <c r="G28" s="133" t="n">
        <f aca="false">G12-G20</f>
        <v>-85</v>
      </c>
      <c r="H28" s="133" t="n">
        <f aca="false">H12-H20</f>
        <v>-4.38435</v>
      </c>
      <c r="I28" s="133" t="n">
        <f aca="false">I12-I20</f>
        <v>13.7313</v>
      </c>
      <c r="J28" s="133" t="n">
        <f aca="false">J12-J20</f>
        <v>12.760825</v>
      </c>
      <c r="K28" s="133" t="n">
        <f aca="false">K12-K20</f>
        <v>16.15839</v>
      </c>
      <c r="L28" s="133" t="n">
        <f aca="false">L12-L20</f>
        <v>-38.404975</v>
      </c>
      <c r="M28" s="133" t="n">
        <f aca="false">M12-M20</f>
        <v>-16.8792525</v>
      </c>
      <c r="N28" s="133" t="n">
        <f aca="false">N12-N20</f>
        <v>1.076115</v>
      </c>
      <c r="O28" s="133" t="n">
        <f aca="false">O12-O20</f>
        <v>23.046</v>
      </c>
      <c r="P28" s="133" t="n">
        <f aca="false">P12-P20</f>
        <v>44.99831625</v>
      </c>
      <c r="Q28" s="133" t="n">
        <f aca="false">Q12-Q20</f>
        <v>55.1799825</v>
      </c>
      <c r="R28" s="133" t="n">
        <f aca="false">R12-R20</f>
        <v>481.2960075</v>
      </c>
      <c r="S28" s="133" t="n">
        <f aca="false">S12-S20</f>
        <v>-30.1542675</v>
      </c>
      <c r="T28" s="133" t="n">
        <f aca="false">T12-T20</f>
        <v>-129.2337275</v>
      </c>
      <c r="U28" s="133" t="n">
        <f aca="false">U12-U20</f>
        <v>-98.4433275</v>
      </c>
      <c r="V28" s="133" t="n">
        <f aca="false">V12-V20</f>
        <v>36.7999875</v>
      </c>
      <c r="W28" s="133" t="n">
        <f aca="false">W12-W20</f>
        <v>34.9884225</v>
      </c>
      <c r="X28" s="133" t="n">
        <f aca="false">X12-X20</f>
        <v>54.779461875</v>
      </c>
      <c r="Y28" s="133" t="n">
        <f aca="false">Y12-Y20</f>
        <v>47.65341375</v>
      </c>
      <c r="Z28" s="133" t="n">
        <f aca="false">Z12-Z20</f>
        <v>38.83787625</v>
      </c>
      <c r="AA28" s="133" t="n">
        <f aca="false">AA12-AA20</f>
        <v>28.54624875</v>
      </c>
      <c r="AB28" s="133" t="n">
        <f aca="false">AB12-AB20</f>
        <v>51.04624875</v>
      </c>
      <c r="AC28" s="133" t="n">
        <f aca="false">AC12-AC20</f>
        <v>51.04624875</v>
      </c>
      <c r="AD28" s="133" t="n">
        <f aca="false">AD12-AD20</f>
        <v>51.04624875</v>
      </c>
      <c r="AE28" s="133" t="n">
        <f aca="false">AE12-AE20</f>
        <v>51.04624875</v>
      </c>
      <c r="AF28" s="133" t="n">
        <f aca="false">AF12-AF20</f>
        <v>-197.2602284375</v>
      </c>
      <c r="AG28" s="133" t="n">
        <f aca="false">AG12-AG20</f>
        <v>20.70929109375</v>
      </c>
      <c r="AH28" s="133" t="n">
        <f aca="false">AH12-AH20</f>
        <v>18.5391871875</v>
      </c>
      <c r="AI28" s="133" t="n">
        <f aca="false">AI12-AI20</f>
        <v>16.36908328125</v>
      </c>
      <c r="AJ28" s="133" t="n">
        <f aca="false">AJ12-AJ20</f>
        <v>12.87175640625</v>
      </c>
      <c r="AK28" s="133" t="n">
        <f aca="false">AK12-AK20</f>
        <v>10.84632609375</v>
      </c>
      <c r="AL28" s="133" t="n">
        <f aca="false">AL12-AL20</f>
        <v>9.452008125</v>
      </c>
      <c r="AM28" s="133" t="n">
        <f aca="false">AM12-AM20</f>
        <v>4.07602125</v>
      </c>
      <c r="AN28" s="133" t="n">
        <f aca="false">AN12-AN20</f>
        <v>4.07602125</v>
      </c>
      <c r="AO28" s="133" t="n">
        <f aca="false">AO12-AO20</f>
        <v>4.07602125</v>
      </c>
      <c r="AP28" s="133" t="n">
        <f aca="false">AP12-AP20</f>
        <v>0</v>
      </c>
      <c r="AQ28" s="133" t="n">
        <f aca="false">AQ12-AQ20</f>
        <v>0</v>
      </c>
      <c r="AR28" s="133" t="n">
        <f aca="false">AR12-AR20</f>
        <v>0</v>
      </c>
      <c r="AS28" s="133" t="n">
        <f aca="false">AS12-AS20</f>
        <v>0</v>
      </c>
      <c r="AT28" s="133" t="n">
        <f aca="false">AT12-AT20</f>
        <v>0</v>
      </c>
    </row>
    <row r="29" customFormat="false" ht="13.5" hidden="false" customHeight="true" outlineLevel="0" collapsed="false"/>
    <row r="30" customFormat="false" ht="15" hidden="false" customHeight="false" outlineLevel="0" collapsed="false">
      <c r="A30" s="159"/>
      <c r="B30" s="153" t="s">
        <v>300</v>
      </c>
      <c r="D30" s="138"/>
      <c r="AT30" s="154"/>
    </row>
    <row r="31" customFormat="false" ht="15" hidden="false" customHeight="false" outlineLevel="0" collapsed="false">
      <c r="A31" s="160"/>
      <c r="B31" s="155" t="s">
        <v>289</v>
      </c>
      <c r="C31" s="134" t="s">
        <v>136</v>
      </c>
      <c r="D31" s="134" t="s">
        <v>46</v>
      </c>
      <c r="E31" s="134" t="s">
        <v>47</v>
      </c>
      <c r="F31" s="134" t="s">
        <v>48</v>
      </c>
      <c r="G31" s="134" t="s">
        <v>49</v>
      </c>
      <c r="H31" s="134" t="s">
        <v>50</v>
      </c>
      <c r="I31" s="134" t="s">
        <v>51</v>
      </c>
      <c r="J31" s="134" t="s">
        <v>52</v>
      </c>
      <c r="K31" s="134" t="s">
        <v>53</v>
      </c>
      <c r="L31" s="134" t="s">
        <v>54</v>
      </c>
      <c r="M31" s="134" t="s">
        <v>55</v>
      </c>
      <c r="N31" s="134" t="s">
        <v>56</v>
      </c>
      <c r="O31" s="134" t="s">
        <v>57</v>
      </c>
      <c r="P31" s="134" t="s">
        <v>58</v>
      </c>
      <c r="Q31" s="134" t="s">
        <v>59</v>
      </c>
      <c r="R31" s="134" t="s">
        <v>60</v>
      </c>
      <c r="S31" s="134" t="s">
        <v>61</v>
      </c>
      <c r="T31" s="134" t="s">
        <v>62</v>
      </c>
      <c r="U31" s="134" t="s">
        <v>63</v>
      </c>
      <c r="V31" s="134" t="s">
        <v>64</v>
      </c>
      <c r="W31" s="134" t="s">
        <v>65</v>
      </c>
      <c r="X31" s="134" t="s">
        <v>66</v>
      </c>
      <c r="Y31" s="134" t="s">
        <v>67</v>
      </c>
      <c r="Z31" s="134" t="s">
        <v>68</v>
      </c>
      <c r="AA31" s="134" t="s">
        <v>69</v>
      </c>
      <c r="AB31" s="134" t="s">
        <v>70</v>
      </c>
      <c r="AC31" s="134" t="s">
        <v>71</v>
      </c>
      <c r="AD31" s="134" t="s">
        <v>72</v>
      </c>
      <c r="AE31" s="134" t="s">
        <v>73</v>
      </c>
      <c r="AF31" s="134" t="s">
        <v>74</v>
      </c>
      <c r="AG31" s="134" t="s">
        <v>75</v>
      </c>
      <c r="AH31" s="134" t="s">
        <v>76</v>
      </c>
      <c r="AI31" s="134" t="s">
        <v>77</v>
      </c>
      <c r="AJ31" s="134" t="s">
        <v>78</v>
      </c>
      <c r="AK31" s="134" t="s">
        <v>79</v>
      </c>
      <c r="AL31" s="134" t="s">
        <v>80</v>
      </c>
      <c r="AM31" s="134" t="s">
        <v>81</v>
      </c>
      <c r="AN31" s="134" t="s">
        <v>82</v>
      </c>
      <c r="AO31" s="134" t="s">
        <v>83</v>
      </c>
      <c r="AP31" s="134" t="s">
        <v>84</v>
      </c>
      <c r="AQ31" s="134" t="s">
        <v>85</v>
      </c>
      <c r="AR31" s="134" t="s">
        <v>86</v>
      </c>
      <c r="AS31" s="134" t="s">
        <v>290</v>
      </c>
      <c r="AT31" s="156" t="s">
        <v>291</v>
      </c>
    </row>
    <row r="32" customFormat="false" ht="15" hidden="false" customHeight="false" outlineLevel="0" collapsed="false">
      <c r="A32" s="159"/>
      <c r="B32" s="151" t="s">
        <v>217</v>
      </c>
      <c r="C32" s="132" t="n">
        <f aca="false">SUM(D32:ZZ32)</f>
        <v>350.586903044344</v>
      </c>
      <c r="D32" s="133" t="n">
        <f aca="false">+D28/((1+Assumptions!$C$5)^Assumptions!E$7)</f>
        <v>0</v>
      </c>
      <c r="E32" s="133" t="n">
        <f aca="false">+E28/((1+Assumptions!$C$5)^Assumptions!F$7)</f>
        <v>0</v>
      </c>
      <c r="F32" s="133" t="n">
        <f aca="false">+F28/((1+Assumptions!$C$5)^Assumptions!G$7)</f>
        <v>0</v>
      </c>
      <c r="G32" s="133" t="n">
        <f aca="false">+G28/((1+Assumptions!$C$5)^Assumptions!H$7)</f>
        <v>-85</v>
      </c>
      <c r="H32" s="133" t="n">
        <f aca="false">+H28/((1+Assumptions!$C$5)^Assumptions!I$7)</f>
        <v>-4.24305834336378</v>
      </c>
      <c r="I32" s="133" t="n">
        <f aca="false">+I28/((1+Assumptions!$C$5)^Assumptions!J$7)</f>
        <v>12.8605407545717</v>
      </c>
      <c r="J32" s="133" t="n">
        <f aca="false">+J28/((1+Assumptions!$C$5)^Assumptions!K$7)</f>
        <v>11.5664507873678</v>
      </c>
      <c r="K32" s="133" t="n">
        <f aca="false">+K28/((1+Assumptions!$C$5)^Assumptions!L$7)</f>
        <v>14.1740263157895</v>
      </c>
      <c r="L32" s="133" t="n">
        <f aca="false">+L28/((1+Assumptions!$C$5)^Assumptions!M$7)</f>
        <v>-32.6029143131356</v>
      </c>
      <c r="M32" s="133" t="n">
        <f aca="false">+M28/((1+Assumptions!$C$5)^Assumptions!N$7)</f>
        <v>-13.8674284224604</v>
      </c>
      <c r="N32" s="133" t="n">
        <f aca="false">+N28/((1+Assumptions!$C$5)^Assumptions!O$7)</f>
        <v>0.855608706556932</v>
      </c>
      <c r="O32" s="133" t="n">
        <f aca="false">+O28/((1+Assumptions!$C$5)^Assumptions!P$7)</f>
        <v>17.7331486611265</v>
      </c>
      <c r="P32" s="133" t="n">
        <f aca="false">+P28/((1+Assumptions!$C$5)^Assumptions!Q$7)</f>
        <v>33.5089136314525</v>
      </c>
      <c r="Q32" s="133" t="n">
        <f aca="false">+Q28/((1+Assumptions!$C$5)^Assumptions!R$7)</f>
        <v>39.7666887448647</v>
      </c>
      <c r="R32" s="133" t="n">
        <f aca="false">+R28/((1+Assumptions!$C$5)^Assumptions!S$7)</f>
        <v>335.67880303676</v>
      </c>
      <c r="S32" s="133" t="n">
        <f aca="false">+S28/((1+Assumptions!$C$5)^Assumptions!T$7)</f>
        <v>-20.3532716544362</v>
      </c>
      <c r="T32" s="133" t="n">
        <f aca="false">+T28/((1+Assumptions!$C$5)^Assumptions!U$7)</f>
        <v>-84.4180087977701</v>
      </c>
      <c r="U32" s="133" t="n">
        <f aca="false">+U28/((1+Assumptions!$C$5)^Assumptions!V$7)</f>
        <v>-62.2327948284965</v>
      </c>
      <c r="V32" s="133" t="n">
        <f aca="false">+V28/((1+Assumptions!$C$5)^Assumptions!W$7)</f>
        <v>22.5140941885131</v>
      </c>
      <c r="W32" s="133" t="n">
        <f aca="false">+W28/((1+Assumptions!$C$5)^Assumptions!X$7)</f>
        <v>20.7159548985454</v>
      </c>
      <c r="X32" s="133" t="n">
        <f aca="false">+X28/((1+Assumptions!$C$5)^Assumptions!Y$7)</f>
        <v>31.3886142977277</v>
      </c>
      <c r="Y32" s="133" t="n">
        <f aca="false">+Y28/((1+Assumptions!$C$5)^Assumptions!Z$7)</f>
        <v>26.4254375258218</v>
      </c>
      <c r="Z32" s="133" t="n">
        <f aca="false">+Z28/((1+Assumptions!$C$5)^Assumptions!AA$7)</f>
        <v>20.8428656794706</v>
      </c>
      <c r="AA32" s="133" t="n">
        <f aca="false">+AA28/((1+Assumptions!$C$5)^Assumptions!AB$7)</f>
        <v>14.8260270857705</v>
      </c>
      <c r="AB32" s="133" t="n">
        <f aca="false">+AB28/((1+Assumptions!$C$5)^Assumptions!AC$7)</f>
        <v>25.657442421014</v>
      </c>
      <c r="AC32" s="133" t="n">
        <f aca="false">+AC28/((1+Assumptions!$C$5)^Assumptions!AD$7)</f>
        <v>24.8305963560982</v>
      </c>
      <c r="AD32" s="133" t="n">
        <f aca="false">+AD28/((1+Assumptions!$C$5)^Assumptions!AE$7)</f>
        <v>24.0303965329959</v>
      </c>
      <c r="AE32" s="133" t="n">
        <f aca="false">+AE28/((1+Assumptions!$C$5)^Assumptions!AF$7)</f>
        <v>23.2559842402337</v>
      </c>
      <c r="AF32" s="133" t="n">
        <f aca="false">+AF28/((1+Assumptions!$C$5)^Assumptions!AG$7)</f>
        <v>-86.9729519802977</v>
      </c>
      <c r="AG32" s="133" t="n">
        <f aca="false">+AG28/((1+Assumptions!$C$5)^Assumptions!AH$7)</f>
        <v>8.83656952930039</v>
      </c>
      <c r="AH32" s="133" t="n">
        <f aca="false">+AH28/((1+Assumptions!$C$5)^Assumptions!AI$7)</f>
        <v>7.65566538470893</v>
      </c>
      <c r="AI32" s="133" t="n">
        <f aca="false">+AI28/((1+Assumptions!$C$5)^Assumptions!AJ$7)</f>
        <v>6.54169661478716</v>
      </c>
      <c r="AJ32" s="133" t="n">
        <f aca="false">+AJ28/((1+Assumptions!$C$5)^Assumptions!AK$7)</f>
        <v>4.97826074852866</v>
      </c>
      <c r="AK32" s="133" t="n">
        <f aca="false">+AK28/((1+Assumptions!$C$5)^Assumptions!AL$7)</f>
        <v>4.05972178631118</v>
      </c>
      <c r="AL32" s="133" t="n">
        <f aca="false">+AL28/((1+Assumptions!$C$5)^Assumptions!AM$7)</f>
        <v>3.4238244457541</v>
      </c>
      <c r="AM32" s="133" t="n">
        <f aca="false">+AM28/((1+Assumptions!$C$5)^Assumptions!AN$7)</f>
        <v>1.42888615695162</v>
      </c>
      <c r="AN32" s="133" t="n">
        <f aca="false">+AN28/((1+Assumptions!$C$5)^Assumptions!AO$7)</f>
        <v>1.38283835231461</v>
      </c>
      <c r="AO32" s="133" t="n">
        <f aca="false">+AO28/((1+Assumptions!$C$5)^Assumptions!AP$7)</f>
        <v>1.33827450096638</v>
      </c>
      <c r="AP32" s="133" t="n">
        <f aca="false">+AP28/((1+Assumptions!$C$5)^Assumptions!AQ$7)</f>
        <v>0</v>
      </c>
      <c r="AQ32" s="133" t="n">
        <f aca="false">+AQ28/((1+Assumptions!$C$5)^Assumptions!AR$7)</f>
        <v>0</v>
      </c>
      <c r="AR32" s="133" t="n">
        <f aca="false">+AR28/((1+Assumptions!$C$5)^Assumptions!AS$7)</f>
        <v>0</v>
      </c>
      <c r="AS32" s="133" t="n">
        <f aca="false">+AS28/((1+Assumptions!$C$5)^Assumptions!AT$7)</f>
        <v>0</v>
      </c>
      <c r="AT32" s="152" t="n">
        <f aca="false">+AT28/((1+Assumptions!$C$5)^Assumptions!AU$7)</f>
        <v>0</v>
      </c>
    </row>
    <row r="34" customFormat="false" ht="15" hidden="false" customHeight="false" outlineLevel="0" collapsed="false">
      <c r="A34" s="161"/>
      <c r="B34" s="143" t="s">
        <v>301</v>
      </c>
      <c r="C34" s="144"/>
      <c r="D34" s="145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7"/>
    </row>
    <row r="35" customFormat="false" ht="15" hidden="false" customHeight="false" outlineLevel="0" collapsed="false">
      <c r="A35" s="162"/>
      <c r="B35" s="149" t="s">
        <v>289</v>
      </c>
      <c r="C35" s="131" t="s">
        <v>136</v>
      </c>
      <c r="D35" s="131" t="s">
        <v>46</v>
      </c>
      <c r="E35" s="131" t="s">
        <v>47</v>
      </c>
      <c r="F35" s="131" t="s">
        <v>48</v>
      </c>
      <c r="G35" s="131" t="s">
        <v>49</v>
      </c>
      <c r="H35" s="131" t="s">
        <v>50</v>
      </c>
      <c r="I35" s="131" t="s">
        <v>51</v>
      </c>
      <c r="J35" s="131" t="s">
        <v>52</v>
      </c>
      <c r="K35" s="131" t="s">
        <v>53</v>
      </c>
      <c r="L35" s="131" t="s">
        <v>54</v>
      </c>
      <c r="M35" s="131" t="s">
        <v>55</v>
      </c>
      <c r="N35" s="131" t="s">
        <v>56</v>
      </c>
      <c r="O35" s="131" t="s">
        <v>57</v>
      </c>
      <c r="P35" s="131" t="s">
        <v>58</v>
      </c>
      <c r="Q35" s="131" t="s">
        <v>59</v>
      </c>
      <c r="R35" s="131" t="s">
        <v>60</v>
      </c>
      <c r="S35" s="131" t="s">
        <v>61</v>
      </c>
      <c r="T35" s="131" t="s">
        <v>62</v>
      </c>
      <c r="U35" s="131" t="s">
        <v>63</v>
      </c>
      <c r="V35" s="131" t="s">
        <v>64</v>
      </c>
      <c r="W35" s="131" t="s">
        <v>65</v>
      </c>
      <c r="X35" s="131" t="s">
        <v>66</v>
      </c>
      <c r="Y35" s="131" t="s">
        <v>67</v>
      </c>
      <c r="Z35" s="131" t="s">
        <v>68</v>
      </c>
      <c r="AA35" s="131" t="s">
        <v>69</v>
      </c>
      <c r="AB35" s="131" t="s">
        <v>70</v>
      </c>
      <c r="AC35" s="131" t="s">
        <v>71</v>
      </c>
      <c r="AD35" s="131" t="s">
        <v>72</v>
      </c>
      <c r="AE35" s="131" t="s">
        <v>73</v>
      </c>
      <c r="AF35" s="131" t="s">
        <v>74</v>
      </c>
      <c r="AG35" s="131" t="s">
        <v>75</v>
      </c>
      <c r="AH35" s="131" t="s">
        <v>76</v>
      </c>
      <c r="AI35" s="131" t="s">
        <v>77</v>
      </c>
      <c r="AJ35" s="131" t="s">
        <v>78</v>
      </c>
      <c r="AK35" s="131" t="s">
        <v>79</v>
      </c>
      <c r="AL35" s="131" t="s">
        <v>80</v>
      </c>
      <c r="AM35" s="131" t="s">
        <v>81</v>
      </c>
      <c r="AN35" s="131" t="s">
        <v>82</v>
      </c>
      <c r="AO35" s="131" t="s">
        <v>83</v>
      </c>
      <c r="AP35" s="131" t="s">
        <v>84</v>
      </c>
      <c r="AQ35" s="131" t="s">
        <v>85</v>
      </c>
      <c r="AR35" s="131" t="s">
        <v>86</v>
      </c>
      <c r="AS35" s="131" t="s">
        <v>290</v>
      </c>
      <c r="AT35" s="150" t="s">
        <v>291</v>
      </c>
    </row>
    <row r="36" customFormat="false" ht="15" hidden="false" customHeight="false" outlineLevel="0" collapsed="false">
      <c r="A36" s="161"/>
      <c r="B36" s="151" t="s">
        <v>217</v>
      </c>
      <c r="C36" s="132" t="n">
        <f aca="false">AT36</f>
        <v>595.292929375001</v>
      </c>
      <c r="D36" s="133" t="n">
        <f aca="false">D28</f>
        <v>0</v>
      </c>
      <c r="E36" s="133" t="n">
        <f aca="false">D36+E28</f>
        <v>0</v>
      </c>
      <c r="F36" s="133" t="n">
        <f aca="false">E36+F28</f>
        <v>0</v>
      </c>
      <c r="G36" s="133" t="n">
        <f aca="false">F36+G28</f>
        <v>-85</v>
      </c>
      <c r="H36" s="133" t="n">
        <f aca="false">G36+H28</f>
        <v>-89.38435</v>
      </c>
      <c r="I36" s="133" t="n">
        <f aca="false">H36+I28</f>
        <v>-75.65305</v>
      </c>
      <c r="J36" s="133" t="n">
        <f aca="false">I36+J28</f>
        <v>-62.892225</v>
      </c>
      <c r="K36" s="133" t="n">
        <f aca="false">J36+K28</f>
        <v>-46.733835</v>
      </c>
      <c r="L36" s="133" t="n">
        <f aca="false">K36+L28</f>
        <v>-85.13881</v>
      </c>
      <c r="M36" s="133" t="n">
        <f aca="false">L36+M28</f>
        <v>-102.0180625</v>
      </c>
      <c r="N36" s="133" t="n">
        <f aca="false">M36+N28</f>
        <v>-100.9419475</v>
      </c>
      <c r="O36" s="133" t="n">
        <f aca="false">N36+O28</f>
        <v>-77.8959475</v>
      </c>
      <c r="P36" s="133" t="n">
        <f aca="false">O36+P28</f>
        <v>-32.89763125</v>
      </c>
      <c r="Q36" s="133" t="n">
        <f aca="false">P36+Q28</f>
        <v>22.28235125</v>
      </c>
      <c r="R36" s="133" t="n">
        <f aca="false">Q36+R28</f>
        <v>503.57835875</v>
      </c>
      <c r="S36" s="133" t="n">
        <f aca="false">R36+S28</f>
        <v>473.42409125</v>
      </c>
      <c r="T36" s="133" t="n">
        <f aca="false">S36+T28</f>
        <v>344.19036375</v>
      </c>
      <c r="U36" s="133" t="n">
        <f aca="false">T36+U28</f>
        <v>245.74703625</v>
      </c>
      <c r="V36" s="133" t="n">
        <f aca="false">U36+V28</f>
        <v>282.54702375</v>
      </c>
      <c r="W36" s="133" t="n">
        <f aca="false">V36+W28</f>
        <v>317.53544625</v>
      </c>
      <c r="X36" s="133" t="n">
        <f aca="false">W36+X28</f>
        <v>372.314908125</v>
      </c>
      <c r="Y36" s="133" t="n">
        <f aca="false">X36+Y28</f>
        <v>419.968321875</v>
      </c>
      <c r="Z36" s="133" t="n">
        <f aca="false">Y36+Z28</f>
        <v>458.806198125</v>
      </c>
      <c r="AA36" s="133" t="n">
        <f aca="false">Z36+AA28</f>
        <v>487.352446875</v>
      </c>
      <c r="AB36" s="133" t="n">
        <f aca="false">AA36+AB28</f>
        <v>538.398695625</v>
      </c>
      <c r="AC36" s="133" t="n">
        <f aca="false">AB36+AC28</f>
        <v>589.444944375</v>
      </c>
      <c r="AD36" s="133" t="n">
        <f aca="false">AC36+AD28</f>
        <v>640.491193125</v>
      </c>
      <c r="AE36" s="133" t="n">
        <f aca="false">AD36+AE28</f>
        <v>691.537441875</v>
      </c>
      <c r="AF36" s="133" t="n">
        <f aca="false">AE36+AF28</f>
        <v>494.2772134375</v>
      </c>
      <c r="AG36" s="133" t="n">
        <f aca="false">AF36+AG28</f>
        <v>514.98650453125</v>
      </c>
      <c r="AH36" s="133" t="n">
        <f aca="false">AG36+AH28</f>
        <v>533.52569171875</v>
      </c>
      <c r="AI36" s="133" t="n">
        <f aca="false">AH36+AI28</f>
        <v>549.894775</v>
      </c>
      <c r="AJ36" s="133" t="n">
        <f aca="false">AI36+AJ28</f>
        <v>562.76653140625</v>
      </c>
      <c r="AK36" s="133" t="n">
        <f aca="false">AJ36+AK28</f>
        <v>573.6128575</v>
      </c>
      <c r="AL36" s="133" t="n">
        <f aca="false">AK36+AL28</f>
        <v>583.064865625</v>
      </c>
      <c r="AM36" s="133" t="n">
        <f aca="false">AL36+AM28</f>
        <v>587.140886875</v>
      </c>
      <c r="AN36" s="133" t="n">
        <f aca="false">AM36+AN28</f>
        <v>591.216908125001</v>
      </c>
      <c r="AO36" s="133" t="n">
        <f aca="false">AN36+AO28</f>
        <v>595.292929375001</v>
      </c>
      <c r="AP36" s="133" t="n">
        <f aca="false">AO36+AP28</f>
        <v>595.292929375001</v>
      </c>
      <c r="AQ36" s="133" t="n">
        <f aca="false">AP36+AQ28</f>
        <v>595.292929375001</v>
      </c>
      <c r="AR36" s="133" t="n">
        <f aca="false">AQ36+AR28</f>
        <v>595.292929375001</v>
      </c>
      <c r="AS36" s="133" t="n">
        <f aca="false">AR36+AS28</f>
        <v>595.292929375001</v>
      </c>
      <c r="AT36" s="152" t="n">
        <f aca="false">AS36+AT28</f>
        <v>595.292929375001</v>
      </c>
    </row>
    <row r="38" customFormat="false" ht="15" hidden="false" customHeight="false" outlineLevel="0" collapsed="false">
      <c r="A38" s="161"/>
      <c r="B38" s="153" t="s">
        <v>302</v>
      </c>
      <c r="D38" s="138"/>
      <c r="AT38" s="154"/>
    </row>
    <row r="39" customFormat="false" ht="15" hidden="false" customHeight="false" outlineLevel="0" collapsed="false">
      <c r="A39" s="162"/>
      <c r="B39" s="155" t="s">
        <v>289</v>
      </c>
      <c r="C39" s="134" t="s">
        <v>136</v>
      </c>
      <c r="D39" s="134" t="s">
        <v>46</v>
      </c>
      <c r="E39" s="134" t="s">
        <v>47</v>
      </c>
      <c r="F39" s="134" t="s">
        <v>48</v>
      </c>
      <c r="G39" s="134" t="s">
        <v>49</v>
      </c>
      <c r="H39" s="134" t="s">
        <v>50</v>
      </c>
      <c r="I39" s="134" t="s">
        <v>51</v>
      </c>
      <c r="J39" s="134" t="s">
        <v>52</v>
      </c>
      <c r="K39" s="134" t="s">
        <v>53</v>
      </c>
      <c r="L39" s="134" t="s">
        <v>54</v>
      </c>
      <c r="M39" s="134" t="s">
        <v>55</v>
      </c>
      <c r="N39" s="134" t="s">
        <v>56</v>
      </c>
      <c r="O39" s="134" t="s">
        <v>57</v>
      </c>
      <c r="P39" s="134" t="s">
        <v>58</v>
      </c>
      <c r="Q39" s="134" t="s">
        <v>59</v>
      </c>
      <c r="R39" s="134" t="s">
        <v>60</v>
      </c>
      <c r="S39" s="134" t="s">
        <v>61</v>
      </c>
      <c r="T39" s="134" t="s">
        <v>62</v>
      </c>
      <c r="U39" s="134" t="s">
        <v>63</v>
      </c>
      <c r="V39" s="134" t="s">
        <v>64</v>
      </c>
      <c r="W39" s="134" t="s">
        <v>65</v>
      </c>
      <c r="X39" s="134" t="s">
        <v>66</v>
      </c>
      <c r="Y39" s="134" t="s">
        <v>67</v>
      </c>
      <c r="Z39" s="134" t="s">
        <v>68</v>
      </c>
      <c r="AA39" s="134" t="s">
        <v>69</v>
      </c>
      <c r="AB39" s="134" t="s">
        <v>70</v>
      </c>
      <c r="AC39" s="134" t="s">
        <v>71</v>
      </c>
      <c r="AD39" s="134" t="s">
        <v>72</v>
      </c>
      <c r="AE39" s="134" t="s">
        <v>73</v>
      </c>
      <c r="AF39" s="134" t="s">
        <v>74</v>
      </c>
      <c r="AG39" s="134" t="s">
        <v>75</v>
      </c>
      <c r="AH39" s="134" t="s">
        <v>76</v>
      </c>
      <c r="AI39" s="134" t="s">
        <v>77</v>
      </c>
      <c r="AJ39" s="134" t="s">
        <v>78</v>
      </c>
      <c r="AK39" s="134" t="s">
        <v>79</v>
      </c>
      <c r="AL39" s="134" t="s">
        <v>80</v>
      </c>
      <c r="AM39" s="134" t="s">
        <v>81</v>
      </c>
      <c r="AN39" s="134" t="s">
        <v>82</v>
      </c>
      <c r="AO39" s="134" t="s">
        <v>83</v>
      </c>
      <c r="AP39" s="134" t="s">
        <v>84</v>
      </c>
      <c r="AQ39" s="134" t="s">
        <v>85</v>
      </c>
      <c r="AR39" s="134" t="s">
        <v>86</v>
      </c>
      <c r="AS39" s="134" t="s">
        <v>290</v>
      </c>
      <c r="AT39" s="156" t="s">
        <v>291</v>
      </c>
    </row>
    <row r="40" customFormat="false" ht="15" hidden="false" customHeight="false" outlineLevel="0" collapsed="false">
      <c r="A40" s="161"/>
      <c r="B40" s="151" t="s">
        <v>217</v>
      </c>
      <c r="C40" s="132" t="n">
        <f aca="false">AT40</f>
        <v>350.586903044344</v>
      </c>
      <c r="D40" s="133" t="n">
        <f aca="false">D32</f>
        <v>0</v>
      </c>
      <c r="E40" s="133" t="n">
        <f aca="false">D40+E32</f>
        <v>0</v>
      </c>
      <c r="F40" s="133" t="n">
        <f aca="false">E40+F32</f>
        <v>0</v>
      </c>
      <c r="G40" s="133" t="n">
        <f aca="false">F40+G32</f>
        <v>-85</v>
      </c>
      <c r="H40" s="133" t="n">
        <f aca="false">G40+H32</f>
        <v>-89.2430583433638</v>
      </c>
      <c r="I40" s="133" t="n">
        <f aca="false">H40+I32</f>
        <v>-76.3825175887921</v>
      </c>
      <c r="J40" s="133" t="n">
        <f aca="false">I40+J32</f>
        <v>-64.8160668014243</v>
      </c>
      <c r="K40" s="133" t="n">
        <f aca="false">J40+K32</f>
        <v>-50.6420404856348</v>
      </c>
      <c r="L40" s="133" t="n">
        <f aca="false">K40+L32</f>
        <v>-83.2449547987704</v>
      </c>
      <c r="M40" s="133" t="n">
        <f aca="false">L40+M32</f>
        <v>-97.1123832212308</v>
      </c>
      <c r="N40" s="133" t="n">
        <f aca="false">M40+N32</f>
        <v>-96.2567745146739</v>
      </c>
      <c r="O40" s="133" t="n">
        <f aca="false">N40+O32</f>
        <v>-78.5236258535474</v>
      </c>
      <c r="P40" s="133" t="n">
        <f aca="false">O40+P32</f>
        <v>-45.0147122220949</v>
      </c>
      <c r="Q40" s="133" t="n">
        <f aca="false">P40+Q32</f>
        <v>-5.24802347723017</v>
      </c>
      <c r="R40" s="133" t="n">
        <f aca="false">Q40+R32</f>
        <v>330.43077955953</v>
      </c>
      <c r="S40" s="133" t="n">
        <f aca="false">R40+S32</f>
        <v>310.077507905094</v>
      </c>
      <c r="T40" s="133" t="n">
        <f aca="false">S40+T32</f>
        <v>225.659499107324</v>
      </c>
      <c r="U40" s="133" t="n">
        <f aca="false">T40+U32</f>
        <v>163.426704278828</v>
      </c>
      <c r="V40" s="133" t="n">
        <f aca="false">U40+V32</f>
        <v>185.940798467341</v>
      </c>
      <c r="W40" s="133" t="n">
        <f aca="false">V40+W32</f>
        <v>206.656753365886</v>
      </c>
      <c r="X40" s="133" t="n">
        <f aca="false">W40+X32</f>
        <v>238.045367663614</v>
      </c>
      <c r="Y40" s="133" t="n">
        <f aca="false">X40+Y32</f>
        <v>264.470805189435</v>
      </c>
      <c r="Z40" s="133" t="n">
        <f aca="false">Y40+Z32</f>
        <v>285.313670868906</v>
      </c>
      <c r="AA40" s="133" t="n">
        <f aca="false">Z40+AA32</f>
        <v>300.139697954677</v>
      </c>
      <c r="AB40" s="133" t="n">
        <f aca="false">AA40+AB32</f>
        <v>325.797140375691</v>
      </c>
      <c r="AC40" s="133" t="n">
        <f aca="false">AB40+AC32</f>
        <v>350.627736731789</v>
      </c>
      <c r="AD40" s="133" t="n">
        <f aca="false">AC40+AD32</f>
        <v>374.658133264785</v>
      </c>
      <c r="AE40" s="133" t="n">
        <f aca="false">AD40+AE32</f>
        <v>397.914117505018</v>
      </c>
      <c r="AF40" s="133" t="n">
        <f aca="false">AE40+AF32</f>
        <v>310.941165524721</v>
      </c>
      <c r="AG40" s="133" t="n">
        <f aca="false">AF40+AG32</f>
        <v>319.777735054021</v>
      </c>
      <c r="AH40" s="133" t="n">
        <f aca="false">AG40+AH32</f>
        <v>327.43340043873</v>
      </c>
      <c r="AI40" s="133" t="n">
        <f aca="false">AH40+AI32</f>
        <v>333.975097053517</v>
      </c>
      <c r="AJ40" s="133" t="n">
        <f aca="false">AI40+AJ32</f>
        <v>338.953357802046</v>
      </c>
      <c r="AK40" s="133" t="n">
        <f aca="false">AJ40+AK32</f>
        <v>343.013079588357</v>
      </c>
      <c r="AL40" s="133" t="n">
        <f aca="false">AK40+AL32</f>
        <v>346.436904034111</v>
      </c>
      <c r="AM40" s="133" t="n">
        <f aca="false">AL40+AM32</f>
        <v>347.865790191063</v>
      </c>
      <c r="AN40" s="133" t="n">
        <f aca="false">AM40+AN32</f>
        <v>349.248628543377</v>
      </c>
      <c r="AO40" s="133" t="n">
        <f aca="false">AN40+AO32</f>
        <v>350.586903044344</v>
      </c>
      <c r="AP40" s="133" t="n">
        <f aca="false">AO40+AP32</f>
        <v>350.586903044344</v>
      </c>
      <c r="AQ40" s="133" t="n">
        <f aca="false">AP40+AQ32</f>
        <v>350.586903044344</v>
      </c>
      <c r="AR40" s="133" t="n">
        <f aca="false">AQ40+AR32</f>
        <v>350.586903044344</v>
      </c>
      <c r="AS40" s="133" t="n">
        <f aca="false">AR40+AS32</f>
        <v>350.586903044344</v>
      </c>
      <c r="AT40" s="152" t="n">
        <f aca="false">AS40+AT32</f>
        <v>350.586903044344</v>
      </c>
    </row>
    <row r="42" customFormat="false" ht="13.5" hidden="false" customHeight="true" outlineLevel="0" collapsed="false">
      <c r="B42" s="136" t="s">
        <v>303</v>
      </c>
      <c r="D42" s="138"/>
    </row>
    <row r="43" customFormat="false" ht="13.5" hidden="false" customHeight="true" outlineLevel="0" collapsed="false">
      <c r="B43" s="131" t="s">
        <v>289</v>
      </c>
      <c r="C43" s="131" t="s">
        <v>136</v>
      </c>
      <c r="D43" s="131" t="s">
        <v>46</v>
      </c>
      <c r="E43" s="131" t="s">
        <v>47</v>
      </c>
      <c r="F43" s="131" t="s">
        <v>48</v>
      </c>
      <c r="G43" s="131" t="s">
        <v>49</v>
      </c>
      <c r="H43" s="131" t="s">
        <v>50</v>
      </c>
      <c r="I43" s="131" t="s">
        <v>51</v>
      </c>
      <c r="J43" s="131" t="s">
        <v>52</v>
      </c>
      <c r="K43" s="131" t="s">
        <v>53</v>
      </c>
      <c r="L43" s="131" t="s">
        <v>54</v>
      </c>
      <c r="M43" s="131" t="s">
        <v>55</v>
      </c>
      <c r="N43" s="131" t="s">
        <v>56</v>
      </c>
      <c r="O43" s="131" t="s">
        <v>57</v>
      </c>
      <c r="P43" s="131" t="s">
        <v>58</v>
      </c>
      <c r="Q43" s="131" t="s">
        <v>59</v>
      </c>
      <c r="R43" s="131" t="s">
        <v>60</v>
      </c>
      <c r="S43" s="131" t="s">
        <v>61</v>
      </c>
      <c r="T43" s="131" t="s">
        <v>62</v>
      </c>
      <c r="U43" s="131" t="s">
        <v>63</v>
      </c>
      <c r="V43" s="131" t="s">
        <v>64</v>
      </c>
      <c r="W43" s="131" t="s">
        <v>65</v>
      </c>
      <c r="X43" s="131" t="s">
        <v>66</v>
      </c>
      <c r="Y43" s="131" t="s">
        <v>67</v>
      </c>
      <c r="Z43" s="131" t="s">
        <v>68</v>
      </c>
      <c r="AA43" s="131" t="s">
        <v>69</v>
      </c>
      <c r="AB43" s="131" t="s">
        <v>70</v>
      </c>
      <c r="AC43" s="131" t="s">
        <v>71</v>
      </c>
      <c r="AD43" s="131" t="s">
        <v>72</v>
      </c>
      <c r="AE43" s="131" t="s">
        <v>73</v>
      </c>
      <c r="AF43" s="131" t="s">
        <v>74</v>
      </c>
      <c r="AG43" s="131" t="s">
        <v>75</v>
      </c>
      <c r="AH43" s="131" t="s">
        <v>76</v>
      </c>
      <c r="AI43" s="131" t="s">
        <v>77</v>
      </c>
      <c r="AJ43" s="131" t="s">
        <v>78</v>
      </c>
      <c r="AK43" s="131" t="s">
        <v>79</v>
      </c>
      <c r="AL43" s="131" t="s">
        <v>80</v>
      </c>
      <c r="AM43" s="131" t="s">
        <v>81</v>
      </c>
      <c r="AN43" s="131" t="s">
        <v>82</v>
      </c>
      <c r="AO43" s="131" t="s">
        <v>83</v>
      </c>
      <c r="AP43" s="131" t="s">
        <v>84</v>
      </c>
      <c r="AQ43" s="131" t="s">
        <v>85</v>
      </c>
      <c r="AR43" s="131" t="s">
        <v>86</v>
      </c>
      <c r="AS43" s="131" t="s">
        <v>290</v>
      </c>
      <c r="AT43" s="131" t="s">
        <v>291</v>
      </c>
    </row>
    <row r="44" customFormat="false" ht="15" hidden="false" customHeight="false" outlineLevel="0" collapsed="false">
      <c r="B44" s="132" t="s">
        <v>217</v>
      </c>
      <c r="C44" s="132" t="n">
        <f aca="false">AT44</f>
        <v>1503.976359375</v>
      </c>
      <c r="D44" s="133" t="n">
        <f aca="false">D12</f>
        <v>0</v>
      </c>
      <c r="E44" s="133" t="n">
        <f aca="false">D44+E12</f>
        <v>0</v>
      </c>
      <c r="F44" s="133" t="n">
        <f aca="false">E44+F12</f>
        <v>0</v>
      </c>
      <c r="G44" s="133" t="n">
        <f aca="false">F44+G12</f>
        <v>-85</v>
      </c>
      <c r="H44" s="133" t="n">
        <f aca="false">G44+H12</f>
        <v>-89.38435</v>
      </c>
      <c r="I44" s="133" t="n">
        <f aca="false">H44+I12</f>
        <v>-75.65305</v>
      </c>
      <c r="J44" s="133" t="n">
        <f aca="false">I44+J12</f>
        <v>-39.892225</v>
      </c>
      <c r="K44" s="133" t="n">
        <f aca="false">J44+K12</f>
        <v>6.626165</v>
      </c>
      <c r="L44" s="133" t="n">
        <f aca="false">K44+L12</f>
        <v>28.71371</v>
      </c>
      <c r="M44" s="133" t="n">
        <f aca="false">L44+M12</f>
        <v>56.6869775</v>
      </c>
      <c r="N44" s="133" t="n">
        <f aca="false">M44+N12</f>
        <v>100.5580325</v>
      </c>
      <c r="O44" s="133" t="n">
        <f aca="false">N44+O12</f>
        <v>161.1655625</v>
      </c>
      <c r="P44" s="133" t="n">
        <f aca="false">O44+P12</f>
        <v>220.16799875</v>
      </c>
      <c r="Q44" s="133" t="n">
        <f aca="false">P44+Q12</f>
        <v>288.81534125</v>
      </c>
      <c r="R44" s="133" t="n">
        <f aca="false">Q44+R12</f>
        <v>915.65580875</v>
      </c>
      <c r="S44" s="133" t="n">
        <f aca="false">R44+S12</f>
        <v>1031.04600125</v>
      </c>
      <c r="T44" s="133" t="n">
        <f aca="false">S44+T12</f>
        <v>1098.64259375</v>
      </c>
      <c r="U44" s="133" t="n">
        <f aca="false">T44+U12</f>
        <v>1142.97958625</v>
      </c>
      <c r="V44" s="133" t="n">
        <f aca="false">U44+V12</f>
        <v>1185.50501375</v>
      </c>
      <c r="W44" s="133" t="n">
        <f aca="false">V44+W12</f>
        <v>1226.21887625</v>
      </c>
      <c r="X44" s="133" t="n">
        <f aca="false">W44+X12</f>
        <v>1280.998338125</v>
      </c>
      <c r="Y44" s="133" t="n">
        <f aca="false">X44+Y12</f>
        <v>1328.651751875</v>
      </c>
      <c r="Z44" s="133" t="n">
        <f aca="false">Y44+Z12</f>
        <v>1367.489628125</v>
      </c>
      <c r="AA44" s="133" t="n">
        <f aca="false">Z44+AA12</f>
        <v>1396.035876875</v>
      </c>
      <c r="AB44" s="133" t="n">
        <f aca="false">AA44+AB12</f>
        <v>1447.082125625</v>
      </c>
      <c r="AC44" s="133" t="n">
        <f aca="false">AB44+AC12</f>
        <v>1498.128374375</v>
      </c>
      <c r="AD44" s="133" t="n">
        <f aca="false">AC44+AD12</f>
        <v>1549.174623125</v>
      </c>
      <c r="AE44" s="133" t="n">
        <f aca="false">AD44+AE12</f>
        <v>1600.220871875</v>
      </c>
      <c r="AF44" s="133" t="n">
        <f aca="false">AE44+AF12</f>
        <v>1402.9606434375</v>
      </c>
      <c r="AG44" s="133" t="n">
        <f aca="false">AF44+AG12</f>
        <v>1423.66993453125</v>
      </c>
      <c r="AH44" s="133" t="n">
        <f aca="false">AG44+AH12</f>
        <v>1442.20912171875</v>
      </c>
      <c r="AI44" s="133" t="n">
        <f aca="false">AH44+AI12</f>
        <v>1458.578205</v>
      </c>
      <c r="AJ44" s="133" t="n">
        <f aca="false">AI44+AJ12</f>
        <v>1471.44996140625</v>
      </c>
      <c r="AK44" s="133" t="n">
        <f aca="false">AJ44+AK12</f>
        <v>1482.2962875</v>
      </c>
      <c r="AL44" s="133" t="n">
        <f aca="false">AK44+AL12</f>
        <v>1491.748295625</v>
      </c>
      <c r="AM44" s="133" t="n">
        <f aca="false">AL44+AM12</f>
        <v>1495.824316875</v>
      </c>
      <c r="AN44" s="133" t="n">
        <f aca="false">AM44+AN12</f>
        <v>1499.900338125</v>
      </c>
      <c r="AO44" s="133" t="n">
        <f aca="false">AN44+AO12</f>
        <v>1503.976359375</v>
      </c>
      <c r="AP44" s="133" t="n">
        <f aca="false">AO44+AP12</f>
        <v>1503.976359375</v>
      </c>
      <c r="AQ44" s="133" t="n">
        <f aca="false">AP44+AQ12</f>
        <v>1503.976359375</v>
      </c>
      <c r="AR44" s="133" t="n">
        <f aca="false">AQ44+AR12</f>
        <v>1503.976359375</v>
      </c>
      <c r="AS44" s="133" t="n">
        <f aca="false">AR44+AS12</f>
        <v>1503.976359375</v>
      </c>
      <c r="AT44" s="133" t="n">
        <f aca="false">AS44+AT12</f>
        <v>1503.976359375</v>
      </c>
    </row>
    <row r="56" customFormat="false" ht="13.5" hidden="false" customHeight="true" outlineLevel="0" collapsed="false"/>
    <row r="57" customFormat="false" ht="13.5" hidden="false" customHeight="true" outlineLevel="0" collapsed="false"/>
    <row r="70" customFormat="false" ht="13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777343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52.22"/>
    <col collapsed="false" customWidth="true" hidden="false" outlineLevel="0" max="3" min="3" style="0" width="9.21"/>
    <col collapsed="false" customWidth="true" hidden="false" outlineLevel="0" max="46" min="4" style="0" width="7.22"/>
  </cols>
  <sheetData>
    <row r="1" customFormat="false" ht="15" hidden="false" customHeight="true" outlineLevel="0" collapsed="false">
      <c r="B1" s="24" t="s">
        <v>295</v>
      </c>
    </row>
    <row r="2" customFormat="false" ht="15" hidden="false" customHeight="true" outlineLevel="0" collapsed="false">
      <c r="B2" s="24" t="s">
        <v>35</v>
      </c>
    </row>
    <row r="3" customFormat="false" ht="15" hidden="false" customHeight="false" outlineLevel="0" collapsed="false">
      <c r="B3" s="131" t="s">
        <v>289</v>
      </c>
      <c r="C3" s="131" t="s">
        <v>136</v>
      </c>
      <c r="D3" s="131" t="s">
        <v>46</v>
      </c>
      <c r="E3" s="131" t="s">
        <v>47</v>
      </c>
      <c r="F3" s="131" t="s">
        <v>48</v>
      </c>
      <c r="G3" s="131" t="s">
        <v>49</v>
      </c>
      <c r="H3" s="131" t="s">
        <v>50</v>
      </c>
      <c r="I3" s="131" t="s">
        <v>51</v>
      </c>
      <c r="J3" s="131" t="s">
        <v>52</v>
      </c>
      <c r="K3" s="131" t="s">
        <v>53</v>
      </c>
      <c r="L3" s="131" t="s">
        <v>54</v>
      </c>
      <c r="M3" s="131" t="s">
        <v>55</v>
      </c>
      <c r="N3" s="131" t="s">
        <v>56</v>
      </c>
      <c r="O3" s="131" t="s">
        <v>57</v>
      </c>
      <c r="P3" s="131" t="s">
        <v>58</v>
      </c>
      <c r="Q3" s="131" t="s">
        <v>59</v>
      </c>
      <c r="R3" s="131" t="s">
        <v>60</v>
      </c>
      <c r="S3" s="131" t="s">
        <v>61</v>
      </c>
      <c r="T3" s="131" t="s">
        <v>62</v>
      </c>
      <c r="U3" s="131" t="s">
        <v>63</v>
      </c>
      <c r="V3" s="131" t="s">
        <v>64</v>
      </c>
      <c r="W3" s="131" t="s">
        <v>65</v>
      </c>
      <c r="X3" s="131" t="s">
        <v>66</v>
      </c>
      <c r="Y3" s="131" t="s">
        <v>67</v>
      </c>
      <c r="Z3" s="131" t="s">
        <v>68</v>
      </c>
      <c r="AA3" s="131" t="s">
        <v>69</v>
      </c>
      <c r="AB3" s="131" t="s">
        <v>70</v>
      </c>
      <c r="AC3" s="131" t="s">
        <v>71</v>
      </c>
      <c r="AD3" s="131" t="s">
        <v>72</v>
      </c>
      <c r="AE3" s="131" t="s">
        <v>73</v>
      </c>
      <c r="AF3" s="131" t="s">
        <v>74</v>
      </c>
      <c r="AG3" s="131" t="s">
        <v>75</v>
      </c>
      <c r="AH3" s="131" t="s">
        <v>76</v>
      </c>
      <c r="AI3" s="131" t="s">
        <v>77</v>
      </c>
      <c r="AJ3" s="131" t="s">
        <v>78</v>
      </c>
      <c r="AK3" s="131" t="s">
        <v>79</v>
      </c>
      <c r="AL3" s="131" t="s">
        <v>80</v>
      </c>
      <c r="AM3" s="131" t="s">
        <v>81</v>
      </c>
      <c r="AN3" s="131" t="s">
        <v>82</v>
      </c>
      <c r="AO3" s="131" t="s">
        <v>83</v>
      </c>
      <c r="AP3" s="131" t="s">
        <v>84</v>
      </c>
      <c r="AQ3" s="131" t="s">
        <v>85</v>
      </c>
      <c r="AR3" s="131" t="s">
        <v>86</v>
      </c>
      <c r="AS3" s="131" t="s">
        <v>290</v>
      </c>
      <c r="AT3" s="131" t="s">
        <v>291</v>
      </c>
    </row>
    <row r="4" customFormat="false" ht="15" hidden="false" customHeight="false" outlineLevel="0" collapsed="false">
      <c r="B4" s="132" t="s">
        <v>217</v>
      </c>
      <c r="C4" s="132" t="n">
        <f aca="false">SUM(D4:ZZ4)</f>
        <v>2673.73575</v>
      </c>
      <c r="D4" s="133" t="n">
        <f aca="false">'Cash In Flow Summary'!D4</f>
        <v>0</v>
      </c>
      <c r="E4" s="133" t="n">
        <f aca="false">'Cash In Flow Summary'!E4</f>
        <v>0</v>
      </c>
      <c r="F4" s="133" t="n">
        <f aca="false">'Cash In Flow Summary'!F4</f>
        <v>0</v>
      </c>
      <c r="G4" s="133" t="n">
        <f aca="false">'Cash In Flow Summary'!G4</f>
        <v>0</v>
      </c>
      <c r="H4" s="133" t="n">
        <f aca="false">'Cash In Flow Summary'!H4</f>
        <v>18.11565</v>
      </c>
      <c r="I4" s="133" t="n">
        <f aca="false">'Cash In Flow Summary'!I4</f>
        <v>36.2313</v>
      </c>
      <c r="J4" s="133" t="n">
        <f aca="false">'Cash In Flow Summary'!J4</f>
        <v>58.260825</v>
      </c>
      <c r="K4" s="133" t="n">
        <f aca="false">'Cash In Flow Summary'!K4</f>
        <v>69.01839</v>
      </c>
      <c r="L4" s="133" t="n">
        <f aca="false">'Cash In Flow Summary'!L4</f>
        <v>67.087545</v>
      </c>
      <c r="M4" s="133" t="n">
        <f aca="false">'Cash In Flow Summary'!M4</f>
        <v>72.9732675</v>
      </c>
      <c r="N4" s="133" t="n">
        <f aca="false">'Cash In Flow Summary'!N4</f>
        <v>88.871055</v>
      </c>
      <c r="O4" s="133" t="n">
        <f aca="false">'Cash In Flow Summary'!O4</f>
        <v>105.60753</v>
      </c>
      <c r="P4" s="133" t="n">
        <f aca="false">'Cash In Flow Summary'!P4</f>
        <v>115.25243625</v>
      </c>
      <c r="Q4" s="133" t="n">
        <f aca="false">'Cash In Flow Summary'!Q4</f>
        <v>124.8973425</v>
      </c>
      <c r="R4" s="133" t="n">
        <f aca="false">'Cash In Flow Summary'!R4</f>
        <v>683.0904675</v>
      </c>
      <c r="S4" s="133" t="n">
        <f aca="false">'Cash In Flow Summary'!S4</f>
        <v>171.6401925</v>
      </c>
      <c r="T4" s="133" t="n">
        <f aca="false">'Cash In Flow Summary'!T4</f>
        <v>112.5965925</v>
      </c>
      <c r="U4" s="133" t="n">
        <f aca="false">'Cash In Flow Summary'!U4</f>
        <v>89.3369925</v>
      </c>
      <c r="V4" s="133" t="n">
        <f aca="false">'Cash In Flow Summary'!V4</f>
        <v>87.5254275</v>
      </c>
      <c r="W4" s="133" t="n">
        <f aca="false">'Cash In Flow Summary'!W4</f>
        <v>85.7138625</v>
      </c>
      <c r="X4" s="133" t="n">
        <f aca="false">'Cash In Flow Summary'!X4</f>
        <v>77.279461875</v>
      </c>
      <c r="Y4" s="133" t="n">
        <f aca="false">'Cash In Flow Summary'!Y4</f>
        <v>70.15341375</v>
      </c>
      <c r="Z4" s="133" t="n">
        <f aca="false">'Cash In Flow Summary'!Z4</f>
        <v>61.33787625</v>
      </c>
      <c r="AA4" s="133" t="n">
        <f aca="false">'Cash In Flow Summary'!AA4</f>
        <v>51.04624875</v>
      </c>
      <c r="AB4" s="133" t="n">
        <f aca="false">'Cash In Flow Summary'!AB4</f>
        <v>51.04624875</v>
      </c>
      <c r="AC4" s="133" t="n">
        <f aca="false">'Cash In Flow Summary'!AC4</f>
        <v>51.04624875</v>
      </c>
      <c r="AD4" s="133" t="n">
        <f aca="false">'Cash In Flow Summary'!AD4</f>
        <v>51.04624875</v>
      </c>
      <c r="AE4" s="133" t="n">
        <f aca="false">'Cash In Flow Summary'!AE4</f>
        <v>51.04624875</v>
      </c>
      <c r="AF4" s="133" t="n">
        <f aca="false">'Cash In Flow Summary'!AF4</f>
        <v>43.931383125</v>
      </c>
      <c r="AG4" s="133" t="n">
        <f aca="false">'Cash In Flow Summary'!AG4</f>
        <v>36.8165175</v>
      </c>
      <c r="AH4" s="133" t="n">
        <f aca="false">'Cash In Flow Summary'!AH4</f>
        <v>32.958555</v>
      </c>
      <c r="AI4" s="133" t="n">
        <f aca="false">'Cash In Flow Summary'!AI4</f>
        <v>29.1005925</v>
      </c>
      <c r="AJ4" s="133" t="n">
        <f aca="false">'Cash In Flow Summary'!AJ4</f>
        <v>22.8831225</v>
      </c>
      <c r="AK4" s="133" t="n">
        <f aca="false">'Cash In Flow Summary'!AK4</f>
        <v>19.2823575</v>
      </c>
      <c r="AL4" s="133" t="n">
        <f aca="false">'Cash In Flow Summary'!AL4</f>
        <v>16.80357</v>
      </c>
      <c r="AM4" s="133" t="n">
        <f aca="false">'Cash In Flow Summary'!AM4</f>
        <v>7.24626</v>
      </c>
      <c r="AN4" s="133" t="n">
        <f aca="false">'Cash In Flow Summary'!AN4</f>
        <v>7.24626</v>
      </c>
      <c r="AO4" s="133" t="n">
        <f aca="false">'Cash In Flow Summary'!AO4</f>
        <v>7.24626</v>
      </c>
      <c r="AP4" s="133" t="n">
        <f aca="false">'Cash In Flow Summary'!AP4</f>
        <v>0</v>
      </c>
      <c r="AQ4" s="133" t="n">
        <f aca="false">'Cash In Flow Summary'!AQ4</f>
        <v>0</v>
      </c>
      <c r="AR4" s="133" t="n">
        <f aca="false">'Cash In Flow Summary'!AR4</f>
        <v>0</v>
      </c>
      <c r="AS4" s="133" t="n">
        <f aca="false">'Cash In Flow Summary'!AS4</f>
        <v>0</v>
      </c>
      <c r="AT4" s="133" t="n">
        <f aca="false">'Cash In Flow Summary'!AT4</f>
        <v>0</v>
      </c>
    </row>
    <row r="6" customFormat="false" ht="15" hidden="false" customHeight="false" outlineLevel="0" collapsed="false">
      <c r="B6" s="136" t="s">
        <v>36</v>
      </c>
      <c r="D6" s="138"/>
    </row>
    <row r="7" customFormat="false" ht="15" hidden="false" customHeight="false" outlineLevel="0" collapsed="false">
      <c r="B7" s="131" t="s">
        <v>289</v>
      </c>
      <c r="C7" s="131" t="s">
        <v>136</v>
      </c>
      <c r="D7" s="131" t="s">
        <v>46</v>
      </c>
      <c r="E7" s="131" t="s">
        <v>47</v>
      </c>
      <c r="F7" s="131" t="s">
        <v>48</v>
      </c>
      <c r="G7" s="131" t="s">
        <v>49</v>
      </c>
      <c r="H7" s="131" t="s">
        <v>50</v>
      </c>
      <c r="I7" s="131" t="s">
        <v>51</v>
      </c>
      <c r="J7" s="131" t="s">
        <v>52</v>
      </c>
      <c r="K7" s="131" t="s">
        <v>53</v>
      </c>
      <c r="L7" s="131" t="s">
        <v>54</v>
      </c>
      <c r="M7" s="131" t="s">
        <v>55</v>
      </c>
      <c r="N7" s="131" t="s">
        <v>56</v>
      </c>
      <c r="O7" s="131" t="s">
        <v>57</v>
      </c>
      <c r="P7" s="131" t="s">
        <v>58</v>
      </c>
      <c r="Q7" s="131" t="s">
        <v>59</v>
      </c>
      <c r="R7" s="131" t="s">
        <v>60</v>
      </c>
      <c r="S7" s="131" t="s">
        <v>61</v>
      </c>
      <c r="T7" s="131" t="s">
        <v>62</v>
      </c>
      <c r="U7" s="131" t="s">
        <v>63</v>
      </c>
      <c r="V7" s="131" t="s">
        <v>64</v>
      </c>
      <c r="W7" s="131" t="s">
        <v>65</v>
      </c>
      <c r="X7" s="131" t="s">
        <v>66</v>
      </c>
      <c r="Y7" s="131" t="s">
        <v>67</v>
      </c>
      <c r="Z7" s="131" t="s">
        <v>68</v>
      </c>
      <c r="AA7" s="131" t="s">
        <v>69</v>
      </c>
      <c r="AB7" s="131" t="s">
        <v>70</v>
      </c>
      <c r="AC7" s="131" t="s">
        <v>71</v>
      </c>
      <c r="AD7" s="131" t="s">
        <v>72</v>
      </c>
      <c r="AE7" s="131" t="s">
        <v>73</v>
      </c>
      <c r="AF7" s="131" t="s">
        <v>74</v>
      </c>
      <c r="AG7" s="131" t="s">
        <v>75</v>
      </c>
      <c r="AH7" s="131" t="s">
        <v>76</v>
      </c>
      <c r="AI7" s="131" t="s">
        <v>77</v>
      </c>
      <c r="AJ7" s="131" t="s">
        <v>78</v>
      </c>
      <c r="AK7" s="131" t="s">
        <v>79</v>
      </c>
      <c r="AL7" s="131" t="s">
        <v>80</v>
      </c>
      <c r="AM7" s="131" t="s">
        <v>81</v>
      </c>
      <c r="AN7" s="131" t="s">
        <v>82</v>
      </c>
      <c r="AO7" s="131" t="s">
        <v>83</v>
      </c>
      <c r="AP7" s="131" t="s">
        <v>84</v>
      </c>
      <c r="AQ7" s="131" t="s">
        <v>85</v>
      </c>
      <c r="AR7" s="131" t="s">
        <v>86</v>
      </c>
      <c r="AS7" s="131" t="s">
        <v>290</v>
      </c>
      <c r="AT7" s="131" t="s">
        <v>291</v>
      </c>
    </row>
    <row r="8" customFormat="false" ht="15" hidden="false" customHeight="false" outlineLevel="0" collapsed="false">
      <c r="B8" s="132" t="s">
        <v>217</v>
      </c>
      <c r="C8" s="132" t="n">
        <f aca="false">SUM(D8:ZZ8)</f>
        <v>1169.759390625</v>
      </c>
      <c r="D8" s="133" t="n">
        <f aca="false">Offers!$C$6/4</f>
        <v>0</v>
      </c>
      <c r="E8" s="133" t="n">
        <f aca="false">Offers!$C$6/4</f>
        <v>0</v>
      </c>
      <c r="F8" s="133" t="n">
        <f aca="false">Offers!$C$6/4</f>
        <v>0</v>
      </c>
      <c r="G8" s="141" t="n">
        <f aca="false">Offers!$C$6/4</f>
        <v>0</v>
      </c>
      <c r="H8" s="133" t="n">
        <f aca="false">Offers!$C$7/4</f>
        <v>25</v>
      </c>
      <c r="I8" s="133" t="n">
        <f aca="false">Offers!$C$7/4</f>
        <v>25</v>
      </c>
      <c r="J8" s="133" t="n">
        <f aca="false">Offers!$C$7/4</f>
        <v>25</v>
      </c>
      <c r="K8" s="133" t="n">
        <f aca="false">Offers!$C$7/4</f>
        <v>25</v>
      </c>
      <c r="L8" s="133" t="n">
        <f aca="false">Offers!$C$8/4</f>
        <v>50</v>
      </c>
      <c r="M8" s="133" t="n">
        <f aca="false">Offers!$C$8/4</f>
        <v>50</v>
      </c>
      <c r="N8" s="133" t="n">
        <f aca="false">Offers!$C$8/4</f>
        <v>50</v>
      </c>
      <c r="O8" s="133" t="n">
        <f aca="false">Offers!$C$8/4</f>
        <v>50</v>
      </c>
      <c r="P8" s="133" t="n">
        <f aca="false">Offers!$C$9/4</f>
        <v>62.5</v>
      </c>
      <c r="Q8" s="133" t="n">
        <f aca="false">Offers!$C$9/4</f>
        <v>62.5</v>
      </c>
      <c r="R8" s="133" t="n">
        <f aca="false">Offers!$C$9/4</f>
        <v>62.5</v>
      </c>
      <c r="S8" s="133" t="n">
        <f aca="false">Offers!$C$9/4</f>
        <v>62.5</v>
      </c>
      <c r="T8" s="133" t="n">
        <f aca="false">Offers!$C$10/4</f>
        <v>50</v>
      </c>
      <c r="U8" s="133" t="n">
        <f aca="false">Offers!$C$10/4</f>
        <v>50</v>
      </c>
      <c r="V8" s="133" t="n">
        <f aca="false">Offers!$C$10/4</f>
        <v>50</v>
      </c>
      <c r="W8" s="133" t="n">
        <f aca="false">Offers!$C$10/4</f>
        <v>50</v>
      </c>
      <c r="X8" s="133" t="n">
        <f aca="false">Offers!$C$11/4</f>
        <v>25</v>
      </c>
      <c r="Y8" s="133" t="n">
        <f aca="false">Offers!$C$11/4</f>
        <v>25</v>
      </c>
      <c r="Z8" s="133" t="n">
        <f aca="false">Offers!$C$11/4</f>
        <v>25</v>
      </c>
      <c r="AA8" s="133" t="n">
        <f aca="false">Offers!$C$11/4</f>
        <v>25</v>
      </c>
      <c r="AB8" s="133" t="n">
        <f aca="false">Offers!$C$12/4</f>
        <v>0</v>
      </c>
      <c r="AC8" s="133" t="n">
        <f aca="false">Offers!$C$12/4</f>
        <v>0</v>
      </c>
      <c r="AD8" s="133" t="n">
        <f aca="false">Offers!$C$12/4</f>
        <v>0</v>
      </c>
      <c r="AE8" s="133" t="n">
        <f aca="false">Offers!$C$12/4</f>
        <v>0</v>
      </c>
      <c r="AF8" s="133" t="n">
        <f aca="false">-SUM(D8:AE8)+SUM('Cash In Flow Summary'!D22:AE22)+'Cash In Flow Summary'!AF22</f>
        <v>241.1916115625</v>
      </c>
      <c r="AG8" s="133" t="n">
        <f aca="false">'Cash In Flow Summary'!AG22</f>
        <v>16.10722640625</v>
      </c>
      <c r="AH8" s="133" t="n">
        <f aca="false">'Cash In Flow Summary'!AH22</f>
        <v>14.4193678125</v>
      </c>
      <c r="AI8" s="133" t="n">
        <f aca="false">'Cash In Flow Summary'!AI22</f>
        <v>12.73150921875</v>
      </c>
      <c r="AJ8" s="133" t="n">
        <f aca="false">'Cash In Flow Summary'!AJ22</f>
        <v>10.01136609375</v>
      </c>
      <c r="AK8" s="133" t="n">
        <f aca="false">'Cash In Flow Summary'!AK22</f>
        <v>8.43603140625</v>
      </c>
      <c r="AL8" s="133" t="n">
        <f aca="false">'Cash In Flow Summary'!AL22</f>
        <v>7.351561875</v>
      </c>
      <c r="AM8" s="133" t="n">
        <f aca="false">'Cash In Flow Summary'!AM22</f>
        <v>3.17023875</v>
      </c>
      <c r="AN8" s="133" t="n">
        <f aca="false">'Cash In Flow Summary'!AN22</f>
        <v>3.17023875</v>
      </c>
      <c r="AO8" s="133" t="n">
        <f aca="false">'Cash In Flow Summary'!AO22</f>
        <v>3.17023875</v>
      </c>
      <c r="AP8" s="133" t="n">
        <f aca="false">'Cash In Flow Summary'!AP22</f>
        <v>0</v>
      </c>
      <c r="AQ8" s="133" t="n">
        <f aca="false">'Cash In Flow Summary'!AQ22</f>
        <v>0</v>
      </c>
      <c r="AR8" s="133" t="n">
        <f aca="false">'Cash In Flow Summary'!AR22</f>
        <v>0</v>
      </c>
      <c r="AS8" s="133" t="n">
        <f aca="false">'Cash In Flow Summary'!AS22</f>
        <v>0</v>
      </c>
      <c r="AT8" s="133" t="n">
        <f aca="false">'Cash In Flow Summary'!AT22</f>
        <v>0</v>
      </c>
    </row>
    <row r="10" customFormat="false" ht="15" hidden="false" customHeight="false" outlineLevel="0" collapsed="false">
      <c r="A10" s="142"/>
      <c r="B10" s="143" t="s">
        <v>296</v>
      </c>
      <c r="C10" s="144"/>
      <c r="D10" s="145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7"/>
    </row>
    <row r="11" customFormat="false" ht="15" hidden="false" customHeight="false" outlineLevel="0" collapsed="false">
      <c r="A11" s="148"/>
      <c r="B11" s="149" t="s">
        <v>289</v>
      </c>
      <c r="C11" s="131" t="s">
        <v>136</v>
      </c>
      <c r="D11" s="131" t="s">
        <v>46</v>
      </c>
      <c r="E11" s="131" t="s">
        <v>47</v>
      </c>
      <c r="F11" s="131" t="s">
        <v>48</v>
      </c>
      <c r="G11" s="131" t="s">
        <v>49</v>
      </c>
      <c r="H11" s="131" t="s">
        <v>50</v>
      </c>
      <c r="I11" s="131" t="s">
        <v>51</v>
      </c>
      <c r="J11" s="131" t="s">
        <v>52</v>
      </c>
      <c r="K11" s="131" t="s">
        <v>53</v>
      </c>
      <c r="L11" s="131" t="s">
        <v>54</v>
      </c>
      <c r="M11" s="131" t="s">
        <v>55</v>
      </c>
      <c r="N11" s="131" t="s">
        <v>56</v>
      </c>
      <c r="O11" s="131" t="s">
        <v>57</v>
      </c>
      <c r="P11" s="131" t="s">
        <v>58</v>
      </c>
      <c r="Q11" s="131" t="s">
        <v>59</v>
      </c>
      <c r="R11" s="131" t="s">
        <v>60</v>
      </c>
      <c r="S11" s="131" t="s">
        <v>61</v>
      </c>
      <c r="T11" s="131" t="s">
        <v>62</v>
      </c>
      <c r="U11" s="131" t="s">
        <v>63</v>
      </c>
      <c r="V11" s="131" t="s">
        <v>64</v>
      </c>
      <c r="W11" s="131" t="s">
        <v>65</v>
      </c>
      <c r="X11" s="131" t="s">
        <v>66</v>
      </c>
      <c r="Y11" s="131" t="s">
        <v>67</v>
      </c>
      <c r="Z11" s="131" t="s">
        <v>68</v>
      </c>
      <c r="AA11" s="131" t="s">
        <v>69</v>
      </c>
      <c r="AB11" s="131" t="s">
        <v>70</v>
      </c>
      <c r="AC11" s="131" t="s">
        <v>71</v>
      </c>
      <c r="AD11" s="131" t="s">
        <v>72</v>
      </c>
      <c r="AE11" s="131" t="s">
        <v>73</v>
      </c>
      <c r="AF11" s="131" t="s">
        <v>74</v>
      </c>
      <c r="AG11" s="131" t="s">
        <v>75</v>
      </c>
      <c r="AH11" s="131" t="s">
        <v>76</v>
      </c>
      <c r="AI11" s="131" t="s">
        <v>77</v>
      </c>
      <c r="AJ11" s="131" t="s">
        <v>78</v>
      </c>
      <c r="AK11" s="131" t="s">
        <v>79</v>
      </c>
      <c r="AL11" s="131" t="s">
        <v>80</v>
      </c>
      <c r="AM11" s="131" t="s">
        <v>81</v>
      </c>
      <c r="AN11" s="131" t="s">
        <v>82</v>
      </c>
      <c r="AO11" s="131" t="s">
        <v>83</v>
      </c>
      <c r="AP11" s="131" t="s">
        <v>84</v>
      </c>
      <c r="AQ11" s="131" t="s">
        <v>85</v>
      </c>
      <c r="AR11" s="131" t="s">
        <v>86</v>
      </c>
      <c r="AS11" s="131" t="s">
        <v>290</v>
      </c>
      <c r="AT11" s="150" t="s">
        <v>291</v>
      </c>
    </row>
    <row r="12" customFormat="false" ht="15" hidden="false" customHeight="false" outlineLevel="0" collapsed="false">
      <c r="A12" s="142"/>
      <c r="B12" s="151" t="s">
        <v>217</v>
      </c>
      <c r="C12" s="132" t="n">
        <f aca="false">SUM(D12:ZZ12)</f>
        <v>1503.976359375</v>
      </c>
      <c r="D12" s="133" t="n">
        <f aca="false">D4-D8</f>
        <v>0</v>
      </c>
      <c r="E12" s="133" t="n">
        <f aca="false">E4-E8</f>
        <v>0</v>
      </c>
      <c r="F12" s="133" t="n">
        <f aca="false">F4-F8</f>
        <v>0</v>
      </c>
      <c r="G12" s="133" t="n">
        <f aca="false">G4-G8</f>
        <v>0</v>
      </c>
      <c r="H12" s="133" t="n">
        <f aca="false">H4-H8</f>
        <v>-6.88435</v>
      </c>
      <c r="I12" s="133" t="n">
        <f aca="false">I4-I8</f>
        <v>11.2313</v>
      </c>
      <c r="J12" s="133" t="n">
        <f aca="false">J4-J8</f>
        <v>33.260825</v>
      </c>
      <c r="K12" s="133" t="n">
        <f aca="false">K4-K8</f>
        <v>44.01839</v>
      </c>
      <c r="L12" s="133" t="n">
        <f aca="false">L4-L8</f>
        <v>17.087545</v>
      </c>
      <c r="M12" s="133" t="n">
        <f aca="false">M4-M8</f>
        <v>22.9732675</v>
      </c>
      <c r="N12" s="133" t="n">
        <f aca="false">N4-N8</f>
        <v>38.871055</v>
      </c>
      <c r="O12" s="133" t="n">
        <f aca="false">O4-O8</f>
        <v>55.60753</v>
      </c>
      <c r="P12" s="133" t="n">
        <f aca="false">P4-P8</f>
        <v>52.75243625</v>
      </c>
      <c r="Q12" s="133" t="n">
        <f aca="false">Q4-Q8</f>
        <v>62.3973425</v>
      </c>
      <c r="R12" s="133" t="n">
        <f aca="false">R4-R8</f>
        <v>620.5904675</v>
      </c>
      <c r="S12" s="133" t="n">
        <f aca="false">S4-S8</f>
        <v>109.1401925</v>
      </c>
      <c r="T12" s="133" t="n">
        <f aca="false">T4-T8</f>
        <v>62.5965925</v>
      </c>
      <c r="U12" s="133" t="n">
        <f aca="false">U4-U8</f>
        <v>39.3369925</v>
      </c>
      <c r="V12" s="133" t="n">
        <f aca="false">V4-V8</f>
        <v>37.5254275</v>
      </c>
      <c r="W12" s="133" t="n">
        <f aca="false">W4-W8</f>
        <v>35.7138625</v>
      </c>
      <c r="X12" s="133" t="n">
        <f aca="false">X4-X8</f>
        <v>52.279461875</v>
      </c>
      <c r="Y12" s="133" t="n">
        <f aca="false">Y4-Y8</f>
        <v>45.15341375</v>
      </c>
      <c r="Z12" s="133" t="n">
        <f aca="false">Z4-Z8</f>
        <v>36.33787625</v>
      </c>
      <c r="AA12" s="133" t="n">
        <f aca="false">AA4-AA8</f>
        <v>26.04624875</v>
      </c>
      <c r="AB12" s="133" t="n">
        <f aca="false">AB4-AB8</f>
        <v>51.04624875</v>
      </c>
      <c r="AC12" s="133" t="n">
        <f aca="false">AC4-AC8</f>
        <v>51.04624875</v>
      </c>
      <c r="AD12" s="133" t="n">
        <f aca="false">AD4-AD8</f>
        <v>51.04624875</v>
      </c>
      <c r="AE12" s="133" t="n">
        <f aca="false">AE4-AE8</f>
        <v>51.04624875</v>
      </c>
      <c r="AF12" s="133" t="n">
        <f aca="false">AF4-AF8</f>
        <v>-197.2602284375</v>
      </c>
      <c r="AG12" s="133" t="n">
        <f aca="false">AG4-AG8</f>
        <v>20.70929109375</v>
      </c>
      <c r="AH12" s="133" t="n">
        <f aca="false">AH4-AH8</f>
        <v>18.5391871875</v>
      </c>
      <c r="AI12" s="133" t="n">
        <f aca="false">AI4-AI8</f>
        <v>16.36908328125</v>
      </c>
      <c r="AJ12" s="133" t="n">
        <f aca="false">AJ4-AJ8</f>
        <v>12.87175640625</v>
      </c>
      <c r="AK12" s="133" t="n">
        <f aca="false">AK4-AK8</f>
        <v>10.84632609375</v>
      </c>
      <c r="AL12" s="133" t="n">
        <f aca="false">AL4-AL8</f>
        <v>9.452008125</v>
      </c>
      <c r="AM12" s="133" t="n">
        <f aca="false">AM4-AM8</f>
        <v>4.07602125</v>
      </c>
      <c r="AN12" s="133" t="n">
        <f aca="false">AN4-AN8</f>
        <v>4.07602125</v>
      </c>
      <c r="AO12" s="133" t="n">
        <f aca="false">AO4-AO8</f>
        <v>4.07602125</v>
      </c>
      <c r="AP12" s="133" t="n">
        <f aca="false">AP4-AP8</f>
        <v>0</v>
      </c>
      <c r="AQ12" s="133" t="n">
        <f aca="false">AQ4-AQ8</f>
        <v>0</v>
      </c>
      <c r="AR12" s="133" t="n">
        <f aca="false">AR4-AR8</f>
        <v>0</v>
      </c>
      <c r="AS12" s="133" t="n">
        <f aca="false">AS4-AS8</f>
        <v>0</v>
      </c>
      <c r="AT12" s="152" t="n">
        <f aca="false">AT4-AT8</f>
        <v>0</v>
      </c>
    </row>
    <row r="14" customFormat="false" ht="15" hidden="false" customHeight="false" outlineLevel="0" collapsed="false">
      <c r="A14" s="142"/>
      <c r="B14" s="153" t="s">
        <v>297</v>
      </c>
      <c r="D14" s="138"/>
      <c r="AT14" s="154"/>
    </row>
    <row r="15" customFormat="false" ht="13.5" hidden="false" customHeight="true" outlineLevel="0" collapsed="false">
      <c r="A15" s="148"/>
      <c r="B15" s="155" t="s">
        <v>289</v>
      </c>
      <c r="C15" s="134" t="s">
        <v>136</v>
      </c>
      <c r="D15" s="134" t="s">
        <v>46</v>
      </c>
      <c r="E15" s="134" t="s">
        <v>47</v>
      </c>
      <c r="F15" s="134" t="s">
        <v>48</v>
      </c>
      <c r="G15" s="134" t="s">
        <v>49</v>
      </c>
      <c r="H15" s="134" t="s">
        <v>50</v>
      </c>
      <c r="I15" s="134" t="s">
        <v>51</v>
      </c>
      <c r="J15" s="134" t="s">
        <v>52</v>
      </c>
      <c r="K15" s="134" t="s">
        <v>53</v>
      </c>
      <c r="L15" s="134" t="s">
        <v>54</v>
      </c>
      <c r="M15" s="134" t="s">
        <v>55</v>
      </c>
      <c r="N15" s="134" t="s">
        <v>56</v>
      </c>
      <c r="O15" s="134" t="s">
        <v>57</v>
      </c>
      <c r="P15" s="134" t="s">
        <v>58</v>
      </c>
      <c r="Q15" s="134" t="s">
        <v>59</v>
      </c>
      <c r="R15" s="134" t="s">
        <v>60</v>
      </c>
      <c r="S15" s="134" t="s">
        <v>61</v>
      </c>
      <c r="T15" s="134" t="s">
        <v>62</v>
      </c>
      <c r="U15" s="134" t="s">
        <v>63</v>
      </c>
      <c r="V15" s="134" t="s">
        <v>64</v>
      </c>
      <c r="W15" s="134" t="s">
        <v>65</v>
      </c>
      <c r="X15" s="134" t="s">
        <v>66</v>
      </c>
      <c r="Y15" s="134" t="s">
        <v>67</v>
      </c>
      <c r="Z15" s="134" t="s">
        <v>68</v>
      </c>
      <c r="AA15" s="134" t="s">
        <v>69</v>
      </c>
      <c r="AB15" s="134" t="s">
        <v>70</v>
      </c>
      <c r="AC15" s="134" t="s">
        <v>71</v>
      </c>
      <c r="AD15" s="134" t="s">
        <v>72</v>
      </c>
      <c r="AE15" s="134" t="s">
        <v>73</v>
      </c>
      <c r="AF15" s="134" t="s">
        <v>74</v>
      </c>
      <c r="AG15" s="134" t="s">
        <v>75</v>
      </c>
      <c r="AH15" s="134" t="s">
        <v>76</v>
      </c>
      <c r="AI15" s="134" t="s">
        <v>77</v>
      </c>
      <c r="AJ15" s="134" t="s">
        <v>78</v>
      </c>
      <c r="AK15" s="134" t="s">
        <v>79</v>
      </c>
      <c r="AL15" s="134" t="s">
        <v>80</v>
      </c>
      <c r="AM15" s="134" t="s">
        <v>81</v>
      </c>
      <c r="AN15" s="134" t="s">
        <v>82</v>
      </c>
      <c r="AO15" s="134" t="s">
        <v>83</v>
      </c>
      <c r="AP15" s="134" t="s">
        <v>84</v>
      </c>
      <c r="AQ15" s="134" t="s">
        <v>85</v>
      </c>
      <c r="AR15" s="134" t="s">
        <v>86</v>
      </c>
      <c r="AS15" s="134" t="s">
        <v>290</v>
      </c>
      <c r="AT15" s="156" t="s">
        <v>291</v>
      </c>
    </row>
    <row r="16" customFormat="false" ht="15" hidden="false" customHeight="false" outlineLevel="0" collapsed="false">
      <c r="A16" s="142"/>
      <c r="B16" s="151" t="s">
        <v>217</v>
      </c>
      <c r="C16" s="132" t="n">
        <f aca="false">SUM(D16:ZZ16)</f>
        <v>1018.76992066904</v>
      </c>
      <c r="D16" s="133" t="n">
        <f aca="false">+D12/((1+Assumptions!$C$5)^Assumptions!E$7)</f>
        <v>0</v>
      </c>
      <c r="E16" s="133" t="n">
        <f aca="false">+E12/((1+Assumptions!$C$5)^Assumptions!F$7)</f>
        <v>0</v>
      </c>
      <c r="F16" s="133" t="n">
        <f aca="false">+F12/((1+Assumptions!$C$5)^Assumptions!G$7)</f>
        <v>0</v>
      </c>
      <c r="G16" s="133" t="n">
        <f aca="false">+G12/((1+Assumptions!$C$5)^Assumptions!H$7)</f>
        <v>0</v>
      </c>
      <c r="H16" s="133" t="n">
        <f aca="false">+H12/((1+Assumptions!$C$5)^Assumptions!I$7)</f>
        <v>-6.66249243471357</v>
      </c>
      <c r="I16" s="133" t="n">
        <f aca="false">+I12/((1+Assumptions!$C$5)^Assumptions!J$7)</f>
        <v>10.5190762256175</v>
      </c>
      <c r="J16" s="133" t="n">
        <f aca="false">+J12/((1+Assumptions!$C$5)^Assumptions!K$7)</f>
        <v>30.1477134518929</v>
      </c>
      <c r="K16" s="133" t="n">
        <f aca="false">+K12/((1+Assumptions!$C$5)^Assumptions!L$7)</f>
        <v>38.6126228070175</v>
      </c>
      <c r="L16" s="133" t="n">
        <f aca="false">+L12/((1+Assumptions!$C$5)^Assumptions!M$7)</f>
        <v>14.5060311966574</v>
      </c>
      <c r="M16" s="133" t="n">
        <f aca="false">+M12/((1+Assumptions!$C$5)^Assumptions!N$7)</f>
        <v>18.874067005413</v>
      </c>
      <c r="N16" s="133" t="n">
        <f aca="false">+N12/((1+Assumptions!$C$5)^Assumptions!O$7)</f>
        <v>30.9060026958581</v>
      </c>
      <c r="O16" s="133" t="n">
        <f aca="false">+O12/((1+Assumptions!$C$5)^Assumptions!P$7)</f>
        <v>42.788188673438</v>
      </c>
      <c r="P16" s="133" t="n">
        <f aca="false">+P12/((1+Assumptions!$C$5)^Assumptions!Q$7)</f>
        <v>39.2831771822119</v>
      </c>
      <c r="Q16" s="133" t="n">
        <f aca="false">+Q12/((1+Assumptions!$C$5)^Assumptions!R$7)</f>
        <v>44.968040678596</v>
      </c>
      <c r="R16" s="133" t="n">
        <f aca="false">+R12/((1+Assumptions!$C$5)^Assumptions!S$7)</f>
        <v>432.829406561042</v>
      </c>
      <c r="S16" s="133" t="n">
        <f aca="false">+S12/((1+Assumptions!$C$5)^Assumptions!T$7)</f>
        <v>73.6665212103049</v>
      </c>
      <c r="T16" s="133" t="n">
        <f aca="false">+T12/((1+Assumptions!$C$5)^Assumptions!U$7)</f>
        <v>40.8893235426908</v>
      </c>
      <c r="U16" s="133" t="n">
        <f aca="false">+U12/((1+Assumptions!$C$5)^Assumptions!V$7)</f>
        <v>24.8676171924664</v>
      </c>
      <c r="V16" s="133" t="n">
        <f aca="false">+V12/((1+Assumptions!$C$5)^Assumptions!W$7)</f>
        <v>22.9579156568795</v>
      </c>
      <c r="W16" s="133" t="n">
        <f aca="false">+W12/((1+Assumptions!$C$5)^Assumptions!X$7)</f>
        <v>21.1454736149608</v>
      </c>
      <c r="X16" s="133" t="n">
        <f aca="false">+X12/((1+Assumptions!$C$5)^Assumptions!Y$7)</f>
        <v>29.9561150898424</v>
      </c>
      <c r="Y16" s="133" t="n">
        <f aca="false">+Y12/((1+Assumptions!$C$5)^Assumptions!Z$7)</f>
        <v>25.0391025580661</v>
      </c>
      <c r="Z16" s="133" t="n">
        <f aca="false">+Z12/((1+Assumptions!$C$5)^Assumptions!AA$7)</f>
        <v>19.5012072462633</v>
      </c>
      <c r="AA16" s="133" t="n">
        <f aca="false">+AA12/((1+Assumptions!$C$5)^Assumptions!AB$7)</f>
        <v>13.527605424871</v>
      </c>
      <c r="AB16" s="133" t="n">
        <f aca="false">+AB12/((1+Assumptions!$C$5)^Assumptions!AC$7)</f>
        <v>25.657442421014</v>
      </c>
      <c r="AC16" s="133" t="n">
        <f aca="false">+AC12/((1+Assumptions!$C$5)^Assumptions!AD$7)</f>
        <v>24.8305963560982</v>
      </c>
      <c r="AD16" s="133" t="n">
        <f aca="false">+AD12/((1+Assumptions!$C$5)^Assumptions!AE$7)</f>
        <v>24.0303965329959</v>
      </c>
      <c r="AE16" s="133" t="n">
        <f aca="false">+AE12/((1+Assumptions!$C$5)^Assumptions!AF$7)</f>
        <v>23.2559842402337</v>
      </c>
      <c r="AF16" s="133" t="n">
        <f aca="false">+AF12/((1+Assumptions!$C$5)^Assumptions!AG$7)</f>
        <v>-86.9729519802977</v>
      </c>
      <c r="AG16" s="133" t="n">
        <f aca="false">+AG12/((1+Assumptions!$C$5)^Assumptions!AH$7)</f>
        <v>8.83656952930039</v>
      </c>
      <c r="AH16" s="133" t="n">
        <f aca="false">+AH12/((1+Assumptions!$C$5)^Assumptions!AI$7)</f>
        <v>7.65566538470893</v>
      </c>
      <c r="AI16" s="133" t="n">
        <f aca="false">+AI12/((1+Assumptions!$C$5)^Assumptions!AJ$7)</f>
        <v>6.54169661478716</v>
      </c>
      <c r="AJ16" s="133" t="n">
        <f aca="false">+AJ12/((1+Assumptions!$C$5)^Assumptions!AK$7)</f>
        <v>4.97826074852866</v>
      </c>
      <c r="AK16" s="133" t="n">
        <f aca="false">+AK12/((1+Assumptions!$C$5)^Assumptions!AL$7)</f>
        <v>4.05972178631118</v>
      </c>
      <c r="AL16" s="133" t="n">
        <f aca="false">+AL12/((1+Assumptions!$C$5)^Assumptions!AM$7)</f>
        <v>3.4238244457541</v>
      </c>
      <c r="AM16" s="133" t="n">
        <f aca="false">+AM12/((1+Assumptions!$C$5)^Assumptions!AN$7)</f>
        <v>1.42888615695162</v>
      </c>
      <c r="AN16" s="133" t="n">
        <f aca="false">+AN12/((1+Assumptions!$C$5)^Assumptions!AO$7)</f>
        <v>1.38283835231461</v>
      </c>
      <c r="AO16" s="133" t="n">
        <f aca="false">+AO12/((1+Assumptions!$C$5)^Assumptions!AP$7)</f>
        <v>1.33827450096638</v>
      </c>
      <c r="AP16" s="133" t="n">
        <f aca="false">+AP12/((1+Assumptions!$C$5)^Assumptions!AQ$7)</f>
        <v>0</v>
      </c>
      <c r="AQ16" s="133" t="n">
        <f aca="false">+AQ12/((1+Assumptions!$C$5)^Assumptions!AR$7)</f>
        <v>0</v>
      </c>
      <c r="AR16" s="133" t="n">
        <f aca="false">+AR12/((1+Assumptions!$C$5)^Assumptions!AS$7)</f>
        <v>0</v>
      </c>
      <c r="AS16" s="133" t="n">
        <f aca="false">+AS12/((1+Assumptions!$C$5)^Assumptions!AT$7)</f>
        <v>0</v>
      </c>
      <c r="AT16" s="152" t="n">
        <f aca="false">+AT12/((1+Assumptions!$C$5)^Assumptions!AU$7)</f>
        <v>0</v>
      </c>
    </row>
    <row r="18" customFormat="false" ht="15" hidden="false" customHeight="false" outlineLevel="0" collapsed="false">
      <c r="A18" s="157"/>
      <c r="B18" s="143" t="s">
        <v>37</v>
      </c>
      <c r="C18" s="144"/>
      <c r="D18" s="145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7"/>
    </row>
    <row r="19" customFormat="false" ht="15" hidden="false" customHeight="false" outlineLevel="0" collapsed="false">
      <c r="A19" s="158"/>
      <c r="B19" s="149" t="s">
        <v>289</v>
      </c>
      <c r="C19" s="131" t="s">
        <v>136</v>
      </c>
      <c r="D19" s="131" t="s">
        <v>46</v>
      </c>
      <c r="E19" s="131" t="s">
        <v>47</v>
      </c>
      <c r="F19" s="131" t="s">
        <v>48</v>
      </c>
      <c r="G19" s="131" t="s">
        <v>49</v>
      </c>
      <c r="H19" s="131" t="s">
        <v>50</v>
      </c>
      <c r="I19" s="131" t="s">
        <v>51</v>
      </c>
      <c r="J19" s="131" t="s">
        <v>52</v>
      </c>
      <c r="K19" s="131" t="s">
        <v>53</v>
      </c>
      <c r="L19" s="131" t="s">
        <v>54</v>
      </c>
      <c r="M19" s="131" t="s">
        <v>55</v>
      </c>
      <c r="N19" s="131" t="s">
        <v>56</v>
      </c>
      <c r="O19" s="131" t="s">
        <v>57</v>
      </c>
      <c r="P19" s="131" t="s">
        <v>58</v>
      </c>
      <c r="Q19" s="131" t="s">
        <v>59</v>
      </c>
      <c r="R19" s="131" t="s">
        <v>60</v>
      </c>
      <c r="S19" s="131" t="s">
        <v>61</v>
      </c>
      <c r="T19" s="131" t="s">
        <v>62</v>
      </c>
      <c r="U19" s="131" t="s">
        <v>63</v>
      </c>
      <c r="V19" s="131" t="s">
        <v>64</v>
      </c>
      <c r="W19" s="131" t="s">
        <v>65</v>
      </c>
      <c r="X19" s="131" t="s">
        <v>66</v>
      </c>
      <c r="Y19" s="131" t="s">
        <v>67</v>
      </c>
      <c r="Z19" s="131" t="s">
        <v>68</v>
      </c>
      <c r="AA19" s="131" t="s">
        <v>69</v>
      </c>
      <c r="AB19" s="131" t="s">
        <v>70</v>
      </c>
      <c r="AC19" s="131" t="s">
        <v>71</v>
      </c>
      <c r="AD19" s="131" t="s">
        <v>72</v>
      </c>
      <c r="AE19" s="131" t="s">
        <v>73</v>
      </c>
      <c r="AF19" s="131" t="s">
        <v>74</v>
      </c>
      <c r="AG19" s="131" t="s">
        <v>75</v>
      </c>
      <c r="AH19" s="131" t="s">
        <v>76</v>
      </c>
      <c r="AI19" s="131" t="s">
        <v>77</v>
      </c>
      <c r="AJ19" s="131" t="s">
        <v>78</v>
      </c>
      <c r="AK19" s="131" t="s">
        <v>79</v>
      </c>
      <c r="AL19" s="131" t="s">
        <v>80</v>
      </c>
      <c r="AM19" s="131" t="s">
        <v>81</v>
      </c>
      <c r="AN19" s="131" t="s">
        <v>82</v>
      </c>
      <c r="AO19" s="131" t="s">
        <v>83</v>
      </c>
      <c r="AP19" s="131" t="s">
        <v>84</v>
      </c>
      <c r="AQ19" s="131" t="s">
        <v>85</v>
      </c>
      <c r="AR19" s="131" t="s">
        <v>86</v>
      </c>
      <c r="AS19" s="131" t="s">
        <v>290</v>
      </c>
      <c r="AT19" s="150" t="s">
        <v>291</v>
      </c>
    </row>
    <row r="20" customFormat="false" ht="15" hidden="false" customHeight="false" outlineLevel="0" collapsed="false">
      <c r="A20" s="157"/>
      <c r="B20" s="151" t="s">
        <v>217</v>
      </c>
      <c r="C20" s="132" t="n">
        <f aca="false">SUM(H20:AAD20)</f>
        <v>908.68343</v>
      </c>
      <c r="D20" s="132"/>
      <c r="E20" s="132"/>
      <c r="F20" s="132"/>
      <c r="G20" s="132"/>
      <c r="H20" s="133" t="n">
        <f aca="false">SUM('Cash Out Detail'!D37:F37)/1000000</f>
        <v>0</v>
      </c>
      <c r="I20" s="133" t="n">
        <f aca="false">SUM('Cash Out Detail'!G37:I37)/1000000</f>
        <v>0</v>
      </c>
      <c r="J20" s="133" t="n">
        <f aca="false">SUM('Cash Out Detail'!J37:L37)/1000000</f>
        <v>23</v>
      </c>
      <c r="K20" s="133" t="n">
        <f aca="false">SUM('Cash Out Detail'!M37:O37)/1000000</f>
        <v>30.36</v>
      </c>
      <c r="L20" s="133" t="n">
        <f aca="false">SUM('Cash Out Detail'!P37:R37)/1000000</f>
        <v>60.49252</v>
      </c>
      <c r="M20" s="133" t="n">
        <f aca="false">SUM('Cash Out Detail'!S37:U37)/1000000</f>
        <v>44.85252</v>
      </c>
      <c r="N20" s="133" t="n">
        <f aca="false">SUM('Cash Out Detail'!V37:X37)/1000000</f>
        <v>42.79494</v>
      </c>
      <c r="O20" s="133" t="n">
        <f aca="false">SUM('Cash Out Detail'!Y37:AA37)/1000000</f>
        <v>37.56153</v>
      </c>
      <c r="P20" s="133" t="n">
        <f aca="false">SUM('Cash Out Detail'!AB37:AD37)/1000000</f>
        <v>14.00412</v>
      </c>
      <c r="Q20" s="133" t="n">
        <f aca="false">SUM('Cash Out Detail'!AE37:AG37)/1000000</f>
        <v>13.46736</v>
      </c>
      <c r="R20" s="133" t="n">
        <f aca="false">SUM('Cash Out Detail'!AH37:AJ37)/1000000</f>
        <v>145.54446</v>
      </c>
      <c r="S20" s="133" t="n">
        <f aca="false">SUM('Cash Out Detail'!AK37:AM37)/1000000</f>
        <v>145.54446</v>
      </c>
      <c r="T20" s="133" t="n">
        <f aca="false">SUM('Cash Out Detail'!AN37:AP37)/1000000</f>
        <v>196.83032</v>
      </c>
      <c r="U20" s="133" t="n">
        <f aca="false">SUM('Cash Out Detail'!AQ37:AS37)/1000000</f>
        <v>142.78032</v>
      </c>
      <c r="V20" s="133" t="n">
        <f aca="false">SUM('Cash Out Detail'!AT37:AV37)/1000000</f>
        <v>5.72544</v>
      </c>
      <c r="W20" s="133" t="n">
        <f aca="false">SUM('Cash Out Detail'!AW37:AY37)/1000000</f>
        <v>5.72544</v>
      </c>
      <c r="X20" s="133" t="n">
        <f aca="false">SUM('Cash Out Detail'!AZ37:BB37)/1000000</f>
        <v>0</v>
      </c>
      <c r="Y20" s="133" t="n">
        <f aca="false">SUM('Cash Out Detail'!BC37:BE37)/1000000</f>
        <v>0</v>
      </c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52"/>
    </row>
    <row r="22" customFormat="false" ht="15" hidden="false" customHeight="false" outlineLevel="0" collapsed="false">
      <c r="B22" s="153" t="s">
        <v>298</v>
      </c>
    </row>
    <row r="23" customFormat="false" ht="15" hidden="false" customHeight="false" outlineLevel="0" collapsed="false">
      <c r="A23" s="158"/>
      <c r="B23" s="155" t="s">
        <v>289</v>
      </c>
      <c r="C23" s="134" t="s">
        <v>136</v>
      </c>
      <c r="D23" s="134" t="s">
        <v>46</v>
      </c>
      <c r="E23" s="134" t="s">
        <v>47</v>
      </c>
      <c r="F23" s="134" t="s">
        <v>48</v>
      </c>
      <c r="G23" s="134" t="s">
        <v>49</v>
      </c>
      <c r="H23" s="134" t="s">
        <v>50</v>
      </c>
      <c r="I23" s="134" t="s">
        <v>51</v>
      </c>
      <c r="J23" s="134" t="s">
        <v>52</v>
      </c>
      <c r="K23" s="134" t="s">
        <v>53</v>
      </c>
      <c r="L23" s="134" t="s">
        <v>54</v>
      </c>
      <c r="M23" s="134" t="s">
        <v>55</v>
      </c>
      <c r="N23" s="134" t="s">
        <v>56</v>
      </c>
      <c r="O23" s="134" t="s">
        <v>57</v>
      </c>
      <c r="P23" s="134" t="s">
        <v>58</v>
      </c>
      <c r="Q23" s="134" t="s">
        <v>59</v>
      </c>
      <c r="R23" s="134" t="s">
        <v>60</v>
      </c>
      <c r="S23" s="134" t="s">
        <v>61</v>
      </c>
      <c r="T23" s="134" t="s">
        <v>62</v>
      </c>
      <c r="U23" s="134" t="s">
        <v>63</v>
      </c>
      <c r="V23" s="134" t="s">
        <v>64</v>
      </c>
      <c r="W23" s="134" t="s">
        <v>65</v>
      </c>
      <c r="X23" s="134" t="s">
        <v>66</v>
      </c>
      <c r="Y23" s="134" t="s">
        <v>67</v>
      </c>
      <c r="Z23" s="134" t="s">
        <v>68</v>
      </c>
      <c r="AA23" s="134" t="s">
        <v>69</v>
      </c>
      <c r="AB23" s="134" t="s">
        <v>70</v>
      </c>
      <c r="AC23" s="134" t="s">
        <v>71</v>
      </c>
      <c r="AD23" s="134" t="s">
        <v>72</v>
      </c>
      <c r="AE23" s="134" t="s">
        <v>73</v>
      </c>
      <c r="AF23" s="134" t="s">
        <v>74</v>
      </c>
      <c r="AG23" s="134" t="s">
        <v>75</v>
      </c>
      <c r="AH23" s="134" t="s">
        <v>76</v>
      </c>
      <c r="AI23" s="134" t="s">
        <v>77</v>
      </c>
      <c r="AJ23" s="134" t="s">
        <v>78</v>
      </c>
      <c r="AK23" s="134" t="s">
        <v>79</v>
      </c>
      <c r="AL23" s="134" t="s">
        <v>80</v>
      </c>
      <c r="AM23" s="134" t="s">
        <v>81</v>
      </c>
      <c r="AN23" s="134" t="s">
        <v>82</v>
      </c>
      <c r="AO23" s="134" t="s">
        <v>83</v>
      </c>
      <c r="AP23" s="134" t="s">
        <v>84</v>
      </c>
      <c r="AQ23" s="134" t="s">
        <v>85</v>
      </c>
      <c r="AR23" s="134" t="s">
        <v>86</v>
      </c>
      <c r="AS23" s="134" t="s">
        <v>290</v>
      </c>
      <c r="AT23" s="156" t="s">
        <v>291</v>
      </c>
    </row>
    <row r="24" customFormat="false" ht="15" hidden="false" customHeight="false" outlineLevel="0" collapsed="false">
      <c r="A24" s="157"/>
      <c r="B24" s="151" t="s">
        <v>217</v>
      </c>
      <c r="C24" s="132" t="n">
        <f aca="false">SUM(D24:ZZ24)</f>
        <v>644.219400976061</v>
      </c>
      <c r="D24" s="133" t="n">
        <f aca="false">+D20/((1+Assumptions!$C$5)^Assumptions!E$7)</f>
        <v>0</v>
      </c>
      <c r="E24" s="133" t="n">
        <f aca="false">+E20/((1+Assumptions!$C$5)^Assumptions!F$7)</f>
        <v>0</v>
      </c>
      <c r="F24" s="133" t="n">
        <f aca="false">+F20/((1+Assumptions!$C$5)^Assumptions!G$7)</f>
        <v>0</v>
      </c>
      <c r="G24" s="133" t="n">
        <f aca="false">+G20/((1+Assumptions!$C$5)^Assumptions!H$7)</f>
        <v>0</v>
      </c>
      <c r="H24" s="133" t="n">
        <f aca="false">+H20/((1+Assumptions!$C$5)^Assumptions!I$7)</f>
        <v>0</v>
      </c>
      <c r="I24" s="133" t="n">
        <f aca="false">+I20/((1+Assumptions!$C$5)^Assumptions!J$7)</f>
        <v>0</v>
      </c>
      <c r="J24" s="133" t="n">
        <f aca="false">+J20/((1+Assumptions!$C$5)^Assumptions!K$7)</f>
        <v>20.8472703065404</v>
      </c>
      <c r="K24" s="133" t="n">
        <f aca="false">+K20/((1+Assumptions!$C$5)^Assumptions!L$7)</f>
        <v>26.6315789473684</v>
      </c>
      <c r="L24" s="133" t="n">
        <f aca="false">+L20/((1+Assumptions!$C$5)^Assumptions!M$7)</f>
        <v>51.3535667226874</v>
      </c>
      <c r="M24" s="133" t="n">
        <f aca="false">+M20/((1+Assumptions!$C$5)^Assumptions!N$7)</f>
        <v>36.8493279348107</v>
      </c>
      <c r="N24" s="133" t="n">
        <f aca="false">+N20/((1+Assumptions!$C$5)^Assumptions!O$7)</f>
        <v>34.0258459928367</v>
      </c>
      <c r="O24" s="133" t="n">
        <f aca="false">+O20/((1+Assumptions!$C$5)^Assumptions!P$7)</f>
        <v>28.902377654663</v>
      </c>
      <c r="P24" s="133" t="n">
        <f aca="false">+P20/((1+Assumptions!$C$5)^Assumptions!Q$7)</f>
        <v>10.4284534771786</v>
      </c>
      <c r="Q24" s="133" t="n">
        <f aca="false">+Q20/((1+Assumptions!$C$5)^Assumptions!R$7)</f>
        <v>9.70555424396956</v>
      </c>
      <c r="R24" s="133" t="n">
        <f aca="false">+R20/((1+Assumptions!$C$5)^Assumptions!S$7)</f>
        <v>101.509651773772</v>
      </c>
      <c r="S24" s="133" t="n">
        <f aca="false">+S20/((1+Assumptions!$C$5)^Assumptions!T$7)</f>
        <v>98.2383648410037</v>
      </c>
      <c r="T24" s="133" t="n">
        <f aca="false">+T20/((1+Assumptions!$C$5)^Assumptions!U$7)</f>
        <v>128.573430534439</v>
      </c>
      <c r="U24" s="133" t="n">
        <f aca="false">+U20/((1+Assumptions!$C$5)^Assumptions!V$7)</f>
        <v>90.2612557474458</v>
      </c>
      <c r="V24" s="133" t="n">
        <f aca="false">+V20/((1+Assumptions!$C$5)^Assumptions!W$7)</f>
        <v>3.50280269607919</v>
      </c>
      <c r="W24" s="133" t="n">
        <f aca="false">+W20/((1+Assumptions!$C$5)^Assumptions!X$7)</f>
        <v>3.38992010326638</v>
      </c>
      <c r="X24" s="133" t="n">
        <f aca="false">+X20/((1+Assumptions!$C$5)^Assumptions!Y$7)</f>
        <v>0</v>
      </c>
      <c r="Y24" s="133" t="n">
        <f aca="false">+Y20/((1+Assumptions!$C$5)^Assumptions!Z$7)</f>
        <v>0</v>
      </c>
      <c r="Z24" s="133" t="n">
        <f aca="false">+Z20/((1+Assumptions!$C$5)^Assumptions!AA$7)</f>
        <v>0</v>
      </c>
      <c r="AA24" s="133" t="n">
        <f aca="false">+AA20/((1+Assumptions!$C$5)^Assumptions!AB$7)</f>
        <v>0</v>
      </c>
      <c r="AB24" s="133" t="n">
        <f aca="false">+AF20/((1+Assumptions!$C$5)^Assumptions!AC$7)</f>
        <v>0</v>
      </c>
      <c r="AC24" s="133" t="n">
        <f aca="false">+AG20/((1+Assumptions!$C$5)^Assumptions!AD$7)</f>
        <v>0</v>
      </c>
      <c r="AD24" s="133" t="n">
        <f aca="false">+AH20/((1+Assumptions!$C$5)^Assumptions!AE$7)</f>
        <v>0</v>
      </c>
      <c r="AE24" s="133" t="n">
        <f aca="false">+AI20/((1+Assumptions!$C$5)^Assumptions!AF$7)</f>
        <v>0</v>
      </c>
      <c r="AF24" s="133" t="n">
        <f aca="false">+AJ20/((1+Assumptions!$C$5)^Assumptions!AG$7)</f>
        <v>0</v>
      </c>
      <c r="AG24" s="133" t="n">
        <f aca="false">+AK20/((1+Assumptions!$C$5)^Assumptions!AH$7)</f>
        <v>0</v>
      </c>
      <c r="AH24" s="133" t="n">
        <f aca="false">+AL20/((1+Assumptions!$C$5)^Assumptions!AI$7)</f>
        <v>0</v>
      </c>
      <c r="AI24" s="133" t="n">
        <f aca="false">+AM20/((1+Assumptions!$C$5)^Assumptions!AJ$7)</f>
        <v>0</v>
      </c>
      <c r="AJ24" s="133" t="n">
        <f aca="false">+AN20/((1+Assumptions!$C$5)^Assumptions!AK$7)</f>
        <v>0</v>
      </c>
      <c r="AK24" s="133" t="n">
        <f aca="false">+AO20/((1+Assumptions!$C$5)^Assumptions!AL$7)</f>
        <v>0</v>
      </c>
      <c r="AL24" s="133" t="n">
        <f aca="false">+AP20/((1+Assumptions!$C$5)^Assumptions!AM$7)</f>
        <v>0</v>
      </c>
      <c r="AM24" s="133" t="n">
        <f aca="false">+AQ20/((1+Assumptions!$C$5)^Assumptions!AN$7)</f>
        <v>0</v>
      </c>
      <c r="AN24" s="133" t="n">
        <f aca="false">+AR20/((1+Assumptions!$C$5)^Assumptions!AO$7)</f>
        <v>0</v>
      </c>
      <c r="AO24" s="133" t="n">
        <f aca="false">+AS20/((1+Assumptions!$C$5)^Assumptions!AP$7)</f>
        <v>0</v>
      </c>
      <c r="AP24" s="133" t="n">
        <f aca="false">+AT20/((1+Assumptions!$C$5)^Assumptions!AQ$7)</f>
        <v>0</v>
      </c>
      <c r="AQ24" s="133" t="n">
        <f aca="false">+AU20/((1+Assumptions!$C$5)^Assumptions!AR$7)</f>
        <v>0</v>
      </c>
      <c r="AR24" s="133" t="n">
        <f aca="false">+AV20/((1+Assumptions!$C$5)^Assumptions!AS$7)</f>
        <v>0</v>
      </c>
      <c r="AS24" s="133" t="n">
        <f aca="false">+AW20/((1+Assumptions!$C$5)^Assumptions!AT$7)</f>
        <v>0</v>
      </c>
      <c r="AT24" s="152" t="n">
        <f aca="false">+AX20/((1+Assumptions!$C$5)^Assumptions!AU$7)</f>
        <v>0</v>
      </c>
    </row>
    <row r="26" customFormat="false" ht="15" hidden="false" customHeight="false" outlineLevel="0" collapsed="false">
      <c r="A26" s="159"/>
      <c r="B26" s="143" t="s">
        <v>299</v>
      </c>
      <c r="C26" s="144"/>
      <c r="D26" s="145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7"/>
    </row>
    <row r="27" customFormat="false" ht="15" hidden="false" customHeight="false" outlineLevel="0" collapsed="false">
      <c r="A27" s="160"/>
      <c r="B27" s="149" t="s">
        <v>289</v>
      </c>
      <c r="C27" s="131" t="s">
        <v>136</v>
      </c>
      <c r="D27" s="131" t="s">
        <v>46</v>
      </c>
      <c r="E27" s="131" t="s">
        <v>47</v>
      </c>
      <c r="F27" s="131" t="s">
        <v>48</v>
      </c>
      <c r="G27" s="131" t="s">
        <v>49</v>
      </c>
      <c r="H27" s="131" t="s">
        <v>50</v>
      </c>
      <c r="I27" s="131" t="s">
        <v>51</v>
      </c>
      <c r="J27" s="131" t="s">
        <v>52</v>
      </c>
      <c r="K27" s="131" t="s">
        <v>53</v>
      </c>
      <c r="L27" s="131" t="s">
        <v>54</v>
      </c>
      <c r="M27" s="131" t="s">
        <v>55</v>
      </c>
      <c r="N27" s="131" t="s">
        <v>56</v>
      </c>
      <c r="O27" s="131" t="s">
        <v>57</v>
      </c>
      <c r="P27" s="131" t="s">
        <v>58</v>
      </c>
      <c r="Q27" s="131" t="s">
        <v>59</v>
      </c>
      <c r="R27" s="131" t="s">
        <v>60</v>
      </c>
      <c r="S27" s="131" t="s">
        <v>61</v>
      </c>
      <c r="T27" s="131" t="s">
        <v>62</v>
      </c>
      <c r="U27" s="131" t="s">
        <v>63</v>
      </c>
      <c r="V27" s="131" t="s">
        <v>64</v>
      </c>
      <c r="W27" s="131" t="s">
        <v>65</v>
      </c>
      <c r="X27" s="131" t="s">
        <v>66</v>
      </c>
      <c r="Y27" s="131" t="s">
        <v>67</v>
      </c>
      <c r="Z27" s="131" t="s">
        <v>68</v>
      </c>
      <c r="AA27" s="131" t="s">
        <v>69</v>
      </c>
      <c r="AB27" s="131" t="s">
        <v>70</v>
      </c>
      <c r="AC27" s="131" t="s">
        <v>71</v>
      </c>
      <c r="AD27" s="131" t="s">
        <v>72</v>
      </c>
      <c r="AE27" s="131" t="s">
        <v>73</v>
      </c>
      <c r="AF27" s="131" t="s">
        <v>74</v>
      </c>
      <c r="AG27" s="131" t="s">
        <v>75</v>
      </c>
      <c r="AH27" s="131" t="s">
        <v>76</v>
      </c>
      <c r="AI27" s="131" t="s">
        <v>77</v>
      </c>
      <c r="AJ27" s="131" t="s">
        <v>78</v>
      </c>
      <c r="AK27" s="131" t="s">
        <v>79</v>
      </c>
      <c r="AL27" s="131" t="s">
        <v>80</v>
      </c>
      <c r="AM27" s="131" t="s">
        <v>81</v>
      </c>
      <c r="AN27" s="131" t="s">
        <v>82</v>
      </c>
      <c r="AO27" s="131" t="s">
        <v>83</v>
      </c>
      <c r="AP27" s="131" t="s">
        <v>84</v>
      </c>
      <c r="AQ27" s="131" t="s">
        <v>85</v>
      </c>
      <c r="AR27" s="131" t="s">
        <v>86</v>
      </c>
      <c r="AS27" s="131" t="s">
        <v>290</v>
      </c>
      <c r="AT27" s="150" t="s">
        <v>291</v>
      </c>
    </row>
    <row r="28" customFormat="false" ht="13.5" hidden="false" customHeight="true" outlineLevel="0" collapsed="false">
      <c r="A28" s="159"/>
      <c r="B28" s="151" t="s">
        <v>217</v>
      </c>
      <c r="C28" s="132" t="n">
        <f aca="false">SUM(D28:ZZ28)</f>
        <v>595.292929375</v>
      </c>
      <c r="D28" s="133" t="n">
        <f aca="false">D12-D20</f>
        <v>0</v>
      </c>
      <c r="E28" s="133" t="n">
        <f aca="false">E12-E20</f>
        <v>0</v>
      </c>
      <c r="F28" s="133" t="n">
        <f aca="false">F12-F20</f>
        <v>0</v>
      </c>
      <c r="G28" s="133" t="n">
        <f aca="false">G12-G20</f>
        <v>0</v>
      </c>
      <c r="H28" s="133" t="n">
        <f aca="false">H12-H20</f>
        <v>-6.88435</v>
      </c>
      <c r="I28" s="133" t="n">
        <f aca="false">I12-I20</f>
        <v>11.2313</v>
      </c>
      <c r="J28" s="133" t="n">
        <f aca="false">J12-J20</f>
        <v>10.260825</v>
      </c>
      <c r="K28" s="133" t="n">
        <f aca="false">K12-K20</f>
        <v>13.65839</v>
      </c>
      <c r="L28" s="133" t="n">
        <f aca="false">L12-L20</f>
        <v>-43.404975</v>
      </c>
      <c r="M28" s="133" t="n">
        <f aca="false">M12-M20</f>
        <v>-21.8792525</v>
      </c>
      <c r="N28" s="133" t="n">
        <f aca="false">N12-N20</f>
        <v>-3.923885</v>
      </c>
      <c r="O28" s="133" t="n">
        <f aca="false">O12-O20</f>
        <v>18.046</v>
      </c>
      <c r="P28" s="133" t="n">
        <f aca="false">P12-P20</f>
        <v>38.74831625</v>
      </c>
      <c r="Q28" s="133" t="n">
        <f aca="false">Q12-Q20</f>
        <v>48.9299825</v>
      </c>
      <c r="R28" s="133" t="n">
        <f aca="false">R12-R20</f>
        <v>475.0460075</v>
      </c>
      <c r="S28" s="133" t="n">
        <f aca="false">S12-S20</f>
        <v>-36.4042675</v>
      </c>
      <c r="T28" s="133" t="n">
        <f aca="false">T12-T20</f>
        <v>-134.2337275</v>
      </c>
      <c r="U28" s="133" t="n">
        <f aca="false">U12-U20</f>
        <v>-103.4433275</v>
      </c>
      <c r="V28" s="133" t="n">
        <f aca="false">V12-V20</f>
        <v>31.7999875</v>
      </c>
      <c r="W28" s="133" t="n">
        <f aca="false">W12-W20</f>
        <v>29.9884225</v>
      </c>
      <c r="X28" s="133" t="n">
        <f aca="false">X12-X20</f>
        <v>52.279461875</v>
      </c>
      <c r="Y28" s="133" t="n">
        <f aca="false">Y12-Y20</f>
        <v>45.15341375</v>
      </c>
      <c r="Z28" s="133" t="n">
        <f aca="false">Z12-Z20</f>
        <v>36.33787625</v>
      </c>
      <c r="AA28" s="133" t="n">
        <f aca="false">AA12-AA20</f>
        <v>26.04624875</v>
      </c>
      <c r="AB28" s="133" t="n">
        <f aca="false">AB12-AB20</f>
        <v>51.04624875</v>
      </c>
      <c r="AC28" s="133" t="n">
        <f aca="false">AC12-AC20</f>
        <v>51.04624875</v>
      </c>
      <c r="AD28" s="133" t="n">
        <f aca="false">AD12-AD20</f>
        <v>51.04624875</v>
      </c>
      <c r="AE28" s="133" t="n">
        <f aca="false">AE12-AE20</f>
        <v>51.04624875</v>
      </c>
      <c r="AF28" s="133" t="n">
        <f aca="false">AF12-AF20</f>
        <v>-197.2602284375</v>
      </c>
      <c r="AG28" s="133" t="n">
        <f aca="false">AG12-AG20</f>
        <v>20.70929109375</v>
      </c>
      <c r="AH28" s="133" t="n">
        <f aca="false">AH12-AH20</f>
        <v>18.5391871875</v>
      </c>
      <c r="AI28" s="133" t="n">
        <f aca="false">AI12-AI20</f>
        <v>16.36908328125</v>
      </c>
      <c r="AJ28" s="133" t="n">
        <f aca="false">AJ12-AJ20</f>
        <v>12.87175640625</v>
      </c>
      <c r="AK28" s="133" t="n">
        <f aca="false">AK12-AK20</f>
        <v>10.84632609375</v>
      </c>
      <c r="AL28" s="133" t="n">
        <f aca="false">AL12-AL20</f>
        <v>9.452008125</v>
      </c>
      <c r="AM28" s="133" t="n">
        <f aca="false">AM12-AM20</f>
        <v>4.07602125</v>
      </c>
      <c r="AN28" s="133" t="n">
        <f aca="false">AN12-AN20</f>
        <v>4.07602125</v>
      </c>
      <c r="AO28" s="133" t="n">
        <f aca="false">AO12-AO20</f>
        <v>4.07602125</v>
      </c>
      <c r="AP28" s="133" t="n">
        <f aca="false">AP12-AP20</f>
        <v>0</v>
      </c>
      <c r="AQ28" s="133" t="n">
        <f aca="false">AQ12-AQ20</f>
        <v>0</v>
      </c>
      <c r="AR28" s="133" t="n">
        <f aca="false">AR12-AR20</f>
        <v>0</v>
      </c>
      <c r="AS28" s="133" t="n">
        <f aca="false">AS12-AS20</f>
        <v>0</v>
      </c>
      <c r="AT28" s="133" t="n">
        <f aca="false">AT12-AT20</f>
        <v>0</v>
      </c>
    </row>
    <row r="29" customFormat="false" ht="13.5" hidden="false" customHeight="true" outlineLevel="0" collapsed="false"/>
    <row r="30" customFormat="false" ht="15" hidden="false" customHeight="false" outlineLevel="0" collapsed="false">
      <c r="A30" s="159"/>
      <c r="B30" s="153" t="s">
        <v>300</v>
      </c>
      <c r="D30" s="138"/>
      <c r="AT30" s="154"/>
    </row>
    <row r="31" customFormat="false" ht="15" hidden="false" customHeight="false" outlineLevel="0" collapsed="false">
      <c r="A31" s="160"/>
      <c r="B31" s="155" t="s">
        <v>289</v>
      </c>
      <c r="C31" s="134" t="s">
        <v>136</v>
      </c>
      <c r="D31" s="134" t="s">
        <v>46</v>
      </c>
      <c r="E31" s="134" t="s">
        <v>47</v>
      </c>
      <c r="F31" s="134" t="s">
        <v>48</v>
      </c>
      <c r="G31" s="134" t="s">
        <v>49</v>
      </c>
      <c r="H31" s="134" t="s">
        <v>50</v>
      </c>
      <c r="I31" s="134" t="s">
        <v>51</v>
      </c>
      <c r="J31" s="134" t="s">
        <v>52</v>
      </c>
      <c r="K31" s="134" t="s">
        <v>53</v>
      </c>
      <c r="L31" s="134" t="s">
        <v>54</v>
      </c>
      <c r="M31" s="134" t="s">
        <v>55</v>
      </c>
      <c r="N31" s="134" t="s">
        <v>56</v>
      </c>
      <c r="O31" s="134" t="s">
        <v>57</v>
      </c>
      <c r="P31" s="134" t="s">
        <v>58</v>
      </c>
      <c r="Q31" s="134" t="s">
        <v>59</v>
      </c>
      <c r="R31" s="134" t="s">
        <v>60</v>
      </c>
      <c r="S31" s="134" t="s">
        <v>61</v>
      </c>
      <c r="T31" s="134" t="s">
        <v>62</v>
      </c>
      <c r="U31" s="134" t="s">
        <v>63</v>
      </c>
      <c r="V31" s="134" t="s">
        <v>64</v>
      </c>
      <c r="W31" s="134" t="s">
        <v>65</v>
      </c>
      <c r="X31" s="134" t="s">
        <v>66</v>
      </c>
      <c r="Y31" s="134" t="s">
        <v>67</v>
      </c>
      <c r="Z31" s="134" t="s">
        <v>68</v>
      </c>
      <c r="AA31" s="134" t="s">
        <v>69</v>
      </c>
      <c r="AB31" s="134" t="s">
        <v>70</v>
      </c>
      <c r="AC31" s="134" t="s">
        <v>71</v>
      </c>
      <c r="AD31" s="134" t="s">
        <v>72</v>
      </c>
      <c r="AE31" s="134" t="s">
        <v>73</v>
      </c>
      <c r="AF31" s="134" t="s">
        <v>74</v>
      </c>
      <c r="AG31" s="134" t="s">
        <v>75</v>
      </c>
      <c r="AH31" s="134" t="s">
        <v>76</v>
      </c>
      <c r="AI31" s="134" t="s">
        <v>77</v>
      </c>
      <c r="AJ31" s="134" t="s">
        <v>78</v>
      </c>
      <c r="AK31" s="134" t="s">
        <v>79</v>
      </c>
      <c r="AL31" s="134" t="s">
        <v>80</v>
      </c>
      <c r="AM31" s="134" t="s">
        <v>81</v>
      </c>
      <c r="AN31" s="134" t="s">
        <v>82</v>
      </c>
      <c r="AO31" s="134" t="s">
        <v>83</v>
      </c>
      <c r="AP31" s="134" t="s">
        <v>84</v>
      </c>
      <c r="AQ31" s="134" t="s">
        <v>85</v>
      </c>
      <c r="AR31" s="134" t="s">
        <v>86</v>
      </c>
      <c r="AS31" s="134" t="s">
        <v>290</v>
      </c>
      <c r="AT31" s="156" t="s">
        <v>291</v>
      </c>
    </row>
    <row r="32" customFormat="false" ht="15" hidden="false" customHeight="false" outlineLevel="0" collapsed="false">
      <c r="A32" s="159"/>
      <c r="B32" s="151" t="s">
        <v>217</v>
      </c>
      <c r="C32" s="132" t="n">
        <f aca="false">SUM(D32:ZZ32)</f>
        <v>374.550519692982</v>
      </c>
      <c r="D32" s="133" t="n">
        <f aca="false">+D28/((1+Assumptions!$C$5)^Assumptions!E$7)</f>
        <v>0</v>
      </c>
      <c r="E32" s="133" t="n">
        <f aca="false">+E28/((1+Assumptions!$C$5)^Assumptions!F$7)</f>
        <v>0</v>
      </c>
      <c r="F32" s="133" t="n">
        <f aca="false">+F28/((1+Assumptions!$C$5)^Assumptions!G$7)</f>
        <v>0</v>
      </c>
      <c r="G32" s="133" t="n">
        <f aca="false">+G28/((1+Assumptions!$C$5)^Assumptions!H$7)</f>
        <v>0</v>
      </c>
      <c r="H32" s="133" t="n">
        <f aca="false">+H28/((1+Assumptions!$C$5)^Assumptions!I$7)</f>
        <v>-6.66249243471357</v>
      </c>
      <c r="I32" s="133" t="n">
        <f aca="false">+I28/((1+Assumptions!$C$5)^Assumptions!J$7)</f>
        <v>10.5190762256175</v>
      </c>
      <c r="J32" s="133" t="n">
        <f aca="false">+J28/((1+Assumptions!$C$5)^Assumptions!K$7)</f>
        <v>9.3004431453525</v>
      </c>
      <c r="K32" s="133" t="n">
        <f aca="false">+K28/((1+Assumptions!$C$5)^Assumptions!L$7)</f>
        <v>11.9810438596491</v>
      </c>
      <c r="L32" s="133" t="n">
        <f aca="false">+L28/((1+Assumptions!$C$5)^Assumptions!M$7)</f>
        <v>-36.84753552603</v>
      </c>
      <c r="M32" s="133" t="n">
        <f aca="false">+M28/((1+Assumptions!$C$5)^Assumptions!N$7)</f>
        <v>-17.9752609293976</v>
      </c>
      <c r="N32" s="133" t="n">
        <f aca="false">+N28/((1+Assumptions!$C$5)^Assumptions!O$7)</f>
        <v>-3.11984329697861</v>
      </c>
      <c r="O32" s="133" t="n">
        <f aca="false">+O28/((1+Assumptions!$C$5)^Assumptions!P$7)</f>
        <v>13.885811018775</v>
      </c>
      <c r="P32" s="133" t="n">
        <f aca="false">+P28/((1+Assumptions!$C$5)^Assumptions!Q$7)</f>
        <v>28.8547237050333</v>
      </c>
      <c r="Q32" s="133" t="n">
        <f aca="false">+Q28/((1+Assumptions!$C$5)^Assumptions!R$7)</f>
        <v>35.2624864346265</v>
      </c>
      <c r="R32" s="133" t="n">
        <f aca="false">+R28/((1+Assumptions!$C$5)^Assumptions!S$7)</f>
        <v>331.31975478727</v>
      </c>
      <c r="S32" s="133" t="n">
        <f aca="false">+S28/((1+Assumptions!$C$5)^Assumptions!T$7)</f>
        <v>-24.5718436306988</v>
      </c>
      <c r="T32" s="133" t="n">
        <f aca="false">+T28/((1+Assumptions!$C$5)^Assumptions!U$7)</f>
        <v>-87.6841069917485</v>
      </c>
      <c r="U32" s="133" t="n">
        <f aca="false">+U28/((1+Assumptions!$C$5)^Assumptions!V$7)</f>
        <v>-65.3936385549794</v>
      </c>
      <c r="V32" s="133" t="n">
        <f aca="false">+V28/((1+Assumptions!$C$5)^Assumptions!W$7)</f>
        <v>19.4551129608003</v>
      </c>
      <c r="W32" s="133" t="n">
        <f aca="false">+W28/((1+Assumptions!$C$5)^Assumptions!X$7)</f>
        <v>17.7555535116944</v>
      </c>
      <c r="X32" s="133" t="n">
        <f aca="false">+X28/((1+Assumptions!$C$5)^Assumptions!Y$7)</f>
        <v>29.9561150898424</v>
      </c>
      <c r="Y32" s="133" t="n">
        <f aca="false">+Y28/((1+Assumptions!$C$5)^Assumptions!Z$7)</f>
        <v>25.0391025580661</v>
      </c>
      <c r="Z32" s="133" t="n">
        <f aca="false">+Z28/((1+Assumptions!$C$5)^Assumptions!AA$7)</f>
        <v>19.5012072462633</v>
      </c>
      <c r="AA32" s="133" t="n">
        <f aca="false">+AA28/((1+Assumptions!$C$5)^Assumptions!AB$7)</f>
        <v>13.527605424871</v>
      </c>
      <c r="AB32" s="133" t="n">
        <f aca="false">+AB28/((1+Assumptions!$C$5)^Assumptions!AC$7)</f>
        <v>25.657442421014</v>
      </c>
      <c r="AC32" s="133" t="n">
        <f aca="false">+AC28/((1+Assumptions!$C$5)^Assumptions!AD$7)</f>
        <v>24.8305963560982</v>
      </c>
      <c r="AD32" s="133" t="n">
        <f aca="false">+AD28/((1+Assumptions!$C$5)^Assumptions!AE$7)</f>
        <v>24.0303965329959</v>
      </c>
      <c r="AE32" s="133" t="n">
        <f aca="false">+AE28/((1+Assumptions!$C$5)^Assumptions!AF$7)</f>
        <v>23.2559842402337</v>
      </c>
      <c r="AF32" s="133" t="n">
        <f aca="false">+AF28/((1+Assumptions!$C$5)^Assumptions!AG$7)</f>
        <v>-86.9729519802977</v>
      </c>
      <c r="AG32" s="133" t="n">
        <f aca="false">+AG28/((1+Assumptions!$C$5)^Assumptions!AH$7)</f>
        <v>8.83656952930039</v>
      </c>
      <c r="AH32" s="133" t="n">
        <f aca="false">+AH28/((1+Assumptions!$C$5)^Assumptions!AI$7)</f>
        <v>7.65566538470893</v>
      </c>
      <c r="AI32" s="133" t="n">
        <f aca="false">+AI28/((1+Assumptions!$C$5)^Assumptions!AJ$7)</f>
        <v>6.54169661478716</v>
      </c>
      <c r="AJ32" s="133" t="n">
        <f aca="false">+AJ28/((1+Assumptions!$C$5)^Assumptions!AK$7)</f>
        <v>4.97826074852866</v>
      </c>
      <c r="AK32" s="133" t="n">
        <f aca="false">+AK28/((1+Assumptions!$C$5)^Assumptions!AL$7)</f>
        <v>4.05972178631118</v>
      </c>
      <c r="AL32" s="133" t="n">
        <f aca="false">+AL28/((1+Assumptions!$C$5)^Assumptions!AM$7)</f>
        <v>3.4238244457541</v>
      </c>
      <c r="AM32" s="133" t="n">
        <f aca="false">+AM28/((1+Assumptions!$C$5)^Assumptions!AN$7)</f>
        <v>1.42888615695162</v>
      </c>
      <c r="AN32" s="133" t="n">
        <f aca="false">+AN28/((1+Assumptions!$C$5)^Assumptions!AO$7)</f>
        <v>1.38283835231461</v>
      </c>
      <c r="AO32" s="133" t="n">
        <f aca="false">+AO28/((1+Assumptions!$C$5)^Assumptions!AP$7)</f>
        <v>1.33827450096638</v>
      </c>
      <c r="AP32" s="133" t="n">
        <f aca="false">+AP28/((1+Assumptions!$C$5)^Assumptions!AQ$7)</f>
        <v>0</v>
      </c>
      <c r="AQ32" s="133" t="n">
        <f aca="false">+AQ28/((1+Assumptions!$C$5)^Assumptions!AR$7)</f>
        <v>0</v>
      </c>
      <c r="AR32" s="133" t="n">
        <f aca="false">+AR28/((1+Assumptions!$C$5)^Assumptions!AS$7)</f>
        <v>0</v>
      </c>
      <c r="AS32" s="133" t="n">
        <f aca="false">+AS28/((1+Assumptions!$C$5)^Assumptions!AT$7)</f>
        <v>0</v>
      </c>
      <c r="AT32" s="152" t="n">
        <f aca="false">+AT28/((1+Assumptions!$C$5)^Assumptions!AU$7)</f>
        <v>0</v>
      </c>
    </row>
    <row r="34" customFormat="false" ht="15" hidden="false" customHeight="false" outlineLevel="0" collapsed="false">
      <c r="A34" s="161"/>
      <c r="B34" s="143" t="s">
        <v>301</v>
      </c>
      <c r="C34" s="144"/>
      <c r="D34" s="145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7"/>
    </row>
    <row r="35" customFormat="false" ht="15" hidden="false" customHeight="false" outlineLevel="0" collapsed="false">
      <c r="A35" s="162"/>
      <c r="B35" s="149" t="s">
        <v>289</v>
      </c>
      <c r="C35" s="131" t="s">
        <v>136</v>
      </c>
      <c r="D35" s="131" t="s">
        <v>46</v>
      </c>
      <c r="E35" s="131" t="s">
        <v>47</v>
      </c>
      <c r="F35" s="131" t="s">
        <v>48</v>
      </c>
      <c r="G35" s="131" t="s">
        <v>49</v>
      </c>
      <c r="H35" s="131" t="s">
        <v>50</v>
      </c>
      <c r="I35" s="131" t="s">
        <v>51</v>
      </c>
      <c r="J35" s="131" t="s">
        <v>52</v>
      </c>
      <c r="K35" s="131" t="s">
        <v>53</v>
      </c>
      <c r="L35" s="131" t="s">
        <v>54</v>
      </c>
      <c r="M35" s="131" t="s">
        <v>55</v>
      </c>
      <c r="N35" s="131" t="s">
        <v>56</v>
      </c>
      <c r="O35" s="131" t="s">
        <v>57</v>
      </c>
      <c r="P35" s="131" t="s">
        <v>58</v>
      </c>
      <c r="Q35" s="131" t="s">
        <v>59</v>
      </c>
      <c r="R35" s="131" t="s">
        <v>60</v>
      </c>
      <c r="S35" s="131" t="s">
        <v>61</v>
      </c>
      <c r="T35" s="131" t="s">
        <v>62</v>
      </c>
      <c r="U35" s="131" t="s">
        <v>63</v>
      </c>
      <c r="V35" s="131" t="s">
        <v>64</v>
      </c>
      <c r="W35" s="131" t="s">
        <v>65</v>
      </c>
      <c r="X35" s="131" t="s">
        <v>66</v>
      </c>
      <c r="Y35" s="131" t="s">
        <v>67</v>
      </c>
      <c r="Z35" s="131" t="s">
        <v>68</v>
      </c>
      <c r="AA35" s="131" t="s">
        <v>69</v>
      </c>
      <c r="AB35" s="131" t="s">
        <v>70</v>
      </c>
      <c r="AC35" s="131" t="s">
        <v>71</v>
      </c>
      <c r="AD35" s="131" t="s">
        <v>72</v>
      </c>
      <c r="AE35" s="131" t="s">
        <v>73</v>
      </c>
      <c r="AF35" s="131" t="s">
        <v>74</v>
      </c>
      <c r="AG35" s="131" t="s">
        <v>75</v>
      </c>
      <c r="AH35" s="131" t="s">
        <v>76</v>
      </c>
      <c r="AI35" s="131" t="s">
        <v>77</v>
      </c>
      <c r="AJ35" s="131" t="s">
        <v>78</v>
      </c>
      <c r="AK35" s="131" t="s">
        <v>79</v>
      </c>
      <c r="AL35" s="131" t="s">
        <v>80</v>
      </c>
      <c r="AM35" s="131" t="s">
        <v>81</v>
      </c>
      <c r="AN35" s="131" t="s">
        <v>82</v>
      </c>
      <c r="AO35" s="131" t="s">
        <v>83</v>
      </c>
      <c r="AP35" s="131" t="s">
        <v>84</v>
      </c>
      <c r="AQ35" s="131" t="s">
        <v>85</v>
      </c>
      <c r="AR35" s="131" t="s">
        <v>86</v>
      </c>
      <c r="AS35" s="131" t="s">
        <v>290</v>
      </c>
      <c r="AT35" s="150" t="s">
        <v>291</v>
      </c>
    </row>
    <row r="36" customFormat="false" ht="15" hidden="false" customHeight="false" outlineLevel="0" collapsed="false">
      <c r="A36" s="161"/>
      <c r="B36" s="151" t="s">
        <v>217</v>
      </c>
      <c r="C36" s="132" t="n">
        <f aca="false">AT36</f>
        <v>595.292929375001</v>
      </c>
      <c r="D36" s="133" t="n">
        <f aca="false">D28</f>
        <v>0</v>
      </c>
      <c r="E36" s="133" t="n">
        <f aca="false">D36+E28</f>
        <v>0</v>
      </c>
      <c r="F36" s="133" t="n">
        <f aca="false">E36+F28</f>
        <v>0</v>
      </c>
      <c r="G36" s="133" t="n">
        <f aca="false">F36+G28</f>
        <v>0</v>
      </c>
      <c r="H36" s="133" t="n">
        <f aca="false">G36+H28</f>
        <v>-6.88435</v>
      </c>
      <c r="I36" s="133" t="n">
        <f aca="false">H36+I28</f>
        <v>4.34695000000001</v>
      </c>
      <c r="J36" s="133" t="n">
        <f aca="false">I36+J28</f>
        <v>14.607775</v>
      </c>
      <c r="K36" s="133" t="n">
        <f aca="false">J36+K28</f>
        <v>28.266165</v>
      </c>
      <c r="L36" s="133" t="n">
        <f aca="false">K36+L28</f>
        <v>-15.13881</v>
      </c>
      <c r="M36" s="133" t="n">
        <f aca="false">L36+M28</f>
        <v>-37.0180625</v>
      </c>
      <c r="N36" s="133" t="n">
        <f aca="false">M36+N28</f>
        <v>-40.9419475</v>
      </c>
      <c r="O36" s="133" t="n">
        <f aca="false">N36+O28</f>
        <v>-22.8959475</v>
      </c>
      <c r="P36" s="133" t="n">
        <f aca="false">O36+P28</f>
        <v>15.85236875</v>
      </c>
      <c r="Q36" s="133" t="n">
        <f aca="false">P36+Q28</f>
        <v>64.78235125</v>
      </c>
      <c r="R36" s="133" t="n">
        <f aca="false">Q36+R28</f>
        <v>539.82835875</v>
      </c>
      <c r="S36" s="133" t="n">
        <f aca="false">R36+S28</f>
        <v>503.42409125</v>
      </c>
      <c r="T36" s="133" t="n">
        <f aca="false">S36+T28</f>
        <v>369.19036375</v>
      </c>
      <c r="U36" s="133" t="n">
        <f aca="false">T36+U28</f>
        <v>265.74703625</v>
      </c>
      <c r="V36" s="133" t="n">
        <f aca="false">U36+V28</f>
        <v>297.54702375</v>
      </c>
      <c r="W36" s="133" t="n">
        <f aca="false">V36+W28</f>
        <v>327.53544625</v>
      </c>
      <c r="X36" s="133" t="n">
        <f aca="false">W36+X28</f>
        <v>379.814908125</v>
      </c>
      <c r="Y36" s="133" t="n">
        <f aca="false">X36+Y28</f>
        <v>424.968321875</v>
      </c>
      <c r="Z36" s="133" t="n">
        <f aca="false">Y36+Z28</f>
        <v>461.306198125</v>
      </c>
      <c r="AA36" s="133" t="n">
        <f aca="false">Z36+AA28</f>
        <v>487.352446875</v>
      </c>
      <c r="AB36" s="133" t="n">
        <f aca="false">AA36+AB28</f>
        <v>538.398695625</v>
      </c>
      <c r="AC36" s="133" t="n">
        <f aca="false">AB36+AC28</f>
        <v>589.444944375</v>
      </c>
      <c r="AD36" s="133" t="n">
        <f aca="false">AC36+AD28</f>
        <v>640.491193125</v>
      </c>
      <c r="AE36" s="133" t="n">
        <f aca="false">AD36+AE28</f>
        <v>691.537441875</v>
      </c>
      <c r="AF36" s="133" t="n">
        <f aca="false">AE36+AF28</f>
        <v>494.2772134375</v>
      </c>
      <c r="AG36" s="133" t="n">
        <f aca="false">AF36+AG28</f>
        <v>514.98650453125</v>
      </c>
      <c r="AH36" s="133" t="n">
        <f aca="false">AG36+AH28</f>
        <v>533.52569171875</v>
      </c>
      <c r="AI36" s="133" t="n">
        <f aca="false">AH36+AI28</f>
        <v>549.894775</v>
      </c>
      <c r="AJ36" s="133" t="n">
        <f aca="false">AI36+AJ28</f>
        <v>562.766531406251</v>
      </c>
      <c r="AK36" s="133" t="n">
        <f aca="false">AJ36+AK28</f>
        <v>573.612857500001</v>
      </c>
      <c r="AL36" s="133" t="n">
        <f aca="false">AK36+AL28</f>
        <v>583.064865625001</v>
      </c>
      <c r="AM36" s="133" t="n">
        <f aca="false">AL36+AM28</f>
        <v>587.140886875001</v>
      </c>
      <c r="AN36" s="133" t="n">
        <f aca="false">AM36+AN28</f>
        <v>591.216908125001</v>
      </c>
      <c r="AO36" s="133" t="n">
        <f aca="false">AN36+AO28</f>
        <v>595.292929375001</v>
      </c>
      <c r="AP36" s="133" t="n">
        <f aca="false">AO36+AP28</f>
        <v>595.292929375001</v>
      </c>
      <c r="AQ36" s="133" t="n">
        <f aca="false">AP36+AQ28</f>
        <v>595.292929375001</v>
      </c>
      <c r="AR36" s="133" t="n">
        <f aca="false">AQ36+AR28</f>
        <v>595.292929375001</v>
      </c>
      <c r="AS36" s="133" t="n">
        <f aca="false">AR36+AS28</f>
        <v>595.292929375001</v>
      </c>
      <c r="AT36" s="152" t="n">
        <f aca="false">AS36+AT28</f>
        <v>595.292929375001</v>
      </c>
    </row>
    <row r="38" customFormat="false" ht="15" hidden="false" customHeight="false" outlineLevel="0" collapsed="false">
      <c r="A38" s="161"/>
      <c r="B38" s="153" t="s">
        <v>302</v>
      </c>
      <c r="D38" s="138"/>
      <c r="AT38" s="154"/>
    </row>
    <row r="39" customFormat="false" ht="15" hidden="false" customHeight="false" outlineLevel="0" collapsed="false">
      <c r="A39" s="162"/>
      <c r="B39" s="155" t="s">
        <v>289</v>
      </c>
      <c r="C39" s="134" t="s">
        <v>136</v>
      </c>
      <c r="D39" s="134" t="s">
        <v>46</v>
      </c>
      <c r="E39" s="134" t="s">
        <v>47</v>
      </c>
      <c r="F39" s="134" t="s">
        <v>48</v>
      </c>
      <c r="G39" s="134" t="s">
        <v>49</v>
      </c>
      <c r="H39" s="134" t="s">
        <v>50</v>
      </c>
      <c r="I39" s="134" t="s">
        <v>51</v>
      </c>
      <c r="J39" s="134" t="s">
        <v>52</v>
      </c>
      <c r="K39" s="134" t="s">
        <v>53</v>
      </c>
      <c r="L39" s="134" t="s">
        <v>54</v>
      </c>
      <c r="M39" s="134" t="s">
        <v>55</v>
      </c>
      <c r="N39" s="134" t="s">
        <v>56</v>
      </c>
      <c r="O39" s="134" t="s">
        <v>57</v>
      </c>
      <c r="P39" s="134" t="s">
        <v>58</v>
      </c>
      <c r="Q39" s="134" t="s">
        <v>59</v>
      </c>
      <c r="R39" s="134" t="s">
        <v>60</v>
      </c>
      <c r="S39" s="134" t="s">
        <v>61</v>
      </c>
      <c r="T39" s="134" t="s">
        <v>62</v>
      </c>
      <c r="U39" s="134" t="s">
        <v>63</v>
      </c>
      <c r="V39" s="134" t="s">
        <v>64</v>
      </c>
      <c r="W39" s="134" t="s">
        <v>65</v>
      </c>
      <c r="X39" s="134" t="s">
        <v>66</v>
      </c>
      <c r="Y39" s="134" t="s">
        <v>67</v>
      </c>
      <c r="Z39" s="134" t="s">
        <v>68</v>
      </c>
      <c r="AA39" s="134" t="s">
        <v>69</v>
      </c>
      <c r="AB39" s="134" t="s">
        <v>70</v>
      </c>
      <c r="AC39" s="134" t="s">
        <v>71</v>
      </c>
      <c r="AD39" s="134" t="s">
        <v>72</v>
      </c>
      <c r="AE39" s="134" t="s">
        <v>73</v>
      </c>
      <c r="AF39" s="134" t="s">
        <v>74</v>
      </c>
      <c r="AG39" s="134" t="s">
        <v>75</v>
      </c>
      <c r="AH39" s="134" t="s">
        <v>76</v>
      </c>
      <c r="AI39" s="134" t="s">
        <v>77</v>
      </c>
      <c r="AJ39" s="134" t="s">
        <v>78</v>
      </c>
      <c r="AK39" s="134" t="s">
        <v>79</v>
      </c>
      <c r="AL39" s="134" t="s">
        <v>80</v>
      </c>
      <c r="AM39" s="134" t="s">
        <v>81</v>
      </c>
      <c r="AN39" s="134" t="s">
        <v>82</v>
      </c>
      <c r="AO39" s="134" t="s">
        <v>83</v>
      </c>
      <c r="AP39" s="134" t="s">
        <v>84</v>
      </c>
      <c r="AQ39" s="134" t="s">
        <v>85</v>
      </c>
      <c r="AR39" s="134" t="s">
        <v>86</v>
      </c>
      <c r="AS39" s="134" t="s">
        <v>290</v>
      </c>
      <c r="AT39" s="156" t="s">
        <v>291</v>
      </c>
    </row>
    <row r="40" customFormat="false" ht="15" hidden="false" customHeight="false" outlineLevel="0" collapsed="false">
      <c r="A40" s="161"/>
      <c r="B40" s="151" t="s">
        <v>217</v>
      </c>
      <c r="C40" s="132" t="n">
        <f aca="false">AT40</f>
        <v>374.550519692982</v>
      </c>
      <c r="D40" s="133" t="n">
        <f aca="false">D32</f>
        <v>0</v>
      </c>
      <c r="E40" s="133" t="n">
        <f aca="false">D40+E32</f>
        <v>0</v>
      </c>
      <c r="F40" s="133" t="n">
        <f aca="false">E40+F32</f>
        <v>0</v>
      </c>
      <c r="G40" s="133" t="n">
        <f aca="false">F40+G32</f>
        <v>0</v>
      </c>
      <c r="H40" s="133" t="n">
        <f aca="false">G40+H32</f>
        <v>-6.66249243471357</v>
      </c>
      <c r="I40" s="133" t="n">
        <f aca="false">H40+I32</f>
        <v>3.85658379090391</v>
      </c>
      <c r="J40" s="133" t="n">
        <f aca="false">I40+J32</f>
        <v>13.1570269362564</v>
      </c>
      <c r="K40" s="133" t="n">
        <f aca="false">J40+K32</f>
        <v>25.1380707959055</v>
      </c>
      <c r="L40" s="133" t="n">
        <f aca="false">K40+L32</f>
        <v>-11.7094647301244</v>
      </c>
      <c r="M40" s="133" t="n">
        <f aca="false">L40+M32</f>
        <v>-29.6847256595221</v>
      </c>
      <c r="N40" s="133" t="n">
        <f aca="false">M40+N32</f>
        <v>-32.8045689565007</v>
      </c>
      <c r="O40" s="133" t="n">
        <f aca="false">N40+O32</f>
        <v>-18.9187579377257</v>
      </c>
      <c r="P40" s="133" t="n">
        <f aca="false">O40+P32</f>
        <v>9.93596576730759</v>
      </c>
      <c r="Q40" s="133" t="n">
        <f aca="false">P40+Q32</f>
        <v>45.1984522019341</v>
      </c>
      <c r="R40" s="133" t="n">
        <f aca="false">Q40+R32</f>
        <v>376.518206989204</v>
      </c>
      <c r="S40" s="133" t="n">
        <f aca="false">R40+S32</f>
        <v>351.946363358505</v>
      </c>
      <c r="T40" s="133" t="n">
        <f aca="false">S40+T32</f>
        <v>264.262256366757</v>
      </c>
      <c r="U40" s="133" t="n">
        <f aca="false">T40+U32</f>
        <v>198.868617811777</v>
      </c>
      <c r="V40" s="133" t="n">
        <f aca="false">U40+V32</f>
        <v>218.323730772577</v>
      </c>
      <c r="W40" s="133" t="n">
        <f aca="false">V40+W32</f>
        <v>236.079284284272</v>
      </c>
      <c r="X40" s="133" t="n">
        <f aca="false">W40+X32</f>
        <v>266.035399374114</v>
      </c>
      <c r="Y40" s="133" t="n">
        <f aca="false">X40+Y32</f>
        <v>291.07450193218</v>
      </c>
      <c r="Z40" s="133" t="n">
        <f aca="false">Y40+Z32</f>
        <v>310.575709178444</v>
      </c>
      <c r="AA40" s="133" t="n">
        <f aca="false">Z40+AA32</f>
        <v>324.103314603315</v>
      </c>
      <c r="AB40" s="133" t="n">
        <f aca="false">AA40+AB32</f>
        <v>349.760757024329</v>
      </c>
      <c r="AC40" s="133" t="n">
        <f aca="false">AB40+AC32</f>
        <v>374.591353380427</v>
      </c>
      <c r="AD40" s="133" t="n">
        <f aca="false">AC40+AD32</f>
        <v>398.621749913423</v>
      </c>
      <c r="AE40" s="133" t="n">
        <f aca="false">AD40+AE32</f>
        <v>421.877734153656</v>
      </c>
      <c r="AF40" s="133" t="n">
        <f aca="false">AE40+AF32</f>
        <v>334.904782173359</v>
      </c>
      <c r="AG40" s="133" t="n">
        <f aca="false">AF40+AG32</f>
        <v>343.741351702659</v>
      </c>
      <c r="AH40" s="133" t="n">
        <f aca="false">AG40+AH32</f>
        <v>351.397017087368</v>
      </c>
      <c r="AI40" s="133" t="n">
        <f aca="false">AH40+AI32</f>
        <v>357.938713702155</v>
      </c>
      <c r="AJ40" s="133" t="n">
        <f aca="false">AI40+AJ32</f>
        <v>362.916974450684</v>
      </c>
      <c r="AK40" s="133" t="n">
        <f aca="false">AJ40+AK32</f>
        <v>366.976696236995</v>
      </c>
      <c r="AL40" s="133" t="n">
        <f aca="false">AK40+AL32</f>
        <v>370.400520682749</v>
      </c>
      <c r="AM40" s="133" t="n">
        <f aca="false">AL40+AM32</f>
        <v>371.829406839701</v>
      </c>
      <c r="AN40" s="133" t="n">
        <f aca="false">AM40+AN32</f>
        <v>373.212245192015</v>
      </c>
      <c r="AO40" s="133" t="n">
        <f aca="false">AN40+AO32</f>
        <v>374.550519692982</v>
      </c>
      <c r="AP40" s="133" t="n">
        <f aca="false">AO40+AP32</f>
        <v>374.550519692982</v>
      </c>
      <c r="AQ40" s="133" t="n">
        <f aca="false">AP40+AQ32</f>
        <v>374.550519692982</v>
      </c>
      <c r="AR40" s="133" t="n">
        <f aca="false">AQ40+AR32</f>
        <v>374.550519692982</v>
      </c>
      <c r="AS40" s="133" t="n">
        <f aca="false">AR40+AS32</f>
        <v>374.550519692982</v>
      </c>
      <c r="AT40" s="152" t="n">
        <f aca="false">AS40+AT32</f>
        <v>374.550519692982</v>
      </c>
    </row>
    <row r="42" customFormat="false" ht="13.5" hidden="false" customHeight="true" outlineLevel="0" collapsed="false">
      <c r="B42" s="136" t="s">
        <v>303</v>
      </c>
      <c r="D42" s="138"/>
    </row>
    <row r="43" customFormat="false" ht="13.5" hidden="false" customHeight="true" outlineLevel="0" collapsed="false">
      <c r="B43" s="131" t="s">
        <v>289</v>
      </c>
      <c r="C43" s="131" t="s">
        <v>136</v>
      </c>
      <c r="D43" s="131" t="s">
        <v>46</v>
      </c>
      <c r="E43" s="131" t="s">
        <v>47</v>
      </c>
      <c r="F43" s="131" t="s">
        <v>48</v>
      </c>
      <c r="G43" s="131" t="s">
        <v>49</v>
      </c>
      <c r="H43" s="131" t="s">
        <v>50</v>
      </c>
      <c r="I43" s="131" t="s">
        <v>51</v>
      </c>
      <c r="J43" s="131" t="s">
        <v>52</v>
      </c>
      <c r="K43" s="131" t="s">
        <v>53</v>
      </c>
      <c r="L43" s="131" t="s">
        <v>54</v>
      </c>
      <c r="M43" s="131" t="s">
        <v>55</v>
      </c>
      <c r="N43" s="131" t="s">
        <v>56</v>
      </c>
      <c r="O43" s="131" t="s">
        <v>57</v>
      </c>
      <c r="P43" s="131" t="s">
        <v>58</v>
      </c>
      <c r="Q43" s="131" t="s">
        <v>59</v>
      </c>
      <c r="R43" s="131" t="s">
        <v>60</v>
      </c>
      <c r="S43" s="131" t="s">
        <v>61</v>
      </c>
      <c r="T43" s="131" t="s">
        <v>62</v>
      </c>
      <c r="U43" s="131" t="s">
        <v>63</v>
      </c>
      <c r="V43" s="131" t="s">
        <v>64</v>
      </c>
      <c r="W43" s="131" t="s">
        <v>65</v>
      </c>
      <c r="X43" s="131" t="s">
        <v>66</v>
      </c>
      <c r="Y43" s="131" t="s">
        <v>67</v>
      </c>
      <c r="Z43" s="131" t="s">
        <v>68</v>
      </c>
      <c r="AA43" s="131" t="s">
        <v>69</v>
      </c>
      <c r="AB43" s="131" t="s">
        <v>70</v>
      </c>
      <c r="AC43" s="131" t="s">
        <v>71</v>
      </c>
      <c r="AD43" s="131" t="s">
        <v>72</v>
      </c>
      <c r="AE43" s="131" t="s">
        <v>73</v>
      </c>
      <c r="AF43" s="131" t="s">
        <v>74</v>
      </c>
      <c r="AG43" s="131" t="s">
        <v>75</v>
      </c>
      <c r="AH43" s="131" t="s">
        <v>76</v>
      </c>
      <c r="AI43" s="131" t="s">
        <v>77</v>
      </c>
      <c r="AJ43" s="131" t="s">
        <v>78</v>
      </c>
      <c r="AK43" s="131" t="s">
        <v>79</v>
      </c>
      <c r="AL43" s="131" t="s">
        <v>80</v>
      </c>
      <c r="AM43" s="131" t="s">
        <v>81</v>
      </c>
      <c r="AN43" s="131" t="s">
        <v>82</v>
      </c>
      <c r="AO43" s="131" t="s">
        <v>83</v>
      </c>
      <c r="AP43" s="131" t="s">
        <v>84</v>
      </c>
      <c r="AQ43" s="131" t="s">
        <v>85</v>
      </c>
      <c r="AR43" s="131" t="s">
        <v>86</v>
      </c>
      <c r="AS43" s="131" t="s">
        <v>290</v>
      </c>
      <c r="AT43" s="131" t="s">
        <v>291</v>
      </c>
    </row>
    <row r="44" customFormat="false" ht="15" hidden="false" customHeight="false" outlineLevel="0" collapsed="false">
      <c r="B44" s="132" t="s">
        <v>217</v>
      </c>
      <c r="C44" s="132" t="n">
        <f aca="false">AT44</f>
        <v>1503.976359375</v>
      </c>
      <c r="D44" s="133" t="n">
        <f aca="false">D12</f>
        <v>0</v>
      </c>
      <c r="E44" s="133" t="n">
        <f aca="false">D44+E12</f>
        <v>0</v>
      </c>
      <c r="F44" s="133" t="n">
        <f aca="false">E44+F12</f>
        <v>0</v>
      </c>
      <c r="G44" s="133" t="n">
        <f aca="false">F44+G12</f>
        <v>0</v>
      </c>
      <c r="H44" s="133" t="n">
        <f aca="false">G44+H12</f>
        <v>-6.88435</v>
      </c>
      <c r="I44" s="133" t="n">
        <f aca="false">H44+I12</f>
        <v>4.34695000000001</v>
      </c>
      <c r="J44" s="133" t="n">
        <f aca="false">I44+J12</f>
        <v>37.607775</v>
      </c>
      <c r="K44" s="133" t="n">
        <f aca="false">J44+K12</f>
        <v>81.626165</v>
      </c>
      <c r="L44" s="133" t="n">
        <f aca="false">K44+L12</f>
        <v>98.71371</v>
      </c>
      <c r="M44" s="133" t="n">
        <f aca="false">L44+M12</f>
        <v>121.6869775</v>
      </c>
      <c r="N44" s="133" t="n">
        <f aca="false">M44+N12</f>
        <v>160.5580325</v>
      </c>
      <c r="O44" s="133" t="n">
        <f aca="false">N44+O12</f>
        <v>216.1655625</v>
      </c>
      <c r="P44" s="133" t="n">
        <f aca="false">O44+P12</f>
        <v>268.91799875</v>
      </c>
      <c r="Q44" s="133" t="n">
        <f aca="false">P44+Q12</f>
        <v>331.31534125</v>
      </c>
      <c r="R44" s="133" t="n">
        <f aca="false">Q44+R12</f>
        <v>951.90580875</v>
      </c>
      <c r="S44" s="133" t="n">
        <f aca="false">R44+S12</f>
        <v>1061.04600125</v>
      </c>
      <c r="T44" s="133" t="n">
        <f aca="false">S44+T12</f>
        <v>1123.64259375</v>
      </c>
      <c r="U44" s="133" t="n">
        <f aca="false">T44+U12</f>
        <v>1162.97958625</v>
      </c>
      <c r="V44" s="133" t="n">
        <f aca="false">U44+V12</f>
        <v>1200.50501375</v>
      </c>
      <c r="W44" s="133" t="n">
        <f aca="false">V44+W12</f>
        <v>1236.21887625</v>
      </c>
      <c r="X44" s="133" t="n">
        <f aca="false">W44+X12</f>
        <v>1288.498338125</v>
      </c>
      <c r="Y44" s="133" t="n">
        <f aca="false">X44+Y12</f>
        <v>1333.651751875</v>
      </c>
      <c r="Z44" s="133" t="n">
        <f aca="false">Y44+Z12</f>
        <v>1369.989628125</v>
      </c>
      <c r="AA44" s="133" t="n">
        <f aca="false">Z44+AA12</f>
        <v>1396.035876875</v>
      </c>
      <c r="AB44" s="133" t="n">
        <f aca="false">AA44+AB12</f>
        <v>1447.082125625</v>
      </c>
      <c r="AC44" s="133" t="n">
        <f aca="false">AB44+AC12</f>
        <v>1498.128374375</v>
      </c>
      <c r="AD44" s="133" t="n">
        <f aca="false">AC44+AD12</f>
        <v>1549.174623125</v>
      </c>
      <c r="AE44" s="133" t="n">
        <f aca="false">AD44+AE12</f>
        <v>1600.220871875</v>
      </c>
      <c r="AF44" s="133" t="n">
        <f aca="false">AE44+AF12</f>
        <v>1402.9606434375</v>
      </c>
      <c r="AG44" s="133" t="n">
        <f aca="false">AF44+AG12</f>
        <v>1423.66993453125</v>
      </c>
      <c r="AH44" s="133" t="n">
        <f aca="false">AG44+AH12</f>
        <v>1442.20912171875</v>
      </c>
      <c r="AI44" s="133" t="n">
        <f aca="false">AH44+AI12</f>
        <v>1458.578205</v>
      </c>
      <c r="AJ44" s="133" t="n">
        <f aca="false">AI44+AJ12</f>
        <v>1471.44996140625</v>
      </c>
      <c r="AK44" s="133" t="n">
        <f aca="false">AJ44+AK12</f>
        <v>1482.2962875</v>
      </c>
      <c r="AL44" s="133" t="n">
        <f aca="false">AK44+AL12</f>
        <v>1491.748295625</v>
      </c>
      <c r="AM44" s="133" t="n">
        <f aca="false">AL44+AM12</f>
        <v>1495.824316875</v>
      </c>
      <c r="AN44" s="133" t="n">
        <f aca="false">AM44+AN12</f>
        <v>1499.900338125</v>
      </c>
      <c r="AO44" s="133" t="n">
        <f aca="false">AN44+AO12</f>
        <v>1503.976359375</v>
      </c>
      <c r="AP44" s="133" t="n">
        <f aca="false">AO44+AP12</f>
        <v>1503.976359375</v>
      </c>
      <c r="AQ44" s="133" t="n">
        <f aca="false">AP44+AQ12</f>
        <v>1503.976359375</v>
      </c>
      <c r="AR44" s="133" t="n">
        <f aca="false">AQ44+AR12</f>
        <v>1503.976359375</v>
      </c>
      <c r="AS44" s="133" t="n">
        <f aca="false">AR44+AS12</f>
        <v>1503.976359375</v>
      </c>
      <c r="AT44" s="133" t="n">
        <f aca="false">AS44+AT12</f>
        <v>1503.976359375</v>
      </c>
    </row>
    <row r="56" customFormat="false" ht="13.5" hidden="false" customHeight="true" outlineLevel="0" collapsed="false"/>
    <row r="57" customFormat="false" ht="13.5" hidden="false" customHeight="true" outlineLevel="0" collapsed="false"/>
    <row r="70" customFormat="false" ht="13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Surface</dc:creator>
  <dc:description/>
  <dc:language>en-US</dc:language>
  <cp:lastModifiedBy>Bahaa Halim</cp:lastModifiedBy>
  <dcterms:modified xsi:type="dcterms:W3CDTF">2026-10-08T09:49:55Z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